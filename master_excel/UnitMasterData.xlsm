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060" yWindow="460" windowWidth="27740" windowHeight="15900" tabRatio="963" activeTab="8"/>
  </bookViews>
  <sheets>
    <sheet name="output" sheetId="49" r:id="rId1"/>
    <sheet name="ステータス理論値幅" sheetId="48" r:id="rId2"/>
    <sheet name="units" sheetId="23" r:id="rId3"/>
    <sheet name="awake_materials" sheetId="3" r:id="rId4"/>
    <sheet name="awake_material_habitats" sheetId="33" r:id="rId5"/>
    <sheet name="awake_material_habitats_manual" sheetId="52" r:id="rId6"/>
    <sheet name="limitbreak_materials" sheetId="40" r:id="rId7"/>
    <sheet name="ghosts_label" sheetId="53" r:id="rId8"/>
    <sheet name="コスト" sheetId="13" r:id="rId9"/>
    <sheet name="レベル" sheetId="12" r:id="rId10"/>
    <sheet name="経験値" sheetId="10" r:id="rId11"/>
    <sheet name="RC6SV" sheetId="11" r:id="rId12"/>
    <sheet name="ビット" sheetId="15" r:id="rId13"/>
    <sheet name="unit_exp_table" sheetId="17" r:id="rId14"/>
    <sheet name="unit_material_exp" sheetId="31" r:id="rId15"/>
    <sheet name="unit_soldprice_rate" sheetId="32" r:id="rId16"/>
  </sheets>
  <externalReferences>
    <externalReference r:id="rId17"/>
    <externalReference r:id="rId18"/>
    <externalReference r:id="rId19"/>
  </externalReferences>
  <definedNames>
    <definedName name="_xlnm._FilterDatabase" localSheetId="3" hidden="1">awake_materials!$B$1:$H$1</definedName>
    <definedName name="_xlnm._FilterDatabase" localSheetId="2" hidden="1">units!$A$1:$BQ$438</definedName>
    <definedName name="base_character_id">awake_materials!$B$1</definedName>
    <definedName name="character_id">units!$A$1</definedName>
    <definedName name="Excel_BuiltIn__FilterDatabase_3_1_1" localSheetId="4">awake_material_habitats!$A$1:$D$1</definedName>
    <definedName name="Excel_BuiltIn__FilterDatabase_6_1" localSheetId="4">[1]unit_skills!#REF!</definedName>
    <definedName name="Excel_BuiltIn__FilterDatabase_6_1" localSheetId="14">[1]unit_skills!#REF!</definedName>
    <definedName name="Excel_BuiltIn__FilterDatabase_6_1" localSheetId="15">[1]unit_skills!#REF!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2" i="52" l="1"/>
  <c r="B31" i="52"/>
  <c r="B30" i="52"/>
  <c r="B29" i="52"/>
  <c r="B28" i="52"/>
  <c r="B27" i="52"/>
  <c r="B244" i="33"/>
  <c r="E244" i="33"/>
  <c r="F244" i="33"/>
  <c r="E243" i="33"/>
  <c r="F243" i="33"/>
  <c r="B243" i="33"/>
  <c r="E242" i="33"/>
  <c r="F242" i="33"/>
  <c r="B242" i="33"/>
  <c r="E241" i="33"/>
  <c r="F241" i="33"/>
  <c r="B241" i="33"/>
  <c r="E240" i="33"/>
  <c r="F240" i="33"/>
  <c r="B240" i="33"/>
  <c r="E239" i="33"/>
  <c r="F239" i="33"/>
  <c r="B239" i="33"/>
  <c r="E238" i="33"/>
  <c r="F238" i="33"/>
  <c r="B238" i="33"/>
  <c r="E237" i="33"/>
  <c r="F237" i="33"/>
  <c r="B237" i="33"/>
  <c r="E236" i="33"/>
  <c r="F236" i="33"/>
  <c r="B236" i="33"/>
  <c r="E235" i="33"/>
  <c r="F235" i="33"/>
  <c r="B235" i="33"/>
  <c r="E234" i="33"/>
  <c r="F234" i="33"/>
  <c r="B234" i="33"/>
  <c r="E233" i="33"/>
  <c r="F233" i="33"/>
  <c r="B233" i="33"/>
  <c r="B18" i="40"/>
  <c r="B17" i="40"/>
  <c r="B16" i="40"/>
  <c r="B26" i="52"/>
  <c r="B25" i="52"/>
  <c r="E232" i="33"/>
  <c r="F232" i="33"/>
  <c r="B232" i="33"/>
  <c r="E231" i="33"/>
  <c r="F231" i="33"/>
  <c r="B231" i="33"/>
  <c r="E230" i="33"/>
  <c r="F230" i="33"/>
  <c r="B230" i="33"/>
  <c r="E229" i="33"/>
  <c r="F229" i="33"/>
  <c r="B229" i="33"/>
  <c r="E228" i="33"/>
  <c r="F228" i="33"/>
  <c r="B228" i="33"/>
  <c r="E227" i="33"/>
  <c r="F227" i="33"/>
  <c r="B227" i="33"/>
  <c r="A371" i="23"/>
  <c r="AT371" i="23"/>
  <c r="A372" i="23"/>
  <c r="AT372" i="23"/>
  <c r="A373" i="23"/>
  <c r="AT373" i="23"/>
  <c r="A374" i="23"/>
  <c r="AT374" i="23"/>
  <c r="A375" i="23"/>
  <c r="AT375" i="23"/>
  <c r="A376" i="23"/>
  <c r="AT376" i="23"/>
  <c r="G434" i="23"/>
  <c r="B434" i="23"/>
  <c r="A98" i="23"/>
  <c r="G98" i="23"/>
  <c r="B98" i="23"/>
  <c r="AP371" i="23"/>
  <c r="AP372" i="23"/>
  <c r="AP373" i="23"/>
  <c r="AP374" i="23"/>
  <c r="AP375" i="23"/>
  <c r="AP376" i="23"/>
  <c r="A377" i="23"/>
  <c r="G377" i="23"/>
  <c r="B377" i="23"/>
  <c r="B427" i="23"/>
  <c r="G427" i="23"/>
  <c r="G432" i="23"/>
  <c r="B432" i="23"/>
  <c r="G431" i="23"/>
  <c r="B431" i="23"/>
  <c r="B423" i="23"/>
  <c r="G423" i="23"/>
  <c r="G428" i="23"/>
  <c r="B428" i="23"/>
  <c r="G416" i="23"/>
  <c r="B416" i="23"/>
  <c r="G415" i="23"/>
  <c r="B415" i="23"/>
  <c r="B421" i="23"/>
  <c r="G421" i="23"/>
  <c r="B422" i="23"/>
  <c r="G422" i="23"/>
  <c r="B425" i="23"/>
  <c r="G425" i="23"/>
  <c r="G413" i="23"/>
  <c r="B413" i="23"/>
  <c r="B430" i="23"/>
  <c r="G430" i="23"/>
  <c r="B419" i="23"/>
  <c r="G419" i="23"/>
  <c r="G412" i="23"/>
  <c r="B412" i="23"/>
  <c r="G411" i="23"/>
  <c r="B411" i="23"/>
  <c r="A311" i="23"/>
  <c r="G311" i="23"/>
  <c r="B311" i="23"/>
  <c r="A315" i="23"/>
  <c r="B315" i="23"/>
  <c r="G315" i="23"/>
  <c r="A329" i="23"/>
  <c r="B329" i="23"/>
  <c r="G329" i="23"/>
  <c r="A10" i="23"/>
  <c r="B10" i="23"/>
  <c r="G10" i="23"/>
  <c r="A11" i="23"/>
  <c r="B11" i="23"/>
  <c r="G11" i="23"/>
  <c r="A167" i="23"/>
  <c r="B167" i="23"/>
  <c r="G167" i="23"/>
  <c r="A168" i="23"/>
  <c r="B168" i="23"/>
  <c r="G168" i="23"/>
  <c r="A169" i="23"/>
  <c r="B169" i="23"/>
  <c r="G169" i="23"/>
  <c r="A28" i="23"/>
  <c r="B28" i="23"/>
  <c r="G28" i="23"/>
  <c r="A29" i="23"/>
  <c r="B29" i="23"/>
  <c r="G29" i="23"/>
  <c r="A173" i="23"/>
  <c r="B173" i="23"/>
  <c r="G173" i="23"/>
  <c r="A174" i="23"/>
  <c r="B174" i="23"/>
  <c r="G174" i="23"/>
  <c r="A175" i="23"/>
  <c r="B175" i="23"/>
  <c r="G175" i="23"/>
  <c r="A293" i="23"/>
  <c r="B293" i="23"/>
  <c r="G293" i="23"/>
  <c r="A294" i="23"/>
  <c r="B294" i="23"/>
  <c r="G294" i="23"/>
  <c r="A8" i="23"/>
  <c r="B8" i="23"/>
  <c r="G8" i="23"/>
  <c r="A9" i="23"/>
  <c r="B9" i="23"/>
  <c r="G9" i="23"/>
  <c r="A248" i="23"/>
  <c r="B248" i="23"/>
  <c r="G248" i="23"/>
  <c r="A250" i="23"/>
  <c r="B250" i="23"/>
  <c r="G250" i="23"/>
  <c r="A176" i="23"/>
  <c r="B176" i="23"/>
  <c r="G176" i="23"/>
  <c r="A178" i="23"/>
  <c r="B178" i="23"/>
  <c r="G178" i="23"/>
  <c r="A2" i="23"/>
  <c r="B2" i="23"/>
  <c r="G2" i="23"/>
  <c r="A3" i="23"/>
  <c r="B3" i="23"/>
  <c r="G3" i="23"/>
  <c r="A307" i="23"/>
  <c r="B307" i="23"/>
  <c r="G307" i="23"/>
  <c r="A42" i="23"/>
  <c r="B42" i="23"/>
  <c r="G42" i="23"/>
  <c r="A43" i="23"/>
  <c r="B43" i="23"/>
  <c r="G43" i="23"/>
  <c r="A44" i="23"/>
  <c r="B44" i="23"/>
  <c r="G44" i="23"/>
  <c r="A45" i="23"/>
  <c r="B45" i="23"/>
  <c r="G45" i="23"/>
  <c r="A46" i="23"/>
  <c r="B46" i="23"/>
  <c r="G46" i="23"/>
  <c r="A47" i="23"/>
  <c r="B47" i="23"/>
  <c r="G47" i="23"/>
  <c r="A48" i="23"/>
  <c r="B48" i="23"/>
  <c r="G48" i="23"/>
  <c r="A49" i="23"/>
  <c r="B49" i="23"/>
  <c r="G49" i="23"/>
  <c r="A323" i="23"/>
  <c r="B323" i="23"/>
  <c r="G323" i="23"/>
  <c r="A324" i="23"/>
  <c r="B324" i="23"/>
  <c r="G324" i="23"/>
  <c r="A22" i="23"/>
  <c r="B22" i="23"/>
  <c r="G22" i="23"/>
  <c r="A23" i="23"/>
  <c r="B23" i="23"/>
  <c r="G23" i="23"/>
  <c r="A24" i="23"/>
  <c r="B24" i="23"/>
  <c r="G24" i="23"/>
  <c r="A25" i="23"/>
  <c r="B25" i="23"/>
  <c r="G25" i="23"/>
  <c r="A26" i="23"/>
  <c r="B26" i="23"/>
  <c r="G26" i="23"/>
  <c r="A27" i="23"/>
  <c r="B27" i="23"/>
  <c r="G27" i="23"/>
  <c r="A40" i="23"/>
  <c r="B40" i="23"/>
  <c r="G40" i="23"/>
  <c r="B417" i="23"/>
  <c r="G417" i="23"/>
  <c r="A281" i="23"/>
  <c r="B281" i="23"/>
  <c r="G281" i="23"/>
  <c r="A282" i="23"/>
  <c r="B282" i="23"/>
  <c r="G282" i="23"/>
  <c r="A409" i="23"/>
  <c r="B409" i="23"/>
  <c r="G409" i="23"/>
  <c r="A410" i="23"/>
  <c r="B410" i="23"/>
  <c r="G410" i="23"/>
  <c r="A257" i="23"/>
  <c r="B257" i="23"/>
  <c r="G257" i="23"/>
  <c r="A258" i="23"/>
  <c r="B258" i="23"/>
  <c r="G258" i="23"/>
  <c r="A259" i="23"/>
  <c r="B259" i="23"/>
  <c r="G259" i="23"/>
  <c r="A393" i="23"/>
  <c r="B393" i="23"/>
  <c r="G393" i="23"/>
  <c r="A251" i="23"/>
  <c r="B251" i="23"/>
  <c r="G251" i="23"/>
  <c r="A253" i="23"/>
  <c r="B253" i="23"/>
  <c r="G253" i="23"/>
  <c r="A36" i="23"/>
  <c r="B36" i="23"/>
  <c r="G36" i="23"/>
  <c r="A62" i="23"/>
  <c r="B62" i="23"/>
  <c r="G62" i="23"/>
  <c r="A63" i="23"/>
  <c r="B63" i="23"/>
  <c r="G63" i="23"/>
  <c r="A156" i="23"/>
  <c r="B156" i="23"/>
  <c r="G156" i="23"/>
  <c r="A80" i="23"/>
  <c r="B80" i="23"/>
  <c r="G80" i="23"/>
  <c r="A81" i="23"/>
  <c r="B81" i="23"/>
  <c r="G81" i="23"/>
  <c r="A155" i="23"/>
  <c r="B155" i="23"/>
  <c r="G155" i="23"/>
  <c r="A6" i="23"/>
  <c r="B6" i="23"/>
  <c r="G6" i="23"/>
  <c r="A7" i="23"/>
  <c r="B7" i="23"/>
  <c r="G7" i="23"/>
  <c r="A31" i="23"/>
  <c r="B31" i="23"/>
  <c r="G31" i="23"/>
  <c r="A391" i="23"/>
  <c r="B391" i="23"/>
  <c r="G391" i="23"/>
  <c r="A82" i="23"/>
  <c r="B82" i="23"/>
  <c r="G82" i="23"/>
  <c r="A60" i="23"/>
  <c r="B60" i="23"/>
  <c r="G60" i="23"/>
  <c r="A325" i="23"/>
  <c r="B325" i="23"/>
  <c r="G325" i="23"/>
  <c r="A326" i="23"/>
  <c r="B326" i="23"/>
  <c r="G326" i="23"/>
  <c r="A289" i="23"/>
  <c r="B289" i="23"/>
  <c r="G289" i="23"/>
  <c r="A290" i="23"/>
  <c r="B290" i="23"/>
  <c r="G290" i="23"/>
  <c r="A369" i="23"/>
  <c r="B369" i="23"/>
  <c r="G369" i="23"/>
  <c r="A370" i="23"/>
  <c r="B370" i="23"/>
  <c r="G370" i="23"/>
  <c r="A361" i="23"/>
  <c r="B361" i="23"/>
  <c r="G361" i="23"/>
  <c r="A362" i="23"/>
  <c r="B362" i="23"/>
  <c r="G362" i="23"/>
  <c r="A363" i="23"/>
  <c r="B363" i="23"/>
  <c r="G363" i="23"/>
  <c r="A364" i="23"/>
  <c r="B364" i="23"/>
  <c r="G364" i="23"/>
  <c r="A398" i="23"/>
  <c r="B398" i="23"/>
  <c r="G398" i="23"/>
  <c r="A305" i="23"/>
  <c r="B305" i="23"/>
  <c r="G305" i="23"/>
  <c r="A396" i="23"/>
  <c r="B396" i="23"/>
  <c r="G396" i="23"/>
  <c r="A12" i="23"/>
  <c r="B12" i="23"/>
  <c r="G12" i="23"/>
  <c r="A13" i="23"/>
  <c r="B13" i="23"/>
  <c r="G13" i="23"/>
  <c r="A154" i="23"/>
  <c r="B154" i="23"/>
  <c r="G154" i="23"/>
  <c r="A153" i="23"/>
  <c r="B153" i="23"/>
  <c r="G153" i="23"/>
  <c r="A4" i="23"/>
  <c r="B4" i="23"/>
  <c r="G4" i="23"/>
  <c r="A5" i="23"/>
  <c r="B5" i="23"/>
  <c r="G5" i="23"/>
  <c r="A20" i="23"/>
  <c r="B20" i="23"/>
  <c r="G20" i="23"/>
  <c r="A21" i="23"/>
  <c r="B21" i="23"/>
  <c r="G21" i="23"/>
  <c r="A18" i="23"/>
  <c r="B18" i="23"/>
  <c r="G18" i="23"/>
  <c r="A19" i="23"/>
  <c r="B19" i="23"/>
  <c r="G19" i="23"/>
  <c r="A56" i="23"/>
  <c r="B56" i="23"/>
  <c r="G56" i="23"/>
  <c r="A66" i="23"/>
  <c r="B66" i="23"/>
  <c r="G66" i="23"/>
  <c r="A16" i="23"/>
  <c r="B16" i="23"/>
  <c r="G16" i="23"/>
  <c r="A17" i="23"/>
  <c r="B17" i="23"/>
  <c r="G17" i="23"/>
  <c r="A50" i="23"/>
  <c r="B50" i="23"/>
  <c r="G50" i="23"/>
  <c r="A127" i="23"/>
  <c r="B127" i="23"/>
  <c r="G127" i="23"/>
  <c r="A128" i="23"/>
  <c r="B128" i="23"/>
  <c r="G128" i="23"/>
  <c r="A191" i="23"/>
  <c r="B191" i="23"/>
  <c r="G191" i="23"/>
  <c r="A192" i="23"/>
  <c r="B192" i="23"/>
  <c r="G192" i="23"/>
  <c r="A193" i="23"/>
  <c r="B193" i="23"/>
  <c r="G193" i="23"/>
  <c r="A279" i="23"/>
  <c r="B279" i="23"/>
  <c r="G279" i="23"/>
  <c r="A129" i="23"/>
  <c r="B129" i="23"/>
  <c r="G129" i="23"/>
  <c r="A130" i="23"/>
  <c r="B130" i="23"/>
  <c r="G130" i="23"/>
  <c r="A161" i="23"/>
  <c r="B161" i="23"/>
  <c r="G161" i="23"/>
  <c r="A162" i="23"/>
  <c r="B162" i="23"/>
  <c r="G162" i="23"/>
  <c r="A194" i="23"/>
  <c r="B194" i="23"/>
  <c r="G194" i="23"/>
  <c r="A195" i="23"/>
  <c r="B195" i="23"/>
  <c r="G195" i="23"/>
  <c r="A196" i="23"/>
  <c r="B196" i="23"/>
  <c r="G196" i="23"/>
  <c r="A295" i="23"/>
  <c r="B295" i="23"/>
  <c r="G295" i="23"/>
  <c r="A131" i="23"/>
  <c r="B131" i="23"/>
  <c r="G131" i="23"/>
  <c r="A132" i="23"/>
  <c r="B132" i="23"/>
  <c r="G132" i="23"/>
  <c r="A200" i="23"/>
  <c r="B200" i="23"/>
  <c r="G200" i="23"/>
  <c r="A201" i="23"/>
  <c r="B201" i="23"/>
  <c r="G201" i="23"/>
  <c r="A202" i="23"/>
  <c r="B202" i="23"/>
  <c r="G202" i="23"/>
  <c r="A133" i="23"/>
  <c r="B133" i="23"/>
  <c r="G133" i="23"/>
  <c r="A134" i="23"/>
  <c r="B134" i="23"/>
  <c r="G134" i="23"/>
  <c r="A197" i="23"/>
  <c r="B197" i="23"/>
  <c r="G197" i="23"/>
  <c r="A198" i="23"/>
  <c r="B198" i="23"/>
  <c r="G198" i="23"/>
  <c r="A199" i="23"/>
  <c r="B199" i="23"/>
  <c r="G199" i="23"/>
  <c r="A273" i="23"/>
  <c r="B273" i="23"/>
  <c r="G273" i="23"/>
  <c r="A274" i="23"/>
  <c r="B274" i="23"/>
  <c r="G274" i="23"/>
  <c r="A224" i="23"/>
  <c r="B224" i="23"/>
  <c r="G224" i="23"/>
  <c r="A225" i="23"/>
  <c r="B225" i="23"/>
  <c r="G225" i="23"/>
  <c r="A226" i="23"/>
  <c r="B226" i="23"/>
  <c r="G226" i="23"/>
  <c r="A271" i="23"/>
  <c r="B271" i="23"/>
  <c r="G271" i="23"/>
  <c r="A272" i="23"/>
  <c r="B272" i="23"/>
  <c r="G272" i="23"/>
  <c r="A275" i="23"/>
  <c r="B275" i="23"/>
  <c r="G275" i="23"/>
  <c r="A276" i="23"/>
  <c r="B276" i="23"/>
  <c r="G276" i="23"/>
  <c r="A218" i="23"/>
  <c r="B218" i="23"/>
  <c r="G218" i="23"/>
  <c r="A219" i="23"/>
  <c r="B219" i="23"/>
  <c r="G219" i="23"/>
  <c r="A220" i="23"/>
  <c r="B220" i="23"/>
  <c r="G220" i="23"/>
  <c r="A260" i="23"/>
  <c r="B260" i="23"/>
  <c r="G260" i="23"/>
  <c r="A261" i="23"/>
  <c r="B261" i="23"/>
  <c r="G261" i="23"/>
  <c r="A262" i="23"/>
  <c r="B262" i="23"/>
  <c r="G262" i="23"/>
  <c r="A277" i="23"/>
  <c r="B277" i="23"/>
  <c r="G277" i="23"/>
  <c r="A278" i="23"/>
  <c r="B278" i="23"/>
  <c r="G278" i="23"/>
  <c r="A215" i="23"/>
  <c r="B215" i="23"/>
  <c r="G215" i="23"/>
  <c r="A216" i="23"/>
  <c r="B216" i="23"/>
  <c r="G216" i="23"/>
  <c r="A217" i="23"/>
  <c r="B217" i="23"/>
  <c r="G217" i="23"/>
  <c r="A245" i="23"/>
  <c r="B245" i="23"/>
  <c r="G245" i="23"/>
  <c r="A246" i="23"/>
  <c r="B246" i="23"/>
  <c r="G246" i="23"/>
  <c r="A247" i="23"/>
  <c r="B247" i="23"/>
  <c r="G247" i="23"/>
  <c r="A188" i="23"/>
  <c r="B188" i="23"/>
  <c r="G188" i="23"/>
  <c r="A189" i="23"/>
  <c r="B189" i="23"/>
  <c r="G189" i="23"/>
  <c r="A190" i="23"/>
  <c r="B190" i="23"/>
  <c r="G190" i="23"/>
  <c r="A179" i="23"/>
  <c r="B179" i="23"/>
  <c r="G179" i="23"/>
  <c r="A180" i="23"/>
  <c r="B180" i="23"/>
  <c r="G180" i="23"/>
  <c r="A181" i="23"/>
  <c r="B181" i="23"/>
  <c r="G181" i="23"/>
  <c r="A182" i="23"/>
  <c r="B182" i="23"/>
  <c r="G182" i="23"/>
  <c r="A183" i="23"/>
  <c r="B183" i="23"/>
  <c r="G183" i="23"/>
  <c r="A184" i="23"/>
  <c r="B184" i="23"/>
  <c r="G184" i="23"/>
  <c r="A185" i="23"/>
  <c r="B185" i="23"/>
  <c r="G185" i="23"/>
  <c r="A186" i="23"/>
  <c r="B186" i="23"/>
  <c r="G186" i="23"/>
  <c r="A187" i="23"/>
  <c r="B187" i="23"/>
  <c r="G187" i="23"/>
  <c r="A84" i="23"/>
  <c r="B84" i="23"/>
  <c r="G84" i="23"/>
  <c r="A146" i="23"/>
  <c r="B146" i="23"/>
  <c r="G146" i="23"/>
  <c r="A145" i="23"/>
  <c r="B145" i="23"/>
  <c r="G145" i="23"/>
  <c r="A285" i="23"/>
  <c r="B285" i="23"/>
  <c r="G285" i="23"/>
  <c r="A286" i="23"/>
  <c r="B286" i="23"/>
  <c r="G286" i="23"/>
  <c r="A89" i="23"/>
  <c r="B89" i="23"/>
  <c r="G89" i="23"/>
  <c r="A91" i="23"/>
  <c r="B91" i="23"/>
  <c r="G91" i="23"/>
  <c r="A72" i="23"/>
  <c r="B72" i="23"/>
  <c r="G72" i="23"/>
  <c r="A73" i="23"/>
  <c r="B73" i="23"/>
  <c r="G73" i="23"/>
  <c r="A164" i="23"/>
  <c r="B164" i="23"/>
  <c r="G164" i="23"/>
  <c r="A163" i="23"/>
  <c r="B163" i="23"/>
  <c r="G163" i="23"/>
  <c r="A86" i="23"/>
  <c r="B86" i="23"/>
  <c r="G86" i="23"/>
  <c r="A87" i="23"/>
  <c r="B87" i="23"/>
  <c r="G87" i="23"/>
  <c r="A88" i="23"/>
  <c r="B88" i="23"/>
  <c r="G88" i="23"/>
  <c r="A78" i="23"/>
  <c r="B78" i="23"/>
  <c r="G78" i="23"/>
  <c r="A79" i="23"/>
  <c r="B79" i="23"/>
  <c r="G79" i="23"/>
  <c r="A301" i="23"/>
  <c r="B301" i="23"/>
  <c r="G301" i="23"/>
  <c r="A151" i="23"/>
  <c r="B151" i="23"/>
  <c r="G151" i="23"/>
  <c r="A152" i="23"/>
  <c r="B152" i="23"/>
  <c r="G152" i="23"/>
  <c r="A291" i="23"/>
  <c r="B291" i="23"/>
  <c r="G291" i="23"/>
  <c r="A292" i="23"/>
  <c r="B292" i="23"/>
  <c r="G292" i="23"/>
  <c r="A165" i="23"/>
  <c r="B165" i="23"/>
  <c r="G165" i="23"/>
  <c r="A233" i="23"/>
  <c r="B233" i="23"/>
  <c r="G233" i="23"/>
  <c r="A254" i="23"/>
  <c r="B254" i="23"/>
  <c r="G254" i="23"/>
  <c r="A92" i="23"/>
  <c r="B92" i="23"/>
  <c r="G92" i="23"/>
  <c r="A283" i="23"/>
  <c r="B283" i="23"/>
  <c r="G283" i="23"/>
  <c r="A32" i="23"/>
  <c r="B32" i="23"/>
  <c r="G32" i="23"/>
  <c r="A157" i="23"/>
  <c r="B157" i="23"/>
  <c r="G157" i="23"/>
  <c r="A95" i="23"/>
  <c r="B95" i="23"/>
  <c r="G95" i="23"/>
  <c r="A147" i="23"/>
  <c r="B147" i="23"/>
  <c r="G147" i="23"/>
  <c r="A148" i="23"/>
  <c r="B148" i="23"/>
  <c r="G148" i="23"/>
  <c r="A239" i="23"/>
  <c r="B239" i="23"/>
  <c r="G239" i="23"/>
  <c r="A135" i="23"/>
  <c r="B135" i="23"/>
  <c r="G135" i="23"/>
  <c r="A137" i="23"/>
  <c r="B137" i="23"/>
  <c r="G137" i="23"/>
  <c r="A139" i="23"/>
  <c r="B139" i="23"/>
  <c r="G139" i="23"/>
  <c r="A269" i="23"/>
  <c r="B269" i="23"/>
  <c r="G269" i="23"/>
  <c r="A141" i="23"/>
  <c r="B141" i="23"/>
  <c r="G141" i="23"/>
  <c r="A327" i="23"/>
  <c r="B327" i="23"/>
  <c r="G327" i="23"/>
  <c r="A297" i="23"/>
  <c r="B297" i="23"/>
  <c r="G297" i="23"/>
  <c r="A365" i="23"/>
  <c r="B365" i="23"/>
  <c r="G365" i="23"/>
  <c r="A403" i="23"/>
  <c r="B403" i="23"/>
  <c r="G403" i="23"/>
  <c r="A401" i="23"/>
  <c r="B401" i="23"/>
  <c r="G401" i="23"/>
  <c r="A38" i="23"/>
  <c r="B38" i="23"/>
  <c r="G38" i="23"/>
  <c r="A39" i="23"/>
  <c r="B39" i="23"/>
  <c r="G39" i="23"/>
  <c r="A54" i="23"/>
  <c r="B54" i="23"/>
  <c r="G54" i="23"/>
  <c r="A143" i="23"/>
  <c r="B143" i="23"/>
  <c r="G143" i="23"/>
  <c r="A144" i="23"/>
  <c r="B144" i="23"/>
  <c r="G144" i="23"/>
  <c r="A384" i="23"/>
  <c r="B384" i="23"/>
  <c r="G384" i="23"/>
  <c r="A309" i="23"/>
  <c r="B309" i="23"/>
  <c r="G309" i="23"/>
  <c r="A404" i="23"/>
  <c r="B404" i="23"/>
  <c r="G404" i="23"/>
  <c r="A75" i="23"/>
  <c r="B75" i="23"/>
  <c r="G75" i="23"/>
  <c r="A317" i="23"/>
  <c r="B317" i="23"/>
  <c r="G317" i="23"/>
  <c r="A318" i="23"/>
  <c r="B318" i="23"/>
  <c r="G318" i="23"/>
  <c r="A367" i="23"/>
  <c r="B367" i="23"/>
  <c r="G367" i="23"/>
  <c r="A313" i="23"/>
  <c r="B313" i="23"/>
  <c r="G313" i="23"/>
  <c r="A265" i="23"/>
  <c r="B265" i="23"/>
  <c r="G265" i="23"/>
  <c r="A266" i="23"/>
  <c r="B266" i="23"/>
  <c r="G266" i="23"/>
  <c r="A299" i="23"/>
  <c r="B299" i="23"/>
  <c r="G299" i="23"/>
  <c r="A52" i="23"/>
  <c r="B52" i="23"/>
  <c r="G52" i="23"/>
  <c r="A170" i="23"/>
  <c r="B170" i="23"/>
  <c r="G170" i="23"/>
  <c r="A236" i="23"/>
  <c r="B236" i="23"/>
  <c r="G236" i="23"/>
  <c r="A263" i="23"/>
  <c r="B263" i="23"/>
  <c r="G263" i="23"/>
  <c r="A230" i="23"/>
  <c r="B230" i="23"/>
  <c r="G230" i="23"/>
  <c r="A231" i="23"/>
  <c r="B231" i="23"/>
  <c r="G231" i="23"/>
  <c r="A232" i="23"/>
  <c r="B232" i="23"/>
  <c r="G232" i="23"/>
  <c r="A321" i="23"/>
  <c r="B321" i="23"/>
  <c r="G321" i="23"/>
  <c r="A386" i="23"/>
  <c r="B386" i="23"/>
  <c r="G386" i="23"/>
  <c r="A267" i="23"/>
  <c r="B267" i="23"/>
  <c r="G267" i="23"/>
  <c r="A287" i="23"/>
  <c r="B287" i="23"/>
  <c r="G287" i="23"/>
  <c r="A381" i="23"/>
  <c r="B381" i="23"/>
  <c r="G381" i="23"/>
  <c r="A159" i="23"/>
  <c r="B159" i="23"/>
  <c r="G159" i="23"/>
  <c r="A160" i="23"/>
  <c r="B160" i="23"/>
  <c r="G160" i="23"/>
  <c r="A212" i="23"/>
  <c r="B212" i="23"/>
  <c r="G212" i="23"/>
  <c r="A213" i="23"/>
  <c r="B213" i="23"/>
  <c r="G213" i="23"/>
  <c r="A214" i="23"/>
  <c r="B214" i="23"/>
  <c r="G214" i="23"/>
  <c r="A221" i="23"/>
  <c r="B221" i="23"/>
  <c r="G221" i="23"/>
  <c r="A222" i="23"/>
  <c r="B222" i="23"/>
  <c r="G222" i="23"/>
  <c r="A223" i="23"/>
  <c r="B223" i="23"/>
  <c r="G223" i="23"/>
  <c r="A58" i="23"/>
  <c r="B58" i="23"/>
  <c r="G58" i="23"/>
  <c r="A59" i="23"/>
  <c r="B59" i="23"/>
  <c r="G59" i="23"/>
  <c r="A229" i="23"/>
  <c r="B229" i="23"/>
  <c r="G229" i="23"/>
  <c r="A227" i="23"/>
  <c r="B227" i="23"/>
  <c r="G227" i="23"/>
  <c r="A228" i="23"/>
  <c r="B228" i="23"/>
  <c r="G228" i="23"/>
  <c r="A303" i="23"/>
  <c r="B303" i="23"/>
  <c r="G303" i="23"/>
  <c r="A206" i="23"/>
  <c r="B206" i="23"/>
  <c r="G206" i="23"/>
  <c r="A208" i="23"/>
  <c r="B208" i="23"/>
  <c r="G208" i="23"/>
  <c r="A209" i="23"/>
  <c r="B209" i="23"/>
  <c r="G209" i="23"/>
  <c r="A211" i="23"/>
  <c r="B211" i="23"/>
  <c r="G211" i="23"/>
  <c r="A64" i="23"/>
  <c r="B64" i="23"/>
  <c r="G64" i="23"/>
  <c r="A65" i="23"/>
  <c r="B65" i="23"/>
  <c r="G65" i="23"/>
  <c r="A388" i="23"/>
  <c r="B388" i="23"/>
  <c r="G388" i="23"/>
  <c r="A203" i="23"/>
  <c r="B203" i="23"/>
  <c r="G203" i="23"/>
  <c r="A205" i="23"/>
  <c r="B205" i="23"/>
  <c r="G205" i="23"/>
  <c r="A242" i="23"/>
  <c r="B242" i="23"/>
  <c r="G242" i="23"/>
  <c r="A243" i="23"/>
  <c r="B243" i="23"/>
  <c r="G243" i="23"/>
  <c r="A244" i="23"/>
  <c r="B244" i="23"/>
  <c r="G244" i="23"/>
  <c r="A399" i="23"/>
  <c r="B399" i="23"/>
  <c r="G399" i="23"/>
  <c r="A406" i="23"/>
  <c r="B406" i="23"/>
  <c r="G406" i="23"/>
  <c r="A69" i="23"/>
  <c r="B69" i="23"/>
  <c r="G69" i="23"/>
  <c r="A70" i="23"/>
  <c r="B70" i="23"/>
  <c r="G70" i="23"/>
  <c r="A34" i="23"/>
  <c r="B34" i="23"/>
  <c r="G34" i="23"/>
  <c r="A35" i="23"/>
  <c r="B35" i="23"/>
  <c r="G35" i="23"/>
  <c r="A319" i="23"/>
  <c r="B319" i="23"/>
  <c r="G319" i="23"/>
  <c r="A320" i="23"/>
  <c r="B320" i="23"/>
  <c r="G320" i="23"/>
  <c r="A149" i="23"/>
  <c r="B149" i="23"/>
  <c r="G149" i="23"/>
  <c r="A150" i="23"/>
  <c r="B150" i="23"/>
  <c r="G150" i="23"/>
  <c r="A333" i="23"/>
  <c r="B333" i="23"/>
  <c r="G333" i="23"/>
  <c r="A334" i="23"/>
  <c r="B334" i="23"/>
  <c r="G334" i="23"/>
  <c r="A335" i="23"/>
  <c r="B335" i="23"/>
  <c r="G335" i="23"/>
  <c r="A336" i="23"/>
  <c r="B336" i="23"/>
  <c r="G336" i="23"/>
  <c r="A118" i="23"/>
  <c r="B118" i="23"/>
  <c r="G118" i="23"/>
  <c r="A119" i="23"/>
  <c r="B119" i="23"/>
  <c r="G119" i="23"/>
  <c r="A120" i="23"/>
  <c r="B120" i="23"/>
  <c r="G120" i="23"/>
  <c r="A121" i="23"/>
  <c r="B121" i="23"/>
  <c r="G121" i="23"/>
  <c r="A122" i="23"/>
  <c r="B122" i="23"/>
  <c r="G122" i="23"/>
  <c r="A123" i="23"/>
  <c r="B123" i="23"/>
  <c r="G123" i="23"/>
  <c r="A124" i="23"/>
  <c r="B124" i="23"/>
  <c r="G124" i="23"/>
  <c r="A125" i="23"/>
  <c r="B125" i="23"/>
  <c r="G125" i="23"/>
  <c r="A126" i="23"/>
  <c r="B126" i="23"/>
  <c r="G126" i="23"/>
  <c r="A102" i="23"/>
  <c r="B102" i="23"/>
  <c r="G102" i="23"/>
  <c r="A349" i="23"/>
  <c r="B349" i="23"/>
  <c r="G349" i="23"/>
  <c r="A408" i="23"/>
  <c r="G408" i="23"/>
  <c r="B408" i="23"/>
  <c r="A310" i="23"/>
  <c r="B310" i="23"/>
  <c r="G310" i="23"/>
  <c r="A328" i="23"/>
  <c r="B328" i="23"/>
  <c r="G328" i="23"/>
  <c r="A366" i="23"/>
  <c r="B366" i="23"/>
  <c r="G366" i="23"/>
  <c r="A296" i="23"/>
  <c r="B296" i="23"/>
  <c r="G296" i="23"/>
  <c r="A392" i="23"/>
  <c r="B392" i="23"/>
  <c r="G392" i="23"/>
  <c r="A158" i="23"/>
  <c r="B158" i="23"/>
  <c r="G158" i="23"/>
  <c r="A385" i="23"/>
  <c r="B385" i="23"/>
  <c r="G385" i="23"/>
  <c r="A395" i="23"/>
  <c r="B395" i="23"/>
  <c r="G395" i="23"/>
  <c r="A302" i="23"/>
  <c r="B302" i="23"/>
  <c r="G302" i="23"/>
  <c r="A41" i="23"/>
  <c r="B41" i="23"/>
  <c r="G41" i="23"/>
  <c r="A268" i="23"/>
  <c r="B268" i="23"/>
  <c r="G268" i="23"/>
  <c r="A390" i="23"/>
  <c r="B390" i="23"/>
  <c r="G390" i="23"/>
  <c r="A288" i="23"/>
  <c r="B288" i="23"/>
  <c r="G288" i="23"/>
  <c r="A322" i="23"/>
  <c r="B322" i="23"/>
  <c r="G322" i="23"/>
  <c r="A308" i="23"/>
  <c r="B308" i="23"/>
  <c r="G308" i="23"/>
  <c r="A172" i="23"/>
  <c r="B172" i="23"/>
  <c r="G172" i="23"/>
  <c r="A256" i="23"/>
  <c r="B256" i="23"/>
  <c r="G256" i="23"/>
  <c r="A94" i="23"/>
  <c r="B94" i="23"/>
  <c r="G94" i="23"/>
  <c r="A140" i="23"/>
  <c r="B140" i="23"/>
  <c r="G140" i="23"/>
  <c r="A235" i="23"/>
  <c r="B235" i="23"/>
  <c r="G235" i="23"/>
  <c r="A142" i="23"/>
  <c r="B142" i="23"/>
  <c r="G142" i="23"/>
  <c r="A166" i="23"/>
  <c r="B166" i="23"/>
  <c r="G166" i="23"/>
  <c r="A238" i="23"/>
  <c r="B238" i="23"/>
  <c r="G238" i="23"/>
  <c r="A368" i="23"/>
  <c r="B368" i="23"/>
  <c r="G368" i="23"/>
  <c r="A241" i="23"/>
  <c r="B241" i="23"/>
  <c r="G241" i="23"/>
  <c r="A136" i="23"/>
  <c r="B136" i="23"/>
  <c r="G136" i="23"/>
  <c r="A264" i="23"/>
  <c r="B264" i="23"/>
  <c r="G264" i="23"/>
  <c r="A300" i="23"/>
  <c r="B300" i="23"/>
  <c r="G300" i="23"/>
  <c r="A37" i="23"/>
  <c r="B37" i="23"/>
  <c r="G37" i="23"/>
  <c r="A138" i="23"/>
  <c r="B138" i="23"/>
  <c r="G138" i="23"/>
  <c r="A379" i="23"/>
  <c r="B379" i="23"/>
  <c r="G379" i="23"/>
  <c r="A387" i="23"/>
  <c r="B387" i="23"/>
  <c r="G387" i="23"/>
  <c r="A14" i="23"/>
  <c r="B14" i="23"/>
  <c r="G14" i="23"/>
  <c r="A15" i="23"/>
  <c r="B15" i="23"/>
  <c r="G15" i="23"/>
  <c r="A97" i="23"/>
  <c r="B97" i="23"/>
  <c r="G97" i="23"/>
  <c r="A270" i="23"/>
  <c r="B270" i="23"/>
  <c r="G270" i="23"/>
  <c r="A306" i="23"/>
  <c r="B306" i="23"/>
  <c r="G306" i="23"/>
  <c r="A33" i="23"/>
  <c r="B33" i="23"/>
  <c r="G33" i="23"/>
  <c r="A30" i="23"/>
  <c r="B30" i="23"/>
  <c r="G30" i="23"/>
  <c r="A83" i="23"/>
  <c r="B83" i="23"/>
  <c r="G83" i="23"/>
  <c r="A85" i="23"/>
  <c r="B85" i="23"/>
  <c r="G85" i="23"/>
  <c r="A51" i="23"/>
  <c r="B51" i="23"/>
  <c r="G51" i="23"/>
  <c r="A204" i="23"/>
  <c r="B204" i="23"/>
  <c r="G204" i="23"/>
  <c r="A207" i="23"/>
  <c r="B207" i="23"/>
  <c r="G207" i="23"/>
  <c r="A55" i="23"/>
  <c r="B55" i="23"/>
  <c r="G55" i="23"/>
  <c r="A210" i="23"/>
  <c r="B210" i="23"/>
  <c r="G210" i="23"/>
  <c r="A67" i="23"/>
  <c r="B67" i="23"/>
  <c r="G67" i="23"/>
  <c r="A68" i="23"/>
  <c r="B68" i="23"/>
  <c r="G68" i="23"/>
  <c r="A383" i="23"/>
  <c r="B383" i="23"/>
  <c r="G383" i="23"/>
  <c r="A280" i="23"/>
  <c r="B280" i="23"/>
  <c r="G280" i="23"/>
  <c r="A71" i="23"/>
  <c r="B71" i="23"/>
  <c r="G71" i="23"/>
  <c r="A284" i="23"/>
  <c r="B284" i="23"/>
  <c r="G284" i="23"/>
  <c r="A74" i="23"/>
  <c r="B74" i="23"/>
  <c r="G74" i="23"/>
  <c r="A400" i="23"/>
  <c r="B400" i="23"/>
  <c r="G400" i="23"/>
  <c r="A76" i="23"/>
  <c r="B76" i="23"/>
  <c r="G76" i="23"/>
  <c r="A77" i="23"/>
  <c r="B77" i="23"/>
  <c r="G77" i="23"/>
  <c r="A314" i="23"/>
  <c r="B314" i="23"/>
  <c r="G314" i="23"/>
  <c r="A53" i="23"/>
  <c r="B53" i="23"/>
  <c r="G53" i="23"/>
  <c r="A57" i="23"/>
  <c r="B57" i="23"/>
  <c r="G57" i="23"/>
  <c r="E226" i="33"/>
  <c r="F226" i="33"/>
  <c r="B226" i="33"/>
  <c r="E225" i="33"/>
  <c r="F225" i="33"/>
  <c r="B225" i="33"/>
  <c r="I349" i="23"/>
  <c r="K349" i="23"/>
  <c r="J349" i="23"/>
  <c r="E224" i="33"/>
  <c r="F224" i="33"/>
  <c r="B224" i="33"/>
  <c r="E223" i="33"/>
  <c r="E222" i="33"/>
  <c r="E221" i="33"/>
  <c r="E220" i="33"/>
  <c r="F220" i="33"/>
  <c r="F221" i="33"/>
  <c r="F222" i="33"/>
  <c r="F223" i="33"/>
  <c r="B220" i="33"/>
  <c r="B221" i="33"/>
  <c r="B222" i="33"/>
  <c r="B223" i="33"/>
  <c r="E219" i="33"/>
  <c r="F219" i="33"/>
  <c r="B219" i="33"/>
  <c r="E218" i="33"/>
  <c r="F218" i="33"/>
  <c r="B218" i="33"/>
  <c r="B24" i="52"/>
  <c r="E217" i="33"/>
  <c r="F217" i="33"/>
  <c r="E216" i="33"/>
  <c r="F216" i="33"/>
  <c r="B216" i="33"/>
  <c r="E215" i="33"/>
  <c r="F215" i="33"/>
  <c r="B215" i="33"/>
  <c r="E214" i="33"/>
  <c r="F214" i="33"/>
  <c r="B214" i="33"/>
  <c r="E213" i="33"/>
  <c r="F213" i="33"/>
  <c r="B213" i="33"/>
  <c r="B212" i="33"/>
  <c r="E212" i="33"/>
  <c r="F212" i="33"/>
  <c r="E211" i="33"/>
  <c r="F211" i="33"/>
  <c r="B211" i="33"/>
  <c r="AT435" i="23"/>
  <c r="AT436" i="23"/>
  <c r="AP435" i="23"/>
  <c r="AP436" i="23"/>
  <c r="AP437" i="23"/>
  <c r="H3" i="23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12" i="23"/>
  <c r="BR12" i="23"/>
  <c r="H13" i="23"/>
  <c r="BR13" i="23"/>
  <c r="H14" i="23"/>
  <c r="BR14" i="23"/>
  <c r="H15" i="23"/>
  <c r="BR15" i="23"/>
  <c r="H16" i="23"/>
  <c r="BR16" i="23"/>
  <c r="H17" i="23"/>
  <c r="BR17" i="23"/>
  <c r="H18" i="23"/>
  <c r="BR18" i="23"/>
  <c r="H19" i="23"/>
  <c r="BR19" i="23"/>
  <c r="H20" i="23"/>
  <c r="BR20" i="23"/>
  <c r="H21" i="23"/>
  <c r="BR21" i="23"/>
  <c r="H22" i="23"/>
  <c r="BR22" i="23"/>
  <c r="H23" i="23"/>
  <c r="BR23" i="23"/>
  <c r="H24" i="23"/>
  <c r="BR24" i="23"/>
  <c r="H25" i="23"/>
  <c r="BR25" i="23"/>
  <c r="H26" i="23"/>
  <c r="BR26" i="23"/>
  <c r="H27" i="23"/>
  <c r="BR27" i="23"/>
  <c r="H28" i="23"/>
  <c r="BR28" i="23"/>
  <c r="H29" i="23"/>
  <c r="BR29" i="23"/>
  <c r="H30" i="23"/>
  <c r="BR30" i="23"/>
  <c r="H31" i="23"/>
  <c r="BR31" i="23"/>
  <c r="H32" i="23"/>
  <c r="BR32" i="23"/>
  <c r="H33" i="23"/>
  <c r="BR33" i="23"/>
  <c r="H34" i="23"/>
  <c r="BR34" i="23"/>
  <c r="H35" i="23"/>
  <c r="BR35" i="23"/>
  <c r="H36" i="23"/>
  <c r="BR36" i="23"/>
  <c r="H37" i="23"/>
  <c r="BR37" i="23"/>
  <c r="H38" i="23"/>
  <c r="BR38" i="23"/>
  <c r="H39" i="23"/>
  <c r="BR39" i="23"/>
  <c r="H40" i="23"/>
  <c r="BR40" i="23"/>
  <c r="H41" i="23"/>
  <c r="BR41" i="23"/>
  <c r="H42" i="23"/>
  <c r="BR42" i="23"/>
  <c r="H43" i="23"/>
  <c r="BR43" i="23"/>
  <c r="H44" i="23"/>
  <c r="BR44" i="23"/>
  <c r="H45" i="23"/>
  <c r="BR45" i="23"/>
  <c r="H46" i="23"/>
  <c r="BR46" i="23"/>
  <c r="H47" i="23"/>
  <c r="BR47" i="23"/>
  <c r="H48" i="23"/>
  <c r="BR48" i="23"/>
  <c r="H49" i="23"/>
  <c r="BR49" i="23"/>
  <c r="H50" i="23"/>
  <c r="BR50" i="23"/>
  <c r="H51" i="23"/>
  <c r="BR51" i="23"/>
  <c r="H52" i="23"/>
  <c r="BR52" i="23"/>
  <c r="H53" i="23"/>
  <c r="BR53" i="23"/>
  <c r="H54" i="23"/>
  <c r="BR54" i="23"/>
  <c r="H55" i="23"/>
  <c r="BR55" i="23"/>
  <c r="H56" i="23"/>
  <c r="BR56" i="23"/>
  <c r="H57" i="23"/>
  <c r="BR57" i="23"/>
  <c r="H58" i="23"/>
  <c r="BR58" i="23"/>
  <c r="H59" i="23"/>
  <c r="BR59" i="23"/>
  <c r="H60" i="23"/>
  <c r="BR60" i="23"/>
  <c r="A61" i="23"/>
  <c r="H61" i="23"/>
  <c r="BR61" i="23"/>
  <c r="H62" i="23"/>
  <c r="BR62" i="23"/>
  <c r="H63" i="23"/>
  <c r="BR63" i="23"/>
  <c r="H64" i="23"/>
  <c r="BR64" i="23"/>
  <c r="H65" i="23"/>
  <c r="BR65" i="23"/>
  <c r="H66" i="23"/>
  <c r="BR66" i="23"/>
  <c r="H67" i="23"/>
  <c r="BR67" i="23"/>
  <c r="H68" i="23"/>
  <c r="BR68" i="23"/>
  <c r="H69" i="23"/>
  <c r="BR69" i="23"/>
  <c r="H70" i="23"/>
  <c r="BR70" i="23"/>
  <c r="H71" i="23"/>
  <c r="BR71" i="23"/>
  <c r="H72" i="23"/>
  <c r="BR72" i="23"/>
  <c r="H73" i="23"/>
  <c r="BR73" i="23"/>
  <c r="H74" i="23"/>
  <c r="BR74" i="23"/>
  <c r="H75" i="23"/>
  <c r="BR75" i="23"/>
  <c r="H76" i="23"/>
  <c r="BR76" i="23"/>
  <c r="H77" i="23"/>
  <c r="BR77" i="23"/>
  <c r="H78" i="23"/>
  <c r="BR78" i="23"/>
  <c r="H79" i="23"/>
  <c r="BR79" i="23"/>
  <c r="H80" i="23"/>
  <c r="BR80" i="23"/>
  <c r="H81" i="23"/>
  <c r="BR81" i="23"/>
  <c r="H82" i="23"/>
  <c r="BR82" i="23"/>
  <c r="H83" i="23"/>
  <c r="BR83" i="23"/>
  <c r="H84" i="23"/>
  <c r="BR84" i="23"/>
  <c r="H85" i="23"/>
  <c r="BR85" i="23"/>
  <c r="H86" i="23"/>
  <c r="BR86" i="23"/>
  <c r="H87" i="23"/>
  <c r="BR87" i="23"/>
  <c r="H88" i="23"/>
  <c r="BR88" i="23"/>
  <c r="H89" i="23"/>
  <c r="BR89" i="23"/>
  <c r="A90" i="23"/>
  <c r="H90" i="23"/>
  <c r="BR90" i="23"/>
  <c r="H91" i="23"/>
  <c r="BR91" i="23"/>
  <c r="H92" i="23"/>
  <c r="BR92" i="23"/>
  <c r="A93" i="23"/>
  <c r="H93" i="23"/>
  <c r="BR93" i="23"/>
  <c r="H94" i="23"/>
  <c r="BR94" i="23"/>
  <c r="H95" i="23"/>
  <c r="BR95" i="23"/>
  <c r="A96" i="23"/>
  <c r="H96" i="23"/>
  <c r="BR96" i="23"/>
  <c r="H97" i="23"/>
  <c r="BR97" i="23"/>
  <c r="H98" i="23"/>
  <c r="BR98" i="23"/>
  <c r="A99" i="23"/>
  <c r="H99" i="23"/>
  <c r="BR99" i="23"/>
  <c r="A100" i="23"/>
  <c r="H100" i="23"/>
  <c r="BR100" i="23"/>
  <c r="A101" i="23"/>
  <c r="H101" i="23"/>
  <c r="BR101" i="23"/>
  <c r="H102" i="23"/>
  <c r="BR102" i="23"/>
  <c r="A103" i="23"/>
  <c r="H103" i="23"/>
  <c r="BR103" i="23"/>
  <c r="A104" i="23"/>
  <c r="H104" i="23"/>
  <c r="BR104" i="23"/>
  <c r="A105" i="23"/>
  <c r="H105" i="23"/>
  <c r="BR105" i="23"/>
  <c r="A106" i="23"/>
  <c r="H106" i="23"/>
  <c r="BR106" i="23"/>
  <c r="A107" i="23"/>
  <c r="H107" i="23"/>
  <c r="BR107" i="23"/>
  <c r="A108" i="23"/>
  <c r="H108" i="23"/>
  <c r="BR108" i="23"/>
  <c r="A109" i="23"/>
  <c r="H109" i="23"/>
  <c r="BR109" i="23"/>
  <c r="A110" i="23"/>
  <c r="H110" i="23"/>
  <c r="BR110" i="23"/>
  <c r="A111" i="23"/>
  <c r="H111" i="23"/>
  <c r="BR111" i="23"/>
  <c r="A112" i="23"/>
  <c r="H112" i="23"/>
  <c r="BR112" i="23"/>
  <c r="A113" i="23"/>
  <c r="H113" i="23"/>
  <c r="BR113" i="23"/>
  <c r="A114" i="23"/>
  <c r="H114" i="23"/>
  <c r="BR114" i="23"/>
  <c r="A115" i="23"/>
  <c r="H115" i="23"/>
  <c r="BR115" i="23"/>
  <c r="A116" i="23"/>
  <c r="H116" i="23"/>
  <c r="BR116" i="23"/>
  <c r="A117" i="23"/>
  <c r="H117" i="23"/>
  <c r="BR117" i="23"/>
  <c r="H118" i="23"/>
  <c r="BR118" i="23"/>
  <c r="H119" i="23"/>
  <c r="BR119" i="23"/>
  <c r="H120" i="23"/>
  <c r="BR120" i="23"/>
  <c r="H121" i="23"/>
  <c r="BR121" i="23"/>
  <c r="H122" i="23"/>
  <c r="BR122" i="23"/>
  <c r="H123" i="23"/>
  <c r="BR123" i="23"/>
  <c r="H124" i="23"/>
  <c r="BR124" i="23"/>
  <c r="H125" i="23"/>
  <c r="BR125" i="23"/>
  <c r="H126" i="23"/>
  <c r="BR126" i="23"/>
  <c r="H127" i="23"/>
  <c r="BR127" i="23"/>
  <c r="H128" i="23"/>
  <c r="BR128" i="23"/>
  <c r="H129" i="23"/>
  <c r="BR129" i="23"/>
  <c r="H130" i="23"/>
  <c r="BR130" i="23"/>
  <c r="H131" i="23"/>
  <c r="BR131" i="23"/>
  <c r="H132" i="23"/>
  <c r="BR132" i="23"/>
  <c r="H133" i="23"/>
  <c r="BR133" i="23"/>
  <c r="H134" i="23"/>
  <c r="BR134" i="23"/>
  <c r="H135" i="23"/>
  <c r="BR135" i="23"/>
  <c r="H136" i="23"/>
  <c r="BR136" i="23"/>
  <c r="H137" i="23"/>
  <c r="BR137" i="23"/>
  <c r="H138" i="23"/>
  <c r="BR138" i="23"/>
  <c r="H139" i="23"/>
  <c r="BR139" i="23"/>
  <c r="H140" i="23"/>
  <c r="BR140" i="23"/>
  <c r="H141" i="23"/>
  <c r="BR141" i="23"/>
  <c r="H142" i="23"/>
  <c r="BR142" i="23"/>
  <c r="H143" i="23"/>
  <c r="BR143" i="23"/>
  <c r="H144" i="23"/>
  <c r="BR144" i="23"/>
  <c r="H145" i="23"/>
  <c r="BR145" i="23"/>
  <c r="H146" i="23"/>
  <c r="BR146" i="23"/>
  <c r="H147" i="23"/>
  <c r="BR147" i="23"/>
  <c r="H148" i="23"/>
  <c r="BR148" i="23"/>
  <c r="H149" i="23"/>
  <c r="BR149" i="23"/>
  <c r="H150" i="23"/>
  <c r="BR150" i="23"/>
  <c r="H151" i="23"/>
  <c r="BR151" i="23"/>
  <c r="H152" i="23"/>
  <c r="BR152" i="23"/>
  <c r="H153" i="23"/>
  <c r="BR153" i="23"/>
  <c r="H154" i="23"/>
  <c r="BR154" i="23"/>
  <c r="H155" i="23"/>
  <c r="BR155" i="23"/>
  <c r="H156" i="23"/>
  <c r="BR156" i="23"/>
  <c r="H157" i="23"/>
  <c r="BR157" i="23"/>
  <c r="H158" i="23"/>
  <c r="BR158" i="23"/>
  <c r="H159" i="23"/>
  <c r="BR159" i="23"/>
  <c r="H160" i="23"/>
  <c r="BR160" i="23"/>
  <c r="H161" i="23"/>
  <c r="BR161" i="23"/>
  <c r="H162" i="23"/>
  <c r="BR162" i="23"/>
  <c r="H163" i="23"/>
  <c r="BR163" i="23"/>
  <c r="H164" i="23"/>
  <c r="BR164" i="23"/>
  <c r="H165" i="23"/>
  <c r="BR165" i="23"/>
  <c r="H166" i="23"/>
  <c r="BR166" i="23"/>
  <c r="H167" i="23"/>
  <c r="H168" i="23"/>
  <c r="H169" i="23"/>
  <c r="H170" i="23"/>
  <c r="A171" i="23"/>
  <c r="H171" i="23"/>
  <c r="H172" i="23"/>
  <c r="H173" i="23"/>
  <c r="H174" i="23"/>
  <c r="H175" i="23"/>
  <c r="H176" i="23"/>
  <c r="BR176" i="23"/>
  <c r="A177" i="23"/>
  <c r="H177" i="23"/>
  <c r="BR177" i="23"/>
  <c r="H178" i="23"/>
  <c r="BR178" i="23"/>
  <c r="H179" i="23"/>
  <c r="BR179" i="23"/>
  <c r="H180" i="23"/>
  <c r="BR180" i="23"/>
  <c r="H181" i="23"/>
  <c r="BR181" i="23"/>
  <c r="H182" i="23"/>
  <c r="BR182" i="23"/>
  <c r="H183" i="23"/>
  <c r="BR183" i="23"/>
  <c r="H184" i="23"/>
  <c r="BR184" i="23"/>
  <c r="H185" i="23"/>
  <c r="BR185" i="23"/>
  <c r="H186" i="23"/>
  <c r="BR186" i="23"/>
  <c r="H187" i="23"/>
  <c r="BR187" i="23"/>
  <c r="H188" i="23"/>
  <c r="BR188" i="23"/>
  <c r="H189" i="23"/>
  <c r="BR189" i="23"/>
  <c r="H190" i="23"/>
  <c r="BR190" i="23"/>
  <c r="H191" i="23"/>
  <c r="BR191" i="23"/>
  <c r="H192" i="23"/>
  <c r="BR192" i="23"/>
  <c r="H193" i="23"/>
  <c r="BR193" i="23"/>
  <c r="H194" i="23"/>
  <c r="BR194" i="23"/>
  <c r="H195" i="23"/>
  <c r="BR195" i="23"/>
  <c r="H196" i="23"/>
  <c r="BR196" i="23"/>
  <c r="H197" i="23"/>
  <c r="BR197" i="23"/>
  <c r="H198" i="23"/>
  <c r="BR198" i="23"/>
  <c r="H199" i="23"/>
  <c r="BR199" i="23"/>
  <c r="H200" i="23"/>
  <c r="BR200" i="23"/>
  <c r="H201" i="23"/>
  <c r="BR201" i="23"/>
  <c r="H202" i="23"/>
  <c r="BR202" i="23"/>
  <c r="H203" i="23"/>
  <c r="H204" i="23"/>
  <c r="H205" i="23"/>
  <c r="H206" i="23"/>
  <c r="H207" i="23"/>
  <c r="H208" i="23"/>
  <c r="H209" i="23"/>
  <c r="H210" i="23"/>
  <c r="H211" i="23"/>
  <c r="H212" i="23"/>
  <c r="H213" i="23"/>
  <c r="H214" i="23"/>
  <c r="H215" i="23"/>
  <c r="BR215" i="23"/>
  <c r="H216" i="23"/>
  <c r="BR216" i="23"/>
  <c r="H217" i="23"/>
  <c r="BR217" i="23"/>
  <c r="H218" i="23"/>
  <c r="BR218" i="23"/>
  <c r="H219" i="23"/>
  <c r="BR219" i="23"/>
  <c r="H220" i="23"/>
  <c r="BR220" i="23"/>
  <c r="H221" i="23"/>
  <c r="BR221" i="23"/>
  <c r="H222" i="23"/>
  <c r="BR222" i="23"/>
  <c r="H223" i="23"/>
  <c r="BR223" i="23"/>
  <c r="H224" i="23"/>
  <c r="BR224" i="23"/>
  <c r="H225" i="23"/>
  <c r="BR225" i="23"/>
  <c r="H226" i="23"/>
  <c r="BR226" i="23"/>
  <c r="H227" i="23"/>
  <c r="BR227" i="23"/>
  <c r="H228" i="23"/>
  <c r="BR228" i="23"/>
  <c r="H229" i="23"/>
  <c r="BR229" i="23"/>
  <c r="H230" i="23"/>
  <c r="BR230" i="23"/>
  <c r="H231" i="23"/>
  <c r="BR231" i="23"/>
  <c r="H232" i="23"/>
  <c r="BR232" i="23"/>
  <c r="H233" i="23"/>
  <c r="BR233" i="23"/>
  <c r="A234" i="23"/>
  <c r="H234" i="23"/>
  <c r="BR234" i="23"/>
  <c r="H235" i="23"/>
  <c r="BR235" i="23"/>
  <c r="H236" i="23"/>
  <c r="BR236" i="23"/>
  <c r="A237" i="23"/>
  <c r="H237" i="23"/>
  <c r="BR237" i="23"/>
  <c r="H238" i="23"/>
  <c r="BR238" i="23"/>
  <c r="H239" i="23"/>
  <c r="BR239" i="23"/>
  <c r="A240" i="23"/>
  <c r="H240" i="23"/>
  <c r="BR240" i="23"/>
  <c r="H241" i="23"/>
  <c r="BR241" i="23"/>
  <c r="H242" i="23"/>
  <c r="BR242" i="23"/>
  <c r="H243" i="23"/>
  <c r="BR243" i="23"/>
  <c r="H244" i="23"/>
  <c r="BR244" i="23"/>
  <c r="H245" i="23"/>
  <c r="BR245" i="23"/>
  <c r="H246" i="23"/>
  <c r="BR246" i="23"/>
  <c r="H247" i="23"/>
  <c r="BR247" i="23"/>
  <c r="H248" i="23"/>
  <c r="BR248" i="23"/>
  <c r="A249" i="23"/>
  <c r="H249" i="23"/>
  <c r="BR249" i="23"/>
  <c r="H250" i="23"/>
  <c r="BR250" i="23"/>
  <c r="H251" i="23"/>
  <c r="BR251" i="23"/>
  <c r="A252" i="23"/>
  <c r="H252" i="23"/>
  <c r="BR252" i="23"/>
  <c r="H253" i="23"/>
  <c r="BR253" i="23"/>
  <c r="H254" i="23"/>
  <c r="BR254" i="23"/>
  <c r="A255" i="23"/>
  <c r="H255" i="23"/>
  <c r="BR255" i="23"/>
  <c r="H256" i="23"/>
  <c r="BR256" i="23"/>
  <c r="H257" i="23"/>
  <c r="BR257" i="23"/>
  <c r="H258" i="23"/>
  <c r="BR258" i="23"/>
  <c r="H259" i="23"/>
  <c r="BR259" i="23"/>
  <c r="H260" i="23"/>
  <c r="BR260" i="23"/>
  <c r="H261" i="23"/>
  <c r="BR261" i="23"/>
  <c r="H262" i="23"/>
  <c r="BR262" i="23"/>
  <c r="H263" i="23"/>
  <c r="BR263" i="23"/>
  <c r="H264" i="23"/>
  <c r="BR264" i="23"/>
  <c r="H265" i="23"/>
  <c r="BR265" i="23"/>
  <c r="H266" i="23"/>
  <c r="BR266" i="23"/>
  <c r="H267" i="23"/>
  <c r="BR267" i="23"/>
  <c r="H268" i="23"/>
  <c r="BR268" i="23"/>
  <c r="H269" i="23"/>
  <c r="BR269" i="23"/>
  <c r="H270" i="23"/>
  <c r="BR270" i="23"/>
  <c r="H271" i="23"/>
  <c r="BR271" i="23"/>
  <c r="H272" i="23"/>
  <c r="BR272" i="23"/>
  <c r="H273" i="23"/>
  <c r="BR273" i="23"/>
  <c r="H274" i="23"/>
  <c r="BR274" i="23"/>
  <c r="H275" i="23"/>
  <c r="BR275" i="23"/>
  <c r="H276" i="23"/>
  <c r="BR276" i="23"/>
  <c r="H277" i="23"/>
  <c r="BR277" i="23"/>
  <c r="H278" i="23"/>
  <c r="BR278" i="23"/>
  <c r="H279" i="23"/>
  <c r="BR279" i="23"/>
  <c r="H280" i="23"/>
  <c r="BR280" i="23"/>
  <c r="H281" i="23"/>
  <c r="BR281" i="23"/>
  <c r="H282" i="23"/>
  <c r="BR282" i="23"/>
  <c r="H283" i="23"/>
  <c r="BR283" i="23"/>
  <c r="H284" i="23"/>
  <c r="BR284" i="23"/>
  <c r="H285" i="23"/>
  <c r="BR285" i="23"/>
  <c r="H286" i="23"/>
  <c r="BR286" i="23"/>
  <c r="H287" i="23"/>
  <c r="BR287" i="23"/>
  <c r="H288" i="23"/>
  <c r="BR288" i="23"/>
  <c r="H289" i="23"/>
  <c r="BR289" i="23"/>
  <c r="H290" i="23"/>
  <c r="BR290" i="23"/>
  <c r="H291" i="23"/>
  <c r="BR291" i="23"/>
  <c r="H292" i="23"/>
  <c r="BR292" i="23"/>
  <c r="H293" i="23"/>
  <c r="BR293" i="23"/>
  <c r="H294" i="23"/>
  <c r="BR294" i="23"/>
  <c r="H295" i="23"/>
  <c r="BR295" i="23"/>
  <c r="H296" i="23"/>
  <c r="BR296" i="23"/>
  <c r="H297" i="23"/>
  <c r="BR297" i="23"/>
  <c r="A298" i="23"/>
  <c r="H298" i="23"/>
  <c r="BR298" i="23"/>
  <c r="H299" i="23"/>
  <c r="BR299" i="23"/>
  <c r="H300" i="23"/>
  <c r="BR300" i="23"/>
  <c r="H301" i="23"/>
  <c r="BR301" i="23"/>
  <c r="H302" i="23"/>
  <c r="BR302" i="23"/>
  <c r="H303" i="23"/>
  <c r="BR303" i="23"/>
  <c r="A304" i="23"/>
  <c r="H304" i="23"/>
  <c r="BR304" i="23"/>
  <c r="H305" i="23"/>
  <c r="BR305" i="23"/>
  <c r="H306" i="23"/>
  <c r="BR306" i="23"/>
  <c r="H307" i="23"/>
  <c r="BR307" i="23"/>
  <c r="H308" i="23"/>
  <c r="BR308" i="23"/>
  <c r="H309" i="23"/>
  <c r="BR309" i="23"/>
  <c r="H310" i="23"/>
  <c r="BR310" i="23"/>
  <c r="H311" i="23"/>
  <c r="BR311" i="23"/>
  <c r="A312" i="23"/>
  <c r="H312" i="23"/>
  <c r="BR312" i="23"/>
  <c r="H313" i="23"/>
  <c r="BR313" i="23"/>
  <c r="H314" i="23"/>
  <c r="BR314" i="23"/>
  <c r="H315" i="23"/>
  <c r="BR315" i="23"/>
  <c r="A316" i="23"/>
  <c r="H316" i="23"/>
  <c r="BR316" i="23"/>
  <c r="H317" i="23"/>
  <c r="BR317" i="23"/>
  <c r="H318" i="23"/>
  <c r="BR318" i="23"/>
  <c r="H319" i="23"/>
  <c r="BR319" i="23"/>
  <c r="H320" i="23"/>
  <c r="BR320" i="23"/>
  <c r="H321" i="23"/>
  <c r="BR321" i="23"/>
  <c r="H322" i="23"/>
  <c r="BR322" i="23"/>
  <c r="H323" i="23"/>
  <c r="BR323" i="23"/>
  <c r="H324" i="23"/>
  <c r="BR324" i="23"/>
  <c r="H325" i="23"/>
  <c r="BR325" i="23"/>
  <c r="H326" i="23"/>
  <c r="BR326" i="23"/>
  <c r="H327" i="23"/>
  <c r="BR327" i="23"/>
  <c r="H328" i="23"/>
  <c r="BR328" i="23"/>
  <c r="H329" i="23"/>
  <c r="BR329" i="23"/>
  <c r="A330" i="23"/>
  <c r="H330" i="23"/>
  <c r="BR330" i="23"/>
  <c r="A331" i="23"/>
  <c r="H331" i="23"/>
  <c r="BR331" i="23"/>
  <c r="A332" i="23"/>
  <c r="H332" i="23"/>
  <c r="BR332" i="23"/>
  <c r="H333" i="23"/>
  <c r="BR333" i="23"/>
  <c r="H334" i="23"/>
  <c r="BR334" i="23"/>
  <c r="H335" i="23"/>
  <c r="BR335" i="23"/>
  <c r="H336" i="23"/>
  <c r="BR336" i="23"/>
  <c r="A337" i="23"/>
  <c r="H337" i="23"/>
  <c r="BR337" i="23"/>
  <c r="A338" i="23"/>
  <c r="H338" i="23"/>
  <c r="BR338" i="23"/>
  <c r="A339" i="23"/>
  <c r="H339" i="23"/>
  <c r="BR339" i="23"/>
  <c r="A340" i="23"/>
  <c r="H340" i="23"/>
  <c r="BR340" i="23"/>
  <c r="A341" i="23"/>
  <c r="H341" i="23"/>
  <c r="BR341" i="23"/>
  <c r="A342" i="23"/>
  <c r="H342" i="23"/>
  <c r="BR342" i="23"/>
  <c r="A343" i="23"/>
  <c r="H343" i="23"/>
  <c r="BR343" i="23"/>
  <c r="A344" i="23"/>
  <c r="H344" i="23"/>
  <c r="BR344" i="23"/>
  <c r="A345" i="23"/>
  <c r="H345" i="23"/>
  <c r="BR345" i="23"/>
  <c r="A346" i="23"/>
  <c r="H346" i="23"/>
  <c r="BR346" i="23"/>
  <c r="A347" i="23"/>
  <c r="H347" i="23"/>
  <c r="BR347" i="23"/>
  <c r="A348" i="23"/>
  <c r="H348" i="23"/>
  <c r="BR348" i="23"/>
  <c r="H349" i="23"/>
  <c r="BR349" i="23"/>
  <c r="A350" i="23"/>
  <c r="H350" i="23"/>
  <c r="BR350" i="23"/>
  <c r="A351" i="23"/>
  <c r="H351" i="23"/>
  <c r="BR351" i="23"/>
  <c r="A352" i="23"/>
  <c r="H352" i="23"/>
  <c r="BR352" i="23"/>
  <c r="A353" i="23"/>
  <c r="H353" i="23"/>
  <c r="BR353" i="23"/>
  <c r="A354" i="23"/>
  <c r="H354" i="23"/>
  <c r="BR354" i="23"/>
  <c r="A355" i="23"/>
  <c r="H355" i="23"/>
  <c r="BR355" i="23"/>
  <c r="A356" i="23"/>
  <c r="H356" i="23"/>
  <c r="BR356" i="23"/>
  <c r="A357" i="23"/>
  <c r="H357" i="23"/>
  <c r="BR357" i="23"/>
  <c r="A358" i="23"/>
  <c r="H358" i="23"/>
  <c r="BR358" i="23"/>
  <c r="A359" i="23"/>
  <c r="H359" i="23"/>
  <c r="BR359" i="23"/>
  <c r="A360" i="23"/>
  <c r="H360" i="23"/>
  <c r="BR360" i="23"/>
  <c r="H361" i="23"/>
  <c r="BR361" i="23"/>
  <c r="H362" i="23"/>
  <c r="BR362" i="23"/>
  <c r="H363" i="23"/>
  <c r="BR363" i="23"/>
  <c r="H364" i="23"/>
  <c r="BR364" i="23"/>
  <c r="H365" i="23"/>
  <c r="BR365" i="23"/>
  <c r="H366" i="23"/>
  <c r="BR366" i="23"/>
  <c r="H367" i="23"/>
  <c r="BR367" i="23"/>
  <c r="H368" i="23"/>
  <c r="BR368" i="23"/>
  <c r="H369" i="23"/>
  <c r="BR369" i="23"/>
  <c r="H370" i="23"/>
  <c r="BR370" i="23"/>
  <c r="H371" i="23"/>
  <c r="BR371" i="23"/>
  <c r="H372" i="23"/>
  <c r="BR372" i="23"/>
  <c r="H373" i="23"/>
  <c r="BR373" i="23"/>
  <c r="H374" i="23"/>
  <c r="BR374" i="23"/>
  <c r="H375" i="23"/>
  <c r="BR375" i="23"/>
  <c r="H376" i="23"/>
  <c r="BR376" i="23"/>
  <c r="H377" i="23"/>
  <c r="BR377" i="23"/>
  <c r="A378" i="23"/>
  <c r="H378" i="23"/>
  <c r="BR378" i="23"/>
  <c r="H379" i="23"/>
  <c r="BR379" i="23"/>
  <c r="A380" i="23"/>
  <c r="H380" i="23"/>
  <c r="BR380" i="23"/>
  <c r="H381" i="23"/>
  <c r="BR381" i="23"/>
  <c r="A382" i="23"/>
  <c r="H382" i="23"/>
  <c r="BR382" i="23"/>
  <c r="H383" i="23"/>
  <c r="BR383" i="23"/>
  <c r="H384" i="23"/>
  <c r="BR384" i="23"/>
  <c r="H385" i="23"/>
  <c r="BR385" i="23"/>
  <c r="H386" i="23"/>
  <c r="BR386" i="23"/>
  <c r="H387" i="23"/>
  <c r="BR387" i="23"/>
  <c r="H388" i="23"/>
  <c r="BR388" i="23"/>
  <c r="A389" i="23"/>
  <c r="H389" i="23"/>
  <c r="BR389" i="23"/>
  <c r="H390" i="23"/>
  <c r="BR390" i="23"/>
  <c r="H391" i="23"/>
  <c r="BR391" i="23"/>
  <c r="H392" i="23"/>
  <c r="BR392" i="23"/>
  <c r="H393" i="23"/>
  <c r="BR393" i="23"/>
  <c r="A394" i="23"/>
  <c r="H394" i="23"/>
  <c r="BR394" i="23"/>
  <c r="H395" i="23"/>
  <c r="BR395" i="23"/>
  <c r="H396" i="23"/>
  <c r="BR396" i="23"/>
  <c r="A397" i="23"/>
  <c r="H397" i="23"/>
  <c r="BR397" i="23"/>
  <c r="H398" i="23"/>
  <c r="BR398" i="23"/>
  <c r="H399" i="23"/>
  <c r="BR399" i="23"/>
  <c r="H400" i="23"/>
  <c r="BR400" i="23"/>
  <c r="H401" i="23"/>
  <c r="BR401" i="23"/>
  <c r="A402" i="23"/>
  <c r="H402" i="23"/>
  <c r="BR402" i="23"/>
  <c r="H403" i="23"/>
  <c r="BR403" i="23"/>
  <c r="H404" i="23"/>
  <c r="BR404" i="23"/>
  <c r="A405" i="23"/>
  <c r="H405" i="23"/>
  <c r="BR405" i="23"/>
  <c r="H406" i="23"/>
  <c r="BR406" i="23"/>
  <c r="A407" i="23"/>
  <c r="H407" i="23"/>
  <c r="BR407" i="23"/>
  <c r="H408" i="23"/>
  <c r="BR408" i="23"/>
  <c r="H409" i="23"/>
  <c r="BR409" i="23"/>
  <c r="H410" i="23"/>
  <c r="BR410" i="23"/>
  <c r="H411" i="23"/>
  <c r="BR411" i="23"/>
  <c r="H412" i="23"/>
  <c r="BR412" i="23"/>
  <c r="H413" i="23"/>
  <c r="BR413" i="23"/>
  <c r="H414" i="23"/>
  <c r="BR414" i="23"/>
  <c r="H415" i="23"/>
  <c r="BR415" i="23"/>
  <c r="H416" i="23"/>
  <c r="BR416" i="23"/>
  <c r="H417" i="23"/>
  <c r="BR417" i="23"/>
  <c r="H418" i="23"/>
  <c r="BR418" i="23"/>
  <c r="H419" i="23"/>
  <c r="BR419" i="23"/>
  <c r="H420" i="23"/>
  <c r="BR420" i="23"/>
  <c r="H421" i="23"/>
  <c r="BR421" i="23"/>
  <c r="H422" i="23"/>
  <c r="BR422" i="23"/>
  <c r="H423" i="23"/>
  <c r="BR423" i="23"/>
  <c r="H424" i="23"/>
  <c r="BR424" i="23"/>
  <c r="H425" i="23"/>
  <c r="BR425" i="23"/>
  <c r="H426" i="23"/>
  <c r="BR426" i="23"/>
  <c r="H427" i="23"/>
  <c r="BR427" i="23"/>
  <c r="H428" i="23"/>
  <c r="BR428" i="23"/>
  <c r="H429" i="23"/>
  <c r="BR429" i="23"/>
  <c r="H430" i="23"/>
  <c r="BR430" i="23"/>
  <c r="H431" i="23"/>
  <c r="BR431" i="23"/>
  <c r="H432" i="23"/>
  <c r="BR432" i="23"/>
  <c r="H433" i="23"/>
  <c r="BR433" i="23"/>
  <c r="H434" i="23"/>
  <c r="BR434" i="23"/>
  <c r="H435" i="23"/>
  <c r="BR435" i="23"/>
  <c r="H436" i="23"/>
  <c r="BR436" i="23"/>
  <c r="H437" i="23"/>
  <c r="BR437" i="23"/>
  <c r="H438" i="23"/>
  <c r="BR438" i="23"/>
  <c r="H2" i="23"/>
  <c r="BR2" i="23"/>
  <c r="B61" i="23"/>
  <c r="B90" i="23"/>
  <c r="B93" i="23"/>
  <c r="B96" i="23"/>
  <c r="B99" i="23"/>
  <c r="B100" i="23"/>
  <c r="B101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71" i="23"/>
  <c r="B177" i="23"/>
  <c r="B234" i="23"/>
  <c r="B237" i="23"/>
  <c r="B240" i="23"/>
  <c r="B249" i="23"/>
  <c r="B252" i="23"/>
  <c r="B255" i="23"/>
  <c r="B298" i="23"/>
  <c r="B304" i="23"/>
  <c r="B312" i="23"/>
  <c r="B316" i="23"/>
  <c r="B330" i="23"/>
  <c r="B331" i="23"/>
  <c r="B332" i="23"/>
  <c r="B337" i="23"/>
  <c r="B338" i="23"/>
  <c r="B339" i="23"/>
  <c r="B340" i="23"/>
  <c r="B341" i="23"/>
  <c r="B342" i="23"/>
  <c r="B343" i="23"/>
  <c r="B344" i="23"/>
  <c r="B345" i="23"/>
  <c r="B346" i="23"/>
  <c r="B347" i="23"/>
  <c r="B348" i="23"/>
  <c r="B350" i="23"/>
  <c r="B351" i="23"/>
  <c r="B352" i="23"/>
  <c r="B353" i="23"/>
  <c r="B354" i="23"/>
  <c r="B355" i="23"/>
  <c r="B356" i="23"/>
  <c r="B357" i="23"/>
  <c r="B358" i="23"/>
  <c r="B359" i="23"/>
  <c r="B360" i="23"/>
  <c r="B371" i="23"/>
  <c r="B372" i="23"/>
  <c r="B373" i="23"/>
  <c r="B374" i="23"/>
  <c r="B375" i="23"/>
  <c r="B376" i="23"/>
  <c r="B378" i="23"/>
  <c r="B380" i="23"/>
  <c r="B382" i="23"/>
  <c r="B389" i="23"/>
  <c r="B394" i="23"/>
  <c r="B397" i="23"/>
  <c r="B402" i="23"/>
  <c r="B405" i="23"/>
  <c r="B407" i="23"/>
  <c r="B414" i="23"/>
  <c r="B418" i="23"/>
  <c r="B420" i="23"/>
  <c r="B424" i="23"/>
  <c r="B426" i="23"/>
  <c r="B429" i="23"/>
  <c r="B433" i="23"/>
  <c r="B435" i="23"/>
  <c r="B436" i="23"/>
  <c r="B437" i="23"/>
  <c r="B438" i="23"/>
  <c r="G540" i="3"/>
  <c r="E540" i="3"/>
  <c r="G346" i="23"/>
  <c r="D540" i="3"/>
  <c r="C540" i="3"/>
  <c r="A540" i="3"/>
  <c r="G539" i="3"/>
  <c r="E539" i="3"/>
  <c r="G342" i="23"/>
  <c r="D539" i="3"/>
  <c r="C539" i="3"/>
  <c r="A539" i="3"/>
  <c r="G538" i="3"/>
  <c r="E538" i="3"/>
  <c r="G338" i="23"/>
  <c r="D538" i="3"/>
  <c r="C538" i="3"/>
  <c r="A538" i="3"/>
  <c r="G537" i="3"/>
  <c r="E537" i="3"/>
  <c r="D537" i="3"/>
  <c r="C537" i="3"/>
  <c r="A537" i="3"/>
  <c r="G536" i="3"/>
  <c r="E536" i="3"/>
  <c r="G345" i="23"/>
  <c r="D536" i="3"/>
  <c r="C536" i="3"/>
  <c r="A536" i="3"/>
  <c r="G535" i="3"/>
  <c r="E535" i="3"/>
  <c r="G341" i="23"/>
  <c r="D535" i="3"/>
  <c r="C535" i="3"/>
  <c r="A535" i="3"/>
  <c r="G534" i="3"/>
  <c r="E534" i="3"/>
  <c r="G337" i="23"/>
  <c r="D534" i="3"/>
  <c r="C534" i="3"/>
  <c r="A534" i="3"/>
  <c r="G533" i="3"/>
  <c r="E533" i="3"/>
  <c r="D533" i="3"/>
  <c r="C533" i="3"/>
  <c r="A533" i="3"/>
  <c r="B17" i="52"/>
  <c r="B16" i="52"/>
  <c r="B15" i="52"/>
  <c r="B14" i="52"/>
  <c r="B35" i="33"/>
  <c r="G435" i="23"/>
  <c r="G375" i="23"/>
  <c r="E210" i="33"/>
  <c r="F210" i="33"/>
  <c r="B210" i="33"/>
  <c r="E209" i="33"/>
  <c r="F209" i="33"/>
  <c r="B209" i="33"/>
  <c r="B208" i="33"/>
  <c r="E208" i="33"/>
  <c r="F208" i="33"/>
  <c r="E207" i="33"/>
  <c r="F207" i="33"/>
  <c r="B207" i="33"/>
  <c r="E206" i="33"/>
  <c r="F206" i="33"/>
  <c r="B206" i="33"/>
  <c r="E205" i="33"/>
  <c r="F205" i="33"/>
  <c r="E204" i="33"/>
  <c r="F204" i="33"/>
  <c r="B205" i="33"/>
  <c r="B204" i="33"/>
  <c r="E203" i="33"/>
  <c r="F203" i="33"/>
  <c r="B203" i="33"/>
  <c r="E202" i="33"/>
  <c r="F202" i="33"/>
  <c r="B202" i="33"/>
  <c r="E201" i="33"/>
  <c r="F201" i="33"/>
  <c r="B201" i="33"/>
  <c r="E200" i="33"/>
  <c r="F200" i="33"/>
  <c r="B200" i="33"/>
  <c r="E199" i="33"/>
  <c r="F199" i="33"/>
  <c r="B199" i="33"/>
  <c r="E198" i="33"/>
  <c r="F198" i="33"/>
  <c r="B198" i="33"/>
  <c r="E196" i="33"/>
  <c r="F196" i="33"/>
  <c r="B196" i="33"/>
  <c r="E197" i="33"/>
  <c r="F197" i="33"/>
  <c r="B197" i="33"/>
  <c r="E143" i="33"/>
  <c r="F143" i="33"/>
  <c r="E142" i="33"/>
  <c r="E139" i="33"/>
  <c r="E138" i="33"/>
  <c r="B195" i="33"/>
  <c r="B194" i="33"/>
  <c r="E195" i="33"/>
  <c r="F195" i="33"/>
  <c r="E194" i="33"/>
  <c r="F194" i="33"/>
  <c r="E190" i="33"/>
  <c r="F190" i="33"/>
  <c r="E191" i="33"/>
  <c r="F191" i="33"/>
  <c r="E192" i="33"/>
  <c r="F192" i="33"/>
  <c r="E193" i="33"/>
  <c r="F193" i="33"/>
  <c r="B193" i="33"/>
  <c r="B192" i="33"/>
  <c r="B191" i="33"/>
  <c r="B190" i="33"/>
  <c r="E189" i="33"/>
  <c r="F189" i="33"/>
  <c r="B189" i="33"/>
  <c r="E188" i="33"/>
  <c r="F188" i="33"/>
  <c r="B188" i="33"/>
  <c r="E187" i="33"/>
  <c r="F187" i="33"/>
  <c r="B187" i="33"/>
  <c r="E186" i="33"/>
  <c r="F186" i="33"/>
  <c r="B186" i="33"/>
  <c r="E185" i="33"/>
  <c r="F185" i="33"/>
  <c r="E184" i="33"/>
  <c r="F184" i="33"/>
  <c r="B184" i="33"/>
  <c r="B185" i="33"/>
  <c r="E183" i="33"/>
  <c r="F183" i="33"/>
  <c r="E182" i="33"/>
  <c r="F182" i="33"/>
  <c r="B183" i="33"/>
  <c r="B182" i="33"/>
  <c r="E171" i="33"/>
  <c r="E118" i="33"/>
  <c r="F118" i="33"/>
  <c r="E179" i="33"/>
  <c r="F179" i="33"/>
  <c r="E181" i="33"/>
  <c r="F181" i="33"/>
  <c r="B181" i="33"/>
  <c r="E180" i="33"/>
  <c r="F180" i="33"/>
  <c r="B180" i="33"/>
  <c r="B179" i="33"/>
  <c r="E178" i="33"/>
  <c r="F178" i="33"/>
  <c r="B178" i="33"/>
  <c r="B177" i="33"/>
  <c r="B176" i="33"/>
  <c r="B175" i="33"/>
  <c r="B174" i="33"/>
  <c r="E177" i="33"/>
  <c r="F177" i="33"/>
  <c r="E176" i="33"/>
  <c r="F176" i="33"/>
  <c r="E175" i="33"/>
  <c r="F175" i="33"/>
  <c r="E174" i="33"/>
  <c r="F174" i="33"/>
  <c r="E173" i="33"/>
  <c r="F173" i="33"/>
  <c r="B173" i="33"/>
  <c r="E172" i="33"/>
  <c r="F172" i="33"/>
  <c r="B172" i="33"/>
  <c r="F171" i="33"/>
  <c r="B171" i="33"/>
  <c r="E170" i="33"/>
  <c r="F170" i="33"/>
  <c r="B170" i="33"/>
  <c r="E169" i="33"/>
  <c r="F169" i="33"/>
  <c r="E168" i="33"/>
  <c r="F168" i="33"/>
  <c r="B169" i="33"/>
  <c r="B168" i="33"/>
  <c r="E167" i="33"/>
  <c r="F167" i="33"/>
  <c r="E166" i="33"/>
  <c r="F166" i="33"/>
  <c r="B166" i="33"/>
  <c r="B167" i="33"/>
  <c r="E160" i="33"/>
  <c r="F160" i="33"/>
  <c r="E161" i="33"/>
  <c r="F161" i="33"/>
  <c r="B160" i="33"/>
  <c r="B161" i="33"/>
  <c r="E59" i="33"/>
  <c r="E165" i="33"/>
  <c r="F165" i="33"/>
  <c r="E164" i="33"/>
  <c r="F164" i="33"/>
  <c r="E163" i="33"/>
  <c r="F163" i="33"/>
  <c r="E162" i="33"/>
  <c r="F162" i="33"/>
  <c r="B165" i="33"/>
  <c r="B164" i="33"/>
  <c r="B163" i="33"/>
  <c r="B162" i="33"/>
  <c r="AF422" i="23"/>
  <c r="AQ2" i="23"/>
  <c r="AR2" i="23"/>
  <c r="AU2" i="23"/>
  <c r="AV2" i="23"/>
  <c r="BE2" i="23"/>
  <c r="BC2" i="23"/>
  <c r="BD2" i="23"/>
  <c r="Q2" i="23"/>
  <c r="S2" i="23"/>
  <c r="W2" i="23"/>
  <c r="AA2" i="23"/>
  <c r="I2" i="23"/>
  <c r="J2" i="23"/>
  <c r="BK2" i="23"/>
  <c r="BG2" i="23"/>
  <c r="T2" i="23"/>
  <c r="AB2" i="23"/>
  <c r="K2" i="23"/>
  <c r="BL2" i="23"/>
  <c r="BH2" i="23"/>
  <c r="U2" i="23"/>
  <c r="AC2" i="23"/>
  <c r="L2" i="23"/>
  <c r="BM2" i="23"/>
  <c r="BI2" i="23"/>
  <c r="V2" i="23"/>
  <c r="AD2" i="23"/>
  <c r="M2" i="23"/>
  <c r="BN2" i="23"/>
  <c r="BJ2" i="23"/>
  <c r="AQ3" i="23"/>
  <c r="AR3" i="23"/>
  <c r="AU3" i="23"/>
  <c r="AV3" i="23"/>
  <c r="BE3" i="23"/>
  <c r="Q3" i="23"/>
  <c r="S3" i="23"/>
  <c r="W3" i="23"/>
  <c r="AA3" i="23"/>
  <c r="I3" i="23"/>
  <c r="J3" i="23"/>
  <c r="BC3" i="23"/>
  <c r="BD3" i="23"/>
  <c r="BK3" i="23"/>
  <c r="BG3" i="23"/>
  <c r="T3" i="23"/>
  <c r="AB3" i="23"/>
  <c r="K3" i="23"/>
  <c r="BL3" i="23"/>
  <c r="BH3" i="23"/>
  <c r="U3" i="23"/>
  <c r="AC3" i="23"/>
  <c r="L3" i="23"/>
  <c r="BM3" i="23"/>
  <c r="BI3" i="23"/>
  <c r="V3" i="23"/>
  <c r="AD3" i="23"/>
  <c r="M3" i="23"/>
  <c r="BN3" i="23"/>
  <c r="BJ3" i="23"/>
  <c r="AQ4" i="23"/>
  <c r="AR4" i="23"/>
  <c r="AU4" i="23"/>
  <c r="AV4" i="23"/>
  <c r="BE4" i="23"/>
  <c r="BC4" i="23"/>
  <c r="BD4" i="23"/>
  <c r="Q4" i="23"/>
  <c r="S4" i="23"/>
  <c r="W4" i="23"/>
  <c r="AA4" i="23"/>
  <c r="I4" i="23"/>
  <c r="J4" i="23"/>
  <c r="BK4" i="23"/>
  <c r="BG4" i="23"/>
  <c r="T4" i="23"/>
  <c r="AB4" i="23"/>
  <c r="K4" i="23"/>
  <c r="BL4" i="23"/>
  <c r="BH4" i="23"/>
  <c r="U4" i="23"/>
  <c r="AC4" i="23"/>
  <c r="L4" i="23"/>
  <c r="BM4" i="23"/>
  <c r="BI4" i="23"/>
  <c r="V4" i="23"/>
  <c r="AD4" i="23"/>
  <c r="M4" i="23"/>
  <c r="BN4" i="23"/>
  <c r="BJ4" i="23"/>
  <c r="AQ5" i="23"/>
  <c r="AR5" i="23"/>
  <c r="AU5" i="23"/>
  <c r="AV5" i="23"/>
  <c r="BE5" i="23"/>
  <c r="Q5" i="23"/>
  <c r="S5" i="23"/>
  <c r="W5" i="23"/>
  <c r="AA5" i="23"/>
  <c r="I5" i="23"/>
  <c r="J5" i="23"/>
  <c r="BC5" i="23"/>
  <c r="BD5" i="23"/>
  <c r="BK5" i="23"/>
  <c r="BG5" i="23"/>
  <c r="T5" i="23"/>
  <c r="AB5" i="23"/>
  <c r="K5" i="23"/>
  <c r="BL5" i="23"/>
  <c r="BH5" i="23"/>
  <c r="U5" i="23"/>
  <c r="AC5" i="23"/>
  <c r="L5" i="23"/>
  <c r="BM5" i="23"/>
  <c r="BI5" i="23"/>
  <c r="V5" i="23"/>
  <c r="AD5" i="23"/>
  <c r="M5" i="23"/>
  <c r="BN5" i="23"/>
  <c r="BJ5" i="23"/>
  <c r="AQ6" i="23"/>
  <c r="AR6" i="23"/>
  <c r="AU6" i="23"/>
  <c r="AV6" i="23"/>
  <c r="BE6" i="23"/>
  <c r="BC6" i="23"/>
  <c r="BD6" i="23"/>
  <c r="Q6" i="23"/>
  <c r="S6" i="23"/>
  <c r="W6" i="23"/>
  <c r="AA6" i="23"/>
  <c r="I6" i="23"/>
  <c r="J6" i="23"/>
  <c r="BK6" i="23"/>
  <c r="BG6" i="23"/>
  <c r="T6" i="23"/>
  <c r="AB6" i="23"/>
  <c r="K6" i="23"/>
  <c r="BL6" i="23"/>
  <c r="BH6" i="23"/>
  <c r="U6" i="23"/>
  <c r="AC6" i="23"/>
  <c r="L6" i="23"/>
  <c r="BM6" i="23"/>
  <c r="BI6" i="23"/>
  <c r="V6" i="23"/>
  <c r="AD6" i="23"/>
  <c r="M6" i="23"/>
  <c r="BN6" i="23"/>
  <c r="BJ6" i="23"/>
  <c r="AQ7" i="23"/>
  <c r="AR7" i="23"/>
  <c r="AU7" i="23"/>
  <c r="AV7" i="23"/>
  <c r="BE7" i="23"/>
  <c r="Q7" i="23"/>
  <c r="S7" i="23"/>
  <c r="W7" i="23"/>
  <c r="AA7" i="23"/>
  <c r="I7" i="23"/>
  <c r="J7" i="23"/>
  <c r="BC7" i="23"/>
  <c r="BD7" i="23"/>
  <c r="BK7" i="23"/>
  <c r="BG7" i="23"/>
  <c r="T7" i="23"/>
  <c r="AB7" i="23"/>
  <c r="K7" i="23"/>
  <c r="BL7" i="23"/>
  <c r="BH7" i="23"/>
  <c r="U7" i="23"/>
  <c r="AC7" i="23"/>
  <c r="L7" i="23"/>
  <c r="BM7" i="23"/>
  <c r="BI7" i="23"/>
  <c r="V7" i="23"/>
  <c r="AD7" i="23"/>
  <c r="M7" i="23"/>
  <c r="BN7" i="23"/>
  <c r="BJ7" i="23"/>
  <c r="AQ8" i="23"/>
  <c r="AR8" i="23"/>
  <c r="AU8" i="23"/>
  <c r="AV8" i="23"/>
  <c r="BE8" i="23"/>
  <c r="BC8" i="23"/>
  <c r="BD8" i="23"/>
  <c r="Q8" i="23"/>
  <c r="S8" i="23"/>
  <c r="W8" i="23"/>
  <c r="AA8" i="23"/>
  <c r="I8" i="23"/>
  <c r="J8" i="23"/>
  <c r="BK8" i="23"/>
  <c r="BG8" i="23"/>
  <c r="T8" i="23"/>
  <c r="AB8" i="23"/>
  <c r="K8" i="23"/>
  <c r="BL8" i="23"/>
  <c r="BH8" i="23"/>
  <c r="U8" i="23"/>
  <c r="AC8" i="23"/>
  <c r="L8" i="23"/>
  <c r="BM8" i="23"/>
  <c r="BI8" i="23"/>
  <c r="V8" i="23"/>
  <c r="AD8" i="23"/>
  <c r="M8" i="23"/>
  <c r="BN8" i="23"/>
  <c r="BJ8" i="23"/>
  <c r="AQ9" i="23"/>
  <c r="AR9" i="23"/>
  <c r="AU9" i="23"/>
  <c r="AV9" i="23"/>
  <c r="BE9" i="23"/>
  <c r="Q9" i="23"/>
  <c r="S9" i="23"/>
  <c r="W9" i="23"/>
  <c r="AA9" i="23"/>
  <c r="I9" i="23"/>
  <c r="J9" i="23"/>
  <c r="BC9" i="23"/>
  <c r="BD9" i="23"/>
  <c r="BK9" i="23"/>
  <c r="BG9" i="23"/>
  <c r="T9" i="23"/>
  <c r="AB9" i="23"/>
  <c r="K9" i="23"/>
  <c r="BL9" i="23"/>
  <c r="BH9" i="23"/>
  <c r="U9" i="23"/>
  <c r="AC9" i="23"/>
  <c r="L9" i="23"/>
  <c r="BM9" i="23"/>
  <c r="BI9" i="23"/>
  <c r="V9" i="23"/>
  <c r="AD9" i="23"/>
  <c r="M9" i="23"/>
  <c r="BN9" i="23"/>
  <c r="BJ9" i="23"/>
  <c r="AQ10" i="23"/>
  <c r="AR10" i="23"/>
  <c r="AU10" i="23"/>
  <c r="AV10" i="23"/>
  <c r="BE10" i="23"/>
  <c r="BC10" i="23"/>
  <c r="BD10" i="23"/>
  <c r="Q10" i="23"/>
  <c r="S10" i="23"/>
  <c r="W10" i="23"/>
  <c r="AA10" i="23"/>
  <c r="I10" i="23"/>
  <c r="J10" i="23"/>
  <c r="BK10" i="23"/>
  <c r="BG10" i="23"/>
  <c r="T10" i="23"/>
  <c r="AB10" i="23"/>
  <c r="K10" i="23"/>
  <c r="BL10" i="23"/>
  <c r="BH10" i="23"/>
  <c r="U10" i="23"/>
  <c r="AC10" i="23"/>
  <c r="L10" i="23"/>
  <c r="BM10" i="23"/>
  <c r="BI10" i="23"/>
  <c r="V10" i="23"/>
  <c r="AD10" i="23"/>
  <c r="M10" i="23"/>
  <c r="BN10" i="23"/>
  <c r="BJ10" i="23"/>
  <c r="AQ11" i="23"/>
  <c r="AR11" i="23"/>
  <c r="AU11" i="23"/>
  <c r="AV11" i="23"/>
  <c r="BE11" i="23"/>
  <c r="Q11" i="23"/>
  <c r="S11" i="23"/>
  <c r="W11" i="23"/>
  <c r="AA11" i="23"/>
  <c r="I11" i="23"/>
  <c r="J11" i="23"/>
  <c r="BC11" i="23"/>
  <c r="BD11" i="23"/>
  <c r="BK11" i="23"/>
  <c r="BG11" i="23"/>
  <c r="T11" i="23"/>
  <c r="AB11" i="23"/>
  <c r="K11" i="23"/>
  <c r="BL11" i="23"/>
  <c r="BH11" i="23"/>
  <c r="U11" i="23"/>
  <c r="AC11" i="23"/>
  <c r="L11" i="23"/>
  <c r="BM11" i="23"/>
  <c r="BI11" i="23"/>
  <c r="V11" i="23"/>
  <c r="AD11" i="23"/>
  <c r="M11" i="23"/>
  <c r="BN11" i="23"/>
  <c r="BJ11" i="23"/>
  <c r="AQ12" i="23"/>
  <c r="AR12" i="23"/>
  <c r="AU12" i="23"/>
  <c r="AV12" i="23"/>
  <c r="BE12" i="23"/>
  <c r="BC12" i="23"/>
  <c r="BD12" i="23"/>
  <c r="Q12" i="23"/>
  <c r="S12" i="23"/>
  <c r="W12" i="23"/>
  <c r="AA12" i="23"/>
  <c r="I12" i="23"/>
  <c r="J12" i="23"/>
  <c r="BK12" i="23"/>
  <c r="BG12" i="23"/>
  <c r="T12" i="23"/>
  <c r="AB12" i="23"/>
  <c r="K12" i="23"/>
  <c r="BL12" i="23"/>
  <c r="BH12" i="23"/>
  <c r="U12" i="23"/>
  <c r="AC12" i="23"/>
  <c r="L12" i="23"/>
  <c r="BM12" i="23"/>
  <c r="BI12" i="23"/>
  <c r="V12" i="23"/>
  <c r="AD12" i="23"/>
  <c r="M12" i="23"/>
  <c r="BN12" i="23"/>
  <c r="BJ12" i="23"/>
  <c r="AQ13" i="23"/>
  <c r="AR13" i="23"/>
  <c r="AU13" i="23"/>
  <c r="AV13" i="23"/>
  <c r="BE13" i="23"/>
  <c r="Q13" i="23"/>
  <c r="S13" i="23"/>
  <c r="W13" i="23"/>
  <c r="AA13" i="23"/>
  <c r="I13" i="23"/>
  <c r="J13" i="23"/>
  <c r="BC13" i="23"/>
  <c r="BD13" i="23"/>
  <c r="BK13" i="23"/>
  <c r="BG13" i="23"/>
  <c r="T13" i="23"/>
  <c r="AB13" i="23"/>
  <c r="K13" i="23"/>
  <c r="BL13" i="23"/>
  <c r="BH13" i="23"/>
  <c r="U13" i="23"/>
  <c r="AC13" i="23"/>
  <c r="L13" i="23"/>
  <c r="BM13" i="23"/>
  <c r="BI13" i="23"/>
  <c r="V13" i="23"/>
  <c r="AD13" i="23"/>
  <c r="M13" i="23"/>
  <c r="BN13" i="23"/>
  <c r="BJ13" i="23"/>
  <c r="AQ14" i="23"/>
  <c r="AR14" i="23"/>
  <c r="AU14" i="23"/>
  <c r="AV14" i="23"/>
  <c r="BE14" i="23"/>
  <c r="BC14" i="23"/>
  <c r="BD14" i="23"/>
  <c r="Q14" i="23"/>
  <c r="S14" i="23"/>
  <c r="W14" i="23"/>
  <c r="AA14" i="23"/>
  <c r="I14" i="23"/>
  <c r="J14" i="23"/>
  <c r="BK14" i="23"/>
  <c r="BG14" i="23"/>
  <c r="T14" i="23"/>
  <c r="AB14" i="23"/>
  <c r="K14" i="23"/>
  <c r="BL14" i="23"/>
  <c r="BH14" i="23"/>
  <c r="U14" i="23"/>
  <c r="AC14" i="23"/>
  <c r="L14" i="23"/>
  <c r="BM14" i="23"/>
  <c r="BI14" i="23"/>
  <c r="V14" i="23"/>
  <c r="AD14" i="23"/>
  <c r="M14" i="23"/>
  <c r="BN14" i="23"/>
  <c r="BJ14" i="23"/>
  <c r="AQ15" i="23"/>
  <c r="AR15" i="23"/>
  <c r="AU15" i="23"/>
  <c r="AV15" i="23"/>
  <c r="BE15" i="23"/>
  <c r="Q15" i="23"/>
  <c r="S15" i="23"/>
  <c r="W15" i="23"/>
  <c r="AA15" i="23"/>
  <c r="I15" i="23"/>
  <c r="J15" i="23"/>
  <c r="BC15" i="23"/>
  <c r="BD15" i="23"/>
  <c r="BK15" i="23"/>
  <c r="BG15" i="23"/>
  <c r="T15" i="23"/>
  <c r="AB15" i="23"/>
  <c r="K15" i="23"/>
  <c r="BL15" i="23"/>
  <c r="BH15" i="23"/>
  <c r="U15" i="23"/>
  <c r="AC15" i="23"/>
  <c r="L15" i="23"/>
  <c r="BM15" i="23"/>
  <c r="BI15" i="23"/>
  <c r="V15" i="23"/>
  <c r="AD15" i="23"/>
  <c r="M15" i="23"/>
  <c r="BN15" i="23"/>
  <c r="BJ15" i="23"/>
  <c r="AQ16" i="23"/>
  <c r="AR16" i="23"/>
  <c r="AU16" i="23"/>
  <c r="AV16" i="23"/>
  <c r="BE16" i="23"/>
  <c r="BC16" i="23"/>
  <c r="BD16" i="23"/>
  <c r="Q16" i="23"/>
  <c r="S16" i="23"/>
  <c r="W16" i="23"/>
  <c r="AA16" i="23"/>
  <c r="I16" i="23"/>
  <c r="J16" i="23"/>
  <c r="BK16" i="23"/>
  <c r="BG16" i="23"/>
  <c r="T16" i="23"/>
  <c r="AB16" i="23"/>
  <c r="K16" i="23"/>
  <c r="BL16" i="23"/>
  <c r="BH16" i="23"/>
  <c r="U16" i="23"/>
  <c r="AC16" i="23"/>
  <c r="L16" i="23"/>
  <c r="BM16" i="23"/>
  <c r="BI16" i="23"/>
  <c r="V16" i="23"/>
  <c r="AD16" i="23"/>
  <c r="M16" i="23"/>
  <c r="BN16" i="23"/>
  <c r="BJ16" i="23"/>
  <c r="AQ17" i="23"/>
  <c r="AR17" i="23"/>
  <c r="AU17" i="23"/>
  <c r="AV17" i="23"/>
  <c r="BE17" i="23"/>
  <c r="Q17" i="23"/>
  <c r="S17" i="23"/>
  <c r="W17" i="23"/>
  <c r="AA17" i="23"/>
  <c r="I17" i="23"/>
  <c r="J17" i="23"/>
  <c r="BC17" i="23"/>
  <c r="BD17" i="23"/>
  <c r="BK17" i="23"/>
  <c r="BG17" i="23"/>
  <c r="T17" i="23"/>
  <c r="AB17" i="23"/>
  <c r="K17" i="23"/>
  <c r="BL17" i="23"/>
  <c r="BH17" i="23"/>
  <c r="U17" i="23"/>
  <c r="AC17" i="23"/>
  <c r="L17" i="23"/>
  <c r="BM17" i="23"/>
  <c r="BI17" i="23"/>
  <c r="V17" i="23"/>
  <c r="AD17" i="23"/>
  <c r="M17" i="23"/>
  <c r="BN17" i="23"/>
  <c r="BJ17" i="23"/>
  <c r="AQ18" i="23"/>
  <c r="AR18" i="23"/>
  <c r="AU18" i="23"/>
  <c r="AV18" i="23"/>
  <c r="BE18" i="23"/>
  <c r="BC18" i="23"/>
  <c r="BD18" i="23"/>
  <c r="Q18" i="23"/>
  <c r="S18" i="23"/>
  <c r="W18" i="23"/>
  <c r="AA18" i="23"/>
  <c r="I18" i="23"/>
  <c r="J18" i="23"/>
  <c r="BK18" i="23"/>
  <c r="BG18" i="23"/>
  <c r="T18" i="23"/>
  <c r="AB18" i="23"/>
  <c r="K18" i="23"/>
  <c r="BL18" i="23"/>
  <c r="BH18" i="23"/>
  <c r="U18" i="23"/>
  <c r="AC18" i="23"/>
  <c r="L18" i="23"/>
  <c r="BM18" i="23"/>
  <c r="BI18" i="23"/>
  <c r="V18" i="23"/>
  <c r="AD18" i="23"/>
  <c r="M18" i="23"/>
  <c r="BN18" i="23"/>
  <c r="BJ18" i="23"/>
  <c r="AQ19" i="23"/>
  <c r="AR19" i="23"/>
  <c r="AU19" i="23"/>
  <c r="AV19" i="23"/>
  <c r="BE19" i="23"/>
  <c r="Q19" i="23"/>
  <c r="S19" i="23"/>
  <c r="W19" i="23"/>
  <c r="AA19" i="23"/>
  <c r="I19" i="23"/>
  <c r="J19" i="23"/>
  <c r="BC19" i="23"/>
  <c r="BD19" i="23"/>
  <c r="BK19" i="23"/>
  <c r="BG19" i="23"/>
  <c r="T19" i="23"/>
  <c r="AB19" i="23"/>
  <c r="K19" i="23"/>
  <c r="BL19" i="23"/>
  <c r="BH19" i="23"/>
  <c r="U19" i="23"/>
  <c r="AC19" i="23"/>
  <c r="L19" i="23"/>
  <c r="BM19" i="23"/>
  <c r="BI19" i="23"/>
  <c r="V19" i="23"/>
  <c r="AD19" i="23"/>
  <c r="M19" i="23"/>
  <c r="BN19" i="23"/>
  <c r="BJ19" i="23"/>
  <c r="AQ20" i="23"/>
  <c r="AR20" i="23"/>
  <c r="AU20" i="23"/>
  <c r="AV20" i="23"/>
  <c r="BE20" i="23"/>
  <c r="BC20" i="23"/>
  <c r="BD20" i="23"/>
  <c r="Q20" i="23"/>
  <c r="S20" i="23"/>
  <c r="W20" i="23"/>
  <c r="AA20" i="23"/>
  <c r="I20" i="23"/>
  <c r="J20" i="23"/>
  <c r="BK20" i="23"/>
  <c r="BG20" i="23"/>
  <c r="T20" i="23"/>
  <c r="AB20" i="23"/>
  <c r="K20" i="23"/>
  <c r="BL20" i="23"/>
  <c r="BH20" i="23"/>
  <c r="U20" i="23"/>
  <c r="AC20" i="23"/>
  <c r="L20" i="23"/>
  <c r="BM20" i="23"/>
  <c r="BI20" i="23"/>
  <c r="V20" i="23"/>
  <c r="AD20" i="23"/>
  <c r="M20" i="23"/>
  <c r="BN20" i="23"/>
  <c r="BJ20" i="23"/>
  <c r="AQ21" i="23"/>
  <c r="AR21" i="23"/>
  <c r="AU21" i="23"/>
  <c r="AV21" i="23"/>
  <c r="BE21" i="23"/>
  <c r="Q21" i="23"/>
  <c r="S21" i="23"/>
  <c r="W21" i="23"/>
  <c r="AA21" i="23"/>
  <c r="I21" i="23"/>
  <c r="J21" i="23"/>
  <c r="BC21" i="23"/>
  <c r="BD21" i="23"/>
  <c r="BK21" i="23"/>
  <c r="BG21" i="23"/>
  <c r="T21" i="23"/>
  <c r="AB21" i="23"/>
  <c r="K21" i="23"/>
  <c r="BL21" i="23"/>
  <c r="BH21" i="23"/>
  <c r="U21" i="23"/>
  <c r="AC21" i="23"/>
  <c r="L21" i="23"/>
  <c r="BM21" i="23"/>
  <c r="BI21" i="23"/>
  <c r="V21" i="23"/>
  <c r="AD21" i="23"/>
  <c r="M21" i="23"/>
  <c r="BN21" i="23"/>
  <c r="BJ21" i="23"/>
  <c r="AQ22" i="23"/>
  <c r="AR22" i="23"/>
  <c r="AU22" i="23"/>
  <c r="AV22" i="23"/>
  <c r="BE22" i="23"/>
  <c r="BC22" i="23"/>
  <c r="BD22" i="23"/>
  <c r="Q22" i="23"/>
  <c r="S22" i="23"/>
  <c r="W22" i="23"/>
  <c r="AA22" i="23"/>
  <c r="I22" i="23"/>
  <c r="J22" i="23"/>
  <c r="BK22" i="23"/>
  <c r="BG22" i="23"/>
  <c r="T22" i="23"/>
  <c r="AB22" i="23"/>
  <c r="K22" i="23"/>
  <c r="BL22" i="23"/>
  <c r="BH22" i="23"/>
  <c r="U22" i="23"/>
  <c r="AC22" i="23"/>
  <c r="L22" i="23"/>
  <c r="BM22" i="23"/>
  <c r="BI22" i="23"/>
  <c r="V22" i="23"/>
  <c r="AD22" i="23"/>
  <c r="M22" i="23"/>
  <c r="BN22" i="23"/>
  <c r="BJ22" i="23"/>
  <c r="AQ23" i="23"/>
  <c r="AR23" i="23"/>
  <c r="AU23" i="23"/>
  <c r="AV23" i="23"/>
  <c r="BE23" i="23"/>
  <c r="Q23" i="23"/>
  <c r="S23" i="23"/>
  <c r="W23" i="23"/>
  <c r="AA23" i="23"/>
  <c r="I23" i="23"/>
  <c r="J23" i="23"/>
  <c r="BC23" i="23"/>
  <c r="BD23" i="23"/>
  <c r="BK23" i="23"/>
  <c r="BG23" i="23"/>
  <c r="T23" i="23"/>
  <c r="AB23" i="23"/>
  <c r="K23" i="23"/>
  <c r="BL23" i="23"/>
  <c r="BH23" i="23"/>
  <c r="U23" i="23"/>
  <c r="AC23" i="23"/>
  <c r="L23" i="23"/>
  <c r="BM23" i="23"/>
  <c r="BI23" i="23"/>
  <c r="V23" i="23"/>
  <c r="AD23" i="23"/>
  <c r="M23" i="23"/>
  <c r="BN23" i="23"/>
  <c r="BJ23" i="23"/>
  <c r="AQ24" i="23"/>
  <c r="AR24" i="23"/>
  <c r="AU24" i="23"/>
  <c r="AV24" i="23"/>
  <c r="BE24" i="23"/>
  <c r="BC24" i="23"/>
  <c r="BD24" i="23"/>
  <c r="Q24" i="23"/>
  <c r="S24" i="23"/>
  <c r="W24" i="23"/>
  <c r="AA24" i="23"/>
  <c r="I24" i="23"/>
  <c r="J24" i="23"/>
  <c r="BK24" i="23"/>
  <c r="BG24" i="23"/>
  <c r="T24" i="23"/>
  <c r="AB24" i="23"/>
  <c r="K24" i="23"/>
  <c r="BL24" i="23"/>
  <c r="BH24" i="23"/>
  <c r="U24" i="23"/>
  <c r="AC24" i="23"/>
  <c r="L24" i="23"/>
  <c r="BM24" i="23"/>
  <c r="BI24" i="23"/>
  <c r="V24" i="23"/>
  <c r="AD24" i="23"/>
  <c r="M24" i="23"/>
  <c r="BN24" i="23"/>
  <c r="BJ24" i="23"/>
  <c r="AQ25" i="23"/>
  <c r="AR25" i="23"/>
  <c r="AU25" i="23"/>
  <c r="AV25" i="23"/>
  <c r="BE25" i="23"/>
  <c r="Q25" i="23"/>
  <c r="S25" i="23"/>
  <c r="W25" i="23"/>
  <c r="AA25" i="23"/>
  <c r="I25" i="23"/>
  <c r="J25" i="23"/>
  <c r="BC25" i="23"/>
  <c r="BD25" i="23"/>
  <c r="BK25" i="23"/>
  <c r="BG25" i="23"/>
  <c r="T25" i="23"/>
  <c r="AB25" i="23"/>
  <c r="K25" i="23"/>
  <c r="BL25" i="23"/>
  <c r="BH25" i="23"/>
  <c r="U25" i="23"/>
  <c r="AC25" i="23"/>
  <c r="L25" i="23"/>
  <c r="BM25" i="23"/>
  <c r="BI25" i="23"/>
  <c r="V25" i="23"/>
  <c r="AD25" i="23"/>
  <c r="M25" i="23"/>
  <c r="BN25" i="23"/>
  <c r="BJ25" i="23"/>
  <c r="AQ26" i="23"/>
  <c r="AR26" i="23"/>
  <c r="AU26" i="23"/>
  <c r="AV26" i="23"/>
  <c r="BE26" i="23"/>
  <c r="BC26" i="23"/>
  <c r="BD26" i="23"/>
  <c r="Q26" i="23"/>
  <c r="S26" i="23"/>
  <c r="W26" i="23"/>
  <c r="AA26" i="23"/>
  <c r="I26" i="23"/>
  <c r="J26" i="23"/>
  <c r="BK26" i="23"/>
  <c r="BG26" i="23"/>
  <c r="T26" i="23"/>
  <c r="AB26" i="23"/>
  <c r="K26" i="23"/>
  <c r="BL26" i="23"/>
  <c r="BH26" i="23"/>
  <c r="U26" i="23"/>
  <c r="AC26" i="23"/>
  <c r="L26" i="23"/>
  <c r="BM26" i="23"/>
  <c r="BI26" i="23"/>
  <c r="V26" i="23"/>
  <c r="AD26" i="23"/>
  <c r="M26" i="23"/>
  <c r="BN26" i="23"/>
  <c r="BJ26" i="23"/>
  <c r="AQ27" i="23"/>
  <c r="AR27" i="23"/>
  <c r="AU27" i="23"/>
  <c r="AV27" i="23"/>
  <c r="BE27" i="23"/>
  <c r="Q27" i="23"/>
  <c r="S27" i="23"/>
  <c r="W27" i="23"/>
  <c r="AA27" i="23"/>
  <c r="I27" i="23"/>
  <c r="J27" i="23"/>
  <c r="BC27" i="23"/>
  <c r="BD27" i="23"/>
  <c r="BK27" i="23"/>
  <c r="BG27" i="23"/>
  <c r="T27" i="23"/>
  <c r="AB27" i="23"/>
  <c r="K27" i="23"/>
  <c r="BL27" i="23"/>
  <c r="BH27" i="23"/>
  <c r="U27" i="23"/>
  <c r="AC27" i="23"/>
  <c r="L27" i="23"/>
  <c r="BM27" i="23"/>
  <c r="BI27" i="23"/>
  <c r="V27" i="23"/>
  <c r="AD27" i="23"/>
  <c r="M27" i="23"/>
  <c r="BN27" i="23"/>
  <c r="BJ27" i="23"/>
  <c r="AQ28" i="23"/>
  <c r="AR28" i="23"/>
  <c r="AU28" i="23"/>
  <c r="AV28" i="23"/>
  <c r="BE28" i="23"/>
  <c r="BC28" i="23"/>
  <c r="BD28" i="23"/>
  <c r="Q28" i="23"/>
  <c r="S28" i="23"/>
  <c r="W28" i="23"/>
  <c r="AA28" i="23"/>
  <c r="I28" i="23"/>
  <c r="J28" i="23"/>
  <c r="BK28" i="23"/>
  <c r="BG28" i="23"/>
  <c r="T28" i="23"/>
  <c r="AB28" i="23"/>
  <c r="K28" i="23"/>
  <c r="BL28" i="23"/>
  <c r="BH28" i="23"/>
  <c r="U28" i="23"/>
  <c r="AC28" i="23"/>
  <c r="L28" i="23"/>
  <c r="BM28" i="23"/>
  <c r="BI28" i="23"/>
  <c r="V28" i="23"/>
  <c r="AD28" i="23"/>
  <c r="M28" i="23"/>
  <c r="BN28" i="23"/>
  <c r="BJ28" i="23"/>
  <c r="AQ29" i="23"/>
  <c r="AR29" i="23"/>
  <c r="AU29" i="23"/>
  <c r="AV29" i="23"/>
  <c r="BE29" i="23"/>
  <c r="Q29" i="23"/>
  <c r="S29" i="23"/>
  <c r="W29" i="23"/>
  <c r="AA29" i="23"/>
  <c r="I29" i="23"/>
  <c r="J29" i="23"/>
  <c r="BC29" i="23"/>
  <c r="BD29" i="23"/>
  <c r="BK29" i="23"/>
  <c r="BG29" i="23"/>
  <c r="T29" i="23"/>
  <c r="AB29" i="23"/>
  <c r="K29" i="23"/>
  <c r="BL29" i="23"/>
  <c r="BH29" i="23"/>
  <c r="U29" i="23"/>
  <c r="AC29" i="23"/>
  <c r="L29" i="23"/>
  <c r="BM29" i="23"/>
  <c r="BI29" i="23"/>
  <c r="V29" i="23"/>
  <c r="AD29" i="23"/>
  <c r="M29" i="23"/>
  <c r="BN29" i="23"/>
  <c r="BJ29" i="23"/>
  <c r="AQ30" i="23"/>
  <c r="AR30" i="23"/>
  <c r="AU30" i="23"/>
  <c r="AV30" i="23"/>
  <c r="BE30" i="23"/>
  <c r="BC30" i="23"/>
  <c r="BD30" i="23"/>
  <c r="Q30" i="23"/>
  <c r="S30" i="23"/>
  <c r="W30" i="23"/>
  <c r="AA30" i="23"/>
  <c r="I30" i="23"/>
  <c r="J30" i="23"/>
  <c r="BK30" i="23"/>
  <c r="BG30" i="23"/>
  <c r="T30" i="23"/>
  <c r="AB30" i="23"/>
  <c r="K30" i="23"/>
  <c r="BL30" i="23"/>
  <c r="BH30" i="23"/>
  <c r="U30" i="23"/>
  <c r="AC30" i="23"/>
  <c r="L30" i="23"/>
  <c r="BM30" i="23"/>
  <c r="BI30" i="23"/>
  <c r="V30" i="23"/>
  <c r="AD30" i="23"/>
  <c r="M30" i="23"/>
  <c r="BN30" i="23"/>
  <c r="BJ30" i="23"/>
  <c r="AQ31" i="23"/>
  <c r="AR31" i="23"/>
  <c r="AU31" i="23"/>
  <c r="AV31" i="23"/>
  <c r="BE31" i="23"/>
  <c r="Q31" i="23"/>
  <c r="S31" i="23"/>
  <c r="W31" i="23"/>
  <c r="AA31" i="23"/>
  <c r="I31" i="23"/>
  <c r="J31" i="23"/>
  <c r="BC31" i="23"/>
  <c r="BD31" i="23"/>
  <c r="BK31" i="23"/>
  <c r="BG31" i="23"/>
  <c r="T31" i="23"/>
  <c r="AB31" i="23"/>
  <c r="K31" i="23"/>
  <c r="BL31" i="23"/>
  <c r="BH31" i="23"/>
  <c r="U31" i="23"/>
  <c r="AC31" i="23"/>
  <c r="L31" i="23"/>
  <c r="BM31" i="23"/>
  <c r="BI31" i="23"/>
  <c r="V31" i="23"/>
  <c r="AD31" i="23"/>
  <c r="M31" i="23"/>
  <c r="BN31" i="23"/>
  <c r="BJ31" i="23"/>
  <c r="AQ32" i="23"/>
  <c r="AR32" i="23"/>
  <c r="AU32" i="23"/>
  <c r="AV32" i="23"/>
  <c r="BE32" i="23"/>
  <c r="BC32" i="23"/>
  <c r="BD32" i="23"/>
  <c r="Q32" i="23"/>
  <c r="S32" i="23"/>
  <c r="W32" i="23"/>
  <c r="AA32" i="23"/>
  <c r="I32" i="23"/>
  <c r="J32" i="23"/>
  <c r="BK32" i="23"/>
  <c r="BG32" i="23"/>
  <c r="T32" i="23"/>
  <c r="AB32" i="23"/>
  <c r="K32" i="23"/>
  <c r="BL32" i="23"/>
  <c r="BH32" i="23"/>
  <c r="U32" i="23"/>
  <c r="AC32" i="23"/>
  <c r="L32" i="23"/>
  <c r="BM32" i="23"/>
  <c r="BI32" i="23"/>
  <c r="V32" i="23"/>
  <c r="AD32" i="23"/>
  <c r="M32" i="23"/>
  <c r="BN32" i="23"/>
  <c r="BJ32" i="23"/>
  <c r="AQ33" i="23"/>
  <c r="AR33" i="23"/>
  <c r="AU33" i="23"/>
  <c r="AV33" i="23"/>
  <c r="BE33" i="23"/>
  <c r="Q33" i="23"/>
  <c r="S33" i="23"/>
  <c r="W33" i="23"/>
  <c r="AA33" i="23"/>
  <c r="I33" i="23"/>
  <c r="J33" i="23"/>
  <c r="BC33" i="23"/>
  <c r="BD33" i="23"/>
  <c r="BK33" i="23"/>
  <c r="BG33" i="23"/>
  <c r="T33" i="23"/>
  <c r="AB33" i="23"/>
  <c r="K33" i="23"/>
  <c r="BL33" i="23"/>
  <c r="BH33" i="23"/>
  <c r="U33" i="23"/>
  <c r="AC33" i="23"/>
  <c r="L33" i="23"/>
  <c r="BM33" i="23"/>
  <c r="BI33" i="23"/>
  <c r="V33" i="23"/>
  <c r="AD33" i="23"/>
  <c r="M33" i="23"/>
  <c r="BN33" i="23"/>
  <c r="BJ33" i="23"/>
  <c r="AQ34" i="23"/>
  <c r="AR34" i="23"/>
  <c r="AU34" i="23"/>
  <c r="AV34" i="23"/>
  <c r="BE34" i="23"/>
  <c r="BC34" i="23"/>
  <c r="BD34" i="23"/>
  <c r="Q34" i="23"/>
  <c r="S34" i="23"/>
  <c r="W34" i="23"/>
  <c r="AA34" i="23"/>
  <c r="I34" i="23"/>
  <c r="J34" i="23"/>
  <c r="BK34" i="23"/>
  <c r="BG34" i="23"/>
  <c r="T34" i="23"/>
  <c r="AB34" i="23"/>
  <c r="K34" i="23"/>
  <c r="BL34" i="23"/>
  <c r="BH34" i="23"/>
  <c r="U34" i="23"/>
  <c r="AC34" i="23"/>
  <c r="L34" i="23"/>
  <c r="BM34" i="23"/>
  <c r="BI34" i="23"/>
  <c r="V34" i="23"/>
  <c r="AD34" i="23"/>
  <c r="M34" i="23"/>
  <c r="BN34" i="23"/>
  <c r="BJ34" i="23"/>
  <c r="AQ35" i="23"/>
  <c r="AR35" i="23"/>
  <c r="AU35" i="23"/>
  <c r="AV35" i="23"/>
  <c r="BE35" i="23"/>
  <c r="Q35" i="23"/>
  <c r="S35" i="23"/>
  <c r="W35" i="23"/>
  <c r="AA35" i="23"/>
  <c r="I35" i="23"/>
  <c r="J35" i="23"/>
  <c r="BC35" i="23"/>
  <c r="BD35" i="23"/>
  <c r="BK35" i="23"/>
  <c r="BG35" i="23"/>
  <c r="T35" i="23"/>
  <c r="AB35" i="23"/>
  <c r="K35" i="23"/>
  <c r="BL35" i="23"/>
  <c r="BH35" i="23"/>
  <c r="U35" i="23"/>
  <c r="AC35" i="23"/>
  <c r="L35" i="23"/>
  <c r="BM35" i="23"/>
  <c r="BI35" i="23"/>
  <c r="V35" i="23"/>
  <c r="AD35" i="23"/>
  <c r="M35" i="23"/>
  <c r="BN35" i="23"/>
  <c r="BJ35" i="23"/>
  <c r="AQ36" i="23"/>
  <c r="AR36" i="23"/>
  <c r="AU36" i="23"/>
  <c r="AV36" i="23"/>
  <c r="BE36" i="23"/>
  <c r="BC36" i="23"/>
  <c r="BD36" i="23"/>
  <c r="Q36" i="23"/>
  <c r="S36" i="23"/>
  <c r="W36" i="23"/>
  <c r="AA36" i="23"/>
  <c r="I36" i="23"/>
  <c r="J36" i="23"/>
  <c r="BK36" i="23"/>
  <c r="BG36" i="23"/>
  <c r="T36" i="23"/>
  <c r="AB36" i="23"/>
  <c r="K36" i="23"/>
  <c r="BL36" i="23"/>
  <c r="BH36" i="23"/>
  <c r="U36" i="23"/>
  <c r="AC36" i="23"/>
  <c r="L36" i="23"/>
  <c r="BM36" i="23"/>
  <c r="BI36" i="23"/>
  <c r="V36" i="23"/>
  <c r="AD36" i="23"/>
  <c r="M36" i="23"/>
  <c r="BN36" i="23"/>
  <c r="BJ36" i="23"/>
  <c r="AQ37" i="23"/>
  <c r="AR37" i="23"/>
  <c r="AU37" i="23"/>
  <c r="AV37" i="23"/>
  <c r="BE37" i="23"/>
  <c r="Q37" i="23"/>
  <c r="S37" i="23"/>
  <c r="W37" i="23"/>
  <c r="AA37" i="23"/>
  <c r="I37" i="23"/>
  <c r="J37" i="23"/>
  <c r="BC37" i="23"/>
  <c r="BD37" i="23"/>
  <c r="BK37" i="23"/>
  <c r="BG37" i="23"/>
  <c r="T37" i="23"/>
  <c r="AB37" i="23"/>
  <c r="K37" i="23"/>
  <c r="BL37" i="23"/>
  <c r="BH37" i="23"/>
  <c r="U37" i="23"/>
  <c r="AC37" i="23"/>
  <c r="L37" i="23"/>
  <c r="BM37" i="23"/>
  <c r="BI37" i="23"/>
  <c r="V37" i="23"/>
  <c r="AD37" i="23"/>
  <c r="M37" i="23"/>
  <c r="BN37" i="23"/>
  <c r="BJ37" i="23"/>
  <c r="AQ38" i="23"/>
  <c r="AR38" i="23"/>
  <c r="AU38" i="23"/>
  <c r="AV38" i="23"/>
  <c r="BE38" i="23"/>
  <c r="BC38" i="23"/>
  <c r="BD38" i="23"/>
  <c r="Q38" i="23"/>
  <c r="S38" i="23"/>
  <c r="W38" i="23"/>
  <c r="AA38" i="23"/>
  <c r="I38" i="23"/>
  <c r="J38" i="23"/>
  <c r="BK38" i="23"/>
  <c r="BG38" i="23"/>
  <c r="T38" i="23"/>
  <c r="AB38" i="23"/>
  <c r="K38" i="23"/>
  <c r="BL38" i="23"/>
  <c r="BH38" i="23"/>
  <c r="U38" i="23"/>
  <c r="AC38" i="23"/>
  <c r="L38" i="23"/>
  <c r="BM38" i="23"/>
  <c r="BI38" i="23"/>
  <c r="V38" i="23"/>
  <c r="AD38" i="23"/>
  <c r="M38" i="23"/>
  <c r="BN38" i="23"/>
  <c r="BJ38" i="23"/>
  <c r="AQ39" i="23"/>
  <c r="AR39" i="23"/>
  <c r="AU39" i="23"/>
  <c r="AV39" i="23"/>
  <c r="BE39" i="23"/>
  <c r="Q39" i="23"/>
  <c r="S39" i="23"/>
  <c r="W39" i="23"/>
  <c r="AA39" i="23"/>
  <c r="I39" i="23"/>
  <c r="J39" i="23"/>
  <c r="BC39" i="23"/>
  <c r="BD39" i="23"/>
  <c r="BK39" i="23"/>
  <c r="BG39" i="23"/>
  <c r="T39" i="23"/>
  <c r="AB39" i="23"/>
  <c r="K39" i="23"/>
  <c r="BL39" i="23"/>
  <c r="BH39" i="23"/>
  <c r="U39" i="23"/>
  <c r="AC39" i="23"/>
  <c r="L39" i="23"/>
  <c r="BM39" i="23"/>
  <c r="BI39" i="23"/>
  <c r="V39" i="23"/>
  <c r="AD39" i="23"/>
  <c r="M39" i="23"/>
  <c r="BN39" i="23"/>
  <c r="BJ39" i="23"/>
  <c r="AQ40" i="23"/>
  <c r="AR40" i="23"/>
  <c r="AU40" i="23"/>
  <c r="AV40" i="23"/>
  <c r="BE40" i="23"/>
  <c r="BC40" i="23"/>
  <c r="BD40" i="23"/>
  <c r="Q40" i="23"/>
  <c r="S40" i="23"/>
  <c r="W40" i="23"/>
  <c r="AA40" i="23"/>
  <c r="I40" i="23"/>
  <c r="J40" i="23"/>
  <c r="BK40" i="23"/>
  <c r="BG40" i="23"/>
  <c r="T40" i="23"/>
  <c r="AB40" i="23"/>
  <c r="K40" i="23"/>
  <c r="BL40" i="23"/>
  <c r="BH40" i="23"/>
  <c r="U40" i="23"/>
  <c r="AC40" i="23"/>
  <c r="L40" i="23"/>
  <c r="BM40" i="23"/>
  <c r="BI40" i="23"/>
  <c r="V40" i="23"/>
  <c r="AD40" i="23"/>
  <c r="M40" i="23"/>
  <c r="BN40" i="23"/>
  <c r="BJ40" i="23"/>
  <c r="AQ41" i="23"/>
  <c r="AR41" i="23"/>
  <c r="AU41" i="23"/>
  <c r="AV41" i="23"/>
  <c r="BE41" i="23"/>
  <c r="Q41" i="23"/>
  <c r="S41" i="23"/>
  <c r="W41" i="23"/>
  <c r="AA41" i="23"/>
  <c r="I41" i="23"/>
  <c r="J41" i="23"/>
  <c r="BC41" i="23"/>
  <c r="BD41" i="23"/>
  <c r="BK41" i="23"/>
  <c r="BG41" i="23"/>
  <c r="T41" i="23"/>
  <c r="AB41" i="23"/>
  <c r="K41" i="23"/>
  <c r="BL41" i="23"/>
  <c r="BH41" i="23"/>
  <c r="U41" i="23"/>
  <c r="AC41" i="23"/>
  <c r="L41" i="23"/>
  <c r="BM41" i="23"/>
  <c r="BI41" i="23"/>
  <c r="V41" i="23"/>
  <c r="AD41" i="23"/>
  <c r="M41" i="23"/>
  <c r="BN41" i="23"/>
  <c r="BJ41" i="23"/>
  <c r="AQ42" i="23"/>
  <c r="AR42" i="23"/>
  <c r="AU42" i="23"/>
  <c r="AV42" i="23"/>
  <c r="BE42" i="23"/>
  <c r="BC42" i="23"/>
  <c r="BD42" i="23"/>
  <c r="Q42" i="23"/>
  <c r="S42" i="23"/>
  <c r="W42" i="23"/>
  <c r="AA42" i="23"/>
  <c r="I42" i="23"/>
  <c r="J42" i="23"/>
  <c r="BK42" i="23"/>
  <c r="BG42" i="23"/>
  <c r="T42" i="23"/>
  <c r="AB42" i="23"/>
  <c r="K42" i="23"/>
  <c r="BL42" i="23"/>
  <c r="BH42" i="23"/>
  <c r="U42" i="23"/>
  <c r="AC42" i="23"/>
  <c r="L42" i="23"/>
  <c r="BM42" i="23"/>
  <c r="BI42" i="23"/>
  <c r="V42" i="23"/>
  <c r="AD42" i="23"/>
  <c r="M42" i="23"/>
  <c r="BN42" i="23"/>
  <c r="BJ42" i="23"/>
  <c r="AQ43" i="23"/>
  <c r="AR43" i="23"/>
  <c r="AU43" i="23"/>
  <c r="AV43" i="23"/>
  <c r="BE43" i="23"/>
  <c r="Q43" i="23"/>
  <c r="S43" i="23"/>
  <c r="W43" i="23"/>
  <c r="AA43" i="23"/>
  <c r="I43" i="23"/>
  <c r="J43" i="23"/>
  <c r="BC43" i="23"/>
  <c r="BD43" i="23"/>
  <c r="BK43" i="23"/>
  <c r="BG43" i="23"/>
  <c r="T43" i="23"/>
  <c r="AB43" i="23"/>
  <c r="K43" i="23"/>
  <c r="BL43" i="23"/>
  <c r="BH43" i="23"/>
  <c r="U43" i="23"/>
  <c r="AC43" i="23"/>
  <c r="L43" i="23"/>
  <c r="BM43" i="23"/>
  <c r="BI43" i="23"/>
  <c r="V43" i="23"/>
  <c r="AD43" i="23"/>
  <c r="M43" i="23"/>
  <c r="BN43" i="23"/>
  <c r="BJ43" i="23"/>
  <c r="AQ44" i="23"/>
  <c r="AR44" i="23"/>
  <c r="AU44" i="23"/>
  <c r="AV44" i="23"/>
  <c r="BE44" i="23"/>
  <c r="BC44" i="23"/>
  <c r="BD44" i="23"/>
  <c r="Q44" i="23"/>
  <c r="S44" i="23"/>
  <c r="W44" i="23"/>
  <c r="AA44" i="23"/>
  <c r="I44" i="23"/>
  <c r="J44" i="23"/>
  <c r="BK44" i="23"/>
  <c r="BG44" i="23"/>
  <c r="T44" i="23"/>
  <c r="AB44" i="23"/>
  <c r="K44" i="23"/>
  <c r="BL44" i="23"/>
  <c r="BH44" i="23"/>
  <c r="U44" i="23"/>
  <c r="AC44" i="23"/>
  <c r="L44" i="23"/>
  <c r="BM44" i="23"/>
  <c r="BI44" i="23"/>
  <c r="V44" i="23"/>
  <c r="AD44" i="23"/>
  <c r="M44" i="23"/>
  <c r="BN44" i="23"/>
  <c r="BJ44" i="23"/>
  <c r="AQ45" i="23"/>
  <c r="AR45" i="23"/>
  <c r="AU45" i="23"/>
  <c r="AV45" i="23"/>
  <c r="BE45" i="23"/>
  <c r="Q45" i="23"/>
  <c r="S45" i="23"/>
  <c r="W45" i="23"/>
  <c r="AA45" i="23"/>
  <c r="I45" i="23"/>
  <c r="J45" i="23"/>
  <c r="BC45" i="23"/>
  <c r="BD45" i="23"/>
  <c r="BK45" i="23"/>
  <c r="BG45" i="23"/>
  <c r="T45" i="23"/>
  <c r="AB45" i="23"/>
  <c r="K45" i="23"/>
  <c r="BL45" i="23"/>
  <c r="BH45" i="23"/>
  <c r="U45" i="23"/>
  <c r="AC45" i="23"/>
  <c r="L45" i="23"/>
  <c r="BM45" i="23"/>
  <c r="BI45" i="23"/>
  <c r="V45" i="23"/>
  <c r="AD45" i="23"/>
  <c r="M45" i="23"/>
  <c r="BN45" i="23"/>
  <c r="BJ45" i="23"/>
  <c r="AQ46" i="23"/>
  <c r="AR46" i="23"/>
  <c r="AU46" i="23"/>
  <c r="AV46" i="23"/>
  <c r="BE46" i="23"/>
  <c r="BC46" i="23"/>
  <c r="BD46" i="23"/>
  <c r="Q46" i="23"/>
  <c r="S46" i="23"/>
  <c r="W46" i="23"/>
  <c r="AA46" i="23"/>
  <c r="I46" i="23"/>
  <c r="J46" i="23"/>
  <c r="BK46" i="23"/>
  <c r="BG46" i="23"/>
  <c r="T46" i="23"/>
  <c r="AB46" i="23"/>
  <c r="K46" i="23"/>
  <c r="BL46" i="23"/>
  <c r="BH46" i="23"/>
  <c r="U46" i="23"/>
  <c r="AC46" i="23"/>
  <c r="L46" i="23"/>
  <c r="BM46" i="23"/>
  <c r="BI46" i="23"/>
  <c r="V46" i="23"/>
  <c r="AD46" i="23"/>
  <c r="M46" i="23"/>
  <c r="BN46" i="23"/>
  <c r="BJ46" i="23"/>
  <c r="AQ47" i="23"/>
  <c r="AR47" i="23"/>
  <c r="AU47" i="23"/>
  <c r="AV47" i="23"/>
  <c r="BE47" i="23"/>
  <c r="Q47" i="23"/>
  <c r="S47" i="23"/>
  <c r="W47" i="23"/>
  <c r="AA47" i="23"/>
  <c r="I47" i="23"/>
  <c r="J47" i="23"/>
  <c r="BC47" i="23"/>
  <c r="BD47" i="23"/>
  <c r="BK47" i="23"/>
  <c r="BG47" i="23"/>
  <c r="T47" i="23"/>
  <c r="AB47" i="23"/>
  <c r="K47" i="23"/>
  <c r="BL47" i="23"/>
  <c r="BH47" i="23"/>
  <c r="U47" i="23"/>
  <c r="AC47" i="23"/>
  <c r="L47" i="23"/>
  <c r="BM47" i="23"/>
  <c r="BI47" i="23"/>
  <c r="V47" i="23"/>
  <c r="AD47" i="23"/>
  <c r="M47" i="23"/>
  <c r="BN47" i="23"/>
  <c r="BJ47" i="23"/>
  <c r="AQ48" i="23"/>
  <c r="AR48" i="23"/>
  <c r="AU48" i="23"/>
  <c r="AV48" i="23"/>
  <c r="BE48" i="23"/>
  <c r="BC48" i="23"/>
  <c r="BD48" i="23"/>
  <c r="Q48" i="23"/>
  <c r="S48" i="23"/>
  <c r="W48" i="23"/>
  <c r="AA48" i="23"/>
  <c r="I48" i="23"/>
  <c r="J48" i="23"/>
  <c r="BK48" i="23"/>
  <c r="BG48" i="23"/>
  <c r="T48" i="23"/>
  <c r="AB48" i="23"/>
  <c r="K48" i="23"/>
  <c r="BL48" i="23"/>
  <c r="BH48" i="23"/>
  <c r="U48" i="23"/>
  <c r="AC48" i="23"/>
  <c r="L48" i="23"/>
  <c r="BM48" i="23"/>
  <c r="BI48" i="23"/>
  <c r="V48" i="23"/>
  <c r="AD48" i="23"/>
  <c r="M48" i="23"/>
  <c r="BN48" i="23"/>
  <c r="BJ48" i="23"/>
  <c r="AQ49" i="23"/>
  <c r="AR49" i="23"/>
  <c r="AU49" i="23"/>
  <c r="AV49" i="23"/>
  <c r="BE49" i="23"/>
  <c r="Q49" i="23"/>
  <c r="S49" i="23"/>
  <c r="W49" i="23"/>
  <c r="AA49" i="23"/>
  <c r="I49" i="23"/>
  <c r="J49" i="23"/>
  <c r="BC49" i="23"/>
  <c r="BD49" i="23"/>
  <c r="BK49" i="23"/>
  <c r="BG49" i="23"/>
  <c r="T49" i="23"/>
  <c r="AB49" i="23"/>
  <c r="K49" i="23"/>
  <c r="BL49" i="23"/>
  <c r="BH49" i="23"/>
  <c r="U49" i="23"/>
  <c r="AC49" i="23"/>
  <c r="L49" i="23"/>
  <c r="BM49" i="23"/>
  <c r="BI49" i="23"/>
  <c r="V49" i="23"/>
  <c r="AD49" i="23"/>
  <c r="M49" i="23"/>
  <c r="BN49" i="23"/>
  <c r="BJ49" i="23"/>
  <c r="AQ50" i="23"/>
  <c r="AR50" i="23"/>
  <c r="AU50" i="23"/>
  <c r="AV50" i="23"/>
  <c r="BE50" i="23"/>
  <c r="BC50" i="23"/>
  <c r="BD50" i="23"/>
  <c r="Q50" i="23"/>
  <c r="S50" i="23"/>
  <c r="W50" i="23"/>
  <c r="AA50" i="23"/>
  <c r="I50" i="23"/>
  <c r="J50" i="23"/>
  <c r="BK50" i="23"/>
  <c r="BG50" i="23"/>
  <c r="T50" i="23"/>
  <c r="AB50" i="23"/>
  <c r="K50" i="23"/>
  <c r="BL50" i="23"/>
  <c r="BH50" i="23"/>
  <c r="U50" i="23"/>
  <c r="AC50" i="23"/>
  <c r="L50" i="23"/>
  <c r="BM50" i="23"/>
  <c r="BI50" i="23"/>
  <c r="V50" i="23"/>
  <c r="AD50" i="23"/>
  <c r="M50" i="23"/>
  <c r="BN50" i="23"/>
  <c r="BJ50" i="23"/>
  <c r="AQ51" i="23"/>
  <c r="AR51" i="23"/>
  <c r="AU51" i="23"/>
  <c r="AV51" i="23"/>
  <c r="BE51" i="23"/>
  <c r="Q51" i="23"/>
  <c r="S51" i="23"/>
  <c r="W51" i="23"/>
  <c r="AA51" i="23"/>
  <c r="I51" i="23"/>
  <c r="J51" i="23"/>
  <c r="BC51" i="23"/>
  <c r="BD51" i="23"/>
  <c r="BK51" i="23"/>
  <c r="BG51" i="23"/>
  <c r="T51" i="23"/>
  <c r="AB51" i="23"/>
  <c r="K51" i="23"/>
  <c r="BL51" i="23"/>
  <c r="BH51" i="23"/>
  <c r="U51" i="23"/>
  <c r="AC51" i="23"/>
  <c r="L51" i="23"/>
  <c r="BM51" i="23"/>
  <c r="BI51" i="23"/>
  <c r="V51" i="23"/>
  <c r="AD51" i="23"/>
  <c r="M51" i="23"/>
  <c r="BN51" i="23"/>
  <c r="BJ51" i="23"/>
  <c r="AQ52" i="23"/>
  <c r="AR52" i="23"/>
  <c r="AU52" i="23"/>
  <c r="AV52" i="23"/>
  <c r="BE52" i="23"/>
  <c r="BC52" i="23"/>
  <c r="BD52" i="23"/>
  <c r="Q52" i="23"/>
  <c r="S52" i="23"/>
  <c r="W52" i="23"/>
  <c r="AA52" i="23"/>
  <c r="I52" i="23"/>
  <c r="J52" i="23"/>
  <c r="BK52" i="23"/>
  <c r="BG52" i="23"/>
  <c r="T52" i="23"/>
  <c r="AB52" i="23"/>
  <c r="K52" i="23"/>
  <c r="BL52" i="23"/>
  <c r="BH52" i="23"/>
  <c r="U52" i="23"/>
  <c r="AC52" i="23"/>
  <c r="L52" i="23"/>
  <c r="BM52" i="23"/>
  <c r="BI52" i="23"/>
  <c r="V52" i="23"/>
  <c r="AD52" i="23"/>
  <c r="M52" i="23"/>
  <c r="BN52" i="23"/>
  <c r="BJ52" i="23"/>
  <c r="AQ53" i="23"/>
  <c r="AR53" i="23"/>
  <c r="AU53" i="23"/>
  <c r="AV53" i="23"/>
  <c r="BE53" i="23"/>
  <c r="Q53" i="23"/>
  <c r="S53" i="23"/>
  <c r="W53" i="23"/>
  <c r="AA53" i="23"/>
  <c r="I53" i="23"/>
  <c r="J53" i="23"/>
  <c r="BC53" i="23"/>
  <c r="BD53" i="23"/>
  <c r="BK53" i="23"/>
  <c r="BG53" i="23"/>
  <c r="T53" i="23"/>
  <c r="AB53" i="23"/>
  <c r="K53" i="23"/>
  <c r="BL53" i="23"/>
  <c r="BH53" i="23"/>
  <c r="U53" i="23"/>
  <c r="AC53" i="23"/>
  <c r="L53" i="23"/>
  <c r="BM53" i="23"/>
  <c r="BI53" i="23"/>
  <c r="V53" i="23"/>
  <c r="AD53" i="23"/>
  <c r="M53" i="23"/>
  <c r="BN53" i="23"/>
  <c r="BJ53" i="23"/>
  <c r="AQ54" i="23"/>
  <c r="AR54" i="23"/>
  <c r="AU54" i="23"/>
  <c r="AV54" i="23"/>
  <c r="BE54" i="23"/>
  <c r="BC54" i="23"/>
  <c r="BD54" i="23"/>
  <c r="Q54" i="23"/>
  <c r="S54" i="23"/>
  <c r="W54" i="23"/>
  <c r="AA54" i="23"/>
  <c r="I54" i="23"/>
  <c r="J54" i="23"/>
  <c r="BK54" i="23"/>
  <c r="BG54" i="23"/>
  <c r="T54" i="23"/>
  <c r="AB54" i="23"/>
  <c r="K54" i="23"/>
  <c r="BL54" i="23"/>
  <c r="BH54" i="23"/>
  <c r="U54" i="23"/>
  <c r="AC54" i="23"/>
  <c r="L54" i="23"/>
  <c r="BM54" i="23"/>
  <c r="BI54" i="23"/>
  <c r="V54" i="23"/>
  <c r="AD54" i="23"/>
  <c r="M54" i="23"/>
  <c r="BN54" i="23"/>
  <c r="BJ54" i="23"/>
  <c r="AQ55" i="23"/>
  <c r="AR55" i="23"/>
  <c r="AU55" i="23"/>
  <c r="AV55" i="23"/>
  <c r="BE55" i="23"/>
  <c r="Q55" i="23"/>
  <c r="S55" i="23"/>
  <c r="W55" i="23"/>
  <c r="AA55" i="23"/>
  <c r="I55" i="23"/>
  <c r="J55" i="23"/>
  <c r="BC55" i="23"/>
  <c r="BD55" i="23"/>
  <c r="BK55" i="23"/>
  <c r="BG55" i="23"/>
  <c r="T55" i="23"/>
  <c r="AB55" i="23"/>
  <c r="K55" i="23"/>
  <c r="BL55" i="23"/>
  <c r="BH55" i="23"/>
  <c r="U55" i="23"/>
  <c r="AC55" i="23"/>
  <c r="L55" i="23"/>
  <c r="BM55" i="23"/>
  <c r="BI55" i="23"/>
  <c r="V55" i="23"/>
  <c r="AD55" i="23"/>
  <c r="M55" i="23"/>
  <c r="BN55" i="23"/>
  <c r="BJ55" i="23"/>
  <c r="AQ56" i="23"/>
  <c r="AR56" i="23"/>
  <c r="AU56" i="23"/>
  <c r="AV56" i="23"/>
  <c r="BE56" i="23"/>
  <c r="BC56" i="23"/>
  <c r="BD56" i="23"/>
  <c r="Q56" i="23"/>
  <c r="S56" i="23"/>
  <c r="W56" i="23"/>
  <c r="AA56" i="23"/>
  <c r="I56" i="23"/>
  <c r="J56" i="23"/>
  <c r="BK56" i="23"/>
  <c r="BG56" i="23"/>
  <c r="T56" i="23"/>
  <c r="AB56" i="23"/>
  <c r="K56" i="23"/>
  <c r="BL56" i="23"/>
  <c r="BH56" i="23"/>
  <c r="U56" i="23"/>
  <c r="AC56" i="23"/>
  <c r="L56" i="23"/>
  <c r="BM56" i="23"/>
  <c r="BI56" i="23"/>
  <c r="V56" i="23"/>
  <c r="AD56" i="23"/>
  <c r="M56" i="23"/>
  <c r="BN56" i="23"/>
  <c r="BJ56" i="23"/>
  <c r="AQ57" i="23"/>
  <c r="AR57" i="23"/>
  <c r="AU57" i="23"/>
  <c r="AV57" i="23"/>
  <c r="BE57" i="23"/>
  <c r="Q57" i="23"/>
  <c r="S57" i="23"/>
  <c r="W57" i="23"/>
  <c r="AA57" i="23"/>
  <c r="I57" i="23"/>
  <c r="J57" i="23"/>
  <c r="BC57" i="23"/>
  <c r="BD57" i="23"/>
  <c r="BK57" i="23"/>
  <c r="BG57" i="23"/>
  <c r="T57" i="23"/>
  <c r="AB57" i="23"/>
  <c r="K57" i="23"/>
  <c r="BL57" i="23"/>
  <c r="BH57" i="23"/>
  <c r="U57" i="23"/>
  <c r="AC57" i="23"/>
  <c r="L57" i="23"/>
  <c r="BM57" i="23"/>
  <c r="BI57" i="23"/>
  <c r="V57" i="23"/>
  <c r="AD57" i="23"/>
  <c r="M57" i="23"/>
  <c r="BN57" i="23"/>
  <c r="BJ57" i="23"/>
  <c r="AQ58" i="23"/>
  <c r="AR58" i="23"/>
  <c r="AU58" i="23"/>
  <c r="AV58" i="23"/>
  <c r="BE58" i="23"/>
  <c r="BC58" i="23"/>
  <c r="BD58" i="23"/>
  <c r="Q58" i="23"/>
  <c r="S58" i="23"/>
  <c r="W58" i="23"/>
  <c r="AA58" i="23"/>
  <c r="I58" i="23"/>
  <c r="J58" i="23"/>
  <c r="BK58" i="23"/>
  <c r="BG58" i="23"/>
  <c r="T58" i="23"/>
  <c r="AB58" i="23"/>
  <c r="K58" i="23"/>
  <c r="BL58" i="23"/>
  <c r="BH58" i="23"/>
  <c r="U58" i="23"/>
  <c r="AC58" i="23"/>
  <c r="L58" i="23"/>
  <c r="BM58" i="23"/>
  <c r="BI58" i="23"/>
  <c r="V58" i="23"/>
  <c r="AD58" i="23"/>
  <c r="M58" i="23"/>
  <c r="BN58" i="23"/>
  <c r="BJ58" i="23"/>
  <c r="AQ59" i="23"/>
  <c r="AR59" i="23"/>
  <c r="AU59" i="23"/>
  <c r="AV59" i="23"/>
  <c r="BE59" i="23"/>
  <c r="Q59" i="23"/>
  <c r="S59" i="23"/>
  <c r="W59" i="23"/>
  <c r="AA59" i="23"/>
  <c r="I59" i="23"/>
  <c r="J59" i="23"/>
  <c r="BC59" i="23"/>
  <c r="BD59" i="23"/>
  <c r="BK59" i="23"/>
  <c r="BG59" i="23"/>
  <c r="T59" i="23"/>
  <c r="AB59" i="23"/>
  <c r="K59" i="23"/>
  <c r="BL59" i="23"/>
  <c r="BH59" i="23"/>
  <c r="U59" i="23"/>
  <c r="AC59" i="23"/>
  <c r="L59" i="23"/>
  <c r="BM59" i="23"/>
  <c r="BI59" i="23"/>
  <c r="V59" i="23"/>
  <c r="AD59" i="23"/>
  <c r="M59" i="23"/>
  <c r="BN59" i="23"/>
  <c r="BJ59" i="23"/>
  <c r="AQ60" i="23"/>
  <c r="AR60" i="23"/>
  <c r="AU60" i="23"/>
  <c r="AV60" i="23"/>
  <c r="BE60" i="23"/>
  <c r="BC60" i="23"/>
  <c r="BD60" i="23"/>
  <c r="Q60" i="23"/>
  <c r="S60" i="23"/>
  <c r="W60" i="23"/>
  <c r="AA60" i="23"/>
  <c r="I60" i="23"/>
  <c r="J60" i="23"/>
  <c r="BK60" i="23"/>
  <c r="BG60" i="23"/>
  <c r="T60" i="23"/>
  <c r="AB60" i="23"/>
  <c r="K60" i="23"/>
  <c r="BL60" i="23"/>
  <c r="BH60" i="23"/>
  <c r="U60" i="23"/>
  <c r="AC60" i="23"/>
  <c r="L60" i="23"/>
  <c r="BM60" i="23"/>
  <c r="BI60" i="23"/>
  <c r="V60" i="23"/>
  <c r="AD60" i="23"/>
  <c r="M60" i="23"/>
  <c r="BN60" i="23"/>
  <c r="BJ60" i="23"/>
  <c r="AQ61" i="23"/>
  <c r="AR61" i="23"/>
  <c r="AU61" i="23"/>
  <c r="AV61" i="23"/>
  <c r="BE61" i="23"/>
  <c r="Q61" i="23"/>
  <c r="S61" i="23"/>
  <c r="W61" i="23"/>
  <c r="AA61" i="23"/>
  <c r="I61" i="23"/>
  <c r="J61" i="23"/>
  <c r="G61" i="23"/>
  <c r="BC61" i="23"/>
  <c r="BD61" i="23"/>
  <c r="BK61" i="23"/>
  <c r="BG61" i="23"/>
  <c r="T61" i="23"/>
  <c r="AB61" i="23"/>
  <c r="K61" i="23"/>
  <c r="BL61" i="23"/>
  <c r="BH61" i="23"/>
  <c r="U61" i="23"/>
  <c r="AC61" i="23"/>
  <c r="L61" i="23"/>
  <c r="BM61" i="23"/>
  <c r="BI61" i="23"/>
  <c r="V61" i="23"/>
  <c r="AD61" i="23"/>
  <c r="M61" i="23"/>
  <c r="BN61" i="23"/>
  <c r="BJ61" i="23"/>
  <c r="AQ62" i="23"/>
  <c r="AR62" i="23"/>
  <c r="AU62" i="23"/>
  <c r="AV62" i="23"/>
  <c r="BE62" i="23"/>
  <c r="BC62" i="23"/>
  <c r="BD62" i="23"/>
  <c r="Q62" i="23"/>
  <c r="S62" i="23"/>
  <c r="W62" i="23"/>
  <c r="AA62" i="23"/>
  <c r="I62" i="23"/>
  <c r="J62" i="23"/>
  <c r="BK62" i="23"/>
  <c r="BG62" i="23"/>
  <c r="T62" i="23"/>
  <c r="AB62" i="23"/>
  <c r="K62" i="23"/>
  <c r="BL62" i="23"/>
  <c r="BH62" i="23"/>
  <c r="U62" i="23"/>
  <c r="AC62" i="23"/>
  <c r="L62" i="23"/>
  <c r="BM62" i="23"/>
  <c r="BI62" i="23"/>
  <c r="V62" i="23"/>
  <c r="AD62" i="23"/>
  <c r="M62" i="23"/>
  <c r="BN62" i="23"/>
  <c r="BJ62" i="23"/>
  <c r="AQ63" i="23"/>
  <c r="AR63" i="23"/>
  <c r="AU63" i="23"/>
  <c r="AV63" i="23"/>
  <c r="BE63" i="23"/>
  <c r="Q63" i="23"/>
  <c r="S63" i="23"/>
  <c r="W63" i="23"/>
  <c r="AA63" i="23"/>
  <c r="I63" i="23"/>
  <c r="J63" i="23"/>
  <c r="BC63" i="23"/>
  <c r="BD63" i="23"/>
  <c r="BK63" i="23"/>
  <c r="BG63" i="23"/>
  <c r="T63" i="23"/>
  <c r="AB63" i="23"/>
  <c r="K63" i="23"/>
  <c r="BL63" i="23"/>
  <c r="BH63" i="23"/>
  <c r="U63" i="23"/>
  <c r="AC63" i="23"/>
  <c r="L63" i="23"/>
  <c r="BM63" i="23"/>
  <c r="BI63" i="23"/>
  <c r="V63" i="23"/>
  <c r="AD63" i="23"/>
  <c r="M63" i="23"/>
  <c r="BN63" i="23"/>
  <c r="BJ63" i="23"/>
  <c r="AQ64" i="23"/>
  <c r="AR64" i="23"/>
  <c r="AU64" i="23"/>
  <c r="AV64" i="23"/>
  <c r="BE64" i="23"/>
  <c r="BC64" i="23"/>
  <c r="BD64" i="23"/>
  <c r="Q64" i="23"/>
  <c r="S64" i="23"/>
  <c r="W64" i="23"/>
  <c r="AA64" i="23"/>
  <c r="I64" i="23"/>
  <c r="J64" i="23"/>
  <c r="BK64" i="23"/>
  <c r="BG64" i="23"/>
  <c r="T64" i="23"/>
  <c r="AB64" i="23"/>
  <c r="K64" i="23"/>
  <c r="BL64" i="23"/>
  <c r="BH64" i="23"/>
  <c r="U64" i="23"/>
  <c r="AC64" i="23"/>
  <c r="L64" i="23"/>
  <c r="BM64" i="23"/>
  <c r="BI64" i="23"/>
  <c r="V64" i="23"/>
  <c r="AD64" i="23"/>
  <c r="M64" i="23"/>
  <c r="BN64" i="23"/>
  <c r="BJ64" i="23"/>
  <c r="AQ65" i="23"/>
  <c r="AR65" i="23"/>
  <c r="AU65" i="23"/>
  <c r="AV65" i="23"/>
  <c r="BE65" i="23"/>
  <c r="Q65" i="23"/>
  <c r="S65" i="23"/>
  <c r="W65" i="23"/>
  <c r="AA65" i="23"/>
  <c r="I65" i="23"/>
  <c r="J65" i="23"/>
  <c r="BC65" i="23"/>
  <c r="BD65" i="23"/>
  <c r="BK65" i="23"/>
  <c r="BG65" i="23"/>
  <c r="T65" i="23"/>
  <c r="AB65" i="23"/>
  <c r="K65" i="23"/>
  <c r="BL65" i="23"/>
  <c r="BH65" i="23"/>
  <c r="U65" i="23"/>
  <c r="AC65" i="23"/>
  <c r="L65" i="23"/>
  <c r="BM65" i="23"/>
  <c r="BI65" i="23"/>
  <c r="V65" i="23"/>
  <c r="AD65" i="23"/>
  <c r="M65" i="23"/>
  <c r="BN65" i="23"/>
  <c r="BJ65" i="23"/>
  <c r="AQ66" i="23"/>
  <c r="AR66" i="23"/>
  <c r="AU66" i="23"/>
  <c r="AV66" i="23"/>
  <c r="BE66" i="23"/>
  <c r="BC66" i="23"/>
  <c r="BD66" i="23"/>
  <c r="Q66" i="23"/>
  <c r="S66" i="23"/>
  <c r="W66" i="23"/>
  <c r="AA66" i="23"/>
  <c r="I66" i="23"/>
  <c r="J66" i="23"/>
  <c r="BK66" i="23"/>
  <c r="BG66" i="23"/>
  <c r="T66" i="23"/>
  <c r="AB66" i="23"/>
  <c r="K66" i="23"/>
  <c r="BL66" i="23"/>
  <c r="BH66" i="23"/>
  <c r="U66" i="23"/>
  <c r="AC66" i="23"/>
  <c r="L66" i="23"/>
  <c r="BM66" i="23"/>
  <c r="BI66" i="23"/>
  <c r="V66" i="23"/>
  <c r="AD66" i="23"/>
  <c r="M66" i="23"/>
  <c r="BN66" i="23"/>
  <c r="BJ66" i="23"/>
  <c r="AQ67" i="23"/>
  <c r="AR67" i="23"/>
  <c r="AU67" i="23"/>
  <c r="AV67" i="23"/>
  <c r="BE67" i="23"/>
  <c r="Q67" i="23"/>
  <c r="S67" i="23"/>
  <c r="W67" i="23"/>
  <c r="AA67" i="23"/>
  <c r="I67" i="23"/>
  <c r="J67" i="23"/>
  <c r="BC67" i="23"/>
  <c r="BD67" i="23"/>
  <c r="BK67" i="23"/>
  <c r="BG67" i="23"/>
  <c r="T67" i="23"/>
  <c r="AB67" i="23"/>
  <c r="K67" i="23"/>
  <c r="BL67" i="23"/>
  <c r="BH67" i="23"/>
  <c r="U67" i="23"/>
  <c r="AC67" i="23"/>
  <c r="L67" i="23"/>
  <c r="BM67" i="23"/>
  <c r="BI67" i="23"/>
  <c r="V67" i="23"/>
  <c r="AD67" i="23"/>
  <c r="M67" i="23"/>
  <c r="BN67" i="23"/>
  <c r="BJ67" i="23"/>
  <c r="AQ68" i="23"/>
  <c r="AR68" i="23"/>
  <c r="AU68" i="23"/>
  <c r="AV68" i="23"/>
  <c r="BE68" i="23"/>
  <c r="Q68" i="23"/>
  <c r="S68" i="23"/>
  <c r="W68" i="23"/>
  <c r="AA68" i="23"/>
  <c r="I68" i="23"/>
  <c r="J68" i="23"/>
  <c r="BC68" i="23"/>
  <c r="BD68" i="23"/>
  <c r="BK68" i="23"/>
  <c r="BG68" i="23"/>
  <c r="T68" i="23"/>
  <c r="AB68" i="23"/>
  <c r="K68" i="23"/>
  <c r="BL68" i="23"/>
  <c r="BH68" i="23"/>
  <c r="U68" i="23"/>
  <c r="AC68" i="23"/>
  <c r="L68" i="23"/>
  <c r="BM68" i="23"/>
  <c r="BI68" i="23"/>
  <c r="V68" i="23"/>
  <c r="AD68" i="23"/>
  <c r="M68" i="23"/>
  <c r="BN68" i="23"/>
  <c r="BJ68" i="23"/>
  <c r="AQ69" i="23"/>
  <c r="AR69" i="23"/>
  <c r="AU69" i="23"/>
  <c r="AV69" i="23"/>
  <c r="BE69" i="23"/>
  <c r="BC69" i="23"/>
  <c r="BD69" i="23"/>
  <c r="Q69" i="23"/>
  <c r="S69" i="23"/>
  <c r="W69" i="23"/>
  <c r="AA69" i="23"/>
  <c r="I69" i="23"/>
  <c r="J69" i="23"/>
  <c r="BK69" i="23"/>
  <c r="BG69" i="23"/>
  <c r="T69" i="23"/>
  <c r="AB69" i="23"/>
  <c r="K69" i="23"/>
  <c r="BL69" i="23"/>
  <c r="BH69" i="23"/>
  <c r="U69" i="23"/>
  <c r="AC69" i="23"/>
  <c r="L69" i="23"/>
  <c r="BM69" i="23"/>
  <c r="BI69" i="23"/>
  <c r="V69" i="23"/>
  <c r="AD69" i="23"/>
  <c r="M69" i="23"/>
  <c r="BN69" i="23"/>
  <c r="BJ69" i="23"/>
  <c r="AQ70" i="23"/>
  <c r="AR70" i="23"/>
  <c r="AU70" i="23"/>
  <c r="AV70" i="23"/>
  <c r="BE70" i="23"/>
  <c r="Q70" i="23"/>
  <c r="S70" i="23"/>
  <c r="W70" i="23"/>
  <c r="AA70" i="23"/>
  <c r="I70" i="23"/>
  <c r="J70" i="23"/>
  <c r="BC70" i="23"/>
  <c r="BD70" i="23"/>
  <c r="BK70" i="23"/>
  <c r="BG70" i="23"/>
  <c r="T70" i="23"/>
  <c r="AB70" i="23"/>
  <c r="K70" i="23"/>
  <c r="BL70" i="23"/>
  <c r="BH70" i="23"/>
  <c r="U70" i="23"/>
  <c r="AC70" i="23"/>
  <c r="L70" i="23"/>
  <c r="BM70" i="23"/>
  <c r="BI70" i="23"/>
  <c r="V70" i="23"/>
  <c r="AD70" i="23"/>
  <c r="M70" i="23"/>
  <c r="BN70" i="23"/>
  <c r="BJ70" i="23"/>
  <c r="AQ71" i="23"/>
  <c r="AR71" i="23"/>
  <c r="AU71" i="23"/>
  <c r="AV71" i="23"/>
  <c r="BE71" i="23"/>
  <c r="Q71" i="23"/>
  <c r="S71" i="23"/>
  <c r="W71" i="23"/>
  <c r="AA71" i="23"/>
  <c r="I71" i="23"/>
  <c r="J71" i="23"/>
  <c r="BC71" i="23"/>
  <c r="BD71" i="23"/>
  <c r="BK71" i="23"/>
  <c r="BG71" i="23"/>
  <c r="T71" i="23"/>
  <c r="AB71" i="23"/>
  <c r="K71" i="23"/>
  <c r="BL71" i="23"/>
  <c r="BH71" i="23"/>
  <c r="U71" i="23"/>
  <c r="AC71" i="23"/>
  <c r="L71" i="23"/>
  <c r="BM71" i="23"/>
  <c r="BI71" i="23"/>
  <c r="V71" i="23"/>
  <c r="AD71" i="23"/>
  <c r="M71" i="23"/>
  <c r="BN71" i="23"/>
  <c r="BJ71" i="23"/>
  <c r="AQ72" i="23"/>
  <c r="AR72" i="23"/>
  <c r="AU72" i="23"/>
  <c r="AV72" i="23"/>
  <c r="BE72" i="23"/>
  <c r="BC72" i="23"/>
  <c r="BD72" i="23"/>
  <c r="Q72" i="23"/>
  <c r="S72" i="23"/>
  <c r="W72" i="23"/>
  <c r="AA72" i="23"/>
  <c r="I72" i="23"/>
  <c r="J72" i="23"/>
  <c r="BK72" i="23"/>
  <c r="BG72" i="23"/>
  <c r="T72" i="23"/>
  <c r="AB72" i="23"/>
  <c r="K72" i="23"/>
  <c r="BL72" i="23"/>
  <c r="BH72" i="23"/>
  <c r="U72" i="23"/>
  <c r="AC72" i="23"/>
  <c r="L72" i="23"/>
  <c r="BM72" i="23"/>
  <c r="BI72" i="23"/>
  <c r="V72" i="23"/>
  <c r="AD72" i="23"/>
  <c r="M72" i="23"/>
  <c r="BN72" i="23"/>
  <c r="BJ72" i="23"/>
  <c r="AQ73" i="23"/>
  <c r="AR73" i="23"/>
  <c r="AU73" i="23"/>
  <c r="AV73" i="23"/>
  <c r="BE73" i="23"/>
  <c r="Q73" i="23"/>
  <c r="S73" i="23"/>
  <c r="W73" i="23"/>
  <c r="AA73" i="23"/>
  <c r="I73" i="23"/>
  <c r="J73" i="23"/>
  <c r="BC73" i="23"/>
  <c r="BD73" i="23"/>
  <c r="BK73" i="23"/>
  <c r="BG73" i="23"/>
  <c r="T73" i="23"/>
  <c r="AB73" i="23"/>
  <c r="K73" i="23"/>
  <c r="BL73" i="23"/>
  <c r="BH73" i="23"/>
  <c r="U73" i="23"/>
  <c r="AC73" i="23"/>
  <c r="L73" i="23"/>
  <c r="BM73" i="23"/>
  <c r="BI73" i="23"/>
  <c r="V73" i="23"/>
  <c r="AD73" i="23"/>
  <c r="M73" i="23"/>
  <c r="BN73" i="23"/>
  <c r="BJ73" i="23"/>
  <c r="AQ74" i="23"/>
  <c r="AR74" i="23"/>
  <c r="AU74" i="23"/>
  <c r="AV74" i="23"/>
  <c r="BE74" i="23"/>
  <c r="Q74" i="23"/>
  <c r="S74" i="23"/>
  <c r="W74" i="23"/>
  <c r="AA74" i="23"/>
  <c r="I74" i="23"/>
  <c r="J74" i="23"/>
  <c r="BC74" i="23"/>
  <c r="BD74" i="23"/>
  <c r="BK74" i="23"/>
  <c r="BG74" i="23"/>
  <c r="T74" i="23"/>
  <c r="AB74" i="23"/>
  <c r="K74" i="23"/>
  <c r="BL74" i="23"/>
  <c r="BH74" i="23"/>
  <c r="U74" i="23"/>
  <c r="AC74" i="23"/>
  <c r="L74" i="23"/>
  <c r="BM74" i="23"/>
  <c r="BI74" i="23"/>
  <c r="V74" i="23"/>
  <c r="AD74" i="23"/>
  <c r="M74" i="23"/>
  <c r="BN74" i="23"/>
  <c r="BJ74" i="23"/>
  <c r="AQ75" i="23"/>
  <c r="AR75" i="23"/>
  <c r="AU75" i="23"/>
  <c r="AV75" i="23"/>
  <c r="BE75" i="23"/>
  <c r="BC75" i="23"/>
  <c r="BD75" i="23"/>
  <c r="Q75" i="23"/>
  <c r="S75" i="23"/>
  <c r="W75" i="23"/>
  <c r="AA75" i="23"/>
  <c r="I75" i="23"/>
  <c r="J75" i="23"/>
  <c r="BK75" i="23"/>
  <c r="BG75" i="23"/>
  <c r="T75" i="23"/>
  <c r="AB75" i="23"/>
  <c r="K75" i="23"/>
  <c r="BL75" i="23"/>
  <c r="BH75" i="23"/>
  <c r="U75" i="23"/>
  <c r="AC75" i="23"/>
  <c r="L75" i="23"/>
  <c r="BM75" i="23"/>
  <c r="BI75" i="23"/>
  <c r="V75" i="23"/>
  <c r="AD75" i="23"/>
  <c r="M75" i="23"/>
  <c r="BN75" i="23"/>
  <c r="BJ75" i="23"/>
  <c r="AQ76" i="23"/>
  <c r="AR76" i="23"/>
  <c r="AU76" i="23"/>
  <c r="AV76" i="23"/>
  <c r="BE76" i="23"/>
  <c r="Q76" i="23"/>
  <c r="S76" i="23"/>
  <c r="W76" i="23"/>
  <c r="AA76" i="23"/>
  <c r="I76" i="23"/>
  <c r="J76" i="23"/>
  <c r="BC76" i="23"/>
  <c r="BD76" i="23"/>
  <c r="BK76" i="23"/>
  <c r="BG76" i="23"/>
  <c r="T76" i="23"/>
  <c r="AB76" i="23"/>
  <c r="K76" i="23"/>
  <c r="BL76" i="23"/>
  <c r="BH76" i="23"/>
  <c r="U76" i="23"/>
  <c r="AC76" i="23"/>
  <c r="L76" i="23"/>
  <c r="BM76" i="23"/>
  <c r="BI76" i="23"/>
  <c r="V76" i="23"/>
  <c r="AD76" i="23"/>
  <c r="M76" i="23"/>
  <c r="BN76" i="23"/>
  <c r="BJ76" i="23"/>
  <c r="AQ77" i="23"/>
  <c r="AR77" i="23"/>
  <c r="AU77" i="23"/>
  <c r="AV77" i="23"/>
  <c r="BE77" i="23"/>
  <c r="Q77" i="23"/>
  <c r="S77" i="23"/>
  <c r="W77" i="23"/>
  <c r="AA77" i="23"/>
  <c r="I77" i="23"/>
  <c r="J77" i="23"/>
  <c r="BC77" i="23"/>
  <c r="BD77" i="23"/>
  <c r="BK77" i="23"/>
  <c r="BG77" i="23"/>
  <c r="T77" i="23"/>
  <c r="AB77" i="23"/>
  <c r="K77" i="23"/>
  <c r="BL77" i="23"/>
  <c r="BH77" i="23"/>
  <c r="U77" i="23"/>
  <c r="AC77" i="23"/>
  <c r="L77" i="23"/>
  <c r="BM77" i="23"/>
  <c r="BI77" i="23"/>
  <c r="V77" i="23"/>
  <c r="AD77" i="23"/>
  <c r="M77" i="23"/>
  <c r="BN77" i="23"/>
  <c r="BJ77" i="23"/>
  <c r="AQ78" i="23"/>
  <c r="AR78" i="23"/>
  <c r="AU78" i="23"/>
  <c r="AV78" i="23"/>
  <c r="BE78" i="23"/>
  <c r="BC78" i="23"/>
  <c r="BD78" i="23"/>
  <c r="Q78" i="23"/>
  <c r="S78" i="23"/>
  <c r="W78" i="23"/>
  <c r="AA78" i="23"/>
  <c r="I78" i="23"/>
  <c r="J78" i="23"/>
  <c r="BK78" i="23"/>
  <c r="BG78" i="23"/>
  <c r="T78" i="23"/>
  <c r="AB78" i="23"/>
  <c r="K78" i="23"/>
  <c r="BL78" i="23"/>
  <c r="BH78" i="23"/>
  <c r="U78" i="23"/>
  <c r="AC78" i="23"/>
  <c r="L78" i="23"/>
  <c r="BM78" i="23"/>
  <c r="BI78" i="23"/>
  <c r="V78" i="23"/>
  <c r="AD78" i="23"/>
  <c r="M78" i="23"/>
  <c r="BN78" i="23"/>
  <c r="BJ78" i="23"/>
  <c r="AQ79" i="23"/>
  <c r="AR79" i="23"/>
  <c r="AU79" i="23"/>
  <c r="AV79" i="23"/>
  <c r="BE79" i="23"/>
  <c r="Q79" i="23"/>
  <c r="S79" i="23"/>
  <c r="W79" i="23"/>
  <c r="AA79" i="23"/>
  <c r="I79" i="23"/>
  <c r="J79" i="23"/>
  <c r="BC79" i="23"/>
  <c r="BD79" i="23"/>
  <c r="BK79" i="23"/>
  <c r="BG79" i="23"/>
  <c r="T79" i="23"/>
  <c r="AB79" i="23"/>
  <c r="K79" i="23"/>
  <c r="BL79" i="23"/>
  <c r="BH79" i="23"/>
  <c r="U79" i="23"/>
  <c r="AC79" i="23"/>
  <c r="L79" i="23"/>
  <c r="BM79" i="23"/>
  <c r="BI79" i="23"/>
  <c r="V79" i="23"/>
  <c r="AD79" i="23"/>
  <c r="M79" i="23"/>
  <c r="BN79" i="23"/>
  <c r="BJ79" i="23"/>
  <c r="AQ80" i="23"/>
  <c r="AR80" i="23"/>
  <c r="AU80" i="23"/>
  <c r="AV80" i="23"/>
  <c r="BE80" i="23"/>
  <c r="BC80" i="23"/>
  <c r="BD80" i="23"/>
  <c r="Q80" i="23"/>
  <c r="S80" i="23"/>
  <c r="W80" i="23"/>
  <c r="AA80" i="23"/>
  <c r="I80" i="23"/>
  <c r="J80" i="23"/>
  <c r="BK80" i="23"/>
  <c r="BG80" i="23"/>
  <c r="T80" i="23"/>
  <c r="AB80" i="23"/>
  <c r="K80" i="23"/>
  <c r="BL80" i="23"/>
  <c r="BH80" i="23"/>
  <c r="U80" i="23"/>
  <c r="AC80" i="23"/>
  <c r="L80" i="23"/>
  <c r="BM80" i="23"/>
  <c r="BI80" i="23"/>
  <c r="V80" i="23"/>
  <c r="AD80" i="23"/>
  <c r="M80" i="23"/>
  <c r="BN80" i="23"/>
  <c r="BJ80" i="23"/>
  <c r="AQ81" i="23"/>
  <c r="AR81" i="23"/>
  <c r="AU81" i="23"/>
  <c r="AV81" i="23"/>
  <c r="BE81" i="23"/>
  <c r="Q81" i="23"/>
  <c r="S81" i="23"/>
  <c r="W81" i="23"/>
  <c r="AA81" i="23"/>
  <c r="I81" i="23"/>
  <c r="J81" i="23"/>
  <c r="BC81" i="23"/>
  <c r="BD81" i="23"/>
  <c r="BK81" i="23"/>
  <c r="BG81" i="23"/>
  <c r="T81" i="23"/>
  <c r="AB81" i="23"/>
  <c r="K81" i="23"/>
  <c r="BL81" i="23"/>
  <c r="BH81" i="23"/>
  <c r="U81" i="23"/>
  <c r="AC81" i="23"/>
  <c r="L81" i="23"/>
  <c r="BM81" i="23"/>
  <c r="BI81" i="23"/>
  <c r="V81" i="23"/>
  <c r="AD81" i="23"/>
  <c r="M81" i="23"/>
  <c r="BN81" i="23"/>
  <c r="BJ81" i="23"/>
  <c r="AQ82" i="23"/>
  <c r="AR82" i="23"/>
  <c r="AU82" i="23"/>
  <c r="AV82" i="23"/>
  <c r="BE82" i="23"/>
  <c r="BC82" i="23"/>
  <c r="BD82" i="23"/>
  <c r="Q82" i="23"/>
  <c r="S82" i="23"/>
  <c r="W82" i="23"/>
  <c r="AA82" i="23"/>
  <c r="I82" i="23"/>
  <c r="J82" i="23"/>
  <c r="BK82" i="23"/>
  <c r="BG82" i="23"/>
  <c r="T82" i="23"/>
  <c r="AB82" i="23"/>
  <c r="K82" i="23"/>
  <c r="BL82" i="23"/>
  <c r="BH82" i="23"/>
  <c r="U82" i="23"/>
  <c r="AC82" i="23"/>
  <c r="L82" i="23"/>
  <c r="BM82" i="23"/>
  <c r="BI82" i="23"/>
  <c r="V82" i="23"/>
  <c r="AD82" i="23"/>
  <c r="M82" i="23"/>
  <c r="BN82" i="23"/>
  <c r="BJ82" i="23"/>
  <c r="AQ83" i="23"/>
  <c r="AR83" i="23"/>
  <c r="AU83" i="23"/>
  <c r="AV83" i="23"/>
  <c r="BE83" i="23"/>
  <c r="Q83" i="23"/>
  <c r="S83" i="23"/>
  <c r="W83" i="23"/>
  <c r="AA83" i="23"/>
  <c r="I83" i="23"/>
  <c r="J83" i="23"/>
  <c r="BC83" i="23"/>
  <c r="BD83" i="23"/>
  <c r="BK83" i="23"/>
  <c r="BG83" i="23"/>
  <c r="T83" i="23"/>
  <c r="AB83" i="23"/>
  <c r="K83" i="23"/>
  <c r="BL83" i="23"/>
  <c r="BH83" i="23"/>
  <c r="U83" i="23"/>
  <c r="AC83" i="23"/>
  <c r="L83" i="23"/>
  <c r="BM83" i="23"/>
  <c r="BI83" i="23"/>
  <c r="V83" i="23"/>
  <c r="AD83" i="23"/>
  <c r="M83" i="23"/>
  <c r="BN83" i="23"/>
  <c r="BJ83" i="23"/>
  <c r="AQ84" i="23"/>
  <c r="AR84" i="23"/>
  <c r="AU84" i="23"/>
  <c r="AV84" i="23"/>
  <c r="BE84" i="23"/>
  <c r="BC84" i="23"/>
  <c r="BD84" i="23"/>
  <c r="Q84" i="23"/>
  <c r="S84" i="23"/>
  <c r="W84" i="23"/>
  <c r="AA84" i="23"/>
  <c r="I84" i="23"/>
  <c r="J84" i="23"/>
  <c r="BK84" i="23"/>
  <c r="BG84" i="23"/>
  <c r="T84" i="23"/>
  <c r="AB84" i="23"/>
  <c r="K84" i="23"/>
  <c r="BL84" i="23"/>
  <c r="BH84" i="23"/>
  <c r="U84" i="23"/>
  <c r="AC84" i="23"/>
  <c r="L84" i="23"/>
  <c r="BM84" i="23"/>
  <c r="BI84" i="23"/>
  <c r="V84" i="23"/>
  <c r="AD84" i="23"/>
  <c r="M84" i="23"/>
  <c r="BN84" i="23"/>
  <c r="BJ84" i="23"/>
  <c r="AQ85" i="23"/>
  <c r="AR85" i="23"/>
  <c r="AU85" i="23"/>
  <c r="AV85" i="23"/>
  <c r="BE85" i="23"/>
  <c r="Q85" i="23"/>
  <c r="S85" i="23"/>
  <c r="W85" i="23"/>
  <c r="AA85" i="23"/>
  <c r="I85" i="23"/>
  <c r="J85" i="23"/>
  <c r="BC85" i="23"/>
  <c r="BD85" i="23"/>
  <c r="BK85" i="23"/>
  <c r="BG85" i="23"/>
  <c r="T85" i="23"/>
  <c r="AB85" i="23"/>
  <c r="K85" i="23"/>
  <c r="BL85" i="23"/>
  <c r="BH85" i="23"/>
  <c r="U85" i="23"/>
  <c r="AC85" i="23"/>
  <c r="L85" i="23"/>
  <c r="BM85" i="23"/>
  <c r="BI85" i="23"/>
  <c r="V85" i="23"/>
  <c r="AD85" i="23"/>
  <c r="M85" i="23"/>
  <c r="BN85" i="23"/>
  <c r="BJ85" i="23"/>
  <c r="AQ86" i="23"/>
  <c r="AR86" i="23"/>
  <c r="AU86" i="23"/>
  <c r="AV86" i="23"/>
  <c r="BE86" i="23"/>
  <c r="BC86" i="23"/>
  <c r="BD86" i="23"/>
  <c r="Q86" i="23"/>
  <c r="S86" i="23"/>
  <c r="W86" i="23"/>
  <c r="AA86" i="23"/>
  <c r="I86" i="23"/>
  <c r="J86" i="23"/>
  <c r="BK86" i="23"/>
  <c r="BG86" i="23"/>
  <c r="T86" i="23"/>
  <c r="AB86" i="23"/>
  <c r="K86" i="23"/>
  <c r="BL86" i="23"/>
  <c r="BH86" i="23"/>
  <c r="U86" i="23"/>
  <c r="AC86" i="23"/>
  <c r="L86" i="23"/>
  <c r="BM86" i="23"/>
  <c r="BI86" i="23"/>
  <c r="V86" i="23"/>
  <c r="AD86" i="23"/>
  <c r="M86" i="23"/>
  <c r="BN86" i="23"/>
  <c r="BJ86" i="23"/>
  <c r="AQ87" i="23"/>
  <c r="AR87" i="23"/>
  <c r="AU87" i="23"/>
  <c r="AV87" i="23"/>
  <c r="BE87" i="23"/>
  <c r="Q87" i="23"/>
  <c r="S87" i="23"/>
  <c r="W87" i="23"/>
  <c r="AA87" i="23"/>
  <c r="I87" i="23"/>
  <c r="J87" i="23"/>
  <c r="BC87" i="23"/>
  <c r="BD87" i="23"/>
  <c r="BK87" i="23"/>
  <c r="BG87" i="23"/>
  <c r="T87" i="23"/>
  <c r="AB87" i="23"/>
  <c r="K87" i="23"/>
  <c r="BL87" i="23"/>
  <c r="BH87" i="23"/>
  <c r="U87" i="23"/>
  <c r="AC87" i="23"/>
  <c r="L87" i="23"/>
  <c r="BM87" i="23"/>
  <c r="BI87" i="23"/>
  <c r="V87" i="23"/>
  <c r="AD87" i="23"/>
  <c r="M87" i="23"/>
  <c r="BN87" i="23"/>
  <c r="BJ87" i="23"/>
  <c r="AQ88" i="23"/>
  <c r="AR88" i="23"/>
  <c r="AU88" i="23"/>
  <c r="AV88" i="23"/>
  <c r="BE88" i="23"/>
  <c r="Q88" i="23"/>
  <c r="S88" i="23"/>
  <c r="W88" i="23"/>
  <c r="AA88" i="23"/>
  <c r="I88" i="23"/>
  <c r="J88" i="23"/>
  <c r="BC88" i="23"/>
  <c r="BD88" i="23"/>
  <c r="BK88" i="23"/>
  <c r="BG88" i="23"/>
  <c r="T88" i="23"/>
  <c r="AB88" i="23"/>
  <c r="K88" i="23"/>
  <c r="BL88" i="23"/>
  <c r="BH88" i="23"/>
  <c r="U88" i="23"/>
  <c r="AC88" i="23"/>
  <c r="L88" i="23"/>
  <c r="BM88" i="23"/>
  <c r="BI88" i="23"/>
  <c r="V88" i="23"/>
  <c r="AD88" i="23"/>
  <c r="M88" i="23"/>
  <c r="BN88" i="23"/>
  <c r="BJ88" i="23"/>
  <c r="AQ89" i="23"/>
  <c r="AR89" i="23"/>
  <c r="AU89" i="23"/>
  <c r="AV89" i="23"/>
  <c r="BE89" i="23"/>
  <c r="BC89" i="23"/>
  <c r="BD89" i="23"/>
  <c r="Q89" i="23"/>
  <c r="S89" i="23"/>
  <c r="W89" i="23"/>
  <c r="AA89" i="23"/>
  <c r="I89" i="23"/>
  <c r="J89" i="23"/>
  <c r="BK89" i="23"/>
  <c r="BG89" i="23"/>
  <c r="T89" i="23"/>
  <c r="AB89" i="23"/>
  <c r="K89" i="23"/>
  <c r="BL89" i="23"/>
  <c r="BH89" i="23"/>
  <c r="U89" i="23"/>
  <c r="AC89" i="23"/>
  <c r="L89" i="23"/>
  <c r="BM89" i="23"/>
  <c r="BI89" i="23"/>
  <c r="V89" i="23"/>
  <c r="AD89" i="23"/>
  <c r="M89" i="23"/>
  <c r="BN89" i="23"/>
  <c r="BJ89" i="23"/>
  <c r="AQ90" i="23"/>
  <c r="AR90" i="23"/>
  <c r="AU90" i="23"/>
  <c r="AV90" i="23"/>
  <c r="BE90" i="23"/>
  <c r="Q90" i="23"/>
  <c r="S90" i="23"/>
  <c r="W90" i="23"/>
  <c r="AA90" i="23"/>
  <c r="I90" i="23"/>
  <c r="J90" i="23"/>
  <c r="G90" i="23"/>
  <c r="BC90" i="23"/>
  <c r="BD90" i="23"/>
  <c r="BK90" i="23"/>
  <c r="BG90" i="23"/>
  <c r="T90" i="23"/>
  <c r="AB90" i="23"/>
  <c r="K90" i="23"/>
  <c r="BL90" i="23"/>
  <c r="BH90" i="23"/>
  <c r="U90" i="23"/>
  <c r="AC90" i="23"/>
  <c r="L90" i="23"/>
  <c r="BM90" i="23"/>
  <c r="BI90" i="23"/>
  <c r="V90" i="23"/>
  <c r="AD90" i="23"/>
  <c r="M90" i="23"/>
  <c r="BN90" i="23"/>
  <c r="BJ90" i="23"/>
  <c r="AQ91" i="23"/>
  <c r="AR91" i="23"/>
  <c r="AU91" i="23"/>
  <c r="AV91" i="23"/>
  <c r="BE91" i="23"/>
  <c r="Q91" i="23"/>
  <c r="S91" i="23"/>
  <c r="W91" i="23"/>
  <c r="AA91" i="23"/>
  <c r="I91" i="23"/>
  <c r="J91" i="23"/>
  <c r="BC91" i="23"/>
  <c r="BD91" i="23"/>
  <c r="BK91" i="23"/>
  <c r="BG91" i="23"/>
  <c r="T91" i="23"/>
  <c r="AB91" i="23"/>
  <c r="K91" i="23"/>
  <c r="BL91" i="23"/>
  <c r="BH91" i="23"/>
  <c r="U91" i="23"/>
  <c r="AC91" i="23"/>
  <c r="L91" i="23"/>
  <c r="BM91" i="23"/>
  <c r="BI91" i="23"/>
  <c r="V91" i="23"/>
  <c r="AD91" i="23"/>
  <c r="M91" i="23"/>
  <c r="BN91" i="23"/>
  <c r="BJ91" i="23"/>
  <c r="AQ92" i="23"/>
  <c r="AR92" i="23"/>
  <c r="AU92" i="23"/>
  <c r="AV92" i="23"/>
  <c r="BE92" i="23"/>
  <c r="BC92" i="23"/>
  <c r="BD92" i="23"/>
  <c r="Q92" i="23"/>
  <c r="S92" i="23"/>
  <c r="W92" i="23"/>
  <c r="AA92" i="23"/>
  <c r="I92" i="23"/>
  <c r="J92" i="23"/>
  <c r="BK92" i="23"/>
  <c r="BG92" i="23"/>
  <c r="T92" i="23"/>
  <c r="AB92" i="23"/>
  <c r="K92" i="23"/>
  <c r="BL92" i="23"/>
  <c r="BH92" i="23"/>
  <c r="U92" i="23"/>
  <c r="AC92" i="23"/>
  <c r="L92" i="23"/>
  <c r="BM92" i="23"/>
  <c r="BI92" i="23"/>
  <c r="V92" i="23"/>
  <c r="AD92" i="23"/>
  <c r="M92" i="23"/>
  <c r="BN92" i="23"/>
  <c r="BJ92" i="23"/>
  <c r="AQ93" i="23"/>
  <c r="AR93" i="23"/>
  <c r="AU93" i="23"/>
  <c r="AV93" i="23"/>
  <c r="BE93" i="23"/>
  <c r="Q93" i="23"/>
  <c r="S93" i="23"/>
  <c r="W93" i="23"/>
  <c r="AA93" i="23"/>
  <c r="I93" i="23"/>
  <c r="J93" i="23"/>
  <c r="G93" i="23"/>
  <c r="BC93" i="23"/>
  <c r="BD93" i="23"/>
  <c r="BK93" i="23"/>
  <c r="BG93" i="23"/>
  <c r="T93" i="23"/>
  <c r="AB93" i="23"/>
  <c r="K93" i="23"/>
  <c r="BL93" i="23"/>
  <c r="BH93" i="23"/>
  <c r="U93" i="23"/>
  <c r="AC93" i="23"/>
  <c r="L93" i="23"/>
  <c r="BM93" i="23"/>
  <c r="BI93" i="23"/>
  <c r="V93" i="23"/>
  <c r="AD93" i="23"/>
  <c r="M93" i="23"/>
  <c r="BN93" i="23"/>
  <c r="BJ93" i="23"/>
  <c r="AQ94" i="23"/>
  <c r="AR94" i="23"/>
  <c r="AU94" i="23"/>
  <c r="AV94" i="23"/>
  <c r="BE94" i="23"/>
  <c r="Q94" i="23"/>
  <c r="S94" i="23"/>
  <c r="W94" i="23"/>
  <c r="AA94" i="23"/>
  <c r="I94" i="23"/>
  <c r="J94" i="23"/>
  <c r="BC94" i="23"/>
  <c r="BD94" i="23"/>
  <c r="BK94" i="23"/>
  <c r="BG94" i="23"/>
  <c r="T94" i="23"/>
  <c r="AB94" i="23"/>
  <c r="K94" i="23"/>
  <c r="BL94" i="23"/>
  <c r="BH94" i="23"/>
  <c r="U94" i="23"/>
  <c r="AC94" i="23"/>
  <c r="L94" i="23"/>
  <c r="BM94" i="23"/>
  <c r="BI94" i="23"/>
  <c r="V94" i="23"/>
  <c r="AD94" i="23"/>
  <c r="M94" i="23"/>
  <c r="BN94" i="23"/>
  <c r="BJ94" i="23"/>
  <c r="AQ95" i="23"/>
  <c r="AR95" i="23"/>
  <c r="AU95" i="23"/>
  <c r="AV95" i="23"/>
  <c r="BE95" i="23"/>
  <c r="BC95" i="23"/>
  <c r="BD95" i="23"/>
  <c r="Q95" i="23"/>
  <c r="S95" i="23"/>
  <c r="W95" i="23"/>
  <c r="AA95" i="23"/>
  <c r="I95" i="23"/>
  <c r="J95" i="23"/>
  <c r="BK95" i="23"/>
  <c r="BG95" i="23"/>
  <c r="T95" i="23"/>
  <c r="AB95" i="23"/>
  <c r="K95" i="23"/>
  <c r="BL95" i="23"/>
  <c r="BH95" i="23"/>
  <c r="U95" i="23"/>
  <c r="AC95" i="23"/>
  <c r="L95" i="23"/>
  <c r="BM95" i="23"/>
  <c r="BI95" i="23"/>
  <c r="V95" i="23"/>
  <c r="AD95" i="23"/>
  <c r="M95" i="23"/>
  <c r="BN95" i="23"/>
  <c r="BJ95" i="23"/>
  <c r="AQ96" i="23"/>
  <c r="AR96" i="23"/>
  <c r="AU96" i="23"/>
  <c r="AV96" i="23"/>
  <c r="BE96" i="23"/>
  <c r="Q96" i="23"/>
  <c r="S96" i="23"/>
  <c r="W96" i="23"/>
  <c r="AA96" i="23"/>
  <c r="I96" i="23"/>
  <c r="J96" i="23"/>
  <c r="G96" i="23"/>
  <c r="BC96" i="23"/>
  <c r="BD96" i="23"/>
  <c r="BK96" i="23"/>
  <c r="BG96" i="23"/>
  <c r="T96" i="23"/>
  <c r="AB96" i="23"/>
  <c r="K96" i="23"/>
  <c r="BL96" i="23"/>
  <c r="BH96" i="23"/>
  <c r="U96" i="23"/>
  <c r="AC96" i="23"/>
  <c r="L96" i="23"/>
  <c r="BM96" i="23"/>
  <c r="BI96" i="23"/>
  <c r="V96" i="23"/>
  <c r="AD96" i="23"/>
  <c r="M96" i="23"/>
  <c r="BN96" i="23"/>
  <c r="BJ96" i="23"/>
  <c r="AQ97" i="23"/>
  <c r="AR97" i="23"/>
  <c r="AU97" i="23"/>
  <c r="AV97" i="23"/>
  <c r="BE97" i="23"/>
  <c r="Q97" i="23"/>
  <c r="S97" i="23"/>
  <c r="W97" i="23"/>
  <c r="AA97" i="23"/>
  <c r="I97" i="23"/>
  <c r="J97" i="23"/>
  <c r="BC97" i="23"/>
  <c r="BD97" i="23"/>
  <c r="BK97" i="23"/>
  <c r="BG97" i="23"/>
  <c r="T97" i="23"/>
  <c r="AB97" i="23"/>
  <c r="K97" i="23"/>
  <c r="BL97" i="23"/>
  <c r="BH97" i="23"/>
  <c r="U97" i="23"/>
  <c r="AC97" i="23"/>
  <c r="L97" i="23"/>
  <c r="BM97" i="23"/>
  <c r="BI97" i="23"/>
  <c r="V97" i="23"/>
  <c r="AD97" i="23"/>
  <c r="M97" i="23"/>
  <c r="BN97" i="23"/>
  <c r="BJ97" i="23"/>
  <c r="AQ98" i="23"/>
  <c r="AR98" i="23"/>
  <c r="AU98" i="23"/>
  <c r="AV98" i="23"/>
  <c r="AQ99" i="23"/>
  <c r="AR99" i="23"/>
  <c r="AU99" i="23"/>
  <c r="AV99" i="23"/>
  <c r="AQ100" i="23"/>
  <c r="AR100" i="23"/>
  <c r="AU100" i="23"/>
  <c r="AV100" i="23"/>
  <c r="AQ101" i="23"/>
  <c r="AR101" i="23"/>
  <c r="AU101" i="23"/>
  <c r="AV101" i="23"/>
  <c r="AQ102" i="23"/>
  <c r="AR102" i="23"/>
  <c r="AU102" i="23"/>
  <c r="AV102" i="23"/>
  <c r="BE102" i="23"/>
  <c r="BC102" i="23"/>
  <c r="BD102" i="23"/>
  <c r="Q102" i="23"/>
  <c r="S102" i="23"/>
  <c r="W102" i="23"/>
  <c r="AA102" i="23"/>
  <c r="I102" i="23"/>
  <c r="J102" i="23"/>
  <c r="BK102" i="23"/>
  <c r="BG102" i="23"/>
  <c r="T102" i="23"/>
  <c r="AB102" i="23"/>
  <c r="K102" i="23"/>
  <c r="BL102" i="23"/>
  <c r="BH102" i="23"/>
  <c r="U102" i="23"/>
  <c r="AC102" i="23"/>
  <c r="L102" i="23"/>
  <c r="BM102" i="23"/>
  <c r="BI102" i="23"/>
  <c r="V102" i="23"/>
  <c r="AD102" i="23"/>
  <c r="M102" i="23"/>
  <c r="BN102" i="23"/>
  <c r="BJ102" i="23"/>
  <c r="AQ103" i="23"/>
  <c r="AR103" i="23"/>
  <c r="AU103" i="23"/>
  <c r="AV103" i="23"/>
  <c r="BE103" i="23"/>
  <c r="G103" i="23"/>
  <c r="BC103" i="23"/>
  <c r="BD103" i="23"/>
  <c r="Q103" i="23"/>
  <c r="S103" i="23"/>
  <c r="W103" i="23"/>
  <c r="AA103" i="23"/>
  <c r="I103" i="23"/>
  <c r="J103" i="23"/>
  <c r="BK103" i="23"/>
  <c r="BG103" i="23"/>
  <c r="T103" i="23"/>
  <c r="AB103" i="23"/>
  <c r="K103" i="23"/>
  <c r="BL103" i="23"/>
  <c r="BH103" i="23"/>
  <c r="U103" i="23"/>
  <c r="AC103" i="23"/>
  <c r="L103" i="23"/>
  <c r="BM103" i="23"/>
  <c r="BI103" i="23"/>
  <c r="V103" i="23"/>
  <c r="AD103" i="23"/>
  <c r="M103" i="23"/>
  <c r="BN103" i="23"/>
  <c r="BJ103" i="23"/>
  <c r="AQ104" i="23"/>
  <c r="AR104" i="23"/>
  <c r="AU104" i="23"/>
  <c r="AV104" i="23"/>
  <c r="BE104" i="23"/>
  <c r="G104" i="23"/>
  <c r="BC104" i="23"/>
  <c r="BD104" i="23"/>
  <c r="Q104" i="23"/>
  <c r="S104" i="23"/>
  <c r="W104" i="23"/>
  <c r="AA104" i="23"/>
  <c r="I104" i="23"/>
  <c r="J104" i="23"/>
  <c r="BK104" i="23"/>
  <c r="BG104" i="23"/>
  <c r="T104" i="23"/>
  <c r="AB104" i="23"/>
  <c r="K104" i="23"/>
  <c r="BL104" i="23"/>
  <c r="BH104" i="23"/>
  <c r="U104" i="23"/>
  <c r="AC104" i="23"/>
  <c r="L104" i="23"/>
  <c r="BM104" i="23"/>
  <c r="BI104" i="23"/>
  <c r="V104" i="23"/>
  <c r="AD104" i="23"/>
  <c r="M104" i="23"/>
  <c r="BN104" i="23"/>
  <c r="BJ104" i="23"/>
  <c r="AQ105" i="23"/>
  <c r="AR105" i="23"/>
  <c r="AU105" i="23"/>
  <c r="AV105" i="23"/>
  <c r="BE105" i="23"/>
  <c r="G105" i="23"/>
  <c r="BC105" i="23"/>
  <c r="BD105" i="23"/>
  <c r="Q105" i="23"/>
  <c r="S105" i="23"/>
  <c r="W105" i="23"/>
  <c r="AA105" i="23"/>
  <c r="I105" i="23"/>
  <c r="J105" i="23"/>
  <c r="BK105" i="23"/>
  <c r="BG105" i="23"/>
  <c r="T105" i="23"/>
  <c r="AB105" i="23"/>
  <c r="K105" i="23"/>
  <c r="BL105" i="23"/>
  <c r="BH105" i="23"/>
  <c r="U105" i="23"/>
  <c r="AC105" i="23"/>
  <c r="L105" i="23"/>
  <c r="BM105" i="23"/>
  <c r="BI105" i="23"/>
  <c r="V105" i="23"/>
  <c r="AD105" i="23"/>
  <c r="M105" i="23"/>
  <c r="BN105" i="23"/>
  <c r="BJ105" i="23"/>
  <c r="AQ106" i="23"/>
  <c r="AR106" i="23"/>
  <c r="AU106" i="23"/>
  <c r="AV106" i="23"/>
  <c r="BE106" i="23"/>
  <c r="G106" i="23"/>
  <c r="BC106" i="23"/>
  <c r="BD106" i="23"/>
  <c r="Q106" i="23"/>
  <c r="S106" i="23"/>
  <c r="W106" i="23"/>
  <c r="AA106" i="23"/>
  <c r="I106" i="23"/>
  <c r="J106" i="23"/>
  <c r="BK106" i="23"/>
  <c r="BG106" i="23"/>
  <c r="T106" i="23"/>
  <c r="AB106" i="23"/>
  <c r="K106" i="23"/>
  <c r="BL106" i="23"/>
  <c r="BH106" i="23"/>
  <c r="U106" i="23"/>
  <c r="AC106" i="23"/>
  <c r="L106" i="23"/>
  <c r="BM106" i="23"/>
  <c r="BI106" i="23"/>
  <c r="V106" i="23"/>
  <c r="AD106" i="23"/>
  <c r="M106" i="23"/>
  <c r="BN106" i="23"/>
  <c r="BJ106" i="23"/>
  <c r="AQ107" i="23"/>
  <c r="AR107" i="23"/>
  <c r="AU107" i="23"/>
  <c r="AV107" i="23"/>
  <c r="BE107" i="23"/>
  <c r="G107" i="23"/>
  <c r="BC107" i="23"/>
  <c r="BD107" i="23"/>
  <c r="Q107" i="23"/>
  <c r="S107" i="23"/>
  <c r="W107" i="23"/>
  <c r="AA107" i="23"/>
  <c r="I107" i="23"/>
  <c r="J107" i="23"/>
  <c r="BK107" i="23"/>
  <c r="BG107" i="23"/>
  <c r="T107" i="23"/>
  <c r="AB107" i="23"/>
  <c r="K107" i="23"/>
  <c r="BL107" i="23"/>
  <c r="BH107" i="23"/>
  <c r="U107" i="23"/>
  <c r="AC107" i="23"/>
  <c r="L107" i="23"/>
  <c r="BM107" i="23"/>
  <c r="BI107" i="23"/>
  <c r="V107" i="23"/>
  <c r="AD107" i="23"/>
  <c r="M107" i="23"/>
  <c r="BN107" i="23"/>
  <c r="BJ107" i="23"/>
  <c r="AQ108" i="23"/>
  <c r="AR108" i="23"/>
  <c r="AU108" i="23"/>
  <c r="AV108" i="23"/>
  <c r="BE108" i="23"/>
  <c r="G108" i="23"/>
  <c r="BC108" i="23"/>
  <c r="BD108" i="23"/>
  <c r="Q108" i="23"/>
  <c r="S108" i="23"/>
  <c r="W108" i="23"/>
  <c r="AA108" i="23"/>
  <c r="I108" i="23"/>
  <c r="J108" i="23"/>
  <c r="BK108" i="23"/>
  <c r="BG108" i="23"/>
  <c r="T108" i="23"/>
  <c r="AB108" i="23"/>
  <c r="K108" i="23"/>
  <c r="BL108" i="23"/>
  <c r="BH108" i="23"/>
  <c r="U108" i="23"/>
  <c r="AC108" i="23"/>
  <c r="L108" i="23"/>
  <c r="BM108" i="23"/>
  <c r="BI108" i="23"/>
  <c r="V108" i="23"/>
  <c r="AD108" i="23"/>
  <c r="M108" i="23"/>
  <c r="BN108" i="23"/>
  <c r="BJ108" i="23"/>
  <c r="AQ109" i="23"/>
  <c r="AR109" i="23"/>
  <c r="AU109" i="23"/>
  <c r="AV109" i="23"/>
  <c r="BE109" i="23"/>
  <c r="G109" i="23"/>
  <c r="BC109" i="23"/>
  <c r="BD109" i="23"/>
  <c r="Q109" i="23"/>
  <c r="S109" i="23"/>
  <c r="W109" i="23"/>
  <c r="AA109" i="23"/>
  <c r="I109" i="23"/>
  <c r="J109" i="23"/>
  <c r="BK109" i="23"/>
  <c r="BG109" i="23"/>
  <c r="T109" i="23"/>
  <c r="AB109" i="23"/>
  <c r="K109" i="23"/>
  <c r="BL109" i="23"/>
  <c r="BH109" i="23"/>
  <c r="U109" i="23"/>
  <c r="AC109" i="23"/>
  <c r="L109" i="23"/>
  <c r="BM109" i="23"/>
  <c r="BI109" i="23"/>
  <c r="V109" i="23"/>
  <c r="AD109" i="23"/>
  <c r="M109" i="23"/>
  <c r="BN109" i="23"/>
  <c r="BJ109" i="23"/>
  <c r="AQ110" i="23"/>
  <c r="AR110" i="23"/>
  <c r="AU110" i="23"/>
  <c r="AV110" i="23"/>
  <c r="BE110" i="23"/>
  <c r="G110" i="23"/>
  <c r="BC110" i="23"/>
  <c r="BD110" i="23"/>
  <c r="Q110" i="23"/>
  <c r="S110" i="23"/>
  <c r="W110" i="23"/>
  <c r="AA110" i="23"/>
  <c r="I110" i="23"/>
  <c r="J110" i="23"/>
  <c r="BK110" i="23"/>
  <c r="BG110" i="23"/>
  <c r="T110" i="23"/>
  <c r="AB110" i="23"/>
  <c r="K110" i="23"/>
  <c r="BL110" i="23"/>
  <c r="BH110" i="23"/>
  <c r="U110" i="23"/>
  <c r="AC110" i="23"/>
  <c r="L110" i="23"/>
  <c r="BM110" i="23"/>
  <c r="BI110" i="23"/>
  <c r="V110" i="23"/>
  <c r="AD110" i="23"/>
  <c r="M110" i="23"/>
  <c r="BN110" i="23"/>
  <c r="BJ110" i="23"/>
  <c r="AQ111" i="23"/>
  <c r="AR111" i="23"/>
  <c r="AU111" i="23"/>
  <c r="AV111" i="23"/>
  <c r="BE111" i="23"/>
  <c r="G111" i="23"/>
  <c r="BC111" i="23"/>
  <c r="BD111" i="23"/>
  <c r="Q111" i="23"/>
  <c r="S111" i="23"/>
  <c r="W111" i="23"/>
  <c r="AA111" i="23"/>
  <c r="I111" i="23"/>
  <c r="J111" i="23"/>
  <c r="BK111" i="23"/>
  <c r="BG111" i="23"/>
  <c r="T111" i="23"/>
  <c r="AB111" i="23"/>
  <c r="K111" i="23"/>
  <c r="BL111" i="23"/>
  <c r="BH111" i="23"/>
  <c r="U111" i="23"/>
  <c r="AC111" i="23"/>
  <c r="L111" i="23"/>
  <c r="BM111" i="23"/>
  <c r="BI111" i="23"/>
  <c r="V111" i="23"/>
  <c r="AD111" i="23"/>
  <c r="M111" i="23"/>
  <c r="BN111" i="23"/>
  <c r="BJ111" i="23"/>
  <c r="AQ112" i="23"/>
  <c r="AR112" i="23"/>
  <c r="AU112" i="23"/>
  <c r="AV112" i="23"/>
  <c r="BE112" i="23"/>
  <c r="G112" i="23"/>
  <c r="BC112" i="23"/>
  <c r="BD112" i="23"/>
  <c r="Q112" i="23"/>
  <c r="S112" i="23"/>
  <c r="W112" i="23"/>
  <c r="AA112" i="23"/>
  <c r="I112" i="23"/>
  <c r="J112" i="23"/>
  <c r="BK112" i="23"/>
  <c r="BG112" i="23"/>
  <c r="T112" i="23"/>
  <c r="AB112" i="23"/>
  <c r="K112" i="23"/>
  <c r="BL112" i="23"/>
  <c r="BH112" i="23"/>
  <c r="U112" i="23"/>
  <c r="AC112" i="23"/>
  <c r="L112" i="23"/>
  <c r="BM112" i="23"/>
  <c r="BI112" i="23"/>
  <c r="V112" i="23"/>
  <c r="AD112" i="23"/>
  <c r="M112" i="23"/>
  <c r="BN112" i="23"/>
  <c r="BJ112" i="23"/>
  <c r="AQ113" i="23"/>
  <c r="AR113" i="23"/>
  <c r="AU113" i="23"/>
  <c r="AV113" i="23"/>
  <c r="BE113" i="23"/>
  <c r="G113" i="23"/>
  <c r="BC113" i="23"/>
  <c r="BD113" i="23"/>
  <c r="Q113" i="23"/>
  <c r="S113" i="23"/>
  <c r="W113" i="23"/>
  <c r="AA113" i="23"/>
  <c r="I113" i="23"/>
  <c r="J113" i="23"/>
  <c r="BK113" i="23"/>
  <c r="BG113" i="23"/>
  <c r="T113" i="23"/>
  <c r="AB113" i="23"/>
  <c r="K113" i="23"/>
  <c r="BL113" i="23"/>
  <c r="BH113" i="23"/>
  <c r="U113" i="23"/>
  <c r="AC113" i="23"/>
  <c r="L113" i="23"/>
  <c r="BM113" i="23"/>
  <c r="BI113" i="23"/>
  <c r="V113" i="23"/>
  <c r="AD113" i="23"/>
  <c r="M113" i="23"/>
  <c r="BN113" i="23"/>
  <c r="BJ113" i="23"/>
  <c r="AQ114" i="23"/>
  <c r="AR114" i="23"/>
  <c r="AU114" i="23"/>
  <c r="AV114" i="23"/>
  <c r="BE114" i="23"/>
  <c r="G114" i="23"/>
  <c r="BC114" i="23"/>
  <c r="BD114" i="23"/>
  <c r="Q114" i="23"/>
  <c r="S114" i="23"/>
  <c r="W114" i="23"/>
  <c r="AA114" i="23"/>
  <c r="I114" i="23"/>
  <c r="J114" i="23"/>
  <c r="BK114" i="23"/>
  <c r="BG114" i="23"/>
  <c r="T114" i="23"/>
  <c r="AB114" i="23"/>
  <c r="K114" i="23"/>
  <c r="BL114" i="23"/>
  <c r="BH114" i="23"/>
  <c r="U114" i="23"/>
  <c r="AC114" i="23"/>
  <c r="L114" i="23"/>
  <c r="BM114" i="23"/>
  <c r="BI114" i="23"/>
  <c r="V114" i="23"/>
  <c r="AD114" i="23"/>
  <c r="M114" i="23"/>
  <c r="BN114" i="23"/>
  <c r="BJ114" i="23"/>
  <c r="AQ115" i="23"/>
  <c r="AR115" i="23"/>
  <c r="AU115" i="23"/>
  <c r="AV115" i="23"/>
  <c r="BE115" i="23"/>
  <c r="G115" i="23"/>
  <c r="BC115" i="23"/>
  <c r="BD115" i="23"/>
  <c r="Q115" i="23"/>
  <c r="S115" i="23"/>
  <c r="W115" i="23"/>
  <c r="AA115" i="23"/>
  <c r="I115" i="23"/>
  <c r="J115" i="23"/>
  <c r="BK115" i="23"/>
  <c r="BG115" i="23"/>
  <c r="T115" i="23"/>
  <c r="AB115" i="23"/>
  <c r="K115" i="23"/>
  <c r="BL115" i="23"/>
  <c r="BH115" i="23"/>
  <c r="U115" i="23"/>
  <c r="AC115" i="23"/>
  <c r="L115" i="23"/>
  <c r="BM115" i="23"/>
  <c r="BI115" i="23"/>
  <c r="V115" i="23"/>
  <c r="AD115" i="23"/>
  <c r="M115" i="23"/>
  <c r="BN115" i="23"/>
  <c r="BJ115" i="23"/>
  <c r="AQ116" i="23"/>
  <c r="AR116" i="23"/>
  <c r="AU116" i="23"/>
  <c r="AV116" i="23"/>
  <c r="BE116" i="23"/>
  <c r="G116" i="23"/>
  <c r="BC116" i="23"/>
  <c r="BD116" i="23"/>
  <c r="Q116" i="23"/>
  <c r="S116" i="23"/>
  <c r="W116" i="23"/>
  <c r="AA116" i="23"/>
  <c r="I116" i="23"/>
  <c r="J116" i="23"/>
  <c r="BK116" i="23"/>
  <c r="BG116" i="23"/>
  <c r="T116" i="23"/>
  <c r="AB116" i="23"/>
  <c r="K116" i="23"/>
  <c r="BL116" i="23"/>
  <c r="BH116" i="23"/>
  <c r="U116" i="23"/>
  <c r="AC116" i="23"/>
  <c r="L116" i="23"/>
  <c r="BM116" i="23"/>
  <c r="BI116" i="23"/>
  <c r="V116" i="23"/>
  <c r="AD116" i="23"/>
  <c r="M116" i="23"/>
  <c r="BN116" i="23"/>
  <c r="BJ116" i="23"/>
  <c r="AQ117" i="23"/>
  <c r="AR117" i="23"/>
  <c r="AU117" i="23"/>
  <c r="AV117" i="23"/>
  <c r="BE117" i="23"/>
  <c r="G117" i="23"/>
  <c r="BC117" i="23"/>
  <c r="BD117" i="23"/>
  <c r="Q117" i="23"/>
  <c r="S117" i="23"/>
  <c r="W117" i="23"/>
  <c r="AA117" i="23"/>
  <c r="I117" i="23"/>
  <c r="J117" i="23"/>
  <c r="BK117" i="23"/>
  <c r="BG117" i="23"/>
  <c r="T117" i="23"/>
  <c r="AB117" i="23"/>
  <c r="K117" i="23"/>
  <c r="BL117" i="23"/>
  <c r="BH117" i="23"/>
  <c r="U117" i="23"/>
  <c r="AC117" i="23"/>
  <c r="L117" i="23"/>
  <c r="BM117" i="23"/>
  <c r="BI117" i="23"/>
  <c r="V117" i="23"/>
  <c r="AD117" i="23"/>
  <c r="M117" i="23"/>
  <c r="BN117" i="23"/>
  <c r="BJ117" i="23"/>
  <c r="AQ118" i="23"/>
  <c r="AR118" i="23"/>
  <c r="AU118" i="23"/>
  <c r="AV118" i="23"/>
  <c r="BE118" i="23"/>
  <c r="BC118" i="23"/>
  <c r="BD118" i="23"/>
  <c r="Q118" i="23"/>
  <c r="S118" i="23"/>
  <c r="W118" i="23"/>
  <c r="AA118" i="23"/>
  <c r="I118" i="23"/>
  <c r="J118" i="23"/>
  <c r="BK118" i="23"/>
  <c r="BG118" i="23"/>
  <c r="T118" i="23"/>
  <c r="AB118" i="23"/>
  <c r="K118" i="23"/>
  <c r="BL118" i="23"/>
  <c r="BH118" i="23"/>
  <c r="U118" i="23"/>
  <c r="AC118" i="23"/>
  <c r="L118" i="23"/>
  <c r="BM118" i="23"/>
  <c r="BI118" i="23"/>
  <c r="V118" i="23"/>
  <c r="AD118" i="23"/>
  <c r="M118" i="23"/>
  <c r="BN118" i="23"/>
  <c r="BJ118" i="23"/>
  <c r="AQ119" i="23"/>
  <c r="AR119" i="23"/>
  <c r="AU119" i="23"/>
  <c r="AV119" i="23"/>
  <c r="BE119" i="23"/>
  <c r="BC119" i="23"/>
  <c r="BD119" i="23"/>
  <c r="Q119" i="23"/>
  <c r="S119" i="23"/>
  <c r="W119" i="23"/>
  <c r="AA119" i="23"/>
  <c r="I119" i="23"/>
  <c r="J119" i="23"/>
  <c r="BK119" i="23"/>
  <c r="BG119" i="23"/>
  <c r="T119" i="23"/>
  <c r="AB119" i="23"/>
  <c r="K119" i="23"/>
  <c r="BL119" i="23"/>
  <c r="BH119" i="23"/>
  <c r="U119" i="23"/>
  <c r="AC119" i="23"/>
  <c r="L119" i="23"/>
  <c r="BM119" i="23"/>
  <c r="BI119" i="23"/>
  <c r="V119" i="23"/>
  <c r="AD119" i="23"/>
  <c r="M119" i="23"/>
  <c r="BN119" i="23"/>
  <c r="BJ119" i="23"/>
  <c r="AQ120" i="23"/>
  <c r="AR120" i="23"/>
  <c r="AU120" i="23"/>
  <c r="AV120" i="23"/>
  <c r="BE120" i="23"/>
  <c r="BC120" i="23"/>
  <c r="BD120" i="23"/>
  <c r="Q120" i="23"/>
  <c r="S120" i="23"/>
  <c r="W120" i="23"/>
  <c r="AA120" i="23"/>
  <c r="I120" i="23"/>
  <c r="J120" i="23"/>
  <c r="BK120" i="23"/>
  <c r="BG120" i="23"/>
  <c r="T120" i="23"/>
  <c r="AB120" i="23"/>
  <c r="K120" i="23"/>
  <c r="BL120" i="23"/>
  <c r="BH120" i="23"/>
  <c r="U120" i="23"/>
  <c r="AC120" i="23"/>
  <c r="L120" i="23"/>
  <c r="BM120" i="23"/>
  <c r="BI120" i="23"/>
  <c r="V120" i="23"/>
  <c r="AD120" i="23"/>
  <c r="M120" i="23"/>
  <c r="BN120" i="23"/>
  <c r="BJ120" i="23"/>
  <c r="AQ121" i="23"/>
  <c r="AR121" i="23"/>
  <c r="AU121" i="23"/>
  <c r="AV121" i="23"/>
  <c r="BE121" i="23"/>
  <c r="BC121" i="23"/>
  <c r="BD121" i="23"/>
  <c r="Q121" i="23"/>
  <c r="S121" i="23"/>
  <c r="W121" i="23"/>
  <c r="AA121" i="23"/>
  <c r="I121" i="23"/>
  <c r="J121" i="23"/>
  <c r="BK121" i="23"/>
  <c r="BG121" i="23"/>
  <c r="T121" i="23"/>
  <c r="AB121" i="23"/>
  <c r="K121" i="23"/>
  <c r="BL121" i="23"/>
  <c r="BH121" i="23"/>
  <c r="U121" i="23"/>
  <c r="AC121" i="23"/>
  <c r="L121" i="23"/>
  <c r="BM121" i="23"/>
  <c r="BI121" i="23"/>
  <c r="V121" i="23"/>
  <c r="AD121" i="23"/>
  <c r="M121" i="23"/>
  <c r="BN121" i="23"/>
  <c r="BJ121" i="23"/>
  <c r="AQ122" i="23"/>
  <c r="AR122" i="23"/>
  <c r="AU122" i="23"/>
  <c r="AV122" i="23"/>
  <c r="BE122" i="23"/>
  <c r="BC122" i="23"/>
  <c r="BD122" i="23"/>
  <c r="W122" i="23"/>
  <c r="AA122" i="23"/>
  <c r="I122" i="23"/>
  <c r="J122" i="23"/>
  <c r="S122" i="23"/>
  <c r="BK122" i="23"/>
  <c r="BG122" i="23"/>
  <c r="AB122" i="23"/>
  <c r="K122" i="23"/>
  <c r="T122" i="23"/>
  <c r="BL122" i="23"/>
  <c r="BH122" i="23"/>
  <c r="AC122" i="23"/>
  <c r="L122" i="23"/>
  <c r="U122" i="23"/>
  <c r="BM122" i="23"/>
  <c r="BI122" i="23"/>
  <c r="AD122" i="23"/>
  <c r="M122" i="23"/>
  <c r="V122" i="23"/>
  <c r="BN122" i="23"/>
  <c r="BJ122" i="23"/>
  <c r="AQ123" i="23"/>
  <c r="AR123" i="23"/>
  <c r="AU123" i="23"/>
  <c r="AV123" i="23"/>
  <c r="BE123" i="23"/>
  <c r="BC123" i="23"/>
  <c r="BD123" i="23"/>
  <c r="W123" i="23"/>
  <c r="AA123" i="23"/>
  <c r="I123" i="23"/>
  <c r="J123" i="23"/>
  <c r="S123" i="23"/>
  <c r="BK123" i="23"/>
  <c r="BG123" i="23"/>
  <c r="AB123" i="23"/>
  <c r="K123" i="23"/>
  <c r="T123" i="23"/>
  <c r="BL123" i="23"/>
  <c r="BH123" i="23"/>
  <c r="AC123" i="23"/>
  <c r="L123" i="23"/>
  <c r="U123" i="23"/>
  <c r="BM123" i="23"/>
  <c r="BI123" i="23"/>
  <c r="AD123" i="23"/>
  <c r="M123" i="23"/>
  <c r="V123" i="23"/>
  <c r="BN123" i="23"/>
  <c r="BJ123" i="23"/>
  <c r="AQ124" i="23"/>
  <c r="AR124" i="23"/>
  <c r="AU124" i="23"/>
  <c r="AV124" i="23"/>
  <c r="BE124" i="23"/>
  <c r="BC124" i="23"/>
  <c r="BD124" i="23"/>
  <c r="W124" i="23"/>
  <c r="AA124" i="23"/>
  <c r="I124" i="23"/>
  <c r="J124" i="23"/>
  <c r="S124" i="23"/>
  <c r="BK124" i="23"/>
  <c r="BG124" i="23"/>
  <c r="AB124" i="23"/>
  <c r="K124" i="23"/>
  <c r="T124" i="23"/>
  <c r="BL124" i="23"/>
  <c r="BH124" i="23"/>
  <c r="AC124" i="23"/>
  <c r="L124" i="23"/>
  <c r="U124" i="23"/>
  <c r="BM124" i="23"/>
  <c r="BI124" i="23"/>
  <c r="AD124" i="23"/>
  <c r="M124" i="23"/>
  <c r="V124" i="23"/>
  <c r="BN124" i="23"/>
  <c r="BJ124" i="23"/>
  <c r="AQ125" i="23"/>
  <c r="AR125" i="23"/>
  <c r="AU125" i="23"/>
  <c r="AV125" i="23"/>
  <c r="BE125" i="23"/>
  <c r="BC125" i="23"/>
  <c r="BD125" i="23"/>
  <c r="W125" i="23"/>
  <c r="AA125" i="23"/>
  <c r="I125" i="23"/>
  <c r="J125" i="23"/>
  <c r="S125" i="23"/>
  <c r="BK125" i="23"/>
  <c r="BG125" i="23"/>
  <c r="AB125" i="23"/>
  <c r="K125" i="23"/>
  <c r="T125" i="23"/>
  <c r="BL125" i="23"/>
  <c r="BH125" i="23"/>
  <c r="AC125" i="23"/>
  <c r="L125" i="23"/>
  <c r="U125" i="23"/>
  <c r="BM125" i="23"/>
  <c r="BI125" i="23"/>
  <c r="AD125" i="23"/>
  <c r="M125" i="23"/>
  <c r="V125" i="23"/>
  <c r="BN125" i="23"/>
  <c r="BJ125" i="23"/>
  <c r="AQ126" i="23"/>
  <c r="AR126" i="23"/>
  <c r="AU126" i="23"/>
  <c r="AV126" i="23"/>
  <c r="BE126" i="23"/>
  <c r="BC126" i="23"/>
  <c r="BD126" i="23"/>
  <c r="W126" i="23"/>
  <c r="AA126" i="23"/>
  <c r="I126" i="23"/>
  <c r="J126" i="23"/>
  <c r="S126" i="23"/>
  <c r="BK126" i="23"/>
  <c r="BG126" i="23"/>
  <c r="AB126" i="23"/>
  <c r="K126" i="23"/>
  <c r="T126" i="23"/>
  <c r="BL126" i="23"/>
  <c r="BH126" i="23"/>
  <c r="AC126" i="23"/>
  <c r="L126" i="23"/>
  <c r="U126" i="23"/>
  <c r="BM126" i="23"/>
  <c r="BI126" i="23"/>
  <c r="AD126" i="23"/>
  <c r="M126" i="23"/>
  <c r="V126" i="23"/>
  <c r="BN126" i="23"/>
  <c r="BJ126" i="23"/>
  <c r="AQ127" i="23"/>
  <c r="AR127" i="23"/>
  <c r="AU127" i="23"/>
  <c r="AV127" i="23"/>
  <c r="BE127" i="23"/>
  <c r="BC127" i="23"/>
  <c r="BD127" i="23"/>
  <c r="Q127" i="23"/>
  <c r="S127" i="23"/>
  <c r="W127" i="23"/>
  <c r="AA127" i="23"/>
  <c r="I127" i="23"/>
  <c r="J127" i="23"/>
  <c r="BK127" i="23"/>
  <c r="BG127" i="23"/>
  <c r="T127" i="23"/>
  <c r="AB127" i="23"/>
  <c r="K127" i="23"/>
  <c r="BL127" i="23"/>
  <c r="BH127" i="23"/>
  <c r="U127" i="23"/>
  <c r="AC127" i="23"/>
  <c r="L127" i="23"/>
  <c r="BM127" i="23"/>
  <c r="BI127" i="23"/>
  <c r="V127" i="23"/>
  <c r="AD127" i="23"/>
  <c r="M127" i="23"/>
  <c r="BN127" i="23"/>
  <c r="BJ127" i="23"/>
  <c r="AQ128" i="23"/>
  <c r="AR128" i="23"/>
  <c r="AU128" i="23"/>
  <c r="AV128" i="23"/>
  <c r="BE128" i="23"/>
  <c r="Q128" i="23"/>
  <c r="S128" i="23"/>
  <c r="W128" i="23"/>
  <c r="AA128" i="23"/>
  <c r="I128" i="23"/>
  <c r="J128" i="23"/>
  <c r="BC128" i="23"/>
  <c r="BD128" i="23"/>
  <c r="BK128" i="23"/>
  <c r="BG128" i="23"/>
  <c r="T128" i="23"/>
  <c r="AB128" i="23"/>
  <c r="K128" i="23"/>
  <c r="BL128" i="23"/>
  <c r="BH128" i="23"/>
  <c r="U128" i="23"/>
  <c r="AC128" i="23"/>
  <c r="L128" i="23"/>
  <c r="BM128" i="23"/>
  <c r="BI128" i="23"/>
  <c r="V128" i="23"/>
  <c r="AD128" i="23"/>
  <c r="M128" i="23"/>
  <c r="BN128" i="23"/>
  <c r="BJ128" i="23"/>
  <c r="AQ129" i="23"/>
  <c r="AR129" i="23"/>
  <c r="AU129" i="23"/>
  <c r="AV129" i="23"/>
  <c r="BE129" i="23"/>
  <c r="BC129" i="23"/>
  <c r="BD129" i="23"/>
  <c r="Q129" i="23"/>
  <c r="S129" i="23"/>
  <c r="W129" i="23"/>
  <c r="AA129" i="23"/>
  <c r="I129" i="23"/>
  <c r="J129" i="23"/>
  <c r="BK129" i="23"/>
  <c r="BG129" i="23"/>
  <c r="T129" i="23"/>
  <c r="AB129" i="23"/>
  <c r="K129" i="23"/>
  <c r="BL129" i="23"/>
  <c r="BH129" i="23"/>
  <c r="U129" i="23"/>
  <c r="AC129" i="23"/>
  <c r="L129" i="23"/>
  <c r="BM129" i="23"/>
  <c r="BI129" i="23"/>
  <c r="V129" i="23"/>
  <c r="AD129" i="23"/>
  <c r="M129" i="23"/>
  <c r="BN129" i="23"/>
  <c r="BJ129" i="23"/>
  <c r="AQ130" i="23"/>
  <c r="AR130" i="23"/>
  <c r="AU130" i="23"/>
  <c r="AV130" i="23"/>
  <c r="BE130" i="23"/>
  <c r="Q130" i="23"/>
  <c r="S130" i="23"/>
  <c r="W130" i="23"/>
  <c r="AA130" i="23"/>
  <c r="I130" i="23"/>
  <c r="J130" i="23"/>
  <c r="BC130" i="23"/>
  <c r="BD130" i="23"/>
  <c r="BK130" i="23"/>
  <c r="BG130" i="23"/>
  <c r="T130" i="23"/>
  <c r="AB130" i="23"/>
  <c r="K130" i="23"/>
  <c r="BL130" i="23"/>
  <c r="BH130" i="23"/>
  <c r="U130" i="23"/>
  <c r="AC130" i="23"/>
  <c r="L130" i="23"/>
  <c r="BM130" i="23"/>
  <c r="BI130" i="23"/>
  <c r="V130" i="23"/>
  <c r="AD130" i="23"/>
  <c r="M130" i="23"/>
  <c r="BN130" i="23"/>
  <c r="BJ130" i="23"/>
  <c r="AQ131" i="23"/>
  <c r="AR131" i="23"/>
  <c r="AU131" i="23"/>
  <c r="AV131" i="23"/>
  <c r="BE131" i="23"/>
  <c r="BC131" i="23"/>
  <c r="BD131" i="23"/>
  <c r="Q131" i="23"/>
  <c r="S131" i="23"/>
  <c r="W131" i="23"/>
  <c r="AA131" i="23"/>
  <c r="I131" i="23"/>
  <c r="J131" i="23"/>
  <c r="BK131" i="23"/>
  <c r="BG131" i="23"/>
  <c r="T131" i="23"/>
  <c r="AB131" i="23"/>
  <c r="K131" i="23"/>
  <c r="BL131" i="23"/>
  <c r="BH131" i="23"/>
  <c r="U131" i="23"/>
  <c r="AC131" i="23"/>
  <c r="L131" i="23"/>
  <c r="BM131" i="23"/>
  <c r="BI131" i="23"/>
  <c r="V131" i="23"/>
  <c r="AD131" i="23"/>
  <c r="M131" i="23"/>
  <c r="BN131" i="23"/>
  <c r="BJ131" i="23"/>
  <c r="AQ132" i="23"/>
  <c r="AR132" i="23"/>
  <c r="AU132" i="23"/>
  <c r="AV132" i="23"/>
  <c r="BE132" i="23"/>
  <c r="Q132" i="23"/>
  <c r="S132" i="23"/>
  <c r="W132" i="23"/>
  <c r="AA132" i="23"/>
  <c r="I132" i="23"/>
  <c r="J132" i="23"/>
  <c r="BC132" i="23"/>
  <c r="BD132" i="23"/>
  <c r="BK132" i="23"/>
  <c r="BG132" i="23"/>
  <c r="T132" i="23"/>
  <c r="AB132" i="23"/>
  <c r="K132" i="23"/>
  <c r="BL132" i="23"/>
  <c r="BH132" i="23"/>
  <c r="U132" i="23"/>
  <c r="AC132" i="23"/>
  <c r="L132" i="23"/>
  <c r="BM132" i="23"/>
  <c r="BI132" i="23"/>
  <c r="V132" i="23"/>
  <c r="AD132" i="23"/>
  <c r="M132" i="23"/>
  <c r="BN132" i="23"/>
  <c r="BJ132" i="23"/>
  <c r="AQ133" i="23"/>
  <c r="AR133" i="23"/>
  <c r="AU133" i="23"/>
  <c r="AV133" i="23"/>
  <c r="BE133" i="23"/>
  <c r="BC133" i="23"/>
  <c r="BD133" i="23"/>
  <c r="Q133" i="23"/>
  <c r="S133" i="23"/>
  <c r="W133" i="23"/>
  <c r="AA133" i="23"/>
  <c r="I133" i="23"/>
  <c r="J133" i="23"/>
  <c r="BK133" i="23"/>
  <c r="BG133" i="23"/>
  <c r="T133" i="23"/>
  <c r="AB133" i="23"/>
  <c r="K133" i="23"/>
  <c r="BL133" i="23"/>
  <c r="BH133" i="23"/>
  <c r="U133" i="23"/>
  <c r="AC133" i="23"/>
  <c r="L133" i="23"/>
  <c r="BM133" i="23"/>
  <c r="BI133" i="23"/>
  <c r="V133" i="23"/>
  <c r="AD133" i="23"/>
  <c r="M133" i="23"/>
  <c r="BN133" i="23"/>
  <c r="BJ133" i="23"/>
  <c r="AQ134" i="23"/>
  <c r="AR134" i="23"/>
  <c r="AU134" i="23"/>
  <c r="AV134" i="23"/>
  <c r="BE134" i="23"/>
  <c r="Q134" i="23"/>
  <c r="S134" i="23"/>
  <c r="W134" i="23"/>
  <c r="AA134" i="23"/>
  <c r="I134" i="23"/>
  <c r="J134" i="23"/>
  <c r="BC134" i="23"/>
  <c r="BD134" i="23"/>
  <c r="BK134" i="23"/>
  <c r="BG134" i="23"/>
  <c r="T134" i="23"/>
  <c r="AB134" i="23"/>
  <c r="K134" i="23"/>
  <c r="BL134" i="23"/>
  <c r="BH134" i="23"/>
  <c r="U134" i="23"/>
  <c r="AC134" i="23"/>
  <c r="L134" i="23"/>
  <c r="BM134" i="23"/>
  <c r="BI134" i="23"/>
  <c r="V134" i="23"/>
  <c r="AD134" i="23"/>
  <c r="M134" i="23"/>
  <c r="BN134" i="23"/>
  <c r="BJ134" i="23"/>
  <c r="AQ135" i="23"/>
  <c r="AR135" i="23"/>
  <c r="AU135" i="23"/>
  <c r="AV135" i="23"/>
  <c r="BE135" i="23"/>
  <c r="BC135" i="23"/>
  <c r="BD135" i="23"/>
  <c r="Q135" i="23"/>
  <c r="S135" i="23"/>
  <c r="W135" i="23"/>
  <c r="AA135" i="23"/>
  <c r="I135" i="23"/>
  <c r="J135" i="23"/>
  <c r="BK135" i="23"/>
  <c r="BG135" i="23"/>
  <c r="T135" i="23"/>
  <c r="AB135" i="23"/>
  <c r="K135" i="23"/>
  <c r="BL135" i="23"/>
  <c r="BH135" i="23"/>
  <c r="U135" i="23"/>
  <c r="AC135" i="23"/>
  <c r="L135" i="23"/>
  <c r="BM135" i="23"/>
  <c r="BI135" i="23"/>
  <c r="V135" i="23"/>
  <c r="AD135" i="23"/>
  <c r="M135" i="23"/>
  <c r="BN135" i="23"/>
  <c r="BJ135" i="23"/>
  <c r="AQ136" i="23"/>
  <c r="AR136" i="23"/>
  <c r="AU136" i="23"/>
  <c r="AV136" i="23"/>
  <c r="BE136" i="23"/>
  <c r="Q136" i="23"/>
  <c r="S136" i="23"/>
  <c r="W136" i="23"/>
  <c r="AA136" i="23"/>
  <c r="I136" i="23"/>
  <c r="J136" i="23"/>
  <c r="BC136" i="23"/>
  <c r="BD136" i="23"/>
  <c r="BK136" i="23"/>
  <c r="BG136" i="23"/>
  <c r="T136" i="23"/>
  <c r="AB136" i="23"/>
  <c r="K136" i="23"/>
  <c r="BL136" i="23"/>
  <c r="BH136" i="23"/>
  <c r="U136" i="23"/>
  <c r="AC136" i="23"/>
  <c r="L136" i="23"/>
  <c r="BM136" i="23"/>
  <c r="BI136" i="23"/>
  <c r="V136" i="23"/>
  <c r="AD136" i="23"/>
  <c r="M136" i="23"/>
  <c r="BN136" i="23"/>
  <c r="BJ136" i="23"/>
  <c r="AQ137" i="23"/>
  <c r="AR137" i="23"/>
  <c r="AU137" i="23"/>
  <c r="AV137" i="23"/>
  <c r="BE137" i="23"/>
  <c r="BC137" i="23"/>
  <c r="BD137" i="23"/>
  <c r="Q137" i="23"/>
  <c r="S137" i="23"/>
  <c r="W137" i="23"/>
  <c r="AA137" i="23"/>
  <c r="I137" i="23"/>
  <c r="J137" i="23"/>
  <c r="BK137" i="23"/>
  <c r="BG137" i="23"/>
  <c r="T137" i="23"/>
  <c r="AB137" i="23"/>
  <c r="K137" i="23"/>
  <c r="BL137" i="23"/>
  <c r="BH137" i="23"/>
  <c r="U137" i="23"/>
  <c r="AC137" i="23"/>
  <c r="L137" i="23"/>
  <c r="BM137" i="23"/>
  <c r="BI137" i="23"/>
  <c r="V137" i="23"/>
  <c r="AD137" i="23"/>
  <c r="M137" i="23"/>
  <c r="BN137" i="23"/>
  <c r="BJ137" i="23"/>
  <c r="AQ138" i="23"/>
  <c r="AR138" i="23"/>
  <c r="AU138" i="23"/>
  <c r="AV138" i="23"/>
  <c r="BE138" i="23"/>
  <c r="Q138" i="23"/>
  <c r="S138" i="23"/>
  <c r="W138" i="23"/>
  <c r="AA138" i="23"/>
  <c r="I138" i="23"/>
  <c r="J138" i="23"/>
  <c r="BC138" i="23"/>
  <c r="BD138" i="23"/>
  <c r="BK138" i="23"/>
  <c r="BG138" i="23"/>
  <c r="T138" i="23"/>
  <c r="AB138" i="23"/>
  <c r="K138" i="23"/>
  <c r="BL138" i="23"/>
  <c r="BH138" i="23"/>
  <c r="U138" i="23"/>
  <c r="AC138" i="23"/>
  <c r="L138" i="23"/>
  <c r="BM138" i="23"/>
  <c r="BI138" i="23"/>
  <c r="V138" i="23"/>
  <c r="AD138" i="23"/>
  <c r="M138" i="23"/>
  <c r="BN138" i="23"/>
  <c r="BJ138" i="23"/>
  <c r="AQ139" i="23"/>
  <c r="AR139" i="23"/>
  <c r="AU139" i="23"/>
  <c r="AV139" i="23"/>
  <c r="BE139" i="23"/>
  <c r="BC139" i="23"/>
  <c r="BD139" i="23"/>
  <c r="Q139" i="23"/>
  <c r="S139" i="23"/>
  <c r="W139" i="23"/>
  <c r="AA139" i="23"/>
  <c r="I139" i="23"/>
  <c r="J139" i="23"/>
  <c r="BK139" i="23"/>
  <c r="BG139" i="23"/>
  <c r="T139" i="23"/>
  <c r="AB139" i="23"/>
  <c r="K139" i="23"/>
  <c r="BL139" i="23"/>
  <c r="BH139" i="23"/>
  <c r="U139" i="23"/>
  <c r="AC139" i="23"/>
  <c r="L139" i="23"/>
  <c r="BM139" i="23"/>
  <c r="BI139" i="23"/>
  <c r="V139" i="23"/>
  <c r="AD139" i="23"/>
  <c r="M139" i="23"/>
  <c r="BN139" i="23"/>
  <c r="BJ139" i="23"/>
  <c r="AQ140" i="23"/>
  <c r="AR140" i="23"/>
  <c r="AU140" i="23"/>
  <c r="AV140" i="23"/>
  <c r="BE140" i="23"/>
  <c r="Q140" i="23"/>
  <c r="S140" i="23"/>
  <c r="W140" i="23"/>
  <c r="AA140" i="23"/>
  <c r="I140" i="23"/>
  <c r="J140" i="23"/>
  <c r="BC140" i="23"/>
  <c r="BD140" i="23"/>
  <c r="BK140" i="23"/>
  <c r="BG140" i="23"/>
  <c r="T140" i="23"/>
  <c r="AB140" i="23"/>
  <c r="K140" i="23"/>
  <c r="BL140" i="23"/>
  <c r="BH140" i="23"/>
  <c r="U140" i="23"/>
  <c r="AC140" i="23"/>
  <c r="L140" i="23"/>
  <c r="BM140" i="23"/>
  <c r="BI140" i="23"/>
  <c r="V140" i="23"/>
  <c r="AD140" i="23"/>
  <c r="M140" i="23"/>
  <c r="BN140" i="23"/>
  <c r="BJ140" i="23"/>
  <c r="AQ141" i="23"/>
  <c r="AR141" i="23"/>
  <c r="AU141" i="23"/>
  <c r="AV141" i="23"/>
  <c r="BE141" i="23"/>
  <c r="BC141" i="23"/>
  <c r="BD141" i="23"/>
  <c r="Q141" i="23"/>
  <c r="S141" i="23"/>
  <c r="W141" i="23"/>
  <c r="AA141" i="23"/>
  <c r="I141" i="23"/>
  <c r="J141" i="23"/>
  <c r="BK141" i="23"/>
  <c r="BG141" i="23"/>
  <c r="T141" i="23"/>
  <c r="AB141" i="23"/>
  <c r="K141" i="23"/>
  <c r="BL141" i="23"/>
  <c r="BH141" i="23"/>
  <c r="U141" i="23"/>
  <c r="AC141" i="23"/>
  <c r="L141" i="23"/>
  <c r="BM141" i="23"/>
  <c r="BI141" i="23"/>
  <c r="V141" i="23"/>
  <c r="AD141" i="23"/>
  <c r="M141" i="23"/>
  <c r="BN141" i="23"/>
  <c r="BJ141" i="23"/>
  <c r="AQ142" i="23"/>
  <c r="AR142" i="23"/>
  <c r="AU142" i="23"/>
  <c r="AV142" i="23"/>
  <c r="BE142" i="23"/>
  <c r="Q142" i="23"/>
  <c r="S142" i="23"/>
  <c r="W142" i="23"/>
  <c r="AA142" i="23"/>
  <c r="I142" i="23"/>
  <c r="J142" i="23"/>
  <c r="BC142" i="23"/>
  <c r="BD142" i="23"/>
  <c r="BK142" i="23"/>
  <c r="BG142" i="23"/>
  <c r="T142" i="23"/>
  <c r="AB142" i="23"/>
  <c r="K142" i="23"/>
  <c r="BL142" i="23"/>
  <c r="BH142" i="23"/>
  <c r="U142" i="23"/>
  <c r="AC142" i="23"/>
  <c r="L142" i="23"/>
  <c r="BM142" i="23"/>
  <c r="BI142" i="23"/>
  <c r="V142" i="23"/>
  <c r="AD142" i="23"/>
  <c r="M142" i="23"/>
  <c r="BN142" i="23"/>
  <c r="BJ142" i="23"/>
  <c r="AQ143" i="23"/>
  <c r="AR143" i="23"/>
  <c r="AU143" i="23"/>
  <c r="AV143" i="23"/>
  <c r="BE143" i="23"/>
  <c r="BC143" i="23"/>
  <c r="BD143" i="23"/>
  <c r="Q143" i="23"/>
  <c r="S143" i="23"/>
  <c r="W143" i="23"/>
  <c r="AA143" i="23"/>
  <c r="I143" i="23"/>
  <c r="J143" i="23"/>
  <c r="BK143" i="23"/>
  <c r="BG143" i="23"/>
  <c r="T143" i="23"/>
  <c r="AB143" i="23"/>
  <c r="K143" i="23"/>
  <c r="BL143" i="23"/>
  <c r="BH143" i="23"/>
  <c r="U143" i="23"/>
  <c r="AC143" i="23"/>
  <c r="L143" i="23"/>
  <c r="BM143" i="23"/>
  <c r="BI143" i="23"/>
  <c r="V143" i="23"/>
  <c r="AD143" i="23"/>
  <c r="M143" i="23"/>
  <c r="BN143" i="23"/>
  <c r="BJ143" i="23"/>
  <c r="AQ144" i="23"/>
  <c r="AR144" i="23"/>
  <c r="AU144" i="23"/>
  <c r="AV144" i="23"/>
  <c r="BE144" i="23"/>
  <c r="Q144" i="23"/>
  <c r="S144" i="23"/>
  <c r="W144" i="23"/>
  <c r="AA144" i="23"/>
  <c r="I144" i="23"/>
  <c r="J144" i="23"/>
  <c r="BC144" i="23"/>
  <c r="BD144" i="23"/>
  <c r="BK144" i="23"/>
  <c r="BG144" i="23"/>
  <c r="T144" i="23"/>
  <c r="AB144" i="23"/>
  <c r="K144" i="23"/>
  <c r="BL144" i="23"/>
  <c r="BH144" i="23"/>
  <c r="U144" i="23"/>
  <c r="AC144" i="23"/>
  <c r="L144" i="23"/>
  <c r="BM144" i="23"/>
  <c r="BI144" i="23"/>
  <c r="V144" i="23"/>
  <c r="AD144" i="23"/>
  <c r="M144" i="23"/>
  <c r="BN144" i="23"/>
  <c r="BJ144" i="23"/>
  <c r="AQ145" i="23"/>
  <c r="AR145" i="23"/>
  <c r="AU145" i="23"/>
  <c r="AV145" i="23"/>
  <c r="BE145" i="23"/>
  <c r="BC145" i="23"/>
  <c r="BD145" i="23"/>
  <c r="Q145" i="23"/>
  <c r="S145" i="23"/>
  <c r="W145" i="23"/>
  <c r="AA145" i="23"/>
  <c r="I145" i="23"/>
  <c r="J145" i="23"/>
  <c r="BK145" i="23"/>
  <c r="BG145" i="23"/>
  <c r="T145" i="23"/>
  <c r="AB145" i="23"/>
  <c r="K145" i="23"/>
  <c r="BL145" i="23"/>
  <c r="BH145" i="23"/>
  <c r="U145" i="23"/>
  <c r="AC145" i="23"/>
  <c r="L145" i="23"/>
  <c r="BM145" i="23"/>
  <c r="BI145" i="23"/>
  <c r="V145" i="23"/>
  <c r="AD145" i="23"/>
  <c r="M145" i="23"/>
  <c r="BN145" i="23"/>
  <c r="BJ145" i="23"/>
  <c r="AQ146" i="23"/>
  <c r="AR146" i="23"/>
  <c r="AU146" i="23"/>
  <c r="AV146" i="23"/>
  <c r="BE146" i="23"/>
  <c r="Q146" i="23"/>
  <c r="S146" i="23"/>
  <c r="W146" i="23"/>
  <c r="AA146" i="23"/>
  <c r="I146" i="23"/>
  <c r="J146" i="23"/>
  <c r="BC146" i="23"/>
  <c r="BD146" i="23"/>
  <c r="BK146" i="23"/>
  <c r="BG146" i="23"/>
  <c r="T146" i="23"/>
  <c r="AB146" i="23"/>
  <c r="K146" i="23"/>
  <c r="BL146" i="23"/>
  <c r="BH146" i="23"/>
  <c r="U146" i="23"/>
  <c r="AC146" i="23"/>
  <c r="L146" i="23"/>
  <c r="BM146" i="23"/>
  <c r="BI146" i="23"/>
  <c r="V146" i="23"/>
  <c r="AD146" i="23"/>
  <c r="M146" i="23"/>
  <c r="BN146" i="23"/>
  <c r="BJ146" i="23"/>
  <c r="AQ147" i="23"/>
  <c r="AR147" i="23"/>
  <c r="AU147" i="23"/>
  <c r="AV147" i="23"/>
  <c r="BE147" i="23"/>
  <c r="BC147" i="23"/>
  <c r="BD147" i="23"/>
  <c r="Q147" i="23"/>
  <c r="S147" i="23"/>
  <c r="W147" i="23"/>
  <c r="AA147" i="23"/>
  <c r="I147" i="23"/>
  <c r="J147" i="23"/>
  <c r="BK147" i="23"/>
  <c r="BG147" i="23"/>
  <c r="T147" i="23"/>
  <c r="AB147" i="23"/>
  <c r="K147" i="23"/>
  <c r="BL147" i="23"/>
  <c r="BH147" i="23"/>
  <c r="U147" i="23"/>
  <c r="AC147" i="23"/>
  <c r="L147" i="23"/>
  <c r="BM147" i="23"/>
  <c r="BI147" i="23"/>
  <c r="V147" i="23"/>
  <c r="AD147" i="23"/>
  <c r="M147" i="23"/>
  <c r="BN147" i="23"/>
  <c r="BJ147" i="23"/>
  <c r="AQ148" i="23"/>
  <c r="AR148" i="23"/>
  <c r="AU148" i="23"/>
  <c r="AV148" i="23"/>
  <c r="BE148" i="23"/>
  <c r="Q148" i="23"/>
  <c r="S148" i="23"/>
  <c r="W148" i="23"/>
  <c r="AA148" i="23"/>
  <c r="I148" i="23"/>
  <c r="J148" i="23"/>
  <c r="BC148" i="23"/>
  <c r="BD148" i="23"/>
  <c r="BK148" i="23"/>
  <c r="BG148" i="23"/>
  <c r="T148" i="23"/>
  <c r="AB148" i="23"/>
  <c r="K148" i="23"/>
  <c r="BL148" i="23"/>
  <c r="BH148" i="23"/>
  <c r="U148" i="23"/>
  <c r="AC148" i="23"/>
  <c r="L148" i="23"/>
  <c r="BM148" i="23"/>
  <c r="BI148" i="23"/>
  <c r="V148" i="23"/>
  <c r="AD148" i="23"/>
  <c r="M148" i="23"/>
  <c r="BN148" i="23"/>
  <c r="BJ148" i="23"/>
  <c r="AQ149" i="23"/>
  <c r="AR149" i="23"/>
  <c r="AU149" i="23"/>
  <c r="AV149" i="23"/>
  <c r="BE149" i="23"/>
  <c r="BC149" i="23"/>
  <c r="BD149" i="23"/>
  <c r="Q149" i="23"/>
  <c r="S149" i="23"/>
  <c r="W149" i="23"/>
  <c r="AA149" i="23"/>
  <c r="I149" i="23"/>
  <c r="J149" i="23"/>
  <c r="BK149" i="23"/>
  <c r="BG149" i="23"/>
  <c r="T149" i="23"/>
  <c r="AB149" i="23"/>
  <c r="K149" i="23"/>
  <c r="BL149" i="23"/>
  <c r="BH149" i="23"/>
  <c r="U149" i="23"/>
  <c r="AC149" i="23"/>
  <c r="L149" i="23"/>
  <c r="BM149" i="23"/>
  <c r="BI149" i="23"/>
  <c r="V149" i="23"/>
  <c r="AD149" i="23"/>
  <c r="M149" i="23"/>
  <c r="BN149" i="23"/>
  <c r="BJ149" i="23"/>
  <c r="AQ150" i="23"/>
  <c r="AR150" i="23"/>
  <c r="AU150" i="23"/>
  <c r="AV150" i="23"/>
  <c r="BE150" i="23"/>
  <c r="Q150" i="23"/>
  <c r="S150" i="23"/>
  <c r="W150" i="23"/>
  <c r="AA150" i="23"/>
  <c r="I150" i="23"/>
  <c r="J150" i="23"/>
  <c r="BC150" i="23"/>
  <c r="BD150" i="23"/>
  <c r="BK150" i="23"/>
  <c r="BG150" i="23"/>
  <c r="T150" i="23"/>
  <c r="AB150" i="23"/>
  <c r="K150" i="23"/>
  <c r="BL150" i="23"/>
  <c r="BH150" i="23"/>
  <c r="U150" i="23"/>
  <c r="AC150" i="23"/>
  <c r="L150" i="23"/>
  <c r="BM150" i="23"/>
  <c r="BI150" i="23"/>
  <c r="V150" i="23"/>
  <c r="AD150" i="23"/>
  <c r="M150" i="23"/>
  <c r="BN150" i="23"/>
  <c r="BJ150" i="23"/>
  <c r="AQ151" i="23"/>
  <c r="AR151" i="23"/>
  <c r="AU151" i="23"/>
  <c r="AV151" i="23"/>
  <c r="BE151" i="23"/>
  <c r="BC151" i="23"/>
  <c r="BD151" i="23"/>
  <c r="Q151" i="23"/>
  <c r="S151" i="23"/>
  <c r="W151" i="23"/>
  <c r="AA151" i="23"/>
  <c r="I151" i="23"/>
  <c r="J151" i="23"/>
  <c r="BK151" i="23"/>
  <c r="BG151" i="23"/>
  <c r="T151" i="23"/>
  <c r="AB151" i="23"/>
  <c r="K151" i="23"/>
  <c r="BL151" i="23"/>
  <c r="BH151" i="23"/>
  <c r="U151" i="23"/>
  <c r="AC151" i="23"/>
  <c r="L151" i="23"/>
  <c r="BM151" i="23"/>
  <c r="BI151" i="23"/>
  <c r="V151" i="23"/>
  <c r="AD151" i="23"/>
  <c r="M151" i="23"/>
  <c r="BN151" i="23"/>
  <c r="BJ151" i="23"/>
  <c r="AQ152" i="23"/>
  <c r="AR152" i="23"/>
  <c r="AU152" i="23"/>
  <c r="AV152" i="23"/>
  <c r="BE152" i="23"/>
  <c r="Q152" i="23"/>
  <c r="S152" i="23"/>
  <c r="W152" i="23"/>
  <c r="AA152" i="23"/>
  <c r="I152" i="23"/>
  <c r="J152" i="23"/>
  <c r="BC152" i="23"/>
  <c r="BD152" i="23"/>
  <c r="BK152" i="23"/>
  <c r="BG152" i="23"/>
  <c r="T152" i="23"/>
  <c r="AB152" i="23"/>
  <c r="K152" i="23"/>
  <c r="BL152" i="23"/>
  <c r="BH152" i="23"/>
  <c r="U152" i="23"/>
  <c r="AC152" i="23"/>
  <c r="L152" i="23"/>
  <c r="BM152" i="23"/>
  <c r="BI152" i="23"/>
  <c r="V152" i="23"/>
  <c r="AD152" i="23"/>
  <c r="M152" i="23"/>
  <c r="BN152" i="23"/>
  <c r="BJ152" i="23"/>
  <c r="AQ153" i="23"/>
  <c r="AR153" i="23"/>
  <c r="AU153" i="23"/>
  <c r="AV153" i="23"/>
  <c r="BE153" i="23"/>
  <c r="BC153" i="23"/>
  <c r="BD153" i="23"/>
  <c r="Q153" i="23"/>
  <c r="S153" i="23"/>
  <c r="W153" i="23"/>
  <c r="AA153" i="23"/>
  <c r="I153" i="23"/>
  <c r="J153" i="23"/>
  <c r="BK153" i="23"/>
  <c r="BG153" i="23"/>
  <c r="T153" i="23"/>
  <c r="AB153" i="23"/>
  <c r="K153" i="23"/>
  <c r="BL153" i="23"/>
  <c r="BH153" i="23"/>
  <c r="U153" i="23"/>
  <c r="AC153" i="23"/>
  <c r="L153" i="23"/>
  <c r="BM153" i="23"/>
  <c r="BI153" i="23"/>
  <c r="V153" i="23"/>
  <c r="AD153" i="23"/>
  <c r="M153" i="23"/>
  <c r="BN153" i="23"/>
  <c r="BJ153" i="23"/>
  <c r="AQ154" i="23"/>
  <c r="AR154" i="23"/>
  <c r="AU154" i="23"/>
  <c r="AV154" i="23"/>
  <c r="BE154" i="23"/>
  <c r="Q154" i="23"/>
  <c r="S154" i="23"/>
  <c r="W154" i="23"/>
  <c r="AA154" i="23"/>
  <c r="I154" i="23"/>
  <c r="J154" i="23"/>
  <c r="BC154" i="23"/>
  <c r="BD154" i="23"/>
  <c r="BK154" i="23"/>
  <c r="BG154" i="23"/>
  <c r="T154" i="23"/>
  <c r="AB154" i="23"/>
  <c r="K154" i="23"/>
  <c r="BL154" i="23"/>
  <c r="BH154" i="23"/>
  <c r="U154" i="23"/>
  <c r="AC154" i="23"/>
  <c r="L154" i="23"/>
  <c r="BM154" i="23"/>
  <c r="BI154" i="23"/>
  <c r="V154" i="23"/>
  <c r="AD154" i="23"/>
  <c r="M154" i="23"/>
  <c r="BN154" i="23"/>
  <c r="BJ154" i="23"/>
  <c r="AQ155" i="23"/>
  <c r="AR155" i="23"/>
  <c r="AU155" i="23"/>
  <c r="AV155" i="23"/>
  <c r="BE155" i="23"/>
  <c r="BC155" i="23"/>
  <c r="BD155" i="23"/>
  <c r="Q155" i="23"/>
  <c r="S155" i="23"/>
  <c r="W155" i="23"/>
  <c r="AA155" i="23"/>
  <c r="I155" i="23"/>
  <c r="J155" i="23"/>
  <c r="BK155" i="23"/>
  <c r="BG155" i="23"/>
  <c r="T155" i="23"/>
  <c r="AB155" i="23"/>
  <c r="K155" i="23"/>
  <c r="BL155" i="23"/>
  <c r="BH155" i="23"/>
  <c r="U155" i="23"/>
  <c r="AC155" i="23"/>
  <c r="L155" i="23"/>
  <c r="BM155" i="23"/>
  <c r="BI155" i="23"/>
  <c r="V155" i="23"/>
  <c r="AD155" i="23"/>
  <c r="M155" i="23"/>
  <c r="BN155" i="23"/>
  <c r="BJ155" i="23"/>
  <c r="AQ156" i="23"/>
  <c r="AR156" i="23"/>
  <c r="AU156" i="23"/>
  <c r="AV156" i="23"/>
  <c r="BE156" i="23"/>
  <c r="Q156" i="23"/>
  <c r="S156" i="23"/>
  <c r="W156" i="23"/>
  <c r="AA156" i="23"/>
  <c r="I156" i="23"/>
  <c r="J156" i="23"/>
  <c r="BC156" i="23"/>
  <c r="BD156" i="23"/>
  <c r="BK156" i="23"/>
  <c r="BG156" i="23"/>
  <c r="T156" i="23"/>
  <c r="AB156" i="23"/>
  <c r="K156" i="23"/>
  <c r="BL156" i="23"/>
  <c r="BH156" i="23"/>
  <c r="U156" i="23"/>
  <c r="AC156" i="23"/>
  <c r="L156" i="23"/>
  <c r="BM156" i="23"/>
  <c r="BI156" i="23"/>
  <c r="V156" i="23"/>
  <c r="AD156" i="23"/>
  <c r="M156" i="23"/>
  <c r="BN156" i="23"/>
  <c r="BJ156" i="23"/>
  <c r="AQ157" i="23"/>
  <c r="AR157" i="23"/>
  <c r="AU157" i="23"/>
  <c r="AV157" i="23"/>
  <c r="BE157" i="23"/>
  <c r="BC157" i="23"/>
  <c r="BD157" i="23"/>
  <c r="Q157" i="23"/>
  <c r="S157" i="23"/>
  <c r="W157" i="23"/>
  <c r="AA157" i="23"/>
  <c r="I157" i="23"/>
  <c r="J157" i="23"/>
  <c r="BK157" i="23"/>
  <c r="BG157" i="23"/>
  <c r="T157" i="23"/>
  <c r="AB157" i="23"/>
  <c r="K157" i="23"/>
  <c r="BL157" i="23"/>
  <c r="BH157" i="23"/>
  <c r="U157" i="23"/>
  <c r="AC157" i="23"/>
  <c r="L157" i="23"/>
  <c r="BM157" i="23"/>
  <c r="BI157" i="23"/>
  <c r="V157" i="23"/>
  <c r="AD157" i="23"/>
  <c r="M157" i="23"/>
  <c r="BN157" i="23"/>
  <c r="BJ157" i="23"/>
  <c r="AQ158" i="23"/>
  <c r="AR158" i="23"/>
  <c r="AU158" i="23"/>
  <c r="AV158" i="23"/>
  <c r="BE158" i="23"/>
  <c r="Q158" i="23"/>
  <c r="S158" i="23"/>
  <c r="W158" i="23"/>
  <c r="AA158" i="23"/>
  <c r="I158" i="23"/>
  <c r="J158" i="23"/>
  <c r="BC158" i="23"/>
  <c r="BD158" i="23"/>
  <c r="BK158" i="23"/>
  <c r="BG158" i="23"/>
  <c r="T158" i="23"/>
  <c r="AB158" i="23"/>
  <c r="K158" i="23"/>
  <c r="BL158" i="23"/>
  <c r="BH158" i="23"/>
  <c r="U158" i="23"/>
  <c r="AC158" i="23"/>
  <c r="L158" i="23"/>
  <c r="BM158" i="23"/>
  <c r="BI158" i="23"/>
  <c r="V158" i="23"/>
  <c r="AD158" i="23"/>
  <c r="M158" i="23"/>
  <c r="BN158" i="23"/>
  <c r="BJ158" i="23"/>
  <c r="AQ159" i="23"/>
  <c r="AR159" i="23"/>
  <c r="AU159" i="23"/>
  <c r="AV159" i="23"/>
  <c r="BE159" i="23"/>
  <c r="BC159" i="23"/>
  <c r="BD159" i="23"/>
  <c r="Q159" i="23"/>
  <c r="S159" i="23"/>
  <c r="W159" i="23"/>
  <c r="AA159" i="23"/>
  <c r="I159" i="23"/>
  <c r="J159" i="23"/>
  <c r="BK159" i="23"/>
  <c r="BG159" i="23"/>
  <c r="T159" i="23"/>
  <c r="AB159" i="23"/>
  <c r="K159" i="23"/>
  <c r="BL159" i="23"/>
  <c r="BH159" i="23"/>
  <c r="U159" i="23"/>
  <c r="AC159" i="23"/>
  <c r="L159" i="23"/>
  <c r="BM159" i="23"/>
  <c r="BI159" i="23"/>
  <c r="V159" i="23"/>
  <c r="AD159" i="23"/>
  <c r="M159" i="23"/>
  <c r="BN159" i="23"/>
  <c r="BJ159" i="23"/>
  <c r="AQ160" i="23"/>
  <c r="AR160" i="23"/>
  <c r="AU160" i="23"/>
  <c r="AV160" i="23"/>
  <c r="BE160" i="23"/>
  <c r="Q160" i="23"/>
  <c r="S160" i="23"/>
  <c r="W160" i="23"/>
  <c r="AA160" i="23"/>
  <c r="I160" i="23"/>
  <c r="J160" i="23"/>
  <c r="BC160" i="23"/>
  <c r="BD160" i="23"/>
  <c r="BK160" i="23"/>
  <c r="BG160" i="23"/>
  <c r="T160" i="23"/>
  <c r="AB160" i="23"/>
  <c r="K160" i="23"/>
  <c r="BL160" i="23"/>
  <c r="BH160" i="23"/>
  <c r="U160" i="23"/>
  <c r="AC160" i="23"/>
  <c r="L160" i="23"/>
  <c r="BM160" i="23"/>
  <c r="BI160" i="23"/>
  <c r="V160" i="23"/>
  <c r="AD160" i="23"/>
  <c r="M160" i="23"/>
  <c r="BN160" i="23"/>
  <c r="BJ160" i="23"/>
  <c r="AQ161" i="23"/>
  <c r="AR161" i="23"/>
  <c r="AU161" i="23"/>
  <c r="AV161" i="23"/>
  <c r="BE161" i="23"/>
  <c r="BC161" i="23"/>
  <c r="BD161" i="23"/>
  <c r="Q161" i="23"/>
  <c r="S161" i="23"/>
  <c r="W161" i="23"/>
  <c r="AA161" i="23"/>
  <c r="I161" i="23"/>
  <c r="J161" i="23"/>
  <c r="BK161" i="23"/>
  <c r="BG161" i="23"/>
  <c r="T161" i="23"/>
  <c r="AB161" i="23"/>
  <c r="K161" i="23"/>
  <c r="BL161" i="23"/>
  <c r="BH161" i="23"/>
  <c r="U161" i="23"/>
  <c r="AC161" i="23"/>
  <c r="L161" i="23"/>
  <c r="BM161" i="23"/>
  <c r="BI161" i="23"/>
  <c r="V161" i="23"/>
  <c r="AD161" i="23"/>
  <c r="M161" i="23"/>
  <c r="BN161" i="23"/>
  <c r="BJ161" i="23"/>
  <c r="AQ162" i="23"/>
  <c r="AR162" i="23"/>
  <c r="AU162" i="23"/>
  <c r="AV162" i="23"/>
  <c r="BE162" i="23"/>
  <c r="Q162" i="23"/>
  <c r="S162" i="23"/>
  <c r="W162" i="23"/>
  <c r="AA162" i="23"/>
  <c r="I162" i="23"/>
  <c r="J162" i="23"/>
  <c r="BC162" i="23"/>
  <c r="BD162" i="23"/>
  <c r="BK162" i="23"/>
  <c r="BG162" i="23"/>
  <c r="T162" i="23"/>
  <c r="AB162" i="23"/>
  <c r="K162" i="23"/>
  <c r="BL162" i="23"/>
  <c r="BH162" i="23"/>
  <c r="U162" i="23"/>
  <c r="AC162" i="23"/>
  <c r="L162" i="23"/>
  <c r="BM162" i="23"/>
  <c r="BI162" i="23"/>
  <c r="V162" i="23"/>
  <c r="AD162" i="23"/>
  <c r="M162" i="23"/>
  <c r="BN162" i="23"/>
  <c r="BJ162" i="23"/>
  <c r="AQ163" i="23"/>
  <c r="AR163" i="23"/>
  <c r="AU163" i="23"/>
  <c r="AV163" i="23"/>
  <c r="BE163" i="23"/>
  <c r="BC163" i="23"/>
  <c r="BD163" i="23"/>
  <c r="Q163" i="23"/>
  <c r="S163" i="23"/>
  <c r="W163" i="23"/>
  <c r="AA163" i="23"/>
  <c r="I163" i="23"/>
  <c r="J163" i="23"/>
  <c r="BK163" i="23"/>
  <c r="BG163" i="23"/>
  <c r="T163" i="23"/>
  <c r="AB163" i="23"/>
  <c r="K163" i="23"/>
  <c r="BL163" i="23"/>
  <c r="BH163" i="23"/>
  <c r="U163" i="23"/>
  <c r="AC163" i="23"/>
  <c r="L163" i="23"/>
  <c r="BM163" i="23"/>
  <c r="BI163" i="23"/>
  <c r="V163" i="23"/>
  <c r="AD163" i="23"/>
  <c r="M163" i="23"/>
  <c r="BN163" i="23"/>
  <c r="BJ163" i="23"/>
  <c r="AQ164" i="23"/>
  <c r="AR164" i="23"/>
  <c r="AU164" i="23"/>
  <c r="AV164" i="23"/>
  <c r="BE164" i="23"/>
  <c r="Q164" i="23"/>
  <c r="S164" i="23"/>
  <c r="W164" i="23"/>
  <c r="AA164" i="23"/>
  <c r="I164" i="23"/>
  <c r="J164" i="23"/>
  <c r="BC164" i="23"/>
  <c r="BD164" i="23"/>
  <c r="BK164" i="23"/>
  <c r="BG164" i="23"/>
  <c r="T164" i="23"/>
  <c r="AB164" i="23"/>
  <c r="K164" i="23"/>
  <c r="BL164" i="23"/>
  <c r="BH164" i="23"/>
  <c r="U164" i="23"/>
  <c r="AC164" i="23"/>
  <c r="L164" i="23"/>
  <c r="BM164" i="23"/>
  <c r="BI164" i="23"/>
  <c r="V164" i="23"/>
  <c r="AD164" i="23"/>
  <c r="M164" i="23"/>
  <c r="BN164" i="23"/>
  <c r="BJ164" i="23"/>
  <c r="AQ165" i="23"/>
  <c r="AR165" i="23"/>
  <c r="AU165" i="23"/>
  <c r="AV165" i="23"/>
  <c r="BE165" i="23"/>
  <c r="BC165" i="23"/>
  <c r="BD165" i="23"/>
  <c r="Q165" i="23"/>
  <c r="S165" i="23"/>
  <c r="W165" i="23"/>
  <c r="AA165" i="23"/>
  <c r="I165" i="23"/>
  <c r="J165" i="23"/>
  <c r="BK165" i="23"/>
  <c r="BG165" i="23"/>
  <c r="T165" i="23"/>
  <c r="AB165" i="23"/>
  <c r="K165" i="23"/>
  <c r="BL165" i="23"/>
  <c r="BH165" i="23"/>
  <c r="U165" i="23"/>
  <c r="AC165" i="23"/>
  <c r="L165" i="23"/>
  <c r="BM165" i="23"/>
  <c r="BI165" i="23"/>
  <c r="V165" i="23"/>
  <c r="AD165" i="23"/>
  <c r="M165" i="23"/>
  <c r="BN165" i="23"/>
  <c r="BJ165" i="23"/>
  <c r="AQ166" i="23"/>
  <c r="AR166" i="23"/>
  <c r="AU166" i="23"/>
  <c r="AV166" i="23"/>
  <c r="BE166" i="23"/>
  <c r="Q166" i="23"/>
  <c r="S166" i="23"/>
  <c r="W166" i="23"/>
  <c r="AA166" i="23"/>
  <c r="I166" i="23"/>
  <c r="J166" i="23"/>
  <c r="BC166" i="23"/>
  <c r="BD166" i="23"/>
  <c r="BK166" i="23"/>
  <c r="BG166" i="23"/>
  <c r="T166" i="23"/>
  <c r="AB166" i="23"/>
  <c r="K166" i="23"/>
  <c r="BL166" i="23"/>
  <c r="BH166" i="23"/>
  <c r="U166" i="23"/>
  <c r="AC166" i="23"/>
  <c r="L166" i="23"/>
  <c r="BM166" i="23"/>
  <c r="BI166" i="23"/>
  <c r="V166" i="23"/>
  <c r="AD166" i="23"/>
  <c r="M166" i="23"/>
  <c r="BN166" i="23"/>
  <c r="BJ166" i="23"/>
  <c r="AQ167" i="23"/>
  <c r="AR167" i="23"/>
  <c r="AU167" i="23"/>
  <c r="AV167" i="23"/>
  <c r="BE167" i="23"/>
  <c r="BC167" i="23"/>
  <c r="BD167" i="23"/>
  <c r="Q167" i="23"/>
  <c r="S167" i="23"/>
  <c r="W167" i="23"/>
  <c r="AA167" i="23"/>
  <c r="I167" i="23"/>
  <c r="J167" i="23"/>
  <c r="BK167" i="23"/>
  <c r="BG167" i="23"/>
  <c r="T167" i="23"/>
  <c r="AB167" i="23"/>
  <c r="K167" i="23"/>
  <c r="BL167" i="23"/>
  <c r="BH167" i="23"/>
  <c r="U167" i="23"/>
  <c r="AC167" i="23"/>
  <c r="L167" i="23"/>
  <c r="BM167" i="23"/>
  <c r="BI167" i="23"/>
  <c r="V167" i="23"/>
  <c r="AD167" i="23"/>
  <c r="M167" i="23"/>
  <c r="BN167" i="23"/>
  <c r="BJ167" i="23"/>
  <c r="AQ168" i="23"/>
  <c r="AR168" i="23"/>
  <c r="AU168" i="23"/>
  <c r="AV168" i="23"/>
  <c r="BE168" i="23"/>
  <c r="Q168" i="23"/>
  <c r="S168" i="23"/>
  <c r="W168" i="23"/>
  <c r="AA168" i="23"/>
  <c r="I168" i="23"/>
  <c r="J168" i="23"/>
  <c r="BC168" i="23"/>
  <c r="BD168" i="23"/>
  <c r="BK168" i="23"/>
  <c r="BG168" i="23"/>
  <c r="T168" i="23"/>
  <c r="AB168" i="23"/>
  <c r="K168" i="23"/>
  <c r="BL168" i="23"/>
  <c r="BH168" i="23"/>
  <c r="U168" i="23"/>
  <c r="AC168" i="23"/>
  <c r="L168" i="23"/>
  <c r="BM168" i="23"/>
  <c r="BI168" i="23"/>
  <c r="V168" i="23"/>
  <c r="AD168" i="23"/>
  <c r="M168" i="23"/>
  <c r="BN168" i="23"/>
  <c r="BJ168" i="23"/>
  <c r="AQ169" i="23"/>
  <c r="AR169" i="23"/>
  <c r="AU169" i="23"/>
  <c r="AV169" i="23"/>
  <c r="BE169" i="23"/>
  <c r="Q169" i="23"/>
  <c r="S169" i="23"/>
  <c r="W169" i="23"/>
  <c r="AA169" i="23"/>
  <c r="I169" i="23"/>
  <c r="J169" i="23"/>
  <c r="BC169" i="23"/>
  <c r="BD169" i="23"/>
  <c r="BK169" i="23"/>
  <c r="BG169" i="23"/>
  <c r="T169" i="23"/>
  <c r="AB169" i="23"/>
  <c r="K169" i="23"/>
  <c r="BL169" i="23"/>
  <c r="BH169" i="23"/>
  <c r="U169" i="23"/>
  <c r="AC169" i="23"/>
  <c r="L169" i="23"/>
  <c r="BM169" i="23"/>
  <c r="BI169" i="23"/>
  <c r="V169" i="23"/>
  <c r="AD169" i="23"/>
  <c r="M169" i="23"/>
  <c r="BN169" i="23"/>
  <c r="BJ169" i="23"/>
  <c r="AQ170" i="23"/>
  <c r="AR170" i="23"/>
  <c r="AU170" i="23"/>
  <c r="AV170" i="23"/>
  <c r="BE170" i="23"/>
  <c r="BC170" i="23"/>
  <c r="BD170" i="23"/>
  <c r="Q170" i="23"/>
  <c r="S170" i="23"/>
  <c r="W170" i="23"/>
  <c r="AA170" i="23"/>
  <c r="I170" i="23"/>
  <c r="J170" i="23"/>
  <c r="BK170" i="23"/>
  <c r="BG170" i="23"/>
  <c r="T170" i="23"/>
  <c r="AB170" i="23"/>
  <c r="K170" i="23"/>
  <c r="BL170" i="23"/>
  <c r="BH170" i="23"/>
  <c r="U170" i="23"/>
  <c r="AC170" i="23"/>
  <c r="L170" i="23"/>
  <c r="BM170" i="23"/>
  <c r="BI170" i="23"/>
  <c r="V170" i="23"/>
  <c r="AD170" i="23"/>
  <c r="M170" i="23"/>
  <c r="BN170" i="23"/>
  <c r="BJ170" i="23"/>
  <c r="AQ171" i="23"/>
  <c r="AR171" i="23"/>
  <c r="AU171" i="23"/>
  <c r="AV171" i="23"/>
  <c r="BE171" i="23"/>
  <c r="Q171" i="23"/>
  <c r="S171" i="23"/>
  <c r="W171" i="23"/>
  <c r="AA171" i="23"/>
  <c r="I171" i="23"/>
  <c r="J171" i="23"/>
  <c r="G171" i="23"/>
  <c r="BC171" i="23"/>
  <c r="BD171" i="23"/>
  <c r="BK171" i="23"/>
  <c r="BG171" i="23"/>
  <c r="T171" i="23"/>
  <c r="AB171" i="23"/>
  <c r="K171" i="23"/>
  <c r="BL171" i="23"/>
  <c r="BH171" i="23"/>
  <c r="U171" i="23"/>
  <c r="AC171" i="23"/>
  <c r="L171" i="23"/>
  <c r="BM171" i="23"/>
  <c r="BI171" i="23"/>
  <c r="V171" i="23"/>
  <c r="AD171" i="23"/>
  <c r="M171" i="23"/>
  <c r="BN171" i="23"/>
  <c r="BJ171" i="23"/>
  <c r="AQ172" i="23"/>
  <c r="AR172" i="23"/>
  <c r="AU172" i="23"/>
  <c r="AV172" i="23"/>
  <c r="BE172" i="23"/>
  <c r="Q172" i="23"/>
  <c r="S172" i="23"/>
  <c r="W172" i="23"/>
  <c r="AA172" i="23"/>
  <c r="I172" i="23"/>
  <c r="J172" i="23"/>
  <c r="BC172" i="23"/>
  <c r="BD172" i="23"/>
  <c r="BK172" i="23"/>
  <c r="BG172" i="23"/>
  <c r="T172" i="23"/>
  <c r="AB172" i="23"/>
  <c r="K172" i="23"/>
  <c r="BL172" i="23"/>
  <c r="BH172" i="23"/>
  <c r="U172" i="23"/>
  <c r="AC172" i="23"/>
  <c r="L172" i="23"/>
  <c r="BM172" i="23"/>
  <c r="BI172" i="23"/>
  <c r="V172" i="23"/>
  <c r="AD172" i="23"/>
  <c r="M172" i="23"/>
  <c r="BN172" i="23"/>
  <c r="BJ172" i="23"/>
  <c r="AQ173" i="23"/>
  <c r="AR173" i="23"/>
  <c r="AU173" i="23"/>
  <c r="AV173" i="23"/>
  <c r="BE173" i="23"/>
  <c r="BC173" i="23"/>
  <c r="BD173" i="23"/>
  <c r="Q173" i="23"/>
  <c r="S173" i="23"/>
  <c r="W173" i="23"/>
  <c r="AA173" i="23"/>
  <c r="I173" i="23"/>
  <c r="J173" i="23"/>
  <c r="BK173" i="23"/>
  <c r="BG173" i="23"/>
  <c r="T173" i="23"/>
  <c r="AB173" i="23"/>
  <c r="K173" i="23"/>
  <c r="BL173" i="23"/>
  <c r="BH173" i="23"/>
  <c r="U173" i="23"/>
  <c r="AC173" i="23"/>
  <c r="L173" i="23"/>
  <c r="BM173" i="23"/>
  <c r="BI173" i="23"/>
  <c r="V173" i="23"/>
  <c r="AD173" i="23"/>
  <c r="M173" i="23"/>
  <c r="BN173" i="23"/>
  <c r="BJ173" i="23"/>
  <c r="AQ174" i="23"/>
  <c r="AR174" i="23"/>
  <c r="AU174" i="23"/>
  <c r="AV174" i="23"/>
  <c r="BE174" i="23"/>
  <c r="Q174" i="23"/>
  <c r="S174" i="23"/>
  <c r="W174" i="23"/>
  <c r="AA174" i="23"/>
  <c r="I174" i="23"/>
  <c r="J174" i="23"/>
  <c r="BC174" i="23"/>
  <c r="BD174" i="23"/>
  <c r="BK174" i="23"/>
  <c r="BG174" i="23"/>
  <c r="T174" i="23"/>
  <c r="AB174" i="23"/>
  <c r="K174" i="23"/>
  <c r="BL174" i="23"/>
  <c r="BH174" i="23"/>
  <c r="U174" i="23"/>
  <c r="AC174" i="23"/>
  <c r="L174" i="23"/>
  <c r="BM174" i="23"/>
  <c r="BI174" i="23"/>
  <c r="V174" i="23"/>
  <c r="AD174" i="23"/>
  <c r="M174" i="23"/>
  <c r="BN174" i="23"/>
  <c r="BJ174" i="23"/>
  <c r="AQ175" i="23"/>
  <c r="AR175" i="23"/>
  <c r="AU175" i="23"/>
  <c r="AV175" i="23"/>
  <c r="BE175" i="23"/>
  <c r="Q175" i="23"/>
  <c r="S175" i="23"/>
  <c r="W175" i="23"/>
  <c r="AA175" i="23"/>
  <c r="I175" i="23"/>
  <c r="J175" i="23"/>
  <c r="BC175" i="23"/>
  <c r="BD175" i="23"/>
  <c r="BK175" i="23"/>
  <c r="BG175" i="23"/>
  <c r="T175" i="23"/>
  <c r="AB175" i="23"/>
  <c r="K175" i="23"/>
  <c r="BL175" i="23"/>
  <c r="BH175" i="23"/>
  <c r="U175" i="23"/>
  <c r="AC175" i="23"/>
  <c r="L175" i="23"/>
  <c r="BM175" i="23"/>
  <c r="BI175" i="23"/>
  <c r="V175" i="23"/>
  <c r="AD175" i="23"/>
  <c r="M175" i="23"/>
  <c r="BN175" i="23"/>
  <c r="BJ175" i="23"/>
  <c r="AQ176" i="23"/>
  <c r="AR176" i="23"/>
  <c r="AU176" i="23"/>
  <c r="AV176" i="23"/>
  <c r="BE176" i="23"/>
  <c r="BC176" i="23"/>
  <c r="BD176" i="23"/>
  <c r="Q176" i="23"/>
  <c r="S176" i="23"/>
  <c r="W176" i="23"/>
  <c r="AA176" i="23"/>
  <c r="I176" i="23"/>
  <c r="J176" i="23"/>
  <c r="BK176" i="23"/>
  <c r="BG176" i="23"/>
  <c r="T176" i="23"/>
  <c r="AB176" i="23"/>
  <c r="K176" i="23"/>
  <c r="BL176" i="23"/>
  <c r="BH176" i="23"/>
  <c r="U176" i="23"/>
  <c r="AC176" i="23"/>
  <c r="L176" i="23"/>
  <c r="BM176" i="23"/>
  <c r="BI176" i="23"/>
  <c r="V176" i="23"/>
  <c r="AD176" i="23"/>
  <c r="M176" i="23"/>
  <c r="BN176" i="23"/>
  <c r="BJ176" i="23"/>
  <c r="AQ177" i="23"/>
  <c r="AR177" i="23"/>
  <c r="AU177" i="23"/>
  <c r="AV177" i="23"/>
  <c r="BE177" i="23"/>
  <c r="Q177" i="23"/>
  <c r="S177" i="23"/>
  <c r="W177" i="23"/>
  <c r="AA177" i="23"/>
  <c r="I177" i="23"/>
  <c r="J177" i="23"/>
  <c r="G177" i="23"/>
  <c r="BC177" i="23"/>
  <c r="BD177" i="23"/>
  <c r="BK177" i="23"/>
  <c r="BG177" i="23"/>
  <c r="T177" i="23"/>
  <c r="AB177" i="23"/>
  <c r="K177" i="23"/>
  <c r="BL177" i="23"/>
  <c r="BH177" i="23"/>
  <c r="U177" i="23"/>
  <c r="AC177" i="23"/>
  <c r="L177" i="23"/>
  <c r="BM177" i="23"/>
  <c r="BI177" i="23"/>
  <c r="V177" i="23"/>
  <c r="AD177" i="23"/>
  <c r="M177" i="23"/>
  <c r="BN177" i="23"/>
  <c r="BJ177" i="23"/>
  <c r="AQ178" i="23"/>
  <c r="AR178" i="23"/>
  <c r="AU178" i="23"/>
  <c r="AV178" i="23"/>
  <c r="BE178" i="23"/>
  <c r="Q178" i="23"/>
  <c r="S178" i="23"/>
  <c r="W178" i="23"/>
  <c r="AA178" i="23"/>
  <c r="I178" i="23"/>
  <c r="J178" i="23"/>
  <c r="BC178" i="23"/>
  <c r="BD178" i="23"/>
  <c r="BK178" i="23"/>
  <c r="BG178" i="23"/>
  <c r="T178" i="23"/>
  <c r="AB178" i="23"/>
  <c r="K178" i="23"/>
  <c r="BL178" i="23"/>
  <c r="BH178" i="23"/>
  <c r="U178" i="23"/>
  <c r="AC178" i="23"/>
  <c r="L178" i="23"/>
  <c r="BM178" i="23"/>
  <c r="BI178" i="23"/>
  <c r="V178" i="23"/>
  <c r="AD178" i="23"/>
  <c r="M178" i="23"/>
  <c r="BN178" i="23"/>
  <c r="BJ178" i="23"/>
  <c r="AQ179" i="23"/>
  <c r="AR179" i="23"/>
  <c r="AU179" i="23"/>
  <c r="AV179" i="23"/>
  <c r="BE179" i="23"/>
  <c r="BC179" i="23"/>
  <c r="BD179" i="23"/>
  <c r="Q179" i="23"/>
  <c r="S179" i="23"/>
  <c r="W179" i="23"/>
  <c r="AA179" i="23"/>
  <c r="I179" i="23"/>
  <c r="J179" i="23"/>
  <c r="BK179" i="23"/>
  <c r="BG179" i="23"/>
  <c r="T179" i="23"/>
  <c r="AB179" i="23"/>
  <c r="K179" i="23"/>
  <c r="BL179" i="23"/>
  <c r="BH179" i="23"/>
  <c r="U179" i="23"/>
  <c r="AC179" i="23"/>
  <c r="L179" i="23"/>
  <c r="BM179" i="23"/>
  <c r="BI179" i="23"/>
  <c r="V179" i="23"/>
  <c r="AD179" i="23"/>
  <c r="M179" i="23"/>
  <c r="BN179" i="23"/>
  <c r="BJ179" i="23"/>
  <c r="AQ180" i="23"/>
  <c r="AR180" i="23"/>
  <c r="AU180" i="23"/>
  <c r="AV180" i="23"/>
  <c r="BE180" i="23"/>
  <c r="Q180" i="23"/>
  <c r="S180" i="23"/>
  <c r="W180" i="23"/>
  <c r="AA180" i="23"/>
  <c r="I180" i="23"/>
  <c r="J180" i="23"/>
  <c r="BC180" i="23"/>
  <c r="BD180" i="23"/>
  <c r="BK180" i="23"/>
  <c r="BG180" i="23"/>
  <c r="T180" i="23"/>
  <c r="AB180" i="23"/>
  <c r="K180" i="23"/>
  <c r="BL180" i="23"/>
  <c r="BH180" i="23"/>
  <c r="U180" i="23"/>
  <c r="AC180" i="23"/>
  <c r="L180" i="23"/>
  <c r="BM180" i="23"/>
  <c r="BI180" i="23"/>
  <c r="V180" i="23"/>
  <c r="AD180" i="23"/>
  <c r="M180" i="23"/>
  <c r="BN180" i="23"/>
  <c r="BJ180" i="23"/>
  <c r="AQ181" i="23"/>
  <c r="AR181" i="23"/>
  <c r="AU181" i="23"/>
  <c r="AV181" i="23"/>
  <c r="BE181" i="23"/>
  <c r="Q181" i="23"/>
  <c r="S181" i="23"/>
  <c r="W181" i="23"/>
  <c r="AA181" i="23"/>
  <c r="I181" i="23"/>
  <c r="J181" i="23"/>
  <c r="BC181" i="23"/>
  <c r="BD181" i="23"/>
  <c r="BK181" i="23"/>
  <c r="BG181" i="23"/>
  <c r="T181" i="23"/>
  <c r="AB181" i="23"/>
  <c r="K181" i="23"/>
  <c r="BL181" i="23"/>
  <c r="BH181" i="23"/>
  <c r="U181" i="23"/>
  <c r="AC181" i="23"/>
  <c r="L181" i="23"/>
  <c r="BM181" i="23"/>
  <c r="BI181" i="23"/>
  <c r="V181" i="23"/>
  <c r="AD181" i="23"/>
  <c r="M181" i="23"/>
  <c r="BN181" i="23"/>
  <c r="BJ181" i="23"/>
  <c r="AQ182" i="23"/>
  <c r="AR182" i="23"/>
  <c r="AU182" i="23"/>
  <c r="AV182" i="23"/>
  <c r="BE182" i="23"/>
  <c r="BC182" i="23"/>
  <c r="BD182" i="23"/>
  <c r="Q182" i="23"/>
  <c r="S182" i="23"/>
  <c r="W182" i="23"/>
  <c r="AA182" i="23"/>
  <c r="I182" i="23"/>
  <c r="J182" i="23"/>
  <c r="BK182" i="23"/>
  <c r="BG182" i="23"/>
  <c r="T182" i="23"/>
  <c r="AB182" i="23"/>
  <c r="K182" i="23"/>
  <c r="BL182" i="23"/>
  <c r="BH182" i="23"/>
  <c r="U182" i="23"/>
  <c r="AC182" i="23"/>
  <c r="L182" i="23"/>
  <c r="BM182" i="23"/>
  <c r="BI182" i="23"/>
  <c r="V182" i="23"/>
  <c r="AD182" i="23"/>
  <c r="M182" i="23"/>
  <c r="BN182" i="23"/>
  <c r="BJ182" i="23"/>
  <c r="AQ183" i="23"/>
  <c r="AR183" i="23"/>
  <c r="AU183" i="23"/>
  <c r="AV183" i="23"/>
  <c r="BE183" i="23"/>
  <c r="Q183" i="23"/>
  <c r="S183" i="23"/>
  <c r="W183" i="23"/>
  <c r="AA183" i="23"/>
  <c r="I183" i="23"/>
  <c r="J183" i="23"/>
  <c r="BC183" i="23"/>
  <c r="BD183" i="23"/>
  <c r="BK183" i="23"/>
  <c r="BG183" i="23"/>
  <c r="T183" i="23"/>
  <c r="AB183" i="23"/>
  <c r="K183" i="23"/>
  <c r="BL183" i="23"/>
  <c r="BH183" i="23"/>
  <c r="U183" i="23"/>
  <c r="AC183" i="23"/>
  <c r="L183" i="23"/>
  <c r="BM183" i="23"/>
  <c r="BI183" i="23"/>
  <c r="V183" i="23"/>
  <c r="AD183" i="23"/>
  <c r="M183" i="23"/>
  <c r="BN183" i="23"/>
  <c r="BJ183" i="23"/>
  <c r="AQ184" i="23"/>
  <c r="AR184" i="23"/>
  <c r="AU184" i="23"/>
  <c r="AV184" i="23"/>
  <c r="BE184" i="23"/>
  <c r="Q184" i="23"/>
  <c r="S184" i="23"/>
  <c r="W184" i="23"/>
  <c r="AA184" i="23"/>
  <c r="I184" i="23"/>
  <c r="J184" i="23"/>
  <c r="BC184" i="23"/>
  <c r="BD184" i="23"/>
  <c r="BK184" i="23"/>
  <c r="BG184" i="23"/>
  <c r="T184" i="23"/>
  <c r="AB184" i="23"/>
  <c r="K184" i="23"/>
  <c r="BL184" i="23"/>
  <c r="BH184" i="23"/>
  <c r="U184" i="23"/>
  <c r="AC184" i="23"/>
  <c r="L184" i="23"/>
  <c r="BM184" i="23"/>
  <c r="BI184" i="23"/>
  <c r="V184" i="23"/>
  <c r="AD184" i="23"/>
  <c r="M184" i="23"/>
  <c r="BN184" i="23"/>
  <c r="BJ184" i="23"/>
  <c r="AQ185" i="23"/>
  <c r="AR185" i="23"/>
  <c r="AU185" i="23"/>
  <c r="AV185" i="23"/>
  <c r="BE185" i="23"/>
  <c r="BC185" i="23"/>
  <c r="BD185" i="23"/>
  <c r="Q185" i="23"/>
  <c r="S185" i="23"/>
  <c r="W185" i="23"/>
  <c r="AA185" i="23"/>
  <c r="I185" i="23"/>
  <c r="J185" i="23"/>
  <c r="BK185" i="23"/>
  <c r="BG185" i="23"/>
  <c r="T185" i="23"/>
  <c r="AB185" i="23"/>
  <c r="K185" i="23"/>
  <c r="BL185" i="23"/>
  <c r="BH185" i="23"/>
  <c r="U185" i="23"/>
  <c r="AC185" i="23"/>
  <c r="L185" i="23"/>
  <c r="BM185" i="23"/>
  <c r="BI185" i="23"/>
  <c r="V185" i="23"/>
  <c r="AD185" i="23"/>
  <c r="M185" i="23"/>
  <c r="BN185" i="23"/>
  <c r="BJ185" i="23"/>
  <c r="AQ186" i="23"/>
  <c r="AR186" i="23"/>
  <c r="AU186" i="23"/>
  <c r="AV186" i="23"/>
  <c r="BE186" i="23"/>
  <c r="Q186" i="23"/>
  <c r="S186" i="23"/>
  <c r="W186" i="23"/>
  <c r="AA186" i="23"/>
  <c r="I186" i="23"/>
  <c r="J186" i="23"/>
  <c r="BC186" i="23"/>
  <c r="BD186" i="23"/>
  <c r="BK186" i="23"/>
  <c r="BG186" i="23"/>
  <c r="T186" i="23"/>
  <c r="AB186" i="23"/>
  <c r="K186" i="23"/>
  <c r="BL186" i="23"/>
  <c r="BH186" i="23"/>
  <c r="U186" i="23"/>
  <c r="AC186" i="23"/>
  <c r="L186" i="23"/>
  <c r="BM186" i="23"/>
  <c r="BI186" i="23"/>
  <c r="V186" i="23"/>
  <c r="AD186" i="23"/>
  <c r="M186" i="23"/>
  <c r="BN186" i="23"/>
  <c r="BJ186" i="23"/>
  <c r="AQ187" i="23"/>
  <c r="AR187" i="23"/>
  <c r="AU187" i="23"/>
  <c r="AV187" i="23"/>
  <c r="BE187" i="23"/>
  <c r="Q187" i="23"/>
  <c r="S187" i="23"/>
  <c r="W187" i="23"/>
  <c r="AA187" i="23"/>
  <c r="I187" i="23"/>
  <c r="J187" i="23"/>
  <c r="BC187" i="23"/>
  <c r="BD187" i="23"/>
  <c r="BK187" i="23"/>
  <c r="BG187" i="23"/>
  <c r="T187" i="23"/>
  <c r="AB187" i="23"/>
  <c r="K187" i="23"/>
  <c r="BL187" i="23"/>
  <c r="BH187" i="23"/>
  <c r="U187" i="23"/>
  <c r="AC187" i="23"/>
  <c r="L187" i="23"/>
  <c r="BM187" i="23"/>
  <c r="BI187" i="23"/>
  <c r="V187" i="23"/>
  <c r="AD187" i="23"/>
  <c r="M187" i="23"/>
  <c r="BN187" i="23"/>
  <c r="BJ187" i="23"/>
  <c r="AQ188" i="23"/>
  <c r="AR188" i="23"/>
  <c r="AU188" i="23"/>
  <c r="AV188" i="23"/>
  <c r="BE188" i="23"/>
  <c r="BC188" i="23"/>
  <c r="BD188" i="23"/>
  <c r="Q188" i="23"/>
  <c r="S188" i="23"/>
  <c r="W188" i="23"/>
  <c r="AA188" i="23"/>
  <c r="I188" i="23"/>
  <c r="J188" i="23"/>
  <c r="BK188" i="23"/>
  <c r="BG188" i="23"/>
  <c r="T188" i="23"/>
  <c r="AB188" i="23"/>
  <c r="K188" i="23"/>
  <c r="BL188" i="23"/>
  <c r="BH188" i="23"/>
  <c r="U188" i="23"/>
  <c r="AC188" i="23"/>
  <c r="L188" i="23"/>
  <c r="BM188" i="23"/>
  <c r="BI188" i="23"/>
  <c r="V188" i="23"/>
  <c r="AD188" i="23"/>
  <c r="M188" i="23"/>
  <c r="BN188" i="23"/>
  <c r="BJ188" i="23"/>
  <c r="AQ189" i="23"/>
  <c r="AR189" i="23"/>
  <c r="AU189" i="23"/>
  <c r="AV189" i="23"/>
  <c r="BE189" i="23"/>
  <c r="Q189" i="23"/>
  <c r="S189" i="23"/>
  <c r="W189" i="23"/>
  <c r="AA189" i="23"/>
  <c r="I189" i="23"/>
  <c r="J189" i="23"/>
  <c r="BC189" i="23"/>
  <c r="BD189" i="23"/>
  <c r="BK189" i="23"/>
  <c r="BG189" i="23"/>
  <c r="T189" i="23"/>
  <c r="AB189" i="23"/>
  <c r="K189" i="23"/>
  <c r="BL189" i="23"/>
  <c r="BH189" i="23"/>
  <c r="U189" i="23"/>
  <c r="AC189" i="23"/>
  <c r="L189" i="23"/>
  <c r="BM189" i="23"/>
  <c r="BI189" i="23"/>
  <c r="V189" i="23"/>
  <c r="AD189" i="23"/>
  <c r="M189" i="23"/>
  <c r="BN189" i="23"/>
  <c r="BJ189" i="23"/>
  <c r="AQ190" i="23"/>
  <c r="AR190" i="23"/>
  <c r="AU190" i="23"/>
  <c r="AV190" i="23"/>
  <c r="BE190" i="23"/>
  <c r="Q190" i="23"/>
  <c r="S190" i="23"/>
  <c r="W190" i="23"/>
  <c r="AA190" i="23"/>
  <c r="I190" i="23"/>
  <c r="J190" i="23"/>
  <c r="BC190" i="23"/>
  <c r="BD190" i="23"/>
  <c r="BK190" i="23"/>
  <c r="BG190" i="23"/>
  <c r="T190" i="23"/>
  <c r="AB190" i="23"/>
  <c r="K190" i="23"/>
  <c r="BL190" i="23"/>
  <c r="BH190" i="23"/>
  <c r="U190" i="23"/>
  <c r="AC190" i="23"/>
  <c r="L190" i="23"/>
  <c r="BM190" i="23"/>
  <c r="BI190" i="23"/>
  <c r="V190" i="23"/>
  <c r="AD190" i="23"/>
  <c r="M190" i="23"/>
  <c r="BN190" i="23"/>
  <c r="BJ190" i="23"/>
  <c r="AQ191" i="23"/>
  <c r="AR191" i="23"/>
  <c r="AU191" i="23"/>
  <c r="AV191" i="23"/>
  <c r="BE191" i="23"/>
  <c r="BC191" i="23"/>
  <c r="BD191" i="23"/>
  <c r="Q191" i="23"/>
  <c r="S191" i="23"/>
  <c r="W191" i="23"/>
  <c r="AA191" i="23"/>
  <c r="I191" i="23"/>
  <c r="J191" i="23"/>
  <c r="BK191" i="23"/>
  <c r="BG191" i="23"/>
  <c r="T191" i="23"/>
  <c r="AB191" i="23"/>
  <c r="K191" i="23"/>
  <c r="BL191" i="23"/>
  <c r="BH191" i="23"/>
  <c r="U191" i="23"/>
  <c r="AC191" i="23"/>
  <c r="L191" i="23"/>
  <c r="BM191" i="23"/>
  <c r="BI191" i="23"/>
  <c r="V191" i="23"/>
  <c r="AD191" i="23"/>
  <c r="M191" i="23"/>
  <c r="BN191" i="23"/>
  <c r="BJ191" i="23"/>
  <c r="AQ192" i="23"/>
  <c r="AR192" i="23"/>
  <c r="AU192" i="23"/>
  <c r="AV192" i="23"/>
  <c r="BE192" i="23"/>
  <c r="Q192" i="23"/>
  <c r="S192" i="23"/>
  <c r="W192" i="23"/>
  <c r="AA192" i="23"/>
  <c r="I192" i="23"/>
  <c r="J192" i="23"/>
  <c r="BC192" i="23"/>
  <c r="BD192" i="23"/>
  <c r="BK192" i="23"/>
  <c r="BG192" i="23"/>
  <c r="T192" i="23"/>
  <c r="AB192" i="23"/>
  <c r="K192" i="23"/>
  <c r="BL192" i="23"/>
  <c r="BH192" i="23"/>
  <c r="U192" i="23"/>
  <c r="AC192" i="23"/>
  <c r="L192" i="23"/>
  <c r="BM192" i="23"/>
  <c r="BI192" i="23"/>
  <c r="V192" i="23"/>
  <c r="AD192" i="23"/>
  <c r="M192" i="23"/>
  <c r="BN192" i="23"/>
  <c r="BJ192" i="23"/>
  <c r="AQ193" i="23"/>
  <c r="AR193" i="23"/>
  <c r="AU193" i="23"/>
  <c r="AV193" i="23"/>
  <c r="BE193" i="23"/>
  <c r="Q193" i="23"/>
  <c r="S193" i="23"/>
  <c r="W193" i="23"/>
  <c r="AA193" i="23"/>
  <c r="I193" i="23"/>
  <c r="J193" i="23"/>
  <c r="BC193" i="23"/>
  <c r="BD193" i="23"/>
  <c r="BK193" i="23"/>
  <c r="BG193" i="23"/>
  <c r="T193" i="23"/>
  <c r="AB193" i="23"/>
  <c r="K193" i="23"/>
  <c r="BL193" i="23"/>
  <c r="BH193" i="23"/>
  <c r="U193" i="23"/>
  <c r="AC193" i="23"/>
  <c r="L193" i="23"/>
  <c r="BM193" i="23"/>
  <c r="BI193" i="23"/>
  <c r="V193" i="23"/>
  <c r="AD193" i="23"/>
  <c r="M193" i="23"/>
  <c r="BN193" i="23"/>
  <c r="BJ193" i="23"/>
  <c r="AQ194" i="23"/>
  <c r="AR194" i="23"/>
  <c r="AU194" i="23"/>
  <c r="AV194" i="23"/>
  <c r="BE194" i="23"/>
  <c r="BC194" i="23"/>
  <c r="BD194" i="23"/>
  <c r="Q194" i="23"/>
  <c r="S194" i="23"/>
  <c r="W194" i="23"/>
  <c r="AA194" i="23"/>
  <c r="I194" i="23"/>
  <c r="J194" i="23"/>
  <c r="BK194" i="23"/>
  <c r="BG194" i="23"/>
  <c r="T194" i="23"/>
  <c r="AB194" i="23"/>
  <c r="K194" i="23"/>
  <c r="BL194" i="23"/>
  <c r="BH194" i="23"/>
  <c r="U194" i="23"/>
  <c r="AC194" i="23"/>
  <c r="L194" i="23"/>
  <c r="BM194" i="23"/>
  <c r="BI194" i="23"/>
  <c r="V194" i="23"/>
  <c r="AD194" i="23"/>
  <c r="M194" i="23"/>
  <c r="BN194" i="23"/>
  <c r="BJ194" i="23"/>
  <c r="AQ195" i="23"/>
  <c r="AR195" i="23"/>
  <c r="AU195" i="23"/>
  <c r="AV195" i="23"/>
  <c r="BE195" i="23"/>
  <c r="Q195" i="23"/>
  <c r="S195" i="23"/>
  <c r="W195" i="23"/>
  <c r="AA195" i="23"/>
  <c r="I195" i="23"/>
  <c r="J195" i="23"/>
  <c r="BC195" i="23"/>
  <c r="BD195" i="23"/>
  <c r="BK195" i="23"/>
  <c r="BG195" i="23"/>
  <c r="T195" i="23"/>
  <c r="AB195" i="23"/>
  <c r="K195" i="23"/>
  <c r="BL195" i="23"/>
  <c r="BH195" i="23"/>
  <c r="U195" i="23"/>
  <c r="AC195" i="23"/>
  <c r="L195" i="23"/>
  <c r="BM195" i="23"/>
  <c r="BI195" i="23"/>
  <c r="V195" i="23"/>
  <c r="AD195" i="23"/>
  <c r="M195" i="23"/>
  <c r="BN195" i="23"/>
  <c r="BJ195" i="23"/>
  <c r="AQ196" i="23"/>
  <c r="AR196" i="23"/>
  <c r="AU196" i="23"/>
  <c r="AV196" i="23"/>
  <c r="BE196" i="23"/>
  <c r="Q196" i="23"/>
  <c r="S196" i="23"/>
  <c r="W196" i="23"/>
  <c r="AA196" i="23"/>
  <c r="I196" i="23"/>
  <c r="J196" i="23"/>
  <c r="BC196" i="23"/>
  <c r="BD196" i="23"/>
  <c r="BK196" i="23"/>
  <c r="BG196" i="23"/>
  <c r="T196" i="23"/>
  <c r="AB196" i="23"/>
  <c r="K196" i="23"/>
  <c r="BL196" i="23"/>
  <c r="BH196" i="23"/>
  <c r="U196" i="23"/>
  <c r="AC196" i="23"/>
  <c r="L196" i="23"/>
  <c r="BM196" i="23"/>
  <c r="BI196" i="23"/>
  <c r="V196" i="23"/>
  <c r="AD196" i="23"/>
  <c r="M196" i="23"/>
  <c r="BN196" i="23"/>
  <c r="BJ196" i="23"/>
  <c r="AQ197" i="23"/>
  <c r="AR197" i="23"/>
  <c r="AU197" i="23"/>
  <c r="AV197" i="23"/>
  <c r="BE197" i="23"/>
  <c r="BC197" i="23"/>
  <c r="BD197" i="23"/>
  <c r="Q197" i="23"/>
  <c r="S197" i="23"/>
  <c r="W197" i="23"/>
  <c r="AA197" i="23"/>
  <c r="I197" i="23"/>
  <c r="J197" i="23"/>
  <c r="BK197" i="23"/>
  <c r="BG197" i="23"/>
  <c r="T197" i="23"/>
  <c r="AB197" i="23"/>
  <c r="K197" i="23"/>
  <c r="BL197" i="23"/>
  <c r="BH197" i="23"/>
  <c r="U197" i="23"/>
  <c r="AC197" i="23"/>
  <c r="L197" i="23"/>
  <c r="BM197" i="23"/>
  <c r="BI197" i="23"/>
  <c r="V197" i="23"/>
  <c r="AD197" i="23"/>
  <c r="M197" i="23"/>
  <c r="BN197" i="23"/>
  <c r="BJ197" i="23"/>
  <c r="AQ198" i="23"/>
  <c r="AR198" i="23"/>
  <c r="AU198" i="23"/>
  <c r="AV198" i="23"/>
  <c r="BE198" i="23"/>
  <c r="Q198" i="23"/>
  <c r="S198" i="23"/>
  <c r="W198" i="23"/>
  <c r="AA198" i="23"/>
  <c r="I198" i="23"/>
  <c r="J198" i="23"/>
  <c r="BC198" i="23"/>
  <c r="BD198" i="23"/>
  <c r="BK198" i="23"/>
  <c r="BG198" i="23"/>
  <c r="T198" i="23"/>
  <c r="AB198" i="23"/>
  <c r="K198" i="23"/>
  <c r="BL198" i="23"/>
  <c r="BH198" i="23"/>
  <c r="U198" i="23"/>
  <c r="AC198" i="23"/>
  <c r="L198" i="23"/>
  <c r="BM198" i="23"/>
  <c r="BI198" i="23"/>
  <c r="V198" i="23"/>
  <c r="AD198" i="23"/>
  <c r="M198" i="23"/>
  <c r="BN198" i="23"/>
  <c r="BJ198" i="23"/>
  <c r="AQ199" i="23"/>
  <c r="AR199" i="23"/>
  <c r="AU199" i="23"/>
  <c r="AV199" i="23"/>
  <c r="BE199" i="23"/>
  <c r="Q199" i="23"/>
  <c r="S199" i="23"/>
  <c r="W199" i="23"/>
  <c r="AA199" i="23"/>
  <c r="I199" i="23"/>
  <c r="J199" i="23"/>
  <c r="BC199" i="23"/>
  <c r="BD199" i="23"/>
  <c r="BK199" i="23"/>
  <c r="BG199" i="23"/>
  <c r="T199" i="23"/>
  <c r="AB199" i="23"/>
  <c r="K199" i="23"/>
  <c r="BL199" i="23"/>
  <c r="BH199" i="23"/>
  <c r="U199" i="23"/>
  <c r="AC199" i="23"/>
  <c r="L199" i="23"/>
  <c r="BM199" i="23"/>
  <c r="BI199" i="23"/>
  <c r="V199" i="23"/>
  <c r="AD199" i="23"/>
  <c r="M199" i="23"/>
  <c r="BN199" i="23"/>
  <c r="BJ199" i="23"/>
  <c r="AQ200" i="23"/>
  <c r="AR200" i="23"/>
  <c r="AU200" i="23"/>
  <c r="AV200" i="23"/>
  <c r="BE200" i="23"/>
  <c r="BC200" i="23"/>
  <c r="BD200" i="23"/>
  <c r="Q200" i="23"/>
  <c r="S200" i="23"/>
  <c r="W200" i="23"/>
  <c r="AA200" i="23"/>
  <c r="I200" i="23"/>
  <c r="J200" i="23"/>
  <c r="BK200" i="23"/>
  <c r="BG200" i="23"/>
  <c r="T200" i="23"/>
  <c r="AB200" i="23"/>
  <c r="K200" i="23"/>
  <c r="BL200" i="23"/>
  <c r="BH200" i="23"/>
  <c r="U200" i="23"/>
  <c r="AC200" i="23"/>
  <c r="L200" i="23"/>
  <c r="BM200" i="23"/>
  <c r="BI200" i="23"/>
  <c r="V200" i="23"/>
  <c r="AD200" i="23"/>
  <c r="M200" i="23"/>
  <c r="BN200" i="23"/>
  <c r="BJ200" i="23"/>
  <c r="AQ201" i="23"/>
  <c r="AR201" i="23"/>
  <c r="AU201" i="23"/>
  <c r="AV201" i="23"/>
  <c r="BE201" i="23"/>
  <c r="Q201" i="23"/>
  <c r="S201" i="23"/>
  <c r="W201" i="23"/>
  <c r="AA201" i="23"/>
  <c r="I201" i="23"/>
  <c r="J201" i="23"/>
  <c r="BC201" i="23"/>
  <c r="BD201" i="23"/>
  <c r="BK201" i="23"/>
  <c r="BG201" i="23"/>
  <c r="T201" i="23"/>
  <c r="AB201" i="23"/>
  <c r="K201" i="23"/>
  <c r="BL201" i="23"/>
  <c r="BH201" i="23"/>
  <c r="U201" i="23"/>
  <c r="AC201" i="23"/>
  <c r="L201" i="23"/>
  <c r="BM201" i="23"/>
  <c r="BI201" i="23"/>
  <c r="V201" i="23"/>
  <c r="AD201" i="23"/>
  <c r="M201" i="23"/>
  <c r="BN201" i="23"/>
  <c r="BJ201" i="23"/>
  <c r="AQ202" i="23"/>
  <c r="AR202" i="23"/>
  <c r="AU202" i="23"/>
  <c r="AV202" i="23"/>
  <c r="BE202" i="23"/>
  <c r="Q202" i="23"/>
  <c r="S202" i="23"/>
  <c r="W202" i="23"/>
  <c r="AA202" i="23"/>
  <c r="I202" i="23"/>
  <c r="J202" i="23"/>
  <c r="BC202" i="23"/>
  <c r="BD202" i="23"/>
  <c r="BK202" i="23"/>
  <c r="BG202" i="23"/>
  <c r="T202" i="23"/>
  <c r="AB202" i="23"/>
  <c r="K202" i="23"/>
  <c r="BL202" i="23"/>
  <c r="BH202" i="23"/>
  <c r="U202" i="23"/>
  <c r="AC202" i="23"/>
  <c r="L202" i="23"/>
  <c r="BM202" i="23"/>
  <c r="BI202" i="23"/>
  <c r="V202" i="23"/>
  <c r="AD202" i="23"/>
  <c r="M202" i="23"/>
  <c r="BN202" i="23"/>
  <c r="BJ202" i="23"/>
  <c r="AQ203" i="23"/>
  <c r="AR203" i="23"/>
  <c r="AU203" i="23"/>
  <c r="AV203" i="23"/>
  <c r="BE203" i="23"/>
  <c r="BC203" i="23"/>
  <c r="BD203" i="23"/>
  <c r="Q203" i="23"/>
  <c r="S203" i="23"/>
  <c r="W203" i="23"/>
  <c r="AA203" i="23"/>
  <c r="I203" i="23"/>
  <c r="J203" i="23"/>
  <c r="BK203" i="23"/>
  <c r="BG203" i="23"/>
  <c r="T203" i="23"/>
  <c r="AB203" i="23"/>
  <c r="K203" i="23"/>
  <c r="BL203" i="23"/>
  <c r="BH203" i="23"/>
  <c r="U203" i="23"/>
  <c r="AC203" i="23"/>
  <c r="L203" i="23"/>
  <c r="BM203" i="23"/>
  <c r="BI203" i="23"/>
  <c r="V203" i="23"/>
  <c r="AD203" i="23"/>
  <c r="M203" i="23"/>
  <c r="BN203" i="23"/>
  <c r="BJ203" i="23"/>
  <c r="AQ204" i="23"/>
  <c r="AR204" i="23"/>
  <c r="AU204" i="23"/>
  <c r="AV204" i="23"/>
  <c r="BE204" i="23"/>
  <c r="Q204" i="23"/>
  <c r="S204" i="23"/>
  <c r="W204" i="23"/>
  <c r="AA204" i="23"/>
  <c r="I204" i="23"/>
  <c r="J204" i="23"/>
  <c r="BC204" i="23"/>
  <c r="BD204" i="23"/>
  <c r="BK204" i="23"/>
  <c r="BG204" i="23"/>
  <c r="T204" i="23"/>
  <c r="AB204" i="23"/>
  <c r="K204" i="23"/>
  <c r="BL204" i="23"/>
  <c r="BH204" i="23"/>
  <c r="U204" i="23"/>
  <c r="AC204" i="23"/>
  <c r="L204" i="23"/>
  <c r="BM204" i="23"/>
  <c r="BI204" i="23"/>
  <c r="V204" i="23"/>
  <c r="AD204" i="23"/>
  <c r="M204" i="23"/>
  <c r="BN204" i="23"/>
  <c r="BJ204" i="23"/>
  <c r="AQ205" i="23"/>
  <c r="AR205" i="23"/>
  <c r="AU205" i="23"/>
  <c r="AV205" i="23"/>
  <c r="BE205" i="23"/>
  <c r="Q205" i="23"/>
  <c r="S205" i="23"/>
  <c r="W205" i="23"/>
  <c r="AA205" i="23"/>
  <c r="I205" i="23"/>
  <c r="J205" i="23"/>
  <c r="BC205" i="23"/>
  <c r="BD205" i="23"/>
  <c r="BK205" i="23"/>
  <c r="BG205" i="23"/>
  <c r="T205" i="23"/>
  <c r="AB205" i="23"/>
  <c r="K205" i="23"/>
  <c r="BL205" i="23"/>
  <c r="BH205" i="23"/>
  <c r="U205" i="23"/>
  <c r="AC205" i="23"/>
  <c r="L205" i="23"/>
  <c r="BM205" i="23"/>
  <c r="BI205" i="23"/>
  <c r="V205" i="23"/>
  <c r="AD205" i="23"/>
  <c r="M205" i="23"/>
  <c r="BN205" i="23"/>
  <c r="BJ205" i="23"/>
  <c r="AQ206" i="23"/>
  <c r="AR206" i="23"/>
  <c r="AU206" i="23"/>
  <c r="AV206" i="23"/>
  <c r="BE206" i="23"/>
  <c r="BC206" i="23"/>
  <c r="BD206" i="23"/>
  <c r="Q206" i="23"/>
  <c r="S206" i="23"/>
  <c r="W206" i="23"/>
  <c r="AA206" i="23"/>
  <c r="I206" i="23"/>
  <c r="J206" i="23"/>
  <c r="BK206" i="23"/>
  <c r="BG206" i="23"/>
  <c r="T206" i="23"/>
  <c r="AB206" i="23"/>
  <c r="K206" i="23"/>
  <c r="BL206" i="23"/>
  <c r="BH206" i="23"/>
  <c r="U206" i="23"/>
  <c r="AC206" i="23"/>
  <c r="L206" i="23"/>
  <c r="BM206" i="23"/>
  <c r="BI206" i="23"/>
  <c r="V206" i="23"/>
  <c r="AD206" i="23"/>
  <c r="M206" i="23"/>
  <c r="BN206" i="23"/>
  <c r="BJ206" i="23"/>
  <c r="AQ207" i="23"/>
  <c r="AR207" i="23"/>
  <c r="AU207" i="23"/>
  <c r="AV207" i="23"/>
  <c r="BE207" i="23"/>
  <c r="Q207" i="23"/>
  <c r="S207" i="23"/>
  <c r="W207" i="23"/>
  <c r="AA207" i="23"/>
  <c r="I207" i="23"/>
  <c r="J207" i="23"/>
  <c r="BC207" i="23"/>
  <c r="BD207" i="23"/>
  <c r="BK207" i="23"/>
  <c r="BG207" i="23"/>
  <c r="T207" i="23"/>
  <c r="AB207" i="23"/>
  <c r="K207" i="23"/>
  <c r="BL207" i="23"/>
  <c r="BH207" i="23"/>
  <c r="U207" i="23"/>
  <c r="AC207" i="23"/>
  <c r="L207" i="23"/>
  <c r="BM207" i="23"/>
  <c r="BI207" i="23"/>
  <c r="V207" i="23"/>
  <c r="AD207" i="23"/>
  <c r="M207" i="23"/>
  <c r="BN207" i="23"/>
  <c r="BJ207" i="23"/>
  <c r="AQ208" i="23"/>
  <c r="AR208" i="23"/>
  <c r="AU208" i="23"/>
  <c r="AV208" i="23"/>
  <c r="BE208" i="23"/>
  <c r="Q208" i="23"/>
  <c r="S208" i="23"/>
  <c r="W208" i="23"/>
  <c r="AA208" i="23"/>
  <c r="I208" i="23"/>
  <c r="J208" i="23"/>
  <c r="BC208" i="23"/>
  <c r="BD208" i="23"/>
  <c r="BK208" i="23"/>
  <c r="BG208" i="23"/>
  <c r="T208" i="23"/>
  <c r="AB208" i="23"/>
  <c r="K208" i="23"/>
  <c r="BL208" i="23"/>
  <c r="BH208" i="23"/>
  <c r="U208" i="23"/>
  <c r="AC208" i="23"/>
  <c r="L208" i="23"/>
  <c r="BM208" i="23"/>
  <c r="BI208" i="23"/>
  <c r="V208" i="23"/>
  <c r="AD208" i="23"/>
  <c r="M208" i="23"/>
  <c r="BN208" i="23"/>
  <c r="BJ208" i="23"/>
  <c r="AQ209" i="23"/>
  <c r="AR209" i="23"/>
  <c r="AU209" i="23"/>
  <c r="AV209" i="23"/>
  <c r="BE209" i="23"/>
  <c r="BC209" i="23"/>
  <c r="BD209" i="23"/>
  <c r="Q209" i="23"/>
  <c r="S209" i="23"/>
  <c r="W209" i="23"/>
  <c r="AA209" i="23"/>
  <c r="I209" i="23"/>
  <c r="J209" i="23"/>
  <c r="BK209" i="23"/>
  <c r="BG209" i="23"/>
  <c r="T209" i="23"/>
  <c r="AB209" i="23"/>
  <c r="K209" i="23"/>
  <c r="BL209" i="23"/>
  <c r="BH209" i="23"/>
  <c r="U209" i="23"/>
  <c r="AC209" i="23"/>
  <c r="L209" i="23"/>
  <c r="BM209" i="23"/>
  <c r="BI209" i="23"/>
  <c r="V209" i="23"/>
  <c r="AD209" i="23"/>
  <c r="M209" i="23"/>
  <c r="BN209" i="23"/>
  <c r="BJ209" i="23"/>
  <c r="AQ210" i="23"/>
  <c r="AR210" i="23"/>
  <c r="AU210" i="23"/>
  <c r="AV210" i="23"/>
  <c r="BE210" i="23"/>
  <c r="Q210" i="23"/>
  <c r="S210" i="23"/>
  <c r="W210" i="23"/>
  <c r="AA210" i="23"/>
  <c r="I210" i="23"/>
  <c r="J210" i="23"/>
  <c r="BC210" i="23"/>
  <c r="BD210" i="23"/>
  <c r="BK210" i="23"/>
  <c r="BG210" i="23"/>
  <c r="T210" i="23"/>
  <c r="AB210" i="23"/>
  <c r="K210" i="23"/>
  <c r="BL210" i="23"/>
  <c r="BH210" i="23"/>
  <c r="U210" i="23"/>
  <c r="AC210" i="23"/>
  <c r="L210" i="23"/>
  <c r="BM210" i="23"/>
  <c r="BI210" i="23"/>
  <c r="V210" i="23"/>
  <c r="AD210" i="23"/>
  <c r="M210" i="23"/>
  <c r="BN210" i="23"/>
  <c r="BJ210" i="23"/>
  <c r="AQ211" i="23"/>
  <c r="AR211" i="23"/>
  <c r="AU211" i="23"/>
  <c r="AV211" i="23"/>
  <c r="BE211" i="23"/>
  <c r="Q211" i="23"/>
  <c r="S211" i="23"/>
  <c r="W211" i="23"/>
  <c r="AA211" i="23"/>
  <c r="I211" i="23"/>
  <c r="J211" i="23"/>
  <c r="BC211" i="23"/>
  <c r="BD211" i="23"/>
  <c r="BK211" i="23"/>
  <c r="BG211" i="23"/>
  <c r="T211" i="23"/>
  <c r="AB211" i="23"/>
  <c r="K211" i="23"/>
  <c r="BL211" i="23"/>
  <c r="BH211" i="23"/>
  <c r="U211" i="23"/>
  <c r="AC211" i="23"/>
  <c r="L211" i="23"/>
  <c r="BM211" i="23"/>
  <c r="BI211" i="23"/>
  <c r="V211" i="23"/>
  <c r="AD211" i="23"/>
  <c r="M211" i="23"/>
  <c r="BN211" i="23"/>
  <c r="BJ211" i="23"/>
  <c r="AQ212" i="23"/>
  <c r="AR212" i="23"/>
  <c r="AU212" i="23"/>
  <c r="AV212" i="23"/>
  <c r="BE212" i="23"/>
  <c r="BC212" i="23"/>
  <c r="BD212" i="23"/>
  <c r="Q212" i="23"/>
  <c r="S212" i="23"/>
  <c r="W212" i="23"/>
  <c r="AA212" i="23"/>
  <c r="I212" i="23"/>
  <c r="J212" i="23"/>
  <c r="BK212" i="23"/>
  <c r="BG212" i="23"/>
  <c r="T212" i="23"/>
  <c r="AB212" i="23"/>
  <c r="K212" i="23"/>
  <c r="BL212" i="23"/>
  <c r="BH212" i="23"/>
  <c r="U212" i="23"/>
  <c r="AC212" i="23"/>
  <c r="L212" i="23"/>
  <c r="BM212" i="23"/>
  <c r="BI212" i="23"/>
  <c r="V212" i="23"/>
  <c r="AD212" i="23"/>
  <c r="M212" i="23"/>
  <c r="BN212" i="23"/>
  <c r="BJ212" i="23"/>
  <c r="AQ213" i="23"/>
  <c r="AR213" i="23"/>
  <c r="AU213" i="23"/>
  <c r="AV213" i="23"/>
  <c r="BE213" i="23"/>
  <c r="Q213" i="23"/>
  <c r="S213" i="23"/>
  <c r="W213" i="23"/>
  <c r="AA213" i="23"/>
  <c r="I213" i="23"/>
  <c r="J213" i="23"/>
  <c r="BC213" i="23"/>
  <c r="BD213" i="23"/>
  <c r="BK213" i="23"/>
  <c r="BG213" i="23"/>
  <c r="T213" i="23"/>
  <c r="AB213" i="23"/>
  <c r="K213" i="23"/>
  <c r="BL213" i="23"/>
  <c r="BH213" i="23"/>
  <c r="U213" i="23"/>
  <c r="AC213" i="23"/>
  <c r="L213" i="23"/>
  <c r="BM213" i="23"/>
  <c r="BI213" i="23"/>
  <c r="V213" i="23"/>
  <c r="AD213" i="23"/>
  <c r="M213" i="23"/>
  <c r="BN213" i="23"/>
  <c r="BJ213" i="23"/>
  <c r="AQ214" i="23"/>
  <c r="AR214" i="23"/>
  <c r="AU214" i="23"/>
  <c r="AV214" i="23"/>
  <c r="BE214" i="23"/>
  <c r="Q214" i="23"/>
  <c r="S214" i="23"/>
  <c r="W214" i="23"/>
  <c r="AA214" i="23"/>
  <c r="I214" i="23"/>
  <c r="J214" i="23"/>
  <c r="BC214" i="23"/>
  <c r="BD214" i="23"/>
  <c r="BK214" i="23"/>
  <c r="BG214" i="23"/>
  <c r="T214" i="23"/>
  <c r="AB214" i="23"/>
  <c r="K214" i="23"/>
  <c r="BL214" i="23"/>
  <c r="BH214" i="23"/>
  <c r="U214" i="23"/>
  <c r="AC214" i="23"/>
  <c r="L214" i="23"/>
  <c r="BM214" i="23"/>
  <c r="BI214" i="23"/>
  <c r="V214" i="23"/>
  <c r="AD214" i="23"/>
  <c r="M214" i="23"/>
  <c r="BN214" i="23"/>
  <c r="BJ214" i="23"/>
  <c r="AQ215" i="23"/>
  <c r="AR215" i="23"/>
  <c r="AU215" i="23"/>
  <c r="AV215" i="23"/>
  <c r="BE215" i="23"/>
  <c r="BC215" i="23"/>
  <c r="BD215" i="23"/>
  <c r="Q215" i="23"/>
  <c r="S215" i="23"/>
  <c r="W215" i="23"/>
  <c r="AA215" i="23"/>
  <c r="I215" i="23"/>
  <c r="J215" i="23"/>
  <c r="BK215" i="23"/>
  <c r="BG215" i="23"/>
  <c r="T215" i="23"/>
  <c r="AB215" i="23"/>
  <c r="K215" i="23"/>
  <c r="BL215" i="23"/>
  <c r="BH215" i="23"/>
  <c r="U215" i="23"/>
  <c r="AC215" i="23"/>
  <c r="L215" i="23"/>
  <c r="BM215" i="23"/>
  <c r="BI215" i="23"/>
  <c r="V215" i="23"/>
  <c r="AD215" i="23"/>
  <c r="M215" i="23"/>
  <c r="BN215" i="23"/>
  <c r="BJ215" i="23"/>
  <c r="AQ216" i="23"/>
  <c r="AR216" i="23"/>
  <c r="AU216" i="23"/>
  <c r="AV216" i="23"/>
  <c r="BE216" i="23"/>
  <c r="Q216" i="23"/>
  <c r="S216" i="23"/>
  <c r="W216" i="23"/>
  <c r="AA216" i="23"/>
  <c r="I216" i="23"/>
  <c r="J216" i="23"/>
  <c r="BC216" i="23"/>
  <c r="BD216" i="23"/>
  <c r="BK216" i="23"/>
  <c r="BG216" i="23"/>
  <c r="T216" i="23"/>
  <c r="AB216" i="23"/>
  <c r="K216" i="23"/>
  <c r="BL216" i="23"/>
  <c r="BH216" i="23"/>
  <c r="U216" i="23"/>
  <c r="AC216" i="23"/>
  <c r="L216" i="23"/>
  <c r="BM216" i="23"/>
  <c r="BI216" i="23"/>
  <c r="V216" i="23"/>
  <c r="AD216" i="23"/>
  <c r="M216" i="23"/>
  <c r="BN216" i="23"/>
  <c r="BJ216" i="23"/>
  <c r="AQ217" i="23"/>
  <c r="AR217" i="23"/>
  <c r="AU217" i="23"/>
  <c r="AV217" i="23"/>
  <c r="BE217" i="23"/>
  <c r="Q217" i="23"/>
  <c r="S217" i="23"/>
  <c r="W217" i="23"/>
  <c r="AA217" i="23"/>
  <c r="I217" i="23"/>
  <c r="J217" i="23"/>
  <c r="BC217" i="23"/>
  <c r="BD217" i="23"/>
  <c r="BK217" i="23"/>
  <c r="BG217" i="23"/>
  <c r="T217" i="23"/>
  <c r="AB217" i="23"/>
  <c r="K217" i="23"/>
  <c r="BL217" i="23"/>
  <c r="BH217" i="23"/>
  <c r="U217" i="23"/>
  <c r="AC217" i="23"/>
  <c r="L217" i="23"/>
  <c r="BM217" i="23"/>
  <c r="BI217" i="23"/>
  <c r="V217" i="23"/>
  <c r="AD217" i="23"/>
  <c r="M217" i="23"/>
  <c r="BN217" i="23"/>
  <c r="BJ217" i="23"/>
  <c r="AQ218" i="23"/>
  <c r="AR218" i="23"/>
  <c r="AU218" i="23"/>
  <c r="AV218" i="23"/>
  <c r="BE218" i="23"/>
  <c r="BC218" i="23"/>
  <c r="BD218" i="23"/>
  <c r="Q218" i="23"/>
  <c r="S218" i="23"/>
  <c r="W218" i="23"/>
  <c r="AA218" i="23"/>
  <c r="I218" i="23"/>
  <c r="J218" i="23"/>
  <c r="BK218" i="23"/>
  <c r="BG218" i="23"/>
  <c r="T218" i="23"/>
  <c r="AB218" i="23"/>
  <c r="K218" i="23"/>
  <c r="BL218" i="23"/>
  <c r="BH218" i="23"/>
  <c r="U218" i="23"/>
  <c r="AC218" i="23"/>
  <c r="L218" i="23"/>
  <c r="BM218" i="23"/>
  <c r="BI218" i="23"/>
  <c r="V218" i="23"/>
  <c r="AD218" i="23"/>
  <c r="M218" i="23"/>
  <c r="BN218" i="23"/>
  <c r="BJ218" i="23"/>
  <c r="AQ219" i="23"/>
  <c r="AR219" i="23"/>
  <c r="AU219" i="23"/>
  <c r="AV219" i="23"/>
  <c r="BE219" i="23"/>
  <c r="Q219" i="23"/>
  <c r="S219" i="23"/>
  <c r="W219" i="23"/>
  <c r="AA219" i="23"/>
  <c r="I219" i="23"/>
  <c r="J219" i="23"/>
  <c r="BC219" i="23"/>
  <c r="BD219" i="23"/>
  <c r="BK219" i="23"/>
  <c r="BG219" i="23"/>
  <c r="T219" i="23"/>
  <c r="AB219" i="23"/>
  <c r="K219" i="23"/>
  <c r="BL219" i="23"/>
  <c r="BH219" i="23"/>
  <c r="U219" i="23"/>
  <c r="AC219" i="23"/>
  <c r="L219" i="23"/>
  <c r="BM219" i="23"/>
  <c r="BI219" i="23"/>
  <c r="V219" i="23"/>
  <c r="AD219" i="23"/>
  <c r="M219" i="23"/>
  <c r="BN219" i="23"/>
  <c r="BJ219" i="23"/>
  <c r="AQ220" i="23"/>
  <c r="AR220" i="23"/>
  <c r="AU220" i="23"/>
  <c r="AV220" i="23"/>
  <c r="BE220" i="23"/>
  <c r="Q220" i="23"/>
  <c r="S220" i="23"/>
  <c r="W220" i="23"/>
  <c r="AA220" i="23"/>
  <c r="I220" i="23"/>
  <c r="J220" i="23"/>
  <c r="BC220" i="23"/>
  <c r="BD220" i="23"/>
  <c r="BK220" i="23"/>
  <c r="BG220" i="23"/>
  <c r="T220" i="23"/>
  <c r="AB220" i="23"/>
  <c r="K220" i="23"/>
  <c r="BL220" i="23"/>
  <c r="BH220" i="23"/>
  <c r="U220" i="23"/>
  <c r="AC220" i="23"/>
  <c r="L220" i="23"/>
  <c r="BM220" i="23"/>
  <c r="BI220" i="23"/>
  <c r="V220" i="23"/>
  <c r="AD220" i="23"/>
  <c r="M220" i="23"/>
  <c r="BN220" i="23"/>
  <c r="BJ220" i="23"/>
  <c r="AQ221" i="23"/>
  <c r="AR221" i="23"/>
  <c r="AU221" i="23"/>
  <c r="AV221" i="23"/>
  <c r="BE221" i="23"/>
  <c r="BC221" i="23"/>
  <c r="BD221" i="23"/>
  <c r="Q221" i="23"/>
  <c r="S221" i="23"/>
  <c r="W221" i="23"/>
  <c r="AA221" i="23"/>
  <c r="I221" i="23"/>
  <c r="J221" i="23"/>
  <c r="BK221" i="23"/>
  <c r="BG221" i="23"/>
  <c r="T221" i="23"/>
  <c r="AB221" i="23"/>
  <c r="K221" i="23"/>
  <c r="BL221" i="23"/>
  <c r="BH221" i="23"/>
  <c r="U221" i="23"/>
  <c r="AC221" i="23"/>
  <c r="L221" i="23"/>
  <c r="BM221" i="23"/>
  <c r="BI221" i="23"/>
  <c r="V221" i="23"/>
  <c r="AD221" i="23"/>
  <c r="M221" i="23"/>
  <c r="BN221" i="23"/>
  <c r="BJ221" i="23"/>
  <c r="AQ222" i="23"/>
  <c r="AR222" i="23"/>
  <c r="AU222" i="23"/>
  <c r="AV222" i="23"/>
  <c r="BE222" i="23"/>
  <c r="Q222" i="23"/>
  <c r="S222" i="23"/>
  <c r="W222" i="23"/>
  <c r="AA222" i="23"/>
  <c r="I222" i="23"/>
  <c r="J222" i="23"/>
  <c r="BC222" i="23"/>
  <c r="BD222" i="23"/>
  <c r="BK222" i="23"/>
  <c r="BG222" i="23"/>
  <c r="T222" i="23"/>
  <c r="AB222" i="23"/>
  <c r="K222" i="23"/>
  <c r="BL222" i="23"/>
  <c r="BH222" i="23"/>
  <c r="U222" i="23"/>
  <c r="AC222" i="23"/>
  <c r="L222" i="23"/>
  <c r="BM222" i="23"/>
  <c r="BI222" i="23"/>
  <c r="V222" i="23"/>
  <c r="AD222" i="23"/>
  <c r="M222" i="23"/>
  <c r="BN222" i="23"/>
  <c r="BJ222" i="23"/>
  <c r="AQ223" i="23"/>
  <c r="AR223" i="23"/>
  <c r="AU223" i="23"/>
  <c r="AV223" i="23"/>
  <c r="BE223" i="23"/>
  <c r="Q223" i="23"/>
  <c r="S223" i="23"/>
  <c r="W223" i="23"/>
  <c r="AA223" i="23"/>
  <c r="I223" i="23"/>
  <c r="J223" i="23"/>
  <c r="BC223" i="23"/>
  <c r="BD223" i="23"/>
  <c r="BK223" i="23"/>
  <c r="BG223" i="23"/>
  <c r="T223" i="23"/>
  <c r="AB223" i="23"/>
  <c r="K223" i="23"/>
  <c r="BL223" i="23"/>
  <c r="BH223" i="23"/>
  <c r="U223" i="23"/>
  <c r="AC223" i="23"/>
  <c r="L223" i="23"/>
  <c r="BM223" i="23"/>
  <c r="BI223" i="23"/>
  <c r="V223" i="23"/>
  <c r="AD223" i="23"/>
  <c r="M223" i="23"/>
  <c r="BN223" i="23"/>
  <c r="BJ223" i="23"/>
  <c r="AQ224" i="23"/>
  <c r="AR224" i="23"/>
  <c r="AU224" i="23"/>
  <c r="AV224" i="23"/>
  <c r="BE224" i="23"/>
  <c r="BC224" i="23"/>
  <c r="BD224" i="23"/>
  <c r="Q224" i="23"/>
  <c r="S224" i="23"/>
  <c r="W224" i="23"/>
  <c r="AA224" i="23"/>
  <c r="I224" i="23"/>
  <c r="J224" i="23"/>
  <c r="BK224" i="23"/>
  <c r="BG224" i="23"/>
  <c r="T224" i="23"/>
  <c r="AB224" i="23"/>
  <c r="K224" i="23"/>
  <c r="BL224" i="23"/>
  <c r="BH224" i="23"/>
  <c r="U224" i="23"/>
  <c r="AC224" i="23"/>
  <c r="L224" i="23"/>
  <c r="BM224" i="23"/>
  <c r="BI224" i="23"/>
  <c r="V224" i="23"/>
  <c r="AD224" i="23"/>
  <c r="M224" i="23"/>
  <c r="BN224" i="23"/>
  <c r="BJ224" i="23"/>
  <c r="AQ225" i="23"/>
  <c r="AR225" i="23"/>
  <c r="AU225" i="23"/>
  <c r="AV225" i="23"/>
  <c r="BE225" i="23"/>
  <c r="Q225" i="23"/>
  <c r="S225" i="23"/>
  <c r="W225" i="23"/>
  <c r="AA225" i="23"/>
  <c r="I225" i="23"/>
  <c r="J225" i="23"/>
  <c r="BC225" i="23"/>
  <c r="BD225" i="23"/>
  <c r="BK225" i="23"/>
  <c r="BG225" i="23"/>
  <c r="T225" i="23"/>
  <c r="AB225" i="23"/>
  <c r="K225" i="23"/>
  <c r="BL225" i="23"/>
  <c r="BH225" i="23"/>
  <c r="U225" i="23"/>
  <c r="AC225" i="23"/>
  <c r="L225" i="23"/>
  <c r="BM225" i="23"/>
  <c r="BI225" i="23"/>
  <c r="V225" i="23"/>
  <c r="AD225" i="23"/>
  <c r="M225" i="23"/>
  <c r="BN225" i="23"/>
  <c r="BJ225" i="23"/>
  <c r="AQ226" i="23"/>
  <c r="AR226" i="23"/>
  <c r="AU226" i="23"/>
  <c r="AV226" i="23"/>
  <c r="BE226" i="23"/>
  <c r="Q226" i="23"/>
  <c r="S226" i="23"/>
  <c r="W226" i="23"/>
  <c r="AA226" i="23"/>
  <c r="I226" i="23"/>
  <c r="J226" i="23"/>
  <c r="BC226" i="23"/>
  <c r="BD226" i="23"/>
  <c r="BK226" i="23"/>
  <c r="BG226" i="23"/>
  <c r="T226" i="23"/>
  <c r="AB226" i="23"/>
  <c r="K226" i="23"/>
  <c r="BL226" i="23"/>
  <c r="BH226" i="23"/>
  <c r="U226" i="23"/>
  <c r="AC226" i="23"/>
  <c r="L226" i="23"/>
  <c r="BM226" i="23"/>
  <c r="BI226" i="23"/>
  <c r="V226" i="23"/>
  <c r="AD226" i="23"/>
  <c r="M226" i="23"/>
  <c r="BN226" i="23"/>
  <c r="BJ226" i="23"/>
  <c r="AQ227" i="23"/>
  <c r="AR227" i="23"/>
  <c r="AU227" i="23"/>
  <c r="AV227" i="23"/>
  <c r="BE227" i="23"/>
  <c r="BC227" i="23"/>
  <c r="BD227" i="23"/>
  <c r="Q227" i="23"/>
  <c r="S227" i="23"/>
  <c r="W227" i="23"/>
  <c r="AA227" i="23"/>
  <c r="I227" i="23"/>
  <c r="J227" i="23"/>
  <c r="BK227" i="23"/>
  <c r="BG227" i="23"/>
  <c r="T227" i="23"/>
  <c r="AB227" i="23"/>
  <c r="K227" i="23"/>
  <c r="BL227" i="23"/>
  <c r="BH227" i="23"/>
  <c r="U227" i="23"/>
  <c r="AC227" i="23"/>
  <c r="L227" i="23"/>
  <c r="BM227" i="23"/>
  <c r="BI227" i="23"/>
  <c r="V227" i="23"/>
  <c r="AD227" i="23"/>
  <c r="M227" i="23"/>
  <c r="BN227" i="23"/>
  <c r="BJ227" i="23"/>
  <c r="AQ228" i="23"/>
  <c r="AR228" i="23"/>
  <c r="AU228" i="23"/>
  <c r="AV228" i="23"/>
  <c r="BE228" i="23"/>
  <c r="Q228" i="23"/>
  <c r="S228" i="23"/>
  <c r="W228" i="23"/>
  <c r="AA228" i="23"/>
  <c r="I228" i="23"/>
  <c r="J228" i="23"/>
  <c r="BC228" i="23"/>
  <c r="BD228" i="23"/>
  <c r="BK228" i="23"/>
  <c r="BG228" i="23"/>
  <c r="T228" i="23"/>
  <c r="AB228" i="23"/>
  <c r="K228" i="23"/>
  <c r="BL228" i="23"/>
  <c r="BH228" i="23"/>
  <c r="U228" i="23"/>
  <c r="AC228" i="23"/>
  <c r="L228" i="23"/>
  <c r="BM228" i="23"/>
  <c r="BI228" i="23"/>
  <c r="V228" i="23"/>
  <c r="AD228" i="23"/>
  <c r="M228" i="23"/>
  <c r="BN228" i="23"/>
  <c r="BJ228" i="23"/>
  <c r="AQ229" i="23"/>
  <c r="AR229" i="23"/>
  <c r="AU229" i="23"/>
  <c r="AV229" i="23"/>
  <c r="BE229" i="23"/>
  <c r="Q229" i="23"/>
  <c r="S229" i="23"/>
  <c r="W229" i="23"/>
  <c r="AA229" i="23"/>
  <c r="I229" i="23"/>
  <c r="J229" i="23"/>
  <c r="BC229" i="23"/>
  <c r="BD229" i="23"/>
  <c r="BK229" i="23"/>
  <c r="BG229" i="23"/>
  <c r="T229" i="23"/>
  <c r="AB229" i="23"/>
  <c r="K229" i="23"/>
  <c r="BL229" i="23"/>
  <c r="BH229" i="23"/>
  <c r="U229" i="23"/>
  <c r="AC229" i="23"/>
  <c r="L229" i="23"/>
  <c r="BM229" i="23"/>
  <c r="BI229" i="23"/>
  <c r="V229" i="23"/>
  <c r="AD229" i="23"/>
  <c r="M229" i="23"/>
  <c r="BN229" i="23"/>
  <c r="BJ229" i="23"/>
  <c r="AQ230" i="23"/>
  <c r="AR230" i="23"/>
  <c r="AU230" i="23"/>
  <c r="AV230" i="23"/>
  <c r="BE230" i="23"/>
  <c r="BC230" i="23"/>
  <c r="BD230" i="23"/>
  <c r="Q230" i="23"/>
  <c r="S230" i="23"/>
  <c r="W230" i="23"/>
  <c r="AA230" i="23"/>
  <c r="I230" i="23"/>
  <c r="J230" i="23"/>
  <c r="BK230" i="23"/>
  <c r="BG230" i="23"/>
  <c r="T230" i="23"/>
  <c r="AB230" i="23"/>
  <c r="K230" i="23"/>
  <c r="BL230" i="23"/>
  <c r="BH230" i="23"/>
  <c r="U230" i="23"/>
  <c r="AC230" i="23"/>
  <c r="L230" i="23"/>
  <c r="BM230" i="23"/>
  <c r="BI230" i="23"/>
  <c r="V230" i="23"/>
  <c r="AD230" i="23"/>
  <c r="M230" i="23"/>
  <c r="BN230" i="23"/>
  <c r="BJ230" i="23"/>
  <c r="AQ231" i="23"/>
  <c r="AR231" i="23"/>
  <c r="AU231" i="23"/>
  <c r="AV231" i="23"/>
  <c r="BE231" i="23"/>
  <c r="Q231" i="23"/>
  <c r="S231" i="23"/>
  <c r="W231" i="23"/>
  <c r="AA231" i="23"/>
  <c r="I231" i="23"/>
  <c r="J231" i="23"/>
  <c r="BC231" i="23"/>
  <c r="BD231" i="23"/>
  <c r="BK231" i="23"/>
  <c r="BG231" i="23"/>
  <c r="T231" i="23"/>
  <c r="AB231" i="23"/>
  <c r="K231" i="23"/>
  <c r="BL231" i="23"/>
  <c r="BH231" i="23"/>
  <c r="U231" i="23"/>
  <c r="AC231" i="23"/>
  <c r="L231" i="23"/>
  <c r="BM231" i="23"/>
  <c r="BI231" i="23"/>
  <c r="V231" i="23"/>
  <c r="AD231" i="23"/>
  <c r="M231" i="23"/>
  <c r="BN231" i="23"/>
  <c r="BJ231" i="23"/>
  <c r="AQ232" i="23"/>
  <c r="AR232" i="23"/>
  <c r="AU232" i="23"/>
  <c r="AV232" i="23"/>
  <c r="BE232" i="23"/>
  <c r="Q232" i="23"/>
  <c r="S232" i="23"/>
  <c r="W232" i="23"/>
  <c r="AA232" i="23"/>
  <c r="I232" i="23"/>
  <c r="J232" i="23"/>
  <c r="BC232" i="23"/>
  <c r="BD232" i="23"/>
  <c r="BK232" i="23"/>
  <c r="BG232" i="23"/>
  <c r="T232" i="23"/>
  <c r="AB232" i="23"/>
  <c r="K232" i="23"/>
  <c r="BL232" i="23"/>
  <c r="BH232" i="23"/>
  <c r="U232" i="23"/>
  <c r="AC232" i="23"/>
  <c r="L232" i="23"/>
  <c r="BM232" i="23"/>
  <c r="BI232" i="23"/>
  <c r="V232" i="23"/>
  <c r="AD232" i="23"/>
  <c r="M232" i="23"/>
  <c r="BN232" i="23"/>
  <c r="BJ232" i="23"/>
  <c r="AQ233" i="23"/>
  <c r="AR233" i="23"/>
  <c r="AU233" i="23"/>
  <c r="AV233" i="23"/>
  <c r="BE233" i="23"/>
  <c r="BC233" i="23"/>
  <c r="BD233" i="23"/>
  <c r="Q233" i="23"/>
  <c r="S233" i="23"/>
  <c r="W233" i="23"/>
  <c r="AA233" i="23"/>
  <c r="I233" i="23"/>
  <c r="J233" i="23"/>
  <c r="BK233" i="23"/>
  <c r="BG233" i="23"/>
  <c r="T233" i="23"/>
  <c r="AB233" i="23"/>
  <c r="K233" i="23"/>
  <c r="BL233" i="23"/>
  <c r="BH233" i="23"/>
  <c r="U233" i="23"/>
  <c r="AC233" i="23"/>
  <c r="L233" i="23"/>
  <c r="BM233" i="23"/>
  <c r="BI233" i="23"/>
  <c r="V233" i="23"/>
  <c r="AD233" i="23"/>
  <c r="M233" i="23"/>
  <c r="BN233" i="23"/>
  <c r="BJ233" i="23"/>
  <c r="AQ234" i="23"/>
  <c r="AR234" i="23"/>
  <c r="AU234" i="23"/>
  <c r="AV234" i="23"/>
  <c r="BE234" i="23"/>
  <c r="Q234" i="23"/>
  <c r="S234" i="23"/>
  <c r="W234" i="23"/>
  <c r="AA234" i="23"/>
  <c r="I234" i="23"/>
  <c r="J234" i="23"/>
  <c r="G234" i="23"/>
  <c r="BC234" i="23"/>
  <c r="BD234" i="23"/>
  <c r="BK234" i="23"/>
  <c r="BG234" i="23"/>
  <c r="T234" i="23"/>
  <c r="AB234" i="23"/>
  <c r="K234" i="23"/>
  <c r="BL234" i="23"/>
  <c r="BH234" i="23"/>
  <c r="U234" i="23"/>
  <c r="AC234" i="23"/>
  <c r="L234" i="23"/>
  <c r="BM234" i="23"/>
  <c r="BI234" i="23"/>
  <c r="V234" i="23"/>
  <c r="AD234" i="23"/>
  <c r="M234" i="23"/>
  <c r="BN234" i="23"/>
  <c r="BJ234" i="23"/>
  <c r="AQ235" i="23"/>
  <c r="AR235" i="23"/>
  <c r="AU235" i="23"/>
  <c r="AV235" i="23"/>
  <c r="BE235" i="23"/>
  <c r="Q235" i="23"/>
  <c r="S235" i="23"/>
  <c r="W235" i="23"/>
  <c r="AA235" i="23"/>
  <c r="I235" i="23"/>
  <c r="J235" i="23"/>
  <c r="BC235" i="23"/>
  <c r="BD235" i="23"/>
  <c r="BK235" i="23"/>
  <c r="BG235" i="23"/>
  <c r="T235" i="23"/>
  <c r="AB235" i="23"/>
  <c r="K235" i="23"/>
  <c r="BL235" i="23"/>
  <c r="BH235" i="23"/>
  <c r="U235" i="23"/>
  <c r="AC235" i="23"/>
  <c r="L235" i="23"/>
  <c r="BM235" i="23"/>
  <c r="BI235" i="23"/>
  <c r="V235" i="23"/>
  <c r="AD235" i="23"/>
  <c r="M235" i="23"/>
  <c r="BN235" i="23"/>
  <c r="BJ235" i="23"/>
  <c r="AQ236" i="23"/>
  <c r="AR236" i="23"/>
  <c r="AU236" i="23"/>
  <c r="AV236" i="23"/>
  <c r="BE236" i="23"/>
  <c r="BC236" i="23"/>
  <c r="BD236" i="23"/>
  <c r="Q236" i="23"/>
  <c r="S236" i="23"/>
  <c r="W236" i="23"/>
  <c r="AA236" i="23"/>
  <c r="I236" i="23"/>
  <c r="J236" i="23"/>
  <c r="BK236" i="23"/>
  <c r="BG236" i="23"/>
  <c r="T236" i="23"/>
  <c r="AB236" i="23"/>
  <c r="K236" i="23"/>
  <c r="BL236" i="23"/>
  <c r="BH236" i="23"/>
  <c r="U236" i="23"/>
  <c r="AC236" i="23"/>
  <c r="L236" i="23"/>
  <c r="BM236" i="23"/>
  <c r="BI236" i="23"/>
  <c r="V236" i="23"/>
  <c r="AD236" i="23"/>
  <c r="M236" i="23"/>
  <c r="BN236" i="23"/>
  <c r="BJ236" i="23"/>
  <c r="AQ237" i="23"/>
  <c r="AR237" i="23"/>
  <c r="AU237" i="23"/>
  <c r="AV237" i="23"/>
  <c r="BE237" i="23"/>
  <c r="Q237" i="23"/>
  <c r="S237" i="23"/>
  <c r="W237" i="23"/>
  <c r="AA237" i="23"/>
  <c r="I237" i="23"/>
  <c r="J237" i="23"/>
  <c r="G237" i="23"/>
  <c r="BC237" i="23"/>
  <c r="BD237" i="23"/>
  <c r="BK237" i="23"/>
  <c r="BG237" i="23"/>
  <c r="T237" i="23"/>
  <c r="AB237" i="23"/>
  <c r="K237" i="23"/>
  <c r="BL237" i="23"/>
  <c r="BH237" i="23"/>
  <c r="U237" i="23"/>
  <c r="AC237" i="23"/>
  <c r="L237" i="23"/>
  <c r="BM237" i="23"/>
  <c r="BI237" i="23"/>
  <c r="V237" i="23"/>
  <c r="AD237" i="23"/>
  <c r="M237" i="23"/>
  <c r="BN237" i="23"/>
  <c r="BJ237" i="23"/>
  <c r="AQ238" i="23"/>
  <c r="AR238" i="23"/>
  <c r="AU238" i="23"/>
  <c r="AV238" i="23"/>
  <c r="BE238" i="23"/>
  <c r="Q238" i="23"/>
  <c r="S238" i="23"/>
  <c r="W238" i="23"/>
  <c r="AA238" i="23"/>
  <c r="I238" i="23"/>
  <c r="J238" i="23"/>
  <c r="BC238" i="23"/>
  <c r="BD238" i="23"/>
  <c r="BK238" i="23"/>
  <c r="BG238" i="23"/>
  <c r="T238" i="23"/>
  <c r="AB238" i="23"/>
  <c r="K238" i="23"/>
  <c r="BL238" i="23"/>
  <c r="BH238" i="23"/>
  <c r="U238" i="23"/>
  <c r="AC238" i="23"/>
  <c r="L238" i="23"/>
  <c r="BM238" i="23"/>
  <c r="BI238" i="23"/>
  <c r="V238" i="23"/>
  <c r="AD238" i="23"/>
  <c r="M238" i="23"/>
  <c r="BN238" i="23"/>
  <c r="BJ238" i="23"/>
  <c r="AQ239" i="23"/>
  <c r="AR239" i="23"/>
  <c r="AU239" i="23"/>
  <c r="AV239" i="23"/>
  <c r="BE239" i="23"/>
  <c r="BC239" i="23"/>
  <c r="BD239" i="23"/>
  <c r="Q239" i="23"/>
  <c r="S239" i="23"/>
  <c r="W239" i="23"/>
  <c r="AA239" i="23"/>
  <c r="I239" i="23"/>
  <c r="J239" i="23"/>
  <c r="BK239" i="23"/>
  <c r="BG239" i="23"/>
  <c r="T239" i="23"/>
  <c r="AB239" i="23"/>
  <c r="K239" i="23"/>
  <c r="BL239" i="23"/>
  <c r="BH239" i="23"/>
  <c r="U239" i="23"/>
  <c r="AC239" i="23"/>
  <c r="L239" i="23"/>
  <c r="BM239" i="23"/>
  <c r="BI239" i="23"/>
  <c r="V239" i="23"/>
  <c r="AD239" i="23"/>
  <c r="M239" i="23"/>
  <c r="BN239" i="23"/>
  <c r="BJ239" i="23"/>
  <c r="AQ240" i="23"/>
  <c r="AR240" i="23"/>
  <c r="AU240" i="23"/>
  <c r="AV240" i="23"/>
  <c r="BE240" i="23"/>
  <c r="Q240" i="23"/>
  <c r="S240" i="23"/>
  <c r="W240" i="23"/>
  <c r="AA240" i="23"/>
  <c r="I240" i="23"/>
  <c r="J240" i="23"/>
  <c r="G240" i="23"/>
  <c r="BC240" i="23"/>
  <c r="BD240" i="23"/>
  <c r="BK240" i="23"/>
  <c r="BG240" i="23"/>
  <c r="T240" i="23"/>
  <c r="AB240" i="23"/>
  <c r="K240" i="23"/>
  <c r="BL240" i="23"/>
  <c r="BH240" i="23"/>
  <c r="U240" i="23"/>
  <c r="AC240" i="23"/>
  <c r="L240" i="23"/>
  <c r="BM240" i="23"/>
  <c r="BI240" i="23"/>
  <c r="V240" i="23"/>
  <c r="AD240" i="23"/>
  <c r="M240" i="23"/>
  <c r="BN240" i="23"/>
  <c r="BJ240" i="23"/>
  <c r="AQ241" i="23"/>
  <c r="AR241" i="23"/>
  <c r="AU241" i="23"/>
  <c r="AV241" i="23"/>
  <c r="BE241" i="23"/>
  <c r="Q241" i="23"/>
  <c r="S241" i="23"/>
  <c r="W241" i="23"/>
  <c r="AA241" i="23"/>
  <c r="I241" i="23"/>
  <c r="J241" i="23"/>
  <c r="BC241" i="23"/>
  <c r="BD241" i="23"/>
  <c r="BK241" i="23"/>
  <c r="BG241" i="23"/>
  <c r="T241" i="23"/>
  <c r="AB241" i="23"/>
  <c r="K241" i="23"/>
  <c r="BL241" i="23"/>
  <c r="BH241" i="23"/>
  <c r="U241" i="23"/>
  <c r="AC241" i="23"/>
  <c r="L241" i="23"/>
  <c r="BM241" i="23"/>
  <c r="BI241" i="23"/>
  <c r="V241" i="23"/>
  <c r="AD241" i="23"/>
  <c r="M241" i="23"/>
  <c r="BN241" i="23"/>
  <c r="BJ241" i="23"/>
  <c r="AQ242" i="23"/>
  <c r="AR242" i="23"/>
  <c r="AU242" i="23"/>
  <c r="AV242" i="23"/>
  <c r="BE242" i="23"/>
  <c r="BC242" i="23"/>
  <c r="BD242" i="23"/>
  <c r="Q242" i="23"/>
  <c r="S242" i="23"/>
  <c r="W242" i="23"/>
  <c r="AA242" i="23"/>
  <c r="I242" i="23"/>
  <c r="J242" i="23"/>
  <c r="BK242" i="23"/>
  <c r="BG242" i="23"/>
  <c r="T242" i="23"/>
  <c r="AB242" i="23"/>
  <c r="K242" i="23"/>
  <c r="BL242" i="23"/>
  <c r="BH242" i="23"/>
  <c r="U242" i="23"/>
  <c r="AC242" i="23"/>
  <c r="L242" i="23"/>
  <c r="BM242" i="23"/>
  <c r="BI242" i="23"/>
  <c r="V242" i="23"/>
  <c r="AD242" i="23"/>
  <c r="M242" i="23"/>
  <c r="BN242" i="23"/>
  <c r="BJ242" i="23"/>
  <c r="AQ243" i="23"/>
  <c r="AR243" i="23"/>
  <c r="AU243" i="23"/>
  <c r="AV243" i="23"/>
  <c r="BE243" i="23"/>
  <c r="Q243" i="23"/>
  <c r="S243" i="23"/>
  <c r="W243" i="23"/>
  <c r="AA243" i="23"/>
  <c r="I243" i="23"/>
  <c r="J243" i="23"/>
  <c r="BC243" i="23"/>
  <c r="BD243" i="23"/>
  <c r="BK243" i="23"/>
  <c r="BG243" i="23"/>
  <c r="T243" i="23"/>
  <c r="AB243" i="23"/>
  <c r="K243" i="23"/>
  <c r="BL243" i="23"/>
  <c r="BH243" i="23"/>
  <c r="U243" i="23"/>
  <c r="AC243" i="23"/>
  <c r="L243" i="23"/>
  <c r="BM243" i="23"/>
  <c r="BI243" i="23"/>
  <c r="V243" i="23"/>
  <c r="AD243" i="23"/>
  <c r="M243" i="23"/>
  <c r="BN243" i="23"/>
  <c r="BJ243" i="23"/>
  <c r="AQ244" i="23"/>
  <c r="AR244" i="23"/>
  <c r="AU244" i="23"/>
  <c r="AV244" i="23"/>
  <c r="BE244" i="23"/>
  <c r="Q244" i="23"/>
  <c r="S244" i="23"/>
  <c r="W244" i="23"/>
  <c r="AA244" i="23"/>
  <c r="I244" i="23"/>
  <c r="J244" i="23"/>
  <c r="BC244" i="23"/>
  <c r="BD244" i="23"/>
  <c r="BK244" i="23"/>
  <c r="BG244" i="23"/>
  <c r="T244" i="23"/>
  <c r="AB244" i="23"/>
  <c r="K244" i="23"/>
  <c r="BL244" i="23"/>
  <c r="BH244" i="23"/>
  <c r="U244" i="23"/>
  <c r="AC244" i="23"/>
  <c r="L244" i="23"/>
  <c r="BM244" i="23"/>
  <c r="BI244" i="23"/>
  <c r="V244" i="23"/>
  <c r="AD244" i="23"/>
  <c r="M244" i="23"/>
  <c r="BN244" i="23"/>
  <c r="BJ244" i="23"/>
  <c r="AQ245" i="23"/>
  <c r="AR245" i="23"/>
  <c r="AU245" i="23"/>
  <c r="AV245" i="23"/>
  <c r="BE245" i="23"/>
  <c r="BC245" i="23"/>
  <c r="BD245" i="23"/>
  <c r="Q245" i="23"/>
  <c r="S245" i="23"/>
  <c r="W245" i="23"/>
  <c r="AA245" i="23"/>
  <c r="I245" i="23"/>
  <c r="J245" i="23"/>
  <c r="BK245" i="23"/>
  <c r="BG245" i="23"/>
  <c r="T245" i="23"/>
  <c r="AB245" i="23"/>
  <c r="K245" i="23"/>
  <c r="BL245" i="23"/>
  <c r="BH245" i="23"/>
  <c r="U245" i="23"/>
  <c r="AC245" i="23"/>
  <c r="L245" i="23"/>
  <c r="BM245" i="23"/>
  <c r="BI245" i="23"/>
  <c r="V245" i="23"/>
  <c r="AD245" i="23"/>
  <c r="M245" i="23"/>
  <c r="BN245" i="23"/>
  <c r="BJ245" i="23"/>
  <c r="AQ246" i="23"/>
  <c r="AR246" i="23"/>
  <c r="AU246" i="23"/>
  <c r="AV246" i="23"/>
  <c r="BE246" i="23"/>
  <c r="Q246" i="23"/>
  <c r="S246" i="23"/>
  <c r="W246" i="23"/>
  <c r="AA246" i="23"/>
  <c r="I246" i="23"/>
  <c r="J246" i="23"/>
  <c r="BC246" i="23"/>
  <c r="BD246" i="23"/>
  <c r="BK246" i="23"/>
  <c r="BG246" i="23"/>
  <c r="T246" i="23"/>
  <c r="AB246" i="23"/>
  <c r="K246" i="23"/>
  <c r="BL246" i="23"/>
  <c r="BH246" i="23"/>
  <c r="U246" i="23"/>
  <c r="AC246" i="23"/>
  <c r="L246" i="23"/>
  <c r="BM246" i="23"/>
  <c r="BI246" i="23"/>
  <c r="V246" i="23"/>
  <c r="AD246" i="23"/>
  <c r="M246" i="23"/>
  <c r="BN246" i="23"/>
  <c r="BJ246" i="23"/>
  <c r="AQ247" i="23"/>
  <c r="AR247" i="23"/>
  <c r="AU247" i="23"/>
  <c r="AV247" i="23"/>
  <c r="BE247" i="23"/>
  <c r="Q247" i="23"/>
  <c r="S247" i="23"/>
  <c r="W247" i="23"/>
  <c r="AA247" i="23"/>
  <c r="I247" i="23"/>
  <c r="J247" i="23"/>
  <c r="BC247" i="23"/>
  <c r="BD247" i="23"/>
  <c r="BK247" i="23"/>
  <c r="BG247" i="23"/>
  <c r="T247" i="23"/>
  <c r="AB247" i="23"/>
  <c r="K247" i="23"/>
  <c r="BL247" i="23"/>
  <c r="BH247" i="23"/>
  <c r="U247" i="23"/>
  <c r="AC247" i="23"/>
  <c r="L247" i="23"/>
  <c r="BM247" i="23"/>
  <c r="BI247" i="23"/>
  <c r="V247" i="23"/>
  <c r="AD247" i="23"/>
  <c r="M247" i="23"/>
  <c r="BN247" i="23"/>
  <c r="BJ247" i="23"/>
  <c r="AQ248" i="23"/>
  <c r="AR248" i="23"/>
  <c r="AU248" i="23"/>
  <c r="AV248" i="23"/>
  <c r="BE248" i="23"/>
  <c r="BC248" i="23"/>
  <c r="BD248" i="23"/>
  <c r="Q248" i="23"/>
  <c r="S248" i="23"/>
  <c r="W248" i="23"/>
  <c r="AA248" i="23"/>
  <c r="I248" i="23"/>
  <c r="J248" i="23"/>
  <c r="BK248" i="23"/>
  <c r="BG248" i="23"/>
  <c r="T248" i="23"/>
  <c r="AB248" i="23"/>
  <c r="K248" i="23"/>
  <c r="BL248" i="23"/>
  <c r="BH248" i="23"/>
  <c r="U248" i="23"/>
  <c r="AC248" i="23"/>
  <c r="L248" i="23"/>
  <c r="BM248" i="23"/>
  <c r="BI248" i="23"/>
  <c r="V248" i="23"/>
  <c r="AD248" i="23"/>
  <c r="M248" i="23"/>
  <c r="BN248" i="23"/>
  <c r="BJ248" i="23"/>
  <c r="AQ249" i="23"/>
  <c r="AR249" i="23"/>
  <c r="AU249" i="23"/>
  <c r="AV249" i="23"/>
  <c r="BE249" i="23"/>
  <c r="Q249" i="23"/>
  <c r="S249" i="23"/>
  <c r="W249" i="23"/>
  <c r="AA249" i="23"/>
  <c r="I249" i="23"/>
  <c r="J249" i="23"/>
  <c r="G249" i="23"/>
  <c r="BC249" i="23"/>
  <c r="BD249" i="23"/>
  <c r="BK249" i="23"/>
  <c r="BG249" i="23"/>
  <c r="T249" i="23"/>
  <c r="AB249" i="23"/>
  <c r="K249" i="23"/>
  <c r="BL249" i="23"/>
  <c r="BH249" i="23"/>
  <c r="U249" i="23"/>
  <c r="AC249" i="23"/>
  <c r="L249" i="23"/>
  <c r="BM249" i="23"/>
  <c r="BI249" i="23"/>
  <c r="V249" i="23"/>
  <c r="AD249" i="23"/>
  <c r="M249" i="23"/>
  <c r="BN249" i="23"/>
  <c r="BJ249" i="23"/>
  <c r="AQ250" i="23"/>
  <c r="AR250" i="23"/>
  <c r="AU250" i="23"/>
  <c r="AV250" i="23"/>
  <c r="BE250" i="23"/>
  <c r="Q250" i="23"/>
  <c r="S250" i="23"/>
  <c r="W250" i="23"/>
  <c r="AA250" i="23"/>
  <c r="I250" i="23"/>
  <c r="J250" i="23"/>
  <c r="BC250" i="23"/>
  <c r="BD250" i="23"/>
  <c r="BK250" i="23"/>
  <c r="BG250" i="23"/>
  <c r="T250" i="23"/>
  <c r="AB250" i="23"/>
  <c r="K250" i="23"/>
  <c r="BL250" i="23"/>
  <c r="BH250" i="23"/>
  <c r="U250" i="23"/>
  <c r="AC250" i="23"/>
  <c r="L250" i="23"/>
  <c r="BM250" i="23"/>
  <c r="BI250" i="23"/>
  <c r="V250" i="23"/>
  <c r="AD250" i="23"/>
  <c r="M250" i="23"/>
  <c r="BN250" i="23"/>
  <c r="BJ250" i="23"/>
  <c r="AQ251" i="23"/>
  <c r="AR251" i="23"/>
  <c r="AU251" i="23"/>
  <c r="AV251" i="23"/>
  <c r="BE251" i="23"/>
  <c r="BC251" i="23"/>
  <c r="BD251" i="23"/>
  <c r="Q251" i="23"/>
  <c r="S251" i="23"/>
  <c r="W251" i="23"/>
  <c r="AA251" i="23"/>
  <c r="I251" i="23"/>
  <c r="J251" i="23"/>
  <c r="BK251" i="23"/>
  <c r="BG251" i="23"/>
  <c r="T251" i="23"/>
  <c r="AB251" i="23"/>
  <c r="K251" i="23"/>
  <c r="BL251" i="23"/>
  <c r="BH251" i="23"/>
  <c r="U251" i="23"/>
  <c r="AC251" i="23"/>
  <c r="L251" i="23"/>
  <c r="BM251" i="23"/>
  <c r="BI251" i="23"/>
  <c r="V251" i="23"/>
  <c r="AD251" i="23"/>
  <c r="M251" i="23"/>
  <c r="BN251" i="23"/>
  <c r="BJ251" i="23"/>
  <c r="AQ252" i="23"/>
  <c r="AR252" i="23"/>
  <c r="AU252" i="23"/>
  <c r="AV252" i="23"/>
  <c r="BE252" i="23"/>
  <c r="Q252" i="23"/>
  <c r="S252" i="23"/>
  <c r="W252" i="23"/>
  <c r="AA252" i="23"/>
  <c r="I252" i="23"/>
  <c r="J252" i="23"/>
  <c r="G252" i="23"/>
  <c r="BC252" i="23"/>
  <c r="BD252" i="23"/>
  <c r="BK252" i="23"/>
  <c r="BG252" i="23"/>
  <c r="T252" i="23"/>
  <c r="AB252" i="23"/>
  <c r="K252" i="23"/>
  <c r="BL252" i="23"/>
  <c r="BH252" i="23"/>
  <c r="U252" i="23"/>
  <c r="AC252" i="23"/>
  <c r="L252" i="23"/>
  <c r="BM252" i="23"/>
  <c r="BI252" i="23"/>
  <c r="V252" i="23"/>
  <c r="AD252" i="23"/>
  <c r="M252" i="23"/>
  <c r="BN252" i="23"/>
  <c r="BJ252" i="23"/>
  <c r="AQ253" i="23"/>
  <c r="AR253" i="23"/>
  <c r="AU253" i="23"/>
  <c r="AV253" i="23"/>
  <c r="BE253" i="23"/>
  <c r="Q253" i="23"/>
  <c r="S253" i="23"/>
  <c r="W253" i="23"/>
  <c r="AA253" i="23"/>
  <c r="I253" i="23"/>
  <c r="J253" i="23"/>
  <c r="BC253" i="23"/>
  <c r="BD253" i="23"/>
  <c r="BK253" i="23"/>
  <c r="BG253" i="23"/>
  <c r="T253" i="23"/>
  <c r="AB253" i="23"/>
  <c r="K253" i="23"/>
  <c r="BL253" i="23"/>
  <c r="BH253" i="23"/>
  <c r="U253" i="23"/>
  <c r="AC253" i="23"/>
  <c r="L253" i="23"/>
  <c r="BM253" i="23"/>
  <c r="BI253" i="23"/>
  <c r="V253" i="23"/>
  <c r="AD253" i="23"/>
  <c r="M253" i="23"/>
  <c r="BN253" i="23"/>
  <c r="BJ253" i="23"/>
  <c r="AQ254" i="23"/>
  <c r="AR254" i="23"/>
  <c r="AU254" i="23"/>
  <c r="AV254" i="23"/>
  <c r="BE254" i="23"/>
  <c r="BC254" i="23"/>
  <c r="BD254" i="23"/>
  <c r="Q254" i="23"/>
  <c r="S254" i="23"/>
  <c r="W254" i="23"/>
  <c r="AA254" i="23"/>
  <c r="I254" i="23"/>
  <c r="J254" i="23"/>
  <c r="BK254" i="23"/>
  <c r="BG254" i="23"/>
  <c r="T254" i="23"/>
  <c r="AB254" i="23"/>
  <c r="K254" i="23"/>
  <c r="BL254" i="23"/>
  <c r="BH254" i="23"/>
  <c r="U254" i="23"/>
  <c r="AC254" i="23"/>
  <c r="L254" i="23"/>
  <c r="BM254" i="23"/>
  <c r="BI254" i="23"/>
  <c r="V254" i="23"/>
  <c r="AD254" i="23"/>
  <c r="M254" i="23"/>
  <c r="BN254" i="23"/>
  <c r="BJ254" i="23"/>
  <c r="AQ255" i="23"/>
  <c r="AR255" i="23"/>
  <c r="AU255" i="23"/>
  <c r="AV255" i="23"/>
  <c r="BE255" i="23"/>
  <c r="Q255" i="23"/>
  <c r="S255" i="23"/>
  <c r="W255" i="23"/>
  <c r="AA255" i="23"/>
  <c r="I255" i="23"/>
  <c r="J255" i="23"/>
  <c r="G255" i="23"/>
  <c r="BC255" i="23"/>
  <c r="BD255" i="23"/>
  <c r="BK255" i="23"/>
  <c r="BG255" i="23"/>
  <c r="T255" i="23"/>
  <c r="AB255" i="23"/>
  <c r="K255" i="23"/>
  <c r="BL255" i="23"/>
  <c r="BH255" i="23"/>
  <c r="U255" i="23"/>
  <c r="AC255" i="23"/>
  <c r="L255" i="23"/>
  <c r="BM255" i="23"/>
  <c r="BI255" i="23"/>
  <c r="V255" i="23"/>
  <c r="AD255" i="23"/>
  <c r="M255" i="23"/>
  <c r="BN255" i="23"/>
  <c r="BJ255" i="23"/>
  <c r="AQ256" i="23"/>
  <c r="AR256" i="23"/>
  <c r="AU256" i="23"/>
  <c r="AV256" i="23"/>
  <c r="BE256" i="23"/>
  <c r="Q256" i="23"/>
  <c r="S256" i="23"/>
  <c r="W256" i="23"/>
  <c r="AA256" i="23"/>
  <c r="I256" i="23"/>
  <c r="J256" i="23"/>
  <c r="BC256" i="23"/>
  <c r="BD256" i="23"/>
  <c r="BK256" i="23"/>
  <c r="BG256" i="23"/>
  <c r="T256" i="23"/>
  <c r="AB256" i="23"/>
  <c r="K256" i="23"/>
  <c r="BL256" i="23"/>
  <c r="BH256" i="23"/>
  <c r="U256" i="23"/>
  <c r="AC256" i="23"/>
  <c r="L256" i="23"/>
  <c r="BM256" i="23"/>
  <c r="BI256" i="23"/>
  <c r="V256" i="23"/>
  <c r="AD256" i="23"/>
  <c r="M256" i="23"/>
  <c r="BN256" i="23"/>
  <c r="BJ256" i="23"/>
  <c r="AQ257" i="23"/>
  <c r="AR257" i="23"/>
  <c r="AU257" i="23"/>
  <c r="AV257" i="23"/>
  <c r="BE257" i="23"/>
  <c r="BC257" i="23"/>
  <c r="BD257" i="23"/>
  <c r="Q257" i="23"/>
  <c r="S257" i="23"/>
  <c r="W257" i="23"/>
  <c r="AA257" i="23"/>
  <c r="I257" i="23"/>
  <c r="J257" i="23"/>
  <c r="BK257" i="23"/>
  <c r="BG257" i="23"/>
  <c r="T257" i="23"/>
  <c r="AB257" i="23"/>
  <c r="K257" i="23"/>
  <c r="BL257" i="23"/>
  <c r="BH257" i="23"/>
  <c r="U257" i="23"/>
  <c r="AC257" i="23"/>
  <c r="L257" i="23"/>
  <c r="BM257" i="23"/>
  <c r="BI257" i="23"/>
  <c r="V257" i="23"/>
  <c r="AD257" i="23"/>
  <c r="M257" i="23"/>
  <c r="BN257" i="23"/>
  <c r="BJ257" i="23"/>
  <c r="AQ258" i="23"/>
  <c r="AR258" i="23"/>
  <c r="AU258" i="23"/>
  <c r="AV258" i="23"/>
  <c r="BE258" i="23"/>
  <c r="Q258" i="23"/>
  <c r="S258" i="23"/>
  <c r="W258" i="23"/>
  <c r="AA258" i="23"/>
  <c r="I258" i="23"/>
  <c r="J258" i="23"/>
  <c r="BC258" i="23"/>
  <c r="BD258" i="23"/>
  <c r="BK258" i="23"/>
  <c r="BG258" i="23"/>
  <c r="T258" i="23"/>
  <c r="AB258" i="23"/>
  <c r="K258" i="23"/>
  <c r="BL258" i="23"/>
  <c r="BH258" i="23"/>
  <c r="U258" i="23"/>
  <c r="AC258" i="23"/>
  <c r="L258" i="23"/>
  <c r="BM258" i="23"/>
  <c r="BI258" i="23"/>
  <c r="V258" i="23"/>
  <c r="AD258" i="23"/>
  <c r="M258" i="23"/>
  <c r="BN258" i="23"/>
  <c r="BJ258" i="23"/>
  <c r="AQ259" i="23"/>
  <c r="AR259" i="23"/>
  <c r="AU259" i="23"/>
  <c r="AV259" i="23"/>
  <c r="BE259" i="23"/>
  <c r="Q259" i="23"/>
  <c r="S259" i="23"/>
  <c r="W259" i="23"/>
  <c r="AA259" i="23"/>
  <c r="I259" i="23"/>
  <c r="J259" i="23"/>
  <c r="BC259" i="23"/>
  <c r="BD259" i="23"/>
  <c r="BK259" i="23"/>
  <c r="BG259" i="23"/>
  <c r="T259" i="23"/>
  <c r="AB259" i="23"/>
  <c r="K259" i="23"/>
  <c r="BL259" i="23"/>
  <c r="BH259" i="23"/>
  <c r="U259" i="23"/>
  <c r="AC259" i="23"/>
  <c r="L259" i="23"/>
  <c r="BM259" i="23"/>
  <c r="BI259" i="23"/>
  <c r="V259" i="23"/>
  <c r="AD259" i="23"/>
  <c r="M259" i="23"/>
  <c r="BN259" i="23"/>
  <c r="BJ259" i="23"/>
  <c r="AQ260" i="23"/>
  <c r="AR260" i="23"/>
  <c r="AU260" i="23"/>
  <c r="AV260" i="23"/>
  <c r="BE260" i="23"/>
  <c r="BC260" i="23"/>
  <c r="BD260" i="23"/>
  <c r="Q260" i="23"/>
  <c r="S260" i="23"/>
  <c r="W260" i="23"/>
  <c r="AA260" i="23"/>
  <c r="I260" i="23"/>
  <c r="J260" i="23"/>
  <c r="BK260" i="23"/>
  <c r="BG260" i="23"/>
  <c r="T260" i="23"/>
  <c r="AB260" i="23"/>
  <c r="K260" i="23"/>
  <c r="BL260" i="23"/>
  <c r="BH260" i="23"/>
  <c r="U260" i="23"/>
  <c r="AC260" i="23"/>
  <c r="L260" i="23"/>
  <c r="BM260" i="23"/>
  <c r="BI260" i="23"/>
  <c r="V260" i="23"/>
  <c r="AD260" i="23"/>
  <c r="M260" i="23"/>
  <c r="BN260" i="23"/>
  <c r="BJ260" i="23"/>
  <c r="AQ261" i="23"/>
  <c r="AR261" i="23"/>
  <c r="AU261" i="23"/>
  <c r="AV261" i="23"/>
  <c r="BE261" i="23"/>
  <c r="Q261" i="23"/>
  <c r="S261" i="23"/>
  <c r="W261" i="23"/>
  <c r="AA261" i="23"/>
  <c r="I261" i="23"/>
  <c r="J261" i="23"/>
  <c r="BC261" i="23"/>
  <c r="BD261" i="23"/>
  <c r="BK261" i="23"/>
  <c r="BG261" i="23"/>
  <c r="T261" i="23"/>
  <c r="AB261" i="23"/>
  <c r="K261" i="23"/>
  <c r="BL261" i="23"/>
  <c r="BH261" i="23"/>
  <c r="U261" i="23"/>
  <c r="AC261" i="23"/>
  <c r="L261" i="23"/>
  <c r="BM261" i="23"/>
  <c r="BI261" i="23"/>
  <c r="V261" i="23"/>
  <c r="AD261" i="23"/>
  <c r="M261" i="23"/>
  <c r="BN261" i="23"/>
  <c r="BJ261" i="23"/>
  <c r="AQ262" i="23"/>
  <c r="AR262" i="23"/>
  <c r="AU262" i="23"/>
  <c r="AV262" i="23"/>
  <c r="BE262" i="23"/>
  <c r="Q262" i="23"/>
  <c r="S262" i="23"/>
  <c r="W262" i="23"/>
  <c r="AA262" i="23"/>
  <c r="I262" i="23"/>
  <c r="J262" i="23"/>
  <c r="BC262" i="23"/>
  <c r="BD262" i="23"/>
  <c r="BK262" i="23"/>
  <c r="BG262" i="23"/>
  <c r="T262" i="23"/>
  <c r="AB262" i="23"/>
  <c r="K262" i="23"/>
  <c r="BL262" i="23"/>
  <c r="BH262" i="23"/>
  <c r="U262" i="23"/>
  <c r="AC262" i="23"/>
  <c r="L262" i="23"/>
  <c r="BM262" i="23"/>
  <c r="BI262" i="23"/>
  <c r="V262" i="23"/>
  <c r="AD262" i="23"/>
  <c r="M262" i="23"/>
  <c r="BN262" i="23"/>
  <c r="BJ262" i="23"/>
  <c r="AQ263" i="23"/>
  <c r="AR263" i="23"/>
  <c r="AU263" i="23"/>
  <c r="AV263" i="23"/>
  <c r="BE263" i="23"/>
  <c r="BC263" i="23"/>
  <c r="BD263" i="23"/>
  <c r="Q263" i="23"/>
  <c r="S263" i="23"/>
  <c r="W263" i="23"/>
  <c r="AA263" i="23"/>
  <c r="I263" i="23"/>
  <c r="J263" i="23"/>
  <c r="BK263" i="23"/>
  <c r="BG263" i="23"/>
  <c r="T263" i="23"/>
  <c r="AB263" i="23"/>
  <c r="K263" i="23"/>
  <c r="BL263" i="23"/>
  <c r="BH263" i="23"/>
  <c r="U263" i="23"/>
  <c r="AC263" i="23"/>
  <c r="L263" i="23"/>
  <c r="BM263" i="23"/>
  <c r="BI263" i="23"/>
  <c r="V263" i="23"/>
  <c r="AD263" i="23"/>
  <c r="M263" i="23"/>
  <c r="BN263" i="23"/>
  <c r="BJ263" i="23"/>
  <c r="AQ264" i="23"/>
  <c r="AR264" i="23"/>
  <c r="AU264" i="23"/>
  <c r="AV264" i="23"/>
  <c r="BE264" i="23"/>
  <c r="Q264" i="23"/>
  <c r="S264" i="23"/>
  <c r="W264" i="23"/>
  <c r="AA264" i="23"/>
  <c r="I264" i="23"/>
  <c r="J264" i="23"/>
  <c r="BC264" i="23"/>
  <c r="BD264" i="23"/>
  <c r="BK264" i="23"/>
  <c r="BG264" i="23"/>
  <c r="T264" i="23"/>
  <c r="AB264" i="23"/>
  <c r="K264" i="23"/>
  <c r="BL264" i="23"/>
  <c r="BH264" i="23"/>
  <c r="U264" i="23"/>
  <c r="AC264" i="23"/>
  <c r="L264" i="23"/>
  <c r="BM264" i="23"/>
  <c r="BI264" i="23"/>
  <c r="V264" i="23"/>
  <c r="AD264" i="23"/>
  <c r="M264" i="23"/>
  <c r="BN264" i="23"/>
  <c r="BJ264" i="23"/>
  <c r="AQ265" i="23"/>
  <c r="AR265" i="23"/>
  <c r="AU265" i="23"/>
  <c r="AV265" i="23"/>
  <c r="BE265" i="23"/>
  <c r="BC265" i="23"/>
  <c r="BD265" i="23"/>
  <c r="Q265" i="23"/>
  <c r="S265" i="23"/>
  <c r="W265" i="23"/>
  <c r="AA265" i="23"/>
  <c r="I265" i="23"/>
  <c r="J265" i="23"/>
  <c r="BK265" i="23"/>
  <c r="BG265" i="23"/>
  <c r="T265" i="23"/>
  <c r="AB265" i="23"/>
  <c r="K265" i="23"/>
  <c r="BL265" i="23"/>
  <c r="BH265" i="23"/>
  <c r="U265" i="23"/>
  <c r="AC265" i="23"/>
  <c r="L265" i="23"/>
  <c r="BM265" i="23"/>
  <c r="BI265" i="23"/>
  <c r="V265" i="23"/>
  <c r="AD265" i="23"/>
  <c r="M265" i="23"/>
  <c r="BN265" i="23"/>
  <c r="BJ265" i="23"/>
  <c r="AQ266" i="23"/>
  <c r="AR266" i="23"/>
  <c r="AU266" i="23"/>
  <c r="AV266" i="23"/>
  <c r="BE266" i="23"/>
  <c r="Q266" i="23"/>
  <c r="S266" i="23"/>
  <c r="W266" i="23"/>
  <c r="AA266" i="23"/>
  <c r="I266" i="23"/>
  <c r="J266" i="23"/>
  <c r="BC266" i="23"/>
  <c r="BD266" i="23"/>
  <c r="BK266" i="23"/>
  <c r="BG266" i="23"/>
  <c r="T266" i="23"/>
  <c r="AB266" i="23"/>
  <c r="K266" i="23"/>
  <c r="BL266" i="23"/>
  <c r="BH266" i="23"/>
  <c r="U266" i="23"/>
  <c r="AC266" i="23"/>
  <c r="L266" i="23"/>
  <c r="BM266" i="23"/>
  <c r="BI266" i="23"/>
  <c r="V266" i="23"/>
  <c r="AD266" i="23"/>
  <c r="M266" i="23"/>
  <c r="BN266" i="23"/>
  <c r="BJ266" i="23"/>
  <c r="AQ267" i="23"/>
  <c r="AR267" i="23"/>
  <c r="AU267" i="23"/>
  <c r="AV267" i="23"/>
  <c r="BE267" i="23"/>
  <c r="BC267" i="23"/>
  <c r="BD267" i="23"/>
  <c r="Q267" i="23"/>
  <c r="S267" i="23"/>
  <c r="W267" i="23"/>
  <c r="AA267" i="23"/>
  <c r="I267" i="23"/>
  <c r="J267" i="23"/>
  <c r="BK267" i="23"/>
  <c r="BG267" i="23"/>
  <c r="T267" i="23"/>
  <c r="AB267" i="23"/>
  <c r="K267" i="23"/>
  <c r="BL267" i="23"/>
  <c r="BH267" i="23"/>
  <c r="U267" i="23"/>
  <c r="AC267" i="23"/>
  <c r="L267" i="23"/>
  <c r="BM267" i="23"/>
  <c r="BI267" i="23"/>
  <c r="V267" i="23"/>
  <c r="AD267" i="23"/>
  <c r="M267" i="23"/>
  <c r="BN267" i="23"/>
  <c r="BJ267" i="23"/>
  <c r="AQ268" i="23"/>
  <c r="AR268" i="23"/>
  <c r="AU268" i="23"/>
  <c r="AV268" i="23"/>
  <c r="BE268" i="23"/>
  <c r="Q268" i="23"/>
  <c r="S268" i="23"/>
  <c r="W268" i="23"/>
  <c r="AA268" i="23"/>
  <c r="I268" i="23"/>
  <c r="J268" i="23"/>
  <c r="BC268" i="23"/>
  <c r="BD268" i="23"/>
  <c r="BK268" i="23"/>
  <c r="BG268" i="23"/>
  <c r="T268" i="23"/>
  <c r="AB268" i="23"/>
  <c r="K268" i="23"/>
  <c r="BL268" i="23"/>
  <c r="BH268" i="23"/>
  <c r="U268" i="23"/>
  <c r="AC268" i="23"/>
  <c r="L268" i="23"/>
  <c r="BM268" i="23"/>
  <c r="BI268" i="23"/>
  <c r="V268" i="23"/>
  <c r="AD268" i="23"/>
  <c r="M268" i="23"/>
  <c r="BN268" i="23"/>
  <c r="BJ268" i="23"/>
  <c r="AQ269" i="23"/>
  <c r="AR269" i="23"/>
  <c r="AU269" i="23"/>
  <c r="AV269" i="23"/>
  <c r="BE269" i="23"/>
  <c r="BC269" i="23"/>
  <c r="BD269" i="23"/>
  <c r="Q269" i="23"/>
  <c r="S269" i="23"/>
  <c r="W269" i="23"/>
  <c r="AA269" i="23"/>
  <c r="I269" i="23"/>
  <c r="J269" i="23"/>
  <c r="BK269" i="23"/>
  <c r="BG269" i="23"/>
  <c r="T269" i="23"/>
  <c r="AB269" i="23"/>
  <c r="K269" i="23"/>
  <c r="BL269" i="23"/>
  <c r="BH269" i="23"/>
  <c r="U269" i="23"/>
  <c r="AC269" i="23"/>
  <c r="L269" i="23"/>
  <c r="BM269" i="23"/>
  <c r="BI269" i="23"/>
  <c r="V269" i="23"/>
  <c r="AD269" i="23"/>
  <c r="M269" i="23"/>
  <c r="BN269" i="23"/>
  <c r="BJ269" i="23"/>
  <c r="AQ270" i="23"/>
  <c r="AR270" i="23"/>
  <c r="AU270" i="23"/>
  <c r="AV270" i="23"/>
  <c r="BE270" i="23"/>
  <c r="Q270" i="23"/>
  <c r="S270" i="23"/>
  <c r="W270" i="23"/>
  <c r="AA270" i="23"/>
  <c r="I270" i="23"/>
  <c r="J270" i="23"/>
  <c r="BC270" i="23"/>
  <c r="BD270" i="23"/>
  <c r="BK270" i="23"/>
  <c r="BG270" i="23"/>
  <c r="T270" i="23"/>
  <c r="AB270" i="23"/>
  <c r="K270" i="23"/>
  <c r="BL270" i="23"/>
  <c r="BH270" i="23"/>
  <c r="U270" i="23"/>
  <c r="AC270" i="23"/>
  <c r="L270" i="23"/>
  <c r="BM270" i="23"/>
  <c r="BI270" i="23"/>
  <c r="V270" i="23"/>
  <c r="AD270" i="23"/>
  <c r="M270" i="23"/>
  <c r="BN270" i="23"/>
  <c r="BJ270" i="23"/>
  <c r="AQ271" i="23"/>
  <c r="AR271" i="23"/>
  <c r="AU271" i="23"/>
  <c r="AV271" i="23"/>
  <c r="BE271" i="23"/>
  <c r="BC271" i="23"/>
  <c r="BD271" i="23"/>
  <c r="Q271" i="23"/>
  <c r="S271" i="23"/>
  <c r="W271" i="23"/>
  <c r="AA271" i="23"/>
  <c r="I271" i="23"/>
  <c r="J271" i="23"/>
  <c r="BK271" i="23"/>
  <c r="BG271" i="23"/>
  <c r="T271" i="23"/>
  <c r="AB271" i="23"/>
  <c r="K271" i="23"/>
  <c r="BL271" i="23"/>
  <c r="BH271" i="23"/>
  <c r="U271" i="23"/>
  <c r="AC271" i="23"/>
  <c r="L271" i="23"/>
  <c r="BM271" i="23"/>
  <c r="BI271" i="23"/>
  <c r="V271" i="23"/>
  <c r="AD271" i="23"/>
  <c r="M271" i="23"/>
  <c r="BN271" i="23"/>
  <c r="BJ271" i="23"/>
  <c r="AQ272" i="23"/>
  <c r="AR272" i="23"/>
  <c r="AU272" i="23"/>
  <c r="AV272" i="23"/>
  <c r="BE272" i="23"/>
  <c r="Q272" i="23"/>
  <c r="S272" i="23"/>
  <c r="W272" i="23"/>
  <c r="AA272" i="23"/>
  <c r="I272" i="23"/>
  <c r="J272" i="23"/>
  <c r="BC272" i="23"/>
  <c r="BD272" i="23"/>
  <c r="BK272" i="23"/>
  <c r="BG272" i="23"/>
  <c r="T272" i="23"/>
  <c r="AB272" i="23"/>
  <c r="K272" i="23"/>
  <c r="BL272" i="23"/>
  <c r="BH272" i="23"/>
  <c r="U272" i="23"/>
  <c r="AC272" i="23"/>
  <c r="L272" i="23"/>
  <c r="BM272" i="23"/>
  <c r="BI272" i="23"/>
  <c r="V272" i="23"/>
  <c r="AD272" i="23"/>
  <c r="M272" i="23"/>
  <c r="BN272" i="23"/>
  <c r="BJ272" i="23"/>
  <c r="AQ273" i="23"/>
  <c r="AR273" i="23"/>
  <c r="AU273" i="23"/>
  <c r="AV273" i="23"/>
  <c r="BE273" i="23"/>
  <c r="BC273" i="23"/>
  <c r="BD273" i="23"/>
  <c r="Q273" i="23"/>
  <c r="S273" i="23"/>
  <c r="W273" i="23"/>
  <c r="AA273" i="23"/>
  <c r="I273" i="23"/>
  <c r="J273" i="23"/>
  <c r="BK273" i="23"/>
  <c r="BG273" i="23"/>
  <c r="T273" i="23"/>
  <c r="AB273" i="23"/>
  <c r="K273" i="23"/>
  <c r="BL273" i="23"/>
  <c r="BH273" i="23"/>
  <c r="U273" i="23"/>
  <c r="AC273" i="23"/>
  <c r="L273" i="23"/>
  <c r="BM273" i="23"/>
  <c r="BI273" i="23"/>
  <c r="V273" i="23"/>
  <c r="AD273" i="23"/>
  <c r="M273" i="23"/>
  <c r="BN273" i="23"/>
  <c r="BJ273" i="23"/>
  <c r="AQ274" i="23"/>
  <c r="AR274" i="23"/>
  <c r="AU274" i="23"/>
  <c r="AV274" i="23"/>
  <c r="BE274" i="23"/>
  <c r="Q274" i="23"/>
  <c r="S274" i="23"/>
  <c r="W274" i="23"/>
  <c r="AA274" i="23"/>
  <c r="I274" i="23"/>
  <c r="J274" i="23"/>
  <c r="BC274" i="23"/>
  <c r="BD274" i="23"/>
  <c r="BK274" i="23"/>
  <c r="BG274" i="23"/>
  <c r="T274" i="23"/>
  <c r="AB274" i="23"/>
  <c r="K274" i="23"/>
  <c r="BL274" i="23"/>
  <c r="BH274" i="23"/>
  <c r="U274" i="23"/>
  <c r="AC274" i="23"/>
  <c r="L274" i="23"/>
  <c r="BM274" i="23"/>
  <c r="BI274" i="23"/>
  <c r="V274" i="23"/>
  <c r="AD274" i="23"/>
  <c r="M274" i="23"/>
  <c r="BN274" i="23"/>
  <c r="BJ274" i="23"/>
  <c r="AQ275" i="23"/>
  <c r="AR275" i="23"/>
  <c r="AU275" i="23"/>
  <c r="AV275" i="23"/>
  <c r="BE275" i="23"/>
  <c r="BC275" i="23"/>
  <c r="BD275" i="23"/>
  <c r="Q275" i="23"/>
  <c r="S275" i="23"/>
  <c r="W275" i="23"/>
  <c r="AA275" i="23"/>
  <c r="I275" i="23"/>
  <c r="J275" i="23"/>
  <c r="BK275" i="23"/>
  <c r="BG275" i="23"/>
  <c r="T275" i="23"/>
  <c r="AB275" i="23"/>
  <c r="K275" i="23"/>
  <c r="BL275" i="23"/>
  <c r="BH275" i="23"/>
  <c r="U275" i="23"/>
  <c r="AC275" i="23"/>
  <c r="L275" i="23"/>
  <c r="BM275" i="23"/>
  <c r="BI275" i="23"/>
  <c r="V275" i="23"/>
  <c r="AD275" i="23"/>
  <c r="M275" i="23"/>
  <c r="BN275" i="23"/>
  <c r="BJ275" i="23"/>
  <c r="AQ276" i="23"/>
  <c r="AR276" i="23"/>
  <c r="AU276" i="23"/>
  <c r="AV276" i="23"/>
  <c r="BE276" i="23"/>
  <c r="Q276" i="23"/>
  <c r="S276" i="23"/>
  <c r="W276" i="23"/>
  <c r="AA276" i="23"/>
  <c r="I276" i="23"/>
  <c r="J276" i="23"/>
  <c r="BC276" i="23"/>
  <c r="BD276" i="23"/>
  <c r="BK276" i="23"/>
  <c r="BG276" i="23"/>
  <c r="T276" i="23"/>
  <c r="AB276" i="23"/>
  <c r="K276" i="23"/>
  <c r="BL276" i="23"/>
  <c r="BH276" i="23"/>
  <c r="U276" i="23"/>
  <c r="AC276" i="23"/>
  <c r="L276" i="23"/>
  <c r="BM276" i="23"/>
  <c r="BI276" i="23"/>
  <c r="V276" i="23"/>
  <c r="AD276" i="23"/>
  <c r="M276" i="23"/>
  <c r="BN276" i="23"/>
  <c r="BJ276" i="23"/>
  <c r="AQ277" i="23"/>
  <c r="AR277" i="23"/>
  <c r="AU277" i="23"/>
  <c r="AV277" i="23"/>
  <c r="BE277" i="23"/>
  <c r="BC277" i="23"/>
  <c r="BD277" i="23"/>
  <c r="Q277" i="23"/>
  <c r="S277" i="23"/>
  <c r="W277" i="23"/>
  <c r="AA277" i="23"/>
  <c r="I277" i="23"/>
  <c r="J277" i="23"/>
  <c r="BK277" i="23"/>
  <c r="BG277" i="23"/>
  <c r="T277" i="23"/>
  <c r="AB277" i="23"/>
  <c r="K277" i="23"/>
  <c r="BL277" i="23"/>
  <c r="BH277" i="23"/>
  <c r="U277" i="23"/>
  <c r="AC277" i="23"/>
  <c r="L277" i="23"/>
  <c r="BM277" i="23"/>
  <c r="BI277" i="23"/>
  <c r="V277" i="23"/>
  <c r="AD277" i="23"/>
  <c r="M277" i="23"/>
  <c r="BN277" i="23"/>
  <c r="BJ277" i="23"/>
  <c r="AQ278" i="23"/>
  <c r="AR278" i="23"/>
  <c r="AU278" i="23"/>
  <c r="AV278" i="23"/>
  <c r="BE278" i="23"/>
  <c r="Q278" i="23"/>
  <c r="S278" i="23"/>
  <c r="W278" i="23"/>
  <c r="AA278" i="23"/>
  <c r="I278" i="23"/>
  <c r="J278" i="23"/>
  <c r="BC278" i="23"/>
  <c r="BD278" i="23"/>
  <c r="BK278" i="23"/>
  <c r="BG278" i="23"/>
  <c r="T278" i="23"/>
  <c r="AB278" i="23"/>
  <c r="K278" i="23"/>
  <c r="BL278" i="23"/>
  <c r="BH278" i="23"/>
  <c r="U278" i="23"/>
  <c r="AC278" i="23"/>
  <c r="L278" i="23"/>
  <c r="BM278" i="23"/>
  <c r="BI278" i="23"/>
  <c r="V278" i="23"/>
  <c r="AD278" i="23"/>
  <c r="M278" i="23"/>
  <c r="BN278" i="23"/>
  <c r="BJ278" i="23"/>
  <c r="AQ279" i="23"/>
  <c r="AR279" i="23"/>
  <c r="AU279" i="23"/>
  <c r="AV279" i="23"/>
  <c r="BE279" i="23"/>
  <c r="BC279" i="23"/>
  <c r="BD279" i="23"/>
  <c r="Q279" i="23"/>
  <c r="S279" i="23"/>
  <c r="W279" i="23"/>
  <c r="AA279" i="23"/>
  <c r="I279" i="23"/>
  <c r="J279" i="23"/>
  <c r="BK279" i="23"/>
  <c r="BG279" i="23"/>
  <c r="T279" i="23"/>
  <c r="AB279" i="23"/>
  <c r="K279" i="23"/>
  <c r="BL279" i="23"/>
  <c r="BH279" i="23"/>
  <c r="U279" i="23"/>
  <c r="AC279" i="23"/>
  <c r="L279" i="23"/>
  <c r="BM279" i="23"/>
  <c r="BI279" i="23"/>
  <c r="V279" i="23"/>
  <c r="AD279" i="23"/>
  <c r="M279" i="23"/>
  <c r="BN279" i="23"/>
  <c r="BJ279" i="23"/>
  <c r="AQ280" i="23"/>
  <c r="AR280" i="23"/>
  <c r="AU280" i="23"/>
  <c r="AV280" i="23"/>
  <c r="BE280" i="23"/>
  <c r="Q280" i="23"/>
  <c r="S280" i="23"/>
  <c r="W280" i="23"/>
  <c r="AA280" i="23"/>
  <c r="I280" i="23"/>
  <c r="J280" i="23"/>
  <c r="BC280" i="23"/>
  <c r="BD280" i="23"/>
  <c r="BK280" i="23"/>
  <c r="BG280" i="23"/>
  <c r="T280" i="23"/>
  <c r="AB280" i="23"/>
  <c r="K280" i="23"/>
  <c r="BL280" i="23"/>
  <c r="BH280" i="23"/>
  <c r="U280" i="23"/>
  <c r="AC280" i="23"/>
  <c r="L280" i="23"/>
  <c r="BM280" i="23"/>
  <c r="BI280" i="23"/>
  <c r="V280" i="23"/>
  <c r="AD280" i="23"/>
  <c r="M280" i="23"/>
  <c r="BN280" i="23"/>
  <c r="BJ280" i="23"/>
  <c r="AQ281" i="23"/>
  <c r="AR281" i="23"/>
  <c r="AU281" i="23"/>
  <c r="AV281" i="23"/>
  <c r="BE281" i="23"/>
  <c r="BC281" i="23"/>
  <c r="BD281" i="23"/>
  <c r="Q281" i="23"/>
  <c r="S281" i="23"/>
  <c r="W281" i="23"/>
  <c r="AA281" i="23"/>
  <c r="I281" i="23"/>
  <c r="J281" i="23"/>
  <c r="BK281" i="23"/>
  <c r="BG281" i="23"/>
  <c r="T281" i="23"/>
  <c r="AB281" i="23"/>
  <c r="K281" i="23"/>
  <c r="BL281" i="23"/>
  <c r="BH281" i="23"/>
  <c r="U281" i="23"/>
  <c r="AC281" i="23"/>
  <c r="L281" i="23"/>
  <c r="BM281" i="23"/>
  <c r="BI281" i="23"/>
  <c r="V281" i="23"/>
  <c r="AD281" i="23"/>
  <c r="M281" i="23"/>
  <c r="BN281" i="23"/>
  <c r="BJ281" i="23"/>
  <c r="AQ282" i="23"/>
  <c r="AR282" i="23"/>
  <c r="AU282" i="23"/>
  <c r="AV282" i="23"/>
  <c r="BE282" i="23"/>
  <c r="Q282" i="23"/>
  <c r="S282" i="23"/>
  <c r="W282" i="23"/>
  <c r="AA282" i="23"/>
  <c r="I282" i="23"/>
  <c r="J282" i="23"/>
  <c r="BC282" i="23"/>
  <c r="BD282" i="23"/>
  <c r="BK282" i="23"/>
  <c r="BG282" i="23"/>
  <c r="T282" i="23"/>
  <c r="AB282" i="23"/>
  <c r="K282" i="23"/>
  <c r="BL282" i="23"/>
  <c r="BH282" i="23"/>
  <c r="U282" i="23"/>
  <c r="AC282" i="23"/>
  <c r="L282" i="23"/>
  <c r="BM282" i="23"/>
  <c r="BI282" i="23"/>
  <c r="V282" i="23"/>
  <c r="AD282" i="23"/>
  <c r="M282" i="23"/>
  <c r="BN282" i="23"/>
  <c r="BJ282" i="23"/>
  <c r="AQ283" i="23"/>
  <c r="AR283" i="23"/>
  <c r="AU283" i="23"/>
  <c r="AV283" i="23"/>
  <c r="BE283" i="23"/>
  <c r="BC283" i="23"/>
  <c r="BD283" i="23"/>
  <c r="Q283" i="23"/>
  <c r="S283" i="23"/>
  <c r="W283" i="23"/>
  <c r="AA283" i="23"/>
  <c r="I283" i="23"/>
  <c r="J283" i="23"/>
  <c r="BK283" i="23"/>
  <c r="BG283" i="23"/>
  <c r="T283" i="23"/>
  <c r="AB283" i="23"/>
  <c r="K283" i="23"/>
  <c r="BL283" i="23"/>
  <c r="BH283" i="23"/>
  <c r="U283" i="23"/>
  <c r="AC283" i="23"/>
  <c r="L283" i="23"/>
  <c r="BM283" i="23"/>
  <c r="BI283" i="23"/>
  <c r="V283" i="23"/>
  <c r="AD283" i="23"/>
  <c r="M283" i="23"/>
  <c r="BN283" i="23"/>
  <c r="BJ283" i="23"/>
  <c r="AQ284" i="23"/>
  <c r="AR284" i="23"/>
  <c r="AU284" i="23"/>
  <c r="AV284" i="23"/>
  <c r="BE284" i="23"/>
  <c r="Q284" i="23"/>
  <c r="S284" i="23"/>
  <c r="W284" i="23"/>
  <c r="AA284" i="23"/>
  <c r="I284" i="23"/>
  <c r="J284" i="23"/>
  <c r="BC284" i="23"/>
  <c r="BD284" i="23"/>
  <c r="BK284" i="23"/>
  <c r="BG284" i="23"/>
  <c r="T284" i="23"/>
  <c r="AB284" i="23"/>
  <c r="K284" i="23"/>
  <c r="BL284" i="23"/>
  <c r="BH284" i="23"/>
  <c r="U284" i="23"/>
  <c r="AC284" i="23"/>
  <c r="L284" i="23"/>
  <c r="BM284" i="23"/>
  <c r="BI284" i="23"/>
  <c r="V284" i="23"/>
  <c r="AD284" i="23"/>
  <c r="M284" i="23"/>
  <c r="BN284" i="23"/>
  <c r="BJ284" i="23"/>
  <c r="AQ285" i="23"/>
  <c r="AR285" i="23"/>
  <c r="AU285" i="23"/>
  <c r="AV285" i="23"/>
  <c r="BE285" i="23"/>
  <c r="BC285" i="23"/>
  <c r="BD285" i="23"/>
  <c r="Q285" i="23"/>
  <c r="S285" i="23"/>
  <c r="W285" i="23"/>
  <c r="AA285" i="23"/>
  <c r="I285" i="23"/>
  <c r="J285" i="23"/>
  <c r="BK285" i="23"/>
  <c r="BG285" i="23"/>
  <c r="T285" i="23"/>
  <c r="AB285" i="23"/>
  <c r="K285" i="23"/>
  <c r="BL285" i="23"/>
  <c r="BH285" i="23"/>
  <c r="U285" i="23"/>
  <c r="AC285" i="23"/>
  <c r="L285" i="23"/>
  <c r="BM285" i="23"/>
  <c r="BI285" i="23"/>
  <c r="V285" i="23"/>
  <c r="AD285" i="23"/>
  <c r="M285" i="23"/>
  <c r="BN285" i="23"/>
  <c r="BJ285" i="23"/>
  <c r="AQ286" i="23"/>
  <c r="AR286" i="23"/>
  <c r="AU286" i="23"/>
  <c r="AV286" i="23"/>
  <c r="BE286" i="23"/>
  <c r="Q286" i="23"/>
  <c r="S286" i="23"/>
  <c r="W286" i="23"/>
  <c r="AA286" i="23"/>
  <c r="I286" i="23"/>
  <c r="J286" i="23"/>
  <c r="BC286" i="23"/>
  <c r="BD286" i="23"/>
  <c r="BK286" i="23"/>
  <c r="BG286" i="23"/>
  <c r="T286" i="23"/>
  <c r="AB286" i="23"/>
  <c r="K286" i="23"/>
  <c r="BL286" i="23"/>
  <c r="BH286" i="23"/>
  <c r="U286" i="23"/>
  <c r="AC286" i="23"/>
  <c r="L286" i="23"/>
  <c r="BM286" i="23"/>
  <c r="BI286" i="23"/>
  <c r="V286" i="23"/>
  <c r="AD286" i="23"/>
  <c r="M286" i="23"/>
  <c r="BN286" i="23"/>
  <c r="BJ286" i="23"/>
  <c r="AQ287" i="23"/>
  <c r="AR287" i="23"/>
  <c r="AU287" i="23"/>
  <c r="AV287" i="23"/>
  <c r="BE287" i="23"/>
  <c r="BC287" i="23"/>
  <c r="BD287" i="23"/>
  <c r="Q287" i="23"/>
  <c r="S287" i="23"/>
  <c r="W287" i="23"/>
  <c r="AA287" i="23"/>
  <c r="I287" i="23"/>
  <c r="J287" i="23"/>
  <c r="BK287" i="23"/>
  <c r="BG287" i="23"/>
  <c r="T287" i="23"/>
  <c r="AB287" i="23"/>
  <c r="K287" i="23"/>
  <c r="BL287" i="23"/>
  <c r="BH287" i="23"/>
  <c r="U287" i="23"/>
  <c r="AC287" i="23"/>
  <c r="L287" i="23"/>
  <c r="BM287" i="23"/>
  <c r="BI287" i="23"/>
  <c r="V287" i="23"/>
  <c r="AD287" i="23"/>
  <c r="M287" i="23"/>
  <c r="BN287" i="23"/>
  <c r="BJ287" i="23"/>
  <c r="AQ288" i="23"/>
  <c r="AR288" i="23"/>
  <c r="AU288" i="23"/>
  <c r="AV288" i="23"/>
  <c r="BE288" i="23"/>
  <c r="Q288" i="23"/>
  <c r="S288" i="23"/>
  <c r="W288" i="23"/>
  <c r="AA288" i="23"/>
  <c r="I288" i="23"/>
  <c r="J288" i="23"/>
  <c r="BC288" i="23"/>
  <c r="BD288" i="23"/>
  <c r="BK288" i="23"/>
  <c r="BG288" i="23"/>
  <c r="T288" i="23"/>
  <c r="AB288" i="23"/>
  <c r="K288" i="23"/>
  <c r="BL288" i="23"/>
  <c r="BH288" i="23"/>
  <c r="U288" i="23"/>
  <c r="AC288" i="23"/>
  <c r="L288" i="23"/>
  <c r="BM288" i="23"/>
  <c r="BI288" i="23"/>
  <c r="V288" i="23"/>
  <c r="AD288" i="23"/>
  <c r="M288" i="23"/>
  <c r="BN288" i="23"/>
  <c r="BJ288" i="23"/>
  <c r="AQ289" i="23"/>
  <c r="AR289" i="23"/>
  <c r="AU289" i="23"/>
  <c r="AV289" i="23"/>
  <c r="BE289" i="23"/>
  <c r="BC289" i="23"/>
  <c r="BD289" i="23"/>
  <c r="Q289" i="23"/>
  <c r="S289" i="23"/>
  <c r="W289" i="23"/>
  <c r="AA289" i="23"/>
  <c r="I289" i="23"/>
  <c r="J289" i="23"/>
  <c r="BK289" i="23"/>
  <c r="BG289" i="23"/>
  <c r="T289" i="23"/>
  <c r="AB289" i="23"/>
  <c r="K289" i="23"/>
  <c r="BL289" i="23"/>
  <c r="BH289" i="23"/>
  <c r="U289" i="23"/>
  <c r="AC289" i="23"/>
  <c r="L289" i="23"/>
  <c r="BM289" i="23"/>
  <c r="BI289" i="23"/>
  <c r="V289" i="23"/>
  <c r="AD289" i="23"/>
  <c r="M289" i="23"/>
  <c r="BN289" i="23"/>
  <c r="BJ289" i="23"/>
  <c r="AQ290" i="23"/>
  <c r="AR290" i="23"/>
  <c r="AU290" i="23"/>
  <c r="AV290" i="23"/>
  <c r="BE290" i="23"/>
  <c r="Q290" i="23"/>
  <c r="S290" i="23"/>
  <c r="W290" i="23"/>
  <c r="AA290" i="23"/>
  <c r="I290" i="23"/>
  <c r="J290" i="23"/>
  <c r="BC290" i="23"/>
  <c r="BD290" i="23"/>
  <c r="BK290" i="23"/>
  <c r="BG290" i="23"/>
  <c r="T290" i="23"/>
  <c r="AB290" i="23"/>
  <c r="K290" i="23"/>
  <c r="BL290" i="23"/>
  <c r="BH290" i="23"/>
  <c r="U290" i="23"/>
  <c r="AC290" i="23"/>
  <c r="L290" i="23"/>
  <c r="BM290" i="23"/>
  <c r="BI290" i="23"/>
  <c r="V290" i="23"/>
  <c r="AD290" i="23"/>
  <c r="M290" i="23"/>
  <c r="BN290" i="23"/>
  <c r="BJ290" i="23"/>
  <c r="AQ291" i="23"/>
  <c r="AR291" i="23"/>
  <c r="AU291" i="23"/>
  <c r="AV291" i="23"/>
  <c r="BE291" i="23"/>
  <c r="BC291" i="23"/>
  <c r="BD291" i="23"/>
  <c r="Q291" i="23"/>
  <c r="S291" i="23"/>
  <c r="W291" i="23"/>
  <c r="AA291" i="23"/>
  <c r="I291" i="23"/>
  <c r="J291" i="23"/>
  <c r="BK291" i="23"/>
  <c r="BG291" i="23"/>
  <c r="T291" i="23"/>
  <c r="AB291" i="23"/>
  <c r="K291" i="23"/>
  <c r="BL291" i="23"/>
  <c r="BH291" i="23"/>
  <c r="U291" i="23"/>
  <c r="AC291" i="23"/>
  <c r="L291" i="23"/>
  <c r="BM291" i="23"/>
  <c r="BI291" i="23"/>
  <c r="V291" i="23"/>
  <c r="AD291" i="23"/>
  <c r="M291" i="23"/>
  <c r="BN291" i="23"/>
  <c r="BJ291" i="23"/>
  <c r="AQ292" i="23"/>
  <c r="AR292" i="23"/>
  <c r="AU292" i="23"/>
  <c r="AV292" i="23"/>
  <c r="BE292" i="23"/>
  <c r="Q292" i="23"/>
  <c r="S292" i="23"/>
  <c r="W292" i="23"/>
  <c r="AA292" i="23"/>
  <c r="I292" i="23"/>
  <c r="J292" i="23"/>
  <c r="BC292" i="23"/>
  <c r="BD292" i="23"/>
  <c r="BK292" i="23"/>
  <c r="BG292" i="23"/>
  <c r="T292" i="23"/>
  <c r="AB292" i="23"/>
  <c r="K292" i="23"/>
  <c r="BL292" i="23"/>
  <c r="BH292" i="23"/>
  <c r="U292" i="23"/>
  <c r="AC292" i="23"/>
  <c r="L292" i="23"/>
  <c r="BM292" i="23"/>
  <c r="BI292" i="23"/>
  <c r="V292" i="23"/>
  <c r="AD292" i="23"/>
  <c r="M292" i="23"/>
  <c r="BN292" i="23"/>
  <c r="BJ292" i="23"/>
  <c r="AQ293" i="23"/>
  <c r="AR293" i="23"/>
  <c r="AU293" i="23"/>
  <c r="AV293" i="23"/>
  <c r="BE293" i="23"/>
  <c r="BC293" i="23"/>
  <c r="BD293" i="23"/>
  <c r="Q293" i="23"/>
  <c r="S293" i="23"/>
  <c r="W293" i="23"/>
  <c r="AA293" i="23"/>
  <c r="I293" i="23"/>
  <c r="J293" i="23"/>
  <c r="BK293" i="23"/>
  <c r="BG293" i="23"/>
  <c r="T293" i="23"/>
  <c r="AB293" i="23"/>
  <c r="K293" i="23"/>
  <c r="BL293" i="23"/>
  <c r="BH293" i="23"/>
  <c r="U293" i="23"/>
  <c r="AC293" i="23"/>
  <c r="L293" i="23"/>
  <c r="BM293" i="23"/>
  <c r="BI293" i="23"/>
  <c r="V293" i="23"/>
  <c r="AD293" i="23"/>
  <c r="M293" i="23"/>
  <c r="BN293" i="23"/>
  <c r="BJ293" i="23"/>
  <c r="AQ294" i="23"/>
  <c r="AR294" i="23"/>
  <c r="AU294" i="23"/>
  <c r="AV294" i="23"/>
  <c r="BE294" i="23"/>
  <c r="Q294" i="23"/>
  <c r="S294" i="23"/>
  <c r="W294" i="23"/>
  <c r="AA294" i="23"/>
  <c r="I294" i="23"/>
  <c r="J294" i="23"/>
  <c r="BC294" i="23"/>
  <c r="BD294" i="23"/>
  <c r="BK294" i="23"/>
  <c r="BG294" i="23"/>
  <c r="T294" i="23"/>
  <c r="AB294" i="23"/>
  <c r="K294" i="23"/>
  <c r="BL294" i="23"/>
  <c r="BH294" i="23"/>
  <c r="U294" i="23"/>
  <c r="AC294" i="23"/>
  <c r="L294" i="23"/>
  <c r="BM294" i="23"/>
  <c r="BI294" i="23"/>
  <c r="V294" i="23"/>
  <c r="AD294" i="23"/>
  <c r="M294" i="23"/>
  <c r="BN294" i="23"/>
  <c r="BJ294" i="23"/>
  <c r="AQ295" i="23"/>
  <c r="AR295" i="23"/>
  <c r="AU295" i="23"/>
  <c r="AV295" i="23"/>
  <c r="BE295" i="23"/>
  <c r="BC295" i="23"/>
  <c r="BD295" i="23"/>
  <c r="Q295" i="23"/>
  <c r="S295" i="23"/>
  <c r="W295" i="23"/>
  <c r="AA295" i="23"/>
  <c r="I295" i="23"/>
  <c r="J295" i="23"/>
  <c r="BK295" i="23"/>
  <c r="BG295" i="23"/>
  <c r="T295" i="23"/>
  <c r="AB295" i="23"/>
  <c r="K295" i="23"/>
  <c r="BL295" i="23"/>
  <c r="BH295" i="23"/>
  <c r="U295" i="23"/>
  <c r="AC295" i="23"/>
  <c r="L295" i="23"/>
  <c r="BM295" i="23"/>
  <c r="BI295" i="23"/>
  <c r="V295" i="23"/>
  <c r="AD295" i="23"/>
  <c r="M295" i="23"/>
  <c r="BN295" i="23"/>
  <c r="BJ295" i="23"/>
  <c r="AQ296" i="23"/>
  <c r="AR296" i="23"/>
  <c r="AU296" i="23"/>
  <c r="AV296" i="23"/>
  <c r="BE296" i="23"/>
  <c r="Q296" i="23"/>
  <c r="S296" i="23"/>
  <c r="W296" i="23"/>
  <c r="AA296" i="23"/>
  <c r="I296" i="23"/>
  <c r="J296" i="23"/>
  <c r="BC296" i="23"/>
  <c r="BD296" i="23"/>
  <c r="BK296" i="23"/>
  <c r="BG296" i="23"/>
  <c r="T296" i="23"/>
  <c r="AB296" i="23"/>
  <c r="K296" i="23"/>
  <c r="BL296" i="23"/>
  <c r="BH296" i="23"/>
  <c r="U296" i="23"/>
  <c r="AC296" i="23"/>
  <c r="L296" i="23"/>
  <c r="BM296" i="23"/>
  <c r="BI296" i="23"/>
  <c r="V296" i="23"/>
  <c r="AD296" i="23"/>
  <c r="M296" i="23"/>
  <c r="BN296" i="23"/>
  <c r="BJ296" i="23"/>
  <c r="AQ297" i="23"/>
  <c r="AR297" i="23"/>
  <c r="AU297" i="23"/>
  <c r="AV297" i="23"/>
  <c r="BE297" i="23"/>
  <c r="BC297" i="23"/>
  <c r="BD297" i="23"/>
  <c r="Q297" i="23"/>
  <c r="S297" i="23"/>
  <c r="W297" i="23"/>
  <c r="AA297" i="23"/>
  <c r="I297" i="23"/>
  <c r="J297" i="23"/>
  <c r="BK297" i="23"/>
  <c r="BG297" i="23"/>
  <c r="T297" i="23"/>
  <c r="AB297" i="23"/>
  <c r="K297" i="23"/>
  <c r="BL297" i="23"/>
  <c r="BH297" i="23"/>
  <c r="U297" i="23"/>
  <c r="AC297" i="23"/>
  <c r="L297" i="23"/>
  <c r="BM297" i="23"/>
  <c r="BI297" i="23"/>
  <c r="V297" i="23"/>
  <c r="AD297" i="23"/>
  <c r="M297" i="23"/>
  <c r="BN297" i="23"/>
  <c r="BJ297" i="23"/>
  <c r="AQ298" i="23"/>
  <c r="AR298" i="23"/>
  <c r="AU298" i="23"/>
  <c r="AV298" i="23"/>
  <c r="BE298" i="23"/>
  <c r="Q298" i="23"/>
  <c r="S298" i="23"/>
  <c r="W298" i="23"/>
  <c r="AA298" i="23"/>
  <c r="I298" i="23"/>
  <c r="J298" i="23"/>
  <c r="G298" i="23"/>
  <c r="BC298" i="23"/>
  <c r="BD298" i="23"/>
  <c r="BK298" i="23"/>
  <c r="BG298" i="23"/>
  <c r="T298" i="23"/>
  <c r="AB298" i="23"/>
  <c r="K298" i="23"/>
  <c r="BL298" i="23"/>
  <c r="BH298" i="23"/>
  <c r="U298" i="23"/>
  <c r="AC298" i="23"/>
  <c r="L298" i="23"/>
  <c r="BM298" i="23"/>
  <c r="BI298" i="23"/>
  <c r="V298" i="23"/>
  <c r="AD298" i="23"/>
  <c r="M298" i="23"/>
  <c r="BN298" i="23"/>
  <c r="BJ298" i="23"/>
  <c r="AQ299" i="23"/>
  <c r="AR299" i="23"/>
  <c r="AU299" i="23"/>
  <c r="AV299" i="23"/>
  <c r="BE299" i="23"/>
  <c r="BC299" i="23"/>
  <c r="BD299" i="23"/>
  <c r="Q299" i="23"/>
  <c r="S299" i="23"/>
  <c r="W299" i="23"/>
  <c r="AA299" i="23"/>
  <c r="I299" i="23"/>
  <c r="J299" i="23"/>
  <c r="BK299" i="23"/>
  <c r="BG299" i="23"/>
  <c r="T299" i="23"/>
  <c r="AB299" i="23"/>
  <c r="K299" i="23"/>
  <c r="BL299" i="23"/>
  <c r="BH299" i="23"/>
  <c r="U299" i="23"/>
  <c r="AC299" i="23"/>
  <c r="L299" i="23"/>
  <c r="BM299" i="23"/>
  <c r="BI299" i="23"/>
  <c r="V299" i="23"/>
  <c r="AD299" i="23"/>
  <c r="M299" i="23"/>
  <c r="BN299" i="23"/>
  <c r="BJ299" i="23"/>
  <c r="AQ300" i="23"/>
  <c r="AR300" i="23"/>
  <c r="AU300" i="23"/>
  <c r="AV300" i="23"/>
  <c r="BE300" i="23"/>
  <c r="Q300" i="23"/>
  <c r="S300" i="23"/>
  <c r="W300" i="23"/>
  <c r="AA300" i="23"/>
  <c r="I300" i="23"/>
  <c r="J300" i="23"/>
  <c r="BC300" i="23"/>
  <c r="BD300" i="23"/>
  <c r="BK300" i="23"/>
  <c r="BG300" i="23"/>
  <c r="T300" i="23"/>
  <c r="AB300" i="23"/>
  <c r="K300" i="23"/>
  <c r="BL300" i="23"/>
  <c r="BH300" i="23"/>
  <c r="U300" i="23"/>
  <c r="AC300" i="23"/>
  <c r="L300" i="23"/>
  <c r="BM300" i="23"/>
  <c r="BI300" i="23"/>
  <c r="V300" i="23"/>
  <c r="AD300" i="23"/>
  <c r="M300" i="23"/>
  <c r="BN300" i="23"/>
  <c r="BJ300" i="23"/>
  <c r="AQ301" i="23"/>
  <c r="AR301" i="23"/>
  <c r="AU301" i="23"/>
  <c r="AV301" i="23"/>
  <c r="BE301" i="23"/>
  <c r="BC301" i="23"/>
  <c r="BD301" i="23"/>
  <c r="Q301" i="23"/>
  <c r="S301" i="23"/>
  <c r="W301" i="23"/>
  <c r="AA301" i="23"/>
  <c r="I301" i="23"/>
  <c r="J301" i="23"/>
  <c r="BK301" i="23"/>
  <c r="BG301" i="23"/>
  <c r="T301" i="23"/>
  <c r="AB301" i="23"/>
  <c r="K301" i="23"/>
  <c r="BL301" i="23"/>
  <c r="BH301" i="23"/>
  <c r="U301" i="23"/>
  <c r="AC301" i="23"/>
  <c r="L301" i="23"/>
  <c r="BM301" i="23"/>
  <c r="BI301" i="23"/>
  <c r="V301" i="23"/>
  <c r="AD301" i="23"/>
  <c r="M301" i="23"/>
  <c r="BN301" i="23"/>
  <c r="BJ301" i="23"/>
  <c r="AQ302" i="23"/>
  <c r="AR302" i="23"/>
  <c r="AU302" i="23"/>
  <c r="AV302" i="23"/>
  <c r="BE302" i="23"/>
  <c r="Q302" i="23"/>
  <c r="S302" i="23"/>
  <c r="W302" i="23"/>
  <c r="AA302" i="23"/>
  <c r="I302" i="23"/>
  <c r="J302" i="23"/>
  <c r="BC302" i="23"/>
  <c r="BD302" i="23"/>
  <c r="BK302" i="23"/>
  <c r="BG302" i="23"/>
  <c r="T302" i="23"/>
  <c r="AB302" i="23"/>
  <c r="K302" i="23"/>
  <c r="BL302" i="23"/>
  <c r="BH302" i="23"/>
  <c r="U302" i="23"/>
  <c r="AC302" i="23"/>
  <c r="L302" i="23"/>
  <c r="BM302" i="23"/>
  <c r="BI302" i="23"/>
  <c r="V302" i="23"/>
  <c r="AD302" i="23"/>
  <c r="M302" i="23"/>
  <c r="BN302" i="23"/>
  <c r="BJ302" i="23"/>
  <c r="AQ303" i="23"/>
  <c r="AR303" i="23"/>
  <c r="AU303" i="23"/>
  <c r="AV303" i="23"/>
  <c r="BE303" i="23"/>
  <c r="BC303" i="23"/>
  <c r="BD303" i="23"/>
  <c r="Q303" i="23"/>
  <c r="S303" i="23"/>
  <c r="W303" i="23"/>
  <c r="AA303" i="23"/>
  <c r="I303" i="23"/>
  <c r="J303" i="23"/>
  <c r="BK303" i="23"/>
  <c r="BG303" i="23"/>
  <c r="T303" i="23"/>
  <c r="AB303" i="23"/>
  <c r="K303" i="23"/>
  <c r="BL303" i="23"/>
  <c r="BH303" i="23"/>
  <c r="U303" i="23"/>
  <c r="AC303" i="23"/>
  <c r="L303" i="23"/>
  <c r="BM303" i="23"/>
  <c r="BI303" i="23"/>
  <c r="V303" i="23"/>
  <c r="AD303" i="23"/>
  <c r="M303" i="23"/>
  <c r="BN303" i="23"/>
  <c r="BJ303" i="23"/>
  <c r="AQ304" i="23"/>
  <c r="AR304" i="23"/>
  <c r="AU304" i="23"/>
  <c r="AV304" i="23"/>
  <c r="BE304" i="23"/>
  <c r="Q304" i="23"/>
  <c r="S304" i="23"/>
  <c r="W304" i="23"/>
  <c r="AA304" i="23"/>
  <c r="I304" i="23"/>
  <c r="J304" i="23"/>
  <c r="G304" i="23"/>
  <c r="BC304" i="23"/>
  <c r="BD304" i="23"/>
  <c r="BK304" i="23"/>
  <c r="BG304" i="23"/>
  <c r="T304" i="23"/>
  <c r="AB304" i="23"/>
  <c r="K304" i="23"/>
  <c r="BL304" i="23"/>
  <c r="BH304" i="23"/>
  <c r="U304" i="23"/>
  <c r="AC304" i="23"/>
  <c r="L304" i="23"/>
  <c r="BM304" i="23"/>
  <c r="BI304" i="23"/>
  <c r="V304" i="23"/>
  <c r="AD304" i="23"/>
  <c r="M304" i="23"/>
  <c r="BN304" i="23"/>
  <c r="BJ304" i="23"/>
  <c r="AQ305" i="23"/>
  <c r="AR305" i="23"/>
  <c r="AU305" i="23"/>
  <c r="AV305" i="23"/>
  <c r="BE305" i="23"/>
  <c r="BC305" i="23"/>
  <c r="BD305" i="23"/>
  <c r="Q305" i="23"/>
  <c r="S305" i="23"/>
  <c r="W305" i="23"/>
  <c r="AA305" i="23"/>
  <c r="I305" i="23"/>
  <c r="J305" i="23"/>
  <c r="BK305" i="23"/>
  <c r="BG305" i="23"/>
  <c r="T305" i="23"/>
  <c r="AB305" i="23"/>
  <c r="K305" i="23"/>
  <c r="BL305" i="23"/>
  <c r="BH305" i="23"/>
  <c r="U305" i="23"/>
  <c r="AC305" i="23"/>
  <c r="L305" i="23"/>
  <c r="BM305" i="23"/>
  <c r="BI305" i="23"/>
  <c r="V305" i="23"/>
  <c r="AD305" i="23"/>
  <c r="M305" i="23"/>
  <c r="BN305" i="23"/>
  <c r="BJ305" i="23"/>
  <c r="AQ306" i="23"/>
  <c r="AR306" i="23"/>
  <c r="AU306" i="23"/>
  <c r="AV306" i="23"/>
  <c r="BE306" i="23"/>
  <c r="Q306" i="23"/>
  <c r="S306" i="23"/>
  <c r="W306" i="23"/>
  <c r="AA306" i="23"/>
  <c r="I306" i="23"/>
  <c r="J306" i="23"/>
  <c r="BC306" i="23"/>
  <c r="BD306" i="23"/>
  <c r="BK306" i="23"/>
  <c r="BG306" i="23"/>
  <c r="T306" i="23"/>
  <c r="AB306" i="23"/>
  <c r="K306" i="23"/>
  <c r="BL306" i="23"/>
  <c r="BH306" i="23"/>
  <c r="U306" i="23"/>
  <c r="AC306" i="23"/>
  <c r="L306" i="23"/>
  <c r="BM306" i="23"/>
  <c r="BI306" i="23"/>
  <c r="V306" i="23"/>
  <c r="AD306" i="23"/>
  <c r="M306" i="23"/>
  <c r="BN306" i="23"/>
  <c r="BJ306" i="23"/>
  <c r="AQ307" i="23"/>
  <c r="AR307" i="23"/>
  <c r="AU307" i="23"/>
  <c r="AV307" i="23"/>
  <c r="BE307" i="23"/>
  <c r="BC307" i="23"/>
  <c r="BD307" i="23"/>
  <c r="Q307" i="23"/>
  <c r="S307" i="23"/>
  <c r="W307" i="23"/>
  <c r="AA307" i="23"/>
  <c r="I307" i="23"/>
  <c r="J307" i="23"/>
  <c r="BK307" i="23"/>
  <c r="BG307" i="23"/>
  <c r="T307" i="23"/>
  <c r="AB307" i="23"/>
  <c r="K307" i="23"/>
  <c r="BL307" i="23"/>
  <c r="BH307" i="23"/>
  <c r="U307" i="23"/>
  <c r="AC307" i="23"/>
  <c r="L307" i="23"/>
  <c r="BM307" i="23"/>
  <c r="BI307" i="23"/>
  <c r="V307" i="23"/>
  <c r="AD307" i="23"/>
  <c r="M307" i="23"/>
  <c r="BN307" i="23"/>
  <c r="BJ307" i="23"/>
  <c r="AQ308" i="23"/>
  <c r="AR308" i="23"/>
  <c r="AU308" i="23"/>
  <c r="AV308" i="23"/>
  <c r="BE308" i="23"/>
  <c r="Q308" i="23"/>
  <c r="S308" i="23"/>
  <c r="W308" i="23"/>
  <c r="AA308" i="23"/>
  <c r="I308" i="23"/>
  <c r="J308" i="23"/>
  <c r="BC308" i="23"/>
  <c r="BD308" i="23"/>
  <c r="BK308" i="23"/>
  <c r="BG308" i="23"/>
  <c r="T308" i="23"/>
  <c r="AB308" i="23"/>
  <c r="K308" i="23"/>
  <c r="BL308" i="23"/>
  <c r="BH308" i="23"/>
  <c r="U308" i="23"/>
  <c r="AC308" i="23"/>
  <c r="L308" i="23"/>
  <c r="BM308" i="23"/>
  <c r="BI308" i="23"/>
  <c r="V308" i="23"/>
  <c r="AD308" i="23"/>
  <c r="M308" i="23"/>
  <c r="BN308" i="23"/>
  <c r="BJ308" i="23"/>
  <c r="AQ309" i="23"/>
  <c r="AR309" i="23"/>
  <c r="AU309" i="23"/>
  <c r="AV309" i="23"/>
  <c r="BE309" i="23"/>
  <c r="BC309" i="23"/>
  <c r="BD309" i="23"/>
  <c r="Q309" i="23"/>
  <c r="S309" i="23"/>
  <c r="W309" i="23"/>
  <c r="AA309" i="23"/>
  <c r="I309" i="23"/>
  <c r="J309" i="23"/>
  <c r="BK309" i="23"/>
  <c r="BG309" i="23"/>
  <c r="T309" i="23"/>
  <c r="AB309" i="23"/>
  <c r="K309" i="23"/>
  <c r="BL309" i="23"/>
  <c r="BH309" i="23"/>
  <c r="U309" i="23"/>
  <c r="AC309" i="23"/>
  <c r="L309" i="23"/>
  <c r="BM309" i="23"/>
  <c r="BI309" i="23"/>
  <c r="V309" i="23"/>
  <c r="AD309" i="23"/>
  <c r="M309" i="23"/>
  <c r="BN309" i="23"/>
  <c r="BJ309" i="23"/>
  <c r="AQ310" i="23"/>
  <c r="AR310" i="23"/>
  <c r="AU310" i="23"/>
  <c r="AV310" i="23"/>
  <c r="BE310" i="23"/>
  <c r="Q310" i="23"/>
  <c r="S310" i="23"/>
  <c r="W310" i="23"/>
  <c r="AA310" i="23"/>
  <c r="I310" i="23"/>
  <c r="J310" i="23"/>
  <c r="BC310" i="23"/>
  <c r="BD310" i="23"/>
  <c r="BK310" i="23"/>
  <c r="BG310" i="23"/>
  <c r="T310" i="23"/>
  <c r="AB310" i="23"/>
  <c r="K310" i="23"/>
  <c r="BL310" i="23"/>
  <c r="BH310" i="23"/>
  <c r="U310" i="23"/>
  <c r="AC310" i="23"/>
  <c r="L310" i="23"/>
  <c r="BM310" i="23"/>
  <c r="BI310" i="23"/>
  <c r="V310" i="23"/>
  <c r="AD310" i="23"/>
  <c r="M310" i="23"/>
  <c r="BN310" i="23"/>
  <c r="BJ310" i="23"/>
  <c r="AQ311" i="23"/>
  <c r="AR311" i="23"/>
  <c r="AU311" i="23"/>
  <c r="AV311" i="23"/>
  <c r="BE311" i="23"/>
  <c r="BC311" i="23"/>
  <c r="BD311" i="23"/>
  <c r="Q311" i="23"/>
  <c r="S311" i="23"/>
  <c r="W311" i="23"/>
  <c r="AA311" i="23"/>
  <c r="I311" i="23"/>
  <c r="J311" i="23"/>
  <c r="BK311" i="23"/>
  <c r="BG311" i="23"/>
  <c r="T311" i="23"/>
  <c r="AB311" i="23"/>
  <c r="K311" i="23"/>
  <c r="BL311" i="23"/>
  <c r="BH311" i="23"/>
  <c r="U311" i="23"/>
  <c r="AC311" i="23"/>
  <c r="L311" i="23"/>
  <c r="BM311" i="23"/>
  <c r="BI311" i="23"/>
  <c r="V311" i="23"/>
  <c r="AD311" i="23"/>
  <c r="M311" i="23"/>
  <c r="BN311" i="23"/>
  <c r="BJ311" i="23"/>
  <c r="AQ312" i="23"/>
  <c r="AR312" i="23"/>
  <c r="AU312" i="23"/>
  <c r="AV312" i="23"/>
  <c r="BE312" i="23"/>
  <c r="Q312" i="23"/>
  <c r="S312" i="23"/>
  <c r="W312" i="23"/>
  <c r="AA312" i="23"/>
  <c r="I312" i="23"/>
  <c r="J312" i="23"/>
  <c r="G312" i="23"/>
  <c r="BC312" i="23"/>
  <c r="BD312" i="23"/>
  <c r="BK312" i="23"/>
  <c r="BG312" i="23"/>
  <c r="T312" i="23"/>
  <c r="AB312" i="23"/>
  <c r="K312" i="23"/>
  <c r="BL312" i="23"/>
  <c r="BH312" i="23"/>
  <c r="U312" i="23"/>
  <c r="AC312" i="23"/>
  <c r="L312" i="23"/>
  <c r="BM312" i="23"/>
  <c r="BI312" i="23"/>
  <c r="V312" i="23"/>
  <c r="AD312" i="23"/>
  <c r="M312" i="23"/>
  <c r="BN312" i="23"/>
  <c r="BJ312" i="23"/>
  <c r="AQ313" i="23"/>
  <c r="AR313" i="23"/>
  <c r="AU313" i="23"/>
  <c r="AV313" i="23"/>
  <c r="BE313" i="23"/>
  <c r="BC313" i="23"/>
  <c r="BD313" i="23"/>
  <c r="Q313" i="23"/>
  <c r="S313" i="23"/>
  <c r="W313" i="23"/>
  <c r="AA313" i="23"/>
  <c r="I313" i="23"/>
  <c r="J313" i="23"/>
  <c r="BK313" i="23"/>
  <c r="BG313" i="23"/>
  <c r="T313" i="23"/>
  <c r="AB313" i="23"/>
  <c r="K313" i="23"/>
  <c r="BL313" i="23"/>
  <c r="BH313" i="23"/>
  <c r="U313" i="23"/>
  <c r="AC313" i="23"/>
  <c r="L313" i="23"/>
  <c r="BM313" i="23"/>
  <c r="BI313" i="23"/>
  <c r="V313" i="23"/>
  <c r="AD313" i="23"/>
  <c r="M313" i="23"/>
  <c r="BN313" i="23"/>
  <c r="BJ313" i="23"/>
  <c r="AQ314" i="23"/>
  <c r="AR314" i="23"/>
  <c r="AU314" i="23"/>
  <c r="AV314" i="23"/>
  <c r="BE314" i="23"/>
  <c r="Q314" i="23"/>
  <c r="S314" i="23"/>
  <c r="W314" i="23"/>
  <c r="AA314" i="23"/>
  <c r="I314" i="23"/>
  <c r="J314" i="23"/>
  <c r="BC314" i="23"/>
  <c r="BD314" i="23"/>
  <c r="BK314" i="23"/>
  <c r="BG314" i="23"/>
  <c r="T314" i="23"/>
  <c r="AB314" i="23"/>
  <c r="K314" i="23"/>
  <c r="BL314" i="23"/>
  <c r="BH314" i="23"/>
  <c r="U314" i="23"/>
  <c r="AC314" i="23"/>
  <c r="L314" i="23"/>
  <c r="BM314" i="23"/>
  <c r="BI314" i="23"/>
  <c r="V314" i="23"/>
  <c r="AD314" i="23"/>
  <c r="M314" i="23"/>
  <c r="BN314" i="23"/>
  <c r="BJ314" i="23"/>
  <c r="AQ315" i="23"/>
  <c r="AR315" i="23"/>
  <c r="AU315" i="23"/>
  <c r="AV315" i="23"/>
  <c r="BE315" i="23"/>
  <c r="BC315" i="23"/>
  <c r="BD315" i="23"/>
  <c r="Q315" i="23"/>
  <c r="S315" i="23"/>
  <c r="W315" i="23"/>
  <c r="AA315" i="23"/>
  <c r="I315" i="23"/>
  <c r="J315" i="23"/>
  <c r="BK315" i="23"/>
  <c r="BG315" i="23"/>
  <c r="T315" i="23"/>
  <c r="AB315" i="23"/>
  <c r="K315" i="23"/>
  <c r="BL315" i="23"/>
  <c r="BH315" i="23"/>
  <c r="U315" i="23"/>
  <c r="AC315" i="23"/>
  <c r="L315" i="23"/>
  <c r="BM315" i="23"/>
  <c r="BI315" i="23"/>
  <c r="V315" i="23"/>
  <c r="AD315" i="23"/>
  <c r="M315" i="23"/>
  <c r="BN315" i="23"/>
  <c r="BJ315" i="23"/>
  <c r="AQ316" i="23"/>
  <c r="AR316" i="23"/>
  <c r="AU316" i="23"/>
  <c r="AV316" i="23"/>
  <c r="BE316" i="23"/>
  <c r="Q316" i="23"/>
  <c r="S316" i="23"/>
  <c r="W316" i="23"/>
  <c r="AA316" i="23"/>
  <c r="I316" i="23"/>
  <c r="J316" i="23"/>
  <c r="G316" i="23"/>
  <c r="BC316" i="23"/>
  <c r="BD316" i="23"/>
  <c r="BK316" i="23"/>
  <c r="BG316" i="23"/>
  <c r="T316" i="23"/>
  <c r="AB316" i="23"/>
  <c r="K316" i="23"/>
  <c r="BL316" i="23"/>
  <c r="BH316" i="23"/>
  <c r="U316" i="23"/>
  <c r="AC316" i="23"/>
  <c r="L316" i="23"/>
  <c r="BM316" i="23"/>
  <c r="BI316" i="23"/>
  <c r="V316" i="23"/>
  <c r="AD316" i="23"/>
  <c r="M316" i="23"/>
  <c r="BN316" i="23"/>
  <c r="BJ316" i="23"/>
  <c r="AQ317" i="23"/>
  <c r="AR317" i="23"/>
  <c r="AU317" i="23"/>
  <c r="AV317" i="23"/>
  <c r="BE317" i="23"/>
  <c r="BC317" i="23"/>
  <c r="BD317" i="23"/>
  <c r="Q317" i="23"/>
  <c r="S317" i="23"/>
  <c r="W317" i="23"/>
  <c r="AA317" i="23"/>
  <c r="I317" i="23"/>
  <c r="J317" i="23"/>
  <c r="BK317" i="23"/>
  <c r="BG317" i="23"/>
  <c r="T317" i="23"/>
  <c r="AB317" i="23"/>
  <c r="K317" i="23"/>
  <c r="BL317" i="23"/>
  <c r="BH317" i="23"/>
  <c r="U317" i="23"/>
  <c r="AC317" i="23"/>
  <c r="L317" i="23"/>
  <c r="BM317" i="23"/>
  <c r="BI317" i="23"/>
  <c r="V317" i="23"/>
  <c r="AD317" i="23"/>
  <c r="M317" i="23"/>
  <c r="BN317" i="23"/>
  <c r="BJ317" i="23"/>
  <c r="AQ318" i="23"/>
  <c r="AR318" i="23"/>
  <c r="AU318" i="23"/>
  <c r="AV318" i="23"/>
  <c r="BE318" i="23"/>
  <c r="Q318" i="23"/>
  <c r="S318" i="23"/>
  <c r="W318" i="23"/>
  <c r="AA318" i="23"/>
  <c r="I318" i="23"/>
  <c r="J318" i="23"/>
  <c r="BC318" i="23"/>
  <c r="BD318" i="23"/>
  <c r="BK318" i="23"/>
  <c r="BG318" i="23"/>
  <c r="T318" i="23"/>
  <c r="AB318" i="23"/>
  <c r="K318" i="23"/>
  <c r="BL318" i="23"/>
  <c r="BH318" i="23"/>
  <c r="U318" i="23"/>
  <c r="AC318" i="23"/>
  <c r="L318" i="23"/>
  <c r="BM318" i="23"/>
  <c r="BI318" i="23"/>
  <c r="V318" i="23"/>
  <c r="AD318" i="23"/>
  <c r="M318" i="23"/>
  <c r="BN318" i="23"/>
  <c r="BJ318" i="23"/>
  <c r="AQ319" i="23"/>
  <c r="AR319" i="23"/>
  <c r="AU319" i="23"/>
  <c r="AV319" i="23"/>
  <c r="BE319" i="23"/>
  <c r="BC319" i="23"/>
  <c r="BD319" i="23"/>
  <c r="Q319" i="23"/>
  <c r="S319" i="23"/>
  <c r="W319" i="23"/>
  <c r="AA319" i="23"/>
  <c r="I319" i="23"/>
  <c r="J319" i="23"/>
  <c r="BK319" i="23"/>
  <c r="BG319" i="23"/>
  <c r="T319" i="23"/>
  <c r="AB319" i="23"/>
  <c r="K319" i="23"/>
  <c r="BL319" i="23"/>
  <c r="BH319" i="23"/>
  <c r="U319" i="23"/>
  <c r="AC319" i="23"/>
  <c r="L319" i="23"/>
  <c r="BM319" i="23"/>
  <c r="BI319" i="23"/>
  <c r="V319" i="23"/>
  <c r="AD319" i="23"/>
  <c r="M319" i="23"/>
  <c r="BN319" i="23"/>
  <c r="BJ319" i="23"/>
  <c r="AQ320" i="23"/>
  <c r="AR320" i="23"/>
  <c r="AU320" i="23"/>
  <c r="AV320" i="23"/>
  <c r="BE320" i="23"/>
  <c r="Q320" i="23"/>
  <c r="S320" i="23"/>
  <c r="W320" i="23"/>
  <c r="AA320" i="23"/>
  <c r="I320" i="23"/>
  <c r="J320" i="23"/>
  <c r="BC320" i="23"/>
  <c r="BD320" i="23"/>
  <c r="BK320" i="23"/>
  <c r="BG320" i="23"/>
  <c r="T320" i="23"/>
  <c r="AB320" i="23"/>
  <c r="K320" i="23"/>
  <c r="BL320" i="23"/>
  <c r="BH320" i="23"/>
  <c r="U320" i="23"/>
  <c r="AC320" i="23"/>
  <c r="L320" i="23"/>
  <c r="BM320" i="23"/>
  <c r="BI320" i="23"/>
  <c r="V320" i="23"/>
  <c r="AD320" i="23"/>
  <c r="M320" i="23"/>
  <c r="BN320" i="23"/>
  <c r="BJ320" i="23"/>
  <c r="AQ321" i="23"/>
  <c r="AR321" i="23"/>
  <c r="AU321" i="23"/>
  <c r="AV321" i="23"/>
  <c r="BE321" i="23"/>
  <c r="BC321" i="23"/>
  <c r="BD321" i="23"/>
  <c r="Q321" i="23"/>
  <c r="S321" i="23"/>
  <c r="W321" i="23"/>
  <c r="AA321" i="23"/>
  <c r="I321" i="23"/>
  <c r="J321" i="23"/>
  <c r="BK321" i="23"/>
  <c r="BG321" i="23"/>
  <c r="T321" i="23"/>
  <c r="AB321" i="23"/>
  <c r="K321" i="23"/>
  <c r="BL321" i="23"/>
  <c r="BH321" i="23"/>
  <c r="U321" i="23"/>
  <c r="AC321" i="23"/>
  <c r="L321" i="23"/>
  <c r="BM321" i="23"/>
  <c r="BI321" i="23"/>
  <c r="V321" i="23"/>
  <c r="AD321" i="23"/>
  <c r="M321" i="23"/>
  <c r="BN321" i="23"/>
  <c r="BJ321" i="23"/>
  <c r="AQ322" i="23"/>
  <c r="AR322" i="23"/>
  <c r="AU322" i="23"/>
  <c r="AV322" i="23"/>
  <c r="BE322" i="23"/>
  <c r="Q322" i="23"/>
  <c r="S322" i="23"/>
  <c r="W322" i="23"/>
  <c r="AA322" i="23"/>
  <c r="I322" i="23"/>
  <c r="J322" i="23"/>
  <c r="BC322" i="23"/>
  <c r="BD322" i="23"/>
  <c r="BK322" i="23"/>
  <c r="BG322" i="23"/>
  <c r="T322" i="23"/>
  <c r="AB322" i="23"/>
  <c r="K322" i="23"/>
  <c r="BL322" i="23"/>
  <c r="BH322" i="23"/>
  <c r="U322" i="23"/>
  <c r="AC322" i="23"/>
  <c r="L322" i="23"/>
  <c r="BM322" i="23"/>
  <c r="BI322" i="23"/>
  <c r="V322" i="23"/>
  <c r="AD322" i="23"/>
  <c r="M322" i="23"/>
  <c r="BN322" i="23"/>
  <c r="BJ322" i="23"/>
  <c r="AQ323" i="23"/>
  <c r="AR323" i="23"/>
  <c r="AU323" i="23"/>
  <c r="AV323" i="23"/>
  <c r="BE323" i="23"/>
  <c r="BC323" i="23"/>
  <c r="BD323" i="23"/>
  <c r="Q323" i="23"/>
  <c r="S323" i="23"/>
  <c r="W323" i="23"/>
  <c r="AA323" i="23"/>
  <c r="I323" i="23"/>
  <c r="J323" i="23"/>
  <c r="BK323" i="23"/>
  <c r="BG323" i="23"/>
  <c r="T323" i="23"/>
  <c r="AB323" i="23"/>
  <c r="K323" i="23"/>
  <c r="BL323" i="23"/>
  <c r="BH323" i="23"/>
  <c r="U323" i="23"/>
  <c r="AC323" i="23"/>
  <c r="L323" i="23"/>
  <c r="BM323" i="23"/>
  <c r="BI323" i="23"/>
  <c r="V323" i="23"/>
  <c r="AD323" i="23"/>
  <c r="M323" i="23"/>
  <c r="BN323" i="23"/>
  <c r="BJ323" i="23"/>
  <c r="AQ324" i="23"/>
  <c r="AR324" i="23"/>
  <c r="AU324" i="23"/>
  <c r="AV324" i="23"/>
  <c r="BE324" i="23"/>
  <c r="Q324" i="23"/>
  <c r="S324" i="23"/>
  <c r="W324" i="23"/>
  <c r="AA324" i="23"/>
  <c r="I324" i="23"/>
  <c r="J324" i="23"/>
  <c r="BC324" i="23"/>
  <c r="BD324" i="23"/>
  <c r="BK324" i="23"/>
  <c r="BG324" i="23"/>
  <c r="T324" i="23"/>
  <c r="AB324" i="23"/>
  <c r="K324" i="23"/>
  <c r="BL324" i="23"/>
  <c r="BH324" i="23"/>
  <c r="U324" i="23"/>
  <c r="AC324" i="23"/>
  <c r="L324" i="23"/>
  <c r="BM324" i="23"/>
  <c r="BI324" i="23"/>
  <c r="V324" i="23"/>
  <c r="AD324" i="23"/>
  <c r="M324" i="23"/>
  <c r="BN324" i="23"/>
  <c r="BJ324" i="23"/>
  <c r="AQ325" i="23"/>
  <c r="AR325" i="23"/>
  <c r="AU325" i="23"/>
  <c r="AV325" i="23"/>
  <c r="BE325" i="23"/>
  <c r="BC325" i="23"/>
  <c r="BD325" i="23"/>
  <c r="Q325" i="23"/>
  <c r="S325" i="23"/>
  <c r="W325" i="23"/>
  <c r="AA325" i="23"/>
  <c r="I325" i="23"/>
  <c r="J325" i="23"/>
  <c r="BK325" i="23"/>
  <c r="BG325" i="23"/>
  <c r="T325" i="23"/>
  <c r="AB325" i="23"/>
  <c r="K325" i="23"/>
  <c r="BL325" i="23"/>
  <c r="BH325" i="23"/>
  <c r="U325" i="23"/>
  <c r="AC325" i="23"/>
  <c r="L325" i="23"/>
  <c r="BM325" i="23"/>
  <c r="BI325" i="23"/>
  <c r="V325" i="23"/>
  <c r="AD325" i="23"/>
  <c r="M325" i="23"/>
  <c r="BN325" i="23"/>
  <c r="BJ325" i="23"/>
  <c r="AQ326" i="23"/>
  <c r="AR326" i="23"/>
  <c r="AU326" i="23"/>
  <c r="AV326" i="23"/>
  <c r="BE326" i="23"/>
  <c r="Q326" i="23"/>
  <c r="S326" i="23"/>
  <c r="W326" i="23"/>
  <c r="AA326" i="23"/>
  <c r="I326" i="23"/>
  <c r="J326" i="23"/>
  <c r="BC326" i="23"/>
  <c r="BD326" i="23"/>
  <c r="BK326" i="23"/>
  <c r="BG326" i="23"/>
  <c r="T326" i="23"/>
  <c r="AB326" i="23"/>
  <c r="K326" i="23"/>
  <c r="BL326" i="23"/>
  <c r="BH326" i="23"/>
  <c r="U326" i="23"/>
  <c r="AC326" i="23"/>
  <c r="L326" i="23"/>
  <c r="BM326" i="23"/>
  <c r="BI326" i="23"/>
  <c r="V326" i="23"/>
  <c r="AD326" i="23"/>
  <c r="M326" i="23"/>
  <c r="BN326" i="23"/>
  <c r="BJ326" i="23"/>
  <c r="AQ327" i="23"/>
  <c r="AR327" i="23"/>
  <c r="AU327" i="23"/>
  <c r="AV327" i="23"/>
  <c r="BE327" i="23"/>
  <c r="BC327" i="23"/>
  <c r="BD327" i="23"/>
  <c r="Q327" i="23"/>
  <c r="S327" i="23"/>
  <c r="W327" i="23"/>
  <c r="AA327" i="23"/>
  <c r="I327" i="23"/>
  <c r="J327" i="23"/>
  <c r="BK327" i="23"/>
  <c r="BG327" i="23"/>
  <c r="T327" i="23"/>
  <c r="AB327" i="23"/>
  <c r="K327" i="23"/>
  <c r="BL327" i="23"/>
  <c r="BH327" i="23"/>
  <c r="U327" i="23"/>
  <c r="AC327" i="23"/>
  <c r="L327" i="23"/>
  <c r="BM327" i="23"/>
  <c r="BI327" i="23"/>
  <c r="V327" i="23"/>
  <c r="AD327" i="23"/>
  <c r="M327" i="23"/>
  <c r="BN327" i="23"/>
  <c r="BJ327" i="23"/>
  <c r="AQ328" i="23"/>
  <c r="AR328" i="23"/>
  <c r="AU328" i="23"/>
  <c r="AV328" i="23"/>
  <c r="BE328" i="23"/>
  <c r="Q328" i="23"/>
  <c r="S328" i="23"/>
  <c r="W328" i="23"/>
  <c r="AA328" i="23"/>
  <c r="I328" i="23"/>
  <c r="J328" i="23"/>
  <c r="BC328" i="23"/>
  <c r="BD328" i="23"/>
  <c r="BK328" i="23"/>
  <c r="BG328" i="23"/>
  <c r="T328" i="23"/>
  <c r="AB328" i="23"/>
  <c r="K328" i="23"/>
  <c r="BL328" i="23"/>
  <c r="BH328" i="23"/>
  <c r="U328" i="23"/>
  <c r="AC328" i="23"/>
  <c r="L328" i="23"/>
  <c r="BM328" i="23"/>
  <c r="BI328" i="23"/>
  <c r="V328" i="23"/>
  <c r="AD328" i="23"/>
  <c r="M328" i="23"/>
  <c r="BN328" i="23"/>
  <c r="BJ328" i="23"/>
  <c r="AQ329" i="23"/>
  <c r="AR329" i="23"/>
  <c r="AU329" i="23"/>
  <c r="AV329" i="23"/>
  <c r="BE329" i="23"/>
  <c r="BC329" i="23"/>
  <c r="BD329" i="23"/>
  <c r="Q329" i="23"/>
  <c r="S329" i="23"/>
  <c r="W329" i="23"/>
  <c r="AA329" i="23"/>
  <c r="I329" i="23"/>
  <c r="J329" i="23"/>
  <c r="BK329" i="23"/>
  <c r="BG329" i="23"/>
  <c r="T329" i="23"/>
  <c r="AB329" i="23"/>
  <c r="K329" i="23"/>
  <c r="BL329" i="23"/>
  <c r="BH329" i="23"/>
  <c r="U329" i="23"/>
  <c r="AC329" i="23"/>
  <c r="L329" i="23"/>
  <c r="BM329" i="23"/>
  <c r="BI329" i="23"/>
  <c r="V329" i="23"/>
  <c r="AD329" i="23"/>
  <c r="M329" i="23"/>
  <c r="BN329" i="23"/>
  <c r="BJ329" i="23"/>
  <c r="AQ330" i="23"/>
  <c r="AR330" i="23"/>
  <c r="AU330" i="23"/>
  <c r="AV330" i="23"/>
  <c r="BE330" i="23"/>
  <c r="Q330" i="23"/>
  <c r="S330" i="23"/>
  <c r="W330" i="23"/>
  <c r="AA330" i="23"/>
  <c r="I330" i="23"/>
  <c r="J330" i="23"/>
  <c r="G330" i="23"/>
  <c r="BC330" i="23"/>
  <c r="BD330" i="23"/>
  <c r="BK330" i="23"/>
  <c r="BG330" i="23"/>
  <c r="T330" i="23"/>
  <c r="AB330" i="23"/>
  <c r="K330" i="23"/>
  <c r="BL330" i="23"/>
  <c r="BH330" i="23"/>
  <c r="U330" i="23"/>
  <c r="AC330" i="23"/>
  <c r="L330" i="23"/>
  <c r="BM330" i="23"/>
  <c r="BI330" i="23"/>
  <c r="V330" i="23"/>
  <c r="AD330" i="23"/>
  <c r="M330" i="23"/>
  <c r="BN330" i="23"/>
  <c r="BJ330" i="23"/>
  <c r="AQ331" i="23"/>
  <c r="AR331" i="23"/>
  <c r="AU331" i="23"/>
  <c r="AV331" i="23"/>
  <c r="BE331" i="23"/>
  <c r="G331" i="23"/>
  <c r="BC331" i="23"/>
  <c r="BD331" i="23"/>
  <c r="Q331" i="23"/>
  <c r="S331" i="23"/>
  <c r="W331" i="23"/>
  <c r="AA331" i="23"/>
  <c r="I331" i="23"/>
  <c r="J331" i="23"/>
  <c r="BK331" i="23"/>
  <c r="BG331" i="23"/>
  <c r="T331" i="23"/>
  <c r="AB331" i="23"/>
  <c r="K331" i="23"/>
  <c r="BL331" i="23"/>
  <c r="BH331" i="23"/>
  <c r="U331" i="23"/>
  <c r="AC331" i="23"/>
  <c r="L331" i="23"/>
  <c r="BM331" i="23"/>
  <c r="BI331" i="23"/>
  <c r="V331" i="23"/>
  <c r="AD331" i="23"/>
  <c r="M331" i="23"/>
  <c r="BN331" i="23"/>
  <c r="BJ331" i="23"/>
  <c r="AQ332" i="23"/>
  <c r="AR332" i="23"/>
  <c r="AU332" i="23"/>
  <c r="AV332" i="23"/>
  <c r="BE332" i="23"/>
  <c r="Q332" i="23"/>
  <c r="S332" i="23"/>
  <c r="W332" i="23"/>
  <c r="AA332" i="23"/>
  <c r="I332" i="23"/>
  <c r="J332" i="23"/>
  <c r="G332" i="23"/>
  <c r="BC332" i="23"/>
  <c r="BD332" i="23"/>
  <c r="BK332" i="23"/>
  <c r="BG332" i="23"/>
  <c r="T332" i="23"/>
  <c r="AB332" i="23"/>
  <c r="K332" i="23"/>
  <c r="BL332" i="23"/>
  <c r="BH332" i="23"/>
  <c r="U332" i="23"/>
  <c r="AC332" i="23"/>
  <c r="L332" i="23"/>
  <c r="BM332" i="23"/>
  <c r="BI332" i="23"/>
  <c r="V332" i="23"/>
  <c r="AD332" i="23"/>
  <c r="M332" i="23"/>
  <c r="BN332" i="23"/>
  <c r="BJ332" i="23"/>
  <c r="AQ333" i="23"/>
  <c r="AR333" i="23"/>
  <c r="AU333" i="23"/>
  <c r="AV333" i="23"/>
  <c r="BE333" i="23"/>
  <c r="BC333" i="23"/>
  <c r="BD333" i="23"/>
  <c r="Q333" i="23"/>
  <c r="S333" i="23"/>
  <c r="W333" i="23"/>
  <c r="AA333" i="23"/>
  <c r="I333" i="23"/>
  <c r="J333" i="23"/>
  <c r="BK333" i="23"/>
  <c r="BG333" i="23"/>
  <c r="T333" i="23"/>
  <c r="AB333" i="23"/>
  <c r="K333" i="23"/>
  <c r="BL333" i="23"/>
  <c r="BH333" i="23"/>
  <c r="U333" i="23"/>
  <c r="AC333" i="23"/>
  <c r="L333" i="23"/>
  <c r="BM333" i="23"/>
  <c r="BI333" i="23"/>
  <c r="V333" i="23"/>
  <c r="AD333" i="23"/>
  <c r="M333" i="23"/>
  <c r="BN333" i="23"/>
  <c r="BJ333" i="23"/>
  <c r="AQ334" i="23"/>
  <c r="AR334" i="23"/>
  <c r="AU334" i="23"/>
  <c r="AV334" i="23"/>
  <c r="BE334" i="23"/>
  <c r="BC334" i="23"/>
  <c r="BD334" i="23"/>
  <c r="Q334" i="23"/>
  <c r="S334" i="23"/>
  <c r="W334" i="23"/>
  <c r="AA334" i="23"/>
  <c r="I334" i="23"/>
  <c r="J334" i="23"/>
  <c r="BK334" i="23"/>
  <c r="BG334" i="23"/>
  <c r="T334" i="23"/>
  <c r="AB334" i="23"/>
  <c r="K334" i="23"/>
  <c r="BL334" i="23"/>
  <c r="BH334" i="23"/>
  <c r="U334" i="23"/>
  <c r="AC334" i="23"/>
  <c r="L334" i="23"/>
  <c r="BM334" i="23"/>
  <c r="BI334" i="23"/>
  <c r="V334" i="23"/>
  <c r="AD334" i="23"/>
  <c r="M334" i="23"/>
  <c r="BN334" i="23"/>
  <c r="BJ334" i="23"/>
  <c r="AQ335" i="23"/>
  <c r="AR335" i="23"/>
  <c r="AU335" i="23"/>
  <c r="AV335" i="23"/>
  <c r="BE335" i="23"/>
  <c r="BC335" i="23"/>
  <c r="BD335" i="23"/>
  <c r="Q335" i="23"/>
  <c r="S335" i="23"/>
  <c r="W335" i="23"/>
  <c r="AA335" i="23"/>
  <c r="I335" i="23"/>
  <c r="J335" i="23"/>
  <c r="BK335" i="23"/>
  <c r="BG335" i="23"/>
  <c r="T335" i="23"/>
  <c r="AB335" i="23"/>
  <c r="K335" i="23"/>
  <c r="BL335" i="23"/>
  <c r="BH335" i="23"/>
  <c r="U335" i="23"/>
  <c r="AC335" i="23"/>
  <c r="L335" i="23"/>
  <c r="BM335" i="23"/>
  <c r="BI335" i="23"/>
  <c r="V335" i="23"/>
  <c r="AD335" i="23"/>
  <c r="M335" i="23"/>
  <c r="BN335" i="23"/>
  <c r="BJ335" i="23"/>
  <c r="AQ336" i="23"/>
  <c r="AR336" i="23"/>
  <c r="AU336" i="23"/>
  <c r="AV336" i="23"/>
  <c r="BE336" i="23"/>
  <c r="BC336" i="23"/>
  <c r="BD336" i="23"/>
  <c r="Q336" i="23"/>
  <c r="S336" i="23"/>
  <c r="W336" i="23"/>
  <c r="AA336" i="23"/>
  <c r="I336" i="23"/>
  <c r="J336" i="23"/>
  <c r="BK336" i="23"/>
  <c r="BG336" i="23"/>
  <c r="T336" i="23"/>
  <c r="AB336" i="23"/>
  <c r="K336" i="23"/>
  <c r="BL336" i="23"/>
  <c r="BH336" i="23"/>
  <c r="U336" i="23"/>
  <c r="AC336" i="23"/>
  <c r="L336" i="23"/>
  <c r="BM336" i="23"/>
  <c r="BI336" i="23"/>
  <c r="V336" i="23"/>
  <c r="AD336" i="23"/>
  <c r="M336" i="23"/>
  <c r="BN336" i="23"/>
  <c r="BJ336" i="23"/>
  <c r="AQ337" i="23"/>
  <c r="AR337" i="23"/>
  <c r="AU337" i="23"/>
  <c r="AV337" i="23"/>
  <c r="BE337" i="23"/>
  <c r="BC337" i="23"/>
  <c r="BD337" i="23"/>
  <c r="Q337" i="23"/>
  <c r="S337" i="23"/>
  <c r="W337" i="23"/>
  <c r="AA337" i="23"/>
  <c r="I337" i="23"/>
  <c r="J337" i="23"/>
  <c r="BK337" i="23"/>
  <c r="BG337" i="23"/>
  <c r="T337" i="23"/>
  <c r="AB337" i="23"/>
  <c r="K337" i="23"/>
  <c r="BL337" i="23"/>
  <c r="BH337" i="23"/>
  <c r="U337" i="23"/>
  <c r="AC337" i="23"/>
  <c r="L337" i="23"/>
  <c r="BM337" i="23"/>
  <c r="BI337" i="23"/>
  <c r="V337" i="23"/>
  <c r="AD337" i="23"/>
  <c r="M337" i="23"/>
  <c r="BN337" i="23"/>
  <c r="BJ337" i="23"/>
  <c r="AQ338" i="23"/>
  <c r="AR338" i="23"/>
  <c r="AU338" i="23"/>
  <c r="AV338" i="23"/>
  <c r="BE338" i="23"/>
  <c r="BC338" i="23"/>
  <c r="BD338" i="23"/>
  <c r="Q338" i="23"/>
  <c r="S338" i="23"/>
  <c r="W338" i="23"/>
  <c r="AA338" i="23"/>
  <c r="I338" i="23"/>
  <c r="J338" i="23"/>
  <c r="BK338" i="23"/>
  <c r="BG338" i="23"/>
  <c r="T338" i="23"/>
  <c r="AB338" i="23"/>
  <c r="K338" i="23"/>
  <c r="BL338" i="23"/>
  <c r="BH338" i="23"/>
  <c r="U338" i="23"/>
  <c r="AC338" i="23"/>
  <c r="L338" i="23"/>
  <c r="BM338" i="23"/>
  <c r="BI338" i="23"/>
  <c r="V338" i="23"/>
  <c r="AD338" i="23"/>
  <c r="M338" i="23"/>
  <c r="BN338" i="23"/>
  <c r="BJ338" i="23"/>
  <c r="AQ339" i="23"/>
  <c r="AR339" i="23"/>
  <c r="AU339" i="23"/>
  <c r="AV339" i="23"/>
  <c r="BE339" i="23"/>
  <c r="G339" i="23"/>
  <c r="BC339" i="23"/>
  <c r="BD339" i="23"/>
  <c r="Q339" i="23"/>
  <c r="S339" i="23"/>
  <c r="W339" i="23"/>
  <c r="AA339" i="23"/>
  <c r="I339" i="23"/>
  <c r="J339" i="23"/>
  <c r="BK339" i="23"/>
  <c r="BG339" i="23"/>
  <c r="T339" i="23"/>
  <c r="AB339" i="23"/>
  <c r="K339" i="23"/>
  <c r="BL339" i="23"/>
  <c r="BH339" i="23"/>
  <c r="U339" i="23"/>
  <c r="AC339" i="23"/>
  <c r="L339" i="23"/>
  <c r="BM339" i="23"/>
  <c r="BI339" i="23"/>
  <c r="V339" i="23"/>
  <c r="AD339" i="23"/>
  <c r="M339" i="23"/>
  <c r="BN339" i="23"/>
  <c r="BJ339" i="23"/>
  <c r="AQ340" i="23"/>
  <c r="AR340" i="23"/>
  <c r="AU340" i="23"/>
  <c r="AV340" i="23"/>
  <c r="BE340" i="23"/>
  <c r="G340" i="23"/>
  <c r="BC340" i="23"/>
  <c r="BD340" i="23"/>
  <c r="Q340" i="23"/>
  <c r="S340" i="23"/>
  <c r="W340" i="23"/>
  <c r="AA340" i="23"/>
  <c r="I340" i="23"/>
  <c r="J340" i="23"/>
  <c r="BK340" i="23"/>
  <c r="BG340" i="23"/>
  <c r="T340" i="23"/>
  <c r="AB340" i="23"/>
  <c r="K340" i="23"/>
  <c r="BL340" i="23"/>
  <c r="BH340" i="23"/>
  <c r="U340" i="23"/>
  <c r="AC340" i="23"/>
  <c r="L340" i="23"/>
  <c r="BM340" i="23"/>
  <c r="BI340" i="23"/>
  <c r="V340" i="23"/>
  <c r="AD340" i="23"/>
  <c r="M340" i="23"/>
  <c r="BN340" i="23"/>
  <c r="BJ340" i="23"/>
  <c r="AQ341" i="23"/>
  <c r="AR341" i="23"/>
  <c r="AU341" i="23"/>
  <c r="AV341" i="23"/>
  <c r="BE341" i="23"/>
  <c r="BC341" i="23"/>
  <c r="BD341" i="23"/>
  <c r="Q341" i="23"/>
  <c r="S341" i="23"/>
  <c r="W341" i="23"/>
  <c r="AA341" i="23"/>
  <c r="I341" i="23"/>
  <c r="J341" i="23"/>
  <c r="BK341" i="23"/>
  <c r="BG341" i="23"/>
  <c r="T341" i="23"/>
  <c r="AB341" i="23"/>
  <c r="K341" i="23"/>
  <c r="BL341" i="23"/>
  <c r="BH341" i="23"/>
  <c r="U341" i="23"/>
  <c r="AC341" i="23"/>
  <c r="L341" i="23"/>
  <c r="BM341" i="23"/>
  <c r="BI341" i="23"/>
  <c r="V341" i="23"/>
  <c r="AD341" i="23"/>
  <c r="M341" i="23"/>
  <c r="BN341" i="23"/>
  <c r="BJ341" i="23"/>
  <c r="AQ342" i="23"/>
  <c r="AR342" i="23"/>
  <c r="AU342" i="23"/>
  <c r="AV342" i="23"/>
  <c r="BE342" i="23"/>
  <c r="BC342" i="23"/>
  <c r="BD342" i="23"/>
  <c r="Q342" i="23"/>
  <c r="S342" i="23"/>
  <c r="W342" i="23"/>
  <c r="AA342" i="23"/>
  <c r="I342" i="23"/>
  <c r="J342" i="23"/>
  <c r="BK342" i="23"/>
  <c r="BG342" i="23"/>
  <c r="T342" i="23"/>
  <c r="AB342" i="23"/>
  <c r="K342" i="23"/>
  <c r="BL342" i="23"/>
  <c r="BH342" i="23"/>
  <c r="U342" i="23"/>
  <c r="AC342" i="23"/>
  <c r="L342" i="23"/>
  <c r="BM342" i="23"/>
  <c r="BI342" i="23"/>
  <c r="V342" i="23"/>
  <c r="AD342" i="23"/>
  <c r="M342" i="23"/>
  <c r="BN342" i="23"/>
  <c r="BJ342" i="23"/>
  <c r="AQ343" i="23"/>
  <c r="AR343" i="23"/>
  <c r="AU343" i="23"/>
  <c r="AV343" i="23"/>
  <c r="BE343" i="23"/>
  <c r="G343" i="23"/>
  <c r="BC343" i="23"/>
  <c r="BD343" i="23"/>
  <c r="Q343" i="23"/>
  <c r="S343" i="23"/>
  <c r="W343" i="23"/>
  <c r="AA343" i="23"/>
  <c r="I343" i="23"/>
  <c r="J343" i="23"/>
  <c r="BK343" i="23"/>
  <c r="BG343" i="23"/>
  <c r="T343" i="23"/>
  <c r="AB343" i="23"/>
  <c r="K343" i="23"/>
  <c r="BL343" i="23"/>
  <c r="BH343" i="23"/>
  <c r="U343" i="23"/>
  <c r="AC343" i="23"/>
  <c r="L343" i="23"/>
  <c r="BM343" i="23"/>
  <c r="BI343" i="23"/>
  <c r="V343" i="23"/>
  <c r="AD343" i="23"/>
  <c r="M343" i="23"/>
  <c r="BN343" i="23"/>
  <c r="BJ343" i="23"/>
  <c r="AQ344" i="23"/>
  <c r="AR344" i="23"/>
  <c r="AU344" i="23"/>
  <c r="AV344" i="23"/>
  <c r="BE344" i="23"/>
  <c r="G344" i="23"/>
  <c r="BC344" i="23"/>
  <c r="BD344" i="23"/>
  <c r="Q344" i="23"/>
  <c r="S344" i="23"/>
  <c r="W344" i="23"/>
  <c r="AA344" i="23"/>
  <c r="I344" i="23"/>
  <c r="J344" i="23"/>
  <c r="BK344" i="23"/>
  <c r="BG344" i="23"/>
  <c r="T344" i="23"/>
  <c r="AB344" i="23"/>
  <c r="K344" i="23"/>
  <c r="BL344" i="23"/>
  <c r="BH344" i="23"/>
  <c r="U344" i="23"/>
  <c r="AC344" i="23"/>
  <c r="L344" i="23"/>
  <c r="BM344" i="23"/>
  <c r="BI344" i="23"/>
  <c r="V344" i="23"/>
  <c r="AD344" i="23"/>
  <c r="M344" i="23"/>
  <c r="BN344" i="23"/>
  <c r="BJ344" i="23"/>
  <c r="AQ345" i="23"/>
  <c r="AR345" i="23"/>
  <c r="AU345" i="23"/>
  <c r="AV345" i="23"/>
  <c r="BE345" i="23"/>
  <c r="BC345" i="23"/>
  <c r="BD345" i="23"/>
  <c r="Q345" i="23"/>
  <c r="S345" i="23"/>
  <c r="W345" i="23"/>
  <c r="AA345" i="23"/>
  <c r="I345" i="23"/>
  <c r="J345" i="23"/>
  <c r="BK345" i="23"/>
  <c r="BG345" i="23"/>
  <c r="T345" i="23"/>
  <c r="AB345" i="23"/>
  <c r="K345" i="23"/>
  <c r="BL345" i="23"/>
  <c r="BH345" i="23"/>
  <c r="U345" i="23"/>
  <c r="AC345" i="23"/>
  <c r="L345" i="23"/>
  <c r="BM345" i="23"/>
  <c r="BI345" i="23"/>
  <c r="V345" i="23"/>
  <c r="AD345" i="23"/>
  <c r="M345" i="23"/>
  <c r="BN345" i="23"/>
  <c r="BJ345" i="23"/>
  <c r="AQ346" i="23"/>
  <c r="AR346" i="23"/>
  <c r="AU346" i="23"/>
  <c r="AV346" i="23"/>
  <c r="BE346" i="23"/>
  <c r="BC346" i="23"/>
  <c r="BD346" i="23"/>
  <c r="Q346" i="23"/>
  <c r="S346" i="23"/>
  <c r="W346" i="23"/>
  <c r="AA346" i="23"/>
  <c r="I346" i="23"/>
  <c r="J346" i="23"/>
  <c r="BK346" i="23"/>
  <c r="BG346" i="23"/>
  <c r="T346" i="23"/>
  <c r="AB346" i="23"/>
  <c r="K346" i="23"/>
  <c r="BL346" i="23"/>
  <c r="BH346" i="23"/>
  <c r="U346" i="23"/>
  <c r="AC346" i="23"/>
  <c r="L346" i="23"/>
  <c r="BM346" i="23"/>
  <c r="BI346" i="23"/>
  <c r="V346" i="23"/>
  <c r="AD346" i="23"/>
  <c r="M346" i="23"/>
  <c r="BN346" i="23"/>
  <c r="BJ346" i="23"/>
  <c r="AQ347" i="23"/>
  <c r="AR347" i="23"/>
  <c r="AU347" i="23"/>
  <c r="AV347" i="23"/>
  <c r="BE347" i="23"/>
  <c r="G347" i="23"/>
  <c r="BC347" i="23"/>
  <c r="BD347" i="23"/>
  <c r="Q347" i="23"/>
  <c r="S347" i="23"/>
  <c r="W347" i="23"/>
  <c r="AA347" i="23"/>
  <c r="I347" i="23"/>
  <c r="J347" i="23"/>
  <c r="BK347" i="23"/>
  <c r="BG347" i="23"/>
  <c r="T347" i="23"/>
  <c r="AB347" i="23"/>
  <c r="K347" i="23"/>
  <c r="BL347" i="23"/>
  <c r="BH347" i="23"/>
  <c r="U347" i="23"/>
  <c r="AC347" i="23"/>
  <c r="L347" i="23"/>
  <c r="BM347" i="23"/>
  <c r="BI347" i="23"/>
  <c r="V347" i="23"/>
  <c r="AD347" i="23"/>
  <c r="M347" i="23"/>
  <c r="BN347" i="23"/>
  <c r="BJ347" i="23"/>
  <c r="AQ348" i="23"/>
  <c r="AR348" i="23"/>
  <c r="AU348" i="23"/>
  <c r="AV348" i="23"/>
  <c r="BE348" i="23"/>
  <c r="G348" i="23"/>
  <c r="BC348" i="23"/>
  <c r="BD348" i="23"/>
  <c r="Q348" i="23"/>
  <c r="S348" i="23"/>
  <c r="W348" i="23"/>
  <c r="AA348" i="23"/>
  <c r="I348" i="23"/>
  <c r="J348" i="23"/>
  <c r="BK348" i="23"/>
  <c r="BG348" i="23"/>
  <c r="T348" i="23"/>
  <c r="AB348" i="23"/>
  <c r="K348" i="23"/>
  <c r="BL348" i="23"/>
  <c r="BH348" i="23"/>
  <c r="U348" i="23"/>
  <c r="AC348" i="23"/>
  <c r="L348" i="23"/>
  <c r="BM348" i="23"/>
  <c r="BI348" i="23"/>
  <c r="V348" i="23"/>
  <c r="AD348" i="23"/>
  <c r="M348" i="23"/>
  <c r="BN348" i="23"/>
  <c r="BJ348" i="23"/>
  <c r="AQ349" i="23"/>
  <c r="AR349" i="23"/>
  <c r="AU349" i="23"/>
  <c r="AV349" i="23"/>
  <c r="BE349" i="23"/>
  <c r="BC349" i="23"/>
  <c r="BD349" i="23"/>
  <c r="Q349" i="23"/>
  <c r="S349" i="23"/>
  <c r="W349" i="23"/>
  <c r="AA349" i="23"/>
  <c r="BK349" i="23"/>
  <c r="BG349" i="23"/>
  <c r="T349" i="23"/>
  <c r="AB349" i="23"/>
  <c r="BL349" i="23"/>
  <c r="BH349" i="23"/>
  <c r="U349" i="23"/>
  <c r="AC349" i="23"/>
  <c r="L349" i="23"/>
  <c r="BM349" i="23"/>
  <c r="BI349" i="23"/>
  <c r="V349" i="23"/>
  <c r="AD349" i="23"/>
  <c r="M349" i="23"/>
  <c r="BN349" i="23"/>
  <c r="BJ349" i="23"/>
  <c r="AQ350" i="23"/>
  <c r="AR350" i="23"/>
  <c r="AU350" i="23"/>
  <c r="AV350" i="23"/>
  <c r="BE350" i="23"/>
  <c r="Q350" i="23"/>
  <c r="S350" i="23"/>
  <c r="W350" i="23"/>
  <c r="AA350" i="23"/>
  <c r="I350" i="23"/>
  <c r="J350" i="23"/>
  <c r="G350" i="23"/>
  <c r="BC350" i="23"/>
  <c r="BD350" i="23"/>
  <c r="BK350" i="23"/>
  <c r="BG350" i="23"/>
  <c r="T350" i="23"/>
  <c r="AB350" i="23"/>
  <c r="K350" i="23"/>
  <c r="BL350" i="23"/>
  <c r="BH350" i="23"/>
  <c r="U350" i="23"/>
  <c r="AC350" i="23"/>
  <c r="L350" i="23"/>
  <c r="BM350" i="23"/>
  <c r="BI350" i="23"/>
  <c r="V350" i="23"/>
  <c r="AD350" i="23"/>
  <c r="M350" i="23"/>
  <c r="BN350" i="23"/>
  <c r="BJ350" i="23"/>
  <c r="AQ351" i="23"/>
  <c r="AR351" i="23"/>
  <c r="AU351" i="23"/>
  <c r="AV351" i="23"/>
  <c r="BE351" i="23"/>
  <c r="G351" i="23"/>
  <c r="BC351" i="23"/>
  <c r="BD351" i="23"/>
  <c r="Q351" i="23"/>
  <c r="S351" i="23"/>
  <c r="W351" i="23"/>
  <c r="AA351" i="23"/>
  <c r="I351" i="23"/>
  <c r="J351" i="23"/>
  <c r="BK351" i="23"/>
  <c r="BG351" i="23"/>
  <c r="T351" i="23"/>
  <c r="AB351" i="23"/>
  <c r="K351" i="23"/>
  <c r="BL351" i="23"/>
  <c r="BH351" i="23"/>
  <c r="U351" i="23"/>
  <c r="AC351" i="23"/>
  <c r="L351" i="23"/>
  <c r="BM351" i="23"/>
  <c r="BI351" i="23"/>
  <c r="V351" i="23"/>
  <c r="AD351" i="23"/>
  <c r="M351" i="23"/>
  <c r="BN351" i="23"/>
  <c r="BJ351" i="23"/>
  <c r="AQ352" i="23"/>
  <c r="AR352" i="23"/>
  <c r="AU352" i="23"/>
  <c r="AV352" i="23"/>
  <c r="BE352" i="23"/>
  <c r="Q352" i="23"/>
  <c r="S352" i="23"/>
  <c r="W352" i="23"/>
  <c r="AA352" i="23"/>
  <c r="I352" i="23"/>
  <c r="J352" i="23"/>
  <c r="G352" i="23"/>
  <c r="BC352" i="23"/>
  <c r="BD352" i="23"/>
  <c r="BK352" i="23"/>
  <c r="BG352" i="23"/>
  <c r="T352" i="23"/>
  <c r="AB352" i="23"/>
  <c r="K352" i="23"/>
  <c r="BL352" i="23"/>
  <c r="BH352" i="23"/>
  <c r="U352" i="23"/>
  <c r="AC352" i="23"/>
  <c r="L352" i="23"/>
  <c r="BM352" i="23"/>
  <c r="BI352" i="23"/>
  <c r="V352" i="23"/>
  <c r="AD352" i="23"/>
  <c r="M352" i="23"/>
  <c r="BN352" i="23"/>
  <c r="BJ352" i="23"/>
  <c r="AQ353" i="23"/>
  <c r="AR353" i="23"/>
  <c r="AU353" i="23"/>
  <c r="AV353" i="23"/>
  <c r="BE353" i="23"/>
  <c r="G353" i="23"/>
  <c r="BC353" i="23"/>
  <c r="BD353" i="23"/>
  <c r="Q353" i="23"/>
  <c r="S353" i="23"/>
  <c r="W353" i="23"/>
  <c r="AA353" i="23"/>
  <c r="I353" i="23"/>
  <c r="J353" i="23"/>
  <c r="BK353" i="23"/>
  <c r="BG353" i="23"/>
  <c r="T353" i="23"/>
  <c r="AB353" i="23"/>
  <c r="K353" i="23"/>
  <c r="BL353" i="23"/>
  <c r="BH353" i="23"/>
  <c r="U353" i="23"/>
  <c r="AC353" i="23"/>
  <c r="L353" i="23"/>
  <c r="BM353" i="23"/>
  <c r="BI353" i="23"/>
  <c r="V353" i="23"/>
  <c r="AD353" i="23"/>
  <c r="M353" i="23"/>
  <c r="BN353" i="23"/>
  <c r="BJ353" i="23"/>
  <c r="AQ354" i="23"/>
  <c r="AR354" i="23"/>
  <c r="AU354" i="23"/>
  <c r="AV354" i="23"/>
  <c r="BE354" i="23"/>
  <c r="Q354" i="23"/>
  <c r="S354" i="23"/>
  <c r="W354" i="23"/>
  <c r="AA354" i="23"/>
  <c r="I354" i="23"/>
  <c r="J354" i="23"/>
  <c r="G354" i="23"/>
  <c r="BC354" i="23"/>
  <c r="BD354" i="23"/>
  <c r="BK354" i="23"/>
  <c r="BG354" i="23"/>
  <c r="T354" i="23"/>
  <c r="AB354" i="23"/>
  <c r="K354" i="23"/>
  <c r="BL354" i="23"/>
  <c r="BH354" i="23"/>
  <c r="U354" i="23"/>
  <c r="AC354" i="23"/>
  <c r="L354" i="23"/>
  <c r="BM354" i="23"/>
  <c r="BI354" i="23"/>
  <c r="V354" i="23"/>
  <c r="AD354" i="23"/>
  <c r="M354" i="23"/>
  <c r="BN354" i="23"/>
  <c r="BJ354" i="23"/>
  <c r="AQ355" i="23"/>
  <c r="AR355" i="23"/>
  <c r="AU355" i="23"/>
  <c r="AV355" i="23"/>
  <c r="BE355" i="23"/>
  <c r="G355" i="23"/>
  <c r="BC355" i="23"/>
  <c r="BD355" i="23"/>
  <c r="Q355" i="23"/>
  <c r="S355" i="23"/>
  <c r="W355" i="23"/>
  <c r="AA355" i="23"/>
  <c r="I355" i="23"/>
  <c r="J355" i="23"/>
  <c r="BK355" i="23"/>
  <c r="BG355" i="23"/>
  <c r="T355" i="23"/>
  <c r="AB355" i="23"/>
  <c r="K355" i="23"/>
  <c r="BL355" i="23"/>
  <c r="BH355" i="23"/>
  <c r="U355" i="23"/>
  <c r="AC355" i="23"/>
  <c r="L355" i="23"/>
  <c r="BM355" i="23"/>
  <c r="BI355" i="23"/>
  <c r="V355" i="23"/>
  <c r="AD355" i="23"/>
  <c r="M355" i="23"/>
  <c r="BN355" i="23"/>
  <c r="BJ355" i="23"/>
  <c r="AQ356" i="23"/>
  <c r="AR356" i="23"/>
  <c r="AU356" i="23"/>
  <c r="AV356" i="23"/>
  <c r="BE356" i="23"/>
  <c r="Q356" i="23"/>
  <c r="S356" i="23"/>
  <c r="W356" i="23"/>
  <c r="AA356" i="23"/>
  <c r="I356" i="23"/>
  <c r="J356" i="23"/>
  <c r="G356" i="23"/>
  <c r="BC356" i="23"/>
  <c r="BD356" i="23"/>
  <c r="BK356" i="23"/>
  <c r="BG356" i="23"/>
  <c r="T356" i="23"/>
  <c r="AB356" i="23"/>
  <c r="K356" i="23"/>
  <c r="BL356" i="23"/>
  <c r="BH356" i="23"/>
  <c r="U356" i="23"/>
  <c r="AC356" i="23"/>
  <c r="L356" i="23"/>
  <c r="BM356" i="23"/>
  <c r="BI356" i="23"/>
  <c r="V356" i="23"/>
  <c r="AD356" i="23"/>
  <c r="M356" i="23"/>
  <c r="BN356" i="23"/>
  <c r="BJ356" i="23"/>
  <c r="AQ357" i="23"/>
  <c r="AR357" i="23"/>
  <c r="AU357" i="23"/>
  <c r="AV357" i="23"/>
  <c r="BE357" i="23"/>
  <c r="G357" i="23"/>
  <c r="BC357" i="23"/>
  <c r="BD357" i="23"/>
  <c r="Q357" i="23"/>
  <c r="S357" i="23"/>
  <c r="W357" i="23"/>
  <c r="AA357" i="23"/>
  <c r="I357" i="23"/>
  <c r="J357" i="23"/>
  <c r="BK357" i="23"/>
  <c r="BG357" i="23"/>
  <c r="T357" i="23"/>
  <c r="AB357" i="23"/>
  <c r="K357" i="23"/>
  <c r="BL357" i="23"/>
  <c r="BH357" i="23"/>
  <c r="U357" i="23"/>
  <c r="AC357" i="23"/>
  <c r="L357" i="23"/>
  <c r="BM357" i="23"/>
  <c r="BI357" i="23"/>
  <c r="V357" i="23"/>
  <c r="AD357" i="23"/>
  <c r="M357" i="23"/>
  <c r="BN357" i="23"/>
  <c r="BJ357" i="23"/>
  <c r="AQ358" i="23"/>
  <c r="AR358" i="23"/>
  <c r="AU358" i="23"/>
  <c r="AV358" i="23"/>
  <c r="BE358" i="23"/>
  <c r="G358" i="23"/>
  <c r="BC358" i="23"/>
  <c r="BD358" i="23"/>
  <c r="Q358" i="23"/>
  <c r="S358" i="23"/>
  <c r="W358" i="23"/>
  <c r="AA358" i="23"/>
  <c r="I358" i="23"/>
  <c r="J358" i="23"/>
  <c r="BK358" i="23"/>
  <c r="BG358" i="23"/>
  <c r="T358" i="23"/>
  <c r="AB358" i="23"/>
  <c r="K358" i="23"/>
  <c r="BL358" i="23"/>
  <c r="BH358" i="23"/>
  <c r="U358" i="23"/>
  <c r="AC358" i="23"/>
  <c r="L358" i="23"/>
  <c r="BM358" i="23"/>
  <c r="BI358" i="23"/>
  <c r="V358" i="23"/>
  <c r="AD358" i="23"/>
  <c r="M358" i="23"/>
  <c r="BN358" i="23"/>
  <c r="BJ358" i="23"/>
  <c r="AQ359" i="23"/>
  <c r="AR359" i="23"/>
  <c r="AU359" i="23"/>
  <c r="AV359" i="23"/>
  <c r="BE359" i="23"/>
  <c r="G359" i="23"/>
  <c r="BC359" i="23"/>
  <c r="BD359" i="23"/>
  <c r="Q359" i="23"/>
  <c r="S359" i="23"/>
  <c r="W359" i="23"/>
  <c r="AA359" i="23"/>
  <c r="I359" i="23"/>
  <c r="J359" i="23"/>
  <c r="BK359" i="23"/>
  <c r="BG359" i="23"/>
  <c r="T359" i="23"/>
  <c r="AB359" i="23"/>
  <c r="K359" i="23"/>
  <c r="BL359" i="23"/>
  <c r="BH359" i="23"/>
  <c r="U359" i="23"/>
  <c r="AC359" i="23"/>
  <c r="L359" i="23"/>
  <c r="BM359" i="23"/>
  <c r="BI359" i="23"/>
  <c r="V359" i="23"/>
  <c r="AD359" i="23"/>
  <c r="M359" i="23"/>
  <c r="BN359" i="23"/>
  <c r="BJ359" i="23"/>
  <c r="AQ360" i="23"/>
  <c r="AR360" i="23"/>
  <c r="AU360" i="23"/>
  <c r="AV360" i="23"/>
  <c r="BE360" i="23"/>
  <c r="G360" i="23"/>
  <c r="BC360" i="23"/>
  <c r="BD360" i="23"/>
  <c r="Q360" i="23"/>
  <c r="S360" i="23"/>
  <c r="W360" i="23"/>
  <c r="AA360" i="23"/>
  <c r="I360" i="23"/>
  <c r="J360" i="23"/>
  <c r="BK360" i="23"/>
  <c r="BG360" i="23"/>
  <c r="T360" i="23"/>
  <c r="AB360" i="23"/>
  <c r="K360" i="23"/>
  <c r="BL360" i="23"/>
  <c r="BH360" i="23"/>
  <c r="U360" i="23"/>
  <c r="AC360" i="23"/>
  <c r="L360" i="23"/>
  <c r="BM360" i="23"/>
  <c r="BI360" i="23"/>
  <c r="V360" i="23"/>
  <c r="AD360" i="23"/>
  <c r="M360" i="23"/>
  <c r="BN360" i="23"/>
  <c r="BJ360" i="23"/>
  <c r="AQ361" i="23"/>
  <c r="AR361" i="23"/>
  <c r="AU361" i="23"/>
  <c r="AV361" i="23"/>
  <c r="BE361" i="23"/>
  <c r="BC361" i="23"/>
  <c r="BD361" i="23"/>
  <c r="Q361" i="23"/>
  <c r="S361" i="23"/>
  <c r="W361" i="23"/>
  <c r="AA361" i="23"/>
  <c r="I361" i="23"/>
  <c r="J361" i="23"/>
  <c r="BK361" i="23"/>
  <c r="BG361" i="23"/>
  <c r="T361" i="23"/>
  <c r="AB361" i="23"/>
  <c r="K361" i="23"/>
  <c r="BL361" i="23"/>
  <c r="BH361" i="23"/>
  <c r="U361" i="23"/>
  <c r="AC361" i="23"/>
  <c r="L361" i="23"/>
  <c r="BM361" i="23"/>
  <c r="BI361" i="23"/>
  <c r="V361" i="23"/>
  <c r="AD361" i="23"/>
  <c r="M361" i="23"/>
  <c r="BN361" i="23"/>
  <c r="BJ361" i="23"/>
  <c r="AQ362" i="23"/>
  <c r="AR362" i="23"/>
  <c r="AU362" i="23"/>
  <c r="AV362" i="23"/>
  <c r="BE362" i="23"/>
  <c r="Q362" i="23"/>
  <c r="S362" i="23"/>
  <c r="W362" i="23"/>
  <c r="AA362" i="23"/>
  <c r="I362" i="23"/>
  <c r="J362" i="23"/>
  <c r="BC362" i="23"/>
  <c r="BD362" i="23"/>
  <c r="BK362" i="23"/>
  <c r="BG362" i="23"/>
  <c r="T362" i="23"/>
  <c r="AB362" i="23"/>
  <c r="K362" i="23"/>
  <c r="BL362" i="23"/>
  <c r="BH362" i="23"/>
  <c r="U362" i="23"/>
  <c r="AC362" i="23"/>
  <c r="L362" i="23"/>
  <c r="BM362" i="23"/>
  <c r="BI362" i="23"/>
  <c r="V362" i="23"/>
  <c r="AD362" i="23"/>
  <c r="M362" i="23"/>
  <c r="BN362" i="23"/>
  <c r="BJ362" i="23"/>
  <c r="AQ363" i="23"/>
  <c r="AR363" i="23"/>
  <c r="AU363" i="23"/>
  <c r="AV363" i="23"/>
  <c r="BE363" i="23"/>
  <c r="BC363" i="23"/>
  <c r="BD363" i="23"/>
  <c r="Q363" i="23"/>
  <c r="S363" i="23"/>
  <c r="W363" i="23"/>
  <c r="AA363" i="23"/>
  <c r="I363" i="23"/>
  <c r="J363" i="23"/>
  <c r="BK363" i="23"/>
  <c r="BG363" i="23"/>
  <c r="T363" i="23"/>
  <c r="AB363" i="23"/>
  <c r="K363" i="23"/>
  <c r="BL363" i="23"/>
  <c r="BH363" i="23"/>
  <c r="U363" i="23"/>
  <c r="AC363" i="23"/>
  <c r="L363" i="23"/>
  <c r="BM363" i="23"/>
  <c r="BI363" i="23"/>
  <c r="V363" i="23"/>
  <c r="AD363" i="23"/>
  <c r="M363" i="23"/>
  <c r="BN363" i="23"/>
  <c r="BJ363" i="23"/>
  <c r="AQ364" i="23"/>
  <c r="AR364" i="23"/>
  <c r="AU364" i="23"/>
  <c r="AV364" i="23"/>
  <c r="BE364" i="23"/>
  <c r="Q364" i="23"/>
  <c r="S364" i="23"/>
  <c r="W364" i="23"/>
  <c r="AA364" i="23"/>
  <c r="I364" i="23"/>
  <c r="J364" i="23"/>
  <c r="BC364" i="23"/>
  <c r="BD364" i="23"/>
  <c r="BK364" i="23"/>
  <c r="BG364" i="23"/>
  <c r="T364" i="23"/>
  <c r="AB364" i="23"/>
  <c r="K364" i="23"/>
  <c r="BL364" i="23"/>
  <c r="BH364" i="23"/>
  <c r="U364" i="23"/>
  <c r="AC364" i="23"/>
  <c r="L364" i="23"/>
  <c r="BM364" i="23"/>
  <c r="BI364" i="23"/>
  <c r="V364" i="23"/>
  <c r="AD364" i="23"/>
  <c r="M364" i="23"/>
  <c r="BN364" i="23"/>
  <c r="BJ364" i="23"/>
  <c r="AQ365" i="23"/>
  <c r="AR365" i="23"/>
  <c r="AU365" i="23"/>
  <c r="AV365" i="23"/>
  <c r="BE365" i="23"/>
  <c r="BC365" i="23"/>
  <c r="BD365" i="23"/>
  <c r="Q365" i="23"/>
  <c r="S365" i="23"/>
  <c r="W365" i="23"/>
  <c r="AA365" i="23"/>
  <c r="I365" i="23"/>
  <c r="J365" i="23"/>
  <c r="BK365" i="23"/>
  <c r="BG365" i="23"/>
  <c r="T365" i="23"/>
  <c r="AB365" i="23"/>
  <c r="K365" i="23"/>
  <c r="BL365" i="23"/>
  <c r="BH365" i="23"/>
  <c r="U365" i="23"/>
  <c r="AC365" i="23"/>
  <c r="L365" i="23"/>
  <c r="BM365" i="23"/>
  <c r="BI365" i="23"/>
  <c r="V365" i="23"/>
  <c r="AD365" i="23"/>
  <c r="M365" i="23"/>
  <c r="BN365" i="23"/>
  <c r="BJ365" i="23"/>
  <c r="AQ366" i="23"/>
  <c r="AR366" i="23"/>
  <c r="AU366" i="23"/>
  <c r="AV366" i="23"/>
  <c r="BE366" i="23"/>
  <c r="Q366" i="23"/>
  <c r="S366" i="23"/>
  <c r="W366" i="23"/>
  <c r="AA366" i="23"/>
  <c r="I366" i="23"/>
  <c r="J366" i="23"/>
  <c r="BC366" i="23"/>
  <c r="BD366" i="23"/>
  <c r="BK366" i="23"/>
  <c r="BG366" i="23"/>
  <c r="T366" i="23"/>
  <c r="AB366" i="23"/>
  <c r="K366" i="23"/>
  <c r="BL366" i="23"/>
  <c r="BH366" i="23"/>
  <c r="U366" i="23"/>
  <c r="AC366" i="23"/>
  <c r="L366" i="23"/>
  <c r="BM366" i="23"/>
  <c r="BI366" i="23"/>
  <c r="V366" i="23"/>
  <c r="AD366" i="23"/>
  <c r="M366" i="23"/>
  <c r="BN366" i="23"/>
  <c r="BJ366" i="23"/>
  <c r="AQ367" i="23"/>
  <c r="AR367" i="23"/>
  <c r="AU367" i="23"/>
  <c r="AV367" i="23"/>
  <c r="BE367" i="23"/>
  <c r="BC367" i="23"/>
  <c r="BD367" i="23"/>
  <c r="Q367" i="23"/>
  <c r="S367" i="23"/>
  <c r="W367" i="23"/>
  <c r="AA367" i="23"/>
  <c r="I367" i="23"/>
  <c r="J367" i="23"/>
  <c r="BK367" i="23"/>
  <c r="BG367" i="23"/>
  <c r="T367" i="23"/>
  <c r="AB367" i="23"/>
  <c r="K367" i="23"/>
  <c r="BL367" i="23"/>
  <c r="BH367" i="23"/>
  <c r="U367" i="23"/>
  <c r="AC367" i="23"/>
  <c r="L367" i="23"/>
  <c r="BM367" i="23"/>
  <c r="BI367" i="23"/>
  <c r="V367" i="23"/>
  <c r="AD367" i="23"/>
  <c r="M367" i="23"/>
  <c r="BN367" i="23"/>
  <c r="BJ367" i="23"/>
  <c r="AQ368" i="23"/>
  <c r="AR368" i="23"/>
  <c r="AU368" i="23"/>
  <c r="AV368" i="23"/>
  <c r="BE368" i="23"/>
  <c r="Q368" i="23"/>
  <c r="S368" i="23"/>
  <c r="W368" i="23"/>
  <c r="AA368" i="23"/>
  <c r="I368" i="23"/>
  <c r="J368" i="23"/>
  <c r="BC368" i="23"/>
  <c r="BD368" i="23"/>
  <c r="BK368" i="23"/>
  <c r="BG368" i="23"/>
  <c r="T368" i="23"/>
  <c r="AB368" i="23"/>
  <c r="K368" i="23"/>
  <c r="BL368" i="23"/>
  <c r="BH368" i="23"/>
  <c r="U368" i="23"/>
  <c r="AC368" i="23"/>
  <c r="L368" i="23"/>
  <c r="BM368" i="23"/>
  <c r="BI368" i="23"/>
  <c r="V368" i="23"/>
  <c r="AD368" i="23"/>
  <c r="M368" i="23"/>
  <c r="BN368" i="23"/>
  <c r="BJ368" i="23"/>
  <c r="AQ369" i="23"/>
  <c r="AR369" i="23"/>
  <c r="AU369" i="23"/>
  <c r="AV369" i="23"/>
  <c r="BE369" i="23"/>
  <c r="BC369" i="23"/>
  <c r="BD369" i="23"/>
  <c r="Q369" i="23"/>
  <c r="S369" i="23"/>
  <c r="W369" i="23"/>
  <c r="AA369" i="23"/>
  <c r="I369" i="23"/>
  <c r="J369" i="23"/>
  <c r="BK369" i="23"/>
  <c r="BG369" i="23"/>
  <c r="T369" i="23"/>
  <c r="AB369" i="23"/>
  <c r="K369" i="23"/>
  <c r="BL369" i="23"/>
  <c r="BH369" i="23"/>
  <c r="U369" i="23"/>
  <c r="AC369" i="23"/>
  <c r="L369" i="23"/>
  <c r="BM369" i="23"/>
  <c r="BI369" i="23"/>
  <c r="V369" i="23"/>
  <c r="AD369" i="23"/>
  <c r="M369" i="23"/>
  <c r="BN369" i="23"/>
  <c r="BJ369" i="23"/>
  <c r="AQ370" i="23"/>
  <c r="AR370" i="23"/>
  <c r="AU370" i="23"/>
  <c r="AV370" i="23"/>
  <c r="BE370" i="23"/>
  <c r="Q370" i="23"/>
  <c r="S370" i="23"/>
  <c r="W370" i="23"/>
  <c r="AA370" i="23"/>
  <c r="I370" i="23"/>
  <c r="J370" i="23"/>
  <c r="BC370" i="23"/>
  <c r="BD370" i="23"/>
  <c r="BK370" i="23"/>
  <c r="BG370" i="23"/>
  <c r="T370" i="23"/>
  <c r="AB370" i="23"/>
  <c r="K370" i="23"/>
  <c r="BL370" i="23"/>
  <c r="BH370" i="23"/>
  <c r="U370" i="23"/>
  <c r="AC370" i="23"/>
  <c r="L370" i="23"/>
  <c r="BM370" i="23"/>
  <c r="BI370" i="23"/>
  <c r="V370" i="23"/>
  <c r="AD370" i="23"/>
  <c r="M370" i="23"/>
  <c r="BN370" i="23"/>
  <c r="BJ370" i="23"/>
  <c r="AQ371" i="23"/>
  <c r="AR371" i="23"/>
  <c r="AU371" i="23"/>
  <c r="AV371" i="23"/>
  <c r="BE371" i="23"/>
  <c r="G371" i="23"/>
  <c r="BC371" i="23"/>
  <c r="BD371" i="23"/>
  <c r="Q371" i="23"/>
  <c r="S371" i="23"/>
  <c r="W371" i="23"/>
  <c r="AA371" i="23"/>
  <c r="I371" i="23"/>
  <c r="J371" i="23"/>
  <c r="BK371" i="23"/>
  <c r="BG371" i="23"/>
  <c r="T371" i="23"/>
  <c r="AB371" i="23"/>
  <c r="K371" i="23"/>
  <c r="BL371" i="23"/>
  <c r="BH371" i="23"/>
  <c r="U371" i="23"/>
  <c r="AC371" i="23"/>
  <c r="L371" i="23"/>
  <c r="BM371" i="23"/>
  <c r="BI371" i="23"/>
  <c r="V371" i="23"/>
  <c r="AD371" i="23"/>
  <c r="M371" i="23"/>
  <c r="BN371" i="23"/>
  <c r="BJ371" i="23"/>
  <c r="AQ372" i="23"/>
  <c r="AR372" i="23"/>
  <c r="AU372" i="23"/>
  <c r="AV372" i="23"/>
  <c r="BE372" i="23"/>
  <c r="Q372" i="23"/>
  <c r="S372" i="23"/>
  <c r="W372" i="23"/>
  <c r="AA372" i="23"/>
  <c r="I372" i="23"/>
  <c r="J372" i="23"/>
  <c r="G372" i="23"/>
  <c r="BC372" i="23"/>
  <c r="BD372" i="23"/>
  <c r="BK372" i="23"/>
  <c r="BG372" i="23"/>
  <c r="T372" i="23"/>
  <c r="AB372" i="23"/>
  <c r="K372" i="23"/>
  <c r="BL372" i="23"/>
  <c r="BH372" i="23"/>
  <c r="U372" i="23"/>
  <c r="AC372" i="23"/>
  <c r="L372" i="23"/>
  <c r="BM372" i="23"/>
  <c r="BI372" i="23"/>
  <c r="V372" i="23"/>
  <c r="AD372" i="23"/>
  <c r="M372" i="23"/>
  <c r="BN372" i="23"/>
  <c r="BJ372" i="23"/>
  <c r="AQ373" i="23"/>
  <c r="AR373" i="23"/>
  <c r="AU373" i="23"/>
  <c r="AV373" i="23"/>
  <c r="BE373" i="23"/>
  <c r="G373" i="23"/>
  <c r="BC373" i="23"/>
  <c r="BD373" i="23"/>
  <c r="Q373" i="23"/>
  <c r="S373" i="23"/>
  <c r="W373" i="23"/>
  <c r="AA373" i="23"/>
  <c r="I373" i="23"/>
  <c r="J373" i="23"/>
  <c r="BK373" i="23"/>
  <c r="BG373" i="23"/>
  <c r="T373" i="23"/>
  <c r="AB373" i="23"/>
  <c r="K373" i="23"/>
  <c r="BL373" i="23"/>
  <c r="BH373" i="23"/>
  <c r="U373" i="23"/>
  <c r="AC373" i="23"/>
  <c r="L373" i="23"/>
  <c r="BM373" i="23"/>
  <c r="BI373" i="23"/>
  <c r="V373" i="23"/>
  <c r="AD373" i="23"/>
  <c r="M373" i="23"/>
  <c r="BN373" i="23"/>
  <c r="BJ373" i="23"/>
  <c r="AQ374" i="23"/>
  <c r="AR374" i="23"/>
  <c r="AU374" i="23"/>
  <c r="AV374" i="23"/>
  <c r="BE374" i="23"/>
  <c r="Q374" i="23"/>
  <c r="S374" i="23"/>
  <c r="W374" i="23"/>
  <c r="AA374" i="23"/>
  <c r="I374" i="23"/>
  <c r="J374" i="23"/>
  <c r="G374" i="23"/>
  <c r="BC374" i="23"/>
  <c r="BD374" i="23"/>
  <c r="BK374" i="23"/>
  <c r="BG374" i="23"/>
  <c r="T374" i="23"/>
  <c r="AB374" i="23"/>
  <c r="K374" i="23"/>
  <c r="BL374" i="23"/>
  <c r="BH374" i="23"/>
  <c r="U374" i="23"/>
  <c r="AC374" i="23"/>
  <c r="L374" i="23"/>
  <c r="BM374" i="23"/>
  <c r="BI374" i="23"/>
  <c r="V374" i="23"/>
  <c r="AD374" i="23"/>
  <c r="M374" i="23"/>
  <c r="BN374" i="23"/>
  <c r="BJ374" i="23"/>
  <c r="AQ375" i="23"/>
  <c r="AR375" i="23"/>
  <c r="AU375" i="23"/>
  <c r="AV375" i="23"/>
  <c r="BE375" i="23"/>
  <c r="BC375" i="23"/>
  <c r="BD375" i="23"/>
  <c r="Q375" i="23"/>
  <c r="S375" i="23"/>
  <c r="W375" i="23"/>
  <c r="AA375" i="23"/>
  <c r="I375" i="23"/>
  <c r="J375" i="23"/>
  <c r="BK375" i="23"/>
  <c r="BG375" i="23"/>
  <c r="T375" i="23"/>
  <c r="AB375" i="23"/>
  <c r="K375" i="23"/>
  <c r="BL375" i="23"/>
  <c r="BH375" i="23"/>
  <c r="U375" i="23"/>
  <c r="AC375" i="23"/>
  <c r="L375" i="23"/>
  <c r="BM375" i="23"/>
  <c r="BI375" i="23"/>
  <c r="V375" i="23"/>
  <c r="AD375" i="23"/>
  <c r="M375" i="23"/>
  <c r="BN375" i="23"/>
  <c r="BJ375" i="23"/>
  <c r="AQ376" i="23"/>
  <c r="AR376" i="23"/>
  <c r="AU376" i="23"/>
  <c r="AV376" i="23"/>
  <c r="BE376" i="23"/>
  <c r="Q376" i="23"/>
  <c r="S376" i="23"/>
  <c r="W376" i="23"/>
  <c r="AA376" i="23"/>
  <c r="I376" i="23"/>
  <c r="J376" i="23"/>
  <c r="G376" i="23"/>
  <c r="BC376" i="23"/>
  <c r="BD376" i="23"/>
  <c r="BK376" i="23"/>
  <c r="BG376" i="23"/>
  <c r="T376" i="23"/>
  <c r="AB376" i="23"/>
  <c r="K376" i="23"/>
  <c r="BL376" i="23"/>
  <c r="BH376" i="23"/>
  <c r="U376" i="23"/>
  <c r="AC376" i="23"/>
  <c r="L376" i="23"/>
  <c r="BM376" i="23"/>
  <c r="BI376" i="23"/>
  <c r="V376" i="23"/>
  <c r="AD376" i="23"/>
  <c r="M376" i="23"/>
  <c r="BN376" i="23"/>
  <c r="BJ376" i="23"/>
  <c r="AQ377" i="23"/>
  <c r="AR377" i="23"/>
  <c r="AU377" i="23"/>
  <c r="AV377" i="23"/>
  <c r="BE377" i="23"/>
  <c r="BC377" i="23"/>
  <c r="BD377" i="23"/>
  <c r="Q377" i="23"/>
  <c r="S377" i="23"/>
  <c r="W377" i="23"/>
  <c r="AA377" i="23"/>
  <c r="I377" i="23"/>
  <c r="J377" i="23"/>
  <c r="BK377" i="23"/>
  <c r="BG377" i="23"/>
  <c r="T377" i="23"/>
  <c r="AB377" i="23"/>
  <c r="K377" i="23"/>
  <c r="BL377" i="23"/>
  <c r="BH377" i="23"/>
  <c r="U377" i="23"/>
  <c r="AC377" i="23"/>
  <c r="L377" i="23"/>
  <c r="BM377" i="23"/>
  <c r="BI377" i="23"/>
  <c r="V377" i="23"/>
  <c r="AD377" i="23"/>
  <c r="M377" i="23"/>
  <c r="BN377" i="23"/>
  <c r="BJ377" i="23"/>
  <c r="AQ378" i="23"/>
  <c r="AR378" i="23"/>
  <c r="AU378" i="23"/>
  <c r="AV378" i="23"/>
  <c r="BE378" i="23"/>
  <c r="Q378" i="23"/>
  <c r="S378" i="23"/>
  <c r="W378" i="23"/>
  <c r="AA378" i="23"/>
  <c r="I378" i="23"/>
  <c r="J378" i="23"/>
  <c r="G378" i="23"/>
  <c r="BC378" i="23"/>
  <c r="BD378" i="23"/>
  <c r="BK378" i="23"/>
  <c r="BG378" i="23"/>
  <c r="T378" i="23"/>
  <c r="AB378" i="23"/>
  <c r="K378" i="23"/>
  <c r="BL378" i="23"/>
  <c r="BH378" i="23"/>
  <c r="U378" i="23"/>
  <c r="AC378" i="23"/>
  <c r="L378" i="23"/>
  <c r="BM378" i="23"/>
  <c r="BI378" i="23"/>
  <c r="V378" i="23"/>
  <c r="AD378" i="23"/>
  <c r="M378" i="23"/>
  <c r="BN378" i="23"/>
  <c r="BJ378" i="23"/>
  <c r="AQ379" i="23"/>
  <c r="AR379" i="23"/>
  <c r="AU379" i="23"/>
  <c r="AV379" i="23"/>
  <c r="BE379" i="23"/>
  <c r="BC379" i="23"/>
  <c r="BD379" i="23"/>
  <c r="Q379" i="23"/>
  <c r="S379" i="23"/>
  <c r="W379" i="23"/>
  <c r="AA379" i="23"/>
  <c r="I379" i="23"/>
  <c r="J379" i="23"/>
  <c r="BK379" i="23"/>
  <c r="BG379" i="23"/>
  <c r="T379" i="23"/>
  <c r="AB379" i="23"/>
  <c r="K379" i="23"/>
  <c r="BL379" i="23"/>
  <c r="BH379" i="23"/>
  <c r="U379" i="23"/>
  <c r="AC379" i="23"/>
  <c r="L379" i="23"/>
  <c r="BM379" i="23"/>
  <c r="BI379" i="23"/>
  <c r="V379" i="23"/>
  <c r="AD379" i="23"/>
  <c r="M379" i="23"/>
  <c r="BN379" i="23"/>
  <c r="BJ379" i="23"/>
  <c r="AQ380" i="23"/>
  <c r="AR380" i="23"/>
  <c r="AU380" i="23"/>
  <c r="AV380" i="23"/>
  <c r="BE380" i="23"/>
  <c r="Q380" i="23"/>
  <c r="S380" i="23"/>
  <c r="W380" i="23"/>
  <c r="AA380" i="23"/>
  <c r="I380" i="23"/>
  <c r="J380" i="23"/>
  <c r="G380" i="23"/>
  <c r="BC380" i="23"/>
  <c r="BD380" i="23"/>
  <c r="BK380" i="23"/>
  <c r="BG380" i="23"/>
  <c r="T380" i="23"/>
  <c r="AB380" i="23"/>
  <c r="K380" i="23"/>
  <c r="BL380" i="23"/>
  <c r="BH380" i="23"/>
  <c r="U380" i="23"/>
  <c r="AC380" i="23"/>
  <c r="L380" i="23"/>
  <c r="BM380" i="23"/>
  <c r="BI380" i="23"/>
  <c r="V380" i="23"/>
  <c r="AD380" i="23"/>
  <c r="M380" i="23"/>
  <c r="BN380" i="23"/>
  <c r="BJ380" i="23"/>
  <c r="AQ381" i="23"/>
  <c r="AR381" i="23"/>
  <c r="AU381" i="23"/>
  <c r="AV381" i="23"/>
  <c r="BE381" i="23"/>
  <c r="BC381" i="23"/>
  <c r="BD381" i="23"/>
  <c r="Q381" i="23"/>
  <c r="S381" i="23"/>
  <c r="W381" i="23"/>
  <c r="AA381" i="23"/>
  <c r="I381" i="23"/>
  <c r="J381" i="23"/>
  <c r="BK381" i="23"/>
  <c r="BG381" i="23"/>
  <c r="T381" i="23"/>
  <c r="AB381" i="23"/>
  <c r="K381" i="23"/>
  <c r="BL381" i="23"/>
  <c r="BH381" i="23"/>
  <c r="U381" i="23"/>
  <c r="AC381" i="23"/>
  <c r="L381" i="23"/>
  <c r="BM381" i="23"/>
  <c r="BI381" i="23"/>
  <c r="V381" i="23"/>
  <c r="AD381" i="23"/>
  <c r="M381" i="23"/>
  <c r="BN381" i="23"/>
  <c r="BJ381" i="23"/>
  <c r="AQ382" i="23"/>
  <c r="AR382" i="23"/>
  <c r="AU382" i="23"/>
  <c r="AV382" i="23"/>
  <c r="BE382" i="23"/>
  <c r="Q382" i="23"/>
  <c r="S382" i="23"/>
  <c r="W382" i="23"/>
  <c r="AA382" i="23"/>
  <c r="I382" i="23"/>
  <c r="J382" i="23"/>
  <c r="G382" i="23"/>
  <c r="BC382" i="23"/>
  <c r="BD382" i="23"/>
  <c r="BK382" i="23"/>
  <c r="BG382" i="23"/>
  <c r="T382" i="23"/>
  <c r="AB382" i="23"/>
  <c r="K382" i="23"/>
  <c r="BL382" i="23"/>
  <c r="BH382" i="23"/>
  <c r="U382" i="23"/>
  <c r="AC382" i="23"/>
  <c r="L382" i="23"/>
  <c r="BM382" i="23"/>
  <c r="BI382" i="23"/>
  <c r="V382" i="23"/>
  <c r="AD382" i="23"/>
  <c r="M382" i="23"/>
  <c r="BN382" i="23"/>
  <c r="BJ382" i="23"/>
  <c r="AQ383" i="23"/>
  <c r="AR383" i="23"/>
  <c r="AU383" i="23"/>
  <c r="AV383" i="23"/>
  <c r="BE383" i="23"/>
  <c r="Q383" i="23"/>
  <c r="S383" i="23"/>
  <c r="W383" i="23"/>
  <c r="AA383" i="23"/>
  <c r="I383" i="23"/>
  <c r="J383" i="23"/>
  <c r="BC383" i="23"/>
  <c r="BD383" i="23"/>
  <c r="BK383" i="23"/>
  <c r="BG383" i="23"/>
  <c r="T383" i="23"/>
  <c r="AB383" i="23"/>
  <c r="K383" i="23"/>
  <c r="BL383" i="23"/>
  <c r="BH383" i="23"/>
  <c r="U383" i="23"/>
  <c r="AC383" i="23"/>
  <c r="L383" i="23"/>
  <c r="BM383" i="23"/>
  <c r="BI383" i="23"/>
  <c r="V383" i="23"/>
  <c r="AD383" i="23"/>
  <c r="M383" i="23"/>
  <c r="BN383" i="23"/>
  <c r="BJ383" i="23"/>
  <c r="AQ384" i="23"/>
  <c r="AR384" i="23"/>
  <c r="AU384" i="23"/>
  <c r="AV384" i="23"/>
  <c r="BE384" i="23"/>
  <c r="BC384" i="23"/>
  <c r="BD384" i="23"/>
  <c r="Q384" i="23"/>
  <c r="S384" i="23"/>
  <c r="W384" i="23"/>
  <c r="AA384" i="23"/>
  <c r="I384" i="23"/>
  <c r="J384" i="23"/>
  <c r="BK384" i="23"/>
  <c r="BG384" i="23"/>
  <c r="T384" i="23"/>
  <c r="AB384" i="23"/>
  <c r="K384" i="23"/>
  <c r="BL384" i="23"/>
  <c r="BH384" i="23"/>
  <c r="U384" i="23"/>
  <c r="AC384" i="23"/>
  <c r="L384" i="23"/>
  <c r="BM384" i="23"/>
  <c r="BI384" i="23"/>
  <c r="V384" i="23"/>
  <c r="AD384" i="23"/>
  <c r="M384" i="23"/>
  <c r="BN384" i="23"/>
  <c r="BJ384" i="23"/>
  <c r="AQ385" i="23"/>
  <c r="AR385" i="23"/>
  <c r="AU385" i="23"/>
  <c r="AV385" i="23"/>
  <c r="BE385" i="23"/>
  <c r="Q385" i="23"/>
  <c r="S385" i="23"/>
  <c r="W385" i="23"/>
  <c r="AA385" i="23"/>
  <c r="I385" i="23"/>
  <c r="J385" i="23"/>
  <c r="BC385" i="23"/>
  <c r="BD385" i="23"/>
  <c r="BK385" i="23"/>
  <c r="BG385" i="23"/>
  <c r="T385" i="23"/>
  <c r="AB385" i="23"/>
  <c r="K385" i="23"/>
  <c r="BL385" i="23"/>
  <c r="BH385" i="23"/>
  <c r="U385" i="23"/>
  <c r="AC385" i="23"/>
  <c r="L385" i="23"/>
  <c r="BM385" i="23"/>
  <c r="BI385" i="23"/>
  <c r="V385" i="23"/>
  <c r="AD385" i="23"/>
  <c r="M385" i="23"/>
  <c r="BN385" i="23"/>
  <c r="BJ385" i="23"/>
  <c r="AQ386" i="23"/>
  <c r="AR386" i="23"/>
  <c r="AU386" i="23"/>
  <c r="AV386" i="23"/>
  <c r="BE386" i="23"/>
  <c r="BC386" i="23"/>
  <c r="BD386" i="23"/>
  <c r="Q386" i="23"/>
  <c r="S386" i="23"/>
  <c r="W386" i="23"/>
  <c r="AA386" i="23"/>
  <c r="I386" i="23"/>
  <c r="J386" i="23"/>
  <c r="BK386" i="23"/>
  <c r="BG386" i="23"/>
  <c r="T386" i="23"/>
  <c r="AB386" i="23"/>
  <c r="K386" i="23"/>
  <c r="BL386" i="23"/>
  <c r="BH386" i="23"/>
  <c r="U386" i="23"/>
  <c r="AC386" i="23"/>
  <c r="L386" i="23"/>
  <c r="BM386" i="23"/>
  <c r="BI386" i="23"/>
  <c r="V386" i="23"/>
  <c r="AD386" i="23"/>
  <c r="M386" i="23"/>
  <c r="BN386" i="23"/>
  <c r="BJ386" i="23"/>
  <c r="AQ387" i="23"/>
  <c r="AR387" i="23"/>
  <c r="AU387" i="23"/>
  <c r="AV387" i="23"/>
  <c r="BE387" i="23"/>
  <c r="Q387" i="23"/>
  <c r="S387" i="23"/>
  <c r="W387" i="23"/>
  <c r="AA387" i="23"/>
  <c r="I387" i="23"/>
  <c r="J387" i="23"/>
  <c r="BC387" i="23"/>
  <c r="BD387" i="23"/>
  <c r="BK387" i="23"/>
  <c r="BG387" i="23"/>
  <c r="T387" i="23"/>
  <c r="AB387" i="23"/>
  <c r="K387" i="23"/>
  <c r="BL387" i="23"/>
  <c r="BH387" i="23"/>
  <c r="U387" i="23"/>
  <c r="AC387" i="23"/>
  <c r="L387" i="23"/>
  <c r="BM387" i="23"/>
  <c r="BI387" i="23"/>
  <c r="V387" i="23"/>
  <c r="AD387" i="23"/>
  <c r="M387" i="23"/>
  <c r="BN387" i="23"/>
  <c r="BJ387" i="23"/>
  <c r="AQ388" i="23"/>
  <c r="AR388" i="23"/>
  <c r="AU388" i="23"/>
  <c r="AV388" i="23"/>
  <c r="BE388" i="23"/>
  <c r="BC388" i="23"/>
  <c r="BD388" i="23"/>
  <c r="Q388" i="23"/>
  <c r="S388" i="23"/>
  <c r="W388" i="23"/>
  <c r="AA388" i="23"/>
  <c r="I388" i="23"/>
  <c r="J388" i="23"/>
  <c r="BK388" i="23"/>
  <c r="BG388" i="23"/>
  <c r="T388" i="23"/>
  <c r="AB388" i="23"/>
  <c r="K388" i="23"/>
  <c r="BL388" i="23"/>
  <c r="BH388" i="23"/>
  <c r="U388" i="23"/>
  <c r="AC388" i="23"/>
  <c r="L388" i="23"/>
  <c r="BM388" i="23"/>
  <c r="BI388" i="23"/>
  <c r="V388" i="23"/>
  <c r="AD388" i="23"/>
  <c r="M388" i="23"/>
  <c r="BN388" i="23"/>
  <c r="BJ388" i="23"/>
  <c r="AQ389" i="23"/>
  <c r="AR389" i="23"/>
  <c r="AU389" i="23"/>
  <c r="AV389" i="23"/>
  <c r="BE389" i="23"/>
  <c r="Q389" i="23"/>
  <c r="S389" i="23"/>
  <c r="W389" i="23"/>
  <c r="AA389" i="23"/>
  <c r="I389" i="23"/>
  <c r="J389" i="23"/>
  <c r="G389" i="23"/>
  <c r="BC389" i="23"/>
  <c r="BD389" i="23"/>
  <c r="BK389" i="23"/>
  <c r="BG389" i="23"/>
  <c r="T389" i="23"/>
  <c r="AB389" i="23"/>
  <c r="K389" i="23"/>
  <c r="BL389" i="23"/>
  <c r="BH389" i="23"/>
  <c r="U389" i="23"/>
  <c r="AC389" i="23"/>
  <c r="L389" i="23"/>
  <c r="BM389" i="23"/>
  <c r="BI389" i="23"/>
  <c r="V389" i="23"/>
  <c r="AD389" i="23"/>
  <c r="M389" i="23"/>
  <c r="BN389" i="23"/>
  <c r="BJ389" i="23"/>
  <c r="AQ390" i="23"/>
  <c r="AR390" i="23"/>
  <c r="AU390" i="23"/>
  <c r="AV390" i="23"/>
  <c r="BE390" i="23"/>
  <c r="Q390" i="23"/>
  <c r="S390" i="23"/>
  <c r="W390" i="23"/>
  <c r="AA390" i="23"/>
  <c r="I390" i="23"/>
  <c r="J390" i="23"/>
  <c r="BC390" i="23"/>
  <c r="BD390" i="23"/>
  <c r="BK390" i="23"/>
  <c r="BG390" i="23"/>
  <c r="T390" i="23"/>
  <c r="AB390" i="23"/>
  <c r="K390" i="23"/>
  <c r="BL390" i="23"/>
  <c r="BH390" i="23"/>
  <c r="U390" i="23"/>
  <c r="AC390" i="23"/>
  <c r="L390" i="23"/>
  <c r="BM390" i="23"/>
  <c r="BI390" i="23"/>
  <c r="V390" i="23"/>
  <c r="AD390" i="23"/>
  <c r="M390" i="23"/>
  <c r="BN390" i="23"/>
  <c r="BJ390" i="23"/>
  <c r="AQ391" i="23"/>
  <c r="AR391" i="23"/>
  <c r="AU391" i="23"/>
  <c r="AV391" i="23"/>
  <c r="BE391" i="23"/>
  <c r="BC391" i="23"/>
  <c r="BD391" i="23"/>
  <c r="Q391" i="23"/>
  <c r="S391" i="23"/>
  <c r="W391" i="23"/>
  <c r="AA391" i="23"/>
  <c r="I391" i="23"/>
  <c r="J391" i="23"/>
  <c r="BK391" i="23"/>
  <c r="BG391" i="23"/>
  <c r="T391" i="23"/>
  <c r="AB391" i="23"/>
  <c r="K391" i="23"/>
  <c r="BL391" i="23"/>
  <c r="BH391" i="23"/>
  <c r="U391" i="23"/>
  <c r="AC391" i="23"/>
  <c r="L391" i="23"/>
  <c r="BM391" i="23"/>
  <c r="BI391" i="23"/>
  <c r="V391" i="23"/>
  <c r="AD391" i="23"/>
  <c r="M391" i="23"/>
  <c r="BN391" i="23"/>
  <c r="BJ391" i="23"/>
  <c r="AQ392" i="23"/>
  <c r="AR392" i="23"/>
  <c r="AU392" i="23"/>
  <c r="AV392" i="23"/>
  <c r="BE392" i="23"/>
  <c r="Q392" i="23"/>
  <c r="S392" i="23"/>
  <c r="W392" i="23"/>
  <c r="AA392" i="23"/>
  <c r="I392" i="23"/>
  <c r="J392" i="23"/>
  <c r="BC392" i="23"/>
  <c r="BD392" i="23"/>
  <c r="BK392" i="23"/>
  <c r="BG392" i="23"/>
  <c r="T392" i="23"/>
  <c r="AB392" i="23"/>
  <c r="K392" i="23"/>
  <c r="BL392" i="23"/>
  <c r="BH392" i="23"/>
  <c r="U392" i="23"/>
  <c r="AC392" i="23"/>
  <c r="L392" i="23"/>
  <c r="BM392" i="23"/>
  <c r="BI392" i="23"/>
  <c r="V392" i="23"/>
  <c r="AD392" i="23"/>
  <c r="M392" i="23"/>
  <c r="BN392" i="23"/>
  <c r="BJ392" i="23"/>
  <c r="AQ393" i="23"/>
  <c r="AR393" i="23"/>
  <c r="AU393" i="23"/>
  <c r="AV393" i="23"/>
  <c r="BE393" i="23"/>
  <c r="BC393" i="23"/>
  <c r="BD393" i="23"/>
  <c r="Q393" i="23"/>
  <c r="S393" i="23"/>
  <c r="W393" i="23"/>
  <c r="AA393" i="23"/>
  <c r="I393" i="23"/>
  <c r="J393" i="23"/>
  <c r="BK393" i="23"/>
  <c r="BG393" i="23"/>
  <c r="T393" i="23"/>
  <c r="AB393" i="23"/>
  <c r="K393" i="23"/>
  <c r="BL393" i="23"/>
  <c r="BH393" i="23"/>
  <c r="U393" i="23"/>
  <c r="AC393" i="23"/>
  <c r="L393" i="23"/>
  <c r="BM393" i="23"/>
  <c r="BI393" i="23"/>
  <c r="V393" i="23"/>
  <c r="AD393" i="23"/>
  <c r="M393" i="23"/>
  <c r="BN393" i="23"/>
  <c r="BJ393" i="23"/>
  <c r="AQ394" i="23"/>
  <c r="AR394" i="23"/>
  <c r="AU394" i="23"/>
  <c r="AV394" i="23"/>
  <c r="BE394" i="23"/>
  <c r="Q394" i="23"/>
  <c r="S394" i="23"/>
  <c r="W394" i="23"/>
  <c r="AA394" i="23"/>
  <c r="I394" i="23"/>
  <c r="J394" i="23"/>
  <c r="G394" i="23"/>
  <c r="BC394" i="23"/>
  <c r="BD394" i="23"/>
  <c r="BK394" i="23"/>
  <c r="BG394" i="23"/>
  <c r="T394" i="23"/>
  <c r="AB394" i="23"/>
  <c r="K394" i="23"/>
  <c r="BL394" i="23"/>
  <c r="BH394" i="23"/>
  <c r="U394" i="23"/>
  <c r="AC394" i="23"/>
  <c r="L394" i="23"/>
  <c r="BM394" i="23"/>
  <c r="BI394" i="23"/>
  <c r="V394" i="23"/>
  <c r="AD394" i="23"/>
  <c r="M394" i="23"/>
  <c r="BN394" i="23"/>
  <c r="BJ394" i="23"/>
  <c r="AQ395" i="23"/>
  <c r="AR395" i="23"/>
  <c r="AU395" i="23"/>
  <c r="AV395" i="23"/>
  <c r="BE395" i="23"/>
  <c r="Q395" i="23"/>
  <c r="S395" i="23"/>
  <c r="W395" i="23"/>
  <c r="AA395" i="23"/>
  <c r="I395" i="23"/>
  <c r="J395" i="23"/>
  <c r="BC395" i="23"/>
  <c r="BD395" i="23"/>
  <c r="BK395" i="23"/>
  <c r="BG395" i="23"/>
  <c r="T395" i="23"/>
  <c r="AB395" i="23"/>
  <c r="K395" i="23"/>
  <c r="BL395" i="23"/>
  <c r="BH395" i="23"/>
  <c r="U395" i="23"/>
  <c r="AC395" i="23"/>
  <c r="L395" i="23"/>
  <c r="BM395" i="23"/>
  <c r="BI395" i="23"/>
  <c r="V395" i="23"/>
  <c r="AD395" i="23"/>
  <c r="M395" i="23"/>
  <c r="BN395" i="23"/>
  <c r="BJ395" i="23"/>
  <c r="AQ396" i="23"/>
  <c r="AR396" i="23"/>
  <c r="AU396" i="23"/>
  <c r="AV396" i="23"/>
  <c r="BE396" i="23"/>
  <c r="BC396" i="23"/>
  <c r="BD396" i="23"/>
  <c r="Q396" i="23"/>
  <c r="S396" i="23"/>
  <c r="W396" i="23"/>
  <c r="AA396" i="23"/>
  <c r="I396" i="23"/>
  <c r="J396" i="23"/>
  <c r="BK396" i="23"/>
  <c r="BG396" i="23"/>
  <c r="T396" i="23"/>
  <c r="AB396" i="23"/>
  <c r="K396" i="23"/>
  <c r="BL396" i="23"/>
  <c r="BH396" i="23"/>
  <c r="U396" i="23"/>
  <c r="AC396" i="23"/>
  <c r="L396" i="23"/>
  <c r="BM396" i="23"/>
  <c r="BI396" i="23"/>
  <c r="V396" i="23"/>
  <c r="AD396" i="23"/>
  <c r="M396" i="23"/>
  <c r="BN396" i="23"/>
  <c r="BJ396" i="23"/>
  <c r="AQ397" i="23"/>
  <c r="AR397" i="23"/>
  <c r="AU397" i="23"/>
  <c r="AV397" i="23"/>
  <c r="BE397" i="23"/>
  <c r="Q397" i="23"/>
  <c r="S397" i="23"/>
  <c r="W397" i="23"/>
  <c r="AA397" i="23"/>
  <c r="I397" i="23"/>
  <c r="J397" i="23"/>
  <c r="G397" i="23"/>
  <c r="BC397" i="23"/>
  <c r="BD397" i="23"/>
  <c r="BK397" i="23"/>
  <c r="BG397" i="23"/>
  <c r="T397" i="23"/>
  <c r="AB397" i="23"/>
  <c r="K397" i="23"/>
  <c r="BL397" i="23"/>
  <c r="BH397" i="23"/>
  <c r="U397" i="23"/>
  <c r="AC397" i="23"/>
  <c r="L397" i="23"/>
  <c r="BM397" i="23"/>
  <c r="BI397" i="23"/>
  <c r="V397" i="23"/>
  <c r="AD397" i="23"/>
  <c r="M397" i="23"/>
  <c r="BN397" i="23"/>
  <c r="BJ397" i="23"/>
  <c r="AQ398" i="23"/>
  <c r="AR398" i="23"/>
  <c r="AU398" i="23"/>
  <c r="AV398" i="23"/>
  <c r="BE398" i="23"/>
  <c r="Q398" i="23"/>
  <c r="S398" i="23"/>
  <c r="W398" i="23"/>
  <c r="AA398" i="23"/>
  <c r="I398" i="23"/>
  <c r="J398" i="23"/>
  <c r="BC398" i="23"/>
  <c r="BD398" i="23"/>
  <c r="BK398" i="23"/>
  <c r="BG398" i="23"/>
  <c r="T398" i="23"/>
  <c r="AB398" i="23"/>
  <c r="K398" i="23"/>
  <c r="BL398" i="23"/>
  <c r="BH398" i="23"/>
  <c r="U398" i="23"/>
  <c r="AC398" i="23"/>
  <c r="L398" i="23"/>
  <c r="BM398" i="23"/>
  <c r="BI398" i="23"/>
  <c r="V398" i="23"/>
  <c r="AD398" i="23"/>
  <c r="M398" i="23"/>
  <c r="BN398" i="23"/>
  <c r="BJ398" i="23"/>
  <c r="AQ399" i="23"/>
  <c r="AR399" i="23"/>
  <c r="AU399" i="23"/>
  <c r="AV399" i="23"/>
  <c r="BE399" i="23"/>
  <c r="BC399" i="23"/>
  <c r="BD399" i="23"/>
  <c r="Q399" i="23"/>
  <c r="S399" i="23"/>
  <c r="W399" i="23"/>
  <c r="AA399" i="23"/>
  <c r="I399" i="23"/>
  <c r="J399" i="23"/>
  <c r="BK399" i="23"/>
  <c r="BG399" i="23"/>
  <c r="T399" i="23"/>
  <c r="AB399" i="23"/>
  <c r="K399" i="23"/>
  <c r="BL399" i="23"/>
  <c r="BH399" i="23"/>
  <c r="U399" i="23"/>
  <c r="AC399" i="23"/>
  <c r="L399" i="23"/>
  <c r="BM399" i="23"/>
  <c r="BI399" i="23"/>
  <c r="V399" i="23"/>
  <c r="AD399" i="23"/>
  <c r="M399" i="23"/>
  <c r="BN399" i="23"/>
  <c r="BJ399" i="23"/>
  <c r="AQ400" i="23"/>
  <c r="AR400" i="23"/>
  <c r="AU400" i="23"/>
  <c r="AV400" i="23"/>
  <c r="BE400" i="23"/>
  <c r="Q400" i="23"/>
  <c r="S400" i="23"/>
  <c r="W400" i="23"/>
  <c r="AA400" i="23"/>
  <c r="I400" i="23"/>
  <c r="J400" i="23"/>
  <c r="BC400" i="23"/>
  <c r="BD400" i="23"/>
  <c r="BK400" i="23"/>
  <c r="BG400" i="23"/>
  <c r="T400" i="23"/>
  <c r="AB400" i="23"/>
  <c r="K400" i="23"/>
  <c r="BL400" i="23"/>
  <c r="BH400" i="23"/>
  <c r="U400" i="23"/>
  <c r="AC400" i="23"/>
  <c r="L400" i="23"/>
  <c r="BM400" i="23"/>
  <c r="BI400" i="23"/>
  <c r="V400" i="23"/>
  <c r="AD400" i="23"/>
  <c r="M400" i="23"/>
  <c r="BN400" i="23"/>
  <c r="BJ400" i="23"/>
  <c r="AQ401" i="23"/>
  <c r="AR401" i="23"/>
  <c r="AU401" i="23"/>
  <c r="AV401" i="23"/>
  <c r="BE401" i="23"/>
  <c r="BC401" i="23"/>
  <c r="BD401" i="23"/>
  <c r="Q401" i="23"/>
  <c r="S401" i="23"/>
  <c r="W401" i="23"/>
  <c r="AA401" i="23"/>
  <c r="I401" i="23"/>
  <c r="J401" i="23"/>
  <c r="BK401" i="23"/>
  <c r="BG401" i="23"/>
  <c r="T401" i="23"/>
  <c r="AB401" i="23"/>
  <c r="K401" i="23"/>
  <c r="BL401" i="23"/>
  <c r="BH401" i="23"/>
  <c r="U401" i="23"/>
  <c r="AC401" i="23"/>
  <c r="L401" i="23"/>
  <c r="BM401" i="23"/>
  <c r="BI401" i="23"/>
  <c r="V401" i="23"/>
  <c r="AD401" i="23"/>
  <c r="M401" i="23"/>
  <c r="BN401" i="23"/>
  <c r="BJ401" i="23"/>
  <c r="AQ402" i="23"/>
  <c r="AR402" i="23"/>
  <c r="AU402" i="23"/>
  <c r="AV402" i="23"/>
  <c r="BE402" i="23"/>
  <c r="Q402" i="23"/>
  <c r="S402" i="23"/>
  <c r="W402" i="23"/>
  <c r="AA402" i="23"/>
  <c r="I402" i="23"/>
  <c r="J402" i="23"/>
  <c r="G402" i="23"/>
  <c r="BC402" i="23"/>
  <c r="BD402" i="23"/>
  <c r="BK402" i="23"/>
  <c r="BG402" i="23"/>
  <c r="T402" i="23"/>
  <c r="AB402" i="23"/>
  <c r="K402" i="23"/>
  <c r="BL402" i="23"/>
  <c r="BH402" i="23"/>
  <c r="U402" i="23"/>
  <c r="AC402" i="23"/>
  <c r="L402" i="23"/>
  <c r="BM402" i="23"/>
  <c r="BI402" i="23"/>
  <c r="V402" i="23"/>
  <c r="AD402" i="23"/>
  <c r="M402" i="23"/>
  <c r="BN402" i="23"/>
  <c r="BJ402" i="23"/>
  <c r="AQ403" i="23"/>
  <c r="AR403" i="23"/>
  <c r="AU403" i="23"/>
  <c r="AV403" i="23"/>
  <c r="BE403" i="23"/>
  <c r="Q403" i="23"/>
  <c r="S403" i="23"/>
  <c r="W403" i="23"/>
  <c r="AA403" i="23"/>
  <c r="I403" i="23"/>
  <c r="J403" i="23"/>
  <c r="BC403" i="23"/>
  <c r="BD403" i="23"/>
  <c r="BK403" i="23"/>
  <c r="BG403" i="23"/>
  <c r="T403" i="23"/>
  <c r="AB403" i="23"/>
  <c r="K403" i="23"/>
  <c r="BL403" i="23"/>
  <c r="BH403" i="23"/>
  <c r="U403" i="23"/>
  <c r="AC403" i="23"/>
  <c r="L403" i="23"/>
  <c r="BM403" i="23"/>
  <c r="BI403" i="23"/>
  <c r="V403" i="23"/>
  <c r="AD403" i="23"/>
  <c r="M403" i="23"/>
  <c r="BN403" i="23"/>
  <c r="BJ403" i="23"/>
  <c r="AQ404" i="23"/>
  <c r="AR404" i="23"/>
  <c r="AU404" i="23"/>
  <c r="AV404" i="23"/>
  <c r="BE404" i="23"/>
  <c r="BC404" i="23"/>
  <c r="BD404" i="23"/>
  <c r="Q404" i="23"/>
  <c r="S404" i="23"/>
  <c r="W404" i="23"/>
  <c r="AA404" i="23"/>
  <c r="I404" i="23"/>
  <c r="J404" i="23"/>
  <c r="BK404" i="23"/>
  <c r="BG404" i="23"/>
  <c r="T404" i="23"/>
  <c r="AB404" i="23"/>
  <c r="K404" i="23"/>
  <c r="BL404" i="23"/>
  <c r="BH404" i="23"/>
  <c r="U404" i="23"/>
  <c r="AC404" i="23"/>
  <c r="L404" i="23"/>
  <c r="BM404" i="23"/>
  <c r="BI404" i="23"/>
  <c r="V404" i="23"/>
  <c r="AD404" i="23"/>
  <c r="M404" i="23"/>
  <c r="BN404" i="23"/>
  <c r="BJ404" i="23"/>
  <c r="AQ405" i="23"/>
  <c r="AR405" i="23"/>
  <c r="AU405" i="23"/>
  <c r="AV405" i="23"/>
  <c r="BE405" i="23"/>
  <c r="Q405" i="23"/>
  <c r="S405" i="23"/>
  <c r="W405" i="23"/>
  <c r="AA405" i="23"/>
  <c r="I405" i="23"/>
  <c r="J405" i="23"/>
  <c r="G405" i="23"/>
  <c r="BC405" i="23"/>
  <c r="BD405" i="23"/>
  <c r="BK405" i="23"/>
  <c r="BG405" i="23"/>
  <c r="T405" i="23"/>
  <c r="AB405" i="23"/>
  <c r="K405" i="23"/>
  <c r="BL405" i="23"/>
  <c r="BH405" i="23"/>
  <c r="U405" i="23"/>
  <c r="AC405" i="23"/>
  <c r="L405" i="23"/>
  <c r="BM405" i="23"/>
  <c r="BI405" i="23"/>
  <c r="V405" i="23"/>
  <c r="AD405" i="23"/>
  <c r="M405" i="23"/>
  <c r="BN405" i="23"/>
  <c r="BJ405" i="23"/>
  <c r="AQ406" i="23"/>
  <c r="AR406" i="23"/>
  <c r="AU406" i="23"/>
  <c r="AV406" i="23"/>
  <c r="BE406" i="23"/>
  <c r="BC406" i="23"/>
  <c r="BD406" i="23"/>
  <c r="Q406" i="23"/>
  <c r="S406" i="23"/>
  <c r="W406" i="23"/>
  <c r="AA406" i="23"/>
  <c r="I406" i="23"/>
  <c r="J406" i="23"/>
  <c r="BK406" i="23"/>
  <c r="BG406" i="23"/>
  <c r="T406" i="23"/>
  <c r="AB406" i="23"/>
  <c r="K406" i="23"/>
  <c r="BL406" i="23"/>
  <c r="BH406" i="23"/>
  <c r="U406" i="23"/>
  <c r="AC406" i="23"/>
  <c r="L406" i="23"/>
  <c r="BM406" i="23"/>
  <c r="BI406" i="23"/>
  <c r="V406" i="23"/>
  <c r="AD406" i="23"/>
  <c r="M406" i="23"/>
  <c r="BN406" i="23"/>
  <c r="BJ406" i="23"/>
  <c r="AQ407" i="23"/>
  <c r="AR407" i="23"/>
  <c r="AU407" i="23"/>
  <c r="AV407" i="23"/>
  <c r="BE407" i="23"/>
  <c r="Q407" i="23"/>
  <c r="S407" i="23"/>
  <c r="W407" i="23"/>
  <c r="AA407" i="23"/>
  <c r="I407" i="23"/>
  <c r="J407" i="23"/>
  <c r="G407" i="23"/>
  <c r="BC407" i="23"/>
  <c r="BD407" i="23"/>
  <c r="BK407" i="23"/>
  <c r="BG407" i="23"/>
  <c r="T407" i="23"/>
  <c r="AB407" i="23"/>
  <c r="K407" i="23"/>
  <c r="BL407" i="23"/>
  <c r="BH407" i="23"/>
  <c r="U407" i="23"/>
  <c r="AC407" i="23"/>
  <c r="L407" i="23"/>
  <c r="BM407" i="23"/>
  <c r="BI407" i="23"/>
  <c r="V407" i="23"/>
  <c r="AD407" i="23"/>
  <c r="M407" i="23"/>
  <c r="BN407" i="23"/>
  <c r="BJ407" i="23"/>
  <c r="AQ408" i="23"/>
  <c r="AR408" i="23"/>
  <c r="AU408" i="23"/>
  <c r="AV408" i="23"/>
  <c r="BE408" i="23"/>
  <c r="Q408" i="23"/>
  <c r="S408" i="23"/>
  <c r="W408" i="23"/>
  <c r="AA408" i="23"/>
  <c r="I408" i="23"/>
  <c r="J408" i="23"/>
  <c r="BC408" i="23"/>
  <c r="BD408" i="23"/>
  <c r="BK408" i="23"/>
  <c r="BG408" i="23"/>
  <c r="T408" i="23"/>
  <c r="AB408" i="23"/>
  <c r="K408" i="23"/>
  <c r="BL408" i="23"/>
  <c r="BH408" i="23"/>
  <c r="U408" i="23"/>
  <c r="AC408" i="23"/>
  <c r="L408" i="23"/>
  <c r="BM408" i="23"/>
  <c r="BI408" i="23"/>
  <c r="V408" i="23"/>
  <c r="AD408" i="23"/>
  <c r="M408" i="23"/>
  <c r="BN408" i="23"/>
  <c r="BJ408" i="23"/>
  <c r="AQ409" i="23"/>
  <c r="AR409" i="23"/>
  <c r="AU409" i="23"/>
  <c r="AV409" i="23"/>
  <c r="BE409" i="23"/>
  <c r="BC409" i="23"/>
  <c r="BD409" i="23"/>
  <c r="Q409" i="23"/>
  <c r="S409" i="23"/>
  <c r="W409" i="23"/>
  <c r="AA409" i="23"/>
  <c r="I409" i="23"/>
  <c r="J409" i="23"/>
  <c r="BK409" i="23"/>
  <c r="BG409" i="23"/>
  <c r="T409" i="23"/>
  <c r="AB409" i="23"/>
  <c r="K409" i="23"/>
  <c r="BL409" i="23"/>
  <c r="BH409" i="23"/>
  <c r="U409" i="23"/>
  <c r="AC409" i="23"/>
  <c r="L409" i="23"/>
  <c r="BM409" i="23"/>
  <c r="BI409" i="23"/>
  <c r="V409" i="23"/>
  <c r="AD409" i="23"/>
  <c r="M409" i="23"/>
  <c r="BN409" i="23"/>
  <c r="BJ409" i="23"/>
  <c r="AQ410" i="23"/>
  <c r="AR410" i="23"/>
  <c r="AU410" i="23"/>
  <c r="AV410" i="23"/>
  <c r="BE410" i="23"/>
  <c r="Q410" i="23"/>
  <c r="S410" i="23"/>
  <c r="W410" i="23"/>
  <c r="AA410" i="23"/>
  <c r="I410" i="23"/>
  <c r="J410" i="23"/>
  <c r="BC410" i="23"/>
  <c r="BD410" i="23"/>
  <c r="BK410" i="23"/>
  <c r="BG410" i="23"/>
  <c r="T410" i="23"/>
  <c r="AB410" i="23"/>
  <c r="K410" i="23"/>
  <c r="BL410" i="23"/>
  <c r="BH410" i="23"/>
  <c r="U410" i="23"/>
  <c r="AC410" i="23"/>
  <c r="L410" i="23"/>
  <c r="BM410" i="23"/>
  <c r="BI410" i="23"/>
  <c r="V410" i="23"/>
  <c r="AD410" i="23"/>
  <c r="M410" i="23"/>
  <c r="BN410" i="23"/>
  <c r="BJ410" i="23"/>
  <c r="AQ411" i="23"/>
  <c r="AR411" i="23"/>
  <c r="AU411" i="23"/>
  <c r="AV411" i="23"/>
  <c r="BE411" i="23"/>
  <c r="BC411" i="23"/>
  <c r="BD411" i="23"/>
  <c r="Q411" i="23"/>
  <c r="S411" i="23"/>
  <c r="W411" i="23"/>
  <c r="AA411" i="23"/>
  <c r="I411" i="23"/>
  <c r="J411" i="23"/>
  <c r="BK411" i="23"/>
  <c r="BG411" i="23"/>
  <c r="T411" i="23"/>
  <c r="AB411" i="23"/>
  <c r="K411" i="23"/>
  <c r="BL411" i="23"/>
  <c r="BH411" i="23"/>
  <c r="U411" i="23"/>
  <c r="AC411" i="23"/>
  <c r="L411" i="23"/>
  <c r="BM411" i="23"/>
  <c r="BI411" i="23"/>
  <c r="V411" i="23"/>
  <c r="AD411" i="23"/>
  <c r="M411" i="23"/>
  <c r="BN411" i="23"/>
  <c r="BJ411" i="23"/>
  <c r="AQ412" i="23"/>
  <c r="AR412" i="23"/>
  <c r="AU412" i="23"/>
  <c r="AV412" i="23"/>
  <c r="BE412" i="23"/>
  <c r="Q412" i="23"/>
  <c r="S412" i="23"/>
  <c r="W412" i="23"/>
  <c r="AA412" i="23"/>
  <c r="I412" i="23"/>
  <c r="J412" i="23"/>
  <c r="BC412" i="23"/>
  <c r="BD412" i="23"/>
  <c r="BK412" i="23"/>
  <c r="BG412" i="23"/>
  <c r="T412" i="23"/>
  <c r="AB412" i="23"/>
  <c r="K412" i="23"/>
  <c r="BL412" i="23"/>
  <c r="BH412" i="23"/>
  <c r="U412" i="23"/>
  <c r="AC412" i="23"/>
  <c r="L412" i="23"/>
  <c r="BM412" i="23"/>
  <c r="BI412" i="23"/>
  <c r="V412" i="23"/>
  <c r="AD412" i="23"/>
  <c r="M412" i="23"/>
  <c r="BN412" i="23"/>
  <c r="BJ412" i="23"/>
  <c r="AQ413" i="23"/>
  <c r="AR413" i="23"/>
  <c r="AU413" i="23"/>
  <c r="AV413" i="23"/>
  <c r="BE413" i="23"/>
  <c r="BC413" i="23"/>
  <c r="BD413" i="23"/>
  <c r="Q413" i="23"/>
  <c r="S413" i="23"/>
  <c r="W413" i="23"/>
  <c r="AA413" i="23"/>
  <c r="I413" i="23"/>
  <c r="J413" i="23"/>
  <c r="BK413" i="23"/>
  <c r="BG413" i="23"/>
  <c r="T413" i="23"/>
  <c r="AB413" i="23"/>
  <c r="K413" i="23"/>
  <c r="BL413" i="23"/>
  <c r="BH413" i="23"/>
  <c r="U413" i="23"/>
  <c r="AC413" i="23"/>
  <c r="L413" i="23"/>
  <c r="BM413" i="23"/>
  <c r="BI413" i="23"/>
  <c r="V413" i="23"/>
  <c r="AD413" i="23"/>
  <c r="M413" i="23"/>
  <c r="BN413" i="23"/>
  <c r="BJ413" i="23"/>
  <c r="AQ414" i="23"/>
  <c r="AR414" i="23"/>
  <c r="AU414" i="23"/>
  <c r="AV414" i="23"/>
  <c r="BE414" i="23"/>
  <c r="Q414" i="23"/>
  <c r="S414" i="23"/>
  <c r="W414" i="23"/>
  <c r="AA414" i="23"/>
  <c r="I414" i="23"/>
  <c r="J414" i="23"/>
  <c r="G414" i="23"/>
  <c r="BC414" i="23"/>
  <c r="BD414" i="23"/>
  <c r="BK414" i="23"/>
  <c r="BG414" i="23"/>
  <c r="T414" i="23"/>
  <c r="AB414" i="23"/>
  <c r="K414" i="23"/>
  <c r="BL414" i="23"/>
  <c r="BH414" i="23"/>
  <c r="U414" i="23"/>
  <c r="AC414" i="23"/>
  <c r="L414" i="23"/>
  <c r="BM414" i="23"/>
  <c r="BI414" i="23"/>
  <c r="V414" i="23"/>
  <c r="AD414" i="23"/>
  <c r="M414" i="23"/>
  <c r="BN414" i="23"/>
  <c r="BJ414" i="23"/>
  <c r="AQ415" i="23"/>
  <c r="AR415" i="23"/>
  <c r="AU415" i="23"/>
  <c r="AV415" i="23"/>
  <c r="BE415" i="23"/>
  <c r="BC415" i="23"/>
  <c r="BD415" i="23"/>
  <c r="Q415" i="23"/>
  <c r="S415" i="23"/>
  <c r="W415" i="23"/>
  <c r="AA415" i="23"/>
  <c r="I415" i="23"/>
  <c r="J415" i="23"/>
  <c r="BK415" i="23"/>
  <c r="BG415" i="23"/>
  <c r="T415" i="23"/>
  <c r="AB415" i="23"/>
  <c r="K415" i="23"/>
  <c r="BL415" i="23"/>
  <c r="BH415" i="23"/>
  <c r="U415" i="23"/>
  <c r="AC415" i="23"/>
  <c r="L415" i="23"/>
  <c r="BM415" i="23"/>
  <c r="BI415" i="23"/>
  <c r="V415" i="23"/>
  <c r="AD415" i="23"/>
  <c r="M415" i="23"/>
  <c r="BN415" i="23"/>
  <c r="BJ415" i="23"/>
  <c r="AQ416" i="23"/>
  <c r="AR416" i="23"/>
  <c r="AU416" i="23"/>
  <c r="AV416" i="23"/>
  <c r="BE416" i="23"/>
  <c r="Q416" i="23"/>
  <c r="S416" i="23"/>
  <c r="W416" i="23"/>
  <c r="AA416" i="23"/>
  <c r="I416" i="23"/>
  <c r="J416" i="23"/>
  <c r="BC416" i="23"/>
  <c r="BD416" i="23"/>
  <c r="BK416" i="23"/>
  <c r="BG416" i="23"/>
  <c r="T416" i="23"/>
  <c r="AB416" i="23"/>
  <c r="K416" i="23"/>
  <c r="BL416" i="23"/>
  <c r="BH416" i="23"/>
  <c r="U416" i="23"/>
  <c r="AC416" i="23"/>
  <c r="L416" i="23"/>
  <c r="BM416" i="23"/>
  <c r="BI416" i="23"/>
  <c r="V416" i="23"/>
  <c r="AD416" i="23"/>
  <c r="M416" i="23"/>
  <c r="BN416" i="23"/>
  <c r="BJ416" i="23"/>
  <c r="AQ417" i="23"/>
  <c r="AR417" i="23"/>
  <c r="AU417" i="23"/>
  <c r="AV417" i="23"/>
  <c r="BE417" i="23"/>
  <c r="BC417" i="23"/>
  <c r="BD417" i="23"/>
  <c r="Q417" i="23"/>
  <c r="S417" i="23"/>
  <c r="W417" i="23"/>
  <c r="AA417" i="23"/>
  <c r="I417" i="23"/>
  <c r="J417" i="23"/>
  <c r="BK417" i="23"/>
  <c r="BG417" i="23"/>
  <c r="T417" i="23"/>
  <c r="AB417" i="23"/>
  <c r="K417" i="23"/>
  <c r="BL417" i="23"/>
  <c r="BH417" i="23"/>
  <c r="U417" i="23"/>
  <c r="AC417" i="23"/>
  <c r="L417" i="23"/>
  <c r="BM417" i="23"/>
  <c r="BI417" i="23"/>
  <c r="V417" i="23"/>
  <c r="AD417" i="23"/>
  <c r="M417" i="23"/>
  <c r="BN417" i="23"/>
  <c r="BJ417" i="23"/>
  <c r="AQ418" i="23"/>
  <c r="AR418" i="23"/>
  <c r="AU418" i="23"/>
  <c r="AV418" i="23"/>
  <c r="BE418" i="23"/>
  <c r="Q418" i="23"/>
  <c r="S418" i="23"/>
  <c r="W418" i="23"/>
  <c r="AA418" i="23"/>
  <c r="I418" i="23"/>
  <c r="J418" i="23"/>
  <c r="G418" i="23"/>
  <c r="BC418" i="23"/>
  <c r="BD418" i="23"/>
  <c r="BK418" i="23"/>
  <c r="BG418" i="23"/>
  <c r="T418" i="23"/>
  <c r="AB418" i="23"/>
  <c r="K418" i="23"/>
  <c r="BL418" i="23"/>
  <c r="BH418" i="23"/>
  <c r="U418" i="23"/>
  <c r="AC418" i="23"/>
  <c r="L418" i="23"/>
  <c r="BM418" i="23"/>
  <c r="BI418" i="23"/>
  <c r="V418" i="23"/>
  <c r="AD418" i="23"/>
  <c r="M418" i="23"/>
  <c r="BN418" i="23"/>
  <c r="BJ418" i="23"/>
  <c r="AQ419" i="23"/>
  <c r="AR419" i="23"/>
  <c r="AU419" i="23"/>
  <c r="AV419" i="23"/>
  <c r="BE419" i="23"/>
  <c r="BC419" i="23"/>
  <c r="BD419" i="23"/>
  <c r="Q419" i="23"/>
  <c r="S419" i="23"/>
  <c r="W419" i="23"/>
  <c r="AA419" i="23"/>
  <c r="I419" i="23"/>
  <c r="J419" i="23"/>
  <c r="BK419" i="23"/>
  <c r="BG419" i="23"/>
  <c r="T419" i="23"/>
  <c r="AB419" i="23"/>
  <c r="K419" i="23"/>
  <c r="BL419" i="23"/>
  <c r="BH419" i="23"/>
  <c r="U419" i="23"/>
  <c r="AC419" i="23"/>
  <c r="L419" i="23"/>
  <c r="BM419" i="23"/>
  <c r="BI419" i="23"/>
  <c r="V419" i="23"/>
  <c r="AD419" i="23"/>
  <c r="M419" i="23"/>
  <c r="BN419" i="23"/>
  <c r="BJ419" i="23"/>
  <c r="AQ420" i="23"/>
  <c r="AR420" i="23"/>
  <c r="AU420" i="23"/>
  <c r="AV420" i="23"/>
  <c r="BE420" i="23"/>
  <c r="Q420" i="23"/>
  <c r="S420" i="23"/>
  <c r="W420" i="23"/>
  <c r="AA420" i="23"/>
  <c r="I420" i="23"/>
  <c r="J420" i="23"/>
  <c r="G420" i="23"/>
  <c r="BC420" i="23"/>
  <c r="BD420" i="23"/>
  <c r="BK420" i="23"/>
  <c r="BG420" i="23"/>
  <c r="T420" i="23"/>
  <c r="AB420" i="23"/>
  <c r="K420" i="23"/>
  <c r="BL420" i="23"/>
  <c r="BH420" i="23"/>
  <c r="U420" i="23"/>
  <c r="AC420" i="23"/>
  <c r="L420" i="23"/>
  <c r="BM420" i="23"/>
  <c r="BI420" i="23"/>
  <c r="V420" i="23"/>
  <c r="AD420" i="23"/>
  <c r="M420" i="23"/>
  <c r="BN420" i="23"/>
  <c r="BJ420" i="23"/>
  <c r="AQ421" i="23"/>
  <c r="AR421" i="23"/>
  <c r="AU421" i="23"/>
  <c r="AV421" i="23"/>
  <c r="BE421" i="23"/>
  <c r="BC421" i="23"/>
  <c r="BD421" i="23"/>
  <c r="Q421" i="23"/>
  <c r="S421" i="23"/>
  <c r="W421" i="23"/>
  <c r="AA421" i="23"/>
  <c r="I421" i="23"/>
  <c r="J421" i="23"/>
  <c r="BK421" i="23"/>
  <c r="BG421" i="23"/>
  <c r="T421" i="23"/>
  <c r="AB421" i="23"/>
  <c r="K421" i="23"/>
  <c r="BL421" i="23"/>
  <c r="BH421" i="23"/>
  <c r="U421" i="23"/>
  <c r="AC421" i="23"/>
  <c r="L421" i="23"/>
  <c r="BM421" i="23"/>
  <c r="BI421" i="23"/>
  <c r="V421" i="23"/>
  <c r="AD421" i="23"/>
  <c r="M421" i="23"/>
  <c r="BN421" i="23"/>
  <c r="BJ421" i="23"/>
  <c r="AQ422" i="23"/>
  <c r="AR422" i="23"/>
  <c r="AU422" i="23"/>
  <c r="AV422" i="23"/>
  <c r="BE422" i="23"/>
  <c r="Q422" i="23"/>
  <c r="S422" i="23"/>
  <c r="W422" i="23"/>
  <c r="AA422" i="23"/>
  <c r="I422" i="23"/>
  <c r="J422" i="23"/>
  <c r="BC422" i="23"/>
  <c r="BD422" i="23"/>
  <c r="BK422" i="23"/>
  <c r="BG422" i="23"/>
  <c r="T422" i="23"/>
  <c r="AB422" i="23"/>
  <c r="K422" i="23"/>
  <c r="BL422" i="23"/>
  <c r="BH422" i="23"/>
  <c r="U422" i="23"/>
  <c r="AC422" i="23"/>
  <c r="L422" i="23"/>
  <c r="BM422" i="23"/>
  <c r="BI422" i="23"/>
  <c r="V422" i="23"/>
  <c r="AD422" i="23"/>
  <c r="M422" i="23"/>
  <c r="BN422" i="23"/>
  <c r="BJ422" i="23"/>
  <c r="AQ423" i="23"/>
  <c r="AR423" i="23"/>
  <c r="AU423" i="23"/>
  <c r="AV423" i="23"/>
  <c r="BE423" i="23"/>
  <c r="BC423" i="23"/>
  <c r="BD423" i="23"/>
  <c r="Q423" i="23"/>
  <c r="S423" i="23"/>
  <c r="W423" i="23"/>
  <c r="AA423" i="23"/>
  <c r="I423" i="23"/>
  <c r="J423" i="23"/>
  <c r="BK423" i="23"/>
  <c r="BG423" i="23"/>
  <c r="T423" i="23"/>
  <c r="AB423" i="23"/>
  <c r="K423" i="23"/>
  <c r="BL423" i="23"/>
  <c r="BH423" i="23"/>
  <c r="U423" i="23"/>
  <c r="AC423" i="23"/>
  <c r="L423" i="23"/>
  <c r="BM423" i="23"/>
  <c r="BI423" i="23"/>
  <c r="V423" i="23"/>
  <c r="AD423" i="23"/>
  <c r="M423" i="23"/>
  <c r="BN423" i="23"/>
  <c r="BJ423" i="23"/>
  <c r="AQ424" i="23"/>
  <c r="AR424" i="23"/>
  <c r="AU424" i="23"/>
  <c r="AV424" i="23"/>
  <c r="BE424" i="23"/>
  <c r="Q424" i="23"/>
  <c r="S424" i="23"/>
  <c r="W424" i="23"/>
  <c r="AA424" i="23"/>
  <c r="I424" i="23"/>
  <c r="J424" i="23"/>
  <c r="G424" i="23"/>
  <c r="BC424" i="23"/>
  <c r="BD424" i="23"/>
  <c r="BK424" i="23"/>
  <c r="BG424" i="23"/>
  <c r="T424" i="23"/>
  <c r="AB424" i="23"/>
  <c r="K424" i="23"/>
  <c r="BL424" i="23"/>
  <c r="BH424" i="23"/>
  <c r="U424" i="23"/>
  <c r="AC424" i="23"/>
  <c r="L424" i="23"/>
  <c r="BM424" i="23"/>
  <c r="BI424" i="23"/>
  <c r="V424" i="23"/>
  <c r="AD424" i="23"/>
  <c r="M424" i="23"/>
  <c r="BN424" i="23"/>
  <c r="BJ424" i="23"/>
  <c r="AQ425" i="23"/>
  <c r="AR425" i="23"/>
  <c r="AU425" i="23"/>
  <c r="AV425" i="23"/>
  <c r="BE425" i="23"/>
  <c r="BC425" i="23"/>
  <c r="BD425" i="23"/>
  <c r="Q425" i="23"/>
  <c r="S425" i="23"/>
  <c r="W425" i="23"/>
  <c r="AA425" i="23"/>
  <c r="I425" i="23"/>
  <c r="J425" i="23"/>
  <c r="BK425" i="23"/>
  <c r="BG425" i="23"/>
  <c r="T425" i="23"/>
  <c r="AB425" i="23"/>
  <c r="K425" i="23"/>
  <c r="BL425" i="23"/>
  <c r="BH425" i="23"/>
  <c r="U425" i="23"/>
  <c r="AC425" i="23"/>
  <c r="L425" i="23"/>
  <c r="BM425" i="23"/>
  <c r="BI425" i="23"/>
  <c r="V425" i="23"/>
  <c r="AD425" i="23"/>
  <c r="M425" i="23"/>
  <c r="BN425" i="23"/>
  <c r="BJ425" i="23"/>
  <c r="AQ426" i="23"/>
  <c r="AR426" i="23"/>
  <c r="AU426" i="23"/>
  <c r="AV426" i="23"/>
  <c r="BE426" i="23"/>
  <c r="Q426" i="23"/>
  <c r="S426" i="23"/>
  <c r="W426" i="23"/>
  <c r="AA426" i="23"/>
  <c r="I426" i="23"/>
  <c r="J426" i="23"/>
  <c r="G426" i="23"/>
  <c r="BC426" i="23"/>
  <c r="BD426" i="23"/>
  <c r="BK426" i="23"/>
  <c r="BG426" i="23"/>
  <c r="T426" i="23"/>
  <c r="AB426" i="23"/>
  <c r="K426" i="23"/>
  <c r="BL426" i="23"/>
  <c r="BH426" i="23"/>
  <c r="U426" i="23"/>
  <c r="AC426" i="23"/>
  <c r="L426" i="23"/>
  <c r="BM426" i="23"/>
  <c r="BI426" i="23"/>
  <c r="V426" i="23"/>
  <c r="AD426" i="23"/>
  <c r="M426" i="23"/>
  <c r="BN426" i="23"/>
  <c r="BJ426" i="23"/>
  <c r="AQ427" i="23"/>
  <c r="AR427" i="23"/>
  <c r="AU427" i="23"/>
  <c r="AV427" i="23"/>
  <c r="BE427" i="23"/>
  <c r="Q427" i="23"/>
  <c r="S427" i="23"/>
  <c r="W427" i="23"/>
  <c r="AA427" i="23"/>
  <c r="I427" i="23"/>
  <c r="J427" i="23"/>
  <c r="BC427" i="23"/>
  <c r="BD427" i="23"/>
  <c r="BK427" i="23"/>
  <c r="BG427" i="23"/>
  <c r="T427" i="23"/>
  <c r="AB427" i="23"/>
  <c r="K427" i="23"/>
  <c r="BL427" i="23"/>
  <c r="BH427" i="23"/>
  <c r="U427" i="23"/>
  <c r="AC427" i="23"/>
  <c r="L427" i="23"/>
  <c r="BM427" i="23"/>
  <c r="BI427" i="23"/>
  <c r="V427" i="23"/>
  <c r="AD427" i="23"/>
  <c r="M427" i="23"/>
  <c r="BN427" i="23"/>
  <c r="BJ427" i="23"/>
  <c r="AQ428" i="23"/>
  <c r="AR428" i="23"/>
  <c r="AU428" i="23"/>
  <c r="AV428" i="23"/>
  <c r="BE428" i="23"/>
  <c r="BC428" i="23"/>
  <c r="BD428" i="23"/>
  <c r="Q428" i="23"/>
  <c r="S428" i="23"/>
  <c r="W428" i="23"/>
  <c r="AA428" i="23"/>
  <c r="I428" i="23"/>
  <c r="J428" i="23"/>
  <c r="BK428" i="23"/>
  <c r="BG428" i="23"/>
  <c r="T428" i="23"/>
  <c r="AB428" i="23"/>
  <c r="K428" i="23"/>
  <c r="BL428" i="23"/>
  <c r="BH428" i="23"/>
  <c r="U428" i="23"/>
  <c r="AC428" i="23"/>
  <c r="L428" i="23"/>
  <c r="BM428" i="23"/>
  <c r="BI428" i="23"/>
  <c r="V428" i="23"/>
  <c r="AD428" i="23"/>
  <c r="M428" i="23"/>
  <c r="BN428" i="23"/>
  <c r="BJ428" i="23"/>
  <c r="AQ429" i="23"/>
  <c r="AR429" i="23"/>
  <c r="AU429" i="23"/>
  <c r="AV429" i="23"/>
  <c r="BE429" i="23"/>
  <c r="Q429" i="23"/>
  <c r="S429" i="23"/>
  <c r="W429" i="23"/>
  <c r="AA429" i="23"/>
  <c r="I429" i="23"/>
  <c r="J429" i="23"/>
  <c r="G429" i="23"/>
  <c r="BC429" i="23"/>
  <c r="BD429" i="23"/>
  <c r="BK429" i="23"/>
  <c r="BG429" i="23"/>
  <c r="T429" i="23"/>
  <c r="AB429" i="23"/>
  <c r="K429" i="23"/>
  <c r="BL429" i="23"/>
  <c r="BH429" i="23"/>
  <c r="U429" i="23"/>
  <c r="AC429" i="23"/>
  <c r="L429" i="23"/>
  <c r="BM429" i="23"/>
  <c r="BI429" i="23"/>
  <c r="V429" i="23"/>
  <c r="AD429" i="23"/>
  <c r="M429" i="23"/>
  <c r="BN429" i="23"/>
  <c r="BJ429" i="23"/>
  <c r="AQ430" i="23"/>
  <c r="AR430" i="23"/>
  <c r="AU430" i="23"/>
  <c r="AV430" i="23"/>
  <c r="BE430" i="23"/>
  <c r="Q430" i="23"/>
  <c r="S430" i="23"/>
  <c r="W430" i="23"/>
  <c r="AA430" i="23"/>
  <c r="I430" i="23"/>
  <c r="J430" i="23"/>
  <c r="BC430" i="23"/>
  <c r="BD430" i="23"/>
  <c r="BK430" i="23"/>
  <c r="BG430" i="23"/>
  <c r="T430" i="23"/>
  <c r="AB430" i="23"/>
  <c r="K430" i="23"/>
  <c r="BL430" i="23"/>
  <c r="BH430" i="23"/>
  <c r="U430" i="23"/>
  <c r="AC430" i="23"/>
  <c r="L430" i="23"/>
  <c r="BM430" i="23"/>
  <c r="BI430" i="23"/>
  <c r="V430" i="23"/>
  <c r="AD430" i="23"/>
  <c r="M430" i="23"/>
  <c r="BN430" i="23"/>
  <c r="BJ430" i="23"/>
  <c r="AQ431" i="23"/>
  <c r="AR431" i="23"/>
  <c r="AU431" i="23"/>
  <c r="AV431" i="23"/>
  <c r="BE431" i="23"/>
  <c r="BC431" i="23"/>
  <c r="BD431" i="23"/>
  <c r="Q431" i="23"/>
  <c r="S431" i="23"/>
  <c r="W431" i="23"/>
  <c r="AA431" i="23"/>
  <c r="I431" i="23"/>
  <c r="J431" i="23"/>
  <c r="BK431" i="23"/>
  <c r="BG431" i="23"/>
  <c r="T431" i="23"/>
  <c r="AB431" i="23"/>
  <c r="K431" i="23"/>
  <c r="BL431" i="23"/>
  <c r="BH431" i="23"/>
  <c r="U431" i="23"/>
  <c r="AC431" i="23"/>
  <c r="L431" i="23"/>
  <c r="BM431" i="23"/>
  <c r="BI431" i="23"/>
  <c r="V431" i="23"/>
  <c r="AD431" i="23"/>
  <c r="M431" i="23"/>
  <c r="BN431" i="23"/>
  <c r="BJ431" i="23"/>
  <c r="AQ432" i="23"/>
  <c r="AR432" i="23"/>
  <c r="AU432" i="23"/>
  <c r="AV432" i="23"/>
  <c r="BE432" i="23"/>
  <c r="Q432" i="23"/>
  <c r="S432" i="23"/>
  <c r="W432" i="23"/>
  <c r="AA432" i="23"/>
  <c r="I432" i="23"/>
  <c r="J432" i="23"/>
  <c r="BC432" i="23"/>
  <c r="BD432" i="23"/>
  <c r="BK432" i="23"/>
  <c r="BG432" i="23"/>
  <c r="T432" i="23"/>
  <c r="AB432" i="23"/>
  <c r="K432" i="23"/>
  <c r="BL432" i="23"/>
  <c r="BH432" i="23"/>
  <c r="U432" i="23"/>
  <c r="AC432" i="23"/>
  <c r="L432" i="23"/>
  <c r="BM432" i="23"/>
  <c r="BI432" i="23"/>
  <c r="V432" i="23"/>
  <c r="AD432" i="23"/>
  <c r="M432" i="23"/>
  <c r="BN432" i="23"/>
  <c r="BJ432" i="23"/>
  <c r="AQ433" i="23"/>
  <c r="AR433" i="23"/>
  <c r="AU433" i="23"/>
  <c r="AV433" i="23"/>
  <c r="BE433" i="23"/>
  <c r="G433" i="23"/>
  <c r="BC433" i="23"/>
  <c r="BD433" i="23"/>
  <c r="Q433" i="23"/>
  <c r="S433" i="23"/>
  <c r="W433" i="23"/>
  <c r="AA433" i="23"/>
  <c r="I433" i="23"/>
  <c r="J433" i="23"/>
  <c r="BK433" i="23"/>
  <c r="BG433" i="23"/>
  <c r="T433" i="23"/>
  <c r="AB433" i="23"/>
  <c r="K433" i="23"/>
  <c r="BL433" i="23"/>
  <c r="BH433" i="23"/>
  <c r="U433" i="23"/>
  <c r="AC433" i="23"/>
  <c r="L433" i="23"/>
  <c r="BM433" i="23"/>
  <c r="BI433" i="23"/>
  <c r="V433" i="23"/>
  <c r="AD433" i="23"/>
  <c r="M433" i="23"/>
  <c r="BN433" i="23"/>
  <c r="BJ433" i="23"/>
  <c r="AQ434" i="23"/>
  <c r="AR434" i="23"/>
  <c r="AU434" i="23"/>
  <c r="AV434" i="23"/>
  <c r="BE434" i="23"/>
  <c r="BC434" i="23"/>
  <c r="BD434" i="23"/>
  <c r="Q434" i="23"/>
  <c r="U434" i="23"/>
  <c r="W434" i="23"/>
  <c r="AC434" i="23"/>
  <c r="I434" i="23"/>
  <c r="L434" i="23"/>
  <c r="BM434" i="23"/>
  <c r="BI434" i="23"/>
  <c r="AQ435" i="23"/>
  <c r="AR435" i="23"/>
  <c r="AU435" i="23"/>
  <c r="AV435" i="23"/>
  <c r="BE435" i="23"/>
  <c r="BC435" i="23"/>
  <c r="BD435" i="23"/>
  <c r="Q435" i="23"/>
  <c r="S435" i="23"/>
  <c r="W435" i="23"/>
  <c r="AA435" i="23"/>
  <c r="I435" i="23"/>
  <c r="J435" i="23"/>
  <c r="BK435" i="23"/>
  <c r="BG435" i="23"/>
  <c r="T435" i="23"/>
  <c r="AB435" i="23"/>
  <c r="K435" i="23"/>
  <c r="BL435" i="23"/>
  <c r="BH435" i="23"/>
  <c r="U435" i="23"/>
  <c r="AC435" i="23"/>
  <c r="L435" i="23"/>
  <c r="BM435" i="23"/>
  <c r="BI435" i="23"/>
  <c r="V435" i="23"/>
  <c r="AD435" i="23"/>
  <c r="M435" i="23"/>
  <c r="BN435" i="23"/>
  <c r="BJ435" i="23"/>
  <c r="AQ436" i="23"/>
  <c r="AR436" i="23"/>
  <c r="AU436" i="23"/>
  <c r="AV436" i="23"/>
  <c r="BE436" i="23"/>
  <c r="Q436" i="23"/>
  <c r="S436" i="23"/>
  <c r="W436" i="23"/>
  <c r="AA436" i="23"/>
  <c r="I436" i="23"/>
  <c r="J436" i="23"/>
  <c r="G436" i="23"/>
  <c r="BC436" i="23"/>
  <c r="BD436" i="23"/>
  <c r="BK436" i="23"/>
  <c r="BG436" i="23"/>
  <c r="T436" i="23"/>
  <c r="AB436" i="23"/>
  <c r="K436" i="23"/>
  <c r="BL436" i="23"/>
  <c r="BH436" i="23"/>
  <c r="U436" i="23"/>
  <c r="AC436" i="23"/>
  <c r="L436" i="23"/>
  <c r="BM436" i="23"/>
  <c r="BI436" i="23"/>
  <c r="V436" i="23"/>
  <c r="AD436" i="23"/>
  <c r="M436" i="23"/>
  <c r="BN436" i="23"/>
  <c r="BJ436" i="23"/>
  <c r="AQ437" i="23"/>
  <c r="AR437" i="23"/>
  <c r="AU437" i="23"/>
  <c r="AV437" i="23"/>
  <c r="BE437" i="23"/>
  <c r="G437" i="23"/>
  <c r="BC437" i="23"/>
  <c r="BD437" i="23"/>
  <c r="Q437" i="23"/>
  <c r="S437" i="23"/>
  <c r="W437" i="23"/>
  <c r="AA437" i="23"/>
  <c r="I437" i="23"/>
  <c r="J437" i="23"/>
  <c r="BK437" i="23"/>
  <c r="BG437" i="23"/>
  <c r="T437" i="23"/>
  <c r="AB437" i="23"/>
  <c r="K437" i="23"/>
  <c r="BL437" i="23"/>
  <c r="BH437" i="23"/>
  <c r="U437" i="23"/>
  <c r="AC437" i="23"/>
  <c r="L437" i="23"/>
  <c r="BM437" i="23"/>
  <c r="BI437" i="23"/>
  <c r="V437" i="23"/>
  <c r="AD437" i="23"/>
  <c r="M437" i="23"/>
  <c r="BN437" i="23"/>
  <c r="BJ437" i="23"/>
  <c r="AQ438" i="23"/>
  <c r="AR438" i="23"/>
  <c r="AU438" i="23"/>
  <c r="AV438" i="23"/>
  <c r="BE438" i="23"/>
  <c r="G438" i="23"/>
  <c r="BC438" i="23"/>
  <c r="BD438" i="23"/>
  <c r="Q438" i="23"/>
  <c r="S438" i="23"/>
  <c r="W438" i="23"/>
  <c r="AA438" i="23"/>
  <c r="I438" i="23"/>
  <c r="J438" i="23"/>
  <c r="BK438" i="23"/>
  <c r="BG438" i="23"/>
  <c r="T438" i="23"/>
  <c r="AB438" i="23"/>
  <c r="K438" i="23"/>
  <c r="BL438" i="23"/>
  <c r="BH438" i="23"/>
  <c r="U438" i="23"/>
  <c r="AC438" i="23"/>
  <c r="L438" i="23"/>
  <c r="BM438" i="23"/>
  <c r="BI438" i="23"/>
  <c r="V438" i="23"/>
  <c r="AD438" i="23"/>
  <c r="M438" i="23"/>
  <c r="BN438" i="23"/>
  <c r="BJ438" i="23"/>
  <c r="AF380" i="23"/>
  <c r="AF420" i="23"/>
  <c r="AF316" i="23"/>
  <c r="B3" i="52"/>
  <c r="B4" i="52"/>
  <c r="B5" i="52"/>
  <c r="B6" i="52"/>
  <c r="B7" i="52"/>
  <c r="B8" i="52"/>
  <c r="B9" i="52"/>
  <c r="B10" i="52"/>
  <c r="B11" i="52"/>
  <c r="B12" i="52"/>
  <c r="B13" i="52"/>
  <c r="B18" i="52"/>
  <c r="B19" i="52"/>
  <c r="B20" i="52"/>
  <c r="B21" i="52"/>
  <c r="B22" i="52"/>
  <c r="B23" i="52"/>
  <c r="B2" i="52"/>
  <c r="E6" i="49"/>
  <c r="E159" i="33"/>
  <c r="F159" i="33"/>
  <c r="E158" i="33"/>
  <c r="F158" i="33"/>
  <c r="E157" i="33"/>
  <c r="F157" i="33"/>
  <c r="E156" i="33"/>
  <c r="F156" i="33"/>
  <c r="B159" i="33"/>
  <c r="B158" i="33"/>
  <c r="B157" i="33"/>
  <c r="B156" i="33"/>
  <c r="E153" i="33"/>
  <c r="F153" i="33"/>
  <c r="E154" i="33"/>
  <c r="F154" i="33"/>
  <c r="E155" i="33"/>
  <c r="F155" i="33"/>
  <c r="B153" i="33"/>
  <c r="B154" i="33"/>
  <c r="B155" i="33"/>
  <c r="E150" i="33"/>
  <c r="F150" i="33"/>
  <c r="E151" i="33"/>
  <c r="F151" i="33"/>
  <c r="E152" i="33"/>
  <c r="F152" i="33"/>
  <c r="B150" i="33"/>
  <c r="B151" i="33"/>
  <c r="B152" i="33"/>
  <c r="BF438" i="23"/>
  <c r="AX438" i="23"/>
  <c r="AW438" i="23"/>
  <c r="AS438" i="23"/>
  <c r="AN438" i="23"/>
  <c r="AM438" i="23"/>
  <c r="AL438" i="23"/>
  <c r="AK438" i="23"/>
  <c r="AI438" i="23"/>
  <c r="AG438" i="23"/>
  <c r="AH438" i="23"/>
  <c r="AF438" i="23"/>
  <c r="Y438" i="23"/>
  <c r="Z438" i="23"/>
  <c r="X438" i="23"/>
  <c r="R438" i="23"/>
  <c r="O438" i="23"/>
  <c r="N438" i="23"/>
  <c r="F438" i="23"/>
  <c r="E438" i="23"/>
  <c r="D438" i="23"/>
  <c r="C438" i="23"/>
  <c r="AI126" i="23"/>
  <c r="AI124" i="23"/>
  <c r="AI123" i="23"/>
  <c r="AI122" i="23"/>
  <c r="E149" i="33"/>
  <c r="F149" i="33"/>
  <c r="B149" i="33"/>
  <c r="E148" i="33"/>
  <c r="F148" i="33"/>
  <c r="B148" i="33"/>
  <c r="E147" i="33"/>
  <c r="F147" i="33"/>
  <c r="B147" i="33"/>
  <c r="E146" i="33"/>
  <c r="F146" i="33"/>
  <c r="B146" i="33"/>
  <c r="E145" i="33"/>
  <c r="F145" i="33"/>
  <c r="B145" i="33"/>
  <c r="E144" i="33"/>
  <c r="F144" i="33"/>
  <c r="B144" i="33"/>
  <c r="B143" i="33"/>
  <c r="F142" i="33"/>
  <c r="B142" i="33"/>
  <c r="E141" i="33"/>
  <c r="F141" i="33"/>
  <c r="B141" i="33"/>
  <c r="E140" i="33"/>
  <c r="F140" i="33"/>
  <c r="B140" i="33"/>
  <c r="F139" i="33"/>
  <c r="B139" i="33"/>
  <c r="F138" i="33"/>
  <c r="B138" i="33"/>
  <c r="E137" i="33"/>
  <c r="F137" i="33"/>
  <c r="B137" i="33"/>
  <c r="E136" i="33"/>
  <c r="F136" i="33"/>
  <c r="B136" i="33"/>
  <c r="E25" i="33"/>
  <c r="F25" i="33"/>
  <c r="E24" i="33"/>
  <c r="F24" i="33"/>
  <c r="B25" i="33"/>
  <c r="B24" i="33"/>
  <c r="B23" i="33"/>
  <c r="B22" i="33"/>
  <c r="E23" i="33"/>
  <c r="F23" i="33"/>
  <c r="E22" i="33"/>
  <c r="F22" i="33"/>
  <c r="R272" i="23"/>
  <c r="N437" i="23"/>
  <c r="G532" i="3"/>
  <c r="E532" i="3"/>
  <c r="D532" i="3"/>
  <c r="C532" i="3"/>
  <c r="A532" i="3"/>
  <c r="G531" i="3"/>
  <c r="E531" i="3"/>
  <c r="D531" i="3"/>
  <c r="C531" i="3"/>
  <c r="A531" i="3"/>
  <c r="G530" i="3"/>
  <c r="E530" i="3"/>
  <c r="D530" i="3"/>
  <c r="C530" i="3"/>
  <c r="A530" i="3"/>
  <c r="G529" i="3"/>
  <c r="E529" i="3"/>
  <c r="D529" i="3"/>
  <c r="C529" i="3"/>
  <c r="A529" i="3"/>
  <c r="G528" i="3"/>
  <c r="E528" i="3"/>
  <c r="D528" i="3"/>
  <c r="C528" i="3"/>
  <c r="A528" i="3"/>
  <c r="G527" i="3"/>
  <c r="E527" i="3"/>
  <c r="D527" i="3"/>
  <c r="C527" i="3"/>
  <c r="A527" i="3"/>
  <c r="G526" i="3"/>
  <c r="E526" i="3"/>
  <c r="D526" i="3"/>
  <c r="C526" i="3"/>
  <c r="A526" i="3"/>
  <c r="G525" i="3"/>
  <c r="E525" i="3"/>
  <c r="D525" i="3"/>
  <c r="C525" i="3"/>
  <c r="A525" i="3"/>
  <c r="B134" i="33"/>
  <c r="E134" i="33"/>
  <c r="F134" i="33"/>
  <c r="B135" i="33"/>
  <c r="E135" i="33"/>
  <c r="F135" i="33"/>
  <c r="AG437" i="23"/>
  <c r="BF437" i="23"/>
  <c r="AX437" i="23"/>
  <c r="AW437" i="23"/>
  <c r="AS437" i="23"/>
  <c r="AN437" i="23"/>
  <c r="AM437" i="23"/>
  <c r="AL437" i="23"/>
  <c r="AK437" i="23"/>
  <c r="AI437" i="23"/>
  <c r="AH437" i="23"/>
  <c r="AF437" i="23"/>
  <c r="Y437" i="23"/>
  <c r="Z437" i="23"/>
  <c r="X437" i="23"/>
  <c r="R437" i="23"/>
  <c r="O437" i="23"/>
  <c r="F437" i="23"/>
  <c r="E437" i="23"/>
  <c r="D437" i="23"/>
  <c r="C437" i="23"/>
  <c r="E133" i="33"/>
  <c r="F133" i="33"/>
  <c r="B133" i="33"/>
  <c r="E132" i="33"/>
  <c r="F132" i="33"/>
  <c r="B132" i="33"/>
  <c r="B130" i="33"/>
  <c r="E130" i="33"/>
  <c r="F130" i="33"/>
  <c r="B131" i="33"/>
  <c r="E131" i="33"/>
  <c r="F131" i="33"/>
  <c r="B15" i="40"/>
  <c r="E36" i="33"/>
  <c r="F36" i="33"/>
  <c r="B36" i="33"/>
  <c r="E32" i="33"/>
  <c r="F32" i="33"/>
  <c r="E33" i="33"/>
  <c r="F33" i="33"/>
  <c r="E34" i="33"/>
  <c r="F34" i="33"/>
  <c r="E35" i="33"/>
  <c r="F35" i="33"/>
  <c r="E37" i="33"/>
  <c r="F37" i="33"/>
  <c r="E38" i="33"/>
  <c r="F38" i="33"/>
  <c r="E39" i="33"/>
  <c r="F39" i="33"/>
  <c r="E40" i="33"/>
  <c r="F40" i="33"/>
  <c r="B34" i="33"/>
  <c r="B32" i="33"/>
  <c r="B30" i="33"/>
  <c r="E30" i="33"/>
  <c r="F30" i="33"/>
  <c r="BF436" i="23"/>
  <c r="AX436" i="23"/>
  <c r="AW436" i="23"/>
  <c r="AS436" i="23"/>
  <c r="AN436" i="23"/>
  <c r="AM436" i="23"/>
  <c r="AL436" i="23"/>
  <c r="AK436" i="23"/>
  <c r="AI436" i="23"/>
  <c r="AG435" i="23"/>
  <c r="AG436" i="23"/>
  <c r="AH436" i="23"/>
  <c r="AF436" i="23"/>
  <c r="Y436" i="23"/>
  <c r="Z436" i="23"/>
  <c r="X436" i="23"/>
  <c r="R436" i="23"/>
  <c r="P436" i="23"/>
  <c r="O436" i="23"/>
  <c r="N436" i="23"/>
  <c r="F436" i="23"/>
  <c r="E436" i="23"/>
  <c r="D436" i="23"/>
  <c r="C436" i="23"/>
  <c r="P435" i="23"/>
  <c r="AN435" i="23"/>
  <c r="J434" i="23"/>
  <c r="BF435" i="23"/>
  <c r="AX435" i="23"/>
  <c r="AW435" i="23"/>
  <c r="AS435" i="23"/>
  <c r="AM435" i="23"/>
  <c r="AL435" i="23"/>
  <c r="AK435" i="23"/>
  <c r="AI435" i="23"/>
  <c r="AH435" i="23"/>
  <c r="AF435" i="23"/>
  <c r="Y435" i="23"/>
  <c r="Z435" i="23"/>
  <c r="X435" i="23"/>
  <c r="R435" i="23"/>
  <c r="O435" i="23"/>
  <c r="N435" i="23"/>
  <c r="F435" i="23"/>
  <c r="E435" i="23"/>
  <c r="D435" i="23"/>
  <c r="C435" i="23"/>
  <c r="E129" i="33"/>
  <c r="F129" i="33"/>
  <c r="B129" i="33"/>
  <c r="E128" i="33"/>
  <c r="F128" i="33"/>
  <c r="B128" i="33"/>
  <c r="E127" i="33"/>
  <c r="F127" i="33"/>
  <c r="B127" i="33"/>
  <c r="E126" i="33"/>
  <c r="F126" i="33"/>
  <c r="B126" i="33"/>
  <c r="E125" i="33"/>
  <c r="F125" i="33"/>
  <c r="B125" i="33"/>
  <c r="E124" i="33"/>
  <c r="F124" i="33"/>
  <c r="B124" i="33"/>
  <c r="N78" i="23"/>
  <c r="G5" i="11"/>
  <c r="G4" i="11"/>
  <c r="G3" i="11"/>
  <c r="G2" i="11"/>
  <c r="G4" i="13"/>
  <c r="G3" i="13"/>
  <c r="G2" i="13"/>
  <c r="C433" i="23"/>
  <c r="D433" i="23"/>
  <c r="E433" i="23"/>
  <c r="F433" i="23"/>
  <c r="N433" i="23"/>
  <c r="O433" i="23"/>
  <c r="P433" i="23"/>
  <c r="R433" i="23"/>
  <c r="X433" i="23"/>
  <c r="Y433" i="23"/>
  <c r="Z433" i="23"/>
  <c r="AF433" i="23"/>
  <c r="AI433" i="23"/>
  <c r="AK433" i="23"/>
  <c r="AL433" i="23"/>
  <c r="AM433" i="23"/>
  <c r="AN433" i="23"/>
  <c r="AS433" i="23"/>
  <c r="AW433" i="23"/>
  <c r="AX433" i="23"/>
  <c r="BF433" i="23"/>
  <c r="AF43" i="23"/>
  <c r="E123" i="33"/>
  <c r="F123" i="33"/>
  <c r="B123" i="33"/>
  <c r="E122" i="33"/>
  <c r="F122" i="33"/>
  <c r="B122" i="33"/>
  <c r="E121" i="33"/>
  <c r="F121" i="33"/>
  <c r="B121" i="33"/>
  <c r="E120" i="33"/>
  <c r="F120" i="33"/>
  <c r="B120" i="33"/>
  <c r="E119" i="33"/>
  <c r="F119" i="33"/>
  <c r="B119" i="33"/>
  <c r="B118" i="33"/>
  <c r="B117" i="33"/>
  <c r="E117" i="33"/>
  <c r="F117" i="33"/>
  <c r="B108" i="33"/>
  <c r="E108" i="33"/>
  <c r="F108" i="33"/>
  <c r="B109" i="33"/>
  <c r="E109" i="33"/>
  <c r="F109" i="33"/>
  <c r="B110" i="33"/>
  <c r="E110" i="33"/>
  <c r="F110" i="33"/>
  <c r="B111" i="33"/>
  <c r="E111" i="33"/>
  <c r="F111" i="33"/>
  <c r="B112" i="33"/>
  <c r="E112" i="33"/>
  <c r="F112" i="33"/>
  <c r="B113" i="33"/>
  <c r="E113" i="33"/>
  <c r="F113" i="33"/>
  <c r="B114" i="33"/>
  <c r="E114" i="33"/>
  <c r="F114" i="33"/>
  <c r="B115" i="33"/>
  <c r="E115" i="33"/>
  <c r="F115" i="33"/>
  <c r="B116" i="33"/>
  <c r="E116" i="33"/>
  <c r="F116" i="33"/>
  <c r="B106" i="33"/>
  <c r="E106" i="33"/>
  <c r="F106" i="33"/>
  <c r="B107" i="33"/>
  <c r="E107" i="33"/>
  <c r="F107" i="33"/>
  <c r="B103" i="33"/>
  <c r="E103" i="33"/>
  <c r="F103" i="33"/>
  <c r="B104" i="33"/>
  <c r="E104" i="33"/>
  <c r="F104" i="33"/>
  <c r="B105" i="33"/>
  <c r="E105" i="33"/>
  <c r="F105" i="33"/>
  <c r="B14" i="40"/>
  <c r="G11" i="11"/>
  <c r="G10" i="11"/>
  <c r="G9" i="11"/>
  <c r="G8" i="11"/>
  <c r="G9" i="13"/>
  <c r="G10" i="13"/>
  <c r="G8" i="13"/>
  <c r="B71" i="33"/>
  <c r="E71" i="33"/>
  <c r="F71" i="33"/>
  <c r="B72" i="33"/>
  <c r="E72" i="33"/>
  <c r="F72" i="33"/>
  <c r="B73" i="33"/>
  <c r="E73" i="33"/>
  <c r="F73" i="33"/>
  <c r="B74" i="33"/>
  <c r="E74" i="33"/>
  <c r="F74" i="33"/>
  <c r="B75" i="33"/>
  <c r="E75" i="33"/>
  <c r="F75" i="33"/>
  <c r="B76" i="33"/>
  <c r="E76" i="33"/>
  <c r="F76" i="33"/>
  <c r="B77" i="33"/>
  <c r="E77" i="33"/>
  <c r="F77" i="33"/>
  <c r="B78" i="33"/>
  <c r="E78" i="33"/>
  <c r="F78" i="33"/>
  <c r="B79" i="33"/>
  <c r="E79" i="33"/>
  <c r="F79" i="33"/>
  <c r="B80" i="33"/>
  <c r="E80" i="33"/>
  <c r="F80" i="33"/>
  <c r="B81" i="33"/>
  <c r="E81" i="33"/>
  <c r="F81" i="33"/>
  <c r="B82" i="33"/>
  <c r="E82" i="33"/>
  <c r="F82" i="33"/>
  <c r="B83" i="33"/>
  <c r="E83" i="33"/>
  <c r="F83" i="33"/>
  <c r="B84" i="33"/>
  <c r="E84" i="33"/>
  <c r="F84" i="33"/>
  <c r="B85" i="33"/>
  <c r="E85" i="33"/>
  <c r="F85" i="33"/>
  <c r="B86" i="33"/>
  <c r="E86" i="33"/>
  <c r="F86" i="33"/>
  <c r="B87" i="33"/>
  <c r="E87" i="33"/>
  <c r="F87" i="33"/>
  <c r="B88" i="33"/>
  <c r="E88" i="33"/>
  <c r="F88" i="33"/>
  <c r="B89" i="33"/>
  <c r="E89" i="33"/>
  <c r="F89" i="33"/>
  <c r="B90" i="33"/>
  <c r="E90" i="33"/>
  <c r="F90" i="33"/>
  <c r="B91" i="33"/>
  <c r="E91" i="33"/>
  <c r="F91" i="33"/>
  <c r="B92" i="33"/>
  <c r="E92" i="33"/>
  <c r="F92" i="33"/>
  <c r="B93" i="33"/>
  <c r="E93" i="33"/>
  <c r="F93" i="33"/>
  <c r="B94" i="33"/>
  <c r="E94" i="33"/>
  <c r="F94" i="33"/>
  <c r="B95" i="33"/>
  <c r="E95" i="33"/>
  <c r="F95" i="33"/>
  <c r="B96" i="33"/>
  <c r="E96" i="33"/>
  <c r="F96" i="33"/>
  <c r="B97" i="33"/>
  <c r="E97" i="33"/>
  <c r="F97" i="33"/>
  <c r="B98" i="33"/>
  <c r="E98" i="33"/>
  <c r="F98" i="33"/>
  <c r="B99" i="33"/>
  <c r="E99" i="33"/>
  <c r="F99" i="33"/>
  <c r="B100" i="33"/>
  <c r="E100" i="33"/>
  <c r="F100" i="33"/>
  <c r="B101" i="33"/>
  <c r="E101" i="33"/>
  <c r="F101" i="33"/>
  <c r="B102" i="33"/>
  <c r="E102" i="33"/>
  <c r="F102" i="33"/>
  <c r="E7" i="40"/>
  <c r="E8" i="40"/>
  <c r="E6" i="40"/>
  <c r="E13" i="40"/>
  <c r="E11" i="40"/>
  <c r="E12" i="40"/>
  <c r="E10" i="40"/>
  <c r="E9" i="40"/>
  <c r="B13" i="40"/>
  <c r="B12" i="40"/>
  <c r="B11" i="40"/>
  <c r="B10" i="40"/>
  <c r="B9" i="40"/>
  <c r="B8" i="40"/>
  <c r="B7" i="40"/>
  <c r="B6" i="40"/>
  <c r="B5" i="40"/>
  <c r="B4" i="40"/>
  <c r="B3" i="40"/>
  <c r="B2" i="40"/>
  <c r="B67" i="33"/>
  <c r="E67" i="33"/>
  <c r="F67" i="33"/>
  <c r="B68" i="33"/>
  <c r="E68" i="33"/>
  <c r="F68" i="33"/>
  <c r="B69" i="33"/>
  <c r="E69" i="33"/>
  <c r="F69" i="33"/>
  <c r="B70" i="33"/>
  <c r="E70" i="33"/>
  <c r="F70" i="33"/>
  <c r="E3" i="33"/>
  <c r="F3" i="33"/>
  <c r="E4" i="33"/>
  <c r="F4" i="33"/>
  <c r="E5" i="33"/>
  <c r="F5" i="33"/>
  <c r="E6" i="33"/>
  <c r="F6" i="33"/>
  <c r="E7" i="33"/>
  <c r="F7" i="33"/>
  <c r="E8" i="33"/>
  <c r="F8" i="33"/>
  <c r="E9" i="33"/>
  <c r="F9" i="33"/>
  <c r="E10" i="33"/>
  <c r="F10" i="33"/>
  <c r="E11" i="33"/>
  <c r="F11" i="33"/>
  <c r="E12" i="33"/>
  <c r="F12" i="33"/>
  <c r="E13" i="33"/>
  <c r="F13" i="33"/>
  <c r="E14" i="33"/>
  <c r="F14" i="33"/>
  <c r="E15" i="33"/>
  <c r="F15" i="33"/>
  <c r="E16" i="33"/>
  <c r="F16" i="33"/>
  <c r="E17" i="33"/>
  <c r="F17" i="33"/>
  <c r="E18" i="33"/>
  <c r="F18" i="33"/>
  <c r="E19" i="33"/>
  <c r="F19" i="33"/>
  <c r="E20" i="33"/>
  <c r="F20" i="33"/>
  <c r="E21" i="33"/>
  <c r="F21" i="33"/>
  <c r="E26" i="33"/>
  <c r="F26" i="33"/>
  <c r="E27" i="33"/>
  <c r="F27" i="33"/>
  <c r="E28" i="33"/>
  <c r="F28" i="33"/>
  <c r="E29" i="33"/>
  <c r="F29" i="33"/>
  <c r="E31" i="33"/>
  <c r="F31" i="33"/>
  <c r="E41" i="33"/>
  <c r="F41" i="33"/>
  <c r="E42" i="33"/>
  <c r="F42" i="33"/>
  <c r="E43" i="33"/>
  <c r="F43" i="33"/>
  <c r="E44" i="33"/>
  <c r="F44" i="33"/>
  <c r="E45" i="33"/>
  <c r="F45" i="33"/>
  <c r="E46" i="33"/>
  <c r="F46" i="33"/>
  <c r="E47" i="33"/>
  <c r="F47" i="33"/>
  <c r="E48" i="33"/>
  <c r="F48" i="33"/>
  <c r="E49" i="33"/>
  <c r="F49" i="33"/>
  <c r="E50" i="33"/>
  <c r="F50" i="33"/>
  <c r="E51" i="33"/>
  <c r="F51" i="33"/>
  <c r="E52" i="33"/>
  <c r="F52" i="33"/>
  <c r="E53" i="33"/>
  <c r="F53" i="33"/>
  <c r="E54" i="33"/>
  <c r="F54" i="33"/>
  <c r="E55" i="33"/>
  <c r="F55" i="33"/>
  <c r="E56" i="33"/>
  <c r="F56" i="33"/>
  <c r="E57" i="33"/>
  <c r="F57" i="33"/>
  <c r="E58" i="33"/>
  <c r="F58" i="33"/>
  <c r="F59" i="33"/>
  <c r="E60" i="33"/>
  <c r="F60" i="33"/>
  <c r="E61" i="33"/>
  <c r="F61" i="33"/>
  <c r="E62" i="33"/>
  <c r="F62" i="33"/>
  <c r="E63" i="33"/>
  <c r="F63" i="33"/>
  <c r="E64" i="33"/>
  <c r="F64" i="33"/>
  <c r="E65" i="33"/>
  <c r="F65" i="33"/>
  <c r="E66" i="33"/>
  <c r="F66" i="33"/>
  <c r="E2" i="33"/>
  <c r="F2" i="33"/>
  <c r="B62" i="33"/>
  <c r="B63" i="33"/>
  <c r="B64" i="33"/>
  <c r="B66" i="33"/>
  <c r="B61" i="33"/>
  <c r="O434" i="23"/>
  <c r="V434" i="23"/>
  <c r="AD434" i="23"/>
  <c r="M434" i="23"/>
  <c r="T434" i="23"/>
  <c r="AB434" i="23"/>
  <c r="K434" i="23"/>
  <c r="S434" i="23"/>
  <c r="AA434" i="23"/>
  <c r="BF434" i="23"/>
  <c r="AX434" i="23"/>
  <c r="AW434" i="23"/>
  <c r="AS434" i="23"/>
  <c r="AM434" i="23"/>
  <c r="AL434" i="23"/>
  <c r="AK434" i="23"/>
  <c r="AI434" i="23"/>
  <c r="AG434" i="23"/>
  <c r="AH434" i="23"/>
  <c r="AF434" i="23"/>
  <c r="Y434" i="23"/>
  <c r="Z434" i="23"/>
  <c r="X434" i="23"/>
  <c r="R434" i="23"/>
  <c r="N434" i="23"/>
  <c r="F434" i="23"/>
  <c r="E434" i="23"/>
  <c r="D434" i="23"/>
  <c r="C434" i="23"/>
  <c r="B65" i="33"/>
  <c r="F437" i="3"/>
  <c r="F438" i="3"/>
  <c r="F439" i="3"/>
  <c r="G440" i="3"/>
  <c r="E440" i="3"/>
  <c r="D440" i="3"/>
  <c r="C440" i="3"/>
  <c r="A440" i="3"/>
  <c r="B60" i="33"/>
  <c r="P357" i="23"/>
  <c r="P358" i="23"/>
  <c r="P359" i="23"/>
  <c r="P360" i="23"/>
  <c r="G524" i="3"/>
  <c r="E524" i="3"/>
  <c r="D524" i="3"/>
  <c r="C524" i="3"/>
  <c r="A524" i="3"/>
  <c r="G523" i="3"/>
  <c r="E523" i="3"/>
  <c r="D523" i="3"/>
  <c r="C523" i="3"/>
  <c r="A523" i="3"/>
  <c r="G522" i="3"/>
  <c r="E522" i="3"/>
  <c r="D522" i="3"/>
  <c r="C522" i="3"/>
  <c r="A522" i="3"/>
  <c r="G521" i="3"/>
  <c r="E521" i="3"/>
  <c r="D521" i="3"/>
  <c r="C521" i="3"/>
  <c r="A521" i="3"/>
  <c r="B56" i="33"/>
  <c r="B57" i="33"/>
  <c r="B58" i="33"/>
  <c r="B59" i="33"/>
  <c r="F518" i="3"/>
  <c r="F519" i="3"/>
  <c r="F520" i="3"/>
  <c r="G520" i="3"/>
  <c r="E520" i="3"/>
  <c r="D520" i="3"/>
  <c r="C520" i="3"/>
  <c r="A520" i="3"/>
  <c r="G519" i="3"/>
  <c r="E519" i="3"/>
  <c r="D519" i="3"/>
  <c r="C519" i="3"/>
  <c r="A519" i="3"/>
  <c r="G518" i="3"/>
  <c r="E518" i="3"/>
  <c r="D518" i="3"/>
  <c r="C518" i="3"/>
  <c r="A518" i="3"/>
  <c r="G517" i="3"/>
  <c r="E517" i="3"/>
  <c r="D517" i="3"/>
  <c r="C517" i="3"/>
  <c r="A517" i="3"/>
  <c r="C2" i="23"/>
  <c r="D2" i="23"/>
  <c r="E2" i="23"/>
  <c r="F2" i="23"/>
  <c r="N2" i="23"/>
  <c r="O2" i="23"/>
  <c r="P2" i="23"/>
  <c r="R2" i="23"/>
  <c r="X2" i="23"/>
  <c r="Y2" i="23"/>
  <c r="Z2" i="23"/>
  <c r="AF2" i="23"/>
  <c r="AG2" i="23"/>
  <c r="AH2" i="23"/>
  <c r="AI2" i="23"/>
  <c r="AL2" i="23"/>
  <c r="AM2" i="23"/>
  <c r="AN2" i="23"/>
  <c r="AS2" i="23"/>
  <c r="AW2" i="23"/>
  <c r="AX2" i="23"/>
  <c r="BF2" i="23"/>
  <c r="C3" i="23"/>
  <c r="D3" i="23"/>
  <c r="E3" i="23"/>
  <c r="F3" i="23"/>
  <c r="N3" i="23"/>
  <c r="O3" i="23"/>
  <c r="P3" i="23"/>
  <c r="R3" i="23"/>
  <c r="X3" i="23"/>
  <c r="Y3" i="23"/>
  <c r="Z3" i="23"/>
  <c r="AF3" i="23"/>
  <c r="AG3" i="23"/>
  <c r="AH3" i="23"/>
  <c r="AL3" i="23"/>
  <c r="AM3" i="23"/>
  <c r="AN3" i="23"/>
  <c r="AS3" i="23"/>
  <c r="AW3" i="23"/>
  <c r="AX3" i="23"/>
  <c r="BF3" i="23"/>
  <c r="C4" i="23"/>
  <c r="D4" i="23"/>
  <c r="E4" i="23"/>
  <c r="F4" i="23"/>
  <c r="N4" i="23"/>
  <c r="O4" i="23"/>
  <c r="P4" i="23"/>
  <c r="R4" i="23"/>
  <c r="X4" i="23"/>
  <c r="Y4" i="23"/>
  <c r="Z4" i="23"/>
  <c r="AF4" i="23"/>
  <c r="AG4" i="23"/>
  <c r="AH4" i="23"/>
  <c r="AI4" i="23"/>
  <c r="AL4" i="23"/>
  <c r="AM4" i="23"/>
  <c r="AN4" i="23"/>
  <c r="AS4" i="23"/>
  <c r="AW4" i="23"/>
  <c r="AX4" i="23"/>
  <c r="BF4" i="23"/>
  <c r="C5" i="23"/>
  <c r="D5" i="23"/>
  <c r="E5" i="23"/>
  <c r="F5" i="23"/>
  <c r="N5" i="23"/>
  <c r="O5" i="23"/>
  <c r="P5" i="23"/>
  <c r="R5" i="23"/>
  <c r="X5" i="23"/>
  <c r="Y5" i="23"/>
  <c r="Z5" i="23"/>
  <c r="AF5" i="23"/>
  <c r="AG5" i="23"/>
  <c r="AH5" i="23"/>
  <c r="AL5" i="23"/>
  <c r="AM5" i="23"/>
  <c r="AN5" i="23"/>
  <c r="AS5" i="23"/>
  <c r="AW5" i="23"/>
  <c r="AX5" i="23"/>
  <c r="BF5" i="23"/>
  <c r="C6" i="23"/>
  <c r="D6" i="23"/>
  <c r="E6" i="23"/>
  <c r="F6" i="23"/>
  <c r="N6" i="23"/>
  <c r="O6" i="23"/>
  <c r="P6" i="23"/>
  <c r="R6" i="23"/>
  <c r="X6" i="23"/>
  <c r="Y6" i="23"/>
  <c r="Z6" i="23"/>
  <c r="AF6" i="23"/>
  <c r="AG6" i="23"/>
  <c r="AH6" i="23"/>
  <c r="AI6" i="23"/>
  <c r="AL6" i="23"/>
  <c r="AM6" i="23"/>
  <c r="AN6" i="23"/>
  <c r="AS6" i="23"/>
  <c r="AW6" i="23"/>
  <c r="AX6" i="23"/>
  <c r="BF6" i="23"/>
  <c r="C7" i="23"/>
  <c r="D7" i="23"/>
  <c r="E7" i="23"/>
  <c r="F7" i="23"/>
  <c r="N7" i="23"/>
  <c r="O7" i="23"/>
  <c r="P7" i="23"/>
  <c r="R7" i="23"/>
  <c r="X7" i="23"/>
  <c r="Y7" i="23"/>
  <c r="Z7" i="23"/>
  <c r="AF7" i="23"/>
  <c r="AG7" i="23"/>
  <c r="AH7" i="23"/>
  <c r="AL7" i="23"/>
  <c r="AM7" i="23"/>
  <c r="AN7" i="23"/>
  <c r="AS7" i="23"/>
  <c r="AW7" i="23"/>
  <c r="AX7" i="23"/>
  <c r="BF7" i="23"/>
  <c r="C8" i="23"/>
  <c r="D8" i="23"/>
  <c r="E8" i="23"/>
  <c r="F8" i="23"/>
  <c r="N8" i="23"/>
  <c r="O8" i="23"/>
  <c r="P8" i="23"/>
  <c r="R8" i="23"/>
  <c r="X8" i="23"/>
  <c r="Y8" i="23"/>
  <c r="Z8" i="23"/>
  <c r="AF8" i="23"/>
  <c r="AG8" i="23"/>
  <c r="AH8" i="23"/>
  <c r="AI8" i="23"/>
  <c r="AL8" i="23"/>
  <c r="AM8" i="23"/>
  <c r="AN8" i="23"/>
  <c r="AS8" i="23"/>
  <c r="AW8" i="23"/>
  <c r="AX8" i="23"/>
  <c r="BF8" i="23"/>
  <c r="C9" i="23"/>
  <c r="D9" i="23"/>
  <c r="E9" i="23"/>
  <c r="F9" i="23"/>
  <c r="N9" i="23"/>
  <c r="O9" i="23"/>
  <c r="P9" i="23"/>
  <c r="R9" i="23"/>
  <c r="X9" i="23"/>
  <c r="Y9" i="23"/>
  <c r="Z9" i="23"/>
  <c r="AF9" i="23"/>
  <c r="AG9" i="23"/>
  <c r="AH9" i="23"/>
  <c r="AL9" i="23"/>
  <c r="AM9" i="23"/>
  <c r="AN9" i="23"/>
  <c r="AS9" i="23"/>
  <c r="AW9" i="23"/>
  <c r="AX9" i="23"/>
  <c r="BF9" i="23"/>
  <c r="C10" i="23"/>
  <c r="D10" i="23"/>
  <c r="E10" i="23"/>
  <c r="F10" i="23"/>
  <c r="N10" i="23"/>
  <c r="O10" i="23"/>
  <c r="P10" i="23"/>
  <c r="R10" i="23"/>
  <c r="X10" i="23"/>
  <c r="Y10" i="23"/>
  <c r="Z10" i="23"/>
  <c r="AF10" i="23"/>
  <c r="AG10" i="23"/>
  <c r="AH10" i="23"/>
  <c r="AI10" i="23"/>
  <c r="AL10" i="23"/>
  <c r="AM10" i="23"/>
  <c r="AN10" i="23"/>
  <c r="AS10" i="23"/>
  <c r="AW10" i="23"/>
  <c r="AX10" i="23"/>
  <c r="BF10" i="23"/>
  <c r="C11" i="23"/>
  <c r="D11" i="23"/>
  <c r="E11" i="23"/>
  <c r="F11" i="23"/>
  <c r="N11" i="23"/>
  <c r="O11" i="23"/>
  <c r="P11" i="23"/>
  <c r="R11" i="23"/>
  <c r="X11" i="23"/>
  <c r="Y11" i="23"/>
  <c r="Z11" i="23"/>
  <c r="AF11" i="23"/>
  <c r="AG11" i="23"/>
  <c r="AH11" i="23"/>
  <c r="AL11" i="23"/>
  <c r="AM11" i="23"/>
  <c r="AN11" i="23"/>
  <c r="AS11" i="23"/>
  <c r="AW11" i="23"/>
  <c r="AX11" i="23"/>
  <c r="BF11" i="23"/>
  <c r="C12" i="23"/>
  <c r="D12" i="23"/>
  <c r="E12" i="23"/>
  <c r="F12" i="23"/>
  <c r="N12" i="23"/>
  <c r="O12" i="23"/>
  <c r="P12" i="23"/>
  <c r="R12" i="23"/>
  <c r="X12" i="23"/>
  <c r="Y12" i="23"/>
  <c r="Z12" i="23"/>
  <c r="AF12" i="23"/>
  <c r="AG12" i="23"/>
  <c r="AH12" i="23"/>
  <c r="AI12" i="23"/>
  <c r="AL12" i="23"/>
  <c r="AM12" i="23"/>
  <c r="AN12" i="23"/>
  <c r="AS12" i="23"/>
  <c r="AW12" i="23"/>
  <c r="AX12" i="23"/>
  <c r="BF12" i="23"/>
  <c r="C13" i="23"/>
  <c r="D13" i="23"/>
  <c r="E13" i="23"/>
  <c r="F13" i="23"/>
  <c r="N13" i="23"/>
  <c r="O13" i="23"/>
  <c r="P13" i="23"/>
  <c r="R13" i="23"/>
  <c r="X13" i="23"/>
  <c r="Y13" i="23"/>
  <c r="Z13" i="23"/>
  <c r="AF13" i="23"/>
  <c r="AG13" i="23"/>
  <c r="AH13" i="23"/>
  <c r="AL13" i="23"/>
  <c r="AM13" i="23"/>
  <c r="AN13" i="23"/>
  <c r="AS13" i="23"/>
  <c r="AW13" i="23"/>
  <c r="AX13" i="23"/>
  <c r="BF13" i="23"/>
  <c r="C14" i="23"/>
  <c r="D14" i="23"/>
  <c r="E14" i="23"/>
  <c r="F14" i="23"/>
  <c r="N14" i="23"/>
  <c r="O14" i="23"/>
  <c r="P14" i="23"/>
  <c r="R14" i="23"/>
  <c r="X14" i="23"/>
  <c r="Y14" i="23"/>
  <c r="Z14" i="23"/>
  <c r="AF14" i="23"/>
  <c r="AG14" i="23"/>
  <c r="AH14" i="23"/>
  <c r="AI14" i="23"/>
  <c r="AL14" i="23"/>
  <c r="AM14" i="23"/>
  <c r="AN14" i="23"/>
  <c r="AS14" i="23"/>
  <c r="AW14" i="23"/>
  <c r="AX14" i="23"/>
  <c r="BF14" i="23"/>
  <c r="C15" i="23"/>
  <c r="D15" i="23"/>
  <c r="E15" i="23"/>
  <c r="F15" i="23"/>
  <c r="N15" i="23"/>
  <c r="O15" i="23"/>
  <c r="P15" i="23"/>
  <c r="R15" i="23"/>
  <c r="X15" i="23"/>
  <c r="Y15" i="23"/>
  <c r="Z15" i="23"/>
  <c r="AF15" i="23"/>
  <c r="AG15" i="23"/>
  <c r="AH15" i="23"/>
  <c r="AL15" i="23"/>
  <c r="AM15" i="23"/>
  <c r="AN15" i="23"/>
  <c r="AS15" i="23"/>
  <c r="AW15" i="23"/>
  <c r="AX15" i="23"/>
  <c r="BF15" i="23"/>
  <c r="C16" i="23"/>
  <c r="D16" i="23"/>
  <c r="E16" i="23"/>
  <c r="F16" i="23"/>
  <c r="N16" i="23"/>
  <c r="O16" i="23"/>
  <c r="P16" i="23"/>
  <c r="R16" i="23"/>
  <c r="X16" i="23"/>
  <c r="Y16" i="23"/>
  <c r="Z16" i="23"/>
  <c r="AF16" i="23"/>
  <c r="AG16" i="23"/>
  <c r="AH16" i="23"/>
  <c r="AI16" i="23"/>
  <c r="AL16" i="23"/>
  <c r="AM16" i="23"/>
  <c r="AN16" i="23"/>
  <c r="AS16" i="23"/>
  <c r="AW16" i="23"/>
  <c r="AX16" i="23"/>
  <c r="BF16" i="23"/>
  <c r="C17" i="23"/>
  <c r="D17" i="23"/>
  <c r="E17" i="23"/>
  <c r="F17" i="23"/>
  <c r="N17" i="23"/>
  <c r="O17" i="23"/>
  <c r="P17" i="23"/>
  <c r="R17" i="23"/>
  <c r="X17" i="23"/>
  <c r="Y17" i="23"/>
  <c r="Z17" i="23"/>
  <c r="AF17" i="23"/>
  <c r="AG17" i="23"/>
  <c r="AH17" i="23"/>
  <c r="AL17" i="23"/>
  <c r="AM17" i="23"/>
  <c r="AN17" i="23"/>
  <c r="AS17" i="23"/>
  <c r="AW17" i="23"/>
  <c r="AX17" i="23"/>
  <c r="BF17" i="23"/>
  <c r="C18" i="23"/>
  <c r="D18" i="23"/>
  <c r="E18" i="23"/>
  <c r="F18" i="23"/>
  <c r="N18" i="23"/>
  <c r="O18" i="23"/>
  <c r="P18" i="23"/>
  <c r="R18" i="23"/>
  <c r="X18" i="23"/>
  <c r="Y18" i="23"/>
  <c r="Z18" i="23"/>
  <c r="AF18" i="23"/>
  <c r="AG18" i="23"/>
  <c r="AH18" i="23"/>
  <c r="AI18" i="23"/>
  <c r="AL18" i="23"/>
  <c r="AM18" i="23"/>
  <c r="AN18" i="23"/>
  <c r="AS18" i="23"/>
  <c r="AW18" i="23"/>
  <c r="AX18" i="23"/>
  <c r="BF18" i="23"/>
  <c r="C19" i="23"/>
  <c r="D19" i="23"/>
  <c r="E19" i="23"/>
  <c r="F19" i="23"/>
  <c r="N19" i="23"/>
  <c r="O19" i="23"/>
  <c r="P19" i="23"/>
  <c r="R19" i="23"/>
  <c r="X19" i="23"/>
  <c r="Y19" i="23"/>
  <c r="Z19" i="23"/>
  <c r="AF19" i="23"/>
  <c r="AG19" i="23"/>
  <c r="AH19" i="23"/>
  <c r="AL19" i="23"/>
  <c r="AM19" i="23"/>
  <c r="AN19" i="23"/>
  <c r="AS19" i="23"/>
  <c r="AW19" i="23"/>
  <c r="AX19" i="23"/>
  <c r="BF19" i="23"/>
  <c r="C20" i="23"/>
  <c r="D20" i="23"/>
  <c r="E20" i="23"/>
  <c r="F20" i="23"/>
  <c r="N20" i="23"/>
  <c r="O20" i="23"/>
  <c r="P20" i="23"/>
  <c r="R20" i="23"/>
  <c r="X20" i="23"/>
  <c r="Y20" i="23"/>
  <c r="Z20" i="23"/>
  <c r="AF20" i="23"/>
  <c r="AG20" i="23"/>
  <c r="AH20" i="23"/>
  <c r="AI20" i="23"/>
  <c r="AL20" i="23"/>
  <c r="AM20" i="23"/>
  <c r="AN20" i="23"/>
  <c r="AS20" i="23"/>
  <c r="AW20" i="23"/>
  <c r="AX20" i="23"/>
  <c r="BF20" i="23"/>
  <c r="C21" i="23"/>
  <c r="D21" i="23"/>
  <c r="E21" i="23"/>
  <c r="F21" i="23"/>
  <c r="N21" i="23"/>
  <c r="O21" i="23"/>
  <c r="P21" i="23"/>
  <c r="R21" i="23"/>
  <c r="X21" i="23"/>
  <c r="Y21" i="23"/>
  <c r="Z21" i="23"/>
  <c r="AF21" i="23"/>
  <c r="AG21" i="23"/>
  <c r="AH21" i="23"/>
  <c r="AL21" i="23"/>
  <c r="AM21" i="23"/>
  <c r="AN21" i="23"/>
  <c r="AS21" i="23"/>
  <c r="AW21" i="23"/>
  <c r="AX21" i="23"/>
  <c r="BF21" i="23"/>
  <c r="C22" i="23"/>
  <c r="D22" i="23"/>
  <c r="E22" i="23"/>
  <c r="F22" i="23"/>
  <c r="N22" i="23"/>
  <c r="O22" i="23"/>
  <c r="P22" i="23"/>
  <c r="R22" i="23"/>
  <c r="X22" i="23"/>
  <c r="Y22" i="23"/>
  <c r="Z22" i="23"/>
  <c r="AF22" i="23"/>
  <c r="AG22" i="23"/>
  <c r="AH22" i="23"/>
  <c r="AI22" i="23"/>
  <c r="AL22" i="23"/>
  <c r="AM22" i="23"/>
  <c r="AN22" i="23"/>
  <c r="AS22" i="23"/>
  <c r="AW22" i="23"/>
  <c r="AX22" i="23"/>
  <c r="BF22" i="23"/>
  <c r="C23" i="23"/>
  <c r="D23" i="23"/>
  <c r="E23" i="23"/>
  <c r="F23" i="23"/>
  <c r="N23" i="23"/>
  <c r="O23" i="23"/>
  <c r="P23" i="23"/>
  <c r="R23" i="23"/>
  <c r="X23" i="23"/>
  <c r="Y23" i="23"/>
  <c r="Z23" i="23"/>
  <c r="AF23" i="23"/>
  <c r="AG23" i="23"/>
  <c r="AH23" i="23"/>
  <c r="AL23" i="23"/>
  <c r="AM23" i="23"/>
  <c r="AN23" i="23"/>
  <c r="AS23" i="23"/>
  <c r="AW23" i="23"/>
  <c r="AX23" i="23"/>
  <c r="BF23" i="23"/>
  <c r="C24" i="23"/>
  <c r="D24" i="23"/>
  <c r="E24" i="23"/>
  <c r="F24" i="23"/>
  <c r="N24" i="23"/>
  <c r="O24" i="23"/>
  <c r="P24" i="23"/>
  <c r="R24" i="23"/>
  <c r="X24" i="23"/>
  <c r="Y24" i="23"/>
  <c r="Z24" i="23"/>
  <c r="AF24" i="23"/>
  <c r="AG24" i="23"/>
  <c r="AH24" i="23"/>
  <c r="AI24" i="23"/>
  <c r="AL24" i="23"/>
  <c r="AM24" i="23"/>
  <c r="AN24" i="23"/>
  <c r="AS24" i="23"/>
  <c r="AW24" i="23"/>
  <c r="AX24" i="23"/>
  <c r="BF24" i="23"/>
  <c r="C25" i="23"/>
  <c r="D25" i="23"/>
  <c r="E25" i="23"/>
  <c r="F25" i="23"/>
  <c r="N25" i="23"/>
  <c r="O25" i="23"/>
  <c r="P25" i="23"/>
  <c r="R25" i="23"/>
  <c r="X25" i="23"/>
  <c r="Y25" i="23"/>
  <c r="Z25" i="23"/>
  <c r="AF25" i="23"/>
  <c r="AG25" i="23"/>
  <c r="AH25" i="23"/>
  <c r="AL25" i="23"/>
  <c r="AM25" i="23"/>
  <c r="AN25" i="23"/>
  <c r="AS25" i="23"/>
  <c r="AW25" i="23"/>
  <c r="AX25" i="23"/>
  <c r="BF25" i="23"/>
  <c r="C26" i="23"/>
  <c r="D26" i="23"/>
  <c r="E26" i="23"/>
  <c r="F26" i="23"/>
  <c r="N26" i="23"/>
  <c r="O26" i="23"/>
  <c r="P26" i="23"/>
  <c r="R26" i="23"/>
  <c r="X26" i="23"/>
  <c r="Y26" i="23"/>
  <c r="Z26" i="23"/>
  <c r="AF26" i="23"/>
  <c r="AG26" i="23"/>
  <c r="AH26" i="23"/>
  <c r="AI26" i="23"/>
  <c r="AL26" i="23"/>
  <c r="AM26" i="23"/>
  <c r="AN26" i="23"/>
  <c r="AS26" i="23"/>
  <c r="AW26" i="23"/>
  <c r="AX26" i="23"/>
  <c r="BF26" i="23"/>
  <c r="C27" i="23"/>
  <c r="D27" i="23"/>
  <c r="E27" i="23"/>
  <c r="F27" i="23"/>
  <c r="N27" i="23"/>
  <c r="O27" i="23"/>
  <c r="P27" i="23"/>
  <c r="R27" i="23"/>
  <c r="X27" i="23"/>
  <c r="Y27" i="23"/>
  <c r="Z27" i="23"/>
  <c r="AF27" i="23"/>
  <c r="AG27" i="23"/>
  <c r="AH27" i="23"/>
  <c r="AL27" i="23"/>
  <c r="AM27" i="23"/>
  <c r="AN27" i="23"/>
  <c r="AS27" i="23"/>
  <c r="AW27" i="23"/>
  <c r="AX27" i="23"/>
  <c r="BF27" i="23"/>
  <c r="C28" i="23"/>
  <c r="D28" i="23"/>
  <c r="E28" i="23"/>
  <c r="F28" i="23"/>
  <c r="N28" i="23"/>
  <c r="O28" i="23"/>
  <c r="P28" i="23"/>
  <c r="R28" i="23"/>
  <c r="X28" i="23"/>
  <c r="Y28" i="23"/>
  <c r="Z28" i="23"/>
  <c r="AF28" i="23"/>
  <c r="AG28" i="23"/>
  <c r="AH28" i="23"/>
  <c r="AI28" i="23"/>
  <c r="AL28" i="23"/>
  <c r="AM28" i="23"/>
  <c r="AN28" i="23"/>
  <c r="AS28" i="23"/>
  <c r="AW28" i="23"/>
  <c r="AX28" i="23"/>
  <c r="BF28" i="23"/>
  <c r="C29" i="23"/>
  <c r="D29" i="23"/>
  <c r="E29" i="23"/>
  <c r="F29" i="23"/>
  <c r="N29" i="23"/>
  <c r="O29" i="23"/>
  <c r="P29" i="23"/>
  <c r="R29" i="23"/>
  <c r="X29" i="23"/>
  <c r="Y29" i="23"/>
  <c r="Z29" i="23"/>
  <c r="AF29" i="23"/>
  <c r="AG29" i="23"/>
  <c r="AH29" i="23"/>
  <c r="AL29" i="23"/>
  <c r="AM29" i="23"/>
  <c r="AN29" i="23"/>
  <c r="AS29" i="23"/>
  <c r="AW29" i="23"/>
  <c r="AX29" i="23"/>
  <c r="BF29" i="23"/>
  <c r="C30" i="23"/>
  <c r="D30" i="23"/>
  <c r="E30" i="23"/>
  <c r="F30" i="23"/>
  <c r="N30" i="23"/>
  <c r="O30" i="23"/>
  <c r="P30" i="23"/>
  <c r="R30" i="23"/>
  <c r="X30" i="23"/>
  <c r="Y30" i="23"/>
  <c r="Z30" i="23"/>
  <c r="AF30" i="23"/>
  <c r="AG30" i="23"/>
  <c r="AH30" i="23"/>
  <c r="AI30" i="23"/>
  <c r="AL30" i="23"/>
  <c r="AM30" i="23"/>
  <c r="AN30" i="23"/>
  <c r="AS30" i="23"/>
  <c r="AW30" i="23"/>
  <c r="AX30" i="23"/>
  <c r="BF30" i="23"/>
  <c r="C31" i="23"/>
  <c r="D31" i="23"/>
  <c r="E31" i="23"/>
  <c r="F31" i="23"/>
  <c r="N31" i="23"/>
  <c r="O31" i="23"/>
  <c r="P31" i="23"/>
  <c r="R31" i="23"/>
  <c r="X31" i="23"/>
  <c r="Y31" i="23"/>
  <c r="Z31" i="23"/>
  <c r="AF31" i="23"/>
  <c r="AG31" i="23"/>
  <c r="AH31" i="23"/>
  <c r="AL31" i="23"/>
  <c r="AM31" i="23"/>
  <c r="AN31" i="23"/>
  <c r="AS31" i="23"/>
  <c r="AW31" i="23"/>
  <c r="AX31" i="23"/>
  <c r="BF31" i="23"/>
  <c r="C32" i="23"/>
  <c r="D32" i="23"/>
  <c r="E32" i="23"/>
  <c r="F32" i="23"/>
  <c r="N32" i="23"/>
  <c r="O32" i="23"/>
  <c r="P32" i="23"/>
  <c r="R32" i="23"/>
  <c r="X32" i="23"/>
  <c r="Y32" i="23"/>
  <c r="Z32" i="23"/>
  <c r="AF32" i="23"/>
  <c r="AG32" i="23"/>
  <c r="AH32" i="23"/>
  <c r="AI32" i="23"/>
  <c r="AL32" i="23"/>
  <c r="AM32" i="23"/>
  <c r="AN32" i="23"/>
  <c r="AS32" i="23"/>
  <c r="AW32" i="23"/>
  <c r="AX32" i="23"/>
  <c r="BF32" i="23"/>
  <c r="C33" i="23"/>
  <c r="D33" i="23"/>
  <c r="E33" i="23"/>
  <c r="F33" i="23"/>
  <c r="N33" i="23"/>
  <c r="O33" i="23"/>
  <c r="P33" i="23"/>
  <c r="R33" i="23"/>
  <c r="X33" i="23"/>
  <c r="Y33" i="23"/>
  <c r="Z33" i="23"/>
  <c r="AF33" i="23"/>
  <c r="AG33" i="23"/>
  <c r="AH33" i="23"/>
  <c r="AL33" i="23"/>
  <c r="AM33" i="23"/>
  <c r="AN33" i="23"/>
  <c r="AS33" i="23"/>
  <c r="AW33" i="23"/>
  <c r="AX33" i="23"/>
  <c r="BF33" i="23"/>
  <c r="C34" i="23"/>
  <c r="D34" i="23"/>
  <c r="E34" i="23"/>
  <c r="F34" i="23"/>
  <c r="N34" i="23"/>
  <c r="O34" i="23"/>
  <c r="P34" i="23"/>
  <c r="R34" i="23"/>
  <c r="X34" i="23"/>
  <c r="Y34" i="23"/>
  <c r="Z34" i="23"/>
  <c r="AF34" i="23"/>
  <c r="AG34" i="23"/>
  <c r="AH34" i="23"/>
  <c r="AI34" i="23"/>
  <c r="AL34" i="23"/>
  <c r="AM34" i="23"/>
  <c r="AN34" i="23"/>
  <c r="AS34" i="23"/>
  <c r="AW34" i="23"/>
  <c r="AX34" i="23"/>
  <c r="BF34" i="23"/>
  <c r="C35" i="23"/>
  <c r="D35" i="23"/>
  <c r="E35" i="23"/>
  <c r="F35" i="23"/>
  <c r="N35" i="23"/>
  <c r="O35" i="23"/>
  <c r="P35" i="23"/>
  <c r="R35" i="23"/>
  <c r="X35" i="23"/>
  <c r="Y35" i="23"/>
  <c r="Z35" i="23"/>
  <c r="AF35" i="23"/>
  <c r="AG35" i="23"/>
  <c r="AH35" i="23"/>
  <c r="AL35" i="23"/>
  <c r="AM35" i="23"/>
  <c r="AN35" i="23"/>
  <c r="AS35" i="23"/>
  <c r="AW35" i="23"/>
  <c r="AX35" i="23"/>
  <c r="BF35" i="23"/>
  <c r="C36" i="23"/>
  <c r="D36" i="23"/>
  <c r="E36" i="23"/>
  <c r="F36" i="23"/>
  <c r="N36" i="23"/>
  <c r="O36" i="23"/>
  <c r="P36" i="23"/>
  <c r="R36" i="23"/>
  <c r="X36" i="23"/>
  <c r="Y36" i="23"/>
  <c r="Z36" i="23"/>
  <c r="AF36" i="23"/>
  <c r="AG36" i="23"/>
  <c r="AH36" i="23"/>
  <c r="AI36" i="23"/>
  <c r="AL36" i="23"/>
  <c r="AM36" i="23"/>
  <c r="AN36" i="23"/>
  <c r="AS36" i="23"/>
  <c r="AW36" i="23"/>
  <c r="AX36" i="23"/>
  <c r="BF36" i="23"/>
  <c r="C37" i="23"/>
  <c r="D37" i="23"/>
  <c r="E37" i="23"/>
  <c r="F37" i="23"/>
  <c r="N37" i="23"/>
  <c r="O37" i="23"/>
  <c r="P37" i="23"/>
  <c r="R37" i="23"/>
  <c r="X37" i="23"/>
  <c r="Y37" i="23"/>
  <c r="Z37" i="23"/>
  <c r="AF37" i="23"/>
  <c r="AG37" i="23"/>
  <c r="AH37" i="23"/>
  <c r="AL37" i="23"/>
  <c r="AM37" i="23"/>
  <c r="AN37" i="23"/>
  <c r="AS37" i="23"/>
  <c r="AW37" i="23"/>
  <c r="AX37" i="23"/>
  <c r="BF37" i="23"/>
  <c r="C38" i="23"/>
  <c r="D38" i="23"/>
  <c r="E38" i="23"/>
  <c r="F38" i="23"/>
  <c r="N38" i="23"/>
  <c r="O38" i="23"/>
  <c r="P38" i="23"/>
  <c r="R38" i="23"/>
  <c r="X38" i="23"/>
  <c r="Y38" i="23"/>
  <c r="Z38" i="23"/>
  <c r="AF38" i="23"/>
  <c r="AG38" i="23"/>
  <c r="AH38" i="23"/>
  <c r="AI38" i="23"/>
  <c r="AL38" i="23"/>
  <c r="AM38" i="23"/>
  <c r="AN38" i="23"/>
  <c r="AS38" i="23"/>
  <c r="AW38" i="23"/>
  <c r="AX38" i="23"/>
  <c r="BF38" i="23"/>
  <c r="C39" i="23"/>
  <c r="D39" i="23"/>
  <c r="E39" i="23"/>
  <c r="F39" i="23"/>
  <c r="N39" i="23"/>
  <c r="O39" i="23"/>
  <c r="P39" i="23"/>
  <c r="R39" i="23"/>
  <c r="X39" i="23"/>
  <c r="Y39" i="23"/>
  <c r="Z39" i="23"/>
  <c r="AF39" i="23"/>
  <c r="AG39" i="23"/>
  <c r="AH39" i="23"/>
  <c r="AL39" i="23"/>
  <c r="AM39" i="23"/>
  <c r="AN39" i="23"/>
  <c r="AS39" i="23"/>
  <c r="AW39" i="23"/>
  <c r="AX39" i="23"/>
  <c r="BF39" i="23"/>
  <c r="C40" i="23"/>
  <c r="D40" i="23"/>
  <c r="E40" i="23"/>
  <c r="F40" i="23"/>
  <c r="N40" i="23"/>
  <c r="O40" i="23"/>
  <c r="P40" i="23"/>
  <c r="R40" i="23"/>
  <c r="X40" i="23"/>
  <c r="Y40" i="23"/>
  <c r="Z40" i="23"/>
  <c r="AF40" i="23"/>
  <c r="AG40" i="23"/>
  <c r="AH40" i="23"/>
  <c r="AI40" i="23"/>
  <c r="AL40" i="23"/>
  <c r="AM40" i="23"/>
  <c r="AN40" i="23"/>
  <c r="AS40" i="23"/>
  <c r="AW40" i="23"/>
  <c r="AX40" i="23"/>
  <c r="BF40" i="23"/>
  <c r="C41" i="23"/>
  <c r="D41" i="23"/>
  <c r="E41" i="23"/>
  <c r="F41" i="23"/>
  <c r="N41" i="23"/>
  <c r="O41" i="23"/>
  <c r="P41" i="23"/>
  <c r="R41" i="23"/>
  <c r="X41" i="23"/>
  <c r="Y41" i="23"/>
  <c r="Z41" i="23"/>
  <c r="AF41" i="23"/>
  <c r="AG41" i="23"/>
  <c r="AH41" i="23"/>
  <c r="AL41" i="23"/>
  <c r="AM41" i="23"/>
  <c r="AN41" i="23"/>
  <c r="AS41" i="23"/>
  <c r="AW41" i="23"/>
  <c r="AX41" i="23"/>
  <c r="BF41" i="23"/>
  <c r="C42" i="23"/>
  <c r="D42" i="23"/>
  <c r="E42" i="23"/>
  <c r="F42" i="23"/>
  <c r="N42" i="23"/>
  <c r="O42" i="23"/>
  <c r="P42" i="23"/>
  <c r="R42" i="23"/>
  <c r="X42" i="23"/>
  <c r="Y42" i="23"/>
  <c r="Z42" i="23"/>
  <c r="AF42" i="23"/>
  <c r="AG42" i="23"/>
  <c r="AH42" i="23"/>
  <c r="AI42" i="23"/>
  <c r="AL42" i="23"/>
  <c r="AM42" i="23"/>
  <c r="AN42" i="23"/>
  <c r="AS42" i="23"/>
  <c r="AW42" i="23"/>
  <c r="AX42" i="23"/>
  <c r="BF42" i="23"/>
  <c r="C43" i="23"/>
  <c r="D43" i="23"/>
  <c r="E43" i="23"/>
  <c r="F43" i="23"/>
  <c r="N43" i="23"/>
  <c r="O43" i="23"/>
  <c r="P43" i="23"/>
  <c r="R43" i="23"/>
  <c r="X43" i="23"/>
  <c r="Y43" i="23"/>
  <c r="Z43" i="23"/>
  <c r="AG43" i="23"/>
  <c r="AH43" i="23"/>
  <c r="AL43" i="23"/>
  <c r="AM43" i="23"/>
  <c r="AN43" i="23"/>
  <c r="AS43" i="23"/>
  <c r="AW43" i="23"/>
  <c r="AX43" i="23"/>
  <c r="BF43" i="23"/>
  <c r="C44" i="23"/>
  <c r="D44" i="23"/>
  <c r="E44" i="23"/>
  <c r="F44" i="23"/>
  <c r="N44" i="23"/>
  <c r="O44" i="23"/>
  <c r="P44" i="23"/>
  <c r="R44" i="23"/>
  <c r="X44" i="23"/>
  <c r="Y44" i="23"/>
  <c r="Z44" i="23"/>
  <c r="AF44" i="23"/>
  <c r="AG44" i="23"/>
  <c r="AH44" i="23"/>
  <c r="AI44" i="23"/>
  <c r="AL44" i="23"/>
  <c r="AM44" i="23"/>
  <c r="AN44" i="23"/>
  <c r="AS44" i="23"/>
  <c r="AW44" i="23"/>
  <c r="AX44" i="23"/>
  <c r="BF44" i="23"/>
  <c r="C45" i="23"/>
  <c r="D45" i="23"/>
  <c r="E45" i="23"/>
  <c r="F45" i="23"/>
  <c r="N45" i="23"/>
  <c r="O45" i="23"/>
  <c r="P45" i="23"/>
  <c r="R45" i="23"/>
  <c r="X45" i="23"/>
  <c r="Y45" i="23"/>
  <c r="Z45" i="23"/>
  <c r="AF45" i="23"/>
  <c r="AG45" i="23"/>
  <c r="AH45" i="23"/>
  <c r="AL45" i="23"/>
  <c r="AM45" i="23"/>
  <c r="AN45" i="23"/>
  <c r="AS45" i="23"/>
  <c r="AW45" i="23"/>
  <c r="AX45" i="23"/>
  <c r="BF45" i="23"/>
  <c r="C46" i="23"/>
  <c r="D46" i="23"/>
  <c r="E46" i="23"/>
  <c r="F46" i="23"/>
  <c r="N46" i="23"/>
  <c r="O46" i="23"/>
  <c r="P46" i="23"/>
  <c r="R46" i="23"/>
  <c r="X46" i="23"/>
  <c r="Y46" i="23"/>
  <c r="Z46" i="23"/>
  <c r="AF46" i="23"/>
  <c r="AG46" i="23"/>
  <c r="AH46" i="23"/>
  <c r="AI46" i="23"/>
  <c r="AL46" i="23"/>
  <c r="AM46" i="23"/>
  <c r="AN46" i="23"/>
  <c r="AS46" i="23"/>
  <c r="AW46" i="23"/>
  <c r="AX46" i="23"/>
  <c r="BF46" i="23"/>
  <c r="C47" i="23"/>
  <c r="D47" i="23"/>
  <c r="E47" i="23"/>
  <c r="F47" i="23"/>
  <c r="N47" i="23"/>
  <c r="O47" i="23"/>
  <c r="P47" i="23"/>
  <c r="R47" i="23"/>
  <c r="X47" i="23"/>
  <c r="Y47" i="23"/>
  <c r="Z47" i="23"/>
  <c r="AF47" i="23"/>
  <c r="AG47" i="23"/>
  <c r="AH47" i="23"/>
  <c r="AL47" i="23"/>
  <c r="AM47" i="23"/>
  <c r="AN47" i="23"/>
  <c r="AS47" i="23"/>
  <c r="AW47" i="23"/>
  <c r="AX47" i="23"/>
  <c r="BF47" i="23"/>
  <c r="C48" i="23"/>
  <c r="D48" i="23"/>
  <c r="E48" i="23"/>
  <c r="F48" i="23"/>
  <c r="N48" i="23"/>
  <c r="O48" i="23"/>
  <c r="P48" i="23"/>
  <c r="R48" i="23"/>
  <c r="X48" i="23"/>
  <c r="Y48" i="23"/>
  <c r="Z48" i="23"/>
  <c r="AF48" i="23"/>
  <c r="AG48" i="23"/>
  <c r="AH48" i="23"/>
  <c r="AI48" i="23"/>
  <c r="AL48" i="23"/>
  <c r="AM48" i="23"/>
  <c r="AN48" i="23"/>
  <c r="AS48" i="23"/>
  <c r="AW48" i="23"/>
  <c r="AX48" i="23"/>
  <c r="BF48" i="23"/>
  <c r="C49" i="23"/>
  <c r="D49" i="23"/>
  <c r="E49" i="23"/>
  <c r="F49" i="23"/>
  <c r="N49" i="23"/>
  <c r="O49" i="23"/>
  <c r="P49" i="23"/>
  <c r="R49" i="23"/>
  <c r="X49" i="23"/>
  <c r="Y49" i="23"/>
  <c r="Z49" i="23"/>
  <c r="AF49" i="23"/>
  <c r="AG49" i="23"/>
  <c r="AH49" i="23"/>
  <c r="AL49" i="23"/>
  <c r="AM49" i="23"/>
  <c r="AN49" i="23"/>
  <c r="AS49" i="23"/>
  <c r="AW49" i="23"/>
  <c r="AX49" i="23"/>
  <c r="BF49" i="23"/>
  <c r="C50" i="23"/>
  <c r="D50" i="23"/>
  <c r="E50" i="23"/>
  <c r="F50" i="23"/>
  <c r="N50" i="23"/>
  <c r="O50" i="23"/>
  <c r="P50" i="23"/>
  <c r="R50" i="23"/>
  <c r="X50" i="23"/>
  <c r="Y50" i="23"/>
  <c r="Z50" i="23"/>
  <c r="AF50" i="23"/>
  <c r="AG50" i="23"/>
  <c r="AH50" i="23"/>
  <c r="AI50" i="23"/>
  <c r="AL50" i="23"/>
  <c r="AM50" i="23"/>
  <c r="AN50" i="23"/>
  <c r="AS50" i="23"/>
  <c r="AW50" i="23"/>
  <c r="AX50" i="23"/>
  <c r="BF50" i="23"/>
  <c r="C51" i="23"/>
  <c r="D51" i="23"/>
  <c r="E51" i="23"/>
  <c r="F51" i="23"/>
  <c r="N51" i="23"/>
  <c r="O51" i="23"/>
  <c r="P51" i="23"/>
  <c r="R51" i="23"/>
  <c r="X51" i="23"/>
  <c r="Y51" i="23"/>
  <c r="Z51" i="23"/>
  <c r="AF51" i="23"/>
  <c r="AG51" i="23"/>
  <c r="AH51" i="23"/>
  <c r="AL51" i="23"/>
  <c r="AM51" i="23"/>
  <c r="AN51" i="23"/>
  <c r="AS51" i="23"/>
  <c r="AW51" i="23"/>
  <c r="AX51" i="23"/>
  <c r="BF51" i="23"/>
  <c r="C52" i="23"/>
  <c r="D52" i="23"/>
  <c r="E52" i="23"/>
  <c r="F52" i="23"/>
  <c r="N52" i="23"/>
  <c r="O52" i="23"/>
  <c r="P52" i="23"/>
  <c r="R52" i="23"/>
  <c r="X52" i="23"/>
  <c r="Y52" i="23"/>
  <c r="Z52" i="23"/>
  <c r="AF52" i="23"/>
  <c r="AG52" i="23"/>
  <c r="AH52" i="23"/>
  <c r="AI52" i="23"/>
  <c r="AL52" i="23"/>
  <c r="AM52" i="23"/>
  <c r="AN52" i="23"/>
  <c r="AS52" i="23"/>
  <c r="AW52" i="23"/>
  <c r="AX52" i="23"/>
  <c r="BF52" i="23"/>
  <c r="C53" i="23"/>
  <c r="D53" i="23"/>
  <c r="E53" i="23"/>
  <c r="F53" i="23"/>
  <c r="N53" i="23"/>
  <c r="O53" i="23"/>
  <c r="P53" i="23"/>
  <c r="R53" i="23"/>
  <c r="X53" i="23"/>
  <c r="Y53" i="23"/>
  <c r="Z53" i="23"/>
  <c r="AF53" i="23"/>
  <c r="AG53" i="23"/>
  <c r="AH53" i="23"/>
  <c r="AL53" i="23"/>
  <c r="AM53" i="23"/>
  <c r="AN53" i="23"/>
  <c r="AS53" i="23"/>
  <c r="AW53" i="23"/>
  <c r="AX53" i="23"/>
  <c r="BF53" i="23"/>
  <c r="C54" i="23"/>
  <c r="D54" i="23"/>
  <c r="E54" i="23"/>
  <c r="F54" i="23"/>
  <c r="N54" i="23"/>
  <c r="O54" i="23"/>
  <c r="P54" i="23"/>
  <c r="R54" i="23"/>
  <c r="X54" i="23"/>
  <c r="Y54" i="23"/>
  <c r="Z54" i="23"/>
  <c r="AF54" i="23"/>
  <c r="AG54" i="23"/>
  <c r="AH54" i="23"/>
  <c r="AI54" i="23"/>
  <c r="AL54" i="23"/>
  <c r="AM54" i="23"/>
  <c r="AN54" i="23"/>
  <c r="AS54" i="23"/>
  <c r="AW54" i="23"/>
  <c r="AX54" i="23"/>
  <c r="BF54" i="23"/>
  <c r="C55" i="23"/>
  <c r="D55" i="23"/>
  <c r="E55" i="23"/>
  <c r="F55" i="23"/>
  <c r="N55" i="23"/>
  <c r="O55" i="23"/>
  <c r="P55" i="23"/>
  <c r="R55" i="23"/>
  <c r="X55" i="23"/>
  <c r="Y55" i="23"/>
  <c r="Z55" i="23"/>
  <c r="AF55" i="23"/>
  <c r="AG55" i="23"/>
  <c r="AH55" i="23"/>
  <c r="AL55" i="23"/>
  <c r="AM55" i="23"/>
  <c r="AN55" i="23"/>
  <c r="AS55" i="23"/>
  <c r="AW55" i="23"/>
  <c r="AX55" i="23"/>
  <c r="BF55" i="23"/>
  <c r="C56" i="23"/>
  <c r="D56" i="23"/>
  <c r="E56" i="23"/>
  <c r="F56" i="23"/>
  <c r="N56" i="23"/>
  <c r="O56" i="23"/>
  <c r="P56" i="23"/>
  <c r="R56" i="23"/>
  <c r="X56" i="23"/>
  <c r="Y56" i="23"/>
  <c r="Z56" i="23"/>
  <c r="AF56" i="23"/>
  <c r="AG56" i="23"/>
  <c r="AH56" i="23"/>
  <c r="AI56" i="23"/>
  <c r="AL56" i="23"/>
  <c r="AM56" i="23"/>
  <c r="AN56" i="23"/>
  <c r="AS56" i="23"/>
  <c r="AW56" i="23"/>
  <c r="AX56" i="23"/>
  <c r="BF56" i="23"/>
  <c r="C57" i="23"/>
  <c r="D57" i="23"/>
  <c r="E57" i="23"/>
  <c r="F57" i="23"/>
  <c r="N57" i="23"/>
  <c r="O57" i="23"/>
  <c r="P57" i="23"/>
  <c r="R57" i="23"/>
  <c r="X57" i="23"/>
  <c r="Y57" i="23"/>
  <c r="Z57" i="23"/>
  <c r="AF57" i="23"/>
  <c r="AG57" i="23"/>
  <c r="AH57" i="23"/>
  <c r="AL57" i="23"/>
  <c r="AM57" i="23"/>
  <c r="AN57" i="23"/>
  <c r="AS57" i="23"/>
  <c r="AW57" i="23"/>
  <c r="AX57" i="23"/>
  <c r="BF57" i="23"/>
  <c r="C58" i="23"/>
  <c r="D58" i="23"/>
  <c r="E58" i="23"/>
  <c r="F58" i="23"/>
  <c r="N58" i="23"/>
  <c r="O58" i="23"/>
  <c r="P58" i="23"/>
  <c r="R58" i="23"/>
  <c r="X58" i="23"/>
  <c r="Y58" i="23"/>
  <c r="Z58" i="23"/>
  <c r="AF58" i="23"/>
  <c r="AG58" i="23"/>
  <c r="AH58" i="23"/>
  <c r="AI58" i="23"/>
  <c r="AL58" i="23"/>
  <c r="AM58" i="23"/>
  <c r="AN58" i="23"/>
  <c r="AS58" i="23"/>
  <c r="AW58" i="23"/>
  <c r="AX58" i="23"/>
  <c r="BF58" i="23"/>
  <c r="C59" i="23"/>
  <c r="D59" i="23"/>
  <c r="E59" i="23"/>
  <c r="F59" i="23"/>
  <c r="N59" i="23"/>
  <c r="O59" i="23"/>
  <c r="P59" i="23"/>
  <c r="R59" i="23"/>
  <c r="X59" i="23"/>
  <c r="Y59" i="23"/>
  <c r="Z59" i="23"/>
  <c r="AF59" i="23"/>
  <c r="AG59" i="23"/>
  <c r="AH59" i="23"/>
  <c r="AL59" i="23"/>
  <c r="AM59" i="23"/>
  <c r="AN59" i="23"/>
  <c r="AS59" i="23"/>
  <c r="AW59" i="23"/>
  <c r="AX59" i="23"/>
  <c r="BF59" i="23"/>
  <c r="C60" i="23"/>
  <c r="D60" i="23"/>
  <c r="E60" i="23"/>
  <c r="F60" i="23"/>
  <c r="N60" i="23"/>
  <c r="O60" i="23"/>
  <c r="P60" i="23"/>
  <c r="R60" i="23"/>
  <c r="X60" i="23"/>
  <c r="Y60" i="23"/>
  <c r="Z60" i="23"/>
  <c r="AF60" i="23"/>
  <c r="AG60" i="23"/>
  <c r="AH60" i="23"/>
  <c r="AI60" i="23"/>
  <c r="AL60" i="23"/>
  <c r="AM60" i="23"/>
  <c r="AN60" i="23"/>
  <c r="AS60" i="23"/>
  <c r="AW60" i="23"/>
  <c r="AX60" i="23"/>
  <c r="BF60" i="23"/>
  <c r="C61" i="23"/>
  <c r="D61" i="23"/>
  <c r="E61" i="23"/>
  <c r="F61" i="23"/>
  <c r="N61" i="23"/>
  <c r="O61" i="23"/>
  <c r="P61" i="23"/>
  <c r="R61" i="23"/>
  <c r="X61" i="23"/>
  <c r="Y61" i="23"/>
  <c r="Z61" i="23"/>
  <c r="AF61" i="23"/>
  <c r="AG61" i="23"/>
  <c r="AH61" i="23"/>
  <c r="AL61" i="23"/>
  <c r="AM61" i="23"/>
  <c r="AN61" i="23"/>
  <c r="AS61" i="23"/>
  <c r="AW61" i="23"/>
  <c r="AX61" i="23"/>
  <c r="BF61" i="23"/>
  <c r="C62" i="23"/>
  <c r="D62" i="23"/>
  <c r="E62" i="23"/>
  <c r="F62" i="23"/>
  <c r="N62" i="23"/>
  <c r="O62" i="23"/>
  <c r="P62" i="23"/>
  <c r="R62" i="23"/>
  <c r="X62" i="23"/>
  <c r="Y62" i="23"/>
  <c r="Z62" i="23"/>
  <c r="AF62" i="23"/>
  <c r="AG62" i="23"/>
  <c r="AH62" i="23"/>
  <c r="AI62" i="23"/>
  <c r="AL62" i="23"/>
  <c r="AM62" i="23"/>
  <c r="AN62" i="23"/>
  <c r="AS62" i="23"/>
  <c r="AW62" i="23"/>
  <c r="AX62" i="23"/>
  <c r="BF62" i="23"/>
  <c r="C63" i="23"/>
  <c r="D63" i="23"/>
  <c r="E63" i="23"/>
  <c r="F63" i="23"/>
  <c r="N63" i="23"/>
  <c r="O63" i="23"/>
  <c r="P63" i="23"/>
  <c r="R63" i="23"/>
  <c r="X63" i="23"/>
  <c r="Y63" i="23"/>
  <c r="Z63" i="23"/>
  <c r="AF63" i="23"/>
  <c r="AG63" i="23"/>
  <c r="AH63" i="23"/>
  <c r="AL63" i="23"/>
  <c r="AM63" i="23"/>
  <c r="AN63" i="23"/>
  <c r="AS63" i="23"/>
  <c r="AW63" i="23"/>
  <c r="AX63" i="23"/>
  <c r="BF63" i="23"/>
  <c r="C64" i="23"/>
  <c r="D64" i="23"/>
  <c r="E64" i="23"/>
  <c r="F64" i="23"/>
  <c r="N64" i="23"/>
  <c r="O64" i="23"/>
  <c r="P64" i="23"/>
  <c r="R64" i="23"/>
  <c r="X64" i="23"/>
  <c r="Y64" i="23"/>
  <c r="Z64" i="23"/>
  <c r="AF64" i="23"/>
  <c r="AG64" i="23"/>
  <c r="AH64" i="23"/>
  <c r="AI64" i="23"/>
  <c r="AL64" i="23"/>
  <c r="AM64" i="23"/>
  <c r="AN64" i="23"/>
  <c r="AS64" i="23"/>
  <c r="AW64" i="23"/>
  <c r="AX64" i="23"/>
  <c r="BF64" i="23"/>
  <c r="C65" i="23"/>
  <c r="D65" i="23"/>
  <c r="E65" i="23"/>
  <c r="F65" i="23"/>
  <c r="N65" i="23"/>
  <c r="O65" i="23"/>
  <c r="P65" i="23"/>
  <c r="R65" i="23"/>
  <c r="X65" i="23"/>
  <c r="Y65" i="23"/>
  <c r="Z65" i="23"/>
  <c r="AF65" i="23"/>
  <c r="AG65" i="23"/>
  <c r="AH65" i="23"/>
  <c r="AL65" i="23"/>
  <c r="AM65" i="23"/>
  <c r="AN65" i="23"/>
  <c r="AS65" i="23"/>
  <c r="AW65" i="23"/>
  <c r="AX65" i="23"/>
  <c r="BF65" i="23"/>
  <c r="C66" i="23"/>
  <c r="D66" i="23"/>
  <c r="E66" i="23"/>
  <c r="F66" i="23"/>
  <c r="N66" i="23"/>
  <c r="O66" i="23"/>
  <c r="P66" i="23"/>
  <c r="R66" i="23"/>
  <c r="X66" i="23"/>
  <c r="Y66" i="23"/>
  <c r="Z66" i="23"/>
  <c r="AF66" i="23"/>
  <c r="AG66" i="23"/>
  <c r="AH66" i="23"/>
  <c r="AI66" i="23"/>
  <c r="AL66" i="23"/>
  <c r="AM66" i="23"/>
  <c r="AN66" i="23"/>
  <c r="AS66" i="23"/>
  <c r="AW66" i="23"/>
  <c r="AX66" i="23"/>
  <c r="BF66" i="23"/>
  <c r="C67" i="23"/>
  <c r="D67" i="23"/>
  <c r="E67" i="23"/>
  <c r="F67" i="23"/>
  <c r="N67" i="23"/>
  <c r="O67" i="23"/>
  <c r="P67" i="23"/>
  <c r="R67" i="23"/>
  <c r="X67" i="23"/>
  <c r="Y67" i="23"/>
  <c r="Z67" i="23"/>
  <c r="AF67" i="23"/>
  <c r="AG67" i="23"/>
  <c r="AH67" i="23"/>
  <c r="AI67" i="23"/>
  <c r="AL67" i="23"/>
  <c r="AM67" i="23"/>
  <c r="AN67" i="23"/>
  <c r="AS67" i="23"/>
  <c r="AW67" i="23"/>
  <c r="AX67" i="23"/>
  <c r="BF67" i="23"/>
  <c r="C68" i="23"/>
  <c r="D68" i="23"/>
  <c r="E68" i="23"/>
  <c r="F68" i="23"/>
  <c r="N68" i="23"/>
  <c r="O68" i="23"/>
  <c r="P68" i="23"/>
  <c r="R68" i="23"/>
  <c r="X68" i="23"/>
  <c r="Y68" i="23"/>
  <c r="Z68" i="23"/>
  <c r="AF68" i="23"/>
  <c r="AG68" i="23"/>
  <c r="AH68" i="23"/>
  <c r="AL68" i="23"/>
  <c r="AM68" i="23"/>
  <c r="AN68" i="23"/>
  <c r="AS68" i="23"/>
  <c r="AW68" i="23"/>
  <c r="AX68" i="23"/>
  <c r="BF68" i="23"/>
  <c r="C69" i="23"/>
  <c r="D69" i="23"/>
  <c r="E69" i="23"/>
  <c r="F69" i="23"/>
  <c r="N69" i="23"/>
  <c r="O69" i="23"/>
  <c r="P69" i="23"/>
  <c r="R69" i="23"/>
  <c r="X69" i="23"/>
  <c r="Y69" i="23"/>
  <c r="Z69" i="23"/>
  <c r="AF69" i="23"/>
  <c r="AG69" i="23"/>
  <c r="AH69" i="23"/>
  <c r="AI69" i="23"/>
  <c r="AL69" i="23"/>
  <c r="AM69" i="23"/>
  <c r="AN69" i="23"/>
  <c r="AS69" i="23"/>
  <c r="AW69" i="23"/>
  <c r="AX69" i="23"/>
  <c r="BF69" i="23"/>
  <c r="C70" i="23"/>
  <c r="D70" i="23"/>
  <c r="E70" i="23"/>
  <c r="F70" i="23"/>
  <c r="N70" i="23"/>
  <c r="O70" i="23"/>
  <c r="P70" i="23"/>
  <c r="R70" i="23"/>
  <c r="X70" i="23"/>
  <c r="Y70" i="23"/>
  <c r="Z70" i="23"/>
  <c r="AF70" i="23"/>
  <c r="AG70" i="23"/>
  <c r="AH70" i="23"/>
  <c r="AI70" i="23"/>
  <c r="AL70" i="23"/>
  <c r="AM70" i="23"/>
  <c r="AN70" i="23"/>
  <c r="AS70" i="23"/>
  <c r="AW70" i="23"/>
  <c r="AX70" i="23"/>
  <c r="BF70" i="23"/>
  <c r="C71" i="23"/>
  <c r="D71" i="23"/>
  <c r="E71" i="23"/>
  <c r="F71" i="23"/>
  <c r="N71" i="23"/>
  <c r="O71" i="23"/>
  <c r="P71" i="23"/>
  <c r="R71" i="23"/>
  <c r="X71" i="23"/>
  <c r="Y71" i="23"/>
  <c r="Z71" i="23"/>
  <c r="AF71" i="23"/>
  <c r="AG71" i="23"/>
  <c r="AH71" i="23"/>
  <c r="AL71" i="23"/>
  <c r="AM71" i="23"/>
  <c r="AN71" i="23"/>
  <c r="AS71" i="23"/>
  <c r="AW71" i="23"/>
  <c r="AX71" i="23"/>
  <c r="BF71" i="23"/>
  <c r="C72" i="23"/>
  <c r="D72" i="23"/>
  <c r="E72" i="23"/>
  <c r="F72" i="23"/>
  <c r="N72" i="23"/>
  <c r="O72" i="23"/>
  <c r="P72" i="23"/>
  <c r="R72" i="23"/>
  <c r="X72" i="23"/>
  <c r="Y72" i="23"/>
  <c r="Z72" i="23"/>
  <c r="AF72" i="23"/>
  <c r="AG72" i="23"/>
  <c r="AH72" i="23"/>
  <c r="AI72" i="23"/>
  <c r="AL72" i="23"/>
  <c r="AM72" i="23"/>
  <c r="AN72" i="23"/>
  <c r="AS72" i="23"/>
  <c r="AW72" i="23"/>
  <c r="AX72" i="23"/>
  <c r="BF72" i="23"/>
  <c r="C73" i="23"/>
  <c r="D73" i="23"/>
  <c r="E73" i="23"/>
  <c r="F73" i="23"/>
  <c r="N73" i="23"/>
  <c r="O73" i="23"/>
  <c r="P73" i="23"/>
  <c r="R73" i="23"/>
  <c r="X73" i="23"/>
  <c r="Y73" i="23"/>
  <c r="Z73" i="23"/>
  <c r="AF73" i="23"/>
  <c r="AG73" i="23"/>
  <c r="AH73" i="23"/>
  <c r="AI73" i="23"/>
  <c r="AL73" i="23"/>
  <c r="AM73" i="23"/>
  <c r="AN73" i="23"/>
  <c r="AS73" i="23"/>
  <c r="AW73" i="23"/>
  <c r="AX73" i="23"/>
  <c r="BF73" i="23"/>
  <c r="C74" i="23"/>
  <c r="D74" i="23"/>
  <c r="E74" i="23"/>
  <c r="F74" i="23"/>
  <c r="N74" i="23"/>
  <c r="O74" i="23"/>
  <c r="P74" i="23"/>
  <c r="R74" i="23"/>
  <c r="X74" i="23"/>
  <c r="Y74" i="23"/>
  <c r="Z74" i="23"/>
  <c r="AF74" i="23"/>
  <c r="AG74" i="23"/>
  <c r="AH74" i="23"/>
  <c r="AL74" i="23"/>
  <c r="AM74" i="23"/>
  <c r="AN74" i="23"/>
  <c r="AS74" i="23"/>
  <c r="AW74" i="23"/>
  <c r="AX74" i="23"/>
  <c r="BF74" i="23"/>
  <c r="C75" i="23"/>
  <c r="D75" i="23"/>
  <c r="E75" i="23"/>
  <c r="F75" i="23"/>
  <c r="N75" i="23"/>
  <c r="O75" i="23"/>
  <c r="P75" i="23"/>
  <c r="R75" i="23"/>
  <c r="X75" i="23"/>
  <c r="Y75" i="23"/>
  <c r="Z75" i="23"/>
  <c r="AF75" i="23"/>
  <c r="AG75" i="23"/>
  <c r="AH75" i="23"/>
  <c r="AI75" i="23"/>
  <c r="AL75" i="23"/>
  <c r="AM75" i="23"/>
  <c r="AN75" i="23"/>
  <c r="AS75" i="23"/>
  <c r="AW75" i="23"/>
  <c r="AX75" i="23"/>
  <c r="BF75" i="23"/>
  <c r="C76" i="23"/>
  <c r="D76" i="23"/>
  <c r="E76" i="23"/>
  <c r="F76" i="23"/>
  <c r="N76" i="23"/>
  <c r="O76" i="23"/>
  <c r="P76" i="23"/>
  <c r="R76" i="23"/>
  <c r="X76" i="23"/>
  <c r="Y76" i="23"/>
  <c r="Z76" i="23"/>
  <c r="AF76" i="23"/>
  <c r="AG76" i="23"/>
  <c r="AH76" i="23"/>
  <c r="AI76" i="23"/>
  <c r="AL76" i="23"/>
  <c r="AM76" i="23"/>
  <c r="AN76" i="23"/>
  <c r="AS76" i="23"/>
  <c r="AW76" i="23"/>
  <c r="AX76" i="23"/>
  <c r="BF76" i="23"/>
  <c r="C77" i="23"/>
  <c r="D77" i="23"/>
  <c r="E77" i="23"/>
  <c r="F77" i="23"/>
  <c r="N77" i="23"/>
  <c r="O77" i="23"/>
  <c r="P77" i="23"/>
  <c r="R77" i="23"/>
  <c r="X77" i="23"/>
  <c r="Y77" i="23"/>
  <c r="Z77" i="23"/>
  <c r="AF77" i="23"/>
  <c r="AG77" i="23"/>
  <c r="AH77" i="23"/>
  <c r="AL77" i="23"/>
  <c r="AM77" i="23"/>
  <c r="AN77" i="23"/>
  <c r="AS77" i="23"/>
  <c r="AW77" i="23"/>
  <c r="AX77" i="23"/>
  <c r="BF77" i="23"/>
  <c r="C78" i="23"/>
  <c r="D78" i="23"/>
  <c r="E78" i="23"/>
  <c r="F78" i="23"/>
  <c r="O78" i="23"/>
  <c r="P78" i="23"/>
  <c r="R78" i="23"/>
  <c r="X78" i="23"/>
  <c r="Y78" i="23"/>
  <c r="Z78" i="23"/>
  <c r="AF78" i="23"/>
  <c r="AG78" i="23"/>
  <c r="AH78" i="23"/>
  <c r="AL78" i="23"/>
  <c r="AM78" i="23"/>
  <c r="AN78" i="23"/>
  <c r="AS78" i="23"/>
  <c r="AW78" i="23"/>
  <c r="AX78" i="23"/>
  <c r="BF78" i="23"/>
  <c r="C79" i="23"/>
  <c r="D79" i="23"/>
  <c r="E79" i="23"/>
  <c r="F79" i="23"/>
  <c r="N79" i="23"/>
  <c r="O79" i="23"/>
  <c r="P79" i="23"/>
  <c r="R79" i="23"/>
  <c r="X79" i="23"/>
  <c r="Y79" i="23"/>
  <c r="Z79" i="23"/>
  <c r="AF79" i="23"/>
  <c r="AG79" i="23"/>
  <c r="AH79" i="23"/>
  <c r="AL79" i="23"/>
  <c r="AM79" i="23"/>
  <c r="AN79" i="23"/>
  <c r="AS79" i="23"/>
  <c r="AW79" i="23"/>
  <c r="AX79" i="23"/>
  <c r="BF79" i="23"/>
  <c r="C80" i="23"/>
  <c r="D80" i="23"/>
  <c r="E80" i="23"/>
  <c r="F80" i="23"/>
  <c r="N80" i="23"/>
  <c r="P80" i="23"/>
  <c r="R80" i="23"/>
  <c r="X80" i="23"/>
  <c r="Y80" i="23"/>
  <c r="Z80" i="23"/>
  <c r="AF80" i="23"/>
  <c r="AG80" i="23"/>
  <c r="AH80" i="23"/>
  <c r="AL80" i="23"/>
  <c r="AM80" i="23"/>
  <c r="AN80" i="23"/>
  <c r="AS80" i="23"/>
  <c r="AW80" i="23"/>
  <c r="AX80" i="23"/>
  <c r="BF80" i="23"/>
  <c r="C81" i="23"/>
  <c r="D81" i="23"/>
  <c r="E81" i="23"/>
  <c r="F81" i="23"/>
  <c r="N81" i="23"/>
  <c r="O81" i="23"/>
  <c r="P81" i="23"/>
  <c r="R81" i="23"/>
  <c r="X81" i="23"/>
  <c r="Y81" i="23"/>
  <c r="Z81" i="23"/>
  <c r="AF81" i="23"/>
  <c r="AG81" i="23"/>
  <c r="AH81" i="23"/>
  <c r="AL81" i="23"/>
  <c r="AM81" i="23"/>
  <c r="AN81" i="23"/>
  <c r="AS81" i="23"/>
  <c r="AW81" i="23"/>
  <c r="AX81" i="23"/>
  <c r="BF81" i="23"/>
  <c r="C82" i="23"/>
  <c r="D82" i="23"/>
  <c r="E82" i="23"/>
  <c r="F82" i="23"/>
  <c r="N82" i="23"/>
  <c r="O82" i="23"/>
  <c r="P82" i="23"/>
  <c r="R82" i="23"/>
  <c r="X82" i="23"/>
  <c r="Y82" i="23"/>
  <c r="Z82" i="23"/>
  <c r="AF82" i="23"/>
  <c r="AG82" i="23"/>
  <c r="AH82" i="23"/>
  <c r="AL82" i="23"/>
  <c r="AM82" i="23"/>
  <c r="AN82" i="23"/>
  <c r="AS82" i="23"/>
  <c r="AW82" i="23"/>
  <c r="AX82" i="23"/>
  <c r="BF82" i="23"/>
  <c r="C83" i="23"/>
  <c r="D83" i="23"/>
  <c r="E83" i="23"/>
  <c r="F83" i="23"/>
  <c r="N83" i="23"/>
  <c r="O83" i="23"/>
  <c r="P83" i="23"/>
  <c r="R83" i="23"/>
  <c r="X83" i="23"/>
  <c r="Y83" i="23"/>
  <c r="Z83" i="23"/>
  <c r="AF83" i="23"/>
  <c r="AG83" i="23"/>
  <c r="AH83" i="23"/>
  <c r="AL83" i="23"/>
  <c r="AM83" i="23"/>
  <c r="AN83" i="23"/>
  <c r="AS83" i="23"/>
  <c r="AW83" i="23"/>
  <c r="AX83" i="23"/>
  <c r="BF83" i="23"/>
  <c r="C84" i="23"/>
  <c r="D84" i="23"/>
  <c r="E84" i="23"/>
  <c r="F84" i="23"/>
  <c r="N84" i="23"/>
  <c r="O84" i="23"/>
  <c r="P84" i="23"/>
  <c r="R84" i="23"/>
  <c r="X84" i="23"/>
  <c r="Y84" i="23"/>
  <c r="Z84" i="23"/>
  <c r="AF84" i="23"/>
  <c r="AG84" i="23"/>
  <c r="AH84" i="23"/>
  <c r="AL84" i="23"/>
  <c r="AM84" i="23"/>
  <c r="AN84" i="23"/>
  <c r="AS84" i="23"/>
  <c r="AW84" i="23"/>
  <c r="AX84" i="23"/>
  <c r="BF84" i="23"/>
  <c r="C85" i="23"/>
  <c r="D85" i="23"/>
  <c r="E85" i="23"/>
  <c r="F85" i="23"/>
  <c r="N85" i="23"/>
  <c r="O85" i="23"/>
  <c r="P85" i="23"/>
  <c r="R85" i="23"/>
  <c r="X85" i="23"/>
  <c r="Y85" i="23"/>
  <c r="Z85" i="23"/>
  <c r="AF85" i="23"/>
  <c r="AG85" i="23"/>
  <c r="AH85" i="23"/>
  <c r="AL85" i="23"/>
  <c r="AM85" i="23"/>
  <c r="AN85" i="23"/>
  <c r="AS85" i="23"/>
  <c r="AW85" i="23"/>
  <c r="AX85" i="23"/>
  <c r="BF85" i="23"/>
  <c r="C86" i="23"/>
  <c r="D86" i="23"/>
  <c r="E86" i="23"/>
  <c r="F86" i="23"/>
  <c r="N86" i="23"/>
  <c r="O86" i="23"/>
  <c r="P86" i="23"/>
  <c r="R86" i="23"/>
  <c r="X86" i="23"/>
  <c r="Y86" i="23"/>
  <c r="Z86" i="23"/>
  <c r="AF86" i="23"/>
  <c r="AG86" i="23"/>
  <c r="AH86" i="23"/>
  <c r="AI86" i="23"/>
  <c r="AL86" i="23"/>
  <c r="AM86" i="23"/>
  <c r="AN86" i="23"/>
  <c r="AS86" i="23"/>
  <c r="AW86" i="23"/>
  <c r="AX86" i="23"/>
  <c r="BF86" i="23"/>
  <c r="C87" i="23"/>
  <c r="D87" i="23"/>
  <c r="E87" i="23"/>
  <c r="F87" i="23"/>
  <c r="N87" i="23"/>
  <c r="O87" i="23"/>
  <c r="P87" i="23"/>
  <c r="R87" i="23"/>
  <c r="X87" i="23"/>
  <c r="Y87" i="23"/>
  <c r="Z87" i="23"/>
  <c r="AF87" i="23"/>
  <c r="AG87" i="23"/>
  <c r="AH87" i="23"/>
  <c r="AI87" i="23"/>
  <c r="AL87" i="23"/>
  <c r="AM87" i="23"/>
  <c r="AN87" i="23"/>
  <c r="AS87" i="23"/>
  <c r="AW87" i="23"/>
  <c r="AX87" i="23"/>
  <c r="BF87" i="23"/>
  <c r="C88" i="23"/>
  <c r="D88" i="23"/>
  <c r="E88" i="23"/>
  <c r="F88" i="23"/>
  <c r="N88" i="23"/>
  <c r="O88" i="23"/>
  <c r="P88" i="23"/>
  <c r="R88" i="23"/>
  <c r="X88" i="23"/>
  <c r="Y88" i="23"/>
  <c r="Z88" i="23"/>
  <c r="AF88" i="23"/>
  <c r="AG88" i="23"/>
  <c r="AH88" i="23"/>
  <c r="AL88" i="23"/>
  <c r="AM88" i="23"/>
  <c r="AN88" i="23"/>
  <c r="AS88" i="23"/>
  <c r="AW88" i="23"/>
  <c r="AX88" i="23"/>
  <c r="BF88" i="23"/>
  <c r="C89" i="23"/>
  <c r="D89" i="23"/>
  <c r="E89" i="23"/>
  <c r="F89" i="23"/>
  <c r="N89" i="23"/>
  <c r="O89" i="23"/>
  <c r="P89" i="23"/>
  <c r="R89" i="23"/>
  <c r="X89" i="23"/>
  <c r="Y89" i="23"/>
  <c r="Z89" i="23"/>
  <c r="AF89" i="23"/>
  <c r="AG89" i="23"/>
  <c r="AH89" i="23"/>
  <c r="AI89" i="23"/>
  <c r="AL89" i="23"/>
  <c r="AM89" i="23"/>
  <c r="AN89" i="23"/>
  <c r="AS89" i="23"/>
  <c r="AW89" i="23"/>
  <c r="AX89" i="23"/>
  <c r="BF89" i="23"/>
  <c r="C90" i="23"/>
  <c r="D90" i="23"/>
  <c r="E90" i="23"/>
  <c r="F90" i="23"/>
  <c r="N90" i="23"/>
  <c r="O90" i="23"/>
  <c r="P90" i="23"/>
  <c r="R90" i="23"/>
  <c r="X90" i="23"/>
  <c r="Y90" i="23"/>
  <c r="Z90" i="23"/>
  <c r="AF90" i="23"/>
  <c r="AG90" i="23"/>
  <c r="AH90" i="23"/>
  <c r="AI90" i="23"/>
  <c r="AL90" i="23"/>
  <c r="AM90" i="23"/>
  <c r="AN90" i="23"/>
  <c r="AS90" i="23"/>
  <c r="AW90" i="23"/>
  <c r="AX90" i="23"/>
  <c r="BF90" i="23"/>
  <c r="C91" i="23"/>
  <c r="D91" i="23"/>
  <c r="E91" i="23"/>
  <c r="F91" i="23"/>
  <c r="N91" i="23"/>
  <c r="O91" i="23"/>
  <c r="P91" i="23"/>
  <c r="R91" i="23"/>
  <c r="X91" i="23"/>
  <c r="Y91" i="23"/>
  <c r="Z91" i="23"/>
  <c r="AF91" i="23"/>
  <c r="AG91" i="23"/>
  <c r="AH91" i="23"/>
  <c r="AL91" i="23"/>
  <c r="AM91" i="23"/>
  <c r="AN91" i="23"/>
  <c r="AS91" i="23"/>
  <c r="AW91" i="23"/>
  <c r="AX91" i="23"/>
  <c r="BF91" i="23"/>
  <c r="C92" i="23"/>
  <c r="D92" i="23"/>
  <c r="E92" i="23"/>
  <c r="F92" i="23"/>
  <c r="N92" i="23"/>
  <c r="O92" i="23"/>
  <c r="P92" i="23"/>
  <c r="R92" i="23"/>
  <c r="X92" i="23"/>
  <c r="Y92" i="23"/>
  <c r="Z92" i="23"/>
  <c r="AF92" i="23"/>
  <c r="AG92" i="23"/>
  <c r="AH92" i="23"/>
  <c r="AI92" i="23"/>
  <c r="AL92" i="23"/>
  <c r="AM92" i="23"/>
  <c r="AN92" i="23"/>
  <c r="AS92" i="23"/>
  <c r="AW92" i="23"/>
  <c r="AX92" i="23"/>
  <c r="BF92" i="23"/>
  <c r="C93" i="23"/>
  <c r="D93" i="23"/>
  <c r="E93" i="23"/>
  <c r="F93" i="23"/>
  <c r="N93" i="23"/>
  <c r="O93" i="23"/>
  <c r="P93" i="23"/>
  <c r="R93" i="23"/>
  <c r="X93" i="23"/>
  <c r="Y93" i="23"/>
  <c r="Z93" i="23"/>
  <c r="AF93" i="23"/>
  <c r="AG93" i="23"/>
  <c r="AH93" i="23"/>
  <c r="AI93" i="23"/>
  <c r="AL93" i="23"/>
  <c r="AM93" i="23"/>
  <c r="AN93" i="23"/>
  <c r="AS93" i="23"/>
  <c r="AW93" i="23"/>
  <c r="AX93" i="23"/>
  <c r="BF93" i="23"/>
  <c r="C94" i="23"/>
  <c r="D94" i="23"/>
  <c r="E94" i="23"/>
  <c r="F94" i="23"/>
  <c r="N94" i="23"/>
  <c r="O94" i="23"/>
  <c r="P94" i="23"/>
  <c r="R94" i="23"/>
  <c r="X94" i="23"/>
  <c r="Y94" i="23"/>
  <c r="Z94" i="23"/>
  <c r="AF94" i="23"/>
  <c r="AG94" i="23"/>
  <c r="AH94" i="23"/>
  <c r="AL94" i="23"/>
  <c r="AM94" i="23"/>
  <c r="AN94" i="23"/>
  <c r="AS94" i="23"/>
  <c r="AW94" i="23"/>
  <c r="AX94" i="23"/>
  <c r="BF94" i="23"/>
  <c r="C95" i="23"/>
  <c r="D95" i="23"/>
  <c r="E95" i="23"/>
  <c r="F95" i="23"/>
  <c r="N95" i="23"/>
  <c r="O95" i="23"/>
  <c r="P95" i="23"/>
  <c r="R95" i="23"/>
  <c r="X95" i="23"/>
  <c r="Y95" i="23"/>
  <c r="Z95" i="23"/>
  <c r="AF95" i="23"/>
  <c r="AG95" i="23"/>
  <c r="AH95" i="23"/>
  <c r="AI95" i="23"/>
  <c r="AL95" i="23"/>
  <c r="AM95" i="23"/>
  <c r="AN95" i="23"/>
  <c r="AS95" i="23"/>
  <c r="AW95" i="23"/>
  <c r="AX95" i="23"/>
  <c r="BF95" i="23"/>
  <c r="C96" i="23"/>
  <c r="D96" i="23"/>
  <c r="E96" i="23"/>
  <c r="F96" i="23"/>
  <c r="N96" i="23"/>
  <c r="O96" i="23"/>
  <c r="P96" i="23"/>
  <c r="R96" i="23"/>
  <c r="X96" i="23"/>
  <c r="Y96" i="23"/>
  <c r="Z96" i="23"/>
  <c r="AF96" i="23"/>
  <c r="AG96" i="23"/>
  <c r="AH96" i="23"/>
  <c r="AI96" i="23"/>
  <c r="AL96" i="23"/>
  <c r="AM96" i="23"/>
  <c r="AN96" i="23"/>
  <c r="AS96" i="23"/>
  <c r="AW96" i="23"/>
  <c r="AX96" i="23"/>
  <c r="BF96" i="23"/>
  <c r="C97" i="23"/>
  <c r="D97" i="23"/>
  <c r="E97" i="23"/>
  <c r="F97" i="23"/>
  <c r="N97" i="23"/>
  <c r="O97" i="23"/>
  <c r="P97" i="23"/>
  <c r="R97" i="23"/>
  <c r="X97" i="23"/>
  <c r="Y97" i="23"/>
  <c r="Z97" i="23"/>
  <c r="AF97" i="23"/>
  <c r="AG97" i="23"/>
  <c r="AH97" i="23"/>
  <c r="AL97" i="23"/>
  <c r="AM97" i="23"/>
  <c r="AN97" i="23"/>
  <c r="AS97" i="23"/>
  <c r="AW97" i="23"/>
  <c r="AX97" i="23"/>
  <c r="BF97" i="23"/>
  <c r="C98" i="23"/>
  <c r="D98" i="23"/>
  <c r="E98" i="23"/>
  <c r="F98" i="23"/>
  <c r="I98" i="23"/>
  <c r="J98" i="23"/>
  <c r="K98" i="23"/>
  <c r="L98" i="23"/>
  <c r="M98" i="23"/>
  <c r="N98" i="23"/>
  <c r="O98" i="23"/>
  <c r="Q98" i="23"/>
  <c r="R98" i="23"/>
  <c r="S98" i="23"/>
  <c r="T98" i="23"/>
  <c r="U98" i="23"/>
  <c r="V98" i="23"/>
  <c r="W98" i="23"/>
  <c r="X98" i="23"/>
  <c r="Y98" i="23"/>
  <c r="Z98" i="23"/>
  <c r="AA98" i="23"/>
  <c r="AB98" i="23"/>
  <c r="AC98" i="23"/>
  <c r="AD98" i="23"/>
  <c r="AF98" i="23"/>
  <c r="AG98" i="23"/>
  <c r="AH98" i="23"/>
  <c r="AL98" i="23"/>
  <c r="AS98" i="23"/>
  <c r="AW98" i="23"/>
  <c r="AX98" i="23"/>
  <c r="BC98" i="23"/>
  <c r="BD98" i="23"/>
  <c r="BE98" i="23"/>
  <c r="BF98" i="23"/>
  <c r="C99" i="23"/>
  <c r="D99" i="23"/>
  <c r="E99" i="23"/>
  <c r="F99" i="23"/>
  <c r="G99" i="23"/>
  <c r="I99" i="23"/>
  <c r="J99" i="23"/>
  <c r="K99" i="23"/>
  <c r="L99" i="23"/>
  <c r="M99" i="23"/>
  <c r="N99" i="23"/>
  <c r="O99" i="23"/>
  <c r="Q99" i="23"/>
  <c r="R99" i="23"/>
  <c r="S99" i="23"/>
  <c r="T99" i="23"/>
  <c r="U99" i="23"/>
  <c r="V99" i="23"/>
  <c r="W99" i="23"/>
  <c r="X99" i="23"/>
  <c r="Y99" i="23"/>
  <c r="Z99" i="23"/>
  <c r="AA99" i="23"/>
  <c r="AB99" i="23"/>
  <c r="AC99" i="23"/>
  <c r="AD99" i="23"/>
  <c r="AF99" i="23"/>
  <c r="AG99" i="23"/>
  <c r="AH99" i="23"/>
  <c r="AL99" i="23"/>
  <c r="AS99" i="23"/>
  <c r="AW99" i="23"/>
  <c r="AX99" i="23"/>
  <c r="BC99" i="23"/>
  <c r="BD99" i="23"/>
  <c r="BE99" i="23"/>
  <c r="BF99" i="23"/>
  <c r="C100" i="23"/>
  <c r="D100" i="23"/>
  <c r="E100" i="23"/>
  <c r="F100" i="23"/>
  <c r="G100" i="23"/>
  <c r="I100" i="23"/>
  <c r="J100" i="23"/>
  <c r="K100" i="23"/>
  <c r="L100" i="23"/>
  <c r="M100" i="23"/>
  <c r="N100" i="23"/>
  <c r="O100" i="23"/>
  <c r="Q100" i="23"/>
  <c r="R100" i="23"/>
  <c r="S100" i="23"/>
  <c r="T100" i="23"/>
  <c r="U100" i="23"/>
  <c r="V100" i="23"/>
  <c r="W100" i="23"/>
  <c r="X100" i="23"/>
  <c r="Y100" i="23"/>
  <c r="Z100" i="23"/>
  <c r="AA100" i="23"/>
  <c r="AB100" i="23"/>
  <c r="AC100" i="23"/>
  <c r="AD100" i="23"/>
  <c r="AF100" i="23"/>
  <c r="AG100" i="23"/>
  <c r="AH100" i="23"/>
  <c r="AL100" i="23"/>
  <c r="AS100" i="23"/>
  <c r="AW100" i="23"/>
  <c r="AX100" i="23"/>
  <c r="BC100" i="23"/>
  <c r="BD100" i="23"/>
  <c r="BE100" i="23"/>
  <c r="BF100" i="23"/>
  <c r="C101" i="23"/>
  <c r="D101" i="23"/>
  <c r="E101" i="23"/>
  <c r="F101" i="23"/>
  <c r="G101" i="23"/>
  <c r="I101" i="23"/>
  <c r="J101" i="23"/>
  <c r="K101" i="23"/>
  <c r="L101" i="23"/>
  <c r="M101" i="23"/>
  <c r="N101" i="23"/>
  <c r="O101" i="23"/>
  <c r="Q101" i="23"/>
  <c r="R101" i="23"/>
  <c r="S101" i="23"/>
  <c r="T101" i="23"/>
  <c r="U101" i="23"/>
  <c r="V101" i="23"/>
  <c r="W101" i="23"/>
  <c r="X101" i="23"/>
  <c r="Y101" i="23"/>
  <c r="Z101" i="23"/>
  <c r="AA101" i="23"/>
  <c r="AB101" i="23"/>
  <c r="AC101" i="23"/>
  <c r="AD101" i="23"/>
  <c r="AF101" i="23"/>
  <c r="AG101" i="23"/>
  <c r="AH101" i="23"/>
  <c r="AL101" i="23"/>
  <c r="AS101" i="23"/>
  <c r="AW101" i="23"/>
  <c r="AX101" i="23"/>
  <c r="BC101" i="23"/>
  <c r="BD101" i="23"/>
  <c r="BE101" i="23"/>
  <c r="BF101" i="23"/>
  <c r="C102" i="23"/>
  <c r="D102" i="23"/>
  <c r="E102" i="23"/>
  <c r="F102" i="23"/>
  <c r="N102" i="23"/>
  <c r="O102" i="23"/>
  <c r="R102" i="23"/>
  <c r="X102" i="23"/>
  <c r="Y102" i="23"/>
  <c r="Z102" i="23"/>
  <c r="AF102" i="23"/>
  <c r="AG102" i="23"/>
  <c r="AH102" i="23"/>
  <c r="AL102" i="23"/>
  <c r="AM102" i="23"/>
  <c r="AN102" i="23"/>
  <c r="AS102" i="23"/>
  <c r="AW102" i="23"/>
  <c r="AX102" i="23"/>
  <c r="BF102" i="23"/>
  <c r="C103" i="23"/>
  <c r="D103" i="23"/>
  <c r="E103" i="23"/>
  <c r="F103" i="23"/>
  <c r="N103" i="23"/>
  <c r="O103" i="23"/>
  <c r="R103" i="23"/>
  <c r="X103" i="23"/>
  <c r="Y103" i="23"/>
  <c r="Z103" i="23"/>
  <c r="AF103" i="23"/>
  <c r="AG103" i="23"/>
  <c r="AH103" i="23"/>
  <c r="AL103" i="23"/>
  <c r="AM103" i="23"/>
  <c r="AN103" i="23"/>
  <c r="AS103" i="23"/>
  <c r="AW103" i="23"/>
  <c r="AX103" i="23"/>
  <c r="BF103" i="23"/>
  <c r="C104" i="23"/>
  <c r="D104" i="23"/>
  <c r="E104" i="23"/>
  <c r="F104" i="23"/>
  <c r="N104" i="23"/>
  <c r="O104" i="23"/>
  <c r="R104" i="23"/>
  <c r="X104" i="23"/>
  <c r="Y104" i="23"/>
  <c r="Z104" i="23"/>
  <c r="AF104" i="23"/>
  <c r="AG104" i="23"/>
  <c r="AH104" i="23"/>
  <c r="AL104" i="23"/>
  <c r="AM104" i="23"/>
  <c r="AN104" i="23"/>
  <c r="AS104" i="23"/>
  <c r="AW104" i="23"/>
  <c r="AX104" i="23"/>
  <c r="BF104" i="23"/>
  <c r="C105" i="23"/>
  <c r="D105" i="23"/>
  <c r="E105" i="23"/>
  <c r="F105" i="23"/>
  <c r="N105" i="23"/>
  <c r="O105" i="23"/>
  <c r="R105" i="23"/>
  <c r="X105" i="23"/>
  <c r="Y105" i="23"/>
  <c r="Z105" i="23"/>
  <c r="AF105" i="23"/>
  <c r="AG105" i="23"/>
  <c r="AH105" i="23"/>
  <c r="AL105" i="23"/>
  <c r="AM105" i="23"/>
  <c r="AN105" i="23"/>
  <c r="AS105" i="23"/>
  <c r="AW105" i="23"/>
  <c r="AX105" i="23"/>
  <c r="BF105" i="23"/>
  <c r="C106" i="23"/>
  <c r="D106" i="23"/>
  <c r="E106" i="23"/>
  <c r="F106" i="23"/>
  <c r="N106" i="23"/>
  <c r="O106" i="23"/>
  <c r="R106" i="23"/>
  <c r="X106" i="23"/>
  <c r="Y106" i="23"/>
  <c r="Z106" i="23"/>
  <c r="AF106" i="23"/>
  <c r="AG106" i="23"/>
  <c r="AH106" i="23"/>
  <c r="AL106" i="23"/>
  <c r="AM106" i="23"/>
  <c r="AN106" i="23"/>
  <c r="AS106" i="23"/>
  <c r="AW106" i="23"/>
  <c r="AX106" i="23"/>
  <c r="BF106" i="23"/>
  <c r="C107" i="23"/>
  <c r="D107" i="23"/>
  <c r="E107" i="23"/>
  <c r="F107" i="23"/>
  <c r="N107" i="23"/>
  <c r="O107" i="23"/>
  <c r="R107" i="23"/>
  <c r="X107" i="23"/>
  <c r="Y107" i="23"/>
  <c r="Z107" i="23"/>
  <c r="AF107" i="23"/>
  <c r="AG107" i="23"/>
  <c r="AH107" i="23"/>
  <c r="AL107" i="23"/>
  <c r="AM107" i="23"/>
  <c r="AN107" i="23"/>
  <c r="AS107" i="23"/>
  <c r="AW107" i="23"/>
  <c r="AX107" i="23"/>
  <c r="BF107" i="23"/>
  <c r="C108" i="23"/>
  <c r="D108" i="23"/>
  <c r="E108" i="23"/>
  <c r="F108" i="23"/>
  <c r="N108" i="23"/>
  <c r="O108" i="23"/>
  <c r="R108" i="23"/>
  <c r="X108" i="23"/>
  <c r="Y108" i="23"/>
  <c r="Z108" i="23"/>
  <c r="AF108" i="23"/>
  <c r="AG108" i="23"/>
  <c r="AH108" i="23"/>
  <c r="AL108" i="23"/>
  <c r="AM108" i="23"/>
  <c r="AN108" i="23"/>
  <c r="AS108" i="23"/>
  <c r="AW108" i="23"/>
  <c r="AX108" i="23"/>
  <c r="BF108" i="23"/>
  <c r="C109" i="23"/>
  <c r="D109" i="23"/>
  <c r="E109" i="23"/>
  <c r="F109" i="23"/>
  <c r="N109" i="23"/>
  <c r="O109" i="23"/>
  <c r="R109" i="23"/>
  <c r="X109" i="23"/>
  <c r="Y109" i="23"/>
  <c r="Z109" i="23"/>
  <c r="AF109" i="23"/>
  <c r="AG109" i="23"/>
  <c r="AH109" i="23"/>
  <c r="AL109" i="23"/>
  <c r="AM109" i="23"/>
  <c r="AN109" i="23"/>
  <c r="AS109" i="23"/>
  <c r="AW109" i="23"/>
  <c r="AX109" i="23"/>
  <c r="BF109" i="23"/>
  <c r="C110" i="23"/>
  <c r="D110" i="23"/>
  <c r="E110" i="23"/>
  <c r="F110" i="23"/>
  <c r="N110" i="23"/>
  <c r="O110" i="23"/>
  <c r="R110" i="23"/>
  <c r="X110" i="23"/>
  <c r="Y110" i="23"/>
  <c r="Z110" i="23"/>
  <c r="AF110" i="23"/>
  <c r="AG110" i="23"/>
  <c r="AH110" i="23"/>
  <c r="AL110" i="23"/>
  <c r="AM110" i="23"/>
  <c r="AN110" i="23"/>
  <c r="AS110" i="23"/>
  <c r="AW110" i="23"/>
  <c r="AX110" i="23"/>
  <c r="BF110" i="23"/>
  <c r="C111" i="23"/>
  <c r="D111" i="23"/>
  <c r="E111" i="23"/>
  <c r="F111" i="23"/>
  <c r="N111" i="23"/>
  <c r="O111" i="23"/>
  <c r="R111" i="23"/>
  <c r="X111" i="23"/>
  <c r="Y111" i="23"/>
  <c r="Z111" i="23"/>
  <c r="AF111" i="23"/>
  <c r="AG111" i="23"/>
  <c r="AH111" i="23"/>
  <c r="AL111" i="23"/>
  <c r="AM111" i="23"/>
  <c r="AN111" i="23"/>
  <c r="AS111" i="23"/>
  <c r="AW111" i="23"/>
  <c r="AX111" i="23"/>
  <c r="BF111" i="23"/>
  <c r="C112" i="23"/>
  <c r="D112" i="23"/>
  <c r="E112" i="23"/>
  <c r="F112" i="23"/>
  <c r="N112" i="23"/>
  <c r="O112" i="23"/>
  <c r="R112" i="23"/>
  <c r="X112" i="23"/>
  <c r="Y112" i="23"/>
  <c r="Z112" i="23"/>
  <c r="AF112" i="23"/>
  <c r="AG112" i="23"/>
  <c r="AH112" i="23"/>
  <c r="AL112" i="23"/>
  <c r="AM112" i="23"/>
  <c r="AN112" i="23"/>
  <c r="AS112" i="23"/>
  <c r="AW112" i="23"/>
  <c r="AX112" i="23"/>
  <c r="BF112" i="23"/>
  <c r="C113" i="23"/>
  <c r="D113" i="23"/>
  <c r="E113" i="23"/>
  <c r="F113" i="23"/>
  <c r="N113" i="23"/>
  <c r="O113" i="23"/>
  <c r="R113" i="23"/>
  <c r="X113" i="23"/>
  <c r="Y113" i="23"/>
  <c r="Z113" i="23"/>
  <c r="AF113" i="23"/>
  <c r="AG113" i="23"/>
  <c r="AH113" i="23"/>
  <c r="AL113" i="23"/>
  <c r="AM113" i="23"/>
  <c r="AN113" i="23"/>
  <c r="AS113" i="23"/>
  <c r="AW113" i="23"/>
  <c r="AX113" i="23"/>
  <c r="BF113" i="23"/>
  <c r="C114" i="23"/>
  <c r="D114" i="23"/>
  <c r="E114" i="23"/>
  <c r="F114" i="23"/>
  <c r="N114" i="23"/>
  <c r="O114" i="23"/>
  <c r="R114" i="23"/>
  <c r="X114" i="23"/>
  <c r="Y114" i="23"/>
  <c r="Z114" i="23"/>
  <c r="AF114" i="23"/>
  <c r="AG114" i="23"/>
  <c r="AH114" i="23"/>
  <c r="AL114" i="23"/>
  <c r="AM114" i="23"/>
  <c r="AN114" i="23"/>
  <c r="AS114" i="23"/>
  <c r="AW114" i="23"/>
  <c r="AX114" i="23"/>
  <c r="BF114" i="23"/>
  <c r="C115" i="23"/>
  <c r="D115" i="23"/>
  <c r="E115" i="23"/>
  <c r="F115" i="23"/>
  <c r="N115" i="23"/>
  <c r="O115" i="23"/>
  <c r="R115" i="23"/>
  <c r="X115" i="23"/>
  <c r="Y115" i="23"/>
  <c r="Z115" i="23"/>
  <c r="AF115" i="23"/>
  <c r="AG115" i="23"/>
  <c r="AH115" i="23"/>
  <c r="AL115" i="23"/>
  <c r="AM115" i="23"/>
  <c r="AN115" i="23"/>
  <c r="AS115" i="23"/>
  <c r="AW115" i="23"/>
  <c r="AX115" i="23"/>
  <c r="BF115" i="23"/>
  <c r="C116" i="23"/>
  <c r="D116" i="23"/>
  <c r="E116" i="23"/>
  <c r="F116" i="23"/>
  <c r="N116" i="23"/>
  <c r="O116" i="23"/>
  <c r="R116" i="23"/>
  <c r="X116" i="23"/>
  <c r="Y116" i="23"/>
  <c r="Z116" i="23"/>
  <c r="AF116" i="23"/>
  <c r="AG116" i="23"/>
  <c r="AH116" i="23"/>
  <c r="AL116" i="23"/>
  <c r="AM116" i="23"/>
  <c r="AN116" i="23"/>
  <c r="AS116" i="23"/>
  <c r="AW116" i="23"/>
  <c r="AX116" i="23"/>
  <c r="BF116" i="23"/>
  <c r="C117" i="23"/>
  <c r="D117" i="23"/>
  <c r="E117" i="23"/>
  <c r="F117" i="23"/>
  <c r="N117" i="23"/>
  <c r="O117" i="23"/>
  <c r="R117" i="23"/>
  <c r="X117" i="23"/>
  <c r="Y117" i="23"/>
  <c r="Z117" i="23"/>
  <c r="AF117" i="23"/>
  <c r="AG117" i="23"/>
  <c r="AH117" i="23"/>
  <c r="AL117" i="23"/>
  <c r="AM117" i="23"/>
  <c r="AN117" i="23"/>
  <c r="AS117" i="23"/>
  <c r="AW117" i="23"/>
  <c r="AX117" i="23"/>
  <c r="BF117" i="23"/>
  <c r="C118" i="23"/>
  <c r="D118" i="23"/>
  <c r="E118" i="23"/>
  <c r="F118" i="23"/>
  <c r="N118" i="23"/>
  <c r="O118" i="23"/>
  <c r="R118" i="23"/>
  <c r="X118" i="23"/>
  <c r="Y118" i="23"/>
  <c r="Z118" i="23"/>
  <c r="AF118" i="23"/>
  <c r="AG118" i="23"/>
  <c r="AH118" i="23"/>
  <c r="AL118" i="23"/>
  <c r="AM118" i="23"/>
  <c r="AS118" i="23"/>
  <c r="AW118" i="23"/>
  <c r="AX118" i="23"/>
  <c r="BF118" i="23"/>
  <c r="C119" i="23"/>
  <c r="D119" i="23"/>
  <c r="E119" i="23"/>
  <c r="F119" i="23"/>
  <c r="N119" i="23"/>
  <c r="O119" i="23"/>
  <c r="R119" i="23"/>
  <c r="X119" i="23"/>
  <c r="Y119" i="23"/>
  <c r="Z119" i="23"/>
  <c r="AF119" i="23"/>
  <c r="AG119" i="23"/>
  <c r="AH119" i="23"/>
  <c r="AL119" i="23"/>
  <c r="AM119" i="23"/>
  <c r="AS119" i="23"/>
  <c r="AW119" i="23"/>
  <c r="AX119" i="23"/>
  <c r="BF119" i="23"/>
  <c r="C120" i="23"/>
  <c r="D120" i="23"/>
  <c r="E120" i="23"/>
  <c r="F120" i="23"/>
  <c r="N120" i="23"/>
  <c r="O120" i="23"/>
  <c r="R120" i="23"/>
  <c r="X120" i="23"/>
  <c r="Y120" i="23"/>
  <c r="Z120" i="23"/>
  <c r="AF120" i="23"/>
  <c r="AG120" i="23"/>
  <c r="AH120" i="23"/>
  <c r="AL120" i="23"/>
  <c r="AM120" i="23"/>
  <c r="AS120" i="23"/>
  <c r="AW120" i="23"/>
  <c r="AX120" i="23"/>
  <c r="BF120" i="23"/>
  <c r="C121" i="23"/>
  <c r="D121" i="23"/>
  <c r="E121" i="23"/>
  <c r="F121" i="23"/>
  <c r="N121" i="23"/>
  <c r="O121" i="23"/>
  <c r="R121" i="23"/>
  <c r="X121" i="23"/>
  <c r="Y121" i="23"/>
  <c r="Z121" i="23"/>
  <c r="AF121" i="23"/>
  <c r="AG121" i="23"/>
  <c r="AH121" i="23"/>
  <c r="AL121" i="23"/>
  <c r="AM121" i="23"/>
  <c r="AS121" i="23"/>
  <c r="AW121" i="23"/>
  <c r="AX121" i="23"/>
  <c r="BF121" i="23"/>
  <c r="C122" i="23"/>
  <c r="D122" i="23"/>
  <c r="E122" i="23"/>
  <c r="F122" i="23"/>
  <c r="N122" i="23"/>
  <c r="O122" i="23"/>
  <c r="R122" i="23"/>
  <c r="X122" i="23"/>
  <c r="Y122" i="23"/>
  <c r="Z122" i="23"/>
  <c r="AF122" i="23"/>
  <c r="AG122" i="23"/>
  <c r="AH122" i="23"/>
  <c r="AL122" i="23"/>
  <c r="AM122" i="23"/>
  <c r="AN122" i="23"/>
  <c r="AS122" i="23"/>
  <c r="AW122" i="23"/>
  <c r="AX122" i="23"/>
  <c r="BF122" i="23"/>
  <c r="C123" i="23"/>
  <c r="D123" i="23"/>
  <c r="E123" i="23"/>
  <c r="F123" i="23"/>
  <c r="N123" i="23"/>
  <c r="O123" i="23"/>
  <c r="R123" i="23"/>
  <c r="X123" i="23"/>
  <c r="Y123" i="23"/>
  <c r="Z123" i="23"/>
  <c r="AF123" i="23"/>
  <c r="AG123" i="23"/>
  <c r="AH123" i="23"/>
  <c r="AL123" i="23"/>
  <c r="AM123" i="23"/>
  <c r="AN123" i="23"/>
  <c r="AS123" i="23"/>
  <c r="AW123" i="23"/>
  <c r="AX123" i="23"/>
  <c r="BF123" i="23"/>
  <c r="C124" i="23"/>
  <c r="D124" i="23"/>
  <c r="E124" i="23"/>
  <c r="F124" i="23"/>
  <c r="N124" i="23"/>
  <c r="O124" i="23"/>
  <c r="R124" i="23"/>
  <c r="X124" i="23"/>
  <c r="Y124" i="23"/>
  <c r="Z124" i="23"/>
  <c r="AF124" i="23"/>
  <c r="AG124" i="23"/>
  <c r="AH124" i="23"/>
  <c r="AL124" i="23"/>
  <c r="AM124" i="23"/>
  <c r="AN124" i="23"/>
  <c r="AS124" i="23"/>
  <c r="AW124" i="23"/>
  <c r="AX124" i="23"/>
  <c r="BF124" i="23"/>
  <c r="C125" i="23"/>
  <c r="D125" i="23"/>
  <c r="E125" i="23"/>
  <c r="F125" i="23"/>
  <c r="N125" i="23"/>
  <c r="O125" i="23"/>
  <c r="R125" i="23"/>
  <c r="X125" i="23"/>
  <c r="Y125" i="23"/>
  <c r="Z125" i="23"/>
  <c r="AF125" i="23"/>
  <c r="AG125" i="23"/>
  <c r="AH125" i="23"/>
  <c r="AL125" i="23"/>
  <c r="AM125" i="23"/>
  <c r="AN125" i="23"/>
  <c r="AS125" i="23"/>
  <c r="AW125" i="23"/>
  <c r="AX125" i="23"/>
  <c r="BF125" i="23"/>
  <c r="C126" i="23"/>
  <c r="D126" i="23"/>
  <c r="E126" i="23"/>
  <c r="F126" i="23"/>
  <c r="N126" i="23"/>
  <c r="O126" i="23"/>
  <c r="R126" i="23"/>
  <c r="X126" i="23"/>
  <c r="Y126" i="23"/>
  <c r="Z126" i="23"/>
  <c r="AF126" i="23"/>
  <c r="AG126" i="23"/>
  <c r="AH126" i="23"/>
  <c r="AL126" i="23"/>
  <c r="AM126" i="23"/>
  <c r="AN126" i="23"/>
  <c r="AS126" i="23"/>
  <c r="AW126" i="23"/>
  <c r="AX126" i="23"/>
  <c r="BF126" i="23"/>
  <c r="C127" i="23"/>
  <c r="D127" i="23"/>
  <c r="E127" i="23"/>
  <c r="F127" i="23"/>
  <c r="N127" i="23"/>
  <c r="O127" i="23"/>
  <c r="P127" i="23"/>
  <c r="R127" i="23"/>
  <c r="X127" i="23"/>
  <c r="Y127" i="23"/>
  <c r="Z127" i="23"/>
  <c r="AF127" i="23"/>
  <c r="AG127" i="23"/>
  <c r="AH127" i="23"/>
  <c r="AI127" i="23"/>
  <c r="AL127" i="23"/>
  <c r="AM127" i="23"/>
  <c r="AN127" i="23"/>
  <c r="AS127" i="23"/>
  <c r="AW127" i="23"/>
  <c r="AX127" i="23"/>
  <c r="BF127" i="23"/>
  <c r="C128" i="23"/>
  <c r="D128" i="23"/>
  <c r="E128" i="23"/>
  <c r="F128" i="23"/>
  <c r="N128" i="23"/>
  <c r="O128" i="23"/>
  <c r="P128" i="23"/>
  <c r="R128" i="23"/>
  <c r="X128" i="23"/>
  <c r="Y128" i="23"/>
  <c r="Z128" i="23"/>
  <c r="AF128" i="23"/>
  <c r="AG128" i="23"/>
  <c r="AH128" i="23"/>
  <c r="AL128" i="23"/>
  <c r="AM128" i="23"/>
  <c r="AN128" i="23"/>
  <c r="AS128" i="23"/>
  <c r="AW128" i="23"/>
  <c r="AX128" i="23"/>
  <c r="BF128" i="23"/>
  <c r="C129" i="23"/>
  <c r="D129" i="23"/>
  <c r="E129" i="23"/>
  <c r="F129" i="23"/>
  <c r="N129" i="23"/>
  <c r="O129" i="23"/>
  <c r="P129" i="23"/>
  <c r="R129" i="23"/>
  <c r="X129" i="23"/>
  <c r="Y129" i="23"/>
  <c r="Z129" i="23"/>
  <c r="AF129" i="23"/>
  <c r="AG129" i="23"/>
  <c r="AH129" i="23"/>
  <c r="AI129" i="23"/>
  <c r="AL129" i="23"/>
  <c r="AM129" i="23"/>
  <c r="AN129" i="23"/>
  <c r="AS129" i="23"/>
  <c r="AW129" i="23"/>
  <c r="AX129" i="23"/>
  <c r="BF129" i="23"/>
  <c r="C130" i="23"/>
  <c r="D130" i="23"/>
  <c r="E130" i="23"/>
  <c r="F130" i="23"/>
  <c r="N130" i="23"/>
  <c r="O130" i="23"/>
  <c r="P130" i="23"/>
  <c r="R130" i="23"/>
  <c r="X130" i="23"/>
  <c r="Y130" i="23"/>
  <c r="Z130" i="23"/>
  <c r="AF130" i="23"/>
  <c r="AG130" i="23"/>
  <c r="AH130" i="23"/>
  <c r="AL130" i="23"/>
  <c r="AM130" i="23"/>
  <c r="AN130" i="23"/>
  <c r="AS130" i="23"/>
  <c r="AW130" i="23"/>
  <c r="AX130" i="23"/>
  <c r="BF130" i="23"/>
  <c r="C131" i="23"/>
  <c r="D131" i="23"/>
  <c r="E131" i="23"/>
  <c r="F131" i="23"/>
  <c r="N131" i="23"/>
  <c r="O131" i="23"/>
  <c r="P131" i="23"/>
  <c r="R131" i="23"/>
  <c r="X131" i="23"/>
  <c r="Y131" i="23"/>
  <c r="Z131" i="23"/>
  <c r="AF131" i="23"/>
  <c r="AG131" i="23"/>
  <c r="AH131" i="23"/>
  <c r="AI131" i="23"/>
  <c r="AL131" i="23"/>
  <c r="AM131" i="23"/>
  <c r="AN131" i="23"/>
  <c r="AS131" i="23"/>
  <c r="AW131" i="23"/>
  <c r="AX131" i="23"/>
  <c r="BF131" i="23"/>
  <c r="C132" i="23"/>
  <c r="D132" i="23"/>
  <c r="E132" i="23"/>
  <c r="F132" i="23"/>
  <c r="N132" i="23"/>
  <c r="O132" i="23"/>
  <c r="P132" i="23"/>
  <c r="R132" i="23"/>
  <c r="X132" i="23"/>
  <c r="Y132" i="23"/>
  <c r="Z132" i="23"/>
  <c r="AF132" i="23"/>
  <c r="AG132" i="23"/>
  <c r="AH132" i="23"/>
  <c r="AL132" i="23"/>
  <c r="AM132" i="23"/>
  <c r="AN132" i="23"/>
  <c r="AS132" i="23"/>
  <c r="AW132" i="23"/>
  <c r="AX132" i="23"/>
  <c r="BF132" i="23"/>
  <c r="C133" i="23"/>
  <c r="D133" i="23"/>
  <c r="E133" i="23"/>
  <c r="F133" i="23"/>
  <c r="N133" i="23"/>
  <c r="O133" i="23"/>
  <c r="P133" i="23"/>
  <c r="R133" i="23"/>
  <c r="X133" i="23"/>
  <c r="Y133" i="23"/>
  <c r="Z133" i="23"/>
  <c r="AF133" i="23"/>
  <c r="AG133" i="23"/>
  <c r="AH133" i="23"/>
  <c r="AI133" i="23"/>
  <c r="AL133" i="23"/>
  <c r="AM133" i="23"/>
  <c r="AN133" i="23"/>
  <c r="AS133" i="23"/>
  <c r="AW133" i="23"/>
  <c r="AX133" i="23"/>
  <c r="BF133" i="23"/>
  <c r="C134" i="23"/>
  <c r="D134" i="23"/>
  <c r="E134" i="23"/>
  <c r="F134" i="23"/>
  <c r="N134" i="23"/>
  <c r="O134" i="23"/>
  <c r="P134" i="23"/>
  <c r="R134" i="23"/>
  <c r="X134" i="23"/>
  <c r="Y134" i="23"/>
  <c r="Z134" i="23"/>
  <c r="AF134" i="23"/>
  <c r="AG134" i="23"/>
  <c r="AH134" i="23"/>
  <c r="AL134" i="23"/>
  <c r="AM134" i="23"/>
  <c r="AN134" i="23"/>
  <c r="AS134" i="23"/>
  <c r="AW134" i="23"/>
  <c r="AX134" i="23"/>
  <c r="BF134" i="23"/>
  <c r="C135" i="23"/>
  <c r="D135" i="23"/>
  <c r="E135" i="23"/>
  <c r="F135" i="23"/>
  <c r="N135" i="23"/>
  <c r="O135" i="23"/>
  <c r="P135" i="23"/>
  <c r="R135" i="23"/>
  <c r="X135" i="23"/>
  <c r="Y135" i="23"/>
  <c r="Z135" i="23"/>
  <c r="AF135" i="23"/>
  <c r="AG135" i="23"/>
  <c r="AH135" i="23"/>
  <c r="AI135" i="23"/>
  <c r="AL135" i="23"/>
  <c r="AM135" i="23"/>
  <c r="AN135" i="23"/>
  <c r="AS135" i="23"/>
  <c r="AW135" i="23"/>
  <c r="AX135" i="23"/>
  <c r="BF135" i="23"/>
  <c r="C136" i="23"/>
  <c r="D136" i="23"/>
  <c r="E136" i="23"/>
  <c r="F136" i="23"/>
  <c r="N136" i="23"/>
  <c r="O136" i="23"/>
  <c r="P136" i="23"/>
  <c r="R136" i="23"/>
  <c r="X136" i="23"/>
  <c r="Y136" i="23"/>
  <c r="Z136" i="23"/>
  <c r="AF136" i="23"/>
  <c r="AG136" i="23"/>
  <c r="AH136" i="23"/>
  <c r="AL136" i="23"/>
  <c r="AM136" i="23"/>
  <c r="AN136" i="23"/>
  <c r="AS136" i="23"/>
  <c r="AW136" i="23"/>
  <c r="AX136" i="23"/>
  <c r="BF136" i="23"/>
  <c r="C137" i="23"/>
  <c r="D137" i="23"/>
  <c r="E137" i="23"/>
  <c r="F137" i="23"/>
  <c r="N137" i="23"/>
  <c r="O137" i="23"/>
  <c r="P137" i="23"/>
  <c r="R137" i="23"/>
  <c r="X137" i="23"/>
  <c r="Y137" i="23"/>
  <c r="Z137" i="23"/>
  <c r="AF137" i="23"/>
  <c r="AG137" i="23"/>
  <c r="AH137" i="23"/>
  <c r="AI137" i="23"/>
  <c r="AL137" i="23"/>
  <c r="AM137" i="23"/>
  <c r="AN137" i="23"/>
  <c r="AS137" i="23"/>
  <c r="AW137" i="23"/>
  <c r="AX137" i="23"/>
  <c r="BF137" i="23"/>
  <c r="C138" i="23"/>
  <c r="D138" i="23"/>
  <c r="E138" i="23"/>
  <c r="F138" i="23"/>
  <c r="N138" i="23"/>
  <c r="O138" i="23"/>
  <c r="P138" i="23"/>
  <c r="R138" i="23"/>
  <c r="X138" i="23"/>
  <c r="Y138" i="23"/>
  <c r="Z138" i="23"/>
  <c r="AF138" i="23"/>
  <c r="AG138" i="23"/>
  <c r="AH138" i="23"/>
  <c r="AL138" i="23"/>
  <c r="AM138" i="23"/>
  <c r="AN138" i="23"/>
  <c r="AS138" i="23"/>
  <c r="AW138" i="23"/>
  <c r="AX138" i="23"/>
  <c r="BF138" i="23"/>
  <c r="C139" i="23"/>
  <c r="D139" i="23"/>
  <c r="E139" i="23"/>
  <c r="F139" i="23"/>
  <c r="N139" i="23"/>
  <c r="O139" i="23"/>
  <c r="P139" i="23"/>
  <c r="R139" i="23"/>
  <c r="X139" i="23"/>
  <c r="Y139" i="23"/>
  <c r="Z139" i="23"/>
  <c r="AF139" i="23"/>
  <c r="AG139" i="23"/>
  <c r="AH139" i="23"/>
  <c r="AI139" i="23"/>
  <c r="AL139" i="23"/>
  <c r="AM139" i="23"/>
  <c r="AN139" i="23"/>
  <c r="AS139" i="23"/>
  <c r="AW139" i="23"/>
  <c r="AX139" i="23"/>
  <c r="BF139" i="23"/>
  <c r="C140" i="23"/>
  <c r="D140" i="23"/>
  <c r="E140" i="23"/>
  <c r="F140" i="23"/>
  <c r="N140" i="23"/>
  <c r="O140" i="23"/>
  <c r="P140" i="23"/>
  <c r="R140" i="23"/>
  <c r="X140" i="23"/>
  <c r="Y140" i="23"/>
  <c r="Z140" i="23"/>
  <c r="AF140" i="23"/>
  <c r="AG140" i="23"/>
  <c r="AH140" i="23"/>
  <c r="AL140" i="23"/>
  <c r="AM140" i="23"/>
  <c r="AN140" i="23"/>
  <c r="AS140" i="23"/>
  <c r="AW140" i="23"/>
  <c r="AX140" i="23"/>
  <c r="BF140" i="23"/>
  <c r="C141" i="23"/>
  <c r="D141" i="23"/>
  <c r="E141" i="23"/>
  <c r="F141" i="23"/>
  <c r="N141" i="23"/>
  <c r="O141" i="23"/>
  <c r="P141" i="23"/>
  <c r="R141" i="23"/>
  <c r="X141" i="23"/>
  <c r="Y141" i="23"/>
  <c r="Z141" i="23"/>
  <c r="AF141" i="23"/>
  <c r="AG141" i="23"/>
  <c r="AH141" i="23"/>
  <c r="AI141" i="23"/>
  <c r="AL141" i="23"/>
  <c r="AM141" i="23"/>
  <c r="AN141" i="23"/>
  <c r="AS141" i="23"/>
  <c r="AW141" i="23"/>
  <c r="AX141" i="23"/>
  <c r="BF141" i="23"/>
  <c r="C142" i="23"/>
  <c r="D142" i="23"/>
  <c r="E142" i="23"/>
  <c r="F142" i="23"/>
  <c r="N142" i="23"/>
  <c r="O142" i="23"/>
  <c r="P142" i="23"/>
  <c r="R142" i="23"/>
  <c r="X142" i="23"/>
  <c r="Y142" i="23"/>
  <c r="Z142" i="23"/>
  <c r="AF142" i="23"/>
  <c r="AG142" i="23"/>
  <c r="AH142" i="23"/>
  <c r="AL142" i="23"/>
  <c r="AM142" i="23"/>
  <c r="AN142" i="23"/>
  <c r="AS142" i="23"/>
  <c r="AW142" i="23"/>
  <c r="AX142" i="23"/>
  <c r="BF142" i="23"/>
  <c r="C143" i="23"/>
  <c r="D143" i="23"/>
  <c r="E143" i="23"/>
  <c r="F143" i="23"/>
  <c r="N143" i="23"/>
  <c r="O143" i="23"/>
  <c r="P143" i="23"/>
  <c r="R143" i="23"/>
  <c r="X143" i="23"/>
  <c r="Y143" i="23"/>
  <c r="Z143" i="23"/>
  <c r="AF143" i="23"/>
  <c r="AG143" i="23"/>
  <c r="AH143" i="23"/>
  <c r="AI143" i="23"/>
  <c r="AL143" i="23"/>
  <c r="AM143" i="23"/>
  <c r="AN143" i="23"/>
  <c r="AS143" i="23"/>
  <c r="AW143" i="23"/>
  <c r="AX143" i="23"/>
  <c r="BF143" i="23"/>
  <c r="C144" i="23"/>
  <c r="D144" i="23"/>
  <c r="E144" i="23"/>
  <c r="F144" i="23"/>
  <c r="N144" i="23"/>
  <c r="O144" i="23"/>
  <c r="P144" i="23"/>
  <c r="R144" i="23"/>
  <c r="X144" i="23"/>
  <c r="Y144" i="23"/>
  <c r="Z144" i="23"/>
  <c r="AF144" i="23"/>
  <c r="AG144" i="23"/>
  <c r="AH144" i="23"/>
  <c r="AL144" i="23"/>
  <c r="AM144" i="23"/>
  <c r="AN144" i="23"/>
  <c r="AS144" i="23"/>
  <c r="AW144" i="23"/>
  <c r="AX144" i="23"/>
  <c r="BF144" i="23"/>
  <c r="C145" i="23"/>
  <c r="D145" i="23"/>
  <c r="E145" i="23"/>
  <c r="F145" i="23"/>
  <c r="N145" i="23"/>
  <c r="O145" i="23"/>
  <c r="P145" i="23"/>
  <c r="R145" i="23"/>
  <c r="X145" i="23"/>
  <c r="Y145" i="23"/>
  <c r="Z145" i="23"/>
  <c r="AF145" i="23"/>
  <c r="AG145" i="23"/>
  <c r="AH145" i="23"/>
  <c r="AI145" i="23"/>
  <c r="AL145" i="23"/>
  <c r="AM145" i="23"/>
  <c r="AN145" i="23"/>
  <c r="AS145" i="23"/>
  <c r="AW145" i="23"/>
  <c r="AX145" i="23"/>
  <c r="BF145" i="23"/>
  <c r="C146" i="23"/>
  <c r="D146" i="23"/>
  <c r="E146" i="23"/>
  <c r="F146" i="23"/>
  <c r="N146" i="23"/>
  <c r="O146" i="23"/>
  <c r="P146" i="23"/>
  <c r="R146" i="23"/>
  <c r="X146" i="23"/>
  <c r="Y146" i="23"/>
  <c r="Z146" i="23"/>
  <c r="AF146" i="23"/>
  <c r="AG146" i="23"/>
  <c r="AH146" i="23"/>
  <c r="AL146" i="23"/>
  <c r="AM146" i="23"/>
  <c r="AN146" i="23"/>
  <c r="AS146" i="23"/>
  <c r="AW146" i="23"/>
  <c r="AX146" i="23"/>
  <c r="BF146" i="23"/>
  <c r="C147" i="23"/>
  <c r="D147" i="23"/>
  <c r="E147" i="23"/>
  <c r="F147" i="23"/>
  <c r="N147" i="23"/>
  <c r="O147" i="23"/>
  <c r="P147" i="23"/>
  <c r="R147" i="23"/>
  <c r="X147" i="23"/>
  <c r="Y147" i="23"/>
  <c r="Z147" i="23"/>
  <c r="AF147" i="23"/>
  <c r="AG147" i="23"/>
  <c r="AH147" i="23"/>
  <c r="AI147" i="23"/>
  <c r="AL147" i="23"/>
  <c r="AM147" i="23"/>
  <c r="AN147" i="23"/>
  <c r="AS147" i="23"/>
  <c r="AW147" i="23"/>
  <c r="AX147" i="23"/>
  <c r="BF147" i="23"/>
  <c r="C148" i="23"/>
  <c r="D148" i="23"/>
  <c r="E148" i="23"/>
  <c r="F148" i="23"/>
  <c r="N148" i="23"/>
  <c r="O148" i="23"/>
  <c r="P148" i="23"/>
  <c r="R148" i="23"/>
  <c r="X148" i="23"/>
  <c r="Y148" i="23"/>
  <c r="Z148" i="23"/>
  <c r="AF148" i="23"/>
  <c r="AG148" i="23"/>
  <c r="AH148" i="23"/>
  <c r="AL148" i="23"/>
  <c r="AM148" i="23"/>
  <c r="AN148" i="23"/>
  <c r="AS148" i="23"/>
  <c r="AW148" i="23"/>
  <c r="AX148" i="23"/>
  <c r="BF148" i="23"/>
  <c r="C149" i="23"/>
  <c r="D149" i="23"/>
  <c r="E149" i="23"/>
  <c r="F149" i="23"/>
  <c r="N149" i="23"/>
  <c r="O149" i="23"/>
  <c r="P149" i="23"/>
  <c r="R149" i="23"/>
  <c r="X149" i="23"/>
  <c r="Y149" i="23"/>
  <c r="Z149" i="23"/>
  <c r="AF149" i="23"/>
  <c r="AG149" i="23"/>
  <c r="AH149" i="23"/>
  <c r="AI149" i="23"/>
  <c r="AL149" i="23"/>
  <c r="AM149" i="23"/>
  <c r="AN149" i="23"/>
  <c r="AS149" i="23"/>
  <c r="AW149" i="23"/>
  <c r="AX149" i="23"/>
  <c r="BF149" i="23"/>
  <c r="C150" i="23"/>
  <c r="D150" i="23"/>
  <c r="E150" i="23"/>
  <c r="F150" i="23"/>
  <c r="N150" i="23"/>
  <c r="O150" i="23"/>
  <c r="P150" i="23"/>
  <c r="R150" i="23"/>
  <c r="X150" i="23"/>
  <c r="Y150" i="23"/>
  <c r="Z150" i="23"/>
  <c r="AF150" i="23"/>
  <c r="AG150" i="23"/>
  <c r="AH150" i="23"/>
  <c r="AL150" i="23"/>
  <c r="AM150" i="23"/>
  <c r="AN150" i="23"/>
  <c r="AS150" i="23"/>
  <c r="AW150" i="23"/>
  <c r="AX150" i="23"/>
  <c r="BF150" i="23"/>
  <c r="C151" i="23"/>
  <c r="D151" i="23"/>
  <c r="E151" i="23"/>
  <c r="F151" i="23"/>
  <c r="N151" i="23"/>
  <c r="O151" i="23"/>
  <c r="P151" i="23"/>
  <c r="R151" i="23"/>
  <c r="X151" i="23"/>
  <c r="Y151" i="23"/>
  <c r="Z151" i="23"/>
  <c r="AF151" i="23"/>
  <c r="AG151" i="23"/>
  <c r="AH151" i="23"/>
  <c r="AI151" i="23"/>
  <c r="AL151" i="23"/>
  <c r="AM151" i="23"/>
  <c r="AN151" i="23"/>
  <c r="AS151" i="23"/>
  <c r="AW151" i="23"/>
  <c r="AX151" i="23"/>
  <c r="BF151" i="23"/>
  <c r="C152" i="23"/>
  <c r="D152" i="23"/>
  <c r="E152" i="23"/>
  <c r="F152" i="23"/>
  <c r="N152" i="23"/>
  <c r="O152" i="23"/>
  <c r="P152" i="23"/>
  <c r="R152" i="23"/>
  <c r="X152" i="23"/>
  <c r="Y152" i="23"/>
  <c r="Z152" i="23"/>
  <c r="AF152" i="23"/>
  <c r="AG152" i="23"/>
  <c r="AH152" i="23"/>
  <c r="AL152" i="23"/>
  <c r="AM152" i="23"/>
  <c r="AN152" i="23"/>
  <c r="AS152" i="23"/>
  <c r="AW152" i="23"/>
  <c r="AX152" i="23"/>
  <c r="BF152" i="23"/>
  <c r="C153" i="23"/>
  <c r="D153" i="23"/>
  <c r="E153" i="23"/>
  <c r="F153" i="23"/>
  <c r="N153" i="23"/>
  <c r="O153" i="23"/>
  <c r="P153" i="23"/>
  <c r="R153" i="23"/>
  <c r="X153" i="23"/>
  <c r="Y153" i="23"/>
  <c r="Z153" i="23"/>
  <c r="AF153" i="23"/>
  <c r="AG153" i="23"/>
  <c r="AH153" i="23"/>
  <c r="AI153" i="23"/>
  <c r="AL153" i="23"/>
  <c r="AM153" i="23"/>
  <c r="AN153" i="23"/>
  <c r="AS153" i="23"/>
  <c r="AW153" i="23"/>
  <c r="AX153" i="23"/>
  <c r="BF153" i="23"/>
  <c r="C154" i="23"/>
  <c r="D154" i="23"/>
  <c r="E154" i="23"/>
  <c r="F154" i="23"/>
  <c r="N154" i="23"/>
  <c r="O154" i="23"/>
  <c r="P154" i="23"/>
  <c r="R154" i="23"/>
  <c r="X154" i="23"/>
  <c r="Y154" i="23"/>
  <c r="Z154" i="23"/>
  <c r="AF154" i="23"/>
  <c r="AG154" i="23"/>
  <c r="AH154" i="23"/>
  <c r="AL154" i="23"/>
  <c r="AM154" i="23"/>
  <c r="AN154" i="23"/>
  <c r="AS154" i="23"/>
  <c r="AW154" i="23"/>
  <c r="AX154" i="23"/>
  <c r="BF154" i="23"/>
  <c r="C155" i="23"/>
  <c r="D155" i="23"/>
  <c r="E155" i="23"/>
  <c r="F155" i="23"/>
  <c r="N155" i="23"/>
  <c r="O155" i="23"/>
  <c r="P155" i="23"/>
  <c r="R155" i="23"/>
  <c r="X155" i="23"/>
  <c r="Y155" i="23"/>
  <c r="Z155" i="23"/>
  <c r="AF155" i="23"/>
  <c r="AG155" i="23"/>
  <c r="AH155" i="23"/>
  <c r="AI155" i="23"/>
  <c r="AL155" i="23"/>
  <c r="AM155" i="23"/>
  <c r="AN155" i="23"/>
  <c r="AS155" i="23"/>
  <c r="AW155" i="23"/>
  <c r="AX155" i="23"/>
  <c r="BF155" i="23"/>
  <c r="C156" i="23"/>
  <c r="D156" i="23"/>
  <c r="E156" i="23"/>
  <c r="F156" i="23"/>
  <c r="N156" i="23"/>
  <c r="O156" i="23"/>
  <c r="P156" i="23"/>
  <c r="R156" i="23"/>
  <c r="X156" i="23"/>
  <c r="Y156" i="23"/>
  <c r="Z156" i="23"/>
  <c r="AF156" i="23"/>
  <c r="AG156" i="23"/>
  <c r="AH156" i="23"/>
  <c r="AL156" i="23"/>
  <c r="AM156" i="23"/>
  <c r="AN156" i="23"/>
  <c r="AS156" i="23"/>
  <c r="AW156" i="23"/>
  <c r="AX156" i="23"/>
  <c r="BF156" i="23"/>
  <c r="C157" i="23"/>
  <c r="D157" i="23"/>
  <c r="E157" i="23"/>
  <c r="F157" i="23"/>
  <c r="N157" i="23"/>
  <c r="O157" i="23"/>
  <c r="P157" i="23"/>
  <c r="R157" i="23"/>
  <c r="X157" i="23"/>
  <c r="Y157" i="23"/>
  <c r="Z157" i="23"/>
  <c r="AF157" i="23"/>
  <c r="AG157" i="23"/>
  <c r="AH157" i="23"/>
  <c r="AI157" i="23"/>
  <c r="AL157" i="23"/>
  <c r="AM157" i="23"/>
  <c r="AN157" i="23"/>
  <c r="AS157" i="23"/>
  <c r="AW157" i="23"/>
  <c r="AX157" i="23"/>
  <c r="BF157" i="23"/>
  <c r="C158" i="23"/>
  <c r="D158" i="23"/>
  <c r="E158" i="23"/>
  <c r="F158" i="23"/>
  <c r="N158" i="23"/>
  <c r="O158" i="23"/>
  <c r="P158" i="23"/>
  <c r="R158" i="23"/>
  <c r="X158" i="23"/>
  <c r="Y158" i="23"/>
  <c r="Z158" i="23"/>
  <c r="AF158" i="23"/>
  <c r="AG158" i="23"/>
  <c r="AH158" i="23"/>
  <c r="AL158" i="23"/>
  <c r="AM158" i="23"/>
  <c r="AN158" i="23"/>
  <c r="AS158" i="23"/>
  <c r="AW158" i="23"/>
  <c r="AX158" i="23"/>
  <c r="BF158" i="23"/>
  <c r="C159" i="23"/>
  <c r="D159" i="23"/>
  <c r="E159" i="23"/>
  <c r="F159" i="23"/>
  <c r="N159" i="23"/>
  <c r="O159" i="23"/>
  <c r="P159" i="23"/>
  <c r="R159" i="23"/>
  <c r="X159" i="23"/>
  <c r="Y159" i="23"/>
  <c r="Z159" i="23"/>
  <c r="AF159" i="23"/>
  <c r="AG159" i="23"/>
  <c r="AH159" i="23"/>
  <c r="AI159" i="23"/>
  <c r="AL159" i="23"/>
  <c r="AM159" i="23"/>
  <c r="AN159" i="23"/>
  <c r="AS159" i="23"/>
  <c r="AW159" i="23"/>
  <c r="AX159" i="23"/>
  <c r="BF159" i="23"/>
  <c r="C160" i="23"/>
  <c r="D160" i="23"/>
  <c r="E160" i="23"/>
  <c r="F160" i="23"/>
  <c r="N160" i="23"/>
  <c r="O160" i="23"/>
  <c r="P160" i="23"/>
  <c r="R160" i="23"/>
  <c r="X160" i="23"/>
  <c r="Y160" i="23"/>
  <c r="Z160" i="23"/>
  <c r="AF160" i="23"/>
  <c r="AG160" i="23"/>
  <c r="AH160" i="23"/>
  <c r="AL160" i="23"/>
  <c r="AM160" i="23"/>
  <c r="AN160" i="23"/>
  <c r="AS160" i="23"/>
  <c r="AW160" i="23"/>
  <c r="AX160" i="23"/>
  <c r="BF160" i="23"/>
  <c r="C161" i="23"/>
  <c r="D161" i="23"/>
  <c r="E161" i="23"/>
  <c r="F161" i="23"/>
  <c r="N161" i="23"/>
  <c r="O161" i="23"/>
  <c r="P161" i="23"/>
  <c r="R161" i="23"/>
  <c r="X161" i="23"/>
  <c r="Y161" i="23"/>
  <c r="Z161" i="23"/>
  <c r="AF161" i="23"/>
  <c r="AG161" i="23"/>
  <c r="AH161" i="23"/>
  <c r="AI161" i="23"/>
  <c r="AL161" i="23"/>
  <c r="AM161" i="23"/>
  <c r="AN161" i="23"/>
  <c r="AS161" i="23"/>
  <c r="AW161" i="23"/>
  <c r="AX161" i="23"/>
  <c r="BF161" i="23"/>
  <c r="C162" i="23"/>
  <c r="D162" i="23"/>
  <c r="E162" i="23"/>
  <c r="F162" i="23"/>
  <c r="N162" i="23"/>
  <c r="O162" i="23"/>
  <c r="P162" i="23"/>
  <c r="R162" i="23"/>
  <c r="X162" i="23"/>
  <c r="Y162" i="23"/>
  <c r="Z162" i="23"/>
  <c r="AF162" i="23"/>
  <c r="AG162" i="23"/>
  <c r="AH162" i="23"/>
  <c r="AL162" i="23"/>
  <c r="AM162" i="23"/>
  <c r="AN162" i="23"/>
  <c r="AS162" i="23"/>
  <c r="AW162" i="23"/>
  <c r="AX162" i="23"/>
  <c r="BF162" i="23"/>
  <c r="C163" i="23"/>
  <c r="D163" i="23"/>
  <c r="E163" i="23"/>
  <c r="F163" i="23"/>
  <c r="N163" i="23"/>
  <c r="O163" i="23"/>
  <c r="P163" i="23"/>
  <c r="R163" i="23"/>
  <c r="X163" i="23"/>
  <c r="Y163" i="23"/>
  <c r="Z163" i="23"/>
  <c r="AF163" i="23"/>
  <c r="AG163" i="23"/>
  <c r="AH163" i="23"/>
  <c r="AI163" i="23"/>
  <c r="AL163" i="23"/>
  <c r="AM163" i="23"/>
  <c r="AN163" i="23"/>
  <c r="AS163" i="23"/>
  <c r="AW163" i="23"/>
  <c r="AX163" i="23"/>
  <c r="BF163" i="23"/>
  <c r="C164" i="23"/>
  <c r="D164" i="23"/>
  <c r="E164" i="23"/>
  <c r="F164" i="23"/>
  <c r="N164" i="23"/>
  <c r="O164" i="23"/>
  <c r="P164" i="23"/>
  <c r="R164" i="23"/>
  <c r="X164" i="23"/>
  <c r="Y164" i="23"/>
  <c r="Z164" i="23"/>
  <c r="AF164" i="23"/>
  <c r="AG164" i="23"/>
  <c r="AH164" i="23"/>
  <c r="AL164" i="23"/>
  <c r="AM164" i="23"/>
  <c r="AN164" i="23"/>
  <c r="AS164" i="23"/>
  <c r="AW164" i="23"/>
  <c r="AX164" i="23"/>
  <c r="BF164" i="23"/>
  <c r="C165" i="23"/>
  <c r="D165" i="23"/>
  <c r="E165" i="23"/>
  <c r="F165" i="23"/>
  <c r="N165" i="23"/>
  <c r="O165" i="23"/>
  <c r="P165" i="23"/>
  <c r="R165" i="23"/>
  <c r="X165" i="23"/>
  <c r="Y165" i="23"/>
  <c r="Z165" i="23"/>
  <c r="AF165" i="23"/>
  <c r="AG165" i="23"/>
  <c r="AH165" i="23"/>
  <c r="AI165" i="23"/>
  <c r="AL165" i="23"/>
  <c r="AM165" i="23"/>
  <c r="AN165" i="23"/>
  <c r="AS165" i="23"/>
  <c r="AW165" i="23"/>
  <c r="AX165" i="23"/>
  <c r="BF165" i="23"/>
  <c r="C166" i="23"/>
  <c r="D166" i="23"/>
  <c r="E166" i="23"/>
  <c r="F166" i="23"/>
  <c r="N166" i="23"/>
  <c r="O166" i="23"/>
  <c r="P166" i="23"/>
  <c r="R166" i="23"/>
  <c r="X166" i="23"/>
  <c r="Y166" i="23"/>
  <c r="Z166" i="23"/>
  <c r="AF166" i="23"/>
  <c r="AG166" i="23"/>
  <c r="AH166" i="23"/>
  <c r="AL166" i="23"/>
  <c r="AM166" i="23"/>
  <c r="AN166" i="23"/>
  <c r="AS166" i="23"/>
  <c r="AW166" i="23"/>
  <c r="AX166" i="23"/>
  <c r="BF166" i="23"/>
  <c r="C167" i="23"/>
  <c r="D167" i="23"/>
  <c r="E167" i="23"/>
  <c r="F167" i="23"/>
  <c r="N167" i="23"/>
  <c r="O167" i="23"/>
  <c r="P167" i="23"/>
  <c r="R167" i="23"/>
  <c r="X167" i="23"/>
  <c r="Y167" i="23"/>
  <c r="Z167" i="23"/>
  <c r="AF167" i="23"/>
  <c r="AG167" i="23"/>
  <c r="AH167" i="23"/>
  <c r="AI167" i="23"/>
  <c r="AL167" i="23"/>
  <c r="AM167" i="23"/>
  <c r="AN167" i="23"/>
  <c r="AS167" i="23"/>
  <c r="AW167" i="23"/>
  <c r="AX167" i="23"/>
  <c r="BF167" i="23"/>
  <c r="C168" i="23"/>
  <c r="D168" i="23"/>
  <c r="E168" i="23"/>
  <c r="F168" i="23"/>
  <c r="N168" i="23"/>
  <c r="O168" i="23"/>
  <c r="P168" i="23"/>
  <c r="R168" i="23"/>
  <c r="X168" i="23"/>
  <c r="Y168" i="23"/>
  <c r="Z168" i="23"/>
  <c r="AF168" i="23"/>
  <c r="AG168" i="23"/>
  <c r="AH168" i="23"/>
  <c r="AI168" i="23"/>
  <c r="AL168" i="23"/>
  <c r="AM168" i="23"/>
  <c r="AN168" i="23"/>
  <c r="AS168" i="23"/>
  <c r="AW168" i="23"/>
  <c r="AX168" i="23"/>
  <c r="BF168" i="23"/>
  <c r="C169" i="23"/>
  <c r="D169" i="23"/>
  <c r="E169" i="23"/>
  <c r="F169" i="23"/>
  <c r="N169" i="23"/>
  <c r="O169" i="23"/>
  <c r="P169" i="23"/>
  <c r="R169" i="23"/>
  <c r="X169" i="23"/>
  <c r="Y169" i="23"/>
  <c r="Z169" i="23"/>
  <c r="AF169" i="23"/>
  <c r="AG169" i="23"/>
  <c r="AH169" i="23"/>
  <c r="AL169" i="23"/>
  <c r="AM169" i="23"/>
  <c r="AN169" i="23"/>
  <c r="AS169" i="23"/>
  <c r="AW169" i="23"/>
  <c r="AX169" i="23"/>
  <c r="BF169" i="23"/>
  <c r="C170" i="23"/>
  <c r="D170" i="23"/>
  <c r="E170" i="23"/>
  <c r="F170" i="23"/>
  <c r="N170" i="23"/>
  <c r="O170" i="23"/>
  <c r="P170" i="23"/>
  <c r="R170" i="23"/>
  <c r="X170" i="23"/>
  <c r="Y170" i="23"/>
  <c r="Z170" i="23"/>
  <c r="AF170" i="23"/>
  <c r="AG170" i="23"/>
  <c r="AH170" i="23"/>
  <c r="AI170" i="23"/>
  <c r="AL170" i="23"/>
  <c r="AM170" i="23"/>
  <c r="AN170" i="23"/>
  <c r="AS170" i="23"/>
  <c r="AW170" i="23"/>
  <c r="AX170" i="23"/>
  <c r="BF170" i="23"/>
  <c r="C171" i="23"/>
  <c r="D171" i="23"/>
  <c r="E171" i="23"/>
  <c r="F171" i="23"/>
  <c r="N171" i="23"/>
  <c r="O171" i="23"/>
  <c r="P171" i="23"/>
  <c r="R171" i="23"/>
  <c r="X171" i="23"/>
  <c r="Y171" i="23"/>
  <c r="Z171" i="23"/>
  <c r="AF171" i="23"/>
  <c r="AG171" i="23"/>
  <c r="AH171" i="23"/>
  <c r="AI171" i="23"/>
  <c r="AL171" i="23"/>
  <c r="AM171" i="23"/>
  <c r="AN171" i="23"/>
  <c r="AS171" i="23"/>
  <c r="AW171" i="23"/>
  <c r="AX171" i="23"/>
  <c r="BF171" i="23"/>
  <c r="C172" i="23"/>
  <c r="D172" i="23"/>
  <c r="E172" i="23"/>
  <c r="F172" i="23"/>
  <c r="N172" i="23"/>
  <c r="O172" i="23"/>
  <c r="P172" i="23"/>
  <c r="R172" i="23"/>
  <c r="X172" i="23"/>
  <c r="Y172" i="23"/>
  <c r="Z172" i="23"/>
  <c r="AF172" i="23"/>
  <c r="AG172" i="23"/>
  <c r="AH172" i="23"/>
  <c r="AL172" i="23"/>
  <c r="AM172" i="23"/>
  <c r="AN172" i="23"/>
  <c r="AS172" i="23"/>
  <c r="AW172" i="23"/>
  <c r="AX172" i="23"/>
  <c r="BF172" i="23"/>
  <c r="C173" i="23"/>
  <c r="D173" i="23"/>
  <c r="E173" i="23"/>
  <c r="F173" i="23"/>
  <c r="N173" i="23"/>
  <c r="O173" i="23"/>
  <c r="P173" i="23"/>
  <c r="R173" i="23"/>
  <c r="X173" i="23"/>
  <c r="Y173" i="23"/>
  <c r="Z173" i="23"/>
  <c r="AF173" i="23"/>
  <c r="AG173" i="23"/>
  <c r="AH173" i="23"/>
  <c r="AI173" i="23"/>
  <c r="AL173" i="23"/>
  <c r="AM173" i="23"/>
  <c r="AN173" i="23"/>
  <c r="AS173" i="23"/>
  <c r="AW173" i="23"/>
  <c r="AX173" i="23"/>
  <c r="BF173" i="23"/>
  <c r="C174" i="23"/>
  <c r="D174" i="23"/>
  <c r="E174" i="23"/>
  <c r="F174" i="23"/>
  <c r="N174" i="23"/>
  <c r="O174" i="23"/>
  <c r="P174" i="23"/>
  <c r="R174" i="23"/>
  <c r="X174" i="23"/>
  <c r="Y174" i="23"/>
  <c r="Z174" i="23"/>
  <c r="AF174" i="23"/>
  <c r="AG174" i="23"/>
  <c r="AH174" i="23"/>
  <c r="AI174" i="23"/>
  <c r="AL174" i="23"/>
  <c r="AM174" i="23"/>
  <c r="AN174" i="23"/>
  <c r="AS174" i="23"/>
  <c r="AW174" i="23"/>
  <c r="AX174" i="23"/>
  <c r="BF174" i="23"/>
  <c r="C175" i="23"/>
  <c r="D175" i="23"/>
  <c r="E175" i="23"/>
  <c r="F175" i="23"/>
  <c r="N175" i="23"/>
  <c r="O175" i="23"/>
  <c r="P175" i="23"/>
  <c r="R175" i="23"/>
  <c r="X175" i="23"/>
  <c r="Y175" i="23"/>
  <c r="Z175" i="23"/>
  <c r="AF175" i="23"/>
  <c r="AG175" i="23"/>
  <c r="AH175" i="23"/>
  <c r="AL175" i="23"/>
  <c r="AM175" i="23"/>
  <c r="AN175" i="23"/>
  <c r="AS175" i="23"/>
  <c r="AW175" i="23"/>
  <c r="AX175" i="23"/>
  <c r="BF175" i="23"/>
  <c r="C176" i="23"/>
  <c r="D176" i="23"/>
  <c r="E176" i="23"/>
  <c r="F176" i="23"/>
  <c r="N176" i="23"/>
  <c r="O176" i="23"/>
  <c r="P176" i="23"/>
  <c r="R176" i="23"/>
  <c r="X176" i="23"/>
  <c r="Y176" i="23"/>
  <c r="Z176" i="23"/>
  <c r="AF176" i="23"/>
  <c r="AG176" i="23"/>
  <c r="AH176" i="23"/>
  <c r="AI176" i="23"/>
  <c r="AL176" i="23"/>
  <c r="AM176" i="23"/>
  <c r="AN176" i="23"/>
  <c r="AS176" i="23"/>
  <c r="AW176" i="23"/>
  <c r="AX176" i="23"/>
  <c r="BF176" i="23"/>
  <c r="C177" i="23"/>
  <c r="D177" i="23"/>
  <c r="E177" i="23"/>
  <c r="F177" i="23"/>
  <c r="N177" i="23"/>
  <c r="O177" i="23"/>
  <c r="P177" i="23"/>
  <c r="R177" i="23"/>
  <c r="X177" i="23"/>
  <c r="Y177" i="23"/>
  <c r="Z177" i="23"/>
  <c r="AF177" i="23"/>
  <c r="AG177" i="23"/>
  <c r="AH177" i="23"/>
  <c r="AI177" i="23"/>
  <c r="AL177" i="23"/>
  <c r="AM177" i="23"/>
  <c r="AN177" i="23"/>
  <c r="AS177" i="23"/>
  <c r="AW177" i="23"/>
  <c r="AX177" i="23"/>
  <c r="BF177" i="23"/>
  <c r="C178" i="23"/>
  <c r="D178" i="23"/>
  <c r="E178" i="23"/>
  <c r="F178" i="23"/>
  <c r="N178" i="23"/>
  <c r="O178" i="23"/>
  <c r="P178" i="23"/>
  <c r="R178" i="23"/>
  <c r="X178" i="23"/>
  <c r="Y178" i="23"/>
  <c r="Z178" i="23"/>
  <c r="AF178" i="23"/>
  <c r="AG178" i="23"/>
  <c r="AH178" i="23"/>
  <c r="AL178" i="23"/>
  <c r="AM178" i="23"/>
  <c r="AN178" i="23"/>
  <c r="AS178" i="23"/>
  <c r="AW178" i="23"/>
  <c r="AX178" i="23"/>
  <c r="BF178" i="23"/>
  <c r="C179" i="23"/>
  <c r="D179" i="23"/>
  <c r="E179" i="23"/>
  <c r="F179" i="23"/>
  <c r="N179" i="23"/>
  <c r="O179" i="23"/>
  <c r="P179" i="23"/>
  <c r="R179" i="23"/>
  <c r="X179" i="23"/>
  <c r="Y179" i="23"/>
  <c r="Z179" i="23"/>
  <c r="AF179" i="23"/>
  <c r="AG179" i="23"/>
  <c r="AH179" i="23"/>
  <c r="AI179" i="23"/>
  <c r="AL179" i="23"/>
  <c r="AM179" i="23"/>
  <c r="AN179" i="23"/>
  <c r="AS179" i="23"/>
  <c r="AW179" i="23"/>
  <c r="AX179" i="23"/>
  <c r="BF179" i="23"/>
  <c r="C180" i="23"/>
  <c r="D180" i="23"/>
  <c r="E180" i="23"/>
  <c r="F180" i="23"/>
  <c r="N180" i="23"/>
  <c r="O180" i="23"/>
  <c r="P180" i="23"/>
  <c r="R180" i="23"/>
  <c r="X180" i="23"/>
  <c r="Y180" i="23"/>
  <c r="Z180" i="23"/>
  <c r="AF180" i="23"/>
  <c r="AG180" i="23"/>
  <c r="AH180" i="23"/>
  <c r="AI180" i="23"/>
  <c r="AL180" i="23"/>
  <c r="AM180" i="23"/>
  <c r="AN180" i="23"/>
  <c r="AS180" i="23"/>
  <c r="AW180" i="23"/>
  <c r="AX180" i="23"/>
  <c r="BF180" i="23"/>
  <c r="C181" i="23"/>
  <c r="D181" i="23"/>
  <c r="E181" i="23"/>
  <c r="F181" i="23"/>
  <c r="N181" i="23"/>
  <c r="O181" i="23"/>
  <c r="P181" i="23"/>
  <c r="R181" i="23"/>
  <c r="X181" i="23"/>
  <c r="Y181" i="23"/>
  <c r="Z181" i="23"/>
  <c r="AF181" i="23"/>
  <c r="AG181" i="23"/>
  <c r="AH181" i="23"/>
  <c r="AL181" i="23"/>
  <c r="AM181" i="23"/>
  <c r="AN181" i="23"/>
  <c r="AS181" i="23"/>
  <c r="AW181" i="23"/>
  <c r="AX181" i="23"/>
  <c r="BF181" i="23"/>
  <c r="C182" i="23"/>
  <c r="D182" i="23"/>
  <c r="E182" i="23"/>
  <c r="F182" i="23"/>
  <c r="N182" i="23"/>
  <c r="O182" i="23"/>
  <c r="P182" i="23"/>
  <c r="R182" i="23"/>
  <c r="X182" i="23"/>
  <c r="Y182" i="23"/>
  <c r="Z182" i="23"/>
  <c r="AF182" i="23"/>
  <c r="AG182" i="23"/>
  <c r="AH182" i="23"/>
  <c r="AI182" i="23"/>
  <c r="AL182" i="23"/>
  <c r="AM182" i="23"/>
  <c r="AN182" i="23"/>
  <c r="AS182" i="23"/>
  <c r="AW182" i="23"/>
  <c r="AX182" i="23"/>
  <c r="BF182" i="23"/>
  <c r="C183" i="23"/>
  <c r="D183" i="23"/>
  <c r="E183" i="23"/>
  <c r="F183" i="23"/>
  <c r="N183" i="23"/>
  <c r="O183" i="23"/>
  <c r="P183" i="23"/>
  <c r="R183" i="23"/>
  <c r="X183" i="23"/>
  <c r="Y183" i="23"/>
  <c r="Z183" i="23"/>
  <c r="AF183" i="23"/>
  <c r="AG183" i="23"/>
  <c r="AH183" i="23"/>
  <c r="AI183" i="23"/>
  <c r="AL183" i="23"/>
  <c r="AM183" i="23"/>
  <c r="AN183" i="23"/>
  <c r="AS183" i="23"/>
  <c r="AW183" i="23"/>
  <c r="AX183" i="23"/>
  <c r="BF183" i="23"/>
  <c r="C184" i="23"/>
  <c r="D184" i="23"/>
  <c r="E184" i="23"/>
  <c r="F184" i="23"/>
  <c r="N184" i="23"/>
  <c r="O184" i="23"/>
  <c r="P184" i="23"/>
  <c r="R184" i="23"/>
  <c r="X184" i="23"/>
  <c r="Y184" i="23"/>
  <c r="Z184" i="23"/>
  <c r="AF184" i="23"/>
  <c r="AG184" i="23"/>
  <c r="AH184" i="23"/>
  <c r="AL184" i="23"/>
  <c r="AM184" i="23"/>
  <c r="AN184" i="23"/>
  <c r="AS184" i="23"/>
  <c r="AW184" i="23"/>
  <c r="AX184" i="23"/>
  <c r="BF184" i="23"/>
  <c r="C185" i="23"/>
  <c r="D185" i="23"/>
  <c r="E185" i="23"/>
  <c r="F185" i="23"/>
  <c r="N185" i="23"/>
  <c r="O185" i="23"/>
  <c r="P185" i="23"/>
  <c r="R185" i="23"/>
  <c r="X185" i="23"/>
  <c r="Y185" i="23"/>
  <c r="Z185" i="23"/>
  <c r="AF185" i="23"/>
  <c r="AG185" i="23"/>
  <c r="AH185" i="23"/>
  <c r="AI185" i="23"/>
  <c r="AL185" i="23"/>
  <c r="AM185" i="23"/>
  <c r="AN185" i="23"/>
  <c r="AS185" i="23"/>
  <c r="AW185" i="23"/>
  <c r="AX185" i="23"/>
  <c r="BF185" i="23"/>
  <c r="C186" i="23"/>
  <c r="D186" i="23"/>
  <c r="E186" i="23"/>
  <c r="F186" i="23"/>
  <c r="N186" i="23"/>
  <c r="O186" i="23"/>
  <c r="P186" i="23"/>
  <c r="R186" i="23"/>
  <c r="X186" i="23"/>
  <c r="Y186" i="23"/>
  <c r="Z186" i="23"/>
  <c r="AF186" i="23"/>
  <c r="AG186" i="23"/>
  <c r="AH186" i="23"/>
  <c r="AI186" i="23"/>
  <c r="AL186" i="23"/>
  <c r="AM186" i="23"/>
  <c r="AN186" i="23"/>
  <c r="AS186" i="23"/>
  <c r="AW186" i="23"/>
  <c r="AX186" i="23"/>
  <c r="BF186" i="23"/>
  <c r="C187" i="23"/>
  <c r="D187" i="23"/>
  <c r="E187" i="23"/>
  <c r="F187" i="23"/>
  <c r="N187" i="23"/>
  <c r="O187" i="23"/>
  <c r="P187" i="23"/>
  <c r="R187" i="23"/>
  <c r="X187" i="23"/>
  <c r="Y187" i="23"/>
  <c r="Z187" i="23"/>
  <c r="AF187" i="23"/>
  <c r="AG187" i="23"/>
  <c r="AH187" i="23"/>
  <c r="AL187" i="23"/>
  <c r="AM187" i="23"/>
  <c r="AN187" i="23"/>
  <c r="AS187" i="23"/>
  <c r="AW187" i="23"/>
  <c r="AX187" i="23"/>
  <c r="BF187" i="23"/>
  <c r="C188" i="23"/>
  <c r="D188" i="23"/>
  <c r="E188" i="23"/>
  <c r="F188" i="23"/>
  <c r="N188" i="23"/>
  <c r="O188" i="23"/>
  <c r="P188" i="23"/>
  <c r="R188" i="23"/>
  <c r="X188" i="23"/>
  <c r="Y188" i="23"/>
  <c r="Z188" i="23"/>
  <c r="AF188" i="23"/>
  <c r="AG188" i="23"/>
  <c r="AH188" i="23"/>
  <c r="AI188" i="23"/>
  <c r="AL188" i="23"/>
  <c r="AM188" i="23"/>
  <c r="AN188" i="23"/>
  <c r="AS188" i="23"/>
  <c r="AW188" i="23"/>
  <c r="AX188" i="23"/>
  <c r="BF188" i="23"/>
  <c r="C189" i="23"/>
  <c r="D189" i="23"/>
  <c r="E189" i="23"/>
  <c r="F189" i="23"/>
  <c r="N189" i="23"/>
  <c r="O189" i="23"/>
  <c r="P189" i="23"/>
  <c r="R189" i="23"/>
  <c r="X189" i="23"/>
  <c r="Y189" i="23"/>
  <c r="Z189" i="23"/>
  <c r="AF189" i="23"/>
  <c r="AG189" i="23"/>
  <c r="AH189" i="23"/>
  <c r="AI189" i="23"/>
  <c r="AL189" i="23"/>
  <c r="AM189" i="23"/>
  <c r="AN189" i="23"/>
  <c r="AS189" i="23"/>
  <c r="AW189" i="23"/>
  <c r="AX189" i="23"/>
  <c r="BF189" i="23"/>
  <c r="C190" i="23"/>
  <c r="D190" i="23"/>
  <c r="E190" i="23"/>
  <c r="F190" i="23"/>
  <c r="N190" i="23"/>
  <c r="O190" i="23"/>
  <c r="P190" i="23"/>
  <c r="R190" i="23"/>
  <c r="X190" i="23"/>
  <c r="Y190" i="23"/>
  <c r="Z190" i="23"/>
  <c r="AF190" i="23"/>
  <c r="AG190" i="23"/>
  <c r="AH190" i="23"/>
  <c r="AL190" i="23"/>
  <c r="AM190" i="23"/>
  <c r="AN190" i="23"/>
  <c r="AS190" i="23"/>
  <c r="AW190" i="23"/>
  <c r="AX190" i="23"/>
  <c r="BF190" i="23"/>
  <c r="C191" i="23"/>
  <c r="D191" i="23"/>
  <c r="E191" i="23"/>
  <c r="F191" i="23"/>
  <c r="N191" i="23"/>
  <c r="O191" i="23"/>
  <c r="P191" i="23"/>
  <c r="R191" i="23"/>
  <c r="X191" i="23"/>
  <c r="Y191" i="23"/>
  <c r="Z191" i="23"/>
  <c r="AF191" i="23"/>
  <c r="AG191" i="23"/>
  <c r="AH191" i="23"/>
  <c r="AI191" i="23"/>
  <c r="AL191" i="23"/>
  <c r="AM191" i="23"/>
  <c r="AN191" i="23"/>
  <c r="AS191" i="23"/>
  <c r="AW191" i="23"/>
  <c r="AX191" i="23"/>
  <c r="BF191" i="23"/>
  <c r="C192" i="23"/>
  <c r="D192" i="23"/>
  <c r="E192" i="23"/>
  <c r="F192" i="23"/>
  <c r="N192" i="23"/>
  <c r="O192" i="23"/>
  <c r="P192" i="23"/>
  <c r="R192" i="23"/>
  <c r="X192" i="23"/>
  <c r="Y192" i="23"/>
  <c r="Z192" i="23"/>
  <c r="AF192" i="23"/>
  <c r="AG192" i="23"/>
  <c r="AH192" i="23"/>
  <c r="AI192" i="23"/>
  <c r="AL192" i="23"/>
  <c r="AM192" i="23"/>
  <c r="AN192" i="23"/>
  <c r="AS192" i="23"/>
  <c r="AW192" i="23"/>
  <c r="AX192" i="23"/>
  <c r="BF192" i="23"/>
  <c r="C193" i="23"/>
  <c r="D193" i="23"/>
  <c r="E193" i="23"/>
  <c r="F193" i="23"/>
  <c r="N193" i="23"/>
  <c r="O193" i="23"/>
  <c r="P193" i="23"/>
  <c r="R193" i="23"/>
  <c r="X193" i="23"/>
  <c r="Y193" i="23"/>
  <c r="Z193" i="23"/>
  <c r="AF193" i="23"/>
  <c r="AG193" i="23"/>
  <c r="AH193" i="23"/>
  <c r="AL193" i="23"/>
  <c r="AM193" i="23"/>
  <c r="AN193" i="23"/>
  <c r="AS193" i="23"/>
  <c r="AW193" i="23"/>
  <c r="AX193" i="23"/>
  <c r="BF193" i="23"/>
  <c r="C194" i="23"/>
  <c r="D194" i="23"/>
  <c r="E194" i="23"/>
  <c r="F194" i="23"/>
  <c r="N194" i="23"/>
  <c r="O194" i="23"/>
  <c r="P194" i="23"/>
  <c r="R194" i="23"/>
  <c r="X194" i="23"/>
  <c r="Y194" i="23"/>
  <c r="Z194" i="23"/>
  <c r="AF194" i="23"/>
  <c r="AG194" i="23"/>
  <c r="AH194" i="23"/>
  <c r="AI194" i="23"/>
  <c r="AL194" i="23"/>
  <c r="AM194" i="23"/>
  <c r="AN194" i="23"/>
  <c r="AS194" i="23"/>
  <c r="AW194" i="23"/>
  <c r="AX194" i="23"/>
  <c r="BF194" i="23"/>
  <c r="C195" i="23"/>
  <c r="D195" i="23"/>
  <c r="E195" i="23"/>
  <c r="F195" i="23"/>
  <c r="N195" i="23"/>
  <c r="O195" i="23"/>
  <c r="P195" i="23"/>
  <c r="R195" i="23"/>
  <c r="X195" i="23"/>
  <c r="Y195" i="23"/>
  <c r="Z195" i="23"/>
  <c r="AF195" i="23"/>
  <c r="AG195" i="23"/>
  <c r="AH195" i="23"/>
  <c r="AI195" i="23"/>
  <c r="AL195" i="23"/>
  <c r="AM195" i="23"/>
  <c r="AN195" i="23"/>
  <c r="AS195" i="23"/>
  <c r="AW195" i="23"/>
  <c r="AX195" i="23"/>
  <c r="BF195" i="23"/>
  <c r="C196" i="23"/>
  <c r="D196" i="23"/>
  <c r="E196" i="23"/>
  <c r="F196" i="23"/>
  <c r="N196" i="23"/>
  <c r="O196" i="23"/>
  <c r="P196" i="23"/>
  <c r="R196" i="23"/>
  <c r="X196" i="23"/>
  <c r="Y196" i="23"/>
  <c r="Z196" i="23"/>
  <c r="AF196" i="23"/>
  <c r="AG196" i="23"/>
  <c r="AH196" i="23"/>
  <c r="AL196" i="23"/>
  <c r="AM196" i="23"/>
  <c r="AN196" i="23"/>
  <c r="AS196" i="23"/>
  <c r="AW196" i="23"/>
  <c r="AX196" i="23"/>
  <c r="BF196" i="23"/>
  <c r="C197" i="23"/>
  <c r="D197" i="23"/>
  <c r="E197" i="23"/>
  <c r="F197" i="23"/>
  <c r="N197" i="23"/>
  <c r="O197" i="23"/>
  <c r="P197" i="23"/>
  <c r="R197" i="23"/>
  <c r="X197" i="23"/>
  <c r="Y197" i="23"/>
  <c r="Z197" i="23"/>
  <c r="AF197" i="23"/>
  <c r="AG197" i="23"/>
  <c r="AH197" i="23"/>
  <c r="AI197" i="23"/>
  <c r="AL197" i="23"/>
  <c r="AM197" i="23"/>
  <c r="AN197" i="23"/>
  <c r="AS197" i="23"/>
  <c r="AW197" i="23"/>
  <c r="AX197" i="23"/>
  <c r="BF197" i="23"/>
  <c r="C198" i="23"/>
  <c r="D198" i="23"/>
  <c r="E198" i="23"/>
  <c r="F198" i="23"/>
  <c r="N198" i="23"/>
  <c r="O198" i="23"/>
  <c r="P198" i="23"/>
  <c r="R198" i="23"/>
  <c r="X198" i="23"/>
  <c r="Y198" i="23"/>
  <c r="Z198" i="23"/>
  <c r="AF198" i="23"/>
  <c r="AG198" i="23"/>
  <c r="AH198" i="23"/>
  <c r="AI198" i="23"/>
  <c r="AL198" i="23"/>
  <c r="AM198" i="23"/>
  <c r="AN198" i="23"/>
  <c r="AS198" i="23"/>
  <c r="AW198" i="23"/>
  <c r="AX198" i="23"/>
  <c r="BF198" i="23"/>
  <c r="C199" i="23"/>
  <c r="D199" i="23"/>
  <c r="E199" i="23"/>
  <c r="F199" i="23"/>
  <c r="N199" i="23"/>
  <c r="O199" i="23"/>
  <c r="P199" i="23"/>
  <c r="R199" i="23"/>
  <c r="X199" i="23"/>
  <c r="Y199" i="23"/>
  <c r="Z199" i="23"/>
  <c r="AF199" i="23"/>
  <c r="AG199" i="23"/>
  <c r="AH199" i="23"/>
  <c r="AL199" i="23"/>
  <c r="AM199" i="23"/>
  <c r="AN199" i="23"/>
  <c r="AS199" i="23"/>
  <c r="AW199" i="23"/>
  <c r="AX199" i="23"/>
  <c r="BF199" i="23"/>
  <c r="C200" i="23"/>
  <c r="D200" i="23"/>
  <c r="E200" i="23"/>
  <c r="F200" i="23"/>
  <c r="N200" i="23"/>
  <c r="O200" i="23"/>
  <c r="P200" i="23"/>
  <c r="R200" i="23"/>
  <c r="X200" i="23"/>
  <c r="Y200" i="23"/>
  <c r="Z200" i="23"/>
  <c r="AF200" i="23"/>
  <c r="AG200" i="23"/>
  <c r="AH200" i="23"/>
  <c r="AI200" i="23"/>
  <c r="AL200" i="23"/>
  <c r="AM200" i="23"/>
  <c r="AN200" i="23"/>
  <c r="AS200" i="23"/>
  <c r="AW200" i="23"/>
  <c r="AX200" i="23"/>
  <c r="BF200" i="23"/>
  <c r="C201" i="23"/>
  <c r="D201" i="23"/>
  <c r="E201" i="23"/>
  <c r="F201" i="23"/>
  <c r="N201" i="23"/>
  <c r="O201" i="23"/>
  <c r="P201" i="23"/>
  <c r="R201" i="23"/>
  <c r="X201" i="23"/>
  <c r="Y201" i="23"/>
  <c r="Z201" i="23"/>
  <c r="AF201" i="23"/>
  <c r="AG201" i="23"/>
  <c r="AH201" i="23"/>
  <c r="AI201" i="23"/>
  <c r="AL201" i="23"/>
  <c r="AM201" i="23"/>
  <c r="AN201" i="23"/>
  <c r="AS201" i="23"/>
  <c r="AW201" i="23"/>
  <c r="AX201" i="23"/>
  <c r="BF201" i="23"/>
  <c r="C202" i="23"/>
  <c r="D202" i="23"/>
  <c r="E202" i="23"/>
  <c r="F202" i="23"/>
  <c r="N202" i="23"/>
  <c r="O202" i="23"/>
  <c r="P202" i="23"/>
  <c r="R202" i="23"/>
  <c r="X202" i="23"/>
  <c r="Y202" i="23"/>
  <c r="Z202" i="23"/>
  <c r="AF202" i="23"/>
  <c r="AG202" i="23"/>
  <c r="AH202" i="23"/>
  <c r="AL202" i="23"/>
  <c r="AM202" i="23"/>
  <c r="AN202" i="23"/>
  <c r="AS202" i="23"/>
  <c r="AW202" i="23"/>
  <c r="AX202" i="23"/>
  <c r="BF202" i="23"/>
  <c r="C203" i="23"/>
  <c r="D203" i="23"/>
  <c r="E203" i="23"/>
  <c r="F203" i="23"/>
  <c r="N203" i="23"/>
  <c r="O203" i="23"/>
  <c r="P203" i="23"/>
  <c r="R203" i="23"/>
  <c r="X203" i="23"/>
  <c r="Y203" i="23"/>
  <c r="Z203" i="23"/>
  <c r="AF203" i="23"/>
  <c r="AG203" i="23"/>
  <c r="AH203" i="23"/>
  <c r="AI203" i="23"/>
  <c r="AL203" i="23"/>
  <c r="AM203" i="23"/>
  <c r="AN203" i="23"/>
  <c r="AS203" i="23"/>
  <c r="AW203" i="23"/>
  <c r="AX203" i="23"/>
  <c r="BF203" i="23"/>
  <c r="C204" i="23"/>
  <c r="D204" i="23"/>
  <c r="E204" i="23"/>
  <c r="F204" i="23"/>
  <c r="N204" i="23"/>
  <c r="O204" i="23"/>
  <c r="P204" i="23"/>
  <c r="R204" i="23"/>
  <c r="X204" i="23"/>
  <c r="Y204" i="23"/>
  <c r="Z204" i="23"/>
  <c r="AF204" i="23"/>
  <c r="AG204" i="23"/>
  <c r="AH204" i="23"/>
  <c r="AI204" i="23"/>
  <c r="AL204" i="23"/>
  <c r="AM204" i="23"/>
  <c r="AN204" i="23"/>
  <c r="AS204" i="23"/>
  <c r="AW204" i="23"/>
  <c r="AX204" i="23"/>
  <c r="BF204" i="23"/>
  <c r="C205" i="23"/>
  <c r="D205" i="23"/>
  <c r="E205" i="23"/>
  <c r="F205" i="23"/>
  <c r="N205" i="23"/>
  <c r="O205" i="23"/>
  <c r="P205" i="23"/>
  <c r="R205" i="23"/>
  <c r="X205" i="23"/>
  <c r="Y205" i="23"/>
  <c r="Z205" i="23"/>
  <c r="AF205" i="23"/>
  <c r="AG205" i="23"/>
  <c r="AH205" i="23"/>
  <c r="AL205" i="23"/>
  <c r="AM205" i="23"/>
  <c r="AN205" i="23"/>
  <c r="AS205" i="23"/>
  <c r="AW205" i="23"/>
  <c r="AX205" i="23"/>
  <c r="BF205" i="23"/>
  <c r="C206" i="23"/>
  <c r="D206" i="23"/>
  <c r="E206" i="23"/>
  <c r="F206" i="23"/>
  <c r="N206" i="23"/>
  <c r="O206" i="23"/>
  <c r="P206" i="23"/>
  <c r="R206" i="23"/>
  <c r="X206" i="23"/>
  <c r="Y206" i="23"/>
  <c r="Z206" i="23"/>
  <c r="AF206" i="23"/>
  <c r="AG206" i="23"/>
  <c r="AH206" i="23"/>
  <c r="AI206" i="23"/>
  <c r="AL206" i="23"/>
  <c r="AM206" i="23"/>
  <c r="AN206" i="23"/>
  <c r="AS206" i="23"/>
  <c r="AW206" i="23"/>
  <c r="AX206" i="23"/>
  <c r="BF206" i="23"/>
  <c r="C207" i="23"/>
  <c r="D207" i="23"/>
  <c r="E207" i="23"/>
  <c r="F207" i="23"/>
  <c r="N207" i="23"/>
  <c r="O207" i="23"/>
  <c r="P207" i="23"/>
  <c r="R207" i="23"/>
  <c r="X207" i="23"/>
  <c r="Y207" i="23"/>
  <c r="Z207" i="23"/>
  <c r="AF207" i="23"/>
  <c r="AG207" i="23"/>
  <c r="AH207" i="23"/>
  <c r="AI207" i="23"/>
  <c r="AL207" i="23"/>
  <c r="AM207" i="23"/>
  <c r="AN207" i="23"/>
  <c r="AS207" i="23"/>
  <c r="AW207" i="23"/>
  <c r="AX207" i="23"/>
  <c r="BF207" i="23"/>
  <c r="C208" i="23"/>
  <c r="D208" i="23"/>
  <c r="E208" i="23"/>
  <c r="F208" i="23"/>
  <c r="N208" i="23"/>
  <c r="O208" i="23"/>
  <c r="P208" i="23"/>
  <c r="R208" i="23"/>
  <c r="X208" i="23"/>
  <c r="Y208" i="23"/>
  <c r="Z208" i="23"/>
  <c r="AF208" i="23"/>
  <c r="AG208" i="23"/>
  <c r="AH208" i="23"/>
  <c r="AL208" i="23"/>
  <c r="AM208" i="23"/>
  <c r="AN208" i="23"/>
  <c r="AS208" i="23"/>
  <c r="AW208" i="23"/>
  <c r="AX208" i="23"/>
  <c r="BF208" i="23"/>
  <c r="C209" i="23"/>
  <c r="D209" i="23"/>
  <c r="E209" i="23"/>
  <c r="F209" i="23"/>
  <c r="N209" i="23"/>
  <c r="O209" i="23"/>
  <c r="P209" i="23"/>
  <c r="R209" i="23"/>
  <c r="X209" i="23"/>
  <c r="Y209" i="23"/>
  <c r="Z209" i="23"/>
  <c r="AF209" i="23"/>
  <c r="AG209" i="23"/>
  <c r="AH209" i="23"/>
  <c r="AI209" i="23"/>
  <c r="AL209" i="23"/>
  <c r="AM209" i="23"/>
  <c r="AN209" i="23"/>
  <c r="AS209" i="23"/>
  <c r="AW209" i="23"/>
  <c r="AX209" i="23"/>
  <c r="BF209" i="23"/>
  <c r="C210" i="23"/>
  <c r="D210" i="23"/>
  <c r="E210" i="23"/>
  <c r="F210" i="23"/>
  <c r="N210" i="23"/>
  <c r="O210" i="23"/>
  <c r="P210" i="23"/>
  <c r="R210" i="23"/>
  <c r="X210" i="23"/>
  <c r="Y210" i="23"/>
  <c r="Z210" i="23"/>
  <c r="AF210" i="23"/>
  <c r="AG210" i="23"/>
  <c r="AH210" i="23"/>
  <c r="AI210" i="23"/>
  <c r="AL210" i="23"/>
  <c r="AM210" i="23"/>
  <c r="AN210" i="23"/>
  <c r="AS210" i="23"/>
  <c r="AW210" i="23"/>
  <c r="AX210" i="23"/>
  <c r="BF210" i="23"/>
  <c r="C211" i="23"/>
  <c r="D211" i="23"/>
  <c r="E211" i="23"/>
  <c r="F211" i="23"/>
  <c r="N211" i="23"/>
  <c r="O211" i="23"/>
  <c r="P211" i="23"/>
  <c r="R211" i="23"/>
  <c r="X211" i="23"/>
  <c r="Y211" i="23"/>
  <c r="Z211" i="23"/>
  <c r="AF211" i="23"/>
  <c r="AG211" i="23"/>
  <c r="AH211" i="23"/>
  <c r="AL211" i="23"/>
  <c r="AM211" i="23"/>
  <c r="AN211" i="23"/>
  <c r="AS211" i="23"/>
  <c r="AW211" i="23"/>
  <c r="AX211" i="23"/>
  <c r="BF211" i="23"/>
  <c r="C212" i="23"/>
  <c r="D212" i="23"/>
  <c r="E212" i="23"/>
  <c r="F212" i="23"/>
  <c r="N212" i="23"/>
  <c r="O212" i="23"/>
  <c r="P212" i="23"/>
  <c r="R212" i="23"/>
  <c r="X212" i="23"/>
  <c r="Y212" i="23"/>
  <c r="Z212" i="23"/>
  <c r="AF212" i="23"/>
  <c r="AG212" i="23"/>
  <c r="AH212" i="23"/>
  <c r="AI212" i="23"/>
  <c r="AL212" i="23"/>
  <c r="AM212" i="23"/>
  <c r="AN212" i="23"/>
  <c r="AS212" i="23"/>
  <c r="AW212" i="23"/>
  <c r="AX212" i="23"/>
  <c r="BF212" i="23"/>
  <c r="C213" i="23"/>
  <c r="D213" i="23"/>
  <c r="E213" i="23"/>
  <c r="F213" i="23"/>
  <c r="N213" i="23"/>
  <c r="O213" i="23"/>
  <c r="P213" i="23"/>
  <c r="R213" i="23"/>
  <c r="X213" i="23"/>
  <c r="Y213" i="23"/>
  <c r="Z213" i="23"/>
  <c r="AF213" i="23"/>
  <c r="AG213" i="23"/>
  <c r="AH213" i="23"/>
  <c r="AI213" i="23"/>
  <c r="AL213" i="23"/>
  <c r="AM213" i="23"/>
  <c r="AN213" i="23"/>
  <c r="AS213" i="23"/>
  <c r="AW213" i="23"/>
  <c r="AX213" i="23"/>
  <c r="BF213" i="23"/>
  <c r="C214" i="23"/>
  <c r="D214" i="23"/>
  <c r="E214" i="23"/>
  <c r="F214" i="23"/>
  <c r="N214" i="23"/>
  <c r="O214" i="23"/>
  <c r="P214" i="23"/>
  <c r="R214" i="23"/>
  <c r="X214" i="23"/>
  <c r="Y214" i="23"/>
  <c r="Z214" i="23"/>
  <c r="AF214" i="23"/>
  <c r="AG214" i="23"/>
  <c r="AH214" i="23"/>
  <c r="AL214" i="23"/>
  <c r="AM214" i="23"/>
  <c r="AN214" i="23"/>
  <c r="AS214" i="23"/>
  <c r="AW214" i="23"/>
  <c r="AX214" i="23"/>
  <c r="BF214" i="23"/>
  <c r="C215" i="23"/>
  <c r="D215" i="23"/>
  <c r="E215" i="23"/>
  <c r="F215" i="23"/>
  <c r="N215" i="23"/>
  <c r="O215" i="23"/>
  <c r="P215" i="23"/>
  <c r="R215" i="23"/>
  <c r="X215" i="23"/>
  <c r="Y215" i="23"/>
  <c r="Z215" i="23"/>
  <c r="AF215" i="23"/>
  <c r="AG215" i="23"/>
  <c r="AH215" i="23"/>
  <c r="AI215" i="23"/>
  <c r="AL215" i="23"/>
  <c r="AM215" i="23"/>
  <c r="AN215" i="23"/>
  <c r="AS215" i="23"/>
  <c r="AW215" i="23"/>
  <c r="AX215" i="23"/>
  <c r="BF215" i="23"/>
  <c r="C216" i="23"/>
  <c r="D216" i="23"/>
  <c r="E216" i="23"/>
  <c r="F216" i="23"/>
  <c r="N216" i="23"/>
  <c r="O216" i="23"/>
  <c r="P216" i="23"/>
  <c r="R216" i="23"/>
  <c r="X216" i="23"/>
  <c r="Y216" i="23"/>
  <c r="Z216" i="23"/>
  <c r="AF216" i="23"/>
  <c r="AG216" i="23"/>
  <c r="AH216" i="23"/>
  <c r="AI216" i="23"/>
  <c r="AL216" i="23"/>
  <c r="AM216" i="23"/>
  <c r="AN216" i="23"/>
  <c r="AS216" i="23"/>
  <c r="AW216" i="23"/>
  <c r="AX216" i="23"/>
  <c r="BF216" i="23"/>
  <c r="C217" i="23"/>
  <c r="D217" i="23"/>
  <c r="E217" i="23"/>
  <c r="F217" i="23"/>
  <c r="N217" i="23"/>
  <c r="O217" i="23"/>
  <c r="P217" i="23"/>
  <c r="R217" i="23"/>
  <c r="X217" i="23"/>
  <c r="Y217" i="23"/>
  <c r="Z217" i="23"/>
  <c r="AF217" i="23"/>
  <c r="AG217" i="23"/>
  <c r="AH217" i="23"/>
  <c r="AL217" i="23"/>
  <c r="AM217" i="23"/>
  <c r="AN217" i="23"/>
  <c r="AS217" i="23"/>
  <c r="AW217" i="23"/>
  <c r="AX217" i="23"/>
  <c r="BF217" i="23"/>
  <c r="C218" i="23"/>
  <c r="D218" i="23"/>
  <c r="E218" i="23"/>
  <c r="F218" i="23"/>
  <c r="N218" i="23"/>
  <c r="O218" i="23"/>
  <c r="P218" i="23"/>
  <c r="R218" i="23"/>
  <c r="X218" i="23"/>
  <c r="Y218" i="23"/>
  <c r="Z218" i="23"/>
  <c r="AF218" i="23"/>
  <c r="AG218" i="23"/>
  <c r="AH218" i="23"/>
  <c r="AI218" i="23"/>
  <c r="AL218" i="23"/>
  <c r="AM218" i="23"/>
  <c r="AN218" i="23"/>
  <c r="AS218" i="23"/>
  <c r="AW218" i="23"/>
  <c r="AX218" i="23"/>
  <c r="BF218" i="23"/>
  <c r="C219" i="23"/>
  <c r="D219" i="23"/>
  <c r="E219" i="23"/>
  <c r="F219" i="23"/>
  <c r="N219" i="23"/>
  <c r="O219" i="23"/>
  <c r="P219" i="23"/>
  <c r="R219" i="23"/>
  <c r="X219" i="23"/>
  <c r="Y219" i="23"/>
  <c r="Z219" i="23"/>
  <c r="AF219" i="23"/>
  <c r="AG219" i="23"/>
  <c r="AH219" i="23"/>
  <c r="AI219" i="23"/>
  <c r="AL219" i="23"/>
  <c r="AM219" i="23"/>
  <c r="AN219" i="23"/>
  <c r="AS219" i="23"/>
  <c r="AW219" i="23"/>
  <c r="AX219" i="23"/>
  <c r="BF219" i="23"/>
  <c r="C220" i="23"/>
  <c r="D220" i="23"/>
  <c r="E220" i="23"/>
  <c r="F220" i="23"/>
  <c r="N220" i="23"/>
  <c r="O220" i="23"/>
  <c r="P220" i="23"/>
  <c r="R220" i="23"/>
  <c r="X220" i="23"/>
  <c r="Y220" i="23"/>
  <c r="Z220" i="23"/>
  <c r="AF220" i="23"/>
  <c r="AG220" i="23"/>
  <c r="AH220" i="23"/>
  <c r="AL220" i="23"/>
  <c r="AM220" i="23"/>
  <c r="AN220" i="23"/>
  <c r="AS220" i="23"/>
  <c r="AW220" i="23"/>
  <c r="AX220" i="23"/>
  <c r="BF220" i="23"/>
  <c r="C221" i="23"/>
  <c r="D221" i="23"/>
  <c r="E221" i="23"/>
  <c r="F221" i="23"/>
  <c r="N221" i="23"/>
  <c r="O221" i="23"/>
  <c r="P221" i="23"/>
  <c r="R221" i="23"/>
  <c r="X221" i="23"/>
  <c r="Y221" i="23"/>
  <c r="Z221" i="23"/>
  <c r="AF221" i="23"/>
  <c r="AG221" i="23"/>
  <c r="AH221" i="23"/>
  <c r="AI221" i="23"/>
  <c r="AL221" i="23"/>
  <c r="AM221" i="23"/>
  <c r="AN221" i="23"/>
  <c r="AS221" i="23"/>
  <c r="AW221" i="23"/>
  <c r="AX221" i="23"/>
  <c r="BF221" i="23"/>
  <c r="C222" i="23"/>
  <c r="D222" i="23"/>
  <c r="E222" i="23"/>
  <c r="F222" i="23"/>
  <c r="N222" i="23"/>
  <c r="O222" i="23"/>
  <c r="P222" i="23"/>
  <c r="R222" i="23"/>
  <c r="X222" i="23"/>
  <c r="Y222" i="23"/>
  <c r="Z222" i="23"/>
  <c r="AF222" i="23"/>
  <c r="AG222" i="23"/>
  <c r="AH222" i="23"/>
  <c r="AI222" i="23"/>
  <c r="AL222" i="23"/>
  <c r="AM222" i="23"/>
  <c r="AN222" i="23"/>
  <c r="AS222" i="23"/>
  <c r="AW222" i="23"/>
  <c r="AX222" i="23"/>
  <c r="BF222" i="23"/>
  <c r="C223" i="23"/>
  <c r="D223" i="23"/>
  <c r="E223" i="23"/>
  <c r="F223" i="23"/>
  <c r="N223" i="23"/>
  <c r="O223" i="23"/>
  <c r="P223" i="23"/>
  <c r="R223" i="23"/>
  <c r="X223" i="23"/>
  <c r="Y223" i="23"/>
  <c r="Z223" i="23"/>
  <c r="AF223" i="23"/>
  <c r="AG223" i="23"/>
  <c r="AH223" i="23"/>
  <c r="AL223" i="23"/>
  <c r="AM223" i="23"/>
  <c r="AN223" i="23"/>
  <c r="AS223" i="23"/>
  <c r="AW223" i="23"/>
  <c r="AX223" i="23"/>
  <c r="BF223" i="23"/>
  <c r="C224" i="23"/>
  <c r="D224" i="23"/>
  <c r="E224" i="23"/>
  <c r="F224" i="23"/>
  <c r="N224" i="23"/>
  <c r="O224" i="23"/>
  <c r="P224" i="23"/>
  <c r="R224" i="23"/>
  <c r="X224" i="23"/>
  <c r="Y224" i="23"/>
  <c r="Z224" i="23"/>
  <c r="AF224" i="23"/>
  <c r="AG224" i="23"/>
  <c r="AH224" i="23"/>
  <c r="AI224" i="23"/>
  <c r="AL224" i="23"/>
  <c r="AM224" i="23"/>
  <c r="AN224" i="23"/>
  <c r="AS224" i="23"/>
  <c r="AW224" i="23"/>
  <c r="AX224" i="23"/>
  <c r="BF224" i="23"/>
  <c r="C225" i="23"/>
  <c r="D225" i="23"/>
  <c r="E225" i="23"/>
  <c r="F225" i="23"/>
  <c r="N225" i="23"/>
  <c r="O225" i="23"/>
  <c r="P225" i="23"/>
  <c r="R225" i="23"/>
  <c r="X225" i="23"/>
  <c r="Y225" i="23"/>
  <c r="Z225" i="23"/>
  <c r="AF225" i="23"/>
  <c r="AG225" i="23"/>
  <c r="AH225" i="23"/>
  <c r="AI225" i="23"/>
  <c r="AL225" i="23"/>
  <c r="AM225" i="23"/>
  <c r="AN225" i="23"/>
  <c r="AS225" i="23"/>
  <c r="AW225" i="23"/>
  <c r="AX225" i="23"/>
  <c r="BF225" i="23"/>
  <c r="C226" i="23"/>
  <c r="D226" i="23"/>
  <c r="E226" i="23"/>
  <c r="F226" i="23"/>
  <c r="N226" i="23"/>
  <c r="O226" i="23"/>
  <c r="P226" i="23"/>
  <c r="R226" i="23"/>
  <c r="X226" i="23"/>
  <c r="Y226" i="23"/>
  <c r="Z226" i="23"/>
  <c r="AF226" i="23"/>
  <c r="AG226" i="23"/>
  <c r="AH226" i="23"/>
  <c r="AL226" i="23"/>
  <c r="AM226" i="23"/>
  <c r="AN226" i="23"/>
  <c r="AS226" i="23"/>
  <c r="AW226" i="23"/>
  <c r="AX226" i="23"/>
  <c r="BF226" i="23"/>
  <c r="C227" i="23"/>
  <c r="D227" i="23"/>
  <c r="E227" i="23"/>
  <c r="F227" i="23"/>
  <c r="N227" i="23"/>
  <c r="O227" i="23"/>
  <c r="P227" i="23"/>
  <c r="R227" i="23"/>
  <c r="X227" i="23"/>
  <c r="Y227" i="23"/>
  <c r="Z227" i="23"/>
  <c r="AF227" i="23"/>
  <c r="AG227" i="23"/>
  <c r="AH227" i="23"/>
  <c r="AI227" i="23"/>
  <c r="AL227" i="23"/>
  <c r="AM227" i="23"/>
  <c r="AN227" i="23"/>
  <c r="AS227" i="23"/>
  <c r="AW227" i="23"/>
  <c r="AX227" i="23"/>
  <c r="BF227" i="23"/>
  <c r="C228" i="23"/>
  <c r="D228" i="23"/>
  <c r="E228" i="23"/>
  <c r="F228" i="23"/>
  <c r="N228" i="23"/>
  <c r="O228" i="23"/>
  <c r="P228" i="23"/>
  <c r="R228" i="23"/>
  <c r="X228" i="23"/>
  <c r="Y228" i="23"/>
  <c r="Z228" i="23"/>
  <c r="AF228" i="23"/>
  <c r="AG228" i="23"/>
  <c r="AH228" i="23"/>
  <c r="AI228" i="23"/>
  <c r="AL228" i="23"/>
  <c r="AM228" i="23"/>
  <c r="AN228" i="23"/>
  <c r="AS228" i="23"/>
  <c r="AW228" i="23"/>
  <c r="AX228" i="23"/>
  <c r="BF228" i="23"/>
  <c r="C229" i="23"/>
  <c r="D229" i="23"/>
  <c r="E229" i="23"/>
  <c r="F229" i="23"/>
  <c r="N229" i="23"/>
  <c r="O229" i="23"/>
  <c r="P229" i="23"/>
  <c r="R229" i="23"/>
  <c r="X229" i="23"/>
  <c r="Y229" i="23"/>
  <c r="Z229" i="23"/>
  <c r="AF229" i="23"/>
  <c r="AG229" i="23"/>
  <c r="AH229" i="23"/>
  <c r="AL229" i="23"/>
  <c r="AM229" i="23"/>
  <c r="AN229" i="23"/>
  <c r="AS229" i="23"/>
  <c r="AW229" i="23"/>
  <c r="AX229" i="23"/>
  <c r="BF229" i="23"/>
  <c r="C230" i="23"/>
  <c r="D230" i="23"/>
  <c r="E230" i="23"/>
  <c r="F230" i="23"/>
  <c r="N230" i="23"/>
  <c r="O230" i="23"/>
  <c r="P230" i="23"/>
  <c r="R230" i="23"/>
  <c r="X230" i="23"/>
  <c r="Y230" i="23"/>
  <c r="Z230" i="23"/>
  <c r="AF230" i="23"/>
  <c r="AG230" i="23"/>
  <c r="AH230" i="23"/>
  <c r="AI230" i="23"/>
  <c r="AL230" i="23"/>
  <c r="AM230" i="23"/>
  <c r="AN230" i="23"/>
  <c r="AS230" i="23"/>
  <c r="AW230" i="23"/>
  <c r="AX230" i="23"/>
  <c r="BF230" i="23"/>
  <c r="C231" i="23"/>
  <c r="D231" i="23"/>
  <c r="E231" i="23"/>
  <c r="F231" i="23"/>
  <c r="N231" i="23"/>
  <c r="O231" i="23"/>
  <c r="P231" i="23"/>
  <c r="R231" i="23"/>
  <c r="X231" i="23"/>
  <c r="Y231" i="23"/>
  <c r="Z231" i="23"/>
  <c r="AF231" i="23"/>
  <c r="AG231" i="23"/>
  <c r="AH231" i="23"/>
  <c r="AI231" i="23"/>
  <c r="AL231" i="23"/>
  <c r="AM231" i="23"/>
  <c r="AN231" i="23"/>
  <c r="AS231" i="23"/>
  <c r="AW231" i="23"/>
  <c r="AX231" i="23"/>
  <c r="BF231" i="23"/>
  <c r="C232" i="23"/>
  <c r="D232" i="23"/>
  <c r="E232" i="23"/>
  <c r="F232" i="23"/>
  <c r="N232" i="23"/>
  <c r="O232" i="23"/>
  <c r="P232" i="23"/>
  <c r="R232" i="23"/>
  <c r="X232" i="23"/>
  <c r="Y232" i="23"/>
  <c r="Z232" i="23"/>
  <c r="AF232" i="23"/>
  <c r="AG232" i="23"/>
  <c r="AH232" i="23"/>
  <c r="AL232" i="23"/>
  <c r="AM232" i="23"/>
  <c r="AN232" i="23"/>
  <c r="AS232" i="23"/>
  <c r="AW232" i="23"/>
  <c r="AX232" i="23"/>
  <c r="BF232" i="23"/>
  <c r="C233" i="23"/>
  <c r="D233" i="23"/>
  <c r="E233" i="23"/>
  <c r="F233" i="23"/>
  <c r="N233" i="23"/>
  <c r="O233" i="23"/>
  <c r="P233" i="23"/>
  <c r="R233" i="23"/>
  <c r="X233" i="23"/>
  <c r="Y233" i="23"/>
  <c r="Z233" i="23"/>
  <c r="AF233" i="23"/>
  <c r="AG233" i="23"/>
  <c r="AH233" i="23"/>
  <c r="AI233" i="23"/>
  <c r="AL233" i="23"/>
  <c r="AM233" i="23"/>
  <c r="AN233" i="23"/>
  <c r="AS233" i="23"/>
  <c r="AW233" i="23"/>
  <c r="AX233" i="23"/>
  <c r="BF233" i="23"/>
  <c r="C234" i="23"/>
  <c r="D234" i="23"/>
  <c r="E234" i="23"/>
  <c r="F234" i="23"/>
  <c r="N234" i="23"/>
  <c r="O234" i="23"/>
  <c r="P234" i="23"/>
  <c r="R234" i="23"/>
  <c r="X234" i="23"/>
  <c r="Y234" i="23"/>
  <c r="Z234" i="23"/>
  <c r="AF234" i="23"/>
  <c r="AG234" i="23"/>
  <c r="AH234" i="23"/>
  <c r="AI234" i="23"/>
  <c r="AL234" i="23"/>
  <c r="AM234" i="23"/>
  <c r="AN234" i="23"/>
  <c r="AS234" i="23"/>
  <c r="AW234" i="23"/>
  <c r="AX234" i="23"/>
  <c r="BF234" i="23"/>
  <c r="C235" i="23"/>
  <c r="D235" i="23"/>
  <c r="E235" i="23"/>
  <c r="F235" i="23"/>
  <c r="N235" i="23"/>
  <c r="O235" i="23"/>
  <c r="P235" i="23"/>
  <c r="R235" i="23"/>
  <c r="X235" i="23"/>
  <c r="Y235" i="23"/>
  <c r="Z235" i="23"/>
  <c r="AF235" i="23"/>
  <c r="AG235" i="23"/>
  <c r="AH235" i="23"/>
  <c r="AL235" i="23"/>
  <c r="AM235" i="23"/>
  <c r="AN235" i="23"/>
  <c r="AS235" i="23"/>
  <c r="AW235" i="23"/>
  <c r="AX235" i="23"/>
  <c r="BF235" i="23"/>
  <c r="C236" i="23"/>
  <c r="D236" i="23"/>
  <c r="E236" i="23"/>
  <c r="F236" i="23"/>
  <c r="N236" i="23"/>
  <c r="O236" i="23"/>
  <c r="P236" i="23"/>
  <c r="R236" i="23"/>
  <c r="X236" i="23"/>
  <c r="Y236" i="23"/>
  <c r="Z236" i="23"/>
  <c r="AF236" i="23"/>
  <c r="AG236" i="23"/>
  <c r="AH236" i="23"/>
  <c r="AI236" i="23"/>
  <c r="AL236" i="23"/>
  <c r="AM236" i="23"/>
  <c r="AN236" i="23"/>
  <c r="AS236" i="23"/>
  <c r="AW236" i="23"/>
  <c r="AX236" i="23"/>
  <c r="BF236" i="23"/>
  <c r="C237" i="23"/>
  <c r="D237" i="23"/>
  <c r="E237" i="23"/>
  <c r="F237" i="23"/>
  <c r="N237" i="23"/>
  <c r="O237" i="23"/>
  <c r="P237" i="23"/>
  <c r="R237" i="23"/>
  <c r="X237" i="23"/>
  <c r="Y237" i="23"/>
  <c r="Z237" i="23"/>
  <c r="AF237" i="23"/>
  <c r="AG237" i="23"/>
  <c r="AH237" i="23"/>
  <c r="AI237" i="23"/>
  <c r="AL237" i="23"/>
  <c r="AM237" i="23"/>
  <c r="AN237" i="23"/>
  <c r="AS237" i="23"/>
  <c r="AW237" i="23"/>
  <c r="AX237" i="23"/>
  <c r="BF237" i="23"/>
  <c r="C238" i="23"/>
  <c r="D238" i="23"/>
  <c r="E238" i="23"/>
  <c r="F238" i="23"/>
  <c r="N238" i="23"/>
  <c r="O238" i="23"/>
  <c r="P238" i="23"/>
  <c r="R238" i="23"/>
  <c r="X238" i="23"/>
  <c r="Y238" i="23"/>
  <c r="Z238" i="23"/>
  <c r="AF238" i="23"/>
  <c r="AG238" i="23"/>
  <c r="AH238" i="23"/>
  <c r="AL238" i="23"/>
  <c r="AM238" i="23"/>
  <c r="AN238" i="23"/>
  <c r="AS238" i="23"/>
  <c r="AW238" i="23"/>
  <c r="AX238" i="23"/>
  <c r="BF238" i="23"/>
  <c r="C239" i="23"/>
  <c r="D239" i="23"/>
  <c r="E239" i="23"/>
  <c r="F239" i="23"/>
  <c r="N239" i="23"/>
  <c r="O239" i="23"/>
  <c r="P239" i="23"/>
  <c r="R239" i="23"/>
  <c r="X239" i="23"/>
  <c r="Y239" i="23"/>
  <c r="Z239" i="23"/>
  <c r="AF239" i="23"/>
  <c r="AG239" i="23"/>
  <c r="AH239" i="23"/>
  <c r="AI239" i="23"/>
  <c r="AL239" i="23"/>
  <c r="AM239" i="23"/>
  <c r="AN239" i="23"/>
  <c r="AS239" i="23"/>
  <c r="AW239" i="23"/>
  <c r="AX239" i="23"/>
  <c r="BF239" i="23"/>
  <c r="C240" i="23"/>
  <c r="D240" i="23"/>
  <c r="E240" i="23"/>
  <c r="F240" i="23"/>
  <c r="N240" i="23"/>
  <c r="O240" i="23"/>
  <c r="P240" i="23"/>
  <c r="R240" i="23"/>
  <c r="X240" i="23"/>
  <c r="Y240" i="23"/>
  <c r="Z240" i="23"/>
  <c r="AF240" i="23"/>
  <c r="AG240" i="23"/>
  <c r="AH240" i="23"/>
  <c r="AI240" i="23"/>
  <c r="AL240" i="23"/>
  <c r="AM240" i="23"/>
  <c r="AN240" i="23"/>
  <c r="AS240" i="23"/>
  <c r="AW240" i="23"/>
  <c r="AX240" i="23"/>
  <c r="BF240" i="23"/>
  <c r="C241" i="23"/>
  <c r="D241" i="23"/>
  <c r="E241" i="23"/>
  <c r="F241" i="23"/>
  <c r="N241" i="23"/>
  <c r="O241" i="23"/>
  <c r="P241" i="23"/>
  <c r="R241" i="23"/>
  <c r="X241" i="23"/>
  <c r="Y241" i="23"/>
  <c r="Z241" i="23"/>
  <c r="AF241" i="23"/>
  <c r="AG241" i="23"/>
  <c r="AH241" i="23"/>
  <c r="AL241" i="23"/>
  <c r="AM241" i="23"/>
  <c r="AN241" i="23"/>
  <c r="AS241" i="23"/>
  <c r="AW241" i="23"/>
  <c r="AX241" i="23"/>
  <c r="BF241" i="23"/>
  <c r="C242" i="23"/>
  <c r="D242" i="23"/>
  <c r="E242" i="23"/>
  <c r="F242" i="23"/>
  <c r="N242" i="23"/>
  <c r="O242" i="23"/>
  <c r="P242" i="23"/>
  <c r="R242" i="23"/>
  <c r="X242" i="23"/>
  <c r="Y242" i="23"/>
  <c r="Z242" i="23"/>
  <c r="AF242" i="23"/>
  <c r="AG242" i="23"/>
  <c r="AH242" i="23"/>
  <c r="AI242" i="23"/>
  <c r="AL242" i="23"/>
  <c r="AM242" i="23"/>
  <c r="AN242" i="23"/>
  <c r="AS242" i="23"/>
  <c r="AW242" i="23"/>
  <c r="AX242" i="23"/>
  <c r="BF242" i="23"/>
  <c r="C243" i="23"/>
  <c r="D243" i="23"/>
  <c r="E243" i="23"/>
  <c r="F243" i="23"/>
  <c r="N243" i="23"/>
  <c r="O243" i="23"/>
  <c r="P243" i="23"/>
  <c r="R243" i="23"/>
  <c r="X243" i="23"/>
  <c r="Y243" i="23"/>
  <c r="Z243" i="23"/>
  <c r="AF243" i="23"/>
  <c r="AG243" i="23"/>
  <c r="AH243" i="23"/>
  <c r="AI243" i="23"/>
  <c r="AL243" i="23"/>
  <c r="AM243" i="23"/>
  <c r="AN243" i="23"/>
  <c r="AS243" i="23"/>
  <c r="AW243" i="23"/>
  <c r="AX243" i="23"/>
  <c r="BF243" i="23"/>
  <c r="C244" i="23"/>
  <c r="D244" i="23"/>
  <c r="E244" i="23"/>
  <c r="F244" i="23"/>
  <c r="N244" i="23"/>
  <c r="O244" i="23"/>
  <c r="P244" i="23"/>
  <c r="R244" i="23"/>
  <c r="X244" i="23"/>
  <c r="Y244" i="23"/>
  <c r="Z244" i="23"/>
  <c r="AF244" i="23"/>
  <c r="AG244" i="23"/>
  <c r="AH244" i="23"/>
  <c r="AL244" i="23"/>
  <c r="AM244" i="23"/>
  <c r="AN244" i="23"/>
  <c r="AS244" i="23"/>
  <c r="AW244" i="23"/>
  <c r="AX244" i="23"/>
  <c r="BF244" i="23"/>
  <c r="C245" i="23"/>
  <c r="D245" i="23"/>
  <c r="E245" i="23"/>
  <c r="F245" i="23"/>
  <c r="N245" i="23"/>
  <c r="O245" i="23"/>
  <c r="P245" i="23"/>
  <c r="R245" i="23"/>
  <c r="X245" i="23"/>
  <c r="Y245" i="23"/>
  <c r="Z245" i="23"/>
  <c r="AF245" i="23"/>
  <c r="AG245" i="23"/>
  <c r="AH245" i="23"/>
  <c r="AI245" i="23"/>
  <c r="AL245" i="23"/>
  <c r="AM245" i="23"/>
  <c r="AN245" i="23"/>
  <c r="AS245" i="23"/>
  <c r="AW245" i="23"/>
  <c r="AX245" i="23"/>
  <c r="BF245" i="23"/>
  <c r="C246" i="23"/>
  <c r="D246" i="23"/>
  <c r="E246" i="23"/>
  <c r="F246" i="23"/>
  <c r="N246" i="23"/>
  <c r="O246" i="23"/>
  <c r="P246" i="23"/>
  <c r="R246" i="23"/>
  <c r="X246" i="23"/>
  <c r="Y246" i="23"/>
  <c r="Z246" i="23"/>
  <c r="AF246" i="23"/>
  <c r="AG246" i="23"/>
  <c r="AH246" i="23"/>
  <c r="AI246" i="23"/>
  <c r="AL246" i="23"/>
  <c r="AM246" i="23"/>
  <c r="AN246" i="23"/>
  <c r="AS246" i="23"/>
  <c r="AW246" i="23"/>
  <c r="AX246" i="23"/>
  <c r="BF246" i="23"/>
  <c r="C247" i="23"/>
  <c r="D247" i="23"/>
  <c r="E247" i="23"/>
  <c r="F247" i="23"/>
  <c r="N247" i="23"/>
  <c r="O247" i="23"/>
  <c r="P247" i="23"/>
  <c r="R247" i="23"/>
  <c r="X247" i="23"/>
  <c r="Y247" i="23"/>
  <c r="Z247" i="23"/>
  <c r="AF247" i="23"/>
  <c r="AG247" i="23"/>
  <c r="AH247" i="23"/>
  <c r="AL247" i="23"/>
  <c r="AM247" i="23"/>
  <c r="AN247" i="23"/>
  <c r="AS247" i="23"/>
  <c r="AW247" i="23"/>
  <c r="AX247" i="23"/>
  <c r="BF247" i="23"/>
  <c r="C248" i="23"/>
  <c r="D248" i="23"/>
  <c r="E248" i="23"/>
  <c r="F248" i="23"/>
  <c r="N248" i="23"/>
  <c r="O248" i="23"/>
  <c r="P248" i="23"/>
  <c r="R248" i="23"/>
  <c r="X248" i="23"/>
  <c r="Y248" i="23"/>
  <c r="Z248" i="23"/>
  <c r="AF248" i="23"/>
  <c r="AG248" i="23"/>
  <c r="AH248" i="23"/>
  <c r="AI248" i="23"/>
  <c r="AL248" i="23"/>
  <c r="AM248" i="23"/>
  <c r="AN248" i="23"/>
  <c r="AS248" i="23"/>
  <c r="AW248" i="23"/>
  <c r="AX248" i="23"/>
  <c r="BF248" i="23"/>
  <c r="C249" i="23"/>
  <c r="D249" i="23"/>
  <c r="E249" i="23"/>
  <c r="F249" i="23"/>
  <c r="N249" i="23"/>
  <c r="O249" i="23"/>
  <c r="P249" i="23"/>
  <c r="R249" i="23"/>
  <c r="X249" i="23"/>
  <c r="Y249" i="23"/>
  <c r="Z249" i="23"/>
  <c r="AF249" i="23"/>
  <c r="AG249" i="23"/>
  <c r="AH249" i="23"/>
  <c r="AI249" i="23"/>
  <c r="AL249" i="23"/>
  <c r="AM249" i="23"/>
  <c r="AN249" i="23"/>
  <c r="AS249" i="23"/>
  <c r="AW249" i="23"/>
  <c r="AX249" i="23"/>
  <c r="BF249" i="23"/>
  <c r="C250" i="23"/>
  <c r="D250" i="23"/>
  <c r="E250" i="23"/>
  <c r="F250" i="23"/>
  <c r="N250" i="23"/>
  <c r="O250" i="23"/>
  <c r="P250" i="23"/>
  <c r="R250" i="23"/>
  <c r="X250" i="23"/>
  <c r="Y250" i="23"/>
  <c r="Z250" i="23"/>
  <c r="AF250" i="23"/>
  <c r="AG250" i="23"/>
  <c r="AH250" i="23"/>
  <c r="AL250" i="23"/>
  <c r="AM250" i="23"/>
  <c r="AN250" i="23"/>
  <c r="AS250" i="23"/>
  <c r="AW250" i="23"/>
  <c r="AX250" i="23"/>
  <c r="BF250" i="23"/>
  <c r="C251" i="23"/>
  <c r="D251" i="23"/>
  <c r="E251" i="23"/>
  <c r="F251" i="23"/>
  <c r="N251" i="23"/>
  <c r="O251" i="23"/>
  <c r="P251" i="23"/>
  <c r="R251" i="23"/>
  <c r="X251" i="23"/>
  <c r="Y251" i="23"/>
  <c r="Z251" i="23"/>
  <c r="AF251" i="23"/>
  <c r="AG251" i="23"/>
  <c r="AH251" i="23"/>
  <c r="AI251" i="23"/>
  <c r="AL251" i="23"/>
  <c r="AM251" i="23"/>
  <c r="AN251" i="23"/>
  <c r="AS251" i="23"/>
  <c r="AW251" i="23"/>
  <c r="AX251" i="23"/>
  <c r="BF251" i="23"/>
  <c r="C252" i="23"/>
  <c r="D252" i="23"/>
  <c r="E252" i="23"/>
  <c r="F252" i="23"/>
  <c r="N252" i="23"/>
  <c r="O252" i="23"/>
  <c r="P252" i="23"/>
  <c r="R252" i="23"/>
  <c r="X252" i="23"/>
  <c r="Y252" i="23"/>
  <c r="Z252" i="23"/>
  <c r="AF252" i="23"/>
  <c r="AG252" i="23"/>
  <c r="AH252" i="23"/>
  <c r="AI252" i="23"/>
  <c r="AL252" i="23"/>
  <c r="AM252" i="23"/>
  <c r="AN252" i="23"/>
  <c r="AS252" i="23"/>
  <c r="AW252" i="23"/>
  <c r="AX252" i="23"/>
  <c r="BF252" i="23"/>
  <c r="C253" i="23"/>
  <c r="D253" i="23"/>
  <c r="E253" i="23"/>
  <c r="F253" i="23"/>
  <c r="N253" i="23"/>
  <c r="O253" i="23"/>
  <c r="P253" i="23"/>
  <c r="R253" i="23"/>
  <c r="X253" i="23"/>
  <c r="Y253" i="23"/>
  <c r="Z253" i="23"/>
  <c r="AF253" i="23"/>
  <c r="AG253" i="23"/>
  <c r="AH253" i="23"/>
  <c r="AL253" i="23"/>
  <c r="AM253" i="23"/>
  <c r="AN253" i="23"/>
  <c r="AS253" i="23"/>
  <c r="AW253" i="23"/>
  <c r="AX253" i="23"/>
  <c r="BF253" i="23"/>
  <c r="C254" i="23"/>
  <c r="D254" i="23"/>
  <c r="E254" i="23"/>
  <c r="F254" i="23"/>
  <c r="N254" i="23"/>
  <c r="O254" i="23"/>
  <c r="P254" i="23"/>
  <c r="R254" i="23"/>
  <c r="X254" i="23"/>
  <c r="Y254" i="23"/>
  <c r="Z254" i="23"/>
  <c r="AF254" i="23"/>
  <c r="AG254" i="23"/>
  <c r="AH254" i="23"/>
  <c r="AI254" i="23"/>
  <c r="AL254" i="23"/>
  <c r="AM254" i="23"/>
  <c r="AN254" i="23"/>
  <c r="AS254" i="23"/>
  <c r="AW254" i="23"/>
  <c r="AX254" i="23"/>
  <c r="BF254" i="23"/>
  <c r="C255" i="23"/>
  <c r="D255" i="23"/>
  <c r="E255" i="23"/>
  <c r="F255" i="23"/>
  <c r="N255" i="23"/>
  <c r="O255" i="23"/>
  <c r="P255" i="23"/>
  <c r="R255" i="23"/>
  <c r="X255" i="23"/>
  <c r="Y255" i="23"/>
  <c r="Z255" i="23"/>
  <c r="AF255" i="23"/>
  <c r="AG255" i="23"/>
  <c r="AH255" i="23"/>
  <c r="AI255" i="23"/>
  <c r="AL255" i="23"/>
  <c r="AM255" i="23"/>
  <c r="AN255" i="23"/>
  <c r="AS255" i="23"/>
  <c r="AW255" i="23"/>
  <c r="AX255" i="23"/>
  <c r="BF255" i="23"/>
  <c r="C256" i="23"/>
  <c r="D256" i="23"/>
  <c r="E256" i="23"/>
  <c r="F256" i="23"/>
  <c r="N256" i="23"/>
  <c r="O256" i="23"/>
  <c r="P256" i="23"/>
  <c r="R256" i="23"/>
  <c r="X256" i="23"/>
  <c r="Y256" i="23"/>
  <c r="Z256" i="23"/>
  <c r="AF256" i="23"/>
  <c r="AG256" i="23"/>
  <c r="AH256" i="23"/>
  <c r="AL256" i="23"/>
  <c r="AM256" i="23"/>
  <c r="AN256" i="23"/>
  <c r="AS256" i="23"/>
  <c r="AW256" i="23"/>
  <c r="AX256" i="23"/>
  <c r="BF256" i="23"/>
  <c r="C257" i="23"/>
  <c r="D257" i="23"/>
  <c r="E257" i="23"/>
  <c r="F257" i="23"/>
  <c r="N257" i="23"/>
  <c r="O257" i="23"/>
  <c r="P257" i="23"/>
  <c r="R257" i="23"/>
  <c r="X257" i="23"/>
  <c r="Y257" i="23"/>
  <c r="Z257" i="23"/>
  <c r="AF257" i="23"/>
  <c r="AG257" i="23"/>
  <c r="AH257" i="23"/>
  <c r="AI257" i="23"/>
  <c r="AL257" i="23"/>
  <c r="AM257" i="23"/>
  <c r="AN257" i="23"/>
  <c r="AS257" i="23"/>
  <c r="AW257" i="23"/>
  <c r="AX257" i="23"/>
  <c r="BF257" i="23"/>
  <c r="C258" i="23"/>
  <c r="D258" i="23"/>
  <c r="E258" i="23"/>
  <c r="F258" i="23"/>
  <c r="N258" i="23"/>
  <c r="O258" i="23"/>
  <c r="P258" i="23"/>
  <c r="R258" i="23"/>
  <c r="X258" i="23"/>
  <c r="Y258" i="23"/>
  <c r="Z258" i="23"/>
  <c r="AF258" i="23"/>
  <c r="AG258" i="23"/>
  <c r="AH258" i="23"/>
  <c r="AI258" i="23"/>
  <c r="AL258" i="23"/>
  <c r="AM258" i="23"/>
  <c r="AN258" i="23"/>
  <c r="AS258" i="23"/>
  <c r="AW258" i="23"/>
  <c r="AX258" i="23"/>
  <c r="BF258" i="23"/>
  <c r="C259" i="23"/>
  <c r="D259" i="23"/>
  <c r="E259" i="23"/>
  <c r="F259" i="23"/>
  <c r="N259" i="23"/>
  <c r="O259" i="23"/>
  <c r="P259" i="23"/>
  <c r="R259" i="23"/>
  <c r="X259" i="23"/>
  <c r="Y259" i="23"/>
  <c r="Z259" i="23"/>
  <c r="AF259" i="23"/>
  <c r="AG259" i="23"/>
  <c r="AH259" i="23"/>
  <c r="AL259" i="23"/>
  <c r="AM259" i="23"/>
  <c r="AN259" i="23"/>
  <c r="AS259" i="23"/>
  <c r="AW259" i="23"/>
  <c r="AX259" i="23"/>
  <c r="BF259" i="23"/>
  <c r="C260" i="23"/>
  <c r="D260" i="23"/>
  <c r="E260" i="23"/>
  <c r="F260" i="23"/>
  <c r="N260" i="23"/>
  <c r="O260" i="23"/>
  <c r="P260" i="23"/>
  <c r="R260" i="23"/>
  <c r="X260" i="23"/>
  <c r="Y260" i="23"/>
  <c r="Z260" i="23"/>
  <c r="AF260" i="23"/>
  <c r="AG260" i="23"/>
  <c r="AH260" i="23"/>
  <c r="AI260" i="23"/>
  <c r="AL260" i="23"/>
  <c r="AM260" i="23"/>
  <c r="AN260" i="23"/>
  <c r="AS260" i="23"/>
  <c r="AW260" i="23"/>
  <c r="AX260" i="23"/>
  <c r="BF260" i="23"/>
  <c r="C261" i="23"/>
  <c r="D261" i="23"/>
  <c r="E261" i="23"/>
  <c r="F261" i="23"/>
  <c r="N261" i="23"/>
  <c r="O261" i="23"/>
  <c r="P261" i="23"/>
  <c r="R261" i="23"/>
  <c r="X261" i="23"/>
  <c r="Y261" i="23"/>
  <c r="Z261" i="23"/>
  <c r="AF261" i="23"/>
  <c r="AG261" i="23"/>
  <c r="AH261" i="23"/>
  <c r="AI261" i="23"/>
  <c r="AL261" i="23"/>
  <c r="AM261" i="23"/>
  <c r="AN261" i="23"/>
  <c r="AS261" i="23"/>
  <c r="AW261" i="23"/>
  <c r="AX261" i="23"/>
  <c r="BF261" i="23"/>
  <c r="C262" i="23"/>
  <c r="D262" i="23"/>
  <c r="E262" i="23"/>
  <c r="F262" i="23"/>
  <c r="N262" i="23"/>
  <c r="O262" i="23"/>
  <c r="P262" i="23"/>
  <c r="R262" i="23"/>
  <c r="X262" i="23"/>
  <c r="Y262" i="23"/>
  <c r="Z262" i="23"/>
  <c r="AF262" i="23"/>
  <c r="AG262" i="23"/>
  <c r="AH262" i="23"/>
  <c r="AL262" i="23"/>
  <c r="AM262" i="23"/>
  <c r="AN262" i="23"/>
  <c r="AS262" i="23"/>
  <c r="AW262" i="23"/>
  <c r="AX262" i="23"/>
  <c r="BF262" i="23"/>
  <c r="C263" i="23"/>
  <c r="D263" i="23"/>
  <c r="E263" i="23"/>
  <c r="F263" i="23"/>
  <c r="N263" i="23"/>
  <c r="O263" i="23"/>
  <c r="P263" i="23"/>
  <c r="R263" i="23"/>
  <c r="X263" i="23"/>
  <c r="Y263" i="23"/>
  <c r="Z263" i="23"/>
  <c r="AF263" i="23"/>
  <c r="AG263" i="23"/>
  <c r="AH263" i="23"/>
  <c r="AI263" i="23"/>
  <c r="AL263" i="23"/>
  <c r="AM263" i="23"/>
  <c r="AN263" i="23"/>
  <c r="AS263" i="23"/>
  <c r="AW263" i="23"/>
  <c r="AX263" i="23"/>
  <c r="BF263" i="23"/>
  <c r="C264" i="23"/>
  <c r="D264" i="23"/>
  <c r="E264" i="23"/>
  <c r="F264" i="23"/>
  <c r="N264" i="23"/>
  <c r="O264" i="23"/>
  <c r="P264" i="23"/>
  <c r="R264" i="23"/>
  <c r="X264" i="23"/>
  <c r="Y264" i="23"/>
  <c r="Z264" i="23"/>
  <c r="AF264" i="23"/>
  <c r="AG264" i="23"/>
  <c r="AH264" i="23"/>
  <c r="AL264" i="23"/>
  <c r="AM264" i="23"/>
  <c r="AN264" i="23"/>
  <c r="AS264" i="23"/>
  <c r="AW264" i="23"/>
  <c r="AX264" i="23"/>
  <c r="BF264" i="23"/>
  <c r="C265" i="23"/>
  <c r="D265" i="23"/>
  <c r="E265" i="23"/>
  <c r="F265" i="23"/>
  <c r="N265" i="23"/>
  <c r="O265" i="23"/>
  <c r="P265" i="23"/>
  <c r="R265" i="23"/>
  <c r="X265" i="23"/>
  <c r="Y265" i="23"/>
  <c r="Z265" i="23"/>
  <c r="AF265" i="23"/>
  <c r="AG265" i="23"/>
  <c r="AH265" i="23"/>
  <c r="AI265" i="23"/>
  <c r="AL265" i="23"/>
  <c r="AM265" i="23"/>
  <c r="AN265" i="23"/>
  <c r="AS265" i="23"/>
  <c r="AW265" i="23"/>
  <c r="AX265" i="23"/>
  <c r="BF265" i="23"/>
  <c r="C266" i="23"/>
  <c r="D266" i="23"/>
  <c r="E266" i="23"/>
  <c r="F266" i="23"/>
  <c r="N266" i="23"/>
  <c r="O266" i="23"/>
  <c r="P266" i="23"/>
  <c r="R266" i="23"/>
  <c r="X266" i="23"/>
  <c r="Y266" i="23"/>
  <c r="Z266" i="23"/>
  <c r="AF266" i="23"/>
  <c r="AG266" i="23"/>
  <c r="AH266" i="23"/>
  <c r="AL266" i="23"/>
  <c r="AM266" i="23"/>
  <c r="AN266" i="23"/>
  <c r="AS266" i="23"/>
  <c r="AW266" i="23"/>
  <c r="AX266" i="23"/>
  <c r="BF266" i="23"/>
  <c r="C267" i="23"/>
  <c r="D267" i="23"/>
  <c r="E267" i="23"/>
  <c r="F267" i="23"/>
  <c r="N267" i="23"/>
  <c r="O267" i="23"/>
  <c r="P267" i="23"/>
  <c r="R267" i="23"/>
  <c r="X267" i="23"/>
  <c r="Y267" i="23"/>
  <c r="Z267" i="23"/>
  <c r="AF267" i="23"/>
  <c r="AG267" i="23"/>
  <c r="AH267" i="23"/>
  <c r="AI267" i="23"/>
  <c r="AL267" i="23"/>
  <c r="AM267" i="23"/>
  <c r="AN267" i="23"/>
  <c r="AS267" i="23"/>
  <c r="AW267" i="23"/>
  <c r="AX267" i="23"/>
  <c r="BF267" i="23"/>
  <c r="C268" i="23"/>
  <c r="D268" i="23"/>
  <c r="E268" i="23"/>
  <c r="F268" i="23"/>
  <c r="N268" i="23"/>
  <c r="O268" i="23"/>
  <c r="P268" i="23"/>
  <c r="R268" i="23"/>
  <c r="X268" i="23"/>
  <c r="Y268" i="23"/>
  <c r="Z268" i="23"/>
  <c r="AF268" i="23"/>
  <c r="AG268" i="23"/>
  <c r="AH268" i="23"/>
  <c r="AL268" i="23"/>
  <c r="AM268" i="23"/>
  <c r="AN268" i="23"/>
  <c r="AS268" i="23"/>
  <c r="AW268" i="23"/>
  <c r="AX268" i="23"/>
  <c r="BF268" i="23"/>
  <c r="C269" i="23"/>
  <c r="D269" i="23"/>
  <c r="E269" i="23"/>
  <c r="F269" i="23"/>
  <c r="N269" i="23"/>
  <c r="O269" i="23"/>
  <c r="P269" i="23"/>
  <c r="R269" i="23"/>
  <c r="X269" i="23"/>
  <c r="Y269" i="23"/>
  <c r="Z269" i="23"/>
  <c r="AF269" i="23"/>
  <c r="AG269" i="23"/>
  <c r="AH269" i="23"/>
  <c r="AI269" i="23"/>
  <c r="AL269" i="23"/>
  <c r="AM269" i="23"/>
  <c r="AN269" i="23"/>
  <c r="AS269" i="23"/>
  <c r="AW269" i="23"/>
  <c r="AX269" i="23"/>
  <c r="BF269" i="23"/>
  <c r="C270" i="23"/>
  <c r="D270" i="23"/>
  <c r="E270" i="23"/>
  <c r="F270" i="23"/>
  <c r="N270" i="23"/>
  <c r="O270" i="23"/>
  <c r="P270" i="23"/>
  <c r="R270" i="23"/>
  <c r="X270" i="23"/>
  <c r="Y270" i="23"/>
  <c r="Z270" i="23"/>
  <c r="AF270" i="23"/>
  <c r="AG270" i="23"/>
  <c r="AH270" i="23"/>
  <c r="AL270" i="23"/>
  <c r="AM270" i="23"/>
  <c r="AN270" i="23"/>
  <c r="AS270" i="23"/>
  <c r="AW270" i="23"/>
  <c r="AX270" i="23"/>
  <c r="BF270" i="23"/>
  <c r="C271" i="23"/>
  <c r="D271" i="23"/>
  <c r="E271" i="23"/>
  <c r="F271" i="23"/>
  <c r="N271" i="23"/>
  <c r="O271" i="23"/>
  <c r="P271" i="23"/>
  <c r="R271" i="23"/>
  <c r="X271" i="23"/>
  <c r="Y271" i="23"/>
  <c r="Z271" i="23"/>
  <c r="AF271" i="23"/>
  <c r="AG271" i="23"/>
  <c r="AH271" i="23"/>
  <c r="AI271" i="23"/>
  <c r="AL271" i="23"/>
  <c r="AM271" i="23"/>
  <c r="AN271" i="23"/>
  <c r="AS271" i="23"/>
  <c r="AW271" i="23"/>
  <c r="AX271" i="23"/>
  <c r="BF271" i="23"/>
  <c r="C272" i="23"/>
  <c r="D272" i="23"/>
  <c r="E272" i="23"/>
  <c r="F272" i="23"/>
  <c r="N272" i="23"/>
  <c r="O272" i="23"/>
  <c r="P272" i="23"/>
  <c r="X272" i="23"/>
  <c r="Y272" i="23"/>
  <c r="Z272" i="23"/>
  <c r="AF272" i="23"/>
  <c r="AG272" i="23"/>
  <c r="AH272" i="23"/>
  <c r="AL272" i="23"/>
  <c r="AM272" i="23"/>
  <c r="AN272" i="23"/>
  <c r="AS272" i="23"/>
  <c r="AW272" i="23"/>
  <c r="AX272" i="23"/>
  <c r="BF272" i="23"/>
  <c r="C273" i="23"/>
  <c r="D273" i="23"/>
  <c r="E273" i="23"/>
  <c r="F273" i="23"/>
  <c r="N273" i="23"/>
  <c r="O273" i="23"/>
  <c r="P273" i="23"/>
  <c r="R273" i="23"/>
  <c r="X273" i="23"/>
  <c r="Y273" i="23"/>
  <c r="Z273" i="23"/>
  <c r="AF273" i="23"/>
  <c r="AG273" i="23"/>
  <c r="AH273" i="23"/>
  <c r="AI273" i="23"/>
  <c r="AL273" i="23"/>
  <c r="AM273" i="23"/>
  <c r="AN273" i="23"/>
  <c r="AS273" i="23"/>
  <c r="AW273" i="23"/>
  <c r="AX273" i="23"/>
  <c r="BF273" i="23"/>
  <c r="C274" i="23"/>
  <c r="D274" i="23"/>
  <c r="E274" i="23"/>
  <c r="F274" i="23"/>
  <c r="N274" i="23"/>
  <c r="O274" i="23"/>
  <c r="P274" i="23"/>
  <c r="R274" i="23"/>
  <c r="X274" i="23"/>
  <c r="Y274" i="23"/>
  <c r="Z274" i="23"/>
  <c r="AF274" i="23"/>
  <c r="AG274" i="23"/>
  <c r="AH274" i="23"/>
  <c r="AL274" i="23"/>
  <c r="AM274" i="23"/>
  <c r="AN274" i="23"/>
  <c r="AS274" i="23"/>
  <c r="AW274" i="23"/>
  <c r="AX274" i="23"/>
  <c r="BF274" i="23"/>
  <c r="C275" i="23"/>
  <c r="D275" i="23"/>
  <c r="E275" i="23"/>
  <c r="F275" i="23"/>
  <c r="N275" i="23"/>
  <c r="O275" i="23"/>
  <c r="P275" i="23"/>
  <c r="R275" i="23"/>
  <c r="X275" i="23"/>
  <c r="Y275" i="23"/>
  <c r="Z275" i="23"/>
  <c r="AF275" i="23"/>
  <c r="AG275" i="23"/>
  <c r="AH275" i="23"/>
  <c r="AI275" i="23"/>
  <c r="AL275" i="23"/>
  <c r="AM275" i="23"/>
  <c r="AN275" i="23"/>
  <c r="AS275" i="23"/>
  <c r="AW275" i="23"/>
  <c r="AX275" i="23"/>
  <c r="BF275" i="23"/>
  <c r="C276" i="23"/>
  <c r="D276" i="23"/>
  <c r="E276" i="23"/>
  <c r="F276" i="23"/>
  <c r="N276" i="23"/>
  <c r="O276" i="23"/>
  <c r="P276" i="23"/>
  <c r="R276" i="23"/>
  <c r="X276" i="23"/>
  <c r="Y276" i="23"/>
  <c r="Z276" i="23"/>
  <c r="AF276" i="23"/>
  <c r="AG276" i="23"/>
  <c r="AH276" i="23"/>
  <c r="AL276" i="23"/>
  <c r="AM276" i="23"/>
  <c r="AN276" i="23"/>
  <c r="AS276" i="23"/>
  <c r="AW276" i="23"/>
  <c r="AX276" i="23"/>
  <c r="BF276" i="23"/>
  <c r="C277" i="23"/>
  <c r="D277" i="23"/>
  <c r="E277" i="23"/>
  <c r="F277" i="23"/>
  <c r="N277" i="23"/>
  <c r="O277" i="23"/>
  <c r="P277" i="23"/>
  <c r="R277" i="23"/>
  <c r="X277" i="23"/>
  <c r="Y277" i="23"/>
  <c r="Z277" i="23"/>
  <c r="AF277" i="23"/>
  <c r="AG277" i="23"/>
  <c r="AH277" i="23"/>
  <c r="AI277" i="23"/>
  <c r="AL277" i="23"/>
  <c r="AM277" i="23"/>
  <c r="AN277" i="23"/>
  <c r="AS277" i="23"/>
  <c r="AW277" i="23"/>
  <c r="AX277" i="23"/>
  <c r="BF277" i="23"/>
  <c r="C278" i="23"/>
  <c r="D278" i="23"/>
  <c r="E278" i="23"/>
  <c r="F278" i="23"/>
  <c r="N278" i="23"/>
  <c r="O278" i="23"/>
  <c r="P278" i="23"/>
  <c r="R278" i="23"/>
  <c r="X278" i="23"/>
  <c r="Y278" i="23"/>
  <c r="Z278" i="23"/>
  <c r="AF278" i="23"/>
  <c r="AG278" i="23"/>
  <c r="AH278" i="23"/>
  <c r="AL278" i="23"/>
  <c r="AM278" i="23"/>
  <c r="AN278" i="23"/>
  <c r="AS278" i="23"/>
  <c r="AW278" i="23"/>
  <c r="AX278" i="23"/>
  <c r="BF278" i="23"/>
  <c r="C279" i="23"/>
  <c r="D279" i="23"/>
  <c r="E279" i="23"/>
  <c r="F279" i="23"/>
  <c r="N279" i="23"/>
  <c r="O279" i="23"/>
  <c r="P279" i="23"/>
  <c r="R279" i="23"/>
  <c r="X279" i="23"/>
  <c r="Y279" i="23"/>
  <c r="Z279" i="23"/>
  <c r="AF279" i="23"/>
  <c r="AG279" i="23"/>
  <c r="AH279" i="23"/>
  <c r="AI279" i="23"/>
  <c r="AL279" i="23"/>
  <c r="AM279" i="23"/>
  <c r="AN279" i="23"/>
  <c r="AS279" i="23"/>
  <c r="AW279" i="23"/>
  <c r="AX279" i="23"/>
  <c r="BF279" i="23"/>
  <c r="C280" i="23"/>
  <c r="D280" i="23"/>
  <c r="E280" i="23"/>
  <c r="F280" i="23"/>
  <c r="N280" i="23"/>
  <c r="O280" i="23"/>
  <c r="P280" i="23"/>
  <c r="R280" i="23"/>
  <c r="X280" i="23"/>
  <c r="Y280" i="23"/>
  <c r="Z280" i="23"/>
  <c r="AF280" i="23"/>
  <c r="AG280" i="23"/>
  <c r="AH280" i="23"/>
  <c r="AL280" i="23"/>
  <c r="AM280" i="23"/>
  <c r="AN280" i="23"/>
  <c r="AS280" i="23"/>
  <c r="AW280" i="23"/>
  <c r="AX280" i="23"/>
  <c r="BF280" i="23"/>
  <c r="C281" i="23"/>
  <c r="D281" i="23"/>
  <c r="E281" i="23"/>
  <c r="F281" i="23"/>
  <c r="N281" i="23"/>
  <c r="O281" i="23"/>
  <c r="P281" i="23"/>
  <c r="R281" i="23"/>
  <c r="X281" i="23"/>
  <c r="Y281" i="23"/>
  <c r="Z281" i="23"/>
  <c r="AF281" i="23"/>
  <c r="AG281" i="23"/>
  <c r="AH281" i="23"/>
  <c r="AI281" i="23"/>
  <c r="AL281" i="23"/>
  <c r="AM281" i="23"/>
  <c r="AN281" i="23"/>
  <c r="AS281" i="23"/>
  <c r="AW281" i="23"/>
  <c r="AX281" i="23"/>
  <c r="BF281" i="23"/>
  <c r="C282" i="23"/>
  <c r="D282" i="23"/>
  <c r="E282" i="23"/>
  <c r="F282" i="23"/>
  <c r="N282" i="23"/>
  <c r="O282" i="23"/>
  <c r="P282" i="23"/>
  <c r="R282" i="23"/>
  <c r="X282" i="23"/>
  <c r="Y282" i="23"/>
  <c r="Z282" i="23"/>
  <c r="AF282" i="23"/>
  <c r="AG282" i="23"/>
  <c r="AH282" i="23"/>
  <c r="AL282" i="23"/>
  <c r="AM282" i="23"/>
  <c r="AN282" i="23"/>
  <c r="AS282" i="23"/>
  <c r="AW282" i="23"/>
  <c r="AX282" i="23"/>
  <c r="BF282" i="23"/>
  <c r="C283" i="23"/>
  <c r="D283" i="23"/>
  <c r="E283" i="23"/>
  <c r="F283" i="23"/>
  <c r="N283" i="23"/>
  <c r="O283" i="23"/>
  <c r="P283" i="23"/>
  <c r="R283" i="23"/>
  <c r="X283" i="23"/>
  <c r="Y283" i="23"/>
  <c r="Z283" i="23"/>
  <c r="AF283" i="23"/>
  <c r="AG283" i="23"/>
  <c r="AH283" i="23"/>
  <c r="AI283" i="23"/>
  <c r="AL283" i="23"/>
  <c r="AM283" i="23"/>
  <c r="AN283" i="23"/>
  <c r="AS283" i="23"/>
  <c r="AW283" i="23"/>
  <c r="AX283" i="23"/>
  <c r="BF283" i="23"/>
  <c r="C284" i="23"/>
  <c r="D284" i="23"/>
  <c r="E284" i="23"/>
  <c r="F284" i="23"/>
  <c r="N284" i="23"/>
  <c r="O284" i="23"/>
  <c r="P284" i="23"/>
  <c r="R284" i="23"/>
  <c r="X284" i="23"/>
  <c r="Y284" i="23"/>
  <c r="Z284" i="23"/>
  <c r="AF284" i="23"/>
  <c r="AG284" i="23"/>
  <c r="AH284" i="23"/>
  <c r="AL284" i="23"/>
  <c r="AM284" i="23"/>
  <c r="AN284" i="23"/>
  <c r="AS284" i="23"/>
  <c r="AW284" i="23"/>
  <c r="AX284" i="23"/>
  <c r="BF284" i="23"/>
  <c r="C285" i="23"/>
  <c r="D285" i="23"/>
  <c r="E285" i="23"/>
  <c r="F285" i="23"/>
  <c r="N285" i="23"/>
  <c r="O285" i="23"/>
  <c r="P285" i="23"/>
  <c r="R285" i="23"/>
  <c r="X285" i="23"/>
  <c r="Y285" i="23"/>
  <c r="Z285" i="23"/>
  <c r="AF285" i="23"/>
  <c r="AG285" i="23"/>
  <c r="AH285" i="23"/>
  <c r="AI285" i="23"/>
  <c r="AL285" i="23"/>
  <c r="AM285" i="23"/>
  <c r="AN285" i="23"/>
  <c r="AS285" i="23"/>
  <c r="AW285" i="23"/>
  <c r="AX285" i="23"/>
  <c r="BF285" i="23"/>
  <c r="C286" i="23"/>
  <c r="D286" i="23"/>
  <c r="E286" i="23"/>
  <c r="F286" i="23"/>
  <c r="N286" i="23"/>
  <c r="O286" i="23"/>
  <c r="P286" i="23"/>
  <c r="R286" i="23"/>
  <c r="X286" i="23"/>
  <c r="Y286" i="23"/>
  <c r="Z286" i="23"/>
  <c r="AF286" i="23"/>
  <c r="AG286" i="23"/>
  <c r="AH286" i="23"/>
  <c r="AL286" i="23"/>
  <c r="AM286" i="23"/>
  <c r="AN286" i="23"/>
  <c r="AS286" i="23"/>
  <c r="AW286" i="23"/>
  <c r="AX286" i="23"/>
  <c r="BF286" i="23"/>
  <c r="C287" i="23"/>
  <c r="D287" i="23"/>
  <c r="E287" i="23"/>
  <c r="F287" i="23"/>
  <c r="N287" i="23"/>
  <c r="O287" i="23"/>
  <c r="P287" i="23"/>
  <c r="R287" i="23"/>
  <c r="X287" i="23"/>
  <c r="Y287" i="23"/>
  <c r="Z287" i="23"/>
  <c r="AF287" i="23"/>
  <c r="AG287" i="23"/>
  <c r="AH287" i="23"/>
  <c r="AI287" i="23"/>
  <c r="AL287" i="23"/>
  <c r="AM287" i="23"/>
  <c r="AN287" i="23"/>
  <c r="AS287" i="23"/>
  <c r="AW287" i="23"/>
  <c r="AX287" i="23"/>
  <c r="BF287" i="23"/>
  <c r="C288" i="23"/>
  <c r="D288" i="23"/>
  <c r="E288" i="23"/>
  <c r="F288" i="23"/>
  <c r="N288" i="23"/>
  <c r="O288" i="23"/>
  <c r="P288" i="23"/>
  <c r="R288" i="23"/>
  <c r="X288" i="23"/>
  <c r="Y288" i="23"/>
  <c r="Z288" i="23"/>
  <c r="AF288" i="23"/>
  <c r="AG288" i="23"/>
  <c r="AH288" i="23"/>
  <c r="AL288" i="23"/>
  <c r="AM288" i="23"/>
  <c r="AN288" i="23"/>
  <c r="AS288" i="23"/>
  <c r="AW288" i="23"/>
  <c r="AX288" i="23"/>
  <c r="BF288" i="23"/>
  <c r="C289" i="23"/>
  <c r="D289" i="23"/>
  <c r="E289" i="23"/>
  <c r="F289" i="23"/>
  <c r="N289" i="23"/>
  <c r="O289" i="23"/>
  <c r="P289" i="23"/>
  <c r="R289" i="23"/>
  <c r="X289" i="23"/>
  <c r="Y289" i="23"/>
  <c r="Z289" i="23"/>
  <c r="AF289" i="23"/>
  <c r="AG289" i="23"/>
  <c r="AH289" i="23"/>
  <c r="AI289" i="23"/>
  <c r="AL289" i="23"/>
  <c r="AM289" i="23"/>
  <c r="AN289" i="23"/>
  <c r="AS289" i="23"/>
  <c r="AW289" i="23"/>
  <c r="AX289" i="23"/>
  <c r="BF289" i="23"/>
  <c r="C290" i="23"/>
  <c r="D290" i="23"/>
  <c r="E290" i="23"/>
  <c r="F290" i="23"/>
  <c r="N290" i="23"/>
  <c r="O290" i="23"/>
  <c r="P290" i="23"/>
  <c r="R290" i="23"/>
  <c r="X290" i="23"/>
  <c r="Y290" i="23"/>
  <c r="Z290" i="23"/>
  <c r="AF290" i="23"/>
  <c r="AG290" i="23"/>
  <c r="AH290" i="23"/>
  <c r="AL290" i="23"/>
  <c r="AM290" i="23"/>
  <c r="AN290" i="23"/>
  <c r="AS290" i="23"/>
  <c r="AW290" i="23"/>
  <c r="AX290" i="23"/>
  <c r="BF290" i="23"/>
  <c r="C291" i="23"/>
  <c r="D291" i="23"/>
  <c r="E291" i="23"/>
  <c r="F291" i="23"/>
  <c r="N291" i="23"/>
  <c r="O291" i="23"/>
  <c r="P291" i="23"/>
  <c r="R291" i="23"/>
  <c r="X291" i="23"/>
  <c r="Y291" i="23"/>
  <c r="Z291" i="23"/>
  <c r="AF291" i="23"/>
  <c r="AG291" i="23"/>
  <c r="AH291" i="23"/>
  <c r="AI291" i="23"/>
  <c r="AL291" i="23"/>
  <c r="AM291" i="23"/>
  <c r="AN291" i="23"/>
  <c r="AS291" i="23"/>
  <c r="AW291" i="23"/>
  <c r="AX291" i="23"/>
  <c r="BF291" i="23"/>
  <c r="C292" i="23"/>
  <c r="D292" i="23"/>
  <c r="E292" i="23"/>
  <c r="F292" i="23"/>
  <c r="N292" i="23"/>
  <c r="O292" i="23"/>
  <c r="P292" i="23"/>
  <c r="R292" i="23"/>
  <c r="X292" i="23"/>
  <c r="Y292" i="23"/>
  <c r="Z292" i="23"/>
  <c r="AF292" i="23"/>
  <c r="AG292" i="23"/>
  <c r="AH292" i="23"/>
  <c r="AL292" i="23"/>
  <c r="AM292" i="23"/>
  <c r="AN292" i="23"/>
  <c r="AS292" i="23"/>
  <c r="AW292" i="23"/>
  <c r="AX292" i="23"/>
  <c r="BF292" i="23"/>
  <c r="C293" i="23"/>
  <c r="D293" i="23"/>
  <c r="E293" i="23"/>
  <c r="F293" i="23"/>
  <c r="N293" i="23"/>
  <c r="O293" i="23"/>
  <c r="P293" i="23"/>
  <c r="R293" i="23"/>
  <c r="X293" i="23"/>
  <c r="Y293" i="23"/>
  <c r="Z293" i="23"/>
  <c r="AF293" i="23"/>
  <c r="AG293" i="23"/>
  <c r="AH293" i="23"/>
  <c r="AI293" i="23"/>
  <c r="AL293" i="23"/>
  <c r="AM293" i="23"/>
  <c r="AN293" i="23"/>
  <c r="AS293" i="23"/>
  <c r="AW293" i="23"/>
  <c r="AX293" i="23"/>
  <c r="BF293" i="23"/>
  <c r="C294" i="23"/>
  <c r="D294" i="23"/>
  <c r="E294" i="23"/>
  <c r="F294" i="23"/>
  <c r="N294" i="23"/>
  <c r="O294" i="23"/>
  <c r="P294" i="23"/>
  <c r="R294" i="23"/>
  <c r="X294" i="23"/>
  <c r="Y294" i="23"/>
  <c r="Z294" i="23"/>
  <c r="AF294" i="23"/>
  <c r="AG294" i="23"/>
  <c r="AH294" i="23"/>
  <c r="AL294" i="23"/>
  <c r="AM294" i="23"/>
  <c r="AN294" i="23"/>
  <c r="AS294" i="23"/>
  <c r="AW294" i="23"/>
  <c r="AX294" i="23"/>
  <c r="BF294" i="23"/>
  <c r="C295" i="23"/>
  <c r="D295" i="23"/>
  <c r="E295" i="23"/>
  <c r="F295" i="23"/>
  <c r="N295" i="23"/>
  <c r="O295" i="23"/>
  <c r="P295" i="23"/>
  <c r="R295" i="23"/>
  <c r="X295" i="23"/>
  <c r="Y295" i="23"/>
  <c r="Z295" i="23"/>
  <c r="AF295" i="23"/>
  <c r="AG295" i="23"/>
  <c r="AH295" i="23"/>
  <c r="AI295" i="23"/>
  <c r="AL295" i="23"/>
  <c r="AM295" i="23"/>
  <c r="AN295" i="23"/>
  <c r="AS295" i="23"/>
  <c r="AW295" i="23"/>
  <c r="AX295" i="23"/>
  <c r="BF295" i="23"/>
  <c r="C296" i="23"/>
  <c r="D296" i="23"/>
  <c r="E296" i="23"/>
  <c r="F296" i="23"/>
  <c r="N296" i="23"/>
  <c r="O296" i="23"/>
  <c r="P296" i="23"/>
  <c r="R296" i="23"/>
  <c r="X296" i="23"/>
  <c r="Y296" i="23"/>
  <c r="Z296" i="23"/>
  <c r="AF296" i="23"/>
  <c r="AG296" i="23"/>
  <c r="AH296" i="23"/>
  <c r="AL296" i="23"/>
  <c r="AM296" i="23"/>
  <c r="AN296" i="23"/>
  <c r="AS296" i="23"/>
  <c r="AW296" i="23"/>
  <c r="AX296" i="23"/>
  <c r="BF296" i="23"/>
  <c r="C297" i="23"/>
  <c r="D297" i="23"/>
  <c r="E297" i="23"/>
  <c r="F297" i="23"/>
  <c r="N297" i="23"/>
  <c r="O297" i="23"/>
  <c r="P297" i="23"/>
  <c r="R297" i="23"/>
  <c r="X297" i="23"/>
  <c r="Y297" i="23"/>
  <c r="Z297" i="23"/>
  <c r="AF297" i="23"/>
  <c r="AG297" i="23"/>
  <c r="AH297" i="23"/>
  <c r="AI297" i="23"/>
  <c r="AL297" i="23"/>
  <c r="AM297" i="23"/>
  <c r="AN297" i="23"/>
  <c r="AS297" i="23"/>
  <c r="AW297" i="23"/>
  <c r="AX297" i="23"/>
  <c r="BF297" i="23"/>
  <c r="C298" i="23"/>
  <c r="D298" i="23"/>
  <c r="E298" i="23"/>
  <c r="F298" i="23"/>
  <c r="N298" i="23"/>
  <c r="O298" i="23"/>
  <c r="P298" i="23"/>
  <c r="R298" i="23"/>
  <c r="X298" i="23"/>
  <c r="Y298" i="23"/>
  <c r="Z298" i="23"/>
  <c r="AF298" i="23"/>
  <c r="AG298" i="23"/>
  <c r="AH298" i="23"/>
  <c r="AL298" i="23"/>
  <c r="AM298" i="23"/>
  <c r="AN298" i="23"/>
  <c r="AS298" i="23"/>
  <c r="AW298" i="23"/>
  <c r="AX298" i="23"/>
  <c r="BF298" i="23"/>
  <c r="C299" i="23"/>
  <c r="D299" i="23"/>
  <c r="E299" i="23"/>
  <c r="F299" i="23"/>
  <c r="N299" i="23"/>
  <c r="O299" i="23"/>
  <c r="P299" i="23"/>
  <c r="R299" i="23"/>
  <c r="X299" i="23"/>
  <c r="Y299" i="23"/>
  <c r="Z299" i="23"/>
  <c r="AF299" i="23"/>
  <c r="AG299" i="23"/>
  <c r="AH299" i="23"/>
  <c r="AI299" i="23"/>
  <c r="AL299" i="23"/>
  <c r="AM299" i="23"/>
  <c r="AN299" i="23"/>
  <c r="AS299" i="23"/>
  <c r="AW299" i="23"/>
  <c r="AX299" i="23"/>
  <c r="BF299" i="23"/>
  <c r="C300" i="23"/>
  <c r="D300" i="23"/>
  <c r="E300" i="23"/>
  <c r="F300" i="23"/>
  <c r="N300" i="23"/>
  <c r="O300" i="23"/>
  <c r="P300" i="23"/>
  <c r="R300" i="23"/>
  <c r="X300" i="23"/>
  <c r="Y300" i="23"/>
  <c r="Z300" i="23"/>
  <c r="AF300" i="23"/>
  <c r="AG300" i="23"/>
  <c r="AH300" i="23"/>
  <c r="AL300" i="23"/>
  <c r="AM300" i="23"/>
  <c r="AN300" i="23"/>
  <c r="AS300" i="23"/>
  <c r="AW300" i="23"/>
  <c r="AX300" i="23"/>
  <c r="BF300" i="23"/>
  <c r="C301" i="23"/>
  <c r="D301" i="23"/>
  <c r="E301" i="23"/>
  <c r="F301" i="23"/>
  <c r="N301" i="23"/>
  <c r="O301" i="23"/>
  <c r="P301" i="23"/>
  <c r="R301" i="23"/>
  <c r="X301" i="23"/>
  <c r="Y301" i="23"/>
  <c r="Z301" i="23"/>
  <c r="AF301" i="23"/>
  <c r="AG301" i="23"/>
  <c r="AH301" i="23"/>
  <c r="AI301" i="23"/>
  <c r="AL301" i="23"/>
  <c r="AM301" i="23"/>
  <c r="AN301" i="23"/>
  <c r="AS301" i="23"/>
  <c r="AW301" i="23"/>
  <c r="AX301" i="23"/>
  <c r="BF301" i="23"/>
  <c r="C302" i="23"/>
  <c r="D302" i="23"/>
  <c r="E302" i="23"/>
  <c r="F302" i="23"/>
  <c r="N302" i="23"/>
  <c r="O302" i="23"/>
  <c r="P302" i="23"/>
  <c r="R302" i="23"/>
  <c r="X302" i="23"/>
  <c r="Y302" i="23"/>
  <c r="Z302" i="23"/>
  <c r="AF302" i="23"/>
  <c r="AG302" i="23"/>
  <c r="AH302" i="23"/>
  <c r="AL302" i="23"/>
  <c r="AM302" i="23"/>
  <c r="AN302" i="23"/>
  <c r="AS302" i="23"/>
  <c r="AW302" i="23"/>
  <c r="AX302" i="23"/>
  <c r="BF302" i="23"/>
  <c r="C303" i="23"/>
  <c r="D303" i="23"/>
  <c r="E303" i="23"/>
  <c r="F303" i="23"/>
  <c r="N303" i="23"/>
  <c r="O303" i="23"/>
  <c r="P303" i="23"/>
  <c r="R303" i="23"/>
  <c r="X303" i="23"/>
  <c r="Y303" i="23"/>
  <c r="Z303" i="23"/>
  <c r="AF303" i="23"/>
  <c r="AG303" i="23"/>
  <c r="AH303" i="23"/>
  <c r="AI303" i="23"/>
  <c r="AL303" i="23"/>
  <c r="AM303" i="23"/>
  <c r="AN303" i="23"/>
  <c r="AS303" i="23"/>
  <c r="AW303" i="23"/>
  <c r="AX303" i="23"/>
  <c r="BF303" i="23"/>
  <c r="C304" i="23"/>
  <c r="D304" i="23"/>
  <c r="E304" i="23"/>
  <c r="F304" i="23"/>
  <c r="N304" i="23"/>
  <c r="O304" i="23"/>
  <c r="P304" i="23"/>
  <c r="R304" i="23"/>
  <c r="X304" i="23"/>
  <c r="Y304" i="23"/>
  <c r="Z304" i="23"/>
  <c r="AF304" i="23"/>
  <c r="AG304" i="23"/>
  <c r="AH304" i="23"/>
  <c r="AL304" i="23"/>
  <c r="AM304" i="23"/>
  <c r="AN304" i="23"/>
  <c r="AS304" i="23"/>
  <c r="AW304" i="23"/>
  <c r="AX304" i="23"/>
  <c r="BF304" i="23"/>
  <c r="C305" i="23"/>
  <c r="D305" i="23"/>
  <c r="E305" i="23"/>
  <c r="F305" i="23"/>
  <c r="N305" i="23"/>
  <c r="O305" i="23"/>
  <c r="P305" i="23"/>
  <c r="R305" i="23"/>
  <c r="X305" i="23"/>
  <c r="Y305" i="23"/>
  <c r="Z305" i="23"/>
  <c r="AF305" i="23"/>
  <c r="AG305" i="23"/>
  <c r="AH305" i="23"/>
  <c r="AI305" i="23"/>
  <c r="AL305" i="23"/>
  <c r="AM305" i="23"/>
  <c r="AN305" i="23"/>
  <c r="AS305" i="23"/>
  <c r="AW305" i="23"/>
  <c r="AX305" i="23"/>
  <c r="BF305" i="23"/>
  <c r="C306" i="23"/>
  <c r="D306" i="23"/>
  <c r="E306" i="23"/>
  <c r="F306" i="23"/>
  <c r="N306" i="23"/>
  <c r="O306" i="23"/>
  <c r="P306" i="23"/>
  <c r="R306" i="23"/>
  <c r="X306" i="23"/>
  <c r="Y306" i="23"/>
  <c r="Z306" i="23"/>
  <c r="AF306" i="23"/>
  <c r="AG306" i="23"/>
  <c r="AH306" i="23"/>
  <c r="AL306" i="23"/>
  <c r="AM306" i="23"/>
  <c r="AN306" i="23"/>
  <c r="AS306" i="23"/>
  <c r="AW306" i="23"/>
  <c r="AX306" i="23"/>
  <c r="BF306" i="23"/>
  <c r="C307" i="23"/>
  <c r="D307" i="23"/>
  <c r="E307" i="23"/>
  <c r="F307" i="23"/>
  <c r="N307" i="23"/>
  <c r="O307" i="23"/>
  <c r="P307" i="23"/>
  <c r="R307" i="23"/>
  <c r="X307" i="23"/>
  <c r="Y307" i="23"/>
  <c r="Z307" i="23"/>
  <c r="AF307" i="23"/>
  <c r="AG307" i="23"/>
  <c r="AH307" i="23"/>
  <c r="AI307" i="23"/>
  <c r="AL307" i="23"/>
  <c r="AM307" i="23"/>
  <c r="AN307" i="23"/>
  <c r="AS307" i="23"/>
  <c r="AW307" i="23"/>
  <c r="AX307" i="23"/>
  <c r="BF307" i="23"/>
  <c r="C308" i="23"/>
  <c r="D308" i="23"/>
  <c r="E308" i="23"/>
  <c r="F308" i="23"/>
  <c r="N308" i="23"/>
  <c r="O308" i="23"/>
  <c r="P308" i="23"/>
  <c r="R308" i="23"/>
  <c r="X308" i="23"/>
  <c r="Y308" i="23"/>
  <c r="Z308" i="23"/>
  <c r="AF308" i="23"/>
  <c r="AG308" i="23"/>
  <c r="AH308" i="23"/>
  <c r="AL308" i="23"/>
  <c r="AM308" i="23"/>
  <c r="AN308" i="23"/>
  <c r="AS308" i="23"/>
  <c r="AW308" i="23"/>
  <c r="AX308" i="23"/>
  <c r="BF308" i="23"/>
  <c r="C309" i="23"/>
  <c r="D309" i="23"/>
  <c r="E309" i="23"/>
  <c r="F309" i="23"/>
  <c r="N309" i="23"/>
  <c r="O309" i="23"/>
  <c r="P309" i="23"/>
  <c r="R309" i="23"/>
  <c r="X309" i="23"/>
  <c r="Y309" i="23"/>
  <c r="Z309" i="23"/>
  <c r="AF309" i="23"/>
  <c r="AG309" i="23"/>
  <c r="AH309" i="23"/>
  <c r="AI309" i="23"/>
  <c r="AL309" i="23"/>
  <c r="AM309" i="23"/>
  <c r="AN309" i="23"/>
  <c r="AS309" i="23"/>
  <c r="AW309" i="23"/>
  <c r="AX309" i="23"/>
  <c r="BF309" i="23"/>
  <c r="C310" i="23"/>
  <c r="D310" i="23"/>
  <c r="E310" i="23"/>
  <c r="F310" i="23"/>
  <c r="N310" i="23"/>
  <c r="O310" i="23"/>
  <c r="P310" i="23"/>
  <c r="R310" i="23"/>
  <c r="X310" i="23"/>
  <c r="Y310" i="23"/>
  <c r="Z310" i="23"/>
  <c r="AF310" i="23"/>
  <c r="AG310" i="23"/>
  <c r="AH310" i="23"/>
  <c r="AL310" i="23"/>
  <c r="AM310" i="23"/>
  <c r="AN310" i="23"/>
  <c r="AS310" i="23"/>
  <c r="AW310" i="23"/>
  <c r="AX310" i="23"/>
  <c r="BF310" i="23"/>
  <c r="C311" i="23"/>
  <c r="D311" i="23"/>
  <c r="E311" i="23"/>
  <c r="F311" i="23"/>
  <c r="N311" i="23"/>
  <c r="O311" i="23"/>
  <c r="P311" i="23"/>
  <c r="R311" i="23"/>
  <c r="X311" i="23"/>
  <c r="Y311" i="23"/>
  <c r="Z311" i="23"/>
  <c r="AF311" i="23"/>
  <c r="AG311" i="23"/>
  <c r="AH311" i="23"/>
  <c r="AI311" i="23"/>
  <c r="AL311" i="23"/>
  <c r="AM311" i="23"/>
  <c r="AN311" i="23"/>
  <c r="AS311" i="23"/>
  <c r="AW311" i="23"/>
  <c r="AX311" i="23"/>
  <c r="BF311" i="23"/>
  <c r="C312" i="23"/>
  <c r="D312" i="23"/>
  <c r="E312" i="23"/>
  <c r="F312" i="23"/>
  <c r="N312" i="23"/>
  <c r="O312" i="23"/>
  <c r="P312" i="23"/>
  <c r="R312" i="23"/>
  <c r="X312" i="23"/>
  <c r="Y312" i="23"/>
  <c r="Z312" i="23"/>
  <c r="AF312" i="23"/>
  <c r="AG312" i="23"/>
  <c r="AH312" i="23"/>
  <c r="AL312" i="23"/>
  <c r="AM312" i="23"/>
  <c r="AN312" i="23"/>
  <c r="AS312" i="23"/>
  <c r="AW312" i="23"/>
  <c r="AX312" i="23"/>
  <c r="BF312" i="23"/>
  <c r="C313" i="23"/>
  <c r="D313" i="23"/>
  <c r="E313" i="23"/>
  <c r="F313" i="23"/>
  <c r="N313" i="23"/>
  <c r="O313" i="23"/>
  <c r="P313" i="23"/>
  <c r="R313" i="23"/>
  <c r="X313" i="23"/>
  <c r="Y313" i="23"/>
  <c r="Z313" i="23"/>
  <c r="AF313" i="23"/>
  <c r="AG313" i="23"/>
  <c r="AH313" i="23"/>
  <c r="AI313" i="23"/>
  <c r="AL313" i="23"/>
  <c r="AM313" i="23"/>
  <c r="AN313" i="23"/>
  <c r="AS313" i="23"/>
  <c r="AW313" i="23"/>
  <c r="AX313" i="23"/>
  <c r="BF313" i="23"/>
  <c r="C314" i="23"/>
  <c r="D314" i="23"/>
  <c r="E314" i="23"/>
  <c r="F314" i="23"/>
  <c r="N314" i="23"/>
  <c r="O314" i="23"/>
  <c r="P314" i="23"/>
  <c r="R314" i="23"/>
  <c r="X314" i="23"/>
  <c r="Y314" i="23"/>
  <c r="Z314" i="23"/>
  <c r="AF314" i="23"/>
  <c r="AG314" i="23"/>
  <c r="AH314" i="23"/>
  <c r="AL314" i="23"/>
  <c r="AM314" i="23"/>
  <c r="AN314" i="23"/>
  <c r="AS314" i="23"/>
  <c r="AW314" i="23"/>
  <c r="AX314" i="23"/>
  <c r="BF314" i="23"/>
  <c r="C315" i="23"/>
  <c r="D315" i="23"/>
  <c r="E315" i="23"/>
  <c r="F315" i="23"/>
  <c r="N315" i="23"/>
  <c r="O315" i="23"/>
  <c r="P315" i="23"/>
  <c r="R315" i="23"/>
  <c r="X315" i="23"/>
  <c r="Y315" i="23"/>
  <c r="Z315" i="23"/>
  <c r="AF315" i="23"/>
  <c r="AG315" i="23"/>
  <c r="AH315" i="23"/>
  <c r="AI315" i="23"/>
  <c r="AL315" i="23"/>
  <c r="AM315" i="23"/>
  <c r="AN315" i="23"/>
  <c r="AS315" i="23"/>
  <c r="AW315" i="23"/>
  <c r="AX315" i="23"/>
  <c r="BF315" i="23"/>
  <c r="C316" i="23"/>
  <c r="D316" i="23"/>
  <c r="E316" i="23"/>
  <c r="F316" i="23"/>
  <c r="N316" i="23"/>
  <c r="O316" i="23"/>
  <c r="P316" i="23"/>
  <c r="R316" i="23"/>
  <c r="X316" i="23"/>
  <c r="Y316" i="23"/>
  <c r="Z316" i="23"/>
  <c r="AG316" i="23"/>
  <c r="AH316" i="23"/>
  <c r="AL316" i="23"/>
  <c r="AM316" i="23"/>
  <c r="AN316" i="23"/>
  <c r="AS316" i="23"/>
  <c r="AW316" i="23"/>
  <c r="AX316" i="23"/>
  <c r="BF316" i="23"/>
  <c r="C317" i="23"/>
  <c r="D317" i="23"/>
  <c r="E317" i="23"/>
  <c r="F317" i="23"/>
  <c r="N317" i="23"/>
  <c r="O317" i="23"/>
  <c r="P317" i="23"/>
  <c r="R317" i="23"/>
  <c r="X317" i="23"/>
  <c r="Y317" i="23"/>
  <c r="Z317" i="23"/>
  <c r="AF317" i="23"/>
  <c r="AG317" i="23"/>
  <c r="AH317" i="23"/>
  <c r="AI317" i="23"/>
  <c r="AL317" i="23"/>
  <c r="AM317" i="23"/>
  <c r="AN317" i="23"/>
  <c r="AS317" i="23"/>
  <c r="AW317" i="23"/>
  <c r="AX317" i="23"/>
  <c r="BF317" i="23"/>
  <c r="C318" i="23"/>
  <c r="D318" i="23"/>
  <c r="E318" i="23"/>
  <c r="F318" i="23"/>
  <c r="N318" i="23"/>
  <c r="O318" i="23"/>
  <c r="P318" i="23"/>
  <c r="R318" i="23"/>
  <c r="X318" i="23"/>
  <c r="Y318" i="23"/>
  <c r="Z318" i="23"/>
  <c r="AF318" i="23"/>
  <c r="AG318" i="23"/>
  <c r="AH318" i="23"/>
  <c r="AL318" i="23"/>
  <c r="AM318" i="23"/>
  <c r="AN318" i="23"/>
  <c r="AS318" i="23"/>
  <c r="AW318" i="23"/>
  <c r="AX318" i="23"/>
  <c r="BF318" i="23"/>
  <c r="C319" i="23"/>
  <c r="D319" i="23"/>
  <c r="E319" i="23"/>
  <c r="F319" i="23"/>
  <c r="N319" i="23"/>
  <c r="O319" i="23"/>
  <c r="P319" i="23"/>
  <c r="R319" i="23"/>
  <c r="X319" i="23"/>
  <c r="Y319" i="23"/>
  <c r="Z319" i="23"/>
  <c r="AF319" i="23"/>
  <c r="AG319" i="23"/>
  <c r="AH319" i="23"/>
  <c r="AI319" i="23"/>
  <c r="AL319" i="23"/>
  <c r="AM319" i="23"/>
  <c r="AN319" i="23"/>
  <c r="AS319" i="23"/>
  <c r="AW319" i="23"/>
  <c r="AX319" i="23"/>
  <c r="BF319" i="23"/>
  <c r="C320" i="23"/>
  <c r="D320" i="23"/>
  <c r="E320" i="23"/>
  <c r="F320" i="23"/>
  <c r="N320" i="23"/>
  <c r="O320" i="23"/>
  <c r="P320" i="23"/>
  <c r="R320" i="23"/>
  <c r="X320" i="23"/>
  <c r="Y320" i="23"/>
  <c r="Z320" i="23"/>
  <c r="AF320" i="23"/>
  <c r="AG320" i="23"/>
  <c r="AH320" i="23"/>
  <c r="AL320" i="23"/>
  <c r="AM320" i="23"/>
  <c r="AN320" i="23"/>
  <c r="AS320" i="23"/>
  <c r="AW320" i="23"/>
  <c r="AX320" i="23"/>
  <c r="BF320" i="23"/>
  <c r="C321" i="23"/>
  <c r="D321" i="23"/>
  <c r="E321" i="23"/>
  <c r="F321" i="23"/>
  <c r="N321" i="23"/>
  <c r="O321" i="23"/>
  <c r="P321" i="23"/>
  <c r="R321" i="23"/>
  <c r="X321" i="23"/>
  <c r="Y321" i="23"/>
  <c r="Z321" i="23"/>
  <c r="AF321" i="23"/>
  <c r="AG321" i="23"/>
  <c r="AH321" i="23"/>
  <c r="AI321" i="23"/>
  <c r="AL321" i="23"/>
  <c r="AM321" i="23"/>
  <c r="AN321" i="23"/>
  <c r="AS321" i="23"/>
  <c r="AW321" i="23"/>
  <c r="AX321" i="23"/>
  <c r="BF321" i="23"/>
  <c r="C322" i="23"/>
  <c r="D322" i="23"/>
  <c r="E322" i="23"/>
  <c r="F322" i="23"/>
  <c r="N322" i="23"/>
  <c r="O322" i="23"/>
  <c r="P322" i="23"/>
  <c r="R322" i="23"/>
  <c r="X322" i="23"/>
  <c r="Y322" i="23"/>
  <c r="Z322" i="23"/>
  <c r="AF322" i="23"/>
  <c r="AG322" i="23"/>
  <c r="AH322" i="23"/>
  <c r="AL322" i="23"/>
  <c r="AM322" i="23"/>
  <c r="AN322" i="23"/>
  <c r="AS322" i="23"/>
  <c r="AW322" i="23"/>
  <c r="AX322" i="23"/>
  <c r="BF322" i="23"/>
  <c r="C323" i="23"/>
  <c r="D323" i="23"/>
  <c r="E323" i="23"/>
  <c r="F323" i="23"/>
  <c r="N323" i="23"/>
  <c r="O323" i="23"/>
  <c r="P323" i="23"/>
  <c r="R323" i="23"/>
  <c r="X323" i="23"/>
  <c r="Y323" i="23"/>
  <c r="Z323" i="23"/>
  <c r="AF323" i="23"/>
  <c r="AG323" i="23"/>
  <c r="AH323" i="23"/>
  <c r="AI323" i="23"/>
  <c r="AL323" i="23"/>
  <c r="AM323" i="23"/>
  <c r="AN323" i="23"/>
  <c r="AS323" i="23"/>
  <c r="AW323" i="23"/>
  <c r="AX323" i="23"/>
  <c r="BF323" i="23"/>
  <c r="C324" i="23"/>
  <c r="D324" i="23"/>
  <c r="E324" i="23"/>
  <c r="F324" i="23"/>
  <c r="N324" i="23"/>
  <c r="O324" i="23"/>
  <c r="P324" i="23"/>
  <c r="R324" i="23"/>
  <c r="X324" i="23"/>
  <c r="Y324" i="23"/>
  <c r="Z324" i="23"/>
  <c r="AF324" i="23"/>
  <c r="AG324" i="23"/>
  <c r="AH324" i="23"/>
  <c r="AL324" i="23"/>
  <c r="AM324" i="23"/>
  <c r="AN324" i="23"/>
  <c r="AS324" i="23"/>
  <c r="AW324" i="23"/>
  <c r="AX324" i="23"/>
  <c r="BF324" i="23"/>
  <c r="C325" i="23"/>
  <c r="D325" i="23"/>
  <c r="E325" i="23"/>
  <c r="F325" i="23"/>
  <c r="N325" i="23"/>
  <c r="O325" i="23"/>
  <c r="P325" i="23"/>
  <c r="R325" i="23"/>
  <c r="X325" i="23"/>
  <c r="Y325" i="23"/>
  <c r="Z325" i="23"/>
  <c r="AF325" i="23"/>
  <c r="AG325" i="23"/>
  <c r="AH325" i="23"/>
  <c r="AI325" i="23"/>
  <c r="AL325" i="23"/>
  <c r="AM325" i="23"/>
  <c r="AN325" i="23"/>
  <c r="AS325" i="23"/>
  <c r="AW325" i="23"/>
  <c r="AX325" i="23"/>
  <c r="BF325" i="23"/>
  <c r="C326" i="23"/>
  <c r="D326" i="23"/>
  <c r="E326" i="23"/>
  <c r="F326" i="23"/>
  <c r="N326" i="23"/>
  <c r="O326" i="23"/>
  <c r="P326" i="23"/>
  <c r="R326" i="23"/>
  <c r="X326" i="23"/>
  <c r="Y326" i="23"/>
  <c r="Z326" i="23"/>
  <c r="AF326" i="23"/>
  <c r="AG326" i="23"/>
  <c r="AH326" i="23"/>
  <c r="AL326" i="23"/>
  <c r="AM326" i="23"/>
  <c r="AN326" i="23"/>
  <c r="AS326" i="23"/>
  <c r="AW326" i="23"/>
  <c r="AX326" i="23"/>
  <c r="BF326" i="23"/>
  <c r="C327" i="23"/>
  <c r="D327" i="23"/>
  <c r="E327" i="23"/>
  <c r="F327" i="23"/>
  <c r="N327" i="23"/>
  <c r="O327" i="23"/>
  <c r="P327" i="23"/>
  <c r="R327" i="23"/>
  <c r="X327" i="23"/>
  <c r="Y327" i="23"/>
  <c r="Z327" i="23"/>
  <c r="AF327" i="23"/>
  <c r="AG327" i="23"/>
  <c r="AH327" i="23"/>
  <c r="AI327" i="23"/>
  <c r="AL327" i="23"/>
  <c r="AM327" i="23"/>
  <c r="AN327" i="23"/>
  <c r="AS327" i="23"/>
  <c r="AW327" i="23"/>
  <c r="AX327" i="23"/>
  <c r="BF327" i="23"/>
  <c r="C328" i="23"/>
  <c r="D328" i="23"/>
  <c r="E328" i="23"/>
  <c r="F328" i="23"/>
  <c r="N328" i="23"/>
  <c r="O328" i="23"/>
  <c r="P328" i="23"/>
  <c r="R328" i="23"/>
  <c r="X328" i="23"/>
  <c r="Y328" i="23"/>
  <c r="Z328" i="23"/>
  <c r="AF328" i="23"/>
  <c r="AG328" i="23"/>
  <c r="AH328" i="23"/>
  <c r="AL328" i="23"/>
  <c r="AM328" i="23"/>
  <c r="AN328" i="23"/>
  <c r="AS328" i="23"/>
  <c r="AW328" i="23"/>
  <c r="AX328" i="23"/>
  <c r="BF328" i="23"/>
  <c r="C329" i="23"/>
  <c r="D329" i="23"/>
  <c r="E329" i="23"/>
  <c r="F329" i="23"/>
  <c r="N329" i="23"/>
  <c r="O329" i="23"/>
  <c r="P329" i="23"/>
  <c r="R329" i="23"/>
  <c r="X329" i="23"/>
  <c r="Y329" i="23"/>
  <c r="Z329" i="23"/>
  <c r="AF329" i="23"/>
  <c r="AG329" i="23"/>
  <c r="AH329" i="23"/>
  <c r="AI329" i="23"/>
  <c r="AL329" i="23"/>
  <c r="AM329" i="23"/>
  <c r="AN329" i="23"/>
  <c r="AS329" i="23"/>
  <c r="AW329" i="23"/>
  <c r="AX329" i="23"/>
  <c r="BF329" i="23"/>
  <c r="C330" i="23"/>
  <c r="D330" i="23"/>
  <c r="E330" i="23"/>
  <c r="F330" i="23"/>
  <c r="N330" i="23"/>
  <c r="O330" i="23"/>
  <c r="P330" i="23"/>
  <c r="R330" i="23"/>
  <c r="X330" i="23"/>
  <c r="Y330" i="23"/>
  <c r="Z330" i="23"/>
  <c r="AF330" i="23"/>
  <c r="AG330" i="23"/>
  <c r="AH330" i="23"/>
  <c r="AL330" i="23"/>
  <c r="AM330" i="23"/>
  <c r="AN330" i="23"/>
  <c r="AS330" i="23"/>
  <c r="AW330" i="23"/>
  <c r="AX330" i="23"/>
  <c r="BF330" i="23"/>
  <c r="C331" i="23"/>
  <c r="D331" i="23"/>
  <c r="E331" i="23"/>
  <c r="F331" i="23"/>
  <c r="N331" i="23"/>
  <c r="O331" i="23"/>
  <c r="P331" i="23"/>
  <c r="R331" i="23"/>
  <c r="X331" i="23"/>
  <c r="Y331" i="23"/>
  <c r="Z331" i="23"/>
  <c r="AF331" i="23"/>
  <c r="AG331" i="23"/>
  <c r="AH331" i="23"/>
  <c r="AI331" i="23"/>
  <c r="AL331" i="23"/>
  <c r="AM331" i="23"/>
  <c r="AN331" i="23"/>
  <c r="AS331" i="23"/>
  <c r="AW331" i="23"/>
  <c r="AX331" i="23"/>
  <c r="BF331" i="23"/>
  <c r="C332" i="23"/>
  <c r="D332" i="23"/>
  <c r="E332" i="23"/>
  <c r="F332" i="23"/>
  <c r="N332" i="23"/>
  <c r="O332" i="23"/>
  <c r="P332" i="23"/>
  <c r="R332" i="23"/>
  <c r="X332" i="23"/>
  <c r="Y332" i="23"/>
  <c r="Z332" i="23"/>
  <c r="AF332" i="23"/>
  <c r="AG332" i="23"/>
  <c r="AH332" i="23"/>
  <c r="AL332" i="23"/>
  <c r="AM332" i="23"/>
  <c r="AN332" i="23"/>
  <c r="AS332" i="23"/>
  <c r="AW332" i="23"/>
  <c r="AX332" i="23"/>
  <c r="BF332" i="23"/>
  <c r="C333" i="23"/>
  <c r="D333" i="23"/>
  <c r="E333" i="23"/>
  <c r="F333" i="23"/>
  <c r="N333" i="23"/>
  <c r="O333" i="23"/>
  <c r="R333" i="23"/>
  <c r="X333" i="23"/>
  <c r="Y333" i="23"/>
  <c r="Z333" i="23"/>
  <c r="AF333" i="23"/>
  <c r="AG333" i="23"/>
  <c r="AH333" i="23"/>
  <c r="AL333" i="23"/>
  <c r="AN333" i="23"/>
  <c r="AS333" i="23"/>
  <c r="AW333" i="23"/>
  <c r="AX333" i="23"/>
  <c r="BF333" i="23"/>
  <c r="C334" i="23"/>
  <c r="D334" i="23"/>
  <c r="E334" i="23"/>
  <c r="F334" i="23"/>
  <c r="N334" i="23"/>
  <c r="O334" i="23"/>
  <c r="R334" i="23"/>
  <c r="X334" i="23"/>
  <c r="Y334" i="23"/>
  <c r="Z334" i="23"/>
  <c r="AF334" i="23"/>
  <c r="AG334" i="23"/>
  <c r="AH334" i="23"/>
  <c r="AL334" i="23"/>
  <c r="AN334" i="23"/>
  <c r="AS334" i="23"/>
  <c r="AW334" i="23"/>
  <c r="AX334" i="23"/>
  <c r="BF334" i="23"/>
  <c r="C335" i="23"/>
  <c r="D335" i="23"/>
  <c r="E335" i="23"/>
  <c r="F335" i="23"/>
  <c r="N335" i="23"/>
  <c r="O335" i="23"/>
  <c r="R335" i="23"/>
  <c r="X335" i="23"/>
  <c r="Y335" i="23"/>
  <c r="Z335" i="23"/>
  <c r="AF335" i="23"/>
  <c r="AG335" i="23"/>
  <c r="AH335" i="23"/>
  <c r="AL335" i="23"/>
  <c r="AN335" i="23"/>
  <c r="AS335" i="23"/>
  <c r="AW335" i="23"/>
  <c r="AX335" i="23"/>
  <c r="BF335" i="23"/>
  <c r="C336" i="23"/>
  <c r="D336" i="23"/>
  <c r="E336" i="23"/>
  <c r="F336" i="23"/>
  <c r="N336" i="23"/>
  <c r="O336" i="23"/>
  <c r="R336" i="23"/>
  <c r="X336" i="23"/>
  <c r="Y336" i="23"/>
  <c r="Z336" i="23"/>
  <c r="AF336" i="23"/>
  <c r="AG336" i="23"/>
  <c r="AH336" i="23"/>
  <c r="AL336" i="23"/>
  <c r="AN336" i="23"/>
  <c r="AS336" i="23"/>
  <c r="AW336" i="23"/>
  <c r="AX336" i="23"/>
  <c r="BF336" i="23"/>
  <c r="C337" i="23"/>
  <c r="D337" i="23"/>
  <c r="E337" i="23"/>
  <c r="F337" i="23"/>
  <c r="N337" i="23"/>
  <c r="O337" i="23"/>
  <c r="R337" i="23"/>
  <c r="X337" i="23"/>
  <c r="Y337" i="23"/>
  <c r="Z337" i="23"/>
  <c r="AF337" i="23"/>
  <c r="AG337" i="23"/>
  <c r="AH337" i="23"/>
  <c r="AL337" i="23"/>
  <c r="AN337" i="23"/>
  <c r="AS337" i="23"/>
  <c r="AW337" i="23"/>
  <c r="AX337" i="23"/>
  <c r="BF337" i="23"/>
  <c r="C338" i="23"/>
  <c r="D338" i="23"/>
  <c r="E338" i="23"/>
  <c r="F338" i="23"/>
  <c r="N338" i="23"/>
  <c r="O338" i="23"/>
  <c r="R338" i="23"/>
  <c r="X338" i="23"/>
  <c r="Y338" i="23"/>
  <c r="Z338" i="23"/>
  <c r="AF338" i="23"/>
  <c r="AG338" i="23"/>
  <c r="AH338" i="23"/>
  <c r="AL338" i="23"/>
  <c r="AN338" i="23"/>
  <c r="AS338" i="23"/>
  <c r="AW338" i="23"/>
  <c r="AX338" i="23"/>
  <c r="BF338" i="23"/>
  <c r="C339" i="23"/>
  <c r="D339" i="23"/>
  <c r="E339" i="23"/>
  <c r="F339" i="23"/>
  <c r="N339" i="23"/>
  <c r="O339" i="23"/>
  <c r="R339" i="23"/>
  <c r="X339" i="23"/>
  <c r="Y339" i="23"/>
  <c r="Z339" i="23"/>
  <c r="AF339" i="23"/>
  <c r="AG339" i="23"/>
  <c r="AH339" i="23"/>
  <c r="AL339" i="23"/>
  <c r="AN339" i="23"/>
  <c r="AS339" i="23"/>
  <c r="AW339" i="23"/>
  <c r="AX339" i="23"/>
  <c r="BF339" i="23"/>
  <c r="C340" i="23"/>
  <c r="D340" i="23"/>
  <c r="E340" i="23"/>
  <c r="F340" i="23"/>
  <c r="N340" i="23"/>
  <c r="O340" i="23"/>
  <c r="R340" i="23"/>
  <c r="X340" i="23"/>
  <c r="Y340" i="23"/>
  <c r="Z340" i="23"/>
  <c r="AF340" i="23"/>
  <c r="AG340" i="23"/>
  <c r="AH340" i="23"/>
  <c r="AL340" i="23"/>
  <c r="AN340" i="23"/>
  <c r="AS340" i="23"/>
  <c r="AW340" i="23"/>
  <c r="AX340" i="23"/>
  <c r="BF340" i="23"/>
  <c r="C341" i="23"/>
  <c r="D341" i="23"/>
  <c r="E341" i="23"/>
  <c r="F341" i="23"/>
  <c r="N341" i="23"/>
  <c r="O341" i="23"/>
  <c r="R341" i="23"/>
  <c r="X341" i="23"/>
  <c r="Y341" i="23"/>
  <c r="Z341" i="23"/>
  <c r="AF341" i="23"/>
  <c r="AG341" i="23"/>
  <c r="AH341" i="23"/>
  <c r="AL341" i="23"/>
  <c r="AN341" i="23"/>
  <c r="AS341" i="23"/>
  <c r="AW341" i="23"/>
  <c r="AX341" i="23"/>
  <c r="BF341" i="23"/>
  <c r="C342" i="23"/>
  <c r="D342" i="23"/>
  <c r="E342" i="23"/>
  <c r="F342" i="23"/>
  <c r="N342" i="23"/>
  <c r="O342" i="23"/>
  <c r="R342" i="23"/>
  <c r="X342" i="23"/>
  <c r="Y342" i="23"/>
  <c r="Z342" i="23"/>
  <c r="AF342" i="23"/>
  <c r="AG342" i="23"/>
  <c r="AH342" i="23"/>
  <c r="AL342" i="23"/>
  <c r="AN342" i="23"/>
  <c r="AS342" i="23"/>
  <c r="AW342" i="23"/>
  <c r="AX342" i="23"/>
  <c r="BF342" i="23"/>
  <c r="C343" i="23"/>
  <c r="D343" i="23"/>
  <c r="E343" i="23"/>
  <c r="F343" i="23"/>
  <c r="N343" i="23"/>
  <c r="O343" i="23"/>
  <c r="R343" i="23"/>
  <c r="X343" i="23"/>
  <c r="Y343" i="23"/>
  <c r="Z343" i="23"/>
  <c r="AF343" i="23"/>
  <c r="AG343" i="23"/>
  <c r="AH343" i="23"/>
  <c r="AL343" i="23"/>
  <c r="AN343" i="23"/>
  <c r="AS343" i="23"/>
  <c r="AW343" i="23"/>
  <c r="AX343" i="23"/>
  <c r="BF343" i="23"/>
  <c r="C344" i="23"/>
  <c r="D344" i="23"/>
  <c r="E344" i="23"/>
  <c r="F344" i="23"/>
  <c r="N344" i="23"/>
  <c r="O344" i="23"/>
  <c r="R344" i="23"/>
  <c r="X344" i="23"/>
  <c r="Y344" i="23"/>
  <c r="Z344" i="23"/>
  <c r="AF344" i="23"/>
  <c r="AG344" i="23"/>
  <c r="AH344" i="23"/>
  <c r="AL344" i="23"/>
  <c r="AN344" i="23"/>
  <c r="AS344" i="23"/>
  <c r="AW344" i="23"/>
  <c r="AX344" i="23"/>
  <c r="BF344" i="23"/>
  <c r="C345" i="23"/>
  <c r="D345" i="23"/>
  <c r="E345" i="23"/>
  <c r="F345" i="23"/>
  <c r="N345" i="23"/>
  <c r="O345" i="23"/>
  <c r="R345" i="23"/>
  <c r="X345" i="23"/>
  <c r="Y345" i="23"/>
  <c r="Z345" i="23"/>
  <c r="AF345" i="23"/>
  <c r="AG345" i="23"/>
  <c r="AH345" i="23"/>
  <c r="AL345" i="23"/>
  <c r="AN345" i="23"/>
  <c r="AS345" i="23"/>
  <c r="AW345" i="23"/>
  <c r="AX345" i="23"/>
  <c r="BF345" i="23"/>
  <c r="C346" i="23"/>
  <c r="D346" i="23"/>
  <c r="E346" i="23"/>
  <c r="F346" i="23"/>
  <c r="N346" i="23"/>
  <c r="O346" i="23"/>
  <c r="R346" i="23"/>
  <c r="X346" i="23"/>
  <c r="Y346" i="23"/>
  <c r="Z346" i="23"/>
  <c r="AF346" i="23"/>
  <c r="AG346" i="23"/>
  <c r="AH346" i="23"/>
  <c r="AL346" i="23"/>
  <c r="AN346" i="23"/>
  <c r="AS346" i="23"/>
  <c r="AW346" i="23"/>
  <c r="AX346" i="23"/>
  <c r="BF346" i="23"/>
  <c r="C347" i="23"/>
  <c r="D347" i="23"/>
  <c r="E347" i="23"/>
  <c r="F347" i="23"/>
  <c r="N347" i="23"/>
  <c r="O347" i="23"/>
  <c r="R347" i="23"/>
  <c r="X347" i="23"/>
  <c r="Y347" i="23"/>
  <c r="Z347" i="23"/>
  <c r="AF347" i="23"/>
  <c r="AG347" i="23"/>
  <c r="AH347" i="23"/>
  <c r="AL347" i="23"/>
  <c r="AN347" i="23"/>
  <c r="AS347" i="23"/>
  <c r="AW347" i="23"/>
  <c r="AX347" i="23"/>
  <c r="BF347" i="23"/>
  <c r="C348" i="23"/>
  <c r="D348" i="23"/>
  <c r="E348" i="23"/>
  <c r="F348" i="23"/>
  <c r="N348" i="23"/>
  <c r="O348" i="23"/>
  <c r="R348" i="23"/>
  <c r="X348" i="23"/>
  <c r="Y348" i="23"/>
  <c r="Z348" i="23"/>
  <c r="AF348" i="23"/>
  <c r="AG348" i="23"/>
  <c r="AH348" i="23"/>
  <c r="AL348" i="23"/>
  <c r="AN348" i="23"/>
  <c r="AS348" i="23"/>
  <c r="AW348" i="23"/>
  <c r="AX348" i="23"/>
  <c r="BF348" i="23"/>
  <c r="C349" i="23"/>
  <c r="D349" i="23"/>
  <c r="E349" i="23"/>
  <c r="F349" i="23"/>
  <c r="N349" i="23"/>
  <c r="R349" i="23"/>
  <c r="X349" i="23"/>
  <c r="Y349" i="23"/>
  <c r="Z349" i="23"/>
  <c r="AF349" i="23"/>
  <c r="AG349" i="23"/>
  <c r="AH349" i="23"/>
  <c r="AN349" i="23"/>
  <c r="AS349" i="23"/>
  <c r="AW349" i="23"/>
  <c r="AX349" i="23"/>
  <c r="BF349" i="23"/>
  <c r="C350" i="23"/>
  <c r="D350" i="23"/>
  <c r="E350" i="23"/>
  <c r="F350" i="23"/>
  <c r="N350" i="23"/>
  <c r="O350" i="23"/>
  <c r="R350" i="23"/>
  <c r="X350" i="23"/>
  <c r="Y350" i="23"/>
  <c r="Z350" i="23"/>
  <c r="AF350" i="23"/>
  <c r="AG350" i="23"/>
  <c r="AH350" i="23"/>
  <c r="AL350" i="23"/>
  <c r="AN350" i="23"/>
  <c r="AS350" i="23"/>
  <c r="AW350" i="23"/>
  <c r="AX350" i="23"/>
  <c r="BF350" i="23"/>
  <c r="C351" i="23"/>
  <c r="D351" i="23"/>
  <c r="E351" i="23"/>
  <c r="F351" i="23"/>
  <c r="N351" i="23"/>
  <c r="R351" i="23"/>
  <c r="X351" i="23"/>
  <c r="Y351" i="23"/>
  <c r="Z351" i="23"/>
  <c r="AF351" i="23"/>
  <c r="AG351" i="23"/>
  <c r="AH351" i="23"/>
  <c r="AN351" i="23"/>
  <c r="AS351" i="23"/>
  <c r="AW351" i="23"/>
  <c r="AX351" i="23"/>
  <c r="BF351" i="23"/>
  <c r="C352" i="23"/>
  <c r="D352" i="23"/>
  <c r="E352" i="23"/>
  <c r="F352" i="23"/>
  <c r="N352" i="23"/>
  <c r="O352" i="23"/>
  <c r="R352" i="23"/>
  <c r="X352" i="23"/>
  <c r="Y352" i="23"/>
  <c r="Z352" i="23"/>
  <c r="AF352" i="23"/>
  <c r="AG352" i="23"/>
  <c r="AH352" i="23"/>
  <c r="AL352" i="23"/>
  <c r="AN352" i="23"/>
  <c r="AS352" i="23"/>
  <c r="AW352" i="23"/>
  <c r="AX352" i="23"/>
  <c r="BF352" i="23"/>
  <c r="C353" i="23"/>
  <c r="D353" i="23"/>
  <c r="E353" i="23"/>
  <c r="F353" i="23"/>
  <c r="N353" i="23"/>
  <c r="R353" i="23"/>
  <c r="X353" i="23"/>
  <c r="Y353" i="23"/>
  <c r="Z353" i="23"/>
  <c r="AF353" i="23"/>
  <c r="AG353" i="23"/>
  <c r="AH353" i="23"/>
  <c r="AN353" i="23"/>
  <c r="AS353" i="23"/>
  <c r="AW353" i="23"/>
  <c r="AX353" i="23"/>
  <c r="BF353" i="23"/>
  <c r="C354" i="23"/>
  <c r="D354" i="23"/>
  <c r="E354" i="23"/>
  <c r="F354" i="23"/>
  <c r="N354" i="23"/>
  <c r="O354" i="23"/>
  <c r="R354" i="23"/>
  <c r="X354" i="23"/>
  <c r="Y354" i="23"/>
  <c r="Z354" i="23"/>
  <c r="AF354" i="23"/>
  <c r="AG354" i="23"/>
  <c r="AH354" i="23"/>
  <c r="AL354" i="23"/>
  <c r="AN354" i="23"/>
  <c r="AS354" i="23"/>
  <c r="AW354" i="23"/>
  <c r="AX354" i="23"/>
  <c r="BF354" i="23"/>
  <c r="C355" i="23"/>
  <c r="D355" i="23"/>
  <c r="E355" i="23"/>
  <c r="F355" i="23"/>
  <c r="N355" i="23"/>
  <c r="R355" i="23"/>
  <c r="X355" i="23"/>
  <c r="Y355" i="23"/>
  <c r="Z355" i="23"/>
  <c r="AF355" i="23"/>
  <c r="AG355" i="23"/>
  <c r="AH355" i="23"/>
  <c r="AN355" i="23"/>
  <c r="AS355" i="23"/>
  <c r="AW355" i="23"/>
  <c r="AX355" i="23"/>
  <c r="BF355" i="23"/>
  <c r="C356" i="23"/>
  <c r="D356" i="23"/>
  <c r="E356" i="23"/>
  <c r="F356" i="23"/>
  <c r="N356" i="23"/>
  <c r="O356" i="23"/>
  <c r="R356" i="23"/>
  <c r="X356" i="23"/>
  <c r="Y356" i="23"/>
  <c r="Z356" i="23"/>
  <c r="AF356" i="23"/>
  <c r="AG356" i="23"/>
  <c r="AH356" i="23"/>
  <c r="AL356" i="23"/>
  <c r="AN356" i="23"/>
  <c r="AS356" i="23"/>
  <c r="AW356" i="23"/>
  <c r="AX356" i="23"/>
  <c r="BF356" i="23"/>
  <c r="C357" i="23"/>
  <c r="D357" i="23"/>
  <c r="E357" i="23"/>
  <c r="F357" i="23"/>
  <c r="N357" i="23"/>
  <c r="O357" i="23"/>
  <c r="R357" i="23"/>
  <c r="X357" i="23"/>
  <c r="Y357" i="23"/>
  <c r="Z357" i="23"/>
  <c r="AF357" i="23"/>
  <c r="AG357" i="23"/>
  <c r="AH357" i="23"/>
  <c r="AL357" i="23"/>
  <c r="AM357" i="23"/>
  <c r="AN357" i="23"/>
  <c r="AS357" i="23"/>
  <c r="AW357" i="23"/>
  <c r="AX357" i="23"/>
  <c r="BF357" i="23"/>
  <c r="C358" i="23"/>
  <c r="D358" i="23"/>
  <c r="E358" i="23"/>
  <c r="F358" i="23"/>
  <c r="N358" i="23"/>
  <c r="O358" i="23"/>
  <c r="R358" i="23"/>
  <c r="X358" i="23"/>
  <c r="Y358" i="23"/>
  <c r="Z358" i="23"/>
  <c r="AF358" i="23"/>
  <c r="AG358" i="23"/>
  <c r="AH358" i="23"/>
  <c r="AL358" i="23"/>
  <c r="AM358" i="23"/>
  <c r="AN358" i="23"/>
  <c r="AS358" i="23"/>
  <c r="AW358" i="23"/>
  <c r="AX358" i="23"/>
  <c r="BF358" i="23"/>
  <c r="C359" i="23"/>
  <c r="D359" i="23"/>
  <c r="E359" i="23"/>
  <c r="F359" i="23"/>
  <c r="N359" i="23"/>
  <c r="O359" i="23"/>
  <c r="R359" i="23"/>
  <c r="X359" i="23"/>
  <c r="Y359" i="23"/>
  <c r="Z359" i="23"/>
  <c r="AF359" i="23"/>
  <c r="AG359" i="23"/>
  <c r="AH359" i="23"/>
  <c r="AL359" i="23"/>
  <c r="AM359" i="23"/>
  <c r="AN359" i="23"/>
  <c r="AS359" i="23"/>
  <c r="AW359" i="23"/>
  <c r="AX359" i="23"/>
  <c r="BF359" i="23"/>
  <c r="C360" i="23"/>
  <c r="D360" i="23"/>
  <c r="E360" i="23"/>
  <c r="F360" i="23"/>
  <c r="N360" i="23"/>
  <c r="O360" i="23"/>
  <c r="R360" i="23"/>
  <c r="X360" i="23"/>
  <c r="Y360" i="23"/>
  <c r="Z360" i="23"/>
  <c r="AF360" i="23"/>
  <c r="AG360" i="23"/>
  <c r="AH360" i="23"/>
  <c r="AL360" i="23"/>
  <c r="AM360" i="23"/>
  <c r="AN360" i="23"/>
  <c r="AS360" i="23"/>
  <c r="AW360" i="23"/>
  <c r="AX360" i="23"/>
  <c r="BF360" i="23"/>
  <c r="C361" i="23"/>
  <c r="D361" i="23"/>
  <c r="E361" i="23"/>
  <c r="F361" i="23"/>
  <c r="N361" i="23"/>
  <c r="O361" i="23"/>
  <c r="P361" i="23"/>
  <c r="R361" i="23"/>
  <c r="X361" i="23"/>
  <c r="Y361" i="23"/>
  <c r="Z361" i="23"/>
  <c r="AF361" i="23"/>
  <c r="AG361" i="23"/>
  <c r="AH361" i="23"/>
  <c r="AI361" i="23"/>
  <c r="AL361" i="23"/>
  <c r="AM361" i="23"/>
  <c r="AN361" i="23"/>
  <c r="AS361" i="23"/>
  <c r="AW361" i="23"/>
  <c r="AX361" i="23"/>
  <c r="BF361" i="23"/>
  <c r="C362" i="23"/>
  <c r="D362" i="23"/>
  <c r="E362" i="23"/>
  <c r="F362" i="23"/>
  <c r="N362" i="23"/>
  <c r="O362" i="23"/>
  <c r="P362" i="23"/>
  <c r="R362" i="23"/>
  <c r="X362" i="23"/>
  <c r="Y362" i="23"/>
  <c r="Z362" i="23"/>
  <c r="AF362" i="23"/>
  <c r="AG362" i="23"/>
  <c r="AH362" i="23"/>
  <c r="AL362" i="23"/>
  <c r="AM362" i="23"/>
  <c r="AN362" i="23"/>
  <c r="AS362" i="23"/>
  <c r="AW362" i="23"/>
  <c r="AX362" i="23"/>
  <c r="BF362" i="23"/>
  <c r="C363" i="23"/>
  <c r="D363" i="23"/>
  <c r="E363" i="23"/>
  <c r="F363" i="23"/>
  <c r="N363" i="23"/>
  <c r="O363" i="23"/>
  <c r="P363" i="23"/>
  <c r="R363" i="23"/>
  <c r="X363" i="23"/>
  <c r="Y363" i="23"/>
  <c r="Z363" i="23"/>
  <c r="AF363" i="23"/>
  <c r="AG363" i="23"/>
  <c r="AH363" i="23"/>
  <c r="AI363" i="23"/>
  <c r="AL363" i="23"/>
  <c r="AM363" i="23"/>
  <c r="AN363" i="23"/>
  <c r="AS363" i="23"/>
  <c r="AW363" i="23"/>
  <c r="AX363" i="23"/>
  <c r="BF363" i="23"/>
  <c r="C364" i="23"/>
  <c r="D364" i="23"/>
  <c r="E364" i="23"/>
  <c r="F364" i="23"/>
  <c r="N364" i="23"/>
  <c r="O364" i="23"/>
  <c r="P364" i="23"/>
  <c r="R364" i="23"/>
  <c r="X364" i="23"/>
  <c r="Y364" i="23"/>
  <c r="Z364" i="23"/>
  <c r="AF364" i="23"/>
  <c r="AG364" i="23"/>
  <c r="AH364" i="23"/>
  <c r="AL364" i="23"/>
  <c r="AM364" i="23"/>
  <c r="AN364" i="23"/>
  <c r="AS364" i="23"/>
  <c r="AW364" i="23"/>
  <c r="AX364" i="23"/>
  <c r="BF364" i="23"/>
  <c r="C365" i="23"/>
  <c r="D365" i="23"/>
  <c r="E365" i="23"/>
  <c r="F365" i="23"/>
  <c r="N365" i="23"/>
  <c r="O365" i="23"/>
  <c r="P365" i="23"/>
  <c r="R365" i="23"/>
  <c r="X365" i="23"/>
  <c r="Y365" i="23"/>
  <c r="Z365" i="23"/>
  <c r="AF365" i="23"/>
  <c r="AG365" i="23"/>
  <c r="AH365" i="23"/>
  <c r="AI365" i="23"/>
  <c r="AL365" i="23"/>
  <c r="AM365" i="23"/>
  <c r="AN365" i="23"/>
  <c r="AS365" i="23"/>
  <c r="AW365" i="23"/>
  <c r="AX365" i="23"/>
  <c r="BF365" i="23"/>
  <c r="C366" i="23"/>
  <c r="D366" i="23"/>
  <c r="E366" i="23"/>
  <c r="F366" i="23"/>
  <c r="N366" i="23"/>
  <c r="O366" i="23"/>
  <c r="P366" i="23"/>
  <c r="R366" i="23"/>
  <c r="X366" i="23"/>
  <c r="Y366" i="23"/>
  <c r="Z366" i="23"/>
  <c r="AF366" i="23"/>
  <c r="AG366" i="23"/>
  <c r="AH366" i="23"/>
  <c r="AL366" i="23"/>
  <c r="AM366" i="23"/>
  <c r="AN366" i="23"/>
  <c r="AS366" i="23"/>
  <c r="AW366" i="23"/>
  <c r="AX366" i="23"/>
  <c r="BF366" i="23"/>
  <c r="C367" i="23"/>
  <c r="D367" i="23"/>
  <c r="E367" i="23"/>
  <c r="F367" i="23"/>
  <c r="N367" i="23"/>
  <c r="O367" i="23"/>
  <c r="P367" i="23"/>
  <c r="R367" i="23"/>
  <c r="X367" i="23"/>
  <c r="Y367" i="23"/>
  <c r="Z367" i="23"/>
  <c r="AF367" i="23"/>
  <c r="AG367" i="23"/>
  <c r="AH367" i="23"/>
  <c r="AI367" i="23"/>
  <c r="AL367" i="23"/>
  <c r="AM367" i="23"/>
  <c r="AN367" i="23"/>
  <c r="AS367" i="23"/>
  <c r="AW367" i="23"/>
  <c r="AX367" i="23"/>
  <c r="BF367" i="23"/>
  <c r="C368" i="23"/>
  <c r="D368" i="23"/>
  <c r="E368" i="23"/>
  <c r="F368" i="23"/>
  <c r="N368" i="23"/>
  <c r="O368" i="23"/>
  <c r="P368" i="23"/>
  <c r="R368" i="23"/>
  <c r="X368" i="23"/>
  <c r="Y368" i="23"/>
  <c r="Z368" i="23"/>
  <c r="AF368" i="23"/>
  <c r="AG368" i="23"/>
  <c r="AH368" i="23"/>
  <c r="AL368" i="23"/>
  <c r="AM368" i="23"/>
  <c r="AN368" i="23"/>
  <c r="AS368" i="23"/>
  <c r="AW368" i="23"/>
  <c r="AX368" i="23"/>
  <c r="BF368" i="23"/>
  <c r="C369" i="23"/>
  <c r="D369" i="23"/>
  <c r="E369" i="23"/>
  <c r="F369" i="23"/>
  <c r="N369" i="23"/>
  <c r="O369" i="23"/>
  <c r="P369" i="23"/>
  <c r="R369" i="23"/>
  <c r="X369" i="23"/>
  <c r="Y369" i="23"/>
  <c r="Z369" i="23"/>
  <c r="AF369" i="23"/>
  <c r="AG369" i="23"/>
  <c r="AH369" i="23"/>
  <c r="AI369" i="23"/>
  <c r="AL369" i="23"/>
  <c r="AM369" i="23"/>
  <c r="AN369" i="23"/>
  <c r="AS369" i="23"/>
  <c r="AW369" i="23"/>
  <c r="AX369" i="23"/>
  <c r="BF369" i="23"/>
  <c r="C370" i="23"/>
  <c r="D370" i="23"/>
  <c r="E370" i="23"/>
  <c r="F370" i="23"/>
  <c r="N370" i="23"/>
  <c r="O370" i="23"/>
  <c r="P370" i="23"/>
  <c r="R370" i="23"/>
  <c r="X370" i="23"/>
  <c r="Y370" i="23"/>
  <c r="Z370" i="23"/>
  <c r="AF370" i="23"/>
  <c r="AG370" i="23"/>
  <c r="AH370" i="23"/>
  <c r="AL370" i="23"/>
  <c r="AM370" i="23"/>
  <c r="AN370" i="23"/>
  <c r="AS370" i="23"/>
  <c r="AW370" i="23"/>
  <c r="AX370" i="23"/>
  <c r="BF370" i="23"/>
  <c r="C371" i="23"/>
  <c r="D371" i="23"/>
  <c r="E371" i="23"/>
  <c r="F371" i="23"/>
  <c r="N371" i="23"/>
  <c r="O371" i="23"/>
  <c r="P371" i="23"/>
  <c r="R371" i="23"/>
  <c r="X371" i="23"/>
  <c r="Y371" i="23"/>
  <c r="Z371" i="23"/>
  <c r="AF371" i="23"/>
  <c r="AG371" i="23"/>
  <c r="AH371" i="23"/>
  <c r="AL371" i="23"/>
  <c r="AM371" i="23"/>
  <c r="AN371" i="23"/>
  <c r="AS371" i="23"/>
  <c r="AW371" i="23"/>
  <c r="AX371" i="23"/>
  <c r="BF371" i="23"/>
  <c r="C372" i="23"/>
  <c r="D372" i="23"/>
  <c r="E372" i="23"/>
  <c r="F372" i="23"/>
  <c r="N372" i="23"/>
  <c r="O372" i="23"/>
  <c r="P372" i="23"/>
  <c r="R372" i="23"/>
  <c r="X372" i="23"/>
  <c r="Y372" i="23"/>
  <c r="Z372" i="23"/>
  <c r="AF372" i="23"/>
  <c r="AG372" i="23"/>
  <c r="AH372" i="23"/>
  <c r="AL372" i="23"/>
  <c r="AM372" i="23"/>
  <c r="AN372" i="23"/>
  <c r="AS372" i="23"/>
  <c r="AW372" i="23"/>
  <c r="AX372" i="23"/>
  <c r="BF372" i="23"/>
  <c r="C373" i="23"/>
  <c r="D373" i="23"/>
  <c r="E373" i="23"/>
  <c r="F373" i="23"/>
  <c r="N373" i="23"/>
  <c r="O373" i="23"/>
  <c r="P373" i="23"/>
  <c r="R373" i="23"/>
  <c r="X373" i="23"/>
  <c r="Y373" i="23"/>
  <c r="Z373" i="23"/>
  <c r="AF373" i="23"/>
  <c r="AG373" i="23"/>
  <c r="AH373" i="23"/>
  <c r="AL373" i="23"/>
  <c r="AM373" i="23"/>
  <c r="AN373" i="23"/>
  <c r="AS373" i="23"/>
  <c r="AW373" i="23"/>
  <c r="AX373" i="23"/>
  <c r="BF373" i="23"/>
  <c r="C374" i="23"/>
  <c r="D374" i="23"/>
  <c r="E374" i="23"/>
  <c r="F374" i="23"/>
  <c r="N374" i="23"/>
  <c r="O374" i="23"/>
  <c r="P374" i="23"/>
  <c r="R374" i="23"/>
  <c r="X374" i="23"/>
  <c r="Y374" i="23"/>
  <c r="Z374" i="23"/>
  <c r="AF374" i="23"/>
  <c r="AG374" i="23"/>
  <c r="AH374" i="23"/>
  <c r="AL374" i="23"/>
  <c r="AM374" i="23"/>
  <c r="AN374" i="23"/>
  <c r="AS374" i="23"/>
  <c r="AW374" i="23"/>
  <c r="AX374" i="23"/>
  <c r="BF374" i="23"/>
  <c r="C375" i="23"/>
  <c r="D375" i="23"/>
  <c r="E375" i="23"/>
  <c r="F375" i="23"/>
  <c r="N375" i="23"/>
  <c r="O375" i="23"/>
  <c r="P375" i="23"/>
  <c r="R375" i="23"/>
  <c r="X375" i="23"/>
  <c r="Y375" i="23"/>
  <c r="Z375" i="23"/>
  <c r="AF375" i="23"/>
  <c r="AG375" i="23"/>
  <c r="AH375" i="23"/>
  <c r="AL375" i="23"/>
  <c r="AM375" i="23"/>
  <c r="AN375" i="23"/>
  <c r="AS375" i="23"/>
  <c r="AW375" i="23"/>
  <c r="AX375" i="23"/>
  <c r="BF375" i="23"/>
  <c r="C376" i="23"/>
  <c r="D376" i="23"/>
  <c r="E376" i="23"/>
  <c r="F376" i="23"/>
  <c r="N376" i="23"/>
  <c r="O376" i="23"/>
  <c r="P376" i="23"/>
  <c r="R376" i="23"/>
  <c r="X376" i="23"/>
  <c r="Y376" i="23"/>
  <c r="Z376" i="23"/>
  <c r="AF376" i="23"/>
  <c r="AG376" i="23"/>
  <c r="AH376" i="23"/>
  <c r="AL376" i="23"/>
  <c r="AM376" i="23"/>
  <c r="AN376" i="23"/>
  <c r="AS376" i="23"/>
  <c r="AW376" i="23"/>
  <c r="AX376" i="23"/>
  <c r="BF376" i="23"/>
  <c r="C377" i="23"/>
  <c r="D377" i="23"/>
  <c r="E377" i="23"/>
  <c r="F377" i="23"/>
  <c r="N377" i="23"/>
  <c r="O377" i="23"/>
  <c r="P377" i="23"/>
  <c r="R377" i="23"/>
  <c r="X377" i="23"/>
  <c r="Y377" i="23"/>
  <c r="Z377" i="23"/>
  <c r="AF377" i="23"/>
  <c r="AG377" i="23"/>
  <c r="AH377" i="23"/>
  <c r="AL377" i="23"/>
  <c r="AM377" i="23"/>
  <c r="AN377" i="23"/>
  <c r="AS377" i="23"/>
  <c r="AW377" i="23"/>
  <c r="AX377" i="23"/>
  <c r="BF377" i="23"/>
  <c r="C378" i="23"/>
  <c r="D378" i="23"/>
  <c r="E378" i="23"/>
  <c r="F378" i="23"/>
  <c r="N378" i="23"/>
  <c r="O378" i="23"/>
  <c r="P378" i="23"/>
  <c r="R378" i="23"/>
  <c r="X378" i="23"/>
  <c r="Y378" i="23"/>
  <c r="Z378" i="23"/>
  <c r="AF378" i="23"/>
  <c r="AG378" i="23"/>
  <c r="AH378" i="23"/>
  <c r="AL378" i="23"/>
  <c r="AM378" i="23"/>
  <c r="AN378" i="23"/>
  <c r="AS378" i="23"/>
  <c r="AW378" i="23"/>
  <c r="AX378" i="23"/>
  <c r="BF378" i="23"/>
  <c r="C379" i="23"/>
  <c r="D379" i="23"/>
  <c r="E379" i="23"/>
  <c r="F379" i="23"/>
  <c r="N379" i="23"/>
  <c r="O379" i="23"/>
  <c r="P379" i="23"/>
  <c r="R379" i="23"/>
  <c r="X379" i="23"/>
  <c r="Y379" i="23"/>
  <c r="Z379" i="23"/>
  <c r="AF379" i="23"/>
  <c r="AG379" i="23"/>
  <c r="AH379" i="23"/>
  <c r="AI379" i="23"/>
  <c r="AL379" i="23"/>
  <c r="AM379" i="23"/>
  <c r="AN379" i="23"/>
  <c r="AS379" i="23"/>
  <c r="AW379" i="23"/>
  <c r="AX379" i="23"/>
  <c r="BF379" i="23"/>
  <c r="C380" i="23"/>
  <c r="D380" i="23"/>
  <c r="E380" i="23"/>
  <c r="F380" i="23"/>
  <c r="N380" i="23"/>
  <c r="O380" i="23"/>
  <c r="P380" i="23"/>
  <c r="R380" i="23"/>
  <c r="X380" i="23"/>
  <c r="Y380" i="23"/>
  <c r="Z380" i="23"/>
  <c r="AG380" i="23"/>
  <c r="AH380" i="23"/>
  <c r="AL380" i="23"/>
  <c r="AM380" i="23"/>
  <c r="AN380" i="23"/>
  <c r="AS380" i="23"/>
  <c r="AW380" i="23"/>
  <c r="AX380" i="23"/>
  <c r="BF380" i="23"/>
  <c r="C381" i="23"/>
  <c r="D381" i="23"/>
  <c r="E381" i="23"/>
  <c r="F381" i="23"/>
  <c r="N381" i="23"/>
  <c r="O381" i="23"/>
  <c r="P381" i="23"/>
  <c r="R381" i="23"/>
  <c r="X381" i="23"/>
  <c r="Y381" i="23"/>
  <c r="Z381" i="23"/>
  <c r="AF381" i="23"/>
  <c r="AG381" i="23"/>
  <c r="AH381" i="23"/>
  <c r="AI381" i="23"/>
  <c r="AL381" i="23"/>
  <c r="AM381" i="23"/>
  <c r="AN381" i="23"/>
  <c r="AS381" i="23"/>
  <c r="AW381" i="23"/>
  <c r="AX381" i="23"/>
  <c r="BF381" i="23"/>
  <c r="C382" i="23"/>
  <c r="D382" i="23"/>
  <c r="E382" i="23"/>
  <c r="F382" i="23"/>
  <c r="N382" i="23"/>
  <c r="O382" i="23"/>
  <c r="P382" i="23"/>
  <c r="R382" i="23"/>
  <c r="X382" i="23"/>
  <c r="Y382" i="23"/>
  <c r="Z382" i="23"/>
  <c r="AF382" i="23"/>
  <c r="AG382" i="23"/>
  <c r="AH382" i="23"/>
  <c r="AI382" i="23"/>
  <c r="AL382" i="23"/>
  <c r="AM382" i="23"/>
  <c r="AN382" i="23"/>
  <c r="AS382" i="23"/>
  <c r="AW382" i="23"/>
  <c r="AX382" i="23"/>
  <c r="BF382" i="23"/>
  <c r="C383" i="23"/>
  <c r="D383" i="23"/>
  <c r="E383" i="23"/>
  <c r="F383" i="23"/>
  <c r="N383" i="23"/>
  <c r="O383" i="23"/>
  <c r="P383" i="23"/>
  <c r="R383" i="23"/>
  <c r="X383" i="23"/>
  <c r="Y383" i="23"/>
  <c r="Z383" i="23"/>
  <c r="AF383" i="23"/>
  <c r="AG383" i="23"/>
  <c r="AH383" i="23"/>
  <c r="AL383" i="23"/>
  <c r="AM383" i="23"/>
  <c r="AN383" i="23"/>
  <c r="AS383" i="23"/>
  <c r="AW383" i="23"/>
  <c r="AX383" i="23"/>
  <c r="BF383" i="23"/>
  <c r="C384" i="23"/>
  <c r="D384" i="23"/>
  <c r="E384" i="23"/>
  <c r="F384" i="23"/>
  <c r="N384" i="23"/>
  <c r="O384" i="23"/>
  <c r="P384" i="23"/>
  <c r="R384" i="23"/>
  <c r="X384" i="23"/>
  <c r="Y384" i="23"/>
  <c r="Z384" i="23"/>
  <c r="AF384" i="23"/>
  <c r="AG384" i="23"/>
  <c r="AH384" i="23"/>
  <c r="AI384" i="23"/>
  <c r="AL384" i="23"/>
  <c r="AM384" i="23"/>
  <c r="AN384" i="23"/>
  <c r="AS384" i="23"/>
  <c r="AW384" i="23"/>
  <c r="AX384" i="23"/>
  <c r="BF384" i="23"/>
  <c r="C385" i="23"/>
  <c r="D385" i="23"/>
  <c r="E385" i="23"/>
  <c r="F385" i="23"/>
  <c r="N385" i="23"/>
  <c r="O385" i="23"/>
  <c r="P385" i="23"/>
  <c r="R385" i="23"/>
  <c r="X385" i="23"/>
  <c r="Y385" i="23"/>
  <c r="Z385" i="23"/>
  <c r="AF385" i="23"/>
  <c r="AG385" i="23"/>
  <c r="AH385" i="23"/>
  <c r="AL385" i="23"/>
  <c r="AM385" i="23"/>
  <c r="AN385" i="23"/>
  <c r="AS385" i="23"/>
  <c r="AW385" i="23"/>
  <c r="AX385" i="23"/>
  <c r="BF385" i="23"/>
  <c r="C386" i="23"/>
  <c r="D386" i="23"/>
  <c r="E386" i="23"/>
  <c r="F386" i="23"/>
  <c r="N386" i="23"/>
  <c r="O386" i="23"/>
  <c r="P386" i="23"/>
  <c r="R386" i="23"/>
  <c r="X386" i="23"/>
  <c r="Y386" i="23"/>
  <c r="Z386" i="23"/>
  <c r="AF386" i="23"/>
  <c r="AG386" i="23"/>
  <c r="AH386" i="23"/>
  <c r="AI386" i="23"/>
  <c r="AL386" i="23"/>
  <c r="AM386" i="23"/>
  <c r="AN386" i="23"/>
  <c r="AS386" i="23"/>
  <c r="AW386" i="23"/>
  <c r="AX386" i="23"/>
  <c r="BF386" i="23"/>
  <c r="C387" i="23"/>
  <c r="D387" i="23"/>
  <c r="E387" i="23"/>
  <c r="F387" i="23"/>
  <c r="N387" i="23"/>
  <c r="O387" i="23"/>
  <c r="P387" i="23"/>
  <c r="R387" i="23"/>
  <c r="X387" i="23"/>
  <c r="Y387" i="23"/>
  <c r="Z387" i="23"/>
  <c r="AF387" i="23"/>
  <c r="AG387" i="23"/>
  <c r="AH387" i="23"/>
  <c r="AL387" i="23"/>
  <c r="AM387" i="23"/>
  <c r="AN387" i="23"/>
  <c r="AS387" i="23"/>
  <c r="AW387" i="23"/>
  <c r="AX387" i="23"/>
  <c r="BF387" i="23"/>
  <c r="C388" i="23"/>
  <c r="D388" i="23"/>
  <c r="E388" i="23"/>
  <c r="F388" i="23"/>
  <c r="N388" i="23"/>
  <c r="O388" i="23"/>
  <c r="P388" i="23"/>
  <c r="R388" i="23"/>
  <c r="X388" i="23"/>
  <c r="Y388" i="23"/>
  <c r="Z388" i="23"/>
  <c r="AF388" i="23"/>
  <c r="AG388" i="23"/>
  <c r="AH388" i="23"/>
  <c r="AI388" i="23"/>
  <c r="AL388" i="23"/>
  <c r="AM388" i="23"/>
  <c r="AN388" i="23"/>
  <c r="AS388" i="23"/>
  <c r="AW388" i="23"/>
  <c r="AX388" i="23"/>
  <c r="BF388" i="23"/>
  <c r="C389" i="23"/>
  <c r="D389" i="23"/>
  <c r="E389" i="23"/>
  <c r="F389" i="23"/>
  <c r="N389" i="23"/>
  <c r="O389" i="23"/>
  <c r="P389" i="23"/>
  <c r="R389" i="23"/>
  <c r="X389" i="23"/>
  <c r="Y389" i="23"/>
  <c r="Z389" i="23"/>
  <c r="AF389" i="23"/>
  <c r="AG389" i="23"/>
  <c r="AH389" i="23"/>
  <c r="AI389" i="23"/>
  <c r="AL389" i="23"/>
  <c r="AM389" i="23"/>
  <c r="AN389" i="23"/>
  <c r="AS389" i="23"/>
  <c r="AW389" i="23"/>
  <c r="AX389" i="23"/>
  <c r="BF389" i="23"/>
  <c r="C390" i="23"/>
  <c r="D390" i="23"/>
  <c r="E390" i="23"/>
  <c r="F390" i="23"/>
  <c r="N390" i="23"/>
  <c r="O390" i="23"/>
  <c r="P390" i="23"/>
  <c r="R390" i="23"/>
  <c r="X390" i="23"/>
  <c r="Y390" i="23"/>
  <c r="Z390" i="23"/>
  <c r="AF390" i="23"/>
  <c r="AG390" i="23"/>
  <c r="AH390" i="23"/>
  <c r="AL390" i="23"/>
  <c r="AM390" i="23"/>
  <c r="AN390" i="23"/>
  <c r="AS390" i="23"/>
  <c r="AW390" i="23"/>
  <c r="AX390" i="23"/>
  <c r="BF390" i="23"/>
  <c r="C391" i="23"/>
  <c r="D391" i="23"/>
  <c r="E391" i="23"/>
  <c r="F391" i="23"/>
  <c r="N391" i="23"/>
  <c r="O391" i="23"/>
  <c r="P391" i="23"/>
  <c r="R391" i="23"/>
  <c r="X391" i="23"/>
  <c r="Y391" i="23"/>
  <c r="Z391" i="23"/>
  <c r="AF391" i="23"/>
  <c r="AG391" i="23"/>
  <c r="AH391" i="23"/>
  <c r="AI391" i="23"/>
  <c r="AL391" i="23"/>
  <c r="AM391" i="23"/>
  <c r="AN391" i="23"/>
  <c r="AS391" i="23"/>
  <c r="AW391" i="23"/>
  <c r="AX391" i="23"/>
  <c r="BF391" i="23"/>
  <c r="C392" i="23"/>
  <c r="D392" i="23"/>
  <c r="E392" i="23"/>
  <c r="F392" i="23"/>
  <c r="N392" i="23"/>
  <c r="O392" i="23"/>
  <c r="P392" i="23"/>
  <c r="R392" i="23"/>
  <c r="X392" i="23"/>
  <c r="Y392" i="23"/>
  <c r="Z392" i="23"/>
  <c r="AF392" i="23"/>
  <c r="AG392" i="23"/>
  <c r="AH392" i="23"/>
  <c r="AL392" i="23"/>
  <c r="AM392" i="23"/>
  <c r="AN392" i="23"/>
  <c r="AS392" i="23"/>
  <c r="AW392" i="23"/>
  <c r="AX392" i="23"/>
  <c r="BF392" i="23"/>
  <c r="C393" i="23"/>
  <c r="D393" i="23"/>
  <c r="E393" i="23"/>
  <c r="F393" i="23"/>
  <c r="N393" i="23"/>
  <c r="O393" i="23"/>
  <c r="P393" i="23"/>
  <c r="R393" i="23"/>
  <c r="X393" i="23"/>
  <c r="Y393" i="23"/>
  <c r="Z393" i="23"/>
  <c r="AF393" i="23"/>
  <c r="AG393" i="23"/>
  <c r="AH393" i="23"/>
  <c r="AI393" i="23"/>
  <c r="AL393" i="23"/>
  <c r="AM393" i="23"/>
  <c r="AN393" i="23"/>
  <c r="AS393" i="23"/>
  <c r="AW393" i="23"/>
  <c r="AX393" i="23"/>
  <c r="BF393" i="23"/>
  <c r="C394" i="23"/>
  <c r="D394" i="23"/>
  <c r="E394" i="23"/>
  <c r="F394" i="23"/>
  <c r="N394" i="23"/>
  <c r="O394" i="23"/>
  <c r="P394" i="23"/>
  <c r="R394" i="23"/>
  <c r="X394" i="23"/>
  <c r="Y394" i="23"/>
  <c r="Z394" i="23"/>
  <c r="AF394" i="23"/>
  <c r="AG394" i="23"/>
  <c r="AH394" i="23"/>
  <c r="AI394" i="23"/>
  <c r="AL394" i="23"/>
  <c r="AM394" i="23"/>
  <c r="AN394" i="23"/>
  <c r="AS394" i="23"/>
  <c r="AW394" i="23"/>
  <c r="AX394" i="23"/>
  <c r="BF394" i="23"/>
  <c r="C395" i="23"/>
  <c r="D395" i="23"/>
  <c r="E395" i="23"/>
  <c r="F395" i="23"/>
  <c r="N395" i="23"/>
  <c r="O395" i="23"/>
  <c r="P395" i="23"/>
  <c r="R395" i="23"/>
  <c r="X395" i="23"/>
  <c r="Y395" i="23"/>
  <c r="Z395" i="23"/>
  <c r="AF395" i="23"/>
  <c r="AG395" i="23"/>
  <c r="AH395" i="23"/>
  <c r="AL395" i="23"/>
  <c r="AM395" i="23"/>
  <c r="AN395" i="23"/>
  <c r="AS395" i="23"/>
  <c r="AW395" i="23"/>
  <c r="AX395" i="23"/>
  <c r="BF395" i="23"/>
  <c r="C396" i="23"/>
  <c r="D396" i="23"/>
  <c r="E396" i="23"/>
  <c r="F396" i="23"/>
  <c r="N396" i="23"/>
  <c r="O396" i="23"/>
  <c r="P396" i="23"/>
  <c r="R396" i="23"/>
  <c r="X396" i="23"/>
  <c r="Y396" i="23"/>
  <c r="Z396" i="23"/>
  <c r="AF396" i="23"/>
  <c r="AG396" i="23"/>
  <c r="AH396" i="23"/>
  <c r="AI396" i="23"/>
  <c r="AL396" i="23"/>
  <c r="AM396" i="23"/>
  <c r="AN396" i="23"/>
  <c r="AS396" i="23"/>
  <c r="AW396" i="23"/>
  <c r="AX396" i="23"/>
  <c r="BF396" i="23"/>
  <c r="C397" i="23"/>
  <c r="D397" i="23"/>
  <c r="E397" i="23"/>
  <c r="F397" i="23"/>
  <c r="N397" i="23"/>
  <c r="O397" i="23"/>
  <c r="P397" i="23"/>
  <c r="R397" i="23"/>
  <c r="X397" i="23"/>
  <c r="Y397" i="23"/>
  <c r="Z397" i="23"/>
  <c r="AF397" i="23"/>
  <c r="AG397" i="23"/>
  <c r="AH397" i="23"/>
  <c r="AI397" i="23"/>
  <c r="AL397" i="23"/>
  <c r="AM397" i="23"/>
  <c r="AN397" i="23"/>
  <c r="AS397" i="23"/>
  <c r="AW397" i="23"/>
  <c r="AX397" i="23"/>
  <c r="BF397" i="23"/>
  <c r="C398" i="23"/>
  <c r="D398" i="23"/>
  <c r="E398" i="23"/>
  <c r="F398" i="23"/>
  <c r="N398" i="23"/>
  <c r="O398" i="23"/>
  <c r="P398" i="23"/>
  <c r="R398" i="23"/>
  <c r="X398" i="23"/>
  <c r="Y398" i="23"/>
  <c r="Z398" i="23"/>
  <c r="AF398" i="23"/>
  <c r="AG398" i="23"/>
  <c r="AH398" i="23"/>
  <c r="AL398" i="23"/>
  <c r="AM398" i="23"/>
  <c r="AN398" i="23"/>
  <c r="AS398" i="23"/>
  <c r="AW398" i="23"/>
  <c r="AX398" i="23"/>
  <c r="BF398" i="23"/>
  <c r="C399" i="23"/>
  <c r="D399" i="23"/>
  <c r="E399" i="23"/>
  <c r="F399" i="23"/>
  <c r="N399" i="23"/>
  <c r="O399" i="23"/>
  <c r="P399" i="23"/>
  <c r="R399" i="23"/>
  <c r="X399" i="23"/>
  <c r="Y399" i="23"/>
  <c r="Z399" i="23"/>
  <c r="AF399" i="23"/>
  <c r="AG399" i="23"/>
  <c r="AH399" i="23"/>
  <c r="AI399" i="23"/>
  <c r="AL399" i="23"/>
  <c r="AM399" i="23"/>
  <c r="AN399" i="23"/>
  <c r="AS399" i="23"/>
  <c r="AW399" i="23"/>
  <c r="AX399" i="23"/>
  <c r="BF399" i="23"/>
  <c r="C400" i="23"/>
  <c r="D400" i="23"/>
  <c r="E400" i="23"/>
  <c r="F400" i="23"/>
  <c r="N400" i="23"/>
  <c r="O400" i="23"/>
  <c r="P400" i="23"/>
  <c r="R400" i="23"/>
  <c r="X400" i="23"/>
  <c r="Y400" i="23"/>
  <c r="Z400" i="23"/>
  <c r="AF400" i="23"/>
  <c r="AG400" i="23"/>
  <c r="AH400" i="23"/>
  <c r="AL400" i="23"/>
  <c r="AM400" i="23"/>
  <c r="AN400" i="23"/>
  <c r="AS400" i="23"/>
  <c r="AW400" i="23"/>
  <c r="AX400" i="23"/>
  <c r="BF400" i="23"/>
  <c r="C401" i="23"/>
  <c r="D401" i="23"/>
  <c r="E401" i="23"/>
  <c r="F401" i="23"/>
  <c r="N401" i="23"/>
  <c r="O401" i="23"/>
  <c r="P401" i="23"/>
  <c r="R401" i="23"/>
  <c r="X401" i="23"/>
  <c r="Y401" i="23"/>
  <c r="Z401" i="23"/>
  <c r="AF401" i="23"/>
  <c r="AG401" i="23"/>
  <c r="AH401" i="23"/>
  <c r="AI401" i="23"/>
  <c r="AL401" i="23"/>
  <c r="AM401" i="23"/>
  <c r="AN401" i="23"/>
  <c r="AS401" i="23"/>
  <c r="AW401" i="23"/>
  <c r="AX401" i="23"/>
  <c r="BF401" i="23"/>
  <c r="C402" i="23"/>
  <c r="D402" i="23"/>
  <c r="E402" i="23"/>
  <c r="F402" i="23"/>
  <c r="N402" i="23"/>
  <c r="O402" i="23"/>
  <c r="P402" i="23"/>
  <c r="R402" i="23"/>
  <c r="X402" i="23"/>
  <c r="Y402" i="23"/>
  <c r="Z402" i="23"/>
  <c r="AF402" i="23"/>
  <c r="AG402" i="23"/>
  <c r="AH402" i="23"/>
  <c r="AI402" i="23"/>
  <c r="AL402" i="23"/>
  <c r="AM402" i="23"/>
  <c r="AN402" i="23"/>
  <c r="AS402" i="23"/>
  <c r="AW402" i="23"/>
  <c r="AX402" i="23"/>
  <c r="BF402" i="23"/>
  <c r="C403" i="23"/>
  <c r="D403" i="23"/>
  <c r="E403" i="23"/>
  <c r="F403" i="23"/>
  <c r="N403" i="23"/>
  <c r="O403" i="23"/>
  <c r="P403" i="23"/>
  <c r="R403" i="23"/>
  <c r="X403" i="23"/>
  <c r="Y403" i="23"/>
  <c r="Z403" i="23"/>
  <c r="AF403" i="23"/>
  <c r="AG403" i="23"/>
  <c r="AH403" i="23"/>
  <c r="AL403" i="23"/>
  <c r="AM403" i="23"/>
  <c r="AN403" i="23"/>
  <c r="AS403" i="23"/>
  <c r="AW403" i="23"/>
  <c r="AX403" i="23"/>
  <c r="BF403" i="23"/>
  <c r="C404" i="23"/>
  <c r="D404" i="23"/>
  <c r="E404" i="23"/>
  <c r="F404" i="23"/>
  <c r="N404" i="23"/>
  <c r="O404" i="23"/>
  <c r="P404" i="23"/>
  <c r="R404" i="23"/>
  <c r="X404" i="23"/>
  <c r="Y404" i="23"/>
  <c r="Z404" i="23"/>
  <c r="AF404" i="23"/>
  <c r="AG404" i="23"/>
  <c r="AH404" i="23"/>
  <c r="AI404" i="23"/>
  <c r="AL404" i="23"/>
  <c r="AM404" i="23"/>
  <c r="AN404" i="23"/>
  <c r="AS404" i="23"/>
  <c r="AW404" i="23"/>
  <c r="AX404" i="23"/>
  <c r="BF404" i="23"/>
  <c r="C405" i="23"/>
  <c r="D405" i="23"/>
  <c r="E405" i="23"/>
  <c r="F405" i="23"/>
  <c r="N405" i="23"/>
  <c r="O405" i="23"/>
  <c r="P405" i="23"/>
  <c r="R405" i="23"/>
  <c r="X405" i="23"/>
  <c r="Y405" i="23"/>
  <c r="Z405" i="23"/>
  <c r="AF405" i="23"/>
  <c r="AG405" i="23"/>
  <c r="AH405" i="23"/>
  <c r="AL405" i="23"/>
  <c r="AM405" i="23"/>
  <c r="AN405" i="23"/>
  <c r="AS405" i="23"/>
  <c r="AW405" i="23"/>
  <c r="AX405" i="23"/>
  <c r="BF405" i="23"/>
  <c r="C406" i="23"/>
  <c r="D406" i="23"/>
  <c r="E406" i="23"/>
  <c r="F406" i="23"/>
  <c r="N406" i="23"/>
  <c r="O406" i="23"/>
  <c r="P406" i="23"/>
  <c r="R406" i="23"/>
  <c r="X406" i="23"/>
  <c r="Y406" i="23"/>
  <c r="Z406" i="23"/>
  <c r="AF406" i="23"/>
  <c r="AG406" i="23"/>
  <c r="AH406" i="23"/>
  <c r="AI406" i="23"/>
  <c r="AL406" i="23"/>
  <c r="AM406" i="23"/>
  <c r="AN406" i="23"/>
  <c r="AS406" i="23"/>
  <c r="AW406" i="23"/>
  <c r="AX406" i="23"/>
  <c r="BF406" i="23"/>
  <c r="C407" i="23"/>
  <c r="D407" i="23"/>
  <c r="E407" i="23"/>
  <c r="F407" i="23"/>
  <c r="N407" i="23"/>
  <c r="O407" i="23"/>
  <c r="P407" i="23"/>
  <c r="R407" i="23"/>
  <c r="X407" i="23"/>
  <c r="Y407" i="23"/>
  <c r="Z407" i="23"/>
  <c r="AF407" i="23"/>
  <c r="AG407" i="23"/>
  <c r="AH407" i="23"/>
  <c r="AI407" i="23"/>
  <c r="AL407" i="23"/>
  <c r="AM407" i="23"/>
  <c r="AN407" i="23"/>
  <c r="AS407" i="23"/>
  <c r="AW407" i="23"/>
  <c r="AX407" i="23"/>
  <c r="BF407" i="23"/>
  <c r="C408" i="23"/>
  <c r="D408" i="23"/>
  <c r="E408" i="23"/>
  <c r="F408" i="23"/>
  <c r="N408" i="23"/>
  <c r="O408" i="23"/>
  <c r="P408" i="23"/>
  <c r="R408" i="23"/>
  <c r="X408" i="23"/>
  <c r="Y408" i="23"/>
  <c r="Z408" i="23"/>
  <c r="AF408" i="23"/>
  <c r="AG408" i="23"/>
  <c r="AH408" i="23"/>
  <c r="AL408" i="23"/>
  <c r="AM408" i="23"/>
  <c r="AN408" i="23"/>
  <c r="AS408" i="23"/>
  <c r="AW408" i="23"/>
  <c r="AX408" i="23"/>
  <c r="BF408" i="23"/>
  <c r="C409" i="23"/>
  <c r="D409" i="23"/>
  <c r="E409" i="23"/>
  <c r="F409" i="23"/>
  <c r="N409" i="23"/>
  <c r="O409" i="23"/>
  <c r="P409" i="23"/>
  <c r="R409" i="23"/>
  <c r="X409" i="23"/>
  <c r="Y409" i="23"/>
  <c r="Z409" i="23"/>
  <c r="AF409" i="23"/>
  <c r="AG409" i="23"/>
  <c r="AH409" i="23"/>
  <c r="AI409" i="23"/>
  <c r="AL409" i="23"/>
  <c r="AM409" i="23"/>
  <c r="AN409" i="23"/>
  <c r="AS409" i="23"/>
  <c r="AW409" i="23"/>
  <c r="AX409" i="23"/>
  <c r="BF409" i="23"/>
  <c r="C410" i="23"/>
  <c r="D410" i="23"/>
  <c r="E410" i="23"/>
  <c r="F410" i="23"/>
  <c r="N410" i="23"/>
  <c r="O410" i="23"/>
  <c r="P410" i="23"/>
  <c r="R410" i="23"/>
  <c r="X410" i="23"/>
  <c r="Y410" i="23"/>
  <c r="Z410" i="23"/>
  <c r="AF410" i="23"/>
  <c r="AG410" i="23"/>
  <c r="AH410" i="23"/>
  <c r="AL410" i="23"/>
  <c r="AM410" i="23"/>
  <c r="AN410" i="23"/>
  <c r="AS410" i="23"/>
  <c r="AW410" i="23"/>
  <c r="AX410" i="23"/>
  <c r="BF410" i="23"/>
  <c r="C411" i="23"/>
  <c r="D411" i="23"/>
  <c r="E411" i="23"/>
  <c r="F411" i="23"/>
  <c r="N411" i="23"/>
  <c r="O411" i="23"/>
  <c r="P411" i="23"/>
  <c r="R411" i="23"/>
  <c r="X411" i="23"/>
  <c r="Y411" i="23"/>
  <c r="Z411" i="23"/>
  <c r="AF411" i="23"/>
  <c r="AG411" i="23"/>
  <c r="AH411" i="23"/>
  <c r="AI411" i="23"/>
  <c r="AL411" i="23"/>
  <c r="AM411" i="23"/>
  <c r="AN411" i="23"/>
  <c r="AS411" i="23"/>
  <c r="AW411" i="23"/>
  <c r="AX411" i="23"/>
  <c r="BF411" i="23"/>
  <c r="C412" i="23"/>
  <c r="D412" i="23"/>
  <c r="E412" i="23"/>
  <c r="F412" i="23"/>
  <c r="N412" i="23"/>
  <c r="O412" i="23"/>
  <c r="P412" i="23"/>
  <c r="R412" i="23"/>
  <c r="X412" i="23"/>
  <c r="Y412" i="23"/>
  <c r="Z412" i="23"/>
  <c r="AF412" i="23"/>
  <c r="AG412" i="23"/>
  <c r="AH412" i="23"/>
  <c r="AL412" i="23"/>
  <c r="AM412" i="23"/>
  <c r="AN412" i="23"/>
  <c r="AS412" i="23"/>
  <c r="AW412" i="23"/>
  <c r="AX412" i="23"/>
  <c r="BF412" i="23"/>
  <c r="C413" i="23"/>
  <c r="D413" i="23"/>
  <c r="E413" i="23"/>
  <c r="F413" i="23"/>
  <c r="N413" i="23"/>
  <c r="O413" i="23"/>
  <c r="P413" i="23"/>
  <c r="R413" i="23"/>
  <c r="X413" i="23"/>
  <c r="Y413" i="23"/>
  <c r="Z413" i="23"/>
  <c r="AF413" i="23"/>
  <c r="AG413" i="23"/>
  <c r="AH413" i="23"/>
  <c r="AI413" i="23"/>
  <c r="AL413" i="23"/>
  <c r="AM413" i="23"/>
  <c r="AN413" i="23"/>
  <c r="AS413" i="23"/>
  <c r="AW413" i="23"/>
  <c r="AX413" i="23"/>
  <c r="BF413" i="23"/>
  <c r="C414" i="23"/>
  <c r="D414" i="23"/>
  <c r="E414" i="23"/>
  <c r="F414" i="23"/>
  <c r="N414" i="23"/>
  <c r="O414" i="23"/>
  <c r="P414" i="23"/>
  <c r="R414" i="23"/>
  <c r="X414" i="23"/>
  <c r="Y414" i="23"/>
  <c r="Z414" i="23"/>
  <c r="AF414" i="23"/>
  <c r="AG414" i="23"/>
  <c r="AH414" i="23"/>
  <c r="AL414" i="23"/>
  <c r="AM414" i="23"/>
  <c r="AN414" i="23"/>
  <c r="AS414" i="23"/>
  <c r="AW414" i="23"/>
  <c r="AX414" i="23"/>
  <c r="BF414" i="23"/>
  <c r="C415" i="23"/>
  <c r="D415" i="23"/>
  <c r="E415" i="23"/>
  <c r="F415" i="23"/>
  <c r="N415" i="23"/>
  <c r="O415" i="23"/>
  <c r="P415" i="23"/>
  <c r="R415" i="23"/>
  <c r="X415" i="23"/>
  <c r="Y415" i="23"/>
  <c r="Z415" i="23"/>
  <c r="AF415" i="23"/>
  <c r="AG415" i="23"/>
  <c r="AH415" i="23"/>
  <c r="AI415" i="23"/>
  <c r="AL415" i="23"/>
  <c r="AM415" i="23"/>
  <c r="AN415" i="23"/>
  <c r="AS415" i="23"/>
  <c r="AW415" i="23"/>
  <c r="AX415" i="23"/>
  <c r="BF415" i="23"/>
  <c r="C416" i="23"/>
  <c r="D416" i="23"/>
  <c r="E416" i="23"/>
  <c r="F416" i="23"/>
  <c r="N416" i="23"/>
  <c r="O416" i="23"/>
  <c r="P416" i="23"/>
  <c r="R416" i="23"/>
  <c r="X416" i="23"/>
  <c r="Y416" i="23"/>
  <c r="Z416" i="23"/>
  <c r="AF416" i="23"/>
  <c r="AG416" i="23"/>
  <c r="AH416" i="23"/>
  <c r="AL416" i="23"/>
  <c r="AM416" i="23"/>
  <c r="AN416" i="23"/>
  <c r="AS416" i="23"/>
  <c r="AW416" i="23"/>
  <c r="AX416" i="23"/>
  <c r="BF416" i="23"/>
  <c r="C417" i="23"/>
  <c r="D417" i="23"/>
  <c r="E417" i="23"/>
  <c r="F417" i="23"/>
  <c r="N417" i="23"/>
  <c r="O417" i="23"/>
  <c r="P417" i="23"/>
  <c r="R417" i="23"/>
  <c r="X417" i="23"/>
  <c r="Y417" i="23"/>
  <c r="Z417" i="23"/>
  <c r="AF417" i="23"/>
  <c r="AG417" i="23"/>
  <c r="AH417" i="23"/>
  <c r="AI417" i="23"/>
  <c r="AL417" i="23"/>
  <c r="AM417" i="23"/>
  <c r="AN417" i="23"/>
  <c r="AS417" i="23"/>
  <c r="AW417" i="23"/>
  <c r="AX417" i="23"/>
  <c r="BF417" i="23"/>
  <c r="C418" i="23"/>
  <c r="D418" i="23"/>
  <c r="E418" i="23"/>
  <c r="F418" i="23"/>
  <c r="N418" i="23"/>
  <c r="O418" i="23"/>
  <c r="P418" i="23"/>
  <c r="R418" i="23"/>
  <c r="X418" i="23"/>
  <c r="Y418" i="23"/>
  <c r="Z418" i="23"/>
  <c r="AF418" i="23"/>
  <c r="AG418" i="23"/>
  <c r="AH418" i="23"/>
  <c r="AL418" i="23"/>
  <c r="AM418" i="23"/>
  <c r="AN418" i="23"/>
  <c r="AS418" i="23"/>
  <c r="AW418" i="23"/>
  <c r="AX418" i="23"/>
  <c r="BF418" i="23"/>
  <c r="C419" i="23"/>
  <c r="D419" i="23"/>
  <c r="E419" i="23"/>
  <c r="F419" i="23"/>
  <c r="N419" i="23"/>
  <c r="O419" i="23"/>
  <c r="P419" i="23"/>
  <c r="R419" i="23"/>
  <c r="X419" i="23"/>
  <c r="Y419" i="23"/>
  <c r="Z419" i="23"/>
  <c r="AF419" i="23"/>
  <c r="AG419" i="23"/>
  <c r="AH419" i="23"/>
  <c r="AI419" i="23"/>
  <c r="AL419" i="23"/>
  <c r="AM419" i="23"/>
  <c r="AN419" i="23"/>
  <c r="AS419" i="23"/>
  <c r="AW419" i="23"/>
  <c r="AX419" i="23"/>
  <c r="BF419" i="23"/>
  <c r="C420" i="23"/>
  <c r="D420" i="23"/>
  <c r="E420" i="23"/>
  <c r="F420" i="23"/>
  <c r="N420" i="23"/>
  <c r="O420" i="23"/>
  <c r="P420" i="23"/>
  <c r="R420" i="23"/>
  <c r="X420" i="23"/>
  <c r="Y420" i="23"/>
  <c r="Z420" i="23"/>
  <c r="AG420" i="23"/>
  <c r="AH420" i="23"/>
  <c r="AL420" i="23"/>
  <c r="AM420" i="23"/>
  <c r="AN420" i="23"/>
  <c r="AS420" i="23"/>
  <c r="AW420" i="23"/>
  <c r="AX420" i="23"/>
  <c r="BF420" i="23"/>
  <c r="C421" i="23"/>
  <c r="D421" i="23"/>
  <c r="E421" i="23"/>
  <c r="F421" i="23"/>
  <c r="N421" i="23"/>
  <c r="O421" i="23"/>
  <c r="P421" i="23"/>
  <c r="R421" i="23"/>
  <c r="X421" i="23"/>
  <c r="Y421" i="23"/>
  <c r="Z421" i="23"/>
  <c r="AF421" i="23"/>
  <c r="AG421" i="23"/>
  <c r="AH421" i="23"/>
  <c r="AI421" i="23"/>
  <c r="AL421" i="23"/>
  <c r="AM421" i="23"/>
  <c r="AN421" i="23"/>
  <c r="AS421" i="23"/>
  <c r="AW421" i="23"/>
  <c r="AX421" i="23"/>
  <c r="BF421" i="23"/>
  <c r="C422" i="23"/>
  <c r="D422" i="23"/>
  <c r="E422" i="23"/>
  <c r="F422" i="23"/>
  <c r="N422" i="23"/>
  <c r="O422" i="23"/>
  <c r="P422" i="23"/>
  <c r="R422" i="23"/>
  <c r="X422" i="23"/>
  <c r="Y422" i="23"/>
  <c r="Z422" i="23"/>
  <c r="AG422" i="23"/>
  <c r="AH422" i="23"/>
  <c r="AL422" i="23"/>
  <c r="AM422" i="23"/>
  <c r="AN422" i="23"/>
  <c r="AS422" i="23"/>
  <c r="AW422" i="23"/>
  <c r="AX422" i="23"/>
  <c r="BF422" i="23"/>
  <c r="C423" i="23"/>
  <c r="D423" i="23"/>
  <c r="E423" i="23"/>
  <c r="F423" i="23"/>
  <c r="N423" i="23"/>
  <c r="O423" i="23"/>
  <c r="P423" i="23"/>
  <c r="R423" i="23"/>
  <c r="X423" i="23"/>
  <c r="Y423" i="23"/>
  <c r="Z423" i="23"/>
  <c r="AF423" i="23"/>
  <c r="AG423" i="23"/>
  <c r="AH423" i="23"/>
  <c r="AI423" i="23"/>
  <c r="AL423" i="23"/>
  <c r="AM423" i="23"/>
  <c r="AN423" i="23"/>
  <c r="AS423" i="23"/>
  <c r="AW423" i="23"/>
  <c r="AX423" i="23"/>
  <c r="BF423" i="23"/>
  <c r="C424" i="23"/>
  <c r="D424" i="23"/>
  <c r="E424" i="23"/>
  <c r="F424" i="23"/>
  <c r="N424" i="23"/>
  <c r="O424" i="23"/>
  <c r="P424" i="23"/>
  <c r="R424" i="23"/>
  <c r="X424" i="23"/>
  <c r="Y424" i="23"/>
  <c r="Z424" i="23"/>
  <c r="AF424" i="23"/>
  <c r="AG424" i="23"/>
  <c r="AH424" i="23"/>
  <c r="AL424" i="23"/>
  <c r="AM424" i="23"/>
  <c r="AN424" i="23"/>
  <c r="AS424" i="23"/>
  <c r="AW424" i="23"/>
  <c r="AX424" i="23"/>
  <c r="BF424" i="23"/>
  <c r="C425" i="23"/>
  <c r="D425" i="23"/>
  <c r="E425" i="23"/>
  <c r="F425" i="23"/>
  <c r="N425" i="23"/>
  <c r="O425" i="23"/>
  <c r="P425" i="23"/>
  <c r="R425" i="23"/>
  <c r="X425" i="23"/>
  <c r="Y425" i="23"/>
  <c r="Z425" i="23"/>
  <c r="AF425" i="23"/>
  <c r="AG425" i="23"/>
  <c r="AH425" i="23"/>
  <c r="AI425" i="23"/>
  <c r="AL425" i="23"/>
  <c r="AM425" i="23"/>
  <c r="AN425" i="23"/>
  <c r="AS425" i="23"/>
  <c r="AW425" i="23"/>
  <c r="AX425" i="23"/>
  <c r="BF425" i="23"/>
  <c r="C426" i="23"/>
  <c r="D426" i="23"/>
  <c r="E426" i="23"/>
  <c r="F426" i="23"/>
  <c r="N426" i="23"/>
  <c r="O426" i="23"/>
  <c r="P426" i="23"/>
  <c r="R426" i="23"/>
  <c r="X426" i="23"/>
  <c r="Y426" i="23"/>
  <c r="Z426" i="23"/>
  <c r="AF426" i="23"/>
  <c r="AG426" i="23"/>
  <c r="AH426" i="23"/>
  <c r="AI426" i="23"/>
  <c r="AL426" i="23"/>
  <c r="AM426" i="23"/>
  <c r="AN426" i="23"/>
  <c r="AS426" i="23"/>
  <c r="AW426" i="23"/>
  <c r="AX426" i="23"/>
  <c r="BF426" i="23"/>
  <c r="C427" i="23"/>
  <c r="D427" i="23"/>
  <c r="E427" i="23"/>
  <c r="F427" i="23"/>
  <c r="N427" i="23"/>
  <c r="O427" i="23"/>
  <c r="P427" i="23"/>
  <c r="R427" i="23"/>
  <c r="X427" i="23"/>
  <c r="Y427" i="23"/>
  <c r="Z427" i="23"/>
  <c r="AF427" i="23"/>
  <c r="AG427" i="23"/>
  <c r="AH427" i="23"/>
  <c r="AL427" i="23"/>
  <c r="AM427" i="23"/>
  <c r="AN427" i="23"/>
  <c r="AS427" i="23"/>
  <c r="AW427" i="23"/>
  <c r="AX427" i="23"/>
  <c r="BF427" i="23"/>
  <c r="C428" i="23"/>
  <c r="D428" i="23"/>
  <c r="E428" i="23"/>
  <c r="F428" i="23"/>
  <c r="N428" i="23"/>
  <c r="O428" i="23"/>
  <c r="P428" i="23"/>
  <c r="R428" i="23"/>
  <c r="X428" i="23"/>
  <c r="Y428" i="23"/>
  <c r="Z428" i="23"/>
  <c r="AF428" i="23"/>
  <c r="AG428" i="23"/>
  <c r="AH428" i="23"/>
  <c r="AI428" i="23"/>
  <c r="AL428" i="23"/>
  <c r="AM428" i="23"/>
  <c r="AN428" i="23"/>
  <c r="AS428" i="23"/>
  <c r="AW428" i="23"/>
  <c r="AX428" i="23"/>
  <c r="BF428" i="23"/>
  <c r="C429" i="23"/>
  <c r="D429" i="23"/>
  <c r="E429" i="23"/>
  <c r="F429" i="23"/>
  <c r="N429" i="23"/>
  <c r="O429" i="23"/>
  <c r="P429" i="23"/>
  <c r="R429" i="23"/>
  <c r="X429" i="23"/>
  <c r="Y429" i="23"/>
  <c r="Z429" i="23"/>
  <c r="AF429" i="23"/>
  <c r="AG429" i="23"/>
  <c r="AH429" i="23"/>
  <c r="AI429" i="23"/>
  <c r="AL429" i="23"/>
  <c r="AM429" i="23"/>
  <c r="AN429" i="23"/>
  <c r="AS429" i="23"/>
  <c r="AW429" i="23"/>
  <c r="AX429" i="23"/>
  <c r="BF429" i="23"/>
  <c r="C430" i="23"/>
  <c r="D430" i="23"/>
  <c r="E430" i="23"/>
  <c r="F430" i="23"/>
  <c r="N430" i="23"/>
  <c r="O430" i="23"/>
  <c r="P430" i="23"/>
  <c r="R430" i="23"/>
  <c r="X430" i="23"/>
  <c r="Y430" i="23"/>
  <c r="Z430" i="23"/>
  <c r="AF430" i="23"/>
  <c r="AG430" i="23"/>
  <c r="AH430" i="23"/>
  <c r="AL430" i="23"/>
  <c r="AM430" i="23"/>
  <c r="AN430" i="23"/>
  <c r="AS430" i="23"/>
  <c r="AW430" i="23"/>
  <c r="AX430" i="23"/>
  <c r="BF430" i="23"/>
  <c r="C431" i="23"/>
  <c r="D431" i="23"/>
  <c r="E431" i="23"/>
  <c r="F431" i="23"/>
  <c r="N431" i="23"/>
  <c r="O431" i="23"/>
  <c r="P431" i="23"/>
  <c r="R431" i="23"/>
  <c r="X431" i="23"/>
  <c r="Y431" i="23"/>
  <c r="Z431" i="23"/>
  <c r="AF431" i="23"/>
  <c r="AG431" i="23"/>
  <c r="AH431" i="23"/>
  <c r="AI431" i="23"/>
  <c r="AL431" i="23"/>
  <c r="AM431" i="23"/>
  <c r="AN431" i="23"/>
  <c r="AS431" i="23"/>
  <c r="AW431" i="23"/>
  <c r="AX431" i="23"/>
  <c r="BF431" i="23"/>
  <c r="C432" i="23"/>
  <c r="D432" i="23"/>
  <c r="E432" i="23"/>
  <c r="F432" i="23"/>
  <c r="N432" i="23"/>
  <c r="O432" i="23"/>
  <c r="P432" i="23"/>
  <c r="R432" i="23"/>
  <c r="X432" i="23"/>
  <c r="Y432" i="23"/>
  <c r="Z432" i="23"/>
  <c r="AF432" i="23"/>
  <c r="AG432" i="23"/>
  <c r="AH432" i="23"/>
  <c r="AL432" i="23"/>
  <c r="AM432" i="23"/>
  <c r="AN432" i="23"/>
  <c r="AS432" i="23"/>
  <c r="AW432" i="23"/>
  <c r="AX432" i="23"/>
  <c r="BF432" i="23"/>
  <c r="E4" i="49"/>
  <c r="G516" i="3"/>
  <c r="E516" i="3"/>
  <c r="D516" i="3"/>
  <c r="C516" i="3"/>
  <c r="A516" i="3"/>
  <c r="G515" i="3"/>
  <c r="E515" i="3"/>
  <c r="D515" i="3"/>
  <c r="C515" i="3"/>
  <c r="A515" i="3"/>
  <c r="G514" i="3"/>
  <c r="E514" i="3"/>
  <c r="D514" i="3"/>
  <c r="C514" i="3"/>
  <c r="A514" i="3"/>
  <c r="G513" i="3"/>
  <c r="E513" i="3"/>
  <c r="D513" i="3"/>
  <c r="C513" i="3"/>
  <c r="A513" i="3"/>
  <c r="G512" i="3"/>
  <c r="E512" i="3"/>
  <c r="D512" i="3"/>
  <c r="C512" i="3"/>
  <c r="A512" i="3"/>
  <c r="G511" i="3"/>
  <c r="E511" i="3"/>
  <c r="D511" i="3"/>
  <c r="C511" i="3"/>
  <c r="A511" i="3"/>
  <c r="G510" i="3"/>
  <c r="E510" i="3"/>
  <c r="D510" i="3"/>
  <c r="C510" i="3"/>
  <c r="A510" i="3"/>
  <c r="G509" i="3"/>
  <c r="E509" i="3"/>
  <c r="D509" i="3"/>
  <c r="C509" i="3"/>
  <c r="A509" i="3"/>
  <c r="G508" i="3"/>
  <c r="E508" i="3"/>
  <c r="D508" i="3"/>
  <c r="C508" i="3"/>
  <c r="A508" i="3"/>
  <c r="G507" i="3"/>
  <c r="E507" i="3"/>
  <c r="D507" i="3"/>
  <c r="C507" i="3"/>
  <c r="A507" i="3"/>
  <c r="G506" i="3"/>
  <c r="E506" i="3"/>
  <c r="D506" i="3"/>
  <c r="C506" i="3"/>
  <c r="A506" i="3"/>
  <c r="G505" i="3"/>
  <c r="E505" i="3"/>
  <c r="D505" i="3"/>
  <c r="C505" i="3"/>
  <c r="A505" i="3"/>
  <c r="G504" i="3"/>
  <c r="E504" i="3"/>
  <c r="D504" i="3"/>
  <c r="C504" i="3"/>
  <c r="A504" i="3"/>
  <c r="G503" i="3"/>
  <c r="E503" i="3"/>
  <c r="D503" i="3"/>
  <c r="C503" i="3"/>
  <c r="A503" i="3"/>
  <c r="G502" i="3"/>
  <c r="E502" i="3"/>
  <c r="D502" i="3"/>
  <c r="C502" i="3"/>
  <c r="A502" i="3"/>
  <c r="G501" i="3"/>
  <c r="E501" i="3"/>
  <c r="D501" i="3"/>
  <c r="C501" i="3"/>
  <c r="A501" i="3"/>
  <c r="G500" i="3"/>
  <c r="E500" i="3"/>
  <c r="D500" i="3"/>
  <c r="C500" i="3"/>
  <c r="A500" i="3"/>
  <c r="G499" i="3"/>
  <c r="E499" i="3"/>
  <c r="D499" i="3"/>
  <c r="C499" i="3"/>
  <c r="A499" i="3"/>
  <c r="F496" i="3"/>
  <c r="F497" i="3"/>
  <c r="F498" i="3"/>
  <c r="G498" i="3"/>
  <c r="E498" i="3"/>
  <c r="D498" i="3"/>
  <c r="C498" i="3"/>
  <c r="A498" i="3"/>
  <c r="G497" i="3"/>
  <c r="E497" i="3"/>
  <c r="D497" i="3"/>
  <c r="C497" i="3"/>
  <c r="A497" i="3"/>
  <c r="G496" i="3"/>
  <c r="E496" i="3"/>
  <c r="D496" i="3"/>
  <c r="C496" i="3"/>
  <c r="A496" i="3"/>
  <c r="G495" i="3"/>
  <c r="E495" i="3"/>
  <c r="D495" i="3"/>
  <c r="C495" i="3"/>
  <c r="A495" i="3"/>
  <c r="AK2" i="23"/>
  <c r="AI3" i="23"/>
  <c r="AK3" i="23"/>
  <c r="AK4" i="23"/>
  <c r="AI5" i="23"/>
  <c r="AK5" i="23"/>
  <c r="AK6" i="23"/>
  <c r="AI7" i="23"/>
  <c r="AK7" i="23"/>
  <c r="AK8" i="23"/>
  <c r="AI9" i="23"/>
  <c r="AK9" i="23"/>
  <c r="AK10" i="23"/>
  <c r="AI11" i="23"/>
  <c r="AK11" i="23"/>
  <c r="AK12" i="23"/>
  <c r="AI13" i="23"/>
  <c r="AK13" i="23"/>
  <c r="AK14" i="23"/>
  <c r="AI15" i="23"/>
  <c r="AK15" i="23"/>
  <c r="AK16" i="23"/>
  <c r="AI17" i="23"/>
  <c r="AK17" i="23"/>
  <c r="AK18" i="23"/>
  <c r="AI19" i="23"/>
  <c r="AK19" i="23"/>
  <c r="AK20" i="23"/>
  <c r="AI21" i="23"/>
  <c r="AK21" i="23"/>
  <c r="AK22" i="23"/>
  <c r="AI23" i="23"/>
  <c r="AK23" i="23"/>
  <c r="AK24" i="23"/>
  <c r="AI25" i="23"/>
  <c r="AK25" i="23"/>
  <c r="AK26" i="23"/>
  <c r="AI27" i="23"/>
  <c r="AK27" i="23"/>
  <c r="AK28" i="23"/>
  <c r="AI29" i="23"/>
  <c r="AK29" i="23"/>
  <c r="AK30" i="23"/>
  <c r="AI31" i="23"/>
  <c r="AK31" i="23"/>
  <c r="AK32" i="23"/>
  <c r="AI33" i="23"/>
  <c r="AK33" i="23"/>
  <c r="AK34" i="23"/>
  <c r="AI35" i="23"/>
  <c r="AK35" i="23"/>
  <c r="AK36" i="23"/>
  <c r="AI37" i="23"/>
  <c r="AK37" i="23"/>
  <c r="AK38" i="23"/>
  <c r="AI39" i="23"/>
  <c r="AK39" i="23"/>
  <c r="AK40" i="23"/>
  <c r="AI41" i="23"/>
  <c r="AK41" i="23"/>
  <c r="AK42" i="23"/>
  <c r="AI43" i="23"/>
  <c r="AK43" i="23"/>
  <c r="AK44" i="23"/>
  <c r="AI45" i="23"/>
  <c r="AK45" i="23"/>
  <c r="AK46" i="23"/>
  <c r="AI47" i="23"/>
  <c r="AK47" i="23"/>
  <c r="AK48" i="23"/>
  <c r="AI49" i="23"/>
  <c r="AK49" i="23"/>
  <c r="AK50" i="23"/>
  <c r="AI51" i="23"/>
  <c r="AK51" i="23"/>
  <c r="AK52" i="23"/>
  <c r="AI53" i="23"/>
  <c r="AK53" i="23"/>
  <c r="AK54" i="23"/>
  <c r="AI55" i="23"/>
  <c r="AK55" i="23"/>
  <c r="AK56" i="23"/>
  <c r="AI57" i="23"/>
  <c r="AK57" i="23"/>
  <c r="AK58" i="23"/>
  <c r="AI59" i="23"/>
  <c r="AK59" i="23"/>
  <c r="AK60" i="23"/>
  <c r="AI61" i="23"/>
  <c r="AK61" i="23"/>
  <c r="AK62" i="23"/>
  <c r="AI63" i="23"/>
  <c r="AK63" i="23"/>
  <c r="AK64" i="23"/>
  <c r="AI65" i="23"/>
  <c r="AK65" i="23"/>
  <c r="AK66" i="23"/>
  <c r="AK67" i="23"/>
  <c r="AI68" i="23"/>
  <c r="AK68" i="23"/>
  <c r="AK69" i="23"/>
  <c r="AK70" i="23"/>
  <c r="AI71" i="23"/>
  <c r="AK71" i="23"/>
  <c r="AK72" i="23"/>
  <c r="AK73" i="23"/>
  <c r="AI74" i="23"/>
  <c r="AK74" i="23"/>
  <c r="AK75" i="23"/>
  <c r="AK76" i="23"/>
  <c r="AI77" i="23"/>
  <c r="AK77" i="23"/>
  <c r="AK78" i="23"/>
  <c r="AI79" i="23"/>
  <c r="AK79" i="23"/>
  <c r="AK80" i="23"/>
  <c r="AI81" i="23"/>
  <c r="AK81" i="23"/>
  <c r="AK82" i="23"/>
  <c r="AI83" i="23"/>
  <c r="AK83" i="23"/>
  <c r="AK84" i="23"/>
  <c r="AK85" i="23"/>
  <c r="AK86" i="23"/>
  <c r="AK87" i="23"/>
  <c r="AI88" i="23"/>
  <c r="AK88" i="23"/>
  <c r="AK89" i="23"/>
  <c r="AK90" i="23"/>
  <c r="AI91" i="23"/>
  <c r="AK91" i="23"/>
  <c r="AK92" i="23"/>
  <c r="AK93" i="23"/>
  <c r="AI94" i="23"/>
  <c r="AK94" i="23"/>
  <c r="AK95" i="23"/>
  <c r="AK96" i="23"/>
  <c r="AI97" i="23"/>
  <c r="AK97" i="23"/>
  <c r="AI98" i="23"/>
  <c r="AK98" i="23"/>
  <c r="AI99" i="23"/>
  <c r="AK99" i="23"/>
  <c r="AI100" i="23"/>
  <c r="AK100" i="23"/>
  <c r="AI101" i="23"/>
  <c r="AK101" i="23"/>
  <c r="AI102" i="23"/>
  <c r="AK102" i="23"/>
  <c r="AI103" i="23"/>
  <c r="AK103" i="23"/>
  <c r="AI104" i="23"/>
  <c r="AK104" i="23"/>
  <c r="AI105" i="23"/>
  <c r="AK105" i="23"/>
  <c r="AI106" i="23"/>
  <c r="AK106" i="23"/>
  <c r="AI107" i="23"/>
  <c r="AK107" i="23"/>
  <c r="AI108" i="23"/>
  <c r="AK108" i="23"/>
  <c r="AI109" i="23"/>
  <c r="AK109" i="23"/>
  <c r="AI110" i="23"/>
  <c r="AK110" i="23"/>
  <c r="AI111" i="23"/>
  <c r="AK111" i="23"/>
  <c r="AI112" i="23"/>
  <c r="AK112" i="23"/>
  <c r="AI113" i="23"/>
  <c r="AK113" i="23"/>
  <c r="AI114" i="23"/>
  <c r="AK114" i="23"/>
  <c r="AI115" i="23"/>
  <c r="AK115" i="23"/>
  <c r="AI116" i="23"/>
  <c r="AK116" i="23"/>
  <c r="AI117" i="23"/>
  <c r="AK117" i="23"/>
  <c r="AI118" i="23"/>
  <c r="AK118" i="23"/>
  <c r="AI119" i="23"/>
  <c r="AK119" i="23"/>
  <c r="AI120" i="23"/>
  <c r="AK120" i="23"/>
  <c r="AI121" i="23"/>
  <c r="AK121" i="23"/>
  <c r="AK122" i="23"/>
  <c r="AK123" i="23"/>
  <c r="AK124" i="23"/>
  <c r="AI125" i="23"/>
  <c r="AK125" i="23"/>
  <c r="AK126" i="23"/>
  <c r="AK127" i="23"/>
  <c r="AI128" i="23"/>
  <c r="AK128" i="23"/>
  <c r="AK129" i="23"/>
  <c r="AI130" i="23"/>
  <c r="AI132" i="23"/>
  <c r="AI134" i="23"/>
  <c r="AI136" i="23"/>
  <c r="AI138" i="23"/>
  <c r="AI140" i="23"/>
  <c r="AI142" i="23"/>
  <c r="AI144" i="23"/>
  <c r="AI146" i="23"/>
  <c r="AI148" i="23"/>
  <c r="AI150" i="23"/>
  <c r="AI152" i="23"/>
  <c r="AI154" i="23"/>
  <c r="AI156" i="23"/>
  <c r="AI158" i="23"/>
  <c r="AI160" i="23"/>
  <c r="AI162" i="23"/>
  <c r="AI164" i="23"/>
  <c r="AI166" i="23"/>
  <c r="AI169" i="23"/>
  <c r="AI172" i="23"/>
  <c r="AI175" i="23"/>
  <c r="AI178" i="23"/>
  <c r="AI181" i="23"/>
  <c r="AI184" i="23"/>
  <c r="AI187" i="23"/>
  <c r="AI190" i="23"/>
  <c r="AI193" i="23"/>
  <c r="AK194" i="23"/>
  <c r="AK195" i="23"/>
  <c r="AI196" i="23"/>
  <c r="AK196" i="23"/>
  <c r="AK197" i="23"/>
  <c r="AK198" i="23"/>
  <c r="AI199" i="23"/>
  <c r="AK199" i="23"/>
  <c r="AK200" i="23"/>
  <c r="AK201" i="23"/>
  <c r="AI202" i="23"/>
  <c r="AK202" i="23"/>
  <c r="AK203" i="23"/>
  <c r="AK204" i="23"/>
  <c r="AI205" i="23"/>
  <c r="AK205" i="23"/>
  <c r="AK206" i="23"/>
  <c r="AK207" i="23"/>
  <c r="AI208" i="23"/>
  <c r="AK208" i="23"/>
  <c r="AK209" i="23"/>
  <c r="AK210" i="23"/>
  <c r="AI211" i="23"/>
  <c r="AK211" i="23"/>
  <c r="AK212" i="23"/>
  <c r="AK213" i="23"/>
  <c r="AI214" i="23"/>
  <c r="AK214" i="23"/>
  <c r="AK215" i="23"/>
  <c r="AK216" i="23"/>
  <c r="AI217" i="23"/>
  <c r="AK217" i="23"/>
  <c r="AK218" i="23"/>
  <c r="AK219" i="23"/>
  <c r="AI220" i="23"/>
  <c r="AK220" i="23"/>
  <c r="AK221" i="23"/>
  <c r="AK222" i="23"/>
  <c r="AI223" i="23"/>
  <c r="AK223" i="23"/>
  <c r="AK224" i="23"/>
  <c r="AK225" i="23"/>
  <c r="AI226" i="23"/>
  <c r="AK226" i="23"/>
  <c r="AK227" i="23"/>
  <c r="AK228" i="23"/>
  <c r="AI229" i="23"/>
  <c r="AK229" i="23"/>
  <c r="AK230" i="23"/>
  <c r="AK231" i="23"/>
  <c r="AI232" i="23"/>
  <c r="AK232" i="23"/>
  <c r="AK233" i="23"/>
  <c r="AK234" i="23"/>
  <c r="AI235" i="23"/>
  <c r="AK235" i="23"/>
  <c r="AK236" i="23"/>
  <c r="AK237" i="23"/>
  <c r="AI238" i="23"/>
  <c r="AK238" i="23"/>
  <c r="AK239" i="23"/>
  <c r="AK240" i="23"/>
  <c r="AI241" i="23"/>
  <c r="AK241" i="23"/>
  <c r="AK242" i="23"/>
  <c r="AK243" i="23"/>
  <c r="AI244" i="23"/>
  <c r="AK244" i="23"/>
  <c r="AK245" i="23"/>
  <c r="AK246" i="23"/>
  <c r="AI247" i="23"/>
  <c r="AK247" i="23"/>
  <c r="AK248" i="23"/>
  <c r="AK249" i="23"/>
  <c r="AI250" i="23"/>
  <c r="AK250" i="23"/>
  <c r="AK251" i="23"/>
  <c r="AK252" i="23"/>
  <c r="AI253" i="23"/>
  <c r="AK253" i="23"/>
  <c r="AK254" i="23"/>
  <c r="AK255" i="23"/>
  <c r="AI256" i="23"/>
  <c r="AK256" i="23"/>
  <c r="AK257" i="23"/>
  <c r="AK258" i="23"/>
  <c r="AI259" i="23"/>
  <c r="AK259" i="23"/>
  <c r="AK260" i="23"/>
  <c r="AK261" i="23"/>
  <c r="AI262" i="23"/>
  <c r="AK262" i="23"/>
  <c r="AK263" i="23"/>
  <c r="AI264" i="23"/>
  <c r="AK264" i="23"/>
  <c r="AK265" i="23"/>
  <c r="AI266" i="23"/>
  <c r="AK266" i="23"/>
  <c r="AK267" i="23"/>
  <c r="AI268" i="23"/>
  <c r="AK268" i="23"/>
  <c r="AK269" i="23"/>
  <c r="AI270" i="23"/>
  <c r="AK270" i="23"/>
  <c r="AK271" i="23"/>
  <c r="AI272" i="23"/>
  <c r="AK272" i="23"/>
  <c r="AK273" i="23"/>
  <c r="AI274" i="23"/>
  <c r="AK274" i="23"/>
  <c r="AK275" i="23"/>
  <c r="AI276" i="23"/>
  <c r="AK276" i="23"/>
  <c r="AK277" i="23"/>
  <c r="AI278" i="23"/>
  <c r="AK278" i="23"/>
  <c r="AK279" i="23"/>
  <c r="AI280" i="23"/>
  <c r="AK280" i="23"/>
  <c r="AK281" i="23"/>
  <c r="AI282" i="23"/>
  <c r="AK282" i="23"/>
  <c r="AK283" i="23"/>
  <c r="AI284" i="23"/>
  <c r="AK284" i="23"/>
  <c r="AK285" i="23"/>
  <c r="AI286" i="23"/>
  <c r="AK286" i="23"/>
  <c r="AK287" i="23"/>
  <c r="AI288" i="23"/>
  <c r="AK288" i="23"/>
  <c r="AK289" i="23"/>
  <c r="AI290" i="23"/>
  <c r="AK290" i="23"/>
  <c r="AK291" i="23"/>
  <c r="AI292" i="23"/>
  <c r="AK292" i="23"/>
  <c r="AK293" i="23"/>
  <c r="AI294" i="23"/>
  <c r="AK294" i="23"/>
  <c r="AK295" i="23"/>
  <c r="AI296" i="23"/>
  <c r="AK296" i="23"/>
  <c r="AK297" i="23"/>
  <c r="AI298" i="23"/>
  <c r="AK298" i="23"/>
  <c r="AK299" i="23"/>
  <c r="AI300" i="23"/>
  <c r="AK300" i="23"/>
  <c r="AK301" i="23"/>
  <c r="AI302" i="23"/>
  <c r="AK302" i="23"/>
  <c r="AK303" i="23"/>
  <c r="AI304" i="23"/>
  <c r="AK304" i="23"/>
  <c r="AK305" i="23"/>
  <c r="AI306" i="23"/>
  <c r="AK306" i="23"/>
  <c r="AK307" i="23"/>
  <c r="AI308" i="23"/>
  <c r="AK308" i="23"/>
  <c r="AK309" i="23"/>
  <c r="AI310" i="23"/>
  <c r="AK310" i="23"/>
  <c r="AK311" i="23"/>
  <c r="AI312" i="23"/>
  <c r="AK312" i="23"/>
  <c r="AK313" i="23"/>
  <c r="AI314" i="23"/>
  <c r="AK314" i="23"/>
  <c r="AK315" i="23"/>
  <c r="AI316" i="23"/>
  <c r="AK316" i="23"/>
  <c r="AK317" i="23"/>
  <c r="AI318" i="23"/>
  <c r="AK318" i="23"/>
  <c r="AK319" i="23"/>
  <c r="AI320" i="23"/>
  <c r="AK320" i="23"/>
  <c r="AK321" i="23"/>
  <c r="AI322" i="23"/>
  <c r="AI324" i="23"/>
  <c r="AI326" i="23"/>
  <c r="AI328" i="23"/>
  <c r="AI330" i="23"/>
  <c r="AI332" i="23"/>
  <c r="AI335" i="23"/>
  <c r="AI336" i="23"/>
  <c r="AI339" i="23"/>
  <c r="AI340" i="23"/>
  <c r="AI343" i="23"/>
  <c r="AI344" i="23"/>
  <c r="AI347" i="23"/>
  <c r="AI348" i="23"/>
  <c r="AK349" i="23"/>
  <c r="AI350" i="23"/>
  <c r="AK350" i="23"/>
  <c r="AK351" i="23"/>
  <c r="AI352" i="23"/>
  <c r="AK352" i="23"/>
  <c r="AK353" i="23"/>
  <c r="AI354" i="23"/>
  <c r="AK355" i="23"/>
  <c r="AI356" i="23"/>
  <c r="AK356" i="23"/>
  <c r="AI357" i="23"/>
  <c r="AK357" i="23"/>
  <c r="AI358" i="23"/>
  <c r="AK358" i="23"/>
  <c r="AI359" i="23"/>
  <c r="AK359" i="23"/>
  <c r="AI360" i="23"/>
  <c r="AK360" i="23"/>
  <c r="AK361" i="23"/>
  <c r="AI362" i="23"/>
  <c r="AK362" i="23"/>
  <c r="AK363" i="23"/>
  <c r="AI364" i="23"/>
  <c r="AK364" i="23"/>
  <c r="AK365" i="23"/>
  <c r="AI366" i="23"/>
  <c r="AK366" i="23"/>
  <c r="AK367" i="23"/>
  <c r="AI368" i="23"/>
  <c r="AK368" i="23"/>
  <c r="AK369" i="23"/>
  <c r="AI370" i="23"/>
  <c r="AK370" i="23"/>
  <c r="AI371" i="23"/>
  <c r="AI372" i="23"/>
  <c r="AI373" i="23"/>
  <c r="AI374" i="23"/>
  <c r="AI375" i="23"/>
  <c r="AI376" i="23"/>
  <c r="AI377" i="23"/>
  <c r="AI378" i="23"/>
  <c r="AI380" i="23"/>
  <c r="AI383" i="23"/>
  <c r="AI385" i="23"/>
  <c r="AI387" i="23"/>
  <c r="AK389" i="23"/>
  <c r="AI390" i="23"/>
  <c r="AK390" i="23"/>
  <c r="AK391" i="23"/>
  <c r="AI392" i="23"/>
  <c r="AI395" i="23"/>
  <c r="AI398" i="23"/>
  <c r="AI400" i="23"/>
  <c r="AK401" i="23"/>
  <c r="AK402" i="23"/>
  <c r="AI403" i="23"/>
  <c r="AK403" i="23"/>
  <c r="AK404" i="23"/>
  <c r="AI405" i="23"/>
  <c r="AK405" i="23"/>
  <c r="AK406" i="23"/>
  <c r="AK407" i="23"/>
  <c r="AI408" i="23"/>
  <c r="AK408" i="23"/>
  <c r="AK409" i="23"/>
  <c r="AI410" i="23"/>
  <c r="AK410" i="23"/>
  <c r="AK411" i="23"/>
  <c r="AI412" i="23"/>
  <c r="AK412" i="23"/>
  <c r="AK413" i="23"/>
  <c r="AI414" i="23"/>
  <c r="AK414" i="23"/>
  <c r="AK415" i="23"/>
  <c r="AI416" i="23"/>
  <c r="AK416" i="23"/>
  <c r="AK417" i="23"/>
  <c r="AI418" i="23"/>
  <c r="AK418" i="23"/>
  <c r="AK419" i="23"/>
  <c r="AI420" i="23"/>
  <c r="AK420" i="23"/>
  <c r="AK421" i="23"/>
  <c r="AI422" i="23"/>
  <c r="AK422" i="23"/>
  <c r="AK423" i="23"/>
  <c r="AI424" i="23"/>
  <c r="AK424" i="23"/>
  <c r="AK425" i="23"/>
  <c r="AK426" i="23"/>
  <c r="AI427" i="23"/>
  <c r="AK427" i="23"/>
  <c r="AK428" i="23"/>
  <c r="AK429" i="23"/>
  <c r="AI430" i="23"/>
  <c r="AK430" i="23"/>
  <c r="AK431" i="23"/>
  <c r="AI432" i="23"/>
  <c r="AK432" i="23"/>
  <c r="B53" i="33"/>
  <c r="B54" i="33"/>
  <c r="B55" i="33"/>
  <c r="B52" i="33"/>
  <c r="B51" i="33"/>
  <c r="G494" i="3"/>
  <c r="E494" i="3"/>
  <c r="D494" i="3"/>
  <c r="C494" i="3"/>
  <c r="A494" i="3"/>
  <c r="G493" i="3"/>
  <c r="E493" i="3"/>
  <c r="D493" i="3"/>
  <c r="C493" i="3"/>
  <c r="A493" i="3"/>
  <c r="G492" i="3"/>
  <c r="E492" i="3"/>
  <c r="D492" i="3"/>
  <c r="C492" i="3"/>
  <c r="A492" i="3"/>
  <c r="AK130" i="23"/>
  <c r="AK131" i="23"/>
  <c r="AK132" i="23"/>
  <c r="AK133" i="23"/>
  <c r="AK134" i="23"/>
  <c r="AK135" i="23"/>
  <c r="AK136" i="23"/>
  <c r="AK137" i="23"/>
  <c r="AK138" i="23"/>
  <c r="AK139" i="23"/>
  <c r="AK140" i="23"/>
  <c r="AK141" i="23"/>
  <c r="AK142" i="23"/>
  <c r="AK143" i="23"/>
  <c r="AK144" i="23"/>
  <c r="AK145" i="23"/>
  <c r="AK146" i="23"/>
  <c r="AK147" i="23"/>
  <c r="AK148" i="23"/>
  <c r="AK149" i="23"/>
  <c r="AK150" i="23"/>
  <c r="AK151" i="23"/>
  <c r="AK152" i="23"/>
  <c r="AK153" i="23"/>
  <c r="AK154" i="23"/>
  <c r="AK155" i="23"/>
  <c r="AK156" i="23"/>
  <c r="AK157" i="23"/>
  <c r="AK158" i="23"/>
  <c r="AK159" i="23"/>
  <c r="AK160" i="23"/>
  <c r="AK161" i="23"/>
  <c r="AK162" i="23"/>
  <c r="AK163" i="23"/>
  <c r="AK164" i="23"/>
  <c r="AK165" i="23"/>
  <c r="AK166" i="23"/>
  <c r="AK167" i="23"/>
  <c r="AK168" i="23"/>
  <c r="AK169" i="23"/>
  <c r="AK170" i="23"/>
  <c r="AK171" i="23"/>
  <c r="AK172" i="23"/>
  <c r="AK173" i="23"/>
  <c r="AK174" i="23"/>
  <c r="AK175" i="23"/>
  <c r="AK176" i="23"/>
  <c r="AK177" i="23"/>
  <c r="AK178" i="23"/>
  <c r="AK179" i="23"/>
  <c r="AK180" i="23"/>
  <c r="AK181" i="23"/>
  <c r="AK182" i="23"/>
  <c r="AK183" i="23"/>
  <c r="AK184" i="23"/>
  <c r="AK185" i="23"/>
  <c r="AK186" i="23"/>
  <c r="AK187" i="23"/>
  <c r="AK188" i="23"/>
  <c r="AK189" i="23"/>
  <c r="AK190" i="23"/>
  <c r="AK191" i="23"/>
  <c r="AK192" i="23"/>
  <c r="AK193" i="23"/>
  <c r="AK322" i="23"/>
  <c r="AK323" i="23"/>
  <c r="AK324" i="23"/>
  <c r="AK325" i="23"/>
  <c r="AK326" i="23"/>
  <c r="AK327" i="23"/>
  <c r="AK328" i="23"/>
  <c r="AK329" i="23"/>
  <c r="AK330" i="23"/>
  <c r="AK331" i="23"/>
  <c r="AK332" i="23"/>
  <c r="AK333" i="23"/>
  <c r="AK334" i="23"/>
  <c r="AK335" i="23"/>
  <c r="AK336" i="23"/>
  <c r="AK337" i="23"/>
  <c r="AK338" i="23"/>
  <c r="AK339" i="23"/>
  <c r="AK340" i="23"/>
  <c r="AK341" i="23"/>
  <c r="AK342" i="23"/>
  <c r="AK343" i="23"/>
  <c r="AK344" i="23"/>
  <c r="AK345" i="23"/>
  <c r="AK346" i="23"/>
  <c r="AK347" i="23"/>
  <c r="AK348" i="23"/>
  <c r="AK354" i="23"/>
  <c r="AK371" i="23"/>
  <c r="AK372" i="23"/>
  <c r="AK373" i="23"/>
  <c r="AK374" i="23"/>
  <c r="AK375" i="23"/>
  <c r="AK376" i="23"/>
  <c r="AK377" i="23"/>
  <c r="AK378" i="23"/>
  <c r="AK379" i="23"/>
  <c r="AK380" i="23"/>
  <c r="AK381" i="23"/>
  <c r="AK382" i="23"/>
  <c r="AK383" i="23"/>
  <c r="AK384" i="23"/>
  <c r="AK385" i="23"/>
  <c r="AK386" i="23"/>
  <c r="AK387" i="23"/>
  <c r="AK388" i="23"/>
  <c r="AK392" i="23"/>
  <c r="AK393" i="23"/>
  <c r="AK394" i="23"/>
  <c r="AK395" i="23"/>
  <c r="AK396" i="23"/>
  <c r="AK397" i="23"/>
  <c r="AK398" i="23"/>
  <c r="AK399" i="23"/>
  <c r="AK400" i="23"/>
  <c r="F489" i="3"/>
  <c r="F490" i="3"/>
  <c r="F491" i="3"/>
  <c r="G491" i="3"/>
  <c r="E491" i="3"/>
  <c r="D491" i="3"/>
  <c r="C491" i="3"/>
  <c r="A491" i="3"/>
  <c r="G490" i="3"/>
  <c r="E490" i="3"/>
  <c r="D490" i="3"/>
  <c r="C490" i="3"/>
  <c r="A490" i="3"/>
  <c r="G489" i="3"/>
  <c r="E489" i="3"/>
  <c r="D489" i="3"/>
  <c r="C489" i="3"/>
  <c r="A489" i="3"/>
  <c r="G488" i="3"/>
  <c r="E488" i="3"/>
  <c r="D488" i="3"/>
  <c r="C488" i="3"/>
  <c r="A488" i="3"/>
  <c r="F485" i="3"/>
  <c r="F486" i="3"/>
  <c r="F487" i="3"/>
  <c r="G487" i="3"/>
  <c r="E487" i="3"/>
  <c r="D487" i="3"/>
  <c r="C487" i="3"/>
  <c r="A487" i="3"/>
  <c r="G486" i="3"/>
  <c r="E486" i="3"/>
  <c r="D486" i="3"/>
  <c r="C486" i="3"/>
  <c r="A486" i="3"/>
  <c r="G485" i="3"/>
  <c r="E485" i="3"/>
  <c r="D485" i="3"/>
  <c r="C485" i="3"/>
  <c r="A485" i="3"/>
  <c r="G484" i="3"/>
  <c r="E484" i="3"/>
  <c r="D484" i="3"/>
  <c r="C484" i="3"/>
  <c r="A484" i="3"/>
  <c r="G471" i="3"/>
  <c r="G467" i="3"/>
  <c r="B50" i="33"/>
  <c r="B49" i="33"/>
  <c r="B48" i="33"/>
  <c r="G466" i="3"/>
  <c r="G470" i="3"/>
  <c r="G483" i="3"/>
  <c r="E483" i="3"/>
  <c r="D483" i="3"/>
  <c r="C483" i="3"/>
  <c r="A483" i="3"/>
  <c r="G482" i="3"/>
  <c r="E482" i="3"/>
  <c r="D482" i="3"/>
  <c r="C482" i="3"/>
  <c r="A482" i="3"/>
  <c r="G481" i="3"/>
  <c r="E481" i="3"/>
  <c r="D481" i="3"/>
  <c r="C481" i="3"/>
  <c r="A481" i="3"/>
  <c r="G480" i="3"/>
  <c r="E480" i="3"/>
  <c r="D480" i="3"/>
  <c r="C480" i="3"/>
  <c r="A480" i="3"/>
  <c r="G479" i="3"/>
  <c r="E479" i="3"/>
  <c r="D479" i="3"/>
  <c r="C479" i="3"/>
  <c r="A479" i="3"/>
  <c r="G478" i="3"/>
  <c r="E478" i="3"/>
  <c r="D478" i="3"/>
  <c r="C478" i="3"/>
  <c r="A478" i="3"/>
  <c r="G477" i="3"/>
  <c r="E477" i="3"/>
  <c r="D477" i="3"/>
  <c r="C477" i="3"/>
  <c r="A477" i="3"/>
  <c r="B47" i="33"/>
  <c r="G463" i="3"/>
  <c r="E463" i="3"/>
  <c r="D463" i="3"/>
  <c r="C463" i="3"/>
  <c r="A463" i="3"/>
  <c r="G462" i="3"/>
  <c r="E462" i="3"/>
  <c r="D462" i="3"/>
  <c r="C462" i="3"/>
  <c r="A462" i="3"/>
  <c r="G461" i="3"/>
  <c r="E461" i="3"/>
  <c r="D461" i="3"/>
  <c r="C461" i="3"/>
  <c r="A461" i="3"/>
  <c r="G460" i="3"/>
  <c r="E460" i="3"/>
  <c r="D460" i="3"/>
  <c r="C460" i="3"/>
  <c r="A460" i="3"/>
  <c r="G459" i="3"/>
  <c r="E459" i="3"/>
  <c r="D459" i="3"/>
  <c r="C459" i="3"/>
  <c r="A459" i="3"/>
  <c r="E467" i="3"/>
  <c r="D467" i="3"/>
  <c r="C467" i="3"/>
  <c r="A467" i="3"/>
  <c r="E466" i="3"/>
  <c r="D466" i="3"/>
  <c r="C466" i="3"/>
  <c r="A466" i="3"/>
  <c r="G465" i="3"/>
  <c r="E465" i="3"/>
  <c r="D465" i="3"/>
  <c r="C465" i="3"/>
  <c r="A465" i="3"/>
  <c r="G464" i="3"/>
  <c r="E464" i="3"/>
  <c r="D464" i="3"/>
  <c r="C464" i="3"/>
  <c r="A464" i="3"/>
  <c r="A468" i="3"/>
  <c r="C468" i="3"/>
  <c r="D468" i="3"/>
  <c r="E468" i="3"/>
  <c r="G468" i="3"/>
  <c r="A446" i="3"/>
  <c r="C446" i="3"/>
  <c r="D446" i="3"/>
  <c r="E446" i="3"/>
  <c r="G446" i="3"/>
  <c r="A447" i="3"/>
  <c r="C447" i="3"/>
  <c r="D447" i="3"/>
  <c r="E447" i="3"/>
  <c r="G447" i="3"/>
  <c r="A448" i="3"/>
  <c r="C448" i="3"/>
  <c r="D448" i="3"/>
  <c r="E448" i="3"/>
  <c r="G448" i="3"/>
  <c r="A449" i="3"/>
  <c r="C449" i="3"/>
  <c r="D449" i="3"/>
  <c r="E449" i="3"/>
  <c r="G449" i="3"/>
  <c r="G476" i="3"/>
  <c r="E476" i="3"/>
  <c r="D476" i="3"/>
  <c r="C476" i="3"/>
  <c r="A476" i="3"/>
  <c r="G475" i="3"/>
  <c r="E475" i="3"/>
  <c r="D475" i="3"/>
  <c r="C475" i="3"/>
  <c r="A475" i="3"/>
  <c r="G474" i="3"/>
  <c r="E474" i="3"/>
  <c r="D474" i="3"/>
  <c r="C474" i="3"/>
  <c r="A474" i="3"/>
  <c r="G473" i="3"/>
  <c r="E473" i="3"/>
  <c r="D473" i="3"/>
  <c r="C473" i="3"/>
  <c r="A473" i="3"/>
  <c r="G472" i="3"/>
  <c r="E472" i="3"/>
  <c r="D472" i="3"/>
  <c r="C472" i="3"/>
  <c r="A472" i="3"/>
  <c r="E471" i="3"/>
  <c r="D471" i="3"/>
  <c r="C471" i="3"/>
  <c r="A471" i="3"/>
  <c r="E470" i="3"/>
  <c r="D470" i="3"/>
  <c r="C470" i="3"/>
  <c r="A470" i="3"/>
  <c r="G469" i="3"/>
  <c r="E469" i="3"/>
  <c r="D469" i="3"/>
  <c r="C469" i="3"/>
  <c r="A469" i="3"/>
  <c r="B46" i="33"/>
  <c r="B45" i="33"/>
  <c r="B44" i="33"/>
  <c r="B43" i="33"/>
  <c r="B42" i="33"/>
  <c r="B41" i="33"/>
  <c r="B40" i="33"/>
  <c r="F434" i="3"/>
  <c r="F435" i="3"/>
  <c r="F430" i="3"/>
  <c r="F431" i="3"/>
  <c r="F432" i="3"/>
  <c r="F427" i="3"/>
  <c r="F428" i="3"/>
  <c r="G439" i="3"/>
  <c r="E439" i="3"/>
  <c r="D439" i="3"/>
  <c r="C439" i="3"/>
  <c r="A439" i="3"/>
  <c r="G438" i="3"/>
  <c r="E438" i="3"/>
  <c r="D438" i="3"/>
  <c r="C438" i="3"/>
  <c r="A438" i="3"/>
  <c r="G437" i="3"/>
  <c r="E437" i="3"/>
  <c r="D437" i="3"/>
  <c r="C437" i="3"/>
  <c r="A437" i="3"/>
  <c r="G436" i="3"/>
  <c r="E436" i="3"/>
  <c r="D436" i="3"/>
  <c r="C436" i="3"/>
  <c r="A436" i="3"/>
  <c r="G435" i="3"/>
  <c r="E435" i="3"/>
  <c r="D435" i="3"/>
  <c r="C435" i="3"/>
  <c r="A435" i="3"/>
  <c r="G434" i="3"/>
  <c r="E434" i="3"/>
  <c r="D434" i="3"/>
  <c r="C434" i="3"/>
  <c r="A434" i="3"/>
  <c r="G433" i="3"/>
  <c r="E433" i="3"/>
  <c r="D433" i="3"/>
  <c r="C433" i="3"/>
  <c r="A433" i="3"/>
  <c r="G432" i="3"/>
  <c r="E432" i="3"/>
  <c r="D432" i="3"/>
  <c r="C432" i="3"/>
  <c r="A432" i="3"/>
  <c r="G431" i="3"/>
  <c r="E431" i="3"/>
  <c r="D431" i="3"/>
  <c r="C431" i="3"/>
  <c r="A431" i="3"/>
  <c r="G430" i="3"/>
  <c r="E430" i="3"/>
  <c r="D430" i="3"/>
  <c r="C430" i="3"/>
  <c r="A430" i="3"/>
  <c r="G429" i="3"/>
  <c r="E429" i="3"/>
  <c r="D429" i="3"/>
  <c r="C429" i="3"/>
  <c r="A429" i="3"/>
  <c r="G428" i="3"/>
  <c r="E428" i="3"/>
  <c r="D428" i="3"/>
  <c r="C428" i="3"/>
  <c r="A428" i="3"/>
  <c r="G427" i="3"/>
  <c r="E427" i="3"/>
  <c r="D427" i="3"/>
  <c r="C427" i="3"/>
  <c r="A427" i="3"/>
  <c r="G426" i="3"/>
  <c r="E426" i="3"/>
  <c r="D426" i="3"/>
  <c r="C426" i="3"/>
  <c r="A426" i="3"/>
  <c r="E11" i="49"/>
  <c r="E10" i="49"/>
  <c r="E9" i="49"/>
  <c r="E8" i="49"/>
  <c r="E7" i="49"/>
  <c r="E5" i="49"/>
  <c r="E3" i="49"/>
  <c r="E2" i="49"/>
  <c r="G458" i="3"/>
  <c r="E458" i="3"/>
  <c r="D458" i="3"/>
  <c r="C458" i="3"/>
  <c r="A458" i="3"/>
  <c r="G457" i="3"/>
  <c r="E457" i="3"/>
  <c r="D457" i="3"/>
  <c r="C457" i="3"/>
  <c r="A457" i="3"/>
  <c r="G456" i="3"/>
  <c r="E456" i="3"/>
  <c r="D456" i="3"/>
  <c r="C456" i="3"/>
  <c r="A456" i="3"/>
  <c r="G455" i="3"/>
  <c r="E455" i="3"/>
  <c r="D455" i="3"/>
  <c r="C455" i="3"/>
  <c r="A455" i="3"/>
  <c r="G454" i="3"/>
  <c r="E454" i="3"/>
  <c r="D454" i="3"/>
  <c r="C454" i="3"/>
  <c r="A454" i="3"/>
  <c r="G453" i="3"/>
  <c r="E453" i="3"/>
  <c r="D453" i="3"/>
  <c r="C453" i="3"/>
  <c r="A453" i="3"/>
  <c r="G452" i="3"/>
  <c r="E452" i="3"/>
  <c r="D452" i="3"/>
  <c r="C452" i="3"/>
  <c r="A452" i="3"/>
  <c r="G451" i="3"/>
  <c r="E451" i="3"/>
  <c r="D451" i="3"/>
  <c r="C451" i="3"/>
  <c r="A451" i="3"/>
  <c r="G450" i="3"/>
  <c r="E450" i="3"/>
  <c r="D450" i="3"/>
  <c r="C450" i="3"/>
  <c r="A450" i="3"/>
  <c r="G445" i="3"/>
  <c r="E445" i="3"/>
  <c r="D445" i="3"/>
  <c r="C445" i="3"/>
  <c r="A445" i="3"/>
  <c r="G444" i="3"/>
  <c r="E444" i="3"/>
  <c r="D444" i="3"/>
  <c r="C444" i="3"/>
  <c r="A444" i="3"/>
  <c r="G443" i="3"/>
  <c r="E443" i="3"/>
  <c r="D443" i="3"/>
  <c r="C443" i="3"/>
  <c r="A443" i="3"/>
  <c r="G442" i="3"/>
  <c r="E442" i="3"/>
  <c r="D442" i="3"/>
  <c r="C442" i="3"/>
  <c r="A442" i="3"/>
  <c r="G441" i="3"/>
  <c r="E441" i="3"/>
  <c r="D441" i="3"/>
  <c r="C441" i="3"/>
  <c r="A441" i="3"/>
  <c r="F423" i="3"/>
  <c r="F424" i="3"/>
  <c r="F425" i="3"/>
  <c r="F420" i="3"/>
  <c r="F421" i="3"/>
  <c r="G425" i="3"/>
  <c r="E425" i="3"/>
  <c r="D425" i="3"/>
  <c r="C425" i="3"/>
  <c r="A425" i="3"/>
  <c r="G424" i="3"/>
  <c r="E424" i="3"/>
  <c r="D424" i="3"/>
  <c r="C424" i="3"/>
  <c r="A424" i="3"/>
  <c r="G423" i="3"/>
  <c r="E423" i="3"/>
  <c r="D423" i="3"/>
  <c r="C423" i="3"/>
  <c r="A423" i="3"/>
  <c r="G422" i="3"/>
  <c r="E422" i="3"/>
  <c r="D422" i="3"/>
  <c r="C422" i="3"/>
  <c r="A422" i="3"/>
  <c r="G421" i="3"/>
  <c r="E421" i="3"/>
  <c r="D421" i="3"/>
  <c r="C421" i="3"/>
  <c r="A421" i="3"/>
  <c r="G420" i="3"/>
  <c r="E420" i="3"/>
  <c r="D420" i="3"/>
  <c r="C420" i="3"/>
  <c r="A420" i="3"/>
  <c r="G419" i="3"/>
  <c r="E419" i="3"/>
  <c r="D419" i="3"/>
  <c r="C419" i="3"/>
  <c r="A419" i="3"/>
  <c r="F416" i="3"/>
  <c r="F417" i="3"/>
  <c r="F418" i="3"/>
  <c r="G418" i="3"/>
  <c r="E418" i="3"/>
  <c r="D418" i="3"/>
  <c r="C418" i="3"/>
  <c r="A418" i="3"/>
  <c r="G417" i="3"/>
  <c r="E417" i="3"/>
  <c r="D417" i="3"/>
  <c r="C417" i="3"/>
  <c r="A417" i="3"/>
  <c r="G416" i="3"/>
  <c r="E416" i="3"/>
  <c r="D416" i="3"/>
  <c r="C416" i="3"/>
  <c r="A416" i="3"/>
  <c r="G415" i="3"/>
  <c r="E415" i="3"/>
  <c r="D415" i="3"/>
  <c r="C415" i="3"/>
  <c r="A415" i="3"/>
  <c r="F413" i="3"/>
  <c r="F414" i="3"/>
  <c r="G414" i="3"/>
  <c r="G413" i="3"/>
  <c r="G412" i="3"/>
  <c r="E414" i="3"/>
  <c r="D414" i="3"/>
  <c r="C414" i="3"/>
  <c r="A414" i="3"/>
  <c r="E413" i="3"/>
  <c r="D413" i="3"/>
  <c r="C413" i="3"/>
  <c r="A413" i="3"/>
  <c r="E412" i="3"/>
  <c r="D412" i="3"/>
  <c r="C412" i="3"/>
  <c r="A412" i="3"/>
  <c r="G408" i="3"/>
  <c r="E408" i="3"/>
  <c r="D408" i="3"/>
  <c r="C408" i="3"/>
  <c r="A408" i="3"/>
  <c r="G407" i="3"/>
  <c r="E407" i="3"/>
  <c r="D407" i="3"/>
  <c r="C407" i="3"/>
  <c r="A407" i="3"/>
  <c r="B39" i="33"/>
  <c r="B38" i="33"/>
  <c r="B37" i="33"/>
  <c r="G406" i="3"/>
  <c r="E406" i="3"/>
  <c r="D406" i="3"/>
  <c r="C406" i="3"/>
  <c r="A406" i="3"/>
  <c r="G402" i="3"/>
  <c r="E402" i="3"/>
  <c r="D402" i="3"/>
  <c r="C402" i="3"/>
  <c r="A402" i="3"/>
  <c r="G411" i="3"/>
  <c r="E411" i="3"/>
  <c r="D411" i="3"/>
  <c r="C411" i="3"/>
  <c r="A411" i="3"/>
  <c r="G410" i="3"/>
  <c r="E410" i="3"/>
  <c r="D410" i="3"/>
  <c r="C410" i="3"/>
  <c r="A410" i="3"/>
  <c r="G409" i="3"/>
  <c r="E409" i="3"/>
  <c r="D409" i="3"/>
  <c r="C409" i="3"/>
  <c r="A409" i="3"/>
  <c r="G405" i="3"/>
  <c r="E405" i="3"/>
  <c r="D405" i="3"/>
  <c r="C405" i="3"/>
  <c r="A405" i="3"/>
  <c r="G404" i="3"/>
  <c r="E404" i="3"/>
  <c r="D404" i="3"/>
  <c r="C404" i="3"/>
  <c r="A404" i="3"/>
  <c r="G403" i="3"/>
  <c r="E403" i="3"/>
  <c r="D403" i="3"/>
  <c r="C403" i="3"/>
  <c r="A403" i="3"/>
  <c r="G401" i="3"/>
  <c r="E401" i="3"/>
  <c r="D401" i="3"/>
  <c r="C401" i="3"/>
  <c r="A401" i="3"/>
  <c r="G400" i="3"/>
  <c r="E400" i="3"/>
  <c r="D400" i="3"/>
  <c r="C400" i="3"/>
  <c r="A400" i="3"/>
  <c r="G399" i="3"/>
  <c r="E399" i="3"/>
  <c r="D399" i="3"/>
  <c r="C399" i="3"/>
  <c r="A399" i="3"/>
  <c r="G398" i="3"/>
  <c r="E398" i="3"/>
  <c r="D398" i="3"/>
  <c r="C398" i="3"/>
  <c r="A398" i="3"/>
  <c r="G397" i="3"/>
  <c r="E397" i="3"/>
  <c r="D397" i="3"/>
  <c r="C397" i="3"/>
  <c r="A397" i="3"/>
  <c r="G396" i="3"/>
  <c r="E396" i="3"/>
  <c r="D396" i="3"/>
  <c r="C396" i="3"/>
  <c r="A396" i="3"/>
  <c r="G395" i="3"/>
  <c r="E395" i="3"/>
  <c r="D395" i="3"/>
  <c r="C395" i="3"/>
  <c r="A395" i="3"/>
  <c r="G394" i="3"/>
  <c r="E394" i="3"/>
  <c r="D394" i="3"/>
  <c r="C394" i="3"/>
  <c r="A394" i="3"/>
  <c r="B33" i="33"/>
  <c r="B31" i="33"/>
  <c r="B29" i="33"/>
  <c r="B28" i="33"/>
  <c r="B27" i="33"/>
  <c r="G387" i="3"/>
  <c r="E387" i="3"/>
  <c r="D387" i="3"/>
  <c r="C387" i="3"/>
  <c r="A387" i="3"/>
  <c r="G386" i="3"/>
  <c r="E386" i="3"/>
  <c r="D386" i="3"/>
  <c r="C386" i="3"/>
  <c r="A386" i="3"/>
  <c r="G385" i="3"/>
  <c r="E385" i="3"/>
  <c r="D385" i="3"/>
  <c r="C385" i="3"/>
  <c r="A385" i="3"/>
  <c r="G384" i="3"/>
  <c r="E384" i="3"/>
  <c r="D384" i="3"/>
  <c r="C384" i="3"/>
  <c r="A384" i="3"/>
  <c r="G383" i="3"/>
  <c r="E383" i="3"/>
  <c r="D383" i="3"/>
  <c r="C383" i="3"/>
  <c r="A383" i="3"/>
  <c r="G382" i="3"/>
  <c r="E382" i="3"/>
  <c r="D382" i="3"/>
  <c r="C382" i="3"/>
  <c r="A382" i="3"/>
  <c r="G381" i="3"/>
  <c r="E381" i="3"/>
  <c r="D381" i="3"/>
  <c r="C381" i="3"/>
  <c r="A381" i="3"/>
  <c r="G380" i="3"/>
  <c r="E380" i="3"/>
  <c r="D380" i="3"/>
  <c r="C380" i="3"/>
  <c r="A380" i="3"/>
  <c r="B26" i="33"/>
  <c r="A391" i="3"/>
  <c r="C391" i="3"/>
  <c r="D391" i="3"/>
  <c r="E391" i="3"/>
  <c r="G391" i="3"/>
  <c r="A392" i="3"/>
  <c r="C392" i="3"/>
  <c r="D392" i="3"/>
  <c r="E392" i="3"/>
  <c r="G392" i="3"/>
  <c r="A393" i="3"/>
  <c r="C393" i="3"/>
  <c r="D393" i="3"/>
  <c r="E393" i="3"/>
  <c r="G393" i="3"/>
  <c r="G375" i="3"/>
  <c r="E375" i="3"/>
  <c r="D375" i="3"/>
  <c r="C375" i="3"/>
  <c r="A375" i="3"/>
  <c r="G374" i="3"/>
  <c r="E374" i="3"/>
  <c r="D374" i="3"/>
  <c r="C374" i="3"/>
  <c r="A374" i="3"/>
  <c r="G373" i="3"/>
  <c r="E373" i="3"/>
  <c r="D373" i="3"/>
  <c r="C373" i="3"/>
  <c r="A373" i="3"/>
  <c r="G372" i="3"/>
  <c r="E372" i="3"/>
  <c r="D372" i="3"/>
  <c r="C372" i="3"/>
  <c r="A372" i="3"/>
  <c r="G371" i="3"/>
  <c r="E371" i="3"/>
  <c r="D371" i="3"/>
  <c r="C371" i="3"/>
  <c r="A371" i="3"/>
  <c r="G370" i="3"/>
  <c r="E370" i="3"/>
  <c r="D370" i="3"/>
  <c r="C370" i="3"/>
  <c r="A370" i="3"/>
  <c r="G369" i="3"/>
  <c r="E369" i="3"/>
  <c r="D369" i="3"/>
  <c r="C369" i="3"/>
  <c r="A369" i="3"/>
  <c r="G368" i="3"/>
  <c r="E368" i="3"/>
  <c r="D368" i="3"/>
  <c r="C368" i="3"/>
  <c r="A368" i="3"/>
  <c r="A376" i="3"/>
  <c r="C376" i="3"/>
  <c r="D376" i="3"/>
  <c r="E376" i="3"/>
  <c r="G376" i="3"/>
  <c r="G367" i="3"/>
  <c r="E367" i="3"/>
  <c r="D367" i="3"/>
  <c r="C367" i="3"/>
  <c r="A367" i="3"/>
  <c r="G366" i="3"/>
  <c r="E366" i="3"/>
  <c r="D366" i="3"/>
  <c r="C366" i="3"/>
  <c r="A366" i="3"/>
  <c r="G365" i="3"/>
  <c r="E365" i="3"/>
  <c r="D365" i="3"/>
  <c r="C365" i="3"/>
  <c r="A365" i="3"/>
  <c r="G364" i="3"/>
  <c r="E364" i="3"/>
  <c r="D364" i="3"/>
  <c r="C364" i="3"/>
  <c r="A364" i="3"/>
  <c r="G363" i="3"/>
  <c r="E363" i="3"/>
  <c r="D363" i="3"/>
  <c r="C363" i="3"/>
  <c r="A363" i="3"/>
  <c r="G362" i="3"/>
  <c r="E362" i="3"/>
  <c r="D362" i="3"/>
  <c r="C362" i="3"/>
  <c r="A362" i="3"/>
  <c r="G361" i="3"/>
  <c r="E361" i="3"/>
  <c r="D361" i="3"/>
  <c r="C361" i="3"/>
  <c r="A361" i="3"/>
  <c r="G360" i="3"/>
  <c r="E360" i="3"/>
  <c r="D360" i="3"/>
  <c r="C360" i="3"/>
  <c r="A360" i="3"/>
  <c r="F339" i="3"/>
  <c r="F340" i="3"/>
  <c r="F341" i="3"/>
  <c r="G341" i="3"/>
  <c r="G340" i="3"/>
  <c r="G339" i="3"/>
  <c r="G338" i="3"/>
  <c r="E341" i="3"/>
  <c r="D341" i="3"/>
  <c r="C341" i="3"/>
  <c r="A341" i="3"/>
  <c r="E340" i="3"/>
  <c r="D340" i="3"/>
  <c r="C340" i="3"/>
  <c r="A340" i="3"/>
  <c r="F351" i="3"/>
  <c r="F352" i="3"/>
  <c r="F353" i="3"/>
  <c r="G353" i="3"/>
  <c r="G352" i="3"/>
  <c r="G351" i="3"/>
  <c r="G350" i="3"/>
  <c r="E351" i="3"/>
  <c r="D351" i="3"/>
  <c r="C351" i="3"/>
  <c r="A351" i="3"/>
  <c r="E350" i="3"/>
  <c r="D350" i="3"/>
  <c r="C350" i="3"/>
  <c r="A350" i="3"/>
  <c r="F347" i="3"/>
  <c r="F348" i="3"/>
  <c r="F349" i="3"/>
  <c r="F343" i="3"/>
  <c r="F344" i="3"/>
  <c r="F345" i="3"/>
  <c r="A348" i="3"/>
  <c r="C348" i="3"/>
  <c r="D348" i="3"/>
  <c r="E348" i="3"/>
  <c r="G348" i="3"/>
  <c r="A349" i="3"/>
  <c r="C349" i="3"/>
  <c r="D349" i="3"/>
  <c r="E349" i="3"/>
  <c r="G349" i="3"/>
  <c r="A344" i="3"/>
  <c r="C344" i="3"/>
  <c r="D344" i="3"/>
  <c r="E344" i="3"/>
  <c r="G344" i="3"/>
  <c r="A345" i="3"/>
  <c r="C345" i="3"/>
  <c r="D345" i="3"/>
  <c r="E345" i="3"/>
  <c r="G345" i="3"/>
  <c r="G379" i="3"/>
  <c r="E379" i="3"/>
  <c r="D379" i="3"/>
  <c r="C379" i="3"/>
  <c r="A379" i="3"/>
  <c r="G378" i="3"/>
  <c r="E378" i="3"/>
  <c r="D378" i="3"/>
  <c r="C378" i="3"/>
  <c r="A378" i="3"/>
  <c r="G377" i="3"/>
  <c r="E377" i="3"/>
  <c r="D377" i="3"/>
  <c r="C377" i="3"/>
  <c r="A377" i="3"/>
  <c r="F329" i="3"/>
  <c r="F330" i="3"/>
  <c r="F331" i="3"/>
  <c r="G329" i="3"/>
  <c r="B329" i="3"/>
  <c r="E329" i="3"/>
  <c r="D329" i="3"/>
  <c r="C329" i="3"/>
  <c r="A329" i="3"/>
  <c r="G328" i="3"/>
  <c r="E328" i="3"/>
  <c r="D328" i="3"/>
  <c r="C328" i="3"/>
  <c r="A328" i="3"/>
  <c r="F325" i="3"/>
  <c r="F326" i="3"/>
  <c r="F327" i="3"/>
  <c r="G325" i="3"/>
  <c r="B325" i="3"/>
  <c r="E325" i="3"/>
  <c r="D325" i="3"/>
  <c r="C325" i="3"/>
  <c r="A325" i="3"/>
  <c r="G324" i="3"/>
  <c r="E324" i="3"/>
  <c r="D324" i="3"/>
  <c r="C324" i="3"/>
  <c r="A324" i="3"/>
  <c r="F321" i="3"/>
  <c r="F322" i="3"/>
  <c r="F323" i="3"/>
  <c r="G321" i="3"/>
  <c r="B321" i="3"/>
  <c r="E321" i="3"/>
  <c r="D321" i="3"/>
  <c r="C321" i="3"/>
  <c r="A321" i="3"/>
  <c r="G320" i="3"/>
  <c r="E320" i="3"/>
  <c r="D320" i="3"/>
  <c r="C320" i="3"/>
  <c r="A320" i="3"/>
  <c r="F317" i="3"/>
  <c r="F318" i="3"/>
  <c r="F319" i="3"/>
  <c r="G317" i="3"/>
  <c r="B317" i="3"/>
  <c r="E317" i="3"/>
  <c r="D317" i="3"/>
  <c r="C317" i="3"/>
  <c r="A317" i="3"/>
  <c r="G316" i="3"/>
  <c r="E316" i="3"/>
  <c r="D316" i="3"/>
  <c r="C316" i="3"/>
  <c r="A316" i="3"/>
  <c r="G390" i="3"/>
  <c r="E390" i="3"/>
  <c r="D390" i="3"/>
  <c r="C390" i="3"/>
  <c r="A390" i="3"/>
  <c r="G389" i="3"/>
  <c r="E389" i="3"/>
  <c r="D389" i="3"/>
  <c r="C389" i="3"/>
  <c r="A389" i="3"/>
  <c r="G388" i="3"/>
  <c r="E388" i="3"/>
  <c r="D388" i="3"/>
  <c r="C388" i="3"/>
  <c r="A388" i="3"/>
  <c r="B21" i="33"/>
  <c r="B20" i="33"/>
  <c r="B19" i="33"/>
  <c r="B18" i="33"/>
  <c r="G343" i="3"/>
  <c r="G346" i="3"/>
  <c r="G347" i="3"/>
  <c r="C353" i="3"/>
  <c r="D353" i="3"/>
  <c r="E353" i="3"/>
  <c r="C343" i="3"/>
  <c r="D343" i="3"/>
  <c r="E343" i="3"/>
  <c r="C346" i="3"/>
  <c r="D346" i="3"/>
  <c r="E346" i="3"/>
  <c r="C347" i="3"/>
  <c r="D347" i="3"/>
  <c r="E347" i="3"/>
  <c r="C352" i="3"/>
  <c r="D352" i="3"/>
  <c r="E352" i="3"/>
  <c r="A343" i="3"/>
  <c r="A346" i="3"/>
  <c r="A347" i="3"/>
  <c r="A352" i="3"/>
  <c r="A353" i="3"/>
  <c r="C339" i="3"/>
  <c r="D339" i="3"/>
  <c r="E339" i="3"/>
  <c r="A339" i="3"/>
  <c r="F314" i="3"/>
  <c r="F315" i="3"/>
  <c r="G315" i="3"/>
  <c r="B314" i="3"/>
  <c r="B315" i="3"/>
  <c r="E315" i="3"/>
  <c r="D315" i="3"/>
  <c r="C315" i="3"/>
  <c r="A315" i="3"/>
  <c r="F311" i="3"/>
  <c r="F312" i="3"/>
  <c r="G312" i="3"/>
  <c r="B311" i="3"/>
  <c r="B312" i="3"/>
  <c r="E312" i="3"/>
  <c r="D312" i="3"/>
  <c r="C312" i="3"/>
  <c r="A312" i="3"/>
  <c r="F308" i="3"/>
  <c r="F309" i="3"/>
  <c r="G309" i="3"/>
  <c r="B308" i="3"/>
  <c r="B309" i="3"/>
  <c r="E309" i="3"/>
  <c r="D309" i="3"/>
  <c r="C309" i="3"/>
  <c r="A309" i="3"/>
  <c r="F305" i="3"/>
  <c r="F306" i="3"/>
  <c r="G306" i="3"/>
  <c r="B305" i="3"/>
  <c r="B306" i="3"/>
  <c r="E306" i="3"/>
  <c r="D306" i="3"/>
  <c r="C306" i="3"/>
  <c r="A306" i="3"/>
  <c r="G359" i="3"/>
  <c r="E359" i="3"/>
  <c r="D359" i="3"/>
  <c r="C359" i="3"/>
  <c r="A359" i="3"/>
  <c r="G358" i="3"/>
  <c r="E358" i="3"/>
  <c r="D358" i="3"/>
  <c r="C358" i="3"/>
  <c r="A358" i="3"/>
  <c r="G357" i="3"/>
  <c r="E357" i="3"/>
  <c r="D357" i="3"/>
  <c r="C357" i="3"/>
  <c r="A357" i="3"/>
  <c r="G356" i="3"/>
  <c r="E356" i="3"/>
  <c r="D356" i="3"/>
  <c r="C356" i="3"/>
  <c r="A356" i="3"/>
  <c r="G355" i="3"/>
  <c r="E355" i="3"/>
  <c r="D355" i="3"/>
  <c r="C355" i="3"/>
  <c r="A355" i="3"/>
  <c r="G354" i="3"/>
  <c r="E354" i="3"/>
  <c r="D354" i="3"/>
  <c r="C354" i="3"/>
  <c r="A354" i="3"/>
  <c r="G302" i="3"/>
  <c r="E302" i="3"/>
  <c r="D302" i="3"/>
  <c r="C302" i="3"/>
  <c r="A302" i="3"/>
  <c r="G297" i="3"/>
  <c r="E297" i="3"/>
  <c r="D297" i="3"/>
  <c r="C297" i="3"/>
  <c r="A297" i="3"/>
  <c r="G292" i="3"/>
  <c r="E292" i="3"/>
  <c r="D292" i="3"/>
  <c r="C292" i="3"/>
  <c r="A292" i="3"/>
  <c r="G287" i="3"/>
  <c r="E287" i="3"/>
  <c r="D287" i="3"/>
  <c r="C287" i="3"/>
  <c r="A287" i="3"/>
  <c r="G282" i="3"/>
  <c r="E282" i="3"/>
  <c r="D282" i="3"/>
  <c r="C282" i="3"/>
  <c r="A282" i="3"/>
  <c r="G277" i="3"/>
  <c r="E277" i="3"/>
  <c r="D277" i="3"/>
  <c r="C277" i="3"/>
  <c r="A277" i="3"/>
  <c r="G272" i="3"/>
  <c r="E272" i="3"/>
  <c r="D272" i="3"/>
  <c r="C272" i="3"/>
  <c r="A272" i="3"/>
  <c r="G267" i="3"/>
  <c r="E267" i="3"/>
  <c r="D267" i="3"/>
  <c r="C267" i="3"/>
  <c r="A267" i="3"/>
  <c r="G262" i="3"/>
  <c r="E262" i="3"/>
  <c r="D262" i="3"/>
  <c r="C262" i="3"/>
  <c r="A262" i="3"/>
  <c r="G257" i="3"/>
  <c r="E257" i="3"/>
  <c r="D257" i="3"/>
  <c r="C257" i="3"/>
  <c r="A257" i="3"/>
  <c r="G252" i="3"/>
  <c r="E252" i="3"/>
  <c r="D252" i="3"/>
  <c r="C252" i="3"/>
  <c r="A252" i="3"/>
  <c r="G247" i="3"/>
  <c r="E247" i="3"/>
  <c r="D247" i="3"/>
  <c r="C247" i="3"/>
  <c r="A247" i="3"/>
  <c r="G242" i="3"/>
  <c r="E242" i="3"/>
  <c r="D242" i="3"/>
  <c r="C242" i="3"/>
  <c r="A242" i="3"/>
  <c r="G237" i="3"/>
  <c r="E237" i="3"/>
  <c r="D237" i="3"/>
  <c r="C237" i="3"/>
  <c r="A237" i="3"/>
  <c r="G232" i="3"/>
  <c r="E232" i="3"/>
  <c r="D232" i="3"/>
  <c r="C232" i="3"/>
  <c r="A232" i="3"/>
  <c r="G227" i="3"/>
  <c r="E227" i="3"/>
  <c r="D227" i="3"/>
  <c r="C227" i="3"/>
  <c r="A227" i="3"/>
  <c r="G220" i="3"/>
  <c r="E220" i="3"/>
  <c r="D220" i="3"/>
  <c r="C220" i="3"/>
  <c r="A220" i="3"/>
  <c r="G215" i="3"/>
  <c r="E215" i="3"/>
  <c r="D215" i="3"/>
  <c r="C215" i="3"/>
  <c r="A215" i="3"/>
  <c r="G210" i="3"/>
  <c r="E210" i="3"/>
  <c r="D210" i="3"/>
  <c r="C210" i="3"/>
  <c r="A210" i="3"/>
  <c r="G205" i="3"/>
  <c r="E205" i="3"/>
  <c r="D205" i="3"/>
  <c r="C205" i="3"/>
  <c r="A205" i="3"/>
  <c r="G202" i="3"/>
  <c r="E202" i="3"/>
  <c r="D202" i="3"/>
  <c r="C202" i="3"/>
  <c r="A202" i="3"/>
  <c r="G198" i="3"/>
  <c r="E198" i="3"/>
  <c r="D198" i="3"/>
  <c r="C198" i="3"/>
  <c r="A198" i="3"/>
  <c r="G192" i="3"/>
  <c r="E192" i="3"/>
  <c r="D192" i="3"/>
  <c r="C192" i="3"/>
  <c r="A192" i="3"/>
  <c r="G188" i="3"/>
  <c r="E188" i="3"/>
  <c r="D188" i="3"/>
  <c r="C188" i="3"/>
  <c r="A188" i="3"/>
  <c r="G180" i="3"/>
  <c r="E180" i="3"/>
  <c r="D180" i="3"/>
  <c r="C180" i="3"/>
  <c r="A180" i="3"/>
  <c r="G175" i="3"/>
  <c r="E175" i="3"/>
  <c r="D175" i="3"/>
  <c r="C175" i="3"/>
  <c r="A175" i="3"/>
  <c r="G170" i="3"/>
  <c r="E170" i="3"/>
  <c r="D170" i="3"/>
  <c r="C170" i="3"/>
  <c r="A170" i="3"/>
  <c r="G166" i="3"/>
  <c r="E166" i="3"/>
  <c r="D166" i="3"/>
  <c r="C166" i="3"/>
  <c r="A166" i="3"/>
  <c r="G163" i="3"/>
  <c r="E163" i="3"/>
  <c r="D163" i="3"/>
  <c r="C163" i="3"/>
  <c r="A163" i="3"/>
  <c r="G158" i="3"/>
  <c r="E158" i="3"/>
  <c r="D158" i="3"/>
  <c r="C158" i="3"/>
  <c r="A158" i="3"/>
  <c r="G153" i="3"/>
  <c r="E153" i="3"/>
  <c r="D153" i="3"/>
  <c r="C153" i="3"/>
  <c r="A153" i="3"/>
  <c r="G148" i="3"/>
  <c r="E148" i="3"/>
  <c r="D148" i="3"/>
  <c r="C148" i="3"/>
  <c r="A148" i="3"/>
  <c r="G135" i="3"/>
  <c r="E135" i="3"/>
  <c r="D135" i="3"/>
  <c r="C135" i="3"/>
  <c r="A135" i="3"/>
  <c r="G132" i="3"/>
  <c r="E132" i="3"/>
  <c r="D132" i="3"/>
  <c r="C132" i="3"/>
  <c r="A132" i="3"/>
  <c r="G129" i="3"/>
  <c r="E129" i="3"/>
  <c r="D129" i="3"/>
  <c r="C129" i="3"/>
  <c r="A129" i="3"/>
  <c r="G126" i="3"/>
  <c r="E126" i="3"/>
  <c r="D126" i="3"/>
  <c r="C126" i="3"/>
  <c r="A126" i="3"/>
  <c r="G115" i="3"/>
  <c r="E115" i="3"/>
  <c r="D115" i="3"/>
  <c r="C115" i="3"/>
  <c r="A115" i="3"/>
  <c r="G112" i="3"/>
  <c r="E112" i="3"/>
  <c r="D112" i="3"/>
  <c r="C112" i="3"/>
  <c r="A112" i="3"/>
  <c r="G109" i="3"/>
  <c r="E109" i="3"/>
  <c r="D109" i="3"/>
  <c r="C109" i="3"/>
  <c r="A109" i="3"/>
  <c r="G106" i="3"/>
  <c r="E106" i="3"/>
  <c r="D106" i="3"/>
  <c r="C106" i="3"/>
  <c r="A106" i="3"/>
  <c r="G92" i="3"/>
  <c r="E92" i="3"/>
  <c r="D92" i="3"/>
  <c r="C92" i="3"/>
  <c r="A92" i="3"/>
  <c r="G93" i="3"/>
  <c r="E93" i="3"/>
  <c r="D93" i="3"/>
  <c r="C93" i="3"/>
  <c r="A93" i="3"/>
  <c r="G87" i="3"/>
  <c r="E87" i="3"/>
  <c r="D87" i="3"/>
  <c r="C87" i="3"/>
  <c r="A87" i="3"/>
  <c r="G88" i="3"/>
  <c r="E88" i="3"/>
  <c r="D88" i="3"/>
  <c r="C88" i="3"/>
  <c r="A88" i="3"/>
  <c r="G82" i="3"/>
  <c r="E82" i="3"/>
  <c r="D82" i="3"/>
  <c r="C82" i="3"/>
  <c r="A82" i="3"/>
  <c r="G83" i="3"/>
  <c r="E83" i="3"/>
  <c r="D83" i="3"/>
  <c r="C83" i="3"/>
  <c r="A83" i="3"/>
  <c r="G77" i="3"/>
  <c r="E77" i="3"/>
  <c r="D77" i="3"/>
  <c r="C77" i="3"/>
  <c r="A77" i="3"/>
  <c r="G78" i="3"/>
  <c r="E78" i="3"/>
  <c r="D78" i="3"/>
  <c r="C78" i="3"/>
  <c r="A78" i="3"/>
  <c r="A79" i="3"/>
  <c r="C79" i="3"/>
  <c r="D79" i="3"/>
  <c r="E79" i="3"/>
  <c r="G79" i="3"/>
  <c r="G75" i="3"/>
  <c r="E75" i="3"/>
  <c r="D75" i="3"/>
  <c r="C75" i="3"/>
  <c r="A75" i="3"/>
  <c r="G72" i="3"/>
  <c r="E72" i="3"/>
  <c r="D72" i="3"/>
  <c r="C72" i="3"/>
  <c r="A72" i="3"/>
  <c r="G68" i="3"/>
  <c r="E68" i="3"/>
  <c r="D68" i="3"/>
  <c r="C68" i="3"/>
  <c r="A68" i="3"/>
  <c r="G63" i="3"/>
  <c r="E63" i="3"/>
  <c r="D63" i="3"/>
  <c r="C63" i="3"/>
  <c r="A63" i="3"/>
  <c r="G59" i="3"/>
  <c r="E59" i="3"/>
  <c r="D59" i="3"/>
  <c r="C59" i="3"/>
  <c r="A59" i="3"/>
  <c r="G55" i="3"/>
  <c r="E55" i="3"/>
  <c r="D55" i="3"/>
  <c r="C55" i="3"/>
  <c r="A55" i="3"/>
  <c r="A51" i="3"/>
  <c r="G51" i="3"/>
  <c r="E51" i="3"/>
  <c r="D51" i="3"/>
  <c r="C51" i="3"/>
  <c r="G49" i="3"/>
  <c r="E49" i="3"/>
  <c r="D49" i="3"/>
  <c r="C49" i="3"/>
  <c r="A49" i="3"/>
  <c r="G47" i="3"/>
  <c r="E47" i="3"/>
  <c r="D47" i="3"/>
  <c r="C47" i="3"/>
  <c r="A47" i="3"/>
  <c r="G45" i="3"/>
  <c r="E45" i="3"/>
  <c r="D45" i="3"/>
  <c r="C45" i="3"/>
  <c r="A45" i="3"/>
  <c r="G43" i="3"/>
  <c r="E43" i="3"/>
  <c r="D43" i="3"/>
  <c r="C43" i="3"/>
  <c r="A43" i="3"/>
  <c r="G41" i="3"/>
  <c r="E41" i="3"/>
  <c r="D41" i="3"/>
  <c r="C41" i="3"/>
  <c r="A41" i="3"/>
  <c r="G39" i="3"/>
  <c r="E39" i="3"/>
  <c r="D39" i="3"/>
  <c r="C39" i="3"/>
  <c r="A39" i="3"/>
  <c r="G37" i="3"/>
  <c r="E37" i="3"/>
  <c r="D37" i="3"/>
  <c r="C37" i="3"/>
  <c r="A37" i="3"/>
  <c r="G35" i="3"/>
  <c r="E35" i="3"/>
  <c r="D35" i="3"/>
  <c r="C35" i="3"/>
  <c r="A35" i="3"/>
  <c r="G33" i="3"/>
  <c r="E33" i="3"/>
  <c r="D33" i="3"/>
  <c r="C33" i="3"/>
  <c r="A33" i="3"/>
  <c r="A34" i="3"/>
  <c r="C34" i="3"/>
  <c r="D34" i="3"/>
  <c r="E34" i="3"/>
  <c r="G34" i="3"/>
  <c r="A31" i="3"/>
  <c r="G31" i="3"/>
  <c r="E31" i="3"/>
  <c r="D31" i="3"/>
  <c r="C31" i="3"/>
  <c r="G29" i="3"/>
  <c r="E29" i="3"/>
  <c r="D29" i="3"/>
  <c r="C29" i="3"/>
  <c r="A29" i="3"/>
  <c r="A30" i="3"/>
  <c r="C30" i="3"/>
  <c r="D30" i="3"/>
  <c r="E30" i="3"/>
  <c r="G30" i="3"/>
  <c r="G27" i="3"/>
  <c r="E27" i="3"/>
  <c r="D27" i="3"/>
  <c r="C27" i="3"/>
  <c r="A27" i="3"/>
  <c r="C94" i="3"/>
  <c r="F14" i="48"/>
  <c r="F18" i="48"/>
  <c r="D12" i="48"/>
  <c r="F20" i="48"/>
  <c r="F16" i="48"/>
  <c r="F12" i="48"/>
  <c r="G18" i="48"/>
  <c r="G14" i="48"/>
  <c r="G20" i="48"/>
  <c r="G16" i="48"/>
  <c r="G12" i="48"/>
  <c r="E18" i="48"/>
  <c r="E20" i="48"/>
  <c r="E14" i="48"/>
  <c r="E16" i="48"/>
  <c r="E12" i="48"/>
  <c r="G17" i="48"/>
  <c r="D11" i="48"/>
  <c r="G19" i="48"/>
  <c r="G15" i="48"/>
  <c r="G11" i="48"/>
  <c r="F17" i="48"/>
  <c r="F19" i="48"/>
  <c r="F15" i="48"/>
  <c r="F11" i="48"/>
  <c r="E17" i="48"/>
  <c r="E19" i="48"/>
  <c r="E15" i="48"/>
  <c r="E11" i="48"/>
  <c r="D10" i="48"/>
  <c r="G10" i="48"/>
  <c r="F10" i="48"/>
  <c r="E10" i="48"/>
  <c r="D9" i="48"/>
  <c r="G9" i="48"/>
  <c r="F9" i="48"/>
  <c r="E9" i="48"/>
  <c r="D8" i="48"/>
  <c r="G8" i="48"/>
  <c r="F8" i="48"/>
  <c r="E8" i="48"/>
  <c r="D7" i="48"/>
  <c r="G7" i="48"/>
  <c r="F7" i="48"/>
  <c r="E7" i="48"/>
  <c r="D6" i="48"/>
  <c r="G6" i="48"/>
  <c r="F6" i="48"/>
  <c r="E6" i="48"/>
  <c r="D5" i="48"/>
  <c r="G5" i="48"/>
  <c r="F5" i="48"/>
  <c r="E5" i="48"/>
  <c r="D4" i="48"/>
  <c r="G4" i="48"/>
  <c r="F4" i="48"/>
  <c r="E4" i="48"/>
  <c r="D3" i="48"/>
  <c r="G3" i="48"/>
  <c r="F3" i="48"/>
  <c r="E3" i="48"/>
  <c r="G22" i="48"/>
  <c r="F22" i="48"/>
  <c r="E22" i="48"/>
  <c r="G21" i="48"/>
  <c r="F21" i="48"/>
  <c r="E21" i="48"/>
  <c r="G23" i="48"/>
  <c r="F23" i="48"/>
  <c r="E23" i="48"/>
  <c r="A342" i="3"/>
  <c r="A338" i="3"/>
  <c r="A337" i="3"/>
  <c r="A336" i="3"/>
  <c r="A335" i="3"/>
  <c r="A334" i="3"/>
  <c r="F333" i="3"/>
  <c r="B333" i="3"/>
  <c r="A333" i="3"/>
  <c r="A332" i="3"/>
  <c r="B331" i="3"/>
  <c r="A331" i="3"/>
  <c r="A330" i="3"/>
  <c r="B327" i="3"/>
  <c r="A327" i="3"/>
  <c r="A326" i="3"/>
  <c r="B323" i="3"/>
  <c r="A323" i="3"/>
  <c r="A322" i="3"/>
  <c r="B319" i="3"/>
  <c r="A319" i="3"/>
  <c r="A318" i="3"/>
  <c r="A314" i="3"/>
  <c r="A313" i="3"/>
  <c r="A311" i="3"/>
  <c r="A310" i="3"/>
  <c r="A308" i="3"/>
  <c r="A307" i="3"/>
  <c r="A305" i="3"/>
  <c r="A304" i="3"/>
  <c r="A303" i="3"/>
  <c r="A301" i="3"/>
  <c r="A300" i="3"/>
  <c r="A299" i="3"/>
  <c r="A298" i="3"/>
  <c r="A296" i="3"/>
  <c r="A295" i="3"/>
  <c r="A294" i="3"/>
  <c r="A293" i="3"/>
  <c r="A291" i="3"/>
  <c r="A290" i="3"/>
  <c r="A289" i="3"/>
  <c r="A288" i="3"/>
  <c r="A286" i="3"/>
  <c r="A285" i="3"/>
  <c r="A284" i="3"/>
  <c r="A283" i="3"/>
  <c r="A281" i="3"/>
  <c r="A280" i="3"/>
  <c r="A279" i="3"/>
  <c r="A278" i="3"/>
  <c r="A276" i="3"/>
  <c r="A275" i="3"/>
  <c r="A274" i="3"/>
  <c r="A273" i="3"/>
  <c r="A271" i="3"/>
  <c r="A270" i="3"/>
  <c r="A269" i="3"/>
  <c r="A268" i="3"/>
  <c r="A266" i="3"/>
  <c r="A265" i="3"/>
  <c r="A264" i="3"/>
  <c r="A263" i="3"/>
  <c r="A261" i="3"/>
  <c r="A260" i="3"/>
  <c r="A259" i="3"/>
  <c r="A258" i="3"/>
  <c r="A256" i="3"/>
  <c r="A255" i="3"/>
  <c r="A254" i="3"/>
  <c r="A253" i="3"/>
  <c r="A251" i="3"/>
  <c r="A250" i="3"/>
  <c r="A249" i="3"/>
  <c r="A248" i="3"/>
  <c r="A246" i="3"/>
  <c r="A245" i="3"/>
  <c r="A244" i="3"/>
  <c r="A243" i="3"/>
  <c r="A241" i="3"/>
  <c r="A240" i="3"/>
  <c r="A239" i="3"/>
  <c r="A238" i="3"/>
  <c r="A236" i="3"/>
  <c r="A235" i="3"/>
  <c r="A234" i="3"/>
  <c r="A233" i="3"/>
  <c r="A231" i="3"/>
  <c r="A230" i="3"/>
  <c r="A229" i="3"/>
  <c r="A228" i="3"/>
  <c r="A226" i="3"/>
  <c r="A225" i="3"/>
  <c r="A224" i="3"/>
  <c r="A223" i="3"/>
  <c r="A222" i="3"/>
  <c r="A221" i="3"/>
  <c r="A219" i="3"/>
  <c r="A218" i="3"/>
  <c r="A217" i="3"/>
  <c r="A216" i="3"/>
  <c r="A214" i="3"/>
  <c r="A213" i="3"/>
  <c r="A212" i="3"/>
  <c r="A211" i="3"/>
  <c r="A209" i="3"/>
  <c r="A208" i="3"/>
  <c r="A207" i="3"/>
  <c r="A206" i="3"/>
  <c r="A204" i="3"/>
  <c r="A203" i="3"/>
  <c r="A201" i="3"/>
  <c r="A200" i="3"/>
  <c r="A199" i="3"/>
  <c r="A197" i="3"/>
  <c r="A196" i="3"/>
  <c r="A195" i="3"/>
  <c r="A194" i="3"/>
  <c r="A193" i="3"/>
  <c r="A191" i="3"/>
  <c r="A190" i="3"/>
  <c r="A189" i="3"/>
  <c r="A187" i="3"/>
  <c r="A186" i="3"/>
  <c r="A185" i="3"/>
  <c r="A184" i="3"/>
  <c r="A183" i="3"/>
  <c r="A182" i="3"/>
  <c r="A181" i="3"/>
  <c r="A179" i="3"/>
  <c r="A178" i="3"/>
  <c r="A177" i="3"/>
  <c r="A176" i="3"/>
  <c r="A174" i="3"/>
  <c r="A173" i="3"/>
  <c r="A172" i="3"/>
  <c r="A171" i="3"/>
  <c r="A169" i="3"/>
  <c r="A168" i="3"/>
  <c r="A167" i="3"/>
  <c r="A165" i="3"/>
  <c r="A164" i="3"/>
  <c r="A162" i="3"/>
  <c r="A161" i="3"/>
  <c r="A160" i="3"/>
  <c r="A159" i="3"/>
  <c r="A157" i="3"/>
  <c r="A156" i="3"/>
  <c r="A155" i="3"/>
  <c r="A154" i="3"/>
  <c r="A152" i="3"/>
  <c r="A151" i="3"/>
  <c r="A150" i="3"/>
  <c r="A149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4" i="3"/>
  <c r="A133" i="3"/>
  <c r="A131" i="3"/>
  <c r="A130" i="3"/>
  <c r="A128" i="3"/>
  <c r="A127" i="3"/>
  <c r="A125" i="3"/>
  <c r="A124" i="3"/>
  <c r="A123" i="3"/>
  <c r="A122" i="3"/>
  <c r="A121" i="3"/>
  <c r="A120" i="3"/>
  <c r="A119" i="3"/>
  <c r="A118" i="3"/>
  <c r="A117" i="3"/>
  <c r="A116" i="3"/>
  <c r="A114" i="3"/>
  <c r="A113" i="3"/>
  <c r="A111" i="3"/>
  <c r="A110" i="3"/>
  <c r="A108" i="3"/>
  <c r="A107" i="3"/>
  <c r="A105" i="3"/>
  <c r="A104" i="3"/>
  <c r="A103" i="3"/>
  <c r="A102" i="3"/>
  <c r="A101" i="3"/>
  <c r="A100" i="3"/>
  <c r="A99" i="3"/>
  <c r="A98" i="3"/>
  <c r="A97" i="3"/>
  <c r="A96" i="3"/>
  <c r="A95" i="3"/>
  <c r="A94" i="3"/>
  <c r="A91" i="3"/>
  <c r="A90" i="3"/>
  <c r="A89" i="3"/>
  <c r="A86" i="3"/>
  <c r="A85" i="3"/>
  <c r="A84" i="3"/>
  <c r="A81" i="3"/>
  <c r="A80" i="3"/>
  <c r="A76" i="3"/>
  <c r="A74" i="3"/>
  <c r="A73" i="3"/>
  <c r="A71" i="3"/>
  <c r="A70" i="3"/>
  <c r="A69" i="3"/>
  <c r="A67" i="3"/>
  <c r="A66" i="3"/>
  <c r="A65" i="3"/>
  <c r="A64" i="3"/>
  <c r="A62" i="3"/>
  <c r="A61" i="3"/>
  <c r="A60" i="3"/>
  <c r="A58" i="3"/>
  <c r="A57" i="3"/>
  <c r="A56" i="3"/>
  <c r="A54" i="3"/>
  <c r="A53" i="3"/>
  <c r="A52" i="3"/>
  <c r="A50" i="3"/>
  <c r="A48" i="3"/>
  <c r="A46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8" i="3"/>
  <c r="A32" i="3"/>
  <c r="A36" i="3"/>
  <c r="A38" i="3"/>
  <c r="A40" i="3"/>
  <c r="A42" i="3"/>
  <c r="A44" i="3"/>
  <c r="A2" i="3"/>
  <c r="B17" i="33"/>
  <c r="B16" i="33"/>
  <c r="B15" i="33"/>
  <c r="B14" i="33"/>
  <c r="B13" i="33"/>
  <c r="B12" i="33"/>
  <c r="B11" i="33"/>
  <c r="B10" i="33"/>
  <c r="B9" i="33"/>
  <c r="B8" i="33"/>
  <c r="B7" i="33"/>
  <c r="B6" i="33"/>
  <c r="B5" i="33"/>
  <c r="B4" i="33"/>
  <c r="B3" i="33"/>
  <c r="B2" i="33"/>
  <c r="E342" i="3"/>
  <c r="D342" i="3"/>
  <c r="C342" i="3"/>
  <c r="E338" i="3"/>
  <c r="D338" i="3"/>
  <c r="C338" i="3"/>
  <c r="E337" i="3"/>
  <c r="D337" i="3"/>
  <c r="C337" i="3"/>
  <c r="E336" i="3"/>
  <c r="D336" i="3"/>
  <c r="C336" i="3"/>
  <c r="E335" i="3"/>
  <c r="D335" i="3"/>
  <c r="C335" i="3"/>
  <c r="E334" i="3"/>
  <c r="D334" i="3"/>
  <c r="C334" i="3"/>
  <c r="E333" i="3"/>
  <c r="D333" i="3"/>
  <c r="C333" i="3"/>
  <c r="E332" i="3"/>
  <c r="D332" i="3"/>
  <c r="C332" i="3"/>
  <c r="E331" i="3"/>
  <c r="D331" i="3"/>
  <c r="C331" i="3"/>
  <c r="E330" i="3"/>
  <c r="D330" i="3"/>
  <c r="C330" i="3"/>
  <c r="E327" i="3"/>
  <c r="D327" i="3"/>
  <c r="C327" i="3"/>
  <c r="E326" i="3"/>
  <c r="D326" i="3"/>
  <c r="C326" i="3"/>
  <c r="E323" i="3"/>
  <c r="D323" i="3"/>
  <c r="C323" i="3"/>
  <c r="E322" i="3"/>
  <c r="D322" i="3"/>
  <c r="C322" i="3"/>
  <c r="E319" i="3"/>
  <c r="D319" i="3"/>
  <c r="C319" i="3"/>
  <c r="E318" i="3"/>
  <c r="D318" i="3"/>
  <c r="C318" i="3"/>
  <c r="E314" i="3"/>
  <c r="D314" i="3"/>
  <c r="C314" i="3"/>
  <c r="E313" i="3"/>
  <c r="D313" i="3"/>
  <c r="C313" i="3"/>
  <c r="E311" i="3"/>
  <c r="D311" i="3"/>
  <c r="C311" i="3"/>
  <c r="E310" i="3"/>
  <c r="D310" i="3"/>
  <c r="C310" i="3"/>
  <c r="E308" i="3"/>
  <c r="D308" i="3"/>
  <c r="C308" i="3"/>
  <c r="E307" i="3"/>
  <c r="D307" i="3"/>
  <c r="C307" i="3"/>
  <c r="E305" i="3"/>
  <c r="D305" i="3"/>
  <c r="C305" i="3"/>
  <c r="E304" i="3"/>
  <c r="D304" i="3"/>
  <c r="C304" i="3"/>
  <c r="E303" i="3"/>
  <c r="D303" i="3"/>
  <c r="C303" i="3"/>
  <c r="E301" i="3"/>
  <c r="D301" i="3"/>
  <c r="C301" i="3"/>
  <c r="E300" i="3"/>
  <c r="D300" i="3"/>
  <c r="C300" i="3"/>
  <c r="E299" i="3"/>
  <c r="D299" i="3"/>
  <c r="C299" i="3"/>
  <c r="E298" i="3"/>
  <c r="D298" i="3"/>
  <c r="C298" i="3"/>
  <c r="E296" i="3"/>
  <c r="D296" i="3"/>
  <c r="C296" i="3"/>
  <c r="E295" i="3"/>
  <c r="D295" i="3"/>
  <c r="C295" i="3"/>
  <c r="E294" i="3"/>
  <c r="D294" i="3"/>
  <c r="C294" i="3"/>
  <c r="E293" i="3"/>
  <c r="D293" i="3"/>
  <c r="C293" i="3"/>
  <c r="E291" i="3"/>
  <c r="D291" i="3"/>
  <c r="C291" i="3"/>
  <c r="E290" i="3"/>
  <c r="D290" i="3"/>
  <c r="C290" i="3"/>
  <c r="E289" i="3"/>
  <c r="D289" i="3"/>
  <c r="C289" i="3"/>
  <c r="E288" i="3"/>
  <c r="D288" i="3"/>
  <c r="C288" i="3"/>
  <c r="E286" i="3"/>
  <c r="D286" i="3"/>
  <c r="C286" i="3"/>
  <c r="E285" i="3"/>
  <c r="D285" i="3"/>
  <c r="C285" i="3"/>
  <c r="E284" i="3"/>
  <c r="D284" i="3"/>
  <c r="C284" i="3"/>
  <c r="E283" i="3"/>
  <c r="D283" i="3"/>
  <c r="C283" i="3"/>
  <c r="E281" i="3"/>
  <c r="D281" i="3"/>
  <c r="C281" i="3"/>
  <c r="E280" i="3"/>
  <c r="D280" i="3"/>
  <c r="C280" i="3"/>
  <c r="E279" i="3"/>
  <c r="D279" i="3"/>
  <c r="C279" i="3"/>
  <c r="E278" i="3"/>
  <c r="D278" i="3"/>
  <c r="C278" i="3"/>
  <c r="E276" i="3"/>
  <c r="D276" i="3"/>
  <c r="C276" i="3"/>
  <c r="E275" i="3"/>
  <c r="D275" i="3"/>
  <c r="C275" i="3"/>
  <c r="E274" i="3"/>
  <c r="D274" i="3"/>
  <c r="C274" i="3"/>
  <c r="E273" i="3"/>
  <c r="D273" i="3"/>
  <c r="C273" i="3"/>
  <c r="E271" i="3"/>
  <c r="D271" i="3"/>
  <c r="C271" i="3"/>
  <c r="E270" i="3"/>
  <c r="D270" i="3"/>
  <c r="C270" i="3"/>
  <c r="E269" i="3"/>
  <c r="D269" i="3"/>
  <c r="C269" i="3"/>
  <c r="E268" i="3"/>
  <c r="D268" i="3"/>
  <c r="C268" i="3"/>
  <c r="E266" i="3"/>
  <c r="D266" i="3"/>
  <c r="C266" i="3"/>
  <c r="E265" i="3"/>
  <c r="D265" i="3"/>
  <c r="C265" i="3"/>
  <c r="E264" i="3"/>
  <c r="D264" i="3"/>
  <c r="C264" i="3"/>
  <c r="E263" i="3"/>
  <c r="D263" i="3"/>
  <c r="C263" i="3"/>
  <c r="E261" i="3"/>
  <c r="D261" i="3"/>
  <c r="C261" i="3"/>
  <c r="E260" i="3"/>
  <c r="D260" i="3"/>
  <c r="C260" i="3"/>
  <c r="E259" i="3"/>
  <c r="D259" i="3"/>
  <c r="C259" i="3"/>
  <c r="E258" i="3"/>
  <c r="D258" i="3"/>
  <c r="C258" i="3"/>
  <c r="E256" i="3"/>
  <c r="D256" i="3"/>
  <c r="C256" i="3"/>
  <c r="E255" i="3"/>
  <c r="D255" i="3"/>
  <c r="C255" i="3"/>
  <c r="E254" i="3"/>
  <c r="D254" i="3"/>
  <c r="C254" i="3"/>
  <c r="E253" i="3"/>
  <c r="D253" i="3"/>
  <c r="C253" i="3"/>
  <c r="E251" i="3"/>
  <c r="D251" i="3"/>
  <c r="C251" i="3"/>
  <c r="E250" i="3"/>
  <c r="D250" i="3"/>
  <c r="C250" i="3"/>
  <c r="E249" i="3"/>
  <c r="D249" i="3"/>
  <c r="C249" i="3"/>
  <c r="E248" i="3"/>
  <c r="D248" i="3"/>
  <c r="C248" i="3"/>
  <c r="E246" i="3"/>
  <c r="D246" i="3"/>
  <c r="C246" i="3"/>
  <c r="E245" i="3"/>
  <c r="D245" i="3"/>
  <c r="C245" i="3"/>
  <c r="E244" i="3"/>
  <c r="D244" i="3"/>
  <c r="C244" i="3"/>
  <c r="E243" i="3"/>
  <c r="D243" i="3"/>
  <c r="C243" i="3"/>
  <c r="E241" i="3"/>
  <c r="D241" i="3"/>
  <c r="C241" i="3"/>
  <c r="E240" i="3"/>
  <c r="D240" i="3"/>
  <c r="C240" i="3"/>
  <c r="E239" i="3"/>
  <c r="D239" i="3"/>
  <c r="C239" i="3"/>
  <c r="E238" i="3"/>
  <c r="D238" i="3"/>
  <c r="C238" i="3"/>
  <c r="E236" i="3"/>
  <c r="D236" i="3"/>
  <c r="C236" i="3"/>
  <c r="E235" i="3"/>
  <c r="D235" i="3"/>
  <c r="C235" i="3"/>
  <c r="E234" i="3"/>
  <c r="D234" i="3"/>
  <c r="C234" i="3"/>
  <c r="E233" i="3"/>
  <c r="D233" i="3"/>
  <c r="C233" i="3"/>
  <c r="E231" i="3"/>
  <c r="D231" i="3"/>
  <c r="C231" i="3"/>
  <c r="E230" i="3"/>
  <c r="D230" i="3"/>
  <c r="C230" i="3"/>
  <c r="E229" i="3"/>
  <c r="D229" i="3"/>
  <c r="C229" i="3"/>
  <c r="E228" i="3"/>
  <c r="D228" i="3"/>
  <c r="C228" i="3"/>
  <c r="E226" i="3"/>
  <c r="D226" i="3"/>
  <c r="C226" i="3"/>
  <c r="E225" i="3"/>
  <c r="D225" i="3"/>
  <c r="C225" i="3"/>
  <c r="E224" i="3"/>
  <c r="D224" i="3"/>
  <c r="C224" i="3"/>
  <c r="E223" i="3"/>
  <c r="D223" i="3"/>
  <c r="C223" i="3"/>
  <c r="E222" i="3"/>
  <c r="D222" i="3"/>
  <c r="C222" i="3"/>
  <c r="E221" i="3"/>
  <c r="D221" i="3"/>
  <c r="C221" i="3"/>
  <c r="E219" i="3"/>
  <c r="D219" i="3"/>
  <c r="C219" i="3"/>
  <c r="E218" i="3"/>
  <c r="D218" i="3"/>
  <c r="C218" i="3"/>
  <c r="E217" i="3"/>
  <c r="D217" i="3"/>
  <c r="C217" i="3"/>
  <c r="E216" i="3"/>
  <c r="D216" i="3"/>
  <c r="C216" i="3"/>
  <c r="E214" i="3"/>
  <c r="D214" i="3"/>
  <c r="C214" i="3"/>
  <c r="E213" i="3"/>
  <c r="D213" i="3"/>
  <c r="C213" i="3"/>
  <c r="E212" i="3"/>
  <c r="D212" i="3"/>
  <c r="C212" i="3"/>
  <c r="E211" i="3"/>
  <c r="D211" i="3"/>
  <c r="C211" i="3"/>
  <c r="E209" i="3"/>
  <c r="D209" i="3"/>
  <c r="C209" i="3"/>
  <c r="E208" i="3"/>
  <c r="D208" i="3"/>
  <c r="C208" i="3"/>
  <c r="E207" i="3"/>
  <c r="D207" i="3"/>
  <c r="C207" i="3"/>
  <c r="E206" i="3"/>
  <c r="D206" i="3"/>
  <c r="C206" i="3"/>
  <c r="E204" i="3"/>
  <c r="D204" i="3"/>
  <c r="C204" i="3"/>
  <c r="E203" i="3"/>
  <c r="D203" i="3"/>
  <c r="C203" i="3"/>
  <c r="E201" i="3"/>
  <c r="D201" i="3"/>
  <c r="C201" i="3"/>
  <c r="E200" i="3"/>
  <c r="D200" i="3"/>
  <c r="C200" i="3"/>
  <c r="E199" i="3"/>
  <c r="D199" i="3"/>
  <c r="C199" i="3"/>
  <c r="E197" i="3"/>
  <c r="D197" i="3"/>
  <c r="C197" i="3"/>
  <c r="E196" i="3"/>
  <c r="D196" i="3"/>
  <c r="C196" i="3"/>
  <c r="E195" i="3"/>
  <c r="D195" i="3"/>
  <c r="C195" i="3"/>
  <c r="E194" i="3"/>
  <c r="D194" i="3"/>
  <c r="C194" i="3"/>
  <c r="E193" i="3"/>
  <c r="D193" i="3"/>
  <c r="C193" i="3"/>
  <c r="E191" i="3"/>
  <c r="D191" i="3"/>
  <c r="C191" i="3"/>
  <c r="E190" i="3"/>
  <c r="D190" i="3"/>
  <c r="C190" i="3"/>
  <c r="E189" i="3"/>
  <c r="D189" i="3"/>
  <c r="C189" i="3"/>
  <c r="E187" i="3"/>
  <c r="D187" i="3"/>
  <c r="C187" i="3"/>
  <c r="E186" i="3"/>
  <c r="D186" i="3"/>
  <c r="C186" i="3"/>
  <c r="E185" i="3"/>
  <c r="D185" i="3"/>
  <c r="C185" i="3"/>
  <c r="E184" i="3"/>
  <c r="D184" i="3"/>
  <c r="C184" i="3"/>
  <c r="E183" i="3"/>
  <c r="D183" i="3"/>
  <c r="C183" i="3"/>
  <c r="E182" i="3"/>
  <c r="D182" i="3"/>
  <c r="C182" i="3"/>
  <c r="E181" i="3"/>
  <c r="D181" i="3"/>
  <c r="C181" i="3"/>
  <c r="E179" i="3"/>
  <c r="D179" i="3"/>
  <c r="C179" i="3"/>
  <c r="E178" i="3"/>
  <c r="D178" i="3"/>
  <c r="C178" i="3"/>
  <c r="E177" i="3"/>
  <c r="D177" i="3"/>
  <c r="C177" i="3"/>
  <c r="E176" i="3"/>
  <c r="D176" i="3"/>
  <c r="C176" i="3"/>
  <c r="E174" i="3"/>
  <c r="D174" i="3"/>
  <c r="C174" i="3"/>
  <c r="E173" i="3"/>
  <c r="D173" i="3"/>
  <c r="C173" i="3"/>
  <c r="E172" i="3"/>
  <c r="D172" i="3"/>
  <c r="C172" i="3"/>
  <c r="E171" i="3"/>
  <c r="D171" i="3"/>
  <c r="C171" i="3"/>
  <c r="E169" i="3"/>
  <c r="D169" i="3"/>
  <c r="C169" i="3"/>
  <c r="E168" i="3"/>
  <c r="D168" i="3"/>
  <c r="C168" i="3"/>
  <c r="E167" i="3"/>
  <c r="D167" i="3"/>
  <c r="C167" i="3"/>
  <c r="E165" i="3"/>
  <c r="D165" i="3"/>
  <c r="C165" i="3"/>
  <c r="E164" i="3"/>
  <c r="D164" i="3"/>
  <c r="C164" i="3"/>
  <c r="E162" i="3"/>
  <c r="D162" i="3"/>
  <c r="C162" i="3"/>
  <c r="E161" i="3"/>
  <c r="D161" i="3"/>
  <c r="C161" i="3"/>
  <c r="E160" i="3"/>
  <c r="D160" i="3"/>
  <c r="C160" i="3"/>
  <c r="E159" i="3"/>
  <c r="D159" i="3"/>
  <c r="C159" i="3"/>
  <c r="E157" i="3"/>
  <c r="D157" i="3"/>
  <c r="C157" i="3"/>
  <c r="E156" i="3"/>
  <c r="D156" i="3"/>
  <c r="C156" i="3"/>
  <c r="E155" i="3"/>
  <c r="D155" i="3"/>
  <c r="C155" i="3"/>
  <c r="E154" i="3"/>
  <c r="D154" i="3"/>
  <c r="C154" i="3"/>
  <c r="E152" i="3"/>
  <c r="D152" i="3"/>
  <c r="C152" i="3"/>
  <c r="E151" i="3"/>
  <c r="D151" i="3"/>
  <c r="C151" i="3"/>
  <c r="E150" i="3"/>
  <c r="D150" i="3"/>
  <c r="C150" i="3"/>
  <c r="E149" i="3"/>
  <c r="D149" i="3"/>
  <c r="C149" i="3"/>
  <c r="E147" i="3"/>
  <c r="D147" i="3"/>
  <c r="C147" i="3"/>
  <c r="E146" i="3"/>
  <c r="D146" i="3"/>
  <c r="C146" i="3"/>
  <c r="E145" i="3"/>
  <c r="D145" i="3"/>
  <c r="C145" i="3"/>
  <c r="E144" i="3"/>
  <c r="D144" i="3"/>
  <c r="C144" i="3"/>
  <c r="E143" i="3"/>
  <c r="D143" i="3"/>
  <c r="C143" i="3"/>
  <c r="E142" i="3"/>
  <c r="D142" i="3"/>
  <c r="C142" i="3"/>
  <c r="E141" i="3"/>
  <c r="D141" i="3"/>
  <c r="C141" i="3"/>
  <c r="E140" i="3"/>
  <c r="D140" i="3"/>
  <c r="C140" i="3"/>
  <c r="E139" i="3"/>
  <c r="D139" i="3"/>
  <c r="C139" i="3"/>
  <c r="E138" i="3"/>
  <c r="D138" i="3"/>
  <c r="C138" i="3"/>
  <c r="E137" i="3"/>
  <c r="D137" i="3"/>
  <c r="C137" i="3"/>
  <c r="E136" i="3"/>
  <c r="D136" i="3"/>
  <c r="C136" i="3"/>
  <c r="E134" i="3"/>
  <c r="D134" i="3"/>
  <c r="C134" i="3"/>
  <c r="E133" i="3"/>
  <c r="D133" i="3"/>
  <c r="C133" i="3"/>
  <c r="E131" i="3"/>
  <c r="D131" i="3"/>
  <c r="C131" i="3"/>
  <c r="E130" i="3"/>
  <c r="D130" i="3"/>
  <c r="C130" i="3"/>
  <c r="E128" i="3"/>
  <c r="D128" i="3"/>
  <c r="C128" i="3"/>
  <c r="E127" i="3"/>
  <c r="D127" i="3"/>
  <c r="C127" i="3"/>
  <c r="E125" i="3"/>
  <c r="D125" i="3"/>
  <c r="C125" i="3"/>
  <c r="E124" i="3"/>
  <c r="D124" i="3"/>
  <c r="C124" i="3"/>
  <c r="E123" i="3"/>
  <c r="D123" i="3"/>
  <c r="C123" i="3"/>
  <c r="E122" i="3"/>
  <c r="D122" i="3"/>
  <c r="C122" i="3"/>
  <c r="E121" i="3"/>
  <c r="D121" i="3"/>
  <c r="C121" i="3"/>
  <c r="E120" i="3"/>
  <c r="D120" i="3"/>
  <c r="C120" i="3"/>
  <c r="E119" i="3"/>
  <c r="D119" i="3"/>
  <c r="C119" i="3"/>
  <c r="E118" i="3"/>
  <c r="D118" i="3"/>
  <c r="C118" i="3"/>
  <c r="E117" i="3"/>
  <c r="D117" i="3"/>
  <c r="C117" i="3"/>
  <c r="E116" i="3"/>
  <c r="D116" i="3"/>
  <c r="C116" i="3"/>
  <c r="E114" i="3"/>
  <c r="D114" i="3"/>
  <c r="C114" i="3"/>
  <c r="E113" i="3"/>
  <c r="D113" i="3"/>
  <c r="C113" i="3"/>
  <c r="E111" i="3"/>
  <c r="D111" i="3"/>
  <c r="C111" i="3"/>
  <c r="E110" i="3"/>
  <c r="D110" i="3"/>
  <c r="C110" i="3"/>
  <c r="E108" i="3"/>
  <c r="D108" i="3"/>
  <c r="C108" i="3"/>
  <c r="E107" i="3"/>
  <c r="D107" i="3"/>
  <c r="C107" i="3"/>
  <c r="E105" i="3"/>
  <c r="D105" i="3"/>
  <c r="C105" i="3"/>
  <c r="E104" i="3"/>
  <c r="D104" i="3"/>
  <c r="C104" i="3"/>
  <c r="E103" i="3"/>
  <c r="D103" i="3"/>
  <c r="C103" i="3"/>
  <c r="E102" i="3"/>
  <c r="D102" i="3"/>
  <c r="C102" i="3"/>
  <c r="E101" i="3"/>
  <c r="D101" i="3"/>
  <c r="C101" i="3"/>
  <c r="E100" i="3"/>
  <c r="D100" i="3"/>
  <c r="C100" i="3"/>
  <c r="E99" i="3"/>
  <c r="D99" i="3"/>
  <c r="C99" i="3"/>
  <c r="E98" i="3"/>
  <c r="D98" i="3"/>
  <c r="C98" i="3"/>
  <c r="E97" i="3"/>
  <c r="D97" i="3"/>
  <c r="C97" i="3"/>
  <c r="E96" i="3"/>
  <c r="D96" i="3"/>
  <c r="C96" i="3"/>
  <c r="E95" i="3"/>
  <c r="D95" i="3"/>
  <c r="C95" i="3"/>
  <c r="E94" i="3"/>
  <c r="D94" i="3"/>
  <c r="E91" i="3"/>
  <c r="D91" i="3"/>
  <c r="C91" i="3"/>
  <c r="E90" i="3"/>
  <c r="D90" i="3"/>
  <c r="C90" i="3"/>
  <c r="E89" i="3"/>
  <c r="D89" i="3"/>
  <c r="C89" i="3"/>
  <c r="E86" i="3"/>
  <c r="D86" i="3"/>
  <c r="C86" i="3"/>
  <c r="E85" i="3"/>
  <c r="D85" i="3"/>
  <c r="C85" i="3"/>
  <c r="E84" i="3"/>
  <c r="D84" i="3"/>
  <c r="C84" i="3"/>
  <c r="E81" i="3"/>
  <c r="D81" i="3"/>
  <c r="C81" i="3"/>
  <c r="E80" i="3"/>
  <c r="D80" i="3"/>
  <c r="C80" i="3"/>
  <c r="E76" i="3"/>
  <c r="D76" i="3"/>
  <c r="C76" i="3"/>
  <c r="E74" i="3"/>
  <c r="D74" i="3"/>
  <c r="C74" i="3"/>
  <c r="E73" i="3"/>
  <c r="D73" i="3"/>
  <c r="C73" i="3"/>
  <c r="E71" i="3"/>
  <c r="D71" i="3"/>
  <c r="C71" i="3"/>
  <c r="E70" i="3"/>
  <c r="D70" i="3"/>
  <c r="C70" i="3"/>
  <c r="E69" i="3"/>
  <c r="D69" i="3"/>
  <c r="C69" i="3"/>
  <c r="E67" i="3"/>
  <c r="D67" i="3"/>
  <c r="C67" i="3"/>
  <c r="E66" i="3"/>
  <c r="D66" i="3"/>
  <c r="C66" i="3"/>
  <c r="E65" i="3"/>
  <c r="D65" i="3"/>
  <c r="C65" i="3"/>
  <c r="E64" i="3"/>
  <c r="D64" i="3"/>
  <c r="C64" i="3"/>
  <c r="E62" i="3"/>
  <c r="D62" i="3"/>
  <c r="C62" i="3"/>
  <c r="E61" i="3"/>
  <c r="D61" i="3"/>
  <c r="C61" i="3"/>
  <c r="E60" i="3"/>
  <c r="D60" i="3"/>
  <c r="C60" i="3"/>
  <c r="E58" i="3"/>
  <c r="D58" i="3"/>
  <c r="C58" i="3"/>
  <c r="E57" i="3"/>
  <c r="D57" i="3"/>
  <c r="C57" i="3"/>
  <c r="E56" i="3"/>
  <c r="D56" i="3"/>
  <c r="C56" i="3"/>
  <c r="E54" i="3"/>
  <c r="D54" i="3"/>
  <c r="C54" i="3"/>
  <c r="E53" i="3"/>
  <c r="D53" i="3"/>
  <c r="C53" i="3"/>
  <c r="E52" i="3"/>
  <c r="D52" i="3"/>
  <c r="C52" i="3"/>
  <c r="E50" i="3"/>
  <c r="D50" i="3"/>
  <c r="C50" i="3"/>
  <c r="E48" i="3"/>
  <c r="D48" i="3"/>
  <c r="C48" i="3"/>
  <c r="E46" i="3"/>
  <c r="D46" i="3"/>
  <c r="C46" i="3"/>
  <c r="E44" i="3"/>
  <c r="D44" i="3"/>
  <c r="C44" i="3"/>
  <c r="E42" i="3"/>
  <c r="D42" i="3"/>
  <c r="C42" i="3"/>
  <c r="E40" i="3"/>
  <c r="D40" i="3"/>
  <c r="C40" i="3"/>
  <c r="E38" i="3"/>
  <c r="D38" i="3"/>
  <c r="C38" i="3"/>
  <c r="E36" i="3"/>
  <c r="D36" i="3"/>
  <c r="C36" i="3"/>
  <c r="E32" i="3"/>
  <c r="D32" i="3"/>
  <c r="C32" i="3"/>
  <c r="E28" i="3"/>
  <c r="D28" i="3"/>
  <c r="C28" i="3"/>
  <c r="E26" i="3"/>
  <c r="D26" i="3"/>
  <c r="C26" i="3"/>
  <c r="E25" i="3"/>
  <c r="D25" i="3"/>
  <c r="C25" i="3"/>
  <c r="E24" i="3"/>
  <c r="D24" i="3"/>
  <c r="C24" i="3"/>
  <c r="E23" i="3"/>
  <c r="D23" i="3"/>
  <c r="C23" i="3"/>
  <c r="E22" i="3"/>
  <c r="D22" i="3"/>
  <c r="C22" i="3"/>
  <c r="E21" i="3"/>
  <c r="D21" i="3"/>
  <c r="C21" i="3"/>
  <c r="E20" i="3"/>
  <c r="D20" i="3"/>
  <c r="C20" i="3"/>
  <c r="E19" i="3"/>
  <c r="D19" i="3"/>
  <c r="C19" i="3"/>
  <c r="E18" i="3"/>
  <c r="D18" i="3"/>
  <c r="C18" i="3"/>
  <c r="E17" i="3"/>
  <c r="D17" i="3"/>
  <c r="C17" i="3"/>
  <c r="E16" i="3"/>
  <c r="D16" i="3"/>
  <c r="C16" i="3"/>
  <c r="E15" i="3"/>
  <c r="D15" i="3"/>
  <c r="C15" i="3"/>
  <c r="E14" i="3"/>
  <c r="D14" i="3"/>
  <c r="C14" i="3"/>
  <c r="E13" i="3"/>
  <c r="D13" i="3"/>
  <c r="C13" i="3"/>
  <c r="E12" i="3"/>
  <c r="D12" i="3"/>
  <c r="C12" i="3"/>
  <c r="E11" i="3"/>
  <c r="D11" i="3"/>
  <c r="C11" i="3"/>
  <c r="E10" i="3"/>
  <c r="D10" i="3"/>
  <c r="C10" i="3"/>
  <c r="E9" i="3"/>
  <c r="D9" i="3"/>
  <c r="C9" i="3"/>
  <c r="E8" i="3"/>
  <c r="D8" i="3"/>
  <c r="C8" i="3"/>
  <c r="E7" i="3"/>
  <c r="D7" i="3"/>
  <c r="C7" i="3"/>
  <c r="E6" i="3"/>
  <c r="D6" i="3"/>
  <c r="C6" i="3"/>
  <c r="E5" i="3"/>
  <c r="D5" i="3"/>
  <c r="C5" i="3"/>
  <c r="E4" i="3"/>
  <c r="D4" i="3"/>
  <c r="C4" i="3"/>
  <c r="E3" i="3"/>
  <c r="D3" i="3"/>
  <c r="C3" i="3"/>
  <c r="G342" i="3"/>
  <c r="G337" i="3"/>
  <c r="G336" i="3"/>
  <c r="G335" i="3"/>
  <c r="G334" i="3"/>
  <c r="G333" i="3"/>
  <c r="G332" i="3"/>
  <c r="G331" i="3"/>
  <c r="G330" i="3"/>
  <c r="G327" i="3"/>
  <c r="G326" i="3"/>
  <c r="G323" i="3"/>
  <c r="G322" i="3"/>
  <c r="G319" i="3"/>
  <c r="G318" i="3"/>
  <c r="G314" i="3"/>
  <c r="G313" i="3"/>
  <c r="G311" i="3"/>
  <c r="G310" i="3"/>
  <c r="G308" i="3"/>
  <c r="G307" i="3"/>
  <c r="G305" i="3"/>
  <c r="G304" i="3"/>
  <c r="G303" i="3"/>
  <c r="G301" i="3"/>
  <c r="G300" i="3"/>
  <c r="G299" i="3"/>
  <c r="G298" i="3"/>
  <c r="G296" i="3"/>
  <c r="G295" i="3"/>
  <c r="G294" i="3"/>
  <c r="G293" i="3"/>
  <c r="G291" i="3"/>
  <c r="G290" i="3"/>
  <c r="G289" i="3"/>
  <c r="G288" i="3"/>
  <c r="G286" i="3"/>
  <c r="G285" i="3"/>
  <c r="G284" i="3"/>
  <c r="G283" i="3"/>
  <c r="G281" i="3"/>
  <c r="G280" i="3"/>
  <c r="G279" i="3"/>
  <c r="G278" i="3"/>
  <c r="G276" i="3"/>
  <c r="G275" i="3"/>
  <c r="G274" i="3"/>
  <c r="G273" i="3"/>
  <c r="G271" i="3"/>
  <c r="G270" i="3"/>
  <c r="G269" i="3"/>
  <c r="G268" i="3"/>
  <c r="G266" i="3"/>
  <c r="G265" i="3"/>
  <c r="G264" i="3"/>
  <c r="G263" i="3"/>
  <c r="G261" i="3"/>
  <c r="G260" i="3"/>
  <c r="G259" i="3"/>
  <c r="G258" i="3"/>
  <c r="G256" i="3"/>
  <c r="G255" i="3"/>
  <c r="G254" i="3"/>
  <c r="G253" i="3"/>
  <c r="G251" i="3"/>
  <c r="G250" i="3"/>
  <c r="G249" i="3"/>
  <c r="G248" i="3"/>
  <c r="G246" i="3"/>
  <c r="G245" i="3"/>
  <c r="G244" i="3"/>
  <c r="G243" i="3"/>
  <c r="G241" i="3"/>
  <c r="G240" i="3"/>
  <c r="G239" i="3"/>
  <c r="G238" i="3"/>
  <c r="G236" i="3"/>
  <c r="G235" i="3"/>
  <c r="G234" i="3"/>
  <c r="G233" i="3"/>
  <c r="G231" i="3"/>
  <c r="G230" i="3"/>
  <c r="G229" i="3"/>
  <c r="G228" i="3"/>
  <c r="G226" i="3"/>
  <c r="G225" i="3"/>
  <c r="G224" i="3"/>
  <c r="G223" i="3"/>
  <c r="G222" i="3"/>
  <c r="G221" i="3"/>
  <c r="G219" i="3"/>
  <c r="G218" i="3"/>
  <c r="G217" i="3"/>
  <c r="G216" i="3"/>
  <c r="G214" i="3"/>
  <c r="G213" i="3"/>
  <c r="G212" i="3"/>
  <c r="G211" i="3"/>
  <c r="G209" i="3"/>
  <c r="G208" i="3"/>
  <c r="G207" i="3"/>
  <c r="G206" i="3"/>
  <c r="G204" i="3"/>
  <c r="G203" i="3"/>
  <c r="G201" i="3"/>
  <c r="G200" i="3"/>
  <c r="G199" i="3"/>
  <c r="G197" i="3"/>
  <c r="G196" i="3"/>
  <c r="G195" i="3"/>
  <c r="G194" i="3"/>
  <c r="G193" i="3"/>
  <c r="G191" i="3"/>
  <c r="G190" i="3"/>
  <c r="G189" i="3"/>
  <c r="G187" i="3"/>
  <c r="G186" i="3"/>
  <c r="G185" i="3"/>
  <c r="G184" i="3"/>
  <c r="G183" i="3"/>
  <c r="G182" i="3"/>
  <c r="G181" i="3"/>
  <c r="G179" i="3"/>
  <c r="G178" i="3"/>
  <c r="G177" i="3"/>
  <c r="G176" i="3"/>
  <c r="G174" i="3"/>
  <c r="G173" i="3"/>
  <c r="G172" i="3"/>
  <c r="G171" i="3"/>
  <c r="G169" i="3"/>
  <c r="G168" i="3"/>
  <c r="G167" i="3"/>
  <c r="G165" i="3"/>
  <c r="G164" i="3"/>
  <c r="G162" i="3"/>
  <c r="G161" i="3"/>
  <c r="G160" i="3"/>
  <c r="G159" i="3"/>
  <c r="G157" i="3"/>
  <c r="G156" i="3"/>
  <c r="G155" i="3"/>
  <c r="G154" i="3"/>
  <c r="G152" i="3"/>
  <c r="G151" i="3"/>
  <c r="G150" i="3"/>
  <c r="G149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4" i="3"/>
  <c r="G133" i="3"/>
  <c r="G131" i="3"/>
  <c r="G130" i="3"/>
  <c r="G128" i="3"/>
  <c r="G127" i="3"/>
  <c r="G125" i="3"/>
  <c r="G124" i="3"/>
  <c r="G123" i="3"/>
  <c r="G122" i="3"/>
  <c r="G121" i="3"/>
  <c r="G120" i="3"/>
  <c r="G119" i="3"/>
  <c r="G118" i="3"/>
  <c r="G117" i="3"/>
  <c r="G116" i="3"/>
  <c r="G114" i="3"/>
  <c r="G113" i="3"/>
  <c r="G111" i="3"/>
  <c r="G110" i="3"/>
  <c r="G108" i="3"/>
  <c r="G107" i="3"/>
  <c r="G105" i="3"/>
  <c r="G104" i="3"/>
  <c r="G103" i="3"/>
  <c r="G102" i="3"/>
  <c r="G101" i="3"/>
  <c r="G100" i="3"/>
  <c r="G99" i="3"/>
  <c r="G98" i="3"/>
  <c r="G97" i="3"/>
  <c r="G96" i="3"/>
  <c r="G95" i="3"/>
  <c r="G94" i="3"/>
  <c r="G91" i="3"/>
  <c r="G90" i="3"/>
  <c r="G89" i="3"/>
  <c r="G86" i="3"/>
  <c r="G85" i="3"/>
  <c r="G84" i="3"/>
  <c r="G81" i="3"/>
  <c r="G80" i="3"/>
  <c r="G76" i="3"/>
  <c r="G74" i="3"/>
  <c r="G73" i="3"/>
  <c r="G71" i="3"/>
  <c r="G70" i="3"/>
  <c r="G69" i="3"/>
  <c r="G67" i="3"/>
  <c r="G66" i="3"/>
  <c r="G65" i="3"/>
  <c r="G64" i="3"/>
  <c r="G62" i="3"/>
  <c r="G61" i="3"/>
  <c r="G60" i="3"/>
  <c r="G58" i="3"/>
  <c r="G57" i="3"/>
  <c r="G56" i="3"/>
  <c r="G54" i="3"/>
  <c r="G53" i="3"/>
  <c r="G52" i="3"/>
  <c r="G50" i="3"/>
  <c r="G48" i="3"/>
  <c r="G46" i="3"/>
  <c r="G44" i="3"/>
  <c r="G42" i="3"/>
  <c r="G40" i="3"/>
  <c r="G38" i="3"/>
  <c r="G36" i="3"/>
  <c r="G32" i="3"/>
  <c r="G28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E2" i="3"/>
  <c r="D2" i="3"/>
  <c r="C2" i="3"/>
  <c r="H333" i="3"/>
  <c r="H323" i="3"/>
  <c r="AG433" i="23"/>
  <c r="AH433" i="23"/>
</calcChain>
</file>

<file path=xl/sharedStrings.xml><?xml version="1.0" encoding="utf-8"?>
<sst xmlns="http://schemas.openxmlformats.org/spreadsheetml/2006/main" count="1757" uniqueCount="349">
  <si>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</si>
  <si>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</si>
  <si>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</si>
  <si>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</si>
  <si>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</si>
  <si>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</si>
  <si>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</si>
  <si>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</si>
  <si>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</si>
  <si>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</si>
  <si>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</si>
  <si>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</si>
  <si>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</si>
  <si>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</si>
  <si>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</si>
  <si>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</si>
  <si>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</si>
  <si>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累計値</t>
  </si>
  <si>
    <t>PremiumL</t>
    <phoneticPr fontId="9"/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</si>
  <si>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</si>
  <si>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</si>
  <si>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</si>
  <si>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</si>
  <si>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</si>
  <si>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</si>
  <si>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</si>
  <si>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</si>
  <si>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</si>
  <si>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level</t>
  </si>
  <si>
    <t>character_id</t>
    <phoneticPr fontId="9"/>
  </si>
  <si>
    <t>quest_id</t>
    <phoneticPr fontId="9"/>
  </si>
  <si>
    <t>stage_id</t>
    <phoneticPr fontId="13"/>
  </si>
  <si>
    <t>防御係数</t>
    <rPh sb="0" eb="2">
      <t>ボウギョ</t>
    </rPh>
    <rPh sb="2" eb="4">
      <t>ケイスウ</t>
    </rPh>
    <phoneticPr fontId="10"/>
  </si>
  <si>
    <t>スキル進化素材</t>
    <rPh sb="3" eb="7">
      <t>シンカソザイ</t>
    </rPh>
    <phoneticPr fontId="10"/>
  </si>
  <si>
    <t>PremiumW</t>
    <phoneticPr fontId="9"/>
  </si>
  <si>
    <t>PremiumN</t>
    <phoneticPr fontId="9"/>
  </si>
  <si>
    <t>Material</t>
    <phoneticPr fontId="9"/>
  </si>
  <si>
    <t>PremiumSS</t>
    <phoneticPr fontId="9"/>
  </si>
  <si>
    <t>PremiumSSS</t>
    <phoneticPr fontId="9"/>
  </si>
  <si>
    <t>PremiumL</t>
    <phoneticPr fontId="9"/>
  </si>
  <si>
    <t>-</t>
    <phoneticPr fontId="9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</si>
  <si>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</si>
  <si>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</si>
  <si>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</si>
  <si>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</si>
  <si>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</si>
  <si>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アタッカー</t>
    <phoneticPr fontId="10"/>
  </si>
  <si>
    <t>アタッカーバッファー</t>
    <phoneticPr fontId="10"/>
  </si>
  <si>
    <t>ハングアッパー</t>
    <phoneticPr fontId="10"/>
  </si>
  <si>
    <t>バッファー</t>
    <phoneticPr fontId="10"/>
  </si>
  <si>
    <t>ヒーラー</t>
    <phoneticPr fontId="10"/>
  </si>
  <si>
    <t>ヒーラー</t>
    <phoneticPr fontId="10"/>
  </si>
  <si>
    <t>アタッカー</t>
    <phoneticPr fontId="10"/>
  </si>
  <si>
    <t>ウイルサー</t>
    <phoneticPr fontId="10"/>
  </si>
  <si>
    <t>強化素材</t>
    <rPh sb="0" eb="4">
      <t>キョウカソザイ</t>
    </rPh>
    <phoneticPr fontId="10"/>
  </si>
  <si>
    <t>進化素材</t>
    <rPh sb="0" eb="2">
      <t>シンカ</t>
    </rPh>
    <rPh sb="2" eb="4">
      <t>ソザイ</t>
    </rPh>
    <phoneticPr fontId="10"/>
  </si>
  <si>
    <t>売却素材</t>
    <rPh sb="0" eb="4">
      <t>バイキャクソザイ</t>
    </rPh>
    <phoneticPr fontId="10"/>
  </si>
  <si>
    <t>限界突破素材</t>
    <rPh sb="0" eb="6">
      <t>ゲンカイトッパソザイ</t>
    </rPh>
    <phoneticPr fontId="10"/>
  </si>
  <si>
    <t>character_main_tribe_id</t>
    <phoneticPr fontId="10"/>
  </si>
  <si>
    <t>character_sub_tribe_id</t>
    <phoneticPr fontId="10"/>
  </si>
  <si>
    <t>Drop1T</t>
    <phoneticPr fontId="9"/>
  </si>
  <si>
    <t>Drop1S</t>
    <phoneticPr fontId="9"/>
  </si>
  <si>
    <t>Drop2W</t>
    <phoneticPr fontId="9"/>
  </si>
  <si>
    <t>Drop2S</t>
    <phoneticPr fontId="9"/>
  </si>
  <si>
    <t>調整後</t>
    <rPh sb="0" eb="2">
      <t>チョウセイ</t>
    </rPh>
    <rPh sb="2" eb="3">
      <t>アト</t>
    </rPh>
    <phoneticPr fontId="10"/>
  </si>
  <si>
    <t>PremiumN</t>
  </si>
  <si>
    <t>PremiumW</t>
  </si>
  <si>
    <t>Drop2N</t>
  </si>
  <si>
    <t>Drop2W</t>
  </si>
  <si>
    <t>Drop1S</t>
  </si>
  <si>
    <t>Drop1T</t>
  </si>
  <si>
    <t>PremiumW</t>
    <phoneticPr fontId="9"/>
  </si>
  <si>
    <t>Material</t>
    <phoneticPr fontId="9"/>
  </si>
  <si>
    <t>使用せず</t>
    <rPh sb="0" eb="2">
      <t>シヨウ</t>
    </rPh>
    <phoneticPr fontId="9"/>
  </si>
  <si>
    <t>character_id</t>
    <phoneticPr fontId="14"/>
  </si>
  <si>
    <t>target_status</t>
    <phoneticPr fontId="14"/>
  </si>
  <si>
    <t>value</t>
    <phoneticPr fontId="14"/>
  </si>
  <si>
    <t>hp</t>
    <phoneticPr fontId="14"/>
  </si>
  <si>
    <t>attack</t>
    <phoneticPr fontId="14"/>
  </si>
  <si>
    <t>heal</t>
    <phoneticPr fontId="14"/>
  </si>
  <si>
    <t>skill</t>
    <phoneticPr fontId="14"/>
  </si>
  <si>
    <t>material_character_id</t>
  </si>
  <si>
    <t>material_count</t>
  </si>
  <si>
    <t>base_character_id</t>
    <phoneticPr fontId="9"/>
  </si>
  <si>
    <t>awake_price</t>
    <phoneticPr fontId="11"/>
  </si>
  <si>
    <t>ラベル/レアリティ</t>
    <phoneticPr fontId="9"/>
  </si>
  <si>
    <t>Drop2N</t>
    <phoneticPr fontId="9"/>
  </si>
  <si>
    <t>Drop2S</t>
    <phoneticPr fontId="9"/>
  </si>
  <si>
    <t>Drop2S</t>
    <phoneticPr fontId="9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</si>
  <si>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</si>
  <si>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</si>
  <si>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</si>
  <si>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</si>
  <si>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3"/>
  </si>
  <si>
    <t>name</t>
    <phoneticPr fontId="14"/>
  </si>
  <si>
    <t>name</t>
    <phoneticPr fontId="10"/>
  </si>
  <si>
    <t>name</t>
    <phoneticPr fontId="10"/>
  </si>
  <si>
    <t>awake_price</t>
    <phoneticPr fontId="10"/>
  </si>
  <si>
    <t>quest_id</t>
    <phoneticPr fontId="24"/>
  </si>
  <si>
    <t>stage_id</t>
    <phoneticPr fontId="24"/>
  </si>
  <si>
    <t>target_status</t>
  </si>
  <si>
    <t>value</t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</si>
  <si>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</si>
  <si>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</si>
  <si>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</si>
  <si>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</si>
  <si>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</si>
  <si>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</si>
  <si>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</si>
  <si>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</si>
  <si>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</si>
  <si>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</si>
  <si>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</si>
  <si>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</si>
  <si>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NULL</t>
    <phoneticPr fontId="10"/>
  </si>
  <si>
    <t>level</t>
    <phoneticPr fontId="11"/>
  </si>
  <si>
    <t>soldprice_rate</t>
  </si>
  <si>
    <t>soldprice_rate</t>
    <phoneticPr fontId="11"/>
  </si>
  <si>
    <t>level</t>
    <phoneticPr fontId="11"/>
  </si>
  <si>
    <t>material_exp</t>
    <phoneticPr fontId="11"/>
  </si>
  <si>
    <t>material_exp</t>
    <phoneticPr fontId="24"/>
  </si>
  <si>
    <t>level</t>
    <phoneticPr fontId="9"/>
  </si>
  <si>
    <t>required_exp_200</t>
  </si>
  <si>
    <t>required_exp_150</t>
  </si>
  <si>
    <t>required_exp_100</t>
  </si>
  <si>
    <t>required_exp_70</t>
  </si>
  <si>
    <t>required_exp_50</t>
  </si>
  <si>
    <t>required_exp_300</t>
  </si>
  <si>
    <t>required_exp_400</t>
  </si>
  <si>
    <t>required_exp_250</t>
  </si>
  <si>
    <t>required_exp_50</t>
    <phoneticPr fontId="9"/>
  </si>
  <si>
    <t>required_exp_50</t>
    <phoneticPr fontId="24"/>
  </si>
  <si>
    <t>required_exp_70</t>
    <phoneticPr fontId="24"/>
  </si>
  <si>
    <t>required_exp_100</t>
    <phoneticPr fontId="24"/>
  </si>
  <si>
    <t>required_exp_150</t>
    <phoneticPr fontId="24"/>
  </si>
  <si>
    <t>required_exp_200</t>
    <phoneticPr fontId="24"/>
  </si>
  <si>
    <t>required_exp_250</t>
    <phoneticPr fontId="24"/>
  </si>
  <si>
    <t>required_exp_300</t>
    <phoneticPr fontId="24"/>
  </si>
  <si>
    <t>required_exp_400</t>
    <phoneticPr fontId="24"/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</si>
  <si>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</si>
  <si>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</si>
  <si>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</si>
  <si>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</si>
  <si>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</si>
  <si>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</si>
  <si>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</si>
  <si>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</si>
  <si>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</si>
  <si>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</si>
  <si>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</si>
  <si>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</si>
  <si>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</si>
  <si>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</si>
  <si>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</si>
  <si>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</si>
  <si>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</si>
  <si>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</si>
  <si>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</si>
  <si>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</si>
  <si>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</si>
  <si>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</si>
  <si>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</si>
  <si>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NULL</t>
    <phoneticPr fontId="10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</si>
  <si>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</si>
  <si>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</si>
  <si>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</si>
  <si>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</si>
  <si>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</si>
  <si>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</si>
  <si>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</si>
  <si>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</si>
  <si>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</si>
  <si>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</si>
  <si>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</si>
  <si>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</si>
  <si>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</si>
  <si>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</si>
  <si>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</si>
  <si>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バッファー</t>
    <phoneticPr fontId="27"/>
  </si>
  <si>
    <t>パネルコンバーター</t>
    <phoneticPr fontId="27"/>
  </si>
  <si>
    <t>バッファー</t>
    <phoneticPr fontId="9"/>
  </si>
  <si>
    <t>デバッファー</t>
    <phoneticPr fontId="27"/>
  </si>
  <si>
    <t>デバッファー</t>
    <phoneticPr fontId="9"/>
  </si>
  <si>
    <t>ヒーラー</t>
    <phoneticPr fontId="9"/>
  </si>
  <si>
    <t>アタッカー</t>
    <phoneticPr fontId="9"/>
  </si>
  <si>
    <t>アタッカー</t>
    <phoneticPr fontId="27"/>
  </si>
  <si>
    <t>ヒーラー</t>
    <phoneticPr fontId="27"/>
  </si>
  <si>
    <t>パネルコンバーター</t>
    <phoneticPr fontId="27"/>
  </si>
  <si>
    <t>スキルサポーター</t>
    <phoneticPr fontId="27"/>
  </si>
  <si>
    <t>ヒーラー</t>
    <phoneticPr fontId="10"/>
  </si>
  <si>
    <t>デバッファー</t>
    <phoneticPr fontId="10"/>
  </si>
  <si>
    <t>バッファー</t>
    <phoneticPr fontId="10"/>
  </si>
  <si>
    <t>バッファー</t>
    <phoneticPr fontId="10"/>
  </si>
  <si>
    <t>ヒーラー</t>
    <phoneticPr fontId="10"/>
  </si>
  <si>
    <t>デバッファー</t>
    <phoneticPr fontId="10"/>
  </si>
  <si>
    <t>パネルコンバーター</t>
    <phoneticPr fontId="10"/>
  </si>
  <si>
    <t>ヒーラー</t>
    <phoneticPr fontId="10"/>
  </si>
  <si>
    <t>アタッカー</t>
    <phoneticPr fontId="10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</si>
  <si>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</si>
  <si>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</si>
  <si>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</si>
  <si>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rare</t>
    <phoneticPr fontId="24"/>
  </si>
  <si>
    <t>min</t>
    <phoneticPr fontId="24"/>
  </si>
  <si>
    <t>max</t>
    <phoneticPr fontId="24"/>
  </si>
  <si>
    <t>HP</t>
    <phoneticPr fontId="24"/>
  </si>
  <si>
    <t>ATTACK</t>
    <phoneticPr fontId="24"/>
  </si>
  <si>
    <t>HEAL</t>
    <phoneticPr fontId="24"/>
  </si>
  <si>
    <t>type</t>
    <phoneticPr fontId="24"/>
  </si>
  <si>
    <t>color</t>
    <phoneticPr fontId="24"/>
  </si>
  <si>
    <t>tribe</t>
    <phoneticPr fontId="24"/>
  </si>
  <si>
    <t>RC6SV</t>
    <phoneticPr fontId="24"/>
  </si>
  <si>
    <t>max</t>
    <phoneticPr fontId="24"/>
  </si>
  <si>
    <t>係数</t>
    <rPh sb="0" eb="2">
      <t>ケイスウ</t>
    </rPh>
    <phoneticPr fontId="24"/>
  </si>
  <si>
    <t>NULL</t>
    <phoneticPr fontId="10"/>
  </si>
  <si>
    <t>ratio
subtotal</t>
    <phoneticPr fontId="24"/>
  </si>
  <si>
    <t>diff</t>
    <phoneticPr fontId="24"/>
  </si>
  <si>
    <t>status</t>
    <phoneticPr fontId="24"/>
  </si>
  <si>
    <t>default</t>
    <phoneticPr fontId="24"/>
  </si>
  <si>
    <t>character_id</t>
    <phoneticPr fontId="10"/>
  </si>
  <si>
    <t>バッファー</t>
    <phoneticPr fontId="10"/>
  </si>
  <si>
    <t>バッファー</t>
    <phoneticPr fontId="10"/>
  </si>
  <si>
    <t>ヒーラー</t>
    <phoneticPr fontId="10"/>
  </si>
  <si>
    <t>plus</t>
    <phoneticPr fontId="14"/>
  </si>
  <si>
    <t>-</t>
    <phoneticPr fontId="9"/>
  </si>
  <si>
    <t>-</t>
    <phoneticPr fontId="9"/>
  </si>
  <si>
    <t>PremiumSSS</t>
    <phoneticPr fontId="9"/>
  </si>
  <si>
    <t>PremiumSS</t>
    <phoneticPr fontId="9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</si>
  <si>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</si>
  <si>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</si>
  <si>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防御係数</t>
    <rPh sb="0" eb="2">
      <t>ボウギョケイスウ</t>
    </rPh>
    <rPh sb="2" eb="4">
      <t>ケイスウ</t>
    </rPh>
    <phoneticPr fontId="10"/>
  </si>
  <si>
    <t>-</t>
    <phoneticPr fontId="9"/>
  </si>
  <si>
    <t>NULL</t>
    <phoneticPr fontId="10"/>
  </si>
  <si>
    <t>NULL</t>
    <phoneticPr fontId="10"/>
  </si>
  <si>
    <t>NULL</t>
    <phoneticPr fontId="10"/>
  </si>
  <si>
    <t>NULL</t>
    <phoneticPr fontId="10"/>
  </si>
  <si>
    <t>NULL</t>
    <phoneticPr fontId="10"/>
  </si>
  <si>
    <t>NULL</t>
    <phoneticPr fontId="10"/>
  </si>
  <si>
    <t>required_exp_50</t>
    <phoneticPr fontId="10"/>
  </si>
  <si>
    <t>required_exp_250</t>
    <phoneticPr fontId="9"/>
  </si>
  <si>
    <t>required_exp_250</t>
    <phoneticPr fontId="9"/>
  </si>
  <si>
    <t>接頭語</t>
    <rPh sb="0" eb="3">
      <t>セットウゴ</t>
    </rPh>
    <phoneticPr fontId="24"/>
  </si>
  <si>
    <t>識別子</t>
    <rPh sb="0" eb="3">
      <t>シキベツシ</t>
    </rPh>
    <phoneticPr fontId="24"/>
  </si>
  <si>
    <t>形式</t>
    <rPh sb="0" eb="2">
      <t>ケイシキ</t>
    </rPh>
    <phoneticPr fontId="24"/>
  </si>
  <si>
    <t>出力ファイル名</t>
    <rPh sb="0" eb="2">
      <t>シュツリョク</t>
    </rPh>
    <rPh sb="6" eb="7">
      <t>メイ</t>
    </rPh>
    <phoneticPr fontId="24"/>
  </si>
  <si>
    <t>入力シート名</t>
    <rPh sb="0" eb="2">
      <t>ニュウリョク</t>
    </rPh>
    <rPh sb="5" eb="6">
      <t>メイ</t>
    </rPh>
    <phoneticPr fontId="24"/>
  </si>
  <si>
    <t>出力データ</t>
    <rPh sb="0" eb="2">
      <t>シュツリョク</t>
    </rPh>
    <phoneticPr fontId="24"/>
  </si>
  <si>
    <t>.csv</t>
    <phoneticPr fontId="24"/>
  </si>
  <si>
    <t>units</t>
  </si>
  <si>
    <t>awake_materials</t>
  </si>
  <si>
    <t>units</t>
    <phoneticPr fontId="24"/>
  </si>
  <si>
    <t>awake_material_habitats</t>
  </si>
  <si>
    <t>limitbreak_materials</t>
  </si>
  <si>
    <t>.dat</t>
    <phoneticPr fontId="24"/>
  </si>
  <si>
    <t>unit_exp_table</t>
  </si>
  <si>
    <t>unit_exp_table</t>
    <phoneticPr fontId="24"/>
  </si>
  <si>
    <t>unit_material_exp</t>
  </si>
  <si>
    <t>unit_material_exp</t>
    <phoneticPr fontId="24"/>
  </si>
  <si>
    <t>unit_soldprice_rate</t>
    <phoneticPr fontId="24"/>
  </si>
  <si>
    <t>出力flg</t>
    <rPh sb="0" eb="2">
      <t>シュツリョク</t>
    </rPh>
    <phoneticPr fontId="24"/>
  </si>
  <si>
    <t>old</t>
    <phoneticPr fontId="24"/>
  </si>
  <si>
    <t>NULL</t>
    <phoneticPr fontId="10"/>
  </si>
  <si>
    <t>material_bug</t>
    <phoneticPr fontId="24"/>
  </si>
  <si>
    <t>material_bug</t>
    <phoneticPr fontId="9"/>
  </si>
  <si>
    <t>.tmp</t>
    <phoneticPr fontId="24"/>
  </si>
  <si>
    <t>units_</t>
    <phoneticPr fontId="24"/>
  </si>
  <si>
    <t>base</t>
    <phoneticPr fontId="24"/>
  </si>
  <si>
    <t>awake_materials_</t>
    <phoneticPr fontId="24"/>
  </si>
  <si>
    <t>unit_levels_calc_</t>
    <phoneticPr fontId="24"/>
  </si>
  <si>
    <t>.tmp</t>
    <phoneticPr fontId="24"/>
  </si>
  <si>
    <t>attack</t>
    <phoneticPr fontId="10"/>
  </si>
  <si>
    <t>hp</t>
    <phoneticPr fontId="10"/>
  </si>
  <si>
    <t>heal</t>
    <phoneticPr fontId="10"/>
  </si>
  <si>
    <t>technical</t>
    <phoneticPr fontId="10"/>
  </si>
  <si>
    <t>balance</t>
    <phoneticPr fontId="10"/>
  </si>
  <si>
    <t>NULL</t>
    <phoneticPr fontId="10"/>
  </si>
  <si>
    <t>temp_stage</t>
    <phoneticPr fontId="9"/>
  </si>
  <si>
    <t>stage</t>
    <phoneticPr fontId="13"/>
  </si>
  <si>
    <t>required_exp_300</t>
    <phoneticPr fontId="9"/>
  </si>
  <si>
    <t>PremiumL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</si>
  <si>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</si>
  <si>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</si>
  <si>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</si>
  <si>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</si>
  <si>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</si>
  <si>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</si>
  <si>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</si>
  <si>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</si>
  <si>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NULL</t>
    <phoneticPr fontId="10"/>
  </si>
  <si>
    <t>DropWizS</t>
    <phoneticPr fontId="9"/>
  </si>
  <si>
    <t>DropWizSS</t>
    <phoneticPr fontId="9"/>
  </si>
  <si>
    <t>DropWizSSS</t>
    <phoneticPr fontId="9"/>
  </si>
  <si>
    <t>required_exp_250</t>
    <phoneticPr fontId="9"/>
  </si>
  <si>
    <t>-</t>
    <phoneticPr fontId="9"/>
  </si>
  <si>
    <t>-</t>
    <phoneticPr fontId="9"/>
  </si>
  <si>
    <t>DropWizN</t>
    <phoneticPr fontId="9"/>
  </si>
  <si>
    <t>DropWizW</t>
    <phoneticPr fontId="9"/>
  </si>
  <si>
    <t>DropWizN</t>
    <phoneticPr fontId="9"/>
  </si>
  <si>
    <t>DropWizW</t>
    <phoneticPr fontId="9"/>
  </si>
  <si>
    <t>DropWizW</t>
    <phoneticPr fontId="9"/>
  </si>
  <si>
    <t>unit_skill_name</t>
    <phoneticPr fontId="10"/>
  </si>
  <si>
    <t>unit_skill_comment</t>
    <phoneticPr fontId="10"/>
  </si>
  <si>
    <t>crash_skill_name</t>
    <phoneticPr fontId="10"/>
  </si>
  <si>
    <t>crash_skill_comment</t>
    <phoneticPr fontId="10"/>
  </si>
  <si>
    <t>language</t>
    <phoneticPr fontId="24"/>
  </si>
  <si>
    <t>comment</t>
    <phoneticPr fontId="9"/>
  </si>
  <si>
    <t>ja</t>
    <phoneticPr fontId="24"/>
  </si>
  <si>
    <t>awake_material_habitats_i18n</t>
    <phoneticPr fontId="24"/>
  </si>
  <si>
    <t>.csv</t>
    <phoneticPr fontId="24"/>
  </si>
  <si>
    <t>awake_material_habitats_manual</t>
  </si>
  <si>
    <t>character_id</t>
    <phoneticPr fontId="24"/>
  </si>
  <si>
    <t>comment</t>
    <phoneticPr fontId="24"/>
  </si>
  <si>
    <t>language</t>
    <phoneticPr fontId="24"/>
  </si>
  <si>
    <t>CM記念ミッションを達成して、
イグニスを手に入れよう！</t>
    <phoneticPr fontId="24"/>
  </si>
  <si>
    <t>【ロック】限界突破/ソロ
【超級】果実の楽園(ハートなし)</t>
    <rPh sb="5" eb="9">
      <t>ゲンカ</t>
    </rPh>
    <rPh sb="14" eb="16">
      <t>チョ</t>
    </rPh>
    <rPh sb="17" eb="19">
      <t>カJ</t>
    </rPh>
    <phoneticPr fontId="24"/>
  </si>
  <si>
    <t>リンクガチャで手に入れよう！</t>
    <rPh sb="7" eb="8">
      <t>テ</t>
    </rPh>
    <phoneticPr fontId="24"/>
  </si>
  <si>
    <t>【月〜木曜日限定】素材クエスト
上級ステージで稀に出現！</t>
  </si>
  <si>
    <t>アヒル捕獲作戦や
リンクガチャで手に入れよう！</t>
    <phoneticPr fontId="24"/>
  </si>
  <si>
    <t>label</t>
    <phoneticPr fontId="24"/>
  </si>
  <si>
    <t>sell_ghosts</t>
    <phoneticPr fontId="10"/>
  </si>
  <si>
    <t>sell_ghosts</t>
    <phoneticPr fontId="24"/>
  </si>
  <si>
    <t>Drop1T</t>
    <phoneticPr fontId="24"/>
  </si>
  <si>
    <t>Drop1W</t>
    <phoneticPr fontId="24"/>
  </si>
  <si>
    <t>Drop1N</t>
    <phoneticPr fontId="24"/>
  </si>
  <si>
    <t>Drop1S</t>
    <phoneticPr fontId="24"/>
  </si>
  <si>
    <t>Drop2N</t>
    <phoneticPr fontId="24"/>
  </si>
  <si>
    <t>DropWizW</t>
    <phoneticPr fontId="24"/>
  </si>
  <si>
    <t>Material</t>
    <phoneticPr fontId="24"/>
  </si>
  <si>
    <t>PremiumW</t>
    <phoneticPr fontId="24"/>
  </si>
  <si>
    <t>PremiumN</t>
    <phoneticPr fontId="24"/>
  </si>
  <si>
    <t>PremiumS</t>
    <phoneticPr fontId="24"/>
  </si>
  <si>
    <t>DropWizS</t>
    <phoneticPr fontId="24"/>
  </si>
  <si>
    <t>Drop2W</t>
    <phoneticPr fontId="24"/>
  </si>
  <si>
    <t>DropWizN</t>
    <phoneticPr fontId="24"/>
  </si>
  <si>
    <t>PremiumSS</t>
    <phoneticPr fontId="24"/>
  </si>
  <si>
    <t>DropWizSS</t>
    <phoneticPr fontId="24"/>
  </si>
  <si>
    <t>DropWizSSS</t>
    <phoneticPr fontId="24"/>
  </si>
  <si>
    <t>PremiumSSw</t>
    <phoneticPr fontId="24"/>
  </si>
  <si>
    <t>PremiumSSS</t>
    <phoneticPr fontId="24"/>
  </si>
  <si>
    <t>sell_ghosts</t>
    <phoneticPr fontId="24"/>
  </si>
  <si>
    <t>skip</t>
    <phoneticPr fontId="24"/>
  </si>
  <si>
    <t>old</t>
    <phoneticPr fontId="24"/>
  </si>
  <si>
    <t>望雅の煌明鹿剣 勘兵衛</t>
    <phoneticPr fontId="13"/>
  </si>
  <si>
    <t>勘兵衛を覚醒しよう！</t>
    <phoneticPr fontId="24"/>
  </si>
  <si>
    <t>ログインボーナスで手に入れよう！</t>
    <phoneticPr fontId="24"/>
  </si>
  <si>
    <t>超越の果実を覚醒させて手に入れよう！</t>
    <phoneticPr fontId="24"/>
  </si>
  <si>
    <t>limit</t>
    <phoneticPr fontId="14"/>
  </si>
  <si>
    <t>800万ダウンロード記念の
プレゼントで手に入れよう！</t>
    <phoneticPr fontId="24"/>
  </si>
  <si>
    <t>マリッジリングを覚醒しよう！</t>
    <phoneticPr fontId="24"/>
  </si>
  <si>
    <t>ブライドクエストで入手しよう！</t>
    <phoneticPr fontId="2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</si>
</sst>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0"/>
      <name val="ＭＳ Ｐゴシック"/>
      <family val="3"/>
      <charset val="128"/>
      <scheme val="minor"/>
    </font>
    <font>
      <sz val="6"/>
      <name val="Arial"/>
    </font>
    <font>
      <sz val="11"/>
      <color theme="1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34"/>
        <bgColor indexed="13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31"/>
      </patternFill>
    </fill>
    <fill>
      <patternFill patternType="solid">
        <fgColor theme="6" tint="0.79998168889431442"/>
        <bgColor indexed="31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31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55"/>
      </patternFill>
    </fill>
    <fill>
      <patternFill patternType="solid">
        <fgColor theme="0" tint="-0.249977111117893"/>
        <bgColor indexed="27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59"/>
      </patternFill>
    </fill>
    <fill>
      <patternFill patternType="solid">
        <fgColor rgb="FFFF0000"/>
        <bgColor indexed="64"/>
      </patternFill>
    </fill>
  </fills>
  <borders count="3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</borders>
  <cellStyleXfs count="4785">
    <xf numFmtId="0" fontId="0" fillId="0" borderId="0"/>
    <xf numFmtId="0" fontId="7" fillId="0" borderId="0"/>
    <xf numFmtId="38" fontId="1" fillId="0" borderId="0" applyFill="0" applyBorder="0" applyAlignment="0" applyProtection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8" fillId="0" borderId="0">
      <alignment vertical="center"/>
    </xf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240">
    <xf numFmtId="0" fontId="0" fillId="0" borderId="0" xfId="0"/>
    <xf numFmtId="0" fontId="0" fillId="0" borderId="0" xfId="0" applyFont="1" applyFill="1"/>
    <xf numFmtId="0" fontId="0" fillId="0" borderId="0" xfId="0" applyFont="1"/>
    <xf numFmtId="0" fontId="15" fillId="0" borderId="0" xfId="0" applyFont="1"/>
    <xf numFmtId="0" fontId="15" fillId="0" borderId="4" xfId="0" applyFont="1" applyBorder="1" applyAlignment="1">
      <alignment vertical="center"/>
    </xf>
    <xf numFmtId="0" fontId="15" fillId="0" borderId="0" xfId="0" applyFont="1" applyBorder="1" applyAlignment="1">
      <alignment vertical="center"/>
    </xf>
    <xf numFmtId="0" fontId="15" fillId="0" borderId="1" xfId="0" applyFont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18" fillId="8" borderId="4" xfId="0" applyFont="1" applyFill="1" applyBorder="1" applyAlignment="1">
      <alignment horizontal="left" vertical="center"/>
    </xf>
    <xf numFmtId="0" fontId="18" fillId="0" borderId="8" xfId="0" applyFont="1" applyFill="1" applyBorder="1" applyAlignment="1">
      <alignment vertical="center"/>
    </xf>
    <xf numFmtId="0" fontId="18" fillId="8" borderId="9" xfId="0" applyFont="1" applyFill="1" applyBorder="1" applyAlignment="1">
      <alignment horizontal="left" vertical="center"/>
    </xf>
    <xf numFmtId="0" fontId="18" fillId="11" borderId="1" xfId="0" applyFont="1" applyFill="1" applyBorder="1" applyAlignment="1">
      <alignment vertical="center"/>
    </xf>
    <xf numFmtId="0" fontId="18" fillId="0" borderId="1" xfId="0" applyFont="1" applyBorder="1" applyAlignment="1">
      <alignment vertical="center"/>
    </xf>
    <xf numFmtId="0" fontId="18" fillId="0" borderId="4" xfId="0" applyFont="1" applyBorder="1" applyAlignment="1">
      <alignment horizontal="left" vertical="center"/>
    </xf>
    <xf numFmtId="0" fontId="18" fillId="8" borderId="4" xfId="0" applyFont="1" applyFill="1" applyBorder="1" applyAlignment="1">
      <alignment horizontal="right" vertical="center"/>
    </xf>
    <xf numFmtId="0" fontId="18" fillId="0" borderId="0" xfId="0" applyFont="1" applyAlignment="1">
      <alignment horizontal="left" vertical="center"/>
    </xf>
    <xf numFmtId="0" fontId="18" fillId="8" borderId="0" xfId="0" applyFont="1" applyFill="1" applyAlignment="1">
      <alignment horizontal="left" vertical="center"/>
    </xf>
    <xf numFmtId="0" fontId="18" fillId="8" borderId="0" xfId="0" applyFont="1" applyFill="1" applyAlignment="1">
      <alignment vertical="center"/>
    </xf>
    <xf numFmtId="0" fontId="18" fillId="0" borderId="0" xfId="0" applyFont="1" applyAlignment="1">
      <alignment horizontal="right" vertical="center"/>
    </xf>
    <xf numFmtId="0" fontId="18" fillId="0" borderId="10" xfId="0" applyFont="1" applyBorder="1" applyAlignment="1">
      <alignment horizontal="right" vertical="center"/>
    </xf>
    <xf numFmtId="0" fontId="15" fillId="8" borderId="1" xfId="0" applyFont="1" applyFill="1" applyBorder="1" applyAlignment="1">
      <alignment vertical="center"/>
    </xf>
    <xf numFmtId="0" fontId="18" fillId="11" borderId="3" xfId="0" applyFont="1" applyFill="1" applyBorder="1" applyAlignment="1">
      <alignment vertical="center"/>
    </xf>
    <xf numFmtId="0" fontId="15" fillId="0" borderId="1" xfId="0" applyFont="1" applyBorder="1" applyAlignment="1">
      <alignment horizontal="right" vertical="center" wrapText="1"/>
    </xf>
    <xf numFmtId="0" fontId="15" fillId="4" borderId="1" xfId="0" applyFont="1" applyFill="1" applyBorder="1" applyAlignment="1">
      <alignment horizontal="right" vertical="center" wrapText="1"/>
    </xf>
    <xf numFmtId="0" fontId="15" fillId="4" borderId="1" xfId="0" applyFont="1" applyFill="1" applyBorder="1" applyAlignment="1">
      <alignment vertical="center"/>
    </xf>
    <xf numFmtId="38" fontId="15" fillId="0" borderId="1" xfId="2" applyFont="1" applyFill="1" applyBorder="1" applyAlignment="1" applyProtection="1">
      <alignment vertical="center"/>
    </xf>
    <xf numFmtId="0" fontId="18" fillId="0" borderId="4" xfId="0" applyFont="1" applyFill="1" applyBorder="1" applyAlignment="1">
      <alignment horizontal="right" vertical="center" wrapText="1"/>
    </xf>
    <xf numFmtId="0" fontId="18" fillId="0" borderId="4" xfId="0" applyFont="1" applyBorder="1" applyAlignment="1">
      <alignment horizontal="right" vertical="center" wrapText="1"/>
    </xf>
    <xf numFmtId="0" fontId="18" fillId="0" borderId="4" xfId="0" applyFont="1" applyBorder="1"/>
    <xf numFmtId="0" fontId="18" fillId="13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/>
    </xf>
    <xf numFmtId="0" fontId="18" fillId="14" borderId="4" xfId="0" applyFont="1" applyFill="1" applyBorder="1"/>
    <xf numFmtId="0" fontId="18" fillId="5" borderId="1" xfId="0" applyFont="1" applyFill="1" applyBorder="1" applyAlignment="1">
      <alignment vertical="center"/>
    </xf>
    <xf numFmtId="0" fontId="8" fillId="5" borderId="1" xfId="0" applyFont="1" applyFill="1" applyBorder="1" applyAlignment="1">
      <alignment vertical="center"/>
    </xf>
    <xf numFmtId="0" fontId="18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21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8" fillId="6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8" fillId="7" borderId="0" xfId="0" applyFont="1" applyFill="1" applyAlignment="1">
      <alignment vertical="center"/>
    </xf>
    <xf numFmtId="0" fontId="18" fillId="5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5" borderId="1" xfId="0" applyFont="1" applyFill="1" applyBorder="1" applyAlignment="1">
      <alignment horizontal="center" vertical="center"/>
    </xf>
    <xf numFmtId="0" fontId="8" fillId="0" borderId="22" xfId="0" applyFont="1" applyBorder="1" applyAlignment="1">
      <alignment vertical="center"/>
    </xf>
    <xf numFmtId="0" fontId="18" fillId="0" borderId="21" xfId="0" applyFont="1" applyBorder="1" applyAlignment="1">
      <alignment vertical="center"/>
    </xf>
    <xf numFmtId="0" fontId="18" fillId="0" borderId="22" xfId="0" applyFont="1" applyBorder="1" applyAlignment="1">
      <alignment vertical="center"/>
    </xf>
    <xf numFmtId="0" fontId="18" fillId="0" borderId="4" xfId="0" applyFont="1" applyBorder="1" applyAlignment="1">
      <alignment vertical="center"/>
    </xf>
    <xf numFmtId="0" fontId="18" fillId="0" borderId="4" xfId="0" applyFont="1" applyBorder="1" applyAlignment="1">
      <alignment horizontal="center" vertical="center"/>
    </xf>
    <xf numFmtId="0" fontId="18" fillId="0" borderId="12" xfId="0" applyFont="1" applyBorder="1" applyAlignment="1">
      <alignment horizontal="left" vertical="center"/>
    </xf>
    <xf numFmtId="0" fontId="8" fillId="15" borderId="1" xfId="0" applyFont="1" applyFill="1" applyBorder="1" applyAlignment="1">
      <alignment vertical="center"/>
    </xf>
    <xf numFmtId="0" fontId="8" fillId="15" borderId="10" xfId="0" applyFont="1" applyFill="1" applyBorder="1" applyAlignment="1">
      <alignment vertical="center"/>
    </xf>
    <xf numFmtId="0" fontId="18" fillId="15" borderId="4" xfId="0" applyFont="1" applyFill="1" applyBorder="1" applyAlignment="1">
      <alignment vertical="center"/>
    </xf>
    <xf numFmtId="0" fontId="15" fillId="0" borderId="4" xfId="0" applyFont="1" applyBorder="1" applyAlignment="1">
      <alignment horizontal="right" vertical="center" wrapText="1"/>
    </xf>
    <xf numFmtId="0" fontId="15" fillId="13" borderId="4" xfId="0" applyFont="1" applyFill="1" applyBorder="1" applyAlignment="1">
      <alignment horizontal="center" vertical="center" wrapText="1"/>
    </xf>
    <xf numFmtId="0" fontId="18" fillId="13" borderId="6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right" vertical="center" wrapText="1"/>
    </xf>
    <xf numFmtId="0" fontId="18" fillId="0" borderId="3" xfId="0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15" fillId="0" borderId="4" xfId="0" applyFont="1" applyBorder="1"/>
    <xf numFmtId="0" fontId="18" fillId="0" borderId="4" xfId="0" applyFont="1" applyFill="1" applyBorder="1"/>
    <xf numFmtId="0" fontId="8" fillId="15" borderId="1" xfId="0" applyFont="1" applyFill="1" applyBorder="1" applyAlignment="1">
      <alignment vertical="center"/>
    </xf>
    <xf numFmtId="0" fontId="18" fillId="8" borderId="7" xfId="0" applyFont="1" applyFill="1" applyBorder="1" applyAlignment="1">
      <alignment horizontal="right" vertical="center"/>
    </xf>
    <xf numFmtId="0" fontId="18" fillId="8" borderId="8" xfId="0" applyFont="1" applyFill="1" applyBorder="1" applyAlignment="1">
      <alignment horizontal="right" vertical="center"/>
    </xf>
    <xf numFmtId="0" fontId="18" fillId="0" borderId="5" xfId="0" applyFont="1" applyFill="1" applyBorder="1" applyAlignment="1">
      <alignment vertical="center"/>
    </xf>
    <xf numFmtId="0" fontId="15" fillId="11" borderId="1" xfId="0" applyFont="1" applyFill="1" applyBorder="1" applyAlignment="1">
      <alignment horizontal="center" vertical="center"/>
    </xf>
    <xf numFmtId="0" fontId="19" fillId="5" borderId="4" xfId="0" applyFont="1" applyFill="1" applyBorder="1" applyAlignment="1">
      <alignment horizontal="center" vertical="center"/>
    </xf>
    <xf numFmtId="0" fontId="20" fillId="5" borderId="4" xfId="0" applyFont="1" applyFill="1" applyBorder="1" applyAlignment="1">
      <alignment horizontal="center" vertical="center"/>
    </xf>
    <xf numFmtId="0" fontId="19" fillId="0" borderId="4" xfId="0" applyFont="1" applyFill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4" xfId="0" applyFont="1" applyFill="1" applyBorder="1" applyAlignment="1">
      <alignment horizontal="center" vertical="center"/>
    </xf>
    <xf numFmtId="0" fontId="19" fillId="0" borderId="4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20" fillId="0" borderId="7" xfId="0" applyFont="1" applyBorder="1" applyAlignment="1">
      <alignment horizontal="center" vertical="center"/>
    </xf>
    <xf numFmtId="0" fontId="18" fillId="17" borderId="4" xfId="0" applyFont="1" applyFill="1" applyBorder="1" applyAlignment="1">
      <alignment horizontal="right" vertical="center"/>
    </xf>
    <xf numFmtId="0" fontId="0" fillId="8" borderId="4" xfId="0" applyFill="1" applyBorder="1" applyAlignment="1">
      <alignment horizontal="center" vertical="center"/>
    </xf>
    <xf numFmtId="0" fontId="18" fillId="8" borderId="1" xfId="0" applyFont="1" applyFill="1" applyBorder="1" applyAlignment="1">
      <alignment horizontal="left" vertical="center"/>
    </xf>
    <xf numFmtId="0" fontId="0" fillId="0" borderId="4" xfId="0" applyFill="1" applyBorder="1" applyAlignment="1">
      <alignment horizontal="center" vertical="center"/>
    </xf>
    <xf numFmtId="0" fontId="0" fillId="0" borderId="0" xfId="0" applyFill="1"/>
    <xf numFmtId="0" fontId="0" fillId="12" borderId="4" xfId="0" applyFill="1" applyBorder="1" applyAlignment="1">
      <alignment horizontal="center" vertical="center"/>
    </xf>
    <xf numFmtId="0" fontId="18" fillId="8" borderId="1" xfId="0" applyFont="1" applyFill="1" applyBorder="1" applyAlignment="1">
      <alignment horizontal="right" vertical="center"/>
    </xf>
    <xf numFmtId="0" fontId="17" fillId="12" borderId="0" xfId="0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0" fontId="15" fillId="12" borderId="0" xfId="0" applyFont="1" applyFill="1" applyAlignment="1">
      <alignment vertical="center"/>
    </xf>
    <xf numFmtId="0" fontId="18" fillId="8" borderId="3" xfId="0" applyFont="1" applyFill="1" applyBorder="1" applyAlignment="1">
      <alignment horizontal="left" vertical="center"/>
    </xf>
    <xf numFmtId="0" fontId="15" fillId="12" borderId="0" xfId="0" applyFont="1" applyFill="1" applyBorder="1" applyAlignment="1">
      <alignment horizontal="center" vertical="center" wrapText="1"/>
    </xf>
    <xf numFmtId="0" fontId="18" fillId="12" borderId="0" xfId="0" applyFont="1" applyFill="1" applyBorder="1" applyAlignment="1">
      <alignment horizontal="center" vertical="center" wrapText="1"/>
    </xf>
    <xf numFmtId="0" fontId="15" fillId="11" borderId="1" xfId="0" applyFont="1" applyFill="1" applyBorder="1" applyAlignment="1">
      <alignment horizontal="center" vertical="center"/>
    </xf>
    <xf numFmtId="0" fontId="15" fillId="18" borderId="1" xfId="0" applyFont="1" applyFill="1" applyBorder="1" applyAlignment="1">
      <alignment horizontal="center" vertical="center"/>
    </xf>
    <xf numFmtId="0" fontId="15" fillId="19" borderId="1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vertical="center"/>
    </xf>
    <xf numFmtId="0" fontId="17" fillId="9" borderId="0" xfId="0" applyFont="1" applyFill="1" applyBorder="1" applyAlignment="1">
      <alignment horizontal="center" vertical="center"/>
    </xf>
    <xf numFmtId="0" fontId="16" fillId="9" borderId="0" xfId="0" applyFont="1" applyFill="1" applyBorder="1" applyAlignment="1">
      <alignment horizontal="center" vertical="center"/>
    </xf>
    <xf numFmtId="0" fontId="15" fillId="9" borderId="0" xfId="0" applyFont="1" applyFill="1" applyBorder="1" applyAlignment="1">
      <alignment horizontal="center" vertical="center" wrapText="1"/>
    </xf>
    <xf numFmtId="0" fontId="18" fillId="9" borderId="0" xfId="0" applyFont="1" applyFill="1" applyBorder="1" applyAlignment="1">
      <alignment horizontal="center" vertical="center" wrapText="1"/>
    </xf>
    <xf numFmtId="0" fontId="25" fillId="23" borderId="0" xfId="0" applyFont="1" applyFill="1"/>
    <xf numFmtId="0" fontId="15" fillId="16" borderId="4" xfId="0" applyFont="1" applyFill="1" applyBorder="1" applyAlignment="1">
      <alignment horizontal="right" vertical="center" wrapText="1"/>
    </xf>
    <xf numFmtId="0" fontId="26" fillId="0" borderId="4" xfId="0" applyFont="1" applyBorder="1" applyAlignment="1">
      <alignment vertical="center"/>
    </xf>
    <xf numFmtId="0" fontId="18" fillId="0" borderId="4" xfId="0" applyFont="1" applyFill="1" applyBorder="1" applyAlignment="1">
      <alignment vertical="center"/>
    </xf>
    <xf numFmtId="0" fontId="26" fillId="0" borderId="4" xfId="0" applyFont="1" applyFill="1" applyBorder="1" applyAlignment="1">
      <alignment vertical="center"/>
    </xf>
    <xf numFmtId="0" fontId="15" fillId="16" borderId="4" xfId="0" applyFont="1" applyFill="1" applyBorder="1" applyAlignment="1">
      <alignment vertical="center"/>
    </xf>
    <xf numFmtId="0" fontId="26" fillId="16" borderId="4" xfId="0" applyFont="1" applyFill="1" applyBorder="1" applyAlignment="1">
      <alignment horizontal="right" vertical="center" wrapText="1"/>
    </xf>
    <xf numFmtId="0" fontId="16" fillId="24" borderId="4" xfId="0" applyFont="1" applyFill="1" applyBorder="1" applyAlignment="1">
      <alignment horizontal="right" vertical="center" wrapText="1"/>
    </xf>
    <xf numFmtId="0" fontId="18" fillId="16" borderId="4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25" fillId="23" borderId="0" xfId="0" applyFont="1" applyFill="1" applyAlignment="1">
      <alignment horizontal="center" vertical="center"/>
    </xf>
    <xf numFmtId="0" fontId="0" fillId="23" borderId="0" xfId="0" applyFill="1" applyAlignment="1">
      <alignment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25" borderId="0" xfId="0" applyFill="1" applyAlignment="1">
      <alignment horizontal="center" vertical="center"/>
    </xf>
    <xf numFmtId="0" fontId="0" fillId="25" borderId="0" xfId="0" applyFill="1" applyAlignment="1">
      <alignment vertical="center"/>
    </xf>
    <xf numFmtId="0" fontId="0" fillId="9" borderId="16" xfId="0" applyFill="1" applyBorder="1" applyAlignment="1">
      <alignment horizontal="center" vertical="center"/>
    </xf>
    <xf numFmtId="0" fontId="0" fillId="9" borderId="16" xfId="0" applyFill="1" applyBorder="1" applyAlignment="1">
      <alignment vertical="center"/>
    </xf>
    <xf numFmtId="0" fontId="25" fillId="23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0" fillId="25" borderId="28" xfId="0" applyFill="1" applyBorder="1" applyAlignment="1">
      <alignment horizontal="center" vertical="center"/>
    </xf>
    <xf numFmtId="0" fontId="0" fillId="25" borderId="28" xfId="0" applyFill="1" applyBorder="1" applyAlignment="1">
      <alignment vertical="center"/>
    </xf>
    <xf numFmtId="0" fontId="0" fillId="16" borderId="14" xfId="0" applyFill="1" applyBorder="1" applyAlignment="1">
      <alignment horizontal="center" vertical="center"/>
    </xf>
    <xf numFmtId="0" fontId="0" fillId="16" borderId="14" xfId="0" applyFill="1" applyBorder="1" applyAlignment="1">
      <alignment vertical="center"/>
    </xf>
    <xf numFmtId="0" fontId="0" fillId="16" borderId="0" xfId="0" applyFill="1" applyAlignment="1">
      <alignment horizontal="center" vertical="center"/>
    </xf>
    <xf numFmtId="0" fontId="0" fillId="16" borderId="0" xfId="0" applyFill="1" applyAlignment="1">
      <alignment vertical="center"/>
    </xf>
    <xf numFmtId="2" fontId="0" fillId="16" borderId="0" xfId="0" applyNumberFormat="1" applyFill="1" applyAlignment="1">
      <alignment vertical="center"/>
    </xf>
    <xf numFmtId="2" fontId="0" fillId="9" borderId="0" xfId="0" applyNumberFormat="1" applyFill="1" applyAlignment="1">
      <alignment vertical="center"/>
    </xf>
    <xf numFmtId="2" fontId="0" fillId="25" borderId="0" xfId="0" applyNumberFormat="1" applyFill="1" applyAlignment="1">
      <alignment vertical="center"/>
    </xf>
    <xf numFmtId="2" fontId="0" fillId="9" borderId="16" xfId="0" applyNumberFormat="1" applyFill="1" applyBorder="1" applyAlignment="1">
      <alignment vertical="center"/>
    </xf>
    <xf numFmtId="2" fontId="0" fillId="9" borderId="17" xfId="0" applyNumberFormat="1" applyFill="1" applyBorder="1" applyAlignment="1">
      <alignment vertical="center"/>
    </xf>
    <xf numFmtId="2" fontId="0" fillId="25" borderId="28" xfId="0" applyNumberFormat="1" applyFill="1" applyBorder="1" applyAlignment="1">
      <alignment vertical="center"/>
    </xf>
    <xf numFmtId="2" fontId="0" fillId="25" borderId="27" xfId="0" applyNumberFormat="1" applyFill="1" applyBorder="1" applyAlignment="1">
      <alignment vertical="center"/>
    </xf>
    <xf numFmtId="2" fontId="0" fillId="16" borderId="14" xfId="0" applyNumberFormat="1" applyFill="1" applyBorder="1" applyAlignment="1">
      <alignment vertical="center"/>
    </xf>
    <xf numFmtId="2" fontId="0" fillId="16" borderId="15" xfId="0" applyNumberFormat="1" applyFill="1" applyBorder="1" applyAlignment="1">
      <alignment vertical="center"/>
    </xf>
    <xf numFmtId="0" fontId="18" fillId="26" borderId="3" xfId="0" applyFont="1" applyFill="1" applyBorder="1" applyAlignment="1">
      <alignment vertical="center"/>
    </xf>
    <xf numFmtId="0" fontId="15" fillId="0" borderId="22" xfId="0" applyFont="1" applyBorder="1"/>
    <xf numFmtId="0" fontId="15" fillId="0" borderId="21" xfId="0" applyFont="1" applyBorder="1"/>
    <xf numFmtId="3" fontId="15" fillId="0" borderId="21" xfId="0" applyNumberFormat="1" applyFont="1" applyBorder="1"/>
    <xf numFmtId="0" fontId="0" fillId="8" borderId="4" xfId="0" applyFill="1" applyBorder="1" applyAlignment="1">
      <alignment horizontal="center"/>
    </xf>
    <xf numFmtId="0" fontId="15" fillId="16" borderId="1" xfId="0" applyFont="1" applyFill="1" applyBorder="1" applyAlignment="1">
      <alignment vertical="center"/>
    </xf>
    <xf numFmtId="0" fontId="18" fillId="16" borderId="10" xfId="0" applyFont="1" applyFill="1" applyBorder="1" applyAlignment="1">
      <alignment horizontal="right" vertical="center"/>
    </xf>
    <xf numFmtId="0" fontId="8" fillId="8" borderId="1" xfId="0" applyFont="1" applyFill="1" applyBorder="1" applyAlignment="1">
      <alignment vertical="center"/>
    </xf>
    <xf numFmtId="0" fontId="8" fillId="8" borderId="2" xfId="0" applyFont="1" applyFill="1" applyBorder="1" applyAlignment="1">
      <alignment vertical="center"/>
    </xf>
    <xf numFmtId="0" fontId="18" fillId="8" borderId="4" xfId="0" applyFont="1" applyFill="1" applyBorder="1" applyAlignment="1">
      <alignment vertical="center"/>
    </xf>
    <xf numFmtId="0" fontId="12" fillId="8" borderId="0" xfId="0" applyFont="1" applyFill="1" applyAlignment="1">
      <alignment vertical="center"/>
    </xf>
    <xf numFmtId="0" fontId="21" fillId="0" borderId="0" xfId="0" applyFont="1" applyFill="1" applyAlignment="1">
      <alignment vertical="center"/>
    </xf>
    <xf numFmtId="0" fontId="8" fillId="15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8" fillId="15" borderId="23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9" fillId="0" borderId="4" xfId="0" applyFont="1" applyFill="1" applyBorder="1" applyAlignment="1">
      <alignment horizontal="center" vertical="center" wrapText="1"/>
    </xf>
    <xf numFmtId="0" fontId="17" fillId="8" borderId="4" xfId="0" applyFont="1" applyFill="1" applyBorder="1" applyAlignment="1">
      <alignment horizontal="left" vertical="center"/>
    </xf>
    <xf numFmtId="0" fontId="17" fillId="9" borderId="7" xfId="0" applyFont="1" applyFill="1" applyBorder="1" applyAlignment="1">
      <alignment horizontal="left" vertical="center"/>
    </xf>
    <xf numFmtId="0" fontId="21" fillId="20" borderId="4" xfId="0" applyFont="1" applyFill="1" applyBorder="1" applyAlignment="1">
      <alignment horizontal="left" vertical="center"/>
    </xf>
    <xf numFmtId="0" fontId="15" fillId="0" borderId="4" xfId="0" applyFont="1" applyFill="1" applyBorder="1" applyAlignment="1">
      <alignment horizontal="right" vertical="center" wrapText="1"/>
    </xf>
    <xf numFmtId="0" fontId="17" fillId="12" borderId="14" xfId="0" applyFont="1" applyFill="1" applyBorder="1" applyAlignment="1">
      <alignment horizontal="left" vertical="center"/>
    </xf>
    <xf numFmtId="0" fontId="12" fillId="9" borderId="7" xfId="0" applyFont="1" applyFill="1" applyBorder="1" applyAlignment="1">
      <alignment horizontal="left" vertical="center"/>
    </xf>
    <xf numFmtId="0" fontId="17" fillId="12" borderId="7" xfId="0" applyFont="1" applyFill="1" applyBorder="1" applyAlignment="1">
      <alignment horizontal="left" vertical="center"/>
    </xf>
    <xf numFmtId="0" fontId="17" fillId="8" borderId="7" xfId="0" applyFont="1" applyFill="1" applyBorder="1" applyAlignment="1">
      <alignment horizontal="left" vertical="center"/>
    </xf>
    <xf numFmtId="0" fontId="12" fillId="10" borderId="13" xfId="0" applyFont="1" applyFill="1" applyBorder="1" applyAlignment="1">
      <alignment horizontal="left" vertical="center"/>
    </xf>
    <xf numFmtId="0" fontId="17" fillId="9" borderId="15" xfId="0" applyFont="1" applyFill="1" applyBorder="1" applyAlignment="1">
      <alignment horizontal="left" vertical="center"/>
    </xf>
    <xf numFmtId="0" fontId="17" fillId="12" borderId="6" xfId="0" applyFont="1" applyFill="1" applyBorder="1" applyAlignment="1">
      <alignment horizontal="left" vertical="center"/>
    </xf>
    <xf numFmtId="0" fontId="12" fillId="10" borderId="1" xfId="0" applyFont="1" applyFill="1" applyBorder="1" applyAlignment="1">
      <alignment horizontal="left" vertical="center"/>
    </xf>
    <xf numFmtId="0" fontId="17" fillId="9" borderId="4" xfId="0" applyFont="1" applyFill="1" applyBorder="1" applyAlignment="1">
      <alignment horizontal="left" vertical="center"/>
    </xf>
    <xf numFmtId="0" fontId="17" fillId="9" borderId="5" xfId="0" applyFont="1" applyFill="1" applyBorder="1" applyAlignment="1">
      <alignment horizontal="left" vertical="center"/>
    </xf>
    <xf numFmtId="0" fontId="21" fillId="21" borderId="18" xfId="0" applyFont="1" applyFill="1" applyBorder="1" applyAlignment="1">
      <alignment horizontal="left" vertical="center"/>
    </xf>
    <xf numFmtId="0" fontId="21" fillId="22" borderId="1" xfId="0" applyFont="1" applyFill="1" applyBorder="1" applyAlignment="1">
      <alignment horizontal="left" vertical="center"/>
    </xf>
    <xf numFmtId="0" fontId="17" fillId="8" borderId="14" xfId="0" applyFont="1" applyFill="1" applyBorder="1" applyAlignment="1">
      <alignment horizontal="left" vertical="center"/>
    </xf>
    <xf numFmtId="0" fontId="17" fillId="8" borderId="6" xfId="0" applyFont="1" applyFill="1" applyBorder="1" applyAlignment="1">
      <alignment horizontal="left" vertical="center"/>
    </xf>
    <xf numFmtId="0" fontId="12" fillId="0" borderId="19" xfId="0" applyFont="1" applyFill="1" applyBorder="1" applyAlignment="1">
      <alignment horizontal="left" vertical="center"/>
    </xf>
    <xf numFmtId="0" fontId="12" fillId="10" borderId="20" xfId="0" applyFont="1" applyFill="1" applyBorder="1" applyAlignment="1">
      <alignment horizontal="left" vertical="center"/>
    </xf>
    <xf numFmtId="0" fontId="12" fillId="10" borderId="3" xfId="0" applyFont="1" applyFill="1" applyBorder="1" applyAlignment="1">
      <alignment horizontal="left" vertical="center"/>
    </xf>
    <xf numFmtId="0" fontId="12" fillId="10" borderId="4" xfId="0" applyFont="1" applyFill="1" applyBorder="1" applyAlignment="1">
      <alignment horizontal="left" vertical="center"/>
    </xf>
    <xf numFmtId="0" fontId="21" fillId="20" borderId="19" xfId="0" applyFont="1" applyFill="1" applyBorder="1" applyAlignment="1">
      <alignment horizontal="left" vertical="center"/>
    </xf>
    <xf numFmtId="0" fontId="21" fillId="21" borderId="19" xfId="0" applyFont="1" applyFill="1" applyBorder="1" applyAlignment="1">
      <alignment horizontal="left" vertical="center"/>
    </xf>
    <xf numFmtId="0" fontId="21" fillId="20" borderId="11" xfId="0" applyFont="1" applyFill="1" applyBorder="1" applyAlignment="1">
      <alignment horizontal="left" vertical="center"/>
    </xf>
    <xf numFmtId="0" fontId="21" fillId="20" borderId="12" xfId="0" applyFont="1" applyFill="1" applyBorder="1" applyAlignment="1">
      <alignment horizontal="left" vertical="center"/>
    </xf>
    <xf numFmtId="0" fontId="8" fillId="27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16" fillId="0" borderId="29" xfId="0" applyFont="1" applyBorder="1" applyAlignment="1">
      <alignment vertical="center"/>
    </xf>
    <xf numFmtId="0" fontId="18" fillId="0" borderId="10" xfId="0" applyFont="1" applyFill="1" applyBorder="1" applyAlignment="1">
      <alignment horizontal="right" vertical="center"/>
    </xf>
    <xf numFmtId="0" fontId="18" fillId="26" borderId="1" xfId="0" applyFont="1" applyFill="1" applyBorder="1" applyAlignment="1">
      <alignment vertical="center"/>
    </xf>
    <xf numFmtId="0" fontId="25" fillId="28" borderId="4" xfId="0" applyFont="1" applyFill="1" applyBorder="1"/>
    <xf numFmtId="0" fontId="0" fillId="28" borderId="4" xfId="0" applyFill="1" applyBorder="1"/>
    <xf numFmtId="0" fontId="0" fillId="0" borderId="4" xfId="0" applyBorder="1"/>
    <xf numFmtId="0" fontId="15" fillId="9" borderId="0" xfId="0" applyFont="1" applyFill="1" applyBorder="1" applyAlignment="1">
      <alignment horizontal="center" vertical="center"/>
    </xf>
    <xf numFmtId="0" fontId="18" fillId="9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12" xfId="0" applyBorder="1"/>
    <xf numFmtId="0" fontId="0" fillId="28" borderId="12" xfId="0" applyFill="1" applyBorder="1"/>
    <xf numFmtId="0" fontId="0" fillId="0" borderId="12" xfId="0" applyFill="1" applyBorder="1"/>
    <xf numFmtId="0" fontId="15" fillId="12" borderId="4" xfId="0" applyFont="1" applyFill="1" applyBorder="1" applyAlignment="1">
      <alignment horizontal="center" vertical="center" wrapText="1"/>
    </xf>
    <xf numFmtId="0" fontId="18" fillId="12" borderId="4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vertical="center"/>
    </xf>
    <xf numFmtId="0" fontId="18" fillId="0" borderId="4" xfId="0" applyFont="1" applyFill="1" applyBorder="1" applyAlignment="1">
      <alignment horizontal="left" vertical="center"/>
    </xf>
    <xf numFmtId="0" fontId="18" fillId="0" borderId="0" xfId="0" applyFont="1" applyFill="1" applyAlignment="1">
      <alignment horizontal="left" vertical="center"/>
    </xf>
    <xf numFmtId="0" fontId="0" fillId="9" borderId="4" xfId="0" applyFill="1" applyBorder="1"/>
    <xf numFmtId="0" fontId="12" fillId="29" borderId="4" xfId="0" applyFont="1" applyFill="1" applyBorder="1" applyAlignment="1">
      <alignment horizontal="center"/>
    </xf>
    <xf numFmtId="0" fontId="0" fillId="0" borderId="4" xfId="0" applyFont="1" applyBorder="1"/>
    <xf numFmtId="0" fontId="18" fillId="16" borderId="8" xfId="0" applyFont="1" applyFill="1" applyBorder="1" applyAlignment="1">
      <alignment horizontal="right" vertical="center"/>
    </xf>
    <xf numFmtId="0" fontId="18" fillId="16" borderId="1" xfId="0" applyFont="1" applyFill="1" applyBorder="1" applyAlignment="1">
      <alignment horizontal="left" vertical="center"/>
    </xf>
    <xf numFmtId="0" fontId="18" fillId="31" borderId="4" xfId="0" applyFont="1" applyFill="1" applyBorder="1"/>
    <xf numFmtId="0" fontId="29" fillId="30" borderId="4" xfId="8" applyFont="1" applyFill="1" applyBorder="1" applyAlignment="1">
      <alignment horizontal="center" vertical="center"/>
    </xf>
    <xf numFmtId="0" fontId="18" fillId="32" borderId="4" xfId="0" applyFont="1" applyFill="1" applyBorder="1" applyAlignment="1">
      <alignment horizontal="center" vertical="center" wrapText="1"/>
    </xf>
    <xf numFmtId="0" fontId="0" fillId="30" borderId="4" xfId="0" applyFont="1" applyFill="1" applyBorder="1"/>
    <xf numFmtId="0" fontId="18" fillId="27" borderId="4" xfId="0" applyFont="1" applyFill="1" applyBorder="1" applyAlignment="1">
      <alignment horizontal="right" vertical="center"/>
    </xf>
    <xf numFmtId="0" fontId="18" fillId="33" borderId="3" xfId="0" applyFont="1" applyFill="1" applyBorder="1" applyAlignment="1">
      <alignment horizontal="center" vertical="center"/>
    </xf>
    <xf numFmtId="0" fontId="8" fillId="33" borderId="22" xfId="0" applyFont="1" applyFill="1" applyBorder="1" applyAlignment="1">
      <alignment horizontal="center" vertical="center"/>
    </xf>
    <xf numFmtId="0" fontId="8" fillId="33" borderId="10" xfId="0" applyFont="1" applyFill="1" applyBorder="1" applyAlignment="1">
      <alignment horizontal="center" vertical="center"/>
    </xf>
    <xf numFmtId="0" fontId="8" fillId="33" borderId="21" xfId="0" applyFont="1" applyFill="1" applyBorder="1" applyAlignment="1">
      <alignment horizontal="center" vertical="center"/>
    </xf>
    <xf numFmtId="0" fontId="8" fillId="33" borderId="4" xfId="0" applyFont="1" applyFill="1" applyBorder="1" applyAlignment="1">
      <alignment horizontal="center" vertical="center"/>
    </xf>
    <xf numFmtId="0" fontId="8" fillId="33" borderId="30" xfId="0" applyFont="1" applyFill="1" applyBorder="1" applyAlignment="1">
      <alignment horizontal="center" vertical="center"/>
    </xf>
    <xf numFmtId="0" fontId="8" fillId="33" borderId="31" xfId="0" applyFont="1" applyFill="1" applyBorder="1" applyAlignment="1">
      <alignment horizontal="center" vertical="center"/>
    </xf>
    <xf numFmtId="0" fontId="8" fillId="34" borderId="10" xfId="0" applyFont="1" applyFill="1" applyBorder="1" applyAlignment="1">
      <alignment vertical="center"/>
    </xf>
    <xf numFmtId="0" fontId="8" fillId="34" borderId="4" xfId="0" applyFont="1" applyFill="1" applyBorder="1" applyAlignment="1">
      <alignment vertical="center"/>
    </xf>
    <xf numFmtId="0" fontId="8" fillId="34" borderId="31" xfId="0" applyFont="1" applyFill="1" applyBorder="1" applyAlignment="1">
      <alignment vertical="center"/>
    </xf>
    <xf numFmtId="0" fontId="18" fillId="34" borderId="4" xfId="0" applyFont="1" applyFill="1" applyBorder="1" applyAlignment="1">
      <alignment vertical="center"/>
    </xf>
    <xf numFmtId="0" fontId="20" fillId="34" borderId="4" xfId="0" applyFont="1" applyFill="1" applyBorder="1" applyAlignment="1">
      <alignment horizontal="center" vertical="center"/>
    </xf>
    <xf numFmtId="0" fontId="19" fillId="34" borderId="4" xfId="0" applyFont="1" applyFill="1" applyBorder="1" applyAlignment="1">
      <alignment horizontal="center" vertical="center" wrapText="1"/>
    </xf>
    <xf numFmtId="0" fontId="8" fillId="34" borderId="1" xfId="0" applyFont="1" applyFill="1" applyBorder="1" applyAlignment="1">
      <alignment vertical="center"/>
    </xf>
    <xf numFmtId="0" fontId="18" fillId="33" borderId="23" xfId="0" applyFont="1" applyFill="1" applyBorder="1" applyAlignment="1">
      <alignment horizontal="center" vertical="center"/>
    </xf>
    <xf numFmtId="0" fontId="8" fillId="33" borderId="17" xfId="0" applyFont="1" applyFill="1" applyBorder="1" applyAlignment="1">
      <alignment horizontal="center" vertical="center"/>
    </xf>
    <xf numFmtId="0" fontId="8" fillId="33" borderId="12" xfId="0" applyFont="1" applyFill="1" applyBorder="1" applyAlignment="1">
      <alignment horizontal="center" vertical="center"/>
    </xf>
    <xf numFmtId="0" fontId="19" fillId="34" borderId="12" xfId="0" applyFont="1" applyFill="1" applyBorder="1" applyAlignment="1">
      <alignment horizontal="center" vertical="center" wrapText="1"/>
    </xf>
    <xf numFmtId="0" fontId="18" fillId="9" borderId="4" xfId="0" applyFont="1" applyFill="1" applyBorder="1" applyAlignment="1">
      <alignment horizontal="right" vertical="center"/>
    </xf>
    <xf numFmtId="0" fontId="18" fillId="27" borderId="4" xfId="0" applyFont="1" applyFill="1" applyBorder="1" applyAlignment="1">
      <alignment horizontal="left" vertical="center"/>
    </xf>
    <xf numFmtId="0" fontId="12" fillId="35" borderId="4" xfId="0" applyFont="1" applyFill="1" applyBorder="1" applyAlignment="1">
      <alignment horizontal="center" vertical="center"/>
    </xf>
    <xf numFmtId="0" fontId="12" fillId="10" borderId="4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4" xfId="0" applyBorder="1" applyAlignment="1">
      <alignment wrapText="1"/>
    </xf>
    <xf numFmtId="0" fontId="18" fillId="16" borderId="4" xfId="0" applyFont="1" applyFill="1" applyBorder="1" applyAlignment="1">
      <alignment horizontal="left" vertical="center"/>
    </xf>
    <xf numFmtId="0" fontId="15" fillId="36" borderId="4" xfId="0" applyFont="1" applyFill="1" applyBorder="1" applyAlignment="1">
      <alignment horizontal="right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4785">
    <cellStyle name="Excel Built-in Normal" xfId="1"/>
    <cellStyle name="ハイパーリンク" xfId="10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78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6" builtinId="8" hidden="1"/>
    <cellStyle name="ハイパーリンク" xfId="3038" builtinId="8" hidden="1"/>
    <cellStyle name="ハイパーリンク" xfId="3040" builtinId="8" hidden="1"/>
    <cellStyle name="ハイパーリンク" xfId="3042" builtinId="8" hidden="1"/>
    <cellStyle name="ハイパーリンク" xfId="3044" builtinId="8" hidden="1"/>
    <cellStyle name="ハイパーリンク" xfId="3046" builtinId="8" hidden="1"/>
    <cellStyle name="ハイパーリンク" xfId="3048" builtinId="8" hidden="1"/>
    <cellStyle name="ハイパーリンク" xfId="3050" builtinId="8" hidden="1"/>
    <cellStyle name="ハイパーリンク" xfId="3052" builtinId="8" hidden="1"/>
    <cellStyle name="ハイパーリンク" xfId="3054" builtinId="8" hidden="1"/>
    <cellStyle name="ハイパーリンク" xfId="3056" builtinId="8" hidden="1"/>
    <cellStyle name="ハイパーリンク" xfId="3058" builtinId="8" hidden="1"/>
    <cellStyle name="ハイパーリンク" xfId="3060" builtinId="8" hidden="1"/>
    <cellStyle name="ハイパーリンク" xfId="3062" builtinId="8" hidden="1"/>
    <cellStyle name="ハイパーリンク" xfId="3064" builtinId="8" hidden="1"/>
    <cellStyle name="ハイパーリンク" xfId="3066" builtinId="8" hidden="1"/>
    <cellStyle name="ハイパーリンク" xfId="3068" builtinId="8" hidden="1"/>
    <cellStyle name="ハイパーリンク" xfId="3070" builtinId="8" hidden="1"/>
    <cellStyle name="ハイパーリンク" xfId="3072" builtinId="8" hidden="1"/>
    <cellStyle name="ハイパーリンク" xfId="3074" builtinId="8" hidden="1"/>
    <cellStyle name="ハイパーリンク" xfId="3076" builtinId="8" hidden="1"/>
    <cellStyle name="ハイパーリンク" xfId="3078" builtinId="8" hidden="1"/>
    <cellStyle name="ハイパーリンク" xfId="3080" builtinId="8" hidden="1"/>
    <cellStyle name="ハイパーリンク" xfId="3082" builtinId="8" hidden="1"/>
    <cellStyle name="ハイパーリンク" xfId="3084" builtinId="8" hidden="1"/>
    <cellStyle name="ハイパーリンク" xfId="3086" builtinId="8" hidden="1"/>
    <cellStyle name="ハイパーリンク" xfId="3088" builtinId="8" hidden="1"/>
    <cellStyle name="ハイパーリンク" xfId="3090" builtinId="8" hidden="1"/>
    <cellStyle name="ハイパーリンク" xfId="3092" builtinId="8" hidden="1"/>
    <cellStyle name="ハイパーリンク" xfId="3094" builtinId="8" hidden="1"/>
    <cellStyle name="ハイパーリンク" xfId="3096" builtinId="8" hidden="1"/>
    <cellStyle name="ハイパーリンク" xfId="3098" builtinId="8" hidden="1"/>
    <cellStyle name="ハイパーリンク" xfId="3100" builtinId="8" hidden="1"/>
    <cellStyle name="ハイパーリンク" xfId="3102" builtinId="8" hidden="1"/>
    <cellStyle name="ハイパーリンク" xfId="3104" builtinId="8" hidden="1"/>
    <cellStyle name="ハイパーリンク" xfId="3106" builtinId="8" hidden="1"/>
    <cellStyle name="ハイパーリンク" xfId="3108" builtinId="8" hidden="1"/>
    <cellStyle name="ハイパーリンク" xfId="3110" builtinId="8" hidden="1"/>
    <cellStyle name="ハイパーリンク" xfId="3112" builtinId="8" hidden="1"/>
    <cellStyle name="ハイパーリンク" xfId="3114" builtinId="8" hidden="1"/>
    <cellStyle name="ハイパーリンク" xfId="3116" builtinId="8" hidden="1"/>
    <cellStyle name="ハイパーリンク" xfId="3118" builtinId="8" hidden="1"/>
    <cellStyle name="ハイパーリンク" xfId="3120" builtinId="8" hidden="1"/>
    <cellStyle name="ハイパーリンク" xfId="3122" builtinId="8" hidden="1"/>
    <cellStyle name="ハイパーリンク" xfId="3124" builtinId="8" hidden="1"/>
    <cellStyle name="ハイパーリンク" xfId="3126" builtinId="8" hidden="1"/>
    <cellStyle name="ハイパーリンク" xfId="3128" builtinId="8" hidden="1"/>
    <cellStyle name="ハイパーリンク" xfId="3130" builtinId="8" hidden="1"/>
    <cellStyle name="ハイパーリンク" xfId="3132" builtinId="8" hidden="1"/>
    <cellStyle name="ハイパーリンク" xfId="3134" builtinId="8" hidden="1"/>
    <cellStyle name="ハイパーリンク" xfId="3136" builtinId="8" hidden="1"/>
    <cellStyle name="ハイパーリンク" xfId="3138" builtinId="8" hidden="1"/>
    <cellStyle name="ハイパーリンク" xfId="3140" builtinId="8" hidden="1"/>
    <cellStyle name="ハイパーリンク" xfId="3142" builtinId="8" hidden="1"/>
    <cellStyle name="ハイパーリンク" xfId="3144" builtinId="8" hidden="1"/>
    <cellStyle name="ハイパーリンク" xfId="3146" builtinId="8" hidden="1"/>
    <cellStyle name="ハイパーリンク" xfId="3148" builtinId="8" hidden="1"/>
    <cellStyle name="ハイパーリンク" xfId="3150" builtinId="8" hidden="1"/>
    <cellStyle name="ハイパーリンク" xfId="3152" builtinId="8" hidden="1"/>
    <cellStyle name="ハイパーリンク" xfId="3154" builtinId="8" hidden="1"/>
    <cellStyle name="ハイパーリンク" xfId="3156" builtinId="8" hidden="1"/>
    <cellStyle name="ハイパーリンク" xfId="3158" builtinId="8" hidden="1"/>
    <cellStyle name="ハイパーリンク" xfId="3160" builtinId="8" hidden="1"/>
    <cellStyle name="ハイパーリンク" xfId="3162" builtinId="8" hidden="1"/>
    <cellStyle name="ハイパーリンク" xfId="3164" builtinId="8" hidden="1"/>
    <cellStyle name="ハイパーリンク" xfId="3166" builtinId="8" hidden="1"/>
    <cellStyle name="ハイパーリンク" xfId="3168" builtinId="8" hidden="1"/>
    <cellStyle name="ハイパーリンク" xfId="3170" builtinId="8" hidden="1"/>
    <cellStyle name="ハイパーリンク" xfId="3172" builtinId="8" hidden="1"/>
    <cellStyle name="ハイパーリンク" xfId="3174" builtinId="8" hidden="1"/>
    <cellStyle name="ハイパーリンク" xfId="3176" builtinId="8" hidden="1"/>
    <cellStyle name="ハイパーリンク" xfId="3178" builtinId="8" hidden="1"/>
    <cellStyle name="ハイパーリンク" xfId="3180" builtinId="8" hidden="1"/>
    <cellStyle name="ハイパーリンク" xfId="3182" builtinId="8" hidden="1"/>
    <cellStyle name="ハイパーリンク" xfId="3184" builtinId="8" hidden="1"/>
    <cellStyle name="ハイパーリンク" xfId="3186" builtinId="8" hidden="1"/>
    <cellStyle name="ハイパーリンク" xfId="3188" builtinId="8" hidden="1"/>
    <cellStyle name="ハイパーリンク" xfId="3190" builtinId="8" hidden="1"/>
    <cellStyle name="ハイパーリンク" xfId="3192" builtinId="8" hidden="1"/>
    <cellStyle name="ハイパーリンク" xfId="3194" builtinId="8" hidden="1"/>
    <cellStyle name="ハイパーリンク" xfId="3196" builtinId="8" hidden="1"/>
    <cellStyle name="ハイパーリンク" xfId="3198" builtinId="8" hidden="1"/>
    <cellStyle name="ハイパーリンク" xfId="3200" builtinId="8" hidden="1"/>
    <cellStyle name="ハイパーリンク" xfId="3202" builtinId="8" hidden="1"/>
    <cellStyle name="ハイパーリンク" xfId="3204" builtinId="8" hidden="1"/>
    <cellStyle name="ハイパーリンク" xfId="3206" builtinId="8" hidden="1"/>
    <cellStyle name="ハイパーリンク" xfId="3208" builtinId="8" hidden="1"/>
    <cellStyle name="ハイパーリンク" xfId="3210" builtinId="8" hidden="1"/>
    <cellStyle name="ハイパーリンク" xfId="3212" builtinId="8" hidden="1"/>
    <cellStyle name="ハイパーリンク" xfId="3214" builtinId="8" hidden="1"/>
    <cellStyle name="ハイパーリンク" xfId="3216" builtinId="8" hidden="1"/>
    <cellStyle name="ハイパーリンク" xfId="3218" builtinId="8" hidden="1"/>
    <cellStyle name="ハイパーリンク" xfId="3220" builtinId="8" hidden="1"/>
    <cellStyle name="ハイパーリンク" xfId="3222" builtinId="8" hidden="1"/>
    <cellStyle name="ハイパーリンク" xfId="3224" builtinId="8" hidden="1"/>
    <cellStyle name="ハイパーリンク" xfId="3226" builtinId="8" hidden="1"/>
    <cellStyle name="ハイパーリンク" xfId="3228" builtinId="8" hidden="1"/>
    <cellStyle name="ハイパーリンク" xfId="3230" builtinId="8" hidden="1"/>
    <cellStyle name="ハイパーリンク" xfId="3232" builtinId="8" hidden="1"/>
    <cellStyle name="ハイパーリンク" xfId="3234" builtinId="8" hidden="1"/>
    <cellStyle name="ハイパーリンク" xfId="3236" builtinId="8" hidden="1"/>
    <cellStyle name="ハイパーリンク" xfId="3238" builtinId="8" hidden="1"/>
    <cellStyle name="ハイパーリンク" xfId="3240" builtinId="8" hidden="1"/>
    <cellStyle name="ハイパーリンク" xfId="3242" builtinId="8" hidden="1"/>
    <cellStyle name="ハイパーリンク" xfId="3244" builtinId="8" hidden="1"/>
    <cellStyle name="ハイパーリンク" xfId="3246" builtinId="8" hidden="1"/>
    <cellStyle name="ハイパーリンク" xfId="3248" builtinId="8" hidden="1"/>
    <cellStyle name="ハイパーリンク" xfId="3250" builtinId="8" hidden="1"/>
    <cellStyle name="ハイパーリンク" xfId="3252" builtinId="8" hidden="1"/>
    <cellStyle name="ハイパーリンク" xfId="3254" builtinId="8" hidden="1"/>
    <cellStyle name="ハイパーリンク" xfId="3256" builtinId="8" hidden="1"/>
    <cellStyle name="ハイパーリンク" xfId="3258" builtinId="8" hidden="1"/>
    <cellStyle name="ハイパーリンク" xfId="3260" builtinId="8" hidden="1"/>
    <cellStyle name="ハイパーリンク" xfId="3262" builtinId="8" hidden="1"/>
    <cellStyle name="ハイパーリンク" xfId="3264" builtinId="8" hidden="1"/>
    <cellStyle name="ハイパーリンク" xfId="3266" builtinId="8" hidden="1"/>
    <cellStyle name="ハイパーリンク" xfId="3268" builtinId="8" hidden="1"/>
    <cellStyle name="ハイパーリンク" xfId="3270" builtinId="8" hidden="1"/>
    <cellStyle name="ハイパーリンク" xfId="3272" builtinId="8" hidden="1"/>
    <cellStyle name="ハイパーリンク" xfId="3274" builtinId="8" hidden="1"/>
    <cellStyle name="ハイパーリンク" xfId="3276" builtinId="8" hidden="1"/>
    <cellStyle name="ハイパーリンク" xfId="3278" builtinId="8" hidden="1"/>
    <cellStyle name="ハイパーリンク" xfId="3280" builtinId="8" hidden="1"/>
    <cellStyle name="ハイパーリンク" xfId="3282" builtinId="8" hidden="1"/>
    <cellStyle name="ハイパーリンク" xfId="3284" builtinId="8" hidden="1"/>
    <cellStyle name="ハイパーリンク" xfId="3286" builtinId="8" hidden="1"/>
    <cellStyle name="ハイパーリンク" xfId="3288" builtinId="8" hidden="1"/>
    <cellStyle name="ハイパーリンク" xfId="3290" builtinId="8" hidden="1"/>
    <cellStyle name="ハイパーリンク" xfId="3292" builtinId="8" hidden="1"/>
    <cellStyle name="ハイパーリンク" xfId="3294" builtinId="8" hidden="1"/>
    <cellStyle name="ハイパーリンク" xfId="3296" builtinId="8" hidden="1"/>
    <cellStyle name="ハイパーリンク" xfId="3298" builtinId="8" hidden="1"/>
    <cellStyle name="ハイパーリンク" xfId="3300" builtinId="8" hidden="1"/>
    <cellStyle name="ハイパーリンク" xfId="3302" builtinId="8" hidden="1"/>
    <cellStyle name="ハイパーリンク" xfId="3304" builtinId="8" hidden="1"/>
    <cellStyle name="ハイパーリンク" xfId="3306" builtinId="8" hidden="1"/>
    <cellStyle name="ハイパーリンク" xfId="3308" builtinId="8" hidden="1"/>
    <cellStyle name="ハイパーリンク" xfId="3310" builtinId="8" hidden="1"/>
    <cellStyle name="ハイパーリンク" xfId="3312" builtinId="8" hidden="1"/>
    <cellStyle name="ハイパーリンク" xfId="3314" builtinId="8" hidden="1"/>
    <cellStyle name="ハイパーリンク" xfId="3316" builtinId="8" hidden="1"/>
    <cellStyle name="ハイパーリンク" xfId="3318" builtinId="8" hidden="1"/>
    <cellStyle name="ハイパーリンク" xfId="3320" builtinId="8" hidden="1"/>
    <cellStyle name="ハイパーリンク" xfId="3322" builtinId="8" hidden="1"/>
    <cellStyle name="ハイパーリンク" xfId="3324" builtinId="8" hidden="1"/>
    <cellStyle name="ハイパーリンク" xfId="3326" builtinId="8" hidden="1"/>
    <cellStyle name="ハイパーリンク" xfId="3328" builtinId="8" hidden="1"/>
    <cellStyle name="ハイパーリンク" xfId="3330" builtinId="8" hidden="1"/>
    <cellStyle name="ハイパーリンク" xfId="3332" builtinId="8" hidden="1"/>
    <cellStyle name="ハイパーリンク" xfId="3334" builtinId="8" hidden="1"/>
    <cellStyle name="ハイパーリンク" xfId="3336" builtinId="8" hidden="1"/>
    <cellStyle name="ハイパーリンク" xfId="3338" builtinId="8" hidden="1"/>
    <cellStyle name="ハイパーリンク" xfId="3340" builtinId="8" hidden="1"/>
    <cellStyle name="ハイパーリンク" xfId="3342" builtinId="8" hidden="1"/>
    <cellStyle name="ハイパーリンク" xfId="3344" builtinId="8" hidden="1"/>
    <cellStyle name="ハイパーリンク" xfId="3346" builtinId="8" hidden="1"/>
    <cellStyle name="ハイパーリンク" xfId="3348" builtinId="8" hidden="1"/>
    <cellStyle name="ハイパーリンク" xfId="3350" builtinId="8" hidden="1"/>
    <cellStyle name="ハイパーリンク" xfId="3352" builtinId="8" hidden="1"/>
    <cellStyle name="ハイパーリンク" xfId="3354" builtinId="8" hidden="1"/>
    <cellStyle name="ハイパーリンク" xfId="3356" builtinId="8" hidden="1"/>
    <cellStyle name="ハイパーリンク" xfId="3358" builtinId="8" hidden="1"/>
    <cellStyle name="ハイパーリンク" xfId="3360" builtinId="8" hidden="1"/>
    <cellStyle name="ハイパーリンク" xfId="3362" builtinId="8" hidden="1"/>
    <cellStyle name="ハイパーリンク" xfId="3364" builtinId="8" hidden="1"/>
    <cellStyle name="ハイパーリンク" xfId="3366" builtinId="8" hidden="1"/>
    <cellStyle name="ハイパーリンク" xfId="3368" builtinId="8" hidden="1"/>
    <cellStyle name="ハイパーリンク" xfId="3370" builtinId="8" hidden="1"/>
    <cellStyle name="ハイパーリンク" xfId="3372" builtinId="8" hidden="1"/>
    <cellStyle name="ハイパーリンク" xfId="3374" builtinId="8" hidden="1"/>
    <cellStyle name="ハイパーリンク" xfId="3376" builtinId="8" hidden="1"/>
    <cellStyle name="ハイパーリンク" xfId="3378" builtinId="8" hidden="1"/>
    <cellStyle name="ハイパーリンク" xfId="3380" builtinId="8" hidden="1"/>
    <cellStyle name="ハイパーリンク" xfId="3382" builtinId="8" hidden="1"/>
    <cellStyle name="ハイパーリンク" xfId="3384" builtinId="8" hidden="1"/>
    <cellStyle name="ハイパーリンク" xfId="3386" builtinId="8" hidden="1"/>
    <cellStyle name="ハイパーリンク" xfId="3388" builtinId="8" hidden="1"/>
    <cellStyle name="ハイパーリンク" xfId="3390" builtinId="8" hidden="1"/>
    <cellStyle name="ハイパーリンク" xfId="3392" builtinId="8" hidden="1"/>
    <cellStyle name="ハイパーリンク" xfId="3394" builtinId="8" hidden="1"/>
    <cellStyle name="ハイパーリンク" xfId="3396" builtinId="8" hidden="1"/>
    <cellStyle name="ハイパーリンク" xfId="3398" builtinId="8" hidden="1"/>
    <cellStyle name="ハイパーリンク" xfId="3400" builtinId="8" hidden="1"/>
    <cellStyle name="ハイパーリンク" xfId="3402" builtinId="8" hidden="1"/>
    <cellStyle name="ハイパーリンク" xfId="3404" builtinId="8" hidden="1"/>
    <cellStyle name="ハイパーリンク" xfId="3406" builtinId="8" hidden="1"/>
    <cellStyle name="ハイパーリンク" xfId="3408" builtinId="8" hidden="1"/>
    <cellStyle name="ハイパーリンク" xfId="3410" builtinId="8" hidden="1"/>
    <cellStyle name="ハイパーリンク" xfId="3412" builtinId="8" hidden="1"/>
    <cellStyle name="ハイパーリンク" xfId="3414" builtinId="8" hidden="1"/>
    <cellStyle name="ハイパーリンク" xfId="3416" builtinId="8" hidden="1"/>
    <cellStyle name="ハイパーリンク" xfId="3418" builtinId="8" hidden="1"/>
    <cellStyle name="ハイパーリンク" xfId="3420" builtinId="8" hidden="1"/>
    <cellStyle name="ハイパーリンク" xfId="3422" builtinId="8" hidden="1"/>
    <cellStyle name="ハイパーリンク" xfId="3424" builtinId="8" hidden="1"/>
    <cellStyle name="ハイパーリンク" xfId="3426" builtinId="8" hidden="1"/>
    <cellStyle name="ハイパーリンク" xfId="3428" builtinId="8" hidden="1"/>
    <cellStyle name="ハイパーリンク" xfId="3430" builtinId="8" hidden="1"/>
    <cellStyle name="ハイパーリンク" xfId="3432" builtinId="8" hidden="1"/>
    <cellStyle name="ハイパーリンク" xfId="3434" builtinId="8" hidden="1"/>
    <cellStyle name="ハイパーリンク" xfId="3436" builtinId="8" hidden="1"/>
    <cellStyle name="ハイパーリンク" xfId="3438" builtinId="8" hidden="1"/>
    <cellStyle name="ハイパーリンク" xfId="3440" builtinId="8" hidden="1"/>
    <cellStyle name="ハイパーリンク" xfId="3442" builtinId="8" hidden="1"/>
    <cellStyle name="ハイパーリンク" xfId="3444" builtinId="8" hidden="1"/>
    <cellStyle name="ハイパーリンク" xfId="3446" builtinId="8" hidden="1"/>
    <cellStyle name="ハイパーリンク" xfId="3448" builtinId="8" hidden="1"/>
    <cellStyle name="ハイパーリンク" xfId="3450" builtinId="8" hidden="1"/>
    <cellStyle name="ハイパーリンク" xfId="3452" builtinId="8" hidden="1"/>
    <cellStyle name="ハイパーリンク" xfId="3454" builtinId="8" hidden="1"/>
    <cellStyle name="ハイパーリンク" xfId="3456" builtinId="8" hidden="1"/>
    <cellStyle name="ハイパーリンク" xfId="3458" builtinId="8" hidden="1"/>
    <cellStyle name="ハイパーリンク" xfId="3460" builtinId="8" hidden="1"/>
    <cellStyle name="ハイパーリンク" xfId="3462" builtinId="8" hidden="1"/>
    <cellStyle name="ハイパーリンク" xfId="3464" builtinId="8" hidden="1"/>
    <cellStyle name="ハイパーリンク" xfId="3466" builtinId="8" hidden="1"/>
    <cellStyle name="ハイパーリンク" xfId="3468" builtinId="8" hidden="1"/>
    <cellStyle name="ハイパーリンク" xfId="3470" builtinId="8" hidden="1"/>
    <cellStyle name="ハイパーリンク" xfId="3472" builtinId="8" hidden="1"/>
    <cellStyle name="ハイパーリンク" xfId="3474" builtinId="8" hidden="1"/>
    <cellStyle name="ハイパーリンク" xfId="3476" builtinId="8" hidden="1"/>
    <cellStyle name="ハイパーリンク" xfId="3478" builtinId="8" hidden="1"/>
    <cellStyle name="ハイパーリンク" xfId="3480" builtinId="8" hidden="1"/>
    <cellStyle name="ハイパーリンク" xfId="3482" builtinId="8" hidden="1"/>
    <cellStyle name="ハイパーリンク" xfId="3484" builtinId="8" hidden="1"/>
    <cellStyle name="ハイパーリンク" xfId="3486" builtinId="8" hidden="1"/>
    <cellStyle name="ハイパーリンク" xfId="3488" builtinId="8" hidden="1"/>
    <cellStyle name="ハイパーリンク" xfId="3490" builtinId="8" hidden="1"/>
    <cellStyle name="ハイパーリンク" xfId="3492" builtinId="8" hidden="1"/>
    <cellStyle name="ハイパーリンク" xfId="3494" builtinId="8" hidden="1"/>
    <cellStyle name="ハイパーリンク" xfId="3496" builtinId="8" hidden="1"/>
    <cellStyle name="ハイパーリンク" xfId="3498" builtinId="8" hidden="1"/>
    <cellStyle name="ハイパーリンク" xfId="3500" builtinId="8" hidden="1"/>
    <cellStyle name="ハイパーリンク" xfId="3502" builtinId="8" hidden="1"/>
    <cellStyle name="ハイパーリンク" xfId="3504" builtinId="8" hidden="1"/>
    <cellStyle name="ハイパーリンク" xfId="3506" builtinId="8" hidden="1"/>
    <cellStyle name="ハイパーリンク" xfId="3508" builtinId="8" hidden="1"/>
    <cellStyle name="ハイパーリンク" xfId="3510" builtinId="8" hidden="1"/>
    <cellStyle name="ハイパーリンク" xfId="3512" builtinId="8" hidden="1"/>
    <cellStyle name="ハイパーリンク" xfId="3514" builtinId="8" hidden="1"/>
    <cellStyle name="ハイパーリンク" xfId="3516" builtinId="8" hidden="1"/>
    <cellStyle name="ハイパーリンク" xfId="3518" builtinId="8" hidden="1"/>
    <cellStyle name="ハイパーリンク" xfId="3520" builtinId="8" hidden="1"/>
    <cellStyle name="ハイパーリンク" xfId="3522" builtinId="8" hidden="1"/>
    <cellStyle name="ハイパーリンク" xfId="3524" builtinId="8" hidden="1"/>
    <cellStyle name="ハイパーリンク" xfId="3526" builtinId="8" hidden="1"/>
    <cellStyle name="ハイパーリンク" xfId="3528" builtinId="8" hidden="1"/>
    <cellStyle name="ハイパーリンク" xfId="3530" builtinId="8" hidden="1"/>
    <cellStyle name="ハイパーリンク" xfId="3532" builtinId="8" hidden="1"/>
    <cellStyle name="ハイパーリンク" xfId="3534" builtinId="8" hidden="1"/>
    <cellStyle name="ハイパーリンク" xfId="3536" builtinId="8" hidden="1"/>
    <cellStyle name="ハイパーリンク" xfId="3538" builtinId="8" hidden="1"/>
    <cellStyle name="ハイパーリンク" xfId="3540" builtinId="8" hidden="1"/>
    <cellStyle name="ハイパーリンク" xfId="3542" builtinId="8" hidden="1"/>
    <cellStyle name="ハイパーリンク" xfId="3544" builtinId="8" hidden="1"/>
    <cellStyle name="ハイパーリンク" xfId="3546" builtinId="8" hidden="1"/>
    <cellStyle name="ハイパーリンク" xfId="3548" builtinId="8" hidden="1"/>
    <cellStyle name="ハイパーリンク" xfId="3550" builtinId="8" hidden="1"/>
    <cellStyle name="ハイパーリンク" xfId="3552" builtinId="8" hidden="1"/>
    <cellStyle name="ハイパーリンク" xfId="3554" builtinId="8" hidden="1"/>
    <cellStyle name="ハイパーリンク" xfId="3556" builtinId="8" hidden="1"/>
    <cellStyle name="ハイパーリンク" xfId="3558" builtinId="8" hidden="1"/>
    <cellStyle name="ハイパーリンク" xfId="3560" builtinId="8" hidden="1"/>
    <cellStyle name="ハイパーリンク" xfId="3562" builtinId="8" hidden="1"/>
    <cellStyle name="ハイパーリンク" xfId="3564" builtinId="8" hidden="1"/>
    <cellStyle name="ハイパーリンク" xfId="3566" builtinId="8" hidden="1"/>
    <cellStyle name="ハイパーリンク" xfId="3568" builtinId="8" hidden="1"/>
    <cellStyle name="ハイパーリンク" xfId="3570" builtinId="8" hidden="1"/>
    <cellStyle name="ハイパーリンク" xfId="3572" builtinId="8" hidden="1"/>
    <cellStyle name="ハイパーリンク" xfId="3574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2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ハイパーリンク" xfId="3670" builtinId="8" hidden="1"/>
    <cellStyle name="ハイパーリンク" xfId="3672" builtinId="8" hidden="1"/>
    <cellStyle name="ハイパーリンク" xfId="3674" builtinId="8" hidden="1"/>
    <cellStyle name="ハイパーリンク" xfId="3676" builtinId="8" hidden="1"/>
    <cellStyle name="ハイパーリンク" xfId="3678" builtinId="8" hidden="1"/>
    <cellStyle name="ハイパーリンク" xfId="3680" builtinId="8" hidden="1"/>
    <cellStyle name="ハイパーリンク" xfId="3682" builtinId="8" hidden="1"/>
    <cellStyle name="ハイパーリンク" xfId="3684" builtinId="8" hidden="1"/>
    <cellStyle name="ハイパーリンク" xfId="3686" builtinId="8" hidden="1"/>
    <cellStyle name="ハイパーリンク" xfId="3688" builtinId="8" hidden="1"/>
    <cellStyle name="ハイパーリンク" xfId="3690" builtinId="8" hidden="1"/>
    <cellStyle name="ハイパーリンク" xfId="3692" builtinId="8" hidden="1"/>
    <cellStyle name="ハイパーリンク" xfId="3694" builtinId="8" hidden="1"/>
    <cellStyle name="ハイパーリンク" xfId="3696" builtinId="8" hidden="1"/>
    <cellStyle name="ハイパーリンク" xfId="3698" builtinId="8" hidden="1"/>
    <cellStyle name="ハイパーリンク" xfId="3700" builtinId="8" hidden="1"/>
    <cellStyle name="ハイパーリンク" xfId="3702" builtinId="8" hidden="1"/>
    <cellStyle name="ハイパーリンク" xfId="3704" builtinId="8" hidden="1"/>
    <cellStyle name="ハイパーリンク" xfId="3706" builtinId="8" hidden="1"/>
    <cellStyle name="ハイパーリンク" xfId="3708" builtinId="8" hidden="1"/>
    <cellStyle name="ハイパーリンク" xfId="3710" builtinId="8" hidden="1"/>
    <cellStyle name="ハイパーリンク" xfId="3712" builtinId="8" hidden="1"/>
    <cellStyle name="ハイパーリンク" xfId="3714" builtinId="8" hidden="1"/>
    <cellStyle name="ハイパーリンク" xfId="3716" builtinId="8" hidden="1"/>
    <cellStyle name="ハイパーリンク" xfId="3718" builtinId="8" hidden="1"/>
    <cellStyle name="ハイパーリンク" xfId="3720" builtinId="8" hidden="1"/>
    <cellStyle name="ハイパーリンク" xfId="3722" builtinId="8" hidden="1"/>
    <cellStyle name="ハイパーリンク" xfId="3724" builtinId="8" hidden="1"/>
    <cellStyle name="ハイパーリンク" xfId="3726" builtinId="8" hidden="1"/>
    <cellStyle name="ハイパーリンク" xfId="3728" builtinId="8" hidden="1"/>
    <cellStyle name="ハイパーリンク" xfId="3730" builtinId="8" hidden="1"/>
    <cellStyle name="ハイパーリンク" xfId="3732" builtinId="8" hidden="1"/>
    <cellStyle name="ハイパーリンク" xfId="3734" builtinId="8" hidden="1"/>
    <cellStyle name="ハイパーリンク" xfId="3736" builtinId="8" hidden="1"/>
    <cellStyle name="ハイパーリンク" xfId="3738" builtinId="8" hidden="1"/>
    <cellStyle name="ハイパーリンク" xfId="3740" builtinId="8" hidden="1"/>
    <cellStyle name="ハイパーリンク" xfId="3742" builtinId="8" hidden="1"/>
    <cellStyle name="ハイパーリンク" xfId="3744" builtinId="8" hidden="1"/>
    <cellStyle name="ハイパーリンク" xfId="3746" builtinId="8" hidden="1"/>
    <cellStyle name="ハイパーリンク" xfId="3748" builtinId="8" hidden="1"/>
    <cellStyle name="ハイパーリンク" xfId="3750" builtinId="8" hidden="1"/>
    <cellStyle name="ハイパーリンク" xfId="3752" builtinId="8" hidden="1"/>
    <cellStyle name="ハイパーリンク" xfId="3754" builtinId="8" hidden="1"/>
    <cellStyle name="ハイパーリンク" xfId="3756" builtinId="8" hidden="1"/>
    <cellStyle name="ハイパーリンク" xfId="3758" builtinId="8" hidden="1"/>
    <cellStyle name="ハイパーリンク" xfId="3760" builtinId="8" hidden="1"/>
    <cellStyle name="ハイパーリンク" xfId="3762" builtinId="8" hidden="1"/>
    <cellStyle name="ハイパーリンク" xfId="3764" builtinId="8" hidden="1"/>
    <cellStyle name="ハイパーリンク" xfId="3766" builtinId="8" hidden="1"/>
    <cellStyle name="ハイパーリンク" xfId="3768" builtinId="8" hidden="1"/>
    <cellStyle name="ハイパーリンク" xfId="3770" builtinId="8" hidden="1"/>
    <cellStyle name="ハイパーリンク" xfId="3772" builtinId="8" hidden="1"/>
    <cellStyle name="ハイパーリンク" xfId="3774" builtinId="8" hidden="1"/>
    <cellStyle name="ハイパーリンク" xfId="3776" builtinId="8" hidden="1"/>
    <cellStyle name="ハイパーリンク" xfId="3778" builtinId="8" hidden="1"/>
    <cellStyle name="ハイパーリンク" xfId="3780" builtinId="8" hidden="1"/>
    <cellStyle name="ハイパーリンク" xfId="3782" builtinId="8" hidden="1"/>
    <cellStyle name="ハイパーリンク" xfId="3784" builtinId="8" hidden="1"/>
    <cellStyle name="ハイパーリンク" xfId="3786" builtinId="8" hidden="1"/>
    <cellStyle name="ハイパーリンク" xfId="3788" builtinId="8" hidden="1"/>
    <cellStyle name="ハイパーリンク" xfId="3790" builtinId="8" hidden="1"/>
    <cellStyle name="ハイパーリンク" xfId="3792" builtinId="8" hidden="1"/>
    <cellStyle name="ハイパーリンク" xfId="3794" builtinId="8" hidden="1"/>
    <cellStyle name="ハイパーリンク" xfId="3796" builtinId="8" hidden="1"/>
    <cellStyle name="ハイパーリンク" xfId="3798" builtinId="8" hidden="1"/>
    <cellStyle name="ハイパーリンク" xfId="3800" builtinId="8" hidden="1"/>
    <cellStyle name="ハイパーリンク" xfId="3802" builtinId="8" hidden="1"/>
    <cellStyle name="ハイパーリンク" xfId="3804" builtinId="8" hidden="1"/>
    <cellStyle name="ハイパーリンク" xfId="3806" builtinId="8" hidden="1"/>
    <cellStyle name="ハイパーリンク" xfId="3808" builtinId="8" hidden="1"/>
    <cellStyle name="ハイパーリンク" xfId="3810" builtinId="8" hidden="1"/>
    <cellStyle name="ハイパーリンク" xfId="3812" builtinId="8" hidden="1"/>
    <cellStyle name="ハイパーリンク" xfId="3814" builtinId="8" hidden="1"/>
    <cellStyle name="ハイパーリンク" xfId="3816" builtinId="8" hidden="1"/>
    <cellStyle name="ハイパーリンク" xfId="3818" builtinId="8" hidden="1"/>
    <cellStyle name="ハイパーリンク" xfId="3820" builtinId="8" hidden="1"/>
    <cellStyle name="ハイパーリンク" xfId="3822" builtinId="8" hidden="1"/>
    <cellStyle name="ハイパーリンク" xfId="3824" builtinId="8" hidden="1"/>
    <cellStyle name="ハイパーリンク" xfId="3826" builtinId="8" hidden="1"/>
    <cellStyle name="ハイパーリンク" xfId="3828" builtinId="8" hidden="1"/>
    <cellStyle name="ハイパーリンク" xfId="3830" builtinId="8" hidden="1"/>
    <cellStyle name="ハイパーリンク" xfId="3832" builtinId="8" hidden="1"/>
    <cellStyle name="ハイパーリンク" xfId="3834" builtinId="8" hidden="1"/>
    <cellStyle name="ハイパーリンク" xfId="3836" builtinId="8" hidden="1"/>
    <cellStyle name="ハイパーリンク" xfId="3838" builtinId="8" hidden="1"/>
    <cellStyle name="ハイパーリンク" xfId="3840" builtinId="8" hidden="1"/>
    <cellStyle name="ハイパーリンク" xfId="3842" builtinId="8" hidden="1"/>
    <cellStyle name="ハイパーリンク" xfId="3844" builtinId="8" hidden="1"/>
    <cellStyle name="ハイパーリンク" xfId="3846" builtinId="8" hidden="1"/>
    <cellStyle name="ハイパーリンク" xfId="3848" builtinId="8" hidden="1"/>
    <cellStyle name="ハイパーリンク" xfId="3850" builtinId="8" hidden="1"/>
    <cellStyle name="ハイパーリンク" xfId="3852" builtinId="8" hidden="1"/>
    <cellStyle name="ハイパーリンク" xfId="3854" builtinId="8" hidden="1"/>
    <cellStyle name="ハイパーリンク" xfId="3856" builtinId="8" hidden="1"/>
    <cellStyle name="ハイパーリンク" xfId="3858" builtinId="8" hidden="1"/>
    <cellStyle name="ハイパーリンク" xfId="3860" builtinId="8" hidden="1"/>
    <cellStyle name="ハイパーリンク" xfId="3862" builtinId="8" hidden="1"/>
    <cellStyle name="ハイパーリンク" xfId="3864" builtinId="8" hidden="1"/>
    <cellStyle name="ハイパーリンク" xfId="3866" builtinId="8" hidden="1"/>
    <cellStyle name="ハイパーリンク" xfId="3868" builtinId="8" hidden="1"/>
    <cellStyle name="ハイパーリンク" xfId="3870" builtinId="8" hidden="1"/>
    <cellStyle name="ハイパーリンク" xfId="3872" builtinId="8" hidden="1"/>
    <cellStyle name="ハイパーリンク" xfId="3874" builtinId="8" hidden="1"/>
    <cellStyle name="ハイパーリンク" xfId="3876" builtinId="8" hidden="1"/>
    <cellStyle name="ハイパーリンク" xfId="3878" builtinId="8" hidden="1"/>
    <cellStyle name="ハイパーリンク" xfId="3880" builtinId="8" hidden="1"/>
    <cellStyle name="ハイパーリンク" xfId="3882" builtinId="8" hidden="1"/>
    <cellStyle name="ハイパーリンク" xfId="3884" builtinId="8" hidden="1"/>
    <cellStyle name="ハイパーリンク" xfId="3886" builtinId="8" hidden="1"/>
    <cellStyle name="ハイパーリンク" xfId="3888" builtinId="8" hidden="1"/>
    <cellStyle name="ハイパーリンク" xfId="3890" builtinId="8" hidden="1"/>
    <cellStyle name="ハイパーリンク" xfId="3892" builtinId="8" hidden="1"/>
    <cellStyle name="ハイパーリンク" xfId="3894" builtinId="8" hidden="1"/>
    <cellStyle name="ハイパーリンク" xfId="3896" builtinId="8" hidden="1"/>
    <cellStyle name="ハイパーリンク" xfId="3898" builtinId="8" hidden="1"/>
    <cellStyle name="ハイパーリンク" xfId="3900" builtinId="8" hidden="1"/>
    <cellStyle name="ハイパーリンク" xfId="3902" builtinId="8" hidden="1"/>
    <cellStyle name="ハイパーリンク" xfId="3904" builtinId="8" hidden="1"/>
    <cellStyle name="ハイパーリンク" xfId="3906" builtinId="8" hidden="1"/>
    <cellStyle name="ハイパーリンク" xfId="3908" builtinId="8" hidden="1"/>
    <cellStyle name="ハイパーリンク" xfId="3910" builtinId="8" hidden="1"/>
    <cellStyle name="ハイパーリンク" xfId="3912" builtinId="8" hidden="1"/>
    <cellStyle name="ハイパーリンク" xfId="3914" builtinId="8" hidden="1"/>
    <cellStyle name="ハイパーリンク" xfId="3916" builtinId="8" hidden="1"/>
    <cellStyle name="ハイパーリンク" xfId="3918" builtinId="8" hidden="1"/>
    <cellStyle name="ハイパーリンク" xfId="3920" builtinId="8" hidden="1"/>
    <cellStyle name="ハイパーリンク" xfId="3922" builtinId="8" hidden="1"/>
    <cellStyle name="ハイパーリンク" xfId="3924" builtinId="8" hidden="1"/>
    <cellStyle name="ハイパーリンク" xfId="3926" builtinId="8" hidden="1"/>
    <cellStyle name="ハイパーリンク" xfId="3928" builtinId="8" hidden="1"/>
    <cellStyle name="ハイパーリンク" xfId="3930" builtinId="8" hidden="1"/>
    <cellStyle name="ハイパーリンク" xfId="3932" builtinId="8" hidden="1"/>
    <cellStyle name="ハイパーリンク" xfId="3934" builtinId="8" hidden="1"/>
    <cellStyle name="ハイパーリンク" xfId="3936" builtinId="8" hidden="1"/>
    <cellStyle name="ハイパーリンク" xfId="3938" builtinId="8" hidden="1"/>
    <cellStyle name="ハイパーリンク" xfId="3940" builtinId="8" hidden="1"/>
    <cellStyle name="ハイパーリンク" xfId="3942" builtinId="8" hidden="1"/>
    <cellStyle name="ハイパーリンク" xfId="3944" builtinId="8" hidden="1"/>
    <cellStyle name="ハイパーリンク" xfId="3946" builtinId="8" hidden="1"/>
    <cellStyle name="ハイパーリンク" xfId="3948" builtinId="8" hidden="1"/>
    <cellStyle name="ハイパーリンク" xfId="3950" builtinId="8" hidden="1"/>
    <cellStyle name="ハイパーリンク" xfId="3952" builtinId="8" hidden="1"/>
    <cellStyle name="ハイパーリンク" xfId="3954" builtinId="8" hidden="1"/>
    <cellStyle name="ハイパーリンク" xfId="3956" builtinId="8" hidden="1"/>
    <cellStyle name="ハイパーリンク" xfId="3958" builtinId="8" hidden="1"/>
    <cellStyle name="ハイパーリンク" xfId="3960" builtinId="8" hidden="1"/>
    <cellStyle name="ハイパーリンク" xfId="3962" builtinId="8" hidden="1"/>
    <cellStyle name="ハイパーリンク" xfId="3964" builtinId="8" hidden="1"/>
    <cellStyle name="ハイパーリンク" xfId="3966" builtinId="8" hidden="1"/>
    <cellStyle name="ハイパーリンク" xfId="3968" builtinId="8" hidden="1"/>
    <cellStyle name="ハイパーリンク" xfId="3970" builtinId="8" hidden="1"/>
    <cellStyle name="ハイパーリンク" xfId="3972" builtinId="8" hidden="1"/>
    <cellStyle name="ハイパーリンク" xfId="3974" builtinId="8" hidden="1"/>
    <cellStyle name="ハイパーリンク" xfId="3976" builtinId="8" hidden="1"/>
    <cellStyle name="ハイパーリンク" xfId="3978" builtinId="8" hidden="1"/>
    <cellStyle name="ハイパーリンク" xfId="3980" builtinId="8" hidden="1"/>
    <cellStyle name="ハイパーリンク" xfId="3982" builtinId="8" hidden="1"/>
    <cellStyle name="ハイパーリンク" xfId="3984" builtinId="8" hidden="1"/>
    <cellStyle name="ハイパーリンク" xfId="3986" builtinId="8" hidden="1"/>
    <cellStyle name="ハイパーリンク" xfId="3988" builtinId="8" hidden="1"/>
    <cellStyle name="ハイパーリンク" xfId="3990" builtinId="8" hidden="1"/>
    <cellStyle name="ハイパーリンク" xfId="3992" builtinId="8" hidden="1"/>
    <cellStyle name="ハイパーリンク" xfId="3994" builtinId="8" hidden="1"/>
    <cellStyle name="ハイパーリンク" xfId="3996" builtinId="8" hidden="1"/>
    <cellStyle name="ハイパーリンク" xfId="3998" builtinId="8" hidden="1"/>
    <cellStyle name="ハイパーリンク" xfId="4000" builtinId="8" hidden="1"/>
    <cellStyle name="ハイパーリンク" xfId="4002" builtinId="8" hidden="1"/>
    <cellStyle name="ハイパーリンク" xfId="4004" builtinId="8" hidden="1"/>
    <cellStyle name="ハイパーリンク" xfId="4006" builtinId="8" hidden="1"/>
    <cellStyle name="ハイパーリンク" xfId="4008" builtinId="8" hidden="1"/>
    <cellStyle name="ハイパーリンク" xfId="4010" builtinId="8" hidden="1"/>
    <cellStyle name="ハイパーリンク" xfId="4012" builtinId="8" hidden="1"/>
    <cellStyle name="ハイパーリンク" xfId="4014" builtinId="8" hidden="1"/>
    <cellStyle name="ハイパーリンク" xfId="4016" builtinId="8" hidden="1"/>
    <cellStyle name="ハイパーリンク" xfId="4018" builtinId="8" hidden="1"/>
    <cellStyle name="ハイパーリンク" xfId="4020" builtinId="8" hidden="1"/>
    <cellStyle name="ハイパーリンク" xfId="4022" builtinId="8" hidden="1"/>
    <cellStyle name="ハイパーリンク" xfId="4024" builtinId="8" hidden="1"/>
    <cellStyle name="ハイパーリンク" xfId="4026" builtinId="8" hidden="1"/>
    <cellStyle name="ハイパーリンク" xfId="4028" builtinId="8" hidden="1"/>
    <cellStyle name="ハイパーリンク" xfId="4030" builtinId="8" hidden="1"/>
    <cellStyle name="ハイパーリンク" xfId="4032" builtinId="8" hidden="1"/>
    <cellStyle name="ハイパーリンク" xfId="4034" builtinId="8" hidden="1"/>
    <cellStyle name="ハイパーリンク" xfId="4036" builtinId="8" hidden="1"/>
    <cellStyle name="ハイパーリンク" xfId="4038" builtinId="8" hidden="1"/>
    <cellStyle name="ハイパーリンク" xfId="4040" builtinId="8" hidden="1"/>
    <cellStyle name="ハイパーリンク" xfId="4042" builtinId="8" hidden="1"/>
    <cellStyle name="ハイパーリンク" xfId="4044" builtinId="8" hidden="1"/>
    <cellStyle name="ハイパーリンク" xfId="4046" builtinId="8" hidden="1"/>
    <cellStyle name="ハイパーリンク" xfId="4048" builtinId="8" hidden="1"/>
    <cellStyle name="ハイパーリンク" xfId="4050" builtinId="8" hidden="1"/>
    <cellStyle name="ハイパーリンク" xfId="4052" builtinId="8" hidden="1"/>
    <cellStyle name="ハイパーリンク" xfId="4054" builtinId="8" hidden="1"/>
    <cellStyle name="ハイパーリンク" xfId="4056" builtinId="8" hidden="1"/>
    <cellStyle name="ハイパーリンク" xfId="4058" builtinId="8" hidden="1"/>
    <cellStyle name="ハイパーリンク" xfId="4060" builtinId="8" hidden="1"/>
    <cellStyle name="ハイパーリンク" xfId="4062" builtinId="8" hidden="1"/>
    <cellStyle name="ハイパーリンク" xfId="4064" builtinId="8" hidden="1"/>
    <cellStyle name="ハイパーリンク" xfId="4066" builtinId="8" hidden="1"/>
    <cellStyle name="ハイパーリンク" xfId="4068" builtinId="8" hidden="1"/>
    <cellStyle name="ハイパーリンク" xfId="4070" builtinId="8" hidden="1"/>
    <cellStyle name="ハイパーリンク" xfId="4072" builtinId="8" hidden="1"/>
    <cellStyle name="ハイパーリンク" xfId="4074" builtinId="8" hidden="1"/>
    <cellStyle name="ハイパーリンク" xfId="4076" builtinId="8" hidden="1"/>
    <cellStyle name="ハイパーリンク" xfId="4078" builtinId="8" hidden="1"/>
    <cellStyle name="ハイパーリンク" xfId="4080" builtinId="8" hidden="1"/>
    <cellStyle name="ハイパーリンク" xfId="4082" builtinId="8" hidden="1"/>
    <cellStyle name="ハイパーリンク" xfId="4084" builtinId="8" hidden="1"/>
    <cellStyle name="ハイパーリンク" xfId="4086" builtinId="8" hidden="1"/>
    <cellStyle name="ハイパーリンク" xfId="4088" builtinId="8" hidden="1"/>
    <cellStyle name="ハイパーリンク" xfId="4090" builtinId="8" hidden="1"/>
    <cellStyle name="ハイパーリンク" xfId="4092" builtinId="8" hidden="1"/>
    <cellStyle name="ハイパーリンク" xfId="4094" builtinId="8" hidden="1"/>
    <cellStyle name="ハイパーリンク" xfId="4096" builtinId="8" hidden="1"/>
    <cellStyle name="ハイパーリンク" xfId="4098" builtinId="8" hidden="1"/>
    <cellStyle name="ハイパーリンク" xfId="4100" builtinId="8" hidden="1"/>
    <cellStyle name="ハイパーリンク" xfId="4102" builtinId="8" hidden="1"/>
    <cellStyle name="ハイパーリンク" xfId="4104" builtinId="8" hidden="1"/>
    <cellStyle name="ハイパーリンク" xfId="4106" builtinId="8" hidden="1"/>
    <cellStyle name="ハイパーリンク" xfId="4108" builtinId="8" hidden="1"/>
    <cellStyle name="ハイパーリンク" xfId="4110" builtinId="8" hidden="1"/>
    <cellStyle name="ハイパーリンク" xfId="4112" builtinId="8" hidden="1"/>
    <cellStyle name="ハイパーリンク" xfId="4114" builtinId="8" hidden="1"/>
    <cellStyle name="ハイパーリンク" xfId="4116" builtinId="8" hidden="1"/>
    <cellStyle name="ハイパーリンク" xfId="4118" builtinId="8" hidden="1"/>
    <cellStyle name="ハイパーリンク" xfId="4120" builtinId="8" hidden="1"/>
    <cellStyle name="ハイパーリンク" xfId="4122" builtinId="8" hidden="1"/>
    <cellStyle name="ハイパーリンク" xfId="4124" builtinId="8" hidden="1"/>
    <cellStyle name="ハイパーリンク" xfId="4126" builtinId="8" hidden="1"/>
    <cellStyle name="ハイパーリンク" xfId="4128" builtinId="8" hidden="1"/>
    <cellStyle name="ハイパーリンク" xfId="4130" builtinId="8" hidden="1"/>
    <cellStyle name="ハイパーリンク" xfId="4132" builtinId="8" hidden="1"/>
    <cellStyle name="ハイパーリンク" xfId="4134" builtinId="8" hidden="1"/>
    <cellStyle name="ハイパーリンク" xfId="4136" builtinId="8" hidden="1"/>
    <cellStyle name="ハイパーリンク" xfId="4138" builtinId="8" hidden="1"/>
    <cellStyle name="ハイパーリンク" xfId="4140" builtinId="8" hidden="1"/>
    <cellStyle name="ハイパーリンク" xfId="4142" builtinId="8" hidden="1"/>
    <cellStyle name="ハイパーリンク" xfId="4144" builtinId="8" hidden="1"/>
    <cellStyle name="ハイパーリンク" xfId="4146" builtinId="8" hidden="1"/>
    <cellStyle name="ハイパーリンク" xfId="4148" builtinId="8" hidden="1"/>
    <cellStyle name="ハイパーリンク" xfId="4150" builtinId="8" hidden="1"/>
    <cellStyle name="ハイパーリンク" xfId="4152" builtinId="8" hidden="1"/>
    <cellStyle name="ハイパーリンク" xfId="4154" builtinId="8" hidden="1"/>
    <cellStyle name="ハイパーリンク" xfId="4156" builtinId="8" hidden="1"/>
    <cellStyle name="ハイパーリンク" xfId="4158" builtinId="8" hidden="1"/>
    <cellStyle name="ハイパーリンク" xfId="4160" builtinId="8" hidden="1"/>
    <cellStyle name="ハイパーリンク" xfId="4162" builtinId="8" hidden="1"/>
    <cellStyle name="ハイパーリンク" xfId="4164" builtinId="8" hidden="1"/>
    <cellStyle name="ハイパーリンク" xfId="4166" builtinId="8" hidden="1"/>
    <cellStyle name="ハイパーリンク" xfId="4168" builtinId="8" hidden="1"/>
    <cellStyle name="ハイパーリンク" xfId="4170" builtinId="8" hidden="1"/>
    <cellStyle name="ハイパーリンク" xfId="4172" builtinId="8" hidden="1"/>
    <cellStyle name="ハイパーリンク" xfId="4174" builtinId="8" hidden="1"/>
    <cellStyle name="ハイパーリンク" xfId="4176" builtinId="8" hidden="1"/>
    <cellStyle name="ハイパーリンク" xfId="4178" builtinId="8" hidden="1"/>
    <cellStyle name="ハイパーリンク" xfId="4180" builtinId="8" hidden="1"/>
    <cellStyle name="ハイパーリンク" xfId="4182" builtinId="8" hidden="1"/>
    <cellStyle name="ハイパーリンク" xfId="4184" builtinId="8" hidden="1"/>
    <cellStyle name="ハイパーリンク" xfId="4186" builtinId="8" hidden="1"/>
    <cellStyle name="ハイパーリンク" xfId="4188" builtinId="8" hidden="1"/>
    <cellStyle name="ハイパーリンク" xfId="4190" builtinId="8" hidden="1"/>
    <cellStyle name="ハイパーリンク" xfId="4192" builtinId="8" hidden="1"/>
    <cellStyle name="ハイパーリンク" xfId="4194" builtinId="8" hidden="1"/>
    <cellStyle name="ハイパーリンク" xfId="4196" builtinId="8" hidden="1"/>
    <cellStyle name="ハイパーリンク" xfId="4198" builtinId="8" hidden="1"/>
    <cellStyle name="ハイパーリンク" xfId="4200" builtinId="8" hidden="1"/>
    <cellStyle name="ハイパーリンク" xfId="4202" builtinId="8" hidden="1"/>
    <cellStyle name="ハイパーリンク" xfId="4204" builtinId="8" hidden="1"/>
    <cellStyle name="ハイパーリンク" xfId="4206" builtinId="8" hidden="1"/>
    <cellStyle name="ハイパーリンク" xfId="4208" builtinId="8" hidden="1"/>
    <cellStyle name="ハイパーリンク" xfId="4210" builtinId="8" hidden="1"/>
    <cellStyle name="ハイパーリンク" xfId="4212" builtinId="8" hidden="1"/>
    <cellStyle name="ハイパーリンク" xfId="4214" builtinId="8" hidden="1"/>
    <cellStyle name="ハイパーリンク" xfId="4216" builtinId="8" hidden="1"/>
    <cellStyle name="ハイパーリンク" xfId="4218" builtinId="8" hidden="1"/>
    <cellStyle name="ハイパーリンク" xfId="4220" builtinId="8" hidden="1"/>
    <cellStyle name="ハイパーリンク" xfId="4222" builtinId="8" hidden="1"/>
    <cellStyle name="ハイパーリンク" xfId="4224" builtinId="8" hidden="1"/>
    <cellStyle name="ハイパーリンク" xfId="4226" builtinId="8" hidden="1"/>
    <cellStyle name="ハイパーリンク" xfId="4228" builtinId="8" hidden="1"/>
    <cellStyle name="ハイパーリンク" xfId="4230" builtinId="8" hidden="1"/>
    <cellStyle name="ハイパーリンク" xfId="4232" builtinId="8" hidden="1"/>
    <cellStyle name="ハイパーリンク" xfId="4234" builtinId="8" hidden="1"/>
    <cellStyle name="ハイパーリンク" xfId="4236" builtinId="8" hidden="1"/>
    <cellStyle name="ハイパーリンク" xfId="4238" builtinId="8" hidden="1"/>
    <cellStyle name="ハイパーリンク" xfId="4240" builtinId="8" hidden="1"/>
    <cellStyle name="ハイパーリンク" xfId="4242" builtinId="8" hidden="1"/>
    <cellStyle name="ハイパーリンク" xfId="4244" builtinId="8" hidden="1"/>
    <cellStyle name="ハイパーリンク" xfId="4246" builtinId="8" hidden="1"/>
    <cellStyle name="ハイパーリンク" xfId="4248" builtinId="8" hidden="1"/>
    <cellStyle name="ハイパーリンク" xfId="4250" builtinId="8" hidden="1"/>
    <cellStyle name="ハイパーリンク" xfId="4252" builtinId="8" hidden="1"/>
    <cellStyle name="ハイパーリンク" xfId="4254" builtinId="8" hidden="1"/>
    <cellStyle name="ハイパーリンク" xfId="4256" builtinId="8" hidden="1"/>
    <cellStyle name="ハイパーリンク" xfId="4258" builtinId="8" hidden="1"/>
    <cellStyle name="ハイパーリンク" xfId="4260" builtinId="8" hidden="1"/>
    <cellStyle name="ハイパーリンク" xfId="4262" builtinId="8" hidden="1"/>
    <cellStyle name="ハイパーリンク" xfId="4264" builtinId="8" hidden="1"/>
    <cellStyle name="ハイパーリンク" xfId="4266" builtinId="8" hidden="1"/>
    <cellStyle name="ハイパーリンク" xfId="4268" builtinId="8" hidden="1"/>
    <cellStyle name="ハイパーリンク" xfId="4270" builtinId="8" hidden="1"/>
    <cellStyle name="ハイパーリンク" xfId="4272" builtinId="8" hidden="1"/>
    <cellStyle name="ハイパーリンク" xfId="4274" builtinId="8" hidden="1"/>
    <cellStyle name="ハイパーリンク" xfId="4276" builtinId="8" hidden="1"/>
    <cellStyle name="ハイパーリンク" xfId="4278" builtinId="8" hidden="1"/>
    <cellStyle name="ハイパーリンク" xfId="4280" builtinId="8" hidden="1"/>
    <cellStyle name="ハイパーリンク" xfId="4282" builtinId="8" hidden="1"/>
    <cellStyle name="ハイパーリンク" xfId="4284" builtinId="8" hidden="1"/>
    <cellStyle name="ハイパーリンク" xfId="4286" builtinId="8" hidden="1"/>
    <cellStyle name="ハイパーリンク" xfId="4288" builtinId="8" hidden="1"/>
    <cellStyle name="ハイパーリンク" xfId="4290" builtinId="8" hidden="1"/>
    <cellStyle name="ハイパーリンク" xfId="4292" builtinId="8" hidden="1"/>
    <cellStyle name="ハイパーリンク" xfId="4294" builtinId="8" hidden="1"/>
    <cellStyle name="ハイパーリンク" xfId="4296" builtinId="8" hidden="1"/>
    <cellStyle name="ハイパーリンク" xfId="4298" builtinId="8" hidden="1"/>
    <cellStyle name="ハイパーリンク" xfId="4300" builtinId="8" hidden="1"/>
    <cellStyle name="ハイパーリンク" xfId="4302" builtinId="8" hidden="1"/>
    <cellStyle name="ハイパーリンク" xfId="4304" builtinId="8" hidden="1"/>
    <cellStyle name="ハイパーリンク" xfId="4306" builtinId="8" hidden="1"/>
    <cellStyle name="ハイパーリンク" xfId="4308" builtinId="8" hidden="1"/>
    <cellStyle name="ハイパーリンク" xfId="4310" builtinId="8" hidden="1"/>
    <cellStyle name="ハイパーリンク" xfId="4312" builtinId="8" hidden="1"/>
    <cellStyle name="ハイパーリンク" xfId="4314" builtinId="8" hidden="1"/>
    <cellStyle name="ハイパーリンク" xfId="4316" builtinId="8" hidden="1"/>
    <cellStyle name="ハイパーリンク" xfId="4318" builtinId="8" hidden="1"/>
    <cellStyle name="ハイパーリンク" xfId="4320" builtinId="8" hidden="1"/>
    <cellStyle name="ハイパーリンク" xfId="4322" builtinId="8" hidden="1"/>
    <cellStyle name="ハイパーリンク" xfId="4324" builtinId="8" hidden="1"/>
    <cellStyle name="ハイパーリンク" xfId="4326" builtinId="8" hidden="1"/>
    <cellStyle name="ハイパーリンク" xfId="4328" builtinId="8" hidden="1"/>
    <cellStyle name="ハイパーリンク" xfId="4330" builtinId="8" hidden="1"/>
    <cellStyle name="ハイパーリンク" xfId="4332" builtinId="8" hidden="1"/>
    <cellStyle name="ハイパーリンク" xfId="4334" builtinId="8" hidden="1"/>
    <cellStyle name="ハイパーリンク" xfId="4336" builtinId="8" hidden="1"/>
    <cellStyle name="ハイパーリンク" xfId="4338" builtinId="8" hidden="1"/>
    <cellStyle name="ハイパーリンク" xfId="4340" builtinId="8" hidden="1"/>
    <cellStyle name="ハイパーリンク" xfId="4342" builtinId="8" hidden="1"/>
    <cellStyle name="ハイパーリンク" xfId="4344" builtinId="8" hidden="1"/>
    <cellStyle name="ハイパーリンク" xfId="4346" builtinId="8" hidden="1"/>
    <cellStyle name="ハイパーリンク" xfId="4348" builtinId="8" hidden="1"/>
    <cellStyle name="ハイパーリンク" xfId="4350" builtinId="8" hidden="1"/>
    <cellStyle name="ハイパーリンク" xfId="4352" builtinId="8" hidden="1"/>
    <cellStyle name="ハイパーリンク" xfId="4354" builtinId="8" hidden="1"/>
    <cellStyle name="ハイパーリンク" xfId="4356" builtinId="8" hidden="1"/>
    <cellStyle name="ハイパーリンク" xfId="4358" builtinId="8" hidden="1"/>
    <cellStyle name="ハイパーリンク" xfId="4360" builtinId="8" hidden="1"/>
    <cellStyle name="ハイパーリンク" xfId="4362" builtinId="8" hidden="1"/>
    <cellStyle name="ハイパーリンク" xfId="4364" builtinId="8" hidden="1"/>
    <cellStyle name="ハイパーリンク" xfId="4366" builtinId="8" hidden="1"/>
    <cellStyle name="ハイパーリンク" xfId="4368" builtinId="8" hidden="1"/>
    <cellStyle name="ハイパーリンク" xfId="4370" builtinId="8" hidden="1"/>
    <cellStyle name="ハイパーリンク" xfId="4372" builtinId="8" hidden="1"/>
    <cellStyle name="ハイパーリンク" xfId="4375" builtinId="8" hidden="1"/>
    <cellStyle name="ハイパーリンク" xfId="4377" builtinId="8" hidden="1"/>
    <cellStyle name="ハイパーリンク" xfId="4379" builtinId="8" hidden="1"/>
    <cellStyle name="ハイパーリンク" xfId="4381" builtinId="8" hidden="1"/>
    <cellStyle name="ハイパーリンク" xfId="4383" builtinId="8" hidden="1"/>
    <cellStyle name="ハイパーリンク" xfId="4385" builtinId="8" hidden="1"/>
    <cellStyle name="ハイパーリンク" xfId="4387" builtinId="8" hidden="1"/>
    <cellStyle name="ハイパーリンク" xfId="4389" builtinId="8" hidden="1"/>
    <cellStyle name="ハイパーリンク" xfId="4391" builtinId="8" hidden="1"/>
    <cellStyle name="ハイパーリンク" xfId="4393" builtinId="8" hidden="1"/>
    <cellStyle name="ハイパーリンク" xfId="4395" builtinId="8" hidden="1"/>
    <cellStyle name="ハイパーリンク" xfId="4397" builtinId="8" hidden="1"/>
    <cellStyle name="ハイパーリンク" xfId="4399" builtinId="8" hidden="1"/>
    <cellStyle name="ハイパーリンク" xfId="4401" builtinId="8" hidden="1"/>
    <cellStyle name="ハイパーリンク" xfId="4403" builtinId="8" hidden="1"/>
    <cellStyle name="ハイパーリンク" xfId="4405" builtinId="8" hidden="1"/>
    <cellStyle name="ハイパーリンク" xfId="4407" builtinId="8" hidden="1"/>
    <cellStyle name="ハイパーリンク" xfId="4409" builtinId="8" hidden="1"/>
    <cellStyle name="ハイパーリンク" xfId="4411" builtinId="8" hidden="1"/>
    <cellStyle name="ハイパーリンク" xfId="4413" builtinId="8" hidden="1"/>
    <cellStyle name="ハイパーリンク" xfId="4415" builtinId="8" hidden="1"/>
    <cellStyle name="ハイパーリンク" xfId="4417" builtinId="8" hidden="1"/>
    <cellStyle name="ハイパーリンク" xfId="4419" builtinId="8" hidden="1"/>
    <cellStyle name="ハイパーリンク" xfId="4421" builtinId="8" hidden="1"/>
    <cellStyle name="ハイパーリンク" xfId="4423" builtinId="8" hidden="1"/>
    <cellStyle name="ハイパーリンク" xfId="4425" builtinId="8" hidden="1"/>
    <cellStyle name="ハイパーリンク" xfId="4427" builtinId="8" hidden="1"/>
    <cellStyle name="ハイパーリンク" xfId="4429" builtinId="8" hidden="1"/>
    <cellStyle name="ハイパーリンク" xfId="4431" builtinId="8" hidden="1"/>
    <cellStyle name="ハイパーリンク" xfId="4433" builtinId="8" hidden="1"/>
    <cellStyle name="ハイパーリンク" xfId="4435" builtinId="8" hidden="1"/>
    <cellStyle name="ハイパーリンク" xfId="4437" builtinId="8" hidden="1"/>
    <cellStyle name="ハイパーリンク" xfId="4439" builtinId="8" hidden="1"/>
    <cellStyle name="ハイパーリンク" xfId="4441" builtinId="8" hidden="1"/>
    <cellStyle name="ハイパーリンク" xfId="4443" builtinId="8" hidden="1"/>
    <cellStyle name="ハイパーリンク" xfId="4445" builtinId="8" hidden="1"/>
    <cellStyle name="ハイパーリンク" xfId="4447" builtinId="8" hidden="1"/>
    <cellStyle name="ハイパーリンク" xfId="4449" builtinId="8" hidden="1"/>
    <cellStyle name="ハイパーリンク" xfId="4451" builtinId="8" hidden="1"/>
    <cellStyle name="ハイパーリンク" xfId="4453" builtinId="8" hidden="1"/>
    <cellStyle name="ハイパーリンク" xfId="4455" builtinId="8" hidden="1"/>
    <cellStyle name="ハイパーリンク" xfId="4457" builtinId="8" hidden="1"/>
    <cellStyle name="ハイパーリンク" xfId="4459" builtinId="8" hidden="1"/>
    <cellStyle name="ハイパーリンク" xfId="4461" builtinId="8" hidden="1"/>
    <cellStyle name="ハイパーリンク" xfId="4463" builtinId="8" hidden="1"/>
    <cellStyle name="ハイパーリンク" xfId="4465" builtinId="8" hidden="1"/>
    <cellStyle name="ハイパーリンク" xfId="4467" builtinId="8" hidden="1"/>
    <cellStyle name="ハイパーリンク" xfId="4469" builtinId="8" hidden="1"/>
    <cellStyle name="ハイパーリンク" xfId="4471" builtinId="8" hidden="1"/>
    <cellStyle name="ハイパーリンク" xfId="4473" builtinId="8" hidden="1"/>
    <cellStyle name="ハイパーリンク" xfId="4475" builtinId="8" hidden="1"/>
    <cellStyle name="ハイパーリンク" xfId="4477" builtinId="8" hidden="1"/>
    <cellStyle name="ハイパーリンク" xfId="4479" builtinId="8" hidden="1"/>
    <cellStyle name="ハイパーリンク" xfId="4481" builtinId="8" hidden="1"/>
    <cellStyle name="ハイパーリンク" xfId="4483" builtinId="8" hidden="1"/>
    <cellStyle name="ハイパーリンク" xfId="4485" builtinId="8" hidden="1"/>
    <cellStyle name="ハイパーリンク" xfId="4487" builtinId="8" hidden="1"/>
    <cellStyle name="ハイパーリンク" xfId="4489" builtinId="8" hidden="1"/>
    <cellStyle name="ハイパーリンク" xfId="4491" builtinId="8" hidden="1"/>
    <cellStyle name="ハイパーリンク" xfId="4493" builtinId="8" hidden="1"/>
    <cellStyle name="ハイパーリンク" xfId="4495" builtinId="8" hidden="1"/>
    <cellStyle name="ハイパーリンク" xfId="4497" builtinId="8" hidden="1"/>
    <cellStyle name="ハイパーリンク" xfId="4499" builtinId="8" hidden="1"/>
    <cellStyle name="ハイパーリンク" xfId="4501" builtinId="8" hidden="1"/>
    <cellStyle name="ハイパーリンク" xfId="4503" builtinId="8" hidden="1"/>
    <cellStyle name="ハイパーリンク" xfId="4505" builtinId="8" hidden="1"/>
    <cellStyle name="ハイパーリンク" xfId="4507" builtinId="8" hidden="1"/>
    <cellStyle name="ハイパーリンク" xfId="4509" builtinId="8" hidden="1"/>
    <cellStyle name="ハイパーリンク" xfId="4511" builtinId="8" hidden="1"/>
    <cellStyle name="ハイパーリンク" xfId="4513" builtinId="8" hidden="1"/>
    <cellStyle name="ハイパーリンク" xfId="4515" builtinId="8" hidden="1"/>
    <cellStyle name="ハイパーリンク" xfId="4517" builtinId="8" hidden="1"/>
    <cellStyle name="ハイパーリンク" xfId="4519" builtinId="8" hidden="1"/>
    <cellStyle name="ハイパーリンク" xfId="4521" builtinId="8" hidden="1"/>
    <cellStyle name="ハイパーリンク" xfId="4523" builtinId="8" hidden="1"/>
    <cellStyle name="ハイパーリンク" xfId="4525" builtinId="8" hidden="1"/>
    <cellStyle name="ハイパーリンク" xfId="4527" builtinId="8" hidden="1"/>
    <cellStyle name="ハイパーリンク" xfId="4529" builtinId="8" hidden="1"/>
    <cellStyle name="ハイパーリンク" xfId="4531" builtinId="8" hidden="1"/>
    <cellStyle name="ハイパーリンク" xfId="4533" builtinId="8" hidden="1"/>
    <cellStyle name="ハイパーリンク" xfId="4535" builtinId="8" hidden="1"/>
    <cellStyle name="ハイパーリンク" xfId="4537" builtinId="8" hidden="1"/>
    <cellStyle name="ハイパーリンク" xfId="4539" builtinId="8" hidden="1"/>
    <cellStyle name="ハイパーリンク" xfId="4541" builtinId="8" hidden="1"/>
    <cellStyle name="ハイパーリンク" xfId="4543" builtinId="8" hidden="1"/>
    <cellStyle name="ハイパーリンク" xfId="4545" builtinId="8" hidden="1"/>
    <cellStyle name="ハイパーリンク" xfId="4547" builtinId="8" hidden="1"/>
    <cellStyle name="ハイパーリンク" xfId="4549" builtinId="8" hidden="1"/>
    <cellStyle name="ハイパーリンク" xfId="4551" builtinId="8" hidden="1"/>
    <cellStyle name="ハイパーリンク" xfId="4553" builtinId="8" hidden="1"/>
    <cellStyle name="ハイパーリンク" xfId="4555" builtinId="8" hidden="1"/>
    <cellStyle name="ハイパーリンク" xfId="4557" builtinId="8" hidden="1"/>
    <cellStyle name="ハイパーリンク" xfId="4559" builtinId="8" hidden="1"/>
    <cellStyle name="ハイパーリンク" xfId="4561" builtinId="8" hidden="1"/>
    <cellStyle name="ハイパーリンク" xfId="4563" builtinId="8" hidden="1"/>
    <cellStyle name="ハイパーリンク" xfId="4565" builtinId="8" hidden="1"/>
    <cellStyle name="ハイパーリンク" xfId="4567" builtinId="8" hidden="1"/>
    <cellStyle name="ハイパーリンク" xfId="4569" builtinId="8" hidden="1"/>
    <cellStyle name="ハイパーリンク" xfId="4571" builtinId="8" hidden="1"/>
    <cellStyle name="ハイパーリンク" xfId="4573" builtinId="8" hidden="1"/>
    <cellStyle name="ハイパーリンク" xfId="4575" builtinId="8" hidden="1"/>
    <cellStyle name="ハイパーリンク" xfId="4577" builtinId="8" hidden="1"/>
    <cellStyle name="ハイパーリンク" xfId="4579" builtinId="8" hidden="1"/>
    <cellStyle name="ハイパーリンク" xfId="4581" builtinId="8" hidden="1"/>
    <cellStyle name="ハイパーリンク" xfId="4583" builtinId="8" hidden="1"/>
    <cellStyle name="ハイパーリンク" xfId="4585" builtinId="8" hidden="1"/>
    <cellStyle name="ハイパーリンク" xfId="4587" builtinId="8" hidden="1"/>
    <cellStyle name="ハイパーリンク" xfId="4589" builtinId="8" hidden="1"/>
    <cellStyle name="ハイパーリンク" xfId="4591" builtinId="8" hidden="1"/>
    <cellStyle name="ハイパーリンク" xfId="4593" builtinId="8" hidden="1"/>
    <cellStyle name="ハイパーリンク" xfId="4595" builtinId="8" hidden="1"/>
    <cellStyle name="ハイパーリンク" xfId="4597" builtinId="8" hidden="1"/>
    <cellStyle name="ハイパーリンク" xfId="4599" builtinId="8" hidden="1"/>
    <cellStyle name="ハイパーリンク" xfId="4601" builtinId="8" hidden="1"/>
    <cellStyle name="ハイパーリンク" xfId="4603" builtinId="8" hidden="1"/>
    <cellStyle name="ハイパーリンク" xfId="4605" builtinId="8" hidden="1"/>
    <cellStyle name="ハイパーリンク" xfId="4607" builtinId="8" hidden="1"/>
    <cellStyle name="ハイパーリンク" xfId="4609" builtinId="8" hidden="1"/>
    <cellStyle name="ハイパーリンク" xfId="4611" builtinId="8" hidden="1"/>
    <cellStyle name="ハイパーリンク" xfId="4613" builtinId="8" hidden="1"/>
    <cellStyle name="ハイパーリンク" xfId="4615" builtinId="8" hidden="1"/>
    <cellStyle name="ハイパーリンク" xfId="4617" builtinId="8" hidden="1"/>
    <cellStyle name="ハイパーリンク" xfId="4619" builtinId="8" hidden="1"/>
    <cellStyle name="ハイパーリンク" xfId="4621" builtinId="8" hidden="1"/>
    <cellStyle name="ハイパーリンク" xfId="4623" builtinId="8" hidden="1"/>
    <cellStyle name="ハイパーリンク" xfId="4625" builtinId="8" hidden="1"/>
    <cellStyle name="ハイパーリンク" xfId="4627" builtinId="8" hidden="1"/>
    <cellStyle name="ハイパーリンク" xfId="4629" builtinId="8" hidden="1"/>
    <cellStyle name="ハイパーリンク" xfId="4631" builtinId="8" hidden="1"/>
    <cellStyle name="ハイパーリンク" xfId="4633" builtinId="8" hidden="1"/>
    <cellStyle name="ハイパーリンク" xfId="4635" builtinId="8" hidden="1"/>
    <cellStyle name="ハイパーリンク" xfId="4637" builtinId="8" hidden="1"/>
    <cellStyle name="ハイパーリンク" xfId="4639" builtinId="8" hidden="1"/>
    <cellStyle name="ハイパーリンク" xfId="4641" builtinId="8" hidden="1"/>
    <cellStyle name="ハイパーリンク" xfId="4643" builtinId="8" hidden="1"/>
    <cellStyle name="ハイパーリンク" xfId="4645" builtinId="8" hidden="1"/>
    <cellStyle name="ハイパーリンク" xfId="4647" builtinId="8" hidden="1"/>
    <cellStyle name="ハイパーリンク" xfId="4649" builtinId="8" hidden="1"/>
    <cellStyle name="ハイパーリンク" xfId="4651" builtinId="8" hidden="1"/>
    <cellStyle name="ハイパーリンク" xfId="4653" builtinId="8" hidden="1"/>
    <cellStyle name="ハイパーリンク" xfId="4655" builtinId="8" hidden="1"/>
    <cellStyle name="ハイパーリンク" xfId="4657" builtinId="8" hidden="1"/>
    <cellStyle name="ハイパーリンク" xfId="4659" builtinId="8" hidden="1"/>
    <cellStyle name="ハイパーリンク" xfId="4661" builtinId="8" hidden="1"/>
    <cellStyle name="ハイパーリンク" xfId="4663" builtinId="8" hidden="1"/>
    <cellStyle name="ハイパーリンク" xfId="4665" builtinId="8" hidden="1"/>
    <cellStyle name="ハイパーリンク" xfId="4667" builtinId="8" hidden="1"/>
    <cellStyle name="ハイパーリンク" xfId="4669" builtinId="8" hidden="1"/>
    <cellStyle name="ハイパーリンク" xfId="4671" builtinId="8" hidden="1"/>
    <cellStyle name="ハイパーリンク" xfId="4673" builtinId="8" hidden="1"/>
    <cellStyle name="ハイパーリンク" xfId="4675" builtinId="8" hidden="1"/>
    <cellStyle name="ハイパーリンク" xfId="4677" builtinId="8" hidden="1"/>
    <cellStyle name="ハイパーリンク" xfId="4679" builtinId="8" hidden="1"/>
    <cellStyle name="ハイパーリンク" xfId="4681" builtinId="8" hidden="1"/>
    <cellStyle name="ハイパーリンク" xfId="4683" builtinId="8" hidden="1"/>
    <cellStyle name="ハイパーリンク" xfId="4685" builtinId="8" hidden="1"/>
    <cellStyle name="ハイパーリンク" xfId="4687" builtinId="8" hidden="1"/>
    <cellStyle name="ハイパーリンク" xfId="4689" builtinId="8" hidden="1"/>
    <cellStyle name="ハイパーリンク" xfId="4691" builtinId="8" hidden="1"/>
    <cellStyle name="ハイパーリンク" xfId="4693" builtinId="8" hidden="1"/>
    <cellStyle name="ハイパーリンク" xfId="4695" builtinId="8" hidden="1"/>
    <cellStyle name="ハイパーリンク" xfId="4697" builtinId="8" hidden="1"/>
    <cellStyle name="ハイパーリンク" xfId="4699" builtinId="8" hidden="1"/>
    <cellStyle name="ハイパーリンク" xfId="4701" builtinId="8" hidden="1"/>
    <cellStyle name="ハイパーリンク" xfId="4703" builtinId="8" hidden="1"/>
    <cellStyle name="ハイパーリンク" xfId="4705" builtinId="8" hidden="1"/>
    <cellStyle name="ハイパーリンク" xfId="4707" builtinId="8" hidden="1"/>
    <cellStyle name="ハイパーリンク" xfId="4709" builtinId="8" hidden="1"/>
    <cellStyle name="ハイパーリンク" xfId="4711" builtinId="8" hidden="1"/>
    <cellStyle name="ハイパーリンク" xfId="4713" builtinId="8" hidden="1"/>
    <cellStyle name="ハイパーリンク" xfId="4715" builtinId="8" hidden="1"/>
    <cellStyle name="ハイパーリンク" xfId="4717" builtinId="8" hidden="1"/>
    <cellStyle name="ハイパーリンク" xfId="4719" builtinId="8" hidden="1"/>
    <cellStyle name="ハイパーリンク" xfId="4721" builtinId="8" hidden="1"/>
    <cellStyle name="ハイパーリンク" xfId="4723" builtinId="8" hidden="1"/>
    <cellStyle name="ハイパーリンク" xfId="4725" builtinId="8" hidden="1"/>
    <cellStyle name="ハイパーリンク" xfId="4727" builtinId="8" hidden="1"/>
    <cellStyle name="ハイパーリンク" xfId="4729" builtinId="8" hidden="1"/>
    <cellStyle name="ハイパーリンク" xfId="4731" builtinId="8" hidden="1"/>
    <cellStyle name="ハイパーリンク" xfId="4733" builtinId="8" hidden="1"/>
    <cellStyle name="ハイパーリンク" xfId="4735" builtinId="8" hidden="1"/>
    <cellStyle name="ハイパーリンク" xfId="4737" builtinId="8" hidden="1"/>
    <cellStyle name="ハイパーリンク" xfId="4739" builtinId="8" hidden="1"/>
    <cellStyle name="ハイパーリンク" xfId="4741" builtinId="8" hidden="1"/>
    <cellStyle name="ハイパーリンク" xfId="4743" builtinId="8" hidden="1"/>
    <cellStyle name="ハイパーリンク" xfId="4745" builtinId="8" hidden="1"/>
    <cellStyle name="ハイパーリンク" xfId="4747" builtinId="8" hidden="1"/>
    <cellStyle name="ハイパーリンク" xfId="4749" builtinId="8" hidden="1"/>
    <cellStyle name="ハイパーリンク" xfId="4751" builtinId="8" hidden="1"/>
    <cellStyle name="ハイパーリンク" xfId="4753" builtinId="8" hidden="1"/>
    <cellStyle name="ハイパーリンク" xfId="4755" builtinId="8" hidden="1"/>
    <cellStyle name="ハイパーリンク" xfId="4757" builtinId="8" hidden="1"/>
    <cellStyle name="ハイパーリンク" xfId="4759" builtinId="8" hidden="1"/>
    <cellStyle name="ハイパーリンク" xfId="4761" builtinId="8" hidden="1"/>
    <cellStyle name="ハイパーリンク" xfId="4763" builtinId="8" hidden="1"/>
    <cellStyle name="ハイパーリンク" xfId="4765" builtinId="8" hidden="1"/>
    <cellStyle name="ハイパーリンク" xfId="4767" builtinId="8" hidden="1"/>
    <cellStyle name="ハイパーリンク" xfId="4769" builtinId="8" hidden="1"/>
    <cellStyle name="ハイパーリンク" xfId="4771" builtinId="8" hidden="1"/>
    <cellStyle name="ハイパーリンク" xfId="4773" builtinId="8" hidden="1"/>
    <cellStyle name="ハイパーリンク" xfId="4775" builtinId="8" hidden="1"/>
    <cellStyle name="ハイパーリンク" xfId="4777" builtinId="8" hidden="1"/>
    <cellStyle name="ハイパーリンク" xfId="4779" builtinId="8" hidden="1"/>
    <cellStyle name="ハイパーリンク" xfId="4781" builtinId="8" hidden="1"/>
    <cellStyle name="ハイパーリンク" xfId="4783" builtinId="8" hidden="1"/>
    <cellStyle name="桁区切り 2" xfId="3"/>
    <cellStyle name="桁区切り [0]" xfId="2" builtinId="6"/>
    <cellStyle name="標準" xfId="0" builtinId="0"/>
    <cellStyle name="標準 2" xfId="6"/>
    <cellStyle name="標準 2 2" xfId="4374"/>
    <cellStyle name="標準 3" xfId="7"/>
    <cellStyle name="標準 4" xfId="8"/>
    <cellStyle name="無題1" xfId="9"/>
    <cellStyle name="表示済みのハイパーリンク" xfId="11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79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7" builtinId="9" hidden="1"/>
    <cellStyle name="表示済みのハイパーリンク" xfId="3039" builtinId="9" hidden="1"/>
    <cellStyle name="表示済みのハイパーリンク" xfId="3041" builtinId="9" hidden="1"/>
    <cellStyle name="表示済みのハイパーリンク" xfId="3043" builtinId="9" hidden="1"/>
    <cellStyle name="表示済みのハイパーリンク" xfId="3045" builtinId="9" hidden="1"/>
    <cellStyle name="表示済みのハイパーリンク" xfId="3047" builtinId="9" hidden="1"/>
    <cellStyle name="表示済みのハイパーリンク" xfId="3049" builtinId="9" hidden="1"/>
    <cellStyle name="表示済みのハイパーリンク" xfId="3051" builtinId="9" hidden="1"/>
    <cellStyle name="表示済みのハイパーリンク" xfId="3053" builtinId="9" hidden="1"/>
    <cellStyle name="表示済みのハイパーリンク" xfId="3055" builtinId="9" hidden="1"/>
    <cellStyle name="表示済みのハイパーリンク" xfId="3057" builtinId="9" hidden="1"/>
    <cellStyle name="表示済みのハイパーリンク" xfId="3059" builtinId="9" hidden="1"/>
    <cellStyle name="表示済みのハイパーリンク" xfId="3061" builtinId="9" hidden="1"/>
    <cellStyle name="表示済みのハイパーリンク" xfId="3063" builtinId="9" hidden="1"/>
    <cellStyle name="表示済みのハイパーリンク" xfId="3065" builtinId="9" hidden="1"/>
    <cellStyle name="表示済みのハイパーリンク" xfId="3067" builtinId="9" hidden="1"/>
    <cellStyle name="表示済みのハイパーリンク" xfId="3069" builtinId="9" hidden="1"/>
    <cellStyle name="表示済みのハイパーリンク" xfId="3071" builtinId="9" hidden="1"/>
    <cellStyle name="表示済みのハイパーリンク" xfId="3073" builtinId="9" hidden="1"/>
    <cellStyle name="表示済みのハイパーリンク" xfId="3075" builtinId="9" hidden="1"/>
    <cellStyle name="表示済みのハイパーリンク" xfId="3077" builtinId="9" hidden="1"/>
    <cellStyle name="表示済みのハイパーリンク" xfId="3079" builtinId="9" hidden="1"/>
    <cellStyle name="表示済みのハイパーリンク" xfId="3081" builtinId="9" hidden="1"/>
    <cellStyle name="表示済みのハイパーリンク" xfId="3083" builtinId="9" hidden="1"/>
    <cellStyle name="表示済みのハイパーリンク" xfId="3085" builtinId="9" hidden="1"/>
    <cellStyle name="表示済みのハイパーリンク" xfId="3087" builtinId="9" hidden="1"/>
    <cellStyle name="表示済みのハイパーリンク" xfId="3089" builtinId="9" hidden="1"/>
    <cellStyle name="表示済みのハイパーリンク" xfId="3091" builtinId="9" hidden="1"/>
    <cellStyle name="表示済みのハイパーリンク" xfId="3093" builtinId="9" hidden="1"/>
    <cellStyle name="表示済みのハイパーリンク" xfId="3095" builtinId="9" hidden="1"/>
    <cellStyle name="表示済みのハイパーリンク" xfId="3097" builtinId="9" hidden="1"/>
    <cellStyle name="表示済みのハイパーリンク" xfId="3099" builtinId="9" hidden="1"/>
    <cellStyle name="表示済みのハイパーリンク" xfId="3101" builtinId="9" hidden="1"/>
    <cellStyle name="表示済みのハイパーリンク" xfId="3103" builtinId="9" hidden="1"/>
    <cellStyle name="表示済みのハイパーリンク" xfId="3105" builtinId="9" hidden="1"/>
    <cellStyle name="表示済みのハイパーリンク" xfId="3107" builtinId="9" hidden="1"/>
    <cellStyle name="表示済みのハイパーリンク" xfId="3109" builtinId="9" hidden="1"/>
    <cellStyle name="表示済みのハイパーリンク" xfId="3111" builtinId="9" hidden="1"/>
    <cellStyle name="表示済みのハイパーリンク" xfId="3113" builtinId="9" hidden="1"/>
    <cellStyle name="表示済みのハイパーリンク" xfId="3115" builtinId="9" hidden="1"/>
    <cellStyle name="表示済みのハイパーリンク" xfId="3117" builtinId="9" hidden="1"/>
    <cellStyle name="表示済みのハイパーリンク" xfId="3119" builtinId="9" hidden="1"/>
    <cellStyle name="表示済みのハイパーリンク" xfId="3121" builtinId="9" hidden="1"/>
    <cellStyle name="表示済みのハイパーリンク" xfId="3123" builtinId="9" hidden="1"/>
    <cellStyle name="表示済みのハイパーリンク" xfId="3125" builtinId="9" hidden="1"/>
    <cellStyle name="表示済みのハイパーリンク" xfId="3127" builtinId="9" hidden="1"/>
    <cellStyle name="表示済みのハイパーリンク" xfId="3129" builtinId="9" hidden="1"/>
    <cellStyle name="表示済みのハイパーリンク" xfId="3131" builtinId="9" hidden="1"/>
    <cellStyle name="表示済みのハイパーリンク" xfId="3133" builtinId="9" hidden="1"/>
    <cellStyle name="表示済みのハイパーリンク" xfId="3135" builtinId="9" hidden="1"/>
    <cellStyle name="表示済みのハイパーリンク" xfId="3137" builtinId="9" hidden="1"/>
    <cellStyle name="表示済みのハイパーリンク" xfId="3139" builtinId="9" hidden="1"/>
    <cellStyle name="表示済みのハイパーリンク" xfId="3141" builtinId="9" hidden="1"/>
    <cellStyle name="表示済みのハイパーリンク" xfId="3143" builtinId="9" hidden="1"/>
    <cellStyle name="表示済みのハイパーリンク" xfId="3145" builtinId="9" hidden="1"/>
    <cellStyle name="表示済みのハイパーリンク" xfId="3147" builtinId="9" hidden="1"/>
    <cellStyle name="表示済みのハイパーリンク" xfId="3149" builtinId="9" hidden="1"/>
    <cellStyle name="表示済みのハイパーリンク" xfId="3151" builtinId="9" hidden="1"/>
    <cellStyle name="表示済みのハイパーリンク" xfId="3153" builtinId="9" hidden="1"/>
    <cellStyle name="表示済みのハイパーリンク" xfId="3155" builtinId="9" hidden="1"/>
    <cellStyle name="表示済みのハイパーリンク" xfId="3157" builtinId="9" hidden="1"/>
    <cellStyle name="表示済みのハイパーリンク" xfId="3159" builtinId="9" hidden="1"/>
    <cellStyle name="表示済みのハイパーリンク" xfId="3161" builtinId="9" hidden="1"/>
    <cellStyle name="表示済みのハイパーリンク" xfId="3163" builtinId="9" hidden="1"/>
    <cellStyle name="表示済みのハイパーリンク" xfId="3165" builtinId="9" hidden="1"/>
    <cellStyle name="表示済みのハイパーリンク" xfId="3167" builtinId="9" hidden="1"/>
    <cellStyle name="表示済みのハイパーリンク" xfId="3169" builtinId="9" hidden="1"/>
    <cellStyle name="表示済みのハイパーリンク" xfId="3171" builtinId="9" hidden="1"/>
    <cellStyle name="表示済みのハイパーリンク" xfId="3173" builtinId="9" hidden="1"/>
    <cellStyle name="表示済みのハイパーリンク" xfId="3175" builtinId="9" hidden="1"/>
    <cellStyle name="表示済みのハイパーリンク" xfId="3177" builtinId="9" hidden="1"/>
    <cellStyle name="表示済みのハイパーリンク" xfId="3179" builtinId="9" hidden="1"/>
    <cellStyle name="表示済みのハイパーリンク" xfId="3181" builtinId="9" hidden="1"/>
    <cellStyle name="表示済みのハイパーリンク" xfId="3183" builtinId="9" hidden="1"/>
    <cellStyle name="表示済みのハイパーリンク" xfId="3185" builtinId="9" hidden="1"/>
    <cellStyle name="表示済みのハイパーリンク" xfId="3187" builtinId="9" hidden="1"/>
    <cellStyle name="表示済みのハイパーリンク" xfId="3189" builtinId="9" hidden="1"/>
    <cellStyle name="表示済みのハイパーリンク" xfId="3191" builtinId="9" hidden="1"/>
    <cellStyle name="表示済みのハイパーリンク" xfId="3193" builtinId="9" hidden="1"/>
    <cellStyle name="表示済みのハイパーリンク" xfId="3195" builtinId="9" hidden="1"/>
    <cellStyle name="表示済みのハイパーリンク" xfId="3197" builtinId="9" hidden="1"/>
    <cellStyle name="表示済みのハイパーリンク" xfId="3199" builtinId="9" hidden="1"/>
    <cellStyle name="表示済みのハイパーリンク" xfId="3201" builtinId="9" hidden="1"/>
    <cellStyle name="表示済みのハイパーリンク" xfId="3203" builtinId="9" hidden="1"/>
    <cellStyle name="表示済みのハイパーリンク" xfId="3205" builtinId="9" hidden="1"/>
    <cellStyle name="表示済みのハイパーリンク" xfId="3207" builtinId="9" hidden="1"/>
    <cellStyle name="表示済みのハイパーリンク" xfId="3209" builtinId="9" hidden="1"/>
    <cellStyle name="表示済みのハイパーリンク" xfId="3211" builtinId="9" hidden="1"/>
    <cellStyle name="表示済みのハイパーリンク" xfId="3213" builtinId="9" hidden="1"/>
    <cellStyle name="表示済みのハイパーリンク" xfId="3215" builtinId="9" hidden="1"/>
    <cellStyle name="表示済みのハイパーリンク" xfId="3217" builtinId="9" hidden="1"/>
    <cellStyle name="表示済みのハイパーリンク" xfId="3219" builtinId="9" hidden="1"/>
    <cellStyle name="表示済みのハイパーリンク" xfId="3221" builtinId="9" hidden="1"/>
    <cellStyle name="表示済みのハイパーリンク" xfId="3223" builtinId="9" hidden="1"/>
    <cellStyle name="表示済みのハイパーリンク" xfId="3225" builtinId="9" hidden="1"/>
    <cellStyle name="表示済みのハイパーリンク" xfId="3227" builtinId="9" hidden="1"/>
    <cellStyle name="表示済みのハイパーリンク" xfId="3229" builtinId="9" hidden="1"/>
    <cellStyle name="表示済みのハイパーリンク" xfId="3231" builtinId="9" hidden="1"/>
    <cellStyle name="表示済みのハイパーリンク" xfId="3233" builtinId="9" hidden="1"/>
    <cellStyle name="表示済みのハイパーリンク" xfId="3235" builtinId="9" hidden="1"/>
    <cellStyle name="表示済みのハイパーリンク" xfId="3237" builtinId="9" hidden="1"/>
    <cellStyle name="表示済みのハイパーリンク" xfId="3239" builtinId="9" hidden="1"/>
    <cellStyle name="表示済みのハイパーリンク" xfId="3241" builtinId="9" hidden="1"/>
    <cellStyle name="表示済みのハイパーリンク" xfId="3243" builtinId="9" hidden="1"/>
    <cellStyle name="表示済みのハイパーリンク" xfId="3245" builtinId="9" hidden="1"/>
    <cellStyle name="表示済みのハイパーリンク" xfId="3247" builtinId="9" hidden="1"/>
    <cellStyle name="表示済みのハイパーリンク" xfId="3249" builtinId="9" hidden="1"/>
    <cellStyle name="表示済みのハイパーリンク" xfId="3251" builtinId="9" hidden="1"/>
    <cellStyle name="表示済みのハイパーリンク" xfId="3253" builtinId="9" hidden="1"/>
    <cellStyle name="表示済みのハイパーリンク" xfId="3255" builtinId="9" hidden="1"/>
    <cellStyle name="表示済みのハイパーリンク" xfId="3257" builtinId="9" hidden="1"/>
    <cellStyle name="表示済みのハイパーリンク" xfId="3259" builtinId="9" hidden="1"/>
    <cellStyle name="表示済みのハイパーリンク" xfId="3261" builtinId="9" hidden="1"/>
    <cellStyle name="表示済みのハイパーリンク" xfId="3263" builtinId="9" hidden="1"/>
    <cellStyle name="表示済みのハイパーリンク" xfId="3265" builtinId="9" hidden="1"/>
    <cellStyle name="表示済みのハイパーリンク" xfId="3267" builtinId="9" hidden="1"/>
    <cellStyle name="表示済みのハイパーリンク" xfId="3269" builtinId="9" hidden="1"/>
    <cellStyle name="表示済みのハイパーリンク" xfId="3271" builtinId="9" hidden="1"/>
    <cellStyle name="表示済みのハイパーリンク" xfId="3273" builtinId="9" hidden="1"/>
    <cellStyle name="表示済みのハイパーリンク" xfId="3275" builtinId="9" hidden="1"/>
    <cellStyle name="表示済みのハイパーリンク" xfId="3277" builtinId="9" hidden="1"/>
    <cellStyle name="表示済みのハイパーリンク" xfId="3279" builtinId="9" hidden="1"/>
    <cellStyle name="表示済みのハイパーリンク" xfId="3281" builtinId="9" hidden="1"/>
    <cellStyle name="表示済みのハイパーリンク" xfId="3283" builtinId="9" hidden="1"/>
    <cellStyle name="表示済みのハイパーリンク" xfId="3285" builtinId="9" hidden="1"/>
    <cellStyle name="表示済みのハイパーリンク" xfId="3287" builtinId="9" hidden="1"/>
    <cellStyle name="表示済みのハイパーリンク" xfId="3289" builtinId="9" hidden="1"/>
    <cellStyle name="表示済みのハイパーリンク" xfId="3291" builtinId="9" hidden="1"/>
    <cellStyle name="表示済みのハイパーリンク" xfId="3293" builtinId="9" hidden="1"/>
    <cellStyle name="表示済みのハイパーリンク" xfId="3295" builtinId="9" hidden="1"/>
    <cellStyle name="表示済みのハイパーリンク" xfId="3297" builtinId="9" hidden="1"/>
    <cellStyle name="表示済みのハイパーリンク" xfId="3299" builtinId="9" hidden="1"/>
    <cellStyle name="表示済みのハイパーリンク" xfId="3301" builtinId="9" hidden="1"/>
    <cellStyle name="表示済みのハイパーリンク" xfId="3303" builtinId="9" hidden="1"/>
    <cellStyle name="表示済みのハイパーリンク" xfId="3305" builtinId="9" hidden="1"/>
    <cellStyle name="表示済みのハイパーリンク" xfId="3307" builtinId="9" hidden="1"/>
    <cellStyle name="表示済みのハイパーリンク" xfId="3309" builtinId="9" hidden="1"/>
    <cellStyle name="表示済みのハイパーリンク" xfId="3311" builtinId="9" hidden="1"/>
    <cellStyle name="表示済みのハイパーリンク" xfId="3313" builtinId="9" hidden="1"/>
    <cellStyle name="表示済みのハイパーリンク" xfId="3315" builtinId="9" hidden="1"/>
    <cellStyle name="表示済みのハイパーリンク" xfId="3317" builtinId="9" hidden="1"/>
    <cellStyle name="表示済みのハイパーリンク" xfId="3319" builtinId="9" hidden="1"/>
    <cellStyle name="表示済みのハイパーリンク" xfId="3321" builtinId="9" hidden="1"/>
    <cellStyle name="表示済みのハイパーリンク" xfId="3323" builtinId="9" hidden="1"/>
    <cellStyle name="表示済みのハイパーリンク" xfId="3325" builtinId="9" hidden="1"/>
    <cellStyle name="表示済みのハイパーリンク" xfId="3327" builtinId="9" hidden="1"/>
    <cellStyle name="表示済みのハイパーリンク" xfId="3329" builtinId="9" hidden="1"/>
    <cellStyle name="表示済みのハイパーリンク" xfId="3331" builtinId="9" hidden="1"/>
    <cellStyle name="表示済みのハイパーリンク" xfId="3333" builtinId="9" hidden="1"/>
    <cellStyle name="表示済みのハイパーリンク" xfId="3335" builtinId="9" hidden="1"/>
    <cellStyle name="表示済みのハイパーリンク" xfId="3337" builtinId="9" hidden="1"/>
    <cellStyle name="表示済みのハイパーリンク" xfId="3339" builtinId="9" hidden="1"/>
    <cellStyle name="表示済みのハイパーリンク" xfId="3341" builtinId="9" hidden="1"/>
    <cellStyle name="表示済みのハイパーリンク" xfId="3343" builtinId="9" hidden="1"/>
    <cellStyle name="表示済みのハイパーリンク" xfId="3345" builtinId="9" hidden="1"/>
    <cellStyle name="表示済みのハイパーリンク" xfId="3347" builtinId="9" hidden="1"/>
    <cellStyle name="表示済みのハイパーリンク" xfId="3349" builtinId="9" hidden="1"/>
    <cellStyle name="表示済みのハイパーリンク" xfId="3351" builtinId="9" hidden="1"/>
    <cellStyle name="表示済みのハイパーリンク" xfId="3353" builtinId="9" hidden="1"/>
    <cellStyle name="表示済みのハイパーリンク" xfId="3355" builtinId="9" hidden="1"/>
    <cellStyle name="表示済みのハイパーリンク" xfId="3357" builtinId="9" hidden="1"/>
    <cellStyle name="表示済みのハイパーリンク" xfId="3359" builtinId="9" hidden="1"/>
    <cellStyle name="表示済みのハイパーリンク" xfId="3361" builtinId="9" hidden="1"/>
    <cellStyle name="表示済みのハイパーリンク" xfId="3363" builtinId="9" hidden="1"/>
    <cellStyle name="表示済みのハイパーリンク" xfId="3365" builtinId="9" hidden="1"/>
    <cellStyle name="表示済みのハイパーリンク" xfId="3367" builtinId="9" hidden="1"/>
    <cellStyle name="表示済みのハイパーリンク" xfId="3369" builtinId="9" hidden="1"/>
    <cellStyle name="表示済みのハイパーリンク" xfId="3371" builtinId="9" hidden="1"/>
    <cellStyle name="表示済みのハイパーリンク" xfId="3373" builtinId="9" hidden="1"/>
    <cellStyle name="表示済みのハイパーリンク" xfId="3375" builtinId="9" hidden="1"/>
    <cellStyle name="表示済みのハイパーリンク" xfId="3377" builtinId="9" hidden="1"/>
    <cellStyle name="表示済みのハイパーリンク" xfId="3379" builtinId="9" hidden="1"/>
    <cellStyle name="表示済みのハイパーリンク" xfId="3381" builtinId="9" hidden="1"/>
    <cellStyle name="表示済みのハイパーリンク" xfId="3383" builtinId="9" hidden="1"/>
    <cellStyle name="表示済みのハイパーリンク" xfId="3385" builtinId="9" hidden="1"/>
    <cellStyle name="表示済みのハイパーリンク" xfId="3387" builtinId="9" hidden="1"/>
    <cellStyle name="表示済みのハイパーリンク" xfId="3389" builtinId="9" hidden="1"/>
    <cellStyle name="表示済みのハイパーリンク" xfId="3391" builtinId="9" hidden="1"/>
    <cellStyle name="表示済みのハイパーリンク" xfId="3393" builtinId="9" hidden="1"/>
    <cellStyle name="表示済みのハイパーリンク" xfId="3395" builtinId="9" hidden="1"/>
    <cellStyle name="表示済みのハイパーリンク" xfId="3397" builtinId="9" hidden="1"/>
    <cellStyle name="表示済みのハイパーリンク" xfId="3399" builtinId="9" hidden="1"/>
    <cellStyle name="表示済みのハイパーリンク" xfId="3401" builtinId="9" hidden="1"/>
    <cellStyle name="表示済みのハイパーリンク" xfId="3403" builtinId="9" hidden="1"/>
    <cellStyle name="表示済みのハイパーリンク" xfId="3405" builtinId="9" hidden="1"/>
    <cellStyle name="表示済みのハイパーリンク" xfId="3407" builtinId="9" hidden="1"/>
    <cellStyle name="表示済みのハイパーリンク" xfId="3409" builtinId="9" hidden="1"/>
    <cellStyle name="表示済みのハイパーリンク" xfId="3411" builtinId="9" hidden="1"/>
    <cellStyle name="表示済みのハイパーリンク" xfId="3413" builtinId="9" hidden="1"/>
    <cellStyle name="表示済みのハイパーリンク" xfId="3415" builtinId="9" hidden="1"/>
    <cellStyle name="表示済みのハイパーリンク" xfId="3417" builtinId="9" hidden="1"/>
    <cellStyle name="表示済みのハイパーリンク" xfId="3419" builtinId="9" hidden="1"/>
    <cellStyle name="表示済みのハイパーリンク" xfId="3421" builtinId="9" hidden="1"/>
    <cellStyle name="表示済みのハイパーリンク" xfId="3423" builtinId="9" hidden="1"/>
    <cellStyle name="表示済みのハイパーリンク" xfId="3425" builtinId="9" hidden="1"/>
    <cellStyle name="表示済みのハイパーリンク" xfId="3427" builtinId="9" hidden="1"/>
    <cellStyle name="表示済みのハイパーリンク" xfId="3429" builtinId="9" hidden="1"/>
    <cellStyle name="表示済みのハイパーリンク" xfId="3431" builtinId="9" hidden="1"/>
    <cellStyle name="表示済みのハイパーリンク" xfId="3433" builtinId="9" hidden="1"/>
    <cellStyle name="表示済みのハイパーリンク" xfId="3435" builtinId="9" hidden="1"/>
    <cellStyle name="表示済みのハイパーリンク" xfId="3437" builtinId="9" hidden="1"/>
    <cellStyle name="表示済みのハイパーリンク" xfId="3439" builtinId="9" hidden="1"/>
    <cellStyle name="表示済みのハイパーリンク" xfId="3441" builtinId="9" hidden="1"/>
    <cellStyle name="表示済みのハイパーリンク" xfId="3443" builtinId="9" hidden="1"/>
    <cellStyle name="表示済みのハイパーリンク" xfId="3445" builtinId="9" hidden="1"/>
    <cellStyle name="表示済みのハイパーリンク" xfId="3447" builtinId="9" hidden="1"/>
    <cellStyle name="表示済みのハイパーリンク" xfId="3449" builtinId="9" hidden="1"/>
    <cellStyle name="表示済みのハイパーリンク" xfId="3451" builtinId="9" hidden="1"/>
    <cellStyle name="表示済みのハイパーリンク" xfId="3453" builtinId="9" hidden="1"/>
    <cellStyle name="表示済みのハイパーリンク" xfId="3455" builtinId="9" hidden="1"/>
    <cellStyle name="表示済みのハイパーリンク" xfId="3457" builtinId="9" hidden="1"/>
    <cellStyle name="表示済みのハイパーリンク" xfId="3459" builtinId="9" hidden="1"/>
    <cellStyle name="表示済みのハイパーリンク" xfId="3461" builtinId="9" hidden="1"/>
    <cellStyle name="表示済みのハイパーリンク" xfId="3463" builtinId="9" hidden="1"/>
    <cellStyle name="表示済みのハイパーリンク" xfId="3465" builtinId="9" hidden="1"/>
    <cellStyle name="表示済みのハイパーリンク" xfId="3467" builtinId="9" hidden="1"/>
    <cellStyle name="表示済みのハイパーリンク" xfId="3469" builtinId="9" hidden="1"/>
    <cellStyle name="表示済みのハイパーリンク" xfId="3471" builtinId="9" hidden="1"/>
    <cellStyle name="表示済みのハイパーリンク" xfId="3473" builtinId="9" hidden="1"/>
    <cellStyle name="表示済みのハイパーリンク" xfId="3475" builtinId="9" hidden="1"/>
    <cellStyle name="表示済みのハイパーリンク" xfId="3477" builtinId="9" hidden="1"/>
    <cellStyle name="表示済みのハイパーリンク" xfId="3479" builtinId="9" hidden="1"/>
    <cellStyle name="表示済みのハイパーリンク" xfId="3481" builtinId="9" hidden="1"/>
    <cellStyle name="表示済みのハイパーリンク" xfId="3483" builtinId="9" hidden="1"/>
    <cellStyle name="表示済みのハイパーリンク" xfId="3485" builtinId="9" hidden="1"/>
    <cellStyle name="表示済みのハイパーリンク" xfId="3487" builtinId="9" hidden="1"/>
    <cellStyle name="表示済みのハイパーリンク" xfId="3489" builtinId="9" hidden="1"/>
    <cellStyle name="表示済みのハイパーリンク" xfId="3491" builtinId="9" hidden="1"/>
    <cellStyle name="表示済みのハイパーリンク" xfId="3493" builtinId="9" hidden="1"/>
    <cellStyle name="表示済みのハイパーリンク" xfId="3495" builtinId="9" hidden="1"/>
    <cellStyle name="表示済みのハイパーリンク" xfId="3497" builtinId="9" hidden="1"/>
    <cellStyle name="表示済みのハイパーリンク" xfId="3499" builtinId="9" hidden="1"/>
    <cellStyle name="表示済みのハイパーリンク" xfId="3501" builtinId="9" hidden="1"/>
    <cellStyle name="表示済みのハイパーリンク" xfId="3503" builtinId="9" hidden="1"/>
    <cellStyle name="表示済みのハイパーリンク" xfId="3505" builtinId="9" hidden="1"/>
    <cellStyle name="表示済みのハイパーリンク" xfId="3507" builtinId="9" hidden="1"/>
    <cellStyle name="表示済みのハイパーリンク" xfId="3509" builtinId="9" hidden="1"/>
    <cellStyle name="表示済みのハイパーリンク" xfId="3511" builtinId="9" hidden="1"/>
    <cellStyle name="表示済みのハイパーリンク" xfId="3513" builtinId="9" hidden="1"/>
    <cellStyle name="表示済みのハイパーリンク" xfId="3515" builtinId="9" hidden="1"/>
    <cellStyle name="表示済みのハイパーリンク" xfId="3517" builtinId="9" hidden="1"/>
    <cellStyle name="表示済みのハイパーリンク" xfId="3519" builtinId="9" hidden="1"/>
    <cellStyle name="表示済みのハイパーリンク" xfId="3521" builtinId="9" hidden="1"/>
    <cellStyle name="表示済みのハイパーリンク" xfId="3523" builtinId="9" hidden="1"/>
    <cellStyle name="表示済みのハイパーリンク" xfId="3525" builtinId="9" hidden="1"/>
    <cellStyle name="表示済みのハイパーリンク" xfId="3527" builtinId="9" hidden="1"/>
    <cellStyle name="表示済みのハイパーリンク" xfId="3529" builtinId="9" hidden="1"/>
    <cellStyle name="表示済みのハイパーリンク" xfId="3531" builtinId="9" hidden="1"/>
    <cellStyle name="表示済みのハイパーリンク" xfId="3533" builtinId="9" hidden="1"/>
    <cellStyle name="表示済みのハイパーリンク" xfId="3535" builtinId="9" hidden="1"/>
    <cellStyle name="表示済みのハイパーリンク" xfId="3537" builtinId="9" hidden="1"/>
    <cellStyle name="表示済みのハイパーリンク" xfId="3539" builtinId="9" hidden="1"/>
    <cellStyle name="表示済みのハイパーリンク" xfId="3541" builtinId="9" hidden="1"/>
    <cellStyle name="表示済みのハイパーリンク" xfId="3543" builtinId="9" hidden="1"/>
    <cellStyle name="表示済みのハイパーリンク" xfId="3545" builtinId="9" hidden="1"/>
    <cellStyle name="表示済みのハイパーリンク" xfId="3547" builtinId="9" hidden="1"/>
    <cellStyle name="表示済みのハイパーリンク" xfId="3549" builtinId="9" hidden="1"/>
    <cellStyle name="表示済みのハイパーリンク" xfId="3551" builtinId="9" hidden="1"/>
    <cellStyle name="表示済みのハイパーリンク" xfId="3553" builtinId="9" hidden="1"/>
    <cellStyle name="表示済みのハイパーリンク" xfId="3555" builtinId="9" hidden="1"/>
    <cellStyle name="表示済みのハイパーリンク" xfId="3557" builtinId="9" hidden="1"/>
    <cellStyle name="表示済みのハイパーリンク" xfId="3559" builtinId="9" hidden="1"/>
    <cellStyle name="表示済みのハイパーリンク" xfId="3561" builtinId="9" hidden="1"/>
    <cellStyle name="表示済みのハイパーリンク" xfId="3563" builtinId="9" hidden="1"/>
    <cellStyle name="表示済みのハイパーリンク" xfId="3565" builtinId="9" hidden="1"/>
    <cellStyle name="表示済みのハイパーリンク" xfId="3567" builtinId="9" hidden="1"/>
    <cellStyle name="表示済みのハイパーリンク" xfId="3569" builtinId="9" hidden="1"/>
    <cellStyle name="表示済みのハイパーリンク" xfId="3571" builtinId="9" hidden="1"/>
    <cellStyle name="表示済みのハイパーリンク" xfId="3573" builtinId="9" hidden="1"/>
    <cellStyle name="表示済みのハイパーリンク" xfId="3575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3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表示済みのハイパーリンク" xfId="3671" builtinId="9" hidden="1"/>
    <cellStyle name="表示済みのハイパーリンク" xfId="3673" builtinId="9" hidden="1"/>
    <cellStyle name="表示済みのハイパーリンク" xfId="3675" builtinId="9" hidden="1"/>
    <cellStyle name="表示済みのハイパーリンク" xfId="3677" builtinId="9" hidden="1"/>
    <cellStyle name="表示済みのハイパーリンク" xfId="3679" builtinId="9" hidden="1"/>
    <cellStyle name="表示済みのハイパーリンク" xfId="3681" builtinId="9" hidden="1"/>
    <cellStyle name="表示済みのハイパーリンク" xfId="3683" builtinId="9" hidden="1"/>
    <cellStyle name="表示済みのハイパーリンク" xfId="3685" builtinId="9" hidden="1"/>
    <cellStyle name="表示済みのハイパーリンク" xfId="3687" builtinId="9" hidden="1"/>
    <cellStyle name="表示済みのハイパーリンク" xfId="3689" builtinId="9" hidden="1"/>
    <cellStyle name="表示済みのハイパーリンク" xfId="3691" builtinId="9" hidden="1"/>
    <cellStyle name="表示済みのハイパーリンク" xfId="3693" builtinId="9" hidden="1"/>
    <cellStyle name="表示済みのハイパーリンク" xfId="3695" builtinId="9" hidden="1"/>
    <cellStyle name="表示済みのハイパーリンク" xfId="3697" builtinId="9" hidden="1"/>
    <cellStyle name="表示済みのハイパーリンク" xfId="3699" builtinId="9" hidden="1"/>
    <cellStyle name="表示済みのハイパーリンク" xfId="3701" builtinId="9" hidden="1"/>
    <cellStyle name="表示済みのハイパーリンク" xfId="3703" builtinId="9" hidden="1"/>
    <cellStyle name="表示済みのハイパーリンク" xfId="3705" builtinId="9" hidden="1"/>
    <cellStyle name="表示済みのハイパーリンク" xfId="3707" builtinId="9" hidden="1"/>
    <cellStyle name="表示済みのハイパーリンク" xfId="3709" builtinId="9" hidden="1"/>
    <cellStyle name="表示済みのハイパーリンク" xfId="3711" builtinId="9" hidden="1"/>
    <cellStyle name="表示済みのハイパーリンク" xfId="3713" builtinId="9" hidden="1"/>
    <cellStyle name="表示済みのハイパーリンク" xfId="3715" builtinId="9" hidden="1"/>
    <cellStyle name="表示済みのハイパーリンク" xfId="3717" builtinId="9" hidden="1"/>
    <cellStyle name="表示済みのハイパーリンク" xfId="3719" builtinId="9" hidden="1"/>
    <cellStyle name="表示済みのハイパーリンク" xfId="3721" builtinId="9" hidden="1"/>
    <cellStyle name="表示済みのハイパーリンク" xfId="3723" builtinId="9" hidden="1"/>
    <cellStyle name="表示済みのハイパーリンク" xfId="3725" builtinId="9" hidden="1"/>
    <cellStyle name="表示済みのハイパーリンク" xfId="3727" builtinId="9" hidden="1"/>
    <cellStyle name="表示済みのハイパーリンク" xfId="3729" builtinId="9" hidden="1"/>
    <cellStyle name="表示済みのハイパーリンク" xfId="3731" builtinId="9" hidden="1"/>
    <cellStyle name="表示済みのハイパーリンク" xfId="3733" builtinId="9" hidden="1"/>
    <cellStyle name="表示済みのハイパーリンク" xfId="3735" builtinId="9" hidden="1"/>
    <cellStyle name="表示済みのハイパーリンク" xfId="3737" builtinId="9" hidden="1"/>
    <cellStyle name="表示済みのハイパーリンク" xfId="3739" builtinId="9" hidden="1"/>
    <cellStyle name="表示済みのハイパーリンク" xfId="3741" builtinId="9" hidden="1"/>
    <cellStyle name="表示済みのハイパーリンク" xfId="3743" builtinId="9" hidden="1"/>
    <cellStyle name="表示済みのハイパーリンク" xfId="3745" builtinId="9" hidden="1"/>
    <cellStyle name="表示済みのハイパーリンク" xfId="3747" builtinId="9" hidden="1"/>
    <cellStyle name="表示済みのハイパーリンク" xfId="3749" builtinId="9" hidden="1"/>
    <cellStyle name="表示済みのハイパーリンク" xfId="3751" builtinId="9" hidden="1"/>
    <cellStyle name="表示済みのハイパーリンク" xfId="3753" builtinId="9" hidden="1"/>
    <cellStyle name="表示済みのハイパーリンク" xfId="3755" builtinId="9" hidden="1"/>
    <cellStyle name="表示済みのハイパーリンク" xfId="3757" builtinId="9" hidden="1"/>
    <cellStyle name="表示済みのハイパーリンク" xfId="3759" builtinId="9" hidden="1"/>
    <cellStyle name="表示済みのハイパーリンク" xfId="3761" builtinId="9" hidden="1"/>
    <cellStyle name="表示済みのハイパーリンク" xfId="3763" builtinId="9" hidden="1"/>
    <cellStyle name="表示済みのハイパーリンク" xfId="3765" builtinId="9" hidden="1"/>
    <cellStyle name="表示済みのハイパーリンク" xfId="3767" builtinId="9" hidden="1"/>
    <cellStyle name="表示済みのハイパーリンク" xfId="3769" builtinId="9" hidden="1"/>
    <cellStyle name="表示済みのハイパーリンク" xfId="3771" builtinId="9" hidden="1"/>
    <cellStyle name="表示済みのハイパーリンク" xfId="3773" builtinId="9" hidden="1"/>
    <cellStyle name="表示済みのハイパーリンク" xfId="3775" builtinId="9" hidden="1"/>
    <cellStyle name="表示済みのハイパーリンク" xfId="3777" builtinId="9" hidden="1"/>
    <cellStyle name="表示済みのハイパーリンク" xfId="3779" builtinId="9" hidden="1"/>
    <cellStyle name="表示済みのハイパーリンク" xfId="3781" builtinId="9" hidden="1"/>
    <cellStyle name="表示済みのハイパーリンク" xfId="3783" builtinId="9" hidden="1"/>
    <cellStyle name="表示済みのハイパーリンク" xfId="3785" builtinId="9" hidden="1"/>
    <cellStyle name="表示済みのハイパーリンク" xfId="3787" builtinId="9" hidden="1"/>
    <cellStyle name="表示済みのハイパーリンク" xfId="3789" builtinId="9" hidden="1"/>
    <cellStyle name="表示済みのハイパーリンク" xfId="3791" builtinId="9" hidden="1"/>
    <cellStyle name="表示済みのハイパーリンク" xfId="3793" builtinId="9" hidden="1"/>
    <cellStyle name="表示済みのハイパーリンク" xfId="3795" builtinId="9" hidden="1"/>
    <cellStyle name="表示済みのハイパーリンク" xfId="3797" builtinId="9" hidden="1"/>
    <cellStyle name="表示済みのハイパーリンク" xfId="3799" builtinId="9" hidden="1"/>
    <cellStyle name="表示済みのハイパーリンク" xfId="3801" builtinId="9" hidden="1"/>
    <cellStyle name="表示済みのハイパーリンク" xfId="3803" builtinId="9" hidden="1"/>
    <cellStyle name="表示済みのハイパーリンク" xfId="3805" builtinId="9" hidden="1"/>
    <cellStyle name="表示済みのハイパーリンク" xfId="3807" builtinId="9" hidden="1"/>
    <cellStyle name="表示済みのハイパーリンク" xfId="3809" builtinId="9" hidden="1"/>
    <cellStyle name="表示済みのハイパーリンク" xfId="3811" builtinId="9" hidden="1"/>
    <cellStyle name="表示済みのハイパーリンク" xfId="3813" builtinId="9" hidden="1"/>
    <cellStyle name="表示済みのハイパーリンク" xfId="3815" builtinId="9" hidden="1"/>
    <cellStyle name="表示済みのハイパーリンク" xfId="3817" builtinId="9" hidden="1"/>
    <cellStyle name="表示済みのハイパーリンク" xfId="3819" builtinId="9" hidden="1"/>
    <cellStyle name="表示済みのハイパーリンク" xfId="3821" builtinId="9" hidden="1"/>
    <cellStyle name="表示済みのハイパーリンク" xfId="3823" builtinId="9" hidden="1"/>
    <cellStyle name="表示済みのハイパーリンク" xfId="3825" builtinId="9" hidden="1"/>
    <cellStyle name="表示済みのハイパーリンク" xfId="3827" builtinId="9" hidden="1"/>
    <cellStyle name="表示済みのハイパーリンク" xfId="3829" builtinId="9" hidden="1"/>
    <cellStyle name="表示済みのハイパーリンク" xfId="3831" builtinId="9" hidden="1"/>
    <cellStyle name="表示済みのハイパーリンク" xfId="3833" builtinId="9" hidden="1"/>
    <cellStyle name="表示済みのハイパーリンク" xfId="3835" builtinId="9" hidden="1"/>
    <cellStyle name="表示済みのハイパーリンク" xfId="3837" builtinId="9" hidden="1"/>
    <cellStyle name="表示済みのハイパーリンク" xfId="3839" builtinId="9" hidden="1"/>
    <cellStyle name="表示済みのハイパーリンク" xfId="3841" builtinId="9" hidden="1"/>
    <cellStyle name="表示済みのハイパーリンク" xfId="3843" builtinId="9" hidden="1"/>
    <cellStyle name="表示済みのハイパーリンク" xfId="3845" builtinId="9" hidden="1"/>
    <cellStyle name="表示済みのハイパーリンク" xfId="3847" builtinId="9" hidden="1"/>
    <cellStyle name="表示済みのハイパーリンク" xfId="3849" builtinId="9" hidden="1"/>
    <cellStyle name="表示済みのハイパーリンク" xfId="3851" builtinId="9" hidden="1"/>
    <cellStyle name="表示済みのハイパーリンク" xfId="3853" builtinId="9" hidden="1"/>
    <cellStyle name="表示済みのハイパーリンク" xfId="3855" builtinId="9" hidden="1"/>
    <cellStyle name="表示済みのハイパーリンク" xfId="3857" builtinId="9" hidden="1"/>
    <cellStyle name="表示済みのハイパーリンク" xfId="3859" builtinId="9" hidden="1"/>
    <cellStyle name="表示済みのハイパーリンク" xfId="3861" builtinId="9" hidden="1"/>
    <cellStyle name="表示済みのハイパーリンク" xfId="3863" builtinId="9" hidden="1"/>
    <cellStyle name="表示済みのハイパーリンク" xfId="3865" builtinId="9" hidden="1"/>
    <cellStyle name="表示済みのハイパーリンク" xfId="3867" builtinId="9" hidden="1"/>
    <cellStyle name="表示済みのハイパーリンク" xfId="3869" builtinId="9" hidden="1"/>
    <cellStyle name="表示済みのハイパーリンク" xfId="3871" builtinId="9" hidden="1"/>
    <cellStyle name="表示済みのハイパーリンク" xfId="3873" builtinId="9" hidden="1"/>
    <cellStyle name="表示済みのハイパーリンク" xfId="3875" builtinId="9" hidden="1"/>
    <cellStyle name="表示済みのハイパーリンク" xfId="3877" builtinId="9" hidden="1"/>
    <cellStyle name="表示済みのハイパーリンク" xfId="3879" builtinId="9" hidden="1"/>
    <cellStyle name="表示済みのハイパーリンク" xfId="3881" builtinId="9" hidden="1"/>
    <cellStyle name="表示済みのハイパーリンク" xfId="3883" builtinId="9" hidden="1"/>
    <cellStyle name="表示済みのハイパーリンク" xfId="3885" builtinId="9" hidden="1"/>
    <cellStyle name="表示済みのハイパーリンク" xfId="3887" builtinId="9" hidden="1"/>
    <cellStyle name="表示済みのハイパーリンク" xfId="3889" builtinId="9" hidden="1"/>
    <cellStyle name="表示済みのハイパーリンク" xfId="3891" builtinId="9" hidden="1"/>
    <cellStyle name="表示済みのハイパーリンク" xfId="3893" builtinId="9" hidden="1"/>
    <cellStyle name="表示済みのハイパーリンク" xfId="3895" builtinId="9" hidden="1"/>
    <cellStyle name="表示済みのハイパーリンク" xfId="3897" builtinId="9" hidden="1"/>
    <cellStyle name="表示済みのハイパーリンク" xfId="3899" builtinId="9" hidden="1"/>
    <cellStyle name="表示済みのハイパーリンク" xfId="3901" builtinId="9" hidden="1"/>
    <cellStyle name="表示済みのハイパーリンク" xfId="3903" builtinId="9" hidden="1"/>
    <cellStyle name="表示済みのハイパーリンク" xfId="3905" builtinId="9" hidden="1"/>
    <cellStyle name="表示済みのハイパーリンク" xfId="3907" builtinId="9" hidden="1"/>
    <cellStyle name="表示済みのハイパーリンク" xfId="3909" builtinId="9" hidden="1"/>
    <cellStyle name="表示済みのハイパーリンク" xfId="3911" builtinId="9" hidden="1"/>
    <cellStyle name="表示済みのハイパーリンク" xfId="3913" builtinId="9" hidden="1"/>
    <cellStyle name="表示済みのハイパーリンク" xfId="3915" builtinId="9" hidden="1"/>
    <cellStyle name="表示済みのハイパーリンク" xfId="3917" builtinId="9" hidden="1"/>
    <cellStyle name="表示済みのハイパーリンク" xfId="3919" builtinId="9" hidden="1"/>
    <cellStyle name="表示済みのハイパーリンク" xfId="3921" builtinId="9" hidden="1"/>
    <cellStyle name="表示済みのハイパーリンク" xfId="3923" builtinId="9" hidden="1"/>
    <cellStyle name="表示済みのハイパーリンク" xfId="3925" builtinId="9" hidden="1"/>
    <cellStyle name="表示済みのハイパーリンク" xfId="3927" builtinId="9" hidden="1"/>
    <cellStyle name="表示済みのハイパーリンク" xfId="3929" builtinId="9" hidden="1"/>
    <cellStyle name="表示済みのハイパーリンク" xfId="3931" builtinId="9" hidden="1"/>
    <cellStyle name="表示済みのハイパーリンク" xfId="3933" builtinId="9" hidden="1"/>
    <cellStyle name="表示済みのハイパーリンク" xfId="3935" builtinId="9" hidden="1"/>
    <cellStyle name="表示済みのハイパーリンク" xfId="3937" builtinId="9" hidden="1"/>
    <cellStyle name="表示済みのハイパーリンク" xfId="3939" builtinId="9" hidden="1"/>
    <cellStyle name="表示済みのハイパーリンク" xfId="3941" builtinId="9" hidden="1"/>
    <cellStyle name="表示済みのハイパーリンク" xfId="3943" builtinId="9" hidden="1"/>
    <cellStyle name="表示済みのハイパーリンク" xfId="3945" builtinId="9" hidden="1"/>
    <cellStyle name="表示済みのハイパーリンク" xfId="3947" builtinId="9" hidden="1"/>
    <cellStyle name="表示済みのハイパーリンク" xfId="3949" builtinId="9" hidden="1"/>
    <cellStyle name="表示済みのハイパーリンク" xfId="3951" builtinId="9" hidden="1"/>
    <cellStyle name="表示済みのハイパーリンク" xfId="3953" builtinId="9" hidden="1"/>
    <cellStyle name="表示済みのハイパーリンク" xfId="3955" builtinId="9" hidden="1"/>
    <cellStyle name="表示済みのハイパーリンク" xfId="3957" builtinId="9" hidden="1"/>
    <cellStyle name="表示済みのハイパーリンク" xfId="3959" builtinId="9" hidden="1"/>
    <cellStyle name="表示済みのハイパーリンク" xfId="3961" builtinId="9" hidden="1"/>
    <cellStyle name="表示済みのハイパーリンク" xfId="3963" builtinId="9" hidden="1"/>
    <cellStyle name="表示済みのハイパーリンク" xfId="3965" builtinId="9" hidden="1"/>
    <cellStyle name="表示済みのハイパーリンク" xfId="3967" builtinId="9" hidden="1"/>
    <cellStyle name="表示済みのハイパーリンク" xfId="3969" builtinId="9" hidden="1"/>
    <cellStyle name="表示済みのハイパーリンク" xfId="3971" builtinId="9" hidden="1"/>
    <cellStyle name="表示済みのハイパーリンク" xfId="3973" builtinId="9" hidden="1"/>
    <cellStyle name="表示済みのハイパーリンク" xfId="3975" builtinId="9" hidden="1"/>
    <cellStyle name="表示済みのハイパーリンク" xfId="3977" builtinId="9" hidden="1"/>
    <cellStyle name="表示済みのハイパーリンク" xfId="3979" builtinId="9" hidden="1"/>
    <cellStyle name="表示済みのハイパーリンク" xfId="3981" builtinId="9" hidden="1"/>
    <cellStyle name="表示済みのハイパーリンク" xfId="3983" builtinId="9" hidden="1"/>
    <cellStyle name="表示済みのハイパーリンク" xfId="3985" builtinId="9" hidden="1"/>
    <cellStyle name="表示済みのハイパーリンク" xfId="3987" builtinId="9" hidden="1"/>
    <cellStyle name="表示済みのハイパーリンク" xfId="3989" builtinId="9" hidden="1"/>
    <cellStyle name="表示済みのハイパーリンク" xfId="3991" builtinId="9" hidden="1"/>
    <cellStyle name="表示済みのハイパーリンク" xfId="3993" builtinId="9" hidden="1"/>
    <cellStyle name="表示済みのハイパーリンク" xfId="3995" builtinId="9" hidden="1"/>
    <cellStyle name="表示済みのハイパーリンク" xfId="3997" builtinId="9" hidden="1"/>
    <cellStyle name="表示済みのハイパーリンク" xfId="3999" builtinId="9" hidden="1"/>
    <cellStyle name="表示済みのハイパーリンク" xfId="4001" builtinId="9" hidden="1"/>
    <cellStyle name="表示済みのハイパーリンク" xfId="4003" builtinId="9" hidden="1"/>
    <cellStyle name="表示済みのハイパーリンク" xfId="4005" builtinId="9" hidden="1"/>
    <cellStyle name="表示済みのハイパーリンク" xfId="4007" builtinId="9" hidden="1"/>
    <cellStyle name="表示済みのハイパーリンク" xfId="4009" builtinId="9" hidden="1"/>
    <cellStyle name="表示済みのハイパーリンク" xfId="4011" builtinId="9" hidden="1"/>
    <cellStyle name="表示済みのハイパーリンク" xfId="4013" builtinId="9" hidden="1"/>
    <cellStyle name="表示済みのハイパーリンク" xfId="4015" builtinId="9" hidden="1"/>
    <cellStyle name="表示済みのハイパーリンク" xfId="4017" builtinId="9" hidden="1"/>
    <cellStyle name="表示済みのハイパーリンク" xfId="4019" builtinId="9" hidden="1"/>
    <cellStyle name="表示済みのハイパーリンク" xfId="4021" builtinId="9" hidden="1"/>
    <cellStyle name="表示済みのハイパーリンク" xfId="4023" builtinId="9" hidden="1"/>
    <cellStyle name="表示済みのハイパーリンク" xfId="4025" builtinId="9" hidden="1"/>
    <cellStyle name="表示済みのハイパーリンク" xfId="4027" builtinId="9" hidden="1"/>
    <cellStyle name="表示済みのハイパーリンク" xfId="4029" builtinId="9" hidden="1"/>
    <cellStyle name="表示済みのハイパーリンク" xfId="4031" builtinId="9" hidden="1"/>
    <cellStyle name="表示済みのハイパーリンク" xfId="4033" builtinId="9" hidden="1"/>
    <cellStyle name="表示済みのハイパーリンク" xfId="4035" builtinId="9" hidden="1"/>
    <cellStyle name="表示済みのハイパーリンク" xfId="4037" builtinId="9" hidden="1"/>
    <cellStyle name="表示済みのハイパーリンク" xfId="4039" builtinId="9" hidden="1"/>
    <cellStyle name="表示済みのハイパーリンク" xfId="4041" builtinId="9" hidden="1"/>
    <cellStyle name="表示済みのハイパーリンク" xfId="4043" builtinId="9" hidden="1"/>
    <cellStyle name="表示済みのハイパーリンク" xfId="4045" builtinId="9" hidden="1"/>
    <cellStyle name="表示済みのハイパーリンク" xfId="4047" builtinId="9" hidden="1"/>
    <cellStyle name="表示済みのハイパーリンク" xfId="4049" builtinId="9" hidden="1"/>
    <cellStyle name="表示済みのハイパーリンク" xfId="4051" builtinId="9" hidden="1"/>
    <cellStyle name="表示済みのハイパーリンク" xfId="4053" builtinId="9" hidden="1"/>
    <cellStyle name="表示済みのハイパーリンク" xfId="4055" builtinId="9" hidden="1"/>
    <cellStyle name="表示済みのハイパーリンク" xfId="4057" builtinId="9" hidden="1"/>
    <cellStyle name="表示済みのハイパーリンク" xfId="4059" builtinId="9" hidden="1"/>
    <cellStyle name="表示済みのハイパーリンク" xfId="4061" builtinId="9" hidden="1"/>
    <cellStyle name="表示済みのハイパーリンク" xfId="4063" builtinId="9" hidden="1"/>
    <cellStyle name="表示済みのハイパーリンク" xfId="4065" builtinId="9" hidden="1"/>
    <cellStyle name="表示済みのハイパーリンク" xfId="4067" builtinId="9" hidden="1"/>
    <cellStyle name="表示済みのハイパーリンク" xfId="4069" builtinId="9" hidden="1"/>
    <cellStyle name="表示済みのハイパーリンク" xfId="4071" builtinId="9" hidden="1"/>
    <cellStyle name="表示済みのハイパーリンク" xfId="4073" builtinId="9" hidden="1"/>
    <cellStyle name="表示済みのハイパーリンク" xfId="4075" builtinId="9" hidden="1"/>
    <cellStyle name="表示済みのハイパーリンク" xfId="4077" builtinId="9" hidden="1"/>
    <cellStyle name="表示済みのハイパーリンク" xfId="4079" builtinId="9" hidden="1"/>
    <cellStyle name="表示済みのハイパーリンク" xfId="4081" builtinId="9" hidden="1"/>
    <cellStyle name="表示済みのハイパーリンク" xfId="4083" builtinId="9" hidden="1"/>
    <cellStyle name="表示済みのハイパーリンク" xfId="4085" builtinId="9" hidden="1"/>
    <cellStyle name="表示済みのハイパーリンク" xfId="4087" builtinId="9" hidden="1"/>
    <cellStyle name="表示済みのハイパーリンク" xfId="4089" builtinId="9" hidden="1"/>
    <cellStyle name="表示済みのハイパーリンク" xfId="4091" builtinId="9" hidden="1"/>
    <cellStyle name="表示済みのハイパーリンク" xfId="4093" builtinId="9" hidden="1"/>
    <cellStyle name="表示済みのハイパーリンク" xfId="4095" builtinId="9" hidden="1"/>
    <cellStyle name="表示済みのハイパーリンク" xfId="4097" builtinId="9" hidden="1"/>
    <cellStyle name="表示済みのハイパーリンク" xfId="4099" builtinId="9" hidden="1"/>
    <cellStyle name="表示済みのハイパーリンク" xfId="4101" builtinId="9" hidden="1"/>
    <cellStyle name="表示済みのハイパーリンク" xfId="4103" builtinId="9" hidden="1"/>
    <cellStyle name="表示済みのハイパーリンク" xfId="4105" builtinId="9" hidden="1"/>
    <cellStyle name="表示済みのハイパーリンク" xfId="4107" builtinId="9" hidden="1"/>
    <cellStyle name="表示済みのハイパーリンク" xfId="4109" builtinId="9" hidden="1"/>
    <cellStyle name="表示済みのハイパーリンク" xfId="4111" builtinId="9" hidden="1"/>
    <cellStyle name="表示済みのハイパーリンク" xfId="4113" builtinId="9" hidden="1"/>
    <cellStyle name="表示済みのハイパーリンク" xfId="4115" builtinId="9" hidden="1"/>
    <cellStyle name="表示済みのハイパーリンク" xfId="4117" builtinId="9" hidden="1"/>
    <cellStyle name="表示済みのハイパーリンク" xfId="4119" builtinId="9" hidden="1"/>
    <cellStyle name="表示済みのハイパーリンク" xfId="4121" builtinId="9" hidden="1"/>
    <cellStyle name="表示済みのハイパーリンク" xfId="4123" builtinId="9" hidden="1"/>
    <cellStyle name="表示済みのハイパーリンク" xfId="4125" builtinId="9" hidden="1"/>
    <cellStyle name="表示済みのハイパーリンク" xfId="4127" builtinId="9" hidden="1"/>
    <cellStyle name="表示済みのハイパーリンク" xfId="4129" builtinId="9" hidden="1"/>
    <cellStyle name="表示済みのハイパーリンク" xfId="4131" builtinId="9" hidden="1"/>
    <cellStyle name="表示済みのハイパーリンク" xfId="4133" builtinId="9" hidden="1"/>
    <cellStyle name="表示済みのハイパーリンク" xfId="4135" builtinId="9" hidden="1"/>
    <cellStyle name="表示済みのハイパーリンク" xfId="4137" builtinId="9" hidden="1"/>
    <cellStyle name="表示済みのハイパーリンク" xfId="4139" builtinId="9" hidden="1"/>
    <cellStyle name="表示済みのハイパーリンク" xfId="4141" builtinId="9" hidden="1"/>
    <cellStyle name="表示済みのハイパーリンク" xfId="4143" builtinId="9" hidden="1"/>
    <cellStyle name="表示済みのハイパーリンク" xfId="4145" builtinId="9" hidden="1"/>
    <cellStyle name="表示済みのハイパーリンク" xfId="4147" builtinId="9" hidden="1"/>
    <cellStyle name="表示済みのハイパーリンク" xfId="4149" builtinId="9" hidden="1"/>
    <cellStyle name="表示済みのハイパーリンク" xfId="4151" builtinId="9" hidden="1"/>
    <cellStyle name="表示済みのハイパーリンク" xfId="4153" builtinId="9" hidden="1"/>
    <cellStyle name="表示済みのハイパーリンク" xfId="4155" builtinId="9" hidden="1"/>
    <cellStyle name="表示済みのハイパーリンク" xfId="4157" builtinId="9" hidden="1"/>
    <cellStyle name="表示済みのハイパーリンク" xfId="4159" builtinId="9" hidden="1"/>
    <cellStyle name="表示済みのハイパーリンク" xfId="4161" builtinId="9" hidden="1"/>
    <cellStyle name="表示済みのハイパーリンク" xfId="4163" builtinId="9" hidden="1"/>
    <cellStyle name="表示済みのハイパーリンク" xfId="4165" builtinId="9" hidden="1"/>
    <cellStyle name="表示済みのハイパーリンク" xfId="4167" builtinId="9" hidden="1"/>
    <cellStyle name="表示済みのハイパーリンク" xfId="4169" builtinId="9" hidden="1"/>
    <cellStyle name="表示済みのハイパーリンク" xfId="4171" builtinId="9" hidden="1"/>
    <cellStyle name="表示済みのハイパーリンク" xfId="4173" builtinId="9" hidden="1"/>
    <cellStyle name="表示済みのハイパーリンク" xfId="4175" builtinId="9" hidden="1"/>
    <cellStyle name="表示済みのハイパーリンク" xfId="4177" builtinId="9" hidden="1"/>
    <cellStyle name="表示済みのハイパーリンク" xfId="4179" builtinId="9" hidden="1"/>
    <cellStyle name="表示済みのハイパーリンク" xfId="4181" builtinId="9" hidden="1"/>
    <cellStyle name="表示済みのハイパーリンク" xfId="4183" builtinId="9" hidden="1"/>
    <cellStyle name="表示済みのハイパーリンク" xfId="4185" builtinId="9" hidden="1"/>
    <cellStyle name="表示済みのハイパーリンク" xfId="4187" builtinId="9" hidden="1"/>
    <cellStyle name="表示済みのハイパーリンク" xfId="4189" builtinId="9" hidden="1"/>
    <cellStyle name="表示済みのハイパーリンク" xfId="4191" builtinId="9" hidden="1"/>
    <cellStyle name="表示済みのハイパーリンク" xfId="4193" builtinId="9" hidden="1"/>
    <cellStyle name="表示済みのハイパーリンク" xfId="4195" builtinId="9" hidden="1"/>
    <cellStyle name="表示済みのハイパーリンク" xfId="4197" builtinId="9" hidden="1"/>
    <cellStyle name="表示済みのハイパーリンク" xfId="4199" builtinId="9" hidden="1"/>
    <cellStyle name="表示済みのハイパーリンク" xfId="4201" builtinId="9" hidden="1"/>
    <cellStyle name="表示済みのハイパーリンク" xfId="4203" builtinId="9" hidden="1"/>
    <cellStyle name="表示済みのハイパーリンク" xfId="4205" builtinId="9" hidden="1"/>
    <cellStyle name="表示済みのハイパーリンク" xfId="4207" builtinId="9" hidden="1"/>
    <cellStyle name="表示済みのハイパーリンク" xfId="4209" builtinId="9" hidden="1"/>
    <cellStyle name="表示済みのハイパーリンク" xfId="4211" builtinId="9" hidden="1"/>
    <cellStyle name="表示済みのハイパーリンク" xfId="4213" builtinId="9" hidden="1"/>
    <cellStyle name="表示済みのハイパーリンク" xfId="4215" builtinId="9" hidden="1"/>
    <cellStyle name="表示済みのハイパーリンク" xfId="4217" builtinId="9" hidden="1"/>
    <cellStyle name="表示済みのハイパーリンク" xfId="4219" builtinId="9" hidden="1"/>
    <cellStyle name="表示済みのハイパーリンク" xfId="4221" builtinId="9" hidden="1"/>
    <cellStyle name="表示済みのハイパーリンク" xfId="4223" builtinId="9" hidden="1"/>
    <cellStyle name="表示済みのハイパーリンク" xfId="4225" builtinId="9" hidden="1"/>
    <cellStyle name="表示済みのハイパーリンク" xfId="4227" builtinId="9" hidden="1"/>
    <cellStyle name="表示済みのハイパーリンク" xfId="4229" builtinId="9" hidden="1"/>
    <cellStyle name="表示済みのハイパーリンク" xfId="4231" builtinId="9" hidden="1"/>
    <cellStyle name="表示済みのハイパーリンク" xfId="4233" builtinId="9" hidden="1"/>
    <cellStyle name="表示済みのハイパーリンク" xfId="4235" builtinId="9" hidden="1"/>
    <cellStyle name="表示済みのハイパーリンク" xfId="4237" builtinId="9" hidden="1"/>
    <cellStyle name="表示済みのハイパーリンク" xfId="4239" builtinId="9" hidden="1"/>
    <cellStyle name="表示済みのハイパーリンク" xfId="4241" builtinId="9" hidden="1"/>
    <cellStyle name="表示済みのハイパーリンク" xfId="4243" builtinId="9" hidden="1"/>
    <cellStyle name="表示済みのハイパーリンク" xfId="4245" builtinId="9" hidden="1"/>
    <cellStyle name="表示済みのハイパーリンク" xfId="4247" builtinId="9" hidden="1"/>
    <cellStyle name="表示済みのハイパーリンク" xfId="4249" builtinId="9" hidden="1"/>
    <cellStyle name="表示済みのハイパーリンク" xfId="4251" builtinId="9" hidden="1"/>
    <cellStyle name="表示済みのハイパーリンク" xfId="4253" builtinId="9" hidden="1"/>
    <cellStyle name="表示済みのハイパーリンク" xfId="4255" builtinId="9" hidden="1"/>
    <cellStyle name="表示済みのハイパーリンク" xfId="4257" builtinId="9" hidden="1"/>
    <cellStyle name="表示済みのハイパーリンク" xfId="4259" builtinId="9" hidden="1"/>
    <cellStyle name="表示済みのハイパーリンク" xfId="4261" builtinId="9" hidden="1"/>
    <cellStyle name="表示済みのハイパーリンク" xfId="4263" builtinId="9" hidden="1"/>
    <cellStyle name="表示済みのハイパーリンク" xfId="4265" builtinId="9" hidden="1"/>
    <cellStyle name="表示済みのハイパーリンク" xfId="4267" builtinId="9" hidden="1"/>
    <cellStyle name="表示済みのハイパーリンク" xfId="4269" builtinId="9" hidden="1"/>
    <cellStyle name="表示済みのハイパーリンク" xfId="4271" builtinId="9" hidden="1"/>
    <cellStyle name="表示済みのハイパーリンク" xfId="4273" builtinId="9" hidden="1"/>
    <cellStyle name="表示済みのハイパーリンク" xfId="4275" builtinId="9" hidden="1"/>
    <cellStyle name="表示済みのハイパーリンク" xfId="4277" builtinId="9" hidden="1"/>
    <cellStyle name="表示済みのハイパーリンク" xfId="4279" builtinId="9" hidden="1"/>
    <cellStyle name="表示済みのハイパーリンク" xfId="4281" builtinId="9" hidden="1"/>
    <cellStyle name="表示済みのハイパーリンク" xfId="4283" builtinId="9" hidden="1"/>
    <cellStyle name="表示済みのハイパーリンク" xfId="4285" builtinId="9" hidden="1"/>
    <cellStyle name="表示済みのハイパーリンク" xfId="4287" builtinId="9" hidden="1"/>
    <cellStyle name="表示済みのハイパーリンク" xfId="4289" builtinId="9" hidden="1"/>
    <cellStyle name="表示済みのハイパーリンク" xfId="4291" builtinId="9" hidden="1"/>
    <cellStyle name="表示済みのハイパーリンク" xfId="4293" builtinId="9" hidden="1"/>
    <cellStyle name="表示済みのハイパーリンク" xfId="4295" builtinId="9" hidden="1"/>
    <cellStyle name="表示済みのハイパーリンク" xfId="4297" builtinId="9" hidden="1"/>
    <cellStyle name="表示済みのハイパーリンク" xfId="4299" builtinId="9" hidden="1"/>
    <cellStyle name="表示済みのハイパーリンク" xfId="4301" builtinId="9" hidden="1"/>
    <cellStyle name="表示済みのハイパーリンク" xfId="4303" builtinId="9" hidden="1"/>
    <cellStyle name="表示済みのハイパーリンク" xfId="4305" builtinId="9" hidden="1"/>
    <cellStyle name="表示済みのハイパーリンク" xfId="4307" builtinId="9" hidden="1"/>
    <cellStyle name="表示済みのハイパーリンク" xfId="4309" builtinId="9" hidden="1"/>
    <cellStyle name="表示済みのハイパーリンク" xfId="4311" builtinId="9" hidden="1"/>
    <cellStyle name="表示済みのハイパーリンク" xfId="4313" builtinId="9" hidden="1"/>
    <cellStyle name="表示済みのハイパーリンク" xfId="4315" builtinId="9" hidden="1"/>
    <cellStyle name="表示済みのハイパーリンク" xfId="4317" builtinId="9" hidden="1"/>
    <cellStyle name="表示済みのハイパーリンク" xfId="4319" builtinId="9" hidden="1"/>
    <cellStyle name="表示済みのハイパーリンク" xfId="4321" builtinId="9" hidden="1"/>
    <cellStyle name="表示済みのハイパーリンク" xfId="4323" builtinId="9" hidden="1"/>
    <cellStyle name="表示済みのハイパーリンク" xfId="4325" builtinId="9" hidden="1"/>
    <cellStyle name="表示済みのハイパーリンク" xfId="4327" builtinId="9" hidden="1"/>
    <cellStyle name="表示済みのハイパーリンク" xfId="4329" builtinId="9" hidden="1"/>
    <cellStyle name="表示済みのハイパーリンク" xfId="4331" builtinId="9" hidden="1"/>
    <cellStyle name="表示済みのハイパーリンク" xfId="4333" builtinId="9" hidden="1"/>
    <cellStyle name="表示済みのハイパーリンク" xfId="4335" builtinId="9" hidden="1"/>
    <cellStyle name="表示済みのハイパーリンク" xfId="4337" builtinId="9" hidden="1"/>
    <cellStyle name="表示済みのハイパーリンク" xfId="4339" builtinId="9" hidden="1"/>
    <cellStyle name="表示済みのハイパーリンク" xfId="4341" builtinId="9" hidden="1"/>
    <cellStyle name="表示済みのハイパーリンク" xfId="4343" builtinId="9" hidden="1"/>
    <cellStyle name="表示済みのハイパーリンク" xfId="4345" builtinId="9" hidden="1"/>
    <cellStyle name="表示済みのハイパーリンク" xfId="4347" builtinId="9" hidden="1"/>
    <cellStyle name="表示済みのハイパーリンク" xfId="4349" builtinId="9" hidden="1"/>
    <cellStyle name="表示済みのハイパーリンク" xfId="4351" builtinId="9" hidden="1"/>
    <cellStyle name="表示済みのハイパーリンク" xfId="4353" builtinId="9" hidden="1"/>
    <cellStyle name="表示済みのハイパーリンク" xfId="4355" builtinId="9" hidden="1"/>
    <cellStyle name="表示済みのハイパーリンク" xfId="4357" builtinId="9" hidden="1"/>
    <cellStyle name="表示済みのハイパーリンク" xfId="4359" builtinId="9" hidden="1"/>
    <cellStyle name="表示済みのハイパーリンク" xfId="4361" builtinId="9" hidden="1"/>
    <cellStyle name="表示済みのハイパーリンク" xfId="4363" builtinId="9" hidden="1"/>
    <cellStyle name="表示済みのハイパーリンク" xfId="4365" builtinId="9" hidden="1"/>
    <cellStyle name="表示済みのハイパーリンク" xfId="4367" builtinId="9" hidden="1"/>
    <cellStyle name="表示済みのハイパーリンク" xfId="4369" builtinId="9" hidden="1"/>
    <cellStyle name="表示済みのハイパーリンク" xfId="4371" builtinId="9" hidden="1"/>
    <cellStyle name="表示済みのハイパーリンク" xfId="4373" builtinId="9" hidden="1"/>
    <cellStyle name="表示済みのハイパーリンク" xfId="4376" builtinId="9" hidden="1"/>
    <cellStyle name="表示済みのハイパーリンク" xfId="4378" builtinId="9" hidden="1"/>
    <cellStyle name="表示済みのハイパーリンク" xfId="4380" builtinId="9" hidden="1"/>
    <cellStyle name="表示済みのハイパーリンク" xfId="4382" builtinId="9" hidden="1"/>
    <cellStyle name="表示済みのハイパーリンク" xfId="4384" builtinId="9" hidden="1"/>
    <cellStyle name="表示済みのハイパーリンク" xfId="4386" builtinId="9" hidden="1"/>
    <cellStyle name="表示済みのハイパーリンク" xfId="4388" builtinId="9" hidden="1"/>
    <cellStyle name="表示済みのハイパーリンク" xfId="4390" builtinId="9" hidden="1"/>
    <cellStyle name="表示済みのハイパーリンク" xfId="4392" builtinId="9" hidden="1"/>
    <cellStyle name="表示済みのハイパーリンク" xfId="4394" builtinId="9" hidden="1"/>
    <cellStyle name="表示済みのハイパーリンク" xfId="4396" builtinId="9" hidden="1"/>
    <cellStyle name="表示済みのハイパーリンク" xfId="4398" builtinId="9" hidden="1"/>
    <cellStyle name="表示済みのハイパーリンク" xfId="4400" builtinId="9" hidden="1"/>
    <cellStyle name="表示済みのハイパーリンク" xfId="4402" builtinId="9" hidden="1"/>
    <cellStyle name="表示済みのハイパーリンク" xfId="4404" builtinId="9" hidden="1"/>
    <cellStyle name="表示済みのハイパーリンク" xfId="4406" builtinId="9" hidden="1"/>
    <cellStyle name="表示済みのハイパーリンク" xfId="4408" builtinId="9" hidden="1"/>
    <cellStyle name="表示済みのハイパーリンク" xfId="4410" builtinId="9" hidden="1"/>
    <cellStyle name="表示済みのハイパーリンク" xfId="4412" builtinId="9" hidden="1"/>
    <cellStyle name="表示済みのハイパーリンク" xfId="4414" builtinId="9" hidden="1"/>
    <cellStyle name="表示済みのハイパーリンク" xfId="4416" builtinId="9" hidden="1"/>
    <cellStyle name="表示済みのハイパーリンク" xfId="4418" builtinId="9" hidden="1"/>
    <cellStyle name="表示済みのハイパーリンク" xfId="4420" builtinId="9" hidden="1"/>
    <cellStyle name="表示済みのハイパーリンク" xfId="4422" builtinId="9" hidden="1"/>
    <cellStyle name="表示済みのハイパーリンク" xfId="4424" builtinId="9" hidden="1"/>
    <cellStyle name="表示済みのハイパーリンク" xfId="4426" builtinId="9" hidden="1"/>
    <cellStyle name="表示済みのハイパーリンク" xfId="4428" builtinId="9" hidden="1"/>
    <cellStyle name="表示済みのハイパーリンク" xfId="4430" builtinId="9" hidden="1"/>
    <cellStyle name="表示済みのハイパーリンク" xfId="4432" builtinId="9" hidden="1"/>
    <cellStyle name="表示済みのハイパーリンク" xfId="4434" builtinId="9" hidden="1"/>
    <cellStyle name="表示済みのハイパーリンク" xfId="4436" builtinId="9" hidden="1"/>
    <cellStyle name="表示済みのハイパーリンク" xfId="4438" builtinId="9" hidden="1"/>
    <cellStyle name="表示済みのハイパーリンク" xfId="4440" builtinId="9" hidden="1"/>
    <cellStyle name="表示済みのハイパーリンク" xfId="4442" builtinId="9" hidden="1"/>
    <cellStyle name="表示済みのハイパーリンク" xfId="4444" builtinId="9" hidden="1"/>
    <cellStyle name="表示済みのハイパーリンク" xfId="4446" builtinId="9" hidden="1"/>
    <cellStyle name="表示済みのハイパーリンク" xfId="4448" builtinId="9" hidden="1"/>
    <cellStyle name="表示済みのハイパーリンク" xfId="4450" builtinId="9" hidden="1"/>
    <cellStyle name="表示済みのハイパーリンク" xfId="4452" builtinId="9" hidden="1"/>
    <cellStyle name="表示済みのハイパーリンク" xfId="4454" builtinId="9" hidden="1"/>
    <cellStyle name="表示済みのハイパーリンク" xfId="4456" builtinId="9" hidden="1"/>
    <cellStyle name="表示済みのハイパーリンク" xfId="4458" builtinId="9" hidden="1"/>
    <cellStyle name="表示済みのハイパーリンク" xfId="4460" builtinId="9" hidden="1"/>
    <cellStyle name="表示済みのハイパーリンク" xfId="4462" builtinId="9" hidden="1"/>
    <cellStyle name="表示済みのハイパーリンク" xfId="4464" builtinId="9" hidden="1"/>
    <cellStyle name="表示済みのハイパーリンク" xfId="4466" builtinId="9" hidden="1"/>
    <cellStyle name="表示済みのハイパーリンク" xfId="4468" builtinId="9" hidden="1"/>
    <cellStyle name="表示済みのハイパーリンク" xfId="4470" builtinId="9" hidden="1"/>
    <cellStyle name="表示済みのハイパーリンク" xfId="4472" builtinId="9" hidden="1"/>
    <cellStyle name="表示済みのハイパーリンク" xfId="4474" builtinId="9" hidden="1"/>
    <cellStyle name="表示済みのハイパーリンク" xfId="4476" builtinId="9" hidden="1"/>
    <cellStyle name="表示済みのハイパーリンク" xfId="4478" builtinId="9" hidden="1"/>
    <cellStyle name="表示済みのハイパーリンク" xfId="4480" builtinId="9" hidden="1"/>
    <cellStyle name="表示済みのハイパーリンク" xfId="4482" builtinId="9" hidden="1"/>
    <cellStyle name="表示済みのハイパーリンク" xfId="4484" builtinId="9" hidden="1"/>
    <cellStyle name="表示済みのハイパーリンク" xfId="4486" builtinId="9" hidden="1"/>
    <cellStyle name="表示済みのハイパーリンク" xfId="4488" builtinId="9" hidden="1"/>
    <cellStyle name="表示済みのハイパーリンク" xfId="4490" builtinId="9" hidden="1"/>
    <cellStyle name="表示済みのハイパーリンク" xfId="4492" builtinId="9" hidden="1"/>
    <cellStyle name="表示済みのハイパーリンク" xfId="4494" builtinId="9" hidden="1"/>
    <cellStyle name="表示済みのハイパーリンク" xfId="4496" builtinId="9" hidden="1"/>
    <cellStyle name="表示済みのハイパーリンク" xfId="4498" builtinId="9" hidden="1"/>
    <cellStyle name="表示済みのハイパーリンク" xfId="4500" builtinId="9" hidden="1"/>
    <cellStyle name="表示済みのハイパーリンク" xfId="4502" builtinId="9" hidden="1"/>
    <cellStyle name="表示済みのハイパーリンク" xfId="4504" builtinId="9" hidden="1"/>
    <cellStyle name="表示済みのハイパーリンク" xfId="4506" builtinId="9" hidden="1"/>
    <cellStyle name="表示済みのハイパーリンク" xfId="4508" builtinId="9" hidden="1"/>
    <cellStyle name="表示済みのハイパーリンク" xfId="4510" builtinId="9" hidden="1"/>
    <cellStyle name="表示済みのハイパーリンク" xfId="4512" builtinId="9" hidden="1"/>
    <cellStyle name="表示済みのハイパーリンク" xfId="4514" builtinId="9" hidden="1"/>
    <cellStyle name="表示済みのハイパーリンク" xfId="4516" builtinId="9" hidden="1"/>
    <cellStyle name="表示済みのハイパーリンク" xfId="4518" builtinId="9" hidden="1"/>
    <cellStyle name="表示済みのハイパーリンク" xfId="4520" builtinId="9" hidden="1"/>
    <cellStyle name="表示済みのハイパーリンク" xfId="4522" builtinId="9" hidden="1"/>
    <cellStyle name="表示済みのハイパーリンク" xfId="4524" builtinId="9" hidden="1"/>
    <cellStyle name="表示済みのハイパーリンク" xfId="4526" builtinId="9" hidden="1"/>
    <cellStyle name="表示済みのハイパーリンク" xfId="4528" builtinId="9" hidden="1"/>
    <cellStyle name="表示済みのハイパーリンク" xfId="4530" builtinId="9" hidden="1"/>
    <cellStyle name="表示済みのハイパーリンク" xfId="4532" builtinId="9" hidden="1"/>
    <cellStyle name="表示済みのハイパーリンク" xfId="4534" builtinId="9" hidden="1"/>
    <cellStyle name="表示済みのハイパーリンク" xfId="4536" builtinId="9" hidden="1"/>
    <cellStyle name="表示済みのハイパーリンク" xfId="4538" builtinId="9" hidden="1"/>
    <cellStyle name="表示済みのハイパーリンク" xfId="4540" builtinId="9" hidden="1"/>
    <cellStyle name="表示済みのハイパーリンク" xfId="4542" builtinId="9" hidden="1"/>
    <cellStyle name="表示済みのハイパーリンク" xfId="4544" builtinId="9" hidden="1"/>
    <cellStyle name="表示済みのハイパーリンク" xfId="4546" builtinId="9" hidden="1"/>
    <cellStyle name="表示済みのハイパーリンク" xfId="4548" builtinId="9" hidden="1"/>
    <cellStyle name="表示済みのハイパーリンク" xfId="4550" builtinId="9" hidden="1"/>
    <cellStyle name="表示済みのハイパーリンク" xfId="4552" builtinId="9" hidden="1"/>
    <cellStyle name="表示済みのハイパーリンク" xfId="4554" builtinId="9" hidden="1"/>
    <cellStyle name="表示済みのハイパーリンク" xfId="4556" builtinId="9" hidden="1"/>
    <cellStyle name="表示済みのハイパーリンク" xfId="4558" builtinId="9" hidden="1"/>
    <cellStyle name="表示済みのハイパーリンク" xfId="4560" builtinId="9" hidden="1"/>
    <cellStyle name="表示済みのハイパーリンク" xfId="4562" builtinId="9" hidden="1"/>
    <cellStyle name="表示済みのハイパーリンク" xfId="4564" builtinId="9" hidden="1"/>
    <cellStyle name="表示済みのハイパーリンク" xfId="4566" builtinId="9" hidden="1"/>
    <cellStyle name="表示済みのハイパーリンク" xfId="4568" builtinId="9" hidden="1"/>
    <cellStyle name="表示済みのハイパーリンク" xfId="4570" builtinId="9" hidden="1"/>
    <cellStyle name="表示済みのハイパーリンク" xfId="4572" builtinId="9" hidden="1"/>
    <cellStyle name="表示済みのハイパーリンク" xfId="4574" builtinId="9" hidden="1"/>
    <cellStyle name="表示済みのハイパーリンク" xfId="4576" builtinId="9" hidden="1"/>
    <cellStyle name="表示済みのハイパーリンク" xfId="4578" builtinId="9" hidden="1"/>
    <cellStyle name="表示済みのハイパーリンク" xfId="4580" builtinId="9" hidden="1"/>
    <cellStyle name="表示済みのハイパーリンク" xfId="4582" builtinId="9" hidden="1"/>
    <cellStyle name="表示済みのハイパーリンク" xfId="4584" builtinId="9" hidden="1"/>
    <cellStyle name="表示済みのハイパーリンク" xfId="4586" builtinId="9" hidden="1"/>
    <cellStyle name="表示済みのハイパーリンク" xfId="4588" builtinId="9" hidden="1"/>
    <cellStyle name="表示済みのハイパーリンク" xfId="4590" builtinId="9" hidden="1"/>
    <cellStyle name="表示済みのハイパーリンク" xfId="4592" builtinId="9" hidden="1"/>
    <cellStyle name="表示済みのハイパーリンク" xfId="4594" builtinId="9" hidden="1"/>
    <cellStyle name="表示済みのハイパーリンク" xfId="4596" builtinId="9" hidden="1"/>
    <cellStyle name="表示済みのハイパーリンク" xfId="4598" builtinId="9" hidden="1"/>
    <cellStyle name="表示済みのハイパーリンク" xfId="4600" builtinId="9" hidden="1"/>
    <cellStyle name="表示済みのハイパーリンク" xfId="4602" builtinId="9" hidden="1"/>
    <cellStyle name="表示済みのハイパーリンク" xfId="4604" builtinId="9" hidden="1"/>
    <cellStyle name="表示済みのハイパーリンク" xfId="4606" builtinId="9" hidden="1"/>
    <cellStyle name="表示済みのハイパーリンク" xfId="4608" builtinId="9" hidden="1"/>
    <cellStyle name="表示済みのハイパーリンク" xfId="4610" builtinId="9" hidden="1"/>
    <cellStyle name="表示済みのハイパーリンク" xfId="4612" builtinId="9" hidden="1"/>
    <cellStyle name="表示済みのハイパーリンク" xfId="4614" builtinId="9" hidden="1"/>
    <cellStyle name="表示済みのハイパーリンク" xfId="4616" builtinId="9" hidden="1"/>
    <cellStyle name="表示済みのハイパーリンク" xfId="4618" builtinId="9" hidden="1"/>
    <cellStyle name="表示済みのハイパーリンク" xfId="4620" builtinId="9" hidden="1"/>
    <cellStyle name="表示済みのハイパーリンク" xfId="4622" builtinId="9" hidden="1"/>
    <cellStyle name="表示済みのハイパーリンク" xfId="4624" builtinId="9" hidden="1"/>
    <cellStyle name="表示済みのハイパーリンク" xfId="4626" builtinId="9" hidden="1"/>
    <cellStyle name="表示済みのハイパーリンク" xfId="4628" builtinId="9" hidden="1"/>
    <cellStyle name="表示済みのハイパーリンク" xfId="4630" builtinId="9" hidden="1"/>
    <cellStyle name="表示済みのハイパーリンク" xfId="4632" builtinId="9" hidden="1"/>
    <cellStyle name="表示済みのハイパーリンク" xfId="4634" builtinId="9" hidden="1"/>
    <cellStyle name="表示済みのハイパーリンク" xfId="4636" builtinId="9" hidden="1"/>
    <cellStyle name="表示済みのハイパーリンク" xfId="4638" builtinId="9" hidden="1"/>
    <cellStyle name="表示済みのハイパーリンク" xfId="4640" builtinId="9" hidden="1"/>
    <cellStyle name="表示済みのハイパーリンク" xfId="4642" builtinId="9" hidden="1"/>
    <cellStyle name="表示済みのハイパーリンク" xfId="4644" builtinId="9" hidden="1"/>
    <cellStyle name="表示済みのハイパーリンク" xfId="4646" builtinId="9" hidden="1"/>
    <cellStyle name="表示済みのハイパーリンク" xfId="4648" builtinId="9" hidden="1"/>
    <cellStyle name="表示済みのハイパーリンク" xfId="4650" builtinId="9" hidden="1"/>
    <cellStyle name="表示済みのハイパーリンク" xfId="4652" builtinId="9" hidden="1"/>
    <cellStyle name="表示済みのハイパーリンク" xfId="4654" builtinId="9" hidden="1"/>
    <cellStyle name="表示済みのハイパーリンク" xfId="4656" builtinId="9" hidden="1"/>
    <cellStyle name="表示済みのハイパーリンク" xfId="4658" builtinId="9" hidden="1"/>
    <cellStyle name="表示済みのハイパーリンク" xfId="4660" builtinId="9" hidden="1"/>
    <cellStyle name="表示済みのハイパーリンク" xfId="4662" builtinId="9" hidden="1"/>
    <cellStyle name="表示済みのハイパーリンク" xfId="4664" builtinId="9" hidden="1"/>
    <cellStyle name="表示済みのハイパーリンク" xfId="4666" builtinId="9" hidden="1"/>
    <cellStyle name="表示済みのハイパーリンク" xfId="4668" builtinId="9" hidden="1"/>
    <cellStyle name="表示済みのハイパーリンク" xfId="4670" builtinId="9" hidden="1"/>
    <cellStyle name="表示済みのハイパーリンク" xfId="4672" builtinId="9" hidden="1"/>
    <cellStyle name="表示済みのハイパーリンク" xfId="4674" builtinId="9" hidden="1"/>
    <cellStyle name="表示済みのハイパーリンク" xfId="4676" builtinId="9" hidden="1"/>
    <cellStyle name="表示済みのハイパーリンク" xfId="4678" builtinId="9" hidden="1"/>
    <cellStyle name="表示済みのハイパーリンク" xfId="4680" builtinId="9" hidden="1"/>
    <cellStyle name="表示済みのハイパーリンク" xfId="4682" builtinId="9" hidden="1"/>
    <cellStyle name="表示済みのハイパーリンク" xfId="4684" builtinId="9" hidden="1"/>
    <cellStyle name="表示済みのハイパーリンク" xfId="4686" builtinId="9" hidden="1"/>
    <cellStyle name="表示済みのハイパーリンク" xfId="4688" builtinId="9" hidden="1"/>
    <cellStyle name="表示済みのハイパーリンク" xfId="4690" builtinId="9" hidden="1"/>
    <cellStyle name="表示済みのハイパーリンク" xfId="4692" builtinId="9" hidden="1"/>
    <cellStyle name="表示済みのハイパーリンク" xfId="4694" builtinId="9" hidden="1"/>
    <cellStyle name="表示済みのハイパーリンク" xfId="4696" builtinId="9" hidden="1"/>
    <cellStyle name="表示済みのハイパーリンク" xfId="4698" builtinId="9" hidden="1"/>
    <cellStyle name="表示済みのハイパーリンク" xfId="4700" builtinId="9" hidden="1"/>
    <cellStyle name="表示済みのハイパーリンク" xfId="4702" builtinId="9" hidden="1"/>
    <cellStyle name="表示済みのハイパーリンク" xfId="4704" builtinId="9" hidden="1"/>
    <cellStyle name="表示済みのハイパーリンク" xfId="4706" builtinId="9" hidden="1"/>
    <cellStyle name="表示済みのハイパーリンク" xfId="4708" builtinId="9" hidden="1"/>
    <cellStyle name="表示済みのハイパーリンク" xfId="4710" builtinId="9" hidden="1"/>
    <cellStyle name="表示済みのハイパーリンク" xfId="4712" builtinId="9" hidden="1"/>
    <cellStyle name="表示済みのハイパーリンク" xfId="4714" builtinId="9" hidden="1"/>
    <cellStyle name="表示済みのハイパーリンク" xfId="4716" builtinId="9" hidden="1"/>
    <cellStyle name="表示済みのハイパーリンク" xfId="4718" builtinId="9" hidden="1"/>
    <cellStyle name="表示済みのハイパーリンク" xfId="4720" builtinId="9" hidden="1"/>
    <cellStyle name="表示済みのハイパーリンク" xfId="4722" builtinId="9" hidden="1"/>
    <cellStyle name="表示済みのハイパーリンク" xfId="4724" builtinId="9" hidden="1"/>
    <cellStyle name="表示済みのハイパーリンク" xfId="4726" builtinId="9" hidden="1"/>
    <cellStyle name="表示済みのハイパーリンク" xfId="4728" builtinId="9" hidden="1"/>
    <cellStyle name="表示済みのハイパーリンク" xfId="4730" builtinId="9" hidden="1"/>
    <cellStyle name="表示済みのハイパーリンク" xfId="4732" builtinId="9" hidden="1"/>
    <cellStyle name="表示済みのハイパーリンク" xfId="4734" builtinId="9" hidden="1"/>
    <cellStyle name="表示済みのハイパーリンク" xfId="4736" builtinId="9" hidden="1"/>
    <cellStyle name="表示済みのハイパーリンク" xfId="4738" builtinId="9" hidden="1"/>
    <cellStyle name="表示済みのハイパーリンク" xfId="4740" builtinId="9" hidden="1"/>
    <cellStyle name="表示済みのハイパーリンク" xfId="4742" builtinId="9" hidden="1"/>
    <cellStyle name="表示済みのハイパーリンク" xfId="4744" builtinId="9" hidden="1"/>
    <cellStyle name="表示済みのハイパーリンク" xfId="4746" builtinId="9" hidden="1"/>
    <cellStyle name="表示済みのハイパーリンク" xfId="4748" builtinId="9" hidden="1"/>
    <cellStyle name="表示済みのハイパーリンク" xfId="4750" builtinId="9" hidden="1"/>
    <cellStyle name="表示済みのハイパーリンク" xfId="4752" builtinId="9" hidden="1"/>
    <cellStyle name="表示済みのハイパーリンク" xfId="4754" builtinId="9" hidden="1"/>
    <cellStyle name="表示済みのハイパーリンク" xfId="4756" builtinId="9" hidden="1"/>
    <cellStyle name="表示済みのハイパーリンク" xfId="4758" builtinId="9" hidden="1"/>
    <cellStyle name="表示済みのハイパーリンク" xfId="4760" builtinId="9" hidden="1"/>
    <cellStyle name="表示済みのハイパーリンク" xfId="4762" builtinId="9" hidden="1"/>
    <cellStyle name="表示済みのハイパーリンク" xfId="4764" builtinId="9" hidden="1"/>
    <cellStyle name="表示済みのハイパーリンク" xfId="4766" builtinId="9" hidden="1"/>
    <cellStyle name="表示済みのハイパーリンク" xfId="4768" builtinId="9" hidden="1"/>
    <cellStyle name="表示済みのハイパーリンク" xfId="4770" builtinId="9" hidden="1"/>
    <cellStyle name="表示済みのハイパーリンク" xfId="4772" builtinId="9" hidden="1"/>
    <cellStyle name="表示済みのハイパーリンク" xfId="4774" builtinId="9" hidden="1"/>
    <cellStyle name="表示済みのハイパーリンク" xfId="4776" builtinId="9" hidden="1"/>
    <cellStyle name="表示済みのハイパーリンク" xfId="4778" builtinId="9" hidden="1"/>
    <cellStyle name="表示済みのハイパーリンク" xfId="4780" builtinId="9" hidden="1"/>
    <cellStyle name="表示済みのハイパーリンク" xfId="4782" builtinId="9" hidden="1"/>
    <cellStyle name="表示済みのハイパーリンク" xfId="4784" builtinId="9" hidden="1"/>
    <cellStyle name="赤字強調" xfId="5"/>
    <cellStyle name="青字強調" xfId="4"/>
  </cellStyles>
  <dxfs count="24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6D65E5"/>
      <color rgb="FF7F78E5"/>
      <color rgb="FF8D85F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externalLink" Target="externalLinks/externalLink2.xml"/><Relationship Id="rId1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unit_material_exp!$B$2:$B$100</c:f>
              <c:numCache>
                <c:formatCode>General</c:formatCode>
                <c:ptCount val="99"/>
                <c:pt idx="0">
                  <c:v>0.0</c:v>
                </c:pt>
                <c:pt idx="1">
                  <c:v>51.0</c:v>
                </c:pt>
                <c:pt idx="2">
                  <c:v>90.0</c:v>
                </c:pt>
                <c:pt idx="3">
                  <c:v>129.0</c:v>
                </c:pt>
                <c:pt idx="4">
                  <c:v>167.0</c:v>
                </c:pt>
                <c:pt idx="5">
                  <c:v>205.0</c:v>
                </c:pt>
                <c:pt idx="6">
                  <c:v>243.0</c:v>
                </c:pt>
                <c:pt idx="7">
                  <c:v>280.0</c:v>
                </c:pt>
                <c:pt idx="8">
                  <c:v>317.0</c:v>
                </c:pt>
                <c:pt idx="9">
                  <c:v>353.0</c:v>
                </c:pt>
                <c:pt idx="10">
                  <c:v>389.0</c:v>
                </c:pt>
                <c:pt idx="11">
                  <c:v>425.0</c:v>
                </c:pt>
                <c:pt idx="12">
                  <c:v>460.0</c:v>
                </c:pt>
                <c:pt idx="13">
                  <c:v>495.0</c:v>
                </c:pt>
                <c:pt idx="14">
                  <c:v>529.0</c:v>
                </c:pt>
                <c:pt idx="15">
                  <c:v>563.0</c:v>
                </c:pt>
                <c:pt idx="16">
                  <c:v>597.0</c:v>
                </c:pt>
                <c:pt idx="17">
                  <c:v>630.0</c:v>
                </c:pt>
                <c:pt idx="18">
                  <c:v>663.0</c:v>
                </c:pt>
                <c:pt idx="19">
                  <c:v>695.0</c:v>
                </c:pt>
                <c:pt idx="20">
                  <c:v>727.0</c:v>
                </c:pt>
                <c:pt idx="21">
                  <c:v>759.0</c:v>
                </c:pt>
                <c:pt idx="22">
                  <c:v>790.0</c:v>
                </c:pt>
                <c:pt idx="23">
                  <c:v>821.0</c:v>
                </c:pt>
                <c:pt idx="24">
                  <c:v>851.0</c:v>
                </c:pt>
                <c:pt idx="25">
                  <c:v>881.0</c:v>
                </c:pt>
                <c:pt idx="26">
                  <c:v>911.0</c:v>
                </c:pt>
                <c:pt idx="27">
                  <c:v>940.0</c:v>
                </c:pt>
                <c:pt idx="28">
                  <c:v>969.0</c:v>
                </c:pt>
                <c:pt idx="29">
                  <c:v>997.0</c:v>
                </c:pt>
                <c:pt idx="30" formatCode="#,##0">
                  <c:v>1025.0</c:v>
                </c:pt>
                <c:pt idx="31" formatCode="#,##0">
                  <c:v>1053.0</c:v>
                </c:pt>
                <c:pt idx="32" formatCode="#,##0">
                  <c:v>1080.0</c:v>
                </c:pt>
                <c:pt idx="33" formatCode="#,##0">
                  <c:v>1107.0</c:v>
                </c:pt>
                <c:pt idx="34" formatCode="#,##0">
                  <c:v>1133.0</c:v>
                </c:pt>
                <c:pt idx="35" formatCode="#,##0">
                  <c:v>1159.0</c:v>
                </c:pt>
                <c:pt idx="36" formatCode="#,##0">
                  <c:v>1185.0</c:v>
                </c:pt>
                <c:pt idx="37" formatCode="#,##0">
                  <c:v>1210.0</c:v>
                </c:pt>
                <c:pt idx="38" formatCode="#,##0">
                  <c:v>1235.0</c:v>
                </c:pt>
                <c:pt idx="39" formatCode="#,##0">
                  <c:v>1259.0</c:v>
                </c:pt>
                <c:pt idx="40" formatCode="#,##0">
                  <c:v>1283.0</c:v>
                </c:pt>
                <c:pt idx="41" formatCode="#,##0">
                  <c:v>1307.0</c:v>
                </c:pt>
                <c:pt idx="42" formatCode="#,##0">
                  <c:v>1330.0</c:v>
                </c:pt>
                <c:pt idx="43" formatCode="#,##0">
                  <c:v>1353.0</c:v>
                </c:pt>
                <c:pt idx="44" formatCode="#,##0">
                  <c:v>1375.0</c:v>
                </c:pt>
                <c:pt idx="45" formatCode="#,##0">
                  <c:v>1397.0</c:v>
                </c:pt>
                <c:pt idx="46" formatCode="#,##0">
                  <c:v>1419.0</c:v>
                </c:pt>
                <c:pt idx="47" formatCode="#,##0">
                  <c:v>1440.0</c:v>
                </c:pt>
                <c:pt idx="48" formatCode="#,##0">
                  <c:v>1461.0</c:v>
                </c:pt>
                <c:pt idx="49" formatCode="#,##0">
                  <c:v>1481.0</c:v>
                </c:pt>
                <c:pt idx="50" formatCode="#,##0">
                  <c:v>1501.0</c:v>
                </c:pt>
                <c:pt idx="51" formatCode="#,##0">
                  <c:v>1521.0</c:v>
                </c:pt>
                <c:pt idx="52" formatCode="#,##0">
                  <c:v>1540.0</c:v>
                </c:pt>
                <c:pt idx="53" formatCode="#,##0">
                  <c:v>1559.0</c:v>
                </c:pt>
                <c:pt idx="54" formatCode="#,##0">
                  <c:v>1577.0</c:v>
                </c:pt>
                <c:pt idx="55" formatCode="#,##0">
                  <c:v>1595.0</c:v>
                </c:pt>
                <c:pt idx="56" formatCode="#,##0">
                  <c:v>1613.0</c:v>
                </c:pt>
                <c:pt idx="57" formatCode="#,##0">
                  <c:v>1630.0</c:v>
                </c:pt>
                <c:pt idx="58" formatCode="#,##0">
                  <c:v>1647.0</c:v>
                </c:pt>
                <c:pt idx="59" formatCode="#,##0">
                  <c:v>1663.0</c:v>
                </c:pt>
                <c:pt idx="60" formatCode="#,##0">
                  <c:v>1679.0</c:v>
                </c:pt>
                <c:pt idx="61" formatCode="#,##0">
                  <c:v>1695.0</c:v>
                </c:pt>
                <c:pt idx="62" formatCode="#,##0">
                  <c:v>1710.0</c:v>
                </c:pt>
                <c:pt idx="63" formatCode="#,##0">
                  <c:v>1725.0</c:v>
                </c:pt>
                <c:pt idx="64" formatCode="#,##0">
                  <c:v>1739.0</c:v>
                </c:pt>
                <c:pt idx="65" formatCode="#,##0">
                  <c:v>1753.0</c:v>
                </c:pt>
                <c:pt idx="66" formatCode="#,##0">
                  <c:v>1767.0</c:v>
                </c:pt>
                <c:pt idx="67" formatCode="#,##0">
                  <c:v>1780.0</c:v>
                </c:pt>
                <c:pt idx="68" formatCode="#,##0">
                  <c:v>1793.0</c:v>
                </c:pt>
                <c:pt idx="69" formatCode="#,##0">
                  <c:v>1805.0</c:v>
                </c:pt>
                <c:pt idx="70" formatCode="#,##0">
                  <c:v>1817.0</c:v>
                </c:pt>
                <c:pt idx="71" formatCode="#,##0">
                  <c:v>1829.0</c:v>
                </c:pt>
                <c:pt idx="72" formatCode="#,##0">
                  <c:v>1840.0</c:v>
                </c:pt>
                <c:pt idx="73" formatCode="#,##0">
                  <c:v>1851.0</c:v>
                </c:pt>
                <c:pt idx="74" formatCode="#,##0">
                  <c:v>1861.0</c:v>
                </c:pt>
                <c:pt idx="75" formatCode="#,##0">
                  <c:v>1871.0</c:v>
                </c:pt>
                <c:pt idx="76" formatCode="#,##0">
                  <c:v>1881.0</c:v>
                </c:pt>
                <c:pt idx="77" formatCode="#,##0">
                  <c:v>1890.0</c:v>
                </c:pt>
                <c:pt idx="78" formatCode="#,##0">
                  <c:v>1899.0</c:v>
                </c:pt>
                <c:pt idx="79" formatCode="#,##0">
                  <c:v>1907.0</c:v>
                </c:pt>
                <c:pt idx="80" formatCode="#,##0">
                  <c:v>1915.0</c:v>
                </c:pt>
                <c:pt idx="81" formatCode="#,##0">
                  <c:v>1923.0</c:v>
                </c:pt>
                <c:pt idx="82" formatCode="#,##0">
                  <c:v>1930.0</c:v>
                </c:pt>
                <c:pt idx="83" formatCode="#,##0">
                  <c:v>1937.0</c:v>
                </c:pt>
                <c:pt idx="84" formatCode="#,##0">
                  <c:v>1943.0</c:v>
                </c:pt>
                <c:pt idx="85" formatCode="#,##0">
                  <c:v>1949.0</c:v>
                </c:pt>
                <c:pt idx="86" formatCode="#,##0">
                  <c:v>1955.0</c:v>
                </c:pt>
                <c:pt idx="87" formatCode="#,##0">
                  <c:v>1960.0</c:v>
                </c:pt>
                <c:pt idx="88" formatCode="#,##0">
                  <c:v>1965.0</c:v>
                </c:pt>
                <c:pt idx="89" formatCode="#,##0">
                  <c:v>1969.0</c:v>
                </c:pt>
                <c:pt idx="90" formatCode="#,##0">
                  <c:v>1973.0</c:v>
                </c:pt>
                <c:pt idx="91" formatCode="#,##0">
                  <c:v>1977.0</c:v>
                </c:pt>
                <c:pt idx="92" formatCode="#,##0">
                  <c:v>1980.0</c:v>
                </c:pt>
                <c:pt idx="93" formatCode="#,##0">
                  <c:v>1983.0</c:v>
                </c:pt>
                <c:pt idx="94" formatCode="#,##0">
                  <c:v>1985.0</c:v>
                </c:pt>
                <c:pt idx="95" formatCode="#,##0">
                  <c:v>1987.0</c:v>
                </c:pt>
                <c:pt idx="96" formatCode="#,##0">
                  <c:v>1989.0</c:v>
                </c:pt>
                <c:pt idx="97" formatCode="#,##0">
                  <c:v>1990.0</c:v>
                </c:pt>
                <c:pt idx="98" formatCode="#,##0">
                  <c:v>1991.0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0580992"/>
        <c:axId val="1230582768"/>
      </c:lineChart>
      <c:catAx>
        <c:axId val="1230580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1230582768"/>
        <c:crosses val="autoZero"/>
        <c:auto val="1"/>
        <c:lblAlgn val="ctr"/>
        <c:lblOffset val="100"/>
        <c:noMultiLvlLbl val="0"/>
      </c:catAx>
      <c:valAx>
        <c:axId val="123058276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123058099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24021784421247"/>
          <c:y val="0.379630058718147"/>
          <c:w val="0.159217768515292"/>
          <c:h val="0.18518539449665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/>
    <c:pageMargins b="1.0" l="0.75" r="0.75" t="1.0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unit_soldprice_rate!$B$2:$B$100</c:f>
              <c:numCache>
                <c:formatCode>General</c:formatCode>
                <c:ptCount val="99"/>
                <c:pt idx="0">
                  <c:v>1.0</c:v>
                </c:pt>
                <c:pt idx="1">
                  <c:v>1.01</c:v>
                </c:pt>
                <c:pt idx="2">
                  <c:v>1.02</c:v>
                </c:pt>
                <c:pt idx="3">
                  <c:v>1.03</c:v>
                </c:pt>
                <c:pt idx="4">
                  <c:v>1.04</c:v>
                </c:pt>
                <c:pt idx="5">
                  <c:v>1.05</c:v>
                </c:pt>
                <c:pt idx="6">
                  <c:v>1.06</c:v>
                </c:pt>
                <c:pt idx="7">
                  <c:v>1.07</c:v>
                </c:pt>
                <c:pt idx="8">
                  <c:v>1.08</c:v>
                </c:pt>
                <c:pt idx="9">
                  <c:v>1.09</c:v>
                </c:pt>
                <c:pt idx="10">
                  <c:v>1.1</c:v>
                </c:pt>
                <c:pt idx="11">
                  <c:v>1.11</c:v>
                </c:pt>
                <c:pt idx="12">
                  <c:v>1.12</c:v>
                </c:pt>
                <c:pt idx="13">
                  <c:v>1.13</c:v>
                </c:pt>
                <c:pt idx="14">
                  <c:v>1.14</c:v>
                </c:pt>
                <c:pt idx="15">
                  <c:v>1.15</c:v>
                </c:pt>
                <c:pt idx="16">
                  <c:v>1.16</c:v>
                </c:pt>
                <c:pt idx="17">
                  <c:v>1.17</c:v>
                </c:pt>
                <c:pt idx="18">
                  <c:v>1.18</c:v>
                </c:pt>
                <c:pt idx="19">
                  <c:v>1.19</c:v>
                </c:pt>
                <c:pt idx="20">
                  <c:v>1.2</c:v>
                </c:pt>
                <c:pt idx="21">
                  <c:v>1.21</c:v>
                </c:pt>
                <c:pt idx="22">
                  <c:v>1.22</c:v>
                </c:pt>
                <c:pt idx="23">
                  <c:v>1.23</c:v>
                </c:pt>
                <c:pt idx="24">
                  <c:v>1.24</c:v>
                </c:pt>
                <c:pt idx="25">
                  <c:v>1.25</c:v>
                </c:pt>
                <c:pt idx="26">
                  <c:v>1.26</c:v>
                </c:pt>
                <c:pt idx="27">
                  <c:v>1.27</c:v>
                </c:pt>
                <c:pt idx="28">
                  <c:v>1.28</c:v>
                </c:pt>
                <c:pt idx="29">
                  <c:v>1.29</c:v>
                </c:pt>
                <c:pt idx="30">
                  <c:v>1.3</c:v>
                </c:pt>
                <c:pt idx="31">
                  <c:v>1.31</c:v>
                </c:pt>
                <c:pt idx="32">
                  <c:v>1.32</c:v>
                </c:pt>
                <c:pt idx="33">
                  <c:v>1.33</c:v>
                </c:pt>
                <c:pt idx="34">
                  <c:v>1.34</c:v>
                </c:pt>
                <c:pt idx="35">
                  <c:v>1.35</c:v>
                </c:pt>
                <c:pt idx="36">
                  <c:v>1.36</c:v>
                </c:pt>
                <c:pt idx="37">
                  <c:v>1.37</c:v>
                </c:pt>
                <c:pt idx="38">
                  <c:v>1.38</c:v>
                </c:pt>
                <c:pt idx="39">
                  <c:v>1.39</c:v>
                </c:pt>
                <c:pt idx="40">
                  <c:v>1.4</c:v>
                </c:pt>
                <c:pt idx="41">
                  <c:v>1.41</c:v>
                </c:pt>
                <c:pt idx="42">
                  <c:v>1.42</c:v>
                </c:pt>
                <c:pt idx="43">
                  <c:v>1.43</c:v>
                </c:pt>
                <c:pt idx="44">
                  <c:v>1.44</c:v>
                </c:pt>
                <c:pt idx="45">
                  <c:v>1.45</c:v>
                </c:pt>
                <c:pt idx="46">
                  <c:v>1.46</c:v>
                </c:pt>
                <c:pt idx="47">
                  <c:v>1.47</c:v>
                </c:pt>
                <c:pt idx="48">
                  <c:v>1.48</c:v>
                </c:pt>
                <c:pt idx="49">
                  <c:v>1.49</c:v>
                </c:pt>
                <c:pt idx="50">
                  <c:v>1.5</c:v>
                </c:pt>
                <c:pt idx="51">
                  <c:v>1.51</c:v>
                </c:pt>
                <c:pt idx="52">
                  <c:v>1.52</c:v>
                </c:pt>
                <c:pt idx="53">
                  <c:v>1.53</c:v>
                </c:pt>
                <c:pt idx="54">
                  <c:v>1.54</c:v>
                </c:pt>
                <c:pt idx="55">
                  <c:v>1.55</c:v>
                </c:pt>
                <c:pt idx="56">
                  <c:v>1.56</c:v>
                </c:pt>
                <c:pt idx="57">
                  <c:v>1.57</c:v>
                </c:pt>
                <c:pt idx="58">
                  <c:v>1.58</c:v>
                </c:pt>
                <c:pt idx="59">
                  <c:v>1.59</c:v>
                </c:pt>
                <c:pt idx="60">
                  <c:v>1.6</c:v>
                </c:pt>
                <c:pt idx="61">
                  <c:v>1.61</c:v>
                </c:pt>
                <c:pt idx="62">
                  <c:v>1.62</c:v>
                </c:pt>
                <c:pt idx="63">
                  <c:v>1.63</c:v>
                </c:pt>
                <c:pt idx="64">
                  <c:v>1.64</c:v>
                </c:pt>
                <c:pt idx="65">
                  <c:v>1.65</c:v>
                </c:pt>
                <c:pt idx="66">
                  <c:v>1.66</c:v>
                </c:pt>
                <c:pt idx="67">
                  <c:v>1.67</c:v>
                </c:pt>
                <c:pt idx="68">
                  <c:v>1.68</c:v>
                </c:pt>
                <c:pt idx="69">
                  <c:v>1.69</c:v>
                </c:pt>
                <c:pt idx="70">
                  <c:v>1.7</c:v>
                </c:pt>
                <c:pt idx="71">
                  <c:v>1.71</c:v>
                </c:pt>
                <c:pt idx="72">
                  <c:v>1.72</c:v>
                </c:pt>
                <c:pt idx="73">
                  <c:v>1.73</c:v>
                </c:pt>
                <c:pt idx="74">
                  <c:v>1.74</c:v>
                </c:pt>
                <c:pt idx="75">
                  <c:v>1.75</c:v>
                </c:pt>
                <c:pt idx="76">
                  <c:v>1.76</c:v>
                </c:pt>
                <c:pt idx="77">
                  <c:v>1.77</c:v>
                </c:pt>
                <c:pt idx="78">
                  <c:v>1.78</c:v>
                </c:pt>
                <c:pt idx="79">
                  <c:v>1.79</c:v>
                </c:pt>
                <c:pt idx="80">
                  <c:v>1.8</c:v>
                </c:pt>
                <c:pt idx="81">
                  <c:v>1.81</c:v>
                </c:pt>
                <c:pt idx="82">
                  <c:v>1.82</c:v>
                </c:pt>
                <c:pt idx="83">
                  <c:v>1.83</c:v>
                </c:pt>
                <c:pt idx="84">
                  <c:v>1.84</c:v>
                </c:pt>
                <c:pt idx="85">
                  <c:v>1.85</c:v>
                </c:pt>
                <c:pt idx="86">
                  <c:v>1.86</c:v>
                </c:pt>
                <c:pt idx="87">
                  <c:v>1.87</c:v>
                </c:pt>
                <c:pt idx="88">
                  <c:v>1.88</c:v>
                </c:pt>
                <c:pt idx="89">
                  <c:v>1.89</c:v>
                </c:pt>
                <c:pt idx="90">
                  <c:v>1.9</c:v>
                </c:pt>
                <c:pt idx="91">
                  <c:v>1.91</c:v>
                </c:pt>
                <c:pt idx="92">
                  <c:v>1.92</c:v>
                </c:pt>
                <c:pt idx="93">
                  <c:v>1.93</c:v>
                </c:pt>
                <c:pt idx="94">
                  <c:v>1.94</c:v>
                </c:pt>
                <c:pt idx="95">
                  <c:v>1.95</c:v>
                </c:pt>
                <c:pt idx="96">
                  <c:v>1.96</c:v>
                </c:pt>
                <c:pt idx="97">
                  <c:v>1.97</c:v>
                </c:pt>
                <c:pt idx="98">
                  <c:v>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0931360"/>
        <c:axId val="1260933680"/>
      </c:lineChart>
      <c:catAx>
        <c:axId val="126093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1260933680"/>
        <c:crosses val="autoZero"/>
        <c:auto val="1"/>
        <c:lblAlgn val="ctr"/>
        <c:lblOffset val="100"/>
        <c:noMultiLvlLbl val="0"/>
      </c:catAx>
      <c:valAx>
        <c:axId val="126093368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126093136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24021784421247"/>
          <c:y val="0.379630058718147"/>
          <c:w val="0.159217768515292"/>
          <c:h val="0.18518539449665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163443</xdr:colOff>
      <xdr:row>1</xdr:row>
      <xdr:rowOff>124792</xdr:rowOff>
    </xdr:from>
    <xdr:to>
      <xdr:col>6</xdr:col>
      <xdr:colOff>803412</xdr:colOff>
      <xdr:row>11</xdr:row>
      <xdr:rowOff>200992</xdr:rowOff>
    </xdr:to>
    <xdr:graphicFrame macro="">
      <xdr:nvGraphicFramePr>
        <xdr:cNvPr id="2421078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130313</xdr:colOff>
      <xdr:row>1</xdr:row>
      <xdr:rowOff>146879</xdr:rowOff>
    </xdr:from>
    <xdr:to>
      <xdr:col>6</xdr:col>
      <xdr:colOff>770282</xdr:colOff>
      <xdr:row>11</xdr:row>
      <xdr:rowOff>223079</xdr:rowOff>
    </xdr:to>
    <xdr:graphicFrame macro="">
      <xdr:nvGraphicFramePr>
        <xdr:cNvPr id="2423126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itSkill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ユニットスキル仕様"/>
      <sheetName val="unit_skills"/>
      <sheetName val="unit_skill_up_patterns"/>
      <sheetName val="クラッシュスキル仕様"/>
      <sheetName val="crash_skills"/>
      <sheetName val="スキルラベル"/>
    </sheetNames>
    <sheetDataSet>
      <sheetData sheetId="0"/>
      <sheetData sheetId="1"/>
      <sheetData sheetId="2">
        <row r="1">
          <cell r="A1" t="str">
            <v>unit_skill_id</v>
          </cell>
          <cell r="B1" t="str">
            <v>language</v>
          </cell>
          <cell r="C1" t="str">
            <v>name</v>
          </cell>
          <cell r="D1" t="str">
            <v>comment</v>
          </cell>
          <cell r="E1" t="str">
            <v>文字数</v>
          </cell>
          <cell r="F1" t="str">
            <v>skill_cost</v>
          </cell>
          <cell r="G1" t="str">
            <v>max_level</v>
          </cell>
          <cell r="H1" t="str">
            <v>skill_up_pattern_id</v>
          </cell>
          <cell r="I1" t="str">
            <v>割り当てユニット</v>
          </cell>
          <cell r="J1" t="str">
            <v>rare</v>
          </cell>
          <cell r="K1" t="str">
            <v>effect_param</v>
          </cell>
          <cell r="L1" t="str">
            <v>valid_flg</v>
          </cell>
          <cell r="M1" t="str">
            <v>ダメージ</v>
          </cell>
          <cell r="N1" t="str">
            <v>回復</v>
          </cell>
          <cell r="O1" t="str">
            <v>バフ</v>
          </cell>
          <cell r="P1" t="str">
            <v>デバフ</v>
          </cell>
          <cell r="Q1" t="str">
            <v>パズル</v>
          </cell>
          <cell r="R1" t="str">
            <v>その他</v>
          </cell>
          <cell r="S1" t="str">
            <v>分類2</v>
          </cell>
          <cell r="T1" t="str">
            <v>属性</v>
          </cell>
          <cell r="U1" t="str">
            <v>種族</v>
          </cell>
          <cell r="V1" t="str">
            <v>等級</v>
          </cell>
        </row>
        <row r="2">
          <cell r="A2">
            <v>0</v>
          </cell>
        </row>
        <row r="3">
          <cell r="A3">
            <v>370</v>
          </cell>
        </row>
        <row r="4">
          <cell r="A4">
            <v>371</v>
          </cell>
        </row>
        <row r="5">
          <cell r="A5">
            <v>372</v>
          </cell>
        </row>
        <row r="6">
          <cell r="A6">
            <v>373</v>
          </cell>
        </row>
        <row r="7">
          <cell r="A7">
            <v>374</v>
          </cell>
        </row>
        <row r="8">
          <cell r="A8">
            <v>375</v>
          </cell>
        </row>
        <row r="9">
          <cell r="A9">
            <v>412</v>
          </cell>
        </row>
        <row r="10">
          <cell r="A10">
            <v>413</v>
          </cell>
        </row>
        <row r="11">
          <cell r="A11">
            <v>837</v>
          </cell>
        </row>
        <row r="12">
          <cell r="A12">
            <v>111001</v>
          </cell>
        </row>
        <row r="13">
          <cell r="A13">
            <v>111002</v>
          </cell>
        </row>
        <row r="14">
          <cell r="A14">
            <v>111003</v>
          </cell>
        </row>
        <row r="15">
          <cell r="A15">
            <v>111004</v>
          </cell>
        </row>
        <row r="16">
          <cell r="A16">
            <v>111005</v>
          </cell>
        </row>
        <row r="17">
          <cell r="A17">
            <v>111006</v>
          </cell>
        </row>
        <row r="18">
          <cell r="A18">
            <v>112001</v>
          </cell>
        </row>
        <row r="19">
          <cell r="A19">
            <v>112002</v>
          </cell>
        </row>
        <row r="20">
          <cell r="A20">
            <v>112003</v>
          </cell>
        </row>
        <row r="21">
          <cell r="A21">
            <v>112004</v>
          </cell>
        </row>
        <row r="22">
          <cell r="A22">
            <v>113001</v>
          </cell>
        </row>
        <row r="23">
          <cell r="A23">
            <v>113002</v>
          </cell>
        </row>
        <row r="24">
          <cell r="A24">
            <v>113003</v>
          </cell>
        </row>
        <row r="25">
          <cell r="A25">
            <v>113004</v>
          </cell>
        </row>
        <row r="26">
          <cell r="A26">
            <v>113005</v>
          </cell>
        </row>
        <row r="27">
          <cell r="A27">
            <v>113006</v>
          </cell>
        </row>
        <row r="28">
          <cell r="A28">
            <v>113007</v>
          </cell>
        </row>
        <row r="29">
          <cell r="A29">
            <v>113008</v>
          </cell>
        </row>
        <row r="30">
          <cell r="A30">
            <v>113009</v>
          </cell>
        </row>
        <row r="31">
          <cell r="A31">
            <v>114001</v>
          </cell>
        </row>
        <row r="32">
          <cell r="A32">
            <v>114002</v>
          </cell>
        </row>
        <row r="33">
          <cell r="A33">
            <v>114003</v>
          </cell>
        </row>
        <row r="34">
          <cell r="A34">
            <v>114004</v>
          </cell>
        </row>
        <row r="35">
          <cell r="A35">
            <v>114005</v>
          </cell>
        </row>
        <row r="36">
          <cell r="A36">
            <v>114006</v>
          </cell>
        </row>
        <row r="37">
          <cell r="A37">
            <v>114007</v>
          </cell>
        </row>
        <row r="38">
          <cell r="A38">
            <v>114008</v>
          </cell>
        </row>
        <row r="39">
          <cell r="A39">
            <v>114009</v>
          </cell>
        </row>
        <row r="40">
          <cell r="A40">
            <v>114010</v>
          </cell>
        </row>
        <row r="41">
          <cell r="A41">
            <v>121001</v>
          </cell>
        </row>
        <row r="42">
          <cell r="A42">
            <v>121002</v>
          </cell>
        </row>
        <row r="43">
          <cell r="A43">
            <v>121003</v>
          </cell>
        </row>
        <row r="44">
          <cell r="A44">
            <v>121004</v>
          </cell>
        </row>
        <row r="45">
          <cell r="A45">
            <v>121005</v>
          </cell>
        </row>
        <row r="46">
          <cell r="A46">
            <v>121006</v>
          </cell>
        </row>
        <row r="47">
          <cell r="A47">
            <v>121007</v>
          </cell>
        </row>
        <row r="48">
          <cell r="A48">
            <v>121011</v>
          </cell>
        </row>
        <row r="49">
          <cell r="A49">
            <v>121012</v>
          </cell>
        </row>
        <row r="50">
          <cell r="A50">
            <v>122001</v>
          </cell>
        </row>
        <row r="51">
          <cell r="A51">
            <v>122002</v>
          </cell>
        </row>
        <row r="52">
          <cell r="A52">
            <v>122003</v>
          </cell>
        </row>
        <row r="53">
          <cell r="A53">
            <v>122004</v>
          </cell>
        </row>
        <row r="54">
          <cell r="A54">
            <v>122005</v>
          </cell>
        </row>
        <row r="55">
          <cell r="A55">
            <v>123001</v>
          </cell>
        </row>
        <row r="56">
          <cell r="A56">
            <v>123002</v>
          </cell>
        </row>
        <row r="57">
          <cell r="A57">
            <v>123003</v>
          </cell>
        </row>
        <row r="58">
          <cell r="A58">
            <v>123004</v>
          </cell>
        </row>
        <row r="59">
          <cell r="A59">
            <v>124001</v>
          </cell>
        </row>
        <row r="60">
          <cell r="A60">
            <v>124002</v>
          </cell>
        </row>
        <row r="61">
          <cell r="A61">
            <v>124003</v>
          </cell>
        </row>
        <row r="62">
          <cell r="A62">
            <v>124004</v>
          </cell>
        </row>
        <row r="63">
          <cell r="A63">
            <v>124005</v>
          </cell>
        </row>
        <row r="64">
          <cell r="A64">
            <v>124006</v>
          </cell>
        </row>
        <row r="65">
          <cell r="A65">
            <v>124007</v>
          </cell>
        </row>
        <row r="66">
          <cell r="A66">
            <v>124008</v>
          </cell>
        </row>
        <row r="67">
          <cell r="A67">
            <v>124009</v>
          </cell>
        </row>
        <row r="68">
          <cell r="A68">
            <v>131001</v>
          </cell>
        </row>
        <row r="69">
          <cell r="A69">
            <v>131002</v>
          </cell>
        </row>
        <row r="70">
          <cell r="A70">
            <v>131003</v>
          </cell>
        </row>
        <row r="71">
          <cell r="A71">
            <v>131004</v>
          </cell>
        </row>
        <row r="72">
          <cell r="A72">
            <v>132001</v>
          </cell>
        </row>
        <row r="73">
          <cell r="A73">
            <v>132002</v>
          </cell>
        </row>
        <row r="74">
          <cell r="A74">
            <v>132003</v>
          </cell>
        </row>
        <row r="75">
          <cell r="A75">
            <v>132004</v>
          </cell>
        </row>
        <row r="76">
          <cell r="A76">
            <v>133001</v>
          </cell>
        </row>
        <row r="77">
          <cell r="A77">
            <v>133002</v>
          </cell>
        </row>
        <row r="78">
          <cell r="A78">
            <v>133003</v>
          </cell>
        </row>
        <row r="79">
          <cell r="A79">
            <v>133004</v>
          </cell>
        </row>
        <row r="80">
          <cell r="A80">
            <v>134001</v>
          </cell>
        </row>
        <row r="81">
          <cell r="A81">
            <v>134002</v>
          </cell>
        </row>
        <row r="82">
          <cell r="A82">
            <v>134003</v>
          </cell>
        </row>
        <row r="83">
          <cell r="A83">
            <v>134004</v>
          </cell>
        </row>
        <row r="84">
          <cell r="A84">
            <v>141001</v>
          </cell>
        </row>
        <row r="85">
          <cell r="A85">
            <v>141002</v>
          </cell>
        </row>
        <row r="86">
          <cell r="A86">
            <v>141003</v>
          </cell>
        </row>
        <row r="87">
          <cell r="A87">
            <v>142001</v>
          </cell>
        </row>
        <row r="88">
          <cell r="A88">
            <v>142002</v>
          </cell>
        </row>
        <row r="89">
          <cell r="A89">
            <v>142003</v>
          </cell>
        </row>
        <row r="90">
          <cell r="A90">
            <v>143001</v>
          </cell>
        </row>
        <row r="91">
          <cell r="A91">
            <v>143002</v>
          </cell>
        </row>
        <row r="92">
          <cell r="A92">
            <v>143003</v>
          </cell>
        </row>
        <row r="93">
          <cell r="A93">
            <v>144001</v>
          </cell>
        </row>
        <row r="94">
          <cell r="A94">
            <v>144002</v>
          </cell>
        </row>
        <row r="95">
          <cell r="A95">
            <v>144003</v>
          </cell>
        </row>
        <row r="96">
          <cell r="A96">
            <v>150001</v>
          </cell>
        </row>
        <row r="97">
          <cell r="A97">
            <v>150002</v>
          </cell>
        </row>
        <row r="98">
          <cell r="A98">
            <v>150003</v>
          </cell>
        </row>
        <row r="99">
          <cell r="A99">
            <v>150004</v>
          </cell>
        </row>
        <row r="100">
          <cell r="A100">
            <v>150005</v>
          </cell>
        </row>
        <row r="101">
          <cell r="A101">
            <v>160001</v>
          </cell>
        </row>
        <row r="102">
          <cell r="A102">
            <v>160002</v>
          </cell>
        </row>
        <row r="103">
          <cell r="A103">
            <v>160003</v>
          </cell>
        </row>
        <row r="104">
          <cell r="A104">
            <v>160004</v>
          </cell>
        </row>
        <row r="105">
          <cell r="A105">
            <v>160005</v>
          </cell>
        </row>
        <row r="106">
          <cell r="A106">
            <v>170001</v>
          </cell>
        </row>
        <row r="107">
          <cell r="A107">
            <v>170002</v>
          </cell>
        </row>
        <row r="108">
          <cell r="A108">
            <v>170003</v>
          </cell>
        </row>
        <row r="109">
          <cell r="A109">
            <v>170004</v>
          </cell>
        </row>
        <row r="110">
          <cell r="A110">
            <v>171001</v>
          </cell>
        </row>
        <row r="111">
          <cell r="A111">
            <v>181001</v>
          </cell>
        </row>
        <row r="112">
          <cell r="A112">
            <v>181002</v>
          </cell>
        </row>
        <row r="113">
          <cell r="A113">
            <v>181003</v>
          </cell>
        </row>
        <row r="114">
          <cell r="A114">
            <v>181101</v>
          </cell>
        </row>
        <row r="115">
          <cell r="A115">
            <v>200001</v>
          </cell>
        </row>
        <row r="116">
          <cell r="A116">
            <v>200002</v>
          </cell>
        </row>
        <row r="117">
          <cell r="A117">
            <v>200003</v>
          </cell>
        </row>
        <row r="118">
          <cell r="A118">
            <v>200004</v>
          </cell>
        </row>
        <row r="119">
          <cell r="A119">
            <v>200005</v>
          </cell>
        </row>
        <row r="120">
          <cell r="A120">
            <v>200006</v>
          </cell>
        </row>
        <row r="121">
          <cell r="A121">
            <v>200007</v>
          </cell>
        </row>
        <row r="122">
          <cell r="A122">
            <v>210001</v>
          </cell>
        </row>
        <row r="123">
          <cell r="A123">
            <v>210002</v>
          </cell>
        </row>
        <row r="124">
          <cell r="A124">
            <v>210003</v>
          </cell>
        </row>
        <row r="125">
          <cell r="A125">
            <v>210004</v>
          </cell>
        </row>
        <row r="126">
          <cell r="A126">
            <v>221001</v>
          </cell>
        </row>
        <row r="127">
          <cell r="A127">
            <v>221002</v>
          </cell>
        </row>
        <row r="128">
          <cell r="A128">
            <v>221003</v>
          </cell>
        </row>
        <row r="129">
          <cell r="A129">
            <v>221004</v>
          </cell>
        </row>
        <row r="130">
          <cell r="A130">
            <v>222001</v>
          </cell>
        </row>
        <row r="131">
          <cell r="A131">
            <v>222002</v>
          </cell>
        </row>
        <row r="132">
          <cell r="A132">
            <v>222003</v>
          </cell>
        </row>
        <row r="133">
          <cell r="A133">
            <v>222004</v>
          </cell>
        </row>
        <row r="134">
          <cell r="A134">
            <v>222005</v>
          </cell>
        </row>
        <row r="135">
          <cell r="A135">
            <v>222006</v>
          </cell>
        </row>
        <row r="136">
          <cell r="A136">
            <v>222007</v>
          </cell>
        </row>
        <row r="137">
          <cell r="A137">
            <v>222008</v>
          </cell>
        </row>
        <row r="138">
          <cell r="A138">
            <v>222009</v>
          </cell>
        </row>
        <row r="139">
          <cell r="A139">
            <v>222010</v>
          </cell>
        </row>
        <row r="140">
          <cell r="A140">
            <v>222011</v>
          </cell>
        </row>
        <row r="141">
          <cell r="A141">
            <v>222012</v>
          </cell>
        </row>
        <row r="142">
          <cell r="A142">
            <v>222013</v>
          </cell>
        </row>
        <row r="143">
          <cell r="A143">
            <v>222014</v>
          </cell>
        </row>
        <row r="144">
          <cell r="A144">
            <v>222015</v>
          </cell>
        </row>
        <row r="145">
          <cell r="A145">
            <v>222016</v>
          </cell>
        </row>
        <row r="146">
          <cell r="A146">
            <v>222017</v>
          </cell>
        </row>
        <row r="147">
          <cell r="A147">
            <v>222018</v>
          </cell>
        </row>
        <row r="148">
          <cell r="A148">
            <v>222019</v>
          </cell>
        </row>
        <row r="149">
          <cell r="A149">
            <v>222020</v>
          </cell>
        </row>
        <row r="150">
          <cell r="A150">
            <v>230001</v>
          </cell>
        </row>
        <row r="151">
          <cell r="A151">
            <v>230002</v>
          </cell>
        </row>
        <row r="152">
          <cell r="A152">
            <v>230003</v>
          </cell>
        </row>
        <row r="153">
          <cell r="A153">
            <v>230004</v>
          </cell>
        </row>
        <row r="154">
          <cell r="A154">
            <v>300001</v>
          </cell>
        </row>
        <row r="155">
          <cell r="A155">
            <v>300002</v>
          </cell>
        </row>
        <row r="156">
          <cell r="A156">
            <v>300003</v>
          </cell>
        </row>
        <row r="157">
          <cell r="A157">
            <v>300004</v>
          </cell>
        </row>
        <row r="158">
          <cell r="A158">
            <v>300005</v>
          </cell>
        </row>
        <row r="159">
          <cell r="A159">
            <v>300006</v>
          </cell>
        </row>
        <row r="160">
          <cell r="A160">
            <v>300007</v>
          </cell>
        </row>
        <row r="161">
          <cell r="A161">
            <v>300008</v>
          </cell>
        </row>
        <row r="162">
          <cell r="A162">
            <v>300009</v>
          </cell>
        </row>
        <row r="163">
          <cell r="A163">
            <v>300010</v>
          </cell>
        </row>
        <row r="164">
          <cell r="A164">
            <v>300011</v>
          </cell>
        </row>
        <row r="165">
          <cell r="A165">
            <v>300012</v>
          </cell>
        </row>
        <row r="166">
          <cell r="A166">
            <v>300017</v>
          </cell>
        </row>
        <row r="167">
          <cell r="A167">
            <v>300018</v>
          </cell>
        </row>
        <row r="168">
          <cell r="A168">
            <v>300019</v>
          </cell>
        </row>
        <row r="169">
          <cell r="A169">
            <v>300020</v>
          </cell>
        </row>
        <row r="170">
          <cell r="A170">
            <v>300021</v>
          </cell>
        </row>
        <row r="171">
          <cell r="A171">
            <v>300022</v>
          </cell>
        </row>
        <row r="172">
          <cell r="A172">
            <v>300023</v>
          </cell>
        </row>
        <row r="173">
          <cell r="A173">
            <v>300024</v>
          </cell>
        </row>
        <row r="174">
          <cell r="A174">
            <v>300025</v>
          </cell>
        </row>
        <row r="175">
          <cell r="A175">
            <v>300026</v>
          </cell>
        </row>
        <row r="176">
          <cell r="A176">
            <v>300027</v>
          </cell>
        </row>
        <row r="177">
          <cell r="A177">
            <v>300028</v>
          </cell>
        </row>
        <row r="178">
          <cell r="A178">
            <v>300029</v>
          </cell>
        </row>
        <row r="179">
          <cell r="A179">
            <v>300030</v>
          </cell>
        </row>
        <row r="180">
          <cell r="A180">
            <v>300031</v>
          </cell>
        </row>
        <row r="181">
          <cell r="A181">
            <v>300032</v>
          </cell>
        </row>
        <row r="182">
          <cell r="A182">
            <v>300033</v>
          </cell>
        </row>
        <row r="183">
          <cell r="A183">
            <v>300034</v>
          </cell>
        </row>
        <row r="184">
          <cell r="A184">
            <v>300035</v>
          </cell>
        </row>
        <row r="185">
          <cell r="A185">
            <v>300036</v>
          </cell>
        </row>
        <row r="186">
          <cell r="A186">
            <v>311001</v>
          </cell>
        </row>
        <row r="187">
          <cell r="A187">
            <v>311002</v>
          </cell>
        </row>
        <row r="188">
          <cell r="A188">
            <v>311003</v>
          </cell>
        </row>
        <row r="189">
          <cell r="A189">
            <v>311004</v>
          </cell>
        </row>
        <row r="190">
          <cell r="A190">
            <v>311005</v>
          </cell>
        </row>
        <row r="191">
          <cell r="A191">
            <v>311006</v>
          </cell>
        </row>
        <row r="192">
          <cell r="A192">
            <v>311007</v>
          </cell>
        </row>
        <row r="193">
          <cell r="A193">
            <v>311008</v>
          </cell>
        </row>
        <row r="194">
          <cell r="A194">
            <v>311017</v>
          </cell>
        </row>
        <row r="195">
          <cell r="A195">
            <v>311018</v>
          </cell>
        </row>
        <row r="196">
          <cell r="A196">
            <v>311019</v>
          </cell>
        </row>
        <row r="197">
          <cell r="A197">
            <v>311020</v>
          </cell>
        </row>
        <row r="198">
          <cell r="A198">
            <v>311021</v>
          </cell>
        </row>
        <row r="199">
          <cell r="A199">
            <v>311022</v>
          </cell>
        </row>
        <row r="200">
          <cell r="A200">
            <v>312001</v>
          </cell>
        </row>
        <row r="201">
          <cell r="A201">
            <v>312002</v>
          </cell>
        </row>
        <row r="202">
          <cell r="A202">
            <v>312003</v>
          </cell>
        </row>
        <row r="203">
          <cell r="A203">
            <v>312004</v>
          </cell>
        </row>
        <row r="204">
          <cell r="A204">
            <v>312005</v>
          </cell>
        </row>
        <row r="205">
          <cell r="A205">
            <v>312006</v>
          </cell>
        </row>
        <row r="206">
          <cell r="A206">
            <v>312007</v>
          </cell>
        </row>
        <row r="207">
          <cell r="A207">
            <v>312008</v>
          </cell>
        </row>
        <row r="208">
          <cell r="A208">
            <v>312009</v>
          </cell>
        </row>
        <row r="209">
          <cell r="A209">
            <v>312010</v>
          </cell>
        </row>
        <row r="210">
          <cell r="A210">
            <v>312017</v>
          </cell>
        </row>
        <row r="211">
          <cell r="A211">
            <v>312018</v>
          </cell>
        </row>
        <row r="212">
          <cell r="A212">
            <v>312019</v>
          </cell>
        </row>
        <row r="213">
          <cell r="A213">
            <v>312020</v>
          </cell>
        </row>
        <row r="214">
          <cell r="A214">
            <v>312021</v>
          </cell>
        </row>
        <row r="215">
          <cell r="A215">
            <v>312022</v>
          </cell>
        </row>
        <row r="216">
          <cell r="A216">
            <v>313001</v>
          </cell>
        </row>
        <row r="217">
          <cell r="A217">
            <v>313002</v>
          </cell>
        </row>
        <row r="218">
          <cell r="A218">
            <v>313003</v>
          </cell>
        </row>
        <row r="219">
          <cell r="A219">
            <v>313004</v>
          </cell>
        </row>
        <row r="220">
          <cell r="A220">
            <v>313005</v>
          </cell>
        </row>
        <row r="221">
          <cell r="A221">
            <v>313006</v>
          </cell>
        </row>
        <row r="222">
          <cell r="A222">
            <v>313007</v>
          </cell>
        </row>
        <row r="223">
          <cell r="A223">
            <v>313008</v>
          </cell>
        </row>
        <row r="224">
          <cell r="A224">
            <v>313021</v>
          </cell>
        </row>
        <row r="225">
          <cell r="A225">
            <v>313022</v>
          </cell>
        </row>
        <row r="226">
          <cell r="A226">
            <v>313023</v>
          </cell>
        </row>
        <row r="227">
          <cell r="A227">
            <v>313024</v>
          </cell>
        </row>
        <row r="228">
          <cell r="A228">
            <v>314001</v>
          </cell>
        </row>
        <row r="229">
          <cell r="A229">
            <v>314002</v>
          </cell>
        </row>
        <row r="230">
          <cell r="A230">
            <v>314003</v>
          </cell>
        </row>
        <row r="231">
          <cell r="A231">
            <v>314004</v>
          </cell>
        </row>
        <row r="232">
          <cell r="A232">
            <v>314005</v>
          </cell>
        </row>
        <row r="233">
          <cell r="A233">
            <v>314006</v>
          </cell>
        </row>
        <row r="234">
          <cell r="A234">
            <v>314007</v>
          </cell>
        </row>
        <row r="235">
          <cell r="A235">
            <v>314008</v>
          </cell>
        </row>
        <row r="236">
          <cell r="A236">
            <v>314025</v>
          </cell>
        </row>
        <row r="237">
          <cell r="A237">
            <v>314026</v>
          </cell>
        </row>
        <row r="238">
          <cell r="A238">
            <v>314027</v>
          </cell>
        </row>
        <row r="239">
          <cell r="A239">
            <v>314028</v>
          </cell>
        </row>
        <row r="240">
          <cell r="A240">
            <v>314029</v>
          </cell>
        </row>
        <row r="241">
          <cell r="A241">
            <v>321001</v>
          </cell>
        </row>
        <row r="242">
          <cell r="A242">
            <v>321002</v>
          </cell>
        </row>
        <row r="243">
          <cell r="A243">
            <v>321003</v>
          </cell>
        </row>
        <row r="244">
          <cell r="A244">
            <v>321004</v>
          </cell>
        </row>
        <row r="245">
          <cell r="A245">
            <v>321005</v>
          </cell>
        </row>
        <row r="246">
          <cell r="A246">
            <v>321006</v>
          </cell>
        </row>
        <row r="247">
          <cell r="A247">
            <v>321007</v>
          </cell>
        </row>
        <row r="248">
          <cell r="A248">
            <v>321008</v>
          </cell>
        </row>
        <row r="249">
          <cell r="A249">
            <v>321009</v>
          </cell>
        </row>
        <row r="250">
          <cell r="A250">
            <v>321010</v>
          </cell>
        </row>
        <row r="251">
          <cell r="A251">
            <v>322001</v>
          </cell>
        </row>
        <row r="252">
          <cell r="A252">
            <v>322002</v>
          </cell>
        </row>
        <row r="253">
          <cell r="A253">
            <v>322003</v>
          </cell>
        </row>
        <row r="254">
          <cell r="A254">
            <v>322004</v>
          </cell>
        </row>
        <row r="255">
          <cell r="A255">
            <v>322005</v>
          </cell>
        </row>
        <row r="256">
          <cell r="A256">
            <v>322006</v>
          </cell>
        </row>
        <row r="257">
          <cell r="A257">
            <v>322007</v>
          </cell>
        </row>
        <row r="258">
          <cell r="A258">
            <v>322008</v>
          </cell>
        </row>
        <row r="259">
          <cell r="A259">
            <v>322009</v>
          </cell>
        </row>
        <row r="260">
          <cell r="A260">
            <v>322010</v>
          </cell>
        </row>
        <row r="261">
          <cell r="A261">
            <v>323001</v>
          </cell>
        </row>
        <row r="262">
          <cell r="A262">
            <v>323002</v>
          </cell>
        </row>
        <row r="263">
          <cell r="A263">
            <v>323003</v>
          </cell>
        </row>
        <row r="264">
          <cell r="A264">
            <v>323004</v>
          </cell>
        </row>
        <row r="265">
          <cell r="A265">
            <v>323005</v>
          </cell>
        </row>
        <row r="266">
          <cell r="A266">
            <v>323006</v>
          </cell>
        </row>
        <row r="267">
          <cell r="A267">
            <v>323007</v>
          </cell>
        </row>
        <row r="268">
          <cell r="A268">
            <v>323008</v>
          </cell>
        </row>
        <row r="269">
          <cell r="A269">
            <v>323009</v>
          </cell>
        </row>
        <row r="270">
          <cell r="A270">
            <v>323010</v>
          </cell>
        </row>
        <row r="271">
          <cell r="A271">
            <v>324001</v>
          </cell>
        </row>
        <row r="272">
          <cell r="A272">
            <v>324002</v>
          </cell>
        </row>
        <row r="273">
          <cell r="A273">
            <v>324003</v>
          </cell>
        </row>
        <row r="274">
          <cell r="A274">
            <v>324004</v>
          </cell>
        </row>
        <row r="275">
          <cell r="A275">
            <v>324005</v>
          </cell>
        </row>
        <row r="276">
          <cell r="A276">
            <v>324006</v>
          </cell>
        </row>
        <row r="277">
          <cell r="A277">
            <v>324007</v>
          </cell>
        </row>
        <row r="278">
          <cell r="A278">
            <v>324008</v>
          </cell>
        </row>
        <row r="279">
          <cell r="A279">
            <v>324009</v>
          </cell>
        </row>
        <row r="280">
          <cell r="A280">
            <v>324010</v>
          </cell>
        </row>
        <row r="281">
          <cell r="A281">
            <v>325001</v>
          </cell>
        </row>
        <row r="282">
          <cell r="A282">
            <v>325002</v>
          </cell>
        </row>
        <row r="283">
          <cell r="A283">
            <v>325003</v>
          </cell>
        </row>
        <row r="284">
          <cell r="A284">
            <v>325004</v>
          </cell>
        </row>
        <row r="285">
          <cell r="A285">
            <v>325005</v>
          </cell>
        </row>
        <row r="286">
          <cell r="A286">
            <v>325006</v>
          </cell>
        </row>
        <row r="287">
          <cell r="A287">
            <v>325007</v>
          </cell>
        </row>
        <row r="288">
          <cell r="A288">
            <v>325008</v>
          </cell>
        </row>
        <row r="289">
          <cell r="A289">
            <v>325009</v>
          </cell>
        </row>
        <row r="290">
          <cell r="A290">
            <v>325010</v>
          </cell>
        </row>
        <row r="291">
          <cell r="A291">
            <v>331001</v>
          </cell>
        </row>
        <row r="292">
          <cell r="A292">
            <v>331002</v>
          </cell>
        </row>
        <row r="293">
          <cell r="A293">
            <v>331003</v>
          </cell>
        </row>
        <row r="294">
          <cell r="A294">
            <v>331004</v>
          </cell>
        </row>
        <row r="295">
          <cell r="A295">
            <v>331005</v>
          </cell>
        </row>
        <row r="296">
          <cell r="A296">
            <v>332001</v>
          </cell>
        </row>
        <row r="297">
          <cell r="A297">
            <v>332002</v>
          </cell>
        </row>
        <row r="298">
          <cell r="A298">
            <v>332003</v>
          </cell>
        </row>
        <row r="299">
          <cell r="A299">
            <v>332004</v>
          </cell>
        </row>
        <row r="300">
          <cell r="A300">
            <v>333001</v>
          </cell>
        </row>
        <row r="301">
          <cell r="A301">
            <v>333002</v>
          </cell>
        </row>
        <row r="302">
          <cell r="A302">
            <v>333003</v>
          </cell>
        </row>
        <row r="303">
          <cell r="A303">
            <v>333004</v>
          </cell>
        </row>
        <row r="304">
          <cell r="A304">
            <v>333005</v>
          </cell>
        </row>
        <row r="305">
          <cell r="A305">
            <v>334001</v>
          </cell>
        </row>
        <row r="306">
          <cell r="A306">
            <v>334002</v>
          </cell>
        </row>
        <row r="307">
          <cell r="A307">
            <v>334003</v>
          </cell>
        </row>
        <row r="308">
          <cell r="A308">
            <v>334004</v>
          </cell>
        </row>
        <row r="309">
          <cell r="A309">
            <v>334005</v>
          </cell>
        </row>
        <row r="310">
          <cell r="A310">
            <v>410001</v>
          </cell>
        </row>
        <row r="311">
          <cell r="A311">
            <v>410002</v>
          </cell>
        </row>
        <row r="312">
          <cell r="A312">
            <v>410003</v>
          </cell>
        </row>
        <row r="313">
          <cell r="A313">
            <v>410004</v>
          </cell>
        </row>
        <row r="314">
          <cell r="A314">
            <v>410005</v>
          </cell>
        </row>
        <row r="315">
          <cell r="A315">
            <v>413003</v>
          </cell>
        </row>
        <row r="316">
          <cell r="A316">
            <v>413004</v>
          </cell>
        </row>
        <row r="317">
          <cell r="A317">
            <v>414003</v>
          </cell>
        </row>
        <row r="318">
          <cell r="A318">
            <v>414004</v>
          </cell>
        </row>
        <row r="319">
          <cell r="A319">
            <v>420001</v>
          </cell>
        </row>
        <row r="320">
          <cell r="A320">
            <v>420002</v>
          </cell>
        </row>
        <row r="321">
          <cell r="A321">
            <v>420003</v>
          </cell>
        </row>
        <row r="322">
          <cell r="A322">
            <v>420004</v>
          </cell>
        </row>
        <row r="323">
          <cell r="A323">
            <v>420005</v>
          </cell>
        </row>
        <row r="324">
          <cell r="A324">
            <v>422001</v>
          </cell>
        </row>
        <row r="325">
          <cell r="A325">
            <v>422002</v>
          </cell>
        </row>
        <row r="326">
          <cell r="A326">
            <v>422003</v>
          </cell>
        </row>
        <row r="327">
          <cell r="A327">
            <v>430001</v>
          </cell>
        </row>
        <row r="328">
          <cell r="A328">
            <v>430002</v>
          </cell>
        </row>
        <row r="329">
          <cell r="A329">
            <v>430003</v>
          </cell>
        </row>
        <row r="330">
          <cell r="A330">
            <v>430004</v>
          </cell>
        </row>
        <row r="331">
          <cell r="A331">
            <v>430005</v>
          </cell>
        </row>
        <row r="332">
          <cell r="A332">
            <v>430006</v>
          </cell>
        </row>
        <row r="333">
          <cell r="A333">
            <v>430007</v>
          </cell>
        </row>
        <row r="334">
          <cell r="A334">
            <v>430008</v>
          </cell>
        </row>
        <row r="335">
          <cell r="A335">
            <v>430009</v>
          </cell>
        </row>
        <row r="336">
          <cell r="A336">
            <v>430010</v>
          </cell>
        </row>
        <row r="337">
          <cell r="A337">
            <v>430011</v>
          </cell>
        </row>
        <row r="338">
          <cell r="A338">
            <v>440001</v>
          </cell>
        </row>
        <row r="339">
          <cell r="A339">
            <v>440002</v>
          </cell>
        </row>
        <row r="340">
          <cell r="A340">
            <v>440003</v>
          </cell>
        </row>
        <row r="341">
          <cell r="A341">
            <v>440004</v>
          </cell>
        </row>
        <row r="342">
          <cell r="A342">
            <v>441001</v>
          </cell>
        </row>
        <row r="343">
          <cell r="A343">
            <v>445001</v>
          </cell>
        </row>
        <row r="344">
          <cell r="A344">
            <v>450001</v>
          </cell>
        </row>
        <row r="345">
          <cell r="A345">
            <v>450002</v>
          </cell>
        </row>
        <row r="346">
          <cell r="A346">
            <v>450003</v>
          </cell>
        </row>
        <row r="347">
          <cell r="A347">
            <v>450004</v>
          </cell>
        </row>
        <row r="348">
          <cell r="A348">
            <v>453001</v>
          </cell>
        </row>
        <row r="349">
          <cell r="A349">
            <v>460001</v>
          </cell>
        </row>
        <row r="350">
          <cell r="A350">
            <v>460002</v>
          </cell>
        </row>
        <row r="351">
          <cell r="A351">
            <v>460003</v>
          </cell>
        </row>
        <row r="352">
          <cell r="A352">
            <v>460004</v>
          </cell>
        </row>
        <row r="353">
          <cell r="A353">
            <v>511001</v>
          </cell>
        </row>
        <row r="354">
          <cell r="A354">
            <v>511002</v>
          </cell>
        </row>
        <row r="355">
          <cell r="A355">
            <v>512001</v>
          </cell>
        </row>
        <row r="356">
          <cell r="A356">
            <v>512002</v>
          </cell>
        </row>
        <row r="357">
          <cell r="A357">
            <v>513001</v>
          </cell>
        </row>
        <row r="358">
          <cell r="A358">
            <v>513002</v>
          </cell>
        </row>
        <row r="359">
          <cell r="A359">
            <v>514001</v>
          </cell>
        </row>
        <row r="360">
          <cell r="A360">
            <v>514002</v>
          </cell>
        </row>
        <row r="361">
          <cell r="A361">
            <v>514003</v>
          </cell>
        </row>
        <row r="362">
          <cell r="A362">
            <v>514004</v>
          </cell>
        </row>
        <row r="363">
          <cell r="A363">
            <v>514005</v>
          </cell>
        </row>
        <row r="364">
          <cell r="A364">
            <v>514007</v>
          </cell>
        </row>
        <row r="365">
          <cell r="A365">
            <v>514008</v>
          </cell>
        </row>
        <row r="366">
          <cell r="A366">
            <v>514009</v>
          </cell>
        </row>
        <row r="367">
          <cell r="A367">
            <v>521001</v>
          </cell>
        </row>
        <row r="368">
          <cell r="A368">
            <v>521002</v>
          </cell>
        </row>
        <row r="369">
          <cell r="A369">
            <v>522001</v>
          </cell>
        </row>
        <row r="370">
          <cell r="A370">
            <v>522002</v>
          </cell>
        </row>
        <row r="371">
          <cell r="A371">
            <v>523001</v>
          </cell>
        </row>
        <row r="372">
          <cell r="A372">
            <v>523002</v>
          </cell>
        </row>
        <row r="373">
          <cell r="A373">
            <v>524001</v>
          </cell>
        </row>
        <row r="374">
          <cell r="A374">
            <v>524002</v>
          </cell>
        </row>
        <row r="375">
          <cell r="A375">
            <v>530001</v>
          </cell>
        </row>
        <row r="376">
          <cell r="A376">
            <v>530002</v>
          </cell>
        </row>
        <row r="377">
          <cell r="A377">
            <v>530003</v>
          </cell>
        </row>
        <row r="378">
          <cell r="A378">
            <v>530004</v>
          </cell>
        </row>
        <row r="379">
          <cell r="A379">
            <v>530005</v>
          </cell>
        </row>
        <row r="380">
          <cell r="A380">
            <v>530006</v>
          </cell>
        </row>
        <row r="381">
          <cell r="A381">
            <v>530007</v>
          </cell>
        </row>
        <row r="382">
          <cell r="A382">
            <v>530008</v>
          </cell>
        </row>
        <row r="383">
          <cell r="A383">
            <v>530009</v>
          </cell>
        </row>
        <row r="384">
          <cell r="A384">
            <v>531001</v>
          </cell>
        </row>
        <row r="385">
          <cell r="A385">
            <v>534001</v>
          </cell>
        </row>
        <row r="386">
          <cell r="A386">
            <v>535001</v>
          </cell>
        </row>
        <row r="387">
          <cell r="A387">
            <v>535002</v>
          </cell>
        </row>
        <row r="388">
          <cell r="A388">
            <v>535003</v>
          </cell>
        </row>
        <row r="389">
          <cell r="A389">
            <v>535004</v>
          </cell>
        </row>
        <row r="390">
          <cell r="A390">
            <v>536001</v>
          </cell>
        </row>
        <row r="391">
          <cell r="A391">
            <v>536002</v>
          </cell>
        </row>
        <row r="392">
          <cell r="A392">
            <v>536003</v>
          </cell>
        </row>
        <row r="393">
          <cell r="A393">
            <v>540001</v>
          </cell>
        </row>
        <row r="394">
          <cell r="A394">
            <v>540002</v>
          </cell>
        </row>
        <row r="395">
          <cell r="A395">
            <v>540003</v>
          </cell>
        </row>
        <row r="396">
          <cell r="A396">
            <v>540004</v>
          </cell>
        </row>
        <row r="397">
          <cell r="A397">
            <v>540005</v>
          </cell>
        </row>
        <row r="398">
          <cell r="A398">
            <v>540006</v>
          </cell>
        </row>
        <row r="399">
          <cell r="A399">
            <v>540011</v>
          </cell>
        </row>
        <row r="400">
          <cell r="A400">
            <v>540012</v>
          </cell>
        </row>
        <row r="401">
          <cell r="A401">
            <v>540013</v>
          </cell>
        </row>
        <row r="402">
          <cell r="A402">
            <v>540014</v>
          </cell>
        </row>
        <row r="403">
          <cell r="A403">
            <v>540015</v>
          </cell>
        </row>
        <row r="404">
          <cell r="A404">
            <v>541001</v>
          </cell>
        </row>
        <row r="405">
          <cell r="A405">
            <v>550001</v>
          </cell>
        </row>
        <row r="406">
          <cell r="A406">
            <v>550002</v>
          </cell>
        </row>
        <row r="407">
          <cell r="A407">
            <v>550003</v>
          </cell>
        </row>
        <row r="408">
          <cell r="A408">
            <v>550004</v>
          </cell>
        </row>
        <row r="409">
          <cell r="A409">
            <v>550005</v>
          </cell>
        </row>
        <row r="410">
          <cell r="A410">
            <v>550006</v>
          </cell>
        </row>
        <row r="411">
          <cell r="A411">
            <v>611001</v>
          </cell>
        </row>
        <row r="412">
          <cell r="A412">
            <v>611002</v>
          </cell>
        </row>
        <row r="413">
          <cell r="A413">
            <v>611003</v>
          </cell>
        </row>
        <row r="414">
          <cell r="A414">
            <v>611004</v>
          </cell>
        </row>
        <row r="415">
          <cell r="A415">
            <v>614001</v>
          </cell>
        </row>
        <row r="416">
          <cell r="A416">
            <v>614002</v>
          </cell>
        </row>
        <row r="417">
          <cell r="A417">
            <v>614003</v>
          </cell>
        </row>
        <row r="418">
          <cell r="A418">
            <v>615001</v>
          </cell>
        </row>
        <row r="419">
          <cell r="A419">
            <v>615002</v>
          </cell>
        </row>
        <row r="420">
          <cell r="A420">
            <v>615003</v>
          </cell>
        </row>
        <row r="421">
          <cell r="A421">
            <v>615004</v>
          </cell>
        </row>
        <row r="422">
          <cell r="A422">
            <v>633001</v>
          </cell>
        </row>
        <row r="423">
          <cell r="A423">
            <v>633002</v>
          </cell>
        </row>
        <row r="424">
          <cell r="A424">
            <v>633003</v>
          </cell>
        </row>
        <row r="425">
          <cell r="A425">
            <v>633004</v>
          </cell>
        </row>
        <row r="426">
          <cell r="A426">
            <v>633005</v>
          </cell>
        </row>
        <row r="427">
          <cell r="A427">
            <v>711001</v>
          </cell>
        </row>
        <row r="428">
          <cell r="A428">
            <v>711002</v>
          </cell>
        </row>
        <row r="429">
          <cell r="A429">
            <v>711003</v>
          </cell>
        </row>
        <row r="430">
          <cell r="A430">
            <v>711004</v>
          </cell>
        </row>
        <row r="431">
          <cell r="A431">
            <v>711005</v>
          </cell>
        </row>
        <row r="432">
          <cell r="A432">
            <v>712001</v>
          </cell>
        </row>
        <row r="433">
          <cell r="A433">
            <v>712002</v>
          </cell>
        </row>
        <row r="434">
          <cell r="A434">
            <v>712003</v>
          </cell>
        </row>
        <row r="435">
          <cell r="A435">
            <v>713001</v>
          </cell>
        </row>
        <row r="436">
          <cell r="A436">
            <v>713002</v>
          </cell>
        </row>
        <row r="437">
          <cell r="A437">
            <v>713003</v>
          </cell>
        </row>
        <row r="438">
          <cell r="A438">
            <v>714001</v>
          </cell>
        </row>
        <row r="439">
          <cell r="A439">
            <v>714002</v>
          </cell>
        </row>
        <row r="440">
          <cell r="A440">
            <v>714003</v>
          </cell>
        </row>
        <row r="441">
          <cell r="A441">
            <v>714004</v>
          </cell>
        </row>
        <row r="442">
          <cell r="A442">
            <v>811001</v>
          </cell>
        </row>
        <row r="443">
          <cell r="A443">
            <v>811002</v>
          </cell>
        </row>
        <row r="444">
          <cell r="A444">
            <v>822001</v>
          </cell>
        </row>
        <row r="445">
          <cell r="A445">
            <v>822002</v>
          </cell>
        </row>
        <row r="446">
          <cell r="A446">
            <v>822003</v>
          </cell>
        </row>
        <row r="447">
          <cell r="A447">
            <v>822004</v>
          </cell>
        </row>
        <row r="448">
          <cell r="A448">
            <v>822005</v>
          </cell>
        </row>
        <row r="449">
          <cell r="A449">
            <v>822006</v>
          </cell>
        </row>
        <row r="450">
          <cell r="A450">
            <v>900001</v>
          </cell>
        </row>
        <row r="451">
          <cell r="A451">
            <v>910001</v>
          </cell>
        </row>
        <row r="452">
          <cell r="A452">
            <v>910002</v>
          </cell>
        </row>
        <row r="453">
          <cell r="A453">
            <v>910003</v>
          </cell>
        </row>
        <row r="454">
          <cell r="A454">
            <v>920001</v>
          </cell>
        </row>
        <row r="455">
          <cell r="A455">
            <v>920002</v>
          </cell>
        </row>
        <row r="456">
          <cell r="A456">
            <v>920003</v>
          </cell>
        </row>
        <row r="457">
          <cell r="A457">
            <v>930001</v>
          </cell>
        </row>
        <row r="458">
          <cell r="A458">
            <v>930002</v>
          </cell>
        </row>
        <row r="459">
          <cell r="A459">
            <v>930003</v>
          </cell>
        </row>
        <row r="460">
          <cell r="A460">
            <v>930004</v>
          </cell>
        </row>
        <row r="461">
          <cell r="A461">
            <v>950001</v>
          </cell>
        </row>
        <row r="462">
          <cell r="A462">
            <v>950002</v>
          </cell>
        </row>
        <row r="463">
          <cell r="A463">
            <v>950003</v>
          </cell>
        </row>
        <row r="464">
          <cell r="A464">
            <v>950004</v>
          </cell>
        </row>
        <row r="465">
          <cell r="A465">
            <v>960001</v>
          </cell>
        </row>
        <row r="466">
          <cell r="A466">
            <v>960002</v>
          </cell>
        </row>
        <row r="467">
          <cell r="A467">
            <v>970001</v>
          </cell>
        </row>
        <row r="468">
          <cell r="A468">
            <v>974001</v>
          </cell>
        </row>
        <row r="469">
          <cell r="A469">
            <v>974002</v>
          </cell>
        </row>
        <row r="470">
          <cell r="A470">
            <v>980001</v>
          </cell>
        </row>
        <row r="471">
          <cell r="A471">
            <v>990001</v>
          </cell>
        </row>
        <row r="472">
          <cell r="A472">
            <v>990002</v>
          </cell>
        </row>
        <row r="473">
          <cell r="A473">
            <v>990003</v>
          </cell>
        </row>
        <row r="474">
          <cell r="A474">
            <v>990004</v>
          </cell>
        </row>
        <row r="475">
          <cell r="A475">
            <v>990005</v>
          </cell>
        </row>
        <row r="476">
          <cell r="A476">
            <v>990006</v>
          </cell>
        </row>
        <row r="477">
          <cell r="A477">
            <v>990007</v>
          </cell>
        </row>
        <row r="478">
          <cell r="A478">
            <v>990008</v>
          </cell>
        </row>
        <row r="479">
          <cell r="A479">
            <v>990009</v>
          </cell>
        </row>
        <row r="480">
          <cell r="A480">
            <v>990010</v>
          </cell>
        </row>
        <row r="481">
          <cell r="A481">
            <v>990011</v>
          </cell>
        </row>
        <row r="482">
          <cell r="A482">
            <v>990012</v>
          </cell>
        </row>
        <row r="483">
          <cell r="A483">
            <v>990013</v>
          </cell>
        </row>
        <row r="484">
          <cell r="A484">
            <v>990014</v>
          </cell>
        </row>
        <row r="485">
          <cell r="A485">
            <v>990015</v>
          </cell>
        </row>
        <row r="486">
          <cell r="A486">
            <v>990016</v>
          </cell>
        </row>
        <row r="487">
          <cell r="A487">
            <v>990017</v>
          </cell>
        </row>
        <row r="488">
          <cell r="A488">
            <v>990018</v>
          </cell>
        </row>
        <row r="489">
          <cell r="A489">
            <v>990019</v>
          </cell>
        </row>
        <row r="490">
          <cell r="A490">
            <v>990020</v>
          </cell>
        </row>
        <row r="491">
          <cell r="A491">
            <v>990021</v>
          </cell>
        </row>
      </sheetData>
      <sheetData sheetId="3"/>
      <sheetData sheetId="4"/>
      <sheetData sheetId="5">
        <row r="1">
          <cell r="A1" t="str">
            <v>crash_skill_id</v>
          </cell>
          <cell r="B1" t="str">
            <v>language</v>
          </cell>
          <cell r="C1" t="str">
            <v>name</v>
          </cell>
          <cell r="D1" t="str">
            <v>comment</v>
          </cell>
          <cell r="E1" t="str">
            <v>文字数チェック</v>
          </cell>
          <cell r="F1" t="str">
            <v>割り当てユニット</v>
          </cell>
          <cell r="G1" t="str">
            <v>rare</v>
          </cell>
          <cell r="H1" t="str">
            <v>effect_param</v>
          </cell>
          <cell r="I1" t="str">
            <v>valid_flg</v>
          </cell>
          <cell r="J1" t="str">
            <v>分類</v>
          </cell>
          <cell r="K1" t="str">
            <v>等級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100</v>
          </cell>
        </row>
        <row r="5">
          <cell r="A5">
            <v>370</v>
          </cell>
        </row>
        <row r="6">
          <cell r="A6">
            <v>371</v>
          </cell>
        </row>
        <row r="7">
          <cell r="A7">
            <v>372</v>
          </cell>
        </row>
        <row r="8">
          <cell r="A8">
            <v>373</v>
          </cell>
        </row>
        <row r="9">
          <cell r="A9">
            <v>374</v>
          </cell>
        </row>
        <row r="10">
          <cell r="A10">
            <v>375</v>
          </cell>
        </row>
        <row r="11">
          <cell r="A11">
            <v>412</v>
          </cell>
        </row>
        <row r="12">
          <cell r="A12">
            <v>413</v>
          </cell>
        </row>
        <row r="13">
          <cell r="A13">
            <v>2016</v>
          </cell>
        </row>
        <row r="14">
          <cell r="A14">
            <v>111101</v>
          </cell>
        </row>
        <row r="15">
          <cell r="A15">
            <v>111102</v>
          </cell>
        </row>
        <row r="16">
          <cell r="A16">
            <v>111103</v>
          </cell>
        </row>
        <row r="17">
          <cell r="A17">
            <v>111104</v>
          </cell>
        </row>
        <row r="18">
          <cell r="A18">
            <v>111105</v>
          </cell>
        </row>
        <row r="19">
          <cell r="A19">
            <v>111106</v>
          </cell>
        </row>
        <row r="20">
          <cell r="A20">
            <v>111107</v>
          </cell>
        </row>
        <row r="21">
          <cell r="A21">
            <v>111108</v>
          </cell>
        </row>
        <row r="22">
          <cell r="A22">
            <v>111109</v>
          </cell>
        </row>
        <row r="23">
          <cell r="A23">
            <v>111110</v>
          </cell>
        </row>
        <row r="24">
          <cell r="A24">
            <v>111111</v>
          </cell>
        </row>
        <row r="25">
          <cell r="A25">
            <v>111112</v>
          </cell>
        </row>
        <row r="26">
          <cell r="A26">
            <v>111113</v>
          </cell>
        </row>
        <row r="27">
          <cell r="A27">
            <v>111114</v>
          </cell>
        </row>
        <row r="28">
          <cell r="A28">
            <v>111115</v>
          </cell>
        </row>
        <row r="29">
          <cell r="A29">
            <v>111116</v>
          </cell>
        </row>
        <row r="30">
          <cell r="A30">
            <v>112001</v>
          </cell>
        </row>
        <row r="31">
          <cell r="A31">
            <v>112002</v>
          </cell>
        </row>
        <row r="32">
          <cell r="A32">
            <v>112003</v>
          </cell>
        </row>
        <row r="33">
          <cell r="A33">
            <v>112004</v>
          </cell>
        </row>
        <row r="34">
          <cell r="A34">
            <v>112005</v>
          </cell>
        </row>
        <row r="35">
          <cell r="A35">
            <v>112006</v>
          </cell>
        </row>
        <row r="36">
          <cell r="A36">
            <v>112007</v>
          </cell>
        </row>
        <row r="37">
          <cell r="A37">
            <v>112008</v>
          </cell>
        </row>
        <row r="38">
          <cell r="A38">
            <v>112009</v>
          </cell>
        </row>
        <row r="39">
          <cell r="A39">
            <v>112010</v>
          </cell>
        </row>
        <row r="40">
          <cell r="A40">
            <v>112011</v>
          </cell>
        </row>
        <row r="41">
          <cell r="A41">
            <v>112012</v>
          </cell>
        </row>
        <row r="42">
          <cell r="A42">
            <v>112013</v>
          </cell>
        </row>
        <row r="43">
          <cell r="A43">
            <v>112014</v>
          </cell>
        </row>
        <row r="44">
          <cell r="A44">
            <v>113001</v>
          </cell>
        </row>
        <row r="45">
          <cell r="A45">
            <v>113002</v>
          </cell>
        </row>
        <row r="46">
          <cell r="A46">
            <v>113003</v>
          </cell>
        </row>
        <row r="47">
          <cell r="A47">
            <v>113004</v>
          </cell>
        </row>
        <row r="48">
          <cell r="A48">
            <v>113005</v>
          </cell>
        </row>
        <row r="49">
          <cell r="A49">
            <v>113006</v>
          </cell>
        </row>
        <row r="50">
          <cell r="A50">
            <v>113007</v>
          </cell>
        </row>
        <row r="51">
          <cell r="A51">
            <v>113008</v>
          </cell>
        </row>
        <row r="52">
          <cell r="A52">
            <v>113009</v>
          </cell>
        </row>
        <row r="53">
          <cell r="A53">
            <v>113010</v>
          </cell>
        </row>
        <row r="54">
          <cell r="A54">
            <v>113011</v>
          </cell>
        </row>
        <row r="55">
          <cell r="A55">
            <v>114001</v>
          </cell>
        </row>
        <row r="56">
          <cell r="A56">
            <v>114002</v>
          </cell>
        </row>
        <row r="57">
          <cell r="A57">
            <v>114003</v>
          </cell>
        </row>
        <row r="58">
          <cell r="A58">
            <v>114004</v>
          </cell>
        </row>
        <row r="59">
          <cell r="A59">
            <v>114005</v>
          </cell>
        </row>
        <row r="60">
          <cell r="A60">
            <v>114006</v>
          </cell>
        </row>
        <row r="61">
          <cell r="A61">
            <v>114007</v>
          </cell>
        </row>
        <row r="62">
          <cell r="A62">
            <v>114008</v>
          </cell>
        </row>
        <row r="63">
          <cell r="A63">
            <v>114009</v>
          </cell>
        </row>
        <row r="64">
          <cell r="A64">
            <v>114010</v>
          </cell>
        </row>
        <row r="65">
          <cell r="A65">
            <v>114011</v>
          </cell>
        </row>
        <row r="66">
          <cell r="A66">
            <v>114012</v>
          </cell>
        </row>
        <row r="67">
          <cell r="A67">
            <v>114013</v>
          </cell>
        </row>
        <row r="68">
          <cell r="A68">
            <v>114014</v>
          </cell>
        </row>
        <row r="69">
          <cell r="A69">
            <v>114015</v>
          </cell>
        </row>
        <row r="70">
          <cell r="A70">
            <v>114016</v>
          </cell>
        </row>
        <row r="71">
          <cell r="A71">
            <v>114017</v>
          </cell>
        </row>
        <row r="72">
          <cell r="A72">
            <v>114018</v>
          </cell>
        </row>
        <row r="73">
          <cell r="A73">
            <v>114019</v>
          </cell>
        </row>
        <row r="74">
          <cell r="A74">
            <v>121201</v>
          </cell>
        </row>
        <row r="75">
          <cell r="A75">
            <v>121202</v>
          </cell>
        </row>
        <row r="76">
          <cell r="A76">
            <v>121203</v>
          </cell>
        </row>
        <row r="77">
          <cell r="A77">
            <v>121204</v>
          </cell>
        </row>
        <row r="78">
          <cell r="A78">
            <v>121205</v>
          </cell>
        </row>
        <row r="79">
          <cell r="A79">
            <v>121206</v>
          </cell>
        </row>
        <row r="80">
          <cell r="A80">
            <v>121207</v>
          </cell>
        </row>
        <row r="81">
          <cell r="A81">
            <v>121208</v>
          </cell>
        </row>
        <row r="82">
          <cell r="A82">
            <v>121209</v>
          </cell>
        </row>
        <row r="83">
          <cell r="A83">
            <v>121210</v>
          </cell>
        </row>
        <row r="84">
          <cell r="A84">
            <v>121211</v>
          </cell>
        </row>
        <row r="85">
          <cell r="A85">
            <v>121212</v>
          </cell>
        </row>
        <row r="86">
          <cell r="A86">
            <v>121213</v>
          </cell>
        </row>
        <row r="87">
          <cell r="A87">
            <v>122001</v>
          </cell>
        </row>
        <row r="88">
          <cell r="A88">
            <v>122002</v>
          </cell>
        </row>
        <row r="89">
          <cell r="A89">
            <v>122003</v>
          </cell>
        </row>
        <row r="90">
          <cell r="A90">
            <v>122004</v>
          </cell>
        </row>
        <row r="91">
          <cell r="A91">
            <v>122005</v>
          </cell>
        </row>
        <row r="92">
          <cell r="A92">
            <v>122006</v>
          </cell>
        </row>
        <row r="93">
          <cell r="A93">
            <v>122007</v>
          </cell>
        </row>
        <row r="94">
          <cell r="A94">
            <v>122008</v>
          </cell>
        </row>
        <row r="95">
          <cell r="A95">
            <v>122009</v>
          </cell>
        </row>
        <row r="96">
          <cell r="A96">
            <v>122010</v>
          </cell>
        </row>
        <row r="97">
          <cell r="A97">
            <v>122011</v>
          </cell>
        </row>
        <row r="98">
          <cell r="A98">
            <v>122012</v>
          </cell>
        </row>
        <row r="99">
          <cell r="A99">
            <v>122013</v>
          </cell>
        </row>
        <row r="100">
          <cell r="A100">
            <v>123001</v>
          </cell>
        </row>
        <row r="101">
          <cell r="A101">
            <v>123002</v>
          </cell>
        </row>
        <row r="102">
          <cell r="A102">
            <v>123003</v>
          </cell>
        </row>
        <row r="103">
          <cell r="A103">
            <v>123004</v>
          </cell>
        </row>
        <row r="104">
          <cell r="A104">
            <v>123005</v>
          </cell>
        </row>
        <row r="105">
          <cell r="A105">
            <v>123006</v>
          </cell>
        </row>
        <row r="106">
          <cell r="A106">
            <v>123007</v>
          </cell>
        </row>
        <row r="107">
          <cell r="A107">
            <v>123008</v>
          </cell>
        </row>
        <row r="108">
          <cell r="A108">
            <v>123009</v>
          </cell>
        </row>
        <row r="109">
          <cell r="A109">
            <v>123010</v>
          </cell>
        </row>
        <row r="110">
          <cell r="A110">
            <v>123011</v>
          </cell>
        </row>
        <row r="111">
          <cell r="A111">
            <v>123012</v>
          </cell>
        </row>
        <row r="112">
          <cell r="A112">
            <v>123013</v>
          </cell>
        </row>
        <row r="113">
          <cell r="A113">
            <v>123014</v>
          </cell>
        </row>
        <row r="114">
          <cell r="A114">
            <v>123015</v>
          </cell>
        </row>
        <row r="115">
          <cell r="A115">
            <v>123016</v>
          </cell>
        </row>
        <row r="116">
          <cell r="A116">
            <v>124001</v>
          </cell>
        </row>
        <row r="117">
          <cell r="A117">
            <v>124002</v>
          </cell>
        </row>
        <row r="118">
          <cell r="A118">
            <v>124003</v>
          </cell>
        </row>
        <row r="119">
          <cell r="A119">
            <v>124004</v>
          </cell>
        </row>
        <row r="120">
          <cell r="A120">
            <v>124005</v>
          </cell>
        </row>
        <row r="121">
          <cell r="A121">
            <v>124006</v>
          </cell>
        </row>
        <row r="122">
          <cell r="A122">
            <v>124007</v>
          </cell>
        </row>
        <row r="123">
          <cell r="A123">
            <v>124008</v>
          </cell>
        </row>
        <row r="124">
          <cell r="A124">
            <v>124009</v>
          </cell>
        </row>
        <row r="125">
          <cell r="A125">
            <v>124010</v>
          </cell>
        </row>
        <row r="126">
          <cell r="A126">
            <v>124011</v>
          </cell>
        </row>
        <row r="127">
          <cell r="A127">
            <v>124012</v>
          </cell>
        </row>
        <row r="128">
          <cell r="A128">
            <v>131301</v>
          </cell>
        </row>
        <row r="129">
          <cell r="A129">
            <v>131302</v>
          </cell>
        </row>
        <row r="130">
          <cell r="A130">
            <v>131303</v>
          </cell>
        </row>
        <row r="131">
          <cell r="A131">
            <v>131304</v>
          </cell>
        </row>
        <row r="132">
          <cell r="A132">
            <v>131305</v>
          </cell>
        </row>
        <row r="133">
          <cell r="A133">
            <v>131306</v>
          </cell>
        </row>
        <row r="134">
          <cell r="A134">
            <v>131307</v>
          </cell>
        </row>
        <row r="135">
          <cell r="A135">
            <v>131308</v>
          </cell>
        </row>
        <row r="136">
          <cell r="A136">
            <v>131309</v>
          </cell>
        </row>
        <row r="137">
          <cell r="A137">
            <v>131310</v>
          </cell>
        </row>
        <row r="138">
          <cell r="A138">
            <v>132001</v>
          </cell>
        </row>
        <row r="139">
          <cell r="A139">
            <v>132002</v>
          </cell>
        </row>
        <row r="140">
          <cell r="A140">
            <v>132003</v>
          </cell>
        </row>
        <row r="141">
          <cell r="A141">
            <v>132004</v>
          </cell>
        </row>
        <row r="142">
          <cell r="A142">
            <v>132005</v>
          </cell>
        </row>
        <row r="143">
          <cell r="A143">
            <v>132006</v>
          </cell>
        </row>
        <row r="144">
          <cell r="A144">
            <v>132007</v>
          </cell>
        </row>
        <row r="145">
          <cell r="A145">
            <v>132008</v>
          </cell>
        </row>
        <row r="146">
          <cell r="A146">
            <v>132009</v>
          </cell>
        </row>
        <row r="147">
          <cell r="A147">
            <v>133001</v>
          </cell>
        </row>
        <row r="148">
          <cell r="A148">
            <v>133002</v>
          </cell>
        </row>
        <row r="149">
          <cell r="A149">
            <v>133003</v>
          </cell>
        </row>
        <row r="150">
          <cell r="A150">
            <v>133004</v>
          </cell>
        </row>
        <row r="151">
          <cell r="A151">
            <v>133005</v>
          </cell>
        </row>
        <row r="152">
          <cell r="A152">
            <v>133006</v>
          </cell>
        </row>
        <row r="153">
          <cell r="A153">
            <v>133007</v>
          </cell>
        </row>
        <row r="154">
          <cell r="A154">
            <v>133008</v>
          </cell>
        </row>
        <row r="155">
          <cell r="A155">
            <v>134001</v>
          </cell>
        </row>
        <row r="156">
          <cell r="A156">
            <v>134002</v>
          </cell>
        </row>
        <row r="157">
          <cell r="A157">
            <v>134003</v>
          </cell>
        </row>
        <row r="158">
          <cell r="A158">
            <v>134004</v>
          </cell>
        </row>
        <row r="159">
          <cell r="A159">
            <v>134005</v>
          </cell>
        </row>
        <row r="160">
          <cell r="A160">
            <v>134006</v>
          </cell>
        </row>
        <row r="161">
          <cell r="A161">
            <v>134007</v>
          </cell>
        </row>
        <row r="162">
          <cell r="A162">
            <v>134008</v>
          </cell>
        </row>
        <row r="163">
          <cell r="A163">
            <v>141401</v>
          </cell>
        </row>
        <row r="164">
          <cell r="A164">
            <v>141402</v>
          </cell>
        </row>
        <row r="165">
          <cell r="A165">
            <v>141403</v>
          </cell>
        </row>
        <row r="166">
          <cell r="A166">
            <v>141404</v>
          </cell>
        </row>
        <row r="167">
          <cell r="A167">
            <v>141405</v>
          </cell>
        </row>
        <row r="168">
          <cell r="A168">
            <v>141406</v>
          </cell>
        </row>
        <row r="169">
          <cell r="A169">
            <v>141407</v>
          </cell>
        </row>
        <row r="170">
          <cell r="A170">
            <v>141408</v>
          </cell>
        </row>
        <row r="171">
          <cell r="A171">
            <v>142001</v>
          </cell>
        </row>
        <row r="172">
          <cell r="A172">
            <v>142002</v>
          </cell>
        </row>
        <row r="173">
          <cell r="A173">
            <v>142003</v>
          </cell>
        </row>
        <row r="174">
          <cell r="A174">
            <v>142004</v>
          </cell>
        </row>
        <row r="175">
          <cell r="A175">
            <v>142005</v>
          </cell>
        </row>
        <row r="176">
          <cell r="A176">
            <v>142006</v>
          </cell>
        </row>
        <row r="177">
          <cell r="A177">
            <v>142007</v>
          </cell>
        </row>
        <row r="178">
          <cell r="A178">
            <v>142008</v>
          </cell>
        </row>
        <row r="179">
          <cell r="A179">
            <v>142009</v>
          </cell>
        </row>
        <row r="180">
          <cell r="A180">
            <v>143001</v>
          </cell>
        </row>
        <row r="181">
          <cell r="A181">
            <v>143002</v>
          </cell>
        </row>
        <row r="182">
          <cell r="A182">
            <v>143003</v>
          </cell>
        </row>
        <row r="183">
          <cell r="A183">
            <v>143004</v>
          </cell>
        </row>
        <row r="184">
          <cell r="A184">
            <v>143005</v>
          </cell>
        </row>
        <row r="185">
          <cell r="A185">
            <v>143006</v>
          </cell>
        </row>
        <row r="186">
          <cell r="A186">
            <v>143007</v>
          </cell>
        </row>
        <row r="187">
          <cell r="A187">
            <v>143008</v>
          </cell>
        </row>
        <row r="188">
          <cell r="A188">
            <v>144001</v>
          </cell>
        </row>
        <row r="189">
          <cell r="A189">
            <v>144002</v>
          </cell>
        </row>
        <row r="190">
          <cell r="A190">
            <v>144003</v>
          </cell>
        </row>
        <row r="191">
          <cell r="A191">
            <v>144004</v>
          </cell>
        </row>
        <row r="192">
          <cell r="A192">
            <v>144005</v>
          </cell>
        </row>
        <row r="193">
          <cell r="A193">
            <v>144006</v>
          </cell>
        </row>
        <row r="194">
          <cell r="A194">
            <v>144007</v>
          </cell>
        </row>
        <row r="195">
          <cell r="A195">
            <v>144008</v>
          </cell>
        </row>
        <row r="196">
          <cell r="A196">
            <v>144009</v>
          </cell>
        </row>
        <row r="197">
          <cell r="A197">
            <v>151001</v>
          </cell>
        </row>
        <row r="198">
          <cell r="A198">
            <v>151002</v>
          </cell>
        </row>
        <row r="199">
          <cell r="A199">
            <v>151003</v>
          </cell>
        </row>
        <row r="200">
          <cell r="A200">
            <v>151004</v>
          </cell>
        </row>
        <row r="201">
          <cell r="A201">
            <v>151005</v>
          </cell>
        </row>
        <row r="202">
          <cell r="A202">
            <v>151006</v>
          </cell>
        </row>
        <row r="203">
          <cell r="A203">
            <v>151007</v>
          </cell>
        </row>
        <row r="204">
          <cell r="A204">
            <v>151008</v>
          </cell>
        </row>
        <row r="205">
          <cell r="A205">
            <v>151009</v>
          </cell>
        </row>
        <row r="206">
          <cell r="A206">
            <v>151010</v>
          </cell>
        </row>
        <row r="207">
          <cell r="A207">
            <v>152001</v>
          </cell>
        </row>
        <row r="208">
          <cell r="A208">
            <v>152002</v>
          </cell>
        </row>
        <row r="209">
          <cell r="A209">
            <v>152003</v>
          </cell>
        </row>
        <row r="210">
          <cell r="A210">
            <v>152004</v>
          </cell>
        </row>
        <row r="211">
          <cell r="A211">
            <v>152005</v>
          </cell>
        </row>
        <row r="212">
          <cell r="A212">
            <v>152006</v>
          </cell>
        </row>
        <row r="213">
          <cell r="A213">
            <v>152007</v>
          </cell>
        </row>
        <row r="214">
          <cell r="A214">
            <v>152008</v>
          </cell>
        </row>
        <row r="215">
          <cell r="A215">
            <v>152009</v>
          </cell>
        </row>
        <row r="216">
          <cell r="A216">
            <v>153001</v>
          </cell>
        </row>
        <row r="217">
          <cell r="A217">
            <v>153002</v>
          </cell>
        </row>
        <row r="218">
          <cell r="A218">
            <v>153003</v>
          </cell>
        </row>
        <row r="219">
          <cell r="A219">
            <v>153004</v>
          </cell>
        </row>
        <row r="220">
          <cell r="A220">
            <v>153005</v>
          </cell>
        </row>
        <row r="221">
          <cell r="A221">
            <v>153006</v>
          </cell>
        </row>
        <row r="222">
          <cell r="A222">
            <v>153007</v>
          </cell>
        </row>
        <row r="223">
          <cell r="A223">
            <v>154001</v>
          </cell>
        </row>
        <row r="224">
          <cell r="A224">
            <v>154002</v>
          </cell>
        </row>
        <row r="225">
          <cell r="A225">
            <v>154003</v>
          </cell>
        </row>
        <row r="226">
          <cell r="A226">
            <v>154004</v>
          </cell>
        </row>
        <row r="227">
          <cell r="A227">
            <v>154005</v>
          </cell>
        </row>
        <row r="228">
          <cell r="A228">
            <v>154006</v>
          </cell>
        </row>
        <row r="229">
          <cell r="A229">
            <v>154007</v>
          </cell>
        </row>
        <row r="230">
          <cell r="A230">
            <v>161001</v>
          </cell>
        </row>
        <row r="231">
          <cell r="A231">
            <v>161002</v>
          </cell>
        </row>
        <row r="232">
          <cell r="A232">
            <v>161003</v>
          </cell>
        </row>
        <row r="233">
          <cell r="A233">
            <v>161004</v>
          </cell>
        </row>
        <row r="234">
          <cell r="A234">
            <v>161005</v>
          </cell>
        </row>
        <row r="235">
          <cell r="A235">
            <v>161006</v>
          </cell>
        </row>
        <row r="236">
          <cell r="A236">
            <v>161007</v>
          </cell>
        </row>
        <row r="237">
          <cell r="A237">
            <v>162001</v>
          </cell>
        </row>
        <row r="238">
          <cell r="A238">
            <v>162002</v>
          </cell>
        </row>
        <row r="239">
          <cell r="A239">
            <v>162003</v>
          </cell>
        </row>
        <row r="240">
          <cell r="A240">
            <v>162004</v>
          </cell>
        </row>
        <row r="241">
          <cell r="A241">
            <v>162005</v>
          </cell>
        </row>
        <row r="242">
          <cell r="A242">
            <v>162006</v>
          </cell>
        </row>
        <row r="243">
          <cell r="A243">
            <v>162007</v>
          </cell>
        </row>
        <row r="244">
          <cell r="A244">
            <v>163001</v>
          </cell>
        </row>
        <row r="245">
          <cell r="A245">
            <v>163002</v>
          </cell>
        </row>
        <row r="246">
          <cell r="A246">
            <v>163003</v>
          </cell>
        </row>
        <row r="247">
          <cell r="A247">
            <v>163004</v>
          </cell>
        </row>
        <row r="248">
          <cell r="A248">
            <v>163005</v>
          </cell>
        </row>
        <row r="249">
          <cell r="A249">
            <v>163006</v>
          </cell>
        </row>
        <row r="250">
          <cell r="A250">
            <v>163007</v>
          </cell>
        </row>
        <row r="251">
          <cell r="A251">
            <v>163008</v>
          </cell>
        </row>
        <row r="252">
          <cell r="A252">
            <v>164001</v>
          </cell>
        </row>
        <row r="253">
          <cell r="A253">
            <v>164002</v>
          </cell>
        </row>
        <row r="254">
          <cell r="A254">
            <v>164003</v>
          </cell>
        </row>
        <row r="255">
          <cell r="A255">
            <v>164004</v>
          </cell>
        </row>
        <row r="256">
          <cell r="A256">
            <v>164005</v>
          </cell>
        </row>
        <row r="257">
          <cell r="A257">
            <v>164006</v>
          </cell>
        </row>
        <row r="258">
          <cell r="A258">
            <v>164007</v>
          </cell>
        </row>
        <row r="259">
          <cell r="A259">
            <v>164008</v>
          </cell>
        </row>
        <row r="260">
          <cell r="A260">
            <v>171101</v>
          </cell>
        </row>
        <row r="261">
          <cell r="A261">
            <v>171102</v>
          </cell>
        </row>
        <row r="262">
          <cell r="A262">
            <v>171103</v>
          </cell>
        </row>
        <row r="263">
          <cell r="A263">
            <v>171104</v>
          </cell>
        </row>
        <row r="264">
          <cell r="A264">
            <v>171105</v>
          </cell>
        </row>
        <row r="265">
          <cell r="A265">
            <v>171106</v>
          </cell>
        </row>
        <row r="266">
          <cell r="A266">
            <v>171107</v>
          </cell>
        </row>
        <row r="267">
          <cell r="A267">
            <v>171108</v>
          </cell>
        </row>
        <row r="268">
          <cell r="A268">
            <v>171109</v>
          </cell>
        </row>
        <row r="269">
          <cell r="A269">
            <v>171110</v>
          </cell>
        </row>
        <row r="270">
          <cell r="A270">
            <v>171111</v>
          </cell>
        </row>
        <row r="271">
          <cell r="A271">
            <v>171201</v>
          </cell>
        </row>
        <row r="272">
          <cell r="A272">
            <v>171202</v>
          </cell>
        </row>
        <row r="273">
          <cell r="A273">
            <v>171203</v>
          </cell>
        </row>
        <row r="274">
          <cell r="A274">
            <v>171204</v>
          </cell>
        </row>
        <row r="275">
          <cell r="A275">
            <v>171205</v>
          </cell>
        </row>
        <row r="276">
          <cell r="A276">
            <v>171206</v>
          </cell>
        </row>
        <row r="277">
          <cell r="A277">
            <v>171207</v>
          </cell>
        </row>
        <row r="278">
          <cell r="A278">
            <v>171208</v>
          </cell>
        </row>
        <row r="279">
          <cell r="A279">
            <v>171209</v>
          </cell>
        </row>
        <row r="280">
          <cell r="A280">
            <v>171210</v>
          </cell>
        </row>
        <row r="281">
          <cell r="A281">
            <v>171301</v>
          </cell>
        </row>
        <row r="282">
          <cell r="A282">
            <v>171302</v>
          </cell>
        </row>
        <row r="283">
          <cell r="A283">
            <v>171303</v>
          </cell>
        </row>
        <row r="284">
          <cell r="A284">
            <v>171304</v>
          </cell>
        </row>
        <row r="285">
          <cell r="A285">
            <v>171305</v>
          </cell>
        </row>
        <row r="286">
          <cell r="A286">
            <v>171306</v>
          </cell>
        </row>
        <row r="287">
          <cell r="A287">
            <v>171401</v>
          </cell>
        </row>
        <row r="288">
          <cell r="A288">
            <v>171402</v>
          </cell>
        </row>
        <row r="289">
          <cell r="A289">
            <v>171403</v>
          </cell>
        </row>
        <row r="290">
          <cell r="A290">
            <v>171404</v>
          </cell>
        </row>
        <row r="291">
          <cell r="A291">
            <v>171405</v>
          </cell>
        </row>
        <row r="292">
          <cell r="A292">
            <v>171406</v>
          </cell>
        </row>
        <row r="293">
          <cell r="A293">
            <v>171501</v>
          </cell>
        </row>
        <row r="294">
          <cell r="A294">
            <v>171502</v>
          </cell>
        </row>
        <row r="295">
          <cell r="A295">
            <v>171503</v>
          </cell>
        </row>
        <row r="296">
          <cell r="A296">
            <v>171504</v>
          </cell>
        </row>
        <row r="297">
          <cell r="A297">
            <v>171505</v>
          </cell>
        </row>
        <row r="298">
          <cell r="A298">
            <v>171506</v>
          </cell>
        </row>
        <row r="299">
          <cell r="A299">
            <v>171507</v>
          </cell>
        </row>
        <row r="300">
          <cell r="A300">
            <v>171508</v>
          </cell>
        </row>
        <row r="301">
          <cell r="A301">
            <v>171901</v>
          </cell>
        </row>
        <row r="302">
          <cell r="A302">
            <v>171902</v>
          </cell>
        </row>
        <row r="303">
          <cell r="A303">
            <v>171903</v>
          </cell>
        </row>
        <row r="304">
          <cell r="A304">
            <v>171904</v>
          </cell>
        </row>
        <row r="305">
          <cell r="A305">
            <v>171905</v>
          </cell>
        </row>
        <row r="306">
          <cell r="A306">
            <v>171906</v>
          </cell>
        </row>
        <row r="307">
          <cell r="A307">
            <v>172101</v>
          </cell>
        </row>
        <row r="308">
          <cell r="A308">
            <v>172102</v>
          </cell>
        </row>
        <row r="309">
          <cell r="A309">
            <v>172103</v>
          </cell>
        </row>
        <row r="310">
          <cell r="A310">
            <v>172104</v>
          </cell>
        </row>
        <row r="311">
          <cell r="A311">
            <v>172105</v>
          </cell>
        </row>
        <row r="312">
          <cell r="A312">
            <v>172106</v>
          </cell>
        </row>
        <row r="313">
          <cell r="A313">
            <v>172201</v>
          </cell>
        </row>
        <row r="314">
          <cell r="A314">
            <v>172202</v>
          </cell>
        </row>
        <row r="315">
          <cell r="A315">
            <v>172203</v>
          </cell>
        </row>
        <row r="316">
          <cell r="A316">
            <v>172204</v>
          </cell>
        </row>
        <row r="317">
          <cell r="A317">
            <v>172205</v>
          </cell>
        </row>
        <row r="318">
          <cell r="A318">
            <v>172206</v>
          </cell>
        </row>
        <row r="319">
          <cell r="A319">
            <v>172301</v>
          </cell>
        </row>
        <row r="320">
          <cell r="A320">
            <v>172302</v>
          </cell>
        </row>
        <row r="321">
          <cell r="A321">
            <v>172303</v>
          </cell>
        </row>
        <row r="322">
          <cell r="A322">
            <v>172304</v>
          </cell>
        </row>
        <row r="323">
          <cell r="A323">
            <v>172305</v>
          </cell>
        </row>
        <row r="324">
          <cell r="A324">
            <v>172306</v>
          </cell>
        </row>
        <row r="325">
          <cell r="A325">
            <v>172401</v>
          </cell>
        </row>
        <row r="326">
          <cell r="A326">
            <v>172402</v>
          </cell>
        </row>
        <row r="327">
          <cell r="A327">
            <v>172403</v>
          </cell>
        </row>
        <row r="328">
          <cell r="A328">
            <v>172404</v>
          </cell>
        </row>
        <row r="329">
          <cell r="A329">
            <v>172405</v>
          </cell>
        </row>
        <row r="330">
          <cell r="A330">
            <v>172406</v>
          </cell>
        </row>
        <row r="331">
          <cell r="A331">
            <v>172501</v>
          </cell>
        </row>
        <row r="332">
          <cell r="A332">
            <v>172502</v>
          </cell>
        </row>
        <row r="333">
          <cell r="A333">
            <v>172503</v>
          </cell>
        </row>
        <row r="334">
          <cell r="A334">
            <v>172504</v>
          </cell>
        </row>
        <row r="335">
          <cell r="A335">
            <v>172505</v>
          </cell>
        </row>
        <row r="336">
          <cell r="A336">
            <v>172506</v>
          </cell>
        </row>
        <row r="337">
          <cell r="A337">
            <v>172901</v>
          </cell>
        </row>
        <row r="338">
          <cell r="A338">
            <v>172902</v>
          </cell>
        </row>
        <row r="339">
          <cell r="A339">
            <v>172903</v>
          </cell>
        </row>
        <row r="340">
          <cell r="A340">
            <v>172904</v>
          </cell>
        </row>
        <row r="341">
          <cell r="A341">
            <v>172905</v>
          </cell>
        </row>
        <row r="342">
          <cell r="A342">
            <v>172906</v>
          </cell>
        </row>
        <row r="343">
          <cell r="A343">
            <v>173101</v>
          </cell>
        </row>
        <row r="344">
          <cell r="A344">
            <v>173102</v>
          </cell>
        </row>
        <row r="345">
          <cell r="A345">
            <v>173103</v>
          </cell>
        </row>
        <row r="346">
          <cell r="A346">
            <v>173104</v>
          </cell>
        </row>
        <row r="347">
          <cell r="A347">
            <v>173105</v>
          </cell>
        </row>
        <row r="348">
          <cell r="A348">
            <v>173106</v>
          </cell>
        </row>
        <row r="349">
          <cell r="A349">
            <v>173107</v>
          </cell>
        </row>
        <row r="350">
          <cell r="A350">
            <v>173108</v>
          </cell>
        </row>
        <row r="351">
          <cell r="A351">
            <v>173109</v>
          </cell>
        </row>
        <row r="352">
          <cell r="A352">
            <v>173201</v>
          </cell>
        </row>
        <row r="353">
          <cell r="A353">
            <v>173202</v>
          </cell>
        </row>
        <row r="354">
          <cell r="A354">
            <v>173203</v>
          </cell>
        </row>
        <row r="355">
          <cell r="A355">
            <v>173204</v>
          </cell>
        </row>
        <row r="356">
          <cell r="A356">
            <v>173205</v>
          </cell>
        </row>
        <row r="357">
          <cell r="A357">
            <v>173206</v>
          </cell>
        </row>
        <row r="358">
          <cell r="A358">
            <v>173207</v>
          </cell>
        </row>
        <row r="359">
          <cell r="A359">
            <v>173301</v>
          </cell>
        </row>
        <row r="360">
          <cell r="A360">
            <v>173302</v>
          </cell>
        </row>
        <row r="361">
          <cell r="A361">
            <v>173303</v>
          </cell>
        </row>
        <row r="362">
          <cell r="A362">
            <v>173304</v>
          </cell>
        </row>
        <row r="363">
          <cell r="A363">
            <v>173305</v>
          </cell>
        </row>
        <row r="364">
          <cell r="A364">
            <v>173306</v>
          </cell>
        </row>
        <row r="365">
          <cell r="A365">
            <v>173401</v>
          </cell>
        </row>
        <row r="366">
          <cell r="A366">
            <v>173402</v>
          </cell>
        </row>
        <row r="367">
          <cell r="A367">
            <v>173403</v>
          </cell>
        </row>
        <row r="368">
          <cell r="A368">
            <v>173404</v>
          </cell>
        </row>
        <row r="369">
          <cell r="A369">
            <v>173405</v>
          </cell>
        </row>
        <row r="370">
          <cell r="A370">
            <v>173406</v>
          </cell>
        </row>
        <row r="371">
          <cell r="A371">
            <v>173501</v>
          </cell>
        </row>
        <row r="372">
          <cell r="A372">
            <v>173502</v>
          </cell>
        </row>
        <row r="373">
          <cell r="A373">
            <v>173503</v>
          </cell>
        </row>
        <row r="374">
          <cell r="A374">
            <v>173504</v>
          </cell>
        </row>
        <row r="375">
          <cell r="A375">
            <v>173505</v>
          </cell>
        </row>
        <row r="376">
          <cell r="A376">
            <v>173506</v>
          </cell>
        </row>
        <row r="377">
          <cell r="A377">
            <v>173507</v>
          </cell>
        </row>
        <row r="378">
          <cell r="A378">
            <v>173901</v>
          </cell>
        </row>
        <row r="379">
          <cell r="A379">
            <v>173902</v>
          </cell>
        </row>
        <row r="380">
          <cell r="A380">
            <v>173903</v>
          </cell>
        </row>
        <row r="381">
          <cell r="A381">
            <v>173904</v>
          </cell>
        </row>
        <row r="382">
          <cell r="A382">
            <v>173905</v>
          </cell>
        </row>
        <row r="383">
          <cell r="A383">
            <v>173906</v>
          </cell>
        </row>
        <row r="384">
          <cell r="A384">
            <v>174101</v>
          </cell>
        </row>
        <row r="385">
          <cell r="A385">
            <v>174102</v>
          </cell>
        </row>
        <row r="386">
          <cell r="A386">
            <v>174103</v>
          </cell>
        </row>
        <row r="387">
          <cell r="A387">
            <v>174104</v>
          </cell>
        </row>
        <row r="388">
          <cell r="A388">
            <v>174105</v>
          </cell>
        </row>
        <row r="389">
          <cell r="A389">
            <v>174106</v>
          </cell>
        </row>
        <row r="390">
          <cell r="A390">
            <v>174107</v>
          </cell>
        </row>
        <row r="391">
          <cell r="A391">
            <v>174201</v>
          </cell>
        </row>
        <row r="392">
          <cell r="A392">
            <v>174202</v>
          </cell>
        </row>
        <row r="393">
          <cell r="A393">
            <v>174203</v>
          </cell>
        </row>
        <row r="394">
          <cell r="A394">
            <v>174204</v>
          </cell>
        </row>
        <row r="395">
          <cell r="A395">
            <v>174205</v>
          </cell>
        </row>
        <row r="396">
          <cell r="A396">
            <v>174206</v>
          </cell>
        </row>
        <row r="397">
          <cell r="A397">
            <v>174207</v>
          </cell>
        </row>
        <row r="398">
          <cell r="A398">
            <v>174301</v>
          </cell>
        </row>
        <row r="399">
          <cell r="A399">
            <v>174302</v>
          </cell>
        </row>
        <row r="400">
          <cell r="A400">
            <v>174303</v>
          </cell>
        </row>
        <row r="401">
          <cell r="A401">
            <v>174304</v>
          </cell>
        </row>
        <row r="402">
          <cell r="A402">
            <v>174305</v>
          </cell>
        </row>
        <row r="403">
          <cell r="A403">
            <v>174306</v>
          </cell>
        </row>
        <row r="404">
          <cell r="A404">
            <v>174401</v>
          </cell>
        </row>
        <row r="405">
          <cell r="A405">
            <v>174402</v>
          </cell>
        </row>
        <row r="406">
          <cell r="A406">
            <v>174403</v>
          </cell>
        </row>
        <row r="407">
          <cell r="A407">
            <v>174404</v>
          </cell>
        </row>
        <row r="408">
          <cell r="A408">
            <v>174405</v>
          </cell>
        </row>
        <row r="409">
          <cell r="A409">
            <v>174406</v>
          </cell>
        </row>
        <row r="410">
          <cell r="A410">
            <v>174501</v>
          </cell>
        </row>
        <row r="411">
          <cell r="A411">
            <v>174502</v>
          </cell>
        </row>
        <row r="412">
          <cell r="A412">
            <v>174503</v>
          </cell>
        </row>
        <row r="413">
          <cell r="A413">
            <v>174504</v>
          </cell>
        </row>
        <row r="414">
          <cell r="A414">
            <v>174505</v>
          </cell>
        </row>
        <row r="415">
          <cell r="A415">
            <v>174506</v>
          </cell>
        </row>
        <row r="416">
          <cell r="A416">
            <v>174901</v>
          </cell>
        </row>
        <row r="417">
          <cell r="A417">
            <v>174902</v>
          </cell>
        </row>
        <row r="418">
          <cell r="A418">
            <v>174903</v>
          </cell>
        </row>
        <row r="419">
          <cell r="A419">
            <v>174904</v>
          </cell>
        </row>
        <row r="420">
          <cell r="A420">
            <v>174905</v>
          </cell>
        </row>
        <row r="421">
          <cell r="A421">
            <v>174906</v>
          </cell>
        </row>
        <row r="422">
          <cell r="A422">
            <v>181101</v>
          </cell>
        </row>
        <row r="423">
          <cell r="A423">
            <v>181102</v>
          </cell>
        </row>
        <row r="424">
          <cell r="A424">
            <v>181103</v>
          </cell>
        </row>
        <row r="425">
          <cell r="A425">
            <v>181104</v>
          </cell>
        </row>
        <row r="426">
          <cell r="A426">
            <v>181105</v>
          </cell>
        </row>
        <row r="427">
          <cell r="A427">
            <v>181106</v>
          </cell>
        </row>
        <row r="428">
          <cell r="A428">
            <v>181201</v>
          </cell>
        </row>
        <row r="429">
          <cell r="A429">
            <v>181202</v>
          </cell>
        </row>
        <row r="430">
          <cell r="A430">
            <v>181203</v>
          </cell>
        </row>
        <row r="431">
          <cell r="A431">
            <v>181204</v>
          </cell>
        </row>
        <row r="432">
          <cell r="A432">
            <v>181205</v>
          </cell>
        </row>
        <row r="433">
          <cell r="A433">
            <v>181206</v>
          </cell>
        </row>
        <row r="434">
          <cell r="A434">
            <v>181301</v>
          </cell>
        </row>
        <row r="435">
          <cell r="A435">
            <v>181302</v>
          </cell>
        </row>
        <row r="436">
          <cell r="A436">
            <v>181303</v>
          </cell>
        </row>
        <row r="437">
          <cell r="A437">
            <v>181304</v>
          </cell>
        </row>
        <row r="438">
          <cell r="A438">
            <v>181305</v>
          </cell>
        </row>
        <row r="439">
          <cell r="A439">
            <v>181306</v>
          </cell>
        </row>
        <row r="440">
          <cell r="A440">
            <v>181401</v>
          </cell>
        </row>
        <row r="441">
          <cell r="A441">
            <v>181402</v>
          </cell>
        </row>
        <row r="442">
          <cell r="A442">
            <v>181403</v>
          </cell>
        </row>
        <row r="443">
          <cell r="A443">
            <v>181404</v>
          </cell>
        </row>
        <row r="444">
          <cell r="A444">
            <v>181405</v>
          </cell>
        </row>
        <row r="445">
          <cell r="A445">
            <v>181406</v>
          </cell>
        </row>
        <row r="446">
          <cell r="A446">
            <v>181407</v>
          </cell>
        </row>
        <row r="447">
          <cell r="A447">
            <v>181408</v>
          </cell>
        </row>
        <row r="448">
          <cell r="A448">
            <v>181501</v>
          </cell>
        </row>
        <row r="449">
          <cell r="A449">
            <v>181502</v>
          </cell>
        </row>
        <row r="450">
          <cell r="A450">
            <v>181503</v>
          </cell>
        </row>
        <row r="451">
          <cell r="A451">
            <v>181504</v>
          </cell>
        </row>
        <row r="452">
          <cell r="A452">
            <v>181505</v>
          </cell>
        </row>
        <row r="453">
          <cell r="A453">
            <v>181506</v>
          </cell>
        </row>
        <row r="454">
          <cell r="A454">
            <v>181901</v>
          </cell>
        </row>
        <row r="455">
          <cell r="A455">
            <v>181902</v>
          </cell>
        </row>
        <row r="456">
          <cell r="A456">
            <v>181903</v>
          </cell>
        </row>
        <row r="457">
          <cell r="A457">
            <v>181904</v>
          </cell>
        </row>
        <row r="458">
          <cell r="A458">
            <v>181905</v>
          </cell>
        </row>
        <row r="459">
          <cell r="A459">
            <v>181906</v>
          </cell>
        </row>
        <row r="460">
          <cell r="A460">
            <v>182101</v>
          </cell>
        </row>
        <row r="461">
          <cell r="A461">
            <v>182102</v>
          </cell>
        </row>
        <row r="462">
          <cell r="A462">
            <v>182103</v>
          </cell>
        </row>
        <row r="463">
          <cell r="A463">
            <v>182104</v>
          </cell>
        </row>
        <row r="464">
          <cell r="A464">
            <v>182105</v>
          </cell>
        </row>
        <row r="465">
          <cell r="A465">
            <v>182106</v>
          </cell>
        </row>
        <row r="466">
          <cell r="A466">
            <v>182107</v>
          </cell>
        </row>
        <row r="467">
          <cell r="A467">
            <v>182201</v>
          </cell>
        </row>
        <row r="468">
          <cell r="A468">
            <v>182202</v>
          </cell>
        </row>
        <row r="469">
          <cell r="A469">
            <v>182203</v>
          </cell>
        </row>
        <row r="470">
          <cell r="A470">
            <v>182204</v>
          </cell>
        </row>
        <row r="471">
          <cell r="A471">
            <v>182205</v>
          </cell>
        </row>
        <row r="472">
          <cell r="A472">
            <v>182206</v>
          </cell>
        </row>
        <row r="473">
          <cell r="A473">
            <v>182301</v>
          </cell>
        </row>
        <row r="474">
          <cell r="A474">
            <v>182302</v>
          </cell>
        </row>
        <row r="475">
          <cell r="A475">
            <v>182303</v>
          </cell>
        </row>
        <row r="476">
          <cell r="A476">
            <v>182304</v>
          </cell>
        </row>
        <row r="477">
          <cell r="A477">
            <v>182305</v>
          </cell>
        </row>
        <row r="478">
          <cell r="A478">
            <v>182306</v>
          </cell>
        </row>
        <row r="479">
          <cell r="A479">
            <v>182401</v>
          </cell>
        </row>
        <row r="480">
          <cell r="A480">
            <v>182402</v>
          </cell>
        </row>
        <row r="481">
          <cell r="A481">
            <v>182403</v>
          </cell>
        </row>
        <row r="482">
          <cell r="A482">
            <v>182404</v>
          </cell>
        </row>
        <row r="483">
          <cell r="A483">
            <v>182405</v>
          </cell>
        </row>
        <row r="484">
          <cell r="A484">
            <v>182406</v>
          </cell>
        </row>
        <row r="485">
          <cell r="A485">
            <v>182501</v>
          </cell>
        </row>
        <row r="486">
          <cell r="A486">
            <v>182502</v>
          </cell>
        </row>
        <row r="487">
          <cell r="A487">
            <v>182503</v>
          </cell>
        </row>
        <row r="488">
          <cell r="A488">
            <v>182504</v>
          </cell>
        </row>
        <row r="489">
          <cell r="A489">
            <v>182505</v>
          </cell>
        </row>
        <row r="490">
          <cell r="A490">
            <v>182506</v>
          </cell>
        </row>
        <row r="491">
          <cell r="A491">
            <v>182901</v>
          </cell>
        </row>
        <row r="492">
          <cell r="A492">
            <v>182902</v>
          </cell>
        </row>
        <row r="493">
          <cell r="A493">
            <v>182903</v>
          </cell>
        </row>
        <row r="494">
          <cell r="A494">
            <v>182904</v>
          </cell>
        </row>
        <row r="495">
          <cell r="A495">
            <v>182905</v>
          </cell>
        </row>
        <row r="496">
          <cell r="A496">
            <v>182906</v>
          </cell>
        </row>
        <row r="497">
          <cell r="A497">
            <v>182907</v>
          </cell>
        </row>
        <row r="498">
          <cell r="A498">
            <v>182908</v>
          </cell>
        </row>
        <row r="499">
          <cell r="A499">
            <v>183101</v>
          </cell>
        </row>
        <row r="500">
          <cell r="A500">
            <v>183102</v>
          </cell>
        </row>
        <row r="501">
          <cell r="A501">
            <v>183103</v>
          </cell>
        </row>
        <row r="502">
          <cell r="A502">
            <v>183104</v>
          </cell>
        </row>
        <row r="503">
          <cell r="A503">
            <v>183105</v>
          </cell>
        </row>
        <row r="504">
          <cell r="A504">
            <v>183106</v>
          </cell>
        </row>
        <row r="505">
          <cell r="A505">
            <v>183201</v>
          </cell>
        </row>
        <row r="506">
          <cell r="A506">
            <v>183202</v>
          </cell>
        </row>
        <row r="507">
          <cell r="A507">
            <v>183203</v>
          </cell>
        </row>
        <row r="508">
          <cell r="A508">
            <v>183204</v>
          </cell>
        </row>
        <row r="509">
          <cell r="A509">
            <v>183205</v>
          </cell>
        </row>
        <row r="510">
          <cell r="A510">
            <v>183206</v>
          </cell>
        </row>
        <row r="511">
          <cell r="A511">
            <v>183301</v>
          </cell>
        </row>
        <row r="512">
          <cell r="A512">
            <v>183302</v>
          </cell>
        </row>
        <row r="513">
          <cell r="A513">
            <v>183303</v>
          </cell>
        </row>
        <row r="514">
          <cell r="A514">
            <v>183304</v>
          </cell>
        </row>
        <row r="515">
          <cell r="A515">
            <v>183305</v>
          </cell>
        </row>
        <row r="516">
          <cell r="A516">
            <v>183306</v>
          </cell>
        </row>
        <row r="517">
          <cell r="A517">
            <v>183401</v>
          </cell>
        </row>
        <row r="518">
          <cell r="A518">
            <v>183402</v>
          </cell>
        </row>
        <row r="519">
          <cell r="A519">
            <v>183403</v>
          </cell>
        </row>
        <row r="520">
          <cell r="A520">
            <v>183404</v>
          </cell>
        </row>
        <row r="521">
          <cell r="A521">
            <v>183405</v>
          </cell>
        </row>
        <row r="522">
          <cell r="A522">
            <v>183406</v>
          </cell>
        </row>
        <row r="523">
          <cell r="A523">
            <v>183501</v>
          </cell>
        </row>
        <row r="524">
          <cell r="A524">
            <v>183502</v>
          </cell>
        </row>
        <row r="525">
          <cell r="A525">
            <v>183503</v>
          </cell>
        </row>
        <row r="526">
          <cell r="A526">
            <v>183504</v>
          </cell>
        </row>
        <row r="527">
          <cell r="A527">
            <v>183505</v>
          </cell>
        </row>
        <row r="528">
          <cell r="A528">
            <v>183506</v>
          </cell>
        </row>
        <row r="529">
          <cell r="A529">
            <v>183507</v>
          </cell>
        </row>
        <row r="530">
          <cell r="A530">
            <v>183901</v>
          </cell>
        </row>
        <row r="531">
          <cell r="A531">
            <v>183902</v>
          </cell>
        </row>
        <row r="532">
          <cell r="A532">
            <v>183903</v>
          </cell>
        </row>
        <row r="533">
          <cell r="A533">
            <v>183904</v>
          </cell>
        </row>
        <row r="534">
          <cell r="A534">
            <v>183905</v>
          </cell>
        </row>
        <row r="535">
          <cell r="A535">
            <v>183906</v>
          </cell>
        </row>
        <row r="536">
          <cell r="A536">
            <v>184101</v>
          </cell>
        </row>
        <row r="537">
          <cell r="A537">
            <v>184102</v>
          </cell>
        </row>
        <row r="538">
          <cell r="A538">
            <v>184103</v>
          </cell>
        </row>
        <row r="539">
          <cell r="A539">
            <v>184104</v>
          </cell>
        </row>
        <row r="540">
          <cell r="A540">
            <v>184105</v>
          </cell>
        </row>
        <row r="541">
          <cell r="A541">
            <v>184106</v>
          </cell>
        </row>
        <row r="542">
          <cell r="A542">
            <v>184107</v>
          </cell>
        </row>
        <row r="543">
          <cell r="A543">
            <v>184108</v>
          </cell>
        </row>
        <row r="544">
          <cell r="A544">
            <v>184109</v>
          </cell>
        </row>
        <row r="545">
          <cell r="A545">
            <v>184201</v>
          </cell>
        </row>
        <row r="546">
          <cell r="A546">
            <v>184202</v>
          </cell>
        </row>
        <row r="547">
          <cell r="A547">
            <v>184203</v>
          </cell>
        </row>
        <row r="548">
          <cell r="A548">
            <v>184204</v>
          </cell>
        </row>
        <row r="549">
          <cell r="A549">
            <v>184205</v>
          </cell>
        </row>
        <row r="550">
          <cell r="A550">
            <v>184206</v>
          </cell>
        </row>
        <row r="551">
          <cell r="A551">
            <v>184207</v>
          </cell>
        </row>
        <row r="552">
          <cell r="A552">
            <v>184208</v>
          </cell>
        </row>
        <row r="553">
          <cell r="A553">
            <v>184301</v>
          </cell>
        </row>
        <row r="554">
          <cell r="A554">
            <v>184302</v>
          </cell>
        </row>
        <row r="555">
          <cell r="A555">
            <v>184303</v>
          </cell>
        </row>
        <row r="556">
          <cell r="A556">
            <v>184304</v>
          </cell>
        </row>
        <row r="557">
          <cell r="A557">
            <v>184305</v>
          </cell>
        </row>
        <row r="558">
          <cell r="A558">
            <v>184306</v>
          </cell>
        </row>
        <row r="559">
          <cell r="A559">
            <v>184401</v>
          </cell>
        </row>
        <row r="560">
          <cell r="A560">
            <v>184402</v>
          </cell>
        </row>
        <row r="561">
          <cell r="A561">
            <v>184403</v>
          </cell>
        </row>
        <row r="562">
          <cell r="A562">
            <v>184404</v>
          </cell>
        </row>
        <row r="563">
          <cell r="A563">
            <v>184405</v>
          </cell>
        </row>
        <row r="564">
          <cell r="A564">
            <v>184406</v>
          </cell>
        </row>
        <row r="565">
          <cell r="A565">
            <v>184501</v>
          </cell>
        </row>
        <row r="566">
          <cell r="A566">
            <v>184502</v>
          </cell>
        </row>
        <row r="567">
          <cell r="A567">
            <v>184503</v>
          </cell>
        </row>
        <row r="568">
          <cell r="A568">
            <v>184504</v>
          </cell>
        </row>
        <row r="569">
          <cell r="A569">
            <v>184505</v>
          </cell>
        </row>
        <row r="570">
          <cell r="A570">
            <v>184506</v>
          </cell>
        </row>
        <row r="571">
          <cell r="A571">
            <v>184507</v>
          </cell>
        </row>
        <row r="572">
          <cell r="A572">
            <v>184508</v>
          </cell>
        </row>
        <row r="573">
          <cell r="A573">
            <v>184509</v>
          </cell>
        </row>
        <row r="574">
          <cell r="A574">
            <v>184901</v>
          </cell>
        </row>
        <row r="575">
          <cell r="A575">
            <v>184902</v>
          </cell>
        </row>
        <row r="576">
          <cell r="A576">
            <v>184903</v>
          </cell>
        </row>
        <row r="577">
          <cell r="A577">
            <v>184904</v>
          </cell>
        </row>
        <row r="578">
          <cell r="A578">
            <v>184905</v>
          </cell>
        </row>
        <row r="579">
          <cell r="A579">
            <v>184906</v>
          </cell>
        </row>
        <row r="580">
          <cell r="A580">
            <v>191101</v>
          </cell>
        </row>
        <row r="581">
          <cell r="A581">
            <v>191102</v>
          </cell>
        </row>
        <row r="582">
          <cell r="A582">
            <v>191103</v>
          </cell>
        </row>
        <row r="583">
          <cell r="A583">
            <v>191104</v>
          </cell>
        </row>
        <row r="584">
          <cell r="A584">
            <v>191105</v>
          </cell>
        </row>
        <row r="585">
          <cell r="A585">
            <v>191106</v>
          </cell>
        </row>
        <row r="586">
          <cell r="A586">
            <v>191107</v>
          </cell>
        </row>
        <row r="587">
          <cell r="A587">
            <v>191108</v>
          </cell>
        </row>
        <row r="588">
          <cell r="A588">
            <v>191109</v>
          </cell>
        </row>
        <row r="589">
          <cell r="A589">
            <v>192102</v>
          </cell>
        </row>
        <row r="590">
          <cell r="A590">
            <v>192103</v>
          </cell>
        </row>
        <row r="591">
          <cell r="A591">
            <v>192104</v>
          </cell>
        </row>
        <row r="592">
          <cell r="A592">
            <v>192105</v>
          </cell>
        </row>
        <row r="593">
          <cell r="A593">
            <v>192106</v>
          </cell>
        </row>
        <row r="594">
          <cell r="A594">
            <v>192107</v>
          </cell>
        </row>
        <row r="595">
          <cell r="A595">
            <v>192108</v>
          </cell>
        </row>
        <row r="596">
          <cell r="A596">
            <v>192109</v>
          </cell>
        </row>
        <row r="597">
          <cell r="A597">
            <v>191110</v>
          </cell>
        </row>
        <row r="598">
          <cell r="A598">
            <v>191111</v>
          </cell>
        </row>
        <row r="599">
          <cell r="A599">
            <v>191112</v>
          </cell>
        </row>
        <row r="600">
          <cell r="A600">
            <v>193100</v>
          </cell>
        </row>
        <row r="601">
          <cell r="A601">
            <v>193101</v>
          </cell>
        </row>
        <row r="602">
          <cell r="A602">
            <v>193102</v>
          </cell>
        </row>
        <row r="603">
          <cell r="A603">
            <v>193103</v>
          </cell>
        </row>
        <row r="604">
          <cell r="A604">
            <v>194201</v>
          </cell>
        </row>
        <row r="605">
          <cell r="A605">
            <v>194202</v>
          </cell>
        </row>
        <row r="606">
          <cell r="A606">
            <v>194203</v>
          </cell>
        </row>
        <row r="607">
          <cell r="A607">
            <v>194204</v>
          </cell>
        </row>
        <row r="608">
          <cell r="A608">
            <v>194205</v>
          </cell>
        </row>
        <row r="609">
          <cell r="A609">
            <v>194206</v>
          </cell>
        </row>
        <row r="610">
          <cell r="A610">
            <v>194207</v>
          </cell>
        </row>
        <row r="611">
          <cell r="A611">
            <v>194208</v>
          </cell>
        </row>
        <row r="612">
          <cell r="A612">
            <v>201101</v>
          </cell>
        </row>
        <row r="613">
          <cell r="A613">
            <v>201102</v>
          </cell>
        </row>
        <row r="614">
          <cell r="A614">
            <v>201103</v>
          </cell>
        </row>
        <row r="615">
          <cell r="A615">
            <v>201104</v>
          </cell>
        </row>
        <row r="616">
          <cell r="A616">
            <v>201105</v>
          </cell>
        </row>
        <row r="617">
          <cell r="A617">
            <v>201106</v>
          </cell>
        </row>
        <row r="618">
          <cell r="A618">
            <v>201107</v>
          </cell>
        </row>
        <row r="619">
          <cell r="A619">
            <v>201108</v>
          </cell>
        </row>
        <row r="620">
          <cell r="A620">
            <v>203101</v>
          </cell>
        </row>
        <row r="621">
          <cell r="A621">
            <v>203102</v>
          </cell>
        </row>
        <row r="622">
          <cell r="A622">
            <v>203103</v>
          </cell>
        </row>
        <row r="623">
          <cell r="A623">
            <v>203104</v>
          </cell>
        </row>
        <row r="624">
          <cell r="A624">
            <v>203105</v>
          </cell>
        </row>
        <row r="625">
          <cell r="A625">
            <v>203106</v>
          </cell>
        </row>
        <row r="626">
          <cell r="A626">
            <v>203107</v>
          </cell>
        </row>
        <row r="627">
          <cell r="A627">
            <v>203108</v>
          </cell>
        </row>
        <row r="628">
          <cell r="A628">
            <v>204201</v>
          </cell>
        </row>
        <row r="629">
          <cell r="A629">
            <v>204202</v>
          </cell>
        </row>
        <row r="630">
          <cell r="A630">
            <v>204203</v>
          </cell>
        </row>
        <row r="631">
          <cell r="A631">
            <v>204204</v>
          </cell>
        </row>
        <row r="632">
          <cell r="A632">
            <v>204205</v>
          </cell>
        </row>
        <row r="633">
          <cell r="A633">
            <v>204206</v>
          </cell>
        </row>
        <row r="634">
          <cell r="A634">
            <v>204207</v>
          </cell>
        </row>
        <row r="635">
          <cell r="A635">
            <v>204208</v>
          </cell>
        </row>
        <row r="636">
          <cell r="A636">
            <v>204209</v>
          </cell>
        </row>
        <row r="637">
          <cell r="A637">
            <v>204210</v>
          </cell>
        </row>
        <row r="638">
          <cell r="A638">
            <v>213001</v>
          </cell>
        </row>
        <row r="639">
          <cell r="A639">
            <v>213002</v>
          </cell>
        </row>
        <row r="640">
          <cell r="A640">
            <v>213003</v>
          </cell>
        </row>
        <row r="641">
          <cell r="A641">
            <v>213004</v>
          </cell>
        </row>
        <row r="642">
          <cell r="A642">
            <v>213005</v>
          </cell>
        </row>
        <row r="643">
          <cell r="A643">
            <v>213006</v>
          </cell>
        </row>
        <row r="644">
          <cell r="A644">
            <v>212001</v>
          </cell>
        </row>
        <row r="645">
          <cell r="A645">
            <v>212002</v>
          </cell>
        </row>
        <row r="646">
          <cell r="A646">
            <v>212003</v>
          </cell>
        </row>
        <row r="647">
          <cell r="A647">
            <v>212004</v>
          </cell>
        </row>
        <row r="648">
          <cell r="A648">
            <v>223001</v>
          </cell>
        </row>
        <row r="649">
          <cell r="A649">
            <v>223002</v>
          </cell>
        </row>
        <row r="650">
          <cell r="A650">
            <v>223003</v>
          </cell>
        </row>
        <row r="651">
          <cell r="A651">
            <v>223004</v>
          </cell>
        </row>
        <row r="652">
          <cell r="A652">
            <v>233001</v>
          </cell>
        </row>
        <row r="653">
          <cell r="A653">
            <v>233002</v>
          </cell>
        </row>
        <row r="654">
          <cell r="A654">
            <v>233003</v>
          </cell>
        </row>
        <row r="655">
          <cell r="A655">
            <v>233004</v>
          </cell>
        </row>
        <row r="656">
          <cell r="A656">
            <v>300001</v>
          </cell>
        </row>
        <row r="657">
          <cell r="A657">
            <v>300002</v>
          </cell>
        </row>
        <row r="658">
          <cell r="A658">
            <v>300003</v>
          </cell>
        </row>
        <row r="659">
          <cell r="A659">
            <v>300004</v>
          </cell>
        </row>
        <row r="660">
          <cell r="A660">
            <v>300005</v>
          </cell>
        </row>
        <row r="661">
          <cell r="A661">
            <v>300006</v>
          </cell>
        </row>
        <row r="662">
          <cell r="A662">
            <v>300007</v>
          </cell>
        </row>
        <row r="663">
          <cell r="A663">
            <v>300008</v>
          </cell>
        </row>
        <row r="664">
          <cell r="A664">
            <v>300009</v>
          </cell>
        </row>
        <row r="665">
          <cell r="A665">
            <v>300010</v>
          </cell>
        </row>
        <row r="666">
          <cell r="A666">
            <v>300011</v>
          </cell>
        </row>
        <row r="667">
          <cell r="A667">
            <v>300012</v>
          </cell>
        </row>
        <row r="668">
          <cell r="A668">
            <v>300013</v>
          </cell>
        </row>
        <row r="669">
          <cell r="A669">
            <v>300014</v>
          </cell>
        </row>
        <row r="670">
          <cell r="A670">
            <v>300017</v>
          </cell>
        </row>
        <row r="671">
          <cell r="A671">
            <v>300018</v>
          </cell>
        </row>
        <row r="672">
          <cell r="A672">
            <v>300019</v>
          </cell>
        </row>
        <row r="673">
          <cell r="A673">
            <v>300020</v>
          </cell>
        </row>
        <row r="674">
          <cell r="A674">
            <v>310001</v>
          </cell>
        </row>
        <row r="675">
          <cell r="A675">
            <v>310002</v>
          </cell>
        </row>
        <row r="676">
          <cell r="A676">
            <v>310003</v>
          </cell>
        </row>
        <row r="677">
          <cell r="A677">
            <v>310004</v>
          </cell>
        </row>
        <row r="678">
          <cell r="A678">
            <v>310005</v>
          </cell>
        </row>
        <row r="679">
          <cell r="A679">
            <v>310006</v>
          </cell>
        </row>
        <row r="680">
          <cell r="A680">
            <v>310007</v>
          </cell>
        </row>
        <row r="681">
          <cell r="A681">
            <v>420001</v>
          </cell>
        </row>
        <row r="682">
          <cell r="A682">
            <v>420002</v>
          </cell>
        </row>
        <row r="683">
          <cell r="A683">
            <v>420003</v>
          </cell>
        </row>
        <row r="684">
          <cell r="A684">
            <v>420004</v>
          </cell>
        </row>
        <row r="685">
          <cell r="A685">
            <v>423001</v>
          </cell>
        </row>
        <row r="686">
          <cell r="A686">
            <v>423002</v>
          </cell>
        </row>
        <row r="687">
          <cell r="A687">
            <v>423003</v>
          </cell>
        </row>
        <row r="688">
          <cell r="A688">
            <v>423004</v>
          </cell>
        </row>
        <row r="689">
          <cell r="A689">
            <v>423005</v>
          </cell>
        </row>
        <row r="690">
          <cell r="A690">
            <v>431001</v>
          </cell>
        </row>
        <row r="691">
          <cell r="A691">
            <v>431002</v>
          </cell>
        </row>
        <row r="692">
          <cell r="A692">
            <v>431003</v>
          </cell>
        </row>
        <row r="693">
          <cell r="A693">
            <v>431004</v>
          </cell>
        </row>
        <row r="694">
          <cell r="A694">
            <v>434001</v>
          </cell>
        </row>
        <row r="695">
          <cell r="A695">
            <v>434002</v>
          </cell>
        </row>
        <row r="696">
          <cell r="A696">
            <v>434003</v>
          </cell>
        </row>
        <row r="697">
          <cell r="A697">
            <v>434004</v>
          </cell>
        </row>
        <row r="698">
          <cell r="A698">
            <v>434005</v>
          </cell>
        </row>
        <row r="699">
          <cell r="A699">
            <v>442001</v>
          </cell>
        </row>
        <row r="700">
          <cell r="A700">
            <v>442002</v>
          </cell>
        </row>
        <row r="701">
          <cell r="A701">
            <v>442003</v>
          </cell>
        </row>
        <row r="702">
          <cell r="A702">
            <v>442004</v>
          </cell>
        </row>
        <row r="703">
          <cell r="A703">
            <v>444001</v>
          </cell>
        </row>
        <row r="704">
          <cell r="A704">
            <v>444002</v>
          </cell>
        </row>
        <row r="705">
          <cell r="A705">
            <v>444003</v>
          </cell>
        </row>
        <row r="706">
          <cell r="A706">
            <v>444004</v>
          </cell>
        </row>
        <row r="707">
          <cell r="A707">
            <v>444005</v>
          </cell>
        </row>
        <row r="708">
          <cell r="A708">
            <v>452001</v>
          </cell>
        </row>
        <row r="709">
          <cell r="A709">
            <v>452002</v>
          </cell>
        </row>
        <row r="710">
          <cell r="A710">
            <v>452003</v>
          </cell>
        </row>
        <row r="711">
          <cell r="A711">
            <v>453001</v>
          </cell>
        </row>
        <row r="712">
          <cell r="A712">
            <v>453002</v>
          </cell>
        </row>
        <row r="713">
          <cell r="A713">
            <v>453003</v>
          </cell>
        </row>
        <row r="714">
          <cell r="A714">
            <v>453004</v>
          </cell>
        </row>
        <row r="715">
          <cell r="A715">
            <v>454001</v>
          </cell>
        </row>
        <row r="716">
          <cell r="A716">
            <v>454002</v>
          </cell>
        </row>
        <row r="717">
          <cell r="A717">
            <v>454003</v>
          </cell>
        </row>
        <row r="718">
          <cell r="A718">
            <v>454004</v>
          </cell>
        </row>
        <row r="719">
          <cell r="A719">
            <v>454005</v>
          </cell>
        </row>
        <row r="720">
          <cell r="A720">
            <v>500001</v>
          </cell>
        </row>
        <row r="721">
          <cell r="A721">
            <v>500002</v>
          </cell>
        </row>
        <row r="722">
          <cell r="A722">
            <v>500003</v>
          </cell>
        </row>
        <row r="723">
          <cell r="A723">
            <v>500004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/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</row>
        <row r="181">
          <cell r="A181" t="str">
            <v>10008_1</v>
          </cell>
          <cell r="B181">
            <v>0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</row>
        <row r="182">
          <cell r="A182" t="str">
            <v>10010_1</v>
          </cell>
          <cell r="B182">
            <v>0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</row>
        <row r="183">
          <cell r="A183" t="str">
            <v>10015_1</v>
          </cell>
          <cell r="B183">
            <v>0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</row>
        <row r="184">
          <cell r="A184" t="str">
            <v>10020_1</v>
          </cell>
          <cell r="B184">
            <v>0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</row>
        <row r="185">
          <cell r="A185" t="str">
            <v>10025_1</v>
          </cell>
          <cell r="B185">
            <v>0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</row>
        <row r="186">
          <cell r="A186" t="str">
            <v>10030_1</v>
          </cell>
          <cell r="B186">
            <v>0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</row>
        <row r="187">
          <cell r="A187" t="str">
            <v>10035_1</v>
          </cell>
          <cell r="B187">
            <v>0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</row>
        <row r="188">
          <cell r="A188" t="str">
            <v>10040_1</v>
          </cell>
          <cell r="B188">
            <v>0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</row>
        <row r="189">
          <cell r="A189" t="str">
            <v>10045_1</v>
          </cell>
          <cell r="B189">
            <v>0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</row>
        <row r="190">
          <cell r="A190" t="str">
            <v>10050_1</v>
          </cell>
          <cell r="B190">
            <v>0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</row>
        <row r="191">
          <cell r="A191" t="str">
            <v>10055_1</v>
          </cell>
          <cell r="B191">
            <v>0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</row>
        <row r="192">
          <cell r="A192" t="str">
            <v>10060_1</v>
          </cell>
          <cell r="B192">
            <v>0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</row>
        <row r="223">
          <cell r="A223" t="str">
            <v>11006_4</v>
          </cell>
          <cell r="B223">
            <v>3</v>
          </cell>
          <cell r="C223">
            <v>11006</v>
          </cell>
          <cell r="D223" t="str">
            <v>【土日限定】 ゴールドカジノ</v>
          </cell>
          <cell r="E223" t="str">
            <v>土日クエスト</v>
          </cell>
          <cell r="F223">
            <v>4</v>
          </cell>
          <cell r="G223" t="str">
            <v>ja</v>
          </cell>
          <cell r="H223" t="str">
            <v xml:space="preserve">【超級】ゴールドカジノ </v>
          </cell>
        </row>
        <row r="224">
          <cell r="A224" t="str">
            <v>11007_1</v>
          </cell>
          <cell r="B224">
            <v>3</v>
          </cell>
          <cell r="C224">
            <v>11007</v>
          </cell>
          <cell r="D224" t="str">
            <v>【土曜限定】 赤と緑の素材</v>
          </cell>
          <cell r="E224" t="str">
            <v>土曜クエスト</v>
          </cell>
          <cell r="F224">
            <v>1</v>
          </cell>
          <cell r="G224" t="str">
            <v>ja</v>
          </cell>
          <cell r="H224" t="str">
            <v xml:space="preserve">【初級】火と樹のチェシャ猫 </v>
          </cell>
        </row>
        <row r="225">
          <cell r="A225" t="str">
            <v>11007_2</v>
          </cell>
          <cell r="B225">
            <v>3</v>
          </cell>
          <cell r="C225">
            <v>11007</v>
          </cell>
          <cell r="D225" t="str">
            <v>【土曜限定】 赤と緑の素材</v>
          </cell>
          <cell r="E225" t="str">
            <v>土曜クエスト</v>
          </cell>
          <cell r="F225">
            <v>2</v>
          </cell>
          <cell r="G225" t="str">
            <v>ja</v>
          </cell>
          <cell r="H225" t="str">
            <v xml:space="preserve">【中級】火と樹のウサギ </v>
          </cell>
        </row>
        <row r="226">
          <cell r="A226" t="str">
            <v>11007_3</v>
          </cell>
          <cell r="B226">
            <v>3</v>
          </cell>
          <cell r="C226">
            <v>11007</v>
          </cell>
          <cell r="D226" t="str">
            <v>【土曜限定】 赤と緑の素材</v>
          </cell>
          <cell r="E226" t="str">
            <v>土曜クエスト</v>
          </cell>
          <cell r="F226">
            <v>3</v>
          </cell>
          <cell r="G226" t="str">
            <v>ja</v>
          </cell>
          <cell r="H226" t="str">
            <v xml:space="preserve">【上級】火と樹のイモムシ </v>
          </cell>
        </row>
        <row r="227">
          <cell r="A227" t="str">
            <v>11007_4</v>
          </cell>
          <cell r="B227">
            <v>3</v>
          </cell>
          <cell r="C227">
            <v>11007</v>
          </cell>
          <cell r="D227" t="str">
            <v>【土曜限定】 赤と緑の素材</v>
          </cell>
          <cell r="E227" t="str">
            <v>土曜クエスト</v>
          </cell>
          <cell r="F227">
            <v>4</v>
          </cell>
          <cell r="G227" t="str">
            <v>ja</v>
          </cell>
          <cell r="H227" t="str">
            <v xml:space="preserve">【超級】火と樹の帽子屋 </v>
          </cell>
        </row>
        <row r="228">
          <cell r="A228" t="str">
            <v>11007_5</v>
          </cell>
          <cell r="B228">
            <v>3</v>
          </cell>
          <cell r="C228">
            <v>11007</v>
          </cell>
          <cell r="D228" t="str">
            <v>【土曜限定】 赤と緑の素材</v>
          </cell>
          <cell r="E228" t="str">
            <v>土曜クエスト</v>
          </cell>
          <cell r="F228">
            <v>5</v>
          </cell>
          <cell r="G228" t="str">
            <v>ja</v>
          </cell>
          <cell r="H228" t="str">
            <v>【超絶級】ドードーとグリフォン</v>
          </cell>
        </row>
        <row r="229">
          <cell r="A229" t="str">
            <v>11008_1</v>
          </cell>
          <cell r="B229">
            <v>3</v>
          </cell>
          <cell r="C229">
            <v>11008</v>
          </cell>
          <cell r="D229" t="str">
            <v>【日曜限定】 青と黄の素材</v>
          </cell>
          <cell r="E229" t="str">
            <v>日曜クエスト</v>
          </cell>
          <cell r="F229">
            <v>1</v>
          </cell>
          <cell r="G229" t="str">
            <v>ja</v>
          </cell>
          <cell r="H229" t="str">
            <v xml:space="preserve">【初級】水と雷のチェシャ猫 </v>
          </cell>
        </row>
        <row r="230">
          <cell r="A230" t="str">
            <v>11008_2</v>
          </cell>
          <cell r="B230">
            <v>3</v>
          </cell>
          <cell r="C230">
            <v>11008</v>
          </cell>
          <cell r="D230" t="str">
            <v>【日曜限定】 青と黄の素材</v>
          </cell>
          <cell r="E230" t="str">
            <v>日曜クエスト</v>
          </cell>
          <cell r="F230">
            <v>2</v>
          </cell>
          <cell r="G230" t="str">
            <v>ja</v>
          </cell>
          <cell r="H230" t="str">
            <v xml:space="preserve">【中級】水と雷のウサギ </v>
          </cell>
        </row>
        <row r="231">
          <cell r="A231" t="str">
            <v>11008_3</v>
          </cell>
          <cell r="B231">
            <v>3</v>
          </cell>
          <cell r="C231">
            <v>11008</v>
          </cell>
          <cell r="D231" t="str">
            <v>【日曜限定】 青と黄の素材</v>
          </cell>
          <cell r="E231" t="str">
            <v>日曜クエスト</v>
          </cell>
          <cell r="F231">
            <v>3</v>
          </cell>
          <cell r="G231" t="str">
            <v>ja</v>
          </cell>
          <cell r="H231" t="str">
            <v xml:space="preserve">【上級】水と雷のイモムシ </v>
          </cell>
        </row>
        <row r="232">
          <cell r="A232" t="str">
            <v>11008_4</v>
          </cell>
          <cell r="B232">
            <v>3</v>
          </cell>
          <cell r="C232">
            <v>11008</v>
          </cell>
          <cell r="D232" t="str">
            <v>【日曜限定】 青と黄の素材</v>
          </cell>
          <cell r="E232" t="str">
            <v>日曜クエスト</v>
          </cell>
          <cell r="F232">
            <v>4</v>
          </cell>
          <cell r="G232" t="str">
            <v>ja</v>
          </cell>
          <cell r="H232" t="str">
            <v xml:space="preserve">【超級】水と雷の帽子屋 </v>
          </cell>
        </row>
        <row r="233">
          <cell r="A233" t="str">
            <v>11008_5</v>
          </cell>
          <cell r="B233">
            <v>3</v>
          </cell>
          <cell r="C233">
            <v>11008</v>
          </cell>
          <cell r="D233" t="str">
            <v>【日曜限定】 青と黄の素材</v>
          </cell>
          <cell r="E233" t="str">
            <v>日曜クエスト</v>
          </cell>
          <cell r="F233">
            <v>5</v>
          </cell>
          <cell r="G233" t="str">
            <v>ja</v>
          </cell>
          <cell r="H233" t="str">
            <v>【超絶級】ウミガメとネズミ</v>
          </cell>
        </row>
        <row r="234">
          <cell r="A234" t="str">
            <v>11016_1</v>
          </cell>
          <cell r="B234">
            <v>3</v>
          </cell>
          <cell r="C234">
            <v>11016</v>
          </cell>
          <cell r="D234" t="str">
            <v>【マルチ専用1/2】 ゴールドカジノ</v>
          </cell>
          <cell r="E234" t="str">
            <v>土日クエスト1</v>
          </cell>
          <cell r="F234">
            <v>1</v>
          </cell>
          <cell r="G234" t="str">
            <v>ja</v>
          </cell>
          <cell r="H234" t="str">
            <v xml:space="preserve">【上級】ゴールドカジノ </v>
          </cell>
        </row>
        <row r="235">
          <cell r="A235" t="str">
            <v>11017_1</v>
          </cell>
          <cell r="B235">
            <v>3</v>
          </cell>
          <cell r="C235">
            <v>11017</v>
          </cell>
          <cell r="D235" t="str">
            <v>【期間限定】リトルハンプティを追え！</v>
          </cell>
          <cell r="E235" t="str">
            <v>期間限定クエスト</v>
          </cell>
          <cell r="F235">
            <v>1</v>
          </cell>
          <cell r="G235" t="str">
            <v>ja</v>
          </cell>
          <cell r="H235" t="str">
            <v>【上級】リトルハンプティを追え！</v>
          </cell>
        </row>
        <row r="236">
          <cell r="A236" t="str">
            <v>11018_1</v>
          </cell>
          <cell r="B236">
            <v>3</v>
          </cell>
          <cell r="C236">
            <v>11018</v>
          </cell>
          <cell r="D236" t="str">
            <v>【エナジー1/2】 ゴールドカジノ</v>
          </cell>
          <cell r="E236" t="str">
            <v>土日クエスト1</v>
          </cell>
          <cell r="F236">
            <v>1</v>
          </cell>
          <cell r="G236" t="str">
            <v>ja</v>
          </cell>
          <cell r="H236" t="str">
            <v xml:space="preserve">【上級】ゴールドカジノ </v>
          </cell>
        </row>
        <row r="237">
          <cell r="A237" t="str">
            <v>11101_1</v>
          </cell>
          <cell r="B237">
            <v>3</v>
          </cell>
          <cell r="C237">
            <v>11101</v>
          </cell>
          <cell r="D237" t="str">
            <v>【期間限定】 黄の素材</v>
          </cell>
          <cell r="E237" t="str">
            <v>月曜クエスト</v>
          </cell>
          <cell r="F237">
            <v>1</v>
          </cell>
          <cell r="G237" t="str">
            <v>ja</v>
          </cell>
          <cell r="H237" t="str">
            <v>【初級】雷のチェシャ猫</v>
          </cell>
        </row>
        <row r="238">
          <cell r="A238" t="str">
            <v>11101_2</v>
          </cell>
          <cell r="B238">
            <v>3</v>
          </cell>
          <cell r="C238">
            <v>11101</v>
          </cell>
          <cell r="D238" t="str">
            <v>【期間限定】 黄の素材</v>
          </cell>
          <cell r="E238" t="str">
            <v>月曜クエスト</v>
          </cell>
          <cell r="F238">
            <v>2</v>
          </cell>
          <cell r="G238" t="str">
            <v>ja</v>
          </cell>
          <cell r="H238" t="str">
            <v xml:space="preserve">【中級】雷のウサギ </v>
          </cell>
        </row>
        <row r="239">
          <cell r="A239" t="str">
            <v>11101_3</v>
          </cell>
          <cell r="B239">
            <v>0</v>
          </cell>
          <cell r="C239">
            <v>11101</v>
          </cell>
          <cell r="D239" t="str">
            <v>【期間限定】 黄の素材</v>
          </cell>
          <cell r="E239" t="str">
            <v>月曜クエスト</v>
          </cell>
          <cell r="F239">
            <v>3</v>
          </cell>
          <cell r="G239" t="str">
            <v>ja</v>
          </cell>
          <cell r="H239" t="str">
            <v>【上級】雷のイモムシ</v>
          </cell>
        </row>
        <row r="240">
          <cell r="A240" t="str">
            <v>11101_4</v>
          </cell>
          <cell r="B240">
            <v>3</v>
          </cell>
          <cell r="C240">
            <v>11101</v>
          </cell>
          <cell r="D240" t="str">
            <v>【期間限定】 黄の素材</v>
          </cell>
          <cell r="E240" t="str">
            <v>月曜クエスト</v>
          </cell>
          <cell r="F240">
            <v>4</v>
          </cell>
          <cell r="G240" t="str">
            <v>ja</v>
          </cell>
          <cell r="H240" t="str">
            <v>【上級】雷のイモムシ</v>
          </cell>
        </row>
        <row r="241">
          <cell r="A241" t="str">
            <v>11101_10</v>
          </cell>
          <cell r="B241">
            <v>3</v>
          </cell>
          <cell r="C241">
            <v>11101</v>
          </cell>
          <cell r="D241" t="str">
            <v>【期間限定】 黄の素材</v>
          </cell>
          <cell r="E241" t="str">
            <v>月曜クエスト</v>
          </cell>
          <cell r="F241">
            <v>10</v>
          </cell>
          <cell r="G241" t="str">
            <v>ja</v>
          </cell>
          <cell r="H241" t="str">
            <v>【超絶級】醒電の眠りネズミ</v>
          </cell>
        </row>
        <row r="242">
          <cell r="A242" t="str">
            <v>11102_1</v>
          </cell>
          <cell r="B242">
            <v>3</v>
          </cell>
          <cell r="C242">
            <v>11102</v>
          </cell>
          <cell r="D242" t="str">
            <v>【期間限定】 赤の素材</v>
          </cell>
          <cell r="E242" t="str">
            <v>火曜クエスト</v>
          </cell>
          <cell r="F242">
            <v>1</v>
          </cell>
          <cell r="G242" t="str">
            <v>ja</v>
          </cell>
          <cell r="H242" t="str">
            <v xml:space="preserve">【初級】火のチェシャ猫 </v>
          </cell>
        </row>
        <row r="243">
          <cell r="A243" t="str">
            <v>11102_2</v>
          </cell>
          <cell r="B243">
            <v>3</v>
          </cell>
          <cell r="C243">
            <v>11102</v>
          </cell>
          <cell r="D243" t="str">
            <v>【期間限定】 赤の素材</v>
          </cell>
          <cell r="E243" t="str">
            <v>火曜クエスト</v>
          </cell>
          <cell r="F243">
            <v>2</v>
          </cell>
          <cell r="G243" t="str">
            <v>ja</v>
          </cell>
          <cell r="H243" t="str">
            <v xml:space="preserve">【中級】火のウサギ </v>
          </cell>
        </row>
        <row r="244">
          <cell r="A244" t="str">
            <v>11102_3</v>
          </cell>
          <cell r="B244">
            <v>0</v>
          </cell>
          <cell r="C244">
            <v>11102</v>
          </cell>
          <cell r="D244" t="str">
            <v>【期間限定】 赤の素材</v>
          </cell>
          <cell r="E244" t="str">
            <v>火曜クエスト</v>
          </cell>
          <cell r="F244">
            <v>3</v>
          </cell>
          <cell r="G244" t="str">
            <v>ja</v>
          </cell>
          <cell r="H244" t="str">
            <v xml:space="preserve">【上級】火のイモムシ </v>
          </cell>
        </row>
        <row r="245">
          <cell r="A245" t="str">
            <v>11102_4</v>
          </cell>
          <cell r="B245">
            <v>3</v>
          </cell>
          <cell r="C245">
            <v>11102</v>
          </cell>
          <cell r="D245" t="str">
            <v>【期間限定】 赤の素材</v>
          </cell>
          <cell r="E245" t="str">
            <v>火曜クエスト</v>
          </cell>
          <cell r="F245">
            <v>4</v>
          </cell>
          <cell r="G245" t="str">
            <v>ja</v>
          </cell>
          <cell r="H245" t="str">
            <v xml:space="preserve">【上級】火のイモムシ </v>
          </cell>
        </row>
        <row r="246">
          <cell r="A246" t="str">
            <v>11102_10</v>
          </cell>
          <cell r="B246">
            <v>3</v>
          </cell>
          <cell r="C246">
            <v>11102</v>
          </cell>
          <cell r="D246" t="str">
            <v>【期間限定】 赤の素材</v>
          </cell>
          <cell r="E246" t="str">
            <v>火曜クエスト</v>
          </cell>
          <cell r="F246">
            <v>10</v>
          </cell>
          <cell r="G246" t="str">
            <v>ja</v>
          </cell>
          <cell r="H246" t="str">
            <v>【超絶級】炎上のドードー</v>
          </cell>
        </row>
        <row r="247">
          <cell r="A247" t="str">
            <v>11103_1</v>
          </cell>
          <cell r="B247">
            <v>3</v>
          </cell>
          <cell r="C247">
            <v>11103</v>
          </cell>
          <cell r="D247" t="str">
            <v>【期間限定】 青の素材</v>
          </cell>
          <cell r="E247" t="str">
            <v>水曜クエスト</v>
          </cell>
          <cell r="F247">
            <v>1</v>
          </cell>
          <cell r="G247" t="str">
            <v>ja</v>
          </cell>
          <cell r="H247" t="str">
            <v>【初級】水のチェシャ猫</v>
          </cell>
        </row>
        <row r="248">
          <cell r="A248" t="str">
            <v>11103_2</v>
          </cell>
          <cell r="B248">
            <v>3</v>
          </cell>
          <cell r="C248">
            <v>11103</v>
          </cell>
          <cell r="D248" t="str">
            <v>【期間限定】 青の素材</v>
          </cell>
          <cell r="E248" t="str">
            <v>水曜クエスト</v>
          </cell>
          <cell r="F248">
            <v>2</v>
          </cell>
          <cell r="G248" t="str">
            <v>ja</v>
          </cell>
          <cell r="H248" t="str">
            <v xml:space="preserve">【中級】水のウサギ </v>
          </cell>
        </row>
        <row r="249">
          <cell r="A249" t="str">
            <v>11103_3</v>
          </cell>
          <cell r="B249">
            <v>0</v>
          </cell>
          <cell r="C249">
            <v>11103</v>
          </cell>
          <cell r="D249" t="str">
            <v>【期間限定】 青の素材</v>
          </cell>
          <cell r="E249" t="str">
            <v>水曜クエスト</v>
          </cell>
          <cell r="F249">
            <v>3</v>
          </cell>
          <cell r="G249" t="str">
            <v>ja</v>
          </cell>
          <cell r="H249" t="str">
            <v xml:space="preserve">【上級】水のイモムシ </v>
          </cell>
        </row>
        <row r="250">
          <cell r="A250" t="str">
            <v>11103_4</v>
          </cell>
          <cell r="B250">
            <v>3</v>
          </cell>
          <cell r="C250">
            <v>11103</v>
          </cell>
          <cell r="D250" t="str">
            <v>【期間限定】 青の素材</v>
          </cell>
          <cell r="E250" t="str">
            <v>水曜クエスト</v>
          </cell>
          <cell r="F250">
            <v>4</v>
          </cell>
          <cell r="G250" t="str">
            <v>ja</v>
          </cell>
          <cell r="H250" t="str">
            <v xml:space="preserve">【上級】水のイモムシ </v>
          </cell>
        </row>
        <row r="251">
          <cell r="A251" t="str">
            <v>11103_10</v>
          </cell>
          <cell r="B251">
            <v>3</v>
          </cell>
          <cell r="C251">
            <v>11103</v>
          </cell>
          <cell r="D251" t="str">
            <v>【期間限定】 青の素材</v>
          </cell>
          <cell r="E251" t="str">
            <v>水曜クエスト</v>
          </cell>
          <cell r="F251">
            <v>10</v>
          </cell>
          <cell r="G251" t="str">
            <v>ja</v>
          </cell>
          <cell r="H251" t="str">
            <v>【超絶級】深淵の代用ウミガメ</v>
          </cell>
        </row>
        <row r="252">
          <cell r="A252" t="str">
            <v>11104_1</v>
          </cell>
          <cell r="B252">
            <v>3</v>
          </cell>
          <cell r="C252">
            <v>11104</v>
          </cell>
          <cell r="D252" t="str">
            <v>【期間限定】 緑の素材</v>
          </cell>
          <cell r="E252" t="str">
            <v>木曜クエスト</v>
          </cell>
          <cell r="F252">
            <v>1</v>
          </cell>
          <cell r="G252" t="str">
            <v>ja</v>
          </cell>
          <cell r="H252" t="str">
            <v xml:space="preserve">【初級】樹のチェシャ猫 </v>
          </cell>
        </row>
        <row r="253">
          <cell r="A253" t="str">
            <v>11104_2</v>
          </cell>
          <cell r="B253">
            <v>3</v>
          </cell>
          <cell r="C253">
            <v>11104</v>
          </cell>
          <cell r="D253" t="str">
            <v>【期間限定】 緑の素材</v>
          </cell>
          <cell r="E253" t="str">
            <v>木曜クエスト</v>
          </cell>
          <cell r="F253">
            <v>2</v>
          </cell>
          <cell r="G253" t="str">
            <v>ja</v>
          </cell>
          <cell r="H253" t="str">
            <v xml:space="preserve">【中級】樹のウサギ </v>
          </cell>
        </row>
        <row r="254">
          <cell r="A254" t="str">
            <v>11104_3</v>
          </cell>
          <cell r="B254">
            <v>0</v>
          </cell>
          <cell r="C254">
            <v>11104</v>
          </cell>
          <cell r="D254" t="str">
            <v>【期間限定】 緑の素材</v>
          </cell>
          <cell r="E254" t="str">
            <v>木曜クエスト</v>
          </cell>
          <cell r="F254">
            <v>3</v>
          </cell>
          <cell r="G254" t="str">
            <v>ja</v>
          </cell>
          <cell r="H254" t="str">
            <v>【上級】樹のイモムシ</v>
          </cell>
        </row>
        <row r="255">
          <cell r="A255" t="str">
            <v>11104_4</v>
          </cell>
          <cell r="B255">
            <v>3</v>
          </cell>
          <cell r="C255">
            <v>11104</v>
          </cell>
          <cell r="D255" t="str">
            <v>【期間限定】 緑の素材</v>
          </cell>
          <cell r="E255" t="str">
            <v>木曜クエスト</v>
          </cell>
          <cell r="F255">
            <v>4</v>
          </cell>
          <cell r="G255" t="str">
            <v>ja</v>
          </cell>
          <cell r="H255" t="str">
            <v>【上級】樹のイモムシ</v>
          </cell>
        </row>
        <row r="256">
          <cell r="A256" t="str">
            <v>11104_10</v>
          </cell>
          <cell r="B256">
            <v>3</v>
          </cell>
          <cell r="C256">
            <v>11104</v>
          </cell>
          <cell r="D256" t="str">
            <v>【期間限定】 緑の素材</v>
          </cell>
          <cell r="E256" t="str">
            <v>木曜クエスト</v>
          </cell>
          <cell r="F256">
            <v>10</v>
          </cell>
          <cell r="G256" t="str">
            <v>ja</v>
          </cell>
          <cell r="H256" t="str">
            <v>【超絶級】千風のグリフォン</v>
          </cell>
        </row>
        <row r="257">
          <cell r="A257" t="str">
            <v>11105_1</v>
          </cell>
          <cell r="B257">
            <v>3</v>
          </cell>
          <cell r="C257">
            <v>11105</v>
          </cell>
          <cell r="D257" t="str">
            <v>【期間限定】 帽子屋を追え！</v>
          </cell>
          <cell r="E257" t="str">
            <v>金曜クエスト</v>
          </cell>
          <cell r="F257">
            <v>1</v>
          </cell>
          <cell r="G257" t="str">
            <v>ja</v>
          </cell>
          <cell r="H257" t="str">
            <v xml:space="preserve">【超級】火の帽子屋 </v>
          </cell>
        </row>
        <row r="258">
          <cell r="A258" t="str">
            <v>11105_2</v>
          </cell>
          <cell r="B258">
            <v>3</v>
          </cell>
          <cell r="C258">
            <v>11105</v>
          </cell>
          <cell r="D258" t="str">
            <v>【期間限定】 帽子屋を追え！</v>
          </cell>
          <cell r="E258" t="str">
            <v>金曜クエスト</v>
          </cell>
          <cell r="F258">
            <v>2</v>
          </cell>
          <cell r="G258" t="str">
            <v>ja</v>
          </cell>
          <cell r="H258" t="str">
            <v>【超級】樹の帽子屋</v>
          </cell>
        </row>
        <row r="259">
          <cell r="A259" t="str">
            <v>11105_3</v>
          </cell>
          <cell r="B259">
            <v>3</v>
          </cell>
          <cell r="C259">
            <v>11105</v>
          </cell>
          <cell r="D259" t="str">
            <v>【期間限定】 帽子屋を追え！</v>
          </cell>
          <cell r="E259" t="str">
            <v>金曜クエスト</v>
          </cell>
          <cell r="F259">
            <v>3</v>
          </cell>
          <cell r="G259" t="str">
            <v>ja</v>
          </cell>
          <cell r="H259" t="str">
            <v xml:space="preserve">【超級】水の帽子屋 </v>
          </cell>
        </row>
        <row r="260">
          <cell r="A260" t="str">
            <v>11105_4</v>
          </cell>
          <cell r="B260">
            <v>3</v>
          </cell>
          <cell r="C260">
            <v>11105</v>
          </cell>
          <cell r="D260" t="str">
            <v>【期間限定】 帽子屋を追え！</v>
          </cell>
          <cell r="E260" t="str">
            <v>金曜クエスト</v>
          </cell>
          <cell r="F260">
            <v>4</v>
          </cell>
          <cell r="G260" t="str">
            <v>ja</v>
          </cell>
          <cell r="H260" t="str">
            <v xml:space="preserve">【超級】雷の帽子屋 </v>
          </cell>
        </row>
        <row r="261">
          <cell r="A261" t="str">
            <v>11106_1</v>
          </cell>
          <cell r="B261">
            <v>0</v>
          </cell>
          <cell r="C261">
            <v>11106</v>
          </cell>
          <cell r="D261" t="str">
            <v>【キャンペーン限定】 ゴールドカジノ</v>
          </cell>
          <cell r="E261" t="str">
            <v>土日クエスト1</v>
          </cell>
          <cell r="F261">
            <v>1</v>
          </cell>
          <cell r="G261" t="str">
            <v>ja</v>
          </cell>
          <cell r="H261" t="str">
            <v xml:space="preserve">【初級】ゴールドカジノ </v>
          </cell>
        </row>
        <row r="262">
          <cell r="A262" t="str">
            <v>11106_2</v>
          </cell>
          <cell r="B262">
            <v>0</v>
          </cell>
          <cell r="C262">
            <v>11106</v>
          </cell>
          <cell r="D262" t="str">
            <v>【キャンペーン限定】 ゴールドカジノ</v>
          </cell>
          <cell r="E262" t="str">
            <v>土日クエスト1</v>
          </cell>
          <cell r="F262">
            <v>2</v>
          </cell>
          <cell r="G262" t="str">
            <v>ja</v>
          </cell>
          <cell r="H262" t="str">
            <v xml:space="preserve">【中級】ゴールドカジノ </v>
          </cell>
        </row>
        <row r="263">
          <cell r="A263" t="str">
            <v>11106_3</v>
          </cell>
          <cell r="B263">
            <v>0</v>
          </cell>
          <cell r="C263">
            <v>11106</v>
          </cell>
          <cell r="D263" t="str">
            <v>【キャンペーン限定】 ゴールドカジノ</v>
          </cell>
          <cell r="E263" t="str">
            <v>土日クエスト1</v>
          </cell>
          <cell r="F263">
            <v>3</v>
          </cell>
          <cell r="G263" t="str">
            <v>ja</v>
          </cell>
          <cell r="H263" t="str">
            <v xml:space="preserve">【上級】ゴールドカジノ </v>
          </cell>
        </row>
        <row r="264">
          <cell r="A264" t="str">
            <v>11206_1</v>
          </cell>
          <cell r="B264">
            <v>0</v>
          </cell>
          <cell r="C264">
            <v>11206</v>
          </cell>
          <cell r="D264" t="str">
            <v>【キャンペーン限定】 ゴールドカジノ</v>
          </cell>
          <cell r="E264" t="str">
            <v>土日クエスト2</v>
          </cell>
          <cell r="F264">
            <v>1</v>
          </cell>
          <cell r="G264" t="str">
            <v>ja</v>
          </cell>
          <cell r="H264" t="str">
            <v>【初級】ゴールドカジノ</v>
          </cell>
        </row>
        <row r="265">
          <cell r="A265" t="str">
            <v>11206_2</v>
          </cell>
          <cell r="B265">
            <v>0</v>
          </cell>
          <cell r="C265">
            <v>11206</v>
          </cell>
          <cell r="D265" t="str">
            <v>【キャンペーン限定】 ゴールドカジノ</v>
          </cell>
          <cell r="E265" t="str">
            <v>土日クエスト2</v>
          </cell>
          <cell r="F265">
            <v>2</v>
          </cell>
          <cell r="G265" t="str">
            <v>ja</v>
          </cell>
          <cell r="H265" t="str">
            <v xml:space="preserve">【中級】ゴールドカジノ </v>
          </cell>
        </row>
        <row r="266">
          <cell r="A266" t="str">
            <v>11206_3</v>
          </cell>
          <cell r="B266">
            <v>0</v>
          </cell>
          <cell r="C266">
            <v>11206</v>
          </cell>
          <cell r="D266" t="str">
            <v>【キャンペーン限定】 ゴールドカジノ</v>
          </cell>
          <cell r="E266" t="str">
            <v>土日クエスト2</v>
          </cell>
          <cell r="F266">
            <v>3</v>
          </cell>
          <cell r="G266" t="str">
            <v>ja</v>
          </cell>
          <cell r="H266" t="str">
            <v xml:space="preserve">【上級】ゴールドカジノ </v>
          </cell>
        </row>
        <row r="267">
          <cell r="A267" t="str">
            <v>11207_1</v>
          </cell>
          <cell r="B267">
            <v>3</v>
          </cell>
          <cell r="C267">
            <v>11207</v>
          </cell>
          <cell r="D267" t="str">
            <v>果実達の大宴会</v>
          </cell>
          <cell r="E267">
            <v>0</v>
          </cell>
          <cell r="F267">
            <v>1</v>
          </cell>
          <cell r="G267" t="str">
            <v>ja</v>
          </cell>
          <cell r="H267" t="str">
            <v>【上級】果実達の大宴会</v>
          </cell>
        </row>
        <row r="268">
          <cell r="A268" t="str">
            <v>11207_2</v>
          </cell>
          <cell r="B268">
            <v>3</v>
          </cell>
          <cell r="C268">
            <v>11207</v>
          </cell>
          <cell r="D268" t="str">
            <v>果実達の大宴会</v>
          </cell>
          <cell r="E268">
            <v>0</v>
          </cell>
          <cell r="F268">
            <v>2</v>
          </cell>
          <cell r="G268" t="str">
            <v>ja</v>
          </cell>
          <cell r="H268" t="str">
            <v>【超級】果実達の大宴会</v>
          </cell>
        </row>
        <row r="269">
          <cell r="A269" t="str">
            <v>11208_1</v>
          </cell>
          <cell r="B269">
            <v>0</v>
          </cell>
          <cell r="C269">
            <v>11208</v>
          </cell>
          <cell r="D269" t="str">
            <v>果実達の大宴会</v>
          </cell>
          <cell r="E269">
            <v>0</v>
          </cell>
          <cell r="F269">
            <v>1</v>
          </cell>
          <cell r="G269" t="str">
            <v>ja</v>
          </cell>
          <cell r="H269" t="str">
            <v>【上級】果実達の大宴会</v>
          </cell>
        </row>
        <row r="270">
          <cell r="A270" t="str">
            <v>11208_2</v>
          </cell>
          <cell r="B270">
            <v>0</v>
          </cell>
          <cell r="C270">
            <v>11208</v>
          </cell>
          <cell r="D270" t="str">
            <v>果実達の大宴会</v>
          </cell>
          <cell r="E270">
            <v>0</v>
          </cell>
          <cell r="F270">
            <v>2</v>
          </cell>
          <cell r="G270" t="str">
            <v>ja</v>
          </cell>
          <cell r="H270" t="str">
            <v>【超級】果実達の大宴会</v>
          </cell>
        </row>
        <row r="271">
          <cell r="A271" t="str">
            <v>11209_1</v>
          </cell>
          <cell r="B271">
            <v>3</v>
          </cell>
          <cell r="C271">
            <v>11209</v>
          </cell>
          <cell r="D271" t="str">
            <v>スタートダッシュキャンペーンクエスト</v>
          </cell>
          <cell r="E271" t="str">
            <v>スタートダッシュキャンペーンクエスト</v>
          </cell>
          <cell r="F271">
            <v>1</v>
          </cell>
          <cell r="G271" t="str">
            <v>ja</v>
          </cell>
          <cell r="H271" t="str">
            <v>【初級】メタルダックを捕獲せよ！</v>
          </cell>
        </row>
        <row r="272">
          <cell r="A272" t="str">
            <v>11209_2</v>
          </cell>
          <cell r="B272">
            <v>3</v>
          </cell>
          <cell r="C272">
            <v>11209</v>
          </cell>
          <cell r="D272" t="str">
            <v>スタートダッシュキャンペーンクエスト</v>
          </cell>
          <cell r="E272" t="str">
            <v>スタートダッシュキャンペーンクエスト</v>
          </cell>
          <cell r="F272">
            <v>2</v>
          </cell>
          <cell r="G272" t="str">
            <v>ja</v>
          </cell>
          <cell r="H272" t="str">
            <v>【初級】ゴールドカジノ</v>
          </cell>
        </row>
        <row r="273">
          <cell r="A273" t="str">
            <v>11212_1</v>
          </cell>
          <cell r="B273">
            <v>1</v>
          </cell>
          <cell r="C273">
            <v>11212</v>
          </cell>
          <cell r="D273" t="str">
            <v>100万DL記念★特別クエスト</v>
          </cell>
          <cell r="E273" t="str">
            <v>100万DL記念★特別クエスト</v>
          </cell>
          <cell r="F273">
            <v>1</v>
          </cell>
          <cell r="G273" t="str">
            <v>ja</v>
          </cell>
          <cell r="H273" t="str">
            <v>ミリオンダックより愛をこめて</v>
          </cell>
        </row>
        <row r="274">
          <cell r="A274" t="str">
            <v>11213_1</v>
          </cell>
          <cell r="B274">
            <v>0</v>
          </cell>
          <cell r="C274">
            <v>11213</v>
          </cell>
          <cell r="D274" t="str">
            <v>クエスト名</v>
          </cell>
          <cell r="E274" t="str">
            <v>【超級】カジノ</v>
          </cell>
          <cell r="F274">
            <v>1</v>
          </cell>
          <cell r="G274" t="str">
            <v>ja</v>
          </cell>
          <cell r="H274" t="str">
            <v xml:space="preserve">【超級】ゴールドカジノ </v>
          </cell>
        </row>
        <row r="275">
          <cell r="A275" t="str">
            <v>11214_1</v>
          </cell>
          <cell r="B275">
            <v>0</v>
          </cell>
          <cell r="C275">
            <v>11214</v>
          </cell>
          <cell r="D275" t="str">
            <v>プロメテウスの恋</v>
          </cell>
          <cell r="E275" t="str">
            <v>2015年クリスマスクエスト</v>
          </cell>
          <cell r="F275">
            <v>1</v>
          </cell>
          <cell r="G275" t="str">
            <v>ja</v>
          </cell>
          <cell r="H275" t="str">
            <v>【ストーリー前編】勢いまかせ</v>
          </cell>
        </row>
        <row r="276">
          <cell r="A276" t="str">
            <v>11214_2</v>
          </cell>
          <cell r="B276">
            <v>0</v>
          </cell>
          <cell r="C276">
            <v>11214</v>
          </cell>
          <cell r="D276" t="str">
            <v>プロメテウスの恋</v>
          </cell>
          <cell r="E276" t="str">
            <v>2015年クリスマスクエスト</v>
          </cell>
          <cell r="F276">
            <v>2</v>
          </cell>
          <cell r="G276" t="str">
            <v>ja</v>
          </cell>
          <cell r="H276" t="str">
            <v>【ストーリー中編】恋の奥義</v>
          </cell>
        </row>
        <row r="277">
          <cell r="A277" t="str">
            <v>11214_3</v>
          </cell>
          <cell r="B277">
            <v>0</v>
          </cell>
          <cell r="C277">
            <v>11214</v>
          </cell>
          <cell r="D277" t="str">
            <v>プロメテウスの恋</v>
          </cell>
          <cell r="E277" t="str">
            <v>2015年クリスマスクエスト</v>
          </cell>
          <cell r="F277">
            <v>3</v>
          </cell>
          <cell r="G277" t="str">
            <v>ja</v>
          </cell>
          <cell r="H277" t="str">
            <v>【ストーリー後編】フィーバーの力</v>
          </cell>
        </row>
        <row r="278">
          <cell r="A278" t="str">
            <v>11215_1</v>
          </cell>
          <cell r="B278">
            <v>0</v>
          </cell>
          <cell r="C278">
            <v>11215</v>
          </cell>
          <cell r="D278" t="str">
            <v>【マルチ】サンタダックを捕獲せよ！</v>
          </cell>
          <cell r="E278" t="str">
            <v>2015年クリスマスゲリラクエスト</v>
          </cell>
          <cell r="F278">
            <v>1</v>
          </cell>
          <cell r="G278" t="str">
            <v>ja</v>
          </cell>
          <cell r="H278" t="str">
            <v>【上級】サンタダックを捕獲せよ！</v>
          </cell>
        </row>
        <row r="279">
          <cell r="A279" t="str">
            <v>11216_1</v>
          </cell>
          <cell r="B279">
            <v>0</v>
          </cell>
          <cell r="C279">
            <v>11216</v>
          </cell>
          <cell r="D279" t="str">
            <v>年越し★特別クエスト</v>
          </cell>
          <cell r="E279" t="str">
            <v>2015年年越しクエスト</v>
          </cell>
          <cell r="F279">
            <v>1</v>
          </cell>
          <cell r="G279" t="str">
            <v>ja</v>
          </cell>
          <cell r="H279" t="str">
            <v>【上級】年を越える宴（ハートなし）</v>
          </cell>
        </row>
        <row r="280">
          <cell r="A280" t="str">
            <v>11217_1</v>
          </cell>
          <cell r="B280">
            <v>0</v>
          </cell>
          <cell r="C280">
            <v>11217</v>
          </cell>
          <cell r="D280" t="str">
            <v>年明け★特別クエスト</v>
          </cell>
          <cell r="E280" t="str">
            <v>2016年あけおめクエスト</v>
          </cell>
          <cell r="F280">
            <v>1</v>
          </cell>
          <cell r="G280" t="str">
            <v>ja</v>
          </cell>
          <cell r="H280" t="str">
            <v>あけおめダックのお年玉</v>
          </cell>
        </row>
        <row r="281">
          <cell r="A281" t="str">
            <v>11218_1</v>
          </cell>
          <cell r="B281">
            <v>3</v>
          </cell>
          <cell r="C281">
            <v>11218</v>
          </cell>
          <cell r="D281" t="str">
            <v>バレンタイン★特別クエスト</v>
          </cell>
          <cell r="E281" t="str">
            <v>2016年バレンタインクエスト</v>
          </cell>
          <cell r="F281">
            <v>1</v>
          </cell>
          <cell r="G281" t="str">
            <v>ja</v>
          </cell>
          <cell r="H281" t="str">
            <v>【ストーリー】バレンタイン狂想曲</v>
          </cell>
        </row>
        <row r="282">
          <cell r="A282" t="str">
            <v>11219_1</v>
          </cell>
          <cell r="B282">
            <v>3</v>
          </cell>
          <cell r="C282">
            <v>11219</v>
          </cell>
          <cell r="D282" t="str">
            <v>200万DL記念★特別クエスト</v>
          </cell>
          <cell r="E282" t="str">
            <v>200万DL記念★特別クエスト</v>
          </cell>
          <cell r="F282">
            <v>1</v>
          </cell>
          <cell r="G282" t="str">
            <v>ja</v>
          </cell>
          <cell r="H282" t="str">
            <v>ミリオンダックより愛を込めて 2</v>
          </cell>
        </row>
        <row r="283">
          <cell r="A283" t="str">
            <v>11220_1</v>
          </cell>
          <cell r="B283">
            <v>3</v>
          </cell>
          <cell r="C283">
            <v>11220</v>
          </cell>
          <cell r="D283" t="str">
            <v>ホワイトデー★特別クエスト</v>
          </cell>
          <cell r="E283" t="str">
            <v>2016年ホワイトデークエスト</v>
          </cell>
          <cell r="F283">
            <v>1</v>
          </cell>
          <cell r="G283" t="str">
            <v>ja</v>
          </cell>
          <cell r="H283" t="str">
            <v>【ストーリー】ホワイトデー独騒曲</v>
          </cell>
        </row>
        <row r="284">
          <cell r="A284" t="str">
            <v>11221_1</v>
          </cell>
          <cell r="B284">
            <v>3</v>
          </cell>
          <cell r="C284">
            <v>11221</v>
          </cell>
          <cell r="D284" t="str">
            <v>新生活★応援クエスト</v>
          </cell>
          <cell r="E284" t="str">
            <v>2016年卒業クエスト</v>
          </cell>
          <cell r="F284">
            <v>1</v>
          </cell>
          <cell r="G284" t="str">
            <v>ja</v>
          </cell>
          <cell r="H284" t="str">
            <v>【ストーリー】桜舞い散る樹の下で</v>
          </cell>
        </row>
        <row r="285">
          <cell r="A285" t="str">
            <v>11224_1</v>
          </cell>
          <cell r="B285">
            <v>3</v>
          </cell>
          <cell r="C285">
            <v>11224</v>
          </cell>
          <cell r="D285" t="str">
            <v>TVCM放送記念★特別クエスト</v>
          </cell>
          <cell r="E285" t="str">
            <v>TVCM放送記念★特別クエスト</v>
          </cell>
          <cell r="F285">
            <v>1</v>
          </cell>
          <cell r="G285" t="str">
            <v>ja</v>
          </cell>
          <cell r="H285" t="str">
            <v>【超ウザード級】ウザリーマン襲来</v>
          </cell>
        </row>
        <row r="286">
          <cell r="A286" t="str">
            <v>11225_1</v>
          </cell>
          <cell r="B286">
            <v>3</v>
          </cell>
          <cell r="C286">
            <v>11225</v>
          </cell>
          <cell r="D286" t="str">
            <v>400万DL記念★特別クエスト</v>
          </cell>
          <cell r="E286" t="str">
            <v>400万DL記念★特別クエスト</v>
          </cell>
          <cell r="F286">
            <v>1</v>
          </cell>
          <cell r="G286" t="str">
            <v>ja</v>
          </cell>
          <cell r="H286" t="str">
            <v>ミリオンダックより愛をこめて 4</v>
          </cell>
        </row>
        <row r="287">
          <cell r="A287" t="str">
            <v>11226_1</v>
          </cell>
          <cell r="B287">
            <v>3</v>
          </cell>
          <cell r="C287">
            <v>11226</v>
          </cell>
          <cell r="D287">
            <v>0</v>
          </cell>
          <cell r="E287">
            <v>0</v>
          </cell>
          <cell r="F287">
            <v>1</v>
          </cell>
          <cell r="G287" t="str">
            <v>ja</v>
          </cell>
          <cell r="H287" t="str">
            <v>1周年のキセキ</v>
          </cell>
        </row>
        <row r="288">
          <cell r="A288" t="str">
            <v>11226_2</v>
          </cell>
          <cell r="B288">
            <v>3</v>
          </cell>
          <cell r="C288">
            <v>11226</v>
          </cell>
          <cell r="D288" t="str">
            <v>1周年記念★特別クエスト</v>
          </cell>
          <cell r="E288" t="str">
            <v>1周年記念★特別クエスト</v>
          </cell>
          <cell r="F288">
            <v>2</v>
          </cell>
          <cell r="G288" t="str">
            <v>ja</v>
          </cell>
          <cell r="H288" t="str">
            <v>【クリスマス前編】勢いまかせ</v>
          </cell>
        </row>
        <row r="289">
          <cell r="A289" t="str">
            <v>11226_3</v>
          </cell>
          <cell r="B289">
            <v>3</v>
          </cell>
          <cell r="C289">
            <v>11226</v>
          </cell>
          <cell r="D289" t="str">
            <v>1周年記念★特別クエスト</v>
          </cell>
          <cell r="E289" t="str">
            <v>1周年記念★特別クエスト</v>
          </cell>
          <cell r="F289">
            <v>3</v>
          </cell>
          <cell r="G289" t="str">
            <v>ja</v>
          </cell>
          <cell r="H289" t="str">
            <v>【クリスマス後編】フィーバーの力</v>
          </cell>
        </row>
        <row r="290">
          <cell r="A290" t="str">
            <v>11226_4</v>
          </cell>
          <cell r="B290">
            <v>3</v>
          </cell>
          <cell r="C290">
            <v>11226</v>
          </cell>
          <cell r="D290" t="str">
            <v>1周年記念★特別クエスト</v>
          </cell>
          <cell r="E290" t="str">
            <v>1周年記念★特別クエスト</v>
          </cell>
          <cell r="F290">
            <v>4</v>
          </cell>
          <cell r="G290" t="str">
            <v>ja</v>
          </cell>
          <cell r="H290" t="str">
            <v>【上級】年を越える宴（ハートなし）</v>
          </cell>
        </row>
        <row r="291">
          <cell r="A291" t="str">
            <v>11226_5</v>
          </cell>
          <cell r="B291">
            <v>3</v>
          </cell>
          <cell r="C291">
            <v>11226</v>
          </cell>
          <cell r="D291" t="str">
            <v>1周年記念★特別クエスト</v>
          </cell>
          <cell r="E291" t="str">
            <v>1周年記念★特別クエスト</v>
          </cell>
          <cell r="F291">
            <v>5</v>
          </cell>
          <cell r="G291" t="str">
            <v>ja</v>
          </cell>
          <cell r="H291" t="str">
            <v>あけおめダックのお年玉</v>
          </cell>
        </row>
        <row r="292">
          <cell r="A292" t="str">
            <v>11226_6</v>
          </cell>
          <cell r="B292">
            <v>3</v>
          </cell>
          <cell r="C292">
            <v>11226</v>
          </cell>
          <cell r="D292" t="str">
            <v>1周年記念★特別クエスト</v>
          </cell>
          <cell r="E292" t="str">
            <v>1周年記念★特別クエスト</v>
          </cell>
          <cell r="F292">
            <v>6</v>
          </cell>
          <cell r="G292" t="str">
            <v>ja</v>
          </cell>
          <cell r="H292" t="str">
            <v>【ストーリー】バレンタイン狂想曲</v>
          </cell>
        </row>
        <row r="293">
          <cell r="A293" t="str">
            <v>11226_7</v>
          </cell>
          <cell r="B293">
            <v>3</v>
          </cell>
          <cell r="C293">
            <v>11226</v>
          </cell>
          <cell r="D293" t="str">
            <v>1周年記念★特別クエスト</v>
          </cell>
          <cell r="E293" t="str">
            <v>1周年記念★特別クエスト</v>
          </cell>
          <cell r="F293">
            <v>7</v>
          </cell>
          <cell r="G293" t="str">
            <v>ja</v>
          </cell>
          <cell r="H293" t="str">
            <v>【ストーリー】ホワイトデー独騒曲</v>
          </cell>
        </row>
        <row r="294">
          <cell r="A294" t="str">
            <v>11226_8</v>
          </cell>
          <cell r="B294">
            <v>3</v>
          </cell>
          <cell r="C294">
            <v>11226</v>
          </cell>
          <cell r="D294" t="str">
            <v>1周年記念★特別クエスト</v>
          </cell>
          <cell r="E294" t="str">
            <v>1周年記念★特別クエスト</v>
          </cell>
          <cell r="F294">
            <v>8</v>
          </cell>
          <cell r="G294" t="str">
            <v>ja</v>
          </cell>
          <cell r="H294" t="str">
            <v>【ストーリー】桜舞い散る樹の下で</v>
          </cell>
        </row>
        <row r="295">
          <cell r="A295" t="str">
            <v>11227_1</v>
          </cell>
          <cell r="B295">
            <v>1</v>
          </cell>
          <cell r="C295">
            <v>11227</v>
          </cell>
          <cell r="D295" t="str">
            <v>TVCM第2弾放送記念★特別クエスト</v>
          </cell>
          <cell r="E295" t="str">
            <v>TVCM第2弾放送記念★特別クエスト</v>
          </cell>
          <cell r="F295">
            <v>1</v>
          </cell>
          <cell r="G295" t="str">
            <v>ja</v>
          </cell>
          <cell r="H295" t="str">
            <v>【ALICE日常編】…勘違いじゃないよ。</v>
          </cell>
        </row>
        <row r="296">
          <cell r="A296" t="str">
            <v>11227_2</v>
          </cell>
          <cell r="B296">
            <v>3</v>
          </cell>
          <cell r="C296">
            <v>11227</v>
          </cell>
          <cell r="D296" t="str">
            <v>TVCM第2弾放送記念★特別クエスト</v>
          </cell>
          <cell r="E296" t="str">
            <v>TVCM第2弾放送記念★特別クエスト</v>
          </cell>
          <cell r="F296">
            <v>2</v>
          </cell>
          <cell r="G296" t="str">
            <v>ja</v>
          </cell>
          <cell r="H296" t="str">
            <v>…勘違いじゃないよ。</v>
          </cell>
        </row>
        <row r="297">
          <cell r="A297" t="str">
            <v>11228_1</v>
          </cell>
          <cell r="B297">
            <v>3</v>
          </cell>
          <cell r="C297">
            <v>11228</v>
          </cell>
          <cell r="D297" t="str">
            <v>バレンタイン★特別クエスト</v>
          </cell>
          <cell r="E297" t="str">
            <v>2016年バレンタインクエスト復刻</v>
          </cell>
          <cell r="F297">
            <v>1</v>
          </cell>
          <cell r="G297" t="str">
            <v>ja</v>
          </cell>
          <cell r="H297" t="str">
            <v>【ストーリー】バレンタイン狂想曲</v>
          </cell>
        </row>
        <row r="298">
          <cell r="A298" t="str">
            <v>11229_1</v>
          </cell>
          <cell r="B298">
            <v>3</v>
          </cell>
          <cell r="C298">
            <v>11229</v>
          </cell>
          <cell r="D298" t="str">
            <v>ホワイトデー★特別クエスト</v>
          </cell>
          <cell r="E298" t="str">
            <v>2016年ホワイトデークエスト復刻</v>
          </cell>
          <cell r="F298">
            <v>1</v>
          </cell>
          <cell r="G298" t="str">
            <v>ja</v>
          </cell>
          <cell r="H298" t="str">
            <v>【ストーリー】ホワイトデー独騒曲</v>
          </cell>
        </row>
        <row r="299">
          <cell r="A299" t="str">
            <v>11230_1</v>
          </cell>
          <cell r="B299">
            <v>3</v>
          </cell>
          <cell r="C299">
            <v>11230</v>
          </cell>
          <cell r="D299" t="str">
            <v>未知のウィルス大捜査！</v>
          </cell>
          <cell r="E299" t="str">
            <v>2017年エイプリルフールクエスト</v>
          </cell>
          <cell r="F299">
            <v>1</v>
          </cell>
          <cell r="G299" t="str">
            <v>ja</v>
          </cell>
          <cell r="H299" t="str">
            <v>【前編】未知のウィルス大捜査</v>
          </cell>
        </row>
        <row r="300">
          <cell r="A300" t="str">
            <v>11230_2</v>
          </cell>
          <cell r="B300">
            <v>3</v>
          </cell>
          <cell r="C300">
            <v>11230</v>
          </cell>
          <cell r="D300" t="str">
            <v>未知のウィルス大捜査！</v>
          </cell>
          <cell r="E300" t="str">
            <v>2017年エイプリルフールクエスト</v>
          </cell>
          <cell r="F300">
            <v>2</v>
          </cell>
          <cell r="G300" t="str">
            <v>ja</v>
          </cell>
          <cell r="H300" t="str">
            <v>【後編】未知のウィルス大捜査</v>
          </cell>
        </row>
        <row r="301">
          <cell r="A301" t="str">
            <v>11231_1</v>
          </cell>
          <cell r="B301">
            <v>3</v>
          </cell>
          <cell r="C301">
            <v>11231</v>
          </cell>
          <cell r="D301" t="str">
            <v>桜姫の招待状</v>
          </cell>
          <cell r="E301" t="str">
            <v>2017年お花見ストーリークエスト</v>
          </cell>
          <cell r="F301">
            <v>1</v>
          </cell>
          <cell r="G301" t="str">
            <v>ja</v>
          </cell>
          <cell r="H301" t="str">
            <v>【ストーリー】桜姫の招待状</v>
          </cell>
        </row>
        <row r="302">
          <cell r="A302" t="str">
            <v>12001_1</v>
          </cell>
          <cell r="B302">
            <v>3</v>
          </cell>
          <cell r="C302">
            <v>12001</v>
          </cell>
          <cell r="D302" t="str">
            <v>【緊急！！】 アヒル捕獲作戦</v>
          </cell>
          <cell r="E302" t="str">
            <v>ゲリラクエスト</v>
          </cell>
          <cell r="F302">
            <v>1</v>
          </cell>
          <cell r="G302" t="str">
            <v>ja</v>
          </cell>
          <cell r="H302" t="str">
            <v xml:space="preserve">【初級】メタルダックを捕獲せよ！ </v>
          </cell>
        </row>
        <row r="303">
          <cell r="A303" t="str">
            <v>12001_2</v>
          </cell>
          <cell r="B303">
            <v>3</v>
          </cell>
          <cell r="C303">
            <v>12001</v>
          </cell>
          <cell r="D303" t="str">
            <v>【緊急！！】 アヒル捕獲作戦</v>
          </cell>
          <cell r="E303" t="str">
            <v>ゲリラクエスト</v>
          </cell>
          <cell r="F303">
            <v>2</v>
          </cell>
          <cell r="G303" t="str">
            <v>ja</v>
          </cell>
          <cell r="H303" t="str">
            <v xml:space="preserve">【上級】メタルダックを捕獲せよ！ </v>
          </cell>
        </row>
        <row r="304">
          <cell r="A304" t="str">
            <v>12001_3</v>
          </cell>
          <cell r="B304">
            <v>3</v>
          </cell>
          <cell r="C304">
            <v>12001</v>
          </cell>
          <cell r="D304" t="str">
            <v>【緊急！！】 アヒル捕獲作戦</v>
          </cell>
          <cell r="E304" t="str">
            <v>ゲリラクエスト</v>
          </cell>
          <cell r="F304">
            <v>3</v>
          </cell>
          <cell r="G304" t="str">
            <v>ja</v>
          </cell>
          <cell r="H304" t="str">
            <v xml:space="preserve">【超級】メタルダックを捕獲せよ！ </v>
          </cell>
        </row>
        <row r="305">
          <cell r="A305" t="str">
            <v>12002_1</v>
          </cell>
          <cell r="B305">
            <v>3</v>
          </cell>
          <cell r="C305">
            <v>12002</v>
          </cell>
          <cell r="D305" t="str">
            <v>【マルチ専用1/2】 アヒル捕獲作戦</v>
          </cell>
          <cell r="E305" t="str">
            <v>ゲリラクエスト</v>
          </cell>
          <cell r="F305">
            <v>1</v>
          </cell>
          <cell r="G305" t="str">
            <v>ja</v>
          </cell>
          <cell r="H305" t="str">
            <v>【上級】メタルダックを捕獲せよ！</v>
          </cell>
        </row>
        <row r="306">
          <cell r="A306" t="str">
            <v>12002_2</v>
          </cell>
          <cell r="B306">
            <v>1</v>
          </cell>
          <cell r="C306">
            <v>12002</v>
          </cell>
          <cell r="D306" t="str">
            <v>【マルチ専用1/2】 アヒル捕獲作戦</v>
          </cell>
          <cell r="E306" t="str">
            <v>ゲリラクエスト</v>
          </cell>
          <cell r="F306">
            <v>2</v>
          </cell>
          <cell r="G306" t="str">
            <v>ja</v>
          </cell>
          <cell r="H306" t="str">
            <v xml:space="preserve">【超級】メタルダックを捕獲せよ！ </v>
          </cell>
        </row>
        <row r="307">
          <cell r="A307" t="str">
            <v>12003_1</v>
          </cell>
          <cell r="B307">
            <v>3</v>
          </cell>
          <cell r="C307">
            <v>12003</v>
          </cell>
          <cell r="D307" t="str">
            <v>【超緊急！！】メタルジェントルを追え</v>
          </cell>
          <cell r="E307" t="str">
            <v>ゲリラ【超級】</v>
          </cell>
          <cell r="F307">
            <v>1</v>
          </cell>
          <cell r="G307" t="str">
            <v>ja</v>
          </cell>
          <cell r="H307" t="str">
            <v>【超級】雷のジェントルを追え！</v>
          </cell>
        </row>
        <row r="308">
          <cell r="A308" t="str">
            <v>12003_2</v>
          </cell>
          <cell r="B308">
            <v>3</v>
          </cell>
          <cell r="C308">
            <v>12003</v>
          </cell>
          <cell r="D308" t="str">
            <v>【超緊急！！】メタルジェントルを追え</v>
          </cell>
          <cell r="E308" t="str">
            <v>ゲリラ【超級】</v>
          </cell>
          <cell r="F308">
            <v>2</v>
          </cell>
          <cell r="G308" t="str">
            <v>ja</v>
          </cell>
          <cell r="H308" t="str">
            <v>【超級】水のジェントルを追え！</v>
          </cell>
        </row>
        <row r="309">
          <cell r="A309" t="str">
            <v>12003_3</v>
          </cell>
          <cell r="B309">
            <v>3</v>
          </cell>
          <cell r="C309">
            <v>12003</v>
          </cell>
          <cell r="D309" t="str">
            <v>【超緊急！！】メタルジェントルを追え</v>
          </cell>
          <cell r="E309" t="str">
            <v>ゲリラ【超級】</v>
          </cell>
          <cell r="F309">
            <v>3</v>
          </cell>
          <cell r="G309" t="str">
            <v>ja</v>
          </cell>
          <cell r="H309" t="str">
            <v>【超級】森のジェントルを追え！</v>
          </cell>
        </row>
        <row r="310">
          <cell r="A310" t="str">
            <v>12003_4</v>
          </cell>
          <cell r="B310">
            <v>3</v>
          </cell>
          <cell r="C310">
            <v>12003</v>
          </cell>
          <cell r="D310" t="str">
            <v>【超緊急！！】メタルジェントルを追え</v>
          </cell>
          <cell r="E310" t="str">
            <v>ゲリラ【超級】</v>
          </cell>
          <cell r="F310">
            <v>4</v>
          </cell>
          <cell r="G310" t="str">
            <v>ja</v>
          </cell>
          <cell r="H310" t="str">
            <v>【超級】炎のジェントルを追え！</v>
          </cell>
        </row>
        <row r="311">
          <cell r="A311" t="str">
            <v>12004_1</v>
          </cell>
          <cell r="B311">
            <v>3</v>
          </cell>
          <cell r="C311">
            <v>12004</v>
          </cell>
          <cell r="D311" t="str">
            <v>メタルフロッグをもとめて</v>
          </cell>
          <cell r="E311" t="str">
            <v>イベントクエスト</v>
          </cell>
          <cell r="F311">
            <v>1</v>
          </cell>
          <cell r="G311" t="str">
            <v>ja</v>
          </cell>
          <cell r="H311" t="str">
            <v>【上級】メタルフロッグをもとめて</v>
          </cell>
        </row>
        <row r="312">
          <cell r="A312" t="str">
            <v>13001_1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1</v>
          </cell>
          <cell r="G312" t="str">
            <v>ja</v>
          </cell>
          <cell r="H312" t="str">
            <v>チャレンジタワー 1F</v>
          </cell>
        </row>
        <row r="313">
          <cell r="A313" t="str">
            <v>13001_2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2</v>
          </cell>
          <cell r="G313" t="str">
            <v>ja</v>
          </cell>
          <cell r="H313" t="str">
            <v>チャレンジタワー 2F</v>
          </cell>
        </row>
        <row r="314">
          <cell r="A314" t="str">
            <v>13001_3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3</v>
          </cell>
          <cell r="G314" t="str">
            <v>ja</v>
          </cell>
          <cell r="H314" t="str">
            <v>チャレンジタワー 3F</v>
          </cell>
        </row>
        <row r="315">
          <cell r="A315" t="str">
            <v>13001_4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4</v>
          </cell>
          <cell r="G315" t="str">
            <v>ja</v>
          </cell>
          <cell r="H315" t="str">
            <v>チャレンジタワー 4F</v>
          </cell>
        </row>
        <row r="316">
          <cell r="A316" t="str">
            <v>13001_5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5</v>
          </cell>
          <cell r="G316" t="str">
            <v>ja</v>
          </cell>
          <cell r="H316" t="str">
            <v>チャレンジタワー 5F</v>
          </cell>
        </row>
        <row r="317">
          <cell r="A317" t="str">
            <v>13001_6</v>
          </cell>
          <cell r="B317">
            <v>3</v>
          </cell>
          <cell r="C317">
            <v>13001</v>
          </cell>
          <cell r="D317" t="str">
            <v>チャレンジタワー(ソロ専用)</v>
          </cell>
          <cell r="E317" t="str">
            <v>試練の塔</v>
          </cell>
          <cell r="F317">
            <v>6</v>
          </cell>
          <cell r="G317" t="str">
            <v>ja</v>
          </cell>
          <cell r="H317" t="str">
            <v>チャレンジタワー 6F</v>
          </cell>
        </row>
        <row r="318">
          <cell r="A318" t="str">
            <v>13001_7</v>
          </cell>
          <cell r="B318">
            <v>3</v>
          </cell>
          <cell r="C318">
            <v>13001</v>
          </cell>
          <cell r="D318" t="str">
            <v>チャレンジタワー(ソロ専用)</v>
          </cell>
          <cell r="E318" t="str">
            <v>試練の塔</v>
          </cell>
          <cell r="F318">
            <v>7</v>
          </cell>
          <cell r="G318" t="str">
            <v>ja</v>
          </cell>
          <cell r="H318" t="str">
            <v>チャレンジタワー 7F</v>
          </cell>
        </row>
        <row r="319">
          <cell r="A319" t="str">
            <v>13001_8</v>
          </cell>
          <cell r="B319">
            <v>3</v>
          </cell>
          <cell r="C319">
            <v>13001</v>
          </cell>
          <cell r="D319" t="str">
            <v>チャレンジタワー(ソロ専用)</v>
          </cell>
          <cell r="E319" t="str">
            <v>試練の塔</v>
          </cell>
          <cell r="F319">
            <v>8</v>
          </cell>
          <cell r="G319" t="str">
            <v>ja</v>
          </cell>
          <cell r="H319" t="str">
            <v>チャレンジタワー 8F</v>
          </cell>
        </row>
        <row r="320">
          <cell r="A320" t="str">
            <v>13001_9</v>
          </cell>
          <cell r="B320">
            <v>3</v>
          </cell>
          <cell r="C320">
            <v>13001</v>
          </cell>
          <cell r="D320" t="str">
            <v>チャレンジタワー(ソロ専用)</v>
          </cell>
          <cell r="E320" t="str">
            <v>試練の塔</v>
          </cell>
          <cell r="F320">
            <v>9</v>
          </cell>
          <cell r="G320" t="str">
            <v>ja</v>
          </cell>
          <cell r="H320" t="str">
            <v>チャレンジタワー 9F</v>
          </cell>
        </row>
        <row r="321">
          <cell r="A321" t="str">
            <v>13001_10</v>
          </cell>
          <cell r="B321">
            <v>3</v>
          </cell>
          <cell r="C321">
            <v>13001</v>
          </cell>
          <cell r="D321" t="str">
            <v>チャレンジタワー(ソロ専用)</v>
          </cell>
          <cell r="E321" t="str">
            <v>試練の塔</v>
          </cell>
          <cell r="F321">
            <v>10</v>
          </cell>
          <cell r="G321" t="str">
            <v>ja</v>
          </cell>
          <cell r="H321" t="str">
            <v>チャレンジタワー 10F</v>
          </cell>
        </row>
        <row r="322">
          <cell r="A322" t="str">
            <v>13001_11</v>
          </cell>
          <cell r="B322">
            <v>3</v>
          </cell>
          <cell r="C322">
            <v>13001</v>
          </cell>
          <cell r="D322" t="str">
            <v>チャレンジタワー(ソロ専用)</v>
          </cell>
          <cell r="E322" t="str">
            <v>試練の塔</v>
          </cell>
          <cell r="F322">
            <v>11</v>
          </cell>
          <cell r="G322" t="str">
            <v>ja</v>
          </cell>
          <cell r="H322" t="str">
            <v>チャレンジタワー 11F</v>
          </cell>
        </row>
        <row r="323">
          <cell r="A323" t="str">
            <v>13001_12</v>
          </cell>
          <cell r="B323">
            <v>3</v>
          </cell>
          <cell r="C323">
            <v>13001</v>
          </cell>
          <cell r="D323" t="str">
            <v>チャレンジタワー(ソロ専用)</v>
          </cell>
          <cell r="E323" t="str">
            <v>試練の塔</v>
          </cell>
          <cell r="F323">
            <v>12</v>
          </cell>
          <cell r="G323" t="str">
            <v>ja</v>
          </cell>
          <cell r="H323" t="str">
            <v>チャレンジタワー 12F</v>
          </cell>
        </row>
        <row r="324">
          <cell r="A324" t="str">
            <v>13001_13</v>
          </cell>
          <cell r="B324">
            <v>3</v>
          </cell>
          <cell r="C324">
            <v>13001</v>
          </cell>
          <cell r="D324" t="str">
            <v>チャレンジタワー(ソロ専用)</v>
          </cell>
          <cell r="E324" t="str">
            <v>試練の塔</v>
          </cell>
          <cell r="F324">
            <v>13</v>
          </cell>
          <cell r="G324" t="str">
            <v>ja</v>
          </cell>
          <cell r="H324" t="str">
            <v>チャレンジタワー 13F</v>
          </cell>
        </row>
        <row r="325">
          <cell r="A325" t="str">
            <v>13001_14</v>
          </cell>
          <cell r="B325">
            <v>3</v>
          </cell>
          <cell r="C325">
            <v>13001</v>
          </cell>
          <cell r="D325" t="str">
            <v>チャレンジタワー(ソロ専用)</v>
          </cell>
          <cell r="E325" t="str">
            <v>試練の塔</v>
          </cell>
          <cell r="F325">
            <v>14</v>
          </cell>
          <cell r="G325" t="str">
            <v>ja</v>
          </cell>
          <cell r="H325" t="str">
            <v>チャレンジタワー 14F</v>
          </cell>
        </row>
        <row r="326">
          <cell r="A326" t="str">
            <v>13001_15</v>
          </cell>
          <cell r="B326">
            <v>3</v>
          </cell>
          <cell r="C326">
            <v>13001</v>
          </cell>
          <cell r="D326" t="str">
            <v>チャレンジタワー(ソロ専用)</v>
          </cell>
          <cell r="E326" t="str">
            <v>試練の塔</v>
          </cell>
          <cell r="F326">
            <v>15</v>
          </cell>
          <cell r="G326" t="str">
            <v>ja</v>
          </cell>
          <cell r="H326" t="str">
            <v>チャレンジタワー 15F</v>
          </cell>
        </row>
        <row r="327">
          <cell r="A327" t="str">
            <v>13001_16</v>
          </cell>
          <cell r="B327">
            <v>3</v>
          </cell>
          <cell r="C327">
            <v>13001</v>
          </cell>
          <cell r="D327" t="str">
            <v>チャレンジタワー(ソロ専用)</v>
          </cell>
          <cell r="E327" t="str">
            <v>試練の塔</v>
          </cell>
          <cell r="F327">
            <v>16</v>
          </cell>
          <cell r="G327" t="str">
            <v>ja</v>
          </cell>
          <cell r="H327" t="str">
            <v>チャレンジタワー 16F</v>
          </cell>
        </row>
        <row r="328">
          <cell r="A328" t="str">
            <v>13001_17</v>
          </cell>
          <cell r="B328">
            <v>3</v>
          </cell>
          <cell r="C328">
            <v>13001</v>
          </cell>
          <cell r="D328" t="str">
            <v>チャレンジタワー(ソロ専用)</v>
          </cell>
          <cell r="E328" t="str">
            <v>試練の塔</v>
          </cell>
          <cell r="F328">
            <v>17</v>
          </cell>
          <cell r="G328" t="str">
            <v>ja</v>
          </cell>
          <cell r="H328" t="str">
            <v>チャレンジタワー 17F</v>
          </cell>
        </row>
        <row r="329">
          <cell r="A329" t="str">
            <v>13001_18</v>
          </cell>
          <cell r="B329">
            <v>3</v>
          </cell>
          <cell r="C329">
            <v>13001</v>
          </cell>
          <cell r="D329" t="str">
            <v>チャレンジタワー(ソロ専用)</v>
          </cell>
          <cell r="E329" t="str">
            <v>試練の塔</v>
          </cell>
          <cell r="F329">
            <v>18</v>
          </cell>
          <cell r="G329" t="str">
            <v>ja</v>
          </cell>
          <cell r="H329" t="str">
            <v>チャレンジタワー 18F</v>
          </cell>
        </row>
        <row r="330">
          <cell r="A330" t="str">
            <v>13001_19</v>
          </cell>
          <cell r="B330">
            <v>3</v>
          </cell>
          <cell r="C330">
            <v>13001</v>
          </cell>
          <cell r="D330" t="str">
            <v>チャレンジタワー(ソロ専用)</v>
          </cell>
          <cell r="E330" t="str">
            <v>試練の塔</v>
          </cell>
          <cell r="F330">
            <v>19</v>
          </cell>
          <cell r="G330" t="str">
            <v>ja</v>
          </cell>
          <cell r="H330" t="str">
            <v>チャレンジタワー 19F</v>
          </cell>
        </row>
        <row r="331">
          <cell r="A331" t="str">
            <v>13001_20</v>
          </cell>
          <cell r="B331">
            <v>3</v>
          </cell>
          <cell r="C331">
            <v>13001</v>
          </cell>
          <cell r="D331" t="str">
            <v>チャレンジタワー(ソロ専用)</v>
          </cell>
          <cell r="E331" t="str">
            <v>試練の塔</v>
          </cell>
          <cell r="F331">
            <v>20</v>
          </cell>
          <cell r="G331" t="str">
            <v>ja</v>
          </cell>
          <cell r="H331" t="str">
            <v>チャレンジタワー 20F</v>
          </cell>
        </row>
        <row r="332">
          <cell r="A332" t="str">
            <v>13001_21</v>
          </cell>
          <cell r="B332">
            <v>3</v>
          </cell>
          <cell r="C332">
            <v>13001</v>
          </cell>
          <cell r="D332" t="str">
            <v>チャレンジタワー(ソロ専用)</v>
          </cell>
          <cell r="E332" t="str">
            <v>試練の塔</v>
          </cell>
          <cell r="F332">
            <v>21</v>
          </cell>
          <cell r="G332" t="str">
            <v>ja</v>
          </cell>
          <cell r="H332" t="str">
            <v>チャレンジタワー 21F</v>
          </cell>
        </row>
        <row r="333">
          <cell r="A333" t="str">
            <v>13001_22</v>
          </cell>
          <cell r="B333">
            <v>3</v>
          </cell>
          <cell r="C333">
            <v>13001</v>
          </cell>
          <cell r="D333" t="str">
            <v>チャレンジタワー(ソロ専用)</v>
          </cell>
          <cell r="E333" t="str">
            <v>試練の塔</v>
          </cell>
          <cell r="F333">
            <v>22</v>
          </cell>
          <cell r="G333" t="str">
            <v>ja</v>
          </cell>
          <cell r="H333" t="str">
            <v>チャレンジタワー 22F</v>
          </cell>
        </row>
        <row r="334">
          <cell r="A334" t="str">
            <v>13001_23</v>
          </cell>
          <cell r="B334">
            <v>3</v>
          </cell>
          <cell r="C334">
            <v>13001</v>
          </cell>
          <cell r="D334" t="str">
            <v>チャレンジタワー(ソロ専用)</v>
          </cell>
          <cell r="E334" t="str">
            <v>試練の塔</v>
          </cell>
          <cell r="F334">
            <v>23</v>
          </cell>
          <cell r="G334" t="str">
            <v>ja</v>
          </cell>
          <cell r="H334" t="str">
            <v>チャレンジタワー 23F</v>
          </cell>
        </row>
        <row r="335">
          <cell r="A335" t="str">
            <v>13001_24</v>
          </cell>
          <cell r="B335">
            <v>3</v>
          </cell>
          <cell r="C335">
            <v>13001</v>
          </cell>
          <cell r="D335" t="str">
            <v>チャレンジタワー(ソロ専用)</v>
          </cell>
          <cell r="E335" t="str">
            <v>試練の塔</v>
          </cell>
          <cell r="F335">
            <v>24</v>
          </cell>
          <cell r="G335" t="str">
            <v>ja</v>
          </cell>
          <cell r="H335" t="str">
            <v>チャレンジタワー 24F</v>
          </cell>
        </row>
        <row r="336">
          <cell r="A336" t="str">
            <v>13001_25</v>
          </cell>
          <cell r="B336">
            <v>3</v>
          </cell>
          <cell r="C336">
            <v>13001</v>
          </cell>
          <cell r="D336" t="str">
            <v>チャレンジタワー(ソロ専用)</v>
          </cell>
          <cell r="E336" t="str">
            <v>試練の塔</v>
          </cell>
          <cell r="F336">
            <v>25</v>
          </cell>
          <cell r="G336" t="str">
            <v>ja</v>
          </cell>
          <cell r="H336" t="str">
            <v>チャレンジタワー 25F</v>
          </cell>
        </row>
        <row r="337">
          <cell r="A337" t="str">
            <v>13101_1</v>
          </cell>
          <cell r="B337">
            <v>1</v>
          </cell>
          <cell r="C337">
            <v>13101</v>
          </cell>
          <cell r="D337" t="str">
            <v>チャレンジタワー</v>
          </cell>
          <cell r="E337" t="str">
            <v>リセット型チャレンジタワー</v>
          </cell>
          <cell r="F337">
            <v>1</v>
          </cell>
          <cell r="G337" t="str">
            <v>ja</v>
          </cell>
          <cell r="H337" t="str">
            <v>チャレンジタワー 1F</v>
          </cell>
        </row>
        <row r="338">
          <cell r="A338" t="str">
            <v>13101_2</v>
          </cell>
          <cell r="B338">
            <v>1</v>
          </cell>
          <cell r="C338">
            <v>13101</v>
          </cell>
          <cell r="D338" t="str">
            <v>チャレンジタワー</v>
          </cell>
          <cell r="E338" t="str">
            <v>リセット型チャレンジタワー</v>
          </cell>
          <cell r="F338">
            <v>2</v>
          </cell>
          <cell r="G338" t="str">
            <v>ja</v>
          </cell>
          <cell r="H338" t="str">
            <v>チャレンジタワー 2F</v>
          </cell>
        </row>
        <row r="339">
          <cell r="A339" t="str">
            <v>13101_3</v>
          </cell>
          <cell r="B339">
            <v>1</v>
          </cell>
          <cell r="C339">
            <v>13101</v>
          </cell>
          <cell r="D339" t="str">
            <v>チャレンジタワー</v>
          </cell>
          <cell r="E339" t="str">
            <v>リセット型チャレンジタワー</v>
          </cell>
          <cell r="F339">
            <v>3</v>
          </cell>
          <cell r="G339" t="str">
            <v>ja</v>
          </cell>
          <cell r="H339" t="str">
            <v>チャレンジタワー 3F</v>
          </cell>
        </row>
        <row r="340">
          <cell r="A340" t="str">
            <v>13101_4</v>
          </cell>
          <cell r="B340">
            <v>1</v>
          </cell>
          <cell r="C340">
            <v>13101</v>
          </cell>
          <cell r="D340" t="str">
            <v>チャレンジタワー</v>
          </cell>
          <cell r="E340" t="str">
            <v>リセット型チャレンジタワー</v>
          </cell>
          <cell r="F340">
            <v>4</v>
          </cell>
          <cell r="G340" t="str">
            <v>ja</v>
          </cell>
          <cell r="H340" t="str">
            <v>チャレンジタワー 4F</v>
          </cell>
        </row>
        <row r="341">
          <cell r="A341" t="str">
            <v>13101_5</v>
          </cell>
          <cell r="B341">
            <v>1</v>
          </cell>
          <cell r="C341">
            <v>13101</v>
          </cell>
          <cell r="D341" t="str">
            <v>チャレンジタワー</v>
          </cell>
          <cell r="E341" t="str">
            <v>リセット型チャレンジタワー</v>
          </cell>
          <cell r="F341">
            <v>5</v>
          </cell>
          <cell r="G341" t="str">
            <v>ja</v>
          </cell>
          <cell r="H341" t="str">
            <v>チャレンジタワー 5F</v>
          </cell>
        </row>
        <row r="342">
          <cell r="A342" t="str">
            <v>13101_6</v>
          </cell>
          <cell r="B342">
            <v>1</v>
          </cell>
          <cell r="C342">
            <v>13101</v>
          </cell>
          <cell r="D342" t="str">
            <v>チャレンジタワー</v>
          </cell>
          <cell r="E342" t="str">
            <v>リセット型チャレンジタワー</v>
          </cell>
          <cell r="F342">
            <v>6</v>
          </cell>
          <cell r="G342" t="str">
            <v>ja</v>
          </cell>
          <cell r="H342" t="str">
            <v>チャレンジタワー 6F</v>
          </cell>
        </row>
        <row r="343">
          <cell r="A343" t="str">
            <v>13101_7</v>
          </cell>
          <cell r="B343">
            <v>1</v>
          </cell>
          <cell r="C343">
            <v>13101</v>
          </cell>
          <cell r="D343" t="str">
            <v>チャレンジタワー</v>
          </cell>
          <cell r="E343" t="str">
            <v>リセット型チャレンジタワー</v>
          </cell>
          <cell r="F343">
            <v>7</v>
          </cell>
          <cell r="G343" t="str">
            <v>ja</v>
          </cell>
          <cell r="H343" t="str">
            <v>チャレンジタワー 7F</v>
          </cell>
        </row>
        <row r="344">
          <cell r="A344" t="str">
            <v>13101_8</v>
          </cell>
          <cell r="B344">
            <v>1</v>
          </cell>
          <cell r="C344">
            <v>13101</v>
          </cell>
          <cell r="D344" t="str">
            <v>チャレンジタワー</v>
          </cell>
          <cell r="E344" t="str">
            <v>リセット型チャレンジタワー</v>
          </cell>
          <cell r="F344">
            <v>8</v>
          </cell>
          <cell r="G344" t="str">
            <v>ja</v>
          </cell>
          <cell r="H344" t="str">
            <v>チャレンジタワー 8F</v>
          </cell>
        </row>
        <row r="345">
          <cell r="A345" t="str">
            <v>13101_9</v>
          </cell>
          <cell r="B345">
            <v>1</v>
          </cell>
          <cell r="C345">
            <v>13101</v>
          </cell>
          <cell r="D345" t="str">
            <v>チャレンジタワー</v>
          </cell>
          <cell r="E345" t="str">
            <v>リセット型チャレンジタワー</v>
          </cell>
          <cell r="F345">
            <v>9</v>
          </cell>
          <cell r="G345" t="str">
            <v>ja</v>
          </cell>
          <cell r="H345" t="str">
            <v>チャレンジタワー 9F</v>
          </cell>
        </row>
        <row r="346">
          <cell r="A346" t="str">
            <v>13101_10</v>
          </cell>
          <cell r="B346">
            <v>1</v>
          </cell>
          <cell r="C346">
            <v>13101</v>
          </cell>
          <cell r="D346" t="str">
            <v>チャレンジタワー</v>
          </cell>
          <cell r="E346" t="str">
            <v>リセット型チャレンジタワー</v>
          </cell>
          <cell r="F346">
            <v>10</v>
          </cell>
          <cell r="G346" t="str">
            <v>ja</v>
          </cell>
          <cell r="H346" t="str">
            <v>チャレンジタワー 10F</v>
          </cell>
        </row>
        <row r="347">
          <cell r="A347" t="str">
            <v>13101_11</v>
          </cell>
          <cell r="B347">
            <v>1</v>
          </cell>
          <cell r="C347">
            <v>13101</v>
          </cell>
          <cell r="D347" t="str">
            <v>チャレンジタワー</v>
          </cell>
          <cell r="E347" t="str">
            <v>リセット型チャレンジタワー</v>
          </cell>
          <cell r="F347">
            <v>11</v>
          </cell>
          <cell r="G347" t="str">
            <v>ja</v>
          </cell>
          <cell r="H347" t="str">
            <v>チャレンジタワー 11F</v>
          </cell>
        </row>
        <row r="348">
          <cell r="A348" t="str">
            <v>13101_12</v>
          </cell>
          <cell r="B348">
            <v>1</v>
          </cell>
          <cell r="C348">
            <v>13101</v>
          </cell>
          <cell r="D348" t="str">
            <v>チャレンジタワー</v>
          </cell>
          <cell r="E348" t="str">
            <v>リセット型チャレンジタワー</v>
          </cell>
          <cell r="F348">
            <v>12</v>
          </cell>
          <cell r="G348" t="str">
            <v>ja</v>
          </cell>
          <cell r="H348" t="str">
            <v>チャレンジタワー 12F</v>
          </cell>
        </row>
        <row r="349">
          <cell r="A349" t="str">
            <v>13101_13</v>
          </cell>
          <cell r="B349">
            <v>1</v>
          </cell>
          <cell r="C349">
            <v>13101</v>
          </cell>
          <cell r="D349" t="str">
            <v>チャレンジタワー</v>
          </cell>
          <cell r="E349" t="str">
            <v>リセット型チャレンジタワー</v>
          </cell>
          <cell r="F349">
            <v>13</v>
          </cell>
          <cell r="G349" t="str">
            <v>ja</v>
          </cell>
          <cell r="H349" t="str">
            <v>チャレンジタワー 13F</v>
          </cell>
        </row>
        <row r="350">
          <cell r="A350" t="str">
            <v>13101_14</v>
          </cell>
          <cell r="B350">
            <v>1</v>
          </cell>
          <cell r="C350">
            <v>13101</v>
          </cell>
          <cell r="D350" t="str">
            <v>チャレンジタワー</v>
          </cell>
          <cell r="E350" t="str">
            <v>リセット型チャレンジタワー</v>
          </cell>
          <cell r="F350">
            <v>14</v>
          </cell>
          <cell r="G350" t="str">
            <v>ja</v>
          </cell>
          <cell r="H350" t="str">
            <v>チャレンジタワー 14F</v>
          </cell>
        </row>
        <row r="351">
          <cell r="A351" t="str">
            <v>13101_15</v>
          </cell>
          <cell r="B351">
            <v>1</v>
          </cell>
          <cell r="C351">
            <v>13101</v>
          </cell>
          <cell r="D351" t="str">
            <v>チャレンジタワー</v>
          </cell>
          <cell r="E351" t="str">
            <v>リセット型チャレンジタワー</v>
          </cell>
          <cell r="F351">
            <v>15</v>
          </cell>
          <cell r="G351" t="str">
            <v>ja</v>
          </cell>
          <cell r="H351" t="str">
            <v>チャレンジタワー 15F</v>
          </cell>
        </row>
        <row r="352">
          <cell r="A352" t="str">
            <v>13101_16</v>
          </cell>
          <cell r="B352">
            <v>1</v>
          </cell>
          <cell r="C352">
            <v>13101</v>
          </cell>
          <cell r="D352" t="str">
            <v>チャレンジタワー</v>
          </cell>
          <cell r="E352" t="str">
            <v>リセット型チャレンジタワー</v>
          </cell>
          <cell r="F352">
            <v>16</v>
          </cell>
          <cell r="G352" t="str">
            <v>ja</v>
          </cell>
          <cell r="H352" t="str">
            <v>チャレンジタワー 16F</v>
          </cell>
        </row>
        <row r="353">
          <cell r="A353" t="str">
            <v>13101_17</v>
          </cell>
          <cell r="B353">
            <v>1</v>
          </cell>
          <cell r="C353">
            <v>13101</v>
          </cell>
          <cell r="D353" t="str">
            <v>チャレンジタワー</v>
          </cell>
          <cell r="E353" t="str">
            <v>リセット型チャレンジタワー</v>
          </cell>
          <cell r="F353">
            <v>17</v>
          </cell>
          <cell r="G353" t="str">
            <v>ja</v>
          </cell>
          <cell r="H353" t="str">
            <v>チャレンジタワー 17F</v>
          </cell>
        </row>
        <row r="354">
          <cell r="A354" t="str">
            <v>13101_18</v>
          </cell>
          <cell r="B354">
            <v>1</v>
          </cell>
          <cell r="C354">
            <v>13101</v>
          </cell>
          <cell r="D354" t="str">
            <v>チャレンジタワー</v>
          </cell>
          <cell r="E354" t="str">
            <v>リセット型チャレンジタワー</v>
          </cell>
          <cell r="F354">
            <v>18</v>
          </cell>
          <cell r="G354" t="str">
            <v>ja</v>
          </cell>
          <cell r="H354" t="str">
            <v>チャレンジタワー 18F</v>
          </cell>
        </row>
        <row r="355">
          <cell r="A355" t="str">
            <v>13101_19</v>
          </cell>
          <cell r="B355">
            <v>1</v>
          </cell>
          <cell r="C355">
            <v>13101</v>
          </cell>
          <cell r="D355" t="str">
            <v>チャレンジタワー</v>
          </cell>
          <cell r="E355" t="str">
            <v>リセット型チャレンジタワー</v>
          </cell>
          <cell r="F355">
            <v>19</v>
          </cell>
          <cell r="G355" t="str">
            <v>ja</v>
          </cell>
          <cell r="H355" t="str">
            <v>チャレンジタワー 19F</v>
          </cell>
        </row>
        <row r="356">
          <cell r="A356" t="str">
            <v>13101_20</v>
          </cell>
          <cell r="B356">
            <v>1</v>
          </cell>
          <cell r="C356">
            <v>13101</v>
          </cell>
          <cell r="D356" t="str">
            <v>チャレンジタワー</v>
          </cell>
          <cell r="E356" t="str">
            <v>リセット型チャレンジタワー</v>
          </cell>
          <cell r="F356">
            <v>20</v>
          </cell>
          <cell r="G356" t="str">
            <v>ja</v>
          </cell>
          <cell r="H356" t="str">
            <v>チャレンジタワー 20F</v>
          </cell>
        </row>
        <row r="357">
          <cell r="A357" t="str">
            <v>13101_21</v>
          </cell>
          <cell r="B357">
            <v>1</v>
          </cell>
          <cell r="C357">
            <v>13101</v>
          </cell>
          <cell r="D357" t="str">
            <v>チャレンジタワー</v>
          </cell>
          <cell r="E357" t="str">
            <v>リセット型チャレンジタワー</v>
          </cell>
          <cell r="F357">
            <v>21</v>
          </cell>
          <cell r="G357" t="str">
            <v>ja</v>
          </cell>
          <cell r="H357" t="str">
            <v>チャレンジタワー 21F</v>
          </cell>
        </row>
        <row r="358">
          <cell r="A358" t="str">
            <v>13101_22</v>
          </cell>
          <cell r="B358">
            <v>1</v>
          </cell>
          <cell r="C358">
            <v>13101</v>
          </cell>
          <cell r="D358" t="str">
            <v>チャレンジタワー</v>
          </cell>
          <cell r="E358" t="str">
            <v>リセット型チャレンジタワー</v>
          </cell>
          <cell r="F358">
            <v>22</v>
          </cell>
          <cell r="G358" t="str">
            <v>ja</v>
          </cell>
          <cell r="H358" t="str">
            <v>チャレンジタワー 22F</v>
          </cell>
        </row>
        <row r="359">
          <cell r="A359" t="str">
            <v>13101_23</v>
          </cell>
          <cell r="B359">
            <v>1</v>
          </cell>
          <cell r="C359">
            <v>13101</v>
          </cell>
          <cell r="D359" t="str">
            <v>チャレンジタワー</v>
          </cell>
          <cell r="E359" t="str">
            <v>リセット型チャレンジタワー</v>
          </cell>
          <cell r="F359">
            <v>23</v>
          </cell>
          <cell r="G359" t="str">
            <v>ja</v>
          </cell>
          <cell r="H359" t="str">
            <v>チャレンジタワー 23F</v>
          </cell>
        </row>
        <row r="360">
          <cell r="A360" t="str">
            <v>13101_24</v>
          </cell>
          <cell r="B360">
            <v>1</v>
          </cell>
          <cell r="C360">
            <v>13101</v>
          </cell>
          <cell r="D360" t="str">
            <v>チャレンジタワー</v>
          </cell>
          <cell r="E360" t="str">
            <v>リセット型チャレンジタワー</v>
          </cell>
          <cell r="F360">
            <v>24</v>
          </cell>
          <cell r="G360" t="str">
            <v>ja</v>
          </cell>
          <cell r="H360" t="str">
            <v>チャレンジタワー 24F</v>
          </cell>
        </row>
        <row r="361">
          <cell r="A361" t="str">
            <v>13101_25</v>
          </cell>
          <cell r="B361">
            <v>1</v>
          </cell>
          <cell r="C361">
            <v>13101</v>
          </cell>
          <cell r="D361" t="str">
            <v>チャレンジタワー</v>
          </cell>
          <cell r="E361" t="str">
            <v>リセット型チャレンジタワー</v>
          </cell>
          <cell r="F361">
            <v>25</v>
          </cell>
          <cell r="G361" t="str">
            <v>ja</v>
          </cell>
          <cell r="H361" t="str">
            <v>チャレンジタワー 25F</v>
          </cell>
        </row>
        <row r="362">
          <cell r="A362" t="str">
            <v>13300_1</v>
          </cell>
          <cell r="B362">
            <v>3</v>
          </cell>
          <cell r="C362">
            <v>13300</v>
          </cell>
          <cell r="D362" t="str">
            <v>タワーオブザクイーン -アヴァルシア-</v>
          </cell>
          <cell r="E362" t="str">
            <v>タワーオブザクイーン1本目</v>
          </cell>
          <cell r="F362">
            <v>1</v>
          </cell>
          <cell r="G362" t="str">
            <v>ja</v>
          </cell>
          <cell r="H362" t="str">
            <v>1階 コスト制限なし</v>
          </cell>
        </row>
        <row r="363">
          <cell r="A363" t="str">
            <v>13300_2</v>
          </cell>
          <cell r="B363">
            <v>3</v>
          </cell>
          <cell r="C363">
            <v>13300</v>
          </cell>
          <cell r="D363" t="str">
            <v>タワーオブザクイーン -アヴァルシア-</v>
          </cell>
          <cell r="E363" t="str">
            <v>タワーオブザクイーン1本目</v>
          </cell>
          <cell r="F363">
            <v>2</v>
          </cell>
          <cell r="G363" t="str">
            <v>ja</v>
          </cell>
          <cell r="H363" t="str">
            <v>2階 コスト制限なし</v>
          </cell>
        </row>
        <row r="364">
          <cell r="A364" t="str">
            <v>13300_3</v>
          </cell>
          <cell r="B364">
            <v>3</v>
          </cell>
          <cell r="C364">
            <v>13300</v>
          </cell>
          <cell r="D364" t="str">
            <v>タワーオブザクイーン -アヴァルシア-</v>
          </cell>
          <cell r="E364" t="str">
            <v>タワーオブザクイーン1本目</v>
          </cell>
          <cell r="F364">
            <v>3</v>
          </cell>
          <cell r="G364" t="str">
            <v>ja</v>
          </cell>
          <cell r="H364" t="str">
            <v>3階 コスト制限なし</v>
          </cell>
        </row>
        <row r="365">
          <cell r="A365" t="str">
            <v>13300_4</v>
          </cell>
          <cell r="B365">
            <v>3</v>
          </cell>
          <cell r="C365">
            <v>13300</v>
          </cell>
          <cell r="D365" t="str">
            <v>タワーオブザクイーン -アヴァルシア-</v>
          </cell>
          <cell r="E365" t="str">
            <v>タワーオブザクイーン1本目</v>
          </cell>
          <cell r="F365">
            <v>4</v>
          </cell>
          <cell r="G365" t="str">
            <v>ja</v>
          </cell>
          <cell r="H365" t="str">
            <v>4階 コスト制限なし</v>
          </cell>
        </row>
        <row r="366">
          <cell r="A366" t="str">
            <v>13300_5</v>
          </cell>
          <cell r="B366">
            <v>3</v>
          </cell>
          <cell r="C366">
            <v>13300</v>
          </cell>
          <cell r="D366" t="str">
            <v>タワーオブザクイーン -アヴァルシア-</v>
          </cell>
          <cell r="E366" t="str">
            <v>タワーオブザクイーン1本目</v>
          </cell>
          <cell r="F366">
            <v>5</v>
          </cell>
          <cell r="G366" t="str">
            <v>ja</v>
          </cell>
          <cell r="H366" t="str">
            <v>5階 コスト30以下限定</v>
          </cell>
        </row>
        <row r="367">
          <cell r="A367" t="str">
            <v>13300_6</v>
          </cell>
          <cell r="B367">
            <v>3</v>
          </cell>
          <cell r="C367">
            <v>13300</v>
          </cell>
          <cell r="D367" t="str">
            <v>タワーオブザクイーン -アヴァルシア-</v>
          </cell>
          <cell r="E367" t="str">
            <v>タワーオブザクイーン1本目</v>
          </cell>
          <cell r="F367">
            <v>6</v>
          </cell>
          <cell r="G367" t="str">
            <v>ja</v>
          </cell>
          <cell r="H367" t="str">
            <v>6階 コスト30以下ヒューマン限定</v>
          </cell>
        </row>
        <row r="368">
          <cell r="A368" t="str">
            <v>13300_7</v>
          </cell>
          <cell r="B368">
            <v>3</v>
          </cell>
          <cell r="C368">
            <v>13300</v>
          </cell>
          <cell r="D368" t="str">
            <v>タワーオブザクイーン -アヴァルシア-</v>
          </cell>
          <cell r="E368" t="str">
            <v>タワーオブザクイーン1本目</v>
          </cell>
          <cell r="F368">
            <v>7</v>
          </cell>
          <cell r="G368" t="str">
            <v>ja</v>
          </cell>
          <cell r="H368" t="str">
            <v>7階 コスト制限なし</v>
          </cell>
        </row>
        <row r="369">
          <cell r="A369" t="str">
            <v>13300_8</v>
          </cell>
          <cell r="B369">
            <v>3</v>
          </cell>
          <cell r="C369">
            <v>13300</v>
          </cell>
          <cell r="D369" t="str">
            <v>タワーオブザクイーン -アヴァルシア-</v>
          </cell>
          <cell r="E369" t="str">
            <v>タワーオブザクイーン1本目</v>
          </cell>
          <cell r="F369">
            <v>8</v>
          </cell>
          <cell r="G369" t="str">
            <v>ja</v>
          </cell>
          <cell r="H369" t="str">
            <v>8階 コスト28以下限定</v>
          </cell>
        </row>
        <row r="370">
          <cell r="A370" t="str">
            <v>13300_9</v>
          </cell>
          <cell r="B370">
            <v>3</v>
          </cell>
          <cell r="C370">
            <v>13300</v>
          </cell>
          <cell r="D370" t="str">
            <v>タワーオブザクイーン -アヴァルシア-</v>
          </cell>
          <cell r="E370" t="str">
            <v>タワーオブザクイーン1本目</v>
          </cell>
          <cell r="F370">
            <v>9</v>
          </cell>
          <cell r="G370" t="str">
            <v>ja</v>
          </cell>
          <cell r="H370" t="str">
            <v>9階 コスト28以下ヒューマン限定</v>
          </cell>
        </row>
        <row r="371">
          <cell r="A371" t="str">
            <v>13300_10</v>
          </cell>
          <cell r="B371">
            <v>3</v>
          </cell>
          <cell r="C371">
            <v>13300</v>
          </cell>
          <cell r="D371" t="str">
            <v>タワーオブザクイーン -アヴァルシア-</v>
          </cell>
          <cell r="E371" t="str">
            <v>タワーオブザクイーン1本目</v>
          </cell>
          <cell r="F371">
            <v>10</v>
          </cell>
          <cell r="G371" t="str">
            <v>ja</v>
          </cell>
          <cell r="H371" t="str">
            <v>10階 ボナンザ 現る！</v>
          </cell>
        </row>
        <row r="372">
          <cell r="A372" t="str">
            <v>13300_11</v>
          </cell>
          <cell r="B372">
            <v>3</v>
          </cell>
          <cell r="C372">
            <v>13300</v>
          </cell>
          <cell r="D372" t="str">
            <v>タワーオブザクイーン -アヴァルシア-</v>
          </cell>
          <cell r="E372" t="str">
            <v>タワーオブザクイーン1本目</v>
          </cell>
          <cell r="F372">
            <v>11</v>
          </cell>
          <cell r="G372" t="str">
            <v>ja</v>
          </cell>
          <cell r="H372" t="str">
            <v>11階 コスト30以下限定</v>
          </cell>
        </row>
        <row r="373">
          <cell r="A373" t="str">
            <v>13300_12</v>
          </cell>
          <cell r="B373">
            <v>3</v>
          </cell>
          <cell r="C373">
            <v>13300</v>
          </cell>
          <cell r="D373" t="str">
            <v>タワーオブザクイーン -アヴァルシア-</v>
          </cell>
          <cell r="E373" t="str">
            <v>タワーオブザクイーン1本目</v>
          </cell>
          <cell r="F373">
            <v>12</v>
          </cell>
          <cell r="G373" t="str">
            <v>ja</v>
          </cell>
          <cell r="H373" t="str">
            <v>12階 コスト30以下ヒューマン限定</v>
          </cell>
        </row>
        <row r="374">
          <cell r="A374" t="str">
            <v>13300_13</v>
          </cell>
          <cell r="B374">
            <v>3</v>
          </cell>
          <cell r="C374">
            <v>13300</v>
          </cell>
          <cell r="D374" t="str">
            <v>タワーオブザクイーン -アヴァルシア-</v>
          </cell>
          <cell r="E374" t="str">
            <v>タワーオブザクイーン1本目</v>
          </cell>
          <cell r="F374">
            <v>13</v>
          </cell>
          <cell r="G374" t="str">
            <v>ja</v>
          </cell>
          <cell r="H374" t="str">
            <v>13階 コスト制限なし</v>
          </cell>
        </row>
        <row r="375">
          <cell r="A375" t="str">
            <v>13300_14</v>
          </cell>
          <cell r="B375">
            <v>3</v>
          </cell>
          <cell r="C375">
            <v>13300</v>
          </cell>
          <cell r="D375" t="str">
            <v>タワーオブザクイーン -アヴァルシア-</v>
          </cell>
          <cell r="E375" t="str">
            <v>タワーオブザクイーン1本目</v>
          </cell>
          <cell r="F375">
            <v>14</v>
          </cell>
          <cell r="G375" t="str">
            <v>ja</v>
          </cell>
          <cell r="H375" t="str">
            <v>14階 コスト制限なし</v>
          </cell>
        </row>
        <row r="376">
          <cell r="A376" t="str">
            <v>13300_15</v>
          </cell>
          <cell r="B376">
            <v>3</v>
          </cell>
          <cell r="C376">
            <v>13300</v>
          </cell>
          <cell r="D376" t="str">
            <v>タワーオブザクイーン -アヴァルシア-</v>
          </cell>
          <cell r="E376" t="str">
            <v>タワーオブザクイーン1本目</v>
          </cell>
          <cell r="F376">
            <v>15</v>
          </cell>
          <cell r="G376" t="str">
            <v>ja</v>
          </cell>
          <cell r="H376" t="str">
            <v>15階 アヴァルシアの女王 ボナンザ</v>
          </cell>
        </row>
        <row r="377">
          <cell r="A377" t="str">
            <v>13301_1</v>
          </cell>
          <cell r="B377">
            <v>3</v>
          </cell>
          <cell r="C377">
            <v>13301</v>
          </cell>
          <cell r="D377" t="str">
            <v>タワーオブザクイーン -アヴァルシア-</v>
          </cell>
          <cell r="E377" t="str">
            <v>タワーオブザクイーン1本目</v>
          </cell>
          <cell r="F377">
            <v>1</v>
          </cell>
          <cell r="G377" t="str">
            <v>ja</v>
          </cell>
          <cell r="H377" t="str">
            <v>1階 コスト制限なし</v>
          </cell>
        </row>
        <row r="378">
          <cell r="A378" t="str">
            <v>13301_2</v>
          </cell>
          <cell r="B378">
            <v>3</v>
          </cell>
          <cell r="C378">
            <v>13301</v>
          </cell>
          <cell r="D378" t="str">
            <v>タワーオブザクイーン -アヴァルシア-</v>
          </cell>
          <cell r="E378" t="str">
            <v>タワーオブザクイーン1本目</v>
          </cell>
          <cell r="F378">
            <v>2</v>
          </cell>
          <cell r="G378" t="str">
            <v>ja</v>
          </cell>
          <cell r="H378" t="str">
            <v>2階 コスト制限なし</v>
          </cell>
        </row>
        <row r="379">
          <cell r="A379" t="str">
            <v>13301_3</v>
          </cell>
          <cell r="B379">
            <v>3</v>
          </cell>
          <cell r="C379">
            <v>13301</v>
          </cell>
          <cell r="D379" t="str">
            <v>タワーオブザクイーン -アヴァルシア-</v>
          </cell>
          <cell r="E379" t="str">
            <v>タワーオブザクイーン1本目</v>
          </cell>
          <cell r="F379">
            <v>3</v>
          </cell>
          <cell r="G379" t="str">
            <v>ja</v>
          </cell>
          <cell r="H379" t="str">
            <v>3階 コスト制限なし</v>
          </cell>
        </row>
        <row r="380">
          <cell r="A380" t="str">
            <v>13301_4</v>
          </cell>
          <cell r="B380">
            <v>3</v>
          </cell>
          <cell r="C380">
            <v>13301</v>
          </cell>
          <cell r="D380" t="str">
            <v>タワーオブザクイーン -アヴァルシア-</v>
          </cell>
          <cell r="E380" t="str">
            <v>タワーオブザクイーン1本目</v>
          </cell>
          <cell r="F380">
            <v>4</v>
          </cell>
          <cell r="G380" t="str">
            <v>ja</v>
          </cell>
          <cell r="H380" t="str">
            <v>4階 コスト制限なし</v>
          </cell>
        </row>
        <row r="381">
          <cell r="A381" t="str">
            <v>13301_5</v>
          </cell>
          <cell r="B381">
            <v>3</v>
          </cell>
          <cell r="C381">
            <v>13301</v>
          </cell>
          <cell r="D381" t="str">
            <v>タワーオブザクイーン -アヴァルシア-</v>
          </cell>
          <cell r="E381" t="str">
            <v>タワーオブザクイーン1本目</v>
          </cell>
          <cell r="F381">
            <v>5</v>
          </cell>
          <cell r="G381" t="str">
            <v>ja</v>
          </cell>
          <cell r="H381" t="str">
            <v>5階 コスト30以下限定</v>
          </cell>
        </row>
        <row r="382">
          <cell r="A382" t="str">
            <v>13301_6</v>
          </cell>
          <cell r="B382">
            <v>3</v>
          </cell>
          <cell r="C382">
            <v>13301</v>
          </cell>
          <cell r="D382" t="str">
            <v>タワーオブザクイーン -アヴァルシア-</v>
          </cell>
          <cell r="E382" t="str">
            <v>タワーオブザクイーン1本目</v>
          </cell>
          <cell r="F382">
            <v>6</v>
          </cell>
          <cell r="G382" t="str">
            <v>ja</v>
          </cell>
          <cell r="H382" t="str">
            <v>6階 コスト30以下ヒューマン限定</v>
          </cell>
        </row>
        <row r="383">
          <cell r="A383" t="str">
            <v>13301_7</v>
          </cell>
          <cell r="B383">
            <v>3</v>
          </cell>
          <cell r="C383">
            <v>13301</v>
          </cell>
          <cell r="D383" t="str">
            <v>タワーオブザクイーン -アヴァルシア-</v>
          </cell>
          <cell r="E383" t="str">
            <v>タワーオブザクイーン1本目</v>
          </cell>
          <cell r="F383">
            <v>7</v>
          </cell>
          <cell r="G383" t="str">
            <v>ja</v>
          </cell>
          <cell r="H383" t="str">
            <v>7階 コスト制限なし</v>
          </cell>
        </row>
        <row r="384">
          <cell r="A384" t="str">
            <v>13301_8</v>
          </cell>
          <cell r="B384">
            <v>3</v>
          </cell>
          <cell r="C384">
            <v>13301</v>
          </cell>
          <cell r="D384" t="str">
            <v>タワーオブザクイーン -アヴァルシア-</v>
          </cell>
          <cell r="E384" t="str">
            <v>タワーオブザクイーン1本目</v>
          </cell>
          <cell r="F384">
            <v>8</v>
          </cell>
          <cell r="G384" t="str">
            <v>ja</v>
          </cell>
          <cell r="H384" t="str">
            <v>8階 コスト28以下限定</v>
          </cell>
        </row>
        <row r="385">
          <cell r="A385" t="str">
            <v>13301_9</v>
          </cell>
          <cell r="B385">
            <v>3</v>
          </cell>
          <cell r="C385">
            <v>13301</v>
          </cell>
          <cell r="D385" t="str">
            <v>タワーオブザクイーン -アヴァルシア-</v>
          </cell>
          <cell r="E385" t="str">
            <v>タワーオブザクイーン1本目</v>
          </cell>
          <cell r="F385">
            <v>9</v>
          </cell>
          <cell r="G385" t="str">
            <v>ja</v>
          </cell>
          <cell r="H385" t="str">
            <v>9階 コスト28以下ヒューマン限定</v>
          </cell>
        </row>
        <row r="386">
          <cell r="A386" t="str">
            <v>13301_10</v>
          </cell>
          <cell r="B386">
            <v>3</v>
          </cell>
          <cell r="C386">
            <v>13301</v>
          </cell>
          <cell r="D386" t="str">
            <v>タワーオブザクイーン -アヴァルシア-</v>
          </cell>
          <cell r="E386" t="str">
            <v>タワーオブザクイーン1本目</v>
          </cell>
          <cell r="F386">
            <v>10</v>
          </cell>
          <cell r="G386" t="str">
            <v>ja</v>
          </cell>
          <cell r="H386" t="str">
            <v>10階 ボナンザ 現る！</v>
          </cell>
        </row>
        <row r="387">
          <cell r="A387" t="str">
            <v>13301_11</v>
          </cell>
          <cell r="B387">
            <v>3</v>
          </cell>
          <cell r="C387">
            <v>13301</v>
          </cell>
          <cell r="D387" t="str">
            <v>タワーオブザクイーン -アヴァルシア-</v>
          </cell>
          <cell r="E387" t="str">
            <v>タワーオブザクイーン1本目</v>
          </cell>
          <cell r="F387">
            <v>11</v>
          </cell>
          <cell r="G387" t="str">
            <v>ja</v>
          </cell>
          <cell r="H387" t="str">
            <v>11階 コスト30以下限定</v>
          </cell>
        </row>
        <row r="388">
          <cell r="A388" t="str">
            <v>13301_12</v>
          </cell>
          <cell r="B388">
            <v>3</v>
          </cell>
          <cell r="C388">
            <v>13301</v>
          </cell>
          <cell r="D388" t="str">
            <v>タワーオブザクイーン -アヴァルシア-</v>
          </cell>
          <cell r="E388" t="str">
            <v>タワーオブザクイーン1本目</v>
          </cell>
          <cell r="F388">
            <v>12</v>
          </cell>
          <cell r="G388" t="str">
            <v>ja</v>
          </cell>
          <cell r="H388" t="str">
            <v>12階 コスト30以下ヒューマン限定</v>
          </cell>
        </row>
        <row r="389">
          <cell r="A389" t="str">
            <v>13301_13</v>
          </cell>
          <cell r="B389">
            <v>3</v>
          </cell>
          <cell r="C389">
            <v>13301</v>
          </cell>
          <cell r="D389" t="str">
            <v>タワーオブザクイーン -アヴァルシア-</v>
          </cell>
          <cell r="E389" t="str">
            <v>タワーオブザクイーン1本目</v>
          </cell>
          <cell r="F389">
            <v>13</v>
          </cell>
          <cell r="G389" t="str">
            <v>ja</v>
          </cell>
          <cell r="H389" t="str">
            <v>13階 コスト制限なし</v>
          </cell>
        </row>
        <row r="390">
          <cell r="A390" t="str">
            <v>13301_14</v>
          </cell>
          <cell r="B390">
            <v>3</v>
          </cell>
          <cell r="C390">
            <v>13301</v>
          </cell>
          <cell r="D390" t="str">
            <v>タワーオブザクイーン -アヴァルシア-</v>
          </cell>
          <cell r="E390" t="str">
            <v>タワーオブザクイーン1本目</v>
          </cell>
          <cell r="F390">
            <v>14</v>
          </cell>
          <cell r="G390" t="str">
            <v>ja</v>
          </cell>
          <cell r="H390" t="str">
            <v>14階 コスト制限なし</v>
          </cell>
        </row>
        <row r="391">
          <cell r="A391" t="str">
            <v>13301_15</v>
          </cell>
          <cell r="B391">
            <v>3</v>
          </cell>
          <cell r="C391">
            <v>13301</v>
          </cell>
          <cell r="D391" t="str">
            <v>タワーオブザクイーン -アヴァルシア-</v>
          </cell>
          <cell r="E391" t="str">
            <v>タワーオブザクイーン1本目</v>
          </cell>
          <cell r="F391">
            <v>15</v>
          </cell>
          <cell r="G391" t="str">
            <v>ja</v>
          </cell>
          <cell r="H391" t="str">
            <v>15階 アヴァルシアの女王 ボナンザ</v>
          </cell>
        </row>
        <row r="392">
          <cell r="A392" t="str">
            <v>13302_1</v>
          </cell>
          <cell r="B392">
            <v>3</v>
          </cell>
          <cell r="C392">
            <v>13302</v>
          </cell>
          <cell r="D392" t="str">
            <v>タワーオブザクイーン -アヴァルシア-</v>
          </cell>
          <cell r="E392" t="str">
            <v>タワーオブザクイーン1本目</v>
          </cell>
          <cell r="F392">
            <v>1</v>
          </cell>
          <cell r="G392" t="str">
            <v>ja</v>
          </cell>
          <cell r="H392" t="str">
            <v>1階 コスト制限なし</v>
          </cell>
        </row>
        <row r="393">
          <cell r="A393" t="str">
            <v>13302_2</v>
          </cell>
          <cell r="B393">
            <v>3</v>
          </cell>
          <cell r="C393">
            <v>13302</v>
          </cell>
          <cell r="D393" t="str">
            <v>タワーオブザクイーン -アヴァルシア-</v>
          </cell>
          <cell r="E393" t="str">
            <v>タワーオブザクイーン1本目</v>
          </cell>
          <cell r="F393">
            <v>2</v>
          </cell>
          <cell r="G393" t="str">
            <v>ja</v>
          </cell>
          <cell r="H393" t="str">
            <v>2階 コスト制限なし</v>
          </cell>
        </row>
        <row r="394">
          <cell r="A394" t="str">
            <v>13302_3</v>
          </cell>
          <cell r="B394">
            <v>3</v>
          </cell>
          <cell r="C394">
            <v>13302</v>
          </cell>
          <cell r="D394" t="str">
            <v>タワーオブザクイーン -アヴァルシア-</v>
          </cell>
          <cell r="E394" t="str">
            <v>タワーオブザクイーン1本目</v>
          </cell>
          <cell r="F394">
            <v>3</v>
          </cell>
          <cell r="G394" t="str">
            <v>ja</v>
          </cell>
          <cell r="H394" t="str">
            <v>3階 コスト制限なし</v>
          </cell>
        </row>
        <row r="395">
          <cell r="A395" t="str">
            <v>13302_4</v>
          </cell>
          <cell r="B395">
            <v>3</v>
          </cell>
          <cell r="C395">
            <v>13302</v>
          </cell>
          <cell r="D395" t="str">
            <v>タワーオブザクイーン -アヴァルシア-</v>
          </cell>
          <cell r="E395" t="str">
            <v>タワーオブザクイーン1本目</v>
          </cell>
          <cell r="F395">
            <v>4</v>
          </cell>
          <cell r="G395" t="str">
            <v>ja</v>
          </cell>
          <cell r="H395" t="str">
            <v>4階 コスト制限なし</v>
          </cell>
        </row>
        <row r="396">
          <cell r="A396" t="str">
            <v>13302_5</v>
          </cell>
          <cell r="B396">
            <v>3</v>
          </cell>
          <cell r="C396">
            <v>13302</v>
          </cell>
          <cell r="D396" t="str">
            <v>タワーオブザクイーン -アヴァルシア-</v>
          </cell>
          <cell r="E396" t="str">
            <v>タワーオブザクイーン1本目</v>
          </cell>
          <cell r="F396">
            <v>5</v>
          </cell>
          <cell r="G396" t="str">
            <v>ja</v>
          </cell>
          <cell r="H396" t="str">
            <v>5階 コスト30以下限定</v>
          </cell>
        </row>
        <row r="397">
          <cell r="A397" t="str">
            <v>13302_6</v>
          </cell>
          <cell r="B397">
            <v>3</v>
          </cell>
          <cell r="C397">
            <v>13302</v>
          </cell>
          <cell r="D397" t="str">
            <v>タワーオブザクイーン -アヴァルシア-</v>
          </cell>
          <cell r="E397" t="str">
            <v>タワーオブザクイーン1本目</v>
          </cell>
          <cell r="F397">
            <v>6</v>
          </cell>
          <cell r="G397" t="str">
            <v>ja</v>
          </cell>
          <cell r="H397" t="str">
            <v>6階 コスト30以下ヒューマン限定</v>
          </cell>
        </row>
        <row r="398">
          <cell r="A398" t="str">
            <v>13302_7</v>
          </cell>
          <cell r="B398">
            <v>3</v>
          </cell>
          <cell r="C398">
            <v>13302</v>
          </cell>
          <cell r="D398" t="str">
            <v>タワーオブザクイーン -アヴァルシア-</v>
          </cell>
          <cell r="E398" t="str">
            <v>タワーオブザクイーン1本目</v>
          </cell>
          <cell r="F398">
            <v>7</v>
          </cell>
          <cell r="G398" t="str">
            <v>ja</v>
          </cell>
          <cell r="H398" t="str">
            <v>7階 コスト制限なし</v>
          </cell>
        </row>
        <row r="399">
          <cell r="A399" t="str">
            <v>13302_8</v>
          </cell>
          <cell r="B399">
            <v>3</v>
          </cell>
          <cell r="C399">
            <v>13302</v>
          </cell>
          <cell r="D399" t="str">
            <v>タワーオブザクイーン -アヴァルシア-</v>
          </cell>
          <cell r="E399" t="str">
            <v>タワーオブザクイーン1本目</v>
          </cell>
          <cell r="F399">
            <v>8</v>
          </cell>
          <cell r="G399" t="str">
            <v>ja</v>
          </cell>
          <cell r="H399" t="str">
            <v>8階 コスト28以下限定</v>
          </cell>
        </row>
        <row r="400">
          <cell r="A400" t="str">
            <v>13302_9</v>
          </cell>
          <cell r="B400">
            <v>3</v>
          </cell>
          <cell r="C400">
            <v>13302</v>
          </cell>
          <cell r="D400" t="str">
            <v>タワーオブザクイーン -アヴァルシア-</v>
          </cell>
          <cell r="E400" t="str">
            <v>タワーオブザクイーン1本目</v>
          </cell>
          <cell r="F400">
            <v>9</v>
          </cell>
          <cell r="G400" t="str">
            <v>ja</v>
          </cell>
          <cell r="H400" t="str">
            <v>9階 コスト28以下ヒューマン限定</v>
          </cell>
        </row>
        <row r="401">
          <cell r="A401" t="str">
            <v>13302_10</v>
          </cell>
          <cell r="B401">
            <v>3</v>
          </cell>
          <cell r="C401">
            <v>13302</v>
          </cell>
          <cell r="D401" t="str">
            <v>タワーオブザクイーン -アヴァルシア-</v>
          </cell>
          <cell r="E401" t="str">
            <v>タワーオブザクイーン1本目</v>
          </cell>
          <cell r="F401">
            <v>10</v>
          </cell>
          <cell r="G401" t="str">
            <v>ja</v>
          </cell>
          <cell r="H401" t="str">
            <v>10階 ボナンザ 現る！</v>
          </cell>
        </row>
        <row r="402">
          <cell r="A402" t="str">
            <v>13302_11</v>
          </cell>
          <cell r="B402">
            <v>3</v>
          </cell>
          <cell r="C402">
            <v>13302</v>
          </cell>
          <cell r="D402" t="str">
            <v>タワーオブザクイーン -アヴァルシア-</v>
          </cell>
          <cell r="E402" t="str">
            <v>タワーオブザクイーン1本目</v>
          </cell>
          <cell r="F402">
            <v>11</v>
          </cell>
          <cell r="G402" t="str">
            <v>ja</v>
          </cell>
          <cell r="H402" t="str">
            <v>11階 コスト30以下限定</v>
          </cell>
        </row>
        <row r="403">
          <cell r="A403" t="str">
            <v>13302_12</v>
          </cell>
          <cell r="B403">
            <v>3</v>
          </cell>
          <cell r="C403">
            <v>13302</v>
          </cell>
          <cell r="D403" t="str">
            <v>タワーオブザクイーン -アヴァルシア-</v>
          </cell>
          <cell r="E403" t="str">
            <v>タワーオブザクイーン1本目</v>
          </cell>
          <cell r="F403">
            <v>12</v>
          </cell>
          <cell r="G403" t="str">
            <v>ja</v>
          </cell>
          <cell r="H403" t="str">
            <v>12階 コスト30以下ヒューマン限定</v>
          </cell>
        </row>
        <row r="404">
          <cell r="A404" t="str">
            <v>13302_13</v>
          </cell>
          <cell r="B404">
            <v>3</v>
          </cell>
          <cell r="C404">
            <v>13302</v>
          </cell>
          <cell r="D404" t="str">
            <v>タワーオブザクイーン -アヴァルシア-</v>
          </cell>
          <cell r="E404" t="str">
            <v>タワーオブザクイーン1本目</v>
          </cell>
          <cell r="F404">
            <v>13</v>
          </cell>
          <cell r="G404" t="str">
            <v>ja</v>
          </cell>
          <cell r="H404" t="str">
            <v>13階 コスト制限なし</v>
          </cell>
        </row>
        <row r="405">
          <cell r="A405" t="str">
            <v>13302_14</v>
          </cell>
          <cell r="B405">
            <v>3</v>
          </cell>
          <cell r="C405">
            <v>13302</v>
          </cell>
          <cell r="D405" t="str">
            <v>タワーオブザクイーン -アヴァルシア-</v>
          </cell>
          <cell r="E405" t="str">
            <v>タワーオブザクイーン1本目</v>
          </cell>
          <cell r="F405">
            <v>14</v>
          </cell>
          <cell r="G405" t="str">
            <v>ja</v>
          </cell>
          <cell r="H405" t="str">
            <v>14階 コスト制限なし</v>
          </cell>
        </row>
        <row r="406">
          <cell r="A406" t="str">
            <v>13302_15</v>
          </cell>
          <cell r="B406">
            <v>3</v>
          </cell>
          <cell r="C406">
            <v>13302</v>
          </cell>
          <cell r="D406" t="str">
            <v>タワーオブザクイーン -アヴァルシア-</v>
          </cell>
          <cell r="E406" t="str">
            <v>タワーオブザクイーン1本目</v>
          </cell>
          <cell r="F406">
            <v>15</v>
          </cell>
          <cell r="G406" t="str">
            <v>ja</v>
          </cell>
          <cell r="H406" t="str">
            <v>15階 アヴァルシアの女王 ボナンザ</v>
          </cell>
        </row>
        <row r="407">
          <cell r="A407" t="str">
            <v>13400_1</v>
          </cell>
          <cell r="B407">
            <v>3</v>
          </cell>
          <cell r="C407">
            <v>13400</v>
          </cell>
          <cell r="D407" t="str">
            <v>タワーオブザクイーン -エルフラム-</v>
          </cell>
          <cell r="E407" t="str">
            <v>タワーオブザクイーン2本目</v>
          </cell>
          <cell r="F407">
            <v>1</v>
          </cell>
          <cell r="G407" t="str">
            <v>ja</v>
          </cell>
          <cell r="H407" t="str">
            <v>1階 コスト制限なし</v>
          </cell>
        </row>
        <row r="408">
          <cell r="A408" t="str">
            <v>13400_2</v>
          </cell>
          <cell r="B408">
            <v>3</v>
          </cell>
          <cell r="C408">
            <v>13400</v>
          </cell>
          <cell r="D408" t="str">
            <v>タワーオブザクイーン -エルフラム-</v>
          </cell>
          <cell r="E408" t="str">
            <v>タワーオブザクイーン2本目</v>
          </cell>
          <cell r="F408">
            <v>2</v>
          </cell>
          <cell r="G408" t="str">
            <v>ja</v>
          </cell>
          <cell r="H408" t="str">
            <v>2階 コスト制限なし</v>
          </cell>
        </row>
        <row r="409">
          <cell r="A409" t="str">
            <v>13400_3</v>
          </cell>
          <cell r="B409">
            <v>3</v>
          </cell>
          <cell r="C409">
            <v>13400</v>
          </cell>
          <cell r="D409" t="str">
            <v>タワーオブザクイーン -エルフラム-</v>
          </cell>
          <cell r="E409" t="str">
            <v>タワーオブザクイーン2本目</v>
          </cell>
          <cell r="F409">
            <v>3</v>
          </cell>
          <cell r="G409" t="str">
            <v>ja</v>
          </cell>
          <cell r="H409" t="str">
            <v>3階 コスト制限なし</v>
          </cell>
        </row>
        <row r="410">
          <cell r="A410" t="str">
            <v>13400_4</v>
          </cell>
          <cell r="B410">
            <v>3</v>
          </cell>
          <cell r="C410">
            <v>13400</v>
          </cell>
          <cell r="D410" t="str">
            <v>タワーオブザクイーン -エルフラム-</v>
          </cell>
          <cell r="E410" t="str">
            <v>タワーオブザクイーン2本目</v>
          </cell>
          <cell r="F410">
            <v>4</v>
          </cell>
          <cell r="G410" t="str">
            <v>ja</v>
          </cell>
          <cell r="H410" t="str">
            <v>4階 コスト制限なし</v>
          </cell>
        </row>
        <row r="411">
          <cell r="A411" t="str">
            <v>13400_5</v>
          </cell>
          <cell r="B411">
            <v>3</v>
          </cell>
          <cell r="C411">
            <v>13400</v>
          </cell>
          <cell r="D411" t="str">
            <v>タワーオブザクイーン -エルフラム-</v>
          </cell>
          <cell r="E411" t="str">
            <v>タワーオブザクイーン2本目</v>
          </cell>
          <cell r="F411">
            <v>5</v>
          </cell>
          <cell r="G411" t="str">
            <v>ja</v>
          </cell>
          <cell r="H411" t="str">
            <v>5階 バランスタイプ限定</v>
          </cell>
        </row>
        <row r="412">
          <cell r="A412" t="str">
            <v>13400_6</v>
          </cell>
          <cell r="B412">
            <v>3</v>
          </cell>
          <cell r="C412">
            <v>13400</v>
          </cell>
          <cell r="D412" t="str">
            <v>タワーオブザクイーン -エルフラム-</v>
          </cell>
          <cell r="E412" t="str">
            <v>タワーオブザクイーン2本目</v>
          </cell>
          <cell r="F412">
            <v>6</v>
          </cell>
          <cell r="G412" t="str">
            <v>ja</v>
          </cell>
          <cell r="H412" t="str">
            <v>6階 コスト制限なし</v>
          </cell>
        </row>
        <row r="413">
          <cell r="A413" t="str">
            <v>13400_7</v>
          </cell>
          <cell r="B413">
            <v>3</v>
          </cell>
          <cell r="C413">
            <v>13400</v>
          </cell>
          <cell r="D413" t="str">
            <v>タワーオブザクイーン -エルフラム-</v>
          </cell>
          <cell r="E413" t="str">
            <v>タワーオブザクイーン2本目</v>
          </cell>
          <cell r="F413">
            <v>7</v>
          </cell>
          <cell r="G413" t="str">
            <v>ja</v>
          </cell>
          <cell r="H413" t="str">
            <v>7階 コスト30以下限定</v>
          </cell>
        </row>
        <row r="414">
          <cell r="A414" t="str">
            <v>13400_8</v>
          </cell>
          <cell r="B414">
            <v>3</v>
          </cell>
          <cell r="C414">
            <v>13400</v>
          </cell>
          <cell r="D414" t="str">
            <v>タワーオブザクイーン -エルフラム-</v>
          </cell>
          <cell r="E414" t="str">
            <v>タワーオブザクイーン2本目</v>
          </cell>
          <cell r="F414">
            <v>8</v>
          </cell>
          <cell r="G414" t="str">
            <v>ja</v>
          </cell>
          <cell r="H414" t="str">
            <v>8階 ハートパネルが出現しない！</v>
          </cell>
        </row>
        <row r="415">
          <cell r="A415" t="str">
            <v>13400_9</v>
          </cell>
          <cell r="B415">
            <v>3</v>
          </cell>
          <cell r="C415">
            <v>13400</v>
          </cell>
          <cell r="D415" t="str">
            <v>タワーオブザクイーン -エルフラム-</v>
          </cell>
          <cell r="E415" t="str">
            <v>タワーオブザクイーン2本目</v>
          </cell>
          <cell r="F415">
            <v>9</v>
          </cell>
          <cell r="G415" t="str">
            <v>ja</v>
          </cell>
          <cell r="H415" t="str">
            <v>9階 攻撃タイプ限定</v>
          </cell>
        </row>
        <row r="416">
          <cell r="A416" t="str">
            <v>13400_10</v>
          </cell>
          <cell r="B416">
            <v>3</v>
          </cell>
          <cell r="C416">
            <v>13400</v>
          </cell>
          <cell r="D416" t="str">
            <v>タワーオブザクイーン -エルフラム-</v>
          </cell>
          <cell r="E416" t="str">
            <v>タワーオブザクイーン2本目</v>
          </cell>
          <cell r="F416">
            <v>10</v>
          </cell>
          <cell r="G416" t="str">
            <v>ja</v>
          </cell>
          <cell r="H416" t="str">
            <v>10階 ローズ 現る！</v>
          </cell>
        </row>
        <row r="417">
          <cell r="A417" t="str">
            <v>13400_11</v>
          </cell>
          <cell r="B417">
            <v>3</v>
          </cell>
          <cell r="C417">
            <v>13400</v>
          </cell>
          <cell r="D417" t="str">
            <v>タワーオブザクイーン -エルフラム-</v>
          </cell>
          <cell r="E417" t="str">
            <v>タワーオブザクイーン2本目</v>
          </cell>
          <cell r="F417">
            <v>11</v>
          </cell>
          <cell r="G417" t="str">
            <v>ja</v>
          </cell>
          <cell r="H417" t="str">
            <v>11階 コスト制限なし</v>
          </cell>
        </row>
        <row r="418">
          <cell r="A418" t="str">
            <v>13400_12</v>
          </cell>
          <cell r="B418">
            <v>3</v>
          </cell>
          <cell r="C418">
            <v>13400</v>
          </cell>
          <cell r="D418" t="str">
            <v>タワーオブザクイーン -エルフラム-</v>
          </cell>
          <cell r="E418" t="str">
            <v>タワーオブザクイーン2本目</v>
          </cell>
          <cell r="F418">
            <v>12</v>
          </cell>
          <cell r="G418" t="str">
            <v>ja</v>
          </cell>
          <cell r="H418" t="str">
            <v>12階 コスト制限なし</v>
          </cell>
        </row>
        <row r="419">
          <cell r="A419" t="str">
            <v>13400_13</v>
          </cell>
          <cell r="B419">
            <v>3</v>
          </cell>
          <cell r="C419">
            <v>13400</v>
          </cell>
          <cell r="D419" t="str">
            <v>タワーオブザクイーン -エルフラム-</v>
          </cell>
          <cell r="E419" t="str">
            <v>タワーオブザクイーン2本目</v>
          </cell>
          <cell r="F419">
            <v>13</v>
          </cell>
          <cell r="G419" t="str">
            <v>ja</v>
          </cell>
          <cell r="H419" t="str">
            <v>13階 コスト30以下限定</v>
          </cell>
        </row>
        <row r="420">
          <cell r="A420" t="str">
            <v>13400_14</v>
          </cell>
          <cell r="B420">
            <v>3</v>
          </cell>
          <cell r="C420">
            <v>13400</v>
          </cell>
          <cell r="D420" t="str">
            <v>タワーオブザクイーン -エルフラム-</v>
          </cell>
          <cell r="E420" t="str">
            <v>タワーオブザクイーン2本目</v>
          </cell>
          <cell r="F420">
            <v>14</v>
          </cell>
          <cell r="G420" t="str">
            <v>ja</v>
          </cell>
          <cell r="H420" t="str">
            <v>14階 コスト制限なし</v>
          </cell>
        </row>
        <row r="421">
          <cell r="A421" t="str">
            <v>13400_15</v>
          </cell>
          <cell r="B421">
            <v>3</v>
          </cell>
          <cell r="C421">
            <v>13400</v>
          </cell>
          <cell r="D421" t="str">
            <v>タワーオブザクイーン -エルフラム-</v>
          </cell>
          <cell r="E421" t="str">
            <v>タワーオブザクイーン2本目</v>
          </cell>
          <cell r="F421">
            <v>15</v>
          </cell>
          <cell r="G421" t="str">
            <v>ja</v>
          </cell>
          <cell r="H421" t="str">
            <v>15階 エルフラムの女王 ローズ</v>
          </cell>
        </row>
        <row r="422">
          <cell r="A422" t="str">
            <v>14001_1</v>
          </cell>
          <cell r="B422">
            <v>3</v>
          </cell>
          <cell r="C422">
            <v>14001</v>
          </cell>
          <cell r="D422" t="str">
            <v>【ロック】経験値/ソロ</v>
          </cell>
          <cell r="E422" t="str">
            <v>【ロック】経験値/ソロ</v>
          </cell>
          <cell r="F422">
            <v>1</v>
          </cell>
          <cell r="G422" t="str">
            <v>ja</v>
          </cell>
          <cell r="H422" t="str">
            <v>【超級】雷ファミリー（ハートなし）</v>
          </cell>
        </row>
        <row r="423">
          <cell r="A423" t="str">
            <v>14001_2</v>
          </cell>
          <cell r="B423">
            <v>3</v>
          </cell>
          <cell r="C423">
            <v>14001</v>
          </cell>
          <cell r="D423" t="str">
            <v>【ロック】経験値/ソロ</v>
          </cell>
          <cell r="E423" t="str">
            <v>【ロック】経験値/ソロ</v>
          </cell>
          <cell r="F423">
            <v>2</v>
          </cell>
          <cell r="G423" t="str">
            <v>ja</v>
          </cell>
          <cell r="H423" t="str">
            <v>【超級】水ファミリー（ハートなし）</v>
          </cell>
        </row>
        <row r="424">
          <cell r="A424" t="str">
            <v>14001_3</v>
          </cell>
          <cell r="B424">
            <v>3</v>
          </cell>
          <cell r="C424">
            <v>14001</v>
          </cell>
          <cell r="D424" t="str">
            <v>【ロック】経験値/ソロ</v>
          </cell>
          <cell r="E424" t="str">
            <v>【ロック】経験値/ソロ</v>
          </cell>
          <cell r="F424">
            <v>3</v>
          </cell>
          <cell r="G424" t="str">
            <v>ja</v>
          </cell>
          <cell r="H424" t="str">
            <v>【超級】森ファミリー（ハートなし）</v>
          </cell>
        </row>
        <row r="425">
          <cell r="A425" t="str">
            <v>14001_4</v>
          </cell>
          <cell r="B425">
            <v>3</v>
          </cell>
          <cell r="C425">
            <v>14001</v>
          </cell>
          <cell r="D425" t="str">
            <v>【ロック】経験値/ソロ</v>
          </cell>
          <cell r="E425" t="str">
            <v>【ロック】経験値/ソロ</v>
          </cell>
          <cell r="F425">
            <v>4</v>
          </cell>
          <cell r="G425" t="str">
            <v>ja</v>
          </cell>
          <cell r="H425" t="str">
            <v>【超級】炎ファミリー（ハートなし）</v>
          </cell>
        </row>
        <row r="426">
          <cell r="A426" t="str">
            <v>14001_5</v>
          </cell>
          <cell r="B426">
            <v>0</v>
          </cell>
          <cell r="C426">
            <v>14001</v>
          </cell>
          <cell r="D426" t="str">
            <v>【ロック】経験値/ソロ</v>
          </cell>
          <cell r="E426" t="str">
            <v>【ロック】経験値/ソロ</v>
          </cell>
          <cell r="F426">
            <v>5</v>
          </cell>
          <cell r="G426" t="str">
            <v>ja</v>
          </cell>
          <cell r="H426" t="str">
            <v>【超絶級】雷のサミット（ハートなし）</v>
          </cell>
        </row>
        <row r="427">
          <cell r="A427" t="str">
            <v>14001_6</v>
          </cell>
          <cell r="B427">
            <v>0</v>
          </cell>
          <cell r="C427">
            <v>14001</v>
          </cell>
          <cell r="D427" t="str">
            <v>【ロック】経験値/ソロ</v>
          </cell>
          <cell r="E427" t="str">
            <v>【ロック】経験値/ソロ</v>
          </cell>
          <cell r="F427">
            <v>6</v>
          </cell>
          <cell r="G427" t="str">
            <v>ja</v>
          </cell>
          <cell r="H427" t="str">
            <v>【超絶級】水のサミット（ハートなし）</v>
          </cell>
        </row>
        <row r="428">
          <cell r="A428" t="str">
            <v>14001_7</v>
          </cell>
          <cell r="B428">
            <v>0</v>
          </cell>
          <cell r="C428">
            <v>14001</v>
          </cell>
          <cell r="D428" t="str">
            <v>【ロック】経験値/ソロ</v>
          </cell>
          <cell r="E428" t="str">
            <v>【ロック】経験値/ソロ</v>
          </cell>
          <cell r="F428">
            <v>7</v>
          </cell>
          <cell r="G428" t="str">
            <v>ja</v>
          </cell>
          <cell r="H428" t="str">
            <v>【超絶級】森のサミット（ハートなし）</v>
          </cell>
        </row>
        <row r="429">
          <cell r="A429" t="str">
            <v>14001_8</v>
          </cell>
          <cell r="B429">
            <v>0</v>
          </cell>
          <cell r="C429">
            <v>14001</v>
          </cell>
          <cell r="D429" t="str">
            <v>【ロック】経験値/ソロ</v>
          </cell>
          <cell r="E429" t="str">
            <v>【ロック】経験値/ソロ</v>
          </cell>
          <cell r="F429">
            <v>8</v>
          </cell>
          <cell r="G429" t="str">
            <v>ja</v>
          </cell>
          <cell r="H429" t="str">
            <v>【超絶級】炎のサミット（ハートなし）</v>
          </cell>
        </row>
        <row r="430">
          <cell r="A430" t="str">
            <v>14002_1</v>
          </cell>
          <cell r="B430">
            <v>3</v>
          </cell>
          <cell r="C430">
            <v>14002</v>
          </cell>
          <cell r="D430" t="str">
            <v>【ロック】ビット/ソロ</v>
          </cell>
          <cell r="E430" t="str">
            <v>【ロック】ビット/ソロ</v>
          </cell>
          <cell r="F430">
            <v>1</v>
          </cell>
          <cell r="G430" t="str">
            <v>ja</v>
          </cell>
          <cell r="H430" t="str">
            <v>【超級】ハイローラー（ハートなし）</v>
          </cell>
        </row>
        <row r="431">
          <cell r="A431" t="str">
            <v>14002_2</v>
          </cell>
          <cell r="B431">
            <v>0</v>
          </cell>
          <cell r="C431">
            <v>14002</v>
          </cell>
          <cell r="D431" t="str">
            <v>【ロック】ビット/ソロ</v>
          </cell>
          <cell r="E431" t="str">
            <v>【ロック】ビット/ソロ</v>
          </cell>
          <cell r="F431">
            <v>2</v>
          </cell>
          <cell r="G431" t="str">
            <v>ja</v>
          </cell>
          <cell r="H431" t="str">
            <v>【上級】ゴールドカジノ （ハートなし）</v>
          </cell>
        </row>
        <row r="432">
          <cell r="A432" t="str">
            <v>14003_1</v>
          </cell>
          <cell r="B432">
            <v>3</v>
          </cell>
          <cell r="C432">
            <v>14003</v>
          </cell>
          <cell r="D432" t="str">
            <v>【ロック】限界突破/ソロ</v>
          </cell>
          <cell r="E432" t="str">
            <v>【ロック】限界突破/ソロ</v>
          </cell>
          <cell r="F432">
            <v>1</v>
          </cell>
          <cell r="G432" t="str">
            <v>ja</v>
          </cell>
          <cell r="H432" t="str">
            <v>【超級】果実の楽園（ハートなし）</v>
          </cell>
        </row>
        <row r="433">
          <cell r="A433" t="str">
            <v>14003_2</v>
          </cell>
          <cell r="B433">
            <v>3</v>
          </cell>
          <cell r="C433">
            <v>14003</v>
          </cell>
          <cell r="D433" t="str">
            <v>【ロック】限界突破/ソロ</v>
          </cell>
          <cell r="E433" t="str">
            <v>【ロック】限界突破/ソロ</v>
          </cell>
          <cell r="F433">
            <v>2</v>
          </cell>
          <cell r="G433" t="str">
            <v>ja</v>
          </cell>
          <cell r="H433" t="str">
            <v>【超級】攻めの極意（ハートなし）</v>
          </cell>
        </row>
        <row r="434">
          <cell r="A434" t="str">
            <v>14003_3</v>
          </cell>
          <cell r="B434">
            <v>3</v>
          </cell>
          <cell r="C434">
            <v>14003</v>
          </cell>
          <cell r="D434" t="str">
            <v>【ロック】限界突破/ソロ</v>
          </cell>
          <cell r="E434" t="str">
            <v>【ロック】限界突破/ソロ</v>
          </cell>
          <cell r="F434">
            <v>3</v>
          </cell>
          <cell r="G434" t="str">
            <v>ja</v>
          </cell>
          <cell r="H434" t="str">
            <v>【超級】癒しの極意（ハートなし）</v>
          </cell>
        </row>
        <row r="435">
          <cell r="A435" t="str">
            <v>14003_4</v>
          </cell>
          <cell r="B435">
            <v>3</v>
          </cell>
          <cell r="C435">
            <v>14003</v>
          </cell>
          <cell r="D435" t="str">
            <v>【ロック】限界突破/ソロ</v>
          </cell>
          <cell r="E435" t="str">
            <v>【ロック】限界突破/ソロ</v>
          </cell>
          <cell r="F435">
            <v>4</v>
          </cell>
          <cell r="G435" t="str">
            <v>ja</v>
          </cell>
          <cell r="H435" t="str">
            <v>【超級】生命の極意（ハートなし）</v>
          </cell>
        </row>
        <row r="436">
          <cell r="A436" t="str">
            <v>14004_1</v>
          </cell>
          <cell r="B436">
            <v>1</v>
          </cell>
          <cell r="C436">
            <v>14004</v>
          </cell>
          <cell r="D436" t="str">
            <v>【ロック】経験値/LINEマルチ</v>
          </cell>
          <cell r="E436" t="str">
            <v>【ロック】経験値/LINEマルチ</v>
          </cell>
          <cell r="F436">
            <v>1</v>
          </cell>
          <cell r="G436" t="str">
            <v>ja</v>
          </cell>
          <cell r="H436" t="str">
            <v>【超級】雷ファミリー（ハートなし）</v>
          </cell>
        </row>
        <row r="437">
          <cell r="A437" t="str">
            <v>14004_2</v>
          </cell>
          <cell r="B437">
            <v>1</v>
          </cell>
          <cell r="C437">
            <v>14004</v>
          </cell>
          <cell r="D437" t="str">
            <v>【ロック】経験値/LINEマルチ</v>
          </cell>
          <cell r="E437" t="str">
            <v>【ロック】経験値/LINEマルチ</v>
          </cell>
          <cell r="F437">
            <v>2</v>
          </cell>
          <cell r="G437" t="str">
            <v>ja</v>
          </cell>
          <cell r="H437" t="str">
            <v>【超級】水ファミリー（ハートなし）</v>
          </cell>
        </row>
        <row r="438">
          <cell r="A438" t="str">
            <v>14004_3</v>
          </cell>
          <cell r="B438">
            <v>1</v>
          </cell>
          <cell r="C438">
            <v>14004</v>
          </cell>
          <cell r="D438" t="str">
            <v>【ロック】経験値/LINEマルチ</v>
          </cell>
          <cell r="E438" t="str">
            <v>【ロック】経験値/LINEマルチ</v>
          </cell>
          <cell r="F438">
            <v>3</v>
          </cell>
          <cell r="G438" t="str">
            <v>ja</v>
          </cell>
          <cell r="H438" t="str">
            <v>【超級】森ファミリー（ハートなし）</v>
          </cell>
        </row>
        <row r="439">
          <cell r="A439" t="str">
            <v>14004_4</v>
          </cell>
          <cell r="B439">
            <v>1</v>
          </cell>
          <cell r="C439">
            <v>14004</v>
          </cell>
          <cell r="D439" t="str">
            <v>【ロック】経験値/LINEマルチ</v>
          </cell>
          <cell r="E439" t="str">
            <v>【ロック】経験値/LINEマルチ</v>
          </cell>
          <cell r="F439">
            <v>4</v>
          </cell>
          <cell r="G439" t="str">
            <v>ja</v>
          </cell>
          <cell r="H439" t="str">
            <v>【超級】炎ファミリー（ハートなし）</v>
          </cell>
        </row>
        <row r="440">
          <cell r="A440" t="str">
            <v>14005_1</v>
          </cell>
          <cell r="B440">
            <v>1</v>
          </cell>
          <cell r="C440">
            <v>14005</v>
          </cell>
          <cell r="D440" t="str">
            <v>【ロック】ビット/LINEマルチ</v>
          </cell>
          <cell r="E440" t="str">
            <v>【ロック】ビット/LINEマルチ</v>
          </cell>
          <cell r="F440">
            <v>1</v>
          </cell>
          <cell r="G440" t="str">
            <v>ja</v>
          </cell>
          <cell r="H440" t="str">
            <v>【超級】ハイローラー（ハートなし）</v>
          </cell>
        </row>
        <row r="441">
          <cell r="A441" t="str">
            <v>14006_1</v>
          </cell>
          <cell r="B441">
            <v>1</v>
          </cell>
          <cell r="C441">
            <v>14006</v>
          </cell>
          <cell r="D441" t="str">
            <v>【ロック】限界突破/LINEマルチ</v>
          </cell>
          <cell r="E441" t="str">
            <v>【ロック】限界突破/LINEマルチ</v>
          </cell>
          <cell r="F441">
            <v>1</v>
          </cell>
          <cell r="G441" t="str">
            <v>ja</v>
          </cell>
          <cell r="H441" t="str">
            <v>【超級】果実の楽園（ハートなし）</v>
          </cell>
        </row>
        <row r="442">
          <cell r="A442" t="str">
            <v>15027_1</v>
          </cell>
          <cell r="B442">
            <v>3</v>
          </cell>
          <cell r="C442">
            <v>15027</v>
          </cell>
          <cell r="D442" t="str">
            <v>27. 雷雨の登山道</v>
          </cell>
          <cell r="E442" t="str">
            <v>黄青DL6</v>
          </cell>
          <cell r="F442">
            <v>1</v>
          </cell>
          <cell r="G442" t="str">
            <v>ja</v>
          </cell>
          <cell r="H442" t="str">
            <v>27-1. 登山道入口</v>
          </cell>
        </row>
        <row r="443">
          <cell r="A443" t="str">
            <v>15027_2</v>
          </cell>
          <cell r="B443">
            <v>3</v>
          </cell>
          <cell r="C443">
            <v>15027</v>
          </cell>
          <cell r="D443" t="str">
            <v>27. 雷雨の登山道</v>
          </cell>
          <cell r="E443" t="str">
            <v>黄青DL6</v>
          </cell>
          <cell r="F443">
            <v>2</v>
          </cell>
          <cell r="G443" t="str">
            <v>ja</v>
          </cell>
          <cell r="H443" t="str">
            <v>27-2. 霊峰の守護者</v>
          </cell>
        </row>
        <row r="444">
          <cell r="A444" t="str">
            <v>15027_3</v>
          </cell>
          <cell r="B444">
            <v>3</v>
          </cell>
          <cell r="C444">
            <v>15027</v>
          </cell>
          <cell r="D444" t="str">
            <v>27. 雷雨の登山道</v>
          </cell>
          <cell r="E444" t="str">
            <v>黄青DL6</v>
          </cell>
          <cell r="F444">
            <v>3</v>
          </cell>
          <cell r="G444" t="str">
            <v>ja</v>
          </cell>
          <cell r="H444" t="str">
            <v>27-3. 山岳の王者</v>
          </cell>
        </row>
        <row r="445">
          <cell r="A445" t="str">
            <v>15027_4</v>
          </cell>
          <cell r="B445">
            <v>3</v>
          </cell>
          <cell r="C445">
            <v>15027</v>
          </cell>
          <cell r="D445" t="str">
            <v>27. 雷雨の登山道</v>
          </cell>
          <cell r="E445" t="str">
            <v>黄青DL6</v>
          </cell>
          <cell r="F445">
            <v>4</v>
          </cell>
          <cell r="G445" t="str">
            <v>ja</v>
          </cell>
          <cell r="H445" t="str">
            <v>27-4. 【1回のみ】ボーナスステージ</v>
          </cell>
        </row>
        <row r="446">
          <cell r="A446" t="str">
            <v>15028_1</v>
          </cell>
          <cell r="B446">
            <v>3</v>
          </cell>
          <cell r="C446">
            <v>15028</v>
          </cell>
          <cell r="D446" t="str">
            <v>28. 暴風と灼熱の罪浄</v>
          </cell>
          <cell r="E446" t="str">
            <v>赤緑DL6</v>
          </cell>
          <cell r="F446">
            <v>1</v>
          </cell>
          <cell r="G446" t="str">
            <v>ja</v>
          </cell>
          <cell r="H446" t="str">
            <v>28-1. 轟翼のかまど</v>
          </cell>
        </row>
        <row r="447">
          <cell r="A447" t="str">
            <v>15028_2</v>
          </cell>
          <cell r="B447">
            <v>3</v>
          </cell>
          <cell r="C447">
            <v>15028</v>
          </cell>
          <cell r="D447" t="str">
            <v>28. 暴風と灼熱の罪浄</v>
          </cell>
          <cell r="E447" t="str">
            <v>赤緑DL6</v>
          </cell>
          <cell r="F447">
            <v>2</v>
          </cell>
          <cell r="G447" t="str">
            <v>ja</v>
          </cell>
          <cell r="H447" t="str">
            <v>28-2. 空の寝殿</v>
          </cell>
        </row>
        <row r="448">
          <cell r="A448" t="str">
            <v>15028_3</v>
          </cell>
          <cell r="B448">
            <v>3</v>
          </cell>
          <cell r="C448">
            <v>15028</v>
          </cell>
          <cell r="D448" t="str">
            <v>28. 暴風と灼熱の罪浄</v>
          </cell>
          <cell r="E448" t="str">
            <v>赤緑DL6</v>
          </cell>
          <cell r="F448">
            <v>3</v>
          </cell>
          <cell r="G448" t="str">
            <v>ja</v>
          </cell>
          <cell r="H448" t="str">
            <v>28-3. 縛風の洞窟</v>
          </cell>
        </row>
        <row r="449">
          <cell r="A449" t="str">
            <v>15028_4</v>
          </cell>
          <cell r="B449">
            <v>3</v>
          </cell>
          <cell r="C449">
            <v>15028</v>
          </cell>
          <cell r="D449" t="str">
            <v>28. 暴風と灼熱の罪浄</v>
          </cell>
          <cell r="E449" t="str">
            <v>赤緑DL6</v>
          </cell>
          <cell r="F449">
            <v>4</v>
          </cell>
          <cell r="G449" t="str">
            <v>ja</v>
          </cell>
          <cell r="H449" t="str">
            <v>28-4. 【1回のみ】ボーナスステージ</v>
          </cell>
        </row>
        <row r="450">
          <cell r="A450" t="str">
            <v>15029_1</v>
          </cell>
          <cell r="B450">
            <v>3</v>
          </cell>
          <cell r="C450">
            <v>15029</v>
          </cell>
          <cell r="D450" t="str">
            <v>29. 雪の望郷</v>
          </cell>
          <cell r="E450" t="str">
            <v>緑黄DL6</v>
          </cell>
          <cell r="F450">
            <v>1</v>
          </cell>
          <cell r="G450" t="str">
            <v>ja</v>
          </cell>
          <cell r="H450" t="str">
            <v>29-1. 雪の中のケモノたち</v>
          </cell>
        </row>
        <row r="451">
          <cell r="A451" t="str">
            <v>15029_2</v>
          </cell>
          <cell r="B451">
            <v>3</v>
          </cell>
          <cell r="C451">
            <v>15029</v>
          </cell>
          <cell r="D451" t="str">
            <v>29. 雪の望郷</v>
          </cell>
          <cell r="E451" t="str">
            <v>緑黄DL6</v>
          </cell>
          <cell r="F451">
            <v>2</v>
          </cell>
          <cell r="G451" t="str">
            <v>ja</v>
          </cell>
          <cell r="H451" t="str">
            <v>29-2. ねこみみマフラー</v>
          </cell>
        </row>
        <row r="452">
          <cell r="A452" t="str">
            <v>15029_3</v>
          </cell>
          <cell r="B452">
            <v>3</v>
          </cell>
          <cell r="C452">
            <v>15029</v>
          </cell>
          <cell r="D452" t="str">
            <v>29. 雪の望郷</v>
          </cell>
          <cell r="E452" t="str">
            <v>緑黄DL6</v>
          </cell>
          <cell r="F452">
            <v>3</v>
          </cell>
          <cell r="G452" t="str">
            <v>ja</v>
          </cell>
          <cell r="H452" t="str">
            <v>29-3. 仕立屋と兄妹</v>
          </cell>
        </row>
        <row r="453">
          <cell r="A453" t="str">
            <v>15029_4</v>
          </cell>
          <cell r="B453">
            <v>3</v>
          </cell>
          <cell r="C453">
            <v>15029</v>
          </cell>
          <cell r="D453" t="str">
            <v>29. 雪の望郷</v>
          </cell>
          <cell r="E453" t="str">
            <v>緑黄DL6</v>
          </cell>
          <cell r="F453">
            <v>4</v>
          </cell>
          <cell r="G453" t="str">
            <v>ja</v>
          </cell>
          <cell r="H453" t="str">
            <v>29-4. 【1回のみ】ボーナスステージ</v>
          </cell>
        </row>
        <row r="454">
          <cell r="A454" t="str">
            <v>15030_1</v>
          </cell>
          <cell r="B454">
            <v>3</v>
          </cell>
          <cell r="C454">
            <v>15030</v>
          </cell>
          <cell r="D454" t="str">
            <v>30. 月夜のオールドシティ</v>
          </cell>
          <cell r="E454" t="str">
            <v>赤青DL6</v>
          </cell>
          <cell r="F454">
            <v>1</v>
          </cell>
          <cell r="G454" t="str">
            <v>ja</v>
          </cell>
          <cell r="H454" t="str">
            <v>30-1. 月夜に煌めく刃</v>
          </cell>
        </row>
        <row r="455">
          <cell r="A455" t="str">
            <v>15030_2</v>
          </cell>
          <cell r="B455">
            <v>3</v>
          </cell>
          <cell r="C455">
            <v>15030</v>
          </cell>
          <cell r="D455" t="str">
            <v>30. 月夜のオールドシティ</v>
          </cell>
          <cell r="E455" t="str">
            <v>赤青DL6</v>
          </cell>
          <cell r="F455">
            <v>2</v>
          </cell>
          <cell r="G455" t="str">
            <v>ja</v>
          </cell>
          <cell r="H455" t="str">
            <v>30-2. 深夜のお茶会</v>
          </cell>
        </row>
        <row r="456">
          <cell r="A456" t="str">
            <v>15030_3</v>
          </cell>
          <cell r="B456">
            <v>3</v>
          </cell>
          <cell r="C456">
            <v>15030</v>
          </cell>
          <cell r="D456" t="str">
            <v>30. 月夜のオールドシティ</v>
          </cell>
          <cell r="E456" t="str">
            <v>赤青DL6</v>
          </cell>
          <cell r="F456">
            <v>3</v>
          </cell>
          <cell r="G456" t="str">
            <v>ja</v>
          </cell>
          <cell r="H456" t="str">
            <v>30-3. 月影の襲撃者</v>
          </cell>
        </row>
        <row r="457">
          <cell r="A457" t="str">
            <v>15030_4</v>
          </cell>
          <cell r="B457">
            <v>3</v>
          </cell>
          <cell r="C457">
            <v>15030</v>
          </cell>
          <cell r="D457" t="str">
            <v>30. 月夜のオールドシティ</v>
          </cell>
          <cell r="E457" t="str">
            <v>赤青DL6</v>
          </cell>
          <cell r="F457">
            <v>4</v>
          </cell>
          <cell r="G457" t="str">
            <v>ja</v>
          </cell>
          <cell r="H457" t="str">
            <v>30-4. 【1回のみ】ボーナスステージ</v>
          </cell>
        </row>
        <row r="458">
          <cell r="A458" t="str">
            <v>15031_1</v>
          </cell>
          <cell r="B458">
            <v>3</v>
          </cell>
          <cell r="C458">
            <v>15031</v>
          </cell>
          <cell r="D458" t="str">
            <v>31. 桜花乱城</v>
          </cell>
          <cell r="E458" t="str">
            <v>混色DL6</v>
          </cell>
          <cell r="F458">
            <v>1</v>
          </cell>
          <cell r="G458" t="str">
            <v>ja</v>
          </cell>
          <cell r="H458" t="str">
            <v>31-1. 忍び寄る影</v>
          </cell>
        </row>
        <row r="459">
          <cell r="A459" t="str">
            <v>15031_2</v>
          </cell>
          <cell r="B459">
            <v>3</v>
          </cell>
          <cell r="C459">
            <v>15031</v>
          </cell>
          <cell r="D459" t="str">
            <v>31. 桜花乱城</v>
          </cell>
          <cell r="E459" t="str">
            <v>混色DL6</v>
          </cell>
          <cell r="F459">
            <v>2</v>
          </cell>
          <cell r="G459" t="str">
            <v>ja</v>
          </cell>
          <cell r="H459" t="str">
            <v>31-2. 赤鉄の将</v>
          </cell>
        </row>
        <row r="460">
          <cell r="A460" t="str">
            <v>15031_3</v>
          </cell>
          <cell r="B460">
            <v>3</v>
          </cell>
          <cell r="C460">
            <v>15031</v>
          </cell>
          <cell r="D460" t="str">
            <v>31. 桜花乱城</v>
          </cell>
          <cell r="E460" t="str">
            <v>混色DL6</v>
          </cell>
          <cell r="F460">
            <v>3</v>
          </cell>
          <cell r="G460" t="str">
            <v>ja</v>
          </cell>
          <cell r="H460" t="str">
            <v>31-3. 神域の試練</v>
          </cell>
        </row>
        <row r="461">
          <cell r="A461" t="str">
            <v>15031_4</v>
          </cell>
          <cell r="B461">
            <v>3</v>
          </cell>
          <cell r="C461">
            <v>15031</v>
          </cell>
          <cell r="D461" t="str">
            <v>31. 桜花乱城</v>
          </cell>
          <cell r="E461" t="str">
            <v>混色DL6</v>
          </cell>
          <cell r="F461">
            <v>4</v>
          </cell>
          <cell r="G461" t="str">
            <v>ja</v>
          </cell>
          <cell r="H461" t="str">
            <v>31-4. 【1回のみ】ボーナスステージ</v>
          </cell>
        </row>
        <row r="462">
          <cell r="A462" t="str">
            <v>20001_1</v>
          </cell>
          <cell r="B462">
            <v>3</v>
          </cell>
          <cell r="C462">
            <v>20001</v>
          </cell>
          <cell r="D462" t="str">
            <v>紅き執行者</v>
          </cell>
          <cell r="E462" t="str">
            <v>ドロップイベント1-1</v>
          </cell>
          <cell r="F462">
            <v>1</v>
          </cell>
          <cell r="G462" t="str">
            <v>ja</v>
          </cell>
          <cell r="H462" t="str">
            <v xml:space="preserve">【初級】紅き執行者 </v>
          </cell>
        </row>
        <row r="463">
          <cell r="A463" t="str">
            <v>20001_2</v>
          </cell>
          <cell r="B463">
            <v>3</v>
          </cell>
          <cell r="C463">
            <v>20001</v>
          </cell>
          <cell r="D463" t="str">
            <v>紅き執行者</v>
          </cell>
          <cell r="E463" t="str">
            <v>ドロップイベント1-1</v>
          </cell>
          <cell r="F463">
            <v>2</v>
          </cell>
          <cell r="G463" t="str">
            <v>ja</v>
          </cell>
          <cell r="H463" t="str">
            <v>【中級】紅き執行者</v>
          </cell>
        </row>
        <row r="464">
          <cell r="A464" t="str">
            <v>20001_3</v>
          </cell>
          <cell r="B464">
            <v>3</v>
          </cell>
          <cell r="C464">
            <v>20001</v>
          </cell>
          <cell r="D464" t="str">
            <v>紅き執行者</v>
          </cell>
          <cell r="E464" t="str">
            <v>ドロップイベント1-1</v>
          </cell>
          <cell r="F464">
            <v>3</v>
          </cell>
          <cell r="G464" t="str">
            <v>ja</v>
          </cell>
          <cell r="H464" t="str">
            <v xml:space="preserve">【上級】紅き執行者 </v>
          </cell>
        </row>
        <row r="465">
          <cell r="A465" t="str">
            <v>20002_1</v>
          </cell>
          <cell r="B465">
            <v>3</v>
          </cell>
          <cell r="C465">
            <v>20002</v>
          </cell>
          <cell r="D465" t="str">
            <v>孤高の一角獣</v>
          </cell>
          <cell r="E465" t="str">
            <v>ドロップイベント1-2</v>
          </cell>
          <cell r="F465">
            <v>1</v>
          </cell>
          <cell r="G465" t="str">
            <v>ja</v>
          </cell>
          <cell r="H465" t="str">
            <v>【初級】孤高の一角獣</v>
          </cell>
        </row>
        <row r="466">
          <cell r="A466" t="str">
            <v>20002_2</v>
          </cell>
          <cell r="B466">
            <v>3</v>
          </cell>
          <cell r="C466">
            <v>20002</v>
          </cell>
          <cell r="D466" t="str">
            <v>孤高の一角獣</v>
          </cell>
          <cell r="E466" t="str">
            <v>ドロップイベント1-2</v>
          </cell>
          <cell r="F466">
            <v>2</v>
          </cell>
          <cell r="G466" t="str">
            <v>ja</v>
          </cell>
          <cell r="H466" t="str">
            <v>【中級】孤高の一角獣</v>
          </cell>
        </row>
        <row r="467">
          <cell r="A467" t="str">
            <v>20002_3</v>
          </cell>
          <cell r="B467">
            <v>3</v>
          </cell>
          <cell r="C467">
            <v>20002</v>
          </cell>
          <cell r="D467" t="str">
            <v>孤高の一角獣</v>
          </cell>
          <cell r="E467" t="str">
            <v>ドロップイベント1-2</v>
          </cell>
          <cell r="F467">
            <v>3</v>
          </cell>
          <cell r="G467" t="str">
            <v>ja</v>
          </cell>
          <cell r="H467" t="str">
            <v>【上級】孤高の一角獣</v>
          </cell>
        </row>
        <row r="468">
          <cell r="A468" t="str">
            <v>20003_1</v>
          </cell>
          <cell r="B468">
            <v>3</v>
          </cell>
          <cell r="C468">
            <v>20003</v>
          </cell>
          <cell r="D468" t="str">
            <v>忍び寄る短剣</v>
          </cell>
          <cell r="E468" t="str">
            <v>ドロップイベント1-3</v>
          </cell>
          <cell r="F468">
            <v>1</v>
          </cell>
          <cell r="G468" t="str">
            <v>ja</v>
          </cell>
          <cell r="H468" t="str">
            <v xml:space="preserve">【初級】忍び寄る短剣 </v>
          </cell>
        </row>
        <row r="469">
          <cell r="A469" t="str">
            <v>20003_2</v>
          </cell>
          <cell r="B469">
            <v>3</v>
          </cell>
          <cell r="C469">
            <v>20003</v>
          </cell>
          <cell r="D469" t="str">
            <v>忍び寄る短剣</v>
          </cell>
          <cell r="E469" t="str">
            <v>ドロップイベント1-3</v>
          </cell>
          <cell r="F469">
            <v>2</v>
          </cell>
          <cell r="G469" t="str">
            <v>ja</v>
          </cell>
          <cell r="H469" t="str">
            <v xml:space="preserve">【中級】忍び寄る短剣 </v>
          </cell>
        </row>
        <row r="470">
          <cell r="A470" t="str">
            <v>20003_3</v>
          </cell>
          <cell r="B470">
            <v>3</v>
          </cell>
          <cell r="C470">
            <v>20003</v>
          </cell>
          <cell r="D470" t="str">
            <v>忍び寄る短剣</v>
          </cell>
          <cell r="E470" t="str">
            <v>ドロップイベント1-3</v>
          </cell>
          <cell r="F470">
            <v>3</v>
          </cell>
          <cell r="G470" t="str">
            <v>ja</v>
          </cell>
          <cell r="H470" t="str">
            <v xml:space="preserve">【上級】忍び寄る短剣 </v>
          </cell>
        </row>
        <row r="471">
          <cell r="A471" t="str">
            <v>20004_1</v>
          </cell>
          <cell r="B471">
            <v>3</v>
          </cell>
          <cell r="C471">
            <v>20004</v>
          </cell>
          <cell r="D471" t="str">
            <v>雷雲からの刺客</v>
          </cell>
          <cell r="E471" t="str">
            <v>ドロップイベント1-4</v>
          </cell>
          <cell r="F471">
            <v>1</v>
          </cell>
          <cell r="G471" t="str">
            <v>ja</v>
          </cell>
          <cell r="H471" t="str">
            <v>【初級】雷雲からの刺客</v>
          </cell>
        </row>
        <row r="472">
          <cell r="A472" t="str">
            <v>20004_2</v>
          </cell>
          <cell r="B472">
            <v>3</v>
          </cell>
          <cell r="C472">
            <v>20004</v>
          </cell>
          <cell r="D472" t="str">
            <v>雷雲からの刺客</v>
          </cell>
          <cell r="E472" t="str">
            <v>ドロップイベント1-4</v>
          </cell>
          <cell r="F472">
            <v>2</v>
          </cell>
          <cell r="G472" t="str">
            <v>ja</v>
          </cell>
          <cell r="H472" t="str">
            <v>【中級】雷雲からの刺客</v>
          </cell>
        </row>
        <row r="473">
          <cell r="A473" t="str">
            <v>20004_3</v>
          </cell>
          <cell r="B473">
            <v>3</v>
          </cell>
          <cell r="C473">
            <v>20004</v>
          </cell>
          <cell r="D473" t="str">
            <v>雷雲からの刺客</v>
          </cell>
          <cell r="E473" t="str">
            <v>ドロップイベント1-4</v>
          </cell>
          <cell r="F473">
            <v>3</v>
          </cell>
          <cell r="G473" t="str">
            <v>ja</v>
          </cell>
          <cell r="H473" t="str">
            <v>【上級】雷雲からの刺客</v>
          </cell>
        </row>
        <row r="474">
          <cell r="A474" t="str">
            <v>20005_1</v>
          </cell>
          <cell r="B474">
            <v>3</v>
          </cell>
          <cell r="C474">
            <v>20005</v>
          </cell>
          <cell r="D474" t="str">
            <v>ザ・キャノン</v>
          </cell>
          <cell r="E474" t="str">
            <v>ドロップイベント2-2</v>
          </cell>
          <cell r="F474">
            <v>1</v>
          </cell>
          <cell r="G474" t="str">
            <v>ja</v>
          </cell>
          <cell r="H474" t="str">
            <v>【初級】ザ・キャノン(4タップ）</v>
          </cell>
        </row>
        <row r="475">
          <cell r="A475" t="str">
            <v>20005_2</v>
          </cell>
          <cell r="B475">
            <v>3</v>
          </cell>
          <cell r="C475">
            <v>20005</v>
          </cell>
          <cell r="D475" t="str">
            <v>ザ・キャノン</v>
          </cell>
          <cell r="E475" t="str">
            <v>ドロップイベント2-2</v>
          </cell>
          <cell r="F475">
            <v>2</v>
          </cell>
          <cell r="G475" t="str">
            <v>ja</v>
          </cell>
          <cell r="H475" t="str">
            <v>【中級】ザ・キャノン(4タップ)</v>
          </cell>
        </row>
        <row r="476">
          <cell r="A476" t="str">
            <v>20005_3</v>
          </cell>
          <cell r="B476">
            <v>3</v>
          </cell>
          <cell r="C476">
            <v>20005</v>
          </cell>
          <cell r="D476" t="str">
            <v>ザ・キャノン</v>
          </cell>
          <cell r="E476" t="str">
            <v>ドロップイベント2-2</v>
          </cell>
          <cell r="F476">
            <v>3</v>
          </cell>
          <cell r="G476" t="str">
            <v>ja</v>
          </cell>
          <cell r="H476" t="str">
            <v>【上級】ザ・キャノン(4タップ)</v>
          </cell>
        </row>
        <row r="477">
          <cell r="A477" t="str">
            <v>20006_1</v>
          </cell>
          <cell r="B477">
            <v>3</v>
          </cell>
          <cell r="C477">
            <v>20006</v>
          </cell>
          <cell r="D477" t="str">
            <v>スチール・プレデター</v>
          </cell>
          <cell r="E477" t="str">
            <v>ドロップイベント2-3</v>
          </cell>
          <cell r="F477">
            <v>1</v>
          </cell>
          <cell r="G477" t="str">
            <v>ja</v>
          </cell>
          <cell r="H477" t="str">
            <v>【初級】スチール・プレデター</v>
          </cell>
        </row>
        <row r="478">
          <cell r="A478" t="str">
            <v>20006_2</v>
          </cell>
          <cell r="B478">
            <v>3</v>
          </cell>
          <cell r="C478">
            <v>20006</v>
          </cell>
          <cell r="D478" t="str">
            <v>スチール・プレデター</v>
          </cell>
          <cell r="E478" t="str">
            <v>ドロップイベント2-3</v>
          </cell>
          <cell r="F478">
            <v>2</v>
          </cell>
          <cell r="G478" t="str">
            <v>ja</v>
          </cell>
          <cell r="H478" t="str">
            <v>【中級】スチール・プレデター</v>
          </cell>
        </row>
        <row r="479">
          <cell r="A479" t="str">
            <v>20006_3</v>
          </cell>
          <cell r="B479">
            <v>3</v>
          </cell>
          <cell r="C479">
            <v>20006</v>
          </cell>
          <cell r="D479" t="str">
            <v>スチール・プレデター</v>
          </cell>
          <cell r="E479" t="str">
            <v>ドロップイベント2-3</v>
          </cell>
          <cell r="F479">
            <v>3</v>
          </cell>
          <cell r="G479" t="str">
            <v>ja</v>
          </cell>
          <cell r="H479" t="str">
            <v>【上級】スチール・プレデター</v>
          </cell>
        </row>
        <row r="480">
          <cell r="A480" t="str">
            <v>20007_1</v>
          </cell>
          <cell r="B480">
            <v>3</v>
          </cell>
          <cell r="C480">
            <v>20007</v>
          </cell>
          <cell r="D480" t="str">
            <v>女王陛下の処刑龍</v>
          </cell>
          <cell r="E480" t="str">
            <v>ドロップイベント2-1</v>
          </cell>
          <cell r="F480">
            <v>1</v>
          </cell>
          <cell r="G480" t="str">
            <v>ja</v>
          </cell>
          <cell r="H480" t="str">
            <v>【初級】女王陛下の処刑龍</v>
          </cell>
        </row>
        <row r="481">
          <cell r="A481" t="str">
            <v>20007_2</v>
          </cell>
          <cell r="B481">
            <v>3</v>
          </cell>
          <cell r="C481">
            <v>20007</v>
          </cell>
          <cell r="D481" t="str">
            <v>女王陛下の処刑龍</v>
          </cell>
          <cell r="E481" t="str">
            <v>ドロップイベント2-1</v>
          </cell>
          <cell r="F481">
            <v>2</v>
          </cell>
          <cell r="G481" t="str">
            <v>ja</v>
          </cell>
          <cell r="H481" t="str">
            <v>【中級】女王陛下の処刑龍</v>
          </cell>
        </row>
        <row r="482">
          <cell r="A482" t="str">
            <v>20007_3</v>
          </cell>
          <cell r="B482">
            <v>3</v>
          </cell>
          <cell r="C482">
            <v>20007</v>
          </cell>
          <cell r="D482" t="str">
            <v>女王陛下の処刑龍</v>
          </cell>
          <cell r="E482" t="str">
            <v>ドロップイベント2-1</v>
          </cell>
          <cell r="F482">
            <v>3</v>
          </cell>
          <cell r="G482" t="str">
            <v>ja</v>
          </cell>
          <cell r="H482" t="str">
            <v>【上級】女王陛下の処刑龍</v>
          </cell>
        </row>
        <row r="483">
          <cell r="A483" t="str">
            <v>20008_1</v>
          </cell>
          <cell r="B483">
            <v>3</v>
          </cell>
          <cell r="C483">
            <v>20008</v>
          </cell>
          <cell r="D483" t="str">
            <v>天翔ける金轟機龍</v>
          </cell>
          <cell r="E483" t="str">
            <v>ドロップイベント2-4</v>
          </cell>
          <cell r="F483">
            <v>1</v>
          </cell>
          <cell r="G483" t="str">
            <v>ja</v>
          </cell>
          <cell r="H483" t="str">
            <v>【初級】天翔ける金轟機龍</v>
          </cell>
        </row>
        <row r="484">
          <cell r="A484" t="str">
            <v>20008_2</v>
          </cell>
          <cell r="B484">
            <v>3</v>
          </cell>
          <cell r="C484">
            <v>20008</v>
          </cell>
          <cell r="D484" t="str">
            <v>天翔ける金轟機龍</v>
          </cell>
          <cell r="E484" t="str">
            <v>ドロップイベント2-4</v>
          </cell>
          <cell r="F484">
            <v>2</v>
          </cell>
          <cell r="G484" t="str">
            <v>ja</v>
          </cell>
          <cell r="H484" t="str">
            <v>【中級】天翔ける金轟機龍</v>
          </cell>
        </row>
        <row r="485">
          <cell r="A485" t="str">
            <v>20008_3</v>
          </cell>
          <cell r="B485">
            <v>3</v>
          </cell>
          <cell r="C485">
            <v>20008</v>
          </cell>
          <cell r="D485" t="str">
            <v>天翔ける金轟機龍</v>
          </cell>
          <cell r="E485" t="str">
            <v>ドロップイベント2-4</v>
          </cell>
          <cell r="F485">
            <v>3</v>
          </cell>
          <cell r="G485" t="str">
            <v>ja</v>
          </cell>
          <cell r="H485" t="str">
            <v>【上級】天翔ける金轟機龍</v>
          </cell>
        </row>
        <row r="486">
          <cell r="A486" t="str">
            <v>20009_1</v>
          </cell>
          <cell r="B486">
            <v>0</v>
          </cell>
          <cell r="C486">
            <v>20009</v>
          </cell>
          <cell r="D486" t="str">
            <v>迫り来る窒息</v>
          </cell>
          <cell r="E486" t="str">
            <v>ドロップイベント3</v>
          </cell>
          <cell r="F486">
            <v>1</v>
          </cell>
          <cell r="G486" t="str">
            <v>ja</v>
          </cell>
          <cell r="H486" t="str">
            <v>【初級】迫り来る窒息</v>
          </cell>
        </row>
        <row r="487">
          <cell r="A487" t="str">
            <v>20009_2</v>
          </cell>
          <cell r="B487">
            <v>3</v>
          </cell>
          <cell r="C487">
            <v>20009</v>
          </cell>
          <cell r="D487" t="str">
            <v>迫り来る窒息</v>
          </cell>
          <cell r="E487" t="str">
            <v>ドロップイベント3</v>
          </cell>
          <cell r="F487">
            <v>2</v>
          </cell>
          <cell r="G487" t="str">
            <v>ja</v>
          </cell>
          <cell r="H487" t="str">
            <v>【中級】迫り来る窒息</v>
          </cell>
        </row>
        <row r="488">
          <cell r="A488" t="str">
            <v>20009_3</v>
          </cell>
          <cell r="B488">
            <v>3</v>
          </cell>
          <cell r="C488">
            <v>20009</v>
          </cell>
          <cell r="D488" t="str">
            <v>迫り来る窒息</v>
          </cell>
          <cell r="E488" t="str">
            <v>ドロップイベント3</v>
          </cell>
          <cell r="F488">
            <v>3</v>
          </cell>
          <cell r="G488" t="str">
            <v>ja</v>
          </cell>
          <cell r="H488" t="str">
            <v>【上級】迫り来る窒息</v>
          </cell>
        </row>
        <row r="489">
          <cell r="A489" t="str">
            <v>20010_1</v>
          </cell>
          <cell r="B489">
            <v>3</v>
          </cell>
          <cell r="C489">
            <v>20010</v>
          </cell>
          <cell r="D489" t="str">
            <v>悪夢の一目惚れ</v>
          </cell>
          <cell r="E489" t="str">
            <v>ドロップイベント3</v>
          </cell>
          <cell r="F489">
            <v>1</v>
          </cell>
          <cell r="G489" t="str">
            <v>ja</v>
          </cell>
          <cell r="H489" t="str">
            <v>【初級】悪夢の一目惚れ</v>
          </cell>
        </row>
        <row r="490">
          <cell r="A490" t="str">
            <v>20010_2</v>
          </cell>
          <cell r="B490">
            <v>3</v>
          </cell>
          <cell r="C490">
            <v>20010</v>
          </cell>
          <cell r="D490" t="str">
            <v>悪夢の一目惚れ</v>
          </cell>
          <cell r="E490" t="str">
            <v>ドロップイベント3</v>
          </cell>
          <cell r="F490">
            <v>2</v>
          </cell>
          <cell r="G490" t="str">
            <v>ja</v>
          </cell>
          <cell r="H490" t="str">
            <v>【中級】悪夢の一目惚れ</v>
          </cell>
        </row>
        <row r="491">
          <cell r="A491" t="str">
            <v>20010_3</v>
          </cell>
          <cell r="B491">
            <v>3</v>
          </cell>
          <cell r="C491">
            <v>20010</v>
          </cell>
          <cell r="D491" t="str">
            <v>悪夢の一目惚れ</v>
          </cell>
          <cell r="E491" t="str">
            <v>ドロップイベント3</v>
          </cell>
          <cell r="F491">
            <v>3</v>
          </cell>
          <cell r="G491" t="str">
            <v>ja</v>
          </cell>
          <cell r="H491" t="str">
            <v>【上級】悪夢の一目惚れ</v>
          </cell>
        </row>
        <row r="492">
          <cell r="A492" t="str">
            <v>20011_1</v>
          </cell>
          <cell r="B492">
            <v>3</v>
          </cell>
          <cell r="C492">
            <v>20011</v>
          </cell>
          <cell r="D492" t="str">
            <v>すべてが灰になる</v>
          </cell>
          <cell r="E492" t="str">
            <v>ドロップイベント3</v>
          </cell>
          <cell r="F492">
            <v>1</v>
          </cell>
          <cell r="G492" t="str">
            <v>ja</v>
          </cell>
          <cell r="H492" t="str">
            <v>【初級】すべてが灰になる</v>
          </cell>
        </row>
        <row r="493">
          <cell r="A493" t="str">
            <v>20011_2</v>
          </cell>
          <cell r="B493">
            <v>3</v>
          </cell>
          <cell r="C493">
            <v>20011</v>
          </cell>
          <cell r="D493" t="str">
            <v>すべてが灰になる</v>
          </cell>
          <cell r="E493" t="str">
            <v>ドロップイベント3</v>
          </cell>
          <cell r="F493">
            <v>2</v>
          </cell>
          <cell r="G493" t="str">
            <v>ja</v>
          </cell>
          <cell r="H493" t="str">
            <v>【中級】すべてが灰になる</v>
          </cell>
        </row>
        <row r="494">
          <cell r="A494" t="str">
            <v>20011_3</v>
          </cell>
          <cell r="B494">
            <v>3</v>
          </cell>
          <cell r="C494">
            <v>20011</v>
          </cell>
          <cell r="D494" t="str">
            <v>すべてが灰になる</v>
          </cell>
          <cell r="E494" t="str">
            <v>ドロップイベント3</v>
          </cell>
          <cell r="F494">
            <v>3</v>
          </cell>
          <cell r="G494" t="str">
            <v>ja</v>
          </cell>
          <cell r="H494" t="str">
            <v>【上級】すべてが灰になる</v>
          </cell>
        </row>
        <row r="495">
          <cell r="A495" t="str">
            <v>20012_1</v>
          </cell>
          <cell r="B495">
            <v>3</v>
          </cell>
          <cell r="C495">
            <v>20012</v>
          </cell>
          <cell r="D495" t="str">
            <v>罪と劇薬</v>
          </cell>
          <cell r="E495" t="str">
            <v>ドロップイベント3</v>
          </cell>
          <cell r="F495">
            <v>1</v>
          </cell>
          <cell r="G495" t="str">
            <v>ja</v>
          </cell>
          <cell r="H495" t="str">
            <v>【初級】罪と劇薬</v>
          </cell>
        </row>
        <row r="496">
          <cell r="A496" t="str">
            <v>20012_2</v>
          </cell>
          <cell r="B496">
            <v>3</v>
          </cell>
          <cell r="C496">
            <v>20012</v>
          </cell>
          <cell r="D496" t="str">
            <v>罪と劇薬</v>
          </cell>
          <cell r="E496" t="str">
            <v>ドロップイベント3</v>
          </cell>
          <cell r="F496">
            <v>2</v>
          </cell>
          <cell r="G496" t="str">
            <v>ja</v>
          </cell>
          <cell r="H496" t="str">
            <v>【中級】罪と劇薬</v>
          </cell>
        </row>
        <row r="497">
          <cell r="A497" t="str">
            <v>20012_3</v>
          </cell>
          <cell r="B497">
            <v>3</v>
          </cell>
          <cell r="C497">
            <v>20012</v>
          </cell>
          <cell r="D497" t="str">
            <v>罪と劇薬</v>
          </cell>
          <cell r="E497" t="str">
            <v>ドロップイベント3</v>
          </cell>
          <cell r="F497">
            <v>3</v>
          </cell>
          <cell r="G497" t="str">
            <v>ja</v>
          </cell>
          <cell r="H497" t="str">
            <v>【上級】罪と劇薬</v>
          </cell>
        </row>
        <row r="498">
          <cell r="A498" t="str">
            <v>20013_1</v>
          </cell>
          <cell r="B498">
            <v>3</v>
          </cell>
          <cell r="C498">
            <v>20013</v>
          </cell>
          <cell r="D498" t="str">
            <v>天の時、地の利、人の和</v>
          </cell>
          <cell r="E498" t="str">
            <v>ドロップイベント4</v>
          </cell>
          <cell r="F498">
            <v>1</v>
          </cell>
          <cell r="G498" t="str">
            <v>ja</v>
          </cell>
          <cell r="H498" t="str">
            <v>【初級】天の時、地の利、人の和</v>
          </cell>
        </row>
        <row r="499">
          <cell r="A499" t="str">
            <v>20013_2</v>
          </cell>
          <cell r="B499">
            <v>3</v>
          </cell>
          <cell r="C499">
            <v>20013</v>
          </cell>
          <cell r="D499" t="str">
            <v>天の時、地の利、人の和</v>
          </cell>
          <cell r="E499" t="str">
            <v>ドロップイベント4</v>
          </cell>
          <cell r="F499">
            <v>2</v>
          </cell>
          <cell r="G499" t="str">
            <v>ja</v>
          </cell>
          <cell r="H499" t="str">
            <v>【中級】天の時、地の利、人の和</v>
          </cell>
        </row>
        <row r="500">
          <cell r="A500" t="str">
            <v>20013_3</v>
          </cell>
          <cell r="B500">
            <v>3</v>
          </cell>
          <cell r="C500">
            <v>20013</v>
          </cell>
          <cell r="D500" t="str">
            <v>天の時、地の利、人の和</v>
          </cell>
          <cell r="E500" t="str">
            <v>ドロップイベント4</v>
          </cell>
          <cell r="F500">
            <v>3</v>
          </cell>
          <cell r="G500" t="str">
            <v>ja</v>
          </cell>
          <cell r="H500" t="str">
            <v>【上級】天の時、地の利、人の和</v>
          </cell>
        </row>
        <row r="501">
          <cell r="A501" t="str">
            <v>20014_1</v>
          </cell>
          <cell r="B501">
            <v>3</v>
          </cell>
          <cell r="C501">
            <v>20014</v>
          </cell>
          <cell r="D501" t="str">
            <v>魅了する歌声</v>
          </cell>
          <cell r="E501" t="str">
            <v>天使と悪魔編1</v>
          </cell>
          <cell r="F501">
            <v>1</v>
          </cell>
          <cell r="G501" t="str">
            <v>ja</v>
          </cell>
          <cell r="H501" t="str">
            <v>【初級】魅了する歌声</v>
          </cell>
        </row>
        <row r="502">
          <cell r="A502" t="str">
            <v>20014_2</v>
          </cell>
          <cell r="B502">
            <v>3</v>
          </cell>
          <cell r="C502">
            <v>20014</v>
          </cell>
          <cell r="D502" t="str">
            <v>魅了する歌声</v>
          </cell>
          <cell r="E502" t="str">
            <v>天使と悪魔編1</v>
          </cell>
          <cell r="F502">
            <v>2</v>
          </cell>
          <cell r="G502" t="str">
            <v>ja</v>
          </cell>
          <cell r="H502" t="str">
            <v>【中級】魅了する歌声</v>
          </cell>
        </row>
        <row r="503">
          <cell r="A503" t="str">
            <v>20014_3</v>
          </cell>
          <cell r="B503">
            <v>3</v>
          </cell>
          <cell r="C503">
            <v>20014</v>
          </cell>
          <cell r="D503" t="str">
            <v>魅了する歌声</v>
          </cell>
          <cell r="E503" t="str">
            <v>天使と悪魔編1</v>
          </cell>
          <cell r="F503">
            <v>3</v>
          </cell>
          <cell r="G503" t="str">
            <v>ja</v>
          </cell>
          <cell r="H503" t="str">
            <v>【上級】魅了する歌声</v>
          </cell>
        </row>
        <row r="504">
          <cell r="A504" t="str">
            <v>20015_1</v>
          </cell>
          <cell r="B504">
            <v>3</v>
          </cell>
          <cell r="C504">
            <v>20015</v>
          </cell>
          <cell r="D504" t="str">
            <v>妄執とり憑く美貌の妃</v>
          </cell>
          <cell r="E504" t="str">
            <v>おとぎ話シリーズ3</v>
          </cell>
          <cell r="F504">
            <v>1</v>
          </cell>
          <cell r="G504" t="str">
            <v>ja</v>
          </cell>
          <cell r="H504" t="str">
            <v>【初級】妄執とり憑く美貌の妃</v>
          </cell>
        </row>
        <row r="505">
          <cell r="A505" t="str">
            <v>20015_2</v>
          </cell>
          <cell r="B505">
            <v>3</v>
          </cell>
          <cell r="C505">
            <v>20015</v>
          </cell>
          <cell r="D505" t="str">
            <v>妄執とり憑く美貌の妃</v>
          </cell>
          <cell r="E505" t="str">
            <v>おとぎ話シリーズ3</v>
          </cell>
          <cell r="F505">
            <v>2</v>
          </cell>
          <cell r="G505" t="str">
            <v>ja</v>
          </cell>
          <cell r="H505" t="str">
            <v>【中級】妄執とり憑く美貌の妃</v>
          </cell>
        </row>
        <row r="506">
          <cell r="A506" t="str">
            <v>20015_3</v>
          </cell>
          <cell r="B506">
            <v>3</v>
          </cell>
          <cell r="C506">
            <v>20015</v>
          </cell>
          <cell r="D506" t="str">
            <v>妄執とり憑く美貌の妃</v>
          </cell>
          <cell r="E506" t="str">
            <v>おとぎ話シリーズ3</v>
          </cell>
          <cell r="F506">
            <v>3</v>
          </cell>
          <cell r="G506" t="str">
            <v>ja</v>
          </cell>
          <cell r="H506" t="str">
            <v>【上級】妄執とり憑く美貌の妃</v>
          </cell>
        </row>
        <row r="507">
          <cell r="A507" t="str">
            <v>20016_1</v>
          </cell>
          <cell r="B507">
            <v>3</v>
          </cell>
          <cell r="C507">
            <v>20016</v>
          </cell>
          <cell r="D507" t="str">
            <v>寡黙な翼竜の侵攻</v>
          </cell>
          <cell r="E507" t="str">
            <v>ギリシャ神話01</v>
          </cell>
          <cell r="F507">
            <v>1</v>
          </cell>
          <cell r="G507" t="str">
            <v>ja</v>
          </cell>
          <cell r="H507" t="str">
            <v>【初級】寡黙な翼竜の侵攻</v>
          </cell>
        </row>
        <row r="508">
          <cell r="A508" t="str">
            <v>20016_2</v>
          </cell>
          <cell r="B508">
            <v>3</v>
          </cell>
          <cell r="C508">
            <v>20016</v>
          </cell>
          <cell r="D508" t="str">
            <v>寡黙な翼竜の侵攻</v>
          </cell>
          <cell r="E508" t="str">
            <v>ギリシャ神話01</v>
          </cell>
          <cell r="F508">
            <v>2</v>
          </cell>
          <cell r="G508" t="str">
            <v>ja</v>
          </cell>
          <cell r="H508" t="str">
            <v>【中級】寡黙な翼竜の侵攻</v>
          </cell>
        </row>
        <row r="509">
          <cell r="A509" t="str">
            <v>20016_3</v>
          </cell>
          <cell r="B509">
            <v>3</v>
          </cell>
          <cell r="C509">
            <v>20016</v>
          </cell>
          <cell r="D509" t="str">
            <v>寡黙な翼竜の侵攻</v>
          </cell>
          <cell r="E509" t="str">
            <v>ギリシャ神話01</v>
          </cell>
          <cell r="F509">
            <v>3</v>
          </cell>
          <cell r="G509" t="str">
            <v>ja</v>
          </cell>
          <cell r="H509" t="str">
            <v>【上級】寡黙な翼竜の侵攻</v>
          </cell>
        </row>
        <row r="510">
          <cell r="A510" t="str">
            <v>20017_1</v>
          </cell>
          <cell r="B510">
            <v>3</v>
          </cell>
          <cell r="C510">
            <v>20017</v>
          </cell>
          <cell r="D510" t="str">
            <v>隻腕の提督</v>
          </cell>
          <cell r="E510" t="str">
            <v>フランス革命01</v>
          </cell>
          <cell r="F510">
            <v>1</v>
          </cell>
          <cell r="G510" t="str">
            <v>ja</v>
          </cell>
          <cell r="H510" t="str">
            <v>【初級】隻腕の提督</v>
          </cell>
        </row>
        <row r="511">
          <cell r="A511" t="str">
            <v>20017_2</v>
          </cell>
          <cell r="B511">
            <v>3</v>
          </cell>
          <cell r="C511">
            <v>20017</v>
          </cell>
          <cell r="D511" t="str">
            <v>隻腕の提督</v>
          </cell>
          <cell r="E511" t="str">
            <v>フランス革命01</v>
          </cell>
          <cell r="F511">
            <v>2</v>
          </cell>
          <cell r="G511" t="str">
            <v>ja</v>
          </cell>
          <cell r="H511" t="str">
            <v>【中級】隻腕の提督</v>
          </cell>
        </row>
        <row r="512">
          <cell r="A512" t="str">
            <v>20017_3</v>
          </cell>
          <cell r="B512">
            <v>3</v>
          </cell>
          <cell r="C512">
            <v>20017</v>
          </cell>
          <cell r="D512" t="str">
            <v>隻腕の提督</v>
          </cell>
          <cell r="E512" t="str">
            <v>フランス革命01</v>
          </cell>
          <cell r="F512">
            <v>3</v>
          </cell>
          <cell r="G512" t="str">
            <v>ja</v>
          </cell>
          <cell r="H512" t="str">
            <v>【上級】隻腕の提督</v>
          </cell>
        </row>
        <row r="513">
          <cell r="A513" t="str">
            <v>20018_1</v>
          </cell>
          <cell r="B513">
            <v>3</v>
          </cell>
          <cell r="C513">
            <v>20018</v>
          </cell>
          <cell r="D513" t="str">
            <v>魂を屠る黒影</v>
          </cell>
          <cell r="E513" t="str">
            <v>エジプト01</v>
          </cell>
          <cell r="F513">
            <v>1</v>
          </cell>
          <cell r="G513" t="str">
            <v>ja</v>
          </cell>
          <cell r="H513" t="str">
            <v>【初級】魂を屠る黒影</v>
          </cell>
        </row>
        <row r="514">
          <cell r="A514" t="str">
            <v>20018_2</v>
          </cell>
          <cell r="B514">
            <v>3</v>
          </cell>
          <cell r="C514">
            <v>20018</v>
          </cell>
          <cell r="D514" t="str">
            <v>魂を屠る黒影</v>
          </cell>
          <cell r="E514" t="str">
            <v>エジプト01</v>
          </cell>
          <cell r="F514">
            <v>2</v>
          </cell>
          <cell r="G514" t="str">
            <v>ja</v>
          </cell>
          <cell r="H514" t="str">
            <v>【中級】魂を屠る黒影</v>
          </cell>
        </row>
        <row r="515">
          <cell r="A515" t="str">
            <v>20018_3</v>
          </cell>
          <cell r="B515">
            <v>3</v>
          </cell>
          <cell r="C515">
            <v>20018</v>
          </cell>
          <cell r="D515" t="str">
            <v>魂を屠る黒影</v>
          </cell>
          <cell r="E515" t="str">
            <v>エジプト01</v>
          </cell>
          <cell r="F515">
            <v>3</v>
          </cell>
          <cell r="G515" t="str">
            <v>ja</v>
          </cell>
          <cell r="H515" t="str">
            <v>【上級】魂を屠る黒影</v>
          </cell>
        </row>
        <row r="516">
          <cell r="A516" t="str">
            <v>20019_1</v>
          </cell>
          <cell r="B516">
            <v>3</v>
          </cell>
          <cell r="C516">
            <v>20019</v>
          </cell>
          <cell r="D516" t="str">
            <v>灼熱の舞姫</v>
          </cell>
          <cell r="E516" t="str">
            <v>平安01</v>
          </cell>
          <cell r="F516">
            <v>1</v>
          </cell>
          <cell r="G516" t="str">
            <v>ja</v>
          </cell>
          <cell r="H516" t="str">
            <v>【初級】灼熱の舞姫</v>
          </cell>
        </row>
        <row r="517">
          <cell r="A517" t="str">
            <v>20019_2</v>
          </cell>
          <cell r="B517">
            <v>3</v>
          </cell>
          <cell r="C517">
            <v>20019</v>
          </cell>
          <cell r="D517" t="str">
            <v>灼熱の舞姫</v>
          </cell>
          <cell r="E517" t="str">
            <v>平安01</v>
          </cell>
          <cell r="F517">
            <v>2</v>
          </cell>
          <cell r="G517" t="str">
            <v>ja</v>
          </cell>
          <cell r="H517" t="str">
            <v>【中級】灼熱の舞姫</v>
          </cell>
        </row>
        <row r="518">
          <cell r="A518" t="str">
            <v>20019_3</v>
          </cell>
          <cell r="B518">
            <v>3</v>
          </cell>
          <cell r="C518">
            <v>20019</v>
          </cell>
          <cell r="D518" t="str">
            <v>灼熱の舞姫</v>
          </cell>
          <cell r="E518" t="str">
            <v>平安01</v>
          </cell>
          <cell r="F518">
            <v>3</v>
          </cell>
          <cell r="G518" t="str">
            <v>ja</v>
          </cell>
          <cell r="H518" t="str">
            <v>【上級】灼熱の舞姫</v>
          </cell>
        </row>
        <row r="519">
          <cell r="A519" t="str">
            <v>20020_1</v>
          </cell>
          <cell r="B519">
            <v>3</v>
          </cell>
          <cell r="C519">
            <v>20020</v>
          </cell>
          <cell r="D519" t="str">
            <v>変幻自在の風</v>
          </cell>
          <cell r="E519" t="str">
            <v>メソポタミア01</v>
          </cell>
          <cell r="F519">
            <v>1</v>
          </cell>
          <cell r="G519" t="str">
            <v>ja</v>
          </cell>
          <cell r="H519" t="str">
            <v>【初級】変幻自在の風</v>
          </cell>
        </row>
        <row r="520">
          <cell r="A520" t="str">
            <v>20020_2</v>
          </cell>
          <cell r="B520">
            <v>3</v>
          </cell>
          <cell r="C520">
            <v>20020</v>
          </cell>
          <cell r="D520" t="str">
            <v>変幻自在の風</v>
          </cell>
          <cell r="E520" t="str">
            <v>メソポタミア01</v>
          </cell>
          <cell r="F520">
            <v>2</v>
          </cell>
          <cell r="G520" t="str">
            <v>ja</v>
          </cell>
          <cell r="H520" t="str">
            <v>【中級】変幻自在の風</v>
          </cell>
        </row>
        <row r="521">
          <cell r="A521" t="str">
            <v>20020_3</v>
          </cell>
          <cell r="B521">
            <v>3</v>
          </cell>
          <cell r="C521">
            <v>20020</v>
          </cell>
          <cell r="D521" t="str">
            <v>変幻自在の風</v>
          </cell>
          <cell r="E521" t="str">
            <v>メソポタミア01</v>
          </cell>
          <cell r="F521">
            <v>3</v>
          </cell>
          <cell r="G521" t="str">
            <v>ja</v>
          </cell>
          <cell r="H521" t="str">
            <v>【上級】変幻自在の風</v>
          </cell>
        </row>
        <row r="522">
          <cell r="A522" t="str">
            <v>20021_1</v>
          </cell>
          <cell r="B522">
            <v>3</v>
          </cell>
          <cell r="C522">
            <v>20021</v>
          </cell>
          <cell r="D522" t="str">
            <v>ペインター・オブ・ラブ</v>
          </cell>
          <cell r="E522" t="str">
            <v>画家シリーズ01</v>
          </cell>
          <cell r="F522">
            <v>1</v>
          </cell>
          <cell r="G522" t="str">
            <v>ja</v>
          </cell>
          <cell r="H522" t="str">
            <v>【初級】ペインター・オブ・ラブ</v>
          </cell>
        </row>
        <row r="523">
          <cell r="A523" t="str">
            <v>20021_2</v>
          </cell>
          <cell r="B523">
            <v>3</v>
          </cell>
          <cell r="C523">
            <v>20021</v>
          </cell>
          <cell r="D523" t="str">
            <v>ペインター・オブ・ラブ</v>
          </cell>
          <cell r="E523" t="str">
            <v>画家シリーズ01</v>
          </cell>
          <cell r="F523">
            <v>2</v>
          </cell>
          <cell r="G523" t="str">
            <v>ja</v>
          </cell>
          <cell r="H523" t="str">
            <v>【中級】ペインター・オブ・ラブ</v>
          </cell>
        </row>
        <row r="524">
          <cell r="A524" t="str">
            <v>20021_3</v>
          </cell>
          <cell r="B524">
            <v>3</v>
          </cell>
          <cell r="C524">
            <v>20021</v>
          </cell>
          <cell r="D524" t="str">
            <v>ペインター・オブ・ラブ</v>
          </cell>
          <cell r="E524" t="str">
            <v>画家シリーズ01</v>
          </cell>
          <cell r="F524">
            <v>3</v>
          </cell>
          <cell r="G524" t="str">
            <v>ja</v>
          </cell>
          <cell r="H524" t="str">
            <v>【上級】ペインター・オブ・ラブ</v>
          </cell>
        </row>
        <row r="525">
          <cell r="A525" t="str">
            <v>20022_1</v>
          </cell>
          <cell r="B525">
            <v>3</v>
          </cell>
          <cell r="C525">
            <v>20022</v>
          </cell>
          <cell r="D525" t="str">
            <v>年を越える宴</v>
          </cell>
          <cell r="E525" t="str">
            <v>季節イベント</v>
          </cell>
          <cell r="F525">
            <v>1</v>
          </cell>
          <cell r="G525" t="str">
            <v>ja</v>
          </cell>
          <cell r="H525" t="str">
            <v>【上級】年を越える宴（ハートなし）</v>
          </cell>
        </row>
        <row r="526">
          <cell r="A526" t="str">
            <v>30001_1</v>
          </cell>
          <cell r="B526">
            <v>3</v>
          </cell>
          <cell r="C526">
            <v>30001</v>
          </cell>
          <cell r="D526" t="str">
            <v>ハンター・オブ・ハンター</v>
          </cell>
          <cell r="E526" t="str">
            <v>ドロップイベント1-1（マルチ専用）</v>
          </cell>
          <cell r="F526">
            <v>1</v>
          </cell>
          <cell r="G526" t="str">
            <v>ja</v>
          </cell>
          <cell r="H526" t="str">
            <v xml:space="preserve">【中級】ハンター・オブ・ハンター </v>
          </cell>
        </row>
        <row r="527">
          <cell r="A527" t="str">
            <v>30001_2</v>
          </cell>
          <cell r="B527">
            <v>3</v>
          </cell>
          <cell r="C527">
            <v>30001</v>
          </cell>
          <cell r="D527" t="str">
            <v>ハンター・オブ・ハンター</v>
          </cell>
          <cell r="E527" t="str">
            <v>ドロップイベント1-1（マルチ専用）</v>
          </cell>
          <cell r="F527">
            <v>2</v>
          </cell>
          <cell r="G527" t="str">
            <v>ja</v>
          </cell>
          <cell r="H527" t="str">
            <v xml:space="preserve">【上級】ハンター・オブ・ハンター </v>
          </cell>
        </row>
        <row r="528">
          <cell r="A528" t="str">
            <v>30001_3</v>
          </cell>
          <cell r="B528">
            <v>3</v>
          </cell>
          <cell r="C528">
            <v>30001</v>
          </cell>
          <cell r="D528" t="str">
            <v>ハンター・オブ・ハンター</v>
          </cell>
          <cell r="E528" t="str">
            <v>ドロップイベント1-1（マルチ専用）</v>
          </cell>
          <cell r="F528">
            <v>3</v>
          </cell>
          <cell r="G528" t="str">
            <v>ja</v>
          </cell>
          <cell r="H528" t="str">
            <v xml:space="preserve">【超級】ハンター・オブ・ハンター </v>
          </cell>
        </row>
        <row r="529">
          <cell r="A529" t="str">
            <v>30002_1</v>
          </cell>
          <cell r="B529">
            <v>3</v>
          </cell>
          <cell r="C529">
            <v>30002</v>
          </cell>
          <cell r="D529" t="str">
            <v>トリックスター</v>
          </cell>
          <cell r="E529" t="str">
            <v>ドロップイベント1-2（マルチ専用）</v>
          </cell>
          <cell r="F529">
            <v>1</v>
          </cell>
          <cell r="G529" t="str">
            <v>ja</v>
          </cell>
          <cell r="H529" t="str">
            <v xml:space="preserve">【中級】トリックスター </v>
          </cell>
        </row>
        <row r="530">
          <cell r="A530" t="str">
            <v>30002_2</v>
          </cell>
          <cell r="B530">
            <v>3</v>
          </cell>
          <cell r="C530">
            <v>30002</v>
          </cell>
          <cell r="D530" t="str">
            <v>トリックスター</v>
          </cell>
          <cell r="E530" t="str">
            <v>ドロップイベント1-2（マルチ専用）</v>
          </cell>
          <cell r="F530">
            <v>2</v>
          </cell>
          <cell r="G530" t="str">
            <v>ja</v>
          </cell>
          <cell r="H530" t="str">
            <v xml:space="preserve">【上級】トリックスター </v>
          </cell>
        </row>
        <row r="531">
          <cell r="A531" t="str">
            <v>30002_3</v>
          </cell>
          <cell r="B531">
            <v>3</v>
          </cell>
          <cell r="C531">
            <v>30002</v>
          </cell>
          <cell r="D531" t="str">
            <v>トリックスター</v>
          </cell>
          <cell r="E531" t="str">
            <v>ドロップイベント1-2（マルチ専用）</v>
          </cell>
          <cell r="F531">
            <v>3</v>
          </cell>
          <cell r="G531" t="str">
            <v>ja</v>
          </cell>
          <cell r="H531" t="str">
            <v xml:space="preserve">【超級】トリックスター </v>
          </cell>
        </row>
        <row r="532">
          <cell r="A532" t="str">
            <v>30003_1</v>
          </cell>
          <cell r="B532">
            <v>3</v>
          </cell>
          <cell r="C532">
            <v>30003</v>
          </cell>
          <cell r="D532" t="str">
            <v>打ち下ろされる砕棒</v>
          </cell>
          <cell r="E532" t="str">
            <v>ドロップイベント1-3（マルチ専用）</v>
          </cell>
          <cell r="F532">
            <v>1</v>
          </cell>
          <cell r="G532" t="str">
            <v>ja</v>
          </cell>
          <cell r="H532" t="str">
            <v xml:space="preserve">【中級】打ち下ろされる砕棒 </v>
          </cell>
        </row>
        <row r="533">
          <cell r="A533" t="str">
            <v>30003_2</v>
          </cell>
          <cell r="B533">
            <v>3</v>
          </cell>
          <cell r="C533">
            <v>30003</v>
          </cell>
          <cell r="D533" t="str">
            <v>打ち下ろされる砕棒</v>
          </cell>
          <cell r="E533" t="str">
            <v>ドロップイベント1-3（マルチ専用）</v>
          </cell>
          <cell r="F533">
            <v>2</v>
          </cell>
          <cell r="G533" t="str">
            <v>ja</v>
          </cell>
          <cell r="H533" t="str">
            <v>【上級】打ち下ろされる砕棒</v>
          </cell>
        </row>
        <row r="534">
          <cell r="A534" t="str">
            <v>30003_3</v>
          </cell>
          <cell r="B534">
            <v>3</v>
          </cell>
          <cell r="C534">
            <v>30003</v>
          </cell>
          <cell r="D534" t="str">
            <v>打ち下ろされる砕棒</v>
          </cell>
          <cell r="E534" t="str">
            <v>ドロップイベント1-3（マルチ専用）</v>
          </cell>
          <cell r="F534">
            <v>3</v>
          </cell>
          <cell r="G534" t="str">
            <v>ja</v>
          </cell>
          <cell r="H534" t="str">
            <v xml:space="preserve">【超級】打ち下ろされる砕棒 </v>
          </cell>
        </row>
        <row r="535">
          <cell r="A535" t="str">
            <v>30004_1</v>
          </cell>
          <cell r="B535">
            <v>3</v>
          </cell>
          <cell r="C535">
            <v>30004</v>
          </cell>
          <cell r="D535" t="str">
            <v>危険な仲裁者</v>
          </cell>
          <cell r="E535" t="str">
            <v>ドロップイベント1-4（マルチ専用）</v>
          </cell>
          <cell r="F535">
            <v>1</v>
          </cell>
          <cell r="G535" t="str">
            <v>ja</v>
          </cell>
          <cell r="H535" t="str">
            <v xml:space="preserve">【中級】危険な仲裁者 </v>
          </cell>
        </row>
        <row r="536">
          <cell r="A536" t="str">
            <v>30004_2</v>
          </cell>
          <cell r="B536">
            <v>3</v>
          </cell>
          <cell r="C536">
            <v>30004</v>
          </cell>
          <cell r="D536" t="str">
            <v>危険な仲裁者</v>
          </cell>
          <cell r="E536" t="str">
            <v>ドロップイベント1-4（マルチ専用）</v>
          </cell>
          <cell r="F536">
            <v>2</v>
          </cell>
          <cell r="G536" t="str">
            <v>ja</v>
          </cell>
          <cell r="H536" t="str">
            <v xml:space="preserve">【上級】危険な仲裁者 </v>
          </cell>
        </row>
        <row r="537">
          <cell r="A537" t="str">
            <v>30004_3</v>
          </cell>
          <cell r="B537">
            <v>3</v>
          </cell>
          <cell r="C537">
            <v>30004</v>
          </cell>
          <cell r="D537" t="str">
            <v>危険な仲裁者</v>
          </cell>
          <cell r="E537" t="str">
            <v>ドロップイベント1-4（マルチ専用）</v>
          </cell>
          <cell r="F537">
            <v>3</v>
          </cell>
          <cell r="G537" t="str">
            <v>ja</v>
          </cell>
          <cell r="H537" t="str">
            <v xml:space="preserve">【超級】危険な仲裁者 </v>
          </cell>
        </row>
        <row r="538">
          <cell r="A538" t="str">
            <v>30005_1</v>
          </cell>
          <cell r="B538">
            <v>3</v>
          </cell>
          <cell r="C538">
            <v>30005</v>
          </cell>
          <cell r="D538" t="str">
            <v>ニンゲンにしてあげる☆</v>
          </cell>
          <cell r="E538" t="str">
            <v>ドロップイベント2-1（マルチ専用）</v>
          </cell>
          <cell r="F538">
            <v>1</v>
          </cell>
          <cell r="G538" t="str">
            <v>ja</v>
          </cell>
          <cell r="H538" t="str">
            <v xml:space="preserve">【中級】ニンゲンにしてあげる </v>
          </cell>
        </row>
        <row r="539">
          <cell r="A539" t="str">
            <v>30005_2</v>
          </cell>
          <cell r="B539">
            <v>3</v>
          </cell>
          <cell r="C539">
            <v>30005</v>
          </cell>
          <cell r="D539" t="str">
            <v>ニンゲンにしてあげる☆</v>
          </cell>
          <cell r="E539" t="str">
            <v>ドロップイベント2-1（マルチ専用）</v>
          </cell>
          <cell r="F539">
            <v>2</v>
          </cell>
          <cell r="G539" t="str">
            <v>ja</v>
          </cell>
          <cell r="H539" t="str">
            <v xml:space="preserve">【上級】ニンゲンにしてあげる </v>
          </cell>
        </row>
        <row r="540">
          <cell r="A540" t="str">
            <v>30005_3</v>
          </cell>
          <cell r="B540">
            <v>3</v>
          </cell>
          <cell r="C540">
            <v>30005</v>
          </cell>
          <cell r="D540" t="str">
            <v>ニンゲンにしてあげる☆</v>
          </cell>
          <cell r="E540" t="str">
            <v>ドロップイベント2-1（マルチ専用）</v>
          </cell>
          <cell r="F540">
            <v>3</v>
          </cell>
          <cell r="G540" t="str">
            <v>ja</v>
          </cell>
          <cell r="H540" t="str">
            <v>【超級】ニンゲンにしてあげる</v>
          </cell>
        </row>
        <row r="541">
          <cell r="A541" t="str">
            <v>30006_1</v>
          </cell>
          <cell r="B541">
            <v>3</v>
          </cell>
          <cell r="C541">
            <v>30006</v>
          </cell>
          <cell r="D541" t="str">
            <v>それはお前を食べるためさ</v>
          </cell>
          <cell r="E541" t="str">
            <v>ドロップイベント2-3（マルチ専用）</v>
          </cell>
          <cell r="F541">
            <v>1</v>
          </cell>
          <cell r="G541" t="str">
            <v>ja</v>
          </cell>
          <cell r="H541" t="str">
            <v>【中級】それはお前を食べるためさ</v>
          </cell>
        </row>
        <row r="542">
          <cell r="A542" t="str">
            <v>30006_2</v>
          </cell>
          <cell r="B542">
            <v>3</v>
          </cell>
          <cell r="C542">
            <v>30006</v>
          </cell>
          <cell r="D542" t="str">
            <v>それはお前を食べるためさ</v>
          </cell>
          <cell r="E542" t="str">
            <v>ドロップイベント2-3（マルチ専用）</v>
          </cell>
          <cell r="F542">
            <v>2</v>
          </cell>
          <cell r="G542" t="str">
            <v>ja</v>
          </cell>
          <cell r="H542" t="str">
            <v>【上級】それはお前を食べるためさ</v>
          </cell>
        </row>
        <row r="543">
          <cell r="A543" t="str">
            <v>30006_3</v>
          </cell>
          <cell r="B543">
            <v>3</v>
          </cell>
          <cell r="C543">
            <v>30006</v>
          </cell>
          <cell r="D543" t="str">
            <v>それはお前を食べるためさ</v>
          </cell>
          <cell r="E543" t="str">
            <v>ドロップイベント2-3（マルチ専用）</v>
          </cell>
          <cell r="F543">
            <v>3</v>
          </cell>
          <cell r="G543" t="str">
            <v>ja</v>
          </cell>
          <cell r="H543" t="str">
            <v>【超級】それはお前を食べるためさ</v>
          </cell>
        </row>
        <row r="544">
          <cell r="A544" t="str">
            <v>30007_1</v>
          </cell>
          <cell r="B544">
            <v>3</v>
          </cell>
          <cell r="C544">
            <v>30007</v>
          </cell>
          <cell r="D544" t="str">
            <v>ガラスの靴は私のもの</v>
          </cell>
          <cell r="E544" t="str">
            <v>ドロップイベント2-2（マルチ専用）</v>
          </cell>
          <cell r="F544">
            <v>1</v>
          </cell>
          <cell r="G544" t="str">
            <v>ja</v>
          </cell>
          <cell r="H544" t="str">
            <v xml:space="preserve">【中級】ガラスの靴は私のもの </v>
          </cell>
        </row>
        <row r="545">
          <cell r="A545" t="str">
            <v>30007_2</v>
          </cell>
          <cell r="B545">
            <v>3</v>
          </cell>
          <cell r="C545">
            <v>30007</v>
          </cell>
          <cell r="D545" t="str">
            <v>ガラスの靴は私のもの</v>
          </cell>
          <cell r="E545" t="str">
            <v>ドロップイベント2-2（マルチ専用）</v>
          </cell>
          <cell r="F545">
            <v>2</v>
          </cell>
          <cell r="G545" t="str">
            <v>ja</v>
          </cell>
          <cell r="H545" t="str">
            <v>【上級】ガラスの靴は私のもの</v>
          </cell>
        </row>
        <row r="546">
          <cell r="A546" t="str">
            <v>30007_3</v>
          </cell>
          <cell r="B546">
            <v>3</v>
          </cell>
          <cell r="C546">
            <v>30007</v>
          </cell>
          <cell r="D546" t="str">
            <v>ガラスの靴は私のもの</v>
          </cell>
          <cell r="E546" t="str">
            <v>ドロップイベント2-2（マルチ専用）</v>
          </cell>
          <cell r="F546">
            <v>3</v>
          </cell>
          <cell r="G546" t="str">
            <v>ja</v>
          </cell>
          <cell r="H546" t="str">
            <v xml:space="preserve">【超級】ガラスの靴は私のもの </v>
          </cell>
        </row>
        <row r="547">
          <cell r="A547" t="str">
            <v>30008_1</v>
          </cell>
          <cell r="B547">
            <v>3</v>
          </cell>
          <cell r="C547">
            <v>30008</v>
          </cell>
          <cell r="D547" t="str">
            <v>わたしの嫁を返してもらおう</v>
          </cell>
          <cell r="E547" t="str">
            <v>ドロップイベント2-4（マルチ専用）</v>
          </cell>
          <cell r="F547">
            <v>1</v>
          </cell>
          <cell r="G547" t="str">
            <v>ja</v>
          </cell>
          <cell r="H547" t="str">
            <v>【中級】わたしの嫁を返してもらおう</v>
          </cell>
        </row>
        <row r="548">
          <cell r="A548" t="str">
            <v>30008_2</v>
          </cell>
          <cell r="B548">
            <v>3</v>
          </cell>
          <cell r="C548">
            <v>30008</v>
          </cell>
          <cell r="D548" t="str">
            <v>わたしの嫁を返してもらおう</v>
          </cell>
          <cell r="E548" t="str">
            <v>ドロップイベント2-4（マルチ専用）</v>
          </cell>
          <cell r="F548">
            <v>2</v>
          </cell>
          <cell r="G548" t="str">
            <v>ja</v>
          </cell>
          <cell r="H548" t="str">
            <v>【上級】わたしの嫁を返してもらおう</v>
          </cell>
        </row>
        <row r="549">
          <cell r="A549" t="str">
            <v>30008_3</v>
          </cell>
          <cell r="B549">
            <v>3</v>
          </cell>
          <cell r="C549">
            <v>30008</v>
          </cell>
          <cell r="D549" t="str">
            <v>わたしの嫁を返してもらおう</v>
          </cell>
          <cell r="E549" t="str">
            <v>ドロップイベント2-4（マルチ専用）</v>
          </cell>
          <cell r="F549">
            <v>3</v>
          </cell>
          <cell r="G549" t="str">
            <v>ja</v>
          </cell>
          <cell r="H549" t="str">
            <v>【超級】わたしの嫁を返してもらおう</v>
          </cell>
        </row>
        <row r="550">
          <cell r="A550" t="str">
            <v>30009_3</v>
          </cell>
          <cell r="B550">
            <v>0</v>
          </cell>
          <cell r="C550">
            <v>30009</v>
          </cell>
          <cell r="D550" t="str">
            <v>復活の捕食者</v>
          </cell>
          <cell r="E550" t="str">
            <v>ドロップイベント3（マルチ専用）</v>
          </cell>
          <cell r="F550">
            <v>3</v>
          </cell>
          <cell r="G550" t="str">
            <v>ja</v>
          </cell>
          <cell r="H550" t="str">
            <v>【上級】復活の捕食者</v>
          </cell>
        </row>
        <row r="551">
          <cell r="A551" t="str">
            <v>30009_1</v>
          </cell>
          <cell r="B551">
            <v>3</v>
          </cell>
          <cell r="C551">
            <v>30009</v>
          </cell>
          <cell r="D551" t="str">
            <v>復活の捕食者</v>
          </cell>
          <cell r="E551" t="str">
            <v>ドロップイベント3（マルチ専用）</v>
          </cell>
          <cell r="F551">
            <v>1</v>
          </cell>
          <cell r="G551" t="str">
            <v>ja</v>
          </cell>
          <cell r="H551" t="str">
            <v>【超級】復活の捕食者</v>
          </cell>
        </row>
        <row r="552">
          <cell r="A552" t="str">
            <v>30009_2</v>
          </cell>
          <cell r="B552">
            <v>3</v>
          </cell>
          <cell r="C552">
            <v>30009</v>
          </cell>
          <cell r="D552" t="str">
            <v>復活の捕食者</v>
          </cell>
          <cell r="E552" t="str">
            <v>ドロップイベント3（マルチ専用）</v>
          </cell>
          <cell r="F552">
            <v>2</v>
          </cell>
          <cell r="G552" t="str">
            <v>ja</v>
          </cell>
          <cell r="H552" t="str">
            <v>【超絶級】復活の捕食者</v>
          </cell>
        </row>
        <row r="553">
          <cell r="A553" t="str">
            <v>30010_1</v>
          </cell>
          <cell r="B553">
            <v>3</v>
          </cell>
          <cell r="C553">
            <v>30010</v>
          </cell>
          <cell r="D553" t="str">
            <v>最大最凶</v>
          </cell>
          <cell r="E553" t="str">
            <v>ドロップイベント3（マルチ専用）</v>
          </cell>
          <cell r="F553">
            <v>1</v>
          </cell>
          <cell r="G553" t="str">
            <v>ja</v>
          </cell>
          <cell r="H553" t="str">
            <v>【上級】最大最凶</v>
          </cell>
        </row>
        <row r="554">
          <cell r="A554" t="str">
            <v>30010_2</v>
          </cell>
          <cell r="B554">
            <v>3</v>
          </cell>
          <cell r="C554">
            <v>30010</v>
          </cell>
          <cell r="D554" t="str">
            <v>最大最凶</v>
          </cell>
          <cell r="E554" t="str">
            <v>ドロップイベント3（マルチ専用）</v>
          </cell>
          <cell r="F554">
            <v>2</v>
          </cell>
          <cell r="G554" t="str">
            <v>ja</v>
          </cell>
          <cell r="H554" t="str">
            <v>【超級】最大最凶</v>
          </cell>
        </row>
        <row r="555">
          <cell r="A555" t="str">
            <v>30010_3</v>
          </cell>
          <cell r="B555">
            <v>3</v>
          </cell>
          <cell r="C555">
            <v>30010</v>
          </cell>
          <cell r="D555" t="str">
            <v>最大最凶</v>
          </cell>
          <cell r="E555" t="str">
            <v>ドロップイベント3（マルチ専用）</v>
          </cell>
          <cell r="F555">
            <v>3</v>
          </cell>
          <cell r="G555" t="str">
            <v>ja</v>
          </cell>
          <cell r="H555" t="str">
            <v>【超絶級】最大最凶</v>
          </cell>
        </row>
        <row r="556">
          <cell r="A556" t="str">
            <v>30011_1</v>
          </cell>
          <cell r="B556">
            <v>3</v>
          </cell>
          <cell r="C556">
            <v>30011</v>
          </cell>
          <cell r="D556" t="str">
            <v>気怠い巨読者</v>
          </cell>
          <cell r="E556" t="str">
            <v>ドロップイベント3（マルチ専用）</v>
          </cell>
          <cell r="F556">
            <v>1</v>
          </cell>
          <cell r="G556" t="str">
            <v>ja</v>
          </cell>
          <cell r="H556" t="str">
            <v>【上級】気怠い巨読者</v>
          </cell>
        </row>
        <row r="557">
          <cell r="A557" t="str">
            <v>30011_2</v>
          </cell>
          <cell r="B557">
            <v>3</v>
          </cell>
          <cell r="C557">
            <v>30011</v>
          </cell>
          <cell r="D557" t="str">
            <v>気怠い巨読者</v>
          </cell>
          <cell r="E557" t="str">
            <v>ドロップイベント3（マルチ専用）</v>
          </cell>
          <cell r="F557">
            <v>2</v>
          </cell>
          <cell r="G557" t="str">
            <v>ja</v>
          </cell>
          <cell r="H557" t="str">
            <v>【超級】気怠い巨読者</v>
          </cell>
        </row>
        <row r="558">
          <cell r="A558" t="str">
            <v>30011_3</v>
          </cell>
          <cell r="B558">
            <v>3</v>
          </cell>
          <cell r="C558">
            <v>30011</v>
          </cell>
          <cell r="D558" t="str">
            <v>気怠い巨読者</v>
          </cell>
          <cell r="E558" t="str">
            <v>ドロップイベント3（マルチ専用）</v>
          </cell>
          <cell r="F558">
            <v>3</v>
          </cell>
          <cell r="G558" t="str">
            <v>ja</v>
          </cell>
          <cell r="H558" t="str">
            <v>【超絶級】気怠い巨読者</v>
          </cell>
        </row>
        <row r="559">
          <cell r="A559" t="str">
            <v>30012_1</v>
          </cell>
          <cell r="B559">
            <v>3</v>
          </cell>
          <cell r="C559">
            <v>30012</v>
          </cell>
          <cell r="D559" t="str">
            <v>底なしの胃袋</v>
          </cell>
          <cell r="E559" t="str">
            <v>ドロップイベント3（マルチ専用）</v>
          </cell>
          <cell r="F559">
            <v>1</v>
          </cell>
          <cell r="G559" t="str">
            <v>ja</v>
          </cell>
          <cell r="H559" t="str">
            <v>【上級】底なしの胃袋</v>
          </cell>
        </row>
        <row r="560">
          <cell r="A560" t="str">
            <v>30012_2</v>
          </cell>
          <cell r="B560">
            <v>3</v>
          </cell>
          <cell r="C560">
            <v>30012</v>
          </cell>
          <cell r="D560" t="str">
            <v>底なしの胃袋</v>
          </cell>
          <cell r="E560" t="str">
            <v>ドロップイベント3（マルチ専用）</v>
          </cell>
          <cell r="F560">
            <v>2</v>
          </cell>
          <cell r="G560" t="str">
            <v>ja</v>
          </cell>
          <cell r="H560" t="str">
            <v>【超級】底なしの胃袋</v>
          </cell>
        </row>
        <row r="561">
          <cell r="A561" t="str">
            <v>30012_3</v>
          </cell>
          <cell r="B561">
            <v>3</v>
          </cell>
          <cell r="C561">
            <v>30012</v>
          </cell>
          <cell r="D561" t="str">
            <v>底なしの胃袋</v>
          </cell>
          <cell r="E561" t="str">
            <v>ドロップイベント3（マルチ専用）</v>
          </cell>
          <cell r="F561">
            <v>3</v>
          </cell>
          <cell r="G561" t="str">
            <v>ja</v>
          </cell>
          <cell r="H561" t="str">
            <v>【超絶級】底なしの胃袋</v>
          </cell>
        </row>
        <row r="562">
          <cell r="A562" t="str">
            <v>30013_1</v>
          </cell>
          <cell r="B562">
            <v>3</v>
          </cell>
          <cell r="C562">
            <v>30013</v>
          </cell>
          <cell r="D562" t="str">
            <v>決戦・竜宮城</v>
          </cell>
          <cell r="E562" t="str">
            <v>ドロップイベント4（マルチ専用）</v>
          </cell>
          <cell r="F562">
            <v>1</v>
          </cell>
          <cell r="G562" t="str">
            <v>ja</v>
          </cell>
          <cell r="H562" t="str">
            <v>【超級】決戦・竜宮城</v>
          </cell>
        </row>
        <row r="563">
          <cell r="A563" t="str">
            <v>30013_2</v>
          </cell>
          <cell r="B563">
            <v>3</v>
          </cell>
          <cell r="C563">
            <v>30013</v>
          </cell>
          <cell r="D563" t="str">
            <v>決戦・竜宮城</v>
          </cell>
          <cell r="E563" t="str">
            <v>ドロップイベント4（マルチ専用）</v>
          </cell>
          <cell r="F563">
            <v>2</v>
          </cell>
          <cell r="G563" t="str">
            <v>ja</v>
          </cell>
          <cell r="H563" t="str">
            <v>【超絶級】決戦・竜宮城</v>
          </cell>
        </row>
        <row r="564">
          <cell r="A564" t="str">
            <v>30014_1</v>
          </cell>
          <cell r="B564">
            <v>3</v>
          </cell>
          <cell r="C564">
            <v>30014</v>
          </cell>
          <cell r="D564" t="str">
            <v>親指を突き立てろ！</v>
          </cell>
          <cell r="E564" t="str">
            <v>ドロップイベント4（マルチ専用）</v>
          </cell>
          <cell r="F564">
            <v>1</v>
          </cell>
          <cell r="G564" t="str">
            <v>ja</v>
          </cell>
          <cell r="H564" t="str">
            <v>【超級】親指を突き立てろ！</v>
          </cell>
        </row>
        <row r="565">
          <cell r="A565" t="str">
            <v>30014_2</v>
          </cell>
          <cell r="B565">
            <v>3</v>
          </cell>
          <cell r="C565">
            <v>30014</v>
          </cell>
          <cell r="D565" t="str">
            <v>親指を突き立てろ！</v>
          </cell>
          <cell r="E565" t="str">
            <v>ドロップイベント4（マルチ専用）</v>
          </cell>
          <cell r="F565">
            <v>2</v>
          </cell>
          <cell r="G565" t="str">
            <v>ja</v>
          </cell>
          <cell r="H565" t="str">
            <v>【超絶級】親指を突き立てろ！</v>
          </cell>
        </row>
        <row r="566">
          <cell r="A566" t="str">
            <v>30015_1</v>
          </cell>
          <cell r="B566">
            <v>3</v>
          </cell>
          <cell r="C566">
            <v>30015</v>
          </cell>
          <cell r="D566" t="str">
            <v>兄妹の大冒険</v>
          </cell>
          <cell r="E566" t="str">
            <v>ドロップイベント4（マルチ専用）</v>
          </cell>
          <cell r="F566">
            <v>1</v>
          </cell>
          <cell r="G566" t="str">
            <v>ja</v>
          </cell>
          <cell r="H566" t="str">
            <v>【超級】兄妹の大冒険</v>
          </cell>
        </row>
        <row r="567">
          <cell r="A567" t="str">
            <v>30015_2</v>
          </cell>
          <cell r="B567">
            <v>3</v>
          </cell>
          <cell r="C567">
            <v>30015</v>
          </cell>
          <cell r="D567" t="str">
            <v>兄妹の大冒険</v>
          </cell>
          <cell r="E567" t="str">
            <v>ドロップイベント4（マルチ専用）</v>
          </cell>
          <cell r="F567">
            <v>2</v>
          </cell>
          <cell r="G567" t="str">
            <v>ja</v>
          </cell>
          <cell r="H567" t="str">
            <v>【超絶級】兄妹の大冒険</v>
          </cell>
        </row>
        <row r="568">
          <cell r="A568" t="str">
            <v>30016_1</v>
          </cell>
          <cell r="B568">
            <v>3</v>
          </cell>
          <cell r="C568">
            <v>30016</v>
          </cell>
          <cell r="D568" t="str">
            <v>私がワニの天敵よ？</v>
          </cell>
          <cell r="E568" t="str">
            <v>ドロップイベント4（マルチ専用）</v>
          </cell>
          <cell r="F568">
            <v>1</v>
          </cell>
          <cell r="G568" t="str">
            <v>ja</v>
          </cell>
          <cell r="H568" t="str">
            <v>【超級】私がワニの天敵よ？</v>
          </cell>
        </row>
        <row r="569">
          <cell r="A569" t="str">
            <v>30016_2</v>
          </cell>
          <cell r="B569">
            <v>3</v>
          </cell>
          <cell r="C569">
            <v>30016</v>
          </cell>
          <cell r="D569" t="str">
            <v>私がワニの天敵よ？</v>
          </cell>
          <cell r="E569" t="str">
            <v>ドロップイベント4（マルチ専用）</v>
          </cell>
          <cell r="F569">
            <v>2</v>
          </cell>
          <cell r="G569" t="str">
            <v>ja</v>
          </cell>
          <cell r="H569" t="str">
            <v>【超絶級】私がワニの天敵よ？</v>
          </cell>
        </row>
        <row r="570">
          <cell r="A570" t="str">
            <v>30017_1</v>
          </cell>
          <cell r="B570">
            <v>3</v>
          </cell>
          <cell r="C570">
            <v>30017</v>
          </cell>
          <cell r="D570" t="str">
            <v>狩人の挽歌</v>
          </cell>
          <cell r="E570" t="str">
            <v>ドロップイベント5（マルチ専用）</v>
          </cell>
          <cell r="F570">
            <v>1</v>
          </cell>
          <cell r="G570" t="str">
            <v>ja</v>
          </cell>
          <cell r="H570" t="str">
            <v>【超級】狩人の挽歌</v>
          </cell>
        </row>
        <row r="571">
          <cell r="A571" t="str">
            <v>30017_2</v>
          </cell>
          <cell r="B571">
            <v>3</v>
          </cell>
          <cell r="C571">
            <v>30017</v>
          </cell>
          <cell r="D571" t="str">
            <v>狩人の挽歌</v>
          </cell>
          <cell r="E571" t="str">
            <v>ドロップイベント5（マルチ専用）</v>
          </cell>
          <cell r="F571">
            <v>2</v>
          </cell>
          <cell r="G571" t="str">
            <v>ja</v>
          </cell>
          <cell r="H571" t="str">
            <v>【超絶級】狩人の挽歌</v>
          </cell>
        </row>
        <row r="572">
          <cell r="A572" t="str">
            <v>30018_1</v>
          </cell>
          <cell r="B572">
            <v>3</v>
          </cell>
          <cell r="C572">
            <v>30018</v>
          </cell>
          <cell r="D572" t="str">
            <v>バックストリートファイト</v>
          </cell>
          <cell r="E572" t="str">
            <v>ドロップイベント5（マルチ専用）</v>
          </cell>
          <cell r="F572">
            <v>1</v>
          </cell>
          <cell r="G572" t="str">
            <v>ja</v>
          </cell>
          <cell r="H572" t="str">
            <v>【超級】バックストリートファイト</v>
          </cell>
        </row>
        <row r="573">
          <cell r="A573" t="str">
            <v>30018_2</v>
          </cell>
          <cell r="B573">
            <v>3</v>
          </cell>
          <cell r="C573">
            <v>30018</v>
          </cell>
          <cell r="D573" t="str">
            <v>バックストリートファイト</v>
          </cell>
          <cell r="E573" t="str">
            <v>ドロップイベント5（マルチ専用）</v>
          </cell>
          <cell r="F573">
            <v>2</v>
          </cell>
          <cell r="G573" t="str">
            <v>ja</v>
          </cell>
          <cell r="H573" t="str">
            <v>【超絶級】バックストリートファイト</v>
          </cell>
        </row>
        <row r="574">
          <cell r="A574" t="str">
            <v>30019_1</v>
          </cell>
          <cell r="B574">
            <v>3</v>
          </cell>
          <cell r="C574">
            <v>30019</v>
          </cell>
          <cell r="D574" t="str">
            <v>狙撃は終わらない</v>
          </cell>
          <cell r="E574" t="str">
            <v>ドロップイベント5（マルチ専用）</v>
          </cell>
          <cell r="F574">
            <v>1</v>
          </cell>
          <cell r="G574" t="str">
            <v>ja</v>
          </cell>
          <cell r="H574" t="str">
            <v>【超級】狙撃は終わらない</v>
          </cell>
        </row>
        <row r="575">
          <cell r="A575" t="str">
            <v>30019_2</v>
          </cell>
          <cell r="B575">
            <v>3</v>
          </cell>
          <cell r="C575">
            <v>30019</v>
          </cell>
          <cell r="D575" t="str">
            <v>狙撃は終わらない</v>
          </cell>
          <cell r="E575" t="str">
            <v>ドロップイベント5（マルチ専用）</v>
          </cell>
          <cell r="F575">
            <v>2</v>
          </cell>
          <cell r="G575" t="str">
            <v>ja</v>
          </cell>
          <cell r="H575" t="str">
            <v>【超絶級】狙撃は終わらない</v>
          </cell>
        </row>
        <row r="576">
          <cell r="A576" t="str">
            <v>30020_1</v>
          </cell>
          <cell r="B576">
            <v>3</v>
          </cell>
          <cell r="C576">
            <v>30020</v>
          </cell>
          <cell r="D576" t="str">
            <v>若造よ、身の程を知れ</v>
          </cell>
          <cell r="E576" t="str">
            <v>ドロップイベント5（マルチ専用）</v>
          </cell>
          <cell r="F576">
            <v>1</v>
          </cell>
          <cell r="G576" t="str">
            <v>ja</v>
          </cell>
          <cell r="H576" t="str">
            <v>【超級】若造よ、身の程を知れ</v>
          </cell>
        </row>
        <row r="577">
          <cell r="A577" t="str">
            <v>30020_2</v>
          </cell>
          <cell r="B577">
            <v>3</v>
          </cell>
          <cell r="C577">
            <v>30020</v>
          </cell>
          <cell r="D577" t="str">
            <v>若造よ、身の程を知れ</v>
          </cell>
          <cell r="E577" t="str">
            <v>ドロップイベント5（マルチ専用）</v>
          </cell>
          <cell r="F577">
            <v>2</v>
          </cell>
          <cell r="G577" t="str">
            <v>ja</v>
          </cell>
          <cell r="H577" t="str">
            <v>【超絶級】若造よ、身の程を知れ</v>
          </cell>
        </row>
        <row r="578">
          <cell r="A578" t="str">
            <v>30021_1</v>
          </cell>
          <cell r="B578">
            <v>3</v>
          </cell>
          <cell r="C578">
            <v>30021</v>
          </cell>
          <cell r="D578" t="str">
            <v>野獣死すべしっ！</v>
          </cell>
          <cell r="E578" t="str">
            <v>ドロップイベント6（マルチ専用）</v>
          </cell>
          <cell r="F578">
            <v>1</v>
          </cell>
          <cell r="G578" t="str">
            <v>ja</v>
          </cell>
          <cell r="H578" t="str">
            <v>【中級】野獣死すべしっ！</v>
          </cell>
        </row>
        <row r="579">
          <cell r="A579" t="str">
            <v>30021_2</v>
          </cell>
          <cell r="B579">
            <v>3</v>
          </cell>
          <cell r="C579">
            <v>30021</v>
          </cell>
          <cell r="D579" t="str">
            <v>野獣死すべしっ！</v>
          </cell>
          <cell r="E579" t="str">
            <v>ドロップイベント6（マルチ専用）</v>
          </cell>
          <cell r="F579">
            <v>2</v>
          </cell>
          <cell r="G579" t="str">
            <v>ja</v>
          </cell>
          <cell r="H579" t="str">
            <v>【上級】野獣死すべしっ！</v>
          </cell>
        </row>
        <row r="580">
          <cell r="A580" t="str">
            <v>30021_3</v>
          </cell>
          <cell r="B580">
            <v>3</v>
          </cell>
          <cell r="C580">
            <v>30021</v>
          </cell>
          <cell r="D580" t="str">
            <v>野獣死すべしっ！</v>
          </cell>
          <cell r="E580" t="str">
            <v>ドロップイベント6（マルチ専用）</v>
          </cell>
          <cell r="F580">
            <v>3</v>
          </cell>
          <cell r="G580" t="str">
            <v>ja</v>
          </cell>
          <cell r="H580" t="str">
            <v>【超級】野獣死すべしっ！</v>
          </cell>
        </row>
        <row r="581">
          <cell r="A581" t="str">
            <v>30022_1</v>
          </cell>
          <cell r="B581">
            <v>3</v>
          </cell>
          <cell r="C581">
            <v>30022</v>
          </cell>
          <cell r="D581" t="str">
            <v>凶鼠ネコを咬む</v>
          </cell>
          <cell r="E581" t="str">
            <v>ドロップイベント6（マルチ専用）</v>
          </cell>
          <cell r="F581">
            <v>1</v>
          </cell>
          <cell r="G581" t="str">
            <v>ja</v>
          </cell>
          <cell r="H581" t="str">
            <v>【超級】凶鼠ネコを咬む</v>
          </cell>
        </row>
        <row r="582">
          <cell r="A582" t="str">
            <v>30022_2</v>
          </cell>
          <cell r="B582">
            <v>3</v>
          </cell>
          <cell r="C582">
            <v>30022</v>
          </cell>
          <cell r="D582" t="str">
            <v>凶鼠ネコを咬む</v>
          </cell>
          <cell r="E582" t="str">
            <v>ドロップイベント6（マルチ専用）</v>
          </cell>
          <cell r="F582">
            <v>2</v>
          </cell>
          <cell r="G582" t="str">
            <v>ja</v>
          </cell>
          <cell r="H582" t="str">
            <v>【超絶級】凶鼠ネコを咬む</v>
          </cell>
        </row>
        <row r="583">
          <cell r="A583" t="str">
            <v>30023_1</v>
          </cell>
          <cell r="B583">
            <v>3</v>
          </cell>
          <cell r="C583">
            <v>30023</v>
          </cell>
          <cell r="D583" t="str">
            <v>隔離からのエスケイプ</v>
          </cell>
          <cell r="E583" t="str">
            <v>ドロップイベント6（マルチ専用）</v>
          </cell>
          <cell r="F583">
            <v>1</v>
          </cell>
          <cell r="G583" t="str">
            <v>ja</v>
          </cell>
          <cell r="H583" t="str">
            <v>【中級】隔離からのエスケイプ</v>
          </cell>
        </row>
        <row r="584">
          <cell r="A584" t="str">
            <v>30023_2</v>
          </cell>
          <cell r="B584">
            <v>3</v>
          </cell>
          <cell r="C584">
            <v>30023</v>
          </cell>
          <cell r="D584" t="str">
            <v>隔離からのエスケイプ</v>
          </cell>
          <cell r="E584" t="str">
            <v>ドロップイベント6（マルチ専用）</v>
          </cell>
          <cell r="F584">
            <v>2</v>
          </cell>
          <cell r="G584" t="str">
            <v>ja</v>
          </cell>
          <cell r="H584" t="str">
            <v>【上級】隔離からのエスケイプ</v>
          </cell>
        </row>
        <row r="585">
          <cell r="A585" t="str">
            <v>30023_3</v>
          </cell>
          <cell r="B585">
            <v>3</v>
          </cell>
          <cell r="C585">
            <v>30023</v>
          </cell>
          <cell r="D585" t="str">
            <v>隔離からのエスケイプ</v>
          </cell>
          <cell r="E585" t="str">
            <v>ドロップイベント6（マルチ専用）</v>
          </cell>
          <cell r="F585">
            <v>3</v>
          </cell>
          <cell r="G585" t="str">
            <v>ja</v>
          </cell>
          <cell r="H585" t="str">
            <v>【超級】隔離からのエスケイプ</v>
          </cell>
        </row>
        <row r="586">
          <cell r="A586" t="str">
            <v>30024_1</v>
          </cell>
          <cell r="B586">
            <v>3</v>
          </cell>
          <cell r="C586">
            <v>30024</v>
          </cell>
          <cell r="D586" t="str">
            <v>雷鎚の選定</v>
          </cell>
          <cell r="E586" t="str">
            <v>ドロップイベント7（マルチ専用）</v>
          </cell>
          <cell r="F586">
            <v>1</v>
          </cell>
          <cell r="G586" t="str">
            <v>ja</v>
          </cell>
          <cell r="H586" t="str">
            <v>【中級】雷鎚の選定</v>
          </cell>
        </row>
        <row r="587">
          <cell r="A587" t="str">
            <v>30024_2</v>
          </cell>
          <cell r="B587">
            <v>3</v>
          </cell>
          <cell r="C587">
            <v>30024</v>
          </cell>
          <cell r="D587" t="str">
            <v>雷鎚の選定</v>
          </cell>
          <cell r="E587" t="str">
            <v>ドロップイベント7（マルチ専用）</v>
          </cell>
          <cell r="F587">
            <v>2</v>
          </cell>
          <cell r="G587" t="str">
            <v>ja</v>
          </cell>
          <cell r="H587" t="str">
            <v>【上級】雷鎚の選定</v>
          </cell>
        </row>
        <row r="588">
          <cell r="A588" t="str">
            <v>30024_3</v>
          </cell>
          <cell r="B588">
            <v>3</v>
          </cell>
          <cell r="C588">
            <v>30024</v>
          </cell>
          <cell r="D588" t="str">
            <v>雷鎚の選定</v>
          </cell>
          <cell r="E588" t="str">
            <v>ドロップイベント7（マルチ専用）</v>
          </cell>
          <cell r="F588">
            <v>3</v>
          </cell>
          <cell r="G588" t="str">
            <v>ja</v>
          </cell>
          <cell r="H588" t="str">
            <v>【超級】雷鎚の選定</v>
          </cell>
        </row>
        <row r="589">
          <cell r="A589" t="str">
            <v>30025_1</v>
          </cell>
          <cell r="B589">
            <v>3</v>
          </cell>
          <cell r="C589">
            <v>30025</v>
          </cell>
          <cell r="D589" t="str">
            <v>真実の探求者</v>
          </cell>
          <cell r="E589" t="str">
            <v>ドロップイベント7（マルチ専用）</v>
          </cell>
          <cell r="F589">
            <v>1</v>
          </cell>
          <cell r="G589" t="str">
            <v>ja</v>
          </cell>
          <cell r="H589" t="str">
            <v>【中級】真実の探求者</v>
          </cell>
        </row>
        <row r="590">
          <cell r="A590" t="str">
            <v>30025_2</v>
          </cell>
          <cell r="B590">
            <v>3</v>
          </cell>
          <cell r="C590">
            <v>30025</v>
          </cell>
          <cell r="D590" t="str">
            <v>真実の探求者</v>
          </cell>
          <cell r="E590" t="str">
            <v>ドロップイベント7（マルチ専用）</v>
          </cell>
          <cell r="F590">
            <v>2</v>
          </cell>
          <cell r="G590" t="str">
            <v>ja</v>
          </cell>
          <cell r="H590" t="str">
            <v>【上級】真実の探求者</v>
          </cell>
        </row>
        <row r="591">
          <cell r="A591" t="str">
            <v>30025_3</v>
          </cell>
          <cell r="B591">
            <v>3</v>
          </cell>
          <cell r="C591">
            <v>30025</v>
          </cell>
          <cell r="D591" t="str">
            <v>真実の探求者</v>
          </cell>
          <cell r="E591" t="str">
            <v>ドロップイベント7（マルチ専用）</v>
          </cell>
          <cell r="F591">
            <v>3</v>
          </cell>
          <cell r="G591" t="str">
            <v>ja</v>
          </cell>
          <cell r="H591" t="str">
            <v>【超級】真実の探求者</v>
          </cell>
        </row>
        <row r="592">
          <cell r="A592" t="str">
            <v>30026_1</v>
          </cell>
          <cell r="B592">
            <v>3</v>
          </cell>
          <cell r="C592">
            <v>30026</v>
          </cell>
          <cell r="D592" t="str">
            <v>道を阻む妖精夫婦</v>
          </cell>
          <cell r="E592" t="str">
            <v>ドロップイベント7（マルチ専用）</v>
          </cell>
          <cell r="F592">
            <v>1</v>
          </cell>
          <cell r="G592" t="str">
            <v>ja</v>
          </cell>
          <cell r="H592" t="str">
            <v>【中級】道を阻む妖精夫婦</v>
          </cell>
        </row>
        <row r="593">
          <cell r="A593" t="str">
            <v>30026_2</v>
          </cell>
          <cell r="B593">
            <v>3</v>
          </cell>
          <cell r="C593">
            <v>30026</v>
          </cell>
          <cell r="D593" t="str">
            <v>道を阻む妖精夫婦</v>
          </cell>
          <cell r="E593" t="str">
            <v>ドロップイベント7（マルチ専用）</v>
          </cell>
          <cell r="F593">
            <v>2</v>
          </cell>
          <cell r="G593" t="str">
            <v>ja</v>
          </cell>
          <cell r="H593" t="str">
            <v>【上級】道を阻む妖精夫婦</v>
          </cell>
        </row>
        <row r="594">
          <cell r="A594" t="str">
            <v>30026_3</v>
          </cell>
          <cell r="B594">
            <v>3</v>
          </cell>
          <cell r="C594">
            <v>30026</v>
          </cell>
          <cell r="D594" t="str">
            <v>道を阻む妖精夫婦</v>
          </cell>
          <cell r="E594" t="str">
            <v>ドロップイベント7（マルチ専用）</v>
          </cell>
          <cell r="F594">
            <v>3</v>
          </cell>
          <cell r="G594" t="str">
            <v>ja</v>
          </cell>
          <cell r="H594" t="str">
            <v>【超級】道を阻む妖精夫婦</v>
          </cell>
        </row>
        <row r="595">
          <cell r="A595" t="str">
            <v>30027_1</v>
          </cell>
          <cell r="B595">
            <v>3</v>
          </cell>
          <cell r="C595">
            <v>30027</v>
          </cell>
          <cell r="D595" t="str">
            <v>凍りつくまで愛してあげる</v>
          </cell>
          <cell r="E595" t="str">
            <v>ドロップイベント7（マルチ専用）</v>
          </cell>
          <cell r="F595">
            <v>1</v>
          </cell>
          <cell r="G595" t="str">
            <v>ja</v>
          </cell>
          <cell r="H595" t="str">
            <v>【中級】凍りつくまで愛してあげる</v>
          </cell>
        </row>
        <row r="596">
          <cell r="A596" t="str">
            <v>30027_2</v>
          </cell>
          <cell r="B596">
            <v>3</v>
          </cell>
          <cell r="C596">
            <v>30027</v>
          </cell>
          <cell r="D596" t="str">
            <v>凍りつくまで愛してあげる</v>
          </cell>
          <cell r="E596" t="str">
            <v>ドロップイベント7（マルチ専用）</v>
          </cell>
          <cell r="F596">
            <v>2</v>
          </cell>
          <cell r="G596" t="str">
            <v>ja</v>
          </cell>
          <cell r="H596" t="str">
            <v>【上級】凍りつくまで愛してあげる</v>
          </cell>
        </row>
        <row r="597">
          <cell r="A597" t="str">
            <v>30027_3</v>
          </cell>
          <cell r="B597">
            <v>3</v>
          </cell>
          <cell r="C597">
            <v>30027</v>
          </cell>
          <cell r="D597" t="str">
            <v>凍りつくまで愛してあげる</v>
          </cell>
          <cell r="E597" t="str">
            <v>ドロップイベント7（マルチ専用）</v>
          </cell>
          <cell r="F597">
            <v>3</v>
          </cell>
          <cell r="G597" t="str">
            <v>ja</v>
          </cell>
          <cell r="H597" t="str">
            <v>【超級】凍りつくまで愛してあげる</v>
          </cell>
        </row>
        <row r="598">
          <cell r="A598" t="str">
            <v>30028_1</v>
          </cell>
          <cell r="B598">
            <v>3</v>
          </cell>
          <cell r="C598">
            <v>30028</v>
          </cell>
          <cell r="D598" t="str">
            <v>最悪の刺客</v>
          </cell>
          <cell r="E598" t="str">
            <v>ドロップイベント8（マルチ専用）</v>
          </cell>
          <cell r="F598">
            <v>1</v>
          </cell>
          <cell r="G598" t="str">
            <v>ja</v>
          </cell>
          <cell r="H598" t="str">
            <v>【中級】最悪の刺客</v>
          </cell>
        </row>
        <row r="599">
          <cell r="A599" t="str">
            <v>30028_2</v>
          </cell>
          <cell r="B599">
            <v>3</v>
          </cell>
          <cell r="C599">
            <v>30028</v>
          </cell>
          <cell r="D599" t="str">
            <v>最悪の刺客</v>
          </cell>
          <cell r="E599" t="str">
            <v>ドロップイベント8（マルチ専用）</v>
          </cell>
          <cell r="F599">
            <v>2</v>
          </cell>
          <cell r="G599" t="str">
            <v>ja</v>
          </cell>
          <cell r="H599" t="str">
            <v>【上級】最悪の刺客</v>
          </cell>
        </row>
        <row r="600">
          <cell r="A600" t="str">
            <v>30028_3</v>
          </cell>
          <cell r="B600">
            <v>3</v>
          </cell>
          <cell r="C600">
            <v>30028</v>
          </cell>
          <cell r="D600" t="str">
            <v>最悪の刺客</v>
          </cell>
          <cell r="E600" t="str">
            <v>ドロップイベント8（マルチ専用）</v>
          </cell>
          <cell r="F600">
            <v>3</v>
          </cell>
          <cell r="G600" t="str">
            <v>ja</v>
          </cell>
          <cell r="H600" t="str">
            <v>【超級】最悪の刺客</v>
          </cell>
        </row>
        <row r="601">
          <cell r="A601" t="str">
            <v>30029_1</v>
          </cell>
          <cell r="B601">
            <v>3</v>
          </cell>
          <cell r="C601">
            <v>30029</v>
          </cell>
          <cell r="D601" t="str">
            <v>全ては主のために</v>
          </cell>
          <cell r="E601" t="str">
            <v>ドロップイベント8（マルチ専用）</v>
          </cell>
          <cell r="F601">
            <v>1</v>
          </cell>
          <cell r="G601" t="str">
            <v>ja</v>
          </cell>
          <cell r="H601" t="str">
            <v>【中級】全ては主のために</v>
          </cell>
        </row>
        <row r="602">
          <cell r="A602" t="str">
            <v>30029_2</v>
          </cell>
          <cell r="B602">
            <v>3</v>
          </cell>
          <cell r="C602">
            <v>30029</v>
          </cell>
          <cell r="D602" t="str">
            <v>全ては主のために</v>
          </cell>
          <cell r="E602" t="str">
            <v>ドロップイベント8（マルチ専用）</v>
          </cell>
          <cell r="F602">
            <v>2</v>
          </cell>
          <cell r="G602" t="str">
            <v>ja</v>
          </cell>
          <cell r="H602" t="str">
            <v>【上級】全ては主のために</v>
          </cell>
        </row>
        <row r="603">
          <cell r="A603" t="str">
            <v>30029_3</v>
          </cell>
          <cell r="B603">
            <v>3</v>
          </cell>
          <cell r="C603">
            <v>30029</v>
          </cell>
          <cell r="D603" t="str">
            <v>全ては主のために</v>
          </cell>
          <cell r="E603" t="str">
            <v>ドロップイベント8（マルチ専用）</v>
          </cell>
          <cell r="F603">
            <v>3</v>
          </cell>
          <cell r="G603" t="str">
            <v>ja</v>
          </cell>
          <cell r="H603" t="str">
            <v>【超級】全ては主のために</v>
          </cell>
        </row>
        <row r="604">
          <cell r="A604" t="str">
            <v>30030_1</v>
          </cell>
          <cell r="B604">
            <v>3</v>
          </cell>
          <cell r="C604">
            <v>30030</v>
          </cell>
          <cell r="D604" t="str">
            <v>ここは誰の箱庭じゃ？</v>
          </cell>
          <cell r="E604" t="str">
            <v>ドロップイベント9（マルチ専用）</v>
          </cell>
          <cell r="F604">
            <v>1</v>
          </cell>
          <cell r="G604" t="str">
            <v>ja</v>
          </cell>
          <cell r="H604" t="str">
            <v>【中級】ここは誰の箱庭じゃ？</v>
          </cell>
        </row>
        <row r="605">
          <cell r="A605" t="str">
            <v>30030_2</v>
          </cell>
          <cell r="B605">
            <v>3</v>
          </cell>
          <cell r="C605">
            <v>30030</v>
          </cell>
          <cell r="D605" t="str">
            <v>ここは誰の箱庭じゃ？</v>
          </cell>
          <cell r="E605" t="str">
            <v>ドロップイベント9（マルチ専用）</v>
          </cell>
          <cell r="F605">
            <v>2</v>
          </cell>
          <cell r="G605" t="str">
            <v>ja</v>
          </cell>
          <cell r="H605" t="str">
            <v>【上級】ここは誰の箱庭じゃ？</v>
          </cell>
        </row>
        <row r="606">
          <cell r="A606" t="str">
            <v>30030_3</v>
          </cell>
          <cell r="B606">
            <v>3</v>
          </cell>
          <cell r="C606">
            <v>30030</v>
          </cell>
          <cell r="D606" t="str">
            <v>ここは誰の箱庭じゃ？</v>
          </cell>
          <cell r="E606" t="str">
            <v>ドロップイベント9（マルチ専用）</v>
          </cell>
          <cell r="F606">
            <v>3</v>
          </cell>
          <cell r="G606" t="str">
            <v>ja</v>
          </cell>
          <cell r="H606" t="str">
            <v>【超級】ここは誰の箱庭じゃ？</v>
          </cell>
        </row>
        <row r="607">
          <cell r="A607" t="str">
            <v>30031_1</v>
          </cell>
          <cell r="B607">
            <v>3</v>
          </cell>
          <cell r="C607">
            <v>30031</v>
          </cell>
          <cell r="D607" t="str">
            <v>力への羨望</v>
          </cell>
          <cell r="E607" t="str">
            <v>ドロップイベント10（マルチ専用）</v>
          </cell>
          <cell r="F607">
            <v>1</v>
          </cell>
          <cell r="G607" t="str">
            <v>ja</v>
          </cell>
          <cell r="H607" t="str">
            <v>【中級】力への羨望</v>
          </cell>
        </row>
        <row r="608">
          <cell r="A608" t="str">
            <v>30031_2</v>
          </cell>
          <cell r="B608">
            <v>3</v>
          </cell>
          <cell r="C608">
            <v>30031</v>
          </cell>
          <cell r="D608" t="str">
            <v>力への羨望</v>
          </cell>
          <cell r="E608" t="str">
            <v>ドロップイベント10（マルチ専用）</v>
          </cell>
          <cell r="F608">
            <v>2</v>
          </cell>
          <cell r="G608" t="str">
            <v>ja</v>
          </cell>
          <cell r="H608" t="str">
            <v>【上級】力への羨望</v>
          </cell>
        </row>
        <row r="609">
          <cell r="A609" t="str">
            <v>30031_3</v>
          </cell>
          <cell r="B609">
            <v>3</v>
          </cell>
          <cell r="C609">
            <v>30031</v>
          </cell>
          <cell r="D609" t="str">
            <v>力への羨望</v>
          </cell>
          <cell r="E609" t="str">
            <v>ドロップイベント10（マルチ専用）</v>
          </cell>
          <cell r="F609">
            <v>3</v>
          </cell>
          <cell r="G609" t="str">
            <v>ja</v>
          </cell>
          <cell r="H609" t="str">
            <v>【超級】力への羨望</v>
          </cell>
        </row>
        <row r="610">
          <cell r="A610" t="str">
            <v>30032_1</v>
          </cell>
          <cell r="B610">
            <v>3</v>
          </cell>
          <cell r="C610">
            <v>30032</v>
          </cell>
          <cell r="D610" t="str">
            <v>赤き竜の制裁</v>
          </cell>
          <cell r="E610" t="str">
            <v>円卓2（マルチ専用）</v>
          </cell>
          <cell r="F610">
            <v>1</v>
          </cell>
          <cell r="G610" t="str">
            <v>ja</v>
          </cell>
          <cell r="H610" t="str">
            <v>【中級】赤き竜の制裁</v>
          </cell>
        </row>
        <row r="611">
          <cell r="A611" t="str">
            <v>30032_2</v>
          </cell>
          <cell r="B611">
            <v>3</v>
          </cell>
          <cell r="C611">
            <v>30032</v>
          </cell>
          <cell r="D611" t="str">
            <v>赤き竜の制裁</v>
          </cell>
          <cell r="E611" t="str">
            <v>円卓2（マルチ専用）</v>
          </cell>
          <cell r="F611">
            <v>2</v>
          </cell>
          <cell r="G611" t="str">
            <v>ja</v>
          </cell>
          <cell r="H611" t="str">
            <v>【上級】赤き竜の制裁</v>
          </cell>
        </row>
        <row r="612">
          <cell r="A612" t="str">
            <v>30032_3</v>
          </cell>
          <cell r="B612">
            <v>3</v>
          </cell>
          <cell r="C612">
            <v>30032</v>
          </cell>
          <cell r="D612" t="str">
            <v>赤き竜の制裁</v>
          </cell>
          <cell r="E612" t="str">
            <v>円卓2（マルチ専用）</v>
          </cell>
          <cell r="F612">
            <v>3</v>
          </cell>
          <cell r="G612" t="str">
            <v>ja</v>
          </cell>
          <cell r="H612" t="str">
            <v>【超級】赤き竜の制裁</v>
          </cell>
        </row>
        <row r="613">
          <cell r="A613" t="str">
            <v>30033_1</v>
          </cell>
          <cell r="B613">
            <v>3</v>
          </cell>
          <cell r="C613">
            <v>30033</v>
          </cell>
          <cell r="D613" t="str">
            <v>御館様の懐刀</v>
          </cell>
          <cell r="E613" t="str">
            <v>戦国１</v>
          </cell>
          <cell r="F613">
            <v>1</v>
          </cell>
          <cell r="G613" t="str">
            <v>ja</v>
          </cell>
          <cell r="H613" t="str">
            <v>【中級】御館様の懐刀</v>
          </cell>
        </row>
        <row r="614">
          <cell r="A614" t="str">
            <v>30033_2</v>
          </cell>
          <cell r="B614">
            <v>3</v>
          </cell>
          <cell r="C614">
            <v>30033</v>
          </cell>
          <cell r="D614" t="str">
            <v>御館様の懐刀</v>
          </cell>
          <cell r="E614" t="str">
            <v>戦国１</v>
          </cell>
          <cell r="F614">
            <v>2</v>
          </cell>
          <cell r="G614" t="str">
            <v>ja</v>
          </cell>
          <cell r="H614" t="str">
            <v>【上級】御館様の懐刀</v>
          </cell>
        </row>
        <row r="615">
          <cell r="A615" t="str">
            <v>30033_3</v>
          </cell>
          <cell r="B615">
            <v>3</v>
          </cell>
          <cell r="C615">
            <v>30033</v>
          </cell>
          <cell r="D615" t="str">
            <v>御館様の懐刀</v>
          </cell>
          <cell r="E615" t="str">
            <v>戦国１</v>
          </cell>
          <cell r="F615">
            <v>3</v>
          </cell>
          <cell r="G615" t="str">
            <v>ja</v>
          </cell>
          <cell r="H615" t="str">
            <v>【超級】御館様の懐刀</v>
          </cell>
        </row>
        <row r="616">
          <cell r="A616" t="str">
            <v>30034_1</v>
          </cell>
          <cell r="B616">
            <v>3</v>
          </cell>
          <cell r="C616">
            <v>30034</v>
          </cell>
          <cell r="D616" t="str">
            <v>孤高の焔翼</v>
          </cell>
          <cell r="E616" t="str">
            <v>天使と悪魔</v>
          </cell>
          <cell r="F616">
            <v>1</v>
          </cell>
          <cell r="G616" t="str">
            <v>ja</v>
          </cell>
          <cell r="H616" t="str">
            <v>【中級】孤高の焔翼</v>
          </cell>
        </row>
        <row r="617">
          <cell r="A617" t="str">
            <v>30034_2</v>
          </cell>
          <cell r="B617">
            <v>3</v>
          </cell>
          <cell r="C617">
            <v>30034</v>
          </cell>
          <cell r="D617" t="str">
            <v>孤高の焔翼</v>
          </cell>
          <cell r="E617" t="str">
            <v>天使と悪魔</v>
          </cell>
          <cell r="F617">
            <v>2</v>
          </cell>
          <cell r="G617" t="str">
            <v>ja</v>
          </cell>
          <cell r="H617" t="str">
            <v>【上級】孤高の焔翼</v>
          </cell>
        </row>
        <row r="618">
          <cell r="A618" t="str">
            <v>30034_3</v>
          </cell>
          <cell r="B618">
            <v>3</v>
          </cell>
          <cell r="C618">
            <v>30034</v>
          </cell>
          <cell r="D618" t="str">
            <v>孤高の焔翼</v>
          </cell>
          <cell r="E618" t="str">
            <v>天使と悪魔</v>
          </cell>
          <cell r="F618">
            <v>3</v>
          </cell>
          <cell r="G618" t="str">
            <v>ja</v>
          </cell>
          <cell r="H618" t="str">
            <v>【超級】孤高の焔翼</v>
          </cell>
        </row>
        <row r="619">
          <cell r="A619" t="str">
            <v>30035_1</v>
          </cell>
          <cell r="B619">
            <v>3</v>
          </cell>
          <cell r="C619">
            <v>30035</v>
          </cell>
          <cell r="D619" t="str">
            <v>大鯨の呼び声</v>
          </cell>
          <cell r="E619" t="str">
            <v>童話シリーズ3本目</v>
          </cell>
          <cell r="F619">
            <v>1</v>
          </cell>
          <cell r="G619" t="str">
            <v>ja</v>
          </cell>
          <cell r="H619" t="str">
            <v>【中級】大鯨の呼び声</v>
          </cell>
        </row>
        <row r="620">
          <cell r="A620" t="str">
            <v>30035_2</v>
          </cell>
          <cell r="B620">
            <v>3</v>
          </cell>
          <cell r="C620">
            <v>30035</v>
          </cell>
          <cell r="D620" t="str">
            <v>大鯨の呼び声</v>
          </cell>
          <cell r="E620" t="str">
            <v>童話シリーズ3本目</v>
          </cell>
          <cell r="F620">
            <v>2</v>
          </cell>
          <cell r="G620" t="str">
            <v>ja</v>
          </cell>
          <cell r="H620" t="str">
            <v>【上級】大鯨の呼び声</v>
          </cell>
        </row>
        <row r="621">
          <cell r="A621" t="str">
            <v>30035_3</v>
          </cell>
          <cell r="B621">
            <v>3</v>
          </cell>
          <cell r="C621">
            <v>30035</v>
          </cell>
          <cell r="D621" t="str">
            <v>大鯨の呼び声</v>
          </cell>
          <cell r="E621" t="str">
            <v>童話シリーズ3本目</v>
          </cell>
          <cell r="F621">
            <v>3</v>
          </cell>
          <cell r="G621" t="str">
            <v>ja</v>
          </cell>
          <cell r="H621" t="str">
            <v>【超級】大鯨の呼び声</v>
          </cell>
        </row>
        <row r="622">
          <cell r="A622" t="str">
            <v>30036_1</v>
          </cell>
          <cell r="B622">
            <v>3</v>
          </cell>
          <cell r="C622">
            <v>30036</v>
          </cell>
          <cell r="D622" t="str">
            <v>猛然たる炎獣使い</v>
          </cell>
          <cell r="E622" t="str">
            <v>ギリシャ神話シリーズ超級</v>
          </cell>
          <cell r="F622">
            <v>1</v>
          </cell>
          <cell r="G622" t="str">
            <v>ja</v>
          </cell>
          <cell r="H622" t="str">
            <v>【中級】猛然たる炎獣使い</v>
          </cell>
        </row>
        <row r="623">
          <cell r="A623" t="str">
            <v>30036_2</v>
          </cell>
          <cell r="B623">
            <v>3</v>
          </cell>
          <cell r="C623">
            <v>30036</v>
          </cell>
          <cell r="D623" t="str">
            <v>猛然たる炎獣使い</v>
          </cell>
          <cell r="E623" t="str">
            <v>ギリシャ神話シリーズ超級</v>
          </cell>
          <cell r="F623">
            <v>2</v>
          </cell>
          <cell r="G623" t="str">
            <v>ja</v>
          </cell>
          <cell r="H623" t="str">
            <v>【上級】猛然たる炎獣使い</v>
          </cell>
        </row>
        <row r="624">
          <cell r="A624" t="str">
            <v>30036_3</v>
          </cell>
          <cell r="B624">
            <v>3</v>
          </cell>
          <cell r="C624">
            <v>30036</v>
          </cell>
          <cell r="D624" t="str">
            <v>猛然たる炎獣使い</v>
          </cell>
          <cell r="E624" t="str">
            <v>ギリシャ神話シリーズ超級</v>
          </cell>
          <cell r="F624">
            <v>3</v>
          </cell>
          <cell r="G624" t="str">
            <v>ja</v>
          </cell>
          <cell r="H624" t="str">
            <v>【超級】猛然たる炎獣使い</v>
          </cell>
        </row>
        <row r="625">
          <cell r="A625" t="str">
            <v>30037_1</v>
          </cell>
          <cell r="B625">
            <v>3</v>
          </cell>
          <cell r="C625">
            <v>30037</v>
          </cell>
          <cell r="D625" t="str">
            <v>灯り火の麗人</v>
          </cell>
          <cell r="E625" t="str">
            <v>フランス革命シリーズ超級</v>
          </cell>
          <cell r="F625">
            <v>1</v>
          </cell>
          <cell r="G625" t="str">
            <v>ja</v>
          </cell>
          <cell r="H625" t="str">
            <v>【中級】灯り火の麗人</v>
          </cell>
        </row>
        <row r="626">
          <cell r="A626" t="str">
            <v>30037_2</v>
          </cell>
          <cell r="B626">
            <v>3</v>
          </cell>
          <cell r="C626">
            <v>30037</v>
          </cell>
          <cell r="D626" t="str">
            <v>灯り火の麗人</v>
          </cell>
          <cell r="E626" t="str">
            <v>フランス革命シリーズ超級</v>
          </cell>
          <cell r="F626">
            <v>2</v>
          </cell>
          <cell r="G626" t="str">
            <v>ja</v>
          </cell>
          <cell r="H626" t="str">
            <v>【上級】灯り火の麗人</v>
          </cell>
        </row>
        <row r="627">
          <cell r="A627" t="str">
            <v>30037_3</v>
          </cell>
          <cell r="B627">
            <v>3</v>
          </cell>
          <cell r="C627">
            <v>30037</v>
          </cell>
          <cell r="D627" t="str">
            <v>灯り火の麗人</v>
          </cell>
          <cell r="E627" t="str">
            <v>フランス革命シリーズ超級</v>
          </cell>
          <cell r="F627">
            <v>3</v>
          </cell>
          <cell r="G627" t="str">
            <v>ja</v>
          </cell>
          <cell r="H627" t="str">
            <v>【超級】灯り火の麗人</v>
          </cell>
        </row>
        <row r="628">
          <cell r="A628" t="str">
            <v>30038_1</v>
          </cell>
          <cell r="B628">
            <v>3</v>
          </cell>
          <cell r="C628">
            <v>30038</v>
          </cell>
          <cell r="D628" t="str">
            <v>毒絶神の願い</v>
          </cell>
          <cell r="E628" t="str">
            <v>エジプト神話シリーズ超級</v>
          </cell>
          <cell r="F628">
            <v>1</v>
          </cell>
          <cell r="G628" t="str">
            <v>ja</v>
          </cell>
          <cell r="H628" t="str">
            <v>【中級】毒絶神の願い</v>
          </cell>
        </row>
        <row r="629">
          <cell r="A629" t="str">
            <v>30038_2</v>
          </cell>
          <cell r="B629">
            <v>3</v>
          </cell>
          <cell r="C629">
            <v>30038</v>
          </cell>
          <cell r="D629" t="str">
            <v>毒絶神の願い</v>
          </cell>
          <cell r="E629" t="str">
            <v>エジプト神話シリーズ超級</v>
          </cell>
          <cell r="F629">
            <v>2</v>
          </cell>
          <cell r="G629" t="str">
            <v>ja</v>
          </cell>
          <cell r="H629" t="str">
            <v>【上級】毒絶神の願い</v>
          </cell>
        </row>
        <row r="630">
          <cell r="A630" t="str">
            <v>30038_3</v>
          </cell>
          <cell r="B630">
            <v>3</v>
          </cell>
          <cell r="C630">
            <v>30038</v>
          </cell>
          <cell r="D630" t="str">
            <v>毒絶神の願い</v>
          </cell>
          <cell r="E630" t="str">
            <v>エジプト神話シリーズ超級</v>
          </cell>
          <cell r="F630">
            <v>3</v>
          </cell>
          <cell r="G630" t="str">
            <v>ja</v>
          </cell>
          <cell r="H630" t="str">
            <v>【超級】毒絶神の願い</v>
          </cell>
        </row>
        <row r="631">
          <cell r="A631" t="str">
            <v>30039_1</v>
          </cell>
          <cell r="B631">
            <v>3</v>
          </cell>
          <cell r="C631">
            <v>30039</v>
          </cell>
          <cell r="D631" t="str">
            <v>ゼロワン・ゲーム</v>
          </cell>
          <cell r="E631" t="str">
            <v>平安シリーズ超級</v>
          </cell>
          <cell r="F631">
            <v>1</v>
          </cell>
          <cell r="G631" t="str">
            <v>ja</v>
          </cell>
          <cell r="H631" t="str">
            <v>【中級】ゼロワン・ゲーム</v>
          </cell>
        </row>
        <row r="632">
          <cell r="A632" t="str">
            <v>30039_2</v>
          </cell>
          <cell r="B632">
            <v>3</v>
          </cell>
          <cell r="C632">
            <v>30039</v>
          </cell>
          <cell r="D632" t="str">
            <v>ゼロワン・ゲーム</v>
          </cell>
          <cell r="E632" t="str">
            <v>平安シリーズ超級</v>
          </cell>
          <cell r="F632">
            <v>2</v>
          </cell>
          <cell r="G632" t="str">
            <v>ja</v>
          </cell>
          <cell r="H632" t="str">
            <v>【上級】ゼロワン・ゲーム</v>
          </cell>
        </row>
        <row r="633">
          <cell r="A633" t="str">
            <v>30039_3</v>
          </cell>
          <cell r="B633">
            <v>3</v>
          </cell>
          <cell r="C633">
            <v>30039</v>
          </cell>
          <cell r="D633" t="str">
            <v>ゼロワン・ゲーム</v>
          </cell>
          <cell r="E633" t="str">
            <v>平安シリーズ超級</v>
          </cell>
          <cell r="F633">
            <v>3</v>
          </cell>
          <cell r="G633" t="str">
            <v>ja</v>
          </cell>
          <cell r="H633" t="str">
            <v>【超級】ゼロワン・ゲーム</v>
          </cell>
        </row>
        <row r="634">
          <cell r="A634" t="str">
            <v>30040_1</v>
          </cell>
          <cell r="B634">
            <v>3</v>
          </cell>
          <cell r="C634">
            <v>30040</v>
          </cell>
          <cell r="D634" t="str">
            <v>闇ヨリ出ル魔獣</v>
          </cell>
          <cell r="E634" t="str">
            <v>メソポタミア文明シリーズ超級</v>
          </cell>
          <cell r="F634">
            <v>1</v>
          </cell>
          <cell r="G634" t="str">
            <v>ja</v>
          </cell>
          <cell r="H634" t="str">
            <v>【中級】闇ヨリ出ル魔獣</v>
          </cell>
        </row>
        <row r="635">
          <cell r="A635" t="str">
            <v>30040_2</v>
          </cell>
          <cell r="B635">
            <v>3</v>
          </cell>
          <cell r="C635">
            <v>30040</v>
          </cell>
          <cell r="D635" t="str">
            <v>闇ヨリ出ル魔獣</v>
          </cell>
          <cell r="E635" t="str">
            <v>メソポタミア文明シリーズ超級</v>
          </cell>
          <cell r="F635">
            <v>2</v>
          </cell>
          <cell r="G635" t="str">
            <v>ja</v>
          </cell>
          <cell r="H635" t="str">
            <v>【上級】闇ヨリ出ル魔獣</v>
          </cell>
        </row>
        <row r="636">
          <cell r="A636" t="str">
            <v>30040_3</v>
          </cell>
          <cell r="B636">
            <v>3</v>
          </cell>
          <cell r="C636">
            <v>30040</v>
          </cell>
          <cell r="D636" t="str">
            <v>闇ヨリ出ル魔獣</v>
          </cell>
          <cell r="E636" t="str">
            <v>メソポタミア文明シリーズ超級</v>
          </cell>
          <cell r="F636">
            <v>3</v>
          </cell>
          <cell r="G636" t="str">
            <v>ja</v>
          </cell>
          <cell r="H636" t="str">
            <v>【超級】闇ヨリ出ル魔獣</v>
          </cell>
        </row>
        <row r="637">
          <cell r="A637" t="str">
            <v>30041_1</v>
          </cell>
          <cell r="B637">
            <v>3</v>
          </cell>
          <cell r="C637">
            <v>30041</v>
          </cell>
          <cell r="D637" t="str">
            <v>パラノイア・アート</v>
          </cell>
          <cell r="E637" t="str">
            <v>画家シリーズ超級</v>
          </cell>
          <cell r="F637">
            <v>1</v>
          </cell>
          <cell r="G637" t="str">
            <v>ja</v>
          </cell>
          <cell r="H637" t="str">
            <v>【中級】パラノイア・アート</v>
          </cell>
        </row>
        <row r="638">
          <cell r="A638" t="str">
            <v>30041_2</v>
          </cell>
          <cell r="B638">
            <v>3</v>
          </cell>
          <cell r="C638">
            <v>30041</v>
          </cell>
          <cell r="D638" t="str">
            <v>パラノイア・アート</v>
          </cell>
          <cell r="E638" t="str">
            <v>画家シリーズ超級</v>
          </cell>
          <cell r="F638">
            <v>2</v>
          </cell>
          <cell r="G638" t="str">
            <v>ja</v>
          </cell>
          <cell r="H638" t="str">
            <v>【上級】パラノイア・アート</v>
          </cell>
        </row>
        <row r="639">
          <cell r="A639" t="str">
            <v>30041_3</v>
          </cell>
          <cell r="B639">
            <v>3</v>
          </cell>
          <cell r="C639">
            <v>30041</v>
          </cell>
          <cell r="D639" t="str">
            <v>パラノイア・アート</v>
          </cell>
          <cell r="E639" t="str">
            <v>画家シリーズ超級</v>
          </cell>
          <cell r="F639">
            <v>3</v>
          </cell>
          <cell r="G639" t="str">
            <v>ja</v>
          </cell>
          <cell r="H639" t="str">
            <v>【超級】パラノイア・アート</v>
          </cell>
        </row>
        <row r="640">
          <cell r="A640" t="str">
            <v>30042_1</v>
          </cell>
          <cell r="B640">
            <v>3</v>
          </cell>
          <cell r="C640">
            <v>30042</v>
          </cell>
          <cell r="D640" t="str">
            <v>馬中に赤兎あり！</v>
          </cell>
          <cell r="E640" t="str">
            <v>三国志シリーズ超級</v>
          </cell>
          <cell r="F640">
            <v>1</v>
          </cell>
          <cell r="G640" t="str">
            <v>ja</v>
          </cell>
          <cell r="H640" t="str">
            <v>【中級】馬中に赤兎あり！</v>
          </cell>
        </row>
        <row r="641">
          <cell r="A641" t="str">
            <v>30042_2</v>
          </cell>
          <cell r="B641">
            <v>3</v>
          </cell>
          <cell r="C641">
            <v>30042</v>
          </cell>
          <cell r="D641" t="str">
            <v>馬中に赤兎あり！</v>
          </cell>
          <cell r="E641" t="str">
            <v>三国志シリーズ超級</v>
          </cell>
          <cell r="F641">
            <v>2</v>
          </cell>
          <cell r="G641" t="str">
            <v>ja</v>
          </cell>
          <cell r="H641" t="str">
            <v>【上級】馬中に赤兎あり！</v>
          </cell>
        </row>
        <row r="642">
          <cell r="A642" t="str">
            <v>30042_3</v>
          </cell>
          <cell r="B642">
            <v>3</v>
          </cell>
          <cell r="C642">
            <v>30042</v>
          </cell>
          <cell r="D642" t="str">
            <v>馬中に赤兎あり！</v>
          </cell>
          <cell r="E642" t="str">
            <v>三国志シリーズ超級</v>
          </cell>
          <cell r="F642">
            <v>3</v>
          </cell>
          <cell r="G642" t="str">
            <v>ja</v>
          </cell>
          <cell r="H642" t="str">
            <v>【超級】馬中に赤兎あり！</v>
          </cell>
        </row>
        <row r="643">
          <cell r="A643" t="str">
            <v>30043_1</v>
          </cell>
          <cell r="B643">
            <v>3</v>
          </cell>
          <cell r="C643">
            <v>30043</v>
          </cell>
          <cell r="D643" t="str">
            <v>小さな破壊竜</v>
          </cell>
          <cell r="E643" t="str">
            <v>ヒンドゥー神話第二弾超級</v>
          </cell>
          <cell r="F643">
            <v>1</v>
          </cell>
          <cell r="G643" t="str">
            <v>ja</v>
          </cell>
          <cell r="H643" t="str">
            <v>【中級】小さな破壊竜</v>
          </cell>
        </row>
        <row r="644">
          <cell r="A644" t="str">
            <v>30043_2</v>
          </cell>
          <cell r="B644">
            <v>3</v>
          </cell>
          <cell r="C644">
            <v>30043</v>
          </cell>
          <cell r="D644" t="str">
            <v>小さな破壊竜</v>
          </cell>
          <cell r="E644" t="str">
            <v>ヒンドゥー神話第二弾超級</v>
          </cell>
          <cell r="F644">
            <v>2</v>
          </cell>
          <cell r="G644" t="str">
            <v>ja</v>
          </cell>
          <cell r="H644" t="str">
            <v>【上級】小さな破壊竜</v>
          </cell>
        </row>
        <row r="645">
          <cell r="A645" t="str">
            <v>30043_3</v>
          </cell>
          <cell r="B645">
            <v>3</v>
          </cell>
          <cell r="C645">
            <v>30043</v>
          </cell>
          <cell r="D645" t="str">
            <v>小さな破壊竜</v>
          </cell>
          <cell r="E645" t="str">
            <v>ヒンドゥー神話第二弾超級</v>
          </cell>
          <cell r="F645">
            <v>3</v>
          </cell>
          <cell r="G645" t="str">
            <v>ja</v>
          </cell>
          <cell r="H645" t="str">
            <v>【超級】小さな破壊竜</v>
          </cell>
        </row>
        <row r="646">
          <cell r="A646" t="str">
            <v>30044_1</v>
          </cell>
          <cell r="B646">
            <v>3</v>
          </cell>
          <cell r="C646">
            <v>30044</v>
          </cell>
          <cell r="D646" t="str">
            <v>冷酷なる遂行者</v>
          </cell>
          <cell r="E646" t="str">
            <v>ギリシャ神話第二弾超級</v>
          </cell>
          <cell r="F646">
            <v>1</v>
          </cell>
          <cell r="G646" t="str">
            <v>ja</v>
          </cell>
          <cell r="H646" t="str">
            <v>【中級】冷酷なる遂行者</v>
          </cell>
        </row>
        <row r="647">
          <cell r="A647" t="str">
            <v>30044_2</v>
          </cell>
          <cell r="B647">
            <v>3</v>
          </cell>
          <cell r="C647">
            <v>30044</v>
          </cell>
          <cell r="D647" t="str">
            <v>冷酷なる遂行者</v>
          </cell>
          <cell r="E647" t="str">
            <v>ギリシャ神話第二弾超級</v>
          </cell>
          <cell r="F647">
            <v>2</v>
          </cell>
          <cell r="G647" t="str">
            <v>ja</v>
          </cell>
          <cell r="H647" t="str">
            <v>【上級】冷酷なる遂行者</v>
          </cell>
        </row>
        <row r="648">
          <cell r="A648" t="str">
            <v>30044_3</v>
          </cell>
          <cell r="B648">
            <v>3</v>
          </cell>
          <cell r="C648">
            <v>30044</v>
          </cell>
          <cell r="D648" t="str">
            <v>冷酷なる遂行者</v>
          </cell>
          <cell r="E648" t="str">
            <v>ギリシャ神話第二弾超級</v>
          </cell>
          <cell r="F648">
            <v>3</v>
          </cell>
          <cell r="G648" t="str">
            <v>ja</v>
          </cell>
          <cell r="H648" t="str">
            <v>【超級】冷酷なる遂行者</v>
          </cell>
        </row>
        <row r="649">
          <cell r="A649" t="str">
            <v>30045_1</v>
          </cell>
          <cell r="B649">
            <v>3</v>
          </cell>
          <cell r="C649">
            <v>30045</v>
          </cell>
          <cell r="D649" t="str">
            <v>れもん色の衝動</v>
          </cell>
          <cell r="E649" t="str">
            <v>文豪シリーズ　超級</v>
          </cell>
          <cell r="F649">
            <v>1</v>
          </cell>
          <cell r="G649" t="str">
            <v>ja</v>
          </cell>
          <cell r="H649" t="str">
            <v>【中級】れもん色の衝動</v>
          </cell>
        </row>
        <row r="650">
          <cell r="A650" t="str">
            <v>30045_2</v>
          </cell>
          <cell r="B650">
            <v>3</v>
          </cell>
          <cell r="C650">
            <v>30045</v>
          </cell>
          <cell r="D650" t="str">
            <v>れもん色の衝動</v>
          </cell>
          <cell r="E650" t="str">
            <v>文豪シリーズ　超級</v>
          </cell>
          <cell r="F650">
            <v>2</v>
          </cell>
          <cell r="G650" t="str">
            <v>ja</v>
          </cell>
          <cell r="H650" t="str">
            <v>【上級】れもん色の衝動</v>
          </cell>
        </row>
        <row r="651">
          <cell r="A651" t="str">
            <v>30045_3</v>
          </cell>
          <cell r="B651">
            <v>3</v>
          </cell>
          <cell r="C651">
            <v>30045</v>
          </cell>
          <cell r="D651" t="str">
            <v>れもん色の衝動</v>
          </cell>
          <cell r="E651" t="str">
            <v>文豪シリーズ　超級</v>
          </cell>
          <cell r="F651">
            <v>3</v>
          </cell>
          <cell r="G651" t="str">
            <v>ja</v>
          </cell>
          <cell r="H651" t="str">
            <v>【超級】れもん色の衝動</v>
          </cell>
        </row>
        <row r="652">
          <cell r="A652" t="str">
            <v>30046_1</v>
          </cell>
          <cell r="B652">
            <v>3</v>
          </cell>
          <cell r="C652">
            <v>30046</v>
          </cell>
          <cell r="D652" t="str">
            <v>千利の道も一歩から！</v>
          </cell>
          <cell r="E652" t="str">
            <v>戦国シリーズ第二弾　超級</v>
          </cell>
          <cell r="F652">
            <v>1</v>
          </cell>
          <cell r="G652" t="str">
            <v>ja</v>
          </cell>
          <cell r="H652" t="str">
            <v>【中級】千利の道も一歩から！</v>
          </cell>
        </row>
        <row r="653">
          <cell r="A653" t="str">
            <v>30046_2</v>
          </cell>
          <cell r="B653">
            <v>3</v>
          </cell>
          <cell r="C653">
            <v>30046</v>
          </cell>
          <cell r="D653" t="str">
            <v>千利の道も一歩から！</v>
          </cell>
          <cell r="E653" t="str">
            <v>戦国シリーズ第二弾　超級</v>
          </cell>
          <cell r="F653">
            <v>2</v>
          </cell>
          <cell r="G653" t="str">
            <v>ja</v>
          </cell>
          <cell r="H653" t="str">
            <v>【上級】千利の道も一歩から！</v>
          </cell>
        </row>
        <row r="654">
          <cell r="A654" t="str">
            <v>30046_3</v>
          </cell>
          <cell r="B654">
            <v>3</v>
          </cell>
          <cell r="C654">
            <v>30046</v>
          </cell>
          <cell r="D654" t="str">
            <v>千利の道も一歩から！</v>
          </cell>
          <cell r="E654" t="str">
            <v>戦国シリーズ第二弾　超級</v>
          </cell>
          <cell r="F654">
            <v>3</v>
          </cell>
          <cell r="G654" t="str">
            <v>ja</v>
          </cell>
          <cell r="H654" t="str">
            <v>【超級】千利の道も一歩から！</v>
          </cell>
        </row>
        <row r="655">
          <cell r="A655" t="str">
            <v>30047_1</v>
          </cell>
          <cell r="B655">
            <v>3</v>
          </cell>
          <cell r="C655">
            <v>30047</v>
          </cell>
          <cell r="D655" t="str">
            <v>終末の旋律</v>
          </cell>
          <cell r="E655" t="str">
            <v>北欧シリーズ第三弾　超級</v>
          </cell>
          <cell r="F655">
            <v>1</v>
          </cell>
          <cell r="G655" t="str">
            <v>ja</v>
          </cell>
          <cell r="H655" t="str">
            <v>【中級】終末の旋律</v>
          </cell>
        </row>
        <row r="656">
          <cell r="A656" t="str">
            <v>30047_2</v>
          </cell>
          <cell r="B656">
            <v>3</v>
          </cell>
          <cell r="C656">
            <v>30047</v>
          </cell>
          <cell r="D656" t="str">
            <v>終末の旋律</v>
          </cell>
          <cell r="E656" t="str">
            <v>北欧シリーズ第三弾　超級</v>
          </cell>
          <cell r="F656">
            <v>2</v>
          </cell>
          <cell r="G656" t="str">
            <v>ja</v>
          </cell>
          <cell r="H656" t="str">
            <v>【上級】終末の旋律</v>
          </cell>
        </row>
        <row r="657">
          <cell r="A657" t="str">
            <v>30047_3</v>
          </cell>
          <cell r="B657">
            <v>3</v>
          </cell>
          <cell r="C657">
            <v>30047</v>
          </cell>
          <cell r="D657" t="str">
            <v>終末の旋律</v>
          </cell>
          <cell r="E657" t="str">
            <v>北欧シリーズ第三弾　超級</v>
          </cell>
          <cell r="F657">
            <v>3</v>
          </cell>
          <cell r="G657" t="str">
            <v>ja</v>
          </cell>
          <cell r="H657" t="str">
            <v>【超級】終末の旋律</v>
          </cell>
        </row>
        <row r="658">
          <cell r="A658" t="str">
            <v>30048_1</v>
          </cell>
          <cell r="B658">
            <v>3</v>
          </cell>
          <cell r="C658">
            <v>30048</v>
          </cell>
          <cell r="D658" t="str">
            <v>惑乱の双神使！？</v>
          </cell>
          <cell r="E658" t="str">
            <v>日本神話シリーズ　超級</v>
          </cell>
          <cell r="F658">
            <v>1</v>
          </cell>
          <cell r="G658" t="str">
            <v>ja</v>
          </cell>
          <cell r="H658" t="str">
            <v>【中級】惑乱の双神使！？</v>
          </cell>
        </row>
        <row r="659">
          <cell r="A659" t="str">
            <v>30048_2</v>
          </cell>
          <cell r="B659">
            <v>3</v>
          </cell>
          <cell r="C659">
            <v>30048</v>
          </cell>
          <cell r="D659" t="str">
            <v>惑乱の双神使！？</v>
          </cell>
          <cell r="E659" t="str">
            <v>日本神話シリーズ　超級</v>
          </cell>
          <cell r="F659">
            <v>2</v>
          </cell>
          <cell r="G659" t="str">
            <v>ja</v>
          </cell>
          <cell r="H659" t="str">
            <v>【上級】惑乱の双神使！？</v>
          </cell>
        </row>
        <row r="660">
          <cell r="A660" t="str">
            <v>30048_3</v>
          </cell>
          <cell r="B660">
            <v>3</v>
          </cell>
          <cell r="C660">
            <v>30048</v>
          </cell>
          <cell r="D660" t="str">
            <v>惑乱の双神使！？</v>
          </cell>
          <cell r="E660" t="str">
            <v>日本神話シリーズ　超級</v>
          </cell>
          <cell r="F660">
            <v>3</v>
          </cell>
          <cell r="G660" t="str">
            <v>ja</v>
          </cell>
          <cell r="H660" t="str">
            <v>【超級】惑乱の双神使！？</v>
          </cell>
        </row>
        <row r="661">
          <cell r="A661" t="str">
            <v>30049_1</v>
          </cell>
          <cell r="B661">
            <v>3</v>
          </cell>
          <cell r="C661">
            <v>30049</v>
          </cell>
          <cell r="D661" t="str">
            <v>鉄壁の子豚要塞</v>
          </cell>
          <cell r="E661" t="str">
            <v>童話シリーズ　超級</v>
          </cell>
          <cell r="F661">
            <v>1</v>
          </cell>
          <cell r="G661" t="str">
            <v>ja</v>
          </cell>
          <cell r="H661" t="str">
            <v>【中級】鉄壁の子豚要塞</v>
          </cell>
        </row>
        <row r="662">
          <cell r="A662" t="str">
            <v>30049_2</v>
          </cell>
          <cell r="B662">
            <v>3</v>
          </cell>
          <cell r="C662">
            <v>30049</v>
          </cell>
          <cell r="D662" t="str">
            <v>鉄壁の子豚要塞</v>
          </cell>
          <cell r="E662" t="str">
            <v>童話シリーズ　超級</v>
          </cell>
          <cell r="F662">
            <v>2</v>
          </cell>
          <cell r="G662" t="str">
            <v>ja</v>
          </cell>
          <cell r="H662" t="str">
            <v>【上級】鉄壁の子豚要塞</v>
          </cell>
        </row>
        <row r="663">
          <cell r="A663" t="str">
            <v>30049_3</v>
          </cell>
          <cell r="B663">
            <v>3</v>
          </cell>
          <cell r="C663">
            <v>30049</v>
          </cell>
          <cell r="D663" t="str">
            <v>鉄壁の子豚要塞</v>
          </cell>
          <cell r="E663" t="str">
            <v>童話シリーズ　超級</v>
          </cell>
          <cell r="F663">
            <v>3</v>
          </cell>
          <cell r="G663" t="str">
            <v>ja</v>
          </cell>
          <cell r="H663" t="str">
            <v>【超級】鉄壁の子豚要塞</v>
          </cell>
        </row>
        <row r="664">
          <cell r="A664" t="str">
            <v>30050_1</v>
          </cell>
          <cell r="B664">
            <v>3</v>
          </cell>
          <cell r="C664">
            <v>30050</v>
          </cell>
          <cell r="D664" t="str">
            <v>忍耐と服従</v>
          </cell>
          <cell r="E664" t="str">
            <v>英傑シリーズ　超級</v>
          </cell>
          <cell r="F664">
            <v>1</v>
          </cell>
          <cell r="G664" t="str">
            <v>ja</v>
          </cell>
          <cell r="H664" t="str">
            <v>【中級】忍耐と服従</v>
          </cell>
        </row>
        <row r="665">
          <cell r="A665" t="str">
            <v>30050_2</v>
          </cell>
          <cell r="B665">
            <v>3</v>
          </cell>
          <cell r="C665">
            <v>30050</v>
          </cell>
          <cell r="D665" t="str">
            <v>忍耐と服従</v>
          </cell>
          <cell r="E665" t="str">
            <v>英傑シリーズ　超級</v>
          </cell>
          <cell r="F665">
            <v>2</v>
          </cell>
          <cell r="G665" t="str">
            <v>ja</v>
          </cell>
          <cell r="H665" t="str">
            <v>【上級】忍耐と服従</v>
          </cell>
        </row>
        <row r="666">
          <cell r="A666" t="str">
            <v>30050_3</v>
          </cell>
          <cell r="B666">
            <v>3</v>
          </cell>
          <cell r="C666">
            <v>30050</v>
          </cell>
          <cell r="D666" t="str">
            <v>忍耐と服従</v>
          </cell>
          <cell r="E666" t="str">
            <v>英傑シリーズ　超級</v>
          </cell>
          <cell r="F666">
            <v>3</v>
          </cell>
          <cell r="G666" t="str">
            <v>ja</v>
          </cell>
          <cell r="H666" t="str">
            <v>【超級】忍耐と服従</v>
          </cell>
        </row>
        <row r="667">
          <cell r="A667" t="str">
            <v>38101_1</v>
          </cell>
          <cell r="B667">
            <v>1</v>
          </cell>
          <cell r="C667">
            <v>38101</v>
          </cell>
          <cell r="D667" t="str">
            <v>安多</v>
          </cell>
          <cell r="E667" t="str">
            <v>台湾版コラボ降臨1　超級</v>
          </cell>
          <cell r="F667">
            <v>1</v>
          </cell>
          <cell r="G667" t="str">
            <v>ja</v>
          </cell>
          <cell r="H667" t="str">
            <v>【中級】安多</v>
          </cell>
        </row>
        <row r="668">
          <cell r="A668" t="str">
            <v>38101_2</v>
          </cell>
          <cell r="B668">
            <v>1</v>
          </cell>
          <cell r="C668">
            <v>38101</v>
          </cell>
          <cell r="D668" t="str">
            <v>安多</v>
          </cell>
          <cell r="E668" t="str">
            <v>台湾版コラボ降臨1　超級</v>
          </cell>
          <cell r="F668">
            <v>2</v>
          </cell>
          <cell r="G668" t="str">
            <v>ja</v>
          </cell>
          <cell r="H668" t="str">
            <v>【上級】安多</v>
          </cell>
        </row>
        <row r="669">
          <cell r="A669" t="str">
            <v>38101_3</v>
          </cell>
          <cell r="B669">
            <v>1</v>
          </cell>
          <cell r="C669">
            <v>38101</v>
          </cell>
          <cell r="D669" t="str">
            <v>安多</v>
          </cell>
          <cell r="E669" t="str">
            <v>台湾版コラボ降臨1　超級</v>
          </cell>
          <cell r="F669">
            <v>3</v>
          </cell>
          <cell r="G669" t="str">
            <v>ja</v>
          </cell>
          <cell r="H669" t="str">
            <v>【超級】安多</v>
          </cell>
        </row>
        <row r="670">
          <cell r="A670" t="str">
            <v>39001_1</v>
          </cell>
          <cell r="B670">
            <v>3</v>
          </cell>
          <cell r="C670">
            <v>39001</v>
          </cell>
          <cell r="D670" t="str">
            <v>雪の歌姫</v>
          </cell>
          <cell r="E670" t="str">
            <v>コラボクエスト</v>
          </cell>
          <cell r="F670">
            <v>1</v>
          </cell>
          <cell r="G670" t="str">
            <v>ja</v>
          </cell>
          <cell r="H670" t="str">
            <v>【初級】雪の歌姫</v>
          </cell>
        </row>
        <row r="671">
          <cell r="A671" t="str">
            <v>39001_2</v>
          </cell>
          <cell r="B671">
            <v>3</v>
          </cell>
          <cell r="C671">
            <v>39001</v>
          </cell>
          <cell r="D671" t="str">
            <v>雪の歌姫</v>
          </cell>
          <cell r="E671" t="str">
            <v>コラボクエスト</v>
          </cell>
          <cell r="F671">
            <v>2</v>
          </cell>
          <cell r="G671" t="str">
            <v>ja</v>
          </cell>
          <cell r="H671" t="str">
            <v>【中級】雪の歌姫</v>
          </cell>
        </row>
        <row r="672">
          <cell r="A672" t="str">
            <v>39001_3</v>
          </cell>
          <cell r="B672">
            <v>3</v>
          </cell>
          <cell r="C672">
            <v>39001</v>
          </cell>
          <cell r="D672" t="str">
            <v>雪の歌姫</v>
          </cell>
          <cell r="E672" t="str">
            <v>コラボクエスト</v>
          </cell>
          <cell r="F672">
            <v>3</v>
          </cell>
          <cell r="G672" t="str">
            <v>ja</v>
          </cell>
          <cell r="H672" t="str">
            <v>【上級】雪の歌姫</v>
          </cell>
        </row>
        <row r="673">
          <cell r="A673" t="str">
            <v>39001_4</v>
          </cell>
          <cell r="B673">
            <v>3</v>
          </cell>
          <cell r="C673">
            <v>39001</v>
          </cell>
          <cell r="D673" t="str">
            <v>雪の歌姫</v>
          </cell>
          <cell r="E673" t="str">
            <v>コラボクエスト</v>
          </cell>
          <cell r="F673">
            <v>4</v>
          </cell>
          <cell r="G673" t="str">
            <v>ja</v>
          </cell>
          <cell r="H673" t="str">
            <v>【超級】雪の歌姫</v>
          </cell>
        </row>
        <row r="674">
          <cell r="A674" t="str">
            <v>39001_5</v>
          </cell>
          <cell r="B674">
            <v>3</v>
          </cell>
          <cell r="C674">
            <v>39001</v>
          </cell>
          <cell r="D674" t="str">
            <v>雪の歌姫</v>
          </cell>
          <cell r="E674" t="str">
            <v>コラボクエスト</v>
          </cell>
          <cell r="F674">
            <v>5</v>
          </cell>
          <cell r="G674" t="str">
            <v>ja</v>
          </cell>
          <cell r="H674" t="str">
            <v>【超絶級】雪の歌姫</v>
          </cell>
        </row>
        <row r="675">
          <cell r="A675" t="str">
            <v>39002_1</v>
          </cell>
          <cell r="B675">
            <v>3</v>
          </cell>
          <cell r="C675">
            <v>39002</v>
          </cell>
          <cell r="D675" t="str">
            <v>黄巾賊の暴走を止めろ！</v>
          </cell>
          <cell r="E675" t="str">
            <v>コラボクエスト</v>
          </cell>
          <cell r="F675">
            <v>1</v>
          </cell>
          <cell r="G675" t="str">
            <v>ja</v>
          </cell>
          <cell r="H675" t="str">
            <v>【初級】黄巾賊の暴走を止めろ</v>
          </cell>
        </row>
        <row r="676">
          <cell r="A676" t="str">
            <v>39002_2</v>
          </cell>
          <cell r="B676">
            <v>3</v>
          </cell>
          <cell r="C676">
            <v>39002</v>
          </cell>
          <cell r="D676" t="str">
            <v>黄巾賊の暴走を止めろ！</v>
          </cell>
          <cell r="E676" t="str">
            <v>コラボクエスト</v>
          </cell>
          <cell r="F676">
            <v>2</v>
          </cell>
          <cell r="G676" t="str">
            <v>ja</v>
          </cell>
          <cell r="H676" t="str">
            <v>【中級】黄巾賊の暴走を止めろ</v>
          </cell>
        </row>
        <row r="677">
          <cell r="A677" t="str">
            <v>39002_3</v>
          </cell>
          <cell r="B677">
            <v>3</v>
          </cell>
          <cell r="C677">
            <v>39002</v>
          </cell>
          <cell r="D677" t="str">
            <v>黄巾賊の暴走を止めろ！</v>
          </cell>
          <cell r="E677" t="str">
            <v>コラボクエスト</v>
          </cell>
          <cell r="F677">
            <v>3</v>
          </cell>
          <cell r="G677" t="str">
            <v>ja</v>
          </cell>
          <cell r="H677" t="str">
            <v>【上級】黄巾賊の暴走を止めろ</v>
          </cell>
        </row>
        <row r="678">
          <cell r="A678" t="str">
            <v>39002_4</v>
          </cell>
          <cell r="B678">
            <v>3</v>
          </cell>
          <cell r="C678">
            <v>39002</v>
          </cell>
          <cell r="D678" t="str">
            <v>黄巾賊の暴走を止めろ！</v>
          </cell>
          <cell r="E678" t="str">
            <v>コラボクエスト</v>
          </cell>
          <cell r="F678">
            <v>4</v>
          </cell>
          <cell r="G678" t="str">
            <v>ja</v>
          </cell>
          <cell r="H678" t="str">
            <v>【超級】黄巾賊の暴走を止めろ</v>
          </cell>
        </row>
        <row r="679">
          <cell r="A679" t="str">
            <v>39003_1</v>
          </cell>
          <cell r="B679">
            <v>3</v>
          </cell>
          <cell r="C679">
            <v>39003</v>
          </cell>
          <cell r="D679" t="str">
            <v>ブルースクウェアを追え！</v>
          </cell>
          <cell r="E679" t="str">
            <v>コラボクエスト</v>
          </cell>
          <cell r="F679">
            <v>1</v>
          </cell>
          <cell r="G679" t="str">
            <v>ja</v>
          </cell>
          <cell r="H679" t="str">
            <v>【初級】ブルースクウェアを追え！</v>
          </cell>
        </row>
        <row r="680">
          <cell r="A680" t="str">
            <v>39003_2</v>
          </cell>
          <cell r="B680">
            <v>3</v>
          </cell>
          <cell r="C680">
            <v>39003</v>
          </cell>
          <cell r="D680" t="str">
            <v>ブルースクウェアを追え！</v>
          </cell>
          <cell r="E680" t="str">
            <v>コラボクエスト</v>
          </cell>
          <cell r="F680">
            <v>2</v>
          </cell>
          <cell r="G680" t="str">
            <v>ja</v>
          </cell>
          <cell r="H680" t="str">
            <v>【中級】ブルースクウェアを追え！</v>
          </cell>
        </row>
        <row r="681">
          <cell r="A681" t="str">
            <v>39003_3</v>
          </cell>
          <cell r="B681">
            <v>3</v>
          </cell>
          <cell r="C681">
            <v>39003</v>
          </cell>
          <cell r="D681" t="str">
            <v>ブルースクウェアを追え！</v>
          </cell>
          <cell r="E681" t="str">
            <v>コラボクエスト</v>
          </cell>
          <cell r="F681">
            <v>3</v>
          </cell>
          <cell r="G681" t="str">
            <v>ja</v>
          </cell>
          <cell r="H681" t="str">
            <v>【上級】ブルースクウェアを追え！</v>
          </cell>
        </row>
        <row r="682">
          <cell r="A682" t="str">
            <v>39003_4</v>
          </cell>
          <cell r="B682">
            <v>3</v>
          </cell>
          <cell r="C682">
            <v>39003</v>
          </cell>
          <cell r="D682" t="str">
            <v>ブルースクウェアを追え！</v>
          </cell>
          <cell r="E682" t="str">
            <v>コラボクエスト</v>
          </cell>
          <cell r="F682">
            <v>4</v>
          </cell>
          <cell r="G682" t="str">
            <v>ja</v>
          </cell>
          <cell r="H682" t="str">
            <v>【超級】ブルースクウェアを追え！</v>
          </cell>
        </row>
        <row r="683">
          <cell r="A683" t="str">
            <v>39004_1</v>
          </cell>
          <cell r="B683">
            <v>3</v>
          </cell>
          <cell r="C683">
            <v>39004</v>
          </cell>
          <cell r="D683" t="str">
            <v xml:space="preserve">ニムダのおきにいり♪ </v>
          </cell>
          <cell r="E683" t="str">
            <v>コラボクエスト</v>
          </cell>
          <cell r="F683">
            <v>1</v>
          </cell>
          <cell r="G683" t="str">
            <v>ja</v>
          </cell>
          <cell r="H683" t="str">
            <v xml:space="preserve">【初級】ニムダのおきにいり♪ </v>
          </cell>
        </row>
        <row r="684">
          <cell r="A684" t="str">
            <v>39004_2</v>
          </cell>
          <cell r="B684">
            <v>3</v>
          </cell>
          <cell r="C684">
            <v>39004</v>
          </cell>
          <cell r="D684" t="str">
            <v xml:space="preserve">ニムダのおきにいり♪ </v>
          </cell>
          <cell r="E684" t="str">
            <v>コラボクエスト</v>
          </cell>
          <cell r="F684">
            <v>2</v>
          </cell>
          <cell r="G684" t="str">
            <v>ja</v>
          </cell>
          <cell r="H684" t="str">
            <v xml:space="preserve">【中級】ニムダのおきにいり♪ </v>
          </cell>
        </row>
        <row r="685">
          <cell r="A685" t="str">
            <v>39004_3</v>
          </cell>
          <cell r="B685">
            <v>3</v>
          </cell>
          <cell r="C685">
            <v>39004</v>
          </cell>
          <cell r="D685" t="str">
            <v xml:space="preserve">ニムダのおきにいり♪ </v>
          </cell>
          <cell r="E685" t="str">
            <v>コラボクエスト</v>
          </cell>
          <cell r="F685">
            <v>3</v>
          </cell>
          <cell r="G685" t="str">
            <v>ja</v>
          </cell>
          <cell r="H685" t="str">
            <v xml:space="preserve">【上級】ニムダのおきにいり♪ </v>
          </cell>
        </row>
        <row r="686">
          <cell r="A686" t="str">
            <v>39004_4</v>
          </cell>
          <cell r="B686">
            <v>3</v>
          </cell>
          <cell r="C686">
            <v>39004</v>
          </cell>
          <cell r="D686" t="str">
            <v xml:space="preserve">ニムダのおきにいり♪ </v>
          </cell>
          <cell r="E686" t="str">
            <v>コラボクエスト</v>
          </cell>
          <cell r="F686">
            <v>4</v>
          </cell>
          <cell r="G686" t="str">
            <v>ja</v>
          </cell>
          <cell r="H686" t="str">
            <v xml:space="preserve">【超級】ニムダのおきにいり♪ </v>
          </cell>
        </row>
        <row r="687">
          <cell r="A687" t="str">
            <v>39005_1</v>
          </cell>
          <cell r="B687">
            <v>1</v>
          </cell>
          <cell r="C687">
            <v>39005</v>
          </cell>
          <cell r="D687" t="str">
            <v xml:space="preserve">ポ </v>
          </cell>
          <cell r="E687" t="str">
            <v>コラボクエスト</v>
          </cell>
          <cell r="F687">
            <v>1</v>
          </cell>
          <cell r="G687" t="str">
            <v>ja</v>
          </cell>
          <cell r="H687" t="str">
            <v>【初級】ポ</v>
          </cell>
        </row>
        <row r="688">
          <cell r="A688" t="str">
            <v>39005_2</v>
          </cell>
          <cell r="B688">
            <v>1</v>
          </cell>
          <cell r="C688">
            <v>39005</v>
          </cell>
          <cell r="D688" t="str">
            <v xml:space="preserve">ポ </v>
          </cell>
          <cell r="E688" t="str">
            <v>コラボクエスト</v>
          </cell>
          <cell r="F688">
            <v>2</v>
          </cell>
          <cell r="G688" t="str">
            <v>ja</v>
          </cell>
          <cell r="H688" t="str">
            <v>【中級】ポ</v>
          </cell>
        </row>
        <row r="689">
          <cell r="A689" t="str">
            <v>39005_3</v>
          </cell>
          <cell r="B689">
            <v>1</v>
          </cell>
          <cell r="C689">
            <v>39005</v>
          </cell>
          <cell r="D689" t="str">
            <v xml:space="preserve">ポ </v>
          </cell>
          <cell r="E689" t="str">
            <v>コラボクエスト</v>
          </cell>
          <cell r="F689">
            <v>3</v>
          </cell>
          <cell r="G689" t="str">
            <v>ja</v>
          </cell>
          <cell r="H689" t="str">
            <v>【上級】ポ</v>
          </cell>
        </row>
        <row r="690">
          <cell r="A690" t="str">
            <v>39005_4</v>
          </cell>
          <cell r="B690">
            <v>1</v>
          </cell>
          <cell r="C690">
            <v>39005</v>
          </cell>
          <cell r="D690" t="str">
            <v xml:space="preserve">ポ </v>
          </cell>
          <cell r="E690" t="str">
            <v>コラボクエスト</v>
          </cell>
          <cell r="F690">
            <v>4</v>
          </cell>
          <cell r="G690" t="str">
            <v>ja</v>
          </cell>
          <cell r="H690" t="str">
            <v>【超級】ポ</v>
          </cell>
        </row>
        <row r="691">
          <cell r="A691" t="str">
            <v>39005_5</v>
          </cell>
          <cell r="B691">
            <v>1</v>
          </cell>
          <cell r="C691">
            <v>39005</v>
          </cell>
          <cell r="D691" t="str">
            <v xml:space="preserve">ポ </v>
          </cell>
          <cell r="E691" t="str">
            <v>コラボクエスト</v>
          </cell>
          <cell r="F691">
            <v>5</v>
          </cell>
          <cell r="G691" t="str">
            <v>ja</v>
          </cell>
          <cell r="H691" t="str">
            <v>【超絶級】ポ</v>
          </cell>
        </row>
        <row r="692">
          <cell r="A692" t="str">
            <v>39006_1</v>
          </cell>
          <cell r="B692">
            <v>3</v>
          </cell>
          <cell r="C692">
            <v>39006</v>
          </cell>
          <cell r="D692" t="str">
            <v>シガンシナ区攻防戦</v>
          </cell>
          <cell r="E692" t="str">
            <v>コラボクエスト</v>
          </cell>
          <cell r="F692">
            <v>1</v>
          </cell>
          <cell r="G692" t="str">
            <v>ja</v>
          </cell>
          <cell r="H692" t="str">
            <v>【初級】シガンシナ区攻防戦</v>
          </cell>
        </row>
        <row r="693">
          <cell r="A693" t="str">
            <v>39006_2</v>
          </cell>
          <cell r="B693">
            <v>3</v>
          </cell>
          <cell r="C693">
            <v>39006</v>
          </cell>
          <cell r="D693" t="str">
            <v>シガンシナ区攻防戦</v>
          </cell>
          <cell r="E693" t="str">
            <v>コラボクエスト</v>
          </cell>
          <cell r="F693">
            <v>2</v>
          </cell>
          <cell r="G693" t="str">
            <v>ja</v>
          </cell>
          <cell r="H693" t="str">
            <v>【中級】シガンシナ区攻防戦</v>
          </cell>
        </row>
        <row r="694">
          <cell r="A694" t="str">
            <v>39006_3</v>
          </cell>
          <cell r="B694">
            <v>3</v>
          </cell>
          <cell r="C694">
            <v>39006</v>
          </cell>
          <cell r="D694" t="str">
            <v>シガンシナ区攻防戦</v>
          </cell>
          <cell r="E694" t="str">
            <v>コラボクエスト</v>
          </cell>
          <cell r="F694">
            <v>3</v>
          </cell>
          <cell r="G694" t="str">
            <v>ja</v>
          </cell>
          <cell r="H694" t="str">
            <v>【上級】シガンシナ区攻防戦</v>
          </cell>
        </row>
        <row r="695">
          <cell r="A695" t="str">
            <v>39006_4</v>
          </cell>
          <cell r="B695">
            <v>3</v>
          </cell>
          <cell r="C695">
            <v>39006</v>
          </cell>
          <cell r="D695" t="str">
            <v>シガンシナ区攻防戦</v>
          </cell>
          <cell r="E695" t="str">
            <v>コラボクエスト</v>
          </cell>
          <cell r="F695">
            <v>4</v>
          </cell>
          <cell r="G695" t="str">
            <v>ja</v>
          </cell>
          <cell r="H695" t="str">
            <v>【超級】シガンシナ区攻防戦</v>
          </cell>
        </row>
        <row r="696">
          <cell r="A696" t="str">
            <v>39007_1</v>
          </cell>
          <cell r="B696">
            <v>1</v>
          </cell>
          <cell r="C696">
            <v>39007</v>
          </cell>
          <cell r="D696" t="str">
            <v>ニムダ（台）</v>
          </cell>
          <cell r="E696" t="str">
            <v>コラボクエスト</v>
          </cell>
          <cell r="F696">
            <v>1</v>
          </cell>
          <cell r="G696" t="str">
            <v>ja</v>
          </cell>
          <cell r="H696" t="str">
            <v>【初級】ニムダ（台）</v>
          </cell>
        </row>
        <row r="697">
          <cell r="A697" t="str">
            <v>39007_2</v>
          </cell>
          <cell r="B697">
            <v>1</v>
          </cell>
          <cell r="C697">
            <v>39007</v>
          </cell>
          <cell r="D697" t="str">
            <v>ニムダ（台）</v>
          </cell>
          <cell r="E697" t="str">
            <v>コラボクエスト</v>
          </cell>
          <cell r="F697">
            <v>2</v>
          </cell>
          <cell r="G697" t="str">
            <v>ja</v>
          </cell>
          <cell r="H697" t="str">
            <v>【中級】ニムダ（台）</v>
          </cell>
        </row>
        <row r="698">
          <cell r="A698" t="str">
            <v>39007_3</v>
          </cell>
          <cell r="B698">
            <v>1</v>
          </cell>
          <cell r="C698">
            <v>39007</v>
          </cell>
          <cell r="D698" t="str">
            <v>ニムダ（台）</v>
          </cell>
          <cell r="E698" t="str">
            <v>コラボクエスト</v>
          </cell>
          <cell r="F698">
            <v>3</v>
          </cell>
          <cell r="G698" t="str">
            <v>ja</v>
          </cell>
          <cell r="H698" t="str">
            <v>【上級】ニムダ（台）</v>
          </cell>
        </row>
        <row r="699">
          <cell r="A699" t="str">
            <v>39007_4</v>
          </cell>
          <cell r="B699">
            <v>1</v>
          </cell>
          <cell r="C699">
            <v>39007</v>
          </cell>
          <cell r="D699" t="str">
            <v>ニムダ（台）</v>
          </cell>
          <cell r="E699" t="str">
            <v>コラボクエスト</v>
          </cell>
          <cell r="F699">
            <v>4</v>
          </cell>
          <cell r="G699" t="str">
            <v>ja</v>
          </cell>
          <cell r="H699" t="str">
            <v>【超級】ニムダ（台）</v>
          </cell>
        </row>
        <row r="700">
          <cell r="A700" t="str">
            <v>39008_1</v>
          </cell>
          <cell r="B700">
            <v>3</v>
          </cell>
          <cell r="C700">
            <v>39008</v>
          </cell>
          <cell r="D700" t="str">
            <v>雪の歌姫</v>
          </cell>
          <cell r="E700" t="str">
            <v>復刻コラボクエスト</v>
          </cell>
          <cell r="F700">
            <v>1</v>
          </cell>
          <cell r="G700" t="str">
            <v>ja</v>
          </cell>
          <cell r="H700" t="str">
            <v>【初級】雪の歌姫</v>
          </cell>
        </row>
        <row r="701">
          <cell r="A701" t="str">
            <v>39008_2</v>
          </cell>
          <cell r="B701">
            <v>3</v>
          </cell>
          <cell r="C701">
            <v>39008</v>
          </cell>
          <cell r="D701" t="str">
            <v>雪の歌姫</v>
          </cell>
          <cell r="E701" t="str">
            <v>復刻コラボクエスト</v>
          </cell>
          <cell r="F701">
            <v>2</v>
          </cell>
          <cell r="G701" t="str">
            <v>ja</v>
          </cell>
          <cell r="H701" t="str">
            <v>【中級】雪の歌姫</v>
          </cell>
        </row>
        <row r="702">
          <cell r="A702" t="str">
            <v>39008_3</v>
          </cell>
          <cell r="B702">
            <v>3</v>
          </cell>
          <cell r="C702">
            <v>39008</v>
          </cell>
          <cell r="D702" t="str">
            <v>雪の歌姫</v>
          </cell>
          <cell r="E702" t="str">
            <v>復刻コラボクエスト</v>
          </cell>
          <cell r="F702">
            <v>3</v>
          </cell>
          <cell r="G702" t="str">
            <v>ja</v>
          </cell>
          <cell r="H702" t="str">
            <v>【上級】雪の歌姫</v>
          </cell>
        </row>
        <row r="703">
          <cell r="A703" t="str">
            <v>39008_4</v>
          </cell>
          <cell r="B703">
            <v>3</v>
          </cell>
          <cell r="C703">
            <v>39008</v>
          </cell>
          <cell r="D703" t="str">
            <v>雪の歌姫</v>
          </cell>
          <cell r="E703" t="str">
            <v>復刻コラボクエスト</v>
          </cell>
          <cell r="F703">
            <v>4</v>
          </cell>
          <cell r="G703" t="str">
            <v>ja</v>
          </cell>
          <cell r="H703" t="str">
            <v>【超級】雪の歌姫</v>
          </cell>
        </row>
        <row r="704">
          <cell r="A704" t="str">
            <v>39008_5</v>
          </cell>
          <cell r="B704">
            <v>3</v>
          </cell>
          <cell r="C704">
            <v>39008</v>
          </cell>
          <cell r="D704" t="str">
            <v>雪の歌姫</v>
          </cell>
          <cell r="E704" t="str">
            <v>復刻コラボクエスト</v>
          </cell>
          <cell r="F704">
            <v>5</v>
          </cell>
          <cell r="G704" t="str">
            <v>ja</v>
          </cell>
          <cell r="H704" t="str">
            <v>【超絶級】雪の歌姫</v>
          </cell>
        </row>
        <row r="705">
          <cell r="A705" t="str">
            <v>39009_1</v>
          </cell>
          <cell r="B705">
            <v>3</v>
          </cell>
          <cell r="C705">
            <v>39009</v>
          </cell>
          <cell r="D705" t="str">
            <v>星空の歌姫</v>
          </cell>
          <cell r="E705" t="str">
            <v>コラボクエスト</v>
          </cell>
          <cell r="F705">
            <v>1</v>
          </cell>
          <cell r="G705" t="str">
            <v>ja</v>
          </cell>
          <cell r="H705" t="str">
            <v>【初級】星空の歌姫</v>
          </cell>
        </row>
        <row r="706">
          <cell r="A706" t="str">
            <v>39009_2</v>
          </cell>
          <cell r="B706">
            <v>3</v>
          </cell>
          <cell r="C706">
            <v>39009</v>
          </cell>
          <cell r="D706" t="str">
            <v>星空の歌姫</v>
          </cell>
          <cell r="E706" t="str">
            <v>コラボクエスト</v>
          </cell>
          <cell r="F706">
            <v>2</v>
          </cell>
          <cell r="G706" t="str">
            <v>ja</v>
          </cell>
          <cell r="H706" t="str">
            <v>【中級】星空の歌姫</v>
          </cell>
        </row>
        <row r="707">
          <cell r="A707" t="str">
            <v>39009_3</v>
          </cell>
          <cell r="B707">
            <v>3</v>
          </cell>
          <cell r="C707">
            <v>39009</v>
          </cell>
          <cell r="D707" t="str">
            <v>星空の歌姫</v>
          </cell>
          <cell r="E707" t="str">
            <v>コラボクエスト</v>
          </cell>
          <cell r="F707">
            <v>3</v>
          </cell>
          <cell r="G707" t="str">
            <v>ja</v>
          </cell>
          <cell r="H707" t="str">
            <v>【上級】星空の歌姫</v>
          </cell>
        </row>
        <row r="708">
          <cell r="A708" t="str">
            <v>39009_4</v>
          </cell>
          <cell r="B708">
            <v>3</v>
          </cell>
          <cell r="C708">
            <v>39009</v>
          </cell>
          <cell r="D708" t="str">
            <v>星空の歌姫</v>
          </cell>
          <cell r="E708" t="str">
            <v>コラボクエスト</v>
          </cell>
          <cell r="F708">
            <v>4</v>
          </cell>
          <cell r="G708" t="str">
            <v>ja</v>
          </cell>
          <cell r="H708" t="str">
            <v>【超級】星空の歌姫</v>
          </cell>
        </row>
        <row r="709">
          <cell r="A709" t="str">
            <v>39009_5</v>
          </cell>
          <cell r="B709">
            <v>3</v>
          </cell>
          <cell r="C709">
            <v>39009</v>
          </cell>
          <cell r="D709" t="str">
            <v>星空の歌姫</v>
          </cell>
          <cell r="E709" t="str">
            <v>コラボクエスト</v>
          </cell>
          <cell r="F709">
            <v>5</v>
          </cell>
          <cell r="G709" t="str">
            <v>ja</v>
          </cell>
          <cell r="H709" t="str">
            <v>【超絶級】星空の歌姫</v>
          </cell>
        </row>
        <row r="710">
          <cell r="A710" t="str">
            <v>39010_1</v>
          </cell>
          <cell r="B710">
            <v>3</v>
          </cell>
          <cell r="C710">
            <v>39010</v>
          </cell>
          <cell r="D710" t="str">
            <v>黄巾賊の暴走を止めろ！</v>
          </cell>
          <cell r="E710" t="str">
            <v>コラボクエスト（復刻）</v>
          </cell>
          <cell r="F710">
            <v>1</v>
          </cell>
          <cell r="G710" t="str">
            <v>ja</v>
          </cell>
          <cell r="H710" t="str">
            <v>【初級】黄巾賊の暴走を止めろ！</v>
          </cell>
        </row>
        <row r="711">
          <cell r="A711" t="str">
            <v>39010_2</v>
          </cell>
          <cell r="B711">
            <v>3</v>
          </cell>
          <cell r="C711">
            <v>39010</v>
          </cell>
          <cell r="D711" t="str">
            <v>黄巾賊の暴走を止めろ！</v>
          </cell>
          <cell r="E711" t="str">
            <v>コラボクエスト（復刻）</v>
          </cell>
          <cell r="F711">
            <v>2</v>
          </cell>
          <cell r="G711" t="str">
            <v>ja</v>
          </cell>
          <cell r="H711" t="str">
            <v>【中級】黄巾賊の暴走を止めろ！</v>
          </cell>
        </row>
        <row r="712">
          <cell r="A712" t="str">
            <v>39010_3</v>
          </cell>
          <cell r="B712">
            <v>3</v>
          </cell>
          <cell r="C712">
            <v>39010</v>
          </cell>
          <cell r="D712" t="str">
            <v>黄巾賊の暴走を止めろ！</v>
          </cell>
          <cell r="E712" t="str">
            <v>コラボクエスト（復刻）</v>
          </cell>
          <cell r="F712">
            <v>3</v>
          </cell>
          <cell r="G712" t="str">
            <v>ja</v>
          </cell>
          <cell r="H712" t="str">
            <v>【上級】黄巾賊の暴走を止めろ！</v>
          </cell>
        </row>
        <row r="713">
          <cell r="A713" t="str">
            <v>39010_4</v>
          </cell>
          <cell r="B713">
            <v>3</v>
          </cell>
          <cell r="C713">
            <v>39010</v>
          </cell>
          <cell r="D713" t="str">
            <v>黄巾賊の暴走を止めろ！</v>
          </cell>
          <cell r="E713" t="str">
            <v>コラボクエスト（復刻）</v>
          </cell>
          <cell r="F713">
            <v>4</v>
          </cell>
          <cell r="G713" t="str">
            <v>ja</v>
          </cell>
          <cell r="H713" t="str">
            <v>【超級】黄巾賊の暴走を止めろ！</v>
          </cell>
        </row>
        <row r="714">
          <cell r="A714" t="str">
            <v>39011_1</v>
          </cell>
          <cell r="B714">
            <v>3</v>
          </cell>
          <cell r="C714">
            <v>39011</v>
          </cell>
          <cell r="D714" t="str">
            <v>ブルースクウェアを追え！</v>
          </cell>
          <cell r="E714" t="str">
            <v>コラボクエスト（復刻）</v>
          </cell>
          <cell r="F714">
            <v>1</v>
          </cell>
          <cell r="G714" t="str">
            <v>ja</v>
          </cell>
          <cell r="H714" t="str">
            <v>【初級】ブルースクウェアを追え！</v>
          </cell>
        </row>
        <row r="715">
          <cell r="A715" t="str">
            <v>39011_2</v>
          </cell>
          <cell r="B715">
            <v>3</v>
          </cell>
          <cell r="C715">
            <v>39011</v>
          </cell>
          <cell r="D715" t="str">
            <v>ブルースクウェアを追え！</v>
          </cell>
          <cell r="E715" t="str">
            <v>コラボクエスト（復刻）</v>
          </cell>
          <cell r="F715">
            <v>2</v>
          </cell>
          <cell r="G715" t="str">
            <v>ja</v>
          </cell>
          <cell r="H715" t="str">
            <v>【中級】ブルースクウェアを追え！</v>
          </cell>
        </row>
        <row r="716">
          <cell r="A716" t="str">
            <v>39011_3</v>
          </cell>
          <cell r="B716">
            <v>3</v>
          </cell>
          <cell r="C716">
            <v>39011</v>
          </cell>
          <cell r="D716" t="str">
            <v>ブルースクウェアを追え！</v>
          </cell>
          <cell r="E716" t="str">
            <v>コラボクエスト（復刻）</v>
          </cell>
          <cell r="F716">
            <v>3</v>
          </cell>
          <cell r="G716" t="str">
            <v>ja</v>
          </cell>
          <cell r="H716" t="str">
            <v>【上級】ブルースクウェアを追え！</v>
          </cell>
        </row>
        <row r="717">
          <cell r="A717" t="str">
            <v>39011_4</v>
          </cell>
          <cell r="B717">
            <v>3</v>
          </cell>
          <cell r="C717">
            <v>39011</v>
          </cell>
          <cell r="D717" t="str">
            <v>ブルースクウェアを追え！</v>
          </cell>
          <cell r="E717" t="str">
            <v>コラボクエスト（復刻）</v>
          </cell>
          <cell r="F717">
            <v>4</v>
          </cell>
          <cell r="G717" t="str">
            <v>ja</v>
          </cell>
          <cell r="H717" t="str">
            <v>【超級】ブルースクウェアを追え！</v>
          </cell>
        </row>
        <row r="718">
          <cell r="A718" t="str">
            <v>39012_1</v>
          </cell>
          <cell r="B718">
            <v>3</v>
          </cell>
          <cell r="C718">
            <v>39012</v>
          </cell>
          <cell r="D718" t="str">
            <v>侵略！？にゃんこ軍団現る！</v>
          </cell>
          <cell r="E718" t="str">
            <v>コラボクエスト</v>
          </cell>
          <cell r="F718">
            <v>1</v>
          </cell>
          <cell r="G718" t="str">
            <v>ja</v>
          </cell>
          <cell r="H718" t="str">
            <v>【初級】侵略！？にゃんこ軍団現る！</v>
          </cell>
        </row>
        <row r="719">
          <cell r="A719" t="str">
            <v>39012_2</v>
          </cell>
          <cell r="B719">
            <v>3</v>
          </cell>
          <cell r="C719">
            <v>39012</v>
          </cell>
          <cell r="D719" t="str">
            <v>侵略！？にゃんこ軍団現る！</v>
          </cell>
          <cell r="E719" t="str">
            <v>コラボクエスト</v>
          </cell>
          <cell r="F719">
            <v>2</v>
          </cell>
          <cell r="G719" t="str">
            <v>ja</v>
          </cell>
          <cell r="H719" t="str">
            <v>【中級】侵略！？にゃんこ軍団現る！</v>
          </cell>
        </row>
        <row r="720">
          <cell r="A720" t="str">
            <v>39012_3</v>
          </cell>
          <cell r="B720">
            <v>3</v>
          </cell>
          <cell r="C720">
            <v>39012</v>
          </cell>
          <cell r="D720" t="str">
            <v>侵略！？にゃんこ軍団現る！</v>
          </cell>
          <cell r="E720" t="str">
            <v>コラボクエスト</v>
          </cell>
          <cell r="F720">
            <v>3</v>
          </cell>
          <cell r="G720" t="str">
            <v>ja</v>
          </cell>
          <cell r="H720" t="str">
            <v>【上級】侵略！？にゃんこ軍団現る！</v>
          </cell>
        </row>
        <row r="721">
          <cell r="A721" t="str">
            <v>39012_4</v>
          </cell>
          <cell r="B721">
            <v>3</v>
          </cell>
          <cell r="C721">
            <v>39012</v>
          </cell>
          <cell r="D721" t="str">
            <v>侵略！？にゃんこ軍団現る！</v>
          </cell>
          <cell r="E721" t="str">
            <v>コラボクエスト</v>
          </cell>
          <cell r="F721">
            <v>4</v>
          </cell>
          <cell r="G721" t="str">
            <v>ja</v>
          </cell>
          <cell r="H721" t="str">
            <v>【超上級】侵略！？にゃんこ軍団現る！</v>
          </cell>
        </row>
        <row r="722">
          <cell r="A722" t="str">
            <v>39012_5</v>
          </cell>
          <cell r="B722">
            <v>3</v>
          </cell>
          <cell r="C722">
            <v>39012</v>
          </cell>
          <cell r="D722" t="str">
            <v>侵略！？にゃんこ軍団現る！</v>
          </cell>
          <cell r="E722" t="str">
            <v>コラボクエスト</v>
          </cell>
          <cell r="F722">
            <v>5</v>
          </cell>
          <cell r="G722" t="str">
            <v>ja</v>
          </cell>
          <cell r="H722" t="str">
            <v>【激ムズ】侵略！？にゃんこ軍団現る！</v>
          </cell>
        </row>
        <row r="723">
          <cell r="A723" t="str">
            <v>39013_1</v>
          </cell>
          <cell r="B723">
            <v>1</v>
          </cell>
          <cell r="C723">
            <v>39013</v>
          </cell>
          <cell r="D723" t="str">
            <v>兄左</v>
          </cell>
          <cell r="E723" t="str">
            <v>コラボクエスト</v>
          </cell>
          <cell r="F723">
            <v>1</v>
          </cell>
          <cell r="G723" t="str">
            <v>ja</v>
          </cell>
          <cell r="H723" t="str">
            <v>【初級】兄左</v>
          </cell>
        </row>
        <row r="724">
          <cell r="A724" t="str">
            <v>39013_2</v>
          </cell>
          <cell r="B724">
            <v>1</v>
          </cell>
          <cell r="C724">
            <v>39013</v>
          </cell>
          <cell r="D724" t="str">
            <v>兄左</v>
          </cell>
          <cell r="E724" t="str">
            <v>コラボクエスト</v>
          </cell>
          <cell r="F724">
            <v>2</v>
          </cell>
          <cell r="G724" t="str">
            <v>ja</v>
          </cell>
          <cell r="H724" t="str">
            <v>【中級】兄左</v>
          </cell>
        </row>
        <row r="725">
          <cell r="A725" t="str">
            <v>39013_3</v>
          </cell>
          <cell r="B725">
            <v>1</v>
          </cell>
          <cell r="C725">
            <v>39013</v>
          </cell>
          <cell r="D725" t="str">
            <v>兄左</v>
          </cell>
          <cell r="E725" t="str">
            <v>コラボクエスト</v>
          </cell>
          <cell r="F725">
            <v>3</v>
          </cell>
          <cell r="G725" t="str">
            <v>ja</v>
          </cell>
          <cell r="H725" t="str">
            <v>【上級】兄左</v>
          </cell>
        </row>
        <row r="726">
          <cell r="A726" t="str">
            <v>39013_4</v>
          </cell>
          <cell r="B726">
            <v>1</v>
          </cell>
          <cell r="C726">
            <v>39013</v>
          </cell>
          <cell r="D726" t="str">
            <v>兄左</v>
          </cell>
          <cell r="E726" t="str">
            <v>コラボクエスト</v>
          </cell>
          <cell r="F726">
            <v>4</v>
          </cell>
          <cell r="G726" t="str">
            <v>ja</v>
          </cell>
          <cell r="H726" t="str">
            <v>【超級】兄左</v>
          </cell>
        </row>
        <row r="727">
          <cell r="A727" t="str">
            <v>39014_1</v>
          </cell>
          <cell r="B727">
            <v>1</v>
          </cell>
          <cell r="C727">
            <v>39014</v>
          </cell>
          <cell r="D727" t="str">
            <v>金券</v>
          </cell>
          <cell r="E727" t="str">
            <v>コラボクエスト</v>
          </cell>
          <cell r="F727">
            <v>1</v>
          </cell>
          <cell r="G727" t="str">
            <v>ja</v>
          </cell>
          <cell r="H727" t="str">
            <v>【超級】金券</v>
          </cell>
        </row>
        <row r="728">
          <cell r="A728" t="str">
            <v>39014_2</v>
          </cell>
          <cell r="B728">
            <v>1</v>
          </cell>
          <cell r="C728">
            <v>39014</v>
          </cell>
          <cell r="D728" t="str">
            <v>金券</v>
          </cell>
          <cell r="E728" t="str">
            <v>コラボクエスト</v>
          </cell>
          <cell r="F728">
            <v>2</v>
          </cell>
          <cell r="G728" t="str">
            <v>ja</v>
          </cell>
          <cell r="H728" t="str">
            <v>【超級】金券(スコアアタック)</v>
          </cell>
        </row>
        <row r="729">
          <cell r="A729" t="str">
            <v>40001_1</v>
          </cell>
          <cell r="B729">
            <v>1</v>
          </cell>
          <cell r="C729">
            <v>40001</v>
          </cell>
          <cell r="D729" t="str">
            <v>アマテラス襲来！</v>
          </cell>
          <cell r="E729" t="str">
            <v>降臨1</v>
          </cell>
          <cell r="F729">
            <v>1</v>
          </cell>
          <cell r="G729" t="str">
            <v>ja</v>
          </cell>
          <cell r="H729" t="str">
            <v xml:space="preserve">【ウィザード級】アマテラス襲来 </v>
          </cell>
        </row>
        <row r="730">
          <cell r="A730" t="str">
            <v>40002_1</v>
          </cell>
          <cell r="B730">
            <v>1</v>
          </cell>
          <cell r="C730">
            <v>40002</v>
          </cell>
          <cell r="D730" t="str">
            <v>アザゼル襲来！</v>
          </cell>
          <cell r="E730" t="str">
            <v>降臨2</v>
          </cell>
          <cell r="F730">
            <v>1</v>
          </cell>
          <cell r="G730" t="str">
            <v>ja</v>
          </cell>
          <cell r="H730" t="str">
            <v xml:space="preserve">【超級】アザゼル襲来 </v>
          </cell>
        </row>
        <row r="731">
          <cell r="A731" t="str">
            <v>40002_2</v>
          </cell>
          <cell r="B731">
            <v>1</v>
          </cell>
          <cell r="C731">
            <v>40002</v>
          </cell>
          <cell r="D731" t="str">
            <v>アザゼル襲来！</v>
          </cell>
          <cell r="E731" t="str">
            <v>降臨2</v>
          </cell>
          <cell r="F731">
            <v>2</v>
          </cell>
          <cell r="G731" t="str">
            <v>ja</v>
          </cell>
          <cell r="H731" t="str">
            <v>【超絶級】アザゼル襲来</v>
          </cell>
        </row>
        <row r="732">
          <cell r="A732" t="str">
            <v>40002_3</v>
          </cell>
          <cell r="B732">
            <v>1</v>
          </cell>
          <cell r="C732">
            <v>40002</v>
          </cell>
          <cell r="D732" t="str">
            <v>アザゼル襲来！</v>
          </cell>
          <cell r="E732" t="str">
            <v>降臨2</v>
          </cell>
          <cell r="F732">
            <v>3</v>
          </cell>
          <cell r="G732" t="str">
            <v>ja</v>
          </cell>
          <cell r="H732" t="str">
            <v xml:space="preserve">【ウィザード級】アザゼル襲来 </v>
          </cell>
        </row>
        <row r="733">
          <cell r="A733" t="str">
            <v>40003_1</v>
          </cell>
          <cell r="B733">
            <v>1</v>
          </cell>
          <cell r="C733">
            <v>40003</v>
          </cell>
          <cell r="D733" t="str">
            <v>ジャンヌ襲来！</v>
          </cell>
          <cell r="E733" t="str">
            <v>降臨3</v>
          </cell>
          <cell r="F733">
            <v>1</v>
          </cell>
          <cell r="G733" t="str">
            <v>ja</v>
          </cell>
          <cell r="H733" t="str">
            <v xml:space="preserve">【ウィザード級】ジャンヌ襲来 </v>
          </cell>
        </row>
        <row r="734">
          <cell r="A734" t="str">
            <v>40004_1</v>
          </cell>
          <cell r="B734">
            <v>1</v>
          </cell>
          <cell r="C734">
            <v>40004</v>
          </cell>
          <cell r="D734" t="str">
            <v>宮本武蔵襲来！</v>
          </cell>
          <cell r="E734" t="str">
            <v>降臨4</v>
          </cell>
          <cell r="F734">
            <v>1</v>
          </cell>
          <cell r="G734" t="str">
            <v>ja</v>
          </cell>
          <cell r="H734" t="str">
            <v xml:space="preserve">【ウィザード級】宮本武蔵襲来 </v>
          </cell>
        </row>
        <row r="735">
          <cell r="A735" t="str">
            <v>40005_1</v>
          </cell>
          <cell r="B735">
            <v>1</v>
          </cell>
          <cell r="C735">
            <v>40005</v>
          </cell>
          <cell r="D735" t="str">
            <v>オズ襲来！</v>
          </cell>
          <cell r="E735" t="str">
            <v>降臨5</v>
          </cell>
          <cell r="F735">
            <v>1</v>
          </cell>
          <cell r="G735" t="str">
            <v>ja</v>
          </cell>
          <cell r="H735" t="str">
            <v xml:space="preserve">【ウィザード級】オズ襲来 </v>
          </cell>
        </row>
        <row r="736">
          <cell r="A736" t="str">
            <v>40006_1</v>
          </cell>
          <cell r="B736">
            <v>1</v>
          </cell>
          <cell r="C736">
            <v>40006</v>
          </cell>
          <cell r="D736" t="str">
            <v>アーサー襲来！</v>
          </cell>
          <cell r="E736" t="str">
            <v>降臨6</v>
          </cell>
          <cell r="F736">
            <v>1</v>
          </cell>
          <cell r="G736" t="str">
            <v>ja</v>
          </cell>
          <cell r="H736" t="str">
            <v xml:space="preserve">【ウィザード級】アーサー襲来 </v>
          </cell>
        </row>
        <row r="737">
          <cell r="A737" t="str">
            <v>40007_1</v>
          </cell>
          <cell r="B737">
            <v>1</v>
          </cell>
          <cell r="C737">
            <v>40007</v>
          </cell>
          <cell r="D737" t="str">
            <v>グリム襲来！</v>
          </cell>
          <cell r="E737" t="str">
            <v>降臨7</v>
          </cell>
          <cell r="F737">
            <v>1</v>
          </cell>
          <cell r="G737" t="str">
            <v>ja</v>
          </cell>
          <cell r="H737" t="str">
            <v xml:space="preserve">【ウィザード級】グリム襲来 </v>
          </cell>
        </row>
        <row r="738">
          <cell r="A738" t="str">
            <v>40008_1</v>
          </cell>
          <cell r="B738">
            <v>1</v>
          </cell>
          <cell r="C738">
            <v>40008</v>
          </cell>
          <cell r="D738" t="str">
            <v>Gスター襲来！</v>
          </cell>
          <cell r="E738" t="str">
            <v>降臨8</v>
          </cell>
          <cell r="F738">
            <v>1</v>
          </cell>
          <cell r="G738" t="str">
            <v>ja</v>
          </cell>
          <cell r="H738" t="str">
            <v xml:space="preserve">【ウィザード級】Gスター襲来 </v>
          </cell>
        </row>
        <row r="739">
          <cell r="A739" t="str">
            <v>40009_1</v>
          </cell>
          <cell r="B739">
            <v>1</v>
          </cell>
          <cell r="C739">
            <v>40009</v>
          </cell>
          <cell r="D739" t="str">
            <v>フギンとムニン襲来！</v>
          </cell>
          <cell r="E739" t="str">
            <v>降臨9</v>
          </cell>
          <cell r="F739">
            <v>1</v>
          </cell>
          <cell r="G739" t="str">
            <v>ja</v>
          </cell>
          <cell r="H739" t="str">
            <v xml:space="preserve">【ウィザード級】フギンとムニン襲来 </v>
          </cell>
        </row>
        <row r="740">
          <cell r="A740" t="str">
            <v>40010_1</v>
          </cell>
          <cell r="B740">
            <v>1</v>
          </cell>
          <cell r="C740">
            <v>40010</v>
          </cell>
          <cell r="D740" t="str">
            <v>フレイ襲来！</v>
          </cell>
          <cell r="E740" t="str">
            <v>降臨10</v>
          </cell>
          <cell r="F740">
            <v>1</v>
          </cell>
          <cell r="G740" t="str">
            <v>ja</v>
          </cell>
          <cell r="H740" t="str">
            <v xml:space="preserve">【ウィザード級】フレイ襲来 </v>
          </cell>
        </row>
        <row r="741">
          <cell r="A741" t="str">
            <v>40011_1</v>
          </cell>
          <cell r="B741">
            <v>1</v>
          </cell>
          <cell r="C741">
            <v>40011</v>
          </cell>
          <cell r="D741" t="str">
            <v>ヨミ襲来！</v>
          </cell>
          <cell r="E741" t="str">
            <v>降臨11</v>
          </cell>
          <cell r="F741">
            <v>1</v>
          </cell>
          <cell r="G741" t="str">
            <v>ja</v>
          </cell>
          <cell r="H741" t="str">
            <v xml:space="preserve">【ウィザード級】ヨミ襲来 </v>
          </cell>
        </row>
        <row r="742">
          <cell r="A742" t="str">
            <v>40012_1</v>
          </cell>
          <cell r="B742">
            <v>1</v>
          </cell>
          <cell r="C742">
            <v>40012</v>
          </cell>
          <cell r="D742" t="str">
            <v>ショウキ襲来！</v>
          </cell>
          <cell r="E742" t="str">
            <v>降臨12</v>
          </cell>
          <cell r="F742">
            <v>1</v>
          </cell>
          <cell r="G742" t="str">
            <v>ja</v>
          </cell>
          <cell r="H742" t="str">
            <v xml:space="preserve">【ウィザード級】ショウキ襲来 </v>
          </cell>
        </row>
        <row r="743">
          <cell r="A743" t="str">
            <v>40013_1</v>
          </cell>
          <cell r="B743">
            <v>1</v>
          </cell>
          <cell r="C743">
            <v>40013</v>
          </cell>
          <cell r="D743" t="str">
            <v>カーマ襲来！</v>
          </cell>
          <cell r="E743" t="str">
            <v>降臨13</v>
          </cell>
          <cell r="F743">
            <v>1</v>
          </cell>
          <cell r="G743" t="str">
            <v>ja</v>
          </cell>
          <cell r="H743" t="str">
            <v xml:space="preserve">【ウィザード級】カーマ襲来 </v>
          </cell>
        </row>
        <row r="744">
          <cell r="A744" t="str">
            <v>40014_1</v>
          </cell>
          <cell r="B744">
            <v>1</v>
          </cell>
          <cell r="C744">
            <v>40014</v>
          </cell>
          <cell r="D744" t="str">
            <v>シヴァ襲来！</v>
          </cell>
          <cell r="E744" t="str">
            <v>降臨14</v>
          </cell>
          <cell r="F744">
            <v>1</v>
          </cell>
          <cell r="G744" t="str">
            <v>ja</v>
          </cell>
          <cell r="H744" t="str">
            <v xml:space="preserve">【ウィザード級】シヴァ襲来 </v>
          </cell>
        </row>
        <row r="745">
          <cell r="A745" t="str">
            <v>40015_1</v>
          </cell>
          <cell r="B745">
            <v>1</v>
          </cell>
          <cell r="C745">
            <v>40015</v>
          </cell>
          <cell r="D745" t="str">
            <v>ガレス襲来！</v>
          </cell>
          <cell r="E745" t="str">
            <v>降臨15</v>
          </cell>
          <cell r="F745">
            <v>1</v>
          </cell>
          <cell r="G745" t="str">
            <v>ja</v>
          </cell>
          <cell r="H745" t="str">
            <v xml:space="preserve">【ウィザード級】ガレス襲来 </v>
          </cell>
        </row>
        <row r="746">
          <cell r="A746" t="str">
            <v>40016_1</v>
          </cell>
          <cell r="B746">
            <v>3</v>
          </cell>
          <cell r="C746">
            <v>40016</v>
          </cell>
          <cell r="D746" t="str">
            <v>武田信玄襲来！</v>
          </cell>
          <cell r="E746" t="str">
            <v>降臨16</v>
          </cell>
          <cell r="F746">
            <v>1</v>
          </cell>
          <cell r="G746" t="str">
            <v>ja</v>
          </cell>
          <cell r="H746" t="str">
            <v xml:space="preserve">【ウィザード級】武田信玄襲来 </v>
          </cell>
        </row>
        <row r="747">
          <cell r="A747" t="str">
            <v>40016_2</v>
          </cell>
          <cell r="B747">
            <v>1</v>
          </cell>
          <cell r="C747">
            <v>40016</v>
          </cell>
          <cell r="D747" t="str">
            <v>武田信玄襲来！</v>
          </cell>
          <cell r="E747" t="str">
            <v>降臨16</v>
          </cell>
          <cell r="F747">
            <v>2</v>
          </cell>
          <cell r="G747" t="str">
            <v>ja</v>
          </cell>
          <cell r="H747" t="str">
            <v xml:space="preserve">【ノーコンテニュー】武田信玄襲来 </v>
          </cell>
        </row>
        <row r="748">
          <cell r="A748" t="str">
            <v>40017_1</v>
          </cell>
          <cell r="B748">
            <v>3</v>
          </cell>
          <cell r="C748">
            <v>40017</v>
          </cell>
          <cell r="D748" t="str">
            <v>ベルゼブブ襲来！</v>
          </cell>
          <cell r="E748" t="str">
            <v>降臨17</v>
          </cell>
          <cell r="F748">
            <v>1</v>
          </cell>
          <cell r="G748" t="str">
            <v>ja</v>
          </cell>
          <cell r="H748" t="str">
            <v xml:space="preserve">【超絶級】ベルゼブブ襲来 </v>
          </cell>
        </row>
        <row r="749">
          <cell r="A749" t="str">
            <v>40017_2</v>
          </cell>
          <cell r="B749">
            <v>3</v>
          </cell>
          <cell r="C749">
            <v>40017</v>
          </cell>
          <cell r="D749" t="str">
            <v>ベルゼブブ襲来！</v>
          </cell>
          <cell r="E749" t="str">
            <v>降臨17</v>
          </cell>
          <cell r="F749">
            <v>2</v>
          </cell>
          <cell r="G749" t="str">
            <v>ja</v>
          </cell>
          <cell r="H749" t="str">
            <v>【ウィザード級】ベルゼブブ襲来</v>
          </cell>
        </row>
        <row r="750">
          <cell r="A750" t="str">
            <v>40017_3</v>
          </cell>
          <cell r="B750">
            <v>1</v>
          </cell>
          <cell r="C750">
            <v>40017</v>
          </cell>
          <cell r="D750" t="str">
            <v>ベルゼブブ襲来！</v>
          </cell>
          <cell r="E750" t="str">
            <v>降臨17</v>
          </cell>
          <cell r="F750">
            <v>3</v>
          </cell>
          <cell r="G750" t="str">
            <v>ja</v>
          </cell>
          <cell r="H750" t="str">
            <v>【ノーコンテニュー】ベルゼブブ襲来</v>
          </cell>
        </row>
        <row r="751">
          <cell r="A751" t="str">
            <v>40018_1</v>
          </cell>
          <cell r="B751">
            <v>3</v>
          </cell>
          <cell r="C751">
            <v>40018</v>
          </cell>
          <cell r="D751" t="str">
            <v>ジーナ襲来！</v>
          </cell>
          <cell r="E751" t="str">
            <v>降臨18</v>
          </cell>
          <cell r="F751">
            <v>1</v>
          </cell>
          <cell r="G751" t="str">
            <v>ja</v>
          </cell>
          <cell r="H751" t="str">
            <v xml:space="preserve">【超絶級】ジーナ襲来 </v>
          </cell>
        </row>
        <row r="752">
          <cell r="A752" t="str">
            <v>40018_2</v>
          </cell>
          <cell r="B752">
            <v>3</v>
          </cell>
          <cell r="C752">
            <v>40018</v>
          </cell>
          <cell r="D752" t="str">
            <v>ジーナ襲来！</v>
          </cell>
          <cell r="E752" t="str">
            <v>降臨18</v>
          </cell>
          <cell r="F752">
            <v>2</v>
          </cell>
          <cell r="G752" t="str">
            <v>ja</v>
          </cell>
          <cell r="H752" t="str">
            <v>【ウィザード級】ジーナ襲来</v>
          </cell>
        </row>
        <row r="753">
          <cell r="A753" t="str">
            <v>40018_3</v>
          </cell>
          <cell r="B753">
            <v>1</v>
          </cell>
          <cell r="C753">
            <v>40018</v>
          </cell>
          <cell r="D753" t="str">
            <v>ジーナ襲来！</v>
          </cell>
          <cell r="E753" t="str">
            <v>降臨18</v>
          </cell>
          <cell r="F753">
            <v>3</v>
          </cell>
          <cell r="G753" t="str">
            <v>ja</v>
          </cell>
          <cell r="H753" t="str">
            <v>【ノーコンテニュー】ジーナ襲来</v>
          </cell>
        </row>
        <row r="754">
          <cell r="A754" t="str">
            <v>40019_1</v>
          </cell>
          <cell r="B754">
            <v>3</v>
          </cell>
          <cell r="C754">
            <v>40019</v>
          </cell>
          <cell r="D754" t="str">
            <v>テュポーン襲来！</v>
          </cell>
          <cell r="E754" t="str">
            <v>降臨19</v>
          </cell>
          <cell r="F754">
            <v>1</v>
          </cell>
          <cell r="G754" t="str">
            <v>ja</v>
          </cell>
          <cell r="H754" t="str">
            <v xml:space="preserve">【超絶級】テュポーン襲来 </v>
          </cell>
        </row>
        <row r="755">
          <cell r="A755" t="str">
            <v>40019_2</v>
          </cell>
          <cell r="B755">
            <v>3</v>
          </cell>
          <cell r="C755">
            <v>40019</v>
          </cell>
          <cell r="D755" t="str">
            <v>テュポーン襲来！</v>
          </cell>
          <cell r="E755" t="str">
            <v>降臨19</v>
          </cell>
          <cell r="F755">
            <v>2</v>
          </cell>
          <cell r="G755" t="str">
            <v>ja</v>
          </cell>
          <cell r="H755" t="str">
            <v>【ウィザード級】テュポーン襲来</v>
          </cell>
        </row>
        <row r="756">
          <cell r="A756" t="str">
            <v>40019_3</v>
          </cell>
          <cell r="B756">
            <v>1</v>
          </cell>
          <cell r="C756">
            <v>40019</v>
          </cell>
          <cell r="D756" t="str">
            <v>テュポーン襲来！</v>
          </cell>
          <cell r="E756" t="str">
            <v>降臨19</v>
          </cell>
          <cell r="F756">
            <v>3</v>
          </cell>
          <cell r="G756" t="str">
            <v>ja</v>
          </cell>
          <cell r="H756" t="str">
            <v>【ノーコンテニュー】テュポーン襲来</v>
          </cell>
        </row>
        <row r="757">
          <cell r="A757" t="str">
            <v>40021_1</v>
          </cell>
          <cell r="B757">
            <v>3</v>
          </cell>
          <cell r="C757">
            <v>40021</v>
          </cell>
          <cell r="D757" t="str">
            <v>ルイ16世襲来！</v>
          </cell>
          <cell r="E757" t="str">
            <v>降臨21</v>
          </cell>
          <cell r="F757">
            <v>1</v>
          </cell>
          <cell r="G757" t="str">
            <v>ja</v>
          </cell>
          <cell r="H757" t="str">
            <v xml:space="preserve">【超絶級】ルイ16世襲来 </v>
          </cell>
        </row>
        <row r="758">
          <cell r="A758" t="str">
            <v>40021_2</v>
          </cell>
          <cell r="B758">
            <v>3</v>
          </cell>
          <cell r="C758">
            <v>40021</v>
          </cell>
          <cell r="D758" t="str">
            <v>ルイ16世襲来！</v>
          </cell>
          <cell r="E758" t="str">
            <v>降臨21</v>
          </cell>
          <cell r="F758">
            <v>2</v>
          </cell>
          <cell r="G758" t="str">
            <v>ja</v>
          </cell>
          <cell r="H758" t="str">
            <v>【ウィザード級】ルイ16世襲来</v>
          </cell>
        </row>
        <row r="759">
          <cell r="A759" t="str">
            <v>40022_1</v>
          </cell>
          <cell r="B759">
            <v>3</v>
          </cell>
          <cell r="C759">
            <v>40022</v>
          </cell>
          <cell r="D759" t="str">
            <v>オシリス襲来！</v>
          </cell>
          <cell r="E759" t="str">
            <v>降臨22</v>
          </cell>
          <cell r="F759">
            <v>1</v>
          </cell>
          <cell r="G759" t="str">
            <v>ja</v>
          </cell>
          <cell r="H759" t="str">
            <v xml:space="preserve">【超絶級】オシリス襲来 </v>
          </cell>
        </row>
        <row r="760">
          <cell r="A760" t="str">
            <v>40022_2</v>
          </cell>
          <cell r="B760">
            <v>3</v>
          </cell>
          <cell r="C760">
            <v>40022</v>
          </cell>
          <cell r="D760" t="str">
            <v>オシリス襲来！</v>
          </cell>
          <cell r="E760" t="str">
            <v>降臨22</v>
          </cell>
          <cell r="F760">
            <v>2</v>
          </cell>
          <cell r="G760" t="str">
            <v>ja</v>
          </cell>
          <cell r="H760" t="str">
            <v>【ウィザード級】オシリス襲来</v>
          </cell>
        </row>
        <row r="761">
          <cell r="A761" t="str">
            <v>40023_1</v>
          </cell>
          <cell r="B761">
            <v>3</v>
          </cell>
          <cell r="C761">
            <v>40023</v>
          </cell>
          <cell r="D761" t="str">
            <v>武蔵坊弁慶襲来！</v>
          </cell>
          <cell r="E761" t="str">
            <v>降臨23</v>
          </cell>
          <cell r="F761">
            <v>1</v>
          </cell>
          <cell r="G761" t="str">
            <v>ja</v>
          </cell>
          <cell r="H761" t="str">
            <v xml:space="preserve">【超絶級】武蔵坊弁慶襲来 </v>
          </cell>
        </row>
        <row r="762">
          <cell r="A762" t="str">
            <v>40023_2</v>
          </cell>
          <cell r="B762">
            <v>3</v>
          </cell>
          <cell r="C762">
            <v>40023</v>
          </cell>
          <cell r="D762" t="str">
            <v>武蔵坊弁慶襲来！</v>
          </cell>
          <cell r="E762" t="str">
            <v>降臨23</v>
          </cell>
          <cell r="F762">
            <v>2</v>
          </cell>
          <cell r="G762" t="str">
            <v>ja</v>
          </cell>
          <cell r="H762" t="str">
            <v>【ウィザード級】武蔵坊弁慶襲来</v>
          </cell>
        </row>
        <row r="763">
          <cell r="A763" t="str">
            <v>40024_1</v>
          </cell>
          <cell r="B763">
            <v>3</v>
          </cell>
          <cell r="C763">
            <v>40024</v>
          </cell>
          <cell r="D763" t="str">
            <v>アトラス襲来！</v>
          </cell>
          <cell r="E763" t="str">
            <v>降臨24</v>
          </cell>
          <cell r="F763">
            <v>1</v>
          </cell>
          <cell r="G763" t="str">
            <v>ja</v>
          </cell>
          <cell r="H763" t="str">
            <v>【超絶級】アトラス襲来</v>
          </cell>
        </row>
        <row r="764">
          <cell r="A764" t="str">
            <v>40024_2</v>
          </cell>
          <cell r="B764">
            <v>3</v>
          </cell>
          <cell r="C764">
            <v>40024</v>
          </cell>
          <cell r="D764" t="str">
            <v>アトラス襲来！</v>
          </cell>
          <cell r="E764" t="str">
            <v>降臨24</v>
          </cell>
          <cell r="F764">
            <v>2</v>
          </cell>
          <cell r="G764" t="str">
            <v>ja</v>
          </cell>
          <cell r="H764" t="str">
            <v>【ウィザード級】アトラス襲来</v>
          </cell>
        </row>
        <row r="765">
          <cell r="A765" t="str">
            <v>40025_1</v>
          </cell>
          <cell r="B765">
            <v>3</v>
          </cell>
          <cell r="C765">
            <v>40025</v>
          </cell>
          <cell r="D765" t="str">
            <v>ティアマト襲来！</v>
          </cell>
          <cell r="E765" t="str">
            <v>降臨25</v>
          </cell>
          <cell r="F765">
            <v>1</v>
          </cell>
          <cell r="G765" t="str">
            <v>ja</v>
          </cell>
          <cell r="H765" t="str">
            <v>【超絶級】ティアマト襲来</v>
          </cell>
        </row>
        <row r="766">
          <cell r="A766" t="str">
            <v>40025_2</v>
          </cell>
          <cell r="B766">
            <v>3</v>
          </cell>
          <cell r="C766">
            <v>40025</v>
          </cell>
          <cell r="D766" t="str">
            <v>ティアマト襲来！</v>
          </cell>
          <cell r="E766" t="str">
            <v>降臨25</v>
          </cell>
          <cell r="F766">
            <v>2</v>
          </cell>
          <cell r="G766" t="str">
            <v>ja</v>
          </cell>
          <cell r="H766" t="str">
            <v>【ウィザード級】ティアマト襲来</v>
          </cell>
        </row>
        <row r="767">
          <cell r="A767" t="str">
            <v>40026_1</v>
          </cell>
          <cell r="B767">
            <v>3</v>
          </cell>
          <cell r="C767">
            <v>40026</v>
          </cell>
          <cell r="D767" t="str">
            <v>ミケランジェロ襲来！</v>
          </cell>
          <cell r="E767" t="str">
            <v>降臨26</v>
          </cell>
          <cell r="F767">
            <v>1</v>
          </cell>
          <cell r="G767" t="str">
            <v>ja</v>
          </cell>
          <cell r="H767" t="str">
            <v>【超絶級】ミケランジェロ襲来</v>
          </cell>
        </row>
        <row r="768">
          <cell r="A768" t="str">
            <v>40026_2</v>
          </cell>
          <cell r="B768">
            <v>3</v>
          </cell>
          <cell r="C768">
            <v>40026</v>
          </cell>
          <cell r="D768" t="str">
            <v>ミケランジェロ襲来！</v>
          </cell>
          <cell r="E768" t="str">
            <v>降臨26</v>
          </cell>
          <cell r="F768">
            <v>2</v>
          </cell>
          <cell r="G768" t="str">
            <v>ja</v>
          </cell>
          <cell r="H768" t="str">
            <v>【ウィザード級】ミケランジェロ襲来</v>
          </cell>
        </row>
        <row r="769">
          <cell r="A769" t="str">
            <v>40027_1</v>
          </cell>
          <cell r="B769">
            <v>3</v>
          </cell>
          <cell r="C769">
            <v>40027</v>
          </cell>
          <cell r="D769" t="str">
            <v>コルキス襲来！</v>
          </cell>
          <cell r="E769" t="str">
            <v>降臨27</v>
          </cell>
          <cell r="F769">
            <v>1</v>
          </cell>
          <cell r="G769" t="str">
            <v>ja</v>
          </cell>
          <cell r="H769" t="str">
            <v>【超絶級】コルキス襲来</v>
          </cell>
        </row>
        <row r="770">
          <cell r="A770" t="str">
            <v>40027_2</v>
          </cell>
          <cell r="B770">
            <v>3</v>
          </cell>
          <cell r="C770">
            <v>40027</v>
          </cell>
          <cell r="D770" t="str">
            <v>コルキス襲来！</v>
          </cell>
          <cell r="E770" t="str">
            <v>降臨27</v>
          </cell>
          <cell r="F770">
            <v>2</v>
          </cell>
          <cell r="G770" t="str">
            <v>ja</v>
          </cell>
          <cell r="H770" t="str">
            <v>【ウィザード級】コルキス襲来</v>
          </cell>
        </row>
        <row r="771">
          <cell r="A771" t="str">
            <v>40028_1</v>
          </cell>
          <cell r="B771">
            <v>3</v>
          </cell>
          <cell r="C771">
            <v>40028</v>
          </cell>
          <cell r="D771" t="str">
            <v>ルピカ襲来！</v>
          </cell>
          <cell r="E771" t="str">
            <v>降臨28</v>
          </cell>
          <cell r="F771">
            <v>1</v>
          </cell>
          <cell r="G771" t="str">
            <v>ja</v>
          </cell>
          <cell r="H771" t="str">
            <v>【超絶級】ルピカ襲来</v>
          </cell>
        </row>
        <row r="772">
          <cell r="A772" t="str">
            <v>40028_2</v>
          </cell>
          <cell r="B772">
            <v>3</v>
          </cell>
          <cell r="C772">
            <v>40028</v>
          </cell>
          <cell r="D772" t="str">
            <v>ルピカ襲来！</v>
          </cell>
          <cell r="E772" t="str">
            <v>降臨28</v>
          </cell>
          <cell r="F772">
            <v>2</v>
          </cell>
          <cell r="G772" t="str">
            <v>ja</v>
          </cell>
          <cell r="H772" t="str">
            <v>【ウィザード級】ルピカ襲来</v>
          </cell>
        </row>
        <row r="773">
          <cell r="A773" t="str">
            <v>40029_1</v>
          </cell>
          <cell r="B773">
            <v>3</v>
          </cell>
          <cell r="C773">
            <v>40029</v>
          </cell>
          <cell r="D773" t="str">
            <v>カスケード襲来！</v>
          </cell>
          <cell r="E773" t="str">
            <v>降臨29</v>
          </cell>
          <cell r="F773">
            <v>1</v>
          </cell>
          <cell r="G773" t="str">
            <v>ja</v>
          </cell>
          <cell r="H773" t="str">
            <v>【超絶級】カスケード襲来</v>
          </cell>
        </row>
        <row r="774">
          <cell r="A774" t="str">
            <v>40029_2</v>
          </cell>
          <cell r="B774">
            <v>3</v>
          </cell>
          <cell r="C774">
            <v>40029</v>
          </cell>
          <cell r="D774" t="str">
            <v>カスケード襲来！</v>
          </cell>
          <cell r="E774" t="str">
            <v>降臨29</v>
          </cell>
          <cell r="F774">
            <v>2</v>
          </cell>
          <cell r="G774" t="str">
            <v>ja</v>
          </cell>
          <cell r="H774" t="str">
            <v>【ウィザード級】カスケード襲来</v>
          </cell>
        </row>
        <row r="775">
          <cell r="A775" t="str">
            <v>40030_1</v>
          </cell>
          <cell r="B775">
            <v>3</v>
          </cell>
          <cell r="C775">
            <v>40030</v>
          </cell>
          <cell r="D775" t="str">
            <v>エリス襲来！</v>
          </cell>
          <cell r="E775" t="str">
            <v>降臨30</v>
          </cell>
          <cell r="F775">
            <v>1</v>
          </cell>
          <cell r="G775" t="str">
            <v>ja</v>
          </cell>
          <cell r="H775" t="str">
            <v>【超絶級】エリス襲来</v>
          </cell>
        </row>
        <row r="776">
          <cell r="A776" t="str">
            <v>40030_2</v>
          </cell>
          <cell r="B776">
            <v>3</v>
          </cell>
          <cell r="C776">
            <v>40030</v>
          </cell>
          <cell r="D776" t="str">
            <v>エリス襲来！</v>
          </cell>
          <cell r="E776" t="str">
            <v>降臨30</v>
          </cell>
          <cell r="F776">
            <v>2</v>
          </cell>
          <cell r="G776" t="str">
            <v>ja</v>
          </cell>
          <cell r="H776" t="str">
            <v>【ウィザード級】エリス襲来</v>
          </cell>
        </row>
        <row r="777">
          <cell r="A777" t="str">
            <v>40031_1</v>
          </cell>
          <cell r="B777">
            <v>3</v>
          </cell>
          <cell r="C777">
            <v>40031</v>
          </cell>
          <cell r="D777" t="str">
            <v>董卓襲来！</v>
          </cell>
          <cell r="E777" t="str">
            <v>降臨31</v>
          </cell>
          <cell r="F777">
            <v>1</v>
          </cell>
          <cell r="G777" t="str">
            <v>ja</v>
          </cell>
          <cell r="H777" t="str">
            <v>【超絶級】董卓襲来</v>
          </cell>
        </row>
        <row r="778">
          <cell r="A778" t="str">
            <v>40031_2</v>
          </cell>
          <cell r="B778">
            <v>3</v>
          </cell>
          <cell r="C778">
            <v>40031</v>
          </cell>
          <cell r="D778" t="str">
            <v>董卓襲来！</v>
          </cell>
          <cell r="E778" t="str">
            <v>降臨31</v>
          </cell>
          <cell r="F778">
            <v>2</v>
          </cell>
          <cell r="G778" t="str">
            <v>ja</v>
          </cell>
          <cell r="H778" t="str">
            <v>【ウィザード級】董卓襲来</v>
          </cell>
        </row>
        <row r="779">
          <cell r="A779" t="str">
            <v>40032_1</v>
          </cell>
          <cell r="B779">
            <v>3</v>
          </cell>
          <cell r="C779">
            <v>40032</v>
          </cell>
          <cell r="D779" t="str">
            <v>貂蝉襲来！</v>
          </cell>
          <cell r="E779" t="str">
            <v>降臨32</v>
          </cell>
          <cell r="F779">
            <v>1</v>
          </cell>
          <cell r="G779" t="str">
            <v>ja</v>
          </cell>
          <cell r="H779" t="str">
            <v>【超絶級】貂蝉襲来</v>
          </cell>
        </row>
        <row r="780">
          <cell r="A780" t="str">
            <v>40032_2</v>
          </cell>
          <cell r="B780">
            <v>3</v>
          </cell>
          <cell r="C780">
            <v>40032</v>
          </cell>
          <cell r="D780" t="str">
            <v>貂蝉襲来！</v>
          </cell>
          <cell r="E780" t="str">
            <v>降臨32</v>
          </cell>
          <cell r="F780">
            <v>2</v>
          </cell>
          <cell r="G780" t="str">
            <v>ja</v>
          </cell>
          <cell r="H780" t="str">
            <v>【ウィザード級】貂蝉襲来</v>
          </cell>
        </row>
        <row r="781">
          <cell r="A781" t="str">
            <v>40033_1</v>
          </cell>
          <cell r="B781">
            <v>3</v>
          </cell>
          <cell r="C781">
            <v>40033</v>
          </cell>
          <cell r="D781" t="str">
            <v>アテナ襲来！</v>
          </cell>
          <cell r="E781" t="str">
            <v>降臨33</v>
          </cell>
          <cell r="F781">
            <v>1</v>
          </cell>
          <cell r="G781" t="str">
            <v>ja</v>
          </cell>
          <cell r="H781" t="str">
            <v>【超絶級】アテナ襲来</v>
          </cell>
        </row>
        <row r="782">
          <cell r="A782" t="str">
            <v>40033_2</v>
          </cell>
          <cell r="B782">
            <v>3</v>
          </cell>
          <cell r="C782">
            <v>40033</v>
          </cell>
          <cell r="D782" t="str">
            <v>アテナ襲来！</v>
          </cell>
          <cell r="E782" t="str">
            <v>降臨33</v>
          </cell>
          <cell r="F782">
            <v>2</v>
          </cell>
          <cell r="G782" t="str">
            <v>ja</v>
          </cell>
          <cell r="H782" t="str">
            <v>【ウィザード級】アテナ襲来</v>
          </cell>
        </row>
        <row r="783">
          <cell r="A783" t="str">
            <v>40034_1</v>
          </cell>
          <cell r="B783">
            <v>3</v>
          </cell>
          <cell r="C783">
            <v>40034</v>
          </cell>
          <cell r="D783" t="str">
            <v>カーリー襲来！</v>
          </cell>
          <cell r="E783" t="str">
            <v>降臨34</v>
          </cell>
          <cell r="F783">
            <v>1</v>
          </cell>
          <cell r="G783" t="str">
            <v>ja</v>
          </cell>
          <cell r="H783" t="str">
            <v>【超絶級】カーリー襲来</v>
          </cell>
        </row>
        <row r="784">
          <cell r="A784" t="str">
            <v>40034_2</v>
          </cell>
          <cell r="B784">
            <v>3</v>
          </cell>
          <cell r="C784">
            <v>40034</v>
          </cell>
          <cell r="D784" t="str">
            <v>カーリー襲来！</v>
          </cell>
          <cell r="E784" t="str">
            <v>降臨34</v>
          </cell>
          <cell r="F784">
            <v>2</v>
          </cell>
          <cell r="G784" t="str">
            <v>ja</v>
          </cell>
          <cell r="H784" t="str">
            <v>【ウィザード級】カーリー襲来</v>
          </cell>
        </row>
        <row r="785">
          <cell r="A785" t="str">
            <v>40035_1</v>
          </cell>
          <cell r="B785">
            <v>3</v>
          </cell>
          <cell r="C785">
            <v>40035</v>
          </cell>
          <cell r="D785" t="str">
            <v>ブラフマー襲来！</v>
          </cell>
          <cell r="E785" t="str">
            <v>降臨35</v>
          </cell>
          <cell r="F785">
            <v>1</v>
          </cell>
          <cell r="G785" t="str">
            <v>ja</v>
          </cell>
          <cell r="H785" t="str">
            <v>【超絶級】ブラフマー襲来</v>
          </cell>
        </row>
        <row r="786">
          <cell r="A786" t="str">
            <v>40035_2</v>
          </cell>
          <cell r="B786">
            <v>3</v>
          </cell>
          <cell r="C786">
            <v>40035</v>
          </cell>
          <cell r="D786" t="str">
            <v>ブラフマー襲来！</v>
          </cell>
          <cell r="E786" t="str">
            <v>降臨35</v>
          </cell>
          <cell r="F786">
            <v>2</v>
          </cell>
          <cell r="G786" t="str">
            <v>ja</v>
          </cell>
          <cell r="H786" t="str">
            <v>【ウィザード級】ブラフマー襲来</v>
          </cell>
        </row>
        <row r="787">
          <cell r="A787" t="str">
            <v>40036_1</v>
          </cell>
          <cell r="B787">
            <v>3</v>
          </cell>
          <cell r="C787">
            <v>40036</v>
          </cell>
          <cell r="D787" t="str">
            <v>ウラヌス襲来！</v>
          </cell>
          <cell r="E787" t="str">
            <v>降臨36</v>
          </cell>
          <cell r="F787">
            <v>1</v>
          </cell>
          <cell r="G787" t="str">
            <v>ja</v>
          </cell>
          <cell r="H787" t="str">
            <v>【超絶級】ウラヌス襲来</v>
          </cell>
        </row>
        <row r="788">
          <cell r="A788" t="str">
            <v>40036_2</v>
          </cell>
          <cell r="B788">
            <v>3</v>
          </cell>
          <cell r="C788">
            <v>40036</v>
          </cell>
          <cell r="D788" t="str">
            <v>ウラヌス襲来！</v>
          </cell>
          <cell r="E788" t="str">
            <v>降臨36</v>
          </cell>
          <cell r="F788">
            <v>2</v>
          </cell>
          <cell r="G788" t="str">
            <v>ja</v>
          </cell>
          <cell r="H788" t="str">
            <v>【ウィザード級】ウラヌス襲来</v>
          </cell>
        </row>
        <row r="789">
          <cell r="A789" t="str">
            <v>40037_1</v>
          </cell>
          <cell r="B789">
            <v>3</v>
          </cell>
          <cell r="C789">
            <v>40037</v>
          </cell>
          <cell r="D789" t="str">
            <v>デルピュネー襲来！</v>
          </cell>
          <cell r="E789" t="str">
            <v>降臨37</v>
          </cell>
          <cell r="F789">
            <v>1</v>
          </cell>
          <cell r="G789" t="str">
            <v>ja</v>
          </cell>
          <cell r="H789" t="str">
            <v>【超絶級】デルピュネー襲来</v>
          </cell>
        </row>
        <row r="790">
          <cell r="A790" t="str">
            <v>40037_2</v>
          </cell>
          <cell r="B790">
            <v>3</v>
          </cell>
          <cell r="C790">
            <v>40037</v>
          </cell>
          <cell r="D790" t="str">
            <v>デルピュネー襲来！</v>
          </cell>
          <cell r="E790" t="str">
            <v>降臨37</v>
          </cell>
          <cell r="F790">
            <v>2</v>
          </cell>
          <cell r="G790" t="str">
            <v>ja</v>
          </cell>
          <cell r="H790" t="str">
            <v>【ウィザード級】デルピュネー襲来</v>
          </cell>
        </row>
        <row r="791">
          <cell r="A791" t="str">
            <v>40038_1</v>
          </cell>
          <cell r="B791">
            <v>3</v>
          </cell>
          <cell r="C791">
            <v>40038</v>
          </cell>
          <cell r="D791" t="str">
            <v>太宰治襲来！</v>
          </cell>
          <cell r="E791" t="str">
            <v>降臨38</v>
          </cell>
          <cell r="F791">
            <v>1</v>
          </cell>
          <cell r="G791" t="str">
            <v>ja</v>
          </cell>
          <cell r="H791" t="str">
            <v>【超絶級】太宰治襲来</v>
          </cell>
        </row>
        <row r="792">
          <cell r="A792" t="str">
            <v>40038_2</v>
          </cell>
          <cell r="B792">
            <v>3</v>
          </cell>
          <cell r="C792">
            <v>40038</v>
          </cell>
          <cell r="D792" t="str">
            <v>太宰治襲来！</v>
          </cell>
          <cell r="E792" t="str">
            <v>降臨38</v>
          </cell>
          <cell r="F792">
            <v>2</v>
          </cell>
          <cell r="G792" t="str">
            <v>ja</v>
          </cell>
          <cell r="H792" t="str">
            <v>【ウィザード級】太宰治襲来</v>
          </cell>
        </row>
        <row r="793">
          <cell r="A793" t="str">
            <v>40039_1</v>
          </cell>
          <cell r="B793">
            <v>3</v>
          </cell>
          <cell r="C793">
            <v>40039</v>
          </cell>
          <cell r="D793" t="str">
            <v>シェイクスピア襲来！</v>
          </cell>
          <cell r="E793" t="str">
            <v>降臨39</v>
          </cell>
          <cell r="F793">
            <v>1</v>
          </cell>
          <cell r="G793" t="str">
            <v>ja</v>
          </cell>
          <cell r="H793" t="str">
            <v>【超絶級】シェイクスピア襲来</v>
          </cell>
        </row>
        <row r="794">
          <cell r="A794" t="str">
            <v>40039_2</v>
          </cell>
          <cell r="B794">
            <v>3</v>
          </cell>
          <cell r="C794">
            <v>40039</v>
          </cell>
          <cell r="D794" t="str">
            <v>シェイクスピア襲来！</v>
          </cell>
          <cell r="E794" t="str">
            <v>降臨39</v>
          </cell>
          <cell r="F794">
            <v>2</v>
          </cell>
          <cell r="G794" t="str">
            <v>ja</v>
          </cell>
          <cell r="H794" t="str">
            <v>【ウィザード級】シェイクスピア襲来</v>
          </cell>
        </row>
        <row r="795">
          <cell r="A795" t="str">
            <v>40040_1</v>
          </cell>
          <cell r="B795">
            <v>3</v>
          </cell>
          <cell r="C795">
            <v>40040</v>
          </cell>
          <cell r="D795" t="str">
            <v>竹中半兵衛襲来！</v>
          </cell>
          <cell r="E795" t="str">
            <v>降臨40</v>
          </cell>
          <cell r="F795">
            <v>1</v>
          </cell>
          <cell r="G795" t="str">
            <v>ja</v>
          </cell>
          <cell r="H795" t="str">
            <v>【超絶級】竹中半兵衛襲来</v>
          </cell>
        </row>
        <row r="796">
          <cell r="A796" t="str">
            <v>40040_2</v>
          </cell>
          <cell r="B796">
            <v>3</v>
          </cell>
          <cell r="C796">
            <v>40040</v>
          </cell>
          <cell r="D796" t="str">
            <v>竹中半兵衛襲来！</v>
          </cell>
          <cell r="E796" t="str">
            <v>降臨40</v>
          </cell>
          <cell r="F796">
            <v>2</v>
          </cell>
          <cell r="G796" t="str">
            <v>ja</v>
          </cell>
          <cell r="H796" t="str">
            <v>【ウィザード級】竹中半兵衛襲来</v>
          </cell>
        </row>
        <row r="797">
          <cell r="A797" t="str">
            <v>40041_1</v>
          </cell>
          <cell r="B797">
            <v>3</v>
          </cell>
          <cell r="C797">
            <v>40041</v>
          </cell>
          <cell r="D797" t="str">
            <v>ポーラとダニー襲来！</v>
          </cell>
          <cell r="E797" t="str">
            <v>降臨41</v>
          </cell>
          <cell r="F797">
            <v>1</v>
          </cell>
          <cell r="G797" t="str">
            <v>ja</v>
          </cell>
          <cell r="H797" t="str">
            <v>【超絶級】ポーラとダニー襲来</v>
          </cell>
        </row>
        <row r="798">
          <cell r="A798" t="str">
            <v>40041_2</v>
          </cell>
          <cell r="B798">
            <v>3</v>
          </cell>
          <cell r="C798">
            <v>40041</v>
          </cell>
          <cell r="D798" t="str">
            <v>ポーラとダニー襲来！</v>
          </cell>
          <cell r="E798" t="str">
            <v>降臨41</v>
          </cell>
          <cell r="F798">
            <v>2</v>
          </cell>
          <cell r="G798" t="str">
            <v>ja</v>
          </cell>
          <cell r="H798" t="str">
            <v>【ｳｨｻﾞ】ポーラとダニー襲来</v>
          </cell>
        </row>
        <row r="799">
          <cell r="A799" t="str">
            <v>40042_1</v>
          </cell>
          <cell r="B799">
            <v>3</v>
          </cell>
          <cell r="C799">
            <v>40042</v>
          </cell>
          <cell r="D799" t="str">
            <v>ヘル襲来！</v>
          </cell>
          <cell r="E799" t="str">
            <v>降臨42</v>
          </cell>
          <cell r="F799">
            <v>1</v>
          </cell>
          <cell r="G799" t="str">
            <v>ja</v>
          </cell>
          <cell r="H799" t="str">
            <v>【超絶級】ヘル襲来</v>
          </cell>
        </row>
        <row r="800">
          <cell r="A800" t="str">
            <v>40042_2</v>
          </cell>
          <cell r="B800">
            <v>3</v>
          </cell>
          <cell r="C800">
            <v>40042</v>
          </cell>
          <cell r="D800" t="str">
            <v>ヘル襲来！</v>
          </cell>
          <cell r="E800" t="str">
            <v>降臨42</v>
          </cell>
          <cell r="F800">
            <v>2</v>
          </cell>
          <cell r="G800" t="str">
            <v>ja</v>
          </cell>
          <cell r="H800" t="str">
            <v>【ウィザード級】ヘル襲来</v>
          </cell>
        </row>
        <row r="801">
          <cell r="A801" t="str">
            <v>40043_1</v>
          </cell>
          <cell r="B801">
            <v>3</v>
          </cell>
          <cell r="C801">
            <v>40043</v>
          </cell>
          <cell r="D801" t="str">
            <v>ワカヒルメ襲来！</v>
          </cell>
          <cell r="E801" t="str">
            <v>降臨43</v>
          </cell>
          <cell r="F801">
            <v>1</v>
          </cell>
          <cell r="G801" t="str">
            <v>ja</v>
          </cell>
          <cell r="H801" t="str">
            <v>【超絶級】ワカヒルメ襲来</v>
          </cell>
        </row>
        <row r="802">
          <cell r="A802" t="str">
            <v>40043_2</v>
          </cell>
          <cell r="B802">
            <v>3</v>
          </cell>
          <cell r="C802">
            <v>40043</v>
          </cell>
          <cell r="D802" t="str">
            <v>ワカヒルメ襲来！</v>
          </cell>
          <cell r="E802" t="str">
            <v>降臨43</v>
          </cell>
          <cell r="F802">
            <v>2</v>
          </cell>
          <cell r="G802" t="str">
            <v>ja</v>
          </cell>
          <cell r="H802" t="str">
            <v>【ウィザード級】ワカヒルメ襲来</v>
          </cell>
        </row>
        <row r="803">
          <cell r="A803" t="str">
            <v>40044_1</v>
          </cell>
          <cell r="B803">
            <v>3</v>
          </cell>
          <cell r="C803">
            <v>40044</v>
          </cell>
          <cell r="D803" t="str">
            <v>ジキル&amp;ハイド襲来！</v>
          </cell>
          <cell r="E803" t="str">
            <v>降臨44</v>
          </cell>
          <cell r="F803">
            <v>1</v>
          </cell>
          <cell r="G803" t="str">
            <v>ja</v>
          </cell>
          <cell r="H803" t="str">
            <v>【超絶級】ジキル&amp;ハイド襲来</v>
          </cell>
        </row>
        <row r="804">
          <cell r="A804" t="str">
            <v>40044_2</v>
          </cell>
          <cell r="B804">
            <v>3</v>
          </cell>
          <cell r="C804">
            <v>40044</v>
          </cell>
          <cell r="D804" t="str">
            <v>ジキル&amp;ハイド襲来！</v>
          </cell>
          <cell r="E804" t="str">
            <v>降臨44</v>
          </cell>
          <cell r="F804">
            <v>2</v>
          </cell>
          <cell r="G804" t="str">
            <v>ja</v>
          </cell>
          <cell r="H804" t="str">
            <v>【ウィザード級】ジキル&amp;ハイド襲来</v>
          </cell>
        </row>
        <row r="805">
          <cell r="A805" t="str">
            <v>40045_1</v>
          </cell>
          <cell r="B805">
            <v>3</v>
          </cell>
          <cell r="C805">
            <v>40045</v>
          </cell>
          <cell r="D805" t="str">
            <v>服部半蔵襲来！</v>
          </cell>
          <cell r="E805" t="str">
            <v>降臨45</v>
          </cell>
          <cell r="F805">
            <v>1</v>
          </cell>
          <cell r="G805" t="str">
            <v>ja</v>
          </cell>
          <cell r="H805" t="str">
            <v>【超絶級】服部半蔵襲来</v>
          </cell>
        </row>
        <row r="806">
          <cell r="A806" t="str">
            <v>40045_2</v>
          </cell>
          <cell r="B806">
            <v>3</v>
          </cell>
          <cell r="C806">
            <v>40045</v>
          </cell>
          <cell r="D806" t="str">
            <v>服部半蔵襲来！</v>
          </cell>
          <cell r="E806" t="str">
            <v>降臨45</v>
          </cell>
          <cell r="F806">
            <v>2</v>
          </cell>
          <cell r="G806" t="str">
            <v>ja</v>
          </cell>
          <cell r="H806" t="str">
            <v>【ウィザード級】服部半蔵襲来</v>
          </cell>
        </row>
        <row r="807">
          <cell r="A807" t="str">
            <v>40046_1</v>
          </cell>
          <cell r="B807">
            <v>3</v>
          </cell>
          <cell r="C807">
            <v>40046</v>
          </cell>
          <cell r="D807" t="str">
            <v>ゼノビア襲来！</v>
          </cell>
          <cell r="E807" t="str">
            <v>降臨46</v>
          </cell>
          <cell r="F807">
            <v>1</v>
          </cell>
          <cell r="G807" t="str">
            <v>ja</v>
          </cell>
          <cell r="H807" t="str">
            <v>【超絶級】ゼノビア襲来</v>
          </cell>
        </row>
        <row r="808">
          <cell r="A808" t="str">
            <v>40046_2</v>
          </cell>
          <cell r="B808">
            <v>3</v>
          </cell>
          <cell r="C808">
            <v>40046</v>
          </cell>
          <cell r="D808" t="str">
            <v>ゼノビア襲来！</v>
          </cell>
          <cell r="E808" t="str">
            <v>降臨46</v>
          </cell>
          <cell r="F808">
            <v>2</v>
          </cell>
          <cell r="G808" t="str">
            <v>ja</v>
          </cell>
          <cell r="H808" t="str">
            <v>【ウィザード級】ゼノビア襲来</v>
          </cell>
        </row>
        <row r="809">
          <cell r="A809" t="str">
            <v>41001_1</v>
          </cell>
          <cell r="B809">
            <v>3</v>
          </cell>
          <cell r="C809">
            <v>41001</v>
          </cell>
          <cell r="D809" t="str">
            <v>アマテラス襲来！</v>
          </cell>
          <cell r="E809" t="str">
            <v>降臨1</v>
          </cell>
          <cell r="F809">
            <v>1</v>
          </cell>
          <cell r="G809" t="str">
            <v>ja</v>
          </cell>
          <cell r="H809" t="str">
            <v>【超絶級】アマテラス襲来</v>
          </cell>
        </row>
        <row r="810">
          <cell r="A810" t="str">
            <v>41001_2</v>
          </cell>
          <cell r="B810">
            <v>3</v>
          </cell>
          <cell r="C810">
            <v>41001</v>
          </cell>
          <cell r="D810" t="str">
            <v>アマテラス襲来！</v>
          </cell>
          <cell r="E810" t="str">
            <v>降臨1</v>
          </cell>
          <cell r="F810">
            <v>2</v>
          </cell>
          <cell r="G810" t="str">
            <v>ja</v>
          </cell>
          <cell r="H810" t="str">
            <v>【ウィザード級】アマテラス襲来</v>
          </cell>
        </row>
        <row r="811">
          <cell r="A811" t="str">
            <v>41001_3</v>
          </cell>
          <cell r="B811">
            <v>1</v>
          </cell>
          <cell r="C811">
            <v>41001</v>
          </cell>
          <cell r="D811" t="str">
            <v>アマテラス襲来！</v>
          </cell>
          <cell r="E811" t="str">
            <v>降臨1</v>
          </cell>
          <cell r="F811">
            <v>3</v>
          </cell>
          <cell r="G811" t="str">
            <v>ja</v>
          </cell>
          <cell r="H811" t="str">
            <v>【ノーコンテニュー】アマテラス襲来</v>
          </cell>
        </row>
        <row r="812">
          <cell r="A812" t="str">
            <v>41002_1</v>
          </cell>
          <cell r="B812">
            <v>3</v>
          </cell>
          <cell r="C812">
            <v>41002</v>
          </cell>
          <cell r="D812" t="str">
            <v>アザゼル襲来！</v>
          </cell>
          <cell r="E812" t="str">
            <v>降臨1</v>
          </cell>
          <cell r="F812">
            <v>1</v>
          </cell>
          <cell r="G812" t="str">
            <v>ja</v>
          </cell>
          <cell r="H812" t="str">
            <v>【超絶級】アザゼル襲来</v>
          </cell>
        </row>
        <row r="813">
          <cell r="A813" t="str">
            <v>41002_2</v>
          </cell>
          <cell r="B813">
            <v>3</v>
          </cell>
          <cell r="C813">
            <v>41002</v>
          </cell>
          <cell r="D813" t="str">
            <v>アザゼル襲来！</v>
          </cell>
          <cell r="E813" t="str">
            <v>降臨1</v>
          </cell>
          <cell r="F813">
            <v>2</v>
          </cell>
          <cell r="G813" t="str">
            <v>ja</v>
          </cell>
          <cell r="H813" t="str">
            <v>【ウィザード級】アザゼル襲来</v>
          </cell>
        </row>
        <row r="814">
          <cell r="A814" t="str">
            <v>41002_3</v>
          </cell>
          <cell r="B814">
            <v>1</v>
          </cell>
          <cell r="C814">
            <v>41002</v>
          </cell>
          <cell r="D814" t="str">
            <v>アザゼル襲来！</v>
          </cell>
          <cell r="E814" t="str">
            <v>降臨1</v>
          </cell>
          <cell r="F814">
            <v>3</v>
          </cell>
          <cell r="G814" t="str">
            <v>ja</v>
          </cell>
          <cell r="H814" t="str">
            <v>【ノーコンテニュー】アザゼル襲来</v>
          </cell>
        </row>
        <row r="815">
          <cell r="A815" t="str">
            <v>41003_1</v>
          </cell>
          <cell r="B815">
            <v>3</v>
          </cell>
          <cell r="C815">
            <v>41003</v>
          </cell>
          <cell r="D815" t="str">
            <v>ジャンヌ襲来！</v>
          </cell>
          <cell r="E815" t="str">
            <v>降臨1</v>
          </cell>
          <cell r="F815">
            <v>1</v>
          </cell>
          <cell r="G815" t="str">
            <v>ja</v>
          </cell>
          <cell r="H815" t="str">
            <v>【超絶級】ジャンヌ襲来</v>
          </cell>
        </row>
        <row r="816">
          <cell r="A816" t="str">
            <v>41003_2</v>
          </cell>
          <cell r="B816">
            <v>3</v>
          </cell>
          <cell r="C816">
            <v>41003</v>
          </cell>
          <cell r="D816" t="str">
            <v>ジャンヌ襲来！</v>
          </cell>
          <cell r="E816" t="str">
            <v>降臨1</v>
          </cell>
          <cell r="F816">
            <v>2</v>
          </cell>
          <cell r="G816" t="str">
            <v>ja</v>
          </cell>
          <cell r="H816" t="str">
            <v>【ウィザード級】ジャンヌ襲来</v>
          </cell>
        </row>
        <row r="817">
          <cell r="A817" t="str">
            <v>41003_3</v>
          </cell>
          <cell r="B817">
            <v>1</v>
          </cell>
          <cell r="C817">
            <v>41003</v>
          </cell>
          <cell r="D817" t="str">
            <v>ジャンヌ襲来！</v>
          </cell>
          <cell r="E817" t="str">
            <v>降臨1</v>
          </cell>
          <cell r="F817">
            <v>3</v>
          </cell>
          <cell r="G817" t="str">
            <v>ja</v>
          </cell>
          <cell r="H817" t="str">
            <v>【ノーコンテニュー】ジャンヌ襲来</v>
          </cell>
        </row>
        <row r="818">
          <cell r="A818" t="str">
            <v>41004_1</v>
          </cell>
          <cell r="B818">
            <v>3</v>
          </cell>
          <cell r="C818">
            <v>41004</v>
          </cell>
          <cell r="D818" t="str">
            <v>宮本武蔵襲来！</v>
          </cell>
          <cell r="E818" t="str">
            <v>降臨1</v>
          </cell>
          <cell r="F818">
            <v>1</v>
          </cell>
          <cell r="G818" t="str">
            <v>ja</v>
          </cell>
          <cell r="H818" t="str">
            <v>【超絶級】宮本武蔵襲来</v>
          </cell>
        </row>
        <row r="819">
          <cell r="A819" t="str">
            <v>41004_2</v>
          </cell>
          <cell r="B819">
            <v>3</v>
          </cell>
          <cell r="C819">
            <v>41004</v>
          </cell>
          <cell r="D819" t="str">
            <v>宮本武蔵襲来！</v>
          </cell>
          <cell r="E819" t="str">
            <v>降臨1</v>
          </cell>
          <cell r="F819">
            <v>2</v>
          </cell>
          <cell r="G819" t="str">
            <v>ja</v>
          </cell>
          <cell r="H819" t="str">
            <v>【ウィザード級】宮本武蔵襲来</v>
          </cell>
        </row>
        <row r="820">
          <cell r="A820" t="str">
            <v>41004_3</v>
          </cell>
          <cell r="B820">
            <v>1</v>
          </cell>
          <cell r="C820">
            <v>41004</v>
          </cell>
          <cell r="D820" t="str">
            <v>宮本武蔵襲来！</v>
          </cell>
          <cell r="E820" t="str">
            <v>降臨1</v>
          </cell>
          <cell r="F820">
            <v>3</v>
          </cell>
          <cell r="G820" t="str">
            <v>ja</v>
          </cell>
          <cell r="H820" t="str">
            <v>【ノーコンテニュー】宮本武蔵襲来</v>
          </cell>
        </row>
        <row r="821">
          <cell r="A821" t="str">
            <v>41005_1</v>
          </cell>
          <cell r="B821">
            <v>3</v>
          </cell>
          <cell r="C821">
            <v>41005</v>
          </cell>
          <cell r="D821" t="str">
            <v>オズ襲来！</v>
          </cell>
          <cell r="E821" t="str">
            <v>降臨1</v>
          </cell>
          <cell r="F821">
            <v>1</v>
          </cell>
          <cell r="G821" t="str">
            <v>ja</v>
          </cell>
          <cell r="H821" t="str">
            <v>【超絶級】オズ襲来</v>
          </cell>
        </row>
        <row r="822">
          <cell r="A822" t="str">
            <v>41005_2</v>
          </cell>
          <cell r="B822">
            <v>3</v>
          </cell>
          <cell r="C822">
            <v>41005</v>
          </cell>
          <cell r="D822" t="str">
            <v>オズ襲来！</v>
          </cell>
          <cell r="E822" t="str">
            <v>降臨1</v>
          </cell>
          <cell r="F822">
            <v>2</v>
          </cell>
          <cell r="G822" t="str">
            <v>ja</v>
          </cell>
          <cell r="H822" t="str">
            <v>【ウィザード級】オズ襲来</v>
          </cell>
        </row>
        <row r="823">
          <cell r="A823" t="str">
            <v>41005_3</v>
          </cell>
          <cell r="B823">
            <v>1</v>
          </cell>
          <cell r="C823">
            <v>41005</v>
          </cell>
          <cell r="D823" t="str">
            <v>オズ襲来！</v>
          </cell>
          <cell r="E823" t="str">
            <v>降臨1</v>
          </cell>
          <cell r="F823">
            <v>3</v>
          </cell>
          <cell r="G823" t="str">
            <v>ja</v>
          </cell>
          <cell r="H823" t="str">
            <v>【ノーコンテニュー】オズ襲来</v>
          </cell>
        </row>
        <row r="824">
          <cell r="A824" t="str">
            <v>41006_1</v>
          </cell>
          <cell r="B824">
            <v>3</v>
          </cell>
          <cell r="C824">
            <v>41006</v>
          </cell>
          <cell r="D824" t="str">
            <v>アーサー襲来！</v>
          </cell>
          <cell r="E824" t="str">
            <v>降臨1</v>
          </cell>
          <cell r="F824">
            <v>1</v>
          </cell>
          <cell r="G824" t="str">
            <v>ja</v>
          </cell>
          <cell r="H824" t="str">
            <v>【超絶級】アーサー襲来</v>
          </cell>
        </row>
        <row r="825">
          <cell r="A825" t="str">
            <v>41006_2</v>
          </cell>
          <cell r="B825">
            <v>3</v>
          </cell>
          <cell r="C825">
            <v>41006</v>
          </cell>
          <cell r="D825" t="str">
            <v>アーサー襲来！</v>
          </cell>
          <cell r="E825" t="str">
            <v>降臨1</v>
          </cell>
          <cell r="F825">
            <v>2</v>
          </cell>
          <cell r="G825" t="str">
            <v>ja</v>
          </cell>
          <cell r="H825" t="str">
            <v>【ウィザード級】アーサー襲来</v>
          </cell>
        </row>
        <row r="826">
          <cell r="A826" t="str">
            <v>41006_3</v>
          </cell>
          <cell r="B826">
            <v>1</v>
          </cell>
          <cell r="C826">
            <v>41006</v>
          </cell>
          <cell r="D826" t="str">
            <v>アーサー襲来！</v>
          </cell>
          <cell r="E826" t="str">
            <v>降臨1</v>
          </cell>
          <cell r="F826">
            <v>3</v>
          </cell>
          <cell r="G826" t="str">
            <v>ja</v>
          </cell>
          <cell r="H826" t="str">
            <v>【ノーコンテニュー】アーサー襲来</v>
          </cell>
        </row>
        <row r="827">
          <cell r="A827" t="str">
            <v>41007_1</v>
          </cell>
          <cell r="B827">
            <v>3</v>
          </cell>
          <cell r="C827">
            <v>41007</v>
          </cell>
          <cell r="D827" t="str">
            <v>グリム襲来！</v>
          </cell>
          <cell r="E827" t="str">
            <v>降臨1</v>
          </cell>
          <cell r="F827">
            <v>1</v>
          </cell>
          <cell r="G827" t="str">
            <v>ja</v>
          </cell>
          <cell r="H827" t="str">
            <v>【超絶級】グリム襲来</v>
          </cell>
        </row>
        <row r="828">
          <cell r="A828" t="str">
            <v>41007_2</v>
          </cell>
          <cell r="B828">
            <v>3</v>
          </cell>
          <cell r="C828">
            <v>41007</v>
          </cell>
          <cell r="D828" t="str">
            <v>グリム襲来！</v>
          </cell>
          <cell r="E828" t="str">
            <v>降臨1</v>
          </cell>
          <cell r="F828">
            <v>2</v>
          </cell>
          <cell r="G828" t="str">
            <v>ja</v>
          </cell>
          <cell r="H828" t="str">
            <v>【ウィザード級】グリム襲来</v>
          </cell>
        </row>
        <row r="829">
          <cell r="A829" t="str">
            <v>41007_3</v>
          </cell>
          <cell r="B829">
            <v>1</v>
          </cell>
          <cell r="C829">
            <v>41007</v>
          </cell>
          <cell r="D829" t="str">
            <v>グリム襲来！</v>
          </cell>
          <cell r="E829" t="str">
            <v>降臨1</v>
          </cell>
          <cell r="F829">
            <v>3</v>
          </cell>
          <cell r="G829" t="str">
            <v>ja</v>
          </cell>
          <cell r="H829" t="str">
            <v>【ノーコンテニュー】グリム襲来</v>
          </cell>
        </row>
        <row r="830">
          <cell r="A830" t="str">
            <v>41008_1</v>
          </cell>
          <cell r="B830">
            <v>3</v>
          </cell>
          <cell r="C830">
            <v>41008</v>
          </cell>
          <cell r="D830" t="str">
            <v>Gスター襲来！</v>
          </cell>
          <cell r="E830" t="str">
            <v>降臨1</v>
          </cell>
          <cell r="F830">
            <v>1</v>
          </cell>
          <cell r="G830" t="str">
            <v>ja</v>
          </cell>
          <cell r="H830" t="str">
            <v>【超絶級】Gスター襲来</v>
          </cell>
        </row>
        <row r="831">
          <cell r="A831" t="str">
            <v>41008_2</v>
          </cell>
          <cell r="B831">
            <v>3</v>
          </cell>
          <cell r="C831">
            <v>41008</v>
          </cell>
          <cell r="D831" t="str">
            <v>Gスター襲来！</v>
          </cell>
          <cell r="E831" t="str">
            <v>降臨1</v>
          </cell>
          <cell r="F831">
            <v>2</v>
          </cell>
          <cell r="G831" t="str">
            <v>ja</v>
          </cell>
          <cell r="H831" t="str">
            <v>【ウィザード級】Gスター襲来</v>
          </cell>
        </row>
        <row r="832">
          <cell r="A832" t="str">
            <v>41008_3</v>
          </cell>
          <cell r="B832">
            <v>1</v>
          </cell>
          <cell r="C832">
            <v>41008</v>
          </cell>
          <cell r="D832" t="str">
            <v>Gスター襲来！</v>
          </cell>
          <cell r="E832" t="str">
            <v>降臨1</v>
          </cell>
          <cell r="F832">
            <v>3</v>
          </cell>
          <cell r="G832" t="str">
            <v>ja</v>
          </cell>
          <cell r="H832" t="str">
            <v>【ノーコンテニュー】Gスター襲来</v>
          </cell>
        </row>
        <row r="833">
          <cell r="A833" t="str">
            <v>41009_1</v>
          </cell>
          <cell r="B833">
            <v>3</v>
          </cell>
          <cell r="C833">
            <v>41009</v>
          </cell>
          <cell r="D833" t="str">
            <v>フギンとムニン襲来！</v>
          </cell>
          <cell r="E833" t="str">
            <v>降臨1</v>
          </cell>
          <cell r="F833">
            <v>1</v>
          </cell>
          <cell r="G833" t="str">
            <v>ja</v>
          </cell>
          <cell r="H833" t="str">
            <v>【超絶級】フギンとムニン襲来</v>
          </cell>
        </row>
        <row r="834">
          <cell r="A834" t="str">
            <v>41009_2</v>
          </cell>
          <cell r="B834">
            <v>3</v>
          </cell>
          <cell r="C834">
            <v>41009</v>
          </cell>
          <cell r="D834" t="str">
            <v>フギンとムニン襲来！</v>
          </cell>
          <cell r="E834" t="str">
            <v>降臨1</v>
          </cell>
          <cell r="F834">
            <v>2</v>
          </cell>
          <cell r="G834" t="str">
            <v>ja</v>
          </cell>
          <cell r="H834" t="str">
            <v>【ウィザード級】フギンとムニン襲来</v>
          </cell>
        </row>
        <row r="835">
          <cell r="A835" t="str">
            <v>41009_3</v>
          </cell>
          <cell r="B835">
            <v>1</v>
          </cell>
          <cell r="C835">
            <v>41009</v>
          </cell>
          <cell r="D835" t="str">
            <v>フギンとムニン襲来！</v>
          </cell>
          <cell r="E835" t="str">
            <v>降臨1</v>
          </cell>
          <cell r="F835">
            <v>3</v>
          </cell>
          <cell r="G835" t="str">
            <v>ja</v>
          </cell>
          <cell r="H835" t="str">
            <v>【ノーコンテニュー】フギンとムニン襲来</v>
          </cell>
        </row>
        <row r="836">
          <cell r="A836" t="str">
            <v>41010_1</v>
          </cell>
          <cell r="B836">
            <v>3</v>
          </cell>
          <cell r="C836">
            <v>41010</v>
          </cell>
          <cell r="D836" t="str">
            <v>フレイ襲来！</v>
          </cell>
          <cell r="E836" t="str">
            <v>降臨1</v>
          </cell>
          <cell r="F836">
            <v>1</v>
          </cell>
          <cell r="G836" t="str">
            <v>ja</v>
          </cell>
          <cell r="H836" t="str">
            <v>【超絶級】フレイ襲来</v>
          </cell>
        </row>
        <row r="837">
          <cell r="A837" t="str">
            <v>41010_2</v>
          </cell>
          <cell r="B837">
            <v>3</v>
          </cell>
          <cell r="C837">
            <v>41010</v>
          </cell>
          <cell r="D837" t="str">
            <v>フレイ襲来！</v>
          </cell>
          <cell r="E837" t="str">
            <v>降臨1</v>
          </cell>
          <cell r="F837">
            <v>2</v>
          </cell>
          <cell r="G837" t="str">
            <v>ja</v>
          </cell>
          <cell r="H837" t="str">
            <v>【ウィザード級】フレイ襲来</v>
          </cell>
        </row>
        <row r="838">
          <cell r="A838" t="str">
            <v>41010_3</v>
          </cell>
          <cell r="B838">
            <v>1</v>
          </cell>
          <cell r="C838">
            <v>41010</v>
          </cell>
          <cell r="D838" t="str">
            <v>フレイ襲来！</v>
          </cell>
          <cell r="E838" t="str">
            <v>降臨1</v>
          </cell>
          <cell r="F838">
            <v>3</v>
          </cell>
          <cell r="G838" t="str">
            <v>ja</v>
          </cell>
          <cell r="H838" t="str">
            <v>【ノーコンテニュー】フレイ襲来</v>
          </cell>
        </row>
        <row r="839">
          <cell r="A839" t="str">
            <v>41011_1</v>
          </cell>
          <cell r="B839">
            <v>3</v>
          </cell>
          <cell r="C839">
            <v>41011</v>
          </cell>
          <cell r="D839" t="str">
            <v>ヨミ襲来！</v>
          </cell>
          <cell r="E839" t="str">
            <v>降臨1</v>
          </cell>
          <cell r="F839">
            <v>1</v>
          </cell>
          <cell r="G839" t="str">
            <v>ja</v>
          </cell>
          <cell r="H839" t="str">
            <v>【超絶級】ヨミ襲来</v>
          </cell>
        </row>
        <row r="840">
          <cell r="A840" t="str">
            <v>41011_2</v>
          </cell>
          <cell r="B840">
            <v>3</v>
          </cell>
          <cell r="C840">
            <v>41011</v>
          </cell>
          <cell r="D840" t="str">
            <v>ヨミ襲来！</v>
          </cell>
          <cell r="E840" t="str">
            <v>降臨1</v>
          </cell>
          <cell r="F840">
            <v>2</v>
          </cell>
          <cell r="G840" t="str">
            <v>ja</v>
          </cell>
          <cell r="H840" t="str">
            <v>【ウィザード級】ヨミ襲来</v>
          </cell>
        </row>
        <row r="841">
          <cell r="A841" t="str">
            <v>41012_1</v>
          </cell>
          <cell r="B841">
            <v>3</v>
          </cell>
          <cell r="C841">
            <v>41012</v>
          </cell>
          <cell r="D841" t="str">
            <v>ショウキ襲来！</v>
          </cell>
          <cell r="E841" t="str">
            <v>降臨1</v>
          </cell>
          <cell r="F841">
            <v>1</v>
          </cell>
          <cell r="G841" t="str">
            <v>ja</v>
          </cell>
          <cell r="H841" t="str">
            <v>【超絶級】ショウキ襲来</v>
          </cell>
        </row>
        <row r="842">
          <cell r="A842" t="str">
            <v>41012_2</v>
          </cell>
          <cell r="B842">
            <v>3</v>
          </cell>
          <cell r="C842">
            <v>41012</v>
          </cell>
          <cell r="D842" t="str">
            <v>ショウキ襲来！</v>
          </cell>
          <cell r="E842" t="str">
            <v>降臨1</v>
          </cell>
          <cell r="F842">
            <v>2</v>
          </cell>
          <cell r="G842" t="str">
            <v>ja</v>
          </cell>
          <cell r="H842" t="str">
            <v>【ウィザード級】ショウキ襲来</v>
          </cell>
        </row>
        <row r="843">
          <cell r="A843" t="str">
            <v>41013_1</v>
          </cell>
          <cell r="B843">
            <v>3</v>
          </cell>
          <cell r="C843">
            <v>41013</v>
          </cell>
          <cell r="D843" t="str">
            <v>カーマ襲来！</v>
          </cell>
          <cell r="E843" t="str">
            <v>降臨1</v>
          </cell>
          <cell r="F843">
            <v>1</v>
          </cell>
          <cell r="G843" t="str">
            <v>ja</v>
          </cell>
          <cell r="H843" t="str">
            <v>【超絶級】カーマ襲来</v>
          </cell>
        </row>
        <row r="844">
          <cell r="A844" t="str">
            <v>41013_2</v>
          </cell>
          <cell r="B844">
            <v>3</v>
          </cell>
          <cell r="C844">
            <v>41013</v>
          </cell>
          <cell r="D844" t="str">
            <v>カーマ襲来！</v>
          </cell>
          <cell r="E844" t="str">
            <v>降臨1</v>
          </cell>
          <cell r="F844">
            <v>2</v>
          </cell>
          <cell r="G844" t="str">
            <v>ja</v>
          </cell>
          <cell r="H844" t="str">
            <v>【ウィザード級】カーマ襲来</v>
          </cell>
        </row>
        <row r="845">
          <cell r="A845" t="str">
            <v>41014_1</v>
          </cell>
          <cell r="B845">
            <v>3</v>
          </cell>
          <cell r="C845">
            <v>41014</v>
          </cell>
          <cell r="D845" t="str">
            <v>シヴァ襲来！</v>
          </cell>
          <cell r="E845" t="str">
            <v>降臨1</v>
          </cell>
          <cell r="F845">
            <v>1</v>
          </cell>
          <cell r="G845" t="str">
            <v>ja</v>
          </cell>
          <cell r="H845" t="str">
            <v>【超絶級】シヴァ襲来</v>
          </cell>
        </row>
        <row r="846">
          <cell r="A846" t="str">
            <v>41014_2</v>
          </cell>
          <cell r="B846">
            <v>3</v>
          </cell>
          <cell r="C846">
            <v>41014</v>
          </cell>
          <cell r="D846" t="str">
            <v>シヴァ襲来！</v>
          </cell>
          <cell r="E846" t="str">
            <v>降臨1</v>
          </cell>
          <cell r="F846">
            <v>2</v>
          </cell>
          <cell r="G846" t="str">
            <v>ja</v>
          </cell>
          <cell r="H846" t="str">
            <v>【ウィザード級】シヴァ襲来</v>
          </cell>
        </row>
        <row r="847">
          <cell r="A847" t="str">
            <v>41015_1</v>
          </cell>
          <cell r="B847">
            <v>3</v>
          </cell>
          <cell r="C847">
            <v>41015</v>
          </cell>
          <cell r="D847" t="str">
            <v>ガレス襲来！</v>
          </cell>
          <cell r="E847" t="str">
            <v>降臨1</v>
          </cell>
          <cell r="F847">
            <v>1</v>
          </cell>
          <cell r="G847" t="str">
            <v>ja</v>
          </cell>
          <cell r="H847" t="str">
            <v>【超絶級】ガレス襲来</v>
          </cell>
        </row>
        <row r="848">
          <cell r="A848" t="str">
            <v>41015_2</v>
          </cell>
          <cell r="B848">
            <v>3</v>
          </cell>
          <cell r="C848">
            <v>41015</v>
          </cell>
          <cell r="D848" t="str">
            <v>ガレス襲来！</v>
          </cell>
          <cell r="E848" t="str">
            <v>降臨1</v>
          </cell>
          <cell r="F848">
            <v>2</v>
          </cell>
          <cell r="G848" t="str">
            <v>ja</v>
          </cell>
          <cell r="H848" t="str">
            <v>【ウィザード級】ガレス襲来</v>
          </cell>
        </row>
        <row r="849">
          <cell r="A849" t="str">
            <v>47001_1</v>
          </cell>
          <cell r="B849">
            <v>3</v>
          </cell>
          <cell r="C849">
            <v>47001</v>
          </cell>
          <cell r="D849" t="str">
            <v>彦星襲来！</v>
          </cell>
          <cell r="E849" t="str">
            <v>季節イベント</v>
          </cell>
          <cell r="F849">
            <v>1</v>
          </cell>
          <cell r="G849" t="str">
            <v>ja</v>
          </cell>
          <cell r="H849" t="str">
            <v>【超絶級】彦星襲来</v>
          </cell>
        </row>
        <row r="850">
          <cell r="A850" t="str">
            <v>47001_2</v>
          </cell>
          <cell r="B850">
            <v>3</v>
          </cell>
          <cell r="C850">
            <v>47001</v>
          </cell>
          <cell r="D850" t="str">
            <v>彦星襲来！</v>
          </cell>
          <cell r="E850" t="str">
            <v>季節イベント</v>
          </cell>
          <cell r="F850">
            <v>2</v>
          </cell>
          <cell r="G850" t="str">
            <v>ja</v>
          </cell>
          <cell r="H850" t="str">
            <v>【ウィザード級】彦星襲来</v>
          </cell>
        </row>
        <row r="851">
          <cell r="A851" t="str">
            <v>47002_1</v>
          </cell>
          <cell r="B851">
            <v>3</v>
          </cell>
          <cell r="C851">
            <v>47002</v>
          </cell>
          <cell r="D851" t="str">
            <v>夏☆襲来！</v>
          </cell>
          <cell r="E851" t="str">
            <v>季節イベント</v>
          </cell>
          <cell r="F851">
            <v>1</v>
          </cell>
          <cell r="G851" t="str">
            <v>ja</v>
          </cell>
          <cell r="H851" t="str">
            <v>【超絶級】夏☆襲来</v>
          </cell>
        </row>
        <row r="852">
          <cell r="A852" t="str">
            <v>47002_2</v>
          </cell>
          <cell r="B852">
            <v>3</v>
          </cell>
          <cell r="C852">
            <v>47002</v>
          </cell>
          <cell r="D852" t="str">
            <v>夏☆襲来！</v>
          </cell>
          <cell r="E852" t="str">
            <v>季節イベント</v>
          </cell>
          <cell r="F852">
            <v>2</v>
          </cell>
          <cell r="G852" t="str">
            <v>ja</v>
          </cell>
          <cell r="H852" t="str">
            <v>【ウィザード級】夏☆襲来</v>
          </cell>
        </row>
        <row r="853">
          <cell r="A853" t="str">
            <v>47003_1</v>
          </cell>
          <cell r="B853">
            <v>3</v>
          </cell>
          <cell r="C853">
            <v>47003</v>
          </cell>
          <cell r="D853" t="str">
            <v>ハロウィンナイトパニック！</v>
          </cell>
          <cell r="E853" t="str">
            <v>季節イベント</v>
          </cell>
          <cell r="F853">
            <v>1</v>
          </cell>
          <cell r="G853" t="str">
            <v>ja</v>
          </cell>
          <cell r="H853" t="str">
            <v>【上級】ハロウィンナイトパニック！</v>
          </cell>
        </row>
        <row r="854">
          <cell r="A854" t="str">
            <v>47003_2</v>
          </cell>
          <cell r="B854">
            <v>3</v>
          </cell>
          <cell r="C854">
            <v>47003</v>
          </cell>
          <cell r="D854" t="str">
            <v>ハロウィンナイトパニック！</v>
          </cell>
          <cell r="E854" t="str">
            <v>季節イベント</v>
          </cell>
          <cell r="F854">
            <v>2</v>
          </cell>
          <cell r="G854" t="str">
            <v>ja</v>
          </cell>
          <cell r="H854" t="str">
            <v>【超級】ハロウィンナイトパニック！</v>
          </cell>
        </row>
        <row r="855">
          <cell r="A855" t="str">
            <v>47003_3</v>
          </cell>
          <cell r="B855">
            <v>3</v>
          </cell>
          <cell r="C855">
            <v>47003</v>
          </cell>
          <cell r="D855" t="str">
            <v>ハロウィンナイトパニック！</v>
          </cell>
          <cell r="E855" t="str">
            <v>季節イベント</v>
          </cell>
          <cell r="F855">
            <v>3</v>
          </cell>
          <cell r="G855" t="str">
            <v>ja</v>
          </cell>
          <cell r="H855" t="str">
            <v>【超絶】ハロウィンナイトパニック！</v>
          </cell>
        </row>
        <row r="856">
          <cell r="A856" t="str">
            <v>47003_4</v>
          </cell>
          <cell r="B856">
            <v>3</v>
          </cell>
          <cell r="C856">
            <v>47003</v>
          </cell>
          <cell r="D856" t="str">
            <v>ハロウィンナイトパニック！</v>
          </cell>
          <cell r="E856" t="str">
            <v>季節イベント</v>
          </cell>
          <cell r="F856">
            <v>4</v>
          </cell>
          <cell r="G856" t="str">
            <v>ja</v>
          </cell>
          <cell r="H856" t="str">
            <v>【ｳｨｻﾞ】ハロウィンナイトパニック！</v>
          </cell>
        </row>
        <row r="857">
          <cell r="A857" t="str">
            <v>47004_1</v>
          </cell>
          <cell r="B857">
            <v>3</v>
          </cell>
          <cell r="C857">
            <v>47004</v>
          </cell>
          <cell r="D857" t="str">
            <v>聖なる夜に祝福を</v>
          </cell>
          <cell r="E857" t="str">
            <v>季節イベント</v>
          </cell>
          <cell r="F857">
            <v>1</v>
          </cell>
          <cell r="G857" t="str">
            <v>ja</v>
          </cell>
          <cell r="H857" t="str">
            <v>【上級】聖なる夜に祝福を</v>
          </cell>
        </row>
        <row r="858">
          <cell r="A858" t="str">
            <v>47004_2</v>
          </cell>
          <cell r="B858">
            <v>3</v>
          </cell>
          <cell r="C858">
            <v>47004</v>
          </cell>
          <cell r="D858" t="str">
            <v>聖なる夜に祝福を</v>
          </cell>
          <cell r="E858" t="str">
            <v>季節イベント</v>
          </cell>
          <cell r="F858">
            <v>2</v>
          </cell>
          <cell r="G858" t="str">
            <v>ja</v>
          </cell>
          <cell r="H858" t="str">
            <v>【超級】聖なる夜に祝福を</v>
          </cell>
        </row>
        <row r="859">
          <cell r="A859" t="str">
            <v>47004_3</v>
          </cell>
          <cell r="B859">
            <v>3</v>
          </cell>
          <cell r="C859">
            <v>47004</v>
          </cell>
          <cell r="D859" t="str">
            <v>聖なる夜に祝福を</v>
          </cell>
          <cell r="E859" t="str">
            <v>季節イベント</v>
          </cell>
          <cell r="F859">
            <v>3</v>
          </cell>
          <cell r="G859" t="str">
            <v>ja</v>
          </cell>
          <cell r="H859" t="str">
            <v>【超絶級】聖なる夜に祝福を</v>
          </cell>
        </row>
        <row r="860">
          <cell r="A860" t="str">
            <v>47004_4</v>
          </cell>
          <cell r="B860">
            <v>3</v>
          </cell>
          <cell r="C860">
            <v>47004</v>
          </cell>
          <cell r="D860" t="str">
            <v>聖なる夜に祝福を</v>
          </cell>
          <cell r="E860" t="str">
            <v>季節イベント</v>
          </cell>
          <cell r="F860">
            <v>4</v>
          </cell>
          <cell r="G860" t="str">
            <v>ja</v>
          </cell>
          <cell r="H860" t="str">
            <v>【ウィザード級】聖なる夜に祝福を</v>
          </cell>
        </row>
        <row r="861">
          <cell r="A861" t="str">
            <v>47005_1</v>
          </cell>
          <cell r="B861">
            <v>3</v>
          </cell>
          <cell r="C861">
            <v>47005</v>
          </cell>
          <cell r="D861" t="str">
            <v>年を越える儀式</v>
          </cell>
          <cell r="E861" t="str">
            <v>季節イベント</v>
          </cell>
          <cell r="F861">
            <v>1</v>
          </cell>
          <cell r="G861" t="str">
            <v>ja</v>
          </cell>
          <cell r="H861" t="str">
            <v>【ウィザード級】年を越える儀式</v>
          </cell>
        </row>
        <row r="862">
          <cell r="A862" t="str">
            <v>47006_1</v>
          </cell>
          <cell r="B862">
            <v>3</v>
          </cell>
          <cell r="C862">
            <v>47006</v>
          </cell>
          <cell r="D862" t="str">
            <v>酉の初めはたまごから</v>
          </cell>
          <cell r="E862" t="str">
            <v>季節イベント</v>
          </cell>
          <cell r="F862">
            <v>1</v>
          </cell>
          <cell r="G862" t="str">
            <v>ja</v>
          </cell>
          <cell r="H862" t="str">
            <v>【超絶】酉の初めはたまごから</v>
          </cell>
        </row>
        <row r="863">
          <cell r="A863" t="str">
            <v>47006_2</v>
          </cell>
          <cell r="B863">
            <v>3</v>
          </cell>
          <cell r="C863">
            <v>47006</v>
          </cell>
          <cell r="D863" t="str">
            <v>酉の初めはたまごから</v>
          </cell>
          <cell r="E863" t="str">
            <v>季節イベント</v>
          </cell>
          <cell r="F863">
            <v>2</v>
          </cell>
          <cell r="G863" t="str">
            <v>ja</v>
          </cell>
          <cell r="H863" t="str">
            <v>【ｳｨｻﾞ】酉の初めはたまごから</v>
          </cell>
        </row>
        <row r="864">
          <cell r="A864" t="str">
            <v>47007_1</v>
          </cell>
          <cell r="B864">
            <v>3</v>
          </cell>
          <cell r="C864">
            <v>47007</v>
          </cell>
          <cell r="D864" t="str">
            <v>ツンデレ少女の恋心</v>
          </cell>
          <cell r="E864" t="str">
            <v>季節イベント</v>
          </cell>
          <cell r="F864">
            <v>1</v>
          </cell>
          <cell r="G864" t="str">
            <v>ja</v>
          </cell>
          <cell r="H864" t="str">
            <v>【上級】ツンデレ少女の恋心</v>
          </cell>
        </row>
        <row r="865">
          <cell r="A865" t="str">
            <v>47007_2</v>
          </cell>
          <cell r="B865">
            <v>3</v>
          </cell>
          <cell r="C865">
            <v>47007</v>
          </cell>
          <cell r="D865" t="str">
            <v>ツンデレ少女の恋心</v>
          </cell>
          <cell r="E865" t="str">
            <v>季節イベント</v>
          </cell>
          <cell r="F865">
            <v>2</v>
          </cell>
          <cell r="G865" t="str">
            <v>ja</v>
          </cell>
          <cell r="H865" t="str">
            <v>【ウィザード級】ツンデレ少女の恋心</v>
          </cell>
        </row>
        <row r="866">
          <cell r="A866" t="str">
            <v>47008_1</v>
          </cell>
          <cell r="B866">
            <v>3</v>
          </cell>
          <cell r="C866">
            <v>47008</v>
          </cell>
          <cell r="D866" t="str">
            <v>ふんわり少女の恋心</v>
          </cell>
          <cell r="E866" t="str">
            <v>季節イベント</v>
          </cell>
          <cell r="F866">
            <v>1</v>
          </cell>
          <cell r="G866" t="str">
            <v>ja</v>
          </cell>
          <cell r="H866" t="str">
            <v>【上級】ふんわり少女の恋心</v>
          </cell>
        </row>
        <row r="867">
          <cell r="A867" t="str">
            <v>47008_2</v>
          </cell>
          <cell r="B867">
            <v>3</v>
          </cell>
          <cell r="C867">
            <v>47008</v>
          </cell>
          <cell r="D867" t="str">
            <v>ふんわり少女の恋心</v>
          </cell>
          <cell r="E867" t="str">
            <v>季節イベント</v>
          </cell>
          <cell r="F867">
            <v>2</v>
          </cell>
          <cell r="G867" t="str">
            <v>ja</v>
          </cell>
          <cell r="H867" t="str">
            <v>【ウィザード級】ふんわり少女の恋心</v>
          </cell>
        </row>
        <row r="868">
          <cell r="A868" t="str">
            <v>47009_1</v>
          </cell>
          <cell r="B868">
            <v>3</v>
          </cell>
          <cell r="C868">
            <v>47009</v>
          </cell>
          <cell r="D868" t="str">
            <v>夏☆襲来！</v>
          </cell>
          <cell r="E868" t="str">
            <v>（復刻）季節イベント</v>
          </cell>
          <cell r="F868">
            <v>1</v>
          </cell>
          <cell r="G868" t="str">
            <v>ja</v>
          </cell>
          <cell r="H868" t="str">
            <v>【超絶級】夏☆襲来</v>
          </cell>
        </row>
        <row r="869">
          <cell r="A869" t="str">
            <v>47009_2</v>
          </cell>
          <cell r="B869">
            <v>3</v>
          </cell>
          <cell r="C869">
            <v>47009</v>
          </cell>
          <cell r="D869" t="str">
            <v>夏☆襲来！</v>
          </cell>
          <cell r="E869" t="str">
            <v>（復刻）季節イベント</v>
          </cell>
          <cell r="F869">
            <v>2</v>
          </cell>
          <cell r="G869" t="str">
            <v>ja</v>
          </cell>
          <cell r="H869" t="str">
            <v>【ウィザード級】夏☆襲来</v>
          </cell>
        </row>
        <row r="870">
          <cell r="A870" t="str">
            <v>47010_1</v>
          </cell>
          <cell r="B870">
            <v>3</v>
          </cell>
          <cell r="C870">
            <v>47010</v>
          </cell>
          <cell r="D870" t="str">
            <v>僕の愛よあの子にとどけ！</v>
          </cell>
          <cell r="E870" t="str">
            <v>季節イベント</v>
          </cell>
          <cell r="F870">
            <v>1</v>
          </cell>
          <cell r="G870" t="str">
            <v>ja</v>
          </cell>
          <cell r="H870" t="str">
            <v>【上級】僕の愛よあの子にとどけ！</v>
          </cell>
        </row>
        <row r="871">
          <cell r="A871" t="str">
            <v>47010_2</v>
          </cell>
          <cell r="B871">
            <v>3</v>
          </cell>
          <cell r="C871">
            <v>47010</v>
          </cell>
          <cell r="D871" t="str">
            <v>僕の愛よあの子にとどけ！</v>
          </cell>
          <cell r="E871" t="str">
            <v>季節イベント</v>
          </cell>
          <cell r="F871">
            <v>2</v>
          </cell>
          <cell r="G871" t="str">
            <v>ja</v>
          </cell>
          <cell r="H871" t="str">
            <v>【ｳｨｻﾞ】僕の愛よあの子にとどけ！</v>
          </cell>
        </row>
        <row r="872">
          <cell r="A872" t="str">
            <v>47011_1</v>
          </cell>
          <cell r="B872">
            <v>3</v>
          </cell>
          <cell r="C872">
            <v>47011</v>
          </cell>
          <cell r="D872" t="str">
            <v>ツンデレ少女にお返しを！</v>
          </cell>
          <cell r="E872" t="str">
            <v>季節イベント</v>
          </cell>
          <cell r="F872">
            <v>1</v>
          </cell>
          <cell r="G872" t="str">
            <v>ja</v>
          </cell>
          <cell r="H872" t="str">
            <v>ツンデレ少女にお返しを！</v>
          </cell>
        </row>
        <row r="873">
          <cell r="A873" t="str">
            <v>47012_1</v>
          </cell>
          <cell r="B873">
            <v>3</v>
          </cell>
          <cell r="C873">
            <v>47012</v>
          </cell>
          <cell r="D873" t="str">
            <v>春呼ぶキミの行方</v>
          </cell>
          <cell r="E873" t="str">
            <v>季節イベント</v>
          </cell>
          <cell r="F873">
            <v>1</v>
          </cell>
          <cell r="G873" t="str">
            <v>ja</v>
          </cell>
          <cell r="H873" t="str">
            <v>【上級】春呼ぶキミの行方</v>
          </cell>
        </row>
        <row r="874">
          <cell r="A874" t="str">
            <v>47012_2</v>
          </cell>
          <cell r="B874">
            <v>3</v>
          </cell>
          <cell r="C874">
            <v>47012</v>
          </cell>
          <cell r="D874" t="str">
            <v>春呼ぶキミの行方</v>
          </cell>
          <cell r="E874" t="str">
            <v>季節イベント</v>
          </cell>
          <cell r="F874">
            <v>2</v>
          </cell>
          <cell r="G874" t="str">
            <v>ja</v>
          </cell>
          <cell r="H874" t="str">
            <v>【ウィザード級】春呼ぶキミの行方</v>
          </cell>
        </row>
        <row r="875">
          <cell r="A875" t="str">
            <v>47013_1</v>
          </cell>
          <cell r="B875">
            <v>3</v>
          </cell>
          <cell r="C875">
            <v>47013</v>
          </cell>
          <cell r="D875" t="str">
            <v>スカルズ襲来！</v>
          </cell>
          <cell r="E875" t="str">
            <v>1000億パネル破壊記念イベント</v>
          </cell>
          <cell r="F875">
            <v>1</v>
          </cell>
          <cell r="G875" t="str">
            <v>ja</v>
          </cell>
          <cell r="H875" t="str">
            <v>【超絶級】スカルズ襲来</v>
          </cell>
        </row>
        <row r="876">
          <cell r="A876" t="str">
            <v>47013_2</v>
          </cell>
          <cell r="B876">
            <v>3</v>
          </cell>
          <cell r="C876">
            <v>47013</v>
          </cell>
          <cell r="D876" t="str">
            <v>スカルズ襲来！</v>
          </cell>
          <cell r="E876" t="str">
            <v>1000億パネル破壊記念イベント</v>
          </cell>
          <cell r="F876">
            <v>2</v>
          </cell>
          <cell r="G876" t="str">
            <v>ja</v>
          </cell>
          <cell r="H876" t="str">
            <v>【ウィザード級】スカルズ襲来</v>
          </cell>
        </row>
        <row r="877">
          <cell r="A877" t="str">
            <v>47013_3</v>
          </cell>
          <cell r="B877">
            <v>0</v>
          </cell>
          <cell r="C877">
            <v>47013</v>
          </cell>
          <cell r="D877" t="str">
            <v>スカルズ襲来！</v>
          </cell>
          <cell r="E877" t="str">
            <v>1000億パネル破壊記念イベント</v>
          </cell>
          <cell r="F877">
            <v>3</v>
          </cell>
          <cell r="G877" t="str">
            <v>ja</v>
          </cell>
          <cell r="H877" t="str">
            <v>【スコア超絶】スカルズ襲来</v>
          </cell>
        </row>
        <row r="878">
          <cell r="A878" t="str">
            <v>47013_4</v>
          </cell>
          <cell r="B878">
            <v>3</v>
          </cell>
          <cell r="C878">
            <v>47013</v>
          </cell>
          <cell r="D878" t="str">
            <v>スカルズ襲来！</v>
          </cell>
          <cell r="E878" t="str">
            <v>1000億パネル破壊記念イベント</v>
          </cell>
          <cell r="F878">
            <v>4</v>
          </cell>
          <cell r="G878" t="str">
            <v>ja</v>
          </cell>
          <cell r="H878" t="str">
            <v>【スコアアタック】スカルズ襲来</v>
          </cell>
        </row>
        <row r="879">
          <cell r="A879" t="str">
            <v>47014_1</v>
          </cell>
          <cell r="B879">
            <v>1</v>
          </cell>
          <cell r="C879">
            <v>47014</v>
          </cell>
          <cell r="D879" t="str">
            <v>ヘルレイザー襲来！</v>
          </cell>
          <cell r="E879" t="str">
            <v>800万ダウンロード記念イベント</v>
          </cell>
          <cell r="F879">
            <v>1</v>
          </cell>
          <cell r="G879" t="str">
            <v>ja</v>
          </cell>
          <cell r="H879" t="str">
            <v>【上級】ヘルレイザー襲来</v>
          </cell>
        </row>
        <row r="880">
          <cell r="A880" t="str">
            <v>47014_2</v>
          </cell>
          <cell r="B880">
            <v>1</v>
          </cell>
          <cell r="C880">
            <v>47014</v>
          </cell>
          <cell r="D880" t="str">
            <v>ヘルレイザー襲来！</v>
          </cell>
          <cell r="E880" t="str">
            <v>800万ダウンロード記念イベント</v>
          </cell>
          <cell r="F880">
            <v>2</v>
          </cell>
          <cell r="G880" t="str">
            <v>ja</v>
          </cell>
          <cell r="H880" t="str">
            <v>【超絶級】ヘルレイザー襲来</v>
          </cell>
        </row>
        <row r="881">
          <cell r="A881" t="str">
            <v>47014_3</v>
          </cell>
          <cell r="B881">
            <v>1</v>
          </cell>
          <cell r="C881">
            <v>47014</v>
          </cell>
          <cell r="D881" t="str">
            <v>ヘルレイザー襲来！</v>
          </cell>
          <cell r="E881" t="str">
            <v>800万ダウンロード記念イベント</v>
          </cell>
          <cell r="F881">
            <v>3</v>
          </cell>
          <cell r="G881" t="str">
            <v>ja</v>
          </cell>
          <cell r="H881" t="str">
            <v>【ウィザード級】ヘルレイザー襲来</v>
          </cell>
        </row>
        <row r="882">
          <cell r="A882" t="str">
            <v>48001_1</v>
          </cell>
          <cell r="B882">
            <v>1</v>
          </cell>
          <cell r="C882">
            <v>48001</v>
          </cell>
          <cell r="D882" t="str">
            <v>蛟龍襲来！</v>
          </cell>
          <cell r="E882" t="str">
            <v>台湾版降臨1</v>
          </cell>
          <cell r="F882">
            <v>1</v>
          </cell>
          <cell r="G882" t="str">
            <v>ja</v>
          </cell>
          <cell r="H882" t="str">
            <v>【ウィザード級】蛟龍襲来</v>
          </cell>
        </row>
        <row r="883">
          <cell r="A883" t="str">
            <v>48002_1</v>
          </cell>
          <cell r="B883">
            <v>1</v>
          </cell>
          <cell r="C883">
            <v>48002</v>
          </cell>
          <cell r="D883" t="str">
            <v>孫悟空襲来！</v>
          </cell>
          <cell r="E883" t="str">
            <v>台湾版降臨2</v>
          </cell>
          <cell r="F883">
            <v>1</v>
          </cell>
          <cell r="G883" t="str">
            <v>ja</v>
          </cell>
          <cell r="H883" t="str">
            <v>【超絶級】孫悟空襲来</v>
          </cell>
        </row>
        <row r="884">
          <cell r="A884" t="str">
            <v>48002_2</v>
          </cell>
          <cell r="B884">
            <v>1</v>
          </cell>
          <cell r="C884">
            <v>48002</v>
          </cell>
          <cell r="D884" t="str">
            <v>孫悟空襲来！</v>
          </cell>
          <cell r="E884" t="str">
            <v>台湾版降臨2</v>
          </cell>
          <cell r="F884">
            <v>2</v>
          </cell>
          <cell r="G884" t="str">
            <v>ja</v>
          </cell>
          <cell r="H884" t="str">
            <v>【ウィザード級】孫悟空襲来</v>
          </cell>
        </row>
        <row r="885">
          <cell r="A885" t="str">
            <v>48002_3</v>
          </cell>
          <cell r="B885">
            <v>1</v>
          </cell>
          <cell r="C885">
            <v>48002</v>
          </cell>
          <cell r="D885" t="str">
            <v>孫悟空襲来！</v>
          </cell>
          <cell r="E885" t="str">
            <v>台湾版降臨2</v>
          </cell>
          <cell r="F885">
            <v>3</v>
          </cell>
          <cell r="G885" t="str">
            <v>ja</v>
          </cell>
          <cell r="H885" t="str">
            <v>【ノーコンテニュー】孫悟空襲来</v>
          </cell>
        </row>
        <row r="886">
          <cell r="A886" t="str">
            <v>48003_1</v>
          </cell>
          <cell r="B886">
            <v>3</v>
          </cell>
          <cell r="C886">
            <v>48003</v>
          </cell>
          <cell r="D886" t="str">
            <v>月下老人襲来！</v>
          </cell>
          <cell r="E886" t="str">
            <v>台湾版降臨4</v>
          </cell>
          <cell r="F886">
            <v>1</v>
          </cell>
          <cell r="G886" t="str">
            <v>ja</v>
          </cell>
          <cell r="H886" t="str">
            <v>【超絶級】月下老人襲来</v>
          </cell>
        </row>
        <row r="887">
          <cell r="A887" t="str">
            <v>48003_2</v>
          </cell>
          <cell r="B887">
            <v>3</v>
          </cell>
          <cell r="C887">
            <v>48003</v>
          </cell>
          <cell r="D887" t="str">
            <v>月下老人襲来！</v>
          </cell>
          <cell r="E887" t="str">
            <v>台湾版降臨4</v>
          </cell>
          <cell r="F887">
            <v>2</v>
          </cell>
          <cell r="G887" t="str">
            <v>ja</v>
          </cell>
          <cell r="H887" t="str">
            <v>【ウィザード級】月下老人襲来</v>
          </cell>
        </row>
        <row r="888">
          <cell r="A888" t="str">
            <v>48004_1</v>
          </cell>
          <cell r="B888">
            <v>3</v>
          </cell>
          <cell r="C888">
            <v>48004</v>
          </cell>
          <cell r="D888" t="str">
            <v>蛟龍襲来！</v>
          </cell>
          <cell r="E888" t="str">
            <v>台湾版降臨5</v>
          </cell>
          <cell r="F888">
            <v>1</v>
          </cell>
          <cell r="G888" t="str">
            <v>ja</v>
          </cell>
          <cell r="H888" t="str">
            <v>【超絶級】蛟龍襲来</v>
          </cell>
        </row>
        <row r="889">
          <cell r="A889" t="str">
            <v>48004_2</v>
          </cell>
          <cell r="B889">
            <v>3</v>
          </cell>
          <cell r="C889">
            <v>48004</v>
          </cell>
          <cell r="D889" t="str">
            <v>蛟龍襲来！</v>
          </cell>
          <cell r="E889" t="str">
            <v>台湾版降臨5</v>
          </cell>
          <cell r="F889">
            <v>2</v>
          </cell>
          <cell r="G889" t="str">
            <v>ja</v>
          </cell>
          <cell r="H889" t="str">
            <v>【ウィザード級】蛟龍襲来</v>
          </cell>
        </row>
        <row r="890">
          <cell r="A890" t="str">
            <v>48005_1</v>
          </cell>
          <cell r="B890">
            <v>3</v>
          </cell>
          <cell r="C890">
            <v>48005</v>
          </cell>
          <cell r="D890" t="str">
            <v>孫悟空襲来！</v>
          </cell>
          <cell r="E890" t="str">
            <v>台湾版降臨6</v>
          </cell>
          <cell r="F890">
            <v>1</v>
          </cell>
          <cell r="G890" t="str">
            <v>ja</v>
          </cell>
          <cell r="H890" t="str">
            <v>【超絶級】孫悟空襲来</v>
          </cell>
        </row>
        <row r="891">
          <cell r="A891" t="str">
            <v>48005_2</v>
          </cell>
          <cell r="B891">
            <v>3</v>
          </cell>
          <cell r="C891">
            <v>48005</v>
          </cell>
          <cell r="D891" t="str">
            <v>孫悟空襲来！</v>
          </cell>
          <cell r="E891" t="str">
            <v>台湾版降臨6</v>
          </cell>
          <cell r="F891">
            <v>2</v>
          </cell>
          <cell r="G891" t="str">
            <v>ja</v>
          </cell>
          <cell r="H891" t="str">
            <v>【ウィザード級】孫悟空襲来</v>
          </cell>
        </row>
        <row r="892">
          <cell r="A892" t="str">
            <v>48006_1</v>
          </cell>
          <cell r="B892">
            <v>3</v>
          </cell>
          <cell r="C892">
            <v>48006</v>
          </cell>
          <cell r="D892" t="str">
            <v>牛頭馬面襲来！</v>
          </cell>
          <cell r="E892" t="str">
            <v>台湾版降臨7</v>
          </cell>
          <cell r="F892">
            <v>1</v>
          </cell>
          <cell r="G892" t="str">
            <v>ja</v>
          </cell>
          <cell r="H892" t="str">
            <v>【超絶級】牛頭馬面襲来</v>
          </cell>
        </row>
        <row r="893">
          <cell r="A893" t="str">
            <v>48006_2</v>
          </cell>
          <cell r="B893">
            <v>3</v>
          </cell>
          <cell r="C893">
            <v>48006</v>
          </cell>
          <cell r="D893" t="str">
            <v>牛頭馬面襲来！</v>
          </cell>
          <cell r="E893" t="str">
            <v>台湾版降臨7</v>
          </cell>
          <cell r="F893">
            <v>2</v>
          </cell>
          <cell r="G893" t="str">
            <v>ja</v>
          </cell>
          <cell r="H893" t="str">
            <v>【ウィザード級】牛頭馬面襲来</v>
          </cell>
        </row>
        <row r="894">
          <cell r="A894" t="str">
            <v>48007_1</v>
          </cell>
          <cell r="B894">
            <v>1</v>
          </cell>
          <cell r="C894">
            <v>48007</v>
          </cell>
          <cell r="D894" t="str">
            <v>紅鬼襲来！</v>
          </cell>
          <cell r="E894" t="str">
            <v>台湾版降臨8</v>
          </cell>
          <cell r="F894">
            <v>1</v>
          </cell>
          <cell r="G894" t="str">
            <v>ja</v>
          </cell>
          <cell r="H894" t="str">
            <v>【超絶級】紅鬼襲来</v>
          </cell>
        </row>
        <row r="895">
          <cell r="A895" t="str">
            <v>48007_2</v>
          </cell>
          <cell r="B895">
            <v>1</v>
          </cell>
          <cell r="C895">
            <v>48007</v>
          </cell>
          <cell r="D895" t="str">
            <v>紅鬼襲来！</v>
          </cell>
          <cell r="E895" t="str">
            <v>台湾版降臨8</v>
          </cell>
          <cell r="F895">
            <v>2</v>
          </cell>
          <cell r="G895" t="str">
            <v>ja</v>
          </cell>
          <cell r="H895" t="str">
            <v>【ウィザード級】紅鬼襲来</v>
          </cell>
        </row>
        <row r="896">
          <cell r="A896" t="str">
            <v>48008_1</v>
          </cell>
          <cell r="B896">
            <v>1</v>
          </cell>
          <cell r="C896">
            <v>48008</v>
          </cell>
          <cell r="D896" t="str">
            <v>紀昌襲来！</v>
          </cell>
          <cell r="E896" t="str">
            <v>台湾版降臨9</v>
          </cell>
          <cell r="F896">
            <v>1</v>
          </cell>
          <cell r="G896" t="str">
            <v>ja</v>
          </cell>
          <cell r="H896" t="str">
            <v>【超絶級】紀昌襲来</v>
          </cell>
        </row>
        <row r="897">
          <cell r="A897" t="str">
            <v>48008_2</v>
          </cell>
          <cell r="B897">
            <v>1</v>
          </cell>
          <cell r="C897">
            <v>48008</v>
          </cell>
          <cell r="D897" t="str">
            <v>紀昌襲来！</v>
          </cell>
          <cell r="E897" t="str">
            <v>台湾版降臨9</v>
          </cell>
          <cell r="F897">
            <v>2</v>
          </cell>
          <cell r="G897" t="str">
            <v>ja</v>
          </cell>
          <cell r="H897" t="str">
            <v>【ウィザード級】紀昌襲来</v>
          </cell>
        </row>
        <row r="898">
          <cell r="A898" t="str">
            <v>48009_1</v>
          </cell>
          <cell r="B898">
            <v>1</v>
          </cell>
          <cell r="C898">
            <v>48009</v>
          </cell>
          <cell r="D898" t="str">
            <v>藍采和襲来！</v>
          </cell>
          <cell r="E898" t="str">
            <v>台湾版降臨10</v>
          </cell>
          <cell r="F898">
            <v>1</v>
          </cell>
          <cell r="G898" t="str">
            <v>ja</v>
          </cell>
          <cell r="H898" t="str">
            <v>【超絶級】藍采和襲来</v>
          </cell>
        </row>
        <row r="899">
          <cell r="A899" t="str">
            <v>48009_2</v>
          </cell>
          <cell r="B899">
            <v>1</v>
          </cell>
          <cell r="C899">
            <v>48009</v>
          </cell>
          <cell r="D899" t="str">
            <v>藍采和襲来！</v>
          </cell>
          <cell r="E899" t="str">
            <v>台湾版降臨10</v>
          </cell>
          <cell r="F899">
            <v>2</v>
          </cell>
          <cell r="G899" t="str">
            <v>ja</v>
          </cell>
          <cell r="H899" t="str">
            <v>【ウィザード級】藍采和襲来</v>
          </cell>
        </row>
        <row r="900">
          <cell r="A900" t="str">
            <v>48010_1</v>
          </cell>
          <cell r="B900">
            <v>1</v>
          </cell>
          <cell r="C900">
            <v>48010</v>
          </cell>
          <cell r="D900" t="str">
            <v>バハムートダックより祝福を</v>
          </cell>
          <cell r="E900" t="str">
            <v>台湾バハムート記念限定クエスト</v>
          </cell>
          <cell r="F900">
            <v>1</v>
          </cell>
          <cell r="G900" t="str">
            <v>ja</v>
          </cell>
          <cell r="H900" t="str">
            <v>バハムートダックより祝福を</v>
          </cell>
        </row>
        <row r="901">
          <cell r="A901" t="str">
            <v>48011_1</v>
          </cell>
          <cell r="B901">
            <v>1</v>
          </cell>
          <cell r="C901">
            <v>48011</v>
          </cell>
          <cell r="D901" t="str">
            <v>年獣襲来！</v>
          </cell>
          <cell r="E901" t="str">
            <v>台湾版降臨11</v>
          </cell>
          <cell r="F901">
            <v>1</v>
          </cell>
          <cell r="G901" t="str">
            <v>ja</v>
          </cell>
          <cell r="H901" t="str">
            <v>【超絶級】年獣襲来</v>
          </cell>
        </row>
        <row r="902">
          <cell r="A902" t="str">
            <v>48011_2</v>
          </cell>
          <cell r="B902">
            <v>1</v>
          </cell>
          <cell r="C902">
            <v>48011</v>
          </cell>
          <cell r="D902" t="str">
            <v>年獣襲来！</v>
          </cell>
          <cell r="E902" t="str">
            <v>台湾版降臨11</v>
          </cell>
          <cell r="F902">
            <v>2</v>
          </cell>
          <cell r="G902" t="str">
            <v>ja</v>
          </cell>
          <cell r="H902" t="str">
            <v>【ウィザード級】年獣襲来</v>
          </cell>
        </row>
        <row r="903">
          <cell r="A903" t="str">
            <v>48012_1</v>
          </cell>
          <cell r="B903">
            <v>1</v>
          </cell>
          <cell r="C903">
            <v>48012</v>
          </cell>
          <cell r="D903" t="str">
            <v>張果老襲来！</v>
          </cell>
          <cell r="E903" t="str">
            <v>台湾版降臨12</v>
          </cell>
          <cell r="F903">
            <v>1</v>
          </cell>
          <cell r="G903" t="str">
            <v>ja</v>
          </cell>
          <cell r="H903" t="str">
            <v>【超絶級】張果老襲来</v>
          </cell>
        </row>
        <row r="904">
          <cell r="A904" t="str">
            <v>48012_2</v>
          </cell>
          <cell r="B904">
            <v>1</v>
          </cell>
          <cell r="C904">
            <v>48012</v>
          </cell>
          <cell r="D904" t="str">
            <v>張果老襲来！</v>
          </cell>
          <cell r="E904" t="str">
            <v>台湾版降臨12</v>
          </cell>
          <cell r="F904">
            <v>2</v>
          </cell>
          <cell r="G904" t="str">
            <v>ja</v>
          </cell>
          <cell r="H904" t="str">
            <v>【ウィザード級】張果老襲来</v>
          </cell>
        </row>
        <row r="905">
          <cell r="A905" t="str">
            <v>48013_1</v>
          </cell>
          <cell r="B905">
            <v>1</v>
          </cell>
          <cell r="C905">
            <v>48013</v>
          </cell>
          <cell r="D905" t="str">
            <v>法海襲来！</v>
          </cell>
          <cell r="E905" t="str">
            <v>台湾版降臨13</v>
          </cell>
          <cell r="F905">
            <v>1</v>
          </cell>
          <cell r="G905" t="str">
            <v>ja</v>
          </cell>
          <cell r="H905" t="str">
            <v>【超絶級】法海襲来</v>
          </cell>
        </row>
        <row r="906">
          <cell r="A906" t="str">
            <v>48013_2</v>
          </cell>
          <cell r="B906">
            <v>1</v>
          </cell>
          <cell r="C906">
            <v>48013</v>
          </cell>
          <cell r="D906" t="str">
            <v>法海襲来！</v>
          </cell>
          <cell r="E906" t="str">
            <v>台湾版降臨13</v>
          </cell>
          <cell r="F906">
            <v>2</v>
          </cell>
          <cell r="G906" t="str">
            <v>ja</v>
          </cell>
          <cell r="H906" t="str">
            <v>【ウィザード級】法海襲来</v>
          </cell>
        </row>
        <row r="907">
          <cell r="A907" t="str">
            <v>48014_1</v>
          </cell>
          <cell r="B907">
            <v>3</v>
          </cell>
          <cell r="C907">
            <v>48014</v>
          </cell>
          <cell r="D907" t="str">
            <v>藍采和襲来！</v>
          </cell>
          <cell r="E907" t="str">
            <v>台湾版降臨10</v>
          </cell>
          <cell r="F907">
            <v>1</v>
          </cell>
          <cell r="G907" t="str">
            <v>ja</v>
          </cell>
          <cell r="H907" t="str">
            <v>【超絶級】藍采和襲来</v>
          </cell>
        </row>
        <row r="908">
          <cell r="A908" t="str">
            <v>48014_2</v>
          </cell>
          <cell r="B908">
            <v>3</v>
          </cell>
          <cell r="C908">
            <v>48014</v>
          </cell>
          <cell r="D908" t="str">
            <v>藍采和襲来！</v>
          </cell>
          <cell r="E908" t="str">
            <v>台湾版降臨10</v>
          </cell>
          <cell r="F908">
            <v>2</v>
          </cell>
          <cell r="G908" t="str">
            <v>ja</v>
          </cell>
          <cell r="H908" t="str">
            <v>【ウィザード級】藍采和襲来</v>
          </cell>
        </row>
        <row r="909">
          <cell r="A909" t="str">
            <v>48101_1</v>
          </cell>
          <cell r="B909">
            <v>1</v>
          </cell>
          <cell r="C909">
            <v>48101</v>
          </cell>
          <cell r="D909" t="str">
            <v>喀耳刻襲来！</v>
          </cell>
          <cell r="E909" t="str">
            <v>台湾版コラボ降臨1</v>
          </cell>
          <cell r="F909">
            <v>1</v>
          </cell>
          <cell r="G909" t="str">
            <v>ja</v>
          </cell>
          <cell r="H909" t="str">
            <v>【超絶級】喀耳刻襲来</v>
          </cell>
        </row>
        <row r="910">
          <cell r="A910" t="str">
            <v>48101_2</v>
          </cell>
          <cell r="B910">
            <v>1</v>
          </cell>
          <cell r="C910">
            <v>48101</v>
          </cell>
          <cell r="D910" t="str">
            <v>喀耳刻襲来！</v>
          </cell>
          <cell r="E910" t="str">
            <v>台湾版コラボ降臨1</v>
          </cell>
          <cell r="F910">
            <v>2</v>
          </cell>
          <cell r="G910" t="str">
            <v>ja</v>
          </cell>
          <cell r="H910" t="str">
            <v>【ウィザード級】喀耳刻襲来</v>
          </cell>
        </row>
        <row r="911">
          <cell r="A911" t="str">
            <v>48501_1</v>
          </cell>
          <cell r="B911">
            <v>1</v>
          </cell>
          <cell r="C911">
            <v>48501</v>
          </cell>
          <cell r="D911" t="str">
            <v>ナーガ襲来！</v>
          </cell>
          <cell r="E911" t="str">
            <v>グローバル版降臨1</v>
          </cell>
          <cell r="F911">
            <v>1</v>
          </cell>
          <cell r="G911" t="str">
            <v>ja</v>
          </cell>
          <cell r="H911" t="str">
            <v>【超絶級】ナーガ襲来</v>
          </cell>
        </row>
        <row r="912">
          <cell r="A912" t="str">
            <v>48501_2</v>
          </cell>
          <cell r="B912">
            <v>1</v>
          </cell>
          <cell r="C912">
            <v>48501</v>
          </cell>
          <cell r="D912" t="str">
            <v>ナーガ襲来！</v>
          </cell>
          <cell r="E912" t="str">
            <v>グローバル版降臨1</v>
          </cell>
          <cell r="F912">
            <v>2</v>
          </cell>
          <cell r="G912" t="str">
            <v>ja</v>
          </cell>
          <cell r="H912" t="str">
            <v>【ウィザード級】ナーガ襲来</v>
          </cell>
        </row>
        <row r="913">
          <cell r="A913" t="str">
            <v>48502_1</v>
          </cell>
          <cell r="B913">
            <v>1</v>
          </cell>
          <cell r="C913">
            <v>48502</v>
          </cell>
          <cell r="D913" t="str">
            <v>ヘルシング襲来！</v>
          </cell>
          <cell r="E913" t="str">
            <v>グローバル版降臨2</v>
          </cell>
          <cell r="F913">
            <v>1</v>
          </cell>
          <cell r="G913" t="str">
            <v>ja</v>
          </cell>
          <cell r="H913" t="str">
            <v>【超絶級】ヘルシング襲来</v>
          </cell>
        </row>
        <row r="914">
          <cell r="A914" t="str">
            <v>48502_2</v>
          </cell>
          <cell r="B914">
            <v>1</v>
          </cell>
          <cell r="C914">
            <v>48502</v>
          </cell>
          <cell r="D914" t="str">
            <v>ヘルシング襲来！</v>
          </cell>
          <cell r="E914" t="str">
            <v>グローバル版降臨2</v>
          </cell>
          <cell r="F914">
            <v>2</v>
          </cell>
          <cell r="G914" t="str">
            <v>ja</v>
          </cell>
          <cell r="H914" t="str">
            <v>【ウィザード級】ヘルシング襲来</v>
          </cell>
        </row>
        <row r="915">
          <cell r="A915" t="str">
            <v>48503_1</v>
          </cell>
          <cell r="B915">
            <v>3</v>
          </cell>
          <cell r="C915">
            <v>48503</v>
          </cell>
          <cell r="D915" t="str">
            <v>ナーガ襲来！</v>
          </cell>
          <cell r="E915" t="str">
            <v>グローバル版降臨3</v>
          </cell>
          <cell r="F915">
            <v>1</v>
          </cell>
          <cell r="G915" t="str">
            <v>ja</v>
          </cell>
          <cell r="H915" t="str">
            <v>【超絶級】ナーガ襲来</v>
          </cell>
        </row>
        <row r="916">
          <cell r="A916" t="str">
            <v>48503_2</v>
          </cell>
          <cell r="B916">
            <v>3</v>
          </cell>
          <cell r="C916">
            <v>48503</v>
          </cell>
          <cell r="D916" t="str">
            <v>ナーガ襲来！</v>
          </cell>
          <cell r="E916" t="str">
            <v>グローバル版降臨3</v>
          </cell>
          <cell r="F916">
            <v>2</v>
          </cell>
          <cell r="G916" t="str">
            <v>ja</v>
          </cell>
          <cell r="H916" t="str">
            <v>【ウィザード級】ナーガ襲来</v>
          </cell>
        </row>
        <row r="917">
          <cell r="A917" t="str">
            <v>48701_1</v>
          </cell>
          <cell r="B917">
            <v>1</v>
          </cell>
          <cell r="C917">
            <v>48701</v>
          </cell>
          <cell r="D917" t="str">
            <v>M.Dragon襲来！</v>
          </cell>
          <cell r="E917" t="str">
            <v>韓国版降臨1</v>
          </cell>
          <cell r="F917">
            <v>1</v>
          </cell>
          <cell r="G917" t="str">
            <v>ja</v>
          </cell>
          <cell r="H917" t="str">
            <v>【超絶級】M.Dragon襲来</v>
          </cell>
        </row>
        <row r="918">
          <cell r="A918" t="str">
            <v>48701_2</v>
          </cell>
          <cell r="B918">
            <v>1</v>
          </cell>
          <cell r="C918">
            <v>48701</v>
          </cell>
          <cell r="D918" t="str">
            <v>M.Dragon襲来！</v>
          </cell>
          <cell r="E918" t="str">
            <v>韓国版降臨1</v>
          </cell>
          <cell r="F918">
            <v>2</v>
          </cell>
          <cell r="G918" t="str">
            <v>ja</v>
          </cell>
          <cell r="H918" t="str">
            <v>【ウィザード級】M.Dragon襲来</v>
          </cell>
        </row>
        <row r="919">
          <cell r="A919" t="str">
            <v>48702_1</v>
          </cell>
          <cell r="B919">
            <v>1</v>
          </cell>
          <cell r="C919">
            <v>48702</v>
          </cell>
          <cell r="D919" t="str">
            <v>田禹治襲来！</v>
          </cell>
          <cell r="E919" t="str">
            <v>韓国版降臨2</v>
          </cell>
          <cell r="F919">
            <v>1</v>
          </cell>
          <cell r="G919" t="str">
            <v>ja</v>
          </cell>
          <cell r="H919" t="str">
            <v>【超絶級】田禹治襲来</v>
          </cell>
        </row>
        <row r="920">
          <cell r="A920" t="str">
            <v>48702_2</v>
          </cell>
          <cell r="B920">
            <v>1</v>
          </cell>
          <cell r="C920">
            <v>48702</v>
          </cell>
          <cell r="D920" t="str">
            <v>田禹治襲来！</v>
          </cell>
          <cell r="E920" t="str">
            <v>韓国版降臨2</v>
          </cell>
          <cell r="F920">
            <v>2</v>
          </cell>
          <cell r="G920" t="str">
            <v>ja</v>
          </cell>
          <cell r="H920" t="str">
            <v>【ウィザード級】田禹治襲来</v>
          </cell>
        </row>
        <row r="921">
          <cell r="A921" t="str">
            <v>49001_1</v>
          </cell>
          <cell r="B921">
            <v>3</v>
          </cell>
          <cell r="C921">
            <v>49001</v>
          </cell>
          <cell r="D921" t="str">
            <v>熱唱！初音ミクV3</v>
          </cell>
          <cell r="E921" t="str">
            <v>コラボ降臨1</v>
          </cell>
          <cell r="F921">
            <v>1</v>
          </cell>
          <cell r="G921" t="str">
            <v>ja</v>
          </cell>
          <cell r="H921" t="str">
            <v>【ウィザード級】熱唱！初音ミクV3</v>
          </cell>
        </row>
        <row r="922">
          <cell r="A922" t="str">
            <v>49002_1</v>
          </cell>
          <cell r="B922">
            <v>3</v>
          </cell>
          <cell r="C922">
            <v>49002</v>
          </cell>
          <cell r="D922" t="str">
            <v>園原杏里襲来！</v>
          </cell>
          <cell r="E922" t="str">
            <v>コラボ降臨2</v>
          </cell>
          <cell r="F922">
            <v>1</v>
          </cell>
          <cell r="G922" t="str">
            <v>ja</v>
          </cell>
          <cell r="H922" t="str">
            <v>【ウィザード級】園原杏里襲来</v>
          </cell>
        </row>
        <row r="923">
          <cell r="A923" t="str">
            <v>49002_2</v>
          </cell>
          <cell r="B923">
            <v>3</v>
          </cell>
          <cell r="C923">
            <v>49002</v>
          </cell>
          <cell r="D923" t="str">
            <v>園原杏里襲来！</v>
          </cell>
          <cell r="E923" t="str">
            <v>コラボ降臨2</v>
          </cell>
          <cell r="F923">
            <v>2</v>
          </cell>
          <cell r="G923" t="str">
            <v>ja</v>
          </cell>
          <cell r="H923" t="str">
            <v>【ノーコンテニュー】園原杏里襲来</v>
          </cell>
        </row>
        <row r="924">
          <cell r="A924" t="str">
            <v>49003_1</v>
          </cell>
          <cell r="B924">
            <v>3</v>
          </cell>
          <cell r="C924">
            <v>49003</v>
          </cell>
          <cell r="D924" t="str">
            <v>折原臨也襲来！</v>
          </cell>
          <cell r="E924" t="str">
            <v>コラボ降臨3</v>
          </cell>
          <cell r="F924">
            <v>1</v>
          </cell>
          <cell r="G924" t="str">
            <v>ja</v>
          </cell>
          <cell r="H924" t="str">
            <v>【ウィザード級】折原臨也襲来</v>
          </cell>
        </row>
        <row r="925">
          <cell r="A925" t="str">
            <v>49003_2</v>
          </cell>
          <cell r="B925">
            <v>3</v>
          </cell>
          <cell r="C925">
            <v>49003</v>
          </cell>
          <cell r="D925" t="str">
            <v>折原臨也襲来！</v>
          </cell>
          <cell r="E925" t="str">
            <v>コラボ降臨3</v>
          </cell>
          <cell r="F925">
            <v>2</v>
          </cell>
          <cell r="G925" t="str">
            <v>ja</v>
          </cell>
          <cell r="H925" t="str">
            <v>【ノーコンテニュー】折原臨也襲来</v>
          </cell>
        </row>
        <row r="926">
          <cell r="A926" t="str">
            <v>49004_1</v>
          </cell>
          <cell r="B926">
            <v>3</v>
          </cell>
          <cell r="C926">
            <v>49004</v>
          </cell>
          <cell r="D926" t="str">
            <v>サンリオ好きなのだーれだ♪</v>
          </cell>
          <cell r="E926" t="str">
            <v>コラボ降臨4</v>
          </cell>
          <cell r="F926">
            <v>1</v>
          </cell>
          <cell r="G926" t="str">
            <v>ja</v>
          </cell>
          <cell r="H926" t="str">
            <v>【超絶】サンリオ好きなのだーれだ♪</v>
          </cell>
        </row>
        <row r="927">
          <cell r="A927" t="str">
            <v>49004_2</v>
          </cell>
          <cell r="B927">
            <v>3</v>
          </cell>
          <cell r="C927">
            <v>49004</v>
          </cell>
          <cell r="D927" t="str">
            <v>サンリオ好きなのだーれだ♪</v>
          </cell>
          <cell r="E927" t="str">
            <v>コラボ降臨4</v>
          </cell>
          <cell r="F927">
            <v>2</v>
          </cell>
          <cell r="G927" t="str">
            <v>ja</v>
          </cell>
          <cell r="H927" t="str">
            <v>【ｳｨｻﾞ】サンリオ好きなのだーれだ♪</v>
          </cell>
        </row>
        <row r="928">
          <cell r="A928" t="str">
            <v>49004_3</v>
          </cell>
          <cell r="B928">
            <v>3</v>
          </cell>
          <cell r="C928">
            <v>49004</v>
          </cell>
          <cell r="D928" t="str">
            <v>サンリオ好きなのだーれだ♪</v>
          </cell>
          <cell r="E928" t="str">
            <v>コラボ降臨4</v>
          </cell>
          <cell r="F928">
            <v>3</v>
          </cell>
          <cell r="G928" t="str">
            <v>ja</v>
          </cell>
          <cell r="H928" t="str">
            <v>【ﾉｰｺﾝ】サンリオ好きなのだーれだ♪</v>
          </cell>
        </row>
        <row r="929">
          <cell r="A929" t="str">
            <v>49005_1</v>
          </cell>
          <cell r="B929">
            <v>1</v>
          </cell>
          <cell r="C929">
            <v>49005</v>
          </cell>
          <cell r="D929" t="str">
            <v>襲来クエスト</v>
          </cell>
          <cell r="E929" t="str">
            <v>コラボ降臨5</v>
          </cell>
          <cell r="F929">
            <v>1</v>
          </cell>
          <cell r="G929" t="str">
            <v>ja</v>
          </cell>
          <cell r="H929" t="str">
            <v>【ウィザード級】襲来クエスト</v>
          </cell>
        </row>
        <row r="930">
          <cell r="A930" t="str">
            <v>49006_1</v>
          </cell>
          <cell r="B930">
            <v>3</v>
          </cell>
          <cell r="C930">
            <v>49006</v>
          </cell>
          <cell r="D930" t="str">
            <v>超大型巨人襲来！</v>
          </cell>
          <cell r="E930" t="str">
            <v>コラボ降臨6</v>
          </cell>
          <cell r="F930">
            <v>1</v>
          </cell>
          <cell r="G930" t="str">
            <v>ja</v>
          </cell>
          <cell r="H930" t="str">
            <v>【超絶級】超大型巨人襲来</v>
          </cell>
        </row>
        <row r="931">
          <cell r="A931" t="str">
            <v>49006_2</v>
          </cell>
          <cell r="B931">
            <v>3</v>
          </cell>
          <cell r="C931">
            <v>49006</v>
          </cell>
          <cell r="D931" t="str">
            <v>超大型巨人襲来！</v>
          </cell>
          <cell r="E931" t="str">
            <v>コラボ降臨6</v>
          </cell>
          <cell r="F931">
            <v>2</v>
          </cell>
          <cell r="G931" t="str">
            <v>ja</v>
          </cell>
          <cell r="H931" t="str">
            <v>【ウィザード級】超大型巨人襲来</v>
          </cell>
        </row>
        <row r="932">
          <cell r="A932" t="str">
            <v>49007_1</v>
          </cell>
          <cell r="B932">
            <v>1</v>
          </cell>
          <cell r="C932">
            <v>49007</v>
          </cell>
          <cell r="D932" t="str">
            <v>アザゼル（台）</v>
          </cell>
          <cell r="E932" t="str">
            <v>コラボ降臨4</v>
          </cell>
          <cell r="F932">
            <v>1</v>
          </cell>
          <cell r="G932" t="str">
            <v>ja</v>
          </cell>
          <cell r="H932" t="str">
            <v>【超絶】アザゼル（台）</v>
          </cell>
        </row>
        <row r="933">
          <cell r="A933" t="str">
            <v>49007_2</v>
          </cell>
          <cell r="B933">
            <v>1</v>
          </cell>
          <cell r="C933">
            <v>49007</v>
          </cell>
          <cell r="D933" t="str">
            <v>アザゼル（台）</v>
          </cell>
          <cell r="E933" t="str">
            <v>コラボ降臨4</v>
          </cell>
          <cell r="F933">
            <v>2</v>
          </cell>
          <cell r="G933" t="str">
            <v>ja</v>
          </cell>
          <cell r="H933" t="str">
            <v>【ｳｨｻﾞ】アザゼル（台）</v>
          </cell>
        </row>
        <row r="934">
          <cell r="A934" t="str">
            <v>49007_3</v>
          </cell>
          <cell r="B934">
            <v>1</v>
          </cell>
          <cell r="C934">
            <v>49007</v>
          </cell>
          <cell r="D934" t="str">
            <v>アザゼル（台）</v>
          </cell>
          <cell r="E934" t="str">
            <v>コラボ降臨4</v>
          </cell>
          <cell r="F934">
            <v>3</v>
          </cell>
          <cell r="G934" t="str">
            <v>ja</v>
          </cell>
          <cell r="H934" t="str">
            <v>【ﾉｰｺﾝ】アザゼル（台）</v>
          </cell>
        </row>
        <row r="935">
          <cell r="A935" t="str">
            <v>49008_1</v>
          </cell>
          <cell r="B935">
            <v>3</v>
          </cell>
          <cell r="C935">
            <v>49008</v>
          </cell>
          <cell r="D935" t="str">
            <v>熱唱！初音ミクV3</v>
          </cell>
          <cell r="E935" t="str">
            <v>コラボ降臨1</v>
          </cell>
          <cell r="F935">
            <v>1</v>
          </cell>
          <cell r="G935" t="str">
            <v>ja</v>
          </cell>
          <cell r="H935" t="str">
            <v>【ウィザード級】熱唱！初音ミクV3</v>
          </cell>
        </row>
        <row r="936">
          <cell r="A936" t="str">
            <v>49009_1</v>
          </cell>
          <cell r="B936">
            <v>3</v>
          </cell>
          <cell r="C936">
            <v>49009</v>
          </cell>
          <cell r="D936" t="str">
            <v>電子音協奏曲</v>
          </cell>
          <cell r="E936" t="str">
            <v>コラボ降臨7</v>
          </cell>
          <cell r="F936">
            <v>1</v>
          </cell>
          <cell r="G936" t="str">
            <v>ja</v>
          </cell>
          <cell r="H936" t="str">
            <v>【ウィザード級】電子音協奏曲</v>
          </cell>
        </row>
        <row r="937">
          <cell r="A937" t="str">
            <v>49010_1</v>
          </cell>
          <cell r="B937">
            <v>3</v>
          </cell>
          <cell r="C937">
            <v>49010</v>
          </cell>
          <cell r="D937" t="str">
            <v>走り抜けろ！ALICE GP</v>
          </cell>
          <cell r="E937" t="str">
            <v>コラボ降臨8</v>
          </cell>
          <cell r="F937">
            <v>1</v>
          </cell>
          <cell r="G937" t="str">
            <v>ja</v>
          </cell>
          <cell r="H937" t="str">
            <v>【ｳｨｻﾞ】走り抜けろ！ALICE GP</v>
          </cell>
        </row>
        <row r="938">
          <cell r="A938" t="str">
            <v>49011_1</v>
          </cell>
          <cell r="B938">
            <v>3</v>
          </cell>
          <cell r="C938">
            <v>49011</v>
          </cell>
          <cell r="D938" t="str">
            <v>秘密のイベント潜入作戦</v>
          </cell>
          <cell r="E938" t="str">
            <v>コラボ降臨9</v>
          </cell>
          <cell r="F938">
            <v>1</v>
          </cell>
          <cell r="G938" t="str">
            <v>ja</v>
          </cell>
          <cell r="H938" t="str">
            <v>【ｳｨｻﾞ】秘密のイベント潜入作戦</v>
          </cell>
        </row>
        <row r="939">
          <cell r="A939" t="str">
            <v>49012_1</v>
          </cell>
          <cell r="B939">
            <v>3</v>
          </cell>
          <cell r="C939">
            <v>49012</v>
          </cell>
          <cell r="D939" t="str">
            <v>園原杏里襲来！</v>
          </cell>
          <cell r="E939" t="str">
            <v>コラボ降臨2（復刻）</v>
          </cell>
          <cell r="F939">
            <v>1</v>
          </cell>
          <cell r="G939" t="str">
            <v>ja</v>
          </cell>
          <cell r="H939" t="str">
            <v>【ウィザード級】園原杏里襲来</v>
          </cell>
        </row>
        <row r="940">
          <cell r="A940" t="str">
            <v>49013_1</v>
          </cell>
          <cell r="B940">
            <v>3</v>
          </cell>
          <cell r="C940">
            <v>49013</v>
          </cell>
          <cell r="D940" t="str">
            <v>折原臨也襲来！</v>
          </cell>
          <cell r="E940" t="str">
            <v>コラボ降臨3（復刻）</v>
          </cell>
          <cell r="F940">
            <v>1</v>
          </cell>
          <cell r="G940" t="str">
            <v>ja</v>
          </cell>
          <cell r="H940" t="str">
            <v>【ウィザード級】折原臨也襲来</v>
          </cell>
        </row>
        <row r="941">
          <cell r="A941" t="str">
            <v>49014_1</v>
          </cell>
          <cell r="B941">
            <v>3</v>
          </cell>
          <cell r="C941">
            <v>49014</v>
          </cell>
          <cell r="D941" t="str">
            <v>ネコムート襲来！</v>
          </cell>
          <cell r="E941" t="str">
            <v>コラボ降臨10</v>
          </cell>
          <cell r="F941">
            <v>1</v>
          </cell>
          <cell r="G941" t="str">
            <v>ja</v>
          </cell>
          <cell r="H941" t="str">
            <v>【激ムズ】ネコムート襲来</v>
          </cell>
        </row>
        <row r="942">
          <cell r="A942" t="str">
            <v>49014_2</v>
          </cell>
          <cell r="B942">
            <v>3</v>
          </cell>
          <cell r="C942">
            <v>49014</v>
          </cell>
          <cell r="D942" t="str">
            <v>ネコムート襲来！</v>
          </cell>
          <cell r="E942" t="str">
            <v>コラボ降臨10</v>
          </cell>
          <cell r="F942">
            <v>2</v>
          </cell>
          <cell r="G942" t="str">
            <v>ja</v>
          </cell>
          <cell r="H942" t="str">
            <v>【超激ムズ】ネコムート襲来</v>
          </cell>
        </row>
        <row r="943">
          <cell r="A943" t="str">
            <v>49015_1</v>
          </cell>
          <cell r="B943">
            <v>3</v>
          </cell>
          <cell r="C943">
            <v>49015</v>
          </cell>
          <cell r="D943" t="str">
            <v>スカー襲来！</v>
          </cell>
          <cell r="E943" t="str">
            <v>コラボ降臨11</v>
          </cell>
          <cell r="F943">
            <v>1</v>
          </cell>
          <cell r="G943" t="str">
            <v>ja</v>
          </cell>
          <cell r="H943" t="str">
            <v>【上級】スカー襲来</v>
          </cell>
        </row>
        <row r="944">
          <cell r="A944" t="str">
            <v>49015_2</v>
          </cell>
          <cell r="B944">
            <v>3</v>
          </cell>
          <cell r="C944">
            <v>49015</v>
          </cell>
          <cell r="D944" t="str">
            <v>スカー襲来！</v>
          </cell>
          <cell r="E944" t="str">
            <v>コラボ降臨11</v>
          </cell>
          <cell r="F944">
            <v>2</v>
          </cell>
          <cell r="G944" t="str">
            <v>ja</v>
          </cell>
          <cell r="H944" t="str">
            <v>【超級】スカー襲来</v>
          </cell>
        </row>
        <row r="945">
          <cell r="A945" t="str">
            <v>49015_3</v>
          </cell>
          <cell r="B945">
            <v>3</v>
          </cell>
          <cell r="C945">
            <v>49015</v>
          </cell>
          <cell r="D945" t="str">
            <v>スカー襲来！</v>
          </cell>
          <cell r="E945" t="str">
            <v>コラボ降臨11</v>
          </cell>
          <cell r="F945">
            <v>3</v>
          </cell>
          <cell r="G945" t="str">
            <v>ja</v>
          </cell>
          <cell r="H945" t="str">
            <v>【ウィザード級】スカー襲来</v>
          </cell>
        </row>
        <row r="946">
          <cell r="A946" t="str">
            <v>49016_1</v>
          </cell>
          <cell r="B946">
            <v>1</v>
          </cell>
          <cell r="C946">
            <v>49016</v>
          </cell>
          <cell r="D946" t="str">
            <v>栗転</v>
          </cell>
          <cell r="E946" t="str">
            <v>コラボ降臨12</v>
          </cell>
          <cell r="F946">
            <v>1</v>
          </cell>
          <cell r="G946" t="str">
            <v>ja</v>
          </cell>
          <cell r="H946" t="str">
            <v>【超絶級】栗転</v>
          </cell>
        </row>
        <row r="947">
          <cell r="A947" t="str">
            <v>49016_2</v>
          </cell>
          <cell r="B947">
            <v>1</v>
          </cell>
          <cell r="C947">
            <v>49016</v>
          </cell>
          <cell r="D947" t="str">
            <v>栗転</v>
          </cell>
          <cell r="E947" t="str">
            <v>コラボ降臨12</v>
          </cell>
          <cell r="F947">
            <v>2</v>
          </cell>
          <cell r="G947" t="str">
            <v>ja</v>
          </cell>
          <cell r="H947" t="str">
            <v>【ウィザード級】栗転</v>
          </cell>
        </row>
        <row r="948">
          <cell r="A948" t="str">
            <v>50001_1</v>
          </cell>
          <cell r="B948">
            <v>3</v>
          </cell>
          <cell r="C948">
            <v>50001</v>
          </cell>
          <cell r="D948" t="str">
            <v>麒麟襲来！</v>
          </cell>
          <cell r="E948" t="str">
            <v>超降臨1</v>
          </cell>
          <cell r="F948">
            <v>1</v>
          </cell>
          <cell r="G948" t="str">
            <v>ja</v>
          </cell>
          <cell r="H948" t="str">
            <v xml:space="preserve">【超ウィザード級】麒麟襲来 </v>
          </cell>
        </row>
        <row r="949">
          <cell r="A949" t="str">
            <v>50002_1</v>
          </cell>
          <cell r="B949">
            <v>3</v>
          </cell>
          <cell r="C949">
            <v>50002</v>
          </cell>
          <cell r="D949" t="str">
            <v>オーディン襲来！</v>
          </cell>
          <cell r="E949" t="str">
            <v>超降臨2</v>
          </cell>
          <cell r="F949">
            <v>1</v>
          </cell>
          <cell r="G949" t="str">
            <v>ja</v>
          </cell>
          <cell r="H949" t="str">
            <v xml:space="preserve">【超ウィザード級】オーディン襲来 </v>
          </cell>
        </row>
        <row r="950">
          <cell r="A950" t="str">
            <v>50003_1</v>
          </cell>
          <cell r="B950">
            <v>3</v>
          </cell>
          <cell r="C950">
            <v>50003</v>
          </cell>
          <cell r="D950" t="str">
            <v>織田信長襲来！</v>
          </cell>
          <cell r="E950" t="str">
            <v>超降臨3</v>
          </cell>
          <cell r="F950">
            <v>1</v>
          </cell>
          <cell r="G950" t="str">
            <v>ja</v>
          </cell>
          <cell r="H950" t="str">
            <v xml:space="preserve">【超ウィザード級】織田信長襲来 </v>
          </cell>
        </row>
        <row r="951">
          <cell r="A951" t="str">
            <v>50004_1</v>
          </cell>
          <cell r="B951">
            <v>3</v>
          </cell>
          <cell r="C951">
            <v>50004</v>
          </cell>
          <cell r="D951" t="str">
            <v>ルシファー襲来！</v>
          </cell>
          <cell r="E951" t="str">
            <v>超降臨4</v>
          </cell>
          <cell r="F951">
            <v>1</v>
          </cell>
          <cell r="G951" t="str">
            <v>ja</v>
          </cell>
          <cell r="H951" t="str">
            <v xml:space="preserve">【超ウィザード級】ルシファー襲来 </v>
          </cell>
        </row>
        <row r="952">
          <cell r="A952" t="str">
            <v>50005_1</v>
          </cell>
          <cell r="B952">
            <v>3</v>
          </cell>
          <cell r="C952">
            <v>50005</v>
          </cell>
          <cell r="D952" t="str">
            <v>ゼウス襲来！</v>
          </cell>
          <cell r="E952" t="str">
            <v>超降臨5</v>
          </cell>
          <cell r="F952">
            <v>1</v>
          </cell>
          <cell r="G952" t="str">
            <v>ja</v>
          </cell>
          <cell r="H952" t="str">
            <v>【超ウィザード級】ゼウス襲来</v>
          </cell>
        </row>
        <row r="953">
          <cell r="A953" t="str">
            <v>50006_1</v>
          </cell>
          <cell r="B953">
            <v>3</v>
          </cell>
          <cell r="C953">
            <v>50006</v>
          </cell>
          <cell r="D953" t="str">
            <v>セト襲来！</v>
          </cell>
          <cell r="E953" t="str">
            <v>超降臨6</v>
          </cell>
          <cell r="F953">
            <v>1</v>
          </cell>
          <cell r="G953" t="str">
            <v>ja</v>
          </cell>
          <cell r="H953" t="str">
            <v>【超ウィザード級】セト襲来</v>
          </cell>
        </row>
        <row r="954">
          <cell r="A954" t="str">
            <v>50007_1</v>
          </cell>
          <cell r="B954">
            <v>3</v>
          </cell>
          <cell r="C954">
            <v>50007</v>
          </cell>
          <cell r="D954" t="str">
            <v>ギルガメッシュ襲来！</v>
          </cell>
          <cell r="E954" t="str">
            <v>超降臨7</v>
          </cell>
          <cell r="F954">
            <v>1</v>
          </cell>
          <cell r="G954" t="str">
            <v>ja</v>
          </cell>
          <cell r="H954" t="str">
            <v>【超ウィザ】ギルガメッシュ襲来</v>
          </cell>
        </row>
        <row r="955">
          <cell r="A955" t="str">
            <v>50008_1</v>
          </cell>
          <cell r="B955">
            <v>3</v>
          </cell>
          <cell r="C955">
            <v>50008</v>
          </cell>
          <cell r="D955" t="str">
            <v>呂布襲来！</v>
          </cell>
          <cell r="E955" t="str">
            <v>超降臨8</v>
          </cell>
          <cell r="F955">
            <v>1</v>
          </cell>
          <cell r="G955" t="str">
            <v>ja</v>
          </cell>
          <cell r="H955" t="str">
            <v>【超ウィザード級】呂布襲来</v>
          </cell>
        </row>
        <row r="956">
          <cell r="A956" t="str">
            <v>50009_1</v>
          </cell>
          <cell r="B956">
            <v>1</v>
          </cell>
          <cell r="C956">
            <v>50009</v>
          </cell>
          <cell r="D956" t="str">
            <v>ヘラ襲来！</v>
          </cell>
          <cell r="E956" t="str">
            <v>超降臨9</v>
          </cell>
          <cell r="F956">
            <v>1</v>
          </cell>
          <cell r="G956" t="str">
            <v>ja</v>
          </cell>
          <cell r="H956" t="str">
            <v>【超ウィザード級】ヘラ襲来</v>
          </cell>
        </row>
        <row r="957">
          <cell r="A957" t="str">
            <v>50010_1</v>
          </cell>
          <cell r="B957">
            <v>3</v>
          </cell>
          <cell r="C957">
            <v>50010</v>
          </cell>
          <cell r="D957" t="str">
            <v>カフカ襲来！</v>
          </cell>
          <cell r="E957" t="str">
            <v>超降臨10</v>
          </cell>
          <cell r="F957">
            <v>1</v>
          </cell>
          <cell r="G957" t="str">
            <v>ja</v>
          </cell>
          <cell r="H957" t="str">
            <v>【超ウィザード級】カフカ襲来</v>
          </cell>
        </row>
        <row r="958">
          <cell r="A958" t="str">
            <v>50011_1</v>
          </cell>
          <cell r="B958">
            <v>3</v>
          </cell>
          <cell r="C958">
            <v>50011</v>
          </cell>
          <cell r="D958" t="str">
            <v>ヘラ襲来！</v>
          </cell>
          <cell r="E958" t="str">
            <v>超降臨9</v>
          </cell>
          <cell r="F958">
            <v>1</v>
          </cell>
          <cell r="G958" t="str">
            <v>ja</v>
          </cell>
          <cell r="H958" t="str">
            <v>【超ウィザード級】ヘラ襲来</v>
          </cell>
        </row>
        <row r="959">
          <cell r="A959" t="str">
            <v>50012_1</v>
          </cell>
          <cell r="B959">
            <v>3</v>
          </cell>
          <cell r="C959">
            <v>50012</v>
          </cell>
          <cell r="D959" t="str">
            <v>豊臣秀吉襲来！</v>
          </cell>
          <cell r="E959" t="str">
            <v>超降臨11</v>
          </cell>
          <cell r="F959">
            <v>1</v>
          </cell>
          <cell r="G959" t="str">
            <v>ja</v>
          </cell>
          <cell r="H959" t="str">
            <v>【超ウィザード級】豊臣秀吉襲来</v>
          </cell>
        </row>
        <row r="960">
          <cell r="A960" t="str">
            <v>50013_1</v>
          </cell>
          <cell r="B960">
            <v>3</v>
          </cell>
          <cell r="C960">
            <v>50013</v>
          </cell>
          <cell r="D960" t="str">
            <v>ロキ襲来！</v>
          </cell>
          <cell r="E960" t="str">
            <v>超降臨12</v>
          </cell>
          <cell r="F960">
            <v>1</v>
          </cell>
          <cell r="G960" t="str">
            <v>ja</v>
          </cell>
          <cell r="H960" t="str">
            <v>【超ウィザード級】ロキ襲来</v>
          </cell>
        </row>
        <row r="961">
          <cell r="A961" t="str">
            <v>50014_1</v>
          </cell>
          <cell r="B961">
            <v>3</v>
          </cell>
          <cell r="C961">
            <v>50014</v>
          </cell>
          <cell r="D961" t="str">
            <v>スサノオ襲来！</v>
          </cell>
          <cell r="E961" t="str">
            <v>超降臨13</v>
          </cell>
          <cell r="F961">
            <v>1</v>
          </cell>
          <cell r="G961" t="str">
            <v>ja</v>
          </cell>
          <cell r="H961" t="str">
            <v>【超ウィザード級】スサノオ襲来</v>
          </cell>
        </row>
        <row r="962">
          <cell r="A962" t="str">
            <v>50015_1</v>
          </cell>
          <cell r="B962">
            <v>3</v>
          </cell>
          <cell r="C962">
            <v>50015</v>
          </cell>
          <cell r="D962" t="str">
            <v>アンデルセン襲来！</v>
          </cell>
          <cell r="E962" t="str">
            <v>超降臨14</v>
          </cell>
          <cell r="F962">
            <v>1</v>
          </cell>
          <cell r="G962" t="str">
            <v>ja</v>
          </cell>
          <cell r="H962" t="str">
            <v>【超ウィザード級】アンデルセン襲来</v>
          </cell>
        </row>
        <row r="963">
          <cell r="A963" t="str">
            <v>50016_1</v>
          </cell>
          <cell r="B963">
            <v>1</v>
          </cell>
          <cell r="C963">
            <v>50016</v>
          </cell>
          <cell r="D963" t="str">
            <v>アレキサンダー襲来！</v>
          </cell>
          <cell r="E963" t="str">
            <v>超降臨15</v>
          </cell>
          <cell r="F963">
            <v>1</v>
          </cell>
          <cell r="G963" t="str">
            <v>ja</v>
          </cell>
          <cell r="H963" t="str">
            <v>【超ウィザ】アレキサンダー襲来</v>
          </cell>
        </row>
        <row r="964">
          <cell r="A964" t="str">
            <v>51001_1</v>
          </cell>
          <cell r="B964">
            <v>3</v>
          </cell>
          <cell r="C964">
            <v>51001</v>
          </cell>
          <cell r="D964" t="str">
            <v>麒麟襲来！</v>
          </cell>
          <cell r="E964" t="str">
            <v>超降臨1</v>
          </cell>
          <cell r="F964">
            <v>1</v>
          </cell>
          <cell r="G964" t="str">
            <v>ja</v>
          </cell>
          <cell r="H964" t="str">
            <v xml:space="preserve">【超ウィザード級】麒麟襲来 </v>
          </cell>
        </row>
        <row r="965">
          <cell r="A965" t="str">
            <v>51002_1</v>
          </cell>
          <cell r="B965">
            <v>3</v>
          </cell>
          <cell r="C965">
            <v>51002</v>
          </cell>
          <cell r="D965" t="str">
            <v>オーディン襲来！</v>
          </cell>
          <cell r="E965" t="str">
            <v>超降臨2</v>
          </cell>
          <cell r="F965">
            <v>1</v>
          </cell>
          <cell r="G965" t="str">
            <v>ja</v>
          </cell>
          <cell r="H965" t="str">
            <v>【超ウィザード級】オーディン襲来</v>
          </cell>
        </row>
        <row r="966">
          <cell r="A966" t="str">
            <v>58001_1</v>
          </cell>
          <cell r="B966">
            <v>1</v>
          </cell>
          <cell r="C966">
            <v>58001</v>
          </cell>
          <cell r="D966" t="str">
            <v>曹操襲来！</v>
          </cell>
          <cell r="E966" t="str">
            <v>繁体字版超降臨1</v>
          </cell>
          <cell r="F966">
            <v>1</v>
          </cell>
          <cell r="G966" t="str">
            <v>ja</v>
          </cell>
          <cell r="H966" t="str">
            <v>【超ウィザード級】曹操襲来</v>
          </cell>
        </row>
        <row r="967">
          <cell r="A967" t="str">
            <v>58002_1</v>
          </cell>
          <cell r="B967">
            <v>1</v>
          </cell>
          <cell r="C967">
            <v>58002</v>
          </cell>
          <cell r="D967" t="str">
            <v>始皇贏政襲来！</v>
          </cell>
          <cell r="E967" t="str">
            <v>繁体字版超降臨2</v>
          </cell>
          <cell r="F967">
            <v>1</v>
          </cell>
          <cell r="G967" t="str">
            <v>ja</v>
          </cell>
          <cell r="H967" t="str">
            <v>【超ウィザード級】始皇贏政襲来</v>
          </cell>
        </row>
        <row r="968">
          <cell r="A968" t="str">
            <v>58003_1</v>
          </cell>
          <cell r="B968">
            <v>3</v>
          </cell>
          <cell r="C968">
            <v>58003</v>
          </cell>
          <cell r="D968" t="str">
            <v>曹操襲来！</v>
          </cell>
          <cell r="E968" t="str">
            <v>繁体字版超降臨1</v>
          </cell>
          <cell r="F968">
            <v>1</v>
          </cell>
          <cell r="G968" t="str">
            <v>ja</v>
          </cell>
          <cell r="H968" t="str">
            <v>【超ウィザード級】曹操襲来</v>
          </cell>
        </row>
        <row r="969">
          <cell r="A969" t="str">
            <v>58101_1</v>
          </cell>
          <cell r="B969">
            <v>1</v>
          </cell>
          <cell r="C969">
            <v>58101</v>
          </cell>
          <cell r="D969" t="str">
            <v>路西法襲来！</v>
          </cell>
          <cell r="E969" t="str">
            <v>繁体字版コラボ超降臨1</v>
          </cell>
          <cell r="F969">
            <v>1</v>
          </cell>
          <cell r="G969" t="str">
            <v>ja</v>
          </cell>
          <cell r="H969" t="str">
            <v>【超ウィザード級】路西法襲来</v>
          </cell>
        </row>
        <row r="970">
          <cell r="A970" t="str">
            <v>59001_1</v>
          </cell>
          <cell r="B970">
            <v>3</v>
          </cell>
          <cell r="C970">
            <v>59001</v>
          </cell>
          <cell r="D970" t="str">
            <v>電子歌姫の堕天使</v>
          </cell>
          <cell r="E970" t="str">
            <v>コラボ超降臨1</v>
          </cell>
          <cell r="F970">
            <v>1</v>
          </cell>
          <cell r="G970" t="str">
            <v>ja</v>
          </cell>
          <cell r="H970" t="str">
            <v>【超ウィザード級】電子歌姫の堕天使</v>
          </cell>
        </row>
        <row r="971">
          <cell r="A971" t="str">
            <v>59002_1</v>
          </cell>
          <cell r="B971">
            <v>3</v>
          </cell>
          <cell r="C971">
            <v>59002</v>
          </cell>
          <cell r="D971" t="str">
            <v>狂乱のネコ降臨</v>
          </cell>
          <cell r="E971" t="str">
            <v>コラボ超降臨2</v>
          </cell>
          <cell r="F971">
            <v>1</v>
          </cell>
          <cell r="G971" t="str">
            <v>ja</v>
          </cell>
          <cell r="H971" t="str">
            <v>【極ムズ】狂乱のネコ降臨</v>
          </cell>
        </row>
        <row r="972">
          <cell r="A972" t="str">
            <v>59003_1</v>
          </cell>
          <cell r="B972">
            <v>1</v>
          </cell>
          <cell r="C972">
            <v>59003</v>
          </cell>
          <cell r="D972" t="str">
            <v>風雷</v>
          </cell>
          <cell r="E972" t="str">
            <v>コラボ超降臨3</v>
          </cell>
          <cell r="F972">
            <v>1</v>
          </cell>
          <cell r="G972" t="str">
            <v>ja</v>
          </cell>
          <cell r="H972" t="str">
            <v>【ウィザード級】風雷</v>
          </cell>
        </row>
        <row r="973">
          <cell r="A973" t="str">
            <v>59003_2</v>
          </cell>
          <cell r="B973">
            <v>1</v>
          </cell>
          <cell r="C973">
            <v>59003</v>
          </cell>
          <cell r="D973" t="str">
            <v>風雷</v>
          </cell>
          <cell r="E973" t="str">
            <v>コラボ超降臨3</v>
          </cell>
          <cell r="F973">
            <v>2</v>
          </cell>
          <cell r="G973" t="str">
            <v>ja</v>
          </cell>
          <cell r="H973" t="str">
            <v>【超ウィザード級】風雷</v>
          </cell>
        </row>
        <row r="974">
          <cell r="A974" t="str">
            <v>60001_1</v>
          </cell>
          <cell r="B974">
            <v>1</v>
          </cell>
          <cell r="C974">
            <v>60001</v>
          </cell>
          <cell r="D974" t="str">
            <v>ヘンペルチャレンジ</v>
          </cell>
          <cell r="E974" t="str">
            <v>ランキング1</v>
          </cell>
          <cell r="F974">
            <v>1</v>
          </cell>
          <cell r="G974" t="str">
            <v>ja</v>
          </cell>
          <cell r="H974" t="str">
            <v>[ウィザード] 第一回</v>
          </cell>
        </row>
        <row r="975">
          <cell r="A975" t="str">
            <v>60002_1</v>
          </cell>
          <cell r="B975">
            <v>1</v>
          </cell>
          <cell r="C975">
            <v>60002</v>
          </cell>
          <cell r="D975" t="str">
            <v>ヘンペルチャレンジ</v>
          </cell>
          <cell r="E975" t="str">
            <v>ランキング1</v>
          </cell>
          <cell r="F975">
            <v>1</v>
          </cell>
          <cell r="G975" t="str">
            <v>ja</v>
          </cell>
          <cell r="H975" t="str">
            <v>[超級] 第2回　※Wizと難易度は同じ</v>
          </cell>
        </row>
        <row r="976">
          <cell r="A976" t="str">
            <v>60002_2</v>
          </cell>
          <cell r="B976">
            <v>1</v>
          </cell>
          <cell r="C976">
            <v>60002</v>
          </cell>
          <cell r="D976" t="str">
            <v>ヘンペルチャレンジ</v>
          </cell>
          <cell r="E976" t="str">
            <v>ランキング1</v>
          </cell>
          <cell r="F976">
            <v>2</v>
          </cell>
          <cell r="G976" t="str">
            <v>ja</v>
          </cell>
          <cell r="H976" t="str">
            <v>[ウィザード] 第2回　※Wizと難易度は同じ</v>
          </cell>
        </row>
        <row r="977">
          <cell r="A977" t="str">
            <v>60003_1</v>
          </cell>
          <cell r="B977">
            <v>1</v>
          </cell>
          <cell r="C977">
            <v>60003</v>
          </cell>
          <cell r="D977" t="str">
            <v>ヘンペルチャレンジ</v>
          </cell>
          <cell r="E977" t="str">
            <v>ランキング1</v>
          </cell>
          <cell r="F977">
            <v>1</v>
          </cell>
          <cell r="G977" t="str">
            <v>ja</v>
          </cell>
          <cell r="H977" t="str">
            <v>[中級] 第3回　</v>
          </cell>
        </row>
        <row r="978">
          <cell r="A978" t="str">
            <v>60003_2</v>
          </cell>
          <cell r="B978">
            <v>1</v>
          </cell>
          <cell r="C978">
            <v>60003</v>
          </cell>
          <cell r="D978" t="str">
            <v>ヘンペルチャレンジ</v>
          </cell>
          <cell r="E978" t="str">
            <v>ランキング1</v>
          </cell>
          <cell r="F978">
            <v>2</v>
          </cell>
          <cell r="G978" t="str">
            <v>ja</v>
          </cell>
          <cell r="H978" t="str">
            <v>[超級] 第3回　</v>
          </cell>
        </row>
        <row r="979">
          <cell r="A979" t="str">
            <v>60003_3</v>
          </cell>
          <cell r="B979">
            <v>1</v>
          </cell>
          <cell r="C979">
            <v>60003</v>
          </cell>
          <cell r="D979" t="str">
            <v>ヘンペルチャレンジ</v>
          </cell>
          <cell r="E979" t="str">
            <v>ランキング1</v>
          </cell>
          <cell r="F979">
            <v>3</v>
          </cell>
          <cell r="G979" t="str">
            <v>ja</v>
          </cell>
          <cell r="H979" t="str">
            <v>[ウィザード] 第3回　</v>
          </cell>
        </row>
        <row r="980">
          <cell r="A980" t="str">
            <v>60004_1</v>
          </cell>
          <cell r="B980">
            <v>1</v>
          </cell>
          <cell r="C980">
            <v>60004</v>
          </cell>
          <cell r="D980" t="str">
            <v>ヘンペルチャレンジ</v>
          </cell>
          <cell r="E980" t="str">
            <v>ランキング1</v>
          </cell>
          <cell r="F980">
            <v>1</v>
          </cell>
          <cell r="G980" t="str">
            <v>ja</v>
          </cell>
          <cell r="H980" t="str">
            <v>[ウィザード] 第4回　</v>
          </cell>
        </row>
        <row r="981">
          <cell r="A981" t="str">
            <v>60005_1</v>
          </cell>
          <cell r="B981">
            <v>1</v>
          </cell>
          <cell r="C981">
            <v>60005</v>
          </cell>
          <cell r="D981" t="str">
            <v>オイラーチャレンジ</v>
          </cell>
          <cell r="E981" t="str">
            <v>ランキング1</v>
          </cell>
          <cell r="F981">
            <v>1</v>
          </cell>
          <cell r="G981" t="str">
            <v>ja</v>
          </cell>
          <cell r="H981" t="str">
            <v>[ウィザード] 第5回　</v>
          </cell>
        </row>
        <row r="982">
          <cell r="A982" t="str">
            <v>60006_1</v>
          </cell>
          <cell r="B982">
            <v>0</v>
          </cell>
          <cell r="C982">
            <v>60006</v>
          </cell>
          <cell r="D982" t="str">
            <v>オイラーチャレンジ</v>
          </cell>
          <cell r="E982" t="str">
            <v>ランキング1（本番実装用）</v>
          </cell>
          <cell r="F982">
            <v>1</v>
          </cell>
          <cell r="G982" t="str">
            <v>ja</v>
          </cell>
          <cell r="H982" t="str">
            <v>【中級】オイラーチャレンジ</v>
          </cell>
        </row>
        <row r="983">
          <cell r="A983" t="str">
            <v>60006_2</v>
          </cell>
          <cell r="B983">
            <v>0</v>
          </cell>
          <cell r="C983">
            <v>60006</v>
          </cell>
          <cell r="D983" t="str">
            <v>オイラーチャレンジ</v>
          </cell>
          <cell r="E983" t="str">
            <v>ランキング1（本番実装用）</v>
          </cell>
          <cell r="F983">
            <v>2</v>
          </cell>
          <cell r="G983" t="str">
            <v>ja</v>
          </cell>
          <cell r="H983" t="str">
            <v>【超級】オイラーチャレンジ</v>
          </cell>
        </row>
        <row r="984">
          <cell r="A984" t="str">
            <v>60006_3</v>
          </cell>
          <cell r="B984">
            <v>3</v>
          </cell>
          <cell r="C984">
            <v>60006</v>
          </cell>
          <cell r="D984" t="str">
            <v>オイラーチャレンジ</v>
          </cell>
          <cell r="E984" t="str">
            <v>ランキング1（本番実装用）</v>
          </cell>
          <cell r="F984">
            <v>3</v>
          </cell>
          <cell r="G984" t="str">
            <v>ja</v>
          </cell>
          <cell r="H984" t="str">
            <v>【ウィザード級】オイラーチャレンジ</v>
          </cell>
        </row>
        <row r="985">
          <cell r="A985" t="str">
            <v>60007_1</v>
          </cell>
          <cell r="B985">
            <v>0</v>
          </cell>
          <cell r="C985">
            <v>60007</v>
          </cell>
          <cell r="D985" t="str">
            <v>オイラーチャレンジ</v>
          </cell>
          <cell r="E985" t="str">
            <v>ランキング1（改修版）</v>
          </cell>
          <cell r="F985">
            <v>1</v>
          </cell>
          <cell r="G985" t="str">
            <v>ja</v>
          </cell>
          <cell r="H985" t="str">
            <v>【中級】オイラーチャレンジ</v>
          </cell>
        </row>
        <row r="986">
          <cell r="A986" t="str">
            <v>60007_2</v>
          </cell>
          <cell r="B986">
            <v>0</v>
          </cell>
          <cell r="C986">
            <v>60007</v>
          </cell>
          <cell r="D986" t="str">
            <v>オイラーチャレンジ</v>
          </cell>
          <cell r="E986" t="str">
            <v>ランキング1（改修版）</v>
          </cell>
          <cell r="F986">
            <v>2</v>
          </cell>
          <cell r="G986" t="str">
            <v>ja</v>
          </cell>
          <cell r="H986" t="str">
            <v>【超級】オイラーチャレンジ</v>
          </cell>
        </row>
        <row r="987">
          <cell r="A987" t="str">
            <v>60007_3</v>
          </cell>
          <cell r="B987">
            <v>3</v>
          </cell>
          <cell r="C987">
            <v>60007</v>
          </cell>
          <cell r="D987" t="str">
            <v>オイラーチャレンジ</v>
          </cell>
          <cell r="E987" t="str">
            <v>ランキング1（改修版）</v>
          </cell>
          <cell r="F987">
            <v>3</v>
          </cell>
          <cell r="G987" t="str">
            <v>ja</v>
          </cell>
          <cell r="H987" t="str">
            <v>【ウィザード級】オイラーチャレンジ</v>
          </cell>
        </row>
        <row r="988">
          <cell r="A988" t="str">
            <v>60010_1</v>
          </cell>
          <cell r="B988">
            <v>3</v>
          </cell>
          <cell r="C988">
            <v>60010</v>
          </cell>
          <cell r="D988" t="str">
            <v>ラグランジュチャレンジ</v>
          </cell>
          <cell r="E988" t="str">
            <v>ランキング2（ラグランジュ）</v>
          </cell>
          <cell r="F988">
            <v>1</v>
          </cell>
          <cell r="G988" t="str">
            <v>ja</v>
          </cell>
          <cell r="H988" t="str">
            <v>ラグランジュチャレンジ</v>
          </cell>
        </row>
        <row r="989">
          <cell r="A989" t="str">
            <v>60011_1</v>
          </cell>
          <cell r="B989">
            <v>3</v>
          </cell>
          <cell r="C989">
            <v>60011</v>
          </cell>
          <cell r="D989" t="str">
            <v>ユークリッドチャレンジ</v>
          </cell>
          <cell r="E989" t="str">
            <v>ランキング3（ユークリッド）</v>
          </cell>
          <cell r="F989">
            <v>1</v>
          </cell>
          <cell r="G989" t="str">
            <v>ja</v>
          </cell>
          <cell r="H989" t="str">
            <v>ウィザード級</v>
          </cell>
        </row>
        <row r="990">
          <cell r="A990" t="str">
            <v>60011_2</v>
          </cell>
          <cell r="B990">
            <v>1</v>
          </cell>
          <cell r="C990">
            <v>60011</v>
          </cell>
          <cell r="D990" t="str">
            <v>ユークリッドチャレンジ</v>
          </cell>
          <cell r="E990" t="str">
            <v>ランキング3（ユークリッド）</v>
          </cell>
          <cell r="F990">
            <v>2</v>
          </cell>
          <cell r="G990" t="str">
            <v>ja</v>
          </cell>
          <cell r="H990" t="str">
            <v>超絶級</v>
          </cell>
        </row>
        <row r="991">
          <cell r="A991" t="str">
            <v>60012_1</v>
          </cell>
          <cell r="B991">
            <v>3</v>
          </cell>
          <cell r="C991">
            <v>60012</v>
          </cell>
          <cell r="D991" t="str">
            <v>ユークリッドチャレンジ</v>
          </cell>
          <cell r="E991" t="str">
            <v>ランキング3（ユークリッド）</v>
          </cell>
          <cell r="F991">
            <v>1</v>
          </cell>
          <cell r="G991" t="str">
            <v>ja</v>
          </cell>
          <cell r="H991" t="str">
            <v>ユークリッドチャレンジ</v>
          </cell>
        </row>
        <row r="992">
          <cell r="A992" t="str">
            <v>60013_1</v>
          </cell>
          <cell r="B992">
            <v>0</v>
          </cell>
          <cell r="C992">
            <v>60013</v>
          </cell>
          <cell r="D992" t="str">
            <v>オイラーチャレンジ</v>
          </cell>
          <cell r="E992" t="str">
            <v>ランキング1（再開催版）</v>
          </cell>
          <cell r="F992">
            <v>1</v>
          </cell>
          <cell r="G992" t="str">
            <v>ja</v>
          </cell>
          <cell r="H992" t="str">
            <v>【中級】オイラーチャレンジ</v>
          </cell>
        </row>
        <row r="993">
          <cell r="A993" t="str">
            <v>60013_2</v>
          </cell>
          <cell r="B993">
            <v>0</v>
          </cell>
          <cell r="C993">
            <v>60013</v>
          </cell>
          <cell r="D993" t="str">
            <v>オイラーチャレンジ</v>
          </cell>
          <cell r="E993" t="str">
            <v>ランキング1（再開催版）</v>
          </cell>
          <cell r="F993">
            <v>2</v>
          </cell>
          <cell r="G993" t="str">
            <v>ja</v>
          </cell>
          <cell r="H993" t="str">
            <v>【超級】オイラーチャレンジ</v>
          </cell>
        </row>
        <row r="994">
          <cell r="A994" t="str">
            <v>60013_3</v>
          </cell>
          <cell r="B994">
            <v>3</v>
          </cell>
          <cell r="C994">
            <v>60013</v>
          </cell>
          <cell r="D994" t="str">
            <v>オイラーチャレンジ</v>
          </cell>
          <cell r="E994" t="str">
            <v>ランキング1（再開催版）</v>
          </cell>
          <cell r="F994">
            <v>3</v>
          </cell>
          <cell r="G994" t="str">
            <v>ja</v>
          </cell>
          <cell r="H994" t="str">
            <v>【ウィザード級】オイラーチャレンジ</v>
          </cell>
        </row>
        <row r="995">
          <cell r="A995" t="str">
            <v>60014_1</v>
          </cell>
          <cell r="B995">
            <v>3</v>
          </cell>
          <cell r="C995">
            <v>60014</v>
          </cell>
          <cell r="D995" t="str">
            <v xml:space="preserve">クロネッカーチャレンジ </v>
          </cell>
          <cell r="E995" t="str">
            <v>ランキング4（クロネッカー）</v>
          </cell>
          <cell r="F995">
            <v>1</v>
          </cell>
          <cell r="G995" t="str">
            <v>ja</v>
          </cell>
          <cell r="H995" t="str">
            <v>クロネッカーチャレンジ</v>
          </cell>
        </row>
        <row r="996">
          <cell r="A996" t="str">
            <v>60015_1</v>
          </cell>
          <cell r="B996">
            <v>3</v>
          </cell>
          <cell r="C996">
            <v>60015</v>
          </cell>
          <cell r="D996" t="str">
            <v>ラグランジュチャレンジ</v>
          </cell>
          <cell r="E996" t="str">
            <v>ランキング2（再開催）</v>
          </cell>
          <cell r="F996">
            <v>1</v>
          </cell>
          <cell r="G996" t="str">
            <v>ja</v>
          </cell>
          <cell r="H996" t="str">
            <v>ラグランジュチャレンジ</v>
          </cell>
        </row>
        <row r="997">
          <cell r="A997" t="str">
            <v>60016_1</v>
          </cell>
          <cell r="B997">
            <v>3</v>
          </cell>
          <cell r="C997">
            <v>60016</v>
          </cell>
          <cell r="D997" t="str">
            <v>シュレディンガーチャレンジ</v>
          </cell>
          <cell r="E997" t="str">
            <v>ランキング5（シュレディンガー）</v>
          </cell>
          <cell r="F997">
            <v>1</v>
          </cell>
          <cell r="G997" t="str">
            <v>ja</v>
          </cell>
          <cell r="H997" t="str">
            <v>シュレディンガーチャレンジ</v>
          </cell>
        </row>
        <row r="998">
          <cell r="A998" t="str">
            <v>60017_1</v>
          </cell>
          <cell r="B998">
            <v>3</v>
          </cell>
          <cell r="C998">
            <v>60017</v>
          </cell>
          <cell r="D998" t="str">
            <v>ユークリッドチャレンジ</v>
          </cell>
          <cell r="E998" t="str">
            <v>ランキング3（再開催）</v>
          </cell>
          <cell r="F998">
            <v>1</v>
          </cell>
          <cell r="G998" t="str">
            <v>ja</v>
          </cell>
          <cell r="H998" t="str">
            <v>ユークリッドチャレンジ</v>
          </cell>
        </row>
        <row r="999">
          <cell r="A999" t="str">
            <v>60018_1</v>
          </cell>
          <cell r="B999">
            <v>3</v>
          </cell>
          <cell r="C999">
            <v>60018</v>
          </cell>
          <cell r="D999" t="str">
            <v>チューリングチャレンジ</v>
          </cell>
          <cell r="E999" t="str">
            <v>ランキング6</v>
          </cell>
          <cell r="F999">
            <v>1</v>
          </cell>
          <cell r="G999" t="str">
            <v>ja</v>
          </cell>
          <cell r="H999" t="str">
            <v>チューリングチャレンジ</v>
          </cell>
        </row>
        <row r="1000">
          <cell r="A1000" t="str">
            <v>60019_1</v>
          </cell>
          <cell r="B1000">
            <v>3</v>
          </cell>
          <cell r="C1000">
            <v>60019</v>
          </cell>
          <cell r="D1000" t="str">
            <v>ヘンペルチャレンジ</v>
          </cell>
          <cell r="E1000" t="str">
            <v>ランキング7</v>
          </cell>
          <cell r="F1000">
            <v>1</v>
          </cell>
          <cell r="G1000" t="str">
            <v>ja</v>
          </cell>
          <cell r="H1000" t="str">
            <v>ヘンペルチャレンジ</v>
          </cell>
        </row>
        <row r="1001">
          <cell r="A1001" t="str">
            <v>60020_1</v>
          </cell>
          <cell r="B1001">
            <v>3</v>
          </cell>
          <cell r="C1001">
            <v>60020</v>
          </cell>
          <cell r="D1001" t="str">
            <v>シュレディンガーチャレンジ</v>
          </cell>
          <cell r="E1001" t="str">
            <v>ランキング5（再開催）</v>
          </cell>
          <cell r="F1001">
            <v>1</v>
          </cell>
          <cell r="G1001" t="str">
            <v>ja</v>
          </cell>
          <cell r="H1001" t="str">
            <v>シュレディンガーチャレンジ</v>
          </cell>
        </row>
        <row r="1002">
          <cell r="A1002" t="str">
            <v>60021_3</v>
          </cell>
          <cell r="B1002">
            <v>1</v>
          </cell>
          <cell r="C1002">
            <v>60021</v>
          </cell>
          <cell r="D1002" t="str">
            <v>【月曜限定】 黄の素材verハンプ検証</v>
          </cell>
          <cell r="E1002" t="str">
            <v>検証</v>
          </cell>
          <cell r="F1002">
            <v>3</v>
          </cell>
          <cell r="G1002" t="str">
            <v>ja</v>
          </cell>
          <cell r="H1002" t="str">
            <v>【上級】ハンプティ検証</v>
          </cell>
        </row>
        <row r="1003">
          <cell r="A1003" t="str">
            <v>60022_3</v>
          </cell>
          <cell r="B1003">
            <v>1</v>
          </cell>
          <cell r="C1003">
            <v>60022</v>
          </cell>
          <cell r="D1003" t="str">
            <v>【火曜限定】 赤の素材verハンプ検証</v>
          </cell>
          <cell r="E1003" t="str">
            <v>検証</v>
          </cell>
          <cell r="F1003">
            <v>3</v>
          </cell>
          <cell r="G1003" t="str">
            <v>ja</v>
          </cell>
          <cell r="H1003" t="str">
            <v>【上級】ハンプティ検証</v>
          </cell>
        </row>
        <row r="1004">
          <cell r="A1004" t="str">
            <v>60023_3</v>
          </cell>
          <cell r="B1004">
            <v>1</v>
          </cell>
          <cell r="C1004">
            <v>60023</v>
          </cell>
          <cell r="D1004" t="str">
            <v>【水曜限定】 青の素材verハンプ検証</v>
          </cell>
          <cell r="E1004" t="str">
            <v>検証</v>
          </cell>
          <cell r="F1004">
            <v>3</v>
          </cell>
          <cell r="G1004" t="str">
            <v>ja</v>
          </cell>
          <cell r="H1004" t="str">
            <v>【上級】ハンプティ検証</v>
          </cell>
        </row>
        <row r="1005">
          <cell r="A1005" t="str">
            <v>60024_3</v>
          </cell>
          <cell r="B1005">
            <v>1</v>
          </cell>
          <cell r="C1005">
            <v>60024</v>
          </cell>
          <cell r="D1005" t="str">
            <v>【木曜限定】 緑の素材verハンプ検証</v>
          </cell>
          <cell r="E1005" t="str">
            <v>検証</v>
          </cell>
          <cell r="F1005">
            <v>3</v>
          </cell>
          <cell r="G1005" t="str">
            <v>ja</v>
          </cell>
          <cell r="H1005" t="str">
            <v>【上級】ハンプティ検証</v>
          </cell>
        </row>
        <row r="1006">
          <cell r="A1006" t="str">
            <v>60025_1</v>
          </cell>
          <cell r="B1006">
            <v>3</v>
          </cell>
          <cell r="C1006">
            <v>60025</v>
          </cell>
          <cell r="D1006" t="str">
            <v>マリアチャレンジ</v>
          </cell>
          <cell r="E1006" t="str">
            <v>ランキング8</v>
          </cell>
          <cell r="F1006">
            <v>1</v>
          </cell>
          <cell r="G1006" t="str">
            <v>ja</v>
          </cell>
          <cell r="H1006" t="str">
            <v>マリアチャレンジ</v>
          </cell>
        </row>
        <row r="1007">
          <cell r="A1007" t="str">
            <v>60026_1</v>
          </cell>
          <cell r="B1007">
            <v>3</v>
          </cell>
          <cell r="C1007">
            <v>60026</v>
          </cell>
          <cell r="D1007" t="str">
            <v>ハップルチャレンジ</v>
          </cell>
          <cell r="E1007" t="str">
            <v>ランキング9</v>
          </cell>
          <cell r="F1007">
            <v>1</v>
          </cell>
          <cell r="G1007" t="str">
            <v>ja</v>
          </cell>
          <cell r="H1007" t="str">
            <v>ハップルチャレンジ</v>
          </cell>
        </row>
        <row r="1008">
          <cell r="A1008" t="str">
            <v>61011_1</v>
          </cell>
          <cell r="B1008">
            <v>1</v>
          </cell>
          <cell r="C1008">
            <v>61011</v>
          </cell>
          <cell r="D1008" t="str">
            <v>ユークリッドチャレンジコピー</v>
          </cell>
          <cell r="E1008" t="str">
            <v>ランキング3（ユークリッド）</v>
          </cell>
          <cell r="F1008">
            <v>1</v>
          </cell>
          <cell r="G1008" t="str">
            <v>ja</v>
          </cell>
          <cell r="H1008" t="str">
            <v>ウィザード級コピー</v>
          </cell>
        </row>
        <row r="1009">
          <cell r="A1009" t="str">
            <v>60027_1</v>
          </cell>
          <cell r="B1009">
            <v>3</v>
          </cell>
          <cell r="C1009">
            <v>60027</v>
          </cell>
          <cell r="D1009" t="str">
            <v>チューリングチャレンジ</v>
          </cell>
          <cell r="E1009" t="str">
            <v>ランキング6（再開催）</v>
          </cell>
          <cell r="F1009">
            <v>1</v>
          </cell>
          <cell r="G1009" t="str">
            <v>ja</v>
          </cell>
          <cell r="H1009" t="str">
            <v>チューリングチャレンジ</v>
          </cell>
        </row>
        <row r="1010">
          <cell r="A1010" t="str">
            <v>60028_1</v>
          </cell>
          <cell r="B1010">
            <v>3</v>
          </cell>
          <cell r="C1010">
            <v>60028</v>
          </cell>
          <cell r="D1010" t="str">
            <v xml:space="preserve">クロネッカーチャレンジ </v>
          </cell>
          <cell r="E1010" t="str">
            <v>ランキング4（再開催）</v>
          </cell>
          <cell r="F1010">
            <v>1</v>
          </cell>
          <cell r="G1010" t="str">
            <v>ja</v>
          </cell>
          <cell r="H1010" t="str">
            <v>クロネッカーチャレンジ</v>
          </cell>
        </row>
        <row r="1011">
          <cell r="A1011" t="str">
            <v>60029_1</v>
          </cell>
          <cell r="B1011">
            <v>3</v>
          </cell>
          <cell r="C1011">
            <v>60029</v>
          </cell>
          <cell r="D1011" t="str">
            <v xml:space="preserve">オイラーチャレンジ </v>
          </cell>
          <cell r="E1011" t="str">
            <v>ランキング1（3回目）</v>
          </cell>
          <cell r="F1011">
            <v>1</v>
          </cell>
          <cell r="G1011" t="str">
            <v>ja</v>
          </cell>
          <cell r="H1011" t="str">
            <v>オイラーチャレンジ</v>
          </cell>
        </row>
        <row r="1012">
          <cell r="A1012" t="str">
            <v>60030_1</v>
          </cell>
          <cell r="B1012">
            <v>3</v>
          </cell>
          <cell r="C1012">
            <v>60030</v>
          </cell>
          <cell r="D1012" t="str">
            <v xml:space="preserve">フロイトチャレンジ </v>
          </cell>
          <cell r="E1012" t="str">
            <v>ランキング10</v>
          </cell>
          <cell r="F1012">
            <v>1</v>
          </cell>
          <cell r="G1012" t="str">
            <v>ja</v>
          </cell>
          <cell r="H1012" t="str">
            <v>フロイトチャレンジ</v>
          </cell>
        </row>
        <row r="1013">
          <cell r="A1013" t="str">
            <v>60031_1</v>
          </cell>
          <cell r="B1013">
            <v>3</v>
          </cell>
          <cell r="C1013">
            <v>60031</v>
          </cell>
          <cell r="D1013" t="str">
            <v xml:space="preserve">ヘンペルチャレンジ </v>
          </cell>
          <cell r="E1013" t="str">
            <v>ランキング7（再開催）</v>
          </cell>
          <cell r="F1013">
            <v>1</v>
          </cell>
          <cell r="G1013" t="str">
            <v>ja</v>
          </cell>
          <cell r="H1013" t="str">
            <v xml:space="preserve">ヘンペルチャレンジ </v>
          </cell>
        </row>
        <row r="1014">
          <cell r="A1014" t="str">
            <v>65523_1</v>
          </cell>
          <cell r="B1014">
            <v>1</v>
          </cell>
          <cell r="C1014">
            <v>65523</v>
          </cell>
          <cell r="D1014" t="str">
            <v>【LB尾崎】検証クエスト</v>
          </cell>
          <cell r="E1014" t="str">
            <v>童話シリーズ　超級</v>
          </cell>
          <cell r="F1014">
            <v>1</v>
          </cell>
          <cell r="G1014" t="str">
            <v>ja</v>
          </cell>
          <cell r="H1014" t="str">
            <v>【超級】スリーピギーズ（仮）</v>
          </cell>
        </row>
        <row r="1015">
          <cell r="A1015" t="str">
            <v>65523_2</v>
          </cell>
          <cell r="B1015">
            <v>1</v>
          </cell>
          <cell r="C1015">
            <v>65523</v>
          </cell>
          <cell r="D1015" t="str">
            <v>【LB尾崎】検証クエスト</v>
          </cell>
          <cell r="E1015" t="str">
            <v>童話シリーズ　超級</v>
          </cell>
          <cell r="F1015">
            <v>2</v>
          </cell>
          <cell r="G1015" t="str">
            <v>ja</v>
          </cell>
          <cell r="H1015" t="str">
            <v>【超級】スリーピギーズ（仮）</v>
          </cell>
        </row>
        <row r="1016">
          <cell r="A1016" t="str">
            <v>65523_3</v>
          </cell>
          <cell r="B1016">
            <v>1</v>
          </cell>
          <cell r="C1016">
            <v>65523</v>
          </cell>
          <cell r="D1016" t="str">
            <v>【LB尾崎】検証クエスト</v>
          </cell>
          <cell r="E1016" t="str">
            <v>童話シリーズ　超級</v>
          </cell>
          <cell r="F1016">
            <v>3</v>
          </cell>
          <cell r="G1016" t="str">
            <v>ja</v>
          </cell>
          <cell r="H1016" t="str">
            <v>【超級】スリーピギーズ（仮）</v>
          </cell>
        </row>
        <row r="1017">
          <cell r="A1017" t="str">
            <v>65524_1</v>
          </cell>
          <cell r="B1017">
            <v>1</v>
          </cell>
          <cell r="C1017">
            <v>65524</v>
          </cell>
          <cell r="D1017" t="str">
            <v>【LB田頭】検証クエスト</v>
          </cell>
          <cell r="E1017" t="str">
            <v>童話シリーズ　超級</v>
          </cell>
          <cell r="F1017">
            <v>1</v>
          </cell>
          <cell r="G1017" t="str">
            <v>ja</v>
          </cell>
          <cell r="H1017" t="str">
            <v>【上級】スリーピギーズ（仮）</v>
          </cell>
        </row>
        <row r="1018">
          <cell r="A1018" t="str">
            <v>65524_2</v>
          </cell>
          <cell r="B1018">
            <v>1</v>
          </cell>
          <cell r="C1018">
            <v>65524</v>
          </cell>
          <cell r="D1018" t="str">
            <v>【LB田頭】検証クエスト</v>
          </cell>
          <cell r="E1018" t="str">
            <v>童話シリーズ　超級</v>
          </cell>
          <cell r="F1018">
            <v>2</v>
          </cell>
          <cell r="G1018" t="str">
            <v>ja</v>
          </cell>
          <cell r="H1018" t="str">
            <v>【超級】スリーピギーズ（仮）</v>
          </cell>
        </row>
        <row r="1019">
          <cell r="A1019" t="str">
            <v>65525_1</v>
          </cell>
          <cell r="B1019">
            <v>1</v>
          </cell>
          <cell r="C1019">
            <v>65525</v>
          </cell>
          <cell r="D1019" t="str">
            <v>【LB田邉】検証クエスト</v>
          </cell>
          <cell r="E1019" t="str">
            <v>検証</v>
          </cell>
          <cell r="F1019">
            <v>1</v>
          </cell>
          <cell r="G1019" t="str">
            <v>ja</v>
          </cell>
          <cell r="H1019" t="str">
            <v>【LB田邉】アニメーション検証</v>
          </cell>
        </row>
        <row r="1020">
          <cell r="A1020" t="str">
            <v>65526_1</v>
          </cell>
          <cell r="B1020">
            <v>1</v>
          </cell>
          <cell r="C1020">
            <v>65526</v>
          </cell>
          <cell r="D1020" t="str">
            <v>【LB加藤】検証クエスト</v>
          </cell>
          <cell r="E1020" t="str">
            <v>検証</v>
          </cell>
          <cell r="F1020">
            <v>1</v>
          </cell>
          <cell r="G1020" t="str">
            <v>ja</v>
          </cell>
          <cell r="H1020" t="str">
            <v>【LB加藤】検証</v>
          </cell>
        </row>
        <row r="1021">
          <cell r="A1021" t="str">
            <v>65526_2</v>
          </cell>
          <cell r="B1021">
            <v>1</v>
          </cell>
          <cell r="C1021">
            <v>65526</v>
          </cell>
          <cell r="D1021" t="str">
            <v>【LB加藤】検証クエスト</v>
          </cell>
          <cell r="E1021" t="str">
            <v>検証</v>
          </cell>
          <cell r="F1021">
            <v>2</v>
          </cell>
          <cell r="G1021" t="str">
            <v>ja</v>
          </cell>
          <cell r="H1021" t="str">
            <v>【LB加藤】ハップル仮実装</v>
          </cell>
        </row>
        <row r="1022">
          <cell r="A1022" t="str">
            <v>65527_1</v>
          </cell>
          <cell r="B1022">
            <v>1</v>
          </cell>
          <cell r="C1022">
            <v>65527</v>
          </cell>
          <cell r="D1022" t="str">
            <v>【LB石川】検証クエスト</v>
          </cell>
          <cell r="E1022" t="str">
            <v>検証</v>
          </cell>
          <cell r="F1022">
            <v>1</v>
          </cell>
          <cell r="G1022" t="str">
            <v>ja</v>
          </cell>
          <cell r="H1022" t="str">
            <v>【LB石川】検証</v>
          </cell>
        </row>
        <row r="1023">
          <cell r="A1023" t="str">
            <v>65528_1</v>
          </cell>
          <cell r="B1023">
            <v>1</v>
          </cell>
          <cell r="C1023">
            <v>65528</v>
          </cell>
          <cell r="D1023" t="str">
            <v>【LB保堂】検証クエスト</v>
          </cell>
          <cell r="E1023" t="str">
            <v>検証</v>
          </cell>
          <cell r="F1023">
            <v>1</v>
          </cell>
          <cell r="G1023" t="str">
            <v>ja</v>
          </cell>
          <cell r="H1023" t="str">
            <v>【LB保堂】検証</v>
          </cell>
        </row>
        <row r="1024">
          <cell r="A1024" t="str">
            <v>65529_1</v>
          </cell>
          <cell r="B1024">
            <v>1</v>
          </cell>
          <cell r="C1024">
            <v>65529</v>
          </cell>
          <cell r="D1024" t="str">
            <v>【LB植松】検証クエスト</v>
          </cell>
          <cell r="E1024" t="str">
            <v>検証</v>
          </cell>
          <cell r="F1024">
            <v>1</v>
          </cell>
          <cell r="G1024" t="str">
            <v>ja</v>
          </cell>
          <cell r="H1024" t="str">
            <v>【LB植松】検証</v>
          </cell>
        </row>
        <row r="1025">
          <cell r="A1025" t="str">
            <v>65530_1</v>
          </cell>
          <cell r="B1025">
            <v>1</v>
          </cell>
          <cell r="C1025">
            <v>65530</v>
          </cell>
          <cell r="D1025" t="str">
            <v>【LB渡邉】検証クエスト</v>
          </cell>
          <cell r="E1025" t="str">
            <v>検証</v>
          </cell>
          <cell r="F1025">
            <v>1</v>
          </cell>
          <cell r="G1025" t="str">
            <v>ja</v>
          </cell>
          <cell r="H1025" t="str">
            <v>【LB渡邉】検証</v>
          </cell>
        </row>
        <row r="1026">
          <cell r="A1026" t="str">
            <v>65531_1</v>
          </cell>
          <cell r="B1026">
            <v>1</v>
          </cell>
          <cell r="C1026">
            <v>65531</v>
          </cell>
          <cell r="D1026" t="str">
            <v>【LB塚本】検証クエスト</v>
          </cell>
          <cell r="E1026" t="str">
            <v>検証</v>
          </cell>
          <cell r="F1026">
            <v>1</v>
          </cell>
          <cell r="G1026" t="str">
            <v>ja</v>
          </cell>
          <cell r="H1026" t="str">
            <v>【LB塚本】検証</v>
          </cell>
        </row>
        <row r="1027">
          <cell r="A1027" t="str">
            <v>65531_2</v>
          </cell>
          <cell r="B1027">
            <v>1</v>
          </cell>
          <cell r="C1027">
            <v>65531</v>
          </cell>
          <cell r="D1027" t="str">
            <v>【LB塚本】検証クエスト</v>
          </cell>
          <cell r="E1027" t="str">
            <v>検証</v>
          </cell>
          <cell r="F1027">
            <v>2</v>
          </cell>
          <cell r="G1027" t="str">
            <v>ja</v>
          </cell>
          <cell r="H1027" t="str">
            <v>【LB塚本】検証プレイ用</v>
          </cell>
        </row>
        <row r="1028">
          <cell r="A1028" t="str">
            <v>65532_1</v>
          </cell>
          <cell r="B1028">
            <v>1</v>
          </cell>
          <cell r="C1028">
            <v>65532</v>
          </cell>
          <cell r="D1028" t="str">
            <v>【LB山川】検証クエスト</v>
          </cell>
          <cell r="E1028" t="str">
            <v>検証</v>
          </cell>
          <cell r="F1028">
            <v>1</v>
          </cell>
          <cell r="G1028" t="str">
            <v>ja</v>
          </cell>
          <cell r="H1028" t="str">
            <v>【LB山川】検証</v>
          </cell>
        </row>
        <row r="1029">
          <cell r="A1029" t="str">
            <v>65532_2</v>
          </cell>
          <cell r="B1029">
            <v>1</v>
          </cell>
          <cell r="C1029">
            <v>65532</v>
          </cell>
          <cell r="D1029" t="str">
            <v>【LB山川】検証クエスト</v>
          </cell>
          <cell r="E1029" t="str">
            <v>検証</v>
          </cell>
          <cell r="F1029">
            <v>2</v>
          </cell>
          <cell r="G1029" t="str">
            <v>ja</v>
          </cell>
          <cell r="H1029" t="str">
            <v>【LB山川】検証プレイ用</v>
          </cell>
        </row>
        <row r="1030">
          <cell r="A1030" t="str">
            <v>65533_1</v>
          </cell>
          <cell r="B1030">
            <v>1</v>
          </cell>
          <cell r="C1030">
            <v>65533</v>
          </cell>
          <cell r="D1030" t="str">
            <v>【程塚】検証クエスト</v>
          </cell>
          <cell r="E1030" t="str">
            <v>検証</v>
          </cell>
          <cell r="F1030">
            <v>1</v>
          </cell>
          <cell r="G1030" t="str">
            <v>ja</v>
          </cell>
          <cell r="H1030" t="str">
            <v>【超級】若造よ、身の程を知れ</v>
          </cell>
        </row>
        <row r="1031">
          <cell r="A1031" t="str">
            <v>65533_2</v>
          </cell>
          <cell r="B1031">
            <v>1</v>
          </cell>
          <cell r="C1031">
            <v>65533</v>
          </cell>
          <cell r="D1031" t="str">
            <v>【程塚】検証クエスト</v>
          </cell>
          <cell r="E1031" t="str">
            <v>検証</v>
          </cell>
          <cell r="F1031">
            <v>2</v>
          </cell>
          <cell r="G1031" t="str">
            <v>ja</v>
          </cell>
          <cell r="H1031" t="str">
            <v>【超絶級】若造よ、身の程を知れ</v>
          </cell>
        </row>
        <row r="1032">
          <cell r="A1032" t="str">
            <v>65534_1</v>
          </cell>
          <cell r="B1032">
            <v>1</v>
          </cell>
          <cell r="C1032">
            <v>65534</v>
          </cell>
          <cell r="D1032" t="str">
            <v>【LB大野】検証クエスト</v>
          </cell>
          <cell r="E1032" t="str">
            <v>検証</v>
          </cell>
          <cell r="F1032">
            <v>1</v>
          </cell>
          <cell r="G1032" t="str">
            <v>ja</v>
          </cell>
          <cell r="H1032" t="str">
            <v>【LB大野】検証</v>
          </cell>
        </row>
        <row r="1033">
          <cell r="A1033" t="str">
            <v>65535_1</v>
          </cell>
          <cell r="B1033">
            <v>1</v>
          </cell>
          <cell r="C1033">
            <v>65535</v>
          </cell>
          <cell r="D1033" t="str">
            <v>１２３４５６７８９０１２３４５６７８９０１２３４５６７８９０</v>
          </cell>
          <cell r="E1033" t="str">
            <v>検証</v>
          </cell>
          <cell r="F1033">
            <v>1</v>
          </cell>
          <cell r="G1033" t="str">
            <v>ja</v>
          </cell>
          <cell r="H1033" t="str">
            <v>テンプレート</v>
          </cell>
        </row>
        <row r="1034">
          <cell r="A1034" t="str">
            <v>65535_2</v>
          </cell>
          <cell r="B1034">
            <v>1</v>
          </cell>
          <cell r="C1034">
            <v>65535</v>
          </cell>
          <cell r="D1034" t="str">
            <v>１２３４５６７８９０１２３４５６７８９０１２３４５６７８９０</v>
          </cell>
          <cell r="E1034" t="str">
            <v>検証</v>
          </cell>
          <cell r="F1034">
            <v>2</v>
          </cell>
          <cell r="G1034" t="str">
            <v>ja</v>
          </cell>
          <cell r="H1034" t="str">
            <v>ランクアップクエスト</v>
          </cell>
        </row>
        <row r="1035">
          <cell r="A1035" t="str">
            <v>65535_3</v>
          </cell>
          <cell r="B1035">
            <v>1</v>
          </cell>
          <cell r="C1035">
            <v>65535</v>
          </cell>
          <cell r="D1035" t="str">
            <v>１２３４５６７８９０１２３４５６７８９０１２３４５６７８９０</v>
          </cell>
          <cell r="E1035" t="str">
            <v>検証</v>
          </cell>
          <cell r="F1035">
            <v>3</v>
          </cell>
          <cell r="G1035" t="str">
            <v>ja</v>
          </cell>
          <cell r="H1035" t="str">
            <v>サンドボックス</v>
          </cell>
        </row>
        <row r="1036">
          <cell r="A1036" t="str">
            <v>65535_4</v>
          </cell>
          <cell r="B1036">
            <v>1</v>
          </cell>
          <cell r="C1036">
            <v>65535</v>
          </cell>
          <cell r="D1036" t="str">
            <v>１２３４５６７８９０１２３４５６７８９０１２３４５６７８９０</v>
          </cell>
          <cell r="E1036" t="str">
            <v>検証</v>
          </cell>
          <cell r="F1036">
            <v>4</v>
          </cell>
          <cell r="G1036" t="str">
            <v>ja</v>
          </cell>
          <cell r="H1036" t="str">
            <v>フリーズジャンヌ</v>
          </cell>
        </row>
        <row r="1037">
          <cell r="A1037" t="str">
            <v>65535_5</v>
          </cell>
          <cell r="B1037">
            <v>1</v>
          </cell>
          <cell r="C1037">
            <v>65535</v>
          </cell>
          <cell r="D1037" t="str">
            <v>１２３４５６７８９０１２３４５６７８９０１２３４５６７８９０</v>
          </cell>
          <cell r="E1037" t="str">
            <v>検証</v>
          </cell>
          <cell r="F1037">
            <v>5</v>
          </cell>
          <cell r="G1037" t="str">
            <v>ja</v>
          </cell>
          <cell r="H1037" t="str">
            <v>ウィルスジャンヌ</v>
          </cell>
        </row>
        <row r="1038">
          <cell r="A1038" t="str">
            <v>65535_6</v>
          </cell>
          <cell r="B1038">
            <v>1</v>
          </cell>
          <cell r="C1038">
            <v>65535</v>
          </cell>
          <cell r="D1038" t="str">
            <v>１２３４５６７８９０１２３４５６７８９０１２３４５６７８９０</v>
          </cell>
          <cell r="E1038" t="str">
            <v>検証</v>
          </cell>
          <cell r="F1038">
            <v>6</v>
          </cell>
          <cell r="G1038" t="str">
            <v>ja</v>
          </cell>
          <cell r="H1038" t="str">
            <v>お邪魔ジャンヌ</v>
          </cell>
        </row>
        <row r="1039">
          <cell r="A1039" t="str">
            <v>65535_7</v>
          </cell>
          <cell r="B1039">
            <v>1</v>
          </cell>
          <cell r="C1039">
            <v>65535</v>
          </cell>
          <cell r="D1039" t="str">
            <v>１２３４５６７８９０１２３４５６７８９０１２３４５６７８９０</v>
          </cell>
          <cell r="E1039" t="str">
            <v>検証</v>
          </cell>
          <cell r="F1039">
            <v>7</v>
          </cell>
          <cell r="G1039" t="str">
            <v>ja</v>
          </cell>
          <cell r="H1039" t="str">
            <v>爆風ジャンヌ</v>
          </cell>
        </row>
        <row r="1040">
          <cell r="A1040" t="str">
            <v>65535_8</v>
          </cell>
          <cell r="B1040">
            <v>1</v>
          </cell>
          <cell r="C1040">
            <v>65535</v>
          </cell>
          <cell r="D1040" t="str">
            <v>１２３４５６７８９０１２３４５６７８９０１２３４５６７８９０</v>
          </cell>
          <cell r="E1040" t="str">
            <v>検証</v>
          </cell>
          <cell r="F1040">
            <v>8</v>
          </cell>
          <cell r="G1040" t="str">
            <v>ja</v>
          </cell>
          <cell r="H1040" t="str">
            <v>テスト</v>
          </cell>
        </row>
        <row r="1041">
          <cell r="A1041" t="str">
            <v>65535_9</v>
          </cell>
          <cell r="B1041">
            <v>1</v>
          </cell>
          <cell r="C1041">
            <v>65535</v>
          </cell>
          <cell r="D1041" t="str">
            <v>１２３４５６７８９０１２３４５６７８９０１２３４５６７８９０</v>
          </cell>
          <cell r="E1041" t="str">
            <v>検証</v>
          </cell>
          <cell r="F1041">
            <v>9</v>
          </cell>
          <cell r="G1041" t="str">
            <v>ja</v>
          </cell>
          <cell r="H1041" t="str">
            <v>本気プロテクトジャンヌ</v>
          </cell>
        </row>
        <row r="1042">
          <cell r="A1042" t="str">
            <v>65535_10</v>
          </cell>
          <cell r="B1042">
            <v>1</v>
          </cell>
          <cell r="C1042">
            <v>65535</v>
          </cell>
          <cell r="D1042" t="str">
            <v>１２３４５６７８９０１２３４５６７８９０１２３４５６７８９０</v>
          </cell>
          <cell r="E1042" t="str">
            <v>検証</v>
          </cell>
          <cell r="F1042">
            <v>10</v>
          </cell>
          <cell r="G1042" t="str">
            <v>ja</v>
          </cell>
          <cell r="H1042" t="str">
            <v>本気ウィルスミケランジェロ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1"/>
  <sheetViews>
    <sheetView workbookViewId="0">
      <selection activeCell="A7" sqref="A7"/>
    </sheetView>
  </sheetViews>
  <sheetFormatPr baseColWidth="12" defaultRowHeight="15" x14ac:dyDescent="0.15"/>
  <cols>
    <col min="2" max="2" width="17.1640625" customWidth="1"/>
    <col min="5" max="5" width="17.6640625" bestFit="1" customWidth="1"/>
    <col min="6" max="6" width="22.1640625" bestFit="1" customWidth="1"/>
  </cols>
  <sheetData>
    <row r="1" spans="1:23" x14ac:dyDescent="0.15">
      <c r="A1" s="186" t="s">
        <v>258</v>
      </c>
      <c r="B1" s="186" t="s">
        <v>240</v>
      </c>
      <c r="C1" s="186" t="s">
        <v>241</v>
      </c>
      <c r="D1" s="186" t="s">
        <v>242</v>
      </c>
      <c r="E1" s="186" t="s">
        <v>243</v>
      </c>
      <c r="F1" s="186" t="s">
        <v>244</v>
      </c>
      <c r="G1" s="186" t="s">
        <v>245</v>
      </c>
      <c r="H1" s="186"/>
      <c r="I1" s="186"/>
      <c r="J1" s="186"/>
      <c r="K1" s="186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</row>
    <row r="2" spans="1:23" x14ac:dyDescent="0.15">
      <c r="A2" s="188" t="s">
        <v>259</v>
      </c>
      <c r="B2" s="188" t="s">
        <v>264</v>
      </c>
      <c r="C2" s="188" t="s">
        <v>265</v>
      </c>
      <c r="D2" s="188" t="s">
        <v>263</v>
      </c>
      <c r="E2" s="187" t="str">
        <f t="shared" ref="E2:E7" si="0">B2&amp;C2&amp;D2</f>
        <v>units_base.tmp</v>
      </c>
      <c r="F2" s="188" t="s">
        <v>249</v>
      </c>
      <c r="G2" s="92" t="s">
        <v>19</v>
      </c>
      <c r="H2" s="93" t="s">
        <v>172</v>
      </c>
      <c r="I2" s="93" t="s">
        <v>1</v>
      </c>
      <c r="J2" s="93" t="s">
        <v>3</v>
      </c>
      <c r="K2" s="93" t="s">
        <v>2</v>
      </c>
      <c r="L2" s="93" t="s">
        <v>174</v>
      </c>
      <c r="M2" s="93" t="s">
        <v>22</v>
      </c>
      <c r="N2" s="93" t="s">
        <v>199</v>
      </c>
      <c r="O2" s="93" t="s">
        <v>177</v>
      </c>
      <c r="P2" s="93" t="s">
        <v>84</v>
      </c>
      <c r="Q2" s="93" t="s">
        <v>112</v>
      </c>
      <c r="R2" s="188" t="s">
        <v>338</v>
      </c>
      <c r="S2" s="188"/>
      <c r="T2" s="188"/>
      <c r="U2" s="188"/>
      <c r="V2" s="188"/>
      <c r="W2" s="188"/>
    </row>
    <row r="3" spans="1:23" x14ac:dyDescent="0.15">
      <c r="A3" s="188" t="s">
        <v>339</v>
      </c>
      <c r="B3" s="188" t="s">
        <v>266</v>
      </c>
      <c r="C3" s="188" t="s">
        <v>265</v>
      </c>
      <c r="D3" s="188" t="s">
        <v>263</v>
      </c>
      <c r="E3" s="187" t="str">
        <f t="shared" si="0"/>
        <v>awake_materials_base.tmp</v>
      </c>
      <c r="F3" s="188" t="s">
        <v>248</v>
      </c>
      <c r="G3" s="189" t="s">
        <v>83</v>
      </c>
      <c r="H3" s="190" t="s">
        <v>81</v>
      </c>
      <c r="I3" s="190" t="s">
        <v>82</v>
      </c>
      <c r="J3" s="191"/>
      <c r="K3" s="191"/>
      <c r="L3" s="191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1"/>
    </row>
    <row r="4" spans="1:23" x14ac:dyDescent="0.15">
      <c r="A4" s="188" t="s">
        <v>339</v>
      </c>
      <c r="B4" s="188" t="s">
        <v>266</v>
      </c>
      <c r="C4" s="188" t="s">
        <v>265</v>
      </c>
      <c r="D4" s="188" t="s">
        <v>263</v>
      </c>
      <c r="E4" s="187" t="str">
        <f t="shared" si="0"/>
        <v>awake_materials_base.tmp</v>
      </c>
      <c r="F4" s="188" t="s">
        <v>248</v>
      </c>
      <c r="G4" s="189" t="s">
        <v>83</v>
      </c>
      <c r="H4" s="190" t="s">
        <v>81</v>
      </c>
      <c r="I4" s="190" t="s">
        <v>82</v>
      </c>
      <c r="J4" s="200" t="s">
        <v>261</v>
      </c>
      <c r="K4" s="191"/>
      <c r="L4" s="191"/>
      <c r="M4" s="191"/>
      <c r="N4" s="191"/>
      <c r="O4" s="191"/>
      <c r="P4" s="191"/>
      <c r="Q4" s="191"/>
      <c r="R4" s="191"/>
      <c r="S4" s="191"/>
      <c r="T4" s="191"/>
      <c r="U4" s="191"/>
      <c r="V4" s="191"/>
      <c r="W4" s="191"/>
    </row>
    <row r="5" spans="1:23" x14ac:dyDescent="0.15">
      <c r="A5" s="188" t="s">
        <v>340</v>
      </c>
      <c r="B5" s="188" t="s">
        <v>250</v>
      </c>
      <c r="C5" s="188"/>
      <c r="D5" s="188" t="s">
        <v>246</v>
      </c>
      <c r="E5" s="187" t="str">
        <f t="shared" si="0"/>
        <v>awake_material_habitats.csv</v>
      </c>
      <c r="F5" s="188" t="s">
        <v>250</v>
      </c>
      <c r="G5" s="94" t="s">
        <v>29</v>
      </c>
      <c r="H5" s="95" t="s">
        <v>98</v>
      </c>
      <c r="I5" s="95" t="s">
        <v>99</v>
      </c>
      <c r="J5" s="191"/>
      <c r="K5" s="191"/>
      <c r="L5" s="191"/>
      <c r="M5" s="191"/>
      <c r="N5" s="191"/>
      <c r="O5" s="191"/>
      <c r="P5" s="191"/>
      <c r="Q5" s="191"/>
      <c r="R5" s="191"/>
      <c r="S5" s="191"/>
      <c r="T5" s="191"/>
      <c r="U5" s="191"/>
      <c r="V5" s="191"/>
      <c r="W5" s="191"/>
    </row>
    <row r="6" spans="1:23" x14ac:dyDescent="0.15">
      <c r="A6" s="188" t="s">
        <v>340</v>
      </c>
      <c r="B6" s="188" t="s">
        <v>306</v>
      </c>
      <c r="C6" s="188"/>
      <c r="D6" s="188" t="s">
        <v>307</v>
      </c>
      <c r="E6" s="187" t="str">
        <f t="shared" si="0"/>
        <v>awake_material_habitats_i18n.csv</v>
      </c>
      <c r="F6" s="188" t="s">
        <v>308</v>
      </c>
      <c r="G6" s="94" t="s">
        <v>309</v>
      </c>
      <c r="H6" s="95" t="s">
        <v>311</v>
      </c>
      <c r="I6" s="95" t="s">
        <v>310</v>
      </c>
      <c r="J6" s="191"/>
      <c r="K6" s="191"/>
      <c r="L6" s="191"/>
      <c r="M6" s="191"/>
      <c r="N6" s="191"/>
      <c r="O6" s="191"/>
      <c r="P6" s="191"/>
      <c r="Q6" s="191"/>
      <c r="R6" s="191"/>
      <c r="S6" s="191"/>
      <c r="T6" s="191"/>
      <c r="U6" s="191"/>
      <c r="V6" s="191"/>
      <c r="W6" s="191"/>
    </row>
    <row r="7" spans="1:23" x14ac:dyDescent="0.15">
      <c r="A7" s="188" t="s">
        <v>259</v>
      </c>
      <c r="B7" s="188" t="s">
        <v>251</v>
      </c>
      <c r="C7" s="188"/>
      <c r="D7" s="188" t="s">
        <v>246</v>
      </c>
      <c r="E7" s="187" t="str">
        <f t="shared" si="0"/>
        <v>limitbreak_materials.csv</v>
      </c>
      <c r="F7" s="188" t="s">
        <v>251</v>
      </c>
      <c r="G7" s="94" t="s">
        <v>29</v>
      </c>
      <c r="H7" s="95" t="s">
        <v>100</v>
      </c>
      <c r="I7" s="95" t="s">
        <v>101</v>
      </c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191"/>
      <c r="V7" s="191"/>
      <c r="W7" s="191"/>
    </row>
    <row r="8" spans="1:23" x14ac:dyDescent="0.15">
      <c r="A8" s="188" t="s">
        <v>339</v>
      </c>
      <c r="B8" s="188" t="s">
        <v>267</v>
      </c>
      <c r="C8" s="188" t="s">
        <v>265</v>
      </c>
      <c r="D8" s="188" t="s">
        <v>268</v>
      </c>
      <c r="E8" s="187" t="str">
        <f t="shared" ref="E8:E10" si="1">B8&amp;C8&amp;D8</f>
        <v>unit_levels_calc_base.tmp</v>
      </c>
      <c r="F8" s="188" t="s">
        <v>247</v>
      </c>
      <c r="G8" s="82" t="s">
        <v>19</v>
      </c>
      <c r="H8" s="83" t="s">
        <v>2</v>
      </c>
      <c r="I8" s="84" t="s">
        <v>154</v>
      </c>
      <c r="J8" s="84" t="s">
        <v>155</v>
      </c>
      <c r="K8" s="84" t="s">
        <v>156</v>
      </c>
      <c r="L8" s="84" t="s">
        <v>157</v>
      </c>
      <c r="M8" s="84" t="s">
        <v>163</v>
      </c>
      <c r="N8" s="84" t="s">
        <v>164</v>
      </c>
      <c r="O8" s="84" t="s">
        <v>165</v>
      </c>
      <c r="P8" s="84" t="s">
        <v>166</v>
      </c>
      <c r="Q8" s="84" t="s">
        <v>167</v>
      </c>
      <c r="R8" s="84" t="s">
        <v>170</v>
      </c>
      <c r="S8" s="84" t="s">
        <v>168</v>
      </c>
      <c r="T8" s="84" t="s">
        <v>169</v>
      </c>
      <c r="U8" s="84" t="s">
        <v>158</v>
      </c>
      <c r="V8" s="84" t="s">
        <v>159</v>
      </c>
      <c r="W8" s="84" t="s">
        <v>160</v>
      </c>
    </row>
    <row r="9" spans="1:23" x14ac:dyDescent="0.15">
      <c r="A9" s="188" t="s">
        <v>339</v>
      </c>
      <c r="B9" s="188" t="s">
        <v>254</v>
      </c>
      <c r="C9" s="188"/>
      <c r="D9" s="188" t="s">
        <v>252</v>
      </c>
      <c r="E9" s="187" t="str">
        <f>B9&amp;C9&amp;D9</f>
        <v>unit_exp_table.dat</v>
      </c>
      <c r="F9" s="188" t="s">
        <v>253</v>
      </c>
      <c r="G9" s="86" t="s">
        <v>28</v>
      </c>
      <c r="H9" s="87" t="s">
        <v>131</v>
      </c>
      <c r="I9" s="87" t="s">
        <v>132</v>
      </c>
      <c r="J9" s="87" t="s">
        <v>133</v>
      </c>
      <c r="K9" s="87" t="s">
        <v>134</v>
      </c>
      <c r="L9" s="87" t="s">
        <v>135</v>
      </c>
      <c r="M9" s="87" t="s">
        <v>136</v>
      </c>
      <c r="N9" s="87" t="s">
        <v>137</v>
      </c>
      <c r="O9" s="87" t="s">
        <v>138</v>
      </c>
      <c r="P9" s="191"/>
      <c r="Q9" s="191"/>
      <c r="R9" s="191"/>
      <c r="S9" s="191"/>
      <c r="T9" s="191"/>
      <c r="U9" s="191"/>
      <c r="V9" s="191"/>
      <c r="W9" s="191"/>
    </row>
    <row r="10" spans="1:23" x14ac:dyDescent="0.15">
      <c r="A10" s="188" t="s">
        <v>339</v>
      </c>
      <c r="B10" s="192" t="s">
        <v>256</v>
      </c>
      <c r="C10" s="192"/>
      <c r="D10" s="192" t="s">
        <v>252</v>
      </c>
      <c r="E10" s="193" t="str">
        <f t="shared" si="1"/>
        <v>unit_material_exp.dat</v>
      </c>
      <c r="F10" s="192" t="s">
        <v>255</v>
      </c>
      <c r="G10" s="86" t="s">
        <v>28</v>
      </c>
      <c r="H10" s="87" t="s">
        <v>120</v>
      </c>
      <c r="I10" s="194"/>
      <c r="J10" s="194"/>
      <c r="K10" s="194"/>
      <c r="L10" s="194"/>
      <c r="M10" s="194"/>
      <c r="N10" s="194"/>
      <c r="O10" s="194"/>
      <c r="P10" s="194"/>
      <c r="Q10" s="194"/>
      <c r="R10" s="194"/>
      <c r="S10" s="194"/>
      <c r="T10" s="194"/>
      <c r="U10" s="194"/>
      <c r="V10" s="194"/>
      <c r="W10" s="194"/>
    </row>
    <row r="11" spans="1:23" x14ac:dyDescent="0.15">
      <c r="A11" s="188" t="s">
        <v>339</v>
      </c>
      <c r="B11" s="188" t="s">
        <v>257</v>
      </c>
      <c r="C11" s="188"/>
      <c r="D11" s="188" t="s">
        <v>252</v>
      </c>
      <c r="E11" s="187" t="str">
        <f t="shared" ref="E11" si="2">B11&amp;C11&amp;D11</f>
        <v>unit_soldprice_rate.dat</v>
      </c>
      <c r="F11" s="191" t="s">
        <v>257</v>
      </c>
      <c r="G11" s="195" t="s">
        <v>28</v>
      </c>
      <c r="H11" s="196" t="s">
        <v>116</v>
      </c>
      <c r="I11" s="188"/>
      <c r="J11" s="188"/>
      <c r="K11" s="188"/>
      <c r="L11" s="188"/>
      <c r="M11" s="188"/>
      <c r="N11" s="188"/>
      <c r="O11" s="188"/>
      <c r="P11" s="188"/>
      <c r="Q11" s="188"/>
      <c r="R11" s="188"/>
      <c r="S11" s="188"/>
      <c r="T11" s="188"/>
      <c r="U11" s="188"/>
      <c r="V11" s="188"/>
      <c r="W11" s="188"/>
    </row>
  </sheetData>
  <phoneticPr fontId="24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I23"/>
  <sheetViews>
    <sheetView workbookViewId="0">
      <selection activeCell="B31" sqref="B31"/>
    </sheetView>
  </sheetViews>
  <sheetFormatPr baseColWidth="12" defaultRowHeight="15" x14ac:dyDescent="0.15"/>
  <cols>
    <col min="1" max="1" width="3.5" style="105" customWidth="1"/>
    <col min="2" max="2" width="12.83203125" style="105"/>
    <col min="3" max="3" width="7.33203125" style="106" bestFit="1" customWidth="1"/>
    <col min="4" max="4" width="7.6640625" style="105" bestFit="1" customWidth="1"/>
    <col min="5" max="16384" width="12.83203125" style="105"/>
  </cols>
  <sheetData>
    <row r="2" spans="2:9" s="106" customFormat="1" x14ac:dyDescent="0.15">
      <c r="B2" s="108" t="s">
        <v>201</v>
      </c>
      <c r="C2" s="108"/>
      <c r="D2" s="108" t="s">
        <v>210</v>
      </c>
      <c r="E2" s="108" t="s">
        <v>204</v>
      </c>
      <c r="F2" s="108" t="s">
        <v>205</v>
      </c>
      <c r="G2" s="108" t="s">
        <v>206</v>
      </c>
    </row>
    <row r="3" spans="2:9" x14ac:dyDescent="0.15">
      <c r="B3" s="239">
        <v>1</v>
      </c>
      <c r="C3" s="110" t="s">
        <v>202</v>
      </c>
      <c r="D3" s="111">
        <f>MIN('RC6SV'!B$7:B$19)</f>
        <v>1500</v>
      </c>
      <c r="E3" s="111">
        <f>ROUND($D3*E$14*E$15*E$17*E$19,0)</f>
        <v>71</v>
      </c>
      <c r="F3" s="111">
        <f>ROUND($D3*F$14*F$15*F$17*F$19,0)</f>
        <v>22</v>
      </c>
      <c r="G3" s="111">
        <f>ROUND($D3*G$14*G$15*G$17*G$19,0)</f>
        <v>14</v>
      </c>
    </row>
    <row r="4" spans="2:9" x14ac:dyDescent="0.15">
      <c r="B4" s="239"/>
      <c r="C4" s="112" t="s">
        <v>203</v>
      </c>
      <c r="D4" s="113">
        <f>MAX('RC6SV'!B$7:B$19)</f>
        <v>2000</v>
      </c>
      <c r="E4" s="113">
        <f>ROUND($D4*E$14*E$16*E$18*E$20,0)</f>
        <v>1701</v>
      </c>
      <c r="F4" s="113">
        <f>ROUND($D4*F$14*F$16*F$18*F$20,0)</f>
        <v>673</v>
      </c>
      <c r="G4" s="113">
        <f>ROUND($D4*G$14*G$16*G$18*G$20,0)</f>
        <v>739</v>
      </c>
    </row>
    <row r="5" spans="2:9" x14ac:dyDescent="0.15">
      <c r="B5" s="239">
        <v>2</v>
      </c>
      <c r="C5" s="110" t="s">
        <v>202</v>
      </c>
      <c r="D5" s="111">
        <f>MIN('RC6SV'!C$7:C$19)</f>
        <v>2300</v>
      </c>
      <c r="E5" s="111">
        <f>ROUND($D5*E$14*E$15*E$17*E$19,0)</f>
        <v>108</v>
      </c>
      <c r="F5" s="111">
        <f>ROUND($D5*F$14*F$15*F$17*F$19,0)</f>
        <v>34</v>
      </c>
      <c r="G5" s="111">
        <f>ROUND($D5*G$14*G$15*G$17*G$19,0)</f>
        <v>21</v>
      </c>
    </row>
    <row r="6" spans="2:9" x14ac:dyDescent="0.15">
      <c r="B6" s="239"/>
      <c r="C6" s="112" t="s">
        <v>211</v>
      </c>
      <c r="D6" s="113">
        <f>MAX('RC6SV'!C$7:C$19)</f>
        <v>3000</v>
      </c>
      <c r="E6" s="113">
        <f>ROUND($D6*E$14*E$16*E$18*E$20,0)</f>
        <v>2551</v>
      </c>
      <c r="F6" s="113">
        <f>ROUND($D6*F$14*F$16*F$18*F$20,0)</f>
        <v>1010</v>
      </c>
      <c r="G6" s="113">
        <f>ROUND($D6*G$14*G$16*G$18*G$20,0)</f>
        <v>1108</v>
      </c>
    </row>
    <row r="7" spans="2:9" x14ac:dyDescent="0.15">
      <c r="B7" s="239">
        <v>3</v>
      </c>
      <c r="C7" s="110" t="s">
        <v>202</v>
      </c>
      <c r="D7" s="111">
        <f>MIN('RC6SV'!D$7:D$19)</f>
        <v>4000</v>
      </c>
      <c r="E7" s="111">
        <f>ROUND($D7*E$14*E$15*E$17*E$19,0)</f>
        <v>188</v>
      </c>
      <c r="F7" s="111">
        <f>ROUND($D7*F$14*F$15*F$17*F$19,0)</f>
        <v>59</v>
      </c>
      <c r="G7" s="111">
        <f>ROUND($D7*G$14*G$15*G$17*G$19,0)</f>
        <v>37</v>
      </c>
    </row>
    <row r="8" spans="2:9" x14ac:dyDescent="0.15">
      <c r="B8" s="239"/>
      <c r="C8" s="112" t="s">
        <v>211</v>
      </c>
      <c r="D8" s="113">
        <f>MAX('RC6SV'!D$7:D$19)</f>
        <v>5000</v>
      </c>
      <c r="E8" s="113">
        <f>ROUND($D8*E$14*E$16*E$18*E$20,0)</f>
        <v>4252</v>
      </c>
      <c r="F8" s="113">
        <f>ROUND($D8*F$14*F$16*F$18*F$20,0)</f>
        <v>1683</v>
      </c>
      <c r="G8" s="113">
        <f>ROUND($D8*G$14*G$16*G$18*G$20,0)</f>
        <v>1847</v>
      </c>
    </row>
    <row r="9" spans="2:9" x14ac:dyDescent="0.15">
      <c r="B9" s="239">
        <v>4</v>
      </c>
      <c r="C9" s="110" t="s">
        <v>202</v>
      </c>
      <c r="D9" s="111">
        <f>MIN('RC6SV'!E$7:E$19)</f>
        <v>5400</v>
      </c>
      <c r="E9" s="111">
        <f>ROUND($D9*E$14*E$15*E$17*E$19,0)</f>
        <v>254</v>
      </c>
      <c r="F9" s="111">
        <f>ROUND($D9*F$14*F$15*F$17*F$19,0)</f>
        <v>79</v>
      </c>
      <c r="G9" s="111">
        <f>ROUND($D9*G$14*G$15*G$17*G$19,0)</f>
        <v>50</v>
      </c>
      <c r="I9"/>
    </row>
    <row r="10" spans="2:9" x14ac:dyDescent="0.15">
      <c r="B10" s="239"/>
      <c r="C10" s="112" t="s">
        <v>211</v>
      </c>
      <c r="D10" s="113">
        <f>MAX('RC6SV'!E$7:E$19)</f>
        <v>8000</v>
      </c>
      <c r="E10" s="113">
        <f>ROUND($D10*E$14*E$16*E$18*E$20,0)</f>
        <v>6803</v>
      </c>
      <c r="F10" s="113">
        <f>ROUND($D10*F$14*F$16*F$18*F$20,0)</f>
        <v>2693</v>
      </c>
      <c r="G10" s="113">
        <f>ROUND($D10*G$14*G$16*G$18*G$20,0)</f>
        <v>2955</v>
      </c>
      <c r="I10"/>
    </row>
    <row r="11" spans="2:9" x14ac:dyDescent="0.15">
      <c r="B11" s="239">
        <v>5</v>
      </c>
      <c r="C11" s="110" t="s">
        <v>202</v>
      </c>
      <c r="D11" s="111">
        <f>MIN('RC6SV'!F$7:F$19)</f>
        <v>7600</v>
      </c>
      <c r="E11" s="111">
        <f>ROUND($D11*E$14*E$15*E$17*E$19,0)</f>
        <v>358</v>
      </c>
      <c r="F11" s="111">
        <f>ROUND($D11*F$14*F$15*F$17*F$19,0)</f>
        <v>112</v>
      </c>
      <c r="G11" s="111">
        <f>ROUND($D11*G$14*G$15*G$17*G$19,0)</f>
        <v>70</v>
      </c>
    </row>
    <row r="12" spans="2:9" x14ac:dyDescent="0.15">
      <c r="B12" s="239"/>
      <c r="C12" s="112" t="s">
        <v>211</v>
      </c>
      <c r="D12" s="113">
        <f>MAX('RC6SV'!F$7:F$19)</f>
        <v>10000</v>
      </c>
      <c r="E12" s="113">
        <f>ROUND($D12*E$14*E$16*E$18*E$20,0)</f>
        <v>8504</v>
      </c>
      <c r="F12" s="113">
        <f>ROUND($D12*F$14*F$16*F$18*F$20,0)</f>
        <v>3366</v>
      </c>
      <c r="G12" s="113">
        <f>ROUND($D12*G$14*G$16*G$18*G$20,0)</f>
        <v>3693</v>
      </c>
    </row>
    <row r="13" spans="2:9" x14ac:dyDescent="0.15">
      <c r="B13" s="116" t="s">
        <v>212</v>
      </c>
      <c r="C13" s="107"/>
      <c r="D13" s="109"/>
      <c r="E13" s="109"/>
      <c r="F13" s="109"/>
      <c r="G13" s="109"/>
    </row>
    <row r="14" spans="2:9" x14ac:dyDescent="0.15">
      <c r="B14" s="117" t="s">
        <v>216</v>
      </c>
      <c r="C14" s="122" t="s">
        <v>217</v>
      </c>
      <c r="D14" s="123"/>
      <c r="E14" s="124">
        <f>[2]ステータス!$B$2</f>
        <v>0.5</v>
      </c>
      <c r="F14" s="124">
        <f>[2]ステータス!$C$2</f>
        <v>0.3</v>
      </c>
      <c r="G14" s="124">
        <f>[2]ステータス!$E$2</f>
        <v>0.25</v>
      </c>
    </row>
    <row r="15" spans="2:9" x14ac:dyDescent="0.15">
      <c r="B15" s="239" t="s">
        <v>208</v>
      </c>
      <c r="C15" s="110" t="s">
        <v>202</v>
      </c>
      <c r="D15" s="111"/>
      <c r="E15" s="125">
        <f>MIN([2]属性!B$2:B$6)</f>
        <v>0.98</v>
      </c>
      <c r="F15" s="125">
        <f>MIN([2]属性!C$2:C$6)</f>
        <v>0.98</v>
      </c>
      <c r="G15" s="125">
        <f>MIN([2]属性!E$2:E$6)</f>
        <v>0.98</v>
      </c>
    </row>
    <row r="16" spans="2:9" x14ac:dyDescent="0.15">
      <c r="B16" s="239"/>
      <c r="C16" s="112" t="s">
        <v>211</v>
      </c>
      <c r="D16" s="113"/>
      <c r="E16" s="126">
        <f>MAX([2]属性!B$2:B$6)</f>
        <v>1.02</v>
      </c>
      <c r="F16" s="126">
        <f>MAX([2]属性!C$2:C$6)</f>
        <v>1.02</v>
      </c>
      <c r="G16" s="126">
        <f>MAX([2]属性!E$2:E$6)</f>
        <v>1.02</v>
      </c>
    </row>
    <row r="17" spans="2:7" x14ac:dyDescent="0.15">
      <c r="B17" s="239" t="s">
        <v>207</v>
      </c>
      <c r="C17" s="110" t="s">
        <v>202</v>
      </c>
      <c r="D17" s="111"/>
      <c r="E17" s="125">
        <f>MIN([2]character_type_i18n!D$4:D$8)</f>
        <v>0.1</v>
      </c>
      <c r="F17" s="125">
        <f>MIN([2]character_type_i18n!E$4:E$8)</f>
        <v>0.05</v>
      </c>
      <c r="G17" s="125">
        <f>MIN([2]character_type_i18n!G$4:G$8)</f>
        <v>0.05</v>
      </c>
    </row>
    <row r="18" spans="2:7" x14ac:dyDescent="0.15">
      <c r="B18" s="239"/>
      <c r="C18" s="112" t="s">
        <v>211</v>
      </c>
      <c r="D18" s="113"/>
      <c r="E18" s="126">
        <f>MAX([2]character_type_i18n!D$4:D$8)</f>
        <v>1.45</v>
      </c>
      <c r="F18" s="126">
        <f>MAX([2]character_type_i18n!E$4:E$8)</f>
        <v>1</v>
      </c>
      <c r="G18" s="126">
        <f>MAX([2]character_type_i18n!G$4:G$8)</f>
        <v>1.42</v>
      </c>
    </row>
    <row r="19" spans="2:7" x14ac:dyDescent="0.15">
      <c r="B19" s="239" t="s">
        <v>209</v>
      </c>
      <c r="C19" s="110" t="s">
        <v>202</v>
      </c>
      <c r="D19" s="111"/>
      <c r="E19" s="125">
        <f>MIN([2]character_tribe_i18n!D$4:D$9)</f>
        <v>0.96</v>
      </c>
      <c r="F19" s="125">
        <f>MIN([2]character_tribe_i18n!E$4:E$9)</f>
        <v>1</v>
      </c>
      <c r="G19" s="125">
        <f>MIN([2]character_tribe_i18n!G$4:G$9)</f>
        <v>0.75</v>
      </c>
    </row>
    <row r="20" spans="2:7" x14ac:dyDescent="0.15">
      <c r="B20" s="239"/>
      <c r="C20" s="112" t="s">
        <v>211</v>
      </c>
      <c r="D20" s="113"/>
      <c r="E20" s="126">
        <f>MAX([2]character_tribe_i18n!D$4:D$9)</f>
        <v>1.1499999999999999</v>
      </c>
      <c r="F20" s="126">
        <f>MAX([2]character_tribe_i18n!E$4:E$9)</f>
        <v>1.1000000000000001</v>
      </c>
      <c r="G20" s="126">
        <f>MAX([2]character_tribe_i18n!G$4:G$9)</f>
        <v>1.02</v>
      </c>
    </row>
    <row r="21" spans="2:7" ht="18" customHeight="1" x14ac:dyDescent="0.15">
      <c r="B21" s="236" t="s">
        <v>214</v>
      </c>
      <c r="C21" s="114" t="s">
        <v>202</v>
      </c>
      <c r="D21" s="115"/>
      <c r="E21" s="127">
        <f>E14*E15*E17*E19</f>
        <v>4.7039999999999998E-2</v>
      </c>
      <c r="F21" s="127">
        <f t="shared" ref="F21:G21" si="0">F14*F15*F17*F19</f>
        <v>1.47E-2</v>
      </c>
      <c r="G21" s="128">
        <f t="shared" si="0"/>
        <v>9.1875000000000012E-3</v>
      </c>
    </row>
    <row r="22" spans="2:7" x14ac:dyDescent="0.15">
      <c r="B22" s="237"/>
      <c r="C22" s="118" t="s">
        <v>211</v>
      </c>
      <c r="D22" s="119"/>
      <c r="E22" s="129">
        <f>E14*E16*E18*E20</f>
        <v>0.85042499999999988</v>
      </c>
      <c r="F22" s="129">
        <f t="shared" ref="F22:G22" si="1">F14*F16*F18*F20</f>
        <v>0.33660000000000001</v>
      </c>
      <c r="G22" s="130">
        <f t="shared" si="1"/>
        <v>0.369342</v>
      </c>
    </row>
    <row r="23" spans="2:7" x14ac:dyDescent="0.15">
      <c r="B23" s="238"/>
      <c r="C23" s="120" t="s">
        <v>215</v>
      </c>
      <c r="D23" s="121"/>
      <c r="E23" s="131">
        <f>E22/E21</f>
        <v>18.078762755102037</v>
      </c>
      <c r="F23" s="131">
        <f t="shared" ref="F23:G23" si="2">F22/F21</f>
        <v>22.897959183673471</v>
      </c>
      <c r="G23" s="132">
        <f t="shared" si="2"/>
        <v>40.200489795918365</v>
      </c>
    </row>
  </sheetData>
  <mergeCells count="9">
    <mergeCell ref="B21:B23"/>
    <mergeCell ref="B15:B16"/>
    <mergeCell ref="B17:B18"/>
    <mergeCell ref="B19:B20"/>
    <mergeCell ref="B3:B4"/>
    <mergeCell ref="B5:B6"/>
    <mergeCell ref="B7:B8"/>
    <mergeCell ref="B9:B10"/>
    <mergeCell ref="B11:B12"/>
  </mergeCells>
  <phoneticPr fontId="24"/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438"/>
  <sheetViews>
    <sheetView showGridLines="0" workbookViewId="0">
      <pane xSplit="9" ySplit="1" topLeftCell="AS694" activePane="bottomRight" state="frozen"/>
      <selection pane="topRight" activeCell="J1" sqref="J1"/>
      <selection pane="bottomLeft" activeCell="A3" sqref="A3"/>
      <selection pane="bottomRight" activeCell="AU47" sqref="AU47"/>
    </sheetView>
  </sheetViews>
  <sheetFormatPr baseColWidth="12" defaultColWidth="8.83203125" defaultRowHeight="21" customHeight="1" outlineLevelCol="1" x14ac:dyDescent="0.15"/>
  <cols>
    <col min="1" max="1" width="12.83203125" style="15" customWidth="1"/>
    <col min="2" max="2" width="21.5" style="16" bestFit="1" customWidth="1" collapsed="1"/>
    <col min="3" max="3" width="23.6640625" style="16" hidden="1" customWidth="1" outlineLevel="1"/>
    <col min="4" max="4" width="8.6640625" style="16" hidden="1" customWidth="1" outlineLevel="1"/>
    <col min="5" max="5" width="8" style="16" hidden="1" customWidth="1" outlineLevel="1"/>
    <col min="6" max="6" width="7.1640625" style="16" hidden="1" customWidth="1" outlineLevel="1"/>
    <col min="7" max="7" width="9.6640625" style="16" bestFit="1" customWidth="1"/>
    <col min="8" max="8" width="13.6640625" style="16" bestFit="1" customWidth="1"/>
    <col min="9" max="9" width="10.5" style="16" bestFit="1" customWidth="1"/>
    <col min="10" max="10" width="9.83203125" style="16" customWidth="1" outlineLevel="1"/>
    <col min="11" max="13" width="13.6640625" style="16" customWidth="1" outlineLevel="1"/>
    <col min="14" max="14" width="10" style="16" bestFit="1" customWidth="1"/>
    <col min="15" max="15" width="13.5" style="16" bestFit="1" customWidth="1"/>
    <col min="16" max="16" width="13.5" style="16" customWidth="1"/>
    <col min="17" max="17" width="18.83203125" style="16" bestFit="1" customWidth="1"/>
    <col min="18" max="18" width="14.1640625" style="16" customWidth="1" collapsed="1"/>
    <col min="19" max="19" width="12.33203125" style="16" hidden="1" customWidth="1" outlineLevel="1"/>
    <col min="20" max="22" width="13.6640625" style="16" hidden="1" customWidth="1" outlineLevel="1"/>
    <col min="23" max="23" width="22.83203125" style="15" bestFit="1" customWidth="1"/>
    <col min="24" max="24" width="14.1640625" style="16" customWidth="1" collapsed="1"/>
    <col min="25" max="25" width="22" style="16" hidden="1" customWidth="1" outlineLevel="1"/>
    <col min="26" max="26" width="14.1640625" style="16" hidden="1" customWidth="1" outlineLevel="1"/>
    <col min="27" max="27" width="12.33203125" style="16" hidden="1" customWidth="1" outlineLevel="1"/>
    <col min="28" max="30" width="13.6640625" style="16" hidden="1" customWidth="1" outlineLevel="1"/>
    <col min="31" max="31" width="20.1640625" style="15" bestFit="1" customWidth="1"/>
    <col min="32" max="32" width="18.83203125" style="16" bestFit="1" customWidth="1"/>
    <col min="33" max="34" width="18.83203125" style="16" customWidth="1"/>
    <col min="35" max="35" width="15.1640625" style="16" customWidth="1"/>
    <col min="36" max="36" width="13.1640625" style="15" customWidth="1"/>
    <col min="37" max="37" width="15.33203125" style="16" bestFit="1" customWidth="1"/>
    <col min="38" max="38" width="13.33203125" style="16" bestFit="1" customWidth="1"/>
    <col min="39" max="39" width="15.33203125" style="17" bestFit="1" customWidth="1"/>
    <col min="40" max="40" width="14" style="17" bestFit="1" customWidth="1"/>
    <col min="41" max="41" width="16" style="58" bestFit="1" customWidth="1"/>
    <col min="42" max="42" width="14.33203125" style="18" bestFit="1" customWidth="1"/>
    <col min="43" max="43" width="20.83203125" style="16" customWidth="1"/>
    <col min="44" max="44" width="80.6640625" style="16" customWidth="1" outlineLevel="1"/>
    <col min="45" max="45" width="6.83203125" style="16" customWidth="1"/>
    <col min="46" max="46" width="15.6640625" style="15" bestFit="1" customWidth="1"/>
    <col min="47" max="47" width="43.6640625" style="16" customWidth="1"/>
    <col min="48" max="48" width="43.6640625" style="16" customWidth="1" outlineLevel="1"/>
    <col min="49" max="49" width="6.83203125" style="16" customWidth="1"/>
    <col min="50" max="50" width="11.33203125" style="16" bestFit="1" customWidth="1"/>
    <col min="51" max="54" width="8.33203125" style="15" customWidth="1"/>
    <col min="55" max="55" width="12" style="16" bestFit="1" customWidth="1"/>
    <col min="56" max="56" width="12" style="16" bestFit="1" customWidth="1" collapsed="1"/>
    <col min="57" max="57" width="14.33203125" style="16" hidden="1" customWidth="1" outlineLevel="1"/>
    <col min="58" max="58" width="16.1640625" style="16" hidden="1" customWidth="1" outlineLevel="1"/>
    <col min="59" max="62" width="11.83203125" style="16" customWidth="1"/>
    <col min="63" max="66" width="11.83203125" style="15" customWidth="1"/>
    <col min="67" max="67" width="12.83203125" style="15" bestFit="1" customWidth="1"/>
    <col min="68" max="68" width="12.6640625" style="15" bestFit="1" customWidth="1"/>
    <col min="69" max="69" width="13.5" style="15" bestFit="1" customWidth="1"/>
    <col min="70" max="16384" width="8.83203125" style="15"/>
  </cols>
  <sheetData>
    <row r="1" spans="1:70" ht="21" customHeight="1" x14ac:dyDescent="0.15">
      <c r="A1" s="156" t="s">
        <v>218</v>
      </c>
      <c r="B1" s="159" t="s">
        <v>95</v>
      </c>
      <c r="C1" s="162" t="s">
        <v>41</v>
      </c>
      <c r="D1" s="162" t="s">
        <v>44</v>
      </c>
      <c r="E1" s="162" t="s">
        <v>42</v>
      </c>
      <c r="F1" s="162" t="s">
        <v>43</v>
      </c>
      <c r="G1" s="156" t="s">
        <v>1</v>
      </c>
      <c r="H1" s="160" t="s">
        <v>21</v>
      </c>
      <c r="I1" s="161" t="s">
        <v>0</v>
      </c>
      <c r="J1" s="163" t="s">
        <v>104</v>
      </c>
      <c r="K1" s="163" t="s">
        <v>103</v>
      </c>
      <c r="L1" s="163" t="s">
        <v>105</v>
      </c>
      <c r="M1" s="163" t="s">
        <v>106</v>
      </c>
      <c r="N1" s="156" t="s">
        <v>3</v>
      </c>
      <c r="O1" s="164" t="s">
        <v>2</v>
      </c>
      <c r="P1" s="156" t="s">
        <v>173</v>
      </c>
      <c r="Q1" s="165" t="s">
        <v>20</v>
      </c>
      <c r="R1" s="155" t="s">
        <v>107</v>
      </c>
      <c r="S1" s="166" t="s">
        <v>25</v>
      </c>
      <c r="T1" s="166" t="s">
        <v>26</v>
      </c>
      <c r="U1" s="166" t="s">
        <v>32</v>
      </c>
      <c r="V1" s="166" t="s">
        <v>27</v>
      </c>
      <c r="W1" s="161" t="s">
        <v>58</v>
      </c>
      <c r="X1" s="162" t="s">
        <v>108</v>
      </c>
      <c r="Y1" s="161" t="s">
        <v>59</v>
      </c>
      <c r="Z1" s="162" t="s">
        <v>108</v>
      </c>
      <c r="AA1" s="163" t="s">
        <v>25</v>
      </c>
      <c r="AB1" s="163" t="s">
        <v>26</v>
      </c>
      <c r="AC1" s="163" t="s">
        <v>32</v>
      </c>
      <c r="AD1" s="163" t="s">
        <v>27</v>
      </c>
      <c r="AE1" s="167" t="s">
        <v>176</v>
      </c>
      <c r="AF1" s="155" t="s">
        <v>96</v>
      </c>
      <c r="AG1" s="168" t="s">
        <v>113</v>
      </c>
      <c r="AH1" s="155" t="s">
        <v>96</v>
      </c>
      <c r="AI1" s="168" t="s">
        <v>97</v>
      </c>
      <c r="AJ1" s="157" t="s">
        <v>142</v>
      </c>
      <c r="AK1" s="155" t="s">
        <v>23</v>
      </c>
      <c r="AL1" s="169" t="s">
        <v>143</v>
      </c>
      <c r="AM1" s="170" t="s">
        <v>141</v>
      </c>
      <c r="AN1" s="170" t="s">
        <v>144</v>
      </c>
      <c r="AO1" s="171" t="s">
        <v>45</v>
      </c>
      <c r="AP1" s="167" t="s">
        <v>22</v>
      </c>
      <c r="AQ1" s="172" t="s">
        <v>299</v>
      </c>
      <c r="AR1" s="172" t="s">
        <v>300</v>
      </c>
      <c r="AS1" s="155" t="s">
        <v>200</v>
      </c>
      <c r="AT1" s="167" t="s">
        <v>198</v>
      </c>
      <c r="AU1" s="155" t="s">
        <v>301</v>
      </c>
      <c r="AV1" s="172" t="s">
        <v>302</v>
      </c>
      <c r="AW1" s="155" t="s">
        <v>200</v>
      </c>
      <c r="AX1" s="162" t="s">
        <v>4</v>
      </c>
      <c r="AY1" s="173" t="s">
        <v>109</v>
      </c>
      <c r="AZ1" s="173" t="s">
        <v>110</v>
      </c>
      <c r="BA1" s="173" t="s">
        <v>229</v>
      </c>
      <c r="BB1" s="173" t="s">
        <v>111</v>
      </c>
      <c r="BC1" s="8" t="s">
        <v>24</v>
      </c>
      <c r="BD1" s="176" t="s">
        <v>64</v>
      </c>
      <c r="BE1" s="174" t="s">
        <v>5</v>
      </c>
      <c r="BF1" s="175" t="s">
        <v>6</v>
      </c>
      <c r="BG1" s="177" t="s">
        <v>145</v>
      </c>
      <c r="BH1" s="177" t="s">
        <v>146</v>
      </c>
      <c r="BI1" s="177" t="s">
        <v>147</v>
      </c>
      <c r="BJ1" s="177" t="s">
        <v>148</v>
      </c>
      <c r="BK1" s="178" t="s">
        <v>149</v>
      </c>
      <c r="BL1" s="178" t="s">
        <v>171</v>
      </c>
      <c r="BM1" s="178" t="s">
        <v>150</v>
      </c>
      <c r="BN1" s="178" t="s">
        <v>151</v>
      </c>
      <c r="BO1" s="179" t="s">
        <v>152</v>
      </c>
      <c r="BP1" s="180" t="s">
        <v>153</v>
      </c>
      <c r="BQ1" s="180" t="s">
        <v>161</v>
      </c>
      <c r="BR1" s="13" t="s">
        <v>318</v>
      </c>
    </row>
    <row r="2" spans="1:70" ht="21" customHeight="1" x14ac:dyDescent="0.15">
      <c r="A2" s="14">
        <f t="shared" ref="A2:A65" ca="1" si="0">INDIRECT(ADDRESS(ROW(),COLUMN(),1,TRUE,"[CharacterMasterData.xlsm]characters"))</f>
        <v>1</v>
      </c>
      <c r="B2" s="77" t="str">
        <f ca="1">VLOOKUP($A2,OFFSET([2]characters!$A$1,0,0,COUNTA([2]characters!$A:$A),MATCH(B$1,[2]characters!$1:$1,0)-MATCH($A$1,[2]characters!$1:$1,0)+1),MATCH(B$1,[2]characters!$1:$1,0)-MATCH($A$1,[2]characters!$1:$1,0)+1,FALSE)</f>
        <v>ジェリー</v>
      </c>
      <c r="C2" s="77" t="str">
        <f ca="1">VLOOKUP($A2,OFFSET([2]characters!$A$1,0,0,COUNTA([2]characters!$A:$A),MATCH(C$1,[2]characters!$1:$1,0)-MATCH($A$1,[2]characters!$1:$1,0)+1),MATCH(C$1,[2]characters!$1:$1,0)-MATCH($A$1,[2]characters!$1:$1,0)+1,FALSE)</f>
        <v>ノーマルクエスト</v>
      </c>
      <c r="D2" s="77" t="str">
        <f ca="1">VLOOKUP($A2,OFFSET([2]characters!$A$1,0,0,COUNTA([2]characters!$A:$A),MATCH(D$1,[2]characters!$1:$1,0)-MATCH($A$1,[2]characters!$1:$1,0)+1),MATCH(D$1,[2]characters!$1:$1,0)-MATCH($A$1,[2]characters!$1:$1,0)+1,FALSE)</f>
        <v>QoH</v>
      </c>
      <c r="E2" s="77" t="str">
        <f ca="1">VLOOKUP($A2,OFFSET([2]characters!$A$1,0,0,COUNTA([2]characters!$A:$A),MATCH(E$1,[2]characters!$1:$1,0)-MATCH($A$1,[2]characters!$1:$1,0)+1),MATCH(E$1,[2]characters!$1:$1,0)-MATCH($A$1,[2]characters!$1:$1,0)+1,FALSE)</f>
        <v>世界観</v>
      </c>
      <c r="F2" s="77" t="str">
        <f ca="1">VLOOKUP($A2,OFFSET([2]characters!$A$1,0,0,COUNTA([2]characters!$A:$A),MATCH(F$1,[2]characters!$1:$1,0)-MATCH($A$1,[2]characters!$1:$1,0)+1),MATCH(F$1,[2]characters!$1:$1,0)-MATCH($A$1,[2]characters!$1:$1,0)+1,FALSE)</f>
        <v>不明</v>
      </c>
      <c r="G2" s="77">
        <f ca="1">VLOOKUP($A2,OFFSET([2]characters!$A$1,0,0,COUNTA([2]characters!$A:$A),MATCH(G$1,[2]characters!$1:$1,0)-MATCH($A$1,[2]characters!$1:$1,0)+1),MATCH(G$1,[2]characters!$1:$1,0)-MATCH($A$1,[2]characters!$1:$1,0)+1,FALSE)</f>
        <v>1</v>
      </c>
      <c r="H2" s="77" t="str">
        <f ca="1">VLOOKUP($A2,OFFSET([2]characters!$A$1,0,0,COUNTA([2]characters!$A:$A),MATCH(H$1,[2]characters!$1:$1,0)-MATCH($A$1,[2]characters!$1:$1,0)+1),MATCH(H$1,[2]characters!$1:$1,0)-MATCH($A$1,[2]characters!$1:$1,0)+1,FALSE)</f>
        <v>Drop1T</v>
      </c>
      <c r="I2" s="77" t="str">
        <f ca="1">VLOOKUP($A2,OFFSET([2]characters!$A$1,0,0,COUNTA([2]characters!$A:$A),MATCH(I$1,[2]characters!$1:$1,0)-MATCH($A$1,[2]characters!$1:$1,0)+1),MATCH(I$1,[2]characters!$1:$1,0)-MATCH($A$1,[2]characters!$1:$1,0)+1,FALSE)</f>
        <v>red</v>
      </c>
      <c r="J2" s="14">
        <f ca="1">VLOOKUP(I2,[2]属性!$A:$E,2,FALSE)</f>
        <v>1</v>
      </c>
      <c r="K2" s="14">
        <f ca="1">VLOOKUP(I2,[2]属性!$A:$E,3,FALSE)</f>
        <v>1.02</v>
      </c>
      <c r="L2" s="14">
        <f ca="1">VLOOKUP(I2,[2]属性!$A:$E,4,FALSE)</f>
        <v>1</v>
      </c>
      <c r="M2" s="14">
        <f ca="1">VLOOKUP(I2,[2]属性!$A:$E,5,FALSE)</f>
        <v>0.98</v>
      </c>
      <c r="N2" s="14">
        <f ca="1">INDEX(コスト!$A$1:$I$20,MATCH(H2,コスト!$A$1:$A$20,FALSE),MATCH(G2,コスト!$A$1:$I$1,FALSE))</f>
        <v>1</v>
      </c>
      <c r="O2" s="14">
        <f ca="1">INDEX(レベル!$A$1:$I$21,MATCH(H2,レベル!$A$1:$A$21,FALSE),MATCH(G2,レベル!$A$1:$I$1,FALSE))</f>
        <v>10</v>
      </c>
      <c r="P2" s="63">
        <f t="shared" ref="P2" ca="1" si="1">G2*15</f>
        <v>15</v>
      </c>
      <c r="Q2" s="77" t="str">
        <f ca="1">VLOOKUP($A2,OFFSET([2]characters!$A$1,0,0,COUNTA([2]characters!$A:$A),MATCH(Q$1,[2]characters!$1:$1,0)-MATCH($A$1,[2]characters!$1:$1,0)+1),MATCH(Q$1,[2]characters!$1:$1,0)-MATCH($A$1,[2]characters!$1:$1,0)+1,FALSE)</f>
        <v>attack</v>
      </c>
      <c r="R2" s="8" t="str">
        <f ca="1">VLOOKUP(Q2,[2]character_type_i18n!$A:$H,3,FALSE)</f>
        <v>攻撃タイプ</v>
      </c>
      <c r="S2" s="14">
        <f ca="1">VLOOKUP(Q2,[2]character_type_i18n!$A:$H,4,FALSE)</f>
        <v>1</v>
      </c>
      <c r="T2" s="14">
        <f ca="1">VLOOKUP(Q2,[2]character_type_i18n!$A:$H,5,FALSE)</f>
        <v>1.33</v>
      </c>
      <c r="U2" s="14">
        <f ca="1">VLOOKUP(Q2,[2]character_type_i18n!$A:$H,6,FALSE)</f>
        <v>1</v>
      </c>
      <c r="V2" s="14">
        <f ca="1">VLOOKUP(Q2,[2]character_type_i18n!$A:$H,7,FALSE)</f>
        <v>0.67</v>
      </c>
      <c r="W2" s="77" t="str">
        <f ca="1">VLOOKUP($A2,OFFSET([2]characters!$A$1,0,0,COUNTA([2]characters!$A:$A),MATCH(W$1,[2]characters!$1:$1,0)-MATCH($A$1,[2]characters!$1:$1,0)+1),MATCH(W$1,[2]characters!$1:$1,0)-MATCH($A$1,[2]characters!$1:$1,0)+1,FALSE)</f>
        <v>unknown</v>
      </c>
      <c r="X2" s="8" t="str">
        <f ca="1">VLOOKUP(W2,[2]character_tribe_i18n!$A:$H,3,FALSE)</f>
        <v>Unknown</v>
      </c>
      <c r="Y2" s="77" t="str">
        <f ca="1">VLOOKUP($A2,OFFSET([2]characters!$A$1,0,0,COUNTA([2]characters!$A:$A),MATCH(Y$1,[2]characters!$1:$1,0)-MATCH($A$1,[2]characters!$1:$1,0)+1),MATCH(Y$1,[2]characters!$1:$1,0)-MATCH($A$1,[2]characters!$1:$1,0)+1,FALSE)</f>
        <v>none</v>
      </c>
      <c r="Z2" s="8" t="str">
        <f ca="1">VLOOKUP(Y2,[2]character_tribe_i18n!$A:$H,3,FALSE)</f>
        <v>種族なし</v>
      </c>
      <c r="AA2" s="14">
        <f ca="1">VLOOKUP(W2,[2]character_tribe_i18n!$A:$H,4,FALSE)</f>
        <v>1</v>
      </c>
      <c r="AB2" s="14">
        <f ca="1">VLOOKUP(W2,[2]character_tribe_i18n!$A:$H,5,FALSE)</f>
        <v>1</v>
      </c>
      <c r="AC2" s="14">
        <f ca="1">VLOOKUP(W2,[2]character_tribe_i18n!$A:$H,6,FALSE)</f>
        <v>1</v>
      </c>
      <c r="AD2" s="14">
        <f ca="1">VLOOKUP(W2,[2]character_tribe_i18n!$A:$H,7,FALSE)</f>
        <v>1</v>
      </c>
      <c r="AE2" s="12">
        <v>2</v>
      </c>
      <c r="AF2" s="85" t="str">
        <f ca="1">IF(AE2="NULL","",VLOOKUP($AE2,OFFSET([2]characters!$A$1,0,0,COUNTA([2]characters!$A:$A),MATCH(AF$1,[2]characters!$1:$1,0)-MATCH($A$1,[2]characters!$1:$1,0)+1),MATCH(AF$1,[2]characters!$1:$1,0)-MATCH($A$1,[2]characters!$1:$1,0)+1,FALSE))</f>
        <v>イレギュラー・ジェリー</v>
      </c>
      <c r="AG2" s="8">
        <f t="shared" ref="AG2:AG65" ca="1" si="2">IF(ISNA(MATCH(A2,AE:AE,0)),A2,INDIRECT(ADDRESS(MATCH(A2,AE:AE,0),COLUMN())))</f>
        <v>1</v>
      </c>
      <c r="AH2" s="85" t="str">
        <f ca="1">VLOOKUP($AG2,OFFSET([2]characters!$A$1,0,0,COUNTA([2]characters!$A:$A),MATCH(AH$1,[2]characters!$1:$1,0)-MATCH($A$1,[2]characters!$1:$1,0)+1),MATCH(AH$1,[2]characters!$1:$1,0)-MATCH($A$1,[2]characters!$1:$1,0)+1,FALSE)</f>
        <v>ジェリー</v>
      </c>
      <c r="AI2" s="14">
        <f ca="1">IF(AE2="NULL","NULL",VLOOKUP(G2,ビット!$A$2:$B$7,2))</f>
        <v>5000</v>
      </c>
      <c r="AJ2" s="9">
        <v>1</v>
      </c>
      <c r="AK2" s="10" t="str">
        <f t="shared" ref="AK2:AK65" si="3">IF(AJ2=1,"早熟",IF(AJ2=2,"普通",IF(AJ2=3,"晩成","")))</f>
        <v>早熟</v>
      </c>
      <c r="AL2" s="14" t="str">
        <f ca="1">INDEX(経験値!$A$1:$I$20,MATCH(H2,経験値!$A$1:$A$20,FALSE),MATCH(G2,経験値!$A$1:$I$1,FALSE))</f>
        <v>required_exp_50</v>
      </c>
      <c r="AM2" s="11">
        <f ca="1">VLOOKUP(G2,経験値!$A$27:$B$31,2)</f>
        <v>200</v>
      </c>
      <c r="AN2" s="21">
        <f ca="1">VLOOKUP(G2,ビット!$G$2:$H$7,2)</f>
        <v>75</v>
      </c>
      <c r="AO2" s="64" t="s">
        <v>46</v>
      </c>
      <c r="AP2" s="101">
        <v>121001</v>
      </c>
      <c r="AQ2" s="77" t="e">
        <f ca="1">VLOOKUP($AP2,OFFSET([1]unit_skills!$A$1,0,0,COUNTA([1]unit_skills!$A:$A),MATCH("name",[1]unit_skills!$1:$1,0)-MATCH($AP$1,[1]unit_skills!$1:$1,0)+1),MATCH("name",[1]unit_skills!$1:$1,0)-MATCH($AP$1,[1]unit_skills!$1:$1,0)+1,FALSE)</f>
        <v>#VALUE!</v>
      </c>
      <c r="AR2" s="77" t="e">
        <f ca="1">VLOOKUP($AP2,OFFSET([1]unit_skills!$A$1,0,0,COUNTA([1]unit_skills!$A:$A),MATCH("comment",[1]unit_skills!$1:$1,0)-MATCH($AP$1,[1]unit_skills!$1:$1,0)+1),MATCH("comment",[1]unit_skills!$1:$1,0)-MATCH($AP$1,[1]unit_skills!$1:$1,0)+1,FALSE)</f>
        <v>#VALUE!</v>
      </c>
      <c r="AS2" s="77" t="e">
        <f ca="1">VLOOKUP($AP2,OFFSET([1]unit_skills!$A$1,0,0,COUNTA([1]unit_skills!$A:$A),MATCH(AS$1,[1]unit_skills!$1:$1,0)-MATCH($AP$1,[1]unit_skills!$1:$1,0)+1),MATCH(AS$1,[1]unit_skills!$1:$1,0)-MATCH($AP$1,[1]unit_skills!$1:$1,0)+1,FALSE)</f>
        <v>#VALUE!</v>
      </c>
      <c r="AT2" s="97">
        <v>111101</v>
      </c>
      <c r="AU2" s="77" t="e">
        <f ca="1">VLOOKUP($AT2,OFFSET([1]crash_skills!$A$1,0,0,COUNTA([1]crash_skills!$A:$A),MATCH("name",[1]crash_skills!$1:$1,0)-MATCH($AT$1,[1]crash_skills!$1:$1,0)+1),MATCH("name",[1]crash_skills!$1:$1,0)-MATCH($AT$1,[1]crash_skills!$1:$1,0)+1,FALSE)</f>
        <v>#VALUE!</v>
      </c>
      <c r="AV2" s="77" t="e">
        <f ca="1">VLOOKUP($AT2,OFFSET([1]crash_skills!$A$1,0,0,COUNTA([1]crash_skills!$A:$A),MATCH("comment",[1]crash_skills!$1:$1,0)-MATCH($AT$1,[1]crash_skills!$1:$1,0)+1),MATCH("comment",[1]crash_skills!$1:$1,0)-MATCH($AT$1,[1]crash_skills!$1:$1,0)+1,FALSE)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" s="77" t="e">
        <f ca="1">VLOOKUP($AT2,OFFSET([1]crash_skills!$A$1,0,0,COUNTA([1]crash_skills!$A:$A),MATCH(AW$1,[1]crash_skills!$1:$1,0)-MATCH($AT$1,[1]crash_skills!$1:$1,0)+1),MATCH(AW$1,[1]crash_skills!$1:$1,0)-MATCH($AT$1,[1]crash_skills!$1:$1,0)+1,FALSE)</f>
        <v>#VALUE!</v>
      </c>
      <c r="AX2" s="81">
        <f ca="1">VLOOKUP($A2,OFFSET([2]characters!$A$1,0,0,COUNTA([2]characters!$A:$A),MATCH(AX$1,[2]characters!$1:$1,0)-MATCH($A$1,[2]characters!$1:$1,0)+1),MATCH(AX$1,[2]characters!$1:$1,0)-MATCH($A$1,[2]characters!$1:$1,0)+1,FALSE)</f>
        <v>3</v>
      </c>
      <c r="AY2" s="19">
        <v>1</v>
      </c>
      <c r="AZ2" s="19">
        <v>1</v>
      </c>
      <c r="BA2" s="19">
        <v>0</v>
      </c>
      <c r="BB2" s="19">
        <v>1</v>
      </c>
      <c r="BC2" s="62">
        <f ca="1">INDEX('RC6SV'!$A$1:$G$20,MATCH(H2,'RC6SV'!$A$1:$A$20,FALSE),MATCH(G2,'RC6SV'!$A$1:$G$1,FALSE))</f>
        <v>1500</v>
      </c>
      <c r="BD2" s="63">
        <f t="shared" ref="BD2:BD65" ca="1" si="4">ROUND(BC2*IF(AJ2=1,0.95,IF(AJ2=2,1,IF(AJ2,1.05,0))),0)</f>
        <v>1425</v>
      </c>
      <c r="BE2" s="14">
        <f t="shared" ref="BE2:BE65" ca="1" si="5">ROUND(IFERROR(INDIRECT(ADDRESS(MATCH($A2,$AE:$AE,0),MATCH($BC$1,$1:$1,0))),0),0)</f>
        <v>0</v>
      </c>
      <c r="BF2" s="14">
        <f t="shared" ref="BF2:BF65" ca="1" si="6">ROUND(IFERROR(INDIRECT(ADDRESS(MATCH($A2,$AE:$AE,0),10)),INDIRECT(ADDRESS(MATCH($A2,$A:$A,0),10))),0)</f>
        <v>1</v>
      </c>
      <c r="BG2" s="20">
        <f ca="1">IF($BE2&lt;=0,ROUND(BK2*0.5,0), ROUND($BE2*S2*AA2*J2*AY2*0.8*[2]ステータス!$B$2,0))</f>
        <v>357</v>
      </c>
      <c r="BH2" s="20">
        <f ca="1">IF($BE2&lt;=0,ROUND(BL2*0.5,0), ROUND($BE2*T2*AB2*K2*AZ2*0.8*[2]ステータス!$C$2,0))</f>
        <v>290</v>
      </c>
      <c r="BI2" s="20">
        <f ca="1">IF($BE2&lt;=0,ROUND(BM2*0.5,0), ROUND($BE2*U2*AC2*L2*BA2*0.8*[2]ステータス!$D$2,0))</f>
        <v>0</v>
      </c>
      <c r="BJ2" s="20">
        <f ca="1">IF($BE2&lt;=0,ROUND(BN2*0.5,0), ROUND($BE2*V2*AD2*M2*BB2*0.8*[2]ステータス!$E$2,0))</f>
        <v>117</v>
      </c>
      <c r="BK2" s="14">
        <f ca="1">ROUND(BD2*S2*AA2*J2*AY2*[2]ステータス!$B$2,0)</f>
        <v>713</v>
      </c>
      <c r="BL2" s="14">
        <f ca="1">ROUND(BD2*T2*AB2*K2*AZ2*[2]ステータス!$C$2,0)</f>
        <v>580</v>
      </c>
      <c r="BM2" s="14">
        <f ca="1">ROUND(BD2*U2*AC2*L2*BA2*[2]ステータス!$D$2,0)</f>
        <v>0</v>
      </c>
      <c r="BN2" s="14">
        <f ca="1">ROUND(BD2*V2*AD2*M2*BB2*[2]ステータス!$E$2,0)</f>
        <v>234</v>
      </c>
      <c r="BO2" s="13">
        <v>0</v>
      </c>
      <c r="BP2" s="13">
        <v>1</v>
      </c>
      <c r="BQ2" s="13" t="s">
        <v>162</v>
      </c>
      <c r="BR2" s="13">
        <f ca="1">VLOOKUP(H2,ghosts_label!$A$2:$B$19,2,FALSE)</f>
        <v>1</v>
      </c>
    </row>
    <row r="3" spans="1:70" ht="21" customHeight="1" x14ac:dyDescent="0.15">
      <c r="A3" s="14">
        <f t="shared" ca="1" si="0"/>
        <v>2</v>
      </c>
      <c r="B3" s="77" t="str">
        <f ca="1">VLOOKUP($A3,OFFSET([2]characters!$A$1,0,0,COUNTA([2]characters!$A:$A),MATCH(B$1,[2]characters!$1:$1,0)-MATCH($A$1,[2]characters!$1:$1,0)+1),MATCH(B$1,[2]characters!$1:$1,0)-MATCH($A$1,[2]characters!$1:$1,0)+1,FALSE)</f>
        <v>イレギュラー・ジェリー</v>
      </c>
      <c r="C3" s="77" t="str">
        <f ca="1">VLOOKUP($A3,OFFSET([2]characters!$A$1,0,0,COUNTA([2]characters!$A:$A),MATCH(C$1,[2]characters!$1:$1,0)-MATCH($A$1,[2]characters!$1:$1,0)+1),MATCH(C$1,[2]characters!$1:$1,0)-MATCH($A$1,[2]characters!$1:$1,0)+1,FALSE)</f>
        <v>ノーマルクエスト</v>
      </c>
      <c r="D3" s="77" t="str">
        <f ca="1">VLOOKUP($A3,OFFSET([2]characters!$A$1,0,0,COUNTA([2]characters!$A:$A),MATCH(D$1,[2]characters!$1:$1,0)-MATCH($A$1,[2]characters!$1:$1,0)+1),MATCH(D$1,[2]characters!$1:$1,0)-MATCH($A$1,[2]characters!$1:$1,0)+1,FALSE)</f>
        <v>QoH</v>
      </c>
      <c r="E3" s="77" t="str">
        <f ca="1">VLOOKUP($A3,OFFSET([2]characters!$A$1,0,0,COUNTA([2]characters!$A:$A),MATCH(E$1,[2]characters!$1:$1,0)-MATCH($A$1,[2]characters!$1:$1,0)+1),MATCH(E$1,[2]characters!$1:$1,0)-MATCH($A$1,[2]characters!$1:$1,0)+1,FALSE)</f>
        <v>世界観</v>
      </c>
      <c r="F3" s="77" t="str">
        <f ca="1">VLOOKUP($A3,OFFSET([2]characters!$A$1,0,0,COUNTA([2]characters!$A:$A),MATCH(F$1,[2]characters!$1:$1,0)-MATCH($A$1,[2]characters!$1:$1,0)+1),MATCH(F$1,[2]characters!$1:$1,0)-MATCH($A$1,[2]characters!$1:$1,0)+1,FALSE)</f>
        <v>不明</v>
      </c>
      <c r="G3" s="77">
        <f ca="1">VLOOKUP($A3,OFFSET([2]characters!$A$1,0,0,COUNTA([2]characters!$A:$A),MATCH(G$1,[2]characters!$1:$1,0)-MATCH($A$1,[2]characters!$1:$1,0)+1),MATCH(G$1,[2]characters!$1:$1,0)-MATCH($A$1,[2]characters!$1:$1,0)+1,FALSE)</f>
        <v>2</v>
      </c>
      <c r="H3" s="77" t="str">
        <f ca="1">VLOOKUP($A3,OFFSET([2]characters!$A$1,0,0,COUNTA([2]characters!$A:$A),MATCH(H$1,[2]characters!$1:$1,0)-MATCH($A$1,[2]characters!$1:$1,0)+1),MATCH(H$1,[2]characters!$1:$1,0)-MATCH($A$1,[2]characters!$1:$1,0)+1,FALSE)</f>
        <v>Drop1T</v>
      </c>
      <c r="I3" s="77" t="str">
        <f ca="1">VLOOKUP($A3,OFFSET([2]characters!$A$1,0,0,COUNTA([2]characters!$A:$A),MATCH(I$1,[2]characters!$1:$1,0)-MATCH($A$1,[2]characters!$1:$1,0)+1),MATCH(I$1,[2]characters!$1:$1,0)-MATCH($A$1,[2]characters!$1:$1,0)+1,FALSE)</f>
        <v>red</v>
      </c>
      <c r="J3" s="14">
        <f ca="1">VLOOKUP(I3,[2]属性!$A:$E,2,FALSE)</f>
        <v>1</v>
      </c>
      <c r="K3" s="14">
        <f ca="1">VLOOKUP(I3,[2]属性!$A:$E,3,FALSE)</f>
        <v>1.02</v>
      </c>
      <c r="L3" s="14">
        <f ca="1">VLOOKUP(I3,[2]属性!$A:$E,4,FALSE)</f>
        <v>1</v>
      </c>
      <c r="M3" s="14">
        <f ca="1">VLOOKUP(I3,[2]属性!$A:$E,5,FALSE)</f>
        <v>0.98</v>
      </c>
      <c r="N3" s="14">
        <f ca="1">INDEX(コスト!$A$1:$I$20,MATCH(H3,コスト!$A$1:$A$20,FALSE),MATCH(G3,コスト!$A$1:$I$1,FALSE))</f>
        <v>1</v>
      </c>
      <c r="O3" s="14">
        <f ca="1">INDEX(レベル!$A$1:$I$21,MATCH(H3,レベル!$A$1:$A$21,FALSE),MATCH(G3,レベル!$A$1:$I$1,FALSE))</f>
        <v>20</v>
      </c>
      <c r="P3" s="63">
        <f t="shared" ref="P3:P66" ca="1" si="7">G3*15</f>
        <v>30</v>
      </c>
      <c r="Q3" s="77" t="str">
        <f ca="1">VLOOKUP($A3,OFFSET([2]characters!$A$1,0,0,COUNTA([2]characters!$A:$A),MATCH(Q$1,[2]characters!$1:$1,0)-MATCH($A$1,[2]characters!$1:$1,0)+1),MATCH(Q$1,[2]characters!$1:$1,0)-MATCH($A$1,[2]characters!$1:$1,0)+1,FALSE)</f>
        <v>attack</v>
      </c>
      <c r="R3" s="8" t="str">
        <f ca="1">VLOOKUP(Q3,[2]character_type_i18n!$A:$H,3,FALSE)</f>
        <v>攻撃タイプ</v>
      </c>
      <c r="S3" s="14">
        <f ca="1">VLOOKUP(Q3,[2]character_type_i18n!$A:$H,4,FALSE)</f>
        <v>1</v>
      </c>
      <c r="T3" s="14">
        <f ca="1">VLOOKUP(Q3,[2]character_type_i18n!$A:$H,5,FALSE)</f>
        <v>1.33</v>
      </c>
      <c r="U3" s="14">
        <f ca="1">VLOOKUP(Q3,[2]character_type_i18n!$A:$H,6,FALSE)</f>
        <v>1</v>
      </c>
      <c r="V3" s="14">
        <f ca="1">VLOOKUP(Q3,[2]character_type_i18n!$A:$H,7,FALSE)</f>
        <v>0.67</v>
      </c>
      <c r="W3" s="77" t="str">
        <f ca="1">VLOOKUP($A3,OFFSET([2]characters!$A$1,0,0,COUNTA([2]characters!$A:$A),MATCH(W$1,[2]characters!$1:$1,0)-MATCH($A$1,[2]characters!$1:$1,0)+1),MATCH(W$1,[2]characters!$1:$1,0)-MATCH($A$1,[2]characters!$1:$1,0)+1,FALSE)</f>
        <v>unknown</v>
      </c>
      <c r="X3" s="8" t="str">
        <f ca="1">VLOOKUP(W3,[2]character_tribe_i18n!$A:$H,3,FALSE)</f>
        <v>Unknown</v>
      </c>
      <c r="Y3" s="77" t="str">
        <f ca="1">VLOOKUP($A3,OFFSET([2]characters!$A$1,0,0,COUNTA([2]characters!$A:$A),MATCH(Y$1,[2]characters!$1:$1,0)-MATCH($A$1,[2]characters!$1:$1,0)+1),MATCH(Y$1,[2]characters!$1:$1,0)-MATCH($A$1,[2]characters!$1:$1,0)+1,FALSE)</f>
        <v>none</v>
      </c>
      <c r="Z3" s="8" t="str">
        <f ca="1">VLOOKUP(Y3,[2]character_tribe_i18n!$A:$H,3,FALSE)</f>
        <v>種族なし</v>
      </c>
      <c r="AA3" s="14">
        <f ca="1">VLOOKUP(W3,[2]character_tribe_i18n!$A:$H,4,FALSE)</f>
        <v>1</v>
      </c>
      <c r="AB3" s="14">
        <f ca="1">VLOOKUP(W3,[2]character_tribe_i18n!$A:$H,5,FALSE)</f>
        <v>1</v>
      </c>
      <c r="AC3" s="14">
        <f ca="1">VLOOKUP(W3,[2]character_tribe_i18n!$A:$H,6,FALSE)</f>
        <v>1</v>
      </c>
      <c r="AD3" s="14">
        <f ca="1">VLOOKUP(W3,[2]character_tribe_i18n!$A:$H,7,FALSE)</f>
        <v>1</v>
      </c>
      <c r="AE3" s="12" t="s">
        <v>114</v>
      </c>
      <c r="AF3" s="85" t="str">
        <f ca="1">IF(AE3="NULL","",VLOOKUP($AE3,OFFSET([2]characters!$A$1,0,0,COUNTA([2]characters!$A:$A),MATCH(AF$1,[2]characters!$1:$1,0)-MATCH($A$1,[2]characters!$1:$1,0)+1),MATCH(AF$1,[2]characters!$1:$1,0)-MATCH($A$1,[2]characters!$1:$1,0)+1,FALSE))</f>
        <v/>
      </c>
      <c r="AG3" s="8">
        <f t="shared" ca="1" si="2"/>
        <v>1</v>
      </c>
      <c r="AH3" s="85" t="str">
        <f ca="1">VLOOKUP($AG3,OFFSET([2]characters!$A$1,0,0,COUNTA([2]characters!$A:$A),MATCH(AH$1,[2]characters!$1:$1,0)-MATCH($A$1,[2]characters!$1:$1,0)+1),MATCH(AH$1,[2]characters!$1:$1,0)-MATCH($A$1,[2]characters!$1:$1,0)+1,FALSE)</f>
        <v>ジェリー</v>
      </c>
      <c r="AI3" s="14" t="str">
        <f>IF(AE3="NULL","NULL",VLOOKUP(G3,ビット!$A$2:$B$7,2))</f>
        <v>NULL</v>
      </c>
      <c r="AJ3" s="9">
        <v>1</v>
      </c>
      <c r="AK3" s="10" t="str">
        <f t="shared" si="3"/>
        <v>早熟</v>
      </c>
      <c r="AL3" s="14" t="str">
        <f ca="1">INDEX(経験値!$A$1:$I$20,MATCH(H3,経験値!$A$1:$A$20,FALSE),MATCH(G3,経験値!$A$1:$I$1,FALSE))</f>
        <v>required_exp_50</v>
      </c>
      <c r="AM3" s="11">
        <f ca="1">VLOOKUP(G3,経験値!$A$27:$B$31,2)</f>
        <v>600</v>
      </c>
      <c r="AN3" s="21">
        <f ca="1">VLOOKUP(G3,ビット!$G$2:$H$7,2)</f>
        <v>150</v>
      </c>
      <c r="AO3" s="64" t="s">
        <v>46</v>
      </c>
      <c r="AP3" s="101">
        <v>121002</v>
      </c>
      <c r="AQ3" s="77" t="e">
        <f ca="1">VLOOKUP($AP3,OFFSET([1]unit_skills!$A$1,0,0,COUNTA([1]unit_skills!$A:$A),MATCH("name",[1]unit_skills!$1:$1,0)-MATCH($AP$1,[1]unit_skills!$1:$1,0)+1),MATCH("name",[1]unit_skills!$1:$1,0)-MATCH($AP$1,[1]unit_skills!$1:$1,0)+1,FALSE)</f>
        <v>#VALUE!</v>
      </c>
      <c r="AR3" s="77" t="e">
        <f ca="1">VLOOKUP($AP3,OFFSET([1]unit_skills!$A$1,0,0,COUNTA([1]unit_skills!$A:$A),MATCH("comment",[1]unit_skills!$1:$1,0)-MATCH($AP$1,[1]unit_skills!$1:$1,0)+1),MATCH("comment",[1]unit_skills!$1:$1,0)-MATCH($AP$1,[1]unit_skills!$1:$1,0)+1,FALSE)</f>
        <v>#VALUE!</v>
      </c>
      <c r="AS3" s="77" t="e">
        <f ca="1">VLOOKUP($AP3,OFFSET([1]unit_skills!$A$1,0,0,COUNTA([1]unit_skills!$A:$A),MATCH(AS$1,[1]unit_skills!$1:$1,0)-MATCH($AP$1,[1]unit_skills!$1:$1,0)+1),MATCH(AS$1,[1]unit_skills!$1:$1,0)-MATCH($AP$1,[1]unit_skills!$1:$1,0)+1,FALSE)</f>
        <v>#VALUE!</v>
      </c>
      <c r="AT3" s="97">
        <v>111102</v>
      </c>
      <c r="AU3" s="77" t="e">
        <f ca="1">VLOOKUP($AT3,OFFSET([1]crash_skills!$A$1,0,0,COUNTA([1]crash_skills!$A:$A),MATCH("name",[1]crash_skills!$1:$1,0)-MATCH($AT$1,[1]crash_skills!$1:$1,0)+1),MATCH("name",[1]crash_skills!$1:$1,0)-MATCH($AT$1,[1]crash_skills!$1:$1,0)+1,FALSE)</f>
        <v>#VALUE!</v>
      </c>
      <c r="AV3" s="77" t="e">
        <f ca="1">VLOOKUP($AT3,OFFSET([1]crash_skills!$A$1,0,0,COUNTA([1]crash_skills!$A:$A),MATCH("comment",[1]crash_skills!$1:$1,0)-MATCH($AT$1,[1]crash_skills!$1:$1,0)+1),MATCH("comment",[1]crash_skills!$1:$1,0)-MATCH($AT$1,[1]crash_skills!$1:$1,0)+1,FALSE)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" s="77" t="e">
        <f ca="1">VLOOKUP($AT3,OFFSET([1]crash_skills!$A$1,0,0,COUNTA([1]crash_skills!$A:$A),MATCH(AW$1,[1]crash_skills!$1:$1,0)-MATCH($AT$1,[1]crash_skills!$1:$1,0)+1),MATCH(AW$1,[1]crash_skills!$1:$1,0)-MATCH($AT$1,[1]crash_skills!$1:$1,0)+1,FALSE)</f>
        <v>#VALUE!</v>
      </c>
      <c r="AX3" s="81">
        <f ca="1">VLOOKUP($A3,OFFSET([2]characters!$A$1,0,0,COUNTA([2]characters!$A:$A),MATCH(AX$1,[2]characters!$1:$1,0)-MATCH($A$1,[2]characters!$1:$1,0)+1),MATCH(AX$1,[2]characters!$1:$1,0)-MATCH($A$1,[2]characters!$1:$1,0)+1,FALSE)</f>
        <v>3</v>
      </c>
      <c r="AY3" s="19">
        <v>1</v>
      </c>
      <c r="AZ3" s="19">
        <v>1</v>
      </c>
      <c r="BA3" s="19">
        <v>0</v>
      </c>
      <c r="BB3" s="19">
        <v>1</v>
      </c>
      <c r="BC3" s="14">
        <f ca="1">INDEX('RC6SV'!$A$1:$G$20,MATCH(H3,'RC6SV'!$A$1:$A$20,FALSE),MATCH(G3,'RC6SV'!$A$1:$G$1,FALSE))</f>
        <v>2300</v>
      </c>
      <c r="BD3" s="63">
        <f t="shared" ca="1" si="4"/>
        <v>2185</v>
      </c>
      <c r="BE3" s="14">
        <f t="shared" ca="1" si="5"/>
        <v>1500</v>
      </c>
      <c r="BF3" s="14">
        <f t="shared" ca="1" si="6"/>
        <v>1</v>
      </c>
      <c r="BG3" s="20">
        <f ca="1">IF($BE3&lt;=0,ROUND(BK3*0.5,0), ROUND($BE3*S3*AA3*J3*AY3*0.8*[2]ステータス!$B$2,0))</f>
        <v>600</v>
      </c>
      <c r="BH3" s="20">
        <f ca="1">IF($BE3&lt;=0,ROUND(BL3*0.5,0), ROUND($BE3*T3*AB3*K3*AZ3*0.8*[2]ステータス!$C$2,0))</f>
        <v>488</v>
      </c>
      <c r="BI3" s="20">
        <f ca="1">IF($BE3&lt;=0,ROUND(BM3*0.5,0), ROUND($BE3*U3*AC3*L3*BA3*0.8*[2]ステータス!$D$2,0))</f>
        <v>0</v>
      </c>
      <c r="BJ3" s="20">
        <f ca="1">IF($BE3&lt;=0,ROUND(BN3*0.5,0), ROUND($BE3*V3*AD3*M3*BB3*0.8*[2]ステータス!$E$2,0))</f>
        <v>197</v>
      </c>
      <c r="BK3" s="14">
        <f ca="1">ROUND(BD3*S3*AA3*J3*AY3*[2]ステータス!$B$2,0)</f>
        <v>1093</v>
      </c>
      <c r="BL3" s="14">
        <f ca="1">ROUND(BD3*T3*AB3*K3*AZ3*[2]ステータス!$C$2,0)</f>
        <v>889</v>
      </c>
      <c r="BM3" s="14">
        <f ca="1">ROUND(BD3*U3*AC3*L3*BA3*[2]ステータス!$D$2,0)</f>
        <v>0</v>
      </c>
      <c r="BN3" s="14">
        <f ca="1">ROUND(BD3*V3*AD3*M3*BB3*[2]ステータス!$E$2,0)</f>
        <v>359</v>
      </c>
      <c r="BO3" s="13">
        <v>0</v>
      </c>
      <c r="BP3" s="13">
        <v>1</v>
      </c>
      <c r="BQ3" s="13" t="s">
        <v>102</v>
      </c>
      <c r="BR3" s="13">
        <f ca="1">VLOOKUP(H3,ghosts_label!$A$2:$B$19,2,FALSE)</f>
        <v>1</v>
      </c>
    </row>
    <row r="4" spans="1:70" ht="21" customHeight="1" x14ac:dyDescent="0.15">
      <c r="A4" s="14">
        <f t="shared" ca="1" si="0"/>
        <v>3</v>
      </c>
      <c r="B4" s="77" t="str">
        <f ca="1">VLOOKUP($A4,OFFSET([2]characters!$A$1,0,0,COUNTA([2]characters!$A:$A),MATCH(B$1,[2]characters!$1:$1,0)-MATCH($A$1,[2]characters!$1:$1,0)+1),MATCH(B$1,[2]characters!$1:$1,0)-MATCH($A$1,[2]characters!$1:$1,0)+1,FALSE)</f>
        <v>エージェント ジョー</v>
      </c>
      <c r="C4" s="77" t="str">
        <f ca="1">VLOOKUP($A4,OFFSET([2]characters!$A$1,0,0,COUNTA([2]characters!$A:$A),MATCH(C$1,[2]characters!$1:$1,0)-MATCH($A$1,[2]characters!$1:$1,0)+1),MATCH(C$1,[2]characters!$1:$1,0)-MATCH($A$1,[2]characters!$1:$1,0)+1,FALSE)</f>
        <v>ノーマルクエスト</v>
      </c>
      <c r="D4" s="77" t="str">
        <f ca="1">VLOOKUP($A4,OFFSET([2]characters!$A$1,0,0,COUNTA([2]characters!$A:$A),MATCH(D$1,[2]characters!$1:$1,0)-MATCH($A$1,[2]characters!$1:$1,0)+1),MATCH(D$1,[2]characters!$1:$1,0)-MATCH($A$1,[2]characters!$1:$1,0)+1,FALSE)</f>
        <v>QoH</v>
      </c>
      <c r="E4" s="77" t="str">
        <f ca="1">VLOOKUP($A4,OFFSET([2]characters!$A$1,0,0,COUNTA([2]characters!$A:$A),MATCH(E$1,[2]characters!$1:$1,0)-MATCH($A$1,[2]characters!$1:$1,0)+1),MATCH(E$1,[2]characters!$1:$1,0)-MATCH($A$1,[2]characters!$1:$1,0)+1,FALSE)</f>
        <v>世界観</v>
      </c>
      <c r="F4" s="77" t="str">
        <f ca="1">VLOOKUP($A4,OFFSET([2]characters!$A$1,0,0,COUNTA([2]characters!$A:$A),MATCH(F$1,[2]characters!$1:$1,0)-MATCH($A$1,[2]characters!$1:$1,0)+1),MATCH(F$1,[2]characters!$1:$1,0)-MATCH($A$1,[2]characters!$1:$1,0)+1,FALSE)</f>
        <v>不明</v>
      </c>
      <c r="G4" s="77">
        <f ca="1">VLOOKUP($A4,OFFSET([2]characters!$A$1,0,0,COUNTA([2]characters!$A:$A),MATCH(G$1,[2]characters!$1:$1,0)-MATCH($A$1,[2]characters!$1:$1,0)+1),MATCH(G$1,[2]characters!$1:$1,0)-MATCH($A$1,[2]characters!$1:$1,0)+1,FALSE)</f>
        <v>1</v>
      </c>
      <c r="H4" s="77" t="str">
        <f ca="1">VLOOKUP($A4,OFFSET([2]characters!$A$1,0,0,COUNTA([2]characters!$A:$A),MATCH(H$1,[2]characters!$1:$1,0)-MATCH($A$1,[2]characters!$1:$1,0)+1),MATCH(H$1,[2]characters!$1:$1,0)-MATCH($A$1,[2]characters!$1:$1,0)+1,FALSE)</f>
        <v>Drop1T</v>
      </c>
      <c r="I4" s="77" t="str">
        <f ca="1">VLOOKUP($A4,OFFSET([2]characters!$A$1,0,0,COUNTA([2]characters!$A:$A),MATCH(I$1,[2]characters!$1:$1,0)-MATCH($A$1,[2]characters!$1:$1,0)+1),MATCH(I$1,[2]characters!$1:$1,0)-MATCH($A$1,[2]characters!$1:$1,0)+1,FALSE)</f>
        <v>green</v>
      </c>
      <c r="J4" s="14">
        <f ca="1">VLOOKUP(I4,[2]属性!$A:$E,2,FALSE)</f>
        <v>1.02</v>
      </c>
      <c r="K4" s="14">
        <f ca="1">VLOOKUP(I4,[2]属性!$A:$E,3,FALSE)</f>
        <v>0.98</v>
      </c>
      <c r="L4" s="14">
        <f ca="1">VLOOKUP(I4,[2]属性!$A:$E,4,FALSE)</f>
        <v>1</v>
      </c>
      <c r="M4" s="14">
        <f ca="1">VLOOKUP(I4,[2]属性!$A:$E,5,FALSE)</f>
        <v>1</v>
      </c>
      <c r="N4" s="14">
        <f ca="1">INDEX(コスト!$A$1:$I$20,MATCH(H4,コスト!$A$1:$A$20,FALSE),MATCH(G4,コスト!$A$1:$I$1,FALSE))</f>
        <v>1</v>
      </c>
      <c r="O4" s="14">
        <f ca="1">INDEX(レベル!$A$1:$I$21,MATCH(H4,レベル!$A$1:$A$21,FALSE),MATCH(G4,レベル!$A$1:$I$1,FALSE))</f>
        <v>10</v>
      </c>
      <c r="P4" s="63">
        <f t="shared" ca="1" si="7"/>
        <v>15</v>
      </c>
      <c r="Q4" s="77" t="str">
        <f ca="1">VLOOKUP($A4,OFFSET([2]characters!$A$1,0,0,COUNTA([2]characters!$A:$A),MATCH(Q$1,[2]characters!$1:$1,0)-MATCH($A$1,[2]characters!$1:$1,0)+1),MATCH(Q$1,[2]characters!$1:$1,0)-MATCH($A$1,[2]characters!$1:$1,0)+1,FALSE)</f>
        <v>balance</v>
      </c>
      <c r="R4" s="8" t="str">
        <f ca="1">VLOOKUP(Q4,[2]character_type_i18n!$A:$H,3,FALSE)</f>
        <v>バランスタイプ</v>
      </c>
      <c r="S4" s="14">
        <f ca="1">VLOOKUP(Q4,[2]character_type_i18n!$A:$H,4,FALSE)</f>
        <v>1</v>
      </c>
      <c r="T4" s="14">
        <f ca="1">VLOOKUP(Q4,[2]character_type_i18n!$A:$H,5,FALSE)</f>
        <v>1</v>
      </c>
      <c r="U4" s="14">
        <f ca="1">VLOOKUP(Q4,[2]character_type_i18n!$A:$H,6,FALSE)</f>
        <v>1</v>
      </c>
      <c r="V4" s="14">
        <f ca="1">VLOOKUP(Q4,[2]character_type_i18n!$A:$H,7,FALSE)</f>
        <v>1</v>
      </c>
      <c r="W4" s="77" t="str">
        <f ca="1">VLOOKUP($A4,OFFSET([2]characters!$A$1,0,0,COUNTA([2]characters!$A:$A),MATCH(W$1,[2]characters!$1:$1,0)-MATCH($A$1,[2]characters!$1:$1,0)+1),MATCH(W$1,[2]characters!$1:$1,0)-MATCH($A$1,[2]characters!$1:$1,0)+1,FALSE)</f>
        <v>unknown</v>
      </c>
      <c r="X4" s="8" t="str">
        <f ca="1">VLOOKUP(W4,[2]character_tribe_i18n!$A:$H,3,FALSE)</f>
        <v>Unknown</v>
      </c>
      <c r="Y4" s="77" t="str">
        <f ca="1">VLOOKUP($A4,OFFSET([2]characters!$A$1,0,0,COUNTA([2]characters!$A:$A),MATCH(Y$1,[2]characters!$1:$1,0)-MATCH($A$1,[2]characters!$1:$1,0)+1),MATCH(Y$1,[2]characters!$1:$1,0)-MATCH($A$1,[2]characters!$1:$1,0)+1,FALSE)</f>
        <v>none</v>
      </c>
      <c r="Z4" s="8" t="str">
        <f ca="1">VLOOKUP(Y4,[2]character_tribe_i18n!$A:$H,3,FALSE)</f>
        <v>種族なし</v>
      </c>
      <c r="AA4" s="14">
        <f ca="1">VLOOKUP(W4,[2]character_tribe_i18n!$A:$H,4,FALSE)</f>
        <v>1</v>
      </c>
      <c r="AB4" s="14">
        <f ca="1">VLOOKUP(W4,[2]character_tribe_i18n!$A:$H,5,FALSE)</f>
        <v>1</v>
      </c>
      <c r="AC4" s="14">
        <f ca="1">VLOOKUP(W4,[2]character_tribe_i18n!$A:$H,6,FALSE)</f>
        <v>1</v>
      </c>
      <c r="AD4" s="14">
        <f ca="1">VLOOKUP(W4,[2]character_tribe_i18n!$A:$H,7,FALSE)</f>
        <v>1</v>
      </c>
      <c r="AE4" s="12">
        <v>4</v>
      </c>
      <c r="AF4" s="85" t="str">
        <f ca="1">IF(AE4="NULL","",VLOOKUP($AE4,OFFSET([2]characters!$A$1,0,0,COUNTA([2]characters!$A:$A),MATCH(AF$1,[2]characters!$1:$1,0)-MATCH($A$1,[2]characters!$1:$1,0)+1),MATCH(AF$1,[2]characters!$1:$1,0)-MATCH($A$1,[2]characters!$1:$1,0)+1,FALSE))</f>
        <v>エースエージェント ジョー</v>
      </c>
      <c r="AG4" s="8">
        <f t="shared" ca="1" si="2"/>
        <v>3</v>
      </c>
      <c r="AH4" s="85" t="str">
        <f ca="1">VLOOKUP($AG4,OFFSET([2]characters!$A$1,0,0,COUNTA([2]characters!$A:$A),MATCH(AH$1,[2]characters!$1:$1,0)-MATCH($A$1,[2]characters!$1:$1,0)+1),MATCH(AH$1,[2]characters!$1:$1,0)-MATCH($A$1,[2]characters!$1:$1,0)+1,FALSE)</f>
        <v>エージェント ジョー</v>
      </c>
      <c r="AI4" s="14">
        <f ca="1">IF(AE4="NULL","NULL",VLOOKUP(G4,ビット!$A$2:$B$7,2))</f>
        <v>5000</v>
      </c>
      <c r="AJ4" s="9">
        <v>1</v>
      </c>
      <c r="AK4" s="10" t="str">
        <f t="shared" si="3"/>
        <v>早熟</v>
      </c>
      <c r="AL4" s="14" t="str">
        <f ca="1">INDEX(経験値!$A$1:$I$20,MATCH(H4,経験値!$A$1:$A$20,FALSE),MATCH(G4,経験値!$A$1:$I$1,FALSE))</f>
        <v>required_exp_50</v>
      </c>
      <c r="AM4" s="11">
        <f ca="1">VLOOKUP(G4,経験値!$A$27:$B$31,2)</f>
        <v>200</v>
      </c>
      <c r="AN4" s="21">
        <f ca="1">VLOOKUP(G4,ビット!$G$2:$H$7,2)</f>
        <v>75</v>
      </c>
      <c r="AO4" s="64" t="s">
        <v>49</v>
      </c>
      <c r="AP4" s="101">
        <v>300001</v>
      </c>
      <c r="AQ4" s="77" t="e">
        <f ca="1">VLOOKUP($AP4,OFFSET([1]unit_skills!$A$1,0,0,COUNTA([1]unit_skills!$A:$A),MATCH("name",[1]unit_skills!$1:$1,0)-MATCH($AP$1,[1]unit_skills!$1:$1,0)+1),MATCH("name",[1]unit_skills!$1:$1,0)-MATCH($AP$1,[1]unit_skills!$1:$1,0)+1,FALSE)</f>
        <v>#VALUE!</v>
      </c>
      <c r="AR4" s="77" t="e">
        <f ca="1">VLOOKUP($AP4,OFFSET([1]unit_skills!$A$1,0,0,COUNTA([1]unit_skills!$A:$A),MATCH("comment",[1]unit_skills!$1:$1,0)-MATCH($AP$1,[1]unit_skills!$1:$1,0)+1),MATCH("comment",[1]unit_skills!$1:$1,0)-MATCH($AP$1,[1]unit_skills!$1:$1,0)+1,FALSE)</f>
        <v>#VALUE!</v>
      </c>
      <c r="AS4" s="77" t="e">
        <f ca="1">VLOOKUP($AP4,OFFSET([1]unit_skills!$A$1,0,0,COUNTA([1]unit_skills!$A:$A),MATCH(AS$1,[1]unit_skills!$1:$1,0)-MATCH($AP$1,[1]unit_skills!$1:$1,0)+1),MATCH(AS$1,[1]unit_skills!$1:$1,0)-MATCH($AP$1,[1]unit_skills!$1:$1,0)+1,FALSE)</f>
        <v>#VALUE!</v>
      </c>
      <c r="AT4" s="97">
        <v>112001</v>
      </c>
      <c r="AU4" s="77" t="e">
        <f ca="1">VLOOKUP($AT4,OFFSET([1]crash_skills!$A$1,0,0,COUNTA([1]crash_skills!$A:$A),MATCH("name",[1]crash_skills!$1:$1,0)-MATCH($AT$1,[1]crash_skills!$1:$1,0)+1),MATCH("name",[1]crash_skills!$1:$1,0)-MATCH($AT$1,[1]crash_skills!$1:$1,0)+1,FALSE)</f>
        <v>#VALUE!</v>
      </c>
      <c r="AV4" s="77" t="e">
        <f ca="1">VLOOKUP($AT4,OFFSET([1]crash_skills!$A$1,0,0,COUNTA([1]crash_skills!$A:$A),MATCH("comment",[1]crash_skills!$1:$1,0)-MATCH($AT$1,[1]crash_skills!$1:$1,0)+1),MATCH("comment",[1]crash_skills!$1:$1,0)-MATCH($AT$1,[1]crash_skills!$1:$1,0)+1,FALSE)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" s="77" t="e">
        <f ca="1">VLOOKUP($AT4,OFFSET([1]crash_skills!$A$1,0,0,COUNTA([1]crash_skills!$A:$A),MATCH(AW$1,[1]crash_skills!$1:$1,0)-MATCH($AT$1,[1]crash_skills!$1:$1,0)+1),MATCH(AW$1,[1]crash_skills!$1:$1,0)-MATCH($AT$1,[1]crash_skills!$1:$1,0)+1,FALSE)</f>
        <v>#VALUE!</v>
      </c>
      <c r="AX4" s="81">
        <f ca="1">VLOOKUP($A4,OFFSET([2]characters!$A$1,0,0,COUNTA([2]characters!$A:$A),MATCH(AX$1,[2]characters!$1:$1,0)-MATCH($A$1,[2]characters!$1:$1,0)+1),MATCH(AX$1,[2]characters!$1:$1,0)-MATCH($A$1,[2]characters!$1:$1,0)+1,FALSE)</f>
        <v>3</v>
      </c>
      <c r="AY4" s="19">
        <v>1</v>
      </c>
      <c r="AZ4" s="19">
        <v>1</v>
      </c>
      <c r="BA4" s="19">
        <v>0</v>
      </c>
      <c r="BB4" s="19">
        <v>1</v>
      </c>
      <c r="BC4" s="14">
        <f ca="1">INDEX('RC6SV'!$A$1:$G$20,MATCH(H4,'RC6SV'!$A$1:$A$20,FALSE),MATCH(G4,'RC6SV'!$A$1:$G$1,FALSE))</f>
        <v>1500</v>
      </c>
      <c r="BD4" s="63">
        <f t="shared" ca="1" si="4"/>
        <v>1425</v>
      </c>
      <c r="BE4" s="14">
        <f t="shared" ca="1" si="5"/>
        <v>0</v>
      </c>
      <c r="BF4" s="14">
        <f t="shared" ca="1" si="6"/>
        <v>1</v>
      </c>
      <c r="BG4" s="20">
        <f ca="1">IF($BE4&lt;=0,ROUND(BK4*0.5,0), ROUND($BE4*S4*AA4*J4*AY4*0.8*[2]ステータス!$B$2,0))</f>
        <v>364</v>
      </c>
      <c r="BH4" s="20">
        <f ca="1">IF($BE4&lt;=0,ROUND(BL4*0.5,0), ROUND($BE4*T4*AB4*K4*AZ4*0.8*[2]ステータス!$C$2,0))</f>
        <v>210</v>
      </c>
      <c r="BI4" s="20">
        <f ca="1">IF($BE4&lt;=0,ROUND(BM4*0.5,0), ROUND($BE4*U4*AC4*L4*BA4*0.8*[2]ステータス!$D$2,0))</f>
        <v>0</v>
      </c>
      <c r="BJ4" s="20">
        <f ca="1">IF($BE4&lt;=0,ROUND(BN4*0.5,0), ROUND($BE4*V4*AD4*M4*BB4*0.8*[2]ステータス!$E$2,0))</f>
        <v>178</v>
      </c>
      <c r="BK4" s="14">
        <f ca="1">ROUND(BD4*S4*AA4*J4*AY4*[2]ステータス!$B$2,0)</f>
        <v>727</v>
      </c>
      <c r="BL4" s="14">
        <f ca="1">ROUND(BD4*T4*AB4*K4*AZ4*[2]ステータス!$C$2,0)</f>
        <v>419</v>
      </c>
      <c r="BM4" s="14">
        <f ca="1">ROUND(BD4*U4*AC4*L4*BA4*[2]ステータス!$D$2,0)</f>
        <v>0</v>
      </c>
      <c r="BN4" s="14">
        <f ca="1">ROUND(BD4*V4*AD4*M4*BB4*[2]ステータス!$E$2,0)</f>
        <v>356</v>
      </c>
      <c r="BO4" s="13">
        <v>0</v>
      </c>
      <c r="BP4" s="13">
        <v>1</v>
      </c>
      <c r="BQ4" s="13" t="s">
        <v>102</v>
      </c>
      <c r="BR4" s="13">
        <f ca="1">VLOOKUP(H4,ghosts_label!$A$2:$B$19,2,FALSE)</f>
        <v>1</v>
      </c>
    </row>
    <row r="5" spans="1:70" ht="21" customHeight="1" x14ac:dyDescent="0.15">
      <c r="A5" s="14">
        <f t="shared" ca="1" si="0"/>
        <v>4</v>
      </c>
      <c r="B5" s="77" t="str">
        <f ca="1">VLOOKUP($A5,OFFSET([2]characters!$A$1,0,0,COUNTA([2]characters!$A:$A),MATCH(B$1,[2]characters!$1:$1,0)-MATCH($A$1,[2]characters!$1:$1,0)+1),MATCH(B$1,[2]characters!$1:$1,0)-MATCH($A$1,[2]characters!$1:$1,0)+1,FALSE)</f>
        <v>エースエージェント ジョー</v>
      </c>
      <c r="C5" s="77" t="str">
        <f ca="1">VLOOKUP($A5,OFFSET([2]characters!$A$1,0,0,COUNTA([2]characters!$A:$A),MATCH(C$1,[2]characters!$1:$1,0)-MATCH($A$1,[2]characters!$1:$1,0)+1),MATCH(C$1,[2]characters!$1:$1,0)-MATCH($A$1,[2]characters!$1:$1,0)+1,FALSE)</f>
        <v>ノーマルクエスト</v>
      </c>
      <c r="D5" s="77" t="str">
        <f ca="1">VLOOKUP($A5,OFFSET([2]characters!$A$1,0,0,COUNTA([2]characters!$A:$A),MATCH(D$1,[2]characters!$1:$1,0)-MATCH($A$1,[2]characters!$1:$1,0)+1),MATCH(D$1,[2]characters!$1:$1,0)-MATCH($A$1,[2]characters!$1:$1,0)+1,FALSE)</f>
        <v>QoH</v>
      </c>
      <c r="E5" s="77" t="str">
        <f ca="1">VLOOKUP($A5,OFFSET([2]characters!$A$1,0,0,COUNTA([2]characters!$A:$A),MATCH(E$1,[2]characters!$1:$1,0)-MATCH($A$1,[2]characters!$1:$1,0)+1),MATCH(E$1,[2]characters!$1:$1,0)-MATCH($A$1,[2]characters!$1:$1,0)+1,FALSE)</f>
        <v>世界観</v>
      </c>
      <c r="F5" s="77" t="str">
        <f ca="1">VLOOKUP($A5,OFFSET([2]characters!$A$1,0,0,COUNTA([2]characters!$A:$A),MATCH(F$1,[2]characters!$1:$1,0)-MATCH($A$1,[2]characters!$1:$1,0)+1),MATCH(F$1,[2]characters!$1:$1,0)-MATCH($A$1,[2]characters!$1:$1,0)+1,FALSE)</f>
        <v>不明</v>
      </c>
      <c r="G5" s="77">
        <f ca="1">VLOOKUP($A5,OFFSET([2]characters!$A$1,0,0,COUNTA([2]characters!$A:$A),MATCH(G$1,[2]characters!$1:$1,0)-MATCH($A$1,[2]characters!$1:$1,0)+1),MATCH(G$1,[2]characters!$1:$1,0)-MATCH($A$1,[2]characters!$1:$1,0)+1,FALSE)</f>
        <v>2</v>
      </c>
      <c r="H5" s="77" t="str">
        <f ca="1">VLOOKUP($A5,OFFSET([2]characters!$A$1,0,0,COUNTA([2]characters!$A:$A),MATCH(H$1,[2]characters!$1:$1,0)-MATCH($A$1,[2]characters!$1:$1,0)+1),MATCH(H$1,[2]characters!$1:$1,0)-MATCH($A$1,[2]characters!$1:$1,0)+1,FALSE)</f>
        <v>Drop1T</v>
      </c>
      <c r="I5" s="77" t="str">
        <f ca="1">VLOOKUP($A5,OFFSET([2]characters!$A$1,0,0,COUNTA([2]characters!$A:$A),MATCH(I$1,[2]characters!$1:$1,0)-MATCH($A$1,[2]characters!$1:$1,0)+1),MATCH(I$1,[2]characters!$1:$1,0)-MATCH($A$1,[2]characters!$1:$1,0)+1,FALSE)</f>
        <v>green</v>
      </c>
      <c r="J5" s="14">
        <f ca="1">VLOOKUP(I5,[2]属性!$A:$E,2,FALSE)</f>
        <v>1.02</v>
      </c>
      <c r="K5" s="14">
        <f ca="1">VLOOKUP(I5,[2]属性!$A:$E,3,FALSE)</f>
        <v>0.98</v>
      </c>
      <c r="L5" s="14">
        <f ca="1">VLOOKUP(I5,[2]属性!$A:$E,4,FALSE)</f>
        <v>1</v>
      </c>
      <c r="M5" s="14">
        <f ca="1">VLOOKUP(I5,[2]属性!$A:$E,5,FALSE)</f>
        <v>1</v>
      </c>
      <c r="N5" s="14">
        <f ca="1">INDEX(コスト!$A$1:$I$20,MATCH(H5,コスト!$A$1:$A$20,FALSE),MATCH(G5,コスト!$A$1:$I$1,FALSE))</f>
        <v>1</v>
      </c>
      <c r="O5" s="14">
        <f ca="1">INDEX(レベル!$A$1:$I$21,MATCH(H5,レベル!$A$1:$A$21,FALSE),MATCH(G5,レベル!$A$1:$I$1,FALSE))</f>
        <v>20</v>
      </c>
      <c r="P5" s="63">
        <f t="shared" ca="1" si="7"/>
        <v>30</v>
      </c>
      <c r="Q5" s="77" t="str">
        <f ca="1">VLOOKUP($A5,OFFSET([2]characters!$A$1,0,0,COUNTA([2]characters!$A:$A),MATCH(Q$1,[2]characters!$1:$1,0)-MATCH($A$1,[2]characters!$1:$1,0)+1),MATCH(Q$1,[2]characters!$1:$1,0)-MATCH($A$1,[2]characters!$1:$1,0)+1,FALSE)</f>
        <v>balance</v>
      </c>
      <c r="R5" s="8" t="str">
        <f ca="1">VLOOKUP(Q5,[2]character_type_i18n!$A:$H,3,FALSE)</f>
        <v>バランスタイプ</v>
      </c>
      <c r="S5" s="14">
        <f ca="1">VLOOKUP(Q5,[2]character_type_i18n!$A:$H,4,FALSE)</f>
        <v>1</v>
      </c>
      <c r="T5" s="14">
        <f ca="1">VLOOKUP(Q5,[2]character_type_i18n!$A:$H,5,FALSE)</f>
        <v>1</v>
      </c>
      <c r="U5" s="14">
        <f ca="1">VLOOKUP(Q5,[2]character_type_i18n!$A:$H,6,FALSE)</f>
        <v>1</v>
      </c>
      <c r="V5" s="14">
        <f ca="1">VLOOKUP(Q5,[2]character_type_i18n!$A:$H,7,FALSE)</f>
        <v>1</v>
      </c>
      <c r="W5" s="77" t="str">
        <f ca="1">VLOOKUP($A5,OFFSET([2]characters!$A$1,0,0,COUNTA([2]characters!$A:$A),MATCH(W$1,[2]characters!$1:$1,0)-MATCH($A$1,[2]characters!$1:$1,0)+1),MATCH(W$1,[2]characters!$1:$1,0)-MATCH($A$1,[2]characters!$1:$1,0)+1,FALSE)</f>
        <v>unknown</v>
      </c>
      <c r="X5" s="8" t="str">
        <f ca="1">VLOOKUP(W5,[2]character_tribe_i18n!$A:$H,3,FALSE)</f>
        <v>Unknown</v>
      </c>
      <c r="Y5" s="77" t="str">
        <f ca="1">VLOOKUP($A5,OFFSET([2]characters!$A$1,0,0,COUNTA([2]characters!$A:$A),MATCH(Y$1,[2]characters!$1:$1,0)-MATCH($A$1,[2]characters!$1:$1,0)+1),MATCH(Y$1,[2]characters!$1:$1,0)-MATCH($A$1,[2]characters!$1:$1,0)+1,FALSE)</f>
        <v>none</v>
      </c>
      <c r="Z5" s="8" t="str">
        <f ca="1">VLOOKUP(Y5,[2]character_tribe_i18n!$A:$H,3,FALSE)</f>
        <v>種族なし</v>
      </c>
      <c r="AA5" s="14">
        <f ca="1">VLOOKUP(W5,[2]character_tribe_i18n!$A:$H,4,FALSE)</f>
        <v>1</v>
      </c>
      <c r="AB5" s="14">
        <f ca="1">VLOOKUP(W5,[2]character_tribe_i18n!$A:$H,5,FALSE)</f>
        <v>1</v>
      </c>
      <c r="AC5" s="14">
        <f ca="1">VLOOKUP(W5,[2]character_tribe_i18n!$A:$H,6,FALSE)</f>
        <v>1</v>
      </c>
      <c r="AD5" s="14">
        <f ca="1">VLOOKUP(W5,[2]character_tribe_i18n!$A:$H,7,FALSE)</f>
        <v>1</v>
      </c>
      <c r="AE5" s="12" t="s">
        <v>102</v>
      </c>
      <c r="AF5" s="85" t="str">
        <f ca="1">IF(AE5="NULL","",VLOOKUP($AE5,OFFSET([2]characters!$A$1,0,0,COUNTA([2]characters!$A:$A),MATCH(AF$1,[2]characters!$1:$1,0)-MATCH($A$1,[2]characters!$1:$1,0)+1),MATCH(AF$1,[2]characters!$1:$1,0)-MATCH($A$1,[2]characters!$1:$1,0)+1,FALSE))</f>
        <v/>
      </c>
      <c r="AG5" s="8">
        <f t="shared" ca="1" si="2"/>
        <v>3</v>
      </c>
      <c r="AH5" s="85" t="str">
        <f ca="1">VLOOKUP($AG5,OFFSET([2]characters!$A$1,0,0,COUNTA([2]characters!$A:$A),MATCH(AH$1,[2]characters!$1:$1,0)-MATCH($A$1,[2]characters!$1:$1,0)+1),MATCH(AH$1,[2]characters!$1:$1,0)-MATCH($A$1,[2]characters!$1:$1,0)+1,FALSE)</f>
        <v>エージェント ジョー</v>
      </c>
      <c r="AI5" s="14" t="str">
        <f>IF(AE5="NULL","NULL",VLOOKUP(G5,ビット!$A$2:$B$7,2))</f>
        <v>NULL</v>
      </c>
      <c r="AJ5" s="9">
        <v>1</v>
      </c>
      <c r="AK5" s="10" t="str">
        <f t="shared" si="3"/>
        <v>早熟</v>
      </c>
      <c r="AL5" s="14" t="str">
        <f ca="1">INDEX(経験値!$A$1:$I$20,MATCH(H5,経験値!$A$1:$A$20,FALSE),MATCH(G5,経験値!$A$1:$I$1,FALSE))</f>
        <v>required_exp_50</v>
      </c>
      <c r="AM5" s="11">
        <f ca="1">VLOOKUP(G5,経験値!$A$27:$B$31,2)</f>
        <v>600</v>
      </c>
      <c r="AN5" s="21">
        <f ca="1">VLOOKUP(G5,ビット!$G$2:$H$7,2)</f>
        <v>150</v>
      </c>
      <c r="AO5" s="64" t="s">
        <v>49</v>
      </c>
      <c r="AP5" s="101">
        <v>300002</v>
      </c>
      <c r="AQ5" s="77" t="e">
        <f ca="1">VLOOKUP($AP5,OFFSET([1]unit_skills!$A$1,0,0,COUNTA([1]unit_skills!$A:$A),MATCH("name",[1]unit_skills!$1:$1,0)-MATCH($AP$1,[1]unit_skills!$1:$1,0)+1),MATCH("name",[1]unit_skills!$1:$1,0)-MATCH($AP$1,[1]unit_skills!$1:$1,0)+1,FALSE)</f>
        <v>#VALUE!</v>
      </c>
      <c r="AR5" s="77" t="e">
        <f ca="1">VLOOKUP($AP5,OFFSET([1]unit_skills!$A$1,0,0,COUNTA([1]unit_skills!$A:$A),MATCH("comment",[1]unit_skills!$1:$1,0)-MATCH($AP$1,[1]unit_skills!$1:$1,0)+1),MATCH("comment",[1]unit_skills!$1:$1,0)-MATCH($AP$1,[1]unit_skills!$1:$1,0)+1,FALSE)</f>
        <v>#VALUE!</v>
      </c>
      <c r="AS5" s="77" t="e">
        <f ca="1">VLOOKUP($AP5,OFFSET([1]unit_skills!$A$1,0,0,COUNTA([1]unit_skills!$A:$A),MATCH(AS$1,[1]unit_skills!$1:$1,0)-MATCH($AP$1,[1]unit_skills!$1:$1,0)+1),MATCH(AS$1,[1]unit_skills!$1:$1,0)-MATCH($AP$1,[1]unit_skills!$1:$1,0)+1,FALSE)</f>
        <v>#VALUE!</v>
      </c>
      <c r="AT5" s="97">
        <v>112002</v>
      </c>
      <c r="AU5" s="77" t="e">
        <f ca="1">VLOOKUP($AT5,OFFSET([1]crash_skills!$A$1,0,0,COUNTA([1]crash_skills!$A:$A),MATCH("name",[1]crash_skills!$1:$1,0)-MATCH($AT$1,[1]crash_skills!$1:$1,0)+1),MATCH("name",[1]crash_skills!$1:$1,0)-MATCH($AT$1,[1]crash_skills!$1:$1,0)+1,FALSE)</f>
        <v>#VALUE!</v>
      </c>
      <c r="AV5" s="77" t="e">
        <f ca="1">VLOOKUP($AT5,OFFSET([1]crash_skills!$A$1,0,0,COUNTA([1]crash_skills!$A:$A),MATCH("comment",[1]crash_skills!$1:$1,0)-MATCH($AT$1,[1]crash_skills!$1:$1,0)+1),MATCH("comment",[1]crash_skills!$1:$1,0)-MATCH($AT$1,[1]crash_skills!$1:$1,0)+1,FALSE)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5" s="77" t="e">
        <f ca="1">VLOOKUP($AT5,OFFSET([1]crash_skills!$A$1,0,0,COUNTA([1]crash_skills!$A:$A),MATCH(AW$1,[1]crash_skills!$1:$1,0)-MATCH($AT$1,[1]crash_skills!$1:$1,0)+1),MATCH(AW$1,[1]crash_skills!$1:$1,0)-MATCH($AT$1,[1]crash_skills!$1:$1,0)+1,FALSE)</f>
        <v>#VALUE!</v>
      </c>
      <c r="AX5" s="81">
        <f ca="1">VLOOKUP($A5,OFFSET([2]characters!$A$1,0,0,COUNTA([2]characters!$A:$A),MATCH(AX$1,[2]characters!$1:$1,0)-MATCH($A$1,[2]characters!$1:$1,0)+1),MATCH(AX$1,[2]characters!$1:$1,0)-MATCH($A$1,[2]characters!$1:$1,0)+1,FALSE)</f>
        <v>3</v>
      </c>
      <c r="AY5" s="19">
        <v>1</v>
      </c>
      <c r="AZ5" s="19">
        <v>1</v>
      </c>
      <c r="BA5" s="19">
        <v>0</v>
      </c>
      <c r="BB5" s="19">
        <v>1</v>
      </c>
      <c r="BC5" s="14">
        <f ca="1">INDEX('RC6SV'!$A$1:$G$20,MATCH(H5,'RC6SV'!$A$1:$A$20,FALSE),MATCH(G5,'RC6SV'!$A$1:$G$1,FALSE))</f>
        <v>2300</v>
      </c>
      <c r="BD5" s="63">
        <f t="shared" ca="1" si="4"/>
        <v>2185</v>
      </c>
      <c r="BE5" s="14">
        <f t="shared" ca="1" si="5"/>
        <v>1500</v>
      </c>
      <c r="BF5" s="14">
        <f t="shared" ca="1" si="6"/>
        <v>1</v>
      </c>
      <c r="BG5" s="20">
        <f ca="1">IF($BE5&lt;=0,ROUND(BK5*0.5,0), ROUND($BE5*S5*AA5*J5*AY5*0.8*[2]ステータス!$B$2,0))</f>
        <v>612</v>
      </c>
      <c r="BH5" s="20">
        <f ca="1">IF($BE5&lt;=0,ROUND(BL5*0.5,0), ROUND($BE5*T5*AB5*K5*AZ5*0.8*[2]ステータス!$C$2,0))</f>
        <v>353</v>
      </c>
      <c r="BI5" s="20">
        <f ca="1">IF($BE5&lt;=0,ROUND(BM5*0.5,0), ROUND($BE5*U5*AC5*L5*BA5*0.8*[2]ステータス!$D$2,0))</f>
        <v>0</v>
      </c>
      <c r="BJ5" s="20">
        <f ca="1">IF($BE5&lt;=0,ROUND(BN5*0.5,0), ROUND($BE5*V5*AD5*M5*BB5*0.8*[2]ステータス!$E$2,0))</f>
        <v>300</v>
      </c>
      <c r="BK5" s="14">
        <f ca="1">ROUND(BD5*S5*AA5*J5*AY5*[2]ステータス!$B$2,0)</f>
        <v>1114</v>
      </c>
      <c r="BL5" s="14">
        <f ca="1">ROUND(BD5*T5*AB5*K5*AZ5*[2]ステータス!$C$2,0)</f>
        <v>642</v>
      </c>
      <c r="BM5" s="14">
        <f ca="1">ROUND(BD5*U5*AC5*L5*BA5*[2]ステータス!$D$2,0)</f>
        <v>0</v>
      </c>
      <c r="BN5" s="14">
        <f ca="1">ROUND(BD5*V5*AD5*M5*BB5*[2]ステータス!$E$2,0)</f>
        <v>546</v>
      </c>
      <c r="BO5" s="13">
        <v>0</v>
      </c>
      <c r="BP5" s="13">
        <v>1</v>
      </c>
      <c r="BQ5" s="13" t="s">
        <v>102</v>
      </c>
      <c r="BR5" s="13">
        <f ca="1">VLOOKUP(H5,ghosts_label!$A$2:$B$19,2,FALSE)</f>
        <v>1</v>
      </c>
    </row>
    <row r="6" spans="1:70" ht="21" customHeight="1" x14ac:dyDescent="0.15">
      <c r="A6" s="14">
        <f t="shared" ca="1" si="0"/>
        <v>5</v>
      </c>
      <c r="B6" s="77" t="str">
        <f ca="1">VLOOKUP($A6,OFFSET([2]characters!$A$1,0,0,COUNTA([2]characters!$A:$A),MATCH(B$1,[2]characters!$1:$1,0)-MATCH($A$1,[2]characters!$1:$1,0)+1),MATCH(B$1,[2]characters!$1:$1,0)-MATCH($A$1,[2]characters!$1:$1,0)+1,FALSE)</f>
        <v>パトドッグ ポチ</v>
      </c>
      <c r="C6" s="77" t="str">
        <f ca="1">VLOOKUP($A6,OFFSET([2]characters!$A$1,0,0,COUNTA([2]characters!$A:$A),MATCH(C$1,[2]characters!$1:$1,0)-MATCH($A$1,[2]characters!$1:$1,0)+1),MATCH(C$1,[2]characters!$1:$1,0)-MATCH($A$1,[2]characters!$1:$1,0)+1,FALSE)</f>
        <v>ノーマルクエスト</v>
      </c>
      <c r="D6" s="77" t="str">
        <f ca="1">VLOOKUP($A6,OFFSET([2]characters!$A$1,0,0,COUNTA([2]characters!$A:$A),MATCH(D$1,[2]characters!$1:$1,0)-MATCH($A$1,[2]characters!$1:$1,0)+1),MATCH(D$1,[2]characters!$1:$1,0)-MATCH($A$1,[2]characters!$1:$1,0)+1,FALSE)</f>
        <v>QoH</v>
      </c>
      <c r="E6" s="77" t="str">
        <f ca="1">VLOOKUP($A6,OFFSET([2]characters!$A$1,0,0,COUNTA([2]characters!$A:$A),MATCH(E$1,[2]characters!$1:$1,0)-MATCH($A$1,[2]characters!$1:$1,0)+1),MATCH(E$1,[2]characters!$1:$1,0)-MATCH($A$1,[2]characters!$1:$1,0)+1,FALSE)</f>
        <v>世界観</v>
      </c>
      <c r="F6" s="77" t="str">
        <f ca="1">VLOOKUP($A6,OFFSET([2]characters!$A$1,0,0,COUNTA([2]characters!$A:$A),MATCH(F$1,[2]characters!$1:$1,0)-MATCH($A$1,[2]characters!$1:$1,0)+1),MATCH(F$1,[2]characters!$1:$1,0)-MATCH($A$1,[2]characters!$1:$1,0)+1,FALSE)</f>
        <v>不明</v>
      </c>
      <c r="G6" s="77">
        <f ca="1">VLOOKUP($A6,OFFSET([2]characters!$A$1,0,0,COUNTA([2]characters!$A:$A),MATCH(G$1,[2]characters!$1:$1,0)-MATCH($A$1,[2]characters!$1:$1,0)+1),MATCH(G$1,[2]characters!$1:$1,0)-MATCH($A$1,[2]characters!$1:$1,0)+1,FALSE)</f>
        <v>1</v>
      </c>
      <c r="H6" s="77" t="str">
        <f ca="1">VLOOKUP($A6,OFFSET([2]characters!$A$1,0,0,COUNTA([2]characters!$A:$A),MATCH(H$1,[2]characters!$1:$1,0)-MATCH($A$1,[2]characters!$1:$1,0)+1),MATCH(H$1,[2]characters!$1:$1,0)-MATCH($A$1,[2]characters!$1:$1,0)+1,FALSE)</f>
        <v>Drop1T</v>
      </c>
      <c r="I6" s="77" t="str">
        <f ca="1">VLOOKUP($A6,OFFSET([2]characters!$A$1,0,0,COUNTA([2]characters!$A:$A),MATCH(I$1,[2]characters!$1:$1,0)-MATCH($A$1,[2]characters!$1:$1,0)+1),MATCH(I$1,[2]characters!$1:$1,0)-MATCH($A$1,[2]characters!$1:$1,0)+1,FALSE)</f>
        <v>blue</v>
      </c>
      <c r="J6" s="14">
        <f ca="1">VLOOKUP(I6,[2]属性!$A:$E,2,FALSE)</f>
        <v>1</v>
      </c>
      <c r="K6" s="14">
        <f ca="1">VLOOKUP(I6,[2]属性!$A:$E,3,FALSE)</f>
        <v>0.98</v>
      </c>
      <c r="L6" s="14">
        <f ca="1">VLOOKUP(I6,[2]属性!$A:$E,4,FALSE)</f>
        <v>1</v>
      </c>
      <c r="M6" s="14">
        <f ca="1">VLOOKUP(I6,[2]属性!$A:$E,5,FALSE)</f>
        <v>1.02</v>
      </c>
      <c r="N6" s="14">
        <f ca="1">INDEX(コスト!$A$1:$I$20,MATCH(H6,コスト!$A$1:$A$20,FALSE),MATCH(G6,コスト!$A$1:$I$1,FALSE))</f>
        <v>1</v>
      </c>
      <c r="O6" s="14">
        <f ca="1">INDEX(レベル!$A$1:$I$21,MATCH(H6,レベル!$A$1:$A$21,FALSE),MATCH(G6,レベル!$A$1:$I$1,FALSE))</f>
        <v>10</v>
      </c>
      <c r="P6" s="63">
        <f t="shared" ca="1" si="7"/>
        <v>15</v>
      </c>
      <c r="Q6" s="77" t="str">
        <f ca="1">VLOOKUP($A6,OFFSET([2]characters!$A$1,0,0,COUNTA([2]characters!$A:$A),MATCH(Q$1,[2]characters!$1:$1,0)-MATCH($A$1,[2]characters!$1:$1,0)+1),MATCH(Q$1,[2]characters!$1:$1,0)-MATCH($A$1,[2]characters!$1:$1,0)+1,FALSE)</f>
        <v>heal</v>
      </c>
      <c r="R6" s="8" t="str">
        <f ca="1">VLOOKUP(Q6,[2]character_type_i18n!$A:$H,3,FALSE)</f>
        <v>回復タイプ</v>
      </c>
      <c r="S6" s="14">
        <f ca="1">VLOOKUP(Q6,[2]character_type_i18n!$A:$H,4,FALSE)</f>
        <v>0.8</v>
      </c>
      <c r="T6" s="14">
        <f ca="1">VLOOKUP(Q6,[2]character_type_i18n!$A:$H,5,FALSE)</f>
        <v>0.78</v>
      </c>
      <c r="U6" s="14">
        <f ca="1">VLOOKUP(Q6,[2]character_type_i18n!$A:$H,6,FALSE)</f>
        <v>1</v>
      </c>
      <c r="V6" s="14">
        <f ca="1">VLOOKUP(Q6,[2]character_type_i18n!$A:$H,7,FALSE)</f>
        <v>1.42</v>
      </c>
      <c r="W6" s="77" t="str">
        <f ca="1">VLOOKUP($A6,OFFSET([2]characters!$A$1,0,0,COUNTA([2]characters!$A:$A),MATCH(W$1,[2]characters!$1:$1,0)-MATCH($A$1,[2]characters!$1:$1,0)+1),MATCH(W$1,[2]characters!$1:$1,0)-MATCH($A$1,[2]characters!$1:$1,0)+1,FALSE)</f>
        <v>unknown</v>
      </c>
      <c r="X6" s="8" t="str">
        <f ca="1">VLOOKUP(W6,[2]character_tribe_i18n!$A:$H,3,FALSE)</f>
        <v>Unknown</v>
      </c>
      <c r="Y6" s="77" t="str">
        <f ca="1">VLOOKUP($A6,OFFSET([2]characters!$A$1,0,0,COUNTA([2]characters!$A:$A),MATCH(Y$1,[2]characters!$1:$1,0)-MATCH($A$1,[2]characters!$1:$1,0)+1),MATCH(Y$1,[2]characters!$1:$1,0)-MATCH($A$1,[2]characters!$1:$1,0)+1,FALSE)</f>
        <v>none</v>
      </c>
      <c r="Z6" s="8" t="str">
        <f ca="1">VLOOKUP(Y6,[2]character_tribe_i18n!$A:$H,3,FALSE)</f>
        <v>種族なし</v>
      </c>
      <c r="AA6" s="14">
        <f ca="1">VLOOKUP(W6,[2]character_tribe_i18n!$A:$H,4,FALSE)</f>
        <v>1</v>
      </c>
      <c r="AB6" s="14">
        <f ca="1">VLOOKUP(W6,[2]character_tribe_i18n!$A:$H,5,FALSE)</f>
        <v>1</v>
      </c>
      <c r="AC6" s="14">
        <f ca="1">VLOOKUP(W6,[2]character_tribe_i18n!$A:$H,6,FALSE)</f>
        <v>1</v>
      </c>
      <c r="AD6" s="14">
        <f ca="1">VLOOKUP(W6,[2]character_tribe_i18n!$A:$H,7,FALSE)</f>
        <v>1</v>
      </c>
      <c r="AE6" s="12">
        <v>6</v>
      </c>
      <c r="AF6" s="85" t="str">
        <f ca="1">IF(AE6="NULL","",VLOOKUP($AE6,OFFSET([2]characters!$A$1,0,0,COUNTA([2]characters!$A:$A),MATCH(AF$1,[2]characters!$1:$1,0)-MATCH($A$1,[2]characters!$1:$1,0)+1),MATCH(AF$1,[2]characters!$1:$1,0)-MATCH($A$1,[2]characters!$1:$1,0)+1,FALSE))</f>
        <v>パトドッグリーダー ポチ</v>
      </c>
      <c r="AG6" s="8">
        <f t="shared" ca="1" si="2"/>
        <v>5</v>
      </c>
      <c r="AH6" s="85" t="str">
        <f ca="1">VLOOKUP($AG6,OFFSET([2]characters!$A$1,0,0,COUNTA([2]characters!$A:$A),MATCH(AH$1,[2]characters!$1:$1,0)-MATCH($A$1,[2]characters!$1:$1,0)+1),MATCH(AH$1,[2]characters!$1:$1,0)-MATCH($A$1,[2]characters!$1:$1,0)+1,FALSE)</f>
        <v>パトドッグ ポチ</v>
      </c>
      <c r="AI6" s="14">
        <f ca="1">IF(AE6="NULL","NULL",VLOOKUP(G6,ビット!$A$2:$B$7,2))</f>
        <v>5000</v>
      </c>
      <c r="AJ6" s="9">
        <v>1</v>
      </c>
      <c r="AK6" s="10" t="str">
        <f t="shared" si="3"/>
        <v>早熟</v>
      </c>
      <c r="AL6" s="14" t="str">
        <f ca="1">INDEX(経験値!$A$1:$I$20,MATCH(H6,経験値!$A$1:$A$20,FALSE),MATCH(G6,経験値!$A$1:$I$1,FALSE))</f>
        <v>required_exp_50</v>
      </c>
      <c r="AM6" s="11">
        <f ca="1">VLOOKUP(G6,経験値!$A$27:$B$31,2)</f>
        <v>200</v>
      </c>
      <c r="AN6" s="21">
        <f ca="1">VLOOKUP(G6,ビット!$G$2:$H$7,2)</f>
        <v>75</v>
      </c>
      <c r="AO6" s="64" t="s">
        <v>50</v>
      </c>
      <c r="AP6" s="101">
        <v>210001</v>
      </c>
      <c r="AQ6" s="77" t="e">
        <f ca="1">VLOOKUP($AP6,OFFSET([1]unit_skills!$A$1,0,0,COUNTA([1]unit_skills!$A:$A),MATCH("name",[1]unit_skills!$1:$1,0)-MATCH($AP$1,[1]unit_skills!$1:$1,0)+1),MATCH("name",[1]unit_skills!$1:$1,0)-MATCH($AP$1,[1]unit_skills!$1:$1,0)+1,FALSE)</f>
        <v>#VALUE!</v>
      </c>
      <c r="AR6" s="77" t="e">
        <f ca="1">VLOOKUP($AP6,OFFSET([1]unit_skills!$A$1,0,0,COUNTA([1]unit_skills!$A:$A),MATCH("comment",[1]unit_skills!$1:$1,0)-MATCH($AP$1,[1]unit_skills!$1:$1,0)+1),MATCH("comment",[1]unit_skills!$1:$1,0)-MATCH($AP$1,[1]unit_skills!$1:$1,0)+1,FALSE)</f>
        <v>#VALUE!</v>
      </c>
      <c r="AS6" s="77" t="e">
        <f ca="1">VLOOKUP($AP6,OFFSET([1]unit_skills!$A$1,0,0,COUNTA([1]unit_skills!$A:$A),MATCH(AS$1,[1]unit_skills!$1:$1,0)-MATCH($AP$1,[1]unit_skills!$1:$1,0)+1),MATCH(AS$1,[1]unit_skills!$1:$1,0)-MATCH($AP$1,[1]unit_skills!$1:$1,0)+1,FALSE)</f>
        <v>#VALUE!</v>
      </c>
      <c r="AT6" s="97">
        <v>113001</v>
      </c>
      <c r="AU6" s="77" t="e">
        <f ca="1">VLOOKUP($AT6,OFFSET([1]crash_skills!$A$1,0,0,COUNTA([1]crash_skills!$A:$A),MATCH("name",[1]crash_skills!$1:$1,0)-MATCH($AT$1,[1]crash_skills!$1:$1,0)+1),MATCH("name",[1]crash_skills!$1:$1,0)-MATCH($AT$1,[1]crash_skills!$1:$1,0)+1,FALSE)</f>
        <v>#VALUE!</v>
      </c>
      <c r="AV6" s="77" t="e">
        <f ca="1">VLOOKUP($AT6,OFFSET([1]crash_skills!$A$1,0,0,COUNTA([1]crash_skills!$A:$A),MATCH("comment",[1]crash_skills!$1:$1,0)-MATCH($AT$1,[1]crash_skills!$1:$1,0)+1),MATCH("comment",[1]crash_skills!$1:$1,0)-MATCH($AT$1,[1]crash_skills!$1:$1,0)+1,FALSE)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6" s="77" t="e">
        <f ca="1">VLOOKUP($AT6,OFFSET([1]crash_skills!$A$1,0,0,COUNTA([1]crash_skills!$A:$A),MATCH(AW$1,[1]crash_skills!$1:$1,0)-MATCH($AT$1,[1]crash_skills!$1:$1,0)+1),MATCH(AW$1,[1]crash_skills!$1:$1,0)-MATCH($AT$1,[1]crash_skills!$1:$1,0)+1,FALSE)</f>
        <v>#VALUE!</v>
      </c>
      <c r="AX6" s="81">
        <f ca="1">VLOOKUP($A6,OFFSET([2]characters!$A$1,0,0,COUNTA([2]characters!$A:$A),MATCH(AX$1,[2]characters!$1:$1,0)-MATCH($A$1,[2]characters!$1:$1,0)+1),MATCH(AX$1,[2]characters!$1:$1,0)-MATCH($A$1,[2]characters!$1:$1,0)+1,FALSE)</f>
        <v>3</v>
      </c>
      <c r="AY6" s="19">
        <v>1</v>
      </c>
      <c r="AZ6" s="19">
        <v>1</v>
      </c>
      <c r="BA6" s="19">
        <v>0</v>
      </c>
      <c r="BB6" s="19">
        <v>1</v>
      </c>
      <c r="BC6" s="14">
        <f ca="1">INDEX('RC6SV'!$A$1:$G$20,MATCH(H6,'RC6SV'!$A$1:$A$20,FALSE),MATCH(G6,'RC6SV'!$A$1:$G$1,FALSE))</f>
        <v>1500</v>
      </c>
      <c r="BD6" s="63">
        <f t="shared" ca="1" si="4"/>
        <v>1425</v>
      </c>
      <c r="BE6" s="14">
        <f t="shared" ca="1" si="5"/>
        <v>0</v>
      </c>
      <c r="BF6" s="14">
        <f t="shared" ca="1" si="6"/>
        <v>1</v>
      </c>
      <c r="BG6" s="20">
        <f ca="1">IF($BE6&lt;=0,ROUND(BK6*0.5,0), ROUND($BE6*S6*AA6*J6*AY6*0.8*[2]ステータス!$B$2,0))</f>
        <v>285</v>
      </c>
      <c r="BH6" s="20">
        <f ca="1">IF($BE6&lt;=0,ROUND(BL6*0.5,0), ROUND($BE6*T6*AB6*K6*AZ6*0.8*[2]ステータス!$C$2,0))</f>
        <v>164</v>
      </c>
      <c r="BI6" s="20">
        <f ca="1">IF($BE6&lt;=0,ROUND(BM6*0.5,0), ROUND($BE6*U6*AC6*L6*BA6*0.8*[2]ステータス!$D$2,0))</f>
        <v>0</v>
      </c>
      <c r="BJ6" s="20">
        <f ca="1">IF($BE6&lt;=0,ROUND(BN6*0.5,0), ROUND($BE6*V6*AD6*M6*BB6*0.8*[2]ステータス!$E$2,0))</f>
        <v>258</v>
      </c>
      <c r="BK6" s="14">
        <f ca="1">ROUND(BD6*S6*AA6*J6*AY6*[2]ステータス!$B$2,0)</f>
        <v>570</v>
      </c>
      <c r="BL6" s="14">
        <f ca="1">ROUND(BD6*T6*AB6*K6*AZ6*[2]ステータス!$C$2,0)</f>
        <v>327</v>
      </c>
      <c r="BM6" s="14">
        <f ca="1">ROUND(BD6*U6*AC6*L6*BA6*[2]ステータス!$D$2,0)</f>
        <v>0</v>
      </c>
      <c r="BN6" s="14">
        <f ca="1">ROUND(BD6*V6*AD6*M6*BB6*[2]ステータス!$E$2,0)</f>
        <v>516</v>
      </c>
      <c r="BO6" s="13">
        <v>0</v>
      </c>
      <c r="BP6" s="13">
        <v>1</v>
      </c>
      <c r="BQ6" s="13" t="s">
        <v>102</v>
      </c>
      <c r="BR6" s="13">
        <f ca="1">VLOOKUP(H6,ghosts_label!$A$2:$B$19,2,FALSE)</f>
        <v>1</v>
      </c>
    </row>
    <row r="7" spans="1:70" ht="21" customHeight="1" x14ac:dyDescent="0.15">
      <c r="A7" s="14">
        <f t="shared" ca="1" si="0"/>
        <v>6</v>
      </c>
      <c r="B7" s="77" t="str">
        <f ca="1">VLOOKUP($A7,OFFSET([2]characters!$A$1,0,0,COUNTA([2]characters!$A:$A),MATCH(B$1,[2]characters!$1:$1,0)-MATCH($A$1,[2]characters!$1:$1,0)+1),MATCH(B$1,[2]characters!$1:$1,0)-MATCH($A$1,[2]characters!$1:$1,0)+1,FALSE)</f>
        <v>パトドッグリーダー ポチ</v>
      </c>
      <c r="C7" s="77" t="str">
        <f ca="1">VLOOKUP($A7,OFFSET([2]characters!$A$1,0,0,COUNTA([2]characters!$A:$A),MATCH(C$1,[2]characters!$1:$1,0)-MATCH($A$1,[2]characters!$1:$1,0)+1),MATCH(C$1,[2]characters!$1:$1,0)-MATCH($A$1,[2]characters!$1:$1,0)+1,FALSE)</f>
        <v>ノーマルクエスト</v>
      </c>
      <c r="D7" s="77" t="str">
        <f ca="1">VLOOKUP($A7,OFFSET([2]characters!$A$1,0,0,COUNTA([2]characters!$A:$A),MATCH(D$1,[2]characters!$1:$1,0)-MATCH($A$1,[2]characters!$1:$1,0)+1),MATCH(D$1,[2]characters!$1:$1,0)-MATCH($A$1,[2]characters!$1:$1,0)+1,FALSE)</f>
        <v>QoH</v>
      </c>
      <c r="E7" s="77" t="str">
        <f ca="1">VLOOKUP($A7,OFFSET([2]characters!$A$1,0,0,COUNTA([2]characters!$A:$A),MATCH(E$1,[2]characters!$1:$1,0)-MATCH($A$1,[2]characters!$1:$1,0)+1),MATCH(E$1,[2]characters!$1:$1,0)-MATCH($A$1,[2]characters!$1:$1,0)+1,FALSE)</f>
        <v>世界観</v>
      </c>
      <c r="F7" s="77" t="str">
        <f ca="1">VLOOKUP($A7,OFFSET([2]characters!$A$1,0,0,COUNTA([2]characters!$A:$A),MATCH(F$1,[2]characters!$1:$1,0)-MATCH($A$1,[2]characters!$1:$1,0)+1),MATCH(F$1,[2]characters!$1:$1,0)-MATCH($A$1,[2]characters!$1:$1,0)+1,FALSE)</f>
        <v>不明</v>
      </c>
      <c r="G7" s="77">
        <f ca="1">VLOOKUP($A7,OFFSET([2]characters!$A$1,0,0,COUNTA([2]characters!$A:$A),MATCH(G$1,[2]characters!$1:$1,0)-MATCH($A$1,[2]characters!$1:$1,0)+1),MATCH(G$1,[2]characters!$1:$1,0)-MATCH($A$1,[2]characters!$1:$1,0)+1,FALSE)</f>
        <v>2</v>
      </c>
      <c r="H7" s="77" t="str">
        <f ca="1">VLOOKUP($A7,OFFSET([2]characters!$A$1,0,0,COUNTA([2]characters!$A:$A),MATCH(H$1,[2]characters!$1:$1,0)-MATCH($A$1,[2]characters!$1:$1,0)+1),MATCH(H$1,[2]characters!$1:$1,0)-MATCH($A$1,[2]characters!$1:$1,0)+1,FALSE)</f>
        <v>Drop1T</v>
      </c>
      <c r="I7" s="77" t="str">
        <f ca="1">VLOOKUP($A7,OFFSET([2]characters!$A$1,0,0,COUNTA([2]characters!$A:$A),MATCH(I$1,[2]characters!$1:$1,0)-MATCH($A$1,[2]characters!$1:$1,0)+1),MATCH(I$1,[2]characters!$1:$1,0)-MATCH($A$1,[2]characters!$1:$1,0)+1,FALSE)</f>
        <v>blue</v>
      </c>
      <c r="J7" s="14">
        <f ca="1">VLOOKUP(I7,[2]属性!$A:$E,2,FALSE)</f>
        <v>1</v>
      </c>
      <c r="K7" s="14">
        <f ca="1">VLOOKUP(I7,[2]属性!$A:$E,3,FALSE)</f>
        <v>0.98</v>
      </c>
      <c r="L7" s="14">
        <f ca="1">VLOOKUP(I7,[2]属性!$A:$E,4,FALSE)</f>
        <v>1</v>
      </c>
      <c r="M7" s="14">
        <f ca="1">VLOOKUP(I7,[2]属性!$A:$E,5,FALSE)</f>
        <v>1.02</v>
      </c>
      <c r="N7" s="14">
        <f ca="1">INDEX(コスト!$A$1:$I$20,MATCH(H7,コスト!$A$1:$A$20,FALSE),MATCH(G7,コスト!$A$1:$I$1,FALSE))</f>
        <v>1</v>
      </c>
      <c r="O7" s="14">
        <f ca="1">INDEX(レベル!$A$1:$I$21,MATCH(H7,レベル!$A$1:$A$21,FALSE),MATCH(G7,レベル!$A$1:$I$1,FALSE))</f>
        <v>20</v>
      </c>
      <c r="P7" s="63">
        <f t="shared" ca="1" si="7"/>
        <v>30</v>
      </c>
      <c r="Q7" s="77" t="str">
        <f ca="1">VLOOKUP($A7,OFFSET([2]characters!$A$1,0,0,COUNTA([2]characters!$A:$A),MATCH(Q$1,[2]characters!$1:$1,0)-MATCH($A$1,[2]characters!$1:$1,0)+1),MATCH(Q$1,[2]characters!$1:$1,0)-MATCH($A$1,[2]characters!$1:$1,0)+1,FALSE)</f>
        <v>heal</v>
      </c>
      <c r="R7" s="8" t="str">
        <f ca="1">VLOOKUP(Q7,[2]character_type_i18n!$A:$H,3,FALSE)</f>
        <v>回復タイプ</v>
      </c>
      <c r="S7" s="14">
        <f ca="1">VLOOKUP(Q7,[2]character_type_i18n!$A:$H,4,FALSE)</f>
        <v>0.8</v>
      </c>
      <c r="T7" s="14">
        <f ca="1">VLOOKUP(Q7,[2]character_type_i18n!$A:$H,5,FALSE)</f>
        <v>0.78</v>
      </c>
      <c r="U7" s="14">
        <f ca="1">VLOOKUP(Q7,[2]character_type_i18n!$A:$H,6,FALSE)</f>
        <v>1</v>
      </c>
      <c r="V7" s="14">
        <f ca="1">VLOOKUP(Q7,[2]character_type_i18n!$A:$H,7,FALSE)</f>
        <v>1.42</v>
      </c>
      <c r="W7" s="77" t="str">
        <f ca="1">VLOOKUP($A7,OFFSET([2]characters!$A$1,0,0,COUNTA([2]characters!$A:$A),MATCH(W$1,[2]characters!$1:$1,0)-MATCH($A$1,[2]characters!$1:$1,0)+1),MATCH(W$1,[2]characters!$1:$1,0)-MATCH($A$1,[2]characters!$1:$1,0)+1,FALSE)</f>
        <v>unknown</v>
      </c>
      <c r="X7" s="8" t="str">
        <f ca="1">VLOOKUP(W7,[2]character_tribe_i18n!$A:$H,3,FALSE)</f>
        <v>Unknown</v>
      </c>
      <c r="Y7" s="77" t="str">
        <f ca="1">VLOOKUP($A7,OFFSET([2]characters!$A$1,0,0,COUNTA([2]characters!$A:$A),MATCH(Y$1,[2]characters!$1:$1,0)-MATCH($A$1,[2]characters!$1:$1,0)+1),MATCH(Y$1,[2]characters!$1:$1,0)-MATCH($A$1,[2]characters!$1:$1,0)+1,FALSE)</f>
        <v>none</v>
      </c>
      <c r="Z7" s="8" t="str">
        <f ca="1">VLOOKUP(Y7,[2]character_tribe_i18n!$A:$H,3,FALSE)</f>
        <v>種族なし</v>
      </c>
      <c r="AA7" s="14">
        <f ca="1">VLOOKUP(W7,[2]character_tribe_i18n!$A:$H,4,FALSE)</f>
        <v>1</v>
      </c>
      <c r="AB7" s="14">
        <f ca="1">VLOOKUP(W7,[2]character_tribe_i18n!$A:$H,5,FALSE)</f>
        <v>1</v>
      </c>
      <c r="AC7" s="14">
        <f ca="1">VLOOKUP(W7,[2]character_tribe_i18n!$A:$H,6,FALSE)</f>
        <v>1</v>
      </c>
      <c r="AD7" s="14">
        <f ca="1">VLOOKUP(W7,[2]character_tribe_i18n!$A:$H,7,FALSE)</f>
        <v>1</v>
      </c>
      <c r="AE7" s="12" t="s">
        <v>102</v>
      </c>
      <c r="AF7" s="85" t="str">
        <f ca="1">IF(AE7="NULL","",VLOOKUP($AE7,OFFSET([2]characters!$A$1,0,0,COUNTA([2]characters!$A:$A),MATCH(AF$1,[2]characters!$1:$1,0)-MATCH($A$1,[2]characters!$1:$1,0)+1),MATCH(AF$1,[2]characters!$1:$1,0)-MATCH($A$1,[2]characters!$1:$1,0)+1,FALSE))</f>
        <v/>
      </c>
      <c r="AG7" s="8">
        <f t="shared" ca="1" si="2"/>
        <v>5</v>
      </c>
      <c r="AH7" s="85" t="str">
        <f ca="1">VLOOKUP($AG7,OFFSET([2]characters!$A$1,0,0,COUNTA([2]characters!$A:$A),MATCH(AH$1,[2]characters!$1:$1,0)-MATCH($A$1,[2]characters!$1:$1,0)+1),MATCH(AH$1,[2]characters!$1:$1,0)-MATCH($A$1,[2]characters!$1:$1,0)+1,FALSE)</f>
        <v>パトドッグ ポチ</v>
      </c>
      <c r="AI7" s="14" t="str">
        <f>IF(AE7="NULL","NULL",VLOOKUP(G7,ビット!$A$2:$B$7,2))</f>
        <v>NULL</v>
      </c>
      <c r="AJ7" s="9">
        <v>1</v>
      </c>
      <c r="AK7" s="10" t="str">
        <f t="shared" si="3"/>
        <v>早熟</v>
      </c>
      <c r="AL7" s="14" t="str">
        <f ca="1">INDEX(経験値!$A$1:$I$20,MATCH(H7,経験値!$A$1:$A$20,FALSE),MATCH(G7,経験値!$A$1:$I$1,FALSE))</f>
        <v>required_exp_50</v>
      </c>
      <c r="AM7" s="11">
        <f ca="1">VLOOKUP(G7,経験値!$A$27:$B$31,2)</f>
        <v>600</v>
      </c>
      <c r="AN7" s="21">
        <f ca="1">VLOOKUP(G7,ビット!$G$2:$H$7,2)</f>
        <v>150</v>
      </c>
      <c r="AO7" s="64" t="s">
        <v>50</v>
      </c>
      <c r="AP7" s="101">
        <v>210002</v>
      </c>
      <c r="AQ7" s="77" t="e">
        <f ca="1">VLOOKUP($AP7,OFFSET([1]unit_skills!$A$1,0,0,COUNTA([1]unit_skills!$A:$A),MATCH("name",[1]unit_skills!$1:$1,0)-MATCH($AP$1,[1]unit_skills!$1:$1,0)+1),MATCH("name",[1]unit_skills!$1:$1,0)-MATCH($AP$1,[1]unit_skills!$1:$1,0)+1,FALSE)</f>
        <v>#VALUE!</v>
      </c>
      <c r="AR7" s="77" t="e">
        <f ca="1">VLOOKUP($AP7,OFFSET([1]unit_skills!$A$1,0,0,COUNTA([1]unit_skills!$A:$A),MATCH("comment",[1]unit_skills!$1:$1,0)-MATCH($AP$1,[1]unit_skills!$1:$1,0)+1),MATCH("comment",[1]unit_skills!$1:$1,0)-MATCH($AP$1,[1]unit_skills!$1:$1,0)+1,FALSE)</f>
        <v>#VALUE!</v>
      </c>
      <c r="AS7" s="77" t="e">
        <f ca="1">VLOOKUP($AP7,OFFSET([1]unit_skills!$A$1,0,0,COUNTA([1]unit_skills!$A:$A),MATCH(AS$1,[1]unit_skills!$1:$1,0)-MATCH($AP$1,[1]unit_skills!$1:$1,0)+1),MATCH(AS$1,[1]unit_skills!$1:$1,0)-MATCH($AP$1,[1]unit_skills!$1:$1,0)+1,FALSE)</f>
        <v>#VALUE!</v>
      </c>
      <c r="AT7" s="97">
        <v>113002</v>
      </c>
      <c r="AU7" s="77" t="e">
        <f ca="1">VLOOKUP($AT7,OFFSET([1]crash_skills!$A$1,0,0,COUNTA([1]crash_skills!$A:$A),MATCH("name",[1]crash_skills!$1:$1,0)-MATCH($AT$1,[1]crash_skills!$1:$1,0)+1),MATCH("name",[1]crash_skills!$1:$1,0)-MATCH($AT$1,[1]crash_skills!$1:$1,0)+1,FALSE)</f>
        <v>#VALUE!</v>
      </c>
      <c r="AV7" s="77" t="e">
        <f ca="1">VLOOKUP($AT7,OFFSET([1]crash_skills!$A$1,0,0,COUNTA([1]crash_skills!$A:$A),MATCH("comment",[1]crash_skills!$1:$1,0)-MATCH($AT$1,[1]crash_skills!$1:$1,0)+1),MATCH("comment",[1]crash_skills!$1:$1,0)-MATCH($AT$1,[1]crash_skills!$1:$1,0)+1,FALSE)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7" s="77" t="e">
        <f ca="1">VLOOKUP($AT7,OFFSET([1]crash_skills!$A$1,0,0,COUNTA([1]crash_skills!$A:$A),MATCH(AW$1,[1]crash_skills!$1:$1,0)-MATCH($AT$1,[1]crash_skills!$1:$1,0)+1),MATCH(AW$1,[1]crash_skills!$1:$1,0)-MATCH($AT$1,[1]crash_skills!$1:$1,0)+1,FALSE)</f>
        <v>#VALUE!</v>
      </c>
      <c r="AX7" s="81">
        <f ca="1">VLOOKUP($A7,OFFSET([2]characters!$A$1,0,0,COUNTA([2]characters!$A:$A),MATCH(AX$1,[2]characters!$1:$1,0)-MATCH($A$1,[2]characters!$1:$1,0)+1),MATCH(AX$1,[2]characters!$1:$1,0)-MATCH($A$1,[2]characters!$1:$1,0)+1,FALSE)</f>
        <v>3</v>
      </c>
      <c r="AY7" s="19">
        <v>1</v>
      </c>
      <c r="AZ7" s="19">
        <v>1</v>
      </c>
      <c r="BA7" s="19">
        <v>0</v>
      </c>
      <c r="BB7" s="19">
        <v>1</v>
      </c>
      <c r="BC7" s="14">
        <f ca="1">INDEX('RC6SV'!$A$1:$G$20,MATCH(H7,'RC6SV'!$A$1:$A$20,FALSE),MATCH(G7,'RC6SV'!$A$1:$G$1,FALSE))</f>
        <v>2300</v>
      </c>
      <c r="BD7" s="63">
        <f t="shared" ca="1" si="4"/>
        <v>2185</v>
      </c>
      <c r="BE7" s="14">
        <f t="shared" ca="1" si="5"/>
        <v>1500</v>
      </c>
      <c r="BF7" s="14">
        <f t="shared" ca="1" si="6"/>
        <v>1</v>
      </c>
      <c r="BG7" s="20">
        <f ca="1">IF($BE7&lt;=0,ROUND(BK7*0.5,0), ROUND($BE7*S7*AA7*J7*AY7*0.8*[2]ステータス!$B$2,0))</f>
        <v>480</v>
      </c>
      <c r="BH7" s="20">
        <f ca="1">IF($BE7&lt;=0,ROUND(BL7*0.5,0), ROUND($BE7*T7*AB7*K7*AZ7*0.8*[2]ステータス!$C$2,0))</f>
        <v>275</v>
      </c>
      <c r="BI7" s="20">
        <f ca="1">IF($BE7&lt;=0,ROUND(BM7*0.5,0), ROUND($BE7*U7*AC7*L7*BA7*0.8*[2]ステータス!$D$2,0))</f>
        <v>0</v>
      </c>
      <c r="BJ7" s="20">
        <f ca="1">IF($BE7&lt;=0,ROUND(BN7*0.5,0), ROUND($BE7*V7*AD7*M7*BB7*0.8*[2]ステータス!$E$2,0))</f>
        <v>435</v>
      </c>
      <c r="BK7" s="14">
        <f ca="1">ROUND(BD7*S7*AA7*J7*AY7*[2]ステータス!$B$2,0)</f>
        <v>874</v>
      </c>
      <c r="BL7" s="14">
        <f ca="1">ROUND(BD7*T7*AB7*K7*AZ7*[2]ステータス!$C$2,0)</f>
        <v>501</v>
      </c>
      <c r="BM7" s="14">
        <f ca="1">ROUND(BD7*U7*AC7*L7*BA7*[2]ステータス!$D$2,0)</f>
        <v>0</v>
      </c>
      <c r="BN7" s="14">
        <f ca="1">ROUND(BD7*V7*AD7*M7*BB7*[2]ステータス!$E$2,0)</f>
        <v>791</v>
      </c>
      <c r="BO7" s="13">
        <v>0</v>
      </c>
      <c r="BP7" s="13">
        <v>1</v>
      </c>
      <c r="BQ7" s="13" t="s">
        <v>102</v>
      </c>
      <c r="BR7" s="13">
        <f ca="1">VLOOKUP(H7,ghosts_label!$A$2:$B$19,2,FALSE)</f>
        <v>1</v>
      </c>
    </row>
    <row r="8" spans="1:70" ht="21" customHeight="1" x14ac:dyDescent="0.15">
      <c r="A8" s="14">
        <f t="shared" ca="1" si="0"/>
        <v>7</v>
      </c>
      <c r="B8" s="77" t="str">
        <f ca="1">VLOOKUP($A8,OFFSET([2]characters!$A$1,0,0,COUNTA([2]characters!$A:$A),MATCH(B$1,[2]characters!$1:$1,0)-MATCH($A$1,[2]characters!$1:$1,0)+1),MATCH(B$1,[2]characters!$1:$1,0)-MATCH($A$1,[2]characters!$1:$1,0)+1,FALSE)</f>
        <v>エレキポット</v>
      </c>
      <c r="C8" s="77" t="str">
        <f ca="1">VLOOKUP($A8,OFFSET([2]characters!$A$1,0,0,COUNTA([2]characters!$A:$A),MATCH(C$1,[2]characters!$1:$1,0)-MATCH($A$1,[2]characters!$1:$1,0)+1),MATCH(C$1,[2]characters!$1:$1,0)-MATCH($A$1,[2]characters!$1:$1,0)+1,FALSE)</f>
        <v>ノーマルクエスト</v>
      </c>
      <c r="D8" s="77" t="str">
        <f ca="1">VLOOKUP($A8,OFFSET([2]characters!$A$1,0,0,COUNTA([2]characters!$A:$A),MATCH(D$1,[2]characters!$1:$1,0)-MATCH($A$1,[2]characters!$1:$1,0)+1),MATCH(D$1,[2]characters!$1:$1,0)-MATCH($A$1,[2]characters!$1:$1,0)+1,FALSE)</f>
        <v>QoH</v>
      </c>
      <c r="E8" s="77" t="str">
        <f ca="1">VLOOKUP($A8,OFFSET([2]characters!$A$1,0,0,COUNTA([2]characters!$A:$A),MATCH(E$1,[2]characters!$1:$1,0)-MATCH($A$1,[2]characters!$1:$1,0)+1),MATCH(E$1,[2]characters!$1:$1,0)-MATCH($A$1,[2]characters!$1:$1,0)+1,FALSE)</f>
        <v>世界観</v>
      </c>
      <c r="F8" s="77" t="str">
        <f ca="1">VLOOKUP($A8,OFFSET([2]characters!$A$1,0,0,COUNTA([2]characters!$A:$A),MATCH(F$1,[2]characters!$1:$1,0)-MATCH($A$1,[2]characters!$1:$1,0)+1),MATCH(F$1,[2]characters!$1:$1,0)-MATCH($A$1,[2]characters!$1:$1,0)+1,FALSE)</f>
        <v>不明</v>
      </c>
      <c r="G8" s="77">
        <f ca="1">VLOOKUP($A8,OFFSET([2]characters!$A$1,0,0,COUNTA([2]characters!$A:$A),MATCH(G$1,[2]characters!$1:$1,0)-MATCH($A$1,[2]characters!$1:$1,0)+1),MATCH(G$1,[2]characters!$1:$1,0)-MATCH($A$1,[2]characters!$1:$1,0)+1,FALSE)</f>
        <v>1</v>
      </c>
      <c r="H8" s="77" t="str">
        <f ca="1">VLOOKUP($A8,OFFSET([2]characters!$A$1,0,0,COUNTA([2]characters!$A:$A),MATCH(H$1,[2]characters!$1:$1,0)-MATCH($A$1,[2]characters!$1:$1,0)+1),MATCH(H$1,[2]characters!$1:$1,0)-MATCH($A$1,[2]characters!$1:$1,0)+1,FALSE)</f>
        <v>Drop1T</v>
      </c>
      <c r="I8" s="77" t="str">
        <f ca="1">VLOOKUP($A8,OFFSET([2]characters!$A$1,0,0,COUNTA([2]characters!$A:$A),MATCH(I$1,[2]characters!$1:$1,0)-MATCH($A$1,[2]characters!$1:$1,0)+1),MATCH(I$1,[2]characters!$1:$1,0)-MATCH($A$1,[2]characters!$1:$1,0)+1,FALSE)</f>
        <v>yellow</v>
      </c>
      <c r="J8" s="14">
        <f ca="1">VLOOKUP(I8,[2]属性!$A:$E,2,FALSE)</f>
        <v>0.98</v>
      </c>
      <c r="K8" s="14">
        <f ca="1">VLOOKUP(I8,[2]属性!$A:$E,3,FALSE)</f>
        <v>1.01</v>
      </c>
      <c r="L8" s="14">
        <f ca="1">VLOOKUP(I8,[2]属性!$A:$E,4,FALSE)</f>
        <v>1</v>
      </c>
      <c r="M8" s="14">
        <f ca="1">VLOOKUP(I8,[2]属性!$A:$E,5,FALSE)</f>
        <v>1.01</v>
      </c>
      <c r="N8" s="14">
        <f ca="1">INDEX(コスト!$A$1:$I$20,MATCH(H8,コスト!$A$1:$A$20,FALSE),MATCH(G8,コスト!$A$1:$I$1,FALSE))</f>
        <v>1</v>
      </c>
      <c r="O8" s="14">
        <f ca="1">INDEX(レベル!$A$1:$I$21,MATCH(H8,レベル!$A$1:$A$21,FALSE),MATCH(G8,レベル!$A$1:$I$1,FALSE))</f>
        <v>10</v>
      </c>
      <c r="P8" s="63">
        <f t="shared" ca="1" si="7"/>
        <v>15</v>
      </c>
      <c r="Q8" s="77" t="str">
        <f ca="1">VLOOKUP($A8,OFFSET([2]characters!$A$1,0,0,COUNTA([2]characters!$A:$A),MATCH(Q$1,[2]characters!$1:$1,0)-MATCH($A$1,[2]characters!$1:$1,0)+1),MATCH(Q$1,[2]characters!$1:$1,0)-MATCH($A$1,[2]characters!$1:$1,0)+1,FALSE)</f>
        <v>attack</v>
      </c>
      <c r="R8" s="8" t="str">
        <f ca="1">VLOOKUP(Q8,[2]character_type_i18n!$A:$H,3,FALSE)</f>
        <v>攻撃タイプ</v>
      </c>
      <c r="S8" s="14">
        <f ca="1">VLOOKUP(Q8,[2]character_type_i18n!$A:$H,4,FALSE)</f>
        <v>1</v>
      </c>
      <c r="T8" s="14">
        <f ca="1">VLOOKUP(Q8,[2]character_type_i18n!$A:$H,5,FALSE)</f>
        <v>1.33</v>
      </c>
      <c r="U8" s="14">
        <f ca="1">VLOOKUP(Q8,[2]character_type_i18n!$A:$H,6,FALSE)</f>
        <v>1</v>
      </c>
      <c r="V8" s="14">
        <f ca="1">VLOOKUP(Q8,[2]character_type_i18n!$A:$H,7,FALSE)</f>
        <v>0.67</v>
      </c>
      <c r="W8" s="77" t="str">
        <f ca="1">VLOOKUP($A8,OFFSET([2]characters!$A$1,0,0,COUNTA([2]characters!$A:$A),MATCH(W$1,[2]characters!$1:$1,0)-MATCH($A$1,[2]characters!$1:$1,0)+1),MATCH(W$1,[2]characters!$1:$1,0)-MATCH($A$1,[2]characters!$1:$1,0)+1,FALSE)</f>
        <v>unknown</v>
      </c>
      <c r="X8" s="8" t="str">
        <f ca="1">VLOOKUP(W8,[2]character_tribe_i18n!$A:$H,3,FALSE)</f>
        <v>Unknown</v>
      </c>
      <c r="Y8" s="77" t="str">
        <f ca="1">VLOOKUP($A8,OFFSET([2]characters!$A$1,0,0,COUNTA([2]characters!$A:$A),MATCH(Y$1,[2]characters!$1:$1,0)-MATCH($A$1,[2]characters!$1:$1,0)+1),MATCH(Y$1,[2]characters!$1:$1,0)-MATCH($A$1,[2]characters!$1:$1,0)+1,FALSE)</f>
        <v>none</v>
      </c>
      <c r="Z8" s="8" t="str">
        <f ca="1">VLOOKUP(Y8,[2]character_tribe_i18n!$A:$H,3,FALSE)</f>
        <v>種族なし</v>
      </c>
      <c r="AA8" s="14">
        <f ca="1">VLOOKUP(W8,[2]character_tribe_i18n!$A:$H,4,FALSE)</f>
        <v>1</v>
      </c>
      <c r="AB8" s="14">
        <f ca="1">VLOOKUP(W8,[2]character_tribe_i18n!$A:$H,5,FALSE)</f>
        <v>1</v>
      </c>
      <c r="AC8" s="14">
        <f ca="1">VLOOKUP(W8,[2]character_tribe_i18n!$A:$H,6,FALSE)</f>
        <v>1</v>
      </c>
      <c r="AD8" s="14">
        <f ca="1">VLOOKUP(W8,[2]character_tribe_i18n!$A:$H,7,FALSE)</f>
        <v>1</v>
      </c>
      <c r="AE8" s="12">
        <v>8</v>
      </c>
      <c r="AF8" s="85" t="str">
        <f ca="1">IF(AE8="NULL","",VLOOKUP($AE8,OFFSET([2]characters!$A$1,0,0,COUNTA([2]characters!$A:$A),MATCH(AF$1,[2]characters!$1:$1,0)-MATCH($A$1,[2]characters!$1:$1,0)+1),MATCH(AF$1,[2]characters!$1:$1,0)-MATCH($A$1,[2]characters!$1:$1,0)+1,FALSE))</f>
        <v>ハイボルテージ エレキポット</v>
      </c>
      <c r="AG8" s="8">
        <f t="shared" ca="1" si="2"/>
        <v>7</v>
      </c>
      <c r="AH8" s="85" t="str">
        <f ca="1">VLOOKUP($AG8,OFFSET([2]characters!$A$1,0,0,COUNTA([2]characters!$A:$A),MATCH(AH$1,[2]characters!$1:$1,0)-MATCH($A$1,[2]characters!$1:$1,0)+1),MATCH(AH$1,[2]characters!$1:$1,0)-MATCH($A$1,[2]characters!$1:$1,0)+1,FALSE)</f>
        <v>エレキポット</v>
      </c>
      <c r="AI8" s="14">
        <f ca="1">IF(AE8="NULL","NULL",VLOOKUP(G8,ビット!$A$2:$B$7,2))</f>
        <v>5000</v>
      </c>
      <c r="AJ8" s="9">
        <v>1</v>
      </c>
      <c r="AK8" s="10" t="str">
        <f t="shared" si="3"/>
        <v>早熟</v>
      </c>
      <c r="AL8" s="14" t="str">
        <f ca="1">INDEX(経験値!$A$1:$I$20,MATCH(H8,経験値!$A$1:$A$20,FALSE),MATCH(G8,経験値!$A$1:$I$1,FALSE))</f>
        <v>required_exp_50</v>
      </c>
      <c r="AM8" s="11">
        <f ca="1">VLOOKUP(G8,経験値!$A$27:$B$31,2)</f>
        <v>200</v>
      </c>
      <c r="AN8" s="21">
        <f ca="1">VLOOKUP(G8,ビット!$G$2:$H$7,2)</f>
        <v>75</v>
      </c>
      <c r="AO8" s="64" t="s">
        <v>46</v>
      </c>
      <c r="AP8" s="101">
        <v>114001</v>
      </c>
      <c r="AQ8" s="77" t="e">
        <f ca="1">VLOOKUP($AP8,OFFSET([1]unit_skills!$A$1,0,0,COUNTA([1]unit_skills!$A:$A),MATCH("name",[1]unit_skills!$1:$1,0)-MATCH($AP$1,[1]unit_skills!$1:$1,0)+1),MATCH("name",[1]unit_skills!$1:$1,0)-MATCH($AP$1,[1]unit_skills!$1:$1,0)+1,FALSE)</f>
        <v>#VALUE!</v>
      </c>
      <c r="AR8" s="77" t="e">
        <f ca="1">VLOOKUP($AP8,OFFSET([1]unit_skills!$A$1,0,0,COUNTA([1]unit_skills!$A:$A),MATCH("comment",[1]unit_skills!$1:$1,0)-MATCH($AP$1,[1]unit_skills!$1:$1,0)+1),MATCH("comment",[1]unit_skills!$1:$1,0)-MATCH($AP$1,[1]unit_skills!$1:$1,0)+1,FALSE)</f>
        <v>#VALUE!</v>
      </c>
      <c r="AS8" s="77" t="e">
        <f ca="1">VLOOKUP($AP8,OFFSET([1]unit_skills!$A$1,0,0,COUNTA([1]unit_skills!$A:$A),MATCH(AS$1,[1]unit_skills!$1:$1,0)-MATCH($AP$1,[1]unit_skills!$1:$1,0)+1),MATCH(AS$1,[1]unit_skills!$1:$1,0)-MATCH($AP$1,[1]unit_skills!$1:$1,0)+1,FALSE)</f>
        <v>#VALUE!</v>
      </c>
      <c r="AT8" s="97">
        <v>114001</v>
      </c>
      <c r="AU8" s="77" t="e">
        <f ca="1">VLOOKUP($AT8,OFFSET([1]crash_skills!$A$1,0,0,COUNTA([1]crash_skills!$A:$A),MATCH("name",[1]crash_skills!$1:$1,0)-MATCH($AT$1,[1]crash_skills!$1:$1,0)+1),MATCH("name",[1]crash_skills!$1:$1,0)-MATCH($AT$1,[1]crash_skills!$1:$1,0)+1,FALSE)</f>
        <v>#VALUE!</v>
      </c>
      <c r="AV8" s="77" t="e">
        <f ca="1">VLOOKUP($AT8,OFFSET([1]crash_skills!$A$1,0,0,COUNTA([1]crash_skills!$A:$A),MATCH("comment",[1]crash_skills!$1:$1,0)-MATCH($AT$1,[1]crash_skills!$1:$1,0)+1),MATCH("comment",[1]crash_skills!$1:$1,0)-MATCH($AT$1,[1]crash_skills!$1:$1,0)+1,FALSE)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8" s="77" t="e">
        <f ca="1">VLOOKUP($AT8,OFFSET([1]crash_skills!$A$1,0,0,COUNTA([1]crash_skills!$A:$A),MATCH(AW$1,[1]crash_skills!$1:$1,0)-MATCH($AT$1,[1]crash_skills!$1:$1,0)+1),MATCH(AW$1,[1]crash_skills!$1:$1,0)-MATCH($AT$1,[1]crash_skills!$1:$1,0)+1,FALSE)</f>
        <v>#VALUE!</v>
      </c>
      <c r="AX8" s="81">
        <f ca="1">VLOOKUP($A8,OFFSET([2]characters!$A$1,0,0,COUNTA([2]characters!$A:$A),MATCH(AX$1,[2]characters!$1:$1,0)-MATCH($A$1,[2]characters!$1:$1,0)+1),MATCH(AX$1,[2]characters!$1:$1,0)-MATCH($A$1,[2]characters!$1:$1,0)+1,FALSE)</f>
        <v>3</v>
      </c>
      <c r="AY8" s="19">
        <v>1</v>
      </c>
      <c r="AZ8" s="19">
        <v>1</v>
      </c>
      <c r="BA8" s="19">
        <v>0</v>
      </c>
      <c r="BB8" s="19">
        <v>1</v>
      </c>
      <c r="BC8" s="14">
        <f ca="1">INDEX('RC6SV'!$A$1:$G$20,MATCH(H8,'RC6SV'!$A$1:$A$20,FALSE),MATCH(G8,'RC6SV'!$A$1:$G$1,FALSE))</f>
        <v>1500</v>
      </c>
      <c r="BD8" s="63">
        <f t="shared" ca="1" si="4"/>
        <v>1425</v>
      </c>
      <c r="BE8" s="14">
        <f t="shared" ca="1" si="5"/>
        <v>0</v>
      </c>
      <c r="BF8" s="14">
        <f t="shared" ca="1" si="6"/>
        <v>1</v>
      </c>
      <c r="BG8" s="20">
        <f ca="1">IF($BE8&lt;=0,ROUND(BK8*0.5,0), ROUND($BE8*S8*AA8*J8*AY8*0.8*[2]ステータス!$B$2,0))</f>
        <v>349</v>
      </c>
      <c r="BH8" s="20">
        <f ca="1">IF($BE8&lt;=0,ROUND(BL8*0.5,0), ROUND($BE8*T8*AB8*K8*AZ8*0.8*[2]ステータス!$C$2,0))</f>
        <v>287</v>
      </c>
      <c r="BI8" s="20">
        <f ca="1">IF($BE8&lt;=0,ROUND(BM8*0.5,0), ROUND($BE8*U8*AC8*L8*BA8*0.8*[2]ステータス!$D$2,0))</f>
        <v>0</v>
      </c>
      <c r="BJ8" s="20">
        <f ca="1">IF($BE8&lt;=0,ROUND(BN8*0.5,0), ROUND($BE8*V8*AD8*M8*BB8*0.8*[2]ステータス!$E$2,0))</f>
        <v>121</v>
      </c>
      <c r="BK8" s="14">
        <f ca="1">ROUND(BD8*S8*AA8*J8*AY8*[2]ステータス!$B$2,0)</f>
        <v>698</v>
      </c>
      <c r="BL8" s="14">
        <f ca="1">ROUND(BD8*T8*AB8*K8*AZ8*[2]ステータス!$C$2,0)</f>
        <v>574</v>
      </c>
      <c r="BM8" s="14">
        <f ca="1">ROUND(BD8*U8*AC8*L8*BA8*[2]ステータス!$D$2,0)</f>
        <v>0</v>
      </c>
      <c r="BN8" s="14">
        <f ca="1">ROUND(BD8*V8*AD8*M8*BB8*[2]ステータス!$E$2,0)</f>
        <v>241</v>
      </c>
      <c r="BO8" s="13">
        <v>0</v>
      </c>
      <c r="BP8" s="13">
        <v>1</v>
      </c>
      <c r="BQ8" s="13" t="s">
        <v>102</v>
      </c>
      <c r="BR8" s="13">
        <f ca="1">VLOOKUP(H8,ghosts_label!$A$2:$B$19,2,FALSE)</f>
        <v>1</v>
      </c>
    </row>
    <row r="9" spans="1:70" ht="21" customHeight="1" x14ac:dyDescent="0.15">
      <c r="A9" s="14">
        <f t="shared" ca="1" si="0"/>
        <v>8</v>
      </c>
      <c r="B9" s="77" t="str">
        <f ca="1">VLOOKUP($A9,OFFSET([2]characters!$A$1,0,0,COUNTA([2]characters!$A:$A),MATCH(B$1,[2]characters!$1:$1,0)-MATCH($A$1,[2]characters!$1:$1,0)+1),MATCH(B$1,[2]characters!$1:$1,0)-MATCH($A$1,[2]characters!$1:$1,0)+1,FALSE)</f>
        <v>ハイボルテージ エレキポット</v>
      </c>
      <c r="C9" s="77" t="str">
        <f ca="1">VLOOKUP($A9,OFFSET([2]characters!$A$1,0,0,COUNTA([2]characters!$A:$A),MATCH(C$1,[2]characters!$1:$1,0)-MATCH($A$1,[2]characters!$1:$1,0)+1),MATCH(C$1,[2]characters!$1:$1,0)-MATCH($A$1,[2]characters!$1:$1,0)+1,FALSE)</f>
        <v>ノーマルクエスト</v>
      </c>
      <c r="D9" s="77" t="str">
        <f ca="1">VLOOKUP($A9,OFFSET([2]characters!$A$1,0,0,COUNTA([2]characters!$A:$A),MATCH(D$1,[2]characters!$1:$1,0)-MATCH($A$1,[2]characters!$1:$1,0)+1),MATCH(D$1,[2]characters!$1:$1,0)-MATCH($A$1,[2]characters!$1:$1,0)+1,FALSE)</f>
        <v>QoH</v>
      </c>
      <c r="E9" s="77" t="str">
        <f ca="1">VLOOKUP($A9,OFFSET([2]characters!$A$1,0,0,COUNTA([2]characters!$A:$A),MATCH(E$1,[2]characters!$1:$1,0)-MATCH($A$1,[2]characters!$1:$1,0)+1),MATCH(E$1,[2]characters!$1:$1,0)-MATCH($A$1,[2]characters!$1:$1,0)+1,FALSE)</f>
        <v>世界観</v>
      </c>
      <c r="F9" s="77" t="str">
        <f ca="1">VLOOKUP($A9,OFFSET([2]characters!$A$1,0,0,COUNTA([2]characters!$A:$A),MATCH(F$1,[2]characters!$1:$1,0)-MATCH($A$1,[2]characters!$1:$1,0)+1),MATCH(F$1,[2]characters!$1:$1,0)-MATCH($A$1,[2]characters!$1:$1,0)+1,FALSE)</f>
        <v>不明</v>
      </c>
      <c r="G9" s="77">
        <f ca="1">VLOOKUP($A9,OFFSET([2]characters!$A$1,0,0,COUNTA([2]characters!$A:$A),MATCH(G$1,[2]characters!$1:$1,0)-MATCH($A$1,[2]characters!$1:$1,0)+1),MATCH(G$1,[2]characters!$1:$1,0)-MATCH($A$1,[2]characters!$1:$1,0)+1,FALSE)</f>
        <v>2</v>
      </c>
      <c r="H9" s="77" t="str">
        <f ca="1">VLOOKUP($A9,OFFSET([2]characters!$A$1,0,0,COUNTA([2]characters!$A:$A),MATCH(H$1,[2]characters!$1:$1,0)-MATCH($A$1,[2]characters!$1:$1,0)+1),MATCH(H$1,[2]characters!$1:$1,0)-MATCH($A$1,[2]characters!$1:$1,0)+1,FALSE)</f>
        <v>Drop1T</v>
      </c>
      <c r="I9" s="77" t="str">
        <f ca="1">VLOOKUP($A9,OFFSET([2]characters!$A$1,0,0,COUNTA([2]characters!$A:$A),MATCH(I$1,[2]characters!$1:$1,0)-MATCH($A$1,[2]characters!$1:$1,0)+1),MATCH(I$1,[2]characters!$1:$1,0)-MATCH($A$1,[2]characters!$1:$1,0)+1,FALSE)</f>
        <v>yellow</v>
      </c>
      <c r="J9" s="14">
        <f ca="1">VLOOKUP(I9,[2]属性!$A:$E,2,FALSE)</f>
        <v>0.98</v>
      </c>
      <c r="K9" s="14">
        <f ca="1">VLOOKUP(I9,[2]属性!$A:$E,3,FALSE)</f>
        <v>1.01</v>
      </c>
      <c r="L9" s="14">
        <f ca="1">VLOOKUP(I9,[2]属性!$A:$E,4,FALSE)</f>
        <v>1</v>
      </c>
      <c r="M9" s="14">
        <f ca="1">VLOOKUP(I9,[2]属性!$A:$E,5,FALSE)</f>
        <v>1.01</v>
      </c>
      <c r="N9" s="14">
        <f ca="1">INDEX(コスト!$A$1:$I$20,MATCH(H9,コスト!$A$1:$A$20,FALSE),MATCH(G9,コスト!$A$1:$I$1,FALSE))</f>
        <v>1</v>
      </c>
      <c r="O9" s="14">
        <f ca="1">INDEX(レベル!$A$1:$I$21,MATCH(H9,レベル!$A$1:$A$21,FALSE),MATCH(G9,レベル!$A$1:$I$1,FALSE))</f>
        <v>20</v>
      </c>
      <c r="P9" s="63">
        <f t="shared" ca="1" si="7"/>
        <v>30</v>
      </c>
      <c r="Q9" s="77" t="str">
        <f ca="1">VLOOKUP($A9,OFFSET([2]characters!$A$1,0,0,COUNTA([2]characters!$A:$A),MATCH(Q$1,[2]characters!$1:$1,0)-MATCH($A$1,[2]characters!$1:$1,0)+1),MATCH(Q$1,[2]characters!$1:$1,0)-MATCH($A$1,[2]characters!$1:$1,0)+1,FALSE)</f>
        <v>attack</v>
      </c>
      <c r="R9" s="8" t="str">
        <f ca="1">VLOOKUP(Q9,[2]character_type_i18n!$A:$H,3,FALSE)</f>
        <v>攻撃タイプ</v>
      </c>
      <c r="S9" s="14">
        <f ca="1">VLOOKUP(Q9,[2]character_type_i18n!$A:$H,4,FALSE)</f>
        <v>1</v>
      </c>
      <c r="T9" s="14">
        <f ca="1">VLOOKUP(Q9,[2]character_type_i18n!$A:$H,5,FALSE)</f>
        <v>1.33</v>
      </c>
      <c r="U9" s="14">
        <f ca="1">VLOOKUP(Q9,[2]character_type_i18n!$A:$H,6,FALSE)</f>
        <v>1</v>
      </c>
      <c r="V9" s="14">
        <f ca="1">VLOOKUP(Q9,[2]character_type_i18n!$A:$H,7,FALSE)</f>
        <v>0.67</v>
      </c>
      <c r="W9" s="77" t="str">
        <f ca="1">VLOOKUP($A9,OFFSET([2]characters!$A$1,0,0,COUNTA([2]characters!$A:$A),MATCH(W$1,[2]characters!$1:$1,0)-MATCH($A$1,[2]characters!$1:$1,0)+1),MATCH(W$1,[2]characters!$1:$1,0)-MATCH($A$1,[2]characters!$1:$1,0)+1,FALSE)</f>
        <v>unknown</v>
      </c>
      <c r="X9" s="8" t="str">
        <f ca="1">VLOOKUP(W9,[2]character_tribe_i18n!$A:$H,3,FALSE)</f>
        <v>Unknown</v>
      </c>
      <c r="Y9" s="77" t="str">
        <f ca="1">VLOOKUP($A9,OFFSET([2]characters!$A$1,0,0,COUNTA([2]characters!$A:$A),MATCH(Y$1,[2]characters!$1:$1,0)-MATCH($A$1,[2]characters!$1:$1,0)+1),MATCH(Y$1,[2]characters!$1:$1,0)-MATCH($A$1,[2]characters!$1:$1,0)+1,FALSE)</f>
        <v>none</v>
      </c>
      <c r="Z9" s="8" t="str">
        <f ca="1">VLOOKUP(Y9,[2]character_tribe_i18n!$A:$H,3,FALSE)</f>
        <v>種族なし</v>
      </c>
      <c r="AA9" s="14">
        <f ca="1">VLOOKUP(W9,[2]character_tribe_i18n!$A:$H,4,FALSE)</f>
        <v>1</v>
      </c>
      <c r="AB9" s="14">
        <f ca="1">VLOOKUP(W9,[2]character_tribe_i18n!$A:$H,5,FALSE)</f>
        <v>1</v>
      </c>
      <c r="AC9" s="14">
        <f ca="1">VLOOKUP(W9,[2]character_tribe_i18n!$A:$H,6,FALSE)</f>
        <v>1</v>
      </c>
      <c r="AD9" s="14">
        <f ca="1">VLOOKUP(W9,[2]character_tribe_i18n!$A:$H,7,FALSE)</f>
        <v>1</v>
      </c>
      <c r="AE9" s="12" t="s">
        <v>102</v>
      </c>
      <c r="AF9" s="85" t="str">
        <f ca="1">IF(AE9="NULL","",VLOOKUP($AE9,OFFSET([2]characters!$A$1,0,0,COUNTA([2]characters!$A:$A),MATCH(AF$1,[2]characters!$1:$1,0)-MATCH($A$1,[2]characters!$1:$1,0)+1),MATCH(AF$1,[2]characters!$1:$1,0)-MATCH($A$1,[2]characters!$1:$1,0)+1,FALSE))</f>
        <v/>
      </c>
      <c r="AG9" s="8">
        <f t="shared" ca="1" si="2"/>
        <v>7</v>
      </c>
      <c r="AH9" s="85" t="str">
        <f ca="1">VLOOKUP($AG9,OFFSET([2]characters!$A$1,0,0,COUNTA([2]characters!$A:$A),MATCH(AH$1,[2]characters!$1:$1,0)-MATCH($A$1,[2]characters!$1:$1,0)+1),MATCH(AH$1,[2]characters!$1:$1,0)-MATCH($A$1,[2]characters!$1:$1,0)+1,FALSE)</f>
        <v>エレキポット</v>
      </c>
      <c r="AI9" s="14" t="str">
        <f>IF(AE9="NULL","NULL",VLOOKUP(G9,ビット!$A$2:$B$7,2))</f>
        <v>NULL</v>
      </c>
      <c r="AJ9" s="9">
        <v>1</v>
      </c>
      <c r="AK9" s="10" t="str">
        <f t="shared" si="3"/>
        <v>早熟</v>
      </c>
      <c r="AL9" s="14" t="str">
        <f ca="1">INDEX(経験値!$A$1:$I$20,MATCH(H9,経験値!$A$1:$A$20,FALSE),MATCH(G9,経験値!$A$1:$I$1,FALSE))</f>
        <v>required_exp_50</v>
      </c>
      <c r="AM9" s="11">
        <f ca="1">VLOOKUP(G9,経験値!$A$27:$B$31,2)</f>
        <v>600</v>
      </c>
      <c r="AN9" s="21">
        <f ca="1">VLOOKUP(G9,ビット!$G$2:$H$7,2)</f>
        <v>150</v>
      </c>
      <c r="AO9" s="64" t="s">
        <v>46</v>
      </c>
      <c r="AP9" s="101">
        <v>114002</v>
      </c>
      <c r="AQ9" s="77" t="e">
        <f ca="1">VLOOKUP($AP9,OFFSET([1]unit_skills!$A$1,0,0,COUNTA([1]unit_skills!$A:$A),MATCH("name",[1]unit_skills!$1:$1,0)-MATCH($AP$1,[1]unit_skills!$1:$1,0)+1),MATCH("name",[1]unit_skills!$1:$1,0)-MATCH($AP$1,[1]unit_skills!$1:$1,0)+1,FALSE)</f>
        <v>#VALUE!</v>
      </c>
      <c r="AR9" s="77" t="e">
        <f ca="1">VLOOKUP($AP9,OFFSET([1]unit_skills!$A$1,0,0,COUNTA([1]unit_skills!$A:$A),MATCH("comment",[1]unit_skills!$1:$1,0)-MATCH($AP$1,[1]unit_skills!$1:$1,0)+1),MATCH("comment",[1]unit_skills!$1:$1,0)-MATCH($AP$1,[1]unit_skills!$1:$1,0)+1,FALSE)</f>
        <v>#VALUE!</v>
      </c>
      <c r="AS9" s="77" t="e">
        <f ca="1">VLOOKUP($AP9,OFFSET([1]unit_skills!$A$1,0,0,COUNTA([1]unit_skills!$A:$A),MATCH(AS$1,[1]unit_skills!$1:$1,0)-MATCH($AP$1,[1]unit_skills!$1:$1,0)+1),MATCH(AS$1,[1]unit_skills!$1:$1,0)-MATCH($AP$1,[1]unit_skills!$1:$1,0)+1,FALSE)</f>
        <v>#VALUE!</v>
      </c>
      <c r="AT9" s="97">
        <v>114002</v>
      </c>
      <c r="AU9" s="77" t="e">
        <f ca="1">VLOOKUP($AT9,OFFSET([1]crash_skills!$A$1,0,0,COUNTA([1]crash_skills!$A:$A),MATCH("name",[1]crash_skills!$1:$1,0)-MATCH($AT$1,[1]crash_skills!$1:$1,0)+1),MATCH("name",[1]crash_skills!$1:$1,0)-MATCH($AT$1,[1]crash_skills!$1:$1,0)+1,FALSE)</f>
        <v>#VALUE!</v>
      </c>
      <c r="AV9" s="77" t="e">
        <f ca="1">VLOOKUP($AT9,OFFSET([1]crash_skills!$A$1,0,0,COUNTA([1]crash_skills!$A:$A),MATCH("comment",[1]crash_skills!$1:$1,0)-MATCH($AT$1,[1]crash_skills!$1:$1,0)+1),MATCH("comment",[1]crash_skills!$1:$1,0)-MATCH($AT$1,[1]crash_skills!$1:$1,0)+1,FALSE)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9" s="77" t="e">
        <f ca="1">VLOOKUP($AT9,OFFSET([1]crash_skills!$A$1,0,0,COUNTA([1]crash_skills!$A:$A),MATCH(AW$1,[1]crash_skills!$1:$1,0)-MATCH($AT$1,[1]crash_skills!$1:$1,0)+1),MATCH(AW$1,[1]crash_skills!$1:$1,0)-MATCH($AT$1,[1]crash_skills!$1:$1,0)+1,FALSE)</f>
        <v>#VALUE!</v>
      </c>
      <c r="AX9" s="81">
        <f ca="1">VLOOKUP($A9,OFFSET([2]characters!$A$1,0,0,COUNTA([2]characters!$A:$A),MATCH(AX$1,[2]characters!$1:$1,0)-MATCH($A$1,[2]characters!$1:$1,0)+1),MATCH(AX$1,[2]characters!$1:$1,0)-MATCH($A$1,[2]characters!$1:$1,0)+1,FALSE)</f>
        <v>3</v>
      </c>
      <c r="AY9" s="19">
        <v>1</v>
      </c>
      <c r="AZ9" s="19">
        <v>1</v>
      </c>
      <c r="BA9" s="19">
        <v>0</v>
      </c>
      <c r="BB9" s="19">
        <v>1</v>
      </c>
      <c r="BC9" s="14">
        <f ca="1">INDEX('RC6SV'!$A$1:$G$20,MATCH(H9,'RC6SV'!$A$1:$A$20,FALSE),MATCH(G9,'RC6SV'!$A$1:$G$1,FALSE))</f>
        <v>2300</v>
      </c>
      <c r="BD9" s="63">
        <f t="shared" ca="1" si="4"/>
        <v>2185</v>
      </c>
      <c r="BE9" s="14">
        <f t="shared" ca="1" si="5"/>
        <v>1500</v>
      </c>
      <c r="BF9" s="14">
        <f t="shared" ca="1" si="6"/>
        <v>1</v>
      </c>
      <c r="BG9" s="20">
        <f ca="1">IF($BE9&lt;=0,ROUND(BK9*0.5,0), ROUND($BE9*S9*AA9*J9*AY9*0.8*[2]ステータス!$B$2,0))</f>
        <v>588</v>
      </c>
      <c r="BH9" s="20">
        <f ca="1">IF($BE9&lt;=0,ROUND(BL9*0.5,0), ROUND($BE9*T9*AB9*K9*AZ9*0.8*[2]ステータス!$C$2,0))</f>
        <v>484</v>
      </c>
      <c r="BI9" s="20">
        <f ca="1">IF($BE9&lt;=0,ROUND(BM9*0.5,0), ROUND($BE9*U9*AC9*L9*BA9*0.8*[2]ステータス!$D$2,0))</f>
        <v>0</v>
      </c>
      <c r="BJ9" s="20">
        <f ca="1">IF($BE9&lt;=0,ROUND(BN9*0.5,0), ROUND($BE9*V9*AD9*M9*BB9*0.8*[2]ステータス!$E$2,0))</f>
        <v>203</v>
      </c>
      <c r="BK9" s="14">
        <f ca="1">ROUND(BD9*S9*AA9*J9*AY9*[2]ステータス!$B$2,0)</f>
        <v>1071</v>
      </c>
      <c r="BL9" s="14">
        <f ca="1">ROUND(BD9*T9*AB9*K9*AZ9*[2]ステータス!$C$2,0)</f>
        <v>881</v>
      </c>
      <c r="BM9" s="14">
        <f ca="1">ROUND(BD9*U9*AC9*L9*BA9*[2]ステータス!$D$2,0)</f>
        <v>0</v>
      </c>
      <c r="BN9" s="14">
        <f ca="1">ROUND(BD9*V9*AD9*M9*BB9*[2]ステータス!$E$2,0)</f>
        <v>370</v>
      </c>
      <c r="BO9" s="13">
        <v>0</v>
      </c>
      <c r="BP9" s="13">
        <v>1</v>
      </c>
      <c r="BQ9" s="13" t="s">
        <v>102</v>
      </c>
      <c r="BR9" s="13">
        <f ca="1">VLOOKUP(H9,ghosts_label!$A$2:$B$19,2,FALSE)</f>
        <v>1</v>
      </c>
    </row>
    <row r="10" spans="1:70" ht="21" customHeight="1" x14ac:dyDescent="0.15">
      <c r="A10" s="14">
        <f t="shared" ca="1" si="0"/>
        <v>9</v>
      </c>
      <c r="B10" s="77" t="str">
        <f ca="1">VLOOKUP($A10,OFFSET([2]characters!$A$1,0,0,COUNTA([2]characters!$A:$A),MATCH(B$1,[2]characters!$1:$1,0)-MATCH($A$1,[2]characters!$1:$1,0)+1),MATCH(B$1,[2]characters!$1:$1,0)-MATCH($A$1,[2]characters!$1:$1,0)+1,FALSE)</f>
        <v>ブレット</v>
      </c>
      <c r="C10" s="77" t="str">
        <f ca="1">VLOOKUP($A10,OFFSET([2]characters!$A$1,0,0,COUNTA([2]characters!$A:$A),MATCH(C$1,[2]characters!$1:$1,0)-MATCH($A$1,[2]characters!$1:$1,0)+1),MATCH(C$1,[2]characters!$1:$1,0)-MATCH($A$1,[2]characters!$1:$1,0)+1,FALSE)</f>
        <v>ノーマルクエスト</v>
      </c>
      <c r="D10" s="77" t="str">
        <f ca="1">VLOOKUP($A10,OFFSET([2]characters!$A$1,0,0,COUNTA([2]characters!$A:$A),MATCH(D$1,[2]characters!$1:$1,0)-MATCH($A$1,[2]characters!$1:$1,0)+1),MATCH(D$1,[2]characters!$1:$1,0)-MATCH($A$1,[2]characters!$1:$1,0)+1,FALSE)</f>
        <v>アバター</v>
      </c>
      <c r="E10" s="77" t="str">
        <f ca="1">VLOOKUP($A10,OFFSET([2]characters!$A$1,0,0,COUNTA([2]characters!$A:$A),MATCH(E$1,[2]characters!$1:$1,0)-MATCH($A$1,[2]characters!$1:$1,0)+1),MATCH(E$1,[2]characters!$1:$1,0)-MATCH($A$1,[2]characters!$1:$1,0)+1,FALSE)</f>
        <v>世界観</v>
      </c>
      <c r="F10" s="77" t="str">
        <f ca="1">VLOOKUP($A10,OFFSET([2]characters!$A$1,0,0,COUNTA([2]characters!$A:$A),MATCH(F$1,[2]characters!$1:$1,0)-MATCH($A$1,[2]characters!$1:$1,0)+1),MATCH(F$1,[2]characters!$1:$1,0)-MATCH($A$1,[2]characters!$1:$1,0)+1,FALSE)</f>
        <v>不明</v>
      </c>
      <c r="G10" s="77">
        <f ca="1">VLOOKUP($A10,OFFSET([2]characters!$A$1,0,0,COUNTA([2]characters!$A:$A),MATCH(G$1,[2]characters!$1:$1,0)-MATCH($A$1,[2]characters!$1:$1,0)+1),MATCH(G$1,[2]characters!$1:$1,0)-MATCH($A$1,[2]characters!$1:$1,0)+1,FALSE)</f>
        <v>1</v>
      </c>
      <c r="H10" s="77" t="str">
        <f ca="1">VLOOKUP($A10,OFFSET([2]characters!$A$1,0,0,COUNTA([2]characters!$A:$A),MATCH(H$1,[2]characters!$1:$1,0)-MATCH($A$1,[2]characters!$1:$1,0)+1),MATCH(H$1,[2]characters!$1:$1,0)-MATCH($A$1,[2]characters!$1:$1,0)+1,FALSE)</f>
        <v>Drop1W</v>
      </c>
      <c r="I10" s="77" t="str">
        <f ca="1">VLOOKUP($A10,OFFSET([2]characters!$A$1,0,0,COUNTA([2]characters!$A:$A),MATCH(I$1,[2]characters!$1:$1,0)-MATCH($A$1,[2]characters!$1:$1,0)+1),MATCH(I$1,[2]characters!$1:$1,0)-MATCH($A$1,[2]characters!$1:$1,0)+1,FALSE)</f>
        <v>red</v>
      </c>
      <c r="J10" s="14">
        <f ca="1">VLOOKUP(I10,[2]属性!$A:$E,2,FALSE)</f>
        <v>1</v>
      </c>
      <c r="K10" s="14">
        <f ca="1">VLOOKUP(I10,[2]属性!$A:$E,3,FALSE)</f>
        <v>1.02</v>
      </c>
      <c r="L10" s="14">
        <f ca="1">VLOOKUP(I10,[2]属性!$A:$E,4,FALSE)</f>
        <v>1</v>
      </c>
      <c r="M10" s="14">
        <f ca="1">VLOOKUP(I10,[2]属性!$A:$E,5,FALSE)</f>
        <v>0.98</v>
      </c>
      <c r="N10" s="14">
        <f ca="1">INDEX(コスト!$A$1:$I$20,MATCH(H10,コスト!$A$1:$A$20,FALSE),MATCH(G10,コスト!$A$1:$I$1,FALSE))</f>
        <v>1</v>
      </c>
      <c r="O10" s="14">
        <f ca="1">INDEX(レベル!$A$1:$I$21,MATCH(H10,レベル!$A$1:$A$21,FALSE),MATCH(G10,レベル!$A$1:$I$1,FALSE))</f>
        <v>15</v>
      </c>
      <c r="P10" s="63">
        <f t="shared" ca="1" si="7"/>
        <v>15</v>
      </c>
      <c r="Q10" s="77" t="str">
        <f ca="1">VLOOKUP($A10,OFFSET([2]characters!$A$1,0,0,COUNTA([2]characters!$A:$A),MATCH(Q$1,[2]characters!$1:$1,0)-MATCH($A$1,[2]characters!$1:$1,0)+1),MATCH(Q$1,[2]characters!$1:$1,0)-MATCH($A$1,[2]characters!$1:$1,0)+1,FALSE)</f>
        <v>attack</v>
      </c>
      <c r="R10" s="8" t="str">
        <f ca="1">VLOOKUP(Q10,[2]character_type_i18n!$A:$H,3,FALSE)</f>
        <v>攻撃タイプ</v>
      </c>
      <c r="S10" s="14">
        <f ca="1">VLOOKUP(Q10,[2]character_type_i18n!$A:$H,4,FALSE)</f>
        <v>1</v>
      </c>
      <c r="T10" s="14">
        <f ca="1">VLOOKUP(Q10,[2]character_type_i18n!$A:$H,5,FALSE)</f>
        <v>1.33</v>
      </c>
      <c r="U10" s="14">
        <f ca="1">VLOOKUP(Q10,[2]character_type_i18n!$A:$H,6,FALSE)</f>
        <v>1</v>
      </c>
      <c r="V10" s="14">
        <f ca="1">VLOOKUP(Q10,[2]character_type_i18n!$A:$H,7,FALSE)</f>
        <v>0.67</v>
      </c>
      <c r="W10" s="77" t="str">
        <f ca="1">VLOOKUP($A10,OFFSET([2]characters!$A$1,0,0,COUNTA([2]characters!$A:$A),MATCH(W$1,[2]characters!$1:$1,0)-MATCH($A$1,[2]characters!$1:$1,0)+1),MATCH(W$1,[2]characters!$1:$1,0)-MATCH($A$1,[2]characters!$1:$1,0)+1,FALSE)</f>
        <v>animal</v>
      </c>
      <c r="X10" s="8" t="str">
        <f ca="1">VLOOKUP(W10,[2]character_tribe_i18n!$A:$H,3,FALSE)</f>
        <v>アニマル</v>
      </c>
      <c r="Y10" s="77" t="str">
        <f ca="1">VLOOKUP($A10,OFFSET([2]characters!$A$1,0,0,COUNTA([2]characters!$A:$A),MATCH(Y$1,[2]characters!$1:$1,0)-MATCH($A$1,[2]characters!$1:$1,0)+1),MATCH(Y$1,[2]characters!$1:$1,0)-MATCH($A$1,[2]characters!$1:$1,0)+1,FALSE)</f>
        <v>none</v>
      </c>
      <c r="Z10" s="8" t="str">
        <f ca="1">VLOOKUP(Y10,[2]character_tribe_i18n!$A:$H,3,FALSE)</f>
        <v>種族なし</v>
      </c>
      <c r="AA10" s="14">
        <f ca="1">VLOOKUP(W10,[2]character_tribe_i18n!$A:$H,4,FALSE)</f>
        <v>1</v>
      </c>
      <c r="AB10" s="14">
        <f ca="1">VLOOKUP(W10,[2]character_tribe_i18n!$A:$H,5,FALSE)</f>
        <v>1.1000000000000001</v>
      </c>
      <c r="AC10" s="14">
        <f ca="1">VLOOKUP(W10,[2]character_tribe_i18n!$A:$H,6,FALSE)</f>
        <v>1</v>
      </c>
      <c r="AD10" s="14">
        <f ca="1">VLOOKUP(W10,[2]character_tribe_i18n!$A:$H,7,FALSE)</f>
        <v>0.9</v>
      </c>
      <c r="AE10" s="12">
        <v>10</v>
      </c>
      <c r="AF10" s="85" t="str">
        <f ca="1">IF(AE10="NULL","",VLOOKUP($AE10,OFFSET([2]characters!$A$1,0,0,COUNTA([2]characters!$A:$A),MATCH(AF$1,[2]characters!$1:$1,0)-MATCH($A$1,[2]characters!$1:$1,0)+1),MATCH(AF$1,[2]characters!$1:$1,0)-MATCH($A$1,[2]characters!$1:$1,0)+1,FALSE))</f>
        <v>燃える悪戯魂 ブレット</v>
      </c>
      <c r="AG10" s="8">
        <f t="shared" ca="1" si="2"/>
        <v>9</v>
      </c>
      <c r="AH10" s="85" t="str">
        <f ca="1">VLOOKUP($AG10,OFFSET([2]characters!$A$1,0,0,COUNTA([2]characters!$A:$A),MATCH(AH$1,[2]characters!$1:$1,0)-MATCH($A$1,[2]characters!$1:$1,0)+1),MATCH(AH$1,[2]characters!$1:$1,0)-MATCH($A$1,[2]characters!$1:$1,0)+1,FALSE)</f>
        <v>ブレット</v>
      </c>
      <c r="AI10" s="14">
        <f ca="1">IF(AE10="NULL","NULL",VLOOKUP(G10,ビット!$A$2:$B$7,2))</f>
        <v>5000</v>
      </c>
      <c r="AJ10" s="9">
        <v>2</v>
      </c>
      <c r="AK10" s="10" t="str">
        <f t="shared" si="3"/>
        <v>普通</v>
      </c>
      <c r="AL10" s="14" t="str">
        <f ca="1">INDEX(経験値!$A$1:$I$20,MATCH(H10,経験値!$A$1:$A$20,FALSE),MATCH(G10,経験値!$A$1:$I$1,FALSE))</f>
        <v>required_exp_70</v>
      </c>
      <c r="AM10" s="11">
        <f ca="1">VLOOKUP(G10,経験値!$A$27:$B$31,2)</f>
        <v>200</v>
      </c>
      <c r="AN10" s="21">
        <f ca="1">VLOOKUP(G10,ビット!$G$2:$H$7,2)</f>
        <v>75</v>
      </c>
      <c r="AO10" s="64" t="s">
        <v>46</v>
      </c>
      <c r="AP10" s="101">
        <v>111001</v>
      </c>
      <c r="AQ10" s="77" t="e">
        <f ca="1">VLOOKUP($AP10,OFFSET([1]unit_skills!$A$1,0,0,COUNTA([1]unit_skills!$A:$A),MATCH("name",[1]unit_skills!$1:$1,0)-MATCH($AP$1,[1]unit_skills!$1:$1,0)+1),MATCH("name",[1]unit_skills!$1:$1,0)-MATCH($AP$1,[1]unit_skills!$1:$1,0)+1,FALSE)</f>
        <v>#VALUE!</v>
      </c>
      <c r="AR10" s="77" t="e">
        <f ca="1">VLOOKUP($AP10,OFFSET([1]unit_skills!$A$1,0,0,COUNTA([1]unit_skills!$A:$A),MATCH("comment",[1]unit_skills!$1:$1,0)-MATCH($AP$1,[1]unit_skills!$1:$1,0)+1),MATCH("comment",[1]unit_skills!$1:$1,0)-MATCH($AP$1,[1]unit_skills!$1:$1,0)+1,FALSE)</f>
        <v>#VALUE!</v>
      </c>
      <c r="AS10" s="77" t="e">
        <f ca="1">VLOOKUP($AP10,OFFSET([1]unit_skills!$A$1,0,0,COUNTA([1]unit_skills!$A:$A),MATCH(AS$1,[1]unit_skills!$1:$1,0)-MATCH($AP$1,[1]unit_skills!$1:$1,0)+1),MATCH(AS$1,[1]unit_skills!$1:$1,0)-MATCH($AP$1,[1]unit_skills!$1:$1,0)+1,FALSE)</f>
        <v>#VALUE!</v>
      </c>
      <c r="AT10" s="97">
        <v>121201</v>
      </c>
      <c r="AU10" s="77" t="e">
        <f ca="1">VLOOKUP($AT10,OFFSET([1]crash_skills!$A$1,0,0,COUNTA([1]crash_skills!$A:$A),MATCH("name",[1]crash_skills!$1:$1,0)-MATCH($AT$1,[1]crash_skills!$1:$1,0)+1),MATCH("name",[1]crash_skills!$1:$1,0)-MATCH($AT$1,[1]crash_skills!$1:$1,0)+1,FALSE)</f>
        <v>#VALUE!</v>
      </c>
      <c r="AV10" s="77" t="e">
        <f ca="1">VLOOKUP($AT10,OFFSET([1]crash_skills!$A$1,0,0,COUNTA([1]crash_skills!$A:$A),MATCH("comment",[1]crash_skills!$1:$1,0)-MATCH($AT$1,[1]crash_skills!$1:$1,0)+1),MATCH("comment",[1]crash_skills!$1:$1,0)-MATCH($AT$1,[1]crash_skills!$1:$1,0)+1,FALSE)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0" s="77" t="e">
        <f ca="1">VLOOKUP($AT10,OFFSET([1]crash_skills!$A$1,0,0,COUNTA([1]crash_skills!$A:$A),MATCH(AW$1,[1]crash_skills!$1:$1,0)-MATCH($AT$1,[1]crash_skills!$1:$1,0)+1),MATCH(AW$1,[1]crash_skills!$1:$1,0)-MATCH($AT$1,[1]crash_skills!$1:$1,0)+1,FALSE)</f>
        <v>#VALUE!</v>
      </c>
      <c r="AX10" s="81">
        <f ca="1">VLOOKUP($A10,OFFSET([2]characters!$A$1,0,0,COUNTA([2]characters!$A:$A),MATCH(AX$1,[2]characters!$1:$1,0)-MATCH($A$1,[2]characters!$1:$1,0)+1),MATCH(AX$1,[2]characters!$1:$1,0)-MATCH($A$1,[2]characters!$1:$1,0)+1,FALSE)</f>
        <v>3</v>
      </c>
      <c r="AY10" s="19">
        <v>1</v>
      </c>
      <c r="AZ10" s="19">
        <v>1</v>
      </c>
      <c r="BA10" s="19">
        <v>0</v>
      </c>
      <c r="BB10" s="19">
        <v>1</v>
      </c>
      <c r="BC10" s="14">
        <f ca="1">INDEX('RC6SV'!$A$1:$G$20,MATCH(H10,'RC6SV'!$A$1:$A$20,FALSE),MATCH(G10,'RC6SV'!$A$1:$G$1,FALSE))</f>
        <v>1750</v>
      </c>
      <c r="BD10" s="63">
        <f t="shared" ca="1" si="4"/>
        <v>1750</v>
      </c>
      <c r="BE10" s="14">
        <f t="shared" ca="1" si="5"/>
        <v>0</v>
      </c>
      <c r="BF10" s="14">
        <f t="shared" ca="1" si="6"/>
        <v>1</v>
      </c>
      <c r="BG10" s="20">
        <f ca="1">IF($BE10&lt;=0,ROUND(BK10*0.5,0), ROUND($BE10*S10*AA10*J10*AY10*0.8*[2]ステータス!$B$2,0))</f>
        <v>438</v>
      </c>
      <c r="BH10" s="20">
        <f ca="1">IF($BE10&lt;=0,ROUND(BL10*0.5,0), ROUND($BE10*T10*AB10*K10*AZ10*0.8*[2]ステータス!$C$2,0))</f>
        <v>392</v>
      </c>
      <c r="BI10" s="20">
        <f ca="1">IF($BE10&lt;=0,ROUND(BM10*0.5,0), ROUND($BE10*U10*AC10*L10*BA10*0.8*[2]ステータス!$D$2,0))</f>
        <v>0</v>
      </c>
      <c r="BJ10" s="20">
        <f ca="1">IF($BE10&lt;=0,ROUND(BN10*0.5,0), ROUND($BE10*V10*AD10*M10*BB10*0.8*[2]ステータス!$E$2,0))</f>
        <v>130</v>
      </c>
      <c r="BK10" s="14">
        <f ca="1">ROUND(BD10*S10*AA10*J10*AY10*[2]ステータス!$B$2,0)</f>
        <v>875</v>
      </c>
      <c r="BL10" s="14">
        <f ca="1">ROUND(BD10*T10*AB10*K10*AZ10*[2]ステータス!$C$2,0)</f>
        <v>783</v>
      </c>
      <c r="BM10" s="14">
        <f ca="1">ROUND(BD10*U10*AC10*L10*BA10*[2]ステータス!$D$2,0)</f>
        <v>0</v>
      </c>
      <c r="BN10" s="14">
        <f ca="1">ROUND(BD10*V10*AD10*M10*BB10*[2]ステータス!$E$2,0)</f>
        <v>259</v>
      </c>
      <c r="BO10" s="13">
        <v>0</v>
      </c>
      <c r="BP10" s="13">
        <v>1</v>
      </c>
      <c r="BQ10" s="13" t="s">
        <v>102</v>
      </c>
      <c r="BR10" s="13">
        <f ca="1">VLOOKUP(H10,ghosts_label!$A$2:$B$19,2,FALSE)</f>
        <v>1</v>
      </c>
    </row>
    <row r="11" spans="1:70" ht="21" customHeight="1" x14ac:dyDescent="0.15">
      <c r="A11" s="14">
        <f t="shared" ca="1" si="0"/>
        <v>10</v>
      </c>
      <c r="B11" s="77" t="str">
        <f ca="1">VLOOKUP($A11,OFFSET([2]characters!$A$1,0,0,COUNTA([2]characters!$A:$A),MATCH(B$1,[2]characters!$1:$1,0)-MATCH($A$1,[2]characters!$1:$1,0)+1),MATCH(B$1,[2]characters!$1:$1,0)-MATCH($A$1,[2]characters!$1:$1,0)+1,FALSE)</f>
        <v>燃える悪戯魂 ブレット</v>
      </c>
      <c r="C11" s="77" t="str">
        <f ca="1">VLOOKUP($A11,OFFSET([2]characters!$A$1,0,0,COUNTA([2]characters!$A:$A),MATCH(C$1,[2]characters!$1:$1,0)-MATCH($A$1,[2]characters!$1:$1,0)+1),MATCH(C$1,[2]characters!$1:$1,0)-MATCH($A$1,[2]characters!$1:$1,0)+1,FALSE)</f>
        <v>ノーマルクエスト</v>
      </c>
      <c r="D11" s="77" t="str">
        <f ca="1">VLOOKUP($A11,OFFSET([2]characters!$A$1,0,0,COUNTA([2]characters!$A:$A),MATCH(D$1,[2]characters!$1:$1,0)-MATCH($A$1,[2]characters!$1:$1,0)+1),MATCH(D$1,[2]characters!$1:$1,0)-MATCH($A$1,[2]characters!$1:$1,0)+1,FALSE)</f>
        <v>アバター</v>
      </c>
      <c r="E11" s="77" t="str">
        <f ca="1">VLOOKUP($A11,OFFSET([2]characters!$A$1,0,0,COUNTA([2]characters!$A:$A),MATCH(E$1,[2]characters!$1:$1,0)-MATCH($A$1,[2]characters!$1:$1,0)+1),MATCH(E$1,[2]characters!$1:$1,0)-MATCH($A$1,[2]characters!$1:$1,0)+1,FALSE)</f>
        <v>世界観</v>
      </c>
      <c r="F11" s="77" t="str">
        <f ca="1">VLOOKUP($A11,OFFSET([2]characters!$A$1,0,0,COUNTA([2]characters!$A:$A),MATCH(F$1,[2]characters!$1:$1,0)-MATCH($A$1,[2]characters!$1:$1,0)+1),MATCH(F$1,[2]characters!$1:$1,0)-MATCH($A$1,[2]characters!$1:$1,0)+1,FALSE)</f>
        <v>不明</v>
      </c>
      <c r="G11" s="77">
        <f ca="1">VLOOKUP($A11,OFFSET([2]characters!$A$1,0,0,COUNTA([2]characters!$A:$A),MATCH(G$1,[2]characters!$1:$1,0)-MATCH($A$1,[2]characters!$1:$1,0)+1),MATCH(G$1,[2]characters!$1:$1,0)-MATCH($A$1,[2]characters!$1:$1,0)+1,FALSE)</f>
        <v>2</v>
      </c>
      <c r="H11" s="77" t="str">
        <f ca="1">VLOOKUP($A11,OFFSET([2]characters!$A$1,0,0,COUNTA([2]characters!$A:$A),MATCH(H$1,[2]characters!$1:$1,0)-MATCH($A$1,[2]characters!$1:$1,0)+1),MATCH(H$1,[2]characters!$1:$1,0)-MATCH($A$1,[2]characters!$1:$1,0)+1,FALSE)</f>
        <v>Drop1W</v>
      </c>
      <c r="I11" s="77" t="str">
        <f ca="1">VLOOKUP($A11,OFFSET([2]characters!$A$1,0,0,COUNTA([2]characters!$A:$A),MATCH(I$1,[2]characters!$1:$1,0)-MATCH($A$1,[2]characters!$1:$1,0)+1),MATCH(I$1,[2]characters!$1:$1,0)-MATCH($A$1,[2]characters!$1:$1,0)+1,FALSE)</f>
        <v>red</v>
      </c>
      <c r="J11" s="14">
        <f ca="1">VLOOKUP(I11,[2]属性!$A:$E,2,FALSE)</f>
        <v>1</v>
      </c>
      <c r="K11" s="14">
        <f ca="1">VLOOKUP(I11,[2]属性!$A:$E,3,FALSE)</f>
        <v>1.02</v>
      </c>
      <c r="L11" s="14">
        <f ca="1">VLOOKUP(I11,[2]属性!$A:$E,4,FALSE)</f>
        <v>1</v>
      </c>
      <c r="M11" s="14">
        <f ca="1">VLOOKUP(I11,[2]属性!$A:$E,5,FALSE)</f>
        <v>0.98</v>
      </c>
      <c r="N11" s="14">
        <f ca="1">INDEX(コスト!$A$1:$I$20,MATCH(H11,コスト!$A$1:$A$20,FALSE),MATCH(G11,コスト!$A$1:$I$1,FALSE))</f>
        <v>2</v>
      </c>
      <c r="O11" s="14">
        <f ca="1">INDEX(レベル!$A$1:$I$21,MATCH(H11,レベル!$A$1:$A$21,FALSE),MATCH(G11,レベル!$A$1:$I$1,FALSE))</f>
        <v>30</v>
      </c>
      <c r="P11" s="63">
        <f t="shared" ca="1" si="7"/>
        <v>30</v>
      </c>
      <c r="Q11" s="77" t="str">
        <f ca="1">VLOOKUP($A11,OFFSET([2]characters!$A$1,0,0,COUNTA([2]characters!$A:$A),MATCH(Q$1,[2]characters!$1:$1,0)-MATCH($A$1,[2]characters!$1:$1,0)+1),MATCH(Q$1,[2]characters!$1:$1,0)-MATCH($A$1,[2]characters!$1:$1,0)+1,FALSE)</f>
        <v>attack</v>
      </c>
      <c r="R11" s="8" t="str">
        <f ca="1">VLOOKUP(Q11,[2]character_type_i18n!$A:$H,3,FALSE)</f>
        <v>攻撃タイプ</v>
      </c>
      <c r="S11" s="14">
        <f ca="1">VLOOKUP(Q11,[2]character_type_i18n!$A:$H,4,FALSE)</f>
        <v>1</v>
      </c>
      <c r="T11" s="14">
        <f ca="1">VLOOKUP(Q11,[2]character_type_i18n!$A:$H,5,FALSE)</f>
        <v>1.33</v>
      </c>
      <c r="U11" s="14">
        <f ca="1">VLOOKUP(Q11,[2]character_type_i18n!$A:$H,6,FALSE)</f>
        <v>1</v>
      </c>
      <c r="V11" s="14">
        <f ca="1">VLOOKUP(Q11,[2]character_type_i18n!$A:$H,7,FALSE)</f>
        <v>0.67</v>
      </c>
      <c r="W11" s="77" t="str">
        <f ca="1">VLOOKUP($A11,OFFSET([2]characters!$A$1,0,0,COUNTA([2]characters!$A:$A),MATCH(W$1,[2]characters!$1:$1,0)-MATCH($A$1,[2]characters!$1:$1,0)+1),MATCH(W$1,[2]characters!$1:$1,0)-MATCH($A$1,[2]characters!$1:$1,0)+1,FALSE)</f>
        <v>animal</v>
      </c>
      <c r="X11" s="8" t="str">
        <f ca="1">VLOOKUP(W11,[2]character_tribe_i18n!$A:$H,3,FALSE)</f>
        <v>アニマル</v>
      </c>
      <c r="Y11" s="77" t="str">
        <f ca="1">VLOOKUP($A11,OFFSET([2]characters!$A$1,0,0,COUNTA([2]characters!$A:$A),MATCH(Y$1,[2]characters!$1:$1,0)-MATCH($A$1,[2]characters!$1:$1,0)+1),MATCH(Y$1,[2]characters!$1:$1,0)-MATCH($A$1,[2]characters!$1:$1,0)+1,FALSE)</f>
        <v>none</v>
      </c>
      <c r="Z11" s="8" t="str">
        <f ca="1">VLOOKUP(Y11,[2]character_tribe_i18n!$A:$H,3,FALSE)</f>
        <v>種族なし</v>
      </c>
      <c r="AA11" s="14">
        <f ca="1">VLOOKUP(W11,[2]character_tribe_i18n!$A:$H,4,FALSE)</f>
        <v>1</v>
      </c>
      <c r="AB11" s="14">
        <f ca="1">VLOOKUP(W11,[2]character_tribe_i18n!$A:$H,5,FALSE)</f>
        <v>1.1000000000000001</v>
      </c>
      <c r="AC11" s="14">
        <f ca="1">VLOOKUP(W11,[2]character_tribe_i18n!$A:$H,6,FALSE)</f>
        <v>1</v>
      </c>
      <c r="AD11" s="14">
        <f ca="1">VLOOKUP(W11,[2]character_tribe_i18n!$A:$H,7,FALSE)</f>
        <v>0.9</v>
      </c>
      <c r="AE11" s="12" t="s">
        <v>102</v>
      </c>
      <c r="AF11" s="85" t="str">
        <f ca="1">IF(AE11="NULL","",VLOOKUP($AE11,OFFSET([2]characters!$A$1,0,0,COUNTA([2]characters!$A:$A),MATCH(AF$1,[2]characters!$1:$1,0)-MATCH($A$1,[2]characters!$1:$1,0)+1),MATCH(AF$1,[2]characters!$1:$1,0)-MATCH($A$1,[2]characters!$1:$1,0)+1,FALSE))</f>
        <v/>
      </c>
      <c r="AG11" s="8">
        <f t="shared" ca="1" si="2"/>
        <v>9</v>
      </c>
      <c r="AH11" s="85" t="str">
        <f ca="1">VLOOKUP($AG11,OFFSET([2]characters!$A$1,0,0,COUNTA([2]characters!$A:$A),MATCH(AH$1,[2]characters!$1:$1,0)-MATCH($A$1,[2]characters!$1:$1,0)+1),MATCH(AH$1,[2]characters!$1:$1,0)-MATCH($A$1,[2]characters!$1:$1,0)+1,FALSE)</f>
        <v>ブレット</v>
      </c>
      <c r="AI11" s="14" t="str">
        <f>IF(AE11="NULL","NULL",VLOOKUP(G11,ビット!$A$2:$B$7,2))</f>
        <v>NULL</v>
      </c>
      <c r="AJ11" s="9">
        <v>2</v>
      </c>
      <c r="AK11" s="10" t="str">
        <f t="shared" si="3"/>
        <v>普通</v>
      </c>
      <c r="AL11" s="14" t="str">
        <f ca="1">INDEX(経験値!$A$1:$I$20,MATCH(H11,経験値!$A$1:$A$20,FALSE),MATCH(G11,経験値!$A$1:$I$1,FALSE))</f>
        <v>required_exp_70</v>
      </c>
      <c r="AM11" s="11">
        <f ca="1">VLOOKUP(G11,経験値!$A$27:$B$31,2)</f>
        <v>600</v>
      </c>
      <c r="AN11" s="21">
        <f ca="1">VLOOKUP(G11,ビット!$G$2:$H$7,2)</f>
        <v>150</v>
      </c>
      <c r="AO11" s="64" t="s">
        <v>46</v>
      </c>
      <c r="AP11" s="101">
        <v>111002</v>
      </c>
      <c r="AQ11" s="77" t="e">
        <f ca="1">VLOOKUP($AP11,OFFSET([1]unit_skills!$A$1,0,0,COUNTA([1]unit_skills!$A:$A),MATCH("name",[1]unit_skills!$1:$1,0)-MATCH($AP$1,[1]unit_skills!$1:$1,0)+1),MATCH("name",[1]unit_skills!$1:$1,0)-MATCH($AP$1,[1]unit_skills!$1:$1,0)+1,FALSE)</f>
        <v>#VALUE!</v>
      </c>
      <c r="AR11" s="77" t="e">
        <f ca="1">VLOOKUP($AP11,OFFSET([1]unit_skills!$A$1,0,0,COUNTA([1]unit_skills!$A:$A),MATCH("comment",[1]unit_skills!$1:$1,0)-MATCH($AP$1,[1]unit_skills!$1:$1,0)+1),MATCH("comment",[1]unit_skills!$1:$1,0)-MATCH($AP$1,[1]unit_skills!$1:$1,0)+1,FALSE)</f>
        <v>#VALUE!</v>
      </c>
      <c r="AS11" s="77" t="e">
        <f ca="1">VLOOKUP($AP11,OFFSET([1]unit_skills!$A$1,0,0,COUNTA([1]unit_skills!$A:$A),MATCH(AS$1,[1]unit_skills!$1:$1,0)-MATCH($AP$1,[1]unit_skills!$1:$1,0)+1),MATCH(AS$1,[1]unit_skills!$1:$1,0)-MATCH($AP$1,[1]unit_skills!$1:$1,0)+1,FALSE)</f>
        <v>#VALUE!</v>
      </c>
      <c r="AT11" s="97">
        <v>121202</v>
      </c>
      <c r="AU11" s="77" t="e">
        <f ca="1">VLOOKUP($AT11,OFFSET([1]crash_skills!$A$1,0,0,COUNTA([1]crash_skills!$A:$A),MATCH("name",[1]crash_skills!$1:$1,0)-MATCH($AT$1,[1]crash_skills!$1:$1,0)+1),MATCH("name",[1]crash_skills!$1:$1,0)-MATCH($AT$1,[1]crash_skills!$1:$1,0)+1,FALSE)</f>
        <v>#VALUE!</v>
      </c>
      <c r="AV11" s="77" t="e">
        <f ca="1">VLOOKUP($AT11,OFFSET([1]crash_skills!$A$1,0,0,COUNTA([1]crash_skills!$A:$A),MATCH("comment",[1]crash_skills!$1:$1,0)-MATCH($AT$1,[1]crash_skills!$1:$1,0)+1),MATCH("comment",[1]crash_skills!$1:$1,0)-MATCH($AT$1,[1]crash_skills!$1:$1,0)+1,FALSE)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1" s="77" t="e">
        <f ca="1">VLOOKUP($AT11,OFFSET([1]crash_skills!$A$1,0,0,COUNTA([1]crash_skills!$A:$A),MATCH(AW$1,[1]crash_skills!$1:$1,0)-MATCH($AT$1,[1]crash_skills!$1:$1,0)+1),MATCH(AW$1,[1]crash_skills!$1:$1,0)-MATCH($AT$1,[1]crash_skills!$1:$1,0)+1,FALSE)</f>
        <v>#VALUE!</v>
      </c>
      <c r="AX11" s="81">
        <f ca="1">VLOOKUP($A11,OFFSET([2]characters!$A$1,0,0,COUNTA([2]characters!$A:$A),MATCH(AX$1,[2]characters!$1:$1,0)-MATCH($A$1,[2]characters!$1:$1,0)+1),MATCH(AX$1,[2]characters!$1:$1,0)-MATCH($A$1,[2]characters!$1:$1,0)+1,FALSE)</f>
        <v>3</v>
      </c>
      <c r="AY11" s="19">
        <v>1</v>
      </c>
      <c r="AZ11" s="19">
        <v>1</v>
      </c>
      <c r="BA11" s="19">
        <v>0</v>
      </c>
      <c r="BB11" s="19">
        <v>1</v>
      </c>
      <c r="BC11" s="14">
        <f ca="1">INDEX('RC6SV'!$A$1:$G$20,MATCH(H11,'RC6SV'!$A$1:$A$20,FALSE),MATCH(G11,'RC6SV'!$A$1:$G$1,FALSE))</f>
        <v>2550</v>
      </c>
      <c r="BD11" s="63">
        <f t="shared" ca="1" si="4"/>
        <v>2550</v>
      </c>
      <c r="BE11" s="14">
        <f t="shared" ca="1" si="5"/>
        <v>1750</v>
      </c>
      <c r="BF11" s="14">
        <f t="shared" ca="1" si="6"/>
        <v>1</v>
      </c>
      <c r="BG11" s="20">
        <f ca="1">IF($BE11&lt;=0,ROUND(BK11*0.5,0), ROUND($BE11*S11*AA11*J11*AY11*0.8*[2]ステータス!$B$2,0))</f>
        <v>700</v>
      </c>
      <c r="BH11" s="20">
        <f ca="1">IF($BE11&lt;=0,ROUND(BL11*0.5,0), ROUND($BE11*T11*AB11*K11*AZ11*0.8*[2]ステータス!$C$2,0))</f>
        <v>627</v>
      </c>
      <c r="BI11" s="20">
        <f ca="1">IF($BE11&lt;=0,ROUND(BM11*0.5,0), ROUND($BE11*U11*AC11*L11*BA11*0.8*[2]ステータス!$D$2,0))</f>
        <v>0</v>
      </c>
      <c r="BJ11" s="20">
        <f ca="1">IF($BE11&lt;=0,ROUND(BN11*0.5,0), ROUND($BE11*V11*AD11*M11*BB11*0.8*[2]ステータス!$E$2,0))</f>
        <v>207</v>
      </c>
      <c r="BK11" s="14">
        <f ca="1">ROUND(BD11*S11*AA11*J11*AY11*[2]ステータス!$B$2,0)</f>
        <v>1275</v>
      </c>
      <c r="BL11" s="14">
        <f ca="1">ROUND(BD11*T11*AB11*K11*AZ11*[2]ステータス!$C$2,0)</f>
        <v>1142</v>
      </c>
      <c r="BM11" s="14">
        <f ca="1">ROUND(BD11*U11*AC11*L11*BA11*[2]ステータス!$D$2,0)</f>
        <v>0</v>
      </c>
      <c r="BN11" s="14">
        <f ca="1">ROUND(BD11*V11*AD11*M11*BB11*[2]ステータス!$E$2,0)</f>
        <v>377</v>
      </c>
      <c r="BO11" s="13">
        <v>0</v>
      </c>
      <c r="BP11" s="13">
        <v>1</v>
      </c>
      <c r="BQ11" s="13" t="s">
        <v>102</v>
      </c>
      <c r="BR11" s="13">
        <f ca="1">VLOOKUP(H11,ghosts_label!$A$2:$B$19,2,FALSE)</f>
        <v>1</v>
      </c>
    </row>
    <row r="12" spans="1:70" ht="21" customHeight="1" x14ac:dyDescent="0.15">
      <c r="A12" s="14">
        <f t="shared" ca="1" si="0"/>
        <v>11</v>
      </c>
      <c r="B12" s="77" t="str">
        <f ca="1">VLOOKUP($A12,OFFSET([2]characters!$A$1,0,0,COUNTA([2]characters!$A:$A),MATCH(B$1,[2]characters!$1:$1,0)-MATCH($A$1,[2]characters!$1:$1,0)+1),MATCH(B$1,[2]characters!$1:$1,0)-MATCH($A$1,[2]characters!$1:$1,0)+1,FALSE)</f>
        <v>マグリット</v>
      </c>
      <c r="C12" s="77" t="str">
        <f ca="1">VLOOKUP($A12,OFFSET([2]characters!$A$1,0,0,COUNTA([2]characters!$A:$A),MATCH(C$1,[2]characters!$1:$1,0)-MATCH($A$1,[2]characters!$1:$1,0)+1),MATCH(C$1,[2]characters!$1:$1,0)-MATCH($A$1,[2]characters!$1:$1,0)+1,FALSE)</f>
        <v>ノーマルクエスト</v>
      </c>
      <c r="D12" s="77" t="str">
        <f ca="1">VLOOKUP($A12,OFFSET([2]characters!$A$1,0,0,COUNTA([2]characters!$A:$A),MATCH(D$1,[2]characters!$1:$1,0)-MATCH($A$1,[2]characters!$1:$1,0)+1),MATCH(D$1,[2]characters!$1:$1,0)-MATCH($A$1,[2]characters!$1:$1,0)+1,FALSE)</f>
        <v>アバター</v>
      </c>
      <c r="E12" s="77" t="str">
        <f ca="1">VLOOKUP($A12,OFFSET([2]characters!$A$1,0,0,COUNTA([2]characters!$A:$A),MATCH(E$1,[2]characters!$1:$1,0)-MATCH($A$1,[2]characters!$1:$1,0)+1),MATCH(E$1,[2]characters!$1:$1,0)-MATCH($A$1,[2]characters!$1:$1,0)+1,FALSE)</f>
        <v>世界観</v>
      </c>
      <c r="F12" s="77" t="str">
        <f ca="1">VLOOKUP($A12,OFFSET([2]characters!$A$1,0,0,COUNTA([2]characters!$A:$A),MATCH(F$1,[2]characters!$1:$1,0)-MATCH($A$1,[2]characters!$1:$1,0)+1),MATCH(F$1,[2]characters!$1:$1,0)-MATCH($A$1,[2]characters!$1:$1,0)+1,FALSE)</f>
        <v>不明</v>
      </c>
      <c r="G12" s="77">
        <f ca="1">VLOOKUP($A12,OFFSET([2]characters!$A$1,0,0,COUNTA([2]characters!$A:$A),MATCH(G$1,[2]characters!$1:$1,0)-MATCH($A$1,[2]characters!$1:$1,0)+1),MATCH(G$1,[2]characters!$1:$1,0)-MATCH($A$1,[2]characters!$1:$1,0)+1,FALSE)</f>
        <v>1</v>
      </c>
      <c r="H12" s="77" t="str">
        <f ca="1">VLOOKUP($A12,OFFSET([2]characters!$A$1,0,0,COUNTA([2]characters!$A:$A),MATCH(H$1,[2]characters!$1:$1,0)-MATCH($A$1,[2]characters!$1:$1,0)+1),MATCH(H$1,[2]characters!$1:$1,0)-MATCH($A$1,[2]characters!$1:$1,0)+1,FALSE)</f>
        <v>Drop1W</v>
      </c>
      <c r="I12" s="77" t="str">
        <f ca="1">VLOOKUP($A12,OFFSET([2]characters!$A$1,0,0,COUNTA([2]characters!$A:$A),MATCH(I$1,[2]characters!$1:$1,0)-MATCH($A$1,[2]characters!$1:$1,0)+1),MATCH(I$1,[2]characters!$1:$1,0)-MATCH($A$1,[2]characters!$1:$1,0)+1,FALSE)</f>
        <v>green</v>
      </c>
      <c r="J12" s="14">
        <f ca="1">VLOOKUP(I12,[2]属性!$A:$E,2,FALSE)</f>
        <v>1.02</v>
      </c>
      <c r="K12" s="14">
        <f ca="1">VLOOKUP(I12,[2]属性!$A:$E,3,FALSE)</f>
        <v>0.98</v>
      </c>
      <c r="L12" s="14">
        <f ca="1">VLOOKUP(I12,[2]属性!$A:$E,4,FALSE)</f>
        <v>1</v>
      </c>
      <c r="M12" s="14">
        <f ca="1">VLOOKUP(I12,[2]属性!$A:$E,5,FALSE)</f>
        <v>1</v>
      </c>
      <c r="N12" s="14">
        <f ca="1">INDEX(コスト!$A$1:$I$20,MATCH(H12,コスト!$A$1:$A$20,FALSE),MATCH(G12,コスト!$A$1:$I$1,FALSE))</f>
        <v>1</v>
      </c>
      <c r="O12" s="14">
        <f ca="1">INDEX(レベル!$A$1:$I$21,MATCH(H12,レベル!$A$1:$A$21,FALSE),MATCH(G12,レベル!$A$1:$I$1,FALSE))</f>
        <v>15</v>
      </c>
      <c r="P12" s="63">
        <f t="shared" ca="1" si="7"/>
        <v>15</v>
      </c>
      <c r="Q12" s="77" t="str">
        <f ca="1">VLOOKUP($A12,OFFSET([2]characters!$A$1,0,0,COUNTA([2]characters!$A:$A),MATCH(Q$1,[2]characters!$1:$1,0)-MATCH($A$1,[2]characters!$1:$1,0)+1),MATCH(Q$1,[2]characters!$1:$1,0)-MATCH($A$1,[2]characters!$1:$1,0)+1,FALSE)</f>
        <v>heal</v>
      </c>
      <c r="R12" s="8" t="str">
        <f ca="1">VLOOKUP(Q12,[2]character_type_i18n!$A:$H,3,FALSE)</f>
        <v>回復タイプ</v>
      </c>
      <c r="S12" s="14">
        <f ca="1">VLOOKUP(Q12,[2]character_type_i18n!$A:$H,4,FALSE)</f>
        <v>0.8</v>
      </c>
      <c r="T12" s="14">
        <f ca="1">VLOOKUP(Q12,[2]character_type_i18n!$A:$H,5,FALSE)</f>
        <v>0.78</v>
      </c>
      <c r="U12" s="14">
        <f ca="1">VLOOKUP(Q12,[2]character_type_i18n!$A:$H,6,FALSE)</f>
        <v>1</v>
      </c>
      <c r="V12" s="14">
        <f ca="1">VLOOKUP(Q12,[2]character_type_i18n!$A:$H,7,FALSE)</f>
        <v>1.42</v>
      </c>
      <c r="W12" s="77" t="str">
        <f ca="1">VLOOKUP($A12,OFFSET([2]characters!$A$1,0,0,COUNTA([2]characters!$A:$A),MATCH(W$1,[2]characters!$1:$1,0)-MATCH($A$1,[2]characters!$1:$1,0)+1),MATCH(W$1,[2]characters!$1:$1,0)-MATCH($A$1,[2]characters!$1:$1,0)+1,FALSE)</f>
        <v>animal</v>
      </c>
      <c r="X12" s="8" t="str">
        <f ca="1">VLOOKUP(W12,[2]character_tribe_i18n!$A:$H,3,FALSE)</f>
        <v>アニマル</v>
      </c>
      <c r="Y12" s="77" t="str">
        <f ca="1">VLOOKUP($A12,OFFSET([2]characters!$A$1,0,0,COUNTA([2]characters!$A:$A),MATCH(Y$1,[2]characters!$1:$1,0)-MATCH($A$1,[2]characters!$1:$1,0)+1),MATCH(Y$1,[2]characters!$1:$1,0)-MATCH($A$1,[2]characters!$1:$1,0)+1,FALSE)</f>
        <v>none</v>
      </c>
      <c r="Z12" s="8" t="str">
        <f ca="1">VLOOKUP(Y12,[2]character_tribe_i18n!$A:$H,3,FALSE)</f>
        <v>種族なし</v>
      </c>
      <c r="AA12" s="14">
        <f ca="1">VLOOKUP(W12,[2]character_tribe_i18n!$A:$H,4,FALSE)</f>
        <v>1</v>
      </c>
      <c r="AB12" s="14">
        <f ca="1">VLOOKUP(W12,[2]character_tribe_i18n!$A:$H,5,FALSE)</f>
        <v>1.1000000000000001</v>
      </c>
      <c r="AC12" s="14">
        <f ca="1">VLOOKUP(W12,[2]character_tribe_i18n!$A:$H,6,FALSE)</f>
        <v>1</v>
      </c>
      <c r="AD12" s="14">
        <f ca="1">VLOOKUP(W12,[2]character_tribe_i18n!$A:$H,7,FALSE)</f>
        <v>0.9</v>
      </c>
      <c r="AE12" s="12">
        <v>12</v>
      </c>
      <c r="AF12" s="85" t="str">
        <f ca="1">IF(AE12="NULL","",VLOOKUP($AE12,OFFSET([2]characters!$A$1,0,0,COUNTA([2]characters!$A:$A),MATCH(AF$1,[2]characters!$1:$1,0)-MATCH($A$1,[2]characters!$1:$1,0)+1),MATCH(AF$1,[2]characters!$1:$1,0)-MATCH($A$1,[2]characters!$1:$1,0)+1,FALSE))</f>
        <v>癒しのグラフィティ マグリット</v>
      </c>
      <c r="AG12" s="8">
        <f t="shared" ca="1" si="2"/>
        <v>11</v>
      </c>
      <c r="AH12" s="85" t="str">
        <f ca="1">VLOOKUP($AG12,OFFSET([2]characters!$A$1,0,0,COUNTA([2]characters!$A:$A),MATCH(AH$1,[2]characters!$1:$1,0)-MATCH($A$1,[2]characters!$1:$1,0)+1),MATCH(AH$1,[2]characters!$1:$1,0)-MATCH($A$1,[2]characters!$1:$1,0)+1,FALSE)</f>
        <v>マグリット</v>
      </c>
      <c r="AI12" s="14">
        <f ca="1">IF(AE12="NULL","NULL",VLOOKUP(G12,ビット!$A$2:$B$7,2))</f>
        <v>5000</v>
      </c>
      <c r="AJ12" s="9">
        <v>2</v>
      </c>
      <c r="AK12" s="10" t="str">
        <f t="shared" si="3"/>
        <v>普通</v>
      </c>
      <c r="AL12" s="14" t="str">
        <f ca="1">INDEX(経験値!$A$1:$I$20,MATCH(H12,経験値!$A$1:$A$20,FALSE),MATCH(G12,経験値!$A$1:$I$1,FALSE))</f>
        <v>required_exp_70</v>
      </c>
      <c r="AM12" s="11">
        <f ca="1">VLOOKUP(G12,経験値!$A$27:$B$31,2)</f>
        <v>200</v>
      </c>
      <c r="AN12" s="21">
        <f ca="1">VLOOKUP(G12,ビット!$G$2:$H$7,2)</f>
        <v>75</v>
      </c>
      <c r="AO12" s="64" t="s">
        <v>51</v>
      </c>
      <c r="AP12" s="101">
        <v>230001</v>
      </c>
      <c r="AQ12" s="77" t="e">
        <f ca="1">VLOOKUP($AP12,OFFSET([1]unit_skills!$A$1,0,0,COUNTA([1]unit_skills!$A:$A),MATCH("name",[1]unit_skills!$1:$1,0)-MATCH($AP$1,[1]unit_skills!$1:$1,0)+1),MATCH("name",[1]unit_skills!$1:$1,0)-MATCH($AP$1,[1]unit_skills!$1:$1,0)+1,FALSE)</f>
        <v>#VALUE!</v>
      </c>
      <c r="AR12" s="77" t="e">
        <f ca="1">VLOOKUP($AP12,OFFSET([1]unit_skills!$A$1,0,0,COUNTA([1]unit_skills!$A:$A),MATCH("comment",[1]unit_skills!$1:$1,0)-MATCH($AP$1,[1]unit_skills!$1:$1,0)+1),MATCH("comment",[1]unit_skills!$1:$1,0)-MATCH($AP$1,[1]unit_skills!$1:$1,0)+1,FALSE)</f>
        <v>#VALUE!</v>
      </c>
      <c r="AS12" s="77" t="e">
        <f ca="1">VLOOKUP($AP12,OFFSET([1]unit_skills!$A$1,0,0,COUNTA([1]unit_skills!$A:$A),MATCH(AS$1,[1]unit_skills!$1:$1,0)-MATCH($AP$1,[1]unit_skills!$1:$1,0)+1),MATCH(AS$1,[1]unit_skills!$1:$1,0)-MATCH($AP$1,[1]unit_skills!$1:$1,0)+1,FALSE)</f>
        <v>#VALUE!</v>
      </c>
      <c r="AT12" s="97">
        <v>420001</v>
      </c>
      <c r="AU12" s="77" t="e">
        <f ca="1">VLOOKUP($AT12,OFFSET([1]crash_skills!$A$1,0,0,COUNTA([1]crash_skills!$A:$A),MATCH("name",[1]crash_skills!$1:$1,0)-MATCH($AT$1,[1]crash_skills!$1:$1,0)+1),MATCH("name",[1]crash_skills!$1:$1,0)-MATCH($AT$1,[1]crash_skills!$1:$1,0)+1,FALSE)</f>
        <v>#VALUE!</v>
      </c>
      <c r="AV12" s="77" t="e">
        <f ca="1">VLOOKUP($AT12,OFFSET([1]crash_skills!$A$1,0,0,COUNTA([1]crash_skills!$A:$A),MATCH("comment",[1]crash_skills!$1:$1,0)-MATCH($AT$1,[1]crash_skills!$1:$1,0)+1),MATCH("comment",[1]crash_skills!$1:$1,0)-MATCH($AT$1,[1]crash_skills!$1:$1,0)+1,FALSE)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2" s="77" t="e">
        <f ca="1">VLOOKUP($AT12,OFFSET([1]crash_skills!$A$1,0,0,COUNTA([1]crash_skills!$A:$A),MATCH(AW$1,[1]crash_skills!$1:$1,0)-MATCH($AT$1,[1]crash_skills!$1:$1,0)+1),MATCH(AW$1,[1]crash_skills!$1:$1,0)-MATCH($AT$1,[1]crash_skills!$1:$1,0)+1,FALSE)</f>
        <v>#VALUE!</v>
      </c>
      <c r="AX12" s="81">
        <f ca="1">VLOOKUP($A12,OFFSET([2]characters!$A$1,0,0,COUNTA([2]characters!$A:$A),MATCH(AX$1,[2]characters!$1:$1,0)-MATCH($A$1,[2]characters!$1:$1,0)+1),MATCH(AX$1,[2]characters!$1:$1,0)-MATCH($A$1,[2]characters!$1:$1,0)+1,FALSE)</f>
        <v>3</v>
      </c>
      <c r="AY12" s="19">
        <v>1</v>
      </c>
      <c r="AZ12" s="19">
        <v>1</v>
      </c>
      <c r="BA12" s="19">
        <v>0</v>
      </c>
      <c r="BB12" s="19">
        <v>1</v>
      </c>
      <c r="BC12" s="14">
        <f ca="1">INDEX('RC6SV'!$A$1:$G$20,MATCH(H12,'RC6SV'!$A$1:$A$20,FALSE),MATCH(G12,'RC6SV'!$A$1:$G$1,FALSE))</f>
        <v>1750</v>
      </c>
      <c r="BD12" s="63">
        <f t="shared" ca="1" si="4"/>
        <v>1750</v>
      </c>
      <c r="BE12" s="14">
        <f t="shared" ca="1" si="5"/>
        <v>0</v>
      </c>
      <c r="BF12" s="14">
        <f t="shared" ca="1" si="6"/>
        <v>1</v>
      </c>
      <c r="BG12" s="20">
        <f ca="1">IF($BE12&lt;=0,ROUND(BK12*0.5,0), ROUND($BE12*S12*AA12*J12*AY12*0.8*[2]ステータス!$B$2,0))</f>
        <v>357</v>
      </c>
      <c r="BH12" s="20">
        <f ca="1">IF($BE12&lt;=0,ROUND(BL12*0.5,0), ROUND($BE12*T12*AB12*K12*AZ12*0.8*[2]ステータス!$C$2,0))</f>
        <v>221</v>
      </c>
      <c r="BI12" s="20">
        <f ca="1">IF($BE12&lt;=0,ROUND(BM12*0.5,0), ROUND($BE12*U12*AC12*L12*BA12*0.8*[2]ステータス!$D$2,0))</f>
        <v>0</v>
      </c>
      <c r="BJ12" s="20">
        <f ca="1">IF($BE12&lt;=0,ROUND(BN12*0.5,0), ROUND($BE12*V12*AD12*M12*BB12*0.8*[2]ステータス!$E$2,0))</f>
        <v>280</v>
      </c>
      <c r="BK12" s="14">
        <f ca="1">ROUND(BD12*S12*AA12*J12*AY12*[2]ステータス!$B$2,0)</f>
        <v>714</v>
      </c>
      <c r="BL12" s="14">
        <f ca="1">ROUND(BD12*T12*AB12*K12*AZ12*[2]ステータス!$C$2,0)</f>
        <v>441</v>
      </c>
      <c r="BM12" s="14">
        <f ca="1">ROUND(BD12*U12*AC12*L12*BA12*[2]ステータス!$D$2,0)</f>
        <v>0</v>
      </c>
      <c r="BN12" s="14">
        <f ca="1">ROUND(BD12*V12*AD12*M12*BB12*[2]ステータス!$E$2,0)</f>
        <v>559</v>
      </c>
      <c r="BO12" s="13">
        <v>0</v>
      </c>
      <c r="BP12" s="13">
        <v>1</v>
      </c>
      <c r="BQ12" s="13" t="s">
        <v>102</v>
      </c>
      <c r="BR12" s="13">
        <f ca="1">VLOOKUP(H12,ghosts_label!$A$2:$B$19,2,FALSE)</f>
        <v>1</v>
      </c>
    </row>
    <row r="13" spans="1:70" ht="21" customHeight="1" x14ac:dyDescent="0.15">
      <c r="A13" s="14">
        <f t="shared" ca="1" si="0"/>
        <v>12</v>
      </c>
      <c r="B13" s="77" t="str">
        <f ca="1">VLOOKUP($A13,OFFSET([2]characters!$A$1,0,0,COUNTA([2]characters!$A:$A),MATCH(B$1,[2]characters!$1:$1,0)-MATCH($A$1,[2]characters!$1:$1,0)+1),MATCH(B$1,[2]characters!$1:$1,0)-MATCH($A$1,[2]characters!$1:$1,0)+1,FALSE)</f>
        <v>癒しのグラフィティ マグリット</v>
      </c>
      <c r="C13" s="77" t="str">
        <f ca="1">VLOOKUP($A13,OFFSET([2]characters!$A$1,0,0,COUNTA([2]characters!$A:$A),MATCH(C$1,[2]characters!$1:$1,0)-MATCH($A$1,[2]characters!$1:$1,0)+1),MATCH(C$1,[2]characters!$1:$1,0)-MATCH($A$1,[2]characters!$1:$1,0)+1,FALSE)</f>
        <v>ノーマルクエスト</v>
      </c>
      <c r="D13" s="77" t="str">
        <f ca="1">VLOOKUP($A13,OFFSET([2]characters!$A$1,0,0,COUNTA([2]characters!$A:$A),MATCH(D$1,[2]characters!$1:$1,0)-MATCH($A$1,[2]characters!$1:$1,0)+1),MATCH(D$1,[2]characters!$1:$1,0)-MATCH($A$1,[2]characters!$1:$1,0)+1,FALSE)</f>
        <v>アバター</v>
      </c>
      <c r="E13" s="77" t="str">
        <f ca="1">VLOOKUP($A13,OFFSET([2]characters!$A$1,0,0,COUNTA([2]characters!$A:$A),MATCH(E$1,[2]characters!$1:$1,0)-MATCH($A$1,[2]characters!$1:$1,0)+1),MATCH(E$1,[2]characters!$1:$1,0)-MATCH($A$1,[2]characters!$1:$1,0)+1,FALSE)</f>
        <v>世界観</v>
      </c>
      <c r="F13" s="77" t="str">
        <f ca="1">VLOOKUP($A13,OFFSET([2]characters!$A$1,0,0,COUNTA([2]characters!$A:$A),MATCH(F$1,[2]characters!$1:$1,0)-MATCH($A$1,[2]characters!$1:$1,0)+1),MATCH(F$1,[2]characters!$1:$1,0)-MATCH($A$1,[2]characters!$1:$1,0)+1,FALSE)</f>
        <v>不明</v>
      </c>
      <c r="G13" s="77">
        <f ca="1">VLOOKUP($A13,OFFSET([2]characters!$A$1,0,0,COUNTA([2]characters!$A:$A),MATCH(G$1,[2]characters!$1:$1,0)-MATCH($A$1,[2]characters!$1:$1,0)+1),MATCH(G$1,[2]characters!$1:$1,0)-MATCH($A$1,[2]characters!$1:$1,0)+1,FALSE)</f>
        <v>2</v>
      </c>
      <c r="H13" s="77" t="str">
        <f ca="1">VLOOKUP($A13,OFFSET([2]characters!$A$1,0,0,COUNTA([2]characters!$A:$A),MATCH(H$1,[2]characters!$1:$1,0)-MATCH($A$1,[2]characters!$1:$1,0)+1),MATCH(H$1,[2]characters!$1:$1,0)-MATCH($A$1,[2]characters!$1:$1,0)+1,FALSE)</f>
        <v>Drop1W</v>
      </c>
      <c r="I13" s="77" t="str">
        <f ca="1">VLOOKUP($A13,OFFSET([2]characters!$A$1,0,0,COUNTA([2]characters!$A:$A),MATCH(I$1,[2]characters!$1:$1,0)-MATCH($A$1,[2]characters!$1:$1,0)+1),MATCH(I$1,[2]characters!$1:$1,0)-MATCH($A$1,[2]characters!$1:$1,0)+1,FALSE)</f>
        <v>green</v>
      </c>
      <c r="J13" s="14">
        <f ca="1">VLOOKUP(I13,[2]属性!$A:$E,2,FALSE)</f>
        <v>1.02</v>
      </c>
      <c r="K13" s="14">
        <f ca="1">VLOOKUP(I13,[2]属性!$A:$E,3,FALSE)</f>
        <v>0.98</v>
      </c>
      <c r="L13" s="14">
        <f ca="1">VLOOKUP(I13,[2]属性!$A:$E,4,FALSE)</f>
        <v>1</v>
      </c>
      <c r="M13" s="14">
        <f ca="1">VLOOKUP(I13,[2]属性!$A:$E,5,FALSE)</f>
        <v>1</v>
      </c>
      <c r="N13" s="14">
        <f ca="1">INDEX(コスト!$A$1:$I$20,MATCH(H13,コスト!$A$1:$A$20,FALSE),MATCH(G13,コスト!$A$1:$I$1,FALSE))</f>
        <v>2</v>
      </c>
      <c r="O13" s="14">
        <f ca="1">INDEX(レベル!$A$1:$I$21,MATCH(H13,レベル!$A$1:$A$21,FALSE),MATCH(G13,レベル!$A$1:$I$1,FALSE))</f>
        <v>30</v>
      </c>
      <c r="P13" s="63">
        <f t="shared" ca="1" si="7"/>
        <v>30</v>
      </c>
      <c r="Q13" s="77" t="str">
        <f ca="1">VLOOKUP($A13,OFFSET([2]characters!$A$1,0,0,COUNTA([2]characters!$A:$A),MATCH(Q$1,[2]characters!$1:$1,0)-MATCH($A$1,[2]characters!$1:$1,0)+1),MATCH(Q$1,[2]characters!$1:$1,0)-MATCH($A$1,[2]characters!$1:$1,0)+1,FALSE)</f>
        <v>heal</v>
      </c>
      <c r="R13" s="8" t="str">
        <f ca="1">VLOOKUP(Q13,[2]character_type_i18n!$A:$H,3,FALSE)</f>
        <v>回復タイプ</v>
      </c>
      <c r="S13" s="14">
        <f ca="1">VLOOKUP(Q13,[2]character_type_i18n!$A:$H,4,FALSE)</f>
        <v>0.8</v>
      </c>
      <c r="T13" s="14">
        <f ca="1">VLOOKUP(Q13,[2]character_type_i18n!$A:$H,5,FALSE)</f>
        <v>0.78</v>
      </c>
      <c r="U13" s="14">
        <f ca="1">VLOOKUP(Q13,[2]character_type_i18n!$A:$H,6,FALSE)</f>
        <v>1</v>
      </c>
      <c r="V13" s="14">
        <f ca="1">VLOOKUP(Q13,[2]character_type_i18n!$A:$H,7,FALSE)</f>
        <v>1.42</v>
      </c>
      <c r="W13" s="77" t="str">
        <f ca="1">VLOOKUP($A13,OFFSET([2]characters!$A$1,0,0,COUNTA([2]characters!$A:$A),MATCH(W$1,[2]characters!$1:$1,0)-MATCH($A$1,[2]characters!$1:$1,0)+1),MATCH(W$1,[2]characters!$1:$1,0)-MATCH($A$1,[2]characters!$1:$1,0)+1,FALSE)</f>
        <v>animal</v>
      </c>
      <c r="X13" s="8" t="str">
        <f ca="1">VLOOKUP(W13,[2]character_tribe_i18n!$A:$H,3,FALSE)</f>
        <v>アニマル</v>
      </c>
      <c r="Y13" s="77" t="str">
        <f ca="1">VLOOKUP($A13,OFFSET([2]characters!$A$1,0,0,COUNTA([2]characters!$A:$A),MATCH(Y$1,[2]characters!$1:$1,0)-MATCH($A$1,[2]characters!$1:$1,0)+1),MATCH(Y$1,[2]characters!$1:$1,0)-MATCH($A$1,[2]characters!$1:$1,0)+1,FALSE)</f>
        <v>none</v>
      </c>
      <c r="Z13" s="8" t="str">
        <f ca="1">VLOOKUP(Y13,[2]character_tribe_i18n!$A:$H,3,FALSE)</f>
        <v>種族なし</v>
      </c>
      <c r="AA13" s="14">
        <f ca="1">VLOOKUP(W13,[2]character_tribe_i18n!$A:$H,4,FALSE)</f>
        <v>1</v>
      </c>
      <c r="AB13" s="14">
        <f ca="1">VLOOKUP(W13,[2]character_tribe_i18n!$A:$H,5,FALSE)</f>
        <v>1.1000000000000001</v>
      </c>
      <c r="AC13" s="14">
        <f ca="1">VLOOKUP(W13,[2]character_tribe_i18n!$A:$H,6,FALSE)</f>
        <v>1</v>
      </c>
      <c r="AD13" s="14">
        <f ca="1">VLOOKUP(W13,[2]character_tribe_i18n!$A:$H,7,FALSE)</f>
        <v>0.9</v>
      </c>
      <c r="AE13" s="12" t="s">
        <v>102</v>
      </c>
      <c r="AF13" s="85" t="str">
        <f ca="1">IF(AE13="NULL","",VLOOKUP($AE13,OFFSET([2]characters!$A$1,0,0,COUNTA([2]characters!$A:$A),MATCH(AF$1,[2]characters!$1:$1,0)-MATCH($A$1,[2]characters!$1:$1,0)+1),MATCH(AF$1,[2]characters!$1:$1,0)-MATCH($A$1,[2]characters!$1:$1,0)+1,FALSE))</f>
        <v/>
      </c>
      <c r="AG13" s="8">
        <f t="shared" ca="1" si="2"/>
        <v>11</v>
      </c>
      <c r="AH13" s="85" t="str">
        <f ca="1">VLOOKUP($AG13,OFFSET([2]characters!$A$1,0,0,COUNTA([2]characters!$A:$A),MATCH(AH$1,[2]characters!$1:$1,0)-MATCH($A$1,[2]characters!$1:$1,0)+1),MATCH(AH$1,[2]characters!$1:$1,0)-MATCH($A$1,[2]characters!$1:$1,0)+1,FALSE)</f>
        <v>マグリット</v>
      </c>
      <c r="AI13" s="14" t="str">
        <f>IF(AE13="NULL","NULL",VLOOKUP(G13,ビット!$A$2:$B$7,2))</f>
        <v>NULL</v>
      </c>
      <c r="AJ13" s="9">
        <v>2</v>
      </c>
      <c r="AK13" s="10" t="str">
        <f t="shared" si="3"/>
        <v>普通</v>
      </c>
      <c r="AL13" s="14" t="str">
        <f ca="1">INDEX(経験値!$A$1:$I$20,MATCH(H13,経験値!$A$1:$A$20,FALSE),MATCH(G13,経験値!$A$1:$I$1,FALSE))</f>
        <v>required_exp_70</v>
      </c>
      <c r="AM13" s="11">
        <f ca="1">VLOOKUP(G13,経験値!$A$27:$B$31,2)</f>
        <v>600</v>
      </c>
      <c r="AN13" s="21">
        <f ca="1">VLOOKUP(G13,ビット!$G$2:$H$7,2)</f>
        <v>150</v>
      </c>
      <c r="AO13" s="64" t="s">
        <v>51</v>
      </c>
      <c r="AP13" s="101">
        <v>230002</v>
      </c>
      <c r="AQ13" s="77" t="e">
        <f ca="1">VLOOKUP($AP13,OFFSET([1]unit_skills!$A$1,0,0,COUNTA([1]unit_skills!$A:$A),MATCH("name",[1]unit_skills!$1:$1,0)-MATCH($AP$1,[1]unit_skills!$1:$1,0)+1),MATCH("name",[1]unit_skills!$1:$1,0)-MATCH($AP$1,[1]unit_skills!$1:$1,0)+1,FALSE)</f>
        <v>#VALUE!</v>
      </c>
      <c r="AR13" s="77" t="e">
        <f ca="1">VLOOKUP($AP13,OFFSET([1]unit_skills!$A$1,0,0,COUNTA([1]unit_skills!$A:$A),MATCH("comment",[1]unit_skills!$1:$1,0)-MATCH($AP$1,[1]unit_skills!$1:$1,0)+1),MATCH("comment",[1]unit_skills!$1:$1,0)-MATCH($AP$1,[1]unit_skills!$1:$1,0)+1,FALSE)</f>
        <v>#VALUE!</v>
      </c>
      <c r="AS13" s="77" t="e">
        <f ca="1">VLOOKUP($AP13,OFFSET([1]unit_skills!$A$1,0,0,COUNTA([1]unit_skills!$A:$A),MATCH(AS$1,[1]unit_skills!$1:$1,0)-MATCH($AP$1,[1]unit_skills!$1:$1,0)+1),MATCH(AS$1,[1]unit_skills!$1:$1,0)-MATCH($AP$1,[1]unit_skills!$1:$1,0)+1,FALSE)</f>
        <v>#VALUE!</v>
      </c>
      <c r="AT13" s="97">
        <v>420002</v>
      </c>
      <c r="AU13" s="77" t="e">
        <f ca="1">VLOOKUP($AT13,OFFSET([1]crash_skills!$A$1,0,0,COUNTA([1]crash_skills!$A:$A),MATCH("name",[1]crash_skills!$1:$1,0)-MATCH($AT$1,[1]crash_skills!$1:$1,0)+1),MATCH("name",[1]crash_skills!$1:$1,0)-MATCH($AT$1,[1]crash_skills!$1:$1,0)+1,FALSE)</f>
        <v>#VALUE!</v>
      </c>
      <c r="AV13" s="77" t="e">
        <f ca="1">VLOOKUP($AT13,OFFSET([1]crash_skills!$A$1,0,0,COUNTA([1]crash_skills!$A:$A),MATCH("comment",[1]crash_skills!$1:$1,0)-MATCH($AT$1,[1]crash_skills!$1:$1,0)+1),MATCH("comment",[1]crash_skills!$1:$1,0)-MATCH($AT$1,[1]crash_skills!$1:$1,0)+1,FALSE)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3" s="77" t="e">
        <f ca="1">VLOOKUP($AT13,OFFSET([1]crash_skills!$A$1,0,0,COUNTA([1]crash_skills!$A:$A),MATCH(AW$1,[1]crash_skills!$1:$1,0)-MATCH($AT$1,[1]crash_skills!$1:$1,0)+1),MATCH(AW$1,[1]crash_skills!$1:$1,0)-MATCH($AT$1,[1]crash_skills!$1:$1,0)+1,FALSE)</f>
        <v>#VALUE!</v>
      </c>
      <c r="AX13" s="81">
        <f ca="1">VLOOKUP($A13,OFFSET([2]characters!$A$1,0,0,COUNTA([2]characters!$A:$A),MATCH(AX$1,[2]characters!$1:$1,0)-MATCH($A$1,[2]characters!$1:$1,0)+1),MATCH(AX$1,[2]characters!$1:$1,0)-MATCH($A$1,[2]characters!$1:$1,0)+1,FALSE)</f>
        <v>3</v>
      </c>
      <c r="AY13" s="19">
        <v>1</v>
      </c>
      <c r="AZ13" s="19">
        <v>1</v>
      </c>
      <c r="BA13" s="19">
        <v>0</v>
      </c>
      <c r="BB13" s="19">
        <v>1</v>
      </c>
      <c r="BC13" s="14">
        <f ca="1">INDEX('RC6SV'!$A$1:$G$20,MATCH(H13,'RC6SV'!$A$1:$A$20,FALSE),MATCH(G13,'RC6SV'!$A$1:$G$1,FALSE))</f>
        <v>2550</v>
      </c>
      <c r="BD13" s="63">
        <f t="shared" ca="1" si="4"/>
        <v>2550</v>
      </c>
      <c r="BE13" s="14">
        <f t="shared" ca="1" si="5"/>
        <v>1750</v>
      </c>
      <c r="BF13" s="14">
        <f t="shared" ca="1" si="6"/>
        <v>1</v>
      </c>
      <c r="BG13" s="20">
        <f ca="1">IF($BE13&lt;=0,ROUND(BK13*0.5,0), ROUND($BE13*S13*AA13*J13*AY13*0.8*[2]ステータス!$B$2,0))</f>
        <v>571</v>
      </c>
      <c r="BH13" s="20">
        <f ca="1">IF($BE13&lt;=0,ROUND(BL13*0.5,0), ROUND($BE13*T13*AB13*K13*AZ13*0.8*[2]ステータス!$C$2,0))</f>
        <v>353</v>
      </c>
      <c r="BI13" s="20">
        <f ca="1">IF($BE13&lt;=0,ROUND(BM13*0.5,0), ROUND($BE13*U13*AC13*L13*BA13*0.8*[2]ステータス!$D$2,0))</f>
        <v>0</v>
      </c>
      <c r="BJ13" s="20">
        <f ca="1">IF($BE13&lt;=0,ROUND(BN13*0.5,0), ROUND($BE13*V13*AD13*M13*BB13*0.8*[2]ステータス!$E$2,0))</f>
        <v>447</v>
      </c>
      <c r="BK13" s="14">
        <f ca="1">ROUND(BD13*S13*AA13*J13*AY13*[2]ステータス!$B$2,0)</f>
        <v>1040</v>
      </c>
      <c r="BL13" s="14">
        <f ca="1">ROUND(BD13*T13*AB13*K13*AZ13*[2]ステータス!$C$2,0)</f>
        <v>643</v>
      </c>
      <c r="BM13" s="14">
        <f ca="1">ROUND(BD13*U13*AC13*L13*BA13*[2]ステータス!$D$2,0)</f>
        <v>0</v>
      </c>
      <c r="BN13" s="14">
        <f ca="1">ROUND(BD13*V13*AD13*M13*BB13*[2]ステータス!$E$2,0)</f>
        <v>815</v>
      </c>
      <c r="BO13" s="13">
        <v>0</v>
      </c>
      <c r="BP13" s="13">
        <v>1</v>
      </c>
      <c r="BQ13" s="13" t="s">
        <v>102</v>
      </c>
      <c r="BR13" s="13">
        <f ca="1">VLOOKUP(H13,ghosts_label!$A$2:$B$19,2,FALSE)</f>
        <v>1</v>
      </c>
    </row>
    <row r="14" spans="1:70" ht="21" customHeight="1" x14ac:dyDescent="0.15">
      <c r="A14" s="14">
        <f t="shared" ca="1" si="0"/>
        <v>13</v>
      </c>
      <c r="B14" s="77" t="str">
        <f ca="1">VLOOKUP($A14,OFFSET([2]characters!$A$1,0,0,COUNTA([2]characters!$A:$A),MATCH(B$1,[2]characters!$1:$1,0)-MATCH($A$1,[2]characters!$1:$1,0)+1),MATCH(B$1,[2]characters!$1:$1,0)-MATCH($A$1,[2]characters!$1:$1,0)+1,FALSE)</f>
        <v>ミミ</v>
      </c>
      <c r="C14" s="77" t="str">
        <f ca="1">VLOOKUP($A14,OFFSET([2]characters!$A$1,0,0,COUNTA([2]characters!$A:$A),MATCH(C$1,[2]characters!$1:$1,0)-MATCH($A$1,[2]characters!$1:$1,0)+1),MATCH(C$1,[2]characters!$1:$1,0)-MATCH($A$1,[2]characters!$1:$1,0)+1,FALSE)</f>
        <v>ノーマルクエスト</v>
      </c>
      <c r="D14" s="77" t="str">
        <f ca="1">VLOOKUP($A14,OFFSET([2]characters!$A$1,0,0,COUNTA([2]characters!$A:$A),MATCH(D$1,[2]characters!$1:$1,0)-MATCH($A$1,[2]characters!$1:$1,0)+1),MATCH(D$1,[2]characters!$1:$1,0)-MATCH($A$1,[2]characters!$1:$1,0)+1,FALSE)</f>
        <v>アバター</v>
      </c>
      <c r="E14" s="77" t="str">
        <f ca="1">VLOOKUP($A14,OFFSET([2]characters!$A$1,0,0,COUNTA([2]characters!$A:$A),MATCH(E$1,[2]characters!$1:$1,0)-MATCH($A$1,[2]characters!$1:$1,0)+1),MATCH(E$1,[2]characters!$1:$1,0)-MATCH($A$1,[2]characters!$1:$1,0)+1,FALSE)</f>
        <v>世界観</v>
      </c>
      <c r="F14" s="77" t="str">
        <f ca="1">VLOOKUP($A14,OFFSET([2]characters!$A$1,0,0,COUNTA([2]characters!$A:$A),MATCH(F$1,[2]characters!$1:$1,0)-MATCH($A$1,[2]characters!$1:$1,0)+1),MATCH(F$1,[2]characters!$1:$1,0)-MATCH($A$1,[2]characters!$1:$1,0)+1,FALSE)</f>
        <v>不明</v>
      </c>
      <c r="G14" s="77">
        <f ca="1">VLOOKUP($A14,OFFSET([2]characters!$A$1,0,0,COUNTA([2]characters!$A:$A),MATCH(G$1,[2]characters!$1:$1,0)-MATCH($A$1,[2]characters!$1:$1,0)+1),MATCH(G$1,[2]characters!$1:$1,0)-MATCH($A$1,[2]characters!$1:$1,0)+1,FALSE)</f>
        <v>1</v>
      </c>
      <c r="H14" s="77" t="str">
        <f ca="1">VLOOKUP($A14,OFFSET([2]characters!$A$1,0,0,COUNTA([2]characters!$A:$A),MATCH(H$1,[2]characters!$1:$1,0)-MATCH($A$1,[2]characters!$1:$1,0)+1),MATCH(H$1,[2]characters!$1:$1,0)-MATCH($A$1,[2]characters!$1:$1,0)+1,FALSE)</f>
        <v>Drop1W</v>
      </c>
      <c r="I14" s="77" t="str">
        <f ca="1">VLOOKUP($A14,OFFSET([2]characters!$A$1,0,0,COUNTA([2]characters!$A:$A),MATCH(I$1,[2]characters!$1:$1,0)-MATCH($A$1,[2]characters!$1:$1,0)+1),MATCH(I$1,[2]characters!$1:$1,0)-MATCH($A$1,[2]characters!$1:$1,0)+1,FALSE)</f>
        <v>yellow</v>
      </c>
      <c r="J14" s="14">
        <f ca="1">VLOOKUP(I14,[2]属性!$A:$E,2,FALSE)</f>
        <v>0.98</v>
      </c>
      <c r="K14" s="14">
        <f ca="1">VLOOKUP(I14,[2]属性!$A:$E,3,FALSE)</f>
        <v>1.01</v>
      </c>
      <c r="L14" s="14">
        <f ca="1">VLOOKUP(I14,[2]属性!$A:$E,4,FALSE)</f>
        <v>1</v>
      </c>
      <c r="M14" s="14">
        <f ca="1">VLOOKUP(I14,[2]属性!$A:$E,5,FALSE)</f>
        <v>1.01</v>
      </c>
      <c r="N14" s="14">
        <f ca="1">INDEX(コスト!$A$1:$I$20,MATCH(H14,コスト!$A$1:$A$20,FALSE),MATCH(G14,コスト!$A$1:$I$1,FALSE))</f>
        <v>1</v>
      </c>
      <c r="O14" s="14">
        <f ca="1">INDEX(レベル!$A$1:$I$21,MATCH(H14,レベル!$A$1:$A$21,FALSE),MATCH(G14,レベル!$A$1:$I$1,FALSE))</f>
        <v>15</v>
      </c>
      <c r="P14" s="63">
        <f t="shared" ca="1" si="7"/>
        <v>15</v>
      </c>
      <c r="Q14" s="77" t="str">
        <f ca="1">VLOOKUP($A14,OFFSET([2]characters!$A$1,0,0,COUNTA([2]characters!$A:$A),MATCH(Q$1,[2]characters!$1:$1,0)-MATCH($A$1,[2]characters!$1:$1,0)+1),MATCH(Q$1,[2]characters!$1:$1,0)-MATCH($A$1,[2]characters!$1:$1,0)+1,FALSE)</f>
        <v>attack</v>
      </c>
      <c r="R14" s="8" t="str">
        <f ca="1">VLOOKUP(Q14,[2]character_type_i18n!$A:$H,3,FALSE)</f>
        <v>攻撃タイプ</v>
      </c>
      <c r="S14" s="14">
        <f ca="1">VLOOKUP(Q14,[2]character_type_i18n!$A:$H,4,FALSE)</f>
        <v>1</v>
      </c>
      <c r="T14" s="14">
        <f ca="1">VLOOKUP(Q14,[2]character_type_i18n!$A:$H,5,FALSE)</f>
        <v>1.33</v>
      </c>
      <c r="U14" s="14">
        <f ca="1">VLOOKUP(Q14,[2]character_type_i18n!$A:$H,6,FALSE)</f>
        <v>1</v>
      </c>
      <c r="V14" s="14">
        <f ca="1">VLOOKUP(Q14,[2]character_type_i18n!$A:$H,7,FALSE)</f>
        <v>0.67</v>
      </c>
      <c r="W14" s="77" t="str">
        <f ca="1">VLOOKUP($A14,OFFSET([2]characters!$A$1,0,0,COUNTA([2]characters!$A:$A),MATCH(W$1,[2]characters!$1:$1,0)-MATCH($A$1,[2]characters!$1:$1,0)+1),MATCH(W$1,[2]characters!$1:$1,0)-MATCH($A$1,[2]characters!$1:$1,0)+1,FALSE)</f>
        <v>animal</v>
      </c>
      <c r="X14" s="8" t="str">
        <f ca="1">VLOOKUP(W14,[2]character_tribe_i18n!$A:$H,3,FALSE)</f>
        <v>アニマル</v>
      </c>
      <c r="Y14" s="77" t="str">
        <f ca="1">VLOOKUP($A14,OFFSET([2]characters!$A$1,0,0,COUNTA([2]characters!$A:$A),MATCH(Y$1,[2]characters!$1:$1,0)-MATCH($A$1,[2]characters!$1:$1,0)+1),MATCH(Y$1,[2]characters!$1:$1,0)-MATCH($A$1,[2]characters!$1:$1,0)+1,FALSE)</f>
        <v>none</v>
      </c>
      <c r="Z14" s="8" t="str">
        <f ca="1">VLOOKUP(Y14,[2]character_tribe_i18n!$A:$H,3,FALSE)</f>
        <v>種族なし</v>
      </c>
      <c r="AA14" s="14">
        <f ca="1">VLOOKUP(W14,[2]character_tribe_i18n!$A:$H,4,FALSE)</f>
        <v>1</v>
      </c>
      <c r="AB14" s="14">
        <f ca="1">VLOOKUP(W14,[2]character_tribe_i18n!$A:$H,5,FALSE)</f>
        <v>1.1000000000000001</v>
      </c>
      <c r="AC14" s="14">
        <f ca="1">VLOOKUP(W14,[2]character_tribe_i18n!$A:$H,6,FALSE)</f>
        <v>1</v>
      </c>
      <c r="AD14" s="14">
        <f ca="1">VLOOKUP(W14,[2]character_tribe_i18n!$A:$H,7,FALSE)</f>
        <v>0.9</v>
      </c>
      <c r="AE14" s="12">
        <v>14</v>
      </c>
      <c r="AF14" s="85" t="str">
        <f ca="1">IF(AE14="NULL","",VLOOKUP($AE14,OFFSET([2]characters!$A$1,0,0,COUNTA([2]characters!$A:$A),MATCH(AF$1,[2]characters!$1:$1,0)-MATCH($A$1,[2]characters!$1:$1,0)+1),MATCH(AF$1,[2]characters!$1:$1,0)-MATCH($A$1,[2]characters!$1:$1,0)+1,FALSE))</f>
        <v>ミミ・ザ・ガンマンキャット</v>
      </c>
      <c r="AG14" s="8">
        <f t="shared" ca="1" si="2"/>
        <v>13</v>
      </c>
      <c r="AH14" s="85" t="str">
        <f ca="1">VLOOKUP($AG14,OFFSET([2]characters!$A$1,0,0,COUNTA([2]characters!$A:$A),MATCH(AH$1,[2]characters!$1:$1,0)-MATCH($A$1,[2]characters!$1:$1,0)+1),MATCH(AH$1,[2]characters!$1:$1,0)-MATCH($A$1,[2]characters!$1:$1,0)+1,FALSE)</f>
        <v>ミミ</v>
      </c>
      <c r="AI14" s="14">
        <f ca="1">IF(AE14="NULL","NULL",VLOOKUP(G14,ビット!$A$2:$B$7,2))</f>
        <v>5000</v>
      </c>
      <c r="AJ14" s="9">
        <v>2</v>
      </c>
      <c r="AK14" s="10" t="str">
        <f t="shared" si="3"/>
        <v>普通</v>
      </c>
      <c r="AL14" s="14" t="str">
        <f ca="1">INDEX(経験値!$A$1:$I$20,MATCH(H14,経験値!$A$1:$A$20,FALSE),MATCH(G14,経験値!$A$1:$I$1,FALSE))</f>
        <v>required_exp_70</v>
      </c>
      <c r="AM14" s="11">
        <f ca="1">VLOOKUP(G14,経験値!$A$27:$B$31,2)</f>
        <v>200</v>
      </c>
      <c r="AN14" s="21">
        <f ca="1">VLOOKUP(G14,ビット!$G$2:$H$7,2)</f>
        <v>75</v>
      </c>
      <c r="AO14" s="64" t="s">
        <v>46</v>
      </c>
      <c r="AP14" s="101">
        <v>114001</v>
      </c>
      <c r="AQ14" s="77" t="e">
        <f ca="1">VLOOKUP($AP14,OFFSET([1]unit_skills!$A$1,0,0,COUNTA([1]unit_skills!$A:$A),MATCH("name",[1]unit_skills!$1:$1,0)-MATCH($AP$1,[1]unit_skills!$1:$1,0)+1),MATCH("name",[1]unit_skills!$1:$1,0)-MATCH($AP$1,[1]unit_skills!$1:$1,0)+1,FALSE)</f>
        <v>#VALUE!</v>
      </c>
      <c r="AR14" s="77" t="e">
        <f ca="1">VLOOKUP($AP14,OFFSET([1]unit_skills!$A$1,0,0,COUNTA([1]unit_skills!$A:$A),MATCH("comment",[1]unit_skills!$1:$1,0)-MATCH($AP$1,[1]unit_skills!$1:$1,0)+1),MATCH("comment",[1]unit_skills!$1:$1,0)-MATCH($AP$1,[1]unit_skills!$1:$1,0)+1,FALSE)</f>
        <v>#VALUE!</v>
      </c>
      <c r="AS14" s="77" t="e">
        <f ca="1">VLOOKUP($AP14,OFFSET([1]unit_skills!$A$1,0,0,COUNTA([1]unit_skills!$A:$A),MATCH(AS$1,[1]unit_skills!$1:$1,0)-MATCH($AP$1,[1]unit_skills!$1:$1,0)+1),MATCH(AS$1,[1]unit_skills!$1:$1,0)-MATCH($AP$1,[1]unit_skills!$1:$1,0)+1,FALSE)</f>
        <v>#VALUE!</v>
      </c>
      <c r="AT14" s="97">
        <v>124001</v>
      </c>
      <c r="AU14" s="77" t="e">
        <f ca="1">VLOOKUP($AT14,OFFSET([1]crash_skills!$A$1,0,0,COUNTA([1]crash_skills!$A:$A),MATCH("name",[1]crash_skills!$1:$1,0)-MATCH($AT$1,[1]crash_skills!$1:$1,0)+1),MATCH("name",[1]crash_skills!$1:$1,0)-MATCH($AT$1,[1]crash_skills!$1:$1,0)+1,FALSE)</f>
        <v>#VALUE!</v>
      </c>
      <c r="AV14" s="77" t="e">
        <f ca="1">VLOOKUP($AT14,OFFSET([1]crash_skills!$A$1,0,0,COUNTA([1]crash_skills!$A:$A),MATCH("comment",[1]crash_skills!$1:$1,0)-MATCH($AT$1,[1]crash_skills!$1:$1,0)+1),MATCH("comment",[1]crash_skills!$1:$1,0)-MATCH($AT$1,[1]crash_skills!$1:$1,0)+1,FALSE)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4" s="77" t="e">
        <f ca="1">VLOOKUP($AT14,OFFSET([1]crash_skills!$A$1,0,0,COUNTA([1]crash_skills!$A:$A),MATCH(AW$1,[1]crash_skills!$1:$1,0)-MATCH($AT$1,[1]crash_skills!$1:$1,0)+1),MATCH(AW$1,[1]crash_skills!$1:$1,0)-MATCH($AT$1,[1]crash_skills!$1:$1,0)+1,FALSE)</f>
        <v>#VALUE!</v>
      </c>
      <c r="AX14" s="81">
        <f ca="1">VLOOKUP($A14,OFFSET([2]characters!$A$1,0,0,COUNTA([2]characters!$A:$A),MATCH(AX$1,[2]characters!$1:$1,0)-MATCH($A$1,[2]characters!$1:$1,0)+1),MATCH(AX$1,[2]characters!$1:$1,0)-MATCH($A$1,[2]characters!$1:$1,0)+1,FALSE)</f>
        <v>3</v>
      </c>
      <c r="AY14" s="19">
        <v>1</v>
      </c>
      <c r="AZ14" s="19">
        <v>1</v>
      </c>
      <c r="BA14" s="19">
        <v>0</v>
      </c>
      <c r="BB14" s="19">
        <v>1</v>
      </c>
      <c r="BC14" s="14">
        <f ca="1">INDEX('RC6SV'!$A$1:$G$20,MATCH(H14,'RC6SV'!$A$1:$A$20,FALSE),MATCH(G14,'RC6SV'!$A$1:$G$1,FALSE))</f>
        <v>1750</v>
      </c>
      <c r="BD14" s="63">
        <f t="shared" ca="1" si="4"/>
        <v>1750</v>
      </c>
      <c r="BE14" s="14">
        <f t="shared" ca="1" si="5"/>
        <v>0</v>
      </c>
      <c r="BF14" s="14">
        <f t="shared" ca="1" si="6"/>
        <v>1</v>
      </c>
      <c r="BG14" s="20">
        <f ca="1">IF($BE14&lt;=0,ROUND(BK14*0.5,0), ROUND($BE14*S14*AA14*J14*AY14*0.8*[2]ステータス!$B$2,0))</f>
        <v>429</v>
      </c>
      <c r="BH14" s="20">
        <f ca="1">IF($BE14&lt;=0,ROUND(BL14*0.5,0), ROUND($BE14*T14*AB14*K14*AZ14*0.8*[2]ステータス!$C$2,0))</f>
        <v>388</v>
      </c>
      <c r="BI14" s="20">
        <f ca="1">IF($BE14&lt;=0,ROUND(BM14*0.5,0), ROUND($BE14*U14*AC14*L14*BA14*0.8*[2]ステータス!$D$2,0))</f>
        <v>0</v>
      </c>
      <c r="BJ14" s="20">
        <f ca="1">IF($BE14&lt;=0,ROUND(BN14*0.5,0), ROUND($BE14*V14*AD14*M14*BB14*0.8*[2]ステータス!$E$2,0))</f>
        <v>133</v>
      </c>
      <c r="BK14" s="14">
        <f ca="1">ROUND(BD14*S14*AA14*J14*AY14*[2]ステータス!$B$2,0)</f>
        <v>858</v>
      </c>
      <c r="BL14" s="14">
        <f ca="1">ROUND(BD14*T14*AB14*K14*AZ14*[2]ステータス!$C$2,0)</f>
        <v>776</v>
      </c>
      <c r="BM14" s="14">
        <f ca="1">ROUND(BD14*U14*AC14*L14*BA14*[2]ステータス!$D$2,0)</f>
        <v>0</v>
      </c>
      <c r="BN14" s="14">
        <f ca="1">ROUND(BD14*V14*AD14*M14*BB14*[2]ステータス!$E$2,0)</f>
        <v>266</v>
      </c>
      <c r="BO14" s="13">
        <v>0</v>
      </c>
      <c r="BP14" s="13">
        <v>1</v>
      </c>
      <c r="BQ14" s="13" t="s">
        <v>102</v>
      </c>
      <c r="BR14" s="13">
        <f ca="1">VLOOKUP(H14,ghosts_label!$A$2:$B$19,2,FALSE)</f>
        <v>1</v>
      </c>
    </row>
    <row r="15" spans="1:70" ht="21" customHeight="1" x14ac:dyDescent="0.15">
      <c r="A15" s="14">
        <f t="shared" ca="1" si="0"/>
        <v>14</v>
      </c>
      <c r="B15" s="77" t="str">
        <f ca="1">VLOOKUP($A15,OFFSET([2]characters!$A$1,0,0,COUNTA([2]characters!$A:$A),MATCH(B$1,[2]characters!$1:$1,0)-MATCH($A$1,[2]characters!$1:$1,0)+1),MATCH(B$1,[2]characters!$1:$1,0)-MATCH($A$1,[2]characters!$1:$1,0)+1,FALSE)</f>
        <v>ミミ・ザ・ガンマンキャット</v>
      </c>
      <c r="C15" s="77" t="str">
        <f ca="1">VLOOKUP($A15,OFFSET([2]characters!$A$1,0,0,COUNTA([2]characters!$A:$A),MATCH(C$1,[2]characters!$1:$1,0)-MATCH($A$1,[2]characters!$1:$1,0)+1),MATCH(C$1,[2]characters!$1:$1,0)-MATCH($A$1,[2]characters!$1:$1,0)+1,FALSE)</f>
        <v>ノーマルクエスト</v>
      </c>
      <c r="D15" s="77" t="str">
        <f ca="1">VLOOKUP($A15,OFFSET([2]characters!$A$1,0,0,COUNTA([2]characters!$A:$A),MATCH(D$1,[2]characters!$1:$1,0)-MATCH($A$1,[2]characters!$1:$1,0)+1),MATCH(D$1,[2]characters!$1:$1,0)-MATCH($A$1,[2]characters!$1:$1,0)+1,FALSE)</f>
        <v>アバター</v>
      </c>
      <c r="E15" s="77" t="str">
        <f ca="1">VLOOKUP($A15,OFFSET([2]characters!$A$1,0,0,COUNTA([2]characters!$A:$A),MATCH(E$1,[2]characters!$1:$1,0)-MATCH($A$1,[2]characters!$1:$1,0)+1),MATCH(E$1,[2]characters!$1:$1,0)-MATCH($A$1,[2]characters!$1:$1,0)+1,FALSE)</f>
        <v>世界観</v>
      </c>
      <c r="F15" s="77" t="str">
        <f ca="1">VLOOKUP($A15,OFFSET([2]characters!$A$1,0,0,COUNTA([2]characters!$A:$A),MATCH(F$1,[2]characters!$1:$1,0)-MATCH($A$1,[2]characters!$1:$1,0)+1),MATCH(F$1,[2]characters!$1:$1,0)-MATCH($A$1,[2]characters!$1:$1,0)+1,FALSE)</f>
        <v>不明</v>
      </c>
      <c r="G15" s="77">
        <f ca="1">VLOOKUP($A15,OFFSET([2]characters!$A$1,0,0,COUNTA([2]characters!$A:$A),MATCH(G$1,[2]characters!$1:$1,0)-MATCH($A$1,[2]characters!$1:$1,0)+1),MATCH(G$1,[2]characters!$1:$1,0)-MATCH($A$1,[2]characters!$1:$1,0)+1,FALSE)</f>
        <v>2</v>
      </c>
      <c r="H15" s="77" t="str">
        <f ca="1">VLOOKUP($A15,OFFSET([2]characters!$A$1,0,0,COUNTA([2]characters!$A:$A),MATCH(H$1,[2]characters!$1:$1,0)-MATCH($A$1,[2]characters!$1:$1,0)+1),MATCH(H$1,[2]characters!$1:$1,0)-MATCH($A$1,[2]characters!$1:$1,0)+1,FALSE)</f>
        <v>Drop1W</v>
      </c>
      <c r="I15" s="77" t="str">
        <f ca="1">VLOOKUP($A15,OFFSET([2]characters!$A$1,0,0,COUNTA([2]characters!$A:$A),MATCH(I$1,[2]characters!$1:$1,0)-MATCH($A$1,[2]characters!$1:$1,0)+1),MATCH(I$1,[2]characters!$1:$1,0)-MATCH($A$1,[2]characters!$1:$1,0)+1,FALSE)</f>
        <v>yellow</v>
      </c>
      <c r="J15" s="14">
        <f ca="1">VLOOKUP(I15,[2]属性!$A:$E,2,FALSE)</f>
        <v>0.98</v>
      </c>
      <c r="K15" s="14">
        <f ca="1">VLOOKUP(I15,[2]属性!$A:$E,3,FALSE)</f>
        <v>1.01</v>
      </c>
      <c r="L15" s="14">
        <f ca="1">VLOOKUP(I15,[2]属性!$A:$E,4,FALSE)</f>
        <v>1</v>
      </c>
      <c r="M15" s="14">
        <f ca="1">VLOOKUP(I15,[2]属性!$A:$E,5,FALSE)</f>
        <v>1.01</v>
      </c>
      <c r="N15" s="14">
        <f ca="1">INDEX(コスト!$A$1:$I$20,MATCH(H15,コスト!$A$1:$A$20,FALSE),MATCH(G15,コスト!$A$1:$I$1,FALSE))</f>
        <v>2</v>
      </c>
      <c r="O15" s="14">
        <f ca="1">INDEX(レベル!$A$1:$I$21,MATCH(H15,レベル!$A$1:$A$21,FALSE),MATCH(G15,レベル!$A$1:$I$1,FALSE))</f>
        <v>30</v>
      </c>
      <c r="P15" s="63">
        <f t="shared" ca="1" si="7"/>
        <v>30</v>
      </c>
      <c r="Q15" s="77" t="str">
        <f ca="1">VLOOKUP($A15,OFFSET([2]characters!$A$1,0,0,COUNTA([2]characters!$A:$A),MATCH(Q$1,[2]characters!$1:$1,0)-MATCH($A$1,[2]characters!$1:$1,0)+1),MATCH(Q$1,[2]characters!$1:$1,0)-MATCH($A$1,[2]characters!$1:$1,0)+1,FALSE)</f>
        <v>attack</v>
      </c>
      <c r="R15" s="8" t="str">
        <f ca="1">VLOOKUP(Q15,[2]character_type_i18n!$A:$H,3,FALSE)</f>
        <v>攻撃タイプ</v>
      </c>
      <c r="S15" s="14">
        <f ca="1">VLOOKUP(Q15,[2]character_type_i18n!$A:$H,4,FALSE)</f>
        <v>1</v>
      </c>
      <c r="T15" s="14">
        <f ca="1">VLOOKUP(Q15,[2]character_type_i18n!$A:$H,5,FALSE)</f>
        <v>1.33</v>
      </c>
      <c r="U15" s="14">
        <f ca="1">VLOOKUP(Q15,[2]character_type_i18n!$A:$H,6,FALSE)</f>
        <v>1</v>
      </c>
      <c r="V15" s="14">
        <f ca="1">VLOOKUP(Q15,[2]character_type_i18n!$A:$H,7,FALSE)</f>
        <v>0.67</v>
      </c>
      <c r="W15" s="77" t="str">
        <f ca="1">VLOOKUP($A15,OFFSET([2]characters!$A$1,0,0,COUNTA([2]characters!$A:$A),MATCH(W$1,[2]characters!$1:$1,0)-MATCH($A$1,[2]characters!$1:$1,0)+1),MATCH(W$1,[2]characters!$1:$1,0)-MATCH($A$1,[2]characters!$1:$1,0)+1,FALSE)</f>
        <v>animal</v>
      </c>
      <c r="X15" s="8" t="str">
        <f ca="1">VLOOKUP(W15,[2]character_tribe_i18n!$A:$H,3,FALSE)</f>
        <v>アニマル</v>
      </c>
      <c r="Y15" s="77" t="str">
        <f ca="1">VLOOKUP($A15,OFFSET([2]characters!$A$1,0,0,COUNTA([2]characters!$A:$A),MATCH(Y$1,[2]characters!$1:$1,0)-MATCH($A$1,[2]characters!$1:$1,0)+1),MATCH(Y$1,[2]characters!$1:$1,0)-MATCH($A$1,[2]characters!$1:$1,0)+1,FALSE)</f>
        <v>none</v>
      </c>
      <c r="Z15" s="8" t="str">
        <f ca="1">VLOOKUP(Y15,[2]character_tribe_i18n!$A:$H,3,FALSE)</f>
        <v>種族なし</v>
      </c>
      <c r="AA15" s="14">
        <f ca="1">VLOOKUP(W15,[2]character_tribe_i18n!$A:$H,4,FALSE)</f>
        <v>1</v>
      </c>
      <c r="AB15" s="14">
        <f ca="1">VLOOKUP(W15,[2]character_tribe_i18n!$A:$H,5,FALSE)</f>
        <v>1.1000000000000001</v>
      </c>
      <c r="AC15" s="14">
        <f ca="1">VLOOKUP(W15,[2]character_tribe_i18n!$A:$H,6,FALSE)</f>
        <v>1</v>
      </c>
      <c r="AD15" s="14">
        <f ca="1">VLOOKUP(W15,[2]character_tribe_i18n!$A:$H,7,FALSE)</f>
        <v>0.9</v>
      </c>
      <c r="AE15" s="12" t="s">
        <v>102</v>
      </c>
      <c r="AF15" s="85" t="str">
        <f ca="1">IF(AE15="NULL","",VLOOKUP($AE15,OFFSET([2]characters!$A$1,0,0,COUNTA([2]characters!$A:$A),MATCH(AF$1,[2]characters!$1:$1,0)-MATCH($A$1,[2]characters!$1:$1,0)+1),MATCH(AF$1,[2]characters!$1:$1,0)-MATCH($A$1,[2]characters!$1:$1,0)+1,FALSE))</f>
        <v/>
      </c>
      <c r="AG15" s="8">
        <f t="shared" ca="1" si="2"/>
        <v>13</v>
      </c>
      <c r="AH15" s="85" t="str">
        <f ca="1">VLOOKUP($AG15,OFFSET([2]characters!$A$1,0,0,COUNTA([2]characters!$A:$A),MATCH(AH$1,[2]characters!$1:$1,0)-MATCH($A$1,[2]characters!$1:$1,0)+1),MATCH(AH$1,[2]characters!$1:$1,0)-MATCH($A$1,[2]characters!$1:$1,0)+1,FALSE)</f>
        <v>ミミ</v>
      </c>
      <c r="AI15" s="14" t="str">
        <f>IF(AE15="NULL","NULL",VLOOKUP(G15,ビット!$A$2:$B$7,2))</f>
        <v>NULL</v>
      </c>
      <c r="AJ15" s="9">
        <v>2</v>
      </c>
      <c r="AK15" s="10" t="str">
        <f t="shared" si="3"/>
        <v>普通</v>
      </c>
      <c r="AL15" s="14" t="str">
        <f ca="1">INDEX(経験値!$A$1:$I$20,MATCH(H15,経験値!$A$1:$A$20,FALSE),MATCH(G15,経験値!$A$1:$I$1,FALSE))</f>
        <v>required_exp_70</v>
      </c>
      <c r="AM15" s="11">
        <f ca="1">VLOOKUP(G15,経験値!$A$27:$B$31,2)</f>
        <v>600</v>
      </c>
      <c r="AN15" s="21">
        <f ca="1">VLOOKUP(G15,ビット!$G$2:$H$7,2)</f>
        <v>150</v>
      </c>
      <c r="AO15" s="64" t="s">
        <v>46</v>
      </c>
      <c r="AP15" s="101">
        <v>114002</v>
      </c>
      <c r="AQ15" s="77" t="e">
        <f ca="1">VLOOKUP($AP15,OFFSET([1]unit_skills!$A$1,0,0,COUNTA([1]unit_skills!$A:$A),MATCH("name",[1]unit_skills!$1:$1,0)-MATCH($AP$1,[1]unit_skills!$1:$1,0)+1),MATCH("name",[1]unit_skills!$1:$1,0)-MATCH($AP$1,[1]unit_skills!$1:$1,0)+1,FALSE)</f>
        <v>#VALUE!</v>
      </c>
      <c r="AR15" s="77" t="e">
        <f ca="1">VLOOKUP($AP15,OFFSET([1]unit_skills!$A$1,0,0,COUNTA([1]unit_skills!$A:$A),MATCH("comment",[1]unit_skills!$1:$1,0)-MATCH($AP$1,[1]unit_skills!$1:$1,0)+1),MATCH("comment",[1]unit_skills!$1:$1,0)-MATCH($AP$1,[1]unit_skills!$1:$1,0)+1,FALSE)</f>
        <v>#VALUE!</v>
      </c>
      <c r="AS15" s="77" t="e">
        <f ca="1">VLOOKUP($AP15,OFFSET([1]unit_skills!$A$1,0,0,COUNTA([1]unit_skills!$A:$A),MATCH(AS$1,[1]unit_skills!$1:$1,0)-MATCH($AP$1,[1]unit_skills!$1:$1,0)+1),MATCH(AS$1,[1]unit_skills!$1:$1,0)-MATCH($AP$1,[1]unit_skills!$1:$1,0)+1,FALSE)</f>
        <v>#VALUE!</v>
      </c>
      <c r="AT15" s="97">
        <v>124002</v>
      </c>
      <c r="AU15" s="77" t="e">
        <f ca="1">VLOOKUP($AT15,OFFSET([1]crash_skills!$A$1,0,0,COUNTA([1]crash_skills!$A:$A),MATCH("name",[1]crash_skills!$1:$1,0)-MATCH($AT$1,[1]crash_skills!$1:$1,0)+1),MATCH("name",[1]crash_skills!$1:$1,0)-MATCH($AT$1,[1]crash_skills!$1:$1,0)+1,FALSE)</f>
        <v>#VALUE!</v>
      </c>
      <c r="AV15" s="77" t="e">
        <f ca="1">VLOOKUP($AT15,OFFSET([1]crash_skills!$A$1,0,0,COUNTA([1]crash_skills!$A:$A),MATCH("comment",[1]crash_skills!$1:$1,0)-MATCH($AT$1,[1]crash_skills!$1:$1,0)+1),MATCH("comment",[1]crash_skills!$1:$1,0)-MATCH($AT$1,[1]crash_skills!$1:$1,0)+1,FALSE)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5" s="77" t="e">
        <f ca="1">VLOOKUP($AT15,OFFSET([1]crash_skills!$A$1,0,0,COUNTA([1]crash_skills!$A:$A),MATCH(AW$1,[1]crash_skills!$1:$1,0)-MATCH($AT$1,[1]crash_skills!$1:$1,0)+1),MATCH(AW$1,[1]crash_skills!$1:$1,0)-MATCH($AT$1,[1]crash_skills!$1:$1,0)+1,FALSE)</f>
        <v>#VALUE!</v>
      </c>
      <c r="AX15" s="81">
        <f ca="1">VLOOKUP($A15,OFFSET([2]characters!$A$1,0,0,COUNTA([2]characters!$A:$A),MATCH(AX$1,[2]characters!$1:$1,0)-MATCH($A$1,[2]characters!$1:$1,0)+1),MATCH(AX$1,[2]characters!$1:$1,0)-MATCH($A$1,[2]characters!$1:$1,0)+1,FALSE)</f>
        <v>3</v>
      </c>
      <c r="AY15" s="19">
        <v>1</v>
      </c>
      <c r="AZ15" s="19">
        <v>1</v>
      </c>
      <c r="BA15" s="19">
        <v>0</v>
      </c>
      <c r="BB15" s="19">
        <v>1</v>
      </c>
      <c r="BC15" s="14">
        <f ca="1">INDEX('RC6SV'!$A$1:$G$20,MATCH(H15,'RC6SV'!$A$1:$A$20,FALSE),MATCH(G15,'RC6SV'!$A$1:$G$1,FALSE))</f>
        <v>2550</v>
      </c>
      <c r="BD15" s="63">
        <f t="shared" ca="1" si="4"/>
        <v>2550</v>
      </c>
      <c r="BE15" s="14">
        <f t="shared" ca="1" si="5"/>
        <v>1750</v>
      </c>
      <c r="BF15" s="14">
        <f t="shared" ca="1" si="6"/>
        <v>1</v>
      </c>
      <c r="BG15" s="20">
        <f ca="1">IF($BE15&lt;=0,ROUND(BK15*0.5,0), ROUND($BE15*S15*AA15*J15*AY15*0.8*[2]ステータス!$B$2,0))</f>
        <v>686</v>
      </c>
      <c r="BH15" s="20">
        <f ca="1">IF($BE15&lt;=0,ROUND(BL15*0.5,0), ROUND($BE15*T15*AB15*K15*AZ15*0.8*[2]ステータス!$C$2,0))</f>
        <v>621</v>
      </c>
      <c r="BI15" s="20">
        <f ca="1">IF($BE15&lt;=0,ROUND(BM15*0.5,0), ROUND($BE15*U15*AC15*L15*BA15*0.8*[2]ステータス!$D$2,0))</f>
        <v>0</v>
      </c>
      <c r="BJ15" s="20">
        <f ca="1">IF($BE15&lt;=0,ROUND(BN15*0.5,0), ROUND($BE15*V15*AD15*M15*BB15*0.8*[2]ステータス!$E$2,0))</f>
        <v>213</v>
      </c>
      <c r="BK15" s="14">
        <f ca="1">ROUND(BD15*S15*AA15*J15*AY15*[2]ステータス!$B$2,0)</f>
        <v>1250</v>
      </c>
      <c r="BL15" s="14">
        <f ca="1">ROUND(BD15*T15*AB15*K15*AZ15*[2]ステータス!$C$2,0)</f>
        <v>1130</v>
      </c>
      <c r="BM15" s="14">
        <f ca="1">ROUND(BD15*U15*AC15*L15*BA15*[2]ステータス!$D$2,0)</f>
        <v>0</v>
      </c>
      <c r="BN15" s="14">
        <f ca="1">ROUND(BD15*V15*AD15*M15*BB15*[2]ステータス!$E$2,0)</f>
        <v>388</v>
      </c>
      <c r="BO15" s="13">
        <v>0</v>
      </c>
      <c r="BP15" s="13">
        <v>1</v>
      </c>
      <c r="BQ15" s="13" t="s">
        <v>102</v>
      </c>
      <c r="BR15" s="13">
        <f ca="1">VLOOKUP(H15,ghosts_label!$A$2:$B$19,2,FALSE)</f>
        <v>1</v>
      </c>
    </row>
    <row r="16" spans="1:70" ht="21" customHeight="1" x14ac:dyDescent="0.15">
      <c r="A16" s="14">
        <f t="shared" ca="1" si="0"/>
        <v>15</v>
      </c>
      <c r="B16" s="77" t="str">
        <f ca="1">VLOOKUP($A16,OFFSET([2]characters!$A$1,0,0,COUNTA([2]characters!$A:$A),MATCH(B$1,[2]characters!$1:$1,0)-MATCH($A$1,[2]characters!$1:$1,0)+1),MATCH(B$1,[2]characters!$1:$1,0)-MATCH($A$1,[2]characters!$1:$1,0)+1,FALSE)</f>
        <v>アカネ</v>
      </c>
      <c r="C16" s="77" t="str">
        <f ca="1">VLOOKUP($A16,OFFSET([2]characters!$A$1,0,0,COUNTA([2]characters!$A:$A),MATCH(C$1,[2]characters!$1:$1,0)-MATCH($A$1,[2]characters!$1:$1,0)+1),MATCH(C$1,[2]characters!$1:$1,0)-MATCH($A$1,[2]characters!$1:$1,0)+1,FALSE)</f>
        <v>ノーマルクエスト</v>
      </c>
      <c r="D16" s="77" t="str">
        <f ca="1">VLOOKUP($A16,OFFSET([2]characters!$A$1,0,0,COUNTA([2]characters!$A:$A),MATCH(D$1,[2]characters!$1:$1,0)-MATCH($A$1,[2]characters!$1:$1,0)+1),MATCH(D$1,[2]characters!$1:$1,0)-MATCH($A$1,[2]characters!$1:$1,0)+1,FALSE)</f>
        <v>アバター</v>
      </c>
      <c r="E16" s="77" t="str">
        <f ca="1">VLOOKUP($A16,OFFSET([2]characters!$A$1,0,0,COUNTA([2]characters!$A:$A),MATCH(E$1,[2]characters!$1:$1,0)-MATCH($A$1,[2]characters!$1:$1,0)+1),MATCH(E$1,[2]characters!$1:$1,0)-MATCH($A$1,[2]characters!$1:$1,0)+1,FALSE)</f>
        <v>世界観</v>
      </c>
      <c r="F16" s="77" t="str">
        <f ca="1">VLOOKUP($A16,OFFSET([2]characters!$A$1,0,0,COUNTA([2]characters!$A:$A),MATCH(F$1,[2]characters!$1:$1,0)-MATCH($A$1,[2]characters!$1:$1,0)+1),MATCH(F$1,[2]characters!$1:$1,0)-MATCH($A$1,[2]characters!$1:$1,0)+1,FALSE)</f>
        <v>女性</v>
      </c>
      <c r="G16" s="77">
        <f ca="1">VLOOKUP($A16,OFFSET([2]characters!$A$1,0,0,COUNTA([2]characters!$A:$A),MATCH(G$1,[2]characters!$1:$1,0)-MATCH($A$1,[2]characters!$1:$1,0)+1),MATCH(G$1,[2]characters!$1:$1,0)-MATCH($A$1,[2]characters!$1:$1,0)+1,FALSE)</f>
        <v>1</v>
      </c>
      <c r="H16" s="77" t="str">
        <f ca="1">VLOOKUP($A16,OFFSET([2]characters!$A$1,0,0,COUNTA([2]characters!$A:$A),MATCH(H$1,[2]characters!$1:$1,0)-MATCH($A$1,[2]characters!$1:$1,0)+1),MATCH(H$1,[2]characters!$1:$1,0)-MATCH($A$1,[2]characters!$1:$1,0)+1,FALSE)</f>
        <v>Drop1W</v>
      </c>
      <c r="I16" s="77" t="str">
        <f ca="1">VLOOKUP($A16,OFFSET([2]characters!$A$1,0,0,COUNTA([2]characters!$A:$A),MATCH(I$1,[2]characters!$1:$1,0)-MATCH($A$1,[2]characters!$1:$1,0)+1),MATCH(I$1,[2]characters!$1:$1,0)-MATCH($A$1,[2]characters!$1:$1,0)+1,FALSE)</f>
        <v>red</v>
      </c>
      <c r="J16" s="14">
        <f ca="1">VLOOKUP(I16,[2]属性!$A:$E,2,FALSE)</f>
        <v>1</v>
      </c>
      <c r="K16" s="14">
        <f ca="1">VLOOKUP(I16,[2]属性!$A:$E,3,FALSE)</f>
        <v>1.02</v>
      </c>
      <c r="L16" s="14">
        <f ca="1">VLOOKUP(I16,[2]属性!$A:$E,4,FALSE)</f>
        <v>1</v>
      </c>
      <c r="M16" s="14">
        <f ca="1">VLOOKUP(I16,[2]属性!$A:$E,5,FALSE)</f>
        <v>0.98</v>
      </c>
      <c r="N16" s="14">
        <f ca="1">INDEX(コスト!$A$1:$I$20,MATCH(H16,コスト!$A$1:$A$20,FALSE),MATCH(G16,コスト!$A$1:$I$1,FALSE))</f>
        <v>1</v>
      </c>
      <c r="O16" s="14">
        <f ca="1">INDEX(レベル!$A$1:$I$21,MATCH(H16,レベル!$A$1:$A$21,FALSE),MATCH(G16,レベル!$A$1:$I$1,FALSE))</f>
        <v>15</v>
      </c>
      <c r="P16" s="63">
        <f t="shared" ca="1" si="7"/>
        <v>15</v>
      </c>
      <c r="Q16" s="77" t="str">
        <f ca="1">VLOOKUP($A16,OFFSET([2]characters!$A$1,0,0,COUNTA([2]characters!$A:$A),MATCH(Q$1,[2]characters!$1:$1,0)-MATCH($A$1,[2]characters!$1:$1,0)+1),MATCH(Q$1,[2]characters!$1:$1,0)-MATCH($A$1,[2]characters!$1:$1,0)+1,FALSE)</f>
        <v>balance</v>
      </c>
      <c r="R16" s="8" t="str">
        <f ca="1">VLOOKUP(Q16,[2]character_type_i18n!$A:$H,3,FALSE)</f>
        <v>バランスタイプ</v>
      </c>
      <c r="S16" s="14">
        <f ca="1">VLOOKUP(Q16,[2]character_type_i18n!$A:$H,4,FALSE)</f>
        <v>1</v>
      </c>
      <c r="T16" s="14">
        <f ca="1">VLOOKUP(Q16,[2]character_type_i18n!$A:$H,5,FALSE)</f>
        <v>1</v>
      </c>
      <c r="U16" s="14">
        <f ca="1">VLOOKUP(Q16,[2]character_type_i18n!$A:$H,6,FALSE)</f>
        <v>1</v>
      </c>
      <c r="V16" s="14">
        <f ca="1">VLOOKUP(Q16,[2]character_type_i18n!$A:$H,7,FALSE)</f>
        <v>1</v>
      </c>
      <c r="W16" s="77" t="str">
        <f ca="1">VLOOKUP($A16,OFFSET([2]characters!$A$1,0,0,COUNTA([2]characters!$A:$A),MATCH(W$1,[2]characters!$1:$1,0)-MATCH($A$1,[2]characters!$1:$1,0)+1),MATCH(W$1,[2]characters!$1:$1,0)-MATCH($A$1,[2]characters!$1:$1,0)+1,FALSE)</f>
        <v>human</v>
      </c>
      <c r="X16" s="8" t="str">
        <f ca="1">VLOOKUP(W16,[2]character_tribe_i18n!$A:$H,3,FALSE)</f>
        <v>ヒューマン</v>
      </c>
      <c r="Y16" s="77" t="str">
        <f ca="1">VLOOKUP($A16,OFFSET([2]characters!$A$1,0,0,COUNTA([2]characters!$A:$A),MATCH(Y$1,[2]characters!$1:$1,0)-MATCH($A$1,[2]characters!$1:$1,0)+1),MATCH(Y$1,[2]characters!$1:$1,0)-MATCH($A$1,[2]characters!$1:$1,0)+1,FALSE)</f>
        <v>none</v>
      </c>
      <c r="Z16" s="8" t="str">
        <f ca="1">VLOOKUP(Y16,[2]character_tribe_i18n!$A:$H,3,FALSE)</f>
        <v>種族なし</v>
      </c>
      <c r="AA16" s="14">
        <f ca="1">VLOOKUP(W16,[2]character_tribe_i18n!$A:$H,4,FALSE)</f>
        <v>0.94</v>
      </c>
      <c r="AB16" s="14">
        <f ca="1">VLOOKUP(W16,[2]character_tribe_i18n!$A:$H,5,FALSE)</f>
        <v>0.99</v>
      </c>
      <c r="AC16" s="14">
        <f ca="1">VLOOKUP(W16,[2]character_tribe_i18n!$A:$H,6,FALSE)</f>
        <v>1</v>
      </c>
      <c r="AD16" s="14">
        <f ca="1">VLOOKUP(W16,[2]character_tribe_i18n!$A:$H,7,FALSE)</f>
        <v>1.07</v>
      </c>
      <c r="AE16" s="12">
        <v>16</v>
      </c>
      <c r="AF16" s="85" t="str">
        <f ca="1">IF(AE16="NULL","",VLOOKUP($AE16,OFFSET([2]characters!$A$1,0,0,COUNTA([2]characters!$A:$A),MATCH(AF$1,[2]characters!$1:$1,0)-MATCH($A$1,[2]characters!$1:$1,0)+1),MATCH(AF$1,[2]characters!$1:$1,0)-MATCH($A$1,[2]characters!$1:$1,0)+1,FALSE))</f>
        <v>炎戦少女 アカネ</v>
      </c>
      <c r="AG16" s="8">
        <f t="shared" ca="1" si="2"/>
        <v>15</v>
      </c>
      <c r="AH16" s="85" t="str">
        <f ca="1">VLOOKUP($AG16,OFFSET([2]characters!$A$1,0,0,COUNTA([2]characters!$A:$A),MATCH(AH$1,[2]characters!$1:$1,0)-MATCH($A$1,[2]characters!$1:$1,0)+1),MATCH(AH$1,[2]characters!$1:$1,0)-MATCH($A$1,[2]characters!$1:$1,0)+1,FALSE)</f>
        <v>アカネ</v>
      </c>
      <c r="AI16" s="14">
        <f ca="1">IF(AE16="NULL","NULL",VLOOKUP(G16,ビット!$A$2:$B$7,2))</f>
        <v>5000</v>
      </c>
      <c r="AJ16" s="9">
        <v>2</v>
      </c>
      <c r="AK16" s="10" t="str">
        <f t="shared" si="3"/>
        <v>普通</v>
      </c>
      <c r="AL16" s="14" t="str">
        <f ca="1">INDEX(経験値!$A$1:$I$20,MATCH(H16,経験値!$A$1:$A$20,FALSE),MATCH(G16,経験値!$A$1:$I$1,FALSE))</f>
        <v>required_exp_70</v>
      </c>
      <c r="AM16" s="11">
        <f ca="1">VLOOKUP(G16,経験値!$A$27:$B$31,2)</f>
        <v>200</v>
      </c>
      <c r="AN16" s="21">
        <f ca="1">VLOOKUP(G16,ビット!$G$2:$H$7,2)</f>
        <v>75</v>
      </c>
      <c r="AO16" s="64" t="s">
        <v>49</v>
      </c>
      <c r="AP16" s="101">
        <v>300034</v>
      </c>
      <c r="AQ16" s="77" t="e">
        <f ca="1">VLOOKUP($AP16,OFFSET([1]unit_skills!$A$1,0,0,COUNTA([1]unit_skills!$A:$A),MATCH("name",[1]unit_skills!$1:$1,0)-MATCH($AP$1,[1]unit_skills!$1:$1,0)+1),MATCH("name",[1]unit_skills!$1:$1,0)-MATCH($AP$1,[1]unit_skills!$1:$1,0)+1,FALSE)</f>
        <v>#VALUE!</v>
      </c>
      <c r="AR16" s="77" t="e">
        <f ca="1">VLOOKUP($AP16,OFFSET([1]unit_skills!$A$1,0,0,COUNTA([1]unit_skills!$A:$A),MATCH("comment",[1]unit_skills!$1:$1,0)-MATCH($AP$1,[1]unit_skills!$1:$1,0)+1),MATCH("comment",[1]unit_skills!$1:$1,0)-MATCH($AP$1,[1]unit_skills!$1:$1,0)+1,FALSE)</f>
        <v>#VALUE!</v>
      </c>
      <c r="AS16" s="77" t="e">
        <f ca="1">VLOOKUP($AP16,OFFSET([1]unit_skills!$A$1,0,0,COUNTA([1]unit_skills!$A:$A),MATCH(AS$1,[1]unit_skills!$1:$1,0)-MATCH($AP$1,[1]unit_skills!$1:$1,0)+1),MATCH(AS$1,[1]unit_skills!$1:$1,0)-MATCH($AP$1,[1]unit_skills!$1:$1,0)+1,FALSE)</f>
        <v>#VALUE!</v>
      </c>
      <c r="AT16" s="97">
        <v>141401</v>
      </c>
      <c r="AU16" s="77" t="e">
        <f ca="1">VLOOKUP($AT16,OFFSET([1]crash_skills!$A$1,0,0,COUNTA([1]crash_skills!$A:$A),MATCH("name",[1]crash_skills!$1:$1,0)-MATCH($AT$1,[1]crash_skills!$1:$1,0)+1),MATCH("name",[1]crash_skills!$1:$1,0)-MATCH($AT$1,[1]crash_skills!$1:$1,0)+1,FALSE)</f>
        <v>#VALUE!</v>
      </c>
      <c r="AV16" s="77" t="e">
        <f ca="1">VLOOKUP($AT16,OFFSET([1]crash_skills!$A$1,0,0,COUNTA([1]crash_skills!$A:$A),MATCH("comment",[1]crash_skills!$1:$1,0)-MATCH($AT$1,[1]crash_skills!$1:$1,0)+1),MATCH("comment",[1]crash_skills!$1:$1,0)-MATCH($AT$1,[1]crash_skills!$1:$1,0)+1,FALSE)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6" s="77" t="e">
        <f ca="1">VLOOKUP($AT16,OFFSET([1]crash_skills!$A$1,0,0,COUNTA([1]crash_skills!$A:$A),MATCH(AW$1,[1]crash_skills!$1:$1,0)-MATCH($AT$1,[1]crash_skills!$1:$1,0)+1),MATCH(AW$1,[1]crash_skills!$1:$1,0)-MATCH($AT$1,[1]crash_skills!$1:$1,0)+1,FALSE)</f>
        <v>#VALUE!</v>
      </c>
      <c r="AX16" s="81">
        <f ca="1">VLOOKUP($A16,OFFSET([2]characters!$A$1,0,0,COUNTA([2]characters!$A:$A),MATCH(AX$1,[2]characters!$1:$1,0)-MATCH($A$1,[2]characters!$1:$1,0)+1),MATCH(AX$1,[2]characters!$1:$1,0)-MATCH($A$1,[2]characters!$1:$1,0)+1,FALSE)</f>
        <v>3</v>
      </c>
      <c r="AY16" s="19">
        <v>1</v>
      </c>
      <c r="AZ16" s="19">
        <v>1</v>
      </c>
      <c r="BA16" s="19">
        <v>0</v>
      </c>
      <c r="BB16" s="19">
        <v>1</v>
      </c>
      <c r="BC16" s="14">
        <f ca="1">INDEX('RC6SV'!$A$1:$G$20,MATCH(H16,'RC6SV'!$A$1:$A$20,FALSE),MATCH(G16,'RC6SV'!$A$1:$G$1,FALSE))</f>
        <v>1750</v>
      </c>
      <c r="BD16" s="63">
        <f t="shared" ca="1" si="4"/>
        <v>1750</v>
      </c>
      <c r="BE16" s="14">
        <f t="shared" ca="1" si="5"/>
        <v>0</v>
      </c>
      <c r="BF16" s="14">
        <f t="shared" ca="1" si="6"/>
        <v>1</v>
      </c>
      <c r="BG16" s="20">
        <f ca="1">IF($BE16&lt;=0,ROUND(BK16*0.5,0), ROUND($BE16*S16*AA16*J16*AY16*0.8*[2]ステータス!$B$2,0))</f>
        <v>412</v>
      </c>
      <c r="BH16" s="20">
        <f ca="1">IF($BE16&lt;=0,ROUND(BL16*0.5,0), ROUND($BE16*T16*AB16*K16*AZ16*0.8*[2]ステータス!$C$2,0))</f>
        <v>265</v>
      </c>
      <c r="BI16" s="20">
        <f ca="1">IF($BE16&lt;=0,ROUND(BM16*0.5,0), ROUND($BE16*U16*AC16*L16*BA16*0.8*[2]ステータス!$D$2,0))</f>
        <v>0</v>
      </c>
      <c r="BJ16" s="20">
        <f ca="1">IF($BE16&lt;=0,ROUND(BN16*0.5,0), ROUND($BE16*V16*AD16*M16*BB16*0.8*[2]ステータス!$E$2,0))</f>
        <v>230</v>
      </c>
      <c r="BK16" s="14">
        <f ca="1">ROUND(BD16*S16*AA16*J16*AY16*[2]ステータス!$B$2,0)</f>
        <v>823</v>
      </c>
      <c r="BL16" s="14">
        <f ca="1">ROUND(BD16*T16*AB16*K16*AZ16*[2]ステータス!$C$2,0)</f>
        <v>530</v>
      </c>
      <c r="BM16" s="14">
        <f ca="1">ROUND(BD16*U16*AC16*L16*BA16*[2]ステータス!$D$2,0)</f>
        <v>0</v>
      </c>
      <c r="BN16" s="14">
        <f ca="1">ROUND(BD16*V16*AD16*M16*BB16*[2]ステータス!$E$2,0)</f>
        <v>459</v>
      </c>
      <c r="BO16" s="13">
        <v>0</v>
      </c>
      <c r="BP16" s="13">
        <v>1</v>
      </c>
      <c r="BQ16" s="13" t="s">
        <v>102</v>
      </c>
      <c r="BR16" s="13">
        <f ca="1">VLOOKUP(H16,ghosts_label!$A$2:$B$19,2,FALSE)</f>
        <v>1</v>
      </c>
    </row>
    <row r="17" spans="1:70" ht="21" customHeight="1" x14ac:dyDescent="0.15">
      <c r="A17" s="14">
        <f t="shared" ca="1" si="0"/>
        <v>16</v>
      </c>
      <c r="B17" s="77" t="str">
        <f ca="1">VLOOKUP($A17,OFFSET([2]characters!$A$1,0,0,COUNTA([2]characters!$A:$A),MATCH(B$1,[2]characters!$1:$1,0)-MATCH($A$1,[2]characters!$1:$1,0)+1),MATCH(B$1,[2]characters!$1:$1,0)-MATCH($A$1,[2]characters!$1:$1,0)+1,FALSE)</f>
        <v>炎戦少女 アカネ</v>
      </c>
      <c r="C17" s="77" t="str">
        <f ca="1">VLOOKUP($A17,OFFSET([2]characters!$A$1,0,0,COUNTA([2]characters!$A:$A),MATCH(C$1,[2]characters!$1:$1,0)-MATCH($A$1,[2]characters!$1:$1,0)+1),MATCH(C$1,[2]characters!$1:$1,0)-MATCH($A$1,[2]characters!$1:$1,0)+1,FALSE)</f>
        <v>ノーマルクエスト</v>
      </c>
      <c r="D17" s="77" t="str">
        <f ca="1">VLOOKUP($A17,OFFSET([2]characters!$A$1,0,0,COUNTA([2]characters!$A:$A),MATCH(D$1,[2]characters!$1:$1,0)-MATCH($A$1,[2]characters!$1:$1,0)+1),MATCH(D$1,[2]characters!$1:$1,0)-MATCH($A$1,[2]characters!$1:$1,0)+1,FALSE)</f>
        <v>アバター</v>
      </c>
      <c r="E17" s="77" t="str">
        <f ca="1">VLOOKUP($A17,OFFSET([2]characters!$A$1,0,0,COUNTA([2]characters!$A:$A),MATCH(E$1,[2]characters!$1:$1,0)-MATCH($A$1,[2]characters!$1:$1,0)+1),MATCH(E$1,[2]characters!$1:$1,0)-MATCH($A$1,[2]characters!$1:$1,0)+1,FALSE)</f>
        <v>世界観</v>
      </c>
      <c r="F17" s="77" t="str">
        <f ca="1">VLOOKUP($A17,OFFSET([2]characters!$A$1,0,0,COUNTA([2]characters!$A:$A),MATCH(F$1,[2]characters!$1:$1,0)-MATCH($A$1,[2]characters!$1:$1,0)+1),MATCH(F$1,[2]characters!$1:$1,0)-MATCH($A$1,[2]characters!$1:$1,0)+1,FALSE)</f>
        <v>女性</v>
      </c>
      <c r="G17" s="77">
        <f ca="1">VLOOKUP($A17,OFFSET([2]characters!$A$1,0,0,COUNTA([2]characters!$A:$A),MATCH(G$1,[2]characters!$1:$1,0)-MATCH($A$1,[2]characters!$1:$1,0)+1),MATCH(G$1,[2]characters!$1:$1,0)-MATCH($A$1,[2]characters!$1:$1,0)+1,FALSE)</f>
        <v>2</v>
      </c>
      <c r="H17" s="77" t="str">
        <f ca="1">VLOOKUP($A17,OFFSET([2]characters!$A$1,0,0,COUNTA([2]characters!$A:$A),MATCH(H$1,[2]characters!$1:$1,0)-MATCH($A$1,[2]characters!$1:$1,0)+1),MATCH(H$1,[2]characters!$1:$1,0)-MATCH($A$1,[2]characters!$1:$1,0)+1,FALSE)</f>
        <v>Drop1W</v>
      </c>
      <c r="I17" s="77" t="str">
        <f ca="1">VLOOKUP($A17,OFFSET([2]characters!$A$1,0,0,COUNTA([2]characters!$A:$A),MATCH(I$1,[2]characters!$1:$1,0)-MATCH($A$1,[2]characters!$1:$1,0)+1),MATCH(I$1,[2]characters!$1:$1,0)-MATCH($A$1,[2]characters!$1:$1,0)+1,FALSE)</f>
        <v>red</v>
      </c>
      <c r="J17" s="14">
        <f ca="1">VLOOKUP(I17,[2]属性!$A:$E,2,FALSE)</f>
        <v>1</v>
      </c>
      <c r="K17" s="14">
        <f ca="1">VLOOKUP(I17,[2]属性!$A:$E,3,FALSE)</f>
        <v>1.02</v>
      </c>
      <c r="L17" s="14">
        <f ca="1">VLOOKUP(I17,[2]属性!$A:$E,4,FALSE)</f>
        <v>1</v>
      </c>
      <c r="M17" s="14">
        <f ca="1">VLOOKUP(I17,[2]属性!$A:$E,5,FALSE)</f>
        <v>0.98</v>
      </c>
      <c r="N17" s="14">
        <f ca="1">INDEX(コスト!$A$1:$I$20,MATCH(H17,コスト!$A$1:$A$20,FALSE),MATCH(G17,コスト!$A$1:$I$1,FALSE))</f>
        <v>2</v>
      </c>
      <c r="O17" s="14">
        <f ca="1">INDEX(レベル!$A$1:$I$21,MATCH(H17,レベル!$A$1:$A$21,FALSE),MATCH(G17,レベル!$A$1:$I$1,FALSE))</f>
        <v>30</v>
      </c>
      <c r="P17" s="63">
        <f t="shared" ca="1" si="7"/>
        <v>30</v>
      </c>
      <c r="Q17" s="77" t="str">
        <f ca="1">VLOOKUP($A17,OFFSET([2]characters!$A$1,0,0,COUNTA([2]characters!$A:$A),MATCH(Q$1,[2]characters!$1:$1,0)-MATCH($A$1,[2]characters!$1:$1,0)+1),MATCH(Q$1,[2]characters!$1:$1,0)-MATCH($A$1,[2]characters!$1:$1,0)+1,FALSE)</f>
        <v>balance</v>
      </c>
      <c r="R17" s="8" t="str">
        <f ca="1">VLOOKUP(Q17,[2]character_type_i18n!$A:$H,3,FALSE)</f>
        <v>バランスタイプ</v>
      </c>
      <c r="S17" s="14">
        <f ca="1">VLOOKUP(Q17,[2]character_type_i18n!$A:$H,4,FALSE)</f>
        <v>1</v>
      </c>
      <c r="T17" s="14">
        <f ca="1">VLOOKUP(Q17,[2]character_type_i18n!$A:$H,5,FALSE)</f>
        <v>1</v>
      </c>
      <c r="U17" s="14">
        <f ca="1">VLOOKUP(Q17,[2]character_type_i18n!$A:$H,6,FALSE)</f>
        <v>1</v>
      </c>
      <c r="V17" s="14">
        <f ca="1">VLOOKUP(Q17,[2]character_type_i18n!$A:$H,7,FALSE)</f>
        <v>1</v>
      </c>
      <c r="W17" s="77" t="str">
        <f ca="1">VLOOKUP($A17,OFFSET([2]characters!$A$1,0,0,COUNTA([2]characters!$A:$A),MATCH(W$1,[2]characters!$1:$1,0)-MATCH($A$1,[2]characters!$1:$1,0)+1),MATCH(W$1,[2]characters!$1:$1,0)-MATCH($A$1,[2]characters!$1:$1,0)+1,FALSE)</f>
        <v>human</v>
      </c>
      <c r="X17" s="8" t="str">
        <f ca="1">VLOOKUP(W17,[2]character_tribe_i18n!$A:$H,3,FALSE)</f>
        <v>ヒューマン</v>
      </c>
      <c r="Y17" s="77" t="str">
        <f ca="1">VLOOKUP($A17,OFFSET([2]characters!$A$1,0,0,COUNTA([2]characters!$A:$A),MATCH(Y$1,[2]characters!$1:$1,0)-MATCH($A$1,[2]characters!$1:$1,0)+1),MATCH(Y$1,[2]characters!$1:$1,0)-MATCH($A$1,[2]characters!$1:$1,0)+1,FALSE)</f>
        <v>none</v>
      </c>
      <c r="Z17" s="8" t="str">
        <f ca="1">VLOOKUP(Y17,[2]character_tribe_i18n!$A:$H,3,FALSE)</f>
        <v>種族なし</v>
      </c>
      <c r="AA17" s="14">
        <f ca="1">VLOOKUP(W17,[2]character_tribe_i18n!$A:$H,4,FALSE)</f>
        <v>0.94</v>
      </c>
      <c r="AB17" s="14">
        <f ca="1">VLOOKUP(W17,[2]character_tribe_i18n!$A:$H,5,FALSE)</f>
        <v>0.99</v>
      </c>
      <c r="AC17" s="14">
        <f ca="1">VLOOKUP(W17,[2]character_tribe_i18n!$A:$H,6,FALSE)</f>
        <v>1</v>
      </c>
      <c r="AD17" s="14">
        <f ca="1">VLOOKUP(W17,[2]character_tribe_i18n!$A:$H,7,FALSE)</f>
        <v>1.07</v>
      </c>
      <c r="AE17" s="12" t="s">
        <v>102</v>
      </c>
      <c r="AF17" s="85" t="str">
        <f ca="1">IF(AE17="NULL","",VLOOKUP($AE17,OFFSET([2]characters!$A$1,0,0,COUNTA([2]characters!$A:$A),MATCH(AF$1,[2]characters!$1:$1,0)-MATCH($A$1,[2]characters!$1:$1,0)+1),MATCH(AF$1,[2]characters!$1:$1,0)-MATCH($A$1,[2]characters!$1:$1,0)+1,FALSE))</f>
        <v/>
      </c>
      <c r="AG17" s="8">
        <f t="shared" ca="1" si="2"/>
        <v>15</v>
      </c>
      <c r="AH17" s="85" t="str">
        <f ca="1">VLOOKUP($AG17,OFFSET([2]characters!$A$1,0,0,COUNTA([2]characters!$A:$A),MATCH(AH$1,[2]characters!$1:$1,0)-MATCH($A$1,[2]characters!$1:$1,0)+1),MATCH(AH$1,[2]characters!$1:$1,0)-MATCH($A$1,[2]characters!$1:$1,0)+1,FALSE)</f>
        <v>アカネ</v>
      </c>
      <c r="AI17" s="14" t="str">
        <f>IF(AE17="NULL","NULL",VLOOKUP(G17,ビット!$A$2:$B$7,2))</f>
        <v>NULL</v>
      </c>
      <c r="AJ17" s="9">
        <v>2</v>
      </c>
      <c r="AK17" s="10" t="str">
        <f t="shared" si="3"/>
        <v>普通</v>
      </c>
      <c r="AL17" s="14" t="str">
        <f ca="1">INDEX(経験値!$A$1:$I$20,MATCH(H17,経験値!$A$1:$A$20,FALSE),MATCH(G17,経験値!$A$1:$I$1,FALSE))</f>
        <v>required_exp_70</v>
      </c>
      <c r="AM17" s="11">
        <f ca="1">VLOOKUP(G17,経験値!$A$27:$B$31,2)</f>
        <v>600</v>
      </c>
      <c r="AN17" s="21">
        <f ca="1">VLOOKUP(G17,ビット!$G$2:$H$7,2)</f>
        <v>150</v>
      </c>
      <c r="AO17" s="64" t="s">
        <v>49</v>
      </c>
      <c r="AP17" s="101">
        <v>300035</v>
      </c>
      <c r="AQ17" s="77" t="e">
        <f ca="1">VLOOKUP($AP17,OFFSET([1]unit_skills!$A$1,0,0,COUNTA([1]unit_skills!$A:$A),MATCH("name",[1]unit_skills!$1:$1,0)-MATCH($AP$1,[1]unit_skills!$1:$1,0)+1),MATCH("name",[1]unit_skills!$1:$1,0)-MATCH($AP$1,[1]unit_skills!$1:$1,0)+1,FALSE)</f>
        <v>#VALUE!</v>
      </c>
      <c r="AR17" s="77" t="e">
        <f ca="1">VLOOKUP($AP17,OFFSET([1]unit_skills!$A$1,0,0,COUNTA([1]unit_skills!$A:$A),MATCH("comment",[1]unit_skills!$1:$1,0)-MATCH($AP$1,[1]unit_skills!$1:$1,0)+1),MATCH("comment",[1]unit_skills!$1:$1,0)-MATCH($AP$1,[1]unit_skills!$1:$1,0)+1,FALSE)</f>
        <v>#VALUE!</v>
      </c>
      <c r="AS17" s="77" t="e">
        <f ca="1">VLOOKUP($AP17,OFFSET([1]unit_skills!$A$1,0,0,COUNTA([1]unit_skills!$A:$A),MATCH(AS$1,[1]unit_skills!$1:$1,0)-MATCH($AP$1,[1]unit_skills!$1:$1,0)+1),MATCH(AS$1,[1]unit_skills!$1:$1,0)-MATCH($AP$1,[1]unit_skills!$1:$1,0)+1,FALSE)</f>
        <v>#VALUE!</v>
      </c>
      <c r="AT17" s="97">
        <v>141402</v>
      </c>
      <c r="AU17" s="77" t="e">
        <f ca="1">VLOOKUP($AT17,OFFSET([1]crash_skills!$A$1,0,0,COUNTA([1]crash_skills!$A:$A),MATCH("name",[1]crash_skills!$1:$1,0)-MATCH($AT$1,[1]crash_skills!$1:$1,0)+1),MATCH("name",[1]crash_skills!$1:$1,0)-MATCH($AT$1,[1]crash_skills!$1:$1,0)+1,FALSE)</f>
        <v>#VALUE!</v>
      </c>
      <c r="AV17" s="77" t="e">
        <f ca="1">VLOOKUP($AT17,OFFSET([1]crash_skills!$A$1,0,0,COUNTA([1]crash_skills!$A:$A),MATCH("comment",[1]crash_skills!$1:$1,0)-MATCH($AT$1,[1]crash_skills!$1:$1,0)+1),MATCH("comment",[1]crash_skills!$1:$1,0)-MATCH($AT$1,[1]crash_skills!$1:$1,0)+1,FALSE)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7" s="77" t="e">
        <f ca="1">VLOOKUP($AT17,OFFSET([1]crash_skills!$A$1,0,0,COUNTA([1]crash_skills!$A:$A),MATCH(AW$1,[1]crash_skills!$1:$1,0)-MATCH($AT$1,[1]crash_skills!$1:$1,0)+1),MATCH(AW$1,[1]crash_skills!$1:$1,0)-MATCH($AT$1,[1]crash_skills!$1:$1,0)+1,FALSE)</f>
        <v>#VALUE!</v>
      </c>
      <c r="AX17" s="81">
        <f ca="1">VLOOKUP($A17,OFFSET([2]characters!$A$1,0,0,COUNTA([2]characters!$A:$A),MATCH(AX$1,[2]characters!$1:$1,0)-MATCH($A$1,[2]characters!$1:$1,0)+1),MATCH(AX$1,[2]characters!$1:$1,0)-MATCH($A$1,[2]characters!$1:$1,0)+1,FALSE)</f>
        <v>3</v>
      </c>
      <c r="AY17" s="19">
        <v>1</v>
      </c>
      <c r="AZ17" s="19">
        <v>1</v>
      </c>
      <c r="BA17" s="19">
        <v>0</v>
      </c>
      <c r="BB17" s="19">
        <v>1</v>
      </c>
      <c r="BC17" s="14">
        <f ca="1">INDEX('RC6SV'!$A$1:$G$20,MATCH(H17,'RC6SV'!$A$1:$A$20,FALSE),MATCH(G17,'RC6SV'!$A$1:$G$1,FALSE))</f>
        <v>2550</v>
      </c>
      <c r="BD17" s="63">
        <f t="shared" ca="1" si="4"/>
        <v>2550</v>
      </c>
      <c r="BE17" s="14">
        <f t="shared" ca="1" si="5"/>
        <v>1750</v>
      </c>
      <c r="BF17" s="14">
        <f t="shared" ca="1" si="6"/>
        <v>1</v>
      </c>
      <c r="BG17" s="20">
        <f ca="1">IF($BE17&lt;=0,ROUND(BK17*0.5,0), ROUND($BE17*S17*AA17*J17*AY17*0.8*[2]ステータス!$B$2,0))</f>
        <v>658</v>
      </c>
      <c r="BH17" s="20">
        <f ca="1">IF($BE17&lt;=0,ROUND(BL17*0.5,0), ROUND($BE17*T17*AB17*K17*AZ17*0.8*[2]ステータス!$C$2,0))</f>
        <v>424</v>
      </c>
      <c r="BI17" s="20">
        <f ca="1">IF($BE17&lt;=0,ROUND(BM17*0.5,0), ROUND($BE17*U17*AC17*L17*BA17*0.8*[2]ステータス!$D$2,0))</f>
        <v>0</v>
      </c>
      <c r="BJ17" s="20">
        <f ca="1">IF($BE17&lt;=0,ROUND(BN17*0.5,0), ROUND($BE17*V17*AD17*M17*BB17*0.8*[2]ステータス!$E$2,0))</f>
        <v>367</v>
      </c>
      <c r="BK17" s="14">
        <f ca="1">ROUND(BD17*S17*AA17*J17*AY17*[2]ステータス!$B$2,0)</f>
        <v>1199</v>
      </c>
      <c r="BL17" s="14">
        <f ca="1">ROUND(BD17*T17*AB17*K17*AZ17*[2]ステータス!$C$2,0)</f>
        <v>772</v>
      </c>
      <c r="BM17" s="14">
        <f ca="1">ROUND(BD17*U17*AC17*L17*BA17*[2]ステータス!$D$2,0)</f>
        <v>0</v>
      </c>
      <c r="BN17" s="14">
        <f ca="1">ROUND(BD17*V17*AD17*M17*BB17*[2]ステータス!$E$2,0)</f>
        <v>668</v>
      </c>
      <c r="BO17" s="13">
        <v>0</v>
      </c>
      <c r="BP17" s="13">
        <v>1</v>
      </c>
      <c r="BQ17" s="13" t="s">
        <v>102</v>
      </c>
      <c r="BR17" s="13">
        <f ca="1">VLOOKUP(H17,ghosts_label!$A$2:$B$19,2,FALSE)</f>
        <v>1</v>
      </c>
    </row>
    <row r="18" spans="1:70" ht="21" customHeight="1" x14ac:dyDescent="0.15">
      <c r="A18" s="14">
        <f t="shared" ca="1" si="0"/>
        <v>17</v>
      </c>
      <c r="B18" s="77" t="str">
        <f ca="1">VLOOKUP($A18,OFFSET([2]characters!$A$1,0,0,COUNTA([2]characters!$A:$A),MATCH(B$1,[2]characters!$1:$1,0)-MATCH($A$1,[2]characters!$1:$1,0)+1),MATCH(B$1,[2]characters!$1:$1,0)-MATCH($A$1,[2]characters!$1:$1,0)+1,FALSE)</f>
        <v>リム</v>
      </c>
      <c r="C18" s="77" t="str">
        <f ca="1">VLOOKUP($A18,OFFSET([2]characters!$A$1,0,0,COUNTA([2]characters!$A:$A),MATCH(C$1,[2]characters!$1:$1,0)-MATCH($A$1,[2]characters!$1:$1,0)+1),MATCH(C$1,[2]characters!$1:$1,0)-MATCH($A$1,[2]characters!$1:$1,0)+1,FALSE)</f>
        <v>ノーマルクエスト</v>
      </c>
      <c r="D18" s="77" t="str">
        <f ca="1">VLOOKUP($A18,OFFSET([2]characters!$A$1,0,0,COUNTA([2]characters!$A:$A),MATCH(D$1,[2]characters!$1:$1,0)-MATCH($A$1,[2]characters!$1:$1,0)+1),MATCH(D$1,[2]characters!$1:$1,0)-MATCH($A$1,[2]characters!$1:$1,0)+1,FALSE)</f>
        <v>アバター</v>
      </c>
      <c r="E18" s="77" t="str">
        <f ca="1">VLOOKUP($A18,OFFSET([2]characters!$A$1,0,0,COUNTA([2]characters!$A:$A),MATCH(E$1,[2]characters!$1:$1,0)-MATCH($A$1,[2]characters!$1:$1,0)+1),MATCH(E$1,[2]characters!$1:$1,0)-MATCH($A$1,[2]characters!$1:$1,0)+1,FALSE)</f>
        <v>世界観</v>
      </c>
      <c r="F18" s="77" t="str">
        <f ca="1">VLOOKUP($A18,OFFSET([2]characters!$A$1,0,0,COUNTA([2]characters!$A:$A),MATCH(F$1,[2]characters!$1:$1,0)-MATCH($A$1,[2]characters!$1:$1,0)+1),MATCH(F$1,[2]characters!$1:$1,0)-MATCH($A$1,[2]characters!$1:$1,0)+1,FALSE)</f>
        <v>女性</v>
      </c>
      <c r="G18" s="77">
        <f ca="1">VLOOKUP($A18,OFFSET([2]characters!$A$1,0,0,COUNTA([2]characters!$A:$A),MATCH(G$1,[2]characters!$1:$1,0)-MATCH($A$1,[2]characters!$1:$1,0)+1),MATCH(G$1,[2]characters!$1:$1,0)-MATCH($A$1,[2]characters!$1:$1,0)+1,FALSE)</f>
        <v>1</v>
      </c>
      <c r="H18" s="77" t="str">
        <f ca="1">VLOOKUP($A18,OFFSET([2]characters!$A$1,0,0,COUNTA([2]characters!$A:$A),MATCH(H$1,[2]characters!$1:$1,0)-MATCH($A$1,[2]characters!$1:$1,0)+1),MATCH(H$1,[2]characters!$1:$1,0)-MATCH($A$1,[2]characters!$1:$1,0)+1,FALSE)</f>
        <v>Drop1W</v>
      </c>
      <c r="I18" s="77" t="str">
        <f ca="1">VLOOKUP($A18,OFFSET([2]characters!$A$1,0,0,COUNTA([2]characters!$A:$A),MATCH(I$1,[2]characters!$1:$1,0)-MATCH($A$1,[2]characters!$1:$1,0)+1),MATCH(I$1,[2]characters!$1:$1,0)-MATCH($A$1,[2]characters!$1:$1,0)+1,FALSE)</f>
        <v>blue</v>
      </c>
      <c r="J18" s="14">
        <f ca="1">VLOOKUP(I18,[2]属性!$A:$E,2,FALSE)</f>
        <v>1</v>
      </c>
      <c r="K18" s="14">
        <f ca="1">VLOOKUP(I18,[2]属性!$A:$E,3,FALSE)</f>
        <v>0.98</v>
      </c>
      <c r="L18" s="14">
        <f ca="1">VLOOKUP(I18,[2]属性!$A:$E,4,FALSE)</f>
        <v>1</v>
      </c>
      <c r="M18" s="14">
        <f ca="1">VLOOKUP(I18,[2]属性!$A:$E,5,FALSE)</f>
        <v>1.02</v>
      </c>
      <c r="N18" s="14">
        <f ca="1">INDEX(コスト!$A$1:$I$20,MATCH(H18,コスト!$A$1:$A$20,FALSE),MATCH(G18,コスト!$A$1:$I$1,FALSE))</f>
        <v>1</v>
      </c>
      <c r="O18" s="14">
        <f ca="1">INDEX(レベル!$A$1:$I$21,MATCH(H18,レベル!$A$1:$A$21,FALSE),MATCH(G18,レベル!$A$1:$I$1,FALSE))</f>
        <v>15</v>
      </c>
      <c r="P18" s="63">
        <f t="shared" ca="1" si="7"/>
        <v>15</v>
      </c>
      <c r="Q18" s="77" t="str">
        <f ca="1">VLOOKUP($A18,OFFSET([2]characters!$A$1,0,0,COUNTA([2]characters!$A:$A),MATCH(Q$1,[2]characters!$1:$1,0)-MATCH($A$1,[2]characters!$1:$1,0)+1),MATCH(Q$1,[2]characters!$1:$1,0)-MATCH($A$1,[2]characters!$1:$1,0)+1,FALSE)</f>
        <v>balance</v>
      </c>
      <c r="R18" s="8" t="str">
        <f ca="1">VLOOKUP(Q18,[2]character_type_i18n!$A:$H,3,FALSE)</f>
        <v>バランスタイプ</v>
      </c>
      <c r="S18" s="14">
        <f ca="1">VLOOKUP(Q18,[2]character_type_i18n!$A:$H,4,FALSE)</f>
        <v>1</v>
      </c>
      <c r="T18" s="14">
        <f ca="1">VLOOKUP(Q18,[2]character_type_i18n!$A:$H,5,FALSE)</f>
        <v>1</v>
      </c>
      <c r="U18" s="14">
        <f ca="1">VLOOKUP(Q18,[2]character_type_i18n!$A:$H,6,FALSE)</f>
        <v>1</v>
      </c>
      <c r="V18" s="14">
        <f ca="1">VLOOKUP(Q18,[2]character_type_i18n!$A:$H,7,FALSE)</f>
        <v>1</v>
      </c>
      <c r="W18" s="77" t="str">
        <f ca="1">VLOOKUP($A18,OFFSET([2]characters!$A$1,0,0,COUNTA([2]characters!$A:$A),MATCH(W$1,[2]characters!$1:$1,0)-MATCH($A$1,[2]characters!$1:$1,0)+1),MATCH(W$1,[2]characters!$1:$1,0)-MATCH($A$1,[2]characters!$1:$1,0)+1,FALSE)</f>
        <v>human</v>
      </c>
      <c r="X18" s="8" t="str">
        <f ca="1">VLOOKUP(W18,[2]character_tribe_i18n!$A:$H,3,FALSE)</f>
        <v>ヒューマン</v>
      </c>
      <c r="Y18" s="77" t="str">
        <f ca="1">VLOOKUP($A18,OFFSET([2]characters!$A$1,0,0,COUNTA([2]characters!$A:$A),MATCH(Y$1,[2]characters!$1:$1,0)-MATCH($A$1,[2]characters!$1:$1,0)+1),MATCH(Y$1,[2]characters!$1:$1,0)-MATCH($A$1,[2]characters!$1:$1,0)+1,FALSE)</f>
        <v>machine</v>
      </c>
      <c r="Z18" s="8" t="str">
        <f ca="1">VLOOKUP(Y18,[2]character_tribe_i18n!$A:$H,3,FALSE)</f>
        <v>マシン</v>
      </c>
      <c r="AA18" s="14">
        <f ca="1">VLOOKUP(W18,[2]character_tribe_i18n!$A:$H,4,FALSE)</f>
        <v>0.94</v>
      </c>
      <c r="AB18" s="14">
        <f ca="1">VLOOKUP(W18,[2]character_tribe_i18n!$A:$H,5,FALSE)</f>
        <v>0.99</v>
      </c>
      <c r="AC18" s="14">
        <f ca="1">VLOOKUP(W18,[2]character_tribe_i18n!$A:$H,6,FALSE)</f>
        <v>1</v>
      </c>
      <c r="AD18" s="14">
        <f ca="1">VLOOKUP(W18,[2]character_tribe_i18n!$A:$H,7,FALSE)</f>
        <v>1.07</v>
      </c>
      <c r="AE18" s="12">
        <v>18</v>
      </c>
      <c r="AF18" s="85" t="str">
        <f ca="1">IF(AE18="NULL","",VLOOKUP($AE18,OFFSET([2]characters!$A$1,0,0,COUNTA([2]characters!$A:$A),MATCH(AF$1,[2]characters!$1:$1,0)-MATCH($A$1,[2]characters!$1:$1,0)+1),MATCH(AF$1,[2]characters!$1:$1,0)-MATCH($A$1,[2]characters!$1:$1,0)+1,FALSE))</f>
        <v>戦闘案内人 リム</v>
      </c>
      <c r="AG18" s="8">
        <f t="shared" ca="1" si="2"/>
        <v>17</v>
      </c>
      <c r="AH18" s="85" t="str">
        <f ca="1">VLOOKUP($AG18,OFFSET([2]characters!$A$1,0,0,COUNTA([2]characters!$A:$A),MATCH(AH$1,[2]characters!$1:$1,0)-MATCH($A$1,[2]characters!$1:$1,0)+1),MATCH(AH$1,[2]characters!$1:$1,0)-MATCH($A$1,[2]characters!$1:$1,0)+1,FALSE)</f>
        <v>リム</v>
      </c>
      <c r="AI18" s="14">
        <f ca="1">IF(AE18="NULL","NULL",VLOOKUP(G18,ビット!$A$2:$B$7,2))</f>
        <v>5000</v>
      </c>
      <c r="AJ18" s="9">
        <v>2</v>
      </c>
      <c r="AK18" s="10" t="str">
        <f t="shared" si="3"/>
        <v>普通</v>
      </c>
      <c r="AL18" s="14" t="str">
        <f ca="1">INDEX(経験値!$A$1:$I$20,MATCH(H18,経験値!$A$1:$A$20,FALSE),MATCH(G18,経験値!$A$1:$I$1,FALSE))</f>
        <v>required_exp_70</v>
      </c>
      <c r="AM18" s="11">
        <f ca="1">VLOOKUP(G18,経験値!$A$27:$B$31,2)</f>
        <v>200</v>
      </c>
      <c r="AN18" s="21">
        <f ca="1">VLOOKUP(G18,ビット!$G$2:$H$7,2)</f>
        <v>75</v>
      </c>
      <c r="AO18" s="64" t="s">
        <v>49</v>
      </c>
      <c r="AP18" s="101">
        <v>300009</v>
      </c>
      <c r="AQ18" s="77" t="e">
        <f ca="1">VLOOKUP($AP18,OFFSET([1]unit_skills!$A$1,0,0,COUNTA([1]unit_skills!$A:$A),MATCH("name",[1]unit_skills!$1:$1,0)-MATCH($AP$1,[1]unit_skills!$1:$1,0)+1),MATCH("name",[1]unit_skills!$1:$1,0)-MATCH($AP$1,[1]unit_skills!$1:$1,0)+1,FALSE)</f>
        <v>#VALUE!</v>
      </c>
      <c r="AR18" s="77" t="e">
        <f ca="1">VLOOKUP($AP18,OFFSET([1]unit_skills!$A$1,0,0,COUNTA([1]unit_skills!$A:$A),MATCH("comment",[1]unit_skills!$1:$1,0)-MATCH($AP$1,[1]unit_skills!$1:$1,0)+1),MATCH("comment",[1]unit_skills!$1:$1,0)-MATCH($AP$1,[1]unit_skills!$1:$1,0)+1,FALSE)</f>
        <v>#VALUE!</v>
      </c>
      <c r="AS18" s="77" t="e">
        <f ca="1">VLOOKUP($AP18,OFFSET([1]unit_skills!$A$1,0,0,COUNTA([1]unit_skills!$A:$A),MATCH(AS$1,[1]unit_skills!$1:$1,0)-MATCH($AP$1,[1]unit_skills!$1:$1,0)+1),MATCH(AS$1,[1]unit_skills!$1:$1,0)-MATCH($AP$1,[1]unit_skills!$1:$1,0)+1,FALSE)</f>
        <v>#VALUE!</v>
      </c>
      <c r="AT18" s="97">
        <v>123001</v>
      </c>
      <c r="AU18" s="77" t="e">
        <f ca="1">VLOOKUP($AT18,OFFSET([1]crash_skills!$A$1,0,0,COUNTA([1]crash_skills!$A:$A),MATCH("name",[1]crash_skills!$1:$1,0)-MATCH($AT$1,[1]crash_skills!$1:$1,0)+1),MATCH("name",[1]crash_skills!$1:$1,0)-MATCH($AT$1,[1]crash_skills!$1:$1,0)+1,FALSE)</f>
        <v>#VALUE!</v>
      </c>
      <c r="AV18" s="77" t="e">
        <f ca="1">VLOOKUP($AT18,OFFSET([1]crash_skills!$A$1,0,0,COUNTA([1]crash_skills!$A:$A),MATCH("comment",[1]crash_skills!$1:$1,0)-MATCH($AT$1,[1]crash_skills!$1:$1,0)+1),MATCH("comment",[1]crash_skills!$1:$1,0)-MATCH($AT$1,[1]crash_skills!$1:$1,0)+1,FALSE)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8" s="77" t="e">
        <f ca="1">VLOOKUP($AT18,OFFSET([1]crash_skills!$A$1,0,0,COUNTA([1]crash_skills!$A:$A),MATCH(AW$1,[1]crash_skills!$1:$1,0)-MATCH($AT$1,[1]crash_skills!$1:$1,0)+1),MATCH(AW$1,[1]crash_skills!$1:$1,0)-MATCH($AT$1,[1]crash_skills!$1:$1,0)+1,FALSE)</f>
        <v>#VALUE!</v>
      </c>
      <c r="AX18" s="81">
        <f ca="1">VLOOKUP($A18,OFFSET([2]characters!$A$1,0,0,COUNTA([2]characters!$A:$A),MATCH(AX$1,[2]characters!$1:$1,0)-MATCH($A$1,[2]characters!$1:$1,0)+1),MATCH(AX$1,[2]characters!$1:$1,0)-MATCH($A$1,[2]characters!$1:$1,0)+1,FALSE)</f>
        <v>3</v>
      </c>
      <c r="AY18" s="19">
        <v>1</v>
      </c>
      <c r="AZ18" s="19">
        <v>1</v>
      </c>
      <c r="BA18" s="19">
        <v>0</v>
      </c>
      <c r="BB18" s="19">
        <v>1</v>
      </c>
      <c r="BC18" s="14">
        <f ca="1">INDEX('RC6SV'!$A$1:$G$20,MATCH(H18,'RC6SV'!$A$1:$A$20,FALSE),MATCH(G18,'RC6SV'!$A$1:$G$1,FALSE))</f>
        <v>1750</v>
      </c>
      <c r="BD18" s="63">
        <f t="shared" ca="1" si="4"/>
        <v>1750</v>
      </c>
      <c r="BE18" s="14">
        <f t="shared" ca="1" si="5"/>
        <v>0</v>
      </c>
      <c r="BF18" s="14">
        <f t="shared" ca="1" si="6"/>
        <v>1</v>
      </c>
      <c r="BG18" s="20">
        <f ca="1">IF($BE18&lt;=0,ROUND(BK18*0.5,0), ROUND($BE18*S18*AA18*J18*AY18*0.8*[2]ステータス!$B$2,0))</f>
        <v>412</v>
      </c>
      <c r="BH18" s="20">
        <f ca="1">IF($BE18&lt;=0,ROUND(BL18*0.5,0), ROUND($BE18*T18*AB18*K18*AZ18*0.8*[2]ステータス!$C$2,0))</f>
        <v>255</v>
      </c>
      <c r="BI18" s="20">
        <f ca="1">IF($BE18&lt;=0,ROUND(BM18*0.5,0), ROUND($BE18*U18*AC18*L18*BA18*0.8*[2]ステータス!$D$2,0))</f>
        <v>0</v>
      </c>
      <c r="BJ18" s="20">
        <f ca="1">IF($BE18&lt;=0,ROUND(BN18*0.5,0), ROUND($BE18*V18*AD18*M18*BB18*0.8*[2]ステータス!$E$2,0))</f>
        <v>239</v>
      </c>
      <c r="BK18" s="14">
        <f ca="1">ROUND(BD18*S18*AA18*J18*AY18*[2]ステータス!$B$2,0)</f>
        <v>823</v>
      </c>
      <c r="BL18" s="14">
        <f ca="1">ROUND(BD18*T18*AB18*K18*AZ18*[2]ステータス!$C$2,0)</f>
        <v>509</v>
      </c>
      <c r="BM18" s="14">
        <f ca="1">ROUND(BD18*U18*AC18*L18*BA18*[2]ステータス!$D$2,0)</f>
        <v>0</v>
      </c>
      <c r="BN18" s="14">
        <f ca="1">ROUND(BD18*V18*AD18*M18*BB18*[2]ステータス!$E$2,0)</f>
        <v>477</v>
      </c>
      <c r="BO18" s="13">
        <v>0</v>
      </c>
      <c r="BP18" s="13">
        <v>1</v>
      </c>
      <c r="BQ18" s="13" t="s">
        <v>102</v>
      </c>
      <c r="BR18" s="13">
        <f ca="1">VLOOKUP(H18,ghosts_label!$A$2:$B$19,2,FALSE)</f>
        <v>1</v>
      </c>
    </row>
    <row r="19" spans="1:70" ht="21" customHeight="1" x14ac:dyDescent="0.15">
      <c r="A19" s="14">
        <f t="shared" ca="1" si="0"/>
        <v>18</v>
      </c>
      <c r="B19" s="77" t="str">
        <f ca="1">VLOOKUP($A19,OFFSET([2]characters!$A$1,0,0,COUNTA([2]characters!$A:$A),MATCH(B$1,[2]characters!$1:$1,0)-MATCH($A$1,[2]characters!$1:$1,0)+1),MATCH(B$1,[2]characters!$1:$1,0)-MATCH($A$1,[2]characters!$1:$1,0)+1,FALSE)</f>
        <v>戦闘案内人 リム</v>
      </c>
      <c r="C19" s="77" t="str">
        <f ca="1">VLOOKUP($A19,OFFSET([2]characters!$A$1,0,0,COUNTA([2]characters!$A:$A),MATCH(C$1,[2]characters!$1:$1,0)-MATCH($A$1,[2]characters!$1:$1,0)+1),MATCH(C$1,[2]characters!$1:$1,0)-MATCH($A$1,[2]characters!$1:$1,0)+1,FALSE)</f>
        <v>ノーマルクエスト</v>
      </c>
      <c r="D19" s="77" t="str">
        <f ca="1">VLOOKUP($A19,OFFSET([2]characters!$A$1,0,0,COUNTA([2]characters!$A:$A),MATCH(D$1,[2]characters!$1:$1,0)-MATCH($A$1,[2]characters!$1:$1,0)+1),MATCH(D$1,[2]characters!$1:$1,0)-MATCH($A$1,[2]characters!$1:$1,0)+1,FALSE)</f>
        <v>アバター</v>
      </c>
      <c r="E19" s="77" t="str">
        <f ca="1">VLOOKUP($A19,OFFSET([2]characters!$A$1,0,0,COUNTA([2]characters!$A:$A),MATCH(E$1,[2]characters!$1:$1,0)-MATCH($A$1,[2]characters!$1:$1,0)+1),MATCH(E$1,[2]characters!$1:$1,0)-MATCH($A$1,[2]characters!$1:$1,0)+1,FALSE)</f>
        <v>世界観</v>
      </c>
      <c r="F19" s="77" t="str">
        <f ca="1">VLOOKUP($A19,OFFSET([2]characters!$A$1,0,0,COUNTA([2]characters!$A:$A),MATCH(F$1,[2]characters!$1:$1,0)-MATCH($A$1,[2]characters!$1:$1,0)+1),MATCH(F$1,[2]characters!$1:$1,0)-MATCH($A$1,[2]characters!$1:$1,0)+1,FALSE)</f>
        <v>女性</v>
      </c>
      <c r="G19" s="77">
        <f ca="1">VLOOKUP($A19,OFFSET([2]characters!$A$1,0,0,COUNTA([2]characters!$A:$A),MATCH(G$1,[2]characters!$1:$1,0)-MATCH($A$1,[2]characters!$1:$1,0)+1),MATCH(G$1,[2]characters!$1:$1,0)-MATCH($A$1,[2]characters!$1:$1,0)+1,FALSE)</f>
        <v>2</v>
      </c>
      <c r="H19" s="77" t="str">
        <f ca="1">VLOOKUP($A19,OFFSET([2]characters!$A$1,0,0,COUNTA([2]characters!$A:$A),MATCH(H$1,[2]characters!$1:$1,0)-MATCH($A$1,[2]characters!$1:$1,0)+1),MATCH(H$1,[2]characters!$1:$1,0)-MATCH($A$1,[2]characters!$1:$1,0)+1,FALSE)</f>
        <v>Drop1W</v>
      </c>
      <c r="I19" s="77" t="str">
        <f ca="1">VLOOKUP($A19,OFFSET([2]characters!$A$1,0,0,COUNTA([2]characters!$A:$A),MATCH(I$1,[2]characters!$1:$1,0)-MATCH($A$1,[2]characters!$1:$1,0)+1),MATCH(I$1,[2]characters!$1:$1,0)-MATCH($A$1,[2]characters!$1:$1,0)+1,FALSE)</f>
        <v>blue</v>
      </c>
      <c r="J19" s="14">
        <f ca="1">VLOOKUP(I19,[2]属性!$A:$E,2,FALSE)</f>
        <v>1</v>
      </c>
      <c r="K19" s="14">
        <f ca="1">VLOOKUP(I19,[2]属性!$A:$E,3,FALSE)</f>
        <v>0.98</v>
      </c>
      <c r="L19" s="14">
        <f ca="1">VLOOKUP(I19,[2]属性!$A:$E,4,FALSE)</f>
        <v>1</v>
      </c>
      <c r="M19" s="14">
        <f ca="1">VLOOKUP(I19,[2]属性!$A:$E,5,FALSE)</f>
        <v>1.02</v>
      </c>
      <c r="N19" s="14">
        <f ca="1">INDEX(コスト!$A$1:$I$20,MATCH(H19,コスト!$A$1:$A$20,FALSE),MATCH(G19,コスト!$A$1:$I$1,FALSE))</f>
        <v>2</v>
      </c>
      <c r="O19" s="14">
        <f ca="1">INDEX(レベル!$A$1:$I$21,MATCH(H19,レベル!$A$1:$A$21,FALSE),MATCH(G19,レベル!$A$1:$I$1,FALSE))</f>
        <v>30</v>
      </c>
      <c r="P19" s="63">
        <f t="shared" ca="1" si="7"/>
        <v>30</v>
      </c>
      <c r="Q19" s="77" t="str">
        <f ca="1">VLOOKUP($A19,OFFSET([2]characters!$A$1,0,0,COUNTA([2]characters!$A:$A),MATCH(Q$1,[2]characters!$1:$1,0)-MATCH($A$1,[2]characters!$1:$1,0)+1),MATCH(Q$1,[2]characters!$1:$1,0)-MATCH($A$1,[2]characters!$1:$1,0)+1,FALSE)</f>
        <v>balance</v>
      </c>
      <c r="R19" s="8" t="str">
        <f ca="1">VLOOKUP(Q19,[2]character_type_i18n!$A:$H,3,FALSE)</f>
        <v>バランスタイプ</v>
      </c>
      <c r="S19" s="14">
        <f ca="1">VLOOKUP(Q19,[2]character_type_i18n!$A:$H,4,FALSE)</f>
        <v>1</v>
      </c>
      <c r="T19" s="14">
        <f ca="1">VLOOKUP(Q19,[2]character_type_i18n!$A:$H,5,FALSE)</f>
        <v>1</v>
      </c>
      <c r="U19" s="14">
        <f ca="1">VLOOKUP(Q19,[2]character_type_i18n!$A:$H,6,FALSE)</f>
        <v>1</v>
      </c>
      <c r="V19" s="14">
        <f ca="1">VLOOKUP(Q19,[2]character_type_i18n!$A:$H,7,FALSE)</f>
        <v>1</v>
      </c>
      <c r="W19" s="77" t="str">
        <f ca="1">VLOOKUP($A19,OFFSET([2]characters!$A$1,0,0,COUNTA([2]characters!$A:$A),MATCH(W$1,[2]characters!$1:$1,0)-MATCH($A$1,[2]characters!$1:$1,0)+1),MATCH(W$1,[2]characters!$1:$1,0)-MATCH($A$1,[2]characters!$1:$1,0)+1,FALSE)</f>
        <v>human</v>
      </c>
      <c r="X19" s="8" t="str">
        <f ca="1">VLOOKUP(W19,[2]character_tribe_i18n!$A:$H,3,FALSE)</f>
        <v>ヒューマン</v>
      </c>
      <c r="Y19" s="77" t="str">
        <f ca="1">VLOOKUP($A19,OFFSET([2]characters!$A$1,0,0,COUNTA([2]characters!$A:$A),MATCH(Y$1,[2]characters!$1:$1,0)-MATCH($A$1,[2]characters!$1:$1,0)+1),MATCH(Y$1,[2]characters!$1:$1,0)-MATCH($A$1,[2]characters!$1:$1,0)+1,FALSE)</f>
        <v>machine</v>
      </c>
      <c r="Z19" s="8" t="str">
        <f ca="1">VLOOKUP(Y19,[2]character_tribe_i18n!$A:$H,3,FALSE)</f>
        <v>マシン</v>
      </c>
      <c r="AA19" s="14">
        <f ca="1">VLOOKUP(W19,[2]character_tribe_i18n!$A:$H,4,FALSE)</f>
        <v>0.94</v>
      </c>
      <c r="AB19" s="14">
        <f ca="1">VLOOKUP(W19,[2]character_tribe_i18n!$A:$H,5,FALSE)</f>
        <v>0.99</v>
      </c>
      <c r="AC19" s="14">
        <f ca="1">VLOOKUP(W19,[2]character_tribe_i18n!$A:$H,6,FALSE)</f>
        <v>1</v>
      </c>
      <c r="AD19" s="14">
        <f ca="1">VLOOKUP(W19,[2]character_tribe_i18n!$A:$H,7,FALSE)</f>
        <v>1.07</v>
      </c>
      <c r="AE19" s="12" t="s">
        <v>102</v>
      </c>
      <c r="AF19" s="85" t="str">
        <f ca="1">IF(AE19="NULL","",VLOOKUP($AE19,OFFSET([2]characters!$A$1,0,0,COUNTA([2]characters!$A:$A),MATCH(AF$1,[2]characters!$1:$1,0)-MATCH($A$1,[2]characters!$1:$1,0)+1),MATCH(AF$1,[2]characters!$1:$1,0)-MATCH($A$1,[2]characters!$1:$1,0)+1,FALSE))</f>
        <v/>
      </c>
      <c r="AG19" s="8">
        <f t="shared" ca="1" si="2"/>
        <v>17</v>
      </c>
      <c r="AH19" s="85" t="str">
        <f ca="1">VLOOKUP($AG19,OFFSET([2]characters!$A$1,0,0,COUNTA([2]characters!$A:$A),MATCH(AH$1,[2]characters!$1:$1,0)-MATCH($A$1,[2]characters!$1:$1,0)+1),MATCH(AH$1,[2]characters!$1:$1,0)-MATCH($A$1,[2]characters!$1:$1,0)+1,FALSE)</f>
        <v>リム</v>
      </c>
      <c r="AI19" s="14" t="str">
        <f>IF(AE19="NULL","NULL",VLOOKUP(G19,ビット!$A$2:$B$7,2))</f>
        <v>NULL</v>
      </c>
      <c r="AJ19" s="9">
        <v>2</v>
      </c>
      <c r="AK19" s="10" t="str">
        <f t="shared" si="3"/>
        <v>普通</v>
      </c>
      <c r="AL19" s="14" t="str">
        <f ca="1">INDEX(経験値!$A$1:$I$20,MATCH(H19,経験値!$A$1:$A$20,FALSE),MATCH(G19,経験値!$A$1:$I$1,FALSE))</f>
        <v>required_exp_70</v>
      </c>
      <c r="AM19" s="11">
        <f ca="1">VLOOKUP(G19,経験値!$A$27:$B$31,2)</f>
        <v>600</v>
      </c>
      <c r="AN19" s="21">
        <f ca="1">VLOOKUP(G19,ビット!$G$2:$H$7,2)</f>
        <v>150</v>
      </c>
      <c r="AO19" s="64" t="s">
        <v>49</v>
      </c>
      <c r="AP19" s="101">
        <v>300010</v>
      </c>
      <c r="AQ19" s="77" t="e">
        <f ca="1">VLOOKUP($AP19,OFFSET([1]unit_skills!$A$1,0,0,COUNTA([1]unit_skills!$A:$A),MATCH("name",[1]unit_skills!$1:$1,0)-MATCH($AP$1,[1]unit_skills!$1:$1,0)+1),MATCH("name",[1]unit_skills!$1:$1,0)-MATCH($AP$1,[1]unit_skills!$1:$1,0)+1,FALSE)</f>
        <v>#VALUE!</v>
      </c>
      <c r="AR19" s="77" t="e">
        <f ca="1">VLOOKUP($AP19,OFFSET([1]unit_skills!$A$1,0,0,COUNTA([1]unit_skills!$A:$A),MATCH("comment",[1]unit_skills!$1:$1,0)-MATCH($AP$1,[1]unit_skills!$1:$1,0)+1),MATCH("comment",[1]unit_skills!$1:$1,0)-MATCH($AP$1,[1]unit_skills!$1:$1,0)+1,FALSE)</f>
        <v>#VALUE!</v>
      </c>
      <c r="AS19" s="77" t="e">
        <f ca="1">VLOOKUP($AP19,OFFSET([1]unit_skills!$A$1,0,0,COUNTA([1]unit_skills!$A:$A),MATCH(AS$1,[1]unit_skills!$1:$1,0)-MATCH($AP$1,[1]unit_skills!$1:$1,0)+1),MATCH(AS$1,[1]unit_skills!$1:$1,0)-MATCH($AP$1,[1]unit_skills!$1:$1,0)+1,FALSE)</f>
        <v>#VALUE!</v>
      </c>
      <c r="AT19" s="97">
        <v>123002</v>
      </c>
      <c r="AU19" s="77" t="e">
        <f ca="1">VLOOKUP($AT19,OFFSET([1]crash_skills!$A$1,0,0,COUNTA([1]crash_skills!$A:$A),MATCH("name",[1]crash_skills!$1:$1,0)-MATCH($AT$1,[1]crash_skills!$1:$1,0)+1),MATCH("name",[1]crash_skills!$1:$1,0)-MATCH($AT$1,[1]crash_skills!$1:$1,0)+1,FALSE)</f>
        <v>#VALUE!</v>
      </c>
      <c r="AV19" s="77" t="e">
        <f ca="1">VLOOKUP($AT19,OFFSET([1]crash_skills!$A$1,0,0,COUNTA([1]crash_skills!$A:$A),MATCH("comment",[1]crash_skills!$1:$1,0)-MATCH($AT$1,[1]crash_skills!$1:$1,0)+1),MATCH("comment",[1]crash_skills!$1:$1,0)-MATCH($AT$1,[1]crash_skills!$1:$1,0)+1,FALSE)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9" s="77" t="e">
        <f ca="1">VLOOKUP($AT19,OFFSET([1]crash_skills!$A$1,0,0,COUNTA([1]crash_skills!$A:$A),MATCH(AW$1,[1]crash_skills!$1:$1,0)-MATCH($AT$1,[1]crash_skills!$1:$1,0)+1),MATCH(AW$1,[1]crash_skills!$1:$1,0)-MATCH($AT$1,[1]crash_skills!$1:$1,0)+1,FALSE)</f>
        <v>#VALUE!</v>
      </c>
      <c r="AX19" s="81">
        <f ca="1">VLOOKUP($A19,OFFSET([2]characters!$A$1,0,0,COUNTA([2]characters!$A:$A),MATCH(AX$1,[2]characters!$1:$1,0)-MATCH($A$1,[2]characters!$1:$1,0)+1),MATCH(AX$1,[2]characters!$1:$1,0)-MATCH($A$1,[2]characters!$1:$1,0)+1,FALSE)</f>
        <v>3</v>
      </c>
      <c r="AY19" s="19">
        <v>1</v>
      </c>
      <c r="AZ19" s="19">
        <v>1</v>
      </c>
      <c r="BA19" s="19">
        <v>0</v>
      </c>
      <c r="BB19" s="19">
        <v>1</v>
      </c>
      <c r="BC19" s="14">
        <f ca="1">INDEX('RC6SV'!$A$1:$G$20,MATCH(H19,'RC6SV'!$A$1:$A$20,FALSE),MATCH(G19,'RC6SV'!$A$1:$G$1,FALSE))</f>
        <v>2550</v>
      </c>
      <c r="BD19" s="63">
        <f t="shared" ca="1" si="4"/>
        <v>2550</v>
      </c>
      <c r="BE19" s="14">
        <f t="shared" ca="1" si="5"/>
        <v>1750</v>
      </c>
      <c r="BF19" s="14">
        <f t="shared" ca="1" si="6"/>
        <v>1</v>
      </c>
      <c r="BG19" s="20">
        <f ca="1">IF($BE19&lt;=0,ROUND(BK19*0.5,0), ROUND($BE19*S19*AA19*J19*AY19*0.8*[2]ステータス!$B$2,0))</f>
        <v>658</v>
      </c>
      <c r="BH19" s="20">
        <f ca="1">IF($BE19&lt;=0,ROUND(BL19*0.5,0), ROUND($BE19*T19*AB19*K19*AZ19*0.8*[2]ステータス!$C$2,0))</f>
        <v>407</v>
      </c>
      <c r="BI19" s="20">
        <f ca="1">IF($BE19&lt;=0,ROUND(BM19*0.5,0), ROUND($BE19*U19*AC19*L19*BA19*0.8*[2]ステータス!$D$2,0))</f>
        <v>0</v>
      </c>
      <c r="BJ19" s="20">
        <f ca="1">IF($BE19&lt;=0,ROUND(BN19*0.5,0), ROUND($BE19*V19*AD19*M19*BB19*0.8*[2]ステータス!$E$2,0))</f>
        <v>382</v>
      </c>
      <c r="BK19" s="14">
        <f ca="1">ROUND(BD19*S19*AA19*J19*AY19*[2]ステータス!$B$2,0)</f>
        <v>1199</v>
      </c>
      <c r="BL19" s="14">
        <f ca="1">ROUND(BD19*T19*AB19*K19*AZ19*[2]ステータス!$C$2,0)</f>
        <v>742</v>
      </c>
      <c r="BM19" s="14">
        <f ca="1">ROUND(BD19*U19*AC19*L19*BA19*[2]ステータス!$D$2,0)</f>
        <v>0</v>
      </c>
      <c r="BN19" s="14">
        <f ca="1">ROUND(BD19*V19*AD19*M19*BB19*[2]ステータス!$E$2,0)</f>
        <v>696</v>
      </c>
      <c r="BO19" s="13">
        <v>0</v>
      </c>
      <c r="BP19" s="13">
        <v>1</v>
      </c>
      <c r="BQ19" s="13" t="s">
        <v>102</v>
      </c>
      <c r="BR19" s="13">
        <f ca="1">VLOOKUP(H19,ghosts_label!$A$2:$B$19,2,FALSE)</f>
        <v>1</v>
      </c>
    </row>
    <row r="20" spans="1:70" ht="21" customHeight="1" x14ac:dyDescent="0.15">
      <c r="A20" s="14">
        <f t="shared" ca="1" si="0"/>
        <v>19</v>
      </c>
      <c r="B20" s="77" t="str">
        <f ca="1">VLOOKUP($A20,OFFSET([2]characters!$A$1,0,0,COUNTA([2]characters!$A:$A),MATCH(B$1,[2]characters!$1:$1,0)-MATCH($A$1,[2]characters!$1:$1,0)+1),MATCH(B$1,[2]characters!$1:$1,0)-MATCH($A$1,[2]characters!$1:$1,0)+1,FALSE)</f>
        <v>ティンク</v>
      </c>
      <c r="C20" s="77" t="str">
        <f ca="1">VLOOKUP($A20,OFFSET([2]characters!$A$1,0,0,COUNTA([2]characters!$A:$A),MATCH(C$1,[2]characters!$1:$1,0)-MATCH($A$1,[2]characters!$1:$1,0)+1),MATCH(C$1,[2]characters!$1:$1,0)-MATCH($A$1,[2]characters!$1:$1,0)+1,FALSE)</f>
        <v>ノーマルクエスト</v>
      </c>
      <c r="D20" s="77" t="str">
        <f ca="1">VLOOKUP($A20,OFFSET([2]characters!$A$1,0,0,COUNTA([2]characters!$A:$A),MATCH(D$1,[2]characters!$1:$1,0)-MATCH($A$1,[2]characters!$1:$1,0)+1),MATCH(D$1,[2]characters!$1:$1,0)-MATCH($A$1,[2]characters!$1:$1,0)+1,FALSE)</f>
        <v>アバター</v>
      </c>
      <c r="E20" s="77" t="str">
        <f ca="1">VLOOKUP($A20,OFFSET([2]characters!$A$1,0,0,COUNTA([2]characters!$A:$A),MATCH(E$1,[2]characters!$1:$1,0)-MATCH($A$1,[2]characters!$1:$1,0)+1),MATCH(E$1,[2]characters!$1:$1,0)-MATCH($A$1,[2]characters!$1:$1,0)+1,FALSE)</f>
        <v>世界観</v>
      </c>
      <c r="F20" s="77" t="str">
        <f ca="1">VLOOKUP($A20,OFFSET([2]characters!$A$1,0,0,COUNTA([2]characters!$A:$A),MATCH(F$1,[2]characters!$1:$1,0)-MATCH($A$1,[2]characters!$1:$1,0)+1),MATCH(F$1,[2]characters!$1:$1,0)-MATCH($A$1,[2]characters!$1:$1,0)+1,FALSE)</f>
        <v>女性</v>
      </c>
      <c r="G20" s="77">
        <f ca="1">VLOOKUP($A20,OFFSET([2]characters!$A$1,0,0,COUNTA([2]characters!$A:$A),MATCH(G$1,[2]characters!$1:$1,0)-MATCH($A$1,[2]characters!$1:$1,0)+1),MATCH(G$1,[2]characters!$1:$1,0)-MATCH($A$1,[2]characters!$1:$1,0)+1,FALSE)</f>
        <v>1</v>
      </c>
      <c r="H20" s="77" t="str">
        <f ca="1">VLOOKUP($A20,OFFSET([2]characters!$A$1,0,0,COUNTA([2]characters!$A:$A),MATCH(H$1,[2]characters!$1:$1,0)-MATCH($A$1,[2]characters!$1:$1,0)+1),MATCH(H$1,[2]characters!$1:$1,0)-MATCH($A$1,[2]characters!$1:$1,0)+1,FALSE)</f>
        <v>Drop1W</v>
      </c>
      <c r="I20" s="77" t="str">
        <f ca="1">VLOOKUP($A20,OFFSET([2]characters!$A$1,0,0,COUNTA([2]characters!$A:$A),MATCH(I$1,[2]characters!$1:$1,0)-MATCH($A$1,[2]characters!$1:$1,0)+1),MATCH(I$1,[2]characters!$1:$1,0)-MATCH($A$1,[2]characters!$1:$1,0)+1,FALSE)</f>
        <v>yellow</v>
      </c>
      <c r="J20" s="14">
        <f ca="1">VLOOKUP(I20,[2]属性!$A:$E,2,FALSE)</f>
        <v>0.98</v>
      </c>
      <c r="K20" s="14">
        <f ca="1">VLOOKUP(I20,[2]属性!$A:$E,3,FALSE)</f>
        <v>1.01</v>
      </c>
      <c r="L20" s="14">
        <f ca="1">VLOOKUP(I20,[2]属性!$A:$E,4,FALSE)</f>
        <v>1</v>
      </c>
      <c r="M20" s="14">
        <f ca="1">VLOOKUP(I20,[2]属性!$A:$E,5,FALSE)</f>
        <v>1.01</v>
      </c>
      <c r="N20" s="14">
        <f ca="1">INDEX(コスト!$A$1:$I$20,MATCH(H20,コスト!$A$1:$A$20,FALSE),MATCH(G20,コスト!$A$1:$I$1,FALSE))</f>
        <v>1</v>
      </c>
      <c r="O20" s="14">
        <f ca="1">INDEX(レベル!$A$1:$I$21,MATCH(H20,レベル!$A$1:$A$21,FALSE),MATCH(G20,レベル!$A$1:$I$1,FALSE))</f>
        <v>15</v>
      </c>
      <c r="P20" s="63">
        <f t="shared" ca="1" si="7"/>
        <v>15</v>
      </c>
      <c r="Q20" s="77" t="str">
        <f ca="1">VLOOKUP($A20,OFFSET([2]characters!$A$1,0,0,COUNTA([2]characters!$A:$A),MATCH(Q$1,[2]characters!$1:$1,0)-MATCH($A$1,[2]characters!$1:$1,0)+1),MATCH(Q$1,[2]characters!$1:$1,0)-MATCH($A$1,[2]characters!$1:$1,0)+1,FALSE)</f>
        <v>balance</v>
      </c>
      <c r="R20" s="8" t="str">
        <f ca="1">VLOOKUP(Q20,[2]character_type_i18n!$A:$H,3,FALSE)</f>
        <v>バランスタイプ</v>
      </c>
      <c r="S20" s="14">
        <f ca="1">VLOOKUP(Q20,[2]character_type_i18n!$A:$H,4,FALSE)</f>
        <v>1</v>
      </c>
      <c r="T20" s="14">
        <f ca="1">VLOOKUP(Q20,[2]character_type_i18n!$A:$H,5,FALSE)</f>
        <v>1</v>
      </c>
      <c r="U20" s="14">
        <f ca="1">VLOOKUP(Q20,[2]character_type_i18n!$A:$H,6,FALSE)</f>
        <v>1</v>
      </c>
      <c r="V20" s="14">
        <f ca="1">VLOOKUP(Q20,[2]character_type_i18n!$A:$H,7,FALSE)</f>
        <v>1</v>
      </c>
      <c r="W20" s="77" t="str">
        <f ca="1">VLOOKUP($A20,OFFSET([2]characters!$A$1,0,0,COUNTA([2]characters!$A:$A),MATCH(W$1,[2]characters!$1:$1,0)-MATCH($A$1,[2]characters!$1:$1,0)+1),MATCH(W$1,[2]characters!$1:$1,0)-MATCH($A$1,[2]characters!$1:$1,0)+1,FALSE)</f>
        <v>human</v>
      </c>
      <c r="X20" s="8" t="str">
        <f ca="1">VLOOKUP(W20,[2]character_tribe_i18n!$A:$H,3,FALSE)</f>
        <v>ヒューマン</v>
      </c>
      <c r="Y20" s="77" t="str">
        <f ca="1">VLOOKUP($A20,OFFSET([2]characters!$A$1,0,0,COUNTA([2]characters!$A:$A),MATCH(Y$1,[2]characters!$1:$1,0)-MATCH($A$1,[2]characters!$1:$1,0)+1),MATCH(Y$1,[2]characters!$1:$1,0)-MATCH($A$1,[2]characters!$1:$1,0)+1,FALSE)</f>
        <v>none</v>
      </c>
      <c r="Z20" s="8" t="str">
        <f ca="1">VLOOKUP(Y20,[2]character_tribe_i18n!$A:$H,3,FALSE)</f>
        <v>種族なし</v>
      </c>
      <c r="AA20" s="14">
        <f ca="1">VLOOKUP(W20,[2]character_tribe_i18n!$A:$H,4,FALSE)</f>
        <v>0.94</v>
      </c>
      <c r="AB20" s="14">
        <f ca="1">VLOOKUP(W20,[2]character_tribe_i18n!$A:$H,5,FALSE)</f>
        <v>0.99</v>
      </c>
      <c r="AC20" s="14">
        <f ca="1">VLOOKUP(W20,[2]character_tribe_i18n!$A:$H,6,FALSE)</f>
        <v>1</v>
      </c>
      <c r="AD20" s="14">
        <f ca="1">VLOOKUP(W20,[2]character_tribe_i18n!$A:$H,7,FALSE)</f>
        <v>1.07</v>
      </c>
      <c r="AE20" s="12">
        <v>20</v>
      </c>
      <c r="AF20" s="85" t="str">
        <f ca="1">IF(AE20="NULL","",VLOOKUP($AE20,OFFSET([2]characters!$A$1,0,0,COUNTA([2]characters!$A:$A),MATCH(AF$1,[2]characters!$1:$1,0)-MATCH($A$1,[2]characters!$1:$1,0)+1),MATCH(AF$1,[2]characters!$1:$1,0)-MATCH($A$1,[2]characters!$1:$1,0)+1,FALSE))</f>
        <v>電子妖精 ティンク</v>
      </c>
      <c r="AG20" s="8">
        <f t="shared" ca="1" si="2"/>
        <v>19</v>
      </c>
      <c r="AH20" s="85" t="str">
        <f ca="1">VLOOKUP($AG20,OFFSET([2]characters!$A$1,0,0,COUNTA([2]characters!$A:$A),MATCH(AH$1,[2]characters!$1:$1,0)-MATCH($A$1,[2]characters!$1:$1,0)+1),MATCH(AH$1,[2]characters!$1:$1,0)-MATCH($A$1,[2]characters!$1:$1,0)+1,FALSE)</f>
        <v>ティンク</v>
      </c>
      <c r="AI20" s="14">
        <f ca="1">IF(AE20="NULL","NULL",VLOOKUP(G20,ビット!$A$2:$B$7,2))</f>
        <v>5000</v>
      </c>
      <c r="AJ20" s="9">
        <v>2</v>
      </c>
      <c r="AK20" s="10" t="str">
        <f t="shared" si="3"/>
        <v>普通</v>
      </c>
      <c r="AL20" s="14" t="str">
        <f ca="1">INDEX(経験値!$A$1:$I$20,MATCH(H20,経験値!$A$1:$A$20,FALSE),MATCH(G20,経験値!$A$1:$I$1,FALSE))</f>
        <v>required_exp_70</v>
      </c>
      <c r="AM20" s="11">
        <f ca="1">VLOOKUP(G20,経験値!$A$27:$B$31,2)</f>
        <v>200</v>
      </c>
      <c r="AN20" s="21">
        <f ca="1">VLOOKUP(G20,ビット!$G$2:$H$7,2)</f>
        <v>75</v>
      </c>
      <c r="AO20" s="64" t="s">
        <v>49</v>
      </c>
      <c r="AP20" s="101">
        <v>300005</v>
      </c>
      <c r="AQ20" s="77" t="e">
        <f ca="1">VLOOKUP($AP20,OFFSET([1]unit_skills!$A$1,0,0,COUNTA([1]unit_skills!$A:$A),MATCH("name",[1]unit_skills!$1:$1,0)-MATCH($AP$1,[1]unit_skills!$1:$1,0)+1),MATCH("name",[1]unit_skills!$1:$1,0)-MATCH($AP$1,[1]unit_skills!$1:$1,0)+1,FALSE)</f>
        <v>#VALUE!</v>
      </c>
      <c r="AR20" s="77" t="e">
        <f ca="1">VLOOKUP($AP20,OFFSET([1]unit_skills!$A$1,0,0,COUNTA([1]unit_skills!$A:$A),MATCH("comment",[1]unit_skills!$1:$1,0)-MATCH($AP$1,[1]unit_skills!$1:$1,0)+1),MATCH("comment",[1]unit_skills!$1:$1,0)-MATCH($AP$1,[1]unit_skills!$1:$1,0)+1,FALSE)</f>
        <v>#VALUE!</v>
      </c>
      <c r="AS20" s="77" t="e">
        <f ca="1">VLOOKUP($AP20,OFFSET([1]unit_skills!$A$1,0,0,COUNTA([1]unit_skills!$A:$A),MATCH(AS$1,[1]unit_skills!$1:$1,0)-MATCH($AP$1,[1]unit_skills!$1:$1,0)+1),MATCH(AS$1,[1]unit_skills!$1:$1,0)-MATCH($AP$1,[1]unit_skills!$1:$1,0)+1,FALSE)</f>
        <v>#VALUE!</v>
      </c>
      <c r="AT20" s="97">
        <v>454001</v>
      </c>
      <c r="AU20" s="77" t="e">
        <f ca="1">VLOOKUP($AT20,OFFSET([1]crash_skills!$A$1,0,0,COUNTA([1]crash_skills!$A:$A),MATCH("name",[1]crash_skills!$1:$1,0)-MATCH($AT$1,[1]crash_skills!$1:$1,0)+1),MATCH("name",[1]crash_skills!$1:$1,0)-MATCH($AT$1,[1]crash_skills!$1:$1,0)+1,FALSE)</f>
        <v>#VALUE!</v>
      </c>
      <c r="AV20" s="77" t="e">
        <f ca="1">VLOOKUP($AT20,OFFSET([1]crash_skills!$A$1,0,0,COUNTA([1]crash_skills!$A:$A),MATCH("comment",[1]crash_skills!$1:$1,0)-MATCH($AT$1,[1]crash_skills!$1:$1,0)+1),MATCH("comment",[1]crash_skills!$1:$1,0)-MATCH($AT$1,[1]crash_skills!$1:$1,0)+1,FALSE)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0" s="77" t="e">
        <f ca="1">VLOOKUP($AT20,OFFSET([1]crash_skills!$A$1,0,0,COUNTA([1]crash_skills!$A:$A),MATCH(AW$1,[1]crash_skills!$1:$1,0)-MATCH($AT$1,[1]crash_skills!$1:$1,0)+1),MATCH(AW$1,[1]crash_skills!$1:$1,0)-MATCH($AT$1,[1]crash_skills!$1:$1,0)+1,FALSE)</f>
        <v>#VALUE!</v>
      </c>
      <c r="AX20" s="81">
        <f ca="1">VLOOKUP($A20,OFFSET([2]characters!$A$1,0,0,COUNTA([2]characters!$A:$A),MATCH(AX$1,[2]characters!$1:$1,0)-MATCH($A$1,[2]characters!$1:$1,0)+1),MATCH(AX$1,[2]characters!$1:$1,0)-MATCH($A$1,[2]characters!$1:$1,0)+1,FALSE)</f>
        <v>3</v>
      </c>
      <c r="AY20" s="19">
        <v>1</v>
      </c>
      <c r="AZ20" s="19">
        <v>1</v>
      </c>
      <c r="BA20" s="19">
        <v>0</v>
      </c>
      <c r="BB20" s="19">
        <v>1</v>
      </c>
      <c r="BC20" s="14">
        <f ca="1">INDEX('RC6SV'!$A$1:$G$20,MATCH(H20,'RC6SV'!$A$1:$A$20,FALSE),MATCH(G20,'RC6SV'!$A$1:$G$1,FALSE))</f>
        <v>1750</v>
      </c>
      <c r="BD20" s="63">
        <f t="shared" ca="1" si="4"/>
        <v>1750</v>
      </c>
      <c r="BE20" s="14">
        <f t="shared" ca="1" si="5"/>
        <v>0</v>
      </c>
      <c r="BF20" s="14">
        <f t="shared" ca="1" si="6"/>
        <v>1</v>
      </c>
      <c r="BG20" s="20">
        <f ca="1">IF($BE20&lt;=0,ROUND(BK20*0.5,0), ROUND($BE20*S20*AA20*J20*AY20*0.8*[2]ステータス!$B$2,0))</f>
        <v>403</v>
      </c>
      <c r="BH20" s="20">
        <f ca="1">IF($BE20&lt;=0,ROUND(BL20*0.5,0), ROUND($BE20*T20*AB20*K20*AZ20*0.8*[2]ステータス!$C$2,0))</f>
        <v>263</v>
      </c>
      <c r="BI20" s="20">
        <f ca="1">IF($BE20&lt;=0,ROUND(BM20*0.5,0), ROUND($BE20*U20*AC20*L20*BA20*0.8*[2]ステータス!$D$2,0))</f>
        <v>0</v>
      </c>
      <c r="BJ20" s="20">
        <f ca="1">IF($BE20&lt;=0,ROUND(BN20*0.5,0), ROUND($BE20*V20*AD20*M20*BB20*0.8*[2]ステータス!$E$2,0))</f>
        <v>237</v>
      </c>
      <c r="BK20" s="14">
        <f ca="1">ROUND(BD20*S20*AA20*J20*AY20*[2]ステータス!$B$2,0)</f>
        <v>806</v>
      </c>
      <c r="BL20" s="14">
        <f ca="1">ROUND(BD20*T20*AB20*K20*AZ20*[2]ステータス!$C$2,0)</f>
        <v>525</v>
      </c>
      <c r="BM20" s="14">
        <f ca="1">ROUND(BD20*U20*AC20*L20*BA20*[2]ステータス!$D$2,0)</f>
        <v>0</v>
      </c>
      <c r="BN20" s="14">
        <f ca="1">ROUND(BD20*V20*AD20*M20*BB20*[2]ステータス!$E$2,0)</f>
        <v>473</v>
      </c>
      <c r="BO20" s="13">
        <v>0</v>
      </c>
      <c r="BP20" s="13">
        <v>1</v>
      </c>
      <c r="BQ20" s="13" t="s">
        <v>102</v>
      </c>
      <c r="BR20" s="13">
        <f ca="1">VLOOKUP(H20,ghosts_label!$A$2:$B$19,2,FALSE)</f>
        <v>1</v>
      </c>
    </row>
    <row r="21" spans="1:70" ht="21" customHeight="1" x14ac:dyDescent="0.15">
      <c r="A21" s="14">
        <f t="shared" ca="1" si="0"/>
        <v>20</v>
      </c>
      <c r="B21" s="77" t="str">
        <f ca="1">VLOOKUP($A21,OFFSET([2]characters!$A$1,0,0,COUNTA([2]characters!$A:$A),MATCH(B$1,[2]characters!$1:$1,0)-MATCH($A$1,[2]characters!$1:$1,0)+1),MATCH(B$1,[2]characters!$1:$1,0)-MATCH($A$1,[2]characters!$1:$1,0)+1,FALSE)</f>
        <v>電子妖精 ティンク</v>
      </c>
      <c r="C21" s="77" t="str">
        <f ca="1">VLOOKUP($A21,OFFSET([2]characters!$A$1,0,0,COUNTA([2]characters!$A:$A),MATCH(C$1,[2]characters!$1:$1,0)-MATCH($A$1,[2]characters!$1:$1,0)+1),MATCH(C$1,[2]characters!$1:$1,0)-MATCH($A$1,[2]characters!$1:$1,0)+1,FALSE)</f>
        <v>ノーマルクエスト</v>
      </c>
      <c r="D21" s="77" t="str">
        <f ca="1">VLOOKUP($A21,OFFSET([2]characters!$A$1,0,0,COUNTA([2]characters!$A:$A),MATCH(D$1,[2]characters!$1:$1,0)-MATCH($A$1,[2]characters!$1:$1,0)+1),MATCH(D$1,[2]characters!$1:$1,0)-MATCH($A$1,[2]characters!$1:$1,0)+1,FALSE)</f>
        <v>アバター</v>
      </c>
      <c r="E21" s="77" t="str">
        <f ca="1">VLOOKUP($A21,OFFSET([2]characters!$A$1,0,0,COUNTA([2]characters!$A:$A),MATCH(E$1,[2]characters!$1:$1,0)-MATCH($A$1,[2]characters!$1:$1,0)+1),MATCH(E$1,[2]characters!$1:$1,0)-MATCH($A$1,[2]characters!$1:$1,0)+1,FALSE)</f>
        <v>世界観</v>
      </c>
      <c r="F21" s="77" t="str">
        <f ca="1">VLOOKUP($A21,OFFSET([2]characters!$A$1,0,0,COUNTA([2]characters!$A:$A),MATCH(F$1,[2]characters!$1:$1,0)-MATCH($A$1,[2]characters!$1:$1,0)+1),MATCH(F$1,[2]characters!$1:$1,0)-MATCH($A$1,[2]characters!$1:$1,0)+1,FALSE)</f>
        <v>女性</v>
      </c>
      <c r="G21" s="77">
        <f ca="1">VLOOKUP($A21,OFFSET([2]characters!$A$1,0,0,COUNTA([2]characters!$A:$A),MATCH(G$1,[2]characters!$1:$1,0)-MATCH($A$1,[2]characters!$1:$1,0)+1),MATCH(G$1,[2]characters!$1:$1,0)-MATCH($A$1,[2]characters!$1:$1,0)+1,FALSE)</f>
        <v>2</v>
      </c>
      <c r="H21" s="77" t="str">
        <f ca="1">VLOOKUP($A21,OFFSET([2]characters!$A$1,0,0,COUNTA([2]characters!$A:$A),MATCH(H$1,[2]characters!$1:$1,0)-MATCH($A$1,[2]characters!$1:$1,0)+1),MATCH(H$1,[2]characters!$1:$1,0)-MATCH($A$1,[2]characters!$1:$1,0)+1,FALSE)</f>
        <v>Drop1W</v>
      </c>
      <c r="I21" s="77" t="str">
        <f ca="1">VLOOKUP($A21,OFFSET([2]characters!$A$1,0,0,COUNTA([2]characters!$A:$A),MATCH(I$1,[2]characters!$1:$1,0)-MATCH($A$1,[2]characters!$1:$1,0)+1),MATCH(I$1,[2]characters!$1:$1,0)-MATCH($A$1,[2]characters!$1:$1,0)+1,FALSE)</f>
        <v>yellow</v>
      </c>
      <c r="J21" s="14">
        <f ca="1">VLOOKUP(I21,[2]属性!$A:$E,2,FALSE)</f>
        <v>0.98</v>
      </c>
      <c r="K21" s="14">
        <f ca="1">VLOOKUP(I21,[2]属性!$A:$E,3,FALSE)</f>
        <v>1.01</v>
      </c>
      <c r="L21" s="14">
        <f ca="1">VLOOKUP(I21,[2]属性!$A:$E,4,FALSE)</f>
        <v>1</v>
      </c>
      <c r="M21" s="14">
        <f ca="1">VLOOKUP(I21,[2]属性!$A:$E,5,FALSE)</f>
        <v>1.01</v>
      </c>
      <c r="N21" s="14">
        <f ca="1">INDEX(コスト!$A$1:$I$20,MATCH(H21,コスト!$A$1:$A$20,FALSE),MATCH(G21,コスト!$A$1:$I$1,FALSE))</f>
        <v>2</v>
      </c>
      <c r="O21" s="14">
        <f ca="1">INDEX(レベル!$A$1:$I$21,MATCH(H21,レベル!$A$1:$A$21,FALSE),MATCH(G21,レベル!$A$1:$I$1,FALSE))</f>
        <v>30</v>
      </c>
      <c r="P21" s="63">
        <f t="shared" ca="1" si="7"/>
        <v>30</v>
      </c>
      <c r="Q21" s="77" t="str">
        <f ca="1">VLOOKUP($A21,OFFSET([2]characters!$A$1,0,0,COUNTA([2]characters!$A:$A),MATCH(Q$1,[2]characters!$1:$1,0)-MATCH($A$1,[2]characters!$1:$1,0)+1),MATCH(Q$1,[2]characters!$1:$1,0)-MATCH($A$1,[2]characters!$1:$1,0)+1,FALSE)</f>
        <v>balance</v>
      </c>
      <c r="R21" s="8" t="str">
        <f ca="1">VLOOKUP(Q21,[2]character_type_i18n!$A:$H,3,FALSE)</f>
        <v>バランスタイプ</v>
      </c>
      <c r="S21" s="14">
        <f ca="1">VLOOKUP(Q21,[2]character_type_i18n!$A:$H,4,FALSE)</f>
        <v>1</v>
      </c>
      <c r="T21" s="14">
        <f ca="1">VLOOKUP(Q21,[2]character_type_i18n!$A:$H,5,FALSE)</f>
        <v>1</v>
      </c>
      <c r="U21" s="14">
        <f ca="1">VLOOKUP(Q21,[2]character_type_i18n!$A:$H,6,FALSE)</f>
        <v>1</v>
      </c>
      <c r="V21" s="14">
        <f ca="1">VLOOKUP(Q21,[2]character_type_i18n!$A:$H,7,FALSE)</f>
        <v>1</v>
      </c>
      <c r="W21" s="77" t="str">
        <f ca="1">VLOOKUP($A21,OFFSET([2]characters!$A$1,0,0,COUNTA([2]characters!$A:$A),MATCH(W$1,[2]characters!$1:$1,0)-MATCH($A$1,[2]characters!$1:$1,0)+1),MATCH(W$1,[2]characters!$1:$1,0)-MATCH($A$1,[2]characters!$1:$1,0)+1,FALSE)</f>
        <v>human</v>
      </c>
      <c r="X21" s="8" t="str">
        <f ca="1">VLOOKUP(W21,[2]character_tribe_i18n!$A:$H,3,FALSE)</f>
        <v>ヒューマン</v>
      </c>
      <c r="Y21" s="77" t="str">
        <f ca="1">VLOOKUP($A21,OFFSET([2]characters!$A$1,0,0,COUNTA([2]characters!$A:$A),MATCH(Y$1,[2]characters!$1:$1,0)-MATCH($A$1,[2]characters!$1:$1,0)+1),MATCH(Y$1,[2]characters!$1:$1,0)-MATCH($A$1,[2]characters!$1:$1,0)+1,FALSE)</f>
        <v>none</v>
      </c>
      <c r="Z21" s="8" t="str">
        <f ca="1">VLOOKUP(Y21,[2]character_tribe_i18n!$A:$H,3,FALSE)</f>
        <v>種族なし</v>
      </c>
      <c r="AA21" s="14">
        <f ca="1">VLOOKUP(W21,[2]character_tribe_i18n!$A:$H,4,FALSE)</f>
        <v>0.94</v>
      </c>
      <c r="AB21" s="14">
        <f ca="1">VLOOKUP(W21,[2]character_tribe_i18n!$A:$H,5,FALSE)</f>
        <v>0.99</v>
      </c>
      <c r="AC21" s="14">
        <f ca="1">VLOOKUP(W21,[2]character_tribe_i18n!$A:$H,6,FALSE)</f>
        <v>1</v>
      </c>
      <c r="AD21" s="14">
        <f ca="1">VLOOKUP(W21,[2]character_tribe_i18n!$A:$H,7,FALSE)</f>
        <v>1.07</v>
      </c>
      <c r="AE21" s="12" t="s">
        <v>102</v>
      </c>
      <c r="AF21" s="85" t="str">
        <f ca="1">IF(AE21="NULL","",VLOOKUP($AE21,OFFSET([2]characters!$A$1,0,0,COUNTA([2]characters!$A:$A),MATCH(AF$1,[2]characters!$1:$1,0)-MATCH($A$1,[2]characters!$1:$1,0)+1),MATCH(AF$1,[2]characters!$1:$1,0)-MATCH($A$1,[2]characters!$1:$1,0)+1,FALSE))</f>
        <v/>
      </c>
      <c r="AG21" s="8">
        <f t="shared" ca="1" si="2"/>
        <v>19</v>
      </c>
      <c r="AH21" s="85" t="str">
        <f ca="1">VLOOKUP($AG21,OFFSET([2]characters!$A$1,0,0,COUNTA([2]characters!$A:$A),MATCH(AH$1,[2]characters!$1:$1,0)-MATCH($A$1,[2]characters!$1:$1,0)+1),MATCH(AH$1,[2]characters!$1:$1,0)-MATCH($A$1,[2]characters!$1:$1,0)+1,FALSE)</f>
        <v>ティンク</v>
      </c>
      <c r="AI21" s="14" t="str">
        <f>IF(AE21="NULL","NULL",VLOOKUP(G21,ビット!$A$2:$B$7,2))</f>
        <v>NULL</v>
      </c>
      <c r="AJ21" s="9">
        <v>2</v>
      </c>
      <c r="AK21" s="10" t="str">
        <f t="shared" si="3"/>
        <v>普通</v>
      </c>
      <c r="AL21" s="14" t="str">
        <f ca="1">INDEX(経験値!$A$1:$I$20,MATCH(H21,経験値!$A$1:$A$20,FALSE),MATCH(G21,経験値!$A$1:$I$1,FALSE))</f>
        <v>required_exp_70</v>
      </c>
      <c r="AM21" s="11">
        <f ca="1">VLOOKUP(G21,経験値!$A$27:$B$31,2)</f>
        <v>600</v>
      </c>
      <c r="AN21" s="21">
        <f ca="1">VLOOKUP(G21,ビット!$G$2:$H$7,2)</f>
        <v>150</v>
      </c>
      <c r="AO21" s="64" t="s">
        <v>49</v>
      </c>
      <c r="AP21" s="101">
        <v>300006</v>
      </c>
      <c r="AQ21" s="77" t="e">
        <f ca="1">VLOOKUP($AP21,OFFSET([1]unit_skills!$A$1,0,0,COUNTA([1]unit_skills!$A:$A),MATCH("name",[1]unit_skills!$1:$1,0)-MATCH($AP$1,[1]unit_skills!$1:$1,0)+1),MATCH("name",[1]unit_skills!$1:$1,0)-MATCH($AP$1,[1]unit_skills!$1:$1,0)+1,FALSE)</f>
        <v>#VALUE!</v>
      </c>
      <c r="AR21" s="77" t="e">
        <f ca="1">VLOOKUP($AP21,OFFSET([1]unit_skills!$A$1,0,0,COUNTA([1]unit_skills!$A:$A),MATCH("comment",[1]unit_skills!$1:$1,0)-MATCH($AP$1,[1]unit_skills!$1:$1,0)+1),MATCH("comment",[1]unit_skills!$1:$1,0)-MATCH($AP$1,[1]unit_skills!$1:$1,0)+1,FALSE)</f>
        <v>#VALUE!</v>
      </c>
      <c r="AS21" s="77" t="e">
        <f ca="1">VLOOKUP($AP21,OFFSET([1]unit_skills!$A$1,0,0,COUNTA([1]unit_skills!$A:$A),MATCH(AS$1,[1]unit_skills!$1:$1,0)-MATCH($AP$1,[1]unit_skills!$1:$1,0)+1),MATCH(AS$1,[1]unit_skills!$1:$1,0)-MATCH($AP$1,[1]unit_skills!$1:$1,0)+1,FALSE)</f>
        <v>#VALUE!</v>
      </c>
      <c r="AT21" s="97">
        <v>454002</v>
      </c>
      <c r="AU21" s="77" t="e">
        <f ca="1">VLOOKUP($AT21,OFFSET([1]crash_skills!$A$1,0,0,COUNTA([1]crash_skills!$A:$A),MATCH("name",[1]crash_skills!$1:$1,0)-MATCH($AT$1,[1]crash_skills!$1:$1,0)+1),MATCH("name",[1]crash_skills!$1:$1,0)-MATCH($AT$1,[1]crash_skills!$1:$1,0)+1,FALSE)</f>
        <v>#VALUE!</v>
      </c>
      <c r="AV21" s="77" t="e">
        <f ca="1">VLOOKUP($AT21,OFFSET([1]crash_skills!$A$1,0,0,COUNTA([1]crash_skills!$A:$A),MATCH("comment",[1]crash_skills!$1:$1,0)-MATCH($AT$1,[1]crash_skills!$1:$1,0)+1),MATCH("comment",[1]crash_skills!$1:$1,0)-MATCH($AT$1,[1]crash_skills!$1:$1,0)+1,FALSE)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1" s="77" t="e">
        <f ca="1">VLOOKUP($AT21,OFFSET([1]crash_skills!$A$1,0,0,COUNTA([1]crash_skills!$A:$A),MATCH(AW$1,[1]crash_skills!$1:$1,0)-MATCH($AT$1,[1]crash_skills!$1:$1,0)+1),MATCH(AW$1,[1]crash_skills!$1:$1,0)-MATCH($AT$1,[1]crash_skills!$1:$1,0)+1,FALSE)</f>
        <v>#VALUE!</v>
      </c>
      <c r="AX21" s="81">
        <f ca="1">VLOOKUP($A21,OFFSET([2]characters!$A$1,0,0,COUNTA([2]characters!$A:$A),MATCH(AX$1,[2]characters!$1:$1,0)-MATCH($A$1,[2]characters!$1:$1,0)+1),MATCH(AX$1,[2]characters!$1:$1,0)-MATCH($A$1,[2]characters!$1:$1,0)+1,FALSE)</f>
        <v>3</v>
      </c>
      <c r="AY21" s="19">
        <v>1</v>
      </c>
      <c r="AZ21" s="19">
        <v>1</v>
      </c>
      <c r="BA21" s="19">
        <v>0</v>
      </c>
      <c r="BB21" s="19">
        <v>1</v>
      </c>
      <c r="BC21" s="14">
        <f ca="1">INDEX('RC6SV'!$A$1:$G$20,MATCH(H21,'RC6SV'!$A$1:$A$20,FALSE),MATCH(G21,'RC6SV'!$A$1:$G$1,FALSE))</f>
        <v>2550</v>
      </c>
      <c r="BD21" s="63">
        <f t="shared" ca="1" si="4"/>
        <v>2550</v>
      </c>
      <c r="BE21" s="14">
        <f t="shared" ca="1" si="5"/>
        <v>1750</v>
      </c>
      <c r="BF21" s="14">
        <f t="shared" ca="1" si="6"/>
        <v>1</v>
      </c>
      <c r="BG21" s="20">
        <f ca="1">IF($BE21&lt;=0,ROUND(BK21*0.5,0), ROUND($BE21*S21*AA21*J21*AY21*0.8*[2]ステータス!$B$2,0))</f>
        <v>645</v>
      </c>
      <c r="BH21" s="20">
        <f ca="1">IF($BE21&lt;=0,ROUND(BL21*0.5,0), ROUND($BE21*T21*AB21*K21*AZ21*0.8*[2]ステータス!$C$2,0))</f>
        <v>420</v>
      </c>
      <c r="BI21" s="20">
        <f ca="1">IF($BE21&lt;=0,ROUND(BM21*0.5,0), ROUND($BE21*U21*AC21*L21*BA21*0.8*[2]ステータス!$D$2,0))</f>
        <v>0</v>
      </c>
      <c r="BJ21" s="20">
        <f ca="1">IF($BE21&lt;=0,ROUND(BN21*0.5,0), ROUND($BE21*V21*AD21*M21*BB21*0.8*[2]ステータス!$E$2,0))</f>
        <v>378</v>
      </c>
      <c r="BK21" s="14">
        <f ca="1">ROUND(BD21*S21*AA21*J21*AY21*[2]ステータス!$B$2,0)</f>
        <v>1175</v>
      </c>
      <c r="BL21" s="14">
        <f ca="1">ROUND(BD21*T21*AB21*K21*AZ21*[2]ステータス!$C$2,0)</f>
        <v>765</v>
      </c>
      <c r="BM21" s="14">
        <f ca="1">ROUND(BD21*U21*AC21*L21*BA21*[2]ステータス!$D$2,0)</f>
        <v>0</v>
      </c>
      <c r="BN21" s="14">
        <f ca="1">ROUND(BD21*V21*AD21*M21*BB21*[2]ステータス!$E$2,0)</f>
        <v>689</v>
      </c>
      <c r="BO21" s="13">
        <v>0</v>
      </c>
      <c r="BP21" s="13">
        <v>1</v>
      </c>
      <c r="BQ21" s="13" t="s">
        <v>102</v>
      </c>
      <c r="BR21" s="13">
        <f ca="1">VLOOKUP(H21,ghosts_label!$A$2:$B$19,2,FALSE)</f>
        <v>1</v>
      </c>
    </row>
    <row r="22" spans="1:70" ht="21" customHeight="1" x14ac:dyDescent="0.15">
      <c r="A22" s="14">
        <f t="shared" ca="1" si="0"/>
        <v>21</v>
      </c>
      <c r="B22" s="77" t="str">
        <f ca="1">VLOOKUP($A22,OFFSET([2]characters!$A$1,0,0,COUNTA([2]characters!$A:$A),MATCH(B$1,[2]characters!$1:$1,0)-MATCH($A$1,[2]characters!$1:$1,0)+1),MATCH(B$1,[2]characters!$1:$1,0)-MATCH($A$1,[2]characters!$1:$1,0)+1,FALSE)</f>
        <v>ヴェロキー</v>
      </c>
      <c r="C22" s="77" t="str">
        <f ca="1">VLOOKUP($A22,OFFSET([2]characters!$A$1,0,0,COUNTA([2]characters!$A:$A),MATCH(C$1,[2]characters!$1:$1,0)-MATCH($A$1,[2]characters!$1:$1,0)+1),MATCH(C$1,[2]characters!$1:$1,0)-MATCH($A$1,[2]characters!$1:$1,0)+1,FALSE)</f>
        <v>ノーマルクエスト</v>
      </c>
      <c r="D22" s="77" t="str">
        <f ca="1">VLOOKUP($A22,OFFSET([2]characters!$A$1,0,0,COUNTA([2]characters!$A:$A),MATCH(D$1,[2]characters!$1:$1,0)-MATCH($A$1,[2]characters!$1:$1,0)+1),MATCH(D$1,[2]characters!$1:$1,0)-MATCH($A$1,[2]characters!$1:$1,0)+1,FALSE)</f>
        <v>アバター</v>
      </c>
      <c r="E22" s="77" t="str">
        <f ca="1">VLOOKUP($A22,OFFSET([2]characters!$A$1,0,0,COUNTA([2]characters!$A:$A),MATCH(E$1,[2]characters!$1:$1,0)-MATCH($A$1,[2]characters!$1:$1,0)+1),MATCH(E$1,[2]characters!$1:$1,0)-MATCH($A$1,[2]characters!$1:$1,0)+1,FALSE)</f>
        <v>世界観</v>
      </c>
      <c r="F22" s="77" t="str">
        <f ca="1">VLOOKUP($A22,OFFSET([2]characters!$A$1,0,0,COUNTA([2]characters!$A:$A),MATCH(F$1,[2]characters!$1:$1,0)-MATCH($A$1,[2]characters!$1:$1,0)+1),MATCH(F$1,[2]characters!$1:$1,0)-MATCH($A$1,[2]characters!$1:$1,0)+1,FALSE)</f>
        <v>不明</v>
      </c>
      <c r="G22" s="77">
        <f ca="1">VLOOKUP($A22,OFFSET([2]characters!$A$1,0,0,COUNTA([2]characters!$A:$A),MATCH(G$1,[2]characters!$1:$1,0)-MATCH($A$1,[2]characters!$1:$1,0)+1),MATCH(G$1,[2]characters!$1:$1,0)-MATCH($A$1,[2]characters!$1:$1,0)+1,FALSE)</f>
        <v>1</v>
      </c>
      <c r="H22" s="77" t="str">
        <f ca="1">VLOOKUP($A22,OFFSET([2]characters!$A$1,0,0,COUNTA([2]characters!$A:$A),MATCH(H$1,[2]characters!$1:$1,0)-MATCH($A$1,[2]characters!$1:$1,0)+1),MATCH(H$1,[2]characters!$1:$1,0)-MATCH($A$1,[2]characters!$1:$1,0)+1,FALSE)</f>
        <v>Drop1N</v>
      </c>
      <c r="I22" s="77" t="str">
        <f ca="1">VLOOKUP($A22,OFFSET([2]characters!$A$1,0,0,COUNTA([2]characters!$A:$A),MATCH(I$1,[2]characters!$1:$1,0)-MATCH($A$1,[2]characters!$1:$1,0)+1),MATCH(I$1,[2]characters!$1:$1,0)-MATCH($A$1,[2]characters!$1:$1,0)+1,FALSE)</f>
        <v>red</v>
      </c>
      <c r="J22" s="14">
        <f ca="1">VLOOKUP(I22,[2]属性!$A:$E,2,FALSE)</f>
        <v>1</v>
      </c>
      <c r="K22" s="14">
        <f ca="1">VLOOKUP(I22,[2]属性!$A:$E,3,FALSE)</f>
        <v>1.02</v>
      </c>
      <c r="L22" s="14">
        <f ca="1">VLOOKUP(I22,[2]属性!$A:$E,4,FALSE)</f>
        <v>1</v>
      </c>
      <c r="M22" s="14">
        <f ca="1">VLOOKUP(I22,[2]属性!$A:$E,5,FALSE)</f>
        <v>0.98</v>
      </c>
      <c r="N22" s="14">
        <f ca="1">INDEX(コスト!$A$1:$I$20,MATCH(H22,コスト!$A$1:$A$20,FALSE),MATCH(G22,コスト!$A$1:$I$1,FALSE))</f>
        <v>2</v>
      </c>
      <c r="O22" s="14">
        <f ca="1">INDEX(レベル!$A$1:$I$21,MATCH(H22,レベル!$A$1:$A$21,FALSE),MATCH(G22,レベル!$A$1:$I$1,FALSE))</f>
        <v>15</v>
      </c>
      <c r="P22" s="63">
        <f t="shared" ca="1" si="7"/>
        <v>15</v>
      </c>
      <c r="Q22" s="77" t="str">
        <f ca="1">VLOOKUP($A22,OFFSET([2]characters!$A$1,0,0,COUNTA([2]characters!$A:$A),MATCH(Q$1,[2]characters!$1:$1,0)-MATCH($A$1,[2]characters!$1:$1,0)+1),MATCH(Q$1,[2]characters!$1:$1,0)-MATCH($A$1,[2]characters!$1:$1,0)+1,FALSE)</f>
        <v>hp</v>
      </c>
      <c r="R22" s="8" t="str">
        <f ca="1">VLOOKUP(Q22,[2]character_type_i18n!$A:$H,3,FALSE)</f>
        <v>体力タイプ</v>
      </c>
      <c r="S22" s="14">
        <f ca="1">VLOOKUP(Q22,[2]character_type_i18n!$A:$H,4,FALSE)</f>
        <v>1.45</v>
      </c>
      <c r="T22" s="14">
        <f ca="1">VLOOKUP(Q22,[2]character_type_i18n!$A:$H,5,FALSE)</f>
        <v>0.85</v>
      </c>
      <c r="U22" s="14">
        <f ca="1">VLOOKUP(Q22,[2]character_type_i18n!$A:$H,6,FALSE)</f>
        <v>1</v>
      </c>
      <c r="V22" s="14">
        <f ca="1">VLOOKUP(Q22,[2]character_type_i18n!$A:$H,7,FALSE)</f>
        <v>0.7</v>
      </c>
      <c r="W22" s="77" t="str">
        <f ca="1">VLOOKUP($A22,OFFSET([2]characters!$A$1,0,0,COUNTA([2]characters!$A:$A),MATCH(W$1,[2]characters!$1:$1,0)-MATCH($A$1,[2]characters!$1:$1,0)+1),MATCH(W$1,[2]characters!$1:$1,0)-MATCH($A$1,[2]characters!$1:$1,0)+1,FALSE)</f>
        <v>dragon</v>
      </c>
      <c r="X22" s="8" t="str">
        <f ca="1">VLOOKUP(W22,[2]character_tribe_i18n!$A:$H,3,FALSE)</f>
        <v>ドラゴン</v>
      </c>
      <c r="Y22" s="77" t="str">
        <f ca="1">VLOOKUP($A22,OFFSET([2]characters!$A$1,0,0,COUNTA([2]characters!$A:$A),MATCH(Y$1,[2]characters!$1:$1,0)-MATCH($A$1,[2]characters!$1:$1,0)+1),MATCH(Y$1,[2]characters!$1:$1,0)-MATCH($A$1,[2]characters!$1:$1,0)+1,FALSE)</f>
        <v>none</v>
      </c>
      <c r="Z22" s="8" t="str">
        <f ca="1">VLOOKUP(Y22,[2]character_tribe_i18n!$A:$H,3,FALSE)</f>
        <v>種族なし</v>
      </c>
      <c r="AA22" s="14">
        <f ca="1">VLOOKUP(W22,[2]character_tribe_i18n!$A:$H,4,FALSE)</f>
        <v>1.1499999999999999</v>
      </c>
      <c r="AB22" s="14">
        <f ca="1">VLOOKUP(W22,[2]character_tribe_i18n!$A:$H,5,FALSE)</f>
        <v>1.1000000000000001</v>
      </c>
      <c r="AC22" s="14">
        <f ca="1">VLOOKUP(W22,[2]character_tribe_i18n!$A:$H,6,FALSE)</f>
        <v>1</v>
      </c>
      <c r="AD22" s="14">
        <f ca="1">VLOOKUP(W22,[2]character_tribe_i18n!$A:$H,7,FALSE)</f>
        <v>0.75</v>
      </c>
      <c r="AE22" s="12">
        <v>22</v>
      </c>
      <c r="AF22" s="85" t="str">
        <f ca="1">IF(AE22="NULL","",VLOOKUP($AE22,OFFSET([2]characters!$A$1,0,0,COUNTA([2]characters!$A:$A),MATCH(AF$1,[2]characters!$1:$1,0)-MATCH($A$1,[2]characters!$1:$1,0)+1),MATCH(AF$1,[2]characters!$1:$1,0)-MATCH($A$1,[2]characters!$1:$1,0)+1,FALSE))</f>
        <v>突然変異ヴェロキー</v>
      </c>
      <c r="AG22" s="8">
        <f t="shared" ca="1" si="2"/>
        <v>21</v>
      </c>
      <c r="AH22" s="85" t="str">
        <f ca="1">VLOOKUP($AG22,OFFSET([2]characters!$A$1,0,0,COUNTA([2]characters!$A:$A),MATCH(AH$1,[2]characters!$1:$1,0)-MATCH($A$1,[2]characters!$1:$1,0)+1),MATCH(AH$1,[2]characters!$1:$1,0)-MATCH($A$1,[2]characters!$1:$1,0)+1,FALSE)</f>
        <v>ヴェロキー</v>
      </c>
      <c r="AI22" s="14">
        <f ca="1">IF(AE22="NULL","NULL",VLOOKUP(G22,ビット!$A$2:$B$7,2))</f>
        <v>5000</v>
      </c>
      <c r="AJ22" s="9">
        <v>2</v>
      </c>
      <c r="AK22" s="10" t="str">
        <f t="shared" si="3"/>
        <v>普通</v>
      </c>
      <c r="AL22" s="14" t="str">
        <f ca="1">INDEX(経験値!$A$1:$I$20,MATCH(H22,経験値!$A$1:$A$20,FALSE),MATCH(G22,経験値!$A$1:$I$1,FALSE))</f>
        <v>required_exp_100</v>
      </c>
      <c r="AM22" s="11">
        <f ca="1">VLOOKUP(G22,経験値!$A$27:$B$31,2)</f>
        <v>200</v>
      </c>
      <c r="AN22" s="21">
        <f ca="1">VLOOKUP(G22,ビット!$G$2:$H$7,2)</f>
        <v>75</v>
      </c>
      <c r="AO22" s="64" t="s">
        <v>46</v>
      </c>
      <c r="AP22" s="101">
        <v>131001</v>
      </c>
      <c r="AQ22" s="77" t="e">
        <f ca="1">VLOOKUP($AP22,OFFSET([1]unit_skills!$A$1,0,0,COUNTA([1]unit_skills!$A:$A),MATCH("name",[1]unit_skills!$1:$1,0)-MATCH($AP$1,[1]unit_skills!$1:$1,0)+1),MATCH("name",[1]unit_skills!$1:$1,0)-MATCH($AP$1,[1]unit_skills!$1:$1,0)+1,FALSE)</f>
        <v>#VALUE!</v>
      </c>
      <c r="AR22" s="77" t="e">
        <f ca="1">VLOOKUP($AP22,OFFSET([1]unit_skills!$A$1,0,0,COUNTA([1]unit_skills!$A:$A),MATCH("comment",[1]unit_skills!$1:$1,0)-MATCH($AP$1,[1]unit_skills!$1:$1,0)+1),MATCH("comment",[1]unit_skills!$1:$1,0)-MATCH($AP$1,[1]unit_skills!$1:$1,0)+1,FALSE)</f>
        <v>#VALUE!</v>
      </c>
      <c r="AS22" s="77" t="e">
        <f ca="1">VLOOKUP($AP22,OFFSET([1]unit_skills!$A$1,0,0,COUNTA([1]unit_skills!$A:$A),MATCH(AS$1,[1]unit_skills!$1:$1,0)-MATCH($AP$1,[1]unit_skills!$1:$1,0)+1),MATCH(AS$1,[1]unit_skills!$1:$1,0)-MATCH($AP$1,[1]unit_skills!$1:$1,0)+1,FALSE)</f>
        <v>#VALUE!</v>
      </c>
      <c r="AT22" s="97">
        <v>141401</v>
      </c>
      <c r="AU22" s="77" t="e">
        <f ca="1">VLOOKUP($AT22,OFFSET([1]crash_skills!$A$1,0,0,COUNTA([1]crash_skills!$A:$A),MATCH("name",[1]crash_skills!$1:$1,0)-MATCH($AT$1,[1]crash_skills!$1:$1,0)+1),MATCH("name",[1]crash_skills!$1:$1,0)-MATCH($AT$1,[1]crash_skills!$1:$1,0)+1,FALSE)</f>
        <v>#VALUE!</v>
      </c>
      <c r="AV22" s="77" t="e">
        <f ca="1">VLOOKUP($AT22,OFFSET([1]crash_skills!$A$1,0,0,COUNTA([1]crash_skills!$A:$A),MATCH("comment",[1]crash_skills!$1:$1,0)-MATCH($AT$1,[1]crash_skills!$1:$1,0)+1),MATCH("comment",[1]crash_skills!$1:$1,0)-MATCH($AT$1,[1]crash_skills!$1:$1,0)+1,FALSE)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2" s="77" t="e">
        <f ca="1">VLOOKUP($AT22,OFFSET([1]crash_skills!$A$1,0,0,COUNTA([1]crash_skills!$A:$A),MATCH(AW$1,[1]crash_skills!$1:$1,0)-MATCH($AT$1,[1]crash_skills!$1:$1,0)+1),MATCH(AW$1,[1]crash_skills!$1:$1,0)-MATCH($AT$1,[1]crash_skills!$1:$1,0)+1,FALSE)</f>
        <v>#VALUE!</v>
      </c>
      <c r="AX22" s="81">
        <f ca="1">VLOOKUP($A22,OFFSET([2]characters!$A$1,0,0,COUNTA([2]characters!$A:$A),MATCH(AX$1,[2]characters!$1:$1,0)-MATCH($A$1,[2]characters!$1:$1,0)+1),MATCH(AX$1,[2]characters!$1:$1,0)-MATCH($A$1,[2]characters!$1:$1,0)+1,FALSE)</f>
        <v>3</v>
      </c>
      <c r="AY22" s="19">
        <v>1</v>
      </c>
      <c r="AZ22" s="19">
        <v>1</v>
      </c>
      <c r="BA22" s="19">
        <v>0</v>
      </c>
      <c r="BB22" s="19">
        <v>1</v>
      </c>
      <c r="BC22" s="14">
        <f ca="1">INDEX('RC6SV'!$A$1:$G$20,MATCH(H22,'RC6SV'!$A$1:$A$20,FALSE),MATCH(G22,'RC6SV'!$A$1:$G$1,FALSE))</f>
        <v>2000</v>
      </c>
      <c r="BD22" s="63">
        <f t="shared" ca="1" si="4"/>
        <v>2000</v>
      </c>
      <c r="BE22" s="14">
        <f t="shared" ca="1" si="5"/>
        <v>0</v>
      </c>
      <c r="BF22" s="14">
        <f t="shared" ca="1" si="6"/>
        <v>1</v>
      </c>
      <c r="BG22" s="20">
        <f ca="1">IF($BE22&lt;=0,ROUND(BK22*0.5,0), ROUND($BE22*S22*AA22*J22*AY22*0.8*[2]ステータス!$B$2,0))</f>
        <v>834</v>
      </c>
      <c r="BH22" s="20">
        <f ca="1">IF($BE22&lt;=0,ROUND(BL22*0.5,0), ROUND($BE22*T22*AB22*K22*AZ22*0.8*[2]ステータス!$C$2,0))</f>
        <v>286</v>
      </c>
      <c r="BI22" s="20">
        <f ca="1">IF($BE22&lt;=0,ROUND(BM22*0.5,0), ROUND($BE22*U22*AC22*L22*BA22*0.8*[2]ステータス!$D$2,0))</f>
        <v>0</v>
      </c>
      <c r="BJ22" s="20">
        <f ca="1">IF($BE22&lt;=0,ROUND(BN22*0.5,0), ROUND($BE22*V22*AD22*M22*BB22*0.8*[2]ステータス!$E$2,0))</f>
        <v>129</v>
      </c>
      <c r="BK22" s="14">
        <f ca="1">ROUND(BD22*S22*AA22*J22*AY22*[2]ステータス!$B$2,0)</f>
        <v>1668</v>
      </c>
      <c r="BL22" s="14">
        <f ca="1">ROUND(BD22*T22*AB22*K22*AZ22*[2]ステータス!$C$2,0)</f>
        <v>572</v>
      </c>
      <c r="BM22" s="14">
        <f ca="1">ROUND(BD22*U22*AC22*L22*BA22*[2]ステータス!$D$2,0)</f>
        <v>0</v>
      </c>
      <c r="BN22" s="14">
        <f ca="1">ROUND(BD22*V22*AD22*M22*BB22*[2]ステータス!$E$2,0)</f>
        <v>257</v>
      </c>
      <c r="BO22" s="13">
        <v>0</v>
      </c>
      <c r="BP22" s="13">
        <v>1</v>
      </c>
      <c r="BQ22" s="13" t="s">
        <v>102</v>
      </c>
      <c r="BR22" s="13">
        <f ca="1">VLOOKUP(H22,ghosts_label!$A$2:$B$19,2,FALSE)</f>
        <v>1</v>
      </c>
    </row>
    <row r="23" spans="1:70" ht="21" customHeight="1" x14ac:dyDescent="0.15">
      <c r="A23" s="14">
        <f t="shared" ca="1" si="0"/>
        <v>22</v>
      </c>
      <c r="B23" s="77" t="str">
        <f ca="1">VLOOKUP($A23,OFFSET([2]characters!$A$1,0,0,COUNTA([2]characters!$A:$A),MATCH(B$1,[2]characters!$1:$1,0)-MATCH($A$1,[2]characters!$1:$1,0)+1),MATCH(B$1,[2]characters!$1:$1,0)-MATCH($A$1,[2]characters!$1:$1,0)+1,FALSE)</f>
        <v>突然変異ヴェロキー</v>
      </c>
      <c r="C23" s="77" t="str">
        <f ca="1">VLOOKUP($A23,OFFSET([2]characters!$A$1,0,0,COUNTA([2]characters!$A:$A),MATCH(C$1,[2]characters!$1:$1,0)-MATCH($A$1,[2]characters!$1:$1,0)+1),MATCH(C$1,[2]characters!$1:$1,0)-MATCH($A$1,[2]characters!$1:$1,0)+1,FALSE)</f>
        <v>ノーマルクエスト</v>
      </c>
      <c r="D23" s="77" t="str">
        <f ca="1">VLOOKUP($A23,OFFSET([2]characters!$A$1,0,0,COUNTA([2]characters!$A:$A),MATCH(D$1,[2]characters!$1:$1,0)-MATCH($A$1,[2]characters!$1:$1,0)+1),MATCH(D$1,[2]characters!$1:$1,0)-MATCH($A$1,[2]characters!$1:$1,0)+1,FALSE)</f>
        <v>アバター</v>
      </c>
      <c r="E23" s="77" t="str">
        <f ca="1">VLOOKUP($A23,OFFSET([2]characters!$A$1,0,0,COUNTA([2]characters!$A:$A),MATCH(E$1,[2]characters!$1:$1,0)-MATCH($A$1,[2]characters!$1:$1,0)+1),MATCH(E$1,[2]characters!$1:$1,0)-MATCH($A$1,[2]characters!$1:$1,0)+1,FALSE)</f>
        <v>世界観</v>
      </c>
      <c r="F23" s="77" t="str">
        <f ca="1">VLOOKUP($A23,OFFSET([2]characters!$A$1,0,0,COUNTA([2]characters!$A:$A),MATCH(F$1,[2]characters!$1:$1,0)-MATCH($A$1,[2]characters!$1:$1,0)+1),MATCH(F$1,[2]characters!$1:$1,0)-MATCH($A$1,[2]characters!$1:$1,0)+1,FALSE)</f>
        <v>不明</v>
      </c>
      <c r="G23" s="77">
        <f ca="1">VLOOKUP($A23,OFFSET([2]characters!$A$1,0,0,COUNTA([2]characters!$A:$A),MATCH(G$1,[2]characters!$1:$1,0)-MATCH($A$1,[2]characters!$1:$1,0)+1),MATCH(G$1,[2]characters!$1:$1,0)-MATCH($A$1,[2]characters!$1:$1,0)+1,FALSE)</f>
        <v>2</v>
      </c>
      <c r="H23" s="77" t="str">
        <f ca="1">VLOOKUP($A23,OFFSET([2]characters!$A$1,0,0,COUNTA([2]characters!$A:$A),MATCH(H$1,[2]characters!$1:$1,0)-MATCH($A$1,[2]characters!$1:$1,0)+1),MATCH(H$1,[2]characters!$1:$1,0)-MATCH($A$1,[2]characters!$1:$1,0)+1,FALSE)</f>
        <v>Drop1N</v>
      </c>
      <c r="I23" s="77" t="str">
        <f ca="1">VLOOKUP($A23,OFFSET([2]characters!$A$1,0,0,COUNTA([2]characters!$A:$A),MATCH(I$1,[2]characters!$1:$1,0)-MATCH($A$1,[2]characters!$1:$1,0)+1),MATCH(I$1,[2]characters!$1:$1,0)-MATCH($A$1,[2]characters!$1:$1,0)+1,FALSE)</f>
        <v>red</v>
      </c>
      <c r="J23" s="14">
        <f ca="1">VLOOKUP(I23,[2]属性!$A:$E,2,FALSE)</f>
        <v>1</v>
      </c>
      <c r="K23" s="14">
        <f ca="1">VLOOKUP(I23,[2]属性!$A:$E,3,FALSE)</f>
        <v>1.02</v>
      </c>
      <c r="L23" s="14">
        <f ca="1">VLOOKUP(I23,[2]属性!$A:$E,4,FALSE)</f>
        <v>1</v>
      </c>
      <c r="M23" s="14">
        <f ca="1">VLOOKUP(I23,[2]属性!$A:$E,5,FALSE)</f>
        <v>0.98</v>
      </c>
      <c r="N23" s="14">
        <f ca="1">INDEX(コスト!$A$1:$I$20,MATCH(H23,コスト!$A$1:$A$20,FALSE),MATCH(G23,コスト!$A$1:$I$1,FALSE))</f>
        <v>4</v>
      </c>
      <c r="O23" s="14">
        <f ca="1">INDEX(レベル!$A$1:$I$21,MATCH(H23,レベル!$A$1:$A$21,FALSE),MATCH(G23,レベル!$A$1:$I$1,FALSE))</f>
        <v>30</v>
      </c>
      <c r="P23" s="63">
        <f t="shared" ca="1" si="7"/>
        <v>30</v>
      </c>
      <c r="Q23" s="77" t="str">
        <f ca="1">VLOOKUP($A23,OFFSET([2]characters!$A$1,0,0,COUNTA([2]characters!$A:$A),MATCH(Q$1,[2]characters!$1:$1,0)-MATCH($A$1,[2]characters!$1:$1,0)+1),MATCH(Q$1,[2]characters!$1:$1,0)-MATCH($A$1,[2]characters!$1:$1,0)+1,FALSE)</f>
        <v>hp</v>
      </c>
      <c r="R23" s="8" t="str">
        <f ca="1">VLOOKUP(Q23,[2]character_type_i18n!$A:$H,3,FALSE)</f>
        <v>体力タイプ</v>
      </c>
      <c r="S23" s="14">
        <f ca="1">VLOOKUP(Q23,[2]character_type_i18n!$A:$H,4,FALSE)</f>
        <v>1.45</v>
      </c>
      <c r="T23" s="14">
        <f ca="1">VLOOKUP(Q23,[2]character_type_i18n!$A:$H,5,FALSE)</f>
        <v>0.85</v>
      </c>
      <c r="U23" s="14">
        <f ca="1">VLOOKUP(Q23,[2]character_type_i18n!$A:$H,6,FALSE)</f>
        <v>1</v>
      </c>
      <c r="V23" s="14">
        <f ca="1">VLOOKUP(Q23,[2]character_type_i18n!$A:$H,7,FALSE)</f>
        <v>0.7</v>
      </c>
      <c r="W23" s="77" t="str">
        <f ca="1">VLOOKUP($A23,OFFSET([2]characters!$A$1,0,0,COUNTA([2]characters!$A:$A),MATCH(W$1,[2]characters!$1:$1,0)-MATCH($A$1,[2]characters!$1:$1,0)+1),MATCH(W$1,[2]characters!$1:$1,0)-MATCH($A$1,[2]characters!$1:$1,0)+1,FALSE)</f>
        <v>dragon</v>
      </c>
      <c r="X23" s="8" t="str">
        <f ca="1">VLOOKUP(W23,[2]character_tribe_i18n!$A:$H,3,FALSE)</f>
        <v>ドラゴン</v>
      </c>
      <c r="Y23" s="77" t="str">
        <f ca="1">VLOOKUP($A23,OFFSET([2]characters!$A$1,0,0,COUNTA([2]characters!$A:$A),MATCH(Y$1,[2]characters!$1:$1,0)-MATCH($A$1,[2]characters!$1:$1,0)+1),MATCH(Y$1,[2]characters!$1:$1,0)-MATCH($A$1,[2]characters!$1:$1,0)+1,FALSE)</f>
        <v>none</v>
      </c>
      <c r="Z23" s="8" t="str">
        <f ca="1">VLOOKUP(Y23,[2]character_tribe_i18n!$A:$H,3,FALSE)</f>
        <v>種族なし</v>
      </c>
      <c r="AA23" s="14">
        <f ca="1">VLOOKUP(W23,[2]character_tribe_i18n!$A:$H,4,FALSE)</f>
        <v>1.1499999999999999</v>
      </c>
      <c r="AB23" s="14">
        <f ca="1">VLOOKUP(W23,[2]character_tribe_i18n!$A:$H,5,FALSE)</f>
        <v>1.1000000000000001</v>
      </c>
      <c r="AC23" s="14">
        <f ca="1">VLOOKUP(W23,[2]character_tribe_i18n!$A:$H,6,FALSE)</f>
        <v>1</v>
      </c>
      <c r="AD23" s="14">
        <f ca="1">VLOOKUP(W23,[2]character_tribe_i18n!$A:$H,7,FALSE)</f>
        <v>0.75</v>
      </c>
      <c r="AE23" s="12" t="s">
        <v>102</v>
      </c>
      <c r="AF23" s="85" t="str">
        <f ca="1">IF(AE23="NULL","",VLOOKUP($AE23,OFFSET([2]characters!$A$1,0,0,COUNTA([2]characters!$A:$A),MATCH(AF$1,[2]characters!$1:$1,0)-MATCH($A$1,[2]characters!$1:$1,0)+1),MATCH(AF$1,[2]characters!$1:$1,0)-MATCH($A$1,[2]characters!$1:$1,0)+1,FALSE))</f>
        <v/>
      </c>
      <c r="AG23" s="8">
        <f t="shared" ca="1" si="2"/>
        <v>21</v>
      </c>
      <c r="AH23" s="85" t="str">
        <f ca="1">VLOOKUP($AG23,OFFSET([2]characters!$A$1,0,0,COUNTA([2]characters!$A:$A),MATCH(AH$1,[2]characters!$1:$1,0)-MATCH($A$1,[2]characters!$1:$1,0)+1),MATCH(AH$1,[2]characters!$1:$1,0)-MATCH($A$1,[2]characters!$1:$1,0)+1,FALSE)</f>
        <v>ヴェロキー</v>
      </c>
      <c r="AI23" s="14" t="str">
        <f>IF(AE23="NULL","NULL",VLOOKUP(G23,ビット!$A$2:$B$7,2))</f>
        <v>NULL</v>
      </c>
      <c r="AJ23" s="9">
        <v>2</v>
      </c>
      <c r="AK23" s="10" t="str">
        <f t="shared" si="3"/>
        <v>普通</v>
      </c>
      <c r="AL23" s="14" t="str">
        <f ca="1">INDEX(経験値!$A$1:$I$20,MATCH(H23,経験値!$A$1:$A$20,FALSE),MATCH(G23,経験値!$A$1:$I$1,FALSE))</f>
        <v>required_exp_100</v>
      </c>
      <c r="AM23" s="11">
        <f ca="1">VLOOKUP(G23,経験値!$A$27:$B$31,2)</f>
        <v>600</v>
      </c>
      <c r="AN23" s="21">
        <f ca="1">VLOOKUP(G23,ビット!$G$2:$H$7,2)</f>
        <v>150</v>
      </c>
      <c r="AO23" s="64" t="s">
        <v>46</v>
      </c>
      <c r="AP23" s="101">
        <v>131002</v>
      </c>
      <c r="AQ23" s="77" t="e">
        <f ca="1">VLOOKUP($AP23,OFFSET([1]unit_skills!$A$1,0,0,COUNTA([1]unit_skills!$A:$A),MATCH("name",[1]unit_skills!$1:$1,0)-MATCH($AP$1,[1]unit_skills!$1:$1,0)+1),MATCH("name",[1]unit_skills!$1:$1,0)-MATCH($AP$1,[1]unit_skills!$1:$1,0)+1,FALSE)</f>
        <v>#VALUE!</v>
      </c>
      <c r="AR23" s="77" t="e">
        <f ca="1">VLOOKUP($AP23,OFFSET([1]unit_skills!$A$1,0,0,COUNTA([1]unit_skills!$A:$A),MATCH("comment",[1]unit_skills!$1:$1,0)-MATCH($AP$1,[1]unit_skills!$1:$1,0)+1),MATCH("comment",[1]unit_skills!$1:$1,0)-MATCH($AP$1,[1]unit_skills!$1:$1,0)+1,FALSE)</f>
        <v>#VALUE!</v>
      </c>
      <c r="AS23" s="77" t="e">
        <f ca="1">VLOOKUP($AP23,OFFSET([1]unit_skills!$A$1,0,0,COUNTA([1]unit_skills!$A:$A),MATCH(AS$1,[1]unit_skills!$1:$1,0)-MATCH($AP$1,[1]unit_skills!$1:$1,0)+1),MATCH(AS$1,[1]unit_skills!$1:$1,0)-MATCH($AP$1,[1]unit_skills!$1:$1,0)+1,FALSE)</f>
        <v>#VALUE!</v>
      </c>
      <c r="AT23" s="97">
        <v>141402</v>
      </c>
      <c r="AU23" s="77" t="e">
        <f ca="1">VLOOKUP($AT23,OFFSET([1]crash_skills!$A$1,0,0,COUNTA([1]crash_skills!$A:$A),MATCH("name",[1]crash_skills!$1:$1,0)-MATCH($AT$1,[1]crash_skills!$1:$1,0)+1),MATCH("name",[1]crash_skills!$1:$1,0)-MATCH($AT$1,[1]crash_skills!$1:$1,0)+1,FALSE)</f>
        <v>#VALUE!</v>
      </c>
      <c r="AV23" s="77" t="e">
        <f ca="1">VLOOKUP($AT23,OFFSET([1]crash_skills!$A$1,0,0,COUNTA([1]crash_skills!$A:$A),MATCH("comment",[1]crash_skills!$1:$1,0)-MATCH($AT$1,[1]crash_skills!$1:$1,0)+1),MATCH("comment",[1]crash_skills!$1:$1,0)-MATCH($AT$1,[1]crash_skills!$1:$1,0)+1,FALSE)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3" s="77" t="e">
        <f ca="1">VLOOKUP($AT23,OFFSET([1]crash_skills!$A$1,0,0,COUNTA([1]crash_skills!$A:$A),MATCH(AW$1,[1]crash_skills!$1:$1,0)-MATCH($AT$1,[1]crash_skills!$1:$1,0)+1),MATCH(AW$1,[1]crash_skills!$1:$1,0)-MATCH($AT$1,[1]crash_skills!$1:$1,0)+1,FALSE)</f>
        <v>#VALUE!</v>
      </c>
      <c r="AX23" s="81">
        <f ca="1">VLOOKUP($A23,OFFSET([2]characters!$A$1,0,0,COUNTA([2]characters!$A:$A),MATCH(AX$1,[2]characters!$1:$1,0)-MATCH($A$1,[2]characters!$1:$1,0)+1),MATCH(AX$1,[2]characters!$1:$1,0)-MATCH($A$1,[2]characters!$1:$1,0)+1,FALSE)</f>
        <v>3</v>
      </c>
      <c r="AY23" s="19">
        <v>1</v>
      </c>
      <c r="AZ23" s="19">
        <v>1</v>
      </c>
      <c r="BA23" s="19">
        <v>0</v>
      </c>
      <c r="BB23" s="19">
        <v>1</v>
      </c>
      <c r="BC23" s="14">
        <f ca="1">INDEX('RC6SV'!$A$1:$G$20,MATCH(H23,'RC6SV'!$A$1:$A$20,FALSE),MATCH(G23,'RC6SV'!$A$1:$G$1,FALSE))</f>
        <v>2800</v>
      </c>
      <c r="BD23" s="63">
        <f t="shared" ca="1" si="4"/>
        <v>2800</v>
      </c>
      <c r="BE23" s="14">
        <f t="shared" ca="1" si="5"/>
        <v>2000</v>
      </c>
      <c r="BF23" s="14">
        <f t="shared" ca="1" si="6"/>
        <v>1</v>
      </c>
      <c r="BG23" s="20">
        <f ca="1">IF($BE23&lt;=0,ROUND(BK23*0.5,0), ROUND($BE23*S23*AA23*J23*AY23*0.8*[2]ステータス!$B$2,0))</f>
        <v>1334</v>
      </c>
      <c r="BH23" s="20">
        <f ca="1">IF($BE23&lt;=0,ROUND(BL23*0.5,0), ROUND($BE23*T23*AB23*K23*AZ23*0.8*[2]ステータス!$C$2,0))</f>
        <v>458</v>
      </c>
      <c r="BI23" s="20">
        <f ca="1">IF($BE23&lt;=0,ROUND(BM23*0.5,0), ROUND($BE23*U23*AC23*L23*BA23*0.8*[2]ステータス!$D$2,0))</f>
        <v>0</v>
      </c>
      <c r="BJ23" s="20">
        <f ca="1">IF($BE23&lt;=0,ROUND(BN23*0.5,0), ROUND($BE23*V23*AD23*M23*BB23*0.8*[2]ステータス!$E$2,0))</f>
        <v>206</v>
      </c>
      <c r="BK23" s="14">
        <f ca="1">ROUND(BD23*S23*AA23*J23*AY23*[2]ステータス!$B$2,0)</f>
        <v>2335</v>
      </c>
      <c r="BL23" s="14">
        <f ca="1">ROUND(BD23*T23*AB23*K23*AZ23*[2]ステータス!$C$2,0)</f>
        <v>801</v>
      </c>
      <c r="BM23" s="14">
        <f ca="1">ROUND(BD23*U23*AC23*L23*BA23*[2]ステータス!$D$2,0)</f>
        <v>0</v>
      </c>
      <c r="BN23" s="14">
        <f ca="1">ROUND(BD23*V23*AD23*M23*BB23*[2]ステータス!$E$2,0)</f>
        <v>360</v>
      </c>
      <c r="BO23" s="13">
        <v>0</v>
      </c>
      <c r="BP23" s="13">
        <v>1</v>
      </c>
      <c r="BQ23" s="13" t="s">
        <v>102</v>
      </c>
      <c r="BR23" s="13">
        <f ca="1">VLOOKUP(H23,ghosts_label!$A$2:$B$19,2,FALSE)</f>
        <v>1</v>
      </c>
    </row>
    <row r="24" spans="1:70" ht="21" customHeight="1" x14ac:dyDescent="0.15">
      <c r="A24" s="14">
        <f t="shared" ca="1" si="0"/>
        <v>23</v>
      </c>
      <c r="B24" s="77" t="str">
        <f ca="1">VLOOKUP($A24,OFFSET([2]characters!$A$1,0,0,COUNTA([2]characters!$A:$A),MATCH(B$1,[2]characters!$1:$1,0)-MATCH($A$1,[2]characters!$1:$1,0)+1),MATCH(B$1,[2]characters!$1:$1,0)-MATCH($A$1,[2]characters!$1:$1,0)+1,FALSE)</f>
        <v>ミール</v>
      </c>
      <c r="C24" s="77" t="str">
        <f ca="1">VLOOKUP($A24,OFFSET([2]characters!$A$1,0,0,COUNTA([2]characters!$A:$A),MATCH(C$1,[2]characters!$1:$1,0)-MATCH($A$1,[2]characters!$1:$1,0)+1),MATCH(C$1,[2]characters!$1:$1,0)-MATCH($A$1,[2]characters!$1:$1,0)+1,FALSE)</f>
        <v>ノーマルクエスト</v>
      </c>
      <c r="D24" s="77" t="str">
        <f ca="1">VLOOKUP($A24,OFFSET([2]characters!$A$1,0,0,COUNTA([2]characters!$A:$A),MATCH(D$1,[2]characters!$1:$1,0)-MATCH($A$1,[2]characters!$1:$1,0)+1),MATCH(D$1,[2]characters!$1:$1,0)-MATCH($A$1,[2]characters!$1:$1,0)+1,FALSE)</f>
        <v>アバター</v>
      </c>
      <c r="E24" s="77" t="str">
        <f ca="1">VLOOKUP($A24,OFFSET([2]characters!$A$1,0,0,COUNTA([2]characters!$A:$A),MATCH(E$1,[2]characters!$1:$1,0)-MATCH($A$1,[2]characters!$1:$1,0)+1),MATCH(E$1,[2]characters!$1:$1,0)-MATCH($A$1,[2]characters!$1:$1,0)+1,FALSE)</f>
        <v>世界観</v>
      </c>
      <c r="F24" s="77" t="str">
        <f ca="1">VLOOKUP($A24,OFFSET([2]characters!$A$1,0,0,COUNTA([2]characters!$A:$A),MATCH(F$1,[2]characters!$1:$1,0)-MATCH($A$1,[2]characters!$1:$1,0)+1),MATCH(F$1,[2]characters!$1:$1,0)-MATCH($A$1,[2]characters!$1:$1,0)+1,FALSE)</f>
        <v>不明</v>
      </c>
      <c r="G24" s="77">
        <f ca="1">VLOOKUP($A24,OFFSET([2]characters!$A$1,0,0,COUNTA([2]characters!$A:$A),MATCH(G$1,[2]characters!$1:$1,0)-MATCH($A$1,[2]characters!$1:$1,0)+1),MATCH(G$1,[2]characters!$1:$1,0)-MATCH($A$1,[2]characters!$1:$1,0)+1,FALSE)</f>
        <v>1</v>
      </c>
      <c r="H24" s="77" t="str">
        <f ca="1">VLOOKUP($A24,OFFSET([2]characters!$A$1,0,0,COUNTA([2]characters!$A:$A),MATCH(H$1,[2]characters!$1:$1,0)-MATCH($A$1,[2]characters!$1:$1,0)+1),MATCH(H$1,[2]characters!$1:$1,0)-MATCH($A$1,[2]characters!$1:$1,0)+1,FALSE)</f>
        <v>Drop1N</v>
      </c>
      <c r="I24" s="77" t="str">
        <f ca="1">VLOOKUP($A24,OFFSET([2]characters!$A$1,0,0,COUNTA([2]characters!$A:$A),MATCH(I$1,[2]characters!$1:$1,0)-MATCH($A$1,[2]characters!$1:$1,0)+1),MATCH(I$1,[2]characters!$1:$1,0)-MATCH($A$1,[2]characters!$1:$1,0)+1,FALSE)</f>
        <v>green</v>
      </c>
      <c r="J24" s="14">
        <f ca="1">VLOOKUP(I24,[2]属性!$A:$E,2,FALSE)</f>
        <v>1.02</v>
      </c>
      <c r="K24" s="14">
        <f ca="1">VLOOKUP(I24,[2]属性!$A:$E,3,FALSE)</f>
        <v>0.98</v>
      </c>
      <c r="L24" s="14">
        <f ca="1">VLOOKUP(I24,[2]属性!$A:$E,4,FALSE)</f>
        <v>1</v>
      </c>
      <c r="M24" s="14">
        <f ca="1">VLOOKUP(I24,[2]属性!$A:$E,5,FALSE)</f>
        <v>1</v>
      </c>
      <c r="N24" s="14">
        <f ca="1">INDEX(コスト!$A$1:$I$20,MATCH(H24,コスト!$A$1:$A$20,FALSE),MATCH(G24,コスト!$A$1:$I$1,FALSE))</f>
        <v>2</v>
      </c>
      <c r="O24" s="14">
        <f ca="1">INDEX(レベル!$A$1:$I$21,MATCH(H24,レベル!$A$1:$A$21,FALSE),MATCH(G24,レベル!$A$1:$I$1,FALSE))</f>
        <v>15</v>
      </c>
      <c r="P24" s="63">
        <f t="shared" ca="1" si="7"/>
        <v>15</v>
      </c>
      <c r="Q24" s="77" t="str">
        <f ca="1">VLOOKUP($A24,OFFSET([2]characters!$A$1,0,0,COUNTA([2]characters!$A:$A),MATCH(Q$1,[2]characters!$1:$1,0)-MATCH($A$1,[2]characters!$1:$1,0)+1),MATCH(Q$1,[2]characters!$1:$1,0)-MATCH($A$1,[2]characters!$1:$1,0)+1,FALSE)</f>
        <v>hp</v>
      </c>
      <c r="R24" s="8" t="str">
        <f ca="1">VLOOKUP(Q24,[2]character_type_i18n!$A:$H,3,FALSE)</f>
        <v>体力タイプ</v>
      </c>
      <c r="S24" s="14">
        <f ca="1">VLOOKUP(Q24,[2]character_type_i18n!$A:$H,4,FALSE)</f>
        <v>1.45</v>
      </c>
      <c r="T24" s="14">
        <f ca="1">VLOOKUP(Q24,[2]character_type_i18n!$A:$H,5,FALSE)</f>
        <v>0.85</v>
      </c>
      <c r="U24" s="14">
        <f ca="1">VLOOKUP(Q24,[2]character_type_i18n!$A:$H,6,FALSE)</f>
        <v>1</v>
      </c>
      <c r="V24" s="14">
        <f ca="1">VLOOKUP(Q24,[2]character_type_i18n!$A:$H,7,FALSE)</f>
        <v>0.7</v>
      </c>
      <c r="W24" s="77" t="str">
        <f ca="1">VLOOKUP($A24,OFFSET([2]characters!$A$1,0,0,COUNTA([2]characters!$A:$A),MATCH(W$1,[2]characters!$1:$1,0)-MATCH($A$1,[2]characters!$1:$1,0)+1),MATCH(W$1,[2]characters!$1:$1,0)-MATCH($A$1,[2]characters!$1:$1,0)+1,FALSE)</f>
        <v>animal</v>
      </c>
      <c r="X24" s="8" t="str">
        <f ca="1">VLOOKUP(W24,[2]character_tribe_i18n!$A:$H,3,FALSE)</f>
        <v>アニマル</v>
      </c>
      <c r="Y24" s="77" t="str">
        <f ca="1">VLOOKUP($A24,OFFSET([2]characters!$A$1,0,0,COUNTA([2]characters!$A:$A),MATCH(Y$1,[2]characters!$1:$1,0)-MATCH($A$1,[2]characters!$1:$1,0)+1),MATCH(Y$1,[2]characters!$1:$1,0)-MATCH($A$1,[2]characters!$1:$1,0)+1,FALSE)</f>
        <v>none</v>
      </c>
      <c r="Z24" s="8" t="str">
        <f ca="1">VLOOKUP(Y24,[2]character_tribe_i18n!$A:$H,3,FALSE)</f>
        <v>種族なし</v>
      </c>
      <c r="AA24" s="14">
        <f ca="1">VLOOKUP(W24,[2]character_tribe_i18n!$A:$H,4,FALSE)</f>
        <v>1</v>
      </c>
      <c r="AB24" s="14">
        <f ca="1">VLOOKUP(W24,[2]character_tribe_i18n!$A:$H,5,FALSE)</f>
        <v>1.1000000000000001</v>
      </c>
      <c r="AC24" s="14">
        <f ca="1">VLOOKUP(W24,[2]character_tribe_i18n!$A:$H,6,FALSE)</f>
        <v>1</v>
      </c>
      <c r="AD24" s="14">
        <f ca="1">VLOOKUP(W24,[2]character_tribe_i18n!$A:$H,7,FALSE)</f>
        <v>0.9</v>
      </c>
      <c r="AE24" s="12">
        <v>24</v>
      </c>
      <c r="AF24" s="85" t="str">
        <f ca="1">IF(AE24="NULL","",VLOOKUP($AE24,OFFSET([2]characters!$A$1,0,0,COUNTA([2]characters!$A:$A),MATCH(AF$1,[2]characters!$1:$1,0)-MATCH($A$1,[2]characters!$1:$1,0)+1),MATCH(AF$1,[2]characters!$1:$1,0)-MATCH($A$1,[2]characters!$1:$1,0)+1,FALSE))</f>
        <v>天翔のミール</v>
      </c>
      <c r="AG24" s="8">
        <f t="shared" ca="1" si="2"/>
        <v>23</v>
      </c>
      <c r="AH24" s="85" t="str">
        <f ca="1">VLOOKUP($AG24,OFFSET([2]characters!$A$1,0,0,COUNTA([2]characters!$A:$A),MATCH(AH$1,[2]characters!$1:$1,0)-MATCH($A$1,[2]characters!$1:$1,0)+1),MATCH(AH$1,[2]characters!$1:$1,0)-MATCH($A$1,[2]characters!$1:$1,0)+1,FALSE)</f>
        <v>ミール</v>
      </c>
      <c r="AI24" s="14">
        <f ca="1">IF(AE24="NULL","NULL",VLOOKUP(G24,ビット!$A$2:$B$7,2))</f>
        <v>5000</v>
      </c>
      <c r="AJ24" s="9">
        <v>2</v>
      </c>
      <c r="AK24" s="10" t="str">
        <f t="shared" si="3"/>
        <v>普通</v>
      </c>
      <c r="AL24" s="14" t="str">
        <f ca="1">INDEX(経験値!$A$1:$I$20,MATCH(H24,経験値!$A$1:$A$20,FALSE),MATCH(G24,経験値!$A$1:$I$1,FALSE))</f>
        <v>required_exp_100</v>
      </c>
      <c r="AM24" s="11">
        <f ca="1">VLOOKUP(G24,経験値!$A$27:$B$31,2)</f>
        <v>200</v>
      </c>
      <c r="AN24" s="21">
        <f ca="1">VLOOKUP(G24,ビット!$G$2:$H$7,2)</f>
        <v>75</v>
      </c>
      <c r="AO24" s="64" t="s">
        <v>46</v>
      </c>
      <c r="AP24" s="101">
        <v>132001</v>
      </c>
      <c r="AQ24" s="77" t="e">
        <f ca="1">VLOOKUP($AP24,OFFSET([1]unit_skills!$A$1,0,0,COUNTA([1]unit_skills!$A:$A),MATCH("name",[1]unit_skills!$1:$1,0)-MATCH($AP$1,[1]unit_skills!$1:$1,0)+1),MATCH("name",[1]unit_skills!$1:$1,0)-MATCH($AP$1,[1]unit_skills!$1:$1,0)+1,FALSE)</f>
        <v>#VALUE!</v>
      </c>
      <c r="AR24" s="77" t="e">
        <f ca="1">VLOOKUP($AP24,OFFSET([1]unit_skills!$A$1,0,0,COUNTA([1]unit_skills!$A:$A),MATCH("comment",[1]unit_skills!$1:$1,0)-MATCH($AP$1,[1]unit_skills!$1:$1,0)+1),MATCH("comment",[1]unit_skills!$1:$1,0)-MATCH($AP$1,[1]unit_skills!$1:$1,0)+1,FALSE)</f>
        <v>#VALUE!</v>
      </c>
      <c r="AS24" s="77" t="e">
        <f ca="1">VLOOKUP($AP24,OFFSET([1]unit_skills!$A$1,0,0,COUNTA([1]unit_skills!$A:$A),MATCH(AS$1,[1]unit_skills!$1:$1,0)-MATCH($AP$1,[1]unit_skills!$1:$1,0)+1),MATCH(AS$1,[1]unit_skills!$1:$1,0)-MATCH($AP$1,[1]unit_skills!$1:$1,0)+1,FALSE)</f>
        <v>#VALUE!</v>
      </c>
      <c r="AT24" s="97">
        <v>300005</v>
      </c>
      <c r="AU24" s="77" t="e">
        <f ca="1">VLOOKUP($AT24,OFFSET([1]crash_skills!$A$1,0,0,COUNTA([1]crash_skills!$A:$A),MATCH("name",[1]crash_skills!$1:$1,0)-MATCH($AT$1,[1]crash_skills!$1:$1,0)+1),MATCH("name",[1]crash_skills!$1:$1,0)-MATCH($AT$1,[1]crash_skills!$1:$1,0)+1,FALSE)</f>
        <v>#VALUE!</v>
      </c>
      <c r="AV24" s="77" t="e">
        <f ca="1">VLOOKUP($AT24,OFFSET([1]crash_skills!$A$1,0,0,COUNTA([1]crash_skills!$A:$A),MATCH("comment",[1]crash_skills!$1:$1,0)-MATCH($AT$1,[1]crash_skills!$1:$1,0)+1),MATCH("comment",[1]crash_skills!$1:$1,0)-MATCH($AT$1,[1]crash_skills!$1:$1,0)+1,FALSE)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4" s="77" t="e">
        <f ca="1">VLOOKUP($AT24,OFFSET([1]crash_skills!$A$1,0,0,COUNTA([1]crash_skills!$A:$A),MATCH(AW$1,[1]crash_skills!$1:$1,0)-MATCH($AT$1,[1]crash_skills!$1:$1,0)+1),MATCH(AW$1,[1]crash_skills!$1:$1,0)-MATCH($AT$1,[1]crash_skills!$1:$1,0)+1,FALSE)</f>
        <v>#VALUE!</v>
      </c>
      <c r="AX24" s="81">
        <f ca="1">VLOOKUP($A24,OFFSET([2]characters!$A$1,0,0,COUNTA([2]characters!$A:$A),MATCH(AX$1,[2]characters!$1:$1,0)-MATCH($A$1,[2]characters!$1:$1,0)+1),MATCH(AX$1,[2]characters!$1:$1,0)-MATCH($A$1,[2]characters!$1:$1,0)+1,FALSE)</f>
        <v>3</v>
      </c>
      <c r="AY24" s="19">
        <v>1</v>
      </c>
      <c r="AZ24" s="19">
        <v>1</v>
      </c>
      <c r="BA24" s="19">
        <v>0</v>
      </c>
      <c r="BB24" s="19">
        <v>1</v>
      </c>
      <c r="BC24" s="14">
        <f ca="1">INDEX('RC6SV'!$A$1:$G$20,MATCH(H24,'RC6SV'!$A$1:$A$20,FALSE),MATCH(G24,'RC6SV'!$A$1:$G$1,FALSE))</f>
        <v>2000</v>
      </c>
      <c r="BD24" s="63">
        <f t="shared" ca="1" si="4"/>
        <v>2000</v>
      </c>
      <c r="BE24" s="14">
        <f t="shared" ca="1" si="5"/>
        <v>0</v>
      </c>
      <c r="BF24" s="14">
        <f t="shared" ca="1" si="6"/>
        <v>1</v>
      </c>
      <c r="BG24" s="20">
        <f ca="1">IF($BE24&lt;=0,ROUND(BK24*0.5,0), ROUND($BE24*S24*AA24*J24*AY24*0.8*[2]ステータス!$B$2,0))</f>
        <v>740</v>
      </c>
      <c r="BH24" s="20">
        <f ca="1">IF($BE24&lt;=0,ROUND(BL24*0.5,0), ROUND($BE24*T24*AB24*K24*AZ24*0.8*[2]ステータス!$C$2,0))</f>
        <v>275</v>
      </c>
      <c r="BI24" s="20">
        <f ca="1">IF($BE24&lt;=0,ROUND(BM24*0.5,0), ROUND($BE24*U24*AC24*L24*BA24*0.8*[2]ステータス!$D$2,0))</f>
        <v>0</v>
      </c>
      <c r="BJ24" s="20">
        <f ca="1">IF($BE24&lt;=0,ROUND(BN24*0.5,0), ROUND($BE24*V24*AD24*M24*BB24*0.8*[2]ステータス!$E$2,0))</f>
        <v>158</v>
      </c>
      <c r="BK24" s="14">
        <f ca="1">ROUND(BD24*S24*AA24*J24*AY24*[2]ステータス!$B$2,0)</f>
        <v>1479</v>
      </c>
      <c r="BL24" s="14">
        <f ca="1">ROUND(BD24*T24*AB24*K24*AZ24*[2]ステータス!$C$2,0)</f>
        <v>550</v>
      </c>
      <c r="BM24" s="14">
        <f ca="1">ROUND(BD24*U24*AC24*L24*BA24*[2]ステータス!$D$2,0)</f>
        <v>0</v>
      </c>
      <c r="BN24" s="14">
        <f ca="1">ROUND(BD24*V24*AD24*M24*BB24*[2]ステータス!$E$2,0)</f>
        <v>315</v>
      </c>
      <c r="BO24" s="13">
        <v>0</v>
      </c>
      <c r="BP24" s="13">
        <v>1</v>
      </c>
      <c r="BQ24" s="13" t="s">
        <v>102</v>
      </c>
      <c r="BR24" s="13">
        <f ca="1">VLOOKUP(H24,ghosts_label!$A$2:$B$19,2,FALSE)</f>
        <v>1</v>
      </c>
    </row>
    <row r="25" spans="1:70" ht="21" customHeight="1" x14ac:dyDescent="0.15">
      <c r="A25" s="14">
        <f t="shared" ca="1" si="0"/>
        <v>24</v>
      </c>
      <c r="B25" s="77" t="str">
        <f ca="1">VLOOKUP($A25,OFFSET([2]characters!$A$1,0,0,COUNTA([2]characters!$A:$A),MATCH(B$1,[2]characters!$1:$1,0)-MATCH($A$1,[2]characters!$1:$1,0)+1),MATCH(B$1,[2]characters!$1:$1,0)-MATCH($A$1,[2]characters!$1:$1,0)+1,FALSE)</f>
        <v>天翔のミール</v>
      </c>
      <c r="C25" s="77" t="str">
        <f ca="1">VLOOKUP($A25,OFFSET([2]characters!$A$1,0,0,COUNTA([2]characters!$A:$A),MATCH(C$1,[2]characters!$1:$1,0)-MATCH($A$1,[2]characters!$1:$1,0)+1),MATCH(C$1,[2]characters!$1:$1,0)-MATCH($A$1,[2]characters!$1:$1,0)+1,FALSE)</f>
        <v>ノーマルクエスト</v>
      </c>
      <c r="D25" s="77" t="str">
        <f ca="1">VLOOKUP($A25,OFFSET([2]characters!$A$1,0,0,COUNTA([2]characters!$A:$A),MATCH(D$1,[2]characters!$1:$1,0)-MATCH($A$1,[2]characters!$1:$1,0)+1),MATCH(D$1,[2]characters!$1:$1,0)-MATCH($A$1,[2]characters!$1:$1,0)+1,FALSE)</f>
        <v>アバター</v>
      </c>
      <c r="E25" s="77" t="str">
        <f ca="1">VLOOKUP($A25,OFFSET([2]characters!$A$1,0,0,COUNTA([2]characters!$A:$A),MATCH(E$1,[2]characters!$1:$1,0)-MATCH($A$1,[2]characters!$1:$1,0)+1),MATCH(E$1,[2]characters!$1:$1,0)-MATCH($A$1,[2]characters!$1:$1,0)+1,FALSE)</f>
        <v>世界観</v>
      </c>
      <c r="F25" s="77" t="str">
        <f ca="1">VLOOKUP($A25,OFFSET([2]characters!$A$1,0,0,COUNTA([2]characters!$A:$A),MATCH(F$1,[2]characters!$1:$1,0)-MATCH($A$1,[2]characters!$1:$1,0)+1),MATCH(F$1,[2]characters!$1:$1,0)-MATCH($A$1,[2]characters!$1:$1,0)+1,FALSE)</f>
        <v>不明</v>
      </c>
      <c r="G25" s="77">
        <f ca="1">VLOOKUP($A25,OFFSET([2]characters!$A$1,0,0,COUNTA([2]characters!$A:$A),MATCH(G$1,[2]characters!$1:$1,0)-MATCH($A$1,[2]characters!$1:$1,0)+1),MATCH(G$1,[2]characters!$1:$1,0)-MATCH($A$1,[2]characters!$1:$1,0)+1,FALSE)</f>
        <v>2</v>
      </c>
      <c r="H25" s="77" t="str">
        <f ca="1">VLOOKUP($A25,OFFSET([2]characters!$A$1,0,0,COUNTA([2]characters!$A:$A),MATCH(H$1,[2]characters!$1:$1,0)-MATCH($A$1,[2]characters!$1:$1,0)+1),MATCH(H$1,[2]characters!$1:$1,0)-MATCH($A$1,[2]characters!$1:$1,0)+1,FALSE)</f>
        <v>Drop1N</v>
      </c>
      <c r="I25" s="77" t="str">
        <f ca="1">VLOOKUP($A25,OFFSET([2]characters!$A$1,0,0,COUNTA([2]characters!$A:$A),MATCH(I$1,[2]characters!$1:$1,0)-MATCH($A$1,[2]characters!$1:$1,0)+1),MATCH(I$1,[2]characters!$1:$1,0)-MATCH($A$1,[2]characters!$1:$1,0)+1,FALSE)</f>
        <v>green</v>
      </c>
      <c r="J25" s="14">
        <f ca="1">VLOOKUP(I25,[2]属性!$A:$E,2,FALSE)</f>
        <v>1.02</v>
      </c>
      <c r="K25" s="14">
        <f ca="1">VLOOKUP(I25,[2]属性!$A:$E,3,FALSE)</f>
        <v>0.98</v>
      </c>
      <c r="L25" s="14">
        <f ca="1">VLOOKUP(I25,[2]属性!$A:$E,4,FALSE)</f>
        <v>1</v>
      </c>
      <c r="M25" s="14">
        <f ca="1">VLOOKUP(I25,[2]属性!$A:$E,5,FALSE)</f>
        <v>1</v>
      </c>
      <c r="N25" s="14">
        <f ca="1">INDEX(コスト!$A$1:$I$20,MATCH(H25,コスト!$A$1:$A$20,FALSE),MATCH(G25,コスト!$A$1:$I$1,FALSE))</f>
        <v>4</v>
      </c>
      <c r="O25" s="14">
        <f ca="1">INDEX(レベル!$A$1:$I$21,MATCH(H25,レベル!$A$1:$A$21,FALSE),MATCH(G25,レベル!$A$1:$I$1,FALSE))</f>
        <v>30</v>
      </c>
      <c r="P25" s="63">
        <f t="shared" ca="1" si="7"/>
        <v>30</v>
      </c>
      <c r="Q25" s="77" t="str">
        <f ca="1">VLOOKUP($A25,OFFSET([2]characters!$A$1,0,0,COUNTA([2]characters!$A:$A),MATCH(Q$1,[2]characters!$1:$1,0)-MATCH($A$1,[2]characters!$1:$1,0)+1),MATCH(Q$1,[2]characters!$1:$1,0)-MATCH($A$1,[2]characters!$1:$1,0)+1,FALSE)</f>
        <v>hp</v>
      </c>
      <c r="R25" s="8" t="str">
        <f ca="1">VLOOKUP(Q25,[2]character_type_i18n!$A:$H,3,FALSE)</f>
        <v>体力タイプ</v>
      </c>
      <c r="S25" s="14">
        <f ca="1">VLOOKUP(Q25,[2]character_type_i18n!$A:$H,4,FALSE)</f>
        <v>1.45</v>
      </c>
      <c r="T25" s="14">
        <f ca="1">VLOOKUP(Q25,[2]character_type_i18n!$A:$H,5,FALSE)</f>
        <v>0.85</v>
      </c>
      <c r="U25" s="14">
        <f ca="1">VLOOKUP(Q25,[2]character_type_i18n!$A:$H,6,FALSE)</f>
        <v>1</v>
      </c>
      <c r="V25" s="14">
        <f ca="1">VLOOKUP(Q25,[2]character_type_i18n!$A:$H,7,FALSE)</f>
        <v>0.7</v>
      </c>
      <c r="W25" s="77" t="str">
        <f ca="1">VLOOKUP($A25,OFFSET([2]characters!$A$1,0,0,COUNTA([2]characters!$A:$A),MATCH(W$1,[2]characters!$1:$1,0)-MATCH($A$1,[2]characters!$1:$1,0)+1),MATCH(W$1,[2]characters!$1:$1,0)-MATCH($A$1,[2]characters!$1:$1,0)+1,FALSE)</f>
        <v>animal</v>
      </c>
      <c r="X25" s="8" t="str">
        <f ca="1">VLOOKUP(W25,[2]character_tribe_i18n!$A:$H,3,FALSE)</f>
        <v>アニマル</v>
      </c>
      <c r="Y25" s="77" t="str">
        <f ca="1">VLOOKUP($A25,OFFSET([2]characters!$A$1,0,0,COUNTA([2]characters!$A:$A),MATCH(Y$1,[2]characters!$1:$1,0)-MATCH($A$1,[2]characters!$1:$1,0)+1),MATCH(Y$1,[2]characters!$1:$1,0)-MATCH($A$1,[2]characters!$1:$1,0)+1,FALSE)</f>
        <v>none</v>
      </c>
      <c r="Z25" s="8" t="str">
        <f ca="1">VLOOKUP(Y25,[2]character_tribe_i18n!$A:$H,3,FALSE)</f>
        <v>種族なし</v>
      </c>
      <c r="AA25" s="14">
        <f ca="1">VLOOKUP(W25,[2]character_tribe_i18n!$A:$H,4,FALSE)</f>
        <v>1</v>
      </c>
      <c r="AB25" s="14">
        <f ca="1">VLOOKUP(W25,[2]character_tribe_i18n!$A:$H,5,FALSE)</f>
        <v>1.1000000000000001</v>
      </c>
      <c r="AC25" s="14">
        <f ca="1">VLOOKUP(W25,[2]character_tribe_i18n!$A:$H,6,FALSE)</f>
        <v>1</v>
      </c>
      <c r="AD25" s="14">
        <f ca="1">VLOOKUP(W25,[2]character_tribe_i18n!$A:$H,7,FALSE)</f>
        <v>0.9</v>
      </c>
      <c r="AE25" s="12" t="s">
        <v>102</v>
      </c>
      <c r="AF25" s="85" t="str">
        <f ca="1">IF(AE25="NULL","",VLOOKUP($AE25,OFFSET([2]characters!$A$1,0,0,COUNTA([2]characters!$A:$A),MATCH(AF$1,[2]characters!$1:$1,0)-MATCH($A$1,[2]characters!$1:$1,0)+1),MATCH(AF$1,[2]characters!$1:$1,0)-MATCH($A$1,[2]characters!$1:$1,0)+1,FALSE))</f>
        <v/>
      </c>
      <c r="AG25" s="8">
        <f t="shared" ca="1" si="2"/>
        <v>23</v>
      </c>
      <c r="AH25" s="85" t="str">
        <f ca="1">VLOOKUP($AG25,OFFSET([2]characters!$A$1,0,0,COUNTA([2]characters!$A:$A),MATCH(AH$1,[2]characters!$1:$1,0)-MATCH($A$1,[2]characters!$1:$1,0)+1),MATCH(AH$1,[2]characters!$1:$1,0)-MATCH($A$1,[2]characters!$1:$1,0)+1,FALSE)</f>
        <v>ミール</v>
      </c>
      <c r="AI25" s="14" t="str">
        <f>IF(AE25="NULL","NULL",VLOOKUP(G25,ビット!$A$2:$B$7,2))</f>
        <v>NULL</v>
      </c>
      <c r="AJ25" s="9">
        <v>2</v>
      </c>
      <c r="AK25" s="10" t="str">
        <f t="shared" si="3"/>
        <v>普通</v>
      </c>
      <c r="AL25" s="14" t="str">
        <f ca="1">INDEX(経験値!$A$1:$I$20,MATCH(H25,経験値!$A$1:$A$20,FALSE),MATCH(G25,経験値!$A$1:$I$1,FALSE))</f>
        <v>required_exp_100</v>
      </c>
      <c r="AM25" s="11">
        <f ca="1">VLOOKUP(G25,経験値!$A$27:$B$31,2)</f>
        <v>600</v>
      </c>
      <c r="AN25" s="21">
        <f ca="1">VLOOKUP(G25,ビット!$G$2:$H$7,2)</f>
        <v>150</v>
      </c>
      <c r="AO25" s="64" t="s">
        <v>46</v>
      </c>
      <c r="AP25" s="101">
        <v>132002</v>
      </c>
      <c r="AQ25" s="77" t="e">
        <f ca="1">VLOOKUP($AP25,OFFSET([1]unit_skills!$A$1,0,0,COUNTA([1]unit_skills!$A:$A),MATCH("name",[1]unit_skills!$1:$1,0)-MATCH($AP$1,[1]unit_skills!$1:$1,0)+1),MATCH("name",[1]unit_skills!$1:$1,0)-MATCH($AP$1,[1]unit_skills!$1:$1,0)+1,FALSE)</f>
        <v>#VALUE!</v>
      </c>
      <c r="AR25" s="77" t="e">
        <f ca="1">VLOOKUP($AP25,OFFSET([1]unit_skills!$A$1,0,0,COUNTA([1]unit_skills!$A:$A),MATCH("comment",[1]unit_skills!$1:$1,0)-MATCH($AP$1,[1]unit_skills!$1:$1,0)+1),MATCH("comment",[1]unit_skills!$1:$1,0)-MATCH($AP$1,[1]unit_skills!$1:$1,0)+1,FALSE)</f>
        <v>#VALUE!</v>
      </c>
      <c r="AS25" s="77" t="e">
        <f ca="1">VLOOKUP($AP25,OFFSET([1]unit_skills!$A$1,0,0,COUNTA([1]unit_skills!$A:$A),MATCH(AS$1,[1]unit_skills!$1:$1,0)-MATCH($AP$1,[1]unit_skills!$1:$1,0)+1),MATCH(AS$1,[1]unit_skills!$1:$1,0)-MATCH($AP$1,[1]unit_skills!$1:$1,0)+1,FALSE)</f>
        <v>#VALUE!</v>
      </c>
      <c r="AT25" s="97">
        <v>300006</v>
      </c>
      <c r="AU25" s="77" t="e">
        <f ca="1">VLOOKUP($AT25,OFFSET([1]crash_skills!$A$1,0,0,COUNTA([1]crash_skills!$A:$A),MATCH("name",[1]crash_skills!$1:$1,0)-MATCH($AT$1,[1]crash_skills!$1:$1,0)+1),MATCH("name",[1]crash_skills!$1:$1,0)-MATCH($AT$1,[1]crash_skills!$1:$1,0)+1,FALSE)</f>
        <v>#VALUE!</v>
      </c>
      <c r="AV25" s="77" t="e">
        <f ca="1">VLOOKUP($AT25,OFFSET([1]crash_skills!$A$1,0,0,COUNTA([1]crash_skills!$A:$A),MATCH("comment",[1]crash_skills!$1:$1,0)-MATCH($AT$1,[1]crash_skills!$1:$1,0)+1),MATCH("comment",[1]crash_skills!$1:$1,0)-MATCH($AT$1,[1]crash_skills!$1:$1,0)+1,FALSE)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5" s="77" t="e">
        <f ca="1">VLOOKUP($AT25,OFFSET([1]crash_skills!$A$1,0,0,COUNTA([1]crash_skills!$A:$A),MATCH(AW$1,[1]crash_skills!$1:$1,0)-MATCH($AT$1,[1]crash_skills!$1:$1,0)+1),MATCH(AW$1,[1]crash_skills!$1:$1,0)-MATCH($AT$1,[1]crash_skills!$1:$1,0)+1,FALSE)</f>
        <v>#VALUE!</v>
      </c>
      <c r="AX25" s="81">
        <f ca="1">VLOOKUP($A25,OFFSET([2]characters!$A$1,0,0,COUNTA([2]characters!$A:$A),MATCH(AX$1,[2]characters!$1:$1,0)-MATCH($A$1,[2]characters!$1:$1,0)+1),MATCH(AX$1,[2]characters!$1:$1,0)-MATCH($A$1,[2]characters!$1:$1,0)+1,FALSE)</f>
        <v>3</v>
      </c>
      <c r="AY25" s="19">
        <v>1</v>
      </c>
      <c r="AZ25" s="19">
        <v>1</v>
      </c>
      <c r="BA25" s="19">
        <v>0</v>
      </c>
      <c r="BB25" s="19">
        <v>1</v>
      </c>
      <c r="BC25" s="14">
        <f ca="1">INDEX('RC6SV'!$A$1:$G$20,MATCH(H25,'RC6SV'!$A$1:$A$20,FALSE),MATCH(G25,'RC6SV'!$A$1:$G$1,FALSE))</f>
        <v>2800</v>
      </c>
      <c r="BD25" s="63">
        <f t="shared" ca="1" si="4"/>
        <v>2800</v>
      </c>
      <c r="BE25" s="14">
        <f t="shared" ca="1" si="5"/>
        <v>2000</v>
      </c>
      <c r="BF25" s="14">
        <f t="shared" ca="1" si="6"/>
        <v>1</v>
      </c>
      <c r="BG25" s="20">
        <f ca="1">IF($BE25&lt;=0,ROUND(BK25*0.5,0), ROUND($BE25*S25*AA25*J25*AY25*0.8*[2]ステータス!$B$2,0))</f>
        <v>1183</v>
      </c>
      <c r="BH25" s="20">
        <f ca="1">IF($BE25&lt;=0,ROUND(BL25*0.5,0), ROUND($BE25*T25*AB25*K25*AZ25*0.8*[2]ステータス!$C$2,0))</f>
        <v>440</v>
      </c>
      <c r="BI25" s="20">
        <f ca="1">IF($BE25&lt;=0,ROUND(BM25*0.5,0), ROUND($BE25*U25*AC25*L25*BA25*0.8*[2]ステータス!$D$2,0))</f>
        <v>0</v>
      </c>
      <c r="BJ25" s="20">
        <f ca="1">IF($BE25&lt;=0,ROUND(BN25*0.5,0), ROUND($BE25*V25*AD25*M25*BB25*0.8*[2]ステータス!$E$2,0))</f>
        <v>252</v>
      </c>
      <c r="BK25" s="14">
        <f ca="1">ROUND(BD25*S25*AA25*J25*AY25*[2]ステータス!$B$2,0)</f>
        <v>2071</v>
      </c>
      <c r="BL25" s="14">
        <f ca="1">ROUND(BD25*T25*AB25*K25*AZ25*[2]ステータス!$C$2,0)</f>
        <v>770</v>
      </c>
      <c r="BM25" s="14">
        <f ca="1">ROUND(BD25*U25*AC25*L25*BA25*[2]ステータス!$D$2,0)</f>
        <v>0</v>
      </c>
      <c r="BN25" s="14">
        <f ca="1">ROUND(BD25*V25*AD25*M25*BB25*[2]ステータス!$E$2,0)</f>
        <v>441</v>
      </c>
      <c r="BO25" s="13">
        <v>0</v>
      </c>
      <c r="BP25" s="13">
        <v>1</v>
      </c>
      <c r="BQ25" s="13" t="s">
        <v>102</v>
      </c>
      <c r="BR25" s="13">
        <f ca="1">VLOOKUP(H25,ghosts_label!$A$2:$B$19,2,FALSE)</f>
        <v>1</v>
      </c>
    </row>
    <row r="26" spans="1:70" ht="21" customHeight="1" x14ac:dyDescent="0.15">
      <c r="A26" s="14">
        <f t="shared" ca="1" si="0"/>
        <v>25</v>
      </c>
      <c r="B26" s="77" t="str">
        <f ca="1">VLOOKUP($A26,OFFSET([2]characters!$A$1,0,0,COUNTA([2]characters!$A:$A),MATCH(B$1,[2]characters!$1:$1,0)-MATCH($A$1,[2]characters!$1:$1,0)+1),MATCH(B$1,[2]characters!$1:$1,0)-MATCH($A$1,[2]characters!$1:$1,0)+1,FALSE)</f>
        <v>ハチ</v>
      </c>
      <c r="C26" s="77" t="str">
        <f ca="1">VLOOKUP($A26,OFFSET([2]characters!$A$1,0,0,COUNTA([2]characters!$A:$A),MATCH(C$1,[2]characters!$1:$1,0)-MATCH($A$1,[2]characters!$1:$1,0)+1),MATCH(C$1,[2]characters!$1:$1,0)-MATCH($A$1,[2]characters!$1:$1,0)+1,FALSE)</f>
        <v>ノーマルクエスト</v>
      </c>
      <c r="D26" s="77" t="str">
        <f ca="1">VLOOKUP($A26,OFFSET([2]characters!$A$1,0,0,COUNTA([2]characters!$A:$A),MATCH(D$1,[2]characters!$1:$1,0)-MATCH($A$1,[2]characters!$1:$1,0)+1),MATCH(D$1,[2]characters!$1:$1,0)-MATCH($A$1,[2]characters!$1:$1,0)+1,FALSE)</f>
        <v>アバター</v>
      </c>
      <c r="E26" s="77" t="str">
        <f ca="1">VLOOKUP($A26,OFFSET([2]characters!$A$1,0,0,COUNTA([2]characters!$A:$A),MATCH(E$1,[2]characters!$1:$1,0)-MATCH($A$1,[2]characters!$1:$1,0)+1),MATCH(E$1,[2]characters!$1:$1,0)-MATCH($A$1,[2]characters!$1:$1,0)+1,FALSE)</f>
        <v>世界観</v>
      </c>
      <c r="F26" s="77" t="str">
        <f ca="1">VLOOKUP($A26,OFFSET([2]characters!$A$1,0,0,COUNTA([2]characters!$A:$A),MATCH(F$1,[2]characters!$1:$1,0)-MATCH($A$1,[2]characters!$1:$1,0)+1),MATCH(F$1,[2]characters!$1:$1,0)-MATCH($A$1,[2]characters!$1:$1,0)+1,FALSE)</f>
        <v>不明</v>
      </c>
      <c r="G26" s="77">
        <f ca="1">VLOOKUP($A26,OFFSET([2]characters!$A$1,0,0,COUNTA([2]characters!$A:$A),MATCH(G$1,[2]characters!$1:$1,0)-MATCH($A$1,[2]characters!$1:$1,0)+1),MATCH(G$1,[2]characters!$1:$1,0)-MATCH($A$1,[2]characters!$1:$1,0)+1,FALSE)</f>
        <v>1</v>
      </c>
      <c r="H26" s="77" t="str">
        <f ca="1">VLOOKUP($A26,OFFSET([2]characters!$A$1,0,0,COUNTA([2]characters!$A:$A),MATCH(H$1,[2]characters!$1:$1,0)-MATCH($A$1,[2]characters!$1:$1,0)+1),MATCH(H$1,[2]characters!$1:$1,0)-MATCH($A$1,[2]characters!$1:$1,0)+1,FALSE)</f>
        <v>Drop1N</v>
      </c>
      <c r="I26" s="77" t="str">
        <f ca="1">VLOOKUP($A26,OFFSET([2]characters!$A$1,0,0,COUNTA([2]characters!$A:$A),MATCH(I$1,[2]characters!$1:$1,0)-MATCH($A$1,[2]characters!$1:$1,0)+1),MATCH(I$1,[2]characters!$1:$1,0)-MATCH($A$1,[2]characters!$1:$1,0)+1,FALSE)</f>
        <v>blue</v>
      </c>
      <c r="J26" s="14">
        <f ca="1">VLOOKUP(I26,[2]属性!$A:$E,2,FALSE)</f>
        <v>1</v>
      </c>
      <c r="K26" s="14">
        <f ca="1">VLOOKUP(I26,[2]属性!$A:$E,3,FALSE)</f>
        <v>0.98</v>
      </c>
      <c r="L26" s="14">
        <f ca="1">VLOOKUP(I26,[2]属性!$A:$E,4,FALSE)</f>
        <v>1</v>
      </c>
      <c r="M26" s="14">
        <f ca="1">VLOOKUP(I26,[2]属性!$A:$E,5,FALSE)</f>
        <v>1.02</v>
      </c>
      <c r="N26" s="14">
        <f ca="1">INDEX(コスト!$A$1:$I$20,MATCH(H26,コスト!$A$1:$A$20,FALSE),MATCH(G26,コスト!$A$1:$I$1,FALSE))</f>
        <v>2</v>
      </c>
      <c r="O26" s="14">
        <f ca="1">INDEX(レベル!$A$1:$I$21,MATCH(H26,レベル!$A$1:$A$21,FALSE),MATCH(G26,レベル!$A$1:$I$1,FALSE))</f>
        <v>15</v>
      </c>
      <c r="P26" s="63">
        <f t="shared" ca="1" si="7"/>
        <v>15</v>
      </c>
      <c r="Q26" s="77" t="str">
        <f ca="1">VLOOKUP($A26,OFFSET([2]characters!$A$1,0,0,COUNTA([2]characters!$A:$A),MATCH(Q$1,[2]characters!$1:$1,0)-MATCH($A$1,[2]characters!$1:$1,0)+1),MATCH(Q$1,[2]characters!$1:$1,0)-MATCH($A$1,[2]characters!$1:$1,0)+1,FALSE)</f>
        <v>hp</v>
      </c>
      <c r="R26" s="8" t="str">
        <f ca="1">VLOOKUP(Q26,[2]character_type_i18n!$A:$H,3,FALSE)</f>
        <v>体力タイプ</v>
      </c>
      <c r="S26" s="14">
        <f ca="1">VLOOKUP(Q26,[2]character_type_i18n!$A:$H,4,FALSE)</f>
        <v>1.45</v>
      </c>
      <c r="T26" s="14">
        <f ca="1">VLOOKUP(Q26,[2]character_type_i18n!$A:$H,5,FALSE)</f>
        <v>0.85</v>
      </c>
      <c r="U26" s="14">
        <f ca="1">VLOOKUP(Q26,[2]character_type_i18n!$A:$H,6,FALSE)</f>
        <v>1</v>
      </c>
      <c r="V26" s="14">
        <f ca="1">VLOOKUP(Q26,[2]character_type_i18n!$A:$H,7,FALSE)</f>
        <v>0.7</v>
      </c>
      <c r="W26" s="77" t="str">
        <f ca="1">VLOOKUP($A26,OFFSET([2]characters!$A$1,0,0,COUNTA([2]characters!$A:$A),MATCH(W$1,[2]characters!$1:$1,0)-MATCH($A$1,[2]characters!$1:$1,0)+1),MATCH(W$1,[2]characters!$1:$1,0)-MATCH($A$1,[2]characters!$1:$1,0)+1,FALSE)</f>
        <v>animal</v>
      </c>
      <c r="X26" s="8" t="str">
        <f ca="1">VLOOKUP(W26,[2]character_tribe_i18n!$A:$H,3,FALSE)</f>
        <v>アニマル</v>
      </c>
      <c r="Y26" s="77" t="str">
        <f ca="1">VLOOKUP($A26,OFFSET([2]characters!$A$1,0,0,COUNTA([2]characters!$A:$A),MATCH(Y$1,[2]characters!$1:$1,0)-MATCH($A$1,[2]characters!$1:$1,0)+1),MATCH(Y$1,[2]characters!$1:$1,0)-MATCH($A$1,[2]characters!$1:$1,0)+1,FALSE)</f>
        <v>none</v>
      </c>
      <c r="Z26" s="8" t="str">
        <f ca="1">VLOOKUP(Y26,[2]character_tribe_i18n!$A:$H,3,FALSE)</f>
        <v>種族なし</v>
      </c>
      <c r="AA26" s="14">
        <f ca="1">VLOOKUP(W26,[2]character_tribe_i18n!$A:$H,4,FALSE)</f>
        <v>1</v>
      </c>
      <c r="AB26" s="14">
        <f ca="1">VLOOKUP(W26,[2]character_tribe_i18n!$A:$H,5,FALSE)</f>
        <v>1.1000000000000001</v>
      </c>
      <c r="AC26" s="14">
        <f ca="1">VLOOKUP(W26,[2]character_tribe_i18n!$A:$H,6,FALSE)</f>
        <v>1</v>
      </c>
      <c r="AD26" s="14">
        <f ca="1">VLOOKUP(W26,[2]character_tribe_i18n!$A:$H,7,FALSE)</f>
        <v>0.9</v>
      </c>
      <c r="AE26" s="12">
        <v>26</v>
      </c>
      <c r="AF26" s="85" t="str">
        <f ca="1">IF(AE26="NULL","",VLOOKUP($AE26,OFFSET([2]characters!$A$1,0,0,COUNTA([2]characters!$A:$A),MATCH(AF$1,[2]characters!$1:$1,0)-MATCH($A$1,[2]characters!$1:$1,0)+1),MATCH(AF$1,[2]characters!$1:$1,0)-MATCH($A$1,[2]characters!$1:$1,0)+1,FALSE))</f>
        <v>勇犬 ハチ</v>
      </c>
      <c r="AG26" s="8">
        <f t="shared" ca="1" si="2"/>
        <v>25</v>
      </c>
      <c r="AH26" s="85" t="str">
        <f ca="1">VLOOKUP($AG26,OFFSET([2]characters!$A$1,0,0,COUNTA([2]characters!$A:$A),MATCH(AH$1,[2]characters!$1:$1,0)-MATCH($A$1,[2]characters!$1:$1,0)+1),MATCH(AH$1,[2]characters!$1:$1,0)-MATCH($A$1,[2]characters!$1:$1,0)+1,FALSE)</f>
        <v>ハチ</v>
      </c>
      <c r="AI26" s="14">
        <f ca="1">IF(AE26="NULL","NULL",VLOOKUP(G26,ビット!$A$2:$B$7,2))</f>
        <v>5000</v>
      </c>
      <c r="AJ26" s="9">
        <v>2</v>
      </c>
      <c r="AK26" s="10" t="str">
        <f t="shared" si="3"/>
        <v>普通</v>
      </c>
      <c r="AL26" s="14" t="str">
        <f ca="1">INDEX(経験値!$A$1:$I$20,MATCH(H26,経験値!$A$1:$A$20,FALSE),MATCH(G26,経験値!$A$1:$I$1,FALSE))</f>
        <v>required_exp_100</v>
      </c>
      <c r="AM26" s="11">
        <f ca="1">VLOOKUP(G26,経験値!$A$27:$B$31,2)</f>
        <v>200</v>
      </c>
      <c r="AN26" s="21">
        <f ca="1">VLOOKUP(G26,ビット!$G$2:$H$7,2)</f>
        <v>75</v>
      </c>
      <c r="AO26" s="64" t="s">
        <v>46</v>
      </c>
      <c r="AP26" s="101">
        <v>133001</v>
      </c>
      <c r="AQ26" s="77" t="e">
        <f ca="1">VLOOKUP($AP26,OFFSET([1]unit_skills!$A$1,0,0,COUNTA([1]unit_skills!$A:$A),MATCH("name",[1]unit_skills!$1:$1,0)-MATCH($AP$1,[1]unit_skills!$1:$1,0)+1),MATCH("name",[1]unit_skills!$1:$1,0)-MATCH($AP$1,[1]unit_skills!$1:$1,0)+1,FALSE)</f>
        <v>#VALUE!</v>
      </c>
      <c r="AR26" s="77" t="e">
        <f ca="1">VLOOKUP($AP26,OFFSET([1]unit_skills!$A$1,0,0,COUNTA([1]unit_skills!$A:$A),MATCH("comment",[1]unit_skills!$1:$1,0)-MATCH($AP$1,[1]unit_skills!$1:$1,0)+1),MATCH("comment",[1]unit_skills!$1:$1,0)-MATCH($AP$1,[1]unit_skills!$1:$1,0)+1,FALSE)</f>
        <v>#VALUE!</v>
      </c>
      <c r="AS26" s="77" t="e">
        <f ca="1">VLOOKUP($AP26,OFFSET([1]unit_skills!$A$1,0,0,COUNTA([1]unit_skills!$A:$A),MATCH(AS$1,[1]unit_skills!$1:$1,0)-MATCH($AP$1,[1]unit_skills!$1:$1,0)+1),MATCH(AS$1,[1]unit_skills!$1:$1,0)-MATCH($AP$1,[1]unit_skills!$1:$1,0)+1,FALSE)</f>
        <v>#VALUE!</v>
      </c>
      <c r="AT26" s="97">
        <v>133001</v>
      </c>
      <c r="AU26" s="77" t="e">
        <f ca="1">VLOOKUP($AT26,OFFSET([1]crash_skills!$A$1,0,0,COUNTA([1]crash_skills!$A:$A),MATCH("name",[1]crash_skills!$1:$1,0)-MATCH($AT$1,[1]crash_skills!$1:$1,0)+1),MATCH("name",[1]crash_skills!$1:$1,0)-MATCH($AT$1,[1]crash_skills!$1:$1,0)+1,FALSE)</f>
        <v>#VALUE!</v>
      </c>
      <c r="AV26" s="77" t="e">
        <f ca="1">VLOOKUP($AT26,OFFSET([1]crash_skills!$A$1,0,0,COUNTA([1]crash_skills!$A:$A),MATCH("comment",[1]crash_skills!$1:$1,0)-MATCH($AT$1,[1]crash_skills!$1:$1,0)+1),MATCH("comment",[1]crash_skills!$1:$1,0)-MATCH($AT$1,[1]crash_skills!$1:$1,0)+1,FALSE)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6" s="77" t="e">
        <f ca="1">VLOOKUP($AT26,OFFSET([1]crash_skills!$A$1,0,0,COUNTA([1]crash_skills!$A:$A),MATCH(AW$1,[1]crash_skills!$1:$1,0)-MATCH($AT$1,[1]crash_skills!$1:$1,0)+1),MATCH(AW$1,[1]crash_skills!$1:$1,0)-MATCH($AT$1,[1]crash_skills!$1:$1,0)+1,FALSE)</f>
        <v>#VALUE!</v>
      </c>
      <c r="AX26" s="81">
        <f ca="1">VLOOKUP($A26,OFFSET([2]characters!$A$1,0,0,COUNTA([2]characters!$A:$A),MATCH(AX$1,[2]characters!$1:$1,0)-MATCH($A$1,[2]characters!$1:$1,0)+1),MATCH(AX$1,[2]characters!$1:$1,0)-MATCH($A$1,[2]characters!$1:$1,0)+1,FALSE)</f>
        <v>3</v>
      </c>
      <c r="AY26" s="19">
        <v>1</v>
      </c>
      <c r="AZ26" s="19">
        <v>1</v>
      </c>
      <c r="BA26" s="19">
        <v>0</v>
      </c>
      <c r="BB26" s="19">
        <v>1</v>
      </c>
      <c r="BC26" s="14">
        <f ca="1">INDEX('RC6SV'!$A$1:$G$20,MATCH(H26,'RC6SV'!$A$1:$A$20,FALSE),MATCH(G26,'RC6SV'!$A$1:$G$1,FALSE))</f>
        <v>2000</v>
      </c>
      <c r="BD26" s="63">
        <f t="shared" ca="1" si="4"/>
        <v>2000</v>
      </c>
      <c r="BE26" s="14">
        <f t="shared" ca="1" si="5"/>
        <v>0</v>
      </c>
      <c r="BF26" s="14">
        <f t="shared" ca="1" si="6"/>
        <v>1</v>
      </c>
      <c r="BG26" s="20">
        <f ca="1">IF($BE26&lt;=0,ROUND(BK26*0.5,0), ROUND($BE26*S26*AA26*J26*AY26*0.8*[2]ステータス!$B$2,0))</f>
        <v>725</v>
      </c>
      <c r="BH26" s="20">
        <f ca="1">IF($BE26&lt;=0,ROUND(BL26*0.5,0), ROUND($BE26*T26*AB26*K26*AZ26*0.8*[2]ステータス!$C$2,0))</f>
        <v>275</v>
      </c>
      <c r="BI26" s="20">
        <f ca="1">IF($BE26&lt;=0,ROUND(BM26*0.5,0), ROUND($BE26*U26*AC26*L26*BA26*0.8*[2]ステータス!$D$2,0))</f>
        <v>0</v>
      </c>
      <c r="BJ26" s="20">
        <f ca="1">IF($BE26&lt;=0,ROUND(BN26*0.5,0), ROUND($BE26*V26*AD26*M26*BB26*0.8*[2]ステータス!$E$2,0))</f>
        <v>161</v>
      </c>
      <c r="BK26" s="14">
        <f ca="1">ROUND(BD26*S26*AA26*J26*AY26*[2]ステータス!$B$2,0)</f>
        <v>1450</v>
      </c>
      <c r="BL26" s="14">
        <f ca="1">ROUND(BD26*T26*AB26*K26*AZ26*[2]ステータス!$C$2,0)</f>
        <v>550</v>
      </c>
      <c r="BM26" s="14">
        <f ca="1">ROUND(BD26*U26*AC26*L26*BA26*[2]ステータス!$D$2,0)</f>
        <v>0</v>
      </c>
      <c r="BN26" s="14">
        <f ca="1">ROUND(BD26*V26*AD26*M26*BB26*[2]ステータス!$E$2,0)</f>
        <v>321</v>
      </c>
      <c r="BO26" s="13">
        <v>0</v>
      </c>
      <c r="BP26" s="13">
        <v>1</v>
      </c>
      <c r="BQ26" s="13" t="s">
        <v>102</v>
      </c>
      <c r="BR26" s="13">
        <f ca="1">VLOOKUP(H26,ghosts_label!$A$2:$B$19,2,FALSE)</f>
        <v>1</v>
      </c>
    </row>
    <row r="27" spans="1:70" ht="21" customHeight="1" x14ac:dyDescent="0.15">
      <c r="A27" s="14">
        <f t="shared" ca="1" si="0"/>
        <v>26</v>
      </c>
      <c r="B27" s="77" t="str">
        <f ca="1">VLOOKUP($A27,OFFSET([2]characters!$A$1,0,0,COUNTA([2]characters!$A:$A),MATCH(B$1,[2]characters!$1:$1,0)-MATCH($A$1,[2]characters!$1:$1,0)+1),MATCH(B$1,[2]characters!$1:$1,0)-MATCH($A$1,[2]characters!$1:$1,0)+1,FALSE)</f>
        <v>勇犬 ハチ</v>
      </c>
      <c r="C27" s="77" t="str">
        <f ca="1">VLOOKUP($A27,OFFSET([2]characters!$A$1,0,0,COUNTA([2]characters!$A:$A),MATCH(C$1,[2]characters!$1:$1,0)-MATCH($A$1,[2]characters!$1:$1,0)+1),MATCH(C$1,[2]characters!$1:$1,0)-MATCH($A$1,[2]characters!$1:$1,0)+1,FALSE)</f>
        <v>ノーマルクエスト</v>
      </c>
      <c r="D27" s="77" t="str">
        <f ca="1">VLOOKUP($A27,OFFSET([2]characters!$A$1,0,0,COUNTA([2]characters!$A:$A),MATCH(D$1,[2]characters!$1:$1,0)-MATCH($A$1,[2]characters!$1:$1,0)+1),MATCH(D$1,[2]characters!$1:$1,0)-MATCH($A$1,[2]characters!$1:$1,0)+1,FALSE)</f>
        <v>アバター</v>
      </c>
      <c r="E27" s="77" t="str">
        <f ca="1">VLOOKUP($A27,OFFSET([2]characters!$A$1,0,0,COUNTA([2]characters!$A:$A),MATCH(E$1,[2]characters!$1:$1,0)-MATCH($A$1,[2]characters!$1:$1,0)+1),MATCH(E$1,[2]characters!$1:$1,0)-MATCH($A$1,[2]characters!$1:$1,0)+1,FALSE)</f>
        <v>世界観</v>
      </c>
      <c r="F27" s="77" t="str">
        <f ca="1">VLOOKUP($A27,OFFSET([2]characters!$A$1,0,0,COUNTA([2]characters!$A:$A),MATCH(F$1,[2]characters!$1:$1,0)-MATCH($A$1,[2]characters!$1:$1,0)+1),MATCH(F$1,[2]characters!$1:$1,0)-MATCH($A$1,[2]characters!$1:$1,0)+1,FALSE)</f>
        <v>不明</v>
      </c>
      <c r="G27" s="77">
        <f ca="1">VLOOKUP($A27,OFFSET([2]characters!$A$1,0,0,COUNTA([2]characters!$A:$A),MATCH(G$1,[2]characters!$1:$1,0)-MATCH($A$1,[2]characters!$1:$1,0)+1),MATCH(G$1,[2]characters!$1:$1,0)-MATCH($A$1,[2]characters!$1:$1,0)+1,FALSE)</f>
        <v>2</v>
      </c>
      <c r="H27" s="77" t="str">
        <f ca="1">VLOOKUP($A27,OFFSET([2]characters!$A$1,0,0,COUNTA([2]characters!$A:$A),MATCH(H$1,[2]characters!$1:$1,0)-MATCH($A$1,[2]characters!$1:$1,0)+1),MATCH(H$1,[2]characters!$1:$1,0)-MATCH($A$1,[2]characters!$1:$1,0)+1,FALSE)</f>
        <v>Drop1N</v>
      </c>
      <c r="I27" s="77" t="str">
        <f ca="1">VLOOKUP($A27,OFFSET([2]characters!$A$1,0,0,COUNTA([2]characters!$A:$A),MATCH(I$1,[2]characters!$1:$1,0)-MATCH($A$1,[2]characters!$1:$1,0)+1),MATCH(I$1,[2]characters!$1:$1,0)-MATCH($A$1,[2]characters!$1:$1,0)+1,FALSE)</f>
        <v>blue</v>
      </c>
      <c r="J27" s="14">
        <f ca="1">VLOOKUP(I27,[2]属性!$A:$E,2,FALSE)</f>
        <v>1</v>
      </c>
      <c r="K27" s="14">
        <f ca="1">VLOOKUP(I27,[2]属性!$A:$E,3,FALSE)</f>
        <v>0.98</v>
      </c>
      <c r="L27" s="14">
        <f ca="1">VLOOKUP(I27,[2]属性!$A:$E,4,FALSE)</f>
        <v>1</v>
      </c>
      <c r="M27" s="14">
        <f ca="1">VLOOKUP(I27,[2]属性!$A:$E,5,FALSE)</f>
        <v>1.02</v>
      </c>
      <c r="N27" s="14">
        <f ca="1">INDEX(コスト!$A$1:$I$20,MATCH(H27,コスト!$A$1:$A$20,FALSE),MATCH(G27,コスト!$A$1:$I$1,FALSE))</f>
        <v>4</v>
      </c>
      <c r="O27" s="14">
        <f ca="1">INDEX(レベル!$A$1:$I$21,MATCH(H27,レベル!$A$1:$A$21,FALSE),MATCH(G27,レベル!$A$1:$I$1,FALSE))</f>
        <v>30</v>
      </c>
      <c r="P27" s="63">
        <f t="shared" ca="1" si="7"/>
        <v>30</v>
      </c>
      <c r="Q27" s="77" t="str">
        <f ca="1">VLOOKUP($A27,OFFSET([2]characters!$A$1,0,0,COUNTA([2]characters!$A:$A),MATCH(Q$1,[2]characters!$1:$1,0)-MATCH($A$1,[2]characters!$1:$1,0)+1),MATCH(Q$1,[2]characters!$1:$1,0)-MATCH($A$1,[2]characters!$1:$1,0)+1,FALSE)</f>
        <v>hp</v>
      </c>
      <c r="R27" s="8" t="str">
        <f ca="1">VLOOKUP(Q27,[2]character_type_i18n!$A:$H,3,FALSE)</f>
        <v>体力タイプ</v>
      </c>
      <c r="S27" s="14">
        <f ca="1">VLOOKUP(Q27,[2]character_type_i18n!$A:$H,4,FALSE)</f>
        <v>1.45</v>
      </c>
      <c r="T27" s="14">
        <f ca="1">VLOOKUP(Q27,[2]character_type_i18n!$A:$H,5,FALSE)</f>
        <v>0.85</v>
      </c>
      <c r="U27" s="14">
        <f ca="1">VLOOKUP(Q27,[2]character_type_i18n!$A:$H,6,FALSE)</f>
        <v>1</v>
      </c>
      <c r="V27" s="14">
        <f ca="1">VLOOKUP(Q27,[2]character_type_i18n!$A:$H,7,FALSE)</f>
        <v>0.7</v>
      </c>
      <c r="W27" s="77" t="str">
        <f ca="1">VLOOKUP($A27,OFFSET([2]characters!$A$1,0,0,COUNTA([2]characters!$A:$A),MATCH(W$1,[2]characters!$1:$1,0)-MATCH($A$1,[2]characters!$1:$1,0)+1),MATCH(W$1,[2]characters!$1:$1,0)-MATCH($A$1,[2]characters!$1:$1,0)+1,FALSE)</f>
        <v>animal</v>
      </c>
      <c r="X27" s="8" t="str">
        <f ca="1">VLOOKUP(W27,[2]character_tribe_i18n!$A:$H,3,FALSE)</f>
        <v>アニマル</v>
      </c>
      <c r="Y27" s="77" t="str">
        <f ca="1">VLOOKUP($A27,OFFSET([2]characters!$A$1,0,0,COUNTA([2]characters!$A:$A),MATCH(Y$1,[2]characters!$1:$1,0)-MATCH($A$1,[2]characters!$1:$1,0)+1),MATCH(Y$1,[2]characters!$1:$1,0)-MATCH($A$1,[2]characters!$1:$1,0)+1,FALSE)</f>
        <v>none</v>
      </c>
      <c r="Z27" s="8" t="str">
        <f ca="1">VLOOKUP(Y27,[2]character_tribe_i18n!$A:$H,3,FALSE)</f>
        <v>種族なし</v>
      </c>
      <c r="AA27" s="14">
        <f ca="1">VLOOKUP(W27,[2]character_tribe_i18n!$A:$H,4,FALSE)</f>
        <v>1</v>
      </c>
      <c r="AB27" s="14">
        <f ca="1">VLOOKUP(W27,[2]character_tribe_i18n!$A:$H,5,FALSE)</f>
        <v>1.1000000000000001</v>
      </c>
      <c r="AC27" s="14">
        <f ca="1">VLOOKUP(W27,[2]character_tribe_i18n!$A:$H,6,FALSE)</f>
        <v>1</v>
      </c>
      <c r="AD27" s="14">
        <f ca="1">VLOOKUP(W27,[2]character_tribe_i18n!$A:$H,7,FALSE)</f>
        <v>0.9</v>
      </c>
      <c r="AE27" s="12" t="s">
        <v>102</v>
      </c>
      <c r="AF27" s="85" t="str">
        <f ca="1">IF(AE27="NULL","",VLOOKUP($AE27,OFFSET([2]characters!$A$1,0,0,COUNTA([2]characters!$A:$A),MATCH(AF$1,[2]characters!$1:$1,0)-MATCH($A$1,[2]characters!$1:$1,0)+1),MATCH(AF$1,[2]characters!$1:$1,0)-MATCH($A$1,[2]characters!$1:$1,0)+1,FALSE))</f>
        <v/>
      </c>
      <c r="AG27" s="8">
        <f t="shared" ca="1" si="2"/>
        <v>25</v>
      </c>
      <c r="AH27" s="85" t="str">
        <f ca="1">VLOOKUP($AG27,OFFSET([2]characters!$A$1,0,0,COUNTA([2]characters!$A:$A),MATCH(AH$1,[2]characters!$1:$1,0)-MATCH($A$1,[2]characters!$1:$1,0)+1),MATCH(AH$1,[2]characters!$1:$1,0)-MATCH($A$1,[2]characters!$1:$1,0)+1,FALSE)</f>
        <v>ハチ</v>
      </c>
      <c r="AI27" s="14" t="str">
        <f>IF(AE27="NULL","NULL",VLOOKUP(G27,ビット!$A$2:$B$7,2))</f>
        <v>NULL</v>
      </c>
      <c r="AJ27" s="9">
        <v>2</v>
      </c>
      <c r="AK27" s="10" t="str">
        <f t="shared" si="3"/>
        <v>普通</v>
      </c>
      <c r="AL27" s="14" t="str">
        <f ca="1">INDEX(経験値!$A$1:$I$20,MATCH(H27,経験値!$A$1:$A$20,FALSE),MATCH(G27,経験値!$A$1:$I$1,FALSE))</f>
        <v>required_exp_100</v>
      </c>
      <c r="AM27" s="11">
        <f ca="1">VLOOKUP(G27,経験値!$A$27:$B$31,2)</f>
        <v>600</v>
      </c>
      <c r="AN27" s="21">
        <f ca="1">VLOOKUP(G27,ビット!$G$2:$H$7,2)</f>
        <v>150</v>
      </c>
      <c r="AO27" s="64" t="s">
        <v>46</v>
      </c>
      <c r="AP27" s="101">
        <v>133002</v>
      </c>
      <c r="AQ27" s="77" t="e">
        <f ca="1">VLOOKUP($AP27,OFFSET([1]unit_skills!$A$1,0,0,COUNTA([1]unit_skills!$A:$A),MATCH("name",[1]unit_skills!$1:$1,0)-MATCH($AP$1,[1]unit_skills!$1:$1,0)+1),MATCH("name",[1]unit_skills!$1:$1,0)-MATCH($AP$1,[1]unit_skills!$1:$1,0)+1,FALSE)</f>
        <v>#VALUE!</v>
      </c>
      <c r="AR27" s="77" t="e">
        <f ca="1">VLOOKUP($AP27,OFFSET([1]unit_skills!$A$1,0,0,COUNTA([1]unit_skills!$A:$A),MATCH("comment",[1]unit_skills!$1:$1,0)-MATCH($AP$1,[1]unit_skills!$1:$1,0)+1),MATCH("comment",[1]unit_skills!$1:$1,0)-MATCH($AP$1,[1]unit_skills!$1:$1,0)+1,FALSE)</f>
        <v>#VALUE!</v>
      </c>
      <c r="AS27" s="77" t="e">
        <f ca="1">VLOOKUP($AP27,OFFSET([1]unit_skills!$A$1,0,0,COUNTA([1]unit_skills!$A:$A),MATCH(AS$1,[1]unit_skills!$1:$1,0)-MATCH($AP$1,[1]unit_skills!$1:$1,0)+1),MATCH(AS$1,[1]unit_skills!$1:$1,0)-MATCH($AP$1,[1]unit_skills!$1:$1,0)+1,FALSE)</f>
        <v>#VALUE!</v>
      </c>
      <c r="AT27" s="97">
        <v>133002</v>
      </c>
      <c r="AU27" s="77" t="e">
        <f ca="1">VLOOKUP($AT27,OFFSET([1]crash_skills!$A$1,0,0,COUNTA([1]crash_skills!$A:$A),MATCH("name",[1]crash_skills!$1:$1,0)-MATCH($AT$1,[1]crash_skills!$1:$1,0)+1),MATCH("name",[1]crash_skills!$1:$1,0)-MATCH($AT$1,[1]crash_skills!$1:$1,0)+1,FALSE)</f>
        <v>#VALUE!</v>
      </c>
      <c r="AV27" s="77" t="e">
        <f ca="1">VLOOKUP($AT27,OFFSET([1]crash_skills!$A$1,0,0,COUNTA([1]crash_skills!$A:$A),MATCH("comment",[1]crash_skills!$1:$1,0)-MATCH($AT$1,[1]crash_skills!$1:$1,0)+1),MATCH("comment",[1]crash_skills!$1:$1,0)-MATCH($AT$1,[1]crash_skills!$1:$1,0)+1,FALSE)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7" s="77" t="e">
        <f ca="1">VLOOKUP($AT27,OFFSET([1]crash_skills!$A$1,0,0,COUNTA([1]crash_skills!$A:$A),MATCH(AW$1,[1]crash_skills!$1:$1,0)-MATCH($AT$1,[1]crash_skills!$1:$1,0)+1),MATCH(AW$1,[1]crash_skills!$1:$1,0)-MATCH($AT$1,[1]crash_skills!$1:$1,0)+1,FALSE)</f>
        <v>#VALUE!</v>
      </c>
      <c r="AX27" s="81">
        <f ca="1">VLOOKUP($A27,OFFSET([2]characters!$A$1,0,0,COUNTA([2]characters!$A:$A),MATCH(AX$1,[2]characters!$1:$1,0)-MATCH($A$1,[2]characters!$1:$1,0)+1),MATCH(AX$1,[2]characters!$1:$1,0)-MATCH($A$1,[2]characters!$1:$1,0)+1,FALSE)</f>
        <v>3</v>
      </c>
      <c r="AY27" s="19">
        <v>1</v>
      </c>
      <c r="AZ27" s="19">
        <v>1</v>
      </c>
      <c r="BA27" s="19">
        <v>0</v>
      </c>
      <c r="BB27" s="19">
        <v>1</v>
      </c>
      <c r="BC27" s="14">
        <f ca="1">INDEX('RC6SV'!$A$1:$G$20,MATCH(H27,'RC6SV'!$A$1:$A$20,FALSE),MATCH(G27,'RC6SV'!$A$1:$G$1,FALSE))</f>
        <v>2800</v>
      </c>
      <c r="BD27" s="63">
        <f t="shared" ca="1" si="4"/>
        <v>2800</v>
      </c>
      <c r="BE27" s="14">
        <f t="shared" ca="1" si="5"/>
        <v>2000</v>
      </c>
      <c r="BF27" s="14">
        <f t="shared" ca="1" si="6"/>
        <v>1</v>
      </c>
      <c r="BG27" s="20">
        <f ca="1">IF($BE27&lt;=0,ROUND(BK27*0.5,0), ROUND($BE27*S27*AA27*J27*AY27*0.8*[2]ステータス!$B$2,0))</f>
        <v>1160</v>
      </c>
      <c r="BH27" s="20">
        <f ca="1">IF($BE27&lt;=0,ROUND(BL27*0.5,0), ROUND($BE27*T27*AB27*K27*AZ27*0.8*[2]ステータス!$C$2,0))</f>
        <v>440</v>
      </c>
      <c r="BI27" s="20">
        <f ca="1">IF($BE27&lt;=0,ROUND(BM27*0.5,0), ROUND($BE27*U27*AC27*L27*BA27*0.8*[2]ステータス!$D$2,0))</f>
        <v>0</v>
      </c>
      <c r="BJ27" s="20">
        <f ca="1">IF($BE27&lt;=0,ROUND(BN27*0.5,0), ROUND($BE27*V27*AD27*M27*BB27*0.8*[2]ステータス!$E$2,0))</f>
        <v>257</v>
      </c>
      <c r="BK27" s="14">
        <f ca="1">ROUND(BD27*S27*AA27*J27*AY27*[2]ステータス!$B$2,0)</f>
        <v>2030</v>
      </c>
      <c r="BL27" s="14">
        <f ca="1">ROUND(BD27*T27*AB27*K27*AZ27*[2]ステータス!$C$2,0)</f>
        <v>770</v>
      </c>
      <c r="BM27" s="14">
        <f ca="1">ROUND(BD27*U27*AC27*L27*BA27*[2]ステータス!$D$2,0)</f>
        <v>0</v>
      </c>
      <c r="BN27" s="14">
        <f ca="1">ROUND(BD27*V27*AD27*M27*BB27*[2]ステータス!$E$2,0)</f>
        <v>450</v>
      </c>
      <c r="BO27" s="13">
        <v>0</v>
      </c>
      <c r="BP27" s="13">
        <v>1</v>
      </c>
      <c r="BQ27" s="13" t="s">
        <v>102</v>
      </c>
      <c r="BR27" s="13">
        <f ca="1">VLOOKUP(H27,ghosts_label!$A$2:$B$19,2,FALSE)</f>
        <v>1</v>
      </c>
    </row>
    <row r="28" spans="1:70" ht="21" customHeight="1" x14ac:dyDescent="0.15">
      <c r="A28" s="14">
        <f t="shared" ca="1" si="0"/>
        <v>27</v>
      </c>
      <c r="B28" s="77" t="str">
        <f ca="1">VLOOKUP($A28,OFFSET([2]characters!$A$1,0,0,COUNTA([2]characters!$A:$A),MATCH(B$1,[2]characters!$1:$1,0)-MATCH($A$1,[2]characters!$1:$1,0)+1),MATCH(B$1,[2]characters!$1:$1,0)-MATCH($A$1,[2]characters!$1:$1,0)+1,FALSE)</f>
        <v>パトライン</v>
      </c>
      <c r="C28" s="77" t="str">
        <f ca="1">VLOOKUP($A28,OFFSET([2]characters!$A$1,0,0,COUNTA([2]characters!$A:$A),MATCH(C$1,[2]characters!$1:$1,0)-MATCH($A$1,[2]characters!$1:$1,0)+1),MATCH(C$1,[2]characters!$1:$1,0)-MATCH($A$1,[2]characters!$1:$1,0)+1,FALSE)</f>
        <v>ノーマルクエスト</v>
      </c>
      <c r="D28" s="77" t="str">
        <f ca="1">VLOOKUP($A28,OFFSET([2]characters!$A$1,0,0,COUNTA([2]characters!$A:$A),MATCH(D$1,[2]characters!$1:$1,0)-MATCH($A$1,[2]characters!$1:$1,0)+1),MATCH(D$1,[2]characters!$1:$1,0)-MATCH($A$1,[2]characters!$1:$1,0)+1,FALSE)</f>
        <v>アバター</v>
      </c>
      <c r="E28" s="77" t="str">
        <f ca="1">VLOOKUP($A28,OFFSET([2]characters!$A$1,0,0,COUNTA([2]characters!$A:$A),MATCH(E$1,[2]characters!$1:$1,0)-MATCH($A$1,[2]characters!$1:$1,0)+1),MATCH(E$1,[2]characters!$1:$1,0)-MATCH($A$1,[2]characters!$1:$1,0)+1,FALSE)</f>
        <v>世界観</v>
      </c>
      <c r="F28" s="77" t="str">
        <f ca="1">VLOOKUP($A28,OFFSET([2]characters!$A$1,0,0,COUNTA([2]characters!$A:$A),MATCH(F$1,[2]characters!$1:$1,0)-MATCH($A$1,[2]characters!$1:$1,0)+1),MATCH(F$1,[2]characters!$1:$1,0)-MATCH($A$1,[2]characters!$1:$1,0)+1,FALSE)</f>
        <v>不明</v>
      </c>
      <c r="G28" s="77">
        <f ca="1">VLOOKUP($A28,OFFSET([2]characters!$A$1,0,0,COUNTA([2]characters!$A:$A),MATCH(G$1,[2]characters!$1:$1,0)-MATCH($A$1,[2]characters!$1:$1,0)+1),MATCH(G$1,[2]characters!$1:$1,0)-MATCH($A$1,[2]characters!$1:$1,0)+1,FALSE)</f>
        <v>1</v>
      </c>
      <c r="H28" s="77" t="str">
        <f ca="1">VLOOKUP($A28,OFFSET([2]characters!$A$1,0,0,COUNTA([2]characters!$A:$A),MATCH(H$1,[2]characters!$1:$1,0)-MATCH($A$1,[2]characters!$1:$1,0)+1),MATCH(H$1,[2]characters!$1:$1,0)-MATCH($A$1,[2]characters!$1:$1,0)+1,FALSE)</f>
        <v>Drop1N</v>
      </c>
      <c r="I28" s="77" t="str">
        <f ca="1">VLOOKUP($A28,OFFSET([2]characters!$A$1,0,0,COUNTA([2]characters!$A:$A),MATCH(I$1,[2]characters!$1:$1,0)-MATCH($A$1,[2]characters!$1:$1,0)+1),MATCH(I$1,[2]characters!$1:$1,0)-MATCH($A$1,[2]characters!$1:$1,0)+1,FALSE)</f>
        <v>green</v>
      </c>
      <c r="J28" s="14">
        <f ca="1">VLOOKUP(I28,[2]属性!$A:$E,2,FALSE)</f>
        <v>1.02</v>
      </c>
      <c r="K28" s="14">
        <f ca="1">VLOOKUP(I28,[2]属性!$A:$E,3,FALSE)</f>
        <v>0.98</v>
      </c>
      <c r="L28" s="14">
        <f ca="1">VLOOKUP(I28,[2]属性!$A:$E,4,FALSE)</f>
        <v>1</v>
      </c>
      <c r="M28" s="14">
        <f ca="1">VLOOKUP(I28,[2]属性!$A:$E,5,FALSE)</f>
        <v>1</v>
      </c>
      <c r="N28" s="14">
        <f ca="1">INDEX(コスト!$A$1:$I$20,MATCH(H28,コスト!$A$1:$A$20,FALSE),MATCH(G28,コスト!$A$1:$I$1,FALSE))</f>
        <v>2</v>
      </c>
      <c r="O28" s="14">
        <f ca="1">INDEX(レベル!$A$1:$I$21,MATCH(H28,レベル!$A$1:$A$21,FALSE),MATCH(G28,レベル!$A$1:$I$1,FALSE))</f>
        <v>15</v>
      </c>
      <c r="P28" s="63">
        <f t="shared" ca="1" si="7"/>
        <v>15</v>
      </c>
      <c r="Q28" s="77" t="str">
        <f ca="1">VLOOKUP($A28,OFFSET([2]characters!$A$1,0,0,COUNTA([2]characters!$A:$A),MATCH(Q$1,[2]characters!$1:$1,0)-MATCH($A$1,[2]characters!$1:$1,0)+1),MATCH(Q$1,[2]characters!$1:$1,0)-MATCH($A$1,[2]characters!$1:$1,0)+1,FALSE)</f>
        <v>heal</v>
      </c>
      <c r="R28" s="8" t="str">
        <f ca="1">VLOOKUP(Q28,[2]character_type_i18n!$A:$H,3,FALSE)</f>
        <v>回復タイプ</v>
      </c>
      <c r="S28" s="14">
        <f ca="1">VLOOKUP(Q28,[2]character_type_i18n!$A:$H,4,FALSE)</f>
        <v>0.8</v>
      </c>
      <c r="T28" s="14">
        <f ca="1">VLOOKUP(Q28,[2]character_type_i18n!$A:$H,5,FALSE)</f>
        <v>0.78</v>
      </c>
      <c r="U28" s="14">
        <f ca="1">VLOOKUP(Q28,[2]character_type_i18n!$A:$H,6,FALSE)</f>
        <v>1</v>
      </c>
      <c r="V28" s="14">
        <f ca="1">VLOOKUP(Q28,[2]character_type_i18n!$A:$H,7,FALSE)</f>
        <v>1.42</v>
      </c>
      <c r="W28" s="77" t="str">
        <f ca="1">VLOOKUP($A28,OFFSET([2]characters!$A$1,0,0,COUNTA([2]characters!$A:$A),MATCH(W$1,[2]characters!$1:$1,0)-MATCH($A$1,[2]characters!$1:$1,0)+1),MATCH(W$1,[2]characters!$1:$1,0)-MATCH($A$1,[2]characters!$1:$1,0)+1,FALSE)</f>
        <v>machine</v>
      </c>
      <c r="X28" s="8" t="str">
        <f ca="1">VLOOKUP(W28,[2]character_tribe_i18n!$A:$H,3,FALSE)</f>
        <v>マシン</v>
      </c>
      <c r="Y28" s="77" t="str">
        <f ca="1">VLOOKUP($A28,OFFSET([2]characters!$A$1,0,0,COUNTA([2]characters!$A:$A),MATCH(Y$1,[2]characters!$1:$1,0)-MATCH($A$1,[2]characters!$1:$1,0)+1),MATCH(Y$1,[2]characters!$1:$1,0)-MATCH($A$1,[2]characters!$1:$1,0)+1,FALSE)</f>
        <v>none</v>
      </c>
      <c r="Z28" s="8" t="str">
        <f ca="1">VLOOKUP(Y28,[2]character_tribe_i18n!$A:$H,3,FALSE)</f>
        <v>種族なし</v>
      </c>
      <c r="AA28" s="14">
        <f ca="1">VLOOKUP(W28,[2]character_tribe_i18n!$A:$H,4,FALSE)</f>
        <v>1</v>
      </c>
      <c r="AB28" s="14">
        <f ca="1">VLOOKUP(W28,[2]character_tribe_i18n!$A:$H,5,FALSE)</f>
        <v>1</v>
      </c>
      <c r="AC28" s="14">
        <f ca="1">VLOOKUP(W28,[2]character_tribe_i18n!$A:$H,6,FALSE)</f>
        <v>1</v>
      </c>
      <c r="AD28" s="14">
        <f ca="1">VLOOKUP(W28,[2]character_tribe_i18n!$A:$H,7,FALSE)</f>
        <v>1</v>
      </c>
      <c r="AE28" s="12">
        <v>28</v>
      </c>
      <c r="AF28" s="85" t="str">
        <f ca="1">IF(AE28="NULL","",VLOOKUP($AE28,OFFSET([2]characters!$A$1,0,0,COUNTA([2]characters!$A:$A),MATCH(AF$1,[2]characters!$1:$1,0)-MATCH($A$1,[2]characters!$1:$1,0)+1),MATCH(AF$1,[2]characters!$1:$1,0)-MATCH($A$1,[2]characters!$1:$1,0)+1,FALSE))</f>
        <v>現場急行 パトラインカスタム</v>
      </c>
      <c r="AG28" s="8">
        <f t="shared" ca="1" si="2"/>
        <v>27</v>
      </c>
      <c r="AH28" s="85" t="str">
        <f ca="1">VLOOKUP($AG28,OFFSET([2]characters!$A$1,0,0,COUNTA([2]characters!$A:$A),MATCH(AH$1,[2]characters!$1:$1,0)-MATCH($A$1,[2]characters!$1:$1,0)+1),MATCH(AH$1,[2]characters!$1:$1,0)-MATCH($A$1,[2]characters!$1:$1,0)+1,FALSE)</f>
        <v>パトライン</v>
      </c>
      <c r="AI28" s="14">
        <f ca="1">IF(AE28="NULL","NULL",VLOOKUP(G28,ビット!$A$2:$B$7,2))</f>
        <v>5000</v>
      </c>
      <c r="AJ28" s="9">
        <v>2</v>
      </c>
      <c r="AK28" s="10" t="str">
        <f t="shared" si="3"/>
        <v>普通</v>
      </c>
      <c r="AL28" s="14" t="str">
        <f ca="1">INDEX(経験値!$A$1:$I$20,MATCH(H28,経験値!$A$1:$A$20,FALSE),MATCH(G28,経験値!$A$1:$I$1,FALSE))</f>
        <v>required_exp_100</v>
      </c>
      <c r="AM28" s="11">
        <f ca="1">VLOOKUP(G28,経験値!$A$27:$B$31,2)</f>
        <v>200</v>
      </c>
      <c r="AN28" s="21">
        <f ca="1">VLOOKUP(G28,ビット!$G$2:$H$7,2)</f>
        <v>75</v>
      </c>
      <c r="AO28" s="64" t="s">
        <v>46</v>
      </c>
      <c r="AP28" s="101">
        <v>112001</v>
      </c>
      <c r="AQ28" s="77" t="e">
        <f ca="1">VLOOKUP($AP28,OFFSET([1]unit_skills!$A$1,0,0,COUNTA([1]unit_skills!$A:$A),MATCH("name",[1]unit_skills!$1:$1,0)-MATCH($AP$1,[1]unit_skills!$1:$1,0)+1),MATCH("name",[1]unit_skills!$1:$1,0)-MATCH($AP$1,[1]unit_skills!$1:$1,0)+1,FALSE)</f>
        <v>#VALUE!</v>
      </c>
      <c r="AR28" s="77" t="e">
        <f ca="1">VLOOKUP($AP28,OFFSET([1]unit_skills!$A$1,0,0,COUNTA([1]unit_skills!$A:$A),MATCH("comment",[1]unit_skills!$1:$1,0)-MATCH($AP$1,[1]unit_skills!$1:$1,0)+1),MATCH("comment",[1]unit_skills!$1:$1,0)-MATCH($AP$1,[1]unit_skills!$1:$1,0)+1,FALSE)</f>
        <v>#VALUE!</v>
      </c>
      <c r="AS28" s="77" t="e">
        <f ca="1">VLOOKUP($AP28,OFFSET([1]unit_skills!$A$1,0,0,COUNTA([1]unit_skills!$A:$A),MATCH(AS$1,[1]unit_skills!$1:$1,0)-MATCH($AP$1,[1]unit_skills!$1:$1,0)+1),MATCH(AS$1,[1]unit_skills!$1:$1,0)-MATCH($AP$1,[1]unit_skills!$1:$1,0)+1,FALSE)</f>
        <v>#VALUE!</v>
      </c>
      <c r="AT28" s="97">
        <v>132001</v>
      </c>
      <c r="AU28" s="77" t="e">
        <f ca="1">VLOOKUP($AT28,OFFSET([1]crash_skills!$A$1,0,0,COUNTA([1]crash_skills!$A:$A),MATCH("name",[1]crash_skills!$1:$1,0)-MATCH($AT$1,[1]crash_skills!$1:$1,0)+1),MATCH("name",[1]crash_skills!$1:$1,0)-MATCH($AT$1,[1]crash_skills!$1:$1,0)+1,FALSE)</f>
        <v>#VALUE!</v>
      </c>
      <c r="AV28" s="77" t="e">
        <f ca="1">VLOOKUP($AT28,OFFSET([1]crash_skills!$A$1,0,0,COUNTA([1]crash_skills!$A:$A),MATCH("comment",[1]crash_skills!$1:$1,0)-MATCH($AT$1,[1]crash_skills!$1:$1,0)+1),MATCH("comment",[1]crash_skills!$1:$1,0)-MATCH($AT$1,[1]crash_skills!$1:$1,0)+1,FALSE)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8" s="77" t="e">
        <f ca="1">VLOOKUP($AT28,OFFSET([1]crash_skills!$A$1,0,0,COUNTA([1]crash_skills!$A:$A),MATCH(AW$1,[1]crash_skills!$1:$1,0)-MATCH($AT$1,[1]crash_skills!$1:$1,0)+1),MATCH(AW$1,[1]crash_skills!$1:$1,0)-MATCH($AT$1,[1]crash_skills!$1:$1,0)+1,FALSE)</f>
        <v>#VALUE!</v>
      </c>
      <c r="AX28" s="81">
        <f ca="1">VLOOKUP($A28,OFFSET([2]characters!$A$1,0,0,COUNTA([2]characters!$A:$A),MATCH(AX$1,[2]characters!$1:$1,0)-MATCH($A$1,[2]characters!$1:$1,0)+1),MATCH(AX$1,[2]characters!$1:$1,0)-MATCH($A$1,[2]characters!$1:$1,0)+1,FALSE)</f>
        <v>3</v>
      </c>
      <c r="AY28" s="19">
        <v>1</v>
      </c>
      <c r="AZ28" s="19">
        <v>1</v>
      </c>
      <c r="BA28" s="19">
        <v>0</v>
      </c>
      <c r="BB28" s="19">
        <v>1</v>
      </c>
      <c r="BC28" s="14">
        <f ca="1">INDEX('RC6SV'!$A$1:$G$20,MATCH(H28,'RC6SV'!$A$1:$A$20,FALSE),MATCH(G28,'RC6SV'!$A$1:$G$1,FALSE))</f>
        <v>2000</v>
      </c>
      <c r="BD28" s="63">
        <f t="shared" ca="1" si="4"/>
        <v>2000</v>
      </c>
      <c r="BE28" s="14">
        <f t="shared" ca="1" si="5"/>
        <v>0</v>
      </c>
      <c r="BF28" s="14">
        <f t="shared" ca="1" si="6"/>
        <v>1</v>
      </c>
      <c r="BG28" s="20">
        <f ca="1">IF($BE28&lt;=0,ROUND(BK28*0.5,0), ROUND($BE28*S28*AA28*J28*AY28*0.8*[2]ステータス!$B$2,0))</f>
        <v>408</v>
      </c>
      <c r="BH28" s="20">
        <f ca="1">IF($BE28&lt;=0,ROUND(BL28*0.5,0), ROUND($BE28*T28*AB28*K28*AZ28*0.8*[2]ステータス!$C$2,0))</f>
        <v>230</v>
      </c>
      <c r="BI28" s="20">
        <f ca="1">IF($BE28&lt;=0,ROUND(BM28*0.5,0), ROUND($BE28*U28*AC28*L28*BA28*0.8*[2]ステータス!$D$2,0))</f>
        <v>0</v>
      </c>
      <c r="BJ28" s="20">
        <f ca="1">IF($BE28&lt;=0,ROUND(BN28*0.5,0), ROUND($BE28*V28*AD28*M28*BB28*0.8*[2]ステータス!$E$2,0))</f>
        <v>355</v>
      </c>
      <c r="BK28" s="14">
        <f ca="1">ROUND(BD28*S28*AA28*J28*AY28*[2]ステータス!$B$2,0)</f>
        <v>816</v>
      </c>
      <c r="BL28" s="14">
        <f ca="1">ROUND(BD28*T28*AB28*K28*AZ28*[2]ステータス!$C$2,0)</f>
        <v>459</v>
      </c>
      <c r="BM28" s="14">
        <f ca="1">ROUND(BD28*U28*AC28*L28*BA28*[2]ステータス!$D$2,0)</f>
        <v>0</v>
      </c>
      <c r="BN28" s="14">
        <f ca="1">ROUND(BD28*V28*AD28*M28*BB28*[2]ステータス!$E$2,0)</f>
        <v>710</v>
      </c>
      <c r="BO28" s="13">
        <v>0</v>
      </c>
      <c r="BP28" s="13">
        <v>1</v>
      </c>
      <c r="BQ28" s="13" t="s">
        <v>102</v>
      </c>
      <c r="BR28" s="13">
        <f ca="1">VLOOKUP(H28,ghosts_label!$A$2:$B$19,2,FALSE)</f>
        <v>1</v>
      </c>
    </row>
    <row r="29" spans="1:70" ht="21" customHeight="1" x14ac:dyDescent="0.15">
      <c r="A29" s="14">
        <f t="shared" ca="1" si="0"/>
        <v>28</v>
      </c>
      <c r="B29" s="77" t="str">
        <f ca="1">VLOOKUP($A29,OFFSET([2]characters!$A$1,0,0,COUNTA([2]characters!$A:$A),MATCH(B$1,[2]characters!$1:$1,0)-MATCH($A$1,[2]characters!$1:$1,0)+1),MATCH(B$1,[2]characters!$1:$1,0)-MATCH($A$1,[2]characters!$1:$1,0)+1,FALSE)</f>
        <v>現場急行 パトラインカスタム</v>
      </c>
      <c r="C29" s="77" t="str">
        <f ca="1">VLOOKUP($A29,OFFSET([2]characters!$A$1,0,0,COUNTA([2]characters!$A:$A),MATCH(C$1,[2]characters!$1:$1,0)-MATCH($A$1,[2]characters!$1:$1,0)+1),MATCH(C$1,[2]characters!$1:$1,0)-MATCH($A$1,[2]characters!$1:$1,0)+1,FALSE)</f>
        <v>ノーマルクエスト</v>
      </c>
      <c r="D29" s="77" t="str">
        <f ca="1">VLOOKUP($A29,OFFSET([2]characters!$A$1,0,0,COUNTA([2]characters!$A:$A),MATCH(D$1,[2]characters!$1:$1,0)-MATCH($A$1,[2]characters!$1:$1,0)+1),MATCH(D$1,[2]characters!$1:$1,0)-MATCH($A$1,[2]characters!$1:$1,0)+1,FALSE)</f>
        <v>アバター</v>
      </c>
      <c r="E29" s="77" t="str">
        <f ca="1">VLOOKUP($A29,OFFSET([2]characters!$A$1,0,0,COUNTA([2]characters!$A:$A),MATCH(E$1,[2]characters!$1:$1,0)-MATCH($A$1,[2]characters!$1:$1,0)+1),MATCH(E$1,[2]characters!$1:$1,0)-MATCH($A$1,[2]characters!$1:$1,0)+1,FALSE)</f>
        <v>世界観</v>
      </c>
      <c r="F29" s="77" t="str">
        <f ca="1">VLOOKUP($A29,OFFSET([2]characters!$A$1,0,0,COUNTA([2]characters!$A:$A),MATCH(F$1,[2]characters!$1:$1,0)-MATCH($A$1,[2]characters!$1:$1,0)+1),MATCH(F$1,[2]characters!$1:$1,0)-MATCH($A$1,[2]characters!$1:$1,0)+1,FALSE)</f>
        <v>不明</v>
      </c>
      <c r="G29" s="77">
        <f ca="1">VLOOKUP($A29,OFFSET([2]characters!$A$1,0,0,COUNTA([2]characters!$A:$A),MATCH(G$1,[2]characters!$1:$1,0)-MATCH($A$1,[2]characters!$1:$1,0)+1),MATCH(G$1,[2]characters!$1:$1,0)-MATCH($A$1,[2]characters!$1:$1,0)+1,FALSE)</f>
        <v>2</v>
      </c>
      <c r="H29" s="77" t="str">
        <f ca="1">VLOOKUP($A29,OFFSET([2]characters!$A$1,0,0,COUNTA([2]characters!$A:$A),MATCH(H$1,[2]characters!$1:$1,0)-MATCH($A$1,[2]characters!$1:$1,0)+1),MATCH(H$1,[2]characters!$1:$1,0)-MATCH($A$1,[2]characters!$1:$1,0)+1,FALSE)</f>
        <v>Drop1N</v>
      </c>
      <c r="I29" s="77" t="str">
        <f ca="1">VLOOKUP($A29,OFFSET([2]characters!$A$1,0,0,COUNTA([2]characters!$A:$A),MATCH(I$1,[2]characters!$1:$1,0)-MATCH($A$1,[2]characters!$1:$1,0)+1),MATCH(I$1,[2]characters!$1:$1,0)-MATCH($A$1,[2]characters!$1:$1,0)+1,FALSE)</f>
        <v>green</v>
      </c>
      <c r="J29" s="14">
        <f ca="1">VLOOKUP(I29,[2]属性!$A:$E,2,FALSE)</f>
        <v>1.02</v>
      </c>
      <c r="K29" s="14">
        <f ca="1">VLOOKUP(I29,[2]属性!$A:$E,3,FALSE)</f>
        <v>0.98</v>
      </c>
      <c r="L29" s="14">
        <f ca="1">VLOOKUP(I29,[2]属性!$A:$E,4,FALSE)</f>
        <v>1</v>
      </c>
      <c r="M29" s="14">
        <f ca="1">VLOOKUP(I29,[2]属性!$A:$E,5,FALSE)</f>
        <v>1</v>
      </c>
      <c r="N29" s="14">
        <f ca="1">INDEX(コスト!$A$1:$I$20,MATCH(H29,コスト!$A$1:$A$20,FALSE),MATCH(G29,コスト!$A$1:$I$1,FALSE))</f>
        <v>4</v>
      </c>
      <c r="O29" s="14">
        <f ca="1">INDEX(レベル!$A$1:$I$21,MATCH(H29,レベル!$A$1:$A$21,FALSE),MATCH(G29,レベル!$A$1:$I$1,FALSE))</f>
        <v>30</v>
      </c>
      <c r="P29" s="63">
        <f t="shared" ca="1" si="7"/>
        <v>30</v>
      </c>
      <c r="Q29" s="77" t="str">
        <f ca="1">VLOOKUP($A29,OFFSET([2]characters!$A$1,0,0,COUNTA([2]characters!$A:$A),MATCH(Q$1,[2]characters!$1:$1,0)-MATCH($A$1,[2]characters!$1:$1,0)+1),MATCH(Q$1,[2]characters!$1:$1,0)-MATCH($A$1,[2]characters!$1:$1,0)+1,FALSE)</f>
        <v>heal</v>
      </c>
      <c r="R29" s="8" t="str">
        <f ca="1">VLOOKUP(Q29,[2]character_type_i18n!$A:$H,3,FALSE)</f>
        <v>回復タイプ</v>
      </c>
      <c r="S29" s="14">
        <f ca="1">VLOOKUP(Q29,[2]character_type_i18n!$A:$H,4,FALSE)</f>
        <v>0.8</v>
      </c>
      <c r="T29" s="14">
        <f ca="1">VLOOKUP(Q29,[2]character_type_i18n!$A:$H,5,FALSE)</f>
        <v>0.78</v>
      </c>
      <c r="U29" s="14">
        <f ca="1">VLOOKUP(Q29,[2]character_type_i18n!$A:$H,6,FALSE)</f>
        <v>1</v>
      </c>
      <c r="V29" s="14">
        <f ca="1">VLOOKUP(Q29,[2]character_type_i18n!$A:$H,7,FALSE)</f>
        <v>1.42</v>
      </c>
      <c r="W29" s="77" t="str">
        <f ca="1">VLOOKUP($A29,OFFSET([2]characters!$A$1,0,0,COUNTA([2]characters!$A:$A),MATCH(W$1,[2]characters!$1:$1,0)-MATCH($A$1,[2]characters!$1:$1,0)+1),MATCH(W$1,[2]characters!$1:$1,0)-MATCH($A$1,[2]characters!$1:$1,0)+1,FALSE)</f>
        <v>machine</v>
      </c>
      <c r="X29" s="8" t="str">
        <f ca="1">VLOOKUP(W29,[2]character_tribe_i18n!$A:$H,3,FALSE)</f>
        <v>マシン</v>
      </c>
      <c r="Y29" s="77" t="str">
        <f ca="1">VLOOKUP($A29,OFFSET([2]characters!$A$1,0,0,COUNTA([2]characters!$A:$A),MATCH(Y$1,[2]characters!$1:$1,0)-MATCH($A$1,[2]characters!$1:$1,0)+1),MATCH(Y$1,[2]characters!$1:$1,0)-MATCH($A$1,[2]characters!$1:$1,0)+1,FALSE)</f>
        <v>none</v>
      </c>
      <c r="Z29" s="8" t="str">
        <f ca="1">VLOOKUP(Y29,[2]character_tribe_i18n!$A:$H,3,FALSE)</f>
        <v>種族なし</v>
      </c>
      <c r="AA29" s="14">
        <f ca="1">VLOOKUP(W29,[2]character_tribe_i18n!$A:$H,4,FALSE)</f>
        <v>1</v>
      </c>
      <c r="AB29" s="14">
        <f ca="1">VLOOKUP(W29,[2]character_tribe_i18n!$A:$H,5,FALSE)</f>
        <v>1</v>
      </c>
      <c r="AC29" s="14">
        <f ca="1">VLOOKUP(W29,[2]character_tribe_i18n!$A:$H,6,FALSE)</f>
        <v>1</v>
      </c>
      <c r="AD29" s="14">
        <f ca="1">VLOOKUP(W29,[2]character_tribe_i18n!$A:$H,7,FALSE)</f>
        <v>1</v>
      </c>
      <c r="AE29" s="12" t="s">
        <v>102</v>
      </c>
      <c r="AF29" s="85" t="str">
        <f ca="1">IF(AE29="NULL","",VLOOKUP($AE29,OFFSET([2]characters!$A$1,0,0,COUNTA([2]characters!$A:$A),MATCH(AF$1,[2]characters!$1:$1,0)-MATCH($A$1,[2]characters!$1:$1,0)+1),MATCH(AF$1,[2]characters!$1:$1,0)-MATCH($A$1,[2]characters!$1:$1,0)+1,FALSE))</f>
        <v/>
      </c>
      <c r="AG29" s="8">
        <f t="shared" ca="1" si="2"/>
        <v>27</v>
      </c>
      <c r="AH29" s="85" t="str">
        <f ca="1">VLOOKUP($AG29,OFFSET([2]characters!$A$1,0,0,COUNTA([2]characters!$A:$A),MATCH(AH$1,[2]characters!$1:$1,0)-MATCH($A$1,[2]characters!$1:$1,0)+1),MATCH(AH$1,[2]characters!$1:$1,0)-MATCH($A$1,[2]characters!$1:$1,0)+1,FALSE)</f>
        <v>パトライン</v>
      </c>
      <c r="AI29" s="14" t="str">
        <f>IF(AE29="NULL","NULL",VLOOKUP(G29,ビット!$A$2:$B$7,2))</f>
        <v>NULL</v>
      </c>
      <c r="AJ29" s="9">
        <v>2</v>
      </c>
      <c r="AK29" s="10" t="str">
        <f t="shared" si="3"/>
        <v>普通</v>
      </c>
      <c r="AL29" s="14" t="str">
        <f ca="1">INDEX(経験値!$A$1:$I$20,MATCH(H29,経験値!$A$1:$A$20,FALSE),MATCH(G29,経験値!$A$1:$I$1,FALSE))</f>
        <v>required_exp_100</v>
      </c>
      <c r="AM29" s="11">
        <f ca="1">VLOOKUP(G29,経験値!$A$27:$B$31,2)</f>
        <v>600</v>
      </c>
      <c r="AN29" s="21">
        <f ca="1">VLOOKUP(G29,ビット!$G$2:$H$7,2)</f>
        <v>150</v>
      </c>
      <c r="AO29" s="64" t="s">
        <v>46</v>
      </c>
      <c r="AP29" s="101">
        <v>112002</v>
      </c>
      <c r="AQ29" s="77" t="e">
        <f ca="1">VLOOKUP($AP29,OFFSET([1]unit_skills!$A$1,0,0,COUNTA([1]unit_skills!$A:$A),MATCH("name",[1]unit_skills!$1:$1,0)-MATCH($AP$1,[1]unit_skills!$1:$1,0)+1),MATCH("name",[1]unit_skills!$1:$1,0)-MATCH($AP$1,[1]unit_skills!$1:$1,0)+1,FALSE)</f>
        <v>#VALUE!</v>
      </c>
      <c r="AR29" s="77" t="e">
        <f ca="1">VLOOKUP($AP29,OFFSET([1]unit_skills!$A$1,0,0,COUNTA([1]unit_skills!$A:$A),MATCH("comment",[1]unit_skills!$1:$1,0)-MATCH($AP$1,[1]unit_skills!$1:$1,0)+1),MATCH("comment",[1]unit_skills!$1:$1,0)-MATCH($AP$1,[1]unit_skills!$1:$1,0)+1,FALSE)</f>
        <v>#VALUE!</v>
      </c>
      <c r="AS29" s="77" t="e">
        <f ca="1">VLOOKUP($AP29,OFFSET([1]unit_skills!$A$1,0,0,COUNTA([1]unit_skills!$A:$A),MATCH(AS$1,[1]unit_skills!$1:$1,0)-MATCH($AP$1,[1]unit_skills!$1:$1,0)+1),MATCH(AS$1,[1]unit_skills!$1:$1,0)-MATCH($AP$1,[1]unit_skills!$1:$1,0)+1,FALSE)</f>
        <v>#VALUE!</v>
      </c>
      <c r="AT29" s="97">
        <v>132002</v>
      </c>
      <c r="AU29" s="77" t="e">
        <f ca="1">VLOOKUP($AT29,OFFSET([1]crash_skills!$A$1,0,0,COUNTA([1]crash_skills!$A:$A),MATCH("name",[1]crash_skills!$1:$1,0)-MATCH($AT$1,[1]crash_skills!$1:$1,0)+1),MATCH("name",[1]crash_skills!$1:$1,0)-MATCH($AT$1,[1]crash_skills!$1:$1,0)+1,FALSE)</f>
        <v>#VALUE!</v>
      </c>
      <c r="AV29" s="77" t="e">
        <f ca="1">VLOOKUP($AT29,OFFSET([1]crash_skills!$A$1,0,0,COUNTA([1]crash_skills!$A:$A),MATCH("comment",[1]crash_skills!$1:$1,0)-MATCH($AT$1,[1]crash_skills!$1:$1,0)+1),MATCH("comment",[1]crash_skills!$1:$1,0)-MATCH($AT$1,[1]crash_skills!$1:$1,0)+1,FALSE)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9" s="77" t="e">
        <f ca="1">VLOOKUP($AT29,OFFSET([1]crash_skills!$A$1,0,0,COUNTA([1]crash_skills!$A:$A),MATCH(AW$1,[1]crash_skills!$1:$1,0)-MATCH($AT$1,[1]crash_skills!$1:$1,0)+1),MATCH(AW$1,[1]crash_skills!$1:$1,0)-MATCH($AT$1,[1]crash_skills!$1:$1,0)+1,FALSE)</f>
        <v>#VALUE!</v>
      </c>
      <c r="AX29" s="81">
        <f ca="1">VLOOKUP($A29,OFFSET([2]characters!$A$1,0,0,COUNTA([2]characters!$A:$A),MATCH(AX$1,[2]characters!$1:$1,0)-MATCH($A$1,[2]characters!$1:$1,0)+1),MATCH(AX$1,[2]characters!$1:$1,0)-MATCH($A$1,[2]characters!$1:$1,0)+1,FALSE)</f>
        <v>3</v>
      </c>
      <c r="AY29" s="19">
        <v>1</v>
      </c>
      <c r="AZ29" s="19">
        <v>1</v>
      </c>
      <c r="BA29" s="19">
        <v>0</v>
      </c>
      <c r="BB29" s="19">
        <v>1</v>
      </c>
      <c r="BC29" s="14">
        <f ca="1">INDEX('RC6SV'!$A$1:$G$20,MATCH(H29,'RC6SV'!$A$1:$A$20,FALSE),MATCH(G29,'RC6SV'!$A$1:$G$1,FALSE))</f>
        <v>2800</v>
      </c>
      <c r="BD29" s="63">
        <f t="shared" ca="1" si="4"/>
        <v>2800</v>
      </c>
      <c r="BE29" s="14">
        <f t="shared" ca="1" si="5"/>
        <v>2000</v>
      </c>
      <c r="BF29" s="14">
        <f t="shared" ca="1" si="6"/>
        <v>1</v>
      </c>
      <c r="BG29" s="20">
        <f ca="1">IF($BE29&lt;=0,ROUND(BK29*0.5,0), ROUND($BE29*S29*AA29*J29*AY29*0.8*[2]ステータス!$B$2,0))</f>
        <v>653</v>
      </c>
      <c r="BH29" s="20">
        <f ca="1">IF($BE29&lt;=0,ROUND(BL29*0.5,0), ROUND($BE29*T29*AB29*K29*AZ29*0.8*[2]ステータス!$C$2,0))</f>
        <v>367</v>
      </c>
      <c r="BI29" s="20">
        <f ca="1">IF($BE29&lt;=0,ROUND(BM29*0.5,0), ROUND($BE29*U29*AC29*L29*BA29*0.8*[2]ステータス!$D$2,0))</f>
        <v>0</v>
      </c>
      <c r="BJ29" s="20">
        <f ca="1">IF($BE29&lt;=0,ROUND(BN29*0.5,0), ROUND($BE29*V29*AD29*M29*BB29*0.8*[2]ステータス!$E$2,0))</f>
        <v>568</v>
      </c>
      <c r="BK29" s="14">
        <f ca="1">ROUND(BD29*S29*AA29*J29*AY29*[2]ステータス!$B$2,0)</f>
        <v>1142</v>
      </c>
      <c r="BL29" s="14">
        <f ca="1">ROUND(BD29*T29*AB29*K29*AZ29*[2]ステータス!$C$2,0)</f>
        <v>642</v>
      </c>
      <c r="BM29" s="14">
        <f ca="1">ROUND(BD29*U29*AC29*L29*BA29*[2]ステータス!$D$2,0)</f>
        <v>0</v>
      </c>
      <c r="BN29" s="14">
        <f ca="1">ROUND(BD29*V29*AD29*M29*BB29*[2]ステータス!$E$2,0)</f>
        <v>994</v>
      </c>
      <c r="BO29" s="13">
        <v>0</v>
      </c>
      <c r="BP29" s="13">
        <v>1</v>
      </c>
      <c r="BQ29" s="13" t="s">
        <v>102</v>
      </c>
      <c r="BR29" s="13">
        <f ca="1">VLOOKUP(H29,ghosts_label!$A$2:$B$19,2,FALSE)</f>
        <v>1</v>
      </c>
    </row>
    <row r="30" spans="1:70" ht="21" customHeight="1" x14ac:dyDescent="0.15">
      <c r="A30" s="14">
        <f t="shared" ca="1" si="0"/>
        <v>29</v>
      </c>
      <c r="B30" s="77" t="str">
        <f ca="1">VLOOKUP($A30,OFFSET([2]characters!$A$1,0,0,COUNTA([2]characters!$A:$A),MATCH(B$1,[2]characters!$1:$1,0)-MATCH($A$1,[2]characters!$1:$1,0)+1),MATCH(B$1,[2]characters!$1:$1,0)-MATCH($A$1,[2]characters!$1:$1,0)+1,FALSE)</f>
        <v>スケアクロウ</v>
      </c>
      <c r="C30" s="77" t="str">
        <f ca="1">VLOOKUP($A30,OFFSET([2]characters!$A$1,0,0,COUNTA([2]characters!$A:$A),MATCH(C$1,[2]characters!$1:$1,0)-MATCH($A$1,[2]characters!$1:$1,0)+1),MATCH(C$1,[2]characters!$1:$1,0)-MATCH($A$1,[2]characters!$1:$1,0)+1,FALSE)</f>
        <v>ノーマルクエスト</v>
      </c>
      <c r="D30" s="77" t="str">
        <f ca="1">VLOOKUP($A30,OFFSET([2]characters!$A$1,0,0,COUNTA([2]characters!$A:$A),MATCH(D$1,[2]characters!$1:$1,0)-MATCH($A$1,[2]characters!$1:$1,0)+1),MATCH(D$1,[2]characters!$1:$1,0)-MATCH($A$1,[2]characters!$1:$1,0)+1,FALSE)</f>
        <v>アバター</v>
      </c>
      <c r="E30" s="77" t="str">
        <f ca="1">VLOOKUP($A30,OFFSET([2]characters!$A$1,0,0,COUNTA([2]characters!$A:$A),MATCH(E$1,[2]characters!$1:$1,0)-MATCH($A$1,[2]characters!$1:$1,0)+1),MATCH(E$1,[2]characters!$1:$1,0)-MATCH($A$1,[2]characters!$1:$1,0)+1,FALSE)</f>
        <v>世界観</v>
      </c>
      <c r="F30" s="77" t="str">
        <f ca="1">VLOOKUP($A30,OFFSET([2]characters!$A$1,0,0,COUNTA([2]characters!$A:$A),MATCH(F$1,[2]characters!$1:$1,0)-MATCH($A$1,[2]characters!$1:$1,0)+1),MATCH(F$1,[2]characters!$1:$1,0)-MATCH($A$1,[2]characters!$1:$1,0)+1,FALSE)</f>
        <v>不明</v>
      </c>
      <c r="G30" s="77">
        <f ca="1">VLOOKUP($A30,OFFSET([2]characters!$A$1,0,0,COUNTA([2]characters!$A:$A),MATCH(G$1,[2]characters!$1:$1,0)-MATCH($A$1,[2]characters!$1:$1,0)+1),MATCH(G$1,[2]characters!$1:$1,0)-MATCH($A$1,[2]characters!$1:$1,0)+1,FALSE)</f>
        <v>1</v>
      </c>
      <c r="H30" s="77" t="str">
        <f ca="1">VLOOKUP($A30,OFFSET([2]characters!$A$1,0,0,COUNTA([2]characters!$A:$A),MATCH(H$1,[2]characters!$1:$1,0)-MATCH($A$1,[2]characters!$1:$1,0)+1),MATCH(H$1,[2]characters!$1:$1,0)-MATCH($A$1,[2]characters!$1:$1,0)+1,FALSE)</f>
        <v>Drop1N</v>
      </c>
      <c r="I30" s="77" t="str">
        <f ca="1">VLOOKUP($A30,OFFSET([2]characters!$A$1,0,0,COUNTA([2]characters!$A:$A),MATCH(I$1,[2]characters!$1:$1,0)-MATCH($A$1,[2]characters!$1:$1,0)+1),MATCH(I$1,[2]characters!$1:$1,0)-MATCH($A$1,[2]characters!$1:$1,0)+1,FALSE)</f>
        <v>blue</v>
      </c>
      <c r="J30" s="14">
        <f ca="1">VLOOKUP(I30,[2]属性!$A:$E,2,FALSE)</f>
        <v>1</v>
      </c>
      <c r="K30" s="14">
        <f ca="1">VLOOKUP(I30,[2]属性!$A:$E,3,FALSE)</f>
        <v>0.98</v>
      </c>
      <c r="L30" s="14">
        <f ca="1">VLOOKUP(I30,[2]属性!$A:$E,4,FALSE)</f>
        <v>1</v>
      </c>
      <c r="M30" s="14">
        <f ca="1">VLOOKUP(I30,[2]属性!$A:$E,5,FALSE)</f>
        <v>1.02</v>
      </c>
      <c r="N30" s="14">
        <f ca="1">INDEX(コスト!$A$1:$I$20,MATCH(H30,コスト!$A$1:$A$20,FALSE),MATCH(G30,コスト!$A$1:$I$1,FALSE))</f>
        <v>2</v>
      </c>
      <c r="O30" s="14">
        <f ca="1">INDEX(レベル!$A$1:$I$21,MATCH(H30,レベル!$A$1:$A$21,FALSE),MATCH(G30,レベル!$A$1:$I$1,FALSE))</f>
        <v>15</v>
      </c>
      <c r="P30" s="63">
        <f t="shared" ca="1" si="7"/>
        <v>15</v>
      </c>
      <c r="Q30" s="77" t="str">
        <f ca="1">VLOOKUP($A30,OFFSET([2]characters!$A$1,0,0,COUNTA([2]characters!$A:$A),MATCH(Q$1,[2]characters!$1:$1,0)-MATCH($A$1,[2]characters!$1:$1,0)+1),MATCH(Q$1,[2]characters!$1:$1,0)-MATCH($A$1,[2]characters!$1:$1,0)+1,FALSE)</f>
        <v>heal</v>
      </c>
      <c r="R30" s="8" t="str">
        <f ca="1">VLOOKUP(Q30,[2]character_type_i18n!$A:$H,3,FALSE)</f>
        <v>回復タイプ</v>
      </c>
      <c r="S30" s="14">
        <f ca="1">VLOOKUP(Q30,[2]character_type_i18n!$A:$H,4,FALSE)</f>
        <v>0.8</v>
      </c>
      <c r="T30" s="14">
        <f ca="1">VLOOKUP(Q30,[2]character_type_i18n!$A:$H,5,FALSE)</f>
        <v>0.78</v>
      </c>
      <c r="U30" s="14">
        <f ca="1">VLOOKUP(Q30,[2]character_type_i18n!$A:$H,6,FALSE)</f>
        <v>1</v>
      </c>
      <c r="V30" s="14">
        <f ca="1">VLOOKUP(Q30,[2]character_type_i18n!$A:$H,7,FALSE)</f>
        <v>1.42</v>
      </c>
      <c r="W30" s="77" t="str">
        <f ca="1">VLOOKUP($A30,OFFSET([2]characters!$A$1,0,0,COUNTA([2]characters!$A:$A),MATCH(W$1,[2]characters!$1:$1,0)-MATCH($A$1,[2]characters!$1:$1,0)+1),MATCH(W$1,[2]characters!$1:$1,0)-MATCH($A$1,[2]characters!$1:$1,0)+1,FALSE)</f>
        <v>machine</v>
      </c>
      <c r="X30" s="8" t="str">
        <f ca="1">VLOOKUP(W30,[2]character_tribe_i18n!$A:$H,3,FALSE)</f>
        <v>マシン</v>
      </c>
      <c r="Y30" s="77" t="str">
        <f ca="1">VLOOKUP($A30,OFFSET([2]characters!$A$1,0,0,COUNTA([2]characters!$A:$A),MATCH(Y$1,[2]characters!$1:$1,0)-MATCH($A$1,[2]characters!$1:$1,0)+1),MATCH(Y$1,[2]characters!$1:$1,0)-MATCH($A$1,[2]characters!$1:$1,0)+1,FALSE)</f>
        <v>none</v>
      </c>
      <c r="Z30" s="8" t="str">
        <f ca="1">VLOOKUP(Y30,[2]character_tribe_i18n!$A:$H,3,FALSE)</f>
        <v>種族なし</v>
      </c>
      <c r="AA30" s="14">
        <f ca="1">VLOOKUP(W30,[2]character_tribe_i18n!$A:$H,4,FALSE)</f>
        <v>1</v>
      </c>
      <c r="AB30" s="14">
        <f ca="1">VLOOKUP(W30,[2]character_tribe_i18n!$A:$H,5,FALSE)</f>
        <v>1</v>
      </c>
      <c r="AC30" s="14">
        <f ca="1">VLOOKUP(W30,[2]character_tribe_i18n!$A:$H,6,FALSE)</f>
        <v>1</v>
      </c>
      <c r="AD30" s="14">
        <f ca="1">VLOOKUP(W30,[2]character_tribe_i18n!$A:$H,7,FALSE)</f>
        <v>1</v>
      </c>
      <c r="AE30" s="12">
        <v>30</v>
      </c>
      <c r="AF30" s="85" t="str">
        <f ca="1">IF(AE30="NULL","",VLOOKUP($AE30,OFFSET([2]characters!$A$1,0,0,COUNTA([2]characters!$A:$A),MATCH(AF$1,[2]characters!$1:$1,0)-MATCH($A$1,[2]characters!$1:$1,0)+1),MATCH(AF$1,[2]characters!$1:$1,0)-MATCH($A$1,[2]characters!$1:$1,0)+1,FALSE))</f>
        <v>護衛機人 スケアクロウ</v>
      </c>
      <c r="AG30" s="8">
        <f t="shared" ca="1" si="2"/>
        <v>29</v>
      </c>
      <c r="AH30" s="85" t="str">
        <f ca="1">VLOOKUP($AG30,OFFSET([2]characters!$A$1,0,0,COUNTA([2]characters!$A:$A),MATCH(AH$1,[2]characters!$1:$1,0)-MATCH($A$1,[2]characters!$1:$1,0)+1),MATCH(AH$1,[2]characters!$1:$1,0)-MATCH($A$1,[2]characters!$1:$1,0)+1,FALSE)</f>
        <v>スケアクロウ</v>
      </c>
      <c r="AI30" s="14">
        <f ca="1">IF(AE30="NULL","NULL",VLOOKUP(G30,ビット!$A$2:$B$7,2))</f>
        <v>5000</v>
      </c>
      <c r="AJ30" s="9">
        <v>2</v>
      </c>
      <c r="AK30" s="10" t="str">
        <f t="shared" si="3"/>
        <v>普通</v>
      </c>
      <c r="AL30" s="14" t="str">
        <f ca="1">INDEX(経験値!$A$1:$I$20,MATCH(H30,経験値!$A$1:$A$20,FALSE),MATCH(G30,経験値!$A$1:$I$1,FALSE))</f>
        <v>required_exp_100</v>
      </c>
      <c r="AM30" s="11">
        <f ca="1">VLOOKUP(G30,経験値!$A$27:$B$31,2)</f>
        <v>200</v>
      </c>
      <c r="AN30" s="21">
        <f ca="1">VLOOKUP(G30,ビット!$G$2:$H$7,2)</f>
        <v>75</v>
      </c>
      <c r="AO30" s="64" t="s">
        <v>50</v>
      </c>
      <c r="AP30" s="101">
        <v>210002</v>
      </c>
      <c r="AQ30" s="77" t="e">
        <f ca="1">VLOOKUP($AP30,OFFSET([1]unit_skills!$A$1,0,0,COUNTA([1]unit_skills!$A:$A),MATCH("name",[1]unit_skills!$1:$1,0)-MATCH($AP$1,[1]unit_skills!$1:$1,0)+1),MATCH("name",[1]unit_skills!$1:$1,0)-MATCH($AP$1,[1]unit_skills!$1:$1,0)+1,FALSE)</f>
        <v>#VALUE!</v>
      </c>
      <c r="AR30" s="77" t="e">
        <f ca="1">VLOOKUP($AP30,OFFSET([1]unit_skills!$A$1,0,0,COUNTA([1]unit_skills!$A:$A),MATCH("comment",[1]unit_skills!$1:$1,0)-MATCH($AP$1,[1]unit_skills!$1:$1,0)+1),MATCH("comment",[1]unit_skills!$1:$1,0)-MATCH($AP$1,[1]unit_skills!$1:$1,0)+1,FALSE)</f>
        <v>#VALUE!</v>
      </c>
      <c r="AS30" s="77" t="e">
        <f ca="1">VLOOKUP($AP30,OFFSET([1]unit_skills!$A$1,0,0,COUNTA([1]unit_skills!$A:$A),MATCH(AS$1,[1]unit_skills!$1:$1,0)-MATCH($AP$1,[1]unit_skills!$1:$1,0)+1),MATCH(AS$1,[1]unit_skills!$1:$1,0)-MATCH($AP$1,[1]unit_skills!$1:$1,0)+1,FALSE)</f>
        <v>#VALUE!</v>
      </c>
      <c r="AT30" s="97">
        <v>143001</v>
      </c>
      <c r="AU30" s="77" t="e">
        <f ca="1">VLOOKUP($AT30,OFFSET([1]crash_skills!$A$1,0,0,COUNTA([1]crash_skills!$A:$A),MATCH("name",[1]crash_skills!$1:$1,0)-MATCH($AT$1,[1]crash_skills!$1:$1,0)+1),MATCH("name",[1]crash_skills!$1:$1,0)-MATCH($AT$1,[1]crash_skills!$1:$1,0)+1,FALSE)</f>
        <v>#VALUE!</v>
      </c>
      <c r="AV30" s="77" t="e">
        <f ca="1">VLOOKUP($AT30,OFFSET([1]crash_skills!$A$1,0,0,COUNTA([1]crash_skills!$A:$A),MATCH("comment",[1]crash_skills!$1:$1,0)-MATCH($AT$1,[1]crash_skills!$1:$1,0)+1),MATCH("comment",[1]crash_skills!$1:$1,0)-MATCH($AT$1,[1]crash_skills!$1:$1,0)+1,FALSE)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0" s="77" t="e">
        <f ca="1">VLOOKUP($AT30,OFFSET([1]crash_skills!$A$1,0,0,COUNTA([1]crash_skills!$A:$A),MATCH(AW$1,[1]crash_skills!$1:$1,0)-MATCH($AT$1,[1]crash_skills!$1:$1,0)+1),MATCH(AW$1,[1]crash_skills!$1:$1,0)-MATCH($AT$1,[1]crash_skills!$1:$1,0)+1,FALSE)</f>
        <v>#VALUE!</v>
      </c>
      <c r="AX30" s="81">
        <f ca="1">VLOOKUP($A30,OFFSET([2]characters!$A$1,0,0,COUNTA([2]characters!$A:$A),MATCH(AX$1,[2]characters!$1:$1,0)-MATCH($A$1,[2]characters!$1:$1,0)+1),MATCH(AX$1,[2]characters!$1:$1,0)-MATCH($A$1,[2]characters!$1:$1,0)+1,FALSE)</f>
        <v>3</v>
      </c>
      <c r="AY30" s="19">
        <v>1</v>
      </c>
      <c r="AZ30" s="19">
        <v>1</v>
      </c>
      <c r="BA30" s="19">
        <v>0</v>
      </c>
      <c r="BB30" s="19">
        <v>1</v>
      </c>
      <c r="BC30" s="14">
        <f ca="1">INDEX('RC6SV'!$A$1:$G$20,MATCH(H30,'RC6SV'!$A$1:$A$20,FALSE),MATCH(G30,'RC6SV'!$A$1:$G$1,FALSE))</f>
        <v>2000</v>
      </c>
      <c r="BD30" s="63">
        <f t="shared" ca="1" si="4"/>
        <v>2000</v>
      </c>
      <c r="BE30" s="14">
        <f t="shared" ca="1" si="5"/>
        <v>0</v>
      </c>
      <c r="BF30" s="14">
        <f t="shared" ca="1" si="6"/>
        <v>1</v>
      </c>
      <c r="BG30" s="20">
        <f ca="1">IF($BE30&lt;=0,ROUND(BK30*0.5,0), ROUND($BE30*S30*AA30*J30*AY30*0.8*[2]ステータス!$B$2,0))</f>
        <v>400</v>
      </c>
      <c r="BH30" s="20">
        <f ca="1">IF($BE30&lt;=0,ROUND(BL30*0.5,0), ROUND($BE30*T30*AB30*K30*AZ30*0.8*[2]ステータス!$C$2,0))</f>
        <v>230</v>
      </c>
      <c r="BI30" s="20">
        <f ca="1">IF($BE30&lt;=0,ROUND(BM30*0.5,0), ROUND($BE30*U30*AC30*L30*BA30*0.8*[2]ステータス!$D$2,0))</f>
        <v>0</v>
      </c>
      <c r="BJ30" s="20">
        <f ca="1">IF($BE30&lt;=0,ROUND(BN30*0.5,0), ROUND($BE30*V30*AD30*M30*BB30*0.8*[2]ステータス!$E$2,0))</f>
        <v>362</v>
      </c>
      <c r="BK30" s="14">
        <f ca="1">ROUND(BD30*S30*AA30*J30*AY30*[2]ステータス!$B$2,0)</f>
        <v>800</v>
      </c>
      <c r="BL30" s="14">
        <f ca="1">ROUND(BD30*T30*AB30*K30*AZ30*[2]ステータス!$C$2,0)</f>
        <v>459</v>
      </c>
      <c r="BM30" s="14">
        <f ca="1">ROUND(BD30*U30*AC30*L30*BA30*[2]ステータス!$D$2,0)</f>
        <v>0</v>
      </c>
      <c r="BN30" s="14">
        <f ca="1">ROUND(BD30*V30*AD30*M30*BB30*[2]ステータス!$E$2,0)</f>
        <v>724</v>
      </c>
      <c r="BO30" s="13">
        <v>0</v>
      </c>
      <c r="BP30" s="13">
        <v>1</v>
      </c>
      <c r="BQ30" s="13" t="s">
        <v>102</v>
      </c>
      <c r="BR30" s="13">
        <f ca="1">VLOOKUP(H30,ghosts_label!$A$2:$B$19,2,FALSE)</f>
        <v>1</v>
      </c>
    </row>
    <row r="31" spans="1:70" ht="21" customHeight="1" x14ac:dyDescent="0.15">
      <c r="A31" s="14">
        <f t="shared" ca="1" si="0"/>
        <v>30</v>
      </c>
      <c r="B31" s="77" t="str">
        <f ca="1">VLOOKUP($A31,OFFSET([2]characters!$A$1,0,0,COUNTA([2]characters!$A:$A),MATCH(B$1,[2]characters!$1:$1,0)-MATCH($A$1,[2]characters!$1:$1,0)+1),MATCH(B$1,[2]characters!$1:$1,0)-MATCH($A$1,[2]characters!$1:$1,0)+1,FALSE)</f>
        <v>護衛機人 スケアクロウ</v>
      </c>
      <c r="C31" s="77" t="str">
        <f ca="1">VLOOKUP($A31,OFFSET([2]characters!$A$1,0,0,COUNTA([2]characters!$A:$A),MATCH(C$1,[2]characters!$1:$1,0)-MATCH($A$1,[2]characters!$1:$1,0)+1),MATCH(C$1,[2]characters!$1:$1,0)-MATCH($A$1,[2]characters!$1:$1,0)+1,FALSE)</f>
        <v>ノーマルクエスト</v>
      </c>
      <c r="D31" s="77" t="str">
        <f ca="1">VLOOKUP($A31,OFFSET([2]characters!$A$1,0,0,COUNTA([2]characters!$A:$A),MATCH(D$1,[2]characters!$1:$1,0)-MATCH($A$1,[2]characters!$1:$1,0)+1),MATCH(D$1,[2]characters!$1:$1,0)-MATCH($A$1,[2]characters!$1:$1,0)+1,FALSE)</f>
        <v>アバター</v>
      </c>
      <c r="E31" s="77" t="str">
        <f ca="1">VLOOKUP($A31,OFFSET([2]characters!$A$1,0,0,COUNTA([2]characters!$A:$A),MATCH(E$1,[2]characters!$1:$1,0)-MATCH($A$1,[2]characters!$1:$1,0)+1),MATCH(E$1,[2]characters!$1:$1,0)-MATCH($A$1,[2]characters!$1:$1,0)+1,FALSE)</f>
        <v>世界観</v>
      </c>
      <c r="F31" s="77" t="str">
        <f ca="1">VLOOKUP($A31,OFFSET([2]characters!$A$1,0,0,COUNTA([2]characters!$A:$A),MATCH(F$1,[2]characters!$1:$1,0)-MATCH($A$1,[2]characters!$1:$1,0)+1),MATCH(F$1,[2]characters!$1:$1,0)-MATCH($A$1,[2]characters!$1:$1,0)+1,FALSE)</f>
        <v>不明</v>
      </c>
      <c r="G31" s="77">
        <f ca="1">VLOOKUP($A31,OFFSET([2]characters!$A$1,0,0,COUNTA([2]characters!$A:$A),MATCH(G$1,[2]characters!$1:$1,0)-MATCH($A$1,[2]characters!$1:$1,0)+1),MATCH(G$1,[2]characters!$1:$1,0)-MATCH($A$1,[2]characters!$1:$1,0)+1,FALSE)</f>
        <v>2</v>
      </c>
      <c r="H31" s="77" t="str">
        <f ca="1">VLOOKUP($A31,OFFSET([2]characters!$A$1,0,0,COUNTA([2]characters!$A:$A),MATCH(H$1,[2]characters!$1:$1,0)-MATCH($A$1,[2]characters!$1:$1,0)+1),MATCH(H$1,[2]characters!$1:$1,0)-MATCH($A$1,[2]characters!$1:$1,0)+1,FALSE)</f>
        <v>Drop1N</v>
      </c>
      <c r="I31" s="77" t="str">
        <f ca="1">VLOOKUP($A31,OFFSET([2]characters!$A$1,0,0,COUNTA([2]characters!$A:$A),MATCH(I$1,[2]characters!$1:$1,0)-MATCH($A$1,[2]characters!$1:$1,0)+1),MATCH(I$1,[2]characters!$1:$1,0)-MATCH($A$1,[2]characters!$1:$1,0)+1,FALSE)</f>
        <v>blue</v>
      </c>
      <c r="J31" s="14">
        <f ca="1">VLOOKUP(I31,[2]属性!$A:$E,2,FALSE)</f>
        <v>1</v>
      </c>
      <c r="K31" s="14">
        <f ca="1">VLOOKUP(I31,[2]属性!$A:$E,3,FALSE)</f>
        <v>0.98</v>
      </c>
      <c r="L31" s="14">
        <f ca="1">VLOOKUP(I31,[2]属性!$A:$E,4,FALSE)</f>
        <v>1</v>
      </c>
      <c r="M31" s="14">
        <f ca="1">VLOOKUP(I31,[2]属性!$A:$E,5,FALSE)</f>
        <v>1.02</v>
      </c>
      <c r="N31" s="14">
        <f ca="1">INDEX(コスト!$A$1:$I$20,MATCH(H31,コスト!$A$1:$A$20,FALSE),MATCH(G31,コスト!$A$1:$I$1,FALSE))</f>
        <v>4</v>
      </c>
      <c r="O31" s="14">
        <f ca="1">INDEX(レベル!$A$1:$I$21,MATCH(H31,レベル!$A$1:$A$21,FALSE),MATCH(G31,レベル!$A$1:$I$1,FALSE))</f>
        <v>30</v>
      </c>
      <c r="P31" s="63">
        <f t="shared" ca="1" si="7"/>
        <v>30</v>
      </c>
      <c r="Q31" s="77" t="str">
        <f ca="1">VLOOKUP($A31,OFFSET([2]characters!$A$1,0,0,COUNTA([2]characters!$A:$A),MATCH(Q$1,[2]characters!$1:$1,0)-MATCH($A$1,[2]characters!$1:$1,0)+1),MATCH(Q$1,[2]characters!$1:$1,0)-MATCH($A$1,[2]characters!$1:$1,0)+1,FALSE)</f>
        <v>heal</v>
      </c>
      <c r="R31" s="8" t="str">
        <f ca="1">VLOOKUP(Q31,[2]character_type_i18n!$A:$H,3,FALSE)</f>
        <v>回復タイプ</v>
      </c>
      <c r="S31" s="14">
        <f ca="1">VLOOKUP(Q31,[2]character_type_i18n!$A:$H,4,FALSE)</f>
        <v>0.8</v>
      </c>
      <c r="T31" s="14">
        <f ca="1">VLOOKUP(Q31,[2]character_type_i18n!$A:$H,5,FALSE)</f>
        <v>0.78</v>
      </c>
      <c r="U31" s="14">
        <f ca="1">VLOOKUP(Q31,[2]character_type_i18n!$A:$H,6,FALSE)</f>
        <v>1</v>
      </c>
      <c r="V31" s="14">
        <f ca="1">VLOOKUP(Q31,[2]character_type_i18n!$A:$H,7,FALSE)</f>
        <v>1.42</v>
      </c>
      <c r="W31" s="77" t="str">
        <f ca="1">VLOOKUP($A31,OFFSET([2]characters!$A$1,0,0,COUNTA([2]characters!$A:$A),MATCH(W$1,[2]characters!$1:$1,0)-MATCH($A$1,[2]characters!$1:$1,0)+1),MATCH(W$1,[2]characters!$1:$1,0)-MATCH($A$1,[2]characters!$1:$1,0)+1,FALSE)</f>
        <v>machine</v>
      </c>
      <c r="X31" s="8" t="str">
        <f ca="1">VLOOKUP(W31,[2]character_tribe_i18n!$A:$H,3,FALSE)</f>
        <v>マシン</v>
      </c>
      <c r="Y31" s="77" t="str">
        <f ca="1">VLOOKUP($A31,OFFSET([2]characters!$A$1,0,0,COUNTA([2]characters!$A:$A),MATCH(Y$1,[2]characters!$1:$1,0)-MATCH($A$1,[2]characters!$1:$1,0)+1),MATCH(Y$1,[2]characters!$1:$1,0)-MATCH($A$1,[2]characters!$1:$1,0)+1,FALSE)</f>
        <v>none</v>
      </c>
      <c r="Z31" s="8" t="str">
        <f ca="1">VLOOKUP(Y31,[2]character_tribe_i18n!$A:$H,3,FALSE)</f>
        <v>種族なし</v>
      </c>
      <c r="AA31" s="14">
        <f ca="1">VLOOKUP(W31,[2]character_tribe_i18n!$A:$H,4,FALSE)</f>
        <v>1</v>
      </c>
      <c r="AB31" s="14">
        <f ca="1">VLOOKUP(W31,[2]character_tribe_i18n!$A:$H,5,FALSE)</f>
        <v>1</v>
      </c>
      <c r="AC31" s="14">
        <f ca="1">VLOOKUP(W31,[2]character_tribe_i18n!$A:$H,6,FALSE)</f>
        <v>1</v>
      </c>
      <c r="AD31" s="14">
        <f ca="1">VLOOKUP(W31,[2]character_tribe_i18n!$A:$H,7,FALSE)</f>
        <v>1</v>
      </c>
      <c r="AE31" s="12" t="s">
        <v>102</v>
      </c>
      <c r="AF31" s="85" t="str">
        <f ca="1">IF(AE31="NULL","",VLOOKUP($AE31,OFFSET([2]characters!$A$1,0,0,COUNTA([2]characters!$A:$A),MATCH(AF$1,[2]characters!$1:$1,0)-MATCH($A$1,[2]characters!$1:$1,0)+1),MATCH(AF$1,[2]characters!$1:$1,0)-MATCH($A$1,[2]characters!$1:$1,0)+1,FALSE))</f>
        <v/>
      </c>
      <c r="AG31" s="8">
        <f t="shared" ca="1" si="2"/>
        <v>29</v>
      </c>
      <c r="AH31" s="85" t="str">
        <f ca="1">VLOOKUP($AG31,OFFSET([2]characters!$A$1,0,0,COUNTA([2]characters!$A:$A),MATCH(AH$1,[2]characters!$1:$1,0)-MATCH($A$1,[2]characters!$1:$1,0)+1),MATCH(AH$1,[2]characters!$1:$1,0)-MATCH($A$1,[2]characters!$1:$1,0)+1,FALSE)</f>
        <v>スケアクロウ</v>
      </c>
      <c r="AI31" s="14" t="str">
        <f>IF(AE31="NULL","NULL",VLOOKUP(G31,ビット!$A$2:$B$7,2))</f>
        <v>NULL</v>
      </c>
      <c r="AJ31" s="9">
        <v>2</v>
      </c>
      <c r="AK31" s="10" t="str">
        <f t="shared" si="3"/>
        <v>普通</v>
      </c>
      <c r="AL31" s="14" t="str">
        <f ca="1">INDEX(経験値!$A$1:$I$20,MATCH(H31,経験値!$A$1:$A$20,FALSE),MATCH(G31,経験値!$A$1:$I$1,FALSE))</f>
        <v>required_exp_100</v>
      </c>
      <c r="AM31" s="11">
        <f ca="1">VLOOKUP(G31,経験値!$A$27:$B$31,2)</f>
        <v>600</v>
      </c>
      <c r="AN31" s="21">
        <f ca="1">VLOOKUP(G31,ビット!$G$2:$H$7,2)</f>
        <v>150</v>
      </c>
      <c r="AO31" s="64" t="s">
        <v>50</v>
      </c>
      <c r="AP31" s="101">
        <v>210003</v>
      </c>
      <c r="AQ31" s="77" t="e">
        <f ca="1">VLOOKUP($AP31,OFFSET([1]unit_skills!$A$1,0,0,COUNTA([1]unit_skills!$A:$A),MATCH("name",[1]unit_skills!$1:$1,0)-MATCH($AP$1,[1]unit_skills!$1:$1,0)+1),MATCH("name",[1]unit_skills!$1:$1,0)-MATCH($AP$1,[1]unit_skills!$1:$1,0)+1,FALSE)</f>
        <v>#VALUE!</v>
      </c>
      <c r="AR31" s="77" t="e">
        <f ca="1">VLOOKUP($AP31,OFFSET([1]unit_skills!$A$1,0,0,COUNTA([1]unit_skills!$A:$A),MATCH("comment",[1]unit_skills!$1:$1,0)-MATCH($AP$1,[1]unit_skills!$1:$1,0)+1),MATCH("comment",[1]unit_skills!$1:$1,0)-MATCH($AP$1,[1]unit_skills!$1:$1,0)+1,FALSE)</f>
        <v>#VALUE!</v>
      </c>
      <c r="AS31" s="77" t="e">
        <f ca="1">VLOOKUP($AP31,OFFSET([1]unit_skills!$A$1,0,0,COUNTA([1]unit_skills!$A:$A),MATCH(AS$1,[1]unit_skills!$1:$1,0)-MATCH($AP$1,[1]unit_skills!$1:$1,0)+1),MATCH(AS$1,[1]unit_skills!$1:$1,0)-MATCH($AP$1,[1]unit_skills!$1:$1,0)+1,FALSE)</f>
        <v>#VALUE!</v>
      </c>
      <c r="AT31" s="97">
        <v>143002</v>
      </c>
      <c r="AU31" s="77" t="e">
        <f ca="1">VLOOKUP($AT31,OFFSET([1]crash_skills!$A$1,0,0,COUNTA([1]crash_skills!$A:$A),MATCH("name",[1]crash_skills!$1:$1,0)-MATCH($AT$1,[1]crash_skills!$1:$1,0)+1),MATCH("name",[1]crash_skills!$1:$1,0)-MATCH($AT$1,[1]crash_skills!$1:$1,0)+1,FALSE)</f>
        <v>#VALUE!</v>
      </c>
      <c r="AV31" s="77" t="e">
        <f ca="1">VLOOKUP($AT31,OFFSET([1]crash_skills!$A$1,0,0,COUNTA([1]crash_skills!$A:$A),MATCH("comment",[1]crash_skills!$1:$1,0)-MATCH($AT$1,[1]crash_skills!$1:$1,0)+1),MATCH("comment",[1]crash_skills!$1:$1,0)-MATCH($AT$1,[1]crash_skills!$1:$1,0)+1,FALSE)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1" s="77" t="e">
        <f ca="1">VLOOKUP($AT31,OFFSET([1]crash_skills!$A$1,0,0,COUNTA([1]crash_skills!$A:$A),MATCH(AW$1,[1]crash_skills!$1:$1,0)-MATCH($AT$1,[1]crash_skills!$1:$1,0)+1),MATCH(AW$1,[1]crash_skills!$1:$1,0)-MATCH($AT$1,[1]crash_skills!$1:$1,0)+1,FALSE)</f>
        <v>#VALUE!</v>
      </c>
      <c r="AX31" s="81">
        <f ca="1">VLOOKUP($A31,OFFSET([2]characters!$A$1,0,0,COUNTA([2]characters!$A:$A),MATCH(AX$1,[2]characters!$1:$1,0)-MATCH($A$1,[2]characters!$1:$1,0)+1),MATCH(AX$1,[2]characters!$1:$1,0)-MATCH($A$1,[2]characters!$1:$1,0)+1,FALSE)</f>
        <v>3</v>
      </c>
      <c r="AY31" s="19">
        <v>1</v>
      </c>
      <c r="AZ31" s="19">
        <v>1</v>
      </c>
      <c r="BA31" s="19">
        <v>0</v>
      </c>
      <c r="BB31" s="19">
        <v>1</v>
      </c>
      <c r="BC31" s="14">
        <f ca="1">INDEX('RC6SV'!$A$1:$G$20,MATCH(H31,'RC6SV'!$A$1:$A$20,FALSE),MATCH(G31,'RC6SV'!$A$1:$G$1,FALSE))</f>
        <v>2800</v>
      </c>
      <c r="BD31" s="63">
        <f t="shared" ca="1" si="4"/>
        <v>2800</v>
      </c>
      <c r="BE31" s="14">
        <f t="shared" ca="1" si="5"/>
        <v>2000</v>
      </c>
      <c r="BF31" s="14">
        <f t="shared" ca="1" si="6"/>
        <v>1</v>
      </c>
      <c r="BG31" s="20">
        <f ca="1">IF($BE31&lt;=0,ROUND(BK31*0.5,0), ROUND($BE31*S31*AA31*J31*AY31*0.8*[2]ステータス!$B$2,0))</f>
        <v>640</v>
      </c>
      <c r="BH31" s="20">
        <f ca="1">IF($BE31&lt;=0,ROUND(BL31*0.5,0), ROUND($BE31*T31*AB31*K31*AZ31*0.8*[2]ステータス!$C$2,0))</f>
        <v>367</v>
      </c>
      <c r="BI31" s="20">
        <f ca="1">IF($BE31&lt;=0,ROUND(BM31*0.5,0), ROUND($BE31*U31*AC31*L31*BA31*0.8*[2]ステータス!$D$2,0))</f>
        <v>0</v>
      </c>
      <c r="BJ31" s="20">
        <f ca="1">IF($BE31&lt;=0,ROUND(BN31*0.5,0), ROUND($BE31*V31*AD31*M31*BB31*0.8*[2]ステータス!$E$2,0))</f>
        <v>579</v>
      </c>
      <c r="BK31" s="14">
        <f ca="1">ROUND(BD31*S31*AA31*J31*AY31*[2]ステータス!$B$2,0)</f>
        <v>1120</v>
      </c>
      <c r="BL31" s="14">
        <f ca="1">ROUND(BD31*T31*AB31*K31*AZ31*[2]ステータス!$C$2,0)</f>
        <v>642</v>
      </c>
      <c r="BM31" s="14">
        <f ca="1">ROUND(BD31*U31*AC31*L31*BA31*[2]ステータス!$D$2,0)</f>
        <v>0</v>
      </c>
      <c r="BN31" s="14">
        <f ca="1">ROUND(BD31*V31*AD31*M31*BB31*[2]ステータス!$E$2,0)</f>
        <v>1014</v>
      </c>
      <c r="BO31" s="13">
        <v>0</v>
      </c>
      <c r="BP31" s="13">
        <v>1</v>
      </c>
      <c r="BQ31" s="13" t="s">
        <v>102</v>
      </c>
      <c r="BR31" s="13">
        <f ca="1">VLOOKUP(H31,ghosts_label!$A$2:$B$19,2,FALSE)</f>
        <v>1</v>
      </c>
    </row>
    <row r="32" spans="1:70" ht="21" customHeight="1" x14ac:dyDescent="0.15">
      <c r="A32" s="14">
        <f t="shared" ca="1" si="0"/>
        <v>31</v>
      </c>
      <c r="B32" s="77" t="str">
        <f ca="1">VLOOKUP($A32,OFFSET([2]characters!$A$1,0,0,COUNTA([2]characters!$A:$A),MATCH(B$1,[2]characters!$1:$1,0)-MATCH($A$1,[2]characters!$1:$1,0)+1),MATCH(B$1,[2]characters!$1:$1,0)-MATCH($A$1,[2]characters!$1:$1,0)+1,FALSE)</f>
        <v>マービー</v>
      </c>
      <c r="C32" s="77" t="str">
        <f ca="1">VLOOKUP($A32,OFFSET([2]characters!$A$1,0,0,COUNTA([2]characters!$A:$A),MATCH(C$1,[2]characters!$1:$1,0)-MATCH($A$1,[2]characters!$1:$1,0)+1),MATCH(C$1,[2]characters!$1:$1,0)-MATCH($A$1,[2]characters!$1:$1,0)+1,FALSE)</f>
        <v>ノーマルクエスト</v>
      </c>
      <c r="D32" s="77" t="str">
        <f ca="1">VLOOKUP($A32,OFFSET([2]characters!$A$1,0,0,COUNTA([2]characters!$A:$A),MATCH(D$1,[2]characters!$1:$1,0)-MATCH($A$1,[2]characters!$1:$1,0)+1),MATCH(D$1,[2]characters!$1:$1,0)-MATCH($A$1,[2]characters!$1:$1,0)+1,FALSE)</f>
        <v>アバター</v>
      </c>
      <c r="E32" s="77" t="str">
        <f ca="1">VLOOKUP($A32,OFFSET([2]characters!$A$1,0,0,COUNTA([2]characters!$A:$A),MATCH(E$1,[2]characters!$1:$1,0)-MATCH($A$1,[2]characters!$1:$1,0)+1),MATCH(E$1,[2]characters!$1:$1,0)-MATCH($A$1,[2]characters!$1:$1,0)+1,FALSE)</f>
        <v>世界観</v>
      </c>
      <c r="F32" s="77" t="str">
        <f ca="1">VLOOKUP($A32,OFFSET([2]characters!$A$1,0,0,COUNTA([2]characters!$A:$A),MATCH(F$1,[2]characters!$1:$1,0)-MATCH($A$1,[2]characters!$1:$1,0)+1),MATCH(F$1,[2]characters!$1:$1,0)-MATCH($A$1,[2]characters!$1:$1,0)+1,FALSE)</f>
        <v>不明</v>
      </c>
      <c r="G32" s="77">
        <f ca="1">VLOOKUP($A32,OFFSET([2]characters!$A$1,0,0,COUNTA([2]characters!$A:$A),MATCH(G$1,[2]characters!$1:$1,0)-MATCH($A$1,[2]characters!$1:$1,0)+1),MATCH(G$1,[2]characters!$1:$1,0)-MATCH($A$1,[2]characters!$1:$1,0)+1,FALSE)</f>
        <v>1</v>
      </c>
      <c r="H32" s="77" t="str">
        <f ca="1">VLOOKUP($A32,OFFSET([2]characters!$A$1,0,0,COUNTA([2]characters!$A:$A),MATCH(H$1,[2]characters!$1:$1,0)-MATCH($A$1,[2]characters!$1:$1,0)+1),MATCH(H$1,[2]characters!$1:$1,0)-MATCH($A$1,[2]characters!$1:$1,0)+1,FALSE)</f>
        <v>Drop1N</v>
      </c>
      <c r="I32" s="77" t="str">
        <f ca="1">VLOOKUP($A32,OFFSET([2]characters!$A$1,0,0,COUNTA([2]characters!$A:$A),MATCH(I$1,[2]characters!$1:$1,0)-MATCH($A$1,[2]characters!$1:$1,0)+1),MATCH(I$1,[2]characters!$1:$1,0)-MATCH($A$1,[2]characters!$1:$1,0)+1,FALSE)</f>
        <v>yellow</v>
      </c>
      <c r="J32" s="14">
        <f ca="1">VLOOKUP(I32,[2]属性!$A:$E,2,FALSE)</f>
        <v>0.98</v>
      </c>
      <c r="K32" s="14">
        <f ca="1">VLOOKUP(I32,[2]属性!$A:$E,3,FALSE)</f>
        <v>1.01</v>
      </c>
      <c r="L32" s="14">
        <f ca="1">VLOOKUP(I32,[2]属性!$A:$E,4,FALSE)</f>
        <v>1</v>
      </c>
      <c r="M32" s="14">
        <f ca="1">VLOOKUP(I32,[2]属性!$A:$E,5,FALSE)</f>
        <v>1.01</v>
      </c>
      <c r="N32" s="14">
        <f ca="1">INDEX(コスト!$A$1:$I$20,MATCH(H32,コスト!$A$1:$A$20,FALSE),MATCH(G32,コスト!$A$1:$I$1,FALSE))</f>
        <v>2</v>
      </c>
      <c r="O32" s="14">
        <f ca="1">INDEX(レベル!$A$1:$I$21,MATCH(H32,レベル!$A$1:$A$21,FALSE),MATCH(G32,レベル!$A$1:$I$1,FALSE))</f>
        <v>15</v>
      </c>
      <c r="P32" s="63">
        <f t="shared" ca="1" si="7"/>
        <v>15</v>
      </c>
      <c r="Q32" s="77" t="str">
        <f ca="1">VLOOKUP($A32,OFFSET([2]characters!$A$1,0,0,COUNTA([2]characters!$A:$A),MATCH(Q$1,[2]characters!$1:$1,0)-MATCH($A$1,[2]characters!$1:$1,0)+1),MATCH(Q$1,[2]characters!$1:$1,0)-MATCH($A$1,[2]characters!$1:$1,0)+1,FALSE)</f>
        <v>technical</v>
      </c>
      <c r="R32" s="8" t="str">
        <f ca="1">VLOOKUP(Q32,[2]character_type_i18n!$A:$H,3,FALSE)</f>
        <v>テクニカルタイプ</v>
      </c>
      <c r="S32" s="14">
        <f ca="1">VLOOKUP(Q32,[2]character_type_i18n!$A:$H,4,FALSE)</f>
        <v>0.9</v>
      </c>
      <c r="T32" s="14">
        <f ca="1">VLOOKUP(Q32,[2]character_type_i18n!$A:$H,5,FALSE)</f>
        <v>0.9</v>
      </c>
      <c r="U32" s="14">
        <f ca="1">VLOOKUP(Q32,[2]character_type_i18n!$A:$H,6,FALSE)</f>
        <v>1</v>
      </c>
      <c r="V32" s="14">
        <f ca="1">VLOOKUP(Q32,[2]character_type_i18n!$A:$H,7,FALSE)</f>
        <v>0.9</v>
      </c>
      <c r="W32" s="77" t="str">
        <f ca="1">VLOOKUP($A32,OFFSET([2]characters!$A$1,0,0,COUNTA([2]characters!$A:$A),MATCH(W$1,[2]characters!$1:$1,0)-MATCH($A$1,[2]characters!$1:$1,0)+1),MATCH(W$1,[2]characters!$1:$1,0)-MATCH($A$1,[2]characters!$1:$1,0)+1,FALSE)</f>
        <v>machine</v>
      </c>
      <c r="X32" s="8" t="str">
        <f ca="1">VLOOKUP(W32,[2]character_tribe_i18n!$A:$H,3,FALSE)</f>
        <v>マシン</v>
      </c>
      <c r="Y32" s="77" t="str">
        <f ca="1">VLOOKUP($A32,OFFSET([2]characters!$A$1,0,0,COUNTA([2]characters!$A:$A),MATCH(Y$1,[2]characters!$1:$1,0)-MATCH($A$1,[2]characters!$1:$1,0)+1),MATCH(Y$1,[2]characters!$1:$1,0)-MATCH($A$1,[2]characters!$1:$1,0)+1,FALSE)</f>
        <v>none</v>
      </c>
      <c r="Z32" s="8" t="str">
        <f ca="1">VLOOKUP(Y32,[2]character_tribe_i18n!$A:$H,3,FALSE)</f>
        <v>種族なし</v>
      </c>
      <c r="AA32" s="14">
        <f ca="1">VLOOKUP(W32,[2]character_tribe_i18n!$A:$H,4,FALSE)</f>
        <v>1</v>
      </c>
      <c r="AB32" s="14">
        <f ca="1">VLOOKUP(W32,[2]character_tribe_i18n!$A:$H,5,FALSE)</f>
        <v>1</v>
      </c>
      <c r="AC32" s="14">
        <f ca="1">VLOOKUP(W32,[2]character_tribe_i18n!$A:$H,6,FALSE)</f>
        <v>1</v>
      </c>
      <c r="AD32" s="14">
        <f ca="1">VLOOKUP(W32,[2]character_tribe_i18n!$A:$H,7,FALSE)</f>
        <v>1</v>
      </c>
      <c r="AE32" s="12">
        <v>32</v>
      </c>
      <c r="AF32" s="85" t="str">
        <f ca="1">IF(AE32="NULL","",VLOOKUP($AE32,OFFSET([2]characters!$A$1,0,0,COUNTA([2]characters!$A:$A),MATCH(AF$1,[2]characters!$1:$1,0)-MATCH($A$1,[2]characters!$1:$1,0)+1),MATCH(AF$1,[2]characters!$1:$1,0)-MATCH($A$1,[2]characters!$1:$1,0)+1,FALSE))</f>
        <v>沈黙のジャミング マービー</v>
      </c>
      <c r="AG32" s="8">
        <f t="shared" ca="1" si="2"/>
        <v>31</v>
      </c>
      <c r="AH32" s="85" t="str">
        <f ca="1">VLOOKUP($AG32,OFFSET([2]characters!$A$1,0,0,COUNTA([2]characters!$A:$A),MATCH(AH$1,[2]characters!$1:$1,0)-MATCH($A$1,[2]characters!$1:$1,0)+1),MATCH(AH$1,[2]characters!$1:$1,0)-MATCH($A$1,[2]characters!$1:$1,0)+1,FALSE)</f>
        <v>マービー</v>
      </c>
      <c r="AI32" s="14">
        <f ca="1">IF(AE32="NULL","NULL",VLOOKUP(G32,ビット!$A$2:$B$7,2))</f>
        <v>5000</v>
      </c>
      <c r="AJ32" s="9">
        <v>2</v>
      </c>
      <c r="AK32" s="10" t="str">
        <f t="shared" si="3"/>
        <v>普通</v>
      </c>
      <c r="AL32" s="14" t="str">
        <f ca="1">INDEX(経験値!$A$1:$I$20,MATCH(H32,経験値!$A$1:$A$20,FALSE),MATCH(G32,経験値!$A$1:$I$1,FALSE))</f>
        <v>required_exp_100</v>
      </c>
      <c r="AM32" s="11">
        <f ca="1">VLOOKUP(G32,経験値!$A$27:$B$31,2)</f>
        <v>200</v>
      </c>
      <c r="AN32" s="21">
        <f ca="1">VLOOKUP(G32,ビット!$G$2:$H$7,2)</f>
        <v>75</v>
      </c>
      <c r="AO32" s="64" t="s">
        <v>48</v>
      </c>
      <c r="AP32" s="97">
        <v>450001</v>
      </c>
      <c r="AQ32" s="77" t="e">
        <f ca="1">VLOOKUP($AP32,OFFSET([1]unit_skills!$A$1,0,0,COUNTA([1]unit_skills!$A:$A),MATCH("name",[1]unit_skills!$1:$1,0)-MATCH($AP$1,[1]unit_skills!$1:$1,0)+1),MATCH("name",[1]unit_skills!$1:$1,0)-MATCH($AP$1,[1]unit_skills!$1:$1,0)+1,FALSE)</f>
        <v>#VALUE!</v>
      </c>
      <c r="AR32" s="77" t="e">
        <f ca="1">VLOOKUP($AP32,OFFSET([1]unit_skills!$A$1,0,0,COUNTA([1]unit_skills!$A:$A),MATCH("comment",[1]unit_skills!$1:$1,0)-MATCH($AP$1,[1]unit_skills!$1:$1,0)+1),MATCH("comment",[1]unit_skills!$1:$1,0)-MATCH($AP$1,[1]unit_skills!$1:$1,0)+1,FALSE)</f>
        <v>#VALUE!</v>
      </c>
      <c r="AS32" s="77" t="e">
        <f ca="1">VLOOKUP($AP32,OFFSET([1]unit_skills!$A$1,0,0,COUNTA([1]unit_skills!$A:$A),MATCH(AS$1,[1]unit_skills!$1:$1,0)-MATCH($AP$1,[1]unit_skills!$1:$1,0)+1),MATCH(AS$1,[1]unit_skills!$1:$1,0)-MATCH($AP$1,[1]unit_skills!$1:$1,0)+1,FALSE)</f>
        <v>#VALUE!</v>
      </c>
      <c r="AT32" s="97">
        <v>134001</v>
      </c>
      <c r="AU32" s="77" t="e">
        <f ca="1">VLOOKUP($AT32,OFFSET([1]crash_skills!$A$1,0,0,COUNTA([1]crash_skills!$A:$A),MATCH("name",[1]crash_skills!$1:$1,0)-MATCH($AT$1,[1]crash_skills!$1:$1,0)+1),MATCH("name",[1]crash_skills!$1:$1,0)-MATCH($AT$1,[1]crash_skills!$1:$1,0)+1,FALSE)</f>
        <v>#VALUE!</v>
      </c>
      <c r="AV32" s="77" t="e">
        <f ca="1">VLOOKUP($AT32,OFFSET([1]crash_skills!$A$1,0,0,COUNTA([1]crash_skills!$A:$A),MATCH("comment",[1]crash_skills!$1:$1,0)-MATCH($AT$1,[1]crash_skills!$1:$1,0)+1),MATCH("comment",[1]crash_skills!$1:$1,0)-MATCH($AT$1,[1]crash_skills!$1:$1,0)+1,FALSE)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2" s="77" t="e">
        <f ca="1">VLOOKUP($AT32,OFFSET([1]crash_skills!$A$1,0,0,COUNTA([1]crash_skills!$A:$A),MATCH(AW$1,[1]crash_skills!$1:$1,0)-MATCH($AT$1,[1]crash_skills!$1:$1,0)+1),MATCH(AW$1,[1]crash_skills!$1:$1,0)-MATCH($AT$1,[1]crash_skills!$1:$1,0)+1,FALSE)</f>
        <v>#VALUE!</v>
      </c>
      <c r="AX32" s="81">
        <f ca="1">VLOOKUP($A32,OFFSET([2]characters!$A$1,0,0,COUNTA([2]characters!$A:$A),MATCH(AX$1,[2]characters!$1:$1,0)-MATCH($A$1,[2]characters!$1:$1,0)+1),MATCH(AX$1,[2]characters!$1:$1,0)-MATCH($A$1,[2]characters!$1:$1,0)+1,FALSE)</f>
        <v>3</v>
      </c>
      <c r="AY32" s="19">
        <v>1</v>
      </c>
      <c r="AZ32" s="19">
        <v>0.8</v>
      </c>
      <c r="BA32" s="19">
        <v>0</v>
      </c>
      <c r="BB32" s="19">
        <v>1.2</v>
      </c>
      <c r="BC32" s="14">
        <f ca="1">INDEX('RC6SV'!$A$1:$G$20,MATCH(H32,'RC6SV'!$A$1:$A$20,FALSE),MATCH(G32,'RC6SV'!$A$1:$G$1,FALSE))</f>
        <v>2000</v>
      </c>
      <c r="BD32" s="63">
        <f t="shared" ca="1" si="4"/>
        <v>2000</v>
      </c>
      <c r="BE32" s="14">
        <f t="shared" ca="1" si="5"/>
        <v>0</v>
      </c>
      <c r="BF32" s="14">
        <f t="shared" ca="1" si="6"/>
        <v>1</v>
      </c>
      <c r="BG32" s="20">
        <f ca="1">IF($BE32&lt;=0,ROUND(BK32*0.5,0), ROUND($BE32*S32*AA32*J32*AY32*0.8*[2]ステータス!$B$2,0))</f>
        <v>441</v>
      </c>
      <c r="BH32" s="20">
        <f ca="1">IF($BE32&lt;=0,ROUND(BL32*0.5,0), ROUND($BE32*T32*AB32*K32*AZ32*0.8*[2]ステータス!$C$2,0))</f>
        <v>218</v>
      </c>
      <c r="BI32" s="20">
        <f ca="1">IF($BE32&lt;=0,ROUND(BM32*0.5,0), ROUND($BE32*U32*AC32*L32*BA32*0.8*[2]ステータス!$D$2,0))</f>
        <v>0</v>
      </c>
      <c r="BJ32" s="20">
        <f ca="1">IF($BE32&lt;=0,ROUND(BN32*0.5,0), ROUND($BE32*V32*AD32*M32*BB32*0.8*[2]ステータス!$E$2,0))</f>
        <v>273</v>
      </c>
      <c r="BK32" s="14">
        <f ca="1">ROUND(BD32*S32*AA32*J32*AY32*[2]ステータス!$B$2,0)</f>
        <v>882</v>
      </c>
      <c r="BL32" s="14">
        <f ca="1">ROUND(BD32*T32*AB32*K32*AZ32*[2]ステータス!$C$2,0)</f>
        <v>436</v>
      </c>
      <c r="BM32" s="14">
        <f ca="1">ROUND(BD32*U32*AC32*L32*BA32*[2]ステータス!$D$2,0)</f>
        <v>0</v>
      </c>
      <c r="BN32" s="14">
        <f ca="1">ROUND(BD32*V32*AD32*M32*BB32*[2]ステータス!$E$2,0)</f>
        <v>545</v>
      </c>
      <c r="BO32" s="13">
        <v>0</v>
      </c>
      <c r="BP32" s="13">
        <v>1</v>
      </c>
      <c r="BQ32" s="13" t="s">
        <v>102</v>
      </c>
      <c r="BR32" s="13">
        <f ca="1">VLOOKUP(H32,ghosts_label!$A$2:$B$19,2,FALSE)</f>
        <v>1</v>
      </c>
    </row>
    <row r="33" spans="1:70" ht="21" customHeight="1" x14ac:dyDescent="0.15">
      <c r="A33" s="14">
        <f t="shared" ca="1" si="0"/>
        <v>32</v>
      </c>
      <c r="B33" s="77" t="str">
        <f ca="1">VLOOKUP($A33,OFFSET([2]characters!$A$1,0,0,COUNTA([2]characters!$A:$A),MATCH(B$1,[2]characters!$1:$1,0)-MATCH($A$1,[2]characters!$1:$1,0)+1),MATCH(B$1,[2]characters!$1:$1,0)-MATCH($A$1,[2]characters!$1:$1,0)+1,FALSE)</f>
        <v>沈黙のジャミング マービー</v>
      </c>
      <c r="C33" s="77" t="str">
        <f ca="1">VLOOKUP($A33,OFFSET([2]characters!$A$1,0,0,COUNTA([2]characters!$A:$A),MATCH(C$1,[2]characters!$1:$1,0)-MATCH($A$1,[2]characters!$1:$1,0)+1),MATCH(C$1,[2]characters!$1:$1,0)-MATCH($A$1,[2]characters!$1:$1,0)+1,FALSE)</f>
        <v>ノーマルクエスト</v>
      </c>
      <c r="D33" s="77" t="str">
        <f ca="1">VLOOKUP($A33,OFFSET([2]characters!$A$1,0,0,COUNTA([2]characters!$A:$A),MATCH(D$1,[2]characters!$1:$1,0)-MATCH($A$1,[2]characters!$1:$1,0)+1),MATCH(D$1,[2]characters!$1:$1,0)-MATCH($A$1,[2]characters!$1:$1,0)+1,FALSE)</f>
        <v>アバター</v>
      </c>
      <c r="E33" s="77" t="str">
        <f ca="1">VLOOKUP($A33,OFFSET([2]characters!$A$1,0,0,COUNTA([2]characters!$A:$A),MATCH(E$1,[2]characters!$1:$1,0)-MATCH($A$1,[2]characters!$1:$1,0)+1),MATCH(E$1,[2]characters!$1:$1,0)-MATCH($A$1,[2]characters!$1:$1,0)+1,FALSE)</f>
        <v>世界観</v>
      </c>
      <c r="F33" s="77" t="str">
        <f ca="1">VLOOKUP($A33,OFFSET([2]characters!$A$1,0,0,COUNTA([2]characters!$A:$A),MATCH(F$1,[2]characters!$1:$1,0)-MATCH($A$1,[2]characters!$1:$1,0)+1),MATCH(F$1,[2]characters!$1:$1,0)-MATCH($A$1,[2]characters!$1:$1,0)+1,FALSE)</f>
        <v>不明</v>
      </c>
      <c r="G33" s="77">
        <f ca="1">VLOOKUP($A33,OFFSET([2]characters!$A$1,0,0,COUNTA([2]characters!$A:$A),MATCH(G$1,[2]characters!$1:$1,0)-MATCH($A$1,[2]characters!$1:$1,0)+1),MATCH(G$1,[2]characters!$1:$1,0)-MATCH($A$1,[2]characters!$1:$1,0)+1,FALSE)</f>
        <v>2</v>
      </c>
      <c r="H33" s="77" t="str">
        <f ca="1">VLOOKUP($A33,OFFSET([2]characters!$A$1,0,0,COUNTA([2]characters!$A:$A),MATCH(H$1,[2]characters!$1:$1,0)-MATCH($A$1,[2]characters!$1:$1,0)+1),MATCH(H$1,[2]characters!$1:$1,0)-MATCH($A$1,[2]characters!$1:$1,0)+1,FALSE)</f>
        <v>Drop1N</v>
      </c>
      <c r="I33" s="77" t="str">
        <f ca="1">VLOOKUP($A33,OFFSET([2]characters!$A$1,0,0,COUNTA([2]characters!$A:$A),MATCH(I$1,[2]characters!$1:$1,0)-MATCH($A$1,[2]characters!$1:$1,0)+1),MATCH(I$1,[2]characters!$1:$1,0)-MATCH($A$1,[2]characters!$1:$1,0)+1,FALSE)</f>
        <v>yellow</v>
      </c>
      <c r="J33" s="14">
        <f ca="1">VLOOKUP(I33,[2]属性!$A:$E,2,FALSE)</f>
        <v>0.98</v>
      </c>
      <c r="K33" s="14">
        <f ca="1">VLOOKUP(I33,[2]属性!$A:$E,3,FALSE)</f>
        <v>1.01</v>
      </c>
      <c r="L33" s="14">
        <f ca="1">VLOOKUP(I33,[2]属性!$A:$E,4,FALSE)</f>
        <v>1</v>
      </c>
      <c r="M33" s="14">
        <f ca="1">VLOOKUP(I33,[2]属性!$A:$E,5,FALSE)</f>
        <v>1.01</v>
      </c>
      <c r="N33" s="14">
        <f ca="1">INDEX(コスト!$A$1:$I$20,MATCH(H33,コスト!$A$1:$A$20,FALSE),MATCH(G33,コスト!$A$1:$I$1,FALSE))</f>
        <v>4</v>
      </c>
      <c r="O33" s="14">
        <f ca="1">INDEX(レベル!$A$1:$I$21,MATCH(H33,レベル!$A$1:$A$21,FALSE),MATCH(G33,レベル!$A$1:$I$1,FALSE))</f>
        <v>30</v>
      </c>
      <c r="P33" s="63">
        <f t="shared" ca="1" si="7"/>
        <v>30</v>
      </c>
      <c r="Q33" s="77" t="str">
        <f ca="1">VLOOKUP($A33,OFFSET([2]characters!$A$1,0,0,COUNTA([2]characters!$A:$A),MATCH(Q$1,[2]characters!$1:$1,0)-MATCH($A$1,[2]characters!$1:$1,0)+1),MATCH(Q$1,[2]characters!$1:$1,0)-MATCH($A$1,[2]characters!$1:$1,0)+1,FALSE)</f>
        <v>technical</v>
      </c>
      <c r="R33" s="8" t="str">
        <f ca="1">VLOOKUP(Q33,[2]character_type_i18n!$A:$H,3,FALSE)</f>
        <v>テクニカルタイプ</v>
      </c>
      <c r="S33" s="14">
        <f ca="1">VLOOKUP(Q33,[2]character_type_i18n!$A:$H,4,FALSE)</f>
        <v>0.9</v>
      </c>
      <c r="T33" s="14">
        <f ca="1">VLOOKUP(Q33,[2]character_type_i18n!$A:$H,5,FALSE)</f>
        <v>0.9</v>
      </c>
      <c r="U33" s="14">
        <f ca="1">VLOOKUP(Q33,[2]character_type_i18n!$A:$H,6,FALSE)</f>
        <v>1</v>
      </c>
      <c r="V33" s="14">
        <f ca="1">VLOOKUP(Q33,[2]character_type_i18n!$A:$H,7,FALSE)</f>
        <v>0.9</v>
      </c>
      <c r="W33" s="77" t="str">
        <f ca="1">VLOOKUP($A33,OFFSET([2]characters!$A$1,0,0,COUNTA([2]characters!$A:$A),MATCH(W$1,[2]characters!$1:$1,0)-MATCH($A$1,[2]characters!$1:$1,0)+1),MATCH(W$1,[2]characters!$1:$1,0)-MATCH($A$1,[2]characters!$1:$1,0)+1,FALSE)</f>
        <v>machine</v>
      </c>
      <c r="X33" s="8" t="str">
        <f ca="1">VLOOKUP(W33,[2]character_tribe_i18n!$A:$H,3,FALSE)</f>
        <v>マシン</v>
      </c>
      <c r="Y33" s="77" t="str">
        <f ca="1">VLOOKUP($A33,OFFSET([2]characters!$A$1,0,0,COUNTA([2]characters!$A:$A),MATCH(Y$1,[2]characters!$1:$1,0)-MATCH($A$1,[2]characters!$1:$1,0)+1),MATCH(Y$1,[2]characters!$1:$1,0)-MATCH($A$1,[2]characters!$1:$1,0)+1,FALSE)</f>
        <v>none</v>
      </c>
      <c r="Z33" s="8" t="str">
        <f ca="1">VLOOKUP(Y33,[2]character_tribe_i18n!$A:$H,3,FALSE)</f>
        <v>種族なし</v>
      </c>
      <c r="AA33" s="14">
        <f ca="1">VLOOKUP(W33,[2]character_tribe_i18n!$A:$H,4,FALSE)</f>
        <v>1</v>
      </c>
      <c r="AB33" s="14">
        <f ca="1">VLOOKUP(W33,[2]character_tribe_i18n!$A:$H,5,FALSE)</f>
        <v>1</v>
      </c>
      <c r="AC33" s="14">
        <f ca="1">VLOOKUP(W33,[2]character_tribe_i18n!$A:$H,6,FALSE)</f>
        <v>1</v>
      </c>
      <c r="AD33" s="14">
        <f ca="1">VLOOKUP(W33,[2]character_tribe_i18n!$A:$H,7,FALSE)</f>
        <v>1</v>
      </c>
      <c r="AE33" s="12" t="s">
        <v>102</v>
      </c>
      <c r="AF33" s="85" t="str">
        <f ca="1">IF(AE33="NULL","",VLOOKUP($AE33,OFFSET([2]characters!$A$1,0,0,COUNTA([2]characters!$A:$A),MATCH(AF$1,[2]characters!$1:$1,0)-MATCH($A$1,[2]characters!$1:$1,0)+1),MATCH(AF$1,[2]characters!$1:$1,0)-MATCH($A$1,[2]characters!$1:$1,0)+1,FALSE))</f>
        <v/>
      </c>
      <c r="AG33" s="8">
        <f t="shared" ca="1" si="2"/>
        <v>31</v>
      </c>
      <c r="AH33" s="85" t="str">
        <f ca="1">VLOOKUP($AG33,OFFSET([2]characters!$A$1,0,0,COUNTA([2]characters!$A:$A),MATCH(AH$1,[2]characters!$1:$1,0)-MATCH($A$1,[2]characters!$1:$1,0)+1),MATCH(AH$1,[2]characters!$1:$1,0)-MATCH($A$1,[2]characters!$1:$1,0)+1,FALSE)</f>
        <v>マービー</v>
      </c>
      <c r="AI33" s="14" t="str">
        <f>IF(AE33="NULL","NULL",VLOOKUP(G33,ビット!$A$2:$B$7,2))</f>
        <v>NULL</v>
      </c>
      <c r="AJ33" s="9">
        <v>2</v>
      </c>
      <c r="AK33" s="10" t="str">
        <f t="shared" si="3"/>
        <v>普通</v>
      </c>
      <c r="AL33" s="14" t="str">
        <f ca="1">INDEX(経験値!$A$1:$I$20,MATCH(H33,経験値!$A$1:$A$20,FALSE),MATCH(G33,経験値!$A$1:$I$1,FALSE))</f>
        <v>required_exp_100</v>
      </c>
      <c r="AM33" s="11">
        <f ca="1">VLOOKUP(G33,経験値!$A$27:$B$31,2)</f>
        <v>600</v>
      </c>
      <c r="AN33" s="21">
        <f ca="1">VLOOKUP(G33,ビット!$G$2:$H$7,2)</f>
        <v>150</v>
      </c>
      <c r="AO33" s="64" t="s">
        <v>48</v>
      </c>
      <c r="AP33" s="97">
        <v>450001</v>
      </c>
      <c r="AQ33" s="77" t="e">
        <f ca="1">VLOOKUP($AP33,OFFSET([1]unit_skills!$A$1,0,0,COUNTA([1]unit_skills!$A:$A),MATCH("name",[1]unit_skills!$1:$1,0)-MATCH($AP$1,[1]unit_skills!$1:$1,0)+1),MATCH("name",[1]unit_skills!$1:$1,0)-MATCH($AP$1,[1]unit_skills!$1:$1,0)+1,FALSE)</f>
        <v>#VALUE!</v>
      </c>
      <c r="AR33" s="77" t="e">
        <f ca="1">VLOOKUP($AP33,OFFSET([1]unit_skills!$A$1,0,0,COUNTA([1]unit_skills!$A:$A),MATCH("comment",[1]unit_skills!$1:$1,0)-MATCH($AP$1,[1]unit_skills!$1:$1,0)+1),MATCH("comment",[1]unit_skills!$1:$1,0)-MATCH($AP$1,[1]unit_skills!$1:$1,0)+1,FALSE)</f>
        <v>#VALUE!</v>
      </c>
      <c r="AS33" s="77" t="e">
        <f ca="1">VLOOKUP($AP33,OFFSET([1]unit_skills!$A$1,0,0,COUNTA([1]unit_skills!$A:$A),MATCH(AS$1,[1]unit_skills!$1:$1,0)-MATCH($AP$1,[1]unit_skills!$1:$1,0)+1),MATCH(AS$1,[1]unit_skills!$1:$1,0)-MATCH($AP$1,[1]unit_skills!$1:$1,0)+1,FALSE)</f>
        <v>#VALUE!</v>
      </c>
      <c r="AT33" s="97">
        <v>134002</v>
      </c>
      <c r="AU33" s="77" t="e">
        <f ca="1">VLOOKUP($AT33,OFFSET([1]crash_skills!$A$1,0,0,COUNTA([1]crash_skills!$A:$A),MATCH("name",[1]crash_skills!$1:$1,0)-MATCH($AT$1,[1]crash_skills!$1:$1,0)+1),MATCH("name",[1]crash_skills!$1:$1,0)-MATCH($AT$1,[1]crash_skills!$1:$1,0)+1,FALSE)</f>
        <v>#VALUE!</v>
      </c>
      <c r="AV33" s="77" t="e">
        <f ca="1">VLOOKUP($AT33,OFFSET([1]crash_skills!$A$1,0,0,COUNTA([1]crash_skills!$A:$A),MATCH("comment",[1]crash_skills!$1:$1,0)-MATCH($AT$1,[1]crash_skills!$1:$1,0)+1),MATCH("comment",[1]crash_skills!$1:$1,0)-MATCH($AT$1,[1]crash_skills!$1:$1,0)+1,FALSE)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3" s="77" t="e">
        <f ca="1">VLOOKUP($AT33,OFFSET([1]crash_skills!$A$1,0,0,COUNTA([1]crash_skills!$A:$A),MATCH(AW$1,[1]crash_skills!$1:$1,0)-MATCH($AT$1,[1]crash_skills!$1:$1,0)+1),MATCH(AW$1,[1]crash_skills!$1:$1,0)-MATCH($AT$1,[1]crash_skills!$1:$1,0)+1,FALSE)</f>
        <v>#VALUE!</v>
      </c>
      <c r="AX33" s="81">
        <f ca="1">VLOOKUP($A33,OFFSET([2]characters!$A$1,0,0,COUNTA([2]characters!$A:$A),MATCH(AX$1,[2]characters!$1:$1,0)-MATCH($A$1,[2]characters!$1:$1,0)+1),MATCH(AX$1,[2]characters!$1:$1,0)-MATCH($A$1,[2]characters!$1:$1,0)+1,FALSE)</f>
        <v>3</v>
      </c>
      <c r="AY33" s="19">
        <v>1</v>
      </c>
      <c r="AZ33" s="19">
        <v>0.8</v>
      </c>
      <c r="BA33" s="19">
        <v>0</v>
      </c>
      <c r="BB33" s="19">
        <v>1.2</v>
      </c>
      <c r="BC33" s="14">
        <f ca="1">INDEX('RC6SV'!$A$1:$G$20,MATCH(H33,'RC6SV'!$A$1:$A$20,FALSE),MATCH(G33,'RC6SV'!$A$1:$G$1,FALSE))</f>
        <v>2800</v>
      </c>
      <c r="BD33" s="63">
        <f t="shared" ca="1" si="4"/>
        <v>2800</v>
      </c>
      <c r="BE33" s="14">
        <f t="shared" ca="1" si="5"/>
        <v>2000</v>
      </c>
      <c r="BF33" s="14">
        <f t="shared" ca="1" si="6"/>
        <v>1</v>
      </c>
      <c r="BG33" s="20">
        <f ca="1">IF($BE33&lt;=0,ROUND(BK33*0.5,0), ROUND($BE33*S33*AA33*J33*AY33*0.8*[2]ステータス!$B$2,0))</f>
        <v>706</v>
      </c>
      <c r="BH33" s="20">
        <f ca="1">IF($BE33&lt;=0,ROUND(BL33*0.5,0), ROUND($BE33*T33*AB33*K33*AZ33*0.8*[2]ステータス!$C$2,0))</f>
        <v>349</v>
      </c>
      <c r="BI33" s="20">
        <f ca="1">IF($BE33&lt;=0,ROUND(BM33*0.5,0), ROUND($BE33*U33*AC33*L33*BA33*0.8*[2]ステータス!$D$2,0))</f>
        <v>0</v>
      </c>
      <c r="BJ33" s="20">
        <f ca="1">IF($BE33&lt;=0,ROUND(BN33*0.5,0), ROUND($BE33*V33*AD33*M33*BB33*0.8*[2]ステータス!$E$2,0))</f>
        <v>436</v>
      </c>
      <c r="BK33" s="14">
        <f ca="1">ROUND(BD33*S33*AA33*J33*AY33*[2]ステータス!$B$2,0)</f>
        <v>1235</v>
      </c>
      <c r="BL33" s="14">
        <f ca="1">ROUND(BD33*T33*AB33*K33*AZ33*[2]ステータス!$C$2,0)</f>
        <v>611</v>
      </c>
      <c r="BM33" s="14">
        <f ca="1">ROUND(BD33*U33*AC33*L33*BA33*[2]ステータス!$D$2,0)</f>
        <v>0</v>
      </c>
      <c r="BN33" s="14">
        <f ca="1">ROUND(BD33*V33*AD33*M33*BB33*[2]ステータス!$E$2,0)</f>
        <v>764</v>
      </c>
      <c r="BO33" s="13">
        <v>0</v>
      </c>
      <c r="BP33" s="13">
        <v>1</v>
      </c>
      <c r="BQ33" s="13" t="s">
        <v>102</v>
      </c>
      <c r="BR33" s="13">
        <f ca="1">VLOOKUP(H33,ghosts_label!$A$2:$B$19,2,FALSE)</f>
        <v>1</v>
      </c>
    </row>
    <row r="34" spans="1:70" ht="21" customHeight="1" x14ac:dyDescent="0.15">
      <c r="A34" s="14">
        <f t="shared" ca="1" si="0"/>
        <v>33</v>
      </c>
      <c r="B34" s="77" t="str">
        <f ca="1">VLOOKUP($A34,OFFSET([2]characters!$A$1,0,0,COUNTA([2]characters!$A:$A),MATCH(B$1,[2]characters!$1:$1,0)-MATCH($A$1,[2]characters!$1:$1,0)+1),MATCH(B$1,[2]characters!$1:$1,0)-MATCH($A$1,[2]characters!$1:$1,0)+1,FALSE)</f>
        <v>ゴクウ</v>
      </c>
      <c r="C34" s="77" t="str">
        <f ca="1">VLOOKUP($A34,OFFSET([2]characters!$A$1,0,0,COUNTA([2]characters!$A:$A),MATCH(C$1,[2]characters!$1:$1,0)-MATCH($A$1,[2]characters!$1:$1,0)+1),MATCH(C$1,[2]characters!$1:$1,0)-MATCH($A$1,[2]characters!$1:$1,0)+1,FALSE)</f>
        <v>ノーマルクエスト</v>
      </c>
      <c r="D34" s="77" t="str">
        <f ca="1">VLOOKUP($A34,OFFSET([2]characters!$A$1,0,0,COUNTA([2]characters!$A:$A),MATCH(D$1,[2]characters!$1:$1,0)-MATCH($A$1,[2]characters!$1:$1,0)+1),MATCH(D$1,[2]characters!$1:$1,0)-MATCH($A$1,[2]characters!$1:$1,0)+1,FALSE)</f>
        <v>アバター</v>
      </c>
      <c r="E34" s="77" t="str">
        <f ca="1">VLOOKUP($A34,OFFSET([2]characters!$A$1,0,0,COUNTA([2]characters!$A:$A),MATCH(E$1,[2]characters!$1:$1,0)-MATCH($A$1,[2]characters!$1:$1,0)+1),MATCH(E$1,[2]characters!$1:$1,0)-MATCH($A$1,[2]characters!$1:$1,0)+1,FALSE)</f>
        <v>世界観</v>
      </c>
      <c r="F34" s="77" t="str">
        <f ca="1">VLOOKUP($A34,OFFSET([2]characters!$A$1,0,0,COUNTA([2]characters!$A:$A),MATCH(F$1,[2]characters!$1:$1,0)-MATCH($A$1,[2]characters!$1:$1,0)+1),MATCH(F$1,[2]characters!$1:$1,0)-MATCH($A$1,[2]characters!$1:$1,0)+1,FALSE)</f>
        <v>男性</v>
      </c>
      <c r="G34" s="77">
        <f ca="1">VLOOKUP($A34,OFFSET([2]characters!$A$1,0,0,COUNTA([2]characters!$A:$A),MATCH(G$1,[2]characters!$1:$1,0)-MATCH($A$1,[2]characters!$1:$1,0)+1),MATCH(G$1,[2]characters!$1:$1,0)-MATCH($A$1,[2]characters!$1:$1,0)+1,FALSE)</f>
        <v>2</v>
      </c>
      <c r="H34" s="77" t="str">
        <f ca="1">VLOOKUP($A34,OFFSET([2]characters!$A$1,0,0,COUNTA([2]characters!$A:$A),MATCH(H$1,[2]characters!$1:$1,0)-MATCH($A$1,[2]characters!$1:$1,0)+1),MATCH(H$1,[2]characters!$1:$1,0)-MATCH($A$1,[2]characters!$1:$1,0)+1,FALSE)</f>
        <v>Drop1S</v>
      </c>
      <c r="I34" s="77" t="str">
        <f ca="1">VLOOKUP($A34,OFFSET([2]characters!$A$1,0,0,COUNTA([2]characters!$A:$A),MATCH(I$1,[2]characters!$1:$1,0)-MATCH($A$1,[2]characters!$1:$1,0)+1),MATCH(I$1,[2]characters!$1:$1,0)-MATCH($A$1,[2]characters!$1:$1,0)+1,FALSE)</f>
        <v>red</v>
      </c>
      <c r="J34" s="14">
        <f ca="1">VLOOKUP(I34,[2]属性!$A:$E,2,FALSE)</f>
        <v>1</v>
      </c>
      <c r="K34" s="14">
        <f ca="1">VLOOKUP(I34,[2]属性!$A:$E,3,FALSE)</f>
        <v>1.02</v>
      </c>
      <c r="L34" s="14">
        <f ca="1">VLOOKUP(I34,[2]属性!$A:$E,4,FALSE)</f>
        <v>1</v>
      </c>
      <c r="M34" s="14">
        <f ca="1">VLOOKUP(I34,[2]属性!$A:$E,5,FALSE)</f>
        <v>0.98</v>
      </c>
      <c r="N34" s="14">
        <f ca="1">INDEX(コスト!$A$1:$I$20,MATCH(H34,コスト!$A$1:$A$20,FALSE),MATCH(G34,コスト!$A$1:$I$1,FALSE))</f>
        <v>4</v>
      </c>
      <c r="O34" s="14">
        <f ca="1">INDEX(レベル!$A$1:$I$21,MATCH(H34,レベル!$A$1:$A$21,FALSE),MATCH(G34,レベル!$A$1:$I$1,FALSE))</f>
        <v>30</v>
      </c>
      <c r="P34" s="63">
        <f t="shared" ca="1" si="7"/>
        <v>30</v>
      </c>
      <c r="Q34" s="77" t="str">
        <f ca="1">VLOOKUP($A34,OFFSET([2]characters!$A$1,0,0,COUNTA([2]characters!$A:$A),MATCH(Q$1,[2]characters!$1:$1,0)-MATCH($A$1,[2]characters!$1:$1,0)+1),MATCH(Q$1,[2]characters!$1:$1,0)-MATCH($A$1,[2]characters!$1:$1,0)+1,FALSE)</f>
        <v>attack</v>
      </c>
      <c r="R34" s="8" t="str">
        <f ca="1">VLOOKUP(Q34,[2]character_type_i18n!$A:$H,3,FALSE)</f>
        <v>攻撃タイプ</v>
      </c>
      <c r="S34" s="14">
        <f ca="1">VLOOKUP(Q34,[2]character_type_i18n!$A:$H,4,FALSE)</f>
        <v>1</v>
      </c>
      <c r="T34" s="14">
        <f ca="1">VLOOKUP(Q34,[2]character_type_i18n!$A:$H,5,FALSE)</f>
        <v>1.33</v>
      </c>
      <c r="U34" s="14">
        <f ca="1">VLOOKUP(Q34,[2]character_type_i18n!$A:$H,6,FALSE)</f>
        <v>1</v>
      </c>
      <c r="V34" s="14">
        <f ca="1">VLOOKUP(Q34,[2]character_type_i18n!$A:$H,7,FALSE)</f>
        <v>0.67</v>
      </c>
      <c r="W34" s="77" t="str">
        <f ca="1">VLOOKUP($A34,OFFSET([2]characters!$A$1,0,0,COUNTA([2]characters!$A:$A),MATCH(W$1,[2]characters!$1:$1,0)-MATCH($A$1,[2]characters!$1:$1,0)+1),MATCH(W$1,[2]characters!$1:$1,0)-MATCH($A$1,[2]characters!$1:$1,0)+1,FALSE)</f>
        <v>animal</v>
      </c>
      <c r="X34" s="8" t="str">
        <f ca="1">VLOOKUP(W34,[2]character_tribe_i18n!$A:$H,3,FALSE)</f>
        <v>アニマル</v>
      </c>
      <c r="Y34" s="77" t="str">
        <f ca="1">VLOOKUP($A34,OFFSET([2]characters!$A$1,0,0,COUNTA([2]characters!$A:$A),MATCH(Y$1,[2]characters!$1:$1,0)-MATCH($A$1,[2]characters!$1:$1,0)+1),MATCH(Y$1,[2]characters!$1:$1,0)-MATCH($A$1,[2]characters!$1:$1,0)+1,FALSE)</f>
        <v>none</v>
      </c>
      <c r="Z34" s="8" t="str">
        <f ca="1">VLOOKUP(Y34,[2]character_tribe_i18n!$A:$H,3,FALSE)</f>
        <v>種族なし</v>
      </c>
      <c r="AA34" s="14">
        <f ca="1">VLOOKUP(W34,[2]character_tribe_i18n!$A:$H,4,FALSE)</f>
        <v>1</v>
      </c>
      <c r="AB34" s="14">
        <f ca="1">VLOOKUP(W34,[2]character_tribe_i18n!$A:$H,5,FALSE)</f>
        <v>1.1000000000000001</v>
      </c>
      <c r="AC34" s="14">
        <f ca="1">VLOOKUP(W34,[2]character_tribe_i18n!$A:$H,6,FALSE)</f>
        <v>1</v>
      </c>
      <c r="AD34" s="14">
        <f ca="1">VLOOKUP(W34,[2]character_tribe_i18n!$A:$H,7,FALSE)</f>
        <v>0.9</v>
      </c>
      <c r="AE34" s="12">
        <v>34</v>
      </c>
      <c r="AF34" s="85" t="str">
        <f ca="1">IF(AE34="NULL","",VLOOKUP($AE34,OFFSET([2]characters!$A$1,0,0,COUNTA([2]characters!$A:$A),MATCH(AF$1,[2]characters!$1:$1,0)-MATCH($A$1,[2]characters!$1:$1,0)+1),MATCH(AF$1,[2]characters!$1:$1,0)-MATCH($A$1,[2]characters!$1:$1,0)+1,FALSE))</f>
        <v>斉天大聖 ゴクウ</v>
      </c>
      <c r="AG34" s="8">
        <f t="shared" ca="1" si="2"/>
        <v>33</v>
      </c>
      <c r="AH34" s="85" t="str">
        <f ca="1">VLOOKUP($AG34,OFFSET([2]characters!$A$1,0,0,COUNTA([2]characters!$A:$A),MATCH(AH$1,[2]characters!$1:$1,0)-MATCH($A$1,[2]characters!$1:$1,0)+1),MATCH(AH$1,[2]characters!$1:$1,0)-MATCH($A$1,[2]characters!$1:$1,0)+1,FALSE)</f>
        <v>ゴクウ</v>
      </c>
      <c r="AI34" s="14">
        <f ca="1">IF(AE34="NULL","NULL",VLOOKUP(G34,ビット!$A$2:$B$7,2))</f>
        <v>10000</v>
      </c>
      <c r="AJ34" s="9">
        <v>2</v>
      </c>
      <c r="AK34" s="10" t="str">
        <f t="shared" si="3"/>
        <v>普通</v>
      </c>
      <c r="AL34" s="14" t="str">
        <f ca="1">INDEX(経験値!$A$1:$I$20,MATCH(H34,経験値!$A$1:$A$20,FALSE),MATCH(G34,経験値!$A$1:$I$1,FALSE))</f>
        <v>required_exp_150</v>
      </c>
      <c r="AM34" s="11">
        <f ca="1">VLOOKUP(G34,経験値!$A$27:$B$31,2)</f>
        <v>600</v>
      </c>
      <c r="AN34" s="21">
        <f ca="1">VLOOKUP(G34,ビット!$G$2:$H$7,2)</f>
        <v>150</v>
      </c>
      <c r="AO34" s="64" t="s">
        <v>196</v>
      </c>
      <c r="AP34" s="97">
        <v>930001</v>
      </c>
      <c r="AQ34" s="77" t="e">
        <f ca="1">VLOOKUP($AP34,OFFSET([1]unit_skills!$A$1,0,0,COUNTA([1]unit_skills!$A:$A),MATCH("name",[1]unit_skills!$1:$1,0)-MATCH($AP$1,[1]unit_skills!$1:$1,0)+1),MATCH("name",[1]unit_skills!$1:$1,0)-MATCH($AP$1,[1]unit_skills!$1:$1,0)+1,FALSE)</f>
        <v>#VALUE!</v>
      </c>
      <c r="AR34" s="77" t="e">
        <f ca="1">VLOOKUP($AP34,OFFSET([1]unit_skills!$A$1,0,0,COUNTA([1]unit_skills!$A:$A),MATCH("comment",[1]unit_skills!$1:$1,0)-MATCH($AP$1,[1]unit_skills!$1:$1,0)+1),MATCH("comment",[1]unit_skills!$1:$1,0)-MATCH($AP$1,[1]unit_skills!$1:$1,0)+1,FALSE)</f>
        <v>#VALUE!</v>
      </c>
      <c r="AS34" s="77" t="e">
        <f ca="1">VLOOKUP($AP34,OFFSET([1]unit_skills!$A$1,0,0,COUNTA([1]unit_skills!$A:$A),MATCH(AS$1,[1]unit_skills!$1:$1,0)-MATCH($AP$1,[1]unit_skills!$1:$1,0)+1),MATCH(AS$1,[1]unit_skills!$1:$1,0)-MATCH($AP$1,[1]unit_skills!$1:$1,0)+1,FALSE)</f>
        <v>#VALUE!</v>
      </c>
      <c r="AT34" s="97">
        <v>300002</v>
      </c>
      <c r="AU34" s="77" t="e">
        <f ca="1">VLOOKUP($AT34,OFFSET([1]crash_skills!$A$1,0,0,COUNTA([1]crash_skills!$A:$A),MATCH("name",[1]crash_skills!$1:$1,0)-MATCH($AT$1,[1]crash_skills!$1:$1,0)+1),MATCH("name",[1]crash_skills!$1:$1,0)-MATCH($AT$1,[1]crash_skills!$1:$1,0)+1,FALSE)</f>
        <v>#VALUE!</v>
      </c>
      <c r="AV34" s="77" t="e">
        <f ca="1">VLOOKUP($AT34,OFFSET([1]crash_skills!$A$1,0,0,COUNTA([1]crash_skills!$A:$A),MATCH("comment",[1]crash_skills!$1:$1,0)-MATCH($AT$1,[1]crash_skills!$1:$1,0)+1),MATCH("comment",[1]crash_skills!$1:$1,0)-MATCH($AT$1,[1]crash_skills!$1:$1,0)+1,FALSE)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4" s="77" t="e">
        <f ca="1">VLOOKUP($AT34,OFFSET([1]crash_skills!$A$1,0,0,COUNTA([1]crash_skills!$A:$A),MATCH(AW$1,[1]crash_skills!$1:$1,0)-MATCH($AT$1,[1]crash_skills!$1:$1,0)+1),MATCH(AW$1,[1]crash_skills!$1:$1,0)-MATCH($AT$1,[1]crash_skills!$1:$1,0)+1,FALSE)</f>
        <v>#VALUE!</v>
      </c>
      <c r="AX34" s="81">
        <f ca="1">VLOOKUP($A34,OFFSET([2]characters!$A$1,0,0,COUNTA([2]characters!$A:$A),MATCH(AX$1,[2]characters!$1:$1,0)-MATCH($A$1,[2]characters!$1:$1,0)+1),MATCH(AX$1,[2]characters!$1:$1,0)-MATCH($A$1,[2]characters!$1:$1,0)+1,FALSE)</f>
        <v>3</v>
      </c>
      <c r="AY34" s="19">
        <v>1</v>
      </c>
      <c r="AZ34" s="19">
        <v>1</v>
      </c>
      <c r="BA34" s="19">
        <v>0</v>
      </c>
      <c r="BB34" s="19">
        <v>1</v>
      </c>
      <c r="BC34" s="14">
        <f ca="1">INDEX('RC6SV'!$A$1:$G$20,MATCH(H34,'RC6SV'!$A$1:$A$20,FALSE),MATCH(G34,'RC6SV'!$A$1:$G$1,FALSE))</f>
        <v>3000</v>
      </c>
      <c r="BD34" s="63">
        <f t="shared" ca="1" si="4"/>
        <v>3000</v>
      </c>
      <c r="BE34" s="14">
        <f t="shared" ca="1" si="5"/>
        <v>0</v>
      </c>
      <c r="BF34" s="14">
        <f t="shared" ca="1" si="6"/>
        <v>1</v>
      </c>
      <c r="BG34" s="20">
        <f ca="1">IF($BE34&lt;=0,ROUND(BK34*0.5,0), ROUND($BE34*S34*AA34*J34*AY34*0.8*[2]ステータス!$B$2,0))</f>
        <v>750</v>
      </c>
      <c r="BH34" s="20">
        <f ca="1">IF($BE34&lt;=0,ROUND(BL34*0.5,0), ROUND($BE34*T34*AB34*K34*AZ34*0.8*[2]ステータス!$C$2,0))</f>
        <v>672</v>
      </c>
      <c r="BI34" s="20">
        <f ca="1">IF($BE34&lt;=0,ROUND(BM34*0.5,0), ROUND($BE34*U34*AC34*L34*BA34*0.8*[2]ステータス!$D$2,0))</f>
        <v>0</v>
      </c>
      <c r="BJ34" s="20">
        <f ca="1">IF($BE34&lt;=0,ROUND(BN34*0.5,0), ROUND($BE34*V34*AD34*M34*BB34*0.8*[2]ステータス!$E$2,0))</f>
        <v>222</v>
      </c>
      <c r="BK34" s="14">
        <f ca="1">ROUND(BD34*S34*AA34*J34*AY34*[2]ステータス!$B$2,0)</f>
        <v>1500</v>
      </c>
      <c r="BL34" s="14">
        <f ca="1">ROUND(BD34*T34*AB34*K34*AZ34*[2]ステータス!$C$2,0)</f>
        <v>1343</v>
      </c>
      <c r="BM34" s="14">
        <f ca="1">ROUND(BD34*U34*AC34*L34*BA34*[2]ステータス!$D$2,0)</f>
        <v>0</v>
      </c>
      <c r="BN34" s="14">
        <f ca="1">ROUND(BD34*V34*AD34*M34*BB34*[2]ステータス!$E$2,0)</f>
        <v>443</v>
      </c>
      <c r="BO34" s="13">
        <v>0</v>
      </c>
      <c r="BP34" s="13">
        <v>1</v>
      </c>
      <c r="BQ34" s="13" t="s">
        <v>102</v>
      </c>
      <c r="BR34" s="13">
        <f ca="1">VLOOKUP(H34,ghosts_label!$A$2:$B$19,2,FALSE)</f>
        <v>1</v>
      </c>
    </row>
    <row r="35" spans="1:70" ht="21" customHeight="1" x14ac:dyDescent="0.15">
      <c r="A35" s="14">
        <f t="shared" ca="1" si="0"/>
        <v>34</v>
      </c>
      <c r="B35" s="77" t="str">
        <f ca="1">VLOOKUP($A35,OFFSET([2]characters!$A$1,0,0,COUNTA([2]characters!$A:$A),MATCH(B$1,[2]characters!$1:$1,0)-MATCH($A$1,[2]characters!$1:$1,0)+1),MATCH(B$1,[2]characters!$1:$1,0)-MATCH($A$1,[2]characters!$1:$1,0)+1,FALSE)</f>
        <v>斉天大聖 ゴクウ</v>
      </c>
      <c r="C35" s="77" t="str">
        <f ca="1">VLOOKUP($A35,OFFSET([2]characters!$A$1,0,0,COUNTA([2]characters!$A:$A),MATCH(C$1,[2]characters!$1:$1,0)-MATCH($A$1,[2]characters!$1:$1,0)+1),MATCH(C$1,[2]characters!$1:$1,0)-MATCH($A$1,[2]characters!$1:$1,0)+1,FALSE)</f>
        <v>ノーマルクエスト</v>
      </c>
      <c r="D35" s="77" t="str">
        <f ca="1">VLOOKUP($A35,OFFSET([2]characters!$A$1,0,0,COUNTA([2]characters!$A:$A),MATCH(D$1,[2]characters!$1:$1,0)-MATCH($A$1,[2]characters!$1:$1,0)+1),MATCH(D$1,[2]characters!$1:$1,0)-MATCH($A$1,[2]characters!$1:$1,0)+1,FALSE)</f>
        <v>アバター</v>
      </c>
      <c r="E35" s="77" t="str">
        <f ca="1">VLOOKUP($A35,OFFSET([2]characters!$A$1,0,0,COUNTA([2]characters!$A:$A),MATCH(E$1,[2]characters!$1:$1,0)-MATCH($A$1,[2]characters!$1:$1,0)+1),MATCH(E$1,[2]characters!$1:$1,0)-MATCH($A$1,[2]characters!$1:$1,0)+1,FALSE)</f>
        <v>世界観</v>
      </c>
      <c r="F35" s="77" t="str">
        <f ca="1">VLOOKUP($A35,OFFSET([2]characters!$A$1,0,0,COUNTA([2]characters!$A:$A),MATCH(F$1,[2]characters!$1:$1,0)-MATCH($A$1,[2]characters!$1:$1,0)+1),MATCH(F$1,[2]characters!$1:$1,0)-MATCH($A$1,[2]characters!$1:$1,0)+1,FALSE)</f>
        <v>男性</v>
      </c>
      <c r="G35" s="77">
        <f ca="1">VLOOKUP($A35,OFFSET([2]characters!$A$1,0,0,COUNTA([2]characters!$A:$A),MATCH(G$1,[2]characters!$1:$1,0)-MATCH($A$1,[2]characters!$1:$1,0)+1),MATCH(G$1,[2]characters!$1:$1,0)-MATCH($A$1,[2]characters!$1:$1,0)+1,FALSE)</f>
        <v>3</v>
      </c>
      <c r="H35" s="77" t="str">
        <f ca="1">VLOOKUP($A35,OFFSET([2]characters!$A$1,0,0,COUNTA([2]characters!$A:$A),MATCH(H$1,[2]characters!$1:$1,0)-MATCH($A$1,[2]characters!$1:$1,0)+1),MATCH(H$1,[2]characters!$1:$1,0)-MATCH($A$1,[2]characters!$1:$1,0)+1,FALSE)</f>
        <v>Drop1S</v>
      </c>
      <c r="I35" s="77" t="str">
        <f ca="1">VLOOKUP($A35,OFFSET([2]characters!$A$1,0,0,COUNTA([2]characters!$A:$A),MATCH(I$1,[2]characters!$1:$1,0)-MATCH($A$1,[2]characters!$1:$1,0)+1),MATCH(I$1,[2]characters!$1:$1,0)-MATCH($A$1,[2]characters!$1:$1,0)+1,FALSE)</f>
        <v>red</v>
      </c>
      <c r="J35" s="14">
        <f ca="1">VLOOKUP(I35,[2]属性!$A:$E,2,FALSE)</f>
        <v>1</v>
      </c>
      <c r="K35" s="14">
        <f ca="1">VLOOKUP(I35,[2]属性!$A:$E,3,FALSE)</f>
        <v>1.02</v>
      </c>
      <c r="L35" s="14">
        <f ca="1">VLOOKUP(I35,[2]属性!$A:$E,4,FALSE)</f>
        <v>1</v>
      </c>
      <c r="M35" s="14">
        <f ca="1">VLOOKUP(I35,[2]属性!$A:$E,5,FALSE)</f>
        <v>0.98</v>
      </c>
      <c r="N35" s="14">
        <f ca="1">INDEX(コスト!$A$1:$I$20,MATCH(H35,コスト!$A$1:$A$20,FALSE),MATCH(G35,コスト!$A$1:$I$1,FALSE))</f>
        <v>6</v>
      </c>
      <c r="O35" s="14">
        <f ca="1">INDEX(レベル!$A$1:$I$21,MATCH(H35,レベル!$A$1:$A$21,FALSE),MATCH(G35,レベル!$A$1:$I$1,FALSE))</f>
        <v>40</v>
      </c>
      <c r="P35" s="63">
        <f t="shared" ca="1" si="7"/>
        <v>45</v>
      </c>
      <c r="Q35" s="77" t="str">
        <f ca="1">VLOOKUP($A35,OFFSET([2]characters!$A$1,0,0,COUNTA([2]characters!$A:$A),MATCH(Q$1,[2]characters!$1:$1,0)-MATCH($A$1,[2]characters!$1:$1,0)+1),MATCH(Q$1,[2]characters!$1:$1,0)-MATCH($A$1,[2]characters!$1:$1,0)+1,FALSE)</f>
        <v>attack</v>
      </c>
      <c r="R35" s="8" t="str">
        <f ca="1">VLOOKUP(Q35,[2]character_type_i18n!$A:$H,3,FALSE)</f>
        <v>攻撃タイプ</v>
      </c>
      <c r="S35" s="14">
        <f ca="1">VLOOKUP(Q35,[2]character_type_i18n!$A:$H,4,FALSE)</f>
        <v>1</v>
      </c>
      <c r="T35" s="14">
        <f ca="1">VLOOKUP(Q35,[2]character_type_i18n!$A:$H,5,FALSE)</f>
        <v>1.33</v>
      </c>
      <c r="U35" s="14">
        <f ca="1">VLOOKUP(Q35,[2]character_type_i18n!$A:$H,6,FALSE)</f>
        <v>1</v>
      </c>
      <c r="V35" s="14">
        <f ca="1">VLOOKUP(Q35,[2]character_type_i18n!$A:$H,7,FALSE)</f>
        <v>0.67</v>
      </c>
      <c r="W35" s="77" t="str">
        <f ca="1">VLOOKUP($A35,OFFSET([2]characters!$A$1,0,0,COUNTA([2]characters!$A:$A),MATCH(W$1,[2]characters!$1:$1,0)-MATCH($A$1,[2]characters!$1:$1,0)+1),MATCH(W$1,[2]characters!$1:$1,0)-MATCH($A$1,[2]characters!$1:$1,0)+1,FALSE)</f>
        <v>animal</v>
      </c>
      <c r="X35" s="8" t="str">
        <f ca="1">VLOOKUP(W35,[2]character_tribe_i18n!$A:$H,3,FALSE)</f>
        <v>アニマル</v>
      </c>
      <c r="Y35" s="77" t="str">
        <f ca="1">VLOOKUP($A35,OFFSET([2]characters!$A$1,0,0,COUNTA([2]characters!$A:$A),MATCH(Y$1,[2]characters!$1:$1,0)-MATCH($A$1,[2]characters!$1:$1,0)+1),MATCH(Y$1,[2]characters!$1:$1,0)-MATCH($A$1,[2]characters!$1:$1,0)+1,FALSE)</f>
        <v>none</v>
      </c>
      <c r="Z35" s="8" t="str">
        <f ca="1">VLOOKUP(Y35,[2]character_tribe_i18n!$A:$H,3,FALSE)</f>
        <v>種族なし</v>
      </c>
      <c r="AA35" s="14">
        <f ca="1">VLOOKUP(W35,[2]character_tribe_i18n!$A:$H,4,FALSE)</f>
        <v>1</v>
      </c>
      <c r="AB35" s="14">
        <f ca="1">VLOOKUP(W35,[2]character_tribe_i18n!$A:$H,5,FALSE)</f>
        <v>1.1000000000000001</v>
      </c>
      <c r="AC35" s="14">
        <f ca="1">VLOOKUP(W35,[2]character_tribe_i18n!$A:$H,6,FALSE)</f>
        <v>1</v>
      </c>
      <c r="AD35" s="14">
        <f ca="1">VLOOKUP(W35,[2]character_tribe_i18n!$A:$H,7,FALSE)</f>
        <v>0.9</v>
      </c>
      <c r="AE35" s="12" t="s">
        <v>102</v>
      </c>
      <c r="AF35" s="85" t="str">
        <f ca="1">IF(AE35="NULL","",VLOOKUP($AE35,OFFSET([2]characters!$A$1,0,0,COUNTA([2]characters!$A:$A),MATCH(AF$1,[2]characters!$1:$1,0)-MATCH($A$1,[2]characters!$1:$1,0)+1),MATCH(AF$1,[2]characters!$1:$1,0)-MATCH($A$1,[2]characters!$1:$1,0)+1,FALSE))</f>
        <v/>
      </c>
      <c r="AG35" s="8">
        <f t="shared" ca="1" si="2"/>
        <v>33</v>
      </c>
      <c r="AH35" s="85" t="str">
        <f ca="1">VLOOKUP($AG35,OFFSET([2]characters!$A$1,0,0,COUNTA([2]characters!$A:$A),MATCH(AH$1,[2]characters!$1:$1,0)-MATCH($A$1,[2]characters!$1:$1,0)+1),MATCH(AH$1,[2]characters!$1:$1,0)-MATCH($A$1,[2]characters!$1:$1,0)+1,FALSE)</f>
        <v>ゴクウ</v>
      </c>
      <c r="AI35" s="14" t="str">
        <f>IF(AE35="NULL","NULL",VLOOKUP(G35,ビット!$A$2:$B$7,2))</f>
        <v>NULL</v>
      </c>
      <c r="AJ35" s="9">
        <v>2</v>
      </c>
      <c r="AK35" s="10" t="str">
        <f t="shared" si="3"/>
        <v>普通</v>
      </c>
      <c r="AL35" s="14" t="str">
        <f ca="1">INDEX(経験値!$A$1:$I$20,MATCH(H35,経験値!$A$1:$A$20,FALSE),MATCH(G35,経験値!$A$1:$I$1,FALSE))</f>
        <v>required_exp_150</v>
      </c>
      <c r="AM35" s="11">
        <f ca="1">VLOOKUP(G35,経験値!$A$27:$B$31,2)</f>
        <v>1500</v>
      </c>
      <c r="AN35" s="21">
        <f ca="1">VLOOKUP(G35,ビット!$G$2:$H$7,2)</f>
        <v>300</v>
      </c>
      <c r="AO35" s="64" t="s">
        <v>196</v>
      </c>
      <c r="AP35" s="97">
        <v>930002</v>
      </c>
      <c r="AQ35" s="77" t="e">
        <f ca="1">VLOOKUP($AP35,OFFSET([1]unit_skills!$A$1,0,0,COUNTA([1]unit_skills!$A:$A),MATCH("name",[1]unit_skills!$1:$1,0)-MATCH($AP$1,[1]unit_skills!$1:$1,0)+1),MATCH("name",[1]unit_skills!$1:$1,0)-MATCH($AP$1,[1]unit_skills!$1:$1,0)+1,FALSE)</f>
        <v>#VALUE!</v>
      </c>
      <c r="AR35" s="77" t="e">
        <f ca="1">VLOOKUP($AP35,OFFSET([1]unit_skills!$A$1,0,0,COUNTA([1]unit_skills!$A:$A),MATCH("comment",[1]unit_skills!$1:$1,0)-MATCH($AP$1,[1]unit_skills!$1:$1,0)+1),MATCH("comment",[1]unit_skills!$1:$1,0)-MATCH($AP$1,[1]unit_skills!$1:$1,0)+1,FALSE)</f>
        <v>#VALUE!</v>
      </c>
      <c r="AS35" s="77" t="e">
        <f ca="1">VLOOKUP($AP35,OFFSET([1]unit_skills!$A$1,0,0,COUNTA([1]unit_skills!$A:$A),MATCH(AS$1,[1]unit_skills!$1:$1,0)-MATCH($AP$1,[1]unit_skills!$1:$1,0)+1),MATCH(AS$1,[1]unit_skills!$1:$1,0)-MATCH($AP$1,[1]unit_skills!$1:$1,0)+1,FALSE)</f>
        <v>#VALUE!</v>
      </c>
      <c r="AT35" s="97">
        <v>300002</v>
      </c>
      <c r="AU35" s="77" t="e">
        <f ca="1">VLOOKUP($AT35,OFFSET([1]crash_skills!$A$1,0,0,COUNTA([1]crash_skills!$A:$A),MATCH("name",[1]crash_skills!$1:$1,0)-MATCH($AT$1,[1]crash_skills!$1:$1,0)+1),MATCH("name",[1]crash_skills!$1:$1,0)-MATCH($AT$1,[1]crash_skills!$1:$1,0)+1,FALSE)</f>
        <v>#VALUE!</v>
      </c>
      <c r="AV35" s="77" t="e">
        <f ca="1">VLOOKUP($AT35,OFFSET([1]crash_skills!$A$1,0,0,COUNTA([1]crash_skills!$A:$A),MATCH("comment",[1]crash_skills!$1:$1,0)-MATCH($AT$1,[1]crash_skills!$1:$1,0)+1),MATCH("comment",[1]crash_skills!$1:$1,0)-MATCH($AT$1,[1]crash_skills!$1:$1,0)+1,FALSE)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5" s="77" t="e">
        <f ca="1">VLOOKUP($AT35,OFFSET([1]crash_skills!$A$1,0,0,COUNTA([1]crash_skills!$A:$A),MATCH(AW$1,[1]crash_skills!$1:$1,0)-MATCH($AT$1,[1]crash_skills!$1:$1,0)+1),MATCH(AW$1,[1]crash_skills!$1:$1,0)-MATCH($AT$1,[1]crash_skills!$1:$1,0)+1,FALSE)</f>
        <v>#VALUE!</v>
      </c>
      <c r="AX35" s="81">
        <f ca="1">VLOOKUP($A35,OFFSET([2]characters!$A$1,0,0,COUNTA([2]characters!$A:$A),MATCH(AX$1,[2]characters!$1:$1,0)-MATCH($A$1,[2]characters!$1:$1,0)+1),MATCH(AX$1,[2]characters!$1:$1,0)-MATCH($A$1,[2]characters!$1:$1,0)+1,FALSE)</f>
        <v>3</v>
      </c>
      <c r="AY35" s="19">
        <v>1</v>
      </c>
      <c r="AZ35" s="19">
        <v>1</v>
      </c>
      <c r="BA35" s="19">
        <v>0</v>
      </c>
      <c r="BB35" s="19">
        <v>1</v>
      </c>
      <c r="BC35" s="14">
        <f ca="1">INDEX('RC6SV'!$A$1:$G$20,MATCH(H35,'RC6SV'!$A$1:$A$20,FALSE),MATCH(G35,'RC6SV'!$A$1:$G$1,FALSE))</f>
        <v>4200</v>
      </c>
      <c r="BD35" s="63">
        <f t="shared" ca="1" si="4"/>
        <v>4200</v>
      </c>
      <c r="BE35" s="14">
        <f t="shared" ca="1" si="5"/>
        <v>3000</v>
      </c>
      <c r="BF35" s="14">
        <f t="shared" ca="1" si="6"/>
        <v>1</v>
      </c>
      <c r="BG35" s="20">
        <f ca="1">IF($BE35&lt;=0,ROUND(BK35*0.5,0), ROUND($BE35*S35*AA35*J35*AY35*0.8*[2]ステータス!$B$2,0))</f>
        <v>1200</v>
      </c>
      <c r="BH35" s="20">
        <f ca="1">IF($BE35&lt;=0,ROUND(BL35*0.5,0), ROUND($BE35*T35*AB35*K35*AZ35*0.8*[2]ステータス!$C$2,0))</f>
        <v>1074</v>
      </c>
      <c r="BI35" s="20">
        <f ca="1">IF($BE35&lt;=0,ROUND(BM35*0.5,0), ROUND($BE35*U35*AC35*L35*BA35*0.8*[2]ステータス!$D$2,0))</f>
        <v>0</v>
      </c>
      <c r="BJ35" s="20">
        <f ca="1">IF($BE35&lt;=0,ROUND(BN35*0.5,0), ROUND($BE35*V35*AD35*M35*BB35*0.8*[2]ステータス!$E$2,0))</f>
        <v>355</v>
      </c>
      <c r="BK35" s="14">
        <f ca="1">ROUND(BD35*S35*AA35*J35*AY35*[2]ステータス!$B$2,0)</f>
        <v>2100</v>
      </c>
      <c r="BL35" s="14">
        <f ca="1">ROUND(BD35*T35*AB35*K35*AZ35*[2]ステータス!$C$2,0)</f>
        <v>1880</v>
      </c>
      <c r="BM35" s="14">
        <f ca="1">ROUND(BD35*U35*AC35*L35*BA35*[2]ステータス!$D$2,0)</f>
        <v>0</v>
      </c>
      <c r="BN35" s="14">
        <f ca="1">ROUND(BD35*V35*AD35*M35*BB35*[2]ステータス!$E$2,0)</f>
        <v>620</v>
      </c>
      <c r="BO35" s="13">
        <v>0</v>
      </c>
      <c r="BP35" s="13">
        <v>1</v>
      </c>
      <c r="BQ35" s="13" t="s">
        <v>102</v>
      </c>
      <c r="BR35" s="13">
        <f ca="1">VLOOKUP(H35,ghosts_label!$A$2:$B$19,2,FALSE)</f>
        <v>1</v>
      </c>
    </row>
    <row r="36" spans="1:70" ht="21" customHeight="1" x14ac:dyDescent="0.15">
      <c r="A36" s="14">
        <f t="shared" ca="1" si="0"/>
        <v>35</v>
      </c>
      <c r="B36" s="77" t="str">
        <f ca="1">VLOOKUP($A36,OFFSET([2]characters!$A$1,0,0,COUNTA([2]characters!$A:$A),MATCH(B$1,[2]characters!$1:$1,0)-MATCH($A$1,[2]characters!$1:$1,0)+1),MATCH(B$1,[2]characters!$1:$1,0)-MATCH($A$1,[2]characters!$1:$1,0)+1,FALSE)</f>
        <v>F2</v>
      </c>
      <c r="C36" s="77" t="str">
        <f ca="1">VLOOKUP($A36,OFFSET([2]characters!$A$1,0,0,COUNTA([2]characters!$A:$A),MATCH(C$1,[2]characters!$1:$1,0)-MATCH($A$1,[2]characters!$1:$1,0)+1),MATCH(C$1,[2]characters!$1:$1,0)-MATCH($A$1,[2]characters!$1:$1,0)+1,FALSE)</f>
        <v>ノーマルクエスト</v>
      </c>
      <c r="D36" s="77" t="str">
        <f ca="1">VLOOKUP($A36,OFFSET([2]characters!$A$1,0,0,COUNTA([2]characters!$A:$A),MATCH(D$1,[2]characters!$1:$1,0)-MATCH($A$1,[2]characters!$1:$1,0)+1),MATCH(D$1,[2]characters!$1:$1,0)-MATCH($A$1,[2]characters!$1:$1,0)+1,FALSE)</f>
        <v>アバター</v>
      </c>
      <c r="E36" s="77" t="str">
        <f ca="1">VLOOKUP($A36,OFFSET([2]characters!$A$1,0,0,COUNTA([2]characters!$A:$A),MATCH(E$1,[2]characters!$1:$1,0)-MATCH($A$1,[2]characters!$1:$1,0)+1),MATCH(E$1,[2]characters!$1:$1,0)-MATCH($A$1,[2]characters!$1:$1,0)+1,FALSE)</f>
        <v>世界観</v>
      </c>
      <c r="F36" s="77" t="str">
        <f ca="1">VLOOKUP($A36,OFFSET([2]characters!$A$1,0,0,COUNTA([2]characters!$A:$A),MATCH(F$1,[2]characters!$1:$1,0)-MATCH($A$1,[2]characters!$1:$1,0)+1),MATCH(F$1,[2]characters!$1:$1,0)-MATCH($A$1,[2]characters!$1:$1,0)+1,FALSE)</f>
        <v>不明</v>
      </c>
      <c r="G36" s="77">
        <f ca="1">VLOOKUP($A36,OFFSET([2]characters!$A$1,0,0,COUNTA([2]characters!$A:$A),MATCH(G$1,[2]characters!$1:$1,0)-MATCH($A$1,[2]characters!$1:$1,0)+1),MATCH(G$1,[2]characters!$1:$1,0)-MATCH($A$1,[2]characters!$1:$1,0)+1,FALSE)</f>
        <v>2</v>
      </c>
      <c r="H36" s="77" t="str">
        <f ca="1">VLOOKUP($A36,OFFSET([2]characters!$A$1,0,0,COUNTA([2]characters!$A:$A),MATCH(H$1,[2]characters!$1:$1,0)-MATCH($A$1,[2]characters!$1:$1,0)+1),MATCH(H$1,[2]characters!$1:$1,0)-MATCH($A$1,[2]characters!$1:$1,0)+1,FALSE)</f>
        <v>Drop1S</v>
      </c>
      <c r="I36" s="77" t="str">
        <f ca="1">VLOOKUP($A36,OFFSET([2]characters!$A$1,0,0,COUNTA([2]characters!$A:$A),MATCH(I$1,[2]characters!$1:$1,0)-MATCH($A$1,[2]characters!$1:$1,0)+1),MATCH(I$1,[2]characters!$1:$1,0)-MATCH($A$1,[2]characters!$1:$1,0)+1,FALSE)</f>
        <v>green</v>
      </c>
      <c r="J36" s="14">
        <f ca="1">VLOOKUP(I36,[2]属性!$A:$E,2,FALSE)</f>
        <v>1.02</v>
      </c>
      <c r="K36" s="14">
        <f ca="1">VLOOKUP(I36,[2]属性!$A:$E,3,FALSE)</f>
        <v>0.98</v>
      </c>
      <c r="L36" s="14">
        <f ca="1">VLOOKUP(I36,[2]属性!$A:$E,4,FALSE)</f>
        <v>1</v>
      </c>
      <c r="M36" s="14">
        <f ca="1">VLOOKUP(I36,[2]属性!$A:$E,5,FALSE)</f>
        <v>1</v>
      </c>
      <c r="N36" s="14">
        <f ca="1">INDEX(コスト!$A$1:$I$20,MATCH(H36,コスト!$A$1:$A$20,FALSE),MATCH(G36,コスト!$A$1:$I$1,FALSE))</f>
        <v>4</v>
      </c>
      <c r="O36" s="14">
        <f ca="1">INDEX(レベル!$A$1:$I$21,MATCH(H36,レベル!$A$1:$A$21,FALSE),MATCH(G36,レベル!$A$1:$I$1,FALSE))</f>
        <v>30</v>
      </c>
      <c r="P36" s="63">
        <f t="shared" ca="1" si="7"/>
        <v>30</v>
      </c>
      <c r="Q36" s="77" t="str">
        <f ca="1">VLOOKUP($A36,OFFSET([2]characters!$A$1,0,0,COUNTA([2]characters!$A:$A),MATCH(Q$1,[2]characters!$1:$1,0)-MATCH($A$1,[2]characters!$1:$1,0)+1),MATCH(Q$1,[2]characters!$1:$1,0)-MATCH($A$1,[2]characters!$1:$1,0)+1,FALSE)</f>
        <v>technical</v>
      </c>
      <c r="R36" s="8" t="str">
        <f ca="1">VLOOKUP(Q36,[2]character_type_i18n!$A:$H,3,FALSE)</f>
        <v>テクニカルタイプ</v>
      </c>
      <c r="S36" s="14">
        <f ca="1">VLOOKUP(Q36,[2]character_type_i18n!$A:$H,4,FALSE)</f>
        <v>0.9</v>
      </c>
      <c r="T36" s="14">
        <f ca="1">VLOOKUP(Q36,[2]character_type_i18n!$A:$H,5,FALSE)</f>
        <v>0.9</v>
      </c>
      <c r="U36" s="14">
        <f ca="1">VLOOKUP(Q36,[2]character_type_i18n!$A:$H,6,FALSE)</f>
        <v>1</v>
      </c>
      <c r="V36" s="14">
        <f ca="1">VLOOKUP(Q36,[2]character_type_i18n!$A:$H,7,FALSE)</f>
        <v>0.9</v>
      </c>
      <c r="W36" s="77" t="str">
        <f ca="1">VLOOKUP($A36,OFFSET([2]characters!$A$1,0,0,COUNTA([2]characters!$A:$A),MATCH(W$1,[2]characters!$1:$1,0)-MATCH($A$1,[2]characters!$1:$1,0)+1),MATCH(W$1,[2]characters!$1:$1,0)-MATCH($A$1,[2]characters!$1:$1,0)+1,FALSE)</f>
        <v>machine</v>
      </c>
      <c r="X36" s="8" t="str">
        <f ca="1">VLOOKUP(W36,[2]character_tribe_i18n!$A:$H,3,FALSE)</f>
        <v>マシン</v>
      </c>
      <c r="Y36" s="77" t="str">
        <f ca="1">VLOOKUP($A36,OFFSET([2]characters!$A$1,0,0,COUNTA([2]characters!$A:$A),MATCH(Y$1,[2]characters!$1:$1,0)-MATCH($A$1,[2]characters!$1:$1,0)+1),MATCH(Y$1,[2]characters!$1:$1,0)-MATCH($A$1,[2]characters!$1:$1,0)+1,FALSE)</f>
        <v>none</v>
      </c>
      <c r="Z36" s="8" t="str">
        <f ca="1">VLOOKUP(Y36,[2]character_tribe_i18n!$A:$H,3,FALSE)</f>
        <v>種族なし</v>
      </c>
      <c r="AA36" s="14">
        <f ca="1">VLOOKUP(W36,[2]character_tribe_i18n!$A:$H,4,FALSE)</f>
        <v>1</v>
      </c>
      <c r="AB36" s="14">
        <f ca="1">VLOOKUP(W36,[2]character_tribe_i18n!$A:$H,5,FALSE)</f>
        <v>1</v>
      </c>
      <c r="AC36" s="14">
        <f ca="1">VLOOKUP(W36,[2]character_tribe_i18n!$A:$H,6,FALSE)</f>
        <v>1</v>
      </c>
      <c r="AD36" s="14">
        <f ca="1">VLOOKUP(W36,[2]character_tribe_i18n!$A:$H,7,FALSE)</f>
        <v>1</v>
      </c>
      <c r="AE36" s="12">
        <v>36</v>
      </c>
      <c r="AF36" s="85" t="str">
        <f ca="1">IF(AE36="NULL","",VLOOKUP($AE36,OFFSET([2]characters!$A$1,0,0,COUNTA([2]characters!$A:$A),MATCH(AF$1,[2]characters!$1:$1,0)-MATCH($A$1,[2]characters!$1:$1,0)+1),MATCH(AF$1,[2]characters!$1:$1,0)-MATCH($A$1,[2]characters!$1:$1,0)+1,FALSE))</f>
        <v>オフィス追尾型移動地雷F3</v>
      </c>
      <c r="AG36" s="8">
        <f t="shared" ca="1" si="2"/>
        <v>35</v>
      </c>
      <c r="AH36" s="85" t="str">
        <f ca="1">VLOOKUP($AG36,OFFSET([2]characters!$A$1,0,0,COUNTA([2]characters!$A:$A),MATCH(AH$1,[2]characters!$1:$1,0)-MATCH($A$1,[2]characters!$1:$1,0)+1),MATCH(AH$1,[2]characters!$1:$1,0)-MATCH($A$1,[2]characters!$1:$1,0)+1,FALSE)</f>
        <v>F2</v>
      </c>
      <c r="AI36" s="14">
        <f ca="1">IF(AE36="NULL","NULL",VLOOKUP(G36,ビット!$A$2:$B$7,2))</f>
        <v>10000</v>
      </c>
      <c r="AJ36" s="9">
        <v>2</v>
      </c>
      <c r="AK36" s="10" t="str">
        <f t="shared" si="3"/>
        <v>普通</v>
      </c>
      <c r="AL36" s="14" t="str">
        <f ca="1">INDEX(経験値!$A$1:$I$20,MATCH(H36,経験値!$A$1:$A$20,FALSE),MATCH(G36,経験値!$A$1:$I$1,FALSE))</f>
        <v>required_exp_150</v>
      </c>
      <c r="AM36" s="11">
        <f ca="1">VLOOKUP(G36,経験値!$A$27:$B$31,2)</f>
        <v>600</v>
      </c>
      <c r="AN36" s="21">
        <f ca="1">VLOOKUP(G36,ビット!$G$2:$H$7,2)</f>
        <v>150</v>
      </c>
      <c r="AO36" s="64" t="s">
        <v>197</v>
      </c>
      <c r="AP36" s="97">
        <v>181003</v>
      </c>
      <c r="AQ36" s="77" t="e">
        <f ca="1">VLOOKUP($AP36,OFFSET([1]unit_skills!$A$1,0,0,COUNTA([1]unit_skills!$A:$A),MATCH("name",[1]unit_skills!$1:$1,0)-MATCH($AP$1,[1]unit_skills!$1:$1,0)+1),MATCH("name",[1]unit_skills!$1:$1,0)-MATCH($AP$1,[1]unit_skills!$1:$1,0)+1,FALSE)</f>
        <v>#VALUE!</v>
      </c>
      <c r="AR36" s="77" t="e">
        <f ca="1">VLOOKUP($AP36,OFFSET([1]unit_skills!$A$1,0,0,COUNTA([1]unit_skills!$A:$A),MATCH("comment",[1]unit_skills!$1:$1,0)-MATCH($AP$1,[1]unit_skills!$1:$1,0)+1),MATCH("comment",[1]unit_skills!$1:$1,0)-MATCH($AP$1,[1]unit_skills!$1:$1,0)+1,FALSE)</f>
        <v>#VALUE!</v>
      </c>
      <c r="AS36" s="77" t="e">
        <f ca="1">VLOOKUP($AP36,OFFSET([1]unit_skills!$A$1,0,0,COUNTA([1]unit_skills!$A:$A),MATCH(AS$1,[1]unit_skills!$1:$1,0)-MATCH($AP$1,[1]unit_skills!$1:$1,0)+1),MATCH(AS$1,[1]unit_skills!$1:$1,0)-MATCH($AP$1,[1]unit_skills!$1:$1,0)+1,FALSE)</f>
        <v>#VALUE!</v>
      </c>
      <c r="AT36" s="97">
        <v>122002</v>
      </c>
      <c r="AU36" s="77" t="e">
        <f ca="1">VLOOKUP($AT36,OFFSET([1]crash_skills!$A$1,0,0,COUNTA([1]crash_skills!$A:$A),MATCH("name",[1]crash_skills!$1:$1,0)-MATCH($AT$1,[1]crash_skills!$1:$1,0)+1),MATCH("name",[1]crash_skills!$1:$1,0)-MATCH($AT$1,[1]crash_skills!$1:$1,0)+1,FALSE)</f>
        <v>#VALUE!</v>
      </c>
      <c r="AV36" s="77" t="e">
        <f ca="1">VLOOKUP($AT36,OFFSET([1]crash_skills!$A$1,0,0,COUNTA([1]crash_skills!$A:$A),MATCH("comment",[1]crash_skills!$1:$1,0)-MATCH($AT$1,[1]crash_skills!$1:$1,0)+1),MATCH("comment",[1]crash_skills!$1:$1,0)-MATCH($AT$1,[1]crash_skills!$1:$1,0)+1,FALSE)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6" s="77" t="e">
        <f ca="1">VLOOKUP($AT36,OFFSET([1]crash_skills!$A$1,0,0,COUNTA([1]crash_skills!$A:$A),MATCH(AW$1,[1]crash_skills!$1:$1,0)-MATCH($AT$1,[1]crash_skills!$1:$1,0)+1),MATCH(AW$1,[1]crash_skills!$1:$1,0)-MATCH($AT$1,[1]crash_skills!$1:$1,0)+1,FALSE)</f>
        <v>#VALUE!</v>
      </c>
      <c r="AX36" s="81">
        <f ca="1">VLOOKUP($A36,OFFSET([2]characters!$A$1,0,0,COUNTA([2]characters!$A:$A),MATCH(AX$1,[2]characters!$1:$1,0)-MATCH($A$1,[2]characters!$1:$1,0)+1),MATCH(AX$1,[2]characters!$1:$1,0)-MATCH($A$1,[2]characters!$1:$1,0)+1,FALSE)</f>
        <v>3</v>
      </c>
      <c r="AY36" s="19">
        <v>1</v>
      </c>
      <c r="AZ36" s="19">
        <v>1.4</v>
      </c>
      <c r="BA36" s="19">
        <v>0</v>
      </c>
      <c r="BB36" s="19">
        <v>0.6</v>
      </c>
      <c r="BC36" s="14">
        <f ca="1">INDEX('RC6SV'!$A$1:$G$20,MATCH(H36,'RC6SV'!$A$1:$A$20,FALSE),MATCH(G36,'RC6SV'!$A$1:$G$1,FALSE))</f>
        <v>3000</v>
      </c>
      <c r="BD36" s="63">
        <f t="shared" ca="1" si="4"/>
        <v>3000</v>
      </c>
      <c r="BE36" s="14">
        <f t="shared" ca="1" si="5"/>
        <v>0</v>
      </c>
      <c r="BF36" s="14">
        <f t="shared" ca="1" si="6"/>
        <v>1</v>
      </c>
      <c r="BG36" s="20">
        <f ca="1">IF($BE36&lt;=0,ROUND(BK36*0.5,0), ROUND($BE36*S36*AA36*J36*AY36*0.8*[2]ステータス!$B$2,0))</f>
        <v>689</v>
      </c>
      <c r="BH36" s="20">
        <f ca="1">IF($BE36&lt;=0,ROUND(BL36*0.5,0), ROUND($BE36*T36*AB36*K36*AZ36*0.8*[2]ステータス!$C$2,0))</f>
        <v>556</v>
      </c>
      <c r="BI36" s="20">
        <f ca="1">IF($BE36&lt;=0,ROUND(BM36*0.5,0), ROUND($BE36*U36*AC36*L36*BA36*0.8*[2]ステータス!$D$2,0))</f>
        <v>0</v>
      </c>
      <c r="BJ36" s="20">
        <f ca="1">IF($BE36&lt;=0,ROUND(BN36*0.5,0), ROUND($BE36*V36*AD36*M36*BB36*0.8*[2]ステータス!$E$2,0))</f>
        <v>203</v>
      </c>
      <c r="BK36" s="14">
        <f ca="1">ROUND(BD36*S36*AA36*J36*AY36*[2]ステータス!$B$2,0)</f>
        <v>1377</v>
      </c>
      <c r="BL36" s="14">
        <f ca="1">ROUND(BD36*T36*AB36*K36*AZ36*[2]ステータス!$C$2,0)</f>
        <v>1111</v>
      </c>
      <c r="BM36" s="14">
        <f ca="1">ROUND(BD36*U36*AC36*L36*BA36*[2]ステータス!$D$2,0)</f>
        <v>0</v>
      </c>
      <c r="BN36" s="14">
        <f ca="1">ROUND(BD36*V36*AD36*M36*BB36*[2]ステータス!$E$2,0)</f>
        <v>405</v>
      </c>
      <c r="BO36" s="13">
        <v>0</v>
      </c>
      <c r="BP36" s="13">
        <v>1</v>
      </c>
      <c r="BQ36" s="13" t="s">
        <v>102</v>
      </c>
      <c r="BR36" s="13">
        <f ca="1">VLOOKUP(H36,ghosts_label!$A$2:$B$19,2,FALSE)</f>
        <v>1</v>
      </c>
    </row>
    <row r="37" spans="1:70" ht="21" customHeight="1" x14ac:dyDescent="0.15">
      <c r="A37" s="14">
        <f t="shared" ca="1" si="0"/>
        <v>36</v>
      </c>
      <c r="B37" s="77" t="str">
        <f ca="1">VLOOKUP($A37,OFFSET([2]characters!$A$1,0,0,COUNTA([2]characters!$A:$A),MATCH(B$1,[2]characters!$1:$1,0)-MATCH($A$1,[2]characters!$1:$1,0)+1),MATCH(B$1,[2]characters!$1:$1,0)-MATCH($A$1,[2]characters!$1:$1,0)+1,FALSE)</f>
        <v>オフィス追尾型移動地雷F3</v>
      </c>
      <c r="C37" s="77" t="str">
        <f ca="1">VLOOKUP($A37,OFFSET([2]characters!$A$1,0,0,COUNTA([2]characters!$A:$A),MATCH(C$1,[2]characters!$1:$1,0)-MATCH($A$1,[2]characters!$1:$1,0)+1),MATCH(C$1,[2]characters!$1:$1,0)-MATCH($A$1,[2]characters!$1:$1,0)+1,FALSE)</f>
        <v>ノーマルクエスト</v>
      </c>
      <c r="D37" s="77" t="str">
        <f ca="1">VLOOKUP($A37,OFFSET([2]characters!$A$1,0,0,COUNTA([2]characters!$A:$A),MATCH(D$1,[2]characters!$1:$1,0)-MATCH($A$1,[2]characters!$1:$1,0)+1),MATCH(D$1,[2]characters!$1:$1,0)-MATCH($A$1,[2]characters!$1:$1,0)+1,FALSE)</f>
        <v>アバター</v>
      </c>
      <c r="E37" s="77" t="str">
        <f ca="1">VLOOKUP($A37,OFFSET([2]characters!$A$1,0,0,COUNTA([2]characters!$A:$A),MATCH(E$1,[2]characters!$1:$1,0)-MATCH($A$1,[2]characters!$1:$1,0)+1),MATCH(E$1,[2]characters!$1:$1,0)-MATCH($A$1,[2]characters!$1:$1,0)+1,FALSE)</f>
        <v>世界観</v>
      </c>
      <c r="F37" s="77" t="str">
        <f ca="1">VLOOKUP($A37,OFFSET([2]characters!$A$1,0,0,COUNTA([2]characters!$A:$A),MATCH(F$1,[2]characters!$1:$1,0)-MATCH($A$1,[2]characters!$1:$1,0)+1),MATCH(F$1,[2]characters!$1:$1,0)-MATCH($A$1,[2]characters!$1:$1,0)+1,FALSE)</f>
        <v>不明</v>
      </c>
      <c r="G37" s="77">
        <f ca="1">VLOOKUP($A37,OFFSET([2]characters!$A$1,0,0,COUNTA([2]characters!$A:$A),MATCH(G$1,[2]characters!$1:$1,0)-MATCH($A$1,[2]characters!$1:$1,0)+1),MATCH(G$1,[2]characters!$1:$1,0)-MATCH($A$1,[2]characters!$1:$1,0)+1,FALSE)</f>
        <v>3</v>
      </c>
      <c r="H37" s="77" t="str">
        <f ca="1">VLOOKUP($A37,OFFSET([2]characters!$A$1,0,0,COUNTA([2]characters!$A:$A),MATCH(H$1,[2]characters!$1:$1,0)-MATCH($A$1,[2]characters!$1:$1,0)+1),MATCH(H$1,[2]characters!$1:$1,0)-MATCH($A$1,[2]characters!$1:$1,0)+1,FALSE)</f>
        <v>Drop1S</v>
      </c>
      <c r="I37" s="77" t="str">
        <f ca="1">VLOOKUP($A37,OFFSET([2]characters!$A$1,0,0,COUNTA([2]characters!$A:$A),MATCH(I$1,[2]characters!$1:$1,0)-MATCH($A$1,[2]characters!$1:$1,0)+1),MATCH(I$1,[2]characters!$1:$1,0)-MATCH($A$1,[2]characters!$1:$1,0)+1,FALSE)</f>
        <v>green</v>
      </c>
      <c r="J37" s="14">
        <f ca="1">VLOOKUP(I37,[2]属性!$A:$E,2,FALSE)</f>
        <v>1.02</v>
      </c>
      <c r="K37" s="14">
        <f ca="1">VLOOKUP(I37,[2]属性!$A:$E,3,FALSE)</f>
        <v>0.98</v>
      </c>
      <c r="L37" s="14">
        <f ca="1">VLOOKUP(I37,[2]属性!$A:$E,4,FALSE)</f>
        <v>1</v>
      </c>
      <c r="M37" s="14">
        <f ca="1">VLOOKUP(I37,[2]属性!$A:$E,5,FALSE)</f>
        <v>1</v>
      </c>
      <c r="N37" s="14">
        <f ca="1">INDEX(コスト!$A$1:$I$20,MATCH(H37,コスト!$A$1:$A$20,FALSE),MATCH(G37,コスト!$A$1:$I$1,FALSE))</f>
        <v>6</v>
      </c>
      <c r="O37" s="14">
        <f ca="1">INDEX(レベル!$A$1:$I$21,MATCH(H37,レベル!$A$1:$A$21,FALSE),MATCH(G37,レベル!$A$1:$I$1,FALSE))</f>
        <v>40</v>
      </c>
      <c r="P37" s="63">
        <f t="shared" ca="1" si="7"/>
        <v>45</v>
      </c>
      <c r="Q37" s="77" t="str">
        <f ca="1">VLOOKUP($A37,OFFSET([2]characters!$A$1,0,0,COUNTA([2]characters!$A:$A),MATCH(Q$1,[2]characters!$1:$1,0)-MATCH($A$1,[2]characters!$1:$1,0)+1),MATCH(Q$1,[2]characters!$1:$1,0)-MATCH($A$1,[2]characters!$1:$1,0)+1,FALSE)</f>
        <v>technical</v>
      </c>
      <c r="R37" s="8" t="str">
        <f ca="1">VLOOKUP(Q37,[2]character_type_i18n!$A:$H,3,FALSE)</f>
        <v>テクニカルタイプ</v>
      </c>
      <c r="S37" s="14">
        <f ca="1">VLOOKUP(Q37,[2]character_type_i18n!$A:$H,4,FALSE)</f>
        <v>0.9</v>
      </c>
      <c r="T37" s="14">
        <f ca="1">VLOOKUP(Q37,[2]character_type_i18n!$A:$H,5,FALSE)</f>
        <v>0.9</v>
      </c>
      <c r="U37" s="14">
        <f ca="1">VLOOKUP(Q37,[2]character_type_i18n!$A:$H,6,FALSE)</f>
        <v>1</v>
      </c>
      <c r="V37" s="14">
        <f ca="1">VLOOKUP(Q37,[2]character_type_i18n!$A:$H,7,FALSE)</f>
        <v>0.9</v>
      </c>
      <c r="W37" s="77" t="str">
        <f ca="1">VLOOKUP($A37,OFFSET([2]characters!$A$1,0,0,COUNTA([2]characters!$A:$A),MATCH(W$1,[2]characters!$1:$1,0)-MATCH($A$1,[2]characters!$1:$1,0)+1),MATCH(W$1,[2]characters!$1:$1,0)-MATCH($A$1,[2]characters!$1:$1,0)+1,FALSE)</f>
        <v>machine</v>
      </c>
      <c r="X37" s="8" t="str">
        <f ca="1">VLOOKUP(W37,[2]character_tribe_i18n!$A:$H,3,FALSE)</f>
        <v>マシン</v>
      </c>
      <c r="Y37" s="77" t="str">
        <f ca="1">VLOOKUP($A37,OFFSET([2]characters!$A$1,0,0,COUNTA([2]characters!$A:$A),MATCH(Y$1,[2]characters!$1:$1,0)-MATCH($A$1,[2]characters!$1:$1,0)+1),MATCH(Y$1,[2]characters!$1:$1,0)-MATCH($A$1,[2]characters!$1:$1,0)+1,FALSE)</f>
        <v>none</v>
      </c>
      <c r="Z37" s="8" t="str">
        <f ca="1">VLOOKUP(Y37,[2]character_tribe_i18n!$A:$H,3,FALSE)</f>
        <v>種族なし</v>
      </c>
      <c r="AA37" s="14">
        <f ca="1">VLOOKUP(W37,[2]character_tribe_i18n!$A:$H,4,FALSE)</f>
        <v>1</v>
      </c>
      <c r="AB37" s="14">
        <f ca="1">VLOOKUP(W37,[2]character_tribe_i18n!$A:$H,5,FALSE)</f>
        <v>1</v>
      </c>
      <c r="AC37" s="14">
        <f ca="1">VLOOKUP(W37,[2]character_tribe_i18n!$A:$H,6,FALSE)</f>
        <v>1</v>
      </c>
      <c r="AD37" s="14">
        <f ca="1">VLOOKUP(W37,[2]character_tribe_i18n!$A:$H,7,FALSE)</f>
        <v>1</v>
      </c>
      <c r="AE37" s="12" t="s">
        <v>102</v>
      </c>
      <c r="AF37" s="85" t="str">
        <f ca="1">IF(AE37="NULL","",VLOOKUP($AE37,OFFSET([2]characters!$A$1,0,0,COUNTA([2]characters!$A:$A),MATCH(AF$1,[2]characters!$1:$1,0)-MATCH($A$1,[2]characters!$1:$1,0)+1),MATCH(AF$1,[2]characters!$1:$1,0)-MATCH($A$1,[2]characters!$1:$1,0)+1,FALSE))</f>
        <v/>
      </c>
      <c r="AG37" s="8">
        <f t="shared" ca="1" si="2"/>
        <v>35</v>
      </c>
      <c r="AH37" s="85" t="str">
        <f ca="1">VLOOKUP($AG37,OFFSET([2]characters!$A$1,0,0,COUNTA([2]characters!$A:$A),MATCH(AH$1,[2]characters!$1:$1,0)-MATCH($A$1,[2]characters!$1:$1,0)+1),MATCH(AH$1,[2]characters!$1:$1,0)-MATCH($A$1,[2]characters!$1:$1,0)+1,FALSE)</f>
        <v>F2</v>
      </c>
      <c r="AI37" s="14" t="str">
        <f>IF(AE37="NULL","NULL",VLOOKUP(G37,ビット!$A$2:$B$7,2))</f>
        <v>NULL</v>
      </c>
      <c r="AJ37" s="9">
        <v>2</v>
      </c>
      <c r="AK37" s="10" t="str">
        <f t="shared" si="3"/>
        <v>普通</v>
      </c>
      <c r="AL37" s="14" t="str">
        <f ca="1">INDEX(経験値!$A$1:$I$20,MATCH(H37,経験値!$A$1:$A$20,FALSE),MATCH(G37,経験値!$A$1:$I$1,FALSE))</f>
        <v>required_exp_150</v>
      </c>
      <c r="AM37" s="11">
        <f ca="1">VLOOKUP(G37,経験値!$A$27:$B$31,2)</f>
        <v>1500</v>
      </c>
      <c r="AN37" s="21">
        <f ca="1">VLOOKUP(G37,ビット!$G$2:$H$7,2)</f>
        <v>300</v>
      </c>
      <c r="AO37" s="64" t="s">
        <v>197</v>
      </c>
      <c r="AP37" s="97">
        <v>181003</v>
      </c>
      <c r="AQ37" s="77" t="e">
        <f ca="1">VLOOKUP($AP37,OFFSET([1]unit_skills!$A$1,0,0,COUNTA([1]unit_skills!$A:$A),MATCH("name",[1]unit_skills!$1:$1,0)-MATCH($AP$1,[1]unit_skills!$1:$1,0)+1),MATCH("name",[1]unit_skills!$1:$1,0)-MATCH($AP$1,[1]unit_skills!$1:$1,0)+1,FALSE)</f>
        <v>#VALUE!</v>
      </c>
      <c r="AR37" s="77" t="e">
        <f ca="1">VLOOKUP($AP37,OFFSET([1]unit_skills!$A$1,0,0,COUNTA([1]unit_skills!$A:$A),MATCH("comment",[1]unit_skills!$1:$1,0)-MATCH($AP$1,[1]unit_skills!$1:$1,0)+1),MATCH("comment",[1]unit_skills!$1:$1,0)-MATCH($AP$1,[1]unit_skills!$1:$1,0)+1,FALSE)</f>
        <v>#VALUE!</v>
      </c>
      <c r="AS37" s="77" t="e">
        <f ca="1">VLOOKUP($AP37,OFFSET([1]unit_skills!$A$1,0,0,COUNTA([1]unit_skills!$A:$A),MATCH(AS$1,[1]unit_skills!$1:$1,0)-MATCH($AP$1,[1]unit_skills!$1:$1,0)+1),MATCH(AS$1,[1]unit_skills!$1:$1,0)-MATCH($AP$1,[1]unit_skills!$1:$1,0)+1,FALSE)</f>
        <v>#VALUE!</v>
      </c>
      <c r="AT37" s="97">
        <v>122003</v>
      </c>
      <c r="AU37" s="77" t="e">
        <f ca="1">VLOOKUP($AT37,OFFSET([1]crash_skills!$A$1,0,0,COUNTA([1]crash_skills!$A:$A),MATCH("name",[1]crash_skills!$1:$1,0)-MATCH($AT$1,[1]crash_skills!$1:$1,0)+1),MATCH("name",[1]crash_skills!$1:$1,0)-MATCH($AT$1,[1]crash_skills!$1:$1,0)+1,FALSE)</f>
        <v>#VALUE!</v>
      </c>
      <c r="AV37" s="77" t="e">
        <f ca="1">VLOOKUP($AT37,OFFSET([1]crash_skills!$A$1,0,0,COUNTA([1]crash_skills!$A:$A),MATCH("comment",[1]crash_skills!$1:$1,0)-MATCH($AT$1,[1]crash_skills!$1:$1,0)+1),MATCH("comment",[1]crash_skills!$1:$1,0)-MATCH($AT$1,[1]crash_skills!$1:$1,0)+1,FALSE)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7" s="77" t="e">
        <f ca="1">VLOOKUP($AT37,OFFSET([1]crash_skills!$A$1,0,0,COUNTA([1]crash_skills!$A:$A),MATCH(AW$1,[1]crash_skills!$1:$1,0)-MATCH($AT$1,[1]crash_skills!$1:$1,0)+1),MATCH(AW$1,[1]crash_skills!$1:$1,0)-MATCH($AT$1,[1]crash_skills!$1:$1,0)+1,FALSE)</f>
        <v>#VALUE!</v>
      </c>
      <c r="AX37" s="81">
        <f ca="1">VLOOKUP($A37,OFFSET([2]characters!$A$1,0,0,COUNTA([2]characters!$A:$A),MATCH(AX$1,[2]characters!$1:$1,0)-MATCH($A$1,[2]characters!$1:$1,0)+1),MATCH(AX$1,[2]characters!$1:$1,0)-MATCH($A$1,[2]characters!$1:$1,0)+1,FALSE)</f>
        <v>3</v>
      </c>
      <c r="AY37" s="19">
        <v>1</v>
      </c>
      <c r="AZ37" s="19">
        <v>1.4</v>
      </c>
      <c r="BA37" s="19">
        <v>0</v>
      </c>
      <c r="BB37" s="19">
        <v>0.6</v>
      </c>
      <c r="BC37" s="14">
        <f ca="1">INDEX('RC6SV'!$A$1:$G$20,MATCH(H37,'RC6SV'!$A$1:$A$20,FALSE),MATCH(G37,'RC6SV'!$A$1:$G$1,FALSE))</f>
        <v>4200</v>
      </c>
      <c r="BD37" s="63">
        <f t="shared" ca="1" si="4"/>
        <v>4200</v>
      </c>
      <c r="BE37" s="14">
        <f t="shared" ca="1" si="5"/>
        <v>3000</v>
      </c>
      <c r="BF37" s="14">
        <f t="shared" ca="1" si="6"/>
        <v>1</v>
      </c>
      <c r="BG37" s="20">
        <f ca="1">IF($BE37&lt;=0,ROUND(BK37*0.5,0), ROUND($BE37*S37*AA37*J37*AY37*0.8*[2]ステータス!$B$2,0))</f>
        <v>1102</v>
      </c>
      <c r="BH37" s="20">
        <f ca="1">IF($BE37&lt;=0,ROUND(BL37*0.5,0), ROUND($BE37*T37*AB37*K37*AZ37*0.8*[2]ステータス!$C$2,0))</f>
        <v>889</v>
      </c>
      <c r="BI37" s="20">
        <f ca="1">IF($BE37&lt;=0,ROUND(BM37*0.5,0), ROUND($BE37*U37*AC37*L37*BA37*0.8*[2]ステータス!$D$2,0))</f>
        <v>0</v>
      </c>
      <c r="BJ37" s="20">
        <f ca="1">IF($BE37&lt;=0,ROUND(BN37*0.5,0), ROUND($BE37*V37*AD37*M37*BB37*0.8*[2]ステータス!$E$2,0))</f>
        <v>324</v>
      </c>
      <c r="BK37" s="14">
        <f ca="1">ROUND(BD37*S37*AA37*J37*AY37*[2]ステータス!$B$2,0)</f>
        <v>1928</v>
      </c>
      <c r="BL37" s="14">
        <f ca="1">ROUND(BD37*T37*AB37*K37*AZ37*[2]ステータス!$C$2,0)</f>
        <v>1556</v>
      </c>
      <c r="BM37" s="14">
        <f ca="1">ROUND(BD37*U37*AC37*L37*BA37*[2]ステータス!$D$2,0)</f>
        <v>0</v>
      </c>
      <c r="BN37" s="14">
        <f ca="1">ROUND(BD37*V37*AD37*M37*BB37*[2]ステータス!$E$2,0)</f>
        <v>567</v>
      </c>
      <c r="BO37" s="13">
        <v>0</v>
      </c>
      <c r="BP37" s="13">
        <v>1</v>
      </c>
      <c r="BQ37" s="13" t="s">
        <v>102</v>
      </c>
      <c r="BR37" s="13">
        <f ca="1">VLOOKUP(H37,ghosts_label!$A$2:$B$19,2,FALSE)</f>
        <v>1</v>
      </c>
    </row>
    <row r="38" spans="1:70" ht="21" customHeight="1" x14ac:dyDescent="0.15">
      <c r="A38" s="14">
        <f t="shared" ca="1" si="0"/>
        <v>37</v>
      </c>
      <c r="B38" s="77" t="str">
        <f ca="1">VLOOKUP($A38,OFFSET([2]characters!$A$1,0,0,COUNTA([2]characters!$A:$A),MATCH(B$1,[2]characters!$1:$1,0)-MATCH($A$1,[2]characters!$1:$1,0)+1),MATCH(B$1,[2]characters!$1:$1,0)-MATCH($A$1,[2]characters!$1:$1,0)+1,FALSE)</f>
        <v>ガイル</v>
      </c>
      <c r="C38" s="77" t="str">
        <f ca="1">VLOOKUP($A38,OFFSET([2]characters!$A$1,0,0,COUNTA([2]characters!$A:$A),MATCH(C$1,[2]characters!$1:$1,0)-MATCH($A$1,[2]characters!$1:$1,0)+1),MATCH(C$1,[2]characters!$1:$1,0)-MATCH($A$1,[2]characters!$1:$1,0)+1,FALSE)</f>
        <v>ノーマルクエスト</v>
      </c>
      <c r="D38" s="77" t="str">
        <f ca="1">VLOOKUP($A38,OFFSET([2]characters!$A$1,0,0,COUNTA([2]characters!$A:$A),MATCH(D$1,[2]characters!$1:$1,0)-MATCH($A$1,[2]characters!$1:$1,0)+1),MATCH(D$1,[2]characters!$1:$1,0)-MATCH($A$1,[2]characters!$1:$1,0)+1,FALSE)</f>
        <v>アバター</v>
      </c>
      <c r="E38" s="77" t="str">
        <f ca="1">VLOOKUP($A38,OFFSET([2]characters!$A$1,0,0,COUNTA([2]characters!$A:$A),MATCH(E$1,[2]characters!$1:$1,0)-MATCH($A$1,[2]characters!$1:$1,0)+1),MATCH(E$1,[2]characters!$1:$1,0)-MATCH($A$1,[2]characters!$1:$1,0)+1,FALSE)</f>
        <v>世界観</v>
      </c>
      <c r="F38" s="77" t="str">
        <f ca="1">VLOOKUP($A38,OFFSET([2]characters!$A$1,0,0,COUNTA([2]characters!$A:$A),MATCH(F$1,[2]characters!$1:$1,0)-MATCH($A$1,[2]characters!$1:$1,0)+1),MATCH(F$1,[2]characters!$1:$1,0)-MATCH($A$1,[2]characters!$1:$1,0)+1,FALSE)</f>
        <v>男性</v>
      </c>
      <c r="G38" s="77">
        <f ca="1">VLOOKUP($A38,OFFSET([2]characters!$A$1,0,0,COUNTA([2]characters!$A:$A),MATCH(G$1,[2]characters!$1:$1,0)-MATCH($A$1,[2]characters!$1:$1,0)+1),MATCH(G$1,[2]characters!$1:$1,0)-MATCH($A$1,[2]characters!$1:$1,0)+1,FALSE)</f>
        <v>2</v>
      </c>
      <c r="H38" s="77" t="str">
        <f ca="1">VLOOKUP($A38,OFFSET([2]characters!$A$1,0,0,COUNTA([2]characters!$A:$A),MATCH(H$1,[2]characters!$1:$1,0)-MATCH($A$1,[2]characters!$1:$1,0)+1),MATCH(H$1,[2]characters!$1:$1,0)-MATCH($A$1,[2]characters!$1:$1,0)+1,FALSE)</f>
        <v>Drop1S</v>
      </c>
      <c r="I38" s="77" t="str">
        <f ca="1">VLOOKUP($A38,OFFSET([2]characters!$A$1,0,0,COUNTA([2]characters!$A:$A),MATCH(I$1,[2]characters!$1:$1,0)-MATCH($A$1,[2]characters!$1:$1,0)+1),MATCH(I$1,[2]characters!$1:$1,0)-MATCH($A$1,[2]characters!$1:$1,0)+1,FALSE)</f>
        <v>blue</v>
      </c>
      <c r="J38" s="14">
        <f ca="1">VLOOKUP(I38,[2]属性!$A:$E,2,FALSE)</f>
        <v>1</v>
      </c>
      <c r="K38" s="14">
        <f ca="1">VLOOKUP(I38,[2]属性!$A:$E,3,FALSE)</f>
        <v>0.98</v>
      </c>
      <c r="L38" s="14">
        <f ca="1">VLOOKUP(I38,[2]属性!$A:$E,4,FALSE)</f>
        <v>1</v>
      </c>
      <c r="M38" s="14">
        <f ca="1">VLOOKUP(I38,[2]属性!$A:$E,5,FALSE)</f>
        <v>1.02</v>
      </c>
      <c r="N38" s="14">
        <f ca="1">INDEX(コスト!$A$1:$I$20,MATCH(H38,コスト!$A$1:$A$20,FALSE),MATCH(G38,コスト!$A$1:$I$1,FALSE))</f>
        <v>4</v>
      </c>
      <c r="O38" s="14">
        <f ca="1">INDEX(レベル!$A$1:$I$21,MATCH(H38,レベル!$A$1:$A$21,FALSE),MATCH(G38,レベル!$A$1:$I$1,FALSE))</f>
        <v>30</v>
      </c>
      <c r="P38" s="63">
        <f t="shared" ca="1" si="7"/>
        <v>30</v>
      </c>
      <c r="Q38" s="77" t="str">
        <f ca="1">VLOOKUP($A38,OFFSET([2]characters!$A$1,0,0,COUNTA([2]characters!$A:$A),MATCH(Q$1,[2]characters!$1:$1,0)-MATCH($A$1,[2]characters!$1:$1,0)+1),MATCH(Q$1,[2]characters!$1:$1,0)-MATCH($A$1,[2]characters!$1:$1,0)+1,FALSE)</f>
        <v>balance</v>
      </c>
      <c r="R38" s="8" t="str">
        <f ca="1">VLOOKUP(Q38,[2]character_type_i18n!$A:$H,3,FALSE)</f>
        <v>バランスタイプ</v>
      </c>
      <c r="S38" s="14">
        <f ca="1">VLOOKUP(Q38,[2]character_type_i18n!$A:$H,4,FALSE)</f>
        <v>1</v>
      </c>
      <c r="T38" s="14">
        <f ca="1">VLOOKUP(Q38,[2]character_type_i18n!$A:$H,5,FALSE)</f>
        <v>1</v>
      </c>
      <c r="U38" s="14">
        <f ca="1">VLOOKUP(Q38,[2]character_type_i18n!$A:$H,6,FALSE)</f>
        <v>1</v>
      </c>
      <c r="V38" s="14">
        <f ca="1">VLOOKUP(Q38,[2]character_type_i18n!$A:$H,7,FALSE)</f>
        <v>1</v>
      </c>
      <c r="W38" s="77" t="str">
        <f ca="1">VLOOKUP($A38,OFFSET([2]characters!$A$1,0,0,COUNTA([2]characters!$A:$A),MATCH(W$1,[2]characters!$1:$1,0)-MATCH($A$1,[2]characters!$1:$1,0)+1),MATCH(W$1,[2]characters!$1:$1,0)-MATCH($A$1,[2]characters!$1:$1,0)+1,FALSE)</f>
        <v>animal</v>
      </c>
      <c r="X38" s="8" t="str">
        <f ca="1">VLOOKUP(W38,[2]character_tribe_i18n!$A:$H,3,FALSE)</f>
        <v>アニマル</v>
      </c>
      <c r="Y38" s="77" t="str">
        <f ca="1">VLOOKUP($A38,OFFSET([2]characters!$A$1,0,0,COUNTA([2]characters!$A:$A),MATCH(Y$1,[2]characters!$1:$1,0)-MATCH($A$1,[2]characters!$1:$1,0)+1),MATCH(Y$1,[2]characters!$1:$1,0)-MATCH($A$1,[2]characters!$1:$1,0)+1,FALSE)</f>
        <v>none</v>
      </c>
      <c r="Z38" s="8" t="str">
        <f ca="1">VLOOKUP(Y38,[2]character_tribe_i18n!$A:$H,3,FALSE)</f>
        <v>種族なし</v>
      </c>
      <c r="AA38" s="14">
        <f ca="1">VLOOKUP(W38,[2]character_tribe_i18n!$A:$H,4,FALSE)</f>
        <v>1</v>
      </c>
      <c r="AB38" s="14">
        <f ca="1">VLOOKUP(W38,[2]character_tribe_i18n!$A:$H,5,FALSE)</f>
        <v>1.1000000000000001</v>
      </c>
      <c r="AC38" s="14">
        <f ca="1">VLOOKUP(W38,[2]character_tribe_i18n!$A:$H,6,FALSE)</f>
        <v>1</v>
      </c>
      <c r="AD38" s="14">
        <f ca="1">VLOOKUP(W38,[2]character_tribe_i18n!$A:$H,7,FALSE)</f>
        <v>0.9</v>
      </c>
      <c r="AE38" s="12">
        <v>38</v>
      </c>
      <c r="AF38" s="85" t="str">
        <f ca="1">IF(AE38="NULL","",VLOOKUP($AE38,OFFSET([2]characters!$A$1,0,0,COUNTA([2]characters!$A:$A),MATCH(AF$1,[2]characters!$1:$1,0)-MATCH($A$1,[2]characters!$1:$1,0)+1),MATCH(AF$1,[2]characters!$1:$1,0)-MATCH($A$1,[2]characters!$1:$1,0)+1,FALSE))</f>
        <v>通話対応型 ガイル</v>
      </c>
      <c r="AG38" s="8">
        <f t="shared" ca="1" si="2"/>
        <v>37</v>
      </c>
      <c r="AH38" s="85" t="str">
        <f ca="1">VLOOKUP($AG38,OFFSET([2]characters!$A$1,0,0,COUNTA([2]characters!$A:$A),MATCH(AH$1,[2]characters!$1:$1,0)-MATCH($A$1,[2]characters!$1:$1,0)+1),MATCH(AH$1,[2]characters!$1:$1,0)-MATCH($A$1,[2]characters!$1:$1,0)+1,FALSE)</f>
        <v>ガイル</v>
      </c>
      <c r="AI38" s="14">
        <f ca="1">IF(AE38="NULL","NULL",VLOOKUP(G38,ビット!$A$2:$B$7,2))</f>
        <v>10000</v>
      </c>
      <c r="AJ38" s="9">
        <v>2</v>
      </c>
      <c r="AK38" s="10" t="str">
        <f t="shared" si="3"/>
        <v>普通</v>
      </c>
      <c r="AL38" s="14" t="str">
        <f ca="1">INDEX(経験値!$A$1:$I$20,MATCH(H38,経験値!$A$1:$A$20,FALSE),MATCH(G38,経験値!$A$1:$I$1,FALSE))</f>
        <v>required_exp_150</v>
      </c>
      <c r="AM38" s="11">
        <f ca="1">VLOOKUP(G38,経験値!$A$27:$B$31,2)</f>
        <v>600</v>
      </c>
      <c r="AN38" s="21">
        <f ca="1">VLOOKUP(G38,ビット!$G$2:$H$7,2)</f>
        <v>150</v>
      </c>
      <c r="AO38" s="64" t="s">
        <v>192</v>
      </c>
      <c r="AP38" s="97">
        <v>530001</v>
      </c>
      <c r="AQ38" s="77" t="e">
        <f ca="1">VLOOKUP($AP38,OFFSET([1]unit_skills!$A$1,0,0,COUNTA([1]unit_skills!$A:$A),MATCH("name",[1]unit_skills!$1:$1,0)-MATCH($AP$1,[1]unit_skills!$1:$1,0)+1),MATCH("name",[1]unit_skills!$1:$1,0)-MATCH($AP$1,[1]unit_skills!$1:$1,0)+1,FALSE)</f>
        <v>#VALUE!</v>
      </c>
      <c r="AR38" s="77" t="e">
        <f ca="1">VLOOKUP($AP38,OFFSET([1]unit_skills!$A$1,0,0,COUNTA([1]unit_skills!$A:$A),MATCH("comment",[1]unit_skills!$1:$1,0)-MATCH($AP$1,[1]unit_skills!$1:$1,0)+1),MATCH("comment",[1]unit_skills!$1:$1,0)-MATCH($AP$1,[1]unit_skills!$1:$1,0)+1,FALSE)</f>
        <v>#VALUE!</v>
      </c>
      <c r="AS38" s="77" t="e">
        <f ca="1">VLOOKUP($AP38,OFFSET([1]unit_skills!$A$1,0,0,COUNTA([1]unit_skills!$A:$A),MATCH(AS$1,[1]unit_skills!$1:$1,0)-MATCH($AP$1,[1]unit_skills!$1:$1,0)+1),MATCH(AS$1,[1]unit_skills!$1:$1,0)-MATCH($AP$1,[1]unit_skills!$1:$1,0)+1,FALSE)</f>
        <v>#VALUE!</v>
      </c>
      <c r="AT38" s="97">
        <v>113002</v>
      </c>
      <c r="AU38" s="77" t="e">
        <f ca="1">VLOOKUP($AT38,OFFSET([1]crash_skills!$A$1,0,0,COUNTA([1]crash_skills!$A:$A),MATCH("name",[1]crash_skills!$1:$1,0)-MATCH($AT$1,[1]crash_skills!$1:$1,0)+1),MATCH("name",[1]crash_skills!$1:$1,0)-MATCH($AT$1,[1]crash_skills!$1:$1,0)+1,FALSE)</f>
        <v>#VALUE!</v>
      </c>
      <c r="AV38" s="77" t="e">
        <f ca="1">VLOOKUP($AT38,OFFSET([1]crash_skills!$A$1,0,0,COUNTA([1]crash_skills!$A:$A),MATCH("comment",[1]crash_skills!$1:$1,0)-MATCH($AT$1,[1]crash_skills!$1:$1,0)+1),MATCH("comment",[1]crash_skills!$1:$1,0)-MATCH($AT$1,[1]crash_skills!$1:$1,0)+1,FALSE)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8" s="77" t="e">
        <f ca="1">VLOOKUP($AT38,OFFSET([1]crash_skills!$A$1,0,0,COUNTA([1]crash_skills!$A:$A),MATCH(AW$1,[1]crash_skills!$1:$1,0)-MATCH($AT$1,[1]crash_skills!$1:$1,0)+1),MATCH(AW$1,[1]crash_skills!$1:$1,0)-MATCH($AT$1,[1]crash_skills!$1:$1,0)+1,FALSE)</f>
        <v>#VALUE!</v>
      </c>
      <c r="AX38" s="81">
        <f ca="1">VLOOKUP($A38,OFFSET([2]characters!$A$1,0,0,COUNTA([2]characters!$A:$A),MATCH(AX$1,[2]characters!$1:$1,0)-MATCH($A$1,[2]characters!$1:$1,0)+1),MATCH(AX$1,[2]characters!$1:$1,0)-MATCH($A$1,[2]characters!$1:$1,0)+1,FALSE)</f>
        <v>3</v>
      </c>
      <c r="AY38" s="19">
        <v>1</v>
      </c>
      <c r="AZ38" s="19">
        <v>1</v>
      </c>
      <c r="BA38" s="19">
        <v>0</v>
      </c>
      <c r="BB38" s="19">
        <v>1</v>
      </c>
      <c r="BC38" s="14">
        <f ca="1">INDEX('RC6SV'!$A$1:$G$20,MATCH(H38,'RC6SV'!$A$1:$A$20,FALSE),MATCH(G38,'RC6SV'!$A$1:$G$1,FALSE))</f>
        <v>3000</v>
      </c>
      <c r="BD38" s="63">
        <f t="shared" ca="1" si="4"/>
        <v>3000</v>
      </c>
      <c r="BE38" s="14">
        <f t="shared" ca="1" si="5"/>
        <v>0</v>
      </c>
      <c r="BF38" s="14">
        <f t="shared" ca="1" si="6"/>
        <v>1</v>
      </c>
      <c r="BG38" s="20">
        <f ca="1">IF($BE38&lt;=0,ROUND(BK38*0.5,0), ROUND($BE38*S38*AA38*J38*AY38*0.8*[2]ステータス!$B$2,0))</f>
        <v>750</v>
      </c>
      <c r="BH38" s="20">
        <f ca="1">IF($BE38&lt;=0,ROUND(BL38*0.5,0), ROUND($BE38*T38*AB38*K38*AZ38*0.8*[2]ステータス!$C$2,0))</f>
        <v>485</v>
      </c>
      <c r="BI38" s="20">
        <f ca="1">IF($BE38&lt;=0,ROUND(BM38*0.5,0), ROUND($BE38*U38*AC38*L38*BA38*0.8*[2]ステータス!$D$2,0))</f>
        <v>0</v>
      </c>
      <c r="BJ38" s="20">
        <f ca="1">IF($BE38&lt;=0,ROUND(BN38*0.5,0), ROUND($BE38*V38*AD38*M38*BB38*0.8*[2]ステータス!$E$2,0))</f>
        <v>345</v>
      </c>
      <c r="BK38" s="14">
        <f ca="1">ROUND(BD38*S38*AA38*J38*AY38*[2]ステータス!$B$2,0)</f>
        <v>1500</v>
      </c>
      <c r="BL38" s="14">
        <f ca="1">ROUND(BD38*T38*AB38*K38*AZ38*[2]ステータス!$C$2,0)</f>
        <v>970</v>
      </c>
      <c r="BM38" s="14">
        <f ca="1">ROUND(BD38*U38*AC38*L38*BA38*[2]ステータス!$D$2,0)</f>
        <v>0</v>
      </c>
      <c r="BN38" s="14">
        <f ca="1">ROUND(BD38*V38*AD38*M38*BB38*[2]ステータス!$E$2,0)</f>
        <v>689</v>
      </c>
      <c r="BO38" s="13">
        <v>0</v>
      </c>
      <c r="BP38" s="13">
        <v>1</v>
      </c>
      <c r="BQ38" s="13" t="s">
        <v>102</v>
      </c>
      <c r="BR38" s="13">
        <f ca="1">VLOOKUP(H38,ghosts_label!$A$2:$B$19,2,FALSE)</f>
        <v>1</v>
      </c>
    </row>
    <row r="39" spans="1:70" ht="21" customHeight="1" x14ac:dyDescent="0.15">
      <c r="A39" s="14">
        <f t="shared" ca="1" si="0"/>
        <v>38</v>
      </c>
      <c r="B39" s="77" t="str">
        <f ca="1">VLOOKUP($A39,OFFSET([2]characters!$A$1,0,0,COUNTA([2]characters!$A:$A),MATCH(B$1,[2]characters!$1:$1,0)-MATCH($A$1,[2]characters!$1:$1,0)+1),MATCH(B$1,[2]characters!$1:$1,0)-MATCH($A$1,[2]characters!$1:$1,0)+1,FALSE)</f>
        <v>通話対応型 ガイル</v>
      </c>
      <c r="C39" s="77" t="str">
        <f ca="1">VLOOKUP($A39,OFFSET([2]characters!$A$1,0,0,COUNTA([2]characters!$A:$A),MATCH(C$1,[2]characters!$1:$1,0)-MATCH($A$1,[2]characters!$1:$1,0)+1),MATCH(C$1,[2]characters!$1:$1,0)-MATCH($A$1,[2]characters!$1:$1,0)+1,FALSE)</f>
        <v>ノーマルクエスト</v>
      </c>
      <c r="D39" s="77" t="str">
        <f ca="1">VLOOKUP($A39,OFFSET([2]characters!$A$1,0,0,COUNTA([2]characters!$A:$A),MATCH(D$1,[2]characters!$1:$1,0)-MATCH($A$1,[2]characters!$1:$1,0)+1),MATCH(D$1,[2]characters!$1:$1,0)-MATCH($A$1,[2]characters!$1:$1,0)+1,FALSE)</f>
        <v>アバター</v>
      </c>
      <c r="E39" s="77" t="str">
        <f ca="1">VLOOKUP($A39,OFFSET([2]characters!$A$1,0,0,COUNTA([2]characters!$A:$A),MATCH(E$1,[2]characters!$1:$1,0)-MATCH($A$1,[2]characters!$1:$1,0)+1),MATCH(E$1,[2]characters!$1:$1,0)-MATCH($A$1,[2]characters!$1:$1,0)+1,FALSE)</f>
        <v>世界観</v>
      </c>
      <c r="F39" s="77" t="str">
        <f ca="1">VLOOKUP($A39,OFFSET([2]characters!$A$1,0,0,COUNTA([2]characters!$A:$A),MATCH(F$1,[2]characters!$1:$1,0)-MATCH($A$1,[2]characters!$1:$1,0)+1),MATCH(F$1,[2]characters!$1:$1,0)-MATCH($A$1,[2]characters!$1:$1,0)+1,FALSE)</f>
        <v>男性</v>
      </c>
      <c r="G39" s="77">
        <f ca="1">VLOOKUP($A39,OFFSET([2]characters!$A$1,0,0,COUNTA([2]characters!$A:$A),MATCH(G$1,[2]characters!$1:$1,0)-MATCH($A$1,[2]characters!$1:$1,0)+1),MATCH(G$1,[2]characters!$1:$1,0)-MATCH($A$1,[2]characters!$1:$1,0)+1,FALSE)</f>
        <v>3</v>
      </c>
      <c r="H39" s="77" t="str">
        <f ca="1">VLOOKUP($A39,OFFSET([2]characters!$A$1,0,0,COUNTA([2]characters!$A:$A),MATCH(H$1,[2]characters!$1:$1,0)-MATCH($A$1,[2]characters!$1:$1,0)+1),MATCH(H$1,[2]characters!$1:$1,0)-MATCH($A$1,[2]characters!$1:$1,0)+1,FALSE)</f>
        <v>Drop1S</v>
      </c>
      <c r="I39" s="77" t="str">
        <f ca="1">VLOOKUP($A39,OFFSET([2]characters!$A$1,0,0,COUNTA([2]characters!$A:$A),MATCH(I$1,[2]characters!$1:$1,0)-MATCH($A$1,[2]characters!$1:$1,0)+1),MATCH(I$1,[2]characters!$1:$1,0)-MATCH($A$1,[2]characters!$1:$1,0)+1,FALSE)</f>
        <v>blue</v>
      </c>
      <c r="J39" s="14">
        <f ca="1">VLOOKUP(I39,[2]属性!$A:$E,2,FALSE)</f>
        <v>1</v>
      </c>
      <c r="K39" s="14">
        <f ca="1">VLOOKUP(I39,[2]属性!$A:$E,3,FALSE)</f>
        <v>0.98</v>
      </c>
      <c r="L39" s="14">
        <f ca="1">VLOOKUP(I39,[2]属性!$A:$E,4,FALSE)</f>
        <v>1</v>
      </c>
      <c r="M39" s="14">
        <f ca="1">VLOOKUP(I39,[2]属性!$A:$E,5,FALSE)</f>
        <v>1.02</v>
      </c>
      <c r="N39" s="14">
        <f ca="1">INDEX(コスト!$A$1:$I$20,MATCH(H39,コスト!$A$1:$A$20,FALSE),MATCH(G39,コスト!$A$1:$I$1,FALSE))</f>
        <v>6</v>
      </c>
      <c r="O39" s="14">
        <f ca="1">INDEX(レベル!$A$1:$I$21,MATCH(H39,レベル!$A$1:$A$21,FALSE),MATCH(G39,レベル!$A$1:$I$1,FALSE))</f>
        <v>40</v>
      </c>
      <c r="P39" s="63">
        <f t="shared" ca="1" si="7"/>
        <v>45</v>
      </c>
      <c r="Q39" s="77" t="str">
        <f ca="1">VLOOKUP($A39,OFFSET([2]characters!$A$1,0,0,COUNTA([2]characters!$A:$A),MATCH(Q$1,[2]characters!$1:$1,0)-MATCH($A$1,[2]characters!$1:$1,0)+1),MATCH(Q$1,[2]characters!$1:$1,0)-MATCH($A$1,[2]characters!$1:$1,0)+1,FALSE)</f>
        <v>balance</v>
      </c>
      <c r="R39" s="8" t="str">
        <f ca="1">VLOOKUP(Q39,[2]character_type_i18n!$A:$H,3,FALSE)</f>
        <v>バランスタイプ</v>
      </c>
      <c r="S39" s="14">
        <f ca="1">VLOOKUP(Q39,[2]character_type_i18n!$A:$H,4,FALSE)</f>
        <v>1</v>
      </c>
      <c r="T39" s="14">
        <f ca="1">VLOOKUP(Q39,[2]character_type_i18n!$A:$H,5,FALSE)</f>
        <v>1</v>
      </c>
      <c r="U39" s="14">
        <f ca="1">VLOOKUP(Q39,[2]character_type_i18n!$A:$H,6,FALSE)</f>
        <v>1</v>
      </c>
      <c r="V39" s="14">
        <f ca="1">VLOOKUP(Q39,[2]character_type_i18n!$A:$H,7,FALSE)</f>
        <v>1</v>
      </c>
      <c r="W39" s="77" t="str">
        <f ca="1">VLOOKUP($A39,OFFSET([2]characters!$A$1,0,0,COUNTA([2]characters!$A:$A),MATCH(W$1,[2]characters!$1:$1,0)-MATCH($A$1,[2]characters!$1:$1,0)+1),MATCH(W$1,[2]characters!$1:$1,0)-MATCH($A$1,[2]characters!$1:$1,0)+1,FALSE)</f>
        <v>animal</v>
      </c>
      <c r="X39" s="8" t="str">
        <f ca="1">VLOOKUP(W39,[2]character_tribe_i18n!$A:$H,3,FALSE)</f>
        <v>アニマル</v>
      </c>
      <c r="Y39" s="77" t="str">
        <f ca="1">VLOOKUP($A39,OFFSET([2]characters!$A$1,0,0,COUNTA([2]characters!$A:$A),MATCH(Y$1,[2]characters!$1:$1,0)-MATCH($A$1,[2]characters!$1:$1,0)+1),MATCH(Y$1,[2]characters!$1:$1,0)-MATCH($A$1,[2]characters!$1:$1,0)+1,FALSE)</f>
        <v>none</v>
      </c>
      <c r="Z39" s="8" t="str">
        <f ca="1">VLOOKUP(Y39,[2]character_tribe_i18n!$A:$H,3,FALSE)</f>
        <v>種族なし</v>
      </c>
      <c r="AA39" s="14">
        <f ca="1">VLOOKUP(W39,[2]character_tribe_i18n!$A:$H,4,FALSE)</f>
        <v>1</v>
      </c>
      <c r="AB39" s="14">
        <f ca="1">VLOOKUP(W39,[2]character_tribe_i18n!$A:$H,5,FALSE)</f>
        <v>1.1000000000000001</v>
      </c>
      <c r="AC39" s="14">
        <f ca="1">VLOOKUP(W39,[2]character_tribe_i18n!$A:$H,6,FALSE)</f>
        <v>1</v>
      </c>
      <c r="AD39" s="14">
        <f ca="1">VLOOKUP(W39,[2]character_tribe_i18n!$A:$H,7,FALSE)</f>
        <v>0.9</v>
      </c>
      <c r="AE39" s="12" t="s">
        <v>102</v>
      </c>
      <c r="AF39" s="85" t="str">
        <f ca="1">IF(AE39="NULL","",VLOOKUP($AE39,OFFSET([2]characters!$A$1,0,0,COUNTA([2]characters!$A:$A),MATCH(AF$1,[2]characters!$1:$1,0)-MATCH($A$1,[2]characters!$1:$1,0)+1),MATCH(AF$1,[2]characters!$1:$1,0)-MATCH($A$1,[2]characters!$1:$1,0)+1,FALSE))</f>
        <v/>
      </c>
      <c r="AG39" s="8">
        <f t="shared" ca="1" si="2"/>
        <v>37</v>
      </c>
      <c r="AH39" s="85" t="str">
        <f ca="1">VLOOKUP($AG39,OFFSET([2]characters!$A$1,0,0,COUNTA([2]characters!$A:$A),MATCH(AH$1,[2]characters!$1:$1,0)-MATCH($A$1,[2]characters!$1:$1,0)+1),MATCH(AH$1,[2]characters!$1:$1,0)-MATCH($A$1,[2]characters!$1:$1,0)+1,FALSE)</f>
        <v>ガイル</v>
      </c>
      <c r="AI39" s="14" t="str">
        <f>IF(AE39="NULL","NULL",VLOOKUP(G39,ビット!$A$2:$B$7,2))</f>
        <v>NULL</v>
      </c>
      <c r="AJ39" s="9">
        <v>2</v>
      </c>
      <c r="AK39" s="10" t="str">
        <f t="shared" si="3"/>
        <v>普通</v>
      </c>
      <c r="AL39" s="14" t="str">
        <f ca="1">INDEX(経験値!$A$1:$I$20,MATCH(H39,経験値!$A$1:$A$20,FALSE),MATCH(G39,経験値!$A$1:$I$1,FALSE))</f>
        <v>required_exp_150</v>
      </c>
      <c r="AM39" s="11">
        <f ca="1">VLOOKUP(G39,経験値!$A$27:$B$31,2)</f>
        <v>1500</v>
      </c>
      <c r="AN39" s="21">
        <f ca="1">VLOOKUP(G39,ビット!$G$2:$H$7,2)</f>
        <v>300</v>
      </c>
      <c r="AO39" s="64" t="s">
        <v>192</v>
      </c>
      <c r="AP39" s="97">
        <v>530002</v>
      </c>
      <c r="AQ39" s="77" t="e">
        <f ca="1">VLOOKUP($AP39,OFFSET([1]unit_skills!$A$1,0,0,COUNTA([1]unit_skills!$A:$A),MATCH("name",[1]unit_skills!$1:$1,0)-MATCH($AP$1,[1]unit_skills!$1:$1,0)+1),MATCH("name",[1]unit_skills!$1:$1,0)-MATCH($AP$1,[1]unit_skills!$1:$1,0)+1,FALSE)</f>
        <v>#VALUE!</v>
      </c>
      <c r="AR39" s="77" t="e">
        <f ca="1">VLOOKUP($AP39,OFFSET([1]unit_skills!$A$1,0,0,COUNTA([1]unit_skills!$A:$A),MATCH("comment",[1]unit_skills!$1:$1,0)-MATCH($AP$1,[1]unit_skills!$1:$1,0)+1),MATCH("comment",[1]unit_skills!$1:$1,0)-MATCH($AP$1,[1]unit_skills!$1:$1,0)+1,FALSE)</f>
        <v>#VALUE!</v>
      </c>
      <c r="AS39" s="77" t="e">
        <f ca="1">VLOOKUP($AP39,OFFSET([1]unit_skills!$A$1,0,0,COUNTA([1]unit_skills!$A:$A),MATCH(AS$1,[1]unit_skills!$1:$1,0)-MATCH($AP$1,[1]unit_skills!$1:$1,0)+1),MATCH(AS$1,[1]unit_skills!$1:$1,0)-MATCH($AP$1,[1]unit_skills!$1:$1,0)+1,FALSE)</f>
        <v>#VALUE!</v>
      </c>
      <c r="AT39" s="97">
        <v>113003</v>
      </c>
      <c r="AU39" s="77" t="e">
        <f ca="1">VLOOKUP($AT39,OFFSET([1]crash_skills!$A$1,0,0,COUNTA([1]crash_skills!$A:$A),MATCH("name",[1]crash_skills!$1:$1,0)-MATCH($AT$1,[1]crash_skills!$1:$1,0)+1),MATCH("name",[1]crash_skills!$1:$1,0)-MATCH($AT$1,[1]crash_skills!$1:$1,0)+1,FALSE)</f>
        <v>#VALUE!</v>
      </c>
      <c r="AV39" s="77" t="e">
        <f ca="1">VLOOKUP($AT39,OFFSET([1]crash_skills!$A$1,0,0,COUNTA([1]crash_skills!$A:$A),MATCH("comment",[1]crash_skills!$1:$1,0)-MATCH($AT$1,[1]crash_skills!$1:$1,0)+1),MATCH("comment",[1]crash_skills!$1:$1,0)-MATCH($AT$1,[1]crash_skills!$1:$1,0)+1,FALSE)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9" s="77" t="e">
        <f ca="1">VLOOKUP($AT39,OFFSET([1]crash_skills!$A$1,0,0,COUNTA([1]crash_skills!$A:$A),MATCH(AW$1,[1]crash_skills!$1:$1,0)-MATCH($AT$1,[1]crash_skills!$1:$1,0)+1),MATCH(AW$1,[1]crash_skills!$1:$1,0)-MATCH($AT$1,[1]crash_skills!$1:$1,0)+1,FALSE)</f>
        <v>#VALUE!</v>
      </c>
      <c r="AX39" s="81">
        <f ca="1">VLOOKUP($A39,OFFSET([2]characters!$A$1,0,0,COUNTA([2]characters!$A:$A),MATCH(AX$1,[2]characters!$1:$1,0)-MATCH($A$1,[2]characters!$1:$1,0)+1),MATCH(AX$1,[2]characters!$1:$1,0)-MATCH($A$1,[2]characters!$1:$1,0)+1,FALSE)</f>
        <v>3</v>
      </c>
      <c r="AY39" s="19">
        <v>1</v>
      </c>
      <c r="AZ39" s="19">
        <v>1</v>
      </c>
      <c r="BA39" s="19">
        <v>0</v>
      </c>
      <c r="BB39" s="19">
        <v>1</v>
      </c>
      <c r="BC39" s="14">
        <f ca="1">INDEX('RC6SV'!$A$1:$G$20,MATCH(H39,'RC6SV'!$A$1:$A$20,FALSE),MATCH(G39,'RC6SV'!$A$1:$G$1,FALSE))</f>
        <v>4200</v>
      </c>
      <c r="BD39" s="63">
        <f t="shared" ca="1" si="4"/>
        <v>4200</v>
      </c>
      <c r="BE39" s="14">
        <f t="shared" ca="1" si="5"/>
        <v>3000</v>
      </c>
      <c r="BF39" s="14">
        <f t="shared" ca="1" si="6"/>
        <v>1</v>
      </c>
      <c r="BG39" s="20">
        <f ca="1">IF($BE39&lt;=0,ROUND(BK39*0.5,0), ROUND($BE39*S39*AA39*J39*AY39*0.8*[2]ステータス!$B$2,0))</f>
        <v>1200</v>
      </c>
      <c r="BH39" s="20">
        <f ca="1">IF($BE39&lt;=0,ROUND(BL39*0.5,0), ROUND($BE39*T39*AB39*K39*AZ39*0.8*[2]ステータス!$C$2,0))</f>
        <v>776</v>
      </c>
      <c r="BI39" s="20">
        <f ca="1">IF($BE39&lt;=0,ROUND(BM39*0.5,0), ROUND($BE39*U39*AC39*L39*BA39*0.8*[2]ステータス!$D$2,0))</f>
        <v>0</v>
      </c>
      <c r="BJ39" s="20">
        <f ca="1">IF($BE39&lt;=0,ROUND(BN39*0.5,0), ROUND($BE39*V39*AD39*M39*BB39*0.8*[2]ステータス!$E$2,0))</f>
        <v>551</v>
      </c>
      <c r="BK39" s="14">
        <f ca="1">ROUND(BD39*S39*AA39*J39*AY39*[2]ステータス!$B$2,0)</f>
        <v>2100</v>
      </c>
      <c r="BL39" s="14">
        <f ca="1">ROUND(BD39*T39*AB39*K39*AZ39*[2]ステータス!$C$2,0)</f>
        <v>1358</v>
      </c>
      <c r="BM39" s="14">
        <f ca="1">ROUND(BD39*U39*AC39*L39*BA39*[2]ステータス!$D$2,0)</f>
        <v>0</v>
      </c>
      <c r="BN39" s="14">
        <f ca="1">ROUND(BD39*V39*AD39*M39*BB39*[2]ステータス!$E$2,0)</f>
        <v>964</v>
      </c>
      <c r="BO39" s="13">
        <v>0</v>
      </c>
      <c r="BP39" s="13">
        <v>1</v>
      </c>
      <c r="BQ39" s="13" t="s">
        <v>102</v>
      </c>
      <c r="BR39" s="13">
        <f ca="1">VLOOKUP(H39,ghosts_label!$A$2:$B$19,2,FALSE)</f>
        <v>1</v>
      </c>
    </row>
    <row r="40" spans="1:70" ht="21" customHeight="1" x14ac:dyDescent="0.15">
      <c r="A40" s="14">
        <f t="shared" ca="1" si="0"/>
        <v>39</v>
      </c>
      <c r="B40" s="77" t="str">
        <f ca="1">VLOOKUP($A40,OFFSET([2]characters!$A$1,0,0,COUNTA([2]characters!$A:$A),MATCH(B$1,[2]characters!$1:$1,0)-MATCH($A$1,[2]characters!$1:$1,0)+1),MATCH(B$1,[2]characters!$1:$1,0)-MATCH($A$1,[2]characters!$1:$1,0)+1,FALSE)</f>
        <v>マーロン</v>
      </c>
      <c r="C40" s="77" t="str">
        <f ca="1">VLOOKUP($A40,OFFSET([2]characters!$A$1,0,0,COUNTA([2]characters!$A:$A),MATCH(C$1,[2]characters!$1:$1,0)-MATCH($A$1,[2]characters!$1:$1,0)+1),MATCH(C$1,[2]characters!$1:$1,0)-MATCH($A$1,[2]characters!$1:$1,0)+1,FALSE)</f>
        <v>ノーマルクエスト</v>
      </c>
      <c r="D40" s="77" t="str">
        <f ca="1">VLOOKUP($A40,OFFSET([2]characters!$A$1,0,0,COUNTA([2]characters!$A:$A),MATCH(D$1,[2]characters!$1:$1,0)-MATCH($A$1,[2]characters!$1:$1,0)+1),MATCH(D$1,[2]characters!$1:$1,0)-MATCH($A$1,[2]characters!$1:$1,0)+1,FALSE)</f>
        <v>アバター</v>
      </c>
      <c r="E40" s="77" t="str">
        <f ca="1">VLOOKUP($A40,OFFSET([2]characters!$A$1,0,0,COUNTA([2]characters!$A:$A),MATCH(E$1,[2]characters!$1:$1,0)-MATCH($A$1,[2]characters!$1:$1,0)+1),MATCH(E$1,[2]characters!$1:$1,0)-MATCH($A$1,[2]characters!$1:$1,0)+1,FALSE)</f>
        <v>世界観</v>
      </c>
      <c r="F40" s="77" t="str">
        <f ca="1">VLOOKUP($A40,OFFSET([2]characters!$A$1,0,0,COUNTA([2]characters!$A:$A),MATCH(F$1,[2]characters!$1:$1,0)-MATCH($A$1,[2]characters!$1:$1,0)+1),MATCH(F$1,[2]characters!$1:$1,0)-MATCH($A$1,[2]characters!$1:$1,0)+1,FALSE)</f>
        <v>男性</v>
      </c>
      <c r="G40" s="77">
        <f ca="1">VLOOKUP($A40,OFFSET([2]characters!$A$1,0,0,COUNTA([2]characters!$A:$A),MATCH(G$1,[2]characters!$1:$1,0)-MATCH($A$1,[2]characters!$1:$1,0)+1),MATCH(G$1,[2]characters!$1:$1,0)-MATCH($A$1,[2]characters!$1:$1,0)+1,FALSE)</f>
        <v>2</v>
      </c>
      <c r="H40" s="77" t="str">
        <f ca="1">VLOOKUP($A40,OFFSET([2]characters!$A$1,0,0,COUNTA([2]characters!$A:$A),MATCH(H$1,[2]characters!$1:$1,0)-MATCH($A$1,[2]characters!$1:$1,0)+1),MATCH(H$1,[2]characters!$1:$1,0)-MATCH($A$1,[2]characters!$1:$1,0)+1,FALSE)</f>
        <v>Drop1S</v>
      </c>
      <c r="I40" s="77" t="str">
        <f ca="1">VLOOKUP($A40,OFFSET([2]characters!$A$1,0,0,COUNTA([2]characters!$A:$A),MATCH(I$1,[2]characters!$1:$1,0)-MATCH($A$1,[2]characters!$1:$1,0)+1),MATCH(I$1,[2]characters!$1:$1,0)-MATCH($A$1,[2]characters!$1:$1,0)+1,FALSE)</f>
        <v>yellow</v>
      </c>
      <c r="J40" s="14">
        <f ca="1">VLOOKUP(I40,[2]属性!$A:$E,2,FALSE)</f>
        <v>0.98</v>
      </c>
      <c r="K40" s="14">
        <f ca="1">VLOOKUP(I40,[2]属性!$A:$E,3,FALSE)</f>
        <v>1.01</v>
      </c>
      <c r="L40" s="14">
        <f ca="1">VLOOKUP(I40,[2]属性!$A:$E,4,FALSE)</f>
        <v>1</v>
      </c>
      <c r="M40" s="14">
        <f ca="1">VLOOKUP(I40,[2]属性!$A:$E,5,FALSE)</f>
        <v>1.01</v>
      </c>
      <c r="N40" s="14">
        <f ca="1">INDEX(コスト!$A$1:$I$20,MATCH(H40,コスト!$A$1:$A$20,FALSE),MATCH(G40,コスト!$A$1:$I$1,FALSE))</f>
        <v>4</v>
      </c>
      <c r="O40" s="14">
        <f ca="1">INDEX(レベル!$A$1:$I$21,MATCH(H40,レベル!$A$1:$A$21,FALSE),MATCH(G40,レベル!$A$1:$I$1,FALSE))</f>
        <v>30</v>
      </c>
      <c r="P40" s="63">
        <f t="shared" ca="1" si="7"/>
        <v>30</v>
      </c>
      <c r="Q40" s="77" t="str">
        <f ca="1">VLOOKUP($A40,OFFSET([2]characters!$A$1,0,0,COUNTA([2]characters!$A:$A),MATCH(Q$1,[2]characters!$1:$1,0)-MATCH($A$1,[2]characters!$1:$1,0)+1),MATCH(Q$1,[2]characters!$1:$1,0)-MATCH($A$1,[2]characters!$1:$1,0)+1,FALSE)</f>
        <v>balance</v>
      </c>
      <c r="R40" s="8" t="str">
        <f ca="1">VLOOKUP(Q40,[2]character_type_i18n!$A:$H,3,FALSE)</f>
        <v>バランスタイプ</v>
      </c>
      <c r="S40" s="14">
        <f ca="1">VLOOKUP(Q40,[2]character_type_i18n!$A:$H,4,FALSE)</f>
        <v>1</v>
      </c>
      <c r="T40" s="14">
        <f ca="1">VLOOKUP(Q40,[2]character_type_i18n!$A:$H,5,FALSE)</f>
        <v>1</v>
      </c>
      <c r="U40" s="14">
        <f ca="1">VLOOKUP(Q40,[2]character_type_i18n!$A:$H,6,FALSE)</f>
        <v>1</v>
      </c>
      <c r="V40" s="14">
        <f ca="1">VLOOKUP(Q40,[2]character_type_i18n!$A:$H,7,FALSE)</f>
        <v>1</v>
      </c>
      <c r="W40" s="77" t="str">
        <f ca="1">VLOOKUP($A40,OFFSET([2]characters!$A$1,0,0,COUNTA([2]characters!$A:$A),MATCH(W$1,[2]characters!$1:$1,0)-MATCH($A$1,[2]characters!$1:$1,0)+1),MATCH(W$1,[2]characters!$1:$1,0)-MATCH($A$1,[2]characters!$1:$1,0)+1,FALSE)</f>
        <v>human</v>
      </c>
      <c r="X40" s="8" t="str">
        <f ca="1">VLOOKUP(W40,[2]character_tribe_i18n!$A:$H,3,FALSE)</f>
        <v>ヒューマン</v>
      </c>
      <c r="Y40" s="77" t="str">
        <f ca="1">VLOOKUP($A40,OFFSET([2]characters!$A$1,0,0,COUNTA([2]characters!$A:$A),MATCH(Y$1,[2]characters!$1:$1,0)-MATCH($A$1,[2]characters!$1:$1,0)+1),MATCH(Y$1,[2]characters!$1:$1,0)-MATCH($A$1,[2]characters!$1:$1,0)+1,FALSE)</f>
        <v>none</v>
      </c>
      <c r="Z40" s="8" t="str">
        <f ca="1">VLOOKUP(Y40,[2]character_tribe_i18n!$A:$H,3,FALSE)</f>
        <v>種族なし</v>
      </c>
      <c r="AA40" s="14">
        <f ca="1">VLOOKUP(W40,[2]character_tribe_i18n!$A:$H,4,FALSE)</f>
        <v>0.94</v>
      </c>
      <c r="AB40" s="14">
        <f ca="1">VLOOKUP(W40,[2]character_tribe_i18n!$A:$H,5,FALSE)</f>
        <v>0.99</v>
      </c>
      <c r="AC40" s="14">
        <f ca="1">VLOOKUP(W40,[2]character_tribe_i18n!$A:$H,6,FALSE)</f>
        <v>1</v>
      </c>
      <c r="AD40" s="14">
        <f ca="1">VLOOKUP(W40,[2]character_tribe_i18n!$A:$H,7,FALSE)</f>
        <v>1.07</v>
      </c>
      <c r="AE40" s="12">
        <v>40</v>
      </c>
      <c r="AF40" s="85" t="str">
        <f ca="1">IF(AE40="NULL","",VLOOKUP($AE40,OFFSET([2]characters!$A$1,0,0,COUNTA([2]characters!$A:$A),MATCH(AF$1,[2]characters!$1:$1,0)-MATCH($A$1,[2]characters!$1:$1,0)+1),MATCH(AF$1,[2]characters!$1:$1,0)-MATCH($A$1,[2]characters!$1:$1,0)+1,FALSE))</f>
        <v>デジタルマジシャン マーロン</v>
      </c>
      <c r="AG40" s="8">
        <f t="shared" ca="1" si="2"/>
        <v>39</v>
      </c>
      <c r="AH40" s="85" t="str">
        <f ca="1">VLOOKUP($AG40,OFFSET([2]characters!$A$1,0,0,COUNTA([2]characters!$A:$A),MATCH(AH$1,[2]characters!$1:$1,0)-MATCH($A$1,[2]characters!$1:$1,0)+1),MATCH(AH$1,[2]characters!$1:$1,0)-MATCH($A$1,[2]characters!$1:$1,0)+1,FALSE)</f>
        <v>マーロン</v>
      </c>
      <c r="AI40" s="14">
        <f ca="1">IF(AE40="NULL","NULL",VLOOKUP(G40,ビット!$A$2:$B$7,2))</f>
        <v>10000</v>
      </c>
      <c r="AJ40" s="9">
        <v>2</v>
      </c>
      <c r="AK40" s="10" t="str">
        <f t="shared" si="3"/>
        <v>普通</v>
      </c>
      <c r="AL40" s="14" t="str">
        <f ca="1">INDEX(経験値!$A$1:$I$20,MATCH(H40,経験値!$A$1:$A$20,FALSE),MATCH(G40,経験値!$A$1:$I$1,FALSE))</f>
        <v>required_exp_150</v>
      </c>
      <c r="AM40" s="11">
        <f ca="1">VLOOKUP(G40,経験値!$A$27:$B$31,2)</f>
        <v>600</v>
      </c>
      <c r="AN40" s="21">
        <f ca="1">VLOOKUP(G40,ビット!$G$2:$H$7,2)</f>
        <v>150</v>
      </c>
      <c r="AO40" s="64" t="s">
        <v>197</v>
      </c>
      <c r="AP40" s="97">
        <v>134003</v>
      </c>
      <c r="AQ40" s="77" t="e">
        <f ca="1">VLOOKUP($AP40,OFFSET([1]unit_skills!$A$1,0,0,COUNTA([1]unit_skills!$A:$A),MATCH("name",[1]unit_skills!$1:$1,0)-MATCH($AP$1,[1]unit_skills!$1:$1,0)+1),MATCH("name",[1]unit_skills!$1:$1,0)-MATCH($AP$1,[1]unit_skills!$1:$1,0)+1,FALSE)</f>
        <v>#VALUE!</v>
      </c>
      <c r="AR40" s="77" t="e">
        <f ca="1">VLOOKUP($AP40,OFFSET([1]unit_skills!$A$1,0,0,COUNTA([1]unit_skills!$A:$A),MATCH("comment",[1]unit_skills!$1:$1,0)-MATCH($AP$1,[1]unit_skills!$1:$1,0)+1),MATCH("comment",[1]unit_skills!$1:$1,0)-MATCH($AP$1,[1]unit_skills!$1:$1,0)+1,FALSE)</f>
        <v>#VALUE!</v>
      </c>
      <c r="AS40" s="77" t="e">
        <f ca="1">VLOOKUP($AP40,OFFSET([1]unit_skills!$A$1,0,0,COUNTA([1]unit_skills!$A:$A),MATCH(AS$1,[1]unit_skills!$1:$1,0)-MATCH($AP$1,[1]unit_skills!$1:$1,0)+1),MATCH(AS$1,[1]unit_skills!$1:$1,0)-MATCH($AP$1,[1]unit_skills!$1:$1,0)+1,FALSE)</f>
        <v>#VALUE!</v>
      </c>
      <c r="AT40" s="97">
        <v>444001</v>
      </c>
      <c r="AU40" s="77" t="e">
        <f ca="1">VLOOKUP($AT40,OFFSET([1]crash_skills!$A$1,0,0,COUNTA([1]crash_skills!$A:$A),MATCH("name",[1]crash_skills!$1:$1,0)-MATCH($AT$1,[1]crash_skills!$1:$1,0)+1),MATCH("name",[1]crash_skills!$1:$1,0)-MATCH($AT$1,[1]crash_skills!$1:$1,0)+1,FALSE)</f>
        <v>#VALUE!</v>
      </c>
      <c r="AV40" s="77" t="e">
        <f ca="1">VLOOKUP($AT40,OFFSET([1]crash_skills!$A$1,0,0,COUNTA([1]crash_skills!$A:$A),MATCH("comment",[1]crash_skills!$1:$1,0)-MATCH($AT$1,[1]crash_skills!$1:$1,0)+1),MATCH("comment",[1]crash_skills!$1:$1,0)-MATCH($AT$1,[1]crash_skills!$1:$1,0)+1,FALSE)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0" s="77" t="e">
        <f ca="1">VLOOKUP($AT40,OFFSET([1]crash_skills!$A$1,0,0,COUNTA([1]crash_skills!$A:$A),MATCH(AW$1,[1]crash_skills!$1:$1,0)-MATCH($AT$1,[1]crash_skills!$1:$1,0)+1),MATCH(AW$1,[1]crash_skills!$1:$1,0)-MATCH($AT$1,[1]crash_skills!$1:$1,0)+1,FALSE)</f>
        <v>#VALUE!</v>
      </c>
      <c r="AX40" s="81">
        <f ca="1">VLOOKUP($A40,OFFSET([2]characters!$A$1,0,0,COUNTA([2]characters!$A:$A),MATCH(AX$1,[2]characters!$1:$1,0)-MATCH($A$1,[2]characters!$1:$1,0)+1),MATCH(AX$1,[2]characters!$1:$1,0)-MATCH($A$1,[2]characters!$1:$1,0)+1,FALSE)</f>
        <v>3</v>
      </c>
      <c r="AY40" s="19">
        <v>1</v>
      </c>
      <c r="AZ40" s="19">
        <v>1</v>
      </c>
      <c r="BA40" s="19">
        <v>0</v>
      </c>
      <c r="BB40" s="19">
        <v>1</v>
      </c>
      <c r="BC40" s="14">
        <f ca="1">INDEX('RC6SV'!$A$1:$G$20,MATCH(H40,'RC6SV'!$A$1:$A$20,FALSE),MATCH(G40,'RC6SV'!$A$1:$G$1,FALSE))</f>
        <v>3000</v>
      </c>
      <c r="BD40" s="63">
        <f t="shared" ca="1" si="4"/>
        <v>3000</v>
      </c>
      <c r="BE40" s="14">
        <f t="shared" ca="1" si="5"/>
        <v>0</v>
      </c>
      <c r="BF40" s="14">
        <f t="shared" ca="1" si="6"/>
        <v>1</v>
      </c>
      <c r="BG40" s="20">
        <f ca="1">IF($BE40&lt;=0,ROUND(BK40*0.5,0), ROUND($BE40*S40*AA40*J40*AY40*0.8*[2]ステータス!$B$2,0))</f>
        <v>691</v>
      </c>
      <c r="BH40" s="20">
        <f ca="1">IF($BE40&lt;=0,ROUND(BL40*0.5,0), ROUND($BE40*T40*AB40*K40*AZ40*0.8*[2]ステータス!$C$2,0))</f>
        <v>450</v>
      </c>
      <c r="BI40" s="20">
        <f ca="1">IF($BE40&lt;=0,ROUND(BM40*0.5,0), ROUND($BE40*U40*AC40*L40*BA40*0.8*[2]ステータス!$D$2,0))</f>
        <v>0</v>
      </c>
      <c r="BJ40" s="20">
        <f ca="1">IF($BE40&lt;=0,ROUND(BN40*0.5,0), ROUND($BE40*V40*AD40*M40*BB40*0.8*[2]ステータス!$E$2,0))</f>
        <v>406</v>
      </c>
      <c r="BK40" s="14">
        <f ca="1">ROUND(BD40*S40*AA40*J40*AY40*[2]ステータス!$B$2,0)</f>
        <v>1382</v>
      </c>
      <c r="BL40" s="14">
        <f ca="1">ROUND(BD40*T40*AB40*K40*AZ40*[2]ステータス!$C$2,0)</f>
        <v>900</v>
      </c>
      <c r="BM40" s="14">
        <f ca="1">ROUND(BD40*U40*AC40*L40*BA40*[2]ステータス!$D$2,0)</f>
        <v>0</v>
      </c>
      <c r="BN40" s="14">
        <f ca="1">ROUND(BD40*V40*AD40*M40*BB40*[2]ステータス!$E$2,0)</f>
        <v>811</v>
      </c>
      <c r="BO40" s="13">
        <v>0</v>
      </c>
      <c r="BP40" s="13">
        <v>1</v>
      </c>
      <c r="BQ40" s="13" t="s">
        <v>102</v>
      </c>
      <c r="BR40" s="13">
        <f ca="1">VLOOKUP(H40,ghosts_label!$A$2:$B$19,2,FALSE)</f>
        <v>1</v>
      </c>
    </row>
    <row r="41" spans="1:70" ht="21" customHeight="1" x14ac:dyDescent="0.15">
      <c r="A41" s="14">
        <f t="shared" ca="1" si="0"/>
        <v>40</v>
      </c>
      <c r="B41" s="77" t="str">
        <f ca="1">VLOOKUP($A41,OFFSET([2]characters!$A$1,0,0,COUNTA([2]characters!$A:$A),MATCH(B$1,[2]characters!$1:$1,0)-MATCH($A$1,[2]characters!$1:$1,0)+1),MATCH(B$1,[2]characters!$1:$1,0)-MATCH($A$1,[2]characters!$1:$1,0)+1,FALSE)</f>
        <v>デジタルマジシャン マーロン</v>
      </c>
      <c r="C41" s="77" t="str">
        <f ca="1">VLOOKUP($A41,OFFSET([2]characters!$A$1,0,0,COUNTA([2]characters!$A:$A),MATCH(C$1,[2]characters!$1:$1,0)-MATCH($A$1,[2]characters!$1:$1,0)+1),MATCH(C$1,[2]characters!$1:$1,0)-MATCH($A$1,[2]characters!$1:$1,0)+1,FALSE)</f>
        <v>ノーマルクエスト</v>
      </c>
      <c r="D41" s="77" t="str">
        <f ca="1">VLOOKUP($A41,OFFSET([2]characters!$A$1,0,0,COUNTA([2]characters!$A:$A),MATCH(D$1,[2]characters!$1:$1,0)-MATCH($A$1,[2]characters!$1:$1,0)+1),MATCH(D$1,[2]characters!$1:$1,0)-MATCH($A$1,[2]characters!$1:$1,0)+1,FALSE)</f>
        <v>アバター</v>
      </c>
      <c r="E41" s="77" t="str">
        <f ca="1">VLOOKUP($A41,OFFSET([2]characters!$A$1,0,0,COUNTA([2]characters!$A:$A),MATCH(E$1,[2]characters!$1:$1,0)-MATCH($A$1,[2]characters!$1:$1,0)+1),MATCH(E$1,[2]characters!$1:$1,0)-MATCH($A$1,[2]characters!$1:$1,0)+1,FALSE)</f>
        <v>世界観</v>
      </c>
      <c r="F41" s="77" t="str">
        <f ca="1">VLOOKUP($A41,OFFSET([2]characters!$A$1,0,0,COUNTA([2]characters!$A:$A),MATCH(F$1,[2]characters!$1:$1,0)-MATCH($A$1,[2]characters!$1:$1,0)+1),MATCH(F$1,[2]characters!$1:$1,0)-MATCH($A$1,[2]characters!$1:$1,0)+1,FALSE)</f>
        <v>男性</v>
      </c>
      <c r="G41" s="77">
        <f ca="1">VLOOKUP($A41,OFFSET([2]characters!$A$1,0,0,COUNTA([2]characters!$A:$A),MATCH(G$1,[2]characters!$1:$1,0)-MATCH($A$1,[2]characters!$1:$1,0)+1),MATCH(G$1,[2]characters!$1:$1,0)-MATCH($A$1,[2]characters!$1:$1,0)+1,FALSE)</f>
        <v>3</v>
      </c>
      <c r="H41" s="77" t="str">
        <f ca="1">VLOOKUP($A41,OFFSET([2]characters!$A$1,0,0,COUNTA([2]characters!$A:$A),MATCH(H$1,[2]characters!$1:$1,0)-MATCH($A$1,[2]characters!$1:$1,0)+1),MATCH(H$1,[2]characters!$1:$1,0)-MATCH($A$1,[2]characters!$1:$1,0)+1,FALSE)</f>
        <v>Drop1S</v>
      </c>
      <c r="I41" s="77" t="str">
        <f ca="1">VLOOKUP($A41,OFFSET([2]characters!$A$1,0,0,COUNTA([2]characters!$A:$A),MATCH(I$1,[2]characters!$1:$1,0)-MATCH($A$1,[2]characters!$1:$1,0)+1),MATCH(I$1,[2]characters!$1:$1,0)-MATCH($A$1,[2]characters!$1:$1,0)+1,FALSE)</f>
        <v>yellow</v>
      </c>
      <c r="J41" s="14">
        <f ca="1">VLOOKUP(I41,[2]属性!$A:$E,2,FALSE)</f>
        <v>0.98</v>
      </c>
      <c r="K41" s="14">
        <f ca="1">VLOOKUP(I41,[2]属性!$A:$E,3,FALSE)</f>
        <v>1.01</v>
      </c>
      <c r="L41" s="14">
        <f ca="1">VLOOKUP(I41,[2]属性!$A:$E,4,FALSE)</f>
        <v>1</v>
      </c>
      <c r="M41" s="14">
        <f ca="1">VLOOKUP(I41,[2]属性!$A:$E,5,FALSE)</f>
        <v>1.01</v>
      </c>
      <c r="N41" s="14">
        <f ca="1">INDEX(コスト!$A$1:$I$20,MATCH(H41,コスト!$A$1:$A$20,FALSE),MATCH(G41,コスト!$A$1:$I$1,FALSE))</f>
        <v>6</v>
      </c>
      <c r="O41" s="14">
        <f ca="1">INDEX(レベル!$A$1:$I$21,MATCH(H41,レベル!$A$1:$A$21,FALSE),MATCH(G41,レベル!$A$1:$I$1,FALSE))</f>
        <v>40</v>
      </c>
      <c r="P41" s="63">
        <f t="shared" ca="1" si="7"/>
        <v>45</v>
      </c>
      <c r="Q41" s="77" t="str">
        <f ca="1">VLOOKUP($A41,OFFSET([2]characters!$A$1,0,0,COUNTA([2]characters!$A:$A),MATCH(Q$1,[2]characters!$1:$1,0)-MATCH($A$1,[2]characters!$1:$1,0)+1),MATCH(Q$1,[2]characters!$1:$1,0)-MATCH($A$1,[2]characters!$1:$1,0)+1,FALSE)</f>
        <v>balance</v>
      </c>
      <c r="R41" s="8" t="str">
        <f ca="1">VLOOKUP(Q41,[2]character_type_i18n!$A:$H,3,FALSE)</f>
        <v>バランスタイプ</v>
      </c>
      <c r="S41" s="14">
        <f ca="1">VLOOKUP(Q41,[2]character_type_i18n!$A:$H,4,FALSE)</f>
        <v>1</v>
      </c>
      <c r="T41" s="14">
        <f ca="1">VLOOKUP(Q41,[2]character_type_i18n!$A:$H,5,FALSE)</f>
        <v>1</v>
      </c>
      <c r="U41" s="14">
        <f ca="1">VLOOKUP(Q41,[2]character_type_i18n!$A:$H,6,FALSE)</f>
        <v>1</v>
      </c>
      <c r="V41" s="14">
        <f ca="1">VLOOKUP(Q41,[2]character_type_i18n!$A:$H,7,FALSE)</f>
        <v>1</v>
      </c>
      <c r="W41" s="77" t="str">
        <f ca="1">VLOOKUP($A41,OFFSET([2]characters!$A$1,0,0,COUNTA([2]characters!$A:$A),MATCH(W$1,[2]characters!$1:$1,0)-MATCH($A$1,[2]characters!$1:$1,0)+1),MATCH(W$1,[2]characters!$1:$1,0)-MATCH($A$1,[2]characters!$1:$1,0)+1,FALSE)</f>
        <v>human</v>
      </c>
      <c r="X41" s="8" t="str">
        <f ca="1">VLOOKUP(W41,[2]character_tribe_i18n!$A:$H,3,FALSE)</f>
        <v>ヒューマン</v>
      </c>
      <c r="Y41" s="77" t="str">
        <f ca="1">VLOOKUP($A41,OFFSET([2]characters!$A$1,0,0,COUNTA([2]characters!$A:$A),MATCH(Y$1,[2]characters!$1:$1,0)-MATCH($A$1,[2]characters!$1:$1,0)+1),MATCH(Y$1,[2]characters!$1:$1,0)-MATCH($A$1,[2]characters!$1:$1,0)+1,FALSE)</f>
        <v>none</v>
      </c>
      <c r="Z41" s="8" t="str">
        <f ca="1">VLOOKUP(Y41,[2]character_tribe_i18n!$A:$H,3,FALSE)</f>
        <v>種族なし</v>
      </c>
      <c r="AA41" s="14">
        <f ca="1">VLOOKUP(W41,[2]character_tribe_i18n!$A:$H,4,FALSE)</f>
        <v>0.94</v>
      </c>
      <c r="AB41" s="14">
        <f ca="1">VLOOKUP(W41,[2]character_tribe_i18n!$A:$H,5,FALSE)</f>
        <v>0.99</v>
      </c>
      <c r="AC41" s="14">
        <f ca="1">VLOOKUP(W41,[2]character_tribe_i18n!$A:$H,6,FALSE)</f>
        <v>1</v>
      </c>
      <c r="AD41" s="14">
        <f ca="1">VLOOKUP(W41,[2]character_tribe_i18n!$A:$H,7,FALSE)</f>
        <v>1.07</v>
      </c>
      <c r="AE41" s="12" t="s">
        <v>102</v>
      </c>
      <c r="AF41" s="85" t="str">
        <f ca="1">IF(AE41="NULL","",VLOOKUP($AE41,OFFSET([2]characters!$A$1,0,0,COUNTA([2]characters!$A:$A),MATCH(AF$1,[2]characters!$1:$1,0)-MATCH($A$1,[2]characters!$1:$1,0)+1),MATCH(AF$1,[2]characters!$1:$1,0)-MATCH($A$1,[2]characters!$1:$1,0)+1,FALSE))</f>
        <v/>
      </c>
      <c r="AG41" s="8">
        <f t="shared" ca="1" si="2"/>
        <v>39</v>
      </c>
      <c r="AH41" s="85" t="str">
        <f ca="1">VLOOKUP($AG41,OFFSET([2]characters!$A$1,0,0,COUNTA([2]characters!$A:$A),MATCH(AH$1,[2]characters!$1:$1,0)-MATCH($A$1,[2]characters!$1:$1,0)+1),MATCH(AH$1,[2]characters!$1:$1,0)-MATCH($A$1,[2]characters!$1:$1,0)+1,FALSE)</f>
        <v>マーロン</v>
      </c>
      <c r="AI41" s="14" t="str">
        <f>IF(AE41="NULL","NULL",VLOOKUP(G41,ビット!$A$2:$B$7,2))</f>
        <v>NULL</v>
      </c>
      <c r="AJ41" s="9">
        <v>2</v>
      </c>
      <c r="AK41" s="10" t="str">
        <f t="shared" si="3"/>
        <v>普通</v>
      </c>
      <c r="AL41" s="14" t="str">
        <f ca="1">INDEX(経験値!$A$1:$I$20,MATCH(H41,経験値!$A$1:$A$20,FALSE),MATCH(G41,経験値!$A$1:$I$1,FALSE))</f>
        <v>required_exp_150</v>
      </c>
      <c r="AM41" s="11">
        <f ca="1">VLOOKUP(G41,経験値!$A$27:$B$31,2)</f>
        <v>1500</v>
      </c>
      <c r="AN41" s="21">
        <f ca="1">VLOOKUP(G41,ビット!$G$2:$H$7,2)</f>
        <v>300</v>
      </c>
      <c r="AO41" s="64" t="s">
        <v>197</v>
      </c>
      <c r="AP41" s="97">
        <v>134003</v>
      </c>
      <c r="AQ41" s="77" t="e">
        <f ca="1">VLOOKUP($AP41,OFFSET([1]unit_skills!$A$1,0,0,COUNTA([1]unit_skills!$A:$A),MATCH("name",[1]unit_skills!$1:$1,0)-MATCH($AP$1,[1]unit_skills!$1:$1,0)+1),MATCH("name",[1]unit_skills!$1:$1,0)-MATCH($AP$1,[1]unit_skills!$1:$1,0)+1,FALSE)</f>
        <v>#VALUE!</v>
      </c>
      <c r="AR41" s="77" t="e">
        <f ca="1">VLOOKUP($AP41,OFFSET([1]unit_skills!$A$1,0,0,COUNTA([1]unit_skills!$A:$A),MATCH("comment",[1]unit_skills!$1:$1,0)-MATCH($AP$1,[1]unit_skills!$1:$1,0)+1),MATCH("comment",[1]unit_skills!$1:$1,0)-MATCH($AP$1,[1]unit_skills!$1:$1,0)+1,FALSE)</f>
        <v>#VALUE!</v>
      </c>
      <c r="AS41" s="77" t="e">
        <f ca="1">VLOOKUP($AP41,OFFSET([1]unit_skills!$A$1,0,0,COUNTA([1]unit_skills!$A:$A),MATCH(AS$1,[1]unit_skills!$1:$1,0)-MATCH($AP$1,[1]unit_skills!$1:$1,0)+1),MATCH(AS$1,[1]unit_skills!$1:$1,0)-MATCH($AP$1,[1]unit_skills!$1:$1,0)+1,FALSE)</f>
        <v>#VALUE!</v>
      </c>
      <c r="AT41" s="97">
        <v>444002</v>
      </c>
      <c r="AU41" s="77" t="e">
        <f ca="1">VLOOKUP($AT41,OFFSET([1]crash_skills!$A$1,0,0,COUNTA([1]crash_skills!$A:$A),MATCH("name",[1]crash_skills!$1:$1,0)-MATCH($AT$1,[1]crash_skills!$1:$1,0)+1),MATCH("name",[1]crash_skills!$1:$1,0)-MATCH($AT$1,[1]crash_skills!$1:$1,0)+1,FALSE)</f>
        <v>#VALUE!</v>
      </c>
      <c r="AV41" s="77" t="e">
        <f ca="1">VLOOKUP($AT41,OFFSET([1]crash_skills!$A$1,0,0,COUNTA([1]crash_skills!$A:$A),MATCH("comment",[1]crash_skills!$1:$1,0)-MATCH($AT$1,[1]crash_skills!$1:$1,0)+1),MATCH("comment",[1]crash_skills!$1:$1,0)-MATCH($AT$1,[1]crash_skills!$1:$1,0)+1,FALSE)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1" s="77" t="e">
        <f ca="1">VLOOKUP($AT41,OFFSET([1]crash_skills!$A$1,0,0,COUNTA([1]crash_skills!$A:$A),MATCH(AW$1,[1]crash_skills!$1:$1,0)-MATCH($AT$1,[1]crash_skills!$1:$1,0)+1),MATCH(AW$1,[1]crash_skills!$1:$1,0)-MATCH($AT$1,[1]crash_skills!$1:$1,0)+1,FALSE)</f>
        <v>#VALUE!</v>
      </c>
      <c r="AX41" s="81">
        <f ca="1">VLOOKUP($A41,OFFSET([2]characters!$A$1,0,0,COUNTA([2]characters!$A:$A),MATCH(AX$1,[2]characters!$1:$1,0)-MATCH($A$1,[2]characters!$1:$1,0)+1),MATCH(AX$1,[2]characters!$1:$1,0)-MATCH($A$1,[2]characters!$1:$1,0)+1,FALSE)</f>
        <v>3</v>
      </c>
      <c r="AY41" s="19">
        <v>1</v>
      </c>
      <c r="AZ41" s="19">
        <v>1</v>
      </c>
      <c r="BA41" s="19">
        <v>0</v>
      </c>
      <c r="BB41" s="19">
        <v>1</v>
      </c>
      <c r="BC41" s="14">
        <f ca="1">INDEX('RC6SV'!$A$1:$G$20,MATCH(H41,'RC6SV'!$A$1:$A$20,FALSE),MATCH(G41,'RC6SV'!$A$1:$G$1,FALSE))</f>
        <v>4200</v>
      </c>
      <c r="BD41" s="63">
        <f t="shared" ca="1" si="4"/>
        <v>4200</v>
      </c>
      <c r="BE41" s="14">
        <f t="shared" ca="1" si="5"/>
        <v>3000</v>
      </c>
      <c r="BF41" s="14">
        <f t="shared" ca="1" si="6"/>
        <v>1</v>
      </c>
      <c r="BG41" s="20">
        <f ca="1">IF($BE41&lt;=0,ROUND(BK41*0.5,0), ROUND($BE41*S41*AA41*J41*AY41*0.8*[2]ステータス!$B$2,0))</f>
        <v>1105</v>
      </c>
      <c r="BH41" s="20">
        <f ca="1">IF($BE41&lt;=0,ROUND(BL41*0.5,0), ROUND($BE41*T41*AB41*K41*AZ41*0.8*[2]ステータス!$C$2,0))</f>
        <v>720</v>
      </c>
      <c r="BI41" s="20">
        <f ca="1">IF($BE41&lt;=0,ROUND(BM41*0.5,0), ROUND($BE41*U41*AC41*L41*BA41*0.8*[2]ステータス!$D$2,0))</f>
        <v>0</v>
      </c>
      <c r="BJ41" s="20">
        <f ca="1">IF($BE41&lt;=0,ROUND(BN41*0.5,0), ROUND($BE41*V41*AD41*M41*BB41*0.8*[2]ステータス!$E$2,0))</f>
        <v>648</v>
      </c>
      <c r="BK41" s="14">
        <f ca="1">ROUND(BD41*S41*AA41*J41*AY41*[2]ステータス!$B$2,0)</f>
        <v>1935</v>
      </c>
      <c r="BL41" s="14">
        <f ca="1">ROUND(BD41*T41*AB41*K41*AZ41*[2]ステータス!$C$2,0)</f>
        <v>1260</v>
      </c>
      <c r="BM41" s="14">
        <f ca="1">ROUND(BD41*U41*AC41*L41*BA41*[2]ステータス!$D$2,0)</f>
        <v>0</v>
      </c>
      <c r="BN41" s="14">
        <f ca="1">ROUND(BD41*V41*AD41*M41*BB41*[2]ステータス!$E$2,0)</f>
        <v>1135</v>
      </c>
      <c r="BO41" s="13">
        <v>0</v>
      </c>
      <c r="BP41" s="13">
        <v>1</v>
      </c>
      <c r="BQ41" s="13" t="s">
        <v>102</v>
      </c>
      <c r="BR41" s="13">
        <f ca="1">VLOOKUP(H41,ghosts_label!$A$2:$B$19,2,FALSE)</f>
        <v>1</v>
      </c>
    </row>
    <row r="42" spans="1:70" ht="21" customHeight="1" x14ac:dyDescent="0.15">
      <c r="A42" s="14">
        <f t="shared" ca="1" si="0"/>
        <v>41</v>
      </c>
      <c r="B42" s="77" t="str">
        <f ca="1">VLOOKUP($A42,OFFSET([2]characters!$A$1,0,0,COUNTA([2]characters!$A:$A),MATCH(B$1,[2]characters!$1:$1,0)-MATCH($A$1,[2]characters!$1:$1,0)+1),MATCH(B$1,[2]characters!$1:$1,0)-MATCH($A$1,[2]characters!$1:$1,0)+1,FALSE)</f>
        <v>ヒュウガ</v>
      </c>
      <c r="C42" s="77" t="str">
        <f ca="1">VLOOKUP($A42,OFFSET([2]characters!$A$1,0,0,COUNTA([2]characters!$A:$A),MATCH(C$1,[2]characters!$1:$1,0)-MATCH($A$1,[2]characters!$1:$1,0)+1),MATCH(C$1,[2]characters!$1:$1,0)-MATCH($A$1,[2]characters!$1:$1,0)+1,FALSE)</f>
        <v>ノーマルクエスト</v>
      </c>
      <c r="D42" s="77" t="str">
        <f ca="1">VLOOKUP($A42,OFFSET([2]characters!$A$1,0,0,COUNTA([2]characters!$A:$A),MATCH(D$1,[2]characters!$1:$1,0)-MATCH($A$1,[2]characters!$1:$1,0)+1),MATCH(D$1,[2]characters!$1:$1,0)-MATCH($A$1,[2]characters!$1:$1,0)+1,FALSE)</f>
        <v>アバター</v>
      </c>
      <c r="E42" s="77" t="str">
        <f ca="1">VLOOKUP($A42,OFFSET([2]characters!$A$1,0,0,COUNTA([2]characters!$A:$A),MATCH(E$1,[2]characters!$1:$1,0)-MATCH($A$1,[2]characters!$1:$1,0)+1),MATCH(E$1,[2]characters!$1:$1,0)-MATCH($A$1,[2]characters!$1:$1,0)+1,FALSE)</f>
        <v>世界観</v>
      </c>
      <c r="F42" s="77" t="str">
        <f ca="1">VLOOKUP($A42,OFFSET([2]characters!$A$1,0,0,COUNTA([2]characters!$A:$A),MATCH(F$1,[2]characters!$1:$1,0)-MATCH($A$1,[2]characters!$1:$1,0)+1),MATCH(F$1,[2]characters!$1:$1,0)-MATCH($A$1,[2]characters!$1:$1,0)+1,FALSE)</f>
        <v>不明</v>
      </c>
      <c r="G42" s="77">
        <f ca="1">VLOOKUP($A42,OFFSET([2]characters!$A$1,0,0,COUNTA([2]characters!$A:$A),MATCH(G$1,[2]characters!$1:$1,0)-MATCH($A$1,[2]characters!$1:$1,0)+1),MATCH(G$1,[2]characters!$1:$1,0)-MATCH($A$1,[2]characters!$1:$1,0)+1,FALSE)</f>
        <v>2</v>
      </c>
      <c r="H42" s="77" t="str">
        <f ca="1">VLOOKUP($A42,OFFSET([2]characters!$A$1,0,0,COUNTA([2]characters!$A:$A),MATCH(H$1,[2]characters!$1:$1,0)-MATCH($A$1,[2]characters!$1:$1,0)+1),MATCH(H$1,[2]characters!$1:$1,0)-MATCH($A$1,[2]characters!$1:$1,0)+1,FALSE)</f>
        <v>Drop1N</v>
      </c>
      <c r="I42" s="77" t="str">
        <f ca="1">VLOOKUP($A42,OFFSET([2]characters!$A$1,0,0,COUNTA([2]characters!$A:$A),MATCH(I$1,[2]characters!$1:$1,0)-MATCH($A$1,[2]characters!$1:$1,0)+1),MATCH(I$1,[2]characters!$1:$1,0)-MATCH($A$1,[2]characters!$1:$1,0)+1,FALSE)</f>
        <v>red</v>
      </c>
      <c r="J42" s="14">
        <f ca="1">VLOOKUP(I42,[2]属性!$A:$E,2,FALSE)</f>
        <v>1</v>
      </c>
      <c r="K42" s="14">
        <f ca="1">VLOOKUP(I42,[2]属性!$A:$E,3,FALSE)</f>
        <v>1.02</v>
      </c>
      <c r="L42" s="14">
        <f ca="1">VLOOKUP(I42,[2]属性!$A:$E,4,FALSE)</f>
        <v>1</v>
      </c>
      <c r="M42" s="14">
        <f ca="1">VLOOKUP(I42,[2]属性!$A:$E,5,FALSE)</f>
        <v>0.98</v>
      </c>
      <c r="N42" s="14">
        <f ca="1">INDEX(コスト!$A$1:$I$20,MATCH(H42,コスト!$A$1:$A$20,FALSE),MATCH(G42,コスト!$A$1:$I$1,FALSE))</f>
        <v>4</v>
      </c>
      <c r="O42" s="14">
        <f ca="1">INDEX(レベル!$A$1:$I$21,MATCH(H42,レベル!$A$1:$A$21,FALSE),MATCH(G42,レベル!$A$1:$I$1,FALSE))</f>
        <v>30</v>
      </c>
      <c r="P42" s="63">
        <f t="shared" ca="1" si="7"/>
        <v>30</v>
      </c>
      <c r="Q42" s="77" t="str">
        <f ca="1">VLOOKUP($A42,OFFSET([2]characters!$A$1,0,0,COUNTA([2]characters!$A:$A),MATCH(Q$1,[2]characters!$1:$1,0)-MATCH($A$1,[2]characters!$1:$1,0)+1),MATCH(Q$1,[2]characters!$1:$1,0)-MATCH($A$1,[2]characters!$1:$1,0)+1,FALSE)</f>
        <v>attack</v>
      </c>
      <c r="R42" s="8" t="str">
        <f ca="1">VLOOKUP(Q42,[2]character_type_i18n!$A:$H,3,FALSE)</f>
        <v>攻撃タイプ</v>
      </c>
      <c r="S42" s="14">
        <f ca="1">VLOOKUP(Q42,[2]character_type_i18n!$A:$H,4,FALSE)</f>
        <v>1</v>
      </c>
      <c r="T42" s="14">
        <f ca="1">VLOOKUP(Q42,[2]character_type_i18n!$A:$H,5,FALSE)</f>
        <v>1.33</v>
      </c>
      <c r="U42" s="14">
        <f ca="1">VLOOKUP(Q42,[2]character_type_i18n!$A:$H,6,FALSE)</f>
        <v>1</v>
      </c>
      <c r="V42" s="14">
        <f ca="1">VLOOKUP(Q42,[2]character_type_i18n!$A:$H,7,FALSE)</f>
        <v>0.67</v>
      </c>
      <c r="W42" s="77" t="str">
        <f ca="1">VLOOKUP($A42,OFFSET([2]characters!$A$1,0,0,COUNTA([2]characters!$A:$A),MATCH(W$1,[2]characters!$1:$1,0)-MATCH($A$1,[2]characters!$1:$1,0)+1),MATCH(W$1,[2]characters!$1:$1,0)-MATCH($A$1,[2]characters!$1:$1,0)+1,FALSE)</f>
        <v>dragon</v>
      </c>
      <c r="X42" s="8" t="str">
        <f ca="1">VLOOKUP(W42,[2]character_tribe_i18n!$A:$H,3,FALSE)</f>
        <v>ドラゴン</v>
      </c>
      <c r="Y42" s="77" t="str">
        <f ca="1">VLOOKUP($A42,OFFSET([2]characters!$A$1,0,0,COUNTA([2]characters!$A:$A),MATCH(Y$1,[2]characters!$1:$1,0)-MATCH($A$1,[2]characters!$1:$1,0)+1),MATCH(Y$1,[2]characters!$1:$1,0)-MATCH($A$1,[2]characters!$1:$1,0)+1,FALSE)</f>
        <v>none</v>
      </c>
      <c r="Z42" s="8" t="str">
        <f ca="1">VLOOKUP(Y42,[2]character_tribe_i18n!$A:$H,3,FALSE)</f>
        <v>種族なし</v>
      </c>
      <c r="AA42" s="14">
        <f ca="1">VLOOKUP(W42,[2]character_tribe_i18n!$A:$H,4,FALSE)</f>
        <v>1.1499999999999999</v>
      </c>
      <c r="AB42" s="14">
        <f ca="1">VLOOKUP(W42,[2]character_tribe_i18n!$A:$H,5,FALSE)</f>
        <v>1.1000000000000001</v>
      </c>
      <c r="AC42" s="14">
        <f ca="1">VLOOKUP(W42,[2]character_tribe_i18n!$A:$H,6,FALSE)</f>
        <v>1</v>
      </c>
      <c r="AD42" s="14">
        <f ca="1">VLOOKUP(W42,[2]character_tribe_i18n!$A:$H,7,FALSE)</f>
        <v>0.75</v>
      </c>
      <c r="AE42" s="12">
        <v>42</v>
      </c>
      <c r="AF42" s="85" t="str">
        <f ca="1">IF(AE42="NULL","",VLOOKUP($AE42,OFFSET([2]characters!$A$1,0,0,COUNTA([2]characters!$A:$A),MATCH(AF$1,[2]characters!$1:$1,0)-MATCH($A$1,[2]characters!$1:$1,0)+1),MATCH(AF$1,[2]characters!$1:$1,0)-MATCH($A$1,[2]characters!$1:$1,0)+1,FALSE))</f>
        <v>燃えゆる吐息 ヒュウガ</v>
      </c>
      <c r="AG42" s="8">
        <f t="shared" ca="1" si="2"/>
        <v>41</v>
      </c>
      <c r="AH42" s="85" t="str">
        <f ca="1">VLOOKUP($AG42,OFFSET([2]characters!$A$1,0,0,COUNTA([2]characters!$A:$A),MATCH(AH$1,[2]characters!$1:$1,0)-MATCH($A$1,[2]characters!$1:$1,0)+1),MATCH(AH$1,[2]characters!$1:$1,0)-MATCH($A$1,[2]characters!$1:$1,0)+1,FALSE)</f>
        <v>ヒュウガ</v>
      </c>
      <c r="AI42" s="14">
        <f ca="1">IF(AE42="NULL","NULL",VLOOKUP(G42,ビット!$A$2:$B$7,2))</f>
        <v>10000</v>
      </c>
      <c r="AJ42" s="9">
        <v>2</v>
      </c>
      <c r="AK42" s="10" t="str">
        <f t="shared" si="3"/>
        <v>普通</v>
      </c>
      <c r="AL42" s="14" t="str">
        <f ca="1">INDEX(経験値!$A$1:$I$20,MATCH(H42,経験値!$A$1:$A$20,FALSE),MATCH(G42,経験値!$A$1:$I$1,FALSE))</f>
        <v>required_exp_100</v>
      </c>
      <c r="AM42" s="11">
        <f ca="1">VLOOKUP(G42,経験値!$A$27:$B$31,2)</f>
        <v>600</v>
      </c>
      <c r="AN42" s="21">
        <f ca="1">VLOOKUP(G42,ビット!$G$2:$H$7,2)</f>
        <v>150</v>
      </c>
      <c r="AO42" s="64" t="s">
        <v>52</v>
      </c>
      <c r="AP42" s="101">
        <v>121011</v>
      </c>
      <c r="AQ42" s="77" t="e">
        <f ca="1">VLOOKUP($AP42,OFFSET([1]unit_skills!$A$1,0,0,COUNTA([1]unit_skills!$A:$A),MATCH("name",[1]unit_skills!$1:$1,0)-MATCH($AP$1,[1]unit_skills!$1:$1,0)+1),MATCH("name",[1]unit_skills!$1:$1,0)-MATCH($AP$1,[1]unit_skills!$1:$1,0)+1,FALSE)</f>
        <v>#VALUE!</v>
      </c>
      <c r="AR42" s="77" t="e">
        <f ca="1">VLOOKUP($AP42,OFFSET([1]unit_skills!$A$1,0,0,COUNTA([1]unit_skills!$A:$A),MATCH("comment",[1]unit_skills!$1:$1,0)-MATCH($AP$1,[1]unit_skills!$1:$1,0)+1),MATCH("comment",[1]unit_skills!$1:$1,0)-MATCH($AP$1,[1]unit_skills!$1:$1,0)+1,FALSE)</f>
        <v>#VALUE!</v>
      </c>
      <c r="AS42" s="77" t="e">
        <f ca="1">VLOOKUP($AP42,OFFSET([1]unit_skills!$A$1,0,0,COUNTA([1]unit_skills!$A:$A),MATCH(AS$1,[1]unit_skills!$1:$1,0)-MATCH($AP$1,[1]unit_skills!$1:$1,0)+1),MATCH(AS$1,[1]unit_skills!$1:$1,0)-MATCH($AP$1,[1]unit_skills!$1:$1,0)+1,FALSE)</f>
        <v>#VALUE!</v>
      </c>
      <c r="AT42" s="235">
        <v>41</v>
      </c>
      <c r="AU42" s="77" t="e">
        <f ca="1">VLOOKUP($AT42,OFFSET([1]crash_skills!$A$1,0,0,COUNTA([1]crash_skills!$A:$A),MATCH("name",[1]crash_skills!$1:$1,0)-MATCH($AT$1,[1]crash_skills!$1:$1,0)+1),MATCH("name",[1]crash_skills!$1:$1,0)-MATCH($AT$1,[1]crash_skills!$1:$1,0)+1,FALSE)</f>
        <v>#VALUE!</v>
      </c>
      <c r="AV42" s="77" t="e">
        <f ca="1">VLOOKUP($AT42,OFFSET([1]crash_skills!$A$1,0,0,COUNTA([1]crash_skills!$A:$A),MATCH("comment",[1]crash_skills!$1:$1,0)-MATCH($AT$1,[1]crash_skills!$1:$1,0)+1),MATCH("comment",[1]crash_skills!$1:$1,0)-MATCH($AT$1,[1]crash_skills!$1:$1,0)+1,FALSE)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2" s="77" t="e">
        <f ca="1">VLOOKUP($AT42,OFFSET([1]crash_skills!$A$1,0,0,COUNTA([1]crash_skills!$A:$A),MATCH(AW$1,[1]crash_skills!$1:$1,0)-MATCH($AT$1,[1]crash_skills!$1:$1,0)+1),MATCH(AW$1,[1]crash_skills!$1:$1,0)-MATCH($AT$1,[1]crash_skills!$1:$1,0)+1,FALSE)</f>
        <v>#VALUE!</v>
      </c>
      <c r="AX42" s="81">
        <f ca="1">VLOOKUP($A42,OFFSET([2]characters!$A$1,0,0,COUNTA([2]characters!$A:$A),MATCH(AX$1,[2]characters!$1:$1,0)-MATCH($A$1,[2]characters!$1:$1,0)+1),MATCH(AX$1,[2]characters!$1:$1,0)-MATCH($A$1,[2]characters!$1:$1,0)+1,FALSE)</f>
        <v>3</v>
      </c>
      <c r="AY42" s="19">
        <v>1</v>
      </c>
      <c r="AZ42" s="19">
        <v>1</v>
      </c>
      <c r="BA42" s="19">
        <v>0</v>
      </c>
      <c r="BB42" s="19">
        <v>1</v>
      </c>
      <c r="BC42" s="14">
        <f ca="1">INDEX('RC6SV'!$A$1:$G$20,MATCH(H42,'RC6SV'!$A$1:$A$20,FALSE),MATCH(G42,'RC6SV'!$A$1:$G$1,FALSE))</f>
        <v>2800</v>
      </c>
      <c r="BD42" s="63">
        <f t="shared" ca="1" si="4"/>
        <v>2800</v>
      </c>
      <c r="BE42" s="14">
        <f t="shared" ca="1" si="5"/>
        <v>0</v>
      </c>
      <c r="BF42" s="14">
        <f t="shared" ca="1" si="6"/>
        <v>1</v>
      </c>
      <c r="BG42" s="20">
        <f ca="1">IF($BE42&lt;=0,ROUND(BK42*0.5,0), ROUND($BE42*S42*AA42*J42*AY42*0.8*[2]ステータス!$B$2,0))</f>
        <v>805</v>
      </c>
      <c r="BH42" s="20">
        <f ca="1">IF($BE42&lt;=0,ROUND(BL42*0.5,0), ROUND($BE42*T42*AB42*K42*AZ42*0.8*[2]ステータス!$C$2,0))</f>
        <v>627</v>
      </c>
      <c r="BI42" s="20">
        <f ca="1">IF($BE42&lt;=0,ROUND(BM42*0.5,0), ROUND($BE42*U42*AC42*L42*BA42*0.8*[2]ステータス!$D$2,0))</f>
        <v>0</v>
      </c>
      <c r="BJ42" s="20">
        <f ca="1">IF($BE42&lt;=0,ROUND(BN42*0.5,0), ROUND($BE42*V42*AD42*M42*BB42*0.8*[2]ステータス!$E$2,0))</f>
        <v>173</v>
      </c>
      <c r="BK42" s="14">
        <f ca="1">ROUND(BD42*S42*AA42*J42*AY42*[2]ステータス!$B$2,0)</f>
        <v>1610</v>
      </c>
      <c r="BL42" s="14">
        <f ca="1">ROUND(BD42*T42*AB42*K42*AZ42*[2]ステータス!$C$2,0)</f>
        <v>1253</v>
      </c>
      <c r="BM42" s="14">
        <f ca="1">ROUND(BD42*U42*AC42*L42*BA42*[2]ステータス!$D$2,0)</f>
        <v>0</v>
      </c>
      <c r="BN42" s="14">
        <f ca="1">ROUND(BD42*V42*AD42*M42*BB42*[2]ステータス!$E$2,0)</f>
        <v>345</v>
      </c>
      <c r="BO42" s="13">
        <v>0</v>
      </c>
      <c r="BP42" s="13">
        <v>1</v>
      </c>
      <c r="BQ42" s="13" t="s">
        <v>102</v>
      </c>
      <c r="BR42" s="13">
        <f ca="1">VLOOKUP(H42,ghosts_label!$A$2:$B$19,2,FALSE)</f>
        <v>1</v>
      </c>
    </row>
    <row r="43" spans="1:70" ht="21" customHeight="1" x14ac:dyDescent="0.15">
      <c r="A43" s="14">
        <f t="shared" ca="1" si="0"/>
        <v>42</v>
      </c>
      <c r="B43" s="77" t="str">
        <f ca="1">VLOOKUP($A43,OFFSET([2]characters!$A$1,0,0,COUNTA([2]characters!$A:$A),MATCH(B$1,[2]characters!$1:$1,0)-MATCH($A$1,[2]characters!$1:$1,0)+1),MATCH(B$1,[2]characters!$1:$1,0)-MATCH($A$1,[2]characters!$1:$1,0)+1,FALSE)</f>
        <v>燃えゆる吐息 ヒュウガ</v>
      </c>
      <c r="C43" s="77" t="str">
        <f ca="1">VLOOKUP($A43,OFFSET([2]characters!$A$1,0,0,COUNTA([2]characters!$A:$A),MATCH(C$1,[2]characters!$1:$1,0)-MATCH($A$1,[2]characters!$1:$1,0)+1),MATCH(C$1,[2]characters!$1:$1,0)-MATCH($A$1,[2]characters!$1:$1,0)+1,FALSE)</f>
        <v>ノーマルクエスト</v>
      </c>
      <c r="D43" s="77" t="str">
        <f ca="1">VLOOKUP($A43,OFFSET([2]characters!$A$1,0,0,COUNTA([2]characters!$A:$A),MATCH(D$1,[2]characters!$1:$1,0)-MATCH($A$1,[2]characters!$1:$1,0)+1),MATCH(D$1,[2]characters!$1:$1,0)-MATCH($A$1,[2]characters!$1:$1,0)+1,FALSE)</f>
        <v>アバター</v>
      </c>
      <c r="E43" s="77" t="str">
        <f ca="1">VLOOKUP($A43,OFFSET([2]characters!$A$1,0,0,COUNTA([2]characters!$A:$A),MATCH(E$1,[2]characters!$1:$1,0)-MATCH($A$1,[2]characters!$1:$1,0)+1),MATCH(E$1,[2]characters!$1:$1,0)-MATCH($A$1,[2]characters!$1:$1,0)+1,FALSE)</f>
        <v>世界観</v>
      </c>
      <c r="F43" s="77" t="str">
        <f ca="1">VLOOKUP($A43,OFFSET([2]characters!$A$1,0,0,COUNTA([2]characters!$A:$A),MATCH(F$1,[2]characters!$1:$1,0)-MATCH($A$1,[2]characters!$1:$1,0)+1),MATCH(F$1,[2]characters!$1:$1,0)-MATCH($A$1,[2]characters!$1:$1,0)+1,FALSE)</f>
        <v>不明</v>
      </c>
      <c r="G43" s="77">
        <f ca="1">VLOOKUP($A43,OFFSET([2]characters!$A$1,0,0,COUNTA([2]characters!$A:$A),MATCH(G$1,[2]characters!$1:$1,0)-MATCH($A$1,[2]characters!$1:$1,0)+1),MATCH(G$1,[2]characters!$1:$1,0)-MATCH($A$1,[2]characters!$1:$1,0)+1,FALSE)</f>
        <v>3</v>
      </c>
      <c r="H43" s="77" t="str">
        <f ca="1">VLOOKUP($A43,OFFSET([2]characters!$A$1,0,0,COUNTA([2]characters!$A:$A),MATCH(H$1,[2]characters!$1:$1,0)-MATCH($A$1,[2]characters!$1:$1,0)+1),MATCH(H$1,[2]characters!$1:$1,0)-MATCH($A$1,[2]characters!$1:$1,0)+1,FALSE)</f>
        <v>Drop1N</v>
      </c>
      <c r="I43" s="77" t="str">
        <f ca="1">VLOOKUP($A43,OFFSET([2]characters!$A$1,0,0,COUNTA([2]characters!$A:$A),MATCH(I$1,[2]characters!$1:$1,0)-MATCH($A$1,[2]characters!$1:$1,0)+1),MATCH(I$1,[2]characters!$1:$1,0)-MATCH($A$1,[2]characters!$1:$1,0)+1,FALSE)</f>
        <v>red</v>
      </c>
      <c r="J43" s="14">
        <f ca="1">VLOOKUP(I43,[2]属性!$A:$E,2,FALSE)</f>
        <v>1</v>
      </c>
      <c r="K43" s="14">
        <f ca="1">VLOOKUP(I43,[2]属性!$A:$E,3,FALSE)</f>
        <v>1.02</v>
      </c>
      <c r="L43" s="14">
        <f ca="1">VLOOKUP(I43,[2]属性!$A:$E,4,FALSE)</f>
        <v>1</v>
      </c>
      <c r="M43" s="14">
        <f ca="1">VLOOKUP(I43,[2]属性!$A:$E,5,FALSE)</f>
        <v>0.98</v>
      </c>
      <c r="N43" s="14">
        <f ca="1">INDEX(コスト!$A$1:$I$20,MATCH(H43,コスト!$A$1:$A$20,FALSE),MATCH(G43,コスト!$A$1:$I$1,FALSE))</f>
        <v>6</v>
      </c>
      <c r="O43" s="14">
        <f ca="1">INDEX(レベル!$A$1:$I$21,MATCH(H43,レベル!$A$1:$A$21,FALSE),MATCH(G43,レベル!$A$1:$I$1,FALSE))</f>
        <v>40</v>
      </c>
      <c r="P43" s="63">
        <f t="shared" ca="1" si="7"/>
        <v>45</v>
      </c>
      <c r="Q43" s="77" t="str">
        <f ca="1">VLOOKUP($A43,OFFSET([2]characters!$A$1,0,0,COUNTA([2]characters!$A:$A),MATCH(Q$1,[2]characters!$1:$1,0)-MATCH($A$1,[2]characters!$1:$1,0)+1),MATCH(Q$1,[2]characters!$1:$1,0)-MATCH($A$1,[2]characters!$1:$1,0)+1,FALSE)</f>
        <v>attack</v>
      </c>
      <c r="R43" s="8" t="str">
        <f ca="1">VLOOKUP(Q43,[2]character_type_i18n!$A:$H,3,FALSE)</f>
        <v>攻撃タイプ</v>
      </c>
      <c r="S43" s="14">
        <f ca="1">VLOOKUP(Q43,[2]character_type_i18n!$A:$H,4,FALSE)</f>
        <v>1</v>
      </c>
      <c r="T43" s="14">
        <f ca="1">VLOOKUP(Q43,[2]character_type_i18n!$A:$H,5,FALSE)</f>
        <v>1.33</v>
      </c>
      <c r="U43" s="14">
        <f ca="1">VLOOKUP(Q43,[2]character_type_i18n!$A:$H,6,FALSE)</f>
        <v>1</v>
      </c>
      <c r="V43" s="14">
        <f ca="1">VLOOKUP(Q43,[2]character_type_i18n!$A:$H,7,FALSE)</f>
        <v>0.67</v>
      </c>
      <c r="W43" s="77" t="str">
        <f ca="1">VLOOKUP($A43,OFFSET([2]characters!$A$1,0,0,COUNTA([2]characters!$A:$A),MATCH(W$1,[2]characters!$1:$1,0)-MATCH($A$1,[2]characters!$1:$1,0)+1),MATCH(W$1,[2]characters!$1:$1,0)-MATCH($A$1,[2]characters!$1:$1,0)+1,FALSE)</f>
        <v>dragon</v>
      </c>
      <c r="X43" s="8" t="str">
        <f ca="1">VLOOKUP(W43,[2]character_tribe_i18n!$A:$H,3,FALSE)</f>
        <v>ドラゴン</v>
      </c>
      <c r="Y43" s="77" t="str">
        <f ca="1">VLOOKUP($A43,OFFSET([2]characters!$A$1,0,0,COUNTA([2]characters!$A:$A),MATCH(Y$1,[2]characters!$1:$1,0)-MATCH($A$1,[2]characters!$1:$1,0)+1),MATCH(Y$1,[2]characters!$1:$1,0)-MATCH($A$1,[2]characters!$1:$1,0)+1,FALSE)</f>
        <v>none</v>
      </c>
      <c r="Z43" s="8" t="str">
        <f ca="1">VLOOKUP(Y43,[2]character_tribe_i18n!$A:$H,3,FALSE)</f>
        <v>種族なし</v>
      </c>
      <c r="AA43" s="14">
        <f ca="1">VLOOKUP(W43,[2]character_tribe_i18n!$A:$H,4,FALSE)</f>
        <v>1.1499999999999999</v>
      </c>
      <c r="AB43" s="14">
        <f ca="1">VLOOKUP(W43,[2]character_tribe_i18n!$A:$H,5,FALSE)</f>
        <v>1.1000000000000001</v>
      </c>
      <c r="AC43" s="14">
        <f ca="1">VLOOKUP(W43,[2]character_tribe_i18n!$A:$H,6,FALSE)</f>
        <v>1</v>
      </c>
      <c r="AD43" s="14">
        <f ca="1">VLOOKUP(W43,[2]character_tribe_i18n!$A:$H,7,FALSE)</f>
        <v>0.75</v>
      </c>
      <c r="AE43" s="12">
        <v>510</v>
      </c>
      <c r="AF43" s="85" t="str">
        <f ca="1">IF(AE43="NULL","",VLOOKUP($AE43,OFFSET([2]characters!$A$1,0,0,COUNTA([2]characters!$A:$A),MATCH(AF$1,[2]characters!$1:$1,0)-MATCH($A$1,[2]characters!$1:$1,0)+1),MATCH(AF$1,[2]characters!$1:$1,0)-MATCH($A$1,[2]characters!$1:$1,0)+1,FALSE))</f>
        <v>燃えさかる豪息 ヒュウガ</v>
      </c>
      <c r="AG43" s="8">
        <f t="shared" ca="1" si="2"/>
        <v>41</v>
      </c>
      <c r="AH43" s="85" t="str">
        <f ca="1">VLOOKUP($AG43,OFFSET([2]characters!$A$1,0,0,COUNTA([2]characters!$A:$A),MATCH(AH$1,[2]characters!$1:$1,0)-MATCH($A$1,[2]characters!$1:$1,0)+1),MATCH(AH$1,[2]characters!$1:$1,0)-MATCH($A$1,[2]characters!$1:$1,0)+1,FALSE)</f>
        <v>ヒュウガ</v>
      </c>
      <c r="AI43" s="14">
        <f ca="1">IF(AE43="NULL","NULL",VLOOKUP(G43,ビット!$A$2:$B$7,2))</f>
        <v>20000</v>
      </c>
      <c r="AJ43" s="9">
        <v>2</v>
      </c>
      <c r="AK43" s="10" t="str">
        <f t="shared" si="3"/>
        <v>普通</v>
      </c>
      <c r="AL43" s="14" t="str">
        <f ca="1">INDEX(経験値!$A$1:$I$20,MATCH(H43,経験値!$A$1:$A$20,FALSE),MATCH(G43,経験値!$A$1:$I$1,FALSE))</f>
        <v>required_exp_100</v>
      </c>
      <c r="AM43" s="11">
        <f ca="1">VLOOKUP(G43,経験値!$A$27:$B$31,2)</f>
        <v>1500</v>
      </c>
      <c r="AN43" s="21">
        <f ca="1">VLOOKUP(G43,ビット!$G$2:$H$7,2)</f>
        <v>300</v>
      </c>
      <c r="AO43" s="64" t="s">
        <v>52</v>
      </c>
      <c r="AP43" s="101">
        <v>121012</v>
      </c>
      <c r="AQ43" s="77" t="e">
        <f ca="1">VLOOKUP($AP43,OFFSET([1]unit_skills!$A$1,0,0,COUNTA([1]unit_skills!$A:$A),MATCH("name",[1]unit_skills!$1:$1,0)-MATCH($AP$1,[1]unit_skills!$1:$1,0)+1),MATCH("name",[1]unit_skills!$1:$1,0)-MATCH($AP$1,[1]unit_skills!$1:$1,0)+1,FALSE)</f>
        <v>#VALUE!</v>
      </c>
      <c r="AR43" s="77" t="e">
        <f ca="1">VLOOKUP($AP43,OFFSET([1]unit_skills!$A$1,0,0,COUNTA([1]unit_skills!$A:$A),MATCH("comment",[1]unit_skills!$1:$1,0)-MATCH($AP$1,[1]unit_skills!$1:$1,0)+1),MATCH("comment",[1]unit_skills!$1:$1,0)-MATCH($AP$1,[1]unit_skills!$1:$1,0)+1,FALSE)</f>
        <v>#VALUE!</v>
      </c>
      <c r="AS43" s="77" t="e">
        <f ca="1">VLOOKUP($AP43,OFFSET([1]unit_skills!$A$1,0,0,COUNTA([1]unit_skills!$A:$A),MATCH(AS$1,[1]unit_skills!$1:$1,0)-MATCH($AP$1,[1]unit_skills!$1:$1,0)+1),MATCH(AS$1,[1]unit_skills!$1:$1,0)-MATCH($AP$1,[1]unit_skills!$1:$1,0)+1,FALSE)</f>
        <v>#VALUE!</v>
      </c>
      <c r="AT43" s="235">
        <v>42</v>
      </c>
      <c r="AU43" s="77" t="e">
        <f ca="1">VLOOKUP($AT43,OFFSET([1]crash_skills!$A$1,0,0,COUNTA([1]crash_skills!$A:$A),MATCH("name",[1]crash_skills!$1:$1,0)-MATCH($AT$1,[1]crash_skills!$1:$1,0)+1),MATCH("name",[1]crash_skills!$1:$1,0)-MATCH($AT$1,[1]crash_skills!$1:$1,0)+1,FALSE)</f>
        <v>#VALUE!</v>
      </c>
      <c r="AV43" s="77" t="e">
        <f ca="1">VLOOKUP($AT43,OFFSET([1]crash_skills!$A$1,0,0,COUNTA([1]crash_skills!$A:$A),MATCH("comment",[1]crash_skills!$1:$1,0)-MATCH($AT$1,[1]crash_skills!$1:$1,0)+1),MATCH("comment",[1]crash_skills!$1:$1,0)-MATCH($AT$1,[1]crash_skills!$1:$1,0)+1,FALSE)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3" s="77" t="e">
        <f ca="1">VLOOKUP($AT43,OFFSET([1]crash_skills!$A$1,0,0,COUNTA([1]crash_skills!$A:$A),MATCH(AW$1,[1]crash_skills!$1:$1,0)-MATCH($AT$1,[1]crash_skills!$1:$1,0)+1),MATCH(AW$1,[1]crash_skills!$1:$1,0)-MATCH($AT$1,[1]crash_skills!$1:$1,0)+1,FALSE)</f>
        <v>#VALUE!</v>
      </c>
      <c r="AX43" s="81">
        <f ca="1">VLOOKUP($A43,OFFSET([2]characters!$A$1,0,0,COUNTA([2]characters!$A:$A),MATCH(AX$1,[2]characters!$1:$1,0)-MATCH($A$1,[2]characters!$1:$1,0)+1),MATCH(AX$1,[2]characters!$1:$1,0)-MATCH($A$1,[2]characters!$1:$1,0)+1,FALSE)</f>
        <v>3</v>
      </c>
      <c r="AY43" s="19">
        <v>1</v>
      </c>
      <c r="AZ43" s="19">
        <v>1</v>
      </c>
      <c r="BA43" s="19">
        <v>0</v>
      </c>
      <c r="BB43" s="19">
        <v>1</v>
      </c>
      <c r="BC43" s="14">
        <f ca="1">INDEX('RC6SV'!$A$1:$G$20,MATCH(H43,'RC6SV'!$A$1:$A$20,FALSE),MATCH(G43,'RC6SV'!$A$1:$G$1,FALSE))</f>
        <v>4000</v>
      </c>
      <c r="BD43" s="63">
        <f t="shared" ca="1" si="4"/>
        <v>4000</v>
      </c>
      <c r="BE43" s="14">
        <f t="shared" ca="1" si="5"/>
        <v>2800</v>
      </c>
      <c r="BF43" s="14">
        <f t="shared" ca="1" si="6"/>
        <v>1</v>
      </c>
      <c r="BG43" s="20">
        <f ca="1">IF($BE43&lt;=0,ROUND(BK43*0.5,0), ROUND($BE43*S43*AA43*J43*AY43*0.8*[2]ステータス!$B$2,0))</f>
        <v>1288</v>
      </c>
      <c r="BH43" s="20">
        <f ca="1">IF($BE43&lt;=0,ROUND(BL43*0.5,0), ROUND($BE43*T43*AB43*K43*AZ43*0.8*[2]ステータス!$C$2,0))</f>
        <v>1003</v>
      </c>
      <c r="BI43" s="20">
        <f ca="1">IF($BE43&lt;=0,ROUND(BM43*0.5,0), ROUND($BE43*U43*AC43*L43*BA43*0.8*[2]ステータス!$D$2,0))</f>
        <v>0</v>
      </c>
      <c r="BJ43" s="20">
        <f ca="1">IF($BE43&lt;=0,ROUND(BN43*0.5,0), ROUND($BE43*V43*AD43*M43*BB43*0.8*[2]ステータス!$E$2,0))</f>
        <v>276</v>
      </c>
      <c r="BK43" s="14">
        <f ca="1">ROUND(BD43*S43*AA43*J43*AY43*[2]ステータス!$B$2,0)</f>
        <v>2300</v>
      </c>
      <c r="BL43" s="14">
        <f ca="1">ROUND(BD43*T43*AB43*K43*AZ43*[2]ステータス!$C$2,0)</f>
        <v>1791</v>
      </c>
      <c r="BM43" s="14">
        <f ca="1">ROUND(BD43*U43*AC43*L43*BA43*[2]ステータス!$D$2,0)</f>
        <v>0</v>
      </c>
      <c r="BN43" s="14">
        <f ca="1">ROUND(BD43*V43*AD43*M43*BB43*[2]ステータス!$E$2,0)</f>
        <v>492</v>
      </c>
      <c r="BO43" s="13">
        <v>0</v>
      </c>
      <c r="BP43" s="13">
        <v>1</v>
      </c>
      <c r="BQ43" s="13" t="s">
        <v>102</v>
      </c>
      <c r="BR43" s="13">
        <f ca="1">VLOOKUP(H43,ghosts_label!$A$2:$B$19,2,FALSE)</f>
        <v>1</v>
      </c>
    </row>
    <row r="44" spans="1:70" ht="21" customHeight="1" x14ac:dyDescent="0.15">
      <c r="A44" s="14">
        <f t="shared" ca="1" si="0"/>
        <v>43</v>
      </c>
      <c r="B44" s="77" t="str">
        <f ca="1">VLOOKUP($A44,OFFSET([2]characters!$A$1,0,0,COUNTA([2]characters!$A:$A),MATCH(B$1,[2]characters!$1:$1,0)-MATCH($A$1,[2]characters!$1:$1,0)+1),MATCH(B$1,[2]characters!$1:$1,0)-MATCH($A$1,[2]characters!$1:$1,0)+1,FALSE)</f>
        <v>ムゥ</v>
      </c>
      <c r="C44" s="77" t="str">
        <f ca="1">VLOOKUP($A44,OFFSET([2]characters!$A$1,0,0,COUNTA([2]characters!$A:$A),MATCH(C$1,[2]characters!$1:$1,0)-MATCH($A$1,[2]characters!$1:$1,0)+1),MATCH(C$1,[2]characters!$1:$1,0)-MATCH($A$1,[2]characters!$1:$1,0)+1,FALSE)</f>
        <v>ノーマルクエスト</v>
      </c>
      <c r="D44" s="77" t="str">
        <f ca="1">VLOOKUP($A44,OFFSET([2]characters!$A$1,0,0,COUNTA([2]characters!$A:$A),MATCH(D$1,[2]characters!$1:$1,0)-MATCH($A$1,[2]characters!$1:$1,0)+1),MATCH(D$1,[2]characters!$1:$1,0)-MATCH($A$1,[2]characters!$1:$1,0)+1,FALSE)</f>
        <v>アバター</v>
      </c>
      <c r="E44" s="77" t="str">
        <f ca="1">VLOOKUP($A44,OFFSET([2]characters!$A$1,0,0,COUNTA([2]characters!$A:$A),MATCH(E$1,[2]characters!$1:$1,0)-MATCH($A$1,[2]characters!$1:$1,0)+1),MATCH(E$1,[2]characters!$1:$1,0)-MATCH($A$1,[2]characters!$1:$1,0)+1,FALSE)</f>
        <v>世界観</v>
      </c>
      <c r="F44" s="77" t="str">
        <f ca="1">VLOOKUP($A44,OFFSET([2]characters!$A$1,0,0,COUNTA([2]characters!$A:$A),MATCH(F$1,[2]characters!$1:$1,0)-MATCH($A$1,[2]characters!$1:$1,0)+1),MATCH(F$1,[2]characters!$1:$1,0)-MATCH($A$1,[2]characters!$1:$1,0)+1,FALSE)</f>
        <v>女性</v>
      </c>
      <c r="G44" s="77">
        <f ca="1">VLOOKUP($A44,OFFSET([2]characters!$A$1,0,0,COUNTA([2]characters!$A:$A),MATCH(G$1,[2]characters!$1:$1,0)-MATCH($A$1,[2]characters!$1:$1,0)+1),MATCH(G$1,[2]characters!$1:$1,0)-MATCH($A$1,[2]characters!$1:$1,0)+1,FALSE)</f>
        <v>2</v>
      </c>
      <c r="H44" s="77" t="str">
        <f ca="1">VLOOKUP($A44,OFFSET([2]characters!$A$1,0,0,COUNTA([2]characters!$A:$A),MATCH(H$1,[2]characters!$1:$1,0)-MATCH($A$1,[2]characters!$1:$1,0)+1),MATCH(H$1,[2]characters!$1:$1,0)-MATCH($A$1,[2]characters!$1:$1,0)+1,FALSE)</f>
        <v>Drop1N</v>
      </c>
      <c r="I44" s="77" t="str">
        <f ca="1">VLOOKUP($A44,OFFSET([2]characters!$A$1,0,0,COUNTA([2]characters!$A:$A),MATCH(I$1,[2]characters!$1:$1,0)-MATCH($A$1,[2]characters!$1:$1,0)+1),MATCH(I$1,[2]characters!$1:$1,0)-MATCH($A$1,[2]characters!$1:$1,0)+1,FALSE)</f>
        <v>green</v>
      </c>
      <c r="J44" s="14">
        <f ca="1">VLOOKUP(I44,[2]属性!$A:$E,2,FALSE)</f>
        <v>1.02</v>
      </c>
      <c r="K44" s="14">
        <f ca="1">VLOOKUP(I44,[2]属性!$A:$E,3,FALSE)</f>
        <v>0.98</v>
      </c>
      <c r="L44" s="14">
        <f ca="1">VLOOKUP(I44,[2]属性!$A:$E,4,FALSE)</f>
        <v>1</v>
      </c>
      <c r="M44" s="14">
        <f ca="1">VLOOKUP(I44,[2]属性!$A:$E,5,FALSE)</f>
        <v>1</v>
      </c>
      <c r="N44" s="14">
        <f ca="1">INDEX(コスト!$A$1:$I$20,MATCH(H44,コスト!$A$1:$A$20,FALSE),MATCH(G44,コスト!$A$1:$I$1,FALSE))</f>
        <v>4</v>
      </c>
      <c r="O44" s="14">
        <f ca="1">INDEX(レベル!$A$1:$I$21,MATCH(H44,レベル!$A$1:$A$21,FALSE),MATCH(G44,レベル!$A$1:$I$1,FALSE))</f>
        <v>30</v>
      </c>
      <c r="P44" s="63">
        <f t="shared" ca="1" si="7"/>
        <v>30</v>
      </c>
      <c r="Q44" s="77" t="str">
        <f ca="1">VLOOKUP($A44,OFFSET([2]characters!$A$1,0,0,COUNTA([2]characters!$A:$A),MATCH(Q$1,[2]characters!$1:$1,0)-MATCH($A$1,[2]characters!$1:$1,0)+1),MATCH(Q$1,[2]characters!$1:$1,0)-MATCH($A$1,[2]characters!$1:$1,0)+1,FALSE)</f>
        <v>technical</v>
      </c>
      <c r="R44" s="8" t="str">
        <f ca="1">VLOOKUP(Q44,[2]character_type_i18n!$A:$H,3,FALSE)</f>
        <v>テクニカルタイプ</v>
      </c>
      <c r="S44" s="14">
        <f ca="1">VLOOKUP(Q44,[2]character_type_i18n!$A:$H,4,FALSE)</f>
        <v>0.9</v>
      </c>
      <c r="T44" s="14">
        <f ca="1">VLOOKUP(Q44,[2]character_type_i18n!$A:$H,5,FALSE)</f>
        <v>0.9</v>
      </c>
      <c r="U44" s="14">
        <f ca="1">VLOOKUP(Q44,[2]character_type_i18n!$A:$H,6,FALSE)</f>
        <v>1</v>
      </c>
      <c r="V44" s="14">
        <f ca="1">VLOOKUP(Q44,[2]character_type_i18n!$A:$H,7,FALSE)</f>
        <v>0.9</v>
      </c>
      <c r="W44" s="77" t="str">
        <f ca="1">VLOOKUP($A44,OFFSET([2]characters!$A$1,0,0,COUNTA([2]characters!$A:$A),MATCH(W$1,[2]characters!$1:$1,0)-MATCH($A$1,[2]characters!$1:$1,0)+1),MATCH(W$1,[2]characters!$1:$1,0)-MATCH($A$1,[2]characters!$1:$1,0)+1,FALSE)</f>
        <v>dragon</v>
      </c>
      <c r="X44" s="8" t="str">
        <f ca="1">VLOOKUP(W44,[2]character_tribe_i18n!$A:$H,3,FALSE)</f>
        <v>ドラゴン</v>
      </c>
      <c r="Y44" s="77" t="str">
        <f ca="1">VLOOKUP($A44,OFFSET([2]characters!$A$1,0,0,COUNTA([2]characters!$A:$A),MATCH(Y$1,[2]characters!$1:$1,0)-MATCH($A$1,[2]characters!$1:$1,0)+1),MATCH(Y$1,[2]characters!$1:$1,0)-MATCH($A$1,[2]characters!$1:$1,0)+1,FALSE)</f>
        <v>human</v>
      </c>
      <c r="Z44" s="8" t="str">
        <f ca="1">VLOOKUP(Y44,[2]character_tribe_i18n!$A:$H,3,FALSE)</f>
        <v>ヒューマン</v>
      </c>
      <c r="AA44" s="14">
        <f ca="1">VLOOKUP(W44,[2]character_tribe_i18n!$A:$H,4,FALSE)</f>
        <v>1.1499999999999999</v>
      </c>
      <c r="AB44" s="14">
        <f ca="1">VLOOKUP(W44,[2]character_tribe_i18n!$A:$H,5,FALSE)</f>
        <v>1.1000000000000001</v>
      </c>
      <c r="AC44" s="14">
        <f ca="1">VLOOKUP(W44,[2]character_tribe_i18n!$A:$H,6,FALSE)</f>
        <v>1</v>
      </c>
      <c r="AD44" s="14">
        <f ca="1">VLOOKUP(W44,[2]character_tribe_i18n!$A:$H,7,FALSE)</f>
        <v>0.75</v>
      </c>
      <c r="AE44" s="12">
        <v>44</v>
      </c>
      <c r="AF44" s="85" t="str">
        <f ca="1">IF(AE44="NULL","",VLOOKUP($AE44,OFFSET([2]characters!$A$1,0,0,COUNTA([2]characters!$A:$A),MATCH(AF$1,[2]characters!$1:$1,0)-MATCH($A$1,[2]characters!$1:$1,0)+1),MATCH(AF$1,[2]characters!$1:$1,0)-MATCH($A$1,[2]characters!$1:$1,0)+1,FALSE))</f>
        <v>遠い星からやってきたムゥ</v>
      </c>
      <c r="AG44" s="8">
        <f t="shared" ca="1" si="2"/>
        <v>43</v>
      </c>
      <c r="AH44" s="85" t="str">
        <f ca="1">VLOOKUP($AG44,OFFSET([2]characters!$A$1,0,0,COUNTA([2]characters!$A:$A),MATCH(AH$1,[2]characters!$1:$1,0)-MATCH($A$1,[2]characters!$1:$1,0)+1),MATCH(AH$1,[2]characters!$1:$1,0)-MATCH($A$1,[2]characters!$1:$1,0)+1,FALSE)</f>
        <v>ムゥ</v>
      </c>
      <c r="AI44" s="14">
        <f ca="1">IF(AE44="NULL","NULL",VLOOKUP(G44,ビット!$A$2:$B$7,2))</f>
        <v>10000</v>
      </c>
      <c r="AJ44" s="9">
        <v>2</v>
      </c>
      <c r="AK44" s="10" t="str">
        <f t="shared" si="3"/>
        <v>普通</v>
      </c>
      <c r="AL44" s="14" t="str">
        <f ca="1">INDEX(経験値!$A$1:$I$20,MATCH(H44,経験値!$A$1:$A$20,FALSE),MATCH(G44,経験値!$A$1:$I$1,FALSE))</f>
        <v>required_exp_100</v>
      </c>
      <c r="AM44" s="11">
        <f ca="1">VLOOKUP(G44,経験値!$A$27:$B$31,2)</f>
        <v>600</v>
      </c>
      <c r="AN44" s="21">
        <f ca="1">VLOOKUP(G44,ビット!$G$2:$H$7,2)</f>
        <v>150</v>
      </c>
      <c r="AO44" s="64" t="s">
        <v>52</v>
      </c>
      <c r="AP44" s="101">
        <v>122002</v>
      </c>
      <c r="AQ44" s="77" t="e">
        <f ca="1">VLOOKUP($AP44,OFFSET([1]unit_skills!$A$1,0,0,COUNTA([1]unit_skills!$A:$A),MATCH("name",[1]unit_skills!$1:$1,0)-MATCH($AP$1,[1]unit_skills!$1:$1,0)+1),MATCH("name",[1]unit_skills!$1:$1,0)-MATCH($AP$1,[1]unit_skills!$1:$1,0)+1,FALSE)</f>
        <v>#VALUE!</v>
      </c>
      <c r="AR44" s="77" t="e">
        <f ca="1">VLOOKUP($AP44,OFFSET([1]unit_skills!$A$1,0,0,COUNTA([1]unit_skills!$A:$A),MATCH("comment",[1]unit_skills!$1:$1,0)-MATCH($AP$1,[1]unit_skills!$1:$1,0)+1),MATCH("comment",[1]unit_skills!$1:$1,0)-MATCH($AP$1,[1]unit_skills!$1:$1,0)+1,FALSE)</f>
        <v>#VALUE!</v>
      </c>
      <c r="AS44" s="77" t="e">
        <f ca="1">VLOOKUP($AP44,OFFSET([1]unit_skills!$A$1,0,0,COUNTA([1]unit_skills!$A:$A),MATCH(AS$1,[1]unit_skills!$1:$1,0)-MATCH($AP$1,[1]unit_skills!$1:$1,0)+1),MATCH(AS$1,[1]unit_skills!$1:$1,0)-MATCH($AP$1,[1]unit_skills!$1:$1,0)+1,FALSE)</f>
        <v>#VALUE!</v>
      </c>
      <c r="AT44" s="97">
        <v>452001</v>
      </c>
      <c r="AU44" s="77" t="e">
        <f ca="1">VLOOKUP($AT44,OFFSET([1]crash_skills!$A$1,0,0,COUNTA([1]crash_skills!$A:$A),MATCH("name",[1]crash_skills!$1:$1,0)-MATCH($AT$1,[1]crash_skills!$1:$1,0)+1),MATCH("name",[1]crash_skills!$1:$1,0)-MATCH($AT$1,[1]crash_skills!$1:$1,0)+1,FALSE)</f>
        <v>#VALUE!</v>
      </c>
      <c r="AV44" s="77" t="e">
        <f ca="1">VLOOKUP($AT44,OFFSET([1]crash_skills!$A$1,0,0,COUNTA([1]crash_skills!$A:$A),MATCH("comment",[1]crash_skills!$1:$1,0)-MATCH($AT$1,[1]crash_skills!$1:$1,0)+1),MATCH("comment",[1]crash_skills!$1:$1,0)-MATCH($AT$1,[1]crash_skills!$1:$1,0)+1,FALSE)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4" s="77" t="e">
        <f ca="1">VLOOKUP($AT44,OFFSET([1]crash_skills!$A$1,0,0,COUNTA([1]crash_skills!$A:$A),MATCH(AW$1,[1]crash_skills!$1:$1,0)-MATCH($AT$1,[1]crash_skills!$1:$1,0)+1),MATCH(AW$1,[1]crash_skills!$1:$1,0)-MATCH($AT$1,[1]crash_skills!$1:$1,0)+1,FALSE)</f>
        <v>#VALUE!</v>
      </c>
      <c r="AX44" s="81">
        <f ca="1">VLOOKUP($A44,OFFSET([2]characters!$A$1,0,0,COUNTA([2]characters!$A:$A),MATCH(AX$1,[2]characters!$1:$1,0)-MATCH($A$1,[2]characters!$1:$1,0)+1),MATCH(AX$1,[2]characters!$1:$1,0)-MATCH($A$1,[2]characters!$1:$1,0)+1,FALSE)</f>
        <v>3</v>
      </c>
      <c r="AY44" s="19">
        <v>1</v>
      </c>
      <c r="AZ44" s="19">
        <v>1.2</v>
      </c>
      <c r="BA44" s="19">
        <v>0</v>
      </c>
      <c r="BB44" s="19">
        <v>0.8</v>
      </c>
      <c r="BC44" s="14">
        <f ca="1">INDEX('RC6SV'!$A$1:$G$20,MATCH(H44,'RC6SV'!$A$1:$A$20,FALSE),MATCH(G44,'RC6SV'!$A$1:$G$1,FALSE))</f>
        <v>2800</v>
      </c>
      <c r="BD44" s="63">
        <f t="shared" ca="1" si="4"/>
        <v>2800</v>
      </c>
      <c r="BE44" s="14">
        <f t="shared" ca="1" si="5"/>
        <v>0</v>
      </c>
      <c r="BF44" s="14">
        <f t="shared" ca="1" si="6"/>
        <v>1</v>
      </c>
      <c r="BG44" s="20">
        <f ca="1">IF($BE44&lt;=0,ROUND(BK44*0.5,0), ROUND($BE44*S44*AA44*J44*AY44*0.8*[2]ステータス!$B$2,0))</f>
        <v>739</v>
      </c>
      <c r="BH44" s="20">
        <f ca="1">IF($BE44&lt;=0,ROUND(BL44*0.5,0), ROUND($BE44*T44*AB44*K44*AZ44*0.8*[2]ステータス!$C$2,0))</f>
        <v>489</v>
      </c>
      <c r="BI44" s="20">
        <f ca="1">IF($BE44&lt;=0,ROUND(BM44*0.5,0), ROUND($BE44*U44*AC44*L44*BA44*0.8*[2]ステータス!$D$2,0))</f>
        <v>0</v>
      </c>
      <c r="BJ44" s="20">
        <f ca="1">IF($BE44&lt;=0,ROUND(BN44*0.5,0), ROUND($BE44*V44*AD44*M44*BB44*0.8*[2]ステータス!$E$2,0))</f>
        <v>189</v>
      </c>
      <c r="BK44" s="14">
        <f ca="1">ROUND(BD44*S44*AA44*J44*AY44*[2]ステータス!$B$2,0)</f>
        <v>1478</v>
      </c>
      <c r="BL44" s="14">
        <f ca="1">ROUND(BD44*T44*AB44*K44*AZ44*[2]ステータス!$C$2,0)</f>
        <v>978</v>
      </c>
      <c r="BM44" s="14">
        <f ca="1">ROUND(BD44*U44*AC44*L44*BA44*[2]ステータス!$D$2,0)</f>
        <v>0</v>
      </c>
      <c r="BN44" s="14">
        <f ca="1">ROUND(BD44*V44*AD44*M44*BB44*[2]ステータス!$E$2,0)</f>
        <v>378</v>
      </c>
      <c r="BO44" s="13">
        <v>0</v>
      </c>
      <c r="BP44" s="13">
        <v>1</v>
      </c>
      <c r="BQ44" s="13" t="s">
        <v>102</v>
      </c>
      <c r="BR44" s="13">
        <f ca="1">VLOOKUP(H44,ghosts_label!$A$2:$B$19,2,FALSE)</f>
        <v>1</v>
      </c>
    </row>
    <row r="45" spans="1:70" ht="21" customHeight="1" x14ac:dyDescent="0.15">
      <c r="A45" s="14">
        <f t="shared" ca="1" si="0"/>
        <v>44</v>
      </c>
      <c r="B45" s="77" t="str">
        <f ca="1">VLOOKUP($A45,OFFSET([2]characters!$A$1,0,0,COUNTA([2]characters!$A:$A),MATCH(B$1,[2]characters!$1:$1,0)-MATCH($A$1,[2]characters!$1:$1,0)+1),MATCH(B$1,[2]characters!$1:$1,0)-MATCH($A$1,[2]characters!$1:$1,0)+1,FALSE)</f>
        <v>遠い星からやってきたムゥ</v>
      </c>
      <c r="C45" s="77" t="str">
        <f ca="1">VLOOKUP($A45,OFFSET([2]characters!$A$1,0,0,COUNTA([2]characters!$A:$A),MATCH(C$1,[2]characters!$1:$1,0)-MATCH($A$1,[2]characters!$1:$1,0)+1),MATCH(C$1,[2]characters!$1:$1,0)-MATCH($A$1,[2]characters!$1:$1,0)+1,FALSE)</f>
        <v>ノーマルクエスト</v>
      </c>
      <c r="D45" s="77" t="str">
        <f ca="1">VLOOKUP($A45,OFFSET([2]characters!$A$1,0,0,COUNTA([2]characters!$A:$A),MATCH(D$1,[2]characters!$1:$1,0)-MATCH($A$1,[2]characters!$1:$1,0)+1),MATCH(D$1,[2]characters!$1:$1,0)-MATCH($A$1,[2]characters!$1:$1,0)+1,FALSE)</f>
        <v>アバター</v>
      </c>
      <c r="E45" s="77" t="str">
        <f ca="1">VLOOKUP($A45,OFFSET([2]characters!$A$1,0,0,COUNTA([2]characters!$A:$A),MATCH(E$1,[2]characters!$1:$1,0)-MATCH($A$1,[2]characters!$1:$1,0)+1),MATCH(E$1,[2]characters!$1:$1,0)-MATCH($A$1,[2]characters!$1:$1,0)+1,FALSE)</f>
        <v>世界観</v>
      </c>
      <c r="F45" s="77" t="str">
        <f ca="1">VLOOKUP($A45,OFFSET([2]characters!$A$1,0,0,COUNTA([2]characters!$A:$A),MATCH(F$1,[2]characters!$1:$1,0)-MATCH($A$1,[2]characters!$1:$1,0)+1),MATCH(F$1,[2]characters!$1:$1,0)-MATCH($A$1,[2]characters!$1:$1,0)+1,FALSE)</f>
        <v>女性</v>
      </c>
      <c r="G45" s="77">
        <f ca="1">VLOOKUP($A45,OFFSET([2]characters!$A$1,0,0,COUNTA([2]characters!$A:$A),MATCH(G$1,[2]characters!$1:$1,0)-MATCH($A$1,[2]characters!$1:$1,0)+1),MATCH(G$1,[2]characters!$1:$1,0)-MATCH($A$1,[2]characters!$1:$1,0)+1,FALSE)</f>
        <v>3</v>
      </c>
      <c r="H45" s="77" t="str">
        <f ca="1">VLOOKUP($A45,OFFSET([2]characters!$A$1,0,0,COUNTA([2]characters!$A:$A),MATCH(H$1,[2]characters!$1:$1,0)-MATCH($A$1,[2]characters!$1:$1,0)+1),MATCH(H$1,[2]characters!$1:$1,0)-MATCH($A$1,[2]characters!$1:$1,0)+1,FALSE)</f>
        <v>Drop1N</v>
      </c>
      <c r="I45" s="77" t="str">
        <f ca="1">VLOOKUP($A45,OFFSET([2]characters!$A$1,0,0,COUNTA([2]characters!$A:$A),MATCH(I$1,[2]characters!$1:$1,0)-MATCH($A$1,[2]characters!$1:$1,0)+1),MATCH(I$1,[2]characters!$1:$1,0)-MATCH($A$1,[2]characters!$1:$1,0)+1,FALSE)</f>
        <v>green</v>
      </c>
      <c r="J45" s="14">
        <f ca="1">VLOOKUP(I45,[2]属性!$A:$E,2,FALSE)</f>
        <v>1.02</v>
      </c>
      <c r="K45" s="14">
        <f ca="1">VLOOKUP(I45,[2]属性!$A:$E,3,FALSE)</f>
        <v>0.98</v>
      </c>
      <c r="L45" s="14">
        <f ca="1">VLOOKUP(I45,[2]属性!$A:$E,4,FALSE)</f>
        <v>1</v>
      </c>
      <c r="M45" s="14">
        <f ca="1">VLOOKUP(I45,[2]属性!$A:$E,5,FALSE)</f>
        <v>1</v>
      </c>
      <c r="N45" s="14">
        <f ca="1">INDEX(コスト!$A$1:$I$20,MATCH(H45,コスト!$A$1:$A$20,FALSE),MATCH(G45,コスト!$A$1:$I$1,FALSE))</f>
        <v>6</v>
      </c>
      <c r="O45" s="14">
        <f ca="1">INDEX(レベル!$A$1:$I$21,MATCH(H45,レベル!$A$1:$A$21,FALSE),MATCH(G45,レベル!$A$1:$I$1,FALSE))</f>
        <v>40</v>
      </c>
      <c r="P45" s="63">
        <f t="shared" ca="1" si="7"/>
        <v>45</v>
      </c>
      <c r="Q45" s="77" t="str">
        <f ca="1">VLOOKUP($A45,OFFSET([2]characters!$A$1,0,0,COUNTA([2]characters!$A:$A),MATCH(Q$1,[2]characters!$1:$1,0)-MATCH($A$1,[2]characters!$1:$1,0)+1),MATCH(Q$1,[2]characters!$1:$1,0)-MATCH($A$1,[2]characters!$1:$1,0)+1,FALSE)</f>
        <v>technical</v>
      </c>
      <c r="R45" s="8" t="str">
        <f ca="1">VLOOKUP(Q45,[2]character_type_i18n!$A:$H,3,FALSE)</f>
        <v>テクニカルタイプ</v>
      </c>
      <c r="S45" s="14">
        <f ca="1">VLOOKUP(Q45,[2]character_type_i18n!$A:$H,4,FALSE)</f>
        <v>0.9</v>
      </c>
      <c r="T45" s="14">
        <f ca="1">VLOOKUP(Q45,[2]character_type_i18n!$A:$H,5,FALSE)</f>
        <v>0.9</v>
      </c>
      <c r="U45" s="14">
        <f ca="1">VLOOKUP(Q45,[2]character_type_i18n!$A:$H,6,FALSE)</f>
        <v>1</v>
      </c>
      <c r="V45" s="14">
        <f ca="1">VLOOKUP(Q45,[2]character_type_i18n!$A:$H,7,FALSE)</f>
        <v>0.9</v>
      </c>
      <c r="W45" s="77" t="str">
        <f ca="1">VLOOKUP($A45,OFFSET([2]characters!$A$1,0,0,COUNTA([2]characters!$A:$A),MATCH(W$1,[2]characters!$1:$1,0)-MATCH($A$1,[2]characters!$1:$1,0)+1),MATCH(W$1,[2]characters!$1:$1,0)-MATCH($A$1,[2]characters!$1:$1,0)+1,FALSE)</f>
        <v>dragon</v>
      </c>
      <c r="X45" s="8" t="str">
        <f ca="1">VLOOKUP(W45,[2]character_tribe_i18n!$A:$H,3,FALSE)</f>
        <v>ドラゴン</v>
      </c>
      <c r="Y45" s="77" t="str">
        <f ca="1">VLOOKUP($A45,OFFSET([2]characters!$A$1,0,0,COUNTA([2]characters!$A:$A),MATCH(Y$1,[2]characters!$1:$1,0)-MATCH($A$1,[2]characters!$1:$1,0)+1),MATCH(Y$1,[2]characters!$1:$1,0)-MATCH($A$1,[2]characters!$1:$1,0)+1,FALSE)</f>
        <v>human</v>
      </c>
      <c r="Z45" s="8" t="str">
        <f ca="1">VLOOKUP(Y45,[2]character_tribe_i18n!$A:$H,3,FALSE)</f>
        <v>ヒューマン</v>
      </c>
      <c r="AA45" s="14">
        <f ca="1">VLOOKUP(W45,[2]character_tribe_i18n!$A:$H,4,FALSE)</f>
        <v>1.1499999999999999</v>
      </c>
      <c r="AB45" s="14">
        <f ca="1">VLOOKUP(W45,[2]character_tribe_i18n!$A:$H,5,FALSE)</f>
        <v>1.1000000000000001</v>
      </c>
      <c r="AC45" s="14">
        <f ca="1">VLOOKUP(W45,[2]character_tribe_i18n!$A:$H,6,FALSE)</f>
        <v>1</v>
      </c>
      <c r="AD45" s="14">
        <f ca="1">VLOOKUP(W45,[2]character_tribe_i18n!$A:$H,7,FALSE)</f>
        <v>0.75</v>
      </c>
      <c r="AE45" s="12" t="s">
        <v>102</v>
      </c>
      <c r="AF45" s="85" t="str">
        <f ca="1">IF(AE45="NULL","",VLOOKUP($AE45,OFFSET([2]characters!$A$1,0,0,COUNTA([2]characters!$A:$A),MATCH(AF$1,[2]characters!$1:$1,0)-MATCH($A$1,[2]characters!$1:$1,0)+1),MATCH(AF$1,[2]characters!$1:$1,0)-MATCH($A$1,[2]characters!$1:$1,0)+1,FALSE))</f>
        <v/>
      </c>
      <c r="AG45" s="8">
        <f t="shared" ca="1" si="2"/>
        <v>43</v>
      </c>
      <c r="AH45" s="85" t="str">
        <f ca="1">VLOOKUP($AG45,OFFSET([2]characters!$A$1,0,0,COUNTA([2]characters!$A:$A),MATCH(AH$1,[2]characters!$1:$1,0)-MATCH($A$1,[2]characters!$1:$1,0)+1),MATCH(AH$1,[2]characters!$1:$1,0)-MATCH($A$1,[2]characters!$1:$1,0)+1,FALSE)</f>
        <v>ムゥ</v>
      </c>
      <c r="AI45" s="14" t="str">
        <f>IF(AE45="NULL","NULL",VLOOKUP(G45,ビット!$A$2:$B$7,2))</f>
        <v>NULL</v>
      </c>
      <c r="AJ45" s="9">
        <v>2</v>
      </c>
      <c r="AK45" s="10" t="str">
        <f t="shared" si="3"/>
        <v>普通</v>
      </c>
      <c r="AL45" s="14" t="str">
        <f ca="1">INDEX(経験値!$A$1:$I$20,MATCH(H45,経験値!$A$1:$A$20,FALSE),MATCH(G45,経験値!$A$1:$I$1,FALSE))</f>
        <v>required_exp_100</v>
      </c>
      <c r="AM45" s="11">
        <f ca="1">VLOOKUP(G45,経験値!$A$27:$B$31,2)</f>
        <v>1500</v>
      </c>
      <c r="AN45" s="21">
        <f ca="1">VLOOKUP(G45,ビット!$G$2:$H$7,2)</f>
        <v>300</v>
      </c>
      <c r="AO45" s="64" t="s">
        <v>52</v>
      </c>
      <c r="AP45" s="101">
        <v>122003</v>
      </c>
      <c r="AQ45" s="77" t="e">
        <f ca="1">VLOOKUP($AP45,OFFSET([1]unit_skills!$A$1,0,0,COUNTA([1]unit_skills!$A:$A),MATCH("name",[1]unit_skills!$1:$1,0)-MATCH($AP$1,[1]unit_skills!$1:$1,0)+1),MATCH("name",[1]unit_skills!$1:$1,0)-MATCH($AP$1,[1]unit_skills!$1:$1,0)+1,FALSE)</f>
        <v>#VALUE!</v>
      </c>
      <c r="AR45" s="77" t="e">
        <f ca="1">VLOOKUP($AP45,OFFSET([1]unit_skills!$A$1,0,0,COUNTA([1]unit_skills!$A:$A),MATCH("comment",[1]unit_skills!$1:$1,0)-MATCH($AP$1,[1]unit_skills!$1:$1,0)+1),MATCH("comment",[1]unit_skills!$1:$1,0)-MATCH($AP$1,[1]unit_skills!$1:$1,0)+1,FALSE)</f>
        <v>#VALUE!</v>
      </c>
      <c r="AS45" s="77" t="e">
        <f ca="1">VLOOKUP($AP45,OFFSET([1]unit_skills!$A$1,0,0,COUNTA([1]unit_skills!$A:$A),MATCH(AS$1,[1]unit_skills!$1:$1,0)-MATCH($AP$1,[1]unit_skills!$1:$1,0)+1),MATCH(AS$1,[1]unit_skills!$1:$1,0)-MATCH($AP$1,[1]unit_skills!$1:$1,0)+1,FALSE)</f>
        <v>#VALUE!</v>
      </c>
      <c r="AT45" s="97">
        <v>452002</v>
      </c>
      <c r="AU45" s="77" t="e">
        <f ca="1">VLOOKUP($AT45,OFFSET([1]crash_skills!$A$1,0,0,COUNTA([1]crash_skills!$A:$A),MATCH("name",[1]crash_skills!$1:$1,0)-MATCH($AT$1,[1]crash_skills!$1:$1,0)+1),MATCH("name",[1]crash_skills!$1:$1,0)-MATCH($AT$1,[1]crash_skills!$1:$1,0)+1,FALSE)</f>
        <v>#VALUE!</v>
      </c>
      <c r="AV45" s="77" t="e">
        <f ca="1">VLOOKUP($AT45,OFFSET([1]crash_skills!$A$1,0,0,COUNTA([1]crash_skills!$A:$A),MATCH("comment",[1]crash_skills!$1:$1,0)-MATCH($AT$1,[1]crash_skills!$1:$1,0)+1),MATCH("comment",[1]crash_skills!$1:$1,0)-MATCH($AT$1,[1]crash_skills!$1:$1,0)+1,FALSE)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5" s="77" t="e">
        <f ca="1">VLOOKUP($AT45,OFFSET([1]crash_skills!$A$1,0,0,COUNTA([1]crash_skills!$A:$A),MATCH(AW$1,[1]crash_skills!$1:$1,0)-MATCH($AT$1,[1]crash_skills!$1:$1,0)+1),MATCH(AW$1,[1]crash_skills!$1:$1,0)-MATCH($AT$1,[1]crash_skills!$1:$1,0)+1,FALSE)</f>
        <v>#VALUE!</v>
      </c>
      <c r="AX45" s="81">
        <f ca="1">VLOOKUP($A45,OFFSET([2]characters!$A$1,0,0,COUNTA([2]characters!$A:$A),MATCH(AX$1,[2]characters!$1:$1,0)-MATCH($A$1,[2]characters!$1:$1,0)+1),MATCH(AX$1,[2]characters!$1:$1,0)-MATCH($A$1,[2]characters!$1:$1,0)+1,FALSE)</f>
        <v>3</v>
      </c>
      <c r="AY45" s="19">
        <v>1</v>
      </c>
      <c r="AZ45" s="19">
        <v>1.2</v>
      </c>
      <c r="BA45" s="19">
        <v>0</v>
      </c>
      <c r="BB45" s="19">
        <v>0.8</v>
      </c>
      <c r="BC45" s="14">
        <f ca="1">INDEX('RC6SV'!$A$1:$G$20,MATCH(H45,'RC6SV'!$A$1:$A$20,FALSE),MATCH(G45,'RC6SV'!$A$1:$G$1,FALSE))</f>
        <v>4000</v>
      </c>
      <c r="BD45" s="63">
        <f t="shared" ca="1" si="4"/>
        <v>4000</v>
      </c>
      <c r="BE45" s="14">
        <f t="shared" ca="1" si="5"/>
        <v>2800</v>
      </c>
      <c r="BF45" s="14">
        <f t="shared" ca="1" si="6"/>
        <v>1</v>
      </c>
      <c r="BG45" s="20">
        <f ca="1">IF($BE45&lt;=0,ROUND(BK45*0.5,0), ROUND($BE45*S45*AA45*J45*AY45*0.8*[2]ステータス!$B$2,0))</f>
        <v>1182</v>
      </c>
      <c r="BH45" s="20">
        <f ca="1">IF($BE45&lt;=0,ROUND(BL45*0.5,0), ROUND($BE45*T45*AB45*K45*AZ45*0.8*[2]ステータス!$C$2,0))</f>
        <v>782</v>
      </c>
      <c r="BI45" s="20">
        <f ca="1">IF($BE45&lt;=0,ROUND(BM45*0.5,0), ROUND($BE45*U45*AC45*L45*BA45*0.8*[2]ステータス!$D$2,0))</f>
        <v>0</v>
      </c>
      <c r="BJ45" s="20">
        <f ca="1">IF($BE45&lt;=0,ROUND(BN45*0.5,0), ROUND($BE45*V45*AD45*M45*BB45*0.8*[2]ステータス!$E$2,0))</f>
        <v>302</v>
      </c>
      <c r="BK45" s="14">
        <f ca="1">ROUND(BD45*S45*AA45*J45*AY45*[2]ステータス!$B$2,0)</f>
        <v>2111</v>
      </c>
      <c r="BL45" s="14">
        <f ca="1">ROUND(BD45*T45*AB45*K45*AZ45*[2]ステータス!$C$2,0)</f>
        <v>1397</v>
      </c>
      <c r="BM45" s="14">
        <f ca="1">ROUND(BD45*U45*AC45*L45*BA45*[2]ステータス!$D$2,0)</f>
        <v>0</v>
      </c>
      <c r="BN45" s="14">
        <f ca="1">ROUND(BD45*V45*AD45*M45*BB45*[2]ステータス!$E$2,0)</f>
        <v>540</v>
      </c>
      <c r="BO45" s="13">
        <v>0</v>
      </c>
      <c r="BP45" s="13">
        <v>1</v>
      </c>
      <c r="BQ45" s="13" t="s">
        <v>102</v>
      </c>
      <c r="BR45" s="13">
        <f ca="1">VLOOKUP(H45,ghosts_label!$A$2:$B$19,2,FALSE)</f>
        <v>1</v>
      </c>
    </row>
    <row r="46" spans="1:70" ht="21" customHeight="1" x14ac:dyDescent="0.15">
      <c r="A46" s="14">
        <f t="shared" ca="1" si="0"/>
        <v>45</v>
      </c>
      <c r="B46" s="77" t="str">
        <f ca="1">VLOOKUP($A46,OFFSET([2]characters!$A$1,0,0,COUNTA([2]characters!$A:$A),MATCH(B$1,[2]characters!$1:$1,0)-MATCH($A$1,[2]characters!$1:$1,0)+1),MATCH(B$1,[2]characters!$1:$1,0)-MATCH($A$1,[2]characters!$1:$1,0)+1,FALSE)</f>
        <v>ショウイン</v>
      </c>
      <c r="C46" s="77" t="str">
        <f ca="1">VLOOKUP($A46,OFFSET([2]characters!$A$1,0,0,COUNTA([2]characters!$A:$A),MATCH(C$1,[2]characters!$1:$1,0)-MATCH($A$1,[2]characters!$1:$1,0)+1),MATCH(C$1,[2]characters!$1:$1,0)-MATCH($A$1,[2]characters!$1:$1,0)+1,FALSE)</f>
        <v>ノーマルクエスト</v>
      </c>
      <c r="D46" s="77" t="str">
        <f ca="1">VLOOKUP($A46,OFFSET([2]characters!$A$1,0,0,COUNTA([2]characters!$A:$A),MATCH(D$1,[2]characters!$1:$1,0)-MATCH($A$1,[2]characters!$1:$1,0)+1),MATCH(D$1,[2]characters!$1:$1,0)-MATCH($A$1,[2]characters!$1:$1,0)+1,FALSE)</f>
        <v>アバター</v>
      </c>
      <c r="E46" s="77" t="str">
        <f ca="1">VLOOKUP($A46,OFFSET([2]characters!$A$1,0,0,COUNTA([2]characters!$A:$A),MATCH(E$1,[2]characters!$1:$1,0)-MATCH($A$1,[2]characters!$1:$1,0)+1),MATCH(E$1,[2]characters!$1:$1,0)-MATCH($A$1,[2]characters!$1:$1,0)+1,FALSE)</f>
        <v>世界観</v>
      </c>
      <c r="F46" s="77" t="str">
        <f ca="1">VLOOKUP($A46,OFFSET([2]characters!$A$1,0,0,COUNTA([2]characters!$A:$A),MATCH(F$1,[2]characters!$1:$1,0)-MATCH($A$1,[2]characters!$1:$1,0)+1),MATCH(F$1,[2]characters!$1:$1,0)-MATCH($A$1,[2]characters!$1:$1,0)+1,FALSE)</f>
        <v>不明</v>
      </c>
      <c r="G46" s="77">
        <f ca="1">VLOOKUP($A46,OFFSET([2]characters!$A$1,0,0,COUNTA([2]characters!$A:$A),MATCH(G$1,[2]characters!$1:$1,0)-MATCH($A$1,[2]characters!$1:$1,0)+1),MATCH(G$1,[2]characters!$1:$1,0)-MATCH($A$1,[2]characters!$1:$1,0)+1,FALSE)</f>
        <v>2</v>
      </c>
      <c r="H46" s="77" t="str">
        <f ca="1">VLOOKUP($A46,OFFSET([2]characters!$A$1,0,0,COUNTA([2]characters!$A:$A),MATCH(H$1,[2]characters!$1:$1,0)-MATCH($A$1,[2]characters!$1:$1,0)+1),MATCH(H$1,[2]characters!$1:$1,0)-MATCH($A$1,[2]characters!$1:$1,0)+1,FALSE)</f>
        <v>Drop1N</v>
      </c>
      <c r="I46" s="77" t="str">
        <f ca="1">VLOOKUP($A46,OFFSET([2]characters!$A$1,0,0,COUNTA([2]characters!$A:$A),MATCH(I$1,[2]characters!$1:$1,0)-MATCH($A$1,[2]characters!$1:$1,0)+1),MATCH(I$1,[2]characters!$1:$1,0)-MATCH($A$1,[2]characters!$1:$1,0)+1,FALSE)</f>
        <v>blue</v>
      </c>
      <c r="J46" s="14">
        <f ca="1">VLOOKUP(I46,[2]属性!$A:$E,2,FALSE)</f>
        <v>1</v>
      </c>
      <c r="K46" s="14">
        <f ca="1">VLOOKUP(I46,[2]属性!$A:$E,3,FALSE)</f>
        <v>0.98</v>
      </c>
      <c r="L46" s="14">
        <f ca="1">VLOOKUP(I46,[2]属性!$A:$E,4,FALSE)</f>
        <v>1</v>
      </c>
      <c r="M46" s="14">
        <f ca="1">VLOOKUP(I46,[2]属性!$A:$E,5,FALSE)</f>
        <v>1.02</v>
      </c>
      <c r="N46" s="14">
        <f ca="1">INDEX(コスト!$A$1:$I$20,MATCH(H46,コスト!$A$1:$A$20,FALSE),MATCH(G46,コスト!$A$1:$I$1,FALSE))</f>
        <v>4</v>
      </c>
      <c r="O46" s="14">
        <f ca="1">INDEX(レベル!$A$1:$I$21,MATCH(H46,レベル!$A$1:$A$21,FALSE),MATCH(G46,レベル!$A$1:$I$1,FALSE))</f>
        <v>30</v>
      </c>
      <c r="P46" s="63">
        <f t="shared" ca="1" si="7"/>
        <v>30</v>
      </c>
      <c r="Q46" s="77" t="str">
        <f ca="1">VLOOKUP($A46,OFFSET([2]characters!$A$1,0,0,COUNTA([2]characters!$A:$A),MATCH(Q$1,[2]characters!$1:$1,0)-MATCH($A$1,[2]characters!$1:$1,0)+1),MATCH(Q$1,[2]characters!$1:$1,0)-MATCH($A$1,[2]characters!$1:$1,0)+1,FALSE)</f>
        <v>hp</v>
      </c>
      <c r="R46" s="8" t="str">
        <f ca="1">VLOOKUP(Q46,[2]character_type_i18n!$A:$H,3,FALSE)</f>
        <v>体力タイプ</v>
      </c>
      <c r="S46" s="14">
        <f ca="1">VLOOKUP(Q46,[2]character_type_i18n!$A:$H,4,FALSE)</f>
        <v>1.45</v>
      </c>
      <c r="T46" s="14">
        <f ca="1">VLOOKUP(Q46,[2]character_type_i18n!$A:$H,5,FALSE)</f>
        <v>0.85</v>
      </c>
      <c r="U46" s="14">
        <f ca="1">VLOOKUP(Q46,[2]character_type_i18n!$A:$H,6,FALSE)</f>
        <v>1</v>
      </c>
      <c r="V46" s="14">
        <f ca="1">VLOOKUP(Q46,[2]character_type_i18n!$A:$H,7,FALSE)</f>
        <v>0.7</v>
      </c>
      <c r="W46" s="77" t="str">
        <f ca="1">VLOOKUP($A46,OFFSET([2]characters!$A$1,0,0,COUNTA([2]characters!$A:$A),MATCH(W$1,[2]characters!$1:$1,0)-MATCH($A$1,[2]characters!$1:$1,0)+1),MATCH(W$1,[2]characters!$1:$1,0)-MATCH($A$1,[2]characters!$1:$1,0)+1,FALSE)</f>
        <v>animal</v>
      </c>
      <c r="X46" s="8" t="str">
        <f ca="1">VLOOKUP(W46,[2]character_tribe_i18n!$A:$H,3,FALSE)</f>
        <v>アニマル</v>
      </c>
      <c r="Y46" s="77" t="str">
        <f ca="1">VLOOKUP($A46,OFFSET([2]characters!$A$1,0,0,COUNTA([2]characters!$A:$A),MATCH(Y$1,[2]characters!$1:$1,0)-MATCH($A$1,[2]characters!$1:$1,0)+1),MATCH(Y$1,[2]characters!$1:$1,0)-MATCH($A$1,[2]characters!$1:$1,0)+1,FALSE)</f>
        <v>none</v>
      </c>
      <c r="Z46" s="8" t="str">
        <f ca="1">VLOOKUP(Y46,[2]character_tribe_i18n!$A:$H,3,FALSE)</f>
        <v>種族なし</v>
      </c>
      <c r="AA46" s="14">
        <f ca="1">VLOOKUP(W46,[2]character_tribe_i18n!$A:$H,4,FALSE)</f>
        <v>1</v>
      </c>
      <c r="AB46" s="14">
        <f ca="1">VLOOKUP(W46,[2]character_tribe_i18n!$A:$H,5,FALSE)</f>
        <v>1.1000000000000001</v>
      </c>
      <c r="AC46" s="14">
        <f ca="1">VLOOKUP(W46,[2]character_tribe_i18n!$A:$H,6,FALSE)</f>
        <v>1</v>
      </c>
      <c r="AD46" s="14">
        <f ca="1">VLOOKUP(W46,[2]character_tribe_i18n!$A:$H,7,FALSE)</f>
        <v>0.9</v>
      </c>
      <c r="AE46" s="12">
        <v>46</v>
      </c>
      <c r="AF46" s="85" t="str">
        <f ca="1">IF(AE46="NULL","",VLOOKUP($AE46,OFFSET([2]characters!$A$1,0,0,COUNTA([2]characters!$A:$A),MATCH(AF$1,[2]characters!$1:$1,0)-MATCH($A$1,[2]characters!$1:$1,0)+1),MATCH(AF$1,[2]characters!$1:$1,0)-MATCH($A$1,[2]characters!$1:$1,0)+1,FALSE))</f>
        <v>微笑みの筆跡 ショウイン</v>
      </c>
      <c r="AG46" s="8">
        <f t="shared" ca="1" si="2"/>
        <v>45</v>
      </c>
      <c r="AH46" s="85" t="str">
        <f ca="1">VLOOKUP($AG46,OFFSET([2]characters!$A$1,0,0,COUNTA([2]characters!$A:$A),MATCH(AH$1,[2]characters!$1:$1,0)-MATCH($A$1,[2]characters!$1:$1,0)+1),MATCH(AH$1,[2]characters!$1:$1,0)-MATCH($A$1,[2]characters!$1:$1,0)+1,FALSE)</f>
        <v>ショウイン</v>
      </c>
      <c r="AI46" s="14">
        <f ca="1">IF(AE46="NULL","NULL",VLOOKUP(G46,ビット!$A$2:$B$7,2))</f>
        <v>10000</v>
      </c>
      <c r="AJ46" s="9">
        <v>2</v>
      </c>
      <c r="AK46" s="10" t="str">
        <f t="shared" si="3"/>
        <v>普通</v>
      </c>
      <c r="AL46" s="14" t="str">
        <f ca="1">INDEX(経験値!$A$1:$I$20,MATCH(H46,経験値!$A$1:$A$20,FALSE),MATCH(G46,経験値!$A$1:$I$1,FALSE))</f>
        <v>required_exp_100</v>
      </c>
      <c r="AM46" s="11">
        <f ca="1">VLOOKUP(G46,経験値!$A$27:$B$31,2)</f>
        <v>600</v>
      </c>
      <c r="AN46" s="21">
        <f ca="1">VLOOKUP(G46,ビット!$G$2:$H$7,2)</f>
        <v>150</v>
      </c>
      <c r="AO46" s="64" t="s">
        <v>52</v>
      </c>
      <c r="AP46" s="101">
        <v>123002</v>
      </c>
      <c r="AQ46" s="77" t="e">
        <f ca="1">VLOOKUP($AP46,OFFSET([1]unit_skills!$A$1,0,0,COUNTA([1]unit_skills!$A:$A),MATCH("name",[1]unit_skills!$1:$1,0)-MATCH($AP$1,[1]unit_skills!$1:$1,0)+1),MATCH("name",[1]unit_skills!$1:$1,0)-MATCH($AP$1,[1]unit_skills!$1:$1,0)+1,FALSE)</f>
        <v>#VALUE!</v>
      </c>
      <c r="AR46" s="77" t="e">
        <f ca="1">VLOOKUP($AP46,OFFSET([1]unit_skills!$A$1,0,0,COUNTA([1]unit_skills!$A:$A),MATCH("comment",[1]unit_skills!$1:$1,0)-MATCH($AP$1,[1]unit_skills!$1:$1,0)+1),MATCH("comment",[1]unit_skills!$1:$1,0)-MATCH($AP$1,[1]unit_skills!$1:$1,0)+1,FALSE)</f>
        <v>#VALUE!</v>
      </c>
      <c r="AS46" s="77" t="e">
        <f ca="1">VLOOKUP($AP46,OFFSET([1]unit_skills!$A$1,0,0,COUNTA([1]unit_skills!$A:$A),MATCH(AS$1,[1]unit_skills!$1:$1,0)-MATCH($AP$1,[1]unit_skills!$1:$1,0)+1),MATCH(AS$1,[1]unit_skills!$1:$1,0)-MATCH($AP$1,[1]unit_skills!$1:$1,0)+1,FALSE)</f>
        <v>#VALUE!</v>
      </c>
      <c r="AT46" s="97">
        <v>203101</v>
      </c>
      <c r="AU46" s="77" t="e">
        <f ca="1">VLOOKUP($AT46,OFFSET([1]crash_skills!$A$1,0,0,COUNTA([1]crash_skills!$A:$A),MATCH("name",[1]crash_skills!$1:$1,0)-MATCH($AT$1,[1]crash_skills!$1:$1,0)+1),MATCH("name",[1]crash_skills!$1:$1,0)-MATCH($AT$1,[1]crash_skills!$1:$1,0)+1,FALSE)</f>
        <v>#VALUE!</v>
      </c>
      <c r="AV46" s="77" t="e">
        <f ca="1">VLOOKUP($AT46,OFFSET([1]crash_skills!$A$1,0,0,COUNTA([1]crash_skills!$A:$A),MATCH("comment",[1]crash_skills!$1:$1,0)-MATCH($AT$1,[1]crash_skills!$1:$1,0)+1),MATCH("comment",[1]crash_skills!$1:$1,0)-MATCH($AT$1,[1]crash_skills!$1:$1,0)+1,FALSE)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6" s="77" t="e">
        <f ca="1">VLOOKUP($AT46,OFFSET([1]crash_skills!$A$1,0,0,COUNTA([1]crash_skills!$A:$A),MATCH(AW$1,[1]crash_skills!$1:$1,0)-MATCH($AT$1,[1]crash_skills!$1:$1,0)+1),MATCH(AW$1,[1]crash_skills!$1:$1,0)-MATCH($AT$1,[1]crash_skills!$1:$1,0)+1,FALSE)</f>
        <v>#VALUE!</v>
      </c>
      <c r="AX46" s="81">
        <f ca="1">VLOOKUP($A46,OFFSET([2]characters!$A$1,0,0,COUNTA([2]characters!$A:$A),MATCH(AX$1,[2]characters!$1:$1,0)-MATCH($A$1,[2]characters!$1:$1,0)+1),MATCH(AX$1,[2]characters!$1:$1,0)-MATCH($A$1,[2]characters!$1:$1,0)+1,FALSE)</f>
        <v>3</v>
      </c>
      <c r="AY46" s="19">
        <v>1</v>
      </c>
      <c r="AZ46" s="19">
        <v>1</v>
      </c>
      <c r="BA46" s="19">
        <v>0</v>
      </c>
      <c r="BB46" s="19">
        <v>1</v>
      </c>
      <c r="BC46" s="14">
        <f ca="1">INDEX('RC6SV'!$A$1:$G$20,MATCH(H46,'RC6SV'!$A$1:$A$20,FALSE),MATCH(G46,'RC6SV'!$A$1:$G$1,FALSE))</f>
        <v>2800</v>
      </c>
      <c r="BD46" s="63">
        <f t="shared" ca="1" si="4"/>
        <v>2800</v>
      </c>
      <c r="BE46" s="14">
        <f t="shared" ca="1" si="5"/>
        <v>0</v>
      </c>
      <c r="BF46" s="14">
        <f t="shared" ca="1" si="6"/>
        <v>1</v>
      </c>
      <c r="BG46" s="20">
        <f ca="1">IF($BE46&lt;=0,ROUND(BK46*0.5,0), ROUND($BE46*S46*AA46*J46*AY46*0.8*[2]ステータス!$B$2,0))</f>
        <v>1015</v>
      </c>
      <c r="BH46" s="20">
        <f ca="1">IF($BE46&lt;=0,ROUND(BL46*0.5,0), ROUND($BE46*T46*AB46*K46*AZ46*0.8*[2]ステータス!$C$2,0))</f>
        <v>385</v>
      </c>
      <c r="BI46" s="20">
        <f ca="1">IF($BE46&lt;=0,ROUND(BM46*0.5,0), ROUND($BE46*U46*AC46*L46*BA46*0.8*[2]ステータス!$D$2,0))</f>
        <v>0</v>
      </c>
      <c r="BJ46" s="20">
        <f ca="1">IF($BE46&lt;=0,ROUND(BN46*0.5,0), ROUND($BE46*V46*AD46*M46*BB46*0.8*[2]ステータス!$E$2,0))</f>
        <v>225</v>
      </c>
      <c r="BK46" s="14">
        <f ca="1">ROUND(BD46*S46*AA46*J46*AY46*[2]ステータス!$B$2,0)</f>
        <v>2030</v>
      </c>
      <c r="BL46" s="14">
        <f ca="1">ROUND(BD46*T46*AB46*K46*AZ46*[2]ステータス!$C$2,0)</f>
        <v>770</v>
      </c>
      <c r="BM46" s="14">
        <f ca="1">ROUND(BD46*U46*AC46*L46*BA46*[2]ステータス!$D$2,0)</f>
        <v>0</v>
      </c>
      <c r="BN46" s="14">
        <f ca="1">ROUND(BD46*V46*AD46*M46*BB46*[2]ステータス!$E$2,0)</f>
        <v>450</v>
      </c>
      <c r="BO46" s="13">
        <v>0</v>
      </c>
      <c r="BP46" s="13">
        <v>1</v>
      </c>
      <c r="BQ46" s="13" t="s">
        <v>102</v>
      </c>
      <c r="BR46" s="13">
        <f ca="1">VLOOKUP(H46,ghosts_label!$A$2:$B$19,2,FALSE)</f>
        <v>1</v>
      </c>
    </row>
    <row r="47" spans="1:70" ht="21" customHeight="1" x14ac:dyDescent="0.15">
      <c r="A47" s="14">
        <f t="shared" ca="1" si="0"/>
        <v>46</v>
      </c>
      <c r="B47" s="77" t="str">
        <f ca="1">VLOOKUP($A47,OFFSET([2]characters!$A$1,0,0,COUNTA([2]characters!$A:$A),MATCH(B$1,[2]characters!$1:$1,0)-MATCH($A$1,[2]characters!$1:$1,0)+1),MATCH(B$1,[2]characters!$1:$1,0)-MATCH($A$1,[2]characters!$1:$1,0)+1,FALSE)</f>
        <v>微笑みの筆跡 ショウイン</v>
      </c>
      <c r="C47" s="77" t="str">
        <f ca="1">VLOOKUP($A47,OFFSET([2]characters!$A$1,0,0,COUNTA([2]characters!$A:$A),MATCH(C$1,[2]characters!$1:$1,0)-MATCH($A$1,[2]characters!$1:$1,0)+1),MATCH(C$1,[2]characters!$1:$1,0)-MATCH($A$1,[2]characters!$1:$1,0)+1,FALSE)</f>
        <v>ノーマルクエスト</v>
      </c>
      <c r="D47" s="77" t="str">
        <f ca="1">VLOOKUP($A47,OFFSET([2]characters!$A$1,0,0,COUNTA([2]characters!$A:$A),MATCH(D$1,[2]characters!$1:$1,0)-MATCH($A$1,[2]characters!$1:$1,0)+1),MATCH(D$1,[2]characters!$1:$1,0)-MATCH($A$1,[2]characters!$1:$1,0)+1,FALSE)</f>
        <v>アバター</v>
      </c>
      <c r="E47" s="77" t="str">
        <f ca="1">VLOOKUP($A47,OFFSET([2]characters!$A$1,0,0,COUNTA([2]characters!$A:$A),MATCH(E$1,[2]characters!$1:$1,0)-MATCH($A$1,[2]characters!$1:$1,0)+1),MATCH(E$1,[2]characters!$1:$1,0)-MATCH($A$1,[2]characters!$1:$1,0)+1,FALSE)</f>
        <v>世界観</v>
      </c>
      <c r="F47" s="77" t="str">
        <f ca="1">VLOOKUP($A47,OFFSET([2]characters!$A$1,0,0,COUNTA([2]characters!$A:$A),MATCH(F$1,[2]characters!$1:$1,0)-MATCH($A$1,[2]characters!$1:$1,0)+1),MATCH(F$1,[2]characters!$1:$1,0)-MATCH($A$1,[2]characters!$1:$1,0)+1,FALSE)</f>
        <v>不明</v>
      </c>
      <c r="G47" s="77">
        <f ca="1">VLOOKUP($A47,OFFSET([2]characters!$A$1,0,0,COUNTA([2]characters!$A:$A),MATCH(G$1,[2]characters!$1:$1,0)-MATCH($A$1,[2]characters!$1:$1,0)+1),MATCH(G$1,[2]characters!$1:$1,0)-MATCH($A$1,[2]characters!$1:$1,0)+1,FALSE)</f>
        <v>3</v>
      </c>
      <c r="H47" s="77" t="str">
        <f ca="1">VLOOKUP($A47,OFFSET([2]characters!$A$1,0,0,COUNTA([2]characters!$A:$A),MATCH(H$1,[2]characters!$1:$1,0)-MATCH($A$1,[2]characters!$1:$1,0)+1),MATCH(H$1,[2]characters!$1:$1,0)-MATCH($A$1,[2]characters!$1:$1,0)+1,FALSE)</f>
        <v>Drop1N</v>
      </c>
      <c r="I47" s="77" t="str">
        <f ca="1">VLOOKUP($A47,OFFSET([2]characters!$A$1,0,0,COUNTA([2]characters!$A:$A),MATCH(I$1,[2]characters!$1:$1,0)-MATCH($A$1,[2]characters!$1:$1,0)+1),MATCH(I$1,[2]characters!$1:$1,0)-MATCH($A$1,[2]characters!$1:$1,0)+1,FALSE)</f>
        <v>blue</v>
      </c>
      <c r="J47" s="14">
        <f ca="1">VLOOKUP(I47,[2]属性!$A:$E,2,FALSE)</f>
        <v>1</v>
      </c>
      <c r="K47" s="14">
        <f ca="1">VLOOKUP(I47,[2]属性!$A:$E,3,FALSE)</f>
        <v>0.98</v>
      </c>
      <c r="L47" s="14">
        <f ca="1">VLOOKUP(I47,[2]属性!$A:$E,4,FALSE)</f>
        <v>1</v>
      </c>
      <c r="M47" s="14">
        <f ca="1">VLOOKUP(I47,[2]属性!$A:$E,5,FALSE)</f>
        <v>1.02</v>
      </c>
      <c r="N47" s="14">
        <f ca="1">INDEX(コスト!$A$1:$I$20,MATCH(H47,コスト!$A$1:$A$20,FALSE),MATCH(G47,コスト!$A$1:$I$1,FALSE))</f>
        <v>6</v>
      </c>
      <c r="O47" s="14">
        <f ca="1">INDEX(レベル!$A$1:$I$21,MATCH(H47,レベル!$A$1:$A$21,FALSE),MATCH(G47,レベル!$A$1:$I$1,FALSE))</f>
        <v>40</v>
      </c>
      <c r="P47" s="63">
        <f t="shared" ca="1" si="7"/>
        <v>45</v>
      </c>
      <c r="Q47" s="77" t="str">
        <f ca="1">VLOOKUP($A47,OFFSET([2]characters!$A$1,0,0,COUNTA([2]characters!$A:$A),MATCH(Q$1,[2]characters!$1:$1,0)-MATCH($A$1,[2]characters!$1:$1,0)+1),MATCH(Q$1,[2]characters!$1:$1,0)-MATCH($A$1,[2]characters!$1:$1,0)+1,FALSE)</f>
        <v>hp</v>
      </c>
      <c r="R47" s="8" t="str">
        <f ca="1">VLOOKUP(Q47,[2]character_type_i18n!$A:$H,3,FALSE)</f>
        <v>体力タイプ</v>
      </c>
      <c r="S47" s="14">
        <f ca="1">VLOOKUP(Q47,[2]character_type_i18n!$A:$H,4,FALSE)</f>
        <v>1.45</v>
      </c>
      <c r="T47" s="14">
        <f ca="1">VLOOKUP(Q47,[2]character_type_i18n!$A:$H,5,FALSE)</f>
        <v>0.85</v>
      </c>
      <c r="U47" s="14">
        <f ca="1">VLOOKUP(Q47,[2]character_type_i18n!$A:$H,6,FALSE)</f>
        <v>1</v>
      </c>
      <c r="V47" s="14">
        <f ca="1">VLOOKUP(Q47,[2]character_type_i18n!$A:$H,7,FALSE)</f>
        <v>0.7</v>
      </c>
      <c r="W47" s="77" t="str">
        <f ca="1">VLOOKUP($A47,OFFSET([2]characters!$A$1,0,0,COUNTA([2]characters!$A:$A),MATCH(W$1,[2]characters!$1:$1,0)-MATCH($A$1,[2]characters!$1:$1,0)+1),MATCH(W$1,[2]characters!$1:$1,0)-MATCH($A$1,[2]characters!$1:$1,0)+1,FALSE)</f>
        <v>animal</v>
      </c>
      <c r="X47" s="8" t="str">
        <f ca="1">VLOOKUP(W47,[2]character_tribe_i18n!$A:$H,3,FALSE)</f>
        <v>アニマル</v>
      </c>
      <c r="Y47" s="77" t="str">
        <f ca="1">VLOOKUP($A47,OFFSET([2]characters!$A$1,0,0,COUNTA([2]characters!$A:$A),MATCH(Y$1,[2]characters!$1:$1,0)-MATCH($A$1,[2]characters!$1:$1,0)+1),MATCH(Y$1,[2]characters!$1:$1,0)-MATCH($A$1,[2]characters!$1:$1,0)+1,FALSE)</f>
        <v>none</v>
      </c>
      <c r="Z47" s="8" t="str">
        <f ca="1">VLOOKUP(Y47,[2]character_tribe_i18n!$A:$H,3,FALSE)</f>
        <v>種族なし</v>
      </c>
      <c r="AA47" s="14">
        <f ca="1">VLOOKUP(W47,[2]character_tribe_i18n!$A:$H,4,FALSE)</f>
        <v>1</v>
      </c>
      <c r="AB47" s="14">
        <f ca="1">VLOOKUP(W47,[2]character_tribe_i18n!$A:$H,5,FALSE)</f>
        <v>1.1000000000000001</v>
      </c>
      <c r="AC47" s="14">
        <f ca="1">VLOOKUP(W47,[2]character_tribe_i18n!$A:$H,6,FALSE)</f>
        <v>1</v>
      </c>
      <c r="AD47" s="14">
        <f ca="1">VLOOKUP(W47,[2]character_tribe_i18n!$A:$H,7,FALSE)</f>
        <v>0.9</v>
      </c>
      <c r="AE47" s="12" t="s">
        <v>102</v>
      </c>
      <c r="AF47" s="85" t="str">
        <f ca="1">IF(AE47="NULL","",VLOOKUP($AE47,OFFSET([2]characters!$A$1,0,0,COUNTA([2]characters!$A:$A),MATCH(AF$1,[2]characters!$1:$1,0)-MATCH($A$1,[2]characters!$1:$1,0)+1),MATCH(AF$1,[2]characters!$1:$1,0)-MATCH($A$1,[2]characters!$1:$1,0)+1,FALSE))</f>
        <v/>
      </c>
      <c r="AG47" s="8">
        <f t="shared" ca="1" si="2"/>
        <v>45</v>
      </c>
      <c r="AH47" s="85" t="str">
        <f ca="1">VLOOKUP($AG47,OFFSET([2]characters!$A$1,0,0,COUNTA([2]characters!$A:$A),MATCH(AH$1,[2]characters!$1:$1,0)-MATCH($A$1,[2]characters!$1:$1,0)+1),MATCH(AH$1,[2]characters!$1:$1,0)-MATCH($A$1,[2]characters!$1:$1,0)+1,FALSE)</f>
        <v>ショウイン</v>
      </c>
      <c r="AI47" s="14" t="str">
        <f>IF(AE47="NULL","NULL",VLOOKUP(G47,ビット!$A$2:$B$7,2))</f>
        <v>NULL</v>
      </c>
      <c r="AJ47" s="9">
        <v>2</v>
      </c>
      <c r="AK47" s="10" t="str">
        <f t="shared" si="3"/>
        <v>普通</v>
      </c>
      <c r="AL47" s="14" t="str">
        <f ca="1">INDEX(経験値!$A$1:$I$20,MATCH(H47,経験値!$A$1:$A$20,FALSE),MATCH(G47,経験値!$A$1:$I$1,FALSE))</f>
        <v>required_exp_100</v>
      </c>
      <c r="AM47" s="11">
        <f ca="1">VLOOKUP(G47,経験値!$A$27:$B$31,2)</f>
        <v>1500</v>
      </c>
      <c r="AN47" s="21">
        <f ca="1">VLOOKUP(G47,ビット!$G$2:$H$7,2)</f>
        <v>300</v>
      </c>
      <c r="AO47" s="64" t="s">
        <v>52</v>
      </c>
      <c r="AP47" s="101">
        <v>123003</v>
      </c>
      <c r="AQ47" s="77" t="e">
        <f ca="1">VLOOKUP($AP47,OFFSET([1]unit_skills!$A$1,0,0,COUNTA([1]unit_skills!$A:$A),MATCH("name",[1]unit_skills!$1:$1,0)-MATCH($AP$1,[1]unit_skills!$1:$1,0)+1),MATCH("name",[1]unit_skills!$1:$1,0)-MATCH($AP$1,[1]unit_skills!$1:$1,0)+1,FALSE)</f>
        <v>#VALUE!</v>
      </c>
      <c r="AR47" s="77" t="e">
        <f ca="1">VLOOKUP($AP47,OFFSET([1]unit_skills!$A$1,0,0,COUNTA([1]unit_skills!$A:$A),MATCH("comment",[1]unit_skills!$1:$1,0)-MATCH($AP$1,[1]unit_skills!$1:$1,0)+1),MATCH("comment",[1]unit_skills!$1:$1,0)-MATCH($AP$1,[1]unit_skills!$1:$1,0)+1,FALSE)</f>
        <v>#VALUE!</v>
      </c>
      <c r="AS47" s="77" t="e">
        <f ca="1">VLOOKUP($AP47,OFFSET([1]unit_skills!$A$1,0,0,COUNTA([1]unit_skills!$A:$A),MATCH(AS$1,[1]unit_skills!$1:$1,0)-MATCH($AP$1,[1]unit_skills!$1:$1,0)+1),MATCH(AS$1,[1]unit_skills!$1:$1,0)-MATCH($AP$1,[1]unit_skills!$1:$1,0)+1,FALSE)</f>
        <v>#VALUE!</v>
      </c>
      <c r="AT47" s="97">
        <v>203102</v>
      </c>
      <c r="AU47" s="77" t="e">
        <f ca="1">VLOOKUP($AT47,OFFSET([1]crash_skills!$A$1,0,0,COUNTA([1]crash_skills!$A:$A),MATCH("name",[1]crash_skills!$1:$1,0)-MATCH($AT$1,[1]crash_skills!$1:$1,0)+1),MATCH("name",[1]crash_skills!$1:$1,0)-MATCH($AT$1,[1]crash_skills!$1:$1,0)+1,FALSE)</f>
        <v>#VALUE!</v>
      </c>
      <c r="AV47" s="77" t="e">
        <f ca="1">VLOOKUP($AT47,OFFSET([1]crash_skills!$A$1,0,0,COUNTA([1]crash_skills!$A:$A),MATCH("comment",[1]crash_skills!$1:$1,0)-MATCH($AT$1,[1]crash_skills!$1:$1,0)+1),MATCH("comment",[1]crash_skills!$1:$1,0)-MATCH($AT$1,[1]crash_skills!$1:$1,0)+1,FALSE)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7" s="77" t="e">
        <f ca="1">VLOOKUP($AT47,OFFSET([1]crash_skills!$A$1,0,0,COUNTA([1]crash_skills!$A:$A),MATCH(AW$1,[1]crash_skills!$1:$1,0)-MATCH($AT$1,[1]crash_skills!$1:$1,0)+1),MATCH(AW$1,[1]crash_skills!$1:$1,0)-MATCH($AT$1,[1]crash_skills!$1:$1,0)+1,FALSE)</f>
        <v>#VALUE!</v>
      </c>
      <c r="AX47" s="81">
        <f ca="1">VLOOKUP($A47,OFFSET([2]characters!$A$1,0,0,COUNTA([2]characters!$A:$A),MATCH(AX$1,[2]characters!$1:$1,0)-MATCH($A$1,[2]characters!$1:$1,0)+1),MATCH(AX$1,[2]characters!$1:$1,0)-MATCH($A$1,[2]characters!$1:$1,0)+1,FALSE)</f>
        <v>3</v>
      </c>
      <c r="AY47" s="19">
        <v>1</v>
      </c>
      <c r="AZ47" s="19">
        <v>1</v>
      </c>
      <c r="BA47" s="19">
        <v>0</v>
      </c>
      <c r="BB47" s="19">
        <v>1</v>
      </c>
      <c r="BC47" s="14">
        <f ca="1">INDEX('RC6SV'!$A$1:$G$20,MATCH(H47,'RC6SV'!$A$1:$A$20,FALSE),MATCH(G47,'RC6SV'!$A$1:$G$1,FALSE))</f>
        <v>4000</v>
      </c>
      <c r="BD47" s="63">
        <f t="shared" ca="1" si="4"/>
        <v>4000</v>
      </c>
      <c r="BE47" s="14">
        <f t="shared" ca="1" si="5"/>
        <v>2800</v>
      </c>
      <c r="BF47" s="14">
        <f t="shared" ca="1" si="6"/>
        <v>1</v>
      </c>
      <c r="BG47" s="20">
        <f ca="1">IF($BE47&lt;=0,ROUND(BK47*0.5,0), ROUND($BE47*S47*AA47*J47*AY47*0.8*[2]ステータス!$B$2,0))</f>
        <v>1624</v>
      </c>
      <c r="BH47" s="20">
        <f ca="1">IF($BE47&lt;=0,ROUND(BL47*0.5,0), ROUND($BE47*T47*AB47*K47*AZ47*0.8*[2]ステータス!$C$2,0))</f>
        <v>616</v>
      </c>
      <c r="BI47" s="20">
        <f ca="1">IF($BE47&lt;=0,ROUND(BM47*0.5,0), ROUND($BE47*U47*AC47*L47*BA47*0.8*[2]ステータス!$D$2,0))</f>
        <v>0</v>
      </c>
      <c r="BJ47" s="20">
        <f ca="1">IF($BE47&lt;=0,ROUND(BN47*0.5,0), ROUND($BE47*V47*AD47*M47*BB47*0.8*[2]ステータス!$E$2,0))</f>
        <v>360</v>
      </c>
      <c r="BK47" s="14">
        <f ca="1">ROUND(BD47*S47*AA47*J47*AY47*[2]ステータス!$B$2,0)</f>
        <v>2900</v>
      </c>
      <c r="BL47" s="14">
        <f ca="1">ROUND(BD47*T47*AB47*K47*AZ47*[2]ステータス!$C$2,0)</f>
        <v>1100</v>
      </c>
      <c r="BM47" s="14">
        <f ca="1">ROUND(BD47*U47*AC47*L47*BA47*[2]ステータス!$D$2,0)</f>
        <v>0</v>
      </c>
      <c r="BN47" s="14">
        <f ca="1">ROUND(BD47*V47*AD47*M47*BB47*[2]ステータス!$E$2,0)</f>
        <v>643</v>
      </c>
      <c r="BO47" s="13">
        <v>0</v>
      </c>
      <c r="BP47" s="13">
        <v>1</v>
      </c>
      <c r="BQ47" s="13" t="s">
        <v>102</v>
      </c>
      <c r="BR47" s="13">
        <f ca="1">VLOOKUP(H47,ghosts_label!$A$2:$B$19,2,FALSE)</f>
        <v>1</v>
      </c>
    </row>
    <row r="48" spans="1:70" ht="21" customHeight="1" x14ac:dyDescent="0.15">
      <c r="A48" s="14">
        <f t="shared" ca="1" si="0"/>
        <v>47</v>
      </c>
      <c r="B48" s="77" t="str">
        <f ca="1">VLOOKUP($A48,OFFSET([2]characters!$A$1,0,0,COUNTA([2]characters!$A:$A),MATCH(B$1,[2]characters!$1:$1,0)-MATCH($A$1,[2]characters!$1:$1,0)+1),MATCH(B$1,[2]characters!$1:$1,0)-MATCH($A$1,[2]characters!$1:$1,0)+1,FALSE)</f>
        <v>ヒロ</v>
      </c>
      <c r="C48" s="77" t="str">
        <f ca="1">VLOOKUP($A48,OFFSET([2]characters!$A$1,0,0,COUNTA([2]characters!$A:$A),MATCH(C$1,[2]characters!$1:$1,0)-MATCH($A$1,[2]characters!$1:$1,0)+1),MATCH(C$1,[2]characters!$1:$1,0)-MATCH($A$1,[2]characters!$1:$1,0)+1,FALSE)</f>
        <v>ノーマルクエスト</v>
      </c>
      <c r="D48" s="77" t="str">
        <f ca="1">VLOOKUP($A48,OFFSET([2]characters!$A$1,0,0,COUNTA([2]characters!$A:$A),MATCH(D$1,[2]characters!$1:$1,0)-MATCH($A$1,[2]characters!$1:$1,0)+1),MATCH(D$1,[2]characters!$1:$1,0)-MATCH($A$1,[2]characters!$1:$1,0)+1,FALSE)</f>
        <v>アバター</v>
      </c>
      <c r="E48" s="77" t="str">
        <f ca="1">VLOOKUP($A48,OFFSET([2]characters!$A$1,0,0,COUNTA([2]characters!$A:$A),MATCH(E$1,[2]characters!$1:$1,0)-MATCH($A$1,[2]characters!$1:$1,0)+1),MATCH(E$1,[2]characters!$1:$1,0)-MATCH($A$1,[2]characters!$1:$1,0)+1,FALSE)</f>
        <v>世界観</v>
      </c>
      <c r="F48" s="77" t="str">
        <f ca="1">VLOOKUP($A48,OFFSET([2]characters!$A$1,0,0,COUNTA([2]characters!$A:$A),MATCH(F$1,[2]characters!$1:$1,0)-MATCH($A$1,[2]characters!$1:$1,0)+1),MATCH(F$1,[2]characters!$1:$1,0)-MATCH($A$1,[2]characters!$1:$1,0)+1,FALSE)</f>
        <v>不明</v>
      </c>
      <c r="G48" s="77">
        <f ca="1">VLOOKUP($A48,OFFSET([2]characters!$A$1,0,0,COUNTA([2]characters!$A:$A),MATCH(G$1,[2]characters!$1:$1,0)-MATCH($A$1,[2]characters!$1:$1,0)+1),MATCH(G$1,[2]characters!$1:$1,0)-MATCH($A$1,[2]characters!$1:$1,0)+1,FALSE)</f>
        <v>2</v>
      </c>
      <c r="H48" s="77" t="str">
        <f ca="1">VLOOKUP($A48,OFFSET([2]characters!$A$1,0,0,COUNTA([2]characters!$A:$A),MATCH(H$1,[2]characters!$1:$1,0)-MATCH($A$1,[2]characters!$1:$1,0)+1),MATCH(H$1,[2]characters!$1:$1,0)-MATCH($A$1,[2]characters!$1:$1,0)+1,FALSE)</f>
        <v>Drop1N</v>
      </c>
      <c r="I48" s="77" t="str">
        <f ca="1">VLOOKUP($A48,OFFSET([2]characters!$A$1,0,0,COUNTA([2]characters!$A:$A),MATCH(I$1,[2]characters!$1:$1,0)-MATCH($A$1,[2]characters!$1:$1,0)+1),MATCH(I$1,[2]characters!$1:$1,0)-MATCH($A$1,[2]characters!$1:$1,0)+1,FALSE)</f>
        <v>yellow</v>
      </c>
      <c r="J48" s="14">
        <f ca="1">VLOOKUP(I48,[2]属性!$A:$E,2,FALSE)</f>
        <v>0.98</v>
      </c>
      <c r="K48" s="14">
        <f ca="1">VLOOKUP(I48,[2]属性!$A:$E,3,FALSE)</f>
        <v>1.01</v>
      </c>
      <c r="L48" s="14">
        <f ca="1">VLOOKUP(I48,[2]属性!$A:$E,4,FALSE)</f>
        <v>1</v>
      </c>
      <c r="M48" s="14">
        <f ca="1">VLOOKUP(I48,[2]属性!$A:$E,5,FALSE)</f>
        <v>1.01</v>
      </c>
      <c r="N48" s="14">
        <f ca="1">INDEX(コスト!$A$1:$I$20,MATCH(H48,コスト!$A$1:$A$20,FALSE),MATCH(G48,コスト!$A$1:$I$1,FALSE))</f>
        <v>4</v>
      </c>
      <c r="O48" s="14">
        <f ca="1">INDEX(レベル!$A$1:$I$21,MATCH(H48,レベル!$A$1:$A$21,FALSE),MATCH(G48,レベル!$A$1:$I$1,FALSE))</f>
        <v>30</v>
      </c>
      <c r="P48" s="63">
        <f t="shared" ca="1" si="7"/>
        <v>30</v>
      </c>
      <c r="Q48" s="77" t="str">
        <f ca="1">VLOOKUP($A48,OFFSET([2]characters!$A$1,0,0,COUNTA([2]characters!$A:$A),MATCH(Q$1,[2]characters!$1:$1,0)-MATCH($A$1,[2]characters!$1:$1,0)+1),MATCH(Q$1,[2]characters!$1:$1,0)-MATCH($A$1,[2]characters!$1:$1,0)+1,FALSE)</f>
        <v>attack</v>
      </c>
      <c r="R48" s="8" t="str">
        <f ca="1">VLOOKUP(Q48,[2]character_type_i18n!$A:$H,3,FALSE)</f>
        <v>攻撃タイプ</v>
      </c>
      <c r="S48" s="14">
        <f ca="1">VLOOKUP(Q48,[2]character_type_i18n!$A:$H,4,FALSE)</f>
        <v>1</v>
      </c>
      <c r="T48" s="14">
        <f ca="1">VLOOKUP(Q48,[2]character_type_i18n!$A:$H,5,FALSE)</f>
        <v>1.33</v>
      </c>
      <c r="U48" s="14">
        <f ca="1">VLOOKUP(Q48,[2]character_type_i18n!$A:$H,6,FALSE)</f>
        <v>1</v>
      </c>
      <c r="V48" s="14">
        <f ca="1">VLOOKUP(Q48,[2]character_type_i18n!$A:$H,7,FALSE)</f>
        <v>0.67</v>
      </c>
      <c r="W48" s="77" t="str">
        <f ca="1">VLOOKUP($A48,OFFSET([2]characters!$A$1,0,0,COUNTA([2]characters!$A:$A),MATCH(W$1,[2]characters!$1:$1,0)-MATCH($A$1,[2]characters!$1:$1,0)+1),MATCH(W$1,[2]characters!$1:$1,0)-MATCH($A$1,[2]characters!$1:$1,0)+1,FALSE)</f>
        <v>animal</v>
      </c>
      <c r="X48" s="8" t="str">
        <f ca="1">VLOOKUP(W48,[2]character_tribe_i18n!$A:$H,3,FALSE)</f>
        <v>アニマル</v>
      </c>
      <c r="Y48" s="77" t="str">
        <f ca="1">VLOOKUP($A48,OFFSET([2]characters!$A$1,0,0,COUNTA([2]characters!$A:$A),MATCH(Y$1,[2]characters!$1:$1,0)-MATCH($A$1,[2]characters!$1:$1,0)+1),MATCH(Y$1,[2]characters!$1:$1,0)-MATCH($A$1,[2]characters!$1:$1,0)+1,FALSE)</f>
        <v>none</v>
      </c>
      <c r="Z48" s="8" t="str">
        <f ca="1">VLOOKUP(Y48,[2]character_tribe_i18n!$A:$H,3,FALSE)</f>
        <v>種族なし</v>
      </c>
      <c r="AA48" s="14">
        <f ca="1">VLOOKUP(W48,[2]character_tribe_i18n!$A:$H,4,FALSE)</f>
        <v>1</v>
      </c>
      <c r="AB48" s="14">
        <f ca="1">VLOOKUP(W48,[2]character_tribe_i18n!$A:$H,5,FALSE)</f>
        <v>1.1000000000000001</v>
      </c>
      <c r="AC48" s="14">
        <f ca="1">VLOOKUP(W48,[2]character_tribe_i18n!$A:$H,6,FALSE)</f>
        <v>1</v>
      </c>
      <c r="AD48" s="14">
        <f ca="1">VLOOKUP(W48,[2]character_tribe_i18n!$A:$H,7,FALSE)</f>
        <v>0.9</v>
      </c>
      <c r="AE48" s="12">
        <v>48</v>
      </c>
      <c r="AF48" s="85" t="str">
        <f ca="1">IF(AE48="NULL","",VLOOKUP($AE48,OFFSET([2]characters!$A$1,0,0,COUNTA([2]characters!$A:$A),MATCH(AF$1,[2]characters!$1:$1,0)-MATCH($A$1,[2]characters!$1:$1,0)+1),MATCH(AF$1,[2]characters!$1:$1,0)-MATCH($A$1,[2]characters!$1:$1,0)+1,FALSE))</f>
        <v>サンダーステップのヒロ</v>
      </c>
      <c r="AG48" s="8">
        <f t="shared" ca="1" si="2"/>
        <v>47</v>
      </c>
      <c r="AH48" s="85" t="str">
        <f ca="1">VLOOKUP($AG48,OFFSET([2]characters!$A$1,0,0,COUNTA([2]characters!$A:$A),MATCH(AH$1,[2]characters!$1:$1,0)-MATCH($A$1,[2]characters!$1:$1,0)+1),MATCH(AH$1,[2]characters!$1:$1,0)-MATCH($A$1,[2]characters!$1:$1,0)+1,FALSE)</f>
        <v>ヒロ</v>
      </c>
      <c r="AI48" s="14">
        <f ca="1">IF(AE48="NULL","NULL",VLOOKUP(G48,ビット!$A$2:$B$7,2))</f>
        <v>10000</v>
      </c>
      <c r="AJ48" s="9">
        <v>2</v>
      </c>
      <c r="AK48" s="10" t="str">
        <f t="shared" si="3"/>
        <v>普通</v>
      </c>
      <c r="AL48" s="14" t="str">
        <f ca="1">INDEX(経験値!$A$1:$I$20,MATCH(H48,経験値!$A$1:$A$20,FALSE),MATCH(G48,経験値!$A$1:$I$1,FALSE))</f>
        <v>required_exp_100</v>
      </c>
      <c r="AM48" s="11">
        <f ca="1">VLOOKUP(G48,経験値!$A$27:$B$31,2)</f>
        <v>600</v>
      </c>
      <c r="AN48" s="21">
        <f ca="1">VLOOKUP(G48,ビット!$G$2:$H$7,2)</f>
        <v>150</v>
      </c>
      <c r="AO48" s="64" t="s">
        <v>52</v>
      </c>
      <c r="AP48" s="101">
        <v>124002</v>
      </c>
      <c r="AQ48" s="77" t="e">
        <f ca="1">VLOOKUP($AP48,OFFSET([1]unit_skills!$A$1,0,0,COUNTA([1]unit_skills!$A:$A),MATCH("name",[1]unit_skills!$1:$1,0)-MATCH($AP$1,[1]unit_skills!$1:$1,0)+1),MATCH("name",[1]unit_skills!$1:$1,0)-MATCH($AP$1,[1]unit_skills!$1:$1,0)+1,FALSE)</f>
        <v>#VALUE!</v>
      </c>
      <c r="AR48" s="77" t="e">
        <f ca="1">VLOOKUP($AP48,OFFSET([1]unit_skills!$A$1,0,0,COUNTA([1]unit_skills!$A:$A),MATCH("comment",[1]unit_skills!$1:$1,0)-MATCH($AP$1,[1]unit_skills!$1:$1,0)+1),MATCH("comment",[1]unit_skills!$1:$1,0)-MATCH($AP$1,[1]unit_skills!$1:$1,0)+1,FALSE)</f>
        <v>#VALUE!</v>
      </c>
      <c r="AS48" s="77" t="e">
        <f ca="1">VLOOKUP($AP48,OFFSET([1]unit_skills!$A$1,0,0,COUNTA([1]unit_skills!$A:$A),MATCH(AS$1,[1]unit_skills!$1:$1,0)-MATCH($AP$1,[1]unit_skills!$1:$1,0)+1),MATCH(AS$1,[1]unit_skills!$1:$1,0)-MATCH($AP$1,[1]unit_skills!$1:$1,0)+1,FALSE)</f>
        <v>#VALUE!</v>
      </c>
      <c r="AT48" s="97">
        <v>204201</v>
      </c>
      <c r="AU48" s="77" t="e">
        <f ca="1">VLOOKUP($AT48,OFFSET([1]crash_skills!$A$1,0,0,COUNTA([1]crash_skills!$A:$A),MATCH("name",[1]crash_skills!$1:$1,0)-MATCH($AT$1,[1]crash_skills!$1:$1,0)+1),MATCH("name",[1]crash_skills!$1:$1,0)-MATCH($AT$1,[1]crash_skills!$1:$1,0)+1,FALSE)</f>
        <v>#VALUE!</v>
      </c>
      <c r="AV48" s="77" t="e">
        <f ca="1">VLOOKUP($AT48,OFFSET([1]crash_skills!$A$1,0,0,COUNTA([1]crash_skills!$A:$A),MATCH("comment",[1]crash_skills!$1:$1,0)-MATCH($AT$1,[1]crash_skills!$1:$1,0)+1),MATCH("comment",[1]crash_skills!$1:$1,0)-MATCH($AT$1,[1]crash_skills!$1:$1,0)+1,FALSE)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8" s="77" t="e">
        <f ca="1">VLOOKUP($AT48,OFFSET([1]crash_skills!$A$1,0,0,COUNTA([1]crash_skills!$A:$A),MATCH(AW$1,[1]crash_skills!$1:$1,0)-MATCH($AT$1,[1]crash_skills!$1:$1,0)+1),MATCH(AW$1,[1]crash_skills!$1:$1,0)-MATCH($AT$1,[1]crash_skills!$1:$1,0)+1,FALSE)</f>
        <v>#VALUE!</v>
      </c>
      <c r="AX48" s="81">
        <f ca="1">VLOOKUP($A48,OFFSET([2]characters!$A$1,0,0,COUNTA([2]characters!$A:$A),MATCH(AX$1,[2]characters!$1:$1,0)-MATCH($A$1,[2]characters!$1:$1,0)+1),MATCH(AX$1,[2]characters!$1:$1,0)-MATCH($A$1,[2]characters!$1:$1,0)+1,FALSE)</f>
        <v>3</v>
      </c>
      <c r="AY48" s="19">
        <v>1</v>
      </c>
      <c r="AZ48" s="19">
        <v>1</v>
      </c>
      <c r="BA48" s="19">
        <v>0</v>
      </c>
      <c r="BB48" s="19">
        <v>1</v>
      </c>
      <c r="BC48" s="14">
        <f ca="1">INDEX('RC6SV'!$A$1:$G$20,MATCH(H48,'RC6SV'!$A$1:$A$20,FALSE),MATCH(G48,'RC6SV'!$A$1:$G$1,FALSE))</f>
        <v>2800</v>
      </c>
      <c r="BD48" s="63">
        <f t="shared" ca="1" si="4"/>
        <v>2800</v>
      </c>
      <c r="BE48" s="14">
        <f t="shared" ca="1" si="5"/>
        <v>0</v>
      </c>
      <c r="BF48" s="14">
        <f t="shared" ca="1" si="6"/>
        <v>1</v>
      </c>
      <c r="BG48" s="20">
        <f ca="1">IF($BE48&lt;=0,ROUND(BK48*0.5,0), ROUND($BE48*S48*AA48*J48*AY48*0.8*[2]ステータス!$B$2,0))</f>
        <v>686</v>
      </c>
      <c r="BH48" s="20">
        <f ca="1">IF($BE48&lt;=0,ROUND(BL48*0.5,0), ROUND($BE48*T48*AB48*K48*AZ48*0.8*[2]ステータス!$C$2,0))</f>
        <v>621</v>
      </c>
      <c r="BI48" s="20">
        <f ca="1">IF($BE48&lt;=0,ROUND(BM48*0.5,0), ROUND($BE48*U48*AC48*L48*BA48*0.8*[2]ステータス!$D$2,0))</f>
        <v>0</v>
      </c>
      <c r="BJ48" s="20">
        <f ca="1">IF($BE48&lt;=0,ROUND(BN48*0.5,0), ROUND($BE48*V48*AD48*M48*BB48*0.8*[2]ステータス!$E$2,0))</f>
        <v>213</v>
      </c>
      <c r="BK48" s="14">
        <f ca="1">ROUND(BD48*S48*AA48*J48*AY48*[2]ステータス!$B$2,0)</f>
        <v>1372</v>
      </c>
      <c r="BL48" s="14">
        <f ca="1">ROUND(BD48*T48*AB48*K48*AZ48*[2]ステータス!$C$2,0)</f>
        <v>1241</v>
      </c>
      <c r="BM48" s="14">
        <f ca="1">ROUND(BD48*U48*AC48*L48*BA48*[2]ステータス!$D$2,0)</f>
        <v>0</v>
      </c>
      <c r="BN48" s="14">
        <f ca="1">ROUND(BD48*V48*AD48*M48*BB48*[2]ステータス!$E$2,0)</f>
        <v>426</v>
      </c>
      <c r="BO48" s="13">
        <v>0</v>
      </c>
      <c r="BP48" s="13">
        <v>1</v>
      </c>
      <c r="BQ48" s="13" t="s">
        <v>102</v>
      </c>
      <c r="BR48" s="13">
        <f ca="1">VLOOKUP(H48,ghosts_label!$A$2:$B$19,2,FALSE)</f>
        <v>1</v>
      </c>
    </row>
    <row r="49" spans="1:70" ht="21" customHeight="1" x14ac:dyDescent="0.15">
      <c r="A49" s="14">
        <f t="shared" ca="1" si="0"/>
        <v>48</v>
      </c>
      <c r="B49" s="77" t="str">
        <f ca="1">VLOOKUP($A49,OFFSET([2]characters!$A$1,0,0,COUNTA([2]characters!$A:$A),MATCH(B$1,[2]characters!$1:$1,0)-MATCH($A$1,[2]characters!$1:$1,0)+1),MATCH(B$1,[2]characters!$1:$1,0)-MATCH($A$1,[2]characters!$1:$1,0)+1,FALSE)</f>
        <v>サンダーステップのヒロ</v>
      </c>
      <c r="C49" s="77" t="str">
        <f ca="1">VLOOKUP($A49,OFFSET([2]characters!$A$1,0,0,COUNTA([2]characters!$A:$A),MATCH(C$1,[2]characters!$1:$1,0)-MATCH($A$1,[2]characters!$1:$1,0)+1),MATCH(C$1,[2]characters!$1:$1,0)-MATCH($A$1,[2]characters!$1:$1,0)+1,FALSE)</f>
        <v>ノーマルクエスト</v>
      </c>
      <c r="D49" s="77" t="str">
        <f ca="1">VLOOKUP($A49,OFFSET([2]characters!$A$1,0,0,COUNTA([2]characters!$A:$A),MATCH(D$1,[2]characters!$1:$1,0)-MATCH($A$1,[2]characters!$1:$1,0)+1),MATCH(D$1,[2]characters!$1:$1,0)-MATCH($A$1,[2]characters!$1:$1,0)+1,FALSE)</f>
        <v>アバター</v>
      </c>
      <c r="E49" s="77" t="str">
        <f ca="1">VLOOKUP($A49,OFFSET([2]characters!$A$1,0,0,COUNTA([2]characters!$A:$A),MATCH(E$1,[2]characters!$1:$1,0)-MATCH($A$1,[2]characters!$1:$1,0)+1),MATCH(E$1,[2]characters!$1:$1,0)-MATCH($A$1,[2]characters!$1:$1,0)+1,FALSE)</f>
        <v>世界観</v>
      </c>
      <c r="F49" s="77" t="str">
        <f ca="1">VLOOKUP($A49,OFFSET([2]characters!$A$1,0,0,COUNTA([2]characters!$A:$A),MATCH(F$1,[2]characters!$1:$1,0)-MATCH($A$1,[2]characters!$1:$1,0)+1),MATCH(F$1,[2]characters!$1:$1,0)-MATCH($A$1,[2]characters!$1:$1,0)+1,FALSE)</f>
        <v>不明</v>
      </c>
      <c r="G49" s="77">
        <f ca="1">VLOOKUP($A49,OFFSET([2]characters!$A$1,0,0,COUNTA([2]characters!$A:$A),MATCH(G$1,[2]characters!$1:$1,0)-MATCH($A$1,[2]characters!$1:$1,0)+1),MATCH(G$1,[2]characters!$1:$1,0)-MATCH($A$1,[2]characters!$1:$1,0)+1,FALSE)</f>
        <v>3</v>
      </c>
      <c r="H49" s="77" t="str">
        <f ca="1">VLOOKUP($A49,OFFSET([2]characters!$A$1,0,0,COUNTA([2]characters!$A:$A),MATCH(H$1,[2]characters!$1:$1,0)-MATCH($A$1,[2]characters!$1:$1,0)+1),MATCH(H$1,[2]characters!$1:$1,0)-MATCH($A$1,[2]characters!$1:$1,0)+1,FALSE)</f>
        <v>Drop1N</v>
      </c>
      <c r="I49" s="77" t="str">
        <f ca="1">VLOOKUP($A49,OFFSET([2]characters!$A$1,0,0,COUNTA([2]characters!$A:$A),MATCH(I$1,[2]characters!$1:$1,0)-MATCH($A$1,[2]characters!$1:$1,0)+1),MATCH(I$1,[2]characters!$1:$1,0)-MATCH($A$1,[2]characters!$1:$1,0)+1,FALSE)</f>
        <v>yellow</v>
      </c>
      <c r="J49" s="14">
        <f ca="1">VLOOKUP(I49,[2]属性!$A:$E,2,FALSE)</f>
        <v>0.98</v>
      </c>
      <c r="K49" s="14">
        <f ca="1">VLOOKUP(I49,[2]属性!$A:$E,3,FALSE)</f>
        <v>1.01</v>
      </c>
      <c r="L49" s="14">
        <f ca="1">VLOOKUP(I49,[2]属性!$A:$E,4,FALSE)</f>
        <v>1</v>
      </c>
      <c r="M49" s="14">
        <f ca="1">VLOOKUP(I49,[2]属性!$A:$E,5,FALSE)</f>
        <v>1.01</v>
      </c>
      <c r="N49" s="14">
        <f ca="1">INDEX(コスト!$A$1:$I$20,MATCH(H49,コスト!$A$1:$A$20,FALSE),MATCH(G49,コスト!$A$1:$I$1,FALSE))</f>
        <v>6</v>
      </c>
      <c r="O49" s="14">
        <f ca="1">INDEX(レベル!$A$1:$I$21,MATCH(H49,レベル!$A$1:$A$21,FALSE),MATCH(G49,レベル!$A$1:$I$1,FALSE))</f>
        <v>40</v>
      </c>
      <c r="P49" s="63">
        <f t="shared" ca="1" si="7"/>
        <v>45</v>
      </c>
      <c r="Q49" s="77" t="str">
        <f ca="1">VLOOKUP($A49,OFFSET([2]characters!$A$1,0,0,COUNTA([2]characters!$A:$A),MATCH(Q$1,[2]characters!$1:$1,0)-MATCH($A$1,[2]characters!$1:$1,0)+1),MATCH(Q$1,[2]characters!$1:$1,0)-MATCH($A$1,[2]characters!$1:$1,0)+1,FALSE)</f>
        <v>attack</v>
      </c>
      <c r="R49" s="8" t="str">
        <f ca="1">VLOOKUP(Q49,[2]character_type_i18n!$A:$H,3,FALSE)</f>
        <v>攻撃タイプ</v>
      </c>
      <c r="S49" s="14">
        <f ca="1">VLOOKUP(Q49,[2]character_type_i18n!$A:$H,4,FALSE)</f>
        <v>1</v>
      </c>
      <c r="T49" s="14">
        <f ca="1">VLOOKUP(Q49,[2]character_type_i18n!$A:$H,5,FALSE)</f>
        <v>1.33</v>
      </c>
      <c r="U49" s="14">
        <f ca="1">VLOOKUP(Q49,[2]character_type_i18n!$A:$H,6,FALSE)</f>
        <v>1</v>
      </c>
      <c r="V49" s="14">
        <f ca="1">VLOOKUP(Q49,[2]character_type_i18n!$A:$H,7,FALSE)</f>
        <v>0.67</v>
      </c>
      <c r="W49" s="77" t="str">
        <f ca="1">VLOOKUP($A49,OFFSET([2]characters!$A$1,0,0,COUNTA([2]characters!$A:$A),MATCH(W$1,[2]characters!$1:$1,0)-MATCH($A$1,[2]characters!$1:$1,0)+1),MATCH(W$1,[2]characters!$1:$1,0)-MATCH($A$1,[2]characters!$1:$1,0)+1,FALSE)</f>
        <v>animal</v>
      </c>
      <c r="X49" s="8" t="str">
        <f ca="1">VLOOKUP(W49,[2]character_tribe_i18n!$A:$H,3,FALSE)</f>
        <v>アニマル</v>
      </c>
      <c r="Y49" s="77" t="str">
        <f ca="1">VLOOKUP($A49,OFFSET([2]characters!$A$1,0,0,COUNTA([2]characters!$A:$A),MATCH(Y$1,[2]characters!$1:$1,0)-MATCH($A$1,[2]characters!$1:$1,0)+1),MATCH(Y$1,[2]characters!$1:$1,0)-MATCH($A$1,[2]characters!$1:$1,0)+1,FALSE)</f>
        <v>none</v>
      </c>
      <c r="Z49" s="8" t="str">
        <f ca="1">VLOOKUP(Y49,[2]character_tribe_i18n!$A:$H,3,FALSE)</f>
        <v>種族なし</v>
      </c>
      <c r="AA49" s="14">
        <f ca="1">VLOOKUP(W49,[2]character_tribe_i18n!$A:$H,4,FALSE)</f>
        <v>1</v>
      </c>
      <c r="AB49" s="14">
        <f ca="1">VLOOKUP(W49,[2]character_tribe_i18n!$A:$H,5,FALSE)</f>
        <v>1.1000000000000001</v>
      </c>
      <c r="AC49" s="14">
        <f ca="1">VLOOKUP(W49,[2]character_tribe_i18n!$A:$H,6,FALSE)</f>
        <v>1</v>
      </c>
      <c r="AD49" s="14">
        <f ca="1">VLOOKUP(W49,[2]character_tribe_i18n!$A:$H,7,FALSE)</f>
        <v>0.9</v>
      </c>
      <c r="AE49" s="12" t="s">
        <v>102</v>
      </c>
      <c r="AF49" s="85" t="str">
        <f ca="1">IF(AE49="NULL","",VLOOKUP($AE49,OFFSET([2]characters!$A$1,0,0,COUNTA([2]characters!$A:$A),MATCH(AF$1,[2]characters!$1:$1,0)-MATCH($A$1,[2]characters!$1:$1,0)+1),MATCH(AF$1,[2]characters!$1:$1,0)-MATCH($A$1,[2]characters!$1:$1,0)+1,FALSE))</f>
        <v/>
      </c>
      <c r="AG49" s="8">
        <f t="shared" ca="1" si="2"/>
        <v>47</v>
      </c>
      <c r="AH49" s="85" t="str">
        <f ca="1">VLOOKUP($AG49,OFFSET([2]characters!$A$1,0,0,COUNTA([2]characters!$A:$A),MATCH(AH$1,[2]characters!$1:$1,0)-MATCH($A$1,[2]characters!$1:$1,0)+1),MATCH(AH$1,[2]characters!$1:$1,0)-MATCH($A$1,[2]characters!$1:$1,0)+1,FALSE)</f>
        <v>ヒロ</v>
      </c>
      <c r="AI49" s="14" t="str">
        <f>IF(AE49="NULL","NULL",VLOOKUP(G49,ビット!$A$2:$B$7,2))</f>
        <v>NULL</v>
      </c>
      <c r="AJ49" s="9">
        <v>2</v>
      </c>
      <c r="AK49" s="10" t="str">
        <f t="shared" si="3"/>
        <v>普通</v>
      </c>
      <c r="AL49" s="14" t="str">
        <f ca="1">INDEX(経験値!$A$1:$I$20,MATCH(H49,経験値!$A$1:$A$20,FALSE),MATCH(G49,経験値!$A$1:$I$1,FALSE))</f>
        <v>required_exp_100</v>
      </c>
      <c r="AM49" s="11">
        <f ca="1">VLOOKUP(G49,経験値!$A$27:$B$31,2)</f>
        <v>1500</v>
      </c>
      <c r="AN49" s="21">
        <f ca="1">VLOOKUP(G49,ビット!$G$2:$H$7,2)</f>
        <v>300</v>
      </c>
      <c r="AO49" s="64" t="s">
        <v>52</v>
      </c>
      <c r="AP49" s="101">
        <v>124003</v>
      </c>
      <c r="AQ49" s="77" t="e">
        <f ca="1">VLOOKUP($AP49,OFFSET([1]unit_skills!$A$1,0,0,COUNTA([1]unit_skills!$A:$A),MATCH("name",[1]unit_skills!$1:$1,0)-MATCH($AP$1,[1]unit_skills!$1:$1,0)+1),MATCH("name",[1]unit_skills!$1:$1,0)-MATCH($AP$1,[1]unit_skills!$1:$1,0)+1,FALSE)</f>
        <v>#VALUE!</v>
      </c>
      <c r="AR49" s="77" t="e">
        <f ca="1">VLOOKUP($AP49,OFFSET([1]unit_skills!$A$1,0,0,COUNTA([1]unit_skills!$A:$A),MATCH("comment",[1]unit_skills!$1:$1,0)-MATCH($AP$1,[1]unit_skills!$1:$1,0)+1),MATCH("comment",[1]unit_skills!$1:$1,0)-MATCH($AP$1,[1]unit_skills!$1:$1,0)+1,FALSE)</f>
        <v>#VALUE!</v>
      </c>
      <c r="AS49" s="77" t="e">
        <f ca="1">VLOOKUP($AP49,OFFSET([1]unit_skills!$A$1,0,0,COUNTA([1]unit_skills!$A:$A),MATCH(AS$1,[1]unit_skills!$1:$1,0)-MATCH($AP$1,[1]unit_skills!$1:$1,0)+1),MATCH(AS$1,[1]unit_skills!$1:$1,0)-MATCH($AP$1,[1]unit_skills!$1:$1,0)+1,FALSE)</f>
        <v>#VALUE!</v>
      </c>
      <c r="AT49" s="97">
        <v>204202</v>
      </c>
      <c r="AU49" s="77" t="e">
        <f ca="1">VLOOKUP($AT49,OFFSET([1]crash_skills!$A$1,0,0,COUNTA([1]crash_skills!$A:$A),MATCH("name",[1]crash_skills!$1:$1,0)-MATCH($AT$1,[1]crash_skills!$1:$1,0)+1),MATCH("name",[1]crash_skills!$1:$1,0)-MATCH($AT$1,[1]crash_skills!$1:$1,0)+1,FALSE)</f>
        <v>#VALUE!</v>
      </c>
      <c r="AV49" s="77" t="e">
        <f ca="1">VLOOKUP($AT49,OFFSET([1]crash_skills!$A$1,0,0,COUNTA([1]crash_skills!$A:$A),MATCH("comment",[1]crash_skills!$1:$1,0)-MATCH($AT$1,[1]crash_skills!$1:$1,0)+1),MATCH("comment",[1]crash_skills!$1:$1,0)-MATCH($AT$1,[1]crash_skills!$1:$1,0)+1,FALSE)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9" s="77" t="e">
        <f ca="1">VLOOKUP($AT49,OFFSET([1]crash_skills!$A$1,0,0,COUNTA([1]crash_skills!$A:$A),MATCH(AW$1,[1]crash_skills!$1:$1,0)-MATCH($AT$1,[1]crash_skills!$1:$1,0)+1),MATCH(AW$1,[1]crash_skills!$1:$1,0)-MATCH($AT$1,[1]crash_skills!$1:$1,0)+1,FALSE)</f>
        <v>#VALUE!</v>
      </c>
      <c r="AX49" s="81">
        <f ca="1">VLOOKUP($A49,OFFSET([2]characters!$A$1,0,0,COUNTA([2]characters!$A:$A),MATCH(AX$1,[2]characters!$1:$1,0)-MATCH($A$1,[2]characters!$1:$1,0)+1),MATCH(AX$1,[2]characters!$1:$1,0)-MATCH($A$1,[2]characters!$1:$1,0)+1,FALSE)</f>
        <v>3</v>
      </c>
      <c r="AY49" s="19">
        <v>1</v>
      </c>
      <c r="AZ49" s="19">
        <v>1</v>
      </c>
      <c r="BA49" s="19">
        <v>0</v>
      </c>
      <c r="BB49" s="19">
        <v>1</v>
      </c>
      <c r="BC49" s="14">
        <f ca="1">INDEX('RC6SV'!$A$1:$G$20,MATCH(H49,'RC6SV'!$A$1:$A$20,FALSE),MATCH(G49,'RC6SV'!$A$1:$G$1,FALSE))</f>
        <v>4000</v>
      </c>
      <c r="BD49" s="63">
        <f t="shared" ca="1" si="4"/>
        <v>4000</v>
      </c>
      <c r="BE49" s="14">
        <f t="shared" ca="1" si="5"/>
        <v>2800</v>
      </c>
      <c r="BF49" s="14">
        <f t="shared" ca="1" si="6"/>
        <v>1</v>
      </c>
      <c r="BG49" s="20">
        <f ca="1">IF($BE49&lt;=0,ROUND(BK49*0.5,0), ROUND($BE49*S49*AA49*J49*AY49*0.8*[2]ステータス!$B$2,0))</f>
        <v>1098</v>
      </c>
      <c r="BH49" s="20">
        <f ca="1">IF($BE49&lt;=0,ROUND(BL49*0.5,0), ROUND($BE49*T49*AB49*K49*AZ49*0.8*[2]ステータス!$C$2,0))</f>
        <v>993</v>
      </c>
      <c r="BI49" s="20">
        <f ca="1">IF($BE49&lt;=0,ROUND(BM49*0.5,0), ROUND($BE49*U49*AC49*L49*BA49*0.8*[2]ステータス!$D$2,0))</f>
        <v>0</v>
      </c>
      <c r="BJ49" s="20">
        <f ca="1">IF($BE49&lt;=0,ROUND(BN49*0.5,0), ROUND($BE49*V49*AD49*M49*BB49*0.8*[2]ステータス!$E$2,0))</f>
        <v>341</v>
      </c>
      <c r="BK49" s="14">
        <f ca="1">ROUND(BD49*S49*AA49*J49*AY49*[2]ステータス!$B$2,0)</f>
        <v>1960</v>
      </c>
      <c r="BL49" s="14">
        <f ca="1">ROUND(BD49*T49*AB49*K49*AZ49*[2]ステータス!$C$2,0)</f>
        <v>1773</v>
      </c>
      <c r="BM49" s="14">
        <f ca="1">ROUND(BD49*U49*AC49*L49*BA49*[2]ステータス!$D$2,0)</f>
        <v>0</v>
      </c>
      <c r="BN49" s="14">
        <f ca="1">ROUND(BD49*V49*AD49*M49*BB49*[2]ステータス!$E$2,0)</f>
        <v>609</v>
      </c>
      <c r="BO49" s="13">
        <v>0</v>
      </c>
      <c r="BP49" s="13">
        <v>1</v>
      </c>
      <c r="BQ49" s="13" t="s">
        <v>102</v>
      </c>
      <c r="BR49" s="13">
        <f ca="1">VLOOKUP(H49,ghosts_label!$A$2:$B$19,2,FALSE)</f>
        <v>1</v>
      </c>
    </row>
    <row r="50" spans="1:70" ht="21" customHeight="1" x14ac:dyDescent="0.15">
      <c r="A50" s="14">
        <f t="shared" ca="1" si="0"/>
        <v>49</v>
      </c>
      <c r="B50" s="77" t="str">
        <f ca="1">VLOOKUP($A50,OFFSET([2]characters!$A$1,0,0,COUNTA([2]characters!$A:$A),MATCH(B$1,[2]characters!$1:$1,0)-MATCH($A$1,[2]characters!$1:$1,0)+1),MATCH(B$1,[2]characters!$1:$1,0)-MATCH($A$1,[2]characters!$1:$1,0)+1,FALSE)</f>
        <v>ヨシタカ</v>
      </c>
      <c r="C50" s="77" t="str">
        <f ca="1">VLOOKUP($A50,OFFSET([2]characters!$A$1,0,0,COUNTA([2]characters!$A:$A),MATCH(C$1,[2]characters!$1:$1,0)-MATCH($A$1,[2]characters!$1:$1,0)+1),MATCH(C$1,[2]characters!$1:$1,0)-MATCH($A$1,[2]characters!$1:$1,0)+1,FALSE)</f>
        <v>ノーマルクエスト</v>
      </c>
      <c r="D50" s="77" t="str">
        <f ca="1">VLOOKUP($A50,OFFSET([2]characters!$A$1,0,0,COUNTA([2]characters!$A:$A),MATCH(D$1,[2]characters!$1:$1,0)-MATCH($A$1,[2]characters!$1:$1,0)+1),MATCH(D$1,[2]characters!$1:$1,0)-MATCH($A$1,[2]characters!$1:$1,0)+1,FALSE)</f>
        <v>アバター</v>
      </c>
      <c r="E50" s="77" t="str">
        <f ca="1">VLOOKUP($A50,OFFSET([2]characters!$A$1,0,0,COUNTA([2]characters!$A:$A),MATCH(E$1,[2]characters!$1:$1,0)-MATCH($A$1,[2]characters!$1:$1,0)+1),MATCH(E$1,[2]characters!$1:$1,0)-MATCH($A$1,[2]characters!$1:$1,0)+1,FALSE)</f>
        <v>世界観</v>
      </c>
      <c r="F50" s="77" t="str">
        <f ca="1">VLOOKUP($A50,OFFSET([2]characters!$A$1,0,0,COUNTA([2]characters!$A:$A),MATCH(F$1,[2]characters!$1:$1,0)-MATCH($A$1,[2]characters!$1:$1,0)+1),MATCH(F$1,[2]characters!$1:$1,0)-MATCH($A$1,[2]characters!$1:$1,0)+1,FALSE)</f>
        <v>男性</v>
      </c>
      <c r="G50" s="77">
        <f ca="1">VLOOKUP($A50,OFFSET([2]characters!$A$1,0,0,COUNTA([2]characters!$A:$A),MATCH(G$1,[2]characters!$1:$1,0)-MATCH($A$1,[2]characters!$1:$1,0)+1),MATCH(G$1,[2]characters!$1:$1,0)-MATCH($A$1,[2]characters!$1:$1,0)+1,FALSE)</f>
        <v>2</v>
      </c>
      <c r="H50" s="77" t="str">
        <f ca="1">VLOOKUP($A50,OFFSET([2]characters!$A$1,0,0,COUNTA([2]characters!$A:$A),MATCH(H$1,[2]characters!$1:$1,0)-MATCH($A$1,[2]characters!$1:$1,0)+1),MATCH(H$1,[2]characters!$1:$1,0)-MATCH($A$1,[2]characters!$1:$1,0)+1,FALSE)</f>
        <v>Drop1N</v>
      </c>
      <c r="I50" s="77" t="str">
        <f ca="1">VLOOKUP($A50,OFFSET([2]characters!$A$1,0,0,COUNTA([2]characters!$A:$A),MATCH(I$1,[2]characters!$1:$1,0)-MATCH($A$1,[2]characters!$1:$1,0)+1),MATCH(I$1,[2]characters!$1:$1,0)-MATCH($A$1,[2]characters!$1:$1,0)+1,FALSE)</f>
        <v>red</v>
      </c>
      <c r="J50" s="14">
        <f ca="1">VLOOKUP(I50,[2]属性!$A:$E,2,FALSE)</f>
        <v>1</v>
      </c>
      <c r="K50" s="14">
        <f ca="1">VLOOKUP(I50,[2]属性!$A:$E,3,FALSE)</f>
        <v>1.02</v>
      </c>
      <c r="L50" s="14">
        <f ca="1">VLOOKUP(I50,[2]属性!$A:$E,4,FALSE)</f>
        <v>1</v>
      </c>
      <c r="M50" s="14">
        <f ca="1">VLOOKUP(I50,[2]属性!$A:$E,5,FALSE)</f>
        <v>0.98</v>
      </c>
      <c r="N50" s="14">
        <f ca="1">INDEX(コスト!$A$1:$I$20,MATCH(H50,コスト!$A$1:$A$20,FALSE),MATCH(G50,コスト!$A$1:$I$1,FALSE))</f>
        <v>4</v>
      </c>
      <c r="O50" s="14">
        <f ca="1">INDEX(レベル!$A$1:$I$21,MATCH(H50,レベル!$A$1:$A$21,FALSE),MATCH(G50,レベル!$A$1:$I$1,FALSE))</f>
        <v>30</v>
      </c>
      <c r="P50" s="63">
        <f t="shared" ca="1" si="7"/>
        <v>30</v>
      </c>
      <c r="Q50" s="77" t="str">
        <f ca="1">VLOOKUP($A50,OFFSET([2]characters!$A$1,0,0,COUNTA([2]characters!$A:$A),MATCH(Q$1,[2]characters!$1:$1,0)-MATCH($A$1,[2]characters!$1:$1,0)+1),MATCH(Q$1,[2]characters!$1:$1,0)-MATCH($A$1,[2]characters!$1:$1,0)+1,FALSE)</f>
        <v>hp</v>
      </c>
      <c r="R50" s="8" t="str">
        <f ca="1">VLOOKUP(Q50,[2]character_type_i18n!$A:$H,3,FALSE)</f>
        <v>体力タイプ</v>
      </c>
      <c r="S50" s="14">
        <f ca="1">VLOOKUP(Q50,[2]character_type_i18n!$A:$H,4,FALSE)</f>
        <v>1.45</v>
      </c>
      <c r="T50" s="14">
        <f ca="1">VLOOKUP(Q50,[2]character_type_i18n!$A:$H,5,FALSE)</f>
        <v>0.85</v>
      </c>
      <c r="U50" s="14">
        <f ca="1">VLOOKUP(Q50,[2]character_type_i18n!$A:$H,6,FALSE)</f>
        <v>1</v>
      </c>
      <c r="V50" s="14">
        <f ca="1">VLOOKUP(Q50,[2]character_type_i18n!$A:$H,7,FALSE)</f>
        <v>0.7</v>
      </c>
      <c r="W50" s="77" t="str">
        <f ca="1">VLOOKUP($A50,OFFSET([2]characters!$A$1,0,0,COUNTA([2]characters!$A:$A),MATCH(W$1,[2]characters!$1:$1,0)-MATCH($A$1,[2]characters!$1:$1,0)+1),MATCH(W$1,[2]characters!$1:$1,0)-MATCH($A$1,[2]characters!$1:$1,0)+1,FALSE)</f>
        <v>human</v>
      </c>
      <c r="X50" s="8" t="str">
        <f ca="1">VLOOKUP(W50,[2]character_tribe_i18n!$A:$H,3,FALSE)</f>
        <v>ヒューマン</v>
      </c>
      <c r="Y50" s="77" t="str">
        <f ca="1">VLOOKUP($A50,OFFSET([2]characters!$A$1,0,0,COUNTA([2]characters!$A:$A),MATCH(Y$1,[2]characters!$1:$1,0)-MATCH($A$1,[2]characters!$1:$1,0)+1),MATCH(Y$1,[2]characters!$1:$1,0)-MATCH($A$1,[2]characters!$1:$1,0)+1,FALSE)</f>
        <v>none</v>
      </c>
      <c r="Z50" s="8" t="str">
        <f ca="1">VLOOKUP(Y50,[2]character_tribe_i18n!$A:$H,3,FALSE)</f>
        <v>種族なし</v>
      </c>
      <c r="AA50" s="14">
        <f ca="1">VLOOKUP(W50,[2]character_tribe_i18n!$A:$H,4,FALSE)</f>
        <v>0.94</v>
      </c>
      <c r="AB50" s="14">
        <f ca="1">VLOOKUP(W50,[2]character_tribe_i18n!$A:$H,5,FALSE)</f>
        <v>0.99</v>
      </c>
      <c r="AC50" s="14">
        <f ca="1">VLOOKUP(W50,[2]character_tribe_i18n!$A:$H,6,FALSE)</f>
        <v>1</v>
      </c>
      <c r="AD50" s="14">
        <f ca="1">VLOOKUP(W50,[2]character_tribe_i18n!$A:$H,7,FALSE)</f>
        <v>1.07</v>
      </c>
      <c r="AE50" s="12">
        <v>50</v>
      </c>
      <c r="AF50" s="85" t="str">
        <f ca="1">IF(AE50="NULL","",VLOOKUP($AE50,OFFSET([2]characters!$A$1,0,0,COUNTA([2]characters!$A:$A),MATCH(AF$1,[2]characters!$1:$1,0)-MATCH($A$1,[2]characters!$1:$1,0)+1),MATCH(AF$1,[2]characters!$1:$1,0)-MATCH($A$1,[2]characters!$1:$1,0)+1,FALSE))</f>
        <v>炎銃のレジスタンス ヨシタカ</v>
      </c>
      <c r="AG50" s="8">
        <f t="shared" ca="1" si="2"/>
        <v>49</v>
      </c>
      <c r="AH50" s="85" t="str">
        <f ca="1">VLOOKUP($AG50,OFFSET([2]characters!$A$1,0,0,COUNTA([2]characters!$A:$A),MATCH(AH$1,[2]characters!$1:$1,0)-MATCH($A$1,[2]characters!$1:$1,0)+1),MATCH(AH$1,[2]characters!$1:$1,0)-MATCH($A$1,[2]characters!$1:$1,0)+1,FALSE)</f>
        <v>ヨシタカ</v>
      </c>
      <c r="AI50" s="14">
        <f ca="1">IF(AE50="NULL","NULL",VLOOKUP(G50,ビット!$A$2:$B$7,2))</f>
        <v>10000</v>
      </c>
      <c r="AJ50" s="9">
        <v>2</v>
      </c>
      <c r="AK50" s="10" t="str">
        <f t="shared" si="3"/>
        <v>普通</v>
      </c>
      <c r="AL50" s="14" t="str">
        <f ca="1">INDEX(経験値!$A$1:$I$20,MATCH(H50,経験値!$A$1:$A$20,FALSE),MATCH(G50,経験値!$A$1:$I$1,FALSE))</f>
        <v>required_exp_100</v>
      </c>
      <c r="AM50" s="11">
        <f ca="1">VLOOKUP(G50,経験値!$A$27:$B$31,2)</f>
        <v>600</v>
      </c>
      <c r="AN50" s="21">
        <f ca="1">VLOOKUP(G50,ビット!$G$2:$H$7,2)</f>
        <v>150</v>
      </c>
      <c r="AO50" s="64" t="s">
        <v>49</v>
      </c>
      <c r="AP50" s="97">
        <v>300036</v>
      </c>
      <c r="AQ50" s="77" t="e">
        <f ca="1">VLOOKUP($AP50,OFFSET([1]unit_skills!$A$1,0,0,COUNTA([1]unit_skills!$A:$A),MATCH("name",[1]unit_skills!$1:$1,0)-MATCH($AP$1,[1]unit_skills!$1:$1,0)+1),MATCH("name",[1]unit_skills!$1:$1,0)-MATCH($AP$1,[1]unit_skills!$1:$1,0)+1,FALSE)</f>
        <v>#VALUE!</v>
      </c>
      <c r="AR50" s="77" t="e">
        <f ca="1">VLOOKUP($AP50,OFFSET([1]unit_skills!$A$1,0,0,COUNTA([1]unit_skills!$A:$A),MATCH("comment",[1]unit_skills!$1:$1,0)-MATCH($AP$1,[1]unit_skills!$1:$1,0)+1),MATCH("comment",[1]unit_skills!$1:$1,0)-MATCH($AP$1,[1]unit_skills!$1:$1,0)+1,FALSE)</f>
        <v>#VALUE!</v>
      </c>
      <c r="AS50" s="77" t="e">
        <f ca="1">VLOOKUP($AP50,OFFSET([1]unit_skills!$A$1,0,0,COUNTA([1]unit_skills!$A:$A),MATCH(AS$1,[1]unit_skills!$1:$1,0)-MATCH($AP$1,[1]unit_skills!$1:$1,0)+1),MATCH(AS$1,[1]unit_skills!$1:$1,0)-MATCH($AP$1,[1]unit_skills!$1:$1,0)+1,FALSE)</f>
        <v>#VALUE!</v>
      </c>
      <c r="AT50" s="97">
        <v>151001</v>
      </c>
      <c r="AU50" s="77" t="e">
        <f ca="1">VLOOKUP($AT50,OFFSET([1]crash_skills!$A$1,0,0,COUNTA([1]crash_skills!$A:$A),MATCH("name",[1]crash_skills!$1:$1,0)-MATCH($AT$1,[1]crash_skills!$1:$1,0)+1),MATCH("name",[1]crash_skills!$1:$1,0)-MATCH($AT$1,[1]crash_skills!$1:$1,0)+1,FALSE)</f>
        <v>#VALUE!</v>
      </c>
      <c r="AV50" s="77" t="e">
        <f ca="1">VLOOKUP($AT50,OFFSET([1]crash_skills!$A$1,0,0,COUNTA([1]crash_skills!$A:$A),MATCH("comment",[1]crash_skills!$1:$1,0)-MATCH($AT$1,[1]crash_skills!$1:$1,0)+1),MATCH("comment",[1]crash_skills!$1:$1,0)-MATCH($AT$1,[1]crash_skills!$1:$1,0)+1,FALSE)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50" s="77" t="e">
        <f ca="1">VLOOKUP($AT50,OFFSET([1]crash_skills!$A$1,0,0,COUNTA([1]crash_skills!$A:$A),MATCH(AW$1,[1]crash_skills!$1:$1,0)-MATCH($AT$1,[1]crash_skills!$1:$1,0)+1),MATCH(AW$1,[1]crash_skills!$1:$1,0)-MATCH($AT$1,[1]crash_skills!$1:$1,0)+1,FALSE)</f>
        <v>#VALUE!</v>
      </c>
      <c r="AX50" s="81">
        <f ca="1">VLOOKUP($A50,OFFSET([2]characters!$A$1,0,0,COUNTA([2]characters!$A:$A),MATCH(AX$1,[2]characters!$1:$1,0)-MATCH($A$1,[2]characters!$1:$1,0)+1),MATCH(AX$1,[2]characters!$1:$1,0)-MATCH($A$1,[2]characters!$1:$1,0)+1,FALSE)</f>
        <v>3</v>
      </c>
      <c r="AY50" s="19">
        <v>1</v>
      </c>
      <c r="AZ50" s="19">
        <v>1</v>
      </c>
      <c r="BA50" s="19">
        <v>0</v>
      </c>
      <c r="BB50" s="19">
        <v>1</v>
      </c>
      <c r="BC50" s="14">
        <f ca="1">INDEX('RC6SV'!$A$1:$G$20,MATCH(H50,'RC6SV'!$A$1:$A$20,FALSE),MATCH(G50,'RC6SV'!$A$1:$G$1,FALSE))</f>
        <v>2800</v>
      </c>
      <c r="BD50" s="63">
        <f t="shared" ca="1" si="4"/>
        <v>2800</v>
      </c>
      <c r="BE50" s="14">
        <f t="shared" ca="1" si="5"/>
        <v>0</v>
      </c>
      <c r="BF50" s="14">
        <f t="shared" ca="1" si="6"/>
        <v>1</v>
      </c>
      <c r="BG50" s="20">
        <f ca="1">IF($BE50&lt;=0,ROUND(BK50*0.5,0), ROUND($BE50*S50*AA50*J50*AY50*0.8*[2]ステータス!$B$2,0))</f>
        <v>954</v>
      </c>
      <c r="BH50" s="20">
        <f ca="1">IF($BE50&lt;=0,ROUND(BL50*0.5,0), ROUND($BE50*T50*AB50*K50*AZ50*0.8*[2]ステータス!$C$2,0))</f>
        <v>361</v>
      </c>
      <c r="BI50" s="20">
        <f ca="1">IF($BE50&lt;=0,ROUND(BM50*0.5,0), ROUND($BE50*U50*AC50*L50*BA50*0.8*[2]ステータス!$D$2,0))</f>
        <v>0</v>
      </c>
      <c r="BJ50" s="20">
        <f ca="1">IF($BE50&lt;=0,ROUND(BN50*0.5,0), ROUND($BE50*V50*AD50*M50*BB50*0.8*[2]ステータス!$E$2,0))</f>
        <v>257</v>
      </c>
      <c r="BK50" s="14">
        <f ca="1">ROUND(BD50*S50*AA50*J50*AY50*[2]ステータス!$B$2,0)</f>
        <v>1908</v>
      </c>
      <c r="BL50" s="14">
        <f ca="1">ROUND(BD50*T50*AB50*K50*AZ50*[2]ステータス!$C$2,0)</f>
        <v>721</v>
      </c>
      <c r="BM50" s="14">
        <f ca="1">ROUND(BD50*U50*AC50*L50*BA50*[2]ステータス!$D$2,0)</f>
        <v>0</v>
      </c>
      <c r="BN50" s="14">
        <f ca="1">ROUND(BD50*V50*AD50*M50*BB50*[2]ステータス!$E$2,0)</f>
        <v>514</v>
      </c>
      <c r="BO50" s="13">
        <v>0</v>
      </c>
      <c r="BP50" s="13">
        <v>1</v>
      </c>
      <c r="BQ50" s="13" t="s">
        <v>102</v>
      </c>
      <c r="BR50" s="13">
        <f ca="1">VLOOKUP(H50,ghosts_label!$A$2:$B$19,2,FALSE)</f>
        <v>1</v>
      </c>
    </row>
    <row r="51" spans="1:70" ht="21" customHeight="1" x14ac:dyDescent="0.15">
      <c r="A51" s="14">
        <f t="shared" ca="1" si="0"/>
        <v>50</v>
      </c>
      <c r="B51" s="77" t="str">
        <f ca="1">VLOOKUP($A51,OFFSET([2]characters!$A$1,0,0,COUNTA([2]characters!$A:$A),MATCH(B$1,[2]characters!$1:$1,0)-MATCH($A$1,[2]characters!$1:$1,0)+1),MATCH(B$1,[2]characters!$1:$1,0)-MATCH($A$1,[2]characters!$1:$1,0)+1,FALSE)</f>
        <v>炎銃のレジスタンス ヨシタカ</v>
      </c>
      <c r="C51" s="77" t="str">
        <f ca="1">VLOOKUP($A51,OFFSET([2]characters!$A$1,0,0,COUNTA([2]characters!$A:$A),MATCH(C$1,[2]characters!$1:$1,0)-MATCH($A$1,[2]characters!$1:$1,0)+1),MATCH(C$1,[2]characters!$1:$1,0)-MATCH($A$1,[2]characters!$1:$1,0)+1,FALSE)</f>
        <v>ノーマルクエスト</v>
      </c>
      <c r="D51" s="77" t="str">
        <f ca="1">VLOOKUP($A51,OFFSET([2]characters!$A$1,0,0,COUNTA([2]characters!$A:$A),MATCH(D$1,[2]characters!$1:$1,0)-MATCH($A$1,[2]characters!$1:$1,0)+1),MATCH(D$1,[2]characters!$1:$1,0)-MATCH($A$1,[2]characters!$1:$1,0)+1,FALSE)</f>
        <v>アバター</v>
      </c>
      <c r="E51" s="77" t="str">
        <f ca="1">VLOOKUP($A51,OFFSET([2]characters!$A$1,0,0,COUNTA([2]characters!$A:$A),MATCH(E$1,[2]characters!$1:$1,0)-MATCH($A$1,[2]characters!$1:$1,0)+1),MATCH(E$1,[2]characters!$1:$1,0)-MATCH($A$1,[2]characters!$1:$1,0)+1,FALSE)</f>
        <v>世界観</v>
      </c>
      <c r="F51" s="77" t="str">
        <f ca="1">VLOOKUP($A51,OFFSET([2]characters!$A$1,0,0,COUNTA([2]characters!$A:$A),MATCH(F$1,[2]characters!$1:$1,0)-MATCH($A$1,[2]characters!$1:$1,0)+1),MATCH(F$1,[2]characters!$1:$1,0)-MATCH($A$1,[2]characters!$1:$1,0)+1,FALSE)</f>
        <v>男性</v>
      </c>
      <c r="G51" s="77">
        <f ca="1">VLOOKUP($A51,OFFSET([2]characters!$A$1,0,0,COUNTA([2]characters!$A:$A),MATCH(G$1,[2]characters!$1:$1,0)-MATCH($A$1,[2]characters!$1:$1,0)+1),MATCH(G$1,[2]characters!$1:$1,0)-MATCH($A$1,[2]characters!$1:$1,0)+1,FALSE)</f>
        <v>3</v>
      </c>
      <c r="H51" s="77" t="str">
        <f ca="1">VLOOKUP($A51,OFFSET([2]characters!$A$1,0,0,COUNTA([2]characters!$A:$A),MATCH(H$1,[2]characters!$1:$1,0)-MATCH($A$1,[2]characters!$1:$1,0)+1),MATCH(H$1,[2]characters!$1:$1,0)-MATCH($A$1,[2]characters!$1:$1,0)+1,FALSE)</f>
        <v>Drop1N</v>
      </c>
      <c r="I51" s="77" t="str">
        <f ca="1">VLOOKUP($A51,OFFSET([2]characters!$A$1,0,0,COUNTA([2]characters!$A:$A),MATCH(I$1,[2]characters!$1:$1,0)-MATCH($A$1,[2]characters!$1:$1,0)+1),MATCH(I$1,[2]characters!$1:$1,0)-MATCH($A$1,[2]characters!$1:$1,0)+1,FALSE)</f>
        <v>red</v>
      </c>
      <c r="J51" s="14">
        <f ca="1">VLOOKUP(I51,[2]属性!$A:$E,2,FALSE)</f>
        <v>1</v>
      </c>
      <c r="K51" s="14">
        <f ca="1">VLOOKUP(I51,[2]属性!$A:$E,3,FALSE)</f>
        <v>1.02</v>
      </c>
      <c r="L51" s="14">
        <f ca="1">VLOOKUP(I51,[2]属性!$A:$E,4,FALSE)</f>
        <v>1</v>
      </c>
      <c r="M51" s="14">
        <f ca="1">VLOOKUP(I51,[2]属性!$A:$E,5,FALSE)</f>
        <v>0.98</v>
      </c>
      <c r="N51" s="14">
        <f ca="1">INDEX(コスト!$A$1:$I$20,MATCH(H51,コスト!$A$1:$A$20,FALSE),MATCH(G51,コスト!$A$1:$I$1,FALSE))</f>
        <v>6</v>
      </c>
      <c r="O51" s="14">
        <f ca="1">INDEX(レベル!$A$1:$I$21,MATCH(H51,レベル!$A$1:$A$21,FALSE),MATCH(G51,レベル!$A$1:$I$1,FALSE))</f>
        <v>40</v>
      </c>
      <c r="P51" s="63">
        <f t="shared" ca="1" si="7"/>
        <v>45</v>
      </c>
      <c r="Q51" s="77" t="str">
        <f ca="1">VLOOKUP($A51,OFFSET([2]characters!$A$1,0,0,COUNTA([2]characters!$A:$A),MATCH(Q$1,[2]characters!$1:$1,0)-MATCH($A$1,[2]characters!$1:$1,0)+1),MATCH(Q$1,[2]characters!$1:$1,0)-MATCH($A$1,[2]characters!$1:$1,0)+1,FALSE)</f>
        <v>hp</v>
      </c>
      <c r="R51" s="8" t="str">
        <f ca="1">VLOOKUP(Q51,[2]character_type_i18n!$A:$H,3,FALSE)</f>
        <v>体力タイプ</v>
      </c>
      <c r="S51" s="14">
        <f ca="1">VLOOKUP(Q51,[2]character_type_i18n!$A:$H,4,FALSE)</f>
        <v>1.45</v>
      </c>
      <c r="T51" s="14">
        <f ca="1">VLOOKUP(Q51,[2]character_type_i18n!$A:$H,5,FALSE)</f>
        <v>0.85</v>
      </c>
      <c r="U51" s="14">
        <f ca="1">VLOOKUP(Q51,[2]character_type_i18n!$A:$H,6,FALSE)</f>
        <v>1</v>
      </c>
      <c r="V51" s="14">
        <f ca="1">VLOOKUP(Q51,[2]character_type_i18n!$A:$H,7,FALSE)</f>
        <v>0.7</v>
      </c>
      <c r="W51" s="77" t="str">
        <f ca="1">VLOOKUP($A51,OFFSET([2]characters!$A$1,0,0,COUNTA([2]characters!$A:$A),MATCH(W$1,[2]characters!$1:$1,0)-MATCH($A$1,[2]characters!$1:$1,0)+1),MATCH(W$1,[2]characters!$1:$1,0)-MATCH($A$1,[2]characters!$1:$1,0)+1,FALSE)</f>
        <v>human</v>
      </c>
      <c r="X51" s="8" t="str">
        <f ca="1">VLOOKUP(W51,[2]character_tribe_i18n!$A:$H,3,FALSE)</f>
        <v>ヒューマン</v>
      </c>
      <c r="Y51" s="77" t="str">
        <f ca="1">VLOOKUP($A51,OFFSET([2]characters!$A$1,0,0,COUNTA([2]characters!$A:$A),MATCH(Y$1,[2]characters!$1:$1,0)-MATCH($A$1,[2]characters!$1:$1,0)+1),MATCH(Y$1,[2]characters!$1:$1,0)-MATCH($A$1,[2]characters!$1:$1,0)+1,FALSE)</f>
        <v>none</v>
      </c>
      <c r="Z51" s="8" t="str">
        <f ca="1">VLOOKUP(Y51,[2]character_tribe_i18n!$A:$H,3,FALSE)</f>
        <v>種族なし</v>
      </c>
      <c r="AA51" s="14">
        <f ca="1">VLOOKUP(W51,[2]character_tribe_i18n!$A:$H,4,FALSE)</f>
        <v>0.94</v>
      </c>
      <c r="AB51" s="14">
        <f ca="1">VLOOKUP(W51,[2]character_tribe_i18n!$A:$H,5,FALSE)</f>
        <v>0.99</v>
      </c>
      <c r="AC51" s="14">
        <f ca="1">VLOOKUP(W51,[2]character_tribe_i18n!$A:$H,6,FALSE)</f>
        <v>1</v>
      </c>
      <c r="AD51" s="14">
        <f ca="1">VLOOKUP(W51,[2]character_tribe_i18n!$A:$H,7,FALSE)</f>
        <v>1.07</v>
      </c>
      <c r="AE51" s="12" t="s">
        <v>102</v>
      </c>
      <c r="AF51" s="85" t="str">
        <f ca="1">IF(AE51="NULL","",VLOOKUP($AE51,OFFSET([2]characters!$A$1,0,0,COUNTA([2]characters!$A:$A),MATCH(AF$1,[2]characters!$1:$1,0)-MATCH($A$1,[2]characters!$1:$1,0)+1),MATCH(AF$1,[2]characters!$1:$1,0)-MATCH($A$1,[2]characters!$1:$1,0)+1,FALSE))</f>
        <v/>
      </c>
      <c r="AG51" s="8">
        <f t="shared" ca="1" si="2"/>
        <v>49</v>
      </c>
      <c r="AH51" s="85" t="str">
        <f ca="1">VLOOKUP($AG51,OFFSET([2]characters!$A$1,0,0,COUNTA([2]characters!$A:$A),MATCH(AH$1,[2]characters!$1:$1,0)-MATCH($A$1,[2]characters!$1:$1,0)+1),MATCH(AH$1,[2]characters!$1:$1,0)-MATCH($A$1,[2]characters!$1:$1,0)+1,FALSE)</f>
        <v>ヨシタカ</v>
      </c>
      <c r="AI51" s="14" t="str">
        <f>IF(AE51="NULL","NULL",VLOOKUP(G51,ビット!$A$2:$B$7,2))</f>
        <v>NULL</v>
      </c>
      <c r="AJ51" s="9">
        <v>2</v>
      </c>
      <c r="AK51" s="10" t="str">
        <f t="shared" si="3"/>
        <v>普通</v>
      </c>
      <c r="AL51" s="14" t="str">
        <f ca="1">INDEX(経験値!$A$1:$I$20,MATCH(H51,経験値!$A$1:$A$20,FALSE),MATCH(G51,経験値!$A$1:$I$1,FALSE))</f>
        <v>required_exp_100</v>
      </c>
      <c r="AM51" s="11">
        <f ca="1">VLOOKUP(G51,経験値!$A$27:$B$31,2)</f>
        <v>1500</v>
      </c>
      <c r="AN51" s="21">
        <f ca="1">VLOOKUP(G51,ビット!$G$2:$H$7,2)</f>
        <v>300</v>
      </c>
      <c r="AO51" s="64" t="s">
        <v>49</v>
      </c>
      <c r="AP51" s="97">
        <v>300036</v>
      </c>
      <c r="AQ51" s="77" t="e">
        <f ca="1">VLOOKUP($AP51,OFFSET([1]unit_skills!$A$1,0,0,COUNTA([1]unit_skills!$A:$A),MATCH("name",[1]unit_skills!$1:$1,0)-MATCH($AP$1,[1]unit_skills!$1:$1,0)+1),MATCH("name",[1]unit_skills!$1:$1,0)-MATCH($AP$1,[1]unit_skills!$1:$1,0)+1,FALSE)</f>
        <v>#VALUE!</v>
      </c>
      <c r="AR51" s="77" t="e">
        <f ca="1">VLOOKUP($AP51,OFFSET([1]unit_skills!$A$1,0,0,COUNTA([1]unit_skills!$A:$A),MATCH("comment",[1]unit_skills!$1:$1,0)-MATCH($AP$1,[1]unit_skills!$1:$1,0)+1),MATCH("comment",[1]unit_skills!$1:$1,0)-MATCH($AP$1,[1]unit_skills!$1:$1,0)+1,FALSE)</f>
        <v>#VALUE!</v>
      </c>
      <c r="AS51" s="77" t="e">
        <f ca="1">VLOOKUP($AP51,OFFSET([1]unit_skills!$A$1,0,0,COUNTA([1]unit_skills!$A:$A),MATCH(AS$1,[1]unit_skills!$1:$1,0)-MATCH($AP$1,[1]unit_skills!$1:$1,0)+1),MATCH(AS$1,[1]unit_skills!$1:$1,0)-MATCH($AP$1,[1]unit_skills!$1:$1,0)+1,FALSE)</f>
        <v>#VALUE!</v>
      </c>
      <c r="AT51" s="97">
        <v>151002</v>
      </c>
      <c r="AU51" s="77" t="e">
        <f ca="1">VLOOKUP($AT51,OFFSET([1]crash_skills!$A$1,0,0,COUNTA([1]crash_skills!$A:$A),MATCH("name",[1]crash_skills!$1:$1,0)-MATCH($AT$1,[1]crash_skills!$1:$1,0)+1),MATCH("name",[1]crash_skills!$1:$1,0)-MATCH($AT$1,[1]crash_skills!$1:$1,0)+1,FALSE)</f>
        <v>#VALUE!</v>
      </c>
      <c r="AV51" s="77" t="e">
        <f ca="1">VLOOKUP($AT51,OFFSET([1]crash_skills!$A$1,0,0,COUNTA([1]crash_skills!$A:$A),MATCH("comment",[1]crash_skills!$1:$1,0)-MATCH($AT$1,[1]crash_skills!$1:$1,0)+1),MATCH("comment",[1]crash_skills!$1:$1,0)-MATCH($AT$1,[1]crash_skills!$1:$1,0)+1,FALSE)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51" s="77" t="e">
        <f ca="1">VLOOKUP($AT51,OFFSET([1]crash_skills!$A$1,0,0,COUNTA([1]crash_skills!$A:$A),MATCH(AW$1,[1]crash_skills!$1:$1,0)-MATCH($AT$1,[1]crash_skills!$1:$1,0)+1),MATCH(AW$1,[1]crash_skills!$1:$1,0)-MATCH($AT$1,[1]crash_skills!$1:$1,0)+1,FALSE)</f>
        <v>#VALUE!</v>
      </c>
      <c r="AX51" s="81">
        <f ca="1">VLOOKUP($A51,OFFSET([2]characters!$A$1,0,0,COUNTA([2]characters!$A:$A),MATCH(AX$1,[2]characters!$1:$1,0)-MATCH($A$1,[2]characters!$1:$1,0)+1),MATCH(AX$1,[2]characters!$1:$1,0)-MATCH($A$1,[2]characters!$1:$1,0)+1,FALSE)</f>
        <v>3</v>
      </c>
      <c r="AY51" s="19">
        <v>1</v>
      </c>
      <c r="AZ51" s="19">
        <v>1</v>
      </c>
      <c r="BA51" s="19">
        <v>0</v>
      </c>
      <c r="BB51" s="19">
        <v>1</v>
      </c>
      <c r="BC51" s="14">
        <f ca="1">INDEX('RC6SV'!$A$1:$G$20,MATCH(H51,'RC6SV'!$A$1:$A$20,FALSE),MATCH(G51,'RC6SV'!$A$1:$G$1,FALSE))</f>
        <v>4000</v>
      </c>
      <c r="BD51" s="63">
        <f t="shared" ca="1" si="4"/>
        <v>4000</v>
      </c>
      <c r="BE51" s="14">
        <f t="shared" ca="1" si="5"/>
        <v>2800</v>
      </c>
      <c r="BF51" s="14">
        <f t="shared" ca="1" si="6"/>
        <v>1</v>
      </c>
      <c r="BG51" s="20">
        <f ca="1">IF($BE51&lt;=0,ROUND(BK51*0.5,0), ROUND($BE51*S51*AA51*J51*AY51*0.8*[2]ステータス!$B$2,0))</f>
        <v>1527</v>
      </c>
      <c r="BH51" s="20">
        <f ca="1">IF($BE51&lt;=0,ROUND(BL51*0.5,0), ROUND($BE51*T51*AB51*K51*AZ51*0.8*[2]ステータス!$C$2,0))</f>
        <v>577</v>
      </c>
      <c r="BI51" s="20">
        <f ca="1">IF($BE51&lt;=0,ROUND(BM51*0.5,0), ROUND($BE51*U51*AC51*L51*BA51*0.8*[2]ステータス!$D$2,0))</f>
        <v>0</v>
      </c>
      <c r="BJ51" s="20">
        <f ca="1">IF($BE51&lt;=0,ROUND(BN51*0.5,0), ROUND($BE51*V51*AD51*M51*BB51*0.8*[2]ステータス!$E$2,0))</f>
        <v>411</v>
      </c>
      <c r="BK51" s="14">
        <f ca="1">ROUND(BD51*S51*AA51*J51*AY51*[2]ステータス!$B$2,0)</f>
        <v>2726</v>
      </c>
      <c r="BL51" s="14">
        <f ca="1">ROUND(BD51*T51*AB51*K51*AZ51*[2]ステータス!$C$2,0)</f>
        <v>1030</v>
      </c>
      <c r="BM51" s="14">
        <f ca="1">ROUND(BD51*U51*AC51*L51*BA51*[2]ステータス!$D$2,0)</f>
        <v>0</v>
      </c>
      <c r="BN51" s="14">
        <f ca="1">ROUND(BD51*V51*AD51*M51*BB51*[2]ステータス!$E$2,0)</f>
        <v>734</v>
      </c>
      <c r="BO51" s="13">
        <v>0</v>
      </c>
      <c r="BP51" s="13">
        <v>1</v>
      </c>
      <c r="BQ51" s="13" t="s">
        <v>102</v>
      </c>
      <c r="BR51" s="13">
        <f ca="1">VLOOKUP(H51,ghosts_label!$A$2:$B$19,2,FALSE)</f>
        <v>1</v>
      </c>
    </row>
    <row r="52" spans="1:70" ht="21" customHeight="1" x14ac:dyDescent="0.15">
      <c r="A52" s="14">
        <f t="shared" ca="1" si="0"/>
        <v>51</v>
      </c>
      <c r="B52" s="77" t="str">
        <f ca="1">VLOOKUP($A52,OFFSET([2]characters!$A$1,0,0,COUNTA([2]characters!$A:$A),MATCH(B$1,[2]characters!$1:$1,0)-MATCH($A$1,[2]characters!$1:$1,0)+1),MATCH(B$1,[2]characters!$1:$1,0)-MATCH($A$1,[2]characters!$1:$1,0)+1,FALSE)</f>
        <v>マイ</v>
      </c>
      <c r="C52" s="77" t="str">
        <f ca="1">VLOOKUP($A52,OFFSET([2]characters!$A$1,0,0,COUNTA([2]characters!$A:$A),MATCH(C$1,[2]characters!$1:$1,0)-MATCH($A$1,[2]characters!$1:$1,0)+1),MATCH(C$1,[2]characters!$1:$1,0)-MATCH($A$1,[2]characters!$1:$1,0)+1,FALSE)</f>
        <v>ノーマルクエスト</v>
      </c>
      <c r="D52" s="77" t="str">
        <f ca="1">VLOOKUP($A52,OFFSET([2]characters!$A$1,0,0,COUNTA([2]characters!$A:$A),MATCH(D$1,[2]characters!$1:$1,0)-MATCH($A$1,[2]characters!$1:$1,0)+1),MATCH(D$1,[2]characters!$1:$1,0)-MATCH($A$1,[2]characters!$1:$1,0)+1,FALSE)</f>
        <v>アバター</v>
      </c>
      <c r="E52" s="77" t="str">
        <f ca="1">VLOOKUP($A52,OFFSET([2]characters!$A$1,0,0,COUNTA([2]characters!$A:$A),MATCH(E$1,[2]characters!$1:$1,0)-MATCH($A$1,[2]characters!$1:$1,0)+1),MATCH(E$1,[2]characters!$1:$1,0)-MATCH($A$1,[2]characters!$1:$1,0)+1,FALSE)</f>
        <v>世界観</v>
      </c>
      <c r="F52" s="77" t="str">
        <f ca="1">VLOOKUP($A52,OFFSET([2]characters!$A$1,0,0,COUNTA([2]characters!$A:$A),MATCH(F$1,[2]characters!$1:$1,0)-MATCH($A$1,[2]characters!$1:$1,0)+1),MATCH(F$1,[2]characters!$1:$1,0)-MATCH($A$1,[2]characters!$1:$1,0)+1,FALSE)</f>
        <v>女性</v>
      </c>
      <c r="G52" s="77">
        <f ca="1">VLOOKUP($A52,OFFSET([2]characters!$A$1,0,0,COUNTA([2]characters!$A:$A),MATCH(G$1,[2]characters!$1:$1,0)-MATCH($A$1,[2]characters!$1:$1,0)+1),MATCH(G$1,[2]characters!$1:$1,0)-MATCH($A$1,[2]characters!$1:$1,0)+1,FALSE)</f>
        <v>2</v>
      </c>
      <c r="H52" s="77" t="str">
        <f ca="1">VLOOKUP($A52,OFFSET([2]characters!$A$1,0,0,COUNTA([2]characters!$A:$A),MATCH(H$1,[2]characters!$1:$1,0)-MATCH($A$1,[2]characters!$1:$1,0)+1),MATCH(H$1,[2]characters!$1:$1,0)-MATCH($A$1,[2]characters!$1:$1,0)+1,FALSE)</f>
        <v>Drop1N</v>
      </c>
      <c r="I52" s="77" t="str">
        <f ca="1">VLOOKUP($A52,OFFSET([2]characters!$A$1,0,0,COUNTA([2]characters!$A:$A),MATCH(I$1,[2]characters!$1:$1,0)-MATCH($A$1,[2]characters!$1:$1,0)+1),MATCH(I$1,[2]characters!$1:$1,0)-MATCH($A$1,[2]characters!$1:$1,0)+1,FALSE)</f>
        <v>green</v>
      </c>
      <c r="J52" s="14">
        <f ca="1">VLOOKUP(I52,[2]属性!$A:$E,2,FALSE)</f>
        <v>1.02</v>
      </c>
      <c r="K52" s="14">
        <f ca="1">VLOOKUP(I52,[2]属性!$A:$E,3,FALSE)</f>
        <v>0.98</v>
      </c>
      <c r="L52" s="14">
        <f ca="1">VLOOKUP(I52,[2]属性!$A:$E,4,FALSE)</f>
        <v>1</v>
      </c>
      <c r="M52" s="14">
        <f ca="1">VLOOKUP(I52,[2]属性!$A:$E,5,FALSE)</f>
        <v>1</v>
      </c>
      <c r="N52" s="14">
        <f ca="1">INDEX(コスト!$A$1:$I$20,MATCH(H52,コスト!$A$1:$A$20,FALSE),MATCH(G52,コスト!$A$1:$I$1,FALSE))</f>
        <v>4</v>
      </c>
      <c r="O52" s="14">
        <f ca="1">INDEX(レベル!$A$1:$I$21,MATCH(H52,レベル!$A$1:$A$21,FALSE),MATCH(G52,レベル!$A$1:$I$1,FALSE))</f>
        <v>30</v>
      </c>
      <c r="P52" s="63">
        <f t="shared" ca="1" si="7"/>
        <v>30</v>
      </c>
      <c r="Q52" s="77" t="str">
        <f ca="1">VLOOKUP($A52,OFFSET([2]characters!$A$1,0,0,COUNTA([2]characters!$A:$A),MATCH(Q$1,[2]characters!$1:$1,0)-MATCH($A$1,[2]characters!$1:$1,0)+1),MATCH(Q$1,[2]characters!$1:$1,0)-MATCH($A$1,[2]characters!$1:$1,0)+1,FALSE)</f>
        <v>attack</v>
      </c>
      <c r="R52" s="8" t="str">
        <f ca="1">VLOOKUP(Q52,[2]character_type_i18n!$A:$H,3,FALSE)</f>
        <v>攻撃タイプ</v>
      </c>
      <c r="S52" s="14">
        <f ca="1">VLOOKUP(Q52,[2]character_type_i18n!$A:$H,4,FALSE)</f>
        <v>1</v>
      </c>
      <c r="T52" s="14">
        <f ca="1">VLOOKUP(Q52,[2]character_type_i18n!$A:$H,5,FALSE)</f>
        <v>1.33</v>
      </c>
      <c r="U52" s="14">
        <f ca="1">VLOOKUP(Q52,[2]character_type_i18n!$A:$H,6,FALSE)</f>
        <v>1</v>
      </c>
      <c r="V52" s="14">
        <f ca="1">VLOOKUP(Q52,[2]character_type_i18n!$A:$H,7,FALSE)</f>
        <v>0.67</v>
      </c>
      <c r="W52" s="77" t="str">
        <f ca="1">VLOOKUP($A52,OFFSET([2]characters!$A$1,0,0,COUNTA([2]characters!$A:$A),MATCH(W$1,[2]characters!$1:$1,0)-MATCH($A$1,[2]characters!$1:$1,0)+1),MATCH(W$1,[2]characters!$1:$1,0)-MATCH($A$1,[2]characters!$1:$1,0)+1,FALSE)</f>
        <v>human</v>
      </c>
      <c r="X52" s="8" t="str">
        <f ca="1">VLOOKUP(W52,[2]character_tribe_i18n!$A:$H,3,FALSE)</f>
        <v>ヒューマン</v>
      </c>
      <c r="Y52" s="77" t="str">
        <f ca="1">VLOOKUP($A52,OFFSET([2]characters!$A$1,0,0,COUNTA([2]characters!$A:$A),MATCH(Y$1,[2]characters!$1:$1,0)-MATCH($A$1,[2]characters!$1:$1,0)+1),MATCH(Y$1,[2]characters!$1:$1,0)-MATCH($A$1,[2]characters!$1:$1,0)+1,FALSE)</f>
        <v>none</v>
      </c>
      <c r="Z52" s="8" t="str">
        <f ca="1">VLOOKUP(Y52,[2]character_tribe_i18n!$A:$H,3,FALSE)</f>
        <v>種族なし</v>
      </c>
      <c r="AA52" s="14">
        <f ca="1">VLOOKUP(W52,[2]character_tribe_i18n!$A:$H,4,FALSE)</f>
        <v>0.94</v>
      </c>
      <c r="AB52" s="14">
        <f ca="1">VLOOKUP(W52,[2]character_tribe_i18n!$A:$H,5,FALSE)</f>
        <v>0.99</v>
      </c>
      <c r="AC52" s="14">
        <f ca="1">VLOOKUP(W52,[2]character_tribe_i18n!$A:$H,6,FALSE)</f>
        <v>1</v>
      </c>
      <c r="AD52" s="14">
        <f ca="1">VLOOKUP(W52,[2]character_tribe_i18n!$A:$H,7,FALSE)</f>
        <v>1.07</v>
      </c>
      <c r="AE52" s="12">
        <v>52</v>
      </c>
      <c r="AF52" s="85" t="str">
        <f ca="1">IF(AE52="NULL","",VLOOKUP($AE52,OFFSET([2]characters!$A$1,0,0,COUNTA([2]characters!$A:$A),MATCH(AF$1,[2]characters!$1:$1,0)-MATCH($A$1,[2]characters!$1:$1,0)+1),MATCH(AF$1,[2]characters!$1:$1,0)-MATCH($A$1,[2]characters!$1:$1,0)+1,FALSE))</f>
        <v>翠槍のレジスタンス マイ</v>
      </c>
      <c r="AG52" s="8">
        <f t="shared" ca="1" si="2"/>
        <v>51</v>
      </c>
      <c r="AH52" s="85" t="str">
        <f ca="1">VLOOKUP($AG52,OFFSET([2]characters!$A$1,0,0,COUNTA([2]characters!$A:$A),MATCH(AH$1,[2]characters!$1:$1,0)-MATCH($A$1,[2]characters!$1:$1,0)+1),MATCH(AH$1,[2]characters!$1:$1,0)-MATCH($A$1,[2]characters!$1:$1,0)+1,FALSE)</f>
        <v>マイ</v>
      </c>
      <c r="AI52" s="14">
        <f ca="1">IF(AE52="NULL","NULL",VLOOKUP(G52,ビット!$A$2:$B$7,2))</f>
        <v>10000</v>
      </c>
      <c r="AJ52" s="9">
        <v>2</v>
      </c>
      <c r="AK52" s="10" t="str">
        <f t="shared" si="3"/>
        <v>普通</v>
      </c>
      <c r="AL52" s="14" t="str">
        <f ca="1">INDEX(経験値!$A$1:$I$20,MATCH(H52,経験値!$A$1:$A$20,FALSE),MATCH(G52,経験値!$A$1:$I$1,FALSE))</f>
        <v>required_exp_100</v>
      </c>
      <c r="AM52" s="11">
        <f ca="1">VLOOKUP(G52,経験値!$A$27:$B$31,2)</f>
        <v>600</v>
      </c>
      <c r="AN52" s="21">
        <f ca="1">VLOOKUP(G52,ビット!$G$2:$H$7,2)</f>
        <v>150</v>
      </c>
      <c r="AO52" s="64" t="s">
        <v>49</v>
      </c>
      <c r="AP52" s="97">
        <v>540001</v>
      </c>
      <c r="AQ52" s="77" t="e">
        <f ca="1">VLOOKUP($AP52,OFFSET([1]unit_skills!$A$1,0,0,COUNTA([1]unit_skills!$A:$A),MATCH("name",[1]unit_skills!$1:$1,0)-MATCH($AP$1,[1]unit_skills!$1:$1,0)+1),MATCH("name",[1]unit_skills!$1:$1,0)-MATCH($AP$1,[1]unit_skills!$1:$1,0)+1,FALSE)</f>
        <v>#VALUE!</v>
      </c>
      <c r="AR52" s="77" t="e">
        <f ca="1">VLOOKUP($AP52,OFFSET([1]unit_skills!$A$1,0,0,COUNTA([1]unit_skills!$A:$A),MATCH("comment",[1]unit_skills!$1:$1,0)-MATCH($AP$1,[1]unit_skills!$1:$1,0)+1),MATCH("comment",[1]unit_skills!$1:$1,0)-MATCH($AP$1,[1]unit_skills!$1:$1,0)+1,FALSE)</f>
        <v>#VALUE!</v>
      </c>
      <c r="AS52" s="77" t="e">
        <f ca="1">VLOOKUP($AP52,OFFSET([1]unit_skills!$A$1,0,0,COUNTA([1]unit_skills!$A:$A),MATCH(AS$1,[1]unit_skills!$1:$1,0)-MATCH($AP$1,[1]unit_skills!$1:$1,0)+1),MATCH(AS$1,[1]unit_skills!$1:$1,0)-MATCH($AP$1,[1]unit_skills!$1:$1,0)+1,FALSE)</f>
        <v>#VALUE!</v>
      </c>
      <c r="AT52" s="97">
        <v>152001</v>
      </c>
      <c r="AU52" s="77" t="e">
        <f ca="1">VLOOKUP($AT52,OFFSET([1]crash_skills!$A$1,0,0,COUNTA([1]crash_skills!$A:$A),MATCH("name",[1]crash_skills!$1:$1,0)-MATCH($AT$1,[1]crash_skills!$1:$1,0)+1),MATCH("name",[1]crash_skills!$1:$1,0)-MATCH($AT$1,[1]crash_skills!$1:$1,0)+1,FALSE)</f>
        <v>#VALUE!</v>
      </c>
      <c r="AV52" s="77" t="e">
        <f ca="1">VLOOKUP($AT52,OFFSET([1]crash_skills!$A$1,0,0,COUNTA([1]crash_skills!$A:$A),MATCH("comment",[1]crash_skills!$1:$1,0)-MATCH($AT$1,[1]crash_skills!$1:$1,0)+1),MATCH("comment",[1]crash_skills!$1:$1,0)-MATCH($AT$1,[1]crash_skills!$1:$1,0)+1,FALSE)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52" s="77" t="e">
        <f ca="1">VLOOKUP($AT52,OFFSET([1]crash_skills!$A$1,0,0,COUNTA([1]crash_skills!$A:$A),MATCH(AW$1,[1]crash_skills!$1:$1,0)-MATCH($AT$1,[1]crash_skills!$1:$1,0)+1),MATCH(AW$1,[1]crash_skills!$1:$1,0)-MATCH($AT$1,[1]crash_skills!$1:$1,0)+1,FALSE)</f>
        <v>#VALUE!</v>
      </c>
      <c r="AX52" s="81">
        <f ca="1">VLOOKUP($A52,OFFSET([2]characters!$A$1,0,0,COUNTA([2]characters!$A:$A),MATCH(AX$1,[2]characters!$1:$1,0)-MATCH($A$1,[2]characters!$1:$1,0)+1),MATCH(AX$1,[2]characters!$1:$1,0)-MATCH($A$1,[2]characters!$1:$1,0)+1,FALSE)</f>
        <v>3</v>
      </c>
      <c r="AY52" s="19">
        <v>1</v>
      </c>
      <c r="AZ52" s="19">
        <v>1</v>
      </c>
      <c r="BA52" s="19">
        <v>0</v>
      </c>
      <c r="BB52" s="19">
        <v>1</v>
      </c>
      <c r="BC52" s="14">
        <f ca="1">INDEX('RC6SV'!$A$1:$G$20,MATCH(H52,'RC6SV'!$A$1:$A$20,FALSE),MATCH(G52,'RC6SV'!$A$1:$G$1,FALSE))</f>
        <v>2800</v>
      </c>
      <c r="BD52" s="63">
        <f t="shared" ca="1" si="4"/>
        <v>2800</v>
      </c>
      <c r="BE52" s="14">
        <f t="shared" ca="1" si="5"/>
        <v>0</v>
      </c>
      <c r="BF52" s="14">
        <f t="shared" ca="1" si="6"/>
        <v>1</v>
      </c>
      <c r="BG52" s="20">
        <f ca="1">IF($BE52&lt;=0,ROUND(BK52*0.5,0), ROUND($BE52*S52*AA52*J52*AY52*0.8*[2]ステータス!$B$2,0))</f>
        <v>671</v>
      </c>
      <c r="BH52" s="20">
        <f ca="1">IF($BE52&lt;=0,ROUND(BL52*0.5,0), ROUND($BE52*T52*AB52*K52*AZ52*0.8*[2]ステータス!$C$2,0))</f>
        <v>542</v>
      </c>
      <c r="BI52" s="20">
        <f ca="1">IF($BE52&lt;=0,ROUND(BM52*0.5,0), ROUND($BE52*U52*AC52*L52*BA52*0.8*[2]ステータス!$D$2,0))</f>
        <v>0</v>
      </c>
      <c r="BJ52" s="20">
        <f ca="1">IF($BE52&lt;=0,ROUND(BN52*0.5,0), ROUND($BE52*V52*AD52*M52*BB52*0.8*[2]ステータス!$E$2,0))</f>
        <v>251</v>
      </c>
      <c r="BK52" s="14">
        <f ca="1">ROUND(BD52*S52*AA52*J52*AY52*[2]ステータス!$B$2,0)</f>
        <v>1342</v>
      </c>
      <c r="BL52" s="14">
        <f ca="1">ROUND(BD52*T52*AB52*K52*AZ52*[2]ステータス!$C$2,0)</f>
        <v>1084</v>
      </c>
      <c r="BM52" s="14">
        <f ca="1">ROUND(BD52*U52*AC52*L52*BA52*[2]ステータス!$D$2,0)</f>
        <v>0</v>
      </c>
      <c r="BN52" s="14">
        <f ca="1">ROUND(BD52*V52*AD52*M52*BB52*[2]ステータス!$E$2,0)</f>
        <v>502</v>
      </c>
      <c r="BO52" s="13">
        <v>0</v>
      </c>
      <c r="BP52" s="13">
        <v>1</v>
      </c>
      <c r="BQ52" s="13" t="s">
        <v>102</v>
      </c>
      <c r="BR52" s="13">
        <f ca="1">VLOOKUP(H52,ghosts_label!$A$2:$B$19,2,FALSE)</f>
        <v>1</v>
      </c>
    </row>
    <row r="53" spans="1:70" ht="21" customHeight="1" x14ac:dyDescent="0.15">
      <c r="A53" s="14">
        <f t="shared" ca="1" si="0"/>
        <v>52</v>
      </c>
      <c r="B53" s="77" t="str">
        <f ca="1">VLOOKUP($A53,OFFSET([2]characters!$A$1,0,0,COUNTA([2]characters!$A:$A),MATCH(B$1,[2]characters!$1:$1,0)-MATCH($A$1,[2]characters!$1:$1,0)+1),MATCH(B$1,[2]characters!$1:$1,0)-MATCH($A$1,[2]characters!$1:$1,0)+1,FALSE)</f>
        <v>翠槍のレジスタンス マイ</v>
      </c>
      <c r="C53" s="77" t="str">
        <f ca="1">VLOOKUP($A53,OFFSET([2]characters!$A$1,0,0,COUNTA([2]characters!$A:$A),MATCH(C$1,[2]characters!$1:$1,0)-MATCH($A$1,[2]characters!$1:$1,0)+1),MATCH(C$1,[2]characters!$1:$1,0)-MATCH($A$1,[2]characters!$1:$1,0)+1,FALSE)</f>
        <v>ノーマルクエスト</v>
      </c>
      <c r="D53" s="77" t="str">
        <f ca="1">VLOOKUP($A53,OFFSET([2]characters!$A$1,0,0,COUNTA([2]characters!$A:$A),MATCH(D$1,[2]characters!$1:$1,0)-MATCH($A$1,[2]characters!$1:$1,0)+1),MATCH(D$1,[2]characters!$1:$1,0)-MATCH($A$1,[2]characters!$1:$1,0)+1,FALSE)</f>
        <v>アバター</v>
      </c>
      <c r="E53" s="77" t="str">
        <f ca="1">VLOOKUP($A53,OFFSET([2]characters!$A$1,0,0,COUNTA([2]characters!$A:$A),MATCH(E$1,[2]characters!$1:$1,0)-MATCH($A$1,[2]characters!$1:$1,0)+1),MATCH(E$1,[2]characters!$1:$1,0)-MATCH($A$1,[2]characters!$1:$1,0)+1,FALSE)</f>
        <v>世界観</v>
      </c>
      <c r="F53" s="77" t="str">
        <f ca="1">VLOOKUP($A53,OFFSET([2]characters!$A$1,0,0,COUNTA([2]characters!$A:$A),MATCH(F$1,[2]characters!$1:$1,0)-MATCH($A$1,[2]characters!$1:$1,0)+1),MATCH(F$1,[2]characters!$1:$1,0)-MATCH($A$1,[2]characters!$1:$1,0)+1,FALSE)</f>
        <v>女性</v>
      </c>
      <c r="G53" s="77">
        <f ca="1">VLOOKUP($A53,OFFSET([2]characters!$A$1,0,0,COUNTA([2]characters!$A:$A),MATCH(G$1,[2]characters!$1:$1,0)-MATCH($A$1,[2]characters!$1:$1,0)+1),MATCH(G$1,[2]characters!$1:$1,0)-MATCH($A$1,[2]characters!$1:$1,0)+1,FALSE)</f>
        <v>3</v>
      </c>
      <c r="H53" s="77" t="str">
        <f ca="1">VLOOKUP($A53,OFFSET([2]characters!$A$1,0,0,COUNTA([2]characters!$A:$A),MATCH(H$1,[2]characters!$1:$1,0)-MATCH($A$1,[2]characters!$1:$1,0)+1),MATCH(H$1,[2]characters!$1:$1,0)-MATCH($A$1,[2]characters!$1:$1,0)+1,FALSE)</f>
        <v>Drop1N</v>
      </c>
      <c r="I53" s="77" t="str">
        <f ca="1">VLOOKUP($A53,OFFSET([2]characters!$A$1,0,0,COUNTA([2]characters!$A:$A),MATCH(I$1,[2]characters!$1:$1,0)-MATCH($A$1,[2]characters!$1:$1,0)+1),MATCH(I$1,[2]characters!$1:$1,0)-MATCH($A$1,[2]characters!$1:$1,0)+1,FALSE)</f>
        <v>green</v>
      </c>
      <c r="J53" s="14">
        <f ca="1">VLOOKUP(I53,[2]属性!$A:$E,2,FALSE)</f>
        <v>1.02</v>
      </c>
      <c r="K53" s="14">
        <f ca="1">VLOOKUP(I53,[2]属性!$A:$E,3,FALSE)</f>
        <v>0.98</v>
      </c>
      <c r="L53" s="14">
        <f ca="1">VLOOKUP(I53,[2]属性!$A:$E,4,FALSE)</f>
        <v>1</v>
      </c>
      <c r="M53" s="14">
        <f ca="1">VLOOKUP(I53,[2]属性!$A:$E,5,FALSE)</f>
        <v>1</v>
      </c>
      <c r="N53" s="14">
        <f ca="1">INDEX(コスト!$A$1:$I$20,MATCH(H53,コスト!$A$1:$A$20,FALSE),MATCH(G53,コスト!$A$1:$I$1,FALSE))</f>
        <v>6</v>
      </c>
      <c r="O53" s="14">
        <f ca="1">INDEX(レベル!$A$1:$I$21,MATCH(H53,レベル!$A$1:$A$21,FALSE),MATCH(G53,レベル!$A$1:$I$1,FALSE))</f>
        <v>40</v>
      </c>
      <c r="P53" s="63">
        <f t="shared" ca="1" si="7"/>
        <v>45</v>
      </c>
      <c r="Q53" s="77" t="str">
        <f ca="1">VLOOKUP($A53,OFFSET([2]characters!$A$1,0,0,COUNTA([2]characters!$A:$A),MATCH(Q$1,[2]characters!$1:$1,0)-MATCH($A$1,[2]characters!$1:$1,0)+1),MATCH(Q$1,[2]characters!$1:$1,0)-MATCH($A$1,[2]characters!$1:$1,0)+1,FALSE)</f>
        <v>attack</v>
      </c>
      <c r="R53" s="8" t="str">
        <f ca="1">VLOOKUP(Q53,[2]character_type_i18n!$A:$H,3,FALSE)</f>
        <v>攻撃タイプ</v>
      </c>
      <c r="S53" s="14">
        <f ca="1">VLOOKUP(Q53,[2]character_type_i18n!$A:$H,4,FALSE)</f>
        <v>1</v>
      </c>
      <c r="T53" s="14">
        <f ca="1">VLOOKUP(Q53,[2]character_type_i18n!$A:$H,5,FALSE)</f>
        <v>1.33</v>
      </c>
      <c r="U53" s="14">
        <f ca="1">VLOOKUP(Q53,[2]character_type_i18n!$A:$H,6,FALSE)</f>
        <v>1</v>
      </c>
      <c r="V53" s="14">
        <f ca="1">VLOOKUP(Q53,[2]character_type_i18n!$A:$H,7,FALSE)</f>
        <v>0.67</v>
      </c>
      <c r="W53" s="77" t="str">
        <f ca="1">VLOOKUP($A53,OFFSET([2]characters!$A$1,0,0,COUNTA([2]characters!$A:$A),MATCH(W$1,[2]characters!$1:$1,0)-MATCH($A$1,[2]characters!$1:$1,0)+1),MATCH(W$1,[2]characters!$1:$1,0)-MATCH($A$1,[2]characters!$1:$1,0)+1,FALSE)</f>
        <v>human</v>
      </c>
      <c r="X53" s="8" t="str">
        <f ca="1">VLOOKUP(W53,[2]character_tribe_i18n!$A:$H,3,FALSE)</f>
        <v>ヒューマン</v>
      </c>
      <c r="Y53" s="77" t="str">
        <f ca="1">VLOOKUP($A53,OFFSET([2]characters!$A$1,0,0,COUNTA([2]characters!$A:$A),MATCH(Y$1,[2]characters!$1:$1,0)-MATCH($A$1,[2]characters!$1:$1,0)+1),MATCH(Y$1,[2]characters!$1:$1,0)-MATCH($A$1,[2]characters!$1:$1,0)+1,FALSE)</f>
        <v>none</v>
      </c>
      <c r="Z53" s="8" t="str">
        <f ca="1">VLOOKUP(Y53,[2]character_tribe_i18n!$A:$H,3,FALSE)</f>
        <v>種族なし</v>
      </c>
      <c r="AA53" s="14">
        <f ca="1">VLOOKUP(W53,[2]character_tribe_i18n!$A:$H,4,FALSE)</f>
        <v>0.94</v>
      </c>
      <c r="AB53" s="14">
        <f ca="1">VLOOKUP(W53,[2]character_tribe_i18n!$A:$H,5,FALSE)</f>
        <v>0.99</v>
      </c>
      <c r="AC53" s="14">
        <f ca="1">VLOOKUP(W53,[2]character_tribe_i18n!$A:$H,6,FALSE)</f>
        <v>1</v>
      </c>
      <c r="AD53" s="14">
        <f ca="1">VLOOKUP(W53,[2]character_tribe_i18n!$A:$H,7,FALSE)</f>
        <v>1.07</v>
      </c>
      <c r="AE53" s="12" t="s">
        <v>102</v>
      </c>
      <c r="AF53" s="85" t="str">
        <f ca="1">IF(AE53="NULL","",VLOOKUP($AE53,OFFSET([2]characters!$A$1,0,0,COUNTA([2]characters!$A:$A),MATCH(AF$1,[2]characters!$1:$1,0)-MATCH($A$1,[2]characters!$1:$1,0)+1),MATCH(AF$1,[2]characters!$1:$1,0)-MATCH($A$1,[2]characters!$1:$1,0)+1,FALSE))</f>
        <v/>
      </c>
      <c r="AG53" s="8">
        <f t="shared" ca="1" si="2"/>
        <v>51</v>
      </c>
      <c r="AH53" s="85" t="str">
        <f ca="1">VLOOKUP($AG53,OFFSET([2]characters!$A$1,0,0,COUNTA([2]characters!$A:$A),MATCH(AH$1,[2]characters!$1:$1,0)-MATCH($A$1,[2]characters!$1:$1,0)+1),MATCH(AH$1,[2]characters!$1:$1,0)-MATCH($A$1,[2]characters!$1:$1,0)+1,FALSE)</f>
        <v>マイ</v>
      </c>
      <c r="AI53" s="14" t="str">
        <f>IF(AE53="NULL","NULL",VLOOKUP(G53,ビット!$A$2:$B$7,2))</f>
        <v>NULL</v>
      </c>
      <c r="AJ53" s="9">
        <v>2</v>
      </c>
      <c r="AK53" s="10" t="str">
        <f t="shared" si="3"/>
        <v>普通</v>
      </c>
      <c r="AL53" s="14" t="str">
        <f ca="1">INDEX(経験値!$A$1:$I$20,MATCH(H53,経験値!$A$1:$A$20,FALSE),MATCH(G53,経験値!$A$1:$I$1,FALSE))</f>
        <v>required_exp_100</v>
      </c>
      <c r="AM53" s="11">
        <f ca="1">VLOOKUP(G53,経験値!$A$27:$B$31,2)</f>
        <v>1500</v>
      </c>
      <c r="AN53" s="21">
        <f ca="1">VLOOKUP(G53,ビット!$G$2:$H$7,2)</f>
        <v>300</v>
      </c>
      <c r="AO53" s="64" t="s">
        <v>49</v>
      </c>
      <c r="AP53" s="97">
        <v>540001</v>
      </c>
      <c r="AQ53" s="77" t="e">
        <f ca="1">VLOOKUP($AP53,OFFSET([1]unit_skills!$A$1,0,0,COUNTA([1]unit_skills!$A:$A),MATCH("name",[1]unit_skills!$1:$1,0)-MATCH($AP$1,[1]unit_skills!$1:$1,0)+1),MATCH("name",[1]unit_skills!$1:$1,0)-MATCH($AP$1,[1]unit_skills!$1:$1,0)+1,FALSE)</f>
        <v>#VALUE!</v>
      </c>
      <c r="AR53" s="77" t="e">
        <f ca="1">VLOOKUP($AP53,OFFSET([1]unit_skills!$A$1,0,0,COUNTA([1]unit_skills!$A:$A),MATCH("comment",[1]unit_skills!$1:$1,0)-MATCH($AP$1,[1]unit_skills!$1:$1,0)+1),MATCH("comment",[1]unit_skills!$1:$1,0)-MATCH($AP$1,[1]unit_skills!$1:$1,0)+1,FALSE)</f>
        <v>#VALUE!</v>
      </c>
      <c r="AS53" s="77" t="e">
        <f ca="1">VLOOKUP($AP53,OFFSET([1]unit_skills!$A$1,0,0,COUNTA([1]unit_skills!$A:$A),MATCH(AS$1,[1]unit_skills!$1:$1,0)-MATCH($AP$1,[1]unit_skills!$1:$1,0)+1),MATCH(AS$1,[1]unit_skills!$1:$1,0)-MATCH($AP$1,[1]unit_skills!$1:$1,0)+1,FALSE)</f>
        <v>#VALUE!</v>
      </c>
      <c r="AT53" s="235">
        <v>52</v>
      </c>
      <c r="AU53" s="77" t="e">
        <f ca="1">VLOOKUP($AT53,OFFSET([1]crash_skills!$A$1,0,0,COUNTA([1]crash_skills!$A:$A),MATCH("name",[1]crash_skills!$1:$1,0)-MATCH($AT$1,[1]crash_skills!$1:$1,0)+1),MATCH("name",[1]crash_skills!$1:$1,0)-MATCH($AT$1,[1]crash_skills!$1:$1,0)+1,FALSE)</f>
        <v>#VALUE!</v>
      </c>
      <c r="AV53" s="77" t="e">
        <f ca="1">VLOOKUP($AT53,OFFSET([1]crash_skills!$A$1,0,0,COUNTA([1]crash_skills!$A:$A),MATCH("comment",[1]crash_skills!$1:$1,0)-MATCH($AT$1,[1]crash_skills!$1:$1,0)+1),MATCH("comment",[1]crash_skills!$1:$1,0)-MATCH($AT$1,[1]crash_skills!$1:$1,0)+1,FALSE)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53" s="77" t="e">
        <f ca="1">VLOOKUP($AT53,OFFSET([1]crash_skills!$A$1,0,0,COUNTA([1]crash_skills!$A:$A),MATCH(AW$1,[1]crash_skills!$1:$1,0)-MATCH($AT$1,[1]crash_skills!$1:$1,0)+1),MATCH(AW$1,[1]crash_skills!$1:$1,0)-MATCH($AT$1,[1]crash_skills!$1:$1,0)+1,FALSE)</f>
        <v>#VALUE!</v>
      </c>
      <c r="AX53" s="81">
        <f ca="1">VLOOKUP($A53,OFFSET([2]characters!$A$1,0,0,COUNTA([2]characters!$A:$A),MATCH(AX$1,[2]characters!$1:$1,0)-MATCH($A$1,[2]characters!$1:$1,0)+1),MATCH(AX$1,[2]characters!$1:$1,0)-MATCH($A$1,[2]characters!$1:$1,0)+1,FALSE)</f>
        <v>3</v>
      </c>
      <c r="AY53" s="19">
        <v>1</v>
      </c>
      <c r="AZ53" s="19">
        <v>1</v>
      </c>
      <c r="BA53" s="19">
        <v>0</v>
      </c>
      <c r="BB53" s="19">
        <v>1</v>
      </c>
      <c r="BC53" s="14">
        <f ca="1">INDEX('RC6SV'!$A$1:$G$20,MATCH(H53,'RC6SV'!$A$1:$A$20,FALSE),MATCH(G53,'RC6SV'!$A$1:$G$1,FALSE))</f>
        <v>4000</v>
      </c>
      <c r="BD53" s="63">
        <f t="shared" ca="1" si="4"/>
        <v>4000</v>
      </c>
      <c r="BE53" s="14">
        <f t="shared" ca="1" si="5"/>
        <v>2800</v>
      </c>
      <c r="BF53" s="14">
        <f t="shared" ca="1" si="6"/>
        <v>1</v>
      </c>
      <c r="BG53" s="20">
        <f ca="1">IF($BE53&lt;=0,ROUND(BK53*0.5,0), ROUND($BE53*S53*AA53*J53*AY53*0.8*[2]ステータス!$B$2,0))</f>
        <v>1074</v>
      </c>
      <c r="BH53" s="20">
        <f ca="1">IF($BE53&lt;=0,ROUND(BL53*0.5,0), ROUND($BE53*T53*AB53*K53*AZ53*0.8*[2]ステータス!$C$2,0))</f>
        <v>867</v>
      </c>
      <c r="BI53" s="20">
        <f ca="1">IF($BE53&lt;=0,ROUND(BM53*0.5,0), ROUND($BE53*U53*AC53*L53*BA53*0.8*[2]ステータス!$D$2,0))</f>
        <v>0</v>
      </c>
      <c r="BJ53" s="20">
        <f ca="1">IF($BE53&lt;=0,ROUND(BN53*0.5,0), ROUND($BE53*V53*AD53*M53*BB53*0.8*[2]ステータス!$E$2,0))</f>
        <v>401</v>
      </c>
      <c r="BK53" s="14">
        <f ca="1">ROUND(BD53*S53*AA53*J53*AY53*[2]ステータス!$B$2,0)</f>
        <v>1918</v>
      </c>
      <c r="BL53" s="14">
        <f ca="1">ROUND(BD53*T53*AB53*K53*AZ53*[2]ステータス!$C$2,0)</f>
        <v>1548</v>
      </c>
      <c r="BM53" s="14">
        <f ca="1">ROUND(BD53*U53*AC53*L53*BA53*[2]ステータス!$D$2,0)</f>
        <v>0</v>
      </c>
      <c r="BN53" s="14">
        <f ca="1">ROUND(BD53*V53*AD53*M53*BB53*[2]ステータス!$E$2,0)</f>
        <v>717</v>
      </c>
      <c r="BO53" s="13">
        <v>0</v>
      </c>
      <c r="BP53" s="13">
        <v>1</v>
      </c>
      <c r="BQ53" s="13" t="s">
        <v>102</v>
      </c>
      <c r="BR53" s="13">
        <f ca="1">VLOOKUP(H53,ghosts_label!$A$2:$B$19,2,FALSE)</f>
        <v>1</v>
      </c>
    </row>
    <row r="54" spans="1:70" ht="21" customHeight="1" x14ac:dyDescent="0.15">
      <c r="A54" s="14">
        <f t="shared" ca="1" si="0"/>
        <v>53</v>
      </c>
      <c r="B54" s="77" t="str">
        <f ca="1">VLOOKUP($A54,OFFSET([2]characters!$A$1,0,0,COUNTA([2]characters!$A:$A),MATCH(B$1,[2]characters!$1:$1,0)-MATCH($A$1,[2]characters!$1:$1,0)+1),MATCH(B$1,[2]characters!$1:$1,0)-MATCH($A$1,[2]characters!$1:$1,0)+1,FALSE)</f>
        <v>ケンジ</v>
      </c>
      <c r="C54" s="77" t="str">
        <f ca="1">VLOOKUP($A54,OFFSET([2]characters!$A$1,0,0,COUNTA([2]characters!$A:$A),MATCH(C$1,[2]characters!$1:$1,0)-MATCH($A$1,[2]characters!$1:$1,0)+1),MATCH(C$1,[2]characters!$1:$1,0)-MATCH($A$1,[2]characters!$1:$1,0)+1,FALSE)</f>
        <v>ノーマルクエスト</v>
      </c>
      <c r="D54" s="77" t="str">
        <f ca="1">VLOOKUP($A54,OFFSET([2]characters!$A$1,0,0,COUNTA([2]characters!$A:$A),MATCH(D$1,[2]characters!$1:$1,0)-MATCH($A$1,[2]characters!$1:$1,0)+1),MATCH(D$1,[2]characters!$1:$1,0)-MATCH($A$1,[2]characters!$1:$1,0)+1,FALSE)</f>
        <v>アバター</v>
      </c>
      <c r="E54" s="77" t="str">
        <f ca="1">VLOOKUP($A54,OFFSET([2]characters!$A$1,0,0,COUNTA([2]characters!$A:$A),MATCH(E$1,[2]characters!$1:$1,0)-MATCH($A$1,[2]characters!$1:$1,0)+1),MATCH(E$1,[2]characters!$1:$1,0)-MATCH($A$1,[2]characters!$1:$1,0)+1,FALSE)</f>
        <v>世界観</v>
      </c>
      <c r="F54" s="77" t="str">
        <f ca="1">VLOOKUP($A54,OFFSET([2]characters!$A$1,0,0,COUNTA([2]characters!$A:$A),MATCH(F$1,[2]characters!$1:$1,0)-MATCH($A$1,[2]characters!$1:$1,0)+1),MATCH(F$1,[2]characters!$1:$1,0)-MATCH($A$1,[2]characters!$1:$1,0)+1,FALSE)</f>
        <v>男性</v>
      </c>
      <c r="G54" s="77">
        <f ca="1">VLOOKUP($A54,OFFSET([2]characters!$A$1,0,0,COUNTA([2]characters!$A:$A),MATCH(G$1,[2]characters!$1:$1,0)-MATCH($A$1,[2]characters!$1:$1,0)+1),MATCH(G$1,[2]characters!$1:$1,0)-MATCH($A$1,[2]characters!$1:$1,0)+1,FALSE)</f>
        <v>2</v>
      </c>
      <c r="H54" s="77" t="str">
        <f ca="1">VLOOKUP($A54,OFFSET([2]characters!$A$1,0,0,COUNTA([2]characters!$A:$A),MATCH(H$1,[2]characters!$1:$1,0)-MATCH($A$1,[2]characters!$1:$1,0)+1),MATCH(H$1,[2]characters!$1:$1,0)-MATCH($A$1,[2]characters!$1:$1,0)+1,FALSE)</f>
        <v>Drop1N</v>
      </c>
      <c r="I54" s="77" t="str">
        <f ca="1">VLOOKUP($A54,OFFSET([2]characters!$A$1,0,0,COUNTA([2]characters!$A:$A),MATCH(I$1,[2]characters!$1:$1,0)-MATCH($A$1,[2]characters!$1:$1,0)+1),MATCH(I$1,[2]characters!$1:$1,0)-MATCH($A$1,[2]characters!$1:$1,0)+1,FALSE)</f>
        <v>blue</v>
      </c>
      <c r="J54" s="14">
        <f ca="1">VLOOKUP(I54,[2]属性!$A:$E,2,FALSE)</f>
        <v>1</v>
      </c>
      <c r="K54" s="14">
        <f ca="1">VLOOKUP(I54,[2]属性!$A:$E,3,FALSE)</f>
        <v>0.98</v>
      </c>
      <c r="L54" s="14">
        <f ca="1">VLOOKUP(I54,[2]属性!$A:$E,4,FALSE)</f>
        <v>1</v>
      </c>
      <c r="M54" s="14">
        <f ca="1">VLOOKUP(I54,[2]属性!$A:$E,5,FALSE)</f>
        <v>1.02</v>
      </c>
      <c r="N54" s="14">
        <f ca="1">INDEX(コスト!$A$1:$I$20,MATCH(H54,コスト!$A$1:$A$20,FALSE),MATCH(G54,コスト!$A$1:$I$1,FALSE))</f>
        <v>4</v>
      </c>
      <c r="O54" s="14">
        <f ca="1">INDEX(レベル!$A$1:$I$21,MATCH(H54,レベル!$A$1:$A$21,FALSE),MATCH(G54,レベル!$A$1:$I$1,FALSE))</f>
        <v>30</v>
      </c>
      <c r="P54" s="63">
        <f t="shared" ca="1" si="7"/>
        <v>30</v>
      </c>
      <c r="Q54" s="77" t="str">
        <f ca="1">VLOOKUP($A54,OFFSET([2]characters!$A$1,0,0,COUNTA([2]characters!$A:$A),MATCH(Q$1,[2]characters!$1:$1,0)-MATCH($A$1,[2]characters!$1:$1,0)+1),MATCH(Q$1,[2]characters!$1:$1,0)-MATCH($A$1,[2]characters!$1:$1,0)+1,FALSE)</f>
        <v>balance</v>
      </c>
      <c r="R54" s="8" t="str">
        <f ca="1">VLOOKUP(Q54,[2]character_type_i18n!$A:$H,3,FALSE)</f>
        <v>バランスタイプ</v>
      </c>
      <c r="S54" s="14">
        <f ca="1">VLOOKUP(Q54,[2]character_type_i18n!$A:$H,4,FALSE)</f>
        <v>1</v>
      </c>
      <c r="T54" s="14">
        <f ca="1">VLOOKUP(Q54,[2]character_type_i18n!$A:$H,5,FALSE)</f>
        <v>1</v>
      </c>
      <c r="U54" s="14">
        <f ca="1">VLOOKUP(Q54,[2]character_type_i18n!$A:$H,6,FALSE)</f>
        <v>1</v>
      </c>
      <c r="V54" s="14">
        <f ca="1">VLOOKUP(Q54,[2]character_type_i18n!$A:$H,7,FALSE)</f>
        <v>1</v>
      </c>
      <c r="W54" s="77" t="str">
        <f ca="1">VLOOKUP($A54,OFFSET([2]characters!$A$1,0,0,COUNTA([2]characters!$A:$A),MATCH(W$1,[2]characters!$1:$1,0)-MATCH($A$1,[2]characters!$1:$1,0)+1),MATCH(W$1,[2]characters!$1:$1,0)-MATCH($A$1,[2]characters!$1:$1,0)+1,FALSE)</f>
        <v>human</v>
      </c>
      <c r="X54" s="8" t="str">
        <f ca="1">VLOOKUP(W54,[2]character_tribe_i18n!$A:$H,3,FALSE)</f>
        <v>ヒューマン</v>
      </c>
      <c r="Y54" s="77" t="str">
        <f ca="1">VLOOKUP($A54,OFFSET([2]characters!$A$1,0,0,COUNTA([2]characters!$A:$A),MATCH(Y$1,[2]characters!$1:$1,0)-MATCH($A$1,[2]characters!$1:$1,0)+1),MATCH(Y$1,[2]characters!$1:$1,0)-MATCH($A$1,[2]characters!$1:$1,0)+1,FALSE)</f>
        <v>none</v>
      </c>
      <c r="Z54" s="8" t="str">
        <f ca="1">VLOOKUP(Y54,[2]character_tribe_i18n!$A:$H,3,FALSE)</f>
        <v>種族なし</v>
      </c>
      <c r="AA54" s="14">
        <f ca="1">VLOOKUP(W54,[2]character_tribe_i18n!$A:$H,4,FALSE)</f>
        <v>0.94</v>
      </c>
      <c r="AB54" s="14">
        <f ca="1">VLOOKUP(W54,[2]character_tribe_i18n!$A:$H,5,FALSE)</f>
        <v>0.99</v>
      </c>
      <c r="AC54" s="14">
        <f ca="1">VLOOKUP(W54,[2]character_tribe_i18n!$A:$H,6,FALSE)</f>
        <v>1</v>
      </c>
      <c r="AD54" s="14">
        <f ca="1">VLOOKUP(W54,[2]character_tribe_i18n!$A:$H,7,FALSE)</f>
        <v>1.07</v>
      </c>
      <c r="AE54" s="12">
        <v>54</v>
      </c>
      <c r="AF54" s="85" t="str">
        <f ca="1">IF(AE54="NULL","",VLOOKUP($AE54,OFFSET([2]characters!$A$1,0,0,COUNTA([2]characters!$A:$A),MATCH(AF$1,[2]characters!$1:$1,0)-MATCH($A$1,[2]characters!$1:$1,0)+1),MATCH(AF$1,[2]characters!$1:$1,0)-MATCH($A$1,[2]characters!$1:$1,0)+1,FALSE))</f>
        <v>蒼斬のレジスタンス ケンジ</v>
      </c>
      <c r="AG54" s="8">
        <f t="shared" ca="1" si="2"/>
        <v>53</v>
      </c>
      <c r="AH54" s="85" t="str">
        <f ca="1">VLOOKUP($AG54,OFFSET([2]characters!$A$1,0,0,COUNTA([2]characters!$A:$A),MATCH(AH$1,[2]characters!$1:$1,0)-MATCH($A$1,[2]characters!$1:$1,0)+1),MATCH(AH$1,[2]characters!$1:$1,0)-MATCH($A$1,[2]characters!$1:$1,0)+1,FALSE)</f>
        <v>ケンジ</v>
      </c>
      <c r="AI54" s="14">
        <f ca="1">IF(AE54="NULL","NULL",VLOOKUP(G54,ビット!$A$2:$B$7,2))</f>
        <v>10000</v>
      </c>
      <c r="AJ54" s="9">
        <v>2</v>
      </c>
      <c r="AK54" s="10" t="str">
        <f t="shared" si="3"/>
        <v>普通</v>
      </c>
      <c r="AL54" s="14" t="str">
        <f ca="1">INDEX(経験値!$A$1:$I$20,MATCH(H54,経験値!$A$1:$A$20,FALSE),MATCH(G54,経験値!$A$1:$I$1,FALSE))</f>
        <v>required_exp_100</v>
      </c>
      <c r="AM54" s="11">
        <f ca="1">VLOOKUP(G54,経験値!$A$27:$B$31,2)</f>
        <v>600</v>
      </c>
      <c r="AN54" s="21">
        <f ca="1">VLOOKUP(G54,ビット!$G$2:$H$7,2)</f>
        <v>150</v>
      </c>
      <c r="AO54" s="64" t="s">
        <v>49</v>
      </c>
      <c r="AP54" s="97">
        <v>530005</v>
      </c>
      <c r="AQ54" s="77" t="e">
        <f ca="1">VLOOKUP($AP54,OFFSET([1]unit_skills!$A$1,0,0,COUNTA([1]unit_skills!$A:$A),MATCH("name",[1]unit_skills!$1:$1,0)-MATCH($AP$1,[1]unit_skills!$1:$1,0)+1),MATCH("name",[1]unit_skills!$1:$1,0)-MATCH($AP$1,[1]unit_skills!$1:$1,0)+1,FALSE)</f>
        <v>#VALUE!</v>
      </c>
      <c r="AR54" s="77" t="e">
        <f ca="1">VLOOKUP($AP54,OFFSET([1]unit_skills!$A$1,0,0,COUNTA([1]unit_skills!$A:$A),MATCH("comment",[1]unit_skills!$1:$1,0)-MATCH($AP$1,[1]unit_skills!$1:$1,0)+1),MATCH("comment",[1]unit_skills!$1:$1,0)-MATCH($AP$1,[1]unit_skills!$1:$1,0)+1,FALSE)</f>
        <v>#VALUE!</v>
      </c>
      <c r="AS54" s="77" t="e">
        <f ca="1">VLOOKUP($AP54,OFFSET([1]unit_skills!$A$1,0,0,COUNTA([1]unit_skills!$A:$A),MATCH(AS$1,[1]unit_skills!$1:$1,0)-MATCH($AP$1,[1]unit_skills!$1:$1,0)+1),MATCH(AS$1,[1]unit_skills!$1:$1,0)-MATCH($AP$1,[1]unit_skills!$1:$1,0)+1,FALSE)</f>
        <v>#VALUE!</v>
      </c>
      <c r="AT54" s="97">
        <v>153001</v>
      </c>
      <c r="AU54" s="77" t="e">
        <f ca="1">VLOOKUP($AT54,OFFSET([1]crash_skills!$A$1,0,0,COUNTA([1]crash_skills!$A:$A),MATCH("name",[1]crash_skills!$1:$1,0)-MATCH($AT$1,[1]crash_skills!$1:$1,0)+1),MATCH("name",[1]crash_skills!$1:$1,0)-MATCH($AT$1,[1]crash_skills!$1:$1,0)+1,FALSE)</f>
        <v>#VALUE!</v>
      </c>
      <c r="AV54" s="77" t="e">
        <f ca="1">VLOOKUP($AT54,OFFSET([1]crash_skills!$A$1,0,0,COUNTA([1]crash_skills!$A:$A),MATCH("comment",[1]crash_skills!$1:$1,0)-MATCH($AT$1,[1]crash_skills!$1:$1,0)+1),MATCH("comment",[1]crash_skills!$1:$1,0)-MATCH($AT$1,[1]crash_skills!$1:$1,0)+1,FALSE)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54" s="77" t="e">
        <f ca="1">VLOOKUP($AT54,OFFSET([1]crash_skills!$A$1,0,0,COUNTA([1]crash_skills!$A:$A),MATCH(AW$1,[1]crash_skills!$1:$1,0)-MATCH($AT$1,[1]crash_skills!$1:$1,0)+1),MATCH(AW$1,[1]crash_skills!$1:$1,0)-MATCH($AT$1,[1]crash_skills!$1:$1,0)+1,FALSE)</f>
        <v>#VALUE!</v>
      </c>
      <c r="AX54" s="81">
        <f ca="1">VLOOKUP($A54,OFFSET([2]characters!$A$1,0,0,COUNTA([2]characters!$A:$A),MATCH(AX$1,[2]characters!$1:$1,0)-MATCH($A$1,[2]characters!$1:$1,0)+1),MATCH(AX$1,[2]characters!$1:$1,0)-MATCH($A$1,[2]characters!$1:$1,0)+1,FALSE)</f>
        <v>3</v>
      </c>
      <c r="AY54" s="19">
        <v>1</v>
      </c>
      <c r="AZ54" s="19">
        <v>1</v>
      </c>
      <c r="BA54" s="19">
        <v>0</v>
      </c>
      <c r="BB54" s="19">
        <v>1</v>
      </c>
      <c r="BC54" s="14">
        <f ca="1">INDEX('RC6SV'!$A$1:$G$20,MATCH(H54,'RC6SV'!$A$1:$A$20,FALSE),MATCH(G54,'RC6SV'!$A$1:$G$1,FALSE))</f>
        <v>2800</v>
      </c>
      <c r="BD54" s="63">
        <f t="shared" ca="1" si="4"/>
        <v>2800</v>
      </c>
      <c r="BE54" s="14">
        <f t="shared" ca="1" si="5"/>
        <v>0</v>
      </c>
      <c r="BF54" s="14">
        <f t="shared" ca="1" si="6"/>
        <v>1</v>
      </c>
      <c r="BG54" s="20">
        <f ca="1">IF($BE54&lt;=0,ROUND(BK54*0.5,0), ROUND($BE54*S54*AA54*J54*AY54*0.8*[2]ステータス!$B$2,0))</f>
        <v>658</v>
      </c>
      <c r="BH54" s="20">
        <f ca="1">IF($BE54&lt;=0,ROUND(BL54*0.5,0), ROUND($BE54*T54*AB54*K54*AZ54*0.8*[2]ステータス!$C$2,0))</f>
        <v>408</v>
      </c>
      <c r="BI54" s="20">
        <f ca="1">IF($BE54&lt;=0,ROUND(BM54*0.5,0), ROUND($BE54*U54*AC54*L54*BA54*0.8*[2]ステータス!$D$2,0))</f>
        <v>0</v>
      </c>
      <c r="BJ54" s="20">
        <f ca="1">IF($BE54&lt;=0,ROUND(BN54*0.5,0), ROUND($BE54*V54*AD54*M54*BB54*0.8*[2]ステータス!$E$2,0))</f>
        <v>382</v>
      </c>
      <c r="BK54" s="14">
        <f ca="1">ROUND(BD54*S54*AA54*J54*AY54*[2]ステータス!$B$2,0)</f>
        <v>1316</v>
      </c>
      <c r="BL54" s="14">
        <f ca="1">ROUND(BD54*T54*AB54*K54*AZ54*[2]ステータス!$C$2,0)</f>
        <v>815</v>
      </c>
      <c r="BM54" s="14">
        <f ca="1">ROUND(BD54*U54*AC54*L54*BA54*[2]ステータス!$D$2,0)</f>
        <v>0</v>
      </c>
      <c r="BN54" s="14">
        <f ca="1">ROUND(BD54*V54*AD54*M54*BB54*[2]ステータス!$E$2,0)</f>
        <v>764</v>
      </c>
      <c r="BO54" s="13">
        <v>0</v>
      </c>
      <c r="BP54" s="13">
        <v>1</v>
      </c>
      <c r="BQ54" s="13" t="s">
        <v>102</v>
      </c>
      <c r="BR54" s="13">
        <f ca="1">VLOOKUP(H54,ghosts_label!$A$2:$B$19,2,FALSE)</f>
        <v>1</v>
      </c>
    </row>
    <row r="55" spans="1:70" ht="21" customHeight="1" x14ac:dyDescent="0.15">
      <c r="A55" s="14">
        <f t="shared" ca="1" si="0"/>
        <v>54</v>
      </c>
      <c r="B55" s="77" t="str">
        <f ca="1">VLOOKUP($A55,OFFSET([2]characters!$A$1,0,0,COUNTA([2]characters!$A:$A),MATCH(B$1,[2]characters!$1:$1,0)-MATCH($A$1,[2]characters!$1:$1,0)+1),MATCH(B$1,[2]characters!$1:$1,0)-MATCH($A$1,[2]characters!$1:$1,0)+1,FALSE)</f>
        <v>蒼斬のレジスタンス ケンジ</v>
      </c>
      <c r="C55" s="77" t="str">
        <f ca="1">VLOOKUP($A55,OFFSET([2]characters!$A$1,0,0,COUNTA([2]characters!$A:$A),MATCH(C$1,[2]characters!$1:$1,0)-MATCH($A$1,[2]characters!$1:$1,0)+1),MATCH(C$1,[2]characters!$1:$1,0)-MATCH($A$1,[2]characters!$1:$1,0)+1,FALSE)</f>
        <v>ノーマルクエスト</v>
      </c>
      <c r="D55" s="77" t="str">
        <f ca="1">VLOOKUP($A55,OFFSET([2]characters!$A$1,0,0,COUNTA([2]characters!$A:$A),MATCH(D$1,[2]characters!$1:$1,0)-MATCH($A$1,[2]characters!$1:$1,0)+1),MATCH(D$1,[2]characters!$1:$1,0)-MATCH($A$1,[2]characters!$1:$1,0)+1,FALSE)</f>
        <v>アバター</v>
      </c>
      <c r="E55" s="77" t="str">
        <f ca="1">VLOOKUP($A55,OFFSET([2]characters!$A$1,0,0,COUNTA([2]characters!$A:$A),MATCH(E$1,[2]characters!$1:$1,0)-MATCH($A$1,[2]characters!$1:$1,0)+1),MATCH(E$1,[2]characters!$1:$1,0)-MATCH($A$1,[2]characters!$1:$1,0)+1,FALSE)</f>
        <v>世界観</v>
      </c>
      <c r="F55" s="77" t="str">
        <f ca="1">VLOOKUP($A55,OFFSET([2]characters!$A$1,0,0,COUNTA([2]characters!$A:$A),MATCH(F$1,[2]characters!$1:$1,0)-MATCH($A$1,[2]characters!$1:$1,0)+1),MATCH(F$1,[2]characters!$1:$1,0)-MATCH($A$1,[2]characters!$1:$1,0)+1,FALSE)</f>
        <v>男性</v>
      </c>
      <c r="G55" s="77">
        <f ca="1">VLOOKUP($A55,OFFSET([2]characters!$A$1,0,0,COUNTA([2]characters!$A:$A),MATCH(G$1,[2]characters!$1:$1,0)-MATCH($A$1,[2]characters!$1:$1,0)+1),MATCH(G$1,[2]characters!$1:$1,0)-MATCH($A$1,[2]characters!$1:$1,0)+1,FALSE)</f>
        <v>3</v>
      </c>
      <c r="H55" s="77" t="str">
        <f ca="1">VLOOKUP($A55,OFFSET([2]characters!$A$1,0,0,COUNTA([2]characters!$A:$A),MATCH(H$1,[2]characters!$1:$1,0)-MATCH($A$1,[2]characters!$1:$1,0)+1),MATCH(H$1,[2]characters!$1:$1,0)-MATCH($A$1,[2]characters!$1:$1,0)+1,FALSE)</f>
        <v>Drop1N</v>
      </c>
      <c r="I55" s="77" t="str">
        <f ca="1">VLOOKUP($A55,OFFSET([2]characters!$A$1,0,0,COUNTA([2]characters!$A:$A),MATCH(I$1,[2]characters!$1:$1,0)-MATCH($A$1,[2]characters!$1:$1,0)+1),MATCH(I$1,[2]characters!$1:$1,0)-MATCH($A$1,[2]characters!$1:$1,0)+1,FALSE)</f>
        <v>blue</v>
      </c>
      <c r="J55" s="14">
        <f ca="1">VLOOKUP(I55,[2]属性!$A:$E,2,FALSE)</f>
        <v>1</v>
      </c>
      <c r="K55" s="14">
        <f ca="1">VLOOKUP(I55,[2]属性!$A:$E,3,FALSE)</f>
        <v>0.98</v>
      </c>
      <c r="L55" s="14">
        <f ca="1">VLOOKUP(I55,[2]属性!$A:$E,4,FALSE)</f>
        <v>1</v>
      </c>
      <c r="M55" s="14">
        <f ca="1">VLOOKUP(I55,[2]属性!$A:$E,5,FALSE)</f>
        <v>1.02</v>
      </c>
      <c r="N55" s="14">
        <f ca="1">INDEX(コスト!$A$1:$I$20,MATCH(H55,コスト!$A$1:$A$20,FALSE),MATCH(G55,コスト!$A$1:$I$1,FALSE))</f>
        <v>6</v>
      </c>
      <c r="O55" s="14">
        <f ca="1">INDEX(レベル!$A$1:$I$21,MATCH(H55,レベル!$A$1:$A$21,FALSE),MATCH(G55,レベル!$A$1:$I$1,FALSE))</f>
        <v>40</v>
      </c>
      <c r="P55" s="63">
        <f t="shared" ca="1" si="7"/>
        <v>45</v>
      </c>
      <c r="Q55" s="77" t="str">
        <f ca="1">VLOOKUP($A55,OFFSET([2]characters!$A$1,0,0,COUNTA([2]characters!$A:$A),MATCH(Q$1,[2]characters!$1:$1,0)-MATCH($A$1,[2]characters!$1:$1,0)+1),MATCH(Q$1,[2]characters!$1:$1,0)-MATCH($A$1,[2]characters!$1:$1,0)+1,FALSE)</f>
        <v>balance</v>
      </c>
      <c r="R55" s="8" t="str">
        <f ca="1">VLOOKUP(Q55,[2]character_type_i18n!$A:$H,3,FALSE)</f>
        <v>バランスタイプ</v>
      </c>
      <c r="S55" s="14">
        <f ca="1">VLOOKUP(Q55,[2]character_type_i18n!$A:$H,4,FALSE)</f>
        <v>1</v>
      </c>
      <c r="T55" s="14">
        <f ca="1">VLOOKUP(Q55,[2]character_type_i18n!$A:$H,5,FALSE)</f>
        <v>1</v>
      </c>
      <c r="U55" s="14">
        <f ca="1">VLOOKUP(Q55,[2]character_type_i18n!$A:$H,6,FALSE)</f>
        <v>1</v>
      </c>
      <c r="V55" s="14">
        <f ca="1">VLOOKUP(Q55,[2]character_type_i18n!$A:$H,7,FALSE)</f>
        <v>1</v>
      </c>
      <c r="W55" s="77" t="str">
        <f ca="1">VLOOKUP($A55,OFFSET([2]characters!$A$1,0,0,COUNTA([2]characters!$A:$A),MATCH(W$1,[2]characters!$1:$1,0)-MATCH($A$1,[2]characters!$1:$1,0)+1),MATCH(W$1,[2]characters!$1:$1,0)-MATCH($A$1,[2]characters!$1:$1,0)+1,FALSE)</f>
        <v>human</v>
      </c>
      <c r="X55" s="8" t="str">
        <f ca="1">VLOOKUP(W55,[2]character_tribe_i18n!$A:$H,3,FALSE)</f>
        <v>ヒューマン</v>
      </c>
      <c r="Y55" s="77" t="str">
        <f ca="1">VLOOKUP($A55,OFFSET([2]characters!$A$1,0,0,COUNTA([2]characters!$A:$A),MATCH(Y$1,[2]characters!$1:$1,0)-MATCH($A$1,[2]characters!$1:$1,0)+1),MATCH(Y$1,[2]characters!$1:$1,0)-MATCH($A$1,[2]characters!$1:$1,0)+1,FALSE)</f>
        <v>none</v>
      </c>
      <c r="Z55" s="8" t="str">
        <f ca="1">VLOOKUP(Y55,[2]character_tribe_i18n!$A:$H,3,FALSE)</f>
        <v>種族なし</v>
      </c>
      <c r="AA55" s="14">
        <f ca="1">VLOOKUP(W55,[2]character_tribe_i18n!$A:$H,4,FALSE)</f>
        <v>0.94</v>
      </c>
      <c r="AB55" s="14">
        <f ca="1">VLOOKUP(W55,[2]character_tribe_i18n!$A:$H,5,FALSE)</f>
        <v>0.99</v>
      </c>
      <c r="AC55" s="14">
        <f ca="1">VLOOKUP(W55,[2]character_tribe_i18n!$A:$H,6,FALSE)</f>
        <v>1</v>
      </c>
      <c r="AD55" s="14">
        <f ca="1">VLOOKUP(W55,[2]character_tribe_i18n!$A:$H,7,FALSE)</f>
        <v>1.07</v>
      </c>
      <c r="AE55" s="12" t="s">
        <v>102</v>
      </c>
      <c r="AF55" s="85" t="str">
        <f ca="1">IF(AE55="NULL","",VLOOKUP($AE55,OFFSET([2]characters!$A$1,0,0,COUNTA([2]characters!$A:$A),MATCH(AF$1,[2]characters!$1:$1,0)-MATCH($A$1,[2]characters!$1:$1,0)+1),MATCH(AF$1,[2]characters!$1:$1,0)-MATCH($A$1,[2]characters!$1:$1,0)+1,FALSE))</f>
        <v/>
      </c>
      <c r="AG55" s="8">
        <f t="shared" ca="1" si="2"/>
        <v>53</v>
      </c>
      <c r="AH55" s="85" t="str">
        <f ca="1">VLOOKUP($AG55,OFFSET([2]characters!$A$1,0,0,COUNTA([2]characters!$A:$A),MATCH(AH$1,[2]characters!$1:$1,0)-MATCH($A$1,[2]characters!$1:$1,0)+1),MATCH(AH$1,[2]characters!$1:$1,0)-MATCH($A$1,[2]characters!$1:$1,0)+1,FALSE)</f>
        <v>ケンジ</v>
      </c>
      <c r="AI55" s="14" t="str">
        <f>IF(AE55="NULL","NULL",VLOOKUP(G55,ビット!$A$2:$B$7,2))</f>
        <v>NULL</v>
      </c>
      <c r="AJ55" s="9">
        <v>2</v>
      </c>
      <c r="AK55" s="10" t="str">
        <f t="shared" si="3"/>
        <v>普通</v>
      </c>
      <c r="AL55" s="14" t="str">
        <f ca="1">INDEX(経験値!$A$1:$I$20,MATCH(H55,経験値!$A$1:$A$20,FALSE),MATCH(G55,経験値!$A$1:$I$1,FALSE))</f>
        <v>required_exp_100</v>
      </c>
      <c r="AM55" s="11">
        <f ca="1">VLOOKUP(G55,経験値!$A$27:$B$31,2)</f>
        <v>1500</v>
      </c>
      <c r="AN55" s="21">
        <f ca="1">VLOOKUP(G55,ビット!$G$2:$H$7,2)</f>
        <v>300</v>
      </c>
      <c r="AO55" s="64" t="s">
        <v>49</v>
      </c>
      <c r="AP55" s="97">
        <v>530005</v>
      </c>
      <c r="AQ55" s="77" t="e">
        <f ca="1">VLOOKUP($AP55,OFFSET([1]unit_skills!$A$1,0,0,COUNTA([1]unit_skills!$A:$A),MATCH("name",[1]unit_skills!$1:$1,0)-MATCH($AP$1,[1]unit_skills!$1:$1,0)+1),MATCH("name",[1]unit_skills!$1:$1,0)-MATCH($AP$1,[1]unit_skills!$1:$1,0)+1,FALSE)</f>
        <v>#VALUE!</v>
      </c>
      <c r="AR55" s="77" t="e">
        <f ca="1">VLOOKUP($AP55,OFFSET([1]unit_skills!$A$1,0,0,COUNTA([1]unit_skills!$A:$A),MATCH("comment",[1]unit_skills!$1:$1,0)-MATCH($AP$1,[1]unit_skills!$1:$1,0)+1),MATCH("comment",[1]unit_skills!$1:$1,0)-MATCH($AP$1,[1]unit_skills!$1:$1,0)+1,FALSE)</f>
        <v>#VALUE!</v>
      </c>
      <c r="AS55" s="77" t="e">
        <f ca="1">VLOOKUP($AP55,OFFSET([1]unit_skills!$A$1,0,0,COUNTA([1]unit_skills!$A:$A),MATCH(AS$1,[1]unit_skills!$1:$1,0)-MATCH($AP$1,[1]unit_skills!$1:$1,0)+1),MATCH(AS$1,[1]unit_skills!$1:$1,0)-MATCH($AP$1,[1]unit_skills!$1:$1,0)+1,FALSE)</f>
        <v>#VALUE!</v>
      </c>
      <c r="AT55" s="97">
        <v>153002</v>
      </c>
      <c r="AU55" s="77" t="e">
        <f ca="1">VLOOKUP($AT55,OFFSET([1]crash_skills!$A$1,0,0,COUNTA([1]crash_skills!$A:$A),MATCH("name",[1]crash_skills!$1:$1,0)-MATCH($AT$1,[1]crash_skills!$1:$1,0)+1),MATCH("name",[1]crash_skills!$1:$1,0)-MATCH($AT$1,[1]crash_skills!$1:$1,0)+1,FALSE)</f>
        <v>#VALUE!</v>
      </c>
      <c r="AV55" s="77" t="e">
        <f ca="1">VLOOKUP($AT55,OFFSET([1]crash_skills!$A$1,0,0,COUNTA([1]crash_skills!$A:$A),MATCH("comment",[1]crash_skills!$1:$1,0)-MATCH($AT$1,[1]crash_skills!$1:$1,0)+1),MATCH("comment",[1]crash_skills!$1:$1,0)-MATCH($AT$1,[1]crash_skills!$1:$1,0)+1,FALSE)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55" s="77" t="e">
        <f ca="1">VLOOKUP($AT55,OFFSET([1]crash_skills!$A$1,0,0,COUNTA([1]crash_skills!$A:$A),MATCH(AW$1,[1]crash_skills!$1:$1,0)-MATCH($AT$1,[1]crash_skills!$1:$1,0)+1),MATCH(AW$1,[1]crash_skills!$1:$1,0)-MATCH($AT$1,[1]crash_skills!$1:$1,0)+1,FALSE)</f>
        <v>#VALUE!</v>
      </c>
      <c r="AX55" s="81">
        <f ca="1">VLOOKUP($A55,OFFSET([2]characters!$A$1,0,0,COUNTA([2]characters!$A:$A),MATCH(AX$1,[2]characters!$1:$1,0)-MATCH($A$1,[2]characters!$1:$1,0)+1),MATCH(AX$1,[2]characters!$1:$1,0)-MATCH($A$1,[2]characters!$1:$1,0)+1,FALSE)</f>
        <v>3</v>
      </c>
      <c r="AY55" s="19">
        <v>1</v>
      </c>
      <c r="AZ55" s="19">
        <v>1</v>
      </c>
      <c r="BA55" s="19">
        <v>0</v>
      </c>
      <c r="BB55" s="19">
        <v>1</v>
      </c>
      <c r="BC55" s="14">
        <f ca="1">INDEX('RC6SV'!$A$1:$G$20,MATCH(H55,'RC6SV'!$A$1:$A$20,FALSE),MATCH(G55,'RC6SV'!$A$1:$G$1,FALSE))</f>
        <v>4000</v>
      </c>
      <c r="BD55" s="63">
        <f t="shared" ca="1" si="4"/>
        <v>4000</v>
      </c>
      <c r="BE55" s="14">
        <f t="shared" ca="1" si="5"/>
        <v>2800</v>
      </c>
      <c r="BF55" s="14">
        <f t="shared" ca="1" si="6"/>
        <v>1</v>
      </c>
      <c r="BG55" s="20">
        <f ca="1">IF($BE55&lt;=0,ROUND(BK55*0.5,0), ROUND($BE55*S55*AA55*J55*AY55*0.8*[2]ステータス!$B$2,0))</f>
        <v>1053</v>
      </c>
      <c r="BH55" s="20">
        <f ca="1">IF($BE55&lt;=0,ROUND(BL55*0.5,0), ROUND($BE55*T55*AB55*K55*AZ55*0.8*[2]ステータス!$C$2,0))</f>
        <v>652</v>
      </c>
      <c r="BI55" s="20">
        <f ca="1">IF($BE55&lt;=0,ROUND(BM55*0.5,0), ROUND($BE55*U55*AC55*L55*BA55*0.8*[2]ステータス!$D$2,0))</f>
        <v>0</v>
      </c>
      <c r="BJ55" s="20">
        <f ca="1">IF($BE55&lt;=0,ROUND(BN55*0.5,0), ROUND($BE55*V55*AD55*M55*BB55*0.8*[2]ステータス!$E$2,0))</f>
        <v>611</v>
      </c>
      <c r="BK55" s="14">
        <f ca="1">ROUND(BD55*S55*AA55*J55*AY55*[2]ステータス!$B$2,0)</f>
        <v>1880</v>
      </c>
      <c r="BL55" s="14">
        <f ca="1">ROUND(BD55*T55*AB55*K55*AZ55*[2]ステータス!$C$2,0)</f>
        <v>1164</v>
      </c>
      <c r="BM55" s="14">
        <f ca="1">ROUND(BD55*U55*AC55*L55*BA55*[2]ステータス!$D$2,0)</f>
        <v>0</v>
      </c>
      <c r="BN55" s="14">
        <f ca="1">ROUND(BD55*V55*AD55*M55*BB55*[2]ステータス!$E$2,0)</f>
        <v>1091</v>
      </c>
      <c r="BO55" s="13">
        <v>0</v>
      </c>
      <c r="BP55" s="13">
        <v>1</v>
      </c>
      <c r="BQ55" s="13" t="s">
        <v>102</v>
      </c>
      <c r="BR55" s="13">
        <f ca="1">VLOOKUP(H55,ghosts_label!$A$2:$B$19,2,FALSE)</f>
        <v>1</v>
      </c>
    </row>
    <row r="56" spans="1:70" ht="21" customHeight="1" x14ac:dyDescent="0.15">
      <c r="A56" s="14">
        <f t="shared" ca="1" si="0"/>
        <v>55</v>
      </c>
      <c r="B56" s="77" t="str">
        <f ca="1">VLOOKUP($A56,OFFSET([2]characters!$A$1,0,0,COUNTA([2]characters!$A:$A),MATCH(B$1,[2]characters!$1:$1,0)-MATCH($A$1,[2]characters!$1:$1,0)+1),MATCH(B$1,[2]characters!$1:$1,0)-MATCH($A$1,[2]characters!$1:$1,0)+1,FALSE)</f>
        <v>マミコ</v>
      </c>
      <c r="C56" s="77" t="str">
        <f ca="1">VLOOKUP($A56,OFFSET([2]characters!$A$1,0,0,COUNTA([2]characters!$A:$A),MATCH(C$1,[2]characters!$1:$1,0)-MATCH($A$1,[2]characters!$1:$1,0)+1),MATCH(C$1,[2]characters!$1:$1,0)-MATCH($A$1,[2]characters!$1:$1,0)+1,FALSE)</f>
        <v>ノーマルクエスト</v>
      </c>
      <c r="D56" s="77" t="str">
        <f ca="1">VLOOKUP($A56,OFFSET([2]characters!$A$1,0,0,COUNTA([2]characters!$A:$A),MATCH(D$1,[2]characters!$1:$1,0)-MATCH($A$1,[2]characters!$1:$1,0)+1),MATCH(D$1,[2]characters!$1:$1,0)-MATCH($A$1,[2]characters!$1:$1,0)+1,FALSE)</f>
        <v>アバター</v>
      </c>
      <c r="E56" s="77" t="str">
        <f ca="1">VLOOKUP($A56,OFFSET([2]characters!$A$1,0,0,COUNTA([2]characters!$A:$A),MATCH(E$1,[2]characters!$1:$1,0)-MATCH($A$1,[2]characters!$1:$1,0)+1),MATCH(E$1,[2]characters!$1:$1,0)-MATCH($A$1,[2]characters!$1:$1,0)+1,FALSE)</f>
        <v>世界観</v>
      </c>
      <c r="F56" s="77" t="str">
        <f ca="1">VLOOKUP($A56,OFFSET([2]characters!$A$1,0,0,COUNTA([2]characters!$A:$A),MATCH(F$1,[2]characters!$1:$1,0)-MATCH($A$1,[2]characters!$1:$1,0)+1),MATCH(F$1,[2]characters!$1:$1,0)-MATCH($A$1,[2]characters!$1:$1,0)+1,FALSE)</f>
        <v>女性</v>
      </c>
      <c r="G56" s="77">
        <f ca="1">VLOOKUP($A56,OFFSET([2]characters!$A$1,0,0,COUNTA([2]characters!$A:$A),MATCH(G$1,[2]characters!$1:$1,0)-MATCH($A$1,[2]characters!$1:$1,0)+1),MATCH(G$1,[2]characters!$1:$1,0)-MATCH($A$1,[2]characters!$1:$1,0)+1,FALSE)</f>
        <v>2</v>
      </c>
      <c r="H56" s="77" t="str">
        <f ca="1">VLOOKUP($A56,OFFSET([2]characters!$A$1,0,0,COUNTA([2]characters!$A:$A),MATCH(H$1,[2]characters!$1:$1,0)-MATCH($A$1,[2]characters!$1:$1,0)+1),MATCH(H$1,[2]characters!$1:$1,0)-MATCH($A$1,[2]characters!$1:$1,0)+1,FALSE)</f>
        <v>Drop1N</v>
      </c>
      <c r="I56" s="77" t="str">
        <f ca="1">VLOOKUP($A56,OFFSET([2]characters!$A$1,0,0,COUNTA([2]characters!$A:$A),MATCH(I$1,[2]characters!$1:$1,0)-MATCH($A$1,[2]characters!$1:$1,0)+1),MATCH(I$1,[2]characters!$1:$1,0)-MATCH($A$1,[2]characters!$1:$1,0)+1,FALSE)</f>
        <v>yellow</v>
      </c>
      <c r="J56" s="14">
        <f ca="1">VLOOKUP(I56,[2]属性!$A:$E,2,FALSE)</f>
        <v>0.98</v>
      </c>
      <c r="K56" s="14">
        <f ca="1">VLOOKUP(I56,[2]属性!$A:$E,3,FALSE)</f>
        <v>1.01</v>
      </c>
      <c r="L56" s="14">
        <f ca="1">VLOOKUP(I56,[2]属性!$A:$E,4,FALSE)</f>
        <v>1</v>
      </c>
      <c r="M56" s="14">
        <f ca="1">VLOOKUP(I56,[2]属性!$A:$E,5,FALSE)</f>
        <v>1.01</v>
      </c>
      <c r="N56" s="14">
        <f ca="1">INDEX(コスト!$A$1:$I$20,MATCH(H56,コスト!$A$1:$A$20,FALSE),MATCH(G56,コスト!$A$1:$I$1,FALSE))</f>
        <v>4</v>
      </c>
      <c r="O56" s="14">
        <f ca="1">INDEX(レベル!$A$1:$I$21,MATCH(H56,レベル!$A$1:$A$21,FALSE),MATCH(G56,レベル!$A$1:$I$1,FALSE))</f>
        <v>30</v>
      </c>
      <c r="P56" s="63">
        <f t="shared" ca="1" si="7"/>
        <v>30</v>
      </c>
      <c r="Q56" s="77" t="str">
        <f ca="1">VLOOKUP($A56,OFFSET([2]characters!$A$1,0,0,COUNTA([2]characters!$A:$A),MATCH(Q$1,[2]characters!$1:$1,0)-MATCH($A$1,[2]characters!$1:$1,0)+1),MATCH(Q$1,[2]characters!$1:$1,0)-MATCH($A$1,[2]characters!$1:$1,0)+1,FALSE)</f>
        <v>balance</v>
      </c>
      <c r="R56" s="8" t="str">
        <f ca="1">VLOOKUP(Q56,[2]character_type_i18n!$A:$H,3,FALSE)</f>
        <v>バランスタイプ</v>
      </c>
      <c r="S56" s="14">
        <f ca="1">VLOOKUP(Q56,[2]character_type_i18n!$A:$H,4,FALSE)</f>
        <v>1</v>
      </c>
      <c r="T56" s="14">
        <f ca="1">VLOOKUP(Q56,[2]character_type_i18n!$A:$H,5,FALSE)</f>
        <v>1</v>
      </c>
      <c r="U56" s="14">
        <f ca="1">VLOOKUP(Q56,[2]character_type_i18n!$A:$H,6,FALSE)</f>
        <v>1</v>
      </c>
      <c r="V56" s="14">
        <f ca="1">VLOOKUP(Q56,[2]character_type_i18n!$A:$H,7,FALSE)</f>
        <v>1</v>
      </c>
      <c r="W56" s="77" t="str">
        <f ca="1">VLOOKUP($A56,OFFSET([2]characters!$A$1,0,0,COUNTA([2]characters!$A:$A),MATCH(W$1,[2]characters!$1:$1,0)-MATCH($A$1,[2]characters!$1:$1,0)+1),MATCH(W$1,[2]characters!$1:$1,0)-MATCH($A$1,[2]characters!$1:$1,0)+1,FALSE)</f>
        <v>human</v>
      </c>
      <c r="X56" s="8" t="str">
        <f ca="1">VLOOKUP(W56,[2]character_tribe_i18n!$A:$H,3,FALSE)</f>
        <v>ヒューマン</v>
      </c>
      <c r="Y56" s="77" t="str">
        <f ca="1">VLOOKUP($A56,OFFSET([2]characters!$A$1,0,0,COUNTA([2]characters!$A:$A),MATCH(Y$1,[2]characters!$1:$1,0)-MATCH($A$1,[2]characters!$1:$1,0)+1),MATCH(Y$1,[2]characters!$1:$1,0)-MATCH($A$1,[2]characters!$1:$1,0)+1,FALSE)</f>
        <v>none</v>
      </c>
      <c r="Z56" s="8" t="str">
        <f ca="1">VLOOKUP(Y56,[2]character_tribe_i18n!$A:$H,3,FALSE)</f>
        <v>種族なし</v>
      </c>
      <c r="AA56" s="14">
        <f ca="1">VLOOKUP(W56,[2]character_tribe_i18n!$A:$H,4,FALSE)</f>
        <v>0.94</v>
      </c>
      <c r="AB56" s="14">
        <f ca="1">VLOOKUP(W56,[2]character_tribe_i18n!$A:$H,5,FALSE)</f>
        <v>0.99</v>
      </c>
      <c r="AC56" s="14">
        <f ca="1">VLOOKUP(W56,[2]character_tribe_i18n!$A:$H,6,FALSE)</f>
        <v>1</v>
      </c>
      <c r="AD56" s="14">
        <f ca="1">VLOOKUP(W56,[2]character_tribe_i18n!$A:$H,7,FALSE)</f>
        <v>1.07</v>
      </c>
      <c r="AE56" s="12">
        <v>56</v>
      </c>
      <c r="AF56" s="85" t="str">
        <f ca="1">IF(AE56="NULL","",VLOOKUP($AE56,OFFSET([2]characters!$A$1,0,0,COUNTA([2]characters!$A:$A),MATCH(AF$1,[2]characters!$1:$1,0)-MATCH($A$1,[2]characters!$1:$1,0)+1),MATCH(AF$1,[2]characters!$1:$1,0)-MATCH($A$1,[2]characters!$1:$1,0)+1,FALSE))</f>
        <v>黄槌のレジスタンス マミコ</v>
      </c>
      <c r="AG56" s="8">
        <f t="shared" ca="1" si="2"/>
        <v>55</v>
      </c>
      <c r="AH56" s="85" t="str">
        <f ca="1">VLOOKUP($AG56,OFFSET([2]characters!$A$1,0,0,COUNTA([2]characters!$A:$A),MATCH(AH$1,[2]characters!$1:$1,0)-MATCH($A$1,[2]characters!$1:$1,0)+1),MATCH(AH$1,[2]characters!$1:$1,0)-MATCH($A$1,[2]characters!$1:$1,0)+1,FALSE)</f>
        <v>マミコ</v>
      </c>
      <c r="AI56" s="14">
        <f ca="1">IF(AE56="NULL","NULL",VLOOKUP(G56,ビット!$A$2:$B$7,2))</f>
        <v>10000</v>
      </c>
      <c r="AJ56" s="9">
        <v>2</v>
      </c>
      <c r="AK56" s="10" t="str">
        <f t="shared" si="3"/>
        <v>普通</v>
      </c>
      <c r="AL56" s="14" t="str">
        <f ca="1">INDEX(経験値!$A$1:$I$20,MATCH(H56,経験値!$A$1:$A$20,FALSE),MATCH(G56,経験値!$A$1:$I$1,FALSE))</f>
        <v>required_exp_100</v>
      </c>
      <c r="AM56" s="11">
        <f ca="1">VLOOKUP(G56,経験値!$A$27:$B$31,2)</f>
        <v>600</v>
      </c>
      <c r="AN56" s="21">
        <f ca="1">VLOOKUP(G56,ビット!$G$2:$H$7,2)</f>
        <v>150</v>
      </c>
      <c r="AO56" s="64" t="s">
        <v>49</v>
      </c>
      <c r="AP56" s="97">
        <v>300018</v>
      </c>
      <c r="AQ56" s="77" t="e">
        <f ca="1">VLOOKUP($AP56,OFFSET([1]unit_skills!$A$1,0,0,COUNTA([1]unit_skills!$A:$A),MATCH("name",[1]unit_skills!$1:$1,0)-MATCH($AP$1,[1]unit_skills!$1:$1,0)+1),MATCH("name",[1]unit_skills!$1:$1,0)-MATCH($AP$1,[1]unit_skills!$1:$1,0)+1,FALSE)</f>
        <v>#VALUE!</v>
      </c>
      <c r="AR56" s="77" t="e">
        <f ca="1">VLOOKUP($AP56,OFFSET([1]unit_skills!$A$1,0,0,COUNTA([1]unit_skills!$A:$A),MATCH("comment",[1]unit_skills!$1:$1,0)-MATCH($AP$1,[1]unit_skills!$1:$1,0)+1),MATCH("comment",[1]unit_skills!$1:$1,0)-MATCH($AP$1,[1]unit_skills!$1:$1,0)+1,FALSE)</f>
        <v>#VALUE!</v>
      </c>
      <c r="AS56" s="77" t="e">
        <f ca="1">VLOOKUP($AP56,OFFSET([1]unit_skills!$A$1,0,0,COUNTA([1]unit_skills!$A:$A),MATCH(AS$1,[1]unit_skills!$1:$1,0)-MATCH($AP$1,[1]unit_skills!$1:$1,0)+1),MATCH(AS$1,[1]unit_skills!$1:$1,0)-MATCH($AP$1,[1]unit_skills!$1:$1,0)+1,FALSE)</f>
        <v>#VALUE!</v>
      </c>
      <c r="AT56" s="97">
        <v>154001</v>
      </c>
      <c r="AU56" s="77" t="e">
        <f ca="1">VLOOKUP($AT56,OFFSET([1]crash_skills!$A$1,0,0,COUNTA([1]crash_skills!$A:$A),MATCH("name",[1]crash_skills!$1:$1,0)-MATCH($AT$1,[1]crash_skills!$1:$1,0)+1),MATCH("name",[1]crash_skills!$1:$1,0)-MATCH($AT$1,[1]crash_skills!$1:$1,0)+1,FALSE)</f>
        <v>#VALUE!</v>
      </c>
      <c r="AV56" s="77" t="e">
        <f ca="1">VLOOKUP($AT56,OFFSET([1]crash_skills!$A$1,0,0,COUNTA([1]crash_skills!$A:$A),MATCH("comment",[1]crash_skills!$1:$1,0)-MATCH($AT$1,[1]crash_skills!$1:$1,0)+1),MATCH("comment",[1]crash_skills!$1:$1,0)-MATCH($AT$1,[1]crash_skills!$1:$1,0)+1,FALSE)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56" s="77" t="e">
        <f ca="1">VLOOKUP($AT56,OFFSET([1]crash_skills!$A$1,0,0,COUNTA([1]crash_skills!$A:$A),MATCH(AW$1,[1]crash_skills!$1:$1,0)-MATCH($AT$1,[1]crash_skills!$1:$1,0)+1),MATCH(AW$1,[1]crash_skills!$1:$1,0)-MATCH($AT$1,[1]crash_skills!$1:$1,0)+1,FALSE)</f>
        <v>#VALUE!</v>
      </c>
      <c r="AX56" s="81">
        <f ca="1">VLOOKUP($A56,OFFSET([2]characters!$A$1,0,0,COUNTA([2]characters!$A:$A),MATCH(AX$1,[2]characters!$1:$1,0)-MATCH($A$1,[2]characters!$1:$1,0)+1),MATCH(AX$1,[2]characters!$1:$1,0)-MATCH($A$1,[2]characters!$1:$1,0)+1,FALSE)</f>
        <v>3</v>
      </c>
      <c r="AY56" s="19">
        <v>1</v>
      </c>
      <c r="AZ56" s="19">
        <v>1</v>
      </c>
      <c r="BA56" s="19">
        <v>0</v>
      </c>
      <c r="BB56" s="19">
        <v>1</v>
      </c>
      <c r="BC56" s="14">
        <f ca="1">INDEX('RC6SV'!$A$1:$G$20,MATCH(H56,'RC6SV'!$A$1:$A$20,FALSE),MATCH(G56,'RC6SV'!$A$1:$G$1,FALSE))</f>
        <v>2800</v>
      </c>
      <c r="BD56" s="63">
        <f t="shared" ca="1" si="4"/>
        <v>2800</v>
      </c>
      <c r="BE56" s="14">
        <f t="shared" ca="1" si="5"/>
        <v>0</v>
      </c>
      <c r="BF56" s="14">
        <f t="shared" ca="1" si="6"/>
        <v>1</v>
      </c>
      <c r="BG56" s="20">
        <f ca="1">IF($BE56&lt;=0,ROUND(BK56*0.5,0), ROUND($BE56*S56*AA56*J56*AY56*0.8*[2]ステータス!$B$2,0))</f>
        <v>645</v>
      </c>
      <c r="BH56" s="20">
        <f ca="1">IF($BE56&lt;=0,ROUND(BL56*0.5,0), ROUND($BE56*T56*AB56*K56*AZ56*0.8*[2]ステータス!$C$2,0))</f>
        <v>420</v>
      </c>
      <c r="BI56" s="20">
        <f ca="1">IF($BE56&lt;=0,ROUND(BM56*0.5,0), ROUND($BE56*U56*AC56*L56*BA56*0.8*[2]ステータス!$D$2,0))</f>
        <v>0</v>
      </c>
      <c r="BJ56" s="20">
        <f ca="1">IF($BE56&lt;=0,ROUND(BN56*0.5,0), ROUND($BE56*V56*AD56*M56*BB56*0.8*[2]ステータス!$E$2,0))</f>
        <v>378</v>
      </c>
      <c r="BK56" s="14">
        <f ca="1">ROUND(BD56*S56*AA56*J56*AY56*[2]ステータス!$B$2,0)</f>
        <v>1290</v>
      </c>
      <c r="BL56" s="14">
        <f ca="1">ROUND(BD56*T56*AB56*K56*AZ56*[2]ステータス!$C$2,0)</f>
        <v>840</v>
      </c>
      <c r="BM56" s="14">
        <f ca="1">ROUND(BD56*U56*AC56*L56*BA56*[2]ステータス!$D$2,0)</f>
        <v>0</v>
      </c>
      <c r="BN56" s="14">
        <f ca="1">ROUND(BD56*V56*AD56*M56*BB56*[2]ステータス!$E$2,0)</f>
        <v>756</v>
      </c>
      <c r="BO56" s="13">
        <v>0</v>
      </c>
      <c r="BP56" s="13">
        <v>1</v>
      </c>
      <c r="BQ56" s="13" t="s">
        <v>102</v>
      </c>
      <c r="BR56" s="13">
        <f ca="1">VLOOKUP(H56,ghosts_label!$A$2:$B$19,2,FALSE)</f>
        <v>1</v>
      </c>
    </row>
    <row r="57" spans="1:70" ht="21" customHeight="1" x14ac:dyDescent="0.15">
      <c r="A57" s="14">
        <f t="shared" ca="1" si="0"/>
        <v>56</v>
      </c>
      <c r="B57" s="77" t="str">
        <f ca="1">VLOOKUP($A57,OFFSET([2]characters!$A$1,0,0,COUNTA([2]characters!$A:$A),MATCH(B$1,[2]characters!$1:$1,0)-MATCH($A$1,[2]characters!$1:$1,0)+1),MATCH(B$1,[2]characters!$1:$1,0)-MATCH($A$1,[2]characters!$1:$1,0)+1,FALSE)</f>
        <v>黄槌のレジスタンス マミコ</v>
      </c>
      <c r="C57" s="77" t="str">
        <f ca="1">VLOOKUP($A57,OFFSET([2]characters!$A$1,0,0,COUNTA([2]characters!$A:$A),MATCH(C$1,[2]characters!$1:$1,0)-MATCH($A$1,[2]characters!$1:$1,0)+1),MATCH(C$1,[2]characters!$1:$1,0)-MATCH($A$1,[2]characters!$1:$1,0)+1,FALSE)</f>
        <v>ノーマルクエスト</v>
      </c>
      <c r="D57" s="77" t="str">
        <f ca="1">VLOOKUP($A57,OFFSET([2]characters!$A$1,0,0,COUNTA([2]characters!$A:$A),MATCH(D$1,[2]characters!$1:$1,0)-MATCH($A$1,[2]characters!$1:$1,0)+1),MATCH(D$1,[2]characters!$1:$1,0)-MATCH($A$1,[2]characters!$1:$1,0)+1,FALSE)</f>
        <v>アバター</v>
      </c>
      <c r="E57" s="77" t="str">
        <f ca="1">VLOOKUP($A57,OFFSET([2]characters!$A$1,0,0,COUNTA([2]characters!$A:$A),MATCH(E$1,[2]characters!$1:$1,0)-MATCH($A$1,[2]characters!$1:$1,0)+1),MATCH(E$1,[2]characters!$1:$1,0)-MATCH($A$1,[2]characters!$1:$1,0)+1,FALSE)</f>
        <v>世界観</v>
      </c>
      <c r="F57" s="77" t="str">
        <f ca="1">VLOOKUP($A57,OFFSET([2]characters!$A$1,0,0,COUNTA([2]characters!$A:$A),MATCH(F$1,[2]characters!$1:$1,0)-MATCH($A$1,[2]characters!$1:$1,0)+1),MATCH(F$1,[2]characters!$1:$1,0)-MATCH($A$1,[2]characters!$1:$1,0)+1,FALSE)</f>
        <v>女性</v>
      </c>
      <c r="G57" s="77">
        <f ca="1">VLOOKUP($A57,OFFSET([2]characters!$A$1,0,0,COUNTA([2]characters!$A:$A),MATCH(G$1,[2]characters!$1:$1,0)-MATCH($A$1,[2]characters!$1:$1,0)+1),MATCH(G$1,[2]characters!$1:$1,0)-MATCH($A$1,[2]characters!$1:$1,0)+1,FALSE)</f>
        <v>3</v>
      </c>
      <c r="H57" s="77" t="str">
        <f ca="1">VLOOKUP($A57,OFFSET([2]characters!$A$1,0,0,COUNTA([2]characters!$A:$A),MATCH(H$1,[2]characters!$1:$1,0)-MATCH($A$1,[2]characters!$1:$1,0)+1),MATCH(H$1,[2]characters!$1:$1,0)-MATCH($A$1,[2]characters!$1:$1,0)+1,FALSE)</f>
        <v>Drop1N</v>
      </c>
      <c r="I57" s="77" t="str">
        <f ca="1">VLOOKUP($A57,OFFSET([2]characters!$A$1,0,0,COUNTA([2]characters!$A:$A),MATCH(I$1,[2]characters!$1:$1,0)-MATCH($A$1,[2]characters!$1:$1,0)+1),MATCH(I$1,[2]characters!$1:$1,0)-MATCH($A$1,[2]characters!$1:$1,0)+1,FALSE)</f>
        <v>yellow</v>
      </c>
      <c r="J57" s="14">
        <f ca="1">VLOOKUP(I57,[2]属性!$A:$E,2,FALSE)</f>
        <v>0.98</v>
      </c>
      <c r="K57" s="14">
        <f ca="1">VLOOKUP(I57,[2]属性!$A:$E,3,FALSE)</f>
        <v>1.01</v>
      </c>
      <c r="L57" s="14">
        <f ca="1">VLOOKUP(I57,[2]属性!$A:$E,4,FALSE)</f>
        <v>1</v>
      </c>
      <c r="M57" s="14">
        <f ca="1">VLOOKUP(I57,[2]属性!$A:$E,5,FALSE)</f>
        <v>1.01</v>
      </c>
      <c r="N57" s="14">
        <f ca="1">INDEX(コスト!$A$1:$I$20,MATCH(H57,コスト!$A$1:$A$20,FALSE),MATCH(G57,コスト!$A$1:$I$1,FALSE))</f>
        <v>6</v>
      </c>
      <c r="O57" s="14">
        <f ca="1">INDEX(レベル!$A$1:$I$21,MATCH(H57,レベル!$A$1:$A$21,FALSE),MATCH(G57,レベル!$A$1:$I$1,FALSE))</f>
        <v>40</v>
      </c>
      <c r="P57" s="63">
        <f t="shared" ca="1" si="7"/>
        <v>45</v>
      </c>
      <c r="Q57" s="77" t="str">
        <f ca="1">VLOOKUP($A57,OFFSET([2]characters!$A$1,0,0,COUNTA([2]characters!$A:$A),MATCH(Q$1,[2]characters!$1:$1,0)-MATCH($A$1,[2]characters!$1:$1,0)+1),MATCH(Q$1,[2]characters!$1:$1,0)-MATCH($A$1,[2]characters!$1:$1,0)+1,FALSE)</f>
        <v>balance</v>
      </c>
      <c r="R57" s="8" t="str">
        <f ca="1">VLOOKUP(Q57,[2]character_type_i18n!$A:$H,3,FALSE)</f>
        <v>バランスタイプ</v>
      </c>
      <c r="S57" s="14">
        <f ca="1">VLOOKUP(Q57,[2]character_type_i18n!$A:$H,4,FALSE)</f>
        <v>1</v>
      </c>
      <c r="T57" s="14">
        <f ca="1">VLOOKUP(Q57,[2]character_type_i18n!$A:$H,5,FALSE)</f>
        <v>1</v>
      </c>
      <c r="U57" s="14">
        <f ca="1">VLOOKUP(Q57,[2]character_type_i18n!$A:$H,6,FALSE)</f>
        <v>1</v>
      </c>
      <c r="V57" s="14">
        <f ca="1">VLOOKUP(Q57,[2]character_type_i18n!$A:$H,7,FALSE)</f>
        <v>1</v>
      </c>
      <c r="W57" s="77" t="str">
        <f ca="1">VLOOKUP($A57,OFFSET([2]characters!$A$1,0,0,COUNTA([2]characters!$A:$A),MATCH(W$1,[2]characters!$1:$1,0)-MATCH($A$1,[2]characters!$1:$1,0)+1),MATCH(W$1,[2]characters!$1:$1,0)-MATCH($A$1,[2]characters!$1:$1,0)+1,FALSE)</f>
        <v>human</v>
      </c>
      <c r="X57" s="8" t="str">
        <f ca="1">VLOOKUP(W57,[2]character_tribe_i18n!$A:$H,3,FALSE)</f>
        <v>ヒューマン</v>
      </c>
      <c r="Y57" s="77" t="str">
        <f ca="1">VLOOKUP($A57,OFFSET([2]characters!$A$1,0,0,COUNTA([2]characters!$A:$A),MATCH(Y$1,[2]characters!$1:$1,0)-MATCH($A$1,[2]characters!$1:$1,0)+1),MATCH(Y$1,[2]characters!$1:$1,0)-MATCH($A$1,[2]characters!$1:$1,0)+1,FALSE)</f>
        <v>none</v>
      </c>
      <c r="Z57" s="8" t="str">
        <f ca="1">VLOOKUP(Y57,[2]character_tribe_i18n!$A:$H,3,FALSE)</f>
        <v>種族なし</v>
      </c>
      <c r="AA57" s="14">
        <f ca="1">VLOOKUP(W57,[2]character_tribe_i18n!$A:$H,4,FALSE)</f>
        <v>0.94</v>
      </c>
      <c r="AB57" s="14">
        <f ca="1">VLOOKUP(W57,[2]character_tribe_i18n!$A:$H,5,FALSE)</f>
        <v>0.99</v>
      </c>
      <c r="AC57" s="14">
        <f ca="1">VLOOKUP(W57,[2]character_tribe_i18n!$A:$H,6,FALSE)</f>
        <v>1</v>
      </c>
      <c r="AD57" s="14">
        <f ca="1">VLOOKUP(W57,[2]character_tribe_i18n!$A:$H,7,FALSE)</f>
        <v>1.07</v>
      </c>
      <c r="AE57" s="12" t="s">
        <v>102</v>
      </c>
      <c r="AF57" s="85" t="str">
        <f ca="1">IF(AE57="NULL","",VLOOKUP($AE57,OFFSET([2]characters!$A$1,0,0,COUNTA([2]characters!$A:$A),MATCH(AF$1,[2]characters!$1:$1,0)-MATCH($A$1,[2]characters!$1:$1,0)+1),MATCH(AF$1,[2]characters!$1:$1,0)-MATCH($A$1,[2]characters!$1:$1,0)+1,FALSE))</f>
        <v/>
      </c>
      <c r="AG57" s="8">
        <f t="shared" ca="1" si="2"/>
        <v>55</v>
      </c>
      <c r="AH57" s="85" t="str">
        <f ca="1">VLOOKUP($AG57,OFFSET([2]characters!$A$1,0,0,COUNTA([2]characters!$A:$A),MATCH(AH$1,[2]characters!$1:$1,0)-MATCH($A$1,[2]characters!$1:$1,0)+1),MATCH(AH$1,[2]characters!$1:$1,0)-MATCH($A$1,[2]characters!$1:$1,0)+1,FALSE)</f>
        <v>マミコ</v>
      </c>
      <c r="AI57" s="14" t="str">
        <f>IF(AE57="NULL","NULL",VLOOKUP(G57,ビット!$A$2:$B$7,2))</f>
        <v>NULL</v>
      </c>
      <c r="AJ57" s="9">
        <v>2</v>
      </c>
      <c r="AK57" s="10" t="str">
        <f t="shared" si="3"/>
        <v>普通</v>
      </c>
      <c r="AL57" s="14" t="str">
        <f ca="1">INDEX(経験値!$A$1:$I$20,MATCH(H57,経験値!$A$1:$A$20,FALSE),MATCH(G57,経験値!$A$1:$I$1,FALSE))</f>
        <v>required_exp_100</v>
      </c>
      <c r="AM57" s="11">
        <f ca="1">VLOOKUP(G57,経験値!$A$27:$B$31,2)</f>
        <v>1500</v>
      </c>
      <c r="AN57" s="21">
        <f ca="1">VLOOKUP(G57,ビット!$G$2:$H$7,2)</f>
        <v>300</v>
      </c>
      <c r="AO57" s="64" t="s">
        <v>49</v>
      </c>
      <c r="AP57" s="97">
        <v>300018</v>
      </c>
      <c r="AQ57" s="77" t="e">
        <f ca="1">VLOOKUP($AP57,OFFSET([1]unit_skills!$A$1,0,0,COUNTA([1]unit_skills!$A:$A),MATCH("name",[1]unit_skills!$1:$1,0)-MATCH($AP$1,[1]unit_skills!$1:$1,0)+1),MATCH("name",[1]unit_skills!$1:$1,0)-MATCH($AP$1,[1]unit_skills!$1:$1,0)+1,FALSE)</f>
        <v>#VALUE!</v>
      </c>
      <c r="AR57" s="77" t="e">
        <f ca="1">VLOOKUP($AP57,OFFSET([1]unit_skills!$A$1,0,0,COUNTA([1]unit_skills!$A:$A),MATCH("comment",[1]unit_skills!$1:$1,0)-MATCH($AP$1,[1]unit_skills!$1:$1,0)+1),MATCH("comment",[1]unit_skills!$1:$1,0)-MATCH($AP$1,[1]unit_skills!$1:$1,0)+1,FALSE)</f>
        <v>#VALUE!</v>
      </c>
      <c r="AS57" s="77" t="e">
        <f ca="1">VLOOKUP($AP57,OFFSET([1]unit_skills!$A$1,0,0,COUNTA([1]unit_skills!$A:$A),MATCH(AS$1,[1]unit_skills!$1:$1,0)-MATCH($AP$1,[1]unit_skills!$1:$1,0)+1),MATCH(AS$1,[1]unit_skills!$1:$1,0)-MATCH($AP$1,[1]unit_skills!$1:$1,0)+1,FALSE)</f>
        <v>#VALUE!</v>
      </c>
      <c r="AT57" s="235">
        <v>56</v>
      </c>
      <c r="AU57" s="77" t="e">
        <f ca="1">VLOOKUP($AT57,OFFSET([1]crash_skills!$A$1,0,0,COUNTA([1]crash_skills!$A:$A),MATCH("name",[1]crash_skills!$1:$1,0)-MATCH($AT$1,[1]crash_skills!$1:$1,0)+1),MATCH("name",[1]crash_skills!$1:$1,0)-MATCH($AT$1,[1]crash_skills!$1:$1,0)+1,FALSE)</f>
        <v>#VALUE!</v>
      </c>
      <c r="AV57" s="77" t="e">
        <f ca="1">VLOOKUP($AT57,OFFSET([1]crash_skills!$A$1,0,0,COUNTA([1]crash_skills!$A:$A),MATCH("comment",[1]crash_skills!$1:$1,0)-MATCH($AT$1,[1]crash_skills!$1:$1,0)+1),MATCH("comment",[1]crash_skills!$1:$1,0)-MATCH($AT$1,[1]crash_skills!$1:$1,0)+1,FALSE)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57" s="77" t="e">
        <f ca="1">VLOOKUP($AT57,OFFSET([1]crash_skills!$A$1,0,0,COUNTA([1]crash_skills!$A:$A),MATCH(AW$1,[1]crash_skills!$1:$1,0)-MATCH($AT$1,[1]crash_skills!$1:$1,0)+1),MATCH(AW$1,[1]crash_skills!$1:$1,0)-MATCH($AT$1,[1]crash_skills!$1:$1,0)+1,FALSE)</f>
        <v>#VALUE!</v>
      </c>
      <c r="AX57" s="81">
        <f ca="1">VLOOKUP($A57,OFFSET([2]characters!$A$1,0,0,COUNTA([2]characters!$A:$A),MATCH(AX$1,[2]characters!$1:$1,0)-MATCH($A$1,[2]characters!$1:$1,0)+1),MATCH(AX$1,[2]characters!$1:$1,0)-MATCH($A$1,[2]characters!$1:$1,0)+1,FALSE)</f>
        <v>3</v>
      </c>
      <c r="AY57" s="19">
        <v>1</v>
      </c>
      <c r="AZ57" s="19">
        <v>1</v>
      </c>
      <c r="BA57" s="19">
        <v>0</v>
      </c>
      <c r="BB57" s="19">
        <v>1</v>
      </c>
      <c r="BC57" s="14">
        <f ca="1">INDEX('RC6SV'!$A$1:$G$20,MATCH(H57,'RC6SV'!$A$1:$A$20,FALSE),MATCH(G57,'RC6SV'!$A$1:$G$1,FALSE))</f>
        <v>4000</v>
      </c>
      <c r="BD57" s="63">
        <f t="shared" ca="1" si="4"/>
        <v>4000</v>
      </c>
      <c r="BE57" s="14">
        <f t="shared" ca="1" si="5"/>
        <v>2800</v>
      </c>
      <c r="BF57" s="14">
        <f t="shared" ca="1" si="6"/>
        <v>1</v>
      </c>
      <c r="BG57" s="20">
        <f ca="1">IF($BE57&lt;=0,ROUND(BK57*0.5,0), ROUND($BE57*S57*AA57*J57*AY57*0.8*[2]ステータス!$B$2,0))</f>
        <v>1032</v>
      </c>
      <c r="BH57" s="20">
        <f ca="1">IF($BE57&lt;=0,ROUND(BL57*0.5,0), ROUND($BE57*T57*AB57*K57*AZ57*0.8*[2]ステータス!$C$2,0))</f>
        <v>672</v>
      </c>
      <c r="BI57" s="20">
        <f ca="1">IF($BE57&lt;=0,ROUND(BM57*0.5,0), ROUND($BE57*U57*AC57*L57*BA57*0.8*[2]ステータス!$D$2,0))</f>
        <v>0</v>
      </c>
      <c r="BJ57" s="20">
        <f ca="1">IF($BE57&lt;=0,ROUND(BN57*0.5,0), ROUND($BE57*V57*AD57*M57*BB57*0.8*[2]ステータス!$E$2,0))</f>
        <v>605</v>
      </c>
      <c r="BK57" s="14">
        <f ca="1">ROUND(BD57*S57*AA57*J57*AY57*[2]ステータス!$B$2,0)</f>
        <v>1842</v>
      </c>
      <c r="BL57" s="14">
        <f ca="1">ROUND(BD57*T57*AB57*K57*AZ57*[2]ステータス!$C$2,0)</f>
        <v>1200</v>
      </c>
      <c r="BM57" s="14">
        <f ca="1">ROUND(BD57*U57*AC57*L57*BA57*[2]ステータス!$D$2,0)</f>
        <v>0</v>
      </c>
      <c r="BN57" s="14">
        <f ca="1">ROUND(BD57*V57*AD57*M57*BB57*[2]ステータス!$E$2,0)</f>
        <v>1081</v>
      </c>
      <c r="BO57" s="13">
        <v>0</v>
      </c>
      <c r="BP57" s="13">
        <v>1</v>
      </c>
      <c r="BQ57" s="13" t="s">
        <v>102</v>
      </c>
      <c r="BR57" s="13">
        <f ca="1">VLOOKUP(H57,ghosts_label!$A$2:$B$19,2,FALSE)</f>
        <v>1</v>
      </c>
    </row>
    <row r="58" spans="1:70" ht="21" customHeight="1" x14ac:dyDescent="0.15">
      <c r="A58" s="14">
        <f t="shared" ca="1" si="0"/>
        <v>57</v>
      </c>
      <c r="B58" s="77" t="str">
        <f ca="1">VLOOKUP($A58,OFFSET([2]characters!$A$1,0,0,COUNTA([2]characters!$A:$A),MATCH(B$1,[2]characters!$1:$1,0)-MATCH($A$1,[2]characters!$1:$1,0)+1),MATCH(B$1,[2]characters!$1:$1,0)-MATCH($A$1,[2]characters!$1:$1,0)+1,FALSE)</f>
        <v>チェン・リー</v>
      </c>
      <c r="C58" s="77" t="str">
        <f ca="1">VLOOKUP($A58,OFFSET([2]characters!$A$1,0,0,COUNTA([2]characters!$A:$A),MATCH(C$1,[2]characters!$1:$1,0)-MATCH($A$1,[2]characters!$1:$1,0)+1),MATCH(C$1,[2]characters!$1:$1,0)-MATCH($A$1,[2]characters!$1:$1,0)+1,FALSE)</f>
        <v>ノーマルクエスト</v>
      </c>
      <c r="D58" s="77" t="str">
        <f ca="1">VLOOKUP($A58,OFFSET([2]characters!$A$1,0,0,COUNTA([2]characters!$A:$A),MATCH(D$1,[2]characters!$1:$1,0)-MATCH($A$1,[2]characters!$1:$1,0)+1),MATCH(D$1,[2]characters!$1:$1,0)-MATCH($A$1,[2]characters!$1:$1,0)+1,FALSE)</f>
        <v>アバター</v>
      </c>
      <c r="E58" s="77" t="str">
        <f ca="1">VLOOKUP($A58,OFFSET([2]characters!$A$1,0,0,COUNTA([2]characters!$A:$A),MATCH(E$1,[2]characters!$1:$1,0)-MATCH($A$1,[2]characters!$1:$1,0)+1),MATCH(E$1,[2]characters!$1:$1,0)-MATCH($A$1,[2]characters!$1:$1,0)+1,FALSE)</f>
        <v>世界観</v>
      </c>
      <c r="F58" s="77" t="str">
        <f ca="1">VLOOKUP($A58,OFFSET([2]characters!$A$1,0,0,COUNTA([2]characters!$A:$A),MATCH(F$1,[2]characters!$1:$1,0)-MATCH($A$1,[2]characters!$1:$1,0)+1),MATCH(F$1,[2]characters!$1:$1,0)-MATCH($A$1,[2]characters!$1:$1,0)+1,FALSE)</f>
        <v>男性</v>
      </c>
      <c r="G58" s="77">
        <f ca="1">VLOOKUP($A58,OFFSET([2]characters!$A$1,0,0,COUNTA([2]characters!$A:$A),MATCH(G$1,[2]characters!$1:$1,0)-MATCH($A$1,[2]characters!$1:$1,0)+1),MATCH(G$1,[2]characters!$1:$1,0)-MATCH($A$1,[2]characters!$1:$1,0)+1,FALSE)</f>
        <v>2</v>
      </c>
      <c r="H58" s="77" t="str">
        <f ca="1">VLOOKUP($A58,OFFSET([2]characters!$A$1,0,0,COUNTA([2]characters!$A:$A),MATCH(H$1,[2]characters!$1:$1,0)-MATCH($A$1,[2]characters!$1:$1,0)+1),MATCH(H$1,[2]characters!$1:$1,0)-MATCH($A$1,[2]characters!$1:$1,0)+1,FALSE)</f>
        <v>Drop1N</v>
      </c>
      <c r="I58" s="77" t="str">
        <f ca="1">VLOOKUP($A58,OFFSET([2]characters!$A$1,0,0,COUNTA([2]characters!$A:$A),MATCH(I$1,[2]characters!$1:$1,0)-MATCH($A$1,[2]characters!$1:$1,0)+1),MATCH(I$1,[2]characters!$1:$1,0)-MATCH($A$1,[2]characters!$1:$1,0)+1,FALSE)</f>
        <v>red</v>
      </c>
      <c r="J58" s="14">
        <f ca="1">VLOOKUP(I58,[2]属性!$A:$E,2,FALSE)</f>
        <v>1</v>
      </c>
      <c r="K58" s="14">
        <f ca="1">VLOOKUP(I58,[2]属性!$A:$E,3,FALSE)</f>
        <v>1.02</v>
      </c>
      <c r="L58" s="14">
        <f ca="1">VLOOKUP(I58,[2]属性!$A:$E,4,FALSE)</f>
        <v>1</v>
      </c>
      <c r="M58" s="14">
        <f ca="1">VLOOKUP(I58,[2]属性!$A:$E,5,FALSE)</f>
        <v>0.98</v>
      </c>
      <c r="N58" s="14">
        <f ca="1">INDEX(コスト!$A$1:$I$20,MATCH(H58,コスト!$A$1:$A$20,FALSE),MATCH(G58,コスト!$A$1:$I$1,FALSE))</f>
        <v>4</v>
      </c>
      <c r="O58" s="14">
        <f ca="1">INDEX(レベル!$A$1:$I$21,MATCH(H58,レベル!$A$1:$A$21,FALSE),MATCH(G58,レベル!$A$1:$I$1,FALSE))</f>
        <v>30</v>
      </c>
      <c r="P58" s="63">
        <f t="shared" ca="1" si="7"/>
        <v>30</v>
      </c>
      <c r="Q58" s="77" t="str">
        <f ca="1">VLOOKUP($A58,OFFSET([2]characters!$A$1,0,0,COUNTA([2]characters!$A:$A),MATCH(Q$1,[2]characters!$1:$1,0)-MATCH($A$1,[2]characters!$1:$1,0)+1),MATCH(Q$1,[2]characters!$1:$1,0)-MATCH($A$1,[2]characters!$1:$1,0)+1,FALSE)</f>
        <v>balance</v>
      </c>
      <c r="R58" s="8" t="str">
        <f ca="1">VLOOKUP(Q58,[2]character_type_i18n!$A:$H,3,FALSE)</f>
        <v>バランスタイプ</v>
      </c>
      <c r="S58" s="14">
        <f ca="1">VLOOKUP(Q58,[2]character_type_i18n!$A:$H,4,FALSE)</f>
        <v>1</v>
      </c>
      <c r="T58" s="14">
        <f ca="1">VLOOKUP(Q58,[2]character_type_i18n!$A:$H,5,FALSE)</f>
        <v>1</v>
      </c>
      <c r="U58" s="14">
        <f ca="1">VLOOKUP(Q58,[2]character_type_i18n!$A:$H,6,FALSE)</f>
        <v>1</v>
      </c>
      <c r="V58" s="14">
        <f ca="1">VLOOKUP(Q58,[2]character_type_i18n!$A:$H,7,FALSE)</f>
        <v>1</v>
      </c>
      <c r="W58" s="77" t="str">
        <f ca="1">VLOOKUP($A58,OFFSET([2]characters!$A$1,0,0,COUNTA([2]characters!$A:$A),MATCH(W$1,[2]characters!$1:$1,0)-MATCH($A$1,[2]characters!$1:$1,0)+1),MATCH(W$1,[2]characters!$1:$1,0)-MATCH($A$1,[2]characters!$1:$1,0)+1,FALSE)</f>
        <v>animal</v>
      </c>
      <c r="X58" s="8" t="str">
        <f ca="1">VLOOKUP(W58,[2]character_tribe_i18n!$A:$H,3,FALSE)</f>
        <v>アニマル</v>
      </c>
      <c r="Y58" s="77" t="str">
        <f ca="1">VLOOKUP($A58,OFFSET([2]characters!$A$1,0,0,COUNTA([2]characters!$A:$A),MATCH(Y$1,[2]characters!$1:$1,0)-MATCH($A$1,[2]characters!$1:$1,0)+1),MATCH(Y$1,[2]characters!$1:$1,0)-MATCH($A$1,[2]characters!$1:$1,0)+1,FALSE)</f>
        <v>none</v>
      </c>
      <c r="Z58" s="8" t="str">
        <f ca="1">VLOOKUP(Y58,[2]character_tribe_i18n!$A:$H,3,FALSE)</f>
        <v>種族なし</v>
      </c>
      <c r="AA58" s="14">
        <f ca="1">VLOOKUP(W58,[2]character_tribe_i18n!$A:$H,4,FALSE)</f>
        <v>1</v>
      </c>
      <c r="AB58" s="14">
        <f ca="1">VLOOKUP(W58,[2]character_tribe_i18n!$A:$H,5,FALSE)</f>
        <v>1.1000000000000001</v>
      </c>
      <c r="AC58" s="14">
        <f ca="1">VLOOKUP(W58,[2]character_tribe_i18n!$A:$H,6,FALSE)</f>
        <v>1</v>
      </c>
      <c r="AD58" s="14">
        <f ca="1">VLOOKUP(W58,[2]character_tribe_i18n!$A:$H,7,FALSE)</f>
        <v>0.9</v>
      </c>
      <c r="AE58" s="12">
        <v>58</v>
      </c>
      <c r="AF58" s="85" t="str">
        <f ca="1">IF(AE58="NULL","",VLOOKUP($AE58,OFFSET([2]characters!$A$1,0,0,COUNTA([2]characters!$A:$A),MATCH(AF$1,[2]characters!$1:$1,0)-MATCH($A$1,[2]characters!$1:$1,0)+1),MATCH(AF$1,[2]characters!$1:$1,0)-MATCH($A$1,[2]characters!$1:$1,0)+1,FALSE))</f>
        <v>ドランクマスター チェン・リー</v>
      </c>
      <c r="AG58" s="8">
        <f t="shared" ca="1" si="2"/>
        <v>57</v>
      </c>
      <c r="AH58" s="85" t="str">
        <f ca="1">VLOOKUP($AG58,OFFSET([2]characters!$A$1,0,0,COUNTA([2]characters!$A:$A),MATCH(AH$1,[2]characters!$1:$1,0)-MATCH($A$1,[2]characters!$1:$1,0)+1),MATCH(AH$1,[2]characters!$1:$1,0)-MATCH($A$1,[2]characters!$1:$1,0)+1,FALSE)</f>
        <v>チェン・リー</v>
      </c>
      <c r="AI58" s="14">
        <f ca="1">IF(AE58="NULL","NULL",VLOOKUP(G58,ビット!$A$2:$B$7,2))</f>
        <v>10000</v>
      </c>
      <c r="AJ58" s="9">
        <v>2</v>
      </c>
      <c r="AK58" s="10" t="str">
        <f t="shared" si="3"/>
        <v>普通</v>
      </c>
      <c r="AL58" s="14" t="str">
        <f ca="1">INDEX(経験値!$A$1:$I$20,MATCH(H58,経験値!$A$1:$A$20,FALSE),MATCH(G58,経験値!$A$1:$I$1,FALSE))</f>
        <v>required_exp_100</v>
      </c>
      <c r="AM58" s="11">
        <f ca="1">VLOOKUP(G58,経験値!$A$27:$B$31,2)</f>
        <v>600</v>
      </c>
      <c r="AN58" s="21">
        <f ca="1">VLOOKUP(G58,ビット!$G$2:$H$7,2)</f>
        <v>150</v>
      </c>
      <c r="AO58" s="64" t="s">
        <v>47</v>
      </c>
      <c r="AP58" s="97">
        <v>711001</v>
      </c>
      <c r="AQ58" s="77" t="e">
        <f ca="1">VLOOKUP($AP58,OFFSET([1]unit_skills!$A$1,0,0,COUNTA([1]unit_skills!$A:$A),MATCH("name",[1]unit_skills!$1:$1,0)-MATCH($AP$1,[1]unit_skills!$1:$1,0)+1),MATCH("name",[1]unit_skills!$1:$1,0)-MATCH($AP$1,[1]unit_skills!$1:$1,0)+1,FALSE)</f>
        <v>#VALUE!</v>
      </c>
      <c r="AR58" s="77" t="e">
        <f ca="1">VLOOKUP($AP58,OFFSET([1]unit_skills!$A$1,0,0,COUNTA([1]unit_skills!$A:$A),MATCH("comment",[1]unit_skills!$1:$1,0)-MATCH($AP$1,[1]unit_skills!$1:$1,0)+1),MATCH("comment",[1]unit_skills!$1:$1,0)-MATCH($AP$1,[1]unit_skills!$1:$1,0)+1,FALSE)</f>
        <v>#VALUE!</v>
      </c>
      <c r="AS58" s="77" t="e">
        <f ca="1">VLOOKUP($AP58,OFFSET([1]unit_skills!$A$1,0,0,COUNTA([1]unit_skills!$A:$A),MATCH(AS$1,[1]unit_skills!$1:$1,0)-MATCH($AP$1,[1]unit_skills!$1:$1,0)+1),MATCH(AS$1,[1]unit_skills!$1:$1,0)-MATCH($AP$1,[1]unit_skills!$1:$1,0)+1,FALSE)</f>
        <v>#VALUE!</v>
      </c>
      <c r="AT58" s="97">
        <v>111102</v>
      </c>
      <c r="AU58" s="77" t="e">
        <f ca="1">VLOOKUP($AT58,OFFSET([1]crash_skills!$A$1,0,0,COUNTA([1]crash_skills!$A:$A),MATCH("name",[1]crash_skills!$1:$1,0)-MATCH($AT$1,[1]crash_skills!$1:$1,0)+1),MATCH("name",[1]crash_skills!$1:$1,0)-MATCH($AT$1,[1]crash_skills!$1:$1,0)+1,FALSE)</f>
        <v>#VALUE!</v>
      </c>
      <c r="AV58" s="77" t="e">
        <f ca="1">VLOOKUP($AT58,OFFSET([1]crash_skills!$A$1,0,0,COUNTA([1]crash_skills!$A:$A),MATCH("comment",[1]crash_skills!$1:$1,0)-MATCH($AT$1,[1]crash_skills!$1:$1,0)+1),MATCH("comment",[1]crash_skills!$1:$1,0)-MATCH($AT$1,[1]crash_skills!$1:$1,0)+1,FALSE)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58" s="77" t="e">
        <f ca="1">VLOOKUP($AT58,OFFSET([1]crash_skills!$A$1,0,0,COUNTA([1]crash_skills!$A:$A),MATCH(AW$1,[1]crash_skills!$1:$1,0)-MATCH($AT$1,[1]crash_skills!$1:$1,0)+1),MATCH(AW$1,[1]crash_skills!$1:$1,0)-MATCH($AT$1,[1]crash_skills!$1:$1,0)+1,FALSE)</f>
        <v>#VALUE!</v>
      </c>
      <c r="AX58" s="81">
        <f ca="1">VLOOKUP($A58,OFFSET([2]characters!$A$1,0,0,COUNTA([2]characters!$A:$A),MATCH(AX$1,[2]characters!$1:$1,0)-MATCH($A$1,[2]characters!$1:$1,0)+1),MATCH(AX$1,[2]characters!$1:$1,0)-MATCH($A$1,[2]characters!$1:$1,0)+1,FALSE)</f>
        <v>3</v>
      </c>
      <c r="AY58" s="19">
        <v>1</v>
      </c>
      <c r="AZ58" s="19">
        <v>1</v>
      </c>
      <c r="BA58" s="19">
        <v>0</v>
      </c>
      <c r="BB58" s="19">
        <v>1</v>
      </c>
      <c r="BC58" s="14">
        <f ca="1">INDEX('RC6SV'!$A$1:$G$20,MATCH(H58,'RC6SV'!$A$1:$A$20,FALSE),MATCH(G58,'RC6SV'!$A$1:$G$1,FALSE))</f>
        <v>2800</v>
      </c>
      <c r="BD58" s="63">
        <f t="shared" ca="1" si="4"/>
        <v>2800</v>
      </c>
      <c r="BE58" s="14">
        <f t="shared" ca="1" si="5"/>
        <v>0</v>
      </c>
      <c r="BF58" s="14">
        <f t="shared" ca="1" si="6"/>
        <v>1</v>
      </c>
      <c r="BG58" s="20">
        <f ca="1">IF($BE58&lt;=0,ROUND(BK58*0.5,0), ROUND($BE58*S58*AA58*J58*AY58*0.8*[2]ステータス!$B$2,0))</f>
        <v>700</v>
      </c>
      <c r="BH58" s="20">
        <f ca="1">IF($BE58&lt;=0,ROUND(BL58*0.5,0), ROUND($BE58*T58*AB58*K58*AZ58*0.8*[2]ステータス!$C$2,0))</f>
        <v>471</v>
      </c>
      <c r="BI58" s="20">
        <f ca="1">IF($BE58&lt;=0,ROUND(BM58*0.5,0), ROUND($BE58*U58*AC58*L58*BA58*0.8*[2]ステータス!$D$2,0))</f>
        <v>0</v>
      </c>
      <c r="BJ58" s="20">
        <f ca="1">IF($BE58&lt;=0,ROUND(BN58*0.5,0), ROUND($BE58*V58*AD58*M58*BB58*0.8*[2]ステータス!$E$2,0))</f>
        <v>309</v>
      </c>
      <c r="BK58" s="14">
        <f ca="1">ROUND(BD58*S58*AA58*J58*AY58*[2]ステータス!$B$2,0)</f>
        <v>1400</v>
      </c>
      <c r="BL58" s="14">
        <f ca="1">ROUND(BD58*T58*AB58*K58*AZ58*[2]ステータス!$C$2,0)</f>
        <v>942</v>
      </c>
      <c r="BM58" s="14">
        <f ca="1">ROUND(BD58*U58*AC58*L58*BA58*[2]ステータス!$D$2,0)</f>
        <v>0</v>
      </c>
      <c r="BN58" s="14">
        <f ca="1">ROUND(BD58*V58*AD58*M58*BB58*[2]ステータス!$E$2,0)</f>
        <v>617</v>
      </c>
      <c r="BO58" s="13">
        <v>0</v>
      </c>
      <c r="BP58" s="13">
        <v>1</v>
      </c>
      <c r="BQ58" s="13" t="s">
        <v>102</v>
      </c>
      <c r="BR58" s="13">
        <f ca="1">VLOOKUP(H58,ghosts_label!$A$2:$B$19,2,FALSE)</f>
        <v>1</v>
      </c>
    </row>
    <row r="59" spans="1:70" ht="21" customHeight="1" x14ac:dyDescent="0.15">
      <c r="A59" s="14">
        <f t="shared" ca="1" si="0"/>
        <v>58</v>
      </c>
      <c r="B59" s="77" t="str">
        <f ca="1">VLOOKUP($A59,OFFSET([2]characters!$A$1,0,0,COUNTA([2]characters!$A:$A),MATCH(B$1,[2]characters!$1:$1,0)-MATCH($A$1,[2]characters!$1:$1,0)+1),MATCH(B$1,[2]characters!$1:$1,0)-MATCH($A$1,[2]characters!$1:$1,0)+1,FALSE)</f>
        <v>ドランクマスター チェン・リー</v>
      </c>
      <c r="C59" s="77" t="str">
        <f ca="1">VLOOKUP($A59,OFFSET([2]characters!$A$1,0,0,COUNTA([2]characters!$A:$A),MATCH(C$1,[2]characters!$1:$1,0)-MATCH($A$1,[2]characters!$1:$1,0)+1),MATCH(C$1,[2]characters!$1:$1,0)-MATCH($A$1,[2]characters!$1:$1,0)+1,FALSE)</f>
        <v>ノーマルクエスト</v>
      </c>
      <c r="D59" s="77" t="str">
        <f ca="1">VLOOKUP($A59,OFFSET([2]characters!$A$1,0,0,COUNTA([2]characters!$A:$A),MATCH(D$1,[2]characters!$1:$1,0)-MATCH($A$1,[2]characters!$1:$1,0)+1),MATCH(D$1,[2]characters!$1:$1,0)-MATCH($A$1,[2]characters!$1:$1,0)+1,FALSE)</f>
        <v>アバター</v>
      </c>
      <c r="E59" s="77" t="str">
        <f ca="1">VLOOKUP($A59,OFFSET([2]characters!$A$1,0,0,COUNTA([2]characters!$A:$A),MATCH(E$1,[2]characters!$1:$1,0)-MATCH($A$1,[2]characters!$1:$1,0)+1),MATCH(E$1,[2]characters!$1:$1,0)-MATCH($A$1,[2]characters!$1:$1,0)+1,FALSE)</f>
        <v>世界観</v>
      </c>
      <c r="F59" s="77" t="str">
        <f ca="1">VLOOKUP($A59,OFFSET([2]characters!$A$1,0,0,COUNTA([2]characters!$A:$A),MATCH(F$1,[2]characters!$1:$1,0)-MATCH($A$1,[2]characters!$1:$1,0)+1),MATCH(F$1,[2]characters!$1:$1,0)-MATCH($A$1,[2]characters!$1:$1,0)+1,FALSE)</f>
        <v>男性</v>
      </c>
      <c r="G59" s="77">
        <f ca="1">VLOOKUP($A59,OFFSET([2]characters!$A$1,0,0,COUNTA([2]characters!$A:$A),MATCH(G$1,[2]characters!$1:$1,0)-MATCH($A$1,[2]characters!$1:$1,0)+1),MATCH(G$1,[2]characters!$1:$1,0)-MATCH($A$1,[2]characters!$1:$1,0)+1,FALSE)</f>
        <v>3</v>
      </c>
      <c r="H59" s="77" t="str">
        <f ca="1">VLOOKUP($A59,OFFSET([2]characters!$A$1,0,0,COUNTA([2]characters!$A:$A),MATCH(H$1,[2]characters!$1:$1,0)-MATCH($A$1,[2]characters!$1:$1,0)+1),MATCH(H$1,[2]characters!$1:$1,0)-MATCH($A$1,[2]characters!$1:$1,0)+1,FALSE)</f>
        <v>Drop1N</v>
      </c>
      <c r="I59" s="77" t="str">
        <f ca="1">VLOOKUP($A59,OFFSET([2]characters!$A$1,0,0,COUNTA([2]characters!$A:$A),MATCH(I$1,[2]characters!$1:$1,0)-MATCH($A$1,[2]characters!$1:$1,0)+1),MATCH(I$1,[2]characters!$1:$1,0)-MATCH($A$1,[2]characters!$1:$1,0)+1,FALSE)</f>
        <v>red</v>
      </c>
      <c r="J59" s="14">
        <f ca="1">VLOOKUP(I59,[2]属性!$A:$E,2,FALSE)</f>
        <v>1</v>
      </c>
      <c r="K59" s="14">
        <f ca="1">VLOOKUP(I59,[2]属性!$A:$E,3,FALSE)</f>
        <v>1.02</v>
      </c>
      <c r="L59" s="14">
        <f ca="1">VLOOKUP(I59,[2]属性!$A:$E,4,FALSE)</f>
        <v>1</v>
      </c>
      <c r="M59" s="14">
        <f ca="1">VLOOKUP(I59,[2]属性!$A:$E,5,FALSE)</f>
        <v>0.98</v>
      </c>
      <c r="N59" s="14">
        <f ca="1">INDEX(コスト!$A$1:$I$20,MATCH(H59,コスト!$A$1:$A$20,FALSE),MATCH(G59,コスト!$A$1:$I$1,FALSE))</f>
        <v>6</v>
      </c>
      <c r="O59" s="14">
        <f ca="1">INDEX(レベル!$A$1:$I$21,MATCH(H59,レベル!$A$1:$A$21,FALSE),MATCH(G59,レベル!$A$1:$I$1,FALSE))</f>
        <v>40</v>
      </c>
      <c r="P59" s="63">
        <f t="shared" ca="1" si="7"/>
        <v>45</v>
      </c>
      <c r="Q59" s="77" t="str">
        <f ca="1">VLOOKUP($A59,OFFSET([2]characters!$A$1,0,0,COUNTA([2]characters!$A:$A),MATCH(Q$1,[2]characters!$1:$1,0)-MATCH($A$1,[2]characters!$1:$1,0)+1),MATCH(Q$1,[2]characters!$1:$1,0)-MATCH($A$1,[2]characters!$1:$1,0)+1,FALSE)</f>
        <v>balance</v>
      </c>
      <c r="R59" s="8" t="str">
        <f ca="1">VLOOKUP(Q59,[2]character_type_i18n!$A:$H,3,FALSE)</f>
        <v>バランスタイプ</v>
      </c>
      <c r="S59" s="14">
        <f ca="1">VLOOKUP(Q59,[2]character_type_i18n!$A:$H,4,FALSE)</f>
        <v>1</v>
      </c>
      <c r="T59" s="14">
        <f ca="1">VLOOKUP(Q59,[2]character_type_i18n!$A:$H,5,FALSE)</f>
        <v>1</v>
      </c>
      <c r="U59" s="14">
        <f ca="1">VLOOKUP(Q59,[2]character_type_i18n!$A:$H,6,FALSE)</f>
        <v>1</v>
      </c>
      <c r="V59" s="14">
        <f ca="1">VLOOKUP(Q59,[2]character_type_i18n!$A:$H,7,FALSE)</f>
        <v>1</v>
      </c>
      <c r="W59" s="77" t="str">
        <f ca="1">VLOOKUP($A59,OFFSET([2]characters!$A$1,0,0,COUNTA([2]characters!$A:$A),MATCH(W$1,[2]characters!$1:$1,0)-MATCH($A$1,[2]characters!$1:$1,0)+1),MATCH(W$1,[2]characters!$1:$1,0)-MATCH($A$1,[2]characters!$1:$1,0)+1,FALSE)</f>
        <v>animal</v>
      </c>
      <c r="X59" s="8" t="str">
        <f ca="1">VLOOKUP(W59,[2]character_tribe_i18n!$A:$H,3,FALSE)</f>
        <v>アニマル</v>
      </c>
      <c r="Y59" s="77" t="str">
        <f ca="1">VLOOKUP($A59,OFFSET([2]characters!$A$1,0,0,COUNTA([2]characters!$A:$A),MATCH(Y$1,[2]characters!$1:$1,0)-MATCH($A$1,[2]characters!$1:$1,0)+1),MATCH(Y$1,[2]characters!$1:$1,0)-MATCH($A$1,[2]characters!$1:$1,0)+1,FALSE)</f>
        <v>none</v>
      </c>
      <c r="Z59" s="8" t="str">
        <f ca="1">VLOOKUP(Y59,[2]character_tribe_i18n!$A:$H,3,FALSE)</f>
        <v>種族なし</v>
      </c>
      <c r="AA59" s="14">
        <f ca="1">VLOOKUP(W59,[2]character_tribe_i18n!$A:$H,4,FALSE)</f>
        <v>1</v>
      </c>
      <c r="AB59" s="14">
        <f ca="1">VLOOKUP(W59,[2]character_tribe_i18n!$A:$H,5,FALSE)</f>
        <v>1.1000000000000001</v>
      </c>
      <c r="AC59" s="14">
        <f ca="1">VLOOKUP(W59,[2]character_tribe_i18n!$A:$H,6,FALSE)</f>
        <v>1</v>
      </c>
      <c r="AD59" s="14">
        <f ca="1">VLOOKUP(W59,[2]character_tribe_i18n!$A:$H,7,FALSE)</f>
        <v>0.9</v>
      </c>
      <c r="AE59" s="12" t="s">
        <v>102</v>
      </c>
      <c r="AF59" s="85" t="str">
        <f ca="1">IF(AE59="NULL","",VLOOKUP($AE59,OFFSET([2]characters!$A$1,0,0,COUNTA([2]characters!$A:$A),MATCH(AF$1,[2]characters!$1:$1,0)-MATCH($A$1,[2]characters!$1:$1,0)+1),MATCH(AF$1,[2]characters!$1:$1,0)-MATCH($A$1,[2]characters!$1:$1,0)+1,FALSE))</f>
        <v/>
      </c>
      <c r="AG59" s="8">
        <f t="shared" ca="1" si="2"/>
        <v>57</v>
      </c>
      <c r="AH59" s="85" t="str">
        <f ca="1">VLOOKUP($AG59,OFFSET([2]characters!$A$1,0,0,COUNTA([2]characters!$A:$A),MATCH(AH$1,[2]characters!$1:$1,0)-MATCH($A$1,[2]characters!$1:$1,0)+1),MATCH(AH$1,[2]characters!$1:$1,0)-MATCH($A$1,[2]characters!$1:$1,0)+1,FALSE)</f>
        <v>チェン・リー</v>
      </c>
      <c r="AI59" s="14" t="str">
        <f>IF(AE59="NULL","NULL",VLOOKUP(G59,ビット!$A$2:$B$7,2))</f>
        <v>NULL</v>
      </c>
      <c r="AJ59" s="9">
        <v>2</v>
      </c>
      <c r="AK59" s="10" t="str">
        <f t="shared" si="3"/>
        <v>普通</v>
      </c>
      <c r="AL59" s="14" t="str">
        <f ca="1">INDEX(経験値!$A$1:$I$20,MATCH(H59,経験値!$A$1:$A$20,FALSE),MATCH(G59,経験値!$A$1:$I$1,FALSE))</f>
        <v>required_exp_100</v>
      </c>
      <c r="AM59" s="11">
        <f ca="1">VLOOKUP(G59,経験値!$A$27:$B$31,2)</f>
        <v>1500</v>
      </c>
      <c r="AN59" s="21">
        <f ca="1">VLOOKUP(G59,ビット!$G$2:$H$7,2)</f>
        <v>300</v>
      </c>
      <c r="AO59" s="64" t="s">
        <v>47</v>
      </c>
      <c r="AP59" s="97">
        <v>711002</v>
      </c>
      <c r="AQ59" s="77" t="e">
        <f ca="1">VLOOKUP($AP59,OFFSET([1]unit_skills!$A$1,0,0,COUNTA([1]unit_skills!$A:$A),MATCH("name",[1]unit_skills!$1:$1,0)-MATCH($AP$1,[1]unit_skills!$1:$1,0)+1),MATCH("name",[1]unit_skills!$1:$1,0)-MATCH($AP$1,[1]unit_skills!$1:$1,0)+1,FALSE)</f>
        <v>#VALUE!</v>
      </c>
      <c r="AR59" s="77" t="e">
        <f ca="1">VLOOKUP($AP59,OFFSET([1]unit_skills!$A$1,0,0,COUNTA([1]unit_skills!$A:$A),MATCH("comment",[1]unit_skills!$1:$1,0)-MATCH($AP$1,[1]unit_skills!$1:$1,0)+1),MATCH("comment",[1]unit_skills!$1:$1,0)-MATCH($AP$1,[1]unit_skills!$1:$1,0)+1,FALSE)</f>
        <v>#VALUE!</v>
      </c>
      <c r="AS59" s="77" t="e">
        <f ca="1">VLOOKUP($AP59,OFFSET([1]unit_skills!$A$1,0,0,COUNTA([1]unit_skills!$A:$A),MATCH(AS$1,[1]unit_skills!$1:$1,0)-MATCH($AP$1,[1]unit_skills!$1:$1,0)+1),MATCH(AS$1,[1]unit_skills!$1:$1,0)-MATCH($AP$1,[1]unit_skills!$1:$1,0)+1,FALSE)</f>
        <v>#VALUE!</v>
      </c>
      <c r="AT59" s="97">
        <v>111103</v>
      </c>
      <c r="AU59" s="77" t="e">
        <f ca="1">VLOOKUP($AT59,OFFSET([1]crash_skills!$A$1,0,0,COUNTA([1]crash_skills!$A:$A),MATCH("name",[1]crash_skills!$1:$1,0)-MATCH($AT$1,[1]crash_skills!$1:$1,0)+1),MATCH("name",[1]crash_skills!$1:$1,0)-MATCH($AT$1,[1]crash_skills!$1:$1,0)+1,FALSE)</f>
        <v>#VALUE!</v>
      </c>
      <c r="AV59" s="77" t="e">
        <f ca="1">VLOOKUP($AT59,OFFSET([1]crash_skills!$A$1,0,0,COUNTA([1]crash_skills!$A:$A),MATCH("comment",[1]crash_skills!$1:$1,0)-MATCH($AT$1,[1]crash_skills!$1:$1,0)+1),MATCH("comment",[1]crash_skills!$1:$1,0)-MATCH($AT$1,[1]crash_skills!$1:$1,0)+1,FALSE)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59" s="77" t="e">
        <f ca="1">VLOOKUP($AT59,OFFSET([1]crash_skills!$A$1,0,0,COUNTA([1]crash_skills!$A:$A),MATCH(AW$1,[1]crash_skills!$1:$1,0)-MATCH($AT$1,[1]crash_skills!$1:$1,0)+1),MATCH(AW$1,[1]crash_skills!$1:$1,0)-MATCH($AT$1,[1]crash_skills!$1:$1,0)+1,FALSE)</f>
        <v>#VALUE!</v>
      </c>
      <c r="AX59" s="81">
        <f ca="1">VLOOKUP($A59,OFFSET([2]characters!$A$1,0,0,COUNTA([2]characters!$A:$A),MATCH(AX$1,[2]characters!$1:$1,0)-MATCH($A$1,[2]characters!$1:$1,0)+1),MATCH(AX$1,[2]characters!$1:$1,0)-MATCH($A$1,[2]characters!$1:$1,0)+1,FALSE)</f>
        <v>3</v>
      </c>
      <c r="AY59" s="19">
        <v>1</v>
      </c>
      <c r="AZ59" s="19">
        <v>1</v>
      </c>
      <c r="BA59" s="19">
        <v>0</v>
      </c>
      <c r="BB59" s="19">
        <v>1</v>
      </c>
      <c r="BC59" s="14">
        <f ca="1">INDEX('RC6SV'!$A$1:$G$20,MATCH(H59,'RC6SV'!$A$1:$A$20,FALSE),MATCH(G59,'RC6SV'!$A$1:$G$1,FALSE))</f>
        <v>4000</v>
      </c>
      <c r="BD59" s="63">
        <f t="shared" ca="1" si="4"/>
        <v>4000</v>
      </c>
      <c r="BE59" s="14">
        <f t="shared" ca="1" si="5"/>
        <v>2800</v>
      </c>
      <c r="BF59" s="14">
        <f t="shared" ca="1" si="6"/>
        <v>1</v>
      </c>
      <c r="BG59" s="20">
        <f ca="1">IF($BE59&lt;=0,ROUND(BK59*0.5,0), ROUND($BE59*S59*AA59*J59*AY59*0.8*[2]ステータス!$B$2,0))</f>
        <v>1120</v>
      </c>
      <c r="BH59" s="20">
        <f ca="1">IF($BE59&lt;=0,ROUND(BL59*0.5,0), ROUND($BE59*T59*AB59*K59*AZ59*0.8*[2]ステータス!$C$2,0))</f>
        <v>754</v>
      </c>
      <c r="BI59" s="20">
        <f ca="1">IF($BE59&lt;=0,ROUND(BM59*0.5,0), ROUND($BE59*U59*AC59*L59*BA59*0.8*[2]ステータス!$D$2,0))</f>
        <v>0</v>
      </c>
      <c r="BJ59" s="20">
        <f ca="1">IF($BE59&lt;=0,ROUND(BN59*0.5,0), ROUND($BE59*V59*AD59*M59*BB59*0.8*[2]ステータス!$E$2,0))</f>
        <v>494</v>
      </c>
      <c r="BK59" s="14">
        <f ca="1">ROUND(BD59*S59*AA59*J59*AY59*[2]ステータス!$B$2,0)</f>
        <v>2000</v>
      </c>
      <c r="BL59" s="14">
        <f ca="1">ROUND(BD59*T59*AB59*K59*AZ59*[2]ステータス!$C$2,0)</f>
        <v>1346</v>
      </c>
      <c r="BM59" s="14">
        <f ca="1">ROUND(BD59*U59*AC59*L59*BA59*[2]ステータス!$D$2,0)</f>
        <v>0</v>
      </c>
      <c r="BN59" s="14">
        <f ca="1">ROUND(BD59*V59*AD59*M59*BB59*[2]ステータス!$E$2,0)</f>
        <v>882</v>
      </c>
      <c r="BO59" s="13">
        <v>0</v>
      </c>
      <c r="BP59" s="13">
        <v>1</v>
      </c>
      <c r="BQ59" s="13" t="s">
        <v>102</v>
      </c>
      <c r="BR59" s="13">
        <f ca="1">VLOOKUP(H59,ghosts_label!$A$2:$B$19,2,FALSE)</f>
        <v>1</v>
      </c>
    </row>
    <row r="60" spans="1:70" ht="21" customHeight="1" x14ac:dyDescent="0.15">
      <c r="A60" s="14">
        <f t="shared" ca="1" si="0"/>
        <v>59</v>
      </c>
      <c r="B60" s="77" t="str">
        <f ca="1">VLOOKUP($A60,OFFSET([2]characters!$A$1,0,0,COUNTA([2]characters!$A:$A),MATCH(B$1,[2]characters!$1:$1,0)-MATCH($A$1,[2]characters!$1:$1,0)+1),MATCH(B$1,[2]characters!$1:$1,0)-MATCH($A$1,[2]characters!$1:$1,0)+1,FALSE)</f>
        <v>マーチ</v>
      </c>
      <c r="C60" s="77" t="str">
        <f ca="1">VLOOKUP($A60,OFFSET([2]characters!$A$1,0,0,COUNTA([2]characters!$A:$A),MATCH(C$1,[2]characters!$1:$1,0)-MATCH($A$1,[2]characters!$1:$1,0)+1),MATCH(C$1,[2]characters!$1:$1,0)-MATCH($A$1,[2]characters!$1:$1,0)+1,FALSE)</f>
        <v>ノーマルクエスト</v>
      </c>
      <c r="D60" s="77" t="str">
        <f ca="1">VLOOKUP($A60,OFFSET([2]characters!$A$1,0,0,COUNTA([2]characters!$A:$A),MATCH(D$1,[2]characters!$1:$1,0)-MATCH($A$1,[2]characters!$1:$1,0)+1),MATCH(D$1,[2]characters!$1:$1,0)-MATCH($A$1,[2]characters!$1:$1,0)+1,FALSE)</f>
        <v>アバター</v>
      </c>
      <c r="E60" s="77" t="str">
        <f ca="1">VLOOKUP($A60,OFFSET([2]characters!$A$1,0,0,COUNTA([2]characters!$A:$A),MATCH(E$1,[2]characters!$1:$1,0)-MATCH($A$1,[2]characters!$1:$1,0)+1),MATCH(E$1,[2]characters!$1:$1,0)-MATCH($A$1,[2]characters!$1:$1,0)+1,FALSE)</f>
        <v>世界観</v>
      </c>
      <c r="F60" s="77" t="str">
        <f ca="1">VLOOKUP($A60,OFFSET([2]characters!$A$1,0,0,COUNTA([2]characters!$A:$A),MATCH(F$1,[2]characters!$1:$1,0)-MATCH($A$1,[2]characters!$1:$1,0)+1),MATCH(F$1,[2]characters!$1:$1,0)-MATCH($A$1,[2]characters!$1:$1,0)+1,FALSE)</f>
        <v>男性</v>
      </c>
      <c r="G60" s="77">
        <f ca="1">VLOOKUP($A60,OFFSET([2]characters!$A$1,0,0,COUNTA([2]characters!$A:$A),MATCH(G$1,[2]characters!$1:$1,0)-MATCH($A$1,[2]characters!$1:$1,0)+1),MATCH(G$1,[2]characters!$1:$1,0)-MATCH($A$1,[2]characters!$1:$1,0)+1,FALSE)</f>
        <v>2</v>
      </c>
      <c r="H60" s="77" t="str">
        <f ca="1">VLOOKUP($A60,OFFSET([2]characters!$A$1,0,0,COUNTA([2]characters!$A:$A),MATCH(H$1,[2]characters!$1:$1,0)-MATCH($A$1,[2]characters!$1:$1,0)+1),MATCH(H$1,[2]characters!$1:$1,0)-MATCH($A$1,[2]characters!$1:$1,0)+1,FALSE)</f>
        <v>Drop1N</v>
      </c>
      <c r="I60" s="77" t="str">
        <f ca="1">VLOOKUP($A60,OFFSET([2]characters!$A$1,0,0,COUNTA([2]characters!$A:$A),MATCH(I$1,[2]characters!$1:$1,0)-MATCH($A$1,[2]characters!$1:$1,0)+1),MATCH(I$1,[2]characters!$1:$1,0)-MATCH($A$1,[2]characters!$1:$1,0)+1,FALSE)</f>
        <v>green</v>
      </c>
      <c r="J60" s="14">
        <f ca="1">VLOOKUP(I60,[2]属性!$A:$E,2,FALSE)</f>
        <v>1.02</v>
      </c>
      <c r="K60" s="14">
        <f ca="1">VLOOKUP(I60,[2]属性!$A:$E,3,FALSE)</f>
        <v>0.98</v>
      </c>
      <c r="L60" s="14">
        <f ca="1">VLOOKUP(I60,[2]属性!$A:$E,4,FALSE)</f>
        <v>1</v>
      </c>
      <c r="M60" s="14">
        <f ca="1">VLOOKUP(I60,[2]属性!$A:$E,5,FALSE)</f>
        <v>1</v>
      </c>
      <c r="N60" s="14">
        <f ca="1">INDEX(コスト!$A$1:$I$20,MATCH(H60,コスト!$A$1:$A$20,FALSE),MATCH(G60,コスト!$A$1:$I$1,FALSE))</f>
        <v>4</v>
      </c>
      <c r="O60" s="14">
        <f ca="1">INDEX(レベル!$A$1:$I$21,MATCH(H60,レベル!$A$1:$A$21,FALSE),MATCH(G60,レベル!$A$1:$I$1,FALSE))</f>
        <v>30</v>
      </c>
      <c r="P60" s="63">
        <f t="shared" ca="1" si="7"/>
        <v>30</v>
      </c>
      <c r="Q60" s="77" t="str">
        <f ca="1">VLOOKUP($A60,OFFSET([2]characters!$A$1,0,0,COUNTA([2]characters!$A:$A),MATCH(Q$1,[2]characters!$1:$1,0)-MATCH($A$1,[2]characters!$1:$1,0)+1),MATCH(Q$1,[2]characters!$1:$1,0)-MATCH($A$1,[2]characters!$1:$1,0)+1,FALSE)</f>
        <v>heal</v>
      </c>
      <c r="R60" s="8" t="str">
        <f ca="1">VLOOKUP(Q60,[2]character_type_i18n!$A:$H,3,FALSE)</f>
        <v>回復タイプ</v>
      </c>
      <c r="S60" s="14">
        <f ca="1">VLOOKUP(Q60,[2]character_type_i18n!$A:$H,4,FALSE)</f>
        <v>0.8</v>
      </c>
      <c r="T60" s="14">
        <f ca="1">VLOOKUP(Q60,[2]character_type_i18n!$A:$H,5,FALSE)</f>
        <v>0.78</v>
      </c>
      <c r="U60" s="14">
        <f ca="1">VLOOKUP(Q60,[2]character_type_i18n!$A:$H,6,FALSE)</f>
        <v>1</v>
      </c>
      <c r="V60" s="14">
        <f ca="1">VLOOKUP(Q60,[2]character_type_i18n!$A:$H,7,FALSE)</f>
        <v>1.42</v>
      </c>
      <c r="W60" s="77" t="str">
        <f ca="1">VLOOKUP($A60,OFFSET([2]characters!$A$1,0,0,COUNTA([2]characters!$A:$A),MATCH(W$1,[2]characters!$1:$1,0)-MATCH($A$1,[2]characters!$1:$1,0)+1),MATCH(W$1,[2]characters!$1:$1,0)-MATCH($A$1,[2]characters!$1:$1,0)+1,FALSE)</f>
        <v>animal</v>
      </c>
      <c r="X60" s="8" t="str">
        <f ca="1">VLOOKUP(W60,[2]character_tribe_i18n!$A:$H,3,FALSE)</f>
        <v>アニマル</v>
      </c>
      <c r="Y60" s="77" t="str">
        <f ca="1">VLOOKUP($A60,OFFSET([2]characters!$A$1,0,0,COUNTA([2]characters!$A:$A),MATCH(Y$1,[2]characters!$1:$1,0)-MATCH($A$1,[2]characters!$1:$1,0)+1),MATCH(Y$1,[2]characters!$1:$1,0)-MATCH($A$1,[2]characters!$1:$1,0)+1,FALSE)</f>
        <v>none</v>
      </c>
      <c r="Z60" s="8" t="str">
        <f ca="1">VLOOKUP(Y60,[2]character_tribe_i18n!$A:$H,3,FALSE)</f>
        <v>種族なし</v>
      </c>
      <c r="AA60" s="14">
        <f ca="1">VLOOKUP(W60,[2]character_tribe_i18n!$A:$H,4,FALSE)</f>
        <v>1</v>
      </c>
      <c r="AB60" s="14">
        <f ca="1">VLOOKUP(W60,[2]character_tribe_i18n!$A:$H,5,FALSE)</f>
        <v>1.1000000000000001</v>
      </c>
      <c r="AC60" s="14">
        <f ca="1">VLOOKUP(W60,[2]character_tribe_i18n!$A:$H,6,FALSE)</f>
        <v>1</v>
      </c>
      <c r="AD60" s="14">
        <f ca="1">VLOOKUP(W60,[2]character_tribe_i18n!$A:$H,7,FALSE)</f>
        <v>0.9</v>
      </c>
      <c r="AE60" s="12">
        <v>60</v>
      </c>
      <c r="AF60" s="85" t="str">
        <f ca="1">IF(AE60="NULL","",VLOOKUP($AE60,OFFSET([2]characters!$A$1,0,0,COUNTA([2]characters!$A:$A),MATCH(AF$1,[2]characters!$1:$1,0)-MATCH($A$1,[2]characters!$1:$1,0)+1),MATCH(AF$1,[2]characters!$1:$1,0)-MATCH($A$1,[2]characters!$1:$1,0)+1,FALSE))</f>
        <v>おでかけマーチ</v>
      </c>
      <c r="AG60" s="8">
        <f t="shared" ca="1" si="2"/>
        <v>59</v>
      </c>
      <c r="AH60" s="85" t="str">
        <f ca="1">VLOOKUP($AG60,OFFSET([2]characters!$A$1,0,0,COUNTA([2]characters!$A:$A),MATCH(AH$1,[2]characters!$1:$1,0)-MATCH($A$1,[2]characters!$1:$1,0)+1),MATCH(AH$1,[2]characters!$1:$1,0)-MATCH($A$1,[2]characters!$1:$1,0)+1,FALSE)</f>
        <v>マーチ</v>
      </c>
      <c r="AI60" s="14">
        <f ca="1">IF(AE60="NULL","NULL",VLOOKUP(G60,ビット!$A$2:$B$7,2))</f>
        <v>10000</v>
      </c>
      <c r="AJ60" s="9">
        <v>2</v>
      </c>
      <c r="AK60" s="10" t="str">
        <f t="shared" si="3"/>
        <v>普通</v>
      </c>
      <c r="AL60" s="14" t="str">
        <f ca="1">INDEX(経験値!$A$1:$I$20,MATCH(H60,経験値!$A$1:$A$20,FALSE),MATCH(G60,経験値!$A$1:$I$1,FALSE))</f>
        <v>required_exp_100</v>
      </c>
      <c r="AM60" s="11">
        <f ca="1">VLOOKUP(G60,経験値!$A$27:$B$31,2)</f>
        <v>600</v>
      </c>
      <c r="AN60" s="21">
        <f ca="1">VLOOKUP(G60,ビット!$G$2:$H$7,2)</f>
        <v>150</v>
      </c>
      <c r="AO60" s="64" t="s">
        <v>50</v>
      </c>
      <c r="AP60" s="97">
        <v>222002</v>
      </c>
      <c r="AQ60" s="77" t="e">
        <f ca="1">VLOOKUP($AP60,OFFSET([1]unit_skills!$A$1,0,0,COUNTA([1]unit_skills!$A:$A),MATCH("name",[1]unit_skills!$1:$1,0)-MATCH($AP$1,[1]unit_skills!$1:$1,0)+1),MATCH("name",[1]unit_skills!$1:$1,0)-MATCH($AP$1,[1]unit_skills!$1:$1,0)+1,FALSE)</f>
        <v>#VALUE!</v>
      </c>
      <c r="AR60" s="77" t="e">
        <f ca="1">VLOOKUP($AP60,OFFSET([1]unit_skills!$A$1,0,0,COUNTA([1]unit_skills!$A:$A),MATCH("comment",[1]unit_skills!$1:$1,0)-MATCH($AP$1,[1]unit_skills!$1:$1,0)+1),MATCH("comment",[1]unit_skills!$1:$1,0)-MATCH($AP$1,[1]unit_skills!$1:$1,0)+1,FALSE)</f>
        <v>#VALUE!</v>
      </c>
      <c r="AS60" s="77" t="e">
        <f ca="1">VLOOKUP($AP60,OFFSET([1]unit_skills!$A$1,0,0,COUNTA([1]unit_skills!$A:$A),MATCH(AS$1,[1]unit_skills!$1:$1,0)-MATCH($AP$1,[1]unit_skills!$1:$1,0)+1),MATCH(AS$1,[1]unit_skills!$1:$1,0)-MATCH($AP$1,[1]unit_skills!$1:$1,0)+1,FALSE)</f>
        <v>#VALUE!</v>
      </c>
      <c r="AT60" s="97">
        <v>122002</v>
      </c>
      <c r="AU60" s="77" t="e">
        <f ca="1">VLOOKUP($AT60,OFFSET([1]crash_skills!$A$1,0,0,COUNTA([1]crash_skills!$A:$A),MATCH("name",[1]crash_skills!$1:$1,0)-MATCH($AT$1,[1]crash_skills!$1:$1,0)+1),MATCH("name",[1]crash_skills!$1:$1,0)-MATCH($AT$1,[1]crash_skills!$1:$1,0)+1,FALSE)</f>
        <v>#VALUE!</v>
      </c>
      <c r="AV60" s="77" t="e">
        <f ca="1">VLOOKUP($AT60,OFFSET([1]crash_skills!$A$1,0,0,COUNTA([1]crash_skills!$A:$A),MATCH("comment",[1]crash_skills!$1:$1,0)-MATCH($AT$1,[1]crash_skills!$1:$1,0)+1),MATCH("comment",[1]crash_skills!$1:$1,0)-MATCH($AT$1,[1]crash_skills!$1:$1,0)+1,FALSE)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60" s="77" t="e">
        <f ca="1">VLOOKUP($AT60,OFFSET([1]crash_skills!$A$1,0,0,COUNTA([1]crash_skills!$A:$A),MATCH(AW$1,[1]crash_skills!$1:$1,0)-MATCH($AT$1,[1]crash_skills!$1:$1,0)+1),MATCH(AW$1,[1]crash_skills!$1:$1,0)-MATCH($AT$1,[1]crash_skills!$1:$1,0)+1,FALSE)</f>
        <v>#VALUE!</v>
      </c>
      <c r="AX60" s="81">
        <f ca="1">VLOOKUP($A60,OFFSET([2]characters!$A$1,0,0,COUNTA([2]characters!$A:$A),MATCH(AX$1,[2]characters!$1:$1,0)-MATCH($A$1,[2]characters!$1:$1,0)+1),MATCH(AX$1,[2]characters!$1:$1,0)-MATCH($A$1,[2]characters!$1:$1,0)+1,FALSE)</f>
        <v>3</v>
      </c>
      <c r="AY60" s="19">
        <v>1</v>
      </c>
      <c r="AZ60" s="19">
        <v>1</v>
      </c>
      <c r="BA60" s="19">
        <v>0</v>
      </c>
      <c r="BB60" s="19">
        <v>1</v>
      </c>
      <c r="BC60" s="14">
        <f ca="1">INDEX('RC6SV'!$A$1:$G$20,MATCH(H60,'RC6SV'!$A$1:$A$20,FALSE),MATCH(G60,'RC6SV'!$A$1:$G$1,FALSE))</f>
        <v>2800</v>
      </c>
      <c r="BD60" s="63">
        <f t="shared" ca="1" si="4"/>
        <v>2800</v>
      </c>
      <c r="BE60" s="14">
        <f t="shared" ca="1" si="5"/>
        <v>0</v>
      </c>
      <c r="BF60" s="14">
        <f t="shared" ca="1" si="6"/>
        <v>1</v>
      </c>
      <c r="BG60" s="20">
        <f ca="1">IF($BE60&lt;=0,ROUND(BK60*0.5,0), ROUND($BE60*S60*AA60*J60*AY60*0.8*[2]ステータス!$B$2,0))</f>
        <v>571</v>
      </c>
      <c r="BH60" s="20">
        <f ca="1">IF($BE60&lt;=0,ROUND(BL60*0.5,0), ROUND($BE60*T60*AB60*K60*AZ60*0.8*[2]ステータス!$C$2,0))</f>
        <v>353</v>
      </c>
      <c r="BI60" s="20">
        <f ca="1">IF($BE60&lt;=0,ROUND(BM60*0.5,0), ROUND($BE60*U60*AC60*L60*BA60*0.8*[2]ステータス!$D$2,0))</f>
        <v>0</v>
      </c>
      <c r="BJ60" s="20">
        <f ca="1">IF($BE60&lt;=0,ROUND(BN60*0.5,0), ROUND($BE60*V60*AD60*M60*BB60*0.8*[2]ステータス!$E$2,0))</f>
        <v>448</v>
      </c>
      <c r="BK60" s="14">
        <f ca="1">ROUND(BD60*S60*AA60*J60*AY60*[2]ステータス!$B$2,0)</f>
        <v>1142</v>
      </c>
      <c r="BL60" s="14">
        <f ca="1">ROUND(BD60*T60*AB60*K60*AZ60*[2]ステータス!$C$2,0)</f>
        <v>706</v>
      </c>
      <c r="BM60" s="14">
        <f ca="1">ROUND(BD60*U60*AC60*L60*BA60*[2]ステータス!$D$2,0)</f>
        <v>0</v>
      </c>
      <c r="BN60" s="14">
        <f ca="1">ROUND(BD60*V60*AD60*M60*BB60*[2]ステータス!$E$2,0)</f>
        <v>895</v>
      </c>
      <c r="BO60" s="13">
        <v>0</v>
      </c>
      <c r="BP60" s="13">
        <v>1</v>
      </c>
      <c r="BQ60" s="13" t="s">
        <v>102</v>
      </c>
      <c r="BR60" s="13">
        <f ca="1">VLOOKUP(H60,ghosts_label!$A$2:$B$19,2,FALSE)</f>
        <v>1</v>
      </c>
    </row>
    <row r="61" spans="1:70" ht="21" customHeight="1" x14ac:dyDescent="0.15">
      <c r="A61" s="14">
        <f t="shared" ca="1" si="0"/>
        <v>60</v>
      </c>
      <c r="B61" s="77" t="str">
        <f ca="1">VLOOKUP($A61,OFFSET([2]characters!$A$1,0,0,COUNTA([2]characters!$A:$A),MATCH(B$1,[2]characters!$1:$1,0)-MATCH($A$1,[2]characters!$1:$1,0)+1),MATCH(B$1,[2]characters!$1:$1,0)-MATCH($A$1,[2]characters!$1:$1,0)+1,FALSE)</f>
        <v>おでかけマーチ</v>
      </c>
      <c r="C61" s="77" t="str">
        <f ca="1">VLOOKUP($A61,OFFSET([2]characters!$A$1,0,0,COUNTA([2]characters!$A:$A),MATCH(C$1,[2]characters!$1:$1,0)-MATCH($A$1,[2]characters!$1:$1,0)+1),MATCH(C$1,[2]characters!$1:$1,0)-MATCH($A$1,[2]characters!$1:$1,0)+1,FALSE)</f>
        <v>ノーマルクエスト</v>
      </c>
      <c r="D61" s="77" t="str">
        <f ca="1">VLOOKUP($A61,OFFSET([2]characters!$A$1,0,0,COUNTA([2]characters!$A:$A),MATCH(D$1,[2]characters!$1:$1,0)-MATCH($A$1,[2]characters!$1:$1,0)+1),MATCH(D$1,[2]characters!$1:$1,0)-MATCH($A$1,[2]characters!$1:$1,0)+1,FALSE)</f>
        <v>アバター</v>
      </c>
      <c r="E61" s="77" t="str">
        <f ca="1">VLOOKUP($A61,OFFSET([2]characters!$A$1,0,0,COUNTA([2]characters!$A:$A),MATCH(E$1,[2]characters!$1:$1,0)-MATCH($A$1,[2]characters!$1:$1,0)+1),MATCH(E$1,[2]characters!$1:$1,0)-MATCH($A$1,[2]characters!$1:$1,0)+1,FALSE)</f>
        <v>世界観</v>
      </c>
      <c r="F61" s="77" t="str">
        <f ca="1">VLOOKUP($A61,OFFSET([2]characters!$A$1,0,0,COUNTA([2]characters!$A:$A),MATCH(F$1,[2]characters!$1:$1,0)-MATCH($A$1,[2]characters!$1:$1,0)+1),MATCH(F$1,[2]characters!$1:$1,0)-MATCH($A$1,[2]characters!$1:$1,0)+1,FALSE)</f>
        <v>男性</v>
      </c>
      <c r="G61" s="77">
        <f ca="1">VLOOKUP($A61,OFFSET([2]characters!$A$1,0,0,COUNTA([2]characters!$A:$A),MATCH(G$1,[2]characters!$1:$1,0)-MATCH($A$1,[2]characters!$1:$1,0)+1),MATCH(G$1,[2]characters!$1:$1,0)-MATCH($A$1,[2]characters!$1:$1,0)+1,FALSE)</f>
        <v>3</v>
      </c>
      <c r="H61" s="77" t="str">
        <f ca="1">VLOOKUP($A61,OFFSET([2]characters!$A$1,0,0,COUNTA([2]characters!$A:$A),MATCH(H$1,[2]characters!$1:$1,0)-MATCH($A$1,[2]characters!$1:$1,0)+1),MATCH(H$1,[2]characters!$1:$1,0)-MATCH($A$1,[2]characters!$1:$1,0)+1,FALSE)</f>
        <v>Drop1N</v>
      </c>
      <c r="I61" s="77" t="str">
        <f ca="1">VLOOKUP($A61,OFFSET([2]characters!$A$1,0,0,COUNTA([2]characters!$A:$A),MATCH(I$1,[2]characters!$1:$1,0)-MATCH($A$1,[2]characters!$1:$1,0)+1),MATCH(I$1,[2]characters!$1:$1,0)-MATCH($A$1,[2]characters!$1:$1,0)+1,FALSE)</f>
        <v>green</v>
      </c>
      <c r="J61" s="14">
        <f ca="1">VLOOKUP(I61,[2]属性!$A:$E,2,FALSE)</f>
        <v>1.02</v>
      </c>
      <c r="K61" s="14">
        <f ca="1">VLOOKUP(I61,[2]属性!$A:$E,3,FALSE)</f>
        <v>0.98</v>
      </c>
      <c r="L61" s="14">
        <f ca="1">VLOOKUP(I61,[2]属性!$A:$E,4,FALSE)</f>
        <v>1</v>
      </c>
      <c r="M61" s="14">
        <f ca="1">VLOOKUP(I61,[2]属性!$A:$E,5,FALSE)</f>
        <v>1</v>
      </c>
      <c r="N61" s="14">
        <f ca="1">INDEX(コスト!$A$1:$I$20,MATCH(H61,コスト!$A$1:$A$20,FALSE),MATCH(G61,コスト!$A$1:$I$1,FALSE))</f>
        <v>6</v>
      </c>
      <c r="O61" s="14">
        <f ca="1">INDEX(レベル!$A$1:$I$21,MATCH(H61,レベル!$A$1:$A$21,FALSE),MATCH(G61,レベル!$A$1:$I$1,FALSE))</f>
        <v>40</v>
      </c>
      <c r="P61" s="63">
        <f t="shared" ca="1" si="7"/>
        <v>45</v>
      </c>
      <c r="Q61" s="77" t="str">
        <f ca="1">VLOOKUP($A61,OFFSET([2]characters!$A$1,0,0,COUNTA([2]characters!$A:$A),MATCH(Q$1,[2]characters!$1:$1,0)-MATCH($A$1,[2]characters!$1:$1,0)+1),MATCH(Q$1,[2]characters!$1:$1,0)-MATCH($A$1,[2]characters!$1:$1,0)+1,FALSE)</f>
        <v>heal</v>
      </c>
      <c r="R61" s="8" t="str">
        <f ca="1">VLOOKUP(Q61,[2]character_type_i18n!$A:$H,3,FALSE)</f>
        <v>回復タイプ</v>
      </c>
      <c r="S61" s="14">
        <f ca="1">VLOOKUP(Q61,[2]character_type_i18n!$A:$H,4,FALSE)</f>
        <v>0.8</v>
      </c>
      <c r="T61" s="14">
        <f ca="1">VLOOKUP(Q61,[2]character_type_i18n!$A:$H,5,FALSE)</f>
        <v>0.78</v>
      </c>
      <c r="U61" s="14">
        <f ca="1">VLOOKUP(Q61,[2]character_type_i18n!$A:$H,6,FALSE)</f>
        <v>1</v>
      </c>
      <c r="V61" s="14">
        <f ca="1">VLOOKUP(Q61,[2]character_type_i18n!$A:$H,7,FALSE)</f>
        <v>1.42</v>
      </c>
      <c r="W61" s="77" t="str">
        <f ca="1">VLOOKUP($A61,OFFSET([2]characters!$A$1,0,0,COUNTA([2]characters!$A:$A),MATCH(W$1,[2]characters!$1:$1,0)-MATCH($A$1,[2]characters!$1:$1,0)+1),MATCH(W$1,[2]characters!$1:$1,0)-MATCH($A$1,[2]characters!$1:$1,0)+1,FALSE)</f>
        <v>animal</v>
      </c>
      <c r="X61" s="8" t="str">
        <f ca="1">VLOOKUP(W61,[2]character_tribe_i18n!$A:$H,3,FALSE)</f>
        <v>アニマル</v>
      </c>
      <c r="Y61" s="77" t="str">
        <f ca="1">VLOOKUP($A61,OFFSET([2]characters!$A$1,0,0,COUNTA([2]characters!$A:$A),MATCH(Y$1,[2]characters!$1:$1,0)-MATCH($A$1,[2]characters!$1:$1,0)+1),MATCH(Y$1,[2]characters!$1:$1,0)-MATCH($A$1,[2]characters!$1:$1,0)+1,FALSE)</f>
        <v>none</v>
      </c>
      <c r="Z61" s="8" t="str">
        <f ca="1">VLOOKUP(Y61,[2]character_tribe_i18n!$A:$H,3,FALSE)</f>
        <v>種族なし</v>
      </c>
      <c r="AA61" s="14">
        <f ca="1">VLOOKUP(W61,[2]character_tribe_i18n!$A:$H,4,FALSE)</f>
        <v>1</v>
      </c>
      <c r="AB61" s="14">
        <f ca="1">VLOOKUP(W61,[2]character_tribe_i18n!$A:$H,5,FALSE)</f>
        <v>1.1000000000000001</v>
      </c>
      <c r="AC61" s="14">
        <f ca="1">VLOOKUP(W61,[2]character_tribe_i18n!$A:$H,6,FALSE)</f>
        <v>1</v>
      </c>
      <c r="AD61" s="14">
        <f ca="1">VLOOKUP(W61,[2]character_tribe_i18n!$A:$H,7,FALSE)</f>
        <v>0.9</v>
      </c>
      <c r="AE61" s="12" t="s">
        <v>102</v>
      </c>
      <c r="AF61" s="85" t="str">
        <f ca="1">IF(AE61="NULL","",VLOOKUP($AE61,OFFSET([2]characters!$A$1,0,0,COUNTA([2]characters!$A:$A),MATCH(AF$1,[2]characters!$1:$1,0)-MATCH($A$1,[2]characters!$1:$1,0)+1),MATCH(AF$1,[2]characters!$1:$1,0)-MATCH($A$1,[2]characters!$1:$1,0)+1,FALSE))</f>
        <v/>
      </c>
      <c r="AG61" s="8">
        <f t="shared" ca="1" si="2"/>
        <v>59</v>
      </c>
      <c r="AH61" s="85" t="str">
        <f ca="1">VLOOKUP($AG61,OFFSET([2]characters!$A$1,0,0,COUNTA([2]characters!$A:$A),MATCH(AH$1,[2]characters!$1:$1,0)-MATCH($A$1,[2]characters!$1:$1,0)+1),MATCH(AH$1,[2]characters!$1:$1,0)-MATCH($A$1,[2]characters!$1:$1,0)+1,FALSE)</f>
        <v>マーチ</v>
      </c>
      <c r="AI61" s="14" t="str">
        <f>IF(AE61="NULL","NULL",VLOOKUP(G61,ビット!$A$2:$B$7,2))</f>
        <v>NULL</v>
      </c>
      <c r="AJ61" s="9">
        <v>2</v>
      </c>
      <c r="AK61" s="10" t="str">
        <f t="shared" si="3"/>
        <v>普通</v>
      </c>
      <c r="AL61" s="14" t="str">
        <f ca="1">INDEX(経験値!$A$1:$I$20,MATCH(H61,経験値!$A$1:$A$20,FALSE),MATCH(G61,経験値!$A$1:$I$1,FALSE))</f>
        <v>required_exp_100</v>
      </c>
      <c r="AM61" s="11">
        <f ca="1">VLOOKUP(G61,経験値!$A$27:$B$31,2)</f>
        <v>1500</v>
      </c>
      <c r="AN61" s="21">
        <f ca="1">VLOOKUP(G61,ビット!$G$2:$H$7,2)</f>
        <v>300</v>
      </c>
      <c r="AO61" s="64" t="s">
        <v>50</v>
      </c>
      <c r="AP61" s="97">
        <v>222002</v>
      </c>
      <c r="AQ61" s="77" t="e">
        <f ca="1">VLOOKUP($AP61,OFFSET([1]unit_skills!$A$1,0,0,COUNTA([1]unit_skills!$A:$A),MATCH("name",[1]unit_skills!$1:$1,0)-MATCH($AP$1,[1]unit_skills!$1:$1,0)+1),MATCH("name",[1]unit_skills!$1:$1,0)-MATCH($AP$1,[1]unit_skills!$1:$1,0)+1,FALSE)</f>
        <v>#VALUE!</v>
      </c>
      <c r="AR61" s="77" t="e">
        <f ca="1">VLOOKUP($AP61,OFFSET([1]unit_skills!$A$1,0,0,COUNTA([1]unit_skills!$A:$A),MATCH("comment",[1]unit_skills!$1:$1,0)-MATCH($AP$1,[1]unit_skills!$1:$1,0)+1),MATCH("comment",[1]unit_skills!$1:$1,0)-MATCH($AP$1,[1]unit_skills!$1:$1,0)+1,FALSE)</f>
        <v>#VALUE!</v>
      </c>
      <c r="AS61" s="77" t="e">
        <f ca="1">VLOOKUP($AP61,OFFSET([1]unit_skills!$A$1,0,0,COUNTA([1]unit_skills!$A:$A),MATCH(AS$1,[1]unit_skills!$1:$1,0)-MATCH($AP$1,[1]unit_skills!$1:$1,0)+1),MATCH(AS$1,[1]unit_skills!$1:$1,0)-MATCH($AP$1,[1]unit_skills!$1:$1,0)+1,FALSE)</f>
        <v>#VALUE!</v>
      </c>
      <c r="AT61" s="97">
        <v>122003</v>
      </c>
      <c r="AU61" s="77" t="e">
        <f ca="1">VLOOKUP($AT61,OFFSET([1]crash_skills!$A$1,0,0,COUNTA([1]crash_skills!$A:$A),MATCH("name",[1]crash_skills!$1:$1,0)-MATCH($AT$1,[1]crash_skills!$1:$1,0)+1),MATCH("name",[1]crash_skills!$1:$1,0)-MATCH($AT$1,[1]crash_skills!$1:$1,0)+1,FALSE)</f>
        <v>#VALUE!</v>
      </c>
      <c r="AV61" s="77" t="e">
        <f ca="1">VLOOKUP($AT61,OFFSET([1]crash_skills!$A$1,0,0,COUNTA([1]crash_skills!$A:$A),MATCH("comment",[1]crash_skills!$1:$1,0)-MATCH($AT$1,[1]crash_skills!$1:$1,0)+1),MATCH("comment",[1]crash_skills!$1:$1,0)-MATCH($AT$1,[1]crash_skills!$1:$1,0)+1,FALSE)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61" s="77" t="e">
        <f ca="1">VLOOKUP($AT61,OFFSET([1]crash_skills!$A$1,0,0,COUNTA([1]crash_skills!$A:$A),MATCH(AW$1,[1]crash_skills!$1:$1,0)-MATCH($AT$1,[1]crash_skills!$1:$1,0)+1),MATCH(AW$1,[1]crash_skills!$1:$1,0)-MATCH($AT$1,[1]crash_skills!$1:$1,0)+1,FALSE)</f>
        <v>#VALUE!</v>
      </c>
      <c r="AX61" s="81">
        <f ca="1">VLOOKUP($A61,OFFSET([2]characters!$A$1,0,0,COUNTA([2]characters!$A:$A),MATCH(AX$1,[2]characters!$1:$1,0)-MATCH($A$1,[2]characters!$1:$1,0)+1),MATCH(AX$1,[2]characters!$1:$1,0)-MATCH($A$1,[2]characters!$1:$1,0)+1,FALSE)</f>
        <v>3</v>
      </c>
      <c r="AY61" s="19">
        <v>1</v>
      </c>
      <c r="AZ61" s="19">
        <v>1</v>
      </c>
      <c r="BA61" s="19">
        <v>0</v>
      </c>
      <c r="BB61" s="19">
        <v>1</v>
      </c>
      <c r="BC61" s="14">
        <f ca="1">INDEX('RC6SV'!$A$1:$G$20,MATCH(H61,'RC6SV'!$A$1:$A$20,FALSE),MATCH(G61,'RC6SV'!$A$1:$G$1,FALSE))</f>
        <v>4000</v>
      </c>
      <c r="BD61" s="63">
        <f t="shared" ca="1" si="4"/>
        <v>4000</v>
      </c>
      <c r="BE61" s="14">
        <f t="shared" ca="1" si="5"/>
        <v>2800</v>
      </c>
      <c r="BF61" s="14">
        <f t="shared" ca="1" si="6"/>
        <v>1</v>
      </c>
      <c r="BG61" s="20">
        <f ca="1">IF($BE61&lt;=0,ROUND(BK61*0.5,0), ROUND($BE61*S61*AA61*J61*AY61*0.8*[2]ステータス!$B$2,0))</f>
        <v>914</v>
      </c>
      <c r="BH61" s="20">
        <f ca="1">IF($BE61&lt;=0,ROUND(BL61*0.5,0), ROUND($BE61*T61*AB61*K61*AZ61*0.8*[2]ステータス!$C$2,0))</f>
        <v>565</v>
      </c>
      <c r="BI61" s="20">
        <f ca="1">IF($BE61&lt;=0,ROUND(BM61*0.5,0), ROUND($BE61*U61*AC61*L61*BA61*0.8*[2]ステータス!$D$2,0))</f>
        <v>0</v>
      </c>
      <c r="BJ61" s="20">
        <f ca="1">IF($BE61&lt;=0,ROUND(BN61*0.5,0), ROUND($BE61*V61*AD61*M61*BB61*0.8*[2]ステータス!$E$2,0))</f>
        <v>716</v>
      </c>
      <c r="BK61" s="14">
        <f ca="1">ROUND(BD61*S61*AA61*J61*AY61*[2]ステータス!$B$2,0)</f>
        <v>1632</v>
      </c>
      <c r="BL61" s="14">
        <f ca="1">ROUND(BD61*T61*AB61*K61*AZ61*[2]ステータス!$C$2,0)</f>
        <v>1009</v>
      </c>
      <c r="BM61" s="14">
        <f ca="1">ROUND(BD61*U61*AC61*L61*BA61*[2]ステータス!$D$2,0)</f>
        <v>0</v>
      </c>
      <c r="BN61" s="14">
        <f ca="1">ROUND(BD61*V61*AD61*M61*BB61*[2]ステータス!$E$2,0)</f>
        <v>1278</v>
      </c>
      <c r="BO61" s="13">
        <v>0</v>
      </c>
      <c r="BP61" s="13">
        <v>1</v>
      </c>
      <c r="BQ61" s="13" t="s">
        <v>102</v>
      </c>
      <c r="BR61" s="13">
        <f ca="1">VLOOKUP(H61,ghosts_label!$A$2:$B$19,2,FALSE)</f>
        <v>1</v>
      </c>
    </row>
    <row r="62" spans="1:70" ht="21" customHeight="1" x14ac:dyDescent="0.15">
      <c r="A62" s="14">
        <f t="shared" ca="1" si="0"/>
        <v>61</v>
      </c>
      <c r="B62" s="77" t="str">
        <f ca="1">VLOOKUP($A62,OFFSET([2]characters!$A$1,0,0,COUNTA([2]characters!$A:$A),MATCH(B$1,[2]characters!$1:$1,0)-MATCH($A$1,[2]characters!$1:$1,0)+1),MATCH(B$1,[2]characters!$1:$1,0)-MATCH($A$1,[2]characters!$1:$1,0)+1,FALSE)</f>
        <v>クロウ</v>
      </c>
      <c r="C62" s="77" t="str">
        <f ca="1">VLOOKUP($A62,OFFSET([2]characters!$A$1,0,0,COUNTA([2]characters!$A:$A),MATCH(C$1,[2]characters!$1:$1,0)-MATCH($A$1,[2]characters!$1:$1,0)+1),MATCH(C$1,[2]characters!$1:$1,0)-MATCH($A$1,[2]characters!$1:$1,0)+1,FALSE)</f>
        <v>ノーマルクエスト</v>
      </c>
      <c r="D62" s="77" t="str">
        <f ca="1">VLOOKUP($A62,OFFSET([2]characters!$A$1,0,0,COUNTA([2]characters!$A:$A),MATCH(D$1,[2]characters!$1:$1,0)-MATCH($A$1,[2]characters!$1:$1,0)+1),MATCH(D$1,[2]characters!$1:$1,0)-MATCH($A$1,[2]characters!$1:$1,0)+1,FALSE)</f>
        <v>アバター</v>
      </c>
      <c r="E62" s="77" t="str">
        <f ca="1">VLOOKUP($A62,OFFSET([2]characters!$A$1,0,0,COUNTA([2]characters!$A:$A),MATCH(E$1,[2]characters!$1:$1,0)-MATCH($A$1,[2]characters!$1:$1,0)+1),MATCH(E$1,[2]characters!$1:$1,0)-MATCH($A$1,[2]characters!$1:$1,0)+1,FALSE)</f>
        <v>世界観</v>
      </c>
      <c r="F62" s="77" t="str">
        <f ca="1">VLOOKUP($A62,OFFSET([2]characters!$A$1,0,0,COUNTA([2]characters!$A:$A),MATCH(F$1,[2]characters!$1:$1,0)-MATCH($A$1,[2]characters!$1:$1,0)+1),MATCH(F$1,[2]characters!$1:$1,0)-MATCH($A$1,[2]characters!$1:$1,0)+1,FALSE)</f>
        <v>男性</v>
      </c>
      <c r="G62" s="77">
        <f ca="1">VLOOKUP($A62,OFFSET([2]characters!$A$1,0,0,COUNTA([2]characters!$A:$A),MATCH(G$1,[2]characters!$1:$1,0)-MATCH($A$1,[2]characters!$1:$1,0)+1),MATCH(G$1,[2]characters!$1:$1,0)-MATCH($A$1,[2]characters!$1:$1,0)+1,FALSE)</f>
        <v>2</v>
      </c>
      <c r="H62" s="77" t="str">
        <f ca="1">VLOOKUP($A62,OFFSET([2]characters!$A$1,0,0,COUNTA([2]characters!$A:$A),MATCH(H$1,[2]characters!$1:$1,0)-MATCH($A$1,[2]characters!$1:$1,0)+1),MATCH(H$1,[2]characters!$1:$1,0)-MATCH($A$1,[2]characters!$1:$1,0)+1,FALSE)</f>
        <v>Drop1N</v>
      </c>
      <c r="I62" s="77" t="str">
        <f ca="1">VLOOKUP($A62,OFFSET([2]characters!$A$1,0,0,COUNTA([2]characters!$A:$A),MATCH(I$1,[2]characters!$1:$1,0)-MATCH($A$1,[2]characters!$1:$1,0)+1),MATCH(I$1,[2]characters!$1:$1,0)-MATCH($A$1,[2]characters!$1:$1,0)+1,FALSE)</f>
        <v>blue</v>
      </c>
      <c r="J62" s="14">
        <f ca="1">VLOOKUP(I62,[2]属性!$A:$E,2,FALSE)</f>
        <v>1</v>
      </c>
      <c r="K62" s="14">
        <f ca="1">VLOOKUP(I62,[2]属性!$A:$E,3,FALSE)</f>
        <v>0.98</v>
      </c>
      <c r="L62" s="14">
        <f ca="1">VLOOKUP(I62,[2]属性!$A:$E,4,FALSE)</f>
        <v>1</v>
      </c>
      <c r="M62" s="14">
        <f ca="1">VLOOKUP(I62,[2]属性!$A:$E,5,FALSE)</f>
        <v>1.02</v>
      </c>
      <c r="N62" s="14">
        <f ca="1">INDEX(コスト!$A$1:$I$20,MATCH(H62,コスト!$A$1:$A$20,FALSE),MATCH(G62,コスト!$A$1:$I$1,FALSE))</f>
        <v>4</v>
      </c>
      <c r="O62" s="14">
        <f ca="1">INDEX(レベル!$A$1:$I$21,MATCH(H62,レベル!$A$1:$A$21,FALSE),MATCH(G62,レベル!$A$1:$I$1,FALSE))</f>
        <v>30</v>
      </c>
      <c r="P62" s="63">
        <f t="shared" ca="1" si="7"/>
        <v>30</v>
      </c>
      <c r="Q62" s="77" t="str">
        <f ca="1">VLOOKUP($A62,OFFSET([2]characters!$A$1,0,0,COUNTA([2]characters!$A:$A),MATCH(Q$1,[2]characters!$1:$1,0)-MATCH($A$1,[2]characters!$1:$1,0)+1),MATCH(Q$1,[2]characters!$1:$1,0)-MATCH($A$1,[2]characters!$1:$1,0)+1,FALSE)</f>
        <v>heal</v>
      </c>
      <c r="R62" s="8" t="str">
        <f ca="1">VLOOKUP(Q62,[2]character_type_i18n!$A:$H,3,FALSE)</f>
        <v>回復タイプ</v>
      </c>
      <c r="S62" s="14">
        <f ca="1">VLOOKUP(Q62,[2]character_type_i18n!$A:$H,4,FALSE)</f>
        <v>0.8</v>
      </c>
      <c r="T62" s="14">
        <f ca="1">VLOOKUP(Q62,[2]character_type_i18n!$A:$H,5,FALSE)</f>
        <v>0.78</v>
      </c>
      <c r="U62" s="14">
        <f ca="1">VLOOKUP(Q62,[2]character_type_i18n!$A:$H,6,FALSE)</f>
        <v>1</v>
      </c>
      <c r="V62" s="14">
        <f ca="1">VLOOKUP(Q62,[2]character_type_i18n!$A:$H,7,FALSE)</f>
        <v>1.42</v>
      </c>
      <c r="W62" s="77" t="str">
        <f ca="1">VLOOKUP($A62,OFFSET([2]characters!$A$1,0,0,COUNTA([2]characters!$A:$A),MATCH(W$1,[2]characters!$1:$1,0)-MATCH($A$1,[2]characters!$1:$1,0)+1),MATCH(W$1,[2]characters!$1:$1,0)-MATCH($A$1,[2]characters!$1:$1,0)+1,FALSE)</f>
        <v>animal</v>
      </c>
      <c r="X62" s="8" t="str">
        <f ca="1">VLOOKUP(W62,[2]character_tribe_i18n!$A:$H,3,FALSE)</f>
        <v>アニマル</v>
      </c>
      <c r="Y62" s="77" t="str">
        <f ca="1">VLOOKUP($A62,OFFSET([2]characters!$A$1,0,0,COUNTA([2]characters!$A:$A),MATCH(Y$1,[2]characters!$1:$1,0)-MATCH($A$1,[2]characters!$1:$1,0)+1),MATCH(Y$1,[2]characters!$1:$1,0)-MATCH($A$1,[2]characters!$1:$1,0)+1,FALSE)</f>
        <v>none</v>
      </c>
      <c r="Z62" s="8" t="str">
        <f ca="1">VLOOKUP(Y62,[2]character_tribe_i18n!$A:$H,3,FALSE)</f>
        <v>種族なし</v>
      </c>
      <c r="AA62" s="14">
        <f ca="1">VLOOKUP(W62,[2]character_tribe_i18n!$A:$H,4,FALSE)</f>
        <v>1</v>
      </c>
      <c r="AB62" s="14">
        <f ca="1">VLOOKUP(W62,[2]character_tribe_i18n!$A:$H,5,FALSE)</f>
        <v>1.1000000000000001</v>
      </c>
      <c r="AC62" s="14">
        <f ca="1">VLOOKUP(W62,[2]character_tribe_i18n!$A:$H,6,FALSE)</f>
        <v>1</v>
      </c>
      <c r="AD62" s="14">
        <f ca="1">VLOOKUP(W62,[2]character_tribe_i18n!$A:$H,7,FALSE)</f>
        <v>0.9</v>
      </c>
      <c r="AE62" s="12">
        <v>62</v>
      </c>
      <c r="AF62" s="85" t="str">
        <f ca="1">IF(AE62="NULL","",VLOOKUP($AE62,OFFSET([2]characters!$A$1,0,0,COUNTA([2]characters!$A:$A),MATCH(AF$1,[2]characters!$1:$1,0)-MATCH($A$1,[2]characters!$1:$1,0)+1),MATCH(AF$1,[2]characters!$1:$1,0)-MATCH($A$1,[2]characters!$1:$1,0)+1,FALSE))</f>
        <v>脈動旋律のクロウ</v>
      </c>
      <c r="AG62" s="8">
        <f t="shared" ca="1" si="2"/>
        <v>61</v>
      </c>
      <c r="AH62" s="85" t="str">
        <f ca="1">VLOOKUP($AG62,OFFSET([2]characters!$A$1,0,0,COUNTA([2]characters!$A:$A),MATCH(AH$1,[2]characters!$1:$1,0)-MATCH($A$1,[2]characters!$1:$1,0)+1),MATCH(AH$1,[2]characters!$1:$1,0)-MATCH($A$1,[2]characters!$1:$1,0)+1,FALSE)</f>
        <v>クロウ</v>
      </c>
      <c r="AI62" s="14">
        <f ca="1">IF(AE62="NULL","NULL",VLOOKUP(G62,ビット!$A$2:$B$7,2))</f>
        <v>10000</v>
      </c>
      <c r="AJ62" s="9">
        <v>2</v>
      </c>
      <c r="AK62" s="10" t="str">
        <f t="shared" si="3"/>
        <v>普通</v>
      </c>
      <c r="AL62" s="14" t="str">
        <f ca="1">INDEX(経験値!$A$1:$I$20,MATCH(H62,経験値!$A$1:$A$20,FALSE),MATCH(G62,経験値!$A$1:$I$1,FALSE))</f>
        <v>required_exp_100</v>
      </c>
      <c r="AM62" s="11">
        <f ca="1">VLOOKUP(G62,経験値!$A$27:$B$31,2)</f>
        <v>600</v>
      </c>
      <c r="AN62" s="21">
        <f ca="1">VLOOKUP(G62,ビット!$G$2:$H$7,2)</f>
        <v>150</v>
      </c>
      <c r="AO62" s="64" t="s">
        <v>50</v>
      </c>
      <c r="AP62" s="97">
        <v>200001</v>
      </c>
      <c r="AQ62" s="77" t="e">
        <f ca="1">VLOOKUP($AP62,OFFSET([1]unit_skills!$A$1,0,0,COUNTA([1]unit_skills!$A:$A),MATCH("name",[1]unit_skills!$1:$1,0)-MATCH($AP$1,[1]unit_skills!$1:$1,0)+1),MATCH("name",[1]unit_skills!$1:$1,0)-MATCH($AP$1,[1]unit_skills!$1:$1,0)+1,FALSE)</f>
        <v>#VALUE!</v>
      </c>
      <c r="AR62" s="77" t="e">
        <f ca="1">VLOOKUP($AP62,OFFSET([1]unit_skills!$A$1,0,0,COUNTA([1]unit_skills!$A:$A),MATCH("comment",[1]unit_skills!$1:$1,0)-MATCH($AP$1,[1]unit_skills!$1:$1,0)+1),MATCH("comment",[1]unit_skills!$1:$1,0)-MATCH($AP$1,[1]unit_skills!$1:$1,0)+1,FALSE)</f>
        <v>#VALUE!</v>
      </c>
      <c r="AS62" s="77" t="e">
        <f ca="1">VLOOKUP($AP62,OFFSET([1]unit_skills!$A$1,0,0,COUNTA([1]unit_skills!$A:$A),MATCH(AS$1,[1]unit_skills!$1:$1,0)-MATCH($AP$1,[1]unit_skills!$1:$1,0)+1),MATCH(AS$1,[1]unit_skills!$1:$1,0)-MATCH($AP$1,[1]unit_skills!$1:$1,0)+1,FALSE)</f>
        <v>#VALUE!</v>
      </c>
      <c r="AT62" s="97">
        <v>500001</v>
      </c>
      <c r="AU62" s="77" t="e">
        <f ca="1">VLOOKUP($AT62,OFFSET([1]crash_skills!$A$1,0,0,COUNTA([1]crash_skills!$A:$A),MATCH("name",[1]crash_skills!$1:$1,0)-MATCH($AT$1,[1]crash_skills!$1:$1,0)+1),MATCH("name",[1]crash_skills!$1:$1,0)-MATCH($AT$1,[1]crash_skills!$1:$1,0)+1,FALSE)</f>
        <v>#VALUE!</v>
      </c>
      <c r="AV62" s="77" t="e">
        <f ca="1">VLOOKUP($AT62,OFFSET([1]crash_skills!$A$1,0,0,COUNTA([1]crash_skills!$A:$A),MATCH("comment",[1]crash_skills!$1:$1,0)-MATCH($AT$1,[1]crash_skills!$1:$1,0)+1),MATCH("comment",[1]crash_skills!$1:$1,0)-MATCH($AT$1,[1]crash_skills!$1:$1,0)+1,FALSE)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62" s="77" t="e">
        <f ca="1">VLOOKUP($AT62,OFFSET([1]crash_skills!$A$1,0,0,COUNTA([1]crash_skills!$A:$A),MATCH(AW$1,[1]crash_skills!$1:$1,0)-MATCH($AT$1,[1]crash_skills!$1:$1,0)+1),MATCH(AW$1,[1]crash_skills!$1:$1,0)-MATCH($AT$1,[1]crash_skills!$1:$1,0)+1,FALSE)</f>
        <v>#VALUE!</v>
      </c>
      <c r="AX62" s="81">
        <f ca="1">VLOOKUP($A62,OFFSET([2]characters!$A$1,0,0,COUNTA([2]characters!$A:$A),MATCH(AX$1,[2]characters!$1:$1,0)-MATCH($A$1,[2]characters!$1:$1,0)+1),MATCH(AX$1,[2]characters!$1:$1,0)-MATCH($A$1,[2]characters!$1:$1,0)+1,FALSE)</f>
        <v>3</v>
      </c>
      <c r="AY62" s="19">
        <v>1</v>
      </c>
      <c r="AZ62" s="19">
        <v>1</v>
      </c>
      <c r="BA62" s="19">
        <v>0</v>
      </c>
      <c r="BB62" s="19">
        <v>1</v>
      </c>
      <c r="BC62" s="14">
        <f ca="1">INDEX('RC6SV'!$A$1:$G$20,MATCH(H62,'RC6SV'!$A$1:$A$20,FALSE),MATCH(G62,'RC6SV'!$A$1:$G$1,FALSE))</f>
        <v>2800</v>
      </c>
      <c r="BD62" s="63">
        <f t="shared" ca="1" si="4"/>
        <v>2800</v>
      </c>
      <c r="BE62" s="14">
        <f t="shared" ca="1" si="5"/>
        <v>0</v>
      </c>
      <c r="BF62" s="14">
        <f t="shared" ca="1" si="6"/>
        <v>1</v>
      </c>
      <c r="BG62" s="20">
        <f ca="1">IF($BE62&lt;=0,ROUND(BK62*0.5,0), ROUND($BE62*S62*AA62*J62*AY62*0.8*[2]ステータス!$B$2,0))</f>
        <v>560</v>
      </c>
      <c r="BH62" s="20">
        <f ca="1">IF($BE62&lt;=0,ROUND(BL62*0.5,0), ROUND($BE62*T62*AB62*K62*AZ62*0.8*[2]ステータス!$C$2,0))</f>
        <v>353</v>
      </c>
      <c r="BI62" s="20">
        <f ca="1">IF($BE62&lt;=0,ROUND(BM62*0.5,0), ROUND($BE62*U62*AC62*L62*BA62*0.8*[2]ステータス!$D$2,0))</f>
        <v>0</v>
      </c>
      <c r="BJ62" s="20">
        <f ca="1">IF($BE62&lt;=0,ROUND(BN62*0.5,0), ROUND($BE62*V62*AD62*M62*BB62*0.8*[2]ステータス!$E$2,0))</f>
        <v>456</v>
      </c>
      <c r="BK62" s="14">
        <f ca="1">ROUND(BD62*S62*AA62*J62*AY62*[2]ステータス!$B$2,0)</f>
        <v>1120</v>
      </c>
      <c r="BL62" s="14">
        <f ca="1">ROUND(BD62*T62*AB62*K62*AZ62*[2]ステータス!$C$2,0)</f>
        <v>706</v>
      </c>
      <c r="BM62" s="14">
        <f ca="1">ROUND(BD62*U62*AC62*L62*BA62*[2]ステータス!$D$2,0)</f>
        <v>0</v>
      </c>
      <c r="BN62" s="14">
        <f ca="1">ROUND(BD62*V62*AD62*M62*BB62*[2]ステータス!$E$2,0)</f>
        <v>912</v>
      </c>
      <c r="BO62" s="13">
        <v>0</v>
      </c>
      <c r="BP62" s="13">
        <v>1</v>
      </c>
      <c r="BQ62" s="13" t="s">
        <v>102</v>
      </c>
      <c r="BR62" s="13">
        <f ca="1">VLOOKUP(H62,ghosts_label!$A$2:$B$19,2,FALSE)</f>
        <v>1</v>
      </c>
    </row>
    <row r="63" spans="1:70" ht="21" customHeight="1" x14ac:dyDescent="0.15">
      <c r="A63" s="14">
        <f t="shared" ca="1" si="0"/>
        <v>62</v>
      </c>
      <c r="B63" s="77" t="str">
        <f ca="1">VLOOKUP($A63,OFFSET([2]characters!$A$1,0,0,COUNTA([2]characters!$A:$A),MATCH(B$1,[2]characters!$1:$1,0)-MATCH($A$1,[2]characters!$1:$1,0)+1),MATCH(B$1,[2]characters!$1:$1,0)-MATCH($A$1,[2]characters!$1:$1,0)+1,FALSE)</f>
        <v>脈動旋律のクロウ</v>
      </c>
      <c r="C63" s="77" t="str">
        <f ca="1">VLOOKUP($A63,OFFSET([2]characters!$A$1,0,0,COUNTA([2]characters!$A:$A),MATCH(C$1,[2]characters!$1:$1,0)-MATCH($A$1,[2]characters!$1:$1,0)+1),MATCH(C$1,[2]characters!$1:$1,0)-MATCH($A$1,[2]characters!$1:$1,0)+1,FALSE)</f>
        <v>ノーマルクエスト</v>
      </c>
      <c r="D63" s="77" t="str">
        <f ca="1">VLOOKUP($A63,OFFSET([2]characters!$A$1,0,0,COUNTA([2]characters!$A:$A),MATCH(D$1,[2]characters!$1:$1,0)-MATCH($A$1,[2]characters!$1:$1,0)+1),MATCH(D$1,[2]characters!$1:$1,0)-MATCH($A$1,[2]characters!$1:$1,0)+1,FALSE)</f>
        <v>アバター</v>
      </c>
      <c r="E63" s="77" t="str">
        <f ca="1">VLOOKUP($A63,OFFSET([2]characters!$A$1,0,0,COUNTA([2]characters!$A:$A),MATCH(E$1,[2]characters!$1:$1,0)-MATCH($A$1,[2]characters!$1:$1,0)+1),MATCH(E$1,[2]characters!$1:$1,0)-MATCH($A$1,[2]characters!$1:$1,0)+1,FALSE)</f>
        <v>世界観</v>
      </c>
      <c r="F63" s="77" t="str">
        <f ca="1">VLOOKUP($A63,OFFSET([2]characters!$A$1,0,0,COUNTA([2]characters!$A:$A),MATCH(F$1,[2]characters!$1:$1,0)-MATCH($A$1,[2]characters!$1:$1,0)+1),MATCH(F$1,[2]characters!$1:$1,0)-MATCH($A$1,[2]characters!$1:$1,0)+1,FALSE)</f>
        <v>男性</v>
      </c>
      <c r="G63" s="77">
        <f ca="1">VLOOKUP($A63,OFFSET([2]characters!$A$1,0,0,COUNTA([2]characters!$A:$A),MATCH(G$1,[2]characters!$1:$1,0)-MATCH($A$1,[2]characters!$1:$1,0)+1),MATCH(G$1,[2]characters!$1:$1,0)-MATCH($A$1,[2]characters!$1:$1,0)+1,FALSE)</f>
        <v>3</v>
      </c>
      <c r="H63" s="77" t="str">
        <f ca="1">VLOOKUP($A63,OFFSET([2]characters!$A$1,0,0,COUNTA([2]characters!$A:$A),MATCH(H$1,[2]characters!$1:$1,0)-MATCH($A$1,[2]characters!$1:$1,0)+1),MATCH(H$1,[2]characters!$1:$1,0)-MATCH($A$1,[2]characters!$1:$1,0)+1,FALSE)</f>
        <v>Drop1N</v>
      </c>
      <c r="I63" s="77" t="str">
        <f ca="1">VLOOKUP($A63,OFFSET([2]characters!$A$1,0,0,COUNTA([2]characters!$A:$A),MATCH(I$1,[2]characters!$1:$1,0)-MATCH($A$1,[2]characters!$1:$1,0)+1),MATCH(I$1,[2]characters!$1:$1,0)-MATCH($A$1,[2]characters!$1:$1,0)+1,FALSE)</f>
        <v>blue</v>
      </c>
      <c r="J63" s="14">
        <f ca="1">VLOOKUP(I63,[2]属性!$A:$E,2,FALSE)</f>
        <v>1</v>
      </c>
      <c r="K63" s="14">
        <f ca="1">VLOOKUP(I63,[2]属性!$A:$E,3,FALSE)</f>
        <v>0.98</v>
      </c>
      <c r="L63" s="14">
        <f ca="1">VLOOKUP(I63,[2]属性!$A:$E,4,FALSE)</f>
        <v>1</v>
      </c>
      <c r="M63" s="14">
        <f ca="1">VLOOKUP(I63,[2]属性!$A:$E,5,FALSE)</f>
        <v>1.02</v>
      </c>
      <c r="N63" s="14">
        <f ca="1">INDEX(コスト!$A$1:$I$20,MATCH(H63,コスト!$A$1:$A$20,FALSE),MATCH(G63,コスト!$A$1:$I$1,FALSE))</f>
        <v>6</v>
      </c>
      <c r="O63" s="14">
        <f ca="1">INDEX(レベル!$A$1:$I$21,MATCH(H63,レベル!$A$1:$A$21,FALSE),MATCH(G63,レベル!$A$1:$I$1,FALSE))</f>
        <v>40</v>
      </c>
      <c r="P63" s="63">
        <f t="shared" ca="1" si="7"/>
        <v>45</v>
      </c>
      <c r="Q63" s="77" t="str">
        <f ca="1">VLOOKUP($A63,OFFSET([2]characters!$A$1,0,0,COUNTA([2]characters!$A:$A),MATCH(Q$1,[2]characters!$1:$1,0)-MATCH($A$1,[2]characters!$1:$1,0)+1),MATCH(Q$1,[2]characters!$1:$1,0)-MATCH($A$1,[2]characters!$1:$1,0)+1,FALSE)</f>
        <v>heal</v>
      </c>
      <c r="R63" s="8" t="str">
        <f ca="1">VLOOKUP(Q63,[2]character_type_i18n!$A:$H,3,FALSE)</f>
        <v>回復タイプ</v>
      </c>
      <c r="S63" s="14">
        <f ca="1">VLOOKUP(Q63,[2]character_type_i18n!$A:$H,4,FALSE)</f>
        <v>0.8</v>
      </c>
      <c r="T63" s="14">
        <f ca="1">VLOOKUP(Q63,[2]character_type_i18n!$A:$H,5,FALSE)</f>
        <v>0.78</v>
      </c>
      <c r="U63" s="14">
        <f ca="1">VLOOKUP(Q63,[2]character_type_i18n!$A:$H,6,FALSE)</f>
        <v>1</v>
      </c>
      <c r="V63" s="14">
        <f ca="1">VLOOKUP(Q63,[2]character_type_i18n!$A:$H,7,FALSE)</f>
        <v>1.42</v>
      </c>
      <c r="W63" s="77" t="str">
        <f ca="1">VLOOKUP($A63,OFFSET([2]characters!$A$1,0,0,COUNTA([2]characters!$A:$A),MATCH(W$1,[2]characters!$1:$1,0)-MATCH($A$1,[2]characters!$1:$1,0)+1),MATCH(W$1,[2]characters!$1:$1,0)-MATCH($A$1,[2]characters!$1:$1,0)+1,FALSE)</f>
        <v>animal</v>
      </c>
      <c r="X63" s="8" t="str">
        <f ca="1">VLOOKUP(W63,[2]character_tribe_i18n!$A:$H,3,FALSE)</f>
        <v>アニマル</v>
      </c>
      <c r="Y63" s="77" t="str">
        <f ca="1">VLOOKUP($A63,OFFSET([2]characters!$A$1,0,0,COUNTA([2]characters!$A:$A),MATCH(Y$1,[2]characters!$1:$1,0)-MATCH($A$1,[2]characters!$1:$1,0)+1),MATCH(Y$1,[2]characters!$1:$1,0)-MATCH($A$1,[2]characters!$1:$1,0)+1,FALSE)</f>
        <v>none</v>
      </c>
      <c r="Z63" s="8" t="str">
        <f ca="1">VLOOKUP(Y63,[2]character_tribe_i18n!$A:$H,3,FALSE)</f>
        <v>種族なし</v>
      </c>
      <c r="AA63" s="14">
        <f ca="1">VLOOKUP(W63,[2]character_tribe_i18n!$A:$H,4,FALSE)</f>
        <v>1</v>
      </c>
      <c r="AB63" s="14">
        <f ca="1">VLOOKUP(W63,[2]character_tribe_i18n!$A:$H,5,FALSE)</f>
        <v>1.1000000000000001</v>
      </c>
      <c r="AC63" s="14">
        <f ca="1">VLOOKUP(W63,[2]character_tribe_i18n!$A:$H,6,FALSE)</f>
        <v>1</v>
      </c>
      <c r="AD63" s="14">
        <f ca="1">VLOOKUP(W63,[2]character_tribe_i18n!$A:$H,7,FALSE)</f>
        <v>0.9</v>
      </c>
      <c r="AE63" s="12" t="s">
        <v>102</v>
      </c>
      <c r="AF63" s="85" t="str">
        <f ca="1">IF(AE63="NULL","",VLOOKUP($AE63,OFFSET([2]characters!$A$1,0,0,COUNTA([2]characters!$A:$A),MATCH(AF$1,[2]characters!$1:$1,0)-MATCH($A$1,[2]characters!$1:$1,0)+1),MATCH(AF$1,[2]characters!$1:$1,0)-MATCH($A$1,[2]characters!$1:$1,0)+1,FALSE))</f>
        <v/>
      </c>
      <c r="AG63" s="8">
        <f t="shared" ca="1" si="2"/>
        <v>61</v>
      </c>
      <c r="AH63" s="85" t="str">
        <f ca="1">VLOOKUP($AG63,OFFSET([2]characters!$A$1,0,0,COUNTA([2]characters!$A:$A),MATCH(AH$1,[2]characters!$1:$1,0)-MATCH($A$1,[2]characters!$1:$1,0)+1),MATCH(AH$1,[2]characters!$1:$1,0)-MATCH($A$1,[2]characters!$1:$1,0)+1,FALSE)</f>
        <v>クロウ</v>
      </c>
      <c r="AI63" s="14" t="str">
        <f>IF(AE63="NULL","NULL",VLOOKUP(G63,ビット!$A$2:$B$7,2))</f>
        <v>NULL</v>
      </c>
      <c r="AJ63" s="9">
        <v>2</v>
      </c>
      <c r="AK63" s="10" t="str">
        <f t="shared" si="3"/>
        <v>普通</v>
      </c>
      <c r="AL63" s="14" t="str">
        <f ca="1">INDEX(経験値!$A$1:$I$20,MATCH(H63,経験値!$A$1:$A$20,FALSE),MATCH(G63,経験値!$A$1:$I$1,FALSE))</f>
        <v>required_exp_100</v>
      </c>
      <c r="AM63" s="11">
        <f ca="1">VLOOKUP(G63,経験値!$A$27:$B$31,2)</f>
        <v>1500</v>
      </c>
      <c r="AN63" s="21">
        <f ca="1">VLOOKUP(G63,ビット!$G$2:$H$7,2)</f>
        <v>300</v>
      </c>
      <c r="AO63" s="64" t="s">
        <v>50</v>
      </c>
      <c r="AP63" s="97">
        <v>200002</v>
      </c>
      <c r="AQ63" s="77" t="e">
        <f ca="1">VLOOKUP($AP63,OFFSET([1]unit_skills!$A$1,0,0,COUNTA([1]unit_skills!$A:$A),MATCH("name",[1]unit_skills!$1:$1,0)-MATCH($AP$1,[1]unit_skills!$1:$1,0)+1),MATCH("name",[1]unit_skills!$1:$1,0)-MATCH($AP$1,[1]unit_skills!$1:$1,0)+1,FALSE)</f>
        <v>#VALUE!</v>
      </c>
      <c r="AR63" s="77" t="e">
        <f ca="1">VLOOKUP($AP63,OFFSET([1]unit_skills!$A$1,0,0,COUNTA([1]unit_skills!$A:$A),MATCH("comment",[1]unit_skills!$1:$1,0)-MATCH($AP$1,[1]unit_skills!$1:$1,0)+1),MATCH("comment",[1]unit_skills!$1:$1,0)-MATCH($AP$1,[1]unit_skills!$1:$1,0)+1,FALSE)</f>
        <v>#VALUE!</v>
      </c>
      <c r="AS63" s="77" t="e">
        <f ca="1">VLOOKUP($AP63,OFFSET([1]unit_skills!$A$1,0,0,COUNTA([1]unit_skills!$A:$A),MATCH(AS$1,[1]unit_skills!$1:$1,0)-MATCH($AP$1,[1]unit_skills!$1:$1,0)+1),MATCH(AS$1,[1]unit_skills!$1:$1,0)-MATCH($AP$1,[1]unit_skills!$1:$1,0)+1,FALSE)</f>
        <v>#VALUE!</v>
      </c>
      <c r="AT63" s="97">
        <v>500002</v>
      </c>
      <c r="AU63" s="77" t="e">
        <f ca="1">VLOOKUP($AT63,OFFSET([1]crash_skills!$A$1,0,0,COUNTA([1]crash_skills!$A:$A),MATCH("name",[1]crash_skills!$1:$1,0)-MATCH($AT$1,[1]crash_skills!$1:$1,0)+1),MATCH("name",[1]crash_skills!$1:$1,0)-MATCH($AT$1,[1]crash_skills!$1:$1,0)+1,FALSE)</f>
        <v>#VALUE!</v>
      </c>
      <c r="AV63" s="77" t="e">
        <f ca="1">VLOOKUP($AT63,OFFSET([1]crash_skills!$A$1,0,0,COUNTA([1]crash_skills!$A:$A),MATCH("comment",[1]crash_skills!$1:$1,0)-MATCH($AT$1,[1]crash_skills!$1:$1,0)+1),MATCH("comment",[1]crash_skills!$1:$1,0)-MATCH($AT$1,[1]crash_skills!$1:$1,0)+1,FALSE)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63" s="77" t="e">
        <f ca="1">VLOOKUP($AT63,OFFSET([1]crash_skills!$A$1,0,0,COUNTA([1]crash_skills!$A:$A),MATCH(AW$1,[1]crash_skills!$1:$1,0)-MATCH($AT$1,[1]crash_skills!$1:$1,0)+1),MATCH(AW$1,[1]crash_skills!$1:$1,0)-MATCH($AT$1,[1]crash_skills!$1:$1,0)+1,FALSE)</f>
        <v>#VALUE!</v>
      </c>
      <c r="AX63" s="81">
        <f ca="1">VLOOKUP($A63,OFFSET([2]characters!$A$1,0,0,COUNTA([2]characters!$A:$A),MATCH(AX$1,[2]characters!$1:$1,0)-MATCH($A$1,[2]characters!$1:$1,0)+1),MATCH(AX$1,[2]characters!$1:$1,0)-MATCH($A$1,[2]characters!$1:$1,0)+1,FALSE)</f>
        <v>3</v>
      </c>
      <c r="AY63" s="19">
        <v>1</v>
      </c>
      <c r="AZ63" s="19">
        <v>1</v>
      </c>
      <c r="BA63" s="19">
        <v>0</v>
      </c>
      <c r="BB63" s="19">
        <v>1</v>
      </c>
      <c r="BC63" s="14">
        <f ca="1">INDEX('RC6SV'!$A$1:$G$20,MATCH(H63,'RC6SV'!$A$1:$A$20,FALSE),MATCH(G63,'RC6SV'!$A$1:$G$1,FALSE))</f>
        <v>4000</v>
      </c>
      <c r="BD63" s="63">
        <f t="shared" ca="1" si="4"/>
        <v>4000</v>
      </c>
      <c r="BE63" s="14">
        <f t="shared" ca="1" si="5"/>
        <v>2800</v>
      </c>
      <c r="BF63" s="14">
        <f t="shared" ca="1" si="6"/>
        <v>1</v>
      </c>
      <c r="BG63" s="20">
        <f ca="1">IF($BE63&lt;=0,ROUND(BK63*0.5,0), ROUND($BE63*S63*AA63*J63*AY63*0.8*[2]ステータス!$B$2,0))</f>
        <v>896</v>
      </c>
      <c r="BH63" s="20">
        <f ca="1">IF($BE63&lt;=0,ROUND(BL63*0.5,0), ROUND($BE63*T63*AB63*K63*AZ63*0.8*[2]ステータス!$C$2,0))</f>
        <v>565</v>
      </c>
      <c r="BI63" s="20">
        <f ca="1">IF($BE63&lt;=0,ROUND(BM63*0.5,0), ROUND($BE63*U63*AC63*L63*BA63*0.8*[2]ステータス!$D$2,0))</f>
        <v>0</v>
      </c>
      <c r="BJ63" s="20">
        <f ca="1">IF($BE63&lt;=0,ROUND(BN63*0.5,0), ROUND($BE63*V63*AD63*M63*BB63*0.8*[2]ステータス!$E$2,0))</f>
        <v>730</v>
      </c>
      <c r="BK63" s="14">
        <f ca="1">ROUND(BD63*S63*AA63*J63*AY63*[2]ステータス!$B$2,0)</f>
        <v>1600</v>
      </c>
      <c r="BL63" s="14">
        <f ca="1">ROUND(BD63*T63*AB63*K63*AZ63*[2]ステータス!$C$2,0)</f>
        <v>1009</v>
      </c>
      <c r="BM63" s="14">
        <f ca="1">ROUND(BD63*U63*AC63*L63*BA63*[2]ステータス!$D$2,0)</f>
        <v>0</v>
      </c>
      <c r="BN63" s="14">
        <f ca="1">ROUND(BD63*V63*AD63*M63*BB63*[2]ステータス!$E$2,0)</f>
        <v>1304</v>
      </c>
      <c r="BO63" s="13">
        <v>0</v>
      </c>
      <c r="BP63" s="13">
        <v>1</v>
      </c>
      <c r="BQ63" s="13" t="s">
        <v>102</v>
      </c>
      <c r="BR63" s="13">
        <f ca="1">VLOOKUP(H63,ghosts_label!$A$2:$B$19,2,FALSE)</f>
        <v>1</v>
      </c>
    </row>
    <row r="64" spans="1:70" ht="21" customHeight="1" x14ac:dyDescent="0.15">
      <c r="A64" s="14">
        <f t="shared" ca="1" si="0"/>
        <v>63</v>
      </c>
      <c r="B64" s="77" t="str">
        <f ca="1">VLOOKUP($A64,OFFSET([2]characters!$A$1,0,0,COUNTA([2]characters!$A:$A),MATCH(B$1,[2]characters!$1:$1,0)-MATCH($A$1,[2]characters!$1:$1,0)+1),MATCH(B$1,[2]characters!$1:$1,0)-MATCH($A$1,[2]characters!$1:$1,0)+1,FALSE)</f>
        <v>トニー</v>
      </c>
      <c r="C64" s="77" t="str">
        <f ca="1">VLOOKUP($A64,OFFSET([2]characters!$A$1,0,0,COUNTA([2]characters!$A:$A),MATCH(C$1,[2]characters!$1:$1,0)-MATCH($A$1,[2]characters!$1:$1,0)+1),MATCH(C$1,[2]characters!$1:$1,0)-MATCH($A$1,[2]characters!$1:$1,0)+1,FALSE)</f>
        <v>ノーマルクエスト</v>
      </c>
      <c r="D64" s="77" t="str">
        <f ca="1">VLOOKUP($A64,OFFSET([2]characters!$A$1,0,0,COUNTA([2]characters!$A:$A),MATCH(D$1,[2]characters!$1:$1,0)-MATCH($A$1,[2]characters!$1:$1,0)+1),MATCH(D$1,[2]characters!$1:$1,0)-MATCH($A$1,[2]characters!$1:$1,0)+1,FALSE)</f>
        <v>アバター</v>
      </c>
      <c r="E64" s="77" t="str">
        <f ca="1">VLOOKUP($A64,OFFSET([2]characters!$A$1,0,0,COUNTA([2]characters!$A:$A),MATCH(E$1,[2]characters!$1:$1,0)-MATCH($A$1,[2]characters!$1:$1,0)+1),MATCH(E$1,[2]characters!$1:$1,0)-MATCH($A$1,[2]characters!$1:$1,0)+1,FALSE)</f>
        <v>世界観</v>
      </c>
      <c r="F64" s="77" t="str">
        <f ca="1">VLOOKUP($A64,OFFSET([2]characters!$A$1,0,0,COUNTA([2]characters!$A:$A),MATCH(F$1,[2]characters!$1:$1,0)-MATCH($A$1,[2]characters!$1:$1,0)+1),MATCH(F$1,[2]characters!$1:$1,0)-MATCH($A$1,[2]characters!$1:$1,0)+1,FALSE)</f>
        <v>男性</v>
      </c>
      <c r="G64" s="77">
        <f ca="1">VLOOKUP($A64,OFFSET([2]characters!$A$1,0,0,COUNTA([2]characters!$A:$A),MATCH(G$1,[2]characters!$1:$1,0)-MATCH($A$1,[2]characters!$1:$1,0)+1),MATCH(G$1,[2]characters!$1:$1,0)-MATCH($A$1,[2]characters!$1:$1,0)+1,FALSE)</f>
        <v>2</v>
      </c>
      <c r="H64" s="77" t="str">
        <f ca="1">VLOOKUP($A64,OFFSET([2]characters!$A$1,0,0,COUNTA([2]characters!$A:$A),MATCH(H$1,[2]characters!$1:$1,0)-MATCH($A$1,[2]characters!$1:$1,0)+1),MATCH(H$1,[2]characters!$1:$1,0)-MATCH($A$1,[2]characters!$1:$1,0)+1,FALSE)</f>
        <v>Drop1N</v>
      </c>
      <c r="I64" s="77" t="str">
        <f ca="1">VLOOKUP($A64,OFFSET([2]characters!$A$1,0,0,COUNTA([2]characters!$A:$A),MATCH(I$1,[2]characters!$1:$1,0)-MATCH($A$1,[2]characters!$1:$1,0)+1),MATCH(I$1,[2]characters!$1:$1,0)-MATCH($A$1,[2]characters!$1:$1,0)+1,FALSE)</f>
        <v>yellow</v>
      </c>
      <c r="J64" s="14">
        <f ca="1">VLOOKUP(I64,[2]属性!$A:$E,2,FALSE)</f>
        <v>0.98</v>
      </c>
      <c r="K64" s="14">
        <f ca="1">VLOOKUP(I64,[2]属性!$A:$E,3,FALSE)</f>
        <v>1.01</v>
      </c>
      <c r="L64" s="14">
        <f ca="1">VLOOKUP(I64,[2]属性!$A:$E,4,FALSE)</f>
        <v>1</v>
      </c>
      <c r="M64" s="14">
        <f ca="1">VLOOKUP(I64,[2]属性!$A:$E,5,FALSE)</f>
        <v>1.01</v>
      </c>
      <c r="N64" s="14">
        <f ca="1">INDEX(コスト!$A$1:$I$20,MATCH(H64,コスト!$A$1:$A$20,FALSE),MATCH(G64,コスト!$A$1:$I$1,FALSE))</f>
        <v>4</v>
      </c>
      <c r="O64" s="14">
        <f ca="1">INDEX(レベル!$A$1:$I$21,MATCH(H64,レベル!$A$1:$A$21,FALSE),MATCH(G64,レベル!$A$1:$I$1,FALSE))</f>
        <v>30</v>
      </c>
      <c r="P64" s="63">
        <f t="shared" ca="1" si="7"/>
        <v>30</v>
      </c>
      <c r="Q64" s="77" t="str">
        <f ca="1">VLOOKUP($A64,OFFSET([2]characters!$A$1,0,0,COUNTA([2]characters!$A:$A),MATCH(Q$1,[2]characters!$1:$1,0)-MATCH($A$1,[2]characters!$1:$1,0)+1),MATCH(Q$1,[2]characters!$1:$1,0)-MATCH($A$1,[2]characters!$1:$1,0)+1,FALSE)</f>
        <v>technical</v>
      </c>
      <c r="R64" s="8" t="str">
        <f ca="1">VLOOKUP(Q64,[2]character_type_i18n!$A:$H,3,FALSE)</f>
        <v>テクニカルタイプ</v>
      </c>
      <c r="S64" s="14">
        <f ca="1">VLOOKUP(Q64,[2]character_type_i18n!$A:$H,4,FALSE)</f>
        <v>0.9</v>
      </c>
      <c r="T64" s="14">
        <f ca="1">VLOOKUP(Q64,[2]character_type_i18n!$A:$H,5,FALSE)</f>
        <v>0.9</v>
      </c>
      <c r="U64" s="14">
        <f ca="1">VLOOKUP(Q64,[2]character_type_i18n!$A:$H,6,FALSE)</f>
        <v>1</v>
      </c>
      <c r="V64" s="14">
        <f ca="1">VLOOKUP(Q64,[2]character_type_i18n!$A:$H,7,FALSE)</f>
        <v>0.9</v>
      </c>
      <c r="W64" s="77" t="str">
        <f ca="1">VLOOKUP($A64,OFFSET([2]characters!$A$1,0,0,COUNTA([2]characters!$A:$A),MATCH(W$1,[2]characters!$1:$1,0)-MATCH($A$1,[2]characters!$1:$1,0)+1),MATCH(W$1,[2]characters!$1:$1,0)-MATCH($A$1,[2]characters!$1:$1,0)+1,FALSE)</f>
        <v>animal</v>
      </c>
      <c r="X64" s="8" t="str">
        <f ca="1">VLOOKUP(W64,[2]character_tribe_i18n!$A:$H,3,FALSE)</f>
        <v>アニマル</v>
      </c>
      <c r="Y64" s="77" t="str">
        <f ca="1">VLOOKUP($A64,OFFSET([2]characters!$A$1,0,0,COUNTA([2]characters!$A:$A),MATCH(Y$1,[2]characters!$1:$1,0)-MATCH($A$1,[2]characters!$1:$1,0)+1),MATCH(Y$1,[2]characters!$1:$1,0)-MATCH($A$1,[2]characters!$1:$1,0)+1,FALSE)</f>
        <v>none</v>
      </c>
      <c r="Z64" s="8" t="str">
        <f ca="1">VLOOKUP(Y64,[2]character_tribe_i18n!$A:$H,3,FALSE)</f>
        <v>種族なし</v>
      </c>
      <c r="AA64" s="14">
        <f ca="1">VLOOKUP(W64,[2]character_tribe_i18n!$A:$H,4,FALSE)</f>
        <v>1</v>
      </c>
      <c r="AB64" s="14">
        <f ca="1">VLOOKUP(W64,[2]character_tribe_i18n!$A:$H,5,FALSE)</f>
        <v>1.1000000000000001</v>
      </c>
      <c r="AC64" s="14">
        <f ca="1">VLOOKUP(W64,[2]character_tribe_i18n!$A:$H,6,FALSE)</f>
        <v>1</v>
      </c>
      <c r="AD64" s="14">
        <f ca="1">VLOOKUP(W64,[2]character_tribe_i18n!$A:$H,7,FALSE)</f>
        <v>0.9</v>
      </c>
      <c r="AE64" s="12">
        <v>64</v>
      </c>
      <c r="AF64" s="85" t="str">
        <f ca="1">IF(AE64="NULL","",VLOOKUP($AE64,OFFSET([2]characters!$A$1,0,0,COUNTA([2]characters!$A:$A),MATCH(AF$1,[2]characters!$1:$1,0)-MATCH($A$1,[2]characters!$1:$1,0)+1),MATCH(AF$1,[2]characters!$1:$1,0)-MATCH($A$1,[2]characters!$1:$1,0)+1,FALSE))</f>
        <v>フレイムエッジ トニー</v>
      </c>
      <c r="AG64" s="8">
        <f t="shared" ca="1" si="2"/>
        <v>63</v>
      </c>
      <c r="AH64" s="85" t="str">
        <f ca="1">VLOOKUP($AG64,OFFSET([2]characters!$A$1,0,0,COUNTA([2]characters!$A:$A),MATCH(AH$1,[2]characters!$1:$1,0)-MATCH($A$1,[2]characters!$1:$1,0)+1),MATCH(AH$1,[2]characters!$1:$1,0)-MATCH($A$1,[2]characters!$1:$1,0)+1,FALSE)</f>
        <v>トニー</v>
      </c>
      <c r="AI64" s="14">
        <f ca="1">IF(AE64="NULL","NULL",VLOOKUP(G64,ビット!$A$2:$B$7,2))</f>
        <v>10000</v>
      </c>
      <c r="AJ64" s="9">
        <v>2</v>
      </c>
      <c r="AK64" s="10" t="str">
        <f t="shared" si="3"/>
        <v>普通</v>
      </c>
      <c r="AL64" s="14" t="str">
        <f ca="1">INDEX(経験値!$A$1:$I$20,MATCH(H64,経験値!$A$1:$A$20,FALSE),MATCH(G64,経験値!$A$1:$I$1,FALSE))</f>
        <v>required_exp_100</v>
      </c>
      <c r="AM64" s="11">
        <f ca="1">VLOOKUP(G64,経験値!$A$27:$B$31,2)</f>
        <v>600</v>
      </c>
      <c r="AN64" s="21">
        <f ca="1">VLOOKUP(G64,ビット!$G$2:$H$7,2)</f>
        <v>150</v>
      </c>
      <c r="AO64" s="64" t="s">
        <v>47</v>
      </c>
      <c r="AP64" s="97">
        <v>714001</v>
      </c>
      <c r="AQ64" s="77" t="e">
        <f ca="1">VLOOKUP($AP64,OFFSET([1]unit_skills!$A$1,0,0,COUNTA([1]unit_skills!$A:$A),MATCH("name",[1]unit_skills!$1:$1,0)-MATCH($AP$1,[1]unit_skills!$1:$1,0)+1),MATCH("name",[1]unit_skills!$1:$1,0)-MATCH($AP$1,[1]unit_skills!$1:$1,0)+1,FALSE)</f>
        <v>#VALUE!</v>
      </c>
      <c r="AR64" s="77" t="e">
        <f ca="1">VLOOKUP($AP64,OFFSET([1]unit_skills!$A$1,0,0,COUNTA([1]unit_skills!$A:$A),MATCH("comment",[1]unit_skills!$1:$1,0)-MATCH($AP$1,[1]unit_skills!$1:$1,0)+1),MATCH("comment",[1]unit_skills!$1:$1,0)-MATCH($AP$1,[1]unit_skills!$1:$1,0)+1,FALSE)</f>
        <v>#VALUE!</v>
      </c>
      <c r="AS64" s="77" t="e">
        <f ca="1">VLOOKUP($AP64,OFFSET([1]unit_skills!$A$1,0,0,COUNTA([1]unit_skills!$A:$A),MATCH(AS$1,[1]unit_skills!$1:$1,0)-MATCH($AP$1,[1]unit_skills!$1:$1,0)+1),MATCH(AS$1,[1]unit_skills!$1:$1,0)-MATCH($AP$1,[1]unit_skills!$1:$1,0)+1,FALSE)</f>
        <v>#VALUE!</v>
      </c>
      <c r="AT64" s="97">
        <v>300017</v>
      </c>
      <c r="AU64" s="77" t="e">
        <f ca="1">VLOOKUP($AT64,OFFSET([1]crash_skills!$A$1,0,0,COUNTA([1]crash_skills!$A:$A),MATCH("name",[1]crash_skills!$1:$1,0)-MATCH($AT$1,[1]crash_skills!$1:$1,0)+1),MATCH("name",[1]crash_skills!$1:$1,0)-MATCH($AT$1,[1]crash_skills!$1:$1,0)+1,FALSE)</f>
        <v>#VALUE!</v>
      </c>
      <c r="AV64" s="77" t="e">
        <f ca="1">VLOOKUP($AT64,OFFSET([1]crash_skills!$A$1,0,0,COUNTA([1]crash_skills!$A:$A),MATCH("comment",[1]crash_skills!$1:$1,0)-MATCH($AT$1,[1]crash_skills!$1:$1,0)+1),MATCH("comment",[1]crash_skills!$1:$1,0)-MATCH($AT$1,[1]crash_skills!$1:$1,0)+1,FALSE)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64" s="77" t="e">
        <f ca="1">VLOOKUP($AT64,OFFSET([1]crash_skills!$A$1,0,0,COUNTA([1]crash_skills!$A:$A),MATCH(AW$1,[1]crash_skills!$1:$1,0)-MATCH($AT$1,[1]crash_skills!$1:$1,0)+1),MATCH(AW$1,[1]crash_skills!$1:$1,0)-MATCH($AT$1,[1]crash_skills!$1:$1,0)+1,FALSE)</f>
        <v>#VALUE!</v>
      </c>
      <c r="AX64" s="81">
        <f ca="1">VLOOKUP($A64,OFFSET([2]characters!$A$1,0,0,COUNTA([2]characters!$A:$A),MATCH(AX$1,[2]characters!$1:$1,0)-MATCH($A$1,[2]characters!$1:$1,0)+1),MATCH(AX$1,[2]characters!$1:$1,0)-MATCH($A$1,[2]characters!$1:$1,0)+1,FALSE)</f>
        <v>3</v>
      </c>
      <c r="AY64" s="19">
        <v>1</v>
      </c>
      <c r="AZ64" s="19">
        <v>1</v>
      </c>
      <c r="BA64" s="19">
        <v>0</v>
      </c>
      <c r="BB64" s="19">
        <v>1</v>
      </c>
      <c r="BC64" s="14">
        <f ca="1">INDEX('RC6SV'!$A$1:$G$20,MATCH(H64,'RC6SV'!$A$1:$A$20,FALSE),MATCH(G64,'RC6SV'!$A$1:$G$1,FALSE))</f>
        <v>2800</v>
      </c>
      <c r="BD64" s="63">
        <f t="shared" ca="1" si="4"/>
        <v>2800</v>
      </c>
      <c r="BE64" s="14">
        <f t="shared" ca="1" si="5"/>
        <v>0</v>
      </c>
      <c r="BF64" s="14">
        <f t="shared" ca="1" si="6"/>
        <v>1</v>
      </c>
      <c r="BG64" s="20">
        <f ca="1">IF($BE64&lt;=0,ROUND(BK64*0.5,0), ROUND($BE64*S64*AA64*J64*AY64*0.8*[2]ステータス!$B$2,0))</f>
        <v>618</v>
      </c>
      <c r="BH64" s="20">
        <f ca="1">IF($BE64&lt;=0,ROUND(BL64*0.5,0), ROUND($BE64*T64*AB64*K64*AZ64*0.8*[2]ステータス!$C$2,0))</f>
        <v>420</v>
      </c>
      <c r="BI64" s="20">
        <f ca="1">IF($BE64&lt;=0,ROUND(BM64*0.5,0), ROUND($BE64*U64*AC64*L64*BA64*0.8*[2]ステータス!$D$2,0))</f>
        <v>0</v>
      </c>
      <c r="BJ64" s="20">
        <f ca="1">IF($BE64&lt;=0,ROUND(BN64*0.5,0), ROUND($BE64*V64*AD64*M64*BB64*0.8*[2]ステータス!$E$2,0))</f>
        <v>287</v>
      </c>
      <c r="BK64" s="14">
        <f ca="1">ROUND(BD64*S64*AA64*J64*AY64*[2]ステータス!$B$2,0)</f>
        <v>1235</v>
      </c>
      <c r="BL64" s="14">
        <f ca="1">ROUND(BD64*T64*AB64*K64*AZ64*[2]ステータス!$C$2,0)</f>
        <v>840</v>
      </c>
      <c r="BM64" s="14">
        <f ca="1">ROUND(BD64*U64*AC64*L64*BA64*[2]ステータス!$D$2,0)</f>
        <v>0</v>
      </c>
      <c r="BN64" s="14">
        <f ca="1">ROUND(BD64*V64*AD64*M64*BB64*[2]ステータス!$E$2,0)</f>
        <v>573</v>
      </c>
      <c r="BO64" s="13">
        <v>0</v>
      </c>
      <c r="BP64" s="13">
        <v>1</v>
      </c>
      <c r="BQ64" s="13" t="s">
        <v>102</v>
      </c>
      <c r="BR64" s="13">
        <f ca="1">VLOOKUP(H64,ghosts_label!$A$2:$B$19,2,FALSE)</f>
        <v>1</v>
      </c>
    </row>
    <row r="65" spans="1:70" ht="21" customHeight="1" x14ac:dyDescent="0.15">
      <c r="A65" s="14">
        <f t="shared" ca="1" si="0"/>
        <v>64</v>
      </c>
      <c r="B65" s="77" t="str">
        <f ca="1">VLOOKUP($A65,OFFSET([2]characters!$A$1,0,0,COUNTA([2]characters!$A:$A),MATCH(B$1,[2]characters!$1:$1,0)-MATCH($A$1,[2]characters!$1:$1,0)+1),MATCH(B$1,[2]characters!$1:$1,0)-MATCH($A$1,[2]characters!$1:$1,0)+1,FALSE)</f>
        <v>フレイムエッジ トニー</v>
      </c>
      <c r="C65" s="77" t="str">
        <f ca="1">VLOOKUP($A65,OFFSET([2]characters!$A$1,0,0,COUNTA([2]characters!$A:$A),MATCH(C$1,[2]characters!$1:$1,0)-MATCH($A$1,[2]characters!$1:$1,0)+1),MATCH(C$1,[2]characters!$1:$1,0)-MATCH($A$1,[2]characters!$1:$1,0)+1,FALSE)</f>
        <v>ノーマルクエスト</v>
      </c>
      <c r="D65" s="77" t="str">
        <f ca="1">VLOOKUP($A65,OFFSET([2]characters!$A$1,0,0,COUNTA([2]characters!$A:$A),MATCH(D$1,[2]characters!$1:$1,0)-MATCH($A$1,[2]characters!$1:$1,0)+1),MATCH(D$1,[2]characters!$1:$1,0)-MATCH($A$1,[2]characters!$1:$1,0)+1,FALSE)</f>
        <v>アバター</v>
      </c>
      <c r="E65" s="77" t="str">
        <f ca="1">VLOOKUP($A65,OFFSET([2]characters!$A$1,0,0,COUNTA([2]characters!$A:$A),MATCH(E$1,[2]characters!$1:$1,0)-MATCH($A$1,[2]characters!$1:$1,0)+1),MATCH(E$1,[2]characters!$1:$1,0)-MATCH($A$1,[2]characters!$1:$1,0)+1,FALSE)</f>
        <v>世界観</v>
      </c>
      <c r="F65" s="77" t="str">
        <f ca="1">VLOOKUP($A65,OFFSET([2]characters!$A$1,0,0,COUNTA([2]characters!$A:$A),MATCH(F$1,[2]characters!$1:$1,0)-MATCH($A$1,[2]characters!$1:$1,0)+1),MATCH(F$1,[2]characters!$1:$1,0)-MATCH($A$1,[2]characters!$1:$1,0)+1,FALSE)</f>
        <v>男性</v>
      </c>
      <c r="G65" s="77">
        <f ca="1">VLOOKUP($A65,OFFSET([2]characters!$A$1,0,0,COUNTA([2]characters!$A:$A),MATCH(G$1,[2]characters!$1:$1,0)-MATCH($A$1,[2]characters!$1:$1,0)+1),MATCH(G$1,[2]characters!$1:$1,0)-MATCH($A$1,[2]characters!$1:$1,0)+1,FALSE)</f>
        <v>3</v>
      </c>
      <c r="H65" s="77" t="str">
        <f ca="1">VLOOKUP($A65,OFFSET([2]characters!$A$1,0,0,COUNTA([2]characters!$A:$A),MATCH(H$1,[2]characters!$1:$1,0)-MATCH($A$1,[2]characters!$1:$1,0)+1),MATCH(H$1,[2]characters!$1:$1,0)-MATCH($A$1,[2]characters!$1:$1,0)+1,FALSE)</f>
        <v>Drop1N</v>
      </c>
      <c r="I65" s="77" t="str">
        <f ca="1">VLOOKUP($A65,OFFSET([2]characters!$A$1,0,0,COUNTA([2]characters!$A:$A),MATCH(I$1,[2]characters!$1:$1,0)-MATCH($A$1,[2]characters!$1:$1,0)+1),MATCH(I$1,[2]characters!$1:$1,0)-MATCH($A$1,[2]characters!$1:$1,0)+1,FALSE)</f>
        <v>yellow</v>
      </c>
      <c r="J65" s="14">
        <f ca="1">VLOOKUP(I65,[2]属性!$A:$E,2,FALSE)</f>
        <v>0.98</v>
      </c>
      <c r="K65" s="14">
        <f ca="1">VLOOKUP(I65,[2]属性!$A:$E,3,FALSE)</f>
        <v>1.01</v>
      </c>
      <c r="L65" s="14">
        <f ca="1">VLOOKUP(I65,[2]属性!$A:$E,4,FALSE)</f>
        <v>1</v>
      </c>
      <c r="M65" s="14">
        <f ca="1">VLOOKUP(I65,[2]属性!$A:$E,5,FALSE)</f>
        <v>1.01</v>
      </c>
      <c r="N65" s="14">
        <f ca="1">INDEX(コスト!$A$1:$I$20,MATCH(H65,コスト!$A$1:$A$20,FALSE),MATCH(G65,コスト!$A$1:$I$1,FALSE))</f>
        <v>6</v>
      </c>
      <c r="O65" s="14">
        <f ca="1">INDEX(レベル!$A$1:$I$21,MATCH(H65,レベル!$A$1:$A$21,FALSE),MATCH(G65,レベル!$A$1:$I$1,FALSE))</f>
        <v>40</v>
      </c>
      <c r="P65" s="63">
        <f t="shared" ca="1" si="7"/>
        <v>45</v>
      </c>
      <c r="Q65" s="77" t="str">
        <f ca="1">VLOOKUP($A65,OFFSET([2]characters!$A$1,0,0,COUNTA([2]characters!$A:$A),MATCH(Q$1,[2]characters!$1:$1,0)-MATCH($A$1,[2]characters!$1:$1,0)+1),MATCH(Q$1,[2]characters!$1:$1,0)-MATCH($A$1,[2]characters!$1:$1,0)+1,FALSE)</f>
        <v>technical</v>
      </c>
      <c r="R65" s="8" t="str">
        <f ca="1">VLOOKUP(Q65,[2]character_type_i18n!$A:$H,3,FALSE)</f>
        <v>テクニカルタイプ</v>
      </c>
      <c r="S65" s="14">
        <f ca="1">VLOOKUP(Q65,[2]character_type_i18n!$A:$H,4,FALSE)</f>
        <v>0.9</v>
      </c>
      <c r="T65" s="14">
        <f ca="1">VLOOKUP(Q65,[2]character_type_i18n!$A:$H,5,FALSE)</f>
        <v>0.9</v>
      </c>
      <c r="U65" s="14">
        <f ca="1">VLOOKUP(Q65,[2]character_type_i18n!$A:$H,6,FALSE)</f>
        <v>1</v>
      </c>
      <c r="V65" s="14">
        <f ca="1">VLOOKUP(Q65,[2]character_type_i18n!$A:$H,7,FALSE)</f>
        <v>0.9</v>
      </c>
      <c r="W65" s="77" t="str">
        <f ca="1">VLOOKUP($A65,OFFSET([2]characters!$A$1,0,0,COUNTA([2]characters!$A:$A),MATCH(W$1,[2]characters!$1:$1,0)-MATCH($A$1,[2]characters!$1:$1,0)+1),MATCH(W$1,[2]characters!$1:$1,0)-MATCH($A$1,[2]characters!$1:$1,0)+1,FALSE)</f>
        <v>animal</v>
      </c>
      <c r="X65" s="8" t="str">
        <f ca="1">VLOOKUP(W65,[2]character_tribe_i18n!$A:$H,3,FALSE)</f>
        <v>アニマル</v>
      </c>
      <c r="Y65" s="77" t="str">
        <f ca="1">VLOOKUP($A65,OFFSET([2]characters!$A$1,0,0,COUNTA([2]characters!$A:$A),MATCH(Y$1,[2]characters!$1:$1,0)-MATCH($A$1,[2]characters!$1:$1,0)+1),MATCH(Y$1,[2]characters!$1:$1,0)-MATCH($A$1,[2]characters!$1:$1,0)+1,FALSE)</f>
        <v>none</v>
      </c>
      <c r="Z65" s="8" t="str">
        <f ca="1">VLOOKUP(Y65,[2]character_tribe_i18n!$A:$H,3,FALSE)</f>
        <v>種族なし</v>
      </c>
      <c r="AA65" s="14">
        <f ca="1">VLOOKUP(W65,[2]character_tribe_i18n!$A:$H,4,FALSE)</f>
        <v>1</v>
      </c>
      <c r="AB65" s="14">
        <f ca="1">VLOOKUP(W65,[2]character_tribe_i18n!$A:$H,5,FALSE)</f>
        <v>1.1000000000000001</v>
      </c>
      <c r="AC65" s="14">
        <f ca="1">VLOOKUP(W65,[2]character_tribe_i18n!$A:$H,6,FALSE)</f>
        <v>1</v>
      </c>
      <c r="AD65" s="14">
        <f ca="1">VLOOKUP(W65,[2]character_tribe_i18n!$A:$H,7,FALSE)</f>
        <v>0.9</v>
      </c>
      <c r="AE65" s="12" t="s">
        <v>213</v>
      </c>
      <c r="AF65" s="85" t="str">
        <f ca="1">IF(AE65="NULL","",VLOOKUP($AE65,OFFSET([2]characters!$A$1,0,0,COUNTA([2]characters!$A:$A),MATCH(AF$1,[2]characters!$1:$1,0)-MATCH($A$1,[2]characters!$1:$1,0)+1),MATCH(AF$1,[2]characters!$1:$1,0)-MATCH($A$1,[2]characters!$1:$1,0)+1,FALSE))</f>
        <v/>
      </c>
      <c r="AG65" s="8">
        <f t="shared" ca="1" si="2"/>
        <v>63</v>
      </c>
      <c r="AH65" s="85" t="str">
        <f ca="1">VLOOKUP($AG65,OFFSET([2]characters!$A$1,0,0,COUNTA([2]characters!$A:$A),MATCH(AH$1,[2]characters!$1:$1,0)-MATCH($A$1,[2]characters!$1:$1,0)+1),MATCH(AH$1,[2]characters!$1:$1,0)-MATCH($A$1,[2]characters!$1:$1,0)+1,FALSE)</f>
        <v>トニー</v>
      </c>
      <c r="AI65" s="14" t="str">
        <f>IF(AE65="NULL","NULL",VLOOKUP(G65,ビット!$A$2:$B$7,2))</f>
        <v>NULL</v>
      </c>
      <c r="AJ65" s="9">
        <v>2</v>
      </c>
      <c r="AK65" s="10" t="str">
        <f t="shared" si="3"/>
        <v>普通</v>
      </c>
      <c r="AL65" s="14" t="str">
        <f ca="1">INDEX(経験値!$A$1:$I$20,MATCH(H65,経験値!$A$1:$A$20,FALSE),MATCH(G65,経験値!$A$1:$I$1,FALSE))</f>
        <v>required_exp_100</v>
      </c>
      <c r="AM65" s="11">
        <f ca="1">VLOOKUP(G65,経験値!$A$27:$B$31,2)</f>
        <v>1500</v>
      </c>
      <c r="AN65" s="21">
        <f ca="1">VLOOKUP(G65,ビット!$G$2:$H$7,2)</f>
        <v>300</v>
      </c>
      <c r="AO65" s="64" t="s">
        <v>47</v>
      </c>
      <c r="AP65" s="97">
        <v>714002</v>
      </c>
      <c r="AQ65" s="77" t="e">
        <f ca="1">VLOOKUP($AP65,OFFSET([1]unit_skills!$A$1,0,0,COUNTA([1]unit_skills!$A:$A),MATCH("name",[1]unit_skills!$1:$1,0)-MATCH($AP$1,[1]unit_skills!$1:$1,0)+1),MATCH("name",[1]unit_skills!$1:$1,0)-MATCH($AP$1,[1]unit_skills!$1:$1,0)+1,FALSE)</f>
        <v>#VALUE!</v>
      </c>
      <c r="AR65" s="77" t="e">
        <f ca="1">VLOOKUP($AP65,OFFSET([1]unit_skills!$A$1,0,0,COUNTA([1]unit_skills!$A:$A),MATCH("comment",[1]unit_skills!$1:$1,0)-MATCH($AP$1,[1]unit_skills!$1:$1,0)+1),MATCH("comment",[1]unit_skills!$1:$1,0)-MATCH($AP$1,[1]unit_skills!$1:$1,0)+1,FALSE)</f>
        <v>#VALUE!</v>
      </c>
      <c r="AS65" s="77" t="e">
        <f ca="1">VLOOKUP($AP65,OFFSET([1]unit_skills!$A$1,0,0,COUNTA([1]unit_skills!$A:$A),MATCH(AS$1,[1]unit_skills!$1:$1,0)-MATCH($AP$1,[1]unit_skills!$1:$1,0)+1),MATCH(AS$1,[1]unit_skills!$1:$1,0)-MATCH($AP$1,[1]unit_skills!$1:$1,0)+1,FALSE)</f>
        <v>#VALUE!</v>
      </c>
      <c r="AT65" s="97">
        <v>300018</v>
      </c>
      <c r="AU65" s="77" t="e">
        <f ca="1">VLOOKUP($AT65,OFFSET([1]crash_skills!$A$1,0,0,COUNTA([1]crash_skills!$A:$A),MATCH("name",[1]crash_skills!$1:$1,0)-MATCH($AT$1,[1]crash_skills!$1:$1,0)+1),MATCH("name",[1]crash_skills!$1:$1,0)-MATCH($AT$1,[1]crash_skills!$1:$1,0)+1,FALSE)</f>
        <v>#VALUE!</v>
      </c>
      <c r="AV65" s="77" t="e">
        <f ca="1">VLOOKUP($AT65,OFFSET([1]crash_skills!$A$1,0,0,COUNTA([1]crash_skills!$A:$A),MATCH("comment",[1]crash_skills!$1:$1,0)-MATCH($AT$1,[1]crash_skills!$1:$1,0)+1),MATCH("comment",[1]crash_skills!$1:$1,0)-MATCH($AT$1,[1]crash_skills!$1:$1,0)+1,FALSE)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65" s="77" t="e">
        <f ca="1">VLOOKUP($AT65,OFFSET([1]crash_skills!$A$1,0,0,COUNTA([1]crash_skills!$A:$A),MATCH(AW$1,[1]crash_skills!$1:$1,0)-MATCH($AT$1,[1]crash_skills!$1:$1,0)+1),MATCH(AW$1,[1]crash_skills!$1:$1,0)-MATCH($AT$1,[1]crash_skills!$1:$1,0)+1,FALSE)</f>
        <v>#VALUE!</v>
      </c>
      <c r="AX65" s="81">
        <f ca="1">VLOOKUP($A65,OFFSET([2]characters!$A$1,0,0,COUNTA([2]characters!$A:$A),MATCH(AX$1,[2]characters!$1:$1,0)-MATCH($A$1,[2]characters!$1:$1,0)+1),MATCH(AX$1,[2]characters!$1:$1,0)-MATCH($A$1,[2]characters!$1:$1,0)+1,FALSE)</f>
        <v>3</v>
      </c>
      <c r="AY65" s="19">
        <v>1</v>
      </c>
      <c r="AZ65" s="19">
        <v>1</v>
      </c>
      <c r="BA65" s="19">
        <v>0</v>
      </c>
      <c r="BB65" s="19">
        <v>1</v>
      </c>
      <c r="BC65" s="14">
        <f ca="1">INDEX('RC6SV'!$A$1:$G$20,MATCH(H65,'RC6SV'!$A$1:$A$20,FALSE),MATCH(G65,'RC6SV'!$A$1:$G$1,FALSE))</f>
        <v>4000</v>
      </c>
      <c r="BD65" s="63">
        <f t="shared" ca="1" si="4"/>
        <v>4000</v>
      </c>
      <c r="BE65" s="14">
        <f t="shared" ca="1" si="5"/>
        <v>2800</v>
      </c>
      <c r="BF65" s="14">
        <f t="shared" ca="1" si="6"/>
        <v>1</v>
      </c>
      <c r="BG65" s="20">
        <f ca="1">IF($BE65&lt;=0,ROUND(BK65*0.5,0), ROUND($BE65*S65*AA65*J65*AY65*0.8*[2]ステータス!$B$2,0))</f>
        <v>988</v>
      </c>
      <c r="BH65" s="20">
        <f ca="1">IF($BE65&lt;=0,ROUND(BL65*0.5,0), ROUND($BE65*T65*AB65*K65*AZ65*0.8*[2]ステータス!$C$2,0))</f>
        <v>672</v>
      </c>
      <c r="BI65" s="20">
        <f ca="1">IF($BE65&lt;=0,ROUND(BM65*0.5,0), ROUND($BE65*U65*AC65*L65*BA65*0.8*[2]ステータス!$D$2,0))</f>
        <v>0</v>
      </c>
      <c r="BJ65" s="20">
        <f ca="1">IF($BE65&lt;=0,ROUND(BN65*0.5,0), ROUND($BE65*V65*AD65*M65*BB65*0.8*[2]ステータス!$E$2,0))</f>
        <v>458</v>
      </c>
      <c r="BK65" s="14">
        <f ca="1">ROUND(BD65*S65*AA65*J65*AY65*[2]ステータス!$B$2,0)</f>
        <v>1764</v>
      </c>
      <c r="BL65" s="14">
        <f ca="1">ROUND(BD65*T65*AB65*K65*AZ65*[2]ステータス!$C$2,0)</f>
        <v>1200</v>
      </c>
      <c r="BM65" s="14">
        <f ca="1">ROUND(BD65*U65*AC65*L65*BA65*[2]ステータス!$D$2,0)</f>
        <v>0</v>
      </c>
      <c r="BN65" s="14">
        <f ca="1">ROUND(BD65*V65*AD65*M65*BB65*[2]ステータス!$E$2,0)</f>
        <v>818</v>
      </c>
      <c r="BO65" s="13">
        <v>0</v>
      </c>
      <c r="BP65" s="13">
        <v>1</v>
      </c>
      <c r="BQ65" s="13" t="s">
        <v>102</v>
      </c>
      <c r="BR65" s="13">
        <f ca="1">VLOOKUP(H65,ghosts_label!$A$2:$B$19,2,FALSE)</f>
        <v>1</v>
      </c>
    </row>
    <row r="66" spans="1:70" ht="21" customHeight="1" x14ac:dyDescent="0.15">
      <c r="A66" s="14">
        <f t="shared" ref="A66:A129" ca="1" si="8">INDIRECT(ADDRESS(ROW(),COLUMN(),1,TRUE,"[CharacterMasterData.xlsm]characters"))</f>
        <v>65</v>
      </c>
      <c r="B66" s="77" t="str">
        <f ca="1">VLOOKUP($A66,OFFSET([2]characters!$A$1,0,0,COUNTA([2]characters!$A:$A),MATCH(B$1,[2]characters!$1:$1,0)-MATCH($A$1,[2]characters!$1:$1,0)+1),MATCH(B$1,[2]characters!$1:$1,0)-MATCH($A$1,[2]characters!$1:$1,0)+1,FALSE)</f>
        <v>ファイアフォックス</v>
      </c>
      <c r="C66" s="77" t="str">
        <f ca="1">VLOOKUP($A66,OFFSET([2]characters!$A$1,0,0,COUNTA([2]characters!$A:$A),MATCH(C$1,[2]characters!$1:$1,0)-MATCH($A$1,[2]characters!$1:$1,0)+1),MATCH(C$1,[2]characters!$1:$1,0)-MATCH($A$1,[2]characters!$1:$1,0)+1,FALSE)</f>
        <v>ノーマルクエスト</v>
      </c>
      <c r="D66" s="77" t="str">
        <f ca="1">VLOOKUP($A66,OFFSET([2]characters!$A$1,0,0,COUNTA([2]characters!$A:$A),MATCH(D$1,[2]characters!$1:$1,0)-MATCH($A$1,[2]characters!$1:$1,0)+1),MATCH(D$1,[2]characters!$1:$1,0)-MATCH($A$1,[2]characters!$1:$1,0)+1,FALSE)</f>
        <v>アバター</v>
      </c>
      <c r="E66" s="77" t="str">
        <f ca="1">VLOOKUP($A66,OFFSET([2]characters!$A$1,0,0,COUNTA([2]characters!$A:$A),MATCH(E$1,[2]characters!$1:$1,0)-MATCH($A$1,[2]characters!$1:$1,0)+1),MATCH(E$1,[2]characters!$1:$1,0)-MATCH($A$1,[2]characters!$1:$1,0)+1,FALSE)</f>
        <v>世界観</v>
      </c>
      <c r="F66" s="77" t="str">
        <f ca="1">VLOOKUP($A66,OFFSET([2]characters!$A$1,0,0,COUNTA([2]characters!$A:$A),MATCH(F$1,[2]characters!$1:$1,0)-MATCH($A$1,[2]characters!$1:$1,0)+1),MATCH(F$1,[2]characters!$1:$1,0)-MATCH($A$1,[2]characters!$1:$1,0)+1,FALSE)</f>
        <v>男性</v>
      </c>
      <c r="G66" s="77">
        <f ca="1">VLOOKUP($A66,OFFSET([2]characters!$A$1,0,0,COUNTA([2]characters!$A:$A),MATCH(G$1,[2]characters!$1:$1,0)-MATCH($A$1,[2]characters!$1:$1,0)+1),MATCH(G$1,[2]characters!$1:$1,0)-MATCH($A$1,[2]characters!$1:$1,0)+1,FALSE)</f>
        <v>2</v>
      </c>
      <c r="H66" s="77" t="str">
        <f ca="1">VLOOKUP($A66,OFFSET([2]characters!$A$1,0,0,COUNTA([2]characters!$A:$A),MATCH(H$1,[2]characters!$1:$1,0)-MATCH($A$1,[2]characters!$1:$1,0)+1),MATCH(H$1,[2]characters!$1:$1,0)-MATCH($A$1,[2]characters!$1:$1,0)+1,FALSE)</f>
        <v>Drop1S</v>
      </c>
      <c r="I66" s="77" t="str">
        <f ca="1">VLOOKUP($A66,OFFSET([2]characters!$A$1,0,0,COUNTA([2]characters!$A:$A),MATCH(I$1,[2]characters!$1:$1,0)-MATCH($A$1,[2]characters!$1:$1,0)+1),MATCH(I$1,[2]characters!$1:$1,0)-MATCH($A$1,[2]characters!$1:$1,0)+1,FALSE)</f>
        <v>red</v>
      </c>
      <c r="J66" s="14">
        <f ca="1">VLOOKUP(I66,[2]属性!$A:$E,2,FALSE)</f>
        <v>1</v>
      </c>
      <c r="K66" s="14">
        <f ca="1">VLOOKUP(I66,[2]属性!$A:$E,3,FALSE)</f>
        <v>1.02</v>
      </c>
      <c r="L66" s="14">
        <f ca="1">VLOOKUP(I66,[2]属性!$A:$E,4,FALSE)</f>
        <v>1</v>
      </c>
      <c r="M66" s="14">
        <f ca="1">VLOOKUP(I66,[2]属性!$A:$E,5,FALSE)</f>
        <v>0.98</v>
      </c>
      <c r="N66" s="14">
        <f ca="1">INDEX(コスト!$A$1:$I$20,MATCH(H66,コスト!$A$1:$A$20,FALSE),MATCH(G66,コスト!$A$1:$I$1,FALSE))</f>
        <v>4</v>
      </c>
      <c r="O66" s="14">
        <f ca="1">INDEX(レベル!$A$1:$I$21,MATCH(H66,レベル!$A$1:$A$21,FALSE),MATCH(G66,レベル!$A$1:$I$1,FALSE))</f>
        <v>30</v>
      </c>
      <c r="P66" s="63">
        <f t="shared" ca="1" si="7"/>
        <v>30</v>
      </c>
      <c r="Q66" s="77" t="str">
        <f ca="1">VLOOKUP($A66,OFFSET([2]characters!$A$1,0,0,COUNTA([2]characters!$A:$A),MATCH(Q$1,[2]characters!$1:$1,0)-MATCH($A$1,[2]characters!$1:$1,0)+1),MATCH(Q$1,[2]characters!$1:$1,0)-MATCH($A$1,[2]characters!$1:$1,0)+1,FALSE)</f>
        <v>attack</v>
      </c>
      <c r="R66" s="8" t="str">
        <f ca="1">VLOOKUP(Q66,[2]character_type_i18n!$A:$H,3,FALSE)</f>
        <v>攻撃タイプ</v>
      </c>
      <c r="S66" s="14">
        <f ca="1">VLOOKUP(Q66,[2]character_type_i18n!$A:$H,4,FALSE)</f>
        <v>1</v>
      </c>
      <c r="T66" s="14">
        <f ca="1">VLOOKUP(Q66,[2]character_type_i18n!$A:$H,5,FALSE)</f>
        <v>1.33</v>
      </c>
      <c r="U66" s="14">
        <f ca="1">VLOOKUP(Q66,[2]character_type_i18n!$A:$H,6,FALSE)</f>
        <v>1</v>
      </c>
      <c r="V66" s="14">
        <f ca="1">VLOOKUP(Q66,[2]character_type_i18n!$A:$H,7,FALSE)</f>
        <v>0.67</v>
      </c>
      <c r="W66" s="77" t="str">
        <f ca="1">VLOOKUP($A66,OFFSET([2]characters!$A$1,0,0,COUNTA([2]characters!$A:$A),MATCH(W$1,[2]characters!$1:$1,0)-MATCH($A$1,[2]characters!$1:$1,0)+1),MATCH(W$1,[2]characters!$1:$1,0)-MATCH($A$1,[2]characters!$1:$1,0)+1,FALSE)</f>
        <v>animal</v>
      </c>
      <c r="X66" s="8" t="str">
        <f ca="1">VLOOKUP(W66,[2]character_tribe_i18n!$A:$H,3,FALSE)</f>
        <v>アニマル</v>
      </c>
      <c r="Y66" s="77" t="str">
        <f ca="1">VLOOKUP($A66,OFFSET([2]characters!$A$1,0,0,COUNTA([2]characters!$A:$A),MATCH(Y$1,[2]characters!$1:$1,0)-MATCH($A$1,[2]characters!$1:$1,0)+1),MATCH(Y$1,[2]characters!$1:$1,0)-MATCH($A$1,[2]characters!$1:$1,0)+1,FALSE)</f>
        <v>none</v>
      </c>
      <c r="Z66" s="8" t="str">
        <f ca="1">VLOOKUP(Y66,[2]character_tribe_i18n!$A:$H,3,FALSE)</f>
        <v>種族なし</v>
      </c>
      <c r="AA66" s="14">
        <f ca="1">VLOOKUP(W66,[2]character_tribe_i18n!$A:$H,4,FALSE)</f>
        <v>1</v>
      </c>
      <c r="AB66" s="14">
        <f ca="1">VLOOKUP(W66,[2]character_tribe_i18n!$A:$H,5,FALSE)</f>
        <v>1.1000000000000001</v>
      </c>
      <c r="AC66" s="14">
        <f ca="1">VLOOKUP(W66,[2]character_tribe_i18n!$A:$H,6,FALSE)</f>
        <v>1</v>
      </c>
      <c r="AD66" s="14">
        <f ca="1">VLOOKUP(W66,[2]character_tribe_i18n!$A:$H,7,FALSE)</f>
        <v>0.9</v>
      </c>
      <c r="AE66" s="12">
        <v>66</v>
      </c>
      <c r="AF66" s="85" t="str">
        <f ca="1">IF(AE66="NULL","",VLOOKUP($AE66,OFFSET([2]characters!$A$1,0,0,COUNTA([2]characters!$A:$A),MATCH(AF$1,[2]characters!$1:$1,0)-MATCH($A$1,[2]characters!$1:$1,0)+1),MATCH(AF$1,[2]characters!$1:$1,0)-MATCH($A$1,[2]characters!$1:$1,0)+1,FALSE))</f>
        <v>探索者 ファイアフォックス</v>
      </c>
      <c r="AG66" s="8">
        <f t="shared" ref="AG66:AG129" ca="1" si="9">IF(ISNA(MATCH(A66,AE:AE,0)),A66,INDIRECT(ADDRESS(MATCH(A66,AE:AE,0),COLUMN())))</f>
        <v>65</v>
      </c>
      <c r="AH66" s="85" t="str">
        <f ca="1">VLOOKUP($AG66,OFFSET([2]characters!$A$1,0,0,COUNTA([2]characters!$A:$A),MATCH(AH$1,[2]characters!$1:$1,0)-MATCH($A$1,[2]characters!$1:$1,0)+1),MATCH(AH$1,[2]characters!$1:$1,0)-MATCH($A$1,[2]characters!$1:$1,0)+1,FALSE)</f>
        <v>ファイアフォックス</v>
      </c>
      <c r="AI66" s="14">
        <f ca="1">IF(AE66="NULL","NULL",VLOOKUP(G66,ビット!$A$2:$B$7,2))</f>
        <v>10000</v>
      </c>
      <c r="AJ66" s="9">
        <v>2</v>
      </c>
      <c r="AK66" s="10" t="str">
        <f t="shared" ref="AK66:AK129" si="10">IF(AJ66=1,"早熟",IF(AJ66=2,"普通",IF(AJ66=3,"晩成","")))</f>
        <v>普通</v>
      </c>
      <c r="AL66" s="14" t="str">
        <f ca="1">INDEX(経験値!$A$1:$I$20,MATCH(H66,経験値!$A$1:$A$20,FALSE),MATCH(G66,経験値!$A$1:$I$1,FALSE))</f>
        <v>required_exp_150</v>
      </c>
      <c r="AM66" s="11">
        <f ca="1">VLOOKUP(G66,経験値!$A$27:$B$31,2)</f>
        <v>600</v>
      </c>
      <c r="AN66" s="21">
        <f ca="1">VLOOKUP(G66,ビット!$G$2:$H$7,2)</f>
        <v>150</v>
      </c>
      <c r="AO66" s="64" t="s">
        <v>192</v>
      </c>
      <c r="AP66" s="97">
        <v>300033</v>
      </c>
      <c r="AQ66" s="77" t="e">
        <f ca="1">VLOOKUP($AP66,OFFSET([1]unit_skills!$A$1,0,0,COUNTA([1]unit_skills!$A:$A),MATCH("name",[1]unit_skills!$1:$1,0)-MATCH($AP$1,[1]unit_skills!$1:$1,0)+1),MATCH("name",[1]unit_skills!$1:$1,0)-MATCH($AP$1,[1]unit_skills!$1:$1,0)+1,FALSE)</f>
        <v>#VALUE!</v>
      </c>
      <c r="AR66" s="77" t="e">
        <f ca="1">VLOOKUP($AP66,OFFSET([1]unit_skills!$A$1,0,0,COUNTA([1]unit_skills!$A:$A),MATCH("comment",[1]unit_skills!$1:$1,0)-MATCH($AP$1,[1]unit_skills!$1:$1,0)+1),MATCH("comment",[1]unit_skills!$1:$1,0)-MATCH($AP$1,[1]unit_skills!$1:$1,0)+1,FALSE)</f>
        <v>#VALUE!</v>
      </c>
      <c r="AS66" s="77" t="e">
        <f ca="1">VLOOKUP($AP66,OFFSET([1]unit_skills!$A$1,0,0,COUNTA([1]unit_skills!$A:$A),MATCH(AS$1,[1]unit_skills!$1:$1,0)-MATCH($AP$1,[1]unit_skills!$1:$1,0)+1),MATCH(AS$1,[1]unit_skills!$1:$1,0)-MATCH($AP$1,[1]unit_skills!$1:$1,0)+1,FALSE)</f>
        <v>#VALUE!</v>
      </c>
      <c r="AT66" s="97">
        <v>171101</v>
      </c>
      <c r="AU66" s="77" t="e">
        <f ca="1">VLOOKUP($AT66,OFFSET([1]crash_skills!$A$1,0,0,COUNTA([1]crash_skills!$A:$A),MATCH("name",[1]crash_skills!$1:$1,0)-MATCH($AT$1,[1]crash_skills!$1:$1,0)+1),MATCH("name",[1]crash_skills!$1:$1,0)-MATCH($AT$1,[1]crash_skills!$1:$1,0)+1,FALSE)</f>
        <v>#VALUE!</v>
      </c>
      <c r="AV66" s="77" t="e">
        <f ca="1">VLOOKUP($AT66,OFFSET([1]crash_skills!$A$1,0,0,COUNTA([1]crash_skills!$A:$A),MATCH("comment",[1]crash_skills!$1:$1,0)-MATCH($AT$1,[1]crash_skills!$1:$1,0)+1),MATCH("comment",[1]crash_skills!$1:$1,0)-MATCH($AT$1,[1]crash_skills!$1:$1,0)+1,FALSE)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66" s="77" t="e">
        <f ca="1">VLOOKUP($AT66,OFFSET([1]crash_skills!$A$1,0,0,COUNTA([1]crash_skills!$A:$A),MATCH(AW$1,[1]crash_skills!$1:$1,0)-MATCH($AT$1,[1]crash_skills!$1:$1,0)+1),MATCH(AW$1,[1]crash_skills!$1:$1,0)-MATCH($AT$1,[1]crash_skills!$1:$1,0)+1,FALSE)</f>
        <v>#VALUE!</v>
      </c>
      <c r="AX66" s="81">
        <f ca="1">VLOOKUP($A66,OFFSET([2]characters!$A$1,0,0,COUNTA([2]characters!$A:$A),MATCH(AX$1,[2]characters!$1:$1,0)-MATCH($A$1,[2]characters!$1:$1,0)+1),MATCH(AX$1,[2]characters!$1:$1,0)-MATCH($A$1,[2]characters!$1:$1,0)+1,FALSE)</f>
        <v>3</v>
      </c>
      <c r="AY66" s="19">
        <v>1</v>
      </c>
      <c r="AZ66" s="19">
        <v>1</v>
      </c>
      <c r="BA66" s="19">
        <v>0</v>
      </c>
      <c r="BB66" s="19">
        <v>1</v>
      </c>
      <c r="BC66" s="14">
        <f ca="1">INDEX('RC6SV'!$A$1:$G$20,MATCH(H66,'RC6SV'!$A$1:$A$20,FALSE),MATCH(G66,'RC6SV'!$A$1:$G$1,FALSE))</f>
        <v>3000</v>
      </c>
      <c r="BD66" s="63">
        <f t="shared" ref="BD66:BD129" ca="1" si="11">ROUND(BC66*IF(AJ66=1,0.95,IF(AJ66=2,1,IF(AJ66,1.05,0))),0)</f>
        <v>3000</v>
      </c>
      <c r="BE66" s="14">
        <f t="shared" ref="BE66:BE129" ca="1" si="12">ROUND(IFERROR(INDIRECT(ADDRESS(MATCH($A66,$AE:$AE,0),MATCH($BC$1,$1:$1,0))),0),0)</f>
        <v>0</v>
      </c>
      <c r="BF66" s="14">
        <f t="shared" ref="BF66:BF129" ca="1" si="13">ROUND(IFERROR(INDIRECT(ADDRESS(MATCH($A66,$AE:$AE,0),10)),INDIRECT(ADDRESS(MATCH($A66,$A:$A,0),10))),0)</f>
        <v>1</v>
      </c>
      <c r="BG66" s="20">
        <f ca="1">IF($BE66&lt;=0,ROUND(BK66*0.5,0), ROUND($BE66*S66*AA66*J66*AY66*0.8*[2]ステータス!$B$2,0))</f>
        <v>750</v>
      </c>
      <c r="BH66" s="20">
        <f ca="1">IF($BE66&lt;=0,ROUND(BL66*0.5,0), ROUND($BE66*T66*AB66*K66*AZ66*0.8*[2]ステータス!$C$2,0))</f>
        <v>672</v>
      </c>
      <c r="BI66" s="20">
        <f ca="1">IF($BE66&lt;=0,ROUND(BM66*0.5,0), ROUND($BE66*U66*AC66*L66*BA66*0.8*[2]ステータス!$D$2,0))</f>
        <v>0</v>
      </c>
      <c r="BJ66" s="20">
        <f ca="1">IF($BE66&lt;=0,ROUND(BN66*0.5,0), ROUND($BE66*V66*AD66*M66*BB66*0.8*[2]ステータス!$E$2,0))</f>
        <v>222</v>
      </c>
      <c r="BK66" s="14">
        <f ca="1">ROUND(BD66*S66*AA66*J66*AY66*[2]ステータス!$B$2,0)</f>
        <v>1500</v>
      </c>
      <c r="BL66" s="14">
        <f ca="1">ROUND(BD66*T66*AB66*K66*AZ66*[2]ステータス!$C$2,0)</f>
        <v>1343</v>
      </c>
      <c r="BM66" s="14">
        <f ca="1">ROUND(BD66*U66*AC66*L66*BA66*[2]ステータス!$D$2,0)</f>
        <v>0</v>
      </c>
      <c r="BN66" s="14">
        <f ca="1">ROUND(BD66*V66*AD66*M66*BB66*[2]ステータス!$E$2,0)</f>
        <v>443</v>
      </c>
      <c r="BO66" s="13">
        <v>0</v>
      </c>
      <c r="BP66" s="13">
        <v>1</v>
      </c>
      <c r="BQ66" s="13" t="s">
        <v>102</v>
      </c>
      <c r="BR66" s="13">
        <f ca="1">VLOOKUP(H66,ghosts_label!$A$2:$B$19,2,FALSE)</f>
        <v>1</v>
      </c>
    </row>
    <row r="67" spans="1:70" ht="21" customHeight="1" x14ac:dyDescent="0.15">
      <c r="A67" s="14">
        <f t="shared" ca="1" si="8"/>
        <v>66</v>
      </c>
      <c r="B67" s="77" t="str">
        <f ca="1">VLOOKUP($A67,OFFSET([2]characters!$A$1,0,0,COUNTA([2]characters!$A:$A),MATCH(B$1,[2]characters!$1:$1,0)-MATCH($A$1,[2]characters!$1:$1,0)+1),MATCH(B$1,[2]characters!$1:$1,0)-MATCH($A$1,[2]characters!$1:$1,0)+1,FALSE)</f>
        <v>探索者 ファイアフォックス</v>
      </c>
      <c r="C67" s="77" t="str">
        <f ca="1">VLOOKUP($A67,OFFSET([2]characters!$A$1,0,0,COUNTA([2]characters!$A:$A),MATCH(C$1,[2]characters!$1:$1,0)-MATCH($A$1,[2]characters!$1:$1,0)+1),MATCH(C$1,[2]characters!$1:$1,0)-MATCH($A$1,[2]characters!$1:$1,0)+1,FALSE)</f>
        <v>ノーマルクエスト</v>
      </c>
      <c r="D67" s="77" t="str">
        <f ca="1">VLOOKUP($A67,OFFSET([2]characters!$A$1,0,0,COUNTA([2]characters!$A:$A),MATCH(D$1,[2]characters!$1:$1,0)-MATCH($A$1,[2]characters!$1:$1,0)+1),MATCH(D$1,[2]characters!$1:$1,0)-MATCH($A$1,[2]characters!$1:$1,0)+1,FALSE)</f>
        <v>アバター</v>
      </c>
      <c r="E67" s="77" t="str">
        <f ca="1">VLOOKUP($A67,OFFSET([2]characters!$A$1,0,0,COUNTA([2]characters!$A:$A),MATCH(E$1,[2]characters!$1:$1,0)-MATCH($A$1,[2]characters!$1:$1,0)+1),MATCH(E$1,[2]characters!$1:$1,0)-MATCH($A$1,[2]characters!$1:$1,0)+1,FALSE)</f>
        <v>世界観</v>
      </c>
      <c r="F67" s="77" t="str">
        <f ca="1">VLOOKUP($A67,OFFSET([2]characters!$A$1,0,0,COUNTA([2]characters!$A:$A),MATCH(F$1,[2]characters!$1:$1,0)-MATCH($A$1,[2]characters!$1:$1,0)+1),MATCH(F$1,[2]characters!$1:$1,0)-MATCH($A$1,[2]characters!$1:$1,0)+1,FALSE)</f>
        <v>男性</v>
      </c>
      <c r="G67" s="77">
        <f ca="1">VLOOKUP($A67,OFFSET([2]characters!$A$1,0,0,COUNTA([2]characters!$A:$A),MATCH(G$1,[2]characters!$1:$1,0)-MATCH($A$1,[2]characters!$1:$1,0)+1),MATCH(G$1,[2]characters!$1:$1,0)-MATCH($A$1,[2]characters!$1:$1,0)+1,FALSE)</f>
        <v>3</v>
      </c>
      <c r="H67" s="77" t="str">
        <f ca="1">VLOOKUP($A67,OFFSET([2]characters!$A$1,0,0,COUNTA([2]characters!$A:$A),MATCH(H$1,[2]characters!$1:$1,0)-MATCH($A$1,[2]characters!$1:$1,0)+1),MATCH(H$1,[2]characters!$1:$1,0)-MATCH($A$1,[2]characters!$1:$1,0)+1,FALSE)</f>
        <v>Drop1S</v>
      </c>
      <c r="I67" s="77" t="str">
        <f ca="1">VLOOKUP($A67,OFFSET([2]characters!$A$1,0,0,COUNTA([2]characters!$A:$A),MATCH(I$1,[2]characters!$1:$1,0)-MATCH($A$1,[2]characters!$1:$1,0)+1),MATCH(I$1,[2]characters!$1:$1,0)-MATCH($A$1,[2]characters!$1:$1,0)+1,FALSE)</f>
        <v>red</v>
      </c>
      <c r="J67" s="14">
        <f ca="1">VLOOKUP(I67,[2]属性!$A:$E,2,FALSE)</f>
        <v>1</v>
      </c>
      <c r="K67" s="14">
        <f ca="1">VLOOKUP(I67,[2]属性!$A:$E,3,FALSE)</f>
        <v>1.02</v>
      </c>
      <c r="L67" s="14">
        <f ca="1">VLOOKUP(I67,[2]属性!$A:$E,4,FALSE)</f>
        <v>1</v>
      </c>
      <c r="M67" s="14">
        <f ca="1">VLOOKUP(I67,[2]属性!$A:$E,5,FALSE)</f>
        <v>0.98</v>
      </c>
      <c r="N67" s="14">
        <f ca="1">INDEX(コスト!$A$1:$I$20,MATCH(H67,コスト!$A$1:$A$20,FALSE),MATCH(G67,コスト!$A$1:$I$1,FALSE))</f>
        <v>6</v>
      </c>
      <c r="O67" s="14">
        <f ca="1">INDEX(レベル!$A$1:$I$21,MATCH(H67,レベル!$A$1:$A$21,FALSE),MATCH(G67,レベル!$A$1:$I$1,FALSE))</f>
        <v>40</v>
      </c>
      <c r="P67" s="63">
        <f t="shared" ref="P67:P130" ca="1" si="14">G67*15</f>
        <v>45</v>
      </c>
      <c r="Q67" s="77" t="str">
        <f ca="1">VLOOKUP($A67,OFFSET([2]characters!$A$1,0,0,COUNTA([2]characters!$A:$A),MATCH(Q$1,[2]characters!$1:$1,0)-MATCH($A$1,[2]characters!$1:$1,0)+1),MATCH(Q$1,[2]characters!$1:$1,0)-MATCH($A$1,[2]characters!$1:$1,0)+1,FALSE)</f>
        <v>attack</v>
      </c>
      <c r="R67" s="8" t="str">
        <f ca="1">VLOOKUP(Q67,[2]character_type_i18n!$A:$H,3,FALSE)</f>
        <v>攻撃タイプ</v>
      </c>
      <c r="S67" s="14">
        <f ca="1">VLOOKUP(Q67,[2]character_type_i18n!$A:$H,4,FALSE)</f>
        <v>1</v>
      </c>
      <c r="T67" s="14">
        <f ca="1">VLOOKUP(Q67,[2]character_type_i18n!$A:$H,5,FALSE)</f>
        <v>1.33</v>
      </c>
      <c r="U67" s="14">
        <f ca="1">VLOOKUP(Q67,[2]character_type_i18n!$A:$H,6,FALSE)</f>
        <v>1</v>
      </c>
      <c r="V67" s="14">
        <f ca="1">VLOOKUP(Q67,[2]character_type_i18n!$A:$H,7,FALSE)</f>
        <v>0.67</v>
      </c>
      <c r="W67" s="77" t="str">
        <f ca="1">VLOOKUP($A67,OFFSET([2]characters!$A$1,0,0,COUNTA([2]characters!$A:$A),MATCH(W$1,[2]characters!$1:$1,0)-MATCH($A$1,[2]characters!$1:$1,0)+1),MATCH(W$1,[2]characters!$1:$1,0)-MATCH($A$1,[2]characters!$1:$1,0)+1,FALSE)</f>
        <v>animal</v>
      </c>
      <c r="X67" s="8" t="str">
        <f ca="1">VLOOKUP(W67,[2]character_tribe_i18n!$A:$H,3,FALSE)</f>
        <v>アニマル</v>
      </c>
      <c r="Y67" s="77" t="str">
        <f ca="1">VLOOKUP($A67,OFFSET([2]characters!$A$1,0,0,COUNTA([2]characters!$A:$A),MATCH(Y$1,[2]characters!$1:$1,0)-MATCH($A$1,[2]characters!$1:$1,0)+1),MATCH(Y$1,[2]characters!$1:$1,0)-MATCH($A$1,[2]characters!$1:$1,0)+1,FALSE)</f>
        <v>none</v>
      </c>
      <c r="Z67" s="8" t="str">
        <f ca="1">VLOOKUP(Y67,[2]character_tribe_i18n!$A:$H,3,FALSE)</f>
        <v>種族なし</v>
      </c>
      <c r="AA67" s="14">
        <f ca="1">VLOOKUP(W67,[2]character_tribe_i18n!$A:$H,4,FALSE)</f>
        <v>1</v>
      </c>
      <c r="AB67" s="14">
        <f ca="1">VLOOKUP(W67,[2]character_tribe_i18n!$A:$H,5,FALSE)</f>
        <v>1.1000000000000001</v>
      </c>
      <c r="AC67" s="14">
        <f ca="1">VLOOKUP(W67,[2]character_tribe_i18n!$A:$H,6,FALSE)</f>
        <v>1</v>
      </c>
      <c r="AD67" s="14">
        <f ca="1">VLOOKUP(W67,[2]character_tribe_i18n!$A:$H,7,FALSE)</f>
        <v>0.9</v>
      </c>
      <c r="AE67" s="12">
        <v>67</v>
      </c>
      <c r="AF67" s="85" t="str">
        <f ca="1">IF(AE67="NULL","",VLOOKUP($AE67,OFFSET([2]characters!$A$1,0,0,COUNTA([2]characters!$A:$A),MATCH(AF$1,[2]characters!$1:$1,0)-MATCH($A$1,[2]characters!$1:$1,0)+1),MATCH(AF$1,[2]characters!$1:$1,0)-MATCH($A$1,[2]characters!$1:$1,0)+1,FALSE))</f>
        <v>双炎の探索者 ファイアフォックス</v>
      </c>
      <c r="AG67" s="8">
        <f t="shared" ca="1" si="9"/>
        <v>65</v>
      </c>
      <c r="AH67" s="85" t="str">
        <f ca="1">VLOOKUP($AG67,OFFSET([2]characters!$A$1,0,0,COUNTA([2]characters!$A:$A),MATCH(AH$1,[2]characters!$1:$1,0)-MATCH($A$1,[2]characters!$1:$1,0)+1),MATCH(AH$1,[2]characters!$1:$1,0)-MATCH($A$1,[2]characters!$1:$1,0)+1,FALSE)</f>
        <v>ファイアフォックス</v>
      </c>
      <c r="AI67" s="14">
        <f ca="1">IF(AE67="NULL","NULL",VLOOKUP(G67,ビット!$A$2:$B$7,2))</f>
        <v>20000</v>
      </c>
      <c r="AJ67" s="9">
        <v>2</v>
      </c>
      <c r="AK67" s="10" t="str">
        <f t="shared" si="10"/>
        <v>普通</v>
      </c>
      <c r="AL67" s="14" t="str">
        <f ca="1">INDEX(経験値!$A$1:$I$20,MATCH(H67,経験値!$A$1:$A$20,FALSE),MATCH(G67,経験値!$A$1:$I$1,FALSE))</f>
        <v>required_exp_150</v>
      </c>
      <c r="AM67" s="11">
        <f ca="1">VLOOKUP(G67,経験値!$A$27:$B$31,2)</f>
        <v>1500</v>
      </c>
      <c r="AN67" s="21">
        <f ca="1">VLOOKUP(G67,ビット!$G$2:$H$7,2)</f>
        <v>300</v>
      </c>
      <c r="AO67" s="64" t="s">
        <v>192</v>
      </c>
      <c r="AP67" s="97">
        <v>300033</v>
      </c>
      <c r="AQ67" s="77" t="e">
        <f ca="1">VLOOKUP($AP67,OFFSET([1]unit_skills!$A$1,0,0,COUNTA([1]unit_skills!$A:$A),MATCH("name",[1]unit_skills!$1:$1,0)-MATCH($AP$1,[1]unit_skills!$1:$1,0)+1),MATCH("name",[1]unit_skills!$1:$1,0)-MATCH($AP$1,[1]unit_skills!$1:$1,0)+1,FALSE)</f>
        <v>#VALUE!</v>
      </c>
      <c r="AR67" s="77" t="e">
        <f ca="1">VLOOKUP($AP67,OFFSET([1]unit_skills!$A$1,0,0,COUNTA([1]unit_skills!$A:$A),MATCH("comment",[1]unit_skills!$1:$1,0)-MATCH($AP$1,[1]unit_skills!$1:$1,0)+1),MATCH("comment",[1]unit_skills!$1:$1,0)-MATCH($AP$1,[1]unit_skills!$1:$1,0)+1,FALSE)</f>
        <v>#VALUE!</v>
      </c>
      <c r="AS67" s="77" t="e">
        <f ca="1">VLOOKUP($AP67,OFFSET([1]unit_skills!$A$1,0,0,COUNTA([1]unit_skills!$A:$A),MATCH(AS$1,[1]unit_skills!$1:$1,0)-MATCH($AP$1,[1]unit_skills!$1:$1,0)+1),MATCH(AS$1,[1]unit_skills!$1:$1,0)-MATCH($AP$1,[1]unit_skills!$1:$1,0)+1,FALSE)</f>
        <v>#VALUE!</v>
      </c>
      <c r="AT67" s="97">
        <v>171102</v>
      </c>
      <c r="AU67" s="77" t="e">
        <f ca="1">VLOOKUP($AT67,OFFSET([1]crash_skills!$A$1,0,0,COUNTA([1]crash_skills!$A:$A),MATCH("name",[1]crash_skills!$1:$1,0)-MATCH($AT$1,[1]crash_skills!$1:$1,0)+1),MATCH("name",[1]crash_skills!$1:$1,0)-MATCH($AT$1,[1]crash_skills!$1:$1,0)+1,FALSE)</f>
        <v>#VALUE!</v>
      </c>
      <c r="AV67" s="77" t="e">
        <f ca="1">VLOOKUP($AT67,OFFSET([1]crash_skills!$A$1,0,0,COUNTA([1]crash_skills!$A:$A),MATCH("comment",[1]crash_skills!$1:$1,0)-MATCH($AT$1,[1]crash_skills!$1:$1,0)+1),MATCH("comment",[1]crash_skills!$1:$1,0)-MATCH($AT$1,[1]crash_skills!$1:$1,0)+1,FALSE)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67" s="77" t="e">
        <f ca="1">VLOOKUP($AT67,OFFSET([1]crash_skills!$A$1,0,0,COUNTA([1]crash_skills!$A:$A),MATCH(AW$1,[1]crash_skills!$1:$1,0)-MATCH($AT$1,[1]crash_skills!$1:$1,0)+1),MATCH(AW$1,[1]crash_skills!$1:$1,0)-MATCH($AT$1,[1]crash_skills!$1:$1,0)+1,FALSE)</f>
        <v>#VALUE!</v>
      </c>
      <c r="AX67" s="81">
        <f ca="1">VLOOKUP($A67,OFFSET([2]characters!$A$1,0,0,COUNTA([2]characters!$A:$A),MATCH(AX$1,[2]characters!$1:$1,0)-MATCH($A$1,[2]characters!$1:$1,0)+1),MATCH(AX$1,[2]characters!$1:$1,0)-MATCH($A$1,[2]characters!$1:$1,0)+1,FALSE)</f>
        <v>3</v>
      </c>
      <c r="AY67" s="19">
        <v>1</v>
      </c>
      <c r="AZ67" s="19">
        <v>1</v>
      </c>
      <c r="BA67" s="19">
        <v>0</v>
      </c>
      <c r="BB67" s="19">
        <v>1</v>
      </c>
      <c r="BC67" s="14">
        <f ca="1">INDEX('RC6SV'!$A$1:$G$20,MATCH(H67,'RC6SV'!$A$1:$A$20,FALSE),MATCH(G67,'RC6SV'!$A$1:$G$1,FALSE))</f>
        <v>4200</v>
      </c>
      <c r="BD67" s="63">
        <f t="shared" ca="1" si="11"/>
        <v>4200</v>
      </c>
      <c r="BE67" s="14">
        <f t="shared" ca="1" si="12"/>
        <v>3000</v>
      </c>
      <c r="BF67" s="14">
        <f t="shared" ca="1" si="13"/>
        <v>1</v>
      </c>
      <c r="BG67" s="20">
        <f ca="1">IF($BE67&lt;=0,ROUND(BK67*0.5,0), ROUND($BE67*S67*AA67*J67*AY67*0.8*[2]ステータス!$B$2,0))</f>
        <v>1200</v>
      </c>
      <c r="BH67" s="20">
        <f ca="1">IF($BE67&lt;=0,ROUND(BL67*0.5,0), ROUND($BE67*T67*AB67*K67*AZ67*0.8*[2]ステータス!$C$2,0))</f>
        <v>1074</v>
      </c>
      <c r="BI67" s="20">
        <f ca="1">IF($BE67&lt;=0,ROUND(BM67*0.5,0), ROUND($BE67*U67*AC67*L67*BA67*0.8*[2]ステータス!$D$2,0))</f>
        <v>0</v>
      </c>
      <c r="BJ67" s="20">
        <f ca="1">IF($BE67&lt;=0,ROUND(BN67*0.5,0), ROUND($BE67*V67*AD67*M67*BB67*0.8*[2]ステータス!$E$2,0))</f>
        <v>355</v>
      </c>
      <c r="BK67" s="14">
        <f ca="1">ROUND(BD67*S67*AA67*J67*AY67*[2]ステータス!$B$2,0)</f>
        <v>2100</v>
      </c>
      <c r="BL67" s="14">
        <f ca="1">ROUND(BD67*T67*AB67*K67*AZ67*[2]ステータス!$C$2,0)</f>
        <v>1880</v>
      </c>
      <c r="BM67" s="14">
        <f ca="1">ROUND(BD67*U67*AC67*L67*BA67*[2]ステータス!$D$2,0)</f>
        <v>0</v>
      </c>
      <c r="BN67" s="14">
        <f ca="1">ROUND(BD67*V67*AD67*M67*BB67*[2]ステータス!$E$2,0)</f>
        <v>620</v>
      </c>
      <c r="BO67" s="13">
        <v>0</v>
      </c>
      <c r="BP67" s="13">
        <v>1</v>
      </c>
      <c r="BQ67" s="13" t="s">
        <v>102</v>
      </c>
      <c r="BR67" s="13">
        <f ca="1">VLOOKUP(H67,ghosts_label!$A$2:$B$19,2,FALSE)</f>
        <v>1</v>
      </c>
    </row>
    <row r="68" spans="1:70" ht="21" customHeight="1" x14ac:dyDescent="0.15">
      <c r="A68" s="14">
        <f t="shared" ca="1" si="8"/>
        <v>67</v>
      </c>
      <c r="B68" s="77" t="str">
        <f ca="1">VLOOKUP($A68,OFFSET([2]characters!$A$1,0,0,COUNTA([2]characters!$A:$A),MATCH(B$1,[2]characters!$1:$1,0)-MATCH($A$1,[2]characters!$1:$1,0)+1),MATCH(B$1,[2]characters!$1:$1,0)-MATCH($A$1,[2]characters!$1:$1,0)+1,FALSE)</f>
        <v>双炎の探索者 ファイアフォックス</v>
      </c>
      <c r="C68" s="77" t="str">
        <f ca="1">VLOOKUP($A68,OFFSET([2]characters!$A$1,0,0,COUNTA([2]characters!$A:$A),MATCH(C$1,[2]characters!$1:$1,0)-MATCH($A$1,[2]characters!$1:$1,0)+1),MATCH(C$1,[2]characters!$1:$1,0)-MATCH($A$1,[2]characters!$1:$1,0)+1,FALSE)</f>
        <v>ノーマルクエスト</v>
      </c>
      <c r="D68" s="77" t="str">
        <f ca="1">VLOOKUP($A68,OFFSET([2]characters!$A$1,0,0,COUNTA([2]characters!$A:$A),MATCH(D$1,[2]characters!$1:$1,0)-MATCH($A$1,[2]characters!$1:$1,0)+1),MATCH(D$1,[2]characters!$1:$1,0)-MATCH($A$1,[2]characters!$1:$1,0)+1,FALSE)</f>
        <v>アバター</v>
      </c>
      <c r="E68" s="77" t="str">
        <f ca="1">VLOOKUP($A68,OFFSET([2]characters!$A$1,0,0,COUNTA([2]characters!$A:$A),MATCH(E$1,[2]characters!$1:$1,0)-MATCH($A$1,[2]characters!$1:$1,0)+1),MATCH(E$1,[2]characters!$1:$1,0)-MATCH($A$1,[2]characters!$1:$1,0)+1,FALSE)</f>
        <v>世界観</v>
      </c>
      <c r="F68" s="77" t="str">
        <f ca="1">VLOOKUP($A68,OFFSET([2]characters!$A$1,0,0,COUNTA([2]characters!$A:$A),MATCH(F$1,[2]characters!$1:$1,0)-MATCH($A$1,[2]characters!$1:$1,0)+1),MATCH(F$1,[2]characters!$1:$1,0)-MATCH($A$1,[2]characters!$1:$1,0)+1,FALSE)</f>
        <v>男性</v>
      </c>
      <c r="G68" s="77">
        <f ca="1">VLOOKUP($A68,OFFSET([2]characters!$A$1,0,0,COUNTA([2]characters!$A:$A),MATCH(G$1,[2]characters!$1:$1,0)-MATCH($A$1,[2]characters!$1:$1,0)+1),MATCH(G$1,[2]characters!$1:$1,0)-MATCH($A$1,[2]characters!$1:$1,0)+1,FALSE)</f>
        <v>4</v>
      </c>
      <c r="H68" s="77" t="str">
        <f ca="1">VLOOKUP($A68,OFFSET([2]characters!$A$1,0,0,COUNTA([2]characters!$A:$A),MATCH(H$1,[2]characters!$1:$1,0)-MATCH($A$1,[2]characters!$1:$1,0)+1),MATCH(H$1,[2]characters!$1:$1,0)-MATCH($A$1,[2]characters!$1:$1,0)+1,FALSE)</f>
        <v>Drop1S</v>
      </c>
      <c r="I68" s="77" t="str">
        <f ca="1">VLOOKUP($A68,OFFSET([2]characters!$A$1,0,0,COUNTA([2]characters!$A:$A),MATCH(I$1,[2]characters!$1:$1,0)-MATCH($A$1,[2]characters!$1:$1,0)+1),MATCH(I$1,[2]characters!$1:$1,0)-MATCH($A$1,[2]characters!$1:$1,0)+1,FALSE)</f>
        <v>red</v>
      </c>
      <c r="J68" s="14">
        <f ca="1">VLOOKUP(I68,[2]属性!$A:$E,2,FALSE)</f>
        <v>1</v>
      </c>
      <c r="K68" s="14">
        <f ca="1">VLOOKUP(I68,[2]属性!$A:$E,3,FALSE)</f>
        <v>1.02</v>
      </c>
      <c r="L68" s="14">
        <f ca="1">VLOOKUP(I68,[2]属性!$A:$E,4,FALSE)</f>
        <v>1</v>
      </c>
      <c r="M68" s="14">
        <f ca="1">VLOOKUP(I68,[2]属性!$A:$E,5,FALSE)</f>
        <v>0.98</v>
      </c>
      <c r="N68" s="14">
        <f ca="1">INDEX(コスト!$A$1:$I$20,MATCH(H68,コスト!$A$1:$A$20,FALSE),MATCH(G68,コスト!$A$1:$I$1,FALSE))</f>
        <v>14</v>
      </c>
      <c r="O68" s="14">
        <f ca="1">INDEX(レベル!$A$1:$I$21,MATCH(H68,レベル!$A$1:$A$21,FALSE),MATCH(G68,レベル!$A$1:$I$1,FALSE))</f>
        <v>60</v>
      </c>
      <c r="P68" s="63">
        <f t="shared" ca="1" si="14"/>
        <v>60</v>
      </c>
      <c r="Q68" s="77" t="str">
        <f ca="1">VLOOKUP($A68,OFFSET([2]characters!$A$1,0,0,COUNTA([2]characters!$A:$A),MATCH(Q$1,[2]characters!$1:$1,0)-MATCH($A$1,[2]characters!$1:$1,0)+1),MATCH(Q$1,[2]characters!$1:$1,0)-MATCH($A$1,[2]characters!$1:$1,0)+1,FALSE)</f>
        <v>attack</v>
      </c>
      <c r="R68" s="8" t="str">
        <f ca="1">VLOOKUP(Q68,[2]character_type_i18n!$A:$H,3,FALSE)</f>
        <v>攻撃タイプ</v>
      </c>
      <c r="S68" s="14">
        <f ca="1">VLOOKUP(Q68,[2]character_type_i18n!$A:$H,4,FALSE)</f>
        <v>1</v>
      </c>
      <c r="T68" s="14">
        <f ca="1">VLOOKUP(Q68,[2]character_type_i18n!$A:$H,5,FALSE)</f>
        <v>1.33</v>
      </c>
      <c r="U68" s="14">
        <f ca="1">VLOOKUP(Q68,[2]character_type_i18n!$A:$H,6,FALSE)</f>
        <v>1</v>
      </c>
      <c r="V68" s="14">
        <f ca="1">VLOOKUP(Q68,[2]character_type_i18n!$A:$H,7,FALSE)</f>
        <v>0.67</v>
      </c>
      <c r="W68" s="77" t="str">
        <f ca="1">VLOOKUP($A68,OFFSET([2]characters!$A$1,0,0,COUNTA([2]characters!$A:$A),MATCH(W$1,[2]characters!$1:$1,0)-MATCH($A$1,[2]characters!$1:$1,0)+1),MATCH(W$1,[2]characters!$1:$1,0)-MATCH($A$1,[2]characters!$1:$1,0)+1,FALSE)</f>
        <v>animal</v>
      </c>
      <c r="X68" s="8" t="str">
        <f ca="1">VLOOKUP(W68,[2]character_tribe_i18n!$A:$H,3,FALSE)</f>
        <v>アニマル</v>
      </c>
      <c r="Y68" s="77" t="str">
        <f ca="1">VLOOKUP($A68,OFFSET([2]characters!$A$1,0,0,COUNTA([2]characters!$A:$A),MATCH(Y$1,[2]characters!$1:$1,0)-MATCH($A$1,[2]characters!$1:$1,0)+1),MATCH(Y$1,[2]characters!$1:$1,0)-MATCH($A$1,[2]characters!$1:$1,0)+1,FALSE)</f>
        <v>none</v>
      </c>
      <c r="Z68" s="8" t="str">
        <f ca="1">VLOOKUP(Y68,[2]character_tribe_i18n!$A:$H,3,FALSE)</f>
        <v>種族なし</v>
      </c>
      <c r="AA68" s="14">
        <f ca="1">VLOOKUP(W68,[2]character_tribe_i18n!$A:$H,4,FALSE)</f>
        <v>1</v>
      </c>
      <c r="AB68" s="14">
        <f ca="1">VLOOKUP(W68,[2]character_tribe_i18n!$A:$H,5,FALSE)</f>
        <v>1.1000000000000001</v>
      </c>
      <c r="AC68" s="14">
        <f ca="1">VLOOKUP(W68,[2]character_tribe_i18n!$A:$H,6,FALSE)</f>
        <v>1</v>
      </c>
      <c r="AD68" s="14">
        <f ca="1">VLOOKUP(W68,[2]character_tribe_i18n!$A:$H,7,FALSE)</f>
        <v>0.9</v>
      </c>
      <c r="AE68" s="12" t="s">
        <v>102</v>
      </c>
      <c r="AF68" s="85" t="str">
        <f ca="1">IF(AE68="NULL","",VLOOKUP($AE68,OFFSET([2]characters!$A$1,0,0,COUNTA([2]characters!$A:$A),MATCH(AF$1,[2]characters!$1:$1,0)-MATCH($A$1,[2]characters!$1:$1,0)+1),MATCH(AF$1,[2]characters!$1:$1,0)-MATCH($A$1,[2]characters!$1:$1,0)+1,FALSE))</f>
        <v/>
      </c>
      <c r="AG68" s="8">
        <f t="shared" ca="1" si="9"/>
        <v>65</v>
      </c>
      <c r="AH68" s="85" t="str">
        <f ca="1">VLOOKUP($AG68,OFFSET([2]characters!$A$1,0,0,COUNTA([2]characters!$A:$A),MATCH(AH$1,[2]characters!$1:$1,0)-MATCH($A$1,[2]characters!$1:$1,0)+1),MATCH(AH$1,[2]characters!$1:$1,0)-MATCH($A$1,[2]characters!$1:$1,0)+1,FALSE)</f>
        <v>ファイアフォックス</v>
      </c>
      <c r="AI68" s="14" t="str">
        <f>IF(AE68="NULL","NULL",VLOOKUP(G68,ビット!$A$2:$B$7,2))</f>
        <v>NULL</v>
      </c>
      <c r="AJ68" s="9">
        <v>2</v>
      </c>
      <c r="AK68" s="10" t="str">
        <f t="shared" si="10"/>
        <v>普通</v>
      </c>
      <c r="AL68" s="14" t="str">
        <f ca="1">INDEX(経験値!$A$1:$I$20,MATCH(H68,経験値!$A$1:$A$20,FALSE),MATCH(G68,経験値!$A$1:$I$1,FALSE))</f>
        <v>required_exp_150</v>
      </c>
      <c r="AM68" s="11">
        <f ca="1">VLOOKUP(G68,経験値!$A$27:$B$31,2)</f>
        <v>3400</v>
      </c>
      <c r="AN68" s="21">
        <f ca="1">VLOOKUP(G68,ビット!$G$2:$H$7,2)</f>
        <v>600</v>
      </c>
      <c r="AO68" s="64" t="s">
        <v>192</v>
      </c>
      <c r="AP68" s="97">
        <v>300033</v>
      </c>
      <c r="AQ68" s="77" t="e">
        <f ca="1">VLOOKUP($AP68,OFFSET([1]unit_skills!$A$1,0,0,COUNTA([1]unit_skills!$A:$A),MATCH("name",[1]unit_skills!$1:$1,0)-MATCH($AP$1,[1]unit_skills!$1:$1,0)+1),MATCH("name",[1]unit_skills!$1:$1,0)-MATCH($AP$1,[1]unit_skills!$1:$1,0)+1,FALSE)</f>
        <v>#VALUE!</v>
      </c>
      <c r="AR68" s="77" t="e">
        <f ca="1">VLOOKUP($AP68,OFFSET([1]unit_skills!$A$1,0,0,COUNTA([1]unit_skills!$A:$A),MATCH("comment",[1]unit_skills!$1:$1,0)-MATCH($AP$1,[1]unit_skills!$1:$1,0)+1),MATCH("comment",[1]unit_skills!$1:$1,0)-MATCH($AP$1,[1]unit_skills!$1:$1,0)+1,FALSE)</f>
        <v>#VALUE!</v>
      </c>
      <c r="AS68" s="77" t="e">
        <f ca="1">VLOOKUP($AP68,OFFSET([1]unit_skills!$A$1,0,0,COUNTA([1]unit_skills!$A:$A),MATCH(AS$1,[1]unit_skills!$1:$1,0)-MATCH($AP$1,[1]unit_skills!$1:$1,0)+1),MATCH(AS$1,[1]unit_skills!$1:$1,0)-MATCH($AP$1,[1]unit_skills!$1:$1,0)+1,FALSE)</f>
        <v>#VALUE!</v>
      </c>
      <c r="AT68" s="97">
        <v>171103</v>
      </c>
      <c r="AU68" s="77" t="e">
        <f ca="1">VLOOKUP($AT68,OFFSET([1]crash_skills!$A$1,0,0,COUNTA([1]crash_skills!$A:$A),MATCH("name",[1]crash_skills!$1:$1,0)-MATCH($AT$1,[1]crash_skills!$1:$1,0)+1),MATCH("name",[1]crash_skills!$1:$1,0)-MATCH($AT$1,[1]crash_skills!$1:$1,0)+1,FALSE)</f>
        <v>#VALUE!</v>
      </c>
      <c r="AV68" s="77" t="e">
        <f ca="1">VLOOKUP($AT68,OFFSET([1]crash_skills!$A$1,0,0,COUNTA([1]crash_skills!$A:$A),MATCH("comment",[1]crash_skills!$1:$1,0)-MATCH($AT$1,[1]crash_skills!$1:$1,0)+1),MATCH("comment",[1]crash_skills!$1:$1,0)-MATCH($AT$1,[1]crash_skills!$1:$1,0)+1,FALSE)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68" s="77" t="e">
        <f ca="1">VLOOKUP($AT68,OFFSET([1]crash_skills!$A$1,0,0,COUNTA([1]crash_skills!$A:$A),MATCH(AW$1,[1]crash_skills!$1:$1,0)-MATCH($AT$1,[1]crash_skills!$1:$1,0)+1),MATCH(AW$1,[1]crash_skills!$1:$1,0)-MATCH($AT$1,[1]crash_skills!$1:$1,0)+1,FALSE)</f>
        <v>#VALUE!</v>
      </c>
      <c r="AX68" s="81">
        <f ca="1">VLOOKUP($A68,OFFSET([2]characters!$A$1,0,0,COUNTA([2]characters!$A:$A),MATCH(AX$1,[2]characters!$1:$1,0)-MATCH($A$1,[2]characters!$1:$1,0)+1),MATCH(AX$1,[2]characters!$1:$1,0)-MATCH($A$1,[2]characters!$1:$1,0)+1,FALSE)</f>
        <v>3</v>
      </c>
      <c r="AY68" s="19">
        <v>1</v>
      </c>
      <c r="AZ68" s="19">
        <v>1</v>
      </c>
      <c r="BA68" s="19">
        <v>0</v>
      </c>
      <c r="BB68" s="19">
        <v>1</v>
      </c>
      <c r="BC68" s="14">
        <f ca="1">INDEX('RC6SV'!$A$1:$G$20,MATCH(H68,'RC6SV'!$A$1:$A$20,FALSE),MATCH(G68,'RC6SV'!$A$1:$G$1,FALSE))</f>
        <v>5400</v>
      </c>
      <c r="BD68" s="63">
        <f t="shared" ca="1" si="11"/>
        <v>5400</v>
      </c>
      <c r="BE68" s="14">
        <f t="shared" ca="1" si="12"/>
        <v>4200</v>
      </c>
      <c r="BF68" s="14">
        <f t="shared" ca="1" si="13"/>
        <v>1</v>
      </c>
      <c r="BG68" s="20">
        <f ca="1">IF($BE68&lt;=0,ROUND(BK68*0.5,0), ROUND($BE68*S68*AA68*J68*AY68*0.8*[2]ステータス!$B$2,0))</f>
        <v>1680</v>
      </c>
      <c r="BH68" s="20">
        <f ca="1">IF($BE68&lt;=0,ROUND(BL68*0.5,0), ROUND($BE68*T68*AB68*K68*AZ68*0.8*[2]ステータス!$C$2,0))</f>
        <v>1504</v>
      </c>
      <c r="BI68" s="20">
        <f ca="1">IF($BE68&lt;=0,ROUND(BM68*0.5,0), ROUND($BE68*U68*AC68*L68*BA68*0.8*[2]ステータス!$D$2,0))</f>
        <v>0</v>
      </c>
      <c r="BJ68" s="20">
        <f ca="1">IF($BE68&lt;=0,ROUND(BN68*0.5,0), ROUND($BE68*V68*AD68*M68*BB68*0.8*[2]ステータス!$E$2,0))</f>
        <v>496</v>
      </c>
      <c r="BK68" s="14">
        <f ca="1">ROUND(BD68*S68*AA68*J68*AY68*[2]ステータス!$B$2,0)</f>
        <v>2700</v>
      </c>
      <c r="BL68" s="14">
        <f ca="1">ROUND(BD68*T68*AB68*K68*AZ68*[2]ステータス!$C$2,0)</f>
        <v>2417</v>
      </c>
      <c r="BM68" s="14">
        <f ca="1">ROUND(BD68*U68*AC68*L68*BA68*[2]ステータス!$D$2,0)</f>
        <v>0</v>
      </c>
      <c r="BN68" s="14">
        <f ca="1">ROUND(BD68*V68*AD68*M68*BB68*[2]ステータス!$E$2,0)</f>
        <v>798</v>
      </c>
      <c r="BO68" s="13">
        <v>0</v>
      </c>
      <c r="BP68" s="13">
        <v>1</v>
      </c>
      <c r="BQ68" s="13" t="s">
        <v>102</v>
      </c>
      <c r="BR68" s="13">
        <f ca="1">VLOOKUP(H68,ghosts_label!$A$2:$B$19,2,FALSE)</f>
        <v>1</v>
      </c>
    </row>
    <row r="69" spans="1:70" ht="21" customHeight="1" x14ac:dyDescent="0.15">
      <c r="A69" s="14">
        <f t="shared" ca="1" si="8"/>
        <v>68</v>
      </c>
      <c r="B69" s="77" t="str">
        <f ca="1">VLOOKUP($A69,OFFSET([2]characters!$A$1,0,0,COUNTA([2]characters!$A:$A),MATCH(B$1,[2]characters!$1:$1,0)-MATCH($A$1,[2]characters!$1:$1,0)+1),MATCH(B$1,[2]characters!$1:$1,0)-MATCH($A$1,[2]characters!$1:$1,0)+1,FALSE)</f>
        <v>ストール</v>
      </c>
      <c r="C69" s="77" t="str">
        <f ca="1">VLOOKUP($A69,OFFSET([2]characters!$A$1,0,0,COUNTA([2]characters!$A:$A),MATCH(C$1,[2]characters!$1:$1,0)-MATCH($A$1,[2]characters!$1:$1,0)+1),MATCH(C$1,[2]characters!$1:$1,0)-MATCH($A$1,[2]characters!$1:$1,0)+1,FALSE)</f>
        <v>ノーマルクエスト</v>
      </c>
      <c r="D69" s="77" t="str">
        <f ca="1">VLOOKUP($A69,OFFSET([2]characters!$A$1,0,0,COUNTA([2]characters!$A:$A),MATCH(D$1,[2]characters!$1:$1,0)-MATCH($A$1,[2]characters!$1:$1,0)+1),MATCH(D$1,[2]characters!$1:$1,0)-MATCH($A$1,[2]characters!$1:$1,0)+1,FALSE)</f>
        <v>アバター</v>
      </c>
      <c r="E69" s="77" t="str">
        <f ca="1">VLOOKUP($A69,OFFSET([2]characters!$A$1,0,0,COUNTA([2]characters!$A:$A),MATCH(E$1,[2]characters!$1:$1,0)-MATCH($A$1,[2]characters!$1:$1,0)+1),MATCH(E$1,[2]characters!$1:$1,0)-MATCH($A$1,[2]characters!$1:$1,0)+1,FALSE)</f>
        <v>世界観</v>
      </c>
      <c r="F69" s="77" t="str">
        <f ca="1">VLOOKUP($A69,OFFSET([2]characters!$A$1,0,0,COUNTA([2]characters!$A:$A),MATCH(F$1,[2]characters!$1:$1,0)-MATCH($A$1,[2]characters!$1:$1,0)+1),MATCH(F$1,[2]characters!$1:$1,0)-MATCH($A$1,[2]characters!$1:$1,0)+1,FALSE)</f>
        <v>男性</v>
      </c>
      <c r="G69" s="77">
        <f ca="1">VLOOKUP($A69,OFFSET([2]characters!$A$1,0,0,COUNTA([2]characters!$A:$A),MATCH(G$1,[2]characters!$1:$1,0)-MATCH($A$1,[2]characters!$1:$1,0)+1),MATCH(G$1,[2]characters!$1:$1,0)-MATCH($A$1,[2]characters!$1:$1,0)+1,FALSE)</f>
        <v>2</v>
      </c>
      <c r="H69" s="77" t="str">
        <f ca="1">VLOOKUP($A69,OFFSET([2]characters!$A$1,0,0,COUNTA([2]characters!$A:$A),MATCH(H$1,[2]characters!$1:$1,0)-MATCH($A$1,[2]characters!$1:$1,0)+1),MATCH(H$1,[2]characters!$1:$1,0)-MATCH($A$1,[2]characters!$1:$1,0)+1,FALSE)</f>
        <v>Drop1S</v>
      </c>
      <c r="I69" s="77" t="str">
        <f ca="1">VLOOKUP($A69,OFFSET([2]characters!$A$1,0,0,COUNTA([2]characters!$A:$A),MATCH(I$1,[2]characters!$1:$1,0)-MATCH($A$1,[2]characters!$1:$1,0)+1),MATCH(I$1,[2]characters!$1:$1,0)-MATCH($A$1,[2]characters!$1:$1,0)+1,FALSE)</f>
        <v>green</v>
      </c>
      <c r="J69" s="14">
        <f ca="1">VLOOKUP(I69,[2]属性!$A:$E,2,FALSE)</f>
        <v>1.02</v>
      </c>
      <c r="K69" s="14">
        <f ca="1">VLOOKUP(I69,[2]属性!$A:$E,3,FALSE)</f>
        <v>0.98</v>
      </c>
      <c r="L69" s="14">
        <f ca="1">VLOOKUP(I69,[2]属性!$A:$E,4,FALSE)</f>
        <v>1</v>
      </c>
      <c r="M69" s="14">
        <f ca="1">VLOOKUP(I69,[2]属性!$A:$E,5,FALSE)</f>
        <v>1</v>
      </c>
      <c r="N69" s="14">
        <f ca="1">INDEX(コスト!$A$1:$I$20,MATCH(H69,コスト!$A$1:$A$20,FALSE),MATCH(G69,コスト!$A$1:$I$1,FALSE))</f>
        <v>4</v>
      </c>
      <c r="O69" s="14">
        <f ca="1">INDEX(レベル!$A$1:$I$21,MATCH(H69,レベル!$A$1:$A$21,FALSE),MATCH(G69,レベル!$A$1:$I$1,FALSE))</f>
        <v>30</v>
      </c>
      <c r="P69" s="63">
        <f t="shared" ca="1" si="14"/>
        <v>30</v>
      </c>
      <c r="Q69" s="77" t="str">
        <f ca="1">VLOOKUP($A69,OFFSET([2]characters!$A$1,0,0,COUNTA([2]characters!$A:$A),MATCH(Q$1,[2]characters!$1:$1,0)-MATCH($A$1,[2]characters!$1:$1,0)+1),MATCH(Q$1,[2]characters!$1:$1,0)-MATCH($A$1,[2]characters!$1:$1,0)+1,FALSE)</f>
        <v>hp</v>
      </c>
      <c r="R69" s="8" t="str">
        <f ca="1">VLOOKUP(Q69,[2]character_type_i18n!$A:$H,3,FALSE)</f>
        <v>体力タイプ</v>
      </c>
      <c r="S69" s="14">
        <f ca="1">VLOOKUP(Q69,[2]character_type_i18n!$A:$H,4,FALSE)</f>
        <v>1.45</v>
      </c>
      <c r="T69" s="14">
        <f ca="1">VLOOKUP(Q69,[2]character_type_i18n!$A:$H,5,FALSE)</f>
        <v>0.85</v>
      </c>
      <c r="U69" s="14">
        <f ca="1">VLOOKUP(Q69,[2]character_type_i18n!$A:$H,6,FALSE)</f>
        <v>1</v>
      </c>
      <c r="V69" s="14">
        <f ca="1">VLOOKUP(Q69,[2]character_type_i18n!$A:$H,7,FALSE)</f>
        <v>0.7</v>
      </c>
      <c r="W69" s="77" t="str">
        <f ca="1">VLOOKUP($A69,OFFSET([2]characters!$A$1,0,0,COUNTA([2]characters!$A:$A),MATCH(W$1,[2]characters!$1:$1,0)-MATCH($A$1,[2]characters!$1:$1,0)+1),MATCH(W$1,[2]characters!$1:$1,0)-MATCH($A$1,[2]characters!$1:$1,0)+1,FALSE)</f>
        <v>animal</v>
      </c>
      <c r="X69" s="8" t="str">
        <f ca="1">VLOOKUP(W69,[2]character_tribe_i18n!$A:$H,3,FALSE)</f>
        <v>アニマル</v>
      </c>
      <c r="Y69" s="77" t="str">
        <f ca="1">VLOOKUP($A69,OFFSET([2]characters!$A$1,0,0,COUNTA([2]characters!$A:$A),MATCH(Y$1,[2]characters!$1:$1,0)-MATCH($A$1,[2]characters!$1:$1,0)+1),MATCH(Y$1,[2]characters!$1:$1,0)-MATCH($A$1,[2]characters!$1:$1,0)+1,FALSE)</f>
        <v>none</v>
      </c>
      <c r="Z69" s="8" t="str">
        <f ca="1">VLOOKUP(Y69,[2]character_tribe_i18n!$A:$H,3,FALSE)</f>
        <v>種族なし</v>
      </c>
      <c r="AA69" s="14">
        <f ca="1">VLOOKUP(W69,[2]character_tribe_i18n!$A:$H,4,FALSE)</f>
        <v>1</v>
      </c>
      <c r="AB69" s="14">
        <f ca="1">VLOOKUP(W69,[2]character_tribe_i18n!$A:$H,5,FALSE)</f>
        <v>1.1000000000000001</v>
      </c>
      <c r="AC69" s="14">
        <f ca="1">VLOOKUP(W69,[2]character_tribe_i18n!$A:$H,6,FALSE)</f>
        <v>1</v>
      </c>
      <c r="AD69" s="14">
        <f ca="1">VLOOKUP(W69,[2]character_tribe_i18n!$A:$H,7,FALSE)</f>
        <v>0.9</v>
      </c>
      <c r="AE69" s="12">
        <v>69</v>
      </c>
      <c r="AF69" s="85" t="str">
        <f ca="1">IF(AE69="NULL","",VLOOKUP($AE69,OFFSET([2]characters!$A$1,0,0,COUNTA([2]characters!$A:$A),MATCH(AF$1,[2]characters!$1:$1,0)-MATCH($A$1,[2]characters!$1:$1,0)+1),MATCH(AF$1,[2]characters!$1:$1,0)-MATCH($A$1,[2]characters!$1:$1,0)+1,FALSE))</f>
        <v>思想家 ストール</v>
      </c>
      <c r="AG69" s="8">
        <f t="shared" ca="1" si="9"/>
        <v>68</v>
      </c>
      <c r="AH69" s="85" t="str">
        <f ca="1">VLOOKUP($AG69,OFFSET([2]characters!$A$1,0,0,COUNTA([2]characters!$A:$A),MATCH(AH$1,[2]characters!$1:$1,0)-MATCH($A$1,[2]characters!$1:$1,0)+1),MATCH(AH$1,[2]characters!$1:$1,0)-MATCH($A$1,[2]characters!$1:$1,0)+1,FALSE)</f>
        <v>ストール</v>
      </c>
      <c r="AI69" s="14">
        <f ca="1">IF(AE69="NULL","NULL",VLOOKUP(G69,ビット!$A$2:$B$7,2))</f>
        <v>10000</v>
      </c>
      <c r="AJ69" s="9">
        <v>2</v>
      </c>
      <c r="AK69" s="10" t="str">
        <f t="shared" si="10"/>
        <v>普通</v>
      </c>
      <c r="AL69" s="14" t="str">
        <f ca="1">INDEX(経験値!$A$1:$I$20,MATCH(H69,経験値!$A$1:$A$20,FALSE),MATCH(G69,経験値!$A$1:$I$1,FALSE))</f>
        <v>required_exp_150</v>
      </c>
      <c r="AM69" s="11">
        <f ca="1">VLOOKUP(G69,経験値!$A$27:$B$31,2)</f>
        <v>600</v>
      </c>
      <c r="AN69" s="21">
        <f ca="1">VLOOKUP(G69,ビット!$G$2:$H$7,2)</f>
        <v>150</v>
      </c>
      <c r="AO69" s="64" t="s">
        <v>193</v>
      </c>
      <c r="AP69" s="97">
        <v>910001</v>
      </c>
      <c r="AQ69" s="77" t="e">
        <f ca="1">VLOOKUP($AP69,OFFSET([1]unit_skills!$A$1,0,0,COUNTA([1]unit_skills!$A:$A),MATCH("name",[1]unit_skills!$1:$1,0)-MATCH($AP$1,[1]unit_skills!$1:$1,0)+1),MATCH("name",[1]unit_skills!$1:$1,0)-MATCH($AP$1,[1]unit_skills!$1:$1,0)+1,FALSE)</f>
        <v>#VALUE!</v>
      </c>
      <c r="AR69" s="77" t="e">
        <f ca="1">VLOOKUP($AP69,OFFSET([1]unit_skills!$A$1,0,0,COUNTA([1]unit_skills!$A:$A),MATCH("comment",[1]unit_skills!$1:$1,0)-MATCH($AP$1,[1]unit_skills!$1:$1,0)+1),MATCH("comment",[1]unit_skills!$1:$1,0)-MATCH($AP$1,[1]unit_skills!$1:$1,0)+1,FALSE)</f>
        <v>#VALUE!</v>
      </c>
      <c r="AS69" s="77" t="e">
        <f ca="1">VLOOKUP($AP69,OFFSET([1]unit_skills!$A$1,0,0,COUNTA([1]unit_skills!$A:$A),MATCH(AS$1,[1]unit_skills!$1:$1,0)-MATCH($AP$1,[1]unit_skills!$1:$1,0)+1),MATCH(AS$1,[1]unit_skills!$1:$1,0)-MATCH($AP$1,[1]unit_skills!$1:$1,0)+1,FALSE)</f>
        <v>#VALUE!</v>
      </c>
      <c r="AT69" s="97">
        <v>172301</v>
      </c>
      <c r="AU69" s="77" t="e">
        <f ca="1">VLOOKUP($AT69,OFFSET([1]crash_skills!$A$1,0,0,COUNTA([1]crash_skills!$A:$A),MATCH("name",[1]crash_skills!$1:$1,0)-MATCH($AT$1,[1]crash_skills!$1:$1,0)+1),MATCH("name",[1]crash_skills!$1:$1,0)-MATCH($AT$1,[1]crash_skills!$1:$1,0)+1,FALSE)</f>
        <v>#VALUE!</v>
      </c>
      <c r="AV69" s="77" t="e">
        <f ca="1">VLOOKUP($AT69,OFFSET([1]crash_skills!$A$1,0,0,COUNTA([1]crash_skills!$A:$A),MATCH("comment",[1]crash_skills!$1:$1,0)-MATCH($AT$1,[1]crash_skills!$1:$1,0)+1),MATCH("comment",[1]crash_skills!$1:$1,0)-MATCH($AT$1,[1]crash_skills!$1:$1,0)+1,FALSE)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69" s="77" t="e">
        <f ca="1">VLOOKUP($AT69,OFFSET([1]crash_skills!$A$1,0,0,COUNTA([1]crash_skills!$A:$A),MATCH(AW$1,[1]crash_skills!$1:$1,0)-MATCH($AT$1,[1]crash_skills!$1:$1,0)+1),MATCH(AW$1,[1]crash_skills!$1:$1,0)-MATCH($AT$1,[1]crash_skills!$1:$1,0)+1,FALSE)</f>
        <v>#VALUE!</v>
      </c>
      <c r="AX69" s="81">
        <f ca="1">VLOOKUP($A69,OFFSET([2]characters!$A$1,0,0,COUNTA([2]characters!$A:$A),MATCH(AX$1,[2]characters!$1:$1,0)-MATCH($A$1,[2]characters!$1:$1,0)+1),MATCH(AX$1,[2]characters!$1:$1,0)-MATCH($A$1,[2]characters!$1:$1,0)+1,FALSE)</f>
        <v>3</v>
      </c>
      <c r="AY69" s="19">
        <v>1</v>
      </c>
      <c r="AZ69" s="19">
        <v>1</v>
      </c>
      <c r="BA69" s="19">
        <v>0</v>
      </c>
      <c r="BB69" s="19">
        <v>1</v>
      </c>
      <c r="BC69" s="14">
        <f ca="1">INDEX('RC6SV'!$A$1:$G$20,MATCH(H69,'RC6SV'!$A$1:$A$20,FALSE),MATCH(G69,'RC6SV'!$A$1:$G$1,FALSE))</f>
        <v>3000</v>
      </c>
      <c r="BD69" s="63">
        <f t="shared" ca="1" si="11"/>
        <v>3000</v>
      </c>
      <c r="BE69" s="14">
        <f t="shared" ca="1" si="12"/>
        <v>0</v>
      </c>
      <c r="BF69" s="14">
        <f t="shared" ca="1" si="13"/>
        <v>1</v>
      </c>
      <c r="BG69" s="20">
        <f ca="1">IF($BE69&lt;=0,ROUND(BK69*0.5,0), ROUND($BE69*S69*AA69*J69*AY69*0.8*[2]ステータス!$B$2,0))</f>
        <v>1110</v>
      </c>
      <c r="BH69" s="20">
        <f ca="1">IF($BE69&lt;=0,ROUND(BL69*0.5,0), ROUND($BE69*T69*AB69*K69*AZ69*0.8*[2]ステータス!$C$2,0))</f>
        <v>413</v>
      </c>
      <c r="BI69" s="20">
        <f ca="1">IF($BE69&lt;=0,ROUND(BM69*0.5,0), ROUND($BE69*U69*AC69*L69*BA69*0.8*[2]ステータス!$D$2,0))</f>
        <v>0</v>
      </c>
      <c r="BJ69" s="20">
        <f ca="1">IF($BE69&lt;=0,ROUND(BN69*0.5,0), ROUND($BE69*V69*AD69*M69*BB69*0.8*[2]ステータス!$E$2,0))</f>
        <v>237</v>
      </c>
      <c r="BK69" s="14">
        <f ca="1">ROUND(BD69*S69*AA69*J69*AY69*[2]ステータス!$B$2,0)</f>
        <v>2219</v>
      </c>
      <c r="BL69" s="14">
        <f ca="1">ROUND(BD69*T69*AB69*K69*AZ69*[2]ステータス!$C$2,0)</f>
        <v>825</v>
      </c>
      <c r="BM69" s="14">
        <f ca="1">ROUND(BD69*U69*AC69*L69*BA69*[2]ステータス!$D$2,0)</f>
        <v>0</v>
      </c>
      <c r="BN69" s="14">
        <f ca="1">ROUND(BD69*V69*AD69*M69*BB69*[2]ステータス!$E$2,0)</f>
        <v>473</v>
      </c>
      <c r="BO69" s="13">
        <v>0</v>
      </c>
      <c r="BP69" s="13">
        <v>1</v>
      </c>
      <c r="BQ69" s="13" t="s">
        <v>102</v>
      </c>
      <c r="BR69" s="13">
        <f ca="1">VLOOKUP(H69,ghosts_label!$A$2:$B$19,2,FALSE)</f>
        <v>1</v>
      </c>
    </row>
    <row r="70" spans="1:70" ht="21" customHeight="1" x14ac:dyDescent="0.15">
      <c r="A70" s="14">
        <f t="shared" ca="1" si="8"/>
        <v>69</v>
      </c>
      <c r="B70" s="77" t="str">
        <f ca="1">VLOOKUP($A70,OFFSET([2]characters!$A$1,0,0,COUNTA([2]characters!$A:$A),MATCH(B$1,[2]characters!$1:$1,0)-MATCH($A$1,[2]characters!$1:$1,0)+1),MATCH(B$1,[2]characters!$1:$1,0)-MATCH($A$1,[2]characters!$1:$1,0)+1,FALSE)</f>
        <v>思想家 ストール</v>
      </c>
      <c r="C70" s="77" t="str">
        <f ca="1">VLOOKUP($A70,OFFSET([2]characters!$A$1,0,0,COUNTA([2]characters!$A:$A),MATCH(C$1,[2]characters!$1:$1,0)-MATCH($A$1,[2]characters!$1:$1,0)+1),MATCH(C$1,[2]characters!$1:$1,0)-MATCH($A$1,[2]characters!$1:$1,0)+1,FALSE)</f>
        <v>ノーマルクエスト</v>
      </c>
      <c r="D70" s="77" t="str">
        <f ca="1">VLOOKUP($A70,OFFSET([2]characters!$A$1,0,0,COUNTA([2]characters!$A:$A),MATCH(D$1,[2]characters!$1:$1,0)-MATCH($A$1,[2]characters!$1:$1,0)+1),MATCH(D$1,[2]characters!$1:$1,0)-MATCH($A$1,[2]characters!$1:$1,0)+1,FALSE)</f>
        <v>アバター</v>
      </c>
      <c r="E70" s="77" t="str">
        <f ca="1">VLOOKUP($A70,OFFSET([2]characters!$A$1,0,0,COUNTA([2]characters!$A:$A),MATCH(E$1,[2]characters!$1:$1,0)-MATCH($A$1,[2]characters!$1:$1,0)+1),MATCH(E$1,[2]characters!$1:$1,0)-MATCH($A$1,[2]characters!$1:$1,0)+1,FALSE)</f>
        <v>世界観</v>
      </c>
      <c r="F70" s="77" t="str">
        <f ca="1">VLOOKUP($A70,OFFSET([2]characters!$A$1,0,0,COUNTA([2]characters!$A:$A),MATCH(F$1,[2]characters!$1:$1,0)-MATCH($A$1,[2]characters!$1:$1,0)+1),MATCH(F$1,[2]characters!$1:$1,0)-MATCH($A$1,[2]characters!$1:$1,0)+1,FALSE)</f>
        <v>男性</v>
      </c>
      <c r="G70" s="77">
        <f ca="1">VLOOKUP($A70,OFFSET([2]characters!$A$1,0,0,COUNTA([2]characters!$A:$A),MATCH(G$1,[2]characters!$1:$1,0)-MATCH($A$1,[2]characters!$1:$1,0)+1),MATCH(G$1,[2]characters!$1:$1,0)-MATCH($A$1,[2]characters!$1:$1,0)+1,FALSE)</f>
        <v>3</v>
      </c>
      <c r="H70" s="77" t="str">
        <f ca="1">VLOOKUP($A70,OFFSET([2]characters!$A$1,0,0,COUNTA([2]characters!$A:$A),MATCH(H$1,[2]characters!$1:$1,0)-MATCH($A$1,[2]characters!$1:$1,0)+1),MATCH(H$1,[2]characters!$1:$1,0)-MATCH($A$1,[2]characters!$1:$1,0)+1,FALSE)</f>
        <v>Drop1S</v>
      </c>
      <c r="I70" s="77" t="str">
        <f ca="1">VLOOKUP($A70,OFFSET([2]characters!$A$1,0,0,COUNTA([2]characters!$A:$A),MATCH(I$1,[2]characters!$1:$1,0)-MATCH($A$1,[2]characters!$1:$1,0)+1),MATCH(I$1,[2]characters!$1:$1,0)-MATCH($A$1,[2]characters!$1:$1,0)+1,FALSE)</f>
        <v>green</v>
      </c>
      <c r="J70" s="14">
        <f ca="1">VLOOKUP(I70,[2]属性!$A:$E,2,FALSE)</f>
        <v>1.02</v>
      </c>
      <c r="K70" s="14">
        <f ca="1">VLOOKUP(I70,[2]属性!$A:$E,3,FALSE)</f>
        <v>0.98</v>
      </c>
      <c r="L70" s="14">
        <f ca="1">VLOOKUP(I70,[2]属性!$A:$E,4,FALSE)</f>
        <v>1</v>
      </c>
      <c r="M70" s="14">
        <f ca="1">VLOOKUP(I70,[2]属性!$A:$E,5,FALSE)</f>
        <v>1</v>
      </c>
      <c r="N70" s="14">
        <f ca="1">INDEX(コスト!$A$1:$I$20,MATCH(H70,コスト!$A$1:$A$20,FALSE),MATCH(G70,コスト!$A$1:$I$1,FALSE))</f>
        <v>6</v>
      </c>
      <c r="O70" s="14">
        <f ca="1">INDEX(レベル!$A$1:$I$21,MATCH(H70,レベル!$A$1:$A$21,FALSE),MATCH(G70,レベル!$A$1:$I$1,FALSE))</f>
        <v>40</v>
      </c>
      <c r="P70" s="63">
        <f t="shared" ca="1" si="14"/>
        <v>45</v>
      </c>
      <c r="Q70" s="77" t="str">
        <f ca="1">VLOOKUP($A70,OFFSET([2]characters!$A$1,0,0,COUNTA([2]characters!$A:$A),MATCH(Q$1,[2]characters!$1:$1,0)-MATCH($A$1,[2]characters!$1:$1,0)+1),MATCH(Q$1,[2]characters!$1:$1,0)-MATCH($A$1,[2]characters!$1:$1,0)+1,FALSE)</f>
        <v>hp</v>
      </c>
      <c r="R70" s="8" t="str">
        <f ca="1">VLOOKUP(Q70,[2]character_type_i18n!$A:$H,3,FALSE)</f>
        <v>体力タイプ</v>
      </c>
      <c r="S70" s="14">
        <f ca="1">VLOOKUP(Q70,[2]character_type_i18n!$A:$H,4,FALSE)</f>
        <v>1.45</v>
      </c>
      <c r="T70" s="14">
        <f ca="1">VLOOKUP(Q70,[2]character_type_i18n!$A:$H,5,FALSE)</f>
        <v>0.85</v>
      </c>
      <c r="U70" s="14">
        <f ca="1">VLOOKUP(Q70,[2]character_type_i18n!$A:$H,6,FALSE)</f>
        <v>1</v>
      </c>
      <c r="V70" s="14">
        <f ca="1">VLOOKUP(Q70,[2]character_type_i18n!$A:$H,7,FALSE)</f>
        <v>0.7</v>
      </c>
      <c r="W70" s="77" t="str">
        <f ca="1">VLOOKUP($A70,OFFSET([2]characters!$A$1,0,0,COUNTA([2]characters!$A:$A),MATCH(W$1,[2]characters!$1:$1,0)-MATCH($A$1,[2]characters!$1:$1,0)+1),MATCH(W$1,[2]characters!$1:$1,0)-MATCH($A$1,[2]characters!$1:$1,0)+1,FALSE)</f>
        <v>animal</v>
      </c>
      <c r="X70" s="8" t="str">
        <f ca="1">VLOOKUP(W70,[2]character_tribe_i18n!$A:$H,3,FALSE)</f>
        <v>アニマル</v>
      </c>
      <c r="Y70" s="77" t="str">
        <f ca="1">VLOOKUP($A70,OFFSET([2]characters!$A$1,0,0,COUNTA([2]characters!$A:$A),MATCH(Y$1,[2]characters!$1:$1,0)-MATCH($A$1,[2]characters!$1:$1,0)+1),MATCH(Y$1,[2]characters!$1:$1,0)-MATCH($A$1,[2]characters!$1:$1,0)+1,FALSE)</f>
        <v>none</v>
      </c>
      <c r="Z70" s="8" t="str">
        <f ca="1">VLOOKUP(Y70,[2]character_tribe_i18n!$A:$H,3,FALSE)</f>
        <v>種族なし</v>
      </c>
      <c r="AA70" s="14">
        <f ca="1">VLOOKUP(W70,[2]character_tribe_i18n!$A:$H,4,FALSE)</f>
        <v>1</v>
      </c>
      <c r="AB70" s="14">
        <f ca="1">VLOOKUP(W70,[2]character_tribe_i18n!$A:$H,5,FALSE)</f>
        <v>1.1000000000000001</v>
      </c>
      <c r="AC70" s="14">
        <f ca="1">VLOOKUP(W70,[2]character_tribe_i18n!$A:$H,6,FALSE)</f>
        <v>1</v>
      </c>
      <c r="AD70" s="14">
        <f ca="1">VLOOKUP(W70,[2]character_tribe_i18n!$A:$H,7,FALSE)</f>
        <v>0.9</v>
      </c>
      <c r="AE70" s="12">
        <v>70</v>
      </c>
      <c r="AF70" s="85" t="str">
        <f ca="1">IF(AE70="NULL","",VLOOKUP($AE70,OFFSET([2]characters!$A$1,0,0,COUNTA([2]characters!$A:$A),MATCH(AF$1,[2]characters!$1:$1,0)-MATCH($A$1,[2]characters!$1:$1,0)+1),MATCH(AF$1,[2]characters!$1:$1,0)-MATCH($A$1,[2]characters!$1:$1,0)+1,FALSE))</f>
        <v>自由の思想家 ストール</v>
      </c>
      <c r="AG70" s="8">
        <f t="shared" ca="1" si="9"/>
        <v>68</v>
      </c>
      <c r="AH70" s="85" t="str">
        <f ca="1">VLOOKUP($AG70,OFFSET([2]characters!$A$1,0,0,COUNTA([2]characters!$A:$A),MATCH(AH$1,[2]characters!$1:$1,0)-MATCH($A$1,[2]characters!$1:$1,0)+1),MATCH(AH$1,[2]characters!$1:$1,0)-MATCH($A$1,[2]characters!$1:$1,0)+1,FALSE)</f>
        <v>ストール</v>
      </c>
      <c r="AI70" s="14">
        <f ca="1">IF(AE70="NULL","NULL",VLOOKUP(G70,ビット!$A$2:$B$7,2))</f>
        <v>20000</v>
      </c>
      <c r="AJ70" s="9">
        <v>2</v>
      </c>
      <c r="AK70" s="10" t="str">
        <f t="shared" si="10"/>
        <v>普通</v>
      </c>
      <c r="AL70" s="14" t="str">
        <f ca="1">INDEX(経験値!$A$1:$I$20,MATCH(H70,経験値!$A$1:$A$20,FALSE),MATCH(G70,経験値!$A$1:$I$1,FALSE))</f>
        <v>required_exp_150</v>
      </c>
      <c r="AM70" s="11">
        <f ca="1">VLOOKUP(G70,経験値!$A$27:$B$31,2)</f>
        <v>1500</v>
      </c>
      <c r="AN70" s="21">
        <f ca="1">VLOOKUP(G70,ビット!$G$2:$H$7,2)</f>
        <v>300</v>
      </c>
      <c r="AO70" s="64" t="s">
        <v>193</v>
      </c>
      <c r="AP70" s="97">
        <v>910002</v>
      </c>
      <c r="AQ70" s="77" t="e">
        <f ca="1">VLOOKUP($AP70,OFFSET([1]unit_skills!$A$1,0,0,COUNTA([1]unit_skills!$A:$A),MATCH("name",[1]unit_skills!$1:$1,0)-MATCH($AP$1,[1]unit_skills!$1:$1,0)+1),MATCH("name",[1]unit_skills!$1:$1,0)-MATCH($AP$1,[1]unit_skills!$1:$1,0)+1,FALSE)</f>
        <v>#VALUE!</v>
      </c>
      <c r="AR70" s="77" t="e">
        <f ca="1">VLOOKUP($AP70,OFFSET([1]unit_skills!$A$1,0,0,COUNTA([1]unit_skills!$A:$A),MATCH("comment",[1]unit_skills!$1:$1,0)-MATCH($AP$1,[1]unit_skills!$1:$1,0)+1),MATCH("comment",[1]unit_skills!$1:$1,0)-MATCH($AP$1,[1]unit_skills!$1:$1,0)+1,FALSE)</f>
        <v>#VALUE!</v>
      </c>
      <c r="AS70" s="77" t="e">
        <f ca="1">VLOOKUP($AP70,OFFSET([1]unit_skills!$A$1,0,0,COUNTA([1]unit_skills!$A:$A),MATCH(AS$1,[1]unit_skills!$1:$1,0)-MATCH($AP$1,[1]unit_skills!$1:$1,0)+1),MATCH(AS$1,[1]unit_skills!$1:$1,0)-MATCH($AP$1,[1]unit_skills!$1:$1,0)+1,FALSE)</f>
        <v>#VALUE!</v>
      </c>
      <c r="AT70" s="97">
        <v>172302</v>
      </c>
      <c r="AU70" s="77" t="e">
        <f ca="1">VLOOKUP($AT70,OFFSET([1]crash_skills!$A$1,0,0,COUNTA([1]crash_skills!$A:$A),MATCH("name",[1]crash_skills!$1:$1,0)-MATCH($AT$1,[1]crash_skills!$1:$1,0)+1),MATCH("name",[1]crash_skills!$1:$1,0)-MATCH($AT$1,[1]crash_skills!$1:$1,0)+1,FALSE)</f>
        <v>#VALUE!</v>
      </c>
      <c r="AV70" s="77" t="e">
        <f ca="1">VLOOKUP($AT70,OFFSET([1]crash_skills!$A$1,0,0,COUNTA([1]crash_skills!$A:$A),MATCH("comment",[1]crash_skills!$1:$1,0)-MATCH($AT$1,[1]crash_skills!$1:$1,0)+1),MATCH("comment",[1]crash_skills!$1:$1,0)-MATCH($AT$1,[1]crash_skills!$1:$1,0)+1,FALSE)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70" s="77" t="e">
        <f ca="1">VLOOKUP($AT70,OFFSET([1]crash_skills!$A$1,0,0,COUNTA([1]crash_skills!$A:$A),MATCH(AW$1,[1]crash_skills!$1:$1,0)-MATCH($AT$1,[1]crash_skills!$1:$1,0)+1),MATCH(AW$1,[1]crash_skills!$1:$1,0)-MATCH($AT$1,[1]crash_skills!$1:$1,0)+1,FALSE)</f>
        <v>#VALUE!</v>
      </c>
      <c r="AX70" s="81">
        <f ca="1">VLOOKUP($A70,OFFSET([2]characters!$A$1,0,0,COUNTA([2]characters!$A:$A),MATCH(AX$1,[2]characters!$1:$1,0)-MATCH($A$1,[2]characters!$1:$1,0)+1),MATCH(AX$1,[2]characters!$1:$1,0)-MATCH($A$1,[2]characters!$1:$1,0)+1,FALSE)</f>
        <v>3</v>
      </c>
      <c r="AY70" s="19">
        <v>1</v>
      </c>
      <c r="AZ70" s="19">
        <v>1</v>
      </c>
      <c r="BA70" s="19">
        <v>0</v>
      </c>
      <c r="BB70" s="19">
        <v>1</v>
      </c>
      <c r="BC70" s="14">
        <f ca="1">INDEX('RC6SV'!$A$1:$G$20,MATCH(H70,'RC6SV'!$A$1:$A$20,FALSE),MATCH(G70,'RC6SV'!$A$1:$G$1,FALSE))</f>
        <v>4200</v>
      </c>
      <c r="BD70" s="63">
        <f t="shared" ca="1" si="11"/>
        <v>4200</v>
      </c>
      <c r="BE70" s="14">
        <f t="shared" ca="1" si="12"/>
        <v>3000</v>
      </c>
      <c r="BF70" s="14">
        <f t="shared" ca="1" si="13"/>
        <v>1</v>
      </c>
      <c r="BG70" s="20">
        <f ca="1">IF($BE70&lt;=0,ROUND(BK70*0.5,0), ROUND($BE70*S70*AA70*J70*AY70*0.8*[2]ステータス!$B$2,0))</f>
        <v>1775</v>
      </c>
      <c r="BH70" s="20">
        <f ca="1">IF($BE70&lt;=0,ROUND(BL70*0.5,0), ROUND($BE70*T70*AB70*K70*AZ70*0.8*[2]ステータス!$C$2,0))</f>
        <v>660</v>
      </c>
      <c r="BI70" s="20">
        <f ca="1">IF($BE70&lt;=0,ROUND(BM70*0.5,0), ROUND($BE70*U70*AC70*L70*BA70*0.8*[2]ステータス!$D$2,0))</f>
        <v>0</v>
      </c>
      <c r="BJ70" s="20">
        <f ca="1">IF($BE70&lt;=0,ROUND(BN70*0.5,0), ROUND($BE70*V70*AD70*M70*BB70*0.8*[2]ステータス!$E$2,0))</f>
        <v>378</v>
      </c>
      <c r="BK70" s="14">
        <f ca="1">ROUND(BD70*S70*AA70*J70*AY70*[2]ステータス!$B$2,0)</f>
        <v>3106</v>
      </c>
      <c r="BL70" s="14">
        <f ca="1">ROUND(BD70*T70*AB70*K70*AZ70*[2]ステータス!$C$2,0)</f>
        <v>1155</v>
      </c>
      <c r="BM70" s="14">
        <f ca="1">ROUND(BD70*U70*AC70*L70*BA70*[2]ステータス!$D$2,0)</f>
        <v>0</v>
      </c>
      <c r="BN70" s="14">
        <f ca="1">ROUND(BD70*V70*AD70*M70*BB70*[2]ステータス!$E$2,0)</f>
        <v>662</v>
      </c>
      <c r="BO70" s="13">
        <v>0</v>
      </c>
      <c r="BP70" s="13">
        <v>1</v>
      </c>
      <c r="BQ70" s="13" t="s">
        <v>102</v>
      </c>
      <c r="BR70" s="13">
        <f ca="1">VLOOKUP(H70,ghosts_label!$A$2:$B$19,2,FALSE)</f>
        <v>1</v>
      </c>
    </row>
    <row r="71" spans="1:70" ht="21" customHeight="1" x14ac:dyDescent="0.15">
      <c r="A71" s="14">
        <f t="shared" ca="1" si="8"/>
        <v>70</v>
      </c>
      <c r="B71" s="77" t="str">
        <f ca="1">VLOOKUP($A71,OFFSET([2]characters!$A$1,0,0,COUNTA([2]characters!$A:$A),MATCH(B$1,[2]characters!$1:$1,0)-MATCH($A$1,[2]characters!$1:$1,0)+1),MATCH(B$1,[2]characters!$1:$1,0)-MATCH($A$1,[2]characters!$1:$1,0)+1,FALSE)</f>
        <v>自由の思想家 ストール</v>
      </c>
      <c r="C71" s="77" t="str">
        <f ca="1">VLOOKUP($A71,OFFSET([2]characters!$A$1,0,0,COUNTA([2]characters!$A:$A),MATCH(C$1,[2]characters!$1:$1,0)-MATCH($A$1,[2]characters!$1:$1,0)+1),MATCH(C$1,[2]characters!$1:$1,0)-MATCH($A$1,[2]characters!$1:$1,0)+1,FALSE)</f>
        <v>ノーマルクエスト</v>
      </c>
      <c r="D71" s="77" t="str">
        <f ca="1">VLOOKUP($A71,OFFSET([2]characters!$A$1,0,0,COUNTA([2]characters!$A:$A),MATCH(D$1,[2]characters!$1:$1,0)-MATCH($A$1,[2]characters!$1:$1,0)+1),MATCH(D$1,[2]characters!$1:$1,0)-MATCH($A$1,[2]characters!$1:$1,0)+1,FALSE)</f>
        <v>アバター</v>
      </c>
      <c r="E71" s="77" t="str">
        <f ca="1">VLOOKUP($A71,OFFSET([2]characters!$A$1,0,0,COUNTA([2]characters!$A:$A),MATCH(E$1,[2]characters!$1:$1,0)-MATCH($A$1,[2]characters!$1:$1,0)+1),MATCH(E$1,[2]characters!$1:$1,0)-MATCH($A$1,[2]characters!$1:$1,0)+1,FALSE)</f>
        <v>世界観</v>
      </c>
      <c r="F71" s="77" t="str">
        <f ca="1">VLOOKUP($A71,OFFSET([2]characters!$A$1,0,0,COUNTA([2]characters!$A:$A),MATCH(F$1,[2]characters!$1:$1,0)-MATCH($A$1,[2]characters!$1:$1,0)+1),MATCH(F$1,[2]characters!$1:$1,0)-MATCH($A$1,[2]characters!$1:$1,0)+1,FALSE)</f>
        <v>男性</v>
      </c>
      <c r="G71" s="77">
        <f ca="1">VLOOKUP($A71,OFFSET([2]characters!$A$1,0,0,COUNTA([2]characters!$A:$A),MATCH(G$1,[2]characters!$1:$1,0)-MATCH($A$1,[2]characters!$1:$1,0)+1),MATCH(G$1,[2]characters!$1:$1,0)-MATCH($A$1,[2]characters!$1:$1,0)+1,FALSE)</f>
        <v>4</v>
      </c>
      <c r="H71" s="77" t="str">
        <f ca="1">VLOOKUP($A71,OFFSET([2]characters!$A$1,0,0,COUNTA([2]characters!$A:$A),MATCH(H$1,[2]characters!$1:$1,0)-MATCH($A$1,[2]characters!$1:$1,0)+1),MATCH(H$1,[2]characters!$1:$1,0)-MATCH($A$1,[2]characters!$1:$1,0)+1,FALSE)</f>
        <v>Drop1S</v>
      </c>
      <c r="I71" s="77" t="str">
        <f ca="1">VLOOKUP($A71,OFFSET([2]characters!$A$1,0,0,COUNTA([2]characters!$A:$A),MATCH(I$1,[2]characters!$1:$1,0)-MATCH($A$1,[2]characters!$1:$1,0)+1),MATCH(I$1,[2]characters!$1:$1,0)-MATCH($A$1,[2]characters!$1:$1,0)+1,FALSE)</f>
        <v>green</v>
      </c>
      <c r="J71" s="14">
        <f ca="1">VLOOKUP(I71,[2]属性!$A:$E,2,FALSE)</f>
        <v>1.02</v>
      </c>
      <c r="K71" s="14">
        <f ca="1">VLOOKUP(I71,[2]属性!$A:$E,3,FALSE)</f>
        <v>0.98</v>
      </c>
      <c r="L71" s="14">
        <f ca="1">VLOOKUP(I71,[2]属性!$A:$E,4,FALSE)</f>
        <v>1</v>
      </c>
      <c r="M71" s="14">
        <f ca="1">VLOOKUP(I71,[2]属性!$A:$E,5,FALSE)</f>
        <v>1</v>
      </c>
      <c r="N71" s="14">
        <f ca="1">INDEX(コスト!$A$1:$I$20,MATCH(H71,コスト!$A$1:$A$20,FALSE),MATCH(G71,コスト!$A$1:$I$1,FALSE))</f>
        <v>14</v>
      </c>
      <c r="O71" s="14">
        <f ca="1">INDEX(レベル!$A$1:$I$21,MATCH(H71,レベル!$A$1:$A$21,FALSE),MATCH(G71,レベル!$A$1:$I$1,FALSE))</f>
        <v>60</v>
      </c>
      <c r="P71" s="63">
        <f t="shared" ca="1" si="14"/>
        <v>60</v>
      </c>
      <c r="Q71" s="77" t="str">
        <f ca="1">VLOOKUP($A71,OFFSET([2]characters!$A$1,0,0,COUNTA([2]characters!$A:$A),MATCH(Q$1,[2]characters!$1:$1,0)-MATCH($A$1,[2]characters!$1:$1,0)+1),MATCH(Q$1,[2]characters!$1:$1,0)-MATCH($A$1,[2]characters!$1:$1,0)+1,FALSE)</f>
        <v>hp</v>
      </c>
      <c r="R71" s="8" t="str">
        <f ca="1">VLOOKUP(Q71,[2]character_type_i18n!$A:$H,3,FALSE)</f>
        <v>体力タイプ</v>
      </c>
      <c r="S71" s="14">
        <f ca="1">VLOOKUP(Q71,[2]character_type_i18n!$A:$H,4,FALSE)</f>
        <v>1.45</v>
      </c>
      <c r="T71" s="14">
        <f ca="1">VLOOKUP(Q71,[2]character_type_i18n!$A:$H,5,FALSE)</f>
        <v>0.85</v>
      </c>
      <c r="U71" s="14">
        <f ca="1">VLOOKUP(Q71,[2]character_type_i18n!$A:$H,6,FALSE)</f>
        <v>1</v>
      </c>
      <c r="V71" s="14">
        <f ca="1">VLOOKUP(Q71,[2]character_type_i18n!$A:$H,7,FALSE)</f>
        <v>0.7</v>
      </c>
      <c r="W71" s="77" t="str">
        <f ca="1">VLOOKUP($A71,OFFSET([2]characters!$A$1,0,0,COUNTA([2]characters!$A:$A),MATCH(W$1,[2]characters!$1:$1,0)-MATCH($A$1,[2]characters!$1:$1,0)+1),MATCH(W$1,[2]characters!$1:$1,0)-MATCH($A$1,[2]characters!$1:$1,0)+1,FALSE)</f>
        <v>animal</v>
      </c>
      <c r="X71" s="8" t="str">
        <f ca="1">VLOOKUP(W71,[2]character_tribe_i18n!$A:$H,3,FALSE)</f>
        <v>アニマル</v>
      </c>
      <c r="Y71" s="77" t="str">
        <f ca="1">VLOOKUP($A71,OFFSET([2]characters!$A$1,0,0,COUNTA([2]characters!$A:$A),MATCH(Y$1,[2]characters!$1:$1,0)-MATCH($A$1,[2]characters!$1:$1,0)+1),MATCH(Y$1,[2]characters!$1:$1,0)-MATCH($A$1,[2]characters!$1:$1,0)+1,FALSE)</f>
        <v>none</v>
      </c>
      <c r="Z71" s="8" t="str">
        <f ca="1">VLOOKUP(Y71,[2]character_tribe_i18n!$A:$H,3,FALSE)</f>
        <v>種族なし</v>
      </c>
      <c r="AA71" s="14">
        <f ca="1">VLOOKUP(W71,[2]character_tribe_i18n!$A:$H,4,FALSE)</f>
        <v>1</v>
      </c>
      <c r="AB71" s="14">
        <f ca="1">VLOOKUP(W71,[2]character_tribe_i18n!$A:$H,5,FALSE)</f>
        <v>1.1000000000000001</v>
      </c>
      <c r="AC71" s="14">
        <f ca="1">VLOOKUP(W71,[2]character_tribe_i18n!$A:$H,6,FALSE)</f>
        <v>1</v>
      </c>
      <c r="AD71" s="14">
        <f ca="1">VLOOKUP(W71,[2]character_tribe_i18n!$A:$H,7,FALSE)</f>
        <v>0.9</v>
      </c>
      <c r="AE71" s="12" t="s">
        <v>102</v>
      </c>
      <c r="AF71" s="85" t="str">
        <f ca="1">IF(AE71="NULL","",VLOOKUP($AE71,OFFSET([2]characters!$A$1,0,0,COUNTA([2]characters!$A:$A),MATCH(AF$1,[2]characters!$1:$1,0)-MATCH($A$1,[2]characters!$1:$1,0)+1),MATCH(AF$1,[2]characters!$1:$1,0)-MATCH($A$1,[2]characters!$1:$1,0)+1,FALSE))</f>
        <v/>
      </c>
      <c r="AG71" s="8">
        <f t="shared" ca="1" si="9"/>
        <v>68</v>
      </c>
      <c r="AH71" s="85" t="str">
        <f ca="1">VLOOKUP($AG71,OFFSET([2]characters!$A$1,0,0,COUNTA([2]characters!$A:$A),MATCH(AH$1,[2]characters!$1:$1,0)-MATCH($A$1,[2]characters!$1:$1,0)+1),MATCH(AH$1,[2]characters!$1:$1,0)-MATCH($A$1,[2]characters!$1:$1,0)+1,FALSE)</f>
        <v>ストール</v>
      </c>
      <c r="AI71" s="14" t="str">
        <f>IF(AE71="NULL","NULL",VLOOKUP(G71,ビット!$A$2:$B$7,2))</f>
        <v>NULL</v>
      </c>
      <c r="AJ71" s="9">
        <v>2</v>
      </c>
      <c r="AK71" s="10" t="str">
        <f t="shared" si="10"/>
        <v>普通</v>
      </c>
      <c r="AL71" s="14" t="str">
        <f ca="1">INDEX(経験値!$A$1:$I$20,MATCH(H71,経験値!$A$1:$A$20,FALSE),MATCH(G71,経験値!$A$1:$I$1,FALSE))</f>
        <v>required_exp_150</v>
      </c>
      <c r="AM71" s="11">
        <f ca="1">VLOOKUP(G71,経験値!$A$27:$B$31,2)</f>
        <v>3400</v>
      </c>
      <c r="AN71" s="21">
        <f ca="1">VLOOKUP(G71,ビット!$G$2:$H$7,2)</f>
        <v>600</v>
      </c>
      <c r="AO71" s="64" t="s">
        <v>193</v>
      </c>
      <c r="AP71" s="97">
        <v>910002</v>
      </c>
      <c r="AQ71" s="77" t="e">
        <f ca="1">VLOOKUP($AP71,OFFSET([1]unit_skills!$A$1,0,0,COUNTA([1]unit_skills!$A:$A),MATCH("name",[1]unit_skills!$1:$1,0)-MATCH($AP$1,[1]unit_skills!$1:$1,0)+1),MATCH("name",[1]unit_skills!$1:$1,0)-MATCH($AP$1,[1]unit_skills!$1:$1,0)+1,FALSE)</f>
        <v>#VALUE!</v>
      </c>
      <c r="AR71" s="77" t="e">
        <f ca="1">VLOOKUP($AP71,OFFSET([1]unit_skills!$A$1,0,0,COUNTA([1]unit_skills!$A:$A),MATCH("comment",[1]unit_skills!$1:$1,0)-MATCH($AP$1,[1]unit_skills!$1:$1,0)+1),MATCH("comment",[1]unit_skills!$1:$1,0)-MATCH($AP$1,[1]unit_skills!$1:$1,0)+1,FALSE)</f>
        <v>#VALUE!</v>
      </c>
      <c r="AS71" s="77" t="e">
        <f ca="1">VLOOKUP($AP71,OFFSET([1]unit_skills!$A$1,0,0,COUNTA([1]unit_skills!$A:$A),MATCH(AS$1,[1]unit_skills!$1:$1,0)-MATCH($AP$1,[1]unit_skills!$1:$1,0)+1),MATCH(AS$1,[1]unit_skills!$1:$1,0)-MATCH($AP$1,[1]unit_skills!$1:$1,0)+1,FALSE)</f>
        <v>#VALUE!</v>
      </c>
      <c r="AT71" s="97">
        <v>172303</v>
      </c>
      <c r="AU71" s="77" t="e">
        <f ca="1">VLOOKUP($AT71,OFFSET([1]crash_skills!$A$1,0,0,COUNTA([1]crash_skills!$A:$A),MATCH("name",[1]crash_skills!$1:$1,0)-MATCH($AT$1,[1]crash_skills!$1:$1,0)+1),MATCH("name",[1]crash_skills!$1:$1,0)-MATCH($AT$1,[1]crash_skills!$1:$1,0)+1,FALSE)</f>
        <v>#VALUE!</v>
      </c>
      <c r="AV71" s="77" t="e">
        <f ca="1">VLOOKUP($AT71,OFFSET([1]crash_skills!$A$1,0,0,COUNTA([1]crash_skills!$A:$A),MATCH("comment",[1]crash_skills!$1:$1,0)-MATCH($AT$1,[1]crash_skills!$1:$1,0)+1),MATCH("comment",[1]crash_skills!$1:$1,0)-MATCH($AT$1,[1]crash_skills!$1:$1,0)+1,FALSE)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71" s="77" t="e">
        <f ca="1">VLOOKUP($AT71,OFFSET([1]crash_skills!$A$1,0,0,COUNTA([1]crash_skills!$A:$A),MATCH(AW$1,[1]crash_skills!$1:$1,0)-MATCH($AT$1,[1]crash_skills!$1:$1,0)+1),MATCH(AW$1,[1]crash_skills!$1:$1,0)-MATCH($AT$1,[1]crash_skills!$1:$1,0)+1,FALSE)</f>
        <v>#VALUE!</v>
      </c>
      <c r="AX71" s="81">
        <f ca="1">VLOOKUP($A71,OFFSET([2]characters!$A$1,0,0,COUNTA([2]characters!$A:$A),MATCH(AX$1,[2]characters!$1:$1,0)-MATCH($A$1,[2]characters!$1:$1,0)+1),MATCH(AX$1,[2]characters!$1:$1,0)-MATCH($A$1,[2]characters!$1:$1,0)+1,FALSE)</f>
        <v>3</v>
      </c>
      <c r="AY71" s="19">
        <v>1</v>
      </c>
      <c r="AZ71" s="19">
        <v>1</v>
      </c>
      <c r="BA71" s="19">
        <v>0</v>
      </c>
      <c r="BB71" s="19">
        <v>1</v>
      </c>
      <c r="BC71" s="14">
        <f ca="1">INDEX('RC6SV'!$A$1:$G$20,MATCH(H71,'RC6SV'!$A$1:$A$20,FALSE),MATCH(G71,'RC6SV'!$A$1:$G$1,FALSE))</f>
        <v>5400</v>
      </c>
      <c r="BD71" s="63">
        <f t="shared" ca="1" si="11"/>
        <v>5400</v>
      </c>
      <c r="BE71" s="14">
        <f t="shared" ca="1" si="12"/>
        <v>4200</v>
      </c>
      <c r="BF71" s="14">
        <f t="shared" ca="1" si="13"/>
        <v>1</v>
      </c>
      <c r="BG71" s="20">
        <f ca="1">IF($BE71&lt;=0,ROUND(BK71*0.5,0), ROUND($BE71*S71*AA71*J71*AY71*0.8*[2]ステータス!$B$2,0))</f>
        <v>2485</v>
      </c>
      <c r="BH71" s="20">
        <f ca="1">IF($BE71&lt;=0,ROUND(BL71*0.5,0), ROUND($BE71*T71*AB71*K71*AZ71*0.8*[2]ステータス!$C$2,0))</f>
        <v>924</v>
      </c>
      <c r="BI71" s="20">
        <f ca="1">IF($BE71&lt;=0,ROUND(BM71*0.5,0), ROUND($BE71*U71*AC71*L71*BA71*0.8*[2]ステータス!$D$2,0))</f>
        <v>0</v>
      </c>
      <c r="BJ71" s="20">
        <f ca="1">IF($BE71&lt;=0,ROUND(BN71*0.5,0), ROUND($BE71*V71*AD71*M71*BB71*0.8*[2]ステータス!$E$2,0))</f>
        <v>529</v>
      </c>
      <c r="BK71" s="14">
        <f ca="1">ROUND(BD71*S71*AA71*J71*AY71*[2]ステータス!$B$2,0)</f>
        <v>3993</v>
      </c>
      <c r="BL71" s="14">
        <f ca="1">ROUND(BD71*T71*AB71*K71*AZ71*[2]ステータス!$C$2,0)</f>
        <v>1484</v>
      </c>
      <c r="BM71" s="14">
        <f ca="1">ROUND(BD71*U71*AC71*L71*BA71*[2]ステータス!$D$2,0)</f>
        <v>0</v>
      </c>
      <c r="BN71" s="14">
        <f ca="1">ROUND(BD71*V71*AD71*M71*BB71*[2]ステータス!$E$2,0)</f>
        <v>851</v>
      </c>
      <c r="BO71" s="13">
        <v>0</v>
      </c>
      <c r="BP71" s="13">
        <v>1</v>
      </c>
      <c r="BQ71" s="13" t="s">
        <v>102</v>
      </c>
      <c r="BR71" s="13">
        <f ca="1">VLOOKUP(H71,ghosts_label!$A$2:$B$19,2,FALSE)</f>
        <v>1</v>
      </c>
    </row>
    <row r="72" spans="1:70" ht="21" customHeight="1" x14ac:dyDescent="0.15">
      <c r="A72" s="14">
        <f t="shared" ca="1" si="8"/>
        <v>71</v>
      </c>
      <c r="B72" s="77" t="str">
        <f ca="1">VLOOKUP($A72,OFFSET([2]characters!$A$1,0,0,COUNTA([2]characters!$A:$A),MATCH(B$1,[2]characters!$1:$1,0)-MATCH($A$1,[2]characters!$1:$1,0)+1),MATCH(B$1,[2]characters!$1:$1,0)-MATCH($A$1,[2]characters!$1:$1,0)+1,FALSE)</f>
        <v>ダックス</v>
      </c>
      <c r="C72" s="77" t="str">
        <f ca="1">VLOOKUP($A72,OFFSET([2]characters!$A$1,0,0,COUNTA([2]characters!$A:$A),MATCH(C$1,[2]characters!$1:$1,0)-MATCH($A$1,[2]characters!$1:$1,0)+1),MATCH(C$1,[2]characters!$1:$1,0)-MATCH($A$1,[2]characters!$1:$1,0)+1,FALSE)</f>
        <v>ノーマルクエスト</v>
      </c>
      <c r="D72" s="77" t="str">
        <f ca="1">VLOOKUP($A72,OFFSET([2]characters!$A$1,0,0,COUNTA([2]characters!$A:$A),MATCH(D$1,[2]characters!$1:$1,0)-MATCH($A$1,[2]characters!$1:$1,0)+1),MATCH(D$1,[2]characters!$1:$1,0)-MATCH($A$1,[2]characters!$1:$1,0)+1,FALSE)</f>
        <v>アバター</v>
      </c>
      <c r="E72" s="77" t="str">
        <f ca="1">VLOOKUP($A72,OFFSET([2]characters!$A$1,0,0,COUNTA([2]characters!$A:$A),MATCH(E$1,[2]characters!$1:$1,0)-MATCH($A$1,[2]characters!$1:$1,0)+1),MATCH(E$1,[2]characters!$1:$1,0)-MATCH($A$1,[2]characters!$1:$1,0)+1,FALSE)</f>
        <v>世界観</v>
      </c>
      <c r="F72" s="77" t="str">
        <f ca="1">VLOOKUP($A72,OFFSET([2]characters!$A$1,0,0,COUNTA([2]characters!$A:$A),MATCH(F$1,[2]characters!$1:$1,0)-MATCH($A$1,[2]characters!$1:$1,0)+1),MATCH(F$1,[2]characters!$1:$1,0)-MATCH($A$1,[2]characters!$1:$1,0)+1,FALSE)</f>
        <v>男性</v>
      </c>
      <c r="G72" s="77">
        <f ca="1">VLOOKUP($A72,OFFSET([2]characters!$A$1,0,0,COUNTA([2]characters!$A:$A),MATCH(G$1,[2]characters!$1:$1,0)-MATCH($A$1,[2]characters!$1:$1,0)+1),MATCH(G$1,[2]characters!$1:$1,0)-MATCH($A$1,[2]characters!$1:$1,0)+1,FALSE)</f>
        <v>2</v>
      </c>
      <c r="H72" s="77" t="str">
        <f ca="1">VLOOKUP($A72,OFFSET([2]characters!$A$1,0,0,COUNTA([2]characters!$A:$A),MATCH(H$1,[2]characters!$1:$1,0)-MATCH($A$1,[2]characters!$1:$1,0)+1),MATCH(H$1,[2]characters!$1:$1,0)-MATCH($A$1,[2]characters!$1:$1,0)+1,FALSE)</f>
        <v>Drop1S</v>
      </c>
      <c r="I72" s="77" t="str">
        <f ca="1">VLOOKUP($A72,OFFSET([2]characters!$A$1,0,0,COUNTA([2]characters!$A:$A),MATCH(I$1,[2]characters!$1:$1,0)-MATCH($A$1,[2]characters!$1:$1,0)+1),MATCH(I$1,[2]characters!$1:$1,0)-MATCH($A$1,[2]characters!$1:$1,0)+1,FALSE)</f>
        <v>blue</v>
      </c>
      <c r="J72" s="14">
        <f ca="1">VLOOKUP(I72,[2]属性!$A:$E,2,FALSE)</f>
        <v>1</v>
      </c>
      <c r="K72" s="14">
        <f ca="1">VLOOKUP(I72,[2]属性!$A:$E,3,FALSE)</f>
        <v>0.98</v>
      </c>
      <c r="L72" s="14">
        <f ca="1">VLOOKUP(I72,[2]属性!$A:$E,4,FALSE)</f>
        <v>1</v>
      </c>
      <c r="M72" s="14">
        <f ca="1">VLOOKUP(I72,[2]属性!$A:$E,5,FALSE)</f>
        <v>1.02</v>
      </c>
      <c r="N72" s="14">
        <f ca="1">INDEX(コスト!$A$1:$I$20,MATCH(H72,コスト!$A$1:$A$20,FALSE),MATCH(G72,コスト!$A$1:$I$1,FALSE))</f>
        <v>4</v>
      </c>
      <c r="O72" s="14">
        <f ca="1">INDEX(レベル!$A$1:$I$21,MATCH(H72,レベル!$A$1:$A$21,FALSE),MATCH(G72,レベル!$A$1:$I$1,FALSE))</f>
        <v>30</v>
      </c>
      <c r="P72" s="63">
        <f t="shared" ca="1" si="14"/>
        <v>30</v>
      </c>
      <c r="Q72" s="77" t="str">
        <f ca="1">VLOOKUP($A72,OFFSET([2]characters!$A$1,0,0,COUNTA([2]characters!$A:$A),MATCH(Q$1,[2]characters!$1:$1,0)-MATCH($A$1,[2]characters!$1:$1,0)+1),MATCH(Q$1,[2]characters!$1:$1,0)-MATCH($A$1,[2]characters!$1:$1,0)+1,FALSE)</f>
        <v>balance</v>
      </c>
      <c r="R72" s="8" t="str">
        <f ca="1">VLOOKUP(Q72,[2]character_type_i18n!$A:$H,3,FALSE)</f>
        <v>バランスタイプ</v>
      </c>
      <c r="S72" s="14">
        <f ca="1">VLOOKUP(Q72,[2]character_type_i18n!$A:$H,4,FALSE)</f>
        <v>1</v>
      </c>
      <c r="T72" s="14">
        <f ca="1">VLOOKUP(Q72,[2]character_type_i18n!$A:$H,5,FALSE)</f>
        <v>1</v>
      </c>
      <c r="U72" s="14">
        <f ca="1">VLOOKUP(Q72,[2]character_type_i18n!$A:$H,6,FALSE)</f>
        <v>1</v>
      </c>
      <c r="V72" s="14">
        <f ca="1">VLOOKUP(Q72,[2]character_type_i18n!$A:$H,7,FALSE)</f>
        <v>1</v>
      </c>
      <c r="W72" s="77" t="str">
        <f ca="1">VLOOKUP($A72,OFFSET([2]characters!$A$1,0,0,COUNTA([2]characters!$A:$A),MATCH(W$1,[2]characters!$1:$1,0)-MATCH($A$1,[2]characters!$1:$1,0)+1),MATCH(W$1,[2]characters!$1:$1,0)-MATCH($A$1,[2]characters!$1:$1,0)+1,FALSE)</f>
        <v>animal</v>
      </c>
      <c r="X72" s="8" t="str">
        <f ca="1">VLOOKUP(W72,[2]character_tribe_i18n!$A:$H,3,FALSE)</f>
        <v>アニマル</v>
      </c>
      <c r="Y72" s="77" t="str">
        <f ca="1">VLOOKUP($A72,OFFSET([2]characters!$A$1,0,0,COUNTA([2]characters!$A:$A),MATCH(Y$1,[2]characters!$1:$1,0)-MATCH($A$1,[2]characters!$1:$1,0)+1),MATCH(Y$1,[2]characters!$1:$1,0)-MATCH($A$1,[2]characters!$1:$1,0)+1,FALSE)</f>
        <v>none</v>
      </c>
      <c r="Z72" s="8" t="str">
        <f ca="1">VLOOKUP(Y72,[2]character_tribe_i18n!$A:$H,3,FALSE)</f>
        <v>種族なし</v>
      </c>
      <c r="AA72" s="14">
        <f ca="1">VLOOKUP(W72,[2]character_tribe_i18n!$A:$H,4,FALSE)</f>
        <v>1</v>
      </c>
      <c r="AB72" s="14">
        <f ca="1">VLOOKUP(W72,[2]character_tribe_i18n!$A:$H,5,FALSE)</f>
        <v>1.1000000000000001</v>
      </c>
      <c r="AC72" s="14">
        <f ca="1">VLOOKUP(W72,[2]character_tribe_i18n!$A:$H,6,FALSE)</f>
        <v>1</v>
      </c>
      <c r="AD72" s="14">
        <f ca="1">VLOOKUP(W72,[2]character_tribe_i18n!$A:$H,7,FALSE)</f>
        <v>0.9</v>
      </c>
      <c r="AE72" s="12">
        <v>72</v>
      </c>
      <c r="AF72" s="85" t="str">
        <f ca="1">IF(AE72="NULL","",VLOOKUP($AE72,OFFSET([2]characters!$A$1,0,0,COUNTA([2]characters!$A:$A),MATCH(AF$1,[2]characters!$1:$1,0)-MATCH($A$1,[2]characters!$1:$1,0)+1),MATCH(AF$1,[2]characters!$1:$1,0)-MATCH($A$1,[2]characters!$1:$1,0)+1,FALSE))</f>
        <v>探求者 ダックス</v>
      </c>
      <c r="AG72" s="8">
        <f t="shared" ca="1" si="9"/>
        <v>71</v>
      </c>
      <c r="AH72" s="85" t="str">
        <f ca="1">VLOOKUP($AG72,OFFSET([2]characters!$A$1,0,0,COUNTA([2]characters!$A:$A),MATCH(AH$1,[2]characters!$1:$1,0)-MATCH($A$1,[2]characters!$1:$1,0)+1),MATCH(AH$1,[2]characters!$1:$1,0)-MATCH($A$1,[2]characters!$1:$1,0)+1,FALSE)</f>
        <v>ダックス</v>
      </c>
      <c r="AI72" s="14">
        <f ca="1">IF(AE72="NULL","NULL",VLOOKUP(G72,ビット!$A$2:$B$7,2))</f>
        <v>10000</v>
      </c>
      <c r="AJ72" s="9">
        <v>2</v>
      </c>
      <c r="AK72" s="10" t="str">
        <f t="shared" si="10"/>
        <v>普通</v>
      </c>
      <c r="AL72" s="14" t="str">
        <f ca="1">INDEX(経験値!$A$1:$I$20,MATCH(H72,経験値!$A$1:$A$20,FALSE),MATCH(G72,経験値!$A$1:$I$1,FALSE))</f>
        <v>required_exp_150</v>
      </c>
      <c r="AM72" s="11">
        <f ca="1">VLOOKUP(G72,経験値!$A$27:$B$31,2)</f>
        <v>600</v>
      </c>
      <c r="AN72" s="21">
        <f ca="1">VLOOKUP(G72,ビット!$G$2:$H$7,2)</f>
        <v>150</v>
      </c>
      <c r="AO72" s="64" t="s">
        <v>194</v>
      </c>
      <c r="AP72" s="97">
        <v>420002</v>
      </c>
      <c r="AQ72" s="77" t="e">
        <f ca="1">VLOOKUP($AP72,OFFSET([1]unit_skills!$A$1,0,0,COUNTA([1]unit_skills!$A:$A),MATCH("name",[1]unit_skills!$1:$1,0)-MATCH($AP$1,[1]unit_skills!$1:$1,0)+1),MATCH("name",[1]unit_skills!$1:$1,0)-MATCH($AP$1,[1]unit_skills!$1:$1,0)+1,FALSE)</f>
        <v>#VALUE!</v>
      </c>
      <c r="AR72" s="77" t="e">
        <f ca="1">VLOOKUP($AP72,OFFSET([1]unit_skills!$A$1,0,0,COUNTA([1]unit_skills!$A:$A),MATCH("comment",[1]unit_skills!$1:$1,0)-MATCH($AP$1,[1]unit_skills!$1:$1,0)+1),MATCH("comment",[1]unit_skills!$1:$1,0)-MATCH($AP$1,[1]unit_skills!$1:$1,0)+1,FALSE)</f>
        <v>#VALUE!</v>
      </c>
      <c r="AS72" s="77" t="e">
        <f ca="1">VLOOKUP($AP72,OFFSET([1]unit_skills!$A$1,0,0,COUNTA([1]unit_skills!$A:$A),MATCH(AS$1,[1]unit_skills!$1:$1,0)-MATCH($AP$1,[1]unit_skills!$1:$1,0)+1),MATCH(AS$1,[1]unit_skills!$1:$1,0)-MATCH($AP$1,[1]unit_skills!$1:$1,0)+1,FALSE)</f>
        <v>#VALUE!</v>
      </c>
      <c r="AT72" s="97">
        <v>173401</v>
      </c>
      <c r="AU72" s="77" t="e">
        <f ca="1">VLOOKUP($AT72,OFFSET([1]crash_skills!$A$1,0,0,COUNTA([1]crash_skills!$A:$A),MATCH("name",[1]crash_skills!$1:$1,0)-MATCH($AT$1,[1]crash_skills!$1:$1,0)+1),MATCH("name",[1]crash_skills!$1:$1,0)-MATCH($AT$1,[1]crash_skills!$1:$1,0)+1,FALSE)</f>
        <v>#VALUE!</v>
      </c>
      <c r="AV72" s="77" t="e">
        <f ca="1">VLOOKUP($AT72,OFFSET([1]crash_skills!$A$1,0,0,COUNTA([1]crash_skills!$A:$A),MATCH("comment",[1]crash_skills!$1:$1,0)-MATCH($AT$1,[1]crash_skills!$1:$1,0)+1),MATCH("comment",[1]crash_skills!$1:$1,0)-MATCH($AT$1,[1]crash_skills!$1:$1,0)+1,FALSE)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72" s="77" t="e">
        <f ca="1">VLOOKUP($AT72,OFFSET([1]crash_skills!$A$1,0,0,COUNTA([1]crash_skills!$A:$A),MATCH(AW$1,[1]crash_skills!$1:$1,0)-MATCH($AT$1,[1]crash_skills!$1:$1,0)+1),MATCH(AW$1,[1]crash_skills!$1:$1,0)-MATCH($AT$1,[1]crash_skills!$1:$1,0)+1,FALSE)</f>
        <v>#VALUE!</v>
      </c>
      <c r="AX72" s="81">
        <f ca="1">VLOOKUP($A72,OFFSET([2]characters!$A$1,0,0,COUNTA([2]characters!$A:$A),MATCH(AX$1,[2]characters!$1:$1,0)-MATCH($A$1,[2]characters!$1:$1,0)+1),MATCH(AX$1,[2]characters!$1:$1,0)-MATCH($A$1,[2]characters!$1:$1,0)+1,FALSE)</f>
        <v>3</v>
      </c>
      <c r="AY72" s="19">
        <v>1</v>
      </c>
      <c r="AZ72" s="19">
        <v>1</v>
      </c>
      <c r="BA72" s="19">
        <v>0</v>
      </c>
      <c r="BB72" s="19">
        <v>1</v>
      </c>
      <c r="BC72" s="14">
        <f ca="1">INDEX('RC6SV'!$A$1:$G$20,MATCH(H72,'RC6SV'!$A$1:$A$20,FALSE),MATCH(G72,'RC6SV'!$A$1:$G$1,FALSE))</f>
        <v>3000</v>
      </c>
      <c r="BD72" s="63">
        <f t="shared" ca="1" si="11"/>
        <v>3000</v>
      </c>
      <c r="BE72" s="14">
        <f t="shared" ca="1" si="12"/>
        <v>0</v>
      </c>
      <c r="BF72" s="14">
        <f t="shared" ca="1" si="13"/>
        <v>1</v>
      </c>
      <c r="BG72" s="20">
        <f ca="1">IF($BE72&lt;=0,ROUND(BK72*0.5,0), ROUND($BE72*S72*AA72*J72*AY72*0.8*[2]ステータス!$B$2,0))</f>
        <v>750</v>
      </c>
      <c r="BH72" s="20">
        <f ca="1">IF($BE72&lt;=0,ROUND(BL72*0.5,0), ROUND($BE72*T72*AB72*K72*AZ72*0.8*[2]ステータス!$C$2,0))</f>
        <v>485</v>
      </c>
      <c r="BI72" s="20">
        <f ca="1">IF($BE72&lt;=0,ROUND(BM72*0.5,0), ROUND($BE72*U72*AC72*L72*BA72*0.8*[2]ステータス!$D$2,0))</f>
        <v>0</v>
      </c>
      <c r="BJ72" s="20">
        <f ca="1">IF($BE72&lt;=0,ROUND(BN72*0.5,0), ROUND($BE72*V72*AD72*M72*BB72*0.8*[2]ステータス!$E$2,0))</f>
        <v>345</v>
      </c>
      <c r="BK72" s="14">
        <f ca="1">ROUND(BD72*S72*AA72*J72*AY72*[2]ステータス!$B$2,0)</f>
        <v>1500</v>
      </c>
      <c r="BL72" s="14">
        <f ca="1">ROUND(BD72*T72*AB72*K72*AZ72*[2]ステータス!$C$2,0)</f>
        <v>970</v>
      </c>
      <c r="BM72" s="14">
        <f ca="1">ROUND(BD72*U72*AC72*L72*BA72*[2]ステータス!$D$2,0)</f>
        <v>0</v>
      </c>
      <c r="BN72" s="14">
        <f ca="1">ROUND(BD72*V72*AD72*M72*BB72*[2]ステータス!$E$2,0)</f>
        <v>689</v>
      </c>
      <c r="BO72" s="13">
        <v>0</v>
      </c>
      <c r="BP72" s="13">
        <v>1</v>
      </c>
      <c r="BQ72" s="13" t="s">
        <v>102</v>
      </c>
      <c r="BR72" s="13">
        <f ca="1">VLOOKUP(H72,ghosts_label!$A$2:$B$19,2,FALSE)</f>
        <v>1</v>
      </c>
    </row>
    <row r="73" spans="1:70" ht="21" customHeight="1" x14ac:dyDescent="0.15">
      <c r="A73" s="14">
        <f t="shared" ca="1" si="8"/>
        <v>72</v>
      </c>
      <c r="B73" s="77" t="str">
        <f ca="1">VLOOKUP($A73,OFFSET([2]characters!$A$1,0,0,COUNTA([2]characters!$A:$A),MATCH(B$1,[2]characters!$1:$1,0)-MATCH($A$1,[2]characters!$1:$1,0)+1),MATCH(B$1,[2]characters!$1:$1,0)-MATCH($A$1,[2]characters!$1:$1,0)+1,FALSE)</f>
        <v>探求者 ダックス</v>
      </c>
      <c r="C73" s="77" t="str">
        <f ca="1">VLOOKUP($A73,OFFSET([2]characters!$A$1,0,0,COUNTA([2]characters!$A:$A),MATCH(C$1,[2]characters!$1:$1,0)-MATCH($A$1,[2]characters!$1:$1,0)+1),MATCH(C$1,[2]characters!$1:$1,0)-MATCH($A$1,[2]characters!$1:$1,0)+1,FALSE)</f>
        <v>ノーマルクエスト</v>
      </c>
      <c r="D73" s="77" t="str">
        <f ca="1">VLOOKUP($A73,OFFSET([2]characters!$A$1,0,0,COUNTA([2]characters!$A:$A),MATCH(D$1,[2]characters!$1:$1,0)-MATCH($A$1,[2]characters!$1:$1,0)+1),MATCH(D$1,[2]characters!$1:$1,0)-MATCH($A$1,[2]characters!$1:$1,0)+1,FALSE)</f>
        <v>アバター</v>
      </c>
      <c r="E73" s="77" t="str">
        <f ca="1">VLOOKUP($A73,OFFSET([2]characters!$A$1,0,0,COUNTA([2]characters!$A:$A),MATCH(E$1,[2]characters!$1:$1,0)-MATCH($A$1,[2]characters!$1:$1,0)+1),MATCH(E$1,[2]characters!$1:$1,0)-MATCH($A$1,[2]characters!$1:$1,0)+1,FALSE)</f>
        <v>世界観</v>
      </c>
      <c r="F73" s="77" t="str">
        <f ca="1">VLOOKUP($A73,OFFSET([2]characters!$A$1,0,0,COUNTA([2]characters!$A:$A),MATCH(F$1,[2]characters!$1:$1,0)-MATCH($A$1,[2]characters!$1:$1,0)+1),MATCH(F$1,[2]characters!$1:$1,0)-MATCH($A$1,[2]characters!$1:$1,0)+1,FALSE)</f>
        <v>男性</v>
      </c>
      <c r="G73" s="77">
        <f ca="1">VLOOKUP($A73,OFFSET([2]characters!$A$1,0,0,COUNTA([2]characters!$A:$A),MATCH(G$1,[2]characters!$1:$1,0)-MATCH($A$1,[2]characters!$1:$1,0)+1),MATCH(G$1,[2]characters!$1:$1,0)-MATCH($A$1,[2]characters!$1:$1,0)+1,FALSE)</f>
        <v>3</v>
      </c>
      <c r="H73" s="77" t="str">
        <f ca="1">VLOOKUP($A73,OFFSET([2]characters!$A$1,0,0,COUNTA([2]characters!$A:$A),MATCH(H$1,[2]characters!$1:$1,0)-MATCH($A$1,[2]characters!$1:$1,0)+1),MATCH(H$1,[2]characters!$1:$1,0)-MATCH($A$1,[2]characters!$1:$1,0)+1,FALSE)</f>
        <v>Drop1S</v>
      </c>
      <c r="I73" s="77" t="str">
        <f ca="1">VLOOKUP($A73,OFFSET([2]characters!$A$1,0,0,COUNTA([2]characters!$A:$A),MATCH(I$1,[2]characters!$1:$1,0)-MATCH($A$1,[2]characters!$1:$1,0)+1),MATCH(I$1,[2]characters!$1:$1,0)-MATCH($A$1,[2]characters!$1:$1,0)+1,FALSE)</f>
        <v>blue</v>
      </c>
      <c r="J73" s="14">
        <f ca="1">VLOOKUP(I73,[2]属性!$A:$E,2,FALSE)</f>
        <v>1</v>
      </c>
      <c r="K73" s="14">
        <f ca="1">VLOOKUP(I73,[2]属性!$A:$E,3,FALSE)</f>
        <v>0.98</v>
      </c>
      <c r="L73" s="14">
        <f ca="1">VLOOKUP(I73,[2]属性!$A:$E,4,FALSE)</f>
        <v>1</v>
      </c>
      <c r="M73" s="14">
        <f ca="1">VLOOKUP(I73,[2]属性!$A:$E,5,FALSE)</f>
        <v>1.02</v>
      </c>
      <c r="N73" s="14">
        <f ca="1">INDEX(コスト!$A$1:$I$20,MATCH(H73,コスト!$A$1:$A$20,FALSE),MATCH(G73,コスト!$A$1:$I$1,FALSE))</f>
        <v>6</v>
      </c>
      <c r="O73" s="14">
        <f ca="1">INDEX(レベル!$A$1:$I$21,MATCH(H73,レベル!$A$1:$A$21,FALSE),MATCH(G73,レベル!$A$1:$I$1,FALSE))</f>
        <v>40</v>
      </c>
      <c r="P73" s="63">
        <f t="shared" ca="1" si="14"/>
        <v>45</v>
      </c>
      <c r="Q73" s="77" t="str">
        <f ca="1">VLOOKUP($A73,OFFSET([2]characters!$A$1,0,0,COUNTA([2]characters!$A:$A),MATCH(Q$1,[2]characters!$1:$1,0)-MATCH($A$1,[2]characters!$1:$1,0)+1),MATCH(Q$1,[2]characters!$1:$1,0)-MATCH($A$1,[2]characters!$1:$1,0)+1,FALSE)</f>
        <v>balance</v>
      </c>
      <c r="R73" s="8" t="str">
        <f ca="1">VLOOKUP(Q73,[2]character_type_i18n!$A:$H,3,FALSE)</f>
        <v>バランスタイプ</v>
      </c>
      <c r="S73" s="14">
        <f ca="1">VLOOKUP(Q73,[2]character_type_i18n!$A:$H,4,FALSE)</f>
        <v>1</v>
      </c>
      <c r="T73" s="14">
        <f ca="1">VLOOKUP(Q73,[2]character_type_i18n!$A:$H,5,FALSE)</f>
        <v>1</v>
      </c>
      <c r="U73" s="14">
        <f ca="1">VLOOKUP(Q73,[2]character_type_i18n!$A:$H,6,FALSE)</f>
        <v>1</v>
      </c>
      <c r="V73" s="14">
        <f ca="1">VLOOKUP(Q73,[2]character_type_i18n!$A:$H,7,FALSE)</f>
        <v>1</v>
      </c>
      <c r="W73" s="77" t="str">
        <f ca="1">VLOOKUP($A73,OFFSET([2]characters!$A$1,0,0,COUNTA([2]characters!$A:$A),MATCH(W$1,[2]characters!$1:$1,0)-MATCH($A$1,[2]characters!$1:$1,0)+1),MATCH(W$1,[2]characters!$1:$1,0)-MATCH($A$1,[2]characters!$1:$1,0)+1,FALSE)</f>
        <v>animal</v>
      </c>
      <c r="X73" s="8" t="str">
        <f ca="1">VLOOKUP(W73,[2]character_tribe_i18n!$A:$H,3,FALSE)</f>
        <v>アニマル</v>
      </c>
      <c r="Y73" s="77" t="str">
        <f ca="1">VLOOKUP($A73,OFFSET([2]characters!$A$1,0,0,COUNTA([2]characters!$A:$A),MATCH(Y$1,[2]characters!$1:$1,0)-MATCH($A$1,[2]characters!$1:$1,0)+1),MATCH(Y$1,[2]characters!$1:$1,0)-MATCH($A$1,[2]characters!$1:$1,0)+1,FALSE)</f>
        <v>none</v>
      </c>
      <c r="Z73" s="8" t="str">
        <f ca="1">VLOOKUP(Y73,[2]character_tribe_i18n!$A:$H,3,FALSE)</f>
        <v>種族なし</v>
      </c>
      <c r="AA73" s="14">
        <f ca="1">VLOOKUP(W73,[2]character_tribe_i18n!$A:$H,4,FALSE)</f>
        <v>1</v>
      </c>
      <c r="AB73" s="14">
        <f ca="1">VLOOKUP(W73,[2]character_tribe_i18n!$A:$H,5,FALSE)</f>
        <v>1.1000000000000001</v>
      </c>
      <c r="AC73" s="14">
        <f ca="1">VLOOKUP(W73,[2]character_tribe_i18n!$A:$H,6,FALSE)</f>
        <v>1</v>
      </c>
      <c r="AD73" s="14">
        <f ca="1">VLOOKUP(W73,[2]character_tribe_i18n!$A:$H,7,FALSE)</f>
        <v>0.9</v>
      </c>
      <c r="AE73" s="12">
        <v>73</v>
      </c>
      <c r="AF73" s="85" t="str">
        <f ca="1">IF(AE73="NULL","",VLOOKUP($AE73,OFFSET([2]characters!$A$1,0,0,COUNTA([2]characters!$A:$A),MATCH(AF$1,[2]characters!$1:$1,0)-MATCH($A$1,[2]characters!$1:$1,0)+1),MATCH(AF$1,[2]characters!$1:$1,0)-MATCH($A$1,[2]characters!$1:$1,0)+1,FALSE))</f>
        <v>自由の探求者 ダックス</v>
      </c>
      <c r="AG73" s="8">
        <f t="shared" ca="1" si="9"/>
        <v>71</v>
      </c>
      <c r="AH73" s="85" t="str">
        <f ca="1">VLOOKUP($AG73,OFFSET([2]characters!$A$1,0,0,COUNTA([2]characters!$A:$A),MATCH(AH$1,[2]characters!$1:$1,0)-MATCH($A$1,[2]characters!$1:$1,0)+1),MATCH(AH$1,[2]characters!$1:$1,0)-MATCH($A$1,[2]characters!$1:$1,0)+1,FALSE)</f>
        <v>ダックス</v>
      </c>
      <c r="AI73" s="14">
        <f ca="1">IF(AE73="NULL","NULL",VLOOKUP(G73,ビット!$A$2:$B$7,2))</f>
        <v>20000</v>
      </c>
      <c r="AJ73" s="9">
        <v>2</v>
      </c>
      <c r="AK73" s="10" t="str">
        <f t="shared" si="10"/>
        <v>普通</v>
      </c>
      <c r="AL73" s="14" t="str">
        <f ca="1">INDEX(経験値!$A$1:$I$20,MATCH(H73,経験値!$A$1:$A$20,FALSE),MATCH(G73,経験値!$A$1:$I$1,FALSE))</f>
        <v>required_exp_150</v>
      </c>
      <c r="AM73" s="11">
        <f ca="1">VLOOKUP(G73,経験値!$A$27:$B$31,2)</f>
        <v>1500</v>
      </c>
      <c r="AN73" s="21">
        <f ca="1">VLOOKUP(G73,ビット!$G$2:$H$7,2)</f>
        <v>300</v>
      </c>
      <c r="AO73" s="64" t="s">
        <v>194</v>
      </c>
      <c r="AP73" s="97">
        <v>420003</v>
      </c>
      <c r="AQ73" s="77" t="e">
        <f ca="1">VLOOKUP($AP73,OFFSET([1]unit_skills!$A$1,0,0,COUNTA([1]unit_skills!$A:$A),MATCH("name",[1]unit_skills!$1:$1,0)-MATCH($AP$1,[1]unit_skills!$1:$1,0)+1),MATCH("name",[1]unit_skills!$1:$1,0)-MATCH($AP$1,[1]unit_skills!$1:$1,0)+1,FALSE)</f>
        <v>#VALUE!</v>
      </c>
      <c r="AR73" s="77" t="e">
        <f ca="1">VLOOKUP($AP73,OFFSET([1]unit_skills!$A$1,0,0,COUNTA([1]unit_skills!$A:$A),MATCH("comment",[1]unit_skills!$1:$1,0)-MATCH($AP$1,[1]unit_skills!$1:$1,0)+1),MATCH("comment",[1]unit_skills!$1:$1,0)-MATCH($AP$1,[1]unit_skills!$1:$1,0)+1,FALSE)</f>
        <v>#VALUE!</v>
      </c>
      <c r="AS73" s="77" t="e">
        <f ca="1">VLOOKUP($AP73,OFFSET([1]unit_skills!$A$1,0,0,COUNTA([1]unit_skills!$A:$A),MATCH(AS$1,[1]unit_skills!$1:$1,0)-MATCH($AP$1,[1]unit_skills!$1:$1,0)+1),MATCH(AS$1,[1]unit_skills!$1:$1,0)-MATCH($AP$1,[1]unit_skills!$1:$1,0)+1,FALSE)</f>
        <v>#VALUE!</v>
      </c>
      <c r="AT73" s="97">
        <v>173402</v>
      </c>
      <c r="AU73" s="77" t="e">
        <f ca="1">VLOOKUP($AT73,OFFSET([1]crash_skills!$A$1,0,0,COUNTA([1]crash_skills!$A:$A),MATCH("name",[1]crash_skills!$1:$1,0)-MATCH($AT$1,[1]crash_skills!$1:$1,0)+1),MATCH("name",[1]crash_skills!$1:$1,0)-MATCH($AT$1,[1]crash_skills!$1:$1,0)+1,FALSE)</f>
        <v>#VALUE!</v>
      </c>
      <c r="AV73" s="77" t="e">
        <f ca="1">VLOOKUP($AT73,OFFSET([1]crash_skills!$A$1,0,0,COUNTA([1]crash_skills!$A:$A),MATCH("comment",[1]crash_skills!$1:$1,0)-MATCH($AT$1,[1]crash_skills!$1:$1,0)+1),MATCH("comment",[1]crash_skills!$1:$1,0)-MATCH($AT$1,[1]crash_skills!$1:$1,0)+1,FALSE)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73" s="77" t="e">
        <f ca="1">VLOOKUP($AT73,OFFSET([1]crash_skills!$A$1,0,0,COUNTA([1]crash_skills!$A:$A),MATCH(AW$1,[1]crash_skills!$1:$1,0)-MATCH($AT$1,[1]crash_skills!$1:$1,0)+1),MATCH(AW$1,[1]crash_skills!$1:$1,0)-MATCH($AT$1,[1]crash_skills!$1:$1,0)+1,FALSE)</f>
        <v>#VALUE!</v>
      </c>
      <c r="AX73" s="81">
        <f ca="1">VLOOKUP($A73,OFFSET([2]characters!$A$1,0,0,COUNTA([2]characters!$A:$A),MATCH(AX$1,[2]characters!$1:$1,0)-MATCH($A$1,[2]characters!$1:$1,0)+1),MATCH(AX$1,[2]characters!$1:$1,0)-MATCH($A$1,[2]characters!$1:$1,0)+1,FALSE)</f>
        <v>3</v>
      </c>
      <c r="AY73" s="19">
        <v>1</v>
      </c>
      <c r="AZ73" s="19">
        <v>1</v>
      </c>
      <c r="BA73" s="19">
        <v>0</v>
      </c>
      <c r="BB73" s="19">
        <v>1</v>
      </c>
      <c r="BC73" s="14">
        <f ca="1">INDEX('RC6SV'!$A$1:$G$20,MATCH(H73,'RC6SV'!$A$1:$A$20,FALSE),MATCH(G73,'RC6SV'!$A$1:$G$1,FALSE))</f>
        <v>4200</v>
      </c>
      <c r="BD73" s="63">
        <f t="shared" ca="1" si="11"/>
        <v>4200</v>
      </c>
      <c r="BE73" s="14">
        <f t="shared" ca="1" si="12"/>
        <v>3000</v>
      </c>
      <c r="BF73" s="14">
        <f t="shared" ca="1" si="13"/>
        <v>1</v>
      </c>
      <c r="BG73" s="20">
        <f ca="1">IF($BE73&lt;=0,ROUND(BK73*0.5,0), ROUND($BE73*S73*AA73*J73*AY73*0.8*[2]ステータス!$B$2,0))</f>
        <v>1200</v>
      </c>
      <c r="BH73" s="20">
        <f ca="1">IF($BE73&lt;=0,ROUND(BL73*0.5,0), ROUND($BE73*T73*AB73*K73*AZ73*0.8*[2]ステータス!$C$2,0))</f>
        <v>776</v>
      </c>
      <c r="BI73" s="20">
        <f ca="1">IF($BE73&lt;=0,ROUND(BM73*0.5,0), ROUND($BE73*U73*AC73*L73*BA73*0.8*[2]ステータス!$D$2,0))</f>
        <v>0</v>
      </c>
      <c r="BJ73" s="20">
        <f ca="1">IF($BE73&lt;=0,ROUND(BN73*0.5,0), ROUND($BE73*V73*AD73*M73*BB73*0.8*[2]ステータス!$E$2,0))</f>
        <v>551</v>
      </c>
      <c r="BK73" s="14">
        <f ca="1">ROUND(BD73*S73*AA73*J73*AY73*[2]ステータス!$B$2,0)</f>
        <v>2100</v>
      </c>
      <c r="BL73" s="14">
        <f ca="1">ROUND(BD73*T73*AB73*K73*AZ73*[2]ステータス!$C$2,0)</f>
        <v>1358</v>
      </c>
      <c r="BM73" s="14">
        <f ca="1">ROUND(BD73*U73*AC73*L73*BA73*[2]ステータス!$D$2,0)</f>
        <v>0</v>
      </c>
      <c r="BN73" s="14">
        <f ca="1">ROUND(BD73*V73*AD73*M73*BB73*[2]ステータス!$E$2,0)</f>
        <v>964</v>
      </c>
      <c r="BO73" s="13">
        <v>0</v>
      </c>
      <c r="BP73" s="13">
        <v>1</v>
      </c>
      <c r="BQ73" s="13" t="s">
        <v>102</v>
      </c>
      <c r="BR73" s="13">
        <f ca="1">VLOOKUP(H73,ghosts_label!$A$2:$B$19,2,FALSE)</f>
        <v>1</v>
      </c>
    </row>
    <row r="74" spans="1:70" ht="21" customHeight="1" x14ac:dyDescent="0.15">
      <c r="A74" s="14">
        <f t="shared" ca="1" si="8"/>
        <v>73</v>
      </c>
      <c r="B74" s="77" t="str">
        <f ca="1">VLOOKUP($A74,OFFSET([2]characters!$A$1,0,0,COUNTA([2]characters!$A:$A),MATCH(B$1,[2]characters!$1:$1,0)-MATCH($A$1,[2]characters!$1:$1,0)+1),MATCH(B$1,[2]characters!$1:$1,0)-MATCH($A$1,[2]characters!$1:$1,0)+1,FALSE)</f>
        <v>自由の探求者 ダックス</v>
      </c>
      <c r="C74" s="77" t="str">
        <f ca="1">VLOOKUP($A74,OFFSET([2]characters!$A$1,0,0,COUNTA([2]characters!$A:$A),MATCH(C$1,[2]characters!$1:$1,0)-MATCH($A$1,[2]characters!$1:$1,0)+1),MATCH(C$1,[2]characters!$1:$1,0)-MATCH($A$1,[2]characters!$1:$1,0)+1,FALSE)</f>
        <v>ノーマルクエスト</v>
      </c>
      <c r="D74" s="77" t="str">
        <f ca="1">VLOOKUP($A74,OFFSET([2]characters!$A$1,0,0,COUNTA([2]characters!$A:$A),MATCH(D$1,[2]characters!$1:$1,0)-MATCH($A$1,[2]characters!$1:$1,0)+1),MATCH(D$1,[2]characters!$1:$1,0)-MATCH($A$1,[2]characters!$1:$1,0)+1,FALSE)</f>
        <v>アバター</v>
      </c>
      <c r="E74" s="77" t="str">
        <f ca="1">VLOOKUP($A74,OFFSET([2]characters!$A$1,0,0,COUNTA([2]characters!$A:$A),MATCH(E$1,[2]characters!$1:$1,0)-MATCH($A$1,[2]characters!$1:$1,0)+1),MATCH(E$1,[2]characters!$1:$1,0)-MATCH($A$1,[2]characters!$1:$1,0)+1,FALSE)</f>
        <v>世界観</v>
      </c>
      <c r="F74" s="77" t="str">
        <f ca="1">VLOOKUP($A74,OFFSET([2]characters!$A$1,0,0,COUNTA([2]characters!$A:$A),MATCH(F$1,[2]characters!$1:$1,0)-MATCH($A$1,[2]characters!$1:$1,0)+1),MATCH(F$1,[2]characters!$1:$1,0)-MATCH($A$1,[2]characters!$1:$1,0)+1,FALSE)</f>
        <v>男性</v>
      </c>
      <c r="G74" s="77">
        <f ca="1">VLOOKUP($A74,OFFSET([2]characters!$A$1,0,0,COUNTA([2]characters!$A:$A),MATCH(G$1,[2]characters!$1:$1,0)-MATCH($A$1,[2]characters!$1:$1,0)+1),MATCH(G$1,[2]characters!$1:$1,0)-MATCH($A$1,[2]characters!$1:$1,0)+1,FALSE)</f>
        <v>4</v>
      </c>
      <c r="H74" s="77" t="str">
        <f ca="1">VLOOKUP($A74,OFFSET([2]characters!$A$1,0,0,COUNTA([2]characters!$A:$A),MATCH(H$1,[2]characters!$1:$1,0)-MATCH($A$1,[2]characters!$1:$1,0)+1),MATCH(H$1,[2]characters!$1:$1,0)-MATCH($A$1,[2]characters!$1:$1,0)+1,FALSE)</f>
        <v>Drop1S</v>
      </c>
      <c r="I74" s="77" t="str">
        <f ca="1">VLOOKUP($A74,OFFSET([2]characters!$A$1,0,0,COUNTA([2]characters!$A:$A),MATCH(I$1,[2]characters!$1:$1,0)-MATCH($A$1,[2]characters!$1:$1,0)+1),MATCH(I$1,[2]characters!$1:$1,0)-MATCH($A$1,[2]characters!$1:$1,0)+1,FALSE)</f>
        <v>blue</v>
      </c>
      <c r="J74" s="14">
        <f ca="1">VLOOKUP(I74,[2]属性!$A:$E,2,FALSE)</f>
        <v>1</v>
      </c>
      <c r="K74" s="14">
        <f ca="1">VLOOKUP(I74,[2]属性!$A:$E,3,FALSE)</f>
        <v>0.98</v>
      </c>
      <c r="L74" s="14">
        <f ca="1">VLOOKUP(I74,[2]属性!$A:$E,4,FALSE)</f>
        <v>1</v>
      </c>
      <c r="M74" s="14">
        <f ca="1">VLOOKUP(I74,[2]属性!$A:$E,5,FALSE)</f>
        <v>1.02</v>
      </c>
      <c r="N74" s="14">
        <f ca="1">INDEX(コスト!$A$1:$I$20,MATCH(H74,コスト!$A$1:$A$20,FALSE),MATCH(G74,コスト!$A$1:$I$1,FALSE))</f>
        <v>14</v>
      </c>
      <c r="O74" s="14">
        <f ca="1">INDEX(レベル!$A$1:$I$21,MATCH(H74,レベル!$A$1:$A$21,FALSE),MATCH(G74,レベル!$A$1:$I$1,FALSE))</f>
        <v>60</v>
      </c>
      <c r="P74" s="63">
        <f t="shared" ca="1" si="14"/>
        <v>60</v>
      </c>
      <c r="Q74" s="77" t="str">
        <f ca="1">VLOOKUP($A74,OFFSET([2]characters!$A$1,0,0,COUNTA([2]characters!$A:$A),MATCH(Q$1,[2]characters!$1:$1,0)-MATCH($A$1,[2]characters!$1:$1,0)+1),MATCH(Q$1,[2]characters!$1:$1,0)-MATCH($A$1,[2]characters!$1:$1,0)+1,FALSE)</f>
        <v>balance</v>
      </c>
      <c r="R74" s="8" t="str">
        <f ca="1">VLOOKUP(Q74,[2]character_type_i18n!$A:$H,3,FALSE)</f>
        <v>バランスタイプ</v>
      </c>
      <c r="S74" s="14">
        <f ca="1">VLOOKUP(Q74,[2]character_type_i18n!$A:$H,4,FALSE)</f>
        <v>1</v>
      </c>
      <c r="T74" s="14">
        <f ca="1">VLOOKUP(Q74,[2]character_type_i18n!$A:$H,5,FALSE)</f>
        <v>1</v>
      </c>
      <c r="U74" s="14">
        <f ca="1">VLOOKUP(Q74,[2]character_type_i18n!$A:$H,6,FALSE)</f>
        <v>1</v>
      </c>
      <c r="V74" s="14">
        <f ca="1">VLOOKUP(Q74,[2]character_type_i18n!$A:$H,7,FALSE)</f>
        <v>1</v>
      </c>
      <c r="W74" s="77" t="str">
        <f ca="1">VLOOKUP($A74,OFFSET([2]characters!$A$1,0,0,COUNTA([2]characters!$A:$A),MATCH(W$1,[2]characters!$1:$1,0)-MATCH($A$1,[2]characters!$1:$1,0)+1),MATCH(W$1,[2]characters!$1:$1,0)-MATCH($A$1,[2]characters!$1:$1,0)+1,FALSE)</f>
        <v>animal</v>
      </c>
      <c r="X74" s="8" t="str">
        <f ca="1">VLOOKUP(W74,[2]character_tribe_i18n!$A:$H,3,FALSE)</f>
        <v>アニマル</v>
      </c>
      <c r="Y74" s="77" t="str">
        <f ca="1">VLOOKUP($A74,OFFSET([2]characters!$A$1,0,0,COUNTA([2]characters!$A:$A),MATCH(Y$1,[2]characters!$1:$1,0)-MATCH($A$1,[2]characters!$1:$1,0)+1),MATCH(Y$1,[2]characters!$1:$1,0)-MATCH($A$1,[2]characters!$1:$1,0)+1,FALSE)</f>
        <v>none</v>
      </c>
      <c r="Z74" s="8" t="str">
        <f ca="1">VLOOKUP(Y74,[2]character_tribe_i18n!$A:$H,3,FALSE)</f>
        <v>種族なし</v>
      </c>
      <c r="AA74" s="14">
        <f ca="1">VLOOKUP(W74,[2]character_tribe_i18n!$A:$H,4,FALSE)</f>
        <v>1</v>
      </c>
      <c r="AB74" s="14">
        <f ca="1">VLOOKUP(W74,[2]character_tribe_i18n!$A:$H,5,FALSE)</f>
        <v>1.1000000000000001</v>
      </c>
      <c r="AC74" s="14">
        <f ca="1">VLOOKUP(W74,[2]character_tribe_i18n!$A:$H,6,FALSE)</f>
        <v>1</v>
      </c>
      <c r="AD74" s="14">
        <f ca="1">VLOOKUP(W74,[2]character_tribe_i18n!$A:$H,7,FALSE)</f>
        <v>0.9</v>
      </c>
      <c r="AE74" s="12" t="s">
        <v>102</v>
      </c>
      <c r="AF74" s="85" t="str">
        <f ca="1">IF(AE74="NULL","",VLOOKUP($AE74,OFFSET([2]characters!$A$1,0,0,COUNTA([2]characters!$A:$A),MATCH(AF$1,[2]characters!$1:$1,0)-MATCH($A$1,[2]characters!$1:$1,0)+1),MATCH(AF$1,[2]characters!$1:$1,0)-MATCH($A$1,[2]characters!$1:$1,0)+1,FALSE))</f>
        <v/>
      </c>
      <c r="AG74" s="8">
        <f t="shared" ca="1" si="9"/>
        <v>71</v>
      </c>
      <c r="AH74" s="85" t="str">
        <f ca="1">VLOOKUP($AG74,OFFSET([2]characters!$A$1,0,0,COUNTA([2]characters!$A:$A),MATCH(AH$1,[2]characters!$1:$1,0)-MATCH($A$1,[2]characters!$1:$1,0)+1),MATCH(AH$1,[2]characters!$1:$1,0)-MATCH($A$1,[2]characters!$1:$1,0)+1,FALSE)</f>
        <v>ダックス</v>
      </c>
      <c r="AI74" s="14" t="str">
        <f>IF(AE74="NULL","NULL",VLOOKUP(G74,ビット!$A$2:$B$7,2))</f>
        <v>NULL</v>
      </c>
      <c r="AJ74" s="9">
        <v>2</v>
      </c>
      <c r="AK74" s="10" t="str">
        <f t="shared" si="10"/>
        <v>普通</v>
      </c>
      <c r="AL74" s="14" t="str">
        <f ca="1">INDEX(経験値!$A$1:$I$20,MATCH(H74,経験値!$A$1:$A$20,FALSE),MATCH(G74,経験値!$A$1:$I$1,FALSE))</f>
        <v>required_exp_150</v>
      </c>
      <c r="AM74" s="11">
        <f ca="1">VLOOKUP(G74,経験値!$A$27:$B$31,2)</f>
        <v>3400</v>
      </c>
      <c r="AN74" s="21">
        <f ca="1">VLOOKUP(G74,ビット!$G$2:$H$7,2)</f>
        <v>600</v>
      </c>
      <c r="AO74" s="64" t="s">
        <v>194</v>
      </c>
      <c r="AP74" s="97">
        <v>420003</v>
      </c>
      <c r="AQ74" s="77" t="e">
        <f ca="1">VLOOKUP($AP74,OFFSET([1]unit_skills!$A$1,0,0,COUNTA([1]unit_skills!$A:$A),MATCH("name",[1]unit_skills!$1:$1,0)-MATCH($AP$1,[1]unit_skills!$1:$1,0)+1),MATCH("name",[1]unit_skills!$1:$1,0)-MATCH($AP$1,[1]unit_skills!$1:$1,0)+1,FALSE)</f>
        <v>#VALUE!</v>
      </c>
      <c r="AR74" s="77" t="e">
        <f ca="1">VLOOKUP($AP74,OFFSET([1]unit_skills!$A$1,0,0,COUNTA([1]unit_skills!$A:$A),MATCH("comment",[1]unit_skills!$1:$1,0)-MATCH($AP$1,[1]unit_skills!$1:$1,0)+1),MATCH("comment",[1]unit_skills!$1:$1,0)-MATCH($AP$1,[1]unit_skills!$1:$1,0)+1,FALSE)</f>
        <v>#VALUE!</v>
      </c>
      <c r="AS74" s="77" t="e">
        <f ca="1">VLOOKUP($AP74,OFFSET([1]unit_skills!$A$1,0,0,COUNTA([1]unit_skills!$A:$A),MATCH(AS$1,[1]unit_skills!$1:$1,0)-MATCH($AP$1,[1]unit_skills!$1:$1,0)+1),MATCH(AS$1,[1]unit_skills!$1:$1,0)-MATCH($AP$1,[1]unit_skills!$1:$1,0)+1,FALSE)</f>
        <v>#VALUE!</v>
      </c>
      <c r="AT74" s="97">
        <v>173403</v>
      </c>
      <c r="AU74" s="77" t="e">
        <f ca="1">VLOOKUP($AT74,OFFSET([1]crash_skills!$A$1,0,0,COUNTA([1]crash_skills!$A:$A),MATCH("name",[1]crash_skills!$1:$1,0)-MATCH($AT$1,[1]crash_skills!$1:$1,0)+1),MATCH("name",[1]crash_skills!$1:$1,0)-MATCH($AT$1,[1]crash_skills!$1:$1,0)+1,FALSE)</f>
        <v>#VALUE!</v>
      </c>
      <c r="AV74" s="77" t="e">
        <f ca="1">VLOOKUP($AT74,OFFSET([1]crash_skills!$A$1,0,0,COUNTA([1]crash_skills!$A:$A),MATCH("comment",[1]crash_skills!$1:$1,0)-MATCH($AT$1,[1]crash_skills!$1:$1,0)+1),MATCH("comment",[1]crash_skills!$1:$1,0)-MATCH($AT$1,[1]crash_skills!$1:$1,0)+1,FALSE)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74" s="77" t="e">
        <f ca="1">VLOOKUP($AT74,OFFSET([1]crash_skills!$A$1,0,0,COUNTA([1]crash_skills!$A:$A),MATCH(AW$1,[1]crash_skills!$1:$1,0)-MATCH($AT$1,[1]crash_skills!$1:$1,0)+1),MATCH(AW$1,[1]crash_skills!$1:$1,0)-MATCH($AT$1,[1]crash_skills!$1:$1,0)+1,FALSE)</f>
        <v>#VALUE!</v>
      </c>
      <c r="AX74" s="81">
        <f ca="1">VLOOKUP($A74,OFFSET([2]characters!$A$1,0,0,COUNTA([2]characters!$A:$A),MATCH(AX$1,[2]characters!$1:$1,0)-MATCH($A$1,[2]characters!$1:$1,0)+1),MATCH(AX$1,[2]characters!$1:$1,0)-MATCH($A$1,[2]characters!$1:$1,0)+1,FALSE)</f>
        <v>3</v>
      </c>
      <c r="AY74" s="19">
        <v>1</v>
      </c>
      <c r="AZ74" s="19">
        <v>1</v>
      </c>
      <c r="BA74" s="19">
        <v>0</v>
      </c>
      <c r="BB74" s="19">
        <v>1</v>
      </c>
      <c r="BC74" s="14">
        <f ca="1">INDEX('RC6SV'!$A$1:$G$20,MATCH(H74,'RC6SV'!$A$1:$A$20,FALSE),MATCH(G74,'RC6SV'!$A$1:$G$1,FALSE))</f>
        <v>5400</v>
      </c>
      <c r="BD74" s="63">
        <f t="shared" ca="1" si="11"/>
        <v>5400</v>
      </c>
      <c r="BE74" s="14">
        <f t="shared" ca="1" si="12"/>
        <v>4200</v>
      </c>
      <c r="BF74" s="14">
        <f t="shared" ca="1" si="13"/>
        <v>1</v>
      </c>
      <c r="BG74" s="20">
        <f ca="1">IF($BE74&lt;=0,ROUND(BK74*0.5,0), ROUND($BE74*S74*AA74*J74*AY74*0.8*[2]ステータス!$B$2,0))</f>
        <v>1680</v>
      </c>
      <c r="BH74" s="20">
        <f ca="1">IF($BE74&lt;=0,ROUND(BL74*0.5,0), ROUND($BE74*T74*AB74*K74*AZ74*0.8*[2]ステータス!$C$2,0))</f>
        <v>1087</v>
      </c>
      <c r="BI74" s="20">
        <f ca="1">IF($BE74&lt;=0,ROUND(BM74*0.5,0), ROUND($BE74*U74*AC74*L74*BA74*0.8*[2]ステータス!$D$2,0))</f>
        <v>0</v>
      </c>
      <c r="BJ74" s="20">
        <f ca="1">IF($BE74&lt;=0,ROUND(BN74*0.5,0), ROUND($BE74*V74*AD74*M74*BB74*0.8*[2]ステータス!$E$2,0))</f>
        <v>771</v>
      </c>
      <c r="BK74" s="14">
        <f ca="1">ROUND(BD74*S74*AA74*J74*AY74*[2]ステータス!$B$2,0)</f>
        <v>2700</v>
      </c>
      <c r="BL74" s="14">
        <f ca="1">ROUND(BD74*T74*AB74*K74*AZ74*[2]ステータス!$C$2,0)</f>
        <v>1746</v>
      </c>
      <c r="BM74" s="14">
        <f ca="1">ROUND(BD74*U74*AC74*L74*BA74*[2]ステータス!$D$2,0)</f>
        <v>0</v>
      </c>
      <c r="BN74" s="14">
        <f ca="1">ROUND(BD74*V74*AD74*M74*BB74*[2]ステータス!$E$2,0)</f>
        <v>1239</v>
      </c>
      <c r="BO74" s="13">
        <v>0</v>
      </c>
      <c r="BP74" s="13">
        <v>1</v>
      </c>
      <c r="BQ74" s="13" t="s">
        <v>102</v>
      </c>
      <c r="BR74" s="13">
        <f ca="1">VLOOKUP(H74,ghosts_label!$A$2:$B$19,2,FALSE)</f>
        <v>1</v>
      </c>
    </row>
    <row r="75" spans="1:70" ht="21" customHeight="1" x14ac:dyDescent="0.15">
      <c r="A75" s="14">
        <f t="shared" ca="1" si="8"/>
        <v>74</v>
      </c>
      <c r="B75" s="77" t="str">
        <f ca="1">VLOOKUP($A75,OFFSET([2]characters!$A$1,0,0,COUNTA([2]characters!$A:$A),MATCH(B$1,[2]characters!$1:$1,0)-MATCH($A$1,[2]characters!$1:$1,0)+1),MATCH(B$1,[2]characters!$1:$1,0)-MATCH($A$1,[2]characters!$1:$1,0)+1,FALSE)</f>
        <v>サンダーバード</v>
      </c>
      <c r="C75" s="77" t="str">
        <f ca="1">VLOOKUP($A75,OFFSET([2]characters!$A$1,0,0,COUNTA([2]characters!$A:$A),MATCH(C$1,[2]characters!$1:$1,0)-MATCH($A$1,[2]characters!$1:$1,0)+1),MATCH(C$1,[2]characters!$1:$1,0)-MATCH($A$1,[2]characters!$1:$1,0)+1,FALSE)</f>
        <v>ノーマルクエスト</v>
      </c>
      <c r="D75" s="77" t="str">
        <f ca="1">VLOOKUP($A75,OFFSET([2]characters!$A$1,0,0,COUNTA([2]characters!$A:$A),MATCH(D$1,[2]characters!$1:$1,0)-MATCH($A$1,[2]characters!$1:$1,0)+1),MATCH(D$1,[2]characters!$1:$1,0)-MATCH($A$1,[2]characters!$1:$1,0)+1,FALSE)</f>
        <v>アバター</v>
      </c>
      <c r="E75" s="77" t="str">
        <f ca="1">VLOOKUP($A75,OFFSET([2]characters!$A$1,0,0,COUNTA([2]characters!$A:$A),MATCH(E$1,[2]characters!$1:$1,0)-MATCH($A$1,[2]characters!$1:$1,0)+1),MATCH(E$1,[2]characters!$1:$1,0)-MATCH($A$1,[2]characters!$1:$1,0)+1,FALSE)</f>
        <v>世界観</v>
      </c>
      <c r="F75" s="77" t="str">
        <f ca="1">VLOOKUP($A75,OFFSET([2]characters!$A$1,0,0,COUNTA([2]characters!$A:$A),MATCH(F$1,[2]characters!$1:$1,0)-MATCH($A$1,[2]characters!$1:$1,0)+1),MATCH(F$1,[2]characters!$1:$1,0)-MATCH($A$1,[2]characters!$1:$1,0)+1,FALSE)</f>
        <v>男性</v>
      </c>
      <c r="G75" s="77">
        <f ca="1">VLOOKUP($A75,OFFSET([2]characters!$A$1,0,0,COUNTA([2]characters!$A:$A),MATCH(G$1,[2]characters!$1:$1,0)-MATCH($A$1,[2]characters!$1:$1,0)+1),MATCH(G$1,[2]characters!$1:$1,0)-MATCH($A$1,[2]characters!$1:$1,0)+1,FALSE)</f>
        <v>2</v>
      </c>
      <c r="H75" s="77" t="str">
        <f ca="1">VLOOKUP($A75,OFFSET([2]characters!$A$1,0,0,COUNTA([2]characters!$A:$A),MATCH(H$1,[2]characters!$1:$1,0)-MATCH($A$1,[2]characters!$1:$1,0)+1),MATCH(H$1,[2]characters!$1:$1,0)-MATCH($A$1,[2]characters!$1:$1,0)+1,FALSE)</f>
        <v>Drop1S</v>
      </c>
      <c r="I75" s="77" t="str">
        <f ca="1">VLOOKUP($A75,OFFSET([2]characters!$A$1,0,0,COUNTA([2]characters!$A:$A),MATCH(I$1,[2]characters!$1:$1,0)-MATCH($A$1,[2]characters!$1:$1,0)+1),MATCH(I$1,[2]characters!$1:$1,0)-MATCH($A$1,[2]characters!$1:$1,0)+1,FALSE)</f>
        <v>yellow</v>
      </c>
      <c r="J75" s="14">
        <f ca="1">VLOOKUP(I75,[2]属性!$A:$E,2,FALSE)</f>
        <v>0.98</v>
      </c>
      <c r="K75" s="14">
        <f ca="1">VLOOKUP(I75,[2]属性!$A:$E,3,FALSE)</f>
        <v>1.01</v>
      </c>
      <c r="L75" s="14">
        <f ca="1">VLOOKUP(I75,[2]属性!$A:$E,4,FALSE)</f>
        <v>1</v>
      </c>
      <c r="M75" s="14">
        <f ca="1">VLOOKUP(I75,[2]属性!$A:$E,5,FALSE)</f>
        <v>1.01</v>
      </c>
      <c r="N75" s="14">
        <f ca="1">INDEX(コスト!$A$1:$I$20,MATCH(H75,コスト!$A$1:$A$20,FALSE),MATCH(G75,コスト!$A$1:$I$1,FALSE))</f>
        <v>4</v>
      </c>
      <c r="O75" s="14">
        <f ca="1">INDEX(レベル!$A$1:$I$21,MATCH(H75,レベル!$A$1:$A$21,FALSE),MATCH(G75,レベル!$A$1:$I$1,FALSE))</f>
        <v>30</v>
      </c>
      <c r="P75" s="63">
        <f t="shared" ca="1" si="14"/>
        <v>30</v>
      </c>
      <c r="Q75" s="77" t="str">
        <f ca="1">VLOOKUP($A75,OFFSET([2]characters!$A$1,0,0,COUNTA([2]characters!$A:$A),MATCH(Q$1,[2]characters!$1:$1,0)-MATCH($A$1,[2]characters!$1:$1,0)+1),MATCH(Q$1,[2]characters!$1:$1,0)-MATCH($A$1,[2]characters!$1:$1,0)+1,FALSE)</f>
        <v>attack</v>
      </c>
      <c r="R75" s="8" t="str">
        <f ca="1">VLOOKUP(Q75,[2]character_type_i18n!$A:$H,3,FALSE)</f>
        <v>攻撃タイプ</v>
      </c>
      <c r="S75" s="14">
        <f ca="1">VLOOKUP(Q75,[2]character_type_i18n!$A:$H,4,FALSE)</f>
        <v>1</v>
      </c>
      <c r="T75" s="14">
        <f ca="1">VLOOKUP(Q75,[2]character_type_i18n!$A:$H,5,FALSE)</f>
        <v>1.33</v>
      </c>
      <c r="U75" s="14">
        <f ca="1">VLOOKUP(Q75,[2]character_type_i18n!$A:$H,6,FALSE)</f>
        <v>1</v>
      </c>
      <c r="V75" s="14">
        <f ca="1">VLOOKUP(Q75,[2]character_type_i18n!$A:$H,7,FALSE)</f>
        <v>0.67</v>
      </c>
      <c r="W75" s="77" t="str">
        <f ca="1">VLOOKUP($A75,OFFSET([2]characters!$A$1,0,0,COUNTA([2]characters!$A:$A),MATCH(W$1,[2]characters!$1:$1,0)-MATCH($A$1,[2]characters!$1:$1,0)+1),MATCH(W$1,[2]characters!$1:$1,0)-MATCH($A$1,[2]characters!$1:$1,0)+1,FALSE)</f>
        <v>animal</v>
      </c>
      <c r="X75" s="8" t="str">
        <f ca="1">VLOOKUP(W75,[2]character_tribe_i18n!$A:$H,3,FALSE)</f>
        <v>アニマル</v>
      </c>
      <c r="Y75" s="77" t="str">
        <f ca="1">VLOOKUP($A75,OFFSET([2]characters!$A$1,0,0,COUNTA([2]characters!$A:$A),MATCH(Y$1,[2]characters!$1:$1,0)-MATCH($A$1,[2]characters!$1:$1,0)+1),MATCH(Y$1,[2]characters!$1:$1,0)-MATCH($A$1,[2]characters!$1:$1,0)+1,FALSE)</f>
        <v>none</v>
      </c>
      <c r="Z75" s="8" t="str">
        <f ca="1">VLOOKUP(Y75,[2]character_tribe_i18n!$A:$H,3,FALSE)</f>
        <v>種族なし</v>
      </c>
      <c r="AA75" s="14">
        <f ca="1">VLOOKUP(W75,[2]character_tribe_i18n!$A:$H,4,FALSE)</f>
        <v>1</v>
      </c>
      <c r="AB75" s="14">
        <f ca="1">VLOOKUP(W75,[2]character_tribe_i18n!$A:$H,5,FALSE)</f>
        <v>1.1000000000000001</v>
      </c>
      <c r="AC75" s="14">
        <f ca="1">VLOOKUP(W75,[2]character_tribe_i18n!$A:$H,6,FALSE)</f>
        <v>1</v>
      </c>
      <c r="AD75" s="14">
        <f ca="1">VLOOKUP(W75,[2]character_tribe_i18n!$A:$H,7,FALSE)</f>
        <v>0.9</v>
      </c>
      <c r="AE75" s="12">
        <v>75</v>
      </c>
      <c r="AF75" s="85" t="str">
        <f ca="1">IF(AE75="NULL","",VLOOKUP($AE75,OFFSET([2]characters!$A$1,0,0,COUNTA([2]characters!$A:$A),MATCH(AF$1,[2]characters!$1:$1,0)-MATCH($A$1,[2]characters!$1:$1,0)+1),MATCH(AF$1,[2]characters!$1:$1,0)-MATCH($A$1,[2]characters!$1:$1,0)+1,FALSE))</f>
        <v>伝令者 サンダーバード</v>
      </c>
      <c r="AG75" s="8">
        <f t="shared" ca="1" si="9"/>
        <v>74</v>
      </c>
      <c r="AH75" s="85" t="str">
        <f ca="1">VLOOKUP($AG75,OFFSET([2]characters!$A$1,0,0,COUNTA([2]characters!$A:$A),MATCH(AH$1,[2]characters!$1:$1,0)-MATCH($A$1,[2]characters!$1:$1,0)+1),MATCH(AH$1,[2]characters!$1:$1,0)-MATCH($A$1,[2]characters!$1:$1,0)+1,FALSE)</f>
        <v>サンダーバード</v>
      </c>
      <c r="AI75" s="14">
        <f ca="1">IF(AE75="NULL","NULL",VLOOKUP(G75,ビット!$A$2:$B$7,2))</f>
        <v>10000</v>
      </c>
      <c r="AJ75" s="9">
        <v>2</v>
      </c>
      <c r="AK75" s="10" t="str">
        <f t="shared" si="10"/>
        <v>普通</v>
      </c>
      <c r="AL75" s="14" t="str">
        <f ca="1">INDEX(経験値!$A$1:$I$20,MATCH(H75,経験値!$A$1:$A$20,FALSE),MATCH(G75,経験値!$A$1:$I$1,FALSE))</f>
        <v>required_exp_150</v>
      </c>
      <c r="AM75" s="11">
        <f ca="1">VLOOKUP(G75,経験値!$A$27:$B$31,2)</f>
        <v>600</v>
      </c>
      <c r="AN75" s="21">
        <f ca="1">VLOOKUP(G75,ビット!$G$2:$H$7,2)</f>
        <v>150</v>
      </c>
      <c r="AO75" s="64" t="s">
        <v>195</v>
      </c>
      <c r="AP75" s="97">
        <v>534001</v>
      </c>
      <c r="AQ75" s="77" t="e">
        <f ca="1">VLOOKUP($AP75,OFFSET([1]unit_skills!$A$1,0,0,COUNTA([1]unit_skills!$A:$A),MATCH("name",[1]unit_skills!$1:$1,0)-MATCH($AP$1,[1]unit_skills!$1:$1,0)+1),MATCH("name",[1]unit_skills!$1:$1,0)-MATCH($AP$1,[1]unit_skills!$1:$1,0)+1,FALSE)</f>
        <v>#VALUE!</v>
      </c>
      <c r="AR75" s="77" t="e">
        <f ca="1">VLOOKUP($AP75,OFFSET([1]unit_skills!$A$1,0,0,COUNTA([1]unit_skills!$A:$A),MATCH("comment",[1]unit_skills!$1:$1,0)-MATCH($AP$1,[1]unit_skills!$1:$1,0)+1),MATCH("comment",[1]unit_skills!$1:$1,0)-MATCH($AP$1,[1]unit_skills!$1:$1,0)+1,FALSE)</f>
        <v>#VALUE!</v>
      </c>
      <c r="AS75" s="77" t="e">
        <f ca="1">VLOOKUP($AP75,OFFSET([1]unit_skills!$A$1,0,0,COUNTA([1]unit_skills!$A:$A),MATCH(AS$1,[1]unit_skills!$1:$1,0)-MATCH($AP$1,[1]unit_skills!$1:$1,0)+1),MATCH(AS$1,[1]unit_skills!$1:$1,0)-MATCH($AP$1,[1]unit_skills!$1:$1,0)+1,FALSE)</f>
        <v>#VALUE!</v>
      </c>
      <c r="AT75" s="97">
        <v>174201</v>
      </c>
      <c r="AU75" s="77" t="e">
        <f ca="1">VLOOKUP($AT75,OFFSET([1]crash_skills!$A$1,0,0,COUNTA([1]crash_skills!$A:$A),MATCH("name",[1]crash_skills!$1:$1,0)-MATCH($AT$1,[1]crash_skills!$1:$1,0)+1),MATCH("name",[1]crash_skills!$1:$1,0)-MATCH($AT$1,[1]crash_skills!$1:$1,0)+1,FALSE)</f>
        <v>#VALUE!</v>
      </c>
      <c r="AV75" s="77" t="e">
        <f ca="1">VLOOKUP($AT75,OFFSET([1]crash_skills!$A$1,0,0,COUNTA([1]crash_skills!$A:$A),MATCH("comment",[1]crash_skills!$1:$1,0)-MATCH($AT$1,[1]crash_skills!$1:$1,0)+1),MATCH("comment",[1]crash_skills!$1:$1,0)-MATCH($AT$1,[1]crash_skills!$1:$1,0)+1,FALSE)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75" s="77" t="e">
        <f ca="1">VLOOKUP($AT75,OFFSET([1]crash_skills!$A$1,0,0,COUNTA([1]crash_skills!$A:$A),MATCH(AW$1,[1]crash_skills!$1:$1,0)-MATCH($AT$1,[1]crash_skills!$1:$1,0)+1),MATCH(AW$1,[1]crash_skills!$1:$1,0)-MATCH($AT$1,[1]crash_skills!$1:$1,0)+1,FALSE)</f>
        <v>#VALUE!</v>
      </c>
      <c r="AX75" s="81">
        <f ca="1">VLOOKUP($A75,OFFSET([2]characters!$A$1,0,0,COUNTA([2]characters!$A:$A),MATCH(AX$1,[2]characters!$1:$1,0)-MATCH($A$1,[2]characters!$1:$1,0)+1),MATCH(AX$1,[2]characters!$1:$1,0)-MATCH($A$1,[2]characters!$1:$1,0)+1,FALSE)</f>
        <v>3</v>
      </c>
      <c r="AY75" s="19">
        <v>1</v>
      </c>
      <c r="AZ75" s="19">
        <v>1</v>
      </c>
      <c r="BA75" s="19">
        <v>0</v>
      </c>
      <c r="BB75" s="19">
        <v>1</v>
      </c>
      <c r="BC75" s="14">
        <f ca="1">INDEX('RC6SV'!$A$1:$G$20,MATCH(H75,'RC6SV'!$A$1:$A$20,FALSE),MATCH(G75,'RC6SV'!$A$1:$G$1,FALSE))</f>
        <v>3000</v>
      </c>
      <c r="BD75" s="63">
        <f t="shared" ca="1" si="11"/>
        <v>3000</v>
      </c>
      <c r="BE75" s="14">
        <f t="shared" ca="1" si="12"/>
        <v>0</v>
      </c>
      <c r="BF75" s="14">
        <f t="shared" ca="1" si="13"/>
        <v>1</v>
      </c>
      <c r="BG75" s="20">
        <f ca="1">IF($BE75&lt;=0,ROUND(BK75*0.5,0), ROUND($BE75*S75*AA75*J75*AY75*0.8*[2]ステータス!$B$2,0))</f>
        <v>735</v>
      </c>
      <c r="BH75" s="20">
        <f ca="1">IF($BE75&lt;=0,ROUND(BL75*0.5,0), ROUND($BE75*T75*AB75*K75*AZ75*0.8*[2]ステータス!$C$2,0))</f>
        <v>665</v>
      </c>
      <c r="BI75" s="20">
        <f ca="1">IF($BE75&lt;=0,ROUND(BM75*0.5,0), ROUND($BE75*U75*AC75*L75*BA75*0.8*[2]ステータス!$D$2,0))</f>
        <v>0</v>
      </c>
      <c r="BJ75" s="20">
        <f ca="1">IF($BE75&lt;=0,ROUND(BN75*0.5,0), ROUND($BE75*V75*AD75*M75*BB75*0.8*[2]ステータス!$E$2,0))</f>
        <v>229</v>
      </c>
      <c r="BK75" s="14">
        <f ca="1">ROUND(BD75*S75*AA75*J75*AY75*[2]ステータス!$B$2,0)</f>
        <v>1470</v>
      </c>
      <c r="BL75" s="14">
        <f ca="1">ROUND(BD75*T75*AB75*K75*AZ75*[2]ステータス!$C$2,0)</f>
        <v>1330</v>
      </c>
      <c r="BM75" s="14">
        <f ca="1">ROUND(BD75*U75*AC75*L75*BA75*[2]ステータス!$D$2,0)</f>
        <v>0</v>
      </c>
      <c r="BN75" s="14">
        <f ca="1">ROUND(BD75*V75*AD75*M75*BB75*[2]ステータス!$E$2,0)</f>
        <v>457</v>
      </c>
      <c r="BO75" s="13">
        <v>0</v>
      </c>
      <c r="BP75" s="13">
        <v>1</v>
      </c>
      <c r="BQ75" s="13" t="s">
        <v>102</v>
      </c>
      <c r="BR75" s="13">
        <f ca="1">VLOOKUP(H75,ghosts_label!$A$2:$B$19,2,FALSE)</f>
        <v>1</v>
      </c>
    </row>
    <row r="76" spans="1:70" ht="21" customHeight="1" x14ac:dyDescent="0.15">
      <c r="A76" s="14">
        <f t="shared" ca="1" si="8"/>
        <v>75</v>
      </c>
      <c r="B76" s="77" t="str">
        <f ca="1">VLOOKUP($A76,OFFSET([2]characters!$A$1,0,0,COUNTA([2]characters!$A:$A),MATCH(B$1,[2]characters!$1:$1,0)-MATCH($A$1,[2]characters!$1:$1,0)+1),MATCH(B$1,[2]characters!$1:$1,0)-MATCH($A$1,[2]characters!$1:$1,0)+1,FALSE)</f>
        <v>伝令者 サンダーバード</v>
      </c>
      <c r="C76" s="77" t="str">
        <f ca="1">VLOOKUP($A76,OFFSET([2]characters!$A$1,0,0,COUNTA([2]characters!$A:$A),MATCH(C$1,[2]characters!$1:$1,0)-MATCH($A$1,[2]characters!$1:$1,0)+1),MATCH(C$1,[2]characters!$1:$1,0)-MATCH($A$1,[2]characters!$1:$1,0)+1,FALSE)</f>
        <v>ノーマルクエスト</v>
      </c>
      <c r="D76" s="77" t="str">
        <f ca="1">VLOOKUP($A76,OFFSET([2]characters!$A$1,0,0,COUNTA([2]characters!$A:$A),MATCH(D$1,[2]characters!$1:$1,0)-MATCH($A$1,[2]characters!$1:$1,0)+1),MATCH(D$1,[2]characters!$1:$1,0)-MATCH($A$1,[2]characters!$1:$1,0)+1,FALSE)</f>
        <v>アバター</v>
      </c>
      <c r="E76" s="77" t="str">
        <f ca="1">VLOOKUP($A76,OFFSET([2]characters!$A$1,0,0,COUNTA([2]characters!$A:$A),MATCH(E$1,[2]characters!$1:$1,0)-MATCH($A$1,[2]characters!$1:$1,0)+1),MATCH(E$1,[2]characters!$1:$1,0)-MATCH($A$1,[2]characters!$1:$1,0)+1,FALSE)</f>
        <v>世界観</v>
      </c>
      <c r="F76" s="77" t="str">
        <f ca="1">VLOOKUP($A76,OFFSET([2]characters!$A$1,0,0,COUNTA([2]characters!$A:$A),MATCH(F$1,[2]characters!$1:$1,0)-MATCH($A$1,[2]characters!$1:$1,0)+1),MATCH(F$1,[2]characters!$1:$1,0)-MATCH($A$1,[2]characters!$1:$1,0)+1,FALSE)</f>
        <v>男性</v>
      </c>
      <c r="G76" s="77">
        <f ca="1">VLOOKUP($A76,OFFSET([2]characters!$A$1,0,0,COUNTA([2]characters!$A:$A),MATCH(G$1,[2]characters!$1:$1,0)-MATCH($A$1,[2]characters!$1:$1,0)+1),MATCH(G$1,[2]characters!$1:$1,0)-MATCH($A$1,[2]characters!$1:$1,0)+1,FALSE)</f>
        <v>3</v>
      </c>
      <c r="H76" s="77" t="str">
        <f ca="1">VLOOKUP($A76,OFFSET([2]characters!$A$1,0,0,COUNTA([2]characters!$A:$A),MATCH(H$1,[2]characters!$1:$1,0)-MATCH($A$1,[2]characters!$1:$1,0)+1),MATCH(H$1,[2]characters!$1:$1,0)-MATCH($A$1,[2]characters!$1:$1,0)+1,FALSE)</f>
        <v>Drop1S</v>
      </c>
      <c r="I76" s="77" t="str">
        <f ca="1">VLOOKUP($A76,OFFSET([2]characters!$A$1,0,0,COUNTA([2]characters!$A:$A),MATCH(I$1,[2]characters!$1:$1,0)-MATCH($A$1,[2]characters!$1:$1,0)+1),MATCH(I$1,[2]characters!$1:$1,0)-MATCH($A$1,[2]characters!$1:$1,0)+1,FALSE)</f>
        <v>yellow</v>
      </c>
      <c r="J76" s="14">
        <f ca="1">VLOOKUP(I76,[2]属性!$A:$E,2,FALSE)</f>
        <v>0.98</v>
      </c>
      <c r="K76" s="14">
        <f ca="1">VLOOKUP(I76,[2]属性!$A:$E,3,FALSE)</f>
        <v>1.01</v>
      </c>
      <c r="L76" s="14">
        <f ca="1">VLOOKUP(I76,[2]属性!$A:$E,4,FALSE)</f>
        <v>1</v>
      </c>
      <c r="M76" s="14">
        <f ca="1">VLOOKUP(I76,[2]属性!$A:$E,5,FALSE)</f>
        <v>1.01</v>
      </c>
      <c r="N76" s="14">
        <f ca="1">INDEX(コスト!$A$1:$I$20,MATCH(H76,コスト!$A$1:$A$20,FALSE),MATCH(G76,コスト!$A$1:$I$1,FALSE))</f>
        <v>6</v>
      </c>
      <c r="O76" s="14">
        <f ca="1">INDEX(レベル!$A$1:$I$21,MATCH(H76,レベル!$A$1:$A$21,FALSE),MATCH(G76,レベル!$A$1:$I$1,FALSE))</f>
        <v>40</v>
      </c>
      <c r="P76" s="63">
        <f t="shared" ca="1" si="14"/>
        <v>45</v>
      </c>
      <c r="Q76" s="77" t="str">
        <f ca="1">VLOOKUP($A76,OFFSET([2]characters!$A$1,0,0,COUNTA([2]characters!$A:$A),MATCH(Q$1,[2]characters!$1:$1,0)-MATCH($A$1,[2]characters!$1:$1,0)+1),MATCH(Q$1,[2]characters!$1:$1,0)-MATCH($A$1,[2]characters!$1:$1,0)+1,FALSE)</f>
        <v>attack</v>
      </c>
      <c r="R76" s="8" t="str">
        <f ca="1">VLOOKUP(Q76,[2]character_type_i18n!$A:$H,3,FALSE)</f>
        <v>攻撃タイプ</v>
      </c>
      <c r="S76" s="14">
        <f ca="1">VLOOKUP(Q76,[2]character_type_i18n!$A:$H,4,FALSE)</f>
        <v>1</v>
      </c>
      <c r="T76" s="14">
        <f ca="1">VLOOKUP(Q76,[2]character_type_i18n!$A:$H,5,FALSE)</f>
        <v>1.33</v>
      </c>
      <c r="U76" s="14">
        <f ca="1">VLOOKUP(Q76,[2]character_type_i18n!$A:$H,6,FALSE)</f>
        <v>1</v>
      </c>
      <c r="V76" s="14">
        <f ca="1">VLOOKUP(Q76,[2]character_type_i18n!$A:$H,7,FALSE)</f>
        <v>0.67</v>
      </c>
      <c r="W76" s="77" t="str">
        <f ca="1">VLOOKUP($A76,OFFSET([2]characters!$A$1,0,0,COUNTA([2]characters!$A:$A),MATCH(W$1,[2]characters!$1:$1,0)-MATCH($A$1,[2]characters!$1:$1,0)+1),MATCH(W$1,[2]characters!$1:$1,0)-MATCH($A$1,[2]characters!$1:$1,0)+1,FALSE)</f>
        <v>animal</v>
      </c>
      <c r="X76" s="8" t="str">
        <f ca="1">VLOOKUP(W76,[2]character_tribe_i18n!$A:$H,3,FALSE)</f>
        <v>アニマル</v>
      </c>
      <c r="Y76" s="77" t="str">
        <f ca="1">VLOOKUP($A76,OFFSET([2]characters!$A$1,0,0,COUNTA([2]characters!$A:$A),MATCH(Y$1,[2]characters!$1:$1,0)-MATCH($A$1,[2]characters!$1:$1,0)+1),MATCH(Y$1,[2]characters!$1:$1,0)-MATCH($A$1,[2]characters!$1:$1,0)+1,FALSE)</f>
        <v>none</v>
      </c>
      <c r="Z76" s="8" t="str">
        <f ca="1">VLOOKUP(Y76,[2]character_tribe_i18n!$A:$H,3,FALSE)</f>
        <v>種族なし</v>
      </c>
      <c r="AA76" s="14">
        <f ca="1">VLOOKUP(W76,[2]character_tribe_i18n!$A:$H,4,FALSE)</f>
        <v>1</v>
      </c>
      <c r="AB76" s="14">
        <f ca="1">VLOOKUP(W76,[2]character_tribe_i18n!$A:$H,5,FALSE)</f>
        <v>1.1000000000000001</v>
      </c>
      <c r="AC76" s="14">
        <f ca="1">VLOOKUP(W76,[2]character_tribe_i18n!$A:$H,6,FALSE)</f>
        <v>1</v>
      </c>
      <c r="AD76" s="14">
        <f ca="1">VLOOKUP(W76,[2]character_tribe_i18n!$A:$H,7,FALSE)</f>
        <v>0.9</v>
      </c>
      <c r="AE76" s="12">
        <v>76</v>
      </c>
      <c r="AF76" s="85" t="str">
        <f ca="1">IF(AE76="NULL","",VLOOKUP($AE76,OFFSET([2]characters!$A$1,0,0,COUNTA([2]characters!$A:$A),MATCH(AF$1,[2]characters!$1:$1,0)-MATCH($A$1,[2]characters!$1:$1,0)+1),MATCH(AF$1,[2]characters!$1:$1,0)-MATCH($A$1,[2]characters!$1:$1,0)+1,FALSE))</f>
        <v>閃速の伝令者 サンダーバード</v>
      </c>
      <c r="AG76" s="8">
        <f t="shared" ca="1" si="9"/>
        <v>74</v>
      </c>
      <c r="AH76" s="85" t="str">
        <f ca="1">VLOOKUP($AG76,OFFSET([2]characters!$A$1,0,0,COUNTA([2]characters!$A:$A),MATCH(AH$1,[2]characters!$1:$1,0)-MATCH($A$1,[2]characters!$1:$1,0)+1),MATCH(AH$1,[2]characters!$1:$1,0)-MATCH($A$1,[2]characters!$1:$1,0)+1,FALSE)</f>
        <v>サンダーバード</v>
      </c>
      <c r="AI76" s="14">
        <f ca="1">IF(AE76="NULL","NULL",VLOOKUP(G76,ビット!$A$2:$B$7,2))</f>
        <v>20000</v>
      </c>
      <c r="AJ76" s="9">
        <v>2</v>
      </c>
      <c r="AK76" s="10" t="str">
        <f t="shared" si="10"/>
        <v>普通</v>
      </c>
      <c r="AL76" s="14" t="str">
        <f ca="1">INDEX(経験値!$A$1:$I$20,MATCH(H76,経験値!$A$1:$A$20,FALSE),MATCH(G76,経験値!$A$1:$I$1,FALSE))</f>
        <v>required_exp_150</v>
      </c>
      <c r="AM76" s="11">
        <f ca="1">VLOOKUP(G76,経験値!$A$27:$B$31,2)</f>
        <v>1500</v>
      </c>
      <c r="AN76" s="21">
        <f ca="1">VLOOKUP(G76,ビット!$G$2:$H$7,2)</f>
        <v>300</v>
      </c>
      <c r="AO76" s="64" t="s">
        <v>195</v>
      </c>
      <c r="AP76" s="97">
        <v>534001</v>
      </c>
      <c r="AQ76" s="77" t="e">
        <f ca="1">VLOOKUP($AP76,OFFSET([1]unit_skills!$A$1,0,0,COUNTA([1]unit_skills!$A:$A),MATCH("name",[1]unit_skills!$1:$1,0)-MATCH($AP$1,[1]unit_skills!$1:$1,0)+1),MATCH("name",[1]unit_skills!$1:$1,0)-MATCH($AP$1,[1]unit_skills!$1:$1,0)+1,FALSE)</f>
        <v>#VALUE!</v>
      </c>
      <c r="AR76" s="77" t="e">
        <f ca="1">VLOOKUP($AP76,OFFSET([1]unit_skills!$A$1,0,0,COUNTA([1]unit_skills!$A:$A),MATCH("comment",[1]unit_skills!$1:$1,0)-MATCH($AP$1,[1]unit_skills!$1:$1,0)+1),MATCH("comment",[1]unit_skills!$1:$1,0)-MATCH($AP$1,[1]unit_skills!$1:$1,0)+1,FALSE)</f>
        <v>#VALUE!</v>
      </c>
      <c r="AS76" s="77" t="e">
        <f ca="1">VLOOKUP($AP76,OFFSET([1]unit_skills!$A$1,0,0,COUNTA([1]unit_skills!$A:$A),MATCH(AS$1,[1]unit_skills!$1:$1,0)-MATCH($AP$1,[1]unit_skills!$1:$1,0)+1),MATCH(AS$1,[1]unit_skills!$1:$1,0)-MATCH($AP$1,[1]unit_skills!$1:$1,0)+1,FALSE)</f>
        <v>#VALUE!</v>
      </c>
      <c r="AT76" s="97">
        <v>174202</v>
      </c>
      <c r="AU76" s="77" t="e">
        <f ca="1">VLOOKUP($AT76,OFFSET([1]crash_skills!$A$1,0,0,COUNTA([1]crash_skills!$A:$A),MATCH("name",[1]crash_skills!$1:$1,0)-MATCH($AT$1,[1]crash_skills!$1:$1,0)+1),MATCH("name",[1]crash_skills!$1:$1,0)-MATCH($AT$1,[1]crash_skills!$1:$1,0)+1,FALSE)</f>
        <v>#VALUE!</v>
      </c>
      <c r="AV76" s="77" t="e">
        <f ca="1">VLOOKUP($AT76,OFFSET([1]crash_skills!$A$1,0,0,COUNTA([1]crash_skills!$A:$A),MATCH("comment",[1]crash_skills!$1:$1,0)-MATCH($AT$1,[1]crash_skills!$1:$1,0)+1),MATCH("comment",[1]crash_skills!$1:$1,0)-MATCH($AT$1,[1]crash_skills!$1:$1,0)+1,FALSE)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76" s="77" t="e">
        <f ca="1">VLOOKUP($AT76,OFFSET([1]crash_skills!$A$1,0,0,COUNTA([1]crash_skills!$A:$A),MATCH(AW$1,[1]crash_skills!$1:$1,0)-MATCH($AT$1,[1]crash_skills!$1:$1,0)+1),MATCH(AW$1,[1]crash_skills!$1:$1,0)-MATCH($AT$1,[1]crash_skills!$1:$1,0)+1,FALSE)</f>
        <v>#VALUE!</v>
      </c>
      <c r="AX76" s="81">
        <f ca="1">VLOOKUP($A76,OFFSET([2]characters!$A$1,0,0,COUNTA([2]characters!$A:$A),MATCH(AX$1,[2]characters!$1:$1,0)-MATCH($A$1,[2]characters!$1:$1,0)+1),MATCH(AX$1,[2]characters!$1:$1,0)-MATCH($A$1,[2]characters!$1:$1,0)+1,FALSE)</f>
        <v>3</v>
      </c>
      <c r="AY76" s="19">
        <v>1</v>
      </c>
      <c r="AZ76" s="19">
        <v>1</v>
      </c>
      <c r="BA76" s="19">
        <v>0</v>
      </c>
      <c r="BB76" s="19">
        <v>1</v>
      </c>
      <c r="BC76" s="14">
        <f ca="1">INDEX('RC6SV'!$A$1:$G$20,MATCH(H76,'RC6SV'!$A$1:$A$20,FALSE),MATCH(G76,'RC6SV'!$A$1:$G$1,FALSE))</f>
        <v>4200</v>
      </c>
      <c r="BD76" s="63">
        <f t="shared" ca="1" si="11"/>
        <v>4200</v>
      </c>
      <c r="BE76" s="14">
        <f t="shared" ca="1" si="12"/>
        <v>3000</v>
      </c>
      <c r="BF76" s="14">
        <f t="shared" ca="1" si="13"/>
        <v>1</v>
      </c>
      <c r="BG76" s="20">
        <f ca="1">IF($BE76&lt;=0,ROUND(BK76*0.5,0), ROUND($BE76*S76*AA76*J76*AY76*0.8*[2]ステータス!$B$2,0))</f>
        <v>1176</v>
      </c>
      <c r="BH76" s="20">
        <f ca="1">IF($BE76&lt;=0,ROUND(BL76*0.5,0), ROUND($BE76*T76*AB76*K76*AZ76*0.8*[2]ステータス!$C$2,0))</f>
        <v>1064</v>
      </c>
      <c r="BI76" s="20">
        <f ca="1">IF($BE76&lt;=0,ROUND(BM76*0.5,0), ROUND($BE76*U76*AC76*L76*BA76*0.8*[2]ステータス!$D$2,0))</f>
        <v>0</v>
      </c>
      <c r="BJ76" s="20">
        <f ca="1">IF($BE76&lt;=0,ROUND(BN76*0.5,0), ROUND($BE76*V76*AD76*M76*BB76*0.8*[2]ステータス!$E$2,0))</f>
        <v>365</v>
      </c>
      <c r="BK76" s="14">
        <f ca="1">ROUND(BD76*S76*AA76*J76*AY76*[2]ステータス!$B$2,0)</f>
        <v>2058</v>
      </c>
      <c r="BL76" s="14">
        <f ca="1">ROUND(BD76*T76*AB76*K76*AZ76*[2]ステータス!$C$2,0)</f>
        <v>1862</v>
      </c>
      <c r="BM76" s="14">
        <f ca="1">ROUND(BD76*U76*AC76*L76*BA76*[2]ステータス!$D$2,0)</f>
        <v>0</v>
      </c>
      <c r="BN76" s="14">
        <f ca="1">ROUND(BD76*V76*AD76*M76*BB76*[2]ステータス!$E$2,0)</f>
        <v>639</v>
      </c>
      <c r="BO76" s="13">
        <v>0</v>
      </c>
      <c r="BP76" s="13">
        <v>1</v>
      </c>
      <c r="BQ76" s="13" t="s">
        <v>102</v>
      </c>
      <c r="BR76" s="13">
        <f ca="1">VLOOKUP(H76,ghosts_label!$A$2:$B$19,2,FALSE)</f>
        <v>1</v>
      </c>
    </row>
    <row r="77" spans="1:70" ht="21" customHeight="1" x14ac:dyDescent="0.15">
      <c r="A77" s="14">
        <f t="shared" ca="1" si="8"/>
        <v>76</v>
      </c>
      <c r="B77" s="77" t="str">
        <f ca="1">VLOOKUP($A77,OFFSET([2]characters!$A$1,0,0,COUNTA([2]characters!$A:$A),MATCH(B$1,[2]characters!$1:$1,0)-MATCH($A$1,[2]characters!$1:$1,0)+1),MATCH(B$1,[2]characters!$1:$1,0)-MATCH($A$1,[2]characters!$1:$1,0)+1,FALSE)</f>
        <v>閃速の伝令者 サンダーバード</v>
      </c>
      <c r="C77" s="77" t="str">
        <f ca="1">VLOOKUP($A77,OFFSET([2]characters!$A$1,0,0,COUNTA([2]characters!$A:$A),MATCH(C$1,[2]characters!$1:$1,0)-MATCH($A$1,[2]characters!$1:$1,0)+1),MATCH(C$1,[2]characters!$1:$1,0)-MATCH($A$1,[2]characters!$1:$1,0)+1,FALSE)</f>
        <v>ノーマルクエスト</v>
      </c>
      <c r="D77" s="77" t="str">
        <f ca="1">VLOOKUP($A77,OFFSET([2]characters!$A$1,0,0,COUNTA([2]characters!$A:$A),MATCH(D$1,[2]characters!$1:$1,0)-MATCH($A$1,[2]characters!$1:$1,0)+1),MATCH(D$1,[2]characters!$1:$1,0)-MATCH($A$1,[2]characters!$1:$1,0)+1,FALSE)</f>
        <v>アバター</v>
      </c>
      <c r="E77" s="77" t="str">
        <f ca="1">VLOOKUP($A77,OFFSET([2]characters!$A$1,0,0,COUNTA([2]characters!$A:$A),MATCH(E$1,[2]characters!$1:$1,0)-MATCH($A$1,[2]characters!$1:$1,0)+1),MATCH(E$1,[2]characters!$1:$1,0)-MATCH($A$1,[2]characters!$1:$1,0)+1,FALSE)</f>
        <v>世界観</v>
      </c>
      <c r="F77" s="77" t="str">
        <f ca="1">VLOOKUP($A77,OFFSET([2]characters!$A$1,0,0,COUNTA([2]characters!$A:$A),MATCH(F$1,[2]characters!$1:$1,0)-MATCH($A$1,[2]characters!$1:$1,0)+1),MATCH(F$1,[2]characters!$1:$1,0)-MATCH($A$1,[2]characters!$1:$1,0)+1,FALSE)</f>
        <v>男性</v>
      </c>
      <c r="G77" s="77">
        <f ca="1">VLOOKUP($A77,OFFSET([2]characters!$A$1,0,0,COUNTA([2]characters!$A:$A),MATCH(G$1,[2]characters!$1:$1,0)-MATCH($A$1,[2]characters!$1:$1,0)+1),MATCH(G$1,[2]characters!$1:$1,0)-MATCH($A$1,[2]characters!$1:$1,0)+1,FALSE)</f>
        <v>4</v>
      </c>
      <c r="H77" s="77" t="str">
        <f ca="1">VLOOKUP($A77,OFFSET([2]characters!$A$1,0,0,COUNTA([2]characters!$A:$A),MATCH(H$1,[2]characters!$1:$1,0)-MATCH($A$1,[2]characters!$1:$1,0)+1),MATCH(H$1,[2]characters!$1:$1,0)-MATCH($A$1,[2]characters!$1:$1,0)+1,FALSE)</f>
        <v>Drop1S</v>
      </c>
      <c r="I77" s="77" t="str">
        <f ca="1">VLOOKUP($A77,OFFSET([2]characters!$A$1,0,0,COUNTA([2]characters!$A:$A),MATCH(I$1,[2]characters!$1:$1,0)-MATCH($A$1,[2]characters!$1:$1,0)+1),MATCH(I$1,[2]characters!$1:$1,0)-MATCH($A$1,[2]characters!$1:$1,0)+1,FALSE)</f>
        <v>yellow</v>
      </c>
      <c r="J77" s="14">
        <f ca="1">VLOOKUP(I77,[2]属性!$A:$E,2,FALSE)</f>
        <v>0.98</v>
      </c>
      <c r="K77" s="14">
        <f ca="1">VLOOKUP(I77,[2]属性!$A:$E,3,FALSE)</f>
        <v>1.01</v>
      </c>
      <c r="L77" s="14">
        <f ca="1">VLOOKUP(I77,[2]属性!$A:$E,4,FALSE)</f>
        <v>1</v>
      </c>
      <c r="M77" s="14">
        <f ca="1">VLOOKUP(I77,[2]属性!$A:$E,5,FALSE)</f>
        <v>1.01</v>
      </c>
      <c r="N77" s="14">
        <f ca="1">INDEX(コスト!$A$1:$I$20,MATCH(H77,コスト!$A$1:$A$20,FALSE),MATCH(G77,コスト!$A$1:$I$1,FALSE))</f>
        <v>14</v>
      </c>
      <c r="O77" s="14">
        <f ca="1">INDEX(レベル!$A$1:$I$21,MATCH(H77,レベル!$A$1:$A$21,FALSE),MATCH(G77,レベル!$A$1:$I$1,FALSE))</f>
        <v>60</v>
      </c>
      <c r="P77" s="63">
        <f t="shared" ca="1" si="14"/>
        <v>60</v>
      </c>
      <c r="Q77" s="77" t="str">
        <f ca="1">VLOOKUP($A77,OFFSET([2]characters!$A$1,0,0,COUNTA([2]characters!$A:$A),MATCH(Q$1,[2]characters!$1:$1,0)-MATCH($A$1,[2]characters!$1:$1,0)+1),MATCH(Q$1,[2]characters!$1:$1,0)-MATCH($A$1,[2]characters!$1:$1,0)+1,FALSE)</f>
        <v>attack</v>
      </c>
      <c r="R77" s="8" t="str">
        <f ca="1">VLOOKUP(Q77,[2]character_type_i18n!$A:$H,3,FALSE)</f>
        <v>攻撃タイプ</v>
      </c>
      <c r="S77" s="14">
        <f ca="1">VLOOKUP(Q77,[2]character_type_i18n!$A:$H,4,FALSE)</f>
        <v>1</v>
      </c>
      <c r="T77" s="14">
        <f ca="1">VLOOKUP(Q77,[2]character_type_i18n!$A:$H,5,FALSE)</f>
        <v>1.33</v>
      </c>
      <c r="U77" s="14">
        <f ca="1">VLOOKUP(Q77,[2]character_type_i18n!$A:$H,6,FALSE)</f>
        <v>1</v>
      </c>
      <c r="V77" s="14">
        <f ca="1">VLOOKUP(Q77,[2]character_type_i18n!$A:$H,7,FALSE)</f>
        <v>0.67</v>
      </c>
      <c r="W77" s="77" t="str">
        <f ca="1">VLOOKUP($A77,OFFSET([2]characters!$A$1,0,0,COUNTA([2]characters!$A:$A),MATCH(W$1,[2]characters!$1:$1,0)-MATCH($A$1,[2]characters!$1:$1,0)+1),MATCH(W$1,[2]characters!$1:$1,0)-MATCH($A$1,[2]characters!$1:$1,0)+1,FALSE)</f>
        <v>animal</v>
      </c>
      <c r="X77" s="8" t="str">
        <f ca="1">VLOOKUP(W77,[2]character_tribe_i18n!$A:$H,3,FALSE)</f>
        <v>アニマル</v>
      </c>
      <c r="Y77" s="77" t="str">
        <f ca="1">VLOOKUP($A77,OFFSET([2]characters!$A$1,0,0,COUNTA([2]characters!$A:$A),MATCH(Y$1,[2]characters!$1:$1,0)-MATCH($A$1,[2]characters!$1:$1,0)+1),MATCH(Y$1,[2]characters!$1:$1,0)-MATCH($A$1,[2]characters!$1:$1,0)+1,FALSE)</f>
        <v>none</v>
      </c>
      <c r="Z77" s="8" t="str">
        <f ca="1">VLOOKUP(Y77,[2]character_tribe_i18n!$A:$H,3,FALSE)</f>
        <v>種族なし</v>
      </c>
      <c r="AA77" s="14">
        <f ca="1">VLOOKUP(W77,[2]character_tribe_i18n!$A:$H,4,FALSE)</f>
        <v>1</v>
      </c>
      <c r="AB77" s="14">
        <f ca="1">VLOOKUP(W77,[2]character_tribe_i18n!$A:$H,5,FALSE)</f>
        <v>1.1000000000000001</v>
      </c>
      <c r="AC77" s="14">
        <f ca="1">VLOOKUP(W77,[2]character_tribe_i18n!$A:$H,6,FALSE)</f>
        <v>1</v>
      </c>
      <c r="AD77" s="14">
        <f ca="1">VLOOKUP(W77,[2]character_tribe_i18n!$A:$H,7,FALSE)</f>
        <v>0.9</v>
      </c>
      <c r="AE77" s="12" t="s">
        <v>102</v>
      </c>
      <c r="AF77" s="85" t="str">
        <f ca="1">IF(AE77="NULL","",VLOOKUP($AE77,OFFSET([2]characters!$A$1,0,0,COUNTA([2]characters!$A:$A),MATCH(AF$1,[2]characters!$1:$1,0)-MATCH($A$1,[2]characters!$1:$1,0)+1),MATCH(AF$1,[2]characters!$1:$1,0)-MATCH($A$1,[2]characters!$1:$1,0)+1,FALSE))</f>
        <v/>
      </c>
      <c r="AG77" s="8">
        <f t="shared" ca="1" si="9"/>
        <v>74</v>
      </c>
      <c r="AH77" s="85" t="str">
        <f ca="1">VLOOKUP($AG77,OFFSET([2]characters!$A$1,0,0,COUNTA([2]characters!$A:$A),MATCH(AH$1,[2]characters!$1:$1,0)-MATCH($A$1,[2]characters!$1:$1,0)+1),MATCH(AH$1,[2]characters!$1:$1,0)-MATCH($A$1,[2]characters!$1:$1,0)+1,FALSE)</f>
        <v>サンダーバード</v>
      </c>
      <c r="AI77" s="14" t="str">
        <f>IF(AE77="NULL","NULL",VLOOKUP(G77,ビット!$A$2:$B$7,2))</f>
        <v>NULL</v>
      </c>
      <c r="AJ77" s="9">
        <v>2</v>
      </c>
      <c r="AK77" s="10" t="str">
        <f t="shared" si="10"/>
        <v>普通</v>
      </c>
      <c r="AL77" s="14" t="str">
        <f ca="1">INDEX(経験値!$A$1:$I$20,MATCH(H77,経験値!$A$1:$A$20,FALSE),MATCH(G77,経験値!$A$1:$I$1,FALSE))</f>
        <v>required_exp_150</v>
      </c>
      <c r="AM77" s="11">
        <f ca="1">VLOOKUP(G77,経験値!$A$27:$B$31,2)</f>
        <v>3400</v>
      </c>
      <c r="AN77" s="21">
        <f ca="1">VLOOKUP(G77,ビット!$G$2:$H$7,2)</f>
        <v>600</v>
      </c>
      <c r="AO77" s="64" t="s">
        <v>195</v>
      </c>
      <c r="AP77" s="97">
        <v>534001</v>
      </c>
      <c r="AQ77" s="77" t="e">
        <f ca="1">VLOOKUP($AP77,OFFSET([1]unit_skills!$A$1,0,0,COUNTA([1]unit_skills!$A:$A),MATCH("name",[1]unit_skills!$1:$1,0)-MATCH($AP$1,[1]unit_skills!$1:$1,0)+1),MATCH("name",[1]unit_skills!$1:$1,0)-MATCH($AP$1,[1]unit_skills!$1:$1,0)+1,FALSE)</f>
        <v>#VALUE!</v>
      </c>
      <c r="AR77" s="77" t="e">
        <f ca="1">VLOOKUP($AP77,OFFSET([1]unit_skills!$A$1,0,0,COUNTA([1]unit_skills!$A:$A),MATCH("comment",[1]unit_skills!$1:$1,0)-MATCH($AP$1,[1]unit_skills!$1:$1,0)+1),MATCH("comment",[1]unit_skills!$1:$1,0)-MATCH($AP$1,[1]unit_skills!$1:$1,0)+1,FALSE)</f>
        <v>#VALUE!</v>
      </c>
      <c r="AS77" s="77" t="e">
        <f ca="1">VLOOKUP($AP77,OFFSET([1]unit_skills!$A$1,0,0,COUNTA([1]unit_skills!$A:$A),MATCH(AS$1,[1]unit_skills!$1:$1,0)-MATCH($AP$1,[1]unit_skills!$1:$1,0)+1),MATCH(AS$1,[1]unit_skills!$1:$1,0)-MATCH($AP$1,[1]unit_skills!$1:$1,0)+1,FALSE)</f>
        <v>#VALUE!</v>
      </c>
      <c r="AT77" s="97">
        <v>174203</v>
      </c>
      <c r="AU77" s="77" t="e">
        <f ca="1">VLOOKUP($AT77,OFFSET([1]crash_skills!$A$1,0,0,COUNTA([1]crash_skills!$A:$A),MATCH("name",[1]crash_skills!$1:$1,0)-MATCH($AT$1,[1]crash_skills!$1:$1,0)+1),MATCH("name",[1]crash_skills!$1:$1,0)-MATCH($AT$1,[1]crash_skills!$1:$1,0)+1,FALSE)</f>
        <v>#VALUE!</v>
      </c>
      <c r="AV77" s="77" t="e">
        <f ca="1">VLOOKUP($AT77,OFFSET([1]crash_skills!$A$1,0,0,COUNTA([1]crash_skills!$A:$A),MATCH("comment",[1]crash_skills!$1:$1,0)-MATCH($AT$1,[1]crash_skills!$1:$1,0)+1),MATCH("comment",[1]crash_skills!$1:$1,0)-MATCH($AT$1,[1]crash_skills!$1:$1,0)+1,FALSE)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77" s="77" t="e">
        <f ca="1">VLOOKUP($AT77,OFFSET([1]crash_skills!$A$1,0,0,COUNTA([1]crash_skills!$A:$A),MATCH(AW$1,[1]crash_skills!$1:$1,0)-MATCH($AT$1,[1]crash_skills!$1:$1,0)+1),MATCH(AW$1,[1]crash_skills!$1:$1,0)-MATCH($AT$1,[1]crash_skills!$1:$1,0)+1,FALSE)</f>
        <v>#VALUE!</v>
      </c>
      <c r="AX77" s="81">
        <f ca="1">VLOOKUP($A77,OFFSET([2]characters!$A$1,0,0,COUNTA([2]characters!$A:$A),MATCH(AX$1,[2]characters!$1:$1,0)-MATCH($A$1,[2]characters!$1:$1,0)+1),MATCH(AX$1,[2]characters!$1:$1,0)-MATCH($A$1,[2]characters!$1:$1,0)+1,FALSE)</f>
        <v>3</v>
      </c>
      <c r="AY77" s="19">
        <v>1</v>
      </c>
      <c r="AZ77" s="19">
        <v>1</v>
      </c>
      <c r="BA77" s="19">
        <v>0</v>
      </c>
      <c r="BB77" s="19">
        <v>1</v>
      </c>
      <c r="BC77" s="14">
        <f ca="1">INDEX('RC6SV'!$A$1:$G$20,MATCH(H77,'RC6SV'!$A$1:$A$20,FALSE),MATCH(G77,'RC6SV'!$A$1:$G$1,FALSE))</f>
        <v>5400</v>
      </c>
      <c r="BD77" s="63">
        <f t="shared" ca="1" si="11"/>
        <v>5400</v>
      </c>
      <c r="BE77" s="14">
        <f t="shared" ca="1" si="12"/>
        <v>4200</v>
      </c>
      <c r="BF77" s="14">
        <f t="shared" ca="1" si="13"/>
        <v>1</v>
      </c>
      <c r="BG77" s="20">
        <f ca="1">IF($BE77&lt;=0,ROUND(BK77*0.5,0), ROUND($BE77*S77*AA77*J77*AY77*0.8*[2]ステータス!$B$2,0))</f>
        <v>1646</v>
      </c>
      <c r="BH77" s="20">
        <f ca="1">IF($BE77&lt;=0,ROUND(BL77*0.5,0), ROUND($BE77*T77*AB77*K77*AZ77*0.8*[2]ステータス!$C$2,0))</f>
        <v>1489</v>
      </c>
      <c r="BI77" s="20">
        <f ca="1">IF($BE77&lt;=0,ROUND(BM77*0.5,0), ROUND($BE77*U77*AC77*L77*BA77*0.8*[2]ステータス!$D$2,0))</f>
        <v>0</v>
      </c>
      <c r="BJ77" s="20">
        <f ca="1">IF($BE77&lt;=0,ROUND(BN77*0.5,0), ROUND($BE77*V77*AD77*M77*BB77*0.8*[2]ステータス!$E$2,0))</f>
        <v>512</v>
      </c>
      <c r="BK77" s="14">
        <f ca="1">ROUND(BD77*S77*AA77*J77*AY77*[2]ステータス!$B$2,0)</f>
        <v>2646</v>
      </c>
      <c r="BL77" s="14">
        <f ca="1">ROUND(BD77*T77*AB77*K77*AZ77*[2]ステータス!$C$2,0)</f>
        <v>2394</v>
      </c>
      <c r="BM77" s="14">
        <f ca="1">ROUND(BD77*U77*AC77*L77*BA77*[2]ステータス!$D$2,0)</f>
        <v>0</v>
      </c>
      <c r="BN77" s="14">
        <f ca="1">ROUND(BD77*V77*AD77*M77*BB77*[2]ステータス!$E$2,0)</f>
        <v>822</v>
      </c>
      <c r="BO77" s="13">
        <v>0</v>
      </c>
      <c r="BP77" s="13">
        <v>1</v>
      </c>
      <c r="BQ77" s="13" t="s">
        <v>102</v>
      </c>
      <c r="BR77" s="13">
        <f ca="1">VLOOKUP(H77,ghosts_label!$A$2:$B$19,2,FALSE)</f>
        <v>1</v>
      </c>
    </row>
    <row r="78" spans="1:70" ht="21" customHeight="1" x14ac:dyDescent="0.15">
      <c r="A78" s="14">
        <f t="shared" ca="1" si="8"/>
        <v>77</v>
      </c>
      <c r="B78" s="77" t="str">
        <f ca="1">VLOOKUP($A78,OFFSET([2]characters!$A$1,0,0,COUNTA([2]characters!$A:$A),MATCH(B$1,[2]characters!$1:$1,0)-MATCH($A$1,[2]characters!$1:$1,0)+1),MATCH(B$1,[2]characters!$1:$1,0)-MATCH($A$1,[2]characters!$1:$1,0)+1,FALSE)</f>
        <v>潜伏型メリッサ</v>
      </c>
      <c r="C78" s="77" t="str">
        <f ca="1">VLOOKUP($A78,OFFSET([2]characters!$A$1,0,0,COUNTA([2]characters!$A:$A),MATCH(C$1,[2]characters!$1:$1,0)-MATCH($A$1,[2]characters!$1:$1,0)+1),MATCH(C$1,[2]characters!$1:$1,0)-MATCH($A$1,[2]characters!$1:$1,0)+1,FALSE)</f>
        <v>イベント:ウィルス01</v>
      </c>
      <c r="D78" s="77" t="str">
        <f ca="1">VLOOKUP($A78,OFFSET([2]characters!$A$1,0,0,COUNTA([2]characters!$A:$A),MATCH(D$1,[2]characters!$1:$1,0)-MATCH($A$1,[2]characters!$1:$1,0)+1),MATCH(D$1,[2]characters!$1:$1,0)-MATCH($A$1,[2]characters!$1:$1,0)+1,FALSE)</f>
        <v>ウィルス</v>
      </c>
      <c r="E78" s="77" t="str">
        <f ca="1">VLOOKUP($A78,OFFSET([2]characters!$A$1,0,0,COUNTA([2]characters!$A:$A),MATCH(E$1,[2]characters!$1:$1,0)-MATCH($A$1,[2]characters!$1:$1,0)+1),MATCH(E$1,[2]characters!$1:$1,0)-MATCH($A$1,[2]characters!$1:$1,0)+1,FALSE)</f>
        <v>世界観</v>
      </c>
      <c r="F78" s="77" t="str">
        <f ca="1">VLOOKUP($A78,OFFSET([2]characters!$A$1,0,0,COUNTA([2]characters!$A:$A),MATCH(F$1,[2]characters!$1:$1,0)-MATCH($A$1,[2]characters!$1:$1,0)+1),MATCH(F$1,[2]characters!$1:$1,0)-MATCH($A$1,[2]characters!$1:$1,0)+1,FALSE)</f>
        <v>女性</v>
      </c>
      <c r="G78" s="77">
        <f ca="1">VLOOKUP($A78,OFFSET([2]characters!$A$1,0,0,COUNTA([2]characters!$A:$A),MATCH(G$1,[2]characters!$1:$1,0)-MATCH($A$1,[2]characters!$1:$1,0)+1),MATCH(G$1,[2]characters!$1:$1,0)-MATCH($A$1,[2]characters!$1:$1,0)+1,FALSE)</f>
        <v>3</v>
      </c>
      <c r="H78" s="77" t="str">
        <f ca="1">VLOOKUP($A78,OFFSET([2]characters!$A$1,0,0,COUNTA([2]characters!$A:$A),MATCH(H$1,[2]characters!$1:$1,0)-MATCH($A$1,[2]characters!$1:$1,0)+1),MATCH(H$1,[2]characters!$1:$1,0)-MATCH($A$1,[2]characters!$1:$1,0)+1,FALSE)</f>
        <v>DropWizW</v>
      </c>
      <c r="I78" s="77" t="str">
        <f ca="1">VLOOKUP($A78,OFFSET([2]characters!$A$1,0,0,COUNTA([2]characters!$A:$A),MATCH(I$1,[2]characters!$1:$1,0)-MATCH($A$1,[2]characters!$1:$1,0)+1),MATCH(I$1,[2]characters!$1:$1,0)-MATCH($A$1,[2]characters!$1:$1,0)+1,FALSE)</f>
        <v>red</v>
      </c>
      <c r="J78" s="14">
        <f ca="1">VLOOKUP(I78,[2]属性!$A:$E,2,FALSE)</f>
        <v>1</v>
      </c>
      <c r="K78" s="14">
        <f ca="1">VLOOKUP(I78,[2]属性!$A:$E,3,FALSE)</f>
        <v>1.02</v>
      </c>
      <c r="L78" s="14">
        <f ca="1">VLOOKUP(I78,[2]属性!$A:$E,4,FALSE)</f>
        <v>1</v>
      </c>
      <c r="M78" s="14">
        <f ca="1">VLOOKUP(I78,[2]属性!$A:$E,5,FALSE)</f>
        <v>0.98</v>
      </c>
      <c r="N78" s="14">
        <f ca="1">INDEX(コスト!$A$1:$I$20,MATCH(H78,コスト!$A$1:$A$20,FALSE),MATCH(G78,コスト!$A$1:$I$1,FALSE))</f>
        <v>7</v>
      </c>
      <c r="O78" s="14">
        <f ca="1">INDEX(レベル!$A$1:$I$21,MATCH(H78,レベル!$A$1:$A$21,FALSE),MATCH(G78,レベル!$A$1:$I$1,FALSE))</f>
        <v>40</v>
      </c>
      <c r="P78" s="63">
        <f t="shared" ca="1" si="14"/>
        <v>45</v>
      </c>
      <c r="Q78" s="77" t="str">
        <f ca="1">VLOOKUP($A78,OFFSET([2]characters!$A$1,0,0,COUNTA([2]characters!$A:$A),MATCH(Q$1,[2]characters!$1:$1,0)-MATCH($A$1,[2]characters!$1:$1,0)+1),MATCH(Q$1,[2]characters!$1:$1,0)-MATCH($A$1,[2]characters!$1:$1,0)+1,FALSE)</f>
        <v>technical</v>
      </c>
      <c r="R78" s="8" t="str">
        <f ca="1">VLOOKUP(Q78,[2]character_type_i18n!$A:$H,3,FALSE)</f>
        <v>テクニカルタイプ</v>
      </c>
      <c r="S78" s="14">
        <f ca="1">VLOOKUP(Q78,[2]character_type_i18n!$A:$H,4,FALSE)</f>
        <v>0.9</v>
      </c>
      <c r="T78" s="14">
        <f ca="1">VLOOKUP(Q78,[2]character_type_i18n!$A:$H,5,FALSE)</f>
        <v>0.9</v>
      </c>
      <c r="U78" s="14">
        <f ca="1">VLOOKUP(Q78,[2]character_type_i18n!$A:$H,6,FALSE)</f>
        <v>1</v>
      </c>
      <c r="V78" s="14">
        <f ca="1">VLOOKUP(Q78,[2]character_type_i18n!$A:$H,7,FALSE)</f>
        <v>0.9</v>
      </c>
      <c r="W78" s="77" t="str">
        <f ca="1">VLOOKUP($A78,OFFSET([2]characters!$A$1,0,0,COUNTA([2]characters!$A:$A),MATCH(W$1,[2]characters!$1:$1,0)-MATCH($A$1,[2]characters!$1:$1,0)+1),MATCH(W$1,[2]characters!$1:$1,0)-MATCH($A$1,[2]characters!$1:$1,0)+1,FALSE)</f>
        <v>unknown</v>
      </c>
      <c r="X78" s="8" t="str">
        <f ca="1">VLOOKUP(W78,[2]character_tribe_i18n!$A:$H,3,FALSE)</f>
        <v>Unknown</v>
      </c>
      <c r="Y78" s="77" t="str">
        <f ca="1">VLOOKUP($A78,OFFSET([2]characters!$A$1,0,0,COUNTA([2]characters!$A:$A),MATCH(Y$1,[2]characters!$1:$1,0)-MATCH($A$1,[2]characters!$1:$1,0)+1),MATCH(Y$1,[2]characters!$1:$1,0)-MATCH($A$1,[2]characters!$1:$1,0)+1,FALSE)</f>
        <v>none</v>
      </c>
      <c r="Z78" s="8" t="str">
        <f ca="1">VLOOKUP(Y78,[2]character_tribe_i18n!$A:$H,3,FALSE)</f>
        <v>種族なし</v>
      </c>
      <c r="AA78" s="14">
        <f ca="1">VLOOKUP(W78,[2]character_tribe_i18n!$A:$H,4,FALSE)</f>
        <v>1</v>
      </c>
      <c r="AB78" s="14">
        <f ca="1">VLOOKUP(W78,[2]character_tribe_i18n!$A:$H,5,FALSE)</f>
        <v>1</v>
      </c>
      <c r="AC78" s="14">
        <f ca="1">VLOOKUP(W78,[2]character_tribe_i18n!$A:$H,6,FALSE)</f>
        <v>1</v>
      </c>
      <c r="AD78" s="14">
        <f ca="1">VLOOKUP(W78,[2]character_tribe_i18n!$A:$H,7,FALSE)</f>
        <v>1</v>
      </c>
      <c r="AE78" s="12">
        <v>78</v>
      </c>
      <c r="AF78" s="85" t="str">
        <f ca="1">IF(AE78="NULL","",VLOOKUP($AE78,OFFSET([2]characters!$A$1,0,0,COUNTA([2]characters!$A:$A),MATCH(AF$1,[2]characters!$1:$1,0)-MATCH($A$1,[2]characters!$1:$1,0)+1),MATCH(AF$1,[2]characters!$1:$1,0)-MATCH($A$1,[2]characters!$1:$1,0)+1,FALSE))</f>
        <v>擬態潜伏型メリッサ2.0</v>
      </c>
      <c r="AG78" s="8">
        <f t="shared" ca="1" si="9"/>
        <v>77</v>
      </c>
      <c r="AH78" s="85" t="str">
        <f ca="1">VLOOKUP($AG78,OFFSET([2]characters!$A$1,0,0,COUNTA([2]characters!$A:$A),MATCH(AH$1,[2]characters!$1:$1,0)-MATCH($A$1,[2]characters!$1:$1,0)+1),MATCH(AH$1,[2]characters!$1:$1,0)-MATCH($A$1,[2]characters!$1:$1,0)+1,FALSE)</f>
        <v>潜伏型メリッサ</v>
      </c>
      <c r="AI78" s="104">
        <v>10000</v>
      </c>
      <c r="AJ78" s="9">
        <v>2</v>
      </c>
      <c r="AK78" s="10" t="str">
        <f t="shared" si="10"/>
        <v>普通</v>
      </c>
      <c r="AL78" s="14" t="str">
        <f ca="1">INDEX(経験値!$A$1:$I$20,MATCH(H78,経験値!$A$1:$A$20,FALSE),MATCH(G78,経験値!$A$1:$I$1,FALSE))</f>
        <v>required_exp_150</v>
      </c>
      <c r="AM78" s="11">
        <f ca="1">VLOOKUP(G78,経験値!$A$27:$B$31,2)</f>
        <v>1500</v>
      </c>
      <c r="AN78" s="21">
        <f ca="1">VLOOKUP(G78,ビット!$G$2:$H$7,2)</f>
        <v>300</v>
      </c>
      <c r="AO78" s="64" t="s">
        <v>53</v>
      </c>
      <c r="AP78" s="97">
        <v>430002</v>
      </c>
      <c r="AQ78" s="77" t="e">
        <f ca="1">VLOOKUP($AP78,OFFSET([1]unit_skills!$A$1,0,0,COUNTA([1]unit_skills!$A:$A),MATCH("name",[1]unit_skills!$1:$1,0)-MATCH($AP$1,[1]unit_skills!$1:$1,0)+1),MATCH("name",[1]unit_skills!$1:$1,0)-MATCH($AP$1,[1]unit_skills!$1:$1,0)+1,FALSE)</f>
        <v>#VALUE!</v>
      </c>
      <c r="AR78" s="77" t="e">
        <f ca="1">VLOOKUP($AP78,OFFSET([1]unit_skills!$A$1,0,0,COUNTA([1]unit_skills!$A:$A),MATCH("comment",[1]unit_skills!$1:$1,0)-MATCH($AP$1,[1]unit_skills!$1:$1,0)+1),MATCH("comment",[1]unit_skills!$1:$1,0)-MATCH($AP$1,[1]unit_skills!$1:$1,0)+1,FALSE)</f>
        <v>#VALUE!</v>
      </c>
      <c r="AS78" s="77" t="e">
        <f ca="1">VLOOKUP($AP78,OFFSET([1]unit_skills!$A$1,0,0,COUNTA([1]unit_skills!$A:$A),MATCH(AS$1,[1]unit_skills!$1:$1,0)-MATCH($AP$1,[1]unit_skills!$1:$1,0)+1),MATCH(AS$1,[1]unit_skills!$1:$1,0)-MATCH($AP$1,[1]unit_skills!$1:$1,0)+1,FALSE)</f>
        <v>#VALUE!</v>
      </c>
      <c r="AT78" s="97">
        <v>141403</v>
      </c>
      <c r="AU78" s="77" t="e">
        <f ca="1">VLOOKUP($AT78,OFFSET([1]crash_skills!$A$1,0,0,COUNTA([1]crash_skills!$A:$A),MATCH("name",[1]crash_skills!$1:$1,0)-MATCH($AT$1,[1]crash_skills!$1:$1,0)+1),MATCH("name",[1]crash_skills!$1:$1,0)-MATCH($AT$1,[1]crash_skills!$1:$1,0)+1,FALSE)</f>
        <v>#VALUE!</v>
      </c>
      <c r="AV78" s="77" t="e">
        <f ca="1">VLOOKUP($AT78,OFFSET([1]crash_skills!$A$1,0,0,COUNTA([1]crash_skills!$A:$A),MATCH("comment",[1]crash_skills!$1:$1,0)-MATCH($AT$1,[1]crash_skills!$1:$1,0)+1),MATCH("comment",[1]crash_skills!$1:$1,0)-MATCH($AT$1,[1]crash_skills!$1:$1,0)+1,FALSE)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78" s="77" t="e">
        <f ca="1">VLOOKUP($AT78,OFFSET([1]crash_skills!$A$1,0,0,COUNTA([1]crash_skills!$A:$A),MATCH(AW$1,[1]crash_skills!$1:$1,0)-MATCH($AT$1,[1]crash_skills!$1:$1,0)+1),MATCH(AW$1,[1]crash_skills!$1:$1,0)-MATCH($AT$1,[1]crash_skills!$1:$1,0)+1,FALSE)</f>
        <v>#VALUE!</v>
      </c>
      <c r="AX78" s="81">
        <f ca="1">VLOOKUP($A78,OFFSET([2]characters!$A$1,0,0,COUNTA([2]characters!$A:$A),MATCH(AX$1,[2]characters!$1:$1,0)-MATCH($A$1,[2]characters!$1:$1,0)+1),MATCH(AX$1,[2]characters!$1:$1,0)-MATCH($A$1,[2]characters!$1:$1,0)+1,FALSE)</f>
        <v>3</v>
      </c>
      <c r="AY78" s="19">
        <v>1</v>
      </c>
      <c r="AZ78" s="19">
        <v>0.8</v>
      </c>
      <c r="BA78" s="19">
        <v>0</v>
      </c>
      <c r="BB78" s="19">
        <v>1.2</v>
      </c>
      <c r="BC78" s="14">
        <f ca="1">INDEX('RC6SV'!$A$1:$G$20,MATCH(H78,'RC6SV'!$A$1:$A$20,FALSE),MATCH(G78,'RC6SV'!$A$1:$G$1,FALSE))</f>
        <v>4800</v>
      </c>
      <c r="BD78" s="63">
        <f t="shared" ca="1" si="11"/>
        <v>4800</v>
      </c>
      <c r="BE78" s="14">
        <f t="shared" ca="1" si="12"/>
        <v>0</v>
      </c>
      <c r="BF78" s="14">
        <f t="shared" ca="1" si="13"/>
        <v>1</v>
      </c>
      <c r="BG78" s="20">
        <f ca="1">IF($BE78&lt;=0,ROUND(BK78*0.5,0), ROUND($BE78*S78*AA78*J78*AY78*0.8*[2]ステータス!$B$2,0))</f>
        <v>1080</v>
      </c>
      <c r="BH78" s="20">
        <f ca="1">IF($BE78&lt;=0,ROUND(BL78*0.5,0), ROUND($BE78*T78*AB78*K78*AZ78*0.8*[2]ステータス!$C$2,0))</f>
        <v>529</v>
      </c>
      <c r="BI78" s="20">
        <f ca="1">IF($BE78&lt;=0,ROUND(BM78*0.5,0), ROUND($BE78*U78*AC78*L78*BA78*0.8*[2]ステータス!$D$2,0))</f>
        <v>0</v>
      </c>
      <c r="BJ78" s="20">
        <f ca="1">IF($BE78&lt;=0,ROUND(BN78*0.5,0), ROUND($BE78*V78*AD78*M78*BB78*0.8*[2]ステータス!$E$2,0))</f>
        <v>635</v>
      </c>
      <c r="BK78" s="14">
        <f ca="1">ROUND(BD78*S78*AA78*J78*AY78*[2]ステータス!$B$2,0)</f>
        <v>2160</v>
      </c>
      <c r="BL78" s="14">
        <f ca="1">ROUND(BD78*T78*AB78*K78*AZ78*[2]ステータス!$C$2,0)</f>
        <v>1058</v>
      </c>
      <c r="BM78" s="14">
        <f ca="1">ROUND(BD78*U78*AC78*L78*BA78*[2]ステータス!$D$2,0)</f>
        <v>0</v>
      </c>
      <c r="BN78" s="14">
        <f ca="1">ROUND(BD78*V78*AD78*M78*BB78*[2]ステータス!$E$2,0)</f>
        <v>1270</v>
      </c>
      <c r="BO78" s="13">
        <v>0</v>
      </c>
      <c r="BP78" s="13">
        <v>1</v>
      </c>
      <c r="BQ78" s="13" t="s">
        <v>102</v>
      </c>
      <c r="BR78" s="13">
        <f ca="1">VLOOKUP(H78,ghosts_label!$A$2:$B$19,2,FALSE)</f>
        <v>1</v>
      </c>
    </row>
    <row r="79" spans="1:70" ht="21" customHeight="1" x14ac:dyDescent="0.15">
      <c r="A79" s="14">
        <f t="shared" ca="1" si="8"/>
        <v>78</v>
      </c>
      <c r="B79" s="77" t="str">
        <f ca="1">VLOOKUP($A79,OFFSET([2]characters!$A$1,0,0,COUNTA([2]characters!$A:$A),MATCH(B$1,[2]characters!$1:$1,0)-MATCH($A$1,[2]characters!$1:$1,0)+1),MATCH(B$1,[2]characters!$1:$1,0)-MATCH($A$1,[2]characters!$1:$1,0)+1,FALSE)</f>
        <v>擬態潜伏型メリッサ2.0</v>
      </c>
      <c r="C79" s="77" t="str">
        <f ca="1">VLOOKUP($A79,OFFSET([2]characters!$A$1,0,0,COUNTA([2]characters!$A:$A),MATCH(C$1,[2]characters!$1:$1,0)-MATCH($A$1,[2]characters!$1:$1,0)+1),MATCH(C$1,[2]characters!$1:$1,0)-MATCH($A$1,[2]characters!$1:$1,0)+1,FALSE)</f>
        <v>イベント:ウィルス01</v>
      </c>
      <c r="D79" s="77" t="str">
        <f ca="1">VLOOKUP($A79,OFFSET([2]characters!$A$1,0,0,COUNTA([2]characters!$A:$A),MATCH(D$1,[2]characters!$1:$1,0)-MATCH($A$1,[2]characters!$1:$1,0)+1),MATCH(D$1,[2]characters!$1:$1,0)-MATCH($A$1,[2]characters!$1:$1,0)+1,FALSE)</f>
        <v>ウィルス</v>
      </c>
      <c r="E79" s="77" t="str">
        <f ca="1">VLOOKUP($A79,OFFSET([2]characters!$A$1,0,0,COUNTA([2]characters!$A:$A),MATCH(E$1,[2]characters!$1:$1,0)-MATCH($A$1,[2]characters!$1:$1,0)+1),MATCH(E$1,[2]characters!$1:$1,0)-MATCH($A$1,[2]characters!$1:$1,0)+1,FALSE)</f>
        <v>世界観</v>
      </c>
      <c r="F79" s="77" t="str">
        <f ca="1">VLOOKUP($A79,OFFSET([2]characters!$A$1,0,0,COUNTA([2]characters!$A:$A),MATCH(F$1,[2]characters!$1:$1,0)-MATCH($A$1,[2]characters!$1:$1,0)+1),MATCH(F$1,[2]characters!$1:$1,0)-MATCH($A$1,[2]characters!$1:$1,0)+1,FALSE)</f>
        <v>女性</v>
      </c>
      <c r="G79" s="77">
        <f ca="1">VLOOKUP($A79,OFFSET([2]characters!$A$1,0,0,COUNTA([2]characters!$A:$A),MATCH(G$1,[2]characters!$1:$1,0)-MATCH($A$1,[2]characters!$1:$1,0)+1),MATCH(G$1,[2]characters!$1:$1,0)-MATCH($A$1,[2]characters!$1:$1,0)+1,FALSE)</f>
        <v>4</v>
      </c>
      <c r="H79" s="77" t="str">
        <f ca="1">VLOOKUP($A79,OFFSET([2]characters!$A$1,0,0,COUNTA([2]characters!$A:$A),MATCH(H$1,[2]characters!$1:$1,0)-MATCH($A$1,[2]characters!$1:$1,0)+1),MATCH(H$1,[2]characters!$1:$1,0)-MATCH($A$1,[2]characters!$1:$1,0)+1,FALSE)</f>
        <v>DropWizW</v>
      </c>
      <c r="I79" s="77" t="str">
        <f ca="1">VLOOKUP($A79,OFFSET([2]characters!$A$1,0,0,COUNTA([2]characters!$A:$A),MATCH(I$1,[2]characters!$1:$1,0)-MATCH($A$1,[2]characters!$1:$1,0)+1),MATCH(I$1,[2]characters!$1:$1,0)-MATCH($A$1,[2]characters!$1:$1,0)+1,FALSE)</f>
        <v>red</v>
      </c>
      <c r="J79" s="14">
        <f ca="1">VLOOKUP(I79,[2]属性!$A:$E,2,FALSE)</f>
        <v>1</v>
      </c>
      <c r="K79" s="14">
        <f ca="1">VLOOKUP(I79,[2]属性!$A:$E,3,FALSE)</f>
        <v>1.02</v>
      </c>
      <c r="L79" s="14">
        <f ca="1">VLOOKUP(I79,[2]属性!$A:$E,4,FALSE)</f>
        <v>1</v>
      </c>
      <c r="M79" s="14">
        <f ca="1">VLOOKUP(I79,[2]属性!$A:$E,5,FALSE)</f>
        <v>0.98</v>
      </c>
      <c r="N79" s="14">
        <f ca="1">INDEX(コスト!$A$1:$I$20,MATCH(H79,コスト!$A$1:$A$20,FALSE),MATCH(G79,コスト!$A$1:$I$1,FALSE))</f>
        <v>16</v>
      </c>
      <c r="O79" s="14">
        <f ca="1">INDEX(レベル!$A$1:$I$21,MATCH(H79,レベル!$A$1:$A$21,FALSE),MATCH(G79,レベル!$A$1:$I$1,FALSE))</f>
        <v>60</v>
      </c>
      <c r="P79" s="63">
        <f t="shared" ca="1" si="14"/>
        <v>60</v>
      </c>
      <c r="Q79" s="77" t="str">
        <f ca="1">VLOOKUP($A79,OFFSET([2]characters!$A$1,0,0,COUNTA([2]characters!$A:$A),MATCH(Q$1,[2]characters!$1:$1,0)-MATCH($A$1,[2]characters!$1:$1,0)+1),MATCH(Q$1,[2]characters!$1:$1,0)-MATCH($A$1,[2]characters!$1:$1,0)+1,FALSE)</f>
        <v>technical</v>
      </c>
      <c r="R79" s="8" t="str">
        <f ca="1">VLOOKUP(Q79,[2]character_type_i18n!$A:$H,3,FALSE)</f>
        <v>テクニカルタイプ</v>
      </c>
      <c r="S79" s="14">
        <f ca="1">VLOOKUP(Q79,[2]character_type_i18n!$A:$H,4,FALSE)</f>
        <v>0.9</v>
      </c>
      <c r="T79" s="14">
        <f ca="1">VLOOKUP(Q79,[2]character_type_i18n!$A:$H,5,FALSE)</f>
        <v>0.9</v>
      </c>
      <c r="U79" s="14">
        <f ca="1">VLOOKUP(Q79,[2]character_type_i18n!$A:$H,6,FALSE)</f>
        <v>1</v>
      </c>
      <c r="V79" s="14">
        <f ca="1">VLOOKUP(Q79,[2]character_type_i18n!$A:$H,7,FALSE)</f>
        <v>0.9</v>
      </c>
      <c r="W79" s="77" t="str">
        <f ca="1">VLOOKUP($A79,OFFSET([2]characters!$A$1,0,0,COUNTA([2]characters!$A:$A),MATCH(W$1,[2]characters!$1:$1,0)-MATCH($A$1,[2]characters!$1:$1,0)+1),MATCH(W$1,[2]characters!$1:$1,0)-MATCH($A$1,[2]characters!$1:$1,0)+1,FALSE)</f>
        <v>unknown</v>
      </c>
      <c r="X79" s="8" t="str">
        <f ca="1">VLOOKUP(W79,[2]character_tribe_i18n!$A:$H,3,FALSE)</f>
        <v>Unknown</v>
      </c>
      <c r="Y79" s="77" t="str">
        <f ca="1">VLOOKUP($A79,OFFSET([2]characters!$A$1,0,0,COUNTA([2]characters!$A:$A),MATCH(Y$1,[2]characters!$1:$1,0)-MATCH($A$1,[2]characters!$1:$1,0)+1),MATCH(Y$1,[2]characters!$1:$1,0)-MATCH($A$1,[2]characters!$1:$1,0)+1,FALSE)</f>
        <v>none</v>
      </c>
      <c r="Z79" s="8" t="str">
        <f ca="1">VLOOKUP(Y79,[2]character_tribe_i18n!$A:$H,3,FALSE)</f>
        <v>種族なし</v>
      </c>
      <c r="AA79" s="14">
        <f ca="1">VLOOKUP(W79,[2]character_tribe_i18n!$A:$H,4,FALSE)</f>
        <v>1</v>
      </c>
      <c r="AB79" s="14">
        <f ca="1">VLOOKUP(W79,[2]character_tribe_i18n!$A:$H,5,FALSE)</f>
        <v>1</v>
      </c>
      <c r="AC79" s="14">
        <f ca="1">VLOOKUP(W79,[2]character_tribe_i18n!$A:$H,6,FALSE)</f>
        <v>1</v>
      </c>
      <c r="AD79" s="14">
        <f ca="1">VLOOKUP(W79,[2]character_tribe_i18n!$A:$H,7,FALSE)</f>
        <v>1</v>
      </c>
      <c r="AE79" s="12" t="s">
        <v>102</v>
      </c>
      <c r="AF79" s="85" t="str">
        <f ca="1">IF(AE79="NULL","",VLOOKUP($AE79,OFFSET([2]characters!$A$1,0,0,COUNTA([2]characters!$A:$A),MATCH(AF$1,[2]characters!$1:$1,0)-MATCH($A$1,[2]characters!$1:$1,0)+1),MATCH(AF$1,[2]characters!$1:$1,0)-MATCH($A$1,[2]characters!$1:$1,0)+1,FALSE))</f>
        <v/>
      </c>
      <c r="AG79" s="8">
        <f t="shared" ca="1" si="9"/>
        <v>77</v>
      </c>
      <c r="AH79" s="85" t="str">
        <f ca="1">VLOOKUP($AG79,OFFSET([2]characters!$A$1,0,0,COUNTA([2]characters!$A:$A),MATCH(AH$1,[2]characters!$1:$1,0)-MATCH($A$1,[2]characters!$1:$1,0)+1),MATCH(AH$1,[2]characters!$1:$1,0)-MATCH($A$1,[2]characters!$1:$1,0)+1,FALSE)</f>
        <v>潜伏型メリッサ</v>
      </c>
      <c r="AI79" s="14" t="str">
        <f>IF(AE79="NULL","NULL",VLOOKUP(G79,ビット!$A$2:$B$7,2))</f>
        <v>NULL</v>
      </c>
      <c r="AJ79" s="9">
        <v>2</v>
      </c>
      <c r="AK79" s="10" t="str">
        <f t="shared" si="10"/>
        <v>普通</v>
      </c>
      <c r="AL79" s="14" t="str">
        <f ca="1">INDEX(経験値!$A$1:$I$20,MATCH(H79,経験値!$A$1:$A$20,FALSE),MATCH(G79,経験値!$A$1:$I$1,FALSE))</f>
        <v>required_exp_150</v>
      </c>
      <c r="AM79" s="11">
        <f ca="1">VLOOKUP(G79,経験値!$A$27:$B$31,2)</f>
        <v>3400</v>
      </c>
      <c r="AN79" s="21">
        <f ca="1">VLOOKUP(G79,ビット!$G$2:$H$7,2)</f>
        <v>600</v>
      </c>
      <c r="AO79" s="64" t="s">
        <v>53</v>
      </c>
      <c r="AP79" s="97">
        <v>430003</v>
      </c>
      <c r="AQ79" s="77" t="e">
        <f ca="1">VLOOKUP($AP79,OFFSET([1]unit_skills!$A$1,0,0,COUNTA([1]unit_skills!$A:$A),MATCH("name",[1]unit_skills!$1:$1,0)-MATCH($AP$1,[1]unit_skills!$1:$1,0)+1),MATCH("name",[1]unit_skills!$1:$1,0)-MATCH($AP$1,[1]unit_skills!$1:$1,0)+1,FALSE)</f>
        <v>#VALUE!</v>
      </c>
      <c r="AR79" s="77" t="e">
        <f ca="1">VLOOKUP($AP79,OFFSET([1]unit_skills!$A$1,0,0,COUNTA([1]unit_skills!$A:$A),MATCH("comment",[1]unit_skills!$1:$1,0)-MATCH($AP$1,[1]unit_skills!$1:$1,0)+1),MATCH("comment",[1]unit_skills!$1:$1,0)-MATCH($AP$1,[1]unit_skills!$1:$1,0)+1,FALSE)</f>
        <v>#VALUE!</v>
      </c>
      <c r="AS79" s="77" t="e">
        <f ca="1">VLOOKUP($AP79,OFFSET([1]unit_skills!$A$1,0,0,COUNTA([1]unit_skills!$A:$A),MATCH(AS$1,[1]unit_skills!$1:$1,0)-MATCH($AP$1,[1]unit_skills!$1:$1,0)+1),MATCH(AS$1,[1]unit_skills!$1:$1,0)-MATCH($AP$1,[1]unit_skills!$1:$1,0)+1,FALSE)</f>
        <v>#VALUE!</v>
      </c>
      <c r="AT79" s="97">
        <v>141404</v>
      </c>
      <c r="AU79" s="77" t="e">
        <f ca="1">VLOOKUP($AT79,OFFSET([1]crash_skills!$A$1,0,0,COUNTA([1]crash_skills!$A:$A),MATCH("name",[1]crash_skills!$1:$1,0)-MATCH($AT$1,[1]crash_skills!$1:$1,0)+1),MATCH("name",[1]crash_skills!$1:$1,0)-MATCH($AT$1,[1]crash_skills!$1:$1,0)+1,FALSE)</f>
        <v>#VALUE!</v>
      </c>
      <c r="AV79" s="77" t="e">
        <f ca="1">VLOOKUP($AT79,OFFSET([1]crash_skills!$A$1,0,0,COUNTA([1]crash_skills!$A:$A),MATCH("comment",[1]crash_skills!$1:$1,0)-MATCH($AT$1,[1]crash_skills!$1:$1,0)+1),MATCH("comment",[1]crash_skills!$1:$1,0)-MATCH($AT$1,[1]crash_skills!$1:$1,0)+1,FALSE)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79" s="77" t="e">
        <f ca="1">VLOOKUP($AT79,OFFSET([1]crash_skills!$A$1,0,0,COUNTA([1]crash_skills!$A:$A),MATCH(AW$1,[1]crash_skills!$1:$1,0)-MATCH($AT$1,[1]crash_skills!$1:$1,0)+1),MATCH(AW$1,[1]crash_skills!$1:$1,0)-MATCH($AT$1,[1]crash_skills!$1:$1,0)+1,FALSE)</f>
        <v>#VALUE!</v>
      </c>
      <c r="AX79" s="81">
        <f ca="1">VLOOKUP($A79,OFFSET([2]characters!$A$1,0,0,COUNTA([2]characters!$A:$A),MATCH(AX$1,[2]characters!$1:$1,0)-MATCH($A$1,[2]characters!$1:$1,0)+1),MATCH(AX$1,[2]characters!$1:$1,0)-MATCH($A$1,[2]characters!$1:$1,0)+1,FALSE)</f>
        <v>3</v>
      </c>
      <c r="AY79" s="19">
        <v>1</v>
      </c>
      <c r="AZ79" s="19">
        <v>0.8</v>
      </c>
      <c r="BA79" s="19">
        <v>0</v>
      </c>
      <c r="BB79" s="19">
        <v>1.2</v>
      </c>
      <c r="BC79" s="14">
        <f ca="1">INDEX('RC6SV'!$A$1:$G$20,MATCH(H79,'RC6SV'!$A$1:$A$20,FALSE),MATCH(G79,'RC6SV'!$A$1:$G$1,FALSE))</f>
        <v>6600</v>
      </c>
      <c r="BD79" s="63">
        <f t="shared" ca="1" si="11"/>
        <v>6600</v>
      </c>
      <c r="BE79" s="14">
        <f t="shared" ca="1" si="12"/>
        <v>4800</v>
      </c>
      <c r="BF79" s="14">
        <f t="shared" ca="1" si="13"/>
        <v>1</v>
      </c>
      <c r="BG79" s="20">
        <f ca="1">IF($BE79&lt;=0,ROUND(BK79*0.5,0), ROUND($BE79*S79*AA79*J79*AY79*0.8*[2]ステータス!$B$2,0))</f>
        <v>1728</v>
      </c>
      <c r="BH79" s="20">
        <f ca="1">IF($BE79&lt;=0,ROUND(BL79*0.5,0), ROUND($BE79*T79*AB79*K79*AZ79*0.8*[2]ステータス!$C$2,0))</f>
        <v>846</v>
      </c>
      <c r="BI79" s="20">
        <f ca="1">IF($BE79&lt;=0,ROUND(BM79*0.5,0), ROUND($BE79*U79*AC79*L79*BA79*0.8*[2]ステータス!$D$2,0))</f>
        <v>0</v>
      </c>
      <c r="BJ79" s="20">
        <f ca="1">IF($BE79&lt;=0,ROUND(BN79*0.5,0), ROUND($BE79*V79*AD79*M79*BB79*0.8*[2]ステータス!$E$2,0))</f>
        <v>1016</v>
      </c>
      <c r="BK79" s="14">
        <f ca="1">ROUND(BD79*S79*AA79*J79*AY79*[2]ステータス!$B$2,0)</f>
        <v>2970</v>
      </c>
      <c r="BL79" s="14">
        <f ca="1">ROUND(BD79*T79*AB79*K79*AZ79*[2]ステータス!$C$2,0)</f>
        <v>1454</v>
      </c>
      <c r="BM79" s="14">
        <f ca="1">ROUND(BD79*U79*AC79*L79*BA79*[2]ステータス!$D$2,0)</f>
        <v>0</v>
      </c>
      <c r="BN79" s="14">
        <f ca="1">ROUND(BD79*V79*AD79*M79*BB79*[2]ステータス!$E$2,0)</f>
        <v>1746</v>
      </c>
      <c r="BO79" s="13">
        <v>0</v>
      </c>
      <c r="BP79" s="13">
        <v>1</v>
      </c>
      <c r="BQ79" s="13" t="s">
        <v>102</v>
      </c>
      <c r="BR79" s="13">
        <f ca="1">VLOOKUP(H79,ghosts_label!$A$2:$B$19,2,FALSE)</f>
        <v>1</v>
      </c>
    </row>
    <row r="80" spans="1:70" ht="21" customHeight="1" x14ac:dyDescent="0.15">
      <c r="A80" s="14">
        <f t="shared" ca="1" si="8"/>
        <v>79</v>
      </c>
      <c r="B80" s="77" t="str">
        <f ca="1">VLOOKUP($A80,OFFSET([2]characters!$A$1,0,0,COUNTA([2]characters!$A:$A),MATCH(B$1,[2]characters!$1:$1,0)-MATCH($A$1,[2]characters!$1:$1,0)+1),MATCH(B$1,[2]characters!$1:$1,0)-MATCH($A$1,[2]characters!$1:$1,0)+1,FALSE)</f>
        <v>ハッピー100</v>
      </c>
      <c r="C80" s="77" t="str">
        <f ca="1">VLOOKUP($A80,OFFSET([2]characters!$A$1,0,0,COUNTA([2]characters!$A:$A),MATCH(C$1,[2]characters!$1:$1,0)-MATCH($A$1,[2]characters!$1:$1,0)+1),MATCH(C$1,[2]characters!$1:$1,0)-MATCH($A$1,[2]characters!$1:$1,0)+1,FALSE)</f>
        <v>イベント:ウィルス01</v>
      </c>
      <c r="D80" s="77" t="str">
        <f ca="1">VLOOKUP($A80,OFFSET([2]characters!$A$1,0,0,COUNTA([2]characters!$A:$A),MATCH(D$1,[2]characters!$1:$1,0)-MATCH($A$1,[2]characters!$1:$1,0)+1),MATCH(D$1,[2]characters!$1:$1,0)-MATCH($A$1,[2]characters!$1:$1,0)+1,FALSE)</f>
        <v>ウィルス</v>
      </c>
      <c r="E80" s="77" t="str">
        <f ca="1">VLOOKUP($A80,OFFSET([2]characters!$A$1,0,0,COUNTA([2]characters!$A:$A),MATCH(E$1,[2]characters!$1:$1,0)-MATCH($A$1,[2]characters!$1:$1,0)+1),MATCH(E$1,[2]characters!$1:$1,0)-MATCH($A$1,[2]characters!$1:$1,0)+1,FALSE)</f>
        <v>世界観</v>
      </c>
      <c r="F80" s="77" t="str">
        <f ca="1">VLOOKUP($A80,OFFSET([2]characters!$A$1,0,0,COUNTA([2]characters!$A:$A),MATCH(F$1,[2]characters!$1:$1,0)-MATCH($A$1,[2]characters!$1:$1,0)+1),MATCH(F$1,[2]characters!$1:$1,0)-MATCH($A$1,[2]characters!$1:$1,0)+1,FALSE)</f>
        <v>女性</v>
      </c>
      <c r="G80" s="77">
        <f ca="1">VLOOKUP($A80,OFFSET([2]characters!$A$1,0,0,COUNTA([2]characters!$A:$A),MATCH(G$1,[2]characters!$1:$1,0)-MATCH($A$1,[2]characters!$1:$1,0)+1),MATCH(G$1,[2]characters!$1:$1,0)-MATCH($A$1,[2]characters!$1:$1,0)+1,FALSE)</f>
        <v>3</v>
      </c>
      <c r="H80" s="77" t="str">
        <f ca="1">VLOOKUP($A80,OFFSET([2]characters!$A$1,0,0,COUNTA([2]characters!$A:$A),MATCH(H$1,[2]characters!$1:$1,0)-MATCH($A$1,[2]characters!$1:$1,0)+1),MATCH(H$1,[2]characters!$1:$1,0)-MATCH($A$1,[2]characters!$1:$1,0)+1,FALSE)</f>
        <v>DropWizW</v>
      </c>
      <c r="I80" s="77" t="str">
        <f ca="1">VLOOKUP($A80,OFFSET([2]characters!$A$1,0,0,COUNTA([2]characters!$A:$A),MATCH(I$1,[2]characters!$1:$1,0)-MATCH($A$1,[2]characters!$1:$1,0)+1),MATCH(I$1,[2]characters!$1:$1,0)-MATCH($A$1,[2]characters!$1:$1,0)+1,FALSE)</f>
        <v>green</v>
      </c>
      <c r="J80" s="14">
        <f ca="1">VLOOKUP(I80,[2]属性!$A:$E,2,FALSE)</f>
        <v>1.02</v>
      </c>
      <c r="K80" s="14">
        <f ca="1">VLOOKUP(I80,[2]属性!$A:$E,3,FALSE)</f>
        <v>0.98</v>
      </c>
      <c r="L80" s="14">
        <f ca="1">VLOOKUP(I80,[2]属性!$A:$E,4,FALSE)</f>
        <v>1</v>
      </c>
      <c r="M80" s="14">
        <f ca="1">VLOOKUP(I80,[2]属性!$A:$E,5,FALSE)</f>
        <v>1</v>
      </c>
      <c r="N80" s="14">
        <f ca="1">INDEX(コスト!$A$1:$I$20,MATCH(H80,コスト!$A$1:$A$20,FALSE),MATCH(G80,コスト!$A$1:$I$1,FALSE))</f>
        <v>7</v>
      </c>
      <c r="O80" s="104">
        <v>1</v>
      </c>
      <c r="P80" s="63">
        <f t="shared" ca="1" si="14"/>
        <v>45</v>
      </c>
      <c r="Q80" s="77" t="str">
        <f ca="1">VLOOKUP($A80,OFFSET([2]characters!$A$1,0,0,COUNTA([2]characters!$A:$A),MATCH(Q$1,[2]characters!$1:$1,0)-MATCH($A$1,[2]characters!$1:$1,0)+1),MATCH(Q$1,[2]characters!$1:$1,0)-MATCH($A$1,[2]characters!$1:$1,0)+1,FALSE)</f>
        <v>heal</v>
      </c>
      <c r="R80" s="8" t="str">
        <f ca="1">VLOOKUP(Q80,[2]character_type_i18n!$A:$H,3,FALSE)</f>
        <v>回復タイプ</v>
      </c>
      <c r="S80" s="14">
        <f ca="1">VLOOKUP(Q80,[2]character_type_i18n!$A:$H,4,FALSE)</f>
        <v>0.8</v>
      </c>
      <c r="T80" s="14">
        <f ca="1">VLOOKUP(Q80,[2]character_type_i18n!$A:$H,5,FALSE)</f>
        <v>0.78</v>
      </c>
      <c r="U80" s="14">
        <f ca="1">VLOOKUP(Q80,[2]character_type_i18n!$A:$H,6,FALSE)</f>
        <v>1</v>
      </c>
      <c r="V80" s="14">
        <f ca="1">VLOOKUP(Q80,[2]character_type_i18n!$A:$H,7,FALSE)</f>
        <v>1.42</v>
      </c>
      <c r="W80" s="77" t="str">
        <f ca="1">VLOOKUP($A80,OFFSET([2]characters!$A$1,0,0,COUNTA([2]characters!$A:$A),MATCH(W$1,[2]characters!$1:$1,0)-MATCH($A$1,[2]characters!$1:$1,0)+1),MATCH(W$1,[2]characters!$1:$1,0)-MATCH($A$1,[2]characters!$1:$1,0)+1,FALSE)</f>
        <v>unknown</v>
      </c>
      <c r="X80" s="8" t="str">
        <f ca="1">VLOOKUP(W80,[2]character_tribe_i18n!$A:$H,3,FALSE)</f>
        <v>Unknown</v>
      </c>
      <c r="Y80" s="77" t="str">
        <f ca="1">VLOOKUP($A80,OFFSET([2]characters!$A$1,0,0,COUNTA([2]characters!$A:$A),MATCH(Y$1,[2]characters!$1:$1,0)-MATCH($A$1,[2]characters!$1:$1,0)+1),MATCH(Y$1,[2]characters!$1:$1,0)-MATCH($A$1,[2]characters!$1:$1,0)+1,FALSE)</f>
        <v>none</v>
      </c>
      <c r="Z80" s="8" t="str">
        <f ca="1">VLOOKUP(Y80,[2]character_tribe_i18n!$A:$H,3,FALSE)</f>
        <v>種族なし</v>
      </c>
      <c r="AA80" s="14">
        <f ca="1">VLOOKUP(W80,[2]character_tribe_i18n!$A:$H,4,FALSE)</f>
        <v>1</v>
      </c>
      <c r="AB80" s="14">
        <f ca="1">VLOOKUP(W80,[2]character_tribe_i18n!$A:$H,5,FALSE)</f>
        <v>1</v>
      </c>
      <c r="AC80" s="14">
        <f ca="1">VLOOKUP(W80,[2]character_tribe_i18n!$A:$H,6,FALSE)</f>
        <v>1</v>
      </c>
      <c r="AD80" s="14">
        <f ca="1">VLOOKUP(W80,[2]character_tribe_i18n!$A:$H,7,FALSE)</f>
        <v>1</v>
      </c>
      <c r="AE80" s="12">
        <v>80</v>
      </c>
      <c r="AF80" s="85" t="str">
        <f ca="1">IF(AE80="NULL","",VLOOKUP($AE80,OFFSET([2]characters!$A$1,0,0,COUNTA([2]characters!$A:$A),MATCH(AF$1,[2]characters!$1:$1,0)-MATCH($A$1,[2]characters!$1:$1,0)+1),MATCH(AF$1,[2]characters!$1:$1,0)-MATCH($A$1,[2]characters!$1:$1,0)+1,FALSE))</f>
        <v>ハッピー101</v>
      </c>
      <c r="AG80" s="8">
        <f t="shared" ca="1" si="9"/>
        <v>79</v>
      </c>
      <c r="AH80" s="85" t="str">
        <f ca="1">VLOOKUP($AG80,OFFSET([2]characters!$A$1,0,0,COUNTA([2]characters!$A:$A),MATCH(AH$1,[2]characters!$1:$1,0)-MATCH($A$1,[2]characters!$1:$1,0)+1),MATCH(AH$1,[2]characters!$1:$1,0)-MATCH($A$1,[2]characters!$1:$1,0)+1,FALSE)</f>
        <v>ハッピー100</v>
      </c>
      <c r="AI80" s="104">
        <v>2000</v>
      </c>
      <c r="AJ80" s="9">
        <v>2</v>
      </c>
      <c r="AK80" s="10" t="str">
        <f t="shared" si="10"/>
        <v>普通</v>
      </c>
      <c r="AL80" s="14" t="str">
        <f ca="1">INDEX(経験値!$A$1:$I$20,MATCH(H80,経験値!$A$1:$A$20,FALSE),MATCH(G80,経験値!$A$1:$I$1,FALSE))</f>
        <v>required_exp_150</v>
      </c>
      <c r="AM80" s="11">
        <f ca="1">VLOOKUP(G80,経験値!$A$27:$B$31,2)</f>
        <v>1500</v>
      </c>
      <c r="AN80" s="21">
        <f ca="1">VLOOKUP(G80,ビット!$G$2:$H$7,2)</f>
        <v>300</v>
      </c>
      <c r="AO80" s="64" t="s">
        <v>189</v>
      </c>
      <c r="AP80" s="97">
        <v>200005</v>
      </c>
      <c r="AQ80" s="77" t="e">
        <f ca="1">VLOOKUP($AP80,OFFSET([1]unit_skills!$A$1,0,0,COUNTA([1]unit_skills!$A:$A),MATCH("name",[1]unit_skills!$1:$1,0)-MATCH($AP$1,[1]unit_skills!$1:$1,0)+1),MATCH("name",[1]unit_skills!$1:$1,0)-MATCH($AP$1,[1]unit_skills!$1:$1,0)+1,FALSE)</f>
        <v>#VALUE!</v>
      </c>
      <c r="AR80" s="77" t="e">
        <f ca="1">VLOOKUP($AP80,OFFSET([1]unit_skills!$A$1,0,0,COUNTA([1]unit_skills!$A:$A),MATCH("comment",[1]unit_skills!$1:$1,0)-MATCH($AP$1,[1]unit_skills!$1:$1,0)+1),MATCH("comment",[1]unit_skills!$1:$1,0)-MATCH($AP$1,[1]unit_skills!$1:$1,0)+1,FALSE)</f>
        <v>#VALUE!</v>
      </c>
      <c r="AS80" s="77" t="e">
        <f ca="1">VLOOKUP($AP80,OFFSET([1]unit_skills!$A$1,0,0,COUNTA([1]unit_skills!$A:$A),MATCH(AS$1,[1]unit_skills!$1:$1,0)-MATCH($AP$1,[1]unit_skills!$1:$1,0)+1),MATCH(AS$1,[1]unit_skills!$1:$1,0)-MATCH($AP$1,[1]unit_skills!$1:$1,0)+1,FALSE)</f>
        <v>#VALUE!</v>
      </c>
      <c r="AT80" s="97">
        <v>142001</v>
      </c>
      <c r="AU80" s="77" t="e">
        <f ca="1">VLOOKUP($AT80,OFFSET([1]crash_skills!$A$1,0,0,COUNTA([1]crash_skills!$A:$A),MATCH("name",[1]crash_skills!$1:$1,0)-MATCH($AT$1,[1]crash_skills!$1:$1,0)+1),MATCH("name",[1]crash_skills!$1:$1,0)-MATCH($AT$1,[1]crash_skills!$1:$1,0)+1,FALSE)</f>
        <v>#VALUE!</v>
      </c>
      <c r="AV80" s="77" t="e">
        <f ca="1">VLOOKUP($AT80,OFFSET([1]crash_skills!$A$1,0,0,COUNTA([1]crash_skills!$A:$A),MATCH("comment",[1]crash_skills!$1:$1,0)-MATCH($AT$1,[1]crash_skills!$1:$1,0)+1),MATCH("comment",[1]crash_skills!$1:$1,0)-MATCH($AT$1,[1]crash_skills!$1:$1,0)+1,FALSE)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80" s="77" t="e">
        <f ca="1">VLOOKUP($AT80,OFFSET([1]crash_skills!$A$1,0,0,COUNTA([1]crash_skills!$A:$A),MATCH(AW$1,[1]crash_skills!$1:$1,0)-MATCH($AT$1,[1]crash_skills!$1:$1,0)+1),MATCH(AW$1,[1]crash_skills!$1:$1,0)-MATCH($AT$1,[1]crash_skills!$1:$1,0)+1,FALSE)</f>
        <v>#VALUE!</v>
      </c>
      <c r="AX80" s="81">
        <f ca="1">VLOOKUP($A80,OFFSET([2]characters!$A$1,0,0,COUNTA([2]characters!$A:$A),MATCH(AX$1,[2]characters!$1:$1,0)-MATCH($A$1,[2]characters!$1:$1,0)+1),MATCH(AX$1,[2]characters!$1:$1,0)-MATCH($A$1,[2]characters!$1:$1,0)+1,FALSE)</f>
        <v>3</v>
      </c>
      <c r="AY80" s="19">
        <v>0.9</v>
      </c>
      <c r="AZ80" s="19">
        <v>0.9</v>
      </c>
      <c r="BA80" s="19">
        <v>0</v>
      </c>
      <c r="BB80" s="19">
        <v>0.9</v>
      </c>
      <c r="BC80" s="14">
        <f ca="1">INDEX('RC6SV'!$A$1:$G$20,MATCH(H80,'RC6SV'!$A$1:$A$20,FALSE),MATCH(G80,'RC6SV'!$A$1:$G$1,FALSE))</f>
        <v>4800</v>
      </c>
      <c r="BD80" s="63">
        <f t="shared" ca="1" si="11"/>
        <v>4800</v>
      </c>
      <c r="BE80" s="14">
        <f t="shared" ca="1" si="12"/>
        <v>0</v>
      </c>
      <c r="BF80" s="14">
        <f t="shared" ca="1" si="13"/>
        <v>1</v>
      </c>
      <c r="BG80" s="20">
        <f ca="1">IF($BE80&lt;=0,ROUND(BK80*0.5,0), ROUND($BE80*S80*AA80*J80*AY80*0.8*[2]ステータス!$B$2,0))</f>
        <v>882</v>
      </c>
      <c r="BH80" s="20">
        <f ca="1">IF($BE80&lt;=0,ROUND(BL80*0.5,0), ROUND($BE80*T80*AB80*K80*AZ80*0.8*[2]ステータス!$C$2,0))</f>
        <v>496</v>
      </c>
      <c r="BI80" s="20">
        <f ca="1">IF($BE80&lt;=0,ROUND(BM80*0.5,0), ROUND($BE80*U80*AC80*L80*BA80*0.8*[2]ステータス!$D$2,0))</f>
        <v>0</v>
      </c>
      <c r="BJ80" s="20">
        <f ca="1">IF($BE80&lt;=0,ROUND(BN80*0.5,0), ROUND($BE80*V80*AD80*M80*BB80*0.8*[2]ステータス!$E$2,0))</f>
        <v>767</v>
      </c>
      <c r="BK80" s="14">
        <f ca="1">ROUND(BD80*S80*AA80*J80*AY80*[2]ステータス!$B$2,0)</f>
        <v>1763</v>
      </c>
      <c r="BL80" s="14">
        <f ca="1">ROUND(BD80*T80*AB80*K80*AZ80*[2]ステータス!$C$2,0)</f>
        <v>991</v>
      </c>
      <c r="BM80" s="14">
        <f ca="1">ROUND(BD80*U80*AC80*L80*BA80*[2]ステータス!$D$2,0)</f>
        <v>0</v>
      </c>
      <c r="BN80" s="14">
        <f ca="1">ROUND(BD80*V80*AD80*M80*BB80*[2]ステータス!$E$2,0)</f>
        <v>1534</v>
      </c>
      <c r="BO80" s="13">
        <v>0</v>
      </c>
      <c r="BP80" s="13">
        <v>1</v>
      </c>
      <c r="BQ80" s="13" t="s">
        <v>102</v>
      </c>
      <c r="BR80" s="13">
        <f ca="1">VLOOKUP(H80,ghosts_label!$A$2:$B$19,2,FALSE)</f>
        <v>1</v>
      </c>
    </row>
    <row r="81" spans="1:70" ht="21" customHeight="1" x14ac:dyDescent="0.15">
      <c r="A81" s="14">
        <f t="shared" ca="1" si="8"/>
        <v>80</v>
      </c>
      <c r="B81" s="77" t="str">
        <f ca="1">VLOOKUP($A81,OFFSET([2]characters!$A$1,0,0,COUNTA([2]characters!$A:$A),MATCH(B$1,[2]characters!$1:$1,0)-MATCH($A$1,[2]characters!$1:$1,0)+1),MATCH(B$1,[2]characters!$1:$1,0)-MATCH($A$1,[2]characters!$1:$1,0)+1,FALSE)</f>
        <v>ハッピー101</v>
      </c>
      <c r="C81" s="77" t="str">
        <f ca="1">VLOOKUP($A81,OFFSET([2]characters!$A$1,0,0,COUNTA([2]characters!$A:$A),MATCH(C$1,[2]characters!$1:$1,0)-MATCH($A$1,[2]characters!$1:$1,0)+1),MATCH(C$1,[2]characters!$1:$1,0)-MATCH($A$1,[2]characters!$1:$1,0)+1,FALSE)</f>
        <v>イベント:ウィルス01</v>
      </c>
      <c r="D81" s="77" t="str">
        <f ca="1">VLOOKUP($A81,OFFSET([2]characters!$A$1,0,0,COUNTA([2]characters!$A:$A),MATCH(D$1,[2]characters!$1:$1,0)-MATCH($A$1,[2]characters!$1:$1,0)+1),MATCH(D$1,[2]characters!$1:$1,0)-MATCH($A$1,[2]characters!$1:$1,0)+1,FALSE)</f>
        <v>ウィルス</v>
      </c>
      <c r="E81" s="77" t="str">
        <f ca="1">VLOOKUP($A81,OFFSET([2]characters!$A$1,0,0,COUNTA([2]characters!$A:$A),MATCH(E$1,[2]characters!$1:$1,0)-MATCH($A$1,[2]characters!$1:$1,0)+1),MATCH(E$1,[2]characters!$1:$1,0)-MATCH($A$1,[2]characters!$1:$1,0)+1,FALSE)</f>
        <v>世界観</v>
      </c>
      <c r="F81" s="77" t="str">
        <f ca="1">VLOOKUP($A81,OFFSET([2]characters!$A$1,0,0,COUNTA([2]characters!$A:$A),MATCH(F$1,[2]characters!$1:$1,0)-MATCH($A$1,[2]characters!$1:$1,0)+1),MATCH(F$1,[2]characters!$1:$1,0)-MATCH($A$1,[2]characters!$1:$1,0)+1,FALSE)</f>
        <v>女性</v>
      </c>
      <c r="G81" s="77">
        <f ca="1">VLOOKUP($A81,OFFSET([2]characters!$A$1,0,0,COUNTA([2]characters!$A:$A),MATCH(G$1,[2]characters!$1:$1,0)-MATCH($A$1,[2]characters!$1:$1,0)+1),MATCH(G$1,[2]characters!$1:$1,0)-MATCH($A$1,[2]characters!$1:$1,0)+1,FALSE)</f>
        <v>4</v>
      </c>
      <c r="H81" s="77" t="str">
        <f ca="1">VLOOKUP($A81,OFFSET([2]characters!$A$1,0,0,COUNTA([2]characters!$A:$A),MATCH(H$1,[2]characters!$1:$1,0)-MATCH($A$1,[2]characters!$1:$1,0)+1),MATCH(H$1,[2]characters!$1:$1,0)-MATCH($A$1,[2]characters!$1:$1,0)+1,FALSE)</f>
        <v>DropWizW</v>
      </c>
      <c r="I81" s="77" t="str">
        <f ca="1">VLOOKUP($A81,OFFSET([2]characters!$A$1,0,0,COUNTA([2]characters!$A:$A),MATCH(I$1,[2]characters!$1:$1,0)-MATCH($A$1,[2]characters!$1:$1,0)+1),MATCH(I$1,[2]characters!$1:$1,0)-MATCH($A$1,[2]characters!$1:$1,0)+1,FALSE)</f>
        <v>green</v>
      </c>
      <c r="J81" s="14">
        <f ca="1">VLOOKUP(I81,[2]属性!$A:$E,2,FALSE)</f>
        <v>1.02</v>
      </c>
      <c r="K81" s="14">
        <f ca="1">VLOOKUP(I81,[2]属性!$A:$E,3,FALSE)</f>
        <v>0.98</v>
      </c>
      <c r="L81" s="14">
        <f ca="1">VLOOKUP(I81,[2]属性!$A:$E,4,FALSE)</f>
        <v>1</v>
      </c>
      <c r="M81" s="14">
        <f ca="1">VLOOKUP(I81,[2]属性!$A:$E,5,FALSE)</f>
        <v>1</v>
      </c>
      <c r="N81" s="14">
        <f ca="1">INDEX(コスト!$A$1:$I$20,MATCH(H81,コスト!$A$1:$A$20,FALSE),MATCH(G81,コスト!$A$1:$I$1,FALSE))</f>
        <v>16</v>
      </c>
      <c r="O81" s="14">
        <f ca="1">INDEX(レベル!$A$1:$I$21,MATCH(H81,レベル!$A$1:$A$21,FALSE),MATCH(G81,レベル!$A$1:$I$1,FALSE))</f>
        <v>60</v>
      </c>
      <c r="P81" s="63">
        <f t="shared" ca="1" si="14"/>
        <v>60</v>
      </c>
      <c r="Q81" s="77" t="str">
        <f ca="1">VLOOKUP($A81,OFFSET([2]characters!$A$1,0,0,COUNTA([2]characters!$A:$A),MATCH(Q$1,[2]characters!$1:$1,0)-MATCH($A$1,[2]characters!$1:$1,0)+1),MATCH(Q$1,[2]characters!$1:$1,0)-MATCH($A$1,[2]characters!$1:$1,0)+1,FALSE)</f>
        <v>heal</v>
      </c>
      <c r="R81" s="8" t="str">
        <f ca="1">VLOOKUP(Q81,[2]character_type_i18n!$A:$H,3,FALSE)</f>
        <v>回復タイプ</v>
      </c>
      <c r="S81" s="14">
        <f ca="1">VLOOKUP(Q81,[2]character_type_i18n!$A:$H,4,FALSE)</f>
        <v>0.8</v>
      </c>
      <c r="T81" s="14">
        <f ca="1">VLOOKUP(Q81,[2]character_type_i18n!$A:$H,5,FALSE)</f>
        <v>0.78</v>
      </c>
      <c r="U81" s="14">
        <f ca="1">VLOOKUP(Q81,[2]character_type_i18n!$A:$H,6,FALSE)</f>
        <v>1</v>
      </c>
      <c r="V81" s="14">
        <f ca="1">VLOOKUP(Q81,[2]character_type_i18n!$A:$H,7,FALSE)</f>
        <v>1.42</v>
      </c>
      <c r="W81" s="77" t="str">
        <f ca="1">VLOOKUP($A81,OFFSET([2]characters!$A$1,0,0,COUNTA([2]characters!$A:$A),MATCH(W$1,[2]characters!$1:$1,0)-MATCH($A$1,[2]characters!$1:$1,0)+1),MATCH(W$1,[2]characters!$1:$1,0)-MATCH($A$1,[2]characters!$1:$1,0)+1,FALSE)</f>
        <v>unknown</v>
      </c>
      <c r="X81" s="8" t="str">
        <f ca="1">VLOOKUP(W81,[2]character_tribe_i18n!$A:$H,3,FALSE)</f>
        <v>Unknown</v>
      </c>
      <c r="Y81" s="77" t="str">
        <f ca="1">VLOOKUP($A81,OFFSET([2]characters!$A$1,0,0,COUNTA([2]characters!$A:$A),MATCH(Y$1,[2]characters!$1:$1,0)-MATCH($A$1,[2]characters!$1:$1,0)+1),MATCH(Y$1,[2]characters!$1:$1,0)-MATCH($A$1,[2]characters!$1:$1,0)+1,FALSE)</f>
        <v>none</v>
      </c>
      <c r="Z81" s="8" t="str">
        <f ca="1">VLOOKUP(Y81,[2]character_tribe_i18n!$A:$H,3,FALSE)</f>
        <v>種族なし</v>
      </c>
      <c r="AA81" s="14">
        <f ca="1">VLOOKUP(W81,[2]character_tribe_i18n!$A:$H,4,FALSE)</f>
        <v>1</v>
      </c>
      <c r="AB81" s="14">
        <f ca="1">VLOOKUP(W81,[2]character_tribe_i18n!$A:$H,5,FALSE)</f>
        <v>1</v>
      </c>
      <c r="AC81" s="14">
        <f ca="1">VLOOKUP(W81,[2]character_tribe_i18n!$A:$H,6,FALSE)</f>
        <v>1</v>
      </c>
      <c r="AD81" s="14">
        <f ca="1">VLOOKUP(W81,[2]character_tribe_i18n!$A:$H,7,FALSE)</f>
        <v>1</v>
      </c>
      <c r="AE81" s="12" t="s">
        <v>102</v>
      </c>
      <c r="AF81" s="85" t="str">
        <f ca="1">IF(AE81="NULL","",VLOOKUP($AE81,OFFSET([2]characters!$A$1,0,0,COUNTA([2]characters!$A:$A),MATCH(AF$1,[2]characters!$1:$1,0)-MATCH($A$1,[2]characters!$1:$1,0)+1),MATCH(AF$1,[2]characters!$1:$1,0)-MATCH($A$1,[2]characters!$1:$1,0)+1,FALSE))</f>
        <v/>
      </c>
      <c r="AG81" s="8">
        <f t="shared" ca="1" si="9"/>
        <v>79</v>
      </c>
      <c r="AH81" s="85" t="str">
        <f ca="1">VLOOKUP($AG81,OFFSET([2]characters!$A$1,0,0,COUNTA([2]characters!$A:$A),MATCH(AH$1,[2]characters!$1:$1,0)-MATCH($A$1,[2]characters!$1:$1,0)+1),MATCH(AH$1,[2]characters!$1:$1,0)-MATCH($A$1,[2]characters!$1:$1,0)+1,FALSE)</f>
        <v>ハッピー100</v>
      </c>
      <c r="AI81" s="14" t="str">
        <f>IF(AE81="NULL","NULL",VLOOKUP(G81,ビット!$A$2:$B$7,2))</f>
        <v>NULL</v>
      </c>
      <c r="AJ81" s="9">
        <v>2</v>
      </c>
      <c r="AK81" s="10" t="str">
        <f t="shared" si="10"/>
        <v>普通</v>
      </c>
      <c r="AL81" s="14" t="str">
        <f ca="1">INDEX(経験値!$A$1:$I$20,MATCH(H81,経験値!$A$1:$A$20,FALSE),MATCH(G81,経験値!$A$1:$I$1,FALSE))</f>
        <v>required_exp_150</v>
      </c>
      <c r="AM81" s="11">
        <f ca="1">VLOOKUP(G81,経験値!$A$27:$B$31,2)</f>
        <v>3400</v>
      </c>
      <c r="AN81" s="21">
        <f ca="1">VLOOKUP(G81,ビット!$G$2:$H$7,2)</f>
        <v>600</v>
      </c>
      <c r="AO81" s="64" t="s">
        <v>189</v>
      </c>
      <c r="AP81" s="97">
        <v>200006</v>
      </c>
      <c r="AQ81" s="77" t="e">
        <f ca="1">VLOOKUP($AP81,OFFSET([1]unit_skills!$A$1,0,0,COUNTA([1]unit_skills!$A:$A),MATCH("name",[1]unit_skills!$1:$1,0)-MATCH($AP$1,[1]unit_skills!$1:$1,0)+1),MATCH("name",[1]unit_skills!$1:$1,0)-MATCH($AP$1,[1]unit_skills!$1:$1,0)+1,FALSE)</f>
        <v>#VALUE!</v>
      </c>
      <c r="AR81" s="77" t="e">
        <f ca="1">VLOOKUP($AP81,OFFSET([1]unit_skills!$A$1,0,0,COUNTA([1]unit_skills!$A:$A),MATCH("comment",[1]unit_skills!$1:$1,0)-MATCH($AP$1,[1]unit_skills!$1:$1,0)+1),MATCH("comment",[1]unit_skills!$1:$1,0)-MATCH($AP$1,[1]unit_skills!$1:$1,0)+1,FALSE)</f>
        <v>#VALUE!</v>
      </c>
      <c r="AS81" s="77" t="e">
        <f ca="1">VLOOKUP($AP81,OFFSET([1]unit_skills!$A$1,0,0,COUNTA([1]unit_skills!$A:$A),MATCH(AS$1,[1]unit_skills!$1:$1,0)-MATCH($AP$1,[1]unit_skills!$1:$1,0)+1),MATCH(AS$1,[1]unit_skills!$1:$1,0)-MATCH($AP$1,[1]unit_skills!$1:$1,0)+1,FALSE)</f>
        <v>#VALUE!</v>
      </c>
      <c r="AT81" s="97">
        <v>142003</v>
      </c>
      <c r="AU81" s="77" t="e">
        <f ca="1">VLOOKUP($AT81,OFFSET([1]crash_skills!$A$1,0,0,COUNTA([1]crash_skills!$A:$A),MATCH("name",[1]crash_skills!$1:$1,0)-MATCH($AT$1,[1]crash_skills!$1:$1,0)+1),MATCH("name",[1]crash_skills!$1:$1,0)-MATCH($AT$1,[1]crash_skills!$1:$1,0)+1,FALSE)</f>
        <v>#VALUE!</v>
      </c>
      <c r="AV81" s="77" t="e">
        <f ca="1">VLOOKUP($AT81,OFFSET([1]crash_skills!$A$1,0,0,COUNTA([1]crash_skills!$A:$A),MATCH("comment",[1]crash_skills!$1:$1,0)-MATCH($AT$1,[1]crash_skills!$1:$1,0)+1),MATCH("comment",[1]crash_skills!$1:$1,0)-MATCH($AT$1,[1]crash_skills!$1:$1,0)+1,FALSE)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81" s="77" t="e">
        <f ca="1">VLOOKUP($AT81,OFFSET([1]crash_skills!$A$1,0,0,COUNTA([1]crash_skills!$A:$A),MATCH(AW$1,[1]crash_skills!$1:$1,0)-MATCH($AT$1,[1]crash_skills!$1:$1,0)+1),MATCH(AW$1,[1]crash_skills!$1:$1,0)-MATCH($AT$1,[1]crash_skills!$1:$1,0)+1,FALSE)</f>
        <v>#VALUE!</v>
      </c>
      <c r="AX81" s="81">
        <f ca="1">VLOOKUP($A81,OFFSET([2]characters!$A$1,0,0,COUNTA([2]characters!$A:$A),MATCH(AX$1,[2]characters!$1:$1,0)-MATCH($A$1,[2]characters!$1:$1,0)+1),MATCH(AX$1,[2]characters!$1:$1,0)-MATCH($A$1,[2]characters!$1:$1,0)+1,FALSE)</f>
        <v>3</v>
      </c>
      <c r="AY81" s="19">
        <v>0.9</v>
      </c>
      <c r="AZ81" s="19">
        <v>0.9</v>
      </c>
      <c r="BA81" s="19">
        <v>0</v>
      </c>
      <c r="BB81" s="19">
        <v>0.9</v>
      </c>
      <c r="BC81" s="14">
        <f ca="1">INDEX('RC6SV'!$A$1:$G$20,MATCH(H81,'RC6SV'!$A$1:$A$20,FALSE),MATCH(G81,'RC6SV'!$A$1:$G$1,FALSE))</f>
        <v>6600</v>
      </c>
      <c r="BD81" s="63">
        <f t="shared" ca="1" si="11"/>
        <v>6600</v>
      </c>
      <c r="BE81" s="14">
        <f t="shared" ca="1" si="12"/>
        <v>4800</v>
      </c>
      <c r="BF81" s="14">
        <f t="shared" ca="1" si="13"/>
        <v>1</v>
      </c>
      <c r="BG81" s="20">
        <f ca="1">IF($BE81&lt;=0,ROUND(BK81*0.5,0), ROUND($BE81*S81*AA81*J81*AY81*0.8*[2]ステータス!$B$2,0))</f>
        <v>1410</v>
      </c>
      <c r="BH81" s="20">
        <f ca="1">IF($BE81&lt;=0,ROUND(BL81*0.5,0), ROUND($BE81*T81*AB81*K81*AZ81*0.8*[2]ステータス!$C$2,0))</f>
        <v>793</v>
      </c>
      <c r="BI81" s="20">
        <f ca="1">IF($BE81&lt;=0,ROUND(BM81*0.5,0), ROUND($BE81*U81*AC81*L81*BA81*0.8*[2]ステータス!$D$2,0))</f>
        <v>0</v>
      </c>
      <c r="BJ81" s="20">
        <f ca="1">IF($BE81&lt;=0,ROUND(BN81*0.5,0), ROUND($BE81*V81*AD81*M81*BB81*0.8*[2]ステータス!$E$2,0))</f>
        <v>1227</v>
      </c>
      <c r="BK81" s="14">
        <f ca="1">ROUND(BD81*S81*AA81*J81*AY81*[2]ステータス!$B$2,0)</f>
        <v>2424</v>
      </c>
      <c r="BL81" s="14">
        <f ca="1">ROUND(BD81*T81*AB81*K81*AZ81*[2]ステータス!$C$2,0)</f>
        <v>1362</v>
      </c>
      <c r="BM81" s="14">
        <f ca="1">ROUND(BD81*U81*AC81*L81*BA81*[2]ステータス!$D$2,0)</f>
        <v>0</v>
      </c>
      <c r="BN81" s="14">
        <f ca="1">ROUND(BD81*V81*AD81*M81*BB81*[2]ステータス!$E$2,0)</f>
        <v>2109</v>
      </c>
      <c r="BO81" s="13">
        <v>0</v>
      </c>
      <c r="BP81" s="13">
        <v>1</v>
      </c>
      <c r="BQ81" s="13" t="s">
        <v>102</v>
      </c>
      <c r="BR81" s="13">
        <f ca="1">VLOOKUP(H81,ghosts_label!$A$2:$B$19,2,FALSE)</f>
        <v>1</v>
      </c>
    </row>
    <row r="82" spans="1:70" ht="21" customHeight="1" x14ac:dyDescent="0.15">
      <c r="A82" s="14">
        <f t="shared" ca="1" si="8"/>
        <v>81</v>
      </c>
      <c r="B82" s="77" t="str">
        <f ca="1">VLOOKUP($A82,OFFSET([2]characters!$A$1,0,0,COUNTA([2]characters!$A:$A),MATCH(B$1,[2]characters!$1:$1,0)-MATCH($A$1,[2]characters!$1:$1,0)+1),MATCH(B$1,[2]characters!$1:$1,0)-MATCH($A$1,[2]characters!$1:$1,0)+1,FALSE)</f>
        <v>増幅型モリス</v>
      </c>
      <c r="C82" s="77" t="str">
        <f ca="1">VLOOKUP($A82,OFFSET([2]characters!$A$1,0,0,COUNTA([2]characters!$A:$A),MATCH(C$1,[2]characters!$1:$1,0)-MATCH($A$1,[2]characters!$1:$1,0)+1),MATCH(C$1,[2]characters!$1:$1,0)-MATCH($A$1,[2]characters!$1:$1,0)+1,FALSE)</f>
        <v>イベント:ウィルス01</v>
      </c>
      <c r="D82" s="77" t="str">
        <f ca="1">VLOOKUP($A82,OFFSET([2]characters!$A$1,0,0,COUNTA([2]characters!$A:$A),MATCH(D$1,[2]characters!$1:$1,0)-MATCH($A$1,[2]characters!$1:$1,0)+1),MATCH(D$1,[2]characters!$1:$1,0)-MATCH($A$1,[2]characters!$1:$1,0)+1,FALSE)</f>
        <v>ウィルス</v>
      </c>
      <c r="E82" s="77" t="str">
        <f ca="1">VLOOKUP($A82,OFFSET([2]characters!$A$1,0,0,COUNTA([2]characters!$A:$A),MATCH(E$1,[2]characters!$1:$1,0)-MATCH($A$1,[2]characters!$1:$1,0)+1),MATCH(E$1,[2]characters!$1:$1,0)-MATCH($A$1,[2]characters!$1:$1,0)+1,FALSE)</f>
        <v>世界観</v>
      </c>
      <c r="F82" s="77" t="str">
        <f ca="1">VLOOKUP($A82,OFFSET([2]characters!$A$1,0,0,COUNTA([2]characters!$A:$A),MATCH(F$1,[2]characters!$1:$1,0)-MATCH($A$1,[2]characters!$1:$1,0)+1),MATCH(F$1,[2]characters!$1:$1,0)-MATCH($A$1,[2]characters!$1:$1,0)+1,FALSE)</f>
        <v>男性</v>
      </c>
      <c r="G82" s="77">
        <f ca="1">VLOOKUP($A82,OFFSET([2]characters!$A$1,0,0,COUNTA([2]characters!$A:$A),MATCH(G$1,[2]characters!$1:$1,0)-MATCH($A$1,[2]characters!$1:$1,0)+1),MATCH(G$1,[2]characters!$1:$1,0)-MATCH($A$1,[2]characters!$1:$1,0)+1,FALSE)</f>
        <v>3</v>
      </c>
      <c r="H82" s="77" t="str">
        <f ca="1">VLOOKUP($A82,OFFSET([2]characters!$A$1,0,0,COUNTA([2]characters!$A:$A),MATCH(H$1,[2]characters!$1:$1,0)-MATCH($A$1,[2]characters!$1:$1,0)+1),MATCH(H$1,[2]characters!$1:$1,0)-MATCH($A$1,[2]characters!$1:$1,0)+1,FALSE)</f>
        <v>DropWizW</v>
      </c>
      <c r="I82" s="77" t="str">
        <f ca="1">VLOOKUP($A82,OFFSET([2]characters!$A$1,0,0,COUNTA([2]characters!$A:$A),MATCH(I$1,[2]characters!$1:$1,0)-MATCH($A$1,[2]characters!$1:$1,0)+1),MATCH(I$1,[2]characters!$1:$1,0)-MATCH($A$1,[2]characters!$1:$1,0)+1,FALSE)</f>
        <v>blue</v>
      </c>
      <c r="J82" s="14">
        <f ca="1">VLOOKUP(I82,[2]属性!$A:$E,2,FALSE)</f>
        <v>1</v>
      </c>
      <c r="K82" s="14">
        <f ca="1">VLOOKUP(I82,[2]属性!$A:$E,3,FALSE)</f>
        <v>0.98</v>
      </c>
      <c r="L82" s="14">
        <f ca="1">VLOOKUP(I82,[2]属性!$A:$E,4,FALSE)</f>
        <v>1</v>
      </c>
      <c r="M82" s="14">
        <f ca="1">VLOOKUP(I82,[2]属性!$A:$E,5,FALSE)</f>
        <v>1.02</v>
      </c>
      <c r="N82" s="14">
        <f ca="1">INDEX(コスト!$A$1:$I$20,MATCH(H82,コスト!$A$1:$A$20,FALSE),MATCH(G82,コスト!$A$1:$I$1,FALSE))</f>
        <v>7</v>
      </c>
      <c r="O82" s="14">
        <f ca="1">INDEX(レベル!$A$1:$I$21,MATCH(H82,レベル!$A$1:$A$21,FALSE),MATCH(G82,レベル!$A$1:$I$1,FALSE))</f>
        <v>40</v>
      </c>
      <c r="P82" s="63">
        <f t="shared" ca="1" si="14"/>
        <v>45</v>
      </c>
      <c r="Q82" s="77" t="str">
        <f ca="1">VLOOKUP($A82,OFFSET([2]characters!$A$1,0,0,COUNTA([2]characters!$A:$A),MATCH(Q$1,[2]characters!$1:$1,0)-MATCH($A$1,[2]characters!$1:$1,0)+1),MATCH(Q$1,[2]characters!$1:$1,0)-MATCH($A$1,[2]characters!$1:$1,0)+1,FALSE)</f>
        <v>balance</v>
      </c>
      <c r="R82" s="8" t="str">
        <f ca="1">VLOOKUP(Q82,[2]character_type_i18n!$A:$H,3,FALSE)</f>
        <v>バランスタイプ</v>
      </c>
      <c r="S82" s="14">
        <f ca="1">VLOOKUP(Q82,[2]character_type_i18n!$A:$H,4,FALSE)</f>
        <v>1</v>
      </c>
      <c r="T82" s="14">
        <f ca="1">VLOOKUP(Q82,[2]character_type_i18n!$A:$H,5,FALSE)</f>
        <v>1</v>
      </c>
      <c r="U82" s="14">
        <f ca="1">VLOOKUP(Q82,[2]character_type_i18n!$A:$H,6,FALSE)</f>
        <v>1</v>
      </c>
      <c r="V82" s="14">
        <f ca="1">VLOOKUP(Q82,[2]character_type_i18n!$A:$H,7,FALSE)</f>
        <v>1</v>
      </c>
      <c r="W82" s="77" t="str">
        <f ca="1">VLOOKUP($A82,OFFSET([2]characters!$A$1,0,0,COUNTA([2]characters!$A:$A),MATCH(W$1,[2]characters!$1:$1,0)-MATCH($A$1,[2]characters!$1:$1,0)+1),MATCH(W$1,[2]characters!$1:$1,0)-MATCH($A$1,[2]characters!$1:$1,0)+1,FALSE)</f>
        <v>unknown</v>
      </c>
      <c r="X82" s="8" t="str">
        <f ca="1">VLOOKUP(W82,[2]character_tribe_i18n!$A:$H,3,FALSE)</f>
        <v>Unknown</v>
      </c>
      <c r="Y82" s="77" t="str">
        <f ca="1">VLOOKUP($A82,OFFSET([2]characters!$A$1,0,0,COUNTA([2]characters!$A:$A),MATCH(Y$1,[2]characters!$1:$1,0)-MATCH($A$1,[2]characters!$1:$1,0)+1),MATCH(Y$1,[2]characters!$1:$1,0)-MATCH($A$1,[2]characters!$1:$1,0)+1,FALSE)</f>
        <v>none</v>
      </c>
      <c r="Z82" s="8" t="str">
        <f ca="1">VLOOKUP(Y82,[2]character_tribe_i18n!$A:$H,3,FALSE)</f>
        <v>種族なし</v>
      </c>
      <c r="AA82" s="14">
        <f ca="1">VLOOKUP(W82,[2]character_tribe_i18n!$A:$H,4,FALSE)</f>
        <v>1</v>
      </c>
      <c r="AB82" s="14">
        <f ca="1">VLOOKUP(W82,[2]character_tribe_i18n!$A:$H,5,FALSE)</f>
        <v>1</v>
      </c>
      <c r="AC82" s="14">
        <f ca="1">VLOOKUP(W82,[2]character_tribe_i18n!$A:$H,6,FALSE)</f>
        <v>1</v>
      </c>
      <c r="AD82" s="14">
        <f ca="1">VLOOKUP(W82,[2]character_tribe_i18n!$A:$H,7,FALSE)</f>
        <v>1</v>
      </c>
      <c r="AE82" s="12">
        <v>82</v>
      </c>
      <c r="AF82" s="85" t="str">
        <f ca="1">IF(AE82="NULL","",VLOOKUP($AE82,OFFSET([2]characters!$A$1,0,0,COUNTA([2]characters!$A:$A),MATCH(AF$1,[2]characters!$1:$1,0)-MATCH($A$1,[2]characters!$1:$1,0)+1),MATCH(AF$1,[2]characters!$1:$1,0)-MATCH($A$1,[2]characters!$1:$1,0)+1,FALSE))</f>
        <v>偽装増幅型G・モリス</v>
      </c>
      <c r="AG82" s="8">
        <f t="shared" ca="1" si="9"/>
        <v>81</v>
      </c>
      <c r="AH82" s="85" t="str">
        <f ca="1">VLOOKUP($AG82,OFFSET([2]characters!$A$1,0,0,COUNTA([2]characters!$A:$A),MATCH(AH$1,[2]characters!$1:$1,0)-MATCH($A$1,[2]characters!$1:$1,0)+1),MATCH(AH$1,[2]characters!$1:$1,0)-MATCH($A$1,[2]characters!$1:$1,0)+1,FALSE)</f>
        <v>増幅型モリス</v>
      </c>
      <c r="AI82" s="104">
        <v>10000</v>
      </c>
      <c r="AJ82" s="9">
        <v>2</v>
      </c>
      <c r="AK82" s="10" t="str">
        <f t="shared" si="10"/>
        <v>普通</v>
      </c>
      <c r="AL82" s="14" t="str">
        <f ca="1">INDEX(経験値!$A$1:$I$20,MATCH(H82,経験値!$A$1:$A$20,FALSE),MATCH(G82,経験値!$A$1:$I$1,FALSE))</f>
        <v>required_exp_150</v>
      </c>
      <c r="AM82" s="11">
        <f ca="1">VLOOKUP(G82,経験値!$A$27:$B$31,2)</f>
        <v>1500</v>
      </c>
      <c r="AN82" s="21">
        <f ca="1">VLOOKUP(G82,ビット!$G$2:$H$7,2)</f>
        <v>300</v>
      </c>
      <c r="AO82" s="64" t="s">
        <v>221</v>
      </c>
      <c r="AP82" s="97">
        <v>222001</v>
      </c>
      <c r="AQ82" s="77" t="e">
        <f ca="1">VLOOKUP($AP82,OFFSET([1]unit_skills!$A$1,0,0,COUNTA([1]unit_skills!$A:$A),MATCH("name",[1]unit_skills!$1:$1,0)-MATCH($AP$1,[1]unit_skills!$1:$1,0)+1),MATCH("name",[1]unit_skills!$1:$1,0)-MATCH($AP$1,[1]unit_skills!$1:$1,0)+1,FALSE)</f>
        <v>#VALUE!</v>
      </c>
      <c r="AR82" s="77" t="e">
        <f ca="1">VLOOKUP($AP82,OFFSET([1]unit_skills!$A$1,0,0,COUNTA([1]unit_skills!$A:$A),MATCH("comment",[1]unit_skills!$1:$1,0)-MATCH($AP$1,[1]unit_skills!$1:$1,0)+1),MATCH("comment",[1]unit_skills!$1:$1,0)-MATCH($AP$1,[1]unit_skills!$1:$1,0)+1,FALSE)</f>
        <v>#VALUE!</v>
      </c>
      <c r="AS82" s="77" t="e">
        <f ca="1">VLOOKUP($AP82,OFFSET([1]unit_skills!$A$1,0,0,COUNTA([1]unit_skills!$A:$A),MATCH(AS$1,[1]unit_skills!$1:$1,0)-MATCH($AP$1,[1]unit_skills!$1:$1,0)+1),MATCH(AS$1,[1]unit_skills!$1:$1,0)-MATCH($AP$1,[1]unit_skills!$1:$1,0)+1,FALSE)</f>
        <v>#VALUE!</v>
      </c>
      <c r="AT82" s="97">
        <v>143002</v>
      </c>
      <c r="AU82" s="77" t="e">
        <f ca="1">VLOOKUP($AT82,OFFSET([1]crash_skills!$A$1,0,0,COUNTA([1]crash_skills!$A:$A),MATCH("name",[1]crash_skills!$1:$1,0)-MATCH($AT$1,[1]crash_skills!$1:$1,0)+1),MATCH("name",[1]crash_skills!$1:$1,0)-MATCH($AT$1,[1]crash_skills!$1:$1,0)+1,FALSE)</f>
        <v>#VALUE!</v>
      </c>
      <c r="AV82" s="77" t="e">
        <f ca="1">VLOOKUP($AT82,OFFSET([1]crash_skills!$A$1,0,0,COUNTA([1]crash_skills!$A:$A),MATCH("comment",[1]crash_skills!$1:$1,0)-MATCH($AT$1,[1]crash_skills!$1:$1,0)+1),MATCH("comment",[1]crash_skills!$1:$1,0)-MATCH($AT$1,[1]crash_skills!$1:$1,0)+1,FALSE)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82" s="77" t="e">
        <f ca="1">VLOOKUP($AT82,OFFSET([1]crash_skills!$A$1,0,0,COUNTA([1]crash_skills!$A:$A),MATCH(AW$1,[1]crash_skills!$1:$1,0)-MATCH($AT$1,[1]crash_skills!$1:$1,0)+1),MATCH(AW$1,[1]crash_skills!$1:$1,0)-MATCH($AT$1,[1]crash_skills!$1:$1,0)+1,FALSE)</f>
        <v>#VALUE!</v>
      </c>
      <c r="AX82" s="81">
        <f ca="1">VLOOKUP($A82,OFFSET([2]characters!$A$1,0,0,COUNTA([2]characters!$A:$A),MATCH(AX$1,[2]characters!$1:$1,0)-MATCH($A$1,[2]characters!$1:$1,0)+1),MATCH(AX$1,[2]characters!$1:$1,0)-MATCH($A$1,[2]characters!$1:$1,0)+1,FALSE)</f>
        <v>3</v>
      </c>
      <c r="AY82" s="19">
        <v>0.9</v>
      </c>
      <c r="AZ82" s="19">
        <v>0.9</v>
      </c>
      <c r="BA82" s="19">
        <v>0</v>
      </c>
      <c r="BB82" s="19">
        <v>0.9</v>
      </c>
      <c r="BC82" s="14">
        <f ca="1">INDEX('RC6SV'!$A$1:$G$20,MATCH(H82,'RC6SV'!$A$1:$A$20,FALSE),MATCH(G82,'RC6SV'!$A$1:$G$1,FALSE))</f>
        <v>4800</v>
      </c>
      <c r="BD82" s="63">
        <f t="shared" ca="1" si="11"/>
        <v>4800</v>
      </c>
      <c r="BE82" s="14">
        <f t="shared" ca="1" si="12"/>
        <v>0</v>
      </c>
      <c r="BF82" s="14">
        <f t="shared" ca="1" si="13"/>
        <v>1</v>
      </c>
      <c r="BG82" s="20">
        <f ca="1">IF($BE82&lt;=0,ROUND(BK82*0.5,0), ROUND($BE82*S82*AA82*J82*AY82*0.8*[2]ステータス!$B$2,0))</f>
        <v>1080</v>
      </c>
      <c r="BH82" s="20">
        <f ca="1">IF($BE82&lt;=0,ROUND(BL82*0.5,0), ROUND($BE82*T82*AB82*K82*AZ82*0.8*[2]ステータス!$C$2,0))</f>
        <v>635</v>
      </c>
      <c r="BI82" s="20">
        <f ca="1">IF($BE82&lt;=0,ROUND(BM82*0.5,0), ROUND($BE82*U82*AC82*L82*BA82*0.8*[2]ステータス!$D$2,0))</f>
        <v>0</v>
      </c>
      <c r="BJ82" s="20">
        <f ca="1">IF($BE82&lt;=0,ROUND(BN82*0.5,0), ROUND($BE82*V82*AD82*M82*BB82*0.8*[2]ステータス!$E$2,0))</f>
        <v>551</v>
      </c>
      <c r="BK82" s="14">
        <f ca="1">ROUND(BD82*S82*AA82*J82*AY82*[2]ステータス!$B$2,0)</f>
        <v>2160</v>
      </c>
      <c r="BL82" s="14">
        <f ca="1">ROUND(BD82*T82*AB82*K82*AZ82*[2]ステータス!$C$2,0)</f>
        <v>1270</v>
      </c>
      <c r="BM82" s="14">
        <f ca="1">ROUND(BD82*U82*AC82*L82*BA82*[2]ステータス!$D$2,0)</f>
        <v>0</v>
      </c>
      <c r="BN82" s="14">
        <f ca="1">ROUND(BD82*V82*AD82*M82*BB82*[2]ステータス!$E$2,0)</f>
        <v>1102</v>
      </c>
      <c r="BO82" s="13">
        <v>0</v>
      </c>
      <c r="BP82" s="13">
        <v>1</v>
      </c>
      <c r="BQ82" s="13" t="s">
        <v>102</v>
      </c>
      <c r="BR82" s="13">
        <f ca="1">VLOOKUP(H82,ghosts_label!$A$2:$B$19,2,FALSE)</f>
        <v>1</v>
      </c>
    </row>
    <row r="83" spans="1:70" ht="21" customHeight="1" x14ac:dyDescent="0.15">
      <c r="A83" s="14">
        <f t="shared" ca="1" si="8"/>
        <v>82</v>
      </c>
      <c r="B83" s="77" t="str">
        <f ca="1">VLOOKUP($A83,OFFSET([2]characters!$A$1,0,0,COUNTA([2]characters!$A:$A),MATCH(B$1,[2]characters!$1:$1,0)-MATCH($A$1,[2]characters!$1:$1,0)+1),MATCH(B$1,[2]characters!$1:$1,0)-MATCH($A$1,[2]characters!$1:$1,0)+1,FALSE)</f>
        <v>偽装増幅型G・モリス</v>
      </c>
      <c r="C83" s="77" t="str">
        <f ca="1">VLOOKUP($A83,OFFSET([2]characters!$A$1,0,0,COUNTA([2]characters!$A:$A),MATCH(C$1,[2]characters!$1:$1,0)-MATCH($A$1,[2]characters!$1:$1,0)+1),MATCH(C$1,[2]characters!$1:$1,0)-MATCH($A$1,[2]characters!$1:$1,0)+1,FALSE)</f>
        <v>イベント:ウィルス01</v>
      </c>
      <c r="D83" s="77" t="str">
        <f ca="1">VLOOKUP($A83,OFFSET([2]characters!$A$1,0,0,COUNTA([2]characters!$A:$A),MATCH(D$1,[2]characters!$1:$1,0)-MATCH($A$1,[2]characters!$1:$1,0)+1),MATCH(D$1,[2]characters!$1:$1,0)-MATCH($A$1,[2]characters!$1:$1,0)+1,FALSE)</f>
        <v>ウィルス</v>
      </c>
      <c r="E83" s="77" t="str">
        <f ca="1">VLOOKUP($A83,OFFSET([2]characters!$A$1,0,0,COUNTA([2]characters!$A:$A),MATCH(E$1,[2]characters!$1:$1,0)-MATCH($A$1,[2]characters!$1:$1,0)+1),MATCH(E$1,[2]characters!$1:$1,0)-MATCH($A$1,[2]characters!$1:$1,0)+1,FALSE)</f>
        <v>世界観</v>
      </c>
      <c r="F83" s="77" t="str">
        <f ca="1">VLOOKUP($A83,OFFSET([2]characters!$A$1,0,0,COUNTA([2]characters!$A:$A),MATCH(F$1,[2]characters!$1:$1,0)-MATCH($A$1,[2]characters!$1:$1,0)+1),MATCH(F$1,[2]characters!$1:$1,0)-MATCH($A$1,[2]characters!$1:$1,0)+1,FALSE)</f>
        <v>男性</v>
      </c>
      <c r="G83" s="77">
        <f ca="1">VLOOKUP($A83,OFFSET([2]characters!$A$1,0,0,COUNTA([2]characters!$A:$A),MATCH(G$1,[2]characters!$1:$1,0)-MATCH($A$1,[2]characters!$1:$1,0)+1),MATCH(G$1,[2]characters!$1:$1,0)-MATCH($A$1,[2]characters!$1:$1,0)+1,FALSE)</f>
        <v>4</v>
      </c>
      <c r="H83" s="77" t="str">
        <f ca="1">VLOOKUP($A83,OFFSET([2]characters!$A$1,0,0,COUNTA([2]characters!$A:$A),MATCH(H$1,[2]characters!$1:$1,0)-MATCH($A$1,[2]characters!$1:$1,0)+1),MATCH(H$1,[2]characters!$1:$1,0)-MATCH($A$1,[2]characters!$1:$1,0)+1,FALSE)</f>
        <v>DropWizW</v>
      </c>
      <c r="I83" s="77" t="str">
        <f ca="1">VLOOKUP($A83,OFFSET([2]characters!$A$1,0,0,COUNTA([2]characters!$A:$A),MATCH(I$1,[2]characters!$1:$1,0)-MATCH($A$1,[2]characters!$1:$1,0)+1),MATCH(I$1,[2]characters!$1:$1,0)-MATCH($A$1,[2]characters!$1:$1,0)+1,FALSE)</f>
        <v>blue</v>
      </c>
      <c r="J83" s="14">
        <f ca="1">VLOOKUP(I83,[2]属性!$A:$E,2,FALSE)</f>
        <v>1</v>
      </c>
      <c r="K83" s="14">
        <f ca="1">VLOOKUP(I83,[2]属性!$A:$E,3,FALSE)</f>
        <v>0.98</v>
      </c>
      <c r="L83" s="14">
        <f ca="1">VLOOKUP(I83,[2]属性!$A:$E,4,FALSE)</f>
        <v>1</v>
      </c>
      <c r="M83" s="14">
        <f ca="1">VLOOKUP(I83,[2]属性!$A:$E,5,FALSE)</f>
        <v>1.02</v>
      </c>
      <c r="N83" s="14">
        <f ca="1">INDEX(コスト!$A$1:$I$20,MATCH(H83,コスト!$A$1:$A$20,FALSE),MATCH(G83,コスト!$A$1:$I$1,FALSE))</f>
        <v>16</v>
      </c>
      <c r="O83" s="14">
        <f ca="1">INDEX(レベル!$A$1:$I$21,MATCH(H83,レベル!$A$1:$A$21,FALSE),MATCH(G83,レベル!$A$1:$I$1,FALSE))</f>
        <v>60</v>
      </c>
      <c r="P83" s="63">
        <f t="shared" ca="1" si="14"/>
        <v>60</v>
      </c>
      <c r="Q83" s="77" t="str">
        <f ca="1">VLOOKUP($A83,OFFSET([2]characters!$A$1,0,0,COUNTA([2]characters!$A:$A),MATCH(Q$1,[2]characters!$1:$1,0)-MATCH($A$1,[2]characters!$1:$1,0)+1),MATCH(Q$1,[2]characters!$1:$1,0)-MATCH($A$1,[2]characters!$1:$1,0)+1,FALSE)</f>
        <v>balance</v>
      </c>
      <c r="R83" s="8" t="str">
        <f ca="1">VLOOKUP(Q83,[2]character_type_i18n!$A:$H,3,FALSE)</f>
        <v>バランスタイプ</v>
      </c>
      <c r="S83" s="14">
        <f ca="1">VLOOKUP(Q83,[2]character_type_i18n!$A:$H,4,FALSE)</f>
        <v>1</v>
      </c>
      <c r="T83" s="14">
        <f ca="1">VLOOKUP(Q83,[2]character_type_i18n!$A:$H,5,FALSE)</f>
        <v>1</v>
      </c>
      <c r="U83" s="14">
        <f ca="1">VLOOKUP(Q83,[2]character_type_i18n!$A:$H,6,FALSE)</f>
        <v>1</v>
      </c>
      <c r="V83" s="14">
        <f ca="1">VLOOKUP(Q83,[2]character_type_i18n!$A:$H,7,FALSE)</f>
        <v>1</v>
      </c>
      <c r="W83" s="77" t="str">
        <f ca="1">VLOOKUP($A83,OFFSET([2]characters!$A$1,0,0,COUNTA([2]characters!$A:$A),MATCH(W$1,[2]characters!$1:$1,0)-MATCH($A$1,[2]characters!$1:$1,0)+1),MATCH(W$1,[2]characters!$1:$1,0)-MATCH($A$1,[2]characters!$1:$1,0)+1,FALSE)</f>
        <v>unknown</v>
      </c>
      <c r="X83" s="8" t="str">
        <f ca="1">VLOOKUP(W83,[2]character_tribe_i18n!$A:$H,3,FALSE)</f>
        <v>Unknown</v>
      </c>
      <c r="Y83" s="77" t="str">
        <f ca="1">VLOOKUP($A83,OFFSET([2]characters!$A$1,0,0,COUNTA([2]characters!$A:$A),MATCH(Y$1,[2]characters!$1:$1,0)-MATCH($A$1,[2]characters!$1:$1,0)+1),MATCH(Y$1,[2]characters!$1:$1,0)-MATCH($A$1,[2]characters!$1:$1,0)+1,FALSE)</f>
        <v>none</v>
      </c>
      <c r="Z83" s="8" t="str">
        <f ca="1">VLOOKUP(Y83,[2]character_tribe_i18n!$A:$H,3,FALSE)</f>
        <v>種族なし</v>
      </c>
      <c r="AA83" s="14">
        <f ca="1">VLOOKUP(W83,[2]character_tribe_i18n!$A:$H,4,FALSE)</f>
        <v>1</v>
      </c>
      <c r="AB83" s="14">
        <f ca="1">VLOOKUP(W83,[2]character_tribe_i18n!$A:$H,5,FALSE)</f>
        <v>1</v>
      </c>
      <c r="AC83" s="14">
        <f ca="1">VLOOKUP(W83,[2]character_tribe_i18n!$A:$H,6,FALSE)</f>
        <v>1</v>
      </c>
      <c r="AD83" s="14">
        <f ca="1">VLOOKUP(W83,[2]character_tribe_i18n!$A:$H,7,FALSE)</f>
        <v>1</v>
      </c>
      <c r="AE83" s="12" t="s">
        <v>102</v>
      </c>
      <c r="AF83" s="85" t="str">
        <f ca="1">IF(AE83="NULL","",VLOOKUP($AE83,OFFSET([2]characters!$A$1,0,0,COUNTA([2]characters!$A:$A),MATCH(AF$1,[2]characters!$1:$1,0)-MATCH($A$1,[2]characters!$1:$1,0)+1),MATCH(AF$1,[2]characters!$1:$1,0)-MATCH($A$1,[2]characters!$1:$1,0)+1,FALSE))</f>
        <v/>
      </c>
      <c r="AG83" s="8">
        <f t="shared" ca="1" si="9"/>
        <v>81</v>
      </c>
      <c r="AH83" s="85" t="str">
        <f ca="1">VLOOKUP($AG83,OFFSET([2]characters!$A$1,0,0,COUNTA([2]characters!$A:$A),MATCH(AH$1,[2]characters!$1:$1,0)-MATCH($A$1,[2]characters!$1:$1,0)+1),MATCH(AH$1,[2]characters!$1:$1,0)-MATCH($A$1,[2]characters!$1:$1,0)+1,FALSE)</f>
        <v>増幅型モリス</v>
      </c>
      <c r="AI83" s="14" t="str">
        <f>IF(AE83="NULL","NULL",VLOOKUP(G83,ビット!$A$2:$B$7,2))</f>
        <v>NULL</v>
      </c>
      <c r="AJ83" s="9">
        <v>2</v>
      </c>
      <c r="AK83" s="10" t="str">
        <f t="shared" si="10"/>
        <v>普通</v>
      </c>
      <c r="AL83" s="14" t="str">
        <f ca="1">INDEX(経験値!$A$1:$I$20,MATCH(H83,経験値!$A$1:$A$20,FALSE),MATCH(G83,経験値!$A$1:$I$1,FALSE))</f>
        <v>required_exp_150</v>
      </c>
      <c r="AM83" s="11">
        <f ca="1">VLOOKUP(G83,経験値!$A$27:$B$31,2)</f>
        <v>3400</v>
      </c>
      <c r="AN83" s="21">
        <f ca="1">VLOOKUP(G83,ビット!$G$2:$H$7,2)</f>
        <v>600</v>
      </c>
      <c r="AO83" s="64" t="s">
        <v>221</v>
      </c>
      <c r="AP83" s="97">
        <v>222001</v>
      </c>
      <c r="AQ83" s="77" t="e">
        <f ca="1">VLOOKUP($AP83,OFFSET([1]unit_skills!$A$1,0,0,COUNTA([1]unit_skills!$A:$A),MATCH("name",[1]unit_skills!$1:$1,0)-MATCH($AP$1,[1]unit_skills!$1:$1,0)+1),MATCH("name",[1]unit_skills!$1:$1,0)-MATCH($AP$1,[1]unit_skills!$1:$1,0)+1,FALSE)</f>
        <v>#VALUE!</v>
      </c>
      <c r="AR83" s="77" t="e">
        <f ca="1">VLOOKUP($AP83,OFFSET([1]unit_skills!$A$1,0,0,COUNTA([1]unit_skills!$A:$A),MATCH("comment",[1]unit_skills!$1:$1,0)-MATCH($AP$1,[1]unit_skills!$1:$1,0)+1),MATCH("comment",[1]unit_skills!$1:$1,0)-MATCH($AP$1,[1]unit_skills!$1:$1,0)+1,FALSE)</f>
        <v>#VALUE!</v>
      </c>
      <c r="AS83" s="77" t="e">
        <f ca="1">VLOOKUP($AP83,OFFSET([1]unit_skills!$A$1,0,0,COUNTA([1]unit_skills!$A:$A),MATCH(AS$1,[1]unit_skills!$1:$1,0)-MATCH($AP$1,[1]unit_skills!$1:$1,0)+1),MATCH(AS$1,[1]unit_skills!$1:$1,0)-MATCH($AP$1,[1]unit_skills!$1:$1,0)+1,FALSE)</f>
        <v>#VALUE!</v>
      </c>
      <c r="AT83" s="97">
        <v>143003</v>
      </c>
      <c r="AU83" s="77" t="e">
        <f ca="1">VLOOKUP($AT83,OFFSET([1]crash_skills!$A$1,0,0,COUNTA([1]crash_skills!$A:$A),MATCH("name",[1]crash_skills!$1:$1,0)-MATCH($AT$1,[1]crash_skills!$1:$1,0)+1),MATCH("name",[1]crash_skills!$1:$1,0)-MATCH($AT$1,[1]crash_skills!$1:$1,0)+1,FALSE)</f>
        <v>#VALUE!</v>
      </c>
      <c r="AV83" s="77" t="e">
        <f ca="1">VLOOKUP($AT83,OFFSET([1]crash_skills!$A$1,0,0,COUNTA([1]crash_skills!$A:$A),MATCH("comment",[1]crash_skills!$1:$1,0)-MATCH($AT$1,[1]crash_skills!$1:$1,0)+1),MATCH("comment",[1]crash_skills!$1:$1,0)-MATCH($AT$1,[1]crash_skills!$1:$1,0)+1,FALSE)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83" s="77" t="e">
        <f ca="1">VLOOKUP($AT83,OFFSET([1]crash_skills!$A$1,0,0,COUNTA([1]crash_skills!$A:$A),MATCH(AW$1,[1]crash_skills!$1:$1,0)-MATCH($AT$1,[1]crash_skills!$1:$1,0)+1),MATCH(AW$1,[1]crash_skills!$1:$1,0)-MATCH($AT$1,[1]crash_skills!$1:$1,0)+1,FALSE)</f>
        <v>#VALUE!</v>
      </c>
      <c r="AX83" s="81">
        <f ca="1">VLOOKUP($A83,OFFSET([2]characters!$A$1,0,0,COUNTA([2]characters!$A:$A),MATCH(AX$1,[2]characters!$1:$1,0)-MATCH($A$1,[2]characters!$1:$1,0)+1),MATCH(AX$1,[2]characters!$1:$1,0)-MATCH($A$1,[2]characters!$1:$1,0)+1,FALSE)</f>
        <v>3</v>
      </c>
      <c r="AY83" s="19">
        <v>0.9</v>
      </c>
      <c r="AZ83" s="19">
        <v>0.9</v>
      </c>
      <c r="BA83" s="19">
        <v>0</v>
      </c>
      <c r="BB83" s="19">
        <v>0.9</v>
      </c>
      <c r="BC83" s="14">
        <f ca="1">INDEX('RC6SV'!$A$1:$G$20,MATCH(H83,'RC6SV'!$A$1:$A$20,FALSE),MATCH(G83,'RC6SV'!$A$1:$G$1,FALSE))</f>
        <v>6600</v>
      </c>
      <c r="BD83" s="63">
        <f t="shared" ca="1" si="11"/>
        <v>6600</v>
      </c>
      <c r="BE83" s="14">
        <f t="shared" ca="1" si="12"/>
        <v>4800</v>
      </c>
      <c r="BF83" s="14">
        <f t="shared" ca="1" si="13"/>
        <v>1</v>
      </c>
      <c r="BG83" s="20">
        <f ca="1">IF($BE83&lt;=0,ROUND(BK83*0.5,0), ROUND($BE83*S83*AA83*J83*AY83*0.8*[2]ステータス!$B$2,0))</f>
        <v>1728</v>
      </c>
      <c r="BH83" s="20">
        <f ca="1">IF($BE83&lt;=0,ROUND(BL83*0.5,0), ROUND($BE83*T83*AB83*K83*AZ83*0.8*[2]ステータス!$C$2,0))</f>
        <v>1016</v>
      </c>
      <c r="BI83" s="20">
        <f ca="1">IF($BE83&lt;=0,ROUND(BM83*0.5,0), ROUND($BE83*U83*AC83*L83*BA83*0.8*[2]ステータス!$D$2,0))</f>
        <v>0</v>
      </c>
      <c r="BJ83" s="20">
        <f ca="1">IF($BE83&lt;=0,ROUND(BN83*0.5,0), ROUND($BE83*V83*AD83*M83*BB83*0.8*[2]ステータス!$E$2,0))</f>
        <v>881</v>
      </c>
      <c r="BK83" s="14">
        <f ca="1">ROUND(BD83*S83*AA83*J83*AY83*[2]ステータス!$B$2,0)</f>
        <v>2970</v>
      </c>
      <c r="BL83" s="14">
        <f ca="1">ROUND(BD83*T83*AB83*K83*AZ83*[2]ステータス!$C$2,0)</f>
        <v>1746</v>
      </c>
      <c r="BM83" s="14">
        <f ca="1">ROUND(BD83*U83*AC83*L83*BA83*[2]ステータス!$D$2,0)</f>
        <v>0</v>
      </c>
      <c r="BN83" s="14">
        <f ca="1">ROUND(BD83*V83*AD83*M83*BB83*[2]ステータス!$E$2,0)</f>
        <v>1515</v>
      </c>
      <c r="BO83" s="13">
        <v>0</v>
      </c>
      <c r="BP83" s="13">
        <v>1</v>
      </c>
      <c r="BQ83" s="13" t="s">
        <v>102</v>
      </c>
      <c r="BR83" s="13">
        <f ca="1">VLOOKUP(H83,ghosts_label!$A$2:$B$19,2,FALSE)</f>
        <v>1</v>
      </c>
    </row>
    <row r="84" spans="1:70" ht="21" customHeight="1" x14ac:dyDescent="0.15">
      <c r="A84" s="14">
        <f t="shared" ca="1" si="8"/>
        <v>83</v>
      </c>
      <c r="B84" s="77" t="str">
        <f ca="1">VLOOKUP($A84,OFFSET([2]characters!$A$1,0,0,COUNTA([2]characters!$A:$A),MATCH(B$1,[2]characters!$1:$1,0)-MATCH($A$1,[2]characters!$1:$1,0)+1),MATCH(B$1,[2]characters!$1:$1,0)-MATCH($A$1,[2]characters!$1:$1,0)+1,FALSE)</f>
        <v>拡散性ニムダ</v>
      </c>
      <c r="C84" s="77" t="str">
        <f ca="1">VLOOKUP($A84,OFFSET([2]characters!$A$1,0,0,COUNTA([2]characters!$A:$A),MATCH(C$1,[2]characters!$1:$1,0)-MATCH($A$1,[2]characters!$1:$1,0)+1),MATCH(C$1,[2]characters!$1:$1,0)-MATCH($A$1,[2]characters!$1:$1,0)+1,FALSE)</f>
        <v>イベント:ウィルス01</v>
      </c>
      <c r="D84" s="77" t="str">
        <f ca="1">VLOOKUP($A84,OFFSET([2]characters!$A$1,0,0,COUNTA([2]characters!$A:$A),MATCH(D$1,[2]characters!$1:$1,0)-MATCH($A$1,[2]characters!$1:$1,0)+1),MATCH(D$1,[2]characters!$1:$1,0)-MATCH($A$1,[2]characters!$1:$1,0)+1,FALSE)</f>
        <v>ウィルス</v>
      </c>
      <c r="E84" s="77" t="str">
        <f ca="1">VLOOKUP($A84,OFFSET([2]characters!$A$1,0,0,COUNTA([2]characters!$A:$A),MATCH(E$1,[2]characters!$1:$1,0)-MATCH($A$1,[2]characters!$1:$1,0)+1),MATCH(E$1,[2]characters!$1:$1,0)-MATCH($A$1,[2]characters!$1:$1,0)+1,FALSE)</f>
        <v>世界観</v>
      </c>
      <c r="F84" s="77" t="str">
        <f ca="1">VLOOKUP($A84,OFFSET([2]characters!$A$1,0,0,COUNTA([2]characters!$A:$A),MATCH(F$1,[2]characters!$1:$1,0)-MATCH($A$1,[2]characters!$1:$1,0)+1),MATCH(F$1,[2]characters!$1:$1,0)-MATCH($A$1,[2]characters!$1:$1,0)+1,FALSE)</f>
        <v>不明</v>
      </c>
      <c r="G84" s="77">
        <f ca="1">VLOOKUP($A84,OFFSET([2]characters!$A$1,0,0,COUNTA([2]characters!$A:$A),MATCH(G$1,[2]characters!$1:$1,0)-MATCH($A$1,[2]characters!$1:$1,0)+1),MATCH(G$1,[2]characters!$1:$1,0)-MATCH($A$1,[2]characters!$1:$1,0)+1,FALSE)</f>
        <v>3</v>
      </c>
      <c r="H84" s="77" t="str">
        <f ca="1">VLOOKUP($A84,OFFSET([2]characters!$A$1,0,0,COUNTA([2]characters!$A:$A),MATCH(H$1,[2]characters!$1:$1,0)-MATCH($A$1,[2]characters!$1:$1,0)+1),MATCH(H$1,[2]characters!$1:$1,0)-MATCH($A$1,[2]characters!$1:$1,0)+1,FALSE)</f>
        <v>DropWizW</v>
      </c>
      <c r="I84" s="77" t="str">
        <f ca="1">VLOOKUP($A84,OFFSET([2]characters!$A$1,0,0,COUNTA([2]characters!$A:$A),MATCH(I$1,[2]characters!$1:$1,0)-MATCH($A$1,[2]characters!$1:$1,0)+1),MATCH(I$1,[2]characters!$1:$1,0)-MATCH($A$1,[2]characters!$1:$1,0)+1,FALSE)</f>
        <v>yellow</v>
      </c>
      <c r="J84" s="14">
        <f ca="1">VLOOKUP(I84,[2]属性!$A:$E,2,FALSE)</f>
        <v>0.98</v>
      </c>
      <c r="K84" s="14">
        <f ca="1">VLOOKUP(I84,[2]属性!$A:$E,3,FALSE)</f>
        <v>1.01</v>
      </c>
      <c r="L84" s="14">
        <f ca="1">VLOOKUP(I84,[2]属性!$A:$E,4,FALSE)</f>
        <v>1</v>
      </c>
      <c r="M84" s="14">
        <f ca="1">VLOOKUP(I84,[2]属性!$A:$E,5,FALSE)</f>
        <v>1.01</v>
      </c>
      <c r="N84" s="14">
        <f ca="1">INDEX(コスト!$A$1:$I$20,MATCH(H84,コスト!$A$1:$A$20,FALSE),MATCH(G84,コスト!$A$1:$I$1,FALSE))</f>
        <v>7</v>
      </c>
      <c r="O84" s="14">
        <f ca="1">INDEX(レベル!$A$1:$I$21,MATCH(H84,レベル!$A$1:$A$21,FALSE),MATCH(G84,レベル!$A$1:$I$1,FALSE))</f>
        <v>40</v>
      </c>
      <c r="P84" s="63">
        <f t="shared" ca="1" si="14"/>
        <v>45</v>
      </c>
      <c r="Q84" s="77" t="str">
        <f ca="1">VLOOKUP($A84,OFFSET([2]characters!$A$1,0,0,COUNTA([2]characters!$A:$A),MATCH(Q$1,[2]characters!$1:$1,0)-MATCH($A$1,[2]characters!$1:$1,0)+1),MATCH(Q$1,[2]characters!$1:$1,0)-MATCH($A$1,[2]characters!$1:$1,0)+1,FALSE)</f>
        <v>heal</v>
      </c>
      <c r="R84" s="8" t="str">
        <f ca="1">VLOOKUP(Q84,[2]character_type_i18n!$A:$H,3,FALSE)</f>
        <v>回復タイプ</v>
      </c>
      <c r="S84" s="14">
        <f ca="1">VLOOKUP(Q84,[2]character_type_i18n!$A:$H,4,FALSE)</f>
        <v>0.8</v>
      </c>
      <c r="T84" s="14">
        <f ca="1">VLOOKUP(Q84,[2]character_type_i18n!$A:$H,5,FALSE)</f>
        <v>0.78</v>
      </c>
      <c r="U84" s="14">
        <f ca="1">VLOOKUP(Q84,[2]character_type_i18n!$A:$H,6,FALSE)</f>
        <v>1</v>
      </c>
      <c r="V84" s="14">
        <f ca="1">VLOOKUP(Q84,[2]character_type_i18n!$A:$H,7,FALSE)</f>
        <v>1.42</v>
      </c>
      <c r="W84" s="77" t="str">
        <f ca="1">VLOOKUP($A84,OFFSET([2]characters!$A$1,0,0,COUNTA([2]characters!$A:$A),MATCH(W$1,[2]characters!$1:$1,0)-MATCH($A$1,[2]characters!$1:$1,0)+1),MATCH(W$1,[2]characters!$1:$1,0)-MATCH($A$1,[2]characters!$1:$1,0)+1,FALSE)</f>
        <v>unknown</v>
      </c>
      <c r="X84" s="8" t="str">
        <f ca="1">VLOOKUP(W84,[2]character_tribe_i18n!$A:$H,3,FALSE)</f>
        <v>Unknown</v>
      </c>
      <c r="Y84" s="77" t="str">
        <f ca="1">VLOOKUP($A84,OFFSET([2]characters!$A$1,0,0,COUNTA([2]characters!$A:$A),MATCH(Y$1,[2]characters!$1:$1,0)-MATCH($A$1,[2]characters!$1:$1,0)+1),MATCH(Y$1,[2]characters!$1:$1,0)-MATCH($A$1,[2]characters!$1:$1,0)+1,FALSE)</f>
        <v>none</v>
      </c>
      <c r="Z84" s="8" t="str">
        <f ca="1">VLOOKUP(Y84,[2]character_tribe_i18n!$A:$H,3,FALSE)</f>
        <v>種族なし</v>
      </c>
      <c r="AA84" s="14">
        <f ca="1">VLOOKUP(W84,[2]character_tribe_i18n!$A:$H,4,FALSE)</f>
        <v>1</v>
      </c>
      <c r="AB84" s="14">
        <f ca="1">VLOOKUP(W84,[2]character_tribe_i18n!$A:$H,5,FALSE)</f>
        <v>1</v>
      </c>
      <c r="AC84" s="14">
        <f ca="1">VLOOKUP(W84,[2]character_tribe_i18n!$A:$H,6,FALSE)</f>
        <v>1</v>
      </c>
      <c r="AD84" s="14">
        <f ca="1">VLOOKUP(W84,[2]character_tribe_i18n!$A:$H,7,FALSE)</f>
        <v>1</v>
      </c>
      <c r="AE84" s="12">
        <v>84</v>
      </c>
      <c r="AF84" s="85" t="str">
        <f ca="1">IF(AE84="NULL","",VLOOKUP($AE84,OFFSET([2]characters!$A$1,0,0,COUNTA([2]characters!$A:$A),MATCH(AF$1,[2]characters!$1:$1,0)-MATCH($A$1,[2]characters!$1:$1,0)+1),MATCH(AF$1,[2]characters!$1:$1,0)-MATCH($A$1,[2]characters!$1:$1,0)+1,FALSE))</f>
        <v>高速拡散性ニムダE</v>
      </c>
      <c r="AG84" s="8">
        <f t="shared" ca="1" si="9"/>
        <v>83</v>
      </c>
      <c r="AH84" s="85" t="str">
        <f ca="1">VLOOKUP($AG84,OFFSET([2]characters!$A$1,0,0,COUNTA([2]characters!$A:$A),MATCH(AH$1,[2]characters!$1:$1,0)-MATCH($A$1,[2]characters!$1:$1,0)+1),MATCH(AH$1,[2]characters!$1:$1,0)-MATCH($A$1,[2]characters!$1:$1,0)+1,FALSE)</f>
        <v>拡散性ニムダ</v>
      </c>
      <c r="AI84" s="104">
        <v>5000</v>
      </c>
      <c r="AJ84" s="9">
        <v>2</v>
      </c>
      <c r="AK84" s="10" t="str">
        <f t="shared" si="10"/>
        <v>普通</v>
      </c>
      <c r="AL84" s="14" t="str">
        <f ca="1">INDEX(経験値!$A$1:$I$20,MATCH(H84,経験値!$A$1:$A$20,FALSE),MATCH(G84,経験値!$A$1:$I$1,FALSE))</f>
        <v>required_exp_150</v>
      </c>
      <c r="AM84" s="11">
        <f ca="1">VLOOKUP(G84,経験値!$A$27:$B$31,2)</f>
        <v>1500</v>
      </c>
      <c r="AN84" s="21">
        <f ca="1">VLOOKUP(G84,ビット!$G$2:$H$7,2)</f>
        <v>300</v>
      </c>
      <c r="AO84" s="64" t="s">
        <v>219</v>
      </c>
      <c r="AP84" s="97">
        <v>410002</v>
      </c>
      <c r="AQ84" s="77" t="e">
        <f ca="1">VLOOKUP($AP84,OFFSET([1]unit_skills!$A$1,0,0,COUNTA([1]unit_skills!$A:$A),MATCH("name",[1]unit_skills!$1:$1,0)-MATCH($AP$1,[1]unit_skills!$1:$1,0)+1),MATCH("name",[1]unit_skills!$1:$1,0)-MATCH($AP$1,[1]unit_skills!$1:$1,0)+1,FALSE)</f>
        <v>#VALUE!</v>
      </c>
      <c r="AR84" s="77" t="e">
        <f ca="1">VLOOKUP($AP84,OFFSET([1]unit_skills!$A$1,0,0,COUNTA([1]unit_skills!$A:$A),MATCH("comment",[1]unit_skills!$1:$1,0)-MATCH($AP$1,[1]unit_skills!$1:$1,0)+1),MATCH("comment",[1]unit_skills!$1:$1,0)-MATCH($AP$1,[1]unit_skills!$1:$1,0)+1,FALSE)</f>
        <v>#VALUE!</v>
      </c>
      <c r="AS84" s="77" t="e">
        <f ca="1">VLOOKUP($AP84,OFFSET([1]unit_skills!$A$1,0,0,COUNTA([1]unit_skills!$A:$A),MATCH(AS$1,[1]unit_skills!$1:$1,0)-MATCH($AP$1,[1]unit_skills!$1:$1,0)+1),MATCH(AS$1,[1]unit_skills!$1:$1,0)-MATCH($AP$1,[1]unit_skills!$1:$1,0)+1,FALSE)</f>
        <v>#VALUE!</v>
      </c>
      <c r="AT84" s="97">
        <v>144002</v>
      </c>
      <c r="AU84" s="77" t="e">
        <f ca="1">VLOOKUP($AT84,OFFSET([1]crash_skills!$A$1,0,0,COUNTA([1]crash_skills!$A:$A),MATCH("name",[1]crash_skills!$1:$1,0)-MATCH($AT$1,[1]crash_skills!$1:$1,0)+1),MATCH("name",[1]crash_skills!$1:$1,0)-MATCH($AT$1,[1]crash_skills!$1:$1,0)+1,FALSE)</f>
        <v>#VALUE!</v>
      </c>
      <c r="AV84" s="77" t="e">
        <f ca="1">VLOOKUP($AT84,OFFSET([1]crash_skills!$A$1,0,0,COUNTA([1]crash_skills!$A:$A),MATCH("comment",[1]crash_skills!$1:$1,0)-MATCH($AT$1,[1]crash_skills!$1:$1,0)+1),MATCH("comment",[1]crash_skills!$1:$1,0)-MATCH($AT$1,[1]crash_skills!$1:$1,0)+1,FALSE)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84" s="77" t="e">
        <f ca="1">VLOOKUP($AT84,OFFSET([1]crash_skills!$A$1,0,0,COUNTA([1]crash_skills!$A:$A),MATCH(AW$1,[1]crash_skills!$1:$1,0)-MATCH($AT$1,[1]crash_skills!$1:$1,0)+1),MATCH(AW$1,[1]crash_skills!$1:$1,0)-MATCH($AT$1,[1]crash_skills!$1:$1,0)+1,FALSE)</f>
        <v>#VALUE!</v>
      </c>
      <c r="AX84" s="81">
        <f ca="1">VLOOKUP($A84,OFFSET([2]characters!$A$1,0,0,COUNTA([2]characters!$A:$A),MATCH(AX$1,[2]characters!$1:$1,0)-MATCH($A$1,[2]characters!$1:$1,0)+1),MATCH(AX$1,[2]characters!$1:$1,0)-MATCH($A$1,[2]characters!$1:$1,0)+1,FALSE)</f>
        <v>3</v>
      </c>
      <c r="AY84" s="19">
        <v>0.9</v>
      </c>
      <c r="AZ84" s="19">
        <v>0.9</v>
      </c>
      <c r="BA84" s="19">
        <v>0</v>
      </c>
      <c r="BB84" s="19">
        <v>0.9</v>
      </c>
      <c r="BC84" s="14">
        <f ca="1">INDEX('RC6SV'!$A$1:$G$20,MATCH(H84,'RC6SV'!$A$1:$A$20,FALSE),MATCH(G84,'RC6SV'!$A$1:$G$1,FALSE))</f>
        <v>4800</v>
      </c>
      <c r="BD84" s="63">
        <f t="shared" ca="1" si="11"/>
        <v>4800</v>
      </c>
      <c r="BE84" s="14">
        <f t="shared" ca="1" si="12"/>
        <v>0</v>
      </c>
      <c r="BF84" s="14">
        <f t="shared" ca="1" si="13"/>
        <v>1</v>
      </c>
      <c r="BG84" s="20">
        <f ca="1">IF($BE84&lt;=0,ROUND(BK84*0.5,0), ROUND($BE84*S84*AA84*J84*AY84*0.8*[2]ステータス!$B$2,0))</f>
        <v>847</v>
      </c>
      <c r="BH84" s="20">
        <f ca="1">IF($BE84&lt;=0,ROUND(BL84*0.5,0), ROUND($BE84*T84*AB84*K84*AZ84*0.8*[2]ステータス!$C$2,0))</f>
        <v>511</v>
      </c>
      <c r="BI84" s="20">
        <f ca="1">IF($BE84&lt;=0,ROUND(BM84*0.5,0), ROUND($BE84*U84*AC84*L84*BA84*0.8*[2]ステータス!$D$2,0))</f>
        <v>0</v>
      </c>
      <c r="BJ84" s="20">
        <f ca="1">IF($BE84&lt;=0,ROUND(BN84*0.5,0), ROUND($BE84*V84*AD84*M84*BB84*0.8*[2]ステータス!$E$2,0))</f>
        <v>775</v>
      </c>
      <c r="BK84" s="14">
        <f ca="1">ROUND(BD84*S84*AA84*J84*AY84*[2]ステータス!$B$2,0)</f>
        <v>1693</v>
      </c>
      <c r="BL84" s="14">
        <f ca="1">ROUND(BD84*T84*AB84*K84*AZ84*[2]ステータス!$C$2,0)</f>
        <v>1021</v>
      </c>
      <c r="BM84" s="14">
        <f ca="1">ROUND(BD84*U84*AC84*L84*BA84*[2]ステータス!$D$2,0)</f>
        <v>0</v>
      </c>
      <c r="BN84" s="14">
        <f ca="1">ROUND(BD84*V84*AD84*M84*BB84*[2]ステータス!$E$2,0)</f>
        <v>1549</v>
      </c>
      <c r="BO84" s="13">
        <v>0</v>
      </c>
      <c r="BP84" s="13">
        <v>1</v>
      </c>
      <c r="BQ84" s="13" t="s">
        <v>102</v>
      </c>
      <c r="BR84" s="13">
        <f ca="1">VLOOKUP(H84,ghosts_label!$A$2:$B$19,2,FALSE)</f>
        <v>1</v>
      </c>
    </row>
    <row r="85" spans="1:70" ht="21" customHeight="1" x14ac:dyDescent="0.15">
      <c r="A85" s="14">
        <f t="shared" ca="1" si="8"/>
        <v>84</v>
      </c>
      <c r="B85" s="77" t="str">
        <f ca="1">VLOOKUP($A85,OFFSET([2]characters!$A$1,0,0,COUNTA([2]characters!$A:$A),MATCH(B$1,[2]characters!$1:$1,0)-MATCH($A$1,[2]characters!$1:$1,0)+1),MATCH(B$1,[2]characters!$1:$1,0)-MATCH($A$1,[2]characters!$1:$1,0)+1,FALSE)</f>
        <v>高速拡散性ニムダE</v>
      </c>
      <c r="C85" s="77" t="str">
        <f ca="1">VLOOKUP($A85,OFFSET([2]characters!$A$1,0,0,COUNTA([2]characters!$A:$A),MATCH(C$1,[2]characters!$1:$1,0)-MATCH($A$1,[2]characters!$1:$1,0)+1),MATCH(C$1,[2]characters!$1:$1,0)-MATCH($A$1,[2]characters!$1:$1,0)+1,FALSE)</f>
        <v>イベント:ウィルス01</v>
      </c>
      <c r="D85" s="77" t="str">
        <f ca="1">VLOOKUP($A85,OFFSET([2]characters!$A$1,0,0,COUNTA([2]characters!$A:$A),MATCH(D$1,[2]characters!$1:$1,0)-MATCH($A$1,[2]characters!$1:$1,0)+1),MATCH(D$1,[2]characters!$1:$1,0)-MATCH($A$1,[2]characters!$1:$1,0)+1,FALSE)</f>
        <v>ウィルス</v>
      </c>
      <c r="E85" s="77" t="str">
        <f ca="1">VLOOKUP($A85,OFFSET([2]characters!$A$1,0,0,COUNTA([2]characters!$A:$A),MATCH(E$1,[2]characters!$1:$1,0)-MATCH($A$1,[2]characters!$1:$1,0)+1),MATCH(E$1,[2]characters!$1:$1,0)-MATCH($A$1,[2]characters!$1:$1,0)+1,FALSE)</f>
        <v>世界観</v>
      </c>
      <c r="F85" s="77" t="str">
        <f ca="1">VLOOKUP($A85,OFFSET([2]characters!$A$1,0,0,COUNTA([2]characters!$A:$A),MATCH(F$1,[2]characters!$1:$1,0)-MATCH($A$1,[2]characters!$1:$1,0)+1),MATCH(F$1,[2]characters!$1:$1,0)-MATCH($A$1,[2]characters!$1:$1,0)+1,FALSE)</f>
        <v>不明</v>
      </c>
      <c r="G85" s="77">
        <f ca="1">VLOOKUP($A85,OFFSET([2]characters!$A$1,0,0,COUNTA([2]characters!$A:$A),MATCH(G$1,[2]characters!$1:$1,0)-MATCH($A$1,[2]characters!$1:$1,0)+1),MATCH(G$1,[2]characters!$1:$1,0)-MATCH($A$1,[2]characters!$1:$1,0)+1,FALSE)</f>
        <v>4</v>
      </c>
      <c r="H85" s="77" t="str">
        <f ca="1">VLOOKUP($A85,OFFSET([2]characters!$A$1,0,0,COUNTA([2]characters!$A:$A),MATCH(H$1,[2]characters!$1:$1,0)-MATCH($A$1,[2]characters!$1:$1,0)+1),MATCH(H$1,[2]characters!$1:$1,0)-MATCH($A$1,[2]characters!$1:$1,0)+1,FALSE)</f>
        <v>DropWizW</v>
      </c>
      <c r="I85" s="77" t="str">
        <f ca="1">VLOOKUP($A85,OFFSET([2]characters!$A$1,0,0,COUNTA([2]characters!$A:$A),MATCH(I$1,[2]characters!$1:$1,0)-MATCH($A$1,[2]characters!$1:$1,0)+1),MATCH(I$1,[2]characters!$1:$1,0)-MATCH($A$1,[2]characters!$1:$1,0)+1,FALSE)</f>
        <v>yellow</v>
      </c>
      <c r="J85" s="14">
        <f ca="1">VLOOKUP(I85,[2]属性!$A:$E,2,FALSE)</f>
        <v>0.98</v>
      </c>
      <c r="K85" s="14">
        <f ca="1">VLOOKUP(I85,[2]属性!$A:$E,3,FALSE)</f>
        <v>1.01</v>
      </c>
      <c r="L85" s="14">
        <f ca="1">VLOOKUP(I85,[2]属性!$A:$E,4,FALSE)</f>
        <v>1</v>
      </c>
      <c r="M85" s="14">
        <f ca="1">VLOOKUP(I85,[2]属性!$A:$E,5,FALSE)</f>
        <v>1.01</v>
      </c>
      <c r="N85" s="14">
        <f ca="1">INDEX(コスト!$A$1:$I$20,MATCH(H85,コスト!$A$1:$A$20,FALSE),MATCH(G85,コスト!$A$1:$I$1,FALSE))</f>
        <v>16</v>
      </c>
      <c r="O85" s="14">
        <f ca="1">INDEX(レベル!$A$1:$I$21,MATCH(H85,レベル!$A$1:$A$21,FALSE),MATCH(G85,レベル!$A$1:$I$1,FALSE))</f>
        <v>60</v>
      </c>
      <c r="P85" s="63">
        <f t="shared" ca="1" si="14"/>
        <v>60</v>
      </c>
      <c r="Q85" s="77" t="str">
        <f ca="1">VLOOKUP($A85,OFFSET([2]characters!$A$1,0,0,COUNTA([2]characters!$A:$A),MATCH(Q$1,[2]characters!$1:$1,0)-MATCH($A$1,[2]characters!$1:$1,0)+1),MATCH(Q$1,[2]characters!$1:$1,0)-MATCH($A$1,[2]characters!$1:$1,0)+1,FALSE)</f>
        <v>heal</v>
      </c>
      <c r="R85" s="8" t="str">
        <f ca="1">VLOOKUP(Q85,[2]character_type_i18n!$A:$H,3,FALSE)</f>
        <v>回復タイプ</v>
      </c>
      <c r="S85" s="14">
        <f ca="1">VLOOKUP(Q85,[2]character_type_i18n!$A:$H,4,FALSE)</f>
        <v>0.8</v>
      </c>
      <c r="T85" s="14">
        <f ca="1">VLOOKUP(Q85,[2]character_type_i18n!$A:$H,5,FALSE)</f>
        <v>0.78</v>
      </c>
      <c r="U85" s="14">
        <f ca="1">VLOOKUP(Q85,[2]character_type_i18n!$A:$H,6,FALSE)</f>
        <v>1</v>
      </c>
      <c r="V85" s="14">
        <f ca="1">VLOOKUP(Q85,[2]character_type_i18n!$A:$H,7,FALSE)</f>
        <v>1.42</v>
      </c>
      <c r="W85" s="77" t="str">
        <f ca="1">VLOOKUP($A85,OFFSET([2]characters!$A$1,0,0,COUNTA([2]characters!$A:$A),MATCH(W$1,[2]characters!$1:$1,0)-MATCH($A$1,[2]characters!$1:$1,0)+1),MATCH(W$1,[2]characters!$1:$1,0)-MATCH($A$1,[2]characters!$1:$1,0)+1,FALSE)</f>
        <v>unknown</v>
      </c>
      <c r="X85" s="8" t="str">
        <f ca="1">VLOOKUP(W85,[2]character_tribe_i18n!$A:$H,3,FALSE)</f>
        <v>Unknown</v>
      </c>
      <c r="Y85" s="77" t="str">
        <f ca="1">VLOOKUP($A85,OFFSET([2]characters!$A$1,0,0,COUNTA([2]characters!$A:$A),MATCH(Y$1,[2]characters!$1:$1,0)-MATCH($A$1,[2]characters!$1:$1,0)+1),MATCH(Y$1,[2]characters!$1:$1,0)-MATCH($A$1,[2]characters!$1:$1,0)+1,FALSE)</f>
        <v>none</v>
      </c>
      <c r="Z85" s="8" t="str">
        <f ca="1">VLOOKUP(Y85,[2]character_tribe_i18n!$A:$H,3,FALSE)</f>
        <v>種族なし</v>
      </c>
      <c r="AA85" s="14">
        <f ca="1">VLOOKUP(W85,[2]character_tribe_i18n!$A:$H,4,FALSE)</f>
        <v>1</v>
      </c>
      <c r="AB85" s="14">
        <f ca="1">VLOOKUP(W85,[2]character_tribe_i18n!$A:$H,5,FALSE)</f>
        <v>1</v>
      </c>
      <c r="AC85" s="14">
        <f ca="1">VLOOKUP(W85,[2]character_tribe_i18n!$A:$H,6,FALSE)</f>
        <v>1</v>
      </c>
      <c r="AD85" s="14">
        <f ca="1">VLOOKUP(W85,[2]character_tribe_i18n!$A:$H,7,FALSE)</f>
        <v>1</v>
      </c>
      <c r="AE85" s="12" t="s">
        <v>102</v>
      </c>
      <c r="AF85" s="85" t="str">
        <f ca="1">IF(AE85="NULL","",VLOOKUP($AE85,OFFSET([2]characters!$A$1,0,0,COUNTA([2]characters!$A:$A),MATCH(AF$1,[2]characters!$1:$1,0)-MATCH($A$1,[2]characters!$1:$1,0)+1),MATCH(AF$1,[2]characters!$1:$1,0)-MATCH($A$1,[2]characters!$1:$1,0)+1,FALSE))</f>
        <v/>
      </c>
      <c r="AG85" s="8">
        <f t="shared" ca="1" si="9"/>
        <v>83</v>
      </c>
      <c r="AH85" s="85" t="str">
        <f ca="1">VLOOKUP($AG85,OFFSET([2]characters!$A$1,0,0,COUNTA([2]characters!$A:$A),MATCH(AH$1,[2]characters!$1:$1,0)-MATCH($A$1,[2]characters!$1:$1,0)+1),MATCH(AH$1,[2]characters!$1:$1,0)-MATCH($A$1,[2]characters!$1:$1,0)+1,FALSE)</f>
        <v>拡散性ニムダ</v>
      </c>
      <c r="AI85" s="14">
        <v>10000</v>
      </c>
      <c r="AJ85" s="9">
        <v>2</v>
      </c>
      <c r="AK85" s="10" t="str">
        <f t="shared" si="10"/>
        <v>普通</v>
      </c>
      <c r="AL85" s="14" t="str">
        <f ca="1">INDEX(経験値!$A$1:$I$20,MATCH(H85,経験値!$A$1:$A$20,FALSE),MATCH(G85,経験値!$A$1:$I$1,FALSE))</f>
        <v>required_exp_150</v>
      </c>
      <c r="AM85" s="11">
        <f ca="1">VLOOKUP(G85,経験値!$A$27:$B$31,2)</f>
        <v>3400</v>
      </c>
      <c r="AN85" s="21">
        <f ca="1">VLOOKUP(G85,ビット!$G$2:$H$7,2)</f>
        <v>600</v>
      </c>
      <c r="AO85" s="64" t="s">
        <v>220</v>
      </c>
      <c r="AP85" s="97">
        <v>410002</v>
      </c>
      <c r="AQ85" s="77" t="e">
        <f ca="1">VLOOKUP($AP85,OFFSET([1]unit_skills!$A$1,0,0,COUNTA([1]unit_skills!$A:$A),MATCH("name",[1]unit_skills!$1:$1,0)-MATCH($AP$1,[1]unit_skills!$1:$1,0)+1),MATCH("name",[1]unit_skills!$1:$1,0)-MATCH($AP$1,[1]unit_skills!$1:$1,0)+1,FALSE)</f>
        <v>#VALUE!</v>
      </c>
      <c r="AR85" s="77" t="e">
        <f ca="1">VLOOKUP($AP85,OFFSET([1]unit_skills!$A$1,0,0,COUNTA([1]unit_skills!$A:$A),MATCH("comment",[1]unit_skills!$1:$1,0)-MATCH($AP$1,[1]unit_skills!$1:$1,0)+1),MATCH("comment",[1]unit_skills!$1:$1,0)-MATCH($AP$1,[1]unit_skills!$1:$1,0)+1,FALSE)</f>
        <v>#VALUE!</v>
      </c>
      <c r="AS85" s="77" t="e">
        <f ca="1">VLOOKUP($AP85,OFFSET([1]unit_skills!$A$1,0,0,COUNTA([1]unit_skills!$A:$A),MATCH(AS$1,[1]unit_skills!$1:$1,0)-MATCH($AP$1,[1]unit_skills!$1:$1,0)+1),MATCH(AS$1,[1]unit_skills!$1:$1,0)-MATCH($AP$1,[1]unit_skills!$1:$1,0)+1,FALSE)</f>
        <v>#VALUE!</v>
      </c>
      <c r="AT85" s="97">
        <v>144003</v>
      </c>
      <c r="AU85" s="77" t="e">
        <f ca="1">VLOOKUP($AT85,OFFSET([1]crash_skills!$A$1,0,0,COUNTA([1]crash_skills!$A:$A),MATCH("name",[1]crash_skills!$1:$1,0)-MATCH($AT$1,[1]crash_skills!$1:$1,0)+1),MATCH("name",[1]crash_skills!$1:$1,0)-MATCH($AT$1,[1]crash_skills!$1:$1,0)+1,FALSE)</f>
        <v>#VALUE!</v>
      </c>
      <c r="AV85" s="77" t="e">
        <f ca="1">VLOOKUP($AT85,OFFSET([1]crash_skills!$A$1,0,0,COUNTA([1]crash_skills!$A:$A),MATCH("comment",[1]crash_skills!$1:$1,0)-MATCH($AT$1,[1]crash_skills!$1:$1,0)+1),MATCH("comment",[1]crash_skills!$1:$1,0)-MATCH($AT$1,[1]crash_skills!$1:$1,0)+1,FALSE)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85" s="77" t="e">
        <f ca="1">VLOOKUP($AT85,OFFSET([1]crash_skills!$A$1,0,0,COUNTA([1]crash_skills!$A:$A),MATCH(AW$1,[1]crash_skills!$1:$1,0)-MATCH($AT$1,[1]crash_skills!$1:$1,0)+1),MATCH(AW$1,[1]crash_skills!$1:$1,0)-MATCH($AT$1,[1]crash_skills!$1:$1,0)+1,FALSE)</f>
        <v>#VALUE!</v>
      </c>
      <c r="AX85" s="81">
        <f ca="1">VLOOKUP($A85,OFFSET([2]characters!$A$1,0,0,COUNTA([2]characters!$A:$A),MATCH(AX$1,[2]characters!$1:$1,0)-MATCH($A$1,[2]characters!$1:$1,0)+1),MATCH(AX$1,[2]characters!$1:$1,0)-MATCH($A$1,[2]characters!$1:$1,0)+1,FALSE)</f>
        <v>3</v>
      </c>
      <c r="AY85" s="19">
        <v>0.9</v>
      </c>
      <c r="AZ85" s="19">
        <v>0.9</v>
      </c>
      <c r="BA85" s="19">
        <v>0</v>
      </c>
      <c r="BB85" s="19">
        <v>0.9</v>
      </c>
      <c r="BC85" s="14">
        <f ca="1">INDEX('RC6SV'!$A$1:$G$20,MATCH(H85,'RC6SV'!$A$1:$A$20,FALSE),MATCH(G85,'RC6SV'!$A$1:$G$1,FALSE))</f>
        <v>6600</v>
      </c>
      <c r="BD85" s="63">
        <f t="shared" ca="1" si="11"/>
        <v>6600</v>
      </c>
      <c r="BE85" s="14">
        <f t="shared" ca="1" si="12"/>
        <v>4800</v>
      </c>
      <c r="BF85" s="14">
        <f t="shared" ca="1" si="13"/>
        <v>1</v>
      </c>
      <c r="BG85" s="20">
        <f ca="1">IF($BE85&lt;=0,ROUND(BK85*0.5,0), ROUND($BE85*S85*AA85*J85*AY85*0.8*[2]ステータス!$B$2,0))</f>
        <v>1355</v>
      </c>
      <c r="BH85" s="20">
        <f ca="1">IF($BE85&lt;=0,ROUND(BL85*0.5,0), ROUND($BE85*T85*AB85*K85*AZ85*0.8*[2]ステータス!$C$2,0))</f>
        <v>817</v>
      </c>
      <c r="BI85" s="20">
        <f ca="1">IF($BE85&lt;=0,ROUND(BM85*0.5,0), ROUND($BE85*U85*AC85*L85*BA85*0.8*[2]ステータス!$D$2,0))</f>
        <v>0</v>
      </c>
      <c r="BJ85" s="20">
        <f ca="1">IF($BE85&lt;=0,ROUND(BN85*0.5,0), ROUND($BE85*V85*AD85*M85*BB85*0.8*[2]ステータス!$E$2,0))</f>
        <v>1239</v>
      </c>
      <c r="BK85" s="14">
        <f ca="1">ROUND(BD85*S85*AA85*J85*AY85*[2]ステータス!$B$2,0)</f>
        <v>2328</v>
      </c>
      <c r="BL85" s="14">
        <f ca="1">ROUND(BD85*T85*AB85*K85*AZ85*[2]ステータス!$C$2,0)</f>
        <v>1404</v>
      </c>
      <c r="BM85" s="14">
        <f ca="1">ROUND(BD85*U85*AC85*L85*BA85*[2]ステータス!$D$2,0)</f>
        <v>0</v>
      </c>
      <c r="BN85" s="14">
        <f ca="1">ROUND(BD85*V85*AD85*M85*BB85*[2]ステータス!$E$2,0)</f>
        <v>2130</v>
      </c>
      <c r="BO85" s="13">
        <v>0</v>
      </c>
      <c r="BP85" s="13">
        <v>1</v>
      </c>
      <c r="BQ85" s="13" t="s">
        <v>102</v>
      </c>
      <c r="BR85" s="13">
        <f ca="1">VLOOKUP(H85,ghosts_label!$A$2:$B$19,2,FALSE)</f>
        <v>1</v>
      </c>
    </row>
    <row r="86" spans="1:70" ht="21" customHeight="1" x14ac:dyDescent="0.15">
      <c r="A86" s="14">
        <f t="shared" ca="1" si="8"/>
        <v>85</v>
      </c>
      <c r="B86" s="77" t="str">
        <f ca="1">VLOOKUP($A86,OFFSET([2]characters!$A$1,0,0,COUNTA([2]characters!$A:$A),MATCH(B$1,[2]characters!$1:$1,0)-MATCH($A$1,[2]characters!$1:$1,0)+1),MATCH(B$1,[2]characters!$1:$1,0)-MATCH($A$1,[2]characters!$1:$1,0)+1,FALSE)</f>
        <v>朱雀</v>
      </c>
      <c r="C86" s="77" t="str">
        <f ca="1">VLOOKUP($A86,OFFSET([2]characters!$A$1,0,0,COUNTA([2]characters!$A:$A),MATCH(C$1,[2]characters!$1:$1,0)-MATCH($A$1,[2]characters!$1:$1,0)+1),MATCH(C$1,[2]characters!$1:$1,0)-MATCH($A$1,[2]characters!$1:$1,0)+1,FALSE)</f>
        <v>リンクガチャ:4神</v>
      </c>
      <c r="D86" s="77" t="str">
        <f ca="1">VLOOKUP($A86,OFFSET([2]characters!$A$1,0,0,COUNTA([2]characters!$A:$A),MATCH(D$1,[2]characters!$1:$1,0)-MATCH($A$1,[2]characters!$1:$1,0)+1),MATCH(D$1,[2]characters!$1:$1,0)-MATCH($A$1,[2]characters!$1:$1,0)+1,FALSE)</f>
        <v>守護神</v>
      </c>
      <c r="E86" s="77" t="str">
        <f ca="1">VLOOKUP($A86,OFFSET([2]characters!$A$1,0,0,COUNTA([2]characters!$A:$A),MATCH(E$1,[2]characters!$1:$1,0)-MATCH($A$1,[2]characters!$1:$1,0)+1),MATCH(E$1,[2]characters!$1:$1,0)-MATCH($A$1,[2]characters!$1:$1,0)+1,FALSE)</f>
        <v>格好いい</v>
      </c>
      <c r="F86" s="77" t="str">
        <f ca="1">VLOOKUP($A86,OFFSET([2]characters!$A$1,0,0,COUNTA([2]characters!$A:$A),MATCH(F$1,[2]characters!$1:$1,0)-MATCH($A$1,[2]characters!$1:$1,0)+1),MATCH(F$1,[2]characters!$1:$1,0)-MATCH($A$1,[2]characters!$1:$1,0)+1,FALSE)</f>
        <v>不明</v>
      </c>
      <c r="G86" s="77">
        <f ca="1">VLOOKUP($A86,OFFSET([2]characters!$A$1,0,0,COUNTA([2]characters!$A:$A),MATCH(G$1,[2]characters!$1:$1,0)-MATCH($A$1,[2]characters!$1:$1,0)+1),MATCH(G$1,[2]characters!$1:$1,0)-MATCH($A$1,[2]characters!$1:$1,0)+1,FALSE)</f>
        <v>3</v>
      </c>
      <c r="H86" s="77" t="str">
        <f ca="1">VLOOKUP($A86,OFFSET([2]characters!$A$1,0,0,COUNTA([2]characters!$A:$A),MATCH(H$1,[2]characters!$1:$1,0)-MATCH($A$1,[2]characters!$1:$1,0)+1),MATCH(H$1,[2]characters!$1:$1,0)-MATCH($A$1,[2]characters!$1:$1,0)+1,FALSE)</f>
        <v>Drop2N</v>
      </c>
      <c r="I86" s="77" t="str">
        <f ca="1">VLOOKUP($A86,OFFSET([2]characters!$A$1,0,0,COUNTA([2]characters!$A:$A),MATCH(I$1,[2]characters!$1:$1,0)-MATCH($A$1,[2]characters!$1:$1,0)+1),MATCH(I$1,[2]characters!$1:$1,0)-MATCH($A$1,[2]characters!$1:$1,0)+1,FALSE)</f>
        <v>red</v>
      </c>
      <c r="J86" s="14">
        <f ca="1">VLOOKUP(I86,[2]属性!$A:$E,2,FALSE)</f>
        <v>1</v>
      </c>
      <c r="K86" s="14">
        <f ca="1">VLOOKUP(I86,[2]属性!$A:$E,3,FALSE)</f>
        <v>1.02</v>
      </c>
      <c r="L86" s="14">
        <f ca="1">VLOOKUP(I86,[2]属性!$A:$E,4,FALSE)</f>
        <v>1</v>
      </c>
      <c r="M86" s="14">
        <f ca="1">VLOOKUP(I86,[2]属性!$A:$E,5,FALSE)</f>
        <v>0.98</v>
      </c>
      <c r="N86" s="14">
        <f ca="1">INDEX(コスト!$A$1:$I$20,MATCH(H86,コスト!$A$1:$A$20,FALSE),MATCH(G86,コスト!$A$1:$I$1,FALSE))</f>
        <v>8</v>
      </c>
      <c r="O86" s="14">
        <f ca="1">INDEX(レベル!$A$1:$I$21,MATCH(H86,レベル!$A$1:$A$21,FALSE),MATCH(G86,レベル!$A$1:$I$1,FALSE))</f>
        <v>40</v>
      </c>
      <c r="P86" s="63">
        <f t="shared" ca="1" si="14"/>
        <v>45</v>
      </c>
      <c r="Q86" s="77" t="str">
        <f ca="1">VLOOKUP($A86,OFFSET([2]characters!$A$1,0,0,COUNTA([2]characters!$A:$A),MATCH(Q$1,[2]characters!$1:$1,0)-MATCH($A$1,[2]characters!$1:$1,0)+1),MATCH(Q$1,[2]characters!$1:$1,0)-MATCH($A$1,[2]characters!$1:$1,0)+1,FALSE)</f>
        <v>balance</v>
      </c>
      <c r="R86" s="8" t="str">
        <f ca="1">VLOOKUP(Q86,[2]character_type_i18n!$A:$H,3,FALSE)</f>
        <v>バランスタイプ</v>
      </c>
      <c r="S86" s="14">
        <f ca="1">VLOOKUP(Q86,[2]character_type_i18n!$A:$H,4,FALSE)</f>
        <v>1</v>
      </c>
      <c r="T86" s="14">
        <f ca="1">VLOOKUP(Q86,[2]character_type_i18n!$A:$H,5,FALSE)</f>
        <v>1</v>
      </c>
      <c r="U86" s="14">
        <f ca="1">VLOOKUP(Q86,[2]character_type_i18n!$A:$H,6,FALSE)</f>
        <v>1</v>
      </c>
      <c r="V86" s="14">
        <f ca="1">VLOOKUP(Q86,[2]character_type_i18n!$A:$H,7,FALSE)</f>
        <v>1</v>
      </c>
      <c r="W86" s="77" t="str">
        <f ca="1">VLOOKUP($A86,OFFSET([2]characters!$A$1,0,0,COUNTA([2]characters!$A:$A),MATCH(W$1,[2]characters!$1:$1,0)-MATCH($A$1,[2]characters!$1:$1,0)+1),MATCH(W$1,[2]characters!$1:$1,0)-MATCH($A$1,[2]characters!$1:$1,0)+1,FALSE)</f>
        <v>animal</v>
      </c>
      <c r="X86" s="8" t="str">
        <f ca="1">VLOOKUP(W86,[2]character_tribe_i18n!$A:$H,3,FALSE)</f>
        <v>アニマル</v>
      </c>
      <c r="Y86" s="77" t="str">
        <f ca="1">VLOOKUP($A86,OFFSET([2]characters!$A$1,0,0,COUNTA([2]characters!$A:$A),MATCH(Y$1,[2]characters!$1:$1,0)-MATCH($A$1,[2]characters!$1:$1,0)+1),MATCH(Y$1,[2]characters!$1:$1,0)-MATCH($A$1,[2]characters!$1:$1,0)+1,FALSE)</f>
        <v>god</v>
      </c>
      <c r="Z86" s="8" t="str">
        <f ca="1">VLOOKUP(Y86,[2]character_tribe_i18n!$A:$H,3,FALSE)</f>
        <v>ゴッド</v>
      </c>
      <c r="AA86" s="14">
        <f ca="1">VLOOKUP(W86,[2]character_tribe_i18n!$A:$H,4,FALSE)</f>
        <v>1</v>
      </c>
      <c r="AB86" s="14">
        <f ca="1">VLOOKUP(W86,[2]character_tribe_i18n!$A:$H,5,FALSE)</f>
        <v>1.1000000000000001</v>
      </c>
      <c r="AC86" s="14">
        <f ca="1">VLOOKUP(W86,[2]character_tribe_i18n!$A:$H,6,FALSE)</f>
        <v>1</v>
      </c>
      <c r="AD86" s="14">
        <f ca="1">VLOOKUP(W86,[2]character_tribe_i18n!$A:$H,7,FALSE)</f>
        <v>0.9</v>
      </c>
      <c r="AE86" s="12">
        <v>86</v>
      </c>
      <c r="AF86" s="85" t="str">
        <f ca="1">IF(AE86="NULL","",VLOOKUP($AE86,OFFSET([2]characters!$A$1,0,0,COUNTA([2]characters!$A:$A),MATCH(AF$1,[2]characters!$1:$1,0)-MATCH($A$1,[2]characters!$1:$1,0)+1),MATCH(AF$1,[2]characters!$1:$1,0)-MATCH($A$1,[2]characters!$1:$1,0)+1,FALSE))</f>
        <v>守護者 朱雀</v>
      </c>
      <c r="AG86" s="8">
        <f t="shared" ca="1" si="9"/>
        <v>85</v>
      </c>
      <c r="AH86" s="85" t="str">
        <f ca="1">VLOOKUP($AG86,OFFSET([2]characters!$A$1,0,0,COUNTA([2]characters!$A:$A),MATCH(AH$1,[2]characters!$1:$1,0)-MATCH($A$1,[2]characters!$1:$1,0)+1),MATCH(AH$1,[2]characters!$1:$1,0)-MATCH($A$1,[2]characters!$1:$1,0)+1,FALSE)</f>
        <v>朱雀</v>
      </c>
      <c r="AI86" s="14">
        <f ca="1">IF(AE86="NULL","NULL",VLOOKUP(G86,ビット!$A$2:$B$7,2))</f>
        <v>20000</v>
      </c>
      <c r="AJ86" s="9">
        <v>2</v>
      </c>
      <c r="AK86" s="10" t="str">
        <f t="shared" si="10"/>
        <v>普通</v>
      </c>
      <c r="AL86" s="14" t="str">
        <f ca="1">INDEX(経験値!$A$1:$I$20,MATCH(H86,経験値!$A$1:$A$20,FALSE),MATCH(G86,経験値!$A$1:$I$1,FALSE))</f>
        <v>required_exp_200</v>
      </c>
      <c r="AM86" s="11">
        <f ca="1">VLOOKUP(G86,経験値!$A$27:$B$31,2)</f>
        <v>1500</v>
      </c>
      <c r="AN86" s="21">
        <f ca="1">VLOOKUP(G86,ビット!$G$2:$H$7,2)</f>
        <v>300</v>
      </c>
      <c r="AO86" s="64" t="s">
        <v>190</v>
      </c>
      <c r="AP86" s="97">
        <v>422001</v>
      </c>
      <c r="AQ86" s="77" t="e">
        <f ca="1">VLOOKUP($AP86,OFFSET([1]unit_skills!$A$1,0,0,COUNTA([1]unit_skills!$A:$A),MATCH("name",[1]unit_skills!$1:$1,0)-MATCH($AP$1,[1]unit_skills!$1:$1,0)+1),MATCH("name",[1]unit_skills!$1:$1,0)-MATCH($AP$1,[1]unit_skills!$1:$1,0)+1,FALSE)</f>
        <v>#VALUE!</v>
      </c>
      <c r="AR86" s="77" t="e">
        <f ca="1">VLOOKUP($AP86,OFFSET([1]unit_skills!$A$1,0,0,COUNTA([1]unit_skills!$A:$A),MATCH("comment",[1]unit_skills!$1:$1,0)-MATCH($AP$1,[1]unit_skills!$1:$1,0)+1),MATCH("comment",[1]unit_skills!$1:$1,0)-MATCH($AP$1,[1]unit_skills!$1:$1,0)+1,FALSE)</f>
        <v>#VALUE!</v>
      </c>
      <c r="AS86" s="77" t="e">
        <f ca="1">VLOOKUP($AP86,OFFSET([1]unit_skills!$A$1,0,0,COUNTA([1]unit_skills!$A:$A),MATCH(AS$1,[1]unit_skills!$1:$1,0)-MATCH($AP$1,[1]unit_skills!$1:$1,0)+1),MATCH(AS$1,[1]unit_skills!$1:$1,0)-MATCH($AP$1,[1]unit_skills!$1:$1,0)+1,FALSE)</f>
        <v>#VALUE!</v>
      </c>
      <c r="AT86" s="97">
        <v>111103</v>
      </c>
      <c r="AU86" s="77" t="e">
        <f ca="1">VLOOKUP($AT86,OFFSET([1]crash_skills!$A$1,0,0,COUNTA([1]crash_skills!$A:$A),MATCH("name",[1]crash_skills!$1:$1,0)-MATCH($AT$1,[1]crash_skills!$1:$1,0)+1),MATCH("name",[1]crash_skills!$1:$1,0)-MATCH($AT$1,[1]crash_skills!$1:$1,0)+1,FALSE)</f>
        <v>#VALUE!</v>
      </c>
      <c r="AV86" s="77" t="e">
        <f ca="1">VLOOKUP($AT86,OFFSET([1]crash_skills!$A$1,0,0,COUNTA([1]crash_skills!$A:$A),MATCH("comment",[1]crash_skills!$1:$1,0)-MATCH($AT$1,[1]crash_skills!$1:$1,0)+1),MATCH("comment",[1]crash_skills!$1:$1,0)-MATCH($AT$1,[1]crash_skills!$1:$1,0)+1,FALSE)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86" s="77" t="e">
        <f ca="1">VLOOKUP($AT86,OFFSET([1]crash_skills!$A$1,0,0,COUNTA([1]crash_skills!$A:$A),MATCH(AW$1,[1]crash_skills!$1:$1,0)-MATCH($AT$1,[1]crash_skills!$1:$1,0)+1),MATCH(AW$1,[1]crash_skills!$1:$1,0)-MATCH($AT$1,[1]crash_skills!$1:$1,0)+1,FALSE)</f>
        <v>#VALUE!</v>
      </c>
      <c r="AX86" s="81">
        <f ca="1">VLOOKUP($A86,OFFSET([2]characters!$A$1,0,0,COUNTA([2]characters!$A:$A),MATCH(AX$1,[2]characters!$1:$1,0)-MATCH($A$1,[2]characters!$1:$1,0)+1),MATCH(AX$1,[2]characters!$1:$1,0)-MATCH($A$1,[2]characters!$1:$1,0)+1,FALSE)</f>
        <v>3</v>
      </c>
      <c r="AY86" s="19">
        <v>1</v>
      </c>
      <c r="AZ86" s="19">
        <v>1</v>
      </c>
      <c r="BA86" s="19">
        <v>0</v>
      </c>
      <c r="BB86" s="19">
        <v>1</v>
      </c>
      <c r="BC86" s="14">
        <f ca="1">INDEX('RC6SV'!$A$1:$G$20,MATCH(H86,'RC6SV'!$A$1:$A$20,FALSE),MATCH(G86,'RC6SV'!$A$1:$G$1,FALSE))</f>
        <v>4600</v>
      </c>
      <c r="BD86" s="63">
        <f t="shared" ca="1" si="11"/>
        <v>4600</v>
      </c>
      <c r="BE86" s="14">
        <f t="shared" ca="1" si="12"/>
        <v>0</v>
      </c>
      <c r="BF86" s="14">
        <f t="shared" ca="1" si="13"/>
        <v>1</v>
      </c>
      <c r="BG86" s="20">
        <f ca="1">IF($BE86&lt;=0,ROUND(BK86*0.5,0), ROUND($BE86*S86*AA86*J86*AY86*0.8*[2]ステータス!$B$2,0))</f>
        <v>690</v>
      </c>
      <c r="BH86" s="20">
        <f ca="1">IF($BE86&lt;=0,ROUND(BL86*0.5,0), ROUND($BE86*T86*AB86*K86*AZ86*0.8*[2]ステータス!$C$2,0))</f>
        <v>465</v>
      </c>
      <c r="BI86" s="20">
        <f ca="1">IF($BE86&lt;=0,ROUND(BM86*0.5,0), ROUND($BE86*U86*AC86*L86*BA86*0.8*[2]ステータス!$D$2,0))</f>
        <v>0</v>
      </c>
      <c r="BJ86" s="20">
        <f ca="1">IF($BE86&lt;=0,ROUND(BN86*0.5,0), ROUND($BE86*V86*AD86*M86*BB86*0.8*[2]ステータス!$E$2,0))</f>
        <v>305</v>
      </c>
      <c r="BK86" s="104">
        <f ca="1">ROUND(BD86*S86*AA86*J86*AY86*[2]ステータス!$B$2*0.6,0)</f>
        <v>1380</v>
      </c>
      <c r="BL86" s="104">
        <f ca="1">ROUND(BD86*T86*AB86*K86*AZ86*[2]ステータス!$C$2*0.6,0)</f>
        <v>929</v>
      </c>
      <c r="BM86" s="104">
        <f ca="1">ROUND(BD86*U86*AC86*L86*BA86*[2]ステータス!$D$2,0)</f>
        <v>0</v>
      </c>
      <c r="BN86" s="104">
        <f ca="1">ROUND(BD86*V86*AD86*M86*BB86*[2]ステータス!$E$2*0.6,0)</f>
        <v>609</v>
      </c>
      <c r="BO86" s="13">
        <v>0</v>
      </c>
      <c r="BP86" s="13">
        <v>1</v>
      </c>
      <c r="BQ86" s="13" t="s">
        <v>102</v>
      </c>
      <c r="BR86" s="13">
        <f ca="1">VLOOKUP(H86,ghosts_label!$A$2:$B$19,2,FALSE)</f>
        <v>1</v>
      </c>
    </row>
    <row r="87" spans="1:70" ht="21" customHeight="1" x14ac:dyDescent="0.15">
      <c r="A87" s="14">
        <f t="shared" ca="1" si="8"/>
        <v>86</v>
      </c>
      <c r="B87" s="77" t="str">
        <f ca="1">VLOOKUP($A87,OFFSET([2]characters!$A$1,0,0,COUNTA([2]characters!$A:$A),MATCH(B$1,[2]characters!$1:$1,0)-MATCH($A$1,[2]characters!$1:$1,0)+1),MATCH(B$1,[2]characters!$1:$1,0)-MATCH($A$1,[2]characters!$1:$1,0)+1,FALSE)</f>
        <v>守護者 朱雀</v>
      </c>
      <c r="C87" s="77" t="str">
        <f ca="1">VLOOKUP($A87,OFFSET([2]characters!$A$1,0,0,COUNTA([2]characters!$A:$A),MATCH(C$1,[2]characters!$1:$1,0)-MATCH($A$1,[2]characters!$1:$1,0)+1),MATCH(C$1,[2]characters!$1:$1,0)-MATCH($A$1,[2]characters!$1:$1,0)+1,FALSE)</f>
        <v>リンクガチャ:4神</v>
      </c>
      <c r="D87" s="77" t="str">
        <f ca="1">VLOOKUP($A87,OFFSET([2]characters!$A$1,0,0,COUNTA([2]characters!$A:$A),MATCH(D$1,[2]characters!$1:$1,0)-MATCH($A$1,[2]characters!$1:$1,0)+1),MATCH(D$1,[2]characters!$1:$1,0)-MATCH($A$1,[2]characters!$1:$1,0)+1,FALSE)</f>
        <v>守護神</v>
      </c>
      <c r="E87" s="77" t="str">
        <f ca="1">VLOOKUP($A87,OFFSET([2]characters!$A$1,0,0,COUNTA([2]characters!$A:$A),MATCH(E$1,[2]characters!$1:$1,0)-MATCH($A$1,[2]characters!$1:$1,0)+1),MATCH(E$1,[2]characters!$1:$1,0)-MATCH($A$1,[2]characters!$1:$1,0)+1,FALSE)</f>
        <v>格好いい</v>
      </c>
      <c r="F87" s="77" t="str">
        <f ca="1">VLOOKUP($A87,OFFSET([2]characters!$A$1,0,0,COUNTA([2]characters!$A:$A),MATCH(F$1,[2]characters!$1:$1,0)-MATCH($A$1,[2]characters!$1:$1,0)+1),MATCH(F$1,[2]characters!$1:$1,0)-MATCH($A$1,[2]characters!$1:$1,0)+1,FALSE)</f>
        <v>不明</v>
      </c>
      <c r="G87" s="77">
        <f ca="1">VLOOKUP($A87,OFFSET([2]characters!$A$1,0,0,COUNTA([2]characters!$A:$A),MATCH(G$1,[2]characters!$1:$1,0)-MATCH($A$1,[2]characters!$1:$1,0)+1),MATCH(G$1,[2]characters!$1:$1,0)-MATCH($A$1,[2]characters!$1:$1,0)+1,FALSE)</f>
        <v>4</v>
      </c>
      <c r="H87" s="77" t="str">
        <f ca="1">VLOOKUP($A87,OFFSET([2]characters!$A$1,0,0,COUNTA([2]characters!$A:$A),MATCH(H$1,[2]characters!$1:$1,0)-MATCH($A$1,[2]characters!$1:$1,0)+1),MATCH(H$1,[2]characters!$1:$1,0)-MATCH($A$1,[2]characters!$1:$1,0)+1,FALSE)</f>
        <v>Drop2N</v>
      </c>
      <c r="I87" s="77" t="str">
        <f ca="1">VLOOKUP($A87,OFFSET([2]characters!$A$1,0,0,COUNTA([2]characters!$A:$A),MATCH(I$1,[2]characters!$1:$1,0)-MATCH($A$1,[2]characters!$1:$1,0)+1),MATCH(I$1,[2]characters!$1:$1,0)-MATCH($A$1,[2]characters!$1:$1,0)+1,FALSE)</f>
        <v>red</v>
      </c>
      <c r="J87" s="14">
        <f ca="1">VLOOKUP(I87,[2]属性!$A:$E,2,FALSE)</f>
        <v>1</v>
      </c>
      <c r="K87" s="14">
        <f ca="1">VLOOKUP(I87,[2]属性!$A:$E,3,FALSE)</f>
        <v>1.02</v>
      </c>
      <c r="L87" s="14">
        <f ca="1">VLOOKUP(I87,[2]属性!$A:$E,4,FALSE)</f>
        <v>1</v>
      </c>
      <c r="M87" s="14">
        <f ca="1">VLOOKUP(I87,[2]属性!$A:$E,5,FALSE)</f>
        <v>0.98</v>
      </c>
      <c r="N87" s="14">
        <f ca="1">INDEX(コスト!$A$1:$I$20,MATCH(H87,コスト!$A$1:$A$20,FALSE),MATCH(G87,コスト!$A$1:$I$1,FALSE))</f>
        <v>17</v>
      </c>
      <c r="O87" s="14">
        <f ca="1">INDEX(レベル!$A$1:$I$21,MATCH(H87,レベル!$A$1:$A$21,FALSE),MATCH(G87,レベル!$A$1:$I$1,FALSE))</f>
        <v>60</v>
      </c>
      <c r="P87" s="63">
        <f t="shared" ca="1" si="14"/>
        <v>60</v>
      </c>
      <c r="Q87" s="77" t="str">
        <f ca="1">VLOOKUP($A87,OFFSET([2]characters!$A$1,0,0,COUNTA([2]characters!$A:$A),MATCH(Q$1,[2]characters!$1:$1,0)-MATCH($A$1,[2]characters!$1:$1,0)+1),MATCH(Q$1,[2]characters!$1:$1,0)-MATCH($A$1,[2]characters!$1:$1,0)+1,FALSE)</f>
        <v>balance</v>
      </c>
      <c r="R87" s="8" t="str">
        <f ca="1">VLOOKUP(Q87,[2]character_type_i18n!$A:$H,3,FALSE)</f>
        <v>バランスタイプ</v>
      </c>
      <c r="S87" s="14">
        <f ca="1">VLOOKUP(Q87,[2]character_type_i18n!$A:$H,4,FALSE)</f>
        <v>1</v>
      </c>
      <c r="T87" s="14">
        <f ca="1">VLOOKUP(Q87,[2]character_type_i18n!$A:$H,5,FALSE)</f>
        <v>1</v>
      </c>
      <c r="U87" s="14">
        <f ca="1">VLOOKUP(Q87,[2]character_type_i18n!$A:$H,6,FALSE)</f>
        <v>1</v>
      </c>
      <c r="V87" s="14">
        <f ca="1">VLOOKUP(Q87,[2]character_type_i18n!$A:$H,7,FALSE)</f>
        <v>1</v>
      </c>
      <c r="W87" s="77" t="str">
        <f ca="1">VLOOKUP($A87,OFFSET([2]characters!$A$1,0,0,COUNTA([2]characters!$A:$A),MATCH(W$1,[2]characters!$1:$1,0)-MATCH($A$1,[2]characters!$1:$1,0)+1),MATCH(W$1,[2]characters!$1:$1,0)-MATCH($A$1,[2]characters!$1:$1,0)+1,FALSE)</f>
        <v>animal</v>
      </c>
      <c r="X87" s="8" t="str">
        <f ca="1">VLOOKUP(W87,[2]character_tribe_i18n!$A:$H,3,FALSE)</f>
        <v>アニマル</v>
      </c>
      <c r="Y87" s="77" t="str">
        <f ca="1">VLOOKUP($A87,OFFSET([2]characters!$A$1,0,0,COUNTA([2]characters!$A:$A),MATCH(Y$1,[2]characters!$1:$1,0)-MATCH($A$1,[2]characters!$1:$1,0)+1),MATCH(Y$1,[2]characters!$1:$1,0)-MATCH($A$1,[2]characters!$1:$1,0)+1,FALSE)</f>
        <v>god</v>
      </c>
      <c r="Z87" s="8" t="str">
        <f ca="1">VLOOKUP(Y87,[2]character_tribe_i18n!$A:$H,3,FALSE)</f>
        <v>ゴッド</v>
      </c>
      <c r="AA87" s="14">
        <f ca="1">VLOOKUP(W87,[2]character_tribe_i18n!$A:$H,4,FALSE)</f>
        <v>1</v>
      </c>
      <c r="AB87" s="14">
        <f ca="1">VLOOKUP(W87,[2]character_tribe_i18n!$A:$H,5,FALSE)</f>
        <v>1.1000000000000001</v>
      </c>
      <c r="AC87" s="14">
        <f ca="1">VLOOKUP(W87,[2]character_tribe_i18n!$A:$H,6,FALSE)</f>
        <v>1</v>
      </c>
      <c r="AD87" s="14">
        <f ca="1">VLOOKUP(W87,[2]character_tribe_i18n!$A:$H,7,FALSE)</f>
        <v>0.9</v>
      </c>
      <c r="AE87" s="12">
        <v>87</v>
      </c>
      <c r="AF87" s="85" t="str">
        <f ca="1">IF(AE87="NULL","",VLOOKUP($AE87,OFFSET([2]characters!$A$1,0,0,COUNTA([2]characters!$A:$A),MATCH(AF$1,[2]characters!$1:$1,0)-MATCH($A$1,[2]characters!$1:$1,0)+1),MATCH(AF$1,[2]characters!$1:$1,0)-MATCH($A$1,[2]characters!$1:$1,0)+1,FALSE))</f>
        <v>朱南の守護神 朱雀</v>
      </c>
      <c r="AG87" s="8">
        <f t="shared" ca="1" si="9"/>
        <v>85</v>
      </c>
      <c r="AH87" s="85" t="str">
        <f ca="1">VLOOKUP($AG87,OFFSET([2]characters!$A$1,0,0,COUNTA([2]characters!$A:$A),MATCH(AH$1,[2]characters!$1:$1,0)-MATCH($A$1,[2]characters!$1:$1,0)+1),MATCH(AH$1,[2]characters!$1:$1,0)-MATCH($A$1,[2]characters!$1:$1,0)+1,FALSE)</f>
        <v>朱雀</v>
      </c>
      <c r="AI87" s="14">
        <f ca="1">IF(AE87="NULL","NULL",VLOOKUP(G87,ビット!$A$2:$B$7,2))</f>
        <v>50000</v>
      </c>
      <c r="AJ87" s="9">
        <v>2</v>
      </c>
      <c r="AK87" s="10" t="str">
        <f t="shared" si="10"/>
        <v>普通</v>
      </c>
      <c r="AL87" s="14" t="str">
        <f ca="1">INDEX(経験値!$A$1:$I$20,MATCH(H87,経験値!$A$1:$A$20,FALSE),MATCH(G87,経験値!$A$1:$I$1,FALSE))</f>
        <v>required_exp_200</v>
      </c>
      <c r="AM87" s="11">
        <f ca="1">VLOOKUP(G87,経験値!$A$27:$B$31,2)</f>
        <v>3400</v>
      </c>
      <c r="AN87" s="21">
        <f ca="1">VLOOKUP(G87,ビット!$G$2:$H$7,2)</f>
        <v>600</v>
      </c>
      <c r="AO87" s="64" t="s">
        <v>190</v>
      </c>
      <c r="AP87" s="97">
        <v>422002</v>
      </c>
      <c r="AQ87" s="77" t="e">
        <f ca="1">VLOOKUP($AP87,OFFSET([1]unit_skills!$A$1,0,0,COUNTA([1]unit_skills!$A:$A),MATCH("name",[1]unit_skills!$1:$1,0)-MATCH($AP$1,[1]unit_skills!$1:$1,0)+1),MATCH("name",[1]unit_skills!$1:$1,0)-MATCH($AP$1,[1]unit_skills!$1:$1,0)+1,FALSE)</f>
        <v>#VALUE!</v>
      </c>
      <c r="AR87" s="77" t="e">
        <f ca="1">VLOOKUP($AP87,OFFSET([1]unit_skills!$A$1,0,0,COUNTA([1]unit_skills!$A:$A),MATCH("comment",[1]unit_skills!$1:$1,0)-MATCH($AP$1,[1]unit_skills!$1:$1,0)+1),MATCH("comment",[1]unit_skills!$1:$1,0)-MATCH($AP$1,[1]unit_skills!$1:$1,0)+1,FALSE)</f>
        <v>#VALUE!</v>
      </c>
      <c r="AS87" s="77" t="e">
        <f ca="1">VLOOKUP($AP87,OFFSET([1]unit_skills!$A$1,0,0,COUNTA([1]unit_skills!$A:$A),MATCH(AS$1,[1]unit_skills!$1:$1,0)-MATCH($AP$1,[1]unit_skills!$1:$1,0)+1),MATCH(AS$1,[1]unit_skills!$1:$1,0)-MATCH($AP$1,[1]unit_skills!$1:$1,0)+1,FALSE)</f>
        <v>#VALUE!</v>
      </c>
      <c r="AT87" s="97">
        <v>111103</v>
      </c>
      <c r="AU87" s="77" t="e">
        <f ca="1">VLOOKUP($AT87,OFFSET([1]crash_skills!$A$1,0,0,COUNTA([1]crash_skills!$A:$A),MATCH("name",[1]crash_skills!$1:$1,0)-MATCH($AT$1,[1]crash_skills!$1:$1,0)+1),MATCH("name",[1]crash_skills!$1:$1,0)-MATCH($AT$1,[1]crash_skills!$1:$1,0)+1,FALSE)</f>
        <v>#VALUE!</v>
      </c>
      <c r="AV87" s="77" t="e">
        <f ca="1">VLOOKUP($AT87,OFFSET([1]crash_skills!$A$1,0,0,COUNTA([1]crash_skills!$A:$A),MATCH("comment",[1]crash_skills!$1:$1,0)-MATCH($AT$1,[1]crash_skills!$1:$1,0)+1),MATCH("comment",[1]crash_skills!$1:$1,0)-MATCH($AT$1,[1]crash_skills!$1:$1,0)+1,FALSE)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87" s="77" t="e">
        <f ca="1">VLOOKUP($AT87,OFFSET([1]crash_skills!$A$1,0,0,COUNTA([1]crash_skills!$A:$A),MATCH(AW$1,[1]crash_skills!$1:$1,0)-MATCH($AT$1,[1]crash_skills!$1:$1,0)+1),MATCH(AW$1,[1]crash_skills!$1:$1,0)-MATCH($AT$1,[1]crash_skills!$1:$1,0)+1,FALSE)</f>
        <v>#VALUE!</v>
      </c>
      <c r="AX87" s="81">
        <f ca="1">VLOOKUP($A87,OFFSET([2]characters!$A$1,0,0,COUNTA([2]characters!$A:$A),MATCH(AX$1,[2]characters!$1:$1,0)-MATCH($A$1,[2]characters!$1:$1,0)+1),MATCH(AX$1,[2]characters!$1:$1,0)-MATCH($A$1,[2]characters!$1:$1,0)+1,FALSE)</f>
        <v>3</v>
      </c>
      <c r="AY87" s="19">
        <v>1</v>
      </c>
      <c r="AZ87" s="19">
        <v>1</v>
      </c>
      <c r="BA87" s="19">
        <v>0</v>
      </c>
      <c r="BB87" s="19">
        <v>1</v>
      </c>
      <c r="BC87" s="14">
        <f ca="1">INDEX('RC6SV'!$A$1:$G$20,MATCH(H87,'RC6SV'!$A$1:$A$20,FALSE),MATCH(G87,'RC6SV'!$A$1:$G$1,FALSE))</f>
        <v>5800</v>
      </c>
      <c r="BD87" s="63">
        <f t="shared" ca="1" si="11"/>
        <v>5800</v>
      </c>
      <c r="BE87" s="14">
        <f t="shared" ca="1" si="12"/>
        <v>4600</v>
      </c>
      <c r="BF87" s="14">
        <f t="shared" ca="1" si="13"/>
        <v>1</v>
      </c>
      <c r="BG87" s="138">
        <f ca="1">IF($BE87&lt;=0,ROUND(BK87*0.5,0), ROUND($BE87*S87*AA87*J87*AY87*0.8*[2]ステータス!$B$2*0.6,0))</f>
        <v>1104</v>
      </c>
      <c r="BH87" s="138">
        <f ca="1">IF($BE87&lt;=0,ROUND(BL87*0.5,0), ROUND($BE87*T87*AB87*K87*AZ87*0.8*[2]ステータス!$C$2*0.6,0))</f>
        <v>743</v>
      </c>
      <c r="BI87" s="138">
        <f ca="1">IF($BE87&lt;=0,ROUND(BM87*0.5,0), ROUND($BE87*U87*AC87*L87*BA87*0.8*[2]ステータス!$D$2,0))</f>
        <v>0</v>
      </c>
      <c r="BJ87" s="138">
        <f ca="1">IF($BE87&lt;=0,ROUND(BN87*0.5,0), ROUND($BE87*V87*AD87*M87*BB87*0.8*[2]ステータス!$E$2*0.6,0))</f>
        <v>487</v>
      </c>
      <c r="BK87" s="104">
        <f ca="1">ROUND(BD87*S87*AA87*J87*AY87*[2]ステータス!$B$2*0.6,0)</f>
        <v>1740</v>
      </c>
      <c r="BL87" s="104">
        <f ca="1">ROUND(BD87*T87*AB87*K87*AZ87*[2]ステータス!$C$2*0.6,0)</f>
        <v>1171</v>
      </c>
      <c r="BM87" s="104">
        <f ca="1">ROUND(BD87*U87*AC87*L87*BA87*[2]ステータス!$D$2,0)</f>
        <v>0</v>
      </c>
      <c r="BN87" s="104">
        <f ca="1">ROUND(BD87*V87*AD87*M87*BB87*[2]ステータス!$E$2*0.6,0)</f>
        <v>767</v>
      </c>
      <c r="BO87" s="13">
        <v>0</v>
      </c>
      <c r="BP87" s="13">
        <v>1</v>
      </c>
      <c r="BQ87" s="13" t="s">
        <v>102</v>
      </c>
      <c r="BR87" s="13">
        <f ca="1">VLOOKUP(H87,ghosts_label!$A$2:$B$19,2,FALSE)</f>
        <v>1</v>
      </c>
    </row>
    <row r="88" spans="1:70" ht="21" customHeight="1" x14ac:dyDescent="0.15">
      <c r="A88" s="14">
        <f t="shared" ca="1" si="8"/>
        <v>87</v>
      </c>
      <c r="B88" s="77" t="str">
        <f ca="1">VLOOKUP($A88,OFFSET([2]characters!$A$1,0,0,COUNTA([2]characters!$A:$A),MATCH(B$1,[2]characters!$1:$1,0)-MATCH($A$1,[2]characters!$1:$1,0)+1),MATCH(B$1,[2]characters!$1:$1,0)-MATCH($A$1,[2]characters!$1:$1,0)+1,FALSE)</f>
        <v>朱南の守護神 朱雀</v>
      </c>
      <c r="C88" s="77" t="str">
        <f ca="1">VLOOKUP($A88,OFFSET([2]characters!$A$1,0,0,COUNTA([2]characters!$A:$A),MATCH(C$1,[2]characters!$1:$1,0)-MATCH($A$1,[2]characters!$1:$1,0)+1),MATCH(C$1,[2]characters!$1:$1,0)-MATCH($A$1,[2]characters!$1:$1,0)+1,FALSE)</f>
        <v>リンクガチャ:4神</v>
      </c>
      <c r="D88" s="77" t="str">
        <f ca="1">VLOOKUP($A88,OFFSET([2]characters!$A$1,0,0,COUNTA([2]characters!$A:$A),MATCH(D$1,[2]characters!$1:$1,0)-MATCH($A$1,[2]characters!$1:$1,0)+1),MATCH(D$1,[2]characters!$1:$1,0)-MATCH($A$1,[2]characters!$1:$1,0)+1,FALSE)</f>
        <v>守護神</v>
      </c>
      <c r="E88" s="77" t="str">
        <f ca="1">VLOOKUP($A88,OFFSET([2]characters!$A$1,0,0,COUNTA([2]characters!$A:$A),MATCH(E$1,[2]characters!$1:$1,0)-MATCH($A$1,[2]characters!$1:$1,0)+1),MATCH(E$1,[2]characters!$1:$1,0)-MATCH($A$1,[2]characters!$1:$1,0)+1,FALSE)</f>
        <v>格好いい</v>
      </c>
      <c r="F88" s="77" t="str">
        <f ca="1">VLOOKUP($A88,OFFSET([2]characters!$A$1,0,0,COUNTA([2]characters!$A:$A),MATCH(F$1,[2]characters!$1:$1,0)-MATCH($A$1,[2]characters!$1:$1,0)+1),MATCH(F$1,[2]characters!$1:$1,0)-MATCH($A$1,[2]characters!$1:$1,0)+1,FALSE)</f>
        <v>不明</v>
      </c>
      <c r="G88" s="77">
        <f ca="1">VLOOKUP($A88,OFFSET([2]characters!$A$1,0,0,COUNTA([2]characters!$A:$A),MATCH(G$1,[2]characters!$1:$1,0)-MATCH($A$1,[2]characters!$1:$1,0)+1),MATCH(G$1,[2]characters!$1:$1,0)-MATCH($A$1,[2]characters!$1:$1,0)+1,FALSE)</f>
        <v>5</v>
      </c>
      <c r="H88" s="77" t="str">
        <f ca="1">VLOOKUP($A88,OFFSET([2]characters!$A$1,0,0,COUNTA([2]characters!$A:$A),MATCH(H$1,[2]characters!$1:$1,0)-MATCH($A$1,[2]characters!$1:$1,0)+1),MATCH(H$1,[2]characters!$1:$1,0)-MATCH($A$1,[2]characters!$1:$1,0)+1,FALSE)</f>
        <v>Drop2N</v>
      </c>
      <c r="I88" s="77" t="str">
        <f ca="1">VLOOKUP($A88,OFFSET([2]characters!$A$1,0,0,COUNTA([2]characters!$A:$A),MATCH(I$1,[2]characters!$1:$1,0)-MATCH($A$1,[2]characters!$1:$1,0)+1),MATCH(I$1,[2]characters!$1:$1,0)-MATCH($A$1,[2]characters!$1:$1,0)+1,FALSE)</f>
        <v>red</v>
      </c>
      <c r="J88" s="14">
        <f ca="1">VLOOKUP(I88,[2]属性!$A:$E,2,FALSE)</f>
        <v>1</v>
      </c>
      <c r="K88" s="14">
        <f ca="1">VLOOKUP(I88,[2]属性!$A:$E,3,FALSE)</f>
        <v>1.02</v>
      </c>
      <c r="L88" s="14">
        <f ca="1">VLOOKUP(I88,[2]属性!$A:$E,4,FALSE)</f>
        <v>1</v>
      </c>
      <c r="M88" s="14">
        <f ca="1">VLOOKUP(I88,[2]属性!$A:$E,5,FALSE)</f>
        <v>0.98</v>
      </c>
      <c r="N88" s="14">
        <f ca="1">INDEX(コスト!$A$1:$I$20,MATCH(H88,コスト!$A$1:$A$20,FALSE),MATCH(G88,コスト!$A$1:$I$1,FALSE))</f>
        <v>26</v>
      </c>
      <c r="O88" s="14">
        <f ca="1">INDEX(レベル!$A$1:$I$21,MATCH(H88,レベル!$A$1:$A$21,FALSE),MATCH(G88,レベル!$A$1:$I$1,FALSE))</f>
        <v>80</v>
      </c>
      <c r="P88" s="63">
        <f t="shared" ca="1" si="14"/>
        <v>75</v>
      </c>
      <c r="Q88" s="77" t="str">
        <f ca="1">VLOOKUP($A88,OFFSET([2]characters!$A$1,0,0,COUNTA([2]characters!$A:$A),MATCH(Q$1,[2]characters!$1:$1,0)-MATCH($A$1,[2]characters!$1:$1,0)+1),MATCH(Q$1,[2]characters!$1:$1,0)-MATCH($A$1,[2]characters!$1:$1,0)+1,FALSE)</f>
        <v>balance</v>
      </c>
      <c r="R88" s="8" t="str">
        <f ca="1">VLOOKUP(Q88,[2]character_type_i18n!$A:$H,3,FALSE)</f>
        <v>バランスタイプ</v>
      </c>
      <c r="S88" s="14">
        <f ca="1">VLOOKUP(Q88,[2]character_type_i18n!$A:$H,4,FALSE)</f>
        <v>1</v>
      </c>
      <c r="T88" s="14">
        <f ca="1">VLOOKUP(Q88,[2]character_type_i18n!$A:$H,5,FALSE)</f>
        <v>1</v>
      </c>
      <c r="U88" s="14">
        <f ca="1">VLOOKUP(Q88,[2]character_type_i18n!$A:$H,6,FALSE)</f>
        <v>1</v>
      </c>
      <c r="V88" s="14">
        <f ca="1">VLOOKUP(Q88,[2]character_type_i18n!$A:$H,7,FALSE)</f>
        <v>1</v>
      </c>
      <c r="W88" s="77" t="str">
        <f ca="1">VLOOKUP($A88,OFFSET([2]characters!$A$1,0,0,COUNTA([2]characters!$A:$A),MATCH(W$1,[2]characters!$1:$1,0)-MATCH($A$1,[2]characters!$1:$1,0)+1),MATCH(W$1,[2]characters!$1:$1,0)-MATCH($A$1,[2]characters!$1:$1,0)+1,FALSE)</f>
        <v>animal</v>
      </c>
      <c r="X88" s="8" t="str">
        <f ca="1">VLOOKUP(W88,[2]character_tribe_i18n!$A:$H,3,FALSE)</f>
        <v>アニマル</v>
      </c>
      <c r="Y88" s="77" t="str">
        <f ca="1">VLOOKUP($A88,OFFSET([2]characters!$A$1,0,0,COUNTA([2]characters!$A:$A),MATCH(Y$1,[2]characters!$1:$1,0)-MATCH($A$1,[2]characters!$1:$1,0)+1),MATCH(Y$1,[2]characters!$1:$1,0)-MATCH($A$1,[2]characters!$1:$1,0)+1,FALSE)</f>
        <v>god</v>
      </c>
      <c r="Z88" s="8" t="str">
        <f ca="1">VLOOKUP(Y88,[2]character_tribe_i18n!$A:$H,3,FALSE)</f>
        <v>ゴッド</v>
      </c>
      <c r="AA88" s="14">
        <f ca="1">VLOOKUP(W88,[2]character_tribe_i18n!$A:$H,4,FALSE)</f>
        <v>1</v>
      </c>
      <c r="AB88" s="14">
        <f ca="1">VLOOKUP(W88,[2]character_tribe_i18n!$A:$H,5,FALSE)</f>
        <v>1.1000000000000001</v>
      </c>
      <c r="AC88" s="14">
        <f ca="1">VLOOKUP(W88,[2]character_tribe_i18n!$A:$H,6,FALSE)</f>
        <v>1</v>
      </c>
      <c r="AD88" s="14">
        <f ca="1">VLOOKUP(W88,[2]character_tribe_i18n!$A:$H,7,FALSE)</f>
        <v>0.9</v>
      </c>
      <c r="AE88" s="12" t="s">
        <v>102</v>
      </c>
      <c r="AF88" s="85" t="str">
        <f ca="1">IF(AE88="NULL","",VLOOKUP($AE88,OFFSET([2]characters!$A$1,0,0,COUNTA([2]characters!$A:$A),MATCH(AF$1,[2]characters!$1:$1,0)-MATCH($A$1,[2]characters!$1:$1,0)+1),MATCH(AF$1,[2]characters!$1:$1,0)-MATCH($A$1,[2]characters!$1:$1,0)+1,FALSE))</f>
        <v/>
      </c>
      <c r="AG88" s="8">
        <f t="shared" ca="1" si="9"/>
        <v>85</v>
      </c>
      <c r="AH88" s="85" t="str">
        <f ca="1">VLOOKUP($AG88,OFFSET([2]characters!$A$1,0,0,COUNTA([2]characters!$A:$A),MATCH(AH$1,[2]characters!$1:$1,0)-MATCH($A$1,[2]characters!$1:$1,0)+1),MATCH(AH$1,[2]characters!$1:$1,0)-MATCH($A$1,[2]characters!$1:$1,0)+1,FALSE)</f>
        <v>朱雀</v>
      </c>
      <c r="AI88" s="14" t="str">
        <f>IF(AE88="NULL","NULL",VLOOKUP(G88,ビット!$A$2:$B$7,2))</f>
        <v>NULL</v>
      </c>
      <c r="AJ88" s="9">
        <v>2</v>
      </c>
      <c r="AK88" s="10" t="str">
        <f t="shared" si="10"/>
        <v>普通</v>
      </c>
      <c r="AL88" s="14" t="str">
        <f ca="1">INDEX(経験値!$A$1:$I$20,MATCH(H88,経験値!$A$1:$A$20,FALSE),MATCH(G88,経験値!$A$1:$I$1,FALSE))</f>
        <v>required_exp_200</v>
      </c>
      <c r="AM88" s="11">
        <f ca="1">VLOOKUP(G88,経験値!$A$27:$B$31,2)</f>
        <v>6400</v>
      </c>
      <c r="AN88" s="21">
        <f ca="1">VLOOKUP(G88,ビット!$G$2:$H$7,2)</f>
        <v>900</v>
      </c>
      <c r="AO88" s="64" t="s">
        <v>190</v>
      </c>
      <c r="AP88" s="97">
        <v>422003</v>
      </c>
      <c r="AQ88" s="77" t="e">
        <f ca="1">VLOOKUP($AP88,OFFSET([1]unit_skills!$A$1,0,0,COUNTA([1]unit_skills!$A:$A),MATCH("name",[1]unit_skills!$1:$1,0)-MATCH($AP$1,[1]unit_skills!$1:$1,0)+1),MATCH("name",[1]unit_skills!$1:$1,0)-MATCH($AP$1,[1]unit_skills!$1:$1,0)+1,FALSE)</f>
        <v>#VALUE!</v>
      </c>
      <c r="AR88" s="77" t="e">
        <f ca="1">VLOOKUP($AP88,OFFSET([1]unit_skills!$A$1,0,0,COUNTA([1]unit_skills!$A:$A),MATCH("comment",[1]unit_skills!$1:$1,0)-MATCH($AP$1,[1]unit_skills!$1:$1,0)+1),MATCH("comment",[1]unit_skills!$1:$1,0)-MATCH($AP$1,[1]unit_skills!$1:$1,0)+1,FALSE)</f>
        <v>#VALUE!</v>
      </c>
      <c r="AS88" s="77" t="e">
        <f ca="1">VLOOKUP($AP88,OFFSET([1]unit_skills!$A$1,0,0,COUNTA([1]unit_skills!$A:$A),MATCH(AS$1,[1]unit_skills!$1:$1,0)-MATCH($AP$1,[1]unit_skills!$1:$1,0)+1),MATCH(AS$1,[1]unit_skills!$1:$1,0)-MATCH($AP$1,[1]unit_skills!$1:$1,0)+1,FALSE)</f>
        <v>#VALUE!</v>
      </c>
      <c r="AT88" s="97">
        <v>111104</v>
      </c>
      <c r="AU88" s="77" t="e">
        <f ca="1">VLOOKUP($AT88,OFFSET([1]crash_skills!$A$1,0,0,COUNTA([1]crash_skills!$A:$A),MATCH("name",[1]crash_skills!$1:$1,0)-MATCH($AT$1,[1]crash_skills!$1:$1,0)+1),MATCH("name",[1]crash_skills!$1:$1,0)-MATCH($AT$1,[1]crash_skills!$1:$1,0)+1,FALSE)</f>
        <v>#VALUE!</v>
      </c>
      <c r="AV88" s="77" t="e">
        <f ca="1">VLOOKUP($AT88,OFFSET([1]crash_skills!$A$1,0,0,COUNTA([1]crash_skills!$A:$A),MATCH("comment",[1]crash_skills!$1:$1,0)-MATCH($AT$1,[1]crash_skills!$1:$1,0)+1),MATCH("comment",[1]crash_skills!$1:$1,0)-MATCH($AT$1,[1]crash_skills!$1:$1,0)+1,FALSE)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88" s="77" t="e">
        <f ca="1">VLOOKUP($AT88,OFFSET([1]crash_skills!$A$1,0,0,COUNTA([1]crash_skills!$A:$A),MATCH(AW$1,[1]crash_skills!$1:$1,0)-MATCH($AT$1,[1]crash_skills!$1:$1,0)+1),MATCH(AW$1,[1]crash_skills!$1:$1,0)-MATCH($AT$1,[1]crash_skills!$1:$1,0)+1,FALSE)</f>
        <v>#VALUE!</v>
      </c>
      <c r="AX88" s="81">
        <f ca="1">VLOOKUP($A88,OFFSET([2]characters!$A$1,0,0,COUNTA([2]characters!$A:$A),MATCH(AX$1,[2]characters!$1:$1,0)-MATCH($A$1,[2]characters!$1:$1,0)+1),MATCH(AX$1,[2]characters!$1:$1,0)-MATCH($A$1,[2]characters!$1:$1,0)+1,FALSE)</f>
        <v>3</v>
      </c>
      <c r="AY88" s="19">
        <v>1</v>
      </c>
      <c r="AZ88" s="19">
        <v>1</v>
      </c>
      <c r="BA88" s="19">
        <v>0</v>
      </c>
      <c r="BB88" s="19">
        <v>1</v>
      </c>
      <c r="BC88" s="14">
        <f ca="1">INDEX('RC6SV'!$A$1:$G$20,MATCH(H88,'RC6SV'!$A$1:$A$20,FALSE),MATCH(G88,'RC6SV'!$A$1:$G$1,FALSE))</f>
        <v>7600</v>
      </c>
      <c r="BD88" s="63">
        <f t="shared" ca="1" si="11"/>
        <v>7600</v>
      </c>
      <c r="BE88" s="14">
        <f t="shared" ca="1" si="12"/>
        <v>5800</v>
      </c>
      <c r="BF88" s="14">
        <f t="shared" ca="1" si="13"/>
        <v>1</v>
      </c>
      <c r="BG88" s="138">
        <f ca="1">IF($BE88&lt;=0,ROUND(BK88*0.5,0), ROUND($BE88*S88*AA88*J88*AY88*0.8*[2]ステータス!$B$2*0.6,0))</f>
        <v>1392</v>
      </c>
      <c r="BH88" s="138">
        <f ca="1">IF($BE88&lt;=0,ROUND(BL88*0.5,0), ROUND($BE88*T88*AB88*K88*AZ88*0.8*[2]ステータス!$C$2*0.6,0))</f>
        <v>937</v>
      </c>
      <c r="BI88" s="138">
        <f ca="1">IF($BE88&lt;=0,ROUND(BM88*0.5,0), ROUND($BE88*U88*AC88*L88*BA88*0.8*[2]ステータス!$D$2,0))</f>
        <v>0</v>
      </c>
      <c r="BJ88" s="138">
        <f ca="1">IF($BE88&lt;=0,ROUND(BN88*0.5,0), ROUND($BE88*V88*AD88*M88*BB88*0.8*[2]ステータス!$E$2*0.6,0))</f>
        <v>614</v>
      </c>
      <c r="BK88" s="14">
        <f ca="1">ROUND(BD88*S88*AA88*J88*AY88*[2]ステータス!$B$2,0)</f>
        <v>3800</v>
      </c>
      <c r="BL88" s="14">
        <f ca="1">ROUND(BD88*T88*AB88*K88*AZ88*[2]ステータス!$C$2,0)</f>
        <v>2558</v>
      </c>
      <c r="BM88" s="14">
        <f ca="1">ROUND(BD88*U88*AC88*L88*BA88*[2]ステータス!$D$2,0)</f>
        <v>0</v>
      </c>
      <c r="BN88" s="14">
        <f ca="1">ROUND(BD88*V88*AD88*M88*BB88*[2]ステータス!$E$2,0)</f>
        <v>1676</v>
      </c>
      <c r="BO88" s="13">
        <v>0</v>
      </c>
      <c r="BP88" s="13">
        <v>1</v>
      </c>
      <c r="BQ88" s="13" t="s">
        <v>102</v>
      </c>
      <c r="BR88" s="13">
        <f ca="1">VLOOKUP(H88,ghosts_label!$A$2:$B$19,2,FALSE)</f>
        <v>1</v>
      </c>
    </row>
    <row r="89" spans="1:70" ht="21" customHeight="1" x14ac:dyDescent="0.15">
      <c r="A89" s="14">
        <f t="shared" ca="1" si="8"/>
        <v>88</v>
      </c>
      <c r="B89" s="77" t="str">
        <f ca="1">VLOOKUP($A89,OFFSET([2]characters!$A$1,0,0,COUNTA([2]characters!$A:$A),MATCH(B$1,[2]characters!$1:$1,0)-MATCH($A$1,[2]characters!$1:$1,0)+1),MATCH(B$1,[2]characters!$1:$1,0)-MATCH($A$1,[2]characters!$1:$1,0)+1,FALSE)</f>
        <v>玄武</v>
      </c>
      <c r="C89" s="77" t="str">
        <f ca="1">VLOOKUP($A89,OFFSET([2]characters!$A$1,0,0,COUNTA([2]characters!$A:$A),MATCH(C$1,[2]characters!$1:$1,0)-MATCH($A$1,[2]characters!$1:$1,0)+1),MATCH(C$1,[2]characters!$1:$1,0)-MATCH($A$1,[2]characters!$1:$1,0)+1,FALSE)</f>
        <v>リンクガチャ:4神</v>
      </c>
      <c r="D89" s="77" t="str">
        <f ca="1">VLOOKUP($A89,OFFSET([2]characters!$A$1,0,0,COUNTA([2]characters!$A:$A),MATCH(D$1,[2]characters!$1:$1,0)-MATCH($A$1,[2]characters!$1:$1,0)+1),MATCH(D$1,[2]characters!$1:$1,0)-MATCH($A$1,[2]characters!$1:$1,0)+1,FALSE)</f>
        <v>守護神</v>
      </c>
      <c r="E89" s="77" t="str">
        <f ca="1">VLOOKUP($A89,OFFSET([2]characters!$A$1,0,0,COUNTA([2]characters!$A:$A),MATCH(E$1,[2]characters!$1:$1,0)-MATCH($A$1,[2]characters!$1:$1,0)+1),MATCH(E$1,[2]characters!$1:$1,0)-MATCH($A$1,[2]characters!$1:$1,0)+1,FALSE)</f>
        <v>格好いい</v>
      </c>
      <c r="F89" s="77" t="str">
        <f ca="1">VLOOKUP($A89,OFFSET([2]characters!$A$1,0,0,COUNTA([2]characters!$A:$A),MATCH(F$1,[2]characters!$1:$1,0)-MATCH($A$1,[2]characters!$1:$1,0)+1),MATCH(F$1,[2]characters!$1:$1,0)-MATCH($A$1,[2]characters!$1:$1,0)+1,FALSE)</f>
        <v>不明</v>
      </c>
      <c r="G89" s="77">
        <f ca="1">VLOOKUP($A89,OFFSET([2]characters!$A$1,0,0,COUNTA([2]characters!$A:$A),MATCH(G$1,[2]characters!$1:$1,0)-MATCH($A$1,[2]characters!$1:$1,0)+1),MATCH(G$1,[2]characters!$1:$1,0)-MATCH($A$1,[2]characters!$1:$1,0)+1,FALSE)</f>
        <v>3</v>
      </c>
      <c r="H89" s="77" t="str">
        <f ca="1">VLOOKUP($A89,OFFSET([2]characters!$A$1,0,0,COUNTA([2]characters!$A:$A),MATCH(H$1,[2]characters!$1:$1,0)-MATCH($A$1,[2]characters!$1:$1,0)+1),MATCH(H$1,[2]characters!$1:$1,0)-MATCH($A$1,[2]characters!$1:$1,0)+1,FALSE)</f>
        <v>Drop2N</v>
      </c>
      <c r="I89" s="77" t="str">
        <f ca="1">VLOOKUP($A89,OFFSET([2]characters!$A$1,0,0,COUNTA([2]characters!$A:$A),MATCH(I$1,[2]characters!$1:$1,0)-MATCH($A$1,[2]characters!$1:$1,0)+1),MATCH(I$1,[2]characters!$1:$1,0)-MATCH($A$1,[2]characters!$1:$1,0)+1,FALSE)</f>
        <v>green</v>
      </c>
      <c r="J89" s="14">
        <f ca="1">VLOOKUP(I89,[2]属性!$A:$E,2,FALSE)</f>
        <v>1.02</v>
      </c>
      <c r="K89" s="14">
        <f ca="1">VLOOKUP(I89,[2]属性!$A:$E,3,FALSE)</f>
        <v>0.98</v>
      </c>
      <c r="L89" s="14">
        <f ca="1">VLOOKUP(I89,[2]属性!$A:$E,4,FALSE)</f>
        <v>1</v>
      </c>
      <c r="M89" s="14">
        <f ca="1">VLOOKUP(I89,[2]属性!$A:$E,5,FALSE)</f>
        <v>1</v>
      </c>
      <c r="N89" s="14">
        <f ca="1">INDEX(コスト!$A$1:$I$20,MATCH(H89,コスト!$A$1:$A$20,FALSE),MATCH(G89,コスト!$A$1:$I$1,FALSE))</f>
        <v>8</v>
      </c>
      <c r="O89" s="14">
        <f ca="1">INDEX(レベル!$A$1:$I$21,MATCH(H89,レベル!$A$1:$A$21,FALSE),MATCH(G89,レベル!$A$1:$I$1,FALSE))</f>
        <v>40</v>
      </c>
      <c r="P89" s="63">
        <f t="shared" ca="1" si="14"/>
        <v>45</v>
      </c>
      <c r="Q89" s="77" t="str">
        <f ca="1">VLOOKUP($A89,OFFSET([2]characters!$A$1,0,0,COUNTA([2]characters!$A:$A),MATCH(Q$1,[2]characters!$1:$1,0)-MATCH($A$1,[2]characters!$1:$1,0)+1),MATCH(Q$1,[2]characters!$1:$1,0)-MATCH($A$1,[2]characters!$1:$1,0)+1,FALSE)</f>
        <v>technical</v>
      </c>
      <c r="R89" s="8" t="str">
        <f ca="1">VLOOKUP(Q89,[2]character_type_i18n!$A:$H,3,FALSE)</f>
        <v>テクニカルタイプ</v>
      </c>
      <c r="S89" s="14">
        <f ca="1">VLOOKUP(Q89,[2]character_type_i18n!$A:$H,4,FALSE)</f>
        <v>0.9</v>
      </c>
      <c r="T89" s="14">
        <f ca="1">VLOOKUP(Q89,[2]character_type_i18n!$A:$H,5,FALSE)</f>
        <v>0.9</v>
      </c>
      <c r="U89" s="14">
        <f ca="1">VLOOKUP(Q89,[2]character_type_i18n!$A:$H,6,FALSE)</f>
        <v>1</v>
      </c>
      <c r="V89" s="14">
        <f ca="1">VLOOKUP(Q89,[2]character_type_i18n!$A:$H,7,FALSE)</f>
        <v>0.9</v>
      </c>
      <c r="W89" s="77" t="str">
        <f ca="1">VLOOKUP($A89,OFFSET([2]characters!$A$1,0,0,COUNTA([2]characters!$A:$A),MATCH(W$1,[2]characters!$1:$1,0)-MATCH($A$1,[2]characters!$1:$1,0)+1),MATCH(W$1,[2]characters!$1:$1,0)-MATCH($A$1,[2]characters!$1:$1,0)+1,FALSE)</f>
        <v>dragon</v>
      </c>
      <c r="X89" s="8" t="str">
        <f ca="1">VLOOKUP(W89,[2]character_tribe_i18n!$A:$H,3,FALSE)</f>
        <v>ドラゴン</v>
      </c>
      <c r="Y89" s="77" t="str">
        <f ca="1">VLOOKUP($A89,OFFSET([2]characters!$A$1,0,0,COUNTA([2]characters!$A:$A),MATCH(Y$1,[2]characters!$1:$1,0)-MATCH($A$1,[2]characters!$1:$1,0)+1),MATCH(Y$1,[2]characters!$1:$1,0)-MATCH($A$1,[2]characters!$1:$1,0)+1,FALSE)</f>
        <v>god</v>
      </c>
      <c r="Z89" s="8" t="str">
        <f ca="1">VLOOKUP(Y89,[2]character_tribe_i18n!$A:$H,3,FALSE)</f>
        <v>ゴッド</v>
      </c>
      <c r="AA89" s="14">
        <f ca="1">VLOOKUP(W89,[2]character_tribe_i18n!$A:$H,4,FALSE)</f>
        <v>1.1499999999999999</v>
      </c>
      <c r="AB89" s="14">
        <f ca="1">VLOOKUP(W89,[2]character_tribe_i18n!$A:$H,5,FALSE)</f>
        <v>1.1000000000000001</v>
      </c>
      <c r="AC89" s="14">
        <f ca="1">VLOOKUP(W89,[2]character_tribe_i18n!$A:$H,6,FALSE)</f>
        <v>1</v>
      </c>
      <c r="AD89" s="14">
        <f ca="1">VLOOKUP(W89,[2]character_tribe_i18n!$A:$H,7,FALSE)</f>
        <v>0.75</v>
      </c>
      <c r="AE89" s="12">
        <v>89</v>
      </c>
      <c r="AF89" s="85" t="str">
        <f ca="1">IF(AE89="NULL","",VLOOKUP($AE89,OFFSET([2]characters!$A$1,0,0,COUNTA([2]characters!$A:$A),MATCH(AF$1,[2]characters!$1:$1,0)-MATCH($A$1,[2]characters!$1:$1,0)+1),MATCH(AF$1,[2]characters!$1:$1,0)-MATCH($A$1,[2]characters!$1:$1,0)+1,FALSE))</f>
        <v>守護者 玄武</v>
      </c>
      <c r="AG89" s="8">
        <f t="shared" ca="1" si="9"/>
        <v>88</v>
      </c>
      <c r="AH89" s="85" t="str">
        <f ca="1">VLOOKUP($AG89,OFFSET([2]characters!$A$1,0,0,COUNTA([2]characters!$A:$A),MATCH(AH$1,[2]characters!$1:$1,0)-MATCH($A$1,[2]characters!$1:$1,0)+1),MATCH(AH$1,[2]characters!$1:$1,0)-MATCH($A$1,[2]characters!$1:$1,0)+1,FALSE)</f>
        <v>玄武</v>
      </c>
      <c r="AI89" s="14">
        <f ca="1">IF(AE89="NULL","NULL",VLOOKUP(G89,ビット!$A$2:$B$7,2))</f>
        <v>20000</v>
      </c>
      <c r="AJ89" s="9">
        <v>2</v>
      </c>
      <c r="AK89" s="10" t="str">
        <f t="shared" si="10"/>
        <v>普通</v>
      </c>
      <c r="AL89" s="14" t="str">
        <f ca="1">INDEX(経験値!$A$1:$I$20,MATCH(H89,経験値!$A$1:$A$20,FALSE),MATCH(G89,経験値!$A$1:$I$1,FALSE))</f>
        <v>required_exp_200</v>
      </c>
      <c r="AM89" s="11">
        <f ca="1">VLOOKUP(G89,経験値!$A$27:$B$31,2)</f>
        <v>1500</v>
      </c>
      <c r="AN89" s="21">
        <f ca="1">VLOOKUP(G89,ビット!$G$2:$H$7,2)</f>
        <v>300</v>
      </c>
      <c r="AO89" s="64" t="s">
        <v>191</v>
      </c>
      <c r="AP89" s="97">
        <v>414003</v>
      </c>
      <c r="AQ89" s="77" t="e">
        <f ca="1">VLOOKUP($AP89,OFFSET([1]unit_skills!$A$1,0,0,COUNTA([1]unit_skills!$A:$A),MATCH("name",[1]unit_skills!$1:$1,0)-MATCH($AP$1,[1]unit_skills!$1:$1,0)+1),MATCH("name",[1]unit_skills!$1:$1,0)-MATCH($AP$1,[1]unit_skills!$1:$1,0)+1,FALSE)</f>
        <v>#VALUE!</v>
      </c>
      <c r="AR89" s="77" t="e">
        <f ca="1">VLOOKUP($AP89,OFFSET([1]unit_skills!$A$1,0,0,COUNTA([1]unit_skills!$A:$A),MATCH("comment",[1]unit_skills!$1:$1,0)-MATCH($AP$1,[1]unit_skills!$1:$1,0)+1),MATCH("comment",[1]unit_skills!$1:$1,0)-MATCH($AP$1,[1]unit_skills!$1:$1,0)+1,FALSE)</f>
        <v>#VALUE!</v>
      </c>
      <c r="AS89" s="77" t="e">
        <f ca="1">VLOOKUP($AP89,OFFSET([1]unit_skills!$A$1,0,0,COUNTA([1]unit_skills!$A:$A),MATCH(AS$1,[1]unit_skills!$1:$1,0)-MATCH($AP$1,[1]unit_skills!$1:$1,0)+1),MATCH(AS$1,[1]unit_skills!$1:$1,0)-MATCH($AP$1,[1]unit_skills!$1:$1,0)+1,FALSE)</f>
        <v>#VALUE!</v>
      </c>
      <c r="AT89" s="97">
        <v>122003</v>
      </c>
      <c r="AU89" s="77" t="e">
        <f ca="1">VLOOKUP($AT89,OFFSET([1]crash_skills!$A$1,0,0,COUNTA([1]crash_skills!$A:$A),MATCH("name",[1]crash_skills!$1:$1,0)-MATCH($AT$1,[1]crash_skills!$1:$1,0)+1),MATCH("name",[1]crash_skills!$1:$1,0)-MATCH($AT$1,[1]crash_skills!$1:$1,0)+1,FALSE)</f>
        <v>#VALUE!</v>
      </c>
      <c r="AV89" s="77" t="e">
        <f ca="1">VLOOKUP($AT89,OFFSET([1]crash_skills!$A$1,0,0,COUNTA([1]crash_skills!$A:$A),MATCH("comment",[1]crash_skills!$1:$1,0)-MATCH($AT$1,[1]crash_skills!$1:$1,0)+1),MATCH("comment",[1]crash_skills!$1:$1,0)-MATCH($AT$1,[1]crash_skills!$1:$1,0)+1,FALSE)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89" s="77" t="e">
        <f ca="1">VLOOKUP($AT89,OFFSET([1]crash_skills!$A$1,0,0,COUNTA([1]crash_skills!$A:$A),MATCH(AW$1,[1]crash_skills!$1:$1,0)-MATCH($AT$1,[1]crash_skills!$1:$1,0)+1),MATCH(AW$1,[1]crash_skills!$1:$1,0)-MATCH($AT$1,[1]crash_skills!$1:$1,0)+1,FALSE)</f>
        <v>#VALUE!</v>
      </c>
      <c r="AX89" s="81">
        <f ca="1">VLOOKUP($A89,OFFSET([2]characters!$A$1,0,0,COUNTA([2]characters!$A:$A),MATCH(AX$1,[2]characters!$1:$1,0)-MATCH($A$1,[2]characters!$1:$1,0)+1),MATCH(AX$1,[2]characters!$1:$1,0)-MATCH($A$1,[2]characters!$1:$1,0)+1,FALSE)</f>
        <v>3</v>
      </c>
      <c r="AY89" s="19">
        <v>1.2</v>
      </c>
      <c r="AZ89" s="19">
        <v>0.8</v>
      </c>
      <c r="BA89" s="19">
        <v>0</v>
      </c>
      <c r="BB89" s="19">
        <v>1</v>
      </c>
      <c r="BC89" s="14">
        <f ca="1">INDEX('RC6SV'!$A$1:$G$20,MATCH(H89,'RC6SV'!$A$1:$A$20,FALSE),MATCH(G89,'RC6SV'!$A$1:$G$1,FALSE))</f>
        <v>4600</v>
      </c>
      <c r="BD89" s="63">
        <f t="shared" ca="1" si="11"/>
        <v>4600</v>
      </c>
      <c r="BE89" s="14">
        <f t="shared" ca="1" si="12"/>
        <v>0</v>
      </c>
      <c r="BF89" s="14">
        <f t="shared" ca="1" si="13"/>
        <v>1</v>
      </c>
      <c r="BG89" s="20">
        <f ca="1">IF($BE89&lt;=0,ROUND(BK89*0.5,0), ROUND($BE89*S89*AA89*J89*AY89*0.8*[2]ステータス!$B$2,0))</f>
        <v>874</v>
      </c>
      <c r="BH89" s="20">
        <f ca="1">IF($BE89&lt;=0,ROUND(BL89*0.5,0), ROUND($BE89*T89*AB89*K89*AZ89*0.8*[2]ステータス!$C$2,0))</f>
        <v>322</v>
      </c>
      <c r="BI89" s="20">
        <f ca="1">IF($BE89&lt;=0,ROUND(BM89*0.5,0), ROUND($BE89*U89*AC89*L89*BA89*0.8*[2]ステータス!$D$2,0))</f>
        <v>0</v>
      </c>
      <c r="BJ89" s="20">
        <f ca="1">IF($BE89&lt;=0,ROUND(BN89*0.5,0), ROUND($BE89*V89*AD89*M89*BB89*0.8*[2]ステータス!$E$2,0))</f>
        <v>233</v>
      </c>
      <c r="BK89" s="104">
        <f ca="1">ROUND(BD89*S89*AA89*J89*AY89*[2]ステータス!$B$2*0.6,0)</f>
        <v>1748</v>
      </c>
      <c r="BL89" s="104">
        <f ca="1">ROUND(BD89*T89*AB89*K89*AZ89*[2]ステータス!$C$2*0.6,0)</f>
        <v>643</v>
      </c>
      <c r="BM89" s="104">
        <f ca="1">ROUND(BD89*U89*AC89*L89*BA89*[2]ステータス!$D$2,0)</f>
        <v>0</v>
      </c>
      <c r="BN89" s="104">
        <f ca="1">ROUND(BD89*V89*AD89*M89*BB89*[2]ステータス!$E$2*0.6,0)</f>
        <v>466</v>
      </c>
      <c r="BO89" s="13">
        <v>0</v>
      </c>
      <c r="BP89" s="13">
        <v>1</v>
      </c>
      <c r="BQ89" s="13" t="s">
        <v>102</v>
      </c>
      <c r="BR89" s="13">
        <f ca="1">VLOOKUP(H89,ghosts_label!$A$2:$B$19,2,FALSE)</f>
        <v>1</v>
      </c>
    </row>
    <row r="90" spans="1:70" ht="21" customHeight="1" x14ac:dyDescent="0.15">
      <c r="A90" s="14">
        <f t="shared" ca="1" si="8"/>
        <v>89</v>
      </c>
      <c r="B90" s="77" t="str">
        <f ca="1">VLOOKUP($A90,OFFSET([2]characters!$A$1,0,0,COUNTA([2]characters!$A:$A),MATCH(B$1,[2]characters!$1:$1,0)-MATCH($A$1,[2]characters!$1:$1,0)+1),MATCH(B$1,[2]characters!$1:$1,0)-MATCH($A$1,[2]characters!$1:$1,0)+1,FALSE)</f>
        <v>守護者 玄武</v>
      </c>
      <c r="C90" s="77" t="str">
        <f ca="1">VLOOKUP($A90,OFFSET([2]characters!$A$1,0,0,COUNTA([2]characters!$A:$A),MATCH(C$1,[2]characters!$1:$1,0)-MATCH($A$1,[2]characters!$1:$1,0)+1),MATCH(C$1,[2]characters!$1:$1,0)-MATCH($A$1,[2]characters!$1:$1,0)+1,FALSE)</f>
        <v>リンクガチャ:4神</v>
      </c>
      <c r="D90" s="77" t="str">
        <f ca="1">VLOOKUP($A90,OFFSET([2]characters!$A$1,0,0,COUNTA([2]characters!$A:$A),MATCH(D$1,[2]characters!$1:$1,0)-MATCH($A$1,[2]characters!$1:$1,0)+1),MATCH(D$1,[2]characters!$1:$1,0)-MATCH($A$1,[2]characters!$1:$1,0)+1,FALSE)</f>
        <v>守護神</v>
      </c>
      <c r="E90" s="77" t="str">
        <f ca="1">VLOOKUP($A90,OFFSET([2]characters!$A$1,0,0,COUNTA([2]characters!$A:$A),MATCH(E$1,[2]characters!$1:$1,0)-MATCH($A$1,[2]characters!$1:$1,0)+1),MATCH(E$1,[2]characters!$1:$1,0)-MATCH($A$1,[2]characters!$1:$1,0)+1,FALSE)</f>
        <v>格好いい</v>
      </c>
      <c r="F90" s="77" t="str">
        <f ca="1">VLOOKUP($A90,OFFSET([2]characters!$A$1,0,0,COUNTA([2]characters!$A:$A),MATCH(F$1,[2]characters!$1:$1,0)-MATCH($A$1,[2]characters!$1:$1,0)+1),MATCH(F$1,[2]characters!$1:$1,0)-MATCH($A$1,[2]characters!$1:$1,0)+1,FALSE)</f>
        <v>不明</v>
      </c>
      <c r="G90" s="77">
        <f ca="1">VLOOKUP($A90,OFFSET([2]characters!$A$1,0,0,COUNTA([2]characters!$A:$A),MATCH(G$1,[2]characters!$1:$1,0)-MATCH($A$1,[2]characters!$1:$1,0)+1),MATCH(G$1,[2]characters!$1:$1,0)-MATCH($A$1,[2]characters!$1:$1,0)+1,FALSE)</f>
        <v>4</v>
      </c>
      <c r="H90" s="77" t="str">
        <f ca="1">VLOOKUP($A90,OFFSET([2]characters!$A$1,0,0,COUNTA([2]characters!$A:$A),MATCH(H$1,[2]characters!$1:$1,0)-MATCH($A$1,[2]characters!$1:$1,0)+1),MATCH(H$1,[2]characters!$1:$1,0)-MATCH($A$1,[2]characters!$1:$1,0)+1,FALSE)</f>
        <v>Drop2N</v>
      </c>
      <c r="I90" s="77" t="str">
        <f ca="1">VLOOKUP($A90,OFFSET([2]characters!$A$1,0,0,COUNTA([2]characters!$A:$A),MATCH(I$1,[2]characters!$1:$1,0)-MATCH($A$1,[2]characters!$1:$1,0)+1),MATCH(I$1,[2]characters!$1:$1,0)-MATCH($A$1,[2]characters!$1:$1,0)+1,FALSE)</f>
        <v>green</v>
      </c>
      <c r="J90" s="14">
        <f ca="1">VLOOKUP(I90,[2]属性!$A:$E,2,FALSE)</f>
        <v>1.02</v>
      </c>
      <c r="K90" s="14">
        <f ca="1">VLOOKUP(I90,[2]属性!$A:$E,3,FALSE)</f>
        <v>0.98</v>
      </c>
      <c r="L90" s="14">
        <f ca="1">VLOOKUP(I90,[2]属性!$A:$E,4,FALSE)</f>
        <v>1</v>
      </c>
      <c r="M90" s="14">
        <f ca="1">VLOOKUP(I90,[2]属性!$A:$E,5,FALSE)</f>
        <v>1</v>
      </c>
      <c r="N90" s="14">
        <f ca="1">INDEX(コスト!$A$1:$I$20,MATCH(H90,コスト!$A$1:$A$20,FALSE),MATCH(G90,コスト!$A$1:$I$1,FALSE))</f>
        <v>17</v>
      </c>
      <c r="O90" s="14">
        <f ca="1">INDEX(レベル!$A$1:$I$21,MATCH(H90,レベル!$A$1:$A$21,FALSE),MATCH(G90,レベル!$A$1:$I$1,FALSE))</f>
        <v>60</v>
      </c>
      <c r="P90" s="63">
        <f t="shared" ca="1" si="14"/>
        <v>60</v>
      </c>
      <c r="Q90" s="77" t="str">
        <f ca="1">VLOOKUP($A90,OFFSET([2]characters!$A$1,0,0,COUNTA([2]characters!$A:$A),MATCH(Q$1,[2]characters!$1:$1,0)-MATCH($A$1,[2]characters!$1:$1,0)+1),MATCH(Q$1,[2]characters!$1:$1,0)-MATCH($A$1,[2]characters!$1:$1,0)+1,FALSE)</f>
        <v>technical</v>
      </c>
      <c r="R90" s="8" t="str">
        <f ca="1">VLOOKUP(Q90,[2]character_type_i18n!$A:$H,3,FALSE)</f>
        <v>テクニカルタイプ</v>
      </c>
      <c r="S90" s="14">
        <f ca="1">VLOOKUP(Q90,[2]character_type_i18n!$A:$H,4,FALSE)</f>
        <v>0.9</v>
      </c>
      <c r="T90" s="14">
        <f ca="1">VLOOKUP(Q90,[2]character_type_i18n!$A:$H,5,FALSE)</f>
        <v>0.9</v>
      </c>
      <c r="U90" s="14">
        <f ca="1">VLOOKUP(Q90,[2]character_type_i18n!$A:$H,6,FALSE)</f>
        <v>1</v>
      </c>
      <c r="V90" s="14">
        <f ca="1">VLOOKUP(Q90,[2]character_type_i18n!$A:$H,7,FALSE)</f>
        <v>0.9</v>
      </c>
      <c r="W90" s="77" t="str">
        <f ca="1">VLOOKUP($A90,OFFSET([2]characters!$A$1,0,0,COUNTA([2]characters!$A:$A),MATCH(W$1,[2]characters!$1:$1,0)-MATCH($A$1,[2]characters!$1:$1,0)+1),MATCH(W$1,[2]characters!$1:$1,0)-MATCH($A$1,[2]characters!$1:$1,0)+1,FALSE)</f>
        <v>dragon</v>
      </c>
      <c r="X90" s="8" t="str">
        <f ca="1">VLOOKUP(W90,[2]character_tribe_i18n!$A:$H,3,FALSE)</f>
        <v>ドラゴン</v>
      </c>
      <c r="Y90" s="77" t="str">
        <f ca="1">VLOOKUP($A90,OFFSET([2]characters!$A$1,0,0,COUNTA([2]characters!$A:$A),MATCH(Y$1,[2]characters!$1:$1,0)-MATCH($A$1,[2]characters!$1:$1,0)+1),MATCH(Y$1,[2]characters!$1:$1,0)-MATCH($A$1,[2]characters!$1:$1,0)+1,FALSE)</f>
        <v>god</v>
      </c>
      <c r="Z90" s="8" t="str">
        <f ca="1">VLOOKUP(Y90,[2]character_tribe_i18n!$A:$H,3,FALSE)</f>
        <v>ゴッド</v>
      </c>
      <c r="AA90" s="14">
        <f ca="1">VLOOKUP(W90,[2]character_tribe_i18n!$A:$H,4,FALSE)</f>
        <v>1.1499999999999999</v>
      </c>
      <c r="AB90" s="14">
        <f ca="1">VLOOKUP(W90,[2]character_tribe_i18n!$A:$H,5,FALSE)</f>
        <v>1.1000000000000001</v>
      </c>
      <c r="AC90" s="14">
        <f ca="1">VLOOKUP(W90,[2]character_tribe_i18n!$A:$H,6,FALSE)</f>
        <v>1</v>
      </c>
      <c r="AD90" s="14">
        <f ca="1">VLOOKUP(W90,[2]character_tribe_i18n!$A:$H,7,FALSE)</f>
        <v>0.75</v>
      </c>
      <c r="AE90" s="12">
        <v>90</v>
      </c>
      <c r="AF90" s="85" t="str">
        <f ca="1">IF(AE90="NULL","",VLOOKUP($AE90,OFFSET([2]characters!$A$1,0,0,COUNTA([2]characters!$A:$A),MATCH(AF$1,[2]characters!$1:$1,0)-MATCH($A$1,[2]characters!$1:$1,0)+1),MATCH(AF$1,[2]characters!$1:$1,0)-MATCH($A$1,[2]characters!$1:$1,0)+1,FALSE))</f>
        <v>翠北の守護神 玄武</v>
      </c>
      <c r="AG90" s="8">
        <f t="shared" ca="1" si="9"/>
        <v>88</v>
      </c>
      <c r="AH90" s="85" t="str">
        <f ca="1">VLOOKUP($AG90,OFFSET([2]characters!$A$1,0,0,COUNTA([2]characters!$A:$A),MATCH(AH$1,[2]characters!$1:$1,0)-MATCH($A$1,[2]characters!$1:$1,0)+1),MATCH(AH$1,[2]characters!$1:$1,0)-MATCH($A$1,[2]characters!$1:$1,0)+1,FALSE)</f>
        <v>玄武</v>
      </c>
      <c r="AI90" s="14">
        <f ca="1">IF(AE90="NULL","NULL",VLOOKUP(G90,ビット!$A$2:$B$7,2))</f>
        <v>50000</v>
      </c>
      <c r="AJ90" s="9">
        <v>2</v>
      </c>
      <c r="AK90" s="10" t="str">
        <f t="shared" si="10"/>
        <v>普通</v>
      </c>
      <c r="AL90" s="14" t="str">
        <f ca="1">INDEX(経験値!$A$1:$I$20,MATCH(H90,経験値!$A$1:$A$20,FALSE),MATCH(G90,経験値!$A$1:$I$1,FALSE))</f>
        <v>required_exp_200</v>
      </c>
      <c r="AM90" s="11">
        <f ca="1">VLOOKUP(G90,経験値!$A$27:$B$31,2)</f>
        <v>3400</v>
      </c>
      <c r="AN90" s="21">
        <f ca="1">VLOOKUP(G90,ビット!$G$2:$H$7,2)</f>
        <v>600</v>
      </c>
      <c r="AO90" s="64" t="s">
        <v>191</v>
      </c>
      <c r="AP90" s="97">
        <v>414003</v>
      </c>
      <c r="AQ90" s="77" t="e">
        <f ca="1">VLOOKUP($AP90,OFFSET([1]unit_skills!$A$1,0,0,COUNTA([1]unit_skills!$A:$A),MATCH("name",[1]unit_skills!$1:$1,0)-MATCH($AP$1,[1]unit_skills!$1:$1,0)+1),MATCH("name",[1]unit_skills!$1:$1,0)-MATCH($AP$1,[1]unit_skills!$1:$1,0)+1,FALSE)</f>
        <v>#VALUE!</v>
      </c>
      <c r="AR90" s="77" t="e">
        <f ca="1">VLOOKUP($AP90,OFFSET([1]unit_skills!$A$1,0,0,COUNTA([1]unit_skills!$A:$A),MATCH("comment",[1]unit_skills!$1:$1,0)-MATCH($AP$1,[1]unit_skills!$1:$1,0)+1),MATCH("comment",[1]unit_skills!$1:$1,0)-MATCH($AP$1,[1]unit_skills!$1:$1,0)+1,FALSE)</f>
        <v>#VALUE!</v>
      </c>
      <c r="AS90" s="77" t="e">
        <f ca="1">VLOOKUP($AP90,OFFSET([1]unit_skills!$A$1,0,0,COUNTA([1]unit_skills!$A:$A),MATCH(AS$1,[1]unit_skills!$1:$1,0)-MATCH($AP$1,[1]unit_skills!$1:$1,0)+1),MATCH(AS$1,[1]unit_skills!$1:$1,0)-MATCH($AP$1,[1]unit_skills!$1:$1,0)+1,FALSE)</f>
        <v>#VALUE!</v>
      </c>
      <c r="AT90" s="97">
        <v>122003</v>
      </c>
      <c r="AU90" s="77" t="e">
        <f ca="1">VLOOKUP($AT90,OFFSET([1]crash_skills!$A$1,0,0,COUNTA([1]crash_skills!$A:$A),MATCH("name",[1]crash_skills!$1:$1,0)-MATCH($AT$1,[1]crash_skills!$1:$1,0)+1),MATCH("name",[1]crash_skills!$1:$1,0)-MATCH($AT$1,[1]crash_skills!$1:$1,0)+1,FALSE)</f>
        <v>#VALUE!</v>
      </c>
      <c r="AV90" s="77" t="e">
        <f ca="1">VLOOKUP($AT90,OFFSET([1]crash_skills!$A$1,0,0,COUNTA([1]crash_skills!$A:$A),MATCH("comment",[1]crash_skills!$1:$1,0)-MATCH($AT$1,[1]crash_skills!$1:$1,0)+1),MATCH("comment",[1]crash_skills!$1:$1,0)-MATCH($AT$1,[1]crash_skills!$1:$1,0)+1,FALSE)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90" s="77" t="e">
        <f ca="1">VLOOKUP($AT90,OFFSET([1]crash_skills!$A$1,0,0,COUNTA([1]crash_skills!$A:$A),MATCH(AW$1,[1]crash_skills!$1:$1,0)-MATCH($AT$1,[1]crash_skills!$1:$1,0)+1),MATCH(AW$1,[1]crash_skills!$1:$1,0)-MATCH($AT$1,[1]crash_skills!$1:$1,0)+1,FALSE)</f>
        <v>#VALUE!</v>
      </c>
      <c r="AX90" s="81">
        <f ca="1">VLOOKUP($A90,OFFSET([2]characters!$A$1,0,0,COUNTA([2]characters!$A:$A),MATCH(AX$1,[2]characters!$1:$1,0)-MATCH($A$1,[2]characters!$1:$1,0)+1),MATCH(AX$1,[2]characters!$1:$1,0)-MATCH($A$1,[2]characters!$1:$1,0)+1,FALSE)</f>
        <v>3</v>
      </c>
      <c r="AY90" s="19">
        <v>1.2</v>
      </c>
      <c r="AZ90" s="19">
        <v>0.8</v>
      </c>
      <c r="BA90" s="19">
        <v>0</v>
      </c>
      <c r="BB90" s="19">
        <v>1</v>
      </c>
      <c r="BC90" s="14">
        <f ca="1">INDEX('RC6SV'!$A$1:$G$20,MATCH(H90,'RC6SV'!$A$1:$A$20,FALSE),MATCH(G90,'RC6SV'!$A$1:$G$1,FALSE))</f>
        <v>5800</v>
      </c>
      <c r="BD90" s="63">
        <f t="shared" ca="1" si="11"/>
        <v>5800</v>
      </c>
      <c r="BE90" s="14">
        <f t="shared" ca="1" si="12"/>
        <v>4600</v>
      </c>
      <c r="BF90" s="14">
        <f t="shared" ca="1" si="13"/>
        <v>1</v>
      </c>
      <c r="BG90" s="138">
        <f ca="1">IF($BE90&lt;=0,ROUND(BK90*0.5,0), ROUND($BE90*S90*AA90*J90*AY90*0.8*[2]ステータス!$B$2*0.6,0))</f>
        <v>1399</v>
      </c>
      <c r="BH90" s="138">
        <f ca="1">IF($BE90&lt;=0,ROUND(BL90*0.5,0), ROUND($BE90*T90*AB90*K90*AZ90*0.8*[2]ステータス!$C$2*0.6,0))</f>
        <v>514</v>
      </c>
      <c r="BI90" s="138">
        <f ca="1">IF($BE90&lt;=0,ROUND(BM90*0.5,0), ROUND($BE90*U90*AC90*L90*BA90*0.8*[2]ステータス!$D$2,0))</f>
        <v>0</v>
      </c>
      <c r="BJ90" s="138">
        <f ca="1">IF($BE90&lt;=0,ROUND(BN90*0.5,0), ROUND($BE90*V90*AD90*M90*BB90*0.8*[2]ステータス!$E$2*0.6,0))</f>
        <v>373</v>
      </c>
      <c r="BK90" s="104">
        <f ca="1">ROUND(BD90*S90*AA90*J90*AY90*[2]ステータス!$B$2*0.6,0)</f>
        <v>2204</v>
      </c>
      <c r="BL90" s="104">
        <f ca="1">ROUND(BD90*T90*AB90*K90*AZ90*[2]ステータス!$C$2*0.6,0)</f>
        <v>810</v>
      </c>
      <c r="BM90" s="104">
        <f ca="1">ROUND(BD90*U90*AC90*L90*BA90*[2]ステータス!$D$2,0)</f>
        <v>0</v>
      </c>
      <c r="BN90" s="104">
        <f ca="1">ROUND(BD90*V90*AD90*M90*BB90*[2]ステータス!$E$2*0.6,0)</f>
        <v>587</v>
      </c>
      <c r="BO90" s="13">
        <v>0</v>
      </c>
      <c r="BP90" s="13">
        <v>1</v>
      </c>
      <c r="BQ90" s="13" t="s">
        <v>102</v>
      </c>
      <c r="BR90" s="13">
        <f ca="1">VLOOKUP(H90,ghosts_label!$A$2:$B$19,2,FALSE)</f>
        <v>1</v>
      </c>
    </row>
    <row r="91" spans="1:70" ht="21" customHeight="1" x14ac:dyDescent="0.15">
      <c r="A91" s="14">
        <f t="shared" ca="1" si="8"/>
        <v>90</v>
      </c>
      <c r="B91" s="77" t="str">
        <f ca="1">VLOOKUP($A91,OFFSET([2]characters!$A$1,0,0,COUNTA([2]characters!$A:$A),MATCH(B$1,[2]characters!$1:$1,0)-MATCH($A$1,[2]characters!$1:$1,0)+1),MATCH(B$1,[2]characters!$1:$1,0)-MATCH($A$1,[2]characters!$1:$1,0)+1,FALSE)</f>
        <v>翠北の守護神 玄武</v>
      </c>
      <c r="C91" s="77" t="str">
        <f ca="1">VLOOKUP($A91,OFFSET([2]characters!$A$1,0,0,COUNTA([2]characters!$A:$A),MATCH(C$1,[2]characters!$1:$1,0)-MATCH($A$1,[2]characters!$1:$1,0)+1),MATCH(C$1,[2]characters!$1:$1,0)-MATCH($A$1,[2]characters!$1:$1,0)+1,FALSE)</f>
        <v>リンクガチャ:4神</v>
      </c>
      <c r="D91" s="77" t="str">
        <f ca="1">VLOOKUP($A91,OFFSET([2]characters!$A$1,0,0,COUNTA([2]characters!$A:$A),MATCH(D$1,[2]characters!$1:$1,0)-MATCH($A$1,[2]characters!$1:$1,0)+1),MATCH(D$1,[2]characters!$1:$1,0)-MATCH($A$1,[2]characters!$1:$1,0)+1,FALSE)</f>
        <v>守護神</v>
      </c>
      <c r="E91" s="77" t="str">
        <f ca="1">VLOOKUP($A91,OFFSET([2]characters!$A$1,0,0,COUNTA([2]characters!$A:$A),MATCH(E$1,[2]characters!$1:$1,0)-MATCH($A$1,[2]characters!$1:$1,0)+1),MATCH(E$1,[2]characters!$1:$1,0)-MATCH($A$1,[2]characters!$1:$1,0)+1,FALSE)</f>
        <v>格好いい</v>
      </c>
      <c r="F91" s="77" t="str">
        <f ca="1">VLOOKUP($A91,OFFSET([2]characters!$A$1,0,0,COUNTA([2]characters!$A:$A),MATCH(F$1,[2]characters!$1:$1,0)-MATCH($A$1,[2]characters!$1:$1,0)+1),MATCH(F$1,[2]characters!$1:$1,0)-MATCH($A$1,[2]characters!$1:$1,0)+1,FALSE)</f>
        <v>不明</v>
      </c>
      <c r="G91" s="77">
        <f ca="1">VLOOKUP($A91,OFFSET([2]characters!$A$1,0,0,COUNTA([2]characters!$A:$A),MATCH(G$1,[2]characters!$1:$1,0)-MATCH($A$1,[2]characters!$1:$1,0)+1),MATCH(G$1,[2]characters!$1:$1,0)-MATCH($A$1,[2]characters!$1:$1,0)+1,FALSE)</f>
        <v>5</v>
      </c>
      <c r="H91" s="77" t="str">
        <f ca="1">VLOOKUP($A91,OFFSET([2]characters!$A$1,0,0,COUNTA([2]characters!$A:$A),MATCH(H$1,[2]characters!$1:$1,0)-MATCH($A$1,[2]characters!$1:$1,0)+1),MATCH(H$1,[2]characters!$1:$1,0)-MATCH($A$1,[2]characters!$1:$1,0)+1,FALSE)</f>
        <v>Drop2N</v>
      </c>
      <c r="I91" s="77" t="str">
        <f ca="1">VLOOKUP($A91,OFFSET([2]characters!$A$1,0,0,COUNTA([2]characters!$A:$A),MATCH(I$1,[2]characters!$1:$1,0)-MATCH($A$1,[2]characters!$1:$1,0)+1),MATCH(I$1,[2]characters!$1:$1,0)-MATCH($A$1,[2]characters!$1:$1,0)+1,FALSE)</f>
        <v>green</v>
      </c>
      <c r="J91" s="14">
        <f ca="1">VLOOKUP(I91,[2]属性!$A:$E,2,FALSE)</f>
        <v>1.02</v>
      </c>
      <c r="K91" s="14">
        <f ca="1">VLOOKUP(I91,[2]属性!$A:$E,3,FALSE)</f>
        <v>0.98</v>
      </c>
      <c r="L91" s="14">
        <f ca="1">VLOOKUP(I91,[2]属性!$A:$E,4,FALSE)</f>
        <v>1</v>
      </c>
      <c r="M91" s="14">
        <f ca="1">VLOOKUP(I91,[2]属性!$A:$E,5,FALSE)</f>
        <v>1</v>
      </c>
      <c r="N91" s="14">
        <f ca="1">INDEX(コスト!$A$1:$I$20,MATCH(H91,コスト!$A$1:$A$20,FALSE),MATCH(G91,コスト!$A$1:$I$1,FALSE))</f>
        <v>26</v>
      </c>
      <c r="O91" s="14">
        <f ca="1">INDEX(レベル!$A$1:$I$21,MATCH(H91,レベル!$A$1:$A$21,FALSE),MATCH(G91,レベル!$A$1:$I$1,FALSE))</f>
        <v>80</v>
      </c>
      <c r="P91" s="63">
        <f t="shared" ca="1" si="14"/>
        <v>75</v>
      </c>
      <c r="Q91" s="77" t="str">
        <f ca="1">VLOOKUP($A91,OFFSET([2]characters!$A$1,0,0,COUNTA([2]characters!$A:$A),MATCH(Q$1,[2]characters!$1:$1,0)-MATCH($A$1,[2]characters!$1:$1,0)+1),MATCH(Q$1,[2]characters!$1:$1,0)-MATCH($A$1,[2]characters!$1:$1,0)+1,FALSE)</f>
        <v>technical</v>
      </c>
      <c r="R91" s="8" t="str">
        <f ca="1">VLOOKUP(Q91,[2]character_type_i18n!$A:$H,3,FALSE)</f>
        <v>テクニカルタイプ</v>
      </c>
      <c r="S91" s="14">
        <f ca="1">VLOOKUP(Q91,[2]character_type_i18n!$A:$H,4,FALSE)</f>
        <v>0.9</v>
      </c>
      <c r="T91" s="14">
        <f ca="1">VLOOKUP(Q91,[2]character_type_i18n!$A:$H,5,FALSE)</f>
        <v>0.9</v>
      </c>
      <c r="U91" s="14">
        <f ca="1">VLOOKUP(Q91,[2]character_type_i18n!$A:$H,6,FALSE)</f>
        <v>1</v>
      </c>
      <c r="V91" s="14">
        <f ca="1">VLOOKUP(Q91,[2]character_type_i18n!$A:$H,7,FALSE)</f>
        <v>0.9</v>
      </c>
      <c r="W91" s="77" t="str">
        <f ca="1">VLOOKUP($A91,OFFSET([2]characters!$A$1,0,0,COUNTA([2]characters!$A:$A),MATCH(W$1,[2]characters!$1:$1,0)-MATCH($A$1,[2]characters!$1:$1,0)+1),MATCH(W$1,[2]characters!$1:$1,0)-MATCH($A$1,[2]characters!$1:$1,0)+1,FALSE)</f>
        <v>dragon</v>
      </c>
      <c r="X91" s="8" t="str">
        <f ca="1">VLOOKUP(W91,[2]character_tribe_i18n!$A:$H,3,FALSE)</f>
        <v>ドラゴン</v>
      </c>
      <c r="Y91" s="77" t="str">
        <f ca="1">VLOOKUP($A91,OFFSET([2]characters!$A$1,0,0,COUNTA([2]characters!$A:$A),MATCH(Y$1,[2]characters!$1:$1,0)-MATCH($A$1,[2]characters!$1:$1,0)+1),MATCH(Y$1,[2]characters!$1:$1,0)-MATCH($A$1,[2]characters!$1:$1,0)+1,FALSE)</f>
        <v>god</v>
      </c>
      <c r="Z91" s="8" t="str">
        <f ca="1">VLOOKUP(Y91,[2]character_tribe_i18n!$A:$H,3,FALSE)</f>
        <v>ゴッド</v>
      </c>
      <c r="AA91" s="14">
        <f ca="1">VLOOKUP(W91,[2]character_tribe_i18n!$A:$H,4,FALSE)</f>
        <v>1.1499999999999999</v>
      </c>
      <c r="AB91" s="14">
        <f ca="1">VLOOKUP(W91,[2]character_tribe_i18n!$A:$H,5,FALSE)</f>
        <v>1.1000000000000001</v>
      </c>
      <c r="AC91" s="14">
        <f ca="1">VLOOKUP(W91,[2]character_tribe_i18n!$A:$H,6,FALSE)</f>
        <v>1</v>
      </c>
      <c r="AD91" s="14">
        <f ca="1">VLOOKUP(W91,[2]character_tribe_i18n!$A:$H,7,FALSE)</f>
        <v>0.75</v>
      </c>
      <c r="AE91" s="12" t="s">
        <v>102</v>
      </c>
      <c r="AF91" s="85" t="str">
        <f ca="1">IF(AE91="NULL","",VLOOKUP($AE91,OFFSET([2]characters!$A$1,0,0,COUNTA([2]characters!$A:$A),MATCH(AF$1,[2]characters!$1:$1,0)-MATCH($A$1,[2]characters!$1:$1,0)+1),MATCH(AF$1,[2]characters!$1:$1,0)-MATCH($A$1,[2]characters!$1:$1,0)+1,FALSE))</f>
        <v/>
      </c>
      <c r="AG91" s="8">
        <f t="shared" ca="1" si="9"/>
        <v>88</v>
      </c>
      <c r="AH91" s="85" t="str">
        <f ca="1">VLOOKUP($AG91,OFFSET([2]characters!$A$1,0,0,COUNTA([2]characters!$A:$A),MATCH(AH$1,[2]characters!$1:$1,0)-MATCH($A$1,[2]characters!$1:$1,0)+1),MATCH(AH$1,[2]characters!$1:$1,0)-MATCH($A$1,[2]characters!$1:$1,0)+1,FALSE)</f>
        <v>玄武</v>
      </c>
      <c r="AI91" s="14" t="str">
        <f>IF(AE91="NULL","NULL",VLOOKUP(G91,ビット!$A$2:$B$7,2))</f>
        <v>NULL</v>
      </c>
      <c r="AJ91" s="9">
        <v>2</v>
      </c>
      <c r="AK91" s="10" t="str">
        <f t="shared" si="10"/>
        <v>普通</v>
      </c>
      <c r="AL91" s="14" t="str">
        <f ca="1">INDEX(経験値!$A$1:$I$20,MATCH(H91,経験値!$A$1:$A$20,FALSE),MATCH(G91,経験値!$A$1:$I$1,FALSE))</f>
        <v>required_exp_200</v>
      </c>
      <c r="AM91" s="11">
        <f ca="1">VLOOKUP(G91,経験値!$A$27:$B$31,2)</f>
        <v>6400</v>
      </c>
      <c r="AN91" s="21">
        <f ca="1">VLOOKUP(G91,ビット!$G$2:$H$7,2)</f>
        <v>900</v>
      </c>
      <c r="AO91" s="64" t="s">
        <v>191</v>
      </c>
      <c r="AP91" s="97">
        <v>414004</v>
      </c>
      <c r="AQ91" s="77" t="e">
        <f ca="1">VLOOKUP($AP91,OFFSET([1]unit_skills!$A$1,0,0,COUNTA([1]unit_skills!$A:$A),MATCH("name",[1]unit_skills!$1:$1,0)-MATCH($AP$1,[1]unit_skills!$1:$1,0)+1),MATCH("name",[1]unit_skills!$1:$1,0)-MATCH($AP$1,[1]unit_skills!$1:$1,0)+1,FALSE)</f>
        <v>#VALUE!</v>
      </c>
      <c r="AR91" s="77" t="e">
        <f ca="1">VLOOKUP($AP91,OFFSET([1]unit_skills!$A$1,0,0,COUNTA([1]unit_skills!$A:$A),MATCH("comment",[1]unit_skills!$1:$1,0)-MATCH($AP$1,[1]unit_skills!$1:$1,0)+1),MATCH("comment",[1]unit_skills!$1:$1,0)-MATCH($AP$1,[1]unit_skills!$1:$1,0)+1,FALSE)</f>
        <v>#VALUE!</v>
      </c>
      <c r="AS91" s="77" t="e">
        <f ca="1">VLOOKUP($AP91,OFFSET([1]unit_skills!$A$1,0,0,COUNTA([1]unit_skills!$A:$A),MATCH(AS$1,[1]unit_skills!$1:$1,0)-MATCH($AP$1,[1]unit_skills!$1:$1,0)+1),MATCH(AS$1,[1]unit_skills!$1:$1,0)-MATCH($AP$1,[1]unit_skills!$1:$1,0)+1,FALSE)</f>
        <v>#VALUE!</v>
      </c>
      <c r="AT91" s="97">
        <v>122004</v>
      </c>
      <c r="AU91" s="77" t="e">
        <f ca="1">VLOOKUP($AT91,OFFSET([1]crash_skills!$A$1,0,0,COUNTA([1]crash_skills!$A:$A),MATCH("name",[1]crash_skills!$1:$1,0)-MATCH($AT$1,[1]crash_skills!$1:$1,0)+1),MATCH("name",[1]crash_skills!$1:$1,0)-MATCH($AT$1,[1]crash_skills!$1:$1,0)+1,FALSE)</f>
        <v>#VALUE!</v>
      </c>
      <c r="AV91" s="77" t="e">
        <f ca="1">VLOOKUP($AT91,OFFSET([1]crash_skills!$A$1,0,0,COUNTA([1]crash_skills!$A:$A),MATCH("comment",[1]crash_skills!$1:$1,0)-MATCH($AT$1,[1]crash_skills!$1:$1,0)+1),MATCH("comment",[1]crash_skills!$1:$1,0)-MATCH($AT$1,[1]crash_skills!$1:$1,0)+1,FALSE)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91" s="77" t="e">
        <f ca="1">VLOOKUP($AT91,OFFSET([1]crash_skills!$A$1,0,0,COUNTA([1]crash_skills!$A:$A),MATCH(AW$1,[1]crash_skills!$1:$1,0)-MATCH($AT$1,[1]crash_skills!$1:$1,0)+1),MATCH(AW$1,[1]crash_skills!$1:$1,0)-MATCH($AT$1,[1]crash_skills!$1:$1,0)+1,FALSE)</f>
        <v>#VALUE!</v>
      </c>
      <c r="AX91" s="81">
        <f ca="1">VLOOKUP($A91,OFFSET([2]characters!$A$1,0,0,COUNTA([2]characters!$A:$A),MATCH(AX$1,[2]characters!$1:$1,0)-MATCH($A$1,[2]characters!$1:$1,0)+1),MATCH(AX$1,[2]characters!$1:$1,0)-MATCH($A$1,[2]characters!$1:$1,0)+1,FALSE)</f>
        <v>3</v>
      </c>
      <c r="AY91" s="19">
        <v>1.2</v>
      </c>
      <c r="AZ91" s="19">
        <v>0.8</v>
      </c>
      <c r="BA91" s="19">
        <v>0</v>
      </c>
      <c r="BB91" s="19">
        <v>1</v>
      </c>
      <c r="BC91" s="14">
        <f ca="1">INDEX('RC6SV'!$A$1:$G$20,MATCH(H91,'RC6SV'!$A$1:$A$20,FALSE),MATCH(G91,'RC6SV'!$A$1:$G$1,FALSE))</f>
        <v>7600</v>
      </c>
      <c r="BD91" s="63">
        <f t="shared" ca="1" si="11"/>
        <v>7600</v>
      </c>
      <c r="BE91" s="14">
        <f t="shared" ca="1" si="12"/>
        <v>5800</v>
      </c>
      <c r="BF91" s="14">
        <f t="shared" ca="1" si="13"/>
        <v>1</v>
      </c>
      <c r="BG91" s="138">
        <f ca="1">IF($BE91&lt;=0,ROUND(BK91*0.5,0), ROUND($BE91*S91*AA91*J91*AY91*0.8*[2]ステータス!$B$2*0.6,0))</f>
        <v>1763</v>
      </c>
      <c r="BH91" s="138">
        <f ca="1">IF($BE91&lt;=0,ROUND(BL91*0.5,0), ROUND($BE91*T91*AB91*K91*AZ91*0.8*[2]ステータス!$C$2*0.6,0))</f>
        <v>648</v>
      </c>
      <c r="BI91" s="138">
        <f ca="1">IF($BE91&lt;=0,ROUND(BM91*0.5,0), ROUND($BE91*U91*AC91*L91*BA91*0.8*[2]ステータス!$D$2,0))</f>
        <v>0</v>
      </c>
      <c r="BJ91" s="138">
        <f ca="1">IF($BE91&lt;=0,ROUND(BN91*0.5,0), ROUND($BE91*V91*AD91*M91*BB91*0.8*[2]ステータス!$E$2*0.6,0))</f>
        <v>470</v>
      </c>
      <c r="BK91" s="14">
        <f ca="1">ROUND(BD91*S91*AA91*J91*AY91*[2]ステータス!$B$2,0)</f>
        <v>4814</v>
      </c>
      <c r="BL91" s="14">
        <f ca="1">ROUND(BD91*T91*AB91*K91*AZ91*[2]ステータス!$C$2,0)</f>
        <v>1770</v>
      </c>
      <c r="BM91" s="14">
        <f ca="1">ROUND(BD91*U91*AC91*L91*BA91*[2]ステータス!$D$2,0)</f>
        <v>0</v>
      </c>
      <c r="BN91" s="14">
        <f ca="1">ROUND(BD91*V91*AD91*M91*BB91*[2]ステータス!$E$2,0)</f>
        <v>1283</v>
      </c>
      <c r="BO91" s="13">
        <v>0</v>
      </c>
      <c r="BP91" s="13">
        <v>1</v>
      </c>
      <c r="BQ91" s="13" t="s">
        <v>102</v>
      </c>
      <c r="BR91" s="13">
        <f ca="1">VLOOKUP(H91,ghosts_label!$A$2:$B$19,2,FALSE)</f>
        <v>1</v>
      </c>
    </row>
    <row r="92" spans="1:70" ht="21" customHeight="1" x14ac:dyDescent="0.15">
      <c r="A92" s="14">
        <f t="shared" ca="1" si="8"/>
        <v>91</v>
      </c>
      <c r="B92" s="77" t="str">
        <f ca="1">VLOOKUP($A92,OFFSET([2]characters!$A$1,0,0,COUNTA([2]characters!$A:$A),MATCH(B$1,[2]characters!$1:$1,0)-MATCH($A$1,[2]characters!$1:$1,0)+1),MATCH(B$1,[2]characters!$1:$1,0)-MATCH($A$1,[2]characters!$1:$1,0)+1,FALSE)</f>
        <v>青龍</v>
      </c>
      <c r="C92" s="77" t="str">
        <f ca="1">VLOOKUP($A92,OFFSET([2]characters!$A$1,0,0,COUNTA([2]characters!$A:$A),MATCH(C$1,[2]characters!$1:$1,0)-MATCH($A$1,[2]characters!$1:$1,0)+1),MATCH(C$1,[2]characters!$1:$1,0)-MATCH($A$1,[2]characters!$1:$1,0)+1,FALSE)</f>
        <v>リンクガチャ:4神</v>
      </c>
      <c r="D92" s="77" t="str">
        <f ca="1">VLOOKUP($A92,OFFSET([2]characters!$A$1,0,0,COUNTA([2]characters!$A:$A),MATCH(D$1,[2]characters!$1:$1,0)-MATCH($A$1,[2]characters!$1:$1,0)+1),MATCH(D$1,[2]characters!$1:$1,0)-MATCH($A$1,[2]characters!$1:$1,0)+1,FALSE)</f>
        <v>守護神</v>
      </c>
      <c r="E92" s="77" t="str">
        <f ca="1">VLOOKUP($A92,OFFSET([2]characters!$A$1,0,0,COUNTA([2]characters!$A:$A),MATCH(E$1,[2]characters!$1:$1,0)-MATCH($A$1,[2]characters!$1:$1,0)+1),MATCH(E$1,[2]characters!$1:$1,0)-MATCH($A$1,[2]characters!$1:$1,0)+1,FALSE)</f>
        <v>格好いい</v>
      </c>
      <c r="F92" s="77" t="str">
        <f ca="1">VLOOKUP($A92,OFFSET([2]characters!$A$1,0,0,COUNTA([2]characters!$A:$A),MATCH(F$1,[2]characters!$1:$1,0)-MATCH($A$1,[2]characters!$1:$1,0)+1),MATCH(F$1,[2]characters!$1:$1,0)-MATCH($A$1,[2]characters!$1:$1,0)+1,FALSE)</f>
        <v>不明</v>
      </c>
      <c r="G92" s="77">
        <f ca="1">VLOOKUP($A92,OFFSET([2]characters!$A$1,0,0,COUNTA([2]characters!$A:$A),MATCH(G$1,[2]characters!$1:$1,0)-MATCH($A$1,[2]characters!$1:$1,0)+1),MATCH(G$1,[2]characters!$1:$1,0)-MATCH($A$1,[2]characters!$1:$1,0)+1,FALSE)</f>
        <v>3</v>
      </c>
      <c r="H92" s="77" t="str">
        <f ca="1">VLOOKUP($A92,OFFSET([2]characters!$A$1,0,0,COUNTA([2]characters!$A:$A),MATCH(H$1,[2]characters!$1:$1,0)-MATCH($A$1,[2]characters!$1:$1,0)+1),MATCH(H$1,[2]characters!$1:$1,0)-MATCH($A$1,[2]characters!$1:$1,0)+1,FALSE)</f>
        <v>Drop2N</v>
      </c>
      <c r="I92" s="77" t="str">
        <f ca="1">VLOOKUP($A92,OFFSET([2]characters!$A$1,0,0,COUNTA([2]characters!$A:$A),MATCH(I$1,[2]characters!$1:$1,0)-MATCH($A$1,[2]characters!$1:$1,0)+1),MATCH(I$1,[2]characters!$1:$1,0)-MATCH($A$1,[2]characters!$1:$1,0)+1,FALSE)</f>
        <v>blue</v>
      </c>
      <c r="J92" s="14">
        <f ca="1">VLOOKUP(I92,[2]属性!$A:$E,2,FALSE)</f>
        <v>1</v>
      </c>
      <c r="K92" s="14">
        <f ca="1">VLOOKUP(I92,[2]属性!$A:$E,3,FALSE)</f>
        <v>0.98</v>
      </c>
      <c r="L92" s="14">
        <f ca="1">VLOOKUP(I92,[2]属性!$A:$E,4,FALSE)</f>
        <v>1</v>
      </c>
      <c r="M92" s="14">
        <f ca="1">VLOOKUP(I92,[2]属性!$A:$E,5,FALSE)</f>
        <v>1.02</v>
      </c>
      <c r="N92" s="14">
        <f ca="1">INDEX(コスト!$A$1:$I$20,MATCH(H92,コスト!$A$1:$A$20,FALSE),MATCH(G92,コスト!$A$1:$I$1,FALSE))</f>
        <v>8</v>
      </c>
      <c r="O92" s="14">
        <f ca="1">INDEX(レベル!$A$1:$I$21,MATCH(H92,レベル!$A$1:$A$21,FALSE),MATCH(G92,レベル!$A$1:$I$1,FALSE))</f>
        <v>40</v>
      </c>
      <c r="P92" s="63">
        <f t="shared" ca="1" si="14"/>
        <v>45</v>
      </c>
      <c r="Q92" s="77" t="str">
        <f ca="1">VLOOKUP($A92,OFFSET([2]characters!$A$1,0,0,COUNTA([2]characters!$A:$A),MATCH(Q$1,[2]characters!$1:$1,0)-MATCH($A$1,[2]characters!$1:$1,0)+1),MATCH(Q$1,[2]characters!$1:$1,0)-MATCH($A$1,[2]characters!$1:$1,0)+1,FALSE)</f>
        <v>balance</v>
      </c>
      <c r="R92" s="8" t="str">
        <f ca="1">VLOOKUP(Q92,[2]character_type_i18n!$A:$H,3,FALSE)</f>
        <v>バランスタイプ</v>
      </c>
      <c r="S92" s="14">
        <f ca="1">VLOOKUP(Q92,[2]character_type_i18n!$A:$H,4,FALSE)</f>
        <v>1</v>
      </c>
      <c r="T92" s="14">
        <f ca="1">VLOOKUP(Q92,[2]character_type_i18n!$A:$H,5,FALSE)</f>
        <v>1</v>
      </c>
      <c r="U92" s="14">
        <f ca="1">VLOOKUP(Q92,[2]character_type_i18n!$A:$H,6,FALSE)</f>
        <v>1</v>
      </c>
      <c r="V92" s="14">
        <f ca="1">VLOOKUP(Q92,[2]character_type_i18n!$A:$H,7,FALSE)</f>
        <v>1</v>
      </c>
      <c r="W92" s="77" t="str">
        <f ca="1">VLOOKUP($A92,OFFSET([2]characters!$A$1,0,0,COUNTA([2]characters!$A:$A),MATCH(W$1,[2]characters!$1:$1,0)-MATCH($A$1,[2]characters!$1:$1,0)+1),MATCH(W$1,[2]characters!$1:$1,0)-MATCH($A$1,[2]characters!$1:$1,0)+1,FALSE)</f>
        <v>dragon</v>
      </c>
      <c r="X92" s="8" t="str">
        <f ca="1">VLOOKUP(W92,[2]character_tribe_i18n!$A:$H,3,FALSE)</f>
        <v>ドラゴン</v>
      </c>
      <c r="Y92" s="77" t="str">
        <f ca="1">VLOOKUP($A92,OFFSET([2]characters!$A$1,0,0,COUNTA([2]characters!$A:$A),MATCH(Y$1,[2]characters!$1:$1,0)-MATCH($A$1,[2]characters!$1:$1,0)+1),MATCH(Y$1,[2]characters!$1:$1,0)-MATCH($A$1,[2]characters!$1:$1,0)+1,FALSE)</f>
        <v>god</v>
      </c>
      <c r="Z92" s="8" t="str">
        <f ca="1">VLOOKUP(Y92,[2]character_tribe_i18n!$A:$H,3,FALSE)</f>
        <v>ゴッド</v>
      </c>
      <c r="AA92" s="14">
        <f ca="1">VLOOKUP(W92,[2]character_tribe_i18n!$A:$H,4,FALSE)</f>
        <v>1.1499999999999999</v>
      </c>
      <c r="AB92" s="14">
        <f ca="1">VLOOKUP(W92,[2]character_tribe_i18n!$A:$H,5,FALSE)</f>
        <v>1.1000000000000001</v>
      </c>
      <c r="AC92" s="14">
        <f ca="1">VLOOKUP(W92,[2]character_tribe_i18n!$A:$H,6,FALSE)</f>
        <v>1</v>
      </c>
      <c r="AD92" s="14">
        <f ca="1">VLOOKUP(W92,[2]character_tribe_i18n!$A:$H,7,FALSE)</f>
        <v>0.75</v>
      </c>
      <c r="AE92" s="12">
        <v>92</v>
      </c>
      <c r="AF92" s="85" t="str">
        <f ca="1">IF(AE92="NULL","",VLOOKUP($AE92,OFFSET([2]characters!$A$1,0,0,COUNTA([2]characters!$A:$A),MATCH(AF$1,[2]characters!$1:$1,0)-MATCH($A$1,[2]characters!$1:$1,0)+1),MATCH(AF$1,[2]characters!$1:$1,0)-MATCH($A$1,[2]characters!$1:$1,0)+1,FALSE))</f>
        <v>守護者 青龍</v>
      </c>
      <c r="AG92" s="8">
        <f t="shared" ca="1" si="9"/>
        <v>91</v>
      </c>
      <c r="AH92" s="85" t="str">
        <f ca="1">VLOOKUP($AG92,OFFSET([2]characters!$A$1,0,0,COUNTA([2]characters!$A:$A),MATCH(AH$1,[2]characters!$1:$1,0)-MATCH($A$1,[2]characters!$1:$1,0)+1),MATCH(AH$1,[2]characters!$1:$1,0)-MATCH($A$1,[2]characters!$1:$1,0)+1,FALSE)</f>
        <v>青龍</v>
      </c>
      <c r="AI92" s="14">
        <f ca="1">IF(AE92="NULL","NULL",VLOOKUP(G92,ビット!$A$2:$B$7,2))</f>
        <v>20000</v>
      </c>
      <c r="AJ92" s="9">
        <v>2</v>
      </c>
      <c r="AK92" s="10" t="str">
        <f t="shared" si="10"/>
        <v>普通</v>
      </c>
      <c r="AL92" s="14" t="str">
        <f ca="1">INDEX(経験値!$A$1:$I$20,MATCH(H92,経験値!$A$1:$A$20,FALSE),MATCH(G92,経験値!$A$1:$I$1,FALSE))</f>
        <v>required_exp_200</v>
      </c>
      <c r="AM92" s="11">
        <f ca="1">VLOOKUP(G92,経験値!$A$27:$B$31,2)</f>
        <v>1500</v>
      </c>
      <c r="AN92" s="21">
        <f ca="1">VLOOKUP(G92,ビット!$G$2:$H$7,2)</f>
        <v>300</v>
      </c>
      <c r="AO92" s="64" t="s">
        <v>190</v>
      </c>
      <c r="AP92" s="97">
        <v>441001</v>
      </c>
      <c r="AQ92" s="77" t="e">
        <f ca="1">VLOOKUP($AP92,OFFSET([1]unit_skills!$A$1,0,0,COUNTA([1]unit_skills!$A:$A),MATCH("name",[1]unit_skills!$1:$1,0)-MATCH($AP$1,[1]unit_skills!$1:$1,0)+1),MATCH("name",[1]unit_skills!$1:$1,0)-MATCH($AP$1,[1]unit_skills!$1:$1,0)+1,FALSE)</f>
        <v>#VALUE!</v>
      </c>
      <c r="AR92" s="77" t="e">
        <f ca="1">VLOOKUP($AP92,OFFSET([1]unit_skills!$A$1,0,0,COUNTA([1]unit_skills!$A:$A),MATCH("comment",[1]unit_skills!$1:$1,0)-MATCH($AP$1,[1]unit_skills!$1:$1,0)+1),MATCH("comment",[1]unit_skills!$1:$1,0)-MATCH($AP$1,[1]unit_skills!$1:$1,0)+1,FALSE)</f>
        <v>#VALUE!</v>
      </c>
      <c r="AS92" s="77" t="e">
        <f ca="1">VLOOKUP($AP92,OFFSET([1]unit_skills!$A$1,0,0,COUNTA([1]unit_skills!$A:$A),MATCH(AS$1,[1]unit_skills!$1:$1,0)-MATCH($AP$1,[1]unit_skills!$1:$1,0)+1),MATCH(AS$1,[1]unit_skills!$1:$1,0)-MATCH($AP$1,[1]unit_skills!$1:$1,0)+1,FALSE)</f>
        <v>#VALUE!</v>
      </c>
      <c r="AT92" s="97">
        <v>113003</v>
      </c>
      <c r="AU92" s="77" t="e">
        <f ca="1">VLOOKUP($AT92,OFFSET([1]crash_skills!$A$1,0,0,COUNTA([1]crash_skills!$A:$A),MATCH("name",[1]crash_skills!$1:$1,0)-MATCH($AT$1,[1]crash_skills!$1:$1,0)+1),MATCH("name",[1]crash_skills!$1:$1,0)-MATCH($AT$1,[1]crash_skills!$1:$1,0)+1,FALSE)</f>
        <v>#VALUE!</v>
      </c>
      <c r="AV92" s="77" t="e">
        <f ca="1">VLOOKUP($AT92,OFFSET([1]crash_skills!$A$1,0,0,COUNTA([1]crash_skills!$A:$A),MATCH("comment",[1]crash_skills!$1:$1,0)-MATCH($AT$1,[1]crash_skills!$1:$1,0)+1),MATCH("comment",[1]crash_skills!$1:$1,0)-MATCH($AT$1,[1]crash_skills!$1:$1,0)+1,FALSE)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92" s="77" t="e">
        <f ca="1">VLOOKUP($AT92,OFFSET([1]crash_skills!$A$1,0,0,COUNTA([1]crash_skills!$A:$A),MATCH(AW$1,[1]crash_skills!$1:$1,0)-MATCH($AT$1,[1]crash_skills!$1:$1,0)+1),MATCH(AW$1,[1]crash_skills!$1:$1,0)-MATCH($AT$1,[1]crash_skills!$1:$1,0)+1,FALSE)</f>
        <v>#VALUE!</v>
      </c>
      <c r="AX92" s="81">
        <f ca="1">VLOOKUP($A92,OFFSET([2]characters!$A$1,0,0,COUNTA([2]characters!$A:$A),MATCH(AX$1,[2]characters!$1:$1,0)-MATCH($A$1,[2]characters!$1:$1,0)+1),MATCH(AX$1,[2]characters!$1:$1,0)-MATCH($A$1,[2]characters!$1:$1,0)+1,FALSE)</f>
        <v>3</v>
      </c>
      <c r="AY92" s="19">
        <v>1</v>
      </c>
      <c r="AZ92" s="19">
        <v>1</v>
      </c>
      <c r="BA92" s="19">
        <v>0</v>
      </c>
      <c r="BB92" s="19">
        <v>1</v>
      </c>
      <c r="BC92" s="14">
        <f ca="1">INDEX('RC6SV'!$A$1:$G$20,MATCH(H92,'RC6SV'!$A$1:$A$20,FALSE),MATCH(G92,'RC6SV'!$A$1:$G$1,FALSE))</f>
        <v>4600</v>
      </c>
      <c r="BD92" s="63">
        <f t="shared" ca="1" si="11"/>
        <v>4600</v>
      </c>
      <c r="BE92" s="14">
        <f t="shared" ca="1" si="12"/>
        <v>0</v>
      </c>
      <c r="BF92" s="14">
        <f t="shared" ca="1" si="13"/>
        <v>1</v>
      </c>
      <c r="BG92" s="20">
        <f ca="1">IF($BE92&lt;=0,ROUND(BK92*0.5,0), ROUND($BE92*S92*AA92*J92*AY92*0.8*[2]ステータス!$B$2,0))</f>
        <v>794</v>
      </c>
      <c r="BH92" s="20">
        <f ca="1">IF($BE92&lt;=0,ROUND(BL92*0.5,0), ROUND($BE92*T92*AB92*K92*AZ92*0.8*[2]ステータス!$C$2,0))</f>
        <v>447</v>
      </c>
      <c r="BI92" s="20">
        <f ca="1">IF($BE92&lt;=0,ROUND(BM92*0.5,0), ROUND($BE92*U92*AC92*L92*BA92*0.8*[2]ステータス!$D$2,0))</f>
        <v>0</v>
      </c>
      <c r="BJ92" s="20">
        <f ca="1">IF($BE92&lt;=0,ROUND(BN92*0.5,0), ROUND($BE92*V92*AD92*M92*BB92*0.8*[2]ステータス!$E$2,0))</f>
        <v>264</v>
      </c>
      <c r="BK92" s="104">
        <f ca="1">ROUND(BD92*S92*AA92*J92*AY92*[2]ステータス!$B$2*0.6,0)</f>
        <v>1587</v>
      </c>
      <c r="BL92" s="104">
        <f ca="1">ROUND(BD92*T92*AB92*K92*AZ92*[2]ステータス!$C$2*0.6,0)</f>
        <v>893</v>
      </c>
      <c r="BM92" s="104">
        <f ca="1">ROUND(BD92*U92*AC92*L92*BA92*[2]ステータス!$D$2,0)</f>
        <v>0</v>
      </c>
      <c r="BN92" s="104">
        <f ca="1">ROUND(BD92*V92*AD92*M92*BB92*[2]ステータス!$E$2*0.6,0)</f>
        <v>528</v>
      </c>
      <c r="BO92" s="13">
        <v>0</v>
      </c>
      <c r="BP92" s="13">
        <v>1</v>
      </c>
      <c r="BQ92" s="13" t="s">
        <v>102</v>
      </c>
      <c r="BR92" s="13">
        <f ca="1">VLOOKUP(H92,ghosts_label!$A$2:$B$19,2,FALSE)</f>
        <v>1</v>
      </c>
    </row>
    <row r="93" spans="1:70" ht="21" customHeight="1" x14ac:dyDescent="0.15">
      <c r="A93" s="14">
        <f t="shared" ca="1" si="8"/>
        <v>92</v>
      </c>
      <c r="B93" s="77" t="str">
        <f ca="1">VLOOKUP($A93,OFFSET([2]characters!$A$1,0,0,COUNTA([2]characters!$A:$A),MATCH(B$1,[2]characters!$1:$1,0)-MATCH($A$1,[2]characters!$1:$1,0)+1),MATCH(B$1,[2]characters!$1:$1,0)-MATCH($A$1,[2]characters!$1:$1,0)+1,FALSE)</f>
        <v>守護者 青龍</v>
      </c>
      <c r="C93" s="77" t="str">
        <f ca="1">VLOOKUP($A93,OFFSET([2]characters!$A$1,0,0,COUNTA([2]characters!$A:$A),MATCH(C$1,[2]characters!$1:$1,0)-MATCH($A$1,[2]characters!$1:$1,0)+1),MATCH(C$1,[2]characters!$1:$1,0)-MATCH($A$1,[2]characters!$1:$1,0)+1,FALSE)</f>
        <v>リンクガチャ:4神</v>
      </c>
      <c r="D93" s="77" t="str">
        <f ca="1">VLOOKUP($A93,OFFSET([2]characters!$A$1,0,0,COUNTA([2]characters!$A:$A),MATCH(D$1,[2]characters!$1:$1,0)-MATCH($A$1,[2]characters!$1:$1,0)+1),MATCH(D$1,[2]characters!$1:$1,0)-MATCH($A$1,[2]characters!$1:$1,0)+1,FALSE)</f>
        <v>守護神</v>
      </c>
      <c r="E93" s="77" t="str">
        <f ca="1">VLOOKUP($A93,OFFSET([2]characters!$A$1,0,0,COUNTA([2]characters!$A:$A),MATCH(E$1,[2]characters!$1:$1,0)-MATCH($A$1,[2]characters!$1:$1,0)+1),MATCH(E$1,[2]characters!$1:$1,0)-MATCH($A$1,[2]characters!$1:$1,0)+1,FALSE)</f>
        <v>格好いい</v>
      </c>
      <c r="F93" s="77" t="str">
        <f ca="1">VLOOKUP($A93,OFFSET([2]characters!$A$1,0,0,COUNTA([2]characters!$A:$A),MATCH(F$1,[2]characters!$1:$1,0)-MATCH($A$1,[2]characters!$1:$1,0)+1),MATCH(F$1,[2]characters!$1:$1,0)-MATCH($A$1,[2]characters!$1:$1,0)+1,FALSE)</f>
        <v>不明</v>
      </c>
      <c r="G93" s="77">
        <f ca="1">VLOOKUP($A93,OFFSET([2]characters!$A$1,0,0,COUNTA([2]characters!$A:$A),MATCH(G$1,[2]characters!$1:$1,0)-MATCH($A$1,[2]characters!$1:$1,0)+1),MATCH(G$1,[2]characters!$1:$1,0)-MATCH($A$1,[2]characters!$1:$1,0)+1,FALSE)</f>
        <v>4</v>
      </c>
      <c r="H93" s="77" t="str">
        <f ca="1">VLOOKUP($A93,OFFSET([2]characters!$A$1,0,0,COUNTA([2]characters!$A:$A),MATCH(H$1,[2]characters!$1:$1,0)-MATCH($A$1,[2]characters!$1:$1,0)+1),MATCH(H$1,[2]characters!$1:$1,0)-MATCH($A$1,[2]characters!$1:$1,0)+1,FALSE)</f>
        <v>Drop2N</v>
      </c>
      <c r="I93" s="77" t="str">
        <f ca="1">VLOOKUP($A93,OFFSET([2]characters!$A$1,0,0,COUNTA([2]characters!$A:$A),MATCH(I$1,[2]characters!$1:$1,0)-MATCH($A$1,[2]characters!$1:$1,0)+1),MATCH(I$1,[2]characters!$1:$1,0)-MATCH($A$1,[2]characters!$1:$1,0)+1,FALSE)</f>
        <v>blue</v>
      </c>
      <c r="J93" s="14">
        <f ca="1">VLOOKUP(I93,[2]属性!$A:$E,2,FALSE)</f>
        <v>1</v>
      </c>
      <c r="K93" s="14">
        <f ca="1">VLOOKUP(I93,[2]属性!$A:$E,3,FALSE)</f>
        <v>0.98</v>
      </c>
      <c r="L93" s="14">
        <f ca="1">VLOOKUP(I93,[2]属性!$A:$E,4,FALSE)</f>
        <v>1</v>
      </c>
      <c r="M93" s="14">
        <f ca="1">VLOOKUP(I93,[2]属性!$A:$E,5,FALSE)</f>
        <v>1.02</v>
      </c>
      <c r="N93" s="14">
        <f ca="1">INDEX(コスト!$A$1:$I$20,MATCH(H93,コスト!$A$1:$A$20,FALSE),MATCH(G93,コスト!$A$1:$I$1,FALSE))</f>
        <v>17</v>
      </c>
      <c r="O93" s="14">
        <f ca="1">INDEX(レベル!$A$1:$I$21,MATCH(H93,レベル!$A$1:$A$21,FALSE),MATCH(G93,レベル!$A$1:$I$1,FALSE))</f>
        <v>60</v>
      </c>
      <c r="P93" s="63">
        <f t="shared" ca="1" si="14"/>
        <v>60</v>
      </c>
      <c r="Q93" s="77" t="str">
        <f ca="1">VLOOKUP($A93,OFFSET([2]characters!$A$1,0,0,COUNTA([2]characters!$A:$A),MATCH(Q$1,[2]characters!$1:$1,0)-MATCH($A$1,[2]characters!$1:$1,0)+1),MATCH(Q$1,[2]characters!$1:$1,0)-MATCH($A$1,[2]characters!$1:$1,0)+1,FALSE)</f>
        <v>balance</v>
      </c>
      <c r="R93" s="8" t="str">
        <f ca="1">VLOOKUP(Q93,[2]character_type_i18n!$A:$H,3,FALSE)</f>
        <v>バランスタイプ</v>
      </c>
      <c r="S93" s="14">
        <f ca="1">VLOOKUP(Q93,[2]character_type_i18n!$A:$H,4,FALSE)</f>
        <v>1</v>
      </c>
      <c r="T93" s="14">
        <f ca="1">VLOOKUP(Q93,[2]character_type_i18n!$A:$H,5,FALSE)</f>
        <v>1</v>
      </c>
      <c r="U93" s="14">
        <f ca="1">VLOOKUP(Q93,[2]character_type_i18n!$A:$H,6,FALSE)</f>
        <v>1</v>
      </c>
      <c r="V93" s="14">
        <f ca="1">VLOOKUP(Q93,[2]character_type_i18n!$A:$H,7,FALSE)</f>
        <v>1</v>
      </c>
      <c r="W93" s="77" t="str">
        <f ca="1">VLOOKUP($A93,OFFSET([2]characters!$A$1,0,0,COUNTA([2]characters!$A:$A),MATCH(W$1,[2]characters!$1:$1,0)-MATCH($A$1,[2]characters!$1:$1,0)+1),MATCH(W$1,[2]characters!$1:$1,0)-MATCH($A$1,[2]characters!$1:$1,0)+1,FALSE)</f>
        <v>dragon</v>
      </c>
      <c r="X93" s="8" t="str">
        <f ca="1">VLOOKUP(W93,[2]character_tribe_i18n!$A:$H,3,FALSE)</f>
        <v>ドラゴン</v>
      </c>
      <c r="Y93" s="77" t="str">
        <f ca="1">VLOOKUP($A93,OFFSET([2]characters!$A$1,0,0,COUNTA([2]characters!$A:$A),MATCH(Y$1,[2]characters!$1:$1,0)-MATCH($A$1,[2]characters!$1:$1,0)+1),MATCH(Y$1,[2]characters!$1:$1,0)-MATCH($A$1,[2]characters!$1:$1,0)+1,FALSE)</f>
        <v>god</v>
      </c>
      <c r="Z93" s="8" t="str">
        <f ca="1">VLOOKUP(Y93,[2]character_tribe_i18n!$A:$H,3,FALSE)</f>
        <v>ゴッド</v>
      </c>
      <c r="AA93" s="14">
        <f ca="1">VLOOKUP(W93,[2]character_tribe_i18n!$A:$H,4,FALSE)</f>
        <v>1.1499999999999999</v>
      </c>
      <c r="AB93" s="14">
        <f ca="1">VLOOKUP(W93,[2]character_tribe_i18n!$A:$H,5,FALSE)</f>
        <v>1.1000000000000001</v>
      </c>
      <c r="AC93" s="14">
        <f ca="1">VLOOKUP(W93,[2]character_tribe_i18n!$A:$H,6,FALSE)</f>
        <v>1</v>
      </c>
      <c r="AD93" s="14">
        <f ca="1">VLOOKUP(W93,[2]character_tribe_i18n!$A:$H,7,FALSE)</f>
        <v>0.75</v>
      </c>
      <c r="AE93" s="12">
        <v>93</v>
      </c>
      <c r="AF93" s="85" t="str">
        <f ca="1">IF(AE93="NULL","",VLOOKUP($AE93,OFFSET([2]characters!$A$1,0,0,COUNTA([2]characters!$A:$A),MATCH(AF$1,[2]characters!$1:$1,0)-MATCH($A$1,[2]characters!$1:$1,0)+1),MATCH(AF$1,[2]characters!$1:$1,0)-MATCH($A$1,[2]characters!$1:$1,0)+1,FALSE))</f>
        <v>碧東の守護神 青龍</v>
      </c>
      <c r="AG93" s="8">
        <f t="shared" ca="1" si="9"/>
        <v>91</v>
      </c>
      <c r="AH93" s="85" t="str">
        <f ca="1">VLOOKUP($AG93,OFFSET([2]characters!$A$1,0,0,COUNTA([2]characters!$A:$A),MATCH(AH$1,[2]characters!$1:$1,0)-MATCH($A$1,[2]characters!$1:$1,0)+1),MATCH(AH$1,[2]characters!$1:$1,0)-MATCH($A$1,[2]characters!$1:$1,0)+1,FALSE)</f>
        <v>青龍</v>
      </c>
      <c r="AI93" s="14">
        <f ca="1">IF(AE93="NULL","NULL",VLOOKUP(G93,ビット!$A$2:$B$7,2))</f>
        <v>50000</v>
      </c>
      <c r="AJ93" s="9">
        <v>2</v>
      </c>
      <c r="AK93" s="10" t="str">
        <f t="shared" si="10"/>
        <v>普通</v>
      </c>
      <c r="AL93" s="14" t="str">
        <f ca="1">INDEX(経験値!$A$1:$I$20,MATCH(H93,経験値!$A$1:$A$20,FALSE),MATCH(G93,経験値!$A$1:$I$1,FALSE))</f>
        <v>required_exp_200</v>
      </c>
      <c r="AM93" s="11">
        <f ca="1">VLOOKUP(G93,経験値!$A$27:$B$31,2)</f>
        <v>3400</v>
      </c>
      <c r="AN93" s="21">
        <f ca="1">VLOOKUP(G93,ビット!$G$2:$H$7,2)</f>
        <v>600</v>
      </c>
      <c r="AO93" s="64" t="s">
        <v>190</v>
      </c>
      <c r="AP93" s="97">
        <v>441001</v>
      </c>
      <c r="AQ93" s="77" t="e">
        <f ca="1">VLOOKUP($AP93,OFFSET([1]unit_skills!$A$1,0,0,COUNTA([1]unit_skills!$A:$A),MATCH("name",[1]unit_skills!$1:$1,0)-MATCH($AP$1,[1]unit_skills!$1:$1,0)+1),MATCH("name",[1]unit_skills!$1:$1,0)-MATCH($AP$1,[1]unit_skills!$1:$1,0)+1,FALSE)</f>
        <v>#VALUE!</v>
      </c>
      <c r="AR93" s="77" t="e">
        <f ca="1">VLOOKUP($AP93,OFFSET([1]unit_skills!$A$1,0,0,COUNTA([1]unit_skills!$A:$A),MATCH("comment",[1]unit_skills!$1:$1,0)-MATCH($AP$1,[1]unit_skills!$1:$1,0)+1),MATCH("comment",[1]unit_skills!$1:$1,0)-MATCH($AP$1,[1]unit_skills!$1:$1,0)+1,FALSE)</f>
        <v>#VALUE!</v>
      </c>
      <c r="AS93" s="77" t="e">
        <f ca="1">VLOOKUP($AP93,OFFSET([1]unit_skills!$A$1,0,0,COUNTA([1]unit_skills!$A:$A),MATCH(AS$1,[1]unit_skills!$1:$1,0)-MATCH($AP$1,[1]unit_skills!$1:$1,0)+1),MATCH(AS$1,[1]unit_skills!$1:$1,0)-MATCH($AP$1,[1]unit_skills!$1:$1,0)+1,FALSE)</f>
        <v>#VALUE!</v>
      </c>
      <c r="AT93" s="97">
        <v>113003</v>
      </c>
      <c r="AU93" s="77" t="e">
        <f ca="1">VLOOKUP($AT93,OFFSET([1]crash_skills!$A$1,0,0,COUNTA([1]crash_skills!$A:$A),MATCH("name",[1]crash_skills!$1:$1,0)-MATCH($AT$1,[1]crash_skills!$1:$1,0)+1),MATCH("name",[1]crash_skills!$1:$1,0)-MATCH($AT$1,[1]crash_skills!$1:$1,0)+1,FALSE)</f>
        <v>#VALUE!</v>
      </c>
      <c r="AV93" s="77" t="e">
        <f ca="1">VLOOKUP($AT93,OFFSET([1]crash_skills!$A$1,0,0,COUNTA([1]crash_skills!$A:$A),MATCH("comment",[1]crash_skills!$1:$1,0)-MATCH($AT$1,[1]crash_skills!$1:$1,0)+1),MATCH("comment",[1]crash_skills!$1:$1,0)-MATCH($AT$1,[1]crash_skills!$1:$1,0)+1,FALSE)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93" s="77" t="e">
        <f ca="1">VLOOKUP($AT93,OFFSET([1]crash_skills!$A$1,0,0,COUNTA([1]crash_skills!$A:$A),MATCH(AW$1,[1]crash_skills!$1:$1,0)-MATCH($AT$1,[1]crash_skills!$1:$1,0)+1),MATCH(AW$1,[1]crash_skills!$1:$1,0)-MATCH($AT$1,[1]crash_skills!$1:$1,0)+1,FALSE)</f>
        <v>#VALUE!</v>
      </c>
      <c r="AX93" s="81">
        <f ca="1">VLOOKUP($A93,OFFSET([2]characters!$A$1,0,0,COUNTA([2]characters!$A:$A),MATCH(AX$1,[2]characters!$1:$1,0)-MATCH($A$1,[2]characters!$1:$1,0)+1),MATCH(AX$1,[2]characters!$1:$1,0)-MATCH($A$1,[2]characters!$1:$1,0)+1,FALSE)</f>
        <v>3</v>
      </c>
      <c r="AY93" s="19">
        <v>1</v>
      </c>
      <c r="AZ93" s="19">
        <v>1</v>
      </c>
      <c r="BA93" s="19">
        <v>0</v>
      </c>
      <c r="BB93" s="19">
        <v>1</v>
      </c>
      <c r="BC93" s="14">
        <f ca="1">INDEX('RC6SV'!$A$1:$G$20,MATCH(H93,'RC6SV'!$A$1:$A$20,FALSE),MATCH(G93,'RC6SV'!$A$1:$G$1,FALSE))</f>
        <v>5800</v>
      </c>
      <c r="BD93" s="63">
        <f t="shared" ca="1" si="11"/>
        <v>5800</v>
      </c>
      <c r="BE93" s="14">
        <f t="shared" ca="1" si="12"/>
        <v>4600</v>
      </c>
      <c r="BF93" s="14">
        <f t="shared" ca="1" si="13"/>
        <v>1</v>
      </c>
      <c r="BG93" s="138">
        <f ca="1">IF($BE93&lt;=0,ROUND(BK93*0.5,0), ROUND($BE93*S93*AA93*J93*AY93*0.8*[2]ステータス!$B$2*0.6,0))</f>
        <v>1270</v>
      </c>
      <c r="BH93" s="138">
        <f ca="1">IF($BE93&lt;=0,ROUND(BL93*0.5,0), ROUND($BE93*T93*AB93*K93*AZ93*0.8*[2]ステータス!$C$2*0.6,0))</f>
        <v>714</v>
      </c>
      <c r="BI93" s="138">
        <f ca="1">IF($BE93&lt;=0,ROUND(BM93*0.5,0), ROUND($BE93*U93*AC93*L93*BA93*0.8*[2]ステータス!$D$2,0))</f>
        <v>0</v>
      </c>
      <c r="BJ93" s="138">
        <f ca="1">IF($BE93&lt;=0,ROUND(BN93*0.5,0), ROUND($BE93*V93*AD93*M93*BB93*0.8*[2]ステータス!$E$2*0.6,0))</f>
        <v>422</v>
      </c>
      <c r="BK93" s="104">
        <f ca="1">ROUND(BD93*S93*AA93*J93*AY93*[2]ステータス!$B$2*0.6,0)</f>
        <v>2001</v>
      </c>
      <c r="BL93" s="104">
        <f ca="1">ROUND(BD93*T93*AB93*K93*AZ93*[2]ステータス!$C$2*0.6,0)</f>
        <v>1125</v>
      </c>
      <c r="BM93" s="104">
        <f ca="1">ROUND(BD93*U93*AC93*L93*BA93*[2]ステータス!$D$2,0)</f>
        <v>0</v>
      </c>
      <c r="BN93" s="104">
        <f ca="1">ROUND(BD93*V93*AD93*M93*BB93*[2]ステータス!$E$2*0.6,0)</f>
        <v>666</v>
      </c>
      <c r="BO93" s="13">
        <v>0</v>
      </c>
      <c r="BP93" s="13">
        <v>1</v>
      </c>
      <c r="BQ93" s="13" t="s">
        <v>102</v>
      </c>
      <c r="BR93" s="13">
        <f ca="1">VLOOKUP(H93,ghosts_label!$A$2:$B$19,2,FALSE)</f>
        <v>1</v>
      </c>
    </row>
    <row r="94" spans="1:70" ht="21" customHeight="1" x14ac:dyDescent="0.15">
      <c r="A94" s="14">
        <f t="shared" ca="1" si="8"/>
        <v>93</v>
      </c>
      <c r="B94" s="77" t="str">
        <f ca="1">VLOOKUP($A94,OFFSET([2]characters!$A$1,0,0,COUNTA([2]characters!$A:$A),MATCH(B$1,[2]characters!$1:$1,0)-MATCH($A$1,[2]characters!$1:$1,0)+1),MATCH(B$1,[2]characters!$1:$1,0)-MATCH($A$1,[2]characters!$1:$1,0)+1,FALSE)</f>
        <v>碧東の守護神 青龍</v>
      </c>
      <c r="C94" s="77" t="str">
        <f ca="1">VLOOKUP($A94,OFFSET([2]characters!$A$1,0,0,COUNTA([2]characters!$A:$A),MATCH(C$1,[2]characters!$1:$1,0)-MATCH($A$1,[2]characters!$1:$1,0)+1),MATCH(C$1,[2]characters!$1:$1,0)-MATCH($A$1,[2]characters!$1:$1,0)+1,FALSE)</f>
        <v>リンクガチャ:4神</v>
      </c>
      <c r="D94" s="77" t="str">
        <f ca="1">VLOOKUP($A94,OFFSET([2]characters!$A$1,0,0,COUNTA([2]characters!$A:$A),MATCH(D$1,[2]characters!$1:$1,0)-MATCH($A$1,[2]characters!$1:$1,0)+1),MATCH(D$1,[2]characters!$1:$1,0)-MATCH($A$1,[2]characters!$1:$1,0)+1,FALSE)</f>
        <v>守護神</v>
      </c>
      <c r="E94" s="77" t="str">
        <f ca="1">VLOOKUP($A94,OFFSET([2]characters!$A$1,0,0,COUNTA([2]characters!$A:$A),MATCH(E$1,[2]characters!$1:$1,0)-MATCH($A$1,[2]characters!$1:$1,0)+1),MATCH(E$1,[2]characters!$1:$1,0)-MATCH($A$1,[2]characters!$1:$1,0)+1,FALSE)</f>
        <v>格好いい</v>
      </c>
      <c r="F94" s="77" t="str">
        <f ca="1">VLOOKUP($A94,OFFSET([2]characters!$A$1,0,0,COUNTA([2]characters!$A:$A),MATCH(F$1,[2]characters!$1:$1,0)-MATCH($A$1,[2]characters!$1:$1,0)+1),MATCH(F$1,[2]characters!$1:$1,0)-MATCH($A$1,[2]characters!$1:$1,0)+1,FALSE)</f>
        <v>不明</v>
      </c>
      <c r="G94" s="77">
        <f ca="1">VLOOKUP($A94,OFFSET([2]characters!$A$1,0,0,COUNTA([2]characters!$A:$A),MATCH(G$1,[2]characters!$1:$1,0)-MATCH($A$1,[2]characters!$1:$1,0)+1),MATCH(G$1,[2]characters!$1:$1,0)-MATCH($A$1,[2]characters!$1:$1,0)+1,FALSE)</f>
        <v>5</v>
      </c>
      <c r="H94" s="77" t="str">
        <f ca="1">VLOOKUP($A94,OFFSET([2]characters!$A$1,0,0,COUNTA([2]characters!$A:$A),MATCH(H$1,[2]characters!$1:$1,0)-MATCH($A$1,[2]characters!$1:$1,0)+1),MATCH(H$1,[2]characters!$1:$1,0)-MATCH($A$1,[2]characters!$1:$1,0)+1,FALSE)</f>
        <v>Drop2N</v>
      </c>
      <c r="I94" s="77" t="str">
        <f ca="1">VLOOKUP($A94,OFFSET([2]characters!$A$1,0,0,COUNTA([2]characters!$A:$A),MATCH(I$1,[2]characters!$1:$1,0)-MATCH($A$1,[2]characters!$1:$1,0)+1),MATCH(I$1,[2]characters!$1:$1,0)-MATCH($A$1,[2]characters!$1:$1,0)+1,FALSE)</f>
        <v>blue</v>
      </c>
      <c r="J94" s="14">
        <f ca="1">VLOOKUP(I94,[2]属性!$A:$E,2,FALSE)</f>
        <v>1</v>
      </c>
      <c r="K94" s="14">
        <f ca="1">VLOOKUP(I94,[2]属性!$A:$E,3,FALSE)</f>
        <v>0.98</v>
      </c>
      <c r="L94" s="14">
        <f ca="1">VLOOKUP(I94,[2]属性!$A:$E,4,FALSE)</f>
        <v>1</v>
      </c>
      <c r="M94" s="14">
        <f ca="1">VLOOKUP(I94,[2]属性!$A:$E,5,FALSE)</f>
        <v>1.02</v>
      </c>
      <c r="N94" s="14">
        <f ca="1">INDEX(コスト!$A$1:$I$20,MATCH(H94,コスト!$A$1:$A$20,FALSE),MATCH(G94,コスト!$A$1:$I$1,FALSE))</f>
        <v>26</v>
      </c>
      <c r="O94" s="14">
        <f ca="1">INDEX(レベル!$A$1:$I$21,MATCH(H94,レベル!$A$1:$A$21,FALSE),MATCH(G94,レベル!$A$1:$I$1,FALSE))</f>
        <v>80</v>
      </c>
      <c r="P94" s="63">
        <f t="shared" ca="1" si="14"/>
        <v>75</v>
      </c>
      <c r="Q94" s="77" t="str">
        <f ca="1">VLOOKUP($A94,OFFSET([2]characters!$A$1,0,0,COUNTA([2]characters!$A:$A),MATCH(Q$1,[2]characters!$1:$1,0)-MATCH($A$1,[2]characters!$1:$1,0)+1),MATCH(Q$1,[2]characters!$1:$1,0)-MATCH($A$1,[2]characters!$1:$1,0)+1,FALSE)</f>
        <v>balance</v>
      </c>
      <c r="R94" s="8" t="str">
        <f ca="1">VLOOKUP(Q94,[2]character_type_i18n!$A:$H,3,FALSE)</f>
        <v>バランスタイプ</v>
      </c>
      <c r="S94" s="14">
        <f ca="1">VLOOKUP(Q94,[2]character_type_i18n!$A:$H,4,FALSE)</f>
        <v>1</v>
      </c>
      <c r="T94" s="14">
        <f ca="1">VLOOKUP(Q94,[2]character_type_i18n!$A:$H,5,FALSE)</f>
        <v>1</v>
      </c>
      <c r="U94" s="14">
        <f ca="1">VLOOKUP(Q94,[2]character_type_i18n!$A:$H,6,FALSE)</f>
        <v>1</v>
      </c>
      <c r="V94" s="14">
        <f ca="1">VLOOKUP(Q94,[2]character_type_i18n!$A:$H,7,FALSE)</f>
        <v>1</v>
      </c>
      <c r="W94" s="77" t="str">
        <f ca="1">VLOOKUP($A94,OFFSET([2]characters!$A$1,0,0,COUNTA([2]characters!$A:$A),MATCH(W$1,[2]characters!$1:$1,0)-MATCH($A$1,[2]characters!$1:$1,0)+1),MATCH(W$1,[2]characters!$1:$1,0)-MATCH($A$1,[2]characters!$1:$1,0)+1,FALSE)</f>
        <v>dragon</v>
      </c>
      <c r="X94" s="8" t="str">
        <f ca="1">VLOOKUP(W94,[2]character_tribe_i18n!$A:$H,3,FALSE)</f>
        <v>ドラゴン</v>
      </c>
      <c r="Y94" s="77" t="str">
        <f ca="1">VLOOKUP($A94,OFFSET([2]characters!$A$1,0,0,COUNTA([2]characters!$A:$A),MATCH(Y$1,[2]characters!$1:$1,0)-MATCH($A$1,[2]characters!$1:$1,0)+1),MATCH(Y$1,[2]characters!$1:$1,0)-MATCH($A$1,[2]characters!$1:$1,0)+1,FALSE)</f>
        <v>god</v>
      </c>
      <c r="Z94" s="8" t="str">
        <f ca="1">VLOOKUP(Y94,[2]character_tribe_i18n!$A:$H,3,FALSE)</f>
        <v>ゴッド</v>
      </c>
      <c r="AA94" s="14">
        <f ca="1">VLOOKUP(W94,[2]character_tribe_i18n!$A:$H,4,FALSE)</f>
        <v>1.1499999999999999</v>
      </c>
      <c r="AB94" s="14">
        <f ca="1">VLOOKUP(W94,[2]character_tribe_i18n!$A:$H,5,FALSE)</f>
        <v>1.1000000000000001</v>
      </c>
      <c r="AC94" s="14">
        <f ca="1">VLOOKUP(W94,[2]character_tribe_i18n!$A:$H,6,FALSE)</f>
        <v>1</v>
      </c>
      <c r="AD94" s="14">
        <f ca="1">VLOOKUP(W94,[2]character_tribe_i18n!$A:$H,7,FALSE)</f>
        <v>0.75</v>
      </c>
      <c r="AE94" s="12" t="s">
        <v>102</v>
      </c>
      <c r="AF94" s="85" t="str">
        <f ca="1">IF(AE94="NULL","",VLOOKUP($AE94,OFFSET([2]characters!$A$1,0,0,COUNTA([2]characters!$A:$A),MATCH(AF$1,[2]characters!$1:$1,0)-MATCH($A$1,[2]characters!$1:$1,0)+1),MATCH(AF$1,[2]characters!$1:$1,0)-MATCH($A$1,[2]characters!$1:$1,0)+1,FALSE))</f>
        <v/>
      </c>
      <c r="AG94" s="8">
        <f t="shared" ca="1" si="9"/>
        <v>91</v>
      </c>
      <c r="AH94" s="85" t="str">
        <f ca="1">VLOOKUP($AG94,OFFSET([2]characters!$A$1,0,0,COUNTA([2]characters!$A:$A),MATCH(AH$1,[2]characters!$1:$1,0)-MATCH($A$1,[2]characters!$1:$1,0)+1),MATCH(AH$1,[2]characters!$1:$1,0)-MATCH($A$1,[2]characters!$1:$1,0)+1,FALSE)</f>
        <v>青龍</v>
      </c>
      <c r="AI94" s="14" t="str">
        <f>IF(AE94="NULL","NULL",VLOOKUP(G94,ビット!$A$2:$B$7,2))</f>
        <v>NULL</v>
      </c>
      <c r="AJ94" s="9">
        <v>2</v>
      </c>
      <c r="AK94" s="10" t="str">
        <f t="shared" si="10"/>
        <v>普通</v>
      </c>
      <c r="AL94" s="14" t="str">
        <f ca="1">INDEX(経験値!$A$1:$I$20,MATCH(H94,経験値!$A$1:$A$20,FALSE),MATCH(G94,経験値!$A$1:$I$1,FALSE))</f>
        <v>required_exp_200</v>
      </c>
      <c r="AM94" s="11">
        <f ca="1">VLOOKUP(G94,経験値!$A$27:$B$31,2)</f>
        <v>6400</v>
      </c>
      <c r="AN94" s="21">
        <f ca="1">VLOOKUP(G94,ビット!$G$2:$H$7,2)</f>
        <v>900</v>
      </c>
      <c r="AO94" s="64" t="s">
        <v>190</v>
      </c>
      <c r="AP94" s="97">
        <v>441001</v>
      </c>
      <c r="AQ94" s="77" t="e">
        <f ca="1">VLOOKUP($AP94,OFFSET([1]unit_skills!$A$1,0,0,COUNTA([1]unit_skills!$A:$A),MATCH("name",[1]unit_skills!$1:$1,0)-MATCH($AP$1,[1]unit_skills!$1:$1,0)+1),MATCH("name",[1]unit_skills!$1:$1,0)-MATCH($AP$1,[1]unit_skills!$1:$1,0)+1,FALSE)</f>
        <v>#VALUE!</v>
      </c>
      <c r="AR94" s="77" t="e">
        <f ca="1">VLOOKUP($AP94,OFFSET([1]unit_skills!$A$1,0,0,COUNTA([1]unit_skills!$A:$A),MATCH("comment",[1]unit_skills!$1:$1,0)-MATCH($AP$1,[1]unit_skills!$1:$1,0)+1),MATCH("comment",[1]unit_skills!$1:$1,0)-MATCH($AP$1,[1]unit_skills!$1:$1,0)+1,FALSE)</f>
        <v>#VALUE!</v>
      </c>
      <c r="AS94" s="77" t="e">
        <f ca="1">VLOOKUP($AP94,OFFSET([1]unit_skills!$A$1,0,0,COUNTA([1]unit_skills!$A:$A),MATCH(AS$1,[1]unit_skills!$1:$1,0)-MATCH($AP$1,[1]unit_skills!$1:$1,0)+1),MATCH(AS$1,[1]unit_skills!$1:$1,0)-MATCH($AP$1,[1]unit_skills!$1:$1,0)+1,FALSE)</f>
        <v>#VALUE!</v>
      </c>
      <c r="AT94" s="97">
        <v>113004</v>
      </c>
      <c r="AU94" s="77" t="e">
        <f ca="1">VLOOKUP($AT94,OFFSET([1]crash_skills!$A$1,0,0,COUNTA([1]crash_skills!$A:$A),MATCH("name",[1]crash_skills!$1:$1,0)-MATCH($AT$1,[1]crash_skills!$1:$1,0)+1),MATCH("name",[1]crash_skills!$1:$1,0)-MATCH($AT$1,[1]crash_skills!$1:$1,0)+1,FALSE)</f>
        <v>#VALUE!</v>
      </c>
      <c r="AV94" s="77" t="e">
        <f ca="1">VLOOKUP($AT94,OFFSET([1]crash_skills!$A$1,0,0,COUNTA([1]crash_skills!$A:$A),MATCH("comment",[1]crash_skills!$1:$1,0)-MATCH($AT$1,[1]crash_skills!$1:$1,0)+1),MATCH("comment",[1]crash_skills!$1:$1,0)-MATCH($AT$1,[1]crash_skills!$1:$1,0)+1,FALSE)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94" s="77" t="e">
        <f ca="1">VLOOKUP($AT94,OFFSET([1]crash_skills!$A$1,0,0,COUNTA([1]crash_skills!$A:$A),MATCH(AW$1,[1]crash_skills!$1:$1,0)-MATCH($AT$1,[1]crash_skills!$1:$1,0)+1),MATCH(AW$1,[1]crash_skills!$1:$1,0)-MATCH($AT$1,[1]crash_skills!$1:$1,0)+1,FALSE)</f>
        <v>#VALUE!</v>
      </c>
      <c r="AX94" s="81">
        <f ca="1">VLOOKUP($A94,OFFSET([2]characters!$A$1,0,0,COUNTA([2]characters!$A:$A),MATCH(AX$1,[2]characters!$1:$1,0)-MATCH($A$1,[2]characters!$1:$1,0)+1),MATCH(AX$1,[2]characters!$1:$1,0)-MATCH($A$1,[2]characters!$1:$1,0)+1,FALSE)</f>
        <v>3</v>
      </c>
      <c r="AY94" s="19">
        <v>1</v>
      </c>
      <c r="AZ94" s="19">
        <v>1</v>
      </c>
      <c r="BA94" s="19">
        <v>0</v>
      </c>
      <c r="BB94" s="19">
        <v>1</v>
      </c>
      <c r="BC94" s="14">
        <f ca="1">INDEX('RC6SV'!$A$1:$G$20,MATCH(H94,'RC6SV'!$A$1:$A$20,FALSE),MATCH(G94,'RC6SV'!$A$1:$G$1,FALSE))</f>
        <v>7600</v>
      </c>
      <c r="BD94" s="63">
        <f t="shared" ca="1" si="11"/>
        <v>7600</v>
      </c>
      <c r="BE94" s="14">
        <f t="shared" ca="1" si="12"/>
        <v>5800</v>
      </c>
      <c r="BF94" s="14">
        <f t="shared" ca="1" si="13"/>
        <v>1</v>
      </c>
      <c r="BG94" s="138">
        <f ca="1">IF($BE94&lt;=0,ROUND(BK94*0.5,0), ROUND($BE94*S94*AA94*J94*AY94*0.8*[2]ステータス!$B$2*0.6,0))</f>
        <v>1601</v>
      </c>
      <c r="BH94" s="138">
        <f ca="1">IF($BE94&lt;=0,ROUND(BL94*0.5,0), ROUND($BE94*T94*AB94*K94*AZ94*0.8*[2]ステータス!$C$2*0.6,0))</f>
        <v>900</v>
      </c>
      <c r="BI94" s="138">
        <f ca="1">IF($BE94&lt;=0,ROUND(BM94*0.5,0), ROUND($BE94*U94*AC94*L94*BA94*0.8*[2]ステータス!$D$2,0))</f>
        <v>0</v>
      </c>
      <c r="BJ94" s="138">
        <f ca="1">IF($BE94&lt;=0,ROUND(BN94*0.5,0), ROUND($BE94*V94*AD94*M94*BB94*0.8*[2]ステータス!$E$2*0.6,0))</f>
        <v>532</v>
      </c>
      <c r="BK94" s="14">
        <f ca="1">ROUND(BD94*S94*AA94*J94*AY94*[2]ステータス!$B$2,0)</f>
        <v>4370</v>
      </c>
      <c r="BL94" s="14">
        <f ca="1">ROUND(BD94*T94*AB94*K94*AZ94*[2]ステータス!$C$2,0)</f>
        <v>2458</v>
      </c>
      <c r="BM94" s="14">
        <f ca="1">ROUND(BD94*U94*AC94*L94*BA94*[2]ステータス!$D$2,0)</f>
        <v>0</v>
      </c>
      <c r="BN94" s="14">
        <f ca="1">ROUND(BD94*V94*AD94*M94*BB94*[2]ステータス!$E$2,0)</f>
        <v>1454</v>
      </c>
      <c r="BO94" s="13">
        <v>0</v>
      </c>
      <c r="BP94" s="13">
        <v>1</v>
      </c>
      <c r="BQ94" s="13" t="s">
        <v>102</v>
      </c>
      <c r="BR94" s="13">
        <f ca="1">VLOOKUP(H94,ghosts_label!$A$2:$B$19,2,FALSE)</f>
        <v>1</v>
      </c>
    </row>
    <row r="95" spans="1:70" ht="21" customHeight="1" x14ac:dyDescent="0.15">
      <c r="A95" s="14">
        <f t="shared" ca="1" si="8"/>
        <v>94</v>
      </c>
      <c r="B95" s="77" t="str">
        <f ca="1">VLOOKUP($A95,OFFSET([2]characters!$A$1,0,0,COUNTA([2]characters!$A:$A),MATCH(B$1,[2]characters!$1:$1,0)-MATCH($A$1,[2]characters!$1:$1,0)+1),MATCH(B$1,[2]characters!$1:$1,0)-MATCH($A$1,[2]characters!$1:$1,0)+1,FALSE)</f>
        <v>白虎</v>
      </c>
      <c r="C95" s="77" t="str">
        <f ca="1">VLOOKUP($A95,OFFSET([2]characters!$A$1,0,0,COUNTA([2]characters!$A:$A),MATCH(C$1,[2]characters!$1:$1,0)-MATCH($A$1,[2]characters!$1:$1,0)+1),MATCH(C$1,[2]characters!$1:$1,0)-MATCH($A$1,[2]characters!$1:$1,0)+1,FALSE)</f>
        <v>リンクガチャ:4神</v>
      </c>
      <c r="D95" s="77" t="str">
        <f ca="1">VLOOKUP($A95,OFFSET([2]characters!$A$1,0,0,COUNTA([2]characters!$A:$A),MATCH(D$1,[2]characters!$1:$1,0)-MATCH($A$1,[2]characters!$1:$1,0)+1),MATCH(D$1,[2]characters!$1:$1,0)-MATCH($A$1,[2]characters!$1:$1,0)+1,FALSE)</f>
        <v>守護神</v>
      </c>
      <c r="E95" s="77" t="str">
        <f ca="1">VLOOKUP($A95,OFFSET([2]characters!$A$1,0,0,COUNTA([2]characters!$A:$A),MATCH(E$1,[2]characters!$1:$1,0)-MATCH($A$1,[2]characters!$1:$1,0)+1),MATCH(E$1,[2]characters!$1:$1,0)-MATCH($A$1,[2]characters!$1:$1,0)+1,FALSE)</f>
        <v>格好いい</v>
      </c>
      <c r="F95" s="77" t="str">
        <f ca="1">VLOOKUP($A95,OFFSET([2]characters!$A$1,0,0,COUNTA([2]characters!$A:$A),MATCH(F$1,[2]characters!$1:$1,0)-MATCH($A$1,[2]characters!$1:$1,0)+1),MATCH(F$1,[2]characters!$1:$1,0)-MATCH($A$1,[2]characters!$1:$1,0)+1,FALSE)</f>
        <v>不明</v>
      </c>
      <c r="G95" s="77">
        <f ca="1">VLOOKUP($A95,OFFSET([2]characters!$A$1,0,0,COUNTA([2]characters!$A:$A),MATCH(G$1,[2]characters!$1:$1,0)-MATCH($A$1,[2]characters!$1:$1,0)+1),MATCH(G$1,[2]characters!$1:$1,0)-MATCH($A$1,[2]characters!$1:$1,0)+1,FALSE)</f>
        <v>3</v>
      </c>
      <c r="H95" s="77" t="str">
        <f ca="1">VLOOKUP($A95,OFFSET([2]characters!$A$1,0,0,COUNTA([2]characters!$A:$A),MATCH(H$1,[2]characters!$1:$1,0)-MATCH($A$1,[2]characters!$1:$1,0)+1),MATCH(H$1,[2]characters!$1:$1,0)-MATCH($A$1,[2]characters!$1:$1,0)+1,FALSE)</f>
        <v>Drop2N</v>
      </c>
      <c r="I95" s="77" t="str">
        <f ca="1">VLOOKUP($A95,OFFSET([2]characters!$A$1,0,0,COUNTA([2]characters!$A:$A),MATCH(I$1,[2]characters!$1:$1,0)-MATCH($A$1,[2]characters!$1:$1,0)+1),MATCH(I$1,[2]characters!$1:$1,0)-MATCH($A$1,[2]characters!$1:$1,0)+1,FALSE)</f>
        <v>yellow</v>
      </c>
      <c r="J95" s="14">
        <f ca="1">VLOOKUP(I95,[2]属性!$A:$E,2,FALSE)</f>
        <v>0.98</v>
      </c>
      <c r="K95" s="14">
        <f ca="1">VLOOKUP(I95,[2]属性!$A:$E,3,FALSE)</f>
        <v>1.01</v>
      </c>
      <c r="L95" s="14">
        <f ca="1">VLOOKUP(I95,[2]属性!$A:$E,4,FALSE)</f>
        <v>1</v>
      </c>
      <c r="M95" s="14">
        <f ca="1">VLOOKUP(I95,[2]属性!$A:$E,5,FALSE)</f>
        <v>1.01</v>
      </c>
      <c r="N95" s="14">
        <f ca="1">INDEX(コスト!$A$1:$I$20,MATCH(H95,コスト!$A$1:$A$20,FALSE),MATCH(G95,コスト!$A$1:$I$1,FALSE))</f>
        <v>8</v>
      </c>
      <c r="O95" s="14">
        <f ca="1">INDEX(レベル!$A$1:$I$21,MATCH(H95,レベル!$A$1:$A$21,FALSE),MATCH(G95,レベル!$A$1:$I$1,FALSE))</f>
        <v>40</v>
      </c>
      <c r="P95" s="63">
        <f t="shared" ca="1" si="14"/>
        <v>45</v>
      </c>
      <c r="Q95" s="77" t="str">
        <f ca="1">VLOOKUP($A95,OFFSET([2]characters!$A$1,0,0,COUNTA([2]characters!$A:$A),MATCH(Q$1,[2]characters!$1:$1,0)-MATCH($A$1,[2]characters!$1:$1,0)+1),MATCH(Q$1,[2]characters!$1:$1,0)-MATCH($A$1,[2]characters!$1:$1,0)+1,FALSE)</f>
        <v>attack</v>
      </c>
      <c r="R95" s="8" t="str">
        <f ca="1">VLOOKUP(Q95,[2]character_type_i18n!$A:$H,3,FALSE)</f>
        <v>攻撃タイプ</v>
      </c>
      <c r="S95" s="14">
        <f ca="1">VLOOKUP(Q95,[2]character_type_i18n!$A:$H,4,FALSE)</f>
        <v>1</v>
      </c>
      <c r="T95" s="14">
        <f ca="1">VLOOKUP(Q95,[2]character_type_i18n!$A:$H,5,FALSE)</f>
        <v>1.33</v>
      </c>
      <c r="U95" s="14">
        <f ca="1">VLOOKUP(Q95,[2]character_type_i18n!$A:$H,6,FALSE)</f>
        <v>1</v>
      </c>
      <c r="V95" s="14">
        <f ca="1">VLOOKUP(Q95,[2]character_type_i18n!$A:$H,7,FALSE)</f>
        <v>0.67</v>
      </c>
      <c r="W95" s="77" t="str">
        <f ca="1">VLOOKUP($A95,OFFSET([2]characters!$A$1,0,0,COUNTA([2]characters!$A:$A),MATCH(W$1,[2]characters!$1:$1,0)-MATCH($A$1,[2]characters!$1:$1,0)+1),MATCH(W$1,[2]characters!$1:$1,0)-MATCH($A$1,[2]characters!$1:$1,0)+1,FALSE)</f>
        <v>animal</v>
      </c>
      <c r="X95" s="8" t="str">
        <f ca="1">VLOOKUP(W95,[2]character_tribe_i18n!$A:$H,3,FALSE)</f>
        <v>アニマル</v>
      </c>
      <c r="Y95" s="77" t="str">
        <f ca="1">VLOOKUP($A95,OFFSET([2]characters!$A$1,0,0,COUNTA([2]characters!$A:$A),MATCH(Y$1,[2]characters!$1:$1,0)-MATCH($A$1,[2]characters!$1:$1,0)+1),MATCH(Y$1,[2]characters!$1:$1,0)-MATCH($A$1,[2]characters!$1:$1,0)+1,FALSE)</f>
        <v>god</v>
      </c>
      <c r="Z95" s="8" t="str">
        <f ca="1">VLOOKUP(Y95,[2]character_tribe_i18n!$A:$H,3,FALSE)</f>
        <v>ゴッド</v>
      </c>
      <c r="AA95" s="14">
        <f ca="1">VLOOKUP(W95,[2]character_tribe_i18n!$A:$H,4,FALSE)</f>
        <v>1</v>
      </c>
      <c r="AB95" s="14">
        <f ca="1">VLOOKUP(W95,[2]character_tribe_i18n!$A:$H,5,FALSE)</f>
        <v>1.1000000000000001</v>
      </c>
      <c r="AC95" s="14">
        <f ca="1">VLOOKUP(W95,[2]character_tribe_i18n!$A:$H,6,FALSE)</f>
        <v>1</v>
      </c>
      <c r="AD95" s="14">
        <f ca="1">VLOOKUP(W95,[2]character_tribe_i18n!$A:$H,7,FALSE)</f>
        <v>0.9</v>
      </c>
      <c r="AE95" s="12">
        <v>95</v>
      </c>
      <c r="AF95" s="85" t="str">
        <f ca="1">IF(AE95="NULL","",VLOOKUP($AE95,OFFSET([2]characters!$A$1,0,0,COUNTA([2]characters!$A:$A),MATCH(AF$1,[2]characters!$1:$1,0)-MATCH($A$1,[2]characters!$1:$1,0)+1),MATCH(AF$1,[2]characters!$1:$1,0)-MATCH($A$1,[2]characters!$1:$1,0)+1,FALSE))</f>
        <v>守護者 白虎</v>
      </c>
      <c r="AG95" s="8">
        <f t="shared" ca="1" si="9"/>
        <v>94</v>
      </c>
      <c r="AH95" s="85" t="str">
        <f ca="1">VLOOKUP($AG95,OFFSET([2]characters!$A$1,0,0,COUNTA([2]characters!$A:$A),MATCH(AH$1,[2]characters!$1:$1,0)-MATCH($A$1,[2]characters!$1:$1,0)+1),MATCH(AH$1,[2]characters!$1:$1,0)-MATCH($A$1,[2]characters!$1:$1,0)+1,FALSE)</f>
        <v>白虎</v>
      </c>
      <c r="AI95" s="14">
        <f ca="1">IF(AE95="NULL","NULL",VLOOKUP(G95,ビット!$A$2:$B$7,2))</f>
        <v>20000</v>
      </c>
      <c r="AJ95" s="9">
        <v>2</v>
      </c>
      <c r="AK95" s="10" t="str">
        <f t="shared" si="10"/>
        <v>普通</v>
      </c>
      <c r="AL95" s="14" t="str">
        <f ca="1">INDEX(経験値!$A$1:$I$20,MATCH(H95,経験値!$A$1:$A$20,FALSE),MATCH(G95,経験値!$A$1:$I$1,FALSE))</f>
        <v>required_exp_200</v>
      </c>
      <c r="AM95" s="11">
        <f ca="1">VLOOKUP(G95,経験値!$A$27:$B$31,2)</f>
        <v>1500</v>
      </c>
      <c r="AN95" s="21">
        <f ca="1">VLOOKUP(G95,ビット!$G$2:$H$7,2)</f>
        <v>300</v>
      </c>
      <c r="AO95" s="64" t="s">
        <v>190</v>
      </c>
      <c r="AP95" s="103">
        <v>453001</v>
      </c>
      <c r="AQ95" s="77" t="e">
        <f ca="1">VLOOKUP($AP95,OFFSET([1]unit_skills!$A$1,0,0,COUNTA([1]unit_skills!$A:$A),MATCH("name",[1]unit_skills!$1:$1,0)-MATCH($AP$1,[1]unit_skills!$1:$1,0)+1),MATCH("name",[1]unit_skills!$1:$1,0)-MATCH($AP$1,[1]unit_skills!$1:$1,0)+1,FALSE)</f>
        <v>#VALUE!</v>
      </c>
      <c r="AR95" s="77" t="e">
        <f ca="1">VLOOKUP($AP95,OFFSET([1]unit_skills!$A$1,0,0,COUNTA([1]unit_skills!$A:$A),MATCH("comment",[1]unit_skills!$1:$1,0)-MATCH($AP$1,[1]unit_skills!$1:$1,0)+1),MATCH("comment",[1]unit_skills!$1:$1,0)-MATCH($AP$1,[1]unit_skills!$1:$1,0)+1,FALSE)</f>
        <v>#VALUE!</v>
      </c>
      <c r="AS95" s="77" t="e">
        <f ca="1">VLOOKUP($AP95,OFFSET([1]unit_skills!$A$1,0,0,COUNTA([1]unit_skills!$A:$A),MATCH(AS$1,[1]unit_skills!$1:$1,0)-MATCH($AP$1,[1]unit_skills!$1:$1,0)+1),MATCH(AS$1,[1]unit_skills!$1:$1,0)-MATCH($AP$1,[1]unit_skills!$1:$1,0)+1,FALSE)</f>
        <v>#VALUE!</v>
      </c>
      <c r="AT95" s="97">
        <v>124003</v>
      </c>
      <c r="AU95" s="77" t="e">
        <f ca="1">VLOOKUP($AT95,OFFSET([1]crash_skills!$A$1,0,0,COUNTA([1]crash_skills!$A:$A),MATCH("name",[1]crash_skills!$1:$1,0)-MATCH($AT$1,[1]crash_skills!$1:$1,0)+1),MATCH("name",[1]crash_skills!$1:$1,0)-MATCH($AT$1,[1]crash_skills!$1:$1,0)+1,FALSE)</f>
        <v>#VALUE!</v>
      </c>
      <c r="AV95" s="77" t="e">
        <f ca="1">VLOOKUP($AT95,OFFSET([1]crash_skills!$A$1,0,0,COUNTA([1]crash_skills!$A:$A),MATCH("comment",[1]crash_skills!$1:$1,0)-MATCH($AT$1,[1]crash_skills!$1:$1,0)+1),MATCH("comment",[1]crash_skills!$1:$1,0)-MATCH($AT$1,[1]crash_skills!$1:$1,0)+1,FALSE)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95" s="77" t="e">
        <f ca="1">VLOOKUP($AT95,OFFSET([1]crash_skills!$A$1,0,0,COUNTA([1]crash_skills!$A:$A),MATCH(AW$1,[1]crash_skills!$1:$1,0)-MATCH($AT$1,[1]crash_skills!$1:$1,0)+1),MATCH(AW$1,[1]crash_skills!$1:$1,0)-MATCH($AT$1,[1]crash_skills!$1:$1,0)+1,FALSE)</f>
        <v>#VALUE!</v>
      </c>
      <c r="AX95" s="81">
        <f ca="1">VLOOKUP($A95,OFFSET([2]characters!$A$1,0,0,COUNTA([2]characters!$A:$A),MATCH(AX$1,[2]characters!$1:$1,0)-MATCH($A$1,[2]characters!$1:$1,0)+1),MATCH(AX$1,[2]characters!$1:$1,0)-MATCH($A$1,[2]characters!$1:$1,0)+1,FALSE)</f>
        <v>3</v>
      </c>
      <c r="AY95" s="19">
        <v>1</v>
      </c>
      <c r="AZ95" s="19">
        <v>1</v>
      </c>
      <c r="BA95" s="19">
        <v>0</v>
      </c>
      <c r="BB95" s="19">
        <v>1</v>
      </c>
      <c r="BC95" s="14">
        <f ca="1">INDEX('RC6SV'!$A$1:$G$20,MATCH(H95,'RC6SV'!$A$1:$A$20,FALSE),MATCH(G95,'RC6SV'!$A$1:$G$1,FALSE))</f>
        <v>4600</v>
      </c>
      <c r="BD95" s="63">
        <f t="shared" ca="1" si="11"/>
        <v>4600</v>
      </c>
      <c r="BE95" s="14">
        <f t="shared" ca="1" si="12"/>
        <v>0</v>
      </c>
      <c r="BF95" s="14">
        <f t="shared" ca="1" si="13"/>
        <v>1</v>
      </c>
      <c r="BG95" s="20">
        <f ca="1">IF($BE95&lt;=0,ROUND(BK95*0.5,0), ROUND($BE95*S95*AA95*J95*AY95*0.8*[2]ステータス!$B$2,0))</f>
        <v>676</v>
      </c>
      <c r="BH95" s="20">
        <f ca="1">IF($BE95&lt;=0,ROUND(BL95*0.5,0), ROUND($BE95*T95*AB95*K95*AZ95*0.8*[2]ステータス!$C$2,0))</f>
        <v>612</v>
      </c>
      <c r="BI95" s="20">
        <f ca="1">IF($BE95&lt;=0,ROUND(BM95*0.5,0), ROUND($BE95*U95*AC95*L95*BA95*0.8*[2]ステータス!$D$2,0))</f>
        <v>0</v>
      </c>
      <c r="BJ95" s="20">
        <f ca="1">IF($BE95&lt;=0,ROUND(BN95*0.5,0), ROUND($BE95*V95*AD95*M95*BB95*0.8*[2]ステータス!$E$2,0))</f>
        <v>210</v>
      </c>
      <c r="BK95" s="104">
        <f ca="1">ROUND(BD95*S95*AA95*J95*AY95*[2]ステータス!$B$2*0.6,0)</f>
        <v>1352</v>
      </c>
      <c r="BL95" s="104">
        <f ca="1">ROUND(BD95*T95*AB95*K95*AZ95*[2]ステータス!$C$2*0.6,0)</f>
        <v>1223</v>
      </c>
      <c r="BM95" s="104">
        <f ca="1">ROUND(BD95*U95*AC95*L95*BA95*[2]ステータス!$D$2,0)</f>
        <v>0</v>
      </c>
      <c r="BN95" s="104">
        <f ca="1">ROUND(BD95*V95*AD95*M95*BB95*[2]ステータス!$E$2*0.6,0)</f>
        <v>420</v>
      </c>
      <c r="BO95" s="13">
        <v>0</v>
      </c>
      <c r="BP95" s="13">
        <v>1</v>
      </c>
      <c r="BQ95" s="13" t="s">
        <v>102</v>
      </c>
      <c r="BR95" s="13">
        <f ca="1">VLOOKUP(H95,ghosts_label!$A$2:$B$19,2,FALSE)</f>
        <v>1</v>
      </c>
    </row>
    <row r="96" spans="1:70" ht="21" customHeight="1" x14ac:dyDescent="0.15">
      <c r="A96" s="14">
        <f t="shared" ca="1" si="8"/>
        <v>95</v>
      </c>
      <c r="B96" s="77" t="str">
        <f ca="1">VLOOKUP($A96,OFFSET([2]characters!$A$1,0,0,COUNTA([2]characters!$A:$A),MATCH(B$1,[2]characters!$1:$1,0)-MATCH($A$1,[2]characters!$1:$1,0)+1),MATCH(B$1,[2]characters!$1:$1,0)-MATCH($A$1,[2]characters!$1:$1,0)+1,FALSE)</f>
        <v>守護者 白虎</v>
      </c>
      <c r="C96" s="77" t="str">
        <f ca="1">VLOOKUP($A96,OFFSET([2]characters!$A$1,0,0,COUNTA([2]characters!$A:$A),MATCH(C$1,[2]characters!$1:$1,0)-MATCH($A$1,[2]characters!$1:$1,0)+1),MATCH(C$1,[2]characters!$1:$1,0)-MATCH($A$1,[2]characters!$1:$1,0)+1,FALSE)</f>
        <v>リンクガチャ:4神</v>
      </c>
      <c r="D96" s="77" t="str">
        <f ca="1">VLOOKUP($A96,OFFSET([2]characters!$A$1,0,0,COUNTA([2]characters!$A:$A),MATCH(D$1,[2]characters!$1:$1,0)-MATCH($A$1,[2]characters!$1:$1,0)+1),MATCH(D$1,[2]characters!$1:$1,0)-MATCH($A$1,[2]characters!$1:$1,0)+1,FALSE)</f>
        <v>守護神</v>
      </c>
      <c r="E96" s="77" t="str">
        <f ca="1">VLOOKUP($A96,OFFSET([2]characters!$A$1,0,0,COUNTA([2]characters!$A:$A),MATCH(E$1,[2]characters!$1:$1,0)-MATCH($A$1,[2]characters!$1:$1,0)+1),MATCH(E$1,[2]characters!$1:$1,0)-MATCH($A$1,[2]characters!$1:$1,0)+1,FALSE)</f>
        <v>格好いい</v>
      </c>
      <c r="F96" s="77" t="str">
        <f ca="1">VLOOKUP($A96,OFFSET([2]characters!$A$1,0,0,COUNTA([2]characters!$A:$A),MATCH(F$1,[2]characters!$1:$1,0)-MATCH($A$1,[2]characters!$1:$1,0)+1),MATCH(F$1,[2]characters!$1:$1,0)-MATCH($A$1,[2]characters!$1:$1,0)+1,FALSE)</f>
        <v>不明</v>
      </c>
      <c r="G96" s="77">
        <f ca="1">VLOOKUP($A96,OFFSET([2]characters!$A$1,0,0,COUNTA([2]characters!$A:$A),MATCH(G$1,[2]characters!$1:$1,0)-MATCH($A$1,[2]characters!$1:$1,0)+1),MATCH(G$1,[2]characters!$1:$1,0)-MATCH($A$1,[2]characters!$1:$1,0)+1,FALSE)</f>
        <v>4</v>
      </c>
      <c r="H96" s="77" t="str">
        <f ca="1">VLOOKUP($A96,OFFSET([2]characters!$A$1,0,0,COUNTA([2]characters!$A:$A),MATCH(H$1,[2]characters!$1:$1,0)-MATCH($A$1,[2]characters!$1:$1,0)+1),MATCH(H$1,[2]characters!$1:$1,0)-MATCH($A$1,[2]characters!$1:$1,0)+1,FALSE)</f>
        <v>Drop2N</v>
      </c>
      <c r="I96" s="77" t="str">
        <f ca="1">VLOOKUP($A96,OFFSET([2]characters!$A$1,0,0,COUNTA([2]characters!$A:$A),MATCH(I$1,[2]characters!$1:$1,0)-MATCH($A$1,[2]characters!$1:$1,0)+1),MATCH(I$1,[2]characters!$1:$1,0)-MATCH($A$1,[2]characters!$1:$1,0)+1,FALSE)</f>
        <v>yellow</v>
      </c>
      <c r="J96" s="14">
        <f ca="1">VLOOKUP(I96,[2]属性!$A:$E,2,FALSE)</f>
        <v>0.98</v>
      </c>
      <c r="K96" s="14">
        <f ca="1">VLOOKUP(I96,[2]属性!$A:$E,3,FALSE)</f>
        <v>1.01</v>
      </c>
      <c r="L96" s="14">
        <f ca="1">VLOOKUP(I96,[2]属性!$A:$E,4,FALSE)</f>
        <v>1</v>
      </c>
      <c r="M96" s="14">
        <f ca="1">VLOOKUP(I96,[2]属性!$A:$E,5,FALSE)</f>
        <v>1.01</v>
      </c>
      <c r="N96" s="14">
        <f ca="1">INDEX(コスト!$A$1:$I$20,MATCH(H96,コスト!$A$1:$A$20,FALSE),MATCH(G96,コスト!$A$1:$I$1,FALSE))</f>
        <v>17</v>
      </c>
      <c r="O96" s="14">
        <f ca="1">INDEX(レベル!$A$1:$I$21,MATCH(H96,レベル!$A$1:$A$21,FALSE),MATCH(G96,レベル!$A$1:$I$1,FALSE))</f>
        <v>60</v>
      </c>
      <c r="P96" s="63">
        <f t="shared" ca="1" si="14"/>
        <v>60</v>
      </c>
      <c r="Q96" s="77" t="str">
        <f ca="1">VLOOKUP($A96,OFFSET([2]characters!$A$1,0,0,COUNTA([2]characters!$A:$A),MATCH(Q$1,[2]characters!$1:$1,0)-MATCH($A$1,[2]characters!$1:$1,0)+1),MATCH(Q$1,[2]characters!$1:$1,0)-MATCH($A$1,[2]characters!$1:$1,0)+1,FALSE)</f>
        <v>attack</v>
      </c>
      <c r="R96" s="8" t="str">
        <f ca="1">VLOOKUP(Q96,[2]character_type_i18n!$A:$H,3,FALSE)</f>
        <v>攻撃タイプ</v>
      </c>
      <c r="S96" s="14">
        <f ca="1">VLOOKUP(Q96,[2]character_type_i18n!$A:$H,4,FALSE)</f>
        <v>1</v>
      </c>
      <c r="T96" s="14">
        <f ca="1">VLOOKUP(Q96,[2]character_type_i18n!$A:$H,5,FALSE)</f>
        <v>1.33</v>
      </c>
      <c r="U96" s="14">
        <f ca="1">VLOOKUP(Q96,[2]character_type_i18n!$A:$H,6,FALSE)</f>
        <v>1</v>
      </c>
      <c r="V96" s="14">
        <f ca="1">VLOOKUP(Q96,[2]character_type_i18n!$A:$H,7,FALSE)</f>
        <v>0.67</v>
      </c>
      <c r="W96" s="77" t="str">
        <f ca="1">VLOOKUP($A96,OFFSET([2]characters!$A$1,0,0,COUNTA([2]characters!$A:$A),MATCH(W$1,[2]characters!$1:$1,0)-MATCH($A$1,[2]characters!$1:$1,0)+1),MATCH(W$1,[2]characters!$1:$1,0)-MATCH($A$1,[2]characters!$1:$1,0)+1,FALSE)</f>
        <v>animal</v>
      </c>
      <c r="X96" s="8" t="str">
        <f ca="1">VLOOKUP(W96,[2]character_tribe_i18n!$A:$H,3,FALSE)</f>
        <v>アニマル</v>
      </c>
      <c r="Y96" s="77" t="str">
        <f ca="1">VLOOKUP($A96,OFFSET([2]characters!$A$1,0,0,COUNTA([2]characters!$A:$A),MATCH(Y$1,[2]characters!$1:$1,0)-MATCH($A$1,[2]characters!$1:$1,0)+1),MATCH(Y$1,[2]characters!$1:$1,0)-MATCH($A$1,[2]characters!$1:$1,0)+1,FALSE)</f>
        <v>god</v>
      </c>
      <c r="Z96" s="8" t="str">
        <f ca="1">VLOOKUP(Y96,[2]character_tribe_i18n!$A:$H,3,FALSE)</f>
        <v>ゴッド</v>
      </c>
      <c r="AA96" s="14">
        <f ca="1">VLOOKUP(W96,[2]character_tribe_i18n!$A:$H,4,FALSE)</f>
        <v>1</v>
      </c>
      <c r="AB96" s="14">
        <f ca="1">VLOOKUP(W96,[2]character_tribe_i18n!$A:$H,5,FALSE)</f>
        <v>1.1000000000000001</v>
      </c>
      <c r="AC96" s="14">
        <f ca="1">VLOOKUP(W96,[2]character_tribe_i18n!$A:$H,6,FALSE)</f>
        <v>1</v>
      </c>
      <c r="AD96" s="14">
        <f ca="1">VLOOKUP(W96,[2]character_tribe_i18n!$A:$H,7,FALSE)</f>
        <v>0.9</v>
      </c>
      <c r="AE96" s="12">
        <v>96</v>
      </c>
      <c r="AF96" s="85" t="str">
        <f ca="1">IF(AE96="NULL","",VLOOKUP($AE96,OFFSET([2]characters!$A$1,0,0,COUNTA([2]characters!$A:$A),MATCH(AF$1,[2]characters!$1:$1,0)-MATCH($A$1,[2]characters!$1:$1,0)+1),MATCH(AF$1,[2]characters!$1:$1,0)-MATCH($A$1,[2]characters!$1:$1,0)+1,FALSE))</f>
        <v>金西の守護神 白虎</v>
      </c>
      <c r="AG96" s="8">
        <f t="shared" ca="1" si="9"/>
        <v>94</v>
      </c>
      <c r="AH96" s="85" t="str">
        <f ca="1">VLOOKUP($AG96,OFFSET([2]characters!$A$1,0,0,COUNTA([2]characters!$A:$A),MATCH(AH$1,[2]characters!$1:$1,0)-MATCH($A$1,[2]characters!$1:$1,0)+1),MATCH(AH$1,[2]characters!$1:$1,0)-MATCH($A$1,[2]characters!$1:$1,0)+1,FALSE)</f>
        <v>白虎</v>
      </c>
      <c r="AI96" s="14">
        <f ca="1">IF(AE96="NULL","NULL",VLOOKUP(G96,ビット!$A$2:$B$7,2))</f>
        <v>50000</v>
      </c>
      <c r="AJ96" s="9">
        <v>2</v>
      </c>
      <c r="AK96" s="10" t="str">
        <f t="shared" si="10"/>
        <v>普通</v>
      </c>
      <c r="AL96" s="14" t="str">
        <f ca="1">INDEX(経験値!$A$1:$I$20,MATCH(H96,経験値!$A$1:$A$20,FALSE),MATCH(G96,経験値!$A$1:$I$1,FALSE))</f>
        <v>required_exp_200</v>
      </c>
      <c r="AM96" s="11">
        <f ca="1">VLOOKUP(G96,経験値!$A$27:$B$31,2)</f>
        <v>3400</v>
      </c>
      <c r="AN96" s="21">
        <f ca="1">VLOOKUP(G96,ビット!$G$2:$H$7,2)</f>
        <v>600</v>
      </c>
      <c r="AO96" s="64" t="s">
        <v>190</v>
      </c>
      <c r="AP96" s="103">
        <v>453001</v>
      </c>
      <c r="AQ96" s="77" t="e">
        <f ca="1">VLOOKUP($AP96,OFFSET([1]unit_skills!$A$1,0,0,COUNTA([1]unit_skills!$A:$A),MATCH("name",[1]unit_skills!$1:$1,0)-MATCH($AP$1,[1]unit_skills!$1:$1,0)+1),MATCH("name",[1]unit_skills!$1:$1,0)-MATCH($AP$1,[1]unit_skills!$1:$1,0)+1,FALSE)</f>
        <v>#VALUE!</v>
      </c>
      <c r="AR96" s="77" t="e">
        <f ca="1">VLOOKUP($AP96,OFFSET([1]unit_skills!$A$1,0,0,COUNTA([1]unit_skills!$A:$A),MATCH("comment",[1]unit_skills!$1:$1,0)-MATCH($AP$1,[1]unit_skills!$1:$1,0)+1),MATCH("comment",[1]unit_skills!$1:$1,0)-MATCH($AP$1,[1]unit_skills!$1:$1,0)+1,FALSE)</f>
        <v>#VALUE!</v>
      </c>
      <c r="AS96" s="77" t="e">
        <f ca="1">VLOOKUP($AP96,OFFSET([1]unit_skills!$A$1,0,0,COUNTA([1]unit_skills!$A:$A),MATCH(AS$1,[1]unit_skills!$1:$1,0)-MATCH($AP$1,[1]unit_skills!$1:$1,0)+1),MATCH(AS$1,[1]unit_skills!$1:$1,0)-MATCH($AP$1,[1]unit_skills!$1:$1,0)+1,FALSE)</f>
        <v>#VALUE!</v>
      </c>
      <c r="AT96" s="97">
        <v>124003</v>
      </c>
      <c r="AU96" s="77" t="e">
        <f ca="1">VLOOKUP($AT96,OFFSET([1]crash_skills!$A$1,0,0,COUNTA([1]crash_skills!$A:$A),MATCH("name",[1]crash_skills!$1:$1,0)-MATCH($AT$1,[1]crash_skills!$1:$1,0)+1),MATCH("name",[1]crash_skills!$1:$1,0)-MATCH($AT$1,[1]crash_skills!$1:$1,0)+1,FALSE)</f>
        <v>#VALUE!</v>
      </c>
      <c r="AV96" s="77" t="e">
        <f ca="1">VLOOKUP($AT96,OFFSET([1]crash_skills!$A$1,0,0,COUNTA([1]crash_skills!$A:$A),MATCH("comment",[1]crash_skills!$1:$1,0)-MATCH($AT$1,[1]crash_skills!$1:$1,0)+1),MATCH("comment",[1]crash_skills!$1:$1,0)-MATCH($AT$1,[1]crash_skills!$1:$1,0)+1,FALSE)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96" s="77" t="e">
        <f ca="1">VLOOKUP($AT96,OFFSET([1]crash_skills!$A$1,0,0,COUNTA([1]crash_skills!$A:$A),MATCH(AW$1,[1]crash_skills!$1:$1,0)-MATCH($AT$1,[1]crash_skills!$1:$1,0)+1),MATCH(AW$1,[1]crash_skills!$1:$1,0)-MATCH($AT$1,[1]crash_skills!$1:$1,0)+1,FALSE)</f>
        <v>#VALUE!</v>
      </c>
      <c r="AX96" s="81">
        <f ca="1">VLOOKUP($A96,OFFSET([2]characters!$A$1,0,0,COUNTA([2]characters!$A:$A),MATCH(AX$1,[2]characters!$1:$1,0)-MATCH($A$1,[2]characters!$1:$1,0)+1),MATCH(AX$1,[2]characters!$1:$1,0)-MATCH($A$1,[2]characters!$1:$1,0)+1,FALSE)</f>
        <v>3</v>
      </c>
      <c r="AY96" s="19">
        <v>1</v>
      </c>
      <c r="AZ96" s="19">
        <v>1</v>
      </c>
      <c r="BA96" s="19">
        <v>0</v>
      </c>
      <c r="BB96" s="19">
        <v>1</v>
      </c>
      <c r="BC96" s="14">
        <f ca="1">INDEX('RC6SV'!$A$1:$G$20,MATCH(H96,'RC6SV'!$A$1:$A$20,FALSE),MATCH(G96,'RC6SV'!$A$1:$G$1,FALSE))</f>
        <v>5800</v>
      </c>
      <c r="BD96" s="63">
        <f t="shared" ca="1" si="11"/>
        <v>5800</v>
      </c>
      <c r="BE96" s="14">
        <f t="shared" ca="1" si="12"/>
        <v>4600</v>
      </c>
      <c r="BF96" s="14">
        <f t="shared" ca="1" si="13"/>
        <v>1</v>
      </c>
      <c r="BG96" s="138">
        <f ca="1">IF($BE96&lt;=0,ROUND(BK96*0.5,0), ROUND($BE96*S96*AA96*J96*AY96*0.8*[2]ステータス!$B$2*0.6,0))</f>
        <v>1082</v>
      </c>
      <c r="BH96" s="138">
        <f ca="1">IF($BE96&lt;=0,ROUND(BL96*0.5,0), ROUND($BE96*T96*AB96*K96*AZ96*0.8*[2]ステータス!$C$2*0.6,0))</f>
        <v>979</v>
      </c>
      <c r="BI96" s="138">
        <f ca="1">IF($BE96&lt;=0,ROUND(BM96*0.5,0), ROUND($BE96*U96*AC96*L96*BA96*0.8*[2]ステータス!$D$2,0))</f>
        <v>0</v>
      </c>
      <c r="BJ96" s="138">
        <f ca="1">IF($BE96&lt;=0,ROUND(BN96*0.5,0), ROUND($BE96*V96*AD96*M96*BB96*0.8*[2]ステータス!$E$2*0.6,0))</f>
        <v>336</v>
      </c>
      <c r="BK96" s="104">
        <f ca="1">ROUND(BD96*S96*AA96*J96*AY96*[2]ステータス!$B$2*0.6,0)</f>
        <v>1705</v>
      </c>
      <c r="BL96" s="104">
        <f ca="1">ROUND(BD96*T96*AB96*K96*AZ96*[2]ステータス!$C$2*0.6,0)</f>
        <v>1543</v>
      </c>
      <c r="BM96" s="104">
        <f ca="1">ROUND(BD96*U96*AC96*L96*BA96*[2]ステータス!$D$2,0)</f>
        <v>0</v>
      </c>
      <c r="BN96" s="104">
        <f ca="1">ROUND(BD96*V96*AD96*M96*BB96*[2]ステータス!$E$2*0.6,0)</f>
        <v>530</v>
      </c>
      <c r="BO96" s="13">
        <v>0</v>
      </c>
      <c r="BP96" s="13">
        <v>1</v>
      </c>
      <c r="BQ96" s="13" t="s">
        <v>102</v>
      </c>
      <c r="BR96" s="13">
        <f ca="1">VLOOKUP(H96,ghosts_label!$A$2:$B$19,2,FALSE)</f>
        <v>1</v>
      </c>
    </row>
    <row r="97" spans="1:70" ht="21" customHeight="1" x14ac:dyDescent="0.15">
      <c r="A97" s="14">
        <f t="shared" ca="1" si="8"/>
        <v>96</v>
      </c>
      <c r="B97" s="77" t="str">
        <f ca="1">VLOOKUP($A97,OFFSET([2]characters!$A$1,0,0,COUNTA([2]characters!$A:$A),MATCH(B$1,[2]characters!$1:$1,0)-MATCH($A$1,[2]characters!$1:$1,0)+1),MATCH(B$1,[2]characters!$1:$1,0)-MATCH($A$1,[2]characters!$1:$1,0)+1,FALSE)</f>
        <v>金西の守護神 白虎</v>
      </c>
      <c r="C97" s="77" t="str">
        <f ca="1">VLOOKUP($A97,OFFSET([2]characters!$A$1,0,0,COUNTA([2]characters!$A:$A),MATCH(C$1,[2]characters!$1:$1,0)-MATCH($A$1,[2]characters!$1:$1,0)+1),MATCH(C$1,[2]characters!$1:$1,0)-MATCH($A$1,[2]characters!$1:$1,0)+1,FALSE)</f>
        <v>リンクガチャ:4神</v>
      </c>
      <c r="D97" s="77" t="str">
        <f ca="1">VLOOKUP($A97,OFFSET([2]characters!$A$1,0,0,COUNTA([2]characters!$A:$A),MATCH(D$1,[2]characters!$1:$1,0)-MATCH($A$1,[2]characters!$1:$1,0)+1),MATCH(D$1,[2]characters!$1:$1,0)-MATCH($A$1,[2]characters!$1:$1,0)+1,FALSE)</f>
        <v>守護神</v>
      </c>
      <c r="E97" s="77" t="str">
        <f ca="1">VLOOKUP($A97,OFFSET([2]characters!$A$1,0,0,COUNTA([2]characters!$A:$A),MATCH(E$1,[2]characters!$1:$1,0)-MATCH($A$1,[2]characters!$1:$1,0)+1),MATCH(E$1,[2]characters!$1:$1,0)-MATCH($A$1,[2]characters!$1:$1,0)+1,FALSE)</f>
        <v>格好いい</v>
      </c>
      <c r="F97" s="77" t="str">
        <f ca="1">VLOOKUP($A97,OFFSET([2]characters!$A$1,0,0,COUNTA([2]characters!$A:$A),MATCH(F$1,[2]characters!$1:$1,0)-MATCH($A$1,[2]characters!$1:$1,0)+1),MATCH(F$1,[2]characters!$1:$1,0)-MATCH($A$1,[2]characters!$1:$1,0)+1,FALSE)</f>
        <v>不明</v>
      </c>
      <c r="G97" s="77">
        <f ca="1">VLOOKUP($A97,OFFSET([2]characters!$A$1,0,0,COUNTA([2]characters!$A:$A),MATCH(G$1,[2]characters!$1:$1,0)-MATCH($A$1,[2]characters!$1:$1,0)+1),MATCH(G$1,[2]characters!$1:$1,0)-MATCH($A$1,[2]characters!$1:$1,0)+1,FALSE)</f>
        <v>5</v>
      </c>
      <c r="H97" s="77" t="str">
        <f ca="1">VLOOKUP($A97,OFFSET([2]characters!$A$1,0,0,COUNTA([2]characters!$A:$A),MATCH(H$1,[2]characters!$1:$1,0)-MATCH($A$1,[2]characters!$1:$1,0)+1),MATCH(H$1,[2]characters!$1:$1,0)-MATCH($A$1,[2]characters!$1:$1,0)+1,FALSE)</f>
        <v>Drop2N</v>
      </c>
      <c r="I97" s="77" t="str">
        <f ca="1">VLOOKUP($A97,OFFSET([2]characters!$A$1,0,0,COUNTA([2]characters!$A:$A),MATCH(I$1,[2]characters!$1:$1,0)-MATCH($A$1,[2]characters!$1:$1,0)+1),MATCH(I$1,[2]characters!$1:$1,0)-MATCH($A$1,[2]characters!$1:$1,0)+1,FALSE)</f>
        <v>yellow</v>
      </c>
      <c r="J97" s="14">
        <f ca="1">VLOOKUP(I97,[2]属性!$A:$E,2,FALSE)</f>
        <v>0.98</v>
      </c>
      <c r="K97" s="14">
        <f ca="1">VLOOKUP(I97,[2]属性!$A:$E,3,FALSE)</f>
        <v>1.01</v>
      </c>
      <c r="L97" s="14">
        <f ca="1">VLOOKUP(I97,[2]属性!$A:$E,4,FALSE)</f>
        <v>1</v>
      </c>
      <c r="M97" s="14">
        <f ca="1">VLOOKUP(I97,[2]属性!$A:$E,5,FALSE)</f>
        <v>1.01</v>
      </c>
      <c r="N97" s="14">
        <f ca="1">INDEX(コスト!$A$1:$I$20,MATCH(H97,コスト!$A$1:$A$20,FALSE),MATCH(G97,コスト!$A$1:$I$1,FALSE))</f>
        <v>26</v>
      </c>
      <c r="O97" s="14">
        <f ca="1">INDEX(レベル!$A$1:$I$21,MATCH(H97,レベル!$A$1:$A$21,FALSE),MATCH(G97,レベル!$A$1:$I$1,FALSE))</f>
        <v>80</v>
      </c>
      <c r="P97" s="63">
        <f t="shared" ca="1" si="14"/>
        <v>75</v>
      </c>
      <c r="Q97" s="77" t="str">
        <f ca="1">VLOOKUP($A97,OFFSET([2]characters!$A$1,0,0,COUNTA([2]characters!$A:$A),MATCH(Q$1,[2]characters!$1:$1,0)-MATCH($A$1,[2]characters!$1:$1,0)+1),MATCH(Q$1,[2]characters!$1:$1,0)-MATCH($A$1,[2]characters!$1:$1,0)+1,FALSE)</f>
        <v>attack</v>
      </c>
      <c r="R97" s="8" t="str">
        <f ca="1">VLOOKUP(Q97,[2]character_type_i18n!$A:$H,3,FALSE)</f>
        <v>攻撃タイプ</v>
      </c>
      <c r="S97" s="14">
        <f ca="1">VLOOKUP(Q97,[2]character_type_i18n!$A:$H,4,FALSE)</f>
        <v>1</v>
      </c>
      <c r="T97" s="14">
        <f ca="1">VLOOKUP(Q97,[2]character_type_i18n!$A:$H,5,FALSE)</f>
        <v>1.33</v>
      </c>
      <c r="U97" s="14">
        <f ca="1">VLOOKUP(Q97,[2]character_type_i18n!$A:$H,6,FALSE)</f>
        <v>1</v>
      </c>
      <c r="V97" s="14">
        <f ca="1">VLOOKUP(Q97,[2]character_type_i18n!$A:$H,7,FALSE)</f>
        <v>0.67</v>
      </c>
      <c r="W97" s="77" t="str">
        <f ca="1">VLOOKUP($A97,OFFSET([2]characters!$A$1,0,0,COUNTA([2]characters!$A:$A),MATCH(W$1,[2]characters!$1:$1,0)-MATCH($A$1,[2]characters!$1:$1,0)+1),MATCH(W$1,[2]characters!$1:$1,0)-MATCH($A$1,[2]characters!$1:$1,0)+1,FALSE)</f>
        <v>animal</v>
      </c>
      <c r="X97" s="8" t="str">
        <f ca="1">VLOOKUP(W97,[2]character_tribe_i18n!$A:$H,3,FALSE)</f>
        <v>アニマル</v>
      </c>
      <c r="Y97" s="77" t="str">
        <f ca="1">VLOOKUP($A97,OFFSET([2]characters!$A$1,0,0,COUNTA([2]characters!$A:$A),MATCH(Y$1,[2]characters!$1:$1,0)-MATCH($A$1,[2]characters!$1:$1,0)+1),MATCH(Y$1,[2]characters!$1:$1,0)-MATCH($A$1,[2]characters!$1:$1,0)+1,FALSE)</f>
        <v>god</v>
      </c>
      <c r="Z97" s="8" t="str">
        <f ca="1">VLOOKUP(Y97,[2]character_tribe_i18n!$A:$H,3,FALSE)</f>
        <v>ゴッド</v>
      </c>
      <c r="AA97" s="14">
        <f ca="1">VLOOKUP(W97,[2]character_tribe_i18n!$A:$H,4,FALSE)</f>
        <v>1</v>
      </c>
      <c r="AB97" s="14">
        <f ca="1">VLOOKUP(W97,[2]character_tribe_i18n!$A:$H,5,FALSE)</f>
        <v>1.1000000000000001</v>
      </c>
      <c r="AC97" s="14">
        <f ca="1">VLOOKUP(W97,[2]character_tribe_i18n!$A:$H,6,FALSE)</f>
        <v>1</v>
      </c>
      <c r="AD97" s="14">
        <f ca="1">VLOOKUP(W97,[2]character_tribe_i18n!$A:$H,7,FALSE)</f>
        <v>0.9</v>
      </c>
      <c r="AE97" s="12" t="s">
        <v>102</v>
      </c>
      <c r="AF97" s="85" t="str">
        <f ca="1">IF(AE97="NULL","",VLOOKUP($AE97,OFFSET([2]characters!$A$1,0,0,COUNTA([2]characters!$A:$A),MATCH(AF$1,[2]characters!$1:$1,0)-MATCH($A$1,[2]characters!$1:$1,0)+1),MATCH(AF$1,[2]characters!$1:$1,0)-MATCH($A$1,[2]characters!$1:$1,0)+1,FALSE))</f>
        <v/>
      </c>
      <c r="AG97" s="8">
        <f t="shared" ca="1" si="9"/>
        <v>94</v>
      </c>
      <c r="AH97" s="85" t="str">
        <f ca="1">VLOOKUP($AG97,OFFSET([2]characters!$A$1,0,0,COUNTA([2]characters!$A:$A),MATCH(AH$1,[2]characters!$1:$1,0)-MATCH($A$1,[2]characters!$1:$1,0)+1),MATCH(AH$1,[2]characters!$1:$1,0)-MATCH($A$1,[2]characters!$1:$1,0)+1,FALSE)</f>
        <v>白虎</v>
      </c>
      <c r="AI97" s="14" t="str">
        <f>IF(AE97="NULL","NULL",VLOOKUP(G97,ビット!$A$2:$B$7,2))</f>
        <v>NULL</v>
      </c>
      <c r="AJ97" s="9">
        <v>2</v>
      </c>
      <c r="AK97" s="10" t="str">
        <f t="shared" si="10"/>
        <v>普通</v>
      </c>
      <c r="AL97" s="14" t="str">
        <f ca="1">INDEX(経験値!$A$1:$I$20,MATCH(H97,経験値!$A$1:$A$20,FALSE),MATCH(G97,経験値!$A$1:$I$1,FALSE))</f>
        <v>required_exp_200</v>
      </c>
      <c r="AM97" s="11">
        <f ca="1">VLOOKUP(G97,経験値!$A$27:$B$31,2)</f>
        <v>6400</v>
      </c>
      <c r="AN97" s="21">
        <f ca="1">VLOOKUP(G97,ビット!$G$2:$H$7,2)</f>
        <v>900</v>
      </c>
      <c r="AO97" s="64" t="s">
        <v>190</v>
      </c>
      <c r="AP97" s="103">
        <v>453001</v>
      </c>
      <c r="AQ97" s="77" t="e">
        <f ca="1">VLOOKUP($AP97,OFFSET([1]unit_skills!$A$1,0,0,COUNTA([1]unit_skills!$A:$A),MATCH("name",[1]unit_skills!$1:$1,0)-MATCH($AP$1,[1]unit_skills!$1:$1,0)+1),MATCH("name",[1]unit_skills!$1:$1,0)-MATCH($AP$1,[1]unit_skills!$1:$1,0)+1,FALSE)</f>
        <v>#VALUE!</v>
      </c>
      <c r="AR97" s="77" t="e">
        <f ca="1">VLOOKUP($AP97,OFFSET([1]unit_skills!$A$1,0,0,COUNTA([1]unit_skills!$A:$A),MATCH("comment",[1]unit_skills!$1:$1,0)-MATCH($AP$1,[1]unit_skills!$1:$1,0)+1),MATCH("comment",[1]unit_skills!$1:$1,0)-MATCH($AP$1,[1]unit_skills!$1:$1,0)+1,FALSE)</f>
        <v>#VALUE!</v>
      </c>
      <c r="AS97" s="77" t="e">
        <f ca="1">VLOOKUP($AP97,OFFSET([1]unit_skills!$A$1,0,0,COUNTA([1]unit_skills!$A:$A),MATCH(AS$1,[1]unit_skills!$1:$1,0)-MATCH($AP$1,[1]unit_skills!$1:$1,0)+1),MATCH(AS$1,[1]unit_skills!$1:$1,0)-MATCH($AP$1,[1]unit_skills!$1:$1,0)+1,FALSE)</f>
        <v>#VALUE!</v>
      </c>
      <c r="AT97" s="97">
        <v>124004</v>
      </c>
      <c r="AU97" s="77" t="e">
        <f ca="1">VLOOKUP($AT97,OFFSET([1]crash_skills!$A$1,0,0,COUNTA([1]crash_skills!$A:$A),MATCH("name",[1]crash_skills!$1:$1,0)-MATCH($AT$1,[1]crash_skills!$1:$1,0)+1),MATCH("name",[1]crash_skills!$1:$1,0)-MATCH($AT$1,[1]crash_skills!$1:$1,0)+1,FALSE)</f>
        <v>#VALUE!</v>
      </c>
      <c r="AV97" s="77" t="e">
        <f ca="1">VLOOKUP($AT97,OFFSET([1]crash_skills!$A$1,0,0,COUNTA([1]crash_skills!$A:$A),MATCH("comment",[1]crash_skills!$1:$1,0)-MATCH($AT$1,[1]crash_skills!$1:$1,0)+1),MATCH("comment",[1]crash_skills!$1:$1,0)-MATCH($AT$1,[1]crash_skills!$1:$1,0)+1,FALSE)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97" s="77" t="e">
        <f ca="1">VLOOKUP($AT97,OFFSET([1]crash_skills!$A$1,0,0,COUNTA([1]crash_skills!$A:$A),MATCH(AW$1,[1]crash_skills!$1:$1,0)-MATCH($AT$1,[1]crash_skills!$1:$1,0)+1),MATCH(AW$1,[1]crash_skills!$1:$1,0)-MATCH($AT$1,[1]crash_skills!$1:$1,0)+1,FALSE)</f>
        <v>#VALUE!</v>
      </c>
      <c r="AX97" s="81">
        <f ca="1">VLOOKUP($A97,OFFSET([2]characters!$A$1,0,0,COUNTA([2]characters!$A:$A),MATCH(AX$1,[2]characters!$1:$1,0)-MATCH($A$1,[2]characters!$1:$1,0)+1),MATCH(AX$1,[2]characters!$1:$1,0)-MATCH($A$1,[2]characters!$1:$1,0)+1,FALSE)</f>
        <v>3</v>
      </c>
      <c r="AY97" s="19">
        <v>1</v>
      </c>
      <c r="AZ97" s="19">
        <v>1</v>
      </c>
      <c r="BA97" s="19">
        <v>0</v>
      </c>
      <c r="BB97" s="19">
        <v>1</v>
      </c>
      <c r="BC97" s="14">
        <f ca="1">INDEX('RC6SV'!$A$1:$G$20,MATCH(H97,'RC6SV'!$A$1:$A$20,FALSE),MATCH(G97,'RC6SV'!$A$1:$G$1,FALSE))</f>
        <v>7600</v>
      </c>
      <c r="BD97" s="63">
        <f t="shared" ca="1" si="11"/>
        <v>7600</v>
      </c>
      <c r="BE97" s="14">
        <f t="shared" ca="1" si="12"/>
        <v>5800</v>
      </c>
      <c r="BF97" s="14">
        <f t="shared" ca="1" si="13"/>
        <v>1</v>
      </c>
      <c r="BG97" s="138">
        <f ca="1">IF($BE97&lt;=0,ROUND(BK97*0.5,0), ROUND($BE97*S97*AA97*J97*AY97*0.8*[2]ステータス!$B$2*0.6,0))</f>
        <v>1364</v>
      </c>
      <c r="BH97" s="138">
        <f ca="1">IF($BE97&lt;=0,ROUND(BL97*0.5,0), ROUND($BE97*T97*AB97*K97*AZ97*0.8*[2]ステータス!$C$2*0.6,0))</f>
        <v>1234</v>
      </c>
      <c r="BI97" s="138">
        <f ca="1">IF($BE97&lt;=0,ROUND(BM97*0.5,0), ROUND($BE97*U97*AC97*L97*BA97*0.8*[2]ステータス!$D$2,0))</f>
        <v>0</v>
      </c>
      <c r="BJ97" s="138">
        <f ca="1">IF($BE97&lt;=0,ROUND(BN97*0.5,0), ROUND($BE97*V97*AD97*M97*BB97*0.8*[2]ステータス!$E$2*0.6,0))</f>
        <v>424</v>
      </c>
      <c r="BK97" s="14">
        <f ca="1">ROUND(BD97*S97*AA97*J97*AY97*[2]ステータス!$B$2,0)</f>
        <v>3724</v>
      </c>
      <c r="BL97" s="14">
        <f ca="1">ROUND(BD97*T97*AB97*K97*AZ97*[2]ステータス!$C$2,0)</f>
        <v>3369</v>
      </c>
      <c r="BM97" s="14">
        <f ca="1">ROUND(BD97*U97*AC97*L97*BA97*[2]ステータス!$D$2,0)</f>
        <v>0</v>
      </c>
      <c r="BN97" s="14">
        <f ca="1">ROUND(BD97*V97*AD97*M97*BB97*[2]ステータス!$E$2,0)</f>
        <v>1157</v>
      </c>
      <c r="BO97" s="13">
        <v>0</v>
      </c>
      <c r="BP97" s="13">
        <v>1</v>
      </c>
      <c r="BQ97" s="13" t="s">
        <v>102</v>
      </c>
      <c r="BR97" s="13">
        <f ca="1">VLOOKUP(H97,ghosts_label!$A$2:$B$19,2,FALSE)</f>
        <v>1</v>
      </c>
    </row>
    <row r="98" spans="1:70" s="199" customFormat="1" ht="21" customHeight="1" x14ac:dyDescent="0.15">
      <c r="A98" s="14">
        <f t="shared" ca="1" si="8"/>
        <v>97</v>
      </c>
      <c r="B98" s="77" t="str">
        <f ca="1">VLOOKUP($A98,OFFSET([2]characters!$A$1,0,0,COUNTA([2]characters!$A:$A),MATCH(B$1,[2]characters!$1:$1,0)-MATCH($A$1,[2]characters!$1:$1,0)+1),MATCH(B$1,[2]characters!$1:$1,0)-MATCH($A$1,[2]characters!$1:$1,0)+1,FALSE)</f>
        <v>炎のミリオンダック</v>
      </c>
      <c r="C98" s="77" t="str">
        <f ca="1">VLOOKUP($A98,OFFSET([2]characters!$A$1,0,0,COUNTA([2]characters!$A:$A),MATCH(C$1,[2]characters!$1:$1,0)-MATCH($A$1,[2]characters!$1:$1,0)+1),MATCH(C$1,[2]characters!$1:$1,0)-MATCH($A$1,[2]characters!$1:$1,0)+1,FALSE)</f>
        <v>強化素材R6</v>
      </c>
      <c r="D98" s="77" t="str">
        <f ca="1">VLOOKUP($A98,OFFSET([2]characters!$A$1,0,0,COUNTA([2]characters!$A:$A),MATCH(D$1,[2]characters!$1:$1,0)-MATCH($A$1,[2]characters!$1:$1,0)+1),MATCH(D$1,[2]characters!$1:$1,0)-MATCH($A$1,[2]characters!$1:$1,0)+1,FALSE)</f>
        <v>アリス</v>
      </c>
      <c r="E98" s="77" t="str">
        <f ca="1">VLOOKUP($A98,OFFSET([2]characters!$A$1,0,0,COUNTA([2]characters!$A:$A),MATCH(E$1,[2]characters!$1:$1,0)-MATCH($A$1,[2]characters!$1:$1,0)+1),MATCH(E$1,[2]characters!$1:$1,0)-MATCH($A$1,[2]characters!$1:$1,0)+1,FALSE)</f>
        <v>世界観</v>
      </c>
      <c r="F98" s="77" t="str">
        <f ca="1">VLOOKUP($A98,OFFSET([2]characters!$A$1,0,0,COUNTA([2]characters!$A:$A),MATCH(F$1,[2]characters!$1:$1,0)-MATCH($A$1,[2]characters!$1:$1,0)+1),MATCH(F$1,[2]characters!$1:$1,0)-MATCH($A$1,[2]characters!$1:$1,0)+1,FALSE)</f>
        <v>不明</v>
      </c>
      <c r="G98" s="77">
        <f ca="1">VLOOKUP($A98,OFFSET([2]characters!$A$1,0,0,COUNTA([2]characters!$A:$A),MATCH(G$1,[2]characters!$1:$1,0)-MATCH($A$1,[2]characters!$1:$1,0)+1),MATCH(G$1,[2]characters!$1:$1,0)-MATCH($A$1,[2]characters!$1:$1,0)+1,FALSE)</f>
        <v>6</v>
      </c>
      <c r="H98" s="77" t="str">
        <f ca="1">VLOOKUP($A98,OFFSET([2]characters!$A$1,0,0,COUNTA([2]characters!$A:$A),MATCH(H$1,[2]characters!$1:$1,0)-MATCH($A$1,[2]characters!$1:$1,0)+1),MATCH(H$1,[2]characters!$1:$1,0)-MATCH($A$1,[2]characters!$1:$1,0)+1,FALSE)</f>
        <v>Material</v>
      </c>
      <c r="I98" s="77" t="str">
        <f ca="1">VLOOKUP($A98,OFFSET([2]characters!$A$1,0,0,COUNTA([2]characters!$A:$A),MATCH(I$1,[2]characters!$1:$1,0)-MATCH($A$1,[2]characters!$1:$1,0)+1),MATCH(I$1,[2]characters!$1:$1,0)-MATCH($A$1,[2]characters!$1:$1,0)+1,FALSE)</f>
        <v>red</v>
      </c>
      <c r="J98" s="14">
        <f ca="1">VLOOKUP(I98,[2]属性!$A:$E,2,FALSE)</f>
        <v>1</v>
      </c>
      <c r="K98" s="14">
        <f ca="1">VLOOKUP(I98,[2]属性!$A:$E,3,FALSE)</f>
        <v>1.02</v>
      </c>
      <c r="L98" s="14">
        <f ca="1">VLOOKUP(I98,[2]属性!$A:$E,4,FALSE)</f>
        <v>1</v>
      </c>
      <c r="M98" s="14">
        <f ca="1">VLOOKUP(I98,[2]属性!$A:$E,5,FALSE)</f>
        <v>0.98</v>
      </c>
      <c r="N98" s="14">
        <f ca="1">INDEX(コスト!$A$1:$I$20,MATCH(H98,コスト!$A$1:$A$20,FALSE),MATCH(G98,コスト!$A$1:$I$1,FALSE))</f>
        <v>99</v>
      </c>
      <c r="O98" s="14">
        <f ca="1">INDEX(レベル!$A$1:$I$21,MATCH(H98,レベル!$A$1:$A$21,FALSE),MATCH(G98,レベル!$A$1:$I$1,FALSE))</f>
        <v>1</v>
      </c>
      <c r="P98" s="203">
        <v>1</v>
      </c>
      <c r="Q98" s="77" t="str">
        <f ca="1">VLOOKUP($A98,OFFSET([2]characters!$A$1,0,0,COUNTA([2]characters!$A:$A),MATCH(Q$1,[2]characters!$1:$1,0)-MATCH($A$1,[2]characters!$1:$1,0)+1),MATCH(Q$1,[2]characters!$1:$1,0)-MATCH($A$1,[2]characters!$1:$1,0)+1,FALSE)</f>
        <v>exp</v>
      </c>
      <c r="R98" s="8" t="str">
        <f ca="1">VLOOKUP(Q98,[2]character_type_i18n!$A:$H,3,FALSE)</f>
        <v>強化素材タイプ</v>
      </c>
      <c r="S98" s="14">
        <f ca="1">VLOOKUP(Q98,[2]character_type_i18n!$A:$H,4,FALSE)</f>
        <v>0.1</v>
      </c>
      <c r="T98" s="14">
        <f ca="1">VLOOKUP(Q98,[2]character_type_i18n!$A:$H,5,FALSE)</f>
        <v>0.05</v>
      </c>
      <c r="U98" s="14">
        <f ca="1">VLOOKUP(Q98,[2]character_type_i18n!$A:$H,6,FALSE)</f>
        <v>1</v>
      </c>
      <c r="V98" s="14">
        <f ca="1">VLOOKUP(Q98,[2]character_type_i18n!$A:$H,7,FALSE)</f>
        <v>0.05</v>
      </c>
      <c r="W98" s="77" t="str">
        <f ca="1">VLOOKUP($A98,OFFSET([2]characters!$A$1,0,0,COUNTA([2]characters!$A:$A),MATCH(W$1,[2]characters!$1:$1,0)-MATCH($A$1,[2]characters!$1:$1,0)+1),MATCH(W$1,[2]characters!$1:$1,0)-MATCH($A$1,[2]characters!$1:$1,0)+1,FALSE)</f>
        <v>unknown</v>
      </c>
      <c r="X98" s="8" t="str">
        <f ca="1">VLOOKUP(W98,[2]character_tribe_i18n!$A:$H,3,FALSE)</f>
        <v>Unknown</v>
      </c>
      <c r="Y98" s="77" t="str">
        <f ca="1">VLOOKUP($A98,OFFSET([2]characters!$A$1,0,0,COUNTA([2]characters!$A:$A),MATCH(Y$1,[2]characters!$1:$1,0)-MATCH($A$1,[2]characters!$1:$1,0)+1),MATCH(Y$1,[2]characters!$1:$1,0)-MATCH($A$1,[2]characters!$1:$1,0)+1,FALSE)</f>
        <v>none</v>
      </c>
      <c r="Z98" s="8" t="str">
        <f ca="1">VLOOKUP(Y98,[2]character_tribe_i18n!$A:$H,3,FALSE)</f>
        <v>種族なし</v>
      </c>
      <c r="AA98" s="14">
        <f ca="1">VLOOKUP(W98,[2]character_tribe_i18n!$A:$H,4,FALSE)</f>
        <v>1</v>
      </c>
      <c r="AB98" s="14">
        <f ca="1">VLOOKUP(W98,[2]character_tribe_i18n!$A:$H,5,FALSE)</f>
        <v>1</v>
      </c>
      <c r="AC98" s="14">
        <f ca="1">VLOOKUP(W98,[2]character_tribe_i18n!$A:$H,6,FALSE)</f>
        <v>1</v>
      </c>
      <c r="AD98" s="14">
        <f ca="1">VLOOKUP(W98,[2]character_tribe_i18n!$A:$H,7,FALSE)</f>
        <v>1</v>
      </c>
      <c r="AE98" s="197" t="s">
        <v>102</v>
      </c>
      <c r="AF98" s="85" t="str">
        <f ca="1">IF(AE98="NULL","",VLOOKUP($AE98,OFFSET([2]characters!$A$1,0,0,COUNTA([2]characters!$A:$A),MATCH(AF$1,[2]characters!$1:$1,0)-MATCH($A$1,[2]characters!$1:$1,0)+1),MATCH(AF$1,[2]characters!$1:$1,0)-MATCH($A$1,[2]characters!$1:$1,0)+1,FALSE))</f>
        <v/>
      </c>
      <c r="AG98" s="8">
        <f t="shared" ca="1" si="9"/>
        <v>97</v>
      </c>
      <c r="AH98" s="85" t="str">
        <f ca="1">VLOOKUP($AG98,OFFSET([2]characters!$A$1,0,0,COUNTA([2]characters!$A:$A),MATCH(AH$1,[2]characters!$1:$1,0)-MATCH($A$1,[2]characters!$1:$1,0)+1),MATCH(AH$1,[2]characters!$1:$1,0)-MATCH($A$1,[2]characters!$1:$1,0)+1,FALSE)</f>
        <v>炎のミリオンダック</v>
      </c>
      <c r="AI98" s="14" t="str">
        <f>IF(AE98="NULL","NULL",VLOOKUP(G98,ビット!$A$2:$B$7,2))</f>
        <v>NULL</v>
      </c>
      <c r="AJ98" s="9">
        <v>2</v>
      </c>
      <c r="AK98" s="10" t="str">
        <f t="shared" si="10"/>
        <v>普通</v>
      </c>
      <c r="AL98" s="14" t="str">
        <f ca="1">INDEX(経験値!$A$1:$I$20,MATCH(H98,経験値!$A$1:$A$20,FALSE),MATCH(G98,経験値!$A$1:$I$1,FALSE))</f>
        <v>NULL</v>
      </c>
      <c r="AM98" s="133">
        <v>1000000</v>
      </c>
      <c r="AN98" s="133">
        <v>1000000</v>
      </c>
      <c r="AO98" s="64" t="s">
        <v>54</v>
      </c>
      <c r="AP98" s="101">
        <v>990020</v>
      </c>
      <c r="AQ98" s="77" t="e">
        <f ca="1">VLOOKUP($AP98,OFFSET([1]unit_skills!$A$1,0,0,COUNTA([1]unit_skills!$A:$A),MATCH("name",[1]unit_skills!$1:$1,0)-MATCH($AP$1,[1]unit_skills!$1:$1,0)+1),MATCH("name",[1]unit_skills!$1:$1,0)-MATCH($AP$1,[1]unit_skills!$1:$1,0)+1,FALSE)</f>
        <v>#VALUE!</v>
      </c>
      <c r="AR98" s="77" t="e">
        <f ca="1">VLOOKUP($AP98,OFFSET([1]unit_skills!$A$1,0,0,COUNTA([1]unit_skills!$A:$A),MATCH("comment",[1]unit_skills!$1:$1,0)-MATCH($AP$1,[1]unit_skills!$1:$1,0)+1),MATCH("comment",[1]unit_skills!$1:$1,0)-MATCH($AP$1,[1]unit_skills!$1:$1,0)+1,FALSE)</f>
        <v>#VALUE!</v>
      </c>
      <c r="AS98" s="77" t="e">
        <f ca="1">VLOOKUP($AP98,OFFSET([1]unit_skills!$A$1,0,0,COUNTA([1]unit_skills!$A:$A),MATCH(AS$1,[1]unit_skills!$1:$1,0)-MATCH($AP$1,[1]unit_skills!$1:$1,0)+1),MATCH(AS$1,[1]unit_skills!$1:$1,0)-MATCH($AP$1,[1]unit_skills!$1:$1,0)+1,FALSE)</f>
        <v>#VALUE!</v>
      </c>
      <c r="AT98" s="104">
        <v>100</v>
      </c>
      <c r="AU98" s="77" t="e">
        <f ca="1">VLOOKUP($AT98,OFFSET([1]crash_skills!$A$1,0,0,COUNTA([1]crash_skills!$A:$A),MATCH("name",[1]crash_skills!$1:$1,0)-MATCH($AT$1,[1]crash_skills!$1:$1,0)+1),MATCH("name",[1]crash_skills!$1:$1,0)-MATCH($AT$1,[1]crash_skills!$1:$1,0)+1,FALSE)</f>
        <v>#VALUE!</v>
      </c>
      <c r="AV98" s="77" t="e">
        <f ca="1">VLOOKUP($AT98,OFFSET([1]crash_skills!$A$1,0,0,COUNTA([1]crash_skills!$A:$A),MATCH("comment",[1]crash_skills!$1:$1,0)-MATCH($AT$1,[1]crash_skills!$1:$1,0)+1),MATCH("comment",[1]crash_skills!$1:$1,0)-MATCH($AT$1,[1]crash_skills!$1:$1,0)+1,FALSE)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98" s="77" t="e">
        <f ca="1">VLOOKUP($AT98,OFFSET([1]crash_skills!$A$1,0,0,COUNTA([1]crash_skills!$A:$A),MATCH(AW$1,[1]crash_skills!$1:$1,0)-MATCH($AT$1,[1]crash_skills!$1:$1,0)+1),MATCH(AW$1,[1]crash_skills!$1:$1,0)-MATCH($AT$1,[1]crash_skills!$1:$1,0)+1,FALSE)</f>
        <v>#VALUE!</v>
      </c>
      <c r="AX98" s="81">
        <f ca="1">VLOOKUP($A98,OFFSET([2]characters!$A$1,0,0,COUNTA([2]characters!$A:$A),MATCH(AX$1,[2]characters!$1:$1,0)-MATCH($A$1,[2]characters!$1:$1,0)+1),MATCH(AX$1,[2]characters!$1:$1,0)-MATCH($A$1,[2]characters!$1:$1,0)+1,FALSE)</f>
        <v>3</v>
      </c>
      <c r="AY98" s="184">
        <v>1</v>
      </c>
      <c r="AZ98" s="184">
        <v>1</v>
      </c>
      <c r="BA98" s="184">
        <v>0</v>
      </c>
      <c r="BB98" s="184">
        <v>1</v>
      </c>
      <c r="BC98" s="14">
        <f ca="1">INDEX('RC6SV'!$A$1:$G$20,MATCH(H98,'RC6SV'!$A$1:$A$20,FALSE),MATCH(G98,'RC6SV'!$A$1:$G$1,FALSE))</f>
        <v>1000</v>
      </c>
      <c r="BD98" s="63">
        <f t="shared" ca="1" si="11"/>
        <v>1000</v>
      </c>
      <c r="BE98" s="75">
        <f t="shared" ca="1" si="12"/>
        <v>0</v>
      </c>
      <c r="BF98" s="75">
        <f t="shared" ca="1" si="13"/>
        <v>1</v>
      </c>
      <c r="BG98" s="138">
        <v>100</v>
      </c>
      <c r="BH98" s="138">
        <v>100</v>
      </c>
      <c r="BI98" s="138">
        <v>100</v>
      </c>
      <c r="BJ98" s="138">
        <v>100</v>
      </c>
      <c r="BK98" s="138">
        <v>100</v>
      </c>
      <c r="BL98" s="138">
        <v>100</v>
      </c>
      <c r="BM98" s="138">
        <v>100</v>
      </c>
      <c r="BN98" s="138">
        <v>100</v>
      </c>
      <c r="BO98" s="198">
        <v>0</v>
      </c>
      <c r="BP98" s="198">
        <v>1</v>
      </c>
      <c r="BQ98" s="198" t="s">
        <v>102</v>
      </c>
      <c r="BR98" s="13">
        <f ca="1">VLOOKUP(H98,ghosts_label!$A$2:$B$19,2,FALSE)</f>
        <v>0</v>
      </c>
    </row>
    <row r="99" spans="1:70" s="199" customFormat="1" ht="21" customHeight="1" x14ac:dyDescent="0.15">
      <c r="A99" s="14">
        <f t="shared" ca="1" si="8"/>
        <v>98</v>
      </c>
      <c r="B99" s="77" t="str">
        <f ca="1">VLOOKUP($A99,OFFSET([2]characters!$A$1,0,0,COUNTA([2]characters!$A:$A),MATCH(B$1,[2]characters!$1:$1,0)-MATCH($A$1,[2]characters!$1:$1,0)+1),MATCH(B$1,[2]characters!$1:$1,0)-MATCH($A$1,[2]characters!$1:$1,0)+1,FALSE)</f>
        <v>森のミリオンダック</v>
      </c>
      <c r="C99" s="77" t="str">
        <f ca="1">VLOOKUP($A99,OFFSET([2]characters!$A$1,0,0,COUNTA([2]characters!$A:$A),MATCH(C$1,[2]characters!$1:$1,0)-MATCH($A$1,[2]characters!$1:$1,0)+1),MATCH(C$1,[2]characters!$1:$1,0)-MATCH($A$1,[2]characters!$1:$1,0)+1,FALSE)</f>
        <v>強化素材R6</v>
      </c>
      <c r="D99" s="77" t="str">
        <f ca="1">VLOOKUP($A99,OFFSET([2]characters!$A$1,0,0,COUNTA([2]characters!$A:$A),MATCH(D$1,[2]characters!$1:$1,0)-MATCH($A$1,[2]characters!$1:$1,0)+1),MATCH(D$1,[2]characters!$1:$1,0)-MATCH($A$1,[2]characters!$1:$1,0)+1,FALSE)</f>
        <v>アリス</v>
      </c>
      <c r="E99" s="77" t="str">
        <f ca="1">VLOOKUP($A99,OFFSET([2]characters!$A$1,0,0,COUNTA([2]characters!$A:$A),MATCH(E$1,[2]characters!$1:$1,0)-MATCH($A$1,[2]characters!$1:$1,0)+1),MATCH(E$1,[2]characters!$1:$1,0)-MATCH($A$1,[2]characters!$1:$1,0)+1,FALSE)</f>
        <v>世界観</v>
      </c>
      <c r="F99" s="77" t="str">
        <f ca="1">VLOOKUP($A99,OFFSET([2]characters!$A$1,0,0,COUNTA([2]characters!$A:$A),MATCH(F$1,[2]characters!$1:$1,0)-MATCH($A$1,[2]characters!$1:$1,0)+1),MATCH(F$1,[2]characters!$1:$1,0)-MATCH($A$1,[2]characters!$1:$1,0)+1,FALSE)</f>
        <v>不明</v>
      </c>
      <c r="G99" s="77">
        <f ca="1">VLOOKUP($A99,OFFSET([2]characters!$A$1,0,0,COUNTA([2]characters!$A:$A),MATCH(G$1,[2]characters!$1:$1,0)-MATCH($A$1,[2]characters!$1:$1,0)+1),MATCH(G$1,[2]characters!$1:$1,0)-MATCH($A$1,[2]characters!$1:$1,0)+1,FALSE)</f>
        <v>6</v>
      </c>
      <c r="H99" s="77" t="str">
        <f ca="1">VLOOKUP($A99,OFFSET([2]characters!$A$1,0,0,COUNTA([2]characters!$A:$A),MATCH(H$1,[2]characters!$1:$1,0)-MATCH($A$1,[2]characters!$1:$1,0)+1),MATCH(H$1,[2]characters!$1:$1,0)-MATCH($A$1,[2]characters!$1:$1,0)+1,FALSE)</f>
        <v>Material</v>
      </c>
      <c r="I99" s="77" t="str">
        <f ca="1">VLOOKUP($A99,OFFSET([2]characters!$A$1,0,0,COUNTA([2]characters!$A:$A),MATCH(I$1,[2]characters!$1:$1,0)-MATCH($A$1,[2]characters!$1:$1,0)+1),MATCH(I$1,[2]characters!$1:$1,0)-MATCH($A$1,[2]characters!$1:$1,0)+1,FALSE)</f>
        <v>green</v>
      </c>
      <c r="J99" s="14">
        <f ca="1">VLOOKUP(I99,[2]属性!$A:$E,2,FALSE)</f>
        <v>1.02</v>
      </c>
      <c r="K99" s="14">
        <f ca="1">VLOOKUP(I99,[2]属性!$A:$E,3,FALSE)</f>
        <v>0.98</v>
      </c>
      <c r="L99" s="14">
        <f ca="1">VLOOKUP(I99,[2]属性!$A:$E,4,FALSE)</f>
        <v>1</v>
      </c>
      <c r="M99" s="14">
        <f ca="1">VLOOKUP(I99,[2]属性!$A:$E,5,FALSE)</f>
        <v>1</v>
      </c>
      <c r="N99" s="14">
        <f ca="1">INDEX(コスト!$A$1:$I$20,MATCH(H99,コスト!$A$1:$A$20,FALSE),MATCH(G99,コスト!$A$1:$I$1,FALSE))</f>
        <v>99</v>
      </c>
      <c r="O99" s="14">
        <f ca="1">INDEX(レベル!$A$1:$I$21,MATCH(H99,レベル!$A$1:$A$21,FALSE),MATCH(G99,レベル!$A$1:$I$1,FALSE))</f>
        <v>1</v>
      </c>
      <c r="P99" s="203">
        <v>1</v>
      </c>
      <c r="Q99" s="77" t="str">
        <f ca="1">VLOOKUP($A99,OFFSET([2]characters!$A$1,0,0,COUNTA([2]characters!$A:$A),MATCH(Q$1,[2]characters!$1:$1,0)-MATCH($A$1,[2]characters!$1:$1,0)+1),MATCH(Q$1,[2]characters!$1:$1,0)-MATCH($A$1,[2]characters!$1:$1,0)+1,FALSE)</f>
        <v>exp</v>
      </c>
      <c r="R99" s="8" t="str">
        <f ca="1">VLOOKUP(Q99,[2]character_type_i18n!$A:$H,3,FALSE)</f>
        <v>強化素材タイプ</v>
      </c>
      <c r="S99" s="14">
        <f ca="1">VLOOKUP(Q99,[2]character_type_i18n!$A:$H,4,FALSE)</f>
        <v>0.1</v>
      </c>
      <c r="T99" s="14">
        <f ca="1">VLOOKUP(Q99,[2]character_type_i18n!$A:$H,5,FALSE)</f>
        <v>0.05</v>
      </c>
      <c r="U99" s="14">
        <f ca="1">VLOOKUP(Q99,[2]character_type_i18n!$A:$H,6,FALSE)</f>
        <v>1</v>
      </c>
      <c r="V99" s="14">
        <f ca="1">VLOOKUP(Q99,[2]character_type_i18n!$A:$H,7,FALSE)</f>
        <v>0.05</v>
      </c>
      <c r="W99" s="77" t="str">
        <f ca="1">VLOOKUP($A99,OFFSET([2]characters!$A$1,0,0,COUNTA([2]characters!$A:$A),MATCH(W$1,[2]characters!$1:$1,0)-MATCH($A$1,[2]characters!$1:$1,0)+1),MATCH(W$1,[2]characters!$1:$1,0)-MATCH($A$1,[2]characters!$1:$1,0)+1,FALSE)</f>
        <v>unknown</v>
      </c>
      <c r="X99" s="8" t="str">
        <f ca="1">VLOOKUP(W99,[2]character_tribe_i18n!$A:$H,3,FALSE)</f>
        <v>Unknown</v>
      </c>
      <c r="Y99" s="77" t="str">
        <f ca="1">VLOOKUP($A99,OFFSET([2]characters!$A$1,0,0,COUNTA([2]characters!$A:$A),MATCH(Y$1,[2]characters!$1:$1,0)-MATCH($A$1,[2]characters!$1:$1,0)+1),MATCH(Y$1,[2]characters!$1:$1,0)-MATCH($A$1,[2]characters!$1:$1,0)+1,FALSE)</f>
        <v>none</v>
      </c>
      <c r="Z99" s="8" t="str">
        <f ca="1">VLOOKUP(Y99,[2]character_tribe_i18n!$A:$H,3,FALSE)</f>
        <v>種族なし</v>
      </c>
      <c r="AA99" s="14">
        <f ca="1">VLOOKUP(W99,[2]character_tribe_i18n!$A:$H,4,FALSE)</f>
        <v>1</v>
      </c>
      <c r="AB99" s="14">
        <f ca="1">VLOOKUP(W99,[2]character_tribe_i18n!$A:$H,5,FALSE)</f>
        <v>1</v>
      </c>
      <c r="AC99" s="14">
        <f ca="1">VLOOKUP(W99,[2]character_tribe_i18n!$A:$H,6,FALSE)</f>
        <v>1</v>
      </c>
      <c r="AD99" s="14">
        <f ca="1">VLOOKUP(W99,[2]character_tribe_i18n!$A:$H,7,FALSE)</f>
        <v>1</v>
      </c>
      <c r="AE99" s="197" t="s">
        <v>102</v>
      </c>
      <c r="AF99" s="85" t="str">
        <f ca="1">IF(AE99="NULL","",VLOOKUP($AE99,OFFSET([2]characters!$A$1,0,0,COUNTA([2]characters!$A:$A),MATCH(AF$1,[2]characters!$1:$1,0)-MATCH($A$1,[2]characters!$1:$1,0)+1),MATCH(AF$1,[2]characters!$1:$1,0)-MATCH($A$1,[2]characters!$1:$1,0)+1,FALSE))</f>
        <v/>
      </c>
      <c r="AG99" s="8">
        <f t="shared" ca="1" si="9"/>
        <v>98</v>
      </c>
      <c r="AH99" s="85" t="str">
        <f ca="1">VLOOKUP($AG99,OFFSET([2]characters!$A$1,0,0,COUNTA([2]characters!$A:$A),MATCH(AH$1,[2]characters!$1:$1,0)-MATCH($A$1,[2]characters!$1:$1,0)+1),MATCH(AH$1,[2]characters!$1:$1,0)-MATCH($A$1,[2]characters!$1:$1,0)+1,FALSE)</f>
        <v>森のミリオンダック</v>
      </c>
      <c r="AI99" s="14" t="str">
        <f>IF(AE99="NULL","NULL",VLOOKUP(G99,ビット!$A$2:$B$7,2))</f>
        <v>NULL</v>
      </c>
      <c r="AJ99" s="9">
        <v>2</v>
      </c>
      <c r="AK99" s="10" t="str">
        <f t="shared" si="10"/>
        <v>普通</v>
      </c>
      <c r="AL99" s="14" t="str">
        <f ca="1">INDEX(経験値!$A$1:$I$20,MATCH(H99,経験値!$A$1:$A$20,FALSE),MATCH(G99,経験値!$A$1:$I$1,FALSE))</f>
        <v>NULL</v>
      </c>
      <c r="AM99" s="133">
        <v>1000000</v>
      </c>
      <c r="AN99" s="133">
        <v>1000000</v>
      </c>
      <c r="AO99" s="64" t="s">
        <v>54</v>
      </c>
      <c r="AP99" s="101">
        <v>990020</v>
      </c>
      <c r="AQ99" s="77" t="e">
        <f ca="1">VLOOKUP($AP99,OFFSET([1]unit_skills!$A$1,0,0,COUNTA([1]unit_skills!$A:$A),MATCH("name",[1]unit_skills!$1:$1,0)-MATCH($AP$1,[1]unit_skills!$1:$1,0)+1),MATCH("name",[1]unit_skills!$1:$1,0)-MATCH($AP$1,[1]unit_skills!$1:$1,0)+1,FALSE)</f>
        <v>#VALUE!</v>
      </c>
      <c r="AR99" s="77" t="e">
        <f ca="1">VLOOKUP($AP99,OFFSET([1]unit_skills!$A$1,0,0,COUNTA([1]unit_skills!$A:$A),MATCH("comment",[1]unit_skills!$1:$1,0)-MATCH($AP$1,[1]unit_skills!$1:$1,0)+1),MATCH("comment",[1]unit_skills!$1:$1,0)-MATCH($AP$1,[1]unit_skills!$1:$1,0)+1,FALSE)</f>
        <v>#VALUE!</v>
      </c>
      <c r="AS99" s="77" t="e">
        <f ca="1">VLOOKUP($AP99,OFFSET([1]unit_skills!$A$1,0,0,COUNTA([1]unit_skills!$A:$A),MATCH(AS$1,[1]unit_skills!$1:$1,0)-MATCH($AP$1,[1]unit_skills!$1:$1,0)+1),MATCH(AS$1,[1]unit_skills!$1:$1,0)-MATCH($AP$1,[1]unit_skills!$1:$1,0)+1,FALSE)</f>
        <v>#VALUE!</v>
      </c>
      <c r="AT99" s="104">
        <v>100</v>
      </c>
      <c r="AU99" s="77" t="e">
        <f ca="1">VLOOKUP($AT99,OFFSET([1]crash_skills!$A$1,0,0,COUNTA([1]crash_skills!$A:$A),MATCH("name",[1]crash_skills!$1:$1,0)-MATCH($AT$1,[1]crash_skills!$1:$1,0)+1),MATCH("name",[1]crash_skills!$1:$1,0)-MATCH($AT$1,[1]crash_skills!$1:$1,0)+1,FALSE)</f>
        <v>#VALUE!</v>
      </c>
      <c r="AV99" s="77" t="e">
        <f ca="1">VLOOKUP($AT99,OFFSET([1]crash_skills!$A$1,0,0,COUNTA([1]crash_skills!$A:$A),MATCH("comment",[1]crash_skills!$1:$1,0)-MATCH($AT$1,[1]crash_skills!$1:$1,0)+1),MATCH("comment",[1]crash_skills!$1:$1,0)-MATCH($AT$1,[1]crash_skills!$1:$1,0)+1,FALSE)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99" s="77" t="e">
        <f ca="1">VLOOKUP($AT99,OFFSET([1]crash_skills!$A$1,0,0,COUNTA([1]crash_skills!$A:$A),MATCH(AW$1,[1]crash_skills!$1:$1,0)-MATCH($AT$1,[1]crash_skills!$1:$1,0)+1),MATCH(AW$1,[1]crash_skills!$1:$1,0)-MATCH($AT$1,[1]crash_skills!$1:$1,0)+1,FALSE)</f>
        <v>#VALUE!</v>
      </c>
      <c r="AX99" s="81">
        <f ca="1">VLOOKUP($A99,OFFSET([2]characters!$A$1,0,0,COUNTA([2]characters!$A:$A),MATCH(AX$1,[2]characters!$1:$1,0)-MATCH($A$1,[2]characters!$1:$1,0)+1),MATCH(AX$1,[2]characters!$1:$1,0)-MATCH($A$1,[2]characters!$1:$1,0)+1,FALSE)</f>
        <v>3</v>
      </c>
      <c r="AY99" s="184">
        <v>1</v>
      </c>
      <c r="AZ99" s="184">
        <v>1</v>
      </c>
      <c r="BA99" s="184">
        <v>0</v>
      </c>
      <c r="BB99" s="184">
        <v>1</v>
      </c>
      <c r="BC99" s="14">
        <f ca="1">INDEX('RC6SV'!$A$1:$G$20,MATCH(H99,'RC6SV'!$A$1:$A$20,FALSE),MATCH(G99,'RC6SV'!$A$1:$G$1,FALSE))</f>
        <v>1000</v>
      </c>
      <c r="BD99" s="63">
        <f t="shared" ca="1" si="11"/>
        <v>1000</v>
      </c>
      <c r="BE99" s="75">
        <f t="shared" ca="1" si="12"/>
        <v>0</v>
      </c>
      <c r="BF99" s="75">
        <f t="shared" ca="1" si="13"/>
        <v>1</v>
      </c>
      <c r="BG99" s="138">
        <v>100</v>
      </c>
      <c r="BH99" s="138">
        <v>100</v>
      </c>
      <c r="BI99" s="138">
        <v>100</v>
      </c>
      <c r="BJ99" s="138">
        <v>100</v>
      </c>
      <c r="BK99" s="138">
        <v>100</v>
      </c>
      <c r="BL99" s="138">
        <v>100</v>
      </c>
      <c r="BM99" s="138">
        <v>100</v>
      </c>
      <c r="BN99" s="138">
        <v>100</v>
      </c>
      <c r="BO99" s="198">
        <v>0</v>
      </c>
      <c r="BP99" s="198">
        <v>1</v>
      </c>
      <c r="BQ99" s="198" t="s">
        <v>102</v>
      </c>
      <c r="BR99" s="13">
        <f ca="1">VLOOKUP(H99,ghosts_label!$A$2:$B$19,2,FALSE)</f>
        <v>0</v>
      </c>
    </row>
    <row r="100" spans="1:70" s="199" customFormat="1" ht="21" customHeight="1" x14ac:dyDescent="0.15">
      <c r="A100" s="14">
        <f t="shared" ca="1" si="8"/>
        <v>99</v>
      </c>
      <c r="B100" s="77" t="str">
        <f ca="1">VLOOKUP($A100,OFFSET([2]characters!$A$1,0,0,COUNTA([2]characters!$A:$A),MATCH(B$1,[2]characters!$1:$1,0)-MATCH($A$1,[2]characters!$1:$1,0)+1),MATCH(B$1,[2]characters!$1:$1,0)-MATCH($A$1,[2]characters!$1:$1,0)+1,FALSE)</f>
        <v>水のミリオンダック</v>
      </c>
      <c r="C100" s="77" t="str">
        <f ca="1">VLOOKUP($A100,OFFSET([2]characters!$A$1,0,0,COUNTA([2]characters!$A:$A),MATCH(C$1,[2]characters!$1:$1,0)-MATCH($A$1,[2]characters!$1:$1,0)+1),MATCH(C$1,[2]characters!$1:$1,0)-MATCH($A$1,[2]characters!$1:$1,0)+1,FALSE)</f>
        <v>強化素材R6</v>
      </c>
      <c r="D100" s="77" t="str">
        <f ca="1">VLOOKUP($A100,OFFSET([2]characters!$A$1,0,0,COUNTA([2]characters!$A:$A),MATCH(D$1,[2]characters!$1:$1,0)-MATCH($A$1,[2]characters!$1:$1,0)+1),MATCH(D$1,[2]characters!$1:$1,0)-MATCH($A$1,[2]characters!$1:$1,0)+1,FALSE)</f>
        <v>アリス</v>
      </c>
      <c r="E100" s="77" t="str">
        <f ca="1">VLOOKUP($A100,OFFSET([2]characters!$A$1,0,0,COUNTA([2]characters!$A:$A),MATCH(E$1,[2]characters!$1:$1,0)-MATCH($A$1,[2]characters!$1:$1,0)+1),MATCH(E$1,[2]characters!$1:$1,0)-MATCH($A$1,[2]characters!$1:$1,0)+1,FALSE)</f>
        <v>世界観</v>
      </c>
      <c r="F100" s="77" t="str">
        <f ca="1">VLOOKUP($A100,OFFSET([2]characters!$A$1,0,0,COUNTA([2]characters!$A:$A),MATCH(F$1,[2]characters!$1:$1,0)-MATCH($A$1,[2]characters!$1:$1,0)+1),MATCH(F$1,[2]characters!$1:$1,0)-MATCH($A$1,[2]characters!$1:$1,0)+1,FALSE)</f>
        <v>不明</v>
      </c>
      <c r="G100" s="77">
        <f ca="1">VLOOKUP($A100,OFFSET([2]characters!$A$1,0,0,COUNTA([2]characters!$A:$A),MATCH(G$1,[2]characters!$1:$1,0)-MATCH($A$1,[2]characters!$1:$1,0)+1),MATCH(G$1,[2]characters!$1:$1,0)-MATCH($A$1,[2]characters!$1:$1,0)+1,FALSE)</f>
        <v>6</v>
      </c>
      <c r="H100" s="77" t="str">
        <f ca="1">VLOOKUP($A100,OFFSET([2]characters!$A$1,0,0,COUNTA([2]characters!$A:$A),MATCH(H$1,[2]characters!$1:$1,0)-MATCH($A$1,[2]characters!$1:$1,0)+1),MATCH(H$1,[2]characters!$1:$1,0)-MATCH($A$1,[2]characters!$1:$1,0)+1,FALSE)</f>
        <v>Material</v>
      </c>
      <c r="I100" s="77" t="str">
        <f ca="1">VLOOKUP($A100,OFFSET([2]characters!$A$1,0,0,COUNTA([2]characters!$A:$A),MATCH(I$1,[2]characters!$1:$1,0)-MATCH($A$1,[2]characters!$1:$1,0)+1),MATCH(I$1,[2]characters!$1:$1,0)-MATCH($A$1,[2]characters!$1:$1,0)+1,FALSE)</f>
        <v>blue</v>
      </c>
      <c r="J100" s="14">
        <f ca="1">VLOOKUP(I100,[2]属性!$A:$E,2,FALSE)</f>
        <v>1</v>
      </c>
      <c r="K100" s="14">
        <f ca="1">VLOOKUP(I100,[2]属性!$A:$E,3,FALSE)</f>
        <v>0.98</v>
      </c>
      <c r="L100" s="14">
        <f ca="1">VLOOKUP(I100,[2]属性!$A:$E,4,FALSE)</f>
        <v>1</v>
      </c>
      <c r="M100" s="14">
        <f ca="1">VLOOKUP(I100,[2]属性!$A:$E,5,FALSE)</f>
        <v>1.02</v>
      </c>
      <c r="N100" s="14">
        <f ca="1">INDEX(コスト!$A$1:$I$20,MATCH(H100,コスト!$A$1:$A$20,FALSE),MATCH(G100,コスト!$A$1:$I$1,FALSE))</f>
        <v>99</v>
      </c>
      <c r="O100" s="14">
        <f ca="1">INDEX(レベル!$A$1:$I$21,MATCH(H100,レベル!$A$1:$A$21,FALSE),MATCH(G100,レベル!$A$1:$I$1,FALSE))</f>
        <v>1</v>
      </c>
      <c r="P100" s="203">
        <v>1</v>
      </c>
      <c r="Q100" s="77" t="str">
        <f ca="1">VLOOKUP($A100,OFFSET([2]characters!$A$1,0,0,COUNTA([2]characters!$A:$A),MATCH(Q$1,[2]characters!$1:$1,0)-MATCH($A$1,[2]characters!$1:$1,0)+1),MATCH(Q$1,[2]characters!$1:$1,0)-MATCH($A$1,[2]characters!$1:$1,0)+1,FALSE)</f>
        <v>exp</v>
      </c>
      <c r="R100" s="8" t="str">
        <f ca="1">VLOOKUP(Q100,[2]character_type_i18n!$A:$H,3,FALSE)</f>
        <v>強化素材タイプ</v>
      </c>
      <c r="S100" s="14">
        <f ca="1">VLOOKUP(Q100,[2]character_type_i18n!$A:$H,4,FALSE)</f>
        <v>0.1</v>
      </c>
      <c r="T100" s="14">
        <f ca="1">VLOOKUP(Q100,[2]character_type_i18n!$A:$H,5,FALSE)</f>
        <v>0.05</v>
      </c>
      <c r="U100" s="14">
        <f ca="1">VLOOKUP(Q100,[2]character_type_i18n!$A:$H,6,FALSE)</f>
        <v>1</v>
      </c>
      <c r="V100" s="14">
        <f ca="1">VLOOKUP(Q100,[2]character_type_i18n!$A:$H,7,FALSE)</f>
        <v>0.05</v>
      </c>
      <c r="W100" s="77" t="str">
        <f ca="1">VLOOKUP($A100,OFFSET([2]characters!$A$1,0,0,COUNTA([2]characters!$A:$A),MATCH(W$1,[2]characters!$1:$1,0)-MATCH($A$1,[2]characters!$1:$1,0)+1),MATCH(W$1,[2]characters!$1:$1,0)-MATCH($A$1,[2]characters!$1:$1,0)+1,FALSE)</f>
        <v>unknown</v>
      </c>
      <c r="X100" s="8" t="str">
        <f ca="1">VLOOKUP(W100,[2]character_tribe_i18n!$A:$H,3,FALSE)</f>
        <v>Unknown</v>
      </c>
      <c r="Y100" s="77" t="str">
        <f ca="1">VLOOKUP($A100,OFFSET([2]characters!$A$1,0,0,COUNTA([2]characters!$A:$A),MATCH(Y$1,[2]characters!$1:$1,0)-MATCH($A$1,[2]characters!$1:$1,0)+1),MATCH(Y$1,[2]characters!$1:$1,0)-MATCH($A$1,[2]characters!$1:$1,0)+1,FALSE)</f>
        <v>none</v>
      </c>
      <c r="Z100" s="8" t="str">
        <f ca="1">VLOOKUP(Y100,[2]character_tribe_i18n!$A:$H,3,FALSE)</f>
        <v>種族なし</v>
      </c>
      <c r="AA100" s="14">
        <f ca="1">VLOOKUP(W100,[2]character_tribe_i18n!$A:$H,4,FALSE)</f>
        <v>1</v>
      </c>
      <c r="AB100" s="14">
        <f ca="1">VLOOKUP(W100,[2]character_tribe_i18n!$A:$H,5,FALSE)</f>
        <v>1</v>
      </c>
      <c r="AC100" s="14">
        <f ca="1">VLOOKUP(W100,[2]character_tribe_i18n!$A:$H,6,FALSE)</f>
        <v>1</v>
      </c>
      <c r="AD100" s="14">
        <f ca="1">VLOOKUP(W100,[2]character_tribe_i18n!$A:$H,7,FALSE)</f>
        <v>1</v>
      </c>
      <c r="AE100" s="197" t="s">
        <v>102</v>
      </c>
      <c r="AF100" s="85" t="str">
        <f ca="1">IF(AE100="NULL","",VLOOKUP($AE100,OFFSET([2]characters!$A$1,0,0,COUNTA([2]characters!$A:$A),MATCH(AF$1,[2]characters!$1:$1,0)-MATCH($A$1,[2]characters!$1:$1,0)+1),MATCH(AF$1,[2]characters!$1:$1,0)-MATCH($A$1,[2]characters!$1:$1,0)+1,FALSE))</f>
        <v/>
      </c>
      <c r="AG100" s="8">
        <f t="shared" ca="1" si="9"/>
        <v>99</v>
      </c>
      <c r="AH100" s="85" t="str">
        <f ca="1">VLOOKUP($AG100,OFFSET([2]characters!$A$1,0,0,COUNTA([2]characters!$A:$A),MATCH(AH$1,[2]characters!$1:$1,0)-MATCH($A$1,[2]characters!$1:$1,0)+1),MATCH(AH$1,[2]characters!$1:$1,0)-MATCH($A$1,[2]characters!$1:$1,0)+1,FALSE)</f>
        <v>水のミリオンダック</v>
      </c>
      <c r="AI100" s="14" t="str">
        <f>IF(AE100="NULL","NULL",VLOOKUP(G100,ビット!$A$2:$B$7,2))</f>
        <v>NULL</v>
      </c>
      <c r="AJ100" s="9">
        <v>2</v>
      </c>
      <c r="AK100" s="10" t="str">
        <f t="shared" si="10"/>
        <v>普通</v>
      </c>
      <c r="AL100" s="14" t="str">
        <f ca="1">INDEX(経験値!$A$1:$I$20,MATCH(H100,経験値!$A$1:$A$20,FALSE),MATCH(G100,経験値!$A$1:$I$1,FALSE))</f>
        <v>NULL</v>
      </c>
      <c r="AM100" s="133">
        <v>1000000</v>
      </c>
      <c r="AN100" s="133">
        <v>1000000</v>
      </c>
      <c r="AO100" s="64" t="s">
        <v>54</v>
      </c>
      <c r="AP100" s="101">
        <v>990020</v>
      </c>
      <c r="AQ100" s="77" t="e">
        <f ca="1">VLOOKUP($AP100,OFFSET([1]unit_skills!$A$1,0,0,COUNTA([1]unit_skills!$A:$A),MATCH("name",[1]unit_skills!$1:$1,0)-MATCH($AP$1,[1]unit_skills!$1:$1,0)+1),MATCH("name",[1]unit_skills!$1:$1,0)-MATCH($AP$1,[1]unit_skills!$1:$1,0)+1,FALSE)</f>
        <v>#VALUE!</v>
      </c>
      <c r="AR100" s="77" t="e">
        <f ca="1">VLOOKUP($AP100,OFFSET([1]unit_skills!$A$1,0,0,COUNTA([1]unit_skills!$A:$A),MATCH("comment",[1]unit_skills!$1:$1,0)-MATCH($AP$1,[1]unit_skills!$1:$1,0)+1),MATCH("comment",[1]unit_skills!$1:$1,0)-MATCH($AP$1,[1]unit_skills!$1:$1,0)+1,FALSE)</f>
        <v>#VALUE!</v>
      </c>
      <c r="AS100" s="77" t="e">
        <f ca="1">VLOOKUP($AP100,OFFSET([1]unit_skills!$A$1,0,0,COUNTA([1]unit_skills!$A:$A),MATCH(AS$1,[1]unit_skills!$1:$1,0)-MATCH($AP$1,[1]unit_skills!$1:$1,0)+1),MATCH(AS$1,[1]unit_skills!$1:$1,0)-MATCH($AP$1,[1]unit_skills!$1:$1,0)+1,FALSE)</f>
        <v>#VALUE!</v>
      </c>
      <c r="AT100" s="104">
        <v>100</v>
      </c>
      <c r="AU100" s="77" t="e">
        <f ca="1">VLOOKUP($AT100,OFFSET([1]crash_skills!$A$1,0,0,COUNTA([1]crash_skills!$A:$A),MATCH("name",[1]crash_skills!$1:$1,0)-MATCH($AT$1,[1]crash_skills!$1:$1,0)+1),MATCH("name",[1]crash_skills!$1:$1,0)-MATCH($AT$1,[1]crash_skills!$1:$1,0)+1,FALSE)</f>
        <v>#VALUE!</v>
      </c>
      <c r="AV100" s="77" t="e">
        <f ca="1">VLOOKUP($AT100,OFFSET([1]crash_skills!$A$1,0,0,COUNTA([1]crash_skills!$A:$A),MATCH("comment",[1]crash_skills!$1:$1,0)-MATCH($AT$1,[1]crash_skills!$1:$1,0)+1),MATCH("comment",[1]crash_skills!$1:$1,0)-MATCH($AT$1,[1]crash_skills!$1:$1,0)+1,FALSE)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00" s="77" t="e">
        <f ca="1">VLOOKUP($AT100,OFFSET([1]crash_skills!$A$1,0,0,COUNTA([1]crash_skills!$A:$A),MATCH(AW$1,[1]crash_skills!$1:$1,0)-MATCH($AT$1,[1]crash_skills!$1:$1,0)+1),MATCH(AW$1,[1]crash_skills!$1:$1,0)-MATCH($AT$1,[1]crash_skills!$1:$1,0)+1,FALSE)</f>
        <v>#VALUE!</v>
      </c>
      <c r="AX100" s="81">
        <f ca="1">VLOOKUP($A100,OFFSET([2]characters!$A$1,0,0,COUNTA([2]characters!$A:$A),MATCH(AX$1,[2]characters!$1:$1,0)-MATCH($A$1,[2]characters!$1:$1,0)+1),MATCH(AX$1,[2]characters!$1:$1,0)-MATCH($A$1,[2]characters!$1:$1,0)+1,FALSE)</f>
        <v>3</v>
      </c>
      <c r="AY100" s="184">
        <v>1</v>
      </c>
      <c r="AZ100" s="184">
        <v>1</v>
      </c>
      <c r="BA100" s="184">
        <v>0</v>
      </c>
      <c r="BB100" s="184">
        <v>1</v>
      </c>
      <c r="BC100" s="14">
        <f ca="1">INDEX('RC6SV'!$A$1:$G$20,MATCH(H100,'RC6SV'!$A$1:$A$20,FALSE),MATCH(G100,'RC6SV'!$A$1:$G$1,FALSE))</f>
        <v>1000</v>
      </c>
      <c r="BD100" s="63">
        <f t="shared" ca="1" si="11"/>
        <v>1000</v>
      </c>
      <c r="BE100" s="75">
        <f t="shared" ca="1" si="12"/>
        <v>0</v>
      </c>
      <c r="BF100" s="75">
        <f t="shared" ca="1" si="13"/>
        <v>1</v>
      </c>
      <c r="BG100" s="138">
        <v>100</v>
      </c>
      <c r="BH100" s="138">
        <v>100</v>
      </c>
      <c r="BI100" s="138">
        <v>100</v>
      </c>
      <c r="BJ100" s="138">
        <v>100</v>
      </c>
      <c r="BK100" s="138">
        <v>100</v>
      </c>
      <c r="BL100" s="138">
        <v>100</v>
      </c>
      <c r="BM100" s="138">
        <v>100</v>
      </c>
      <c r="BN100" s="138">
        <v>100</v>
      </c>
      <c r="BO100" s="198">
        <v>0</v>
      </c>
      <c r="BP100" s="198">
        <v>1</v>
      </c>
      <c r="BQ100" s="198" t="s">
        <v>102</v>
      </c>
      <c r="BR100" s="13">
        <f ca="1">VLOOKUP(H100,ghosts_label!$A$2:$B$19,2,FALSE)</f>
        <v>0</v>
      </c>
    </row>
    <row r="101" spans="1:70" s="199" customFormat="1" ht="21" customHeight="1" x14ac:dyDescent="0.15">
      <c r="A101" s="14">
        <f t="shared" ca="1" si="8"/>
        <v>100</v>
      </c>
      <c r="B101" s="77" t="str">
        <f ca="1">VLOOKUP($A101,OFFSET([2]characters!$A$1,0,0,COUNTA([2]characters!$A:$A),MATCH(B$1,[2]characters!$1:$1,0)-MATCH($A$1,[2]characters!$1:$1,0)+1),MATCH(B$1,[2]characters!$1:$1,0)-MATCH($A$1,[2]characters!$1:$1,0)+1,FALSE)</f>
        <v>雷のミリオンダック</v>
      </c>
      <c r="C101" s="77" t="str">
        <f ca="1">VLOOKUP($A101,OFFSET([2]characters!$A$1,0,0,COUNTA([2]characters!$A:$A),MATCH(C$1,[2]characters!$1:$1,0)-MATCH($A$1,[2]characters!$1:$1,0)+1),MATCH(C$1,[2]characters!$1:$1,0)-MATCH($A$1,[2]characters!$1:$1,0)+1,FALSE)</f>
        <v>強化素材R6</v>
      </c>
      <c r="D101" s="77" t="str">
        <f ca="1">VLOOKUP($A101,OFFSET([2]characters!$A$1,0,0,COUNTA([2]characters!$A:$A),MATCH(D$1,[2]characters!$1:$1,0)-MATCH($A$1,[2]characters!$1:$1,0)+1),MATCH(D$1,[2]characters!$1:$1,0)-MATCH($A$1,[2]characters!$1:$1,0)+1,FALSE)</f>
        <v>アリス</v>
      </c>
      <c r="E101" s="77" t="str">
        <f ca="1">VLOOKUP($A101,OFFSET([2]characters!$A$1,0,0,COUNTA([2]characters!$A:$A),MATCH(E$1,[2]characters!$1:$1,0)-MATCH($A$1,[2]characters!$1:$1,0)+1),MATCH(E$1,[2]characters!$1:$1,0)-MATCH($A$1,[2]characters!$1:$1,0)+1,FALSE)</f>
        <v>世界観</v>
      </c>
      <c r="F101" s="77" t="str">
        <f ca="1">VLOOKUP($A101,OFFSET([2]characters!$A$1,0,0,COUNTA([2]characters!$A:$A),MATCH(F$1,[2]characters!$1:$1,0)-MATCH($A$1,[2]characters!$1:$1,0)+1),MATCH(F$1,[2]characters!$1:$1,0)-MATCH($A$1,[2]characters!$1:$1,0)+1,FALSE)</f>
        <v>不明</v>
      </c>
      <c r="G101" s="77">
        <f ca="1">VLOOKUP($A101,OFFSET([2]characters!$A$1,0,0,COUNTA([2]characters!$A:$A),MATCH(G$1,[2]characters!$1:$1,0)-MATCH($A$1,[2]characters!$1:$1,0)+1),MATCH(G$1,[2]characters!$1:$1,0)-MATCH($A$1,[2]characters!$1:$1,0)+1,FALSE)</f>
        <v>6</v>
      </c>
      <c r="H101" s="77" t="str">
        <f ca="1">VLOOKUP($A101,OFFSET([2]characters!$A$1,0,0,COUNTA([2]characters!$A:$A),MATCH(H$1,[2]characters!$1:$1,0)-MATCH($A$1,[2]characters!$1:$1,0)+1),MATCH(H$1,[2]characters!$1:$1,0)-MATCH($A$1,[2]characters!$1:$1,0)+1,FALSE)</f>
        <v>Material</v>
      </c>
      <c r="I101" s="77" t="str">
        <f ca="1">VLOOKUP($A101,OFFSET([2]characters!$A$1,0,0,COUNTA([2]characters!$A:$A),MATCH(I$1,[2]characters!$1:$1,0)-MATCH($A$1,[2]characters!$1:$1,0)+1),MATCH(I$1,[2]characters!$1:$1,0)-MATCH($A$1,[2]characters!$1:$1,0)+1,FALSE)</f>
        <v>yellow</v>
      </c>
      <c r="J101" s="14">
        <f ca="1">VLOOKUP(I101,[2]属性!$A:$E,2,FALSE)</f>
        <v>0.98</v>
      </c>
      <c r="K101" s="14">
        <f ca="1">VLOOKUP(I101,[2]属性!$A:$E,3,FALSE)</f>
        <v>1.01</v>
      </c>
      <c r="L101" s="14">
        <f ca="1">VLOOKUP(I101,[2]属性!$A:$E,4,FALSE)</f>
        <v>1</v>
      </c>
      <c r="M101" s="14">
        <f ca="1">VLOOKUP(I101,[2]属性!$A:$E,5,FALSE)</f>
        <v>1.01</v>
      </c>
      <c r="N101" s="14">
        <f ca="1">INDEX(コスト!$A$1:$I$20,MATCH(H101,コスト!$A$1:$A$20,FALSE),MATCH(G101,コスト!$A$1:$I$1,FALSE))</f>
        <v>99</v>
      </c>
      <c r="O101" s="14">
        <f ca="1">INDEX(レベル!$A$1:$I$21,MATCH(H101,レベル!$A$1:$A$21,FALSE),MATCH(G101,レベル!$A$1:$I$1,FALSE))</f>
        <v>1</v>
      </c>
      <c r="P101" s="203">
        <v>1</v>
      </c>
      <c r="Q101" s="77" t="str">
        <f ca="1">VLOOKUP($A101,OFFSET([2]characters!$A$1,0,0,COUNTA([2]characters!$A:$A),MATCH(Q$1,[2]characters!$1:$1,0)-MATCH($A$1,[2]characters!$1:$1,0)+1),MATCH(Q$1,[2]characters!$1:$1,0)-MATCH($A$1,[2]characters!$1:$1,0)+1,FALSE)</f>
        <v>exp</v>
      </c>
      <c r="R101" s="8" t="str">
        <f ca="1">VLOOKUP(Q101,[2]character_type_i18n!$A:$H,3,FALSE)</f>
        <v>強化素材タイプ</v>
      </c>
      <c r="S101" s="14">
        <f ca="1">VLOOKUP(Q101,[2]character_type_i18n!$A:$H,4,FALSE)</f>
        <v>0.1</v>
      </c>
      <c r="T101" s="14">
        <f ca="1">VLOOKUP(Q101,[2]character_type_i18n!$A:$H,5,FALSE)</f>
        <v>0.05</v>
      </c>
      <c r="U101" s="14">
        <f ca="1">VLOOKUP(Q101,[2]character_type_i18n!$A:$H,6,FALSE)</f>
        <v>1</v>
      </c>
      <c r="V101" s="14">
        <f ca="1">VLOOKUP(Q101,[2]character_type_i18n!$A:$H,7,FALSE)</f>
        <v>0.05</v>
      </c>
      <c r="W101" s="77" t="str">
        <f ca="1">VLOOKUP($A101,OFFSET([2]characters!$A$1,0,0,COUNTA([2]characters!$A:$A),MATCH(W$1,[2]characters!$1:$1,0)-MATCH($A$1,[2]characters!$1:$1,0)+1),MATCH(W$1,[2]characters!$1:$1,0)-MATCH($A$1,[2]characters!$1:$1,0)+1,FALSE)</f>
        <v>unknown</v>
      </c>
      <c r="X101" s="8" t="str">
        <f ca="1">VLOOKUP(W101,[2]character_tribe_i18n!$A:$H,3,FALSE)</f>
        <v>Unknown</v>
      </c>
      <c r="Y101" s="77" t="str">
        <f ca="1">VLOOKUP($A101,OFFSET([2]characters!$A$1,0,0,COUNTA([2]characters!$A:$A),MATCH(Y$1,[2]characters!$1:$1,0)-MATCH($A$1,[2]characters!$1:$1,0)+1),MATCH(Y$1,[2]characters!$1:$1,0)-MATCH($A$1,[2]characters!$1:$1,0)+1,FALSE)</f>
        <v>none</v>
      </c>
      <c r="Z101" s="8" t="str">
        <f ca="1">VLOOKUP(Y101,[2]character_tribe_i18n!$A:$H,3,FALSE)</f>
        <v>種族なし</v>
      </c>
      <c r="AA101" s="14">
        <f ca="1">VLOOKUP(W101,[2]character_tribe_i18n!$A:$H,4,FALSE)</f>
        <v>1</v>
      </c>
      <c r="AB101" s="14">
        <f ca="1">VLOOKUP(W101,[2]character_tribe_i18n!$A:$H,5,FALSE)</f>
        <v>1</v>
      </c>
      <c r="AC101" s="14">
        <f ca="1">VLOOKUP(W101,[2]character_tribe_i18n!$A:$H,6,FALSE)</f>
        <v>1</v>
      </c>
      <c r="AD101" s="14">
        <f ca="1">VLOOKUP(W101,[2]character_tribe_i18n!$A:$H,7,FALSE)</f>
        <v>1</v>
      </c>
      <c r="AE101" s="197" t="s">
        <v>102</v>
      </c>
      <c r="AF101" s="85" t="str">
        <f ca="1">IF(AE101="NULL","",VLOOKUP($AE101,OFFSET([2]characters!$A$1,0,0,COUNTA([2]characters!$A:$A),MATCH(AF$1,[2]characters!$1:$1,0)-MATCH($A$1,[2]characters!$1:$1,0)+1),MATCH(AF$1,[2]characters!$1:$1,0)-MATCH($A$1,[2]characters!$1:$1,0)+1,FALSE))</f>
        <v/>
      </c>
      <c r="AG101" s="8">
        <f t="shared" ca="1" si="9"/>
        <v>100</v>
      </c>
      <c r="AH101" s="85" t="str">
        <f ca="1">VLOOKUP($AG101,OFFSET([2]characters!$A$1,0,0,COUNTA([2]characters!$A:$A),MATCH(AH$1,[2]characters!$1:$1,0)-MATCH($A$1,[2]characters!$1:$1,0)+1),MATCH(AH$1,[2]characters!$1:$1,0)-MATCH($A$1,[2]characters!$1:$1,0)+1,FALSE)</f>
        <v>雷のミリオンダック</v>
      </c>
      <c r="AI101" s="14" t="str">
        <f>IF(AE101="NULL","NULL",VLOOKUP(G101,ビット!$A$2:$B$7,2))</f>
        <v>NULL</v>
      </c>
      <c r="AJ101" s="9">
        <v>2</v>
      </c>
      <c r="AK101" s="10" t="str">
        <f t="shared" si="10"/>
        <v>普通</v>
      </c>
      <c r="AL101" s="14" t="str">
        <f ca="1">INDEX(経験値!$A$1:$I$20,MATCH(H101,経験値!$A$1:$A$20,FALSE),MATCH(G101,経験値!$A$1:$I$1,FALSE))</f>
        <v>NULL</v>
      </c>
      <c r="AM101" s="133">
        <v>1000000</v>
      </c>
      <c r="AN101" s="133">
        <v>1000000</v>
      </c>
      <c r="AO101" s="64" t="s">
        <v>54</v>
      </c>
      <c r="AP101" s="101">
        <v>990020</v>
      </c>
      <c r="AQ101" s="77" t="e">
        <f ca="1">VLOOKUP($AP101,OFFSET([1]unit_skills!$A$1,0,0,COUNTA([1]unit_skills!$A:$A),MATCH("name",[1]unit_skills!$1:$1,0)-MATCH($AP$1,[1]unit_skills!$1:$1,0)+1),MATCH("name",[1]unit_skills!$1:$1,0)-MATCH($AP$1,[1]unit_skills!$1:$1,0)+1,FALSE)</f>
        <v>#VALUE!</v>
      </c>
      <c r="AR101" s="77" t="e">
        <f ca="1">VLOOKUP($AP101,OFFSET([1]unit_skills!$A$1,0,0,COUNTA([1]unit_skills!$A:$A),MATCH("comment",[1]unit_skills!$1:$1,0)-MATCH($AP$1,[1]unit_skills!$1:$1,0)+1),MATCH("comment",[1]unit_skills!$1:$1,0)-MATCH($AP$1,[1]unit_skills!$1:$1,0)+1,FALSE)</f>
        <v>#VALUE!</v>
      </c>
      <c r="AS101" s="77" t="e">
        <f ca="1">VLOOKUP($AP101,OFFSET([1]unit_skills!$A$1,0,0,COUNTA([1]unit_skills!$A:$A),MATCH(AS$1,[1]unit_skills!$1:$1,0)-MATCH($AP$1,[1]unit_skills!$1:$1,0)+1),MATCH(AS$1,[1]unit_skills!$1:$1,0)-MATCH($AP$1,[1]unit_skills!$1:$1,0)+1,FALSE)</f>
        <v>#VALUE!</v>
      </c>
      <c r="AT101" s="104">
        <v>100</v>
      </c>
      <c r="AU101" s="77" t="e">
        <f ca="1">VLOOKUP($AT101,OFFSET([1]crash_skills!$A$1,0,0,COUNTA([1]crash_skills!$A:$A),MATCH("name",[1]crash_skills!$1:$1,0)-MATCH($AT$1,[1]crash_skills!$1:$1,0)+1),MATCH("name",[1]crash_skills!$1:$1,0)-MATCH($AT$1,[1]crash_skills!$1:$1,0)+1,FALSE)</f>
        <v>#VALUE!</v>
      </c>
      <c r="AV101" s="77" t="e">
        <f ca="1">VLOOKUP($AT101,OFFSET([1]crash_skills!$A$1,0,0,COUNTA([1]crash_skills!$A:$A),MATCH("comment",[1]crash_skills!$1:$1,0)-MATCH($AT$1,[1]crash_skills!$1:$1,0)+1),MATCH("comment",[1]crash_skills!$1:$1,0)-MATCH($AT$1,[1]crash_skills!$1:$1,0)+1,FALSE)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01" s="77" t="e">
        <f ca="1">VLOOKUP($AT101,OFFSET([1]crash_skills!$A$1,0,0,COUNTA([1]crash_skills!$A:$A),MATCH(AW$1,[1]crash_skills!$1:$1,0)-MATCH($AT$1,[1]crash_skills!$1:$1,0)+1),MATCH(AW$1,[1]crash_skills!$1:$1,0)-MATCH($AT$1,[1]crash_skills!$1:$1,0)+1,FALSE)</f>
        <v>#VALUE!</v>
      </c>
      <c r="AX101" s="81">
        <f ca="1">VLOOKUP($A101,OFFSET([2]characters!$A$1,0,0,COUNTA([2]characters!$A:$A),MATCH(AX$1,[2]characters!$1:$1,0)-MATCH($A$1,[2]characters!$1:$1,0)+1),MATCH(AX$1,[2]characters!$1:$1,0)-MATCH($A$1,[2]characters!$1:$1,0)+1,FALSE)</f>
        <v>3</v>
      </c>
      <c r="AY101" s="184">
        <v>1</v>
      </c>
      <c r="AZ101" s="184">
        <v>1</v>
      </c>
      <c r="BA101" s="184">
        <v>0</v>
      </c>
      <c r="BB101" s="184">
        <v>1</v>
      </c>
      <c r="BC101" s="14">
        <f ca="1">INDEX('RC6SV'!$A$1:$G$20,MATCH(H101,'RC6SV'!$A$1:$A$20,FALSE),MATCH(G101,'RC6SV'!$A$1:$G$1,FALSE))</f>
        <v>1000</v>
      </c>
      <c r="BD101" s="63">
        <f t="shared" ca="1" si="11"/>
        <v>1000</v>
      </c>
      <c r="BE101" s="75">
        <f t="shared" ca="1" si="12"/>
        <v>0</v>
      </c>
      <c r="BF101" s="75">
        <f t="shared" ca="1" si="13"/>
        <v>1</v>
      </c>
      <c r="BG101" s="138">
        <v>100</v>
      </c>
      <c r="BH101" s="138">
        <v>100</v>
      </c>
      <c r="BI101" s="138">
        <v>100</v>
      </c>
      <c r="BJ101" s="138">
        <v>100</v>
      </c>
      <c r="BK101" s="138">
        <v>100</v>
      </c>
      <c r="BL101" s="138">
        <v>100</v>
      </c>
      <c r="BM101" s="138">
        <v>100</v>
      </c>
      <c r="BN101" s="138">
        <v>100</v>
      </c>
      <c r="BO101" s="198">
        <v>0</v>
      </c>
      <c r="BP101" s="198">
        <v>1</v>
      </c>
      <c r="BQ101" s="198" t="s">
        <v>102</v>
      </c>
      <c r="BR101" s="13">
        <f ca="1">VLOOKUP(H101,ghosts_label!$A$2:$B$19,2,FALSE)</f>
        <v>0</v>
      </c>
    </row>
    <row r="102" spans="1:70" ht="21" customHeight="1" x14ac:dyDescent="0.15">
      <c r="A102" s="14">
        <f t="shared" ca="1" si="8"/>
        <v>101</v>
      </c>
      <c r="B102" s="77" t="str">
        <f ca="1">VLOOKUP($A102,OFFSET([2]characters!$A$1,0,0,COUNTA([2]characters!$A:$A),MATCH(B$1,[2]characters!$1:$1,0)-MATCH($A$1,[2]characters!$1:$1,0)+1),MATCH(B$1,[2]characters!$1:$1,0)-MATCH($A$1,[2]characters!$1:$1,0)+1,FALSE)</f>
        <v>レッドチェシャ</v>
      </c>
      <c r="C102" s="77" t="str">
        <f ca="1">VLOOKUP($A102,OFFSET([2]characters!$A$1,0,0,COUNTA([2]characters!$A:$A),MATCH(C$1,[2]characters!$1:$1,0)-MATCH($A$1,[2]characters!$1:$1,0)+1),MATCH(C$1,[2]characters!$1:$1,0)-MATCH($A$1,[2]characters!$1:$1,0)+1,FALSE)</f>
        <v>進化素材・赤・R2</v>
      </c>
      <c r="D102" s="77" t="str">
        <f ca="1">VLOOKUP($A102,OFFSET([2]characters!$A$1,0,0,COUNTA([2]characters!$A:$A),MATCH(D$1,[2]characters!$1:$1,0)-MATCH($A$1,[2]characters!$1:$1,0)+1),MATCH(D$1,[2]characters!$1:$1,0)-MATCH($A$1,[2]characters!$1:$1,0)+1,FALSE)</f>
        <v>アリス</v>
      </c>
      <c r="E102" s="77" t="str">
        <f ca="1">VLOOKUP($A102,OFFSET([2]characters!$A$1,0,0,COUNTA([2]characters!$A:$A),MATCH(E$1,[2]characters!$1:$1,0)-MATCH($A$1,[2]characters!$1:$1,0)+1),MATCH(E$1,[2]characters!$1:$1,0)-MATCH($A$1,[2]characters!$1:$1,0)+1,FALSE)</f>
        <v>世界観</v>
      </c>
      <c r="F102" s="77" t="str">
        <f ca="1">VLOOKUP($A102,OFFSET([2]characters!$A$1,0,0,COUNTA([2]characters!$A:$A),MATCH(F$1,[2]characters!$1:$1,0)-MATCH($A$1,[2]characters!$1:$1,0)+1),MATCH(F$1,[2]characters!$1:$1,0)-MATCH($A$1,[2]characters!$1:$1,0)+1,FALSE)</f>
        <v>不明</v>
      </c>
      <c r="G102" s="77">
        <f ca="1">VLOOKUP($A102,OFFSET([2]characters!$A$1,0,0,COUNTA([2]characters!$A:$A),MATCH(G$1,[2]characters!$1:$1,0)-MATCH($A$1,[2]characters!$1:$1,0)+1),MATCH(G$1,[2]characters!$1:$1,0)-MATCH($A$1,[2]characters!$1:$1,0)+1,FALSE)</f>
        <v>2</v>
      </c>
      <c r="H102" s="77" t="str">
        <f ca="1">VLOOKUP($A102,OFFSET([2]characters!$A$1,0,0,COUNTA([2]characters!$A:$A),MATCH(H$1,[2]characters!$1:$1,0)-MATCH($A$1,[2]characters!$1:$1,0)+1),MATCH(H$1,[2]characters!$1:$1,0)-MATCH($A$1,[2]characters!$1:$1,0)+1,FALSE)</f>
        <v>Material</v>
      </c>
      <c r="I102" s="77" t="str">
        <f ca="1">VLOOKUP($A102,OFFSET([2]characters!$A$1,0,0,COUNTA([2]characters!$A:$A),MATCH(I$1,[2]characters!$1:$1,0)-MATCH($A$1,[2]characters!$1:$1,0)+1),MATCH(I$1,[2]characters!$1:$1,0)-MATCH($A$1,[2]characters!$1:$1,0)+1,FALSE)</f>
        <v>red</v>
      </c>
      <c r="J102" s="14">
        <f ca="1">VLOOKUP(I102,[2]属性!$A:$E,2,FALSE)</f>
        <v>1</v>
      </c>
      <c r="K102" s="14">
        <f ca="1">VLOOKUP(I102,[2]属性!$A:$E,3,FALSE)</f>
        <v>1.02</v>
      </c>
      <c r="L102" s="14">
        <f ca="1">VLOOKUP(I102,[2]属性!$A:$E,4,FALSE)</f>
        <v>1</v>
      </c>
      <c r="M102" s="14">
        <f ca="1">VLOOKUP(I102,[2]属性!$A:$E,5,FALSE)</f>
        <v>0.98</v>
      </c>
      <c r="N102" s="14">
        <f ca="1">INDEX(コスト!$A$1:$I$20,MATCH(H102,コスト!$A$1:$A$20,FALSE),MATCH(G102,コスト!$A$1:$I$1,FALSE))</f>
        <v>99</v>
      </c>
      <c r="O102" s="14">
        <f ca="1">INDEX(レベル!$A$1:$I$21,MATCH(H102,レベル!$A$1:$A$21,FALSE),MATCH(G102,レベル!$A$1:$I$1,FALSE))</f>
        <v>1</v>
      </c>
      <c r="P102" s="203">
        <v>30</v>
      </c>
      <c r="Q102" s="77" t="str">
        <f ca="1">VLOOKUP($A102,OFFSET([2]characters!$A$1,0,0,COUNTA([2]characters!$A:$A),MATCH(Q$1,[2]characters!$1:$1,0)-MATCH($A$1,[2]characters!$1:$1,0)+1),MATCH(Q$1,[2]characters!$1:$1,0)-MATCH($A$1,[2]characters!$1:$1,0)+1,FALSE)</f>
        <v>evolution</v>
      </c>
      <c r="R102" s="8" t="str">
        <f ca="1">VLOOKUP(Q102,[2]character_type_i18n!$A:$H,3,FALSE)</f>
        <v>覚醒素材タイプ</v>
      </c>
      <c r="S102" s="14">
        <f ca="1">VLOOKUP(Q102,[2]character_type_i18n!$A:$H,4,FALSE)</f>
        <v>0.1</v>
      </c>
      <c r="T102" s="14">
        <f ca="1">VLOOKUP(Q102,[2]character_type_i18n!$A:$H,5,FALSE)</f>
        <v>0.05</v>
      </c>
      <c r="U102" s="14">
        <f ca="1">VLOOKUP(Q102,[2]character_type_i18n!$A:$H,6,FALSE)</f>
        <v>1</v>
      </c>
      <c r="V102" s="14">
        <f ca="1">VLOOKUP(Q102,[2]character_type_i18n!$A:$H,7,FALSE)</f>
        <v>0.05</v>
      </c>
      <c r="W102" s="77" t="str">
        <f ca="1">VLOOKUP($A102,OFFSET([2]characters!$A$1,0,0,COUNTA([2]characters!$A:$A),MATCH(W$1,[2]characters!$1:$1,0)-MATCH($A$1,[2]characters!$1:$1,0)+1),MATCH(W$1,[2]characters!$1:$1,0)-MATCH($A$1,[2]characters!$1:$1,0)+1,FALSE)</f>
        <v>unknown</v>
      </c>
      <c r="X102" s="8" t="str">
        <f ca="1">VLOOKUP(W102,[2]character_tribe_i18n!$A:$H,3,FALSE)</f>
        <v>Unknown</v>
      </c>
      <c r="Y102" s="77" t="str">
        <f ca="1">VLOOKUP($A102,OFFSET([2]characters!$A$1,0,0,COUNTA([2]characters!$A:$A),MATCH(Y$1,[2]characters!$1:$1,0)-MATCH($A$1,[2]characters!$1:$1,0)+1),MATCH(Y$1,[2]characters!$1:$1,0)-MATCH($A$1,[2]characters!$1:$1,0)+1,FALSE)</f>
        <v>none</v>
      </c>
      <c r="Z102" s="8" t="str">
        <f ca="1">VLOOKUP(Y102,[2]character_tribe_i18n!$A:$H,3,FALSE)</f>
        <v>種族なし</v>
      </c>
      <c r="AA102" s="14">
        <f ca="1">VLOOKUP(W102,[2]character_tribe_i18n!$A:$H,4,FALSE)</f>
        <v>1</v>
      </c>
      <c r="AB102" s="14">
        <f ca="1">VLOOKUP(W102,[2]character_tribe_i18n!$A:$H,5,FALSE)</f>
        <v>1</v>
      </c>
      <c r="AC102" s="14">
        <f ca="1">VLOOKUP(W102,[2]character_tribe_i18n!$A:$H,6,FALSE)</f>
        <v>1</v>
      </c>
      <c r="AD102" s="14">
        <f ca="1">VLOOKUP(W102,[2]character_tribe_i18n!$A:$H,7,FALSE)</f>
        <v>1</v>
      </c>
      <c r="AE102" s="12" t="s">
        <v>102</v>
      </c>
      <c r="AF102" s="85" t="str">
        <f ca="1">IF(AE102="NULL","",VLOOKUP($AE102,OFFSET([2]characters!$A$1,0,0,COUNTA([2]characters!$A:$A),MATCH(AF$1,[2]characters!$1:$1,0)-MATCH($A$1,[2]characters!$1:$1,0)+1),MATCH(AF$1,[2]characters!$1:$1,0)-MATCH($A$1,[2]characters!$1:$1,0)+1,FALSE))</f>
        <v/>
      </c>
      <c r="AG102" s="8">
        <f t="shared" ca="1" si="9"/>
        <v>101</v>
      </c>
      <c r="AH102" s="85" t="str">
        <f ca="1">VLOOKUP($AG102,OFFSET([2]characters!$A$1,0,0,COUNTA([2]characters!$A:$A),MATCH(AH$1,[2]characters!$1:$1,0)-MATCH($A$1,[2]characters!$1:$1,0)+1),MATCH(AH$1,[2]characters!$1:$1,0)-MATCH($A$1,[2]characters!$1:$1,0)+1,FALSE)</f>
        <v>レッドチェシャ</v>
      </c>
      <c r="AI102" s="14" t="str">
        <f>IF(AE102="NULL","NULL",VLOOKUP(G102,ビット!$A$2:$B$7,2))</f>
        <v>NULL</v>
      </c>
      <c r="AJ102" s="9">
        <v>2</v>
      </c>
      <c r="AK102" s="10" t="str">
        <f t="shared" si="10"/>
        <v>普通</v>
      </c>
      <c r="AL102" s="14" t="str">
        <f ca="1">INDEX(経験値!$A$1:$I$20,MATCH(H102,経験値!$A$1:$A$20,FALSE),MATCH(G102,経験値!$A$1:$I$1,FALSE))</f>
        <v>NULL</v>
      </c>
      <c r="AM102" s="11">
        <f ca="1">VLOOKUP(G102,経験値!$A$27:$B$31,2)</f>
        <v>600</v>
      </c>
      <c r="AN102" s="21">
        <f ca="1">VLOOKUP(G102,ビット!$G$2:$H$7,2)</f>
        <v>150</v>
      </c>
      <c r="AO102" s="64" t="s">
        <v>55</v>
      </c>
      <c r="AP102" s="97">
        <v>990014</v>
      </c>
      <c r="AQ102" s="77" t="e">
        <f ca="1">VLOOKUP($AP102,OFFSET([1]unit_skills!$A$1,0,0,COUNTA([1]unit_skills!$A:$A),MATCH("name",[1]unit_skills!$1:$1,0)-MATCH($AP$1,[1]unit_skills!$1:$1,0)+1),MATCH("name",[1]unit_skills!$1:$1,0)-MATCH($AP$1,[1]unit_skills!$1:$1,0)+1,FALSE)</f>
        <v>#VALUE!</v>
      </c>
      <c r="AR102" s="77" t="e">
        <f ca="1">VLOOKUP($AP102,OFFSET([1]unit_skills!$A$1,0,0,COUNTA([1]unit_skills!$A:$A),MATCH("comment",[1]unit_skills!$1:$1,0)-MATCH($AP$1,[1]unit_skills!$1:$1,0)+1),MATCH("comment",[1]unit_skills!$1:$1,0)-MATCH($AP$1,[1]unit_skills!$1:$1,0)+1,FALSE)</f>
        <v>#VALUE!</v>
      </c>
      <c r="AS102" s="77" t="e">
        <f ca="1">VLOOKUP($AP102,OFFSET([1]unit_skills!$A$1,0,0,COUNTA([1]unit_skills!$A:$A),MATCH(AS$1,[1]unit_skills!$1:$1,0)-MATCH($AP$1,[1]unit_skills!$1:$1,0)+1),MATCH(AS$1,[1]unit_skills!$1:$1,0)-MATCH($AP$1,[1]unit_skills!$1:$1,0)+1,FALSE)</f>
        <v>#VALUE!</v>
      </c>
      <c r="AT102" s="97">
        <v>0</v>
      </c>
      <c r="AU102" s="77" t="e">
        <f ca="1">VLOOKUP($AT102,OFFSET([1]crash_skills!$A$1,0,0,COUNTA([1]crash_skills!$A:$A),MATCH("name",[1]crash_skills!$1:$1,0)-MATCH($AT$1,[1]crash_skills!$1:$1,0)+1),MATCH("name",[1]crash_skills!$1:$1,0)-MATCH($AT$1,[1]crash_skills!$1:$1,0)+1,FALSE)</f>
        <v>#VALUE!</v>
      </c>
      <c r="AV102" s="77" t="e">
        <f ca="1">VLOOKUP($AT102,OFFSET([1]crash_skills!$A$1,0,0,COUNTA([1]crash_skills!$A:$A),MATCH("comment",[1]crash_skills!$1:$1,0)-MATCH($AT$1,[1]crash_skills!$1:$1,0)+1),MATCH("comment",[1]crash_skills!$1:$1,0)-MATCH($AT$1,[1]crash_skills!$1:$1,0)+1,FALSE)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02" s="77" t="e">
        <f ca="1">VLOOKUP($AT102,OFFSET([1]crash_skills!$A$1,0,0,COUNTA([1]crash_skills!$A:$A),MATCH(AW$1,[1]crash_skills!$1:$1,0)-MATCH($AT$1,[1]crash_skills!$1:$1,0)+1),MATCH(AW$1,[1]crash_skills!$1:$1,0)-MATCH($AT$1,[1]crash_skills!$1:$1,0)+1,FALSE)</f>
        <v>#VALUE!</v>
      </c>
      <c r="AX102" s="81">
        <f ca="1">VLOOKUP($A102,OFFSET([2]characters!$A$1,0,0,COUNTA([2]characters!$A:$A),MATCH(AX$1,[2]characters!$1:$1,0)-MATCH($A$1,[2]characters!$1:$1,0)+1),MATCH(AX$1,[2]characters!$1:$1,0)-MATCH($A$1,[2]characters!$1:$1,0)+1,FALSE)</f>
        <v>3</v>
      </c>
      <c r="AY102" s="19">
        <v>1</v>
      </c>
      <c r="AZ102" s="19">
        <v>1</v>
      </c>
      <c r="BA102" s="19">
        <v>0</v>
      </c>
      <c r="BB102" s="19">
        <v>1</v>
      </c>
      <c r="BC102" s="14">
        <f ca="1">INDEX('RC6SV'!$A$1:$G$20,MATCH(H102,'RC6SV'!$A$1:$A$20,FALSE),MATCH(G102,'RC6SV'!$A$1:$G$1,FALSE))</f>
        <v>1000</v>
      </c>
      <c r="BD102" s="63">
        <f t="shared" ca="1" si="11"/>
        <v>1000</v>
      </c>
      <c r="BE102" s="14">
        <f t="shared" ca="1" si="12"/>
        <v>0</v>
      </c>
      <c r="BF102" s="14">
        <f t="shared" ca="1" si="13"/>
        <v>1</v>
      </c>
      <c r="BG102" s="20">
        <f ca="1">IF($BE102&lt;=0,ROUND(BK102*0.5,0), ROUND($BE102*S102*AA102*J102*AY102*0.8*[2]ステータス!$B$2,0))</f>
        <v>25</v>
      </c>
      <c r="BH102" s="20">
        <f ca="1">IF($BE102&lt;=0,ROUND(BL102*0.5,0), ROUND($BE102*T102*AB102*K102*AZ102*0.8*[2]ステータス!$C$2,0))</f>
        <v>8</v>
      </c>
      <c r="BI102" s="20">
        <f ca="1">IF($BE102&lt;=0,ROUND(BM102*0.5,0), ROUND($BE102*U102*AC102*L102*BA102*0.8*[2]ステータス!$D$2,0))</f>
        <v>0</v>
      </c>
      <c r="BJ102" s="20">
        <f ca="1">IF($BE102&lt;=0,ROUND(BN102*0.5,0), ROUND($BE102*V102*AD102*M102*BB102*0.8*[2]ステータス!$E$2,0))</f>
        <v>6</v>
      </c>
      <c r="BK102" s="14">
        <f ca="1">ROUND(BD102*S102*AA102*J102*AY102*[2]ステータス!$B$2,0)</f>
        <v>50</v>
      </c>
      <c r="BL102" s="14">
        <f ca="1">ROUND(BD102*T102*AB102*K102*AZ102*[2]ステータス!$C$2,0)</f>
        <v>15</v>
      </c>
      <c r="BM102" s="14">
        <f ca="1">ROUND(BD102*U102*AC102*L102*BA102*[2]ステータス!$D$2,0)</f>
        <v>0</v>
      </c>
      <c r="BN102" s="14">
        <f ca="1">ROUND(BD102*V102*AD102*M102*BB102*[2]ステータス!$E$2,0)</f>
        <v>12</v>
      </c>
      <c r="BO102" s="13">
        <v>0</v>
      </c>
      <c r="BP102" s="13">
        <v>1</v>
      </c>
      <c r="BQ102" s="13" t="s">
        <v>102</v>
      </c>
      <c r="BR102" s="13">
        <f ca="1">VLOOKUP(H102,ghosts_label!$A$2:$B$19,2,FALSE)</f>
        <v>0</v>
      </c>
    </row>
    <row r="103" spans="1:70" ht="21" customHeight="1" x14ac:dyDescent="0.15">
      <c r="A103" s="14">
        <f t="shared" ca="1" si="8"/>
        <v>102</v>
      </c>
      <c r="B103" s="77" t="str">
        <f ca="1">VLOOKUP($A103,OFFSET([2]characters!$A$1,0,0,COUNTA([2]characters!$A:$A),MATCH(B$1,[2]characters!$1:$1,0)-MATCH($A$1,[2]characters!$1:$1,0)+1),MATCH(B$1,[2]characters!$1:$1,0)-MATCH($A$1,[2]characters!$1:$1,0)+1,FALSE)</f>
        <v>レッドラビット</v>
      </c>
      <c r="C103" s="77" t="str">
        <f ca="1">VLOOKUP($A103,OFFSET([2]characters!$A$1,0,0,COUNTA([2]characters!$A:$A),MATCH(C$1,[2]characters!$1:$1,0)-MATCH($A$1,[2]characters!$1:$1,0)+1),MATCH(C$1,[2]characters!$1:$1,0)-MATCH($A$1,[2]characters!$1:$1,0)+1,FALSE)</f>
        <v>進化素材・赤・R3</v>
      </c>
      <c r="D103" s="77" t="str">
        <f ca="1">VLOOKUP($A103,OFFSET([2]characters!$A$1,0,0,COUNTA([2]characters!$A:$A),MATCH(D$1,[2]characters!$1:$1,0)-MATCH($A$1,[2]characters!$1:$1,0)+1),MATCH(D$1,[2]characters!$1:$1,0)-MATCH($A$1,[2]characters!$1:$1,0)+1,FALSE)</f>
        <v>アリス</v>
      </c>
      <c r="E103" s="77" t="str">
        <f ca="1">VLOOKUP($A103,OFFSET([2]characters!$A$1,0,0,COUNTA([2]characters!$A:$A),MATCH(E$1,[2]characters!$1:$1,0)-MATCH($A$1,[2]characters!$1:$1,0)+1),MATCH(E$1,[2]characters!$1:$1,0)-MATCH($A$1,[2]characters!$1:$1,0)+1,FALSE)</f>
        <v>世界観</v>
      </c>
      <c r="F103" s="77" t="str">
        <f ca="1">VLOOKUP($A103,OFFSET([2]characters!$A$1,0,0,COUNTA([2]characters!$A:$A),MATCH(F$1,[2]characters!$1:$1,0)-MATCH($A$1,[2]characters!$1:$1,0)+1),MATCH(F$1,[2]characters!$1:$1,0)-MATCH($A$1,[2]characters!$1:$1,0)+1,FALSE)</f>
        <v>不明</v>
      </c>
      <c r="G103" s="77">
        <f ca="1">VLOOKUP($A103,OFFSET([2]characters!$A$1,0,0,COUNTA([2]characters!$A:$A),MATCH(G$1,[2]characters!$1:$1,0)-MATCH($A$1,[2]characters!$1:$1,0)+1),MATCH(G$1,[2]characters!$1:$1,0)-MATCH($A$1,[2]characters!$1:$1,0)+1,FALSE)</f>
        <v>3</v>
      </c>
      <c r="H103" s="77" t="str">
        <f ca="1">VLOOKUP($A103,OFFSET([2]characters!$A$1,0,0,COUNTA([2]characters!$A:$A),MATCH(H$1,[2]characters!$1:$1,0)-MATCH($A$1,[2]characters!$1:$1,0)+1),MATCH(H$1,[2]characters!$1:$1,0)-MATCH($A$1,[2]characters!$1:$1,0)+1,FALSE)</f>
        <v>Material</v>
      </c>
      <c r="I103" s="77" t="str">
        <f ca="1">VLOOKUP($A103,OFFSET([2]characters!$A$1,0,0,COUNTA([2]characters!$A:$A),MATCH(I$1,[2]characters!$1:$1,0)-MATCH($A$1,[2]characters!$1:$1,0)+1),MATCH(I$1,[2]characters!$1:$1,0)-MATCH($A$1,[2]characters!$1:$1,0)+1,FALSE)</f>
        <v>red</v>
      </c>
      <c r="J103" s="14">
        <f ca="1">VLOOKUP(I103,[2]属性!$A:$E,2,FALSE)</f>
        <v>1</v>
      </c>
      <c r="K103" s="14">
        <f ca="1">VLOOKUP(I103,[2]属性!$A:$E,3,FALSE)</f>
        <v>1.02</v>
      </c>
      <c r="L103" s="14">
        <f ca="1">VLOOKUP(I103,[2]属性!$A:$E,4,FALSE)</f>
        <v>1</v>
      </c>
      <c r="M103" s="14">
        <f ca="1">VLOOKUP(I103,[2]属性!$A:$E,5,FALSE)</f>
        <v>0.98</v>
      </c>
      <c r="N103" s="14">
        <f ca="1">INDEX(コスト!$A$1:$I$20,MATCH(H103,コスト!$A$1:$A$20,FALSE),MATCH(G103,コスト!$A$1:$I$1,FALSE))</f>
        <v>99</v>
      </c>
      <c r="O103" s="14">
        <f ca="1">INDEX(レベル!$A$1:$I$21,MATCH(H103,レベル!$A$1:$A$21,FALSE),MATCH(G103,レベル!$A$1:$I$1,FALSE))</f>
        <v>1</v>
      </c>
      <c r="P103" s="203">
        <v>30</v>
      </c>
      <c r="Q103" s="77" t="str">
        <f ca="1">VLOOKUP($A103,OFFSET([2]characters!$A$1,0,0,COUNTA([2]characters!$A:$A),MATCH(Q$1,[2]characters!$1:$1,0)-MATCH($A$1,[2]characters!$1:$1,0)+1),MATCH(Q$1,[2]characters!$1:$1,0)-MATCH($A$1,[2]characters!$1:$1,0)+1,FALSE)</f>
        <v>evolution</v>
      </c>
      <c r="R103" s="8" t="str">
        <f ca="1">VLOOKUP(Q103,[2]character_type_i18n!$A:$H,3,FALSE)</f>
        <v>覚醒素材タイプ</v>
      </c>
      <c r="S103" s="14">
        <f ca="1">VLOOKUP(Q103,[2]character_type_i18n!$A:$H,4,FALSE)</f>
        <v>0.1</v>
      </c>
      <c r="T103" s="14">
        <f ca="1">VLOOKUP(Q103,[2]character_type_i18n!$A:$H,5,FALSE)</f>
        <v>0.05</v>
      </c>
      <c r="U103" s="14">
        <f ca="1">VLOOKUP(Q103,[2]character_type_i18n!$A:$H,6,FALSE)</f>
        <v>1</v>
      </c>
      <c r="V103" s="14">
        <f ca="1">VLOOKUP(Q103,[2]character_type_i18n!$A:$H,7,FALSE)</f>
        <v>0.05</v>
      </c>
      <c r="W103" s="77" t="str">
        <f ca="1">VLOOKUP($A103,OFFSET([2]characters!$A$1,0,0,COUNTA([2]characters!$A:$A),MATCH(W$1,[2]characters!$1:$1,0)-MATCH($A$1,[2]characters!$1:$1,0)+1),MATCH(W$1,[2]characters!$1:$1,0)-MATCH($A$1,[2]characters!$1:$1,0)+1,FALSE)</f>
        <v>unknown</v>
      </c>
      <c r="X103" s="8" t="str">
        <f ca="1">VLOOKUP(W103,[2]character_tribe_i18n!$A:$H,3,FALSE)</f>
        <v>Unknown</v>
      </c>
      <c r="Y103" s="77" t="str">
        <f ca="1">VLOOKUP($A103,OFFSET([2]characters!$A$1,0,0,COUNTA([2]characters!$A:$A),MATCH(Y$1,[2]characters!$1:$1,0)-MATCH($A$1,[2]characters!$1:$1,0)+1),MATCH(Y$1,[2]characters!$1:$1,0)-MATCH($A$1,[2]characters!$1:$1,0)+1,FALSE)</f>
        <v>none</v>
      </c>
      <c r="Z103" s="8" t="str">
        <f ca="1">VLOOKUP(Y103,[2]character_tribe_i18n!$A:$H,3,FALSE)</f>
        <v>種族なし</v>
      </c>
      <c r="AA103" s="14">
        <f ca="1">VLOOKUP(W103,[2]character_tribe_i18n!$A:$H,4,FALSE)</f>
        <v>1</v>
      </c>
      <c r="AB103" s="14">
        <f ca="1">VLOOKUP(W103,[2]character_tribe_i18n!$A:$H,5,FALSE)</f>
        <v>1</v>
      </c>
      <c r="AC103" s="14">
        <f ca="1">VLOOKUP(W103,[2]character_tribe_i18n!$A:$H,6,FALSE)</f>
        <v>1</v>
      </c>
      <c r="AD103" s="14">
        <f ca="1">VLOOKUP(W103,[2]character_tribe_i18n!$A:$H,7,FALSE)</f>
        <v>1</v>
      </c>
      <c r="AE103" s="12" t="s">
        <v>102</v>
      </c>
      <c r="AF103" s="85" t="str">
        <f ca="1">IF(AE103="NULL","",VLOOKUP($AE103,OFFSET([2]characters!$A$1,0,0,COUNTA([2]characters!$A:$A),MATCH(AF$1,[2]characters!$1:$1,0)-MATCH($A$1,[2]characters!$1:$1,0)+1),MATCH(AF$1,[2]characters!$1:$1,0)-MATCH($A$1,[2]characters!$1:$1,0)+1,FALSE))</f>
        <v/>
      </c>
      <c r="AG103" s="8">
        <f t="shared" ca="1" si="9"/>
        <v>102</v>
      </c>
      <c r="AH103" s="85" t="str">
        <f ca="1">VLOOKUP($AG103,OFFSET([2]characters!$A$1,0,0,COUNTA([2]characters!$A:$A),MATCH(AH$1,[2]characters!$1:$1,0)-MATCH($A$1,[2]characters!$1:$1,0)+1),MATCH(AH$1,[2]characters!$1:$1,0)-MATCH($A$1,[2]characters!$1:$1,0)+1,FALSE)</f>
        <v>レッドラビット</v>
      </c>
      <c r="AI103" s="14" t="str">
        <f>IF(AE103="NULL","NULL",VLOOKUP(G103,ビット!$A$2:$B$7,2))</f>
        <v>NULL</v>
      </c>
      <c r="AJ103" s="9">
        <v>2</v>
      </c>
      <c r="AK103" s="10" t="str">
        <f t="shared" si="10"/>
        <v>普通</v>
      </c>
      <c r="AL103" s="14" t="str">
        <f ca="1">INDEX(経験値!$A$1:$I$20,MATCH(H103,経験値!$A$1:$A$20,FALSE),MATCH(G103,経験値!$A$1:$I$1,FALSE))</f>
        <v>NULL</v>
      </c>
      <c r="AM103" s="11">
        <f ca="1">VLOOKUP(G103,経験値!$A$27:$B$31,2)</f>
        <v>1500</v>
      </c>
      <c r="AN103" s="21">
        <f ca="1">VLOOKUP(G103,ビット!$G$2:$H$7,2)</f>
        <v>300</v>
      </c>
      <c r="AO103" s="64" t="s">
        <v>55</v>
      </c>
      <c r="AP103" s="97">
        <v>990014</v>
      </c>
      <c r="AQ103" s="77" t="e">
        <f ca="1">VLOOKUP($AP103,OFFSET([1]unit_skills!$A$1,0,0,COUNTA([1]unit_skills!$A:$A),MATCH("name",[1]unit_skills!$1:$1,0)-MATCH($AP$1,[1]unit_skills!$1:$1,0)+1),MATCH("name",[1]unit_skills!$1:$1,0)-MATCH($AP$1,[1]unit_skills!$1:$1,0)+1,FALSE)</f>
        <v>#VALUE!</v>
      </c>
      <c r="AR103" s="77" t="e">
        <f ca="1">VLOOKUP($AP103,OFFSET([1]unit_skills!$A$1,0,0,COUNTA([1]unit_skills!$A:$A),MATCH("comment",[1]unit_skills!$1:$1,0)-MATCH($AP$1,[1]unit_skills!$1:$1,0)+1),MATCH("comment",[1]unit_skills!$1:$1,0)-MATCH($AP$1,[1]unit_skills!$1:$1,0)+1,FALSE)</f>
        <v>#VALUE!</v>
      </c>
      <c r="AS103" s="77" t="e">
        <f ca="1">VLOOKUP($AP103,OFFSET([1]unit_skills!$A$1,0,0,COUNTA([1]unit_skills!$A:$A),MATCH(AS$1,[1]unit_skills!$1:$1,0)-MATCH($AP$1,[1]unit_skills!$1:$1,0)+1),MATCH(AS$1,[1]unit_skills!$1:$1,0)-MATCH($AP$1,[1]unit_skills!$1:$1,0)+1,FALSE)</f>
        <v>#VALUE!</v>
      </c>
      <c r="AT103" s="97">
        <v>0</v>
      </c>
      <c r="AU103" s="77" t="e">
        <f ca="1">VLOOKUP($AT103,OFFSET([1]crash_skills!$A$1,0,0,COUNTA([1]crash_skills!$A:$A),MATCH("name",[1]crash_skills!$1:$1,0)-MATCH($AT$1,[1]crash_skills!$1:$1,0)+1),MATCH("name",[1]crash_skills!$1:$1,0)-MATCH($AT$1,[1]crash_skills!$1:$1,0)+1,FALSE)</f>
        <v>#VALUE!</v>
      </c>
      <c r="AV103" s="77" t="e">
        <f ca="1">VLOOKUP($AT103,OFFSET([1]crash_skills!$A$1,0,0,COUNTA([1]crash_skills!$A:$A),MATCH("comment",[1]crash_skills!$1:$1,0)-MATCH($AT$1,[1]crash_skills!$1:$1,0)+1),MATCH("comment",[1]crash_skills!$1:$1,0)-MATCH($AT$1,[1]crash_skills!$1:$1,0)+1,FALSE)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03" s="77" t="e">
        <f ca="1">VLOOKUP($AT103,OFFSET([1]crash_skills!$A$1,0,0,COUNTA([1]crash_skills!$A:$A),MATCH(AW$1,[1]crash_skills!$1:$1,0)-MATCH($AT$1,[1]crash_skills!$1:$1,0)+1),MATCH(AW$1,[1]crash_skills!$1:$1,0)-MATCH($AT$1,[1]crash_skills!$1:$1,0)+1,FALSE)</f>
        <v>#VALUE!</v>
      </c>
      <c r="AX103" s="81">
        <f ca="1">VLOOKUP($A103,OFFSET([2]characters!$A$1,0,0,COUNTA([2]characters!$A:$A),MATCH(AX$1,[2]characters!$1:$1,0)-MATCH($A$1,[2]characters!$1:$1,0)+1),MATCH(AX$1,[2]characters!$1:$1,0)-MATCH($A$1,[2]characters!$1:$1,0)+1,FALSE)</f>
        <v>3</v>
      </c>
      <c r="AY103" s="19">
        <v>1</v>
      </c>
      <c r="AZ103" s="19">
        <v>1</v>
      </c>
      <c r="BA103" s="19">
        <v>0</v>
      </c>
      <c r="BB103" s="19">
        <v>1</v>
      </c>
      <c r="BC103" s="14">
        <f ca="1">INDEX('RC6SV'!$A$1:$G$20,MATCH(H103,'RC6SV'!$A$1:$A$20,FALSE),MATCH(G103,'RC6SV'!$A$1:$G$1,FALSE))</f>
        <v>1000</v>
      </c>
      <c r="BD103" s="63">
        <f t="shared" ca="1" si="11"/>
        <v>1000</v>
      </c>
      <c r="BE103" s="14">
        <f t="shared" ca="1" si="12"/>
        <v>0</v>
      </c>
      <c r="BF103" s="14">
        <f t="shared" ca="1" si="13"/>
        <v>1</v>
      </c>
      <c r="BG103" s="20">
        <f ca="1">IF($BE103&lt;=0,ROUND(BK103*0.5,0), ROUND($BE103*S103*AA103*J103*AY103*0.8*[2]ステータス!$B$2,0))</f>
        <v>25</v>
      </c>
      <c r="BH103" s="20">
        <f ca="1">IF($BE103&lt;=0,ROUND(BL103*0.5,0), ROUND($BE103*T103*AB103*K103*AZ103*0.8*[2]ステータス!$C$2,0))</f>
        <v>8</v>
      </c>
      <c r="BI103" s="20">
        <f ca="1">IF($BE103&lt;=0,ROUND(BM103*0.5,0), ROUND($BE103*U103*AC103*L103*BA103*0.8*[2]ステータス!$D$2,0))</f>
        <v>0</v>
      </c>
      <c r="BJ103" s="20">
        <f ca="1">IF($BE103&lt;=0,ROUND(BN103*0.5,0), ROUND($BE103*V103*AD103*M103*BB103*0.8*[2]ステータス!$E$2,0))</f>
        <v>6</v>
      </c>
      <c r="BK103" s="14">
        <f ca="1">ROUND(BD103*S103*AA103*J103*AY103*[2]ステータス!$B$2,0)</f>
        <v>50</v>
      </c>
      <c r="BL103" s="14">
        <f ca="1">ROUND(BD103*T103*AB103*K103*AZ103*[2]ステータス!$C$2,0)</f>
        <v>15</v>
      </c>
      <c r="BM103" s="14">
        <f ca="1">ROUND(BD103*U103*AC103*L103*BA103*[2]ステータス!$D$2,0)</f>
        <v>0</v>
      </c>
      <c r="BN103" s="14">
        <f ca="1">ROUND(BD103*V103*AD103*M103*BB103*[2]ステータス!$E$2,0)</f>
        <v>12</v>
      </c>
      <c r="BO103" s="13">
        <v>0</v>
      </c>
      <c r="BP103" s="13">
        <v>1</v>
      </c>
      <c r="BQ103" s="13" t="s">
        <v>102</v>
      </c>
      <c r="BR103" s="13">
        <f ca="1">VLOOKUP(H103,ghosts_label!$A$2:$B$19,2,FALSE)</f>
        <v>0</v>
      </c>
    </row>
    <row r="104" spans="1:70" ht="21" customHeight="1" x14ac:dyDescent="0.15">
      <c r="A104" s="14">
        <f t="shared" ca="1" si="8"/>
        <v>103</v>
      </c>
      <c r="B104" s="77" t="str">
        <f ca="1">VLOOKUP($A104,OFFSET([2]characters!$A$1,0,0,COUNTA([2]characters!$A:$A),MATCH(B$1,[2]characters!$1:$1,0)-MATCH($A$1,[2]characters!$1:$1,0)+1),MATCH(B$1,[2]characters!$1:$1,0)-MATCH($A$1,[2]characters!$1:$1,0)+1,FALSE)</f>
        <v>レッドキャタップ</v>
      </c>
      <c r="C104" s="77" t="str">
        <f ca="1">VLOOKUP($A104,OFFSET([2]characters!$A$1,0,0,COUNTA([2]characters!$A:$A),MATCH(C$1,[2]characters!$1:$1,0)-MATCH($A$1,[2]characters!$1:$1,0)+1),MATCH(C$1,[2]characters!$1:$1,0)-MATCH($A$1,[2]characters!$1:$1,0)+1,FALSE)</f>
        <v>進化素材・赤・R4</v>
      </c>
      <c r="D104" s="77" t="str">
        <f ca="1">VLOOKUP($A104,OFFSET([2]characters!$A$1,0,0,COUNTA([2]characters!$A:$A),MATCH(D$1,[2]characters!$1:$1,0)-MATCH($A$1,[2]characters!$1:$1,0)+1),MATCH(D$1,[2]characters!$1:$1,0)-MATCH($A$1,[2]characters!$1:$1,0)+1,FALSE)</f>
        <v>アリス</v>
      </c>
      <c r="E104" s="77" t="str">
        <f ca="1">VLOOKUP($A104,OFFSET([2]characters!$A$1,0,0,COUNTA([2]characters!$A:$A),MATCH(E$1,[2]characters!$1:$1,0)-MATCH($A$1,[2]characters!$1:$1,0)+1),MATCH(E$1,[2]characters!$1:$1,0)-MATCH($A$1,[2]characters!$1:$1,0)+1,FALSE)</f>
        <v>世界観</v>
      </c>
      <c r="F104" s="77" t="str">
        <f ca="1">VLOOKUP($A104,OFFSET([2]characters!$A$1,0,0,COUNTA([2]characters!$A:$A),MATCH(F$1,[2]characters!$1:$1,0)-MATCH($A$1,[2]characters!$1:$1,0)+1),MATCH(F$1,[2]characters!$1:$1,0)-MATCH($A$1,[2]characters!$1:$1,0)+1,FALSE)</f>
        <v>不明</v>
      </c>
      <c r="G104" s="77">
        <f ca="1">VLOOKUP($A104,OFFSET([2]characters!$A$1,0,0,COUNTA([2]characters!$A:$A),MATCH(G$1,[2]characters!$1:$1,0)-MATCH($A$1,[2]characters!$1:$1,0)+1),MATCH(G$1,[2]characters!$1:$1,0)-MATCH($A$1,[2]characters!$1:$1,0)+1,FALSE)</f>
        <v>4</v>
      </c>
      <c r="H104" s="77" t="str">
        <f ca="1">VLOOKUP($A104,OFFSET([2]characters!$A$1,0,0,COUNTA([2]characters!$A:$A),MATCH(H$1,[2]characters!$1:$1,0)-MATCH($A$1,[2]characters!$1:$1,0)+1),MATCH(H$1,[2]characters!$1:$1,0)-MATCH($A$1,[2]characters!$1:$1,0)+1,FALSE)</f>
        <v>Material</v>
      </c>
      <c r="I104" s="77" t="str">
        <f ca="1">VLOOKUP($A104,OFFSET([2]characters!$A$1,0,0,COUNTA([2]characters!$A:$A),MATCH(I$1,[2]characters!$1:$1,0)-MATCH($A$1,[2]characters!$1:$1,0)+1),MATCH(I$1,[2]characters!$1:$1,0)-MATCH($A$1,[2]characters!$1:$1,0)+1,FALSE)</f>
        <v>red</v>
      </c>
      <c r="J104" s="14">
        <f ca="1">VLOOKUP(I104,[2]属性!$A:$E,2,FALSE)</f>
        <v>1</v>
      </c>
      <c r="K104" s="14">
        <f ca="1">VLOOKUP(I104,[2]属性!$A:$E,3,FALSE)</f>
        <v>1.02</v>
      </c>
      <c r="L104" s="14">
        <f ca="1">VLOOKUP(I104,[2]属性!$A:$E,4,FALSE)</f>
        <v>1</v>
      </c>
      <c r="M104" s="14">
        <f ca="1">VLOOKUP(I104,[2]属性!$A:$E,5,FALSE)</f>
        <v>0.98</v>
      </c>
      <c r="N104" s="14">
        <f ca="1">INDEX(コスト!$A$1:$I$20,MATCH(H104,コスト!$A$1:$A$20,FALSE),MATCH(G104,コスト!$A$1:$I$1,FALSE))</f>
        <v>99</v>
      </c>
      <c r="O104" s="14">
        <f ca="1">INDEX(レベル!$A$1:$I$21,MATCH(H104,レベル!$A$1:$A$21,FALSE),MATCH(G104,レベル!$A$1:$I$1,FALSE))</f>
        <v>1</v>
      </c>
      <c r="P104" s="203">
        <v>30</v>
      </c>
      <c r="Q104" s="77" t="str">
        <f ca="1">VLOOKUP($A104,OFFSET([2]characters!$A$1,0,0,COUNTA([2]characters!$A:$A),MATCH(Q$1,[2]characters!$1:$1,0)-MATCH($A$1,[2]characters!$1:$1,0)+1),MATCH(Q$1,[2]characters!$1:$1,0)-MATCH($A$1,[2]characters!$1:$1,0)+1,FALSE)</f>
        <v>evolution</v>
      </c>
      <c r="R104" s="8" t="str">
        <f ca="1">VLOOKUP(Q104,[2]character_type_i18n!$A:$H,3,FALSE)</f>
        <v>覚醒素材タイプ</v>
      </c>
      <c r="S104" s="14">
        <f ca="1">VLOOKUP(Q104,[2]character_type_i18n!$A:$H,4,FALSE)</f>
        <v>0.1</v>
      </c>
      <c r="T104" s="14">
        <f ca="1">VLOOKUP(Q104,[2]character_type_i18n!$A:$H,5,FALSE)</f>
        <v>0.05</v>
      </c>
      <c r="U104" s="14">
        <f ca="1">VLOOKUP(Q104,[2]character_type_i18n!$A:$H,6,FALSE)</f>
        <v>1</v>
      </c>
      <c r="V104" s="14">
        <f ca="1">VLOOKUP(Q104,[2]character_type_i18n!$A:$H,7,FALSE)</f>
        <v>0.05</v>
      </c>
      <c r="W104" s="77" t="str">
        <f ca="1">VLOOKUP($A104,OFFSET([2]characters!$A$1,0,0,COUNTA([2]characters!$A:$A),MATCH(W$1,[2]characters!$1:$1,0)-MATCH($A$1,[2]characters!$1:$1,0)+1),MATCH(W$1,[2]characters!$1:$1,0)-MATCH($A$1,[2]characters!$1:$1,0)+1,FALSE)</f>
        <v>unknown</v>
      </c>
      <c r="X104" s="8" t="str">
        <f ca="1">VLOOKUP(W104,[2]character_tribe_i18n!$A:$H,3,FALSE)</f>
        <v>Unknown</v>
      </c>
      <c r="Y104" s="77" t="str">
        <f ca="1">VLOOKUP($A104,OFFSET([2]characters!$A$1,0,0,COUNTA([2]characters!$A:$A),MATCH(Y$1,[2]characters!$1:$1,0)-MATCH($A$1,[2]characters!$1:$1,0)+1),MATCH(Y$1,[2]characters!$1:$1,0)-MATCH($A$1,[2]characters!$1:$1,0)+1,FALSE)</f>
        <v>none</v>
      </c>
      <c r="Z104" s="8" t="str">
        <f ca="1">VLOOKUP(Y104,[2]character_tribe_i18n!$A:$H,3,FALSE)</f>
        <v>種族なし</v>
      </c>
      <c r="AA104" s="14">
        <f ca="1">VLOOKUP(W104,[2]character_tribe_i18n!$A:$H,4,FALSE)</f>
        <v>1</v>
      </c>
      <c r="AB104" s="14">
        <f ca="1">VLOOKUP(W104,[2]character_tribe_i18n!$A:$H,5,FALSE)</f>
        <v>1</v>
      </c>
      <c r="AC104" s="14">
        <f ca="1">VLOOKUP(W104,[2]character_tribe_i18n!$A:$H,6,FALSE)</f>
        <v>1</v>
      </c>
      <c r="AD104" s="14">
        <f ca="1">VLOOKUP(W104,[2]character_tribe_i18n!$A:$H,7,FALSE)</f>
        <v>1</v>
      </c>
      <c r="AE104" s="12" t="s">
        <v>102</v>
      </c>
      <c r="AF104" s="85" t="str">
        <f ca="1">IF(AE104="NULL","",VLOOKUP($AE104,OFFSET([2]characters!$A$1,0,0,COUNTA([2]characters!$A:$A),MATCH(AF$1,[2]characters!$1:$1,0)-MATCH($A$1,[2]characters!$1:$1,0)+1),MATCH(AF$1,[2]characters!$1:$1,0)-MATCH($A$1,[2]characters!$1:$1,0)+1,FALSE))</f>
        <v/>
      </c>
      <c r="AG104" s="8">
        <f t="shared" ca="1" si="9"/>
        <v>103</v>
      </c>
      <c r="AH104" s="85" t="str">
        <f ca="1">VLOOKUP($AG104,OFFSET([2]characters!$A$1,0,0,COUNTA([2]characters!$A:$A),MATCH(AH$1,[2]characters!$1:$1,0)-MATCH($A$1,[2]characters!$1:$1,0)+1),MATCH(AH$1,[2]characters!$1:$1,0)-MATCH($A$1,[2]characters!$1:$1,0)+1,FALSE)</f>
        <v>レッドキャタップ</v>
      </c>
      <c r="AI104" s="14" t="str">
        <f>IF(AE104="NULL","NULL",VLOOKUP(G104,ビット!$A$2:$B$7,2))</f>
        <v>NULL</v>
      </c>
      <c r="AJ104" s="9">
        <v>2</v>
      </c>
      <c r="AK104" s="10" t="str">
        <f t="shared" si="10"/>
        <v>普通</v>
      </c>
      <c r="AL104" s="14" t="str">
        <f ca="1">INDEX(経験値!$A$1:$I$20,MATCH(H104,経験値!$A$1:$A$20,FALSE),MATCH(G104,経験値!$A$1:$I$1,FALSE))</f>
        <v>NULL</v>
      </c>
      <c r="AM104" s="11">
        <f ca="1">VLOOKUP(G104,経験値!$A$27:$B$31,2)</f>
        <v>3400</v>
      </c>
      <c r="AN104" s="21">
        <f ca="1">VLOOKUP(G104,ビット!$G$2:$H$7,2)</f>
        <v>600</v>
      </c>
      <c r="AO104" s="64" t="s">
        <v>55</v>
      </c>
      <c r="AP104" s="97">
        <v>990014</v>
      </c>
      <c r="AQ104" s="77" t="e">
        <f ca="1">VLOOKUP($AP104,OFFSET([1]unit_skills!$A$1,0,0,COUNTA([1]unit_skills!$A:$A),MATCH("name",[1]unit_skills!$1:$1,0)-MATCH($AP$1,[1]unit_skills!$1:$1,0)+1),MATCH("name",[1]unit_skills!$1:$1,0)-MATCH($AP$1,[1]unit_skills!$1:$1,0)+1,FALSE)</f>
        <v>#VALUE!</v>
      </c>
      <c r="AR104" s="77" t="e">
        <f ca="1">VLOOKUP($AP104,OFFSET([1]unit_skills!$A$1,0,0,COUNTA([1]unit_skills!$A:$A),MATCH("comment",[1]unit_skills!$1:$1,0)-MATCH($AP$1,[1]unit_skills!$1:$1,0)+1),MATCH("comment",[1]unit_skills!$1:$1,0)-MATCH($AP$1,[1]unit_skills!$1:$1,0)+1,FALSE)</f>
        <v>#VALUE!</v>
      </c>
      <c r="AS104" s="77" t="e">
        <f ca="1">VLOOKUP($AP104,OFFSET([1]unit_skills!$A$1,0,0,COUNTA([1]unit_skills!$A:$A),MATCH(AS$1,[1]unit_skills!$1:$1,0)-MATCH($AP$1,[1]unit_skills!$1:$1,0)+1),MATCH(AS$1,[1]unit_skills!$1:$1,0)-MATCH($AP$1,[1]unit_skills!$1:$1,0)+1,FALSE)</f>
        <v>#VALUE!</v>
      </c>
      <c r="AT104" s="97">
        <v>0</v>
      </c>
      <c r="AU104" s="77" t="e">
        <f ca="1">VLOOKUP($AT104,OFFSET([1]crash_skills!$A$1,0,0,COUNTA([1]crash_skills!$A:$A),MATCH("name",[1]crash_skills!$1:$1,0)-MATCH($AT$1,[1]crash_skills!$1:$1,0)+1),MATCH("name",[1]crash_skills!$1:$1,0)-MATCH($AT$1,[1]crash_skills!$1:$1,0)+1,FALSE)</f>
        <v>#VALUE!</v>
      </c>
      <c r="AV104" s="77" t="e">
        <f ca="1">VLOOKUP($AT104,OFFSET([1]crash_skills!$A$1,0,0,COUNTA([1]crash_skills!$A:$A),MATCH("comment",[1]crash_skills!$1:$1,0)-MATCH($AT$1,[1]crash_skills!$1:$1,0)+1),MATCH("comment",[1]crash_skills!$1:$1,0)-MATCH($AT$1,[1]crash_skills!$1:$1,0)+1,FALSE)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04" s="77" t="e">
        <f ca="1">VLOOKUP($AT104,OFFSET([1]crash_skills!$A$1,0,0,COUNTA([1]crash_skills!$A:$A),MATCH(AW$1,[1]crash_skills!$1:$1,0)-MATCH($AT$1,[1]crash_skills!$1:$1,0)+1),MATCH(AW$1,[1]crash_skills!$1:$1,0)-MATCH($AT$1,[1]crash_skills!$1:$1,0)+1,FALSE)</f>
        <v>#VALUE!</v>
      </c>
      <c r="AX104" s="81">
        <f ca="1">VLOOKUP($A104,OFFSET([2]characters!$A$1,0,0,COUNTA([2]characters!$A:$A),MATCH(AX$1,[2]characters!$1:$1,0)-MATCH($A$1,[2]characters!$1:$1,0)+1),MATCH(AX$1,[2]characters!$1:$1,0)-MATCH($A$1,[2]characters!$1:$1,0)+1,FALSE)</f>
        <v>3</v>
      </c>
      <c r="AY104" s="19">
        <v>1</v>
      </c>
      <c r="AZ104" s="19">
        <v>1</v>
      </c>
      <c r="BA104" s="19">
        <v>0</v>
      </c>
      <c r="BB104" s="19">
        <v>1</v>
      </c>
      <c r="BC104" s="14">
        <f ca="1">INDEX('RC6SV'!$A$1:$G$20,MATCH(H104,'RC6SV'!$A$1:$A$20,FALSE),MATCH(G104,'RC6SV'!$A$1:$G$1,FALSE))</f>
        <v>1000</v>
      </c>
      <c r="BD104" s="63">
        <f t="shared" ca="1" si="11"/>
        <v>1000</v>
      </c>
      <c r="BE104" s="14">
        <f t="shared" ca="1" si="12"/>
        <v>0</v>
      </c>
      <c r="BF104" s="14">
        <f t="shared" ca="1" si="13"/>
        <v>1</v>
      </c>
      <c r="BG104" s="20">
        <f ca="1">IF($BE104&lt;=0,ROUND(BK104*0.5,0), ROUND($BE104*S104*AA104*J104*AY104*0.8*[2]ステータス!$B$2,0))</f>
        <v>25</v>
      </c>
      <c r="BH104" s="20">
        <f ca="1">IF($BE104&lt;=0,ROUND(BL104*0.5,0), ROUND($BE104*T104*AB104*K104*AZ104*0.8*[2]ステータス!$C$2,0))</f>
        <v>8</v>
      </c>
      <c r="BI104" s="20">
        <f ca="1">IF($BE104&lt;=0,ROUND(BM104*0.5,0), ROUND($BE104*U104*AC104*L104*BA104*0.8*[2]ステータス!$D$2,0))</f>
        <v>0</v>
      </c>
      <c r="BJ104" s="20">
        <f ca="1">IF($BE104&lt;=0,ROUND(BN104*0.5,0), ROUND($BE104*V104*AD104*M104*BB104*0.8*[2]ステータス!$E$2,0))</f>
        <v>6</v>
      </c>
      <c r="BK104" s="14">
        <f ca="1">ROUND(BD104*S104*AA104*J104*AY104*[2]ステータス!$B$2,0)</f>
        <v>50</v>
      </c>
      <c r="BL104" s="14">
        <f ca="1">ROUND(BD104*T104*AB104*K104*AZ104*[2]ステータス!$C$2,0)</f>
        <v>15</v>
      </c>
      <c r="BM104" s="14">
        <f ca="1">ROUND(BD104*U104*AC104*L104*BA104*[2]ステータス!$D$2,0)</f>
        <v>0</v>
      </c>
      <c r="BN104" s="14">
        <f ca="1">ROUND(BD104*V104*AD104*M104*BB104*[2]ステータス!$E$2,0)</f>
        <v>12</v>
      </c>
      <c r="BO104" s="13">
        <v>0</v>
      </c>
      <c r="BP104" s="13">
        <v>1</v>
      </c>
      <c r="BQ104" s="13" t="s">
        <v>102</v>
      </c>
      <c r="BR104" s="13">
        <f ca="1">VLOOKUP(H104,ghosts_label!$A$2:$B$19,2,FALSE)</f>
        <v>0</v>
      </c>
    </row>
    <row r="105" spans="1:70" ht="21" customHeight="1" x14ac:dyDescent="0.15">
      <c r="A105" s="14">
        <f t="shared" ca="1" si="8"/>
        <v>104</v>
      </c>
      <c r="B105" s="77" t="str">
        <f ca="1">VLOOKUP($A105,OFFSET([2]characters!$A$1,0,0,COUNTA([2]characters!$A:$A),MATCH(B$1,[2]characters!$1:$1,0)-MATCH($A$1,[2]characters!$1:$1,0)+1),MATCH(B$1,[2]characters!$1:$1,0)-MATCH($A$1,[2]characters!$1:$1,0)+1,FALSE)</f>
        <v>炎のマッドハッター</v>
      </c>
      <c r="C105" s="77" t="str">
        <f ca="1">VLOOKUP($A105,OFFSET([2]characters!$A$1,0,0,COUNTA([2]characters!$A:$A),MATCH(C$1,[2]characters!$1:$1,0)-MATCH($A$1,[2]characters!$1:$1,0)+1),MATCH(C$1,[2]characters!$1:$1,0)-MATCH($A$1,[2]characters!$1:$1,0)+1,FALSE)</f>
        <v>進化素材・赤・R5</v>
      </c>
      <c r="D105" s="77" t="str">
        <f ca="1">VLOOKUP($A105,OFFSET([2]characters!$A$1,0,0,COUNTA([2]characters!$A:$A),MATCH(D$1,[2]characters!$1:$1,0)-MATCH($A$1,[2]characters!$1:$1,0)+1),MATCH(D$1,[2]characters!$1:$1,0)-MATCH($A$1,[2]characters!$1:$1,0)+1,FALSE)</f>
        <v>アリス</v>
      </c>
      <c r="E105" s="77" t="str">
        <f ca="1">VLOOKUP($A105,OFFSET([2]characters!$A$1,0,0,COUNTA([2]characters!$A:$A),MATCH(E$1,[2]characters!$1:$1,0)-MATCH($A$1,[2]characters!$1:$1,0)+1),MATCH(E$1,[2]characters!$1:$1,0)-MATCH($A$1,[2]characters!$1:$1,0)+1,FALSE)</f>
        <v>世界観</v>
      </c>
      <c r="F105" s="77" t="str">
        <f ca="1">VLOOKUP($A105,OFFSET([2]characters!$A$1,0,0,COUNTA([2]characters!$A:$A),MATCH(F$1,[2]characters!$1:$1,0)-MATCH($A$1,[2]characters!$1:$1,0)+1),MATCH(F$1,[2]characters!$1:$1,0)-MATCH($A$1,[2]characters!$1:$1,0)+1,FALSE)</f>
        <v>不明</v>
      </c>
      <c r="G105" s="77">
        <f ca="1">VLOOKUP($A105,OFFSET([2]characters!$A$1,0,0,COUNTA([2]characters!$A:$A),MATCH(G$1,[2]characters!$1:$1,0)-MATCH($A$1,[2]characters!$1:$1,0)+1),MATCH(G$1,[2]characters!$1:$1,0)-MATCH($A$1,[2]characters!$1:$1,0)+1,FALSE)</f>
        <v>5</v>
      </c>
      <c r="H105" s="77" t="str">
        <f ca="1">VLOOKUP($A105,OFFSET([2]characters!$A$1,0,0,COUNTA([2]characters!$A:$A),MATCH(H$1,[2]characters!$1:$1,0)-MATCH($A$1,[2]characters!$1:$1,0)+1),MATCH(H$1,[2]characters!$1:$1,0)-MATCH($A$1,[2]characters!$1:$1,0)+1,FALSE)</f>
        <v>Material</v>
      </c>
      <c r="I105" s="77" t="str">
        <f ca="1">VLOOKUP($A105,OFFSET([2]characters!$A$1,0,0,COUNTA([2]characters!$A:$A),MATCH(I$1,[2]characters!$1:$1,0)-MATCH($A$1,[2]characters!$1:$1,0)+1),MATCH(I$1,[2]characters!$1:$1,0)-MATCH($A$1,[2]characters!$1:$1,0)+1,FALSE)</f>
        <v>red</v>
      </c>
      <c r="J105" s="14">
        <f ca="1">VLOOKUP(I105,[2]属性!$A:$E,2,FALSE)</f>
        <v>1</v>
      </c>
      <c r="K105" s="14">
        <f ca="1">VLOOKUP(I105,[2]属性!$A:$E,3,FALSE)</f>
        <v>1.02</v>
      </c>
      <c r="L105" s="14">
        <f ca="1">VLOOKUP(I105,[2]属性!$A:$E,4,FALSE)</f>
        <v>1</v>
      </c>
      <c r="M105" s="14">
        <f ca="1">VLOOKUP(I105,[2]属性!$A:$E,5,FALSE)</f>
        <v>0.98</v>
      </c>
      <c r="N105" s="14">
        <f ca="1">INDEX(コスト!$A$1:$I$20,MATCH(H105,コスト!$A$1:$A$20,FALSE),MATCH(G105,コスト!$A$1:$I$1,FALSE))</f>
        <v>99</v>
      </c>
      <c r="O105" s="14">
        <f ca="1">INDEX(レベル!$A$1:$I$21,MATCH(H105,レベル!$A$1:$A$21,FALSE),MATCH(G105,レベル!$A$1:$I$1,FALSE))</f>
        <v>1</v>
      </c>
      <c r="P105" s="203">
        <v>30</v>
      </c>
      <c r="Q105" s="77" t="str">
        <f ca="1">VLOOKUP($A105,OFFSET([2]characters!$A$1,0,0,COUNTA([2]characters!$A:$A),MATCH(Q$1,[2]characters!$1:$1,0)-MATCH($A$1,[2]characters!$1:$1,0)+1),MATCH(Q$1,[2]characters!$1:$1,0)-MATCH($A$1,[2]characters!$1:$1,0)+1,FALSE)</f>
        <v>evolution</v>
      </c>
      <c r="R105" s="8" t="str">
        <f ca="1">VLOOKUP(Q105,[2]character_type_i18n!$A:$H,3,FALSE)</f>
        <v>覚醒素材タイプ</v>
      </c>
      <c r="S105" s="14">
        <f ca="1">VLOOKUP(Q105,[2]character_type_i18n!$A:$H,4,FALSE)</f>
        <v>0.1</v>
      </c>
      <c r="T105" s="14">
        <f ca="1">VLOOKUP(Q105,[2]character_type_i18n!$A:$H,5,FALSE)</f>
        <v>0.05</v>
      </c>
      <c r="U105" s="14">
        <f ca="1">VLOOKUP(Q105,[2]character_type_i18n!$A:$H,6,FALSE)</f>
        <v>1</v>
      </c>
      <c r="V105" s="14">
        <f ca="1">VLOOKUP(Q105,[2]character_type_i18n!$A:$H,7,FALSE)</f>
        <v>0.05</v>
      </c>
      <c r="W105" s="77" t="str">
        <f ca="1">VLOOKUP($A105,OFFSET([2]characters!$A$1,0,0,COUNTA([2]characters!$A:$A),MATCH(W$1,[2]characters!$1:$1,0)-MATCH($A$1,[2]characters!$1:$1,0)+1),MATCH(W$1,[2]characters!$1:$1,0)-MATCH($A$1,[2]characters!$1:$1,0)+1,FALSE)</f>
        <v>unknown</v>
      </c>
      <c r="X105" s="8" t="str">
        <f ca="1">VLOOKUP(W105,[2]character_tribe_i18n!$A:$H,3,FALSE)</f>
        <v>Unknown</v>
      </c>
      <c r="Y105" s="77" t="str">
        <f ca="1">VLOOKUP($A105,OFFSET([2]characters!$A$1,0,0,COUNTA([2]characters!$A:$A),MATCH(Y$1,[2]characters!$1:$1,0)-MATCH($A$1,[2]characters!$1:$1,0)+1),MATCH(Y$1,[2]characters!$1:$1,0)-MATCH($A$1,[2]characters!$1:$1,0)+1,FALSE)</f>
        <v>none</v>
      </c>
      <c r="Z105" s="8" t="str">
        <f ca="1">VLOOKUP(Y105,[2]character_tribe_i18n!$A:$H,3,FALSE)</f>
        <v>種族なし</v>
      </c>
      <c r="AA105" s="14">
        <f ca="1">VLOOKUP(W105,[2]character_tribe_i18n!$A:$H,4,FALSE)</f>
        <v>1</v>
      </c>
      <c r="AB105" s="14">
        <f ca="1">VLOOKUP(W105,[2]character_tribe_i18n!$A:$H,5,FALSE)</f>
        <v>1</v>
      </c>
      <c r="AC105" s="14">
        <f ca="1">VLOOKUP(W105,[2]character_tribe_i18n!$A:$H,6,FALSE)</f>
        <v>1</v>
      </c>
      <c r="AD105" s="14">
        <f ca="1">VLOOKUP(W105,[2]character_tribe_i18n!$A:$H,7,FALSE)</f>
        <v>1</v>
      </c>
      <c r="AE105" s="12" t="s">
        <v>102</v>
      </c>
      <c r="AF105" s="85" t="str">
        <f ca="1">IF(AE105="NULL","",VLOOKUP($AE105,OFFSET([2]characters!$A$1,0,0,COUNTA([2]characters!$A:$A),MATCH(AF$1,[2]characters!$1:$1,0)-MATCH($A$1,[2]characters!$1:$1,0)+1),MATCH(AF$1,[2]characters!$1:$1,0)-MATCH($A$1,[2]characters!$1:$1,0)+1,FALSE))</f>
        <v/>
      </c>
      <c r="AG105" s="8">
        <f t="shared" ca="1" si="9"/>
        <v>104</v>
      </c>
      <c r="AH105" s="85" t="str">
        <f ca="1">VLOOKUP($AG105,OFFSET([2]characters!$A$1,0,0,COUNTA([2]characters!$A:$A),MATCH(AH$1,[2]characters!$1:$1,0)-MATCH($A$1,[2]characters!$1:$1,0)+1),MATCH(AH$1,[2]characters!$1:$1,0)-MATCH($A$1,[2]characters!$1:$1,0)+1,FALSE)</f>
        <v>炎のマッドハッター</v>
      </c>
      <c r="AI105" s="14" t="str">
        <f>IF(AE105="NULL","NULL",VLOOKUP(G105,ビット!$A$2:$B$7,2))</f>
        <v>NULL</v>
      </c>
      <c r="AJ105" s="9">
        <v>2</v>
      </c>
      <c r="AK105" s="10" t="str">
        <f t="shared" si="10"/>
        <v>普通</v>
      </c>
      <c r="AL105" s="14" t="str">
        <f ca="1">INDEX(経験値!$A$1:$I$20,MATCH(H105,経験値!$A$1:$A$20,FALSE),MATCH(G105,経験値!$A$1:$I$1,FALSE))</f>
        <v>NULL</v>
      </c>
      <c r="AM105" s="11">
        <f ca="1">VLOOKUP(G105,経験値!$A$27:$B$31,2)</f>
        <v>6400</v>
      </c>
      <c r="AN105" s="21">
        <f ca="1">VLOOKUP(G105,ビット!$G$2:$H$7,2)</f>
        <v>900</v>
      </c>
      <c r="AO105" s="64" t="s">
        <v>55</v>
      </c>
      <c r="AP105" s="97">
        <v>990014</v>
      </c>
      <c r="AQ105" s="77" t="e">
        <f ca="1">VLOOKUP($AP105,OFFSET([1]unit_skills!$A$1,0,0,COUNTA([1]unit_skills!$A:$A),MATCH("name",[1]unit_skills!$1:$1,0)-MATCH($AP$1,[1]unit_skills!$1:$1,0)+1),MATCH("name",[1]unit_skills!$1:$1,0)-MATCH($AP$1,[1]unit_skills!$1:$1,0)+1,FALSE)</f>
        <v>#VALUE!</v>
      </c>
      <c r="AR105" s="77" t="e">
        <f ca="1">VLOOKUP($AP105,OFFSET([1]unit_skills!$A$1,0,0,COUNTA([1]unit_skills!$A:$A),MATCH("comment",[1]unit_skills!$1:$1,0)-MATCH($AP$1,[1]unit_skills!$1:$1,0)+1),MATCH("comment",[1]unit_skills!$1:$1,0)-MATCH($AP$1,[1]unit_skills!$1:$1,0)+1,FALSE)</f>
        <v>#VALUE!</v>
      </c>
      <c r="AS105" s="77" t="e">
        <f ca="1">VLOOKUP($AP105,OFFSET([1]unit_skills!$A$1,0,0,COUNTA([1]unit_skills!$A:$A),MATCH(AS$1,[1]unit_skills!$1:$1,0)-MATCH($AP$1,[1]unit_skills!$1:$1,0)+1),MATCH(AS$1,[1]unit_skills!$1:$1,0)-MATCH($AP$1,[1]unit_skills!$1:$1,0)+1,FALSE)</f>
        <v>#VALUE!</v>
      </c>
      <c r="AT105" s="97">
        <v>0</v>
      </c>
      <c r="AU105" s="77" t="e">
        <f ca="1">VLOOKUP($AT105,OFFSET([1]crash_skills!$A$1,0,0,COUNTA([1]crash_skills!$A:$A),MATCH("name",[1]crash_skills!$1:$1,0)-MATCH($AT$1,[1]crash_skills!$1:$1,0)+1),MATCH("name",[1]crash_skills!$1:$1,0)-MATCH($AT$1,[1]crash_skills!$1:$1,0)+1,FALSE)</f>
        <v>#VALUE!</v>
      </c>
      <c r="AV105" s="77" t="e">
        <f ca="1">VLOOKUP($AT105,OFFSET([1]crash_skills!$A$1,0,0,COUNTA([1]crash_skills!$A:$A),MATCH("comment",[1]crash_skills!$1:$1,0)-MATCH($AT$1,[1]crash_skills!$1:$1,0)+1),MATCH("comment",[1]crash_skills!$1:$1,0)-MATCH($AT$1,[1]crash_skills!$1:$1,0)+1,FALSE)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05" s="77" t="e">
        <f ca="1">VLOOKUP($AT105,OFFSET([1]crash_skills!$A$1,0,0,COUNTA([1]crash_skills!$A:$A),MATCH(AW$1,[1]crash_skills!$1:$1,0)-MATCH($AT$1,[1]crash_skills!$1:$1,0)+1),MATCH(AW$1,[1]crash_skills!$1:$1,0)-MATCH($AT$1,[1]crash_skills!$1:$1,0)+1,FALSE)</f>
        <v>#VALUE!</v>
      </c>
      <c r="AX105" s="81">
        <f ca="1">VLOOKUP($A105,OFFSET([2]characters!$A$1,0,0,COUNTA([2]characters!$A:$A),MATCH(AX$1,[2]characters!$1:$1,0)-MATCH($A$1,[2]characters!$1:$1,0)+1),MATCH(AX$1,[2]characters!$1:$1,0)-MATCH($A$1,[2]characters!$1:$1,0)+1,FALSE)</f>
        <v>3</v>
      </c>
      <c r="AY105" s="19">
        <v>1</v>
      </c>
      <c r="AZ105" s="19">
        <v>1</v>
      </c>
      <c r="BA105" s="19">
        <v>0</v>
      </c>
      <c r="BB105" s="19">
        <v>1</v>
      </c>
      <c r="BC105" s="14">
        <f ca="1">INDEX('RC6SV'!$A$1:$G$20,MATCH(H105,'RC6SV'!$A$1:$A$20,FALSE),MATCH(G105,'RC6SV'!$A$1:$G$1,FALSE))</f>
        <v>1000</v>
      </c>
      <c r="BD105" s="63">
        <f t="shared" ca="1" si="11"/>
        <v>1000</v>
      </c>
      <c r="BE105" s="14">
        <f t="shared" ca="1" si="12"/>
        <v>0</v>
      </c>
      <c r="BF105" s="14">
        <f t="shared" ca="1" si="13"/>
        <v>1</v>
      </c>
      <c r="BG105" s="20">
        <f ca="1">IF($BE105&lt;=0,ROUND(BK105*0.5,0), ROUND($BE105*S105*AA105*J105*AY105*0.8*[2]ステータス!$B$2,0))</f>
        <v>25</v>
      </c>
      <c r="BH105" s="20">
        <f ca="1">IF($BE105&lt;=0,ROUND(BL105*0.5,0), ROUND($BE105*T105*AB105*K105*AZ105*0.8*[2]ステータス!$C$2,0))</f>
        <v>8</v>
      </c>
      <c r="BI105" s="20">
        <f ca="1">IF($BE105&lt;=0,ROUND(BM105*0.5,0), ROUND($BE105*U105*AC105*L105*BA105*0.8*[2]ステータス!$D$2,0))</f>
        <v>0</v>
      </c>
      <c r="BJ105" s="20">
        <f ca="1">IF($BE105&lt;=0,ROUND(BN105*0.5,0), ROUND($BE105*V105*AD105*M105*BB105*0.8*[2]ステータス!$E$2,0))</f>
        <v>6</v>
      </c>
      <c r="BK105" s="14">
        <f ca="1">ROUND(BD105*S105*AA105*J105*AY105*[2]ステータス!$B$2,0)</f>
        <v>50</v>
      </c>
      <c r="BL105" s="14">
        <f ca="1">ROUND(BD105*T105*AB105*K105*AZ105*[2]ステータス!$C$2,0)</f>
        <v>15</v>
      </c>
      <c r="BM105" s="14">
        <f ca="1">ROUND(BD105*U105*AC105*L105*BA105*[2]ステータス!$D$2,0)</f>
        <v>0</v>
      </c>
      <c r="BN105" s="14">
        <f ca="1">ROUND(BD105*V105*AD105*M105*BB105*[2]ステータス!$E$2,0)</f>
        <v>12</v>
      </c>
      <c r="BO105" s="13">
        <v>0</v>
      </c>
      <c r="BP105" s="13">
        <v>1</v>
      </c>
      <c r="BQ105" s="13" t="s">
        <v>102</v>
      </c>
      <c r="BR105" s="13">
        <f ca="1">VLOOKUP(H105,ghosts_label!$A$2:$B$19,2,FALSE)</f>
        <v>0</v>
      </c>
    </row>
    <row r="106" spans="1:70" ht="21" customHeight="1" x14ac:dyDescent="0.15">
      <c r="A106" s="14">
        <f t="shared" ca="1" si="8"/>
        <v>105</v>
      </c>
      <c r="B106" s="77" t="str">
        <f ca="1">VLOOKUP($A106,OFFSET([2]characters!$A$1,0,0,COUNTA([2]characters!$A:$A),MATCH(B$1,[2]characters!$1:$1,0)-MATCH($A$1,[2]characters!$1:$1,0)+1),MATCH(B$1,[2]characters!$1:$1,0)-MATCH($A$1,[2]characters!$1:$1,0)+1,FALSE)</f>
        <v>グリーンチェシャ</v>
      </c>
      <c r="C106" s="77" t="str">
        <f ca="1">VLOOKUP($A106,OFFSET([2]characters!$A$1,0,0,COUNTA([2]characters!$A:$A),MATCH(C$1,[2]characters!$1:$1,0)-MATCH($A$1,[2]characters!$1:$1,0)+1),MATCH(C$1,[2]characters!$1:$1,0)-MATCH($A$1,[2]characters!$1:$1,0)+1,FALSE)</f>
        <v>進化素材・緑・R2</v>
      </c>
      <c r="D106" s="77" t="str">
        <f ca="1">VLOOKUP($A106,OFFSET([2]characters!$A$1,0,0,COUNTA([2]characters!$A:$A),MATCH(D$1,[2]characters!$1:$1,0)-MATCH($A$1,[2]characters!$1:$1,0)+1),MATCH(D$1,[2]characters!$1:$1,0)-MATCH($A$1,[2]characters!$1:$1,0)+1,FALSE)</f>
        <v>アリス</v>
      </c>
      <c r="E106" s="77" t="str">
        <f ca="1">VLOOKUP($A106,OFFSET([2]characters!$A$1,0,0,COUNTA([2]characters!$A:$A),MATCH(E$1,[2]characters!$1:$1,0)-MATCH($A$1,[2]characters!$1:$1,0)+1),MATCH(E$1,[2]characters!$1:$1,0)-MATCH($A$1,[2]characters!$1:$1,0)+1,FALSE)</f>
        <v>世界観</v>
      </c>
      <c r="F106" s="77" t="str">
        <f ca="1">VLOOKUP($A106,OFFSET([2]characters!$A$1,0,0,COUNTA([2]characters!$A:$A),MATCH(F$1,[2]characters!$1:$1,0)-MATCH($A$1,[2]characters!$1:$1,0)+1),MATCH(F$1,[2]characters!$1:$1,0)-MATCH($A$1,[2]characters!$1:$1,0)+1,FALSE)</f>
        <v>不明</v>
      </c>
      <c r="G106" s="77">
        <f ca="1">VLOOKUP($A106,OFFSET([2]characters!$A$1,0,0,COUNTA([2]characters!$A:$A),MATCH(G$1,[2]characters!$1:$1,0)-MATCH($A$1,[2]characters!$1:$1,0)+1),MATCH(G$1,[2]characters!$1:$1,0)-MATCH($A$1,[2]characters!$1:$1,0)+1,FALSE)</f>
        <v>2</v>
      </c>
      <c r="H106" s="77" t="str">
        <f ca="1">VLOOKUP($A106,OFFSET([2]characters!$A$1,0,0,COUNTA([2]characters!$A:$A),MATCH(H$1,[2]characters!$1:$1,0)-MATCH($A$1,[2]characters!$1:$1,0)+1),MATCH(H$1,[2]characters!$1:$1,0)-MATCH($A$1,[2]characters!$1:$1,0)+1,FALSE)</f>
        <v>Material</v>
      </c>
      <c r="I106" s="77" t="str">
        <f ca="1">VLOOKUP($A106,OFFSET([2]characters!$A$1,0,0,COUNTA([2]characters!$A:$A),MATCH(I$1,[2]characters!$1:$1,0)-MATCH($A$1,[2]characters!$1:$1,0)+1),MATCH(I$1,[2]characters!$1:$1,0)-MATCH($A$1,[2]characters!$1:$1,0)+1,FALSE)</f>
        <v>green</v>
      </c>
      <c r="J106" s="14">
        <f ca="1">VLOOKUP(I106,[2]属性!$A:$E,2,FALSE)</f>
        <v>1.02</v>
      </c>
      <c r="K106" s="14">
        <f ca="1">VLOOKUP(I106,[2]属性!$A:$E,3,FALSE)</f>
        <v>0.98</v>
      </c>
      <c r="L106" s="14">
        <f ca="1">VLOOKUP(I106,[2]属性!$A:$E,4,FALSE)</f>
        <v>1</v>
      </c>
      <c r="M106" s="14">
        <f ca="1">VLOOKUP(I106,[2]属性!$A:$E,5,FALSE)</f>
        <v>1</v>
      </c>
      <c r="N106" s="14">
        <f ca="1">INDEX(コスト!$A$1:$I$20,MATCH(H106,コスト!$A$1:$A$20,FALSE),MATCH(G106,コスト!$A$1:$I$1,FALSE))</f>
        <v>99</v>
      </c>
      <c r="O106" s="14">
        <f ca="1">INDEX(レベル!$A$1:$I$21,MATCH(H106,レベル!$A$1:$A$21,FALSE),MATCH(G106,レベル!$A$1:$I$1,FALSE))</f>
        <v>1</v>
      </c>
      <c r="P106" s="203">
        <v>30</v>
      </c>
      <c r="Q106" s="77" t="str">
        <f ca="1">VLOOKUP($A106,OFFSET([2]characters!$A$1,0,0,COUNTA([2]characters!$A:$A),MATCH(Q$1,[2]characters!$1:$1,0)-MATCH($A$1,[2]characters!$1:$1,0)+1),MATCH(Q$1,[2]characters!$1:$1,0)-MATCH($A$1,[2]characters!$1:$1,0)+1,FALSE)</f>
        <v>evolution</v>
      </c>
      <c r="R106" s="8" t="str">
        <f ca="1">VLOOKUP(Q106,[2]character_type_i18n!$A:$H,3,FALSE)</f>
        <v>覚醒素材タイプ</v>
      </c>
      <c r="S106" s="14">
        <f ca="1">VLOOKUP(Q106,[2]character_type_i18n!$A:$H,4,FALSE)</f>
        <v>0.1</v>
      </c>
      <c r="T106" s="14">
        <f ca="1">VLOOKUP(Q106,[2]character_type_i18n!$A:$H,5,FALSE)</f>
        <v>0.05</v>
      </c>
      <c r="U106" s="14">
        <f ca="1">VLOOKUP(Q106,[2]character_type_i18n!$A:$H,6,FALSE)</f>
        <v>1</v>
      </c>
      <c r="V106" s="14">
        <f ca="1">VLOOKUP(Q106,[2]character_type_i18n!$A:$H,7,FALSE)</f>
        <v>0.05</v>
      </c>
      <c r="W106" s="77" t="str">
        <f ca="1">VLOOKUP($A106,OFFSET([2]characters!$A$1,0,0,COUNTA([2]characters!$A:$A),MATCH(W$1,[2]characters!$1:$1,0)-MATCH($A$1,[2]characters!$1:$1,0)+1),MATCH(W$1,[2]characters!$1:$1,0)-MATCH($A$1,[2]characters!$1:$1,0)+1,FALSE)</f>
        <v>unknown</v>
      </c>
      <c r="X106" s="8" t="str">
        <f ca="1">VLOOKUP(W106,[2]character_tribe_i18n!$A:$H,3,FALSE)</f>
        <v>Unknown</v>
      </c>
      <c r="Y106" s="77" t="str">
        <f ca="1">VLOOKUP($A106,OFFSET([2]characters!$A$1,0,0,COUNTA([2]characters!$A:$A),MATCH(Y$1,[2]characters!$1:$1,0)-MATCH($A$1,[2]characters!$1:$1,0)+1),MATCH(Y$1,[2]characters!$1:$1,0)-MATCH($A$1,[2]characters!$1:$1,0)+1,FALSE)</f>
        <v>none</v>
      </c>
      <c r="Z106" s="8" t="str">
        <f ca="1">VLOOKUP(Y106,[2]character_tribe_i18n!$A:$H,3,FALSE)</f>
        <v>種族なし</v>
      </c>
      <c r="AA106" s="14">
        <f ca="1">VLOOKUP(W106,[2]character_tribe_i18n!$A:$H,4,FALSE)</f>
        <v>1</v>
      </c>
      <c r="AB106" s="14">
        <f ca="1">VLOOKUP(W106,[2]character_tribe_i18n!$A:$H,5,FALSE)</f>
        <v>1</v>
      </c>
      <c r="AC106" s="14">
        <f ca="1">VLOOKUP(W106,[2]character_tribe_i18n!$A:$H,6,FALSE)</f>
        <v>1</v>
      </c>
      <c r="AD106" s="14">
        <f ca="1">VLOOKUP(W106,[2]character_tribe_i18n!$A:$H,7,FALSE)</f>
        <v>1</v>
      </c>
      <c r="AE106" s="12" t="s">
        <v>102</v>
      </c>
      <c r="AF106" s="85" t="str">
        <f ca="1">IF(AE106="NULL","",VLOOKUP($AE106,OFFSET([2]characters!$A$1,0,0,COUNTA([2]characters!$A:$A),MATCH(AF$1,[2]characters!$1:$1,0)-MATCH($A$1,[2]characters!$1:$1,0)+1),MATCH(AF$1,[2]characters!$1:$1,0)-MATCH($A$1,[2]characters!$1:$1,0)+1,FALSE))</f>
        <v/>
      </c>
      <c r="AG106" s="8">
        <f t="shared" ca="1" si="9"/>
        <v>105</v>
      </c>
      <c r="AH106" s="85" t="str">
        <f ca="1">VLOOKUP($AG106,OFFSET([2]characters!$A$1,0,0,COUNTA([2]characters!$A:$A),MATCH(AH$1,[2]characters!$1:$1,0)-MATCH($A$1,[2]characters!$1:$1,0)+1),MATCH(AH$1,[2]characters!$1:$1,0)-MATCH($A$1,[2]characters!$1:$1,0)+1,FALSE)</f>
        <v>グリーンチェシャ</v>
      </c>
      <c r="AI106" s="14" t="str">
        <f>IF(AE106="NULL","NULL",VLOOKUP(G106,ビット!$A$2:$B$7,2))</f>
        <v>NULL</v>
      </c>
      <c r="AJ106" s="9">
        <v>2</v>
      </c>
      <c r="AK106" s="10" t="str">
        <f t="shared" si="10"/>
        <v>普通</v>
      </c>
      <c r="AL106" s="14" t="str">
        <f ca="1">INDEX(経験値!$A$1:$I$20,MATCH(H106,経験値!$A$1:$A$20,FALSE),MATCH(G106,経験値!$A$1:$I$1,FALSE))</f>
        <v>NULL</v>
      </c>
      <c r="AM106" s="11">
        <f ca="1">VLOOKUP(G106,経験値!$A$27:$B$31,2)</f>
        <v>600</v>
      </c>
      <c r="AN106" s="21">
        <f ca="1">VLOOKUP(G106,ビット!$G$2:$H$7,2)</f>
        <v>150</v>
      </c>
      <c r="AO106" s="64" t="s">
        <v>55</v>
      </c>
      <c r="AP106" s="97">
        <v>990014</v>
      </c>
      <c r="AQ106" s="77" t="e">
        <f ca="1">VLOOKUP($AP106,OFFSET([1]unit_skills!$A$1,0,0,COUNTA([1]unit_skills!$A:$A),MATCH("name",[1]unit_skills!$1:$1,0)-MATCH($AP$1,[1]unit_skills!$1:$1,0)+1),MATCH("name",[1]unit_skills!$1:$1,0)-MATCH($AP$1,[1]unit_skills!$1:$1,0)+1,FALSE)</f>
        <v>#VALUE!</v>
      </c>
      <c r="AR106" s="77" t="e">
        <f ca="1">VLOOKUP($AP106,OFFSET([1]unit_skills!$A$1,0,0,COUNTA([1]unit_skills!$A:$A),MATCH("comment",[1]unit_skills!$1:$1,0)-MATCH($AP$1,[1]unit_skills!$1:$1,0)+1),MATCH("comment",[1]unit_skills!$1:$1,0)-MATCH($AP$1,[1]unit_skills!$1:$1,0)+1,FALSE)</f>
        <v>#VALUE!</v>
      </c>
      <c r="AS106" s="77" t="e">
        <f ca="1">VLOOKUP($AP106,OFFSET([1]unit_skills!$A$1,0,0,COUNTA([1]unit_skills!$A:$A),MATCH(AS$1,[1]unit_skills!$1:$1,0)-MATCH($AP$1,[1]unit_skills!$1:$1,0)+1),MATCH(AS$1,[1]unit_skills!$1:$1,0)-MATCH($AP$1,[1]unit_skills!$1:$1,0)+1,FALSE)</f>
        <v>#VALUE!</v>
      </c>
      <c r="AT106" s="97">
        <v>0</v>
      </c>
      <c r="AU106" s="77" t="e">
        <f ca="1">VLOOKUP($AT106,OFFSET([1]crash_skills!$A$1,0,0,COUNTA([1]crash_skills!$A:$A),MATCH("name",[1]crash_skills!$1:$1,0)-MATCH($AT$1,[1]crash_skills!$1:$1,0)+1),MATCH("name",[1]crash_skills!$1:$1,0)-MATCH($AT$1,[1]crash_skills!$1:$1,0)+1,FALSE)</f>
        <v>#VALUE!</v>
      </c>
      <c r="AV106" s="77" t="e">
        <f ca="1">VLOOKUP($AT106,OFFSET([1]crash_skills!$A$1,0,0,COUNTA([1]crash_skills!$A:$A),MATCH("comment",[1]crash_skills!$1:$1,0)-MATCH($AT$1,[1]crash_skills!$1:$1,0)+1),MATCH("comment",[1]crash_skills!$1:$1,0)-MATCH($AT$1,[1]crash_skills!$1:$1,0)+1,FALSE)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06" s="77" t="e">
        <f ca="1">VLOOKUP($AT106,OFFSET([1]crash_skills!$A$1,0,0,COUNTA([1]crash_skills!$A:$A),MATCH(AW$1,[1]crash_skills!$1:$1,0)-MATCH($AT$1,[1]crash_skills!$1:$1,0)+1),MATCH(AW$1,[1]crash_skills!$1:$1,0)-MATCH($AT$1,[1]crash_skills!$1:$1,0)+1,FALSE)</f>
        <v>#VALUE!</v>
      </c>
      <c r="AX106" s="81">
        <f ca="1">VLOOKUP($A106,OFFSET([2]characters!$A$1,0,0,COUNTA([2]characters!$A:$A),MATCH(AX$1,[2]characters!$1:$1,0)-MATCH($A$1,[2]characters!$1:$1,0)+1),MATCH(AX$1,[2]characters!$1:$1,0)-MATCH($A$1,[2]characters!$1:$1,0)+1,FALSE)</f>
        <v>3</v>
      </c>
      <c r="AY106" s="19">
        <v>1</v>
      </c>
      <c r="AZ106" s="19">
        <v>1</v>
      </c>
      <c r="BA106" s="19">
        <v>0</v>
      </c>
      <c r="BB106" s="19">
        <v>1</v>
      </c>
      <c r="BC106" s="14">
        <f ca="1">INDEX('RC6SV'!$A$1:$G$20,MATCH(H106,'RC6SV'!$A$1:$A$20,FALSE),MATCH(G106,'RC6SV'!$A$1:$G$1,FALSE))</f>
        <v>1000</v>
      </c>
      <c r="BD106" s="63">
        <f t="shared" ca="1" si="11"/>
        <v>1000</v>
      </c>
      <c r="BE106" s="14">
        <f t="shared" ca="1" si="12"/>
        <v>0</v>
      </c>
      <c r="BF106" s="14">
        <f t="shared" ca="1" si="13"/>
        <v>1</v>
      </c>
      <c r="BG106" s="20">
        <f ca="1">IF($BE106&lt;=0,ROUND(BK106*0.5,0), ROUND($BE106*S106*AA106*J106*AY106*0.8*[2]ステータス!$B$2,0))</f>
        <v>26</v>
      </c>
      <c r="BH106" s="20">
        <f ca="1">IF($BE106&lt;=0,ROUND(BL106*0.5,0), ROUND($BE106*T106*AB106*K106*AZ106*0.8*[2]ステータス!$C$2,0))</f>
        <v>8</v>
      </c>
      <c r="BI106" s="20">
        <f ca="1">IF($BE106&lt;=0,ROUND(BM106*0.5,0), ROUND($BE106*U106*AC106*L106*BA106*0.8*[2]ステータス!$D$2,0))</f>
        <v>0</v>
      </c>
      <c r="BJ106" s="20">
        <f ca="1">IF($BE106&lt;=0,ROUND(BN106*0.5,0), ROUND($BE106*V106*AD106*M106*BB106*0.8*[2]ステータス!$E$2,0))</f>
        <v>7</v>
      </c>
      <c r="BK106" s="14">
        <f ca="1">ROUND(BD106*S106*AA106*J106*AY106*[2]ステータス!$B$2,0)</f>
        <v>51</v>
      </c>
      <c r="BL106" s="14">
        <f ca="1">ROUND(BD106*T106*AB106*K106*AZ106*[2]ステータス!$C$2,0)</f>
        <v>15</v>
      </c>
      <c r="BM106" s="14">
        <f ca="1">ROUND(BD106*U106*AC106*L106*BA106*[2]ステータス!$D$2,0)</f>
        <v>0</v>
      </c>
      <c r="BN106" s="14">
        <f ca="1">ROUND(BD106*V106*AD106*M106*BB106*[2]ステータス!$E$2,0)</f>
        <v>13</v>
      </c>
      <c r="BO106" s="13">
        <v>0</v>
      </c>
      <c r="BP106" s="13">
        <v>1</v>
      </c>
      <c r="BQ106" s="13" t="s">
        <v>102</v>
      </c>
      <c r="BR106" s="13">
        <f ca="1">VLOOKUP(H106,ghosts_label!$A$2:$B$19,2,FALSE)</f>
        <v>0</v>
      </c>
    </row>
    <row r="107" spans="1:70" ht="21" customHeight="1" x14ac:dyDescent="0.15">
      <c r="A107" s="14">
        <f t="shared" ca="1" si="8"/>
        <v>106</v>
      </c>
      <c r="B107" s="77" t="str">
        <f ca="1">VLOOKUP($A107,OFFSET([2]characters!$A$1,0,0,COUNTA([2]characters!$A:$A),MATCH(B$1,[2]characters!$1:$1,0)-MATCH($A$1,[2]characters!$1:$1,0)+1),MATCH(B$1,[2]characters!$1:$1,0)-MATCH($A$1,[2]characters!$1:$1,0)+1,FALSE)</f>
        <v>グリーンラビット</v>
      </c>
      <c r="C107" s="77" t="str">
        <f ca="1">VLOOKUP($A107,OFFSET([2]characters!$A$1,0,0,COUNTA([2]characters!$A:$A),MATCH(C$1,[2]characters!$1:$1,0)-MATCH($A$1,[2]characters!$1:$1,0)+1),MATCH(C$1,[2]characters!$1:$1,0)-MATCH($A$1,[2]characters!$1:$1,0)+1,FALSE)</f>
        <v>進化素材・緑・R3</v>
      </c>
      <c r="D107" s="77" t="str">
        <f ca="1">VLOOKUP($A107,OFFSET([2]characters!$A$1,0,0,COUNTA([2]characters!$A:$A),MATCH(D$1,[2]characters!$1:$1,0)-MATCH($A$1,[2]characters!$1:$1,0)+1),MATCH(D$1,[2]characters!$1:$1,0)-MATCH($A$1,[2]characters!$1:$1,0)+1,FALSE)</f>
        <v>アリス</v>
      </c>
      <c r="E107" s="77" t="str">
        <f ca="1">VLOOKUP($A107,OFFSET([2]characters!$A$1,0,0,COUNTA([2]characters!$A:$A),MATCH(E$1,[2]characters!$1:$1,0)-MATCH($A$1,[2]characters!$1:$1,0)+1),MATCH(E$1,[2]characters!$1:$1,0)-MATCH($A$1,[2]characters!$1:$1,0)+1,FALSE)</f>
        <v>世界観</v>
      </c>
      <c r="F107" s="77" t="str">
        <f ca="1">VLOOKUP($A107,OFFSET([2]characters!$A$1,0,0,COUNTA([2]characters!$A:$A),MATCH(F$1,[2]characters!$1:$1,0)-MATCH($A$1,[2]characters!$1:$1,0)+1),MATCH(F$1,[2]characters!$1:$1,0)-MATCH($A$1,[2]characters!$1:$1,0)+1,FALSE)</f>
        <v>不明</v>
      </c>
      <c r="G107" s="77">
        <f ca="1">VLOOKUP($A107,OFFSET([2]characters!$A$1,0,0,COUNTA([2]characters!$A:$A),MATCH(G$1,[2]characters!$1:$1,0)-MATCH($A$1,[2]characters!$1:$1,0)+1),MATCH(G$1,[2]characters!$1:$1,0)-MATCH($A$1,[2]characters!$1:$1,0)+1,FALSE)</f>
        <v>3</v>
      </c>
      <c r="H107" s="77" t="str">
        <f ca="1">VLOOKUP($A107,OFFSET([2]characters!$A$1,0,0,COUNTA([2]characters!$A:$A),MATCH(H$1,[2]characters!$1:$1,0)-MATCH($A$1,[2]characters!$1:$1,0)+1),MATCH(H$1,[2]characters!$1:$1,0)-MATCH($A$1,[2]characters!$1:$1,0)+1,FALSE)</f>
        <v>Material</v>
      </c>
      <c r="I107" s="77" t="str">
        <f ca="1">VLOOKUP($A107,OFFSET([2]characters!$A$1,0,0,COUNTA([2]characters!$A:$A),MATCH(I$1,[2]characters!$1:$1,0)-MATCH($A$1,[2]characters!$1:$1,0)+1),MATCH(I$1,[2]characters!$1:$1,0)-MATCH($A$1,[2]characters!$1:$1,0)+1,FALSE)</f>
        <v>green</v>
      </c>
      <c r="J107" s="14">
        <f ca="1">VLOOKUP(I107,[2]属性!$A:$E,2,FALSE)</f>
        <v>1.02</v>
      </c>
      <c r="K107" s="14">
        <f ca="1">VLOOKUP(I107,[2]属性!$A:$E,3,FALSE)</f>
        <v>0.98</v>
      </c>
      <c r="L107" s="14">
        <f ca="1">VLOOKUP(I107,[2]属性!$A:$E,4,FALSE)</f>
        <v>1</v>
      </c>
      <c r="M107" s="14">
        <f ca="1">VLOOKUP(I107,[2]属性!$A:$E,5,FALSE)</f>
        <v>1</v>
      </c>
      <c r="N107" s="14">
        <f ca="1">INDEX(コスト!$A$1:$I$20,MATCH(H107,コスト!$A$1:$A$20,FALSE),MATCH(G107,コスト!$A$1:$I$1,FALSE))</f>
        <v>99</v>
      </c>
      <c r="O107" s="14">
        <f ca="1">INDEX(レベル!$A$1:$I$21,MATCH(H107,レベル!$A$1:$A$21,FALSE),MATCH(G107,レベル!$A$1:$I$1,FALSE))</f>
        <v>1</v>
      </c>
      <c r="P107" s="203">
        <v>30</v>
      </c>
      <c r="Q107" s="77" t="str">
        <f ca="1">VLOOKUP($A107,OFFSET([2]characters!$A$1,0,0,COUNTA([2]characters!$A:$A),MATCH(Q$1,[2]characters!$1:$1,0)-MATCH($A$1,[2]characters!$1:$1,0)+1),MATCH(Q$1,[2]characters!$1:$1,0)-MATCH($A$1,[2]characters!$1:$1,0)+1,FALSE)</f>
        <v>evolution</v>
      </c>
      <c r="R107" s="8" t="str">
        <f ca="1">VLOOKUP(Q107,[2]character_type_i18n!$A:$H,3,FALSE)</f>
        <v>覚醒素材タイプ</v>
      </c>
      <c r="S107" s="14">
        <f ca="1">VLOOKUP(Q107,[2]character_type_i18n!$A:$H,4,FALSE)</f>
        <v>0.1</v>
      </c>
      <c r="T107" s="14">
        <f ca="1">VLOOKUP(Q107,[2]character_type_i18n!$A:$H,5,FALSE)</f>
        <v>0.05</v>
      </c>
      <c r="U107" s="14">
        <f ca="1">VLOOKUP(Q107,[2]character_type_i18n!$A:$H,6,FALSE)</f>
        <v>1</v>
      </c>
      <c r="V107" s="14">
        <f ca="1">VLOOKUP(Q107,[2]character_type_i18n!$A:$H,7,FALSE)</f>
        <v>0.05</v>
      </c>
      <c r="W107" s="77" t="str">
        <f ca="1">VLOOKUP($A107,OFFSET([2]characters!$A$1,0,0,COUNTA([2]characters!$A:$A),MATCH(W$1,[2]characters!$1:$1,0)-MATCH($A$1,[2]characters!$1:$1,0)+1),MATCH(W$1,[2]characters!$1:$1,0)-MATCH($A$1,[2]characters!$1:$1,0)+1,FALSE)</f>
        <v>unknown</v>
      </c>
      <c r="X107" s="8" t="str">
        <f ca="1">VLOOKUP(W107,[2]character_tribe_i18n!$A:$H,3,FALSE)</f>
        <v>Unknown</v>
      </c>
      <c r="Y107" s="77" t="str">
        <f ca="1">VLOOKUP($A107,OFFSET([2]characters!$A$1,0,0,COUNTA([2]characters!$A:$A),MATCH(Y$1,[2]characters!$1:$1,0)-MATCH($A$1,[2]characters!$1:$1,0)+1),MATCH(Y$1,[2]characters!$1:$1,0)-MATCH($A$1,[2]characters!$1:$1,0)+1,FALSE)</f>
        <v>none</v>
      </c>
      <c r="Z107" s="8" t="str">
        <f ca="1">VLOOKUP(Y107,[2]character_tribe_i18n!$A:$H,3,FALSE)</f>
        <v>種族なし</v>
      </c>
      <c r="AA107" s="14">
        <f ca="1">VLOOKUP(W107,[2]character_tribe_i18n!$A:$H,4,FALSE)</f>
        <v>1</v>
      </c>
      <c r="AB107" s="14">
        <f ca="1">VLOOKUP(W107,[2]character_tribe_i18n!$A:$H,5,FALSE)</f>
        <v>1</v>
      </c>
      <c r="AC107" s="14">
        <f ca="1">VLOOKUP(W107,[2]character_tribe_i18n!$A:$H,6,FALSE)</f>
        <v>1</v>
      </c>
      <c r="AD107" s="14">
        <f ca="1">VLOOKUP(W107,[2]character_tribe_i18n!$A:$H,7,FALSE)</f>
        <v>1</v>
      </c>
      <c r="AE107" s="12" t="s">
        <v>102</v>
      </c>
      <c r="AF107" s="85" t="str">
        <f ca="1">IF(AE107="NULL","",VLOOKUP($AE107,OFFSET([2]characters!$A$1,0,0,COUNTA([2]characters!$A:$A),MATCH(AF$1,[2]characters!$1:$1,0)-MATCH($A$1,[2]characters!$1:$1,0)+1),MATCH(AF$1,[2]characters!$1:$1,0)-MATCH($A$1,[2]characters!$1:$1,0)+1,FALSE))</f>
        <v/>
      </c>
      <c r="AG107" s="8">
        <f t="shared" ca="1" si="9"/>
        <v>106</v>
      </c>
      <c r="AH107" s="85" t="str">
        <f ca="1">VLOOKUP($AG107,OFFSET([2]characters!$A$1,0,0,COUNTA([2]characters!$A:$A),MATCH(AH$1,[2]characters!$1:$1,0)-MATCH($A$1,[2]characters!$1:$1,0)+1),MATCH(AH$1,[2]characters!$1:$1,0)-MATCH($A$1,[2]characters!$1:$1,0)+1,FALSE)</f>
        <v>グリーンラビット</v>
      </c>
      <c r="AI107" s="14" t="str">
        <f>IF(AE107="NULL","NULL",VLOOKUP(G107,ビット!$A$2:$B$7,2))</f>
        <v>NULL</v>
      </c>
      <c r="AJ107" s="9">
        <v>2</v>
      </c>
      <c r="AK107" s="10" t="str">
        <f t="shared" si="10"/>
        <v>普通</v>
      </c>
      <c r="AL107" s="14" t="str">
        <f ca="1">INDEX(経験値!$A$1:$I$20,MATCH(H107,経験値!$A$1:$A$20,FALSE),MATCH(G107,経験値!$A$1:$I$1,FALSE))</f>
        <v>NULL</v>
      </c>
      <c r="AM107" s="11">
        <f ca="1">VLOOKUP(G107,経験値!$A$27:$B$31,2)</f>
        <v>1500</v>
      </c>
      <c r="AN107" s="21">
        <f ca="1">VLOOKUP(G107,ビット!$G$2:$H$7,2)</f>
        <v>300</v>
      </c>
      <c r="AO107" s="64" t="s">
        <v>55</v>
      </c>
      <c r="AP107" s="97">
        <v>990014</v>
      </c>
      <c r="AQ107" s="77" t="e">
        <f ca="1">VLOOKUP($AP107,OFFSET([1]unit_skills!$A$1,0,0,COUNTA([1]unit_skills!$A:$A),MATCH("name",[1]unit_skills!$1:$1,0)-MATCH($AP$1,[1]unit_skills!$1:$1,0)+1),MATCH("name",[1]unit_skills!$1:$1,0)-MATCH($AP$1,[1]unit_skills!$1:$1,0)+1,FALSE)</f>
        <v>#VALUE!</v>
      </c>
      <c r="AR107" s="77" t="e">
        <f ca="1">VLOOKUP($AP107,OFFSET([1]unit_skills!$A$1,0,0,COUNTA([1]unit_skills!$A:$A),MATCH("comment",[1]unit_skills!$1:$1,0)-MATCH($AP$1,[1]unit_skills!$1:$1,0)+1),MATCH("comment",[1]unit_skills!$1:$1,0)-MATCH($AP$1,[1]unit_skills!$1:$1,0)+1,FALSE)</f>
        <v>#VALUE!</v>
      </c>
      <c r="AS107" s="77" t="e">
        <f ca="1">VLOOKUP($AP107,OFFSET([1]unit_skills!$A$1,0,0,COUNTA([1]unit_skills!$A:$A),MATCH(AS$1,[1]unit_skills!$1:$1,0)-MATCH($AP$1,[1]unit_skills!$1:$1,0)+1),MATCH(AS$1,[1]unit_skills!$1:$1,0)-MATCH($AP$1,[1]unit_skills!$1:$1,0)+1,FALSE)</f>
        <v>#VALUE!</v>
      </c>
      <c r="AT107" s="97">
        <v>0</v>
      </c>
      <c r="AU107" s="77" t="e">
        <f ca="1">VLOOKUP($AT107,OFFSET([1]crash_skills!$A$1,0,0,COUNTA([1]crash_skills!$A:$A),MATCH("name",[1]crash_skills!$1:$1,0)-MATCH($AT$1,[1]crash_skills!$1:$1,0)+1),MATCH("name",[1]crash_skills!$1:$1,0)-MATCH($AT$1,[1]crash_skills!$1:$1,0)+1,FALSE)</f>
        <v>#VALUE!</v>
      </c>
      <c r="AV107" s="77" t="e">
        <f ca="1">VLOOKUP($AT107,OFFSET([1]crash_skills!$A$1,0,0,COUNTA([1]crash_skills!$A:$A),MATCH("comment",[1]crash_skills!$1:$1,0)-MATCH($AT$1,[1]crash_skills!$1:$1,0)+1),MATCH("comment",[1]crash_skills!$1:$1,0)-MATCH($AT$1,[1]crash_skills!$1:$1,0)+1,FALSE)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07" s="77" t="e">
        <f ca="1">VLOOKUP($AT107,OFFSET([1]crash_skills!$A$1,0,0,COUNTA([1]crash_skills!$A:$A),MATCH(AW$1,[1]crash_skills!$1:$1,0)-MATCH($AT$1,[1]crash_skills!$1:$1,0)+1),MATCH(AW$1,[1]crash_skills!$1:$1,0)-MATCH($AT$1,[1]crash_skills!$1:$1,0)+1,FALSE)</f>
        <v>#VALUE!</v>
      </c>
      <c r="AX107" s="81">
        <f ca="1">VLOOKUP($A107,OFFSET([2]characters!$A$1,0,0,COUNTA([2]characters!$A:$A),MATCH(AX$1,[2]characters!$1:$1,0)-MATCH($A$1,[2]characters!$1:$1,0)+1),MATCH(AX$1,[2]characters!$1:$1,0)-MATCH($A$1,[2]characters!$1:$1,0)+1,FALSE)</f>
        <v>3</v>
      </c>
      <c r="AY107" s="19">
        <v>1</v>
      </c>
      <c r="AZ107" s="19">
        <v>1</v>
      </c>
      <c r="BA107" s="19">
        <v>0</v>
      </c>
      <c r="BB107" s="19">
        <v>1</v>
      </c>
      <c r="BC107" s="14">
        <f ca="1">INDEX('RC6SV'!$A$1:$G$20,MATCH(H107,'RC6SV'!$A$1:$A$20,FALSE),MATCH(G107,'RC6SV'!$A$1:$G$1,FALSE))</f>
        <v>1000</v>
      </c>
      <c r="BD107" s="63">
        <f t="shared" ca="1" si="11"/>
        <v>1000</v>
      </c>
      <c r="BE107" s="14">
        <f t="shared" ca="1" si="12"/>
        <v>0</v>
      </c>
      <c r="BF107" s="14">
        <f t="shared" ca="1" si="13"/>
        <v>1</v>
      </c>
      <c r="BG107" s="20">
        <f ca="1">IF($BE107&lt;=0,ROUND(BK107*0.5,0), ROUND($BE107*S107*AA107*J107*AY107*0.8*[2]ステータス!$B$2,0))</f>
        <v>26</v>
      </c>
      <c r="BH107" s="20">
        <f ca="1">IF($BE107&lt;=0,ROUND(BL107*0.5,0), ROUND($BE107*T107*AB107*K107*AZ107*0.8*[2]ステータス!$C$2,0))</f>
        <v>8</v>
      </c>
      <c r="BI107" s="20">
        <f ca="1">IF($BE107&lt;=0,ROUND(BM107*0.5,0), ROUND($BE107*U107*AC107*L107*BA107*0.8*[2]ステータス!$D$2,0))</f>
        <v>0</v>
      </c>
      <c r="BJ107" s="20">
        <f ca="1">IF($BE107&lt;=0,ROUND(BN107*0.5,0), ROUND($BE107*V107*AD107*M107*BB107*0.8*[2]ステータス!$E$2,0))</f>
        <v>7</v>
      </c>
      <c r="BK107" s="14">
        <f ca="1">ROUND(BD107*S107*AA107*J107*AY107*[2]ステータス!$B$2,0)</f>
        <v>51</v>
      </c>
      <c r="BL107" s="14">
        <f ca="1">ROUND(BD107*T107*AB107*K107*AZ107*[2]ステータス!$C$2,0)</f>
        <v>15</v>
      </c>
      <c r="BM107" s="14">
        <f ca="1">ROUND(BD107*U107*AC107*L107*BA107*[2]ステータス!$D$2,0)</f>
        <v>0</v>
      </c>
      <c r="BN107" s="14">
        <f ca="1">ROUND(BD107*V107*AD107*M107*BB107*[2]ステータス!$E$2,0)</f>
        <v>13</v>
      </c>
      <c r="BO107" s="13">
        <v>0</v>
      </c>
      <c r="BP107" s="13">
        <v>1</v>
      </c>
      <c r="BQ107" s="13" t="s">
        <v>102</v>
      </c>
      <c r="BR107" s="13">
        <f ca="1">VLOOKUP(H107,ghosts_label!$A$2:$B$19,2,FALSE)</f>
        <v>0</v>
      </c>
    </row>
    <row r="108" spans="1:70" ht="21" customHeight="1" x14ac:dyDescent="0.15">
      <c r="A108" s="14">
        <f t="shared" ca="1" si="8"/>
        <v>107</v>
      </c>
      <c r="B108" s="77" t="str">
        <f ca="1">VLOOKUP($A108,OFFSET([2]characters!$A$1,0,0,COUNTA([2]characters!$A:$A),MATCH(B$1,[2]characters!$1:$1,0)-MATCH($A$1,[2]characters!$1:$1,0)+1),MATCH(B$1,[2]characters!$1:$1,0)-MATCH($A$1,[2]characters!$1:$1,0)+1,FALSE)</f>
        <v>グリーンキャタップ</v>
      </c>
      <c r="C108" s="77" t="str">
        <f ca="1">VLOOKUP($A108,OFFSET([2]characters!$A$1,0,0,COUNTA([2]characters!$A:$A),MATCH(C$1,[2]characters!$1:$1,0)-MATCH($A$1,[2]characters!$1:$1,0)+1),MATCH(C$1,[2]characters!$1:$1,0)-MATCH($A$1,[2]characters!$1:$1,0)+1,FALSE)</f>
        <v>進化素材・緑・R4</v>
      </c>
      <c r="D108" s="77" t="str">
        <f ca="1">VLOOKUP($A108,OFFSET([2]characters!$A$1,0,0,COUNTA([2]characters!$A:$A),MATCH(D$1,[2]characters!$1:$1,0)-MATCH($A$1,[2]characters!$1:$1,0)+1),MATCH(D$1,[2]characters!$1:$1,0)-MATCH($A$1,[2]characters!$1:$1,0)+1,FALSE)</f>
        <v>アリス</v>
      </c>
      <c r="E108" s="77" t="str">
        <f ca="1">VLOOKUP($A108,OFFSET([2]characters!$A$1,0,0,COUNTA([2]characters!$A:$A),MATCH(E$1,[2]characters!$1:$1,0)-MATCH($A$1,[2]characters!$1:$1,0)+1),MATCH(E$1,[2]characters!$1:$1,0)-MATCH($A$1,[2]characters!$1:$1,0)+1,FALSE)</f>
        <v>世界観</v>
      </c>
      <c r="F108" s="77" t="str">
        <f ca="1">VLOOKUP($A108,OFFSET([2]characters!$A$1,0,0,COUNTA([2]characters!$A:$A),MATCH(F$1,[2]characters!$1:$1,0)-MATCH($A$1,[2]characters!$1:$1,0)+1),MATCH(F$1,[2]characters!$1:$1,0)-MATCH($A$1,[2]characters!$1:$1,0)+1,FALSE)</f>
        <v>不明</v>
      </c>
      <c r="G108" s="77">
        <f ca="1">VLOOKUP($A108,OFFSET([2]characters!$A$1,0,0,COUNTA([2]characters!$A:$A),MATCH(G$1,[2]characters!$1:$1,0)-MATCH($A$1,[2]characters!$1:$1,0)+1),MATCH(G$1,[2]characters!$1:$1,0)-MATCH($A$1,[2]characters!$1:$1,0)+1,FALSE)</f>
        <v>4</v>
      </c>
      <c r="H108" s="77" t="str">
        <f ca="1">VLOOKUP($A108,OFFSET([2]characters!$A$1,0,0,COUNTA([2]characters!$A:$A),MATCH(H$1,[2]characters!$1:$1,0)-MATCH($A$1,[2]characters!$1:$1,0)+1),MATCH(H$1,[2]characters!$1:$1,0)-MATCH($A$1,[2]characters!$1:$1,0)+1,FALSE)</f>
        <v>Material</v>
      </c>
      <c r="I108" s="77" t="str">
        <f ca="1">VLOOKUP($A108,OFFSET([2]characters!$A$1,0,0,COUNTA([2]characters!$A:$A),MATCH(I$1,[2]characters!$1:$1,0)-MATCH($A$1,[2]characters!$1:$1,0)+1),MATCH(I$1,[2]characters!$1:$1,0)-MATCH($A$1,[2]characters!$1:$1,0)+1,FALSE)</f>
        <v>green</v>
      </c>
      <c r="J108" s="14">
        <f ca="1">VLOOKUP(I108,[2]属性!$A:$E,2,FALSE)</f>
        <v>1.02</v>
      </c>
      <c r="K108" s="14">
        <f ca="1">VLOOKUP(I108,[2]属性!$A:$E,3,FALSE)</f>
        <v>0.98</v>
      </c>
      <c r="L108" s="14">
        <f ca="1">VLOOKUP(I108,[2]属性!$A:$E,4,FALSE)</f>
        <v>1</v>
      </c>
      <c r="M108" s="14">
        <f ca="1">VLOOKUP(I108,[2]属性!$A:$E,5,FALSE)</f>
        <v>1</v>
      </c>
      <c r="N108" s="14">
        <f ca="1">INDEX(コスト!$A$1:$I$20,MATCH(H108,コスト!$A$1:$A$20,FALSE),MATCH(G108,コスト!$A$1:$I$1,FALSE))</f>
        <v>99</v>
      </c>
      <c r="O108" s="14">
        <f ca="1">INDEX(レベル!$A$1:$I$21,MATCH(H108,レベル!$A$1:$A$21,FALSE),MATCH(G108,レベル!$A$1:$I$1,FALSE))</f>
        <v>1</v>
      </c>
      <c r="P108" s="203">
        <v>30</v>
      </c>
      <c r="Q108" s="77" t="str">
        <f ca="1">VLOOKUP($A108,OFFSET([2]characters!$A$1,0,0,COUNTA([2]characters!$A:$A),MATCH(Q$1,[2]characters!$1:$1,0)-MATCH($A$1,[2]characters!$1:$1,0)+1),MATCH(Q$1,[2]characters!$1:$1,0)-MATCH($A$1,[2]characters!$1:$1,0)+1,FALSE)</f>
        <v>evolution</v>
      </c>
      <c r="R108" s="8" t="str">
        <f ca="1">VLOOKUP(Q108,[2]character_type_i18n!$A:$H,3,FALSE)</f>
        <v>覚醒素材タイプ</v>
      </c>
      <c r="S108" s="14">
        <f ca="1">VLOOKUP(Q108,[2]character_type_i18n!$A:$H,4,FALSE)</f>
        <v>0.1</v>
      </c>
      <c r="T108" s="14">
        <f ca="1">VLOOKUP(Q108,[2]character_type_i18n!$A:$H,5,FALSE)</f>
        <v>0.05</v>
      </c>
      <c r="U108" s="14">
        <f ca="1">VLOOKUP(Q108,[2]character_type_i18n!$A:$H,6,FALSE)</f>
        <v>1</v>
      </c>
      <c r="V108" s="14">
        <f ca="1">VLOOKUP(Q108,[2]character_type_i18n!$A:$H,7,FALSE)</f>
        <v>0.05</v>
      </c>
      <c r="W108" s="77" t="str">
        <f ca="1">VLOOKUP($A108,OFFSET([2]characters!$A$1,0,0,COUNTA([2]characters!$A:$A),MATCH(W$1,[2]characters!$1:$1,0)-MATCH($A$1,[2]characters!$1:$1,0)+1),MATCH(W$1,[2]characters!$1:$1,0)-MATCH($A$1,[2]characters!$1:$1,0)+1,FALSE)</f>
        <v>unknown</v>
      </c>
      <c r="X108" s="8" t="str">
        <f ca="1">VLOOKUP(W108,[2]character_tribe_i18n!$A:$H,3,FALSE)</f>
        <v>Unknown</v>
      </c>
      <c r="Y108" s="77" t="str">
        <f ca="1">VLOOKUP($A108,OFFSET([2]characters!$A$1,0,0,COUNTA([2]characters!$A:$A),MATCH(Y$1,[2]characters!$1:$1,0)-MATCH($A$1,[2]characters!$1:$1,0)+1),MATCH(Y$1,[2]characters!$1:$1,0)-MATCH($A$1,[2]characters!$1:$1,0)+1,FALSE)</f>
        <v>none</v>
      </c>
      <c r="Z108" s="8" t="str">
        <f ca="1">VLOOKUP(Y108,[2]character_tribe_i18n!$A:$H,3,FALSE)</f>
        <v>種族なし</v>
      </c>
      <c r="AA108" s="14">
        <f ca="1">VLOOKUP(W108,[2]character_tribe_i18n!$A:$H,4,FALSE)</f>
        <v>1</v>
      </c>
      <c r="AB108" s="14">
        <f ca="1">VLOOKUP(W108,[2]character_tribe_i18n!$A:$H,5,FALSE)</f>
        <v>1</v>
      </c>
      <c r="AC108" s="14">
        <f ca="1">VLOOKUP(W108,[2]character_tribe_i18n!$A:$H,6,FALSE)</f>
        <v>1</v>
      </c>
      <c r="AD108" s="14">
        <f ca="1">VLOOKUP(W108,[2]character_tribe_i18n!$A:$H,7,FALSE)</f>
        <v>1</v>
      </c>
      <c r="AE108" s="12" t="s">
        <v>102</v>
      </c>
      <c r="AF108" s="85" t="str">
        <f ca="1">IF(AE108="NULL","",VLOOKUP($AE108,OFFSET([2]characters!$A$1,0,0,COUNTA([2]characters!$A:$A),MATCH(AF$1,[2]characters!$1:$1,0)-MATCH($A$1,[2]characters!$1:$1,0)+1),MATCH(AF$1,[2]characters!$1:$1,0)-MATCH($A$1,[2]characters!$1:$1,0)+1,FALSE))</f>
        <v/>
      </c>
      <c r="AG108" s="8">
        <f t="shared" ca="1" si="9"/>
        <v>107</v>
      </c>
      <c r="AH108" s="85" t="str">
        <f ca="1">VLOOKUP($AG108,OFFSET([2]characters!$A$1,0,0,COUNTA([2]characters!$A:$A),MATCH(AH$1,[2]characters!$1:$1,0)-MATCH($A$1,[2]characters!$1:$1,0)+1),MATCH(AH$1,[2]characters!$1:$1,0)-MATCH($A$1,[2]characters!$1:$1,0)+1,FALSE)</f>
        <v>グリーンキャタップ</v>
      </c>
      <c r="AI108" s="14" t="str">
        <f>IF(AE108="NULL","NULL",VLOOKUP(G108,ビット!$A$2:$B$7,2))</f>
        <v>NULL</v>
      </c>
      <c r="AJ108" s="9">
        <v>2</v>
      </c>
      <c r="AK108" s="10" t="str">
        <f t="shared" si="10"/>
        <v>普通</v>
      </c>
      <c r="AL108" s="14" t="str">
        <f ca="1">INDEX(経験値!$A$1:$I$20,MATCH(H108,経験値!$A$1:$A$20,FALSE),MATCH(G108,経験値!$A$1:$I$1,FALSE))</f>
        <v>NULL</v>
      </c>
      <c r="AM108" s="11">
        <f ca="1">VLOOKUP(G108,経験値!$A$27:$B$31,2)</f>
        <v>3400</v>
      </c>
      <c r="AN108" s="21">
        <f ca="1">VLOOKUP(G108,ビット!$G$2:$H$7,2)</f>
        <v>600</v>
      </c>
      <c r="AO108" s="64" t="s">
        <v>55</v>
      </c>
      <c r="AP108" s="97">
        <v>990014</v>
      </c>
      <c r="AQ108" s="77" t="e">
        <f ca="1">VLOOKUP($AP108,OFFSET([1]unit_skills!$A$1,0,0,COUNTA([1]unit_skills!$A:$A),MATCH("name",[1]unit_skills!$1:$1,0)-MATCH($AP$1,[1]unit_skills!$1:$1,0)+1),MATCH("name",[1]unit_skills!$1:$1,0)-MATCH($AP$1,[1]unit_skills!$1:$1,0)+1,FALSE)</f>
        <v>#VALUE!</v>
      </c>
      <c r="AR108" s="77" t="e">
        <f ca="1">VLOOKUP($AP108,OFFSET([1]unit_skills!$A$1,0,0,COUNTA([1]unit_skills!$A:$A),MATCH("comment",[1]unit_skills!$1:$1,0)-MATCH($AP$1,[1]unit_skills!$1:$1,0)+1),MATCH("comment",[1]unit_skills!$1:$1,0)-MATCH($AP$1,[1]unit_skills!$1:$1,0)+1,FALSE)</f>
        <v>#VALUE!</v>
      </c>
      <c r="AS108" s="77" t="e">
        <f ca="1">VLOOKUP($AP108,OFFSET([1]unit_skills!$A$1,0,0,COUNTA([1]unit_skills!$A:$A),MATCH(AS$1,[1]unit_skills!$1:$1,0)-MATCH($AP$1,[1]unit_skills!$1:$1,0)+1),MATCH(AS$1,[1]unit_skills!$1:$1,0)-MATCH($AP$1,[1]unit_skills!$1:$1,0)+1,FALSE)</f>
        <v>#VALUE!</v>
      </c>
      <c r="AT108" s="97">
        <v>0</v>
      </c>
      <c r="AU108" s="77" t="e">
        <f ca="1">VLOOKUP($AT108,OFFSET([1]crash_skills!$A$1,0,0,COUNTA([1]crash_skills!$A:$A),MATCH("name",[1]crash_skills!$1:$1,0)-MATCH($AT$1,[1]crash_skills!$1:$1,0)+1),MATCH("name",[1]crash_skills!$1:$1,0)-MATCH($AT$1,[1]crash_skills!$1:$1,0)+1,FALSE)</f>
        <v>#VALUE!</v>
      </c>
      <c r="AV108" s="77" t="e">
        <f ca="1">VLOOKUP($AT108,OFFSET([1]crash_skills!$A$1,0,0,COUNTA([1]crash_skills!$A:$A),MATCH("comment",[1]crash_skills!$1:$1,0)-MATCH($AT$1,[1]crash_skills!$1:$1,0)+1),MATCH("comment",[1]crash_skills!$1:$1,0)-MATCH($AT$1,[1]crash_skills!$1:$1,0)+1,FALSE)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08" s="77" t="e">
        <f ca="1">VLOOKUP($AT108,OFFSET([1]crash_skills!$A$1,0,0,COUNTA([1]crash_skills!$A:$A),MATCH(AW$1,[1]crash_skills!$1:$1,0)-MATCH($AT$1,[1]crash_skills!$1:$1,0)+1),MATCH(AW$1,[1]crash_skills!$1:$1,0)-MATCH($AT$1,[1]crash_skills!$1:$1,0)+1,FALSE)</f>
        <v>#VALUE!</v>
      </c>
      <c r="AX108" s="81">
        <f ca="1">VLOOKUP($A108,OFFSET([2]characters!$A$1,0,0,COUNTA([2]characters!$A:$A),MATCH(AX$1,[2]characters!$1:$1,0)-MATCH($A$1,[2]characters!$1:$1,0)+1),MATCH(AX$1,[2]characters!$1:$1,0)-MATCH($A$1,[2]characters!$1:$1,0)+1,FALSE)</f>
        <v>3</v>
      </c>
      <c r="AY108" s="19">
        <v>1</v>
      </c>
      <c r="AZ108" s="19">
        <v>1</v>
      </c>
      <c r="BA108" s="19">
        <v>0</v>
      </c>
      <c r="BB108" s="19">
        <v>1</v>
      </c>
      <c r="BC108" s="14">
        <f ca="1">INDEX('RC6SV'!$A$1:$G$20,MATCH(H108,'RC6SV'!$A$1:$A$20,FALSE),MATCH(G108,'RC6SV'!$A$1:$G$1,FALSE))</f>
        <v>1000</v>
      </c>
      <c r="BD108" s="63">
        <f t="shared" ca="1" si="11"/>
        <v>1000</v>
      </c>
      <c r="BE108" s="14">
        <f t="shared" ca="1" si="12"/>
        <v>0</v>
      </c>
      <c r="BF108" s="14">
        <f t="shared" ca="1" si="13"/>
        <v>1</v>
      </c>
      <c r="BG108" s="20">
        <f ca="1">IF($BE108&lt;=0,ROUND(BK108*0.5,0), ROUND($BE108*S108*AA108*J108*AY108*0.8*[2]ステータス!$B$2,0))</f>
        <v>26</v>
      </c>
      <c r="BH108" s="20">
        <f ca="1">IF($BE108&lt;=0,ROUND(BL108*0.5,0), ROUND($BE108*T108*AB108*K108*AZ108*0.8*[2]ステータス!$C$2,0))</f>
        <v>8</v>
      </c>
      <c r="BI108" s="20">
        <f ca="1">IF($BE108&lt;=0,ROUND(BM108*0.5,0), ROUND($BE108*U108*AC108*L108*BA108*0.8*[2]ステータス!$D$2,0))</f>
        <v>0</v>
      </c>
      <c r="BJ108" s="20">
        <f ca="1">IF($BE108&lt;=0,ROUND(BN108*0.5,0), ROUND($BE108*V108*AD108*M108*BB108*0.8*[2]ステータス!$E$2,0))</f>
        <v>7</v>
      </c>
      <c r="BK108" s="14">
        <f ca="1">ROUND(BD108*S108*AA108*J108*AY108*[2]ステータス!$B$2,0)</f>
        <v>51</v>
      </c>
      <c r="BL108" s="14">
        <f ca="1">ROUND(BD108*T108*AB108*K108*AZ108*[2]ステータス!$C$2,0)</f>
        <v>15</v>
      </c>
      <c r="BM108" s="14">
        <f ca="1">ROUND(BD108*U108*AC108*L108*BA108*[2]ステータス!$D$2,0)</f>
        <v>0</v>
      </c>
      <c r="BN108" s="14">
        <f ca="1">ROUND(BD108*V108*AD108*M108*BB108*[2]ステータス!$E$2,0)</f>
        <v>13</v>
      </c>
      <c r="BO108" s="13">
        <v>0</v>
      </c>
      <c r="BP108" s="13">
        <v>1</v>
      </c>
      <c r="BQ108" s="13" t="s">
        <v>102</v>
      </c>
      <c r="BR108" s="13">
        <f ca="1">VLOOKUP(H108,ghosts_label!$A$2:$B$19,2,FALSE)</f>
        <v>0</v>
      </c>
    </row>
    <row r="109" spans="1:70" ht="21" customHeight="1" x14ac:dyDescent="0.15">
      <c r="A109" s="14">
        <f t="shared" ca="1" si="8"/>
        <v>108</v>
      </c>
      <c r="B109" s="77" t="str">
        <f ca="1">VLOOKUP($A109,OFFSET([2]characters!$A$1,0,0,COUNTA([2]characters!$A:$A),MATCH(B$1,[2]characters!$1:$1,0)-MATCH($A$1,[2]characters!$1:$1,0)+1),MATCH(B$1,[2]characters!$1:$1,0)-MATCH($A$1,[2]characters!$1:$1,0)+1,FALSE)</f>
        <v>森のマッドハッター</v>
      </c>
      <c r="C109" s="77" t="str">
        <f ca="1">VLOOKUP($A109,OFFSET([2]characters!$A$1,0,0,COUNTA([2]characters!$A:$A),MATCH(C$1,[2]characters!$1:$1,0)-MATCH($A$1,[2]characters!$1:$1,0)+1),MATCH(C$1,[2]characters!$1:$1,0)-MATCH($A$1,[2]characters!$1:$1,0)+1,FALSE)</f>
        <v>進化素材・緑・R5</v>
      </c>
      <c r="D109" s="77" t="str">
        <f ca="1">VLOOKUP($A109,OFFSET([2]characters!$A$1,0,0,COUNTA([2]characters!$A:$A),MATCH(D$1,[2]characters!$1:$1,0)-MATCH($A$1,[2]characters!$1:$1,0)+1),MATCH(D$1,[2]characters!$1:$1,0)-MATCH($A$1,[2]characters!$1:$1,0)+1,FALSE)</f>
        <v>アリス</v>
      </c>
      <c r="E109" s="77" t="str">
        <f ca="1">VLOOKUP($A109,OFFSET([2]characters!$A$1,0,0,COUNTA([2]characters!$A:$A),MATCH(E$1,[2]characters!$1:$1,0)-MATCH($A$1,[2]characters!$1:$1,0)+1),MATCH(E$1,[2]characters!$1:$1,0)-MATCH($A$1,[2]characters!$1:$1,0)+1,FALSE)</f>
        <v>世界観</v>
      </c>
      <c r="F109" s="77" t="str">
        <f ca="1">VLOOKUP($A109,OFFSET([2]characters!$A$1,0,0,COUNTA([2]characters!$A:$A),MATCH(F$1,[2]characters!$1:$1,0)-MATCH($A$1,[2]characters!$1:$1,0)+1),MATCH(F$1,[2]characters!$1:$1,0)-MATCH($A$1,[2]characters!$1:$1,0)+1,FALSE)</f>
        <v>不明</v>
      </c>
      <c r="G109" s="77">
        <f ca="1">VLOOKUP($A109,OFFSET([2]characters!$A$1,0,0,COUNTA([2]characters!$A:$A),MATCH(G$1,[2]characters!$1:$1,0)-MATCH($A$1,[2]characters!$1:$1,0)+1),MATCH(G$1,[2]characters!$1:$1,0)-MATCH($A$1,[2]characters!$1:$1,0)+1,FALSE)</f>
        <v>5</v>
      </c>
      <c r="H109" s="77" t="str">
        <f ca="1">VLOOKUP($A109,OFFSET([2]characters!$A$1,0,0,COUNTA([2]characters!$A:$A),MATCH(H$1,[2]characters!$1:$1,0)-MATCH($A$1,[2]characters!$1:$1,0)+1),MATCH(H$1,[2]characters!$1:$1,0)-MATCH($A$1,[2]characters!$1:$1,0)+1,FALSE)</f>
        <v>Material</v>
      </c>
      <c r="I109" s="77" t="str">
        <f ca="1">VLOOKUP($A109,OFFSET([2]characters!$A$1,0,0,COUNTA([2]characters!$A:$A),MATCH(I$1,[2]characters!$1:$1,0)-MATCH($A$1,[2]characters!$1:$1,0)+1),MATCH(I$1,[2]characters!$1:$1,0)-MATCH($A$1,[2]characters!$1:$1,0)+1,FALSE)</f>
        <v>green</v>
      </c>
      <c r="J109" s="14">
        <f ca="1">VLOOKUP(I109,[2]属性!$A:$E,2,FALSE)</f>
        <v>1.02</v>
      </c>
      <c r="K109" s="14">
        <f ca="1">VLOOKUP(I109,[2]属性!$A:$E,3,FALSE)</f>
        <v>0.98</v>
      </c>
      <c r="L109" s="14">
        <f ca="1">VLOOKUP(I109,[2]属性!$A:$E,4,FALSE)</f>
        <v>1</v>
      </c>
      <c r="M109" s="14">
        <f ca="1">VLOOKUP(I109,[2]属性!$A:$E,5,FALSE)</f>
        <v>1</v>
      </c>
      <c r="N109" s="14">
        <f ca="1">INDEX(コスト!$A$1:$I$20,MATCH(H109,コスト!$A$1:$A$20,FALSE),MATCH(G109,コスト!$A$1:$I$1,FALSE))</f>
        <v>99</v>
      </c>
      <c r="O109" s="14">
        <f ca="1">INDEX(レベル!$A$1:$I$21,MATCH(H109,レベル!$A$1:$A$21,FALSE),MATCH(G109,レベル!$A$1:$I$1,FALSE))</f>
        <v>1</v>
      </c>
      <c r="P109" s="203">
        <v>30</v>
      </c>
      <c r="Q109" s="77" t="str">
        <f ca="1">VLOOKUP($A109,OFFSET([2]characters!$A$1,0,0,COUNTA([2]characters!$A:$A),MATCH(Q$1,[2]characters!$1:$1,0)-MATCH($A$1,[2]characters!$1:$1,0)+1),MATCH(Q$1,[2]characters!$1:$1,0)-MATCH($A$1,[2]characters!$1:$1,0)+1,FALSE)</f>
        <v>evolution</v>
      </c>
      <c r="R109" s="8" t="str">
        <f ca="1">VLOOKUP(Q109,[2]character_type_i18n!$A:$H,3,FALSE)</f>
        <v>覚醒素材タイプ</v>
      </c>
      <c r="S109" s="14">
        <f ca="1">VLOOKUP(Q109,[2]character_type_i18n!$A:$H,4,FALSE)</f>
        <v>0.1</v>
      </c>
      <c r="T109" s="14">
        <f ca="1">VLOOKUP(Q109,[2]character_type_i18n!$A:$H,5,FALSE)</f>
        <v>0.05</v>
      </c>
      <c r="U109" s="14">
        <f ca="1">VLOOKUP(Q109,[2]character_type_i18n!$A:$H,6,FALSE)</f>
        <v>1</v>
      </c>
      <c r="V109" s="14">
        <f ca="1">VLOOKUP(Q109,[2]character_type_i18n!$A:$H,7,FALSE)</f>
        <v>0.05</v>
      </c>
      <c r="W109" s="77" t="str">
        <f ca="1">VLOOKUP($A109,OFFSET([2]characters!$A$1,0,0,COUNTA([2]characters!$A:$A),MATCH(W$1,[2]characters!$1:$1,0)-MATCH($A$1,[2]characters!$1:$1,0)+1),MATCH(W$1,[2]characters!$1:$1,0)-MATCH($A$1,[2]characters!$1:$1,0)+1,FALSE)</f>
        <v>unknown</v>
      </c>
      <c r="X109" s="8" t="str">
        <f ca="1">VLOOKUP(W109,[2]character_tribe_i18n!$A:$H,3,FALSE)</f>
        <v>Unknown</v>
      </c>
      <c r="Y109" s="77" t="str">
        <f ca="1">VLOOKUP($A109,OFFSET([2]characters!$A$1,0,0,COUNTA([2]characters!$A:$A),MATCH(Y$1,[2]characters!$1:$1,0)-MATCH($A$1,[2]characters!$1:$1,0)+1),MATCH(Y$1,[2]characters!$1:$1,0)-MATCH($A$1,[2]characters!$1:$1,0)+1,FALSE)</f>
        <v>none</v>
      </c>
      <c r="Z109" s="8" t="str">
        <f ca="1">VLOOKUP(Y109,[2]character_tribe_i18n!$A:$H,3,FALSE)</f>
        <v>種族なし</v>
      </c>
      <c r="AA109" s="14">
        <f ca="1">VLOOKUP(W109,[2]character_tribe_i18n!$A:$H,4,FALSE)</f>
        <v>1</v>
      </c>
      <c r="AB109" s="14">
        <f ca="1">VLOOKUP(W109,[2]character_tribe_i18n!$A:$H,5,FALSE)</f>
        <v>1</v>
      </c>
      <c r="AC109" s="14">
        <f ca="1">VLOOKUP(W109,[2]character_tribe_i18n!$A:$H,6,FALSE)</f>
        <v>1</v>
      </c>
      <c r="AD109" s="14">
        <f ca="1">VLOOKUP(W109,[2]character_tribe_i18n!$A:$H,7,FALSE)</f>
        <v>1</v>
      </c>
      <c r="AE109" s="12" t="s">
        <v>102</v>
      </c>
      <c r="AF109" s="85" t="str">
        <f ca="1">IF(AE109="NULL","",VLOOKUP($AE109,OFFSET([2]characters!$A$1,0,0,COUNTA([2]characters!$A:$A),MATCH(AF$1,[2]characters!$1:$1,0)-MATCH($A$1,[2]characters!$1:$1,0)+1),MATCH(AF$1,[2]characters!$1:$1,0)-MATCH($A$1,[2]characters!$1:$1,0)+1,FALSE))</f>
        <v/>
      </c>
      <c r="AG109" s="8">
        <f t="shared" ca="1" si="9"/>
        <v>108</v>
      </c>
      <c r="AH109" s="85" t="str">
        <f ca="1">VLOOKUP($AG109,OFFSET([2]characters!$A$1,0,0,COUNTA([2]characters!$A:$A),MATCH(AH$1,[2]characters!$1:$1,0)-MATCH($A$1,[2]characters!$1:$1,0)+1),MATCH(AH$1,[2]characters!$1:$1,0)-MATCH($A$1,[2]characters!$1:$1,0)+1,FALSE)</f>
        <v>森のマッドハッター</v>
      </c>
      <c r="AI109" s="14" t="str">
        <f>IF(AE109="NULL","NULL",VLOOKUP(G109,ビット!$A$2:$B$7,2))</f>
        <v>NULL</v>
      </c>
      <c r="AJ109" s="9">
        <v>2</v>
      </c>
      <c r="AK109" s="10" t="str">
        <f t="shared" si="10"/>
        <v>普通</v>
      </c>
      <c r="AL109" s="14" t="str">
        <f ca="1">INDEX(経験値!$A$1:$I$20,MATCH(H109,経験値!$A$1:$A$20,FALSE),MATCH(G109,経験値!$A$1:$I$1,FALSE))</f>
        <v>NULL</v>
      </c>
      <c r="AM109" s="11">
        <f ca="1">VLOOKUP(G109,経験値!$A$27:$B$31,2)</f>
        <v>6400</v>
      </c>
      <c r="AN109" s="21">
        <f ca="1">VLOOKUP(G109,ビット!$G$2:$H$7,2)</f>
        <v>900</v>
      </c>
      <c r="AO109" s="64" t="s">
        <v>55</v>
      </c>
      <c r="AP109" s="97">
        <v>990014</v>
      </c>
      <c r="AQ109" s="77" t="e">
        <f ca="1">VLOOKUP($AP109,OFFSET([1]unit_skills!$A$1,0,0,COUNTA([1]unit_skills!$A:$A),MATCH("name",[1]unit_skills!$1:$1,0)-MATCH($AP$1,[1]unit_skills!$1:$1,0)+1),MATCH("name",[1]unit_skills!$1:$1,0)-MATCH($AP$1,[1]unit_skills!$1:$1,0)+1,FALSE)</f>
        <v>#VALUE!</v>
      </c>
      <c r="AR109" s="77" t="e">
        <f ca="1">VLOOKUP($AP109,OFFSET([1]unit_skills!$A$1,0,0,COUNTA([1]unit_skills!$A:$A),MATCH("comment",[1]unit_skills!$1:$1,0)-MATCH($AP$1,[1]unit_skills!$1:$1,0)+1),MATCH("comment",[1]unit_skills!$1:$1,0)-MATCH($AP$1,[1]unit_skills!$1:$1,0)+1,FALSE)</f>
        <v>#VALUE!</v>
      </c>
      <c r="AS109" s="77" t="e">
        <f ca="1">VLOOKUP($AP109,OFFSET([1]unit_skills!$A$1,0,0,COUNTA([1]unit_skills!$A:$A),MATCH(AS$1,[1]unit_skills!$1:$1,0)-MATCH($AP$1,[1]unit_skills!$1:$1,0)+1),MATCH(AS$1,[1]unit_skills!$1:$1,0)-MATCH($AP$1,[1]unit_skills!$1:$1,0)+1,FALSE)</f>
        <v>#VALUE!</v>
      </c>
      <c r="AT109" s="97">
        <v>0</v>
      </c>
      <c r="AU109" s="77" t="e">
        <f ca="1">VLOOKUP($AT109,OFFSET([1]crash_skills!$A$1,0,0,COUNTA([1]crash_skills!$A:$A),MATCH("name",[1]crash_skills!$1:$1,0)-MATCH($AT$1,[1]crash_skills!$1:$1,0)+1),MATCH("name",[1]crash_skills!$1:$1,0)-MATCH($AT$1,[1]crash_skills!$1:$1,0)+1,FALSE)</f>
        <v>#VALUE!</v>
      </c>
      <c r="AV109" s="77" t="e">
        <f ca="1">VLOOKUP($AT109,OFFSET([1]crash_skills!$A$1,0,0,COUNTA([1]crash_skills!$A:$A),MATCH("comment",[1]crash_skills!$1:$1,0)-MATCH($AT$1,[1]crash_skills!$1:$1,0)+1),MATCH("comment",[1]crash_skills!$1:$1,0)-MATCH($AT$1,[1]crash_skills!$1:$1,0)+1,FALSE)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09" s="77" t="e">
        <f ca="1">VLOOKUP($AT109,OFFSET([1]crash_skills!$A$1,0,0,COUNTA([1]crash_skills!$A:$A),MATCH(AW$1,[1]crash_skills!$1:$1,0)-MATCH($AT$1,[1]crash_skills!$1:$1,0)+1),MATCH(AW$1,[1]crash_skills!$1:$1,0)-MATCH($AT$1,[1]crash_skills!$1:$1,0)+1,FALSE)</f>
        <v>#VALUE!</v>
      </c>
      <c r="AX109" s="81">
        <f ca="1">VLOOKUP($A109,OFFSET([2]characters!$A$1,0,0,COUNTA([2]characters!$A:$A),MATCH(AX$1,[2]characters!$1:$1,0)-MATCH($A$1,[2]characters!$1:$1,0)+1),MATCH(AX$1,[2]characters!$1:$1,0)-MATCH($A$1,[2]characters!$1:$1,0)+1,FALSE)</f>
        <v>3</v>
      </c>
      <c r="AY109" s="19">
        <v>1</v>
      </c>
      <c r="AZ109" s="19">
        <v>1</v>
      </c>
      <c r="BA109" s="19">
        <v>0</v>
      </c>
      <c r="BB109" s="19">
        <v>1</v>
      </c>
      <c r="BC109" s="14">
        <f ca="1">INDEX('RC6SV'!$A$1:$G$20,MATCH(H109,'RC6SV'!$A$1:$A$20,FALSE),MATCH(G109,'RC6SV'!$A$1:$G$1,FALSE))</f>
        <v>1000</v>
      </c>
      <c r="BD109" s="63">
        <f t="shared" ca="1" si="11"/>
        <v>1000</v>
      </c>
      <c r="BE109" s="14">
        <f t="shared" ca="1" si="12"/>
        <v>0</v>
      </c>
      <c r="BF109" s="14">
        <f t="shared" ca="1" si="13"/>
        <v>1</v>
      </c>
      <c r="BG109" s="20">
        <f ca="1">IF($BE109&lt;=0,ROUND(BK109*0.5,0), ROUND($BE109*S109*AA109*J109*AY109*0.8*[2]ステータス!$B$2,0))</f>
        <v>26</v>
      </c>
      <c r="BH109" s="20">
        <f ca="1">IF($BE109&lt;=0,ROUND(BL109*0.5,0), ROUND($BE109*T109*AB109*K109*AZ109*0.8*[2]ステータス!$C$2,0))</f>
        <v>8</v>
      </c>
      <c r="BI109" s="20">
        <f ca="1">IF($BE109&lt;=0,ROUND(BM109*0.5,0), ROUND($BE109*U109*AC109*L109*BA109*0.8*[2]ステータス!$D$2,0))</f>
        <v>0</v>
      </c>
      <c r="BJ109" s="20">
        <f ca="1">IF($BE109&lt;=0,ROUND(BN109*0.5,0), ROUND($BE109*V109*AD109*M109*BB109*0.8*[2]ステータス!$E$2,0))</f>
        <v>7</v>
      </c>
      <c r="BK109" s="14">
        <f ca="1">ROUND(BD109*S109*AA109*J109*AY109*[2]ステータス!$B$2,0)</f>
        <v>51</v>
      </c>
      <c r="BL109" s="14">
        <f ca="1">ROUND(BD109*T109*AB109*K109*AZ109*[2]ステータス!$C$2,0)</f>
        <v>15</v>
      </c>
      <c r="BM109" s="14">
        <f ca="1">ROUND(BD109*U109*AC109*L109*BA109*[2]ステータス!$D$2,0)</f>
        <v>0</v>
      </c>
      <c r="BN109" s="14">
        <f ca="1">ROUND(BD109*V109*AD109*M109*BB109*[2]ステータス!$E$2,0)</f>
        <v>13</v>
      </c>
      <c r="BO109" s="13">
        <v>0</v>
      </c>
      <c r="BP109" s="13">
        <v>1</v>
      </c>
      <c r="BQ109" s="13" t="s">
        <v>102</v>
      </c>
      <c r="BR109" s="13">
        <f ca="1">VLOOKUP(H109,ghosts_label!$A$2:$B$19,2,FALSE)</f>
        <v>0</v>
      </c>
    </row>
    <row r="110" spans="1:70" ht="21" customHeight="1" x14ac:dyDescent="0.15">
      <c r="A110" s="14">
        <f t="shared" ca="1" si="8"/>
        <v>109</v>
      </c>
      <c r="B110" s="77" t="str">
        <f ca="1">VLOOKUP($A110,OFFSET([2]characters!$A$1,0,0,COUNTA([2]characters!$A:$A),MATCH(B$1,[2]characters!$1:$1,0)-MATCH($A$1,[2]characters!$1:$1,0)+1),MATCH(B$1,[2]characters!$1:$1,0)-MATCH($A$1,[2]characters!$1:$1,0)+1,FALSE)</f>
        <v>ブルーチェシャ</v>
      </c>
      <c r="C110" s="77" t="str">
        <f ca="1">VLOOKUP($A110,OFFSET([2]characters!$A$1,0,0,COUNTA([2]characters!$A:$A),MATCH(C$1,[2]characters!$1:$1,0)-MATCH($A$1,[2]characters!$1:$1,0)+1),MATCH(C$1,[2]characters!$1:$1,0)-MATCH($A$1,[2]characters!$1:$1,0)+1,FALSE)</f>
        <v>進化素材・青・R2</v>
      </c>
      <c r="D110" s="77" t="str">
        <f ca="1">VLOOKUP($A110,OFFSET([2]characters!$A$1,0,0,COUNTA([2]characters!$A:$A),MATCH(D$1,[2]characters!$1:$1,0)-MATCH($A$1,[2]characters!$1:$1,0)+1),MATCH(D$1,[2]characters!$1:$1,0)-MATCH($A$1,[2]characters!$1:$1,0)+1,FALSE)</f>
        <v>アリス</v>
      </c>
      <c r="E110" s="77" t="str">
        <f ca="1">VLOOKUP($A110,OFFSET([2]characters!$A$1,0,0,COUNTA([2]characters!$A:$A),MATCH(E$1,[2]characters!$1:$1,0)-MATCH($A$1,[2]characters!$1:$1,0)+1),MATCH(E$1,[2]characters!$1:$1,0)-MATCH($A$1,[2]characters!$1:$1,0)+1,FALSE)</f>
        <v>世界観</v>
      </c>
      <c r="F110" s="77" t="str">
        <f ca="1">VLOOKUP($A110,OFFSET([2]characters!$A$1,0,0,COUNTA([2]characters!$A:$A),MATCH(F$1,[2]characters!$1:$1,0)-MATCH($A$1,[2]characters!$1:$1,0)+1),MATCH(F$1,[2]characters!$1:$1,0)-MATCH($A$1,[2]characters!$1:$1,0)+1,FALSE)</f>
        <v>不明</v>
      </c>
      <c r="G110" s="77">
        <f ca="1">VLOOKUP($A110,OFFSET([2]characters!$A$1,0,0,COUNTA([2]characters!$A:$A),MATCH(G$1,[2]characters!$1:$1,0)-MATCH($A$1,[2]characters!$1:$1,0)+1),MATCH(G$1,[2]characters!$1:$1,0)-MATCH($A$1,[2]characters!$1:$1,0)+1,FALSE)</f>
        <v>2</v>
      </c>
      <c r="H110" s="77" t="str">
        <f ca="1">VLOOKUP($A110,OFFSET([2]characters!$A$1,0,0,COUNTA([2]characters!$A:$A),MATCH(H$1,[2]characters!$1:$1,0)-MATCH($A$1,[2]characters!$1:$1,0)+1),MATCH(H$1,[2]characters!$1:$1,0)-MATCH($A$1,[2]characters!$1:$1,0)+1,FALSE)</f>
        <v>Material</v>
      </c>
      <c r="I110" s="77" t="str">
        <f ca="1">VLOOKUP($A110,OFFSET([2]characters!$A$1,0,0,COUNTA([2]characters!$A:$A),MATCH(I$1,[2]characters!$1:$1,0)-MATCH($A$1,[2]characters!$1:$1,0)+1),MATCH(I$1,[2]characters!$1:$1,0)-MATCH($A$1,[2]characters!$1:$1,0)+1,FALSE)</f>
        <v>blue</v>
      </c>
      <c r="J110" s="14">
        <f ca="1">VLOOKUP(I110,[2]属性!$A:$E,2,FALSE)</f>
        <v>1</v>
      </c>
      <c r="K110" s="14">
        <f ca="1">VLOOKUP(I110,[2]属性!$A:$E,3,FALSE)</f>
        <v>0.98</v>
      </c>
      <c r="L110" s="14">
        <f ca="1">VLOOKUP(I110,[2]属性!$A:$E,4,FALSE)</f>
        <v>1</v>
      </c>
      <c r="M110" s="14">
        <f ca="1">VLOOKUP(I110,[2]属性!$A:$E,5,FALSE)</f>
        <v>1.02</v>
      </c>
      <c r="N110" s="14">
        <f ca="1">INDEX(コスト!$A$1:$I$20,MATCH(H110,コスト!$A$1:$A$20,FALSE),MATCH(G110,コスト!$A$1:$I$1,FALSE))</f>
        <v>99</v>
      </c>
      <c r="O110" s="14">
        <f ca="1">INDEX(レベル!$A$1:$I$21,MATCH(H110,レベル!$A$1:$A$21,FALSE),MATCH(G110,レベル!$A$1:$I$1,FALSE))</f>
        <v>1</v>
      </c>
      <c r="P110" s="203">
        <v>30</v>
      </c>
      <c r="Q110" s="77" t="str">
        <f ca="1">VLOOKUP($A110,OFFSET([2]characters!$A$1,0,0,COUNTA([2]characters!$A:$A),MATCH(Q$1,[2]characters!$1:$1,0)-MATCH($A$1,[2]characters!$1:$1,0)+1),MATCH(Q$1,[2]characters!$1:$1,0)-MATCH($A$1,[2]characters!$1:$1,0)+1,FALSE)</f>
        <v>evolution</v>
      </c>
      <c r="R110" s="8" t="str">
        <f ca="1">VLOOKUP(Q110,[2]character_type_i18n!$A:$H,3,FALSE)</f>
        <v>覚醒素材タイプ</v>
      </c>
      <c r="S110" s="14">
        <f ca="1">VLOOKUP(Q110,[2]character_type_i18n!$A:$H,4,FALSE)</f>
        <v>0.1</v>
      </c>
      <c r="T110" s="14">
        <f ca="1">VLOOKUP(Q110,[2]character_type_i18n!$A:$H,5,FALSE)</f>
        <v>0.05</v>
      </c>
      <c r="U110" s="14">
        <f ca="1">VLOOKUP(Q110,[2]character_type_i18n!$A:$H,6,FALSE)</f>
        <v>1</v>
      </c>
      <c r="V110" s="14">
        <f ca="1">VLOOKUP(Q110,[2]character_type_i18n!$A:$H,7,FALSE)</f>
        <v>0.05</v>
      </c>
      <c r="W110" s="77" t="str">
        <f ca="1">VLOOKUP($A110,OFFSET([2]characters!$A$1,0,0,COUNTA([2]characters!$A:$A),MATCH(W$1,[2]characters!$1:$1,0)-MATCH($A$1,[2]characters!$1:$1,0)+1),MATCH(W$1,[2]characters!$1:$1,0)-MATCH($A$1,[2]characters!$1:$1,0)+1,FALSE)</f>
        <v>unknown</v>
      </c>
      <c r="X110" s="8" t="str">
        <f ca="1">VLOOKUP(W110,[2]character_tribe_i18n!$A:$H,3,FALSE)</f>
        <v>Unknown</v>
      </c>
      <c r="Y110" s="77" t="str">
        <f ca="1">VLOOKUP($A110,OFFSET([2]characters!$A$1,0,0,COUNTA([2]characters!$A:$A),MATCH(Y$1,[2]characters!$1:$1,0)-MATCH($A$1,[2]characters!$1:$1,0)+1),MATCH(Y$1,[2]characters!$1:$1,0)-MATCH($A$1,[2]characters!$1:$1,0)+1,FALSE)</f>
        <v>none</v>
      </c>
      <c r="Z110" s="8" t="str">
        <f ca="1">VLOOKUP(Y110,[2]character_tribe_i18n!$A:$H,3,FALSE)</f>
        <v>種族なし</v>
      </c>
      <c r="AA110" s="14">
        <f ca="1">VLOOKUP(W110,[2]character_tribe_i18n!$A:$H,4,FALSE)</f>
        <v>1</v>
      </c>
      <c r="AB110" s="14">
        <f ca="1">VLOOKUP(W110,[2]character_tribe_i18n!$A:$H,5,FALSE)</f>
        <v>1</v>
      </c>
      <c r="AC110" s="14">
        <f ca="1">VLOOKUP(W110,[2]character_tribe_i18n!$A:$H,6,FALSE)</f>
        <v>1</v>
      </c>
      <c r="AD110" s="14">
        <f ca="1">VLOOKUP(W110,[2]character_tribe_i18n!$A:$H,7,FALSE)</f>
        <v>1</v>
      </c>
      <c r="AE110" s="12" t="s">
        <v>102</v>
      </c>
      <c r="AF110" s="85" t="str">
        <f ca="1">IF(AE110="NULL","",VLOOKUP($AE110,OFFSET([2]characters!$A$1,0,0,COUNTA([2]characters!$A:$A),MATCH(AF$1,[2]characters!$1:$1,0)-MATCH($A$1,[2]characters!$1:$1,0)+1),MATCH(AF$1,[2]characters!$1:$1,0)-MATCH($A$1,[2]characters!$1:$1,0)+1,FALSE))</f>
        <v/>
      </c>
      <c r="AG110" s="8">
        <f t="shared" ca="1" si="9"/>
        <v>109</v>
      </c>
      <c r="AH110" s="85" t="str">
        <f ca="1">VLOOKUP($AG110,OFFSET([2]characters!$A$1,0,0,COUNTA([2]characters!$A:$A),MATCH(AH$1,[2]characters!$1:$1,0)-MATCH($A$1,[2]characters!$1:$1,0)+1),MATCH(AH$1,[2]characters!$1:$1,0)-MATCH($A$1,[2]characters!$1:$1,0)+1,FALSE)</f>
        <v>ブルーチェシャ</v>
      </c>
      <c r="AI110" s="14" t="str">
        <f>IF(AE110="NULL","NULL",VLOOKUP(G110,ビット!$A$2:$B$7,2))</f>
        <v>NULL</v>
      </c>
      <c r="AJ110" s="9">
        <v>2</v>
      </c>
      <c r="AK110" s="10" t="str">
        <f t="shared" si="10"/>
        <v>普通</v>
      </c>
      <c r="AL110" s="14" t="str">
        <f ca="1">INDEX(経験値!$A$1:$I$20,MATCH(H110,経験値!$A$1:$A$20,FALSE),MATCH(G110,経験値!$A$1:$I$1,FALSE))</f>
        <v>NULL</v>
      </c>
      <c r="AM110" s="11">
        <f ca="1">VLOOKUP(G110,経験値!$A$27:$B$31,2)</f>
        <v>600</v>
      </c>
      <c r="AN110" s="21">
        <f ca="1">VLOOKUP(G110,ビット!$G$2:$H$7,2)</f>
        <v>150</v>
      </c>
      <c r="AO110" s="64" t="s">
        <v>55</v>
      </c>
      <c r="AP110" s="97">
        <v>990014</v>
      </c>
      <c r="AQ110" s="77" t="e">
        <f ca="1">VLOOKUP($AP110,OFFSET([1]unit_skills!$A$1,0,0,COUNTA([1]unit_skills!$A:$A),MATCH("name",[1]unit_skills!$1:$1,0)-MATCH($AP$1,[1]unit_skills!$1:$1,0)+1),MATCH("name",[1]unit_skills!$1:$1,0)-MATCH($AP$1,[1]unit_skills!$1:$1,0)+1,FALSE)</f>
        <v>#VALUE!</v>
      </c>
      <c r="AR110" s="77" t="e">
        <f ca="1">VLOOKUP($AP110,OFFSET([1]unit_skills!$A$1,0,0,COUNTA([1]unit_skills!$A:$A),MATCH("comment",[1]unit_skills!$1:$1,0)-MATCH($AP$1,[1]unit_skills!$1:$1,0)+1),MATCH("comment",[1]unit_skills!$1:$1,0)-MATCH($AP$1,[1]unit_skills!$1:$1,0)+1,FALSE)</f>
        <v>#VALUE!</v>
      </c>
      <c r="AS110" s="77" t="e">
        <f ca="1">VLOOKUP($AP110,OFFSET([1]unit_skills!$A$1,0,0,COUNTA([1]unit_skills!$A:$A),MATCH(AS$1,[1]unit_skills!$1:$1,0)-MATCH($AP$1,[1]unit_skills!$1:$1,0)+1),MATCH(AS$1,[1]unit_skills!$1:$1,0)-MATCH($AP$1,[1]unit_skills!$1:$1,0)+1,FALSE)</f>
        <v>#VALUE!</v>
      </c>
      <c r="AT110" s="104">
        <v>0</v>
      </c>
      <c r="AU110" s="77" t="e">
        <f ca="1">VLOOKUP($AT110,OFFSET([1]crash_skills!$A$1,0,0,COUNTA([1]crash_skills!$A:$A),MATCH("name",[1]crash_skills!$1:$1,0)-MATCH($AT$1,[1]crash_skills!$1:$1,0)+1),MATCH("name",[1]crash_skills!$1:$1,0)-MATCH($AT$1,[1]crash_skills!$1:$1,0)+1,FALSE)</f>
        <v>#VALUE!</v>
      </c>
      <c r="AV110" s="77" t="e">
        <f ca="1">VLOOKUP($AT110,OFFSET([1]crash_skills!$A$1,0,0,COUNTA([1]crash_skills!$A:$A),MATCH("comment",[1]crash_skills!$1:$1,0)-MATCH($AT$1,[1]crash_skills!$1:$1,0)+1),MATCH("comment",[1]crash_skills!$1:$1,0)-MATCH($AT$1,[1]crash_skills!$1:$1,0)+1,FALSE)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10" s="77" t="e">
        <f ca="1">VLOOKUP($AT110,OFFSET([1]crash_skills!$A$1,0,0,COUNTA([1]crash_skills!$A:$A),MATCH(AW$1,[1]crash_skills!$1:$1,0)-MATCH($AT$1,[1]crash_skills!$1:$1,0)+1),MATCH(AW$1,[1]crash_skills!$1:$1,0)-MATCH($AT$1,[1]crash_skills!$1:$1,0)+1,FALSE)</f>
        <v>#VALUE!</v>
      </c>
      <c r="AX110" s="81">
        <f ca="1">VLOOKUP($A110,OFFSET([2]characters!$A$1,0,0,COUNTA([2]characters!$A:$A),MATCH(AX$1,[2]characters!$1:$1,0)-MATCH($A$1,[2]characters!$1:$1,0)+1),MATCH(AX$1,[2]characters!$1:$1,0)-MATCH($A$1,[2]characters!$1:$1,0)+1,FALSE)</f>
        <v>3</v>
      </c>
      <c r="AY110" s="19">
        <v>1</v>
      </c>
      <c r="AZ110" s="19">
        <v>1</v>
      </c>
      <c r="BA110" s="19">
        <v>0</v>
      </c>
      <c r="BB110" s="19">
        <v>1</v>
      </c>
      <c r="BC110" s="14">
        <f ca="1">INDEX('RC6SV'!$A$1:$G$20,MATCH(H110,'RC6SV'!$A$1:$A$20,FALSE),MATCH(G110,'RC6SV'!$A$1:$G$1,FALSE))</f>
        <v>1000</v>
      </c>
      <c r="BD110" s="63">
        <f t="shared" ca="1" si="11"/>
        <v>1000</v>
      </c>
      <c r="BE110" s="14">
        <f t="shared" ca="1" si="12"/>
        <v>0</v>
      </c>
      <c r="BF110" s="14">
        <f t="shared" ca="1" si="13"/>
        <v>1</v>
      </c>
      <c r="BG110" s="20">
        <f ca="1">IF($BE110&lt;=0,ROUND(BK110*0.5,0), ROUND($BE110*S110*AA110*J110*AY110*0.8*[2]ステータス!$B$2,0))</f>
        <v>25</v>
      </c>
      <c r="BH110" s="20">
        <f ca="1">IF($BE110&lt;=0,ROUND(BL110*0.5,0), ROUND($BE110*T110*AB110*K110*AZ110*0.8*[2]ステータス!$C$2,0))</f>
        <v>8</v>
      </c>
      <c r="BI110" s="20">
        <f ca="1">IF($BE110&lt;=0,ROUND(BM110*0.5,0), ROUND($BE110*U110*AC110*L110*BA110*0.8*[2]ステータス!$D$2,0))</f>
        <v>0</v>
      </c>
      <c r="BJ110" s="20">
        <f ca="1">IF($BE110&lt;=0,ROUND(BN110*0.5,0), ROUND($BE110*V110*AD110*M110*BB110*0.8*[2]ステータス!$E$2,0))</f>
        <v>7</v>
      </c>
      <c r="BK110" s="14">
        <f ca="1">ROUND(BD110*S110*AA110*J110*AY110*[2]ステータス!$B$2,0)</f>
        <v>50</v>
      </c>
      <c r="BL110" s="14">
        <f ca="1">ROUND(BD110*T110*AB110*K110*AZ110*[2]ステータス!$C$2,0)</f>
        <v>15</v>
      </c>
      <c r="BM110" s="14">
        <f ca="1">ROUND(BD110*U110*AC110*L110*BA110*[2]ステータス!$D$2,0)</f>
        <v>0</v>
      </c>
      <c r="BN110" s="14">
        <f ca="1">ROUND(BD110*V110*AD110*M110*BB110*[2]ステータス!$E$2,0)</f>
        <v>13</v>
      </c>
      <c r="BO110" s="13">
        <v>0</v>
      </c>
      <c r="BP110" s="13">
        <v>1</v>
      </c>
      <c r="BQ110" s="13" t="s">
        <v>102</v>
      </c>
      <c r="BR110" s="13">
        <f ca="1">VLOOKUP(H110,ghosts_label!$A$2:$B$19,2,FALSE)</f>
        <v>0</v>
      </c>
    </row>
    <row r="111" spans="1:70" ht="21" customHeight="1" x14ac:dyDescent="0.15">
      <c r="A111" s="14">
        <f t="shared" ca="1" si="8"/>
        <v>110</v>
      </c>
      <c r="B111" s="77" t="str">
        <f ca="1">VLOOKUP($A111,OFFSET([2]characters!$A$1,0,0,COUNTA([2]characters!$A:$A),MATCH(B$1,[2]characters!$1:$1,0)-MATCH($A$1,[2]characters!$1:$1,0)+1),MATCH(B$1,[2]characters!$1:$1,0)-MATCH($A$1,[2]characters!$1:$1,0)+1,FALSE)</f>
        <v>ブルーラビット</v>
      </c>
      <c r="C111" s="77" t="str">
        <f ca="1">VLOOKUP($A111,OFFSET([2]characters!$A$1,0,0,COUNTA([2]characters!$A:$A),MATCH(C$1,[2]characters!$1:$1,0)-MATCH($A$1,[2]characters!$1:$1,0)+1),MATCH(C$1,[2]characters!$1:$1,0)-MATCH($A$1,[2]characters!$1:$1,0)+1,FALSE)</f>
        <v>進化素材・青・R3</v>
      </c>
      <c r="D111" s="77" t="str">
        <f ca="1">VLOOKUP($A111,OFFSET([2]characters!$A$1,0,0,COUNTA([2]characters!$A:$A),MATCH(D$1,[2]characters!$1:$1,0)-MATCH($A$1,[2]characters!$1:$1,0)+1),MATCH(D$1,[2]characters!$1:$1,0)-MATCH($A$1,[2]characters!$1:$1,0)+1,FALSE)</f>
        <v>アリス</v>
      </c>
      <c r="E111" s="77" t="str">
        <f ca="1">VLOOKUP($A111,OFFSET([2]characters!$A$1,0,0,COUNTA([2]characters!$A:$A),MATCH(E$1,[2]characters!$1:$1,0)-MATCH($A$1,[2]characters!$1:$1,0)+1),MATCH(E$1,[2]characters!$1:$1,0)-MATCH($A$1,[2]characters!$1:$1,0)+1,FALSE)</f>
        <v>世界観</v>
      </c>
      <c r="F111" s="77" t="str">
        <f ca="1">VLOOKUP($A111,OFFSET([2]characters!$A$1,0,0,COUNTA([2]characters!$A:$A),MATCH(F$1,[2]characters!$1:$1,0)-MATCH($A$1,[2]characters!$1:$1,0)+1),MATCH(F$1,[2]characters!$1:$1,0)-MATCH($A$1,[2]characters!$1:$1,0)+1,FALSE)</f>
        <v>不明</v>
      </c>
      <c r="G111" s="77">
        <f ca="1">VLOOKUP($A111,OFFSET([2]characters!$A$1,0,0,COUNTA([2]characters!$A:$A),MATCH(G$1,[2]characters!$1:$1,0)-MATCH($A$1,[2]characters!$1:$1,0)+1),MATCH(G$1,[2]characters!$1:$1,0)-MATCH($A$1,[2]characters!$1:$1,0)+1,FALSE)</f>
        <v>3</v>
      </c>
      <c r="H111" s="77" t="str">
        <f ca="1">VLOOKUP($A111,OFFSET([2]characters!$A$1,0,0,COUNTA([2]characters!$A:$A),MATCH(H$1,[2]characters!$1:$1,0)-MATCH($A$1,[2]characters!$1:$1,0)+1),MATCH(H$1,[2]characters!$1:$1,0)-MATCH($A$1,[2]characters!$1:$1,0)+1,FALSE)</f>
        <v>Material</v>
      </c>
      <c r="I111" s="77" t="str">
        <f ca="1">VLOOKUP($A111,OFFSET([2]characters!$A$1,0,0,COUNTA([2]characters!$A:$A),MATCH(I$1,[2]characters!$1:$1,0)-MATCH($A$1,[2]characters!$1:$1,0)+1),MATCH(I$1,[2]characters!$1:$1,0)-MATCH($A$1,[2]characters!$1:$1,0)+1,FALSE)</f>
        <v>blue</v>
      </c>
      <c r="J111" s="14">
        <f ca="1">VLOOKUP(I111,[2]属性!$A:$E,2,FALSE)</f>
        <v>1</v>
      </c>
      <c r="K111" s="14">
        <f ca="1">VLOOKUP(I111,[2]属性!$A:$E,3,FALSE)</f>
        <v>0.98</v>
      </c>
      <c r="L111" s="14">
        <f ca="1">VLOOKUP(I111,[2]属性!$A:$E,4,FALSE)</f>
        <v>1</v>
      </c>
      <c r="M111" s="14">
        <f ca="1">VLOOKUP(I111,[2]属性!$A:$E,5,FALSE)</f>
        <v>1.02</v>
      </c>
      <c r="N111" s="14">
        <f ca="1">INDEX(コスト!$A$1:$I$20,MATCH(H111,コスト!$A$1:$A$20,FALSE),MATCH(G111,コスト!$A$1:$I$1,FALSE))</f>
        <v>99</v>
      </c>
      <c r="O111" s="14">
        <f ca="1">INDEX(レベル!$A$1:$I$21,MATCH(H111,レベル!$A$1:$A$21,FALSE),MATCH(G111,レベル!$A$1:$I$1,FALSE))</f>
        <v>1</v>
      </c>
      <c r="P111" s="203">
        <v>30</v>
      </c>
      <c r="Q111" s="77" t="str">
        <f ca="1">VLOOKUP($A111,OFFSET([2]characters!$A$1,0,0,COUNTA([2]characters!$A:$A),MATCH(Q$1,[2]characters!$1:$1,0)-MATCH($A$1,[2]characters!$1:$1,0)+1),MATCH(Q$1,[2]characters!$1:$1,0)-MATCH($A$1,[2]characters!$1:$1,0)+1,FALSE)</f>
        <v>evolution</v>
      </c>
      <c r="R111" s="8" t="str">
        <f ca="1">VLOOKUP(Q111,[2]character_type_i18n!$A:$H,3,FALSE)</f>
        <v>覚醒素材タイプ</v>
      </c>
      <c r="S111" s="14">
        <f ca="1">VLOOKUP(Q111,[2]character_type_i18n!$A:$H,4,FALSE)</f>
        <v>0.1</v>
      </c>
      <c r="T111" s="14">
        <f ca="1">VLOOKUP(Q111,[2]character_type_i18n!$A:$H,5,FALSE)</f>
        <v>0.05</v>
      </c>
      <c r="U111" s="14">
        <f ca="1">VLOOKUP(Q111,[2]character_type_i18n!$A:$H,6,FALSE)</f>
        <v>1</v>
      </c>
      <c r="V111" s="14">
        <f ca="1">VLOOKUP(Q111,[2]character_type_i18n!$A:$H,7,FALSE)</f>
        <v>0.05</v>
      </c>
      <c r="W111" s="77" t="str">
        <f ca="1">VLOOKUP($A111,OFFSET([2]characters!$A$1,0,0,COUNTA([2]characters!$A:$A),MATCH(W$1,[2]characters!$1:$1,0)-MATCH($A$1,[2]characters!$1:$1,0)+1),MATCH(W$1,[2]characters!$1:$1,0)-MATCH($A$1,[2]characters!$1:$1,0)+1,FALSE)</f>
        <v>unknown</v>
      </c>
      <c r="X111" s="8" t="str">
        <f ca="1">VLOOKUP(W111,[2]character_tribe_i18n!$A:$H,3,FALSE)</f>
        <v>Unknown</v>
      </c>
      <c r="Y111" s="77" t="str">
        <f ca="1">VLOOKUP($A111,OFFSET([2]characters!$A$1,0,0,COUNTA([2]characters!$A:$A),MATCH(Y$1,[2]characters!$1:$1,0)-MATCH($A$1,[2]characters!$1:$1,0)+1),MATCH(Y$1,[2]characters!$1:$1,0)-MATCH($A$1,[2]characters!$1:$1,0)+1,FALSE)</f>
        <v>none</v>
      </c>
      <c r="Z111" s="8" t="str">
        <f ca="1">VLOOKUP(Y111,[2]character_tribe_i18n!$A:$H,3,FALSE)</f>
        <v>種族なし</v>
      </c>
      <c r="AA111" s="14">
        <f ca="1">VLOOKUP(W111,[2]character_tribe_i18n!$A:$H,4,FALSE)</f>
        <v>1</v>
      </c>
      <c r="AB111" s="14">
        <f ca="1">VLOOKUP(W111,[2]character_tribe_i18n!$A:$H,5,FALSE)</f>
        <v>1</v>
      </c>
      <c r="AC111" s="14">
        <f ca="1">VLOOKUP(W111,[2]character_tribe_i18n!$A:$H,6,FALSE)</f>
        <v>1</v>
      </c>
      <c r="AD111" s="14">
        <f ca="1">VLOOKUP(W111,[2]character_tribe_i18n!$A:$H,7,FALSE)</f>
        <v>1</v>
      </c>
      <c r="AE111" s="12" t="s">
        <v>102</v>
      </c>
      <c r="AF111" s="85" t="str">
        <f ca="1">IF(AE111="NULL","",VLOOKUP($AE111,OFFSET([2]characters!$A$1,0,0,COUNTA([2]characters!$A:$A),MATCH(AF$1,[2]characters!$1:$1,0)-MATCH($A$1,[2]characters!$1:$1,0)+1),MATCH(AF$1,[2]characters!$1:$1,0)-MATCH($A$1,[2]characters!$1:$1,0)+1,FALSE))</f>
        <v/>
      </c>
      <c r="AG111" s="8">
        <f t="shared" ca="1" si="9"/>
        <v>110</v>
      </c>
      <c r="AH111" s="85" t="str">
        <f ca="1">VLOOKUP($AG111,OFFSET([2]characters!$A$1,0,0,COUNTA([2]characters!$A:$A),MATCH(AH$1,[2]characters!$1:$1,0)-MATCH($A$1,[2]characters!$1:$1,0)+1),MATCH(AH$1,[2]characters!$1:$1,0)-MATCH($A$1,[2]characters!$1:$1,0)+1,FALSE)</f>
        <v>ブルーラビット</v>
      </c>
      <c r="AI111" s="14" t="str">
        <f>IF(AE111="NULL","NULL",VLOOKUP(G111,ビット!$A$2:$B$7,2))</f>
        <v>NULL</v>
      </c>
      <c r="AJ111" s="9">
        <v>2</v>
      </c>
      <c r="AK111" s="10" t="str">
        <f t="shared" si="10"/>
        <v>普通</v>
      </c>
      <c r="AL111" s="14" t="str">
        <f ca="1">INDEX(経験値!$A$1:$I$20,MATCH(H111,経験値!$A$1:$A$20,FALSE),MATCH(G111,経験値!$A$1:$I$1,FALSE))</f>
        <v>NULL</v>
      </c>
      <c r="AM111" s="11">
        <f ca="1">VLOOKUP(G111,経験値!$A$27:$B$31,2)</f>
        <v>1500</v>
      </c>
      <c r="AN111" s="21">
        <f ca="1">VLOOKUP(G111,ビット!$G$2:$H$7,2)</f>
        <v>300</v>
      </c>
      <c r="AO111" s="64" t="s">
        <v>55</v>
      </c>
      <c r="AP111" s="97">
        <v>990014</v>
      </c>
      <c r="AQ111" s="77" t="e">
        <f ca="1">VLOOKUP($AP111,OFFSET([1]unit_skills!$A$1,0,0,COUNTA([1]unit_skills!$A:$A),MATCH("name",[1]unit_skills!$1:$1,0)-MATCH($AP$1,[1]unit_skills!$1:$1,0)+1),MATCH("name",[1]unit_skills!$1:$1,0)-MATCH($AP$1,[1]unit_skills!$1:$1,0)+1,FALSE)</f>
        <v>#VALUE!</v>
      </c>
      <c r="AR111" s="77" t="e">
        <f ca="1">VLOOKUP($AP111,OFFSET([1]unit_skills!$A$1,0,0,COUNTA([1]unit_skills!$A:$A),MATCH("comment",[1]unit_skills!$1:$1,0)-MATCH($AP$1,[1]unit_skills!$1:$1,0)+1),MATCH("comment",[1]unit_skills!$1:$1,0)-MATCH($AP$1,[1]unit_skills!$1:$1,0)+1,FALSE)</f>
        <v>#VALUE!</v>
      </c>
      <c r="AS111" s="77" t="e">
        <f ca="1">VLOOKUP($AP111,OFFSET([1]unit_skills!$A$1,0,0,COUNTA([1]unit_skills!$A:$A),MATCH(AS$1,[1]unit_skills!$1:$1,0)-MATCH($AP$1,[1]unit_skills!$1:$1,0)+1),MATCH(AS$1,[1]unit_skills!$1:$1,0)-MATCH($AP$1,[1]unit_skills!$1:$1,0)+1,FALSE)</f>
        <v>#VALUE!</v>
      </c>
      <c r="AT111" s="104">
        <v>0</v>
      </c>
      <c r="AU111" s="77" t="e">
        <f ca="1">VLOOKUP($AT111,OFFSET([1]crash_skills!$A$1,0,0,COUNTA([1]crash_skills!$A:$A),MATCH("name",[1]crash_skills!$1:$1,0)-MATCH($AT$1,[1]crash_skills!$1:$1,0)+1),MATCH("name",[1]crash_skills!$1:$1,0)-MATCH($AT$1,[1]crash_skills!$1:$1,0)+1,FALSE)</f>
        <v>#VALUE!</v>
      </c>
      <c r="AV111" s="77" t="e">
        <f ca="1">VLOOKUP($AT111,OFFSET([1]crash_skills!$A$1,0,0,COUNTA([1]crash_skills!$A:$A),MATCH("comment",[1]crash_skills!$1:$1,0)-MATCH($AT$1,[1]crash_skills!$1:$1,0)+1),MATCH("comment",[1]crash_skills!$1:$1,0)-MATCH($AT$1,[1]crash_skills!$1:$1,0)+1,FALSE)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11" s="77" t="e">
        <f ca="1">VLOOKUP($AT111,OFFSET([1]crash_skills!$A$1,0,0,COUNTA([1]crash_skills!$A:$A),MATCH(AW$1,[1]crash_skills!$1:$1,0)-MATCH($AT$1,[1]crash_skills!$1:$1,0)+1),MATCH(AW$1,[1]crash_skills!$1:$1,0)-MATCH($AT$1,[1]crash_skills!$1:$1,0)+1,FALSE)</f>
        <v>#VALUE!</v>
      </c>
      <c r="AX111" s="81">
        <f ca="1">VLOOKUP($A111,OFFSET([2]characters!$A$1,0,0,COUNTA([2]characters!$A:$A),MATCH(AX$1,[2]characters!$1:$1,0)-MATCH($A$1,[2]characters!$1:$1,0)+1),MATCH(AX$1,[2]characters!$1:$1,0)-MATCH($A$1,[2]characters!$1:$1,0)+1,FALSE)</f>
        <v>3</v>
      </c>
      <c r="AY111" s="19">
        <v>1</v>
      </c>
      <c r="AZ111" s="19">
        <v>1</v>
      </c>
      <c r="BA111" s="19">
        <v>0</v>
      </c>
      <c r="BB111" s="19">
        <v>1</v>
      </c>
      <c r="BC111" s="14">
        <f ca="1">INDEX('RC6SV'!$A$1:$G$20,MATCH(H111,'RC6SV'!$A$1:$A$20,FALSE),MATCH(G111,'RC6SV'!$A$1:$G$1,FALSE))</f>
        <v>1000</v>
      </c>
      <c r="BD111" s="63">
        <f t="shared" ca="1" si="11"/>
        <v>1000</v>
      </c>
      <c r="BE111" s="14">
        <f t="shared" ca="1" si="12"/>
        <v>0</v>
      </c>
      <c r="BF111" s="14">
        <f t="shared" ca="1" si="13"/>
        <v>1</v>
      </c>
      <c r="BG111" s="20">
        <f ca="1">IF($BE111&lt;=0,ROUND(BK111*0.5,0), ROUND($BE111*S111*AA111*J111*AY111*0.8*[2]ステータス!$B$2,0))</f>
        <v>25</v>
      </c>
      <c r="BH111" s="20">
        <f ca="1">IF($BE111&lt;=0,ROUND(BL111*0.5,0), ROUND($BE111*T111*AB111*K111*AZ111*0.8*[2]ステータス!$C$2,0))</f>
        <v>8</v>
      </c>
      <c r="BI111" s="20">
        <f ca="1">IF($BE111&lt;=0,ROUND(BM111*0.5,0), ROUND($BE111*U111*AC111*L111*BA111*0.8*[2]ステータス!$D$2,0))</f>
        <v>0</v>
      </c>
      <c r="BJ111" s="20">
        <f ca="1">IF($BE111&lt;=0,ROUND(BN111*0.5,0), ROUND($BE111*V111*AD111*M111*BB111*0.8*[2]ステータス!$E$2,0))</f>
        <v>7</v>
      </c>
      <c r="BK111" s="14">
        <f ca="1">ROUND(BD111*S111*AA111*J111*AY111*[2]ステータス!$B$2,0)</f>
        <v>50</v>
      </c>
      <c r="BL111" s="14">
        <f ca="1">ROUND(BD111*T111*AB111*K111*AZ111*[2]ステータス!$C$2,0)</f>
        <v>15</v>
      </c>
      <c r="BM111" s="14">
        <f ca="1">ROUND(BD111*U111*AC111*L111*BA111*[2]ステータス!$D$2,0)</f>
        <v>0</v>
      </c>
      <c r="BN111" s="14">
        <f ca="1">ROUND(BD111*V111*AD111*M111*BB111*[2]ステータス!$E$2,0)</f>
        <v>13</v>
      </c>
      <c r="BO111" s="13">
        <v>0</v>
      </c>
      <c r="BP111" s="13">
        <v>1</v>
      </c>
      <c r="BQ111" s="13" t="s">
        <v>102</v>
      </c>
      <c r="BR111" s="13">
        <f ca="1">VLOOKUP(H111,ghosts_label!$A$2:$B$19,2,FALSE)</f>
        <v>0</v>
      </c>
    </row>
    <row r="112" spans="1:70" ht="21" customHeight="1" x14ac:dyDescent="0.15">
      <c r="A112" s="14">
        <f t="shared" ca="1" si="8"/>
        <v>111</v>
      </c>
      <c r="B112" s="77" t="str">
        <f ca="1">VLOOKUP($A112,OFFSET([2]characters!$A$1,0,0,COUNTA([2]characters!$A:$A),MATCH(B$1,[2]characters!$1:$1,0)-MATCH($A$1,[2]characters!$1:$1,0)+1),MATCH(B$1,[2]characters!$1:$1,0)-MATCH($A$1,[2]characters!$1:$1,0)+1,FALSE)</f>
        <v>ブルーキャタップ</v>
      </c>
      <c r="C112" s="77" t="str">
        <f ca="1">VLOOKUP($A112,OFFSET([2]characters!$A$1,0,0,COUNTA([2]characters!$A:$A),MATCH(C$1,[2]characters!$1:$1,0)-MATCH($A$1,[2]characters!$1:$1,0)+1),MATCH(C$1,[2]characters!$1:$1,0)-MATCH($A$1,[2]characters!$1:$1,0)+1,FALSE)</f>
        <v>進化素材・青・R4</v>
      </c>
      <c r="D112" s="77" t="str">
        <f ca="1">VLOOKUP($A112,OFFSET([2]characters!$A$1,0,0,COUNTA([2]characters!$A:$A),MATCH(D$1,[2]characters!$1:$1,0)-MATCH($A$1,[2]characters!$1:$1,0)+1),MATCH(D$1,[2]characters!$1:$1,0)-MATCH($A$1,[2]characters!$1:$1,0)+1,FALSE)</f>
        <v>アリス</v>
      </c>
      <c r="E112" s="77" t="str">
        <f ca="1">VLOOKUP($A112,OFFSET([2]characters!$A$1,0,0,COUNTA([2]characters!$A:$A),MATCH(E$1,[2]characters!$1:$1,0)-MATCH($A$1,[2]characters!$1:$1,0)+1),MATCH(E$1,[2]characters!$1:$1,0)-MATCH($A$1,[2]characters!$1:$1,0)+1,FALSE)</f>
        <v>世界観</v>
      </c>
      <c r="F112" s="77" t="str">
        <f ca="1">VLOOKUP($A112,OFFSET([2]characters!$A$1,0,0,COUNTA([2]characters!$A:$A),MATCH(F$1,[2]characters!$1:$1,0)-MATCH($A$1,[2]characters!$1:$1,0)+1),MATCH(F$1,[2]characters!$1:$1,0)-MATCH($A$1,[2]characters!$1:$1,0)+1,FALSE)</f>
        <v>不明</v>
      </c>
      <c r="G112" s="77">
        <f ca="1">VLOOKUP($A112,OFFSET([2]characters!$A$1,0,0,COUNTA([2]characters!$A:$A),MATCH(G$1,[2]characters!$1:$1,0)-MATCH($A$1,[2]characters!$1:$1,0)+1),MATCH(G$1,[2]characters!$1:$1,0)-MATCH($A$1,[2]characters!$1:$1,0)+1,FALSE)</f>
        <v>4</v>
      </c>
      <c r="H112" s="77" t="str">
        <f ca="1">VLOOKUP($A112,OFFSET([2]characters!$A$1,0,0,COUNTA([2]characters!$A:$A),MATCH(H$1,[2]characters!$1:$1,0)-MATCH($A$1,[2]characters!$1:$1,0)+1),MATCH(H$1,[2]characters!$1:$1,0)-MATCH($A$1,[2]characters!$1:$1,0)+1,FALSE)</f>
        <v>Material</v>
      </c>
      <c r="I112" s="77" t="str">
        <f ca="1">VLOOKUP($A112,OFFSET([2]characters!$A$1,0,0,COUNTA([2]characters!$A:$A),MATCH(I$1,[2]characters!$1:$1,0)-MATCH($A$1,[2]characters!$1:$1,0)+1),MATCH(I$1,[2]characters!$1:$1,0)-MATCH($A$1,[2]characters!$1:$1,0)+1,FALSE)</f>
        <v>blue</v>
      </c>
      <c r="J112" s="14">
        <f ca="1">VLOOKUP(I112,[2]属性!$A:$E,2,FALSE)</f>
        <v>1</v>
      </c>
      <c r="K112" s="14">
        <f ca="1">VLOOKUP(I112,[2]属性!$A:$E,3,FALSE)</f>
        <v>0.98</v>
      </c>
      <c r="L112" s="14">
        <f ca="1">VLOOKUP(I112,[2]属性!$A:$E,4,FALSE)</f>
        <v>1</v>
      </c>
      <c r="M112" s="14">
        <f ca="1">VLOOKUP(I112,[2]属性!$A:$E,5,FALSE)</f>
        <v>1.02</v>
      </c>
      <c r="N112" s="14">
        <f ca="1">INDEX(コスト!$A$1:$I$20,MATCH(H112,コスト!$A$1:$A$20,FALSE),MATCH(G112,コスト!$A$1:$I$1,FALSE))</f>
        <v>99</v>
      </c>
      <c r="O112" s="14">
        <f ca="1">INDEX(レベル!$A$1:$I$21,MATCH(H112,レベル!$A$1:$A$21,FALSE),MATCH(G112,レベル!$A$1:$I$1,FALSE))</f>
        <v>1</v>
      </c>
      <c r="P112" s="203">
        <v>30</v>
      </c>
      <c r="Q112" s="77" t="str">
        <f ca="1">VLOOKUP($A112,OFFSET([2]characters!$A$1,0,0,COUNTA([2]characters!$A:$A),MATCH(Q$1,[2]characters!$1:$1,0)-MATCH($A$1,[2]characters!$1:$1,0)+1),MATCH(Q$1,[2]characters!$1:$1,0)-MATCH($A$1,[2]characters!$1:$1,0)+1,FALSE)</f>
        <v>evolution</v>
      </c>
      <c r="R112" s="8" t="str">
        <f ca="1">VLOOKUP(Q112,[2]character_type_i18n!$A:$H,3,FALSE)</f>
        <v>覚醒素材タイプ</v>
      </c>
      <c r="S112" s="14">
        <f ca="1">VLOOKUP(Q112,[2]character_type_i18n!$A:$H,4,FALSE)</f>
        <v>0.1</v>
      </c>
      <c r="T112" s="14">
        <f ca="1">VLOOKUP(Q112,[2]character_type_i18n!$A:$H,5,FALSE)</f>
        <v>0.05</v>
      </c>
      <c r="U112" s="14">
        <f ca="1">VLOOKUP(Q112,[2]character_type_i18n!$A:$H,6,FALSE)</f>
        <v>1</v>
      </c>
      <c r="V112" s="14">
        <f ca="1">VLOOKUP(Q112,[2]character_type_i18n!$A:$H,7,FALSE)</f>
        <v>0.05</v>
      </c>
      <c r="W112" s="77" t="str">
        <f ca="1">VLOOKUP($A112,OFFSET([2]characters!$A$1,0,0,COUNTA([2]characters!$A:$A),MATCH(W$1,[2]characters!$1:$1,0)-MATCH($A$1,[2]characters!$1:$1,0)+1),MATCH(W$1,[2]characters!$1:$1,0)-MATCH($A$1,[2]characters!$1:$1,0)+1,FALSE)</f>
        <v>unknown</v>
      </c>
      <c r="X112" s="8" t="str">
        <f ca="1">VLOOKUP(W112,[2]character_tribe_i18n!$A:$H,3,FALSE)</f>
        <v>Unknown</v>
      </c>
      <c r="Y112" s="77" t="str">
        <f ca="1">VLOOKUP($A112,OFFSET([2]characters!$A$1,0,0,COUNTA([2]characters!$A:$A),MATCH(Y$1,[2]characters!$1:$1,0)-MATCH($A$1,[2]characters!$1:$1,0)+1),MATCH(Y$1,[2]characters!$1:$1,0)-MATCH($A$1,[2]characters!$1:$1,0)+1,FALSE)</f>
        <v>none</v>
      </c>
      <c r="Z112" s="8" t="str">
        <f ca="1">VLOOKUP(Y112,[2]character_tribe_i18n!$A:$H,3,FALSE)</f>
        <v>種族なし</v>
      </c>
      <c r="AA112" s="14">
        <f ca="1">VLOOKUP(W112,[2]character_tribe_i18n!$A:$H,4,FALSE)</f>
        <v>1</v>
      </c>
      <c r="AB112" s="14">
        <f ca="1">VLOOKUP(W112,[2]character_tribe_i18n!$A:$H,5,FALSE)</f>
        <v>1</v>
      </c>
      <c r="AC112" s="14">
        <f ca="1">VLOOKUP(W112,[2]character_tribe_i18n!$A:$H,6,FALSE)</f>
        <v>1</v>
      </c>
      <c r="AD112" s="14">
        <f ca="1">VLOOKUP(W112,[2]character_tribe_i18n!$A:$H,7,FALSE)</f>
        <v>1</v>
      </c>
      <c r="AE112" s="12" t="s">
        <v>102</v>
      </c>
      <c r="AF112" s="85" t="str">
        <f ca="1">IF(AE112="NULL","",VLOOKUP($AE112,OFFSET([2]characters!$A$1,0,0,COUNTA([2]characters!$A:$A),MATCH(AF$1,[2]characters!$1:$1,0)-MATCH($A$1,[2]characters!$1:$1,0)+1),MATCH(AF$1,[2]characters!$1:$1,0)-MATCH($A$1,[2]characters!$1:$1,0)+1,FALSE))</f>
        <v/>
      </c>
      <c r="AG112" s="8">
        <f t="shared" ca="1" si="9"/>
        <v>111</v>
      </c>
      <c r="AH112" s="85" t="str">
        <f ca="1">VLOOKUP($AG112,OFFSET([2]characters!$A$1,0,0,COUNTA([2]characters!$A:$A),MATCH(AH$1,[2]characters!$1:$1,0)-MATCH($A$1,[2]characters!$1:$1,0)+1),MATCH(AH$1,[2]characters!$1:$1,0)-MATCH($A$1,[2]characters!$1:$1,0)+1,FALSE)</f>
        <v>ブルーキャタップ</v>
      </c>
      <c r="AI112" s="14" t="str">
        <f>IF(AE112="NULL","NULL",VLOOKUP(G112,ビット!$A$2:$B$7,2))</f>
        <v>NULL</v>
      </c>
      <c r="AJ112" s="9">
        <v>2</v>
      </c>
      <c r="AK112" s="10" t="str">
        <f t="shared" si="10"/>
        <v>普通</v>
      </c>
      <c r="AL112" s="14" t="str">
        <f ca="1">INDEX(経験値!$A$1:$I$20,MATCH(H112,経験値!$A$1:$A$20,FALSE),MATCH(G112,経験値!$A$1:$I$1,FALSE))</f>
        <v>NULL</v>
      </c>
      <c r="AM112" s="11">
        <f ca="1">VLOOKUP(G112,経験値!$A$27:$B$31,2)</f>
        <v>3400</v>
      </c>
      <c r="AN112" s="21">
        <f ca="1">VLOOKUP(G112,ビット!$G$2:$H$7,2)</f>
        <v>600</v>
      </c>
      <c r="AO112" s="64" t="s">
        <v>55</v>
      </c>
      <c r="AP112" s="97">
        <v>990014</v>
      </c>
      <c r="AQ112" s="77" t="e">
        <f ca="1">VLOOKUP($AP112,OFFSET([1]unit_skills!$A$1,0,0,COUNTA([1]unit_skills!$A:$A),MATCH("name",[1]unit_skills!$1:$1,0)-MATCH($AP$1,[1]unit_skills!$1:$1,0)+1),MATCH("name",[1]unit_skills!$1:$1,0)-MATCH($AP$1,[1]unit_skills!$1:$1,0)+1,FALSE)</f>
        <v>#VALUE!</v>
      </c>
      <c r="AR112" s="77" t="e">
        <f ca="1">VLOOKUP($AP112,OFFSET([1]unit_skills!$A$1,0,0,COUNTA([1]unit_skills!$A:$A),MATCH("comment",[1]unit_skills!$1:$1,0)-MATCH($AP$1,[1]unit_skills!$1:$1,0)+1),MATCH("comment",[1]unit_skills!$1:$1,0)-MATCH($AP$1,[1]unit_skills!$1:$1,0)+1,FALSE)</f>
        <v>#VALUE!</v>
      </c>
      <c r="AS112" s="77" t="e">
        <f ca="1">VLOOKUP($AP112,OFFSET([1]unit_skills!$A$1,0,0,COUNTA([1]unit_skills!$A:$A),MATCH(AS$1,[1]unit_skills!$1:$1,0)-MATCH($AP$1,[1]unit_skills!$1:$1,0)+1),MATCH(AS$1,[1]unit_skills!$1:$1,0)-MATCH($AP$1,[1]unit_skills!$1:$1,0)+1,FALSE)</f>
        <v>#VALUE!</v>
      </c>
      <c r="AT112" s="104">
        <v>0</v>
      </c>
      <c r="AU112" s="77" t="e">
        <f ca="1">VLOOKUP($AT112,OFFSET([1]crash_skills!$A$1,0,0,COUNTA([1]crash_skills!$A:$A),MATCH("name",[1]crash_skills!$1:$1,0)-MATCH($AT$1,[1]crash_skills!$1:$1,0)+1),MATCH("name",[1]crash_skills!$1:$1,0)-MATCH($AT$1,[1]crash_skills!$1:$1,0)+1,FALSE)</f>
        <v>#VALUE!</v>
      </c>
      <c r="AV112" s="77" t="e">
        <f ca="1">VLOOKUP($AT112,OFFSET([1]crash_skills!$A$1,0,0,COUNTA([1]crash_skills!$A:$A),MATCH("comment",[1]crash_skills!$1:$1,0)-MATCH($AT$1,[1]crash_skills!$1:$1,0)+1),MATCH("comment",[1]crash_skills!$1:$1,0)-MATCH($AT$1,[1]crash_skills!$1:$1,0)+1,FALSE)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12" s="77" t="e">
        <f ca="1">VLOOKUP($AT112,OFFSET([1]crash_skills!$A$1,0,0,COUNTA([1]crash_skills!$A:$A),MATCH(AW$1,[1]crash_skills!$1:$1,0)-MATCH($AT$1,[1]crash_skills!$1:$1,0)+1),MATCH(AW$1,[1]crash_skills!$1:$1,0)-MATCH($AT$1,[1]crash_skills!$1:$1,0)+1,FALSE)</f>
        <v>#VALUE!</v>
      </c>
      <c r="AX112" s="81">
        <f ca="1">VLOOKUP($A112,OFFSET([2]characters!$A$1,0,0,COUNTA([2]characters!$A:$A),MATCH(AX$1,[2]characters!$1:$1,0)-MATCH($A$1,[2]characters!$1:$1,0)+1),MATCH(AX$1,[2]characters!$1:$1,0)-MATCH($A$1,[2]characters!$1:$1,0)+1,FALSE)</f>
        <v>3</v>
      </c>
      <c r="AY112" s="19">
        <v>1</v>
      </c>
      <c r="AZ112" s="19">
        <v>1</v>
      </c>
      <c r="BA112" s="19">
        <v>0</v>
      </c>
      <c r="BB112" s="19">
        <v>1</v>
      </c>
      <c r="BC112" s="14">
        <f ca="1">INDEX('RC6SV'!$A$1:$G$20,MATCH(H112,'RC6SV'!$A$1:$A$20,FALSE),MATCH(G112,'RC6SV'!$A$1:$G$1,FALSE))</f>
        <v>1000</v>
      </c>
      <c r="BD112" s="63">
        <f t="shared" ca="1" si="11"/>
        <v>1000</v>
      </c>
      <c r="BE112" s="14">
        <f t="shared" ca="1" si="12"/>
        <v>0</v>
      </c>
      <c r="BF112" s="14">
        <f t="shared" ca="1" si="13"/>
        <v>1</v>
      </c>
      <c r="BG112" s="20">
        <f ca="1">IF($BE112&lt;=0,ROUND(BK112*0.5,0), ROUND($BE112*S112*AA112*J112*AY112*0.8*[2]ステータス!$B$2,0))</f>
        <v>25</v>
      </c>
      <c r="BH112" s="20">
        <f ca="1">IF($BE112&lt;=0,ROUND(BL112*0.5,0), ROUND($BE112*T112*AB112*K112*AZ112*0.8*[2]ステータス!$C$2,0))</f>
        <v>8</v>
      </c>
      <c r="BI112" s="20">
        <f ca="1">IF($BE112&lt;=0,ROUND(BM112*0.5,0), ROUND($BE112*U112*AC112*L112*BA112*0.8*[2]ステータス!$D$2,0))</f>
        <v>0</v>
      </c>
      <c r="BJ112" s="20">
        <f ca="1">IF($BE112&lt;=0,ROUND(BN112*0.5,0), ROUND($BE112*V112*AD112*M112*BB112*0.8*[2]ステータス!$E$2,0))</f>
        <v>7</v>
      </c>
      <c r="BK112" s="14">
        <f ca="1">ROUND(BD112*S112*AA112*J112*AY112*[2]ステータス!$B$2,0)</f>
        <v>50</v>
      </c>
      <c r="BL112" s="14">
        <f ca="1">ROUND(BD112*T112*AB112*K112*AZ112*[2]ステータス!$C$2,0)</f>
        <v>15</v>
      </c>
      <c r="BM112" s="14">
        <f ca="1">ROUND(BD112*U112*AC112*L112*BA112*[2]ステータス!$D$2,0)</f>
        <v>0</v>
      </c>
      <c r="BN112" s="14">
        <f ca="1">ROUND(BD112*V112*AD112*M112*BB112*[2]ステータス!$E$2,0)</f>
        <v>13</v>
      </c>
      <c r="BO112" s="13">
        <v>0</v>
      </c>
      <c r="BP112" s="13">
        <v>1</v>
      </c>
      <c r="BQ112" s="13" t="s">
        <v>102</v>
      </c>
      <c r="BR112" s="13">
        <f ca="1">VLOOKUP(H112,ghosts_label!$A$2:$B$19,2,FALSE)</f>
        <v>0</v>
      </c>
    </row>
    <row r="113" spans="1:70" ht="21" customHeight="1" x14ac:dyDescent="0.15">
      <c r="A113" s="14">
        <f t="shared" ca="1" si="8"/>
        <v>112</v>
      </c>
      <c r="B113" s="77" t="str">
        <f ca="1">VLOOKUP($A113,OFFSET([2]characters!$A$1,0,0,COUNTA([2]characters!$A:$A),MATCH(B$1,[2]characters!$1:$1,0)-MATCH($A$1,[2]characters!$1:$1,0)+1),MATCH(B$1,[2]characters!$1:$1,0)-MATCH($A$1,[2]characters!$1:$1,0)+1,FALSE)</f>
        <v>水のマッドハッター</v>
      </c>
      <c r="C113" s="77" t="str">
        <f ca="1">VLOOKUP($A113,OFFSET([2]characters!$A$1,0,0,COUNTA([2]characters!$A:$A),MATCH(C$1,[2]characters!$1:$1,0)-MATCH($A$1,[2]characters!$1:$1,0)+1),MATCH(C$1,[2]characters!$1:$1,0)-MATCH($A$1,[2]characters!$1:$1,0)+1,FALSE)</f>
        <v>進化素材・青・R5</v>
      </c>
      <c r="D113" s="77" t="str">
        <f ca="1">VLOOKUP($A113,OFFSET([2]characters!$A$1,0,0,COUNTA([2]characters!$A:$A),MATCH(D$1,[2]characters!$1:$1,0)-MATCH($A$1,[2]characters!$1:$1,0)+1),MATCH(D$1,[2]characters!$1:$1,0)-MATCH($A$1,[2]characters!$1:$1,0)+1,FALSE)</f>
        <v>アリス</v>
      </c>
      <c r="E113" s="77" t="str">
        <f ca="1">VLOOKUP($A113,OFFSET([2]characters!$A$1,0,0,COUNTA([2]characters!$A:$A),MATCH(E$1,[2]characters!$1:$1,0)-MATCH($A$1,[2]characters!$1:$1,0)+1),MATCH(E$1,[2]characters!$1:$1,0)-MATCH($A$1,[2]characters!$1:$1,0)+1,FALSE)</f>
        <v>世界観</v>
      </c>
      <c r="F113" s="77" t="str">
        <f ca="1">VLOOKUP($A113,OFFSET([2]characters!$A$1,0,0,COUNTA([2]characters!$A:$A),MATCH(F$1,[2]characters!$1:$1,0)-MATCH($A$1,[2]characters!$1:$1,0)+1),MATCH(F$1,[2]characters!$1:$1,0)-MATCH($A$1,[2]characters!$1:$1,0)+1,FALSE)</f>
        <v>不明</v>
      </c>
      <c r="G113" s="77">
        <f ca="1">VLOOKUP($A113,OFFSET([2]characters!$A$1,0,0,COUNTA([2]characters!$A:$A),MATCH(G$1,[2]characters!$1:$1,0)-MATCH($A$1,[2]characters!$1:$1,0)+1),MATCH(G$1,[2]characters!$1:$1,0)-MATCH($A$1,[2]characters!$1:$1,0)+1,FALSE)</f>
        <v>5</v>
      </c>
      <c r="H113" s="77" t="str">
        <f ca="1">VLOOKUP($A113,OFFSET([2]characters!$A$1,0,0,COUNTA([2]characters!$A:$A),MATCH(H$1,[2]characters!$1:$1,0)-MATCH($A$1,[2]characters!$1:$1,0)+1),MATCH(H$1,[2]characters!$1:$1,0)-MATCH($A$1,[2]characters!$1:$1,0)+1,FALSE)</f>
        <v>Material</v>
      </c>
      <c r="I113" s="77" t="str">
        <f ca="1">VLOOKUP($A113,OFFSET([2]characters!$A$1,0,0,COUNTA([2]characters!$A:$A),MATCH(I$1,[2]characters!$1:$1,0)-MATCH($A$1,[2]characters!$1:$1,0)+1),MATCH(I$1,[2]characters!$1:$1,0)-MATCH($A$1,[2]characters!$1:$1,0)+1,FALSE)</f>
        <v>blue</v>
      </c>
      <c r="J113" s="14">
        <f ca="1">VLOOKUP(I113,[2]属性!$A:$E,2,FALSE)</f>
        <v>1</v>
      </c>
      <c r="K113" s="14">
        <f ca="1">VLOOKUP(I113,[2]属性!$A:$E,3,FALSE)</f>
        <v>0.98</v>
      </c>
      <c r="L113" s="14">
        <f ca="1">VLOOKUP(I113,[2]属性!$A:$E,4,FALSE)</f>
        <v>1</v>
      </c>
      <c r="M113" s="14">
        <f ca="1">VLOOKUP(I113,[2]属性!$A:$E,5,FALSE)</f>
        <v>1.02</v>
      </c>
      <c r="N113" s="14">
        <f ca="1">INDEX(コスト!$A$1:$I$20,MATCH(H113,コスト!$A$1:$A$20,FALSE),MATCH(G113,コスト!$A$1:$I$1,FALSE))</f>
        <v>99</v>
      </c>
      <c r="O113" s="14">
        <f ca="1">INDEX(レベル!$A$1:$I$21,MATCH(H113,レベル!$A$1:$A$21,FALSE),MATCH(G113,レベル!$A$1:$I$1,FALSE))</f>
        <v>1</v>
      </c>
      <c r="P113" s="203">
        <v>30</v>
      </c>
      <c r="Q113" s="77" t="str">
        <f ca="1">VLOOKUP($A113,OFFSET([2]characters!$A$1,0,0,COUNTA([2]characters!$A:$A),MATCH(Q$1,[2]characters!$1:$1,0)-MATCH($A$1,[2]characters!$1:$1,0)+1),MATCH(Q$1,[2]characters!$1:$1,0)-MATCH($A$1,[2]characters!$1:$1,0)+1,FALSE)</f>
        <v>evolution</v>
      </c>
      <c r="R113" s="8" t="str">
        <f ca="1">VLOOKUP(Q113,[2]character_type_i18n!$A:$H,3,FALSE)</f>
        <v>覚醒素材タイプ</v>
      </c>
      <c r="S113" s="14">
        <f ca="1">VLOOKUP(Q113,[2]character_type_i18n!$A:$H,4,FALSE)</f>
        <v>0.1</v>
      </c>
      <c r="T113" s="14">
        <f ca="1">VLOOKUP(Q113,[2]character_type_i18n!$A:$H,5,FALSE)</f>
        <v>0.05</v>
      </c>
      <c r="U113" s="14">
        <f ca="1">VLOOKUP(Q113,[2]character_type_i18n!$A:$H,6,FALSE)</f>
        <v>1</v>
      </c>
      <c r="V113" s="14">
        <f ca="1">VLOOKUP(Q113,[2]character_type_i18n!$A:$H,7,FALSE)</f>
        <v>0.05</v>
      </c>
      <c r="W113" s="77" t="str">
        <f ca="1">VLOOKUP($A113,OFFSET([2]characters!$A$1,0,0,COUNTA([2]characters!$A:$A),MATCH(W$1,[2]characters!$1:$1,0)-MATCH($A$1,[2]characters!$1:$1,0)+1),MATCH(W$1,[2]characters!$1:$1,0)-MATCH($A$1,[2]characters!$1:$1,0)+1,FALSE)</f>
        <v>unknown</v>
      </c>
      <c r="X113" s="8" t="str">
        <f ca="1">VLOOKUP(W113,[2]character_tribe_i18n!$A:$H,3,FALSE)</f>
        <v>Unknown</v>
      </c>
      <c r="Y113" s="77" t="str">
        <f ca="1">VLOOKUP($A113,OFFSET([2]characters!$A$1,0,0,COUNTA([2]characters!$A:$A),MATCH(Y$1,[2]characters!$1:$1,0)-MATCH($A$1,[2]characters!$1:$1,0)+1),MATCH(Y$1,[2]characters!$1:$1,0)-MATCH($A$1,[2]characters!$1:$1,0)+1,FALSE)</f>
        <v>none</v>
      </c>
      <c r="Z113" s="8" t="str">
        <f ca="1">VLOOKUP(Y113,[2]character_tribe_i18n!$A:$H,3,FALSE)</f>
        <v>種族なし</v>
      </c>
      <c r="AA113" s="14">
        <f ca="1">VLOOKUP(W113,[2]character_tribe_i18n!$A:$H,4,FALSE)</f>
        <v>1</v>
      </c>
      <c r="AB113" s="14">
        <f ca="1">VLOOKUP(W113,[2]character_tribe_i18n!$A:$H,5,FALSE)</f>
        <v>1</v>
      </c>
      <c r="AC113" s="14">
        <f ca="1">VLOOKUP(W113,[2]character_tribe_i18n!$A:$H,6,FALSE)</f>
        <v>1</v>
      </c>
      <c r="AD113" s="14">
        <f ca="1">VLOOKUP(W113,[2]character_tribe_i18n!$A:$H,7,FALSE)</f>
        <v>1</v>
      </c>
      <c r="AE113" s="12" t="s">
        <v>102</v>
      </c>
      <c r="AF113" s="85" t="str">
        <f ca="1">IF(AE113="NULL","",VLOOKUP($AE113,OFFSET([2]characters!$A$1,0,0,COUNTA([2]characters!$A:$A),MATCH(AF$1,[2]characters!$1:$1,0)-MATCH($A$1,[2]characters!$1:$1,0)+1),MATCH(AF$1,[2]characters!$1:$1,0)-MATCH($A$1,[2]characters!$1:$1,0)+1,FALSE))</f>
        <v/>
      </c>
      <c r="AG113" s="8">
        <f t="shared" ca="1" si="9"/>
        <v>112</v>
      </c>
      <c r="AH113" s="85" t="str">
        <f ca="1">VLOOKUP($AG113,OFFSET([2]characters!$A$1,0,0,COUNTA([2]characters!$A:$A),MATCH(AH$1,[2]characters!$1:$1,0)-MATCH($A$1,[2]characters!$1:$1,0)+1),MATCH(AH$1,[2]characters!$1:$1,0)-MATCH($A$1,[2]characters!$1:$1,0)+1,FALSE)</f>
        <v>水のマッドハッター</v>
      </c>
      <c r="AI113" s="14" t="str">
        <f>IF(AE113="NULL","NULL",VLOOKUP(G113,ビット!$A$2:$B$7,2))</f>
        <v>NULL</v>
      </c>
      <c r="AJ113" s="9">
        <v>2</v>
      </c>
      <c r="AK113" s="10" t="str">
        <f t="shared" si="10"/>
        <v>普通</v>
      </c>
      <c r="AL113" s="14" t="str">
        <f ca="1">INDEX(経験値!$A$1:$I$20,MATCH(H113,経験値!$A$1:$A$20,FALSE),MATCH(G113,経験値!$A$1:$I$1,FALSE))</f>
        <v>NULL</v>
      </c>
      <c r="AM113" s="11">
        <f ca="1">VLOOKUP(G113,経験値!$A$27:$B$31,2)</f>
        <v>6400</v>
      </c>
      <c r="AN113" s="21">
        <f ca="1">VLOOKUP(G113,ビット!$G$2:$H$7,2)</f>
        <v>900</v>
      </c>
      <c r="AO113" s="64" t="s">
        <v>55</v>
      </c>
      <c r="AP113" s="97">
        <v>990014</v>
      </c>
      <c r="AQ113" s="77" t="e">
        <f ca="1">VLOOKUP($AP113,OFFSET([1]unit_skills!$A$1,0,0,COUNTA([1]unit_skills!$A:$A),MATCH("name",[1]unit_skills!$1:$1,0)-MATCH($AP$1,[1]unit_skills!$1:$1,0)+1),MATCH("name",[1]unit_skills!$1:$1,0)-MATCH($AP$1,[1]unit_skills!$1:$1,0)+1,FALSE)</f>
        <v>#VALUE!</v>
      </c>
      <c r="AR113" s="77" t="e">
        <f ca="1">VLOOKUP($AP113,OFFSET([1]unit_skills!$A$1,0,0,COUNTA([1]unit_skills!$A:$A),MATCH("comment",[1]unit_skills!$1:$1,0)-MATCH($AP$1,[1]unit_skills!$1:$1,0)+1),MATCH("comment",[1]unit_skills!$1:$1,0)-MATCH($AP$1,[1]unit_skills!$1:$1,0)+1,FALSE)</f>
        <v>#VALUE!</v>
      </c>
      <c r="AS113" s="77" t="e">
        <f ca="1">VLOOKUP($AP113,OFFSET([1]unit_skills!$A$1,0,0,COUNTA([1]unit_skills!$A:$A),MATCH(AS$1,[1]unit_skills!$1:$1,0)-MATCH($AP$1,[1]unit_skills!$1:$1,0)+1),MATCH(AS$1,[1]unit_skills!$1:$1,0)-MATCH($AP$1,[1]unit_skills!$1:$1,0)+1,FALSE)</f>
        <v>#VALUE!</v>
      </c>
      <c r="AT113" s="104">
        <v>0</v>
      </c>
      <c r="AU113" s="77" t="e">
        <f ca="1">VLOOKUP($AT113,OFFSET([1]crash_skills!$A$1,0,0,COUNTA([1]crash_skills!$A:$A),MATCH("name",[1]crash_skills!$1:$1,0)-MATCH($AT$1,[1]crash_skills!$1:$1,0)+1),MATCH("name",[1]crash_skills!$1:$1,0)-MATCH($AT$1,[1]crash_skills!$1:$1,0)+1,FALSE)</f>
        <v>#VALUE!</v>
      </c>
      <c r="AV113" s="77" t="e">
        <f ca="1">VLOOKUP($AT113,OFFSET([1]crash_skills!$A$1,0,0,COUNTA([1]crash_skills!$A:$A),MATCH("comment",[1]crash_skills!$1:$1,0)-MATCH($AT$1,[1]crash_skills!$1:$1,0)+1),MATCH("comment",[1]crash_skills!$1:$1,0)-MATCH($AT$1,[1]crash_skills!$1:$1,0)+1,FALSE)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13" s="77" t="e">
        <f ca="1">VLOOKUP($AT113,OFFSET([1]crash_skills!$A$1,0,0,COUNTA([1]crash_skills!$A:$A),MATCH(AW$1,[1]crash_skills!$1:$1,0)-MATCH($AT$1,[1]crash_skills!$1:$1,0)+1),MATCH(AW$1,[1]crash_skills!$1:$1,0)-MATCH($AT$1,[1]crash_skills!$1:$1,0)+1,FALSE)</f>
        <v>#VALUE!</v>
      </c>
      <c r="AX113" s="81">
        <f ca="1">VLOOKUP($A113,OFFSET([2]characters!$A$1,0,0,COUNTA([2]characters!$A:$A),MATCH(AX$1,[2]characters!$1:$1,0)-MATCH($A$1,[2]characters!$1:$1,0)+1),MATCH(AX$1,[2]characters!$1:$1,0)-MATCH($A$1,[2]characters!$1:$1,0)+1,FALSE)</f>
        <v>3</v>
      </c>
      <c r="AY113" s="19">
        <v>1</v>
      </c>
      <c r="AZ113" s="19">
        <v>1</v>
      </c>
      <c r="BA113" s="19">
        <v>0</v>
      </c>
      <c r="BB113" s="19">
        <v>1</v>
      </c>
      <c r="BC113" s="14">
        <f ca="1">INDEX('RC6SV'!$A$1:$G$20,MATCH(H113,'RC6SV'!$A$1:$A$20,FALSE),MATCH(G113,'RC6SV'!$A$1:$G$1,FALSE))</f>
        <v>1000</v>
      </c>
      <c r="BD113" s="63">
        <f t="shared" ca="1" si="11"/>
        <v>1000</v>
      </c>
      <c r="BE113" s="14">
        <f t="shared" ca="1" si="12"/>
        <v>0</v>
      </c>
      <c r="BF113" s="14">
        <f t="shared" ca="1" si="13"/>
        <v>1</v>
      </c>
      <c r="BG113" s="20">
        <f ca="1">IF($BE113&lt;=0,ROUND(BK113*0.5,0), ROUND($BE113*S113*AA113*J113*AY113*0.8*[2]ステータス!$B$2,0))</f>
        <v>25</v>
      </c>
      <c r="BH113" s="20">
        <f ca="1">IF($BE113&lt;=0,ROUND(BL113*0.5,0), ROUND($BE113*T113*AB113*K113*AZ113*0.8*[2]ステータス!$C$2,0))</f>
        <v>8</v>
      </c>
      <c r="BI113" s="20">
        <f ca="1">IF($BE113&lt;=0,ROUND(BM113*0.5,0), ROUND($BE113*U113*AC113*L113*BA113*0.8*[2]ステータス!$D$2,0))</f>
        <v>0</v>
      </c>
      <c r="BJ113" s="20">
        <f ca="1">IF($BE113&lt;=0,ROUND(BN113*0.5,0), ROUND($BE113*V113*AD113*M113*BB113*0.8*[2]ステータス!$E$2,0))</f>
        <v>7</v>
      </c>
      <c r="BK113" s="14">
        <f ca="1">ROUND(BD113*S113*AA113*J113*AY113*[2]ステータス!$B$2,0)</f>
        <v>50</v>
      </c>
      <c r="BL113" s="14">
        <f ca="1">ROUND(BD113*T113*AB113*K113*AZ113*[2]ステータス!$C$2,0)</f>
        <v>15</v>
      </c>
      <c r="BM113" s="14">
        <f ca="1">ROUND(BD113*U113*AC113*L113*BA113*[2]ステータス!$D$2,0)</f>
        <v>0</v>
      </c>
      <c r="BN113" s="14">
        <f ca="1">ROUND(BD113*V113*AD113*M113*BB113*[2]ステータス!$E$2,0)</f>
        <v>13</v>
      </c>
      <c r="BO113" s="13">
        <v>0</v>
      </c>
      <c r="BP113" s="13">
        <v>1</v>
      </c>
      <c r="BQ113" s="13" t="s">
        <v>102</v>
      </c>
      <c r="BR113" s="13">
        <f ca="1">VLOOKUP(H113,ghosts_label!$A$2:$B$19,2,FALSE)</f>
        <v>0</v>
      </c>
    </row>
    <row r="114" spans="1:70" ht="21" customHeight="1" x14ac:dyDescent="0.15">
      <c r="A114" s="14">
        <f t="shared" ca="1" si="8"/>
        <v>113</v>
      </c>
      <c r="B114" s="77" t="str">
        <f ca="1">VLOOKUP($A114,OFFSET([2]characters!$A$1,0,0,COUNTA([2]characters!$A:$A),MATCH(B$1,[2]characters!$1:$1,0)-MATCH($A$1,[2]characters!$1:$1,0)+1),MATCH(B$1,[2]characters!$1:$1,0)-MATCH($A$1,[2]characters!$1:$1,0)+1,FALSE)</f>
        <v>イエローチェシャ</v>
      </c>
      <c r="C114" s="77" t="str">
        <f ca="1">VLOOKUP($A114,OFFSET([2]characters!$A$1,0,0,COUNTA([2]characters!$A:$A),MATCH(C$1,[2]characters!$1:$1,0)-MATCH($A$1,[2]characters!$1:$1,0)+1),MATCH(C$1,[2]characters!$1:$1,0)-MATCH($A$1,[2]characters!$1:$1,0)+1,FALSE)</f>
        <v>進化素材・黄・R2</v>
      </c>
      <c r="D114" s="77" t="str">
        <f ca="1">VLOOKUP($A114,OFFSET([2]characters!$A$1,0,0,COUNTA([2]characters!$A:$A),MATCH(D$1,[2]characters!$1:$1,0)-MATCH($A$1,[2]characters!$1:$1,0)+1),MATCH(D$1,[2]characters!$1:$1,0)-MATCH($A$1,[2]characters!$1:$1,0)+1,FALSE)</f>
        <v>アリス</v>
      </c>
      <c r="E114" s="77" t="str">
        <f ca="1">VLOOKUP($A114,OFFSET([2]characters!$A$1,0,0,COUNTA([2]characters!$A:$A),MATCH(E$1,[2]characters!$1:$1,0)-MATCH($A$1,[2]characters!$1:$1,0)+1),MATCH(E$1,[2]characters!$1:$1,0)-MATCH($A$1,[2]characters!$1:$1,0)+1,FALSE)</f>
        <v>世界観</v>
      </c>
      <c r="F114" s="77" t="str">
        <f ca="1">VLOOKUP($A114,OFFSET([2]characters!$A$1,0,0,COUNTA([2]characters!$A:$A),MATCH(F$1,[2]characters!$1:$1,0)-MATCH($A$1,[2]characters!$1:$1,0)+1),MATCH(F$1,[2]characters!$1:$1,0)-MATCH($A$1,[2]characters!$1:$1,0)+1,FALSE)</f>
        <v>不明</v>
      </c>
      <c r="G114" s="77">
        <f ca="1">VLOOKUP($A114,OFFSET([2]characters!$A$1,0,0,COUNTA([2]characters!$A:$A),MATCH(G$1,[2]characters!$1:$1,0)-MATCH($A$1,[2]characters!$1:$1,0)+1),MATCH(G$1,[2]characters!$1:$1,0)-MATCH($A$1,[2]characters!$1:$1,0)+1,FALSE)</f>
        <v>2</v>
      </c>
      <c r="H114" s="77" t="str">
        <f ca="1">VLOOKUP($A114,OFFSET([2]characters!$A$1,0,0,COUNTA([2]characters!$A:$A),MATCH(H$1,[2]characters!$1:$1,0)-MATCH($A$1,[2]characters!$1:$1,0)+1),MATCH(H$1,[2]characters!$1:$1,0)-MATCH($A$1,[2]characters!$1:$1,0)+1,FALSE)</f>
        <v>Material</v>
      </c>
      <c r="I114" s="77" t="str">
        <f ca="1">VLOOKUP($A114,OFFSET([2]characters!$A$1,0,0,COUNTA([2]characters!$A:$A),MATCH(I$1,[2]characters!$1:$1,0)-MATCH($A$1,[2]characters!$1:$1,0)+1),MATCH(I$1,[2]characters!$1:$1,0)-MATCH($A$1,[2]characters!$1:$1,0)+1,FALSE)</f>
        <v>yellow</v>
      </c>
      <c r="J114" s="14">
        <f ca="1">VLOOKUP(I114,[2]属性!$A:$E,2,FALSE)</f>
        <v>0.98</v>
      </c>
      <c r="K114" s="14">
        <f ca="1">VLOOKUP(I114,[2]属性!$A:$E,3,FALSE)</f>
        <v>1.01</v>
      </c>
      <c r="L114" s="14">
        <f ca="1">VLOOKUP(I114,[2]属性!$A:$E,4,FALSE)</f>
        <v>1</v>
      </c>
      <c r="M114" s="14">
        <f ca="1">VLOOKUP(I114,[2]属性!$A:$E,5,FALSE)</f>
        <v>1.01</v>
      </c>
      <c r="N114" s="14">
        <f ca="1">INDEX(コスト!$A$1:$I$20,MATCH(H114,コスト!$A$1:$A$20,FALSE),MATCH(G114,コスト!$A$1:$I$1,FALSE))</f>
        <v>99</v>
      </c>
      <c r="O114" s="14">
        <f ca="1">INDEX(レベル!$A$1:$I$21,MATCH(H114,レベル!$A$1:$A$21,FALSE),MATCH(G114,レベル!$A$1:$I$1,FALSE))</f>
        <v>1</v>
      </c>
      <c r="P114" s="203">
        <v>30</v>
      </c>
      <c r="Q114" s="77" t="str">
        <f ca="1">VLOOKUP($A114,OFFSET([2]characters!$A$1,0,0,COUNTA([2]characters!$A:$A),MATCH(Q$1,[2]characters!$1:$1,0)-MATCH($A$1,[2]characters!$1:$1,0)+1),MATCH(Q$1,[2]characters!$1:$1,0)-MATCH($A$1,[2]characters!$1:$1,0)+1,FALSE)</f>
        <v>evolution</v>
      </c>
      <c r="R114" s="8" t="str">
        <f ca="1">VLOOKUP(Q114,[2]character_type_i18n!$A:$H,3,FALSE)</f>
        <v>覚醒素材タイプ</v>
      </c>
      <c r="S114" s="14">
        <f ca="1">VLOOKUP(Q114,[2]character_type_i18n!$A:$H,4,FALSE)</f>
        <v>0.1</v>
      </c>
      <c r="T114" s="14">
        <f ca="1">VLOOKUP(Q114,[2]character_type_i18n!$A:$H,5,FALSE)</f>
        <v>0.05</v>
      </c>
      <c r="U114" s="14">
        <f ca="1">VLOOKUP(Q114,[2]character_type_i18n!$A:$H,6,FALSE)</f>
        <v>1</v>
      </c>
      <c r="V114" s="14">
        <f ca="1">VLOOKUP(Q114,[2]character_type_i18n!$A:$H,7,FALSE)</f>
        <v>0.05</v>
      </c>
      <c r="W114" s="77" t="str">
        <f ca="1">VLOOKUP($A114,OFFSET([2]characters!$A$1,0,0,COUNTA([2]characters!$A:$A),MATCH(W$1,[2]characters!$1:$1,0)-MATCH($A$1,[2]characters!$1:$1,0)+1),MATCH(W$1,[2]characters!$1:$1,0)-MATCH($A$1,[2]characters!$1:$1,0)+1,FALSE)</f>
        <v>unknown</v>
      </c>
      <c r="X114" s="8" t="str">
        <f ca="1">VLOOKUP(W114,[2]character_tribe_i18n!$A:$H,3,FALSE)</f>
        <v>Unknown</v>
      </c>
      <c r="Y114" s="77" t="str">
        <f ca="1">VLOOKUP($A114,OFFSET([2]characters!$A$1,0,0,COUNTA([2]characters!$A:$A),MATCH(Y$1,[2]characters!$1:$1,0)-MATCH($A$1,[2]characters!$1:$1,0)+1),MATCH(Y$1,[2]characters!$1:$1,0)-MATCH($A$1,[2]characters!$1:$1,0)+1,FALSE)</f>
        <v>none</v>
      </c>
      <c r="Z114" s="8" t="str">
        <f ca="1">VLOOKUP(Y114,[2]character_tribe_i18n!$A:$H,3,FALSE)</f>
        <v>種族なし</v>
      </c>
      <c r="AA114" s="14">
        <f ca="1">VLOOKUP(W114,[2]character_tribe_i18n!$A:$H,4,FALSE)</f>
        <v>1</v>
      </c>
      <c r="AB114" s="14">
        <f ca="1">VLOOKUP(W114,[2]character_tribe_i18n!$A:$H,5,FALSE)</f>
        <v>1</v>
      </c>
      <c r="AC114" s="14">
        <f ca="1">VLOOKUP(W114,[2]character_tribe_i18n!$A:$H,6,FALSE)</f>
        <v>1</v>
      </c>
      <c r="AD114" s="14">
        <f ca="1">VLOOKUP(W114,[2]character_tribe_i18n!$A:$H,7,FALSE)</f>
        <v>1</v>
      </c>
      <c r="AE114" s="12" t="s">
        <v>102</v>
      </c>
      <c r="AF114" s="85" t="str">
        <f ca="1">IF(AE114="NULL","",VLOOKUP($AE114,OFFSET([2]characters!$A$1,0,0,COUNTA([2]characters!$A:$A),MATCH(AF$1,[2]characters!$1:$1,0)-MATCH($A$1,[2]characters!$1:$1,0)+1),MATCH(AF$1,[2]characters!$1:$1,0)-MATCH($A$1,[2]characters!$1:$1,0)+1,FALSE))</f>
        <v/>
      </c>
      <c r="AG114" s="8">
        <f t="shared" ca="1" si="9"/>
        <v>113</v>
      </c>
      <c r="AH114" s="85" t="str">
        <f ca="1">VLOOKUP($AG114,OFFSET([2]characters!$A$1,0,0,COUNTA([2]characters!$A:$A),MATCH(AH$1,[2]characters!$1:$1,0)-MATCH($A$1,[2]characters!$1:$1,0)+1),MATCH(AH$1,[2]characters!$1:$1,0)-MATCH($A$1,[2]characters!$1:$1,0)+1,FALSE)</f>
        <v>イエローチェシャ</v>
      </c>
      <c r="AI114" s="14" t="str">
        <f>IF(AE114="NULL","NULL",VLOOKUP(G114,ビット!$A$2:$B$7,2))</f>
        <v>NULL</v>
      </c>
      <c r="AJ114" s="9">
        <v>2</v>
      </c>
      <c r="AK114" s="10" t="str">
        <f t="shared" si="10"/>
        <v>普通</v>
      </c>
      <c r="AL114" s="14" t="str">
        <f ca="1">INDEX(経験値!$A$1:$I$20,MATCH(H114,経験値!$A$1:$A$20,FALSE),MATCH(G114,経験値!$A$1:$I$1,FALSE))</f>
        <v>NULL</v>
      </c>
      <c r="AM114" s="11">
        <f ca="1">VLOOKUP(G114,経験値!$A$27:$B$31,2)</f>
        <v>600</v>
      </c>
      <c r="AN114" s="21">
        <f ca="1">VLOOKUP(G114,ビット!$G$2:$H$7,2)</f>
        <v>150</v>
      </c>
      <c r="AO114" s="64" t="s">
        <v>55</v>
      </c>
      <c r="AP114" s="97">
        <v>990014</v>
      </c>
      <c r="AQ114" s="77" t="e">
        <f ca="1">VLOOKUP($AP114,OFFSET([1]unit_skills!$A$1,0,0,COUNTA([1]unit_skills!$A:$A),MATCH("name",[1]unit_skills!$1:$1,0)-MATCH($AP$1,[1]unit_skills!$1:$1,0)+1),MATCH("name",[1]unit_skills!$1:$1,0)-MATCH($AP$1,[1]unit_skills!$1:$1,0)+1,FALSE)</f>
        <v>#VALUE!</v>
      </c>
      <c r="AR114" s="77" t="e">
        <f ca="1">VLOOKUP($AP114,OFFSET([1]unit_skills!$A$1,0,0,COUNTA([1]unit_skills!$A:$A),MATCH("comment",[1]unit_skills!$1:$1,0)-MATCH($AP$1,[1]unit_skills!$1:$1,0)+1),MATCH("comment",[1]unit_skills!$1:$1,0)-MATCH($AP$1,[1]unit_skills!$1:$1,0)+1,FALSE)</f>
        <v>#VALUE!</v>
      </c>
      <c r="AS114" s="77" t="e">
        <f ca="1">VLOOKUP($AP114,OFFSET([1]unit_skills!$A$1,0,0,COUNTA([1]unit_skills!$A:$A),MATCH(AS$1,[1]unit_skills!$1:$1,0)-MATCH($AP$1,[1]unit_skills!$1:$1,0)+1),MATCH(AS$1,[1]unit_skills!$1:$1,0)-MATCH($AP$1,[1]unit_skills!$1:$1,0)+1,FALSE)</f>
        <v>#VALUE!</v>
      </c>
      <c r="AT114" s="104">
        <v>0</v>
      </c>
      <c r="AU114" s="77" t="e">
        <f ca="1">VLOOKUP($AT114,OFFSET([1]crash_skills!$A$1,0,0,COUNTA([1]crash_skills!$A:$A),MATCH("name",[1]crash_skills!$1:$1,0)-MATCH($AT$1,[1]crash_skills!$1:$1,0)+1),MATCH("name",[1]crash_skills!$1:$1,0)-MATCH($AT$1,[1]crash_skills!$1:$1,0)+1,FALSE)</f>
        <v>#VALUE!</v>
      </c>
      <c r="AV114" s="77" t="e">
        <f ca="1">VLOOKUP($AT114,OFFSET([1]crash_skills!$A$1,0,0,COUNTA([1]crash_skills!$A:$A),MATCH("comment",[1]crash_skills!$1:$1,0)-MATCH($AT$1,[1]crash_skills!$1:$1,0)+1),MATCH("comment",[1]crash_skills!$1:$1,0)-MATCH($AT$1,[1]crash_skills!$1:$1,0)+1,FALSE)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14" s="77" t="e">
        <f ca="1">VLOOKUP($AT114,OFFSET([1]crash_skills!$A$1,0,0,COUNTA([1]crash_skills!$A:$A),MATCH(AW$1,[1]crash_skills!$1:$1,0)-MATCH($AT$1,[1]crash_skills!$1:$1,0)+1),MATCH(AW$1,[1]crash_skills!$1:$1,0)-MATCH($AT$1,[1]crash_skills!$1:$1,0)+1,FALSE)</f>
        <v>#VALUE!</v>
      </c>
      <c r="AX114" s="81">
        <f ca="1">VLOOKUP($A114,OFFSET([2]characters!$A$1,0,0,COUNTA([2]characters!$A:$A),MATCH(AX$1,[2]characters!$1:$1,0)-MATCH($A$1,[2]characters!$1:$1,0)+1),MATCH(AX$1,[2]characters!$1:$1,0)-MATCH($A$1,[2]characters!$1:$1,0)+1,FALSE)</f>
        <v>3</v>
      </c>
      <c r="AY114" s="19">
        <v>1</v>
      </c>
      <c r="AZ114" s="19">
        <v>1</v>
      </c>
      <c r="BA114" s="19">
        <v>0</v>
      </c>
      <c r="BB114" s="19">
        <v>1</v>
      </c>
      <c r="BC114" s="14">
        <f ca="1">INDEX('RC6SV'!$A$1:$G$20,MATCH(H114,'RC6SV'!$A$1:$A$20,FALSE),MATCH(G114,'RC6SV'!$A$1:$G$1,FALSE))</f>
        <v>1000</v>
      </c>
      <c r="BD114" s="63">
        <f t="shared" ca="1" si="11"/>
        <v>1000</v>
      </c>
      <c r="BE114" s="14">
        <f t="shared" ca="1" si="12"/>
        <v>0</v>
      </c>
      <c r="BF114" s="14">
        <f t="shared" ca="1" si="13"/>
        <v>1</v>
      </c>
      <c r="BG114" s="20">
        <f ca="1">IF($BE114&lt;=0,ROUND(BK114*0.5,0), ROUND($BE114*S114*AA114*J114*AY114*0.8*[2]ステータス!$B$2,0))</f>
        <v>25</v>
      </c>
      <c r="BH114" s="20">
        <f ca="1">IF($BE114&lt;=0,ROUND(BL114*0.5,0), ROUND($BE114*T114*AB114*K114*AZ114*0.8*[2]ステータス!$C$2,0))</f>
        <v>8</v>
      </c>
      <c r="BI114" s="20">
        <f ca="1">IF($BE114&lt;=0,ROUND(BM114*0.5,0), ROUND($BE114*U114*AC114*L114*BA114*0.8*[2]ステータス!$D$2,0))</f>
        <v>0</v>
      </c>
      <c r="BJ114" s="20">
        <f ca="1">IF($BE114&lt;=0,ROUND(BN114*0.5,0), ROUND($BE114*V114*AD114*M114*BB114*0.8*[2]ステータス!$E$2,0))</f>
        <v>7</v>
      </c>
      <c r="BK114" s="14">
        <f ca="1">ROUND(BD114*S114*AA114*J114*AY114*[2]ステータス!$B$2,0)</f>
        <v>49</v>
      </c>
      <c r="BL114" s="14">
        <f ca="1">ROUND(BD114*T114*AB114*K114*AZ114*[2]ステータス!$C$2,0)</f>
        <v>15</v>
      </c>
      <c r="BM114" s="14">
        <f ca="1">ROUND(BD114*U114*AC114*L114*BA114*[2]ステータス!$D$2,0)</f>
        <v>0</v>
      </c>
      <c r="BN114" s="14">
        <f ca="1">ROUND(BD114*V114*AD114*M114*BB114*[2]ステータス!$E$2,0)</f>
        <v>13</v>
      </c>
      <c r="BO114" s="13">
        <v>0</v>
      </c>
      <c r="BP114" s="13">
        <v>1</v>
      </c>
      <c r="BQ114" s="13" t="s">
        <v>102</v>
      </c>
      <c r="BR114" s="13">
        <f ca="1">VLOOKUP(H114,ghosts_label!$A$2:$B$19,2,FALSE)</f>
        <v>0</v>
      </c>
    </row>
    <row r="115" spans="1:70" ht="21" customHeight="1" x14ac:dyDescent="0.15">
      <c r="A115" s="14">
        <f t="shared" ca="1" si="8"/>
        <v>114</v>
      </c>
      <c r="B115" s="77" t="str">
        <f ca="1">VLOOKUP($A115,OFFSET([2]characters!$A$1,0,0,COUNTA([2]characters!$A:$A),MATCH(B$1,[2]characters!$1:$1,0)-MATCH($A$1,[2]characters!$1:$1,0)+1),MATCH(B$1,[2]characters!$1:$1,0)-MATCH($A$1,[2]characters!$1:$1,0)+1,FALSE)</f>
        <v>イエローラビット</v>
      </c>
      <c r="C115" s="77" t="str">
        <f ca="1">VLOOKUP($A115,OFFSET([2]characters!$A$1,0,0,COUNTA([2]characters!$A:$A),MATCH(C$1,[2]characters!$1:$1,0)-MATCH($A$1,[2]characters!$1:$1,0)+1),MATCH(C$1,[2]characters!$1:$1,0)-MATCH($A$1,[2]characters!$1:$1,0)+1,FALSE)</f>
        <v>進化素材・黄・R3</v>
      </c>
      <c r="D115" s="77" t="str">
        <f ca="1">VLOOKUP($A115,OFFSET([2]characters!$A$1,0,0,COUNTA([2]characters!$A:$A),MATCH(D$1,[2]characters!$1:$1,0)-MATCH($A$1,[2]characters!$1:$1,0)+1),MATCH(D$1,[2]characters!$1:$1,0)-MATCH($A$1,[2]characters!$1:$1,0)+1,FALSE)</f>
        <v>アリス</v>
      </c>
      <c r="E115" s="77" t="str">
        <f ca="1">VLOOKUP($A115,OFFSET([2]characters!$A$1,0,0,COUNTA([2]characters!$A:$A),MATCH(E$1,[2]characters!$1:$1,0)-MATCH($A$1,[2]characters!$1:$1,0)+1),MATCH(E$1,[2]characters!$1:$1,0)-MATCH($A$1,[2]characters!$1:$1,0)+1,FALSE)</f>
        <v>世界観</v>
      </c>
      <c r="F115" s="77" t="str">
        <f ca="1">VLOOKUP($A115,OFFSET([2]characters!$A$1,0,0,COUNTA([2]characters!$A:$A),MATCH(F$1,[2]characters!$1:$1,0)-MATCH($A$1,[2]characters!$1:$1,0)+1),MATCH(F$1,[2]characters!$1:$1,0)-MATCH($A$1,[2]characters!$1:$1,0)+1,FALSE)</f>
        <v>不明</v>
      </c>
      <c r="G115" s="77">
        <f ca="1">VLOOKUP($A115,OFFSET([2]characters!$A$1,0,0,COUNTA([2]characters!$A:$A),MATCH(G$1,[2]characters!$1:$1,0)-MATCH($A$1,[2]characters!$1:$1,0)+1),MATCH(G$1,[2]characters!$1:$1,0)-MATCH($A$1,[2]characters!$1:$1,0)+1,FALSE)</f>
        <v>3</v>
      </c>
      <c r="H115" s="77" t="str">
        <f ca="1">VLOOKUP($A115,OFFSET([2]characters!$A$1,0,0,COUNTA([2]characters!$A:$A),MATCH(H$1,[2]characters!$1:$1,0)-MATCH($A$1,[2]characters!$1:$1,0)+1),MATCH(H$1,[2]characters!$1:$1,0)-MATCH($A$1,[2]characters!$1:$1,0)+1,FALSE)</f>
        <v>Material</v>
      </c>
      <c r="I115" s="77" t="str">
        <f ca="1">VLOOKUP($A115,OFFSET([2]characters!$A$1,0,0,COUNTA([2]characters!$A:$A),MATCH(I$1,[2]characters!$1:$1,0)-MATCH($A$1,[2]characters!$1:$1,0)+1),MATCH(I$1,[2]characters!$1:$1,0)-MATCH($A$1,[2]characters!$1:$1,0)+1,FALSE)</f>
        <v>yellow</v>
      </c>
      <c r="J115" s="14">
        <f ca="1">VLOOKUP(I115,[2]属性!$A:$E,2,FALSE)</f>
        <v>0.98</v>
      </c>
      <c r="K115" s="14">
        <f ca="1">VLOOKUP(I115,[2]属性!$A:$E,3,FALSE)</f>
        <v>1.01</v>
      </c>
      <c r="L115" s="14">
        <f ca="1">VLOOKUP(I115,[2]属性!$A:$E,4,FALSE)</f>
        <v>1</v>
      </c>
      <c r="M115" s="14">
        <f ca="1">VLOOKUP(I115,[2]属性!$A:$E,5,FALSE)</f>
        <v>1.01</v>
      </c>
      <c r="N115" s="14">
        <f ca="1">INDEX(コスト!$A$1:$I$20,MATCH(H115,コスト!$A$1:$A$20,FALSE),MATCH(G115,コスト!$A$1:$I$1,FALSE))</f>
        <v>99</v>
      </c>
      <c r="O115" s="14">
        <f ca="1">INDEX(レベル!$A$1:$I$21,MATCH(H115,レベル!$A$1:$A$21,FALSE),MATCH(G115,レベル!$A$1:$I$1,FALSE))</f>
        <v>1</v>
      </c>
      <c r="P115" s="203">
        <v>30</v>
      </c>
      <c r="Q115" s="77" t="str">
        <f ca="1">VLOOKUP($A115,OFFSET([2]characters!$A$1,0,0,COUNTA([2]characters!$A:$A),MATCH(Q$1,[2]characters!$1:$1,0)-MATCH($A$1,[2]characters!$1:$1,0)+1),MATCH(Q$1,[2]characters!$1:$1,0)-MATCH($A$1,[2]characters!$1:$1,0)+1,FALSE)</f>
        <v>evolution</v>
      </c>
      <c r="R115" s="8" t="str">
        <f ca="1">VLOOKUP(Q115,[2]character_type_i18n!$A:$H,3,FALSE)</f>
        <v>覚醒素材タイプ</v>
      </c>
      <c r="S115" s="14">
        <f ca="1">VLOOKUP(Q115,[2]character_type_i18n!$A:$H,4,FALSE)</f>
        <v>0.1</v>
      </c>
      <c r="T115" s="14">
        <f ca="1">VLOOKUP(Q115,[2]character_type_i18n!$A:$H,5,FALSE)</f>
        <v>0.05</v>
      </c>
      <c r="U115" s="14">
        <f ca="1">VLOOKUP(Q115,[2]character_type_i18n!$A:$H,6,FALSE)</f>
        <v>1</v>
      </c>
      <c r="V115" s="14">
        <f ca="1">VLOOKUP(Q115,[2]character_type_i18n!$A:$H,7,FALSE)</f>
        <v>0.05</v>
      </c>
      <c r="W115" s="77" t="str">
        <f ca="1">VLOOKUP($A115,OFFSET([2]characters!$A$1,0,0,COUNTA([2]characters!$A:$A),MATCH(W$1,[2]characters!$1:$1,0)-MATCH($A$1,[2]characters!$1:$1,0)+1),MATCH(W$1,[2]characters!$1:$1,0)-MATCH($A$1,[2]characters!$1:$1,0)+1,FALSE)</f>
        <v>unknown</v>
      </c>
      <c r="X115" s="8" t="str">
        <f ca="1">VLOOKUP(W115,[2]character_tribe_i18n!$A:$H,3,FALSE)</f>
        <v>Unknown</v>
      </c>
      <c r="Y115" s="77" t="str">
        <f ca="1">VLOOKUP($A115,OFFSET([2]characters!$A$1,0,0,COUNTA([2]characters!$A:$A),MATCH(Y$1,[2]characters!$1:$1,0)-MATCH($A$1,[2]characters!$1:$1,0)+1),MATCH(Y$1,[2]characters!$1:$1,0)-MATCH($A$1,[2]characters!$1:$1,0)+1,FALSE)</f>
        <v>none</v>
      </c>
      <c r="Z115" s="8" t="str">
        <f ca="1">VLOOKUP(Y115,[2]character_tribe_i18n!$A:$H,3,FALSE)</f>
        <v>種族なし</v>
      </c>
      <c r="AA115" s="14">
        <f ca="1">VLOOKUP(W115,[2]character_tribe_i18n!$A:$H,4,FALSE)</f>
        <v>1</v>
      </c>
      <c r="AB115" s="14">
        <f ca="1">VLOOKUP(W115,[2]character_tribe_i18n!$A:$H,5,FALSE)</f>
        <v>1</v>
      </c>
      <c r="AC115" s="14">
        <f ca="1">VLOOKUP(W115,[2]character_tribe_i18n!$A:$H,6,FALSE)</f>
        <v>1</v>
      </c>
      <c r="AD115" s="14">
        <f ca="1">VLOOKUP(W115,[2]character_tribe_i18n!$A:$H,7,FALSE)</f>
        <v>1</v>
      </c>
      <c r="AE115" s="12" t="s">
        <v>102</v>
      </c>
      <c r="AF115" s="85" t="str">
        <f ca="1">IF(AE115="NULL","",VLOOKUP($AE115,OFFSET([2]characters!$A$1,0,0,COUNTA([2]characters!$A:$A),MATCH(AF$1,[2]characters!$1:$1,0)-MATCH($A$1,[2]characters!$1:$1,0)+1),MATCH(AF$1,[2]characters!$1:$1,0)-MATCH($A$1,[2]characters!$1:$1,0)+1,FALSE))</f>
        <v/>
      </c>
      <c r="AG115" s="8">
        <f t="shared" ca="1" si="9"/>
        <v>114</v>
      </c>
      <c r="AH115" s="85" t="str">
        <f ca="1">VLOOKUP($AG115,OFFSET([2]characters!$A$1,0,0,COUNTA([2]characters!$A:$A),MATCH(AH$1,[2]characters!$1:$1,0)-MATCH($A$1,[2]characters!$1:$1,0)+1),MATCH(AH$1,[2]characters!$1:$1,0)-MATCH($A$1,[2]characters!$1:$1,0)+1,FALSE)</f>
        <v>イエローラビット</v>
      </c>
      <c r="AI115" s="14" t="str">
        <f>IF(AE115="NULL","NULL",VLOOKUP(G115,ビット!$A$2:$B$7,2))</f>
        <v>NULL</v>
      </c>
      <c r="AJ115" s="9">
        <v>2</v>
      </c>
      <c r="AK115" s="10" t="str">
        <f t="shared" si="10"/>
        <v>普通</v>
      </c>
      <c r="AL115" s="14" t="str">
        <f ca="1">INDEX(経験値!$A$1:$I$20,MATCH(H115,経験値!$A$1:$A$20,FALSE),MATCH(G115,経験値!$A$1:$I$1,FALSE))</f>
        <v>NULL</v>
      </c>
      <c r="AM115" s="11">
        <f ca="1">VLOOKUP(G115,経験値!$A$27:$B$31,2)</f>
        <v>1500</v>
      </c>
      <c r="AN115" s="21">
        <f ca="1">VLOOKUP(G115,ビット!$G$2:$H$7,2)</f>
        <v>300</v>
      </c>
      <c r="AO115" s="64" t="s">
        <v>55</v>
      </c>
      <c r="AP115" s="97">
        <v>990014</v>
      </c>
      <c r="AQ115" s="77" t="e">
        <f ca="1">VLOOKUP($AP115,OFFSET([1]unit_skills!$A$1,0,0,COUNTA([1]unit_skills!$A:$A),MATCH("name",[1]unit_skills!$1:$1,0)-MATCH($AP$1,[1]unit_skills!$1:$1,0)+1),MATCH("name",[1]unit_skills!$1:$1,0)-MATCH($AP$1,[1]unit_skills!$1:$1,0)+1,FALSE)</f>
        <v>#VALUE!</v>
      </c>
      <c r="AR115" s="77" t="e">
        <f ca="1">VLOOKUP($AP115,OFFSET([1]unit_skills!$A$1,0,0,COUNTA([1]unit_skills!$A:$A),MATCH("comment",[1]unit_skills!$1:$1,0)-MATCH($AP$1,[1]unit_skills!$1:$1,0)+1),MATCH("comment",[1]unit_skills!$1:$1,0)-MATCH($AP$1,[1]unit_skills!$1:$1,0)+1,FALSE)</f>
        <v>#VALUE!</v>
      </c>
      <c r="AS115" s="77" t="e">
        <f ca="1">VLOOKUP($AP115,OFFSET([1]unit_skills!$A$1,0,0,COUNTA([1]unit_skills!$A:$A),MATCH(AS$1,[1]unit_skills!$1:$1,0)-MATCH($AP$1,[1]unit_skills!$1:$1,0)+1),MATCH(AS$1,[1]unit_skills!$1:$1,0)-MATCH($AP$1,[1]unit_skills!$1:$1,0)+1,FALSE)</f>
        <v>#VALUE!</v>
      </c>
      <c r="AT115" s="104">
        <v>0</v>
      </c>
      <c r="AU115" s="77" t="e">
        <f ca="1">VLOOKUP($AT115,OFFSET([1]crash_skills!$A$1,0,0,COUNTA([1]crash_skills!$A:$A),MATCH("name",[1]crash_skills!$1:$1,0)-MATCH($AT$1,[1]crash_skills!$1:$1,0)+1),MATCH("name",[1]crash_skills!$1:$1,0)-MATCH($AT$1,[1]crash_skills!$1:$1,0)+1,FALSE)</f>
        <v>#VALUE!</v>
      </c>
      <c r="AV115" s="77" t="e">
        <f ca="1">VLOOKUP($AT115,OFFSET([1]crash_skills!$A$1,0,0,COUNTA([1]crash_skills!$A:$A),MATCH("comment",[1]crash_skills!$1:$1,0)-MATCH($AT$1,[1]crash_skills!$1:$1,0)+1),MATCH("comment",[1]crash_skills!$1:$1,0)-MATCH($AT$1,[1]crash_skills!$1:$1,0)+1,FALSE)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15" s="77" t="e">
        <f ca="1">VLOOKUP($AT115,OFFSET([1]crash_skills!$A$1,0,0,COUNTA([1]crash_skills!$A:$A),MATCH(AW$1,[1]crash_skills!$1:$1,0)-MATCH($AT$1,[1]crash_skills!$1:$1,0)+1),MATCH(AW$1,[1]crash_skills!$1:$1,0)-MATCH($AT$1,[1]crash_skills!$1:$1,0)+1,FALSE)</f>
        <v>#VALUE!</v>
      </c>
      <c r="AX115" s="81">
        <f ca="1">VLOOKUP($A115,OFFSET([2]characters!$A$1,0,0,COUNTA([2]characters!$A:$A),MATCH(AX$1,[2]characters!$1:$1,0)-MATCH($A$1,[2]characters!$1:$1,0)+1),MATCH(AX$1,[2]characters!$1:$1,0)-MATCH($A$1,[2]characters!$1:$1,0)+1,FALSE)</f>
        <v>3</v>
      </c>
      <c r="AY115" s="19">
        <v>1</v>
      </c>
      <c r="AZ115" s="19">
        <v>1</v>
      </c>
      <c r="BA115" s="19">
        <v>0</v>
      </c>
      <c r="BB115" s="19">
        <v>1</v>
      </c>
      <c r="BC115" s="14">
        <f ca="1">INDEX('RC6SV'!$A$1:$G$20,MATCH(H115,'RC6SV'!$A$1:$A$20,FALSE),MATCH(G115,'RC6SV'!$A$1:$G$1,FALSE))</f>
        <v>1000</v>
      </c>
      <c r="BD115" s="63">
        <f t="shared" ca="1" si="11"/>
        <v>1000</v>
      </c>
      <c r="BE115" s="14">
        <f t="shared" ca="1" si="12"/>
        <v>0</v>
      </c>
      <c r="BF115" s="14">
        <f t="shared" ca="1" si="13"/>
        <v>1</v>
      </c>
      <c r="BG115" s="20">
        <f ca="1">IF($BE115&lt;=0,ROUND(BK115*0.5,0), ROUND($BE115*S115*AA115*J115*AY115*0.8*[2]ステータス!$B$2,0))</f>
        <v>25</v>
      </c>
      <c r="BH115" s="20">
        <f ca="1">IF($BE115&lt;=0,ROUND(BL115*0.5,0), ROUND($BE115*T115*AB115*K115*AZ115*0.8*[2]ステータス!$C$2,0))</f>
        <v>8</v>
      </c>
      <c r="BI115" s="20">
        <f ca="1">IF($BE115&lt;=0,ROUND(BM115*0.5,0), ROUND($BE115*U115*AC115*L115*BA115*0.8*[2]ステータス!$D$2,0))</f>
        <v>0</v>
      </c>
      <c r="BJ115" s="20">
        <f ca="1">IF($BE115&lt;=0,ROUND(BN115*0.5,0), ROUND($BE115*V115*AD115*M115*BB115*0.8*[2]ステータス!$E$2,0))</f>
        <v>7</v>
      </c>
      <c r="BK115" s="14">
        <f ca="1">ROUND(BD115*S115*AA115*J115*AY115*[2]ステータス!$B$2,0)</f>
        <v>49</v>
      </c>
      <c r="BL115" s="14">
        <f ca="1">ROUND(BD115*T115*AB115*K115*AZ115*[2]ステータス!$C$2,0)</f>
        <v>15</v>
      </c>
      <c r="BM115" s="14">
        <f ca="1">ROUND(BD115*U115*AC115*L115*BA115*[2]ステータス!$D$2,0)</f>
        <v>0</v>
      </c>
      <c r="BN115" s="14">
        <f ca="1">ROUND(BD115*V115*AD115*M115*BB115*[2]ステータス!$E$2,0)</f>
        <v>13</v>
      </c>
      <c r="BO115" s="13">
        <v>0</v>
      </c>
      <c r="BP115" s="13">
        <v>1</v>
      </c>
      <c r="BQ115" s="13" t="s">
        <v>102</v>
      </c>
      <c r="BR115" s="13">
        <f ca="1">VLOOKUP(H115,ghosts_label!$A$2:$B$19,2,FALSE)</f>
        <v>0</v>
      </c>
    </row>
    <row r="116" spans="1:70" ht="21" customHeight="1" x14ac:dyDescent="0.15">
      <c r="A116" s="14">
        <f t="shared" ca="1" si="8"/>
        <v>115</v>
      </c>
      <c r="B116" s="77" t="str">
        <f ca="1">VLOOKUP($A116,OFFSET([2]characters!$A$1,0,0,COUNTA([2]characters!$A:$A),MATCH(B$1,[2]characters!$1:$1,0)-MATCH($A$1,[2]characters!$1:$1,0)+1),MATCH(B$1,[2]characters!$1:$1,0)-MATCH($A$1,[2]characters!$1:$1,0)+1,FALSE)</f>
        <v>イエローキャタップ</v>
      </c>
      <c r="C116" s="77" t="str">
        <f ca="1">VLOOKUP($A116,OFFSET([2]characters!$A$1,0,0,COUNTA([2]characters!$A:$A),MATCH(C$1,[2]characters!$1:$1,0)-MATCH($A$1,[2]characters!$1:$1,0)+1),MATCH(C$1,[2]characters!$1:$1,0)-MATCH($A$1,[2]characters!$1:$1,0)+1,FALSE)</f>
        <v>進化素材・黄・R4</v>
      </c>
      <c r="D116" s="77" t="str">
        <f ca="1">VLOOKUP($A116,OFFSET([2]characters!$A$1,0,0,COUNTA([2]characters!$A:$A),MATCH(D$1,[2]characters!$1:$1,0)-MATCH($A$1,[2]characters!$1:$1,0)+1),MATCH(D$1,[2]characters!$1:$1,0)-MATCH($A$1,[2]characters!$1:$1,0)+1,FALSE)</f>
        <v>アリス</v>
      </c>
      <c r="E116" s="77" t="str">
        <f ca="1">VLOOKUP($A116,OFFSET([2]characters!$A$1,0,0,COUNTA([2]characters!$A:$A),MATCH(E$1,[2]characters!$1:$1,0)-MATCH($A$1,[2]characters!$1:$1,0)+1),MATCH(E$1,[2]characters!$1:$1,0)-MATCH($A$1,[2]characters!$1:$1,0)+1,FALSE)</f>
        <v>世界観</v>
      </c>
      <c r="F116" s="77" t="str">
        <f ca="1">VLOOKUP($A116,OFFSET([2]characters!$A$1,0,0,COUNTA([2]characters!$A:$A),MATCH(F$1,[2]characters!$1:$1,0)-MATCH($A$1,[2]characters!$1:$1,0)+1),MATCH(F$1,[2]characters!$1:$1,0)-MATCH($A$1,[2]characters!$1:$1,0)+1,FALSE)</f>
        <v>不明</v>
      </c>
      <c r="G116" s="77">
        <f ca="1">VLOOKUP($A116,OFFSET([2]characters!$A$1,0,0,COUNTA([2]characters!$A:$A),MATCH(G$1,[2]characters!$1:$1,0)-MATCH($A$1,[2]characters!$1:$1,0)+1),MATCH(G$1,[2]characters!$1:$1,0)-MATCH($A$1,[2]characters!$1:$1,0)+1,FALSE)</f>
        <v>4</v>
      </c>
      <c r="H116" s="77" t="str">
        <f ca="1">VLOOKUP($A116,OFFSET([2]characters!$A$1,0,0,COUNTA([2]characters!$A:$A),MATCH(H$1,[2]characters!$1:$1,0)-MATCH($A$1,[2]characters!$1:$1,0)+1),MATCH(H$1,[2]characters!$1:$1,0)-MATCH($A$1,[2]characters!$1:$1,0)+1,FALSE)</f>
        <v>Material</v>
      </c>
      <c r="I116" s="77" t="str">
        <f ca="1">VLOOKUP($A116,OFFSET([2]characters!$A$1,0,0,COUNTA([2]characters!$A:$A),MATCH(I$1,[2]characters!$1:$1,0)-MATCH($A$1,[2]characters!$1:$1,0)+1),MATCH(I$1,[2]characters!$1:$1,0)-MATCH($A$1,[2]characters!$1:$1,0)+1,FALSE)</f>
        <v>yellow</v>
      </c>
      <c r="J116" s="14">
        <f ca="1">VLOOKUP(I116,[2]属性!$A:$E,2,FALSE)</f>
        <v>0.98</v>
      </c>
      <c r="K116" s="14">
        <f ca="1">VLOOKUP(I116,[2]属性!$A:$E,3,FALSE)</f>
        <v>1.01</v>
      </c>
      <c r="L116" s="14">
        <f ca="1">VLOOKUP(I116,[2]属性!$A:$E,4,FALSE)</f>
        <v>1</v>
      </c>
      <c r="M116" s="14">
        <f ca="1">VLOOKUP(I116,[2]属性!$A:$E,5,FALSE)</f>
        <v>1.01</v>
      </c>
      <c r="N116" s="14">
        <f ca="1">INDEX(コスト!$A$1:$I$20,MATCH(H116,コスト!$A$1:$A$20,FALSE),MATCH(G116,コスト!$A$1:$I$1,FALSE))</f>
        <v>99</v>
      </c>
      <c r="O116" s="14">
        <f ca="1">INDEX(レベル!$A$1:$I$21,MATCH(H116,レベル!$A$1:$A$21,FALSE),MATCH(G116,レベル!$A$1:$I$1,FALSE))</f>
        <v>1</v>
      </c>
      <c r="P116" s="203">
        <v>30</v>
      </c>
      <c r="Q116" s="77" t="str">
        <f ca="1">VLOOKUP($A116,OFFSET([2]characters!$A$1,0,0,COUNTA([2]characters!$A:$A),MATCH(Q$1,[2]characters!$1:$1,0)-MATCH($A$1,[2]characters!$1:$1,0)+1),MATCH(Q$1,[2]characters!$1:$1,0)-MATCH($A$1,[2]characters!$1:$1,0)+1,FALSE)</f>
        <v>evolution</v>
      </c>
      <c r="R116" s="8" t="str">
        <f ca="1">VLOOKUP(Q116,[2]character_type_i18n!$A:$H,3,FALSE)</f>
        <v>覚醒素材タイプ</v>
      </c>
      <c r="S116" s="14">
        <f ca="1">VLOOKUP(Q116,[2]character_type_i18n!$A:$H,4,FALSE)</f>
        <v>0.1</v>
      </c>
      <c r="T116" s="14">
        <f ca="1">VLOOKUP(Q116,[2]character_type_i18n!$A:$H,5,FALSE)</f>
        <v>0.05</v>
      </c>
      <c r="U116" s="14">
        <f ca="1">VLOOKUP(Q116,[2]character_type_i18n!$A:$H,6,FALSE)</f>
        <v>1</v>
      </c>
      <c r="V116" s="14">
        <f ca="1">VLOOKUP(Q116,[2]character_type_i18n!$A:$H,7,FALSE)</f>
        <v>0.05</v>
      </c>
      <c r="W116" s="77" t="str">
        <f ca="1">VLOOKUP($A116,OFFSET([2]characters!$A$1,0,0,COUNTA([2]characters!$A:$A),MATCH(W$1,[2]characters!$1:$1,0)-MATCH($A$1,[2]characters!$1:$1,0)+1),MATCH(W$1,[2]characters!$1:$1,0)-MATCH($A$1,[2]characters!$1:$1,0)+1,FALSE)</f>
        <v>unknown</v>
      </c>
      <c r="X116" s="8" t="str">
        <f ca="1">VLOOKUP(W116,[2]character_tribe_i18n!$A:$H,3,FALSE)</f>
        <v>Unknown</v>
      </c>
      <c r="Y116" s="77" t="str">
        <f ca="1">VLOOKUP($A116,OFFSET([2]characters!$A$1,0,0,COUNTA([2]characters!$A:$A),MATCH(Y$1,[2]characters!$1:$1,0)-MATCH($A$1,[2]characters!$1:$1,0)+1),MATCH(Y$1,[2]characters!$1:$1,0)-MATCH($A$1,[2]characters!$1:$1,0)+1,FALSE)</f>
        <v>none</v>
      </c>
      <c r="Z116" s="8" t="str">
        <f ca="1">VLOOKUP(Y116,[2]character_tribe_i18n!$A:$H,3,FALSE)</f>
        <v>種族なし</v>
      </c>
      <c r="AA116" s="14">
        <f ca="1">VLOOKUP(W116,[2]character_tribe_i18n!$A:$H,4,FALSE)</f>
        <v>1</v>
      </c>
      <c r="AB116" s="14">
        <f ca="1">VLOOKUP(W116,[2]character_tribe_i18n!$A:$H,5,FALSE)</f>
        <v>1</v>
      </c>
      <c r="AC116" s="14">
        <f ca="1">VLOOKUP(W116,[2]character_tribe_i18n!$A:$H,6,FALSE)</f>
        <v>1</v>
      </c>
      <c r="AD116" s="14">
        <f ca="1">VLOOKUP(W116,[2]character_tribe_i18n!$A:$H,7,FALSE)</f>
        <v>1</v>
      </c>
      <c r="AE116" s="12" t="s">
        <v>102</v>
      </c>
      <c r="AF116" s="85" t="str">
        <f ca="1">IF(AE116="NULL","",VLOOKUP($AE116,OFFSET([2]characters!$A$1,0,0,COUNTA([2]characters!$A:$A),MATCH(AF$1,[2]characters!$1:$1,0)-MATCH($A$1,[2]characters!$1:$1,0)+1),MATCH(AF$1,[2]characters!$1:$1,0)-MATCH($A$1,[2]characters!$1:$1,0)+1,FALSE))</f>
        <v/>
      </c>
      <c r="AG116" s="8">
        <f t="shared" ca="1" si="9"/>
        <v>115</v>
      </c>
      <c r="AH116" s="85" t="str">
        <f ca="1">VLOOKUP($AG116,OFFSET([2]characters!$A$1,0,0,COUNTA([2]characters!$A:$A),MATCH(AH$1,[2]characters!$1:$1,0)-MATCH($A$1,[2]characters!$1:$1,0)+1),MATCH(AH$1,[2]characters!$1:$1,0)-MATCH($A$1,[2]characters!$1:$1,0)+1,FALSE)</f>
        <v>イエローキャタップ</v>
      </c>
      <c r="AI116" s="14" t="str">
        <f>IF(AE116="NULL","NULL",VLOOKUP(G116,ビット!$A$2:$B$7,2))</f>
        <v>NULL</v>
      </c>
      <c r="AJ116" s="9">
        <v>2</v>
      </c>
      <c r="AK116" s="10" t="str">
        <f t="shared" si="10"/>
        <v>普通</v>
      </c>
      <c r="AL116" s="14" t="str">
        <f ca="1">INDEX(経験値!$A$1:$I$20,MATCH(H116,経験値!$A$1:$A$20,FALSE),MATCH(G116,経験値!$A$1:$I$1,FALSE))</f>
        <v>NULL</v>
      </c>
      <c r="AM116" s="11">
        <f ca="1">VLOOKUP(G116,経験値!$A$27:$B$31,2)</f>
        <v>3400</v>
      </c>
      <c r="AN116" s="21">
        <f ca="1">VLOOKUP(G116,ビット!$G$2:$H$7,2)</f>
        <v>600</v>
      </c>
      <c r="AO116" s="64" t="s">
        <v>55</v>
      </c>
      <c r="AP116" s="97">
        <v>990014</v>
      </c>
      <c r="AQ116" s="77" t="e">
        <f ca="1">VLOOKUP($AP116,OFFSET([1]unit_skills!$A$1,0,0,COUNTA([1]unit_skills!$A:$A),MATCH("name",[1]unit_skills!$1:$1,0)-MATCH($AP$1,[1]unit_skills!$1:$1,0)+1),MATCH("name",[1]unit_skills!$1:$1,0)-MATCH($AP$1,[1]unit_skills!$1:$1,0)+1,FALSE)</f>
        <v>#VALUE!</v>
      </c>
      <c r="AR116" s="77" t="e">
        <f ca="1">VLOOKUP($AP116,OFFSET([1]unit_skills!$A$1,0,0,COUNTA([1]unit_skills!$A:$A),MATCH("comment",[1]unit_skills!$1:$1,0)-MATCH($AP$1,[1]unit_skills!$1:$1,0)+1),MATCH("comment",[1]unit_skills!$1:$1,0)-MATCH($AP$1,[1]unit_skills!$1:$1,0)+1,FALSE)</f>
        <v>#VALUE!</v>
      </c>
      <c r="AS116" s="77" t="e">
        <f ca="1">VLOOKUP($AP116,OFFSET([1]unit_skills!$A$1,0,0,COUNTA([1]unit_skills!$A:$A),MATCH(AS$1,[1]unit_skills!$1:$1,0)-MATCH($AP$1,[1]unit_skills!$1:$1,0)+1),MATCH(AS$1,[1]unit_skills!$1:$1,0)-MATCH($AP$1,[1]unit_skills!$1:$1,0)+1,FALSE)</f>
        <v>#VALUE!</v>
      </c>
      <c r="AT116" s="104">
        <v>0</v>
      </c>
      <c r="AU116" s="77" t="e">
        <f ca="1">VLOOKUP($AT116,OFFSET([1]crash_skills!$A$1,0,0,COUNTA([1]crash_skills!$A:$A),MATCH("name",[1]crash_skills!$1:$1,0)-MATCH($AT$1,[1]crash_skills!$1:$1,0)+1),MATCH("name",[1]crash_skills!$1:$1,0)-MATCH($AT$1,[1]crash_skills!$1:$1,0)+1,FALSE)</f>
        <v>#VALUE!</v>
      </c>
      <c r="AV116" s="77" t="e">
        <f ca="1">VLOOKUP($AT116,OFFSET([1]crash_skills!$A$1,0,0,COUNTA([1]crash_skills!$A:$A),MATCH("comment",[1]crash_skills!$1:$1,0)-MATCH($AT$1,[1]crash_skills!$1:$1,0)+1),MATCH("comment",[1]crash_skills!$1:$1,0)-MATCH($AT$1,[1]crash_skills!$1:$1,0)+1,FALSE)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16" s="77" t="e">
        <f ca="1">VLOOKUP($AT116,OFFSET([1]crash_skills!$A$1,0,0,COUNTA([1]crash_skills!$A:$A),MATCH(AW$1,[1]crash_skills!$1:$1,0)-MATCH($AT$1,[1]crash_skills!$1:$1,0)+1),MATCH(AW$1,[1]crash_skills!$1:$1,0)-MATCH($AT$1,[1]crash_skills!$1:$1,0)+1,FALSE)</f>
        <v>#VALUE!</v>
      </c>
      <c r="AX116" s="81">
        <f ca="1">VLOOKUP($A116,OFFSET([2]characters!$A$1,0,0,COUNTA([2]characters!$A:$A),MATCH(AX$1,[2]characters!$1:$1,0)-MATCH($A$1,[2]characters!$1:$1,0)+1),MATCH(AX$1,[2]characters!$1:$1,0)-MATCH($A$1,[2]characters!$1:$1,0)+1,FALSE)</f>
        <v>3</v>
      </c>
      <c r="AY116" s="19">
        <v>1</v>
      </c>
      <c r="AZ116" s="19">
        <v>1</v>
      </c>
      <c r="BA116" s="19">
        <v>0</v>
      </c>
      <c r="BB116" s="19">
        <v>1</v>
      </c>
      <c r="BC116" s="14">
        <f ca="1">INDEX('RC6SV'!$A$1:$G$20,MATCH(H116,'RC6SV'!$A$1:$A$20,FALSE),MATCH(G116,'RC6SV'!$A$1:$G$1,FALSE))</f>
        <v>1000</v>
      </c>
      <c r="BD116" s="63">
        <f t="shared" ca="1" si="11"/>
        <v>1000</v>
      </c>
      <c r="BE116" s="14">
        <f t="shared" ca="1" si="12"/>
        <v>0</v>
      </c>
      <c r="BF116" s="14">
        <f t="shared" ca="1" si="13"/>
        <v>1</v>
      </c>
      <c r="BG116" s="20">
        <f ca="1">IF($BE116&lt;=0,ROUND(BK116*0.5,0), ROUND($BE116*S116*AA116*J116*AY116*0.8*[2]ステータス!$B$2,0))</f>
        <v>25</v>
      </c>
      <c r="BH116" s="20">
        <f ca="1">IF($BE116&lt;=0,ROUND(BL116*0.5,0), ROUND($BE116*T116*AB116*K116*AZ116*0.8*[2]ステータス!$C$2,0))</f>
        <v>8</v>
      </c>
      <c r="BI116" s="20">
        <f ca="1">IF($BE116&lt;=0,ROUND(BM116*0.5,0), ROUND($BE116*U116*AC116*L116*BA116*0.8*[2]ステータス!$D$2,0))</f>
        <v>0</v>
      </c>
      <c r="BJ116" s="20">
        <f ca="1">IF($BE116&lt;=0,ROUND(BN116*0.5,0), ROUND($BE116*V116*AD116*M116*BB116*0.8*[2]ステータス!$E$2,0))</f>
        <v>7</v>
      </c>
      <c r="BK116" s="14">
        <f ca="1">ROUND(BD116*S116*AA116*J116*AY116*[2]ステータス!$B$2,0)</f>
        <v>49</v>
      </c>
      <c r="BL116" s="14">
        <f ca="1">ROUND(BD116*T116*AB116*K116*AZ116*[2]ステータス!$C$2,0)</f>
        <v>15</v>
      </c>
      <c r="BM116" s="14">
        <f ca="1">ROUND(BD116*U116*AC116*L116*BA116*[2]ステータス!$D$2,0)</f>
        <v>0</v>
      </c>
      <c r="BN116" s="14">
        <f ca="1">ROUND(BD116*V116*AD116*M116*BB116*[2]ステータス!$E$2,0)</f>
        <v>13</v>
      </c>
      <c r="BO116" s="13">
        <v>0</v>
      </c>
      <c r="BP116" s="13">
        <v>1</v>
      </c>
      <c r="BQ116" s="13" t="s">
        <v>102</v>
      </c>
      <c r="BR116" s="13">
        <f ca="1">VLOOKUP(H116,ghosts_label!$A$2:$B$19,2,FALSE)</f>
        <v>0</v>
      </c>
    </row>
    <row r="117" spans="1:70" ht="21" customHeight="1" x14ac:dyDescent="0.15">
      <c r="A117" s="14">
        <f t="shared" ca="1" si="8"/>
        <v>116</v>
      </c>
      <c r="B117" s="77" t="str">
        <f ca="1">VLOOKUP($A117,OFFSET([2]characters!$A$1,0,0,COUNTA([2]characters!$A:$A),MATCH(B$1,[2]characters!$1:$1,0)-MATCH($A$1,[2]characters!$1:$1,0)+1),MATCH(B$1,[2]characters!$1:$1,0)-MATCH($A$1,[2]characters!$1:$1,0)+1,FALSE)</f>
        <v>雷のマッドハッター</v>
      </c>
      <c r="C117" s="77" t="str">
        <f ca="1">VLOOKUP($A117,OFFSET([2]characters!$A$1,0,0,COUNTA([2]characters!$A:$A),MATCH(C$1,[2]characters!$1:$1,0)-MATCH($A$1,[2]characters!$1:$1,0)+1),MATCH(C$1,[2]characters!$1:$1,0)-MATCH($A$1,[2]characters!$1:$1,0)+1,FALSE)</f>
        <v>進化素材・黄・R5</v>
      </c>
      <c r="D117" s="77" t="str">
        <f ca="1">VLOOKUP($A117,OFFSET([2]characters!$A$1,0,0,COUNTA([2]characters!$A:$A),MATCH(D$1,[2]characters!$1:$1,0)-MATCH($A$1,[2]characters!$1:$1,0)+1),MATCH(D$1,[2]characters!$1:$1,0)-MATCH($A$1,[2]characters!$1:$1,0)+1,FALSE)</f>
        <v>アリス</v>
      </c>
      <c r="E117" s="77" t="str">
        <f ca="1">VLOOKUP($A117,OFFSET([2]characters!$A$1,0,0,COUNTA([2]characters!$A:$A),MATCH(E$1,[2]characters!$1:$1,0)-MATCH($A$1,[2]characters!$1:$1,0)+1),MATCH(E$1,[2]characters!$1:$1,0)-MATCH($A$1,[2]characters!$1:$1,0)+1,FALSE)</f>
        <v>世界観</v>
      </c>
      <c r="F117" s="77" t="str">
        <f ca="1">VLOOKUP($A117,OFFSET([2]characters!$A$1,0,0,COUNTA([2]characters!$A:$A),MATCH(F$1,[2]characters!$1:$1,0)-MATCH($A$1,[2]characters!$1:$1,0)+1),MATCH(F$1,[2]characters!$1:$1,0)-MATCH($A$1,[2]characters!$1:$1,0)+1,FALSE)</f>
        <v>不明</v>
      </c>
      <c r="G117" s="77">
        <f ca="1">VLOOKUP($A117,OFFSET([2]characters!$A$1,0,0,COUNTA([2]characters!$A:$A),MATCH(G$1,[2]characters!$1:$1,0)-MATCH($A$1,[2]characters!$1:$1,0)+1),MATCH(G$1,[2]characters!$1:$1,0)-MATCH($A$1,[2]characters!$1:$1,0)+1,FALSE)</f>
        <v>5</v>
      </c>
      <c r="H117" s="77" t="str">
        <f ca="1">VLOOKUP($A117,OFFSET([2]characters!$A$1,0,0,COUNTA([2]characters!$A:$A),MATCH(H$1,[2]characters!$1:$1,0)-MATCH($A$1,[2]characters!$1:$1,0)+1),MATCH(H$1,[2]characters!$1:$1,0)-MATCH($A$1,[2]characters!$1:$1,0)+1,FALSE)</f>
        <v>Material</v>
      </c>
      <c r="I117" s="77" t="str">
        <f ca="1">VLOOKUP($A117,OFFSET([2]characters!$A$1,0,0,COUNTA([2]characters!$A:$A),MATCH(I$1,[2]characters!$1:$1,0)-MATCH($A$1,[2]characters!$1:$1,0)+1),MATCH(I$1,[2]characters!$1:$1,0)-MATCH($A$1,[2]characters!$1:$1,0)+1,FALSE)</f>
        <v>yellow</v>
      </c>
      <c r="J117" s="14">
        <f ca="1">VLOOKUP(I117,[2]属性!$A:$E,2,FALSE)</f>
        <v>0.98</v>
      </c>
      <c r="K117" s="14">
        <f ca="1">VLOOKUP(I117,[2]属性!$A:$E,3,FALSE)</f>
        <v>1.01</v>
      </c>
      <c r="L117" s="14">
        <f ca="1">VLOOKUP(I117,[2]属性!$A:$E,4,FALSE)</f>
        <v>1</v>
      </c>
      <c r="M117" s="14">
        <f ca="1">VLOOKUP(I117,[2]属性!$A:$E,5,FALSE)</f>
        <v>1.01</v>
      </c>
      <c r="N117" s="14">
        <f ca="1">INDEX(コスト!$A$1:$I$20,MATCH(H117,コスト!$A$1:$A$20,FALSE),MATCH(G117,コスト!$A$1:$I$1,FALSE))</f>
        <v>99</v>
      </c>
      <c r="O117" s="14">
        <f ca="1">INDEX(レベル!$A$1:$I$21,MATCH(H117,レベル!$A$1:$A$21,FALSE),MATCH(G117,レベル!$A$1:$I$1,FALSE))</f>
        <v>1</v>
      </c>
      <c r="P117" s="203">
        <v>30</v>
      </c>
      <c r="Q117" s="77" t="str">
        <f ca="1">VLOOKUP($A117,OFFSET([2]characters!$A$1,0,0,COUNTA([2]characters!$A:$A),MATCH(Q$1,[2]characters!$1:$1,0)-MATCH($A$1,[2]characters!$1:$1,0)+1),MATCH(Q$1,[2]characters!$1:$1,0)-MATCH($A$1,[2]characters!$1:$1,0)+1,FALSE)</f>
        <v>evolution</v>
      </c>
      <c r="R117" s="8" t="str">
        <f ca="1">VLOOKUP(Q117,[2]character_type_i18n!$A:$H,3,FALSE)</f>
        <v>覚醒素材タイプ</v>
      </c>
      <c r="S117" s="14">
        <f ca="1">VLOOKUP(Q117,[2]character_type_i18n!$A:$H,4,FALSE)</f>
        <v>0.1</v>
      </c>
      <c r="T117" s="14">
        <f ca="1">VLOOKUP(Q117,[2]character_type_i18n!$A:$H,5,FALSE)</f>
        <v>0.05</v>
      </c>
      <c r="U117" s="14">
        <f ca="1">VLOOKUP(Q117,[2]character_type_i18n!$A:$H,6,FALSE)</f>
        <v>1</v>
      </c>
      <c r="V117" s="14">
        <f ca="1">VLOOKUP(Q117,[2]character_type_i18n!$A:$H,7,FALSE)</f>
        <v>0.05</v>
      </c>
      <c r="W117" s="77" t="str">
        <f ca="1">VLOOKUP($A117,OFFSET([2]characters!$A$1,0,0,COUNTA([2]characters!$A:$A),MATCH(W$1,[2]characters!$1:$1,0)-MATCH($A$1,[2]characters!$1:$1,0)+1),MATCH(W$1,[2]characters!$1:$1,0)-MATCH($A$1,[2]characters!$1:$1,0)+1,FALSE)</f>
        <v>unknown</v>
      </c>
      <c r="X117" s="8" t="str">
        <f ca="1">VLOOKUP(W117,[2]character_tribe_i18n!$A:$H,3,FALSE)</f>
        <v>Unknown</v>
      </c>
      <c r="Y117" s="77" t="str">
        <f ca="1">VLOOKUP($A117,OFFSET([2]characters!$A$1,0,0,COUNTA([2]characters!$A:$A),MATCH(Y$1,[2]characters!$1:$1,0)-MATCH($A$1,[2]characters!$1:$1,0)+1),MATCH(Y$1,[2]characters!$1:$1,0)-MATCH($A$1,[2]characters!$1:$1,0)+1,FALSE)</f>
        <v>none</v>
      </c>
      <c r="Z117" s="8" t="str">
        <f ca="1">VLOOKUP(Y117,[2]character_tribe_i18n!$A:$H,3,FALSE)</f>
        <v>種族なし</v>
      </c>
      <c r="AA117" s="14">
        <f ca="1">VLOOKUP(W117,[2]character_tribe_i18n!$A:$H,4,FALSE)</f>
        <v>1</v>
      </c>
      <c r="AB117" s="14">
        <f ca="1">VLOOKUP(W117,[2]character_tribe_i18n!$A:$H,5,FALSE)</f>
        <v>1</v>
      </c>
      <c r="AC117" s="14">
        <f ca="1">VLOOKUP(W117,[2]character_tribe_i18n!$A:$H,6,FALSE)</f>
        <v>1</v>
      </c>
      <c r="AD117" s="14">
        <f ca="1">VLOOKUP(W117,[2]character_tribe_i18n!$A:$H,7,FALSE)</f>
        <v>1</v>
      </c>
      <c r="AE117" s="12" t="s">
        <v>102</v>
      </c>
      <c r="AF117" s="85" t="str">
        <f ca="1">IF(AE117="NULL","",VLOOKUP($AE117,OFFSET([2]characters!$A$1,0,0,COUNTA([2]characters!$A:$A),MATCH(AF$1,[2]characters!$1:$1,0)-MATCH($A$1,[2]characters!$1:$1,0)+1),MATCH(AF$1,[2]characters!$1:$1,0)-MATCH($A$1,[2]characters!$1:$1,0)+1,FALSE))</f>
        <v/>
      </c>
      <c r="AG117" s="8">
        <f t="shared" ca="1" si="9"/>
        <v>116</v>
      </c>
      <c r="AH117" s="85" t="str">
        <f ca="1">VLOOKUP($AG117,OFFSET([2]characters!$A$1,0,0,COUNTA([2]characters!$A:$A),MATCH(AH$1,[2]characters!$1:$1,0)-MATCH($A$1,[2]characters!$1:$1,0)+1),MATCH(AH$1,[2]characters!$1:$1,0)-MATCH($A$1,[2]characters!$1:$1,0)+1,FALSE)</f>
        <v>雷のマッドハッター</v>
      </c>
      <c r="AI117" s="14" t="str">
        <f>IF(AE117="NULL","NULL",VLOOKUP(G117,ビット!$A$2:$B$7,2))</f>
        <v>NULL</v>
      </c>
      <c r="AJ117" s="9">
        <v>2</v>
      </c>
      <c r="AK117" s="10" t="str">
        <f t="shared" si="10"/>
        <v>普通</v>
      </c>
      <c r="AL117" s="14" t="str">
        <f ca="1">INDEX(経験値!$A$1:$I$20,MATCH(H117,経験値!$A$1:$A$20,FALSE),MATCH(G117,経験値!$A$1:$I$1,FALSE))</f>
        <v>NULL</v>
      </c>
      <c r="AM117" s="11">
        <f ca="1">VLOOKUP(G117,経験値!$A$27:$B$31,2)</f>
        <v>6400</v>
      </c>
      <c r="AN117" s="21">
        <f ca="1">VLOOKUP(G117,ビット!$G$2:$H$7,2)</f>
        <v>900</v>
      </c>
      <c r="AO117" s="64" t="s">
        <v>55</v>
      </c>
      <c r="AP117" s="97">
        <v>990014</v>
      </c>
      <c r="AQ117" s="77" t="e">
        <f ca="1">VLOOKUP($AP117,OFFSET([1]unit_skills!$A$1,0,0,COUNTA([1]unit_skills!$A:$A),MATCH("name",[1]unit_skills!$1:$1,0)-MATCH($AP$1,[1]unit_skills!$1:$1,0)+1),MATCH("name",[1]unit_skills!$1:$1,0)-MATCH($AP$1,[1]unit_skills!$1:$1,0)+1,FALSE)</f>
        <v>#VALUE!</v>
      </c>
      <c r="AR117" s="77" t="e">
        <f ca="1">VLOOKUP($AP117,OFFSET([1]unit_skills!$A$1,0,0,COUNTA([1]unit_skills!$A:$A),MATCH("comment",[1]unit_skills!$1:$1,0)-MATCH($AP$1,[1]unit_skills!$1:$1,0)+1),MATCH("comment",[1]unit_skills!$1:$1,0)-MATCH($AP$1,[1]unit_skills!$1:$1,0)+1,FALSE)</f>
        <v>#VALUE!</v>
      </c>
      <c r="AS117" s="77" t="e">
        <f ca="1">VLOOKUP($AP117,OFFSET([1]unit_skills!$A$1,0,0,COUNTA([1]unit_skills!$A:$A),MATCH(AS$1,[1]unit_skills!$1:$1,0)-MATCH($AP$1,[1]unit_skills!$1:$1,0)+1),MATCH(AS$1,[1]unit_skills!$1:$1,0)-MATCH($AP$1,[1]unit_skills!$1:$1,0)+1,FALSE)</f>
        <v>#VALUE!</v>
      </c>
      <c r="AT117" s="104">
        <v>0</v>
      </c>
      <c r="AU117" s="77" t="e">
        <f ca="1">VLOOKUP($AT117,OFFSET([1]crash_skills!$A$1,0,0,COUNTA([1]crash_skills!$A:$A),MATCH("name",[1]crash_skills!$1:$1,0)-MATCH($AT$1,[1]crash_skills!$1:$1,0)+1),MATCH("name",[1]crash_skills!$1:$1,0)-MATCH($AT$1,[1]crash_skills!$1:$1,0)+1,FALSE)</f>
        <v>#VALUE!</v>
      </c>
      <c r="AV117" s="77" t="e">
        <f ca="1">VLOOKUP($AT117,OFFSET([1]crash_skills!$A$1,0,0,COUNTA([1]crash_skills!$A:$A),MATCH("comment",[1]crash_skills!$1:$1,0)-MATCH($AT$1,[1]crash_skills!$1:$1,0)+1),MATCH("comment",[1]crash_skills!$1:$1,0)-MATCH($AT$1,[1]crash_skills!$1:$1,0)+1,FALSE)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17" s="77" t="e">
        <f ca="1">VLOOKUP($AT117,OFFSET([1]crash_skills!$A$1,0,0,COUNTA([1]crash_skills!$A:$A),MATCH(AW$1,[1]crash_skills!$1:$1,0)-MATCH($AT$1,[1]crash_skills!$1:$1,0)+1),MATCH(AW$1,[1]crash_skills!$1:$1,0)-MATCH($AT$1,[1]crash_skills!$1:$1,0)+1,FALSE)</f>
        <v>#VALUE!</v>
      </c>
      <c r="AX117" s="81">
        <f ca="1">VLOOKUP($A117,OFFSET([2]characters!$A$1,0,0,COUNTA([2]characters!$A:$A),MATCH(AX$1,[2]characters!$1:$1,0)-MATCH($A$1,[2]characters!$1:$1,0)+1),MATCH(AX$1,[2]characters!$1:$1,0)-MATCH($A$1,[2]characters!$1:$1,0)+1,FALSE)</f>
        <v>3</v>
      </c>
      <c r="AY117" s="19">
        <v>1</v>
      </c>
      <c r="AZ117" s="19">
        <v>1</v>
      </c>
      <c r="BA117" s="19">
        <v>0</v>
      </c>
      <c r="BB117" s="19">
        <v>1</v>
      </c>
      <c r="BC117" s="14">
        <f ca="1">INDEX('RC6SV'!$A$1:$G$20,MATCH(H117,'RC6SV'!$A$1:$A$20,FALSE),MATCH(G117,'RC6SV'!$A$1:$G$1,FALSE))</f>
        <v>1000</v>
      </c>
      <c r="BD117" s="63">
        <f t="shared" ca="1" si="11"/>
        <v>1000</v>
      </c>
      <c r="BE117" s="14">
        <f t="shared" ca="1" si="12"/>
        <v>0</v>
      </c>
      <c r="BF117" s="14">
        <f t="shared" ca="1" si="13"/>
        <v>1</v>
      </c>
      <c r="BG117" s="20">
        <f ca="1">IF($BE117&lt;=0,ROUND(BK117*0.5,0), ROUND($BE117*S117*AA117*J117*AY117*0.8*[2]ステータス!$B$2,0))</f>
        <v>25</v>
      </c>
      <c r="BH117" s="20">
        <f ca="1">IF($BE117&lt;=0,ROUND(BL117*0.5,0), ROUND($BE117*T117*AB117*K117*AZ117*0.8*[2]ステータス!$C$2,0))</f>
        <v>8</v>
      </c>
      <c r="BI117" s="20">
        <f ca="1">IF($BE117&lt;=0,ROUND(BM117*0.5,0), ROUND($BE117*U117*AC117*L117*BA117*0.8*[2]ステータス!$D$2,0))</f>
        <v>0</v>
      </c>
      <c r="BJ117" s="20">
        <f ca="1">IF($BE117&lt;=0,ROUND(BN117*0.5,0), ROUND($BE117*V117*AD117*M117*BB117*0.8*[2]ステータス!$E$2,0))</f>
        <v>7</v>
      </c>
      <c r="BK117" s="14">
        <f ca="1">ROUND(BD117*S117*AA117*J117*AY117*[2]ステータス!$B$2,0)</f>
        <v>49</v>
      </c>
      <c r="BL117" s="14">
        <f ca="1">ROUND(BD117*T117*AB117*K117*AZ117*[2]ステータス!$C$2,0)</f>
        <v>15</v>
      </c>
      <c r="BM117" s="14">
        <f ca="1">ROUND(BD117*U117*AC117*L117*BA117*[2]ステータス!$D$2,0)</f>
        <v>0</v>
      </c>
      <c r="BN117" s="14">
        <f ca="1">ROUND(BD117*V117*AD117*M117*BB117*[2]ステータス!$E$2,0)</f>
        <v>13</v>
      </c>
      <c r="BO117" s="13">
        <v>0</v>
      </c>
      <c r="BP117" s="13">
        <v>1</v>
      </c>
      <c r="BQ117" s="13" t="s">
        <v>102</v>
      </c>
      <c r="BR117" s="13">
        <f ca="1">VLOOKUP(H117,ghosts_label!$A$2:$B$19,2,FALSE)</f>
        <v>0</v>
      </c>
    </row>
    <row r="118" spans="1:70" ht="21" customHeight="1" x14ac:dyDescent="0.15">
      <c r="A118" s="14">
        <f t="shared" ca="1" si="8"/>
        <v>117</v>
      </c>
      <c r="B118" s="77" t="str">
        <f ca="1">VLOOKUP($A118,OFFSET([2]characters!$A$1,0,0,COUNTA([2]characters!$A:$A),MATCH(B$1,[2]characters!$1:$1,0)-MATCH($A$1,[2]characters!$1:$1,0)+1),MATCH(B$1,[2]characters!$1:$1,0)-MATCH($A$1,[2]characters!$1:$1,0)+1,FALSE)</f>
        <v>ゴールドピヨピヨ</v>
      </c>
      <c r="C118" s="77" t="str">
        <f ca="1">VLOOKUP($A118,OFFSET([2]characters!$A$1,0,0,COUNTA([2]characters!$A:$A),MATCH(C$1,[2]characters!$1:$1,0)-MATCH($A$1,[2]characters!$1:$1,0)+1),MATCH(C$1,[2]characters!$1:$1,0)-MATCH($A$1,[2]characters!$1:$1,0)+1,FALSE)</f>
        <v>売却素材R3</v>
      </c>
      <c r="D118" s="77" t="str">
        <f ca="1">VLOOKUP($A118,OFFSET([2]characters!$A$1,0,0,COUNTA([2]characters!$A:$A),MATCH(D$1,[2]characters!$1:$1,0)-MATCH($A$1,[2]characters!$1:$1,0)+1),MATCH(D$1,[2]characters!$1:$1,0)-MATCH($A$1,[2]characters!$1:$1,0)+1,FALSE)</f>
        <v>アリス</v>
      </c>
      <c r="E118" s="77" t="str">
        <f ca="1">VLOOKUP($A118,OFFSET([2]characters!$A$1,0,0,COUNTA([2]characters!$A:$A),MATCH(E$1,[2]characters!$1:$1,0)-MATCH($A$1,[2]characters!$1:$1,0)+1),MATCH(E$1,[2]characters!$1:$1,0)-MATCH($A$1,[2]characters!$1:$1,0)+1,FALSE)</f>
        <v>世界観</v>
      </c>
      <c r="F118" s="77" t="str">
        <f ca="1">VLOOKUP($A118,OFFSET([2]characters!$A$1,0,0,COUNTA([2]characters!$A:$A),MATCH(F$1,[2]characters!$1:$1,0)-MATCH($A$1,[2]characters!$1:$1,0)+1),MATCH(F$1,[2]characters!$1:$1,0)-MATCH($A$1,[2]characters!$1:$1,0)+1,FALSE)</f>
        <v>不明</v>
      </c>
      <c r="G118" s="77">
        <f ca="1">VLOOKUP($A118,OFFSET([2]characters!$A$1,0,0,COUNTA([2]characters!$A:$A),MATCH(G$1,[2]characters!$1:$1,0)-MATCH($A$1,[2]characters!$1:$1,0)+1),MATCH(G$1,[2]characters!$1:$1,0)-MATCH($A$1,[2]characters!$1:$1,0)+1,FALSE)</f>
        <v>3</v>
      </c>
      <c r="H118" s="77" t="str">
        <f ca="1">VLOOKUP($A118,OFFSET([2]characters!$A$1,0,0,COUNTA([2]characters!$A:$A),MATCH(H$1,[2]characters!$1:$1,0)-MATCH($A$1,[2]characters!$1:$1,0)+1),MATCH(H$1,[2]characters!$1:$1,0)-MATCH($A$1,[2]characters!$1:$1,0)+1,FALSE)</f>
        <v>Material</v>
      </c>
      <c r="I118" s="77" t="str">
        <f ca="1">VLOOKUP($A118,OFFSET([2]characters!$A$1,0,0,COUNTA([2]characters!$A:$A),MATCH(I$1,[2]characters!$1:$1,0)-MATCH($A$1,[2]characters!$1:$1,0)+1),MATCH(I$1,[2]characters!$1:$1,0)-MATCH($A$1,[2]characters!$1:$1,0)+1,FALSE)</f>
        <v>yellow</v>
      </c>
      <c r="J118" s="14">
        <f ca="1">VLOOKUP(I118,[2]属性!$A:$E,2,FALSE)</f>
        <v>0.98</v>
      </c>
      <c r="K118" s="14">
        <f ca="1">VLOOKUP(I118,[2]属性!$A:$E,3,FALSE)</f>
        <v>1.01</v>
      </c>
      <c r="L118" s="14">
        <f ca="1">VLOOKUP(I118,[2]属性!$A:$E,4,FALSE)</f>
        <v>1</v>
      </c>
      <c r="M118" s="14">
        <f ca="1">VLOOKUP(I118,[2]属性!$A:$E,5,FALSE)</f>
        <v>1.01</v>
      </c>
      <c r="N118" s="14">
        <f ca="1">INDEX(コスト!$A$1:$I$20,MATCH(H118,コスト!$A$1:$A$20,FALSE),MATCH(G118,コスト!$A$1:$I$1,FALSE))</f>
        <v>99</v>
      </c>
      <c r="O118" s="14">
        <f ca="1">INDEX(レベル!$A$1:$I$21,MATCH(H118,レベル!$A$1:$A$21,FALSE),MATCH(G118,レベル!$A$1:$I$1,FALSE))</f>
        <v>1</v>
      </c>
      <c r="P118" s="203">
        <v>1</v>
      </c>
      <c r="Q118" s="77" t="str">
        <f ca="1">VLOOKUP($A118,OFFSET([2]characters!$A$1,0,0,COUNTA([2]characters!$A:$A),MATCH(Q$1,[2]characters!$1:$1,0)-MATCH($A$1,[2]characters!$1:$1,0)+1),MATCH(Q$1,[2]characters!$1:$1,0)-MATCH($A$1,[2]characters!$1:$1,0)+1,FALSE)</f>
        <v>coin</v>
      </c>
      <c r="R118" s="8" t="str">
        <f ca="1">VLOOKUP(Q118,[2]character_type_i18n!$A:$H,3,FALSE)</f>
        <v>コインタイプ</v>
      </c>
      <c r="S118" s="14">
        <f ca="1">VLOOKUP(Q118,[2]character_type_i18n!$A:$H,4,FALSE)</f>
        <v>0.1</v>
      </c>
      <c r="T118" s="14">
        <f ca="1">VLOOKUP(Q118,[2]character_type_i18n!$A:$H,5,FALSE)</f>
        <v>0.05</v>
      </c>
      <c r="U118" s="14">
        <f ca="1">VLOOKUP(Q118,[2]character_type_i18n!$A:$H,6,FALSE)</f>
        <v>1</v>
      </c>
      <c r="V118" s="14">
        <f ca="1">VLOOKUP(Q118,[2]character_type_i18n!$A:$H,7,FALSE)</f>
        <v>0.05</v>
      </c>
      <c r="W118" s="77" t="str">
        <f ca="1">VLOOKUP($A118,OFFSET([2]characters!$A$1,0,0,COUNTA([2]characters!$A:$A),MATCH(W$1,[2]characters!$1:$1,0)-MATCH($A$1,[2]characters!$1:$1,0)+1),MATCH(W$1,[2]characters!$1:$1,0)-MATCH($A$1,[2]characters!$1:$1,0)+1,FALSE)</f>
        <v>unknown</v>
      </c>
      <c r="X118" s="8" t="str">
        <f ca="1">VLOOKUP(W118,[2]character_tribe_i18n!$A:$H,3,FALSE)</f>
        <v>Unknown</v>
      </c>
      <c r="Y118" s="77" t="str">
        <f ca="1">VLOOKUP($A118,OFFSET([2]characters!$A$1,0,0,COUNTA([2]characters!$A:$A),MATCH(Y$1,[2]characters!$1:$1,0)-MATCH($A$1,[2]characters!$1:$1,0)+1),MATCH(Y$1,[2]characters!$1:$1,0)-MATCH($A$1,[2]characters!$1:$1,0)+1,FALSE)</f>
        <v>none</v>
      </c>
      <c r="Z118" s="8" t="str">
        <f ca="1">VLOOKUP(Y118,[2]character_tribe_i18n!$A:$H,3,FALSE)</f>
        <v>種族なし</v>
      </c>
      <c r="AA118" s="14">
        <f ca="1">VLOOKUP(W118,[2]character_tribe_i18n!$A:$H,4,FALSE)</f>
        <v>1</v>
      </c>
      <c r="AB118" s="14">
        <f ca="1">VLOOKUP(W118,[2]character_tribe_i18n!$A:$H,5,FALSE)</f>
        <v>1</v>
      </c>
      <c r="AC118" s="14">
        <f ca="1">VLOOKUP(W118,[2]character_tribe_i18n!$A:$H,6,FALSE)</f>
        <v>1</v>
      </c>
      <c r="AD118" s="14">
        <f ca="1">VLOOKUP(W118,[2]character_tribe_i18n!$A:$H,7,FALSE)</f>
        <v>1</v>
      </c>
      <c r="AE118" s="12" t="s">
        <v>102</v>
      </c>
      <c r="AF118" s="85" t="str">
        <f ca="1">IF(AE118="NULL","",VLOOKUP($AE118,OFFSET([2]characters!$A$1,0,0,COUNTA([2]characters!$A:$A),MATCH(AF$1,[2]characters!$1:$1,0)-MATCH($A$1,[2]characters!$1:$1,0)+1),MATCH(AF$1,[2]characters!$1:$1,0)-MATCH($A$1,[2]characters!$1:$1,0)+1,FALSE))</f>
        <v/>
      </c>
      <c r="AG118" s="8">
        <f t="shared" ca="1" si="9"/>
        <v>117</v>
      </c>
      <c r="AH118" s="85" t="str">
        <f ca="1">VLOOKUP($AG118,OFFSET([2]characters!$A$1,0,0,COUNTA([2]characters!$A:$A),MATCH(AH$1,[2]characters!$1:$1,0)-MATCH($A$1,[2]characters!$1:$1,0)+1),MATCH(AH$1,[2]characters!$1:$1,0)-MATCH($A$1,[2]characters!$1:$1,0)+1,FALSE)</f>
        <v>ゴールドピヨピヨ</v>
      </c>
      <c r="AI118" s="14" t="str">
        <f>IF(AE118="NULL","NULL",VLOOKUP(G118,ビット!$A$2:$B$7,2))</f>
        <v>NULL</v>
      </c>
      <c r="AJ118" s="9">
        <v>2</v>
      </c>
      <c r="AK118" s="10" t="str">
        <f t="shared" si="10"/>
        <v>普通</v>
      </c>
      <c r="AL118" s="14" t="str">
        <f ca="1">INDEX(経験値!$A$1:$I$20,MATCH(H118,経験値!$A$1:$A$20,FALSE),MATCH(G118,経験値!$A$1:$I$1,FALSE))</f>
        <v>NULL</v>
      </c>
      <c r="AM118" s="11">
        <f ca="1">VLOOKUP(G118,経験値!$A$27:$B$31,2)</f>
        <v>1500</v>
      </c>
      <c r="AN118" s="133">
        <v>2000</v>
      </c>
      <c r="AO118" s="64" t="s">
        <v>56</v>
      </c>
      <c r="AP118" s="101">
        <v>990005</v>
      </c>
      <c r="AQ118" s="77" t="e">
        <f ca="1">VLOOKUP($AP118,OFFSET([1]unit_skills!$A$1,0,0,COUNTA([1]unit_skills!$A:$A),MATCH("name",[1]unit_skills!$1:$1,0)-MATCH($AP$1,[1]unit_skills!$1:$1,0)+1),MATCH("name",[1]unit_skills!$1:$1,0)-MATCH($AP$1,[1]unit_skills!$1:$1,0)+1,FALSE)</f>
        <v>#VALUE!</v>
      </c>
      <c r="AR118" s="77" t="e">
        <f ca="1">VLOOKUP($AP118,OFFSET([1]unit_skills!$A$1,0,0,COUNTA([1]unit_skills!$A:$A),MATCH("comment",[1]unit_skills!$1:$1,0)-MATCH($AP$1,[1]unit_skills!$1:$1,0)+1),MATCH("comment",[1]unit_skills!$1:$1,0)-MATCH($AP$1,[1]unit_skills!$1:$1,0)+1,FALSE)</f>
        <v>#VALUE!</v>
      </c>
      <c r="AS118" s="77" t="e">
        <f ca="1">VLOOKUP($AP118,OFFSET([1]unit_skills!$A$1,0,0,COUNTA([1]unit_skills!$A:$A),MATCH(AS$1,[1]unit_skills!$1:$1,0)-MATCH($AP$1,[1]unit_skills!$1:$1,0)+1),MATCH(AS$1,[1]unit_skills!$1:$1,0)-MATCH($AP$1,[1]unit_skills!$1:$1,0)+1,FALSE)</f>
        <v>#VALUE!</v>
      </c>
      <c r="AT118" s="104">
        <v>0</v>
      </c>
      <c r="AU118" s="77" t="e">
        <f ca="1">VLOOKUP($AT118,OFFSET([1]crash_skills!$A$1,0,0,COUNTA([1]crash_skills!$A:$A),MATCH("name",[1]crash_skills!$1:$1,0)-MATCH($AT$1,[1]crash_skills!$1:$1,0)+1),MATCH("name",[1]crash_skills!$1:$1,0)-MATCH($AT$1,[1]crash_skills!$1:$1,0)+1,FALSE)</f>
        <v>#VALUE!</v>
      </c>
      <c r="AV118" s="77" t="e">
        <f ca="1">VLOOKUP($AT118,OFFSET([1]crash_skills!$A$1,0,0,COUNTA([1]crash_skills!$A:$A),MATCH("comment",[1]crash_skills!$1:$1,0)-MATCH($AT$1,[1]crash_skills!$1:$1,0)+1),MATCH("comment",[1]crash_skills!$1:$1,0)-MATCH($AT$1,[1]crash_skills!$1:$1,0)+1,FALSE)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18" s="77" t="e">
        <f ca="1">VLOOKUP($AT118,OFFSET([1]crash_skills!$A$1,0,0,COUNTA([1]crash_skills!$A:$A),MATCH(AW$1,[1]crash_skills!$1:$1,0)-MATCH($AT$1,[1]crash_skills!$1:$1,0)+1),MATCH(AW$1,[1]crash_skills!$1:$1,0)-MATCH($AT$1,[1]crash_skills!$1:$1,0)+1,FALSE)</f>
        <v>#VALUE!</v>
      </c>
      <c r="AX118" s="81">
        <f ca="1">VLOOKUP($A118,OFFSET([2]characters!$A$1,0,0,COUNTA([2]characters!$A:$A),MATCH(AX$1,[2]characters!$1:$1,0)-MATCH($A$1,[2]characters!$1:$1,0)+1),MATCH(AX$1,[2]characters!$1:$1,0)-MATCH($A$1,[2]characters!$1:$1,0)+1,FALSE)</f>
        <v>3</v>
      </c>
      <c r="AY118" s="19">
        <v>1</v>
      </c>
      <c r="AZ118" s="19">
        <v>1</v>
      </c>
      <c r="BA118" s="19">
        <v>0</v>
      </c>
      <c r="BB118" s="19">
        <v>1</v>
      </c>
      <c r="BC118" s="14">
        <f ca="1">INDEX('RC6SV'!$A$1:$G$20,MATCH(H118,'RC6SV'!$A$1:$A$20,FALSE),MATCH(G118,'RC6SV'!$A$1:$G$1,FALSE))</f>
        <v>1000</v>
      </c>
      <c r="BD118" s="63">
        <f t="shared" ca="1" si="11"/>
        <v>1000</v>
      </c>
      <c r="BE118" s="14">
        <f t="shared" ca="1" si="12"/>
        <v>0</v>
      </c>
      <c r="BF118" s="14">
        <f t="shared" ca="1" si="13"/>
        <v>1</v>
      </c>
      <c r="BG118" s="20">
        <f ca="1">IF($BE118&lt;=0,ROUND(BK118*0.5,0), ROUND($BE118*S118*AA118*J118*AY118*0.8*[2]ステータス!$B$2,0))</f>
        <v>25</v>
      </c>
      <c r="BH118" s="20">
        <f ca="1">IF($BE118&lt;=0,ROUND(BL118*0.5,0), ROUND($BE118*T118*AB118*K118*AZ118*0.8*[2]ステータス!$C$2,0))</f>
        <v>8</v>
      </c>
      <c r="BI118" s="20">
        <f ca="1">IF($BE118&lt;=0,ROUND(BM118*0.5,0), ROUND($BE118*U118*AC118*L118*BA118*0.8*[2]ステータス!$D$2,0))</f>
        <v>0</v>
      </c>
      <c r="BJ118" s="20">
        <f ca="1">IF($BE118&lt;=0,ROUND(BN118*0.5,0), ROUND($BE118*V118*AD118*M118*BB118*0.8*[2]ステータス!$E$2,0))</f>
        <v>7</v>
      </c>
      <c r="BK118" s="14">
        <f ca="1">ROUND(BD118*S118*AA118*J118*AY118*[2]ステータス!$B$2,0)</f>
        <v>49</v>
      </c>
      <c r="BL118" s="14">
        <f ca="1">ROUND(BD118*T118*AB118*K118*AZ118*[2]ステータス!$C$2,0)</f>
        <v>15</v>
      </c>
      <c r="BM118" s="14">
        <f ca="1">ROUND(BD118*U118*AC118*L118*BA118*[2]ステータス!$D$2,0)</f>
        <v>0</v>
      </c>
      <c r="BN118" s="14">
        <f ca="1">ROUND(BD118*V118*AD118*M118*BB118*[2]ステータス!$E$2,0)</f>
        <v>13</v>
      </c>
      <c r="BO118" s="13">
        <v>0</v>
      </c>
      <c r="BP118" s="13">
        <v>1</v>
      </c>
      <c r="BQ118" s="13" t="s">
        <v>102</v>
      </c>
      <c r="BR118" s="13">
        <f ca="1">VLOOKUP(H118,ghosts_label!$A$2:$B$19,2,FALSE)</f>
        <v>0</v>
      </c>
    </row>
    <row r="119" spans="1:70" ht="21" customHeight="1" x14ac:dyDescent="0.15">
      <c r="A119" s="14">
        <f t="shared" ca="1" si="8"/>
        <v>118</v>
      </c>
      <c r="B119" s="77" t="str">
        <f ca="1">VLOOKUP($A119,OFFSET([2]characters!$A$1,0,0,COUNTA([2]characters!$A:$A),MATCH(B$1,[2]characters!$1:$1,0)-MATCH($A$1,[2]characters!$1:$1,0)+1),MATCH(B$1,[2]characters!$1:$1,0)-MATCH($A$1,[2]characters!$1:$1,0)+1,FALSE)</f>
        <v>ゴールドチック</v>
      </c>
      <c r="C119" s="77" t="str">
        <f ca="1">VLOOKUP($A119,OFFSET([2]characters!$A$1,0,0,COUNTA([2]characters!$A:$A),MATCH(C$1,[2]characters!$1:$1,0)-MATCH($A$1,[2]characters!$1:$1,0)+1),MATCH(C$1,[2]characters!$1:$1,0)-MATCH($A$1,[2]characters!$1:$1,0)+1,FALSE)</f>
        <v>売却素材R4</v>
      </c>
      <c r="D119" s="77" t="str">
        <f ca="1">VLOOKUP($A119,OFFSET([2]characters!$A$1,0,0,COUNTA([2]characters!$A:$A),MATCH(D$1,[2]characters!$1:$1,0)-MATCH($A$1,[2]characters!$1:$1,0)+1),MATCH(D$1,[2]characters!$1:$1,0)-MATCH($A$1,[2]characters!$1:$1,0)+1,FALSE)</f>
        <v>アリス</v>
      </c>
      <c r="E119" s="77" t="str">
        <f ca="1">VLOOKUP($A119,OFFSET([2]characters!$A$1,0,0,COUNTA([2]characters!$A:$A),MATCH(E$1,[2]characters!$1:$1,0)-MATCH($A$1,[2]characters!$1:$1,0)+1),MATCH(E$1,[2]characters!$1:$1,0)-MATCH($A$1,[2]characters!$1:$1,0)+1,FALSE)</f>
        <v>世界観</v>
      </c>
      <c r="F119" s="77" t="str">
        <f ca="1">VLOOKUP($A119,OFFSET([2]characters!$A$1,0,0,COUNTA([2]characters!$A:$A),MATCH(F$1,[2]characters!$1:$1,0)-MATCH($A$1,[2]characters!$1:$1,0)+1),MATCH(F$1,[2]characters!$1:$1,0)-MATCH($A$1,[2]characters!$1:$1,0)+1,FALSE)</f>
        <v>不明</v>
      </c>
      <c r="G119" s="77">
        <f ca="1">VLOOKUP($A119,OFFSET([2]characters!$A$1,0,0,COUNTA([2]characters!$A:$A),MATCH(G$1,[2]characters!$1:$1,0)-MATCH($A$1,[2]characters!$1:$1,0)+1),MATCH(G$1,[2]characters!$1:$1,0)-MATCH($A$1,[2]characters!$1:$1,0)+1,FALSE)</f>
        <v>4</v>
      </c>
      <c r="H119" s="77" t="str">
        <f ca="1">VLOOKUP($A119,OFFSET([2]characters!$A$1,0,0,COUNTA([2]characters!$A:$A),MATCH(H$1,[2]characters!$1:$1,0)-MATCH($A$1,[2]characters!$1:$1,0)+1),MATCH(H$1,[2]characters!$1:$1,0)-MATCH($A$1,[2]characters!$1:$1,0)+1,FALSE)</f>
        <v>Material</v>
      </c>
      <c r="I119" s="77" t="str">
        <f ca="1">VLOOKUP($A119,OFFSET([2]characters!$A$1,0,0,COUNTA([2]characters!$A:$A),MATCH(I$1,[2]characters!$1:$1,0)-MATCH($A$1,[2]characters!$1:$1,0)+1),MATCH(I$1,[2]characters!$1:$1,0)-MATCH($A$1,[2]characters!$1:$1,0)+1,FALSE)</f>
        <v>yellow</v>
      </c>
      <c r="J119" s="14">
        <f ca="1">VLOOKUP(I119,[2]属性!$A:$E,2,FALSE)</f>
        <v>0.98</v>
      </c>
      <c r="K119" s="14">
        <f ca="1">VLOOKUP(I119,[2]属性!$A:$E,3,FALSE)</f>
        <v>1.01</v>
      </c>
      <c r="L119" s="14">
        <f ca="1">VLOOKUP(I119,[2]属性!$A:$E,4,FALSE)</f>
        <v>1</v>
      </c>
      <c r="M119" s="14">
        <f ca="1">VLOOKUP(I119,[2]属性!$A:$E,5,FALSE)</f>
        <v>1.01</v>
      </c>
      <c r="N119" s="14">
        <f ca="1">INDEX(コスト!$A$1:$I$20,MATCH(H119,コスト!$A$1:$A$20,FALSE),MATCH(G119,コスト!$A$1:$I$1,FALSE))</f>
        <v>99</v>
      </c>
      <c r="O119" s="14">
        <f ca="1">INDEX(レベル!$A$1:$I$21,MATCH(H119,レベル!$A$1:$A$21,FALSE),MATCH(G119,レベル!$A$1:$I$1,FALSE))</f>
        <v>1</v>
      </c>
      <c r="P119" s="203">
        <v>1</v>
      </c>
      <c r="Q119" s="77" t="str">
        <f ca="1">VLOOKUP($A119,OFFSET([2]characters!$A$1,0,0,COUNTA([2]characters!$A:$A),MATCH(Q$1,[2]characters!$1:$1,0)-MATCH($A$1,[2]characters!$1:$1,0)+1),MATCH(Q$1,[2]characters!$1:$1,0)-MATCH($A$1,[2]characters!$1:$1,0)+1,FALSE)</f>
        <v>coin</v>
      </c>
      <c r="R119" s="8" t="str">
        <f ca="1">VLOOKUP(Q119,[2]character_type_i18n!$A:$H,3,FALSE)</f>
        <v>コインタイプ</v>
      </c>
      <c r="S119" s="14">
        <f ca="1">VLOOKUP(Q119,[2]character_type_i18n!$A:$H,4,FALSE)</f>
        <v>0.1</v>
      </c>
      <c r="T119" s="14">
        <f ca="1">VLOOKUP(Q119,[2]character_type_i18n!$A:$H,5,FALSE)</f>
        <v>0.05</v>
      </c>
      <c r="U119" s="14">
        <f ca="1">VLOOKUP(Q119,[2]character_type_i18n!$A:$H,6,FALSE)</f>
        <v>1</v>
      </c>
      <c r="V119" s="14">
        <f ca="1">VLOOKUP(Q119,[2]character_type_i18n!$A:$H,7,FALSE)</f>
        <v>0.05</v>
      </c>
      <c r="W119" s="77" t="str">
        <f ca="1">VLOOKUP($A119,OFFSET([2]characters!$A$1,0,0,COUNTA([2]characters!$A:$A),MATCH(W$1,[2]characters!$1:$1,0)-MATCH($A$1,[2]characters!$1:$1,0)+1),MATCH(W$1,[2]characters!$1:$1,0)-MATCH($A$1,[2]characters!$1:$1,0)+1,FALSE)</f>
        <v>unknown</v>
      </c>
      <c r="X119" s="8" t="str">
        <f ca="1">VLOOKUP(W119,[2]character_tribe_i18n!$A:$H,3,FALSE)</f>
        <v>Unknown</v>
      </c>
      <c r="Y119" s="77" t="str">
        <f ca="1">VLOOKUP($A119,OFFSET([2]characters!$A$1,0,0,COUNTA([2]characters!$A:$A),MATCH(Y$1,[2]characters!$1:$1,0)-MATCH($A$1,[2]characters!$1:$1,0)+1),MATCH(Y$1,[2]characters!$1:$1,0)-MATCH($A$1,[2]characters!$1:$1,0)+1,FALSE)</f>
        <v>none</v>
      </c>
      <c r="Z119" s="8" t="str">
        <f ca="1">VLOOKUP(Y119,[2]character_tribe_i18n!$A:$H,3,FALSE)</f>
        <v>種族なし</v>
      </c>
      <c r="AA119" s="14">
        <f ca="1">VLOOKUP(W119,[2]character_tribe_i18n!$A:$H,4,FALSE)</f>
        <v>1</v>
      </c>
      <c r="AB119" s="14">
        <f ca="1">VLOOKUP(W119,[2]character_tribe_i18n!$A:$H,5,FALSE)</f>
        <v>1</v>
      </c>
      <c r="AC119" s="14">
        <f ca="1">VLOOKUP(W119,[2]character_tribe_i18n!$A:$H,6,FALSE)</f>
        <v>1</v>
      </c>
      <c r="AD119" s="14">
        <f ca="1">VLOOKUP(W119,[2]character_tribe_i18n!$A:$H,7,FALSE)</f>
        <v>1</v>
      </c>
      <c r="AE119" s="12" t="s">
        <v>102</v>
      </c>
      <c r="AF119" s="85" t="str">
        <f ca="1">IF(AE119="NULL","",VLOOKUP($AE119,OFFSET([2]characters!$A$1,0,0,COUNTA([2]characters!$A:$A),MATCH(AF$1,[2]characters!$1:$1,0)-MATCH($A$1,[2]characters!$1:$1,0)+1),MATCH(AF$1,[2]characters!$1:$1,0)-MATCH($A$1,[2]characters!$1:$1,0)+1,FALSE))</f>
        <v/>
      </c>
      <c r="AG119" s="8">
        <f t="shared" ca="1" si="9"/>
        <v>118</v>
      </c>
      <c r="AH119" s="85" t="str">
        <f ca="1">VLOOKUP($AG119,OFFSET([2]characters!$A$1,0,0,COUNTA([2]characters!$A:$A),MATCH(AH$1,[2]characters!$1:$1,0)-MATCH($A$1,[2]characters!$1:$1,0)+1),MATCH(AH$1,[2]characters!$1:$1,0)-MATCH($A$1,[2]characters!$1:$1,0)+1,FALSE)</f>
        <v>ゴールドチック</v>
      </c>
      <c r="AI119" s="14" t="str">
        <f>IF(AE119="NULL","NULL",VLOOKUP(G119,ビット!$A$2:$B$7,2))</f>
        <v>NULL</v>
      </c>
      <c r="AJ119" s="9">
        <v>2</v>
      </c>
      <c r="AK119" s="10" t="str">
        <f t="shared" si="10"/>
        <v>普通</v>
      </c>
      <c r="AL119" s="14" t="str">
        <f ca="1">INDEX(経験値!$A$1:$I$20,MATCH(H119,経験値!$A$1:$A$20,FALSE),MATCH(G119,経験値!$A$1:$I$1,FALSE))</f>
        <v>NULL</v>
      </c>
      <c r="AM119" s="11">
        <f ca="1">VLOOKUP(G119,経験値!$A$27:$B$31,2)</f>
        <v>3400</v>
      </c>
      <c r="AN119" s="133">
        <v>5000</v>
      </c>
      <c r="AO119" s="64" t="s">
        <v>56</v>
      </c>
      <c r="AP119" s="101">
        <v>990006</v>
      </c>
      <c r="AQ119" s="77" t="e">
        <f ca="1">VLOOKUP($AP119,OFFSET([1]unit_skills!$A$1,0,0,COUNTA([1]unit_skills!$A:$A),MATCH("name",[1]unit_skills!$1:$1,0)-MATCH($AP$1,[1]unit_skills!$1:$1,0)+1),MATCH("name",[1]unit_skills!$1:$1,0)-MATCH($AP$1,[1]unit_skills!$1:$1,0)+1,FALSE)</f>
        <v>#VALUE!</v>
      </c>
      <c r="AR119" s="77" t="e">
        <f ca="1">VLOOKUP($AP119,OFFSET([1]unit_skills!$A$1,0,0,COUNTA([1]unit_skills!$A:$A),MATCH("comment",[1]unit_skills!$1:$1,0)-MATCH($AP$1,[1]unit_skills!$1:$1,0)+1),MATCH("comment",[1]unit_skills!$1:$1,0)-MATCH($AP$1,[1]unit_skills!$1:$1,0)+1,FALSE)</f>
        <v>#VALUE!</v>
      </c>
      <c r="AS119" s="77" t="e">
        <f ca="1">VLOOKUP($AP119,OFFSET([1]unit_skills!$A$1,0,0,COUNTA([1]unit_skills!$A:$A),MATCH(AS$1,[1]unit_skills!$1:$1,0)-MATCH($AP$1,[1]unit_skills!$1:$1,0)+1),MATCH(AS$1,[1]unit_skills!$1:$1,0)-MATCH($AP$1,[1]unit_skills!$1:$1,0)+1,FALSE)</f>
        <v>#VALUE!</v>
      </c>
      <c r="AT119" s="104">
        <v>0</v>
      </c>
      <c r="AU119" s="77" t="e">
        <f ca="1">VLOOKUP($AT119,OFFSET([1]crash_skills!$A$1,0,0,COUNTA([1]crash_skills!$A:$A),MATCH("name",[1]crash_skills!$1:$1,0)-MATCH($AT$1,[1]crash_skills!$1:$1,0)+1),MATCH("name",[1]crash_skills!$1:$1,0)-MATCH($AT$1,[1]crash_skills!$1:$1,0)+1,FALSE)</f>
        <v>#VALUE!</v>
      </c>
      <c r="AV119" s="77" t="e">
        <f ca="1">VLOOKUP($AT119,OFFSET([1]crash_skills!$A$1,0,0,COUNTA([1]crash_skills!$A:$A),MATCH("comment",[1]crash_skills!$1:$1,0)-MATCH($AT$1,[1]crash_skills!$1:$1,0)+1),MATCH("comment",[1]crash_skills!$1:$1,0)-MATCH($AT$1,[1]crash_skills!$1:$1,0)+1,FALSE)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19" s="77" t="e">
        <f ca="1">VLOOKUP($AT119,OFFSET([1]crash_skills!$A$1,0,0,COUNTA([1]crash_skills!$A:$A),MATCH(AW$1,[1]crash_skills!$1:$1,0)-MATCH($AT$1,[1]crash_skills!$1:$1,0)+1),MATCH(AW$1,[1]crash_skills!$1:$1,0)-MATCH($AT$1,[1]crash_skills!$1:$1,0)+1,FALSE)</f>
        <v>#VALUE!</v>
      </c>
      <c r="AX119" s="81">
        <f ca="1">VLOOKUP($A119,OFFSET([2]characters!$A$1,0,0,COUNTA([2]characters!$A:$A),MATCH(AX$1,[2]characters!$1:$1,0)-MATCH($A$1,[2]characters!$1:$1,0)+1),MATCH(AX$1,[2]characters!$1:$1,0)-MATCH($A$1,[2]characters!$1:$1,0)+1,FALSE)</f>
        <v>3</v>
      </c>
      <c r="AY119" s="19">
        <v>1</v>
      </c>
      <c r="AZ119" s="19">
        <v>1</v>
      </c>
      <c r="BA119" s="19">
        <v>0</v>
      </c>
      <c r="BB119" s="19">
        <v>1</v>
      </c>
      <c r="BC119" s="14">
        <f ca="1">INDEX('RC6SV'!$A$1:$G$20,MATCH(H119,'RC6SV'!$A$1:$A$20,FALSE),MATCH(G119,'RC6SV'!$A$1:$G$1,FALSE))</f>
        <v>1000</v>
      </c>
      <c r="BD119" s="63">
        <f t="shared" ca="1" si="11"/>
        <v>1000</v>
      </c>
      <c r="BE119" s="14">
        <f t="shared" ca="1" si="12"/>
        <v>0</v>
      </c>
      <c r="BF119" s="14">
        <f t="shared" ca="1" si="13"/>
        <v>1</v>
      </c>
      <c r="BG119" s="20">
        <f ca="1">IF($BE119&lt;=0,ROUND(BK119*0.5,0), ROUND($BE119*S119*AA119*J119*AY119*0.8*[2]ステータス!$B$2,0))</f>
        <v>25</v>
      </c>
      <c r="BH119" s="20">
        <f ca="1">IF($BE119&lt;=0,ROUND(BL119*0.5,0), ROUND($BE119*T119*AB119*K119*AZ119*0.8*[2]ステータス!$C$2,0))</f>
        <v>8</v>
      </c>
      <c r="BI119" s="20">
        <f ca="1">IF($BE119&lt;=0,ROUND(BM119*0.5,0), ROUND($BE119*U119*AC119*L119*BA119*0.8*[2]ステータス!$D$2,0))</f>
        <v>0</v>
      </c>
      <c r="BJ119" s="20">
        <f ca="1">IF($BE119&lt;=0,ROUND(BN119*0.5,0), ROUND($BE119*V119*AD119*M119*BB119*0.8*[2]ステータス!$E$2,0))</f>
        <v>7</v>
      </c>
      <c r="BK119" s="14">
        <f ca="1">ROUND(BD119*S119*AA119*J119*AY119*[2]ステータス!$B$2,0)</f>
        <v>49</v>
      </c>
      <c r="BL119" s="14">
        <f ca="1">ROUND(BD119*T119*AB119*K119*AZ119*[2]ステータス!$C$2,0)</f>
        <v>15</v>
      </c>
      <c r="BM119" s="14">
        <f ca="1">ROUND(BD119*U119*AC119*L119*BA119*[2]ステータス!$D$2,0)</f>
        <v>0</v>
      </c>
      <c r="BN119" s="14">
        <f ca="1">ROUND(BD119*V119*AD119*M119*BB119*[2]ステータス!$E$2,0)</f>
        <v>13</v>
      </c>
      <c r="BO119" s="13">
        <v>0</v>
      </c>
      <c r="BP119" s="13">
        <v>1</v>
      </c>
      <c r="BQ119" s="13" t="s">
        <v>102</v>
      </c>
      <c r="BR119" s="13">
        <f ca="1">VLOOKUP(H119,ghosts_label!$A$2:$B$19,2,FALSE)</f>
        <v>0</v>
      </c>
    </row>
    <row r="120" spans="1:70" ht="21" customHeight="1" x14ac:dyDescent="0.15">
      <c r="A120" s="14">
        <f t="shared" ca="1" si="8"/>
        <v>119</v>
      </c>
      <c r="B120" s="77" t="str">
        <f ca="1">VLOOKUP($A120,OFFSET([2]characters!$A$1,0,0,COUNTA([2]characters!$A:$A),MATCH(B$1,[2]characters!$1:$1,0)-MATCH($A$1,[2]characters!$1:$1,0)+1),MATCH(B$1,[2]characters!$1:$1,0)-MATCH($A$1,[2]characters!$1:$1,0)+1,FALSE)</f>
        <v>ゴールドダック</v>
      </c>
      <c r="C120" s="77" t="str">
        <f ca="1">VLOOKUP($A120,OFFSET([2]characters!$A$1,0,0,COUNTA([2]characters!$A:$A),MATCH(C$1,[2]characters!$1:$1,0)-MATCH($A$1,[2]characters!$1:$1,0)+1),MATCH(C$1,[2]characters!$1:$1,0)-MATCH($A$1,[2]characters!$1:$1,0)+1,FALSE)</f>
        <v>売却素材R5</v>
      </c>
      <c r="D120" s="77" t="str">
        <f ca="1">VLOOKUP($A120,OFFSET([2]characters!$A$1,0,0,COUNTA([2]characters!$A:$A),MATCH(D$1,[2]characters!$1:$1,0)-MATCH($A$1,[2]characters!$1:$1,0)+1),MATCH(D$1,[2]characters!$1:$1,0)-MATCH($A$1,[2]characters!$1:$1,0)+1,FALSE)</f>
        <v>アリス</v>
      </c>
      <c r="E120" s="77" t="str">
        <f ca="1">VLOOKUP($A120,OFFSET([2]characters!$A$1,0,0,COUNTA([2]characters!$A:$A),MATCH(E$1,[2]characters!$1:$1,0)-MATCH($A$1,[2]characters!$1:$1,0)+1),MATCH(E$1,[2]characters!$1:$1,0)-MATCH($A$1,[2]characters!$1:$1,0)+1,FALSE)</f>
        <v>世界観</v>
      </c>
      <c r="F120" s="77" t="str">
        <f ca="1">VLOOKUP($A120,OFFSET([2]characters!$A$1,0,0,COUNTA([2]characters!$A:$A),MATCH(F$1,[2]characters!$1:$1,0)-MATCH($A$1,[2]characters!$1:$1,0)+1),MATCH(F$1,[2]characters!$1:$1,0)-MATCH($A$1,[2]characters!$1:$1,0)+1,FALSE)</f>
        <v>不明</v>
      </c>
      <c r="G120" s="77">
        <f ca="1">VLOOKUP($A120,OFFSET([2]characters!$A$1,0,0,COUNTA([2]characters!$A:$A),MATCH(G$1,[2]characters!$1:$1,0)-MATCH($A$1,[2]characters!$1:$1,0)+1),MATCH(G$1,[2]characters!$1:$1,0)-MATCH($A$1,[2]characters!$1:$1,0)+1,FALSE)</f>
        <v>5</v>
      </c>
      <c r="H120" s="77" t="str">
        <f ca="1">VLOOKUP($A120,OFFSET([2]characters!$A$1,0,0,COUNTA([2]characters!$A:$A),MATCH(H$1,[2]characters!$1:$1,0)-MATCH($A$1,[2]characters!$1:$1,0)+1),MATCH(H$1,[2]characters!$1:$1,0)-MATCH($A$1,[2]characters!$1:$1,0)+1,FALSE)</f>
        <v>Material</v>
      </c>
      <c r="I120" s="77" t="str">
        <f ca="1">VLOOKUP($A120,OFFSET([2]characters!$A$1,0,0,COUNTA([2]characters!$A:$A),MATCH(I$1,[2]characters!$1:$1,0)-MATCH($A$1,[2]characters!$1:$1,0)+1),MATCH(I$1,[2]characters!$1:$1,0)-MATCH($A$1,[2]characters!$1:$1,0)+1,FALSE)</f>
        <v>yellow</v>
      </c>
      <c r="J120" s="14">
        <f ca="1">VLOOKUP(I120,[2]属性!$A:$E,2,FALSE)</f>
        <v>0.98</v>
      </c>
      <c r="K120" s="14">
        <f ca="1">VLOOKUP(I120,[2]属性!$A:$E,3,FALSE)</f>
        <v>1.01</v>
      </c>
      <c r="L120" s="14">
        <f ca="1">VLOOKUP(I120,[2]属性!$A:$E,4,FALSE)</f>
        <v>1</v>
      </c>
      <c r="M120" s="14">
        <f ca="1">VLOOKUP(I120,[2]属性!$A:$E,5,FALSE)</f>
        <v>1.01</v>
      </c>
      <c r="N120" s="14">
        <f ca="1">INDEX(コスト!$A$1:$I$20,MATCH(H120,コスト!$A$1:$A$20,FALSE),MATCH(G120,コスト!$A$1:$I$1,FALSE))</f>
        <v>99</v>
      </c>
      <c r="O120" s="14">
        <f ca="1">INDEX(レベル!$A$1:$I$21,MATCH(H120,レベル!$A$1:$A$21,FALSE),MATCH(G120,レベル!$A$1:$I$1,FALSE))</f>
        <v>1</v>
      </c>
      <c r="P120" s="203">
        <v>1</v>
      </c>
      <c r="Q120" s="77" t="str">
        <f ca="1">VLOOKUP($A120,OFFSET([2]characters!$A$1,0,0,COUNTA([2]characters!$A:$A),MATCH(Q$1,[2]characters!$1:$1,0)-MATCH($A$1,[2]characters!$1:$1,0)+1),MATCH(Q$1,[2]characters!$1:$1,0)-MATCH($A$1,[2]characters!$1:$1,0)+1,FALSE)</f>
        <v>coin</v>
      </c>
      <c r="R120" s="8" t="str">
        <f ca="1">VLOOKUP(Q120,[2]character_type_i18n!$A:$H,3,FALSE)</f>
        <v>コインタイプ</v>
      </c>
      <c r="S120" s="14">
        <f ca="1">VLOOKUP(Q120,[2]character_type_i18n!$A:$H,4,FALSE)</f>
        <v>0.1</v>
      </c>
      <c r="T120" s="14">
        <f ca="1">VLOOKUP(Q120,[2]character_type_i18n!$A:$H,5,FALSE)</f>
        <v>0.05</v>
      </c>
      <c r="U120" s="14">
        <f ca="1">VLOOKUP(Q120,[2]character_type_i18n!$A:$H,6,FALSE)</f>
        <v>1</v>
      </c>
      <c r="V120" s="14">
        <f ca="1">VLOOKUP(Q120,[2]character_type_i18n!$A:$H,7,FALSE)</f>
        <v>0.05</v>
      </c>
      <c r="W120" s="77" t="str">
        <f ca="1">VLOOKUP($A120,OFFSET([2]characters!$A$1,0,0,COUNTA([2]characters!$A:$A),MATCH(W$1,[2]characters!$1:$1,0)-MATCH($A$1,[2]characters!$1:$1,0)+1),MATCH(W$1,[2]characters!$1:$1,0)-MATCH($A$1,[2]characters!$1:$1,0)+1,FALSE)</f>
        <v>unknown</v>
      </c>
      <c r="X120" s="8" t="str">
        <f ca="1">VLOOKUP(W120,[2]character_tribe_i18n!$A:$H,3,FALSE)</f>
        <v>Unknown</v>
      </c>
      <c r="Y120" s="77" t="str">
        <f ca="1">VLOOKUP($A120,OFFSET([2]characters!$A$1,0,0,COUNTA([2]characters!$A:$A),MATCH(Y$1,[2]characters!$1:$1,0)-MATCH($A$1,[2]characters!$1:$1,0)+1),MATCH(Y$1,[2]characters!$1:$1,0)-MATCH($A$1,[2]characters!$1:$1,0)+1,FALSE)</f>
        <v>none</v>
      </c>
      <c r="Z120" s="8" t="str">
        <f ca="1">VLOOKUP(Y120,[2]character_tribe_i18n!$A:$H,3,FALSE)</f>
        <v>種族なし</v>
      </c>
      <c r="AA120" s="14">
        <f ca="1">VLOOKUP(W120,[2]character_tribe_i18n!$A:$H,4,FALSE)</f>
        <v>1</v>
      </c>
      <c r="AB120" s="14">
        <f ca="1">VLOOKUP(W120,[2]character_tribe_i18n!$A:$H,5,FALSE)</f>
        <v>1</v>
      </c>
      <c r="AC120" s="14">
        <f ca="1">VLOOKUP(W120,[2]character_tribe_i18n!$A:$H,6,FALSE)</f>
        <v>1</v>
      </c>
      <c r="AD120" s="14">
        <f ca="1">VLOOKUP(W120,[2]character_tribe_i18n!$A:$H,7,FALSE)</f>
        <v>1</v>
      </c>
      <c r="AE120" s="12" t="s">
        <v>102</v>
      </c>
      <c r="AF120" s="85" t="str">
        <f ca="1">IF(AE120="NULL","",VLOOKUP($AE120,OFFSET([2]characters!$A$1,0,0,COUNTA([2]characters!$A:$A),MATCH(AF$1,[2]characters!$1:$1,0)-MATCH($A$1,[2]characters!$1:$1,0)+1),MATCH(AF$1,[2]characters!$1:$1,0)-MATCH($A$1,[2]characters!$1:$1,0)+1,FALSE))</f>
        <v/>
      </c>
      <c r="AG120" s="8">
        <f t="shared" ca="1" si="9"/>
        <v>119</v>
      </c>
      <c r="AH120" s="85" t="str">
        <f ca="1">VLOOKUP($AG120,OFFSET([2]characters!$A$1,0,0,COUNTA([2]characters!$A:$A),MATCH(AH$1,[2]characters!$1:$1,0)-MATCH($A$1,[2]characters!$1:$1,0)+1),MATCH(AH$1,[2]characters!$1:$1,0)-MATCH($A$1,[2]characters!$1:$1,0)+1,FALSE)</f>
        <v>ゴールドダック</v>
      </c>
      <c r="AI120" s="14" t="str">
        <f>IF(AE120="NULL","NULL",VLOOKUP(G120,ビット!$A$2:$B$7,2))</f>
        <v>NULL</v>
      </c>
      <c r="AJ120" s="9">
        <v>2</v>
      </c>
      <c r="AK120" s="10" t="str">
        <f t="shared" si="10"/>
        <v>普通</v>
      </c>
      <c r="AL120" s="14" t="str">
        <f ca="1">INDEX(経験値!$A$1:$I$20,MATCH(H120,経験値!$A$1:$A$20,FALSE),MATCH(G120,経験値!$A$1:$I$1,FALSE))</f>
        <v>NULL</v>
      </c>
      <c r="AM120" s="11">
        <f ca="1">VLOOKUP(G120,経験値!$A$27:$B$31,2)</f>
        <v>6400</v>
      </c>
      <c r="AN120" s="133">
        <v>20000</v>
      </c>
      <c r="AO120" s="64" t="s">
        <v>56</v>
      </c>
      <c r="AP120" s="101">
        <v>990007</v>
      </c>
      <c r="AQ120" s="77" t="e">
        <f ca="1">VLOOKUP($AP120,OFFSET([1]unit_skills!$A$1,0,0,COUNTA([1]unit_skills!$A:$A),MATCH("name",[1]unit_skills!$1:$1,0)-MATCH($AP$1,[1]unit_skills!$1:$1,0)+1),MATCH("name",[1]unit_skills!$1:$1,0)-MATCH($AP$1,[1]unit_skills!$1:$1,0)+1,FALSE)</f>
        <v>#VALUE!</v>
      </c>
      <c r="AR120" s="77" t="e">
        <f ca="1">VLOOKUP($AP120,OFFSET([1]unit_skills!$A$1,0,0,COUNTA([1]unit_skills!$A:$A),MATCH("comment",[1]unit_skills!$1:$1,0)-MATCH($AP$1,[1]unit_skills!$1:$1,0)+1),MATCH("comment",[1]unit_skills!$1:$1,0)-MATCH($AP$1,[1]unit_skills!$1:$1,0)+1,FALSE)</f>
        <v>#VALUE!</v>
      </c>
      <c r="AS120" s="77" t="e">
        <f ca="1">VLOOKUP($AP120,OFFSET([1]unit_skills!$A$1,0,0,COUNTA([1]unit_skills!$A:$A),MATCH(AS$1,[1]unit_skills!$1:$1,0)-MATCH($AP$1,[1]unit_skills!$1:$1,0)+1),MATCH(AS$1,[1]unit_skills!$1:$1,0)-MATCH($AP$1,[1]unit_skills!$1:$1,0)+1,FALSE)</f>
        <v>#VALUE!</v>
      </c>
      <c r="AT120" s="104">
        <v>0</v>
      </c>
      <c r="AU120" s="77" t="e">
        <f ca="1">VLOOKUP($AT120,OFFSET([1]crash_skills!$A$1,0,0,COUNTA([1]crash_skills!$A:$A),MATCH("name",[1]crash_skills!$1:$1,0)-MATCH($AT$1,[1]crash_skills!$1:$1,0)+1),MATCH("name",[1]crash_skills!$1:$1,0)-MATCH($AT$1,[1]crash_skills!$1:$1,0)+1,FALSE)</f>
        <v>#VALUE!</v>
      </c>
      <c r="AV120" s="77" t="e">
        <f ca="1">VLOOKUP($AT120,OFFSET([1]crash_skills!$A$1,0,0,COUNTA([1]crash_skills!$A:$A),MATCH("comment",[1]crash_skills!$1:$1,0)-MATCH($AT$1,[1]crash_skills!$1:$1,0)+1),MATCH("comment",[1]crash_skills!$1:$1,0)-MATCH($AT$1,[1]crash_skills!$1:$1,0)+1,FALSE)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20" s="77" t="e">
        <f ca="1">VLOOKUP($AT120,OFFSET([1]crash_skills!$A$1,0,0,COUNTA([1]crash_skills!$A:$A),MATCH(AW$1,[1]crash_skills!$1:$1,0)-MATCH($AT$1,[1]crash_skills!$1:$1,0)+1),MATCH(AW$1,[1]crash_skills!$1:$1,0)-MATCH($AT$1,[1]crash_skills!$1:$1,0)+1,FALSE)</f>
        <v>#VALUE!</v>
      </c>
      <c r="AX120" s="81">
        <f ca="1">VLOOKUP($A120,OFFSET([2]characters!$A$1,0,0,COUNTA([2]characters!$A:$A),MATCH(AX$1,[2]characters!$1:$1,0)-MATCH($A$1,[2]characters!$1:$1,0)+1),MATCH(AX$1,[2]characters!$1:$1,0)-MATCH($A$1,[2]characters!$1:$1,0)+1,FALSE)</f>
        <v>3</v>
      </c>
      <c r="AY120" s="19">
        <v>1</v>
      </c>
      <c r="AZ120" s="19">
        <v>1</v>
      </c>
      <c r="BA120" s="19">
        <v>0</v>
      </c>
      <c r="BB120" s="19">
        <v>1</v>
      </c>
      <c r="BC120" s="14">
        <f ca="1">INDEX('RC6SV'!$A$1:$G$20,MATCH(H120,'RC6SV'!$A$1:$A$20,FALSE),MATCH(G120,'RC6SV'!$A$1:$G$1,FALSE))</f>
        <v>1000</v>
      </c>
      <c r="BD120" s="63">
        <f t="shared" ca="1" si="11"/>
        <v>1000</v>
      </c>
      <c r="BE120" s="14">
        <f t="shared" ca="1" si="12"/>
        <v>0</v>
      </c>
      <c r="BF120" s="14">
        <f t="shared" ca="1" si="13"/>
        <v>1</v>
      </c>
      <c r="BG120" s="20">
        <f ca="1">IF($BE120&lt;=0,ROUND(BK120*0.5,0), ROUND($BE120*S120*AA120*J120*AY120*0.8*[2]ステータス!$B$2,0))</f>
        <v>25</v>
      </c>
      <c r="BH120" s="20">
        <f ca="1">IF($BE120&lt;=0,ROUND(BL120*0.5,0), ROUND($BE120*T120*AB120*K120*AZ120*0.8*[2]ステータス!$C$2,0))</f>
        <v>8</v>
      </c>
      <c r="BI120" s="20">
        <f ca="1">IF($BE120&lt;=0,ROUND(BM120*0.5,0), ROUND($BE120*U120*AC120*L120*BA120*0.8*[2]ステータス!$D$2,0))</f>
        <v>0</v>
      </c>
      <c r="BJ120" s="20">
        <f ca="1">IF($BE120&lt;=0,ROUND(BN120*0.5,0), ROUND($BE120*V120*AD120*M120*BB120*0.8*[2]ステータス!$E$2,0))</f>
        <v>7</v>
      </c>
      <c r="BK120" s="14">
        <f ca="1">ROUND(BD120*S120*AA120*J120*AY120*[2]ステータス!$B$2,0)</f>
        <v>49</v>
      </c>
      <c r="BL120" s="14">
        <f ca="1">ROUND(BD120*T120*AB120*K120*AZ120*[2]ステータス!$C$2,0)</f>
        <v>15</v>
      </c>
      <c r="BM120" s="14">
        <f ca="1">ROUND(BD120*U120*AC120*L120*BA120*[2]ステータス!$D$2,0)</f>
        <v>0</v>
      </c>
      <c r="BN120" s="14">
        <f ca="1">ROUND(BD120*V120*AD120*M120*BB120*[2]ステータス!$E$2,0)</f>
        <v>13</v>
      </c>
      <c r="BO120" s="13">
        <v>0</v>
      </c>
      <c r="BP120" s="13">
        <v>1</v>
      </c>
      <c r="BQ120" s="13" t="s">
        <v>102</v>
      </c>
      <c r="BR120" s="13">
        <f ca="1">VLOOKUP(H120,ghosts_label!$A$2:$B$19,2,FALSE)</f>
        <v>0</v>
      </c>
    </row>
    <row r="121" spans="1:70" ht="21" customHeight="1" x14ac:dyDescent="0.15">
      <c r="A121" s="14">
        <f t="shared" ca="1" si="8"/>
        <v>120</v>
      </c>
      <c r="B121" s="77" t="str">
        <f ca="1">VLOOKUP($A121,OFFSET([2]characters!$A$1,0,0,COUNTA([2]characters!$A:$A),MATCH(B$1,[2]characters!$1:$1,0)-MATCH($A$1,[2]characters!$1:$1,0)+1),MATCH(B$1,[2]characters!$1:$1,0)-MATCH($A$1,[2]characters!$1:$1,0)+1,FALSE)</f>
        <v>ゴールドキング</v>
      </c>
      <c r="C121" s="77" t="str">
        <f ca="1">VLOOKUP($A121,OFFSET([2]characters!$A$1,0,0,COUNTA([2]characters!$A:$A),MATCH(C$1,[2]characters!$1:$1,0)-MATCH($A$1,[2]characters!$1:$1,0)+1),MATCH(C$1,[2]characters!$1:$1,0)-MATCH($A$1,[2]characters!$1:$1,0)+1,FALSE)</f>
        <v>売却素材R6</v>
      </c>
      <c r="D121" s="77" t="str">
        <f ca="1">VLOOKUP($A121,OFFSET([2]characters!$A$1,0,0,COUNTA([2]characters!$A:$A),MATCH(D$1,[2]characters!$1:$1,0)-MATCH($A$1,[2]characters!$1:$1,0)+1),MATCH(D$1,[2]characters!$1:$1,0)-MATCH($A$1,[2]characters!$1:$1,0)+1,FALSE)</f>
        <v>アリス</v>
      </c>
      <c r="E121" s="77" t="str">
        <f ca="1">VLOOKUP($A121,OFFSET([2]characters!$A$1,0,0,COUNTA([2]characters!$A:$A),MATCH(E$1,[2]characters!$1:$1,0)-MATCH($A$1,[2]characters!$1:$1,0)+1),MATCH(E$1,[2]characters!$1:$1,0)-MATCH($A$1,[2]characters!$1:$1,0)+1,FALSE)</f>
        <v>世界観</v>
      </c>
      <c r="F121" s="77" t="str">
        <f ca="1">VLOOKUP($A121,OFFSET([2]characters!$A$1,0,0,COUNTA([2]characters!$A:$A),MATCH(F$1,[2]characters!$1:$1,0)-MATCH($A$1,[2]characters!$1:$1,0)+1),MATCH(F$1,[2]characters!$1:$1,0)-MATCH($A$1,[2]characters!$1:$1,0)+1,FALSE)</f>
        <v>不明</v>
      </c>
      <c r="G121" s="77">
        <f ca="1">VLOOKUP($A121,OFFSET([2]characters!$A$1,0,0,COUNTA([2]characters!$A:$A),MATCH(G$1,[2]characters!$1:$1,0)-MATCH($A$1,[2]characters!$1:$1,0)+1),MATCH(G$1,[2]characters!$1:$1,0)-MATCH($A$1,[2]characters!$1:$1,0)+1,FALSE)</f>
        <v>6</v>
      </c>
      <c r="H121" s="77" t="str">
        <f ca="1">VLOOKUP($A121,OFFSET([2]characters!$A$1,0,0,COUNTA([2]characters!$A:$A),MATCH(H$1,[2]characters!$1:$1,0)-MATCH($A$1,[2]characters!$1:$1,0)+1),MATCH(H$1,[2]characters!$1:$1,0)-MATCH($A$1,[2]characters!$1:$1,0)+1,FALSE)</f>
        <v>Material</v>
      </c>
      <c r="I121" s="77" t="str">
        <f ca="1">VLOOKUP($A121,OFFSET([2]characters!$A$1,0,0,COUNTA([2]characters!$A:$A),MATCH(I$1,[2]characters!$1:$1,0)-MATCH($A$1,[2]characters!$1:$1,0)+1),MATCH(I$1,[2]characters!$1:$1,0)-MATCH($A$1,[2]characters!$1:$1,0)+1,FALSE)</f>
        <v>yellow</v>
      </c>
      <c r="J121" s="14">
        <f ca="1">VLOOKUP(I121,[2]属性!$A:$E,2,FALSE)</f>
        <v>0.98</v>
      </c>
      <c r="K121" s="14">
        <f ca="1">VLOOKUP(I121,[2]属性!$A:$E,3,FALSE)</f>
        <v>1.01</v>
      </c>
      <c r="L121" s="14">
        <f ca="1">VLOOKUP(I121,[2]属性!$A:$E,4,FALSE)</f>
        <v>1</v>
      </c>
      <c r="M121" s="14">
        <f ca="1">VLOOKUP(I121,[2]属性!$A:$E,5,FALSE)</f>
        <v>1.01</v>
      </c>
      <c r="N121" s="14">
        <f ca="1">INDEX(コスト!$A$1:$I$20,MATCH(H121,コスト!$A$1:$A$20,FALSE),MATCH(G121,コスト!$A$1:$I$1,FALSE))</f>
        <v>99</v>
      </c>
      <c r="O121" s="14">
        <f ca="1">INDEX(レベル!$A$1:$I$21,MATCH(H121,レベル!$A$1:$A$21,FALSE),MATCH(G121,レベル!$A$1:$I$1,FALSE))</f>
        <v>1</v>
      </c>
      <c r="P121" s="203">
        <v>1</v>
      </c>
      <c r="Q121" s="77" t="str">
        <f ca="1">VLOOKUP($A121,OFFSET([2]characters!$A$1,0,0,COUNTA([2]characters!$A:$A),MATCH(Q$1,[2]characters!$1:$1,0)-MATCH($A$1,[2]characters!$1:$1,0)+1),MATCH(Q$1,[2]characters!$1:$1,0)-MATCH($A$1,[2]characters!$1:$1,0)+1,FALSE)</f>
        <v>coin</v>
      </c>
      <c r="R121" s="8" t="str">
        <f ca="1">VLOOKUP(Q121,[2]character_type_i18n!$A:$H,3,FALSE)</f>
        <v>コインタイプ</v>
      </c>
      <c r="S121" s="14">
        <f ca="1">VLOOKUP(Q121,[2]character_type_i18n!$A:$H,4,FALSE)</f>
        <v>0.1</v>
      </c>
      <c r="T121" s="14">
        <f ca="1">VLOOKUP(Q121,[2]character_type_i18n!$A:$H,5,FALSE)</f>
        <v>0.05</v>
      </c>
      <c r="U121" s="14">
        <f ca="1">VLOOKUP(Q121,[2]character_type_i18n!$A:$H,6,FALSE)</f>
        <v>1</v>
      </c>
      <c r="V121" s="14">
        <f ca="1">VLOOKUP(Q121,[2]character_type_i18n!$A:$H,7,FALSE)</f>
        <v>0.05</v>
      </c>
      <c r="W121" s="77" t="str">
        <f ca="1">VLOOKUP($A121,OFFSET([2]characters!$A$1,0,0,COUNTA([2]characters!$A:$A),MATCH(W$1,[2]characters!$1:$1,0)-MATCH($A$1,[2]characters!$1:$1,0)+1),MATCH(W$1,[2]characters!$1:$1,0)-MATCH($A$1,[2]characters!$1:$1,0)+1,FALSE)</f>
        <v>unknown</v>
      </c>
      <c r="X121" s="8" t="str">
        <f ca="1">VLOOKUP(W121,[2]character_tribe_i18n!$A:$H,3,FALSE)</f>
        <v>Unknown</v>
      </c>
      <c r="Y121" s="77" t="str">
        <f ca="1">VLOOKUP($A121,OFFSET([2]characters!$A$1,0,0,COUNTA([2]characters!$A:$A),MATCH(Y$1,[2]characters!$1:$1,0)-MATCH($A$1,[2]characters!$1:$1,0)+1),MATCH(Y$1,[2]characters!$1:$1,0)-MATCH($A$1,[2]characters!$1:$1,0)+1,FALSE)</f>
        <v>none</v>
      </c>
      <c r="Z121" s="8" t="str">
        <f ca="1">VLOOKUP(Y121,[2]character_tribe_i18n!$A:$H,3,FALSE)</f>
        <v>種族なし</v>
      </c>
      <c r="AA121" s="14">
        <f ca="1">VLOOKUP(W121,[2]character_tribe_i18n!$A:$H,4,FALSE)</f>
        <v>1</v>
      </c>
      <c r="AB121" s="14">
        <f ca="1">VLOOKUP(W121,[2]character_tribe_i18n!$A:$H,5,FALSE)</f>
        <v>1</v>
      </c>
      <c r="AC121" s="14">
        <f ca="1">VLOOKUP(W121,[2]character_tribe_i18n!$A:$H,6,FALSE)</f>
        <v>1</v>
      </c>
      <c r="AD121" s="14">
        <f ca="1">VLOOKUP(W121,[2]character_tribe_i18n!$A:$H,7,FALSE)</f>
        <v>1</v>
      </c>
      <c r="AE121" s="12" t="s">
        <v>102</v>
      </c>
      <c r="AF121" s="85" t="str">
        <f ca="1">IF(AE121="NULL","",VLOOKUP($AE121,OFFSET([2]characters!$A$1,0,0,COUNTA([2]characters!$A:$A),MATCH(AF$1,[2]characters!$1:$1,0)-MATCH($A$1,[2]characters!$1:$1,0)+1),MATCH(AF$1,[2]characters!$1:$1,0)-MATCH($A$1,[2]characters!$1:$1,0)+1,FALSE))</f>
        <v/>
      </c>
      <c r="AG121" s="8">
        <f t="shared" ca="1" si="9"/>
        <v>120</v>
      </c>
      <c r="AH121" s="85" t="str">
        <f ca="1">VLOOKUP($AG121,OFFSET([2]characters!$A$1,0,0,COUNTA([2]characters!$A:$A),MATCH(AH$1,[2]characters!$1:$1,0)-MATCH($A$1,[2]characters!$1:$1,0)+1),MATCH(AH$1,[2]characters!$1:$1,0)-MATCH($A$1,[2]characters!$1:$1,0)+1,FALSE)</f>
        <v>ゴールドキング</v>
      </c>
      <c r="AI121" s="14" t="str">
        <f>IF(AE121="NULL","NULL",VLOOKUP(G121,ビット!$A$2:$B$7,2))</f>
        <v>NULL</v>
      </c>
      <c r="AJ121" s="9">
        <v>2</v>
      </c>
      <c r="AK121" s="10" t="str">
        <f t="shared" si="10"/>
        <v>普通</v>
      </c>
      <c r="AL121" s="14" t="str">
        <f ca="1">INDEX(経験値!$A$1:$I$20,MATCH(H121,経験値!$A$1:$A$20,FALSE),MATCH(G121,経験値!$A$1:$I$1,FALSE))</f>
        <v>NULL</v>
      </c>
      <c r="AM121" s="11">
        <f ca="1">VLOOKUP(G121,経験値!$A$27:$B$31,2)</f>
        <v>6400</v>
      </c>
      <c r="AN121" s="133">
        <v>65000</v>
      </c>
      <c r="AO121" s="64" t="s">
        <v>56</v>
      </c>
      <c r="AP121" s="101">
        <v>990008</v>
      </c>
      <c r="AQ121" s="77" t="e">
        <f ca="1">VLOOKUP($AP121,OFFSET([1]unit_skills!$A$1,0,0,COUNTA([1]unit_skills!$A:$A),MATCH("name",[1]unit_skills!$1:$1,0)-MATCH($AP$1,[1]unit_skills!$1:$1,0)+1),MATCH("name",[1]unit_skills!$1:$1,0)-MATCH($AP$1,[1]unit_skills!$1:$1,0)+1,FALSE)</f>
        <v>#VALUE!</v>
      </c>
      <c r="AR121" s="77" t="e">
        <f ca="1">VLOOKUP($AP121,OFFSET([1]unit_skills!$A$1,0,0,COUNTA([1]unit_skills!$A:$A),MATCH("comment",[1]unit_skills!$1:$1,0)-MATCH($AP$1,[1]unit_skills!$1:$1,0)+1),MATCH("comment",[1]unit_skills!$1:$1,0)-MATCH($AP$1,[1]unit_skills!$1:$1,0)+1,FALSE)</f>
        <v>#VALUE!</v>
      </c>
      <c r="AS121" s="77" t="e">
        <f ca="1">VLOOKUP($AP121,OFFSET([1]unit_skills!$A$1,0,0,COUNTA([1]unit_skills!$A:$A),MATCH(AS$1,[1]unit_skills!$1:$1,0)-MATCH($AP$1,[1]unit_skills!$1:$1,0)+1),MATCH(AS$1,[1]unit_skills!$1:$1,0)-MATCH($AP$1,[1]unit_skills!$1:$1,0)+1,FALSE)</f>
        <v>#VALUE!</v>
      </c>
      <c r="AT121" s="104">
        <v>0</v>
      </c>
      <c r="AU121" s="77" t="e">
        <f ca="1">VLOOKUP($AT121,OFFSET([1]crash_skills!$A$1,0,0,COUNTA([1]crash_skills!$A:$A),MATCH("name",[1]crash_skills!$1:$1,0)-MATCH($AT$1,[1]crash_skills!$1:$1,0)+1),MATCH("name",[1]crash_skills!$1:$1,0)-MATCH($AT$1,[1]crash_skills!$1:$1,0)+1,FALSE)</f>
        <v>#VALUE!</v>
      </c>
      <c r="AV121" s="77" t="e">
        <f ca="1">VLOOKUP($AT121,OFFSET([1]crash_skills!$A$1,0,0,COUNTA([1]crash_skills!$A:$A),MATCH("comment",[1]crash_skills!$1:$1,0)-MATCH($AT$1,[1]crash_skills!$1:$1,0)+1),MATCH("comment",[1]crash_skills!$1:$1,0)-MATCH($AT$1,[1]crash_skills!$1:$1,0)+1,FALSE)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21" s="77" t="e">
        <f ca="1">VLOOKUP($AT121,OFFSET([1]crash_skills!$A$1,0,0,COUNTA([1]crash_skills!$A:$A),MATCH(AW$1,[1]crash_skills!$1:$1,0)-MATCH($AT$1,[1]crash_skills!$1:$1,0)+1),MATCH(AW$1,[1]crash_skills!$1:$1,0)-MATCH($AT$1,[1]crash_skills!$1:$1,0)+1,FALSE)</f>
        <v>#VALUE!</v>
      </c>
      <c r="AX121" s="81">
        <f ca="1">VLOOKUP($A121,OFFSET([2]characters!$A$1,0,0,COUNTA([2]characters!$A:$A),MATCH(AX$1,[2]characters!$1:$1,0)-MATCH($A$1,[2]characters!$1:$1,0)+1),MATCH(AX$1,[2]characters!$1:$1,0)-MATCH($A$1,[2]characters!$1:$1,0)+1,FALSE)</f>
        <v>3</v>
      </c>
      <c r="AY121" s="19">
        <v>1</v>
      </c>
      <c r="AZ121" s="19">
        <v>1</v>
      </c>
      <c r="BA121" s="19">
        <v>0</v>
      </c>
      <c r="BB121" s="19">
        <v>1</v>
      </c>
      <c r="BC121" s="14">
        <f ca="1">INDEX('RC6SV'!$A$1:$G$20,MATCH(H121,'RC6SV'!$A$1:$A$20,FALSE),MATCH(G121,'RC6SV'!$A$1:$G$1,FALSE))</f>
        <v>1000</v>
      </c>
      <c r="BD121" s="63">
        <f t="shared" ca="1" si="11"/>
        <v>1000</v>
      </c>
      <c r="BE121" s="14">
        <f t="shared" ca="1" si="12"/>
        <v>0</v>
      </c>
      <c r="BF121" s="14">
        <f t="shared" ca="1" si="13"/>
        <v>1</v>
      </c>
      <c r="BG121" s="20">
        <f ca="1">IF($BE121&lt;=0,ROUND(BK121*0.5,0), ROUND($BE121*S121*AA121*J121*AY121*0.8*[2]ステータス!$B$2,0))</f>
        <v>25</v>
      </c>
      <c r="BH121" s="20">
        <f ca="1">IF($BE121&lt;=0,ROUND(BL121*0.5,0), ROUND($BE121*T121*AB121*K121*AZ121*0.8*[2]ステータス!$C$2,0))</f>
        <v>8</v>
      </c>
      <c r="BI121" s="20">
        <f ca="1">IF($BE121&lt;=0,ROUND(BM121*0.5,0), ROUND($BE121*U121*AC121*L121*BA121*0.8*[2]ステータス!$D$2,0))</f>
        <v>0</v>
      </c>
      <c r="BJ121" s="20">
        <f ca="1">IF($BE121&lt;=0,ROUND(BN121*0.5,0), ROUND($BE121*V121*AD121*M121*BB121*0.8*[2]ステータス!$E$2,0))</f>
        <v>7</v>
      </c>
      <c r="BK121" s="14">
        <f ca="1">ROUND(BD121*S121*AA121*J121*AY121*[2]ステータス!$B$2,0)</f>
        <v>49</v>
      </c>
      <c r="BL121" s="14">
        <f ca="1">ROUND(BD121*T121*AB121*K121*AZ121*[2]ステータス!$C$2,0)</f>
        <v>15</v>
      </c>
      <c r="BM121" s="14">
        <f ca="1">ROUND(BD121*U121*AC121*L121*BA121*[2]ステータス!$D$2,0)</f>
        <v>0</v>
      </c>
      <c r="BN121" s="14">
        <f ca="1">ROUND(BD121*V121*AD121*M121*BB121*[2]ステータス!$E$2,0)</f>
        <v>13</v>
      </c>
      <c r="BO121" s="13">
        <v>0</v>
      </c>
      <c r="BP121" s="13">
        <v>1</v>
      </c>
      <c r="BQ121" s="13" t="s">
        <v>102</v>
      </c>
      <c r="BR121" s="13">
        <f ca="1">VLOOKUP(H121,ghosts_label!$A$2:$B$19,2,FALSE)</f>
        <v>0</v>
      </c>
    </row>
    <row r="122" spans="1:70" ht="21" customHeight="1" x14ac:dyDescent="0.15">
      <c r="A122" s="14">
        <f t="shared" ca="1" si="8"/>
        <v>121</v>
      </c>
      <c r="B122" s="77" t="str">
        <f ca="1">VLOOKUP($A122,OFFSET([2]characters!$A$1,0,0,COUNTA([2]characters!$A:$A),MATCH(B$1,[2]characters!$1:$1,0)-MATCH($A$1,[2]characters!$1:$1,0)+1),MATCH(B$1,[2]characters!$1:$1,0)-MATCH($A$1,[2]characters!$1:$1,0)+1,FALSE)</f>
        <v>攻めの果実</v>
      </c>
      <c r="C122" s="77" t="str">
        <f ca="1">VLOOKUP($A122,OFFSET([2]characters!$A$1,0,0,COUNTA([2]characters!$A:$A),MATCH(C$1,[2]characters!$1:$1,0)-MATCH($A$1,[2]characters!$1:$1,0)+1),MATCH(C$1,[2]characters!$1:$1,0)-MATCH($A$1,[2]characters!$1:$1,0)+1,FALSE)</f>
        <v>限界突破素材・攻撃・赤</v>
      </c>
      <c r="D122" s="77" t="str">
        <f ca="1">VLOOKUP($A122,OFFSET([2]characters!$A$1,0,0,COUNTA([2]characters!$A:$A),MATCH(D$1,[2]characters!$1:$1,0)-MATCH($A$1,[2]characters!$1:$1,0)+1),MATCH(D$1,[2]characters!$1:$1,0)-MATCH($A$1,[2]characters!$1:$1,0)+1,FALSE)</f>
        <v>アリス</v>
      </c>
      <c r="E122" s="77" t="str">
        <f ca="1">VLOOKUP($A122,OFFSET([2]characters!$A$1,0,0,COUNTA([2]characters!$A:$A),MATCH(E$1,[2]characters!$1:$1,0)-MATCH($A$1,[2]characters!$1:$1,0)+1),MATCH(E$1,[2]characters!$1:$1,0)-MATCH($A$1,[2]characters!$1:$1,0)+1,FALSE)</f>
        <v>世界観</v>
      </c>
      <c r="F122" s="77" t="str">
        <f ca="1">VLOOKUP($A122,OFFSET([2]characters!$A$1,0,0,COUNTA([2]characters!$A:$A),MATCH(F$1,[2]characters!$1:$1,0)-MATCH($A$1,[2]characters!$1:$1,0)+1),MATCH(F$1,[2]characters!$1:$1,0)-MATCH($A$1,[2]characters!$1:$1,0)+1,FALSE)</f>
        <v>不明</v>
      </c>
      <c r="G122" s="77">
        <f ca="1">VLOOKUP($A122,OFFSET([2]characters!$A$1,0,0,COUNTA([2]characters!$A:$A),MATCH(G$1,[2]characters!$1:$1,0)-MATCH($A$1,[2]characters!$1:$1,0)+1),MATCH(G$1,[2]characters!$1:$1,0)-MATCH($A$1,[2]characters!$1:$1,0)+1,FALSE)</f>
        <v>3</v>
      </c>
      <c r="H122" s="77" t="str">
        <f ca="1">VLOOKUP($A122,OFFSET([2]characters!$A$1,0,0,COUNTA([2]characters!$A:$A),MATCH(H$1,[2]characters!$1:$1,0)-MATCH($A$1,[2]characters!$1:$1,0)+1),MATCH(H$1,[2]characters!$1:$1,0)-MATCH($A$1,[2]characters!$1:$1,0)+1,FALSE)</f>
        <v>Material</v>
      </c>
      <c r="I122" s="77" t="str">
        <f ca="1">VLOOKUP($A122,OFFSET([2]characters!$A$1,0,0,COUNTA([2]characters!$A:$A),MATCH(I$1,[2]characters!$1:$1,0)-MATCH($A$1,[2]characters!$1:$1,0)+1),MATCH(I$1,[2]characters!$1:$1,0)-MATCH($A$1,[2]characters!$1:$1,0)+1,FALSE)</f>
        <v>red</v>
      </c>
      <c r="J122" s="14">
        <f ca="1">VLOOKUP(I122,[2]属性!$A:$E,2,FALSE)</f>
        <v>1</v>
      </c>
      <c r="K122" s="14">
        <f ca="1">VLOOKUP(I122,[2]属性!$A:$E,3,FALSE)</f>
        <v>1.02</v>
      </c>
      <c r="L122" s="14">
        <f ca="1">VLOOKUP(I122,[2]属性!$A:$E,4,FALSE)</f>
        <v>1</v>
      </c>
      <c r="M122" s="14">
        <f ca="1">VLOOKUP(I122,[2]属性!$A:$E,5,FALSE)</f>
        <v>0.98</v>
      </c>
      <c r="N122" s="14">
        <f ca="1">INDEX(コスト!$A$1:$I$20,MATCH(H122,コスト!$A$1:$A$20,FALSE),MATCH(G122,コスト!$A$1:$I$1,FALSE))</f>
        <v>99</v>
      </c>
      <c r="O122" s="14">
        <f ca="1">INDEX(レベル!$A$1:$I$21,MATCH(H122,レベル!$A$1:$A$21,FALSE),MATCH(G122,レベル!$A$1:$I$1,FALSE))</f>
        <v>1</v>
      </c>
      <c r="P122" s="203">
        <v>1</v>
      </c>
      <c r="Q122" s="204" t="s">
        <v>269</v>
      </c>
      <c r="R122" s="8" t="str">
        <f>VLOOKUP(Q122,[2]character_type_i18n!$A:$H,3,FALSE)</f>
        <v>攻撃タイプ</v>
      </c>
      <c r="S122" s="14">
        <f>VLOOKUP(Q122,[2]character_type_i18n!$A:$H,4,FALSE)</f>
        <v>1</v>
      </c>
      <c r="T122" s="14">
        <f>VLOOKUP(Q122,[2]character_type_i18n!$A:$H,5,FALSE)</f>
        <v>1.33</v>
      </c>
      <c r="U122" s="14">
        <f>VLOOKUP(Q122,[2]character_type_i18n!$A:$H,6,FALSE)</f>
        <v>1</v>
      </c>
      <c r="V122" s="14">
        <f>VLOOKUP(Q122,[2]character_type_i18n!$A:$H,7,FALSE)</f>
        <v>0.67</v>
      </c>
      <c r="W122" s="77" t="str">
        <f ca="1">VLOOKUP($A122,OFFSET([2]characters!$A$1,0,0,COUNTA([2]characters!$A:$A),MATCH(W$1,[2]characters!$1:$1,0)-MATCH($A$1,[2]characters!$1:$1,0)+1),MATCH(W$1,[2]characters!$1:$1,0)-MATCH($A$1,[2]characters!$1:$1,0)+1,FALSE)</f>
        <v>unknown</v>
      </c>
      <c r="X122" s="8" t="str">
        <f ca="1">VLOOKUP(W122,[2]character_tribe_i18n!$A:$H,3,FALSE)</f>
        <v>Unknown</v>
      </c>
      <c r="Y122" s="77" t="str">
        <f ca="1">VLOOKUP($A122,OFFSET([2]characters!$A$1,0,0,COUNTA([2]characters!$A:$A),MATCH(Y$1,[2]characters!$1:$1,0)-MATCH($A$1,[2]characters!$1:$1,0)+1),MATCH(Y$1,[2]characters!$1:$1,0)-MATCH($A$1,[2]characters!$1:$1,0)+1,FALSE)</f>
        <v>none</v>
      </c>
      <c r="Z122" s="8" t="str">
        <f ca="1">VLOOKUP(Y122,[2]character_tribe_i18n!$A:$H,3,FALSE)</f>
        <v>種族なし</v>
      </c>
      <c r="AA122" s="14">
        <f ca="1">VLOOKUP(W122,[2]character_tribe_i18n!$A:$H,4,FALSE)</f>
        <v>1</v>
      </c>
      <c r="AB122" s="14">
        <f ca="1">VLOOKUP(W122,[2]character_tribe_i18n!$A:$H,5,FALSE)</f>
        <v>1</v>
      </c>
      <c r="AC122" s="14">
        <f ca="1">VLOOKUP(W122,[2]character_tribe_i18n!$A:$H,6,FALSE)</f>
        <v>1</v>
      </c>
      <c r="AD122" s="14">
        <f ca="1">VLOOKUP(W122,[2]character_tribe_i18n!$A:$H,7,FALSE)</f>
        <v>1</v>
      </c>
      <c r="AE122" s="229">
        <v>607</v>
      </c>
      <c r="AF122" s="85" t="str">
        <f ca="1">IF(AE122="NULL","",VLOOKUP($AE122,OFFSET([2]characters!$A$1,0,0,COUNTA([2]characters!$A:$A),MATCH(AF$1,[2]characters!$1:$1,0)-MATCH($A$1,[2]characters!$1:$1,0)+1),MATCH(AF$1,[2]characters!$1:$1,0)-MATCH($A$1,[2]characters!$1:$1,0)+1,FALSE))</f>
        <v>メガ攻めの果実</v>
      </c>
      <c r="AG122" s="8">
        <f t="shared" ca="1" si="9"/>
        <v>121</v>
      </c>
      <c r="AH122" s="85" t="str">
        <f ca="1">VLOOKUP($AG122,OFFSET([2]characters!$A$1,0,0,COUNTA([2]characters!$A:$A),MATCH(AH$1,[2]characters!$1:$1,0)-MATCH($A$1,[2]characters!$1:$1,0)+1),MATCH(AH$1,[2]characters!$1:$1,0)-MATCH($A$1,[2]characters!$1:$1,0)+1,FALSE)</f>
        <v>攻めの果実</v>
      </c>
      <c r="AI122" s="104">
        <f ca="1">IF(AE122="NULL","NULL",VLOOKUP(G122,ビット!$A$2:$B$7,2)/5)</f>
        <v>4000</v>
      </c>
      <c r="AJ122" s="9">
        <v>2</v>
      </c>
      <c r="AK122" s="10" t="str">
        <f t="shared" si="10"/>
        <v>普通</v>
      </c>
      <c r="AL122" s="14" t="str">
        <f ca="1">INDEX(経験値!$A$1:$I$20,MATCH(H122,経験値!$A$1:$A$20,FALSE),MATCH(G122,経験値!$A$1:$I$1,FALSE))</f>
        <v>NULL</v>
      </c>
      <c r="AM122" s="11">
        <f ca="1">VLOOKUP(G122,経験値!$A$27:$B$31,2)</f>
        <v>1500</v>
      </c>
      <c r="AN122" s="21">
        <f ca="1">VLOOKUP(G122,ビット!$G$2:$H$7,2)</f>
        <v>300</v>
      </c>
      <c r="AO122" s="64" t="s">
        <v>57</v>
      </c>
      <c r="AP122" s="101">
        <v>990009</v>
      </c>
      <c r="AQ122" s="77" t="e">
        <f ca="1">VLOOKUP($AP122,OFFSET([1]unit_skills!$A$1,0,0,COUNTA([1]unit_skills!$A:$A),MATCH("name",[1]unit_skills!$1:$1,0)-MATCH($AP$1,[1]unit_skills!$1:$1,0)+1),MATCH("name",[1]unit_skills!$1:$1,0)-MATCH($AP$1,[1]unit_skills!$1:$1,0)+1,FALSE)</f>
        <v>#VALUE!</v>
      </c>
      <c r="AR122" s="77" t="e">
        <f ca="1">VLOOKUP($AP122,OFFSET([1]unit_skills!$A$1,0,0,COUNTA([1]unit_skills!$A:$A),MATCH("comment",[1]unit_skills!$1:$1,0)-MATCH($AP$1,[1]unit_skills!$1:$1,0)+1),MATCH("comment",[1]unit_skills!$1:$1,0)-MATCH($AP$1,[1]unit_skills!$1:$1,0)+1,FALSE)</f>
        <v>#VALUE!</v>
      </c>
      <c r="AS122" s="77" t="e">
        <f ca="1">VLOOKUP($AP122,OFFSET([1]unit_skills!$A$1,0,0,COUNTA([1]unit_skills!$A:$A),MATCH(AS$1,[1]unit_skills!$1:$1,0)-MATCH($AP$1,[1]unit_skills!$1:$1,0)+1),MATCH(AS$1,[1]unit_skills!$1:$1,0)-MATCH($AP$1,[1]unit_skills!$1:$1,0)+1,FALSE)</f>
        <v>#VALUE!</v>
      </c>
      <c r="AT122" s="104">
        <v>0</v>
      </c>
      <c r="AU122" s="77" t="e">
        <f ca="1">VLOOKUP($AT122,OFFSET([1]crash_skills!$A$1,0,0,COUNTA([1]crash_skills!$A:$A),MATCH("name",[1]crash_skills!$1:$1,0)-MATCH($AT$1,[1]crash_skills!$1:$1,0)+1),MATCH("name",[1]crash_skills!$1:$1,0)-MATCH($AT$1,[1]crash_skills!$1:$1,0)+1,FALSE)</f>
        <v>#VALUE!</v>
      </c>
      <c r="AV122" s="77" t="e">
        <f ca="1">VLOOKUP($AT122,OFFSET([1]crash_skills!$A$1,0,0,COUNTA([1]crash_skills!$A:$A),MATCH("comment",[1]crash_skills!$1:$1,0)-MATCH($AT$1,[1]crash_skills!$1:$1,0)+1),MATCH("comment",[1]crash_skills!$1:$1,0)-MATCH($AT$1,[1]crash_skills!$1:$1,0)+1,FALSE)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22" s="77" t="e">
        <f ca="1">VLOOKUP($AT122,OFFSET([1]crash_skills!$A$1,0,0,COUNTA([1]crash_skills!$A:$A),MATCH(AW$1,[1]crash_skills!$1:$1,0)-MATCH($AT$1,[1]crash_skills!$1:$1,0)+1),MATCH(AW$1,[1]crash_skills!$1:$1,0)-MATCH($AT$1,[1]crash_skills!$1:$1,0)+1,FALSE)</f>
        <v>#VALUE!</v>
      </c>
      <c r="AX122" s="81">
        <f ca="1">VLOOKUP($A122,OFFSET([2]characters!$A$1,0,0,COUNTA([2]characters!$A:$A),MATCH(AX$1,[2]characters!$1:$1,0)-MATCH($A$1,[2]characters!$1:$1,0)+1),MATCH(AX$1,[2]characters!$1:$1,0)-MATCH($A$1,[2]characters!$1:$1,0)+1,FALSE)</f>
        <v>3</v>
      </c>
      <c r="AY122" s="19">
        <v>1</v>
      </c>
      <c r="AZ122" s="19">
        <v>1</v>
      </c>
      <c r="BA122" s="19">
        <v>0</v>
      </c>
      <c r="BB122" s="19">
        <v>1</v>
      </c>
      <c r="BC122" s="14">
        <f ca="1">INDEX('RC6SV'!$A$1:$G$20,MATCH(H122,'RC6SV'!$A$1:$A$20,FALSE),MATCH(G122,'RC6SV'!$A$1:$G$1,FALSE))</f>
        <v>1000</v>
      </c>
      <c r="BD122" s="63">
        <f t="shared" ca="1" si="11"/>
        <v>1000</v>
      </c>
      <c r="BE122" s="14">
        <f t="shared" ca="1" si="12"/>
        <v>0</v>
      </c>
      <c r="BF122" s="14">
        <f t="shared" ca="1" si="13"/>
        <v>1</v>
      </c>
      <c r="BG122" s="20">
        <f ca="1">IF($BE122&lt;=0,ROUND(BK122*0.5,0), ROUND($BE122*S122*AA122*J122*AY122*0.8*[2]ステータス!$B$2,0))</f>
        <v>250</v>
      </c>
      <c r="BH122" s="20">
        <f ca="1">IF($BE122&lt;=0,ROUND(BL122*0.5,0), ROUND($BE122*T122*AB122*K122*AZ122*0.8*[2]ステータス!$C$2,0))</f>
        <v>204</v>
      </c>
      <c r="BI122" s="20">
        <f ca="1">IF($BE122&lt;=0,ROUND(BM122*0.5,0), ROUND($BE122*U122*AC122*L122*BA122*0.8*[2]ステータス!$D$2,0))</f>
        <v>0</v>
      </c>
      <c r="BJ122" s="20">
        <f ca="1">IF($BE122&lt;=0,ROUND(BN122*0.5,0), ROUND($BE122*V122*AD122*M122*BB122*0.8*[2]ステータス!$E$2,0))</f>
        <v>82</v>
      </c>
      <c r="BK122" s="14">
        <f ca="1">ROUND(BD122*S122*AA122*J122*AY122*[2]ステータス!$B$2,0)</f>
        <v>500</v>
      </c>
      <c r="BL122" s="14">
        <f ca="1">ROUND(BD122*T122*AB122*K122*AZ122*[2]ステータス!$C$2,0)</f>
        <v>407</v>
      </c>
      <c r="BM122" s="14">
        <f ca="1">ROUND(BD122*U122*AC122*L122*BA122*[2]ステータス!$D$2,0)</f>
        <v>0</v>
      </c>
      <c r="BN122" s="14">
        <f ca="1">ROUND(BD122*V122*AD122*M122*BB122*[2]ステータス!$E$2,0)</f>
        <v>164</v>
      </c>
      <c r="BO122" s="13">
        <v>0</v>
      </c>
      <c r="BP122" s="13">
        <v>1</v>
      </c>
      <c r="BQ122" s="13" t="s">
        <v>102</v>
      </c>
      <c r="BR122" s="13">
        <f ca="1">VLOOKUP(H122,ghosts_label!$A$2:$B$19,2,FALSE)</f>
        <v>0</v>
      </c>
    </row>
    <row r="123" spans="1:70" ht="21" customHeight="1" x14ac:dyDescent="0.15">
      <c r="A123" s="14">
        <f t="shared" ca="1" si="8"/>
        <v>122</v>
      </c>
      <c r="B123" s="77" t="str">
        <f ca="1">VLOOKUP($A123,OFFSET([2]characters!$A$1,0,0,COUNTA([2]characters!$A:$A),MATCH(B$1,[2]characters!$1:$1,0)-MATCH($A$1,[2]characters!$1:$1,0)+1),MATCH(B$1,[2]characters!$1:$1,0)-MATCH($A$1,[2]characters!$1:$1,0)+1,FALSE)</f>
        <v>生命の果実</v>
      </c>
      <c r="C123" s="77" t="str">
        <f ca="1">VLOOKUP($A123,OFFSET([2]characters!$A$1,0,0,COUNTA([2]characters!$A:$A),MATCH(C$1,[2]characters!$1:$1,0)-MATCH($A$1,[2]characters!$1:$1,0)+1),MATCH(C$1,[2]characters!$1:$1,0)-MATCH($A$1,[2]characters!$1:$1,0)+1,FALSE)</f>
        <v>限界突破素材・体力・緑</v>
      </c>
      <c r="D123" s="77" t="str">
        <f ca="1">VLOOKUP($A123,OFFSET([2]characters!$A$1,0,0,COUNTA([2]characters!$A:$A),MATCH(D$1,[2]characters!$1:$1,0)-MATCH($A$1,[2]characters!$1:$1,0)+1),MATCH(D$1,[2]characters!$1:$1,0)-MATCH($A$1,[2]characters!$1:$1,0)+1,FALSE)</f>
        <v>アリス</v>
      </c>
      <c r="E123" s="77" t="str">
        <f ca="1">VLOOKUP($A123,OFFSET([2]characters!$A$1,0,0,COUNTA([2]characters!$A:$A),MATCH(E$1,[2]characters!$1:$1,0)-MATCH($A$1,[2]characters!$1:$1,0)+1),MATCH(E$1,[2]characters!$1:$1,0)-MATCH($A$1,[2]characters!$1:$1,0)+1,FALSE)</f>
        <v>世界観</v>
      </c>
      <c r="F123" s="77" t="str">
        <f ca="1">VLOOKUP($A123,OFFSET([2]characters!$A$1,0,0,COUNTA([2]characters!$A:$A),MATCH(F$1,[2]characters!$1:$1,0)-MATCH($A$1,[2]characters!$1:$1,0)+1),MATCH(F$1,[2]characters!$1:$1,0)-MATCH($A$1,[2]characters!$1:$1,0)+1,FALSE)</f>
        <v>不明</v>
      </c>
      <c r="G123" s="77">
        <f ca="1">VLOOKUP($A123,OFFSET([2]characters!$A$1,0,0,COUNTA([2]characters!$A:$A),MATCH(G$1,[2]characters!$1:$1,0)-MATCH($A$1,[2]characters!$1:$1,0)+1),MATCH(G$1,[2]characters!$1:$1,0)-MATCH($A$1,[2]characters!$1:$1,0)+1,FALSE)</f>
        <v>3</v>
      </c>
      <c r="H123" s="77" t="str">
        <f ca="1">VLOOKUP($A123,OFFSET([2]characters!$A$1,0,0,COUNTA([2]characters!$A:$A),MATCH(H$1,[2]characters!$1:$1,0)-MATCH($A$1,[2]characters!$1:$1,0)+1),MATCH(H$1,[2]characters!$1:$1,0)-MATCH($A$1,[2]characters!$1:$1,0)+1,FALSE)</f>
        <v>Material</v>
      </c>
      <c r="I123" s="77" t="str">
        <f ca="1">VLOOKUP($A123,OFFSET([2]characters!$A$1,0,0,COUNTA([2]characters!$A:$A),MATCH(I$1,[2]characters!$1:$1,0)-MATCH($A$1,[2]characters!$1:$1,0)+1),MATCH(I$1,[2]characters!$1:$1,0)-MATCH($A$1,[2]characters!$1:$1,0)+1,FALSE)</f>
        <v>green</v>
      </c>
      <c r="J123" s="14">
        <f ca="1">VLOOKUP(I123,[2]属性!$A:$E,2,FALSE)</f>
        <v>1.02</v>
      </c>
      <c r="K123" s="14">
        <f ca="1">VLOOKUP(I123,[2]属性!$A:$E,3,FALSE)</f>
        <v>0.98</v>
      </c>
      <c r="L123" s="14">
        <f ca="1">VLOOKUP(I123,[2]属性!$A:$E,4,FALSE)</f>
        <v>1</v>
      </c>
      <c r="M123" s="14">
        <f ca="1">VLOOKUP(I123,[2]属性!$A:$E,5,FALSE)</f>
        <v>1</v>
      </c>
      <c r="N123" s="14">
        <f ca="1">INDEX(コスト!$A$1:$I$20,MATCH(H123,コスト!$A$1:$A$20,FALSE),MATCH(G123,コスト!$A$1:$I$1,FALSE))</f>
        <v>99</v>
      </c>
      <c r="O123" s="14">
        <f ca="1">INDEX(レベル!$A$1:$I$21,MATCH(H123,レベル!$A$1:$A$21,FALSE),MATCH(G123,レベル!$A$1:$I$1,FALSE))</f>
        <v>1</v>
      </c>
      <c r="P123" s="203">
        <v>1</v>
      </c>
      <c r="Q123" s="204" t="s">
        <v>270</v>
      </c>
      <c r="R123" s="8" t="str">
        <f>VLOOKUP(Q123,[2]character_type_i18n!$A:$H,3,FALSE)</f>
        <v>体力タイプ</v>
      </c>
      <c r="S123" s="14">
        <f>VLOOKUP(Q123,[2]character_type_i18n!$A:$H,4,FALSE)</f>
        <v>1.45</v>
      </c>
      <c r="T123" s="14">
        <f>VLOOKUP(Q123,[2]character_type_i18n!$A:$H,5,FALSE)</f>
        <v>0.85</v>
      </c>
      <c r="U123" s="14">
        <f>VLOOKUP(Q123,[2]character_type_i18n!$A:$H,6,FALSE)</f>
        <v>1</v>
      </c>
      <c r="V123" s="14">
        <f>VLOOKUP(Q123,[2]character_type_i18n!$A:$H,7,FALSE)</f>
        <v>0.7</v>
      </c>
      <c r="W123" s="77" t="str">
        <f ca="1">VLOOKUP($A123,OFFSET([2]characters!$A$1,0,0,COUNTA([2]characters!$A:$A),MATCH(W$1,[2]characters!$1:$1,0)-MATCH($A$1,[2]characters!$1:$1,0)+1),MATCH(W$1,[2]characters!$1:$1,0)-MATCH($A$1,[2]characters!$1:$1,0)+1,FALSE)</f>
        <v>unknown</v>
      </c>
      <c r="X123" s="8" t="str">
        <f ca="1">VLOOKUP(W123,[2]character_tribe_i18n!$A:$H,3,FALSE)</f>
        <v>Unknown</v>
      </c>
      <c r="Y123" s="77" t="str">
        <f ca="1">VLOOKUP($A123,OFFSET([2]characters!$A$1,0,0,COUNTA([2]characters!$A:$A),MATCH(Y$1,[2]characters!$1:$1,0)-MATCH($A$1,[2]characters!$1:$1,0)+1),MATCH(Y$1,[2]characters!$1:$1,0)-MATCH($A$1,[2]characters!$1:$1,0)+1,FALSE)</f>
        <v>none</v>
      </c>
      <c r="Z123" s="8" t="str">
        <f ca="1">VLOOKUP(Y123,[2]character_tribe_i18n!$A:$H,3,FALSE)</f>
        <v>種族なし</v>
      </c>
      <c r="AA123" s="14">
        <f ca="1">VLOOKUP(W123,[2]character_tribe_i18n!$A:$H,4,FALSE)</f>
        <v>1</v>
      </c>
      <c r="AB123" s="14">
        <f ca="1">VLOOKUP(W123,[2]character_tribe_i18n!$A:$H,5,FALSE)</f>
        <v>1</v>
      </c>
      <c r="AC123" s="14">
        <f ca="1">VLOOKUP(W123,[2]character_tribe_i18n!$A:$H,6,FALSE)</f>
        <v>1</v>
      </c>
      <c r="AD123" s="14">
        <f ca="1">VLOOKUP(W123,[2]character_tribe_i18n!$A:$H,7,FALSE)</f>
        <v>1</v>
      </c>
      <c r="AE123" s="229">
        <v>608</v>
      </c>
      <c r="AF123" s="85" t="str">
        <f ca="1">IF(AE123="NULL","",VLOOKUP($AE123,OFFSET([2]characters!$A$1,0,0,COUNTA([2]characters!$A:$A),MATCH(AF$1,[2]characters!$1:$1,0)-MATCH($A$1,[2]characters!$1:$1,0)+1),MATCH(AF$1,[2]characters!$1:$1,0)-MATCH($A$1,[2]characters!$1:$1,0)+1,FALSE))</f>
        <v>メガ生命の果実</v>
      </c>
      <c r="AG123" s="8">
        <f t="shared" ca="1" si="9"/>
        <v>122</v>
      </c>
      <c r="AH123" s="85" t="str">
        <f ca="1">VLOOKUP($AG123,OFFSET([2]characters!$A$1,0,0,COUNTA([2]characters!$A:$A),MATCH(AH$1,[2]characters!$1:$1,0)-MATCH($A$1,[2]characters!$1:$1,0)+1),MATCH(AH$1,[2]characters!$1:$1,0)-MATCH($A$1,[2]characters!$1:$1,0)+1,FALSE)</f>
        <v>生命の果実</v>
      </c>
      <c r="AI123" s="104">
        <f ca="1">IF(AE123="NULL","NULL",VLOOKUP(G123,ビット!$A$2:$B$7,2)/5)</f>
        <v>4000</v>
      </c>
      <c r="AJ123" s="9">
        <v>2</v>
      </c>
      <c r="AK123" s="10" t="str">
        <f t="shared" si="10"/>
        <v>普通</v>
      </c>
      <c r="AL123" s="14" t="str">
        <f ca="1">INDEX(経験値!$A$1:$I$20,MATCH(H123,経験値!$A$1:$A$20,FALSE),MATCH(G123,経験値!$A$1:$I$1,FALSE))</f>
        <v>NULL</v>
      </c>
      <c r="AM123" s="11">
        <f ca="1">VLOOKUP(G123,経験値!$A$27:$B$31,2)</f>
        <v>1500</v>
      </c>
      <c r="AN123" s="21">
        <f ca="1">VLOOKUP(G123,ビット!$G$2:$H$7,2)</f>
        <v>300</v>
      </c>
      <c r="AO123" s="64" t="s">
        <v>57</v>
      </c>
      <c r="AP123" s="101">
        <v>990010</v>
      </c>
      <c r="AQ123" s="77" t="e">
        <f ca="1">VLOOKUP($AP123,OFFSET([1]unit_skills!$A$1,0,0,COUNTA([1]unit_skills!$A:$A),MATCH("name",[1]unit_skills!$1:$1,0)-MATCH($AP$1,[1]unit_skills!$1:$1,0)+1),MATCH("name",[1]unit_skills!$1:$1,0)-MATCH($AP$1,[1]unit_skills!$1:$1,0)+1,FALSE)</f>
        <v>#VALUE!</v>
      </c>
      <c r="AR123" s="77" t="e">
        <f ca="1">VLOOKUP($AP123,OFFSET([1]unit_skills!$A$1,0,0,COUNTA([1]unit_skills!$A:$A),MATCH("comment",[1]unit_skills!$1:$1,0)-MATCH($AP$1,[1]unit_skills!$1:$1,0)+1),MATCH("comment",[1]unit_skills!$1:$1,0)-MATCH($AP$1,[1]unit_skills!$1:$1,0)+1,FALSE)</f>
        <v>#VALUE!</v>
      </c>
      <c r="AS123" s="77" t="e">
        <f ca="1">VLOOKUP($AP123,OFFSET([1]unit_skills!$A$1,0,0,COUNTA([1]unit_skills!$A:$A),MATCH(AS$1,[1]unit_skills!$1:$1,0)-MATCH($AP$1,[1]unit_skills!$1:$1,0)+1),MATCH(AS$1,[1]unit_skills!$1:$1,0)-MATCH($AP$1,[1]unit_skills!$1:$1,0)+1,FALSE)</f>
        <v>#VALUE!</v>
      </c>
      <c r="AT123" s="104">
        <v>0</v>
      </c>
      <c r="AU123" s="77" t="e">
        <f ca="1">VLOOKUP($AT123,OFFSET([1]crash_skills!$A$1,0,0,COUNTA([1]crash_skills!$A:$A),MATCH("name",[1]crash_skills!$1:$1,0)-MATCH($AT$1,[1]crash_skills!$1:$1,0)+1),MATCH("name",[1]crash_skills!$1:$1,0)-MATCH($AT$1,[1]crash_skills!$1:$1,0)+1,FALSE)</f>
        <v>#VALUE!</v>
      </c>
      <c r="AV123" s="77" t="e">
        <f ca="1">VLOOKUP($AT123,OFFSET([1]crash_skills!$A$1,0,0,COUNTA([1]crash_skills!$A:$A),MATCH("comment",[1]crash_skills!$1:$1,0)-MATCH($AT$1,[1]crash_skills!$1:$1,0)+1),MATCH("comment",[1]crash_skills!$1:$1,0)-MATCH($AT$1,[1]crash_skills!$1:$1,0)+1,FALSE)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23" s="77" t="e">
        <f ca="1">VLOOKUP($AT123,OFFSET([1]crash_skills!$A$1,0,0,COUNTA([1]crash_skills!$A:$A),MATCH(AW$1,[1]crash_skills!$1:$1,0)-MATCH($AT$1,[1]crash_skills!$1:$1,0)+1),MATCH(AW$1,[1]crash_skills!$1:$1,0)-MATCH($AT$1,[1]crash_skills!$1:$1,0)+1,FALSE)</f>
        <v>#VALUE!</v>
      </c>
      <c r="AX123" s="81">
        <f ca="1">VLOOKUP($A123,OFFSET([2]characters!$A$1,0,0,COUNTA([2]characters!$A:$A),MATCH(AX$1,[2]characters!$1:$1,0)-MATCH($A$1,[2]characters!$1:$1,0)+1),MATCH(AX$1,[2]characters!$1:$1,0)-MATCH($A$1,[2]characters!$1:$1,0)+1,FALSE)</f>
        <v>3</v>
      </c>
      <c r="AY123" s="19">
        <v>1</v>
      </c>
      <c r="AZ123" s="19">
        <v>1</v>
      </c>
      <c r="BA123" s="19">
        <v>0</v>
      </c>
      <c r="BB123" s="19">
        <v>1</v>
      </c>
      <c r="BC123" s="14">
        <f ca="1">INDEX('RC6SV'!$A$1:$G$20,MATCH(H123,'RC6SV'!$A$1:$A$20,FALSE),MATCH(G123,'RC6SV'!$A$1:$G$1,FALSE))</f>
        <v>1000</v>
      </c>
      <c r="BD123" s="63">
        <f t="shared" ca="1" si="11"/>
        <v>1000</v>
      </c>
      <c r="BE123" s="14">
        <f t="shared" ca="1" si="12"/>
        <v>0</v>
      </c>
      <c r="BF123" s="14">
        <f t="shared" ca="1" si="13"/>
        <v>1</v>
      </c>
      <c r="BG123" s="20">
        <f ca="1">IF($BE123&lt;=0,ROUND(BK123*0.5,0), ROUND($BE123*S123*AA123*J123*AY123*0.8*[2]ステータス!$B$2,0))</f>
        <v>370</v>
      </c>
      <c r="BH123" s="20">
        <f ca="1">IF($BE123&lt;=0,ROUND(BL123*0.5,0), ROUND($BE123*T123*AB123*K123*AZ123*0.8*[2]ステータス!$C$2,0))</f>
        <v>125</v>
      </c>
      <c r="BI123" s="20">
        <f ca="1">IF($BE123&lt;=0,ROUND(BM123*0.5,0), ROUND($BE123*U123*AC123*L123*BA123*0.8*[2]ステータス!$D$2,0))</f>
        <v>0</v>
      </c>
      <c r="BJ123" s="20">
        <f ca="1">IF($BE123&lt;=0,ROUND(BN123*0.5,0), ROUND($BE123*V123*AD123*M123*BB123*0.8*[2]ステータス!$E$2,0))</f>
        <v>88</v>
      </c>
      <c r="BK123" s="14">
        <f ca="1">ROUND(BD123*S123*AA123*J123*AY123*[2]ステータス!$B$2,0)</f>
        <v>740</v>
      </c>
      <c r="BL123" s="14">
        <f ca="1">ROUND(BD123*T123*AB123*K123*AZ123*[2]ステータス!$C$2,0)</f>
        <v>250</v>
      </c>
      <c r="BM123" s="14">
        <f ca="1">ROUND(BD123*U123*AC123*L123*BA123*[2]ステータス!$D$2,0)</f>
        <v>0</v>
      </c>
      <c r="BN123" s="14">
        <f ca="1">ROUND(BD123*V123*AD123*M123*BB123*[2]ステータス!$E$2,0)</f>
        <v>175</v>
      </c>
      <c r="BO123" s="13">
        <v>0</v>
      </c>
      <c r="BP123" s="13">
        <v>1</v>
      </c>
      <c r="BQ123" s="13" t="s">
        <v>102</v>
      </c>
      <c r="BR123" s="13">
        <f ca="1">VLOOKUP(H123,ghosts_label!$A$2:$B$19,2,FALSE)</f>
        <v>0</v>
      </c>
    </row>
    <row r="124" spans="1:70" ht="21" customHeight="1" x14ac:dyDescent="0.15">
      <c r="A124" s="14">
        <f t="shared" ca="1" si="8"/>
        <v>123</v>
      </c>
      <c r="B124" s="77" t="str">
        <f ca="1">VLOOKUP($A124,OFFSET([2]characters!$A$1,0,0,COUNTA([2]characters!$A:$A),MATCH(B$1,[2]characters!$1:$1,0)-MATCH($A$1,[2]characters!$1:$1,0)+1),MATCH(B$1,[2]characters!$1:$1,0)-MATCH($A$1,[2]characters!$1:$1,0)+1,FALSE)</f>
        <v>癒しの果実</v>
      </c>
      <c r="C124" s="77" t="str">
        <f ca="1">VLOOKUP($A124,OFFSET([2]characters!$A$1,0,0,COUNTA([2]characters!$A:$A),MATCH(C$1,[2]characters!$1:$1,0)-MATCH($A$1,[2]characters!$1:$1,0)+1),MATCH(C$1,[2]characters!$1:$1,0)-MATCH($A$1,[2]characters!$1:$1,0)+1,FALSE)</f>
        <v>限界突破素材・回復・青</v>
      </c>
      <c r="D124" s="77" t="str">
        <f ca="1">VLOOKUP($A124,OFFSET([2]characters!$A$1,0,0,COUNTA([2]characters!$A:$A),MATCH(D$1,[2]characters!$1:$1,0)-MATCH($A$1,[2]characters!$1:$1,0)+1),MATCH(D$1,[2]characters!$1:$1,0)-MATCH($A$1,[2]characters!$1:$1,0)+1,FALSE)</f>
        <v>アリス</v>
      </c>
      <c r="E124" s="77" t="str">
        <f ca="1">VLOOKUP($A124,OFFSET([2]characters!$A$1,0,0,COUNTA([2]characters!$A:$A),MATCH(E$1,[2]characters!$1:$1,0)-MATCH($A$1,[2]characters!$1:$1,0)+1),MATCH(E$1,[2]characters!$1:$1,0)-MATCH($A$1,[2]characters!$1:$1,0)+1,FALSE)</f>
        <v>世界観</v>
      </c>
      <c r="F124" s="77" t="str">
        <f ca="1">VLOOKUP($A124,OFFSET([2]characters!$A$1,0,0,COUNTA([2]characters!$A:$A),MATCH(F$1,[2]characters!$1:$1,0)-MATCH($A$1,[2]characters!$1:$1,0)+1),MATCH(F$1,[2]characters!$1:$1,0)-MATCH($A$1,[2]characters!$1:$1,0)+1,FALSE)</f>
        <v>不明</v>
      </c>
      <c r="G124" s="77">
        <f ca="1">VLOOKUP($A124,OFFSET([2]characters!$A$1,0,0,COUNTA([2]characters!$A:$A),MATCH(G$1,[2]characters!$1:$1,0)-MATCH($A$1,[2]characters!$1:$1,0)+1),MATCH(G$1,[2]characters!$1:$1,0)-MATCH($A$1,[2]characters!$1:$1,0)+1,FALSE)</f>
        <v>3</v>
      </c>
      <c r="H124" s="77" t="str">
        <f ca="1">VLOOKUP($A124,OFFSET([2]characters!$A$1,0,0,COUNTA([2]characters!$A:$A),MATCH(H$1,[2]characters!$1:$1,0)-MATCH($A$1,[2]characters!$1:$1,0)+1),MATCH(H$1,[2]characters!$1:$1,0)-MATCH($A$1,[2]characters!$1:$1,0)+1,FALSE)</f>
        <v>Material</v>
      </c>
      <c r="I124" s="77" t="str">
        <f ca="1">VLOOKUP($A124,OFFSET([2]characters!$A$1,0,0,COUNTA([2]characters!$A:$A),MATCH(I$1,[2]characters!$1:$1,0)-MATCH($A$1,[2]characters!$1:$1,0)+1),MATCH(I$1,[2]characters!$1:$1,0)-MATCH($A$1,[2]characters!$1:$1,0)+1,FALSE)</f>
        <v>blue</v>
      </c>
      <c r="J124" s="14">
        <f ca="1">VLOOKUP(I124,[2]属性!$A:$E,2,FALSE)</f>
        <v>1</v>
      </c>
      <c r="K124" s="14">
        <f ca="1">VLOOKUP(I124,[2]属性!$A:$E,3,FALSE)</f>
        <v>0.98</v>
      </c>
      <c r="L124" s="14">
        <f ca="1">VLOOKUP(I124,[2]属性!$A:$E,4,FALSE)</f>
        <v>1</v>
      </c>
      <c r="M124" s="14">
        <f ca="1">VLOOKUP(I124,[2]属性!$A:$E,5,FALSE)</f>
        <v>1.02</v>
      </c>
      <c r="N124" s="14">
        <f ca="1">INDEX(コスト!$A$1:$I$20,MATCH(H124,コスト!$A$1:$A$20,FALSE),MATCH(G124,コスト!$A$1:$I$1,FALSE))</f>
        <v>99</v>
      </c>
      <c r="O124" s="14">
        <f ca="1">INDEX(レベル!$A$1:$I$21,MATCH(H124,レベル!$A$1:$A$21,FALSE),MATCH(G124,レベル!$A$1:$I$1,FALSE))</f>
        <v>1</v>
      </c>
      <c r="P124" s="203">
        <v>1</v>
      </c>
      <c r="Q124" s="204" t="s">
        <v>271</v>
      </c>
      <c r="R124" s="8" t="str">
        <f>VLOOKUP(Q124,[2]character_type_i18n!$A:$H,3,FALSE)</f>
        <v>回復タイプ</v>
      </c>
      <c r="S124" s="14">
        <f>VLOOKUP(Q124,[2]character_type_i18n!$A:$H,4,FALSE)</f>
        <v>0.8</v>
      </c>
      <c r="T124" s="14">
        <f>VLOOKUP(Q124,[2]character_type_i18n!$A:$H,5,FALSE)</f>
        <v>0.78</v>
      </c>
      <c r="U124" s="14">
        <f>VLOOKUP(Q124,[2]character_type_i18n!$A:$H,6,FALSE)</f>
        <v>1</v>
      </c>
      <c r="V124" s="14">
        <f>VLOOKUP(Q124,[2]character_type_i18n!$A:$H,7,FALSE)</f>
        <v>1.42</v>
      </c>
      <c r="W124" s="77" t="str">
        <f ca="1">VLOOKUP($A124,OFFSET([2]characters!$A$1,0,0,COUNTA([2]characters!$A:$A),MATCH(W$1,[2]characters!$1:$1,0)-MATCH($A$1,[2]characters!$1:$1,0)+1),MATCH(W$1,[2]characters!$1:$1,0)-MATCH($A$1,[2]characters!$1:$1,0)+1,FALSE)</f>
        <v>unknown</v>
      </c>
      <c r="X124" s="8" t="str">
        <f ca="1">VLOOKUP(W124,[2]character_tribe_i18n!$A:$H,3,FALSE)</f>
        <v>Unknown</v>
      </c>
      <c r="Y124" s="77" t="str">
        <f ca="1">VLOOKUP($A124,OFFSET([2]characters!$A$1,0,0,COUNTA([2]characters!$A:$A),MATCH(Y$1,[2]characters!$1:$1,0)-MATCH($A$1,[2]characters!$1:$1,0)+1),MATCH(Y$1,[2]characters!$1:$1,0)-MATCH($A$1,[2]characters!$1:$1,0)+1,FALSE)</f>
        <v>none</v>
      </c>
      <c r="Z124" s="8" t="str">
        <f ca="1">VLOOKUP(Y124,[2]character_tribe_i18n!$A:$H,3,FALSE)</f>
        <v>種族なし</v>
      </c>
      <c r="AA124" s="14">
        <f ca="1">VLOOKUP(W124,[2]character_tribe_i18n!$A:$H,4,FALSE)</f>
        <v>1</v>
      </c>
      <c r="AB124" s="14">
        <f ca="1">VLOOKUP(W124,[2]character_tribe_i18n!$A:$H,5,FALSE)</f>
        <v>1</v>
      </c>
      <c r="AC124" s="14">
        <f ca="1">VLOOKUP(W124,[2]character_tribe_i18n!$A:$H,6,FALSE)</f>
        <v>1</v>
      </c>
      <c r="AD124" s="14">
        <f ca="1">VLOOKUP(W124,[2]character_tribe_i18n!$A:$H,7,FALSE)</f>
        <v>1</v>
      </c>
      <c r="AE124" s="229">
        <v>609</v>
      </c>
      <c r="AF124" s="85" t="str">
        <f ca="1">IF(AE124="NULL","",VLOOKUP($AE124,OFFSET([2]characters!$A$1,0,0,COUNTA([2]characters!$A:$A),MATCH(AF$1,[2]characters!$1:$1,0)-MATCH($A$1,[2]characters!$1:$1,0)+1),MATCH(AF$1,[2]characters!$1:$1,0)-MATCH($A$1,[2]characters!$1:$1,0)+1,FALSE))</f>
        <v>メガ癒しの果実</v>
      </c>
      <c r="AG124" s="8">
        <f t="shared" ca="1" si="9"/>
        <v>123</v>
      </c>
      <c r="AH124" s="85" t="str">
        <f ca="1">VLOOKUP($AG124,OFFSET([2]characters!$A$1,0,0,COUNTA([2]characters!$A:$A),MATCH(AH$1,[2]characters!$1:$1,0)-MATCH($A$1,[2]characters!$1:$1,0)+1),MATCH(AH$1,[2]characters!$1:$1,0)-MATCH($A$1,[2]characters!$1:$1,0)+1,FALSE)</f>
        <v>癒しの果実</v>
      </c>
      <c r="AI124" s="104">
        <f ca="1">IF(AE124="NULL","NULL",VLOOKUP(G124,ビット!$A$2:$B$7,2)/5)</f>
        <v>4000</v>
      </c>
      <c r="AJ124" s="9">
        <v>2</v>
      </c>
      <c r="AK124" s="10" t="str">
        <f t="shared" si="10"/>
        <v>普通</v>
      </c>
      <c r="AL124" s="14" t="str">
        <f ca="1">INDEX(経験値!$A$1:$I$20,MATCH(H124,経験値!$A$1:$A$20,FALSE),MATCH(G124,経験値!$A$1:$I$1,FALSE))</f>
        <v>NULL</v>
      </c>
      <c r="AM124" s="11">
        <f ca="1">VLOOKUP(G124,経験値!$A$27:$B$31,2)</f>
        <v>1500</v>
      </c>
      <c r="AN124" s="21">
        <f ca="1">VLOOKUP(G124,ビット!$G$2:$H$7,2)</f>
        <v>300</v>
      </c>
      <c r="AO124" s="64" t="s">
        <v>57</v>
      </c>
      <c r="AP124" s="101">
        <v>990011</v>
      </c>
      <c r="AQ124" s="77" t="e">
        <f ca="1">VLOOKUP($AP124,OFFSET([1]unit_skills!$A$1,0,0,COUNTA([1]unit_skills!$A:$A),MATCH("name",[1]unit_skills!$1:$1,0)-MATCH($AP$1,[1]unit_skills!$1:$1,0)+1),MATCH("name",[1]unit_skills!$1:$1,0)-MATCH($AP$1,[1]unit_skills!$1:$1,0)+1,FALSE)</f>
        <v>#VALUE!</v>
      </c>
      <c r="AR124" s="77" t="e">
        <f ca="1">VLOOKUP($AP124,OFFSET([1]unit_skills!$A$1,0,0,COUNTA([1]unit_skills!$A:$A),MATCH("comment",[1]unit_skills!$1:$1,0)-MATCH($AP$1,[1]unit_skills!$1:$1,0)+1),MATCH("comment",[1]unit_skills!$1:$1,0)-MATCH($AP$1,[1]unit_skills!$1:$1,0)+1,FALSE)</f>
        <v>#VALUE!</v>
      </c>
      <c r="AS124" s="77" t="e">
        <f ca="1">VLOOKUP($AP124,OFFSET([1]unit_skills!$A$1,0,0,COUNTA([1]unit_skills!$A:$A),MATCH(AS$1,[1]unit_skills!$1:$1,0)-MATCH($AP$1,[1]unit_skills!$1:$1,0)+1),MATCH(AS$1,[1]unit_skills!$1:$1,0)-MATCH($AP$1,[1]unit_skills!$1:$1,0)+1,FALSE)</f>
        <v>#VALUE!</v>
      </c>
      <c r="AT124" s="104">
        <v>0</v>
      </c>
      <c r="AU124" s="77" t="e">
        <f ca="1">VLOOKUP($AT124,OFFSET([1]crash_skills!$A$1,0,0,COUNTA([1]crash_skills!$A:$A),MATCH("name",[1]crash_skills!$1:$1,0)-MATCH($AT$1,[1]crash_skills!$1:$1,0)+1),MATCH("name",[1]crash_skills!$1:$1,0)-MATCH($AT$1,[1]crash_skills!$1:$1,0)+1,FALSE)</f>
        <v>#VALUE!</v>
      </c>
      <c r="AV124" s="77" t="e">
        <f ca="1">VLOOKUP($AT124,OFFSET([1]crash_skills!$A$1,0,0,COUNTA([1]crash_skills!$A:$A),MATCH("comment",[1]crash_skills!$1:$1,0)-MATCH($AT$1,[1]crash_skills!$1:$1,0)+1),MATCH("comment",[1]crash_skills!$1:$1,0)-MATCH($AT$1,[1]crash_skills!$1:$1,0)+1,FALSE)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24" s="77" t="e">
        <f ca="1">VLOOKUP($AT124,OFFSET([1]crash_skills!$A$1,0,0,COUNTA([1]crash_skills!$A:$A),MATCH(AW$1,[1]crash_skills!$1:$1,0)-MATCH($AT$1,[1]crash_skills!$1:$1,0)+1),MATCH(AW$1,[1]crash_skills!$1:$1,0)-MATCH($AT$1,[1]crash_skills!$1:$1,0)+1,FALSE)</f>
        <v>#VALUE!</v>
      </c>
      <c r="AX124" s="81">
        <f ca="1">VLOOKUP($A124,OFFSET([2]characters!$A$1,0,0,COUNTA([2]characters!$A:$A),MATCH(AX$1,[2]characters!$1:$1,0)-MATCH($A$1,[2]characters!$1:$1,0)+1),MATCH(AX$1,[2]characters!$1:$1,0)-MATCH($A$1,[2]characters!$1:$1,0)+1,FALSE)</f>
        <v>3</v>
      </c>
      <c r="AY124" s="19">
        <v>1</v>
      </c>
      <c r="AZ124" s="19">
        <v>1</v>
      </c>
      <c r="BA124" s="19">
        <v>0</v>
      </c>
      <c r="BB124" s="19">
        <v>1</v>
      </c>
      <c r="BC124" s="14">
        <f ca="1">INDEX('RC6SV'!$A$1:$G$20,MATCH(H124,'RC6SV'!$A$1:$A$20,FALSE),MATCH(G124,'RC6SV'!$A$1:$G$1,FALSE))</f>
        <v>1000</v>
      </c>
      <c r="BD124" s="63">
        <f t="shared" ca="1" si="11"/>
        <v>1000</v>
      </c>
      <c r="BE124" s="14">
        <f t="shared" ca="1" si="12"/>
        <v>0</v>
      </c>
      <c r="BF124" s="14">
        <f t="shared" ca="1" si="13"/>
        <v>1</v>
      </c>
      <c r="BG124" s="20">
        <f ca="1">IF($BE124&lt;=0,ROUND(BK124*0.5,0), ROUND($BE124*S124*AA124*J124*AY124*0.8*[2]ステータス!$B$2,0))</f>
        <v>200</v>
      </c>
      <c r="BH124" s="20">
        <f ca="1">IF($BE124&lt;=0,ROUND(BL124*0.5,0), ROUND($BE124*T124*AB124*K124*AZ124*0.8*[2]ステータス!$C$2,0))</f>
        <v>115</v>
      </c>
      <c r="BI124" s="20">
        <f ca="1">IF($BE124&lt;=0,ROUND(BM124*0.5,0), ROUND($BE124*U124*AC124*L124*BA124*0.8*[2]ステータス!$D$2,0))</f>
        <v>0</v>
      </c>
      <c r="BJ124" s="20">
        <f ca="1">IF($BE124&lt;=0,ROUND(BN124*0.5,0), ROUND($BE124*V124*AD124*M124*BB124*0.8*[2]ステータス!$E$2,0))</f>
        <v>181</v>
      </c>
      <c r="BK124" s="14">
        <f ca="1">ROUND(BD124*S124*AA124*J124*AY124*[2]ステータス!$B$2,0)</f>
        <v>400</v>
      </c>
      <c r="BL124" s="14">
        <f ca="1">ROUND(BD124*T124*AB124*K124*AZ124*[2]ステータス!$C$2,0)</f>
        <v>229</v>
      </c>
      <c r="BM124" s="14">
        <f ca="1">ROUND(BD124*U124*AC124*L124*BA124*[2]ステータス!$D$2,0)</f>
        <v>0</v>
      </c>
      <c r="BN124" s="14">
        <f ca="1">ROUND(BD124*V124*AD124*M124*BB124*[2]ステータス!$E$2,0)</f>
        <v>362</v>
      </c>
      <c r="BO124" s="13">
        <v>0</v>
      </c>
      <c r="BP124" s="13">
        <v>1</v>
      </c>
      <c r="BQ124" s="13" t="s">
        <v>102</v>
      </c>
      <c r="BR124" s="13">
        <f ca="1">VLOOKUP(H124,ghosts_label!$A$2:$B$19,2,FALSE)</f>
        <v>0</v>
      </c>
    </row>
    <row r="125" spans="1:70" ht="21" customHeight="1" x14ac:dyDescent="0.15">
      <c r="A125" s="14">
        <f t="shared" ca="1" si="8"/>
        <v>124</v>
      </c>
      <c r="B125" s="77" t="str">
        <f ca="1">VLOOKUP($A125,OFFSET([2]characters!$A$1,0,0,COUNTA([2]characters!$A:$A),MATCH(B$1,[2]characters!$1:$1,0)-MATCH($A$1,[2]characters!$1:$1,0)+1),MATCH(B$1,[2]characters!$1:$1,0)-MATCH($A$1,[2]characters!$1:$1,0)+1,FALSE)</f>
        <v>黄金の果実</v>
      </c>
      <c r="C125" s="77" t="str">
        <f ca="1">VLOOKUP($A125,OFFSET([2]characters!$A$1,0,0,COUNTA([2]characters!$A:$A),MATCH(C$1,[2]characters!$1:$1,0)-MATCH($A$1,[2]characters!$1:$1,0)+1),MATCH(C$1,[2]characters!$1:$1,0)-MATCH($A$1,[2]characters!$1:$1,0)+1,FALSE)</f>
        <v>限界突破素材・防御・黄</v>
      </c>
      <c r="D125" s="77" t="str">
        <f ca="1">VLOOKUP($A125,OFFSET([2]characters!$A$1,0,0,COUNTA([2]characters!$A:$A),MATCH(D$1,[2]characters!$1:$1,0)-MATCH($A$1,[2]characters!$1:$1,0)+1),MATCH(D$1,[2]characters!$1:$1,0)-MATCH($A$1,[2]characters!$1:$1,0)+1,FALSE)</f>
        <v>アリス</v>
      </c>
      <c r="E125" s="77" t="str">
        <f ca="1">VLOOKUP($A125,OFFSET([2]characters!$A$1,0,0,COUNTA([2]characters!$A:$A),MATCH(E$1,[2]characters!$1:$1,0)-MATCH($A$1,[2]characters!$1:$1,0)+1),MATCH(E$1,[2]characters!$1:$1,0)-MATCH($A$1,[2]characters!$1:$1,0)+1,FALSE)</f>
        <v>世界観</v>
      </c>
      <c r="F125" s="77" t="str">
        <f ca="1">VLOOKUP($A125,OFFSET([2]characters!$A$1,0,0,COUNTA([2]characters!$A:$A),MATCH(F$1,[2]characters!$1:$1,0)-MATCH($A$1,[2]characters!$1:$1,0)+1),MATCH(F$1,[2]characters!$1:$1,0)-MATCH($A$1,[2]characters!$1:$1,0)+1,FALSE)</f>
        <v>不明</v>
      </c>
      <c r="G125" s="77">
        <f ca="1">VLOOKUP($A125,OFFSET([2]characters!$A$1,0,0,COUNTA([2]characters!$A:$A),MATCH(G$1,[2]characters!$1:$1,0)-MATCH($A$1,[2]characters!$1:$1,0)+1),MATCH(G$1,[2]characters!$1:$1,0)-MATCH($A$1,[2]characters!$1:$1,0)+1,FALSE)</f>
        <v>3</v>
      </c>
      <c r="H125" s="77" t="str">
        <f ca="1">VLOOKUP($A125,OFFSET([2]characters!$A$1,0,0,COUNTA([2]characters!$A:$A),MATCH(H$1,[2]characters!$1:$1,0)-MATCH($A$1,[2]characters!$1:$1,0)+1),MATCH(H$1,[2]characters!$1:$1,0)-MATCH($A$1,[2]characters!$1:$1,0)+1,FALSE)</f>
        <v>Material</v>
      </c>
      <c r="I125" s="77" t="str">
        <f ca="1">VLOOKUP($A125,OFFSET([2]characters!$A$1,0,0,COUNTA([2]characters!$A:$A),MATCH(I$1,[2]characters!$1:$1,0)-MATCH($A$1,[2]characters!$1:$1,0)+1),MATCH(I$1,[2]characters!$1:$1,0)-MATCH($A$1,[2]characters!$1:$1,0)+1,FALSE)</f>
        <v>yellow</v>
      </c>
      <c r="J125" s="14">
        <f ca="1">VLOOKUP(I125,[2]属性!$A:$E,2,FALSE)</f>
        <v>0.98</v>
      </c>
      <c r="K125" s="14">
        <f ca="1">VLOOKUP(I125,[2]属性!$A:$E,3,FALSE)</f>
        <v>1.01</v>
      </c>
      <c r="L125" s="14">
        <f ca="1">VLOOKUP(I125,[2]属性!$A:$E,4,FALSE)</f>
        <v>1</v>
      </c>
      <c r="M125" s="14">
        <f ca="1">VLOOKUP(I125,[2]属性!$A:$E,5,FALSE)</f>
        <v>1.01</v>
      </c>
      <c r="N125" s="14">
        <f ca="1">INDEX(コスト!$A$1:$I$20,MATCH(H125,コスト!$A$1:$A$20,FALSE),MATCH(G125,コスト!$A$1:$I$1,FALSE))</f>
        <v>99</v>
      </c>
      <c r="O125" s="14">
        <f ca="1">INDEX(レベル!$A$1:$I$21,MATCH(H125,レベル!$A$1:$A$21,FALSE),MATCH(G125,レベル!$A$1:$I$1,FALSE))</f>
        <v>1</v>
      </c>
      <c r="P125" s="203">
        <v>1</v>
      </c>
      <c r="Q125" s="204" t="s">
        <v>272</v>
      </c>
      <c r="R125" s="8" t="str">
        <f>VLOOKUP(Q125,[2]character_type_i18n!$A:$H,3,FALSE)</f>
        <v>テクニカルタイプ</v>
      </c>
      <c r="S125" s="14">
        <f>VLOOKUP(Q125,[2]character_type_i18n!$A:$H,4,FALSE)</f>
        <v>0.9</v>
      </c>
      <c r="T125" s="14">
        <f>VLOOKUP(Q125,[2]character_type_i18n!$A:$H,5,FALSE)</f>
        <v>0.9</v>
      </c>
      <c r="U125" s="14">
        <f>VLOOKUP(Q125,[2]character_type_i18n!$A:$H,6,FALSE)</f>
        <v>1</v>
      </c>
      <c r="V125" s="14">
        <f>VLOOKUP(Q125,[2]character_type_i18n!$A:$H,7,FALSE)</f>
        <v>0.9</v>
      </c>
      <c r="W125" s="77" t="str">
        <f ca="1">VLOOKUP($A125,OFFSET([2]characters!$A$1,0,0,COUNTA([2]characters!$A:$A),MATCH(W$1,[2]characters!$1:$1,0)-MATCH($A$1,[2]characters!$1:$1,0)+1),MATCH(W$1,[2]characters!$1:$1,0)-MATCH($A$1,[2]characters!$1:$1,0)+1,FALSE)</f>
        <v>unknown</v>
      </c>
      <c r="X125" s="8" t="str">
        <f ca="1">VLOOKUP(W125,[2]character_tribe_i18n!$A:$H,3,FALSE)</f>
        <v>Unknown</v>
      </c>
      <c r="Y125" s="77" t="str">
        <f ca="1">VLOOKUP($A125,OFFSET([2]characters!$A$1,0,0,COUNTA([2]characters!$A:$A),MATCH(Y$1,[2]characters!$1:$1,0)-MATCH($A$1,[2]characters!$1:$1,0)+1),MATCH(Y$1,[2]characters!$1:$1,0)-MATCH($A$1,[2]characters!$1:$1,0)+1,FALSE)</f>
        <v>none</v>
      </c>
      <c r="Z125" s="8" t="str">
        <f ca="1">VLOOKUP(Y125,[2]character_tribe_i18n!$A:$H,3,FALSE)</f>
        <v>種族なし</v>
      </c>
      <c r="AA125" s="14">
        <f ca="1">VLOOKUP(W125,[2]character_tribe_i18n!$A:$H,4,FALSE)</f>
        <v>1</v>
      </c>
      <c r="AB125" s="14">
        <f ca="1">VLOOKUP(W125,[2]character_tribe_i18n!$A:$H,5,FALSE)</f>
        <v>1</v>
      </c>
      <c r="AC125" s="14">
        <f ca="1">VLOOKUP(W125,[2]character_tribe_i18n!$A:$H,6,FALSE)</f>
        <v>1</v>
      </c>
      <c r="AD125" s="14">
        <f ca="1">VLOOKUP(W125,[2]character_tribe_i18n!$A:$H,7,FALSE)</f>
        <v>1</v>
      </c>
      <c r="AE125" s="12" t="s">
        <v>102</v>
      </c>
      <c r="AF125" s="85" t="str">
        <f ca="1">IF(AE125="NULL","",VLOOKUP($AE125,OFFSET([2]characters!$A$1,0,0,COUNTA([2]characters!$A:$A),MATCH(AF$1,[2]characters!$1:$1,0)-MATCH($A$1,[2]characters!$1:$1,0)+1),MATCH(AF$1,[2]characters!$1:$1,0)-MATCH($A$1,[2]characters!$1:$1,0)+1,FALSE))</f>
        <v/>
      </c>
      <c r="AG125" s="8">
        <f t="shared" ca="1" si="9"/>
        <v>124</v>
      </c>
      <c r="AH125" s="85" t="str">
        <f ca="1">VLOOKUP($AG125,OFFSET([2]characters!$A$1,0,0,COUNTA([2]characters!$A:$A),MATCH(AH$1,[2]characters!$1:$1,0)-MATCH($A$1,[2]characters!$1:$1,0)+1),MATCH(AH$1,[2]characters!$1:$1,0)-MATCH($A$1,[2]characters!$1:$1,0)+1,FALSE)</f>
        <v>黄金の果実</v>
      </c>
      <c r="AI125" s="14" t="str">
        <f>IF(AE125="NULL","NULL",VLOOKUP(G125,ビット!$A$2:$B$7,2))</f>
        <v>NULL</v>
      </c>
      <c r="AJ125" s="9">
        <v>2</v>
      </c>
      <c r="AK125" s="10" t="str">
        <f t="shared" si="10"/>
        <v>普通</v>
      </c>
      <c r="AL125" s="14" t="str">
        <f ca="1">INDEX(経験値!$A$1:$I$20,MATCH(H125,経験値!$A$1:$A$20,FALSE),MATCH(G125,経験値!$A$1:$I$1,FALSE))</f>
        <v>NULL</v>
      </c>
      <c r="AM125" s="11">
        <f ca="1">VLOOKUP(G125,経験値!$A$27:$B$31,2)</f>
        <v>1500</v>
      </c>
      <c r="AN125" s="21">
        <f ca="1">VLOOKUP(G125,ビット!$G$2:$H$7,2)</f>
        <v>300</v>
      </c>
      <c r="AO125" s="64" t="s">
        <v>57</v>
      </c>
      <c r="AP125" s="101">
        <v>990012</v>
      </c>
      <c r="AQ125" s="77" t="e">
        <f ca="1">VLOOKUP($AP125,OFFSET([1]unit_skills!$A$1,0,0,COUNTA([1]unit_skills!$A:$A),MATCH("name",[1]unit_skills!$1:$1,0)-MATCH($AP$1,[1]unit_skills!$1:$1,0)+1),MATCH("name",[1]unit_skills!$1:$1,0)-MATCH($AP$1,[1]unit_skills!$1:$1,0)+1,FALSE)</f>
        <v>#VALUE!</v>
      </c>
      <c r="AR125" s="77" t="e">
        <f ca="1">VLOOKUP($AP125,OFFSET([1]unit_skills!$A$1,0,0,COUNTA([1]unit_skills!$A:$A),MATCH("comment",[1]unit_skills!$1:$1,0)-MATCH($AP$1,[1]unit_skills!$1:$1,0)+1),MATCH("comment",[1]unit_skills!$1:$1,0)-MATCH($AP$1,[1]unit_skills!$1:$1,0)+1,FALSE)</f>
        <v>#VALUE!</v>
      </c>
      <c r="AS125" s="77" t="e">
        <f ca="1">VLOOKUP($AP125,OFFSET([1]unit_skills!$A$1,0,0,COUNTA([1]unit_skills!$A:$A),MATCH(AS$1,[1]unit_skills!$1:$1,0)-MATCH($AP$1,[1]unit_skills!$1:$1,0)+1),MATCH(AS$1,[1]unit_skills!$1:$1,0)-MATCH($AP$1,[1]unit_skills!$1:$1,0)+1,FALSE)</f>
        <v>#VALUE!</v>
      </c>
      <c r="AT125" s="104">
        <v>0</v>
      </c>
      <c r="AU125" s="77" t="e">
        <f ca="1">VLOOKUP($AT125,OFFSET([1]crash_skills!$A$1,0,0,COUNTA([1]crash_skills!$A:$A),MATCH("name",[1]crash_skills!$1:$1,0)-MATCH($AT$1,[1]crash_skills!$1:$1,0)+1),MATCH("name",[1]crash_skills!$1:$1,0)-MATCH($AT$1,[1]crash_skills!$1:$1,0)+1,FALSE)</f>
        <v>#VALUE!</v>
      </c>
      <c r="AV125" s="77" t="e">
        <f ca="1">VLOOKUP($AT125,OFFSET([1]crash_skills!$A$1,0,0,COUNTA([1]crash_skills!$A:$A),MATCH("comment",[1]crash_skills!$1:$1,0)-MATCH($AT$1,[1]crash_skills!$1:$1,0)+1),MATCH("comment",[1]crash_skills!$1:$1,0)-MATCH($AT$1,[1]crash_skills!$1:$1,0)+1,FALSE)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25" s="77" t="e">
        <f ca="1">VLOOKUP($AT125,OFFSET([1]crash_skills!$A$1,0,0,COUNTA([1]crash_skills!$A:$A),MATCH(AW$1,[1]crash_skills!$1:$1,0)-MATCH($AT$1,[1]crash_skills!$1:$1,0)+1),MATCH(AW$1,[1]crash_skills!$1:$1,0)-MATCH($AT$1,[1]crash_skills!$1:$1,0)+1,FALSE)</f>
        <v>#VALUE!</v>
      </c>
      <c r="AX125" s="81">
        <f ca="1">VLOOKUP($A125,OFFSET([2]characters!$A$1,0,0,COUNTA([2]characters!$A:$A),MATCH(AX$1,[2]characters!$1:$1,0)-MATCH($A$1,[2]characters!$1:$1,0)+1),MATCH(AX$1,[2]characters!$1:$1,0)-MATCH($A$1,[2]characters!$1:$1,0)+1,FALSE)</f>
        <v>3</v>
      </c>
      <c r="AY125" s="19">
        <v>1</v>
      </c>
      <c r="AZ125" s="19">
        <v>1</v>
      </c>
      <c r="BA125" s="19">
        <v>0</v>
      </c>
      <c r="BB125" s="19">
        <v>1</v>
      </c>
      <c r="BC125" s="14">
        <f ca="1">INDEX('RC6SV'!$A$1:$G$20,MATCH(H125,'RC6SV'!$A$1:$A$20,FALSE),MATCH(G125,'RC6SV'!$A$1:$G$1,FALSE))</f>
        <v>1000</v>
      </c>
      <c r="BD125" s="63">
        <f t="shared" ca="1" si="11"/>
        <v>1000</v>
      </c>
      <c r="BE125" s="14">
        <f t="shared" ca="1" si="12"/>
        <v>0</v>
      </c>
      <c r="BF125" s="14">
        <f t="shared" ca="1" si="13"/>
        <v>1</v>
      </c>
      <c r="BG125" s="20">
        <f ca="1">IF($BE125&lt;=0,ROUND(BK125*0.5,0), ROUND($BE125*S125*AA125*J125*AY125*0.8*[2]ステータス!$B$2,0))</f>
        <v>221</v>
      </c>
      <c r="BH125" s="20">
        <f ca="1">IF($BE125&lt;=0,ROUND(BL125*0.5,0), ROUND($BE125*T125*AB125*K125*AZ125*0.8*[2]ステータス!$C$2,0))</f>
        <v>137</v>
      </c>
      <c r="BI125" s="20">
        <f ca="1">IF($BE125&lt;=0,ROUND(BM125*0.5,0), ROUND($BE125*U125*AC125*L125*BA125*0.8*[2]ステータス!$D$2,0))</f>
        <v>0</v>
      </c>
      <c r="BJ125" s="20">
        <f ca="1">IF($BE125&lt;=0,ROUND(BN125*0.5,0), ROUND($BE125*V125*AD125*M125*BB125*0.8*[2]ステータス!$E$2,0))</f>
        <v>114</v>
      </c>
      <c r="BK125" s="14">
        <f ca="1">ROUND(BD125*S125*AA125*J125*AY125*[2]ステータス!$B$2,0)</f>
        <v>441</v>
      </c>
      <c r="BL125" s="14">
        <f ca="1">ROUND(BD125*T125*AB125*K125*AZ125*[2]ステータス!$C$2,0)</f>
        <v>273</v>
      </c>
      <c r="BM125" s="14">
        <f ca="1">ROUND(BD125*U125*AC125*L125*BA125*[2]ステータス!$D$2,0)</f>
        <v>0</v>
      </c>
      <c r="BN125" s="14">
        <f ca="1">ROUND(BD125*V125*AD125*M125*BB125*[2]ステータス!$E$2,0)</f>
        <v>227</v>
      </c>
      <c r="BO125" s="13">
        <v>0</v>
      </c>
      <c r="BP125" s="13">
        <v>1</v>
      </c>
      <c r="BQ125" s="13" t="s">
        <v>102</v>
      </c>
      <c r="BR125" s="13">
        <f ca="1">VLOOKUP(H125,ghosts_label!$A$2:$B$19,2,FALSE)</f>
        <v>0</v>
      </c>
    </row>
    <row r="126" spans="1:70" ht="21" customHeight="1" x14ac:dyDescent="0.15">
      <c r="A126" s="14">
        <f t="shared" ca="1" si="8"/>
        <v>125</v>
      </c>
      <c r="B126" s="77" t="str">
        <f ca="1">VLOOKUP($A126,OFFSET([2]characters!$A$1,0,0,COUNTA([2]characters!$A:$A),MATCH(B$1,[2]characters!$1:$1,0)-MATCH($A$1,[2]characters!$1:$1,0)+1),MATCH(B$1,[2]characters!$1:$1,0)-MATCH($A$1,[2]characters!$1:$1,0)+1,FALSE)</f>
        <v>秘術の果実</v>
      </c>
      <c r="C126" s="77" t="str">
        <f ca="1">VLOOKUP($A126,OFFSET([2]characters!$A$1,0,0,COUNTA([2]characters!$A:$A),MATCH(C$1,[2]characters!$1:$1,0)-MATCH($A$1,[2]characters!$1:$1,0)+1),MATCH(C$1,[2]characters!$1:$1,0)-MATCH($A$1,[2]characters!$1:$1,0)+1,FALSE)</f>
        <v>スキル進化素材</v>
      </c>
      <c r="D126" s="77" t="str">
        <f ca="1">VLOOKUP($A126,OFFSET([2]characters!$A$1,0,0,COUNTA([2]characters!$A:$A),MATCH(D$1,[2]characters!$1:$1,0)-MATCH($A$1,[2]characters!$1:$1,0)+1),MATCH(D$1,[2]characters!$1:$1,0)-MATCH($A$1,[2]characters!$1:$1,0)+1,FALSE)</f>
        <v>アリス</v>
      </c>
      <c r="E126" s="77" t="str">
        <f ca="1">VLOOKUP($A126,OFFSET([2]characters!$A$1,0,0,COUNTA([2]characters!$A:$A),MATCH(E$1,[2]characters!$1:$1,0)-MATCH($A$1,[2]characters!$1:$1,0)+1),MATCH(E$1,[2]characters!$1:$1,0)-MATCH($A$1,[2]characters!$1:$1,0)+1,FALSE)</f>
        <v>世界観</v>
      </c>
      <c r="F126" s="77" t="str">
        <f ca="1">VLOOKUP($A126,OFFSET([2]characters!$A$1,0,0,COUNTA([2]characters!$A:$A),MATCH(F$1,[2]characters!$1:$1,0)-MATCH($A$1,[2]characters!$1:$1,0)+1),MATCH(F$1,[2]characters!$1:$1,0)-MATCH($A$1,[2]characters!$1:$1,0)+1,FALSE)</f>
        <v>不明</v>
      </c>
      <c r="G126" s="77">
        <f ca="1">VLOOKUP($A126,OFFSET([2]characters!$A$1,0,0,COUNTA([2]characters!$A:$A),MATCH(G$1,[2]characters!$1:$1,0)-MATCH($A$1,[2]characters!$1:$1,0)+1),MATCH(G$1,[2]characters!$1:$1,0)-MATCH($A$1,[2]characters!$1:$1,0)+1,FALSE)</f>
        <v>3</v>
      </c>
      <c r="H126" s="77" t="str">
        <f ca="1">VLOOKUP($A126,OFFSET([2]characters!$A$1,0,0,COUNTA([2]characters!$A:$A),MATCH(H$1,[2]characters!$1:$1,0)-MATCH($A$1,[2]characters!$1:$1,0)+1),MATCH(H$1,[2]characters!$1:$1,0)-MATCH($A$1,[2]characters!$1:$1,0)+1,FALSE)</f>
        <v>Material</v>
      </c>
      <c r="I126" s="77" t="str">
        <f ca="1">VLOOKUP($A126,OFFSET([2]characters!$A$1,0,0,COUNTA([2]characters!$A:$A),MATCH(I$1,[2]characters!$1:$1,0)-MATCH($A$1,[2]characters!$1:$1,0)+1),MATCH(I$1,[2]characters!$1:$1,0)-MATCH($A$1,[2]characters!$1:$1,0)+1,FALSE)</f>
        <v>blue</v>
      </c>
      <c r="J126" s="14">
        <f ca="1">VLOOKUP(I126,[2]属性!$A:$E,2,FALSE)</f>
        <v>1</v>
      </c>
      <c r="K126" s="14">
        <f ca="1">VLOOKUP(I126,[2]属性!$A:$E,3,FALSE)</f>
        <v>0.98</v>
      </c>
      <c r="L126" s="14">
        <f ca="1">VLOOKUP(I126,[2]属性!$A:$E,4,FALSE)</f>
        <v>1</v>
      </c>
      <c r="M126" s="14">
        <f ca="1">VLOOKUP(I126,[2]属性!$A:$E,5,FALSE)</f>
        <v>1.02</v>
      </c>
      <c r="N126" s="14">
        <f ca="1">INDEX(コスト!$A$1:$I$20,MATCH(H126,コスト!$A$1:$A$20,FALSE),MATCH(G126,コスト!$A$1:$I$1,FALSE))</f>
        <v>99</v>
      </c>
      <c r="O126" s="14">
        <f ca="1">INDEX(レベル!$A$1:$I$21,MATCH(H126,レベル!$A$1:$A$21,FALSE),MATCH(G126,レベル!$A$1:$I$1,FALSE))</f>
        <v>1</v>
      </c>
      <c r="P126" s="203">
        <v>1</v>
      </c>
      <c r="Q126" s="204" t="s">
        <v>273</v>
      </c>
      <c r="R126" s="8" t="str">
        <f>VLOOKUP(Q126,[2]character_type_i18n!$A:$H,3,FALSE)</f>
        <v>バランスタイプ</v>
      </c>
      <c r="S126" s="14">
        <f>VLOOKUP(Q126,[2]character_type_i18n!$A:$H,4,FALSE)</f>
        <v>1</v>
      </c>
      <c r="T126" s="14">
        <f>VLOOKUP(Q126,[2]character_type_i18n!$A:$H,5,FALSE)</f>
        <v>1</v>
      </c>
      <c r="U126" s="14">
        <f>VLOOKUP(Q126,[2]character_type_i18n!$A:$H,6,FALSE)</f>
        <v>1</v>
      </c>
      <c r="V126" s="14">
        <f>VLOOKUP(Q126,[2]character_type_i18n!$A:$H,7,FALSE)</f>
        <v>1</v>
      </c>
      <c r="W126" s="77" t="str">
        <f ca="1">VLOOKUP($A126,OFFSET([2]characters!$A$1,0,0,COUNTA([2]characters!$A:$A),MATCH(W$1,[2]characters!$1:$1,0)-MATCH($A$1,[2]characters!$1:$1,0)+1),MATCH(W$1,[2]characters!$1:$1,0)-MATCH($A$1,[2]characters!$1:$1,0)+1,FALSE)</f>
        <v>unknown</v>
      </c>
      <c r="X126" s="8" t="str">
        <f ca="1">VLOOKUP(W126,[2]character_tribe_i18n!$A:$H,3,FALSE)</f>
        <v>Unknown</v>
      </c>
      <c r="Y126" s="77" t="str">
        <f ca="1">VLOOKUP($A126,OFFSET([2]characters!$A$1,0,0,COUNTA([2]characters!$A:$A),MATCH(Y$1,[2]characters!$1:$1,0)-MATCH($A$1,[2]characters!$1:$1,0)+1),MATCH(Y$1,[2]characters!$1:$1,0)-MATCH($A$1,[2]characters!$1:$1,0)+1,FALSE)</f>
        <v>none</v>
      </c>
      <c r="Z126" s="8" t="str">
        <f ca="1">VLOOKUP(Y126,[2]character_tribe_i18n!$A:$H,3,FALSE)</f>
        <v>種族なし</v>
      </c>
      <c r="AA126" s="14">
        <f ca="1">VLOOKUP(W126,[2]character_tribe_i18n!$A:$H,4,FALSE)</f>
        <v>1</v>
      </c>
      <c r="AB126" s="14">
        <f ca="1">VLOOKUP(W126,[2]character_tribe_i18n!$A:$H,5,FALSE)</f>
        <v>1</v>
      </c>
      <c r="AC126" s="14">
        <f ca="1">VLOOKUP(W126,[2]character_tribe_i18n!$A:$H,6,FALSE)</f>
        <v>1</v>
      </c>
      <c r="AD126" s="14">
        <f ca="1">VLOOKUP(W126,[2]character_tribe_i18n!$A:$H,7,FALSE)</f>
        <v>1</v>
      </c>
      <c r="AE126" s="12" t="s">
        <v>102</v>
      </c>
      <c r="AF126" s="85" t="str">
        <f ca="1">IF(AE126="NULL","",VLOOKUP($AE126,OFFSET([2]characters!$A$1,0,0,COUNTA([2]characters!$A:$A),MATCH(AF$1,[2]characters!$1:$1,0)-MATCH($A$1,[2]characters!$1:$1,0)+1),MATCH(AF$1,[2]characters!$1:$1,0)-MATCH($A$1,[2]characters!$1:$1,0)+1,FALSE))</f>
        <v/>
      </c>
      <c r="AG126" s="8">
        <f t="shared" ca="1" si="9"/>
        <v>125</v>
      </c>
      <c r="AH126" s="85" t="str">
        <f ca="1">VLOOKUP($AG126,OFFSET([2]characters!$A$1,0,0,COUNTA([2]characters!$A:$A),MATCH(AH$1,[2]characters!$1:$1,0)-MATCH($A$1,[2]characters!$1:$1,0)+1),MATCH(AH$1,[2]characters!$1:$1,0)-MATCH($A$1,[2]characters!$1:$1,0)+1,FALSE)</f>
        <v>秘術の果実</v>
      </c>
      <c r="AI126" s="104" t="str">
        <f>IF(AE126="NULL","NULL",VLOOKUP(G126,ビット!$A$2:$B$7,2)/5)</f>
        <v>NULL</v>
      </c>
      <c r="AJ126" s="9">
        <v>2</v>
      </c>
      <c r="AK126" s="10" t="str">
        <f t="shared" si="10"/>
        <v>普通</v>
      </c>
      <c r="AL126" s="14" t="str">
        <f ca="1">INDEX(経験値!$A$1:$I$20,MATCH(H126,経験値!$A$1:$A$20,FALSE),MATCH(G126,経験値!$A$1:$I$1,FALSE))</f>
        <v>NULL</v>
      </c>
      <c r="AM126" s="11">
        <f ca="1">VLOOKUP(G126,経験値!$A$27:$B$31,2)</f>
        <v>1500</v>
      </c>
      <c r="AN126" s="21">
        <f ca="1">VLOOKUP(G126,ビット!$G$2:$H$7,2)</f>
        <v>300</v>
      </c>
      <c r="AO126" s="64" t="s">
        <v>33</v>
      </c>
      <c r="AP126" s="101">
        <v>990013</v>
      </c>
      <c r="AQ126" s="77" t="e">
        <f ca="1">VLOOKUP($AP126,OFFSET([1]unit_skills!$A$1,0,0,COUNTA([1]unit_skills!$A:$A),MATCH("name",[1]unit_skills!$1:$1,0)-MATCH($AP$1,[1]unit_skills!$1:$1,0)+1),MATCH("name",[1]unit_skills!$1:$1,0)-MATCH($AP$1,[1]unit_skills!$1:$1,0)+1,FALSE)</f>
        <v>#VALUE!</v>
      </c>
      <c r="AR126" s="77" t="e">
        <f ca="1">VLOOKUP($AP126,OFFSET([1]unit_skills!$A$1,0,0,COUNTA([1]unit_skills!$A:$A),MATCH("comment",[1]unit_skills!$1:$1,0)-MATCH($AP$1,[1]unit_skills!$1:$1,0)+1),MATCH("comment",[1]unit_skills!$1:$1,0)-MATCH($AP$1,[1]unit_skills!$1:$1,0)+1,FALSE)</f>
        <v>#VALUE!</v>
      </c>
      <c r="AS126" s="77" t="e">
        <f ca="1">VLOOKUP($AP126,OFFSET([1]unit_skills!$A$1,0,0,COUNTA([1]unit_skills!$A:$A),MATCH(AS$1,[1]unit_skills!$1:$1,0)-MATCH($AP$1,[1]unit_skills!$1:$1,0)+1),MATCH(AS$1,[1]unit_skills!$1:$1,0)-MATCH($AP$1,[1]unit_skills!$1:$1,0)+1,FALSE)</f>
        <v>#VALUE!</v>
      </c>
      <c r="AT126" s="104">
        <v>0</v>
      </c>
      <c r="AU126" s="77" t="e">
        <f ca="1">VLOOKUP($AT126,OFFSET([1]crash_skills!$A$1,0,0,COUNTA([1]crash_skills!$A:$A),MATCH("name",[1]crash_skills!$1:$1,0)-MATCH($AT$1,[1]crash_skills!$1:$1,0)+1),MATCH("name",[1]crash_skills!$1:$1,0)-MATCH($AT$1,[1]crash_skills!$1:$1,0)+1,FALSE)</f>
        <v>#VALUE!</v>
      </c>
      <c r="AV126" s="77" t="e">
        <f ca="1">VLOOKUP($AT126,OFFSET([1]crash_skills!$A$1,0,0,COUNTA([1]crash_skills!$A:$A),MATCH("comment",[1]crash_skills!$1:$1,0)-MATCH($AT$1,[1]crash_skills!$1:$1,0)+1),MATCH("comment",[1]crash_skills!$1:$1,0)-MATCH($AT$1,[1]crash_skills!$1:$1,0)+1,FALSE)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26" s="77" t="e">
        <f ca="1">VLOOKUP($AT126,OFFSET([1]crash_skills!$A$1,0,0,COUNTA([1]crash_skills!$A:$A),MATCH(AW$1,[1]crash_skills!$1:$1,0)-MATCH($AT$1,[1]crash_skills!$1:$1,0)+1),MATCH(AW$1,[1]crash_skills!$1:$1,0)-MATCH($AT$1,[1]crash_skills!$1:$1,0)+1,FALSE)</f>
        <v>#VALUE!</v>
      </c>
      <c r="AX126" s="81">
        <f ca="1">VLOOKUP($A126,OFFSET([2]characters!$A$1,0,0,COUNTA([2]characters!$A:$A),MATCH(AX$1,[2]characters!$1:$1,0)-MATCH($A$1,[2]characters!$1:$1,0)+1),MATCH(AX$1,[2]characters!$1:$1,0)-MATCH($A$1,[2]characters!$1:$1,0)+1,FALSE)</f>
        <v>3</v>
      </c>
      <c r="AY126" s="19">
        <v>1</v>
      </c>
      <c r="AZ126" s="19">
        <v>1</v>
      </c>
      <c r="BA126" s="19">
        <v>0</v>
      </c>
      <c r="BB126" s="19">
        <v>1</v>
      </c>
      <c r="BC126" s="14">
        <f ca="1">INDEX('RC6SV'!$A$1:$G$20,MATCH(H126,'RC6SV'!$A$1:$A$20,FALSE),MATCH(G126,'RC6SV'!$A$1:$G$1,FALSE))</f>
        <v>1000</v>
      </c>
      <c r="BD126" s="63">
        <f t="shared" ca="1" si="11"/>
        <v>1000</v>
      </c>
      <c r="BE126" s="14">
        <f t="shared" ca="1" si="12"/>
        <v>0</v>
      </c>
      <c r="BF126" s="14">
        <f t="shared" ca="1" si="13"/>
        <v>1</v>
      </c>
      <c r="BG126" s="20">
        <f ca="1">IF($BE126&lt;=0,ROUND(BK126*0.5,0), ROUND($BE126*S126*AA126*J126*AY126*0.8*[2]ステータス!$B$2,0))</f>
        <v>250</v>
      </c>
      <c r="BH126" s="20">
        <f ca="1">IF($BE126&lt;=0,ROUND(BL126*0.5,0), ROUND($BE126*T126*AB126*K126*AZ126*0.8*[2]ステータス!$C$2,0))</f>
        <v>147</v>
      </c>
      <c r="BI126" s="20">
        <f ca="1">IF($BE126&lt;=0,ROUND(BM126*0.5,0), ROUND($BE126*U126*AC126*L126*BA126*0.8*[2]ステータス!$D$2,0))</f>
        <v>0</v>
      </c>
      <c r="BJ126" s="20">
        <f ca="1">IF($BE126&lt;=0,ROUND(BN126*0.5,0), ROUND($BE126*V126*AD126*M126*BB126*0.8*[2]ステータス!$E$2,0))</f>
        <v>128</v>
      </c>
      <c r="BK126" s="14">
        <f ca="1">ROUND(BD126*S126*AA126*J126*AY126*[2]ステータス!$B$2,0)</f>
        <v>500</v>
      </c>
      <c r="BL126" s="14">
        <f ca="1">ROUND(BD126*T126*AB126*K126*AZ126*[2]ステータス!$C$2,0)</f>
        <v>294</v>
      </c>
      <c r="BM126" s="14">
        <f ca="1">ROUND(BD126*U126*AC126*L126*BA126*[2]ステータス!$D$2,0)</f>
        <v>0</v>
      </c>
      <c r="BN126" s="14">
        <f ca="1">ROUND(BD126*V126*AD126*M126*BB126*[2]ステータス!$E$2,0)</f>
        <v>255</v>
      </c>
      <c r="BO126" s="13">
        <v>0</v>
      </c>
      <c r="BP126" s="13">
        <v>1</v>
      </c>
      <c r="BQ126" s="13" t="s">
        <v>102</v>
      </c>
      <c r="BR126" s="13">
        <f ca="1">VLOOKUP(H126,ghosts_label!$A$2:$B$19,2,FALSE)</f>
        <v>0</v>
      </c>
    </row>
    <row r="127" spans="1:70" ht="21" customHeight="1" x14ac:dyDescent="0.15">
      <c r="A127" s="14">
        <f t="shared" ca="1" si="8"/>
        <v>126</v>
      </c>
      <c r="B127" s="77" t="str">
        <f ca="1">VLOOKUP($A127,OFFSET([2]characters!$A$1,0,0,COUNTA([2]characters!$A:$A),MATCH(B$1,[2]characters!$1:$1,0)-MATCH($A$1,[2]characters!$1:$1,0)+1),MATCH(B$1,[2]characters!$1:$1,0)-MATCH($A$1,[2]characters!$1:$1,0)+1,FALSE)</f>
        <v>骨器使い ユノ</v>
      </c>
      <c r="C127" s="77" t="str">
        <f ca="1">VLOOKUP($A127,OFFSET([2]characters!$A$1,0,0,COUNTA([2]characters!$A:$A),MATCH(C$1,[2]characters!$1:$1,0)-MATCH($A$1,[2]characters!$1:$1,0)+1),MATCH(C$1,[2]characters!$1:$1,0)-MATCH($A$1,[2]characters!$1:$1,0)+1,FALSE)</f>
        <v>初期ガチャ</v>
      </c>
      <c r="D127" s="77" t="str">
        <f ca="1">VLOOKUP($A127,OFFSET([2]characters!$A$1,0,0,COUNTA([2]characters!$A:$A),MATCH(D$1,[2]characters!$1:$1,0)-MATCH($A$1,[2]characters!$1:$1,0)+1),MATCH(D$1,[2]characters!$1:$1,0)-MATCH($A$1,[2]characters!$1:$1,0)+1,FALSE)</f>
        <v>アバター</v>
      </c>
      <c r="E127" s="77" t="str">
        <f ca="1">VLOOKUP($A127,OFFSET([2]characters!$A$1,0,0,COUNTA([2]characters!$A:$A),MATCH(E$1,[2]characters!$1:$1,0)-MATCH($A$1,[2]characters!$1:$1,0)+1),MATCH(E$1,[2]characters!$1:$1,0)-MATCH($A$1,[2]characters!$1:$1,0)+1,FALSE)</f>
        <v>美しい</v>
      </c>
      <c r="F127" s="77" t="str">
        <f ca="1">VLOOKUP($A127,OFFSET([2]characters!$A$1,0,0,COUNTA([2]characters!$A:$A),MATCH(F$1,[2]characters!$1:$1,0)-MATCH($A$1,[2]characters!$1:$1,0)+1),MATCH(F$1,[2]characters!$1:$1,0)-MATCH($A$1,[2]characters!$1:$1,0)+1,FALSE)</f>
        <v>女性</v>
      </c>
      <c r="G127" s="77">
        <f ca="1">VLOOKUP($A127,OFFSET([2]characters!$A$1,0,0,COUNTA([2]characters!$A:$A),MATCH(G$1,[2]characters!$1:$1,0)-MATCH($A$1,[2]characters!$1:$1,0)+1),MATCH(G$1,[2]characters!$1:$1,0)-MATCH($A$1,[2]characters!$1:$1,0)+1,FALSE)</f>
        <v>3</v>
      </c>
      <c r="H127" s="77" t="str">
        <f ca="1">VLOOKUP($A127,OFFSET([2]characters!$A$1,0,0,COUNTA([2]characters!$A:$A),MATCH(H$1,[2]characters!$1:$1,0)-MATCH($A$1,[2]characters!$1:$1,0)+1),MATCH(H$1,[2]characters!$1:$1,0)-MATCH($A$1,[2]characters!$1:$1,0)+1,FALSE)</f>
        <v>PremiumW</v>
      </c>
      <c r="I127" s="77" t="str">
        <f ca="1">VLOOKUP($A127,OFFSET([2]characters!$A$1,0,0,COUNTA([2]characters!$A:$A),MATCH(I$1,[2]characters!$1:$1,0)-MATCH($A$1,[2]characters!$1:$1,0)+1),MATCH(I$1,[2]characters!$1:$1,0)-MATCH($A$1,[2]characters!$1:$1,0)+1,FALSE)</f>
        <v>red</v>
      </c>
      <c r="J127" s="14">
        <f ca="1">VLOOKUP(I127,[2]属性!$A:$E,2,FALSE)</f>
        <v>1</v>
      </c>
      <c r="K127" s="14">
        <f ca="1">VLOOKUP(I127,[2]属性!$A:$E,3,FALSE)</f>
        <v>1.02</v>
      </c>
      <c r="L127" s="14">
        <f ca="1">VLOOKUP(I127,[2]属性!$A:$E,4,FALSE)</f>
        <v>1</v>
      </c>
      <c r="M127" s="14">
        <f ca="1">VLOOKUP(I127,[2]属性!$A:$E,5,FALSE)</f>
        <v>0.98</v>
      </c>
      <c r="N127" s="14">
        <f ca="1">INDEX(コスト!$A$1:$I$20,MATCH(H127,コスト!$A$1:$A$20,FALSE),MATCH(G127,コスト!$A$1:$I$1,FALSE))</f>
        <v>7</v>
      </c>
      <c r="O127" s="14">
        <f ca="1">INDEX(レベル!$A$1:$I$21,MATCH(H127,レベル!$A$1:$A$21,FALSE),MATCH(G127,レベル!$A$1:$I$1,FALSE))</f>
        <v>40</v>
      </c>
      <c r="P127" s="63">
        <f t="shared" ca="1" si="14"/>
        <v>45</v>
      </c>
      <c r="Q127" s="77" t="str">
        <f ca="1">VLOOKUP($A127,OFFSET([2]characters!$A$1,0,0,COUNTA([2]characters!$A:$A),MATCH(Q$1,[2]characters!$1:$1,0)-MATCH($A$1,[2]characters!$1:$1,0)+1),MATCH(Q$1,[2]characters!$1:$1,0)-MATCH($A$1,[2]characters!$1:$1,0)+1,FALSE)</f>
        <v>attack</v>
      </c>
      <c r="R127" s="8" t="str">
        <f ca="1">VLOOKUP(Q127,[2]character_type_i18n!$A:$H,3,FALSE)</f>
        <v>攻撃タイプ</v>
      </c>
      <c r="S127" s="14">
        <f ca="1">VLOOKUP(Q127,[2]character_type_i18n!$A:$H,4,FALSE)</f>
        <v>1</v>
      </c>
      <c r="T127" s="14">
        <f ca="1">VLOOKUP(Q127,[2]character_type_i18n!$A:$H,5,FALSE)</f>
        <v>1.33</v>
      </c>
      <c r="U127" s="14">
        <f ca="1">VLOOKUP(Q127,[2]character_type_i18n!$A:$H,6,FALSE)</f>
        <v>1</v>
      </c>
      <c r="V127" s="14">
        <f ca="1">VLOOKUP(Q127,[2]character_type_i18n!$A:$H,7,FALSE)</f>
        <v>0.67</v>
      </c>
      <c r="W127" s="77" t="str">
        <f ca="1">VLOOKUP($A127,OFFSET([2]characters!$A$1,0,0,COUNTA([2]characters!$A:$A),MATCH(W$1,[2]characters!$1:$1,0)-MATCH($A$1,[2]characters!$1:$1,0)+1),MATCH(W$1,[2]characters!$1:$1,0)-MATCH($A$1,[2]characters!$1:$1,0)+1,FALSE)</f>
        <v>human</v>
      </c>
      <c r="X127" s="8" t="str">
        <f ca="1">VLOOKUP(W127,[2]character_tribe_i18n!$A:$H,3,FALSE)</f>
        <v>ヒューマン</v>
      </c>
      <c r="Y127" s="77" t="str">
        <f ca="1">VLOOKUP($A127,OFFSET([2]characters!$A$1,0,0,COUNTA([2]characters!$A:$A),MATCH(Y$1,[2]characters!$1:$1,0)-MATCH($A$1,[2]characters!$1:$1,0)+1),MATCH(Y$1,[2]characters!$1:$1,0)-MATCH($A$1,[2]characters!$1:$1,0)+1,FALSE)</f>
        <v>animal</v>
      </c>
      <c r="Z127" s="8" t="str">
        <f ca="1">VLOOKUP(Y127,[2]character_tribe_i18n!$A:$H,3,FALSE)</f>
        <v>アニマル</v>
      </c>
      <c r="AA127" s="14">
        <f ca="1">VLOOKUP(W127,[2]character_tribe_i18n!$A:$H,4,FALSE)</f>
        <v>0.94</v>
      </c>
      <c r="AB127" s="14">
        <f ca="1">VLOOKUP(W127,[2]character_tribe_i18n!$A:$H,5,FALSE)</f>
        <v>0.99</v>
      </c>
      <c r="AC127" s="14">
        <f ca="1">VLOOKUP(W127,[2]character_tribe_i18n!$A:$H,6,FALSE)</f>
        <v>1</v>
      </c>
      <c r="AD127" s="14">
        <f ca="1">VLOOKUP(W127,[2]character_tribe_i18n!$A:$H,7,FALSE)</f>
        <v>1.07</v>
      </c>
      <c r="AE127" s="12">
        <v>127</v>
      </c>
      <c r="AF127" s="85" t="str">
        <f ca="1">IF(AE127="NULL","",VLOOKUP($AE127,OFFSET([2]characters!$A$1,0,0,COUNTA([2]characters!$A:$A),MATCH(AF$1,[2]characters!$1:$1,0)-MATCH($A$1,[2]characters!$1:$1,0)+1),MATCH(AF$1,[2]characters!$1:$1,0)-MATCH($A$1,[2]characters!$1:$1,0)+1,FALSE))</f>
        <v>狂喜の賢者 ユノ</v>
      </c>
      <c r="AG127" s="8">
        <f t="shared" ca="1" si="9"/>
        <v>126</v>
      </c>
      <c r="AH127" s="85" t="str">
        <f ca="1">VLOOKUP($AG127,OFFSET([2]characters!$A$1,0,0,COUNTA([2]characters!$A:$A),MATCH(AH$1,[2]characters!$1:$1,0)-MATCH($A$1,[2]characters!$1:$1,0)+1),MATCH(AH$1,[2]characters!$1:$1,0)-MATCH($A$1,[2]characters!$1:$1,0)+1,FALSE)</f>
        <v>骨器使い ユノ</v>
      </c>
      <c r="AI127" s="14">
        <f ca="1">IF(AE127="NULL","NULL",VLOOKUP(G127,ビット!$A$2:$B$7,2))</f>
        <v>20000</v>
      </c>
      <c r="AJ127" s="9">
        <v>2</v>
      </c>
      <c r="AK127" s="10" t="str">
        <f t="shared" si="10"/>
        <v>普通</v>
      </c>
      <c r="AL127" s="14" t="str">
        <f ca="1">INDEX(経験値!$A$1:$I$20,MATCH(H127,経験値!$A$1:$A$20,FALSE),MATCH(G127,経験値!$A$1:$I$1,FALSE))</f>
        <v>required_exp_150</v>
      </c>
      <c r="AM127" s="11">
        <f ca="1">VLOOKUP(G127,経験値!$A$27:$B$31,2)</f>
        <v>1500</v>
      </c>
      <c r="AN127" s="21">
        <f ca="1">VLOOKUP(G127,ビット!$G$2:$H$7,2)</f>
        <v>300</v>
      </c>
      <c r="AO127" s="100" t="s">
        <v>178</v>
      </c>
      <c r="AP127" s="97">
        <v>311003</v>
      </c>
      <c r="AQ127" s="77" t="e">
        <f ca="1">VLOOKUP($AP127,OFFSET([1]unit_skills!$A$1,0,0,COUNTA([1]unit_skills!$A:$A),MATCH("name",[1]unit_skills!$1:$1,0)-MATCH($AP$1,[1]unit_skills!$1:$1,0)+1),MATCH("name",[1]unit_skills!$1:$1,0)-MATCH($AP$1,[1]unit_skills!$1:$1,0)+1,FALSE)</f>
        <v>#VALUE!</v>
      </c>
      <c r="AR127" s="77" t="e">
        <f ca="1">VLOOKUP($AP127,OFFSET([1]unit_skills!$A$1,0,0,COUNTA([1]unit_skills!$A:$A),MATCH("comment",[1]unit_skills!$1:$1,0)-MATCH($AP$1,[1]unit_skills!$1:$1,0)+1),MATCH("comment",[1]unit_skills!$1:$1,0)-MATCH($AP$1,[1]unit_skills!$1:$1,0)+1,FALSE)</f>
        <v>#VALUE!</v>
      </c>
      <c r="AS127" s="77" t="e">
        <f ca="1">VLOOKUP($AP127,OFFSET([1]unit_skills!$A$1,0,0,COUNTA([1]unit_skills!$A:$A),MATCH(AS$1,[1]unit_skills!$1:$1,0)-MATCH($AP$1,[1]unit_skills!$1:$1,0)+1),MATCH(AS$1,[1]unit_skills!$1:$1,0)-MATCH($AP$1,[1]unit_skills!$1:$1,0)+1,FALSE)</f>
        <v>#VALUE!</v>
      </c>
      <c r="AT127" s="97">
        <v>151002</v>
      </c>
      <c r="AU127" s="77" t="e">
        <f ca="1">VLOOKUP($AT127,OFFSET([1]crash_skills!$A$1,0,0,COUNTA([1]crash_skills!$A:$A),MATCH("name",[1]crash_skills!$1:$1,0)-MATCH($AT$1,[1]crash_skills!$1:$1,0)+1),MATCH("name",[1]crash_skills!$1:$1,0)-MATCH($AT$1,[1]crash_skills!$1:$1,0)+1,FALSE)</f>
        <v>#VALUE!</v>
      </c>
      <c r="AV127" s="77" t="e">
        <f ca="1">VLOOKUP($AT127,OFFSET([1]crash_skills!$A$1,0,0,COUNTA([1]crash_skills!$A:$A),MATCH("comment",[1]crash_skills!$1:$1,0)-MATCH($AT$1,[1]crash_skills!$1:$1,0)+1),MATCH("comment",[1]crash_skills!$1:$1,0)-MATCH($AT$1,[1]crash_skills!$1:$1,0)+1,FALSE)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27" s="77" t="e">
        <f ca="1">VLOOKUP($AT127,OFFSET([1]crash_skills!$A$1,0,0,COUNTA([1]crash_skills!$A:$A),MATCH(AW$1,[1]crash_skills!$1:$1,0)-MATCH($AT$1,[1]crash_skills!$1:$1,0)+1),MATCH(AW$1,[1]crash_skills!$1:$1,0)-MATCH($AT$1,[1]crash_skills!$1:$1,0)+1,FALSE)</f>
        <v>#VALUE!</v>
      </c>
      <c r="AX127" s="81">
        <f ca="1">VLOOKUP($A127,OFFSET([2]characters!$A$1,0,0,COUNTA([2]characters!$A:$A),MATCH(AX$1,[2]characters!$1:$1,0)-MATCH($A$1,[2]characters!$1:$1,0)+1),MATCH(AX$1,[2]characters!$1:$1,0)-MATCH($A$1,[2]characters!$1:$1,0)+1,FALSE)</f>
        <v>3</v>
      </c>
      <c r="AY127" s="19">
        <v>1</v>
      </c>
      <c r="AZ127" s="19">
        <v>1</v>
      </c>
      <c r="BA127" s="19">
        <v>0</v>
      </c>
      <c r="BB127" s="19">
        <v>1</v>
      </c>
      <c r="BC127" s="14">
        <f ca="1">INDEX('RC6SV'!$A$1:$G$20,MATCH(H127,'RC6SV'!$A$1:$A$20,FALSE),MATCH(G127,'RC6SV'!$A$1:$G$1,FALSE))</f>
        <v>4800</v>
      </c>
      <c r="BD127" s="63">
        <f t="shared" ca="1" si="11"/>
        <v>4800</v>
      </c>
      <c r="BE127" s="14">
        <f t="shared" ca="1" si="12"/>
        <v>0</v>
      </c>
      <c r="BF127" s="14">
        <f t="shared" ca="1" si="13"/>
        <v>1</v>
      </c>
      <c r="BG127" s="20">
        <f ca="1">IF($BE127&lt;=0,ROUND(BK127*0.5,0), ROUND($BE127*S127*AA127*J127*AY127*0.8*[2]ステータス!$B$2,0))</f>
        <v>1128</v>
      </c>
      <c r="BH127" s="20">
        <f ca="1">IF($BE127&lt;=0,ROUND(BL127*0.5,0), ROUND($BE127*T127*AB127*K127*AZ127*0.8*[2]ステータス!$C$2,0))</f>
        <v>967</v>
      </c>
      <c r="BI127" s="20">
        <f ca="1">IF($BE127&lt;=0,ROUND(BM127*0.5,0), ROUND($BE127*U127*AC127*L127*BA127*0.8*[2]ステータス!$D$2,0))</f>
        <v>0</v>
      </c>
      <c r="BJ127" s="20">
        <f ca="1">IF($BE127&lt;=0,ROUND(BN127*0.5,0), ROUND($BE127*V127*AD127*M127*BB127*0.8*[2]ステータス!$E$2,0))</f>
        <v>422</v>
      </c>
      <c r="BK127" s="14">
        <f ca="1">ROUND(BD127*S127*AA127*J127*AY127*[2]ステータス!$B$2,0)</f>
        <v>2256</v>
      </c>
      <c r="BL127" s="14">
        <f ca="1">ROUND(BD127*T127*AB127*K127*AZ127*[2]ステータス!$C$2,0)</f>
        <v>1934</v>
      </c>
      <c r="BM127" s="14">
        <f ca="1">ROUND(BD127*U127*AC127*L127*BA127*[2]ステータス!$D$2,0)</f>
        <v>0</v>
      </c>
      <c r="BN127" s="14">
        <f ca="1">ROUND(BD127*V127*AD127*M127*BB127*[2]ステータス!$E$2,0)</f>
        <v>843</v>
      </c>
      <c r="BO127" s="13">
        <v>0</v>
      </c>
      <c r="BP127" s="13">
        <v>1</v>
      </c>
      <c r="BQ127" s="13" t="s">
        <v>102</v>
      </c>
      <c r="BR127" s="13">
        <f ca="1">VLOOKUP(H127,ghosts_label!$A$2:$B$19,2,FALSE)</f>
        <v>500</v>
      </c>
    </row>
    <row r="128" spans="1:70" ht="21" customHeight="1" x14ac:dyDescent="0.15">
      <c r="A128" s="14">
        <f t="shared" ca="1" si="8"/>
        <v>127</v>
      </c>
      <c r="B128" s="77" t="str">
        <f ca="1">VLOOKUP($A128,OFFSET([2]characters!$A$1,0,0,COUNTA([2]characters!$A:$A),MATCH(B$1,[2]characters!$1:$1,0)-MATCH($A$1,[2]characters!$1:$1,0)+1),MATCH(B$1,[2]characters!$1:$1,0)-MATCH($A$1,[2]characters!$1:$1,0)+1,FALSE)</f>
        <v>狂喜の賢者 ユノ</v>
      </c>
      <c r="C128" s="77" t="str">
        <f ca="1">VLOOKUP($A128,OFFSET([2]characters!$A$1,0,0,COUNTA([2]characters!$A:$A),MATCH(C$1,[2]characters!$1:$1,0)-MATCH($A$1,[2]characters!$1:$1,0)+1),MATCH(C$1,[2]characters!$1:$1,0)-MATCH($A$1,[2]characters!$1:$1,0)+1,FALSE)</f>
        <v>初期ガチャ</v>
      </c>
      <c r="D128" s="77" t="str">
        <f ca="1">VLOOKUP($A128,OFFSET([2]characters!$A$1,0,0,COUNTA([2]characters!$A:$A),MATCH(D$1,[2]characters!$1:$1,0)-MATCH($A$1,[2]characters!$1:$1,0)+1),MATCH(D$1,[2]characters!$1:$1,0)-MATCH($A$1,[2]characters!$1:$1,0)+1,FALSE)</f>
        <v>アバター</v>
      </c>
      <c r="E128" s="77" t="str">
        <f ca="1">VLOOKUP($A128,OFFSET([2]characters!$A$1,0,0,COUNTA([2]characters!$A:$A),MATCH(E$1,[2]characters!$1:$1,0)-MATCH($A$1,[2]characters!$1:$1,0)+1),MATCH(E$1,[2]characters!$1:$1,0)-MATCH($A$1,[2]characters!$1:$1,0)+1,FALSE)</f>
        <v>美しい</v>
      </c>
      <c r="F128" s="77" t="str">
        <f ca="1">VLOOKUP($A128,OFFSET([2]characters!$A$1,0,0,COUNTA([2]characters!$A:$A),MATCH(F$1,[2]characters!$1:$1,0)-MATCH($A$1,[2]characters!$1:$1,0)+1),MATCH(F$1,[2]characters!$1:$1,0)-MATCH($A$1,[2]characters!$1:$1,0)+1,FALSE)</f>
        <v>女性</v>
      </c>
      <c r="G128" s="77">
        <f ca="1">VLOOKUP($A128,OFFSET([2]characters!$A$1,0,0,COUNTA([2]characters!$A:$A),MATCH(G$1,[2]characters!$1:$1,0)-MATCH($A$1,[2]characters!$1:$1,0)+1),MATCH(G$1,[2]characters!$1:$1,0)-MATCH($A$1,[2]characters!$1:$1,0)+1,FALSE)</f>
        <v>4</v>
      </c>
      <c r="H128" s="77" t="str">
        <f ca="1">VLOOKUP($A128,OFFSET([2]characters!$A$1,0,0,COUNTA([2]characters!$A:$A),MATCH(H$1,[2]characters!$1:$1,0)-MATCH($A$1,[2]characters!$1:$1,0)+1),MATCH(H$1,[2]characters!$1:$1,0)-MATCH($A$1,[2]characters!$1:$1,0)+1,FALSE)</f>
        <v>PremiumW</v>
      </c>
      <c r="I128" s="77" t="str">
        <f ca="1">VLOOKUP($A128,OFFSET([2]characters!$A$1,0,0,COUNTA([2]characters!$A:$A),MATCH(I$1,[2]characters!$1:$1,0)-MATCH($A$1,[2]characters!$1:$1,0)+1),MATCH(I$1,[2]characters!$1:$1,0)-MATCH($A$1,[2]characters!$1:$1,0)+1,FALSE)</f>
        <v>red</v>
      </c>
      <c r="J128" s="14">
        <f ca="1">VLOOKUP(I128,[2]属性!$A:$E,2,FALSE)</f>
        <v>1</v>
      </c>
      <c r="K128" s="14">
        <f ca="1">VLOOKUP(I128,[2]属性!$A:$E,3,FALSE)</f>
        <v>1.02</v>
      </c>
      <c r="L128" s="14">
        <f ca="1">VLOOKUP(I128,[2]属性!$A:$E,4,FALSE)</f>
        <v>1</v>
      </c>
      <c r="M128" s="14">
        <f ca="1">VLOOKUP(I128,[2]属性!$A:$E,5,FALSE)</f>
        <v>0.98</v>
      </c>
      <c r="N128" s="14">
        <f ca="1">INDEX(コスト!$A$1:$I$20,MATCH(H128,コスト!$A$1:$A$20,FALSE),MATCH(G128,コスト!$A$1:$I$1,FALSE))</f>
        <v>16</v>
      </c>
      <c r="O128" s="14">
        <f ca="1">INDEX(レベル!$A$1:$I$21,MATCH(H128,レベル!$A$1:$A$21,FALSE),MATCH(G128,レベル!$A$1:$I$1,FALSE))</f>
        <v>60</v>
      </c>
      <c r="P128" s="63">
        <f t="shared" ca="1" si="14"/>
        <v>60</v>
      </c>
      <c r="Q128" s="77" t="str">
        <f ca="1">VLOOKUP($A128,OFFSET([2]characters!$A$1,0,0,COUNTA([2]characters!$A:$A),MATCH(Q$1,[2]characters!$1:$1,0)-MATCH($A$1,[2]characters!$1:$1,0)+1),MATCH(Q$1,[2]characters!$1:$1,0)-MATCH($A$1,[2]characters!$1:$1,0)+1,FALSE)</f>
        <v>attack</v>
      </c>
      <c r="R128" s="8" t="str">
        <f ca="1">VLOOKUP(Q128,[2]character_type_i18n!$A:$H,3,FALSE)</f>
        <v>攻撃タイプ</v>
      </c>
      <c r="S128" s="14">
        <f ca="1">VLOOKUP(Q128,[2]character_type_i18n!$A:$H,4,FALSE)</f>
        <v>1</v>
      </c>
      <c r="T128" s="14">
        <f ca="1">VLOOKUP(Q128,[2]character_type_i18n!$A:$H,5,FALSE)</f>
        <v>1.33</v>
      </c>
      <c r="U128" s="14">
        <f ca="1">VLOOKUP(Q128,[2]character_type_i18n!$A:$H,6,FALSE)</f>
        <v>1</v>
      </c>
      <c r="V128" s="14">
        <f ca="1">VLOOKUP(Q128,[2]character_type_i18n!$A:$H,7,FALSE)</f>
        <v>0.67</v>
      </c>
      <c r="W128" s="77" t="str">
        <f ca="1">VLOOKUP($A128,OFFSET([2]characters!$A$1,0,0,COUNTA([2]characters!$A:$A),MATCH(W$1,[2]characters!$1:$1,0)-MATCH($A$1,[2]characters!$1:$1,0)+1),MATCH(W$1,[2]characters!$1:$1,0)-MATCH($A$1,[2]characters!$1:$1,0)+1,FALSE)</f>
        <v>human</v>
      </c>
      <c r="X128" s="8" t="str">
        <f ca="1">VLOOKUP(W128,[2]character_tribe_i18n!$A:$H,3,FALSE)</f>
        <v>ヒューマン</v>
      </c>
      <c r="Y128" s="77" t="str">
        <f ca="1">VLOOKUP($A128,OFFSET([2]characters!$A$1,0,0,COUNTA([2]characters!$A:$A),MATCH(Y$1,[2]characters!$1:$1,0)-MATCH($A$1,[2]characters!$1:$1,0)+1),MATCH(Y$1,[2]characters!$1:$1,0)-MATCH($A$1,[2]characters!$1:$1,0)+1,FALSE)</f>
        <v>animal</v>
      </c>
      <c r="Z128" s="8" t="str">
        <f ca="1">VLOOKUP(Y128,[2]character_tribe_i18n!$A:$H,3,FALSE)</f>
        <v>アニマル</v>
      </c>
      <c r="AA128" s="14">
        <f ca="1">VLOOKUP(W128,[2]character_tribe_i18n!$A:$H,4,FALSE)</f>
        <v>0.94</v>
      </c>
      <c r="AB128" s="14">
        <f ca="1">VLOOKUP(W128,[2]character_tribe_i18n!$A:$H,5,FALSE)</f>
        <v>0.99</v>
      </c>
      <c r="AC128" s="14">
        <f ca="1">VLOOKUP(W128,[2]character_tribe_i18n!$A:$H,6,FALSE)</f>
        <v>1</v>
      </c>
      <c r="AD128" s="14">
        <f ca="1">VLOOKUP(W128,[2]character_tribe_i18n!$A:$H,7,FALSE)</f>
        <v>1.07</v>
      </c>
      <c r="AE128" s="12">
        <v>560</v>
      </c>
      <c r="AF128" s="85" t="str">
        <f ca="1">IF(AE128="NULL","",VLOOKUP($AE128,OFFSET([2]characters!$A$1,0,0,COUNTA([2]characters!$A:$A),MATCH(AF$1,[2]characters!$1:$1,0)-MATCH($A$1,[2]characters!$1:$1,0)+1),MATCH(AF$1,[2]characters!$1:$1,0)-MATCH($A$1,[2]characters!$1:$1,0)+1,FALSE))</f>
        <v>暴骨炎舞の狂賢者 ユノ</v>
      </c>
      <c r="AG128" s="8">
        <f t="shared" ca="1" si="9"/>
        <v>126</v>
      </c>
      <c r="AH128" s="85" t="str">
        <f ca="1">VLOOKUP($AG128,OFFSET([2]characters!$A$1,0,0,COUNTA([2]characters!$A:$A),MATCH(AH$1,[2]characters!$1:$1,0)-MATCH($A$1,[2]characters!$1:$1,0)+1),MATCH(AH$1,[2]characters!$1:$1,0)-MATCH($A$1,[2]characters!$1:$1,0)+1,FALSE)</f>
        <v>骨器使い ユノ</v>
      </c>
      <c r="AI128" s="14">
        <f ca="1">IF(AE128="NULL","NULL",VLOOKUP(G128,ビット!$A$2:$B$7,2))</f>
        <v>50000</v>
      </c>
      <c r="AJ128" s="9">
        <v>2</v>
      </c>
      <c r="AK128" s="10" t="str">
        <f t="shared" si="10"/>
        <v>普通</v>
      </c>
      <c r="AL128" s="14" t="str">
        <f ca="1">INDEX(経験値!$A$1:$I$20,MATCH(H128,経験値!$A$1:$A$20,FALSE),MATCH(G128,経験値!$A$1:$I$1,FALSE))</f>
        <v>required_exp_150</v>
      </c>
      <c r="AM128" s="11">
        <f ca="1">VLOOKUP(G128,経験値!$A$27:$B$31,2)</f>
        <v>3400</v>
      </c>
      <c r="AN128" s="21">
        <f ca="1">VLOOKUP(G128,ビット!$G$2:$H$7,2)</f>
        <v>600</v>
      </c>
      <c r="AO128" s="100" t="s">
        <v>178</v>
      </c>
      <c r="AP128" s="97">
        <v>311004</v>
      </c>
      <c r="AQ128" s="77" t="e">
        <f ca="1">VLOOKUP($AP128,OFFSET([1]unit_skills!$A$1,0,0,COUNTA([1]unit_skills!$A:$A),MATCH("name",[1]unit_skills!$1:$1,0)-MATCH($AP$1,[1]unit_skills!$1:$1,0)+1),MATCH("name",[1]unit_skills!$1:$1,0)-MATCH($AP$1,[1]unit_skills!$1:$1,0)+1,FALSE)</f>
        <v>#VALUE!</v>
      </c>
      <c r="AR128" s="77" t="e">
        <f ca="1">VLOOKUP($AP128,OFFSET([1]unit_skills!$A$1,0,0,COUNTA([1]unit_skills!$A:$A),MATCH("comment",[1]unit_skills!$1:$1,0)-MATCH($AP$1,[1]unit_skills!$1:$1,0)+1),MATCH("comment",[1]unit_skills!$1:$1,0)-MATCH($AP$1,[1]unit_skills!$1:$1,0)+1,FALSE)</f>
        <v>#VALUE!</v>
      </c>
      <c r="AS128" s="77" t="e">
        <f ca="1">VLOOKUP($AP128,OFFSET([1]unit_skills!$A$1,0,0,COUNTA([1]unit_skills!$A:$A),MATCH(AS$1,[1]unit_skills!$1:$1,0)-MATCH($AP$1,[1]unit_skills!$1:$1,0)+1),MATCH(AS$1,[1]unit_skills!$1:$1,0)-MATCH($AP$1,[1]unit_skills!$1:$1,0)+1,FALSE)</f>
        <v>#VALUE!</v>
      </c>
      <c r="AT128" s="97">
        <v>151007</v>
      </c>
      <c r="AU128" s="77" t="e">
        <f ca="1">VLOOKUP($AT128,OFFSET([1]crash_skills!$A$1,0,0,COUNTA([1]crash_skills!$A:$A),MATCH("name",[1]crash_skills!$1:$1,0)-MATCH($AT$1,[1]crash_skills!$1:$1,0)+1),MATCH("name",[1]crash_skills!$1:$1,0)-MATCH($AT$1,[1]crash_skills!$1:$1,0)+1,FALSE)</f>
        <v>#VALUE!</v>
      </c>
      <c r="AV128" s="77" t="e">
        <f ca="1">VLOOKUP($AT128,OFFSET([1]crash_skills!$A$1,0,0,COUNTA([1]crash_skills!$A:$A),MATCH("comment",[1]crash_skills!$1:$1,0)-MATCH($AT$1,[1]crash_skills!$1:$1,0)+1),MATCH("comment",[1]crash_skills!$1:$1,0)-MATCH($AT$1,[1]crash_skills!$1:$1,0)+1,FALSE)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28" s="77" t="e">
        <f ca="1">VLOOKUP($AT128,OFFSET([1]crash_skills!$A$1,0,0,COUNTA([1]crash_skills!$A:$A),MATCH(AW$1,[1]crash_skills!$1:$1,0)-MATCH($AT$1,[1]crash_skills!$1:$1,0)+1),MATCH(AW$1,[1]crash_skills!$1:$1,0)-MATCH($AT$1,[1]crash_skills!$1:$1,0)+1,FALSE)</f>
        <v>#VALUE!</v>
      </c>
      <c r="AX128" s="81">
        <f ca="1">VLOOKUP($A128,OFFSET([2]characters!$A$1,0,0,COUNTA([2]characters!$A:$A),MATCH(AX$1,[2]characters!$1:$1,0)-MATCH($A$1,[2]characters!$1:$1,0)+1),MATCH(AX$1,[2]characters!$1:$1,0)-MATCH($A$1,[2]characters!$1:$1,0)+1,FALSE)</f>
        <v>3</v>
      </c>
      <c r="AY128" s="19">
        <v>1</v>
      </c>
      <c r="AZ128" s="19">
        <v>1</v>
      </c>
      <c r="BA128" s="19">
        <v>0</v>
      </c>
      <c r="BB128" s="19">
        <v>1</v>
      </c>
      <c r="BC128" s="14">
        <f ca="1">INDEX('RC6SV'!$A$1:$G$20,MATCH(H128,'RC6SV'!$A$1:$A$20,FALSE),MATCH(G128,'RC6SV'!$A$1:$G$1,FALSE))</f>
        <v>6600</v>
      </c>
      <c r="BD128" s="63">
        <f t="shared" ca="1" si="11"/>
        <v>6600</v>
      </c>
      <c r="BE128" s="14">
        <f t="shared" ca="1" si="12"/>
        <v>4800</v>
      </c>
      <c r="BF128" s="14">
        <f t="shared" ca="1" si="13"/>
        <v>1</v>
      </c>
      <c r="BG128" s="20">
        <f ca="1">IF($BE128&lt;=0,ROUND(BK128*0.5,0), ROUND($BE128*S128*AA128*J128*AY128*0.8*[2]ステータス!$B$2,0))</f>
        <v>1805</v>
      </c>
      <c r="BH128" s="20">
        <f ca="1">IF($BE128&lt;=0,ROUND(BL128*0.5,0), ROUND($BE128*T128*AB128*K128*AZ128*0.8*[2]ステータス!$C$2,0))</f>
        <v>1547</v>
      </c>
      <c r="BI128" s="20">
        <f ca="1">IF($BE128&lt;=0,ROUND(BM128*0.5,0), ROUND($BE128*U128*AC128*L128*BA128*0.8*[2]ステータス!$D$2,0))</f>
        <v>0</v>
      </c>
      <c r="BJ128" s="20">
        <f ca="1">IF($BE128&lt;=0,ROUND(BN128*0.5,0), ROUND($BE128*V128*AD128*M128*BB128*0.8*[2]ステータス!$E$2,0))</f>
        <v>674</v>
      </c>
      <c r="BK128" s="14">
        <f ca="1">ROUND(BD128*S128*AA128*J128*AY128*[2]ステータス!$B$2,0)</f>
        <v>3102</v>
      </c>
      <c r="BL128" s="14">
        <f ca="1">ROUND(BD128*T128*AB128*K128*AZ128*[2]ステータス!$C$2,0)</f>
        <v>2659</v>
      </c>
      <c r="BM128" s="14">
        <f ca="1">ROUND(BD128*U128*AC128*L128*BA128*[2]ステータス!$D$2,0)</f>
        <v>0</v>
      </c>
      <c r="BN128" s="14">
        <f ca="1">ROUND(BD128*V128*AD128*M128*BB128*[2]ステータス!$E$2,0)</f>
        <v>1159</v>
      </c>
      <c r="BO128" s="13">
        <v>0</v>
      </c>
      <c r="BP128" s="13">
        <v>1</v>
      </c>
      <c r="BQ128" s="13" t="s">
        <v>102</v>
      </c>
      <c r="BR128" s="13">
        <f ca="1">VLOOKUP(H128,ghosts_label!$A$2:$B$19,2,FALSE)</f>
        <v>500</v>
      </c>
    </row>
    <row r="129" spans="1:70" ht="21" customHeight="1" x14ac:dyDescent="0.15">
      <c r="A129" s="14">
        <f t="shared" ca="1" si="8"/>
        <v>128</v>
      </c>
      <c r="B129" s="77" t="str">
        <f ca="1">VLOOKUP($A129,OFFSET([2]characters!$A$1,0,0,COUNTA([2]characters!$A:$A),MATCH(B$1,[2]characters!$1:$1,0)-MATCH($A$1,[2]characters!$1:$1,0)+1),MATCH(B$1,[2]characters!$1:$1,0)-MATCH($A$1,[2]characters!$1:$1,0)+1,FALSE)</f>
        <v>野生児 アマラ</v>
      </c>
      <c r="C129" s="77" t="str">
        <f ca="1">VLOOKUP($A129,OFFSET([2]characters!$A$1,0,0,COUNTA([2]characters!$A:$A),MATCH(C$1,[2]characters!$1:$1,0)-MATCH($A$1,[2]characters!$1:$1,0)+1),MATCH(C$1,[2]characters!$1:$1,0)-MATCH($A$1,[2]characters!$1:$1,0)+1,FALSE)</f>
        <v>初期ガチャ</v>
      </c>
      <c r="D129" s="77" t="str">
        <f ca="1">VLOOKUP($A129,OFFSET([2]characters!$A$1,0,0,COUNTA([2]characters!$A:$A),MATCH(D$1,[2]characters!$1:$1,0)-MATCH($A$1,[2]characters!$1:$1,0)+1),MATCH(D$1,[2]characters!$1:$1,0)-MATCH($A$1,[2]characters!$1:$1,0)+1,FALSE)</f>
        <v>アバター</v>
      </c>
      <c r="E129" s="77" t="str">
        <f ca="1">VLOOKUP($A129,OFFSET([2]characters!$A$1,0,0,COUNTA([2]characters!$A:$A),MATCH(E$1,[2]characters!$1:$1,0)-MATCH($A$1,[2]characters!$1:$1,0)+1),MATCH(E$1,[2]characters!$1:$1,0)-MATCH($A$1,[2]characters!$1:$1,0)+1,FALSE)</f>
        <v>格好いい</v>
      </c>
      <c r="F129" s="77" t="str">
        <f ca="1">VLOOKUP($A129,OFFSET([2]characters!$A$1,0,0,COUNTA([2]characters!$A:$A),MATCH(F$1,[2]characters!$1:$1,0)-MATCH($A$1,[2]characters!$1:$1,0)+1),MATCH(F$1,[2]characters!$1:$1,0)-MATCH($A$1,[2]characters!$1:$1,0)+1,FALSE)</f>
        <v>女性</v>
      </c>
      <c r="G129" s="77">
        <f ca="1">VLOOKUP($A129,OFFSET([2]characters!$A$1,0,0,COUNTA([2]characters!$A:$A),MATCH(G$1,[2]characters!$1:$1,0)-MATCH($A$1,[2]characters!$1:$1,0)+1),MATCH(G$1,[2]characters!$1:$1,0)-MATCH($A$1,[2]characters!$1:$1,0)+1,FALSE)</f>
        <v>3</v>
      </c>
      <c r="H129" s="77" t="str">
        <f ca="1">VLOOKUP($A129,OFFSET([2]characters!$A$1,0,0,COUNTA([2]characters!$A:$A),MATCH(H$1,[2]characters!$1:$1,0)-MATCH($A$1,[2]characters!$1:$1,0)+1),MATCH(H$1,[2]characters!$1:$1,0)-MATCH($A$1,[2]characters!$1:$1,0)+1,FALSE)</f>
        <v>PremiumW</v>
      </c>
      <c r="I129" s="77" t="str">
        <f ca="1">VLOOKUP($A129,OFFSET([2]characters!$A$1,0,0,COUNTA([2]characters!$A:$A),MATCH(I$1,[2]characters!$1:$1,0)-MATCH($A$1,[2]characters!$1:$1,0)+1),MATCH(I$1,[2]characters!$1:$1,0)-MATCH($A$1,[2]characters!$1:$1,0)+1,FALSE)</f>
        <v>green</v>
      </c>
      <c r="J129" s="14">
        <f ca="1">VLOOKUP(I129,[2]属性!$A:$E,2,FALSE)</f>
        <v>1.02</v>
      </c>
      <c r="K129" s="14">
        <f ca="1">VLOOKUP(I129,[2]属性!$A:$E,3,FALSE)</f>
        <v>0.98</v>
      </c>
      <c r="L129" s="14">
        <f ca="1">VLOOKUP(I129,[2]属性!$A:$E,4,FALSE)</f>
        <v>1</v>
      </c>
      <c r="M129" s="14">
        <f ca="1">VLOOKUP(I129,[2]属性!$A:$E,5,FALSE)</f>
        <v>1</v>
      </c>
      <c r="N129" s="14">
        <f ca="1">INDEX(コスト!$A$1:$I$20,MATCH(H129,コスト!$A$1:$A$20,FALSE),MATCH(G129,コスト!$A$1:$I$1,FALSE))</f>
        <v>7</v>
      </c>
      <c r="O129" s="14">
        <f ca="1">INDEX(レベル!$A$1:$I$21,MATCH(H129,レベル!$A$1:$A$21,FALSE),MATCH(G129,レベル!$A$1:$I$1,FALSE))</f>
        <v>40</v>
      </c>
      <c r="P129" s="63">
        <f t="shared" ca="1" si="14"/>
        <v>45</v>
      </c>
      <c r="Q129" s="77" t="str">
        <f ca="1">VLOOKUP($A129,OFFSET([2]characters!$A$1,0,0,COUNTA([2]characters!$A:$A),MATCH(Q$1,[2]characters!$1:$1,0)-MATCH($A$1,[2]characters!$1:$1,0)+1),MATCH(Q$1,[2]characters!$1:$1,0)-MATCH($A$1,[2]characters!$1:$1,0)+1,FALSE)</f>
        <v>attack</v>
      </c>
      <c r="R129" s="8" t="str">
        <f ca="1">VLOOKUP(Q129,[2]character_type_i18n!$A:$H,3,FALSE)</f>
        <v>攻撃タイプ</v>
      </c>
      <c r="S129" s="14">
        <f ca="1">VLOOKUP(Q129,[2]character_type_i18n!$A:$H,4,FALSE)</f>
        <v>1</v>
      </c>
      <c r="T129" s="14">
        <f ca="1">VLOOKUP(Q129,[2]character_type_i18n!$A:$H,5,FALSE)</f>
        <v>1.33</v>
      </c>
      <c r="U129" s="14">
        <f ca="1">VLOOKUP(Q129,[2]character_type_i18n!$A:$H,6,FALSE)</f>
        <v>1</v>
      </c>
      <c r="V129" s="14">
        <f ca="1">VLOOKUP(Q129,[2]character_type_i18n!$A:$H,7,FALSE)</f>
        <v>0.67</v>
      </c>
      <c r="W129" s="77" t="str">
        <f ca="1">VLOOKUP($A129,OFFSET([2]characters!$A$1,0,0,COUNTA([2]characters!$A:$A),MATCH(W$1,[2]characters!$1:$1,0)-MATCH($A$1,[2]characters!$1:$1,0)+1),MATCH(W$1,[2]characters!$1:$1,0)-MATCH($A$1,[2]characters!$1:$1,0)+1,FALSE)</f>
        <v>human</v>
      </c>
      <c r="X129" s="8" t="str">
        <f ca="1">VLOOKUP(W129,[2]character_tribe_i18n!$A:$H,3,FALSE)</f>
        <v>ヒューマン</v>
      </c>
      <c r="Y129" s="77" t="str">
        <f ca="1">VLOOKUP($A129,OFFSET([2]characters!$A$1,0,0,COUNTA([2]characters!$A:$A),MATCH(Y$1,[2]characters!$1:$1,0)-MATCH($A$1,[2]characters!$1:$1,0)+1),MATCH(Y$1,[2]characters!$1:$1,0)-MATCH($A$1,[2]characters!$1:$1,0)+1,FALSE)</f>
        <v>animal</v>
      </c>
      <c r="Z129" s="8" t="str">
        <f ca="1">VLOOKUP(Y129,[2]character_tribe_i18n!$A:$H,3,FALSE)</f>
        <v>アニマル</v>
      </c>
      <c r="AA129" s="14">
        <f ca="1">VLOOKUP(W129,[2]character_tribe_i18n!$A:$H,4,FALSE)</f>
        <v>0.94</v>
      </c>
      <c r="AB129" s="14">
        <f ca="1">VLOOKUP(W129,[2]character_tribe_i18n!$A:$H,5,FALSE)</f>
        <v>0.99</v>
      </c>
      <c r="AC129" s="14">
        <f ca="1">VLOOKUP(W129,[2]character_tribe_i18n!$A:$H,6,FALSE)</f>
        <v>1</v>
      </c>
      <c r="AD129" s="14">
        <f ca="1">VLOOKUP(W129,[2]character_tribe_i18n!$A:$H,7,FALSE)</f>
        <v>1.07</v>
      </c>
      <c r="AE129" s="12">
        <v>129</v>
      </c>
      <c r="AF129" s="85" t="str">
        <f ca="1">IF(AE129="NULL","",VLOOKUP($AE129,OFFSET([2]characters!$A$1,0,0,COUNTA([2]characters!$A:$A),MATCH(AF$1,[2]characters!$1:$1,0)-MATCH($A$1,[2]characters!$1:$1,0)+1),MATCH(AF$1,[2]characters!$1:$1,0)-MATCH($A$1,[2]characters!$1:$1,0)+1,FALSE))</f>
        <v>孤高の狼憑き アマラ</v>
      </c>
      <c r="AG129" s="8">
        <f t="shared" ca="1" si="9"/>
        <v>128</v>
      </c>
      <c r="AH129" s="85" t="str">
        <f ca="1">VLOOKUP($AG129,OFFSET([2]characters!$A$1,0,0,COUNTA([2]characters!$A:$A),MATCH(AH$1,[2]characters!$1:$1,0)-MATCH($A$1,[2]characters!$1:$1,0)+1),MATCH(AH$1,[2]characters!$1:$1,0)-MATCH($A$1,[2]characters!$1:$1,0)+1,FALSE)</f>
        <v>野生児 アマラ</v>
      </c>
      <c r="AI129" s="14">
        <f ca="1">IF(AE129="NULL","NULL",VLOOKUP(G129,ビット!$A$2:$B$7,2))</f>
        <v>20000</v>
      </c>
      <c r="AJ129" s="9">
        <v>2</v>
      </c>
      <c r="AK129" s="10" t="str">
        <f t="shared" si="10"/>
        <v>普通</v>
      </c>
      <c r="AL129" s="14" t="str">
        <f ca="1">INDEX(経験値!$A$1:$I$20,MATCH(H129,経験値!$A$1:$A$20,FALSE),MATCH(G129,経験値!$A$1:$I$1,FALSE))</f>
        <v>required_exp_150</v>
      </c>
      <c r="AM129" s="11">
        <f ca="1">VLOOKUP(G129,経験値!$A$27:$B$31,2)</f>
        <v>1500</v>
      </c>
      <c r="AN129" s="21">
        <f ca="1">VLOOKUP(G129,ビット!$G$2:$H$7,2)</f>
        <v>300</v>
      </c>
      <c r="AO129" s="100" t="s">
        <v>178</v>
      </c>
      <c r="AP129" s="97">
        <v>312003</v>
      </c>
      <c r="AQ129" s="77" t="e">
        <f ca="1">VLOOKUP($AP129,OFFSET([1]unit_skills!$A$1,0,0,COUNTA([1]unit_skills!$A:$A),MATCH("name",[1]unit_skills!$1:$1,0)-MATCH($AP$1,[1]unit_skills!$1:$1,0)+1),MATCH("name",[1]unit_skills!$1:$1,0)-MATCH($AP$1,[1]unit_skills!$1:$1,0)+1,FALSE)</f>
        <v>#VALUE!</v>
      </c>
      <c r="AR129" s="77" t="e">
        <f ca="1">VLOOKUP($AP129,OFFSET([1]unit_skills!$A$1,0,0,COUNTA([1]unit_skills!$A:$A),MATCH("comment",[1]unit_skills!$1:$1,0)-MATCH($AP$1,[1]unit_skills!$1:$1,0)+1),MATCH("comment",[1]unit_skills!$1:$1,0)-MATCH($AP$1,[1]unit_skills!$1:$1,0)+1,FALSE)</f>
        <v>#VALUE!</v>
      </c>
      <c r="AS129" s="77" t="e">
        <f ca="1">VLOOKUP($AP129,OFFSET([1]unit_skills!$A$1,0,0,COUNTA([1]unit_skills!$A:$A),MATCH(AS$1,[1]unit_skills!$1:$1,0)-MATCH($AP$1,[1]unit_skills!$1:$1,0)+1),MATCH(AS$1,[1]unit_skills!$1:$1,0)-MATCH($AP$1,[1]unit_skills!$1:$1,0)+1,FALSE)</f>
        <v>#VALUE!</v>
      </c>
      <c r="AT129" s="97">
        <v>152002</v>
      </c>
      <c r="AU129" s="77" t="e">
        <f ca="1">VLOOKUP($AT129,OFFSET([1]crash_skills!$A$1,0,0,COUNTA([1]crash_skills!$A:$A),MATCH("name",[1]crash_skills!$1:$1,0)-MATCH($AT$1,[1]crash_skills!$1:$1,0)+1),MATCH("name",[1]crash_skills!$1:$1,0)-MATCH($AT$1,[1]crash_skills!$1:$1,0)+1,FALSE)</f>
        <v>#VALUE!</v>
      </c>
      <c r="AV129" s="77" t="e">
        <f ca="1">VLOOKUP($AT129,OFFSET([1]crash_skills!$A$1,0,0,COUNTA([1]crash_skills!$A:$A),MATCH("comment",[1]crash_skills!$1:$1,0)-MATCH($AT$1,[1]crash_skills!$1:$1,0)+1),MATCH("comment",[1]crash_skills!$1:$1,0)-MATCH($AT$1,[1]crash_skills!$1:$1,0)+1,FALSE)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29" s="77" t="e">
        <f ca="1">VLOOKUP($AT129,OFFSET([1]crash_skills!$A$1,0,0,COUNTA([1]crash_skills!$A:$A),MATCH(AW$1,[1]crash_skills!$1:$1,0)-MATCH($AT$1,[1]crash_skills!$1:$1,0)+1),MATCH(AW$1,[1]crash_skills!$1:$1,0)-MATCH($AT$1,[1]crash_skills!$1:$1,0)+1,FALSE)</f>
        <v>#VALUE!</v>
      </c>
      <c r="AX129" s="81">
        <f ca="1">VLOOKUP($A129,OFFSET([2]characters!$A$1,0,0,COUNTA([2]characters!$A:$A),MATCH(AX$1,[2]characters!$1:$1,0)-MATCH($A$1,[2]characters!$1:$1,0)+1),MATCH(AX$1,[2]characters!$1:$1,0)-MATCH($A$1,[2]characters!$1:$1,0)+1,FALSE)</f>
        <v>3</v>
      </c>
      <c r="AY129" s="19">
        <v>1</v>
      </c>
      <c r="AZ129" s="19">
        <v>1</v>
      </c>
      <c r="BA129" s="19">
        <v>0</v>
      </c>
      <c r="BB129" s="19">
        <v>1</v>
      </c>
      <c r="BC129" s="14">
        <f ca="1">INDEX('RC6SV'!$A$1:$G$20,MATCH(H129,'RC6SV'!$A$1:$A$20,FALSE),MATCH(G129,'RC6SV'!$A$1:$G$1,FALSE))</f>
        <v>4800</v>
      </c>
      <c r="BD129" s="63">
        <f t="shared" ca="1" si="11"/>
        <v>4800</v>
      </c>
      <c r="BE129" s="14">
        <f t="shared" ca="1" si="12"/>
        <v>0</v>
      </c>
      <c r="BF129" s="14">
        <f t="shared" ca="1" si="13"/>
        <v>1</v>
      </c>
      <c r="BG129" s="20">
        <f ca="1">IF($BE129&lt;=0,ROUND(BK129*0.5,0), ROUND($BE129*S129*AA129*J129*AY129*0.8*[2]ステータス!$B$2,0))</f>
        <v>1151</v>
      </c>
      <c r="BH129" s="20">
        <f ca="1">IF($BE129&lt;=0,ROUND(BL129*0.5,0), ROUND($BE129*T129*AB129*K129*AZ129*0.8*[2]ステータス!$C$2,0))</f>
        <v>929</v>
      </c>
      <c r="BI129" s="20">
        <f ca="1">IF($BE129&lt;=0,ROUND(BM129*0.5,0), ROUND($BE129*U129*AC129*L129*BA129*0.8*[2]ステータス!$D$2,0))</f>
        <v>0</v>
      </c>
      <c r="BJ129" s="20">
        <f ca="1">IF($BE129&lt;=0,ROUND(BN129*0.5,0), ROUND($BE129*V129*AD129*M129*BB129*0.8*[2]ステータス!$E$2,0))</f>
        <v>430</v>
      </c>
      <c r="BK129" s="14">
        <f ca="1">ROUND(BD129*S129*AA129*J129*AY129*[2]ステータス!$B$2,0)</f>
        <v>2301</v>
      </c>
      <c r="BL129" s="14">
        <f ca="1">ROUND(BD129*T129*AB129*K129*AZ129*[2]ステータス!$C$2,0)</f>
        <v>1858</v>
      </c>
      <c r="BM129" s="14">
        <f ca="1">ROUND(BD129*U129*AC129*L129*BA129*[2]ステータス!$D$2,0)</f>
        <v>0</v>
      </c>
      <c r="BN129" s="14">
        <f ca="1">ROUND(BD129*V129*AD129*M129*BB129*[2]ステータス!$E$2,0)</f>
        <v>860</v>
      </c>
      <c r="BO129" s="13">
        <v>0</v>
      </c>
      <c r="BP129" s="13">
        <v>1</v>
      </c>
      <c r="BQ129" s="13" t="s">
        <v>102</v>
      </c>
      <c r="BR129" s="13">
        <f ca="1">VLOOKUP(H129,ghosts_label!$A$2:$B$19,2,FALSE)</f>
        <v>500</v>
      </c>
    </row>
    <row r="130" spans="1:70" ht="21" customHeight="1" x14ac:dyDescent="0.15">
      <c r="A130" s="14">
        <f t="shared" ref="A130:A193" ca="1" si="15">INDIRECT(ADDRESS(ROW(),COLUMN(),1,TRUE,"[CharacterMasterData.xlsm]characters"))</f>
        <v>129</v>
      </c>
      <c r="B130" s="77" t="str">
        <f ca="1">VLOOKUP($A130,OFFSET([2]characters!$A$1,0,0,COUNTA([2]characters!$A:$A),MATCH(B$1,[2]characters!$1:$1,0)-MATCH($A$1,[2]characters!$1:$1,0)+1),MATCH(B$1,[2]characters!$1:$1,0)-MATCH($A$1,[2]characters!$1:$1,0)+1,FALSE)</f>
        <v>孤高の狼憑き アマラ</v>
      </c>
      <c r="C130" s="77" t="str">
        <f ca="1">VLOOKUP($A130,OFFSET([2]characters!$A$1,0,0,COUNTA([2]characters!$A:$A),MATCH(C$1,[2]characters!$1:$1,0)-MATCH($A$1,[2]characters!$1:$1,0)+1),MATCH(C$1,[2]characters!$1:$1,0)-MATCH($A$1,[2]characters!$1:$1,0)+1,FALSE)</f>
        <v>初期ガチャ</v>
      </c>
      <c r="D130" s="77" t="str">
        <f ca="1">VLOOKUP($A130,OFFSET([2]characters!$A$1,0,0,COUNTA([2]characters!$A:$A),MATCH(D$1,[2]characters!$1:$1,0)-MATCH($A$1,[2]characters!$1:$1,0)+1),MATCH(D$1,[2]characters!$1:$1,0)-MATCH($A$1,[2]characters!$1:$1,0)+1,FALSE)</f>
        <v>アバター</v>
      </c>
      <c r="E130" s="77" t="str">
        <f ca="1">VLOOKUP($A130,OFFSET([2]characters!$A$1,0,0,COUNTA([2]characters!$A:$A),MATCH(E$1,[2]characters!$1:$1,0)-MATCH($A$1,[2]characters!$1:$1,0)+1),MATCH(E$1,[2]characters!$1:$1,0)-MATCH($A$1,[2]characters!$1:$1,0)+1,FALSE)</f>
        <v>格好いい</v>
      </c>
      <c r="F130" s="77" t="str">
        <f ca="1">VLOOKUP($A130,OFFSET([2]characters!$A$1,0,0,COUNTA([2]characters!$A:$A),MATCH(F$1,[2]characters!$1:$1,0)-MATCH($A$1,[2]characters!$1:$1,0)+1),MATCH(F$1,[2]characters!$1:$1,0)-MATCH($A$1,[2]characters!$1:$1,0)+1,FALSE)</f>
        <v>女性</v>
      </c>
      <c r="G130" s="77">
        <f ca="1">VLOOKUP($A130,OFFSET([2]characters!$A$1,0,0,COUNTA([2]characters!$A:$A),MATCH(G$1,[2]characters!$1:$1,0)-MATCH($A$1,[2]characters!$1:$1,0)+1),MATCH(G$1,[2]characters!$1:$1,0)-MATCH($A$1,[2]characters!$1:$1,0)+1,FALSE)</f>
        <v>4</v>
      </c>
      <c r="H130" s="77" t="str">
        <f ca="1">VLOOKUP($A130,OFFSET([2]characters!$A$1,0,0,COUNTA([2]characters!$A:$A),MATCH(H$1,[2]characters!$1:$1,0)-MATCH($A$1,[2]characters!$1:$1,0)+1),MATCH(H$1,[2]characters!$1:$1,0)-MATCH($A$1,[2]characters!$1:$1,0)+1,FALSE)</f>
        <v>PremiumW</v>
      </c>
      <c r="I130" s="77" t="str">
        <f ca="1">VLOOKUP($A130,OFFSET([2]characters!$A$1,0,0,COUNTA([2]characters!$A:$A),MATCH(I$1,[2]characters!$1:$1,0)-MATCH($A$1,[2]characters!$1:$1,0)+1),MATCH(I$1,[2]characters!$1:$1,0)-MATCH($A$1,[2]characters!$1:$1,0)+1,FALSE)</f>
        <v>green</v>
      </c>
      <c r="J130" s="14">
        <f ca="1">VLOOKUP(I130,[2]属性!$A:$E,2,FALSE)</f>
        <v>1.02</v>
      </c>
      <c r="K130" s="14">
        <f ca="1">VLOOKUP(I130,[2]属性!$A:$E,3,FALSE)</f>
        <v>0.98</v>
      </c>
      <c r="L130" s="14">
        <f ca="1">VLOOKUP(I130,[2]属性!$A:$E,4,FALSE)</f>
        <v>1</v>
      </c>
      <c r="M130" s="14">
        <f ca="1">VLOOKUP(I130,[2]属性!$A:$E,5,FALSE)</f>
        <v>1</v>
      </c>
      <c r="N130" s="14">
        <f ca="1">INDEX(コスト!$A$1:$I$20,MATCH(H130,コスト!$A$1:$A$20,FALSE),MATCH(G130,コスト!$A$1:$I$1,FALSE))</f>
        <v>16</v>
      </c>
      <c r="O130" s="14">
        <f ca="1">INDEX(レベル!$A$1:$I$21,MATCH(H130,レベル!$A$1:$A$21,FALSE),MATCH(G130,レベル!$A$1:$I$1,FALSE))</f>
        <v>60</v>
      </c>
      <c r="P130" s="63">
        <f t="shared" ca="1" si="14"/>
        <v>60</v>
      </c>
      <c r="Q130" s="77" t="str">
        <f ca="1">VLOOKUP($A130,OFFSET([2]characters!$A$1,0,0,COUNTA([2]characters!$A:$A),MATCH(Q$1,[2]characters!$1:$1,0)-MATCH($A$1,[2]characters!$1:$1,0)+1),MATCH(Q$1,[2]characters!$1:$1,0)-MATCH($A$1,[2]characters!$1:$1,0)+1,FALSE)</f>
        <v>attack</v>
      </c>
      <c r="R130" s="8" t="str">
        <f ca="1">VLOOKUP(Q130,[2]character_type_i18n!$A:$H,3,FALSE)</f>
        <v>攻撃タイプ</v>
      </c>
      <c r="S130" s="14">
        <f ca="1">VLOOKUP(Q130,[2]character_type_i18n!$A:$H,4,FALSE)</f>
        <v>1</v>
      </c>
      <c r="T130" s="14">
        <f ca="1">VLOOKUP(Q130,[2]character_type_i18n!$A:$H,5,FALSE)</f>
        <v>1.33</v>
      </c>
      <c r="U130" s="14">
        <f ca="1">VLOOKUP(Q130,[2]character_type_i18n!$A:$H,6,FALSE)</f>
        <v>1</v>
      </c>
      <c r="V130" s="14">
        <f ca="1">VLOOKUP(Q130,[2]character_type_i18n!$A:$H,7,FALSE)</f>
        <v>0.67</v>
      </c>
      <c r="W130" s="77" t="str">
        <f ca="1">VLOOKUP($A130,OFFSET([2]characters!$A$1,0,0,COUNTA([2]characters!$A:$A),MATCH(W$1,[2]characters!$1:$1,0)-MATCH($A$1,[2]characters!$1:$1,0)+1),MATCH(W$1,[2]characters!$1:$1,0)-MATCH($A$1,[2]characters!$1:$1,0)+1,FALSE)</f>
        <v>human</v>
      </c>
      <c r="X130" s="8" t="str">
        <f ca="1">VLOOKUP(W130,[2]character_tribe_i18n!$A:$H,3,FALSE)</f>
        <v>ヒューマン</v>
      </c>
      <c r="Y130" s="77" t="str">
        <f ca="1">VLOOKUP($A130,OFFSET([2]characters!$A$1,0,0,COUNTA([2]characters!$A:$A),MATCH(Y$1,[2]characters!$1:$1,0)-MATCH($A$1,[2]characters!$1:$1,0)+1),MATCH(Y$1,[2]characters!$1:$1,0)-MATCH($A$1,[2]characters!$1:$1,0)+1,FALSE)</f>
        <v>animal</v>
      </c>
      <c r="Z130" s="8" t="str">
        <f ca="1">VLOOKUP(Y130,[2]character_tribe_i18n!$A:$H,3,FALSE)</f>
        <v>アニマル</v>
      </c>
      <c r="AA130" s="14">
        <f ca="1">VLOOKUP(W130,[2]character_tribe_i18n!$A:$H,4,FALSE)</f>
        <v>0.94</v>
      </c>
      <c r="AB130" s="14">
        <f ca="1">VLOOKUP(W130,[2]character_tribe_i18n!$A:$H,5,FALSE)</f>
        <v>0.99</v>
      </c>
      <c r="AC130" s="14">
        <f ca="1">VLOOKUP(W130,[2]character_tribe_i18n!$A:$H,6,FALSE)</f>
        <v>1</v>
      </c>
      <c r="AD130" s="14">
        <f ca="1">VLOOKUP(W130,[2]character_tribe_i18n!$A:$H,7,FALSE)</f>
        <v>1.07</v>
      </c>
      <c r="AE130" s="12">
        <v>561</v>
      </c>
      <c r="AF130" s="85" t="str">
        <f ca="1">IF(AE130="NULL","",VLOOKUP($AE130,OFFSET([2]characters!$A$1,0,0,COUNTA([2]characters!$A:$A),MATCH(AF$1,[2]characters!$1:$1,0)-MATCH($A$1,[2]characters!$1:$1,0)+1),MATCH(AF$1,[2]characters!$1:$1,0)-MATCH($A$1,[2]characters!$1:$1,0)+1,FALSE))</f>
        <v>森翠統べる獣姫 アマラ</v>
      </c>
      <c r="AG130" s="8">
        <f t="shared" ref="AG130:AG193" ca="1" si="16">IF(ISNA(MATCH(A130,AE:AE,0)),A130,INDIRECT(ADDRESS(MATCH(A130,AE:AE,0),COLUMN())))</f>
        <v>128</v>
      </c>
      <c r="AH130" s="85" t="str">
        <f ca="1">VLOOKUP($AG130,OFFSET([2]characters!$A$1,0,0,COUNTA([2]characters!$A:$A),MATCH(AH$1,[2]characters!$1:$1,0)-MATCH($A$1,[2]characters!$1:$1,0)+1),MATCH(AH$1,[2]characters!$1:$1,0)-MATCH($A$1,[2]characters!$1:$1,0)+1,FALSE)</f>
        <v>野生児 アマラ</v>
      </c>
      <c r="AI130" s="14">
        <f ca="1">IF(AE130="NULL","NULL",VLOOKUP(G130,ビット!$A$2:$B$7,2))</f>
        <v>50000</v>
      </c>
      <c r="AJ130" s="9">
        <v>2</v>
      </c>
      <c r="AK130" s="10" t="str">
        <f t="shared" ref="AK130:AK193" si="17">IF(AJ130=1,"早熟",IF(AJ130=2,"普通",IF(AJ130=3,"晩成","")))</f>
        <v>普通</v>
      </c>
      <c r="AL130" s="14" t="str">
        <f ca="1">INDEX(経験値!$A$1:$I$20,MATCH(H130,経験値!$A$1:$A$20,FALSE),MATCH(G130,経験値!$A$1:$I$1,FALSE))</f>
        <v>required_exp_150</v>
      </c>
      <c r="AM130" s="11">
        <f ca="1">VLOOKUP(G130,経験値!$A$27:$B$31,2)</f>
        <v>3400</v>
      </c>
      <c r="AN130" s="21">
        <f ca="1">VLOOKUP(G130,ビット!$G$2:$H$7,2)</f>
        <v>600</v>
      </c>
      <c r="AO130" s="100" t="s">
        <v>178</v>
      </c>
      <c r="AP130" s="97">
        <v>312004</v>
      </c>
      <c r="AQ130" s="77" t="e">
        <f ca="1">VLOOKUP($AP130,OFFSET([1]unit_skills!$A$1,0,0,COUNTA([1]unit_skills!$A:$A),MATCH("name",[1]unit_skills!$1:$1,0)-MATCH($AP$1,[1]unit_skills!$1:$1,0)+1),MATCH("name",[1]unit_skills!$1:$1,0)-MATCH($AP$1,[1]unit_skills!$1:$1,0)+1,FALSE)</f>
        <v>#VALUE!</v>
      </c>
      <c r="AR130" s="77" t="e">
        <f ca="1">VLOOKUP($AP130,OFFSET([1]unit_skills!$A$1,0,0,COUNTA([1]unit_skills!$A:$A),MATCH("comment",[1]unit_skills!$1:$1,0)-MATCH($AP$1,[1]unit_skills!$1:$1,0)+1),MATCH("comment",[1]unit_skills!$1:$1,0)-MATCH($AP$1,[1]unit_skills!$1:$1,0)+1,FALSE)</f>
        <v>#VALUE!</v>
      </c>
      <c r="AS130" s="77" t="e">
        <f ca="1">VLOOKUP($AP130,OFFSET([1]unit_skills!$A$1,0,0,COUNTA([1]unit_skills!$A:$A),MATCH(AS$1,[1]unit_skills!$1:$1,0)-MATCH($AP$1,[1]unit_skills!$1:$1,0)+1),MATCH(AS$1,[1]unit_skills!$1:$1,0)-MATCH($AP$1,[1]unit_skills!$1:$1,0)+1,FALSE)</f>
        <v>#VALUE!</v>
      </c>
      <c r="AT130" s="97">
        <v>152004</v>
      </c>
      <c r="AU130" s="77" t="e">
        <f ca="1">VLOOKUP($AT130,OFFSET([1]crash_skills!$A$1,0,0,COUNTA([1]crash_skills!$A:$A),MATCH("name",[1]crash_skills!$1:$1,0)-MATCH($AT$1,[1]crash_skills!$1:$1,0)+1),MATCH("name",[1]crash_skills!$1:$1,0)-MATCH($AT$1,[1]crash_skills!$1:$1,0)+1,FALSE)</f>
        <v>#VALUE!</v>
      </c>
      <c r="AV130" s="77" t="e">
        <f ca="1">VLOOKUP($AT130,OFFSET([1]crash_skills!$A$1,0,0,COUNTA([1]crash_skills!$A:$A),MATCH("comment",[1]crash_skills!$1:$1,0)-MATCH($AT$1,[1]crash_skills!$1:$1,0)+1),MATCH("comment",[1]crash_skills!$1:$1,0)-MATCH($AT$1,[1]crash_skills!$1:$1,0)+1,FALSE)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30" s="77" t="e">
        <f ca="1">VLOOKUP($AT130,OFFSET([1]crash_skills!$A$1,0,0,COUNTA([1]crash_skills!$A:$A),MATCH(AW$1,[1]crash_skills!$1:$1,0)-MATCH($AT$1,[1]crash_skills!$1:$1,0)+1),MATCH(AW$1,[1]crash_skills!$1:$1,0)-MATCH($AT$1,[1]crash_skills!$1:$1,0)+1,FALSE)</f>
        <v>#VALUE!</v>
      </c>
      <c r="AX130" s="81">
        <f ca="1">VLOOKUP($A130,OFFSET([2]characters!$A$1,0,0,COUNTA([2]characters!$A:$A),MATCH(AX$1,[2]characters!$1:$1,0)-MATCH($A$1,[2]characters!$1:$1,0)+1),MATCH(AX$1,[2]characters!$1:$1,0)-MATCH($A$1,[2]characters!$1:$1,0)+1,FALSE)</f>
        <v>3</v>
      </c>
      <c r="AY130" s="19">
        <v>1</v>
      </c>
      <c r="AZ130" s="19">
        <v>1</v>
      </c>
      <c r="BA130" s="19">
        <v>0</v>
      </c>
      <c r="BB130" s="19">
        <v>1</v>
      </c>
      <c r="BC130" s="14">
        <f ca="1">INDEX('RC6SV'!$A$1:$G$20,MATCH(H130,'RC6SV'!$A$1:$A$20,FALSE),MATCH(G130,'RC6SV'!$A$1:$G$1,FALSE))</f>
        <v>6600</v>
      </c>
      <c r="BD130" s="63">
        <f t="shared" ref="BD130:BD193" ca="1" si="18">ROUND(BC130*IF(AJ130=1,0.95,IF(AJ130=2,1,IF(AJ130,1.05,0))),0)</f>
        <v>6600</v>
      </c>
      <c r="BE130" s="14">
        <f t="shared" ref="BE130:BE193" ca="1" si="19">ROUND(IFERROR(INDIRECT(ADDRESS(MATCH($A130,$AE:$AE,0),MATCH($BC$1,$1:$1,0))),0),0)</f>
        <v>4800</v>
      </c>
      <c r="BF130" s="14">
        <f t="shared" ref="BF130:BF193" ca="1" si="20">ROUND(IFERROR(INDIRECT(ADDRESS(MATCH($A130,$AE:$AE,0),10)),INDIRECT(ADDRESS(MATCH($A130,$A:$A,0),10))),0)</f>
        <v>1</v>
      </c>
      <c r="BG130" s="20">
        <f ca="1">IF($BE130&lt;=0,ROUND(BK130*0.5,0), ROUND($BE130*S130*AA130*J130*AY130*0.8*[2]ステータス!$B$2,0))</f>
        <v>1841</v>
      </c>
      <c r="BH130" s="20">
        <f ca="1">IF($BE130&lt;=0,ROUND(BL130*0.5,0), ROUND($BE130*T130*AB130*K130*AZ130*0.8*[2]ステータス!$C$2,0))</f>
        <v>1487</v>
      </c>
      <c r="BI130" s="20">
        <f ca="1">IF($BE130&lt;=0,ROUND(BM130*0.5,0), ROUND($BE130*U130*AC130*L130*BA130*0.8*[2]ステータス!$D$2,0))</f>
        <v>0</v>
      </c>
      <c r="BJ130" s="20">
        <f ca="1">IF($BE130&lt;=0,ROUND(BN130*0.5,0), ROUND($BE130*V130*AD130*M130*BB130*0.8*[2]ステータス!$E$2,0))</f>
        <v>688</v>
      </c>
      <c r="BK130" s="14">
        <f ca="1">ROUND(BD130*S130*AA130*J130*AY130*[2]ステータス!$B$2,0)</f>
        <v>3164</v>
      </c>
      <c r="BL130" s="14">
        <f ca="1">ROUND(BD130*T130*AB130*K130*AZ130*[2]ステータス!$C$2,0)</f>
        <v>2555</v>
      </c>
      <c r="BM130" s="14">
        <f ca="1">ROUND(BD130*U130*AC130*L130*BA130*[2]ステータス!$D$2,0)</f>
        <v>0</v>
      </c>
      <c r="BN130" s="14">
        <f ca="1">ROUND(BD130*V130*AD130*M130*BB130*[2]ステータス!$E$2,0)</f>
        <v>1183</v>
      </c>
      <c r="BO130" s="13">
        <v>0</v>
      </c>
      <c r="BP130" s="13">
        <v>1</v>
      </c>
      <c r="BQ130" s="13" t="s">
        <v>102</v>
      </c>
      <c r="BR130" s="13">
        <f ca="1">VLOOKUP(H130,ghosts_label!$A$2:$B$19,2,FALSE)</f>
        <v>500</v>
      </c>
    </row>
    <row r="131" spans="1:70" ht="21" customHeight="1" x14ac:dyDescent="0.15">
      <c r="A131" s="14">
        <f t="shared" ca="1" si="15"/>
        <v>130</v>
      </c>
      <c r="B131" s="77" t="str">
        <f ca="1">VLOOKUP($A131,OFFSET([2]characters!$A$1,0,0,COUNTA([2]characters!$A:$A),MATCH(B$1,[2]characters!$1:$1,0)-MATCH($A$1,[2]characters!$1:$1,0)+1),MATCH(B$1,[2]characters!$1:$1,0)-MATCH($A$1,[2]characters!$1:$1,0)+1,FALSE)</f>
        <v>狼男 ローレンス</v>
      </c>
      <c r="C131" s="77" t="str">
        <f ca="1">VLOOKUP($A131,OFFSET([2]characters!$A$1,0,0,COUNTA([2]characters!$A:$A),MATCH(C$1,[2]characters!$1:$1,0)-MATCH($A$1,[2]characters!$1:$1,0)+1),MATCH(C$1,[2]characters!$1:$1,0)-MATCH($A$1,[2]characters!$1:$1,0)+1,FALSE)</f>
        <v>初期ガチャ</v>
      </c>
      <c r="D131" s="77" t="str">
        <f ca="1">VLOOKUP($A131,OFFSET([2]characters!$A$1,0,0,COUNTA([2]characters!$A:$A),MATCH(D$1,[2]characters!$1:$1,0)-MATCH($A$1,[2]characters!$1:$1,0)+1),MATCH(D$1,[2]characters!$1:$1,0)-MATCH($A$1,[2]characters!$1:$1,0)+1,FALSE)</f>
        <v>アバター</v>
      </c>
      <c r="E131" s="77" t="str">
        <f ca="1">VLOOKUP($A131,OFFSET([2]characters!$A$1,0,0,COUNTA([2]characters!$A:$A),MATCH(E$1,[2]characters!$1:$1,0)-MATCH($A$1,[2]characters!$1:$1,0)+1),MATCH(E$1,[2]characters!$1:$1,0)-MATCH($A$1,[2]characters!$1:$1,0)+1,FALSE)</f>
        <v>格好いい</v>
      </c>
      <c r="F131" s="77" t="str">
        <f ca="1">VLOOKUP($A131,OFFSET([2]characters!$A$1,0,0,COUNTA([2]characters!$A:$A),MATCH(F$1,[2]characters!$1:$1,0)-MATCH($A$1,[2]characters!$1:$1,0)+1),MATCH(F$1,[2]characters!$1:$1,0)-MATCH($A$1,[2]characters!$1:$1,0)+1,FALSE)</f>
        <v>不明</v>
      </c>
      <c r="G131" s="77">
        <f ca="1">VLOOKUP($A131,OFFSET([2]characters!$A$1,0,0,COUNTA([2]characters!$A:$A),MATCH(G$1,[2]characters!$1:$1,0)-MATCH($A$1,[2]characters!$1:$1,0)+1),MATCH(G$1,[2]characters!$1:$1,0)-MATCH($A$1,[2]characters!$1:$1,0)+1,FALSE)</f>
        <v>3</v>
      </c>
      <c r="H131" s="77" t="str">
        <f ca="1">VLOOKUP($A131,OFFSET([2]characters!$A$1,0,0,COUNTA([2]characters!$A:$A),MATCH(H$1,[2]characters!$1:$1,0)-MATCH($A$1,[2]characters!$1:$1,0)+1),MATCH(H$1,[2]characters!$1:$1,0)-MATCH($A$1,[2]characters!$1:$1,0)+1,FALSE)</f>
        <v>PremiumW</v>
      </c>
      <c r="I131" s="77" t="str">
        <f ca="1">VLOOKUP($A131,OFFSET([2]characters!$A$1,0,0,COUNTA([2]characters!$A:$A),MATCH(I$1,[2]characters!$1:$1,0)-MATCH($A$1,[2]characters!$1:$1,0)+1),MATCH(I$1,[2]characters!$1:$1,0)-MATCH($A$1,[2]characters!$1:$1,0)+1,FALSE)</f>
        <v>blue</v>
      </c>
      <c r="J131" s="14">
        <f ca="1">VLOOKUP(I131,[2]属性!$A:$E,2,FALSE)</f>
        <v>1</v>
      </c>
      <c r="K131" s="14">
        <f ca="1">VLOOKUP(I131,[2]属性!$A:$E,3,FALSE)</f>
        <v>0.98</v>
      </c>
      <c r="L131" s="14">
        <f ca="1">VLOOKUP(I131,[2]属性!$A:$E,4,FALSE)</f>
        <v>1</v>
      </c>
      <c r="M131" s="14">
        <f ca="1">VLOOKUP(I131,[2]属性!$A:$E,5,FALSE)</f>
        <v>1.02</v>
      </c>
      <c r="N131" s="14">
        <f ca="1">INDEX(コスト!$A$1:$I$20,MATCH(H131,コスト!$A$1:$A$20,FALSE),MATCH(G131,コスト!$A$1:$I$1,FALSE))</f>
        <v>7</v>
      </c>
      <c r="O131" s="14">
        <f ca="1">INDEX(レベル!$A$1:$I$21,MATCH(H131,レベル!$A$1:$A$21,FALSE),MATCH(G131,レベル!$A$1:$I$1,FALSE))</f>
        <v>40</v>
      </c>
      <c r="P131" s="63">
        <f t="shared" ref="P131:P194" ca="1" si="21">G131*15</f>
        <v>45</v>
      </c>
      <c r="Q131" s="77" t="str">
        <f ca="1">VLOOKUP($A131,OFFSET([2]characters!$A$1,0,0,COUNTA([2]characters!$A:$A),MATCH(Q$1,[2]characters!$1:$1,0)-MATCH($A$1,[2]characters!$1:$1,0)+1),MATCH(Q$1,[2]characters!$1:$1,0)-MATCH($A$1,[2]characters!$1:$1,0)+1,FALSE)</f>
        <v>attack</v>
      </c>
      <c r="R131" s="8" t="str">
        <f ca="1">VLOOKUP(Q131,[2]character_type_i18n!$A:$H,3,FALSE)</f>
        <v>攻撃タイプ</v>
      </c>
      <c r="S131" s="14">
        <f ca="1">VLOOKUP(Q131,[2]character_type_i18n!$A:$H,4,FALSE)</f>
        <v>1</v>
      </c>
      <c r="T131" s="14">
        <f ca="1">VLOOKUP(Q131,[2]character_type_i18n!$A:$H,5,FALSE)</f>
        <v>1.33</v>
      </c>
      <c r="U131" s="14">
        <f ca="1">VLOOKUP(Q131,[2]character_type_i18n!$A:$H,6,FALSE)</f>
        <v>1</v>
      </c>
      <c r="V131" s="14">
        <f ca="1">VLOOKUP(Q131,[2]character_type_i18n!$A:$H,7,FALSE)</f>
        <v>0.67</v>
      </c>
      <c r="W131" s="77" t="str">
        <f ca="1">VLOOKUP($A131,OFFSET([2]characters!$A$1,0,0,COUNTA([2]characters!$A:$A),MATCH(W$1,[2]characters!$1:$1,0)-MATCH($A$1,[2]characters!$1:$1,0)+1),MATCH(W$1,[2]characters!$1:$1,0)-MATCH($A$1,[2]characters!$1:$1,0)+1,FALSE)</f>
        <v>animal</v>
      </c>
      <c r="X131" s="8" t="str">
        <f ca="1">VLOOKUP(W131,[2]character_tribe_i18n!$A:$H,3,FALSE)</f>
        <v>アニマル</v>
      </c>
      <c r="Y131" s="77" t="str">
        <f ca="1">VLOOKUP($A131,OFFSET([2]characters!$A$1,0,0,COUNTA([2]characters!$A:$A),MATCH(Y$1,[2]characters!$1:$1,0)-MATCH($A$1,[2]characters!$1:$1,0)+1),MATCH(Y$1,[2]characters!$1:$1,0)-MATCH($A$1,[2]characters!$1:$1,0)+1,FALSE)</f>
        <v>none</v>
      </c>
      <c r="Z131" s="8" t="str">
        <f ca="1">VLOOKUP(Y131,[2]character_tribe_i18n!$A:$H,3,FALSE)</f>
        <v>種族なし</v>
      </c>
      <c r="AA131" s="14">
        <f ca="1">VLOOKUP(W131,[2]character_tribe_i18n!$A:$H,4,FALSE)</f>
        <v>1</v>
      </c>
      <c r="AB131" s="14">
        <f ca="1">VLOOKUP(W131,[2]character_tribe_i18n!$A:$H,5,FALSE)</f>
        <v>1.1000000000000001</v>
      </c>
      <c r="AC131" s="14">
        <f ca="1">VLOOKUP(W131,[2]character_tribe_i18n!$A:$H,6,FALSE)</f>
        <v>1</v>
      </c>
      <c r="AD131" s="14">
        <f ca="1">VLOOKUP(W131,[2]character_tribe_i18n!$A:$H,7,FALSE)</f>
        <v>0.9</v>
      </c>
      <c r="AE131" s="12">
        <v>131</v>
      </c>
      <c r="AF131" s="85" t="str">
        <f ca="1">IF(AE131="NULL","",VLOOKUP($AE131,OFFSET([2]characters!$A$1,0,0,COUNTA([2]characters!$A:$A),MATCH(AF$1,[2]characters!$1:$1,0)-MATCH($A$1,[2]characters!$1:$1,0)+1),MATCH(AF$1,[2]characters!$1:$1,0)-MATCH($A$1,[2]characters!$1:$1,0)+1,FALSE))</f>
        <v>月下の人狼 ローレンス</v>
      </c>
      <c r="AG131" s="8">
        <f t="shared" ca="1" si="16"/>
        <v>130</v>
      </c>
      <c r="AH131" s="85" t="str">
        <f ca="1">VLOOKUP($AG131,OFFSET([2]characters!$A$1,0,0,COUNTA([2]characters!$A:$A),MATCH(AH$1,[2]characters!$1:$1,0)-MATCH($A$1,[2]characters!$1:$1,0)+1),MATCH(AH$1,[2]characters!$1:$1,0)-MATCH($A$1,[2]characters!$1:$1,0)+1,FALSE)</f>
        <v>狼男 ローレンス</v>
      </c>
      <c r="AI131" s="14">
        <f ca="1">IF(AE131="NULL","NULL",VLOOKUP(G131,ビット!$A$2:$B$7,2))</f>
        <v>20000</v>
      </c>
      <c r="AJ131" s="9">
        <v>2</v>
      </c>
      <c r="AK131" s="10" t="str">
        <f t="shared" si="17"/>
        <v>普通</v>
      </c>
      <c r="AL131" s="14" t="str">
        <f ca="1">INDEX(経験値!$A$1:$I$20,MATCH(H131,経験値!$A$1:$A$20,FALSE),MATCH(G131,経験値!$A$1:$I$1,FALSE))</f>
        <v>required_exp_150</v>
      </c>
      <c r="AM131" s="11">
        <f ca="1">VLOOKUP(G131,経験値!$A$27:$B$31,2)</f>
        <v>1500</v>
      </c>
      <c r="AN131" s="21">
        <f ca="1">VLOOKUP(G131,ビット!$G$2:$H$7,2)</f>
        <v>300</v>
      </c>
      <c r="AO131" s="100" t="s">
        <v>178</v>
      </c>
      <c r="AP131" s="97">
        <v>313003</v>
      </c>
      <c r="AQ131" s="77" t="e">
        <f ca="1">VLOOKUP($AP131,OFFSET([1]unit_skills!$A$1,0,0,COUNTA([1]unit_skills!$A:$A),MATCH("name",[1]unit_skills!$1:$1,0)-MATCH($AP$1,[1]unit_skills!$1:$1,0)+1),MATCH("name",[1]unit_skills!$1:$1,0)-MATCH($AP$1,[1]unit_skills!$1:$1,0)+1,FALSE)</f>
        <v>#VALUE!</v>
      </c>
      <c r="AR131" s="77" t="e">
        <f ca="1">VLOOKUP($AP131,OFFSET([1]unit_skills!$A$1,0,0,COUNTA([1]unit_skills!$A:$A),MATCH("comment",[1]unit_skills!$1:$1,0)-MATCH($AP$1,[1]unit_skills!$1:$1,0)+1),MATCH("comment",[1]unit_skills!$1:$1,0)-MATCH($AP$1,[1]unit_skills!$1:$1,0)+1,FALSE)</f>
        <v>#VALUE!</v>
      </c>
      <c r="AS131" s="77" t="e">
        <f ca="1">VLOOKUP($AP131,OFFSET([1]unit_skills!$A$1,0,0,COUNTA([1]unit_skills!$A:$A),MATCH(AS$1,[1]unit_skills!$1:$1,0)-MATCH($AP$1,[1]unit_skills!$1:$1,0)+1),MATCH(AS$1,[1]unit_skills!$1:$1,0)-MATCH($AP$1,[1]unit_skills!$1:$1,0)+1,FALSE)</f>
        <v>#VALUE!</v>
      </c>
      <c r="AT131" s="97">
        <v>163002</v>
      </c>
      <c r="AU131" s="77" t="e">
        <f ca="1">VLOOKUP($AT131,OFFSET([1]crash_skills!$A$1,0,0,COUNTA([1]crash_skills!$A:$A),MATCH("name",[1]crash_skills!$1:$1,0)-MATCH($AT$1,[1]crash_skills!$1:$1,0)+1),MATCH("name",[1]crash_skills!$1:$1,0)-MATCH($AT$1,[1]crash_skills!$1:$1,0)+1,FALSE)</f>
        <v>#VALUE!</v>
      </c>
      <c r="AV131" s="77" t="e">
        <f ca="1">VLOOKUP($AT131,OFFSET([1]crash_skills!$A$1,0,0,COUNTA([1]crash_skills!$A:$A),MATCH("comment",[1]crash_skills!$1:$1,0)-MATCH($AT$1,[1]crash_skills!$1:$1,0)+1),MATCH("comment",[1]crash_skills!$1:$1,0)-MATCH($AT$1,[1]crash_skills!$1:$1,0)+1,FALSE)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31" s="77" t="e">
        <f ca="1">VLOOKUP($AT131,OFFSET([1]crash_skills!$A$1,0,0,COUNTA([1]crash_skills!$A:$A),MATCH(AW$1,[1]crash_skills!$1:$1,0)-MATCH($AT$1,[1]crash_skills!$1:$1,0)+1),MATCH(AW$1,[1]crash_skills!$1:$1,0)-MATCH($AT$1,[1]crash_skills!$1:$1,0)+1,FALSE)</f>
        <v>#VALUE!</v>
      </c>
      <c r="AX131" s="81">
        <f ca="1">VLOOKUP($A131,OFFSET([2]characters!$A$1,0,0,COUNTA([2]characters!$A:$A),MATCH(AX$1,[2]characters!$1:$1,0)-MATCH($A$1,[2]characters!$1:$1,0)+1),MATCH(AX$1,[2]characters!$1:$1,0)-MATCH($A$1,[2]characters!$1:$1,0)+1,FALSE)</f>
        <v>3</v>
      </c>
      <c r="AY131" s="19">
        <v>1</v>
      </c>
      <c r="AZ131" s="19">
        <v>1</v>
      </c>
      <c r="BA131" s="19">
        <v>0</v>
      </c>
      <c r="BB131" s="19">
        <v>1</v>
      </c>
      <c r="BC131" s="14">
        <f ca="1">INDEX('RC6SV'!$A$1:$G$20,MATCH(H131,'RC6SV'!$A$1:$A$20,FALSE),MATCH(G131,'RC6SV'!$A$1:$G$1,FALSE))</f>
        <v>4800</v>
      </c>
      <c r="BD131" s="63">
        <f t="shared" ca="1" si="18"/>
        <v>4800</v>
      </c>
      <c r="BE131" s="14">
        <f t="shared" ca="1" si="19"/>
        <v>0</v>
      </c>
      <c r="BF131" s="14">
        <f t="shared" ca="1" si="20"/>
        <v>1</v>
      </c>
      <c r="BG131" s="20">
        <f ca="1">IF($BE131&lt;=0,ROUND(BK131*0.5,0), ROUND($BE131*S131*AA131*J131*AY131*0.8*[2]ステータス!$B$2,0))</f>
        <v>1200</v>
      </c>
      <c r="BH131" s="20">
        <f ca="1">IF($BE131&lt;=0,ROUND(BL131*0.5,0), ROUND($BE131*T131*AB131*K131*AZ131*0.8*[2]ステータス!$C$2,0))</f>
        <v>1033</v>
      </c>
      <c r="BI131" s="20">
        <f ca="1">IF($BE131&lt;=0,ROUND(BM131*0.5,0), ROUND($BE131*U131*AC131*L131*BA131*0.8*[2]ステータス!$D$2,0))</f>
        <v>0</v>
      </c>
      <c r="BJ131" s="20">
        <f ca="1">IF($BE131&lt;=0,ROUND(BN131*0.5,0), ROUND($BE131*V131*AD131*M131*BB131*0.8*[2]ステータス!$E$2,0))</f>
        <v>369</v>
      </c>
      <c r="BK131" s="14">
        <f ca="1">ROUND(BD131*S131*AA131*J131*AY131*[2]ステータス!$B$2,0)</f>
        <v>2400</v>
      </c>
      <c r="BL131" s="14">
        <f ca="1">ROUND(BD131*T131*AB131*K131*AZ131*[2]ステータス!$C$2,0)</f>
        <v>2065</v>
      </c>
      <c r="BM131" s="14">
        <f ca="1">ROUND(BD131*U131*AC131*L131*BA131*[2]ステータス!$D$2,0)</f>
        <v>0</v>
      </c>
      <c r="BN131" s="14">
        <f ca="1">ROUND(BD131*V131*AD131*M131*BB131*[2]ステータス!$E$2,0)</f>
        <v>738</v>
      </c>
      <c r="BO131" s="13">
        <v>0</v>
      </c>
      <c r="BP131" s="13">
        <v>1</v>
      </c>
      <c r="BQ131" s="13" t="s">
        <v>102</v>
      </c>
      <c r="BR131" s="13">
        <f ca="1">VLOOKUP(H131,ghosts_label!$A$2:$B$19,2,FALSE)</f>
        <v>500</v>
      </c>
    </row>
    <row r="132" spans="1:70" ht="21" customHeight="1" x14ac:dyDescent="0.15">
      <c r="A132" s="14">
        <f t="shared" ca="1" si="15"/>
        <v>131</v>
      </c>
      <c r="B132" s="77" t="str">
        <f ca="1">VLOOKUP($A132,OFFSET([2]characters!$A$1,0,0,COUNTA([2]characters!$A:$A),MATCH(B$1,[2]characters!$1:$1,0)-MATCH($A$1,[2]characters!$1:$1,0)+1),MATCH(B$1,[2]characters!$1:$1,0)-MATCH($A$1,[2]characters!$1:$1,0)+1,FALSE)</f>
        <v>月下の人狼 ローレンス</v>
      </c>
      <c r="C132" s="77" t="str">
        <f ca="1">VLOOKUP($A132,OFFSET([2]characters!$A$1,0,0,COUNTA([2]characters!$A:$A),MATCH(C$1,[2]characters!$1:$1,0)-MATCH($A$1,[2]characters!$1:$1,0)+1),MATCH(C$1,[2]characters!$1:$1,0)-MATCH($A$1,[2]characters!$1:$1,0)+1,FALSE)</f>
        <v>初期ガチャ</v>
      </c>
      <c r="D132" s="77" t="str">
        <f ca="1">VLOOKUP($A132,OFFSET([2]characters!$A$1,0,0,COUNTA([2]characters!$A:$A),MATCH(D$1,[2]characters!$1:$1,0)-MATCH($A$1,[2]characters!$1:$1,0)+1),MATCH(D$1,[2]characters!$1:$1,0)-MATCH($A$1,[2]characters!$1:$1,0)+1,FALSE)</f>
        <v>アバター</v>
      </c>
      <c r="E132" s="77" t="str">
        <f ca="1">VLOOKUP($A132,OFFSET([2]characters!$A$1,0,0,COUNTA([2]characters!$A:$A),MATCH(E$1,[2]characters!$1:$1,0)-MATCH($A$1,[2]characters!$1:$1,0)+1),MATCH(E$1,[2]characters!$1:$1,0)-MATCH($A$1,[2]characters!$1:$1,0)+1,FALSE)</f>
        <v>格好いい</v>
      </c>
      <c r="F132" s="77" t="str">
        <f ca="1">VLOOKUP($A132,OFFSET([2]characters!$A$1,0,0,COUNTA([2]characters!$A:$A),MATCH(F$1,[2]characters!$1:$1,0)-MATCH($A$1,[2]characters!$1:$1,0)+1),MATCH(F$1,[2]characters!$1:$1,0)-MATCH($A$1,[2]characters!$1:$1,0)+1,FALSE)</f>
        <v>不明</v>
      </c>
      <c r="G132" s="77">
        <f ca="1">VLOOKUP($A132,OFFSET([2]characters!$A$1,0,0,COUNTA([2]characters!$A:$A),MATCH(G$1,[2]characters!$1:$1,0)-MATCH($A$1,[2]characters!$1:$1,0)+1),MATCH(G$1,[2]characters!$1:$1,0)-MATCH($A$1,[2]characters!$1:$1,0)+1,FALSE)</f>
        <v>4</v>
      </c>
      <c r="H132" s="77" t="str">
        <f ca="1">VLOOKUP($A132,OFFSET([2]characters!$A$1,0,0,COUNTA([2]characters!$A:$A),MATCH(H$1,[2]characters!$1:$1,0)-MATCH($A$1,[2]characters!$1:$1,0)+1),MATCH(H$1,[2]characters!$1:$1,0)-MATCH($A$1,[2]characters!$1:$1,0)+1,FALSE)</f>
        <v>PremiumW</v>
      </c>
      <c r="I132" s="77" t="str">
        <f ca="1">VLOOKUP($A132,OFFSET([2]characters!$A$1,0,0,COUNTA([2]characters!$A:$A),MATCH(I$1,[2]characters!$1:$1,0)-MATCH($A$1,[2]characters!$1:$1,0)+1),MATCH(I$1,[2]characters!$1:$1,0)-MATCH($A$1,[2]characters!$1:$1,0)+1,FALSE)</f>
        <v>blue</v>
      </c>
      <c r="J132" s="14">
        <f ca="1">VLOOKUP(I132,[2]属性!$A:$E,2,FALSE)</f>
        <v>1</v>
      </c>
      <c r="K132" s="14">
        <f ca="1">VLOOKUP(I132,[2]属性!$A:$E,3,FALSE)</f>
        <v>0.98</v>
      </c>
      <c r="L132" s="14">
        <f ca="1">VLOOKUP(I132,[2]属性!$A:$E,4,FALSE)</f>
        <v>1</v>
      </c>
      <c r="M132" s="14">
        <f ca="1">VLOOKUP(I132,[2]属性!$A:$E,5,FALSE)</f>
        <v>1.02</v>
      </c>
      <c r="N132" s="14">
        <f ca="1">INDEX(コスト!$A$1:$I$20,MATCH(H132,コスト!$A$1:$A$20,FALSE),MATCH(G132,コスト!$A$1:$I$1,FALSE))</f>
        <v>16</v>
      </c>
      <c r="O132" s="14">
        <f ca="1">INDEX(レベル!$A$1:$I$21,MATCH(H132,レベル!$A$1:$A$21,FALSE),MATCH(G132,レベル!$A$1:$I$1,FALSE))</f>
        <v>60</v>
      </c>
      <c r="P132" s="63">
        <f t="shared" ca="1" si="21"/>
        <v>60</v>
      </c>
      <c r="Q132" s="77" t="str">
        <f ca="1">VLOOKUP($A132,OFFSET([2]characters!$A$1,0,0,COUNTA([2]characters!$A:$A),MATCH(Q$1,[2]characters!$1:$1,0)-MATCH($A$1,[2]characters!$1:$1,0)+1),MATCH(Q$1,[2]characters!$1:$1,0)-MATCH($A$1,[2]characters!$1:$1,0)+1,FALSE)</f>
        <v>attack</v>
      </c>
      <c r="R132" s="8" t="str">
        <f ca="1">VLOOKUP(Q132,[2]character_type_i18n!$A:$H,3,FALSE)</f>
        <v>攻撃タイプ</v>
      </c>
      <c r="S132" s="14">
        <f ca="1">VLOOKUP(Q132,[2]character_type_i18n!$A:$H,4,FALSE)</f>
        <v>1</v>
      </c>
      <c r="T132" s="14">
        <f ca="1">VLOOKUP(Q132,[2]character_type_i18n!$A:$H,5,FALSE)</f>
        <v>1.33</v>
      </c>
      <c r="U132" s="14">
        <f ca="1">VLOOKUP(Q132,[2]character_type_i18n!$A:$H,6,FALSE)</f>
        <v>1</v>
      </c>
      <c r="V132" s="14">
        <f ca="1">VLOOKUP(Q132,[2]character_type_i18n!$A:$H,7,FALSE)</f>
        <v>0.67</v>
      </c>
      <c r="W132" s="77" t="str">
        <f ca="1">VLOOKUP($A132,OFFSET([2]characters!$A$1,0,0,COUNTA([2]characters!$A:$A),MATCH(W$1,[2]characters!$1:$1,0)-MATCH($A$1,[2]characters!$1:$1,0)+1),MATCH(W$1,[2]characters!$1:$1,0)-MATCH($A$1,[2]characters!$1:$1,0)+1,FALSE)</f>
        <v>animal</v>
      </c>
      <c r="X132" s="8" t="str">
        <f ca="1">VLOOKUP(W132,[2]character_tribe_i18n!$A:$H,3,FALSE)</f>
        <v>アニマル</v>
      </c>
      <c r="Y132" s="77" t="str">
        <f ca="1">VLOOKUP($A132,OFFSET([2]characters!$A$1,0,0,COUNTA([2]characters!$A:$A),MATCH(Y$1,[2]characters!$1:$1,0)-MATCH($A$1,[2]characters!$1:$1,0)+1),MATCH(Y$1,[2]characters!$1:$1,0)-MATCH($A$1,[2]characters!$1:$1,0)+1,FALSE)</f>
        <v>none</v>
      </c>
      <c r="Z132" s="8" t="str">
        <f ca="1">VLOOKUP(Y132,[2]character_tribe_i18n!$A:$H,3,FALSE)</f>
        <v>種族なし</v>
      </c>
      <c r="AA132" s="14">
        <f ca="1">VLOOKUP(W132,[2]character_tribe_i18n!$A:$H,4,FALSE)</f>
        <v>1</v>
      </c>
      <c r="AB132" s="14">
        <f ca="1">VLOOKUP(W132,[2]character_tribe_i18n!$A:$H,5,FALSE)</f>
        <v>1.1000000000000001</v>
      </c>
      <c r="AC132" s="14">
        <f ca="1">VLOOKUP(W132,[2]character_tribe_i18n!$A:$H,6,FALSE)</f>
        <v>1</v>
      </c>
      <c r="AD132" s="14">
        <f ca="1">VLOOKUP(W132,[2]character_tribe_i18n!$A:$H,7,FALSE)</f>
        <v>0.9</v>
      </c>
      <c r="AE132" s="12">
        <v>562</v>
      </c>
      <c r="AF132" s="85" t="str">
        <f ca="1">IF(AE132="NULL","",VLOOKUP($AE132,OFFSET([2]characters!$A$1,0,0,COUNTA([2]characters!$A:$A),MATCH(AF$1,[2]characters!$1:$1,0)-MATCH($A$1,[2]characters!$1:$1,0)+1),MATCH(AF$1,[2]characters!$1:$1,0)-MATCH($A$1,[2]characters!$1:$1,0)+1,FALSE))</f>
        <v>月夜砕く蒼狂狼 ローレンス</v>
      </c>
      <c r="AG132" s="8">
        <f t="shared" ca="1" si="16"/>
        <v>130</v>
      </c>
      <c r="AH132" s="85" t="str">
        <f ca="1">VLOOKUP($AG132,OFFSET([2]characters!$A$1,0,0,COUNTA([2]characters!$A:$A),MATCH(AH$1,[2]characters!$1:$1,0)-MATCH($A$1,[2]characters!$1:$1,0)+1),MATCH(AH$1,[2]characters!$1:$1,0)-MATCH($A$1,[2]characters!$1:$1,0)+1,FALSE)</f>
        <v>狼男 ローレンス</v>
      </c>
      <c r="AI132" s="14">
        <f ca="1">IF(AE132="NULL","NULL",VLOOKUP(G132,ビット!$A$2:$B$7,2))</f>
        <v>50000</v>
      </c>
      <c r="AJ132" s="9">
        <v>2</v>
      </c>
      <c r="AK132" s="10" t="str">
        <f t="shared" si="17"/>
        <v>普通</v>
      </c>
      <c r="AL132" s="14" t="str">
        <f ca="1">INDEX(経験値!$A$1:$I$20,MATCH(H132,経験値!$A$1:$A$20,FALSE),MATCH(G132,経験値!$A$1:$I$1,FALSE))</f>
        <v>required_exp_150</v>
      </c>
      <c r="AM132" s="11">
        <f ca="1">VLOOKUP(G132,経験値!$A$27:$B$31,2)</f>
        <v>3400</v>
      </c>
      <c r="AN132" s="21">
        <f ca="1">VLOOKUP(G132,ビット!$G$2:$H$7,2)</f>
        <v>600</v>
      </c>
      <c r="AO132" s="100" t="s">
        <v>178</v>
      </c>
      <c r="AP132" s="97">
        <v>313004</v>
      </c>
      <c r="AQ132" s="77" t="e">
        <f ca="1">VLOOKUP($AP132,OFFSET([1]unit_skills!$A$1,0,0,COUNTA([1]unit_skills!$A:$A),MATCH("name",[1]unit_skills!$1:$1,0)-MATCH($AP$1,[1]unit_skills!$1:$1,0)+1),MATCH("name",[1]unit_skills!$1:$1,0)-MATCH($AP$1,[1]unit_skills!$1:$1,0)+1,FALSE)</f>
        <v>#VALUE!</v>
      </c>
      <c r="AR132" s="77" t="e">
        <f ca="1">VLOOKUP($AP132,OFFSET([1]unit_skills!$A$1,0,0,COUNTA([1]unit_skills!$A:$A),MATCH("comment",[1]unit_skills!$1:$1,0)-MATCH($AP$1,[1]unit_skills!$1:$1,0)+1),MATCH("comment",[1]unit_skills!$1:$1,0)-MATCH($AP$1,[1]unit_skills!$1:$1,0)+1,FALSE)</f>
        <v>#VALUE!</v>
      </c>
      <c r="AS132" s="77" t="e">
        <f ca="1">VLOOKUP($AP132,OFFSET([1]unit_skills!$A$1,0,0,COUNTA([1]unit_skills!$A:$A),MATCH(AS$1,[1]unit_skills!$1:$1,0)-MATCH($AP$1,[1]unit_skills!$1:$1,0)+1),MATCH(AS$1,[1]unit_skills!$1:$1,0)-MATCH($AP$1,[1]unit_skills!$1:$1,0)+1,FALSE)</f>
        <v>#VALUE!</v>
      </c>
      <c r="AT132" s="97">
        <v>163007</v>
      </c>
      <c r="AU132" s="77" t="e">
        <f ca="1">VLOOKUP($AT132,OFFSET([1]crash_skills!$A$1,0,0,COUNTA([1]crash_skills!$A:$A),MATCH("name",[1]crash_skills!$1:$1,0)-MATCH($AT$1,[1]crash_skills!$1:$1,0)+1),MATCH("name",[1]crash_skills!$1:$1,0)-MATCH($AT$1,[1]crash_skills!$1:$1,0)+1,FALSE)</f>
        <v>#VALUE!</v>
      </c>
      <c r="AV132" s="77" t="e">
        <f ca="1">VLOOKUP($AT132,OFFSET([1]crash_skills!$A$1,0,0,COUNTA([1]crash_skills!$A:$A),MATCH("comment",[1]crash_skills!$1:$1,0)-MATCH($AT$1,[1]crash_skills!$1:$1,0)+1),MATCH("comment",[1]crash_skills!$1:$1,0)-MATCH($AT$1,[1]crash_skills!$1:$1,0)+1,FALSE)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32" s="77" t="e">
        <f ca="1">VLOOKUP($AT132,OFFSET([1]crash_skills!$A$1,0,0,COUNTA([1]crash_skills!$A:$A),MATCH(AW$1,[1]crash_skills!$1:$1,0)-MATCH($AT$1,[1]crash_skills!$1:$1,0)+1),MATCH(AW$1,[1]crash_skills!$1:$1,0)-MATCH($AT$1,[1]crash_skills!$1:$1,0)+1,FALSE)</f>
        <v>#VALUE!</v>
      </c>
      <c r="AX132" s="81">
        <f ca="1">VLOOKUP($A132,OFFSET([2]characters!$A$1,0,0,COUNTA([2]characters!$A:$A),MATCH(AX$1,[2]characters!$1:$1,0)-MATCH($A$1,[2]characters!$1:$1,0)+1),MATCH(AX$1,[2]characters!$1:$1,0)-MATCH($A$1,[2]characters!$1:$1,0)+1,FALSE)</f>
        <v>3</v>
      </c>
      <c r="AY132" s="19">
        <v>1</v>
      </c>
      <c r="AZ132" s="19">
        <v>1</v>
      </c>
      <c r="BA132" s="19">
        <v>0</v>
      </c>
      <c r="BB132" s="19">
        <v>1</v>
      </c>
      <c r="BC132" s="14">
        <f ca="1">INDEX('RC6SV'!$A$1:$G$20,MATCH(H132,'RC6SV'!$A$1:$A$20,FALSE),MATCH(G132,'RC6SV'!$A$1:$G$1,FALSE))</f>
        <v>6600</v>
      </c>
      <c r="BD132" s="63">
        <f t="shared" ca="1" si="18"/>
        <v>6600</v>
      </c>
      <c r="BE132" s="14">
        <f t="shared" ca="1" si="19"/>
        <v>4800</v>
      </c>
      <c r="BF132" s="14">
        <f t="shared" ca="1" si="20"/>
        <v>1</v>
      </c>
      <c r="BG132" s="20">
        <f ca="1">IF($BE132&lt;=0,ROUND(BK132*0.5,0), ROUND($BE132*S132*AA132*J132*AY132*0.8*[2]ステータス!$B$2,0))</f>
        <v>1920</v>
      </c>
      <c r="BH132" s="20">
        <f ca="1">IF($BE132&lt;=0,ROUND(BL132*0.5,0), ROUND($BE132*T132*AB132*K132*AZ132*0.8*[2]ステータス!$C$2,0))</f>
        <v>1652</v>
      </c>
      <c r="BI132" s="20">
        <f ca="1">IF($BE132&lt;=0,ROUND(BM132*0.5,0), ROUND($BE132*U132*AC132*L132*BA132*0.8*[2]ステータス!$D$2,0))</f>
        <v>0</v>
      </c>
      <c r="BJ132" s="20">
        <f ca="1">IF($BE132&lt;=0,ROUND(BN132*0.5,0), ROUND($BE132*V132*AD132*M132*BB132*0.8*[2]ステータス!$E$2,0))</f>
        <v>590</v>
      </c>
      <c r="BK132" s="14">
        <f ca="1">ROUND(BD132*S132*AA132*J132*AY132*[2]ステータス!$B$2,0)</f>
        <v>3300</v>
      </c>
      <c r="BL132" s="14">
        <f ca="1">ROUND(BD132*T132*AB132*K132*AZ132*[2]ステータス!$C$2,0)</f>
        <v>2839</v>
      </c>
      <c r="BM132" s="14">
        <f ca="1">ROUND(BD132*U132*AC132*L132*BA132*[2]ステータス!$D$2,0)</f>
        <v>0</v>
      </c>
      <c r="BN132" s="14">
        <f ca="1">ROUND(BD132*V132*AD132*M132*BB132*[2]ステータス!$E$2,0)</f>
        <v>1015</v>
      </c>
      <c r="BO132" s="13">
        <v>0</v>
      </c>
      <c r="BP132" s="13">
        <v>1</v>
      </c>
      <c r="BQ132" s="13" t="s">
        <v>102</v>
      </c>
      <c r="BR132" s="13">
        <f ca="1">VLOOKUP(H132,ghosts_label!$A$2:$B$19,2,FALSE)</f>
        <v>500</v>
      </c>
    </row>
    <row r="133" spans="1:70" ht="21" customHeight="1" x14ac:dyDescent="0.15">
      <c r="A133" s="14">
        <f t="shared" ca="1" si="15"/>
        <v>132</v>
      </c>
      <c r="B133" s="77" t="str">
        <f ca="1">VLOOKUP($A133,OFFSET([2]characters!$A$1,0,0,COUNTA([2]characters!$A:$A),MATCH(B$1,[2]characters!$1:$1,0)-MATCH($A$1,[2]characters!$1:$1,0)+1),MATCH(B$1,[2]characters!$1:$1,0)-MATCH($A$1,[2]characters!$1:$1,0)+1,FALSE)</f>
        <v>鳥人ハヤト</v>
      </c>
      <c r="C133" s="77" t="str">
        <f ca="1">VLOOKUP($A133,OFFSET([2]characters!$A$1,0,0,COUNTA([2]characters!$A:$A),MATCH(C$1,[2]characters!$1:$1,0)-MATCH($A$1,[2]characters!$1:$1,0)+1),MATCH(C$1,[2]characters!$1:$1,0)-MATCH($A$1,[2]characters!$1:$1,0)+1,FALSE)</f>
        <v>初期ガチャ</v>
      </c>
      <c r="D133" s="77" t="str">
        <f ca="1">VLOOKUP($A133,OFFSET([2]characters!$A$1,0,0,COUNTA([2]characters!$A:$A),MATCH(D$1,[2]characters!$1:$1,0)-MATCH($A$1,[2]characters!$1:$1,0)+1),MATCH(D$1,[2]characters!$1:$1,0)-MATCH($A$1,[2]characters!$1:$1,0)+1,FALSE)</f>
        <v>アバター</v>
      </c>
      <c r="E133" s="77" t="str">
        <f ca="1">VLOOKUP($A133,OFFSET([2]characters!$A$1,0,0,COUNTA([2]characters!$A:$A),MATCH(E$1,[2]characters!$1:$1,0)-MATCH($A$1,[2]characters!$1:$1,0)+1),MATCH(E$1,[2]characters!$1:$1,0)-MATCH($A$1,[2]characters!$1:$1,0)+1,FALSE)</f>
        <v>格好いい</v>
      </c>
      <c r="F133" s="77" t="str">
        <f ca="1">VLOOKUP($A133,OFFSET([2]characters!$A$1,0,0,COUNTA([2]characters!$A:$A),MATCH(F$1,[2]characters!$1:$1,0)-MATCH($A$1,[2]characters!$1:$1,0)+1),MATCH(F$1,[2]characters!$1:$1,0)-MATCH($A$1,[2]characters!$1:$1,0)+1,FALSE)</f>
        <v>男性</v>
      </c>
      <c r="G133" s="77">
        <f ca="1">VLOOKUP($A133,OFFSET([2]characters!$A$1,0,0,COUNTA([2]characters!$A:$A),MATCH(G$1,[2]characters!$1:$1,0)-MATCH($A$1,[2]characters!$1:$1,0)+1),MATCH(G$1,[2]characters!$1:$1,0)-MATCH($A$1,[2]characters!$1:$1,0)+1,FALSE)</f>
        <v>3</v>
      </c>
      <c r="H133" s="77" t="str">
        <f ca="1">VLOOKUP($A133,OFFSET([2]characters!$A$1,0,0,COUNTA([2]characters!$A:$A),MATCH(H$1,[2]characters!$1:$1,0)-MATCH($A$1,[2]characters!$1:$1,0)+1),MATCH(H$1,[2]characters!$1:$1,0)-MATCH($A$1,[2]characters!$1:$1,0)+1,FALSE)</f>
        <v>PremiumW</v>
      </c>
      <c r="I133" s="77" t="str">
        <f ca="1">VLOOKUP($A133,OFFSET([2]characters!$A$1,0,0,COUNTA([2]characters!$A:$A),MATCH(I$1,[2]characters!$1:$1,0)-MATCH($A$1,[2]characters!$1:$1,0)+1),MATCH(I$1,[2]characters!$1:$1,0)-MATCH($A$1,[2]characters!$1:$1,0)+1,FALSE)</f>
        <v>yellow</v>
      </c>
      <c r="J133" s="14">
        <f ca="1">VLOOKUP(I133,[2]属性!$A:$E,2,FALSE)</f>
        <v>0.98</v>
      </c>
      <c r="K133" s="14">
        <f ca="1">VLOOKUP(I133,[2]属性!$A:$E,3,FALSE)</f>
        <v>1.01</v>
      </c>
      <c r="L133" s="14">
        <f ca="1">VLOOKUP(I133,[2]属性!$A:$E,4,FALSE)</f>
        <v>1</v>
      </c>
      <c r="M133" s="14">
        <f ca="1">VLOOKUP(I133,[2]属性!$A:$E,5,FALSE)</f>
        <v>1.01</v>
      </c>
      <c r="N133" s="14">
        <f ca="1">INDEX(コスト!$A$1:$I$20,MATCH(H133,コスト!$A$1:$A$20,FALSE),MATCH(G133,コスト!$A$1:$I$1,FALSE))</f>
        <v>7</v>
      </c>
      <c r="O133" s="14">
        <f ca="1">INDEX(レベル!$A$1:$I$21,MATCH(H133,レベル!$A$1:$A$21,FALSE),MATCH(G133,レベル!$A$1:$I$1,FALSE))</f>
        <v>40</v>
      </c>
      <c r="P133" s="63">
        <f t="shared" ca="1" si="21"/>
        <v>45</v>
      </c>
      <c r="Q133" s="77" t="str">
        <f ca="1">VLOOKUP($A133,OFFSET([2]characters!$A$1,0,0,COUNTA([2]characters!$A:$A),MATCH(Q$1,[2]characters!$1:$1,0)-MATCH($A$1,[2]characters!$1:$1,0)+1),MATCH(Q$1,[2]characters!$1:$1,0)-MATCH($A$1,[2]characters!$1:$1,0)+1,FALSE)</f>
        <v>attack</v>
      </c>
      <c r="R133" s="8" t="str">
        <f ca="1">VLOOKUP(Q133,[2]character_type_i18n!$A:$H,3,FALSE)</f>
        <v>攻撃タイプ</v>
      </c>
      <c r="S133" s="14">
        <f ca="1">VLOOKUP(Q133,[2]character_type_i18n!$A:$H,4,FALSE)</f>
        <v>1</v>
      </c>
      <c r="T133" s="14">
        <f ca="1">VLOOKUP(Q133,[2]character_type_i18n!$A:$H,5,FALSE)</f>
        <v>1.33</v>
      </c>
      <c r="U133" s="14">
        <f ca="1">VLOOKUP(Q133,[2]character_type_i18n!$A:$H,6,FALSE)</f>
        <v>1</v>
      </c>
      <c r="V133" s="14">
        <f ca="1">VLOOKUP(Q133,[2]character_type_i18n!$A:$H,7,FALSE)</f>
        <v>0.67</v>
      </c>
      <c r="W133" s="77" t="str">
        <f ca="1">VLOOKUP($A133,OFFSET([2]characters!$A$1,0,0,COUNTA([2]characters!$A:$A),MATCH(W$1,[2]characters!$1:$1,0)-MATCH($A$1,[2]characters!$1:$1,0)+1),MATCH(W$1,[2]characters!$1:$1,0)-MATCH($A$1,[2]characters!$1:$1,0)+1,FALSE)</f>
        <v>human</v>
      </c>
      <c r="X133" s="8" t="str">
        <f ca="1">VLOOKUP(W133,[2]character_tribe_i18n!$A:$H,3,FALSE)</f>
        <v>ヒューマン</v>
      </c>
      <c r="Y133" s="77" t="str">
        <f ca="1">VLOOKUP($A133,OFFSET([2]characters!$A$1,0,0,COUNTA([2]characters!$A:$A),MATCH(Y$1,[2]characters!$1:$1,0)-MATCH($A$1,[2]characters!$1:$1,0)+1),MATCH(Y$1,[2]characters!$1:$1,0)-MATCH($A$1,[2]characters!$1:$1,0)+1,FALSE)</f>
        <v>animal</v>
      </c>
      <c r="Z133" s="8" t="str">
        <f ca="1">VLOOKUP(Y133,[2]character_tribe_i18n!$A:$H,3,FALSE)</f>
        <v>アニマル</v>
      </c>
      <c r="AA133" s="14">
        <f ca="1">VLOOKUP(W133,[2]character_tribe_i18n!$A:$H,4,FALSE)</f>
        <v>0.94</v>
      </c>
      <c r="AB133" s="14">
        <f ca="1">VLOOKUP(W133,[2]character_tribe_i18n!$A:$H,5,FALSE)</f>
        <v>0.99</v>
      </c>
      <c r="AC133" s="14">
        <f ca="1">VLOOKUP(W133,[2]character_tribe_i18n!$A:$H,6,FALSE)</f>
        <v>1</v>
      </c>
      <c r="AD133" s="14">
        <f ca="1">VLOOKUP(W133,[2]character_tribe_i18n!$A:$H,7,FALSE)</f>
        <v>1.07</v>
      </c>
      <c r="AE133" s="12">
        <v>133</v>
      </c>
      <c r="AF133" s="85" t="str">
        <f ca="1">IF(AE133="NULL","",VLOOKUP($AE133,OFFSET([2]characters!$A$1,0,0,COUNTA([2]characters!$A:$A),MATCH(AF$1,[2]characters!$1:$1,0)-MATCH($A$1,[2]characters!$1:$1,0)+1),MATCH(AF$1,[2]characters!$1:$1,0)-MATCH($A$1,[2]characters!$1:$1,0)+1,FALSE))</f>
        <v>迅雷の刀剣 ハヤト</v>
      </c>
      <c r="AG133" s="8">
        <f t="shared" ca="1" si="16"/>
        <v>132</v>
      </c>
      <c r="AH133" s="85" t="str">
        <f ca="1">VLOOKUP($AG133,OFFSET([2]characters!$A$1,0,0,COUNTA([2]characters!$A:$A),MATCH(AH$1,[2]characters!$1:$1,0)-MATCH($A$1,[2]characters!$1:$1,0)+1),MATCH(AH$1,[2]characters!$1:$1,0)-MATCH($A$1,[2]characters!$1:$1,0)+1,FALSE)</f>
        <v>鳥人ハヤト</v>
      </c>
      <c r="AI133" s="14">
        <f ca="1">IF(AE133="NULL","NULL",VLOOKUP(G133,ビット!$A$2:$B$7,2))</f>
        <v>20000</v>
      </c>
      <c r="AJ133" s="9">
        <v>2</v>
      </c>
      <c r="AK133" s="10" t="str">
        <f t="shared" si="17"/>
        <v>普通</v>
      </c>
      <c r="AL133" s="14" t="str">
        <f ca="1">INDEX(経験値!$A$1:$I$20,MATCH(H133,経験値!$A$1:$A$20,FALSE),MATCH(G133,経験値!$A$1:$I$1,FALSE))</f>
        <v>required_exp_150</v>
      </c>
      <c r="AM133" s="11">
        <f ca="1">VLOOKUP(G133,経験値!$A$27:$B$31,2)</f>
        <v>1500</v>
      </c>
      <c r="AN133" s="21">
        <f ca="1">VLOOKUP(G133,ビット!$G$2:$H$7,2)</f>
        <v>300</v>
      </c>
      <c r="AO133" s="100" t="s">
        <v>178</v>
      </c>
      <c r="AP133" s="97">
        <v>314003</v>
      </c>
      <c r="AQ133" s="77" t="e">
        <f ca="1">VLOOKUP($AP133,OFFSET([1]unit_skills!$A$1,0,0,COUNTA([1]unit_skills!$A:$A),MATCH("name",[1]unit_skills!$1:$1,0)-MATCH($AP$1,[1]unit_skills!$1:$1,0)+1),MATCH("name",[1]unit_skills!$1:$1,0)-MATCH($AP$1,[1]unit_skills!$1:$1,0)+1,FALSE)</f>
        <v>#VALUE!</v>
      </c>
      <c r="AR133" s="77" t="e">
        <f ca="1">VLOOKUP($AP133,OFFSET([1]unit_skills!$A$1,0,0,COUNTA([1]unit_skills!$A:$A),MATCH("comment",[1]unit_skills!$1:$1,0)-MATCH($AP$1,[1]unit_skills!$1:$1,0)+1),MATCH("comment",[1]unit_skills!$1:$1,0)-MATCH($AP$1,[1]unit_skills!$1:$1,0)+1,FALSE)</f>
        <v>#VALUE!</v>
      </c>
      <c r="AS133" s="77" t="e">
        <f ca="1">VLOOKUP($AP133,OFFSET([1]unit_skills!$A$1,0,0,COUNTA([1]unit_skills!$A:$A),MATCH(AS$1,[1]unit_skills!$1:$1,0)-MATCH($AP$1,[1]unit_skills!$1:$1,0)+1),MATCH(AS$1,[1]unit_skills!$1:$1,0)-MATCH($AP$1,[1]unit_skills!$1:$1,0)+1,FALSE)</f>
        <v>#VALUE!</v>
      </c>
      <c r="AT133" s="97">
        <v>164002</v>
      </c>
      <c r="AU133" s="77" t="e">
        <f ca="1">VLOOKUP($AT133,OFFSET([1]crash_skills!$A$1,0,0,COUNTA([1]crash_skills!$A:$A),MATCH("name",[1]crash_skills!$1:$1,0)-MATCH($AT$1,[1]crash_skills!$1:$1,0)+1),MATCH("name",[1]crash_skills!$1:$1,0)-MATCH($AT$1,[1]crash_skills!$1:$1,0)+1,FALSE)</f>
        <v>#VALUE!</v>
      </c>
      <c r="AV133" s="77" t="e">
        <f ca="1">VLOOKUP($AT133,OFFSET([1]crash_skills!$A$1,0,0,COUNTA([1]crash_skills!$A:$A),MATCH("comment",[1]crash_skills!$1:$1,0)-MATCH($AT$1,[1]crash_skills!$1:$1,0)+1),MATCH("comment",[1]crash_skills!$1:$1,0)-MATCH($AT$1,[1]crash_skills!$1:$1,0)+1,FALSE)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33" s="77" t="e">
        <f ca="1">VLOOKUP($AT133,OFFSET([1]crash_skills!$A$1,0,0,COUNTA([1]crash_skills!$A:$A),MATCH(AW$1,[1]crash_skills!$1:$1,0)-MATCH($AT$1,[1]crash_skills!$1:$1,0)+1),MATCH(AW$1,[1]crash_skills!$1:$1,0)-MATCH($AT$1,[1]crash_skills!$1:$1,0)+1,FALSE)</f>
        <v>#VALUE!</v>
      </c>
      <c r="AX133" s="81">
        <f ca="1">VLOOKUP($A133,OFFSET([2]characters!$A$1,0,0,COUNTA([2]characters!$A:$A),MATCH(AX$1,[2]characters!$1:$1,0)-MATCH($A$1,[2]characters!$1:$1,0)+1),MATCH(AX$1,[2]characters!$1:$1,0)-MATCH($A$1,[2]characters!$1:$1,0)+1,FALSE)</f>
        <v>3</v>
      </c>
      <c r="AY133" s="19">
        <v>1</v>
      </c>
      <c r="AZ133" s="19">
        <v>1</v>
      </c>
      <c r="BA133" s="19">
        <v>0</v>
      </c>
      <c r="BB133" s="19">
        <v>1</v>
      </c>
      <c r="BC133" s="14">
        <f ca="1">INDEX('RC6SV'!$A$1:$G$20,MATCH(H133,'RC6SV'!$A$1:$A$20,FALSE),MATCH(G133,'RC6SV'!$A$1:$G$1,FALSE))</f>
        <v>4800</v>
      </c>
      <c r="BD133" s="63">
        <f t="shared" ca="1" si="18"/>
        <v>4800</v>
      </c>
      <c r="BE133" s="14">
        <f t="shared" ca="1" si="19"/>
        <v>0</v>
      </c>
      <c r="BF133" s="14">
        <f t="shared" ca="1" si="20"/>
        <v>1</v>
      </c>
      <c r="BG133" s="20">
        <f ca="1">IF($BE133&lt;=0,ROUND(BK133*0.5,0), ROUND($BE133*S133*AA133*J133*AY133*0.8*[2]ステータス!$B$2,0))</f>
        <v>1106</v>
      </c>
      <c r="BH133" s="20">
        <f ca="1">IF($BE133&lt;=0,ROUND(BL133*0.5,0), ROUND($BE133*T133*AB133*K133*AZ133*0.8*[2]ステータス!$C$2,0))</f>
        <v>958</v>
      </c>
      <c r="BI133" s="20">
        <f ca="1">IF($BE133&lt;=0,ROUND(BM133*0.5,0), ROUND($BE133*U133*AC133*L133*BA133*0.8*[2]ステータス!$D$2,0))</f>
        <v>0</v>
      </c>
      <c r="BJ133" s="20">
        <f ca="1">IF($BE133&lt;=0,ROUND(BN133*0.5,0), ROUND($BE133*V133*AD133*M133*BB133*0.8*[2]ステータス!$E$2,0))</f>
        <v>435</v>
      </c>
      <c r="BK133" s="14">
        <f ca="1">ROUND(BD133*S133*AA133*J133*AY133*[2]ステータス!$B$2,0)</f>
        <v>2211</v>
      </c>
      <c r="BL133" s="14">
        <f ca="1">ROUND(BD133*T133*AB133*K133*AZ133*[2]ステータス!$C$2,0)</f>
        <v>1915</v>
      </c>
      <c r="BM133" s="14">
        <f ca="1">ROUND(BD133*U133*AC133*L133*BA133*[2]ステータス!$D$2,0)</f>
        <v>0</v>
      </c>
      <c r="BN133" s="14">
        <f ca="1">ROUND(BD133*V133*AD133*M133*BB133*[2]ステータス!$E$2,0)</f>
        <v>869</v>
      </c>
      <c r="BO133" s="13">
        <v>0</v>
      </c>
      <c r="BP133" s="13">
        <v>1</v>
      </c>
      <c r="BQ133" s="13" t="s">
        <v>102</v>
      </c>
      <c r="BR133" s="13">
        <f ca="1">VLOOKUP(H133,ghosts_label!$A$2:$B$19,2,FALSE)</f>
        <v>500</v>
      </c>
    </row>
    <row r="134" spans="1:70" ht="21" customHeight="1" x14ac:dyDescent="0.15">
      <c r="A134" s="14">
        <f t="shared" ca="1" si="15"/>
        <v>133</v>
      </c>
      <c r="B134" s="77" t="str">
        <f ca="1">VLOOKUP($A134,OFFSET([2]characters!$A$1,0,0,COUNTA([2]characters!$A:$A),MATCH(B$1,[2]characters!$1:$1,0)-MATCH($A$1,[2]characters!$1:$1,0)+1),MATCH(B$1,[2]characters!$1:$1,0)-MATCH($A$1,[2]characters!$1:$1,0)+1,FALSE)</f>
        <v>迅雷の刀剣 ハヤト</v>
      </c>
      <c r="C134" s="77" t="str">
        <f ca="1">VLOOKUP($A134,OFFSET([2]characters!$A$1,0,0,COUNTA([2]characters!$A:$A),MATCH(C$1,[2]characters!$1:$1,0)-MATCH($A$1,[2]characters!$1:$1,0)+1),MATCH(C$1,[2]characters!$1:$1,0)-MATCH($A$1,[2]characters!$1:$1,0)+1,FALSE)</f>
        <v>初期ガチャ</v>
      </c>
      <c r="D134" s="77" t="str">
        <f ca="1">VLOOKUP($A134,OFFSET([2]characters!$A$1,0,0,COUNTA([2]characters!$A:$A),MATCH(D$1,[2]characters!$1:$1,0)-MATCH($A$1,[2]characters!$1:$1,0)+1),MATCH(D$1,[2]characters!$1:$1,0)-MATCH($A$1,[2]characters!$1:$1,0)+1,FALSE)</f>
        <v>アバター</v>
      </c>
      <c r="E134" s="77" t="str">
        <f ca="1">VLOOKUP($A134,OFFSET([2]characters!$A$1,0,0,COUNTA([2]characters!$A:$A),MATCH(E$1,[2]characters!$1:$1,0)-MATCH($A$1,[2]characters!$1:$1,0)+1),MATCH(E$1,[2]characters!$1:$1,0)-MATCH($A$1,[2]characters!$1:$1,0)+1,FALSE)</f>
        <v>格好いい</v>
      </c>
      <c r="F134" s="77" t="str">
        <f ca="1">VLOOKUP($A134,OFFSET([2]characters!$A$1,0,0,COUNTA([2]characters!$A:$A),MATCH(F$1,[2]characters!$1:$1,0)-MATCH($A$1,[2]characters!$1:$1,0)+1),MATCH(F$1,[2]characters!$1:$1,0)-MATCH($A$1,[2]characters!$1:$1,0)+1,FALSE)</f>
        <v>男性</v>
      </c>
      <c r="G134" s="77">
        <f ca="1">VLOOKUP($A134,OFFSET([2]characters!$A$1,0,0,COUNTA([2]characters!$A:$A),MATCH(G$1,[2]characters!$1:$1,0)-MATCH($A$1,[2]characters!$1:$1,0)+1),MATCH(G$1,[2]characters!$1:$1,0)-MATCH($A$1,[2]characters!$1:$1,0)+1,FALSE)</f>
        <v>4</v>
      </c>
      <c r="H134" s="77" t="str">
        <f ca="1">VLOOKUP($A134,OFFSET([2]characters!$A$1,0,0,COUNTA([2]characters!$A:$A),MATCH(H$1,[2]characters!$1:$1,0)-MATCH($A$1,[2]characters!$1:$1,0)+1),MATCH(H$1,[2]characters!$1:$1,0)-MATCH($A$1,[2]characters!$1:$1,0)+1,FALSE)</f>
        <v>PremiumW</v>
      </c>
      <c r="I134" s="77" t="str">
        <f ca="1">VLOOKUP($A134,OFFSET([2]characters!$A$1,0,0,COUNTA([2]characters!$A:$A),MATCH(I$1,[2]characters!$1:$1,0)-MATCH($A$1,[2]characters!$1:$1,0)+1),MATCH(I$1,[2]characters!$1:$1,0)-MATCH($A$1,[2]characters!$1:$1,0)+1,FALSE)</f>
        <v>yellow</v>
      </c>
      <c r="J134" s="14">
        <f ca="1">VLOOKUP(I134,[2]属性!$A:$E,2,FALSE)</f>
        <v>0.98</v>
      </c>
      <c r="K134" s="14">
        <f ca="1">VLOOKUP(I134,[2]属性!$A:$E,3,FALSE)</f>
        <v>1.01</v>
      </c>
      <c r="L134" s="14">
        <f ca="1">VLOOKUP(I134,[2]属性!$A:$E,4,FALSE)</f>
        <v>1</v>
      </c>
      <c r="M134" s="14">
        <f ca="1">VLOOKUP(I134,[2]属性!$A:$E,5,FALSE)</f>
        <v>1.01</v>
      </c>
      <c r="N134" s="14">
        <f ca="1">INDEX(コスト!$A$1:$I$20,MATCH(H134,コスト!$A$1:$A$20,FALSE),MATCH(G134,コスト!$A$1:$I$1,FALSE))</f>
        <v>16</v>
      </c>
      <c r="O134" s="14">
        <f ca="1">INDEX(レベル!$A$1:$I$21,MATCH(H134,レベル!$A$1:$A$21,FALSE),MATCH(G134,レベル!$A$1:$I$1,FALSE))</f>
        <v>60</v>
      </c>
      <c r="P134" s="63">
        <f t="shared" ca="1" si="21"/>
        <v>60</v>
      </c>
      <c r="Q134" s="77" t="str">
        <f ca="1">VLOOKUP($A134,OFFSET([2]characters!$A$1,0,0,COUNTA([2]characters!$A:$A),MATCH(Q$1,[2]characters!$1:$1,0)-MATCH($A$1,[2]characters!$1:$1,0)+1),MATCH(Q$1,[2]characters!$1:$1,0)-MATCH($A$1,[2]characters!$1:$1,0)+1,FALSE)</f>
        <v>attack</v>
      </c>
      <c r="R134" s="8" t="str">
        <f ca="1">VLOOKUP(Q134,[2]character_type_i18n!$A:$H,3,FALSE)</f>
        <v>攻撃タイプ</v>
      </c>
      <c r="S134" s="14">
        <f ca="1">VLOOKUP(Q134,[2]character_type_i18n!$A:$H,4,FALSE)</f>
        <v>1</v>
      </c>
      <c r="T134" s="14">
        <f ca="1">VLOOKUP(Q134,[2]character_type_i18n!$A:$H,5,FALSE)</f>
        <v>1.33</v>
      </c>
      <c r="U134" s="14">
        <f ca="1">VLOOKUP(Q134,[2]character_type_i18n!$A:$H,6,FALSE)</f>
        <v>1</v>
      </c>
      <c r="V134" s="14">
        <f ca="1">VLOOKUP(Q134,[2]character_type_i18n!$A:$H,7,FALSE)</f>
        <v>0.67</v>
      </c>
      <c r="W134" s="77" t="str">
        <f ca="1">VLOOKUP($A134,OFFSET([2]characters!$A$1,0,0,COUNTA([2]characters!$A:$A),MATCH(W$1,[2]characters!$1:$1,0)-MATCH($A$1,[2]characters!$1:$1,0)+1),MATCH(W$1,[2]characters!$1:$1,0)-MATCH($A$1,[2]characters!$1:$1,0)+1,FALSE)</f>
        <v>human</v>
      </c>
      <c r="X134" s="8" t="str">
        <f ca="1">VLOOKUP(W134,[2]character_tribe_i18n!$A:$H,3,FALSE)</f>
        <v>ヒューマン</v>
      </c>
      <c r="Y134" s="77" t="str">
        <f ca="1">VLOOKUP($A134,OFFSET([2]characters!$A$1,0,0,COUNTA([2]characters!$A:$A),MATCH(Y$1,[2]characters!$1:$1,0)-MATCH($A$1,[2]characters!$1:$1,0)+1),MATCH(Y$1,[2]characters!$1:$1,0)-MATCH($A$1,[2]characters!$1:$1,0)+1,FALSE)</f>
        <v>animal</v>
      </c>
      <c r="Z134" s="8" t="str">
        <f ca="1">VLOOKUP(Y134,[2]character_tribe_i18n!$A:$H,3,FALSE)</f>
        <v>アニマル</v>
      </c>
      <c r="AA134" s="14">
        <f ca="1">VLOOKUP(W134,[2]character_tribe_i18n!$A:$H,4,FALSE)</f>
        <v>0.94</v>
      </c>
      <c r="AB134" s="14">
        <f ca="1">VLOOKUP(W134,[2]character_tribe_i18n!$A:$H,5,FALSE)</f>
        <v>0.99</v>
      </c>
      <c r="AC134" s="14">
        <f ca="1">VLOOKUP(W134,[2]character_tribe_i18n!$A:$H,6,FALSE)</f>
        <v>1</v>
      </c>
      <c r="AD134" s="14">
        <f ca="1">VLOOKUP(W134,[2]character_tribe_i18n!$A:$H,7,FALSE)</f>
        <v>1.07</v>
      </c>
      <c r="AE134" s="12">
        <v>563</v>
      </c>
      <c r="AF134" s="85" t="str">
        <f ca="1">IF(AE134="NULL","",VLOOKUP($AE134,OFFSET([2]characters!$A$1,0,0,COUNTA([2]characters!$A:$A),MATCH(AF$1,[2]characters!$1:$1,0)-MATCH($A$1,[2]characters!$1:$1,0)+1),MATCH(AF$1,[2]characters!$1:$1,0)-MATCH($A$1,[2]characters!$1:$1,0)+1,FALSE))</f>
        <v>電翔紫閃の雷刃 ハヤト</v>
      </c>
      <c r="AG134" s="8">
        <f t="shared" ca="1" si="16"/>
        <v>132</v>
      </c>
      <c r="AH134" s="85" t="str">
        <f ca="1">VLOOKUP($AG134,OFFSET([2]characters!$A$1,0,0,COUNTA([2]characters!$A:$A),MATCH(AH$1,[2]characters!$1:$1,0)-MATCH($A$1,[2]characters!$1:$1,0)+1),MATCH(AH$1,[2]characters!$1:$1,0)-MATCH($A$1,[2]characters!$1:$1,0)+1,FALSE)</f>
        <v>鳥人ハヤト</v>
      </c>
      <c r="AI134" s="14">
        <f ca="1">IF(AE134="NULL","NULL",VLOOKUP(G134,ビット!$A$2:$B$7,2))</f>
        <v>50000</v>
      </c>
      <c r="AJ134" s="9">
        <v>2</v>
      </c>
      <c r="AK134" s="10" t="str">
        <f t="shared" si="17"/>
        <v>普通</v>
      </c>
      <c r="AL134" s="14" t="str">
        <f ca="1">INDEX(経験値!$A$1:$I$20,MATCH(H134,経験値!$A$1:$A$20,FALSE),MATCH(G134,経験値!$A$1:$I$1,FALSE))</f>
        <v>required_exp_150</v>
      </c>
      <c r="AM134" s="11">
        <f ca="1">VLOOKUP(G134,経験値!$A$27:$B$31,2)</f>
        <v>3400</v>
      </c>
      <c r="AN134" s="21">
        <f ca="1">VLOOKUP(G134,ビット!$G$2:$H$7,2)</f>
        <v>600</v>
      </c>
      <c r="AO134" s="100" t="s">
        <v>178</v>
      </c>
      <c r="AP134" s="97">
        <v>314004</v>
      </c>
      <c r="AQ134" s="77" t="e">
        <f ca="1">VLOOKUP($AP134,OFFSET([1]unit_skills!$A$1,0,0,COUNTA([1]unit_skills!$A:$A),MATCH("name",[1]unit_skills!$1:$1,0)-MATCH($AP$1,[1]unit_skills!$1:$1,0)+1),MATCH("name",[1]unit_skills!$1:$1,0)-MATCH($AP$1,[1]unit_skills!$1:$1,0)+1,FALSE)</f>
        <v>#VALUE!</v>
      </c>
      <c r="AR134" s="77" t="e">
        <f ca="1">VLOOKUP($AP134,OFFSET([1]unit_skills!$A$1,0,0,COUNTA([1]unit_skills!$A:$A),MATCH("comment",[1]unit_skills!$1:$1,0)-MATCH($AP$1,[1]unit_skills!$1:$1,0)+1),MATCH("comment",[1]unit_skills!$1:$1,0)-MATCH($AP$1,[1]unit_skills!$1:$1,0)+1,FALSE)</f>
        <v>#VALUE!</v>
      </c>
      <c r="AS134" s="77" t="e">
        <f ca="1">VLOOKUP($AP134,OFFSET([1]unit_skills!$A$1,0,0,COUNTA([1]unit_skills!$A:$A),MATCH(AS$1,[1]unit_skills!$1:$1,0)-MATCH($AP$1,[1]unit_skills!$1:$1,0)+1),MATCH(AS$1,[1]unit_skills!$1:$1,0)-MATCH($AP$1,[1]unit_skills!$1:$1,0)+1,FALSE)</f>
        <v>#VALUE!</v>
      </c>
      <c r="AT134" s="97">
        <v>164007</v>
      </c>
      <c r="AU134" s="77" t="e">
        <f ca="1">VLOOKUP($AT134,OFFSET([1]crash_skills!$A$1,0,0,COUNTA([1]crash_skills!$A:$A),MATCH("name",[1]crash_skills!$1:$1,0)-MATCH($AT$1,[1]crash_skills!$1:$1,0)+1),MATCH("name",[1]crash_skills!$1:$1,0)-MATCH($AT$1,[1]crash_skills!$1:$1,0)+1,FALSE)</f>
        <v>#VALUE!</v>
      </c>
      <c r="AV134" s="77" t="e">
        <f ca="1">VLOOKUP($AT134,OFFSET([1]crash_skills!$A$1,0,0,COUNTA([1]crash_skills!$A:$A),MATCH("comment",[1]crash_skills!$1:$1,0)-MATCH($AT$1,[1]crash_skills!$1:$1,0)+1),MATCH("comment",[1]crash_skills!$1:$1,0)-MATCH($AT$1,[1]crash_skills!$1:$1,0)+1,FALSE)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34" s="77" t="e">
        <f ca="1">VLOOKUP($AT134,OFFSET([1]crash_skills!$A$1,0,0,COUNTA([1]crash_skills!$A:$A),MATCH(AW$1,[1]crash_skills!$1:$1,0)-MATCH($AT$1,[1]crash_skills!$1:$1,0)+1),MATCH(AW$1,[1]crash_skills!$1:$1,0)-MATCH($AT$1,[1]crash_skills!$1:$1,0)+1,FALSE)</f>
        <v>#VALUE!</v>
      </c>
      <c r="AX134" s="81">
        <f ca="1">VLOOKUP($A134,OFFSET([2]characters!$A$1,0,0,COUNTA([2]characters!$A:$A),MATCH(AX$1,[2]characters!$1:$1,0)-MATCH($A$1,[2]characters!$1:$1,0)+1),MATCH(AX$1,[2]characters!$1:$1,0)-MATCH($A$1,[2]characters!$1:$1,0)+1,FALSE)</f>
        <v>3</v>
      </c>
      <c r="AY134" s="19">
        <v>1</v>
      </c>
      <c r="AZ134" s="19">
        <v>1</v>
      </c>
      <c r="BA134" s="19">
        <v>0</v>
      </c>
      <c r="BB134" s="19">
        <v>1</v>
      </c>
      <c r="BC134" s="14">
        <f ca="1">INDEX('RC6SV'!$A$1:$G$20,MATCH(H134,'RC6SV'!$A$1:$A$20,FALSE),MATCH(G134,'RC6SV'!$A$1:$G$1,FALSE))</f>
        <v>6600</v>
      </c>
      <c r="BD134" s="63">
        <f t="shared" ca="1" si="18"/>
        <v>6600</v>
      </c>
      <c r="BE134" s="14">
        <f t="shared" ca="1" si="19"/>
        <v>4800</v>
      </c>
      <c r="BF134" s="14">
        <f t="shared" ca="1" si="20"/>
        <v>1</v>
      </c>
      <c r="BG134" s="20">
        <f ca="1">IF($BE134&lt;=0,ROUND(BK134*0.5,0), ROUND($BE134*S134*AA134*J134*AY134*0.8*[2]ステータス!$B$2,0))</f>
        <v>1769</v>
      </c>
      <c r="BH134" s="20">
        <f ca="1">IF($BE134&lt;=0,ROUND(BL134*0.5,0), ROUND($BE134*T134*AB134*K134*AZ134*0.8*[2]ステータス!$C$2,0))</f>
        <v>1532</v>
      </c>
      <c r="BI134" s="20">
        <f ca="1">IF($BE134&lt;=0,ROUND(BM134*0.5,0), ROUND($BE134*U134*AC134*L134*BA134*0.8*[2]ステータス!$D$2,0))</f>
        <v>0</v>
      </c>
      <c r="BJ134" s="20">
        <f ca="1">IF($BE134&lt;=0,ROUND(BN134*0.5,0), ROUND($BE134*V134*AD134*M134*BB134*0.8*[2]ステータス!$E$2,0))</f>
        <v>695</v>
      </c>
      <c r="BK134" s="14">
        <f ca="1">ROUND(BD134*S134*AA134*J134*AY134*[2]ステータス!$B$2,0)</f>
        <v>3040</v>
      </c>
      <c r="BL134" s="14">
        <f ca="1">ROUND(BD134*T134*AB134*K134*AZ134*[2]ステータス!$C$2,0)</f>
        <v>2633</v>
      </c>
      <c r="BM134" s="14">
        <f ca="1">ROUND(BD134*U134*AC134*L134*BA134*[2]ステータス!$D$2,0)</f>
        <v>0</v>
      </c>
      <c r="BN134" s="14">
        <f ca="1">ROUND(BD134*V134*AD134*M134*BB134*[2]ステータス!$E$2,0)</f>
        <v>1195</v>
      </c>
      <c r="BO134" s="13">
        <v>0</v>
      </c>
      <c r="BP134" s="13">
        <v>1</v>
      </c>
      <c r="BQ134" s="13" t="s">
        <v>102</v>
      </c>
      <c r="BR134" s="13">
        <f ca="1">VLOOKUP(H134,ghosts_label!$A$2:$B$19,2,FALSE)</f>
        <v>500</v>
      </c>
    </row>
    <row r="135" spans="1:70" ht="21" customHeight="1" x14ac:dyDescent="0.15">
      <c r="A135" s="14">
        <f t="shared" ca="1" si="15"/>
        <v>134</v>
      </c>
      <c r="B135" s="77" t="str">
        <f ca="1">VLOOKUP($A135,OFFSET([2]characters!$A$1,0,0,COUNTA([2]characters!$A:$A),MATCH(B$1,[2]characters!$1:$1,0)-MATCH($A$1,[2]characters!$1:$1,0)+1),MATCH(B$1,[2]characters!$1:$1,0)-MATCH($A$1,[2]characters!$1:$1,0)+1,FALSE)</f>
        <v>妖炎の夕霧</v>
      </c>
      <c r="C135" s="77" t="str">
        <f ca="1">VLOOKUP($A135,OFFSET([2]characters!$A$1,0,0,COUNTA([2]characters!$A:$A),MATCH(C$1,[2]characters!$1:$1,0)-MATCH($A$1,[2]characters!$1:$1,0)+1),MATCH(C$1,[2]characters!$1:$1,0)-MATCH($A$1,[2]characters!$1:$1,0)+1,FALSE)</f>
        <v>初期ガチャ</v>
      </c>
      <c r="D135" s="77" t="str">
        <f ca="1">VLOOKUP($A135,OFFSET([2]characters!$A$1,0,0,COUNTA([2]characters!$A:$A),MATCH(D$1,[2]characters!$1:$1,0)-MATCH($A$1,[2]characters!$1:$1,0)+1),MATCH(D$1,[2]characters!$1:$1,0)-MATCH($A$1,[2]characters!$1:$1,0)+1,FALSE)</f>
        <v>アバター</v>
      </c>
      <c r="E135" s="77" t="str">
        <f ca="1">VLOOKUP($A135,OFFSET([2]characters!$A$1,0,0,COUNTA([2]characters!$A:$A),MATCH(E$1,[2]characters!$1:$1,0)-MATCH($A$1,[2]characters!$1:$1,0)+1),MATCH(E$1,[2]characters!$1:$1,0)-MATCH($A$1,[2]characters!$1:$1,0)+1,FALSE)</f>
        <v>美しい</v>
      </c>
      <c r="F135" s="77" t="str">
        <f ca="1">VLOOKUP($A135,OFFSET([2]characters!$A$1,0,0,COUNTA([2]characters!$A:$A),MATCH(F$1,[2]characters!$1:$1,0)-MATCH($A$1,[2]characters!$1:$1,0)+1),MATCH(F$1,[2]characters!$1:$1,0)-MATCH($A$1,[2]characters!$1:$1,0)+1,FALSE)</f>
        <v>女性</v>
      </c>
      <c r="G135" s="77">
        <f ca="1">VLOOKUP($A135,OFFSET([2]characters!$A$1,0,0,COUNTA([2]characters!$A:$A),MATCH(G$1,[2]characters!$1:$1,0)-MATCH($A$1,[2]characters!$1:$1,0)+1),MATCH(G$1,[2]characters!$1:$1,0)-MATCH($A$1,[2]characters!$1:$1,0)+1,FALSE)</f>
        <v>3</v>
      </c>
      <c r="H135" s="77" t="str">
        <f ca="1">VLOOKUP($A135,OFFSET([2]characters!$A$1,0,0,COUNTA([2]characters!$A:$A),MATCH(H$1,[2]characters!$1:$1,0)-MATCH($A$1,[2]characters!$1:$1,0)+1),MATCH(H$1,[2]characters!$1:$1,0)-MATCH($A$1,[2]characters!$1:$1,0)+1,FALSE)</f>
        <v>PremiumW</v>
      </c>
      <c r="I135" s="77" t="str">
        <f ca="1">VLOOKUP($A135,OFFSET([2]characters!$A$1,0,0,COUNTA([2]characters!$A:$A),MATCH(I$1,[2]characters!$1:$1,0)-MATCH($A$1,[2]characters!$1:$1,0)+1),MATCH(I$1,[2]characters!$1:$1,0)-MATCH($A$1,[2]characters!$1:$1,0)+1,FALSE)</f>
        <v>red</v>
      </c>
      <c r="J135" s="14">
        <f ca="1">VLOOKUP(I135,[2]属性!$A:$E,2,FALSE)</f>
        <v>1</v>
      </c>
      <c r="K135" s="14">
        <f ca="1">VLOOKUP(I135,[2]属性!$A:$E,3,FALSE)</f>
        <v>1.02</v>
      </c>
      <c r="L135" s="14">
        <f ca="1">VLOOKUP(I135,[2]属性!$A:$E,4,FALSE)</f>
        <v>1</v>
      </c>
      <c r="M135" s="14">
        <f ca="1">VLOOKUP(I135,[2]属性!$A:$E,5,FALSE)</f>
        <v>0.98</v>
      </c>
      <c r="N135" s="14">
        <f ca="1">INDEX(コスト!$A$1:$I$20,MATCH(H135,コスト!$A$1:$A$20,FALSE),MATCH(G135,コスト!$A$1:$I$1,FALSE))</f>
        <v>7</v>
      </c>
      <c r="O135" s="14">
        <f ca="1">INDEX(レベル!$A$1:$I$21,MATCH(H135,レベル!$A$1:$A$21,FALSE),MATCH(G135,レベル!$A$1:$I$1,FALSE))</f>
        <v>40</v>
      </c>
      <c r="P135" s="63">
        <f t="shared" ca="1" si="21"/>
        <v>45</v>
      </c>
      <c r="Q135" s="77" t="str">
        <f ca="1">VLOOKUP($A135,OFFSET([2]characters!$A$1,0,0,COUNTA([2]characters!$A:$A),MATCH(Q$1,[2]characters!$1:$1,0)-MATCH($A$1,[2]characters!$1:$1,0)+1),MATCH(Q$1,[2]characters!$1:$1,0)-MATCH($A$1,[2]characters!$1:$1,0)+1,FALSE)</f>
        <v>balance</v>
      </c>
      <c r="R135" s="8" t="str">
        <f ca="1">VLOOKUP(Q135,[2]character_type_i18n!$A:$H,3,FALSE)</f>
        <v>バランスタイプ</v>
      </c>
      <c r="S135" s="14">
        <f ca="1">VLOOKUP(Q135,[2]character_type_i18n!$A:$H,4,FALSE)</f>
        <v>1</v>
      </c>
      <c r="T135" s="14">
        <f ca="1">VLOOKUP(Q135,[2]character_type_i18n!$A:$H,5,FALSE)</f>
        <v>1</v>
      </c>
      <c r="U135" s="14">
        <f ca="1">VLOOKUP(Q135,[2]character_type_i18n!$A:$H,6,FALSE)</f>
        <v>1</v>
      </c>
      <c r="V135" s="14">
        <f ca="1">VLOOKUP(Q135,[2]character_type_i18n!$A:$H,7,FALSE)</f>
        <v>1</v>
      </c>
      <c r="W135" s="77" t="str">
        <f ca="1">VLOOKUP($A135,OFFSET([2]characters!$A$1,0,0,COUNTA([2]characters!$A:$A),MATCH(W$1,[2]characters!$1:$1,0)-MATCH($A$1,[2]characters!$1:$1,0)+1),MATCH(W$1,[2]characters!$1:$1,0)-MATCH($A$1,[2]characters!$1:$1,0)+1,FALSE)</f>
        <v>human</v>
      </c>
      <c r="X135" s="8" t="str">
        <f ca="1">VLOOKUP(W135,[2]character_tribe_i18n!$A:$H,3,FALSE)</f>
        <v>ヒューマン</v>
      </c>
      <c r="Y135" s="77" t="str">
        <f ca="1">VLOOKUP($A135,OFFSET([2]characters!$A$1,0,0,COUNTA([2]characters!$A:$A),MATCH(Y$1,[2]characters!$1:$1,0)-MATCH($A$1,[2]characters!$1:$1,0)+1),MATCH(Y$1,[2]characters!$1:$1,0)-MATCH($A$1,[2]characters!$1:$1,0)+1,FALSE)</f>
        <v>none</v>
      </c>
      <c r="Z135" s="8" t="str">
        <f ca="1">VLOOKUP(Y135,[2]character_tribe_i18n!$A:$H,3,FALSE)</f>
        <v>種族なし</v>
      </c>
      <c r="AA135" s="14">
        <f ca="1">VLOOKUP(W135,[2]character_tribe_i18n!$A:$H,4,FALSE)</f>
        <v>0.94</v>
      </c>
      <c r="AB135" s="14">
        <f ca="1">VLOOKUP(W135,[2]character_tribe_i18n!$A:$H,5,FALSE)</f>
        <v>0.99</v>
      </c>
      <c r="AC135" s="14">
        <f ca="1">VLOOKUP(W135,[2]character_tribe_i18n!$A:$H,6,FALSE)</f>
        <v>1</v>
      </c>
      <c r="AD135" s="14">
        <f ca="1">VLOOKUP(W135,[2]character_tribe_i18n!$A:$H,7,FALSE)</f>
        <v>1.07</v>
      </c>
      <c r="AE135" s="12">
        <v>135</v>
      </c>
      <c r="AF135" s="85" t="str">
        <f ca="1">IF(AE135="NULL","",VLOOKUP($AE135,OFFSET([2]characters!$A$1,0,0,COUNTA([2]characters!$A:$A),MATCH(AF$1,[2]characters!$1:$1,0)-MATCH($A$1,[2]characters!$1:$1,0)+1),MATCH(AF$1,[2]characters!$1:$1,0)-MATCH($A$1,[2]characters!$1:$1,0)+1,FALSE))</f>
        <v>京の炎華夕霧</v>
      </c>
      <c r="AG135" s="8">
        <f t="shared" ca="1" si="16"/>
        <v>134</v>
      </c>
      <c r="AH135" s="85" t="str">
        <f ca="1">VLOOKUP($AG135,OFFSET([2]characters!$A$1,0,0,COUNTA([2]characters!$A:$A),MATCH(AH$1,[2]characters!$1:$1,0)-MATCH($A$1,[2]characters!$1:$1,0)+1),MATCH(AH$1,[2]characters!$1:$1,0)-MATCH($A$1,[2]characters!$1:$1,0)+1,FALSE)</f>
        <v>妖炎の夕霧</v>
      </c>
      <c r="AI135" s="14">
        <f ca="1">IF(AE135="NULL","NULL",VLOOKUP(G135,ビット!$A$2:$B$7,2))</f>
        <v>20000</v>
      </c>
      <c r="AJ135" s="9">
        <v>2</v>
      </c>
      <c r="AK135" s="10" t="str">
        <f t="shared" si="17"/>
        <v>普通</v>
      </c>
      <c r="AL135" s="14" t="str">
        <f ca="1">INDEX(経験値!$A$1:$I$20,MATCH(H135,経験値!$A$1:$A$20,FALSE),MATCH(G135,経験値!$A$1:$I$1,FALSE))</f>
        <v>required_exp_150</v>
      </c>
      <c r="AM135" s="11">
        <f ca="1">VLOOKUP(G135,経験値!$A$27:$B$31,2)</f>
        <v>1500</v>
      </c>
      <c r="AN135" s="21">
        <f ca="1">VLOOKUP(G135,ビット!$G$2:$H$7,2)</f>
        <v>300</v>
      </c>
      <c r="AO135" s="100" t="s">
        <v>179</v>
      </c>
      <c r="AP135" s="97">
        <v>511002</v>
      </c>
      <c r="AQ135" s="77" t="e">
        <f ca="1">VLOOKUP($AP135,OFFSET([1]unit_skills!$A$1,0,0,COUNTA([1]unit_skills!$A:$A),MATCH("name",[1]unit_skills!$1:$1,0)-MATCH($AP$1,[1]unit_skills!$1:$1,0)+1),MATCH("name",[1]unit_skills!$1:$1,0)-MATCH($AP$1,[1]unit_skills!$1:$1,0)+1,FALSE)</f>
        <v>#VALUE!</v>
      </c>
      <c r="AR135" s="77" t="e">
        <f ca="1">VLOOKUP($AP135,OFFSET([1]unit_skills!$A$1,0,0,COUNTA([1]unit_skills!$A:$A),MATCH("comment",[1]unit_skills!$1:$1,0)-MATCH($AP$1,[1]unit_skills!$1:$1,0)+1),MATCH("comment",[1]unit_skills!$1:$1,0)-MATCH($AP$1,[1]unit_skills!$1:$1,0)+1,FALSE)</f>
        <v>#VALUE!</v>
      </c>
      <c r="AS135" s="77" t="e">
        <f ca="1">VLOOKUP($AP135,OFFSET([1]unit_skills!$A$1,0,0,COUNTA([1]unit_skills!$A:$A),MATCH(AS$1,[1]unit_skills!$1:$1,0)-MATCH($AP$1,[1]unit_skills!$1:$1,0)+1),MATCH(AS$1,[1]unit_skills!$1:$1,0)-MATCH($AP$1,[1]unit_skills!$1:$1,0)+1,FALSE)</f>
        <v>#VALUE!</v>
      </c>
      <c r="AT135" s="97">
        <v>121203</v>
      </c>
      <c r="AU135" s="77" t="e">
        <f ca="1">VLOOKUP($AT135,OFFSET([1]crash_skills!$A$1,0,0,COUNTA([1]crash_skills!$A:$A),MATCH("name",[1]crash_skills!$1:$1,0)-MATCH($AT$1,[1]crash_skills!$1:$1,0)+1),MATCH("name",[1]crash_skills!$1:$1,0)-MATCH($AT$1,[1]crash_skills!$1:$1,0)+1,FALSE)</f>
        <v>#VALUE!</v>
      </c>
      <c r="AV135" s="77" t="e">
        <f ca="1">VLOOKUP($AT135,OFFSET([1]crash_skills!$A$1,0,0,COUNTA([1]crash_skills!$A:$A),MATCH("comment",[1]crash_skills!$1:$1,0)-MATCH($AT$1,[1]crash_skills!$1:$1,0)+1),MATCH("comment",[1]crash_skills!$1:$1,0)-MATCH($AT$1,[1]crash_skills!$1:$1,0)+1,FALSE)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35" s="77" t="e">
        <f ca="1">VLOOKUP($AT135,OFFSET([1]crash_skills!$A$1,0,0,COUNTA([1]crash_skills!$A:$A),MATCH(AW$1,[1]crash_skills!$1:$1,0)-MATCH($AT$1,[1]crash_skills!$1:$1,0)+1),MATCH(AW$1,[1]crash_skills!$1:$1,0)-MATCH($AT$1,[1]crash_skills!$1:$1,0)+1,FALSE)</f>
        <v>#VALUE!</v>
      </c>
      <c r="AX135" s="81">
        <f ca="1">VLOOKUP($A135,OFFSET([2]characters!$A$1,0,0,COUNTA([2]characters!$A:$A),MATCH(AX$1,[2]characters!$1:$1,0)-MATCH($A$1,[2]characters!$1:$1,0)+1),MATCH(AX$1,[2]characters!$1:$1,0)-MATCH($A$1,[2]characters!$1:$1,0)+1,FALSE)</f>
        <v>3</v>
      </c>
      <c r="AY135" s="19">
        <v>1</v>
      </c>
      <c r="AZ135" s="19">
        <v>1</v>
      </c>
      <c r="BA135" s="19">
        <v>0</v>
      </c>
      <c r="BB135" s="19">
        <v>1</v>
      </c>
      <c r="BC135" s="14">
        <f ca="1">INDEX('RC6SV'!$A$1:$G$20,MATCH(H135,'RC6SV'!$A$1:$A$20,FALSE),MATCH(G135,'RC6SV'!$A$1:$G$1,FALSE))</f>
        <v>4800</v>
      </c>
      <c r="BD135" s="63">
        <f t="shared" ca="1" si="18"/>
        <v>4800</v>
      </c>
      <c r="BE135" s="14">
        <f t="shared" ca="1" si="19"/>
        <v>0</v>
      </c>
      <c r="BF135" s="14">
        <f t="shared" ca="1" si="20"/>
        <v>1</v>
      </c>
      <c r="BG135" s="20">
        <f ca="1">IF($BE135&lt;=0,ROUND(BK135*0.5,0), ROUND($BE135*S135*AA135*J135*AY135*0.8*[2]ステータス!$B$2,0))</f>
        <v>1128</v>
      </c>
      <c r="BH135" s="20">
        <f ca="1">IF($BE135&lt;=0,ROUND(BL135*0.5,0), ROUND($BE135*T135*AB135*K135*AZ135*0.8*[2]ステータス!$C$2,0))</f>
        <v>727</v>
      </c>
      <c r="BI135" s="20">
        <f ca="1">IF($BE135&lt;=0,ROUND(BM135*0.5,0), ROUND($BE135*U135*AC135*L135*BA135*0.8*[2]ステータス!$D$2,0))</f>
        <v>0</v>
      </c>
      <c r="BJ135" s="20">
        <f ca="1">IF($BE135&lt;=0,ROUND(BN135*0.5,0), ROUND($BE135*V135*AD135*M135*BB135*0.8*[2]ステータス!$E$2,0))</f>
        <v>629</v>
      </c>
      <c r="BK135" s="14">
        <f ca="1">ROUND(BD135*S135*AA135*J135*AY135*[2]ステータス!$B$2,0)</f>
        <v>2256</v>
      </c>
      <c r="BL135" s="14">
        <f ca="1">ROUND(BD135*T135*AB135*K135*AZ135*[2]ステータス!$C$2,0)</f>
        <v>1454</v>
      </c>
      <c r="BM135" s="14">
        <f ca="1">ROUND(BD135*U135*AC135*L135*BA135*[2]ステータス!$D$2,0)</f>
        <v>0</v>
      </c>
      <c r="BN135" s="14">
        <f ca="1">ROUND(BD135*V135*AD135*M135*BB135*[2]ステータス!$E$2,0)</f>
        <v>1258</v>
      </c>
      <c r="BO135" s="13">
        <v>0</v>
      </c>
      <c r="BP135" s="13">
        <v>1</v>
      </c>
      <c r="BQ135" s="13" t="s">
        <v>102</v>
      </c>
      <c r="BR135" s="13">
        <f ca="1">VLOOKUP(H135,ghosts_label!$A$2:$B$19,2,FALSE)</f>
        <v>500</v>
      </c>
    </row>
    <row r="136" spans="1:70" ht="21" customHeight="1" x14ac:dyDescent="0.15">
      <c r="A136" s="14">
        <f t="shared" ca="1" si="15"/>
        <v>135</v>
      </c>
      <c r="B136" s="77" t="str">
        <f ca="1">VLOOKUP($A136,OFFSET([2]characters!$A$1,0,0,COUNTA([2]characters!$A:$A),MATCH(B$1,[2]characters!$1:$1,0)-MATCH($A$1,[2]characters!$1:$1,0)+1),MATCH(B$1,[2]characters!$1:$1,0)-MATCH($A$1,[2]characters!$1:$1,0)+1,FALSE)</f>
        <v>京の炎華夕霧</v>
      </c>
      <c r="C136" s="77" t="str">
        <f ca="1">VLOOKUP($A136,OFFSET([2]characters!$A$1,0,0,COUNTA([2]characters!$A:$A),MATCH(C$1,[2]characters!$1:$1,0)-MATCH($A$1,[2]characters!$1:$1,0)+1),MATCH(C$1,[2]characters!$1:$1,0)-MATCH($A$1,[2]characters!$1:$1,0)+1,FALSE)</f>
        <v>初期ガチャ</v>
      </c>
      <c r="D136" s="77" t="str">
        <f ca="1">VLOOKUP($A136,OFFSET([2]characters!$A$1,0,0,COUNTA([2]characters!$A:$A),MATCH(D$1,[2]characters!$1:$1,0)-MATCH($A$1,[2]characters!$1:$1,0)+1),MATCH(D$1,[2]characters!$1:$1,0)-MATCH($A$1,[2]characters!$1:$1,0)+1,FALSE)</f>
        <v>アバター</v>
      </c>
      <c r="E136" s="77" t="str">
        <f ca="1">VLOOKUP($A136,OFFSET([2]characters!$A$1,0,0,COUNTA([2]characters!$A:$A),MATCH(E$1,[2]characters!$1:$1,0)-MATCH($A$1,[2]characters!$1:$1,0)+1),MATCH(E$1,[2]characters!$1:$1,0)-MATCH($A$1,[2]characters!$1:$1,0)+1,FALSE)</f>
        <v>美しい</v>
      </c>
      <c r="F136" s="77" t="str">
        <f ca="1">VLOOKUP($A136,OFFSET([2]characters!$A$1,0,0,COUNTA([2]characters!$A:$A),MATCH(F$1,[2]characters!$1:$1,0)-MATCH($A$1,[2]characters!$1:$1,0)+1),MATCH(F$1,[2]characters!$1:$1,0)-MATCH($A$1,[2]characters!$1:$1,0)+1,FALSE)</f>
        <v>女性</v>
      </c>
      <c r="G136" s="77">
        <f ca="1">VLOOKUP($A136,OFFSET([2]characters!$A$1,0,0,COUNTA([2]characters!$A:$A),MATCH(G$1,[2]characters!$1:$1,0)-MATCH($A$1,[2]characters!$1:$1,0)+1),MATCH(G$1,[2]characters!$1:$1,0)-MATCH($A$1,[2]characters!$1:$1,0)+1,FALSE)</f>
        <v>4</v>
      </c>
      <c r="H136" s="77" t="str">
        <f ca="1">VLOOKUP($A136,OFFSET([2]characters!$A$1,0,0,COUNTA([2]characters!$A:$A),MATCH(H$1,[2]characters!$1:$1,0)-MATCH($A$1,[2]characters!$1:$1,0)+1),MATCH(H$1,[2]characters!$1:$1,0)-MATCH($A$1,[2]characters!$1:$1,0)+1,FALSE)</f>
        <v>PremiumW</v>
      </c>
      <c r="I136" s="77" t="str">
        <f ca="1">VLOOKUP($A136,OFFSET([2]characters!$A$1,0,0,COUNTA([2]characters!$A:$A),MATCH(I$1,[2]characters!$1:$1,0)-MATCH($A$1,[2]characters!$1:$1,0)+1),MATCH(I$1,[2]characters!$1:$1,0)-MATCH($A$1,[2]characters!$1:$1,0)+1,FALSE)</f>
        <v>red</v>
      </c>
      <c r="J136" s="14">
        <f ca="1">VLOOKUP(I136,[2]属性!$A:$E,2,FALSE)</f>
        <v>1</v>
      </c>
      <c r="K136" s="14">
        <f ca="1">VLOOKUP(I136,[2]属性!$A:$E,3,FALSE)</f>
        <v>1.02</v>
      </c>
      <c r="L136" s="14">
        <f ca="1">VLOOKUP(I136,[2]属性!$A:$E,4,FALSE)</f>
        <v>1</v>
      </c>
      <c r="M136" s="14">
        <f ca="1">VLOOKUP(I136,[2]属性!$A:$E,5,FALSE)</f>
        <v>0.98</v>
      </c>
      <c r="N136" s="14">
        <f ca="1">INDEX(コスト!$A$1:$I$20,MATCH(H136,コスト!$A$1:$A$20,FALSE),MATCH(G136,コスト!$A$1:$I$1,FALSE))</f>
        <v>16</v>
      </c>
      <c r="O136" s="14">
        <f ca="1">INDEX(レベル!$A$1:$I$21,MATCH(H136,レベル!$A$1:$A$21,FALSE),MATCH(G136,レベル!$A$1:$I$1,FALSE))</f>
        <v>60</v>
      </c>
      <c r="P136" s="63">
        <f t="shared" ca="1" si="21"/>
        <v>60</v>
      </c>
      <c r="Q136" s="77" t="str">
        <f ca="1">VLOOKUP($A136,OFFSET([2]characters!$A$1,0,0,COUNTA([2]characters!$A:$A),MATCH(Q$1,[2]characters!$1:$1,0)-MATCH($A$1,[2]characters!$1:$1,0)+1),MATCH(Q$1,[2]characters!$1:$1,0)-MATCH($A$1,[2]characters!$1:$1,0)+1,FALSE)</f>
        <v>balance</v>
      </c>
      <c r="R136" s="8" t="str">
        <f ca="1">VLOOKUP(Q136,[2]character_type_i18n!$A:$H,3,FALSE)</f>
        <v>バランスタイプ</v>
      </c>
      <c r="S136" s="14">
        <f ca="1">VLOOKUP(Q136,[2]character_type_i18n!$A:$H,4,FALSE)</f>
        <v>1</v>
      </c>
      <c r="T136" s="14">
        <f ca="1">VLOOKUP(Q136,[2]character_type_i18n!$A:$H,5,FALSE)</f>
        <v>1</v>
      </c>
      <c r="U136" s="14">
        <f ca="1">VLOOKUP(Q136,[2]character_type_i18n!$A:$H,6,FALSE)</f>
        <v>1</v>
      </c>
      <c r="V136" s="14">
        <f ca="1">VLOOKUP(Q136,[2]character_type_i18n!$A:$H,7,FALSE)</f>
        <v>1</v>
      </c>
      <c r="W136" s="77" t="str">
        <f ca="1">VLOOKUP($A136,OFFSET([2]characters!$A$1,0,0,COUNTA([2]characters!$A:$A),MATCH(W$1,[2]characters!$1:$1,0)-MATCH($A$1,[2]characters!$1:$1,0)+1),MATCH(W$1,[2]characters!$1:$1,0)-MATCH($A$1,[2]characters!$1:$1,0)+1,FALSE)</f>
        <v>human</v>
      </c>
      <c r="X136" s="8" t="str">
        <f ca="1">VLOOKUP(W136,[2]character_tribe_i18n!$A:$H,3,FALSE)</f>
        <v>ヒューマン</v>
      </c>
      <c r="Y136" s="77" t="str">
        <f ca="1">VLOOKUP($A136,OFFSET([2]characters!$A$1,0,0,COUNTA([2]characters!$A:$A),MATCH(Y$1,[2]characters!$1:$1,0)-MATCH($A$1,[2]characters!$1:$1,0)+1),MATCH(Y$1,[2]characters!$1:$1,0)-MATCH($A$1,[2]characters!$1:$1,0)+1,FALSE)</f>
        <v>none</v>
      </c>
      <c r="Z136" s="8" t="str">
        <f ca="1">VLOOKUP(Y136,[2]character_tribe_i18n!$A:$H,3,FALSE)</f>
        <v>種族なし</v>
      </c>
      <c r="AA136" s="14">
        <f ca="1">VLOOKUP(W136,[2]character_tribe_i18n!$A:$H,4,FALSE)</f>
        <v>0.94</v>
      </c>
      <c r="AB136" s="14">
        <f ca="1">VLOOKUP(W136,[2]character_tribe_i18n!$A:$H,5,FALSE)</f>
        <v>0.99</v>
      </c>
      <c r="AC136" s="14">
        <f ca="1">VLOOKUP(W136,[2]character_tribe_i18n!$A:$H,6,FALSE)</f>
        <v>1</v>
      </c>
      <c r="AD136" s="14">
        <f ca="1">VLOOKUP(W136,[2]character_tribe_i18n!$A:$H,7,FALSE)</f>
        <v>1.07</v>
      </c>
      <c r="AE136" s="12" t="s">
        <v>102</v>
      </c>
      <c r="AF136" s="85" t="str">
        <f ca="1">IF(AE136="NULL","",VLOOKUP($AE136,OFFSET([2]characters!$A$1,0,0,COUNTA([2]characters!$A:$A),MATCH(AF$1,[2]characters!$1:$1,0)-MATCH($A$1,[2]characters!$1:$1,0)+1),MATCH(AF$1,[2]characters!$1:$1,0)-MATCH($A$1,[2]characters!$1:$1,0)+1,FALSE))</f>
        <v/>
      </c>
      <c r="AG136" s="8">
        <f t="shared" ca="1" si="16"/>
        <v>134</v>
      </c>
      <c r="AH136" s="85" t="str">
        <f ca="1">VLOOKUP($AG136,OFFSET([2]characters!$A$1,0,0,COUNTA([2]characters!$A:$A),MATCH(AH$1,[2]characters!$1:$1,0)-MATCH($A$1,[2]characters!$1:$1,0)+1),MATCH(AH$1,[2]characters!$1:$1,0)-MATCH($A$1,[2]characters!$1:$1,0)+1,FALSE)</f>
        <v>妖炎の夕霧</v>
      </c>
      <c r="AI136" s="14" t="str">
        <f>IF(AE136="NULL","NULL",VLOOKUP(G136,ビット!$A$2:$B$7,2))</f>
        <v>NULL</v>
      </c>
      <c r="AJ136" s="9">
        <v>2</v>
      </c>
      <c r="AK136" s="10" t="str">
        <f t="shared" si="17"/>
        <v>普通</v>
      </c>
      <c r="AL136" s="14" t="str">
        <f ca="1">INDEX(経験値!$A$1:$I$20,MATCH(H136,経験値!$A$1:$A$20,FALSE),MATCH(G136,経験値!$A$1:$I$1,FALSE))</f>
        <v>required_exp_150</v>
      </c>
      <c r="AM136" s="11">
        <f ca="1">VLOOKUP(G136,経験値!$A$27:$B$31,2)</f>
        <v>3400</v>
      </c>
      <c r="AN136" s="21">
        <f ca="1">VLOOKUP(G136,ビット!$G$2:$H$7,2)</f>
        <v>600</v>
      </c>
      <c r="AO136" s="100" t="s">
        <v>179</v>
      </c>
      <c r="AP136" s="97">
        <v>511002</v>
      </c>
      <c r="AQ136" s="77" t="e">
        <f ca="1">VLOOKUP($AP136,OFFSET([1]unit_skills!$A$1,0,0,COUNTA([1]unit_skills!$A:$A),MATCH("name",[1]unit_skills!$1:$1,0)-MATCH($AP$1,[1]unit_skills!$1:$1,0)+1),MATCH("name",[1]unit_skills!$1:$1,0)-MATCH($AP$1,[1]unit_skills!$1:$1,0)+1,FALSE)</f>
        <v>#VALUE!</v>
      </c>
      <c r="AR136" s="77" t="e">
        <f ca="1">VLOOKUP($AP136,OFFSET([1]unit_skills!$A$1,0,0,COUNTA([1]unit_skills!$A:$A),MATCH("comment",[1]unit_skills!$1:$1,0)-MATCH($AP$1,[1]unit_skills!$1:$1,0)+1),MATCH("comment",[1]unit_skills!$1:$1,0)-MATCH($AP$1,[1]unit_skills!$1:$1,0)+1,FALSE)</f>
        <v>#VALUE!</v>
      </c>
      <c r="AS136" s="77" t="e">
        <f ca="1">VLOOKUP($AP136,OFFSET([1]unit_skills!$A$1,0,0,COUNTA([1]unit_skills!$A:$A),MATCH(AS$1,[1]unit_skills!$1:$1,0)-MATCH($AP$1,[1]unit_skills!$1:$1,0)+1),MATCH(AS$1,[1]unit_skills!$1:$1,0)-MATCH($AP$1,[1]unit_skills!$1:$1,0)+1,FALSE)</f>
        <v>#VALUE!</v>
      </c>
      <c r="AT136" s="97">
        <v>121211</v>
      </c>
      <c r="AU136" s="77" t="e">
        <f ca="1">VLOOKUP($AT136,OFFSET([1]crash_skills!$A$1,0,0,COUNTA([1]crash_skills!$A:$A),MATCH("name",[1]crash_skills!$1:$1,0)-MATCH($AT$1,[1]crash_skills!$1:$1,0)+1),MATCH("name",[1]crash_skills!$1:$1,0)-MATCH($AT$1,[1]crash_skills!$1:$1,0)+1,FALSE)</f>
        <v>#VALUE!</v>
      </c>
      <c r="AV136" s="77" t="e">
        <f ca="1">VLOOKUP($AT136,OFFSET([1]crash_skills!$A$1,0,0,COUNTA([1]crash_skills!$A:$A),MATCH("comment",[1]crash_skills!$1:$1,0)-MATCH($AT$1,[1]crash_skills!$1:$1,0)+1),MATCH("comment",[1]crash_skills!$1:$1,0)-MATCH($AT$1,[1]crash_skills!$1:$1,0)+1,FALSE)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36" s="77" t="e">
        <f ca="1">VLOOKUP($AT136,OFFSET([1]crash_skills!$A$1,0,0,COUNTA([1]crash_skills!$A:$A),MATCH(AW$1,[1]crash_skills!$1:$1,0)-MATCH($AT$1,[1]crash_skills!$1:$1,0)+1),MATCH(AW$1,[1]crash_skills!$1:$1,0)-MATCH($AT$1,[1]crash_skills!$1:$1,0)+1,FALSE)</f>
        <v>#VALUE!</v>
      </c>
      <c r="AX136" s="81">
        <f ca="1">VLOOKUP($A136,OFFSET([2]characters!$A$1,0,0,COUNTA([2]characters!$A:$A),MATCH(AX$1,[2]characters!$1:$1,0)-MATCH($A$1,[2]characters!$1:$1,0)+1),MATCH(AX$1,[2]characters!$1:$1,0)-MATCH($A$1,[2]characters!$1:$1,0)+1,FALSE)</f>
        <v>3</v>
      </c>
      <c r="AY136" s="19">
        <v>1</v>
      </c>
      <c r="AZ136" s="19">
        <v>1</v>
      </c>
      <c r="BA136" s="19">
        <v>0</v>
      </c>
      <c r="BB136" s="19">
        <v>1</v>
      </c>
      <c r="BC136" s="14">
        <f ca="1">INDEX('RC6SV'!$A$1:$G$20,MATCH(H136,'RC6SV'!$A$1:$A$20,FALSE),MATCH(G136,'RC6SV'!$A$1:$G$1,FALSE))</f>
        <v>6600</v>
      </c>
      <c r="BD136" s="63">
        <f t="shared" ca="1" si="18"/>
        <v>6600</v>
      </c>
      <c r="BE136" s="14">
        <f t="shared" ca="1" si="19"/>
        <v>4800</v>
      </c>
      <c r="BF136" s="14">
        <f t="shared" ca="1" si="20"/>
        <v>1</v>
      </c>
      <c r="BG136" s="20">
        <f ca="1">IF($BE136&lt;=0,ROUND(BK136*0.5,0), ROUND($BE136*S136*AA136*J136*AY136*0.8*[2]ステータス!$B$2,0))</f>
        <v>1805</v>
      </c>
      <c r="BH136" s="20">
        <f ca="1">IF($BE136&lt;=0,ROUND(BL136*0.5,0), ROUND($BE136*T136*AB136*K136*AZ136*0.8*[2]ステータス!$C$2,0))</f>
        <v>1163</v>
      </c>
      <c r="BI136" s="20">
        <f ca="1">IF($BE136&lt;=0,ROUND(BM136*0.5,0), ROUND($BE136*U136*AC136*L136*BA136*0.8*[2]ステータス!$D$2,0))</f>
        <v>0</v>
      </c>
      <c r="BJ136" s="20">
        <f ca="1">IF($BE136&lt;=0,ROUND(BN136*0.5,0), ROUND($BE136*V136*AD136*M136*BB136*0.8*[2]ステータス!$E$2,0))</f>
        <v>1007</v>
      </c>
      <c r="BK136" s="14">
        <f ca="1">ROUND(BD136*S136*AA136*J136*AY136*[2]ステータス!$B$2,0)</f>
        <v>3102</v>
      </c>
      <c r="BL136" s="14">
        <f ca="1">ROUND(BD136*T136*AB136*K136*AZ136*[2]ステータス!$C$2,0)</f>
        <v>1999</v>
      </c>
      <c r="BM136" s="14">
        <f ca="1">ROUND(BD136*U136*AC136*L136*BA136*[2]ステータス!$D$2,0)</f>
        <v>0</v>
      </c>
      <c r="BN136" s="14">
        <f ca="1">ROUND(BD136*V136*AD136*M136*BB136*[2]ステータス!$E$2,0)</f>
        <v>1730</v>
      </c>
      <c r="BO136" s="13">
        <v>0</v>
      </c>
      <c r="BP136" s="13">
        <v>1</v>
      </c>
      <c r="BQ136" s="13" t="s">
        <v>102</v>
      </c>
      <c r="BR136" s="13">
        <f ca="1">VLOOKUP(H136,ghosts_label!$A$2:$B$19,2,FALSE)</f>
        <v>500</v>
      </c>
    </row>
    <row r="137" spans="1:70" ht="21" customHeight="1" x14ac:dyDescent="0.15">
      <c r="A137" s="14">
        <f t="shared" ca="1" si="15"/>
        <v>136</v>
      </c>
      <c r="B137" s="77" t="str">
        <f ca="1">VLOOKUP($A137,OFFSET([2]characters!$A$1,0,0,COUNTA([2]characters!$A:$A),MATCH(B$1,[2]characters!$1:$1,0)-MATCH($A$1,[2]characters!$1:$1,0)+1),MATCH(B$1,[2]characters!$1:$1,0)-MATCH($A$1,[2]characters!$1:$1,0)+1,FALSE)</f>
        <v>お針子チハヤ</v>
      </c>
      <c r="C137" s="77" t="str">
        <f ca="1">VLOOKUP($A137,OFFSET([2]characters!$A$1,0,0,COUNTA([2]characters!$A:$A),MATCH(C$1,[2]characters!$1:$1,0)-MATCH($A$1,[2]characters!$1:$1,0)+1),MATCH(C$1,[2]characters!$1:$1,0)-MATCH($A$1,[2]characters!$1:$1,0)+1,FALSE)</f>
        <v>初期ガチャ</v>
      </c>
      <c r="D137" s="77" t="str">
        <f ca="1">VLOOKUP($A137,OFFSET([2]characters!$A$1,0,0,COUNTA([2]characters!$A:$A),MATCH(D$1,[2]characters!$1:$1,0)-MATCH($A$1,[2]characters!$1:$1,0)+1),MATCH(D$1,[2]characters!$1:$1,0)-MATCH($A$1,[2]characters!$1:$1,0)+1,FALSE)</f>
        <v>アバター</v>
      </c>
      <c r="E137" s="77" t="str">
        <f ca="1">VLOOKUP($A137,OFFSET([2]characters!$A$1,0,0,COUNTA([2]characters!$A:$A),MATCH(E$1,[2]characters!$1:$1,0)-MATCH($A$1,[2]characters!$1:$1,0)+1),MATCH(E$1,[2]characters!$1:$1,0)-MATCH($A$1,[2]characters!$1:$1,0)+1,FALSE)</f>
        <v>可愛い</v>
      </c>
      <c r="F137" s="77" t="str">
        <f ca="1">VLOOKUP($A137,OFFSET([2]characters!$A$1,0,0,COUNTA([2]characters!$A:$A),MATCH(F$1,[2]characters!$1:$1,0)-MATCH($A$1,[2]characters!$1:$1,0)+1),MATCH(F$1,[2]characters!$1:$1,0)-MATCH($A$1,[2]characters!$1:$1,0)+1,FALSE)</f>
        <v>女性</v>
      </c>
      <c r="G137" s="77">
        <f ca="1">VLOOKUP($A137,OFFSET([2]characters!$A$1,0,0,COUNTA([2]characters!$A:$A),MATCH(G$1,[2]characters!$1:$1,0)-MATCH($A$1,[2]characters!$1:$1,0)+1),MATCH(G$1,[2]characters!$1:$1,0)-MATCH($A$1,[2]characters!$1:$1,0)+1,FALSE)</f>
        <v>3</v>
      </c>
      <c r="H137" s="77" t="str">
        <f ca="1">VLOOKUP($A137,OFFSET([2]characters!$A$1,0,0,COUNTA([2]characters!$A:$A),MATCH(H$1,[2]characters!$1:$1,0)-MATCH($A$1,[2]characters!$1:$1,0)+1),MATCH(H$1,[2]characters!$1:$1,0)-MATCH($A$1,[2]characters!$1:$1,0)+1,FALSE)</f>
        <v>PremiumW</v>
      </c>
      <c r="I137" s="77" t="str">
        <f ca="1">VLOOKUP($A137,OFFSET([2]characters!$A$1,0,0,COUNTA([2]characters!$A:$A),MATCH(I$1,[2]characters!$1:$1,0)-MATCH($A$1,[2]characters!$1:$1,0)+1),MATCH(I$1,[2]characters!$1:$1,0)-MATCH($A$1,[2]characters!$1:$1,0)+1,FALSE)</f>
        <v>green</v>
      </c>
      <c r="J137" s="14">
        <f ca="1">VLOOKUP(I137,[2]属性!$A:$E,2,FALSE)</f>
        <v>1.02</v>
      </c>
      <c r="K137" s="14">
        <f ca="1">VLOOKUP(I137,[2]属性!$A:$E,3,FALSE)</f>
        <v>0.98</v>
      </c>
      <c r="L137" s="14">
        <f ca="1">VLOOKUP(I137,[2]属性!$A:$E,4,FALSE)</f>
        <v>1</v>
      </c>
      <c r="M137" s="14">
        <f ca="1">VLOOKUP(I137,[2]属性!$A:$E,5,FALSE)</f>
        <v>1</v>
      </c>
      <c r="N137" s="14">
        <f ca="1">INDEX(コスト!$A$1:$I$20,MATCH(H137,コスト!$A$1:$A$20,FALSE),MATCH(G137,コスト!$A$1:$I$1,FALSE))</f>
        <v>7</v>
      </c>
      <c r="O137" s="14">
        <f ca="1">INDEX(レベル!$A$1:$I$21,MATCH(H137,レベル!$A$1:$A$21,FALSE),MATCH(G137,レベル!$A$1:$I$1,FALSE))</f>
        <v>40</v>
      </c>
      <c r="P137" s="63">
        <f t="shared" ca="1" si="21"/>
        <v>45</v>
      </c>
      <c r="Q137" s="77" t="str">
        <f ca="1">VLOOKUP($A137,OFFSET([2]characters!$A$1,0,0,COUNTA([2]characters!$A:$A),MATCH(Q$1,[2]characters!$1:$1,0)-MATCH($A$1,[2]characters!$1:$1,0)+1),MATCH(Q$1,[2]characters!$1:$1,0)-MATCH($A$1,[2]characters!$1:$1,0)+1,FALSE)</f>
        <v>balance</v>
      </c>
      <c r="R137" s="8" t="str">
        <f ca="1">VLOOKUP(Q137,[2]character_type_i18n!$A:$H,3,FALSE)</f>
        <v>バランスタイプ</v>
      </c>
      <c r="S137" s="14">
        <f ca="1">VLOOKUP(Q137,[2]character_type_i18n!$A:$H,4,FALSE)</f>
        <v>1</v>
      </c>
      <c r="T137" s="14">
        <f ca="1">VLOOKUP(Q137,[2]character_type_i18n!$A:$H,5,FALSE)</f>
        <v>1</v>
      </c>
      <c r="U137" s="14">
        <f ca="1">VLOOKUP(Q137,[2]character_type_i18n!$A:$H,6,FALSE)</f>
        <v>1</v>
      </c>
      <c r="V137" s="14">
        <f ca="1">VLOOKUP(Q137,[2]character_type_i18n!$A:$H,7,FALSE)</f>
        <v>1</v>
      </c>
      <c r="W137" s="77" t="str">
        <f ca="1">VLOOKUP($A137,OFFSET([2]characters!$A$1,0,0,COUNTA([2]characters!$A:$A),MATCH(W$1,[2]characters!$1:$1,0)-MATCH($A$1,[2]characters!$1:$1,0)+1),MATCH(W$1,[2]characters!$1:$1,0)-MATCH($A$1,[2]characters!$1:$1,0)+1,FALSE)</f>
        <v>human</v>
      </c>
      <c r="X137" s="8" t="str">
        <f ca="1">VLOOKUP(W137,[2]character_tribe_i18n!$A:$H,3,FALSE)</f>
        <v>ヒューマン</v>
      </c>
      <c r="Y137" s="77" t="str">
        <f ca="1">VLOOKUP($A137,OFFSET([2]characters!$A$1,0,0,COUNTA([2]characters!$A:$A),MATCH(Y$1,[2]characters!$1:$1,0)-MATCH($A$1,[2]characters!$1:$1,0)+1),MATCH(Y$1,[2]characters!$1:$1,0)-MATCH($A$1,[2]characters!$1:$1,0)+1,FALSE)</f>
        <v>none</v>
      </c>
      <c r="Z137" s="8" t="str">
        <f ca="1">VLOOKUP(Y137,[2]character_tribe_i18n!$A:$H,3,FALSE)</f>
        <v>種族なし</v>
      </c>
      <c r="AA137" s="14">
        <f ca="1">VLOOKUP(W137,[2]character_tribe_i18n!$A:$H,4,FALSE)</f>
        <v>0.94</v>
      </c>
      <c r="AB137" s="14">
        <f ca="1">VLOOKUP(W137,[2]character_tribe_i18n!$A:$H,5,FALSE)</f>
        <v>0.99</v>
      </c>
      <c r="AC137" s="14">
        <f ca="1">VLOOKUP(W137,[2]character_tribe_i18n!$A:$H,6,FALSE)</f>
        <v>1</v>
      </c>
      <c r="AD137" s="14">
        <f ca="1">VLOOKUP(W137,[2]character_tribe_i18n!$A:$H,7,FALSE)</f>
        <v>1.07</v>
      </c>
      <c r="AE137" s="12">
        <v>137</v>
      </c>
      <c r="AF137" s="85" t="str">
        <f ca="1">IF(AE137="NULL","",VLOOKUP($AE137,OFFSET([2]characters!$A$1,0,0,COUNTA([2]characters!$A:$A),MATCH(AF$1,[2]characters!$1:$1,0)-MATCH($A$1,[2]characters!$1:$1,0)+1),MATCH(AF$1,[2]characters!$1:$1,0)-MATCH($A$1,[2]characters!$1:$1,0)+1,FALSE))</f>
        <v>清福の仕立屋 チハヤ</v>
      </c>
      <c r="AG137" s="8">
        <f t="shared" ca="1" si="16"/>
        <v>136</v>
      </c>
      <c r="AH137" s="85" t="str">
        <f ca="1">VLOOKUP($AG137,OFFSET([2]characters!$A$1,0,0,COUNTA([2]characters!$A:$A),MATCH(AH$1,[2]characters!$1:$1,0)-MATCH($A$1,[2]characters!$1:$1,0)+1),MATCH(AH$1,[2]characters!$1:$1,0)-MATCH($A$1,[2]characters!$1:$1,0)+1,FALSE)</f>
        <v>お針子チハヤ</v>
      </c>
      <c r="AI137" s="14">
        <f ca="1">IF(AE137="NULL","NULL",VLOOKUP(G137,ビット!$A$2:$B$7,2))</f>
        <v>20000</v>
      </c>
      <c r="AJ137" s="9">
        <v>2</v>
      </c>
      <c r="AK137" s="10" t="str">
        <f t="shared" si="17"/>
        <v>普通</v>
      </c>
      <c r="AL137" s="14" t="str">
        <f ca="1">INDEX(経験値!$A$1:$I$20,MATCH(H137,経験値!$A$1:$A$20,FALSE),MATCH(G137,経験値!$A$1:$I$1,FALSE))</f>
        <v>required_exp_150</v>
      </c>
      <c r="AM137" s="11">
        <f ca="1">VLOOKUP(G137,経験値!$A$27:$B$31,2)</f>
        <v>1500</v>
      </c>
      <c r="AN137" s="21">
        <f ca="1">VLOOKUP(G137,ビット!$G$2:$H$7,2)</f>
        <v>300</v>
      </c>
      <c r="AO137" s="100" t="s">
        <v>179</v>
      </c>
      <c r="AP137" s="97">
        <v>512002</v>
      </c>
      <c r="AQ137" s="77" t="e">
        <f ca="1">VLOOKUP($AP137,OFFSET([1]unit_skills!$A$1,0,0,COUNTA([1]unit_skills!$A:$A),MATCH("name",[1]unit_skills!$1:$1,0)-MATCH($AP$1,[1]unit_skills!$1:$1,0)+1),MATCH("name",[1]unit_skills!$1:$1,0)-MATCH($AP$1,[1]unit_skills!$1:$1,0)+1,FALSE)</f>
        <v>#VALUE!</v>
      </c>
      <c r="AR137" s="77" t="e">
        <f ca="1">VLOOKUP($AP137,OFFSET([1]unit_skills!$A$1,0,0,COUNTA([1]unit_skills!$A:$A),MATCH("comment",[1]unit_skills!$1:$1,0)-MATCH($AP$1,[1]unit_skills!$1:$1,0)+1),MATCH("comment",[1]unit_skills!$1:$1,0)-MATCH($AP$1,[1]unit_skills!$1:$1,0)+1,FALSE)</f>
        <v>#VALUE!</v>
      </c>
      <c r="AS137" s="77" t="e">
        <f ca="1">VLOOKUP($AP137,OFFSET([1]unit_skills!$A$1,0,0,COUNTA([1]unit_skills!$A:$A),MATCH(AS$1,[1]unit_skills!$1:$1,0)-MATCH($AP$1,[1]unit_skills!$1:$1,0)+1),MATCH(AS$1,[1]unit_skills!$1:$1,0)-MATCH($AP$1,[1]unit_skills!$1:$1,0)+1,FALSE)</f>
        <v>#VALUE!</v>
      </c>
      <c r="AT137" s="97">
        <v>122003</v>
      </c>
      <c r="AU137" s="77" t="e">
        <f ca="1">VLOOKUP($AT137,OFFSET([1]crash_skills!$A$1,0,0,COUNTA([1]crash_skills!$A:$A),MATCH("name",[1]crash_skills!$1:$1,0)-MATCH($AT$1,[1]crash_skills!$1:$1,0)+1),MATCH("name",[1]crash_skills!$1:$1,0)-MATCH($AT$1,[1]crash_skills!$1:$1,0)+1,FALSE)</f>
        <v>#VALUE!</v>
      </c>
      <c r="AV137" s="77" t="e">
        <f ca="1">VLOOKUP($AT137,OFFSET([1]crash_skills!$A$1,0,0,COUNTA([1]crash_skills!$A:$A),MATCH("comment",[1]crash_skills!$1:$1,0)-MATCH($AT$1,[1]crash_skills!$1:$1,0)+1),MATCH("comment",[1]crash_skills!$1:$1,0)-MATCH($AT$1,[1]crash_skills!$1:$1,0)+1,FALSE)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37" s="77" t="e">
        <f ca="1">VLOOKUP($AT137,OFFSET([1]crash_skills!$A$1,0,0,COUNTA([1]crash_skills!$A:$A),MATCH(AW$1,[1]crash_skills!$1:$1,0)-MATCH($AT$1,[1]crash_skills!$1:$1,0)+1),MATCH(AW$1,[1]crash_skills!$1:$1,0)-MATCH($AT$1,[1]crash_skills!$1:$1,0)+1,FALSE)</f>
        <v>#VALUE!</v>
      </c>
      <c r="AX137" s="81">
        <f ca="1">VLOOKUP($A137,OFFSET([2]characters!$A$1,0,0,COUNTA([2]characters!$A:$A),MATCH(AX$1,[2]characters!$1:$1,0)-MATCH($A$1,[2]characters!$1:$1,0)+1),MATCH(AX$1,[2]characters!$1:$1,0)-MATCH($A$1,[2]characters!$1:$1,0)+1,FALSE)</f>
        <v>3</v>
      </c>
      <c r="AY137" s="19">
        <v>1</v>
      </c>
      <c r="AZ137" s="19">
        <v>1</v>
      </c>
      <c r="BA137" s="19">
        <v>0</v>
      </c>
      <c r="BB137" s="19">
        <v>1</v>
      </c>
      <c r="BC137" s="14">
        <f ca="1">INDEX('RC6SV'!$A$1:$G$20,MATCH(H137,'RC6SV'!$A$1:$A$20,FALSE),MATCH(G137,'RC6SV'!$A$1:$G$1,FALSE))</f>
        <v>4800</v>
      </c>
      <c r="BD137" s="63">
        <f t="shared" ca="1" si="18"/>
        <v>4800</v>
      </c>
      <c r="BE137" s="14">
        <f t="shared" ca="1" si="19"/>
        <v>0</v>
      </c>
      <c r="BF137" s="14">
        <f t="shared" ca="1" si="20"/>
        <v>1</v>
      </c>
      <c r="BG137" s="20">
        <f ca="1">IF($BE137&lt;=0,ROUND(BK137*0.5,0), ROUND($BE137*S137*AA137*J137*AY137*0.8*[2]ステータス!$B$2,0))</f>
        <v>1151</v>
      </c>
      <c r="BH137" s="20">
        <f ca="1">IF($BE137&lt;=0,ROUND(BL137*0.5,0), ROUND($BE137*T137*AB137*K137*AZ137*0.8*[2]ステータス!$C$2,0))</f>
        <v>699</v>
      </c>
      <c r="BI137" s="20">
        <f ca="1">IF($BE137&lt;=0,ROUND(BM137*0.5,0), ROUND($BE137*U137*AC137*L137*BA137*0.8*[2]ステータス!$D$2,0))</f>
        <v>0</v>
      </c>
      <c r="BJ137" s="20">
        <f ca="1">IF($BE137&lt;=0,ROUND(BN137*0.5,0), ROUND($BE137*V137*AD137*M137*BB137*0.8*[2]ステータス!$E$2,0))</f>
        <v>642</v>
      </c>
      <c r="BK137" s="14">
        <f ca="1">ROUND(BD137*S137*AA137*J137*AY137*[2]ステータス!$B$2,0)</f>
        <v>2301</v>
      </c>
      <c r="BL137" s="14">
        <f ca="1">ROUND(BD137*T137*AB137*K137*AZ137*[2]ステータス!$C$2,0)</f>
        <v>1397</v>
      </c>
      <c r="BM137" s="14">
        <f ca="1">ROUND(BD137*U137*AC137*L137*BA137*[2]ステータス!$D$2,0)</f>
        <v>0</v>
      </c>
      <c r="BN137" s="14">
        <f ca="1">ROUND(BD137*V137*AD137*M137*BB137*[2]ステータス!$E$2,0)</f>
        <v>1284</v>
      </c>
      <c r="BO137" s="13">
        <v>0</v>
      </c>
      <c r="BP137" s="13">
        <v>1</v>
      </c>
      <c r="BQ137" s="13" t="s">
        <v>102</v>
      </c>
      <c r="BR137" s="13">
        <f ca="1">VLOOKUP(H137,ghosts_label!$A$2:$B$19,2,FALSE)</f>
        <v>500</v>
      </c>
    </row>
    <row r="138" spans="1:70" ht="21" customHeight="1" x14ac:dyDescent="0.15">
      <c r="A138" s="14">
        <f t="shared" ca="1" si="15"/>
        <v>137</v>
      </c>
      <c r="B138" s="77" t="str">
        <f ca="1">VLOOKUP($A138,OFFSET([2]characters!$A$1,0,0,COUNTA([2]characters!$A:$A),MATCH(B$1,[2]characters!$1:$1,0)-MATCH($A$1,[2]characters!$1:$1,0)+1),MATCH(B$1,[2]characters!$1:$1,0)-MATCH($A$1,[2]characters!$1:$1,0)+1,FALSE)</f>
        <v>清福の仕立屋 チハヤ</v>
      </c>
      <c r="C138" s="77" t="str">
        <f ca="1">VLOOKUP($A138,OFFSET([2]characters!$A$1,0,0,COUNTA([2]characters!$A:$A),MATCH(C$1,[2]characters!$1:$1,0)-MATCH($A$1,[2]characters!$1:$1,0)+1),MATCH(C$1,[2]characters!$1:$1,0)-MATCH($A$1,[2]characters!$1:$1,0)+1,FALSE)</f>
        <v>初期ガチャ</v>
      </c>
      <c r="D138" s="77" t="str">
        <f ca="1">VLOOKUP($A138,OFFSET([2]characters!$A$1,0,0,COUNTA([2]characters!$A:$A),MATCH(D$1,[2]characters!$1:$1,0)-MATCH($A$1,[2]characters!$1:$1,0)+1),MATCH(D$1,[2]characters!$1:$1,0)-MATCH($A$1,[2]characters!$1:$1,0)+1,FALSE)</f>
        <v>アバター</v>
      </c>
      <c r="E138" s="77" t="str">
        <f ca="1">VLOOKUP($A138,OFFSET([2]characters!$A$1,0,0,COUNTA([2]characters!$A:$A),MATCH(E$1,[2]characters!$1:$1,0)-MATCH($A$1,[2]characters!$1:$1,0)+1),MATCH(E$1,[2]characters!$1:$1,0)-MATCH($A$1,[2]characters!$1:$1,0)+1,FALSE)</f>
        <v>可愛い</v>
      </c>
      <c r="F138" s="77" t="str">
        <f ca="1">VLOOKUP($A138,OFFSET([2]characters!$A$1,0,0,COUNTA([2]characters!$A:$A),MATCH(F$1,[2]characters!$1:$1,0)-MATCH($A$1,[2]characters!$1:$1,0)+1),MATCH(F$1,[2]characters!$1:$1,0)-MATCH($A$1,[2]characters!$1:$1,0)+1,FALSE)</f>
        <v>女性</v>
      </c>
      <c r="G138" s="77">
        <f ca="1">VLOOKUP($A138,OFFSET([2]characters!$A$1,0,0,COUNTA([2]characters!$A:$A),MATCH(G$1,[2]characters!$1:$1,0)-MATCH($A$1,[2]characters!$1:$1,0)+1),MATCH(G$1,[2]characters!$1:$1,0)-MATCH($A$1,[2]characters!$1:$1,0)+1,FALSE)</f>
        <v>4</v>
      </c>
      <c r="H138" s="77" t="str">
        <f ca="1">VLOOKUP($A138,OFFSET([2]characters!$A$1,0,0,COUNTA([2]characters!$A:$A),MATCH(H$1,[2]characters!$1:$1,0)-MATCH($A$1,[2]characters!$1:$1,0)+1),MATCH(H$1,[2]characters!$1:$1,0)-MATCH($A$1,[2]characters!$1:$1,0)+1,FALSE)</f>
        <v>PremiumW</v>
      </c>
      <c r="I138" s="77" t="str">
        <f ca="1">VLOOKUP($A138,OFFSET([2]characters!$A$1,0,0,COUNTA([2]characters!$A:$A),MATCH(I$1,[2]characters!$1:$1,0)-MATCH($A$1,[2]characters!$1:$1,0)+1),MATCH(I$1,[2]characters!$1:$1,0)-MATCH($A$1,[2]characters!$1:$1,0)+1,FALSE)</f>
        <v>green</v>
      </c>
      <c r="J138" s="14">
        <f ca="1">VLOOKUP(I138,[2]属性!$A:$E,2,FALSE)</f>
        <v>1.02</v>
      </c>
      <c r="K138" s="14">
        <f ca="1">VLOOKUP(I138,[2]属性!$A:$E,3,FALSE)</f>
        <v>0.98</v>
      </c>
      <c r="L138" s="14">
        <f ca="1">VLOOKUP(I138,[2]属性!$A:$E,4,FALSE)</f>
        <v>1</v>
      </c>
      <c r="M138" s="14">
        <f ca="1">VLOOKUP(I138,[2]属性!$A:$E,5,FALSE)</f>
        <v>1</v>
      </c>
      <c r="N138" s="14">
        <f ca="1">INDEX(コスト!$A$1:$I$20,MATCH(H138,コスト!$A$1:$A$20,FALSE),MATCH(G138,コスト!$A$1:$I$1,FALSE))</f>
        <v>16</v>
      </c>
      <c r="O138" s="14">
        <f ca="1">INDEX(レベル!$A$1:$I$21,MATCH(H138,レベル!$A$1:$A$21,FALSE),MATCH(G138,レベル!$A$1:$I$1,FALSE))</f>
        <v>60</v>
      </c>
      <c r="P138" s="63">
        <f t="shared" ca="1" si="21"/>
        <v>60</v>
      </c>
      <c r="Q138" s="77" t="str">
        <f ca="1">VLOOKUP($A138,OFFSET([2]characters!$A$1,0,0,COUNTA([2]characters!$A:$A),MATCH(Q$1,[2]characters!$1:$1,0)-MATCH($A$1,[2]characters!$1:$1,0)+1),MATCH(Q$1,[2]characters!$1:$1,0)-MATCH($A$1,[2]characters!$1:$1,0)+1,FALSE)</f>
        <v>balance</v>
      </c>
      <c r="R138" s="8" t="str">
        <f ca="1">VLOOKUP(Q138,[2]character_type_i18n!$A:$H,3,FALSE)</f>
        <v>バランスタイプ</v>
      </c>
      <c r="S138" s="14">
        <f ca="1">VLOOKUP(Q138,[2]character_type_i18n!$A:$H,4,FALSE)</f>
        <v>1</v>
      </c>
      <c r="T138" s="14">
        <f ca="1">VLOOKUP(Q138,[2]character_type_i18n!$A:$H,5,FALSE)</f>
        <v>1</v>
      </c>
      <c r="U138" s="14">
        <f ca="1">VLOOKUP(Q138,[2]character_type_i18n!$A:$H,6,FALSE)</f>
        <v>1</v>
      </c>
      <c r="V138" s="14">
        <f ca="1">VLOOKUP(Q138,[2]character_type_i18n!$A:$H,7,FALSE)</f>
        <v>1</v>
      </c>
      <c r="W138" s="77" t="str">
        <f ca="1">VLOOKUP($A138,OFFSET([2]characters!$A$1,0,0,COUNTA([2]characters!$A:$A),MATCH(W$1,[2]characters!$1:$1,0)-MATCH($A$1,[2]characters!$1:$1,0)+1),MATCH(W$1,[2]characters!$1:$1,0)-MATCH($A$1,[2]characters!$1:$1,0)+1,FALSE)</f>
        <v>human</v>
      </c>
      <c r="X138" s="8" t="str">
        <f ca="1">VLOOKUP(W138,[2]character_tribe_i18n!$A:$H,3,FALSE)</f>
        <v>ヒューマン</v>
      </c>
      <c r="Y138" s="77" t="str">
        <f ca="1">VLOOKUP($A138,OFFSET([2]characters!$A$1,0,0,COUNTA([2]characters!$A:$A),MATCH(Y$1,[2]characters!$1:$1,0)-MATCH($A$1,[2]characters!$1:$1,0)+1),MATCH(Y$1,[2]characters!$1:$1,0)-MATCH($A$1,[2]characters!$1:$1,0)+1,FALSE)</f>
        <v>none</v>
      </c>
      <c r="Z138" s="8" t="str">
        <f ca="1">VLOOKUP(Y138,[2]character_tribe_i18n!$A:$H,3,FALSE)</f>
        <v>種族なし</v>
      </c>
      <c r="AA138" s="14">
        <f ca="1">VLOOKUP(W138,[2]character_tribe_i18n!$A:$H,4,FALSE)</f>
        <v>0.94</v>
      </c>
      <c r="AB138" s="14">
        <f ca="1">VLOOKUP(W138,[2]character_tribe_i18n!$A:$H,5,FALSE)</f>
        <v>0.99</v>
      </c>
      <c r="AC138" s="14">
        <f ca="1">VLOOKUP(W138,[2]character_tribe_i18n!$A:$H,6,FALSE)</f>
        <v>1</v>
      </c>
      <c r="AD138" s="14">
        <f ca="1">VLOOKUP(W138,[2]character_tribe_i18n!$A:$H,7,FALSE)</f>
        <v>1.07</v>
      </c>
      <c r="AE138" s="12" t="s">
        <v>102</v>
      </c>
      <c r="AF138" s="85" t="str">
        <f ca="1">IF(AE138="NULL","",VLOOKUP($AE138,OFFSET([2]characters!$A$1,0,0,COUNTA([2]characters!$A:$A),MATCH(AF$1,[2]characters!$1:$1,0)-MATCH($A$1,[2]characters!$1:$1,0)+1),MATCH(AF$1,[2]characters!$1:$1,0)-MATCH($A$1,[2]characters!$1:$1,0)+1,FALSE))</f>
        <v/>
      </c>
      <c r="AG138" s="8">
        <f t="shared" ca="1" si="16"/>
        <v>136</v>
      </c>
      <c r="AH138" s="85" t="str">
        <f ca="1">VLOOKUP($AG138,OFFSET([2]characters!$A$1,0,0,COUNTA([2]characters!$A:$A),MATCH(AH$1,[2]characters!$1:$1,0)-MATCH($A$1,[2]characters!$1:$1,0)+1),MATCH(AH$1,[2]characters!$1:$1,0)-MATCH($A$1,[2]characters!$1:$1,0)+1,FALSE)</f>
        <v>お針子チハヤ</v>
      </c>
      <c r="AI138" s="14" t="str">
        <f>IF(AE138="NULL","NULL",VLOOKUP(G138,ビット!$A$2:$B$7,2))</f>
        <v>NULL</v>
      </c>
      <c r="AJ138" s="9">
        <v>2</v>
      </c>
      <c r="AK138" s="10" t="str">
        <f t="shared" si="17"/>
        <v>普通</v>
      </c>
      <c r="AL138" s="14" t="str">
        <f ca="1">INDEX(経験値!$A$1:$I$20,MATCH(H138,経験値!$A$1:$A$20,FALSE),MATCH(G138,経験値!$A$1:$I$1,FALSE))</f>
        <v>required_exp_150</v>
      </c>
      <c r="AM138" s="11">
        <f ca="1">VLOOKUP(G138,経験値!$A$27:$B$31,2)</f>
        <v>3400</v>
      </c>
      <c r="AN138" s="21">
        <f ca="1">VLOOKUP(G138,ビット!$G$2:$H$7,2)</f>
        <v>600</v>
      </c>
      <c r="AO138" s="100" t="s">
        <v>179</v>
      </c>
      <c r="AP138" s="97">
        <v>512002</v>
      </c>
      <c r="AQ138" s="77" t="e">
        <f ca="1">VLOOKUP($AP138,OFFSET([1]unit_skills!$A$1,0,0,COUNTA([1]unit_skills!$A:$A),MATCH("name",[1]unit_skills!$1:$1,0)-MATCH($AP$1,[1]unit_skills!$1:$1,0)+1),MATCH("name",[1]unit_skills!$1:$1,0)-MATCH($AP$1,[1]unit_skills!$1:$1,0)+1,FALSE)</f>
        <v>#VALUE!</v>
      </c>
      <c r="AR138" s="77" t="e">
        <f ca="1">VLOOKUP($AP138,OFFSET([1]unit_skills!$A$1,0,0,COUNTA([1]unit_skills!$A:$A),MATCH("comment",[1]unit_skills!$1:$1,0)-MATCH($AP$1,[1]unit_skills!$1:$1,0)+1),MATCH("comment",[1]unit_skills!$1:$1,0)-MATCH($AP$1,[1]unit_skills!$1:$1,0)+1,FALSE)</f>
        <v>#VALUE!</v>
      </c>
      <c r="AS138" s="77" t="e">
        <f ca="1">VLOOKUP($AP138,OFFSET([1]unit_skills!$A$1,0,0,COUNTA([1]unit_skills!$A:$A),MATCH(AS$1,[1]unit_skills!$1:$1,0)-MATCH($AP$1,[1]unit_skills!$1:$1,0)+1),MATCH(AS$1,[1]unit_skills!$1:$1,0)-MATCH($AP$1,[1]unit_skills!$1:$1,0)+1,FALSE)</f>
        <v>#VALUE!</v>
      </c>
      <c r="AT138" s="97">
        <v>122009</v>
      </c>
      <c r="AU138" s="77" t="e">
        <f ca="1">VLOOKUP($AT138,OFFSET([1]crash_skills!$A$1,0,0,COUNTA([1]crash_skills!$A:$A),MATCH("name",[1]crash_skills!$1:$1,0)-MATCH($AT$1,[1]crash_skills!$1:$1,0)+1),MATCH("name",[1]crash_skills!$1:$1,0)-MATCH($AT$1,[1]crash_skills!$1:$1,0)+1,FALSE)</f>
        <v>#VALUE!</v>
      </c>
      <c r="AV138" s="77" t="e">
        <f ca="1">VLOOKUP($AT138,OFFSET([1]crash_skills!$A$1,0,0,COUNTA([1]crash_skills!$A:$A),MATCH("comment",[1]crash_skills!$1:$1,0)-MATCH($AT$1,[1]crash_skills!$1:$1,0)+1),MATCH("comment",[1]crash_skills!$1:$1,0)-MATCH($AT$1,[1]crash_skills!$1:$1,0)+1,FALSE)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38" s="77" t="e">
        <f ca="1">VLOOKUP($AT138,OFFSET([1]crash_skills!$A$1,0,0,COUNTA([1]crash_skills!$A:$A),MATCH(AW$1,[1]crash_skills!$1:$1,0)-MATCH($AT$1,[1]crash_skills!$1:$1,0)+1),MATCH(AW$1,[1]crash_skills!$1:$1,0)-MATCH($AT$1,[1]crash_skills!$1:$1,0)+1,FALSE)</f>
        <v>#VALUE!</v>
      </c>
      <c r="AX138" s="81">
        <f ca="1">VLOOKUP($A138,OFFSET([2]characters!$A$1,0,0,COUNTA([2]characters!$A:$A),MATCH(AX$1,[2]characters!$1:$1,0)-MATCH($A$1,[2]characters!$1:$1,0)+1),MATCH(AX$1,[2]characters!$1:$1,0)-MATCH($A$1,[2]characters!$1:$1,0)+1,FALSE)</f>
        <v>3</v>
      </c>
      <c r="AY138" s="19">
        <v>1</v>
      </c>
      <c r="AZ138" s="19">
        <v>1</v>
      </c>
      <c r="BA138" s="19">
        <v>0</v>
      </c>
      <c r="BB138" s="19">
        <v>1</v>
      </c>
      <c r="BC138" s="14">
        <f ca="1">INDEX('RC6SV'!$A$1:$G$20,MATCH(H138,'RC6SV'!$A$1:$A$20,FALSE),MATCH(G138,'RC6SV'!$A$1:$G$1,FALSE))</f>
        <v>6600</v>
      </c>
      <c r="BD138" s="63">
        <f t="shared" ca="1" si="18"/>
        <v>6600</v>
      </c>
      <c r="BE138" s="14">
        <f t="shared" ca="1" si="19"/>
        <v>4800</v>
      </c>
      <c r="BF138" s="14">
        <f t="shared" ca="1" si="20"/>
        <v>1</v>
      </c>
      <c r="BG138" s="20">
        <f ca="1">IF($BE138&lt;=0,ROUND(BK138*0.5,0), ROUND($BE138*S138*AA138*J138*AY138*0.8*[2]ステータス!$B$2,0))</f>
        <v>1841</v>
      </c>
      <c r="BH138" s="20">
        <f ca="1">IF($BE138&lt;=0,ROUND(BL138*0.5,0), ROUND($BE138*T138*AB138*K138*AZ138*0.8*[2]ステータス!$C$2,0))</f>
        <v>1118</v>
      </c>
      <c r="BI138" s="20">
        <f ca="1">IF($BE138&lt;=0,ROUND(BM138*0.5,0), ROUND($BE138*U138*AC138*L138*BA138*0.8*[2]ステータス!$D$2,0))</f>
        <v>0</v>
      </c>
      <c r="BJ138" s="20">
        <f ca="1">IF($BE138&lt;=0,ROUND(BN138*0.5,0), ROUND($BE138*V138*AD138*M138*BB138*0.8*[2]ステータス!$E$2,0))</f>
        <v>1027</v>
      </c>
      <c r="BK138" s="14">
        <f ca="1">ROUND(BD138*S138*AA138*J138*AY138*[2]ステータス!$B$2,0)</f>
        <v>3164</v>
      </c>
      <c r="BL138" s="14">
        <f ca="1">ROUND(BD138*T138*AB138*K138*AZ138*[2]ステータス!$C$2,0)</f>
        <v>1921</v>
      </c>
      <c r="BM138" s="14">
        <f ca="1">ROUND(BD138*U138*AC138*L138*BA138*[2]ステータス!$D$2,0)</f>
        <v>0</v>
      </c>
      <c r="BN138" s="14">
        <f ca="1">ROUND(BD138*V138*AD138*M138*BB138*[2]ステータス!$E$2,0)</f>
        <v>1766</v>
      </c>
      <c r="BO138" s="13">
        <v>0</v>
      </c>
      <c r="BP138" s="13">
        <v>1</v>
      </c>
      <c r="BQ138" s="13" t="s">
        <v>102</v>
      </c>
      <c r="BR138" s="13">
        <f ca="1">VLOOKUP(H138,ghosts_label!$A$2:$B$19,2,FALSE)</f>
        <v>500</v>
      </c>
    </row>
    <row r="139" spans="1:70" ht="21" customHeight="1" x14ac:dyDescent="0.15">
      <c r="A139" s="14">
        <f t="shared" ca="1" si="15"/>
        <v>138</v>
      </c>
      <c r="B139" s="77" t="str">
        <f ca="1">VLOOKUP($A139,OFFSET([2]characters!$A$1,0,0,COUNTA([2]characters!$A:$A),MATCH(B$1,[2]characters!$1:$1,0)-MATCH($A$1,[2]characters!$1:$1,0)+1),MATCH(B$1,[2]characters!$1:$1,0)-MATCH($A$1,[2]characters!$1:$1,0)+1,FALSE)</f>
        <v>蒼薙のトモエ</v>
      </c>
      <c r="C139" s="77" t="str">
        <f ca="1">VLOOKUP($A139,OFFSET([2]characters!$A$1,0,0,COUNTA([2]characters!$A:$A),MATCH(C$1,[2]characters!$1:$1,0)-MATCH($A$1,[2]characters!$1:$1,0)+1),MATCH(C$1,[2]characters!$1:$1,0)-MATCH($A$1,[2]characters!$1:$1,0)+1,FALSE)</f>
        <v>初期ガチャ</v>
      </c>
      <c r="D139" s="77" t="str">
        <f ca="1">VLOOKUP($A139,OFFSET([2]characters!$A$1,0,0,COUNTA([2]characters!$A:$A),MATCH(D$1,[2]characters!$1:$1,0)-MATCH($A$1,[2]characters!$1:$1,0)+1),MATCH(D$1,[2]characters!$1:$1,0)-MATCH($A$1,[2]characters!$1:$1,0)+1,FALSE)</f>
        <v>アバター</v>
      </c>
      <c r="E139" s="77" t="str">
        <f ca="1">VLOOKUP($A139,OFFSET([2]characters!$A$1,0,0,COUNTA([2]characters!$A:$A),MATCH(E$1,[2]characters!$1:$1,0)-MATCH($A$1,[2]characters!$1:$1,0)+1),MATCH(E$1,[2]characters!$1:$1,0)-MATCH($A$1,[2]characters!$1:$1,0)+1,FALSE)</f>
        <v>美しい</v>
      </c>
      <c r="F139" s="77" t="str">
        <f ca="1">VLOOKUP($A139,OFFSET([2]characters!$A$1,0,0,COUNTA([2]characters!$A:$A),MATCH(F$1,[2]characters!$1:$1,0)-MATCH($A$1,[2]characters!$1:$1,0)+1),MATCH(F$1,[2]characters!$1:$1,0)-MATCH($A$1,[2]characters!$1:$1,0)+1,FALSE)</f>
        <v>女性</v>
      </c>
      <c r="G139" s="77">
        <f ca="1">VLOOKUP($A139,OFFSET([2]characters!$A$1,0,0,COUNTA([2]characters!$A:$A),MATCH(G$1,[2]characters!$1:$1,0)-MATCH($A$1,[2]characters!$1:$1,0)+1),MATCH(G$1,[2]characters!$1:$1,0)-MATCH($A$1,[2]characters!$1:$1,0)+1,FALSE)</f>
        <v>3</v>
      </c>
      <c r="H139" s="77" t="str">
        <f ca="1">VLOOKUP($A139,OFFSET([2]characters!$A$1,0,0,COUNTA([2]characters!$A:$A),MATCH(H$1,[2]characters!$1:$1,0)-MATCH($A$1,[2]characters!$1:$1,0)+1),MATCH(H$1,[2]characters!$1:$1,0)-MATCH($A$1,[2]characters!$1:$1,0)+1,FALSE)</f>
        <v>PremiumW</v>
      </c>
      <c r="I139" s="77" t="str">
        <f ca="1">VLOOKUP($A139,OFFSET([2]characters!$A$1,0,0,COUNTA([2]characters!$A:$A),MATCH(I$1,[2]characters!$1:$1,0)-MATCH($A$1,[2]characters!$1:$1,0)+1),MATCH(I$1,[2]characters!$1:$1,0)-MATCH($A$1,[2]characters!$1:$1,0)+1,FALSE)</f>
        <v>blue</v>
      </c>
      <c r="J139" s="14">
        <f ca="1">VLOOKUP(I139,[2]属性!$A:$E,2,FALSE)</f>
        <v>1</v>
      </c>
      <c r="K139" s="14">
        <f ca="1">VLOOKUP(I139,[2]属性!$A:$E,3,FALSE)</f>
        <v>0.98</v>
      </c>
      <c r="L139" s="14">
        <f ca="1">VLOOKUP(I139,[2]属性!$A:$E,4,FALSE)</f>
        <v>1</v>
      </c>
      <c r="M139" s="14">
        <f ca="1">VLOOKUP(I139,[2]属性!$A:$E,5,FALSE)</f>
        <v>1.02</v>
      </c>
      <c r="N139" s="14">
        <f ca="1">INDEX(コスト!$A$1:$I$20,MATCH(H139,コスト!$A$1:$A$20,FALSE),MATCH(G139,コスト!$A$1:$I$1,FALSE))</f>
        <v>7</v>
      </c>
      <c r="O139" s="14">
        <f ca="1">INDEX(レベル!$A$1:$I$21,MATCH(H139,レベル!$A$1:$A$21,FALSE),MATCH(G139,レベル!$A$1:$I$1,FALSE))</f>
        <v>40</v>
      </c>
      <c r="P139" s="63">
        <f t="shared" ca="1" si="21"/>
        <v>45</v>
      </c>
      <c r="Q139" s="77" t="str">
        <f ca="1">VLOOKUP($A139,OFFSET([2]characters!$A$1,0,0,COUNTA([2]characters!$A:$A),MATCH(Q$1,[2]characters!$1:$1,0)-MATCH($A$1,[2]characters!$1:$1,0)+1),MATCH(Q$1,[2]characters!$1:$1,0)-MATCH($A$1,[2]characters!$1:$1,0)+1,FALSE)</f>
        <v>balance</v>
      </c>
      <c r="R139" s="8" t="str">
        <f ca="1">VLOOKUP(Q139,[2]character_type_i18n!$A:$H,3,FALSE)</f>
        <v>バランスタイプ</v>
      </c>
      <c r="S139" s="14">
        <f ca="1">VLOOKUP(Q139,[2]character_type_i18n!$A:$H,4,FALSE)</f>
        <v>1</v>
      </c>
      <c r="T139" s="14">
        <f ca="1">VLOOKUP(Q139,[2]character_type_i18n!$A:$H,5,FALSE)</f>
        <v>1</v>
      </c>
      <c r="U139" s="14">
        <f ca="1">VLOOKUP(Q139,[2]character_type_i18n!$A:$H,6,FALSE)</f>
        <v>1</v>
      </c>
      <c r="V139" s="14">
        <f ca="1">VLOOKUP(Q139,[2]character_type_i18n!$A:$H,7,FALSE)</f>
        <v>1</v>
      </c>
      <c r="W139" s="77" t="str">
        <f ca="1">VLOOKUP($A139,OFFSET([2]characters!$A$1,0,0,COUNTA([2]characters!$A:$A),MATCH(W$1,[2]characters!$1:$1,0)-MATCH($A$1,[2]characters!$1:$1,0)+1),MATCH(W$1,[2]characters!$1:$1,0)-MATCH($A$1,[2]characters!$1:$1,0)+1,FALSE)</f>
        <v>human</v>
      </c>
      <c r="X139" s="8" t="str">
        <f ca="1">VLOOKUP(W139,[2]character_tribe_i18n!$A:$H,3,FALSE)</f>
        <v>ヒューマン</v>
      </c>
      <c r="Y139" s="77" t="str">
        <f ca="1">VLOOKUP($A139,OFFSET([2]characters!$A$1,0,0,COUNTA([2]characters!$A:$A),MATCH(Y$1,[2]characters!$1:$1,0)-MATCH($A$1,[2]characters!$1:$1,0)+1),MATCH(Y$1,[2]characters!$1:$1,0)-MATCH($A$1,[2]characters!$1:$1,0)+1,FALSE)</f>
        <v>none</v>
      </c>
      <c r="Z139" s="8" t="str">
        <f ca="1">VLOOKUP(Y139,[2]character_tribe_i18n!$A:$H,3,FALSE)</f>
        <v>種族なし</v>
      </c>
      <c r="AA139" s="14">
        <f ca="1">VLOOKUP(W139,[2]character_tribe_i18n!$A:$H,4,FALSE)</f>
        <v>0.94</v>
      </c>
      <c r="AB139" s="14">
        <f ca="1">VLOOKUP(W139,[2]character_tribe_i18n!$A:$H,5,FALSE)</f>
        <v>0.99</v>
      </c>
      <c r="AC139" s="14">
        <f ca="1">VLOOKUP(W139,[2]character_tribe_i18n!$A:$H,6,FALSE)</f>
        <v>1</v>
      </c>
      <c r="AD139" s="14">
        <f ca="1">VLOOKUP(W139,[2]character_tribe_i18n!$A:$H,7,FALSE)</f>
        <v>1.07</v>
      </c>
      <c r="AE139" s="12">
        <v>139</v>
      </c>
      <c r="AF139" s="85" t="str">
        <f ca="1">IF(AE139="NULL","",VLOOKUP($AE139,OFFSET([2]characters!$A$1,0,0,COUNTA([2]characters!$A:$A),MATCH(AF$1,[2]characters!$1:$1,0)-MATCH($A$1,[2]characters!$1:$1,0)+1),MATCH(AF$1,[2]characters!$1:$1,0)-MATCH($A$1,[2]characters!$1:$1,0)+1,FALSE))</f>
        <v>蒼昇刃姫 トモエ</v>
      </c>
      <c r="AG139" s="8">
        <f t="shared" ca="1" si="16"/>
        <v>138</v>
      </c>
      <c r="AH139" s="85" t="str">
        <f ca="1">VLOOKUP($AG139,OFFSET([2]characters!$A$1,0,0,COUNTA([2]characters!$A:$A),MATCH(AH$1,[2]characters!$1:$1,0)-MATCH($A$1,[2]characters!$1:$1,0)+1),MATCH(AH$1,[2]characters!$1:$1,0)-MATCH($A$1,[2]characters!$1:$1,0)+1,FALSE)</f>
        <v>蒼薙のトモエ</v>
      </c>
      <c r="AI139" s="14">
        <f ca="1">IF(AE139="NULL","NULL",VLOOKUP(G139,ビット!$A$2:$B$7,2))</f>
        <v>20000</v>
      </c>
      <c r="AJ139" s="9">
        <v>2</v>
      </c>
      <c r="AK139" s="10" t="str">
        <f t="shared" si="17"/>
        <v>普通</v>
      </c>
      <c r="AL139" s="14" t="str">
        <f ca="1">INDEX(経験値!$A$1:$I$20,MATCH(H139,経験値!$A$1:$A$20,FALSE),MATCH(G139,経験値!$A$1:$I$1,FALSE))</f>
        <v>required_exp_150</v>
      </c>
      <c r="AM139" s="11">
        <f ca="1">VLOOKUP(G139,経験値!$A$27:$B$31,2)</f>
        <v>1500</v>
      </c>
      <c r="AN139" s="21">
        <f ca="1">VLOOKUP(G139,ビット!$G$2:$H$7,2)</f>
        <v>300</v>
      </c>
      <c r="AO139" s="100" t="s">
        <v>179</v>
      </c>
      <c r="AP139" s="97">
        <v>513002</v>
      </c>
      <c r="AQ139" s="77" t="e">
        <f ca="1">VLOOKUP($AP139,OFFSET([1]unit_skills!$A$1,0,0,COUNTA([1]unit_skills!$A:$A),MATCH("name",[1]unit_skills!$1:$1,0)-MATCH($AP$1,[1]unit_skills!$1:$1,0)+1),MATCH("name",[1]unit_skills!$1:$1,0)-MATCH($AP$1,[1]unit_skills!$1:$1,0)+1,FALSE)</f>
        <v>#VALUE!</v>
      </c>
      <c r="AR139" s="77" t="e">
        <f ca="1">VLOOKUP($AP139,OFFSET([1]unit_skills!$A$1,0,0,COUNTA([1]unit_skills!$A:$A),MATCH("comment",[1]unit_skills!$1:$1,0)-MATCH($AP$1,[1]unit_skills!$1:$1,0)+1),MATCH("comment",[1]unit_skills!$1:$1,0)-MATCH($AP$1,[1]unit_skills!$1:$1,0)+1,FALSE)</f>
        <v>#VALUE!</v>
      </c>
      <c r="AS139" s="77" t="e">
        <f ca="1">VLOOKUP($AP139,OFFSET([1]unit_skills!$A$1,0,0,COUNTA([1]unit_skills!$A:$A),MATCH(AS$1,[1]unit_skills!$1:$1,0)-MATCH($AP$1,[1]unit_skills!$1:$1,0)+1),MATCH(AS$1,[1]unit_skills!$1:$1,0)-MATCH($AP$1,[1]unit_skills!$1:$1,0)+1,FALSE)</f>
        <v>#VALUE!</v>
      </c>
      <c r="AT139" s="97">
        <v>113003</v>
      </c>
      <c r="AU139" s="77" t="e">
        <f ca="1">VLOOKUP($AT139,OFFSET([1]crash_skills!$A$1,0,0,COUNTA([1]crash_skills!$A:$A),MATCH("name",[1]crash_skills!$1:$1,0)-MATCH($AT$1,[1]crash_skills!$1:$1,0)+1),MATCH("name",[1]crash_skills!$1:$1,0)-MATCH($AT$1,[1]crash_skills!$1:$1,0)+1,FALSE)</f>
        <v>#VALUE!</v>
      </c>
      <c r="AV139" s="77" t="e">
        <f ca="1">VLOOKUP($AT139,OFFSET([1]crash_skills!$A$1,0,0,COUNTA([1]crash_skills!$A:$A),MATCH("comment",[1]crash_skills!$1:$1,0)-MATCH($AT$1,[1]crash_skills!$1:$1,0)+1),MATCH("comment",[1]crash_skills!$1:$1,0)-MATCH($AT$1,[1]crash_skills!$1:$1,0)+1,FALSE)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39" s="77" t="e">
        <f ca="1">VLOOKUP($AT139,OFFSET([1]crash_skills!$A$1,0,0,COUNTA([1]crash_skills!$A:$A),MATCH(AW$1,[1]crash_skills!$1:$1,0)-MATCH($AT$1,[1]crash_skills!$1:$1,0)+1),MATCH(AW$1,[1]crash_skills!$1:$1,0)-MATCH($AT$1,[1]crash_skills!$1:$1,0)+1,FALSE)</f>
        <v>#VALUE!</v>
      </c>
      <c r="AX139" s="81">
        <f ca="1">VLOOKUP($A139,OFFSET([2]characters!$A$1,0,0,COUNTA([2]characters!$A:$A),MATCH(AX$1,[2]characters!$1:$1,0)-MATCH($A$1,[2]characters!$1:$1,0)+1),MATCH(AX$1,[2]characters!$1:$1,0)-MATCH($A$1,[2]characters!$1:$1,0)+1,FALSE)</f>
        <v>3</v>
      </c>
      <c r="AY139" s="19">
        <v>1</v>
      </c>
      <c r="AZ139" s="19">
        <v>1</v>
      </c>
      <c r="BA139" s="19">
        <v>0</v>
      </c>
      <c r="BB139" s="19">
        <v>1</v>
      </c>
      <c r="BC139" s="14">
        <f ca="1">INDEX('RC6SV'!$A$1:$G$20,MATCH(H139,'RC6SV'!$A$1:$A$20,FALSE),MATCH(G139,'RC6SV'!$A$1:$G$1,FALSE))</f>
        <v>4800</v>
      </c>
      <c r="BD139" s="63">
        <f t="shared" ca="1" si="18"/>
        <v>4800</v>
      </c>
      <c r="BE139" s="14">
        <f t="shared" ca="1" si="19"/>
        <v>0</v>
      </c>
      <c r="BF139" s="14">
        <f t="shared" ca="1" si="20"/>
        <v>1</v>
      </c>
      <c r="BG139" s="20">
        <f ca="1">IF($BE139&lt;=0,ROUND(BK139*0.5,0), ROUND($BE139*S139*AA139*J139*AY139*0.8*[2]ステータス!$B$2,0))</f>
        <v>1128</v>
      </c>
      <c r="BH139" s="20">
        <f ca="1">IF($BE139&lt;=0,ROUND(BL139*0.5,0), ROUND($BE139*T139*AB139*K139*AZ139*0.8*[2]ステータス!$C$2,0))</f>
        <v>699</v>
      </c>
      <c r="BI139" s="20">
        <f ca="1">IF($BE139&lt;=0,ROUND(BM139*0.5,0), ROUND($BE139*U139*AC139*L139*BA139*0.8*[2]ステータス!$D$2,0))</f>
        <v>0</v>
      </c>
      <c r="BJ139" s="20">
        <f ca="1">IF($BE139&lt;=0,ROUND(BN139*0.5,0), ROUND($BE139*V139*AD139*M139*BB139*0.8*[2]ステータス!$E$2,0))</f>
        <v>655</v>
      </c>
      <c r="BK139" s="14">
        <f ca="1">ROUND(BD139*S139*AA139*J139*AY139*[2]ステータス!$B$2,0)</f>
        <v>2256</v>
      </c>
      <c r="BL139" s="14">
        <f ca="1">ROUND(BD139*T139*AB139*K139*AZ139*[2]ステータス!$C$2,0)</f>
        <v>1397</v>
      </c>
      <c r="BM139" s="14">
        <f ca="1">ROUND(BD139*U139*AC139*L139*BA139*[2]ステータス!$D$2,0)</f>
        <v>0</v>
      </c>
      <c r="BN139" s="14">
        <f ca="1">ROUND(BD139*V139*AD139*M139*BB139*[2]ステータス!$E$2,0)</f>
        <v>1310</v>
      </c>
      <c r="BO139" s="13">
        <v>0</v>
      </c>
      <c r="BP139" s="13">
        <v>1</v>
      </c>
      <c r="BQ139" s="13" t="s">
        <v>102</v>
      </c>
      <c r="BR139" s="13">
        <f ca="1">VLOOKUP(H139,ghosts_label!$A$2:$B$19,2,FALSE)</f>
        <v>500</v>
      </c>
    </row>
    <row r="140" spans="1:70" ht="21" customHeight="1" x14ac:dyDescent="0.15">
      <c r="A140" s="14">
        <f t="shared" ca="1" si="15"/>
        <v>139</v>
      </c>
      <c r="B140" s="77" t="str">
        <f ca="1">VLOOKUP($A140,OFFSET([2]characters!$A$1,0,0,COUNTA([2]characters!$A:$A),MATCH(B$1,[2]characters!$1:$1,0)-MATCH($A$1,[2]characters!$1:$1,0)+1),MATCH(B$1,[2]characters!$1:$1,0)-MATCH($A$1,[2]characters!$1:$1,0)+1,FALSE)</f>
        <v>蒼昇刃姫 トモエ</v>
      </c>
      <c r="C140" s="77" t="str">
        <f ca="1">VLOOKUP($A140,OFFSET([2]characters!$A$1,0,0,COUNTA([2]characters!$A:$A),MATCH(C$1,[2]characters!$1:$1,0)-MATCH($A$1,[2]characters!$1:$1,0)+1),MATCH(C$1,[2]characters!$1:$1,0)-MATCH($A$1,[2]characters!$1:$1,0)+1,FALSE)</f>
        <v>初期ガチャ</v>
      </c>
      <c r="D140" s="77" t="str">
        <f ca="1">VLOOKUP($A140,OFFSET([2]characters!$A$1,0,0,COUNTA([2]characters!$A:$A),MATCH(D$1,[2]characters!$1:$1,0)-MATCH($A$1,[2]characters!$1:$1,0)+1),MATCH(D$1,[2]characters!$1:$1,0)-MATCH($A$1,[2]characters!$1:$1,0)+1,FALSE)</f>
        <v>アバター</v>
      </c>
      <c r="E140" s="77" t="str">
        <f ca="1">VLOOKUP($A140,OFFSET([2]characters!$A$1,0,0,COUNTA([2]characters!$A:$A),MATCH(E$1,[2]characters!$1:$1,0)-MATCH($A$1,[2]characters!$1:$1,0)+1),MATCH(E$1,[2]characters!$1:$1,0)-MATCH($A$1,[2]characters!$1:$1,0)+1,FALSE)</f>
        <v>美しい</v>
      </c>
      <c r="F140" s="77" t="str">
        <f ca="1">VLOOKUP($A140,OFFSET([2]characters!$A$1,0,0,COUNTA([2]characters!$A:$A),MATCH(F$1,[2]characters!$1:$1,0)-MATCH($A$1,[2]characters!$1:$1,0)+1),MATCH(F$1,[2]characters!$1:$1,0)-MATCH($A$1,[2]characters!$1:$1,0)+1,FALSE)</f>
        <v>女性</v>
      </c>
      <c r="G140" s="77">
        <f ca="1">VLOOKUP($A140,OFFSET([2]characters!$A$1,0,0,COUNTA([2]characters!$A:$A),MATCH(G$1,[2]characters!$1:$1,0)-MATCH($A$1,[2]characters!$1:$1,0)+1),MATCH(G$1,[2]characters!$1:$1,0)-MATCH($A$1,[2]characters!$1:$1,0)+1,FALSE)</f>
        <v>4</v>
      </c>
      <c r="H140" s="77" t="str">
        <f ca="1">VLOOKUP($A140,OFFSET([2]characters!$A$1,0,0,COUNTA([2]characters!$A:$A),MATCH(H$1,[2]characters!$1:$1,0)-MATCH($A$1,[2]characters!$1:$1,0)+1),MATCH(H$1,[2]characters!$1:$1,0)-MATCH($A$1,[2]characters!$1:$1,0)+1,FALSE)</f>
        <v>PremiumW</v>
      </c>
      <c r="I140" s="77" t="str">
        <f ca="1">VLOOKUP($A140,OFFSET([2]characters!$A$1,0,0,COUNTA([2]characters!$A:$A),MATCH(I$1,[2]characters!$1:$1,0)-MATCH($A$1,[2]characters!$1:$1,0)+1),MATCH(I$1,[2]characters!$1:$1,0)-MATCH($A$1,[2]characters!$1:$1,0)+1,FALSE)</f>
        <v>blue</v>
      </c>
      <c r="J140" s="14">
        <f ca="1">VLOOKUP(I140,[2]属性!$A:$E,2,FALSE)</f>
        <v>1</v>
      </c>
      <c r="K140" s="14">
        <f ca="1">VLOOKUP(I140,[2]属性!$A:$E,3,FALSE)</f>
        <v>0.98</v>
      </c>
      <c r="L140" s="14">
        <f ca="1">VLOOKUP(I140,[2]属性!$A:$E,4,FALSE)</f>
        <v>1</v>
      </c>
      <c r="M140" s="14">
        <f ca="1">VLOOKUP(I140,[2]属性!$A:$E,5,FALSE)</f>
        <v>1.02</v>
      </c>
      <c r="N140" s="14">
        <f ca="1">INDEX(コスト!$A$1:$I$20,MATCH(H140,コスト!$A$1:$A$20,FALSE),MATCH(G140,コスト!$A$1:$I$1,FALSE))</f>
        <v>16</v>
      </c>
      <c r="O140" s="14">
        <f ca="1">INDEX(レベル!$A$1:$I$21,MATCH(H140,レベル!$A$1:$A$21,FALSE),MATCH(G140,レベル!$A$1:$I$1,FALSE))</f>
        <v>60</v>
      </c>
      <c r="P140" s="63">
        <f t="shared" ca="1" si="21"/>
        <v>60</v>
      </c>
      <c r="Q140" s="77" t="str">
        <f ca="1">VLOOKUP($A140,OFFSET([2]characters!$A$1,0,0,COUNTA([2]characters!$A:$A),MATCH(Q$1,[2]characters!$1:$1,0)-MATCH($A$1,[2]characters!$1:$1,0)+1),MATCH(Q$1,[2]characters!$1:$1,0)-MATCH($A$1,[2]characters!$1:$1,0)+1,FALSE)</f>
        <v>balance</v>
      </c>
      <c r="R140" s="8" t="str">
        <f ca="1">VLOOKUP(Q140,[2]character_type_i18n!$A:$H,3,FALSE)</f>
        <v>バランスタイプ</v>
      </c>
      <c r="S140" s="14">
        <f ca="1">VLOOKUP(Q140,[2]character_type_i18n!$A:$H,4,FALSE)</f>
        <v>1</v>
      </c>
      <c r="T140" s="14">
        <f ca="1">VLOOKUP(Q140,[2]character_type_i18n!$A:$H,5,FALSE)</f>
        <v>1</v>
      </c>
      <c r="U140" s="14">
        <f ca="1">VLOOKUP(Q140,[2]character_type_i18n!$A:$H,6,FALSE)</f>
        <v>1</v>
      </c>
      <c r="V140" s="14">
        <f ca="1">VLOOKUP(Q140,[2]character_type_i18n!$A:$H,7,FALSE)</f>
        <v>1</v>
      </c>
      <c r="W140" s="77" t="str">
        <f ca="1">VLOOKUP($A140,OFFSET([2]characters!$A$1,0,0,COUNTA([2]characters!$A:$A),MATCH(W$1,[2]characters!$1:$1,0)-MATCH($A$1,[2]characters!$1:$1,0)+1),MATCH(W$1,[2]characters!$1:$1,0)-MATCH($A$1,[2]characters!$1:$1,0)+1,FALSE)</f>
        <v>human</v>
      </c>
      <c r="X140" s="8" t="str">
        <f ca="1">VLOOKUP(W140,[2]character_tribe_i18n!$A:$H,3,FALSE)</f>
        <v>ヒューマン</v>
      </c>
      <c r="Y140" s="77" t="str">
        <f ca="1">VLOOKUP($A140,OFFSET([2]characters!$A$1,0,0,COUNTA([2]characters!$A:$A),MATCH(Y$1,[2]characters!$1:$1,0)-MATCH($A$1,[2]characters!$1:$1,0)+1),MATCH(Y$1,[2]characters!$1:$1,0)-MATCH($A$1,[2]characters!$1:$1,0)+1,FALSE)</f>
        <v>none</v>
      </c>
      <c r="Z140" s="8" t="str">
        <f ca="1">VLOOKUP(Y140,[2]character_tribe_i18n!$A:$H,3,FALSE)</f>
        <v>種族なし</v>
      </c>
      <c r="AA140" s="14">
        <f ca="1">VLOOKUP(W140,[2]character_tribe_i18n!$A:$H,4,FALSE)</f>
        <v>0.94</v>
      </c>
      <c r="AB140" s="14">
        <f ca="1">VLOOKUP(W140,[2]character_tribe_i18n!$A:$H,5,FALSE)</f>
        <v>0.99</v>
      </c>
      <c r="AC140" s="14">
        <f ca="1">VLOOKUP(W140,[2]character_tribe_i18n!$A:$H,6,FALSE)</f>
        <v>1</v>
      </c>
      <c r="AD140" s="14">
        <f ca="1">VLOOKUP(W140,[2]character_tribe_i18n!$A:$H,7,FALSE)</f>
        <v>1.07</v>
      </c>
      <c r="AE140" s="12" t="s">
        <v>102</v>
      </c>
      <c r="AF140" s="85" t="str">
        <f ca="1">IF(AE140="NULL","",VLOOKUP($AE140,OFFSET([2]characters!$A$1,0,0,COUNTA([2]characters!$A:$A),MATCH(AF$1,[2]characters!$1:$1,0)-MATCH($A$1,[2]characters!$1:$1,0)+1),MATCH(AF$1,[2]characters!$1:$1,0)-MATCH($A$1,[2]characters!$1:$1,0)+1,FALSE))</f>
        <v/>
      </c>
      <c r="AG140" s="8">
        <f t="shared" ca="1" si="16"/>
        <v>138</v>
      </c>
      <c r="AH140" s="85" t="str">
        <f ca="1">VLOOKUP($AG140,OFFSET([2]characters!$A$1,0,0,COUNTA([2]characters!$A:$A),MATCH(AH$1,[2]characters!$1:$1,0)-MATCH($A$1,[2]characters!$1:$1,0)+1),MATCH(AH$1,[2]characters!$1:$1,0)-MATCH($A$1,[2]characters!$1:$1,0)+1,FALSE)</f>
        <v>蒼薙のトモエ</v>
      </c>
      <c r="AI140" s="14" t="str">
        <f>IF(AE140="NULL","NULL",VLOOKUP(G140,ビット!$A$2:$B$7,2))</f>
        <v>NULL</v>
      </c>
      <c r="AJ140" s="9">
        <v>2</v>
      </c>
      <c r="AK140" s="10" t="str">
        <f t="shared" si="17"/>
        <v>普通</v>
      </c>
      <c r="AL140" s="14" t="str">
        <f ca="1">INDEX(経験値!$A$1:$I$20,MATCH(H140,経験値!$A$1:$A$20,FALSE),MATCH(G140,経験値!$A$1:$I$1,FALSE))</f>
        <v>required_exp_150</v>
      </c>
      <c r="AM140" s="11">
        <f ca="1">VLOOKUP(G140,経験値!$A$27:$B$31,2)</f>
        <v>3400</v>
      </c>
      <c r="AN140" s="21">
        <f ca="1">VLOOKUP(G140,ビット!$G$2:$H$7,2)</f>
        <v>600</v>
      </c>
      <c r="AO140" s="100" t="s">
        <v>179</v>
      </c>
      <c r="AP140" s="97">
        <v>513002</v>
      </c>
      <c r="AQ140" s="77" t="e">
        <f ca="1">VLOOKUP($AP140,OFFSET([1]unit_skills!$A$1,0,0,COUNTA([1]unit_skills!$A:$A),MATCH("name",[1]unit_skills!$1:$1,0)-MATCH($AP$1,[1]unit_skills!$1:$1,0)+1),MATCH("name",[1]unit_skills!$1:$1,0)-MATCH($AP$1,[1]unit_skills!$1:$1,0)+1,FALSE)</f>
        <v>#VALUE!</v>
      </c>
      <c r="AR140" s="77" t="e">
        <f ca="1">VLOOKUP($AP140,OFFSET([1]unit_skills!$A$1,0,0,COUNTA([1]unit_skills!$A:$A),MATCH("comment",[1]unit_skills!$1:$1,0)-MATCH($AP$1,[1]unit_skills!$1:$1,0)+1),MATCH("comment",[1]unit_skills!$1:$1,0)-MATCH($AP$1,[1]unit_skills!$1:$1,0)+1,FALSE)</f>
        <v>#VALUE!</v>
      </c>
      <c r="AS140" s="77" t="e">
        <f ca="1">VLOOKUP($AP140,OFFSET([1]unit_skills!$A$1,0,0,COUNTA([1]unit_skills!$A:$A),MATCH(AS$1,[1]unit_skills!$1:$1,0)-MATCH($AP$1,[1]unit_skills!$1:$1,0)+1),MATCH(AS$1,[1]unit_skills!$1:$1,0)-MATCH($AP$1,[1]unit_skills!$1:$1,0)+1,FALSE)</f>
        <v>#VALUE!</v>
      </c>
      <c r="AT140" s="97">
        <v>113009</v>
      </c>
      <c r="AU140" s="77" t="e">
        <f ca="1">VLOOKUP($AT140,OFFSET([1]crash_skills!$A$1,0,0,COUNTA([1]crash_skills!$A:$A),MATCH("name",[1]crash_skills!$1:$1,0)-MATCH($AT$1,[1]crash_skills!$1:$1,0)+1),MATCH("name",[1]crash_skills!$1:$1,0)-MATCH($AT$1,[1]crash_skills!$1:$1,0)+1,FALSE)</f>
        <v>#VALUE!</v>
      </c>
      <c r="AV140" s="77" t="e">
        <f ca="1">VLOOKUP($AT140,OFFSET([1]crash_skills!$A$1,0,0,COUNTA([1]crash_skills!$A:$A),MATCH("comment",[1]crash_skills!$1:$1,0)-MATCH($AT$1,[1]crash_skills!$1:$1,0)+1),MATCH("comment",[1]crash_skills!$1:$1,0)-MATCH($AT$1,[1]crash_skills!$1:$1,0)+1,FALSE)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40" s="77" t="e">
        <f ca="1">VLOOKUP($AT140,OFFSET([1]crash_skills!$A$1,0,0,COUNTA([1]crash_skills!$A:$A),MATCH(AW$1,[1]crash_skills!$1:$1,0)-MATCH($AT$1,[1]crash_skills!$1:$1,0)+1),MATCH(AW$1,[1]crash_skills!$1:$1,0)-MATCH($AT$1,[1]crash_skills!$1:$1,0)+1,FALSE)</f>
        <v>#VALUE!</v>
      </c>
      <c r="AX140" s="81">
        <f ca="1">VLOOKUP($A140,OFFSET([2]characters!$A$1,0,0,COUNTA([2]characters!$A:$A),MATCH(AX$1,[2]characters!$1:$1,0)-MATCH($A$1,[2]characters!$1:$1,0)+1),MATCH(AX$1,[2]characters!$1:$1,0)-MATCH($A$1,[2]characters!$1:$1,0)+1,FALSE)</f>
        <v>3</v>
      </c>
      <c r="AY140" s="19">
        <v>1</v>
      </c>
      <c r="AZ140" s="19">
        <v>1</v>
      </c>
      <c r="BA140" s="19">
        <v>0</v>
      </c>
      <c r="BB140" s="19">
        <v>1</v>
      </c>
      <c r="BC140" s="14">
        <f ca="1">INDEX('RC6SV'!$A$1:$G$20,MATCH(H140,'RC6SV'!$A$1:$A$20,FALSE),MATCH(G140,'RC6SV'!$A$1:$G$1,FALSE))</f>
        <v>6600</v>
      </c>
      <c r="BD140" s="63">
        <f t="shared" ca="1" si="18"/>
        <v>6600</v>
      </c>
      <c r="BE140" s="14">
        <f t="shared" ca="1" si="19"/>
        <v>4800</v>
      </c>
      <c r="BF140" s="14">
        <f t="shared" ca="1" si="20"/>
        <v>1</v>
      </c>
      <c r="BG140" s="20">
        <f ca="1">IF($BE140&lt;=0,ROUND(BK140*0.5,0), ROUND($BE140*S140*AA140*J140*AY140*0.8*[2]ステータス!$B$2,0))</f>
        <v>1805</v>
      </c>
      <c r="BH140" s="20">
        <f ca="1">IF($BE140&lt;=0,ROUND(BL140*0.5,0), ROUND($BE140*T140*AB140*K140*AZ140*0.8*[2]ステータス!$C$2,0))</f>
        <v>1118</v>
      </c>
      <c r="BI140" s="20">
        <f ca="1">IF($BE140&lt;=0,ROUND(BM140*0.5,0), ROUND($BE140*U140*AC140*L140*BA140*0.8*[2]ステータス!$D$2,0))</f>
        <v>0</v>
      </c>
      <c r="BJ140" s="20">
        <f ca="1">IF($BE140&lt;=0,ROUND(BN140*0.5,0), ROUND($BE140*V140*AD140*M140*BB140*0.8*[2]ステータス!$E$2,0))</f>
        <v>1048</v>
      </c>
      <c r="BK140" s="14">
        <f ca="1">ROUND(BD140*S140*AA140*J140*AY140*[2]ステータス!$B$2,0)</f>
        <v>3102</v>
      </c>
      <c r="BL140" s="14">
        <f ca="1">ROUND(BD140*T140*AB140*K140*AZ140*[2]ステータス!$C$2,0)</f>
        <v>1921</v>
      </c>
      <c r="BM140" s="14">
        <f ca="1">ROUND(BD140*U140*AC140*L140*BA140*[2]ステータス!$D$2,0)</f>
        <v>0</v>
      </c>
      <c r="BN140" s="14">
        <f ca="1">ROUND(BD140*V140*AD140*M140*BB140*[2]ステータス!$E$2,0)</f>
        <v>1801</v>
      </c>
      <c r="BO140" s="13">
        <v>0</v>
      </c>
      <c r="BP140" s="13">
        <v>1</v>
      </c>
      <c r="BQ140" s="13" t="s">
        <v>102</v>
      </c>
      <c r="BR140" s="13">
        <f ca="1">VLOOKUP(H140,ghosts_label!$A$2:$B$19,2,FALSE)</f>
        <v>500</v>
      </c>
    </row>
    <row r="141" spans="1:70" ht="21" customHeight="1" x14ac:dyDescent="0.15">
      <c r="A141" s="14">
        <f t="shared" ca="1" si="15"/>
        <v>140</v>
      </c>
      <c r="B141" s="77" t="str">
        <f ca="1">VLOOKUP($A141,OFFSET([2]characters!$A$1,0,0,COUNTA([2]characters!$A:$A),MATCH(B$1,[2]characters!$1:$1,0)-MATCH($A$1,[2]characters!$1:$1,0)+1),MATCH(B$1,[2]characters!$1:$1,0)-MATCH($A$1,[2]characters!$1:$1,0)+1,FALSE)</f>
        <v>秋祭のタマモ</v>
      </c>
      <c r="C141" s="77" t="str">
        <f ca="1">VLOOKUP($A141,OFFSET([2]characters!$A$1,0,0,COUNTA([2]characters!$A:$A),MATCH(C$1,[2]characters!$1:$1,0)-MATCH($A$1,[2]characters!$1:$1,0)+1),MATCH(C$1,[2]characters!$1:$1,0)-MATCH($A$1,[2]characters!$1:$1,0)+1,FALSE)</f>
        <v>初期ガチャ</v>
      </c>
      <c r="D141" s="77" t="str">
        <f ca="1">VLOOKUP($A141,OFFSET([2]characters!$A$1,0,0,COUNTA([2]characters!$A:$A),MATCH(D$1,[2]characters!$1:$1,0)-MATCH($A$1,[2]characters!$1:$1,0)+1),MATCH(D$1,[2]characters!$1:$1,0)-MATCH($A$1,[2]characters!$1:$1,0)+1,FALSE)</f>
        <v>アバター</v>
      </c>
      <c r="E141" s="77" t="str">
        <f ca="1">VLOOKUP($A141,OFFSET([2]characters!$A$1,0,0,COUNTA([2]characters!$A:$A),MATCH(E$1,[2]characters!$1:$1,0)-MATCH($A$1,[2]characters!$1:$1,0)+1),MATCH(E$1,[2]characters!$1:$1,0)-MATCH($A$1,[2]characters!$1:$1,0)+1,FALSE)</f>
        <v>可愛い</v>
      </c>
      <c r="F141" s="77" t="str">
        <f ca="1">VLOOKUP($A141,OFFSET([2]characters!$A$1,0,0,COUNTA([2]characters!$A:$A),MATCH(F$1,[2]characters!$1:$1,0)-MATCH($A$1,[2]characters!$1:$1,0)+1),MATCH(F$1,[2]characters!$1:$1,0)-MATCH($A$1,[2]characters!$1:$1,0)+1,FALSE)</f>
        <v>女性</v>
      </c>
      <c r="G141" s="77">
        <f ca="1">VLOOKUP($A141,OFFSET([2]characters!$A$1,0,0,COUNTA([2]characters!$A:$A),MATCH(G$1,[2]characters!$1:$1,0)-MATCH($A$1,[2]characters!$1:$1,0)+1),MATCH(G$1,[2]characters!$1:$1,0)-MATCH($A$1,[2]characters!$1:$1,0)+1,FALSE)</f>
        <v>3</v>
      </c>
      <c r="H141" s="77" t="str">
        <f ca="1">VLOOKUP($A141,OFFSET([2]characters!$A$1,0,0,COUNTA([2]characters!$A:$A),MATCH(H$1,[2]characters!$1:$1,0)-MATCH($A$1,[2]characters!$1:$1,0)+1),MATCH(H$1,[2]characters!$1:$1,0)-MATCH($A$1,[2]characters!$1:$1,0)+1,FALSE)</f>
        <v>PremiumW</v>
      </c>
      <c r="I141" s="77" t="str">
        <f ca="1">VLOOKUP($A141,OFFSET([2]characters!$A$1,0,0,COUNTA([2]characters!$A:$A),MATCH(I$1,[2]characters!$1:$1,0)-MATCH($A$1,[2]characters!$1:$1,0)+1),MATCH(I$1,[2]characters!$1:$1,0)-MATCH($A$1,[2]characters!$1:$1,0)+1,FALSE)</f>
        <v>yellow</v>
      </c>
      <c r="J141" s="14">
        <f ca="1">VLOOKUP(I141,[2]属性!$A:$E,2,FALSE)</f>
        <v>0.98</v>
      </c>
      <c r="K141" s="14">
        <f ca="1">VLOOKUP(I141,[2]属性!$A:$E,3,FALSE)</f>
        <v>1.01</v>
      </c>
      <c r="L141" s="14">
        <f ca="1">VLOOKUP(I141,[2]属性!$A:$E,4,FALSE)</f>
        <v>1</v>
      </c>
      <c r="M141" s="14">
        <f ca="1">VLOOKUP(I141,[2]属性!$A:$E,5,FALSE)</f>
        <v>1.01</v>
      </c>
      <c r="N141" s="14">
        <f ca="1">INDEX(コスト!$A$1:$I$20,MATCH(H141,コスト!$A$1:$A$20,FALSE),MATCH(G141,コスト!$A$1:$I$1,FALSE))</f>
        <v>7</v>
      </c>
      <c r="O141" s="14">
        <f ca="1">INDEX(レベル!$A$1:$I$21,MATCH(H141,レベル!$A$1:$A$21,FALSE),MATCH(G141,レベル!$A$1:$I$1,FALSE))</f>
        <v>40</v>
      </c>
      <c r="P141" s="63">
        <f t="shared" ca="1" si="21"/>
        <v>45</v>
      </c>
      <c r="Q141" s="77" t="str">
        <f ca="1">VLOOKUP($A141,OFFSET([2]characters!$A$1,0,0,COUNTA([2]characters!$A:$A),MATCH(Q$1,[2]characters!$1:$1,0)-MATCH($A$1,[2]characters!$1:$1,0)+1),MATCH(Q$1,[2]characters!$1:$1,0)-MATCH($A$1,[2]characters!$1:$1,0)+1,FALSE)</f>
        <v>balance</v>
      </c>
      <c r="R141" s="8" t="str">
        <f ca="1">VLOOKUP(Q141,[2]character_type_i18n!$A:$H,3,FALSE)</f>
        <v>バランスタイプ</v>
      </c>
      <c r="S141" s="14">
        <f ca="1">VLOOKUP(Q141,[2]character_type_i18n!$A:$H,4,FALSE)</f>
        <v>1</v>
      </c>
      <c r="T141" s="14">
        <f ca="1">VLOOKUP(Q141,[2]character_type_i18n!$A:$H,5,FALSE)</f>
        <v>1</v>
      </c>
      <c r="U141" s="14">
        <f ca="1">VLOOKUP(Q141,[2]character_type_i18n!$A:$H,6,FALSE)</f>
        <v>1</v>
      </c>
      <c r="V141" s="14">
        <f ca="1">VLOOKUP(Q141,[2]character_type_i18n!$A:$H,7,FALSE)</f>
        <v>1</v>
      </c>
      <c r="W141" s="77" t="str">
        <f ca="1">VLOOKUP($A141,OFFSET([2]characters!$A$1,0,0,COUNTA([2]characters!$A:$A),MATCH(W$1,[2]characters!$1:$1,0)-MATCH($A$1,[2]characters!$1:$1,0)+1),MATCH(W$1,[2]characters!$1:$1,0)-MATCH($A$1,[2]characters!$1:$1,0)+1,FALSE)</f>
        <v>animal</v>
      </c>
      <c r="X141" s="8" t="str">
        <f ca="1">VLOOKUP(W141,[2]character_tribe_i18n!$A:$H,3,FALSE)</f>
        <v>アニマル</v>
      </c>
      <c r="Y141" s="77" t="str">
        <f ca="1">VLOOKUP($A141,OFFSET([2]characters!$A$1,0,0,COUNTA([2]characters!$A:$A),MATCH(Y$1,[2]characters!$1:$1,0)-MATCH($A$1,[2]characters!$1:$1,0)+1),MATCH(Y$1,[2]characters!$1:$1,0)-MATCH($A$1,[2]characters!$1:$1,0)+1,FALSE)</f>
        <v>none</v>
      </c>
      <c r="Z141" s="8" t="str">
        <f ca="1">VLOOKUP(Y141,[2]character_tribe_i18n!$A:$H,3,FALSE)</f>
        <v>種族なし</v>
      </c>
      <c r="AA141" s="14">
        <f ca="1">VLOOKUP(W141,[2]character_tribe_i18n!$A:$H,4,FALSE)</f>
        <v>1</v>
      </c>
      <c r="AB141" s="14">
        <f ca="1">VLOOKUP(W141,[2]character_tribe_i18n!$A:$H,5,FALSE)</f>
        <v>1.1000000000000001</v>
      </c>
      <c r="AC141" s="14">
        <f ca="1">VLOOKUP(W141,[2]character_tribe_i18n!$A:$H,6,FALSE)</f>
        <v>1</v>
      </c>
      <c r="AD141" s="14">
        <f ca="1">VLOOKUP(W141,[2]character_tribe_i18n!$A:$H,7,FALSE)</f>
        <v>0.9</v>
      </c>
      <c r="AE141" s="12">
        <v>141</v>
      </c>
      <c r="AF141" s="85" t="str">
        <f ca="1">IF(AE141="NULL","",VLOOKUP($AE141,OFFSET([2]characters!$A$1,0,0,COUNTA([2]characters!$A:$A),MATCH(AF$1,[2]characters!$1:$1,0)-MATCH($A$1,[2]characters!$1:$1,0)+1),MATCH(AF$1,[2]characters!$1:$1,0)-MATCH($A$1,[2]characters!$1:$1,0)+1,FALSE))</f>
        <v>妖狐演舞 タマモ</v>
      </c>
      <c r="AG141" s="8">
        <f t="shared" ca="1" si="16"/>
        <v>140</v>
      </c>
      <c r="AH141" s="85" t="str">
        <f ca="1">VLOOKUP($AG141,OFFSET([2]characters!$A$1,0,0,COUNTA([2]characters!$A:$A),MATCH(AH$1,[2]characters!$1:$1,0)-MATCH($A$1,[2]characters!$1:$1,0)+1),MATCH(AH$1,[2]characters!$1:$1,0)-MATCH($A$1,[2]characters!$1:$1,0)+1,FALSE)</f>
        <v>秋祭のタマモ</v>
      </c>
      <c r="AI141" s="14">
        <f ca="1">IF(AE141="NULL","NULL",VLOOKUP(G141,ビット!$A$2:$B$7,2))</f>
        <v>20000</v>
      </c>
      <c r="AJ141" s="9">
        <v>2</v>
      </c>
      <c r="AK141" s="10" t="str">
        <f t="shared" si="17"/>
        <v>普通</v>
      </c>
      <c r="AL141" s="14" t="str">
        <f ca="1">INDEX(経験値!$A$1:$I$20,MATCH(H141,経験値!$A$1:$A$20,FALSE),MATCH(G141,経験値!$A$1:$I$1,FALSE))</f>
        <v>required_exp_150</v>
      </c>
      <c r="AM141" s="11">
        <f ca="1">VLOOKUP(G141,経験値!$A$27:$B$31,2)</f>
        <v>1500</v>
      </c>
      <c r="AN141" s="21">
        <f ca="1">VLOOKUP(G141,ビット!$G$2:$H$7,2)</f>
        <v>300</v>
      </c>
      <c r="AO141" s="100" t="s">
        <v>179</v>
      </c>
      <c r="AP141" s="97">
        <v>514002</v>
      </c>
      <c r="AQ141" s="77" t="e">
        <f ca="1">VLOOKUP($AP141,OFFSET([1]unit_skills!$A$1,0,0,COUNTA([1]unit_skills!$A:$A),MATCH("name",[1]unit_skills!$1:$1,0)-MATCH($AP$1,[1]unit_skills!$1:$1,0)+1),MATCH("name",[1]unit_skills!$1:$1,0)-MATCH($AP$1,[1]unit_skills!$1:$1,0)+1,FALSE)</f>
        <v>#VALUE!</v>
      </c>
      <c r="AR141" s="77" t="e">
        <f ca="1">VLOOKUP($AP141,OFFSET([1]unit_skills!$A$1,0,0,COUNTA([1]unit_skills!$A:$A),MATCH("comment",[1]unit_skills!$1:$1,0)-MATCH($AP$1,[1]unit_skills!$1:$1,0)+1),MATCH("comment",[1]unit_skills!$1:$1,0)-MATCH($AP$1,[1]unit_skills!$1:$1,0)+1,FALSE)</f>
        <v>#VALUE!</v>
      </c>
      <c r="AS141" s="77" t="e">
        <f ca="1">VLOOKUP($AP141,OFFSET([1]unit_skills!$A$1,0,0,COUNTA([1]unit_skills!$A:$A),MATCH(AS$1,[1]unit_skills!$1:$1,0)-MATCH($AP$1,[1]unit_skills!$1:$1,0)+1),MATCH(AS$1,[1]unit_skills!$1:$1,0)-MATCH($AP$1,[1]unit_skills!$1:$1,0)+1,FALSE)</f>
        <v>#VALUE!</v>
      </c>
      <c r="AT141" s="97">
        <v>114003</v>
      </c>
      <c r="AU141" s="77" t="e">
        <f ca="1">VLOOKUP($AT141,OFFSET([1]crash_skills!$A$1,0,0,COUNTA([1]crash_skills!$A:$A),MATCH("name",[1]crash_skills!$1:$1,0)-MATCH($AT$1,[1]crash_skills!$1:$1,0)+1),MATCH("name",[1]crash_skills!$1:$1,0)-MATCH($AT$1,[1]crash_skills!$1:$1,0)+1,FALSE)</f>
        <v>#VALUE!</v>
      </c>
      <c r="AV141" s="77" t="e">
        <f ca="1">VLOOKUP($AT141,OFFSET([1]crash_skills!$A$1,0,0,COUNTA([1]crash_skills!$A:$A),MATCH("comment",[1]crash_skills!$1:$1,0)-MATCH($AT$1,[1]crash_skills!$1:$1,0)+1),MATCH("comment",[1]crash_skills!$1:$1,0)-MATCH($AT$1,[1]crash_skills!$1:$1,0)+1,FALSE)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41" s="77" t="e">
        <f ca="1">VLOOKUP($AT141,OFFSET([1]crash_skills!$A$1,0,0,COUNTA([1]crash_skills!$A:$A),MATCH(AW$1,[1]crash_skills!$1:$1,0)-MATCH($AT$1,[1]crash_skills!$1:$1,0)+1),MATCH(AW$1,[1]crash_skills!$1:$1,0)-MATCH($AT$1,[1]crash_skills!$1:$1,0)+1,FALSE)</f>
        <v>#VALUE!</v>
      </c>
      <c r="AX141" s="81">
        <f ca="1">VLOOKUP($A141,OFFSET([2]characters!$A$1,0,0,COUNTA([2]characters!$A:$A),MATCH(AX$1,[2]characters!$1:$1,0)-MATCH($A$1,[2]characters!$1:$1,0)+1),MATCH(AX$1,[2]characters!$1:$1,0)-MATCH($A$1,[2]characters!$1:$1,0)+1,FALSE)</f>
        <v>3</v>
      </c>
      <c r="AY141" s="19">
        <v>1</v>
      </c>
      <c r="AZ141" s="19">
        <v>1</v>
      </c>
      <c r="BA141" s="19">
        <v>0</v>
      </c>
      <c r="BB141" s="19">
        <v>1</v>
      </c>
      <c r="BC141" s="14">
        <f ca="1">INDEX('RC6SV'!$A$1:$G$20,MATCH(H141,'RC6SV'!$A$1:$A$20,FALSE),MATCH(G141,'RC6SV'!$A$1:$G$1,FALSE))</f>
        <v>4800</v>
      </c>
      <c r="BD141" s="63">
        <f t="shared" ca="1" si="18"/>
        <v>4800</v>
      </c>
      <c r="BE141" s="14">
        <f t="shared" ca="1" si="19"/>
        <v>0</v>
      </c>
      <c r="BF141" s="14">
        <f t="shared" ca="1" si="20"/>
        <v>1</v>
      </c>
      <c r="BG141" s="20">
        <f ca="1">IF($BE141&lt;=0,ROUND(BK141*0.5,0), ROUND($BE141*S141*AA141*J141*AY141*0.8*[2]ステータス!$B$2,0))</f>
        <v>1176</v>
      </c>
      <c r="BH141" s="20">
        <f ca="1">IF($BE141&lt;=0,ROUND(BL141*0.5,0), ROUND($BE141*T141*AB141*K141*AZ141*0.8*[2]ステータス!$C$2,0))</f>
        <v>800</v>
      </c>
      <c r="BI141" s="20">
        <f ca="1">IF($BE141&lt;=0,ROUND(BM141*0.5,0), ROUND($BE141*U141*AC141*L141*BA141*0.8*[2]ステータス!$D$2,0))</f>
        <v>0</v>
      </c>
      <c r="BJ141" s="20">
        <f ca="1">IF($BE141&lt;=0,ROUND(BN141*0.5,0), ROUND($BE141*V141*AD141*M141*BB141*0.8*[2]ステータス!$E$2,0))</f>
        <v>546</v>
      </c>
      <c r="BK141" s="14">
        <f ca="1">ROUND(BD141*S141*AA141*J141*AY141*[2]ステータス!$B$2,0)</f>
        <v>2352</v>
      </c>
      <c r="BL141" s="14">
        <f ca="1">ROUND(BD141*T141*AB141*K141*AZ141*[2]ステータス!$C$2,0)</f>
        <v>1600</v>
      </c>
      <c r="BM141" s="14">
        <f ca="1">ROUND(BD141*U141*AC141*L141*BA141*[2]ステータス!$D$2,0)</f>
        <v>0</v>
      </c>
      <c r="BN141" s="14">
        <f ca="1">ROUND(BD141*V141*AD141*M141*BB141*[2]ステータス!$E$2,0)</f>
        <v>1091</v>
      </c>
      <c r="BO141" s="13">
        <v>0</v>
      </c>
      <c r="BP141" s="13">
        <v>1</v>
      </c>
      <c r="BQ141" s="13" t="s">
        <v>102</v>
      </c>
      <c r="BR141" s="13">
        <f ca="1">VLOOKUP(H141,ghosts_label!$A$2:$B$19,2,FALSE)</f>
        <v>500</v>
      </c>
    </row>
    <row r="142" spans="1:70" ht="21" customHeight="1" x14ac:dyDescent="0.15">
      <c r="A142" s="14">
        <f t="shared" ca="1" si="15"/>
        <v>141</v>
      </c>
      <c r="B142" s="77" t="str">
        <f ca="1">VLOOKUP($A142,OFFSET([2]characters!$A$1,0,0,COUNTA([2]characters!$A:$A),MATCH(B$1,[2]characters!$1:$1,0)-MATCH($A$1,[2]characters!$1:$1,0)+1),MATCH(B$1,[2]characters!$1:$1,0)-MATCH($A$1,[2]characters!$1:$1,0)+1,FALSE)</f>
        <v>妖狐演舞 タマモ</v>
      </c>
      <c r="C142" s="77" t="str">
        <f ca="1">VLOOKUP($A142,OFFSET([2]characters!$A$1,0,0,COUNTA([2]characters!$A:$A),MATCH(C$1,[2]characters!$1:$1,0)-MATCH($A$1,[2]characters!$1:$1,0)+1),MATCH(C$1,[2]characters!$1:$1,0)-MATCH($A$1,[2]characters!$1:$1,0)+1,FALSE)</f>
        <v>初期ガチャ</v>
      </c>
      <c r="D142" s="77" t="str">
        <f ca="1">VLOOKUP($A142,OFFSET([2]characters!$A$1,0,0,COUNTA([2]characters!$A:$A),MATCH(D$1,[2]characters!$1:$1,0)-MATCH($A$1,[2]characters!$1:$1,0)+1),MATCH(D$1,[2]characters!$1:$1,0)-MATCH($A$1,[2]characters!$1:$1,0)+1,FALSE)</f>
        <v>アバター</v>
      </c>
      <c r="E142" s="77" t="str">
        <f ca="1">VLOOKUP($A142,OFFSET([2]characters!$A$1,0,0,COUNTA([2]characters!$A:$A),MATCH(E$1,[2]characters!$1:$1,0)-MATCH($A$1,[2]characters!$1:$1,0)+1),MATCH(E$1,[2]characters!$1:$1,0)-MATCH($A$1,[2]characters!$1:$1,0)+1,FALSE)</f>
        <v>可愛い</v>
      </c>
      <c r="F142" s="77" t="str">
        <f ca="1">VLOOKUP($A142,OFFSET([2]characters!$A$1,0,0,COUNTA([2]characters!$A:$A),MATCH(F$1,[2]characters!$1:$1,0)-MATCH($A$1,[2]characters!$1:$1,0)+1),MATCH(F$1,[2]characters!$1:$1,0)-MATCH($A$1,[2]characters!$1:$1,0)+1,FALSE)</f>
        <v>女性</v>
      </c>
      <c r="G142" s="77">
        <f ca="1">VLOOKUP($A142,OFFSET([2]characters!$A$1,0,0,COUNTA([2]characters!$A:$A),MATCH(G$1,[2]characters!$1:$1,0)-MATCH($A$1,[2]characters!$1:$1,0)+1),MATCH(G$1,[2]characters!$1:$1,0)-MATCH($A$1,[2]characters!$1:$1,0)+1,FALSE)</f>
        <v>4</v>
      </c>
      <c r="H142" s="77" t="str">
        <f ca="1">VLOOKUP($A142,OFFSET([2]characters!$A$1,0,0,COUNTA([2]characters!$A:$A),MATCH(H$1,[2]characters!$1:$1,0)-MATCH($A$1,[2]characters!$1:$1,0)+1),MATCH(H$1,[2]characters!$1:$1,0)-MATCH($A$1,[2]characters!$1:$1,0)+1,FALSE)</f>
        <v>PremiumW</v>
      </c>
      <c r="I142" s="77" t="str">
        <f ca="1">VLOOKUP($A142,OFFSET([2]characters!$A$1,0,0,COUNTA([2]characters!$A:$A),MATCH(I$1,[2]characters!$1:$1,0)-MATCH($A$1,[2]characters!$1:$1,0)+1),MATCH(I$1,[2]characters!$1:$1,0)-MATCH($A$1,[2]characters!$1:$1,0)+1,FALSE)</f>
        <v>yellow</v>
      </c>
      <c r="J142" s="14">
        <f ca="1">VLOOKUP(I142,[2]属性!$A:$E,2,FALSE)</f>
        <v>0.98</v>
      </c>
      <c r="K142" s="14">
        <f ca="1">VLOOKUP(I142,[2]属性!$A:$E,3,FALSE)</f>
        <v>1.01</v>
      </c>
      <c r="L142" s="14">
        <f ca="1">VLOOKUP(I142,[2]属性!$A:$E,4,FALSE)</f>
        <v>1</v>
      </c>
      <c r="M142" s="14">
        <f ca="1">VLOOKUP(I142,[2]属性!$A:$E,5,FALSE)</f>
        <v>1.01</v>
      </c>
      <c r="N142" s="14">
        <f ca="1">INDEX(コスト!$A$1:$I$20,MATCH(H142,コスト!$A$1:$A$20,FALSE),MATCH(G142,コスト!$A$1:$I$1,FALSE))</f>
        <v>16</v>
      </c>
      <c r="O142" s="14">
        <f ca="1">INDEX(レベル!$A$1:$I$21,MATCH(H142,レベル!$A$1:$A$21,FALSE),MATCH(G142,レベル!$A$1:$I$1,FALSE))</f>
        <v>60</v>
      </c>
      <c r="P142" s="63">
        <f t="shared" ca="1" si="21"/>
        <v>60</v>
      </c>
      <c r="Q142" s="77" t="str">
        <f ca="1">VLOOKUP($A142,OFFSET([2]characters!$A$1,0,0,COUNTA([2]characters!$A:$A),MATCH(Q$1,[2]characters!$1:$1,0)-MATCH($A$1,[2]characters!$1:$1,0)+1),MATCH(Q$1,[2]characters!$1:$1,0)-MATCH($A$1,[2]characters!$1:$1,0)+1,FALSE)</f>
        <v>balance</v>
      </c>
      <c r="R142" s="8" t="str">
        <f ca="1">VLOOKUP(Q142,[2]character_type_i18n!$A:$H,3,FALSE)</f>
        <v>バランスタイプ</v>
      </c>
      <c r="S142" s="14">
        <f ca="1">VLOOKUP(Q142,[2]character_type_i18n!$A:$H,4,FALSE)</f>
        <v>1</v>
      </c>
      <c r="T142" s="14">
        <f ca="1">VLOOKUP(Q142,[2]character_type_i18n!$A:$H,5,FALSE)</f>
        <v>1</v>
      </c>
      <c r="U142" s="14">
        <f ca="1">VLOOKUP(Q142,[2]character_type_i18n!$A:$H,6,FALSE)</f>
        <v>1</v>
      </c>
      <c r="V142" s="14">
        <f ca="1">VLOOKUP(Q142,[2]character_type_i18n!$A:$H,7,FALSE)</f>
        <v>1</v>
      </c>
      <c r="W142" s="77" t="str">
        <f ca="1">VLOOKUP($A142,OFFSET([2]characters!$A$1,0,0,COUNTA([2]characters!$A:$A),MATCH(W$1,[2]characters!$1:$1,0)-MATCH($A$1,[2]characters!$1:$1,0)+1),MATCH(W$1,[2]characters!$1:$1,0)-MATCH($A$1,[2]characters!$1:$1,0)+1,FALSE)</f>
        <v>animal</v>
      </c>
      <c r="X142" s="8" t="str">
        <f ca="1">VLOOKUP(W142,[2]character_tribe_i18n!$A:$H,3,FALSE)</f>
        <v>アニマル</v>
      </c>
      <c r="Y142" s="77" t="str">
        <f ca="1">VLOOKUP($A142,OFFSET([2]characters!$A$1,0,0,COUNTA([2]characters!$A:$A),MATCH(Y$1,[2]characters!$1:$1,0)-MATCH($A$1,[2]characters!$1:$1,0)+1),MATCH(Y$1,[2]characters!$1:$1,0)-MATCH($A$1,[2]characters!$1:$1,0)+1,FALSE)</f>
        <v>none</v>
      </c>
      <c r="Z142" s="8" t="str">
        <f ca="1">VLOOKUP(Y142,[2]character_tribe_i18n!$A:$H,3,FALSE)</f>
        <v>種族なし</v>
      </c>
      <c r="AA142" s="14">
        <f ca="1">VLOOKUP(W142,[2]character_tribe_i18n!$A:$H,4,FALSE)</f>
        <v>1</v>
      </c>
      <c r="AB142" s="14">
        <f ca="1">VLOOKUP(W142,[2]character_tribe_i18n!$A:$H,5,FALSE)</f>
        <v>1.1000000000000001</v>
      </c>
      <c r="AC142" s="14">
        <f ca="1">VLOOKUP(W142,[2]character_tribe_i18n!$A:$H,6,FALSE)</f>
        <v>1</v>
      </c>
      <c r="AD142" s="14">
        <f ca="1">VLOOKUP(W142,[2]character_tribe_i18n!$A:$H,7,FALSE)</f>
        <v>0.9</v>
      </c>
      <c r="AE142" s="12" t="s">
        <v>102</v>
      </c>
      <c r="AF142" s="85" t="str">
        <f ca="1">IF(AE142="NULL","",VLOOKUP($AE142,OFFSET([2]characters!$A$1,0,0,COUNTA([2]characters!$A:$A),MATCH(AF$1,[2]characters!$1:$1,0)-MATCH($A$1,[2]characters!$1:$1,0)+1),MATCH(AF$1,[2]characters!$1:$1,0)-MATCH($A$1,[2]characters!$1:$1,0)+1,FALSE))</f>
        <v/>
      </c>
      <c r="AG142" s="8">
        <f t="shared" ca="1" si="16"/>
        <v>140</v>
      </c>
      <c r="AH142" s="85" t="str">
        <f ca="1">VLOOKUP($AG142,OFFSET([2]characters!$A$1,0,0,COUNTA([2]characters!$A:$A),MATCH(AH$1,[2]characters!$1:$1,0)-MATCH($A$1,[2]characters!$1:$1,0)+1),MATCH(AH$1,[2]characters!$1:$1,0)-MATCH($A$1,[2]characters!$1:$1,0)+1,FALSE)</f>
        <v>秋祭のタマモ</v>
      </c>
      <c r="AI142" s="14" t="str">
        <f>IF(AE142="NULL","NULL",VLOOKUP(G142,ビット!$A$2:$B$7,2))</f>
        <v>NULL</v>
      </c>
      <c r="AJ142" s="9">
        <v>2</v>
      </c>
      <c r="AK142" s="10" t="str">
        <f t="shared" si="17"/>
        <v>普通</v>
      </c>
      <c r="AL142" s="14" t="str">
        <f ca="1">INDEX(経験値!$A$1:$I$20,MATCH(H142,経験値!$A$1:$A$20,FALSE),MATCH(G142,経験値!$A$1:$I$1,FALSE))</f>
        <v>required_exp_150</v>
      </c>
      <c r="AM142" s="11">
        <f ca="1">VLOOKUP(G142,経験値!$A$27:$B$31,2)</f>
        <v>3400</v>
      </c>
      <c r="AN142" s="21">
        <f ca="1">VLOOKUP(G142,ビット!$G$2:$H$7,2)</f>
        <v>600</v>
      </c>
      <c r="AO142" s="100" t="s">
        <v>179</v>
      </c>
      <c r="AP142" s="97">
        <v>514002</v>
      </c>
      <c r="AQ142" s="77" t="e">
        <f ca="1">VLOOKUP($AP142,OFFSET([1]unit_skills!$A$1,0,0,COUNTA([1]unit_skills!$A:$A),MATCH("name",[1]unit_skills!$1:$1,0)-MATCH($AP$1,[1]unit_skills!$1:$1,0)+1),MATCH("name",[1]unit_skills!$1:$1,0)-MATCH($AP$1,[1]unit_skills!$1:$1,0)+1,FALSE)</f>
        <v>#VALUE!</v>
      </c>
      <c r="AR142" s="77" t="e">
        <f ca="1">VLOOKUP($AP142,OFFSET([1]unit_skills!$A$1,0,0,COUNTA([1]unit_skills!$A:$A),MATCH("comment",[1]unit_skills!$1:$1,0)-MATCH($AP$1,[1]unit_skills!$1:$1,0)+1),MATCH("comment",[1]unit_skills!$1:$1,0)-MATCH($AP$1,[1]unit_skills!$1:$1,0)+1,FALSE)</f>
        <v>#VALUE!</v>
      </c>
      <c r="AS142" s="77" t="e">
        <f ca="1">VLOOKUP($AP142,OFFSET([1]unit_skills!$A$1,0,0,COUNTA([1]unit_skills!$A:$A),MATCH(AS$1,[1]unit_skills!$1:$1,0)-MATCH($AP$1,[1]unit_skills!$1:$1,0)+1),MATCH(AS$1,[1]unit_skills!$1:$1,0)-MATCH($AP$1,[1]unit_skills!$1:$1,0)+1,FALSE)</f>
        <v>#VALUE!</v>
      </c>
      <c r="AT142" s="97">
        <v>114009</v>
      </c>
      <c r="AU142" s="77" t="e">
        <f ca="1">VLOOKUP($AT142,OFFSET([1]crash_skills!$A$1,0,0,COUNTA([1]crash_skills!$A:$A),MATCH("name",[1]crash_skills!$1:$1,0)-MATCH($AT$1,[1]crash_skills!$1:$1,0)+1),MATCH("name",[1]crash_skills!$1:$1,0)-MATCH($AT$1,[1]crash_skills!$1:$1,0)+1,FALSE)</f>
        <v>#VALUE!</v>
      </c>
      <c r="AV142" s="77" t="e">
        <f ca="1">VLOOKUP($AT142,OFFSET([1]crash_skills!$A$1,0,0,COUNTA([1]crash_skills!$A:$A),MATCH("comment",[1]crash_skills!$1:$1,0)-MATCH($AT$1,[1]crash_skills!$1:$1,0)+1),MATCH("comment",[1]crash_skills!$1:$1,0)-MATCH($AT$1,[1]crash_skills!$1:$1,0)+1,FALSE)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42" s="77" t="e">
        <f ca="1">VLOOKUP($AT142,OFFSET([1]crash_skills!$A$1,0,0,COUNTA([1]crash_skills!$A:$A),MATCH(AW$1,[1]crash_skills!$1:$1,0)-MATCH($AT$1,[1]crash_skills!$1:$1,0)+1),MATCH(AW$1,[1]crash_skills!$1:$1,0)-MATCH($AT$1,[1]crash_skills!$1:$1,0)+1,FALSE)</f>
        <v>#VALUE!</v>
      </c>
      <c r="AX142" s="81">
        <f ca="1">VLOOKUP($A142,OFFSET([2]characters!$A$1,0,0,COUNTA([2]characters!$A:$A),MATCH(AX$1,[2]characters!$1:$1,0)-MATCH($A$1,[2]characters!$1:$1,0)+1),MATCH(AX$1,[2]characters!$1:$1,0)-MATCH($A$1,[2]characters!$1:$1,0)+1,FALSE)</f>
        <v>3</v>
      </c>
      <c r="AY142" s="19">
        <v>1</v>
      </c>
      <c r="AZ142" s="19">
        <v>1</v>
      </c>
      <c r="BA142" s="19">
        <v>0</v>
      </c>
      <c r="BB142" s="19">
        <v>1</v>
      </c>
      <c r="BC142" s="14">
        <f ca="1">INDEX('RC6SV'!$A$1:$G$20,MATCH(H142,'RC6SV'!$A$1:$A$20,FALSE),MATCH(G142,'RC6SV'!$A$1:$G$1,FALSE))</f>
        <v>6600</v>
      </c>
      <c r="BD142" s="63">
        <f t="shared" ca="1" si="18"/>
        <v>6600</v>
      </c>
      <c r="BE142" s="14">
        <f t="shared" ca="1" si="19"/>
        <v>4800</v>
      </c>
      <c r="BF142" s="14">
        <f t="shared" ca="1" si="20"/>
        <v>1</v>
      </c>
      <c r="BG142" s="20">
        <f ca="1">IF($BE142&lt;=0,ROUND(BK142*0.5,0), ROUND($BE142*S142*AA142*J142*AY142*0.8*[2]ステータス!$B$2,0))</f>
        <v>1882</v>
      </c>
      <c r="BH142" s="20">
        <f ca="1">IF($BE142&lt;=0,ROUND(BL142*0.5,0), ROUND($BE142*T142*AB142*K142*AZ142*0.8*[2]ステータス!$C$2,0))</f>
        <v>1280</v>
      </c>
      <c r="BI142" s="20">
        <f ca="1">IF($BE142&lt;=0,ROUND(BM142*0.5,0), ROUND($BE142*U142*AC142*L142*BA142*0.8*[2]ステータス!$D$2,0))</f>
        <v>0</v>
      </c>
      <c r="BJ142" s="20">
        <f ca="1">IF($BE142&lt;=0,ROUND(BN142*0.5,0), ROUND($BE142*V142*AD142*M142*BB142*0.8*[2]ステータス!$E$2,0))</f>
        <v>873</v>
      </c>
      <c r="BK142" s="14">
        <f ca="1">ROUND(BD142*S142*AA142*J142*AY142*[2]ステータス!$B$2,0)</f>
        <v>3234</v>
      </c>
      <c r="BL142" s="14">
        <f ca="1">ROUND(BD142*T142*AB142*K142*AZ142*[2]ステータス!$C$2,0)</f>
        <v>2200</v>
      </c>
      <c r="BM142" s="14">
        <f ca="1">ROUND(BD142*U142*AC142*L142*BA142*[2]ステータス!$D$2,0)</f>
        <v>0</v>
      </c>
      <c r="BN142" s="14">
        <f ca="1">ROUND(BD142*V142*AD142*M142*BB142*[2]ステータス!$E$2,0)</f>
        <v>1500</v>
      </c>
      <c r="BO142" s="13">
        <v>0</v>
      </c>
      <c r="BP142" s="13">
        <v>1</v>
      </c>
      <c r="BQ142" s="13" t="s">
        <v>102</v>
      </c>
      <c r="BR142" s="13">
        <f ca="1">VLOOKUP(H142,ghosts_label!$A$2:$B$19,2,FALSE)</f>
        <v>500</v>
      </c>
    </row>
    <row r="143" spans="1:70" ht="21" customHeight="1" x14ac:dyDescent="0.15">
      <c r="A143" s="14">
        <f t="shared" ca="1" si="15"/>
        <v>142</v>
      </c>
      <c r="B143" s="77" t="str">
        <f ca="1">VLOOKUP($A143,OFFSET([2]characters!$A$1,0,0,COUNTA([2]characters!$A:$A),MATCH(B$1,[2]characters!$1:$1,0)-MATCH($A$1,[2]characters!$1:$1,0)+1),MATCH(B$1,[2]characters!$1:$1,0)-MATCH($A$1,[2]characters!$1:$1,0)+1,FALSE)</f>
        <v>赤ずきん</v>
      </c>
      <c r="C143" s="77" t="str">
        <f ca="1">VLOOKUP($A143,OFFSET([2]characters!$A$1,0,0,COUNTA([2]characters!$A:$A),MATCH(C$1,[2]characters!$1:$1,0)-MATCH($A$1,[2]characters!$1:$1,0)+1),MATCH(C$1,[2]characters!$1:$1,0)-MATCH($A$1,[2]characters!$1:$1,0)+1,FALSE)</f>
        <v>初期ガチャ</v>
      </c>
      <c r="D143" s="77" t="str">
        <f ca="1">VLOOKUP($A143,OFFSET([2]characters!$A$1,0,0,COUNTA([2]characters!$A:$A),MATCH(D$1,[2]characters!$1:$1,0)-MATCH($A$1,[2]characters!$1:$1,0)+1),MATCH(D$1,[2]characters!$1:$1,0)-MATCH($A$1,[2]characters!$1:$1,0)+1,FALSE)</f>
        <v>アバター</v>
      </c>
      <c r="E143" s="77" t="str">
        <f ca="1">VLOOKUP($A143,OFFSET([2]characters!$A$1,0,0,COUNTA([2]characters!$A:$A),MATCH(E$1,[2]characters!$1:$1,0)-MATCH($A$1,[2]characters!$1:$1,0)+1),MATCH(E$1,[2]characters!$1:$1,0)-MATCH($A$1,[2]characters!$1:$1,0)+1,FALSE)</f>
        <v>可愛い</v>
      </c>
      <c r="F143" s="77" t="str">
        <f ca="1">VLOOKUP($A143,OFFSET([2]characters!$A$1,0,0,COUNTA([2]characters!$A:$A),MATCH(F$1,[2]characters!$1:$1,0)-MATCH($A$1,[2]characters!$1:$1,0)+1),MATCH(F$1,[2]characters!$1:$1,0)-MATCH($A$1,[2]characters!$1:$1,0)+1,FALSE)</f>
        <v>女性</v>
      </c>
      <c r="G143" s="77">
        <f ca="1">VLOOKUP($A143,OFFSET([2]characters!$A$1,0,0,COUNTA([2]characters!$A:$A),MATCH(G$1,[2]characters!$1:$1,0)-MATCH($A$1,[2]characters!$1:$1,0)+1),MATCH(G$1,[2]characters!$1:$1,0)-MATCH($A$1,[2]characters!$1:$1,0)+1,FALSE)</f>
        <v>3</v>
      </c>
      <c r="H143" s="77" t="str">
        <f ca="1">VLOOKUP($A143,OFFSET([2]characters!$A$1,0,0,COUNTA([2]characters!$A:$A),MATCH(H$1,[2]characters!$1:$1,0)-MATCH($A$1,[2]characters!$1:$1,0)+1),MATCH(H$1,[2]characters!$1:$1,0)-MATCH($A$1,[2]characters!$1:$1,0)+1,FALSE)</f>
        <v>PremiumW</v>
      </c>
      <c r="I143" s="77" t="str">
        <f ca="1">VLOOKUP($A143,OFFSET([2]characters!$A$1,0,0,COUNTA([2]characters!$A:$A),MATCH(I$1,[2]characters!$1:$1,0)-MATCH($A$1,[2]characters!$1:$1,0)+1),MATCH(I$1,[2]characters!$1:$1,0)-MATCH($A$1,[2]characters!$1:$1,0)+1,FALSE)</f>
        <v>red</v>
      </c>
      <c r="J143" s="14">
        <f ca="1">VLOOKUP(I143,[2]属性!$A:$E,2,FALSE)</f>
        <v>1</v>
      </c>
      <c r="K143" s="14">
        <f ca="1">VLOOKUP(I143,[2]属性!$A:$E,3,FALSE)</f>
        <v>1.02</v>
      </c>
      <c r="L143" s="14">
        <f ca="1">VLOOKUP(I143,[2]属性!$A:$E,4,FALSE)</f>
        <v>1</v>
      </c>
      <c r="M143" s="14">
        <f ca="1">VLOOKUP(I143,[2]属性!$A:$E,5,FALSE)</f>
        <v>0.98</v>
      </c>
      <c r="N143" s="14">
        <f ca="1">INDEX(コスト!$A$1:$I$20,MATCH(H143,コスト!$A$1:$A$20,FALSE),MATCH(G143,コスト!$A$1:$I$1,FALSE))</f>
        <v>7</v>
      </c>
      <c r="O143" s="14">
        <f ca="1">INDEX(レベル!$A$1:$I$21,MATCH(H143,レベル!$A$1:$A$21,FALSE),MATCH(G143,レベル!$A$1:$I$1,FALSE))</f>
        <v>40</v>
      </c>
      <c r="P143" s="63">
        <f t="shared" ca="1" si="21"/>
        <v>45</v>
      </c>
      <c r="Q143" s="77" t="str">
        <f ca="1">VLOOKUP($A143,OFFSET([2]characters!$A$1,0,0,COUNTA([2]characters!$A:$A),MATCH(Q$1,[2]characters!$1:$1,0)-MATCH($A$1,[2]characters!$1:$1,0)+1),MATCH(Q$1,[2]characters!$1:$1,0)-MATCH($A$1,[2]characters!$1:$1,0)+1,FALSE)</f>
        <v>balance</v>
      </c>
      <c r="R143" s="8" t="str">
        <f ca="1">VLOOKUP(Q143,[2]character_type_i18n!$A:$H,3,FALSE)</f>
        <v>バランスタイプ</v>
      </c>
      <c r="S143" s="14">
        <f ca="1">VLOOKUP(Q143,[2]character_type_i18n!$A:$H,4,FALSE)</f>
        <v>1</v>
      </c>
      <c r="T143" s="14">
        <f ca="1">VLOOKUP(Q143,[2]character_type_i18n!$A:$H,5,FALSE)</f>
        <v>1</v>
      </c>
      <c r="U143" s="14">
        <f ca="1">VLOOKUP(Q143,[2]character_type_i18n!$A:$H,6,FALSE)</f>
        <v>1</v>
      </c>
      <c r="V143" s="14">
        <f ca="1">VLOOKUP(Q143,[2]character_type_i18n!$A:$H,7,FALSE)</f>
        <v>1</v>
      </c>
      <c r="W143" s="77" t="str">
        <f ca="1">VLOOKUP($A143,OFFSET([2]characters!$A$1,0,0,COUNTA([2]characters!$A:$A),MATCH(W$1,[2]characters!$1:$1,0)-MATCH($A$1,[2]characters!$1:$1,0)+1),MATCH(W$1,[2]characters!$1:$1,0)-MATCH($A$1,[2]characters!$1:$1,0)+1,FALSE)</f>
        <v>human</v>
      </c>
      <c r="X143" s="8" t="str">
        <f ca="1">VLOOKUP(W143,[2]character_tribe_i18n!$A:$H,3,FALSE)</f>
        <v>ヒューマン</v>
      </c>
      <c r="Y143" s="77" t="str">
        <f ca="1">VLOOKUP($A143,OFFSET([2]characters!$A$1,0,0,COUNTA([2]characters!$A:$A),MATCH(Y$1,[2]characters!$1:$1,0)-MATCH($A$1,[2]characters!$1:$1,0)+1),MATCH(Y$1,[2]characters!$1:$1,0)-MATCH($A$1,[2]characters!$1:$1,0)+1,FALSE)</f>
        <v>none</v>
      </c>
      <c r="Z143" s="8" t="str">
        <f ca="1">VLOOKUP(Y143,[2]character_tribe_i18n!$A:$H,3,FALSE)</f>
        <v>種族なし</v>
      </c>
      <c r="AA143" s="14">
        <f ca="1">VLOOKUP(W143,[2]character_tribe_i18n!$A:$H,4,FALSE)</f>
        <v>0.94</v>
      </c>
      <c r="AB143" s="14">
        <f ca="1">VLOOKUP(W143,[2]character_tribe_i18n!$A:$H,5,FALSE)</f>
        <v>0.99</v>
      </c>
      <c r="AC143" s="14">
        <f ca="1">VLOOKUP(W143,[2]character_tribe_i18n!$A:$H,6,FALSE)</f>
        <v>1</v>
      </c>
      <c r="AD143" s="14">
        <f ca="1">VLOOKUP(W143,[2]character_tribe_i18n!$A:$H,7,FALSE)</f>
        <v>1.07</v>
      </c>
      <c r="AE143" s="12">
        <v>143</v>
      </c>
      <c r="AF143" s="85" t="str">
        <f ca="1">IF(AE143="NULL","",VLOOKUP($AE143,OFFSET([2]characters!$A$1,0,0,COUNTA([2]characters!$A:$A),MATCH(AF$1,[2]characters!$1:$1,0)-MATCH($A$1,[2]characters!$1:$1,0)+1),MATCH(AF$1,[2]characters!$1:$1,0)-MATCH($A$1,[2]characters!$1:$1,0)+1,FALSE))</f>
        <v>深紅の死神 赤ずきん</v>
      </c>
      <c r="AG143" s="8">
        <f t="shared" ca="1" si="16"/>
        <v>142</v>
      </c>
      <c r="AH143" s="85" t="str">
        <f ca="1">VLOOKUP($AG143,OFFSET([2]characters!$A$1,0,0,COUNTA([2]characters!$A:$A),MATCH(AH$1,[2]characters!$1:$1,0)-MATCH($A$1,[2]characters!$1:$1,0)+1),MATCH(AH$1,[2]characters!$1:$1,0)-MATCH($A$1,[2]characters!$1:$1,0)+1,FALSE)</f>
        <v>赤ずきん</v>
      </c>
      <c r="AI143" s="14">
        <f ca="1">IF(AE143="NULL","NULL",VLOOKUP(G143,ビット!$A$2:$B$7,2))</f>
        <v>20000</v>
      </c>
      <c r="AJ143" s="9">
        <v>2</v>
      </c>
      <c r="AK143" s="10" t="str">
        <f t="shared" si="17"/>
        <v>普通</v>
      </c>
      <c r="AL143" s="14" t="str">
        <f ca="1">INDEX(経験値!$A$1:$I$20,MATCH(H143,経験値!$A$1:$A$20,FALSE),MATCH(G143,経験値!$A$1:$I$1,FALSE))</f>
        <v>required_exp_150</v>
      </c>
      <c r="AM143" s="11">
        <f ca="1">VLOOKUP(G143,経験値!$A$27:$B$31,2)</f>
        <v>1500</v>
      </c>
      <c r="AN143" s="21">
        <f ca="1">VLOOKUP(G143,ビット!$G$2:$H$7,2)</f>
        <v>300</v>
      </c>
      <c r="AO143" s="64" t="s">
        <v>180</v>
      </c>
      <c r="AP143" s="97">
        <v>530006</v>
      </c>
      <c r="AQ143" s="77" t="e">
        <f ca="1">VLOOKUP($AP143,OFFSET([1]unit_skills!$A$1,0,0,COUNTA([1]unit_skills!$A:$A),MATCH("name",[1]unit_skills!$1:$1,0)-MATCH($AP$1,[1]unit_skills!$1:$1,0)+1),MATCH("name",[1]unit_skills!$1:$1,0)-MATCH($AP$1,[1]unit_skills!$1:$1,0)+1,FALSE)</f>
        <v>#VALUE!</v>
      </c>
      <c r="AR143" s="77" t="e">
        <f ca="1">VLOOKUP($AP143,OFFSET([1]unit_skills!$A$1,0,0,COUNTA([1]unit_skills!$A:$A),MATCH("comment",[1]unit_skills!$1:$1,0)-MATCH($AP$1,[1]unit_skills!$1:$1,0)+1),MATCH("comment",[1]unit_skills!$1:$1,0)-MATCH($AP$1,[1]unit_skills!$1:$1,0)+1,FALSE)</f>
        <v>#VALUE!</v>
      </c>
      <c r="AS143" s="77" t="e">
        <f ca="1">VLOOKUP($AP143,OFFSET([1]unit_skills!$A$1,0,0,COUNTA([1]unit_skills!$A:$A),MATCH(AS$1,[1]unit_skills!$1:$1,0)-MATCH($AP$1,[1]unit_skills!$1:$1,0)+1),MATCH(AS$1,[1]unit_skills!$1:$1,0)-MATCH($AP$1,[1]unit_skills!$1:$1,0)+1,FALSE)</f>
        <v>#VALUE!</v>
      </c>
      <c r="AT143" s="97">
        <v>111103</v>
      </c>
      <c r="AU143" s="77" t="e">
        <f ca="1">VLOOKUP($AT143,OFFSET([1]crash_skills!$A$1,0,0,COUNTA([1]crash_skills!$A:$A),MATCH("name",[1]crash_skills!$1:$1,0)-MATCH($AT$1,[1]crash_skills!$1:$1,0)+1),MATCH("name",[1]crash_skills!$1:$1,0)-MATCH($AT$1,[1]crash_skills!$1:$1,0)+1,FALSE)</f>
        <v>#VALUE!</v>
      </c>
      <c r="AV143" s="77" t="e">
        <f ca="1">VLOOKUP($AT143,OFFSET([1]crash_skills!$A$1,0,0,COUNTA([1]crash_skills!$A:$A),MATCH("comment",[1]crash_skills!$1:$1,0)-MATCH($AT$1,[1]crash_skills!$1:$1,0)+1),MATCH("comment",[1]crash_skills!$1:$1,0)-MATCH($AT$1,[1]crash_skills!$1:$1,0)+1,FALSE)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43" s="77" t="e">
        <f ca="1">VLOOKUP($AT143,OFFSET([1]crash_skills!$A$1,0,0,COUNTA([1]crash_skills!$A:$A),MATCH(AW$1,[1]crash_skills!$1:$1,0)-MATCH($AT$1,[1]crash_skills!$1:$1,0)+1),MATCH(AW$1,[1]crash_skills!$1:$1,0)-MATCH($AT$1,[1]crash_skills!$1:$1,0)+1,FALSE)</f>
        <v>#VALUE!</v>
      </c>
      <c r="AX143" s="81">
        <f ca="1">VLOOKUP($A143,OFFSET([2]characters!$A$1,0,0,COUNTA([2]characters!$A:$A),MATCH(AX$1,[2]characters!$1:$1,0)-MATCH($A$1,[2]characters!$1:$1,0)+1),MATCH(AX$1,[2]characters!$1:$1,0)-MATCH($A$1,[2]characters!$1:$1,0)+1,FALSE)</f>
        <v>3</v>
      </c>
      <c r="AY143" s="19">
        <v>1</v>
      </c>
      <c r="AZ143" s="19">
        <v>1</v>
      </c>
      <c r="BA143" s="19">
        <v>0</v>
      </c>
      <c r="BB143" s="19">
        <v>1</v>
      </c>
      <c r="BC143" s="14">
        <f ca="1">INDEX('RC6SV'!$A$1:$G$20,MATCH(H143,'RC6SV'!$A$1:$A$20,FALSE),MATCH(G143,'RC6SV'!$A$1:$G$1,FALSE))</f>
        <v>4800</v>
      </c>
      <c r="BD143" s="63">
        <f t="shared" ca="1" si="18"/>
        <v>4800</v>
      </c>
      <c r="BE143" s="14">
        <f t="shared" ca="1" si="19"/>
        <v>0</v>
      </c>
      <c r="BF143" s="14">
        <f t="shared" ca="1" si="20"/>
        <v>1</v>
      </c>
      <c r="BG143" s="20">
        <f ca="1">IF($BE143&lt;=0,ROUND(BK143*0.5,0), ROUND($BE143*S143*AA143*J143*AY143*0.8*[2]ステータス!$B$2,0))</f>
        <v>1128</v>
      </c>
      <c r="BH143" s="20">
        <f ca="1">IF($BE143&lt;=0,ROUND(BL143*0.5,0), ROUND($BE143*T143*AB143*K143*AZ143*0.8*[2]ステータス!$C$2,0))</f>
        <v>727</v>
      </c>
      <c r="BI143" s="20">
        <f ca="1">IF($BE143&lt;=0,ROUND(BM143*0.5,0), ROUND($BE143*U143*AC143*L143*BA143*0.8*[2]ステータス!$D$2,0))</f>
        <v>0</v>
      </c>
      <c r="BJ143" s="20">
        <f ca="1">IF($BE143&lt;=0,ROUND(BN143*0.5,0), ROUND($BE143*V143*AD143*M143*BB143*0.8*[2]ステータス!$E$2,0))</f>
        <v>629</v>
      </c>
      <c r="BK143" s="14">
        <f ca="1">ROUND(BD143*S143*AA143*J143*AY143*[2]ステータス!$B$2,0)</f>
        <v>2256</v>
      </c>
      <c r="BL143" s="14">
        <f ca="1">ROUND(BD143*T143*AB143*K143*AZ143*[2]ステータス!$C$2,0)</f>
        <v>1454</v>
      </c>
      <c r="BM143" s="14">
        <f ca="1">ROUND(BD143*U143*AC143*L143*BA143*[2]ステータス!$D$2,0)</f>
        <v>0</v>
      </c>
      <c r="BN143" s="14">
        <f ca="1">ROUND(BD143*V143*AD143*M143*BB143*[2]ステータス!$E$2,0)</f>
        <v>1258</v>
      </c>
      <c r="BO143" s="13">
        <v>0</v>
      </c>
      <c r="BP143" s="13">
        <v>1</v>
      </c>
      <c r="BQ143" s="13" t="s">
        <v>102</v>
      </c>
      <c r="BR143" s="13">
        <f ca="1">VLOOKUP(H143,ghosts_label!$A$2:$B$19,2,FALSE)</f>
        <v>500</v>
      </c>
    </row>
    <row r="144" spans="1:70" ht="21" customHeight="1" x14ac:dyDescent="0.15">
      <c r="A144" s="14">
        <f t="shared" ca="1" si="15"/>
        <v>143</v>
      </c>
      <c r="B144" s="77" t="str">
        <f ca="1">VLOOKUP($A144,OFFSET([2]characters!$A$1,0,0,COUNTA([2]characters!$A:$A),MATCH(B$1,[2]characters!$1:$1,0)-MATCH($A$1,[2]characters!$1:$1,0)+1),MATCH(B$1,[2]characters!$1:$1,0)-MATCH($A$1,[2]characters!$1:$1,0)+1,FALSE)</f>
        <v>深紅の死神 赤ずきん</v>
      </c>
      <c r="C144" s="77" t="str">
        <f ca="1">VLOOKUP($A144,OFFSET([2]characters!$A$1,0,0,COUNTA([2]characters!$A:$A),MATCH(C$1,[2]characters!$1:$1,0)-MATCH($A$1,[2]characters!$1:$1,0)+1),MATCH(C$1,[2]characters!$1:$1,0)-MATCH($A$1,[2]characters!$1:$1,0)+1,FALSE)</f>
        <v>初期ガチャ</v>
      </c>
      <c r="D144" s="77" t="str">
        <f ca="1">VLOOKUP($A144,OFFSET([2]characters!$A$1,0,0,COUNTA([2]characters!$A:$A),MATCH(D$1,[2]characters!$1:$1,0)-MATCH($A$1,[2]characters!$1:$1,0)+1),MATCH(D$1,[2]characters!$1:$1,0)-MATCH($A$1,[2]characters!$1:$1,0)+1,FALSE)</f>
        <v>アバター</v>
      </c>
      <c r="E144" s="77" t="str">
        <f ca="1">VLOOKUP($A144,OFFSET([2]characters!$A$1,0,0,COUNTA([2]characters!$A:$A),MATCH(E$1,[2]characters!$1:$1,0)-MATCH($A$1,[2]characters!$1:$1,0)+1),MATCH(E$1,[2]characters!$1:$1,0)-MATCH($A$1,[2]characters!$1:$1,0)+1,FALSE)</f>
        <v>可愛い</v>
      </c>
      <c r="F144" s="77" t="str">
        <f ca="1">VLOOKUP($A144,OFFSET([2]characters!$A$1,0,0,COUNTA([2]characters!$A:$A),MATCH(F$1,[2]characters!$1:$1,0)-MATCH($A$1,[2]characters!$1:$1,0)+1),MATCH(F$1,[2]characters!$1:$1,0)-MATCH($A$1,[2]characters!$1:$1,0)+1,FALSE)</f>
        <v>女性</v>
      </c>
      <c r="G144" s="77">
        <f ca="1">VLOOKUP($A144,OFFSET([2]characters!$A$1,0,0,COUNTA([2]characters!$A:$A),MATCH(G$1,[2]characters!$1:$1,0)-MATCH($A$1,[2]characters!$1:$1,0)+1),MATCH(G$1,[2]characters!$1:$1,0)-MATCH($A$1,[2]characters!$1:$1,0)+1,FALSE)</f>
        <v>4</v>
      </c>
      <c r="H144" s="77" t="str">
        <f ca="1">VLOOKUP($A144,OFFSET([2]characters!$A$1,0,0,COUNTA([2]characters!$A:$A),MATCH(H$1,[2]characters!$1:$1,0)-MATCH($A$1,[2]characters!$1:$1,0)+1),MATCH(H$1,[2]characters!$1:$1,0)-MATCH($A$1,[2]characters!$1:$1,0)+1,FALSE)</f>
        <v>PremiumW</v>
      </c>
      <c r="I144" s="77" t="str">
        <f ca="1">VLOOKUP($A144,OFFSET([2]characters!$A$1,0,0,COUNTA([2]characters!$A:$A),MATCH(I$1,[2]characters!$1:$1,0)-MATCH($A$1,[2]characters!$1:$1,0)+1),MATCH(I$1,[2]characters!$1:$1,0)-MATCH($A$1,[2]characters!$1:$1,0)+1,FALSE)</f>
        <v>red</v>
      </c>
      <c r="J144" s="14">
        <f ca="1">VLOOKUP(I144,[2]属性!$A:$E,2,FALSE)</f>
        <v>1</v>
      </c>
      <c r="K144" s="14">
        <f ca="1">VLOOKUP(I144,[2]属性!$A:$E,3,FALSE)</f>
        <v>1.02</v>
      </c>
      <c r="L144" s="14">
        <f ca="1">VLOOKUP(I144,[2]属性!$A:$E,4,FALSE)</f>
        <v>1</v>
      </c>
      <c r="M144" s="14">
        <f ca="1">VLOOKUP(I144,[2]属性!$A:$E,5,FALSE)</f>
        <v>0.98</v>
      </c>
      <c r="N144" s="14">
        <f ca="1">INDEX(コスト!$A$1:$I$20,MATCH(H144,コスト!$A$1:$A$20,FALSE),MATCH(G144,コスト!$A$1:$I$1,FALSE))</f>
        <v>16</v>
      </c>
      <c r="O144" s="14">
        <f ca="1">INDEX(レベル!$A$1:$I$21,MATCH(H144,レベル!$A$1:$A$21,FALSE),MATCH(G144,レベル!$A$1:$I$1,FALSE))</f>
        <v>60</v>
      </c>
      <c r="P144" s="63">
        <f t="shared" ca="1" si="21"/>
        <v>60</v>
      </c>
      <c r="Q144" s="77" t="str">
        <f ca="1">VLOOKUP($A144,OFFSET([2]characters!$A$1,0,0,COUNTA([2]characters!$A:$A),MATCH(Q$1,[2]characters!$1:$1,0)-MATCH($A$1,[2]characters!$1:$1,0)+1),MATCH(Q$1,[2]characters!$1:$1,0)-MATCH($A$1,[2]characters!$1:$1,0)+1,FALSE)</f>
        <v>balance</v>
      </c>
      <c r="R144" s="8" t="str">
        <f ca="1">VLOOKUP(Q144,[2]character_type_i18n!$A:$H,3,FALSE)</f>
        <v>バランスタイプ</v>
      </c>
      <c r="S144" s="14">
        <f ca="1">VLOOKUP(Q144,[2]character_type_i18n!$A:$H,4,FALSE)</f>
        <v>1</v>
      </c>
      <c r="T144" s="14">
        <f ca="1">VLOOKUP(Q144,[2]character_type_i18n!$A:$H,5,FALSE)</f>
        <v>1</v>
      </c>
      <c r="U144" s="14">
        <f ca="1">VLOOKUP(Q144,[2]character_type_i18n!$A:$H,6,FALSE)</f>
        <v>1</v>
      </c>
      <c r="V144" s="14">
        <f ca="1">VLOOKUP(Q144,[2]character_type_i18n!$A:$H,7,FALSE)</f>
        <v>1</v>
      </c>
      <c r="W144" s="77" t="str">
        <f ca="1">VLOOKUP($A144,OFFSET([2]characters!$A$1,0,0,COUNTA([2]characters!$A:$A),MATCH(W$1,[2]characters!$1:$1,0)-MATCH($A$1,[2]characters!$1:$1,0)+1),MATCH(W$1,[2]characters!$1:$1,0)-MATCH($A$1,[2]characters!$1:$1,0)+1,FALSE)</f>
        <v>human</v>
      </c>
      <c r="X144" s="8" t="str">
        <f ca="1">VLOOKUP(W144,[2]character_tribe_i18n!$A:$H,3,FALSE)</f>
        <v>ヒューマン</v>
      </c>
      <c r="Y144" s="77" t="str">
        <f ca="1">VLOOKUP($A144,OFFSET([2]characters!$A$1,0,0,COUNTA([2]characters!$A:$A),MATCH(Y$1,[2]characters!$1:$1,0)-MATCH($A$1,[2]characters!$1:$1,0)+1),MATCH(Y$1,[2]characters!$1:$1,0)-MATCH($A$1,[2]characters!$1:$1,0)+1,FALSE)</f>
        <v>none</v>
      </c>
      <c r="Z144" s="8" t="str">
        <f ca="1">VLOOKUP(Y144,[2]character_tribe_i18n!$A:$H,3,FALSE)</f>
        <v>種族なし</v>
      </c>
      <c r="AA144" s="14">
        <f ca="1">VLOOKUP(W144,[2]character_tribe_i18n!$A:$H,4,FALSE)</f>
        <v>0.94</v>
      </c>
      <c r="AB144" s="14">
        <f ca="1">VLOOKUP(W144,[2]character_tribe_i18n!$A:$H,5,FALSE)</f>
        <v>0.99</v>
      </c>
      <c r="AC144" s="14">
        <f ca="1">VLOOKUP(W144,[2]character_tribe_i18n!$A:$H,6,FALSE)</f>
        <v>1</v>
      </c>
      <c r="AD144" s="14">
        <f ca="1">VLOOKUP(W144,[2]character_tribe_i18n!$A:$H,7,FALSE)</f>
        <v>1.07</v>
      </c>
      <c r="AE144" s="12" t="s">
        <v>102</v>
      </c>
      <c r="AF144" s="85" t="str">
        <f ca="1">IF(AE144="NULL","",VLOOKUP($AE144,OFFSET([2]characters!$A$1,0,0,COUNTA([2]characters!$A:$A),MATCH(AF$1,[2]characters!$1:$1,0)-MATCH($A$1,[2]characters!$1:$1,0)+1),MATCH(AF$1,[2]characters!$1:$1,0)-MATCH($A$1,[2]characters!$1:$1,0)+1,FALSE))</f>
        <v/>
      </c>
      <c r="AG144" s="8">
        <f t="shared" ca="1" si="16"/>
        <v>142</v>
      </c>
      <c r="AH144" s="85" t="str">
        <f ca="1">VLOOKUP($AG144,OFFSET([2]characters!$A$1,0,0,COUNTA([2]characters!$A:$A),MATCH(AH$1,[2]characters!$1:$1,0)-MATCH($A$1,[2]characters!$1:$1,0)+1),MATCH(AH$1,[2]characters!$1:$1,0)-MATCH($A$1,[2]characters!$1:$1,0)+1,FALSE)</f>
        <v>赤ずきん</v>
      </c>
      <c r="AI144" s="14" t="str">
        <f>IF(AE144="NULL","NULL",VLOOKUP(G144,ビット!$A$2:$B$7,2))</f>
        <v>NULL</v>
      </c>
      <c r="AJ144" s="9">
        <v>2</v>
      </c>
      <c r="AK144" s="10" t="str">
        <f t="shared" si="17"/>
        <v>普通</v>
      </c>
      <c r="AL144" s="14" t="str">
        <f ca="1">INDEX(経験値!$A$1:$I$20,MATCH(H144,経験値!$A$1:$A$20,FALSE),MATCH(G144,経験値!$A$1:$I$1,FALSE))</f>
        <v>required_exp_150</v>
      </c>
      <c r="AM144" s="11">
        <f ca="1">VLOOKUP(G144,経験値!$A$27:$B$31,2)</f>
        <v>3400</v>
      </c>
      <c r="AN144" s="21">
        <f ca="1">VLOOKUP(G144,ビット!$G$2:$H$7,2)</f>
        <v>600</v>
      </c>
      <c r="AO144" s="64" t="s">
        <v>180</v>
      </c>
      <c r="AP144" s="97">
        <v>530007</v>
      </c>
      <c r="AQ144" s="77" t="e">
        <f ca="1">VLOOKUP($AP144,OFFSET([1]unit_skills!$A$1,0,0,COUNTA([1]unit_skills!$A:$A),MATCH("name",[1]unit_skills!$1:$1,0)-MATCH($AP$1,[1]unit_skills!$1:$1,0)+1),MATCH("name",[1]unit_skills!$1:$1,0)-MATCH($AP$1,[1]unit_skills!$1:$1,0)+1,FALSE)</f>
        <v>#VALUE!</v>
      </c>
      <c r="AR144" s="77" t="e">
        <f ca="1">VLOOKUP($AP144,OFFSET([1]unit_skills!$A$1,0,0,COUNTA([1]unit_skills!$A:$A),MATCH("comment",[1]unit_skills!$1:$1,0)-MATCH($AP$1,[1]unit_skills!$1:$1,0)+1),MATCH("comment",[1]unit_skills!$1:$1,0)-MATCH($AP$1,[1]unit_skills!$1:$1,0)+1,FALSE)</f>
        <v>#VALUE!</v>
      </c>
      <c r="AS144" s="77" t="e">
        <f ca="1">VLOOKUP($AP144,OFFSET([1]unit_skills!$A$1,0,0,COUNTA([1]unit_skills!$A:$A),MATCH(AS$1,[1]unit_skills!$1:$1,0)-MATCH($AP$1,[1]unit_skills!$1:$1,0)+1),MATCH(AS$1,[1]unit_skills!$1:$1,0)-MATCH($AP$1,[1]unit_skills!$1:$1,0)+1,FALSE)</f>
        <v>#VALUE!</v>
      </c>
      <c r="AT144" s="97">
        <v>111109</v>
      </c>
      <c r="AU144" s="77" t="e">
        <f ca="1">VLOOKUP($AT144,OFFSET([1]crash_skills!$A$1,0,0,COUNTA([1]crash_skills!$A:$A),MATCH("name",[1]crash_skills!$1:$1,0)-MATCH($AT$1,[1]crash_skills!$1:$1,0)+1),MATCH("name",[1]crash_skills!$1:$1,0)-MATCH($AT$1,[1]crash_skills!$1:$1,0)+1,FALSE)</f>
        <v>#VALUE!</v>
      </c>
      <c r="AV144" s="77" t="e">
        <f ca="1">VLOOKUP($AT144,OFFSET([1]crash_skills!$A$1,0,0,COUNTA([1]crash_skills!$A:$A),MATCH("comment",[1]crash_skills!$1:$1,0)-MATCH($AT$1,[1]crash_skills!$1:$1,0)+1),MATCH("comment",[1]crash_skills!$1:$1,0)-MATCH($AT$1,[1]crash_skills!$1:$1,0)+1,FALSE)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44" s="77" t="e">
        <f ca="1">VLOOKUP($AT144,OFFSET([1]crash_skills!$A$1,0,0,COUNTA([1]crash_skills!$A:$A),MATCH(AW$1,[1]crash_skills!$1:$1,0)-MATCH($AT$1,[1]crash_skills!$1:$1,0)+1),MATCH(AW$1,[1]crash_skills!$1:$1,0)-MATCH($AT$1,[1]crash_skills!$1:$1,0)+1,FALSE)</f>
        <v>#VALUE!</v>
      </c>
      <c r="AX144" s="81">
        <f ca="1">VLOOKUP($A144,OFFSET([2]characters!$A$1,0,0,COUNTA([2]characters!$A:$A),MATCH(AX$1,[2]characters!$1:$1,0)-MATCH($A$1,[2]characters!$1:$1,0)+1),MATCH(AX$1,[2]characters!$1:$1,0)-MATCH($A$1,[2]characters!$1:$1,0)+1,FALSE)</f>
        <v>3</v>
      </c>
      <c r="AY144" s="19">
        <v>1</v>
      </c>
      <c r="AZ144" s="19">
        <v>1</v>
      </c>
      <c r="BA144" s="19">
        <v>0</v>
      </c>
      <c r="BB144" s="19">
        <v>1</v>
      </c>
      <c r="BC144" s="14">
        <f ca="1">INDEX('RC6SV'!$A$1:$G$20,MATCH(H144,'RC6SV'!$A$1:$A$20,FALSE),MATCH(G144,'RC6SV'!$A$1:$G$1,FALSE))</f>
        <v>6600</v>
      </c>
      <c r="BD144" s="63">
        <f t="shared" ca="1" si="18"/>
        <v>6600</v>
      </c>
      <c r="BE144" s="14">
        <f t="shared" ca="1" si="19"/>
        <v>4800</v>
      </c>
      <c r="BF144" s="14">
        <f t="shared" ca="1" si="20"/>
        <v>1</v>
      </c>
      <c r="BG144" s="20">
        <f ca="1">IF($BE144&lt;=0,ROUND(BK144*0.5,0), ROUND($BE144*S144*AA144*J144*AY144*0.8*[2]ステータス!$B$2,0))</f>
        <v>1805</v>
      </c>
      <c r="BH144" s="20">
        <f ca="1">IF($BE144&lt;=0,ROUND(BL144*0.5,0), ROUND($BE144*T144*AB144*K144*AZ144*0.8*[2]ステータス!$C$2,0))</f>
        <v>1163</v>
      </c>
      <c r="BI144" s="20">
        <f ca="1">IF($BE144&lt;=0,ROUND(BM144*0.5,0), ROUND($BE144*U144*AC144*L144*BA144*0.8*[2]ステータス!$D$2,0))</f>
        <v>0</v>
      </c>
      <c r="BJ144" s="20">
        <f ca="1">IF($BE144&lt;=0,ROUND(BN144*0.5,0), ROUND($BE144*V144*AD144*M144*BB144*0.8*[2]ステータス!$E$2,0))</f>
        <v>1007</v>
      </c>
      <c r="BK144" s="14">
        <f ca="1">ROUND(BD144*S144*AA144*J144*AY144*[2]ステータス!$B$2,0)</f>
        <v>3102</v>
      </c>
      <c r="BL144" s="14">
        <f ca="1">ROUND(BD144*T144*AB144*K144*AZ144*[2]ステータス!$C$2,0)</f>
        <v>1999</v>
      </c>
      <c r="BM144" s="14">
        <f ca="1">ROUND(BD144*U144*AC144*L144*BA144*[2]ステータス!$D$2,0)</f>
        <v>0</v>
      </c>
      <c r="BN144" s="14">
        <f ca="1">ROUND(BD144*V144*AD144*M144*BB144*[2]ステータス!$E$2,0)</f>
        <v>1730</v>
      </c>
      <c r="BO144" s="13">
        <v>0</v>
      </c>
      <c r="BP144" s="13">
        <v>1</v>
      </c>
      <c r="BQ144" s="13" t="s">
        <v>102</v>
      </c>
      <c r="BR144" s="13">
        <f ca="1">VLOOKUP(H144,ghosts_label!$A$2:$B$19,2,FALSE)</f>
        <v>500</v>
      </c>
    </row>
    <row r="145" spans="1:70" ht="21" customHeight="1" x14ac:dyDescent="0.15">
      <c r="A145" s="14">
        <f t="shared" ca="1" si="15"/>
        <v>144</v>
      </c>
      <c r="B145" s="77" t="str">
        <f ca="1">VLOOKUP($A145,OFFSET([2]characters!$A$1,0,0,COUNTA([2]characters!$A:$A),MATCH(B$1,[2]characters!$1:$1,0)-MATCH($A$1,[2]characters!$1:$1,0)+1),MATCH(B$1,[2]characters!$1:$1,0)-MATCH($A$1,[2]characters!$1:$1,0)+1,FALSE)</f>
        <v>かぐや</v>
      </c>
      <c r="C145" s="77" t="str">
        <f ca="1">VLOOKUP($A145,OFFSET([2]characters!$A$1,0,0,COUNTA([2]characters!$A:$A),MATCH(C$1,[2]characters!$1:$1,0)-MATCH($A$1,[2]characters!$1:$1,0)+1),MATCH(C$1,[2]characters!$1:$1,0)-MATCH($A$1,[2]characters!$1:$1,0)+1,FALSE)</f>
        <v>初期ガチャ</v>
      </c>
      <c r="D145" s="77" t="str">
        <f ca="1">VLOOKUP($A145,OFFSET([2]characters!$A$1,0,0,COUNTA([2]characters!$A:$A),MATCH(D$1,[2]characters!$1:$1,0)-MATCH($A$1,[2]characters!$1:$1,0)+1),MATCH(D$1,[2]characters!$1:$1,0)-MATCH($A$1,[2]characters!$1:$1,0)+1,FALSE)</f>
        <v>アバター</v>
      </c>
      <c r="E145" s="77" t="str">
        <f ca="1">VLOOKUP($A145,OFFSET([2]characters!$A$1,0,0,COUNTA([2]characters!$A:$A),MATCH(E$1,[2]characters!$1:$1,0)-MATCH($A$1,[2]characters!$1:$1,0)+1),MATCH(E$1,[2]characters!$1:$1,0)-MATCH($A$1,[2]characters!$1:$1,0)+1,FALSE)</f>
        <v>美しい</v>
      </c>
      <c r="F145" s="77" t="str">
        <f ca="1">VLOOKUP($A145,OFFSET([2]characters!$A$1,0,0,COUNTA([2]characters!$A:$A),MATCH(F$1,[2]characters!$1:$1,0)-MATCH($A$1,[2]characters!$1:$1,0)+1),MATCH(F$1,[2]characters!$1:$1,0)-MATCH($A$1,[2]characters!$1:$1,0)+1,FALSE)</f>
        <v>女性</v>
      </c>
      <c r="G145" s="77">
        <f ca="1">VLOOKUP($A145,OFFSET([2]characters!$A$1,0,0,COUNTA([2]characters!$A:$A),MATCH(G$1,[2]characters!$1:$1,0)-MATCH($A$1,[2]characters!$1:$1,0)+1),MATCH(G$1,[2]characters!$1:$1,0)-MATCH($A$1,[2]characters!$1:$1,0)+1,FALSE)</f>
        <v>3</v>
      </c>
      <c r="H145" s="77" t="str">
        <f ca="1">VLOOKUP($A145,OFFSET([2]characters!$A$1,0,0,COUNTA([2]characters!$A:$A),MATCH(H$1,[2]characters!$1:$1,0)-MATCH($A$1,[2]characters!$1:$1,0)+1),MATCH(H$1,[2]characters!$1:$1,0)-MATCH($A$1,[2]characters!$1:$1,0)+1,FALSE)</f>
        <v>PremiumW</v>
      </c>
      <c r="I145" s="77" t="str">
        <f ca="1">VLOOKUP($A145,OFFSET([2]characters!$A$1,0,0,COUNTA([2]characters!$A:$A),MATCH(I$1,[2]characters!$1:$1,0)-MATCH($A$1,[2]characters!$1:$1,0)+1),MATCH(I$1,[2]characters!$1:$1,0)-MATCH($A$1,[2]characters!$1:$1,0)+1,FALSE)</f>
        <v>green</v>
      </c>
      <c r="J145" s="14">
        <f ca="1">VLOOKUP(I145,[2]属性!$A:$E,2,FALSE)</f>
        <v>1.02</v>
      </c>
      <c r="K145" s="14">
        <f ca="1">VLOOKUP(I145,[2]属性!$A:$E,3,FALSE)</f>
        <v>0.98</v>
      </c>
      <c r="L145" s="14">
        <f ca="1">VLOOKUP(I145,[2]属性!$A:$E,4,FALSE)</f>
        <v>1</v>
      </c>
      <c r="M145" s="14">
        <f ca="1">VLOOKUP(I145,[2]属性!$A:$E,5,FALSE)</f>
        <v>1</v>
      </c>
      <c r="N145" s="14">
        <f ca="1">INDEX(コスト!$A$1:$I$20,MATCH(H145,コスト!$A$1:$A$20,FALSE),MATCH(G145,コスト!$A$1:$I$1,FALSE))</f>
        <v>7</v>
      </c>
      <c r="O145" s="14">
        <f ca="1">INDEX(レベル!$A$1:$I$21,MATCH(H145,レベル!$A$1:$A$21,FALSE),MATCH(G145,レベル!$A$1:$I$1,FALSE))</f>
        <v>40</v>
      </c>
      <c r="P145" s="63">
        <f t="shared" ca="1" si="21"/>
        <v>45</v>
      </c>
      <c r="Q145" s="77" t="str">
        <f ca="1">VLOOKUP($A145,OFFSET([2]characters!$A$1,0,0,COUNTA([2]characters!$A:$A),MATCH(Q$1,[2]characters!$1:$1,0)-MATCH($A$1,[2]characters!$1:$1,0)+1),MATCH(Q$1,[2]characters!$1:$1,0)-MATCH($A$1,[2]characters!$1:$1,0)+1,FALSE)</f>
        <v>hp</v>
      </c>
      <c r="R145" s="8" t="str">
        <f ca="1">VLOOKUP(Q145,[2]character_type_i18n!$A:$H,3,FALSE)</f>
        <v>体力タイプ</v>
      </c>
      <c r="S145" s="14">
        <f ca="1">VLOOKUP(Q145,[2]character_type_i18n!$A:$H,4,FALSE)</f>
        <v>1.45</v>
      </c>
      <c r="T145" s="14">
        <f ca="1">VLOOKUP(Q145,[2]character_type_i18n!$A:$H,5,FALSE)</f>
        <v>0.85</v>
      </c>
      <c r="U145" s="14">
        <f ca="1">VLOOKUP(Q145,[2]character_type_i18n!$A:$H,6,FALSE)</f>
        <v>1</v>
      </c>
      <c r="V145" s="14">
        <f ca="1">VLOOKUP(Q145,[2]character_type_i18n!$A:$H,7,FALSE)</f>
        <v>0.7</v>
      </c>
      <c r="W145" s="77" t="str">
        <f ca="1">VLOOKUP($A145,OFFSET([2]characters!$A$1,0,0,COUNTA([2]characters!$A:$A),MATCH(W$1,[2]characters!$1:$1,0)-MATCH($A$1,[2]characters!$1:$1,0)+1),MATCH(W$1,[2]characters!$1:$1,0)-MATCH($A$1,[2]characters!$1:$1,0)+1,FALSE)</f>
        <v>human</v>
      </c>
      <c r="X145" s="8" t="str">
        <f ca="1">VLOOKUP(W145,[2]character_tribe_i18n!$A:$H,3,FALSE)</f>
        <v>ヒューマン</v>
      </c>
      <c r="Y145" s="77" t="str">
        <f ca="1">VLOOKUP($A145,OFFSET([2]characters!$A$1,0,0,COUNTA([2]characters!$A:$A),MATCH(Y$1,[2]characters!$1:$1,0)-MATCH($A$1,[2]characters!$1:$1,0)+1),MATCH(Y$1,[2]characters!$1:$1,0)-MATCH($A$1,[2]characters!$1:$1,0)+1,FALSE)</f>
        <v>none</v>
      </c>
      <c r="Z145" s="8" t="str">
        <f ca="1">VLOOKUP(Y145,[2]character_tribe_i18n!$A:$H,3,FALSE)</f>
        <v>種族なし</v>
      </c>
      <c r="AA145" s="14">
        <f ca="1">VLOOKUP(W145,[2]character_tribe_i18n!$A:$H,4,FALSE)</f>
        <v>0.94</v>
      </c>
      <c r="AB145" s="14">
        <f ca="1">VLOOKUP(W145,[2]character_tribe_i18n!$A:$H,5,FALSE)</f>
        <v>0.99</v>
      </c>
      <c r="AC145" s="14">
        <f ca="1">VLOOKUP(W145,[2]character_tribe_i18n!$A:$H,6,FALSE)</f>
        <v>1</v>
      </c>
      <c r="AD145" s="14">
        <f ca="1">VLOOKUP(W145,[2]character_tribe_i18n!$A:$H,7,FALSE)</f>
        <v>1.07</v>
      </c>
      <c r="AE145" s="12">
        <v>145</v>
      </c>
      <c r="AF145" s="85" t="str">
        <f ca="1">IF(AE145="NULL","",VLOOKUP($AE145,OFFSET([2]characters!$A$1,0,0,COUNTA([2]characters!$A:$A),MATCH(AF$1,[2]characters!$1:$1,0)-MATCH($A$1,[2]characters!$1:$1,0)+1),MATCH(AF$1,[2]characters!$1:$1,0)-MATCH($A$1,[2]characters!$1:$1,0)+1,FALSE))</f>
        <v>魔性妖艶 かぐや</v>
      </c>
      <c r="AG145" s="8">
        <f t="shared" ca="1" si="16"/>
        <v>144</v>
      </c>
      <c r="AH145" s="85" t="str">
        <f ca="1">VLOOKUP($AG145,OFFSET([2]characters!$A$1,0,0,COUNTA([2]characters!$A:$A),MATCH(AH$1,[2]characters!$1:$1,0)-MATCH($A$1,[2]characters!$1:$1,0)+1),MATCH(AH$1,[2]characters!$1:$1,0)-MATCH($A$1,[2]characters!$1:$1,0)+1,FALSE)</f>
        <v>かぐや</v>
      </c>
      <c r="AI145" s="14">
        <f ca="1">IF(AE145="NULL","NULL",VLOOKUP(G145,ビット!$A$2:$B$7,2))</f>
        <v>20000</v>
      </c>
      <c r="AJ145" s="9">
        <v>2</v>
      </c>
      <c r="AK145" s="10" t="str">
        <f t="shared" si="17"/>
        <v>普通</v>
      </c>
      <c r="AL145" s="14" t="str">
        <f ca="1">INDEX(経験値!$A$1:$I$20,MATCH(H145,経験値!$A$1:$A$20,FALSE),MATCH(G145,経験値!$A$1:$I$1,FALSE))</f>
        <v>required_exp_150</v>
      </c>
      <c r="AM145" s="11">
        <f ca="1">VLOOKUP(G145,経験値!$A$27:$B$31,2)</f>
        <v>1500</v>
      </c>
      <c r="AN145" s="21">
        <f ca="1">VLOOKUP(G145,ビット!$G$2:$H$7,2)</f>
        <v>300</v>
      </c>
      <c r="AO145" s="64" t="s">
        <v>180</v>
      </c>
      <c r="AP145" s="97">
        <v>410005</v>
      </c>
      <c r="AQ145" s="77" t="e">
        <f ca="1">VLOOKUP($AP145,OFFSET([1]unit_skills!$A$1,0,0,COUNTA([1]unit_skills!$A:$A),MATCH("name",[1]unit_skills!$1:$1,0)-MATCH($AP$1,[1]unit_skills!$1:$1,0)+1),MATCH("name",[1]unit_skills!$1:$1,0)-MATCH($AP$1,[1]unit_skills!$1:$1,0)+1,FALSE)</f>
        <v>#VALUE!</v>
      </c>
      <c r="AR145" s="77" t="e">
        <f ca="1">VLOOKUP($AP145,OFFSET([1]unit_skills!$A$1,0,0,COUNTA([1]unit_skills!$A:$A),MATCH("comment",[1]unit_skills!$1:$1,0)-MATCH($AP$1,[1]unit_skills!$1:$1,0)+1),MATCH("comment",[1]unit_skills!$1:$1,0)-MATCH($AP$1,[1]unit_skills!$1:$1,0)+1,FALSE)</f>
        <v>#VALUE!</v>
      </c>
      <c r="AS145" s="77" t="e">
        <f ca="1">VLOOKUP($AP145,OFFSET([1]unit_skills!$A$1,0,0,COUNTA([1]unit_skills!$A:$A),MATCH(AS$1,[1]unit_skills!$1:$1,0)-MATCH($AP$1,[1]unit_skills!$1:$1,0)+1),MATCH(AS$1,[1]unit_skills!$1:$1,0)-MATCH($AP$1,[1]unit_skills!$1:$1,0)+1,FALSE)</f>
        <v>#VALUE!</v>
      </c>
      <c r="AT145" s="97">
        <v>122003</v>
      </c>
      <c r="AU145" s="77" t="e">
        <f ca="1">VLOOKUP($AT145,OFFSET([1]crash_skills!$A$1,0,0,COUNTA([1]crash_skills!$A:$A),MATCH("name",[1]crash_skills!$1:$1,0)-MATCH($AT$1,[1]crash_skills!$1:$1,0)+1),MATCH("name",[1]crash_skills!$1:$1,0)-MATCH($AT$1,[1]crash_skills!$1:$1,0)+1,FALSE)</f>
        <v>#VALUE!</v>
      </c>
      <c r="AV145" s="77" t="e">
        <f ca="1">VLOOKUP($AT145,OFFSET([1]crash_skills!$A$1,0,0,COUNTA([1]crash_skills!$A:$A),MATCH("comment",[1]crash_skills!$1:$1,0)-MATCH($AT$1,[1]crash_skills!$1:$1,0)+1),MATCH("comment",[1]crash_skills!$1:$1,0)-MATCH($AT$1,[1]crash_skills!$1:$1,0)+1,FALSE)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45" s="77" t="e">
        <f ca="1">VLOOKUP($AT145,OFFSET([1]crash_skills!$A$1,0,0,COUNTA([1]crash_skills!$A:$A),MATCH(AW$1,[1]crash_skills!$1:$1,0)-MATCH($AT$1,[1]crash_skills!$1:$1,0)+1),MATCH(AW$1,[1]crash_skills!$1:$1,0)-MATCH($AT$1,[1]crash_skills!$1:$1,0)+1,FALSE)</f>
        <v>#VALUE!</v>
      </c>
      <c r="AX145" s="81">
        <f ca="1">VLOOKUP($A145,OFFSET([2]characters!$A$1,0,0,COUNTA([2]characters!$A:$A),MATCH(AX$1,[2]characters!$1:$1,0)-MATCH($A$1,[2]characters!$1:$1,0)+1),MATCH(AX$1,[2]characters!$1:$1,0)-MATCH($A$1,[2]characters!$1:$1,0)+1,FALSE)</f>
        <v>3</v>
      </c>
      <c r="AY145" s="19">
        <v>1</v>
      </c>
      <c r="AZ145" s="19">
        <v>1</v>
      </c>
      <c r="BA145" s="19">
        <v>0</v>
      </c>
      <c r="BB145" s="19">
        <v>1</v>
      </c>
      <c r="BC145" s="14">
        <f ca="1">INDEX('RC6SV'!$A$1:$G$20,MATCH(H145,'RC6SV'!$A$1:$A$20,FALSE),MATCH(G145,'RC6SV'!$A$1:$G$1,FALSE))</f>
        <v>4800</v>
      </c>
      <c r="BD145" s="63">
        <f t="shared" ca="1" si="18"/>
        <v>4800</v>
      </c>
      <c r="BE145" s="14">
        <f t="shared" ca="1" si="19"/>
        <v>0</v>
      </c>
      <c r="BF145" s="14">
        <f t="shared" ca="1" si="20"/>
        <v>1</v>
      </c>
      <c r="BG145" s="20">
        <f ca="1">IF($BE145&lt;=0,ROUND(BK145*0.5,0), ROUND($BE145*S145*AA145*J145*AY145*0.8*[2]ステータス!$B$2,0))</f>
        <v>1669</v>
      </c>
      <c r="BH145" s="20">
        <f ca="1">IF($BE145&lt;=0,ROUND(BL145*0.5,0), ROUND($BE145*T145*AB145*K145*AZ145*0.8*[2]ステータス!$C$2,0))</f>
        <v>594</v>
      </c>
      <c r="BI145" s="20">
        <f ca="1">IF($BE145&lt;=0,ROUND(BM145*0.5,0), ROUND($BE145*U145*AC145*L145*BA145*0.8*[2]ステータス!$D$2,0))</f>
        <v>0</v>
      </c>
      <c r="BJ145" s="20">
        <f ca="1">IF($BE145&lt;=0,ROUND(BN145*0.5,0), ROUND($BE145*V145*AD145*M145*BB145*0.8*[2]ステータス!$E$2,0))</f>
        <v>450</v>
      </c>
      <c r="BK145" s="14">
        <f ca="1">ROUND(BD145*S145*AA145*J145*AY145*[2]ステータス!$B$2,0)</f>
        <v>3337</v>
      </c>
      <c r="BL145" s="14">
        <f ca="1">ROUND(BD145*T145*AB145*K145*AZ145*[2]ステータス!$C$2,0)</f>
        <v>1188</v>
      </c>
      <c r="BM145" s="14">
        <f ca="1">ROUND(BD145*U145*AC145*L145*BA145*[2]ステータス!$D$2,0)</f>
        <v>0</v>
      </c>
      <c r="BN145" s="14">
        <f ca="1">ROUND(BD145*V145*AD145*M145*BB145*[2]ステータス!$E$2,0)</f>
        <v>899</v>
      </c>
      <c r="BO145" s="13">
        <v>0</v>
      </c>
      <c r="BP145" s="13">
        <v>1</v>
      </c>
      <c r="BQ145" s="13" t="s">
        <v>102</v>
      </c>
      <c r="BR145" s="13">
        <f ca="1">VLOOKUP(H145,ghosts_label!$A$2:$B$19,2,FALSE)</f>
        <v>500</v>
      </c>
    </row>
    <row r="146" spans="1:70" ht="21" customHeight="1" x14ac:dyDescent="0.15">
      <c r="A146" s="14">
        <f t="shared" ca="1" si="15"/>
        <v>145</v>
      </c>
      <c r="B146" s="77" t="str">
        <f ca="1">VLOOKUP($A146,OFFSET([2]characters!$A$1,0,0,COUNTA([2]characters!$A:$A),MATCH(B$1,[2]characters!$1:$1,0)-MATCH($A$1,[2]characters!$1:$1,0)+1),MATCH(B$1,[2]characters!$1:$1,0)-MATCH($A$1,[2]characters!$1:$1,0)+1,FALSE)</f>
        <v>魔性妖艶 かぐや</v>
      </c>
      <c r="C146" s="77" t="str">
        <f ca="1">VLOOKUP($A146,OFFSET([2]characters!$A$1,0,0,COUNTA([2]characters!$A:$A),MATCH(C$1,[2]characters!$1:$1,0)-MATCH($A$1,[2]characters!$1:$1,0)+1),MATCH(C$1,[2]characters!$1:$1,0)-MATCH($A$1,[2]characters!$1:$1,0)+1,FALSE)</f>
        <v>初期ガチャ</v>
      </c>
      <c r="D146" s="77" t="str">
        <f ca="1">VLOOKUP($A146,OFFSET([2]characters!$A$1,0,0,COUNTA([2]characters!$A:$A),MATCH(D$1,[2]characters!$1:$1,0)-MATCH($A$1,[2]characters!$1:$1,0)+1),MATCH(D$1,[2]characters!$1:$1,0)-MATCH($A$1,[2]characters!$1:$1,0)+1,FALSE)</f>
        <v>アバター</v>
      </c>
      <c r="E146" s="77" t="str">
        <f ca="1">VLOOKUP($A146,OFFSET([2]characters!$A$1,0,0,COUNTA([2]characters!$A:$A),MATCH(E$1,[2]characters!$1:$1,0)-MATCH($A$1,[2]characters!$1:$1,0)+1),MATCH(E$1,[2]characters!$1:$1,0)-MATCH($A$1,[2]characters!$1:$1,0)+1,FALSE)</f>
        <v>美しい</v>
      </c>
      <c r="F146" s="77" t="str">
        <f ca="1">VLOOKUP($A146,OFFSET([2]characters!$A$1,0,0,COUNTA([2]characters!$A:$A),MATCH(F$1,[2]characters!$1:$1,0)-MATCH($A$1,[2]characters!$1:$1,0)+1),MATCH(F$1,[2]characters!$1:$1,0)-MATCH($A$1,[2]characters!$1:$1,0)+1,FALSE)</f>
        <v>女性</v>
      </c>
      <c r="G146" s="77">
        <f ca="1">VLOOKUP($A146,OFFSET([2]characters!$A$1,0,0,COUNTA([2]characters!$A:$A),MATCH(G$1,[2]characters!$1:$1,0)-MATCH($A$1,[2]characters!$1:$1,0)+1),MATCH(G$1,[2]characters!$1:$1,0)-MATCH($A$1,[2]characters!$1:$1,0)+1,FALSE)</f>
        <v>4</v>
      </c>
      <c r="H146" s="77" t="str">
        <f ca="1">VLOOKUP($A146,OFFSET([2]characters!$A$1,0,0,COUNTA([2]characters!$A:$A),MATCH(H$1,[2]characters!$1:$1,0)-MATCH($A$1,[2]characters!$1:$1,0)+1),MATCH(H$1,[2]characters!$1:$1,0)-MATCH($A$1,[2]characters!$1:$1,0)+1,FALSE)</f>
        <v>PremiumW</v>
      </c>
      <c r="I146" s="77" t="str">
        <f ca="1">VLOOKUP($A146,OFFSET([2]characters!$A$1,0,0,COUNTA([2]characters!$A:$A),MATCH(I$1,[2]characters!$1:$1,0)-MATCH($A$1,[2]characters!$1:$1,0)+1),MATCH(I$1,[2]characters!$1:$1,0)-MATCH($A$1,[2]characters!$1:$1,0)+1,FALSE)</f>
        <v>green</v>
      </c>
      <c r="J146" s="14">
        <f ca="1">VLOOKUP(I146,[2]属性!$A:$E,2,FALSE)</f>
        <v>1.02</v>
      </c>
      <c r="K146" s="14">
        <f ca="1">VLOOKUP(I146,[2]属性!$A:$E,3,FALSE)</f>
        <v>0.98</v>
      </c>
      <c r="L146" s="14">
        <f ca="1">VLOOKUP(I146,[2]属性!$A:$E,4,FALSE)</f>
        <v>1</v>
      </c>
      <c r="M146" s="14">
        <f ca="1">VLOOKUP(I146,[2]属性!$A:$E,5,FALSE)</f>
        <v>1</v>
      </c>
      <c r="N146" s="14">
        <f ca="1">INDEX(コスト!$A$1:$I$20,MATCH(H146,コスト!$A$1:$A$20,FALSE),MATCH(G146,コスト!$A$1:$I$1,FALSE))</f>
        <v>16</v>
      </c>
      <c r="O146" s="14">
        <f ca="1">INDEX(レベル!$A$1:$I$21,MATCH(H146,レベル!$A$1:$A$21,FALSE),MATCH(G146,レベル!$A$1:$I$1,FALSE))</f>
        <v>60</v>
      </c>
      <c r="P146" s="63">
        <f t="shared" ca="1" si="21"/>
        <v>60</v>
      </c>
      <c r="Q146" s="77" t="str">
        <f ca="1">VLOOKUP($A146,OFFSET([2]characters!$A$1,0,0,COUNTA([2]characters!$A:$A),MATCH(Q$1,[2]characters!$1:$1,0)-MATCH($A$1,[2]characters!$1:$1,0)+1),MATCH(Q$1,[2]characters!$1:$1,0)-MATCH($A$1,[2]characters!$1:$1,0)+1,FALSE)</f>
        <v>hp</v>
      </c>
      <c r="R146" s="8" t="str">
        <f ca="1">VLOOKUP(Q146,[2]character_type_i18n!$A:$H,3,FALSE)</f>
        <v>体力タイプ</v>
      </c>
      <c r="S146" s="14">
        <f ca="1">VLOOKUP(Q146,[2]character_type_i18n!$A:$H,4,FALSE)</f>
        <v>1.45</v>
      </c>
      <c r="T146" s="14">
        <f ca="1">VLOOKUP(Q146,[2]character_type_i18n!$A:$H,5,FALSE)</f>
        <v>0.85</v>
      </c>
      <c r="U146" s="14">
        <f ca="1">VLOOKUP(Q146,[2]character_type_i18n!$A:$H,6,FALSE)</f>
        <v>1</v>
      </c>
      <c r="V146" s="14">
        <f ca="1">VLOOKUP(Q146,[2]character_type_i18n!$A:$H,7,FALSE)</f>
        <v>0.7</v>
      </c>
      <c r="W146" s="77" t="str">
        <f ca="1">VLOOKUP($A146,OFFSET([2]characters!$A$1,0,0,COUNTA([2]characters!$A:$A),MATCH(W$1,[2]characters!$1:$1,0)-MATCH($A$1,[2]characters!$1:$1,0)+1),MATCH(W$1,[2]characters!$1:$1,0)-MATCH($A$1,[2]characters!$1:$1,0)+1,FALSE)</f>
        <v>human</v>
      </c>
      <c r="X146" s="8" t="str">
        <f ca="1">VLOOKUP(W146,[2]character_tribe_i18n!$A:$H,3,FALSE)</f>
        <v>ヒューマン</v>
      </c>
      <c r="Y146" s="77" t="str">
        <f ca="1">VLOOKUP($A146,OFFSET([2]characters!$A$1,0,0,COUNTA([2]characters!$A:$A),MATCH(Y$1,[2]characters!$1:$1,0)-MATCH($A$1,[2]characters!$1:$1,0)+1),MATCH(Y$1,[2]characters!$1:$1,0)-MATCH($A$1,[2]characters!$1:$1,0)+1,FALSE)</f>
        <v>none</v>
      </c>
      <c r="Z146" s="8" t="str">
        <f ca="1">VLOOKUP(Y146,[2]character_tribe_i18n!$A:$H,3,FALSE)</f>
        <v>種族なし</v>
      </c>
      <c r="AA146" s="14">
        <f ca="1">VLOOKUP(W146,[2]character_tribe_i18n!$A:$H,4,FALSE)</f>
        <v>0.94</v>
      </c>
      <c r="AB146" s="14">
        <f ca="1">VLOOKUP(W146,[2]character_tribe_i18n!$A:$H,5,FALSE)</f>
        <v>0.99</v>
      </c>
      <c r="AC146" s="14">
        <f ca="1">VLOOKUP(W146,[2]character_tribe_i18n!$A:$H,6,FALSE)</f>
        <v>1</v>
      </c>
      <c r="AD146" s="14">
        <f ca="1">VLOOKUP(W146,[2]character_tribe_i18n!$A:$H,7,FALSE)</f>
        <v>1.07</v>
      </c>
      <c r="AE146" s="12" t="s">
        <v>102</v>
      </c>
      <c r="AF146" s="85" t="str">
        <f ca="1">IF(AE146="NULL","",VLOOKUP($AE146,OFFSET([2]characters!$A$1,0,0,COUNTA([2]characters!$A:$A),MATCH(AF$1,[2]characters!$1:$1,0)-MATCH($A$1,[2]characters!$1:$1,0)+1),MATCH(AF$1,[2]characters!$1:$1,0)-MATCH($A$1,[2]characters!$1:$1,0)+1,FALSE))</f>
        <v/>
      </c>
      <c r="AG146" s="8">
        <f t="shared" ca="1" si="16"/>
        <v>144</v>
      </c>
      <c r="AH146" s="85" t="str">
        <f ca="1">VLOOKUP($AG146,OFFSET([2]characters!$A$1,0,0,COUNTA([2]characters!$A:$A),MATCH(AH$1,[2]characters!$1:$1,0)-MATCH($A$1,[2]characters!$1:$1,0)+1),MATCH(AH$1,[2]characters!$1:$1,0)-MATCH($A$1,[2]characters!$1:$1,0)+1,FALSE)</f>
        <v>かぐや</v>
      </c>
      <c r="AI146" s="14" t="str">
        <f>IF(AE146="NULL","NULL",VLOOKUP(G146,ビット!$A$2:$B$7,2))</f>
        <v>NULL</v>
      </c>
      <c r="AJ146" s="9">
        <v>2</v>
      </c>
      <c r="AK146" s="10" t="str">
        <f t="shared" si="17"/>
        <v>普通</v>
      </c>
      <c r="AL146" s="14" t="str">
        <f ca="1">INDEX(経験値!$A$1:$I$20,MATCH(H146,経験値!$A$1:$A$20,FALSE),MATCH(G146,経験値!$A$1:$I$1,FALSE))</f>
        <v>required_exp_150</v>
      </c>
      <c r="AM146" s="11">
        <f ca="1">VLOOKUP(G146,経験値!$A$27:$B$31,2)</f>
        <v>3400</v>
      </c>
      <c r="AN146" s="21">
        <f ca="1">VLOOKUP(G146,ビット!$G$2:$H$7,2)</f>
        <v>600</v>
      </c>
      <c r="AO146" s="64" t="s">
        <v>180</v>
      </c>
      <c r="AP146" s="97">
        <v>410003</v>
      </c>
      <c r="AQ146" s="77" t="e">
        <f ca="1">VLOOKUP($AP146,OFFSET([1]unit_skills!$A$1,0,0,COUNTA([1]unit_skills!$A:$A),MATCH("name",[1]unit_skills!$1:$1,0)-MATCH($AP$1,[1]unit_skills!$1:$1,0)+1),MATCH("name",[1]unit_skills!$1:$1,0)-MATCH($AP$1,[1]unit_skills!$1:$1,0)+1,FALSE)</f>
        <v>#VALUE!</v>
      </c>
      <c r="AR146" s="77" t="e">
        <f ca="1">VLOOKUP($AP146,OFFSET([1]unit_skills!$A$1,0,0,COUNTA([1]unit_skills!$A:$A),MATCH("comment",[1]unit_skills!$1:$1,0)-MATCH($AP$1,[1]unit_skills!$1:$1,0)+1),MATCH("comment",[1]unit_skills!$1:$1,0)-MATCH($AP$1,[1]unit_skills!$1:$1,0)+1,FALSE)</f>
        <v>#VALUE!</v>
      </c>
      <c r="AS146" s="77" t="e">
        <f ca="1">VLOOKUP($AP146,OFFSET([1]unit_skills!$A$1,0,0,COUNTA([1]unit_skills!$A:$A),MATCH(AS$1,[1]unit_skills!$1:$1,0)-MATCH($AP$1,[1]unit_skills!$1:$1,0)+1),MATCH(AS$1,[1]unit_skills!$1:$1,0)-MATCH($AP$1,[1]unit_skills!$1:$1,0)+1,FALSE)</f>
        <v>#VALUE!</v>
      </c>
      <c r="AT146" s="97">
        <v>122010</v>
      </c>
      <c r="AU146" s="77" t="e">
        <f ca="1">VLOOKUP($AT146,OFFSET([1]crash_skills!$A$1,0,0,COUNTA([1]crash_skills!$A:$A),MATCH("name",[1]crash_skills!$1:$1,0)-MATCH($AT$1,[1]crash_skills!$1:$1,0)+1),MATCH("name",[1]crash_skills!$1:$1,0)-MATCH($AT$1,[1]crash_skills!$1:$1,0)+1,FALSE)</f>
        <v>#VALUE!</v>
      </c>
      <c r="AV146" s="77" t="e">
        <f ca="1">VLOOKUP($AT146,OFFSET([1]crash_skills!$A$1,0,0,COUNTA([1]crash_skills!$A:$A),MATCH("comment",[1]crash_skills!$1:$1,0)-MATCH($AT$1,[1]crash_skills!$1:$1,0)+1),MATCH("comment",[1]crash_skills!$1:$1,0)-MATCH($AT$1,[1]crash_skills!$1:$1,0)+1,FALSE)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46" s="77" t="e">
        <f ca="1">VLOOKUP($AT146,OFFSET([1]crash_skills!$A$1,0,0,COUNTA([1]crash_skills!$A:$A),MATCH(AW$1,[1]crash_skills!$1:$1,0)-MATCH($AT$1,[1]crash_skills!$1:$1,0)+1),MATCH(AW$1,[1]crash_skills!$1:$1,0)-MATCH($AT$1,[1]crash_skills!$1:$1,0)+1,FALSE)</f>
        <v>#VALUE!</v>
      </c>
      <c r="AX146" s="81">
        <f ca="1">VLOOKUP($A146,OFFSET([2]characters!$A$1,0,0,COUNTA([2]characters!$A:$A),MATCH(AX$1,[2]characters!$1:$1,0)-MATCH($A$1,[2]characters!$1:$1,0)+1),MATCH(AX$1,[2]characters!$1:$1,0)-MATCH($A$1,[2]characters!$1:$1,0)+1,FALSE)</f>
        <v>3</v>
      </c>
      <c r="AY146" s="19">
        <v>1</v>
      </c>
      <c r="AZ146" s="19">
        <v>1</v>
      </c>
      <c r="BA146" s="19">
        <v>0</v>
      </c>
      <c r="BB146" s="19">
        <v>1</v>
      </c>
      <c r="BC146" s="14">
        <f ca="1">INDEX('RC6SV'!$A$1:$G$20,MATCH(H146,'RC6SV'!$A$1:$A$20,FALSE),MATCH(G146,'RC6SV'!$A$1:$G$1,FALSE))</f>
        <v>6600</v>
      </c>
      <c r="BD146" s="63">
        <f t="shared" ca="1" si="18"/>
        <v>6600</v>
      </c>
      <c r="BE146" s="14">
        <f t="shared" ca="1" si="19"/>
        <v>4800</v>
      </c>
      <c r="BF146" s="14">
        <f t="shared" ca="1" si="20"/>
        <v>1</v>
      </c>
      <c r="BG146" s="20">
        <f ca="1">IF($BE146&lt;=0,ROUND(BK146*0.5,0), ROUND($BE146*S146*AA146*J146*AY146*0.8*[2]ステータス!$B$2,0))</f>
        <v>2669</v>
      </c>
      <c r="BH146" s="20">
        <f ca="1">IF($BE146&lt;=0,ROUND(BL146*0.5,0), ROUND($BE146*T146*AB146*K146*AZ146*0.8*[2]ステータス!$C$2,0))</f>
        <v>950</v>
      </c>
      <c r="BI146" s="20">
        <f ca="1">IF($BE146&lt;=0,ROUND(BM146*0.5,0), ROUND($BE146*U146*AC146*L146*BA146*0.8*[2]ステータス!$D$2,0))</f>
        <v>0</v>
      </c>
      <c r="BJ146" s="20">
        <f ca="1">IF($BE146&lt;=0,ROUND(BN146*0.5,0), ROUND($BE146*V146*AD146*M146*BB146*0.8*[2]ステータス!$E$2,0))</f>
        <v>719</v>
      </c>
      <c r="BK146" s="14">
        <f ca="1">ROUND(BD146*S146*AA146*J146*AY146*[2]ステータス!$B$2,0)</f>
        <v>4588</v>
      </c>
      <c r="BL146" s="14">
        <f ca="1">ROUND(BD146*T146*AB146*K146*AZ146*[2]ステータス!$C$2,0)</f>
        <v>1633</v>
      </c>
      <c r="BM146" s="14">
        <f ca="1">ROUND(BD146*U146*AC146*L146*BA146*[2]ステータス!$D$2,0)</f>
        <v>0</v>
      </c>
      <c r="BN146" s="14">
        <f ca="1">ROUND(BD146*V146*AD146*M146*BB146*[2]ステータス!$E$2,0)</f>
        <v>1236</v>
      </c>
      <c r="BO146" s="13">
        <v>0</v>
      </c>
      <c r="BP146" s="13">
        <v>1</v>
      </c>
      <c r="BQ146" s="13" t="s">
        <v>102</v>
      </c>
      <c r="BR146" s="13">
        <f ca="1">VLOOKUP(H146,ghosts_label!$A$2:$B$19,2,FALSE)</f>
        <v>500</v>
      </c>
    </row>
    <row r="147" spans="1:70" ht="21" customHeight="1" x14ac:dyDescent="0.15">
      <c r="A147" s="14">
        <f t="shared" ca="1" si="15"/>
        <v>146</v>
      </c>
      <c r="B147" s="77" t="str">
        <f ca="1">VLOOKUP($A147,OFFSET([2]characters!$A$1,0,0,COUNTA([2]characters!$A:$A),MATCH(B$1,[2]characters!$1:$1,0)-MATCH($A$1,[2]characters!$1:$1,0)+1),MATCH(B$1,[2]characters!$1:$1,0)-MATCH($A$1,[2]characters!$1:$1,0)+1,FALSE)</f>
        <v>マーメイド</v>
      </c>
      <c r="C147" s="77" t="str">
        <f ca="1">VLOOKUP($A147,OFFSET([2]characters!$A$1,0,0,COUNTA([2]characters!$A:$A),MATCH(C$1,[2]characters!$1:$1,0)-MATCH($A$1,[2]characters!$1:$1,0)+1),MATCH(C$1,[2]characters!$1:$1,0)-MATCH($A$1,[2]characters!$1:$1,0)+1,FALSE)</f>
        <v>初期ガチャ</v>
      </c>
      <c r="D147" s="77" t="str">
        <f ca="1">VLOOKUP($A147,OFFSET([2]characters!$A$1,0,0,COUNTA([2]characters!$A:$A),MATCH(D$1,[2]characters!$1:$1,0)-MATCH($A$1,[2]characters!$1:$1,0)+1),MATCH(D$1,[2]characters!$1:$1,0)-MATCH($A$1,[2]characters!$1:$1,0)+1,FALSE)</f>
        <v>アバター</v>
      </c>
      <c r="E147" s="77" t="str">
        <f ca="1">VLOOKUP($A147,OFFSET([2]characters!$A$1,0,0,COUNTA([2]characters!$A:$A),MATCH(E$1,[2]characters!$1:$1,0)-MATCH($A$1,[2]characters!$1:$1,0)+1),MATCH(E$1,[2]characters!$1:$1,0)-MATCH($A$1,[2]characters!$1:$1,0)+1,FALSE)</f>
        <v>可愛い</v>
      </c>
      <c r="F147" s="77" t="str">
        <f ca="1">VLOOKUP($A147,OFFSET([2]characters!$A$1,0,0,COUNTA([2]characters!$A:$A),MATCH(F$1,[2]characters!$1:$1,0)-MATCH($A$1,[2]characters!$1:$1,0)+1),MATCH(F$1,[2]characters!$1:$1,0)-MATCH($A$1,[2]characters!$1:$1,0)+1,FALSE)</f>
        <v>女性</v>
      </c>
      <c r="G147" s="77">
        <f ca="1">VLOOKUP($A147,OFFSET([2]characters!$A$1,0,0,COUNTA([2]characters!$A:$A),MATCH(G$1,[2]characters!$1:$1,0)-MATCH($A$1,[2]characters!$1:$1,0)+1),MATCH(G$1,[2]characters!$1:$1,0)-MATCH($A$1,[2]characters!$1:$1,0)+1,FALSE)</f>
        <v>3</v>
      </c>
      <c r="H147" s="77" t="str">
        <f ca="1">VLOOKUP($A147,OFFSET([2]characters!$A$1,0,0,COUNTA([2]characters!$A:$A),MATCH(H$1,[2]characters!$1:$1,0)-MATCH($A$1,[2]characters!$1:$1,0)+1),MATCH(H$1,[2]characters!$1:$1,0)-MATCH($A$1,[2]characters!$1:$1,0)+1,FALSE)</f>
        <v>PremiumW</v>
      </c>
      <c r="I147" s="77" t="str">
        <f ca="1">VLOOKUP($A147,OFFSET([2]characters!$A$1,0,0,COUNTA([2]characters!$A:$A),MATCH(I$1,[2]characters!$1:$1,0)-MATCH($A$1,[2]characters!$1:$1,0)+1),MATCH(I$1,[2]characters!$1:$1,0)-MATCH($A$1,[2]characters!$1:$1,0)+1,FALSE)</f>
        <v>blue</v>
      </c>
      <c r="J147" s="14">
        <f ca="1">VLOOKUP(I147,[2]属性!$A:$E,2,FALSE)</f>
        <v>1</v>
      </c>
      <c r="K147" s="14">
        <f ca="1">VLOOKUP(I147,[2]属性!$A:$E,3,FALSE)</f>
        <v>0.98</v>
      </c>
      <c r="L147" s="14">
        <f ca="1">VLOOKUP(I147,[2]属性!$A:$E,4,FALSE)</f>
        <v>1</v>
      </c>
      <c r="M147" s="14">
        <f ca="1">VLOOKUP(I147,[2]属性!$A:$E,5,FALSE)</f>
        <v>1.02</v>
      </c>
      <c r="N147" s="14">
        <f ca="1">INDEX(コスト!$A$1:$I$20,MATCH(H147,コスト!$A$1:$A$20,FALSE),MATCH(G147,コスト!$A$1:$I$1,FALSE))</f>
        <v>7</v>
      </c>
      <c r="O147" s="14">
        <f ca="1">INDEX(レベル!$A$1:$I$21,MATCH(H147,レベル!$A$1:$A$21,FALSE),MATCH(G147,レベル!$A$1:$I$1,FALSE))</f>
        <v>40</v>
      </c>
      <c r="P147" s="63">
        <f t="shared" ca="1" si="21"/>
        <v>45</v>
      </c>
      <c r="Q147" s="77" t="str">
        <f ca="1">VLOOKUP($A147,OFFSET([2]characters!$A$1,0,0,COUNTA([2]characters!$A:$A),MATCH(Q$1,[2]characters!$1:$1,0)-MATCH($A$1,[2]characters!$1:$1,0)+1),MATCH(Q$1,[2]characters!$1:$1,0)-MATCH($A$1,[2]characters!$1:$1,0)+1,FALSE)</f>
        <v>hp</v>
      </c>
      <c r="R147" s="8" t="str">
        <f ca="1">VLOOKUP(Q147,[2]character_type_i18n!$A:$H,3,FALSE)</f>
        <v>体力タイプ</v>
      </c>
      <c r="S147" s="14">
        <f ca="1">VLOOKUP(Q147,[2]character_type_i18n!$A:$H,4,FALSE)</f>
        <v>1.45</v>
      </c>
      <c r="T147" s="14">
        <f ca="1">VLOOKUP(Q147,[2]character_type_i18n!$A:$H,5,FALSE)</f>
        <v>0.85</v>
      </c>
      <c r="U147" s="14">
        <f ca="1">VLOOKUP(Q147,[2]character_type_i18n!$A:$H,6,FALSE)</f>
        <v>1</v>
      </c>
      <c r="V147" s="14">
        <f ca="1">VLOOKUP(Q147,[2]character_type_i18n!$A:$H,7,FALSE)</f>
        <v>0.7</v>
      </c>
      <c r="W147" s="77" t="str">
        <f ca="1">VLOOKUP($A147,OFFSET([2]characters!$A$1,0,0,COUNTA([2]characters!$A:$A),MATCH(W$1,[2]characters!$1:$1,0)-MATCH($A$1,[2]characters!$1:$1,0)+1),MATCH(W$1,[2]characters!$1:$1,0)-MATCH($A$1,[2]characters!$1:$1,0)+1,FALSE)</f>
        <v>human</v>
      </c>
      <c r="X147" s="8" t="str">
        <f ca="1">VLOOKUP(W147,[2]character_tribe_i18n!$A:$H,3,FALSE)</f>
        <v>ヒューマン</v>
      </c>
      <c r="Y147" s="77" t="str">
        <f ca="1">VLOOKUP($A147,OFFSET([2]characters!$A$1,0,0,COUNTA([2]characters!$A:$A),MATCH(Y$1,[2]characters!$1:$1,0)-MATCH($A$1,[2]characters!$1:$1,0)+1),MATCH(Y$1,[2]characters!$1:$1,0)-MATCH($A$1,[2]characters!$1:$1,0)+1,FALSE)</f>
        <v>none</v>
      </c>
      <c r="Z147" s="8" t="str">
        <f ca="1">VLOOKUP(Y147,[2]character_tribe_i18n!$A:$H,3,FALSE)</f>
        <v>種族なし</v>
      </c>
      <c r="AA147" s="14">
        <f ca="1">VLOOKUP(W147,[2]character_tribe_i18n!$A:$H,4,FALSE)</f>
        <v>0.94</v>
      </c>
      <c r="AB147" s="14">
        <f ca="1">VLOOKUP(W147,[2]character_tribe_i18n!$A:$H,5,FALSE)</f>
        <v>0.99</v>
      </c>
      <c r="AC147" s="14">
        <f ca="1">VLOOKUP(W147,[2]character_tribe_i18n!$A:$H,6,FALSE)</f>
        <v>1</v>
      </c>
      <c r="AD147" s="14">
        <f ca="1">VLOOKUP(W147,[2]character_tribe_i18n!$A:$H,7,FALSE)</f>
        <v>1.07</v>
      </c>
      <c r="AE147" s="12">
        <v>147</v>
      </c>
      <c r="AF147" s="85" t="str">
        <f ca="1">IF(AE147="NULL","",VLOOKUP($AE147,OFFSET([2]characters!$A$1,0,0,COUNTA([2]characters!$A:$A),MATCH(AF$1,[2]characters!$1:$1,0)-MATCH($A$1,[2]characters!$1:$1,0)+1),MATCH(AF$1,[2]characters!$1:$1,0)-MATCH($A$1,[2]characters!$1:$1,0)+1,FALSE))</f>
        <v>蒼き閃光 元マーメイド</v>
      </c>
      <c r="AG147" s="8">
        <f t="shared" ca="1" si="16"/>
        <v>146</v>
      </c>
      <c r="AH147" s="85" t="str">
        <f ca="1">VLOOKUP($AG147,OFFSET([2]characters!$A$1,0,0,COUNTA([2]characters!$A:$A),MATCH(AH$1,[2]characters!$1:$1,0)-MATCH($A$1,[2]characters!$1:$1,0)+1),MATCH(AH$1,[2]characters!$1:$1,0)-MATCH($A$1,[2]characters!$1:$1,0)+1,FALSE)</f>
        <v>マーメイド</v>
      </c>
      <c r="AI147" s="14">
        <f ca="1">IF(AE147="NULL","NULL",VLOOKUP(G147,ビット!$A$2:$B$7,2))</f>
        <v>20000</v>
      </c>
      <c r="AJ147" s="9">
        <v>2</v>
      </c>
      <c r="AK147" s="10" t="str">
        <f t="shared" si="17"/>
        <v>普通</v>
      </c>
      <c r="AL147" s="14" t="str">
        <f ca="1">INDEX(経験値!$A$1:$I$20,MATCH(H147,経験値!$A$1:$A$20,FALSE),MATCH(G147,経験値!$A$1:$I$1,FALSE))</f>
        <v>required_exp_150</v>
      </c>
      <c r="AM147" s="11">
        <f ca="1">VLOOKUP(G147,経験値!$A$27:$B$31,2)</f>
        <v>1500</v>
      </c>
      <c r="AN147" s="21">
        <f ca="1">VLOOKUP(G147,ビット!$G$2:$H$7,2)</f>
        <v>300</v>
      </c>
      <c r="AO147" s="98" t="s">
        <v>181</v>
      </c>
      <c r="AP147" s="97">
        <v>460001</v>
      </c>
      <c r="AQ147" s="77" t="e">
        <f ca="1">VLOOKUP($AP147,OFFSET([1]unit_skills!$A$1,0,0,COUNTA([1]unit_skills!$A:$A),MATCH("name",[1]unit_skills!$1:$1,0)-MATCH($AP$1,[1]unit_skills!$1:$1,0)+1),MATCH("name",[1]unit_skills!$1:$1,0)-MATCH($AP$1,[1]unit_skills!$1:$1,0)+1,FALSE)</f>
        <v>#VALUE!</v>
      </c>
      <c r="AR147" s="77" t="e">
        <f ca="1">VLOOKUP($AP147,OFFSET([1]unit_skills!$A$1,0,0,COUNTA([1]unit_skills!$A:$A),MATCH("comment",[1]unit_skills!$1:$1,0)-MATCH($AP$1,[1]unit_skills!$1:$1,0)+1),MATCH("comment",[1]unit_skills!$1:$1,0)-MATCH($AP$1,[1]unit_skills!$1:$1,0)+1,FALSE)</f>
        <v>#VALUE!</v>
      </c>
      <c r="AS147" s="77" t="e">
        <f ca="1">VLOOKUP($AP147,OFFSET([1]unit_skills!$A$1,0,0,COUNTA([1]unit_skills!$A:$A),MATCH(AS$1,[1]unit_skills!$1:$1,0)-MATCH($AP$1,[1]unit_skills!$1:$1,0)+1),MATCH(AS$1,[1]unit_skills!$1:$1,0)-MATCH($AP$1,[1]unit_skills!$1:$1,0)+1,FALSE)</f>
        <v>#VALUE!</v>
      </c>
      <c r="AT147" s="97">
        <v>123003</v>
      </c>
      <c r="AU147" s="77" t="e">
        <f ca="1">VLOOKUP($AT147,OFFSET([1]crash_skills!$A$1,0,0,COUNTA([1]crash_skills!$A:$A),MATCH("name",[1]crash_skills!$1:$1,0)-MATCH($AT$1,[1]crash_skills!$1:$1,0)+1),MATCH("name",[1]crash_skills!$1:$1,0)-MATCH($AT$1,[1]crash_skills!$1:$1,0)+1,FALSE)</f>
        <v>#VALUE!</v>
      </c>
      <c r="AV147" s="77" t="e">
        <f ca="1">VLOOKUP($AT147,OFFSET([1]crash_skills!$A$1,0,0,COUNTA([1]crash_skills!$A:$A),MATCH("comment",[1]crash_skills!$1:$1,0)-MATCH($AT$1,[1]crash_skills!$1:$1,0)+1),MATCH("comment",[1]crash_skills!$1:$1,0)-MATCH($AT$1,[1]crash_skills!$1:$1,0)+1,FALSE)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47" s="77" t="e">
        <f ca="1">VLOOKUP($AT147,OFFSET([1]crash_skills!$A$1,0,0,COUNTA([1]crash_skills!$A:$A),MATCH(AW$1,[1]crash_skills!$1:$1,0)-MATCH($AT$1,[1]crash_skills!$1:$1,0)+1),MATCH(AW$1,[1]crash_skills!$1:$1,0)-MATCH($AT$1,[1]crash_skills!$1:$1,0)+1,FALSE)</f>
        <v>#VALUE!</v>
      </c>
      <c r="AX147" s="81">
        <f ca="1">VLOOKUP($A147,OFFSET([2]characters!$A$1,0,0,COUNTA([2]characters!$A:$A),MATCH(AX$1,[2]characters!$1:$1,0)-MATCH($A$1,[2]characters!$1:$1,0)+1),MATCH(AX$1,[2]characters!$1:$1,0)-MATCH($A$1,[2]characters!$1:$1,0)+1,FALSE)</f>
        <v>3</v>
      </c>
      <c r="AY147" s="19">
        <v>1</v>
      </c>
      <c r="AZ147" s="19">
        <v>1</v>
      </c>
      <c r="BA147" s="19">
        <v>0</v>
      </c>
      <c r="BB147" s="19">
        <v>1</v>
      </c>
      <c r="BC147" s="14">
        <f ca="1">INDEX('RC6SV'!$A$1:$G$20,MATCH(H147,'RC6SV'!$A$1:$A$20,FALSE),MATCH(G147,'RC6SV'!$A$1:$G$1,FALSE))</f>
        <v>4800</v>
      </c>
      <c r="BD147" s="63">
        <f t="shared" ca="1" si="18"/>
        <v>4800</v>
      </c>
      <c r="BE147" s="14">
        <f t="shared" ca="1" si="19"/>
        <v>0</v>
      </c>
      <c r="BF147" s="14">
        <f t="shared" ca="1" si="20"/>
        <v>1</v>
      </c>
      <c r="BG147" s="20">
        <f ca="1">IF($BE147&lt;=0,ROUND(BK147*0.5,0), ROUND($BE147*S147*AA147*J147*AY147*0.8*[2]ステータス!$B$2,0))</f>
        <v>1636</v>
      </c>
      <c r="BH147" s="20">
        <f ca="1">IF($BE147&lt;=0,ROUND(BL147*0.5,0), ROUND($BE147*T147*AB147*K147*AZ147*0.8*[2]ステータス!$C$2,0))</f>
        <v>594</v>
      </c>
      <c r="BI147" s="20">
        <f ca="1">IF($BE147&lt;=0,ROUND(BM147*0.5,0), ROUND($BE147*U147*AC147*L147*BA147*0.8*[2]ステータス!$D$2,0))</f>
        <v>0</v>
      </c>
      <c r="BJ147" s="20">
        <f ca="1">IF($BE147&lt;=0,ROUND(BN147*0.5,0), ROUND($BE147*V147*AD147*M147*BB147*0.8*[2]ステータス!$E$2,0))</f>
        <v>459</v>
      </c>
      <c r="BK147" s="14">
        <f ca="1">ROUND(BD147*S147*AA147*J147*AY147*[2]ステータス!$B$2,0)</f>
        <v>3271</v>
      </c>
      <c r="BL147" s="14">
        <f ca="1">ROUND(BD147*T147*AB147*K147*AZ147*[2]ステータス!$C$2,0)</f>
        <v>1188</v>
      </c>
      <c r="BM147" s="14">
        <f ca="1">ROUND(BD147*U147*AC147*L147*BA147*[2]ステータス!$D$2,0)</f>
        <v>0</v>
      </c>
      <c r="BN147" s="14">
        <f ca="1">ROUND(BD147*V147*AD147*M147*BB147*[2]ステータス!$E$2,0)</f>
        <v>917</v>
      </c>
      <c r="BO147" s="13">
        <v>0</v>
      </c>
      <c r="BP147" s="13">
        <v>1</v>
      </c>
      <c r="BQ147" s="13" t="s">
        <v>102</v>
      </c>
      <c r="BR147" s="13">
        <f ca="1">VLOOKUP(H147,ghosts_label!$A$2:$B$19,2,FALSE)</f>
        <v>500</v>
      </c>
    </row>
    <row r="148" spans="1:70" ht="21" customHeight="1" x14ac:dyDescent="0.15">
      <c r="A148" s="14">
        <f t="shared" ca="1" si="15"/>
        <v>147</v>
      </c>
      <c r="B148" s="77" t="str">
        <f ca="1">VLOOKUP($A148,OFFSET([2]characters!$A$1,0,0,COUNTA([2]characters!$A:$A),MATCH(B$1,[2]characters!$1:$1,0)-MATCH($A$1,[2]characters!$1:$1,0)+1),MATCH(B$1,[2]characters!$1:$1,0)-MATCH($A$1,[2]characters!$1:$1,0)+1,FALSE)</f>
        <v>蒼き閃光 元マーメイド</v>
      </c>
      <c r="C148" s="77" t="str">
        <f ca="1">VLOOKUP($A148,OFFSET([2]characters!$A$1,0,0,COUNTA([2]characters!$A:$A),MATCH(C$1,[2]characters!$1:$1,0)-MATCH($A$1,[2]characters!$1:$1,0)+1),MATCH(C$1,[2]characters!$1:$1,0)-MATCH($A$1,[2]characters!$1:$1,0)+1,FALSE)</f>
        <v>初期ガチャ</v>
      </c>
      <c r="D148" s="77" t="str">
        <f ca="1">VLOOKUP($A148,OFFSET([2]characters!$A$1,0,0,COUNTA([2]characters!$A:$A),MATCH(D$1,[2]characters!$1:$1,0)-MATCH($A$1,[2]characters!$1:$1,0)+1),MATCH(D$1,[2]characters!$1:$1,0)-MATCH($A$1,[2]characters!$1:$1,0)+1,FALSE)</f>
        <v>アバター</v>
      </c>
      <c r="E148" s="77" t="str">
        <f ca="1">VLOOKUP($A148,OFFSET([2]characters!$A$1,0,0,COUNTA([2]characters!$A:$A),MATCH(E$1,[2]characters!$1:$1,0)-MATCH($A$1,[2]characters!$1:$1,0)+1),MATCH(E$1,[2]characters!$1:$1,0)-MATCH($A$1,[2]characters!$1:$1,0)+1,FALSE)</f>
        <v>可愛い</v>
      </c>
      <c r="F148" s="77" t="str">
        <f ca="1">VLOOKUP($A148,OFFSET([2]characters!$A$1,0,0,COUNTA([2]characters!$A:$A),MATCH(F$1,[2]characters!$1:$1,0)-MATCH($A$1,[2]characters!$1:$1,0)+1),MATCH(F$1,[2]characters!$1:$1,0)-MATCH($A$1,[2]characters!$1:$1,0)+1,FALSE)</f>
        <v>女性</v>
      </c>
      <c r="G148" s="77">
        <f ca="1">VLOOKUP($A148,OFFSET([2]characters!$A$1,0,0,COUNTA([2]characters!$A:$A),MATCH(G$1,[2]characters!$1:$1,0)-MATCH($A$1,[2]characters!$1:$1,0)+1),MATCH(G$1,[2]characters!$1:$1,0)-MATCH($A$1,[2]characters!$1:$1,0)+1,FALSE)</f>
        <v>4</v>
      </c>
      <c r="H148" s="77" t="str">
        <f ca="1">VLOOKUP($A148,OFFSET([2]characters!$A$1,0,0,COUNTA([2]characters!$A:$A),MATCH(H$1,[2]characters!$1:$1,0)-MATCH($A$1,[2]characters!$1:$1,0)+1),MATCH(H$1,[2]characters!$1:$1,0)-MATCH($A$1,[2]characters!$1:$1,0)+1,FALSE)</f>
        <v>PremiumW</v>
      </c>
      <c r="I148" s="77" t="str">
        <f ca="1">VLOOKUP($A148,OFFSET([2]characters!$A$1,0,0,COUNTA([2]characters!$A:$A),MATCH(I$1,[2]characters!$1:$1,0)-MATCH($A$1,[2]characters!$1:$1,0)+1),MATCH(I$1,[2]characters!$1:$1,0)-MATCH($A$1,[2]characters!$1:$1,0)+1,FALSE)</f>
        <v>blue</v>
      </c>
      <c r="J148" s="14">
        <f ca="1">VLOOKUP(I148,[2]属性!$A:$E,2,FALSE)</f>
        <v>1</v>
      </c>
      <c r="K148" s="14">
        <f ca="1">VLOOKUP(I148,[2]属性!$A:$E,3,FALSE)</f>
        <v>0.98</v>
      </c>
      <c r="L148" s="14">
        <f ca="1">VLOOKUP(I148,[2]属性!$A:$E,4,FALSE)</f>
        <v>1</v>
      </c>
      <c r="M148" s="14">
        <f ca="1">VLOOKUP(I148,[2]属性!$A:$E,5,FALSE)</f>
        <v>1.02</v>
      </c>
      <c r="N148" s="14">
        <f ca="1">INDEX(コスト!$A$1:$I$20,MATCH(H148,コスト!$A$1:$A$20,FALSE),MATCH(G148,コスト!$A$1:$I$1,FALSE))</f>
        <v>16</v>
      </c>
      <c r="O148" s="14">
        <f ca="1">INDEX(レベル!$A$1:$I$21,MATCH(H148,レベル!$A$1:$A$21,FALSE),MATCH(G148,レベル!$A$1:$I$1,FALSE))</f>
        <v>60</v>
      </c>
      <c r="P148" s="63">
        <f t="shared" ca="1" si="21"/>
        <v>60</v>
      </c>
      <c r="Q148" s="77" t="str">
        <f ca="1">VLOOKUP($A148,OFFSET([2]characters!$A$1,0,0,COUNTA([2]characters!$A:$A),MATCH(Q$1,[2]characters!$1:$1,0)-MATCH($A$1,[2]characters!$1:$1,0)+1),MATCH(Q$1,[2]characters!$1:$1,0)-MATCH($A$1,[2]characters!$1:$1,0)+1,FALSE)</f>
        <v>hp</v>
      </c>
      <c r="R148" s="8" t="str">
        <f ca="1">VLOOKUP(Q148,[2]character_type_i18n!$A:$H,3,FALSE)</f>
        <v>体力タイプ</v>
      </c>
      <c r="S148" s="14">
        <f ca="1">VLOOKUP(Q148,[2]character_type_i18n!$A:$H,4,FALSE)</f>
        <v>1.45</v>
      </c>
      <c r="T148" s="14">
        <f ca="1">VLOOKUP(Q148,[2]character_type_i18n!$A:$H,5,FALSE)</f>
        <v>0.85</v>
      </c>
      <c r="U148" s="14">
        <f ca="1">VLOOKUP(Q148,[2]character_type_i18n!$A:$H,6,FALSE)</f>
        <v>1</v>
      </c>
      <c r="V148" s="14">
        <f ca="1">VLOOKUP(Q148,[2]character_type_i18n!$A:$H,7,FALSE)</f>
        <v>0.7</v>
      </c>
      <c r="W148" s="77" t="str">
        <f ca="1">VLOOKUP($A148,OFFSET([2]characters!$A$1,0,0,COUNTA([2]characters!$A:$A),MATCH(W$1,[2]characters!$1:$1,0)-MATCH($A$1,[2]characters!$1:$1,0)+1),MATCH(W$1,[2]characters!$1:$1,0)-MATCH($A$1,[2]characters!$1:$1,0)+1,FALSE)</f>
        <v>human</v>
      </c>
      <c r="X148" s="8" t="str">
        <f ca="1">VLOOKUP(W148,[2]character_tribe_i18n!$A:$H,3,FALSE)</f>
        <v>ヒューマン</v>
      </c>
      <c r="Y148" s="77" t="str">
        <f ca="1">VLOOKUP($A148,OFFSET([2]characters!$A$1,0,0,COUNTA([2]characters!$A:$A),MATCH(Y$1,[2]characters!$1:$1,0)-MATCH($A$1,[2]characters!$1:$1,0)+1),MATCH(Y$1,[2]characters!$1:$1,0)-MATCH($A$1,[2]characters!$1:$1,0)+1,FALSE)</f>
        <v>none</v>
      </c>
      <c r="Z148" s="8" t="str">
        <f ca="1">VLOOKUP(Y148,[2]character_tribe_i18n!$A:$H,3,FALSE)</f>
        <v>種族なし</v>
      </c>
      <c r="AA148" s="14">
        <f ca="1">VLOOKUP(W148,[2]character_tribe_i18n!$A:$H,4,FALSE)</f>
        <v>0.94</v>
      </c>
      <c r="AB148" s="14">
        <f ca="1">VLOOKUP(W148,[2]character_tribe_i18n!$A:$H,5,FALSE)</f>
        <v>0.99</v>
      </c>
      <c r="AC148" s="14">
        <f ca="1">VLOOKUP(W148,[2]character_tribe_i18n!$A:$H,6,FALSE)</f>
        <v>1</v>
      </c>
      <c r="AD148" s="14">
        <f ca="1">VLOOKUP(W148,[2]character_tribe_i18n!$A:$H,7,FALSE)</f>
        <v>1.07</v>
      </c>
      <c r="AE148" s="12" t="s">
        <v>102</v>
      </c>
      <c r="AF148" s="85" t="str">
        <f ca="1">IF(AE148="NULL","",VLOOKUP($AE148,OFFSET([2]characters!$A$1,0,0,COUNTA([2]characters!$A:$A),MATCH(AF$1,[2]characters!$1:$1,0)-MATCH($A$1,[2]characters!$1:$1,0)+1),MATCH(AF$1,[2]characters!$1:$1,0)-MATCH($A$1,[2]characters!$1:$1,0)+1,FALSE))</f>
        <v/>
      </c>
      <c r="AG148" s="8">
        <f t="shared" ca="1" si="16"/>
        <v>146</v>
      </c>
      <c r="AH148" s="85" t="str">
        <f ca="1">VLOOKUP($AG148,OFFSET([2]characters!$A$1,0,0,COUNTA([2]characters!$A:$A),MATCH(AH$1,[2]characters!$1:$1,0)-MATCH($A$1,[2]characters!$1:$1,0)+1),MATCH(AH$1,[2]characters!$1:$1,0)-MATCH($A$1,[2]characters!$1:$1,0)+1,FALSE)</f>
        <v>マーメイド</v>
      </c>
      <c r="AI148" s="14" t="str">
        <f>IF(AE148="NULL","NULL",VLOOKUP(G148,ビット!$A$2:$B$7,2))</f>
        <v>NULL</v>
      </c>
      <c r="AJ148" s="9">
        <v>2</v>
      </c>
      <c r="AK148" s="10" t="str">
        <f t="shared" si="17"/>
        <v>普通</v>
      </c>
      <c r="AL148" s="14" t="str">
        <f ca="1">INDEX(経験値!$A$1:$I$20,MATCH(H148,経験値!$A$1:$A$20,FALSE),MATCH(G148,経験値!$A$1:$I$1,FALSE))</f>
        <v>required_exp_150</v>
      </c>
      <c r="AM148" s="11">
        <f ca="1">VLOOKUP(G148,経験値!$A$27:$B$31,2)</f>
        <v>3400</v>
      </c>
      <c r="AN148" s="21">
        <f ca="1">VLOOKUP(G148,ビット!$G$2:$H$7,2)</f>
        <v>600</v>
      </c>
      <c r="AO148" s="98" t="s">
        <v>181</v>
      </c>
      <c r="AP148" s="97">
        <v>460002</v>
      </c>
      <c r="AQ148" s="77" t="e">
        <f ca="1">VLOOKUP($AP148,OFFSET([1]unit_skills!$A$1,0,0,COUNTA([1]unit_skills!$A:$A),MATCH("name",[1]unit_skills!$1:$1,0)-MATCH($AP$1,[1]unit_skills!$1:$1,0)+1),MATCH("name",[1]unit_skills!$1:$1,0)-MATCH($AP$1,[1]unit_skills!$1:$1,0)+1,FALSE)</f>
        <v>#VALUE!</v>
      </c>
      <c r="AR148" s="77" t="e">
        <f ca="1">VLOOKUP($AP148,OFFSET([1]unit_skills!$A$1,0,0,COUNTA([1]unit_skills!$A:$A),MATCH("comment",[1]unit_skills!$1:$1,0)-MATCH($AP$1,[1]unit_skills!$1:$1,0)+1),MATCH("comment",[1]unit_skills!$1:$1,0)-MATCH($AP$1,[1]unit_skills!$1:$1,0)+1,FALSE)</f>
        <v>#VALUE!</v>
      </c>
      <c r="AS148" s="77" t="e">
        <f ca="1">VLOOKUP($AP148,OFFSET([1]unit_skills!$A$1,0,0,COUNTA([1]unit_skills!$A:$A),MATCH(AS$1,[1]unit_skills!$1:$1,0)-MATCH($AP$1,[1]unit_skills!$1:$1,0)+1),MATCH(AS$1,[1]unit_skills!$1:$1,0)-MATCH($AP$1,[1]unit_skills!$1:$1,0)+1,FALSE)</f>
        <v>#VALUE!</v>
      </c>
      <c r="AT148" s="97">
        <v>123009</v>
      </c>
      <c r="AU148" s="77" t="e">
        <f ca="1">VLOOKUP($AT148,OFFSET([1]crash_skills!$A$1,0,0,COUNTA([1]crash_skills!$A:$A),MATCH("name",[1]crash_skills!$1:$1,0)-MATCH($AT$1,[1]crash_skills!$1:$1,0)+1),MATCH("name",[1]crash_skills!$1:$1,0)-MATCH($AT$1,[1]crash_skills!$1:$1,0)+1,FALSE)</f>
        <v>#VALUE!</v>
      </c>
      <c r="AV148" s="77" t="e">
        <f ca="1">VLOOKUP($AT148,OFFSET([1]crash_skills!$A$1,0,0,COUNTA([1]crash_skills!$A:$A),MATCH("comment",[1]crash_skills!$1:$1,0)-MATCH($AT$1,[1]crash_skills!$1:$1,0)+1),MATCH("comment",[1]crash_skills!$1:$1,0)-MATCH($AT$1,[1]crash_skills!$1:$1,0)+1,FALSE)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48" s="77" t="e">
        <f ca="1">VLOOKUP($AT148,OFFSET([1]crash_skills!$A$1,0,0,COUNTA([1]crash_skills!$A:$A),MATCH(AW$1,[1]crash_skills!$1:$1,0)-MATCH($AT$1,[1]crash_skills!$1:$1,0)+1),MATCH(AW$1,[1]crash_skills!$1:$1,0)-MATCH($AT$1,[1]crash_skills!$1:$1,0)+1,FALSE)</f>
        <v>#VALUE!</v>
      </c>
      <c r="AX148" s="81">
        <f ca="1">VLOOKUP($A148,OFFSET([2]characters!$A$1,0,0,COUNTA([2]characters!$A:$A),MATCH(AX$1,[2]characters!$1:$1,0)-MATCH($A$1,[2]characters!$1:$1,0)+1),MATCH(AX$1,[2]characters!$1:$1,0)-MATCH($A$1,[2]characters!$1:$1,0)+1,FALSE)</f>
        <v>3</v>
      </c>
      <c r="AY148" s="19">
        <v>1</v>
      </c>
      <c r="AZ148" s="19">
        <v>1</v>
      </c>
      <c r="BA148" s="19">
        <v>0</v>
      </c>
      <c r="BB148" s="19">
        <v>1</v>
      </c>
      <c r="BC148" s="14">
        <f ca="1">INDEX('RC6SV'!$A$1:$G$20,MATCH(H148,'RC6SV'!$A$1:$A$20,FALSE),MATCH(G148,'RC6SV'!$A$1:$G$1,FALSE))</f>
        <v>6600</v>
      </c>
      <c r="BD148" s="63">
        <f t="shared" ca="1" si="18"/>
        <v>6600</v>
      </c>
      <c r="BE148" s="14">
        <f t="shared" ca="1" si="19"/>
        <v>4800</v>
      </c>
      <c r="BF148" s="14">
        <f t="shared" ca="1" si="20"/>
        <v>1</v>
      </c>
      <c r="BG148" s="20">
        <f ca="1">IF($BE148&lt;=0,ROUND(BK148*0.5,0), ROUND($BE148*S148*AA148*J148*AY148*0.8*[2]ステータス!$B$2,0))</f>
        <v>2617</v>
      </c>
      <c r="BH148" s="20">
        <f ca="1">IF($BE148&lt;=0,ROUND(BL148*0.5,0), ROUND($BE148*T148*AB148*K148*AZ148*0.8*[2]ステータス!$C$2,0))</f>
        <v>950</v>
      </c>
      <c r="BI148" s="20">
        <f ca="1">IF($BE148&lt;=0,ROUND(BM148*0.5,0), ROUND($BE148*U148*AC148*L148*BA148*0.8*[2]ステータス!$D$2,0))</f>
        <v>0</v>
      </c>
      <c r="BJ148" s="20">
        <f ca="1">IF($BE148&lt;=0,ROUND(BN148*0.5,0), ROUND($BE148*V148*AD148*M148*BB148*0.8*[2]ステータス!$E$2,0))</f>
        <v>733</v>
      </c>
      <c r="BK148" s="14">
        <f ca="1">ROUND(BD148*S148*AA148*J148*AY148*[2]ステータス!$B$2,0)</f>
        <v>4498</v>
      </c>
      <c r="BL148" s="14">
        <f ca="1">ROUND(BD148*T148*AB148*K148*AZ148*[2]ステータス!$C$2,0)</f>
        <v>1633</v>
      </c>
      <c r="BM148" s="14">
        <f ca="1">ROUND(BD148*U148*AC148*L148*BA148*[2]ステータス!$D$2,0)</f>
        <v>0</v>
      </c>
      <c r="BN148" s="14">
        <f ca="1">ROUND(BD148*V148*AD148*M148*BB148*[2]ステータス!$E$2,0)</f>
        <v>1261</v>
      </c>
      <c r="BO148" s="13">
        <v>0</v>
      </c>
      <c r="BP148" s="13">
        <v>1</v>
      </c>
      <c r="BQ148" s="13" t="s">
        <v>102</v>
      </c>
      <c r="BR148" s="13">
        <f ca="1">VLOOKUP(H148,ghosts_label!$A$2:$B$19,2,FALSE)</f>
        <v>500</v>
      </c>
    </row>
    <row r="149" spans="1:70" ht="21" customHeight="1" x14ac:dyDescent="0.15">
      <c r="A149" s="14">
        <f t="shared" ca="1" si="15"/>
        <v>148</v>
      </c>
      <c r="B149" s="77" t="str">
        <f ca="1">VLOOKUP($A149,OFFSET([2]characters!$A$1,0,0,COUNTA([2]characters!$A:$A),MATCH(B$1,[2]characters!$1:$1,0)-MATCH($A$1,[2]characters!$1:$1,0)+1),MATCH(B$1,[2]characters!$1:$1,0)-MATCH($A$1,[2]characters!$1:$1,0)+1,FALSE)</f>
        <v>シンデレラ</v>
      </c>
      <c r="C149" s="77" t="str">
        <f ca="1">VLOOKUP($A149,OFFSET([2]characters!$A$1,0,0,COUNTA([2]characters!$A:$A),MATCH(C$1,[2]characters!$1:$1,0)-MATCH($A$1,[2]characters!$1:$1,0)+1),MATCH(C$1,[2]characters!$1:$1,0)-MATCH($A$1,[2]characters!$1:$1,0)+1,FALSE)</f>
        <v>初期ガチャ</v>
      </c>
      <c r="D149" s="77" t="str">
        <f ca="1">VLOOKUP($A149,OFFSET([2]characters!$A$1,0,0,COUNTA([2]characters!$A:$A),MATCH(D$1,[2]characters!$1:$1,0)-MATCH($A$1,[2]characters!$1:$1,0)+1),MATCH(D$1,[2]characters!$1:$1,0)-MATCH($A$1,[2]characters!$1:$1,0)+1,FALSE)</f>
        <v>アバター</v>
      </c>
      <c r="E149" s="77" t="str">
        <f ca="1">VLOOKUP($A149,OFFSET([2]characters!$A$1,0,0,COUNTA([2]characters!$A:$A),MATCH(E$1,[2]characters!$1:$1,0)-MATCH($A$1,[2]characters!$1:$1,0)+1),MATCH(E$1,[2]characters!$1:$1,0)-MATCH($A$1,[2]characters!$1:$1,0)+1,FALSE)</f>
        <v>美しい</v>
      </c>
      <c r="F149" s="77" t="str">
        <f ca="1">VLOOKUP($A149,OFFSET([2]characters!$A$1,0,0,COUNTA([2]characters!$A:$A),MATCH(F$1,[2]characters!$1:$1,0)-MATCH($A$1,[2]characters!$1:$1,0)+1),MATCH(F$1,[2]characters!$1:$1,0)-MATCH($A$1,[2]characters!$1:$1,0)+1,FALSE)</f>
        <v>女性</v>
      </c>
      <c r="G149" s="77">
        <f ca="1">VLOOKUP($A149,OFFSET([2]characters!$A$1,0,0,COUNTA([2]characters!$A:$A),MATCH(G$1,[2]characters!$1:$1,0)-MATCH($A$1,[2]characters!$1:$1,0)+1),MATCH(G$1,[2]characters!$1:$1,0)-MATCH($A$1,[2]characters!$1:$1,0)+1,FALSE)</f>
        <v>3</v>
      </c>
      <c r="H149" s="77" t="str">
        <f ca="1">VLOOKUP($A149,OFFSET([2]characters!$A$1,0,0,COUNTA([2]characters!$A:$A),MATCH(H$1,[2]characters!$1:$1,0)-MATCH($A$1,[2]characters!$1:$1,0)+1),MATCH(H$1,[2]characters!$1:$1,0)-MATCH($A$1,[2]characters!$1:$1,0)+1,FALSE)</f>
        <v>PremiumW</v>
      </c>
      <c r="I149" s="77" t="str">
        <f ca="1">VLOOKUP($A149,OFFSET([2]characters!$A$1,0,0,COUNTA([2]characters!$A:$A),MATCH(I$1,[2]characters!$1:$1,0)-MATCH($A$1,[2]characters!$1:$1,0)+1),MATCH(I$1,[2]characters!$1:$1,0)-MATCH($A$1,[2]characters!$1:$1,0)+1,FALSE)</f>
        <v>yellow</v>
      </c>
      <c r="J149" s="14">
        <f ca="1">VLOOKUP(I149,[2]属性!$A:$E,2,FALSE)</f>
        <v>0.98</v>
      </c>
      <c r="K149" s="14">
        <f ca="1">VLOOKUP(I149,[2]属性!$A:$E,3,FALSE)</f>
        <v>1.01</v>
      </c>
      <c r="L149" s="14">
        <f ca="1">VLOOKUP(I149,[2]属性!$A:$E,4,FALSE)</f>
        <v>1</v>
      </c>
      <c r="M149" s="14">
        <f ca="1">VLOOKUP(I149,[2]属性!$A:$E,5,FALSE)</f>
        <v>1.01</v>
      </c>
      <c r="N149" s="14">
        <f ca="1">INDEX(コスト!$A$1:$I$20,MATCH(H149,コスト!$A$1:$A$20,FALSE),MATCH(G149,コスト!$A$1:$I$1,FALSE))</f>
        <v>7</v>
      </c>
      <c r="O149" s="14">
        <f ca="1">INDEX(レベル!$A$1:$I$21,MATCH(H149,レベル!$A$1:$A$21,FALSE),MATCH(G149,レベル!$A$1:$I$1,FALSE))</f>
        <v>40</v>
      </c>
      <c r="P149" s="63">
        <f t="shared" ca="1" si="21"/>
        <v>45</v>
      </c>
      <c r="Q149" s="77" t="str">
        <f ca="1">VLOOKUP($A149,OFFSET([2]characters!$A$1,0,0,COUNTA([2]characters!$A:$A),MATCH(Q$1,[2]characters!$1:$1,0)-MATCH($A$1,[2]characters!$1:$1,0)+1),MATCH(Q$1,[2]characters!$1:$1,0)-MATCH($A$1,[2]characters!$1:$1,0)+1,FALSE)</f>
        <v>balance</v>
      </c>
      <c r="R149" s="8" t="str">
        <f ca="1">VLOOKUP(Q149,[2]character_type_i18n!$A:$H,3,FALSE)</f>
        <v>バランスタイプ</v>
      </c>
      <c r="S149" s="14">
        <f ca="1">VLOOKUP(Q149,[2]character_type_i18n!$A:$H,4,FALSE)</f>
        <v>1</v>
      </c>
      <c r="T149" s="14">
        <f ca="1">VLOOKUP(Q149,[2]character_type_i18n!$A:$H,5,FALSE)</f>
        <v>1</v>
      </c>
      <c r="U149" s="14">
        <f ca="1">VLOOKUP(Q149,[2]character_type_i18n!$A:$H,6,FALSE)</f>
        <v>1</v>
      </c>
      <c r="V149" s="14">
        <f ca="1">VLOOKUP(Q149,[2]character_type_i18n!$A:$H,7,FALSE)</f>
        <v>1</v>
      </c>
      <c r="W149" s="77" t="str">
        <f ca="1">VLOOKUP($A149,OFFSET([2]characters!$A$1,0,0,COUNTA([2]characters!$A:$A),MATCH(W$1,[2]characters!$1:$1,0)-MATCH($A$1,[2]characters!$1:$1,0)+1),MATCH(W$1,[2]characters!$1:$1,0)-MATCH($A$1,[2]characters!$1:$1,0)+1,FALSE)</f>
        <v>human</v>
      </c>
      <c r="X149" s="8" t="str">
        <f ca="1">VLOOKUP(W149,[2]character_tribe_i18n!$A:$H,3,FALSE)</f>
        <v>ヒューマン</v>
      </c>
      <c r="Y149" s="77" t="str">
        <f ca="1">VLOOKUP($A149,OFFSET([2]characters!$A$1,0,0,COUNTA([2]characters!$A:$A),MATCH(Y$1,[2]characters!$1:$1,0)-MATCH($A$1,[2]characters!$1:$1,0)+1),MATCH(Y$1,[2]characters!$1:$1,0)-MATCH($A$1,[2]characters!$1:$1,0)+1,FALSE)</f>
        <v>none</v>
      </c>
      <c r="Z149" s="8" t="str">
        <f ca="1">VLOOKUP(Y149,[2]character_tribe_i18n!$A:$H,3,FALSE)</f>
        <v>種族なし</v>
      </c>
      <c r="AA149" s="14">
        <f ca="1">VLOOKUP(W149,[2]character_tribe_i18n!$A:$H,4,FALSE)</f>
        <v>0.94</v>
      </c>
      <c r="AB149" s="14">
        <f ca="1">VLOOKUP(W149,[2]character_tribe_i18n!$A:$H,5,FALSE)</f>
        <v>0.99</v>
      </c>
      <c r="AC149" s="14">
        <f ca="1">VLOOKUP(W149,[2]character_tribe_i18n!$A:$H,6,FALSE)</f>
        <v>1</v>
      </c>
      <c r="AD149" s="14">
        <f ca="1">VLOOKUP(W149,[2]character_tribe_i18n!$A:$H,7,FALSE)</f>
        <v>1.07</v>
      </c>
      <c r="AE149" s="12">
        <v>149</v>
      </c>
      <c r="AF149" s="85" t="str">
        <f ca="1">IF(AE149="NULL","",VLOOKUP($AE149,OFFSET([2]characters!$A$1,0,0,COUNTA([2]characters!$A:$A),MATCH(AF$1,[2]characters!$1:$1,0)-MATCH($A$1,[2]characters!$1:$1,0)+1),MATCH(AF$1,[2]characters!$1:$1,0)-MATCH($A$1,[2]characters!$1:$1,0)+1,FALSE))</f>
        <v>雷撃蹴技を極めし者 シンデレラ</v>
      </c>
      <c r="AG149" s="8">
        <f t="shared" ca="1" si="16"/>
        <v>148</v>
      </c>
      <c r="AH149" s="85" t="str">
        <f ca="1">VLOOKUP($AG149,OFFSET([2]characters!$A$1,0,0,COUNTA([2]characters!$A:$A),MATCH(AH$1,[2]characters!$1:$1,0)-MATCH($A$1,[2]characters!$1:$1,0)+1),MATCH(AH$1,[2]characters!$1:$1,0)-MATCH($A$1,[2]characters!$1:$1,0)+1,FALSE)</f>
        <v>シンデレラ</v>
      </c>
      <c r="AI149" s="14">
        <f ca="1">IF(AE149="NULL","NULL",VLOOKUP(G149,ビット!$A$2:$B$7,2))</f>
        <v>20000</v>
      </c>
      <c r="AJ149" s="9">
        <v>2</v>
      </c>
      <c r="AK149" s="10" t="str">
        <f t="shared" si="17"/>
        <v>普通</v>
      </c>
      <c r="AL149" s="14" t="str">
        <f ca="1">INDEX(経験値!$A$1:$I$20,MATCH(H149,経験値!$A$1:$A$20,FALSE),MATCH(G149,経験値!$A$1:$I$1,FALSE))</f>
        <v>required_exp_150</v>
      </c>
      <c r="AM149" s="11">
        <f ca="1">VLOOKUP(G149,経験値!$A$27:$B$31,2)</f>
        <v>1500</v>
      </c>
      <c r="AN149" s="21">
        <f ca="1">VLOOKUP(G149,ビット!$G$2:$H$7,2)</f>
        <v>300</v>
      </c>
      <c r="AO149" s="98" t="s">
        <v>179</v>
      </c>
      <c r="AP149" s="97">
        <v>974001</v>
      </c>
      <c r="AQ149" s="77" t="e">
        <f ca="1">VLOOKUP($AP149,OFFSET([1]unit_skills!$A$1,0,0,COUNTA([1]unit_skills!$A:$A),MATCH("name",[1]unit_skills!$1:$1,0)-MATCH($AP$1,[1]unit_skills!$1:$1,0)+1),MATCH("name",[1]unit_skills!$1:$1,0)-MATCH($AP$1,[1]unit_skills!$1:$1,0)+1,FALSE)</f>
        <v>#VALUE!</v>
      </c>
      <c r="AR149" s="77" t="e">
        <f ca="1">VLOOKUP($AP149,OFFSET([1]unit_skills!$A$1,0,0,COUNTA([1]unit_skills!$A:$A),MATCH("comment",[1]unit_skills!$1:$1,0)-MATCH($AP$1,[1]unit_skills!$1:$1,0)+1),MATCH("comment",[1]unit_skills!$1:$1,0)-MATCH($AP$1,[1]unit_skills!$1:$1,0)+1,FALSE)</f>
        <v>#VALUE!</v>
      </c>
      <c r="AS149" s="77" t="e">
        <f ca="1">VLOOKUP($AP149,OFFSET([1]unit_skills!$A$1,0,0,COUNTA([1]unit_skills!$A:$A),MATCH(AS$1,[1]unit_skills!$1:$1,0)-MATCH($AP$1,[1]unit_skills!$1:$1,0)+1),MATCH(AS$1,[1]unit_skills!$1:$1,0)-MATCH($AP$1,[1]unit_skills!$1:$1,0)+1,FALSE)</f>
        <v>#VALUE!</v>
      </c>
      <c r="AT149" s="97">
        <v>114003</v>
      </c>
      <c r="AU149" s="77" t="e">
        <f ca="1">VLOOKUP($AT149,OFFSET([1]crash_skills!$A$1,0,0,COUNTA([1]crash_skills!$A:$A),MATCH("name",[1]crash_skills!$1:$1,0)-MATCH($AT$1,[1]crash_skills!$1:$1,0)+1),MATCH("name",[1]crash_skills!$1:$1,0)-MATCH($AT$1,[1]crash_skills!$1:$1,0)+1,FALSE)</f>
        <v>#VALUE!</v>
      </c>
      <c r="AV149" s="77" t="e">
        <f ca="1">VLOOKUP($AT149,OFFSET([1]crash_skills!$A$1,0,0,COUNTA([1]crash_skills!$A:$A),MATCH("comment",[1]crash_skills!$1:$1,0)-MATCH($AT$1,[1]crash_skills!$1:$1,0)+1),MATCH("comment",[1]crash_skills!$1:$1,0)-MATCH($AT$1,[1]crash_skills!$1:$1,0)+1,FALSE)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49" s="77" t="e">
        <f ca="1">VLOOKUP($AT149,OFFSET([1]crash_skills!$A$1,0,0,COUNTA([1]crash_skills!$A:$A),MATCH(AW$1,[1]crash_skills!$1:$1,0)-MATCH($AT$1,[1]crash_skills!$1:$1,0)+1),MATCH(AW$1,[1]crash_skills!$1:$1,0)-MATCH($AT$1,[1]crash_skills!$1:$1,0)+1,FALSE)</f>
        <v>#VALUE!</v>
      </c>
      <c r="AX149" s="81">
        <f ca="1">VLOOKUP($A149,OFFSET([2]characters!$A$1,0,0,COUNTA([2]characters!$A:$A),MATCH(AX$1,[2]characters!$1:$1,0)-MATCH($A$1,[2]characters!$1:$1,0)+1),MATCH(AX$1,[2]characters!$1:$1,0)-MATCH($A$1,[2]characters!$1:$1,0)+1,FALSE)</f>
        <v>3</v>
      </c>
      <c r="AY149" s="19">
        <v>1</v>
      </c>
      <c r="AZ149" s="19">
        <v>1</v>
      </c>
      <c r="BA149" s="19">
        <v>0</v>
      </c>
      <c r="BB149" s="19">
        <v>1</v>
      </c>
      <c r="BC149" s="14">
        <f ca="1">INDEX('RC6SV'!$A$1:$G$20,MATCH(H149,'RC6SV'!$A$1:$A$20,FALSE),MATCH(G149,'RC6SV'!$A$1:$G$1,FALSE))</f>
        <v>4800</v>
      </c>
      <c r="BD149" s="63">
        <f t="shared" ca="1" si="18"/>
        <v>4800</v>
      </c>
      <c r="BE149" s="14">
        <f t="shared" ca="1" si="19"/>
        <v>0</v>
      </c>
      <c r="BF149" s="14">
        <f t="shared" ca="1" si="20"/>
        <v>1</v>
      </c>
      <c r="BG149" s="20">
        <f ca="1">IF($BE149&lt;=0,ROUND(BK149*0.5,0), ROUND($BE149*S149*AA149*J149*AY149*0.8*[2]ステータス!$B$2,0))</f>
        <v>1106</v>
      </c>
      <c r="BH149" s="20">
        <f ca="1">IF($BE149&lt;=0,ROUND(BL149*0.5,0), ROUND($BE149*T149*AB149*K149*AZ149*0.8*[2]ステータス!$C$2,0))</f>
        <v>720</v>
      </c>
      <c r="BI149" s="20">
        <f ca="1">IF($BE149&lt;=0,ROUND(BM149*0.5,0), ROUND($BE149*U149*AC149*L149*BA149*0.8*[2]ステータス!$D$2,0))</f>
        <v>0</v>
      </c>
      <c r="BJ149" s="20">
        <f ca="1">IF($BE149&lt;=0,ROUND(BN149*0.5,0), ROUND($BE149*V149*AD149*M149*BB149*0.8*[2]ステータス!$E$2,0))</f>
        <v>649</v>
      </c>
      <c r="BK149" s="14">
        <f ca="1">ROUND(BD149*S149*AA149*J149*AY149*[2]ステータス!$B$2,0)</f>
        <v>2211</v>
      </c>
      <c r="BL149" s="14">
        <f ca="1">ROUND(BD149*T149*AB149*K149*AZ149*[2]ステータス!$C$2,0)</f>
        <v>1440</v>
      </c>
      <c r="BM149" s="14">
        <f ca="1">ROUND(BD149*U149*AC149*L149*BA149*[2]ステータス!$D$2,0)</f>
        <v>0</v>
      </c>
      <c r="BN149" s="14">
        <f ca="1">ROUND(BD149*V149*AD149*M149*BB149*[2]ステータス!$E$2,0)</f>
        <v>1297</v>
      </c>
      <c r="BO149" s="13">
        <v>0</v>
      </c>
      <c r="BP149" s="13">
        <v>1</v>
      </c>
      <c r="BQ149" s="13" t="s">
        <v>102</v>
      </c>
      <c r="BR149" s="13">
        <f ca="1">VLOOKUP(H149,ghosts_label!$A$2:$B$19,2,FALSE)</f>
        <v>500</v>
      </c>
    </row>
    <row r="150" spans="1:70" ht="21" customHeight="1" x14ac:dyDescent="0.15">
      <c r="A150" s="14">
        <f t="shared" ca="1" si="15"/>
        <v>149</v>
      </c>
      <c r="B150" s="77" t="str">
        <f ca="1">VLOOKUP($A150,OFFSET([2]characters!$A$1,0,0,COUNTA([2]characters!$A:$A),MATCH(B$1,[2]characters!$1:$1,0)-MATCH($A$1,[2]characters!$1:$1,0)+1),MATCH(B$1,[2]characters!$1:$1,0)-MATCH($A$1,[2]characters!$1:$1,0)+1,FALSE)</f>
        <v>雷撃蹴技を極めし者 シンデレラ</v>
      </c>
      <c r="C150" s="77" t="str">
        <f ca="1">VLOOKUP($A150,OFFSET([2]characters!$A$1,0,0,COUNTA([2]characters!$A:$A),MATCH(C$1,[2]characters!$1:$1,0)-MATCH($A$1,[2]characters!$1:$1,0)+1),MATCH(C$1,[2]characters!$1:$1,0)-MATCH($A$1,[2]characters!$1:$1,0)+1,FALSE)</f>
        <v>初期ガチャ</v>
      </c>
      <c r="D150" s="77" t="str">
        <f ca="1">VLOOKUP($A150,OFFSET([2]characters!$A$1,0,0,COUNTA([2]characters!$A:$A),MATCH(D$1,[2]characters!$1:$1,0)-MATCH($A$1,[2]characters!$1:$1,0)+1),MATCH(D$1,[2]characters!$1:$1,0)-MATCH($A$1,[2]characters!$1:$1,0)+1,FALSE)</f>
        <v>アバター</v>
      </c>
      <c r="E150" s="77" t="str">
        <f ca="1">VLOOKUP($A150,OFFSET([2]characters!$A$1,0,0,COUNTA([2]characters!$A:$A),MATCH(E$1,[2]characters!$1:$1,0)-MATCH($A$1,[2]characters!$1:$1,0)+1),MATCH(E$1,[2]characters!$1:$1,0)-MATCH($A$1,[2]characters!$1:$1,0)+1,FALSE)</f>
        <v>美しい</v>
      </c>
      <c r="F150" s="77" t="str">
        <f ca="1">VLOOKUP($A150,OFFSET([2]characters!$A$1,0,0,COUNTA([2]characters!$A:$A),MATCH(F$1,[2]characters!$1:$1,0)-MATCH($A$1,[2]characters!$1:$1,0)+1),MATCH(F$1,[2]characters!$1:$1,0)-MATCH($A$1,[2]characters!$1:$1,0)+1,FALSE)</f>
        <v>女性</v>
      </c>
      <c r="G150" s="77">
        <f ca="1">VLOOKUP($A150,OFFSET([2]characters!$A$1,0,0,COUNTA([2]characters!$A:$A),MATCH(G$1,[2]characters!$1:$1,0)-MATCH($A$1,[2]characters!$1:$1,0)+1),MATCH(G$1,[2]characters!$1:$1,0)-MATCH($A$1,[2]characters!$1:$1,0)+1,FALSE)</f>
        <v>4</v>
      </c>
      <c r="H150" s="77" t="str">
        <f ca="1">VLOOKUP($A150,OFFSET([2]characters!$A$1,0,0,COUNTA([2]characters!$A:$A),MATCH(H$1,[2]characters!$1:$1,0)-MATCH($A$1,[2]characters!$1:$1,0)+1),MATCH(H$1,[2]characters!$1:$1,0)-MATCH($A$1,[2]characters!$1:$1,0)+1,FALSE)</f>
        <v>PremiumW</v>
      </c>
      <c r="I150" s="77" t="str">
        <f ca="1">VLOOKUP($A150,OFFSET([2]characters!$A$1,0,0,COUNTA([2]characters!$A:$A),MATCH(I$1,[2]characters!$1:$1,0)-MATCH($A$1,[2]characters!$1:$1,0)+1),MATCH(I$1,[2]characters!$1:$1,0)-MATCH($A$1,[2]characters!$1:$1,0)+1,FALSE)</f>
        <v>yellow</v>
      </c>
      <c r="J150" s="14">
        <f ca="1">VLOOKUP(I150,[2]属性!$A:$E,2,FALSE)</f>
        <v>0.98</v>
      </c>
      <c r="K150" s="14">
        <f ca="1">VLOOKUP(I150,[2]属性!$A:$E,3,FALSE)</f>
        <v>1.01</v>
      </c>
      <c r="L150" s="14">
        <f ca="1">VLOOKUP(I150,[2]属性!$A:$E,4,FALSE)</f>
        <v>1</v>
      </c>
      <c r="M150" s="14">
        <f ca="1">VLOOKUP(I150,[2]属性!$A:$E,5,FALSE)</f>
        <v>1.01</v>
      </c>
      <c r="N150" s="14">
        <f ca="1">INDEX(コスト!$A$1:$I$20,MATCH(H150,コスト!$A$1:$A$20,FALSE),MATCH(G150,コスト!$A$1:$I$1,FALSE))</f>
        <v>16</v>
      </c>
      <c r="O150" s="14">
        <f ca="1">INDEX(レベル!$A$1:$I$21,MATCH(H150,レベル!$A$1:$A$21,FALSE),MATCH(G150,レベル!$A$1:$I$1,FALSE))</f>
        <v>60</v>
      </c>
      <c r="P150" s="63">
        <f t="shared" ca="1" si="21"/>
        <v>60</v>
      </c>
      <c r="Q150" s="77" t="str">
        <f ca="1">VLOOKUP($A150,OFFSET([2]characters!$A$1,0,0,COUNTA([2]characters!$A:$A),MATCH(Q$1,[2]characters!$1:$1,0)-MATCH($A$1,[2]characters!$1:$1,0)+1),MATCH(Q$1,[2]characters!$1:$1,0)-MATCH($A$1,[2]characters!$1:$1,0)+1,FALSE)</f>
        <v>balance</v>
      </c>
      <c r="R150" s="8" t="str">
        <f ca="1">VLOOKUP(Q150,[2]character_type_i18n!$A:$H,3,FALSE)</f>
        <v>バランスタイプ</v>
      </c>
      <c r="S150" s="14">
        <f ca="1">VLOOKUP(Q150,[2]character_type_i18n!$A:$H,4,FALSE)</f>
        <v>1</v>
      </c>
      <c r="T150" s="14">
        <f ca="1">VLOOKUP(Q150,[2]character_type_i18n!$A:$H,5,FALSE)</f>
        <v>1</v>
      </c>
      <c r="U150" s="14">
        <f ca="1">VLOOKUP(Q150,[2]character_type_i18n!$A:$H,6,FALSE)</f>
        <v>1</v>
      </c>
      <c r="V150" s="14">
        <f ca="1">VLOOKUP(Q150,[2]character_type_i18n!$A:$H,7,FALSE)</f>
        <v>1</v>
      </c>
      <c r="W150" s="77" t="str">
        <f ca="1">VLOOKUP($A150,OFFSET([2]characters!$A$1,0,0,COUNTA([2]characters!$A:$A),MATCH(W$1,[2]characters!$1:$1,0)-MATCH($A$1,[2]characters!$1:$1,0)+1),MATCH(W$1,[2]characters!$1:$1,0)-MATCH($A$1,[2]characters!$1:$1,0)+1,FALSE)</f>
        <v>human</v>
      </c>
      <c r="X150" s="8" t="str">
        <f ca="1">VLOOKUP(W150,[2]character_tribe_i18n!$A:$H,3,FALSE)</f>
        <v>ヒューマン</v>
      </c>
      <c r="Y150" s="77" t="str">
        <f ca="1">VLOOKUP($A150,OFFSET([2]characters!$A$1,0,0,COUNTA([2]characters!$A:$A),MATCH(Y$1,[2]characters!$1:$1,0)-MATCH($A$1,[2]characters!$1:$1,0)+1),MATCH(Y$1,[2]characters!$1:$1,0)-MATCH($A$1,[2]characters!$1:$1,0)+1,FALSE)</f>
        <v>none</v>
      </c>
      <c r="Z150" s="8" t="str">
        <f ca="1">VLOOKUP(Y150,[2]character_tribe_i18n!$A:$H,3,FALSE)</f>
        <v>種族なし</v>
      </c>
      <c r="AA150" s="14">
        <f ca="1">VLOOKUP(W150,[2]character_tribe_i18n!$A:$H,4,FALSE)</f>
        <v>0.94</v>
      </c>
      <c r="AB150" s="14">
        <f ca="1">VLOOKUP(W150,[2]character_tribe_i18n!$A:$H,5,FALSE)</f>
        <v>0.99</v>
      </c>
      <c r="AC150" s="14">
        <f ca="1">VLOOKUP(W150,[2]character_tribe_i18n!$A:$H,6,FALSE)</f>
        <v>1</v>
      </c>
      <c r="AD150" s="14">
        <f ca="1">VLOOKUP(W150,[2]character_tribe_i18n!$A:$H,7,FALSE)</f>
        <v>1.07</v>
      </c>
      <c r="AE150" s="12" t="s">
        <v>102</v>
      </c>
      <c r="AF150" s="85" t="str">
        <f ca="1">IF(AE150="NULL","",VLOOKUP($AE150,OFFSET([2]characters!$A$1,0,0,COUNTA([2]characters!$A:$A),MATCH(AF$1,[2]characters!$1:$1,0)-MATCH($A$1,[2]characters!$1:$1,0)+1),MATCH(AF$1,[2]characters!$1:$1,0)-MATCH($A$1,[2]characters!$1:$1,0)+1,FALSE))</f>
        <v/>
      </c>
      <c r="AG150" s="8">
        <f t="shared" ca="1" si="16"/>
        <v>148</v>
      </c>
      <c r="AH150" s="85" t="str">
        <f ca="1">VLOOKUP($AG150,OFFSET([2]characters!$A$1,0,0,COUNTA([2]characters!$A:$A),MATCH(AH$1,[2]characters!$1:$1,0)-MATCH($A$1,[2]characters!$1:$1,0)+1),MATCH(AH$1,[2]characters!$1:$1,0)-MATCH($A$1,[2]characters!$1:$1,0)+1,FALSE)</f>
        <v>シンデレラ</v>
      </c>
      <c r="AI150" s="14" t="str">
        <f>IF(AE150="NULL","NULL",VLOOKUP(G150,ビット!$A$2:$B$7,2))</f>
        <v>NULL</v>
      </c>
      <c r="AJ150" s="9">
        <v>2</v>
      </c>
      <c r="AK150" s="10" t="str">
        <f t="shared" si="17"/>
        <v>普通</v>
      </c>
      <c r="AL150" s="14" t="str">
        <f ca="1">INDEX(経験値!$A$1:$I$20,MATCH(H150,経験値!$A$1:$A$20,FALSE),MATCH(G150,経験値!$A$1:$I$1,FALSE))</f>
        <v>required_exp_150</v>
      </c>
      <c r="AM150" s="11">
        <f ca="1">VLOOKUP(G150,経験値!$A$27:$B$31,2)</f>
        <v>3400</v>
      </c>
      <c r="AN150" s="21">
        <f ca="1">VLOOKUP(G150,ビット!$G$2:$H$7,2)</f>
        <v>600</v>
      </c>
      <c r="AO150" s="98" t="s">
        <v>179</v>
      </c>
      <c r="AP150" s="97">
        <v>974002</v>
      </c>
      <c r="AQ150" s="77" t="e">
        <f ca="1">VLOOKUP($AP150,OFFSET([1]unit_skills!$A$1,0,0,COUNTA([1]unit_skills!$A:$A),MATCH("name",[1]unit_skills!$1:$1,0)-MATCH($AP$1,[1]unit_skills!$1:$1,0)+1),MATCH("name",[1]unit_skills!$1:$1,0)-MATCH($AP$1,[1]unit_skills!$1:$1,0)+1,FALSE)</f>
        <v>#VALUE!</v>
      </c>
      <c r="AR150" s="77" t="e">
        <f ca="1">VLOOKUP($AP150,OFFSET([1]unit_skills!$A$1,0,0,COUNTA([1]unit_skills!$A:$A),MATCH("comment",[1]unit_skills!$1:$1,0)-MATCH($AP$1,[1]unit_skills!$1:$1,0)+1),MATCH("comment",[1]unit_skills!$1:$1,0)-MATCH($AP$1,[1]unit_skills!$1:$1,0)+1,FALSE)</f>
        <v>#VALUE!</v>
      </c>
      <c r="AS150" s="77" t="e">
        <f ca="1">VLOOKUP($AP150,OFFSET([1]unit_skills!$A$1,0,0,COUNTA([1]unit_skills!$A:$A),MATCH(AS$1,[1]unit_skills!$1:$1,0)-MATCH($AP$1,[1]unit_skills!$1:$1,0)+1),MATCH(AS$1,[1]unit_skills!$1:$1,0)-MATCH($AP$1,[1]unit_skills!$1:$1,0)+1,FALSE)</f>
        <v>#VALUE!</v>
      </c>
      <c r="AT150" s="97">
        <v>114010</v>
      </c>
      <c r="AU150" s="77" t="e">
        <f ca="1">VLOOKUP($AT150,OFFSET([1]crash_skills!$A$1,0,0,COUNTA([1]crash_skills!$A:$A),MATCH("name",[1]crash_skills!$1:$1,0)-MATCH($AT$1,[1]crash_skills!$1:$1,0)+1),MATCH("name",[1]crash_skills!$1:$1,0)-MATCH($AT$1,[1]crash_skills!$1:$1,0)+1,FALSE)</f>
        <v>#VALUE!</v>
      </c>
      <c r="AV150" s="77" t="e">
        <f ca="1">VLOOKUP($AT150,OFFSET([1]crash_skills!$A$1,0,0,COUNTA([1]crash_skills!$A:$A),MATCH("comment",[1]crash_skills!$1:$1,0)-MATCH($AT$1,[1]crash_skills!$1:$1,0)+1),MATCH("comment",[1]crash_skills!$1:$1,0)-MATCH($AT$1,[1]crash_skills!$1:$1,0)+1,FALSE)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50" s="77" t="e">
        <f ca="1">VLOOKUP($AT150,OFFSET([1]crash_skills!$A$1,0,0,COUNTA([1]crash_skills!$A:$A),MATCH(AW$1,[1]crash_skills!$1:$1,0)-MATCH($AT$1,[1]crash_skills!$1:$1,0)+1),MATCH(AW$1,[1]crash_skills!$1:$1,0)-MATCH($AT$1,[1]crash_skills!$1:$1,0)+1,FALSE)</f>
        <v>#VALUE!</v>
      </c>
      <c r="AX150" s="81">
        <f ca="1">VLOOKUP($A150,OFFSET([2]characters!$A$1,0,0,COUNTA([2]characters!$A:$A),MATCH(AX$1,[2]characters!$1:$1,0)-MATCH($A$1,[2]characters!$1:$1,0)+1),MATCH(AX$1,[2]characters!$1:$1,0)-MATCH($A$1,[2]characters!$1:$1,0)+1,FALSE)</f>
        <v>3</v>
      </c>
      <c r="AY150" s="19">
        <v>1</v>
      </c>
      <c r="AZ150" s="19">
        <v>1</v>
      </c>
      <c r="BA150" s="19">
        <v>0</v>
      </c>
      <c r="BB150" s="19">
        <v>1</v>
      </c>
      <c r="BC150" s="14">
        <f ca="1">INDEX('RC6SV'!$A$1:$G$20,MATCH(H150,'RC6SV'!$A$1:$A$20,FALSE),MATCH(G150,'RC6SV'!$A$1:$G$1,FALSE))</f>
        <v>6600</v>
      </c>
      <c r="BD150" s="63">
        <f t="shared" ca="1" si="18"/>
        <v>6600</v>
      </c>
      <c r="BE150" s="14">
        <f t="shared" ca="1" si="19"/>
        <v>4800</v>
      </c>
      <c r="BF150" s="14">
        <f t="shared" ca="1" si="20"/>
        <v>1</v>
      </c>
      <c r="BG150" s="20">
        <f ca="1">IF($BE150&lt;=0,ROUND(BK150*0.5,0), ROUND($BE150*S150*AA150*J150*AY150*0.8*[2]ステータス!$B$2,0))</f>
        <v>1769</v>
      </c>
      <c r="BH150" s="20">
        <f ca="1">IF($BE150&lt;=0,ROUND(BL150*0.5,0), ROUND($BE150*T150*AB150*K150*AZ150*0.8*[2]ステータス!$C$2,0))</f>
        <v>1152</v>
      </c>
      <c r="BI150" s="20">
        <f ca="1">IF($BE150&lt;=0,ROUND(BM150*0.5,0), ROUND($BE150*U150*AC150*L150*BA150*0.8*[2]ステータス!$D$2,0))</f>
        <v>0</v>
      </c>
      <c r="BJ150" s="20">
        <f ca="1">IF($BE150&lt;=0,ROUND(BN150*0.5,0), ROUND($BE150*V150*AD150*M150*BB150*0.8*[2]ステータス!$E$2,0))</f>
        <v>1037</v>
      </c>
      <c r="BK150" s="14">
        <f ca="1">ROUND(BD150*S150*AA150*J150*AY150*[2]ステータス!$B$2,0)</f>
        <v>3040</v>
      </c>
      <c r="BL150" s="14">
        <f ca="1">ROUND(BD150*T150*AB150*K150*AZ150*[2]ステータス!$C$2,0)</f>
        <v>1980</v>
      </c>
      <c r="BM150" s="14">
        <f ca="1">ROUND(BD150*U150*AC150*L150*BA150*[2]ステータス!$D$2,0)</f>
        <v>0</v>
      </c>
      <c r="BN150" s="14">
        <f ca="1">ROUND(BD150*V150*AD150*M150*BB150*[2]ステータス!$E$2,0)</f>
        <v>1783</v>
      </c>
      <c r="BO150" s="13">
        <v>0</v>
      </c>
      <c r="BP150" s="13">
        <v>1</v>
      </c>
      <c r="BQ150" s="13" t="s">
        <v>102</v>
      </c>
      <c r="BR150" s="13">
        <f ca="1">VLOOKUP(H150,ghosts_label!$A$2:$B$19,2,FALSE)</f>
        <v>500</v>
      </c>
    </row>
    <row r="151" spans="1:70" ht="21" customHeight="1" x14ac:dyDescent="0.15">
      <c r="A151" s="14">
        <f t="shared" ca="1" si="15"/>
        <v>150</v>
      </c>
      <c r="B151" s="77" t="str">
        <f ca="1">VLOOKUP($A151,OFFSET([2]characters!$A$1,0,0,COUNTA([2]characters!$A:$A),MATCH(B$1,[2]characters!$1:$1,0)-MATCH($A$1,[2]characters!$1:$1,0)+1),MATCH(B$1,[2]characters!$1:$1,0)-MATCH($A$1,[2]characters!$1:$1,0)+1,FALSE)</f>
        <v>ポイズンマスターサキ</v>
      </c>
      <c r="C151" s="77" t="str">
        <f ca="1">VLOOKUP($A151,OFFSET([2]characters!$A$1,0,0,COUNTA([2]characters!$A:$A),MATCH(C$1,[2]characters!$1:$1,0)-MATCH($A$1,[2]characters!$1:$1,0)+1),MATCH(C$1,[2]characters!$1:$1,0)-MATCH($A$1,[2]characters!$1:$1,0)+1,FALSE)</f>
        <v>初期ガチャ</v>
      </c>
      <c r="D151" s="77" t="str">
        <f ca="1">VLOOKUP($A151,OFFSET([2]characters!$A$1,0,0,COUNTA([2]characters!$A:$A),MATCH(D$1,[2]characters!$1:$1,0)-MATCH($A$1,[2]characters!$1:$1,0)+1),MATCH(D$1,[2]characters!$1:$1,0)-MATCH($A$1,[2]characters!$1:$1,0)+1,FALSE)</f>
        <v>アバター</v>
      </c>
      <c r="E151" s="77" t="str">
        <f ca="1">VLOOKUP($A151,OFFSET([2]characters!$A$1,0,0,COUNTA([2]characters!$A:$A),MATCH(E$1,[2]characters!$1:$1,0)-MATCH($A$1,[2]characters!$1:$1,0)+1),MATCH(E$1,[2]characters!$1:$1,0)-MATCH($A$1,[2]characters!$1:$1,0)+1,FALSE)</f>
        <v>格好いい</v>
      </c>
      <c r="F151" s="77" t="str">
        <f ca="1">VLOOKUP($A151,OFFSET([2]characters!$A$1,0,0,COUNTA([2]characters!$A:$A),MATCH(F$1,[2]characters!$1:$1,0)-MATCH($A$1,[2]characters!$1:$1,0)+1),MATCH(F$1,[2]characters!$1:$1,0)-MATCH($A$1,[2]characters!$1:$1,0)+1,FALSE)</f>
        <v>女性</v>
      </c>
      <c r="G151" s="77">
        <f ca="1">VLOOKUP($A151,OFFSET([2]characters!$A$1,0,0,COUNTA([2]characters!$A:$A),MATCH(G$1,[2]characters!$1:$1,0)-MATCH($A$1,[2]characters!$1:$1,0)+1),MATCH(G$1,[2]characters!$1:$1,0)-MATCH($A$1,[2]characters!$1:$1,0)+1,FALSE)</f>
        <v>3</v>
      </c>
      <c r="H151" s="77" t="str">
        <f ca="1">VLOOKUP($A151,OFFSET([2]characters!$A$1,0,0,COUNTA([2]characters!$A:$A),MATCH(H$1,[2]characters!$1:$1,0)-MATCH($A$1,[2]characters!$1:$1,0)+1),MATCH(H$1,[2]characters!$1:$1,0)-MATCH($A$1,[2]characters!$1:$1,0)+1,FALSE)</f>
        <v>PremiumW</v>
      </c>
      <c r="I151" s="77" t="str">
        <f ca="1">VLOOKUP($A151,OFFSET([2]characters!$A$1,0,0,COUNTA([2]characters!$A:$A),MATCH(I$1,[2]characters!$1:$1,0)-MATCH($A$1,[2]characters!$1:$1,0)+1),MATCH(I$1,[2]characters!$1:$1,0)-MATCH($A$1,[2]characters!$1:$1,0)+1,FALSE)</f>
        <v>red</v>
      </c>
      <c r="J151" s="14">
        <f ca="1">VLOOKUP(I151,[2]属性!$A:$E,2,FALSE)</f>
        <v>1</v>
      </c>
      <c r="K151" s="14">
        <f ca="1">VLOOKUP(I151,[2]属性!$A:$E,3,FALSE)</f>
        <v>1.02</v>
      </c>
      <c r="L151" s="14">
        <f ca="1">VLOOKUP(I151,[2]属性!$A:$E,4,FALSE)</f>
        <v>1</v>
      </c>
      <c r="M151" s="14">
        <f ca="1">VLOOKUP(I151,[2]属性!$A:$E,5,FALSE)</f>
        <v>0.98</v>
      </c>
      <c r="N151" s="14">
        <f ca="1">INDEX(コスト!$A$1:$I$20,MATCH(H151,コスト!$A$1:$A$20,FALSE),MATCH(G151,コスト!$A$1:$I$1,FALSE))</f>
        <v>7</v>
      </c>
      <c r="O151" s="14">
        <f ca="1">INDEX(レベル!$A$1:$I$21,MATCH(H151,レベル!$A$1:$A$21,FALSE),MATCH(G151,レベル!$A$1:$I$1,FALSE))</f>
        <v>40</v>
      </c>
      <c r="P151" s="63">
        <f t="shared" ca="1" si="21"/>
        <v>45</v>
      </c>
      <c r="Q151" s="77" t="str">
        <f ca="1">VLOOKUP($A151,OFFSET([2]characters!$A$1,0,0,COUNTA([2]characters!$A:$A),MATCH(Q$1,[2]characters!$1:$1,0)-MATCH($A$1,[2]characters!$1:$1,0)+1),MATCH(Q$1,[2]characters!$1:$1,0)-MATCH($A$1,[2]characters!$1:$1,0)+1,FALSE)</f>
        <v>technical</v>
      </c>
      <c r="R151" s="8" t="str">
        <f ca="1">VLOOKUP(Q151,[2]character_type_i18n!$A:$H,3,FALSE)</f>
        <v>テクニカルタイプ</v>
      </c>
      <c r="S151" s="14">
        <f ca="1">VLOOKUP(Q151,[2]character_type_i18n!$A:$H,4,FALSE)</f>
        <v>0.9</v>
      </c>
      <c r="T151" s="14">
        <f ca="1">VLOOKUP(Q151,[2]character_type_i18n!$A:$H,5,FALSE)</f>
        <v>0.9</v>
      </c>
      <c r="U151" s="14">
        <f ca="1">VLOOKUP(Q151,[2]character_type_i18n!$A:$H,6,FALSE)</f>
        <v>1</v>
      </c>
      <c r="V151" s="14">
        <f ca="1">VLOOKUP(Q151,[2]character_type_i18n!$A:$H,7,FALSE)</f>
        <v>0.9</v>
      </c>
      <c r="W151" s="77" t="str">
        <f ca="1">VLOOKUP($A151,OFFSET([2]characters!$A$1,0,0,COUNTA([2]characters!$A:$A),MATCH(W$1,[2]characters!$1:$1,0)-MATCH($A$1,[2]characters!$1:$1,0)+1),MATCH(W$1,[2]characters!$1:$1,0)-MATCH($A$1,[2]characters!$1:$1,0)+1,FALSE)</f>
        <v>human</v>
      </c>
      <c r="X151" s="8" t="str">
        <f ca="1">VLOOKUP(W151,[2]character_tribe_i18n!$A:$H,3,FALSE)</f>
        <v>ヒューマン</v>
      </c>
      <c r="Y151" s="77" t="str">
        <f ca="1">VLOOKUP($A151,OFFSET([2]characters!$A$1,0,0,COUNTA([2]characters!$A:$A),MATCH(Y$1,[2]characters!$1:$1,0)-MATCH($A$1,[2]characters!$1:$1,0)+1),MATCH(Y$1,[2]characters!$1:$1,0)-MATCH($A$1,[2]characters!$1:$1,0)+1,FALSE)</f>
        <v>none</v>
      </c>
      <c r="Z151" s="8" t="str">
        <f ca="1">VLOOKUP(Y151,[2]character_tribe_i18n!$A:$H,3,FALSE)</f>
        <v>種族なし</v>
      </c>
      <c r="AA151" s="14">
        <f ca="1">VLOOKUP(W151,[2]character_tribe_i18n!$A:$H,4,FALSE)</f>
        <v>0.94</v>
      </c>
      <c r="AB151" s="14">
        <f ca="1">VLOOKUP(W151,[2]character_tribe_i18n!$A:$H,5,FALSE)</f>
        <v>0.99</v>
      </c>
      <c r="AC151" s="14">
        <f ca="1">VLOOKUP(W151,[2]character_tribe_i18n!$A:$H,6,FALSE)</f>
        <v>1</v>
      </c>
      <c r="AD151" s="14">
        <f ca="1">VLOOKUP(W151,[2]character_tribe_i18n!$A:$H,7,FALSE)</f>
        <v>1.07</v>
      </c>
      <c r="AE151" s="12">
        <v>151</v>
      </c>
      <c r="AF151" s="85" t="str">
        <f ca="1">IF(AE151="NULL","",VLOOKUP($AE151,OFFSET([2]characters!$A$1,0,0,COUNTA([2]characters!$A:$A),MATCH(AF$1,[2]characters!$1:$1,0)-MATCH($A$1,[2]characters!$1:$1,0)+1),MATCH(AF$1,[2]characters!$1:$1,0)-MATCH($A$1,[2]characters!$1:$1,0)+1,FALSE))</f>
        <v>毒煙の処刑人サキ</v>
      </c>
      <c r="AG151" s="8">
        <f t="shared" ca="1" si="16"/>
        <v>150</v>
      </c>
      <c r="AH151" s="85" t="str">
        <f ca="1">VLOOKUP($AG151,OFFSET([2]characters!$A$1,0,0,COUNTA([2]characters!$A:$A),MATCH(AH$1,[2]characters!$1:$1,0)-MATCH($A$1,[2]characters!$1:$1,0)+1),MATCH(AH$1,[2]characters!$1:$1,0)-MATCH($A$1,[2]characters!$1:$1,0)+1,FALSE)</f>
        <v>ポイズンマスターサキ</v>
      </c>
      <c r="AI151" s="14">
        <f ca="1">IF(AE151="NULL","NULL",VLOOKUP(G151,ビット!$A$2:$B$7,2))</f>
        <v>20000</v>
      </c>
      <c r="AJ151" s="9">
        <v>2</v>
      </c>
      <c r="AK151" s="10" t="str">
        <f t="shared" si="17"/>
        <v>普通</v>
      </c>
      <c r="AL151" s="14" t="str">
        <f ca="1">INDEX(経験値!$A$1:$I$20,MATCH(H151,経験値!$A$1:$A$20,FALSE),MATCH(G151,経験値!$A$1:$I$1,FALSE))</f>
        <v>required_exp_150</v>
      </c>
      <c r="AM151" s="11">
        <f ca="1">VLOOKUP(G151,経験値!$A$27:$B$31,2)</f>
        <v>1500</v>
      </c>
      <c r="AN151" s="21">
        <f ca="1">VLOOKUP(G151,ビット!$G$2:$H$7,2)</f>
        <v>300</v>
      </c>
      <c r="AO151" s="99" t="s">
        <v>182</v>
      </c>
      <c r="AP151" s="97">
        <v>430008</v>
      </c>
      <c r="AQ151" s="77" t="e">
        <f ca="1">VLOOKUP($AP151,OFFSET([1]unit_skills!$A$1,0,0,COUNTA([1]unit_skills!$A:$A),MATCH("name",[1]unit_skills!$1:$1,0)-MATCH($AP$1,[1]unit_skills!$1:$1,0)+1),MATCH("name",[1]unit_skills!$1:$1,0)-MATCH($AP$1,[1]unit_skills!$1:$1,0)+1,FALSE)</f>
        <v>#VALUE!</v>
      </c>
      <c r="AR151" s="77" t="e">
        <f ca="1">VLOOKUP($AP151,OFFSET([1]unit_skills!$A$1,0,0,COUNTA([1]unit_skills!$A:$A),MATCH("comment",[1]unit_skills!$1:$1,0)-MATCH($AP$1,[1]unit_skills!$1:$1,0)+1),MATCH("comment",[1]unit_skills!$1:$1,0)-MATCH($AP$1,[1]unit_skills!$1:$1,0)+1,FALSE)</f>
        <v>#VALUE!</v>
      </c>
      <c r="AS151" s="77" t="e">
        <f ca="1">VLOOKUP($AP151,OFFSET([1]unit_skills!$A$1,0,0,COUNTA([1]unit_skills!$A:$A),MATCH(AS$1,[1]unit_skills!$1:$1,0)-MATCH($AP$1,[1]unit_skills!$1:$1,0)+1),MATCH(AS$1,[1]unit_skills!$1:$1,0)-MATCH($AP$1,[1]unit_skills!$1:$1,0)+1,FALSE)</f>
        <v>#VALUE!</v>
      </c>
      <c r="AT151" s="97">
        <v>431002</v>
      </c>
      <c r="AU151" s="77" t="e">
        <f ca="1">VLOOKUP($AT151,OFFSET([1]crash_skills!$A$1,0,0,COUNTA([1]crash_skills!$A:$A),MATCH("name",[1]crash_skills!$1:$1,0)-MATCH($AT$1,[1]crash_skills!$1:$1,0)+1),MATCH("name",[1]crash_skills!$1:$1,0)-MATCH($AT$1,[1]crash_skills!$1:$1,0)+1,FALSE)</f>
        <v>#VALUE!</v>
      </c>
      <c r="AV151" s="77" t="e">
        <f ca="1">VLOOKUP($AT151,OFFSET([1]crash_skills!$A$1,0,0,COUNTA([1]crash_skills!$A:$A),MATCH("comment",[1]crash_skills!$1:$1,0)-MATCH($AT$1,[1]crash_skills!$1:$1,0)+1),MATCH("comment",[1]crash_skills!$1:$1,0)-MATCH($AT$1,[1]crash_skills!$1:$1,0)+1,FALSE)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51" s="77" t="e">
        <f ca="1">VLOOKUP($AT151,OFFSET([1]crash_skills!$A$1,0,0,COUNTA([1]crash_skills!$A:$A),MATCH(AW$1,[1]crash_skills!$1:$1,0)-MATCH($AT$1,[1]crash_skills!$1:$1,0)+1),MATCH(AW$1,[1]crash_skills!$1:$1,0)-MATCH($AT$1,[1]crash_skills!$1:$1,0)+1,FALSE)</f>
        <v>#VALUE!</v>
      </c>
      <c r="AX151" s="81">
        <f ca="1">VLOOKUP($A151,OFFSET([2]characters!$A$1,0,0,COUNTA([2]characters!$A:$A),MATCH(AX$1,[2]characters!$1:$1,0)-MATCH($A$1,[2]characters!$1:$1,0)+1),MATCH(AX$1,[2]characters!$1:$1,0)-MATCH($A$1,[2]characters!$1:$1,0)+1,FALSE)</f>
        <v>3</v>
      </c>
      <c r="AY151" s="19">
        <v>1</v>
      </c>
      <c r="AZ151" s="19">
        <v>0.8</v>
      </c>
      <c r="BA151" s="19">
        <v>0</v>
      </c>
      <c r="BB151" s="19">
        <v>1.2</v>
      </c>
      <c r="BC151" s="14">
        <f ca="1">INDEX('RC6SV'!$A$1:$G$20,MATCH(H151,'RC6SV'!$A$1:$A$20,FALSE),MATCH(G151,'RC6SV'!$A$1:$G$1,FALSE))</f>
        <v>4800</v>
      </c>
      <c r="BD151" s="63">
        <f t="shared" ca="1" si="18"/>
        <v>4800</v>
      </c>
      <c r="BE151" s="14">
        <f t="shared" ca="1" si="19"/>
        <v>0</v>
      </c>
      <c r="BF151" s="14">
        <f t="shared" ca="1" si="20"/>
        <v>1</v>
      </c>
      <c r="BG151" s="20">
        <f ca="1">IF($BE151&lt;=0,ROUND(BK151*0.5,0), ROUND($BE151*S151*AA151*J151*AY151*0.8*[2]ステータス!$B$2,0))</f>
        <v>1015</v>
      </c>
      <c r="BH151" s="20">
        <f ca="1">IF($BE151&lt;=0,ROUND(BL151*0.5,0), ROUND($BE151*T151*AB151*K151*AZ151*0.8*[2]ステータス!$C$2,0))</f>
        <v>524</v>
      </c>
      <c r="BI151" s="20">
        <f ca="1">IF($BE151&lt;=0,ROUND(BM151*0.5,0), ROUND($BE151*U151*AC151*L151*BA151*0.8*[2]ステータス!$D$2,0))</f>
        <v>0</v>
      </c>
      <c r="BJ151" s="20">
        <f ca="1">IF($BE151&lt;=0,ROUND(BN151*0.5,0), ROUND($BE151*V151*AD151*M151*BB151*0.8*[2]ステータス!$E$2,0))</f>
        <v>680</v>
      </c>
      <c r="BK151" s="14">
        <f ca="1">ROUND(BD151*S151*AA151*J151*AY151*[2]ステータス!$B$2,0)</f>
        <v>2030</v>
      </c>
      <c r="BL151" s="14">
        <f ca="1">ROUND(BD151*T151*AB151*K151*AZ151*[2]ステータス!$C$2,0)</f>
        <v>1047</v>
      </c>
      <c r="BM151" s="14">
        <f ca="1">ROUND(BD151*U151*AC151*L151*BA151*[2]ステータス!$D$2,0)</f>
        <v>0</v>
      </c>
      <c r="BN151" s="14">
        <f ca="1">ROUND(BD151*V151*AD151*M151*BB151*[2]ステータス!$E$2,0)</f>
        <v>1359</v>
      </c>
      <c r="BO151" s="13">
        <v>0</v>
      </c>
      <c r="BP151" s="13">
        <v>1</v>
      </c>
      <c r="BQ151" s="13" t="s">
        <v>102</v>
      </c>
      <c r="BR151" s="13">
        <f ca="1">VLOOKUP(H151,ghosts_label!$A$2:$B$19,2,FALSE)</f>
        <v>500</v>
      </c>
    </row>
    <row r="152" spans="1:70" ht="21" customHeight="1" x14ac:dyDescent="0.15">
      <c r="A152" s="14">
        <f t="shared" ca="1" si="15"/>
        <v>151</v>
      </c>
      <c r="B152" s="77" t="str">
        <f ca="1">VLOOKUP($A152,OFFSET([2]characters!$A$1,0,0,COUNTA([2]characters!$A:$A),MATCH(B$1,[2]characters!$1:$1,0)-MATCH($A$1,[2]characters!$1:$1,0)+1),MATCH(B$1,[2]characters!$1:$1,0)-MATCH($A$1,[2]characters!$1:$1,0)+1,FALSE)</f>
        <v>毒煙の処刑人サキ</v>
      </c>
      <c r="C152" s="77" t="str">
        <f ca="1">VLOOKUP($A152,OFFSET([2]characters!$A$1,0,0,COUNTA([2]characters!$A:$A),MATCH(C$1,[2]characters!$1:$1,0)-MATCH($A$1,[2]characters!$1:$1,0)+1),MATCH(C$1,[2]characters!$1:$1,0)-MATCH($A$1,[2]characters!$1:$1,0)+1,FALSE)</f>
        <v>初期ガチャ</v>
      </c>
      <c r="D152" s="77" t="str">
        <f ca="1">VLOOKUP($A152,OFFSET([2]characters!$A$1,0,0,COUNTA([2]characters!$A:$A),MATCH(D$1,[2]characters!$1:$1,0)-MATCH($A$1,[2]characters!$1:$1,0)+1),MATCH(D$1,[2]characters!$1:$1,0)-MATCH($A$1,[2]characters!$1:$1,0)+1,FALSE)</f>
        <v>アバター</v>
      </c>
      <c r="E152" s="77" t="str">
        <f ca="1">VLOOKUP($A152,OFFSET([2]characters!$A$1,0,0,COUNTA([2]characters!$A:$A),MATCH(E$1,[2]characters!$1:$1,0)-MATCH($A$1,[2]characters!$1:$1,0)+1),MATCH(E$1,[2]characters!$1:$1,0)-MATCH($A$1,[2]characters!$1:$1,0)+1,FALSE)</f>
        <v>格好いい</v>
      </c>
      <c r="F152" s="77" t="str">
        <f ca="1">VLOOKUP($A152,OFFSET([2]characters!$A$1,0,0,COUNTA([2]characters!$A:$A),MATCH(F$1,[2]characters!$1:$1,0)-MATCH($A$1,[2]characters!$1:$1,0)+1),MATCH(F$1,[2]characters!$1:$1,0)-MATCH($A$1,[2]characters!$1:$1,0)+1,FALSE)</f>
        <v>女性</v>
      </c>
      <c r="G152" s="77">
        <f ca="1">VLOOKUP($A152,OFFSET([2]characters!$A$1,0,0,COUNTA([2]characters!$A:$A),MATCH(G$1,[2]characters!$1:$1,0)-MATCH($A$1,[2]characters!$1:$1,0)+1),MATCH(G$1,[2]characters!$1:$1,0)-MATCH($A$1,[2]characters!$1:$1,0)+1,FALSE)</f>
        <v>4</v>
      </c>
      <c r="H152" s="77" t="str">
        <f ca="1">VLOOKUP($A152,OFFSET([2]characters!$A$1,0,0,COUNTA([2]characters!$A:$A),MATCH(H$1,[2]characters!$1:$1,0)-MATCH($A$1,[2]characters!$1:$1,0)+1),MATCH(H$1,[2]characters!$1:$1,0)-MATCH($A$1,[2]characters!$1:$1,0)+1,FALSE)</f>
        <v>PremiumW</v>
      </c>
      <c r="I152" s="77" t="str">
        <f ca="1">VLOOKUP($A152,OFFSET([2]characters!$A$1,0,0,COUNTA([2]characters!$A:$A),MATCH(I$1,[2]characters!$1:$1,0)-MATCH($A$1,[2]characters!$1:$1,0)+1),MATCH(I$1,[2]characters!$1:$1,0)-MATCH($A$1,[2]characters!$1:$1,0)+1,FALSE)</f>
        <v>red</v>
      </c>
      <c r="J152" s="14">
        <f ca="1">VLOOKUP(I152,[2]属性!$A:$E,2,FALSE)</f>
        <v>1</v>
      </c>
      <c r="K152" s="14">
        <f ca="1">VLOOKUP(I152,[2]属性!$A:$E,3,FALSE)</f>
        <v>1.02</v>
      </c>
      <c r="L152" s="14">
        <f ca="1">VLOOKUP(I152,[2]属性!$A:$E,4,FALSE)</f>
        <v>1</v>
      </c>
      <c r="M152" s="14">
        <f ca="1">VLOOKUP(I152,[2]属性!$A:$E,5,FALSE)</f>
        <v>0.98</v>
      </c>
      <c r="N152" s="14">
        <f ca="1">INDEX(コスト!$A$1:$I$20,MATCH(H152,コスト!$A$1:$A$20,FALSE),MATCH(G152,コスト!$A$1:$I$1,FALSE))</f>
        <v>16</v>
      </c>
      <c r="O152" s="14">
        <f ca="1">INDEX(レベル!$A$1:$I$21,MATCH(H152,レベル!$A$1:$A$21,FALSE),MATCH(G152,レベル!$A$1:$I$1,FALSE))</f>
        <v>60</v>
      </c>
      <c r="P152" s="63">
        <f t="shared" ca="1" si="21"/>
        <v>60</v>
      </c>
      <c r="Q152" s="77" t="str">
        <f ca="1">VLOOKUP($A152,OFFSET([2]characters!$A$1,0,0,COUNTA([2]characters!$A:$A),MATCH(Q$1,[2]characters!$1:$1,0)-MATCH($A$1,[2]characters!$1:$1,0)+1),MATCH(Q$1,[2]characters!$1:$1,0)-MATCH($A$1,[2]characters!$1:$1,0)+1,FALSE)</f>
        <v>technical</v>
      </c>
      <c r="R152" s="8" t="str">
        <f ca="1">VLOOKUP(Q152,[2]character_type_i18n!$A:$H,3,FALSE)</f>
        <v>テクニカルタイプ</v>
      </c>
      <c r="S152" s="14">
        <f ca="1">VLOOKUP(Q152,[2]character_type_i18n!$A:$H,4,FALSE)</f>
        <v>0.9</v>
      </c>
      <c r="T152" s="14">
        <f ca="1">VLOOKUP(Q152,[2]character_type_i18n!$A:$H,5,FALSE)</f>
        <v>0.9</v>
      </c>
      <c r="U152" s="14">
        <f ca="1">VLOOKUP(Q152,[2]character_type_i18n!$A:$H,6,FALSE)</f>
        <v>1</v>
      </c>
      <c r="V152" s="14">
        <f ca="1">VLOOKUP(Q152,[2]character_type_i18n!$A:$H,7,FALSE)</f>
        <v>0.9</v>
      </c>
      <c r="W152" s="77" t="str">
        <f ca="1">VLOOKUP($A152,OFFSET([2]characters!$A$1,0,0,COUNTA([2]characters!$A:$A),MATCH(W$1,[2]characters!$1:$1,0)-MATCH($A$1,[2]characters!$1:$1,0)+1),MATCH(W$1,[2]characters!$1:$1,0)-MATCH($A$1,[2]characters!$1:$1,0)+1,FALSE)</f>
        <v>human</v>
      </c>
      <c r="X152" s="8" t="str">
        <f ca="1">VLOOKUP(W152,[2]character_tribe_i18n!$A:$H,3,FALSE)</f>
        <v>ヒューマン</v>
      </c>
      <c r="Y152" s="77" t="str">
        <f ca="1">VLOOKUP($A152,OFFSET([2]characters!$A$1,0,0,COUNTA([2]characters!$A:$A),MATCH(Y$1,[2]characters!$1:$1,0)-MATCH($A$1,[2]characters!$1:$1,0)+1),MATCH(Y$1,[2]characters!$1:$1,0)-MATCH($A$1,[2]characters!$1:$1,0)+1,FALSE)</f>
        <v>none</v>
      </c>
      <c r="Z152" s="8" t="str">
        <f ca="1">VLOOKUP(Y152,[2]character_tribe_i18n!$A:$H,3,FALSE)</f>
        <v>種族なし</v>
      </c>
      <c r="AA152" s="14">
        <f ca="1">VLOOKUP(W152,[2]character_tribe_i18n!$A:$H,4,FALSE)</f>
        <v>0.94</v>
      </c>
      <c r="AB152" s="14">
        <f ca="1">VLOOKUP(W152,[2]character_tribe_i18n!$A:$H,5,FALSE)</f>
        <v>0.99</v>
      </c>
      <c r="AC152" s="14">
        <f ca="1">VLOOKUP(W152,[2]character_tribe_i18n!$A:$H,6,FALSE)</f>
        <v>1</v>
      </c>
      <c r="AD152" s="14">
        <f ca="1">VLOOKUP(W152,[2]character_tribe_i18n!$A:$H,7,FALSE)</f>
        <v>1.07</v>
      </c>
      <c r="AE152" s="12" t="s">
        <v>102</v>
      </c>
      <c r="AF152" s="85" t="str">
        <f ca="1">IF(AE152="NULL","",VLOOKUP($AE152,OFFSET([2]characters!$A$1,0,0,COUNTA([2]characters!$A:$A),MATCH(AF$1,[2]characters!$1:$1,0)-MATCH($A$1,[2]characters!$1:$1,0)+1),MATCH(AF$1,[2]characters!$1:$1,0)-MATCH($A$1,[2]characters!$1:$1,0)+1,FALSE))</f>
        <v/>
      </c>
      <c r="AG152" s="8">
        <f t="shared" ca="1" si="16"/>
        <v>150</v>
      </c>
      <c r="AH152" s="85" t="str">
        <f ca="1">VLOOKUP($AG152,OFFSET([2]characters!$A$1,0,0,COUNTA([2]characters!$A:$A),MATCH(AH$1,[2]characters!$1:$1,0)-MATCH($A$1,[2]characters!$1:$1,0)+1),MATCH(AH$1,[2]characters!$1:$1,0)-MATCH($A$1,[2]characters!$1:$1,0)+1,FALSE)</f>
        <v>ポイズンマスターサキ</v>
      </c>
      <c r="AI152" s="14" t="str">
        <f>IF(AE152="NULL","NULL",VLOOKUP(G152,ビット!$A$2:$B$7,2))</f>
        <v>NULL</v>
      </c>
      <c r="AJ152" s="9">
        <v>2</v>
      </c>
      <c r="AK152" s="10" t="str">
        <f t="shared" si="17"/>
        <v>普通</v>
      </c>
      <c r="AL152" s="14" t="str">
        <f ca="1">INDEX(経験値!$A$1:$I$20,MATCH(H152,経験値!$A$1:$A$20,FALSE),MATCH(G152,経験値!$A$1:$I$1,FALSE))</f>
        <v>required_exp_150</v>
      </c>
      <c r="AM152" s="11">
        <f ca="1">VLOOKUP(G152,経験値!$A$27:$B$31,2)</f>
        <v>3400</v>
      </c>
      <c r="AN152" s="21">
        <f ca="1">VLOOKUP(G152,ビット!$G$2:$H$7,2)</f>
        <v>600</v>
      </c>
      <c r="AO152" s="99" t="s">
        <v>182</v>
      </c>
      <c r="AP152" s="97">
        <v>430009</v>
      </c>
      <c r="AQ152" s="77" t="e">
        <f ca="1">VLOOKUP($AP152,OFFSET([1]unit_skills!$A$1,0,0,COUNTA([1]unit_skills!$A:$A),MATCH("name",[1]unit_skills!$1:$1,0)-MATCH($AP$1,[1]unit_skills!$1:$1,0)+1),MATCH("name",[1]unit_skills!$1:$1,0)-MATCH($AP$1,[1]unit_skills!$1:$1,0)+1,FALSE)</f>
        <v>#VALUE!</v>
      </c>
      <c r="AR152" s="77" t="e">
        <f ca="1">VLOOKUP($AP152,OFFSET([1]unit_skills!$A$1,0,0,COUNTA([1]unit_skills!$A:$A),MATCH("comment",[1]unit_skills!$1:$1,0)-MATCH($AP$1,[1]unit_skills!$1:$1,0)+1),MATCH("comment",[1]unit_skills!$1:$1,0)-MATCH($AP$1,[1]unit_skills!$1:$1,0)+1,FALSE)</f>
        <v>#VALUE!</v>
      </c>
      <c r="AS152" s="77" t="e">
        <f ca="1">VLOOKUP($AP152,OFFSET([1]unit_skills!$A$1,0,0,COUNTA([1]unit_skills!$A:$A),MATCH(AS$1,[1]unit_skills!$1:$1,0)-MATCH($AP$1,[1]unit_skills!$1:$1,0)+1),MATCH(AS$1,[1]unit_skills!$1:$1,0)-MATCH($AP$1,[1]unit_skills!$1:$1,0)+1,FALSE)</f>
        <v>#VALUE!</v>
      </c>
      <c r="AT152" s="97">
        <v>431003</v>
      </c>
      <c r="AU152" s="77" t="e">
        <f ca="1">VLOOKUP($AT152,OFFSET([1]crash_skills!$A$1,0,0,COUNTA([1]crash_skills!$A:$A),MATCH("name",[1]crash_skills!$1:$1,0)-MATCH($AT$1,[1]crash_skills!$1:$1,0)+1),MATCH("name",[1]crash_skills!$1:$1,0)-MATCH($AT$1,[1]crash_skills!$1:$1,0)+1,FALSE)</f>
        <v>#VALUE!</v>
      </c>
      <c r="AV152" s="77" t="e">
        <f ca="1">VLOOKUP($AT152,OFFSET([1]crash_skills!$A$1,0,0,COUNTA([1]crash_skills!$A:$A),MATCH("comment",[1]crash_skills!$1:$1,0)-MATCH($AT$1,[1]crash_skills!$1:$1,0)+1),MATCH("comment",[1]crash_skills!$1:$1,0)-MATCH($AT$1,[1]crash_skills!$1:$1,0)+1,FALSE)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52" s="77" t="e">
        <f ca="1">VLOOKUP($AT152,OFFSET([1]crash_skills!$A$1,0,0,COUNTA([1]crash_skills!$A:$A),MATCH(AW$1,[1]crash_skills!$1:$1,0)-MATCH($AT$1,[1]crash_skills!$1:$1,0)+1),MATCH(AW$1,[1]crash_skills!$1:$1,0)-MATCH($AT$1,[1]crash_skills!$1:$1,0)+1,FALSE)</f>
        <v>#VALUE!</v>
      </c>
      <c r="AX152" s="81">
        <f ca="1">VLOOKUP($A152,OFFSET([2]characters!$A$1,0,0,COUNTA([2]characters!$A:$A),MATCH(AX$1,[2]characters!$1:$1,0)-MATCH($A$1,[2]characters!$1:$1,0)+1),MATCH(AX$1,[2]characters!$1:$1,0)-MATCH($A$1,[2]characters!$1:$1,0)+1,FALSE)</f>
        <v>3</v>
      </c>
      <c r="AY152" s="19">
        <v>1</v>
      </c>
      <c r="AZ152" s="19">
        <v>0.8</v>
      </c>
      <c r="BA152" s="19">
        <v>0</v>
      </c>
      <c r="BB152" s="19">
        <v>1.2</v>
      </c>
      <c r="BC152" s="14">
        <f ca="1">INDEX('RC6SV'!$A$1:$G$20,MATCH(H152,'RC6SV'!$A$1:$A$20,FALSE),MATCH(G152,'RC6SV'!$A$1:$G$1,FALSE))</f>
        <v>6600</v>
      </c>
      <c r="BD152" s="63">
        <f t="shared" ca="1" si="18"/>
        <v>6600</v>
      </c>
      <c r="BE152" s="14">
        <f t="shared" ca="1" si="19"/>
        <v>4800</v>
      </c>
      <c r="BF152" s="14">
        <f t="shared" ca="1" si="20"/>
        <v>1</v>
      </c>
      <c r="BG152" s="20">
        <f ca="1">IF($BE152&lt;=0,ROUND(BK152*0.5,0), ROUND($BE152*S152*AA152*J152*AY152*0.8*[2]ステータス!$B$2,0))</f>
        <v>1624</v>
      </c>
      <c r="BH152" s="20">
        <f ca="1">IF($BE152&lt;=0,ROUND(BL152*0.5,0), ROUND($BE152*T152*AB152*K152*AZ152*0.8*[2]ステータス!$C$2,0))</f>
        <v>838</v>
      </c>
      <c r="BI152" s="20">
        <f ca="1">IF($BE152&lt;=0,ROUND(BM152*0.5,0), ROUND($BE152*U152*AC152*L152*BA152*0.8*[2]ステータス!$D$2,0))</f>
        <v>0</v>
      </c>
      <c r="BJ152" s="20">
        <f ca="1">IF($BE152&lt;=0,ROUND(BN152*0.5,0), ROUND($BE152*V152*AD152*M152*BB152*0.8*[2]ステータス!$E$2,0))</f>
        <v>1087</v>
      </c>
      <c r="BK152" s="14">
        <f ca="1">ROUND(BD152*S152*AA152*J152*AY152*[2]ステータス!$B$2,0)</f>
        <v>2792</v>
      </c>
      <c r="BL152" s="14">
        <f ca="1">ROUND(BD152*T152*AB152*K152*AZ152*[2]ステータス!$C$2,0)</f>
        <v>1440</v>
      </c>
      <c r="BM152" s="14">
        <f ca="1">ROUND(BD152*U152*AC152*L152*BA152*[2]ステータス!$D$2,0)</f>
        <v>0</v>
      </c>
      <c r="BN152" s="14">
        <f ca="1">ROUND(BD152*V152*AD152*M152*BB152*[2]ステータス!$E$2,0)</f>
        <v>1869</v>
      </c>
      <c r="BO152" s="13">
        <v>0</v>
      </c>
      <c r="BP152" s="13">
        <v>1</v>
      </c>
      <c r="BQ152" s="13" t="s">
        <v>102</v>
      </c>
      <c r="BR152" s="13">
        <f ca="1">VLOOKUP(H152,ghosts_label!$A$2:$B$19,2,FALSE)</f>
        <v>500</v>
      </c>
    </row>
    <row r="153" spans="1:70" ht="21" customHeight="1" x14ac:dyDescent="0.15">
      <c r="A153" s="14">
        <f t="shared" ca="1" si="15"/>
        <v>152</v>
      </c>
      <c r="B153" s="77" t="str">
        <f ca="1">VLOOKUP($A153,OFFSET([2]characters!$A$1,0,0,COUNTA([2]characters!$A:$A),MATCH(B$1,[2]characters!$1:$1,0)-MATCH($A$1,[2]characters!$1:$1,0)+1),MATCH(B$1,[2]characters!$1:$1,0)-MATCH($A$1,[2]characters!$1:$1,0)+1,FALSE)</f>
        <v>功夫少女ランラン</v>
      </c>
      <c r="C153" s="77" t="str">
        <f ca="1">VLOOKUP($A153,OFFSET([2]characters!$A$1,0,0,COUNTA([2]characters!$A:$A),MATCH(C$1,[2]characters!$1:$1,0)-MATCH($A$1,[2]characters!$1:$1,0)+1),MATCH(C$1,[2]characters!$1:$1,0)-MATCH($A$1,[2]characters!$1:$1,0)+1,FALSE)</f>
        <v>初期ガチャ</v>
      </c>
      <c r="D153" s="77" t="str">
        <f ca="1">VLOOKUP($A153,OFFSET([2]characters!$A$1,0,0,COUNTA([2]characters!$A:$A),MATCH(D$1,[2]characters!$1:$1,0)-MATCH($A$1,[2]characters!$1:$1,0)+1),MATCH(D$1,[2]characters!$1:$1,0)-MATCH($A$1,[2]characters!$1:$1,0)+1,FALSE)</f>
        <v>アバター</v>
      </c>
      <c r="E153" s="77" t="str">
        <f ca="1">VLOOKUP($A153,OFFSET([2]characters!$A$1,0,0,COUNTA([2]characters!$A:$A),MATCH(E$1,[2]characters!$1:$1,0)-MATCH($A$1,[2]characters!$1:$1,0)+1),MATCH(E$1,[2]characters!$1:$1,0)-MATCH($A$1,[2]characters!$1:$1,0)+1,FALSE)</f>
        <v>可愛い</v>
      </c>
      <c r="F153" s="77" t="str">
        <f ca="1">VLOOKUP($A153,OFFSET([2]characters!$A$1,0,0,COUNTA([2]characters!$A:$A),MATCH(F$1,[2]characters!$1:$1,0)-MATCH($A$1,[2]characters!$1:$1,0)+1),MATCH(F$1,[2]characters!$1:$1,0)-MATCH($A$1,[2]characters!$1:$1,0)+1,FALSE)</f>
        <v>女性</v>
      </c>
      <c r="G153" s="77">
        <f ca="1">VLOOKUP($A153,OFFSET([2]characters!$A$1,0,0,COUNTA([2]characters!$A:$A),MATCH(G$1,[2]characters!$1:$1,0)-MATCH($A$1,[2]characters!$1:$1,0)+1),MATCH(G$1,[2]characters!$1:$1,0)-MATCH($A$1,[2]characters!$1:$1,0)+1,FALSE)</f>
        <v>3</v>
      </c>
      <c r="H153" s="77" t="str">
        <f ca="1">VLOOKUP($A153,OFFSET([2]characters!$A$1,0,0,COUNTA([2]characters!$A:$A),MATCH(H$1,[2]characters!$1:$1,0)-MATCH($A$1,[2]characters!$1:$1,0)+1),MATCH(H$1,[2]characters!$1:$1,0)-MATCH($A$1,[2]characters!$1:$1,0)+1,FALSE)</f>
        <v>PremiumW</v>
      </c>
      <c r="I153" s="77" t="str">
        <f ca="1">VLOOKUP($A153,OFFSET([2]characters!$A$1,0,0,COUNTA([2]characters!$A:$A),MATCH(I$1,[2]characters!$1:$1,0)-MATCH($A$1,[2]characters!$1:$1,0)+1),MATCH(I$1,[2]characters!$1:$1,0)-MATCH($A$1,[2]characters!$1:$1,0)+1,FALSE)</f>
        <v>green</v>
      </c>
      <c r="J153" s="14">
        <f ca="1">VLOOKUP(I153,[2]属性!$A:$E,2,FALSE)</f>
        <v>1.02</v>
      </c>
      <c r="K153" s="14">
        <f ca="1">VLOOKUP(I153,[2]属性!$A:$E,3,FALSE)</f>
        <v>0.98</v>
      </c>
      <c r="L153" s="14">
        <f ca="1">VLOOKUP(I153,[2]属性!$A:$E,4,FALSE)</f>
        <v>1</v>
      </c>
      <c r="M153" s="14">
        <f ca="1">VLOOKUP(I153,[2]属性!$A:$E,5,FALSE)</f>
        <v>1</v>
      </c>
      <c r="N153" s="14">
        <f ca="1">INDEX(コスト!$A$1:$I$20,MATCH(H153,コスト!$A$1:$A$20,FALSE),MATCH(G153,コスト!$A$1:$I$1,FALSE))</f>
        <v>7</v>
      </c>
      <c r="O153" s="14">
        <f ca="1">INDEX(レベル!$A$1:$I$21,MATCH(H153,レベル!$A$1:$A$21,FALSE),MATCH(G153,レベル!$A$1:$I$1,FALSE))</f>
        <v>40</v>
      </c>
      <c r="P153" s="63">
        <f t="shared" ca="1" si="21"/>
        <v>45</v>
      </c>
      <c r="Q153" s="77" t="str">
        <f ca="1">VLOOKUP($A153,OFFSET([2]characters!$A$1,0,0,COUNTA([2]characters!$A:$A),MATCH(Q$1,[2]characters!$1:$1,0)-MATCH($A$1,[2]characters!$1:$1,0)+1),MATCH(Q$1,[2]characters!$1:$1,0)-MATCH($A$1,[2]characters!$1:$1,0)+1,FALSE)</f>
        <v>heal</v>
      </c>
      <c r="R153" s="8" t="str">
        <f ca="1">VLOOKUP(Q153,[2]character_type_i18n!$A:$H,3,FALSE)</f>
        <v>回復タイプ</v>
      </c>
      <c r="S153" s="14">
        <f ca="1">VLOOKUP(Q153,[2]character_type_i18n!$A:$H,4,FALSE)</f>
        <v>0.8</v>
      </c>
      <c r="T153" s="14">
        <f ca="1">VLOOKUP(Q153,[2]character_type_i18n!$A:$H,5,FALSE)</f>
        <v>0.78</v>
      </c>
      <c r="U153" s="14">
        <f ca="1">VLOOKUP(Q153,[2]character_type_i18n!$A:$H,6,FALSE)</f>
        <v>1</v>
      </c>
      <c r="V153" s="14">
        <f ca="1">VLOOKUP(Q153,[2]character_type_i18n!$A:$H,7,FALSE)</f>
        <v>1.42</v>
      </c>
      <c r="W153" s="77" t="str">
        <f ca="1">VLOOKUP($A153,OFFSET([2]characters!$A$1,0,0,COUNTA([2]characters!$A:$A),MATCH(W$1,[2]characters!$1:$1,0)-MATCH($A$1,[2]characters!$1:$1,0)+1),MATCH(W$1,[2]characters!$1:$1,0)-MATCH($A$1,[2]characters!$1:$1,0)+1,FALSE)</f>
        <v>human</v>
      </c>
      <c r="X153" s="8" t="str">
        <f ca="1">VLOOKUP(W153,[2]character_tribe_i18n!$A:$H,3,FALSE)</f>
        <v>ヒューマン</v>
      </c>
      <c r="Y153" s="77" t="str">
        <f ca="1">VLOOKUP($A153,OFFSET([2]characters!$A$1,0,0,COUNTA([2]characters!$A:$A),MATCH(Y$1,[2]characters!$1:$1,0)-MATCH($A$1,[2]characters!$1:$1,0)+1),MATCH(Y$1,[2]characters!$1:$1,0)-MATCH($A$1,[2]characters!$1:$1,0)+1,FALSE)</f>
        <v>none</v>
      </c>
      <c r="Z153" s="8" t="str">
        <f ca="1">VLOOKUP(Y153,[2]character_tribe_i18n!$A:$H,3,FALSE)</f>
        <v>種族なし</v>
      </c>
      <c r="AA153" s="14">
        <f ca="1">VLOOKUP(W153,[2]character_tribe_i18n!$A:$H,4,FALSE)</f>
        <v>0.94</v>
      </c>
      <c r="AB153" s="14">
        <f ca="1">VLOOKUP(W153,[2]character_tribe_i18n!$A:$H,5,FALSE)</f>
        <v>0.99</v>
      </c>
      <c r="AC153" s="14">
        <f ca="1">VLOOKUP(W153,[2]character_tribe_i18n!$A:$H,6,FALSE)</f>
        <v>1</v>
      </c>
      <c r="AD153" s="14">
        <f ca="1">VLOOKUP(W153,[2]character_tribe_i18n!$A:$H,7,FALSE)</f>
        <v>1.07</v>
      </c>
      <c r="AE153" s="12">
        <v>153</v>
      </c>
      <c r="AF153" s="85" t="str">
        <f ca="1">IF(AE153="NULL","",VLOOKUP($AE153,OFFSET([2]characters!$A$1,0,0,COUNTA([2]characters!$A:$A),MATCH(AF$1,[2]characters!$1:$1,0)-MATCH($A$1,[2]characters!$1:$1,0)+1),MATCH(AF$1,[2]characters!$1:$1,0)-MATCH($A$1,[2]characters!$1:$1,0)+1,FALSE))</f>
        <v>拳聖ランラン</v>
      </c>
      <c r="AG153" s="8">
        <f t="shared" ca="1" si="16"/>
        <v>152</v>
      </c>
      <c r="AH153" s="85" t="str">
        <f ca="1">VLOOKUP($AG153,OFFSET([2]characters!$A$1,0,0,COUNTA([2]characters!$A:$A),MATCH(AH$1,[2]characters!$1:$1,0)-MATCH($A$1,[2]characters!$1:$1,0)+1),MATCH(AH$1,[2]characters!$1:$1,0)-MATCH($A$1,[2]characters!$1:$1,0)+1,FALSE)</f>
        <v>功夫少女ランラン</v>
      </c>
      <c r="AI153" s="14">
        <f ca="1">IF(AE153="NULL","NULL",VLOOKUP(G153,ビット!$A$2:$B$7,2))</f>
        <v>20000</v>
      </c>
      <c r="AJ153" s="9">
        <v>2</v>
      </c>
      <c r="AK153" s="10" t="str">
        <f t="shared" si="17"/>
        <v>普通</v>
      </c>
      <c r="AL153" s="14" t="str">
        <f ca="1">INDEX(経験値!$A$1:$I$20,MATCH(H153,経験値!$A$1:$A$20,FALSE),MATCH(G153,経験値!$A$1:$I$1,FALSE))</f>
        <v>required_exp_150</v>
      </c>
      <c r="AM153" s="11">
        <f ca="1">VLOOKUP(G153,経験値!$A$27:$B$31,2)</f>
        <v>1500</v>
      </c>
      <c r="AN153" s="21">
        <f ca="1">VLOOKUP(G153,ビット!$G$2:$H$7,2)</f>
        <v>300</v>
      </c>
      <c r="AO153" s="99" t="s">
        <v>183</v>
      </c>
      <c r="AP153" s="97">
        <v>230004</v>
      </c>
      <c r="AQ153" s="77" t="e">
        <f ca="1">VLOOKUP($AP153,OFFSET([1]unit_skills!$A$1,0,0,COUNTA([1]unit_skills!$A:$A),MATCH("name",[1]unit_skills!$1:$1,0)-MATCH($AP$1,[1]unit_skills!$1:$1,0)+1),MATCH("name",[1]unit_skills!$1:$1,0)-MATCH($AP$1,[1]unit_skills!$1:$1,0)+1,FALSE)</f>
        <v>#VALUE!</v>
      </c>
      <c r="AR153" s="77" t="e">
        <f ca="1">VLOOKUP($AP153,OFFSET([1]unit_skills!$A$1,0,0,COUNTA([1]unit_skills!$A:$A),MATCH("comment",[1]unit_skills!$1:$1,0)-MATCH($AP$1,[1]unit_skills!$1:$1,0)+1),MATCH("comment",[1]unit_skills!$1:$1,0)-MATCH($AP$1,[1]unit_skills!$1:$1,0)+1,FALSE)</f>
        <v>#VALUE!</v>
      </c>
      <c r="AS153" s="77" t="e">
        <f ca="1">VLOOKUP($AP153,OFFSET([1]unit_skills!$A$1,0,0,COUNTA([1]unit_skills!$A:$A),MATCH(AS$1,[1]unit_skills!$1:$1,0)-MATCH($AP$1,[1]unit_skills!$1:$1,0)+1),MATCH(AS$1,[1]unit_skills!$1:$1,0)-MATCH($AP$1,[1]unit_skills!$1:$1,0)+1,FALSE)</f>
        <v>#VALUE!</v>
      </c>
      <c r="AT153" s="97">
        <v>112003</v>
      </c>
      <c r="AU153" s="77" t="e">
        <f ca="1">VLOOKUP($AT153,OFFSET([1]crash_skills!$A$1,0,0,COUNTA([1]crash_skills!$A:$A),MATCH("name",[1]crash_skills!$1:$1,0)-MATCH($AT$1,[1]crash_skills!$1:$1,0)+1),MATCH("name",[1]crash_skills!$1:$1,0)-MATCH($AT$1,[1]crash_skills!$1:$1,0)+1,FALSE)</f>
        <v>#VALUE!</v>
      </c>
      <c r="AV153" s="77" t="e">
        <f ca="1">VLOOKUP($AT153,OFFSET([1]crash_skills!$A$1,0,0,COUNTA([1]crash_skills!$A:$A),MATCH("comment",[1]crash_skills!$1:$1,0)-MATCH($AT$1,[1]crash_skills!$1:$1,0)+1),MATCH("comment",[1]crash_skills!$1:$1,0)-MATCH($AT$1,[1]crash_skills!$1:$1,0)+1,FALSE)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53" s="77" t="e">
        <f ca="1">VLOOKUP($AT153,OFFSET([1]crash_skills!$A$1,0,0,COUNTA([1]crash_skills!$A:$A),MATCH(AW$1,[1]crash_skills!$1:$1,0)-MATCH($AT$1,[1]crash_skills!$1:$1,0)+1),MATCH(AW$1,[1]crash_skills!$1:$1,0)-MATCH($AT$1,[1]crash_skills!$1:$1,0)+1,FALSE)</f>
        <v>#VALUE!</v>
      </c>
      <c r="AX153" s="81">
        <f ca="1">VLOOKUP($A153,OFFSET([2]characters!$A$1,0,0,COUNTA([2]characters!$A:$A),MATCH(AX$1,[2]characters!$1:$1,0)-MATCH($A$1,[2]characters!$1:$1,0)+1),MATCH(AX$1,[2]characters!$1:$1,0)-MATCH($A$1,[2]characters!$1:$1,0)+1,FALSE)</f>
        <v>3</v>
      </c>
      <c r="AY153" s="19">
        <v>1</v>
      </c>
      <c r="AZ153" s="19">
        <v>1</v>
      </c>
      <c r="BA153" s="19">
        <v>0</v>
      </c>
      <c r="BB153" s="19">
        <v>1</v>
      </c>
      <c r="BC153" s="14">
        <f ca="1">INDEX('RC6SV'!$A$1:$G$20,MATCH(H153,'RC6SV'!$A$1:$A$20,FALSE),MATCH(G153,'RC6SV'!$A$1:$G$1,FALSE))</f>
        <v>4800</v>
      </c>
      <c r="BD153" s="63">
        <f t="shared" ca="1" si="18"/>
        <v>4800</v>
      </c>
      <c r="BE153" s="14">
        <f t="shared" ca="1" si="19"/>
        <v>0</v>
      </c>
      <c r="BF153" s="14">
        <f t="shared" ca="1" si="20"/>
        <v>1</v>
      </c>
      <c r="BG153" s="20">
        <f ca="1">IF($BE153&lt;=0,ROUND(BK153*0.5,0), ROUND($BE153*S153*AA153*J153*AY153*0.8*[2]ステータス!$B$2,0))</f>
        <v>921</v>
      </c>
      <c r="BH153" s="20">
        <f ca="1">IF($BE153&lt;=0,ROUND(BL153*0.5,0), ROUND($BE153*T153*AB153*K153*AZ153*0.8*[2]ステータス!$C$2,0))</f>
        <v>545</v>
      </c>
      <c r="BI153" s="20">
        <f ca="1">IF($BE153&lt;=0,ROUND(BM153*0.5,0), ROUND($BE153*U153*AC153*L153*BA153*0.8*[2]ステータス!$D$2,0))</f>
        <v>0</v>
      </c>
      <c r="BJ153" s="20">
        <f ca="1">IF($BE153&lt;=0,ROUND(BN153*0.5,0), ROUND($BE153*V153*AD153*M153*BB153*0.8*[2]ステータス!$E$2,0))</f>
        <v>912</v>
      </c>
      <c r="BK153" s="14">
        <f ca="1">ROUND(BD153*S153*AA153*J153*AY153*[2]ステータス!$B$2,0)</f>
        <v>1841</v>
      </c>
      <c r="BL153" s="14">
        <f ca="1">ROUND(BD153*T153*AB153*K153*AZ153*[2]ステータス!$C$2,0)</f>
        <v>1090</v>
      </c>
      <c r="BM153" s="14">
        <f ca="1">ROUND(BD153*U153*AC153*L153*BA153*[2]ステータス!$D$2,0)</f>
        <v>0</v>
      </c>
      <c r="BN153" s="14">
        <f ca="1">ROUND(BD153*V153*AD153*M153*BB153*[2]ステータス!$E$2,0)</f>
        <v>1823</v>
      </c>
      <c r="BO153" s="13">
        <v>0</v>
      </c>
      <c r="BP153" s="13">
        <v>1</v>
      </c>
      <c r="BQ153" s="13" t="s">
        <v>102</v>
      </c>
      <c r="BR153" s="13">
        <f ca="1">VLOOKUP(H153,ghosts_label!$A$2:$B$19,2,FALSE)</f>
        <v>500</v>
      </c>
    </row>
    <row r="154" spans="1:70" ht="21" customHeight="1" x14ac:dyDescent="0.15">
      <c r="A154" s="14">
        <f t="shared" ca="1" si="15"/>
        <v>153</v>
      </c>
      <c r="B154" s="77" t="str">
        <f ca="1">VLOOKUP($A154,OFFSET([2]characters!$A$1,0,0,COUNTA([2]characters!$A:$A),MATCH(B$1,[2]characters!$1:$1,0)-MATCH($A$1,[2]characters!$1:$1,0)+1),MATCH(B$1,[2]characters!$1:$1,0)-MATCH($A$1,[2]characters!$1:$1,0)+1,FALSE)</f>
        <v>拳聖ランラン</v>
      </c>
      <c r="C154" s="77" t="str">
        <f ca="1">VLOOKUP($A154,OFFSET([2]characters!$A$1,0,0,COUNTA([2]characters!$A:$A),MATCH(C$1,[2]characters!$1:$1,0)-MATCH($A$1,[2]characters!$1:$1,0)+1),MATCH(C$1,[2]characters!$1:$1,0)-MATCH($A$1,[2]characters!$1:$1,0)+1,FALSE)</f>
        <v>初期ガチャ</v>
      </c>
      <c r="D154" s="77" t="str">
        <f ca="1">VLOOKUP($A154,OFFSET([2]characters!$A$1,0,0,COUNTA([2]characters!$A:$A),MATCH(D$1,[2]characters!$1:$1,0)-MATCH($A$1,[2]characters!$1:$1,0)+1),MATCH(D$1,[2]characters!$1:$1,0)-MATCH($A$1,[2]characters!$1:$1,0)+1,FALSE)</f>
        <v>アバター</v>
      </c>
      <c r="E154" s="77" t="str">
        <f ca="1">VLOOKUP($A154,OFFSET([2]characters!$A$1,0,0,COUNTA([2]characters!$A:$A),MATCH(E$1,[2]characters!$1:$1,0)-MATCH($A$1,[2]characters!$1:$1,0)+1),MATCH(E$1,[2]characters!$1:$1,0)-MATCH($A$1,[2]characters!$1:$1,0)+1,FALSE)</f>
        <v>可愛い</v>
      </c>
      <c r="F154" s="77" t="str">
        <f ca="1">VLOOKUP($A154,OFFSET([2]characters!$A$1,0,0,COUNTA([2]characters!$A:$A),MATCH(F$1,[2]characters!$1:$1,0)-MATCH($A$1,[2]characters!$1:$1,0)+1),MATCH(F$1,[2]characters!$1:$1,0)-MATCH($A$1,[2]characters!$1:$1,0)+1,FALSE)</f>
        <v>女性</v>
      </c>
      <c r="G154" s="77">
        <f ca="1">VLOOKUP($A154,OFFSET([2]characters!$A$1,0,0,COUNTA([2]characters!$A:$A),MATCH(G$1,[2]characters!$1:$1,0)-MATCH($A$1,[2]characters!$1:$1,0)+1),MATCH(G$1,[2]characters!$1:$1,0)-MATCH($A$1,[2]characters!$1:$1,0)+1,FALSE)</f>
        <v>4</v>
      </c>
      <c r="H154" s="77" t="str">
        <f ca="1">VLOOKUP($A154,OFFSET([2]characters!$A$1,0,0,COUNTA([2]characters!$A:$A),MATCH(H$1,[2]characters!$1:$1,0)-MATCH($A$1,[2]characters!$1:$1,0)+1),MATCH(H$1,[2]characters!$1:$1,0)-MATCH($A$1,[2]characters!$1:$1,0)+1,FALSE)</f>
        <v>PremiumW</v>
      </c>
      <c r="I154" s="77" t="str">
        <f ca="1">VLOOKUP($A154,OFFSET([2]characters!$A$1,0,0,COUNTA([2]characters!$A:$A),MATCH(I$1,[2]characters!$1:$1,0)-MATCH($A$1,[2]characters!$1:$1,0)+1),MATCH(I$1,[2]characters!$1:$1,0)-MATCH($A$1,[2]characters!$1:$1,0)+1,FALSE)</f>
        <v>green</v>
      </c>
      <c r="J154" s="14">
        <f ca="1">VLOOKUP(I154,[2]属性!$A:$E,2,FALSE)</f>
        <v>1.02</v>
      </c>
      <c r="K154" s="14">
        <f ca="1">VLOOKUP(I154,[2]属性!$A:$E,3,FALSE)</f>
        <v>0.98</v>
      </c>
      <c r="L154" s="14">
        <f ca="1">VLOOKUP(I154,[2]属性!$A:$E,4,FALSE)</f>
        <v>1</v>
      </c>
      <c r="M154" s="14">
        <f ca="1">VLOOKUP(I154,[2]属性!$A:$E,5,FALSE)</f>
        <v>1</v>
      </c>
      <c r="N154" s="14">
        <f ca="1">INDEX(コスト!$A$1:$I$20,MATCH(H154,コスト!$A$1:$A$20,FALSE),MATCH(G154,コスト!$A$1:$I$1,FALSE))</f>
        <v>16</v>
      </c>
      <c r="O154" s="14">
        <f ca="1">INDEX(レベル!$A$1:$I$21,MATCH(H154,レベル!$A$1:$A$21,FALSE),MATCH(G154,レベル!$A$1:$I$1,FALSE))</f>
        <v>60</v>
      </c>
      <c r="P154" s="63">
        <f t="shared" ca="1" si="21"/>
        <v>60</v>
      </c>
      <c r="Q154" s="77" t="str">
        <f ca="1">VLOOKUP($A154,OFFSET([2]characters!$A$1,0,0,COUNTA([2]characters!$A:$A),MATCH(Q$1,[2]characters!$1:$1,0)-MATCH($A$1,[2]characters!$1:$1,0)+1),MATCH(Q$1,[2]characters!$1:$1,0)-MATCH($A$1,[2]characters!$1:$1,0)+1,FALSE)</f>
        <v>heal</v>
      </c>
      <c r="R154" s="8" t="str">
        <f ca="1">VLOOKUP(Q154,[2]character_type_i18n!$A:$H,3,FALSE)</f>
        <v>回復タイプ</v>
      </c>
      <c r="S154" s="14">
        <f ca="1">VLOOKUP(Q154,[2]character_type_i18n!$A:$H,4,FALSE)</f>
        <v>0.8</v>
      </c>
      <c r="T154" s="14">
        <f ca="1">VLOOKUP(Q154,[2]character_type_i18n!$A:$H,5,FALSE)</f>
        <v>0.78</v>
      </c>
      <c r="U154" s="14">
        <f ca="1">VLOOKUP(Q154,[2]character_type_i18n!$A:$H,6,FALSE)</f>
        <v>1</v>
      </c>
      <c r="V154" s="14">
        <f ca="1">VLOOKUP(Q154,[2]character_type_i18n!$A:$H,7,FALSE)</f>
        <v>1.42</v>
      </c>
      <c r="W154" s="77" t="str">
        <f ca="1">VLOOKUP($A154,OFFSET([2]characters!$A$1,0,0,COUNTA([2]characters!$A:$A),MATCH(W$1,[2]characters!$1:$1,0)-MATCH($A$1,[2]characters!$1:$1,0)+1),MATCH(W$1,[2]characters!$1:$1,0)-MATCH($A$1,[2]characters!$1:$1,0)+1,FALSE)</f>
        <v>human</v>
      </c>
      <c r="X154" s="8" t="str">
        <f ca="1">VLOOKUP(W154,[2]character_tribe_i18n!$A:$H,3,FALSE)</f>
        <v>ヒューマン</v>
      </c>
      <c r="Y154" s="77" t="str">
        <f ca="1">VLOOKUP($A154,OFFSET([2]characters!$A$1,0,0,COUNTA([2]characters!$A:$A),MATCH(Y$1,[2]characters!$1:$1,0)-MATCH($A$1,[2]characters!$1:$1,0)+1),MATCH(Y$1,[2]characters!$1:$1,0)-MATCH($A$1,[2]characters!$1:$1,0)+1,FALSE)</f>
        <v>none</v>
      </c>
      <c r="Z154" s="8" t="str">
        <f ca="1">VLOOKUP(Y154,[2]character_tribe_i18n!$A:$H,3,FALSE)</f>
        <v>種族なし</v>
      </c>
      <c r="AA154" s="14">
        <f ca="1">VLOOKUP(W154,[2]character_tribe_i18n!$A:$H,4,FALSE)</f>
        <v>0.94</v>
      </c>
      <c r="AB154" s="14">
        <f ca="1">VLOOKUP(W154,[2]character_tribe_i18n!$A:$H,5,FALSE)</f>
        <v>0.99</v>
      </c>
      <c r="AC154" s="14">
        <f ca="1">VLOOKUP(W154,[2]character_tribe_i18n!$A:$H,6,FALSE)</f>
        <v>1</v>
      </c>
      <c r="AD154" s="14">
        <f ca="1">VLOOKUP(W154,[2]character_tribe_i18n!$A:$H,7,FALSE)</f>
        <v>1.07</v>
      </c>
      <c r="AE154" s="12" t="s">
        <v>102</v>
      </c>
      <c r="AF154" s="85" t="str">
        <f ca="1">IF(AE154="NULL","",VLOOKUP($AE154,OFFSET([2]characters!$A$1,0,0,COUNTA([2]characters!$A:$A),MATCH(AF$1,[2]characters!$1:$1,0)-MATCH($A$1,[2]characters!$1:$1,0)+1),MATCH(AF$1,[2]characters!$1:$1,0)-MATCH($A$1,[2]characters!$1:$1,0)+1,FALSE))</f>
        <v/>
      </c>
      <c r="AG154" s="8">
        <f t="shared" ca="1" si="16"/>
        <v>152</v>
      </c>
      <c r="AH154" s="85" t="str">
        <f ca="1">VLOOKUP($AG154,OFFSET([2]characters!$A$1,0,0,COUNTA([2]characters!$A:$A),MATCH(AH$1,[2]characters!$1:$1,0)-MATCH($A$1,[2]characters!$1:$1,0)+1),MATCH(AH$1,[2]characters!$1:$1,0)-MATCH($A$1,[2]characters!$1:$1,0)+1,FALSE)</f>
        <v>功夫少女ランラン</v>
      </c>
      <c r="AI154" s="14" t="str">
        <f>IF(AE154="NULL","NULL",VLOOKUP(G154,ビット!$A$2:$B$7,2))</f>
        <v>NULL</v>
      </c>
      <c r="AJ154" s="9">
        <v>2</v>
      </c>
      <c r="AK154" s="10" t="str">
        <f t="shared" si="17"/>
        <v>普通</v>
      </c>
      <c r="AL154" s="14" t="str">
        <f ca="1">INDEX(経験値!$A$1:$I$20,MATCH(H154,経験値!$A$1:$A$20,FALSE),MATCH(G154,経験値!$A$1:$I$1,FALSE))</f>
        <v>required_exp_150</v>
      </c>
      <c r="AM154" s="11">
        <f ca="1">VLOOKUP(G154,経験値!$A$27:$B$31,2)</f>
        <v>3400</v>
      </c>
      <c r="AN154" s="21">
        <f ca="1">VLOOKUP(G154,ビット!$G$2:$H$7,2)</f>
        <v>600</v>
      </c>
      <c r="AO154" s="99" t="s">
        <v>183</v>
      </c>
      <c r="AP154" s="97">
        <v>230003</v>
      </c>
      <c r="AQ154" s="77" t="e">
        <f ca="1">VLOOKUP($AP154,OFFSET([1]unit_skills!$A$1,0,0,COUNTA([1]unit_skills!$A:$A),MATCH("name",[1]unit_skills!$1:$1,0)-MATCH($AP$1,[1]unit_skills!$1:$1,0)+1),MATCH("name",[1]unit_skills!$1:$1,0)-MATCH($AP$1,[1]unit_skills!$1:$1,0)+1,FALSE)</f>
        <v>#VALUE!</v>
      </c>
      <c r="AR154" s="77" t="e">
        <f ca="1">VLOOKUP($AP154,OFFSET([1]unit_skills!$A$1,0,0,COUNTA([1]unit_skills!$A:$A),MATCH("comment",[1]unit_skills!$1:$1,0)-MATCH($AP$1,[1]unit_skills!$1:$1,0)+1),MATCH("comment",[1]unit_skills!$1:$1,0)-MATCH($AP$1,[1]unit_skills!$1:$1,0)+1,FALSE)</f>
        <v>#VALUE!</v>
      </c>
      <c r="AS154" s="77" t="e">
        <f ca="1">VLOOKUP($AP154,OFFSET([1]unit_skills!$A$1,0,0,COUNTA([1]unit_skills!$A:$A),MATCH(AS$1,[1]unit_skills!$1:$1,0)-MATCH($AP$1,[1]unit_skills!$1:$1,0)+1),MATCH(AS$1,[1]unit_skills!$1:$1,0)-MATCH($AP$1,[1]unit_skills!$1:$1,0)+1,FALSE)</f>
        <v>#VALUE!</v>
      </c>
      <c r="AT154" s="97">
        <v>112009</v>
      </c>
      <c r="AU154" s="77" t="e">
        <f ca="1">VLOOKUP($AT154,OFFSET([1]crash_skills!$A$1,0,0,COUNTA([1]crash_skills!$A:$A),MATCH("name",[1]crash_skills!$1:$1,0)-MATCH($AT$1,[1]crash_skills!$1:$1,0)+1),MATCH("name",[1]crash_skills!$1:$1,0)-MATCH($AT$1,[1]crash_skills!$1:$1,0)+1,FALSE)</f>
        <v>#VALUE!</v>
      </c>
      <c r="AV154" s="77" t="e">
        <f ca="1">VLOOKUP($AT154,OFFSET([1]crash_skills!$A$1,0,0,COUNTA([1]crash_skills!$A:$A),MATCH("comment",[1]crash_skills!$1:$1,0)-MATCH($AT$1,[1]crash_skills!$1:$1,0)+1),MATCH("comment",[1]crash_skills!$1:$1,0)-MATCH($AT$1,[1]crash_skills!$1:$1,0)+1,FALSE)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54" s="77" t="e">
        <f ca="1">VLOOKUP($AT154,OFFSET([1]crash_skills!$A$1,0,0,COUNTA([1]crash_skills!$A:$A),MATCH(AW$1,[1]crash_skills!$1:$1,0)-MATCH($AT$1,[1]crash_skills!$1:$1,0)+1),MATCH(AW$1,[1]crash_skills!$1:$1,0)-MATCH($AT$1,[1]crash_skills!$1:$1,0)+1,FALSE)</f>
        <v>#VALUE!</v>
      </c>
      <c r="AX154" s="81">
        <f ca="1">VLOOKUP($A154,OFFSET([2]characters!$A$1,0,0,COUNTA([2]characters!$A:$A),MATCH(AX$1,[2]characters!$1:$1,0)-MATCH($A$1,[2]characters!$1:$1,0)+1),MATCH(AX$1,[2]characters!$1:$1,0)-MATCH($A$1,[2]characters!$1:$1,0)+1,FALSE)</f>
        <v>3</v>
      </c>
      <c r="AY154" s="19">
        <v>1</v>
      </c>
      <c r="AZ154" s="19">
        <v>1</v>
      </c>
      <c r="BA154" s="19">
        <v>0</v>
      </c>
      <c r="BB154" s="19">
        <v>1</v>
      </c>
      <c r="BC154" s="14">
        <f ca="1">INDEX('RC6SV'!$A$1:$G$20,MATCH(H154,'RC6SV'!$A$1:$A$20,FALSE),MATCH(G154,'RC6SV'!$A$1:$G$1,FALSE))</f>
        <v>6600</v>
      </c>
      <c r="BD154" s="63">
        <f t="shared" ca="1" si="18"/>
        <v>6600</v>
      </c>
      <c r="BE154" s="14">
        <f t="shared" ca="1" si="19"/>
        <v>4800</v>
      </c>
      <c r="BF154" s="14">
        <f t="shared" ca="1" si="20"/>
        <v>1</v>
      </c>
      <c r="BG154" s="20">
        <f ca="1">IF($BE154&lt;=0,ROUND(BK154*0.5,0), ROUND($BE154*S154*AA154*J154*AY154*0.8*[2]ステータス!$B$2,0))</f>
        <v>1473</v>
      </c>
      <c r="BH154" s="20">
        <f ca="1">IF($BE154&lt;=0,ROUND(BL154*0.5,0), ROUND($BE154*T154*AB154*K154*AZ154*0.8*[2]ステータス!$C$2,0))</f>
        <v>872</v>
      </c>
      <c r="BI154" s="20">
        <f ca="1">IF($BE154&lt;=0,ROUND(BM154*0.5,0), ROUND($BE154*U154*AC154*L154*BA154*0.8*[2]ステータス!$D$2,0))</f>
        <v>0</v>
      </c>
      <c r="BJ154" s="20">
        <f ca="1">IF($BE154&lt;=0,ROUND(BN154*0.5,0), ROUND($BE154*V154*AD154*M154*BB154*0.8*[2]ステータス!$E$2,0))</f>
        <v>1459</v>
      </c>
      <c r="BK154" s="14">
        <f ca="1">ROUND(BD154*S154*AA154*J154*AY154*[2]ステータス!$B$2,0)</f>
        <v>2531</v>
      </c>
      <c r="BL154" s="14">
        <f ca="1">ROUND(BD154*T154*AB154*K154*AZ154*[2]ステータス!$C$2,0)</f>
        <v>1498</v>
      </c>
      <c r="BM154" s="14">
        <f ca="1">ROUND(BD154*U154*AC154*L154*BA154*[2]ステータス!$D$2,0)</f>
        <v>0</v>
      </c>
      <c r="BN154" s="14">
        <f ca="1">ROUND(BD154*V154*AD154*M154*BB154*[2]ステータス!$E$2,0)</f>
        <v>2507</v>
      </c>
      <c r="BO154" s="13">
        <v>0</v>
      </c>
      <c r="BP154" s="13">
        <v>1</v>
      </c>
      <c r="BQ154" s="13" t="s">
        <v>102</v>
      </c>
      <c r="BR154" s="13">
        <f ca="1">VLOOKUP(H154,ghosts_label!$A$2:$B$19,2,FALSE)</f>
        <v>500</v>
      </c>
    </row>
    <row r="155" spans="1:70" ht="21" customHeight="1" x14ac:dyDescent="0.15">
      <c r="A155" s="14">
        <f t="shared" ca="1" si="15"/>
        <v>154</v>
      </c>
      <c r="B155" s="77" t="str">
        <f ca="1">VLOOKUP($A155,OFFSET([2]characters!$A$1,0,0,COUNTA([2]characters!$A:$A),MATCH(B$1,[2]characters!$1:$1,0)-MATCH($A$1,[2]characters!$1:$1,0)+1),MATCH(B$1,[2]characters!$1:$1,0)-MATCH($A$1,[2]characters!$1:$1,0)+1,FALSE)</f>
        <v>始末屋 ハンナ</v>
      </c>
      <c r="C155" s="77" t="str">
        <f ca="1">VLOOKUP($A155,OFFSET([2]characters!$A$1,0,0,COUNTA([2]characters!$A:$A),MATCH(C$1,[2]characters!$1:$1,0)-MATCH($A$1,[2]characters!$1:$1,0)+1),MATCH(C$1,[2]characters!$1:$1,0)-MATCH($A$1,[2]characters!$1:$1,0)+1,FALSE)</f>
        <v>初期ガチャ</v>
      </c>
      <c r="D155" s="77" t="str">
        <f ca="1">VLOOKUP($A155,OFFSET([2]characters!$A$1,0,0,COUNTA([2]characters!$A:$A),MATCH(D$1,[2]characters!$1:$1,0)-MATCH($A$1,[2]characters!$1:$1,0)+1),MATCH(D$1,[2]characters!$1:$1,0)-MATCH($A$1,[2]characters!$1:$1,0)+1,FALSE)</f>
        <v>アバター</v>
      </c>
      <c r="E155" s="77" t="str">
        <f ca="1">VLOOKUP($A155,OFFSET([2]characters!$A$1,0,0,COUNTA([2]characters!$A:$A),MATCH(E$1,[2]characters!$1:$1,0)-MATCH($A$1,[2]characters!$1:$1,0)+1),MATCH(E$1,[2]characters!$1:$1,0)-MATCH($A$1,[2]characters!$1:$1,0)+1,FALSE)</f>
        <v>美しい</v>
      </c>
      <c r="F155" s="77" t="str">
        <f ca="1">VLOOKUP($A155,OFFSET([2]characters!$A$1,0,0,COUNTA([2]characters!$A:$A),MATCH(F$1,[2]characters!$1:$1,0)-MATCH($A$1,[2]characters!$1:$1,0)+1),MATCH(F$1,[2]characters!$1:$1,0)-MATCH($A$1,[2]characters!$1:$1,0)+1,FALSE)</f>
        <v>女性</v>
      </c>
      <c r="G155" s="77">
        <f ca="1">VLOOKUP($A155,OFFSET([2]characters!$A$1,0,0,COUNTA([2]characters!$A:$A),MATCH(G$1,[2]characters!$1:$1,0)-MATCH($A$1,[2]characters!$1:$1,0)+1),MATCH(G$1,[2]characters!$1:$1,0)-MATCH($A$1,[2]characters!$1:$1,0)+1,FALSE)</f>
        <v>3</v>
      </c>
      <c r="H155" s="77" t="str">
        <f ca="1">VLOOKUP($A155,OFFSET([2]characters!$A$1,0,0,COUNTA([2]characters!$A:$A),MATCH(H$1,[2]characters!$1:$1,0)-MATCH($A$1,[2]characters!$1:$1,0)+1),MATCH(H$1,[2]characters!$1:$1,0)-MATCH($A$1,[2]characters!$1:$1,0)+1,FALSE)</f>
        <v>PremiumW</v>
      </c>
      <c r="I155" s="77" t="str">
        <f ca="1">VLOOKUP($A155,OFFSET([2]characters!$A$1,0,0,COUNTA([2]characters!$A:$A),MATCH(I$1,[2]characters!$1:$1,0)-MATCH($A$1,[2]characters!$1:$1,0)+1),MATCH(I$1,[2]characters!$1:$1,0)-MATCH($A$1,[2]characters!$1:$1,0)+1,FALSE)</f>
        <v>blue</v>
      </c>
      <c r="J155" s="14">
        <f ca="1">VLOOKUP(I155,[2]属性!$A:$E,2,FALSE)</f>
        <v>1</v>
      </c>
      <c r="K155" s="14">
        <f ca="1">VLOOKUP(I155,[2]属性!$A:$E,3,FALSE)</f>
        <v>0.98</v>
      </c>
      <c r="L155" s="14">
        <f ca="1">VLOOKUP(I155,[2]属性!$A:$E,4,FALSE)</f>
        <v>1</v>
      </c>
      <c r="M155" s="14">
        <f ca="1">VLOOKUP(I155,[2]属性!$A:$E,5,FALSE)</f>
        <v>1.02</v>
      </c>
      <c r="N155" s="14">
        <f ca="1">INDEX(コスト!$A$1:$I$20,MATCH(H155,コスト!$A$1:$A$20,FALSE),MATCH(G155,コスト!$A$1:$I$1,FALSE))</f>
        <v>7</v>
      </c>
      <c r="O155" s="14">
        <f ca="1">INDEX(レベル!$A$1:$I$21,MATCH(H155,レベル!$A$1:$A$21,FALSE),MATCH(G155,レベル!$A$1:$I$1,FALSE))</f>
        <v>40</v>
      </c>
      <c r="P155" s="63">
        <f t="shared" ca="1" si="21"/>
        <v>45</v>
      </c>
      <c r="Q155" s="77" t="str">
        <f ca="1">VLOOKUP($A155,OFFSET([2]characters!$A$1,0,0,COUNTA([2]characters!$A:$A),MATCH(Q$1,[2]characters!$1:$1,0)-MATCH($A$1,[2]characters!$1:$1,0)+1),MATCH(Q$1,[2]characters!$1:$1,0)-MATCH($A$1,[2]characters!$1:$1,0)+1,FALSE)</f>
        <v>heal</v>
      </c>
      <c r="R155" s="8" t="str">
        <f ca="1">VLOOKUP(Q155,[2]character_type_i18n!$A:$H,3,FALSE)</f>
        <v>回復タイプ</v>
      </c>
      <c r="S155" s="14">
        <f ca="1">VLOOKUP(Q155,[2]character_type_i18n!$A:$H,4,FALSE)</f>
        <v>0.8</v>
      </c>
      <c r="T155" s="14">
        <f ca="1">VLOOKUP(Q155,[2]character_type_i18n!$A:$H,5,FALSE)</f>
        <v>0.78</v>
      </c>
      <c r="U155" s="14">
        <f ca="1">VLOOKUP(Q155,[2]character_type_i18n!$A:$H,6,FALSE)</f>
        <v>1</v>
      </c>
      <c r="V155" s="14">
        <f ca="1">VLOOKUP(Q155,[2]character_type_i18n!$A:$H,7,FALSE)</f>
        <v>1.42</v>
      </c>
      <c r="W155" s="77" t="str">
        <f ca="1">VLOOKUP($A155,OFFSET([2]characters!$A$1,0,0,COUNTA([2]characters!$A:$A),MATCH(W$1,[2]characters!$1:$1,0)-MATCH($A$1,[2]characters!$1:$1,0)+1),MATCH(W$1,[2]characters!$1:$1,0)-MATCH($A$1,[2]characters!$1:$1,0)+1,FALSE)</f>
        <v>human</v>
      </c>
      <c r="X155" s="8" t="str">
        <f ca="1">VLOOKUP(W155,[2]character_tribe_i18n!$A:$H,3,FALSE)</f>
        <v>ヒューマン</v>
      </c>
      <c r="Y155" s="77" t="str">
        <f ca="1">VLOOKUP($A155,OFFSET([2]characters!$A$1,0,0,COUNTA([2]characters!$A:$A),MATCH(Y$1,[2]characters!$1:$1,0)-MATCH($A$1,[2]characters!$1:$1,0)+1),MATCH(Y$1,[2]characters!$1:$1,0)-MATCH($A$1,[2]characters!$1:$1,0)+1,FALSE)</f>
        <v>none</v>
      </c>
      <c r="Z155" s="8" t="str">
        <f ca="1">VLOOKUP(Y155,[2]character_tribe_i18n!$A:$H,3,FALSE)</f>
        <v>種族なし</v>
      </c>
      <c r="AA155" s="14">
        <f ca="1">VLOOKUP(W155,[2]character_tribe_i18n!$A:$H,4,FALSE)</f>
        <v>0.94</v>
      </c>
      <c r="AB155" s="14">
        <f ca="1">VLOOKUP(W155,[2]character_tribe_i18n!$A:$H,5,FALSE)</f>
        <v>0.99</v>
      </c>
      <c r="AC155" s="14">
        <f ca="1">VLOOKUP(W155,[2]character_tribe_i18n!$A:$H,6,FALSE)</f>
        <v>1</v>
      </c>
      <c r="AD155" s="14">
        <f ca="1">VLOOKUP(W155,[2]character_tribe_i18n!$A:$H,7,FALSE)</f>
        <v>1.07</v>
      </c>
      <c r="AE155" s="12">
        <v>155</v>
      </c>
      <c r="AF155" s="85" t="str">
        <f ca="1">IF(AE155="NULL","",VLOOKUP($AE155,OFFSET([2]characters!$A$1,0,0,COUNTA([2]characters!$A:$A),MATCH(AF$1,[2]characters!$1:$1,0)-MATCH($A$1,[2]characters!$1:$1,0)+1),MATCH(AF$1,[2]characters!$1:$1,0)-MATCH($A$1,[2]characters!$1:$1,0)+1,FALSE))</f>
        <v>隻眼の掃除屋 ハンナ</v>
      </c>
      <c r="AG155" s="8">
        <f t="shared" ca="1" si="16"/>
        <v>154</v>
      </c>
      <c r="AH155" s="85" t="str">
        <f ca="1">VLOOKUP($AG155,OFFSET([2]characters!$A$1,0,0,COUNTA([2]characters!$A:$A),MATCH(AH$1,[2]characters!$1:$1,0)-MATCH($A$1,[2]characters!$1:$1,0)+1),MATCH(AH$1,[2]characters!$1:$1,0)-MATCH($A$1,[2]characters!$1:$1,0)+1,FALSE)</f>
        <v>始末屋 ハンナ</v>
      </c>
      <c r="AI155" s="14">
        <f ca="1">IF(AE155="NULL","NULL",VLOOKUP(G155,ビット!$A$2:$B$7,2))</f>
        <v>20000</v>
      </c>
      <c r="AJ155" s="9">
        <v>2</v>
      </c>
      <c r="AK155" s="10" t="str">
        <f t="shared" si="17"/>
        <v>普通</v>
      </c>
      <c r="AL155" s="14" t="str">
        <f ca="1">INDEX(経験値!$A$1:$I$20,MATCH(H155,経験値!$A$1:$A$20,FALSE),MATCH(G155,経験値!$A$1:$I$1,FALSE))</f>
        <v>required_exp_150</v>
      </c>
      <c r="AM155" s="11">
        <f ca="1">VLOOKUP(G155,経験値!$A$27:$B$31,2)</f>
        <v>1500</v>
      </c>
      <c r="AN155" s="21">
        <f ca="1">VLOOKUP(G155,ビット!$G$2:$H$7,2)</f>
        <v>300</v>
      </c>
      <c r="AO155" s="99" t="s">
        <v>183</v>
      </c>
      <c r="AP155" s="101">
        <v>200007</v>
      </c>
      <c r="AQ155" s="77" t="e">
        <f ca="1">VLOOKUP($AP155,OFFSET([1]unit_skills!$A$1,0,0,COUNTA([1]unit_skills!$A:$A),MATCH("name",[1]unit_skills!$1:$1,0)-MATCH($AP$1,[1]unit_skills!$1:$1,0)+1),MATCH("name",[1]unit_skills!$1:$1,0)-MATCH($AP$1,[1]unit_skills!$1:$1,0)+1,FALSE)</f>
        <v>#VALUE!</v>
      </c>
      <c r="AR155" s="77" t="e">
        <f ca="1">VLOOKUP($AP155,OFFSET([1]unit_skills!$A$1,0,0,COUNTA([1]unit_skills!$A:$A),MATCH("comment",[1]unit_skills!$1:$1,0)-MATCH($AP$1,[1]unit_skills!$1:$1,0)+1),MATCH("comment",[1]unit_skills!$1:$1,0)-MATCH($AP$1,[1]unit_skills!$1:$1,0)+1,FALSE)</f>
        <v>#VALUE!</v>
      </c>
      <c r="AS155" s="77" t="e">
        <f ca="1">VLOOKUP($AP155,OFFSET([1]unit_skills!$A$1,0,0,COUNTA([1]unit_skills!$A:$A),MATCH(AS$1,[1]unit_skills!$1:$1,0)-MATCH($AP$1,[1]unit_skills!$1:$1,0)+1),MATCH(AS$1,[1]unit_skills!$1:$1,0)-MATCH($AP$1,[1]unit_skills!$1:$1,0)+1,FALSE)</f>
        <v>#VALUE!</v>
      </c>
      <c r="AT155" s="97">
        <v>434002</v>
      </c>
      <c r="AU155" s="77" t="e">
        <f ca="1">VLOOKUP($AT155,OFFSET([1]crash_skills!$A$1,0,0,COUNTA([1]crash_skills!$A:$A),MATCH("name",[1]crash_skills!$1:$1,0)-MATCH($AT$1,[1]crash_skills!$1:$1,0)+1),MATCH("name",[1]crash_skills!$1:$1,0)-MATCH($AT$1,[1]crash_skills!$1:$1,0)+1,FALSE)</f>
        <v>#VALUE!</v>
      </c>
      <c r="AV155" s="77" t="e">
        <f ca="1">VLOOKUP($AT155,OFFSET([1]crash_skills!$A$1,0,0,COUNTA([1]crash_skills!$A:$A),MATCH("comment",[1]crash_skills!$1:$1,0)-MATCH($AT$1,[1]crash_skills!$1:$1,0)+1),MATCH("comment",[1]crash_skills!$1:$1,0)-MATCH($AT$1,[1]crash_skills!$1:$1,0)+1,FALSE)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55" s="77" t="e">
        <f ca="1">VLOOKUP($AT155,OFFSET([1]crash_skills!$A$1,0,0,COUNTA([1]crash_skills!$A:$A),MATCH(AW$1,[1]crash_skills!$1:$1,0)-MATCH($AT$1,[1]crash_skills!$1:$1,0)+1),MATCH(AW$1,[1]crash_skills!$1:$1,0)-MATCH($AT$1,[1]crash_skills!$1:$1,0)+1,FALSE)</f>
        <v>#VALUE!</v>
      </c>
      <c r="AX155" s="81">
        <f ca="1">VLOOKUP($A155,OFFSET([2]characters!$A$1,0,0,COUNTA([2]characters!$A:$A),MATCH(AX$1,[2]characters!$1:$1,0)-MATCH($A$1,[2]characters!$1:$1,0)+1),MATCH(AX$1,[2]characters!$1:$1,0)-MATCH($A$1,[2]characters!$1:$1,0)+1,FALSE)</f>
        <v>3</v>
      </c>
      <c r="AY155" s="19">
        <v>1</v>
      </c>
      <c r="AZ155" s="19">
        <v>1</v>
      </c>
      <c r="BA155" s="19">
        <v>0</v>
      </c>
      <c r="BB155" s="19">
        <v>1</v>
      </c>
      <c r="BC155" s="14">
        <f ca="1">INDEX('RC6SV'!$A$1:$G$20,MATCH(H155,'RC6SV'!$A$1:$A$20,FALSE),MATCH(G155,'RC6SV'!$A$1:$G$1,FALSE))</f>
        <v>4800</v>
      </c>
      <c r="BD155" s="63">
        <f t="shared" ca="1" si="18"/>
        <v>4800</v>
      </c>
      <c r="BE155" s="14">
        <f t="shared" ca="1" si="19"/>
        <v>0</v>
      </c>
      <c r="BF155" s="14">
        <f t="shared" ca="1" si="20"/>
        <v>1</v>
      </c>
      <c r="BG155" s="20">
        <f ca="1">IF($BE155&lt;=0,ROUND(BK155*0.5,0), ROUND($BE155*S155*AA155*J155*AY155*0.8*[2]ステータス!$B$2,0))</f>
        <v>903</v>
      </c>
      <c r="BH155" s="20">
        <f ca="1">IF($BE155&lt;=0,ROUND(BL155*0.5,0), ROUND($BE155*T155*AB155*K155*AZ155*0.8*[2]ステータス!$C$2,0))</f>
        <v>545</v>
      </c>
      <c r="BI155" s="20">
        <f ca="1">IF($BE155&lt;=0,ROUND(BM155*0.5,0), ROUND($BE155*U155*AC155*L155*BA155*0.8*[2]ステータス!$D$2,0))</f>
        <v>0</v>
      </c>
      <c r="BJ155" s="20">
        <f ca="1">IF($BE155&lt;=0,ROUND(BN155*0.5,0), ROUND($BE155*V155*AD155*M155*BB155*0.8*[2]ステータス!$E$2,0))</f>
        <v>930</v>
      </c>
      <c r="BK155" s="14">
        <f ca="1">ROUND(BD155*S155*AA155*J155*AY155*[2]ステータス!$B$2,0)</f>
        <v>1805</v>
      </c>
      <c r="BL155" s="14">
        <f ca="1">ROUND(BD155*T155*AB155*K155*AZ155*[2]ステータス!$C$2,0)</f>
        <v>1090</v>
      </c>
      <c r="BM155" s="14">
        <f ca="1">ROUND(BD155*U155*AC155*L155*BA155*[2]ステータス!$D$2,0)</f>
        <v>0</v>
      </c>
      <c r="BN155" s="14">
        <f ca="1">ROUND(BD155*V155*AD155*M155*BB155*[2]ステータス!$E$2,0)</f>
        <v>1860</v>
      </c>
      <c r="BO155" s="13">
        <v>0</v>
      </c>
      <c r="BP155" s="13">
        <v>1</v>
      </c>
      <c r="BQ155" s="13" t="s">
        <v>102</v>
      </c>
      <c r="BR155" s="13">
        <f ca="1">VLOOKUP(H155,ghosts_label!$A$2:$B$19,2,FALSE)</f>
        <v>500</v>
      </c>
    </row>
    <row r="156" spans="1:70" ht="21" customHeight="1" x14ac:dyDescent="0.15">
      <c r="A156" s="14">
        <f t="shared" ca="1" si="15"/>
        <v>155</v>
      </c>
      <c r="B156" s="77" t="str">
        <f ca="1">VLOOKUP($A156,OFFSET([2]characters!$A$1,0,0,COUNTA([2]characters!$A:$A),MATCH(B$1,[2]characters!$1:$1,0)-MATCH($A$1,[2]characters!$1:$1,0)+1),MATCH(B$1,[2]characters!$1:$1,0)-MATCH($A$1,[2]characters!$1:$1,0)+1,FALSE)</f>
        <v>隻眼の掃除屋 ハンナ</v>
      </c>
      <c r="C156" s="77" t="str">
        <f ca="1">VLOOKUP($A156,OFFSET([2]characters!$A$1,0,0,COUNTA([2]characters!$A:$A),MATCH(C$1,[2]characters!$1:$1,0)-MATCH($A$1,[2]characters!$1:$1,0)+1),MATCH(C$1,[2]characters!$1:$1,0)-MATCH($A$1,[2]characters!$1:$1,0)+1,FALSE)</f>
        <v>初期ガチャ</v>
      </c>
      <c r="D156" s="77" t="str">
        <f ca="1">VLOOKUP($A156,OFFSET([2]characters!$A$1,0,0,COUNTA([2]characters!$A:$A),MATCH(D$1,[2]characters!$1:$1,0)-MATCH($A$1,[2]characters!$1:$1,0)+1),MATCH(D$1,[2]characters!$1:$1,0)-MATCH($A$1,[2]characters!$1:$1,0)+1,FALSE)</f>
        <v>アバター</v>
      </c>
      <c r="E156" s="77" t="str">
        <f ca="1">VLOOKUP($A156,OFFSET([2]characters!$A$1,0,0,COUNTA([2]characters!$A:$A),MATCH(E$1,[2]characters!$1:$1,0)-MATCH($A$1,[2]characters!$1:$1,0)+1),MATCH(E$1,[2]characters!$1:$1,0)-MATCH($A$1,[2]characters!$1:$1,0)+1,FALSE)</f>
        <v>美しい</v>
      </c>
      <c r="F156" s="77" t="str">
        <f ca="1">VLOOKUP($A156,OFFSET([2]characters!$A$1,0,0,COUNTA([2]characters!$A:$A),MATCH(F$1,[2]characters!$1:$1,0)-MATCH($A$1,[2]characters!$1:$1,0)+1),MATCH(F$1,[2]characters!$1:$1,0)-MATCH($A$1,[2]characters!$1:$1,0)+1,FALSE)</f>
        <v>女性</v>
      </c>
      <c r="G156" s="77">
        <f ca="1">VLOOKUP($A156,OFFSET([2]characters!$A$1,0,0,COUNTA([2]characters!$A:$A),MATCH(G$1,[2]characters!$1:$1,0)-MATCH($A$1,[2]characters!$1:$1,0)+1),MATCH(G$1,[2]characters!$1:$1,0)-MATCH($A$1,[2]characters!$1:$1,0)+1,FALSE)</f>
        <v>4</v>
      </c>
      <c r="H156" s="77" t="str">
        <f ca="1">VLOOKUP($A156,OFFSET([2]characters!$A$1,0,0,COUNTA([2]characters!$A:$A),MATCH(H$1,[2]characters!$1:$1,0)-MATCH($A$1,[2]characters!$1:$1,0)+1),MATCH(H$1,[2]characters!$1:$1,0)-MATCH($A$1,[2]characters!$1:$1,0)+1,FALSE)</f>
        <v>PremiumW</v>
      </c>
      <c r="I156" s="77" t="str">
        <f ca="1">VLOOKUP($A156,OFFSET([2]characters!$A$1,0,0,COUNTA([2]characters!$A:$A),MATCH(I$1,[2]characters!$1:$1,0)-MATCH($A$1,[2]characters!$1:$1,0)+1),MATCH(I$1,[2]characters!$1:$1,0)-MATCH($A$1,[2]characters!$1:$1,0)+1,FALSE)</f>
        <v>blue</v>
      </c>
      <c r="J156" s="14">
        <f ca="1">VLOOKUP(I156,[2]属性!$A:$E,2,FALSE)</f>
        <v>1</v>
      </c>
      <c r="K156" s="14">
        <f ca="1">VLOOKUP(I156,[2]属性!$A:$E,3,FALSE)</f>
        <v>0.98</v>
      </c>
      <c r="L156" s="14">
        <f ca="1">VLOOKUP(I156,[2]属性!$A:$E,4,FALSE)</f>
        <v>1</v>
      </c>
      <c r="M156" s="14">
        <f ca="1">VLOOKUP(I156,[2]属性!$A:$E,5,FALSE)</f>
        <v>1.02</v>
      </c>
      <c r="N156" s="14">
        <f ca="1">INDEX(コスト!$A$1:$I$20,MATCH(H156,コスト!$A$1:$A$20,FALSE),MATCH(G156,コスト!$A$1:$I$1,FALSE))</f>
        <v>16</v>
      </c>
      <c r="O156" s="14">
        <f ca="1">INDEX(レベル!$A$1:$I$21,MATCH(H156,レベル!$A$1:$A$21,FALSE),MATCH(G156,レベル!$A$1:$I$1,FALSE))</f>
        <v>60</v>
      </c>
      <c r="P156" s="63">
        <f t="shared" ca="1" si="21"/>
        <v>60</v>
      </c>
      <c r="Q156" s="77" t="str">
        <f ca="1">VLOOKUP($A156,OFFSET([2]characters!$A$1,0,0,COUNTA([2]characters!$A:$A),MATCH(Q$1,[2]characters!$1:$1,0)-MATCH($A$1,[2]characters!$1:$1,0)+1),MATCH(Q$1,[2]characters!$1:$1,0)-MATCH($A$1,[2]characters!$1:$1,0)+1,FALSE)</f>
        <v>heal</v>
      </c>
      <c r="R156" s="8" t="str">
        <f ca="1">VLOOKUP(Q156,[2]character_type_i18n!$A:$H,3,FALSE)</f>
        <v>回復タイプ</v>
      </c>
      <c r="S156" s="14">
        <f ca="1">VLOOKUP(Q156,[2]character_type_i18n!$A:$H,4,FALSE)</f>
        <v>0.8</v>
      </c>
      <c r="T156" s="14">
        <f ca="1">VLOOKUP(Q156,[2]character_type_i18n!$A:$H,5,FALSE)</f>
        <v>0.78</v>
      </c>
      <c r="U156" s="14">
        <f ca="1">VLOOKUP(Q156,[2]character_type_i18n!$A:$H,6,FALSE)</f>
        <v>1</v>
      </c>
      <c r="V156" s="14">
        <f ca="1">VLOOKUP(Q156,[2]character_type_i18n!$A:$H,7,FALSE)</f>
        <v>1.42</v>
      </c>
      <c r="W156" s="77" t="str">
        <f ca="1">VLOOKUP($A156,OFFSET([2]characters!$A$1,0,0,COUNTA([2]characters!$A:$A),MATCH(W$1,[2]characters!$1:$1,0)-MATCH($A$1,[2]characters!$1:$1,0)+1),MATCH(W$1,[2]characters!$1:$1,0)-MATCH($A$1,[2]characters!$1:$1,0)+1,FALSE)</f>
        <v>human</v>
      </c>
      <c r="X156" s="8" t="str">
        <f ca="1">VLOOKUP(W156,[2]character_tribe_i18n!$A:$H,3,FALSE)</f>
        <v>ヒューマン</v>
      </c>
      <c r="Y156" s="77" t="str">
        <f ca="1">VLOOKUP($A156,OFFSET([2]characters!$A$1,0,0,COUNTA([2]characters!$A:$A),MATCH(Y$1,[2]characters!$1:$1,0)-MATCH($A$1,[2]characters!$1:$1,0)+1),MATCH(Y$1,[2]characters!$1:$1,0)-MATCH($A$1,[2]characters!$1:$1,0)+1,FALSE)</f>
        <v>none</v>
      </c>
      <c r="Z156" s="8" t="str">
        <f ca="1">VLOOKUP(Y156,[2]character_tribe_i18n!$A:$H,3,FALSE)</f>
        <v>種族なし</v>
      </c>
      <c r="AA156" s="14">
        <f ca="1">VLOOKUP(W156,[2]character_tribe_i18n!$A:$H,4,FALSE)</f>
        <v>0.94</v>
      </c>
      <c r="AB156" s="14">
        <f ca="1">VLOOKUP(W156,[2]character_tribe_i18n!$A:$H,5,FALSE)</f>
        <v>0.99</v>
      </c>
      <c r="AC156" s="14">
        <f ca="1">VLOOKUP(W156,[2]character_tribe_i18n!$A:$H,6,FALSE)</f>
        <v>1</v>
      </c>
      <c r="AD156" s="14">
        <f ca="1">VLOOKUP(W156,[2]character_tribe_i18n!$A:$H,7,FALSE)</f>
        <v>1.07</v>
      </c>
      <c r="AE156" s="12" t="s">
        <v>102</v>
      </c>
      <c r="AF156" s="85" t="str">
        <f ca="1">IF(AE156="NULL","",VLOOKUP($AE156,OFFSET([2]characters!$A$1,0,0,COUNTA([2]characters!$A:$A),MATCH(AF$1,[2]characters!$1:$1,0)-MATCH($A$1,[2]characters!$1:$1,0)+1),MATCH(AF$1,[2]characters!$1:$1,0)-MATCH($A$1,[2]characters!$1:$1,0)+1,FALSE))</f>
        <v/>
      </c>
      <c r="AG156" s="8">
        <f t="shared" ca="1" si="16"/>
        <v>154</v>
      </c>
      <c r="AH156" s="85" t="str">
        <f ca="1">VLOOKUP($AG156,OFFSET([2]characters!$A$1,0,0,COUNTA([2]characters!$A:$A),MATCH(AH$1,[2]characters!$1:$1,0)-MATCH($A$1,[2]characters!$1:$1,0)+1),MATCH(AH$1,[2]characters!$1:$1,0)-MATCH($A$1,[2]characters!$1:$1,0)+1,FALSE)</f>
        <v>始末屋 ハンナ</v>
      </c>
      <c r="AI156" s="14" t="str">
        <f>IF(AE156="NULL","NULL",VLOOKUP(G156,ビット!$A$2:$B$7,2))</f>
        <v>NULL</v>
      </c>
      <c r="AJ156" s="9">
        <v>2</v>
      </c>
      <c r="AK156" s="10" t="str">
        <f t="shared" si="17"/>
        <v>普通</v>
      </c>
      <c r="AL156" s="14" t="str">
        <f ca="1">INDEX(経験値!$A$1:$I$20,MATCH(H156,経験値!$A$1:$A$20,FALSE),MATCH(G156,経験値!$A$1:$I$1,FALSE))</f>
        <v>required_exp_150</v>
      </c>
      <c r="AM156" s="11">
        <f ca="1">VLOOKUP(G156,経験値!$A$27:$B$31,2)</f>
        <v>3400</v>
      </c>
      <c r="AN156" s="21">
        <f ca="1">VLOOKUP(G156,ビット!$G$2:$H$7,2)</f>
        <v>600</v>
      </c>
      <c r="AO156" s="99" t="s">
        <v>183</v>
      </c>
      <c r="AP156" s="101">
        <v>200003</v>
      </c>
      <c r="AQ156" s="77" t="e">
        <f ca="1">VLOOKUP($AP156,OFFSET([1]unit_skills!$A$1,0,0,COUNTA([1]unit_skills!$A:$A),MATCH("name",[1]unit_skills!$1:$1,0)-MATCH($AP$1,[1]unit_skills!$1:$1,0)+1),MATCH("name",[1]unit_skills!$1:$1,0)-MATCH($AP$1,[1]unit_skills!$1:$1,0)+1,FALSE)</f>
        <v>#VALUE!</v>
      </c>
      <c r="AR156" s="77" t="e">
        <f ca="1">VLOOKUP($AP156,OFFSET([1]unit_skills!$A$1,0,0,COUNTA([1]unit_skills!$A:$A),MATCH("comment",[1]unit_skills!$1:$1,0)-MATCH($AP$1,[1]unit_skills!$1:$1,0)+1),MATCH("comment",[1]unit_skills!$1:$1,0)-MATCH($AP$1,[1]unit_skills!$1:$1,0)+1,FALSE)</f>
        <v>#VALUE!</v>
      </c>
      <c r="AS156" s="77" t="e">
        <f ca="1">VLOOKUP($AP156,OFFSET([1]unit_skills!$A$1,0,0,COUNTA([1]unit_skills!$A:$A),MATCH(AS$1,[1]unit_skills!$1:$1,0)-MATCH($AP$1,[1]unit_skills!$1:$1,0)+1),MATCH(AS$1,[1]unit_skills!$1:$1,0)-MATCH($AP$1,[1]unit_skills!$1:$1,0)+1,FALSE)</f>
        <v>#VALUE!</v>
      </c>
      <c r="AT156" s="97">
        <v>434003</v>
      </c>
      <c r="AU156" s="77" t="e">
        <f ca="1">VLOOKUP($AT156,OFFSET([1]crash_skills!$A$1,0,0,COUNTA([1]crash_skills!$A:$A),MATCH("name",[1]crash_skills!$1:$1,0)-MATCH($AT$1,[1]crash_skills!$1:$1,0)+1),MATCH("name",[1]crash_skills!$1:$1,0)-MATCH($AT$1,[1]crash_skills!$1:$1,0)+1,FALSE)</f>
        <v>#VALUE!</v>
      </c>
      <c r="AV156" s="77" t="e">
        <f ca="1">VLOOKUP($AT156,OFFSET([1]crash_skills!$A$1,0,0,COUNTA([1]crash_skills!$A:$A),MATCH("comment",[1]crash_skills!$1:$1,0)-MATCH($AT$1,[1]crash_skills!$1:$1,0)+1),MATCH("comment",[1]crash_skills!$1:$1,0)-MATCH($AT$1,[1]crash_skills!$1:$1,0)+1,FALSE)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56" s="77" t="e">
        <f ca="1">VLOOKUP($AT156,OFFSET([1]crash_skills!$A$1,0,0,COUNTA([1]crash_skills!$A:$A),MATCH(AW$1,[1]crash_skills!$1:$1,0)-MATCH($AT$1,[1]crash_skills!$1:$1,0)+1),MATCH(AW$1,[1]crash_skills!$1:$1,0)-MATCH($AT$1,[1]crash_skills!$1:$1,0)+1,FALSE)</f>
        <v>#VALUE!</v>
      </c>
      <c r="AX156" s="81">
        <f ca="1">VLOOKUP($A156,OFFSET([2]characters!$A$1,0,0,COUNTA([2]characters!$A:$A),MATCH(AX$1,[2]characters!$1:$1,0)-MATCH($A$1,[2]characters!$1:$1,0)+1),MATCH(AX$1,[2]characters!$1:$1,0)-MATCH($A$1,[2]characters!$1:$1,0)+1,FALSE)</f>
        <v>3</v>
      </c>
      <c r="AY156" s="19">
        <v>1</v>
      </c>
      <c r="AZ156" s="19">
        <v>1</v>
      </c>
      <c r="BA156" s="19">
        <v>0</v>
      </c>
      <c r="BB156" s="19">
        <v>1</v>
      </c>
      <c r="BC156" s="14">
        <f ca="1">INDEX('RC6SV'!$A$1:$G$20,MATCH(H156,'RC6SV'!$A$1:$A$20,FALSE),MATCH(G156,'RC6SV'!$A$1:$G$1,FALSE))</f>
        <v>6600</v>
      </c>
      <c r="BD156" s="63">
        <f t="shared" ca="1" si="18"/>
        <v>6600</v>
      </c>
      <c r="BE156" s="14">
        <f t="shared" ca="1" si="19"/>
        <v>4800</v>
      </c>
      <c r="BF156" s="14">
        <f t="shared" ca="1" si="20"/>
        <v>1</v>
      </c>
      <c r="BG156" s="20">
        <f ca="1">IF($BE156&lt;=0,ROUND(BK156*0.5,0), ROUND($BE156*S156*AA156*J156*AY156*0.8*[2]ステータス!$B$2,0))</f>
        <v>1444</v>
      </c>
      <c r="BH156" s="20">
        <f ca="1">IF($BE156&lt;=0,ROUND(BL156*0.5,0), ROUND($BE156*T156*AB156*K156*AZ156*0.8*[2]ステータス!$C$2,0))</f>
        <v>872</v>
      </c>
      <c r="BI156" s="20">
        <f ca="1">IF($BE156&lt;=0,ROUND(BM156*0.5,0), ROUND($BE156*U156*AC156*L156*BA156*0.8*[2]ステータス!$D$2,0))</f>
        <v>0</v>
      </c>
      <c r="BJ156" s="20">
        <f ca="1">IF($BE156&lt;=0,ROUND(BN156*0.5,0), ROUND($BE156*V156*AD156*M156*BB156*0.8*[2]ステータス!$E$2,0))</f>
        <v>1488</v>
      </c>
      <c r="BK156" s="14">
        <f ca="1">ROUND(BD156*S156*AA156*J156*AY156*[2]ステータス!$B$2,0)</f>
        <v>2482</v>
      </c>
      <c r="BL156" s="14">
        <f ca="1">ROUND(BD156*T156*AB156*K156*AZ156*[2]ステータス!$C$2,0)</f>
        <v>1498</v>
      </c>
      <c r="BM156" s="14">
        <f ca="1">ROUND(BD156*U156*AC156*L156*BA156*[2]ステータス!$D$2,0)</f>
        <v>0</v>
      </c>
      <c r="BN156" s="14">
        <f ca="1">ROUND(BD156*V156*AD156*M156*BB156*[2]ステータス!$E$2,0)</f>
        <v>2557</v>
      </c>
      <c r="BO156" s="13">
        <v>0</v>
      </c>
      <c r="BP156" s="13">
        <v>1</v>
      </c>
      <c r="BQ156" s="13" t="s">
        <v>102</v>
      </c>
      <c r="BR156" s="13">
        <f ca="1">VLOOKUP(H156,ghosts_label!$A$2:$B$19,2,FALSE)</f>
        <v>500</v>
      </c>
    </row>
    <row r="157" spans="1:70" ht="21" customHeight="1" x14ac:dyDescent="0.15">
      <c r="A157" s="14">
        <f t="shared" ca="1" si="15"/>
        <v>156</v>
      </c>
      <c r="B157" s="77" t="str">
        <f ca="1">VLOOKUP($A157,OFFSET([2]characters!$A$1,0,0,COUNTA([2]characters!$A:$A),MATCH(B$1,[2]characters!$1:$1,0)-MATCH($A$1,[2]characters!$1:$1,0)+1),MATCH(B$1,[2]characters!$1:$1,0)-MATCH($A$1,[2]characters!$1:$1,0)+1,FALSE)</f>
        <v>踊り子 エレナ</v>
      </c>
      <c r="C157" s="77" t="str">
        <f ca="1">VLOOKUP($A157,OFFSET([2]characters!$A$1,0,0,COUNTA([2]characters!$A:$A),MATCH(C$1,[2]characters!$1:$1,0)-MATCH($A$1,[2]characters!$1:$1,0)+1),MATCH(C$1,[2]characters!$1:$1,0)-MATCH($A$1,[2]characters!$1:$1,0)+1,FALSE)</f>
        <v>初期ガチャ</v>
      </c>
      <c r="D157" s="77" t="str">
        <f ca="1">VLOOKUP($A157,OFFSET([2]characters!$A$1,0,0,COUNTA([2]characters!$A:$A),MATCH(D$1,[2]characters!$1:$1,0)-MATCH($A$1,[2]characters!$1:$1,0)+1),MATCH(D$1,[2]characters!$1:$1,0)-MATCH($A$1,[2]characters!$1:$1,0)+1,FALSE)</f>
        <v>アバター</v>
      </c>
      <c r="E157" s="77" t="str">
        <f ca="1">VLOOKUP($A157,OFFSET([2]characters!$A$1,0,0,COUNTA([2]characters!$A:$A),MATCH(E$1,[2]characters!$1:$1,0)-MATCH($A$1,[2]characters!$1:$1,0)+1),MATCH(E$1,[2]characters!$1:$1,0)-MATCH($A$1,[2]characters!$1:$1,0)+1,FALSE)</f>
        <v>可愛い</v>
      </c>
      <c r="F157" s="77" t="str">
        <f ca="1">VLOOKUP($A157,OFFSET([2]characters!$A$1,0,0,COUNTA([2]characters!$A:$A),MATCH(F$1,[2]characters!$1:$1,0)-MATCH($A$1,[2]characters!$1:$1,0)+1),MATCH(F$1,[2]characters!$1:$1,0)-MATCH($A$1,[2]characters!$1:$1,0)+1,FALSE)</f>
        <v>女性</v>
      </c>
      <c r="G157" s="77">
        <f ca="1">VLOOKUP($A157,OFFSET([2]characters!$A$1,0,0,COUNTA([2]characters!$A:$A),MATCH(G$1,[2]characters!$1:$1,0)-MATCH($A$1,[2]characters!$1:$1,0)+1),MATCH(G$1,[2]characters!$1:$1,0)-MATCH($A$1,[2]characters!$1:$1,0)+1,FALSE)</f>
        <v>3</v>
      </c>
      <c r="H157" s="77" t="str">
        <f ca="1">VLOOKUP($A157,OFFSET([2]characters!$A$1,0,0,COUNTA([2]characters!$A:$A),MATCH(H$1,[2]characters!$1:$1,0)-MATCH($A$1,[2]characters!$1:$1,0)+1),MATCH(H$1,[2]characters!$1:$1,0)-MATCH($A$1,[2]characters!$1:$1,0)+1,FALSE)</f>
        <v>PremiumW</v>
      </c>
      <c r="I157" s="77" t="str">
        <f ca="1">VLOOKUP($A157,OFFSET([2]characters!$A$1,0,0,COUNTA([2]characters!$A:$A),MATCH(I$1,[2]characters!$1:$1,0)-MATCH($A$1,[2]characters!$1:$1,0)+1),MATCH(I$1,[2]characters!$1:$1,0)-MATCH($A$1,[2]characters!$1:$1,0)+1,FALSE)</f>
        <v>yellow</v>
      </c>
      <c r="J157" s="14">
        <f ca="1">VLOOKUP(I157,[2]属性!$A:$E,2,FALSE)</f>
        <v>0.98</v>
      </c>
      <c r="K157" s="14">
        <f ca="1">VLOOKUP(I157,[2]属性!$A:$E,3,FALSE)</f>
        <v>1.01</v>
      </c>
      <c r="L157" s="14">
        <f ca="1">VLOOKUP(I157,[2]属性!$A:$E,4,FALSE)</f>
        <v>1</v>
      </c>
      <c r="M157" s="14">
        <f ca="1">VLOOKUP(I157,[2]属性!$A:$E,5,FALSE)</f>
        <v>1.01</v>
      </c>
      <c r="N157" s="14">
        <f ca="1">INDEX(コスト!$A$1:$I$20,MATCH(H157,コスト!$A$1:$A$20,FALSE),MATCH(G157,コスト!$A$1:$I$1,FALSE))</f>
        <v>7</v>
      </c>
      <c r="O157" s="14">
        <f ca="1">INDEX(レベル!$A$1:$I$21,MATCH(H157,レベル!$A$1:$A$21,FALSE),MATCH(G157,レベル!$A$1:$I$1,FALSE))</f>
        <v>40</v>
      </c>
      <c r="P157" s="63">
        <f t="shared" ca="1" si="21"/>
        <v>45</v>
      </c>
      <c r="Q157" s="77" t="str">
        <f ca="1">VLOOKUP($A157,OFFSET([2]characters!$A$1,0,0,COUNTA([2]characters!$A:$A),MATCH(Q$1,[2]characters!$1:$1,0)-MATCH($A$1,[2]characters!$1:$1,0)+1),MATCH(Q$1,[2]characters!$1:$1,0)-MATCH($A$1,[2]characters!$1:$1,0)+1,FALSE)</f>
        <v>heal</v>
      </c>
      <c r="R157" s="8" t="str">
        <f ca="1">VLOOKUP(Q157,[2]character_type_i18n!$A:$H,3,FALSE)</f>
        <v>回復タイプ</v>
      </c>
      <c r="S157" s="14">
        <f ca="1">VLOOKUP(Q157,[2]character_type_i18n!$A:$H,4,FALSE)</f>
        <v>0.8</v>
      </c>
      <c r="T157" s="14">
        <f ca="1">VLOOKUP(Q157,[2]character_type_i18n!$A:$H,5,FALSE)</f>
        <v>0.78</v>
      </c>
      <c r="U157" s="14">
        <f ca="1">VLOOKUP(Q157,[2]character_type_i18n!$A:$H,6,FALSE)</f>
        <v>1</v>
      </c>
      <c r="V157" s="14">
        <f ca="1">VLOOKUP(Q157,[2]character_type_i18n!$A:$H,7,FALSE)</f>
        <v>1.42</v>
      </c>
      <c r="W157" s="77" t="str">
        <f ca="1">VLOOKUP($A157,OFFSET([2]characters!$A$1,0,0,COUNTA([2]characters!$A:$A),MATCH(W$1,[2]characters!$1:$1,0)-MATCH($A$1,[2]characters!$1:$1,0)+1),MATCH(W$1,[2]characters!$1:$1,0)-MATCH($A$1,[2]characters!$1:$1,0)+1,FALSE)</f>
        <v>human</v>
      </c>
      <c r="X157" s="8" t="str">
        <f ca="1">VLOOKUP(W157,[2]character_tribe_i18n!$A:$H,3,FALSE)</f>
        <v>ヒューマン</v>
      </c>
      <c r="Y157" s="77" t="str">
        <f ca="1">VLOOKUP($A157,OFFSET([2]characters!$A$1,0,0,COUNTA([2]characters!$A:$A),MATCH(Y$1,[2]characters!$1:$1,0)-MATCH($A$1,[2]characters!$1:$1,0)+1),MATCH(Y$1,[2]characters!$1:$1,0)-MATCH($A$1,[2]characters!$1:$1,0)+1,FALSE)</f>
        <v>none</v>
      </c>
      <c r="Z157" s="8" t="str">
        <f ca="1">VLOOKUP(Y157,[2]character_tribe_i18n!$A:$H,3,FALSE)</f>
        <v>種族なし</v>
      </c>
      <c r="AA157" s="14">
        <f ca="1">VLOOKUP(W157,[2]character_tribe_i18n!$A:$H,4,FALSE)</f>
        <v>0.94</v>
      </c>
      <c r="AB157" s="14">
        <f ca="1">VLOOKUP(W157,[2]character_tribe_i18n!$A:$H,5,FALSE)</f>
        <v>0.99</v>
      </c>
      <c r="AC157" s="14">
        <f ca="1">VLOOKUP(W157,[2]character_tribe_i18n!$A:$H,6,FALSE)</f>
        <v>1</v>
      </c>
      <c r="AD157" s="14">
        <f ca="1">VLOOKUP(W157,[2]character_tribe_i18n!$A:$H,7,FALSE)</f>
        <v>1.07</v>
      </c>
      <c r="AE157" s="12">
        <v>157</v>
      </c>
      <c r="AF157" s="85" t="str">
        <f ca="1">IF(AE157="NULL","",VLOOKUP($AE157,OFFSET([2]characters!$A$1,0,0,COUNTA([2]characters!$A:$A),MATCH(AF$1,[2]characters!$1:$1,0)-MATCH($A$1,[2]characters!$1:$1,0)+1),MATCH(AF$1,[2]characters!$1:$1,0)-MATCH($A$1,[2]characters!$1:$1,0)+1,FALSE))</f>
        <v>雷光舞姫 エレナ</v>
      </c>
      <c r="AG157" s="8">
        <f t="shared" ca="1" si="16"/>
        <v>156</v>
      </c>
      <c r="AH157" s="85" t="str">
        <f ca="1">VLOOKUP($AG157,OFFSET([2]characters!$A$1,0,0,COUNTA([2]characters!$A:$A),MATCH(AH$1,[2]characters!$1:$1,0)-MATCH($A$1,[2]characters!$1:$1,0)+1),MATCH(AH$1,[2]characters!$1:$1,0)-MATCH($A$1,[2]characters!$1:$1,0)+1,FALSE)</f>
        <v>踊り子 エレナ</v>
      </c>
      <c r="AI157" s="14">
        <f ca="1">IF(AE157="NULL","NULL",VLOOKUP(G157,ビット!$A$2:$B$7,2))</f>
        <v>20000</v>
      </c>
      <c r="AJ157" s="9">
        <v>2</v>
      </c>
      <c r="AK157" s="10" t="str">
        <f t="shared" si="17"/>
        <v>普通</v>
      </c>
      <c r="AL157" s="14" t="str">
        <f ca="1">INDEX(経験値!$A$1:$I$20,MATCH(H157,経験値!$A$1:$A$20,FALSE),MATCH(G157,経験値!$A$1:$I$1,FALSE))</f>
        <v>required_exp_150</v>
      </c>
      <c r="AM157" s="11">
        <f ca="1">VLOOKUP(G157,経験値!$A$27:$B$31,2)</f>
        <v>1500</v>
      </c>
      <c r="AN157" s="21">
        <f ca="1">VLOOKUP(G157,ビット!$G$2:$H$7,2)</f>
        <v>300</v>
      </c>
      <c r="AO157" s="99" t="s">
        <v>182</v>
      </c>
      <c r="AP157" s="97">
        <v>450003</v>
      </c>
      <c r="AQ157" s="77" t="e">
        <f ca="1">VLOOKUP($AP157,OFFSET([1]unit_skills!$A$1,0,0,COUNTA([1]unit_skills!$A:$A),MATCH("name",[1]unit_skills!$1:$1,0)-MATCH($AP$1,[1]unit_skills!$1:$1,0)+1),MATCH("name",[1]unit_skills!$1:$1,0)-MATCH($AP$1,[1]unit_skills!$1:$1,0)+1,FALSE)</f>
        <v>#VALUE!</v>
      </c>
      <c r="AR157" s="77" t="e">
        <f ca="1">VLOOKUP($AP157,OFFSET([1]unit_skills!$A$1,0,0,COUNTA([1]unit_skills!$A:$A),MATCH("comment",[1]unit_skills!$1:$1,0)-MATCH($AP$1,[1]unit_skills!$1:$1,0)+1),MATCH("comment",[1]unit_skills!$1:$1,0)-MATCH($AP$1,[1]unit_skills!$1:$1,0)+1,FALSE)</f>
        <v>#VALUE!</v>
      </c>
      <c r="AS157" s="77" t="e">
        <f ca="1">VLOOKUP($AP157,OFFSET([1]unit_skills!$A$1,0,0,COUNTA([1]unit_skills!$A:$A),MATCH(AS$1,[1]unit_skills!$1:$1,0)-MATCH($AP$1,[1]unit_skills!$1:$1,0)+1),MATCH(AS$1,[1]unit_skills!$1:$1,0)-MATCH($AP$1,[1]unit_skills!$1:$1,0)+1,FALSE)</f>
        <v>#VALUE!</v>
      </c>
      <c r="AT157" s="97">
        <v>300010</v>
      </c>
      <c r="AU157" s="77" t="e">
        <f ca="1">VLOOKUP($AT157,OFFSET([1]crash_skills!$A$1,0,0,COUNTA([1]crash_skills!$A:$A),MATCH("name",[1]crash_skills!$1:$1,0)-MATCH($AT$1,[1]crash_skills!$1:$1,0)+1),MATCH("name",[1]crash_skills!$1:$1,0)-MATCH($AT$1,[1]crash_skills!$1:$1,0)+1,FALSE)</f>
        <v>#VALUE!</v>
      </c>
      <c r="AV157" s="77" t="e">
        <f ca="1">VLOOKUP($AT157,OFFSET([1]crash_skills!$A$1,0,0,COUNTA([1]crash_skills!$A:$A),MATCH("comment",[1]crash_skills!$1:$1,0)-MATCH($AT$1,[1]crash_skills!$1:$1,0)+1),MATCH("comment",[1]crash_skills!$1:$1,0)-MATCH($AT$1,[1]crash_skills!$1:$1,0)+1,FALSE)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57" s="77" t="e">
        <f ca="1">VLOOKUP($AT157,OFFSET([1]crash_skills!$A$1,0,0,COUNTA([1]crash_skills!$A:$A),MATCH(AW$1,[1]crash_skills!$1:$1,0)-MATCH($AT$1,[1]crash_skills!$1:$1,0)+1),MATCH(AW$1,[1]crash_skills!$1:$1,0)-MATCH($AT$1,[1]crash_skills!$1:$1,0)+1,FALSE)</f>
        <v>#VALUE!</v>
      </c>
      <c r="AX157" s="81">
        <f ca="1">VLOOKUP($A157,OFFSET([2]characters!$A$1,0,0,COUNTA([2]characters!$A:$A),MATCH(AX$1,[2]characters!$1:$1,0)-MATCH($A$1,[2]characters!$1:$1,0)+1),MATCH(AX$1,[2]characters!$1:$1,0)-MATCH($A$1,[2]characters!$1:$1,0)+1,FALSE)</f>
        <v>3</v>
      </c>
      <c r="AY157" s="19">
        <v>1</v>
      </c>
      <c r="AZ157" s="19">
        <v>1</v>
      </c>
      <c r="BA157" s="19">
        <v>0</v>
      </c>
      <c r="BB157" s="19">
        <v>1</v>
      </c>
      <c r="BC157" s="14">
        <f ca="1">INDEX('RC6SV'!$A$1:$G$20,MATCH(H157,'RC6SV'!$A$1:$A$20,FALSE),MATCH(G157,'RC6SV'!$A$1:$G$1,FALSE))</f>
        <v>4800</v>
      </c>
      <c r="BD157" s="63">
        <f t="shared" ca="1" si="18"/>
        <v>4800</v>
      </c>
      <c r="BE157" s="14">
        <f t="shared" ca="1" si="19"/>
        <v>0</v>
      </c>
      <c r="BF157" s="14">
        <f t="shared" ca="1" si="20"/>
        <v>1</v>
      </c>
      <c r="BG157" s="20">
        <f ca="1">IF($BE157&lt;=0,ROUND(BK157*0.5,0), ROUND($BE157*S157*AA157*J157*AY157*0.8*[2]ステータス!$B$2,0))</f>
        <v>885</v>
      </c>
      <c r="BH157" s="20">
        <f ca="1">IF($BE157&lt;=0,ROUND(BL157*0.5,0), ROUND($BE157*T157*AB157*K157*AZ157*0.8*[2]ステータス!$C$2,0))</f>
        <v>562</v>
      </c>
      <c r="BI157" s="20">
        <f ca="1">IF($BE157&lt;=0,ROUND(BM157*0.5,0), ROUND($BE157*U157*AC157*L157*BA157*0.8*[2]ステータス!$D$2,0))</f>
        <v>0</v>
      </c>
      <c r="BJ157" s="20">
        <f ca="1">IF($BE157&lt;=0,ROUND(BN157*0.5,0), ROUND($BE157*V157*AD157*M157*BB157*0.8*[2]ステータス!$E$2,0))</f>
        <v>921</v>
      </c>
      <c r="BK157" s="14">
        <f ca="1">ROUND(BD157*S157*AA157*J157*AY157*[2]ステータス!$B$2,0)</f>
        <v>1769</v>
      </c>
      <c r="BL157" s="14">
        <f ca="1">ROUND(BD157*T157*AB157*K157*AZ157*[2]ステータス!$C$2,0)</f>
        <v>1123</v>
      </c>
      <c r="BM157" s="14">
        <f ca="1">ROUND(BD157*U157*AC157*L157*BA157*[2]ステータス!$D$2,0)</f>
        <v>0</v>
      </c>
      <c r="BN157" s="14">
        <f ca="1">ROUND(BD157*V157*AD157*M157*BB157*[2]ステータス!$E$2,0)</f>
        <v>1842</v>
      </c>
      <c r="BO157" s="13">
        <v>0</v>
      </c>
      <c r="BP157" s="13">
        <v>1</v>
      </c>
      <c r="BQ157" s="13" t="s">
        <v>102</v>
      </c>
      <c r="BR157" s="13">
        <f ca="1">VLOOKUP(H157,ghosts_label!$A$2:$B$19,2,FALSE)</f>
        <v>500</v>
      </c>
    </row>
    <row r="158" spans="1:70" ht="21" customHeight="1" x14ac:dyDescent="0.15">
      <c r="A158" s="14">
        <f t="shared" ca="1" si="15"/>
        <v>157</v>
      </c>
      <c r="B158" s="77" t="str">
        <f ca="1">VLOOKUP($A158,OFFSET([2]characters!$A$1,0,0,COUNTA([2]characters!$A:$A),MATCH(B$1,[2]characters!$1:$1,0)-MATCH($A$1,[2]characters!$1:$1,0)+1),MATCH(B$1,[2]characters!$1:$1,0)-MATCH($A$1,[2]characters!$1:$1,0)+1,FALSE)</f>
        <v>雷光舞姫 エレナ</v>
      </c>
      <c r="C158" s="77" t="str">
        <f ca="1">VLOOKUP($A158,OFFSET([2]characters!$A$1,0,0,COUNTA([2]characters!$A:$A),MATCH(C$1,[2]characters!$1:$1,0)-MATCH($A$1,[2]characters!$1:$1,0)+1),MATCH(C$1,[2]characters!$1:$1,0)-MATCH($A$1,[2]characters!$1:$1,0)+1,FALSE)</f>
        <v>初期ガチャ</v>
      </c>
      <c r="D158" s="77" t="str">
        <f ca="1">VLOOKUP($A158,OFFSET([2]characters!$A$1,0,0,COUNTA([2]characters!$A:$A),MATCH(D$1,[2]characters!$1:$1,0)-MATCH($A$1,[2]characters!$1:$1,0)+1),MATCH(D$1,[2]characters!$1:$1,0)-MATCH($A$1,[2]characters!$1:$1,0)+1,FALSE)</f>
        <v>アバター</v>
      </c>
      <c r="E158" s="77" t="str">
        <f ca="1">VLOOKUP($A158,OFFSET([2]characters!$A$1,0,0,COUNTA([2]characters!$A:$A),MATCH(E$1,[2]characters!$1:$1,0)-MATCH($A$1,[2]characters!$1:$1,0)+1),MATCH(E$1,[2]characters!$1:$1,0)-MATCH($A$1,[2]characters!$1:$1,0)+1,FALSE)</f>
        <v>可愛い</v>
      </c>
      <c r="F158" s="77" t="str">
        <f ca="1">VLOOKUP($A158,OFFSET([2]characters!$A$1,0,0,COUNTA([2]characters!$A:$A),MATCH(F$1,[2]characters!$1:$1,0)-MATCH($A$1,[2]characters!$1:$1,0)+1),MATCH(F$1,[2]characters!$1:$1,0)-MATCH($A$1,[2]characters!$1:$1,0)+1,FALSE)</f>
        <v>女性</v>
      </c>
      <c r="G158" s="77">
        <f ca="1">VLOOKUP($A158,OFFSET([2]characters!$A$1,0,0,COUNTA([2]characters!$A:$A),MATCH(G$1,[2]characters!$1:$1,0)-MATCH($A$1,[2]characters!$1:$1,0)+1),MATCH(G$1,[2]characters!$1:$1,0)-MATCH($A$1,[2]characters!$1:$1,0)+1,FALSE)</f>
        <v>4</v>
      </c>
      <c r="H158" s="77" t="str">
        <f ca="1">VLOOKUP($A158,OFFSET([2]characters!$A$1,0,0,COUNTA([2]characters!$A:$A),MATCH(H$1,[2]characters!$1:$1,0)-MATCH($A$1,[2]characters!$1:$1,0)+1),MATCH(H$1,[2]characters!$1:$1,0)-MATCH($A$1,[2]characters!$1:$1,0)+1,FALSE)</f>
        <v>PremiumW</v>
      </c>
      <c r="I158" s="77" t="str">
        <f ca="1">VLOOKUP($A158,OFFSET([2]characters!$A$1,0,0,COUNTA([2]characters!$A:$A),MATCH(I$1,[2]characters!$1:$1,0)-MATCH($A$1,[2]characters!$1:$1,0)+1),MATCH(I$1,[2]characters!$1:$1,0)-MATCH($A$1,[2]characters!$1:$1,0)+1,FALSE)</f>
        <v>yellow</v>
      </c>
      <c r="J158" s="14">
        <f ca="1">VLOOKUP(I158,[2]属性!$A:$E,2,FALSE)</f>
        <v>0.98</v>
      </c>
      <c r="K158" s="14">
        <f ca="1">VLOOKUP(I158,[2]属性!$A:$E,3,FALSE)</f>
        <v>1.01</v>
      </c>
      <c r="L158" s="14">
        <f ca="1">VLOOKUP(I158,[2]属性!$A:$E,4,FALSE)</f>
        <v>1</v>
      </c>
      <c r="M158" s="14">
        <f ca="1">VLOOKUP(I158,[2]属性!$A:$E,5,FALSE)</f>
        <v>1.01</v>
      </c>
      <c r="N158" s="14">
        <f ca="1">INDEX(コスト!$A$1:$I$20,MATCH(H158,コスト!$A$1:$A$20,FALSE),MATCH(G158,コスト!$A$1:$I$1,FALSE))</f>
        <v>16</v>
      </c>
      <c r="O158" s="14">
        <f ca="1">INDEX(レベル!$A$1:$I$21,MATCH(H158,レベル!$A$1:$A$21,FALSE),MATCH(G158,レベル!$A$1:$I$1,FALSE))</f>
        <v>60</v>
      </c>
      <c r="P158" s="63">
        <f t="shared" ca="1" si="21"/>
        <v>60</v>
      </c>
      <c r="Q158" s="77" t="str">
        <f ca="1">VLOOKUP($A158,OFFSET([2]characters!$A$1,0,0,COUNTA([2]characters!$A:$A),MATCH(Q$1,[2]characters!$1:$1,0)-MATCH($A$1,[2]characters!$1:$1,0)+1),MATCH(Q$1,[2]characters!$1:$1,0)-MATCH($A$1,[2]characters!$1:$1,0)+1,FALSE)</f>
        <v>heal</v>
      </c>
      <c r="R158" s="8" t="str">
        <f ca="1">VLOOKUP(Q158,[2]character_type_i18n!$A:$H,3,FALSE)</f>
        <v>回復タイプ</v>
      </c>
      <c r="S158" s="14">
        <f ca="1">VLOOKUP(Q158,[2]character_type_i18n!$A:$H,4,FALSE)</f>
        <v>0.8</v>
      </c>
      <c r="T158" s="14">
        <f ca="1">VLOOKUP(Q158,[2]character_type_i18n!$A:$H,5,FALSE)</f>
        <v>0.78</v>
      </c>
      <c r="U158" s="14">
        <f ca="1">VLOOKUP(Q158,[2]character_type_i18n!$A:$H,6,FALSE)</f>
        <v>1</v>
      </c>
      <c r="V158" s="14">
        <f ca="1">VLOOKUP(Q158,[2]character_type_i18n!$A:$H,7,FALSE)</f>
        <v>1.42</v>
      </c>
      <c r="W158" s="77" t="str">
        <f ca="1">VLOOKUP($A158,OFFSET([2]characters!$A$1,0,0,COUNTA([2]characters!$A:$A),MATCH(W$1,[2]characters!$1:$1,0)-MATCH($A$1,[2]characters!$1:$1,0)+1),MATCH(W$1,[2]characters!$1:$1,0)-MATCH($A$1,[2]characters!$1:$1,0)+1,FALSE)</f>
        <v>human</v>
      </c>
      <c r="X158" s="8" t="str">
        <f ca="1">VLOOKUP(W158,[2]character_tribe_i18n!$A:$H,3,FALSE)</f>
        <v>ヒューマン</v>
      </c>
      <c r="Y158" s="77" t="str">
        <f ca="1">VLOOKUP($A158,OFFSET([2]characters!$A$1,0,0,COUNTA([2]characters!$A:$A),MATCH(Y$1,[2]characters!$1:$1,0)-MATCH($A$1,[2]characters!$1:$1,0)+1),MATCH(Y$1,[2]characters!$1:$1,0)-MATCH($A$1,[2]characters!$1:$1,0)+1,FALSE)</f>
        <v>none</v>
      </c>
      <c r="Z158" s="8" t="str">
        <f ca="1">VLOOKUP(Y158,[2]character_tribe_i18n!$A:$H,3,FALSE)</f>
        <v>種族なし</v>
      </c>
      <c r="AA158" s="14">
        <f ca="1">VLOOKUP(W158,[2]character_tribe_i18n!$A:$H,4,FALSE)</f>
        <v>0.94</v>
      </c>
      <c r="AB158" s="14">
        <f ca="1">VLOOKUP(W158,[2]character_tribe_i18n!$A:$H,5,FALSE)</f>
        <v>0.99</v>
      </c>
      <c r="AC158" s="14">
        <f ca="1">VLOOKUP(W158,[2]character_tribe_i18n!$A:$H,6,FALSE)</f>
        <v>1</v>
      </c>
      <c r="AD158" s="14">
        <f ca="1">VLOOKUP(W158,[2]character_tribe_i18n!$A:$H,7,FALSE)</f>
        <v>1.07</v>
      </c>
      <c r="AE158" s="12" t="s">
        <v>102</v>
      </c>
      <c r="AF158" s="85" t="str">
        <f ca="1">IF(AE158="NULL","",VLOOKUP($AE158,OFFSET([2]characters!$A$1,0,0,COUNTA([2]characters!$A:$A),MATCH(AF$1,[2]characters!$1:$1,0)-MATCH($A$1,[2]characters!$1:$1,0)+1),MATCH(AF$1,[2]characters!$1:$1,0)-MATCH($A$1,[2]characters!$1:$1,0)+1,FALSE))</f>
        <v/>
      </c>
      <c r="AG158" s="8">
        <f t="shared" ca="1" si="16"/>
        <v>156</v>
      </c>
      <c r="AH158" s="85" t="str">
        <f ca="1">VLOOKUP($AG158,OFFSET([2]characters!$A$1,0,0,COUNTA([2]characters!$A:$A),MATCH(AH$1,[2]characters!$1:$1,0)-MATCH($A$1,[2]characters!$1:$1,0)+1),MATCH(AH$1,[2]characters!$1:$1,0)-MATCH($A$1,[2]characters!$1:$1,0)+1,FALSE)</f>
        <v>踊り子 エレナ</v>
      </c>
      <c r="AI158" s="14" t="str">
        <f>IF(AE158="NULL","NULL",VLOOKUP(G158,ビット!$A$2:$B$7,2))</f>
        <v>NULL</v>
      </c>
      <c r="AJ158" s="9">
        <v>2</v>
      </c>
      <c r="AK158" s="10" t="str">
        <f t="shared" si="17"/>
        <v>普通</v>
      </c>
      <c r="AL158" s="14" t="str">
        <f ca="1">INDEX(経験値!$A$1:$I$20,MATCH(H158,経験値!$A$1:$A$20,FALSE),MATCH(G158,経験値!$A$1:$I$1,FALSE))</f>
        <v>required_exp_150</v>
      </c>
      <c r="AM158" s="11">
        <f ca="1">VLOOKUP(G158,経験値!$A$27:$B$31,2)</f>
        <v>3400</v>
      </c>
      <c r="AN158" s="21">
        <f ca="1">VLOOKUP(G158,ビット!$G$2:$H$7,2)</f>
        <v>600</v>
      </c>
      <c r="AO158" s="99" t="s">
        <v>182</v>
      </c>
      <c r="AP158" s="97">
        <v>450003</v>
      </c>
      <c r="AQ158" s="77" t="e">
        <f ca="1">VLOOKUP($AP158,OFFSET([1]unit_skills!$A$1,0,0,COUNTA([1]unit_skills!$A:$A),MATCH("name",[1]unit_skills!$1:$1,0)-MATCH($AP$1,[1]unit_skills!$1:$1,0)+1),MATCH("name",[1]unit_skills!$1:$1,0)-MATCH($AP$1,[1]unit_skills!$1:$1,0)+1,FALSE)</f>
        <v>#VALUE!</v>
      </c>
      <c r="AR158" s="77" t="e">
        <f ca="1">VLOOKUP($AP158,OFFSET([1]unit_skills!$A$1,0,0,COUNTA([1]unit_skills!$A:$A),MATCH("comment",[1]unit_skills!$1:$1,0)-MATCH($AP$1,[1]unit_skills!$1:$1,0)+1),MATCH("comment",[1]unit_skills!$1:$1,0)-MATCH($AP$1,[1]unit_skills!$1:$1,0)+1,FALSE)</f>
        <v>#VALUE!</v>
      </c>
      <c r="AS158" s="77" t="e">
        <f ca="1">VLOOKUP($AP158,OFFSET([1]unit_skills!$A$1,0,0,COUNTA([1]unit_skills!$A:$A),MATCH(AS$1,[1]unit_skills!$1:$1,0)-MATCH($AP$1,[1]unit_skills!$1:$1,0)+1),MATCH(AS$1,[1]unit_skills!$1:$1,0)-MATCH($AP$1,[1]unit_skills!$1:$1,0)+1,FALSE)</f>
        <v>#VALUE!</v>
      </c>
      <c r="AT158" s="97">
        <v>300013</v>
      </c>
      <c r="AU158" s="77" t="e">
        <f ca="1">VLOOKUP($AT158,OFFSET([1]crash_skills!$A$1,0,0,COUNTA([1]crash_skills!$A:$A),MATCH("name",[1]crash_skills!$1:$1,0)-MATCH($AT$1,[1]crash_skills!$1:$1,0)+1),MATCH("name",[1]crash_skills!$1:$1,0)-MATCH($AT$1,[1]crash_skills!$1:$1,0)+1,FALSE)</f>
        <v>#VALUE!</v>
      </c>
      <c r="AV158" s="77" t="e">
        <f ca="1">VLOOKUP($AT158,OFFSET([1]crash_skills!$A$1,0,0,COUNTA([1]crash_skills!$A:$A),MATCH("comment",[1]crash_skills!$1:$1,0)-MATCH($AT$1,[1]crash_skills!$1:$1,0)+1),MATCH("comment",[1]crash_skills!$1:$1,0)-MATCH($AT$1,[1]crash_skills!$1:$1,0)+1,FALSE)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58" s="77" t="e">
        <f ca="1">VLOOKUP($AT158,OFFSET([1]crash_skills!$A$1,0,0,COUNTA([1]crash_skills!$A:$A),MATCH(AW$1,[1]crash_skills!$1:$1,0)-MATCH($AT$1,[1]crash_skills!$1:$1,0)+1),MATCH(AW$1,[1]crash_skills!$1:$1,0)-MATCH($AT$1,[1]crash_skills!$1:$1,0)+1,FALSE)</f>
        <v>#VALUE!</v>
      </c>
      <c r="AX158" s="81">
        <f ca="1">VLOOKUP($A158,OFFSET([2]characters!$A$1,0,0,COUNTA([2]characters!$A:$A),MATCH(AX$1,[2]characters!$1:$1,0)-MATCH($A$1,[2]characters!$1:$1,0)+1),MATCH(AX$1,[2]characters!$1:$1,0)-MATCH($A$1,[2]characters!$1:$1,0)+1,FALSE)</f>
        <v>3</v>
      </c>
      <c r="AY158" s="19">
        <v>1</v>
      </c>
      <c r="AZ158" s="19">
        <v>1</v>
      </c>
      <c r="BA158" s="19">
        <v>0</v>
      </c>
      <c r="BB158" s="19">
        <v>1</v>
      </c>
      <c r="BC158" s="14">
        <f ca="1">INDEX('RC6SV'!$A$1:$G$20,MATCH(H158,'RC6SV'!$A$1:$A$20,FALSE),MATCH(G158,'RC6SV'!$A$1:$G$1,FALSE))</f>
        <v>6600</v>
      </c>
      <c r="BD158" s="63">
        <f t="shared" ca="1" si="18"/>
        <v>6600</v>
      </c>
      <c r="BE158" s="14">
        <f t="shared" ca="1" si="19"/>
        <v>4800</v>
      </c>
      <c r="BF158" s="14">
        <f t="shared" ca="1" si="20"/>
        <v>1</v>
      </c>
      <c r="BG158" s="20">
        <f ca="1">IF($BE158&lt;=0,ROUND(BK158*0.5,0), ROUND($BE158*S158*AA158*J158*AY158*0.8*[2]ステータス!$B$2,0))</f>
        <v>1415</v>
      </c>
      <c r="BH158" s="20">
        <f ca="1">IF($BE158&lt;=0,ROUND(BL158*0.5,0), ROUND($BE158*T158*AB158*K158*AZ158*0.8*[2]ステータス!$C$2,0))</f>
        <v>898</v>
      </c>
      <c r="BI158" s="20">
        <f ca="1">IF($BE158&lt;=0,ROUND(BM158*0.5,0), ROUND($BE158*U158*AC158*L158*BA158*0.8*[2]ステータス!$D$2,0))</f>
        <v>0</v>
      </c>
      <c r="BJ158" s="20">
        <f ca="1">IF($BE158&lt;=0,ROUND(BN158*0.5,0), ROUND($BE158*V158*AD158*M158*BB158*0.8*[2]ステータス!$E$2,0))</f>
        <v>1473</v>
      </c>
      <c r="BK158" s="14">
        <f ca="1">ROUND(BD158*S158*AA158*J158*AY158*[2]ステータス!$B$2,0)</f>
        <v>2432</v>
      </c>
      <c r="BL158" s="14">
        <f ca="1">ROUND(BD158*T158*AB158*K158*AZ158*[2]ステータス!$C$2,0)</f>
        <v>1544</v>
      </c>
      <c r="BM158" s="14">
        <f ca="1">ROUND(BD158*U158*AC158*L158*BA158*[2]ステータス!$D$2,0)</f>
        <v>0</v>
      </c>
      <c r="BN158" s="14">
        <f ca="1">ROUND(BD158*V158*AD158*M158*BB158*[2]ステータス!$E$2,0)</f>
        <v>2532</v>
      </c>
      <c r="BO158" s="13">
        <v>0</v>
      </c>
      <c r="BP158" s="13">
        <v>1</v>
      </c>
      <c r="BQ158" s="13" t="s">
        <v>102</v>
      </c>
      <c r="BR158" s="13">
        <f ca="1">VLOOKUP(H158,ghosts_label!$A$2:$B$19,2,FALSE)</f>
        <v>500</v>
      </c>
    </row>
    <row r="159" spans="1:70" ht="21" customHeight="1" x14ac:dyDescent="0.15">
      <c r="A159" s="14">
        <f t="shared" ca="1" si="15"/>
        <v>158</v>
      </c>
      <c r="B159" s="77" t="str">
        <f ca="1">VLOOKUP($A159,OFFSET([2]characters!$A$1,0,0,COUNTA([2]characters!$A:$A),MATCH(B$1,[2]characters!$1:$1,0)-MATCH($A$1,[2]characters!$1:$1,0)+1),MATCH(B$1,[2]characters!$1:$1,0)-MATCH($A$1,[2]characters!$1:$1,0)+1,FALSE)</f>
        <v>シスター シャルロッテ</v>
      </c>
      <c r="C159" s="77" t="str">
        <f ca="1">VLOOKUP($A159,OFFSET([2]characters!$A$1,0,0,COUNTA([2]characters!$A:$A),MATCH(C$1,[2]characters!$1:$1,0)-MATCH($A$1,[2]characters!$1:$1,0)+1),MATCH(C$1,[2]characters!$1:$1,0)-MATCH($A$1,[2]characters!$1:$1,0)+1,FALSE)</f>
        <v>初期ガチャ</v>
      </c>
      <c r="D159" s="77" t="str">
        <f ca="1">VLOOKUP($A159,OFFSET([2]characters!$A$1,0,0,COUNTA([2]characters!$A:$A),MATCH(D$1,[2]characters!$1:$1,0)-MATCH($A$1,[2]characters!$1:$1,0)+1),MATCH(D$1,[2]characters!$1:$1,0)-MATCH($A$1,[2]characters!$1:$1,0)+1,FALSE)</f>
        <v>アバター</v>
      </c>
      <c r="E159" s="77" t="str">
        <f ca="1">VLOOKUP($A159,OFFSET([2]characters!$A$1,0,0,COUNTA([2]characters!$A:$A),MATCH(E$1,[2]characters!$1:$1,0)-MATCH($A$1,[2]characters!$1:$1,0)+1),MATCH(E$1,[2]characters!$1:$1,0)-MATCH($A$1,[2]characters!$1:$1,0)+1,FALSE)</f>
        <v>美しい</v>
      </c>
      <c r="F159" s="77" t="str">
        <f ca="1">VLOOKUP($A159,OFFSET([2]characters!$A$1,0,0,COUNTA([2]characters!$A:$A),MATCH(F$1,[2]characters!$1:$1,0)-MATCH($A$1,[2]characters!$1:$1,0)+1),MATCH(F$1,[2]characters!$1:$1,0)-MATCH($A$1,[2]characters!$1:$1,0)+1,FALSE)</f>
        <v>女性</v>
      </c>
      <c r="G159" s="77">
        <f ca="1">VLOOKUP($A159,OFFSET([2]characters!$A$1,0,0,COUNTA([2]characters!$A:$A),MATCH(G$1,[2]characters!$1:$1,0)-MATCH($A$1,[2]characters!$1:$1,0)+1),MATCH(G$1,[2]characters!$1:$1,0)-MATCH($A$1,[2]characters!$1:$1,0)+1,FALSE)</f>
        <v>3</v>
      </c>
      <c r="H159" s="77" t="str">
        <f ca="1">VLOOKUP($A159,OFFSET([2]characters!$A$1,0,0,COUNTA([2]characters!$A:$A),MATCH(H$1,[2]characters!$1:$1,0)-MATCH($A$1,[2]characters!$1:$1,0)+1),MATCH(H$1,[2]characters!$1:$1,0)-MATCH($A$1,[2]characters!$1:$1,0)+1,FALSE)</f>
        <v>PremiumW</v>
      </c>
      <c r="I159" s="77" t="str">
        <f ca="1">VLOOKUP($A159,OFFSET([2]characters!$A$1,0,0,COUNTA([2]characters!$A:$A),MATCH(I$1,[2]characters!$1:$1,0)-MATCH($A$1,[2]characters!$1:$1,0)+1),MATCH(I$1,[2]characters!$1:$1,0)-MATCH($A$1,[2]characters!$1:$1,0)+1,FALSE)</f>
        <v>red</v>
      </c>
      <c r="J159" s="14">
        <f ca="1">VLOOKUP(I159,[2]属性!$A:$E,2,FALSE)</f>
        <v>1</v>
      </c>
      <c r="K159" s="14">
        <f ca="1">VLOOKUP(I159,[2]属性!$A:$E,3,FALSE)</f>
        <v>1.02</v>
      </c>
      <c r="L159" s="14">
        <f ca="1">VLOOKUP(I159,[2]属性!$A:$E,4,FALSE)</f>
        <v>1</v>
      </c>
      <c r="M159" s="14">
        <f ca="1">VLOOKUP(I159,[2]属性!$A:$E,5,FALSE)</f>
        <v>0.98</v>
      </c>
      <c r="N159" s="14">
        <f ca="1">INDEX(コスト!$A$1:$I$20,MATCH(H159,コスト!$A$1:$A$20,FALSE),MATCH(G159,コスト!$A$1:$I$1,FALSE))</f>
        <v>7</v>
      </c>
      <c r="O159" s="14">
        <f ca="1">INDEX(レベル!$A$1:$I$21,MATCH(H159,レベル!$A$1:$A$21,FALSE),MATCH(G159,レベル!$A$1:$I$1,FALSE))</f>
        <v>40</v>
      </c>
      <c r="P159" s="63">
        <f t="shared" ca="1" si="21"/>
        <v>45</v>
      </c>
      <c r="Q159" s="77" t="str">
        <f ca="1">VLOOKUP($A159,OFFSET([2]characters!$A$1,0,0,COUNTA([2]characters!$A:$A),MATCH(Q$1,[2]characters!$1:$1,0)-MATCH($A$1,[2]characters!$1:$1,0)+1),MATCH(Q$1,[2]characters!$1:$1,0)-MATCH($A$1,[2]characters!$1:$1,0)+1,FALSE)</f>
        <v>heal</v>
      </c>
      <c r="R159" s="8" t="str">
        <f ca="1">VLOOKUP(Q159,[2]character_type_i18n!$A:$H,3,FALSE)</f>
        <v>回復タイプ</v>
      </c>
      <c r="S159" s="14">
        <f ca="1">VLOOKUP(Q159,[2]character_type_i18n!$A:$H,4,FALSE)</f>
        <v>0.8</v>
      </c>
      <c r="T159" s="14">
        <f ca="1">VLOOKUP(Q159,[2]character_type_i18n!$A:$H,5,FALSE)</f>
        <v>0.78</v>
      </c>
      <c r="U159" s="14">
        <f ca="1">VLOOKUP(Q159,[2]character_type_i18n!$A:$H,6,FALSE)</f>
        <v>1</v>
      </c>
      <c r="V159" s="14">
        <f ca="1">VLOOKUP(Q159,[2]character_type_i18n!$A:$H,7,FALSE)</f>
        <v>1.42</v>
      </c>
      <c r="W159" s="77" t="str">
        <f ca="1">VLOOKUP($A159,OFFSET([2]characters!$A$1,0,0,COUNTA([2]characters!$A:$A),MATCH(W$1,[2]characters!$1:$1,0)-MATCH($A$1,[2]characters!$1:$1,0)+1),MATCH(W$1,[2]characters!$1:$1,0)-MATCH($A$1,[2]characters!$1:$1,0)+1,FALSE)</f>
        <v>human</v>
      </c>
      <c r="X159" s="8" t="str">
        <f ca="1">VLOOKUP(W159,[2]character_tribe_i18n!$A:$H,3,FALSE)</f>
        <v>ヒューマン</v>
      </c>
      <c r="Y159" s="77" t="str">
        <f ca="1">VLOOKUP($A159,OFFSET([2]characters!$A$1,0,0,COUNTA([2]characters!$A:$A),MATCH(Y$1,[2]characters!$1:$1,0)-MATCH($A$1,[2]characters!$1:$1,0)+1),MATCH(Y$1,[2]characters!$1:$1,0)-MATCH($A$1,[2]characters!$1:$1,0)+1,FALSE)</f>
        <v>none</v>
      </c>
      <c r="Z159" s="8" t="str">
        <f ca="1">VLOOKUP(Y159,[2]character_tribe_i18n!$A:$H,3,FALSE)</f>
        <v>種族なし</v>
      </c>
      <c r="AA159" s="14">
        <f ca="1">VLOOKUP(W159,[2]character_tribe_i18n!$A:$H,4,FALSE)</f>
        <v>0.94</v>
      </c>
      <c r="AB159" s="14">
        <f ca="1">VLOOKUP(W159,[2]character_tribe_i18n!$A:$H,5,FALSE)</f>
        <v>0.99</v>
      </c>
      <c r="AC159" s="14">
        <f ca="1">VLOOKUP(W159,[2]character_tribe_i18n!$A:$H,6,FALSE)</f>
        <v>1</v>
      </c>
      <c r="AD159" s="14">
        <f ca="1">VLOOKUP(W159,[2]character_tribe_i18n!$A:$H,7,FALSE)</f>
        <v>1.07</v>
      </c>
      <c r="AE159" s="12">
        <v>159</v>
      </c>
      <c r="AF159" s="85" t="str">
        <f ca="1">IF(AE159="NULL","",VLOOKUP($AE159,OFFSET([2]characters!$A$1,0,0,COUNTA([2]characters!$A:$A),MATCH(AF$1,[2]characters!$1:$1,0)-MATCH($A$1,[2]characters!$1:$1,0)+1),MATCH(AF$1,[2]characters!$1:$1,0)-MATCH($A$1,[2]characters!$1:$1,0)+1,FALSE))</f>
        <v>邪を狩りし者 シャルロッテ</v>
      </c>
      <c r="AG159" s="8">
        <f t="shared" ca="1" si="16"/>
        <v>158</v>
      </c>
      <c r="AH159" s="85" t="str">
        <f ca="1">VLOOKUP($AG159,OFFSET([2]characters!$A$1,0,0,COUNTA([2]characters!$A:$A),MATCH(AH$1,[2]characters!$1:$1,0)-MATCH($A$1,[2]characters!$1:$1,0)+1),MATCH(AH$1,[2]characters!$1:$1,0)-MATCH($A$1,[2]characters!$1:$1,0)+1,FALSE)</f>
        <v>シスター シャルロッテ</v>
      </c>
      <c r="AI159" s="14">
        <f ca="1">IF(AE159="NULL","NULL",VLOOKUP(G159,ビット!$A$2:$B$7,2))</f>
        <v>20000</v>
      </c>
      <c r="AJ159" s="9">
        <v>2</v>
      </c>
      <c r="AK159" s="10" t="str">
        <f t="shared" si="17"/>
        <v>普通</v>
      </c>
      <c r="AL159" s="14" t="str">
        <f ca="1">INDEX(経験値!$A$1:$I$20,MATCH(H159,経験値!$A$1:$A$20,FALSE),MATCH(G159,経験値!$A$1:$I$1,FALSE))</f>
        <v>required_exp_150</v>
      </c>
      <c r="AM159" s="11">
        <f ca="1">VLOOKUP(G159,経験値!$A$27:$B$31,2)</f>
        <v>1500</v>
      </c>
      <c r="AN159" s="21">
        <f ca="1">VLOOKUP(G159,ビット!$G$2:$H$7,2)</f>
        <v>300</v>
      </c>
      <c r="AO159" s="99" t="s">
        <v>184</v>
      </c>
      <c r="AP159" s="97">
        <v>614002</v>
      </c>
      <c r="AQ159" s="77" t="e">
        <f ca="1">VLOOKUP($AP159,OFFSET([1]unit_skills!$A$1,0,0,COUNTA([1]unit_skills!$A:$A),MATCH("name",[1]unit_skills!$1:$1,0)-MATCH($AP$1,[1]unit_skills!$1:$1,0)+1),MATCH("name",[1]unit_skills!$1:$1,0)-MATCH($AP$1,[1]unit_skills!$1:$1,0)+1,FALSE)</f>
        <v>#VALUE!</v>
      </c>
      <c r="AR159" s="77" t="e">
        <f ca="1">VLOOKUP($AP159,OFFSET([1]unit_skills!$A$1,0,0,COUNTA([1]unit_skills!$A:$A),MATCH("comment",[1]unit_skills!$1:$1,0)-MATCH($AP$1,[1]unit_skills!$1:$1,0)+1),MATCH("comment",[1]unit_skills!$1:$1,0)-MATCH($AP$1,[1]unit_skills!$1:$1,0)+1,FALSE)</f>
        <v>#VALUE!</v>
      </c>
      <c r="AS159" s="77" t="e">
        <f ca="1">VLOOKUP($AP159,OFFSET([1]unit_skills!$A$1,0,0,COUNTA([1]unit_skills!$A:$A),MATCH(AS$1,[1]unit_skills!$1:$1,0)-MATCH($AP$1,[1]unit_skills!$1:$1,0)+1),MATCH(AS$1,[1]unit_skills!$1:$1,0)-MATCH($AP$1,[1]unit_skills!$1:$1,0)+1,FALSE)</f>
        <v>#VALUE!</v>
      </c>
      <c r="AT159" s="97">
        <v>111103</v>
      </c>
      <c r="AU159" s="77" t="e">
        <f ca="1">VLOOKUP($AT159,OFFSET([1]crash_skills!$A$1,0,0,COUNTA([1]crash_skills!$A:$A),MATCH("name",[1]crash_skills!$1:$1,0)-MATCH($AT$1,[1]crash_skills!$1:$1,0)+1),MATCH("name",[1]crash_skills!$1:$1,0)-MATCH($AT$1,[1]crash_skills!$1:$1,0)+1,FALSE)</f>
        <v>#VALUE!</v>
      </c>
      <c r="AV159" s="77" t="e">
        <f ca="1">VLOOKUP($AT159,OFFSET([1]crash_skills!$A$1,0,0,COUNTA([1]crash_skills!$A:$A),MATCH("comment",[1]crash_skills!$1:$1,0)-MATCH($AT$1,[1]crash_skills!$1:$1,0)+1),MATCH("comment",[1]crash_skills!$1:$1,0)-MATCH($AT$1,[1]crash_skills!$1:$1,0)+1,FALSE)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59" s="77" t="e">
        <f ca="1">VLOOKUP($AT159,OFFSET([1]crash_skills!$A$1,0,0,COUNTA([1]crash_skills!$A:$A),MATCH(AW$1,[1]crash_skills!$1:$1,0)-MATCH($AT$1,[1]crash_skills!$1:$1,0)+1),MATCH(AW$1,[1]crash_skills!$1:$1,0)-MATCH($AT$1,[1]crash_skills!$1:$1,0)+1,FALSE)</f>
        <v>#VALUE!</v>
      </c>
      <c r="AX159" s="81">
        <f ca="1">VLOOKUP($A159,OFFSET([2]characters!$A$1,0,0,COUNTA([2]characters!$A:$A),MATCH(AX$1,[2]characters!$1:$1,0)-MATCH($A$1,[2]characters!$1:$1,0)+1),MATCH(AX$1,[2]characters!$1:$1,0)-MATCH($A$1,[2]characters!$1:$1,0)+1,FALSE)</f>
        <v>3</v>
      </c>
      <c r="AY159" s="19">
        <v>1</v>
      </c>
      <c r="AZ159" s="19">
        <v>1</v>
      </c>
      <c r="BA159" s="19">
        <v>0</v>
      </c>
      <c r="BB159" s="19">
        <v>1</v>
      </c>
      <c r="BC159" s="14">
        <f ca="1">INDEX('RC6SV'!$A$1:$G$20,MATCH(H159,'RC6SV'!$A$1:$A$20,FALSE),MATCH(G159,'RC6SV'!$A$1:$G$1,FALSE))</f>
        <v>4800</v>
      </c>
      <c r="BD159" s="63">
        <f t="shared" ca="1" si="18"/>
        <v>4800</v>
      </c>
      <c r="BE159" s="14">
        <f t="shared" ca="1" si="19"/>
        <v>0</v>
      </c>
      <c r="BF159" s="14">
        <f t="shared" ca="1" si="20"/>
        <v>1</v>
      </c>
      <c r="BG159" s="20">
        <f ca="1">IF($BE159&lt;=0,ROUND(BK159*0.5,0), ROUND($BE159*S159*AA159*J159*AY159*0.8*[2]ステータス!$B$2,0))</f>
        <v>903</v>
      </c>
      <c r="BH159" s="20">
        <f ca="1">IF($BE159&lt;=0,ROUND(BL159*0.5,0), ROUND($BE159*T159*AB159*K159*AZ159*0.8*[2]ステータス!$C$2,0))</f>
        <v>567</v>
      </c>
      <c r="BI159" s="20">
        <f ca="1">IF($BE159&lt;=0,ROUND(BM159*0.5,0), ROUND($BE159*U159*AC159*L159*BA159*0.8*[2]ステータス!$D$2,0))</f>
        <v>0</v>
      </c>
      <c r="BJ159" s="20">
        <f ca="1">IF($BE159&lt;=0,ROUND(BN159*0.5,0), ROUND($BE159*V159*AD159*M159*BB159*0.8*[2]ステータス!$E$2,0))</f>
        <v>894</v>
      </c>
      <c r="BK159" s="14">
        <f ca="1">ROUND(BD159*S159*AA159*J159*AY159*[2]ステータス!$B$2,0)</f>
        <v>1805</v>
      </c>
      <c r="BL159" s="14">
        <f ca="1">ROUND(BD159*T159*AB159*K159*AZ159*[2]ステータス!$C$2,0)</f>
        <v>1134</v>
      </c>
      <c r="BM159" s="14">
        <f ca="1">ROUND(BD159*U159*AC159*L159*BA159*[2]ステータス!$D$2,0)</f>
        <v>0</v>
      </c>
      <c r="BN159" s="14">
        <f ca="1">ROUND(BD159*V159*AD159*M159*BB159*[2]ステータス!$E$2,0)</f>
        <v>1787</v>
      </c>
      <c r="BO159" s="13">
        <v>0</v>
      </c>
      <c r="BP159" s="13">
        <v>1</v>
      </c>
      <c r="BQ159" s="13" t="s">
        <v>102</v>
      </c>
      <c r="BR159" s="13">
        <f ca="1">VLOOKUP(H159,ghosts_label!$A$2:$B$19,2,FALSE)</f>
        <v>500</v>
      </c>
    </row>
    <row r="160" spans="1:70" ht="21" customHeight="1" x14ac:dyDescent="0.15">
      <c r="A160" s="14">
        <f t="shared" ca="1" si="15"/>
        <v>159</v>
      </c>
      <c r="B160" s="77" t="str">
        <f ca="1">VLOOKUP($A160,OFFSET([2]characters!$A$1,0,0,COUNTA([2]characters!$A:$A),MATCH(B$1,[2]characters!$1:$1,0)-MATCH($A$1,[2]characters!$1:$1,0)+1),MATCH(B$1,[2]characters!$1:$1,0)-MATCH($A$1,[2]characters!$1:$1,0)+1,FALSE)</f>
        <v>邪を狩りし者 シャルロッテ</v>
      </c>
      <c r="C160" s="77" t="str">
        <f ca="1">VLOOKUP($A160,OFFSET([2]characters!$A$1,0,0,COUNTA([2]characters!$A:$A),MATCH(C$1,[2]characters!$1:$1,0)-MATCH($A$1,[2]characters!$1:$1,0)+1),MATCH(C$1,[2]characters!$1:$1,0)-MATCH($A$1,[2]characters!$1:$1,0)+1,FALSE)</f>
        <v>初期ガチャ</v>
      </c>
      <c r="D160" s="77" t="str">
        <f ca="1">VLOOKUP($A160,OFFSET([2]characters!$A$1,0,0,COUNTA([2]characters!$A:$A),MATCH(D$1,[2]characters!$1:$1,0)-MATCH($A$1,[2]characters!$1:$1,0)+1),MATCH(D$1,[2]characters!$1:$1,0)-MATCH($A$1,[2]characters!$1:$1,0)+1,FALSE)</f>
        <v>アバター</v>
      </c>
      <c r="E160" s="77" t="str">
        <f ca="1">VLOOKUP($A160,OFFSET([2]characters!$A$1,0,0,COUNTA([2]characters!$A:$A),MATCH(E$1,[2]characters!$1:$1,0)-MATCH($A$1,[2]characters!$1:$1,0)+1),MATCH(E$1,[2]characters!$1:$1,0)-MATCH($A$1,[2]characters!$1:$1,0)+1,FALSE)</f>
        <v>美しい</v>
      </c>
      <c r="F160" s="77" t="str">
        <f ca="1">VLOOKUP($A160,OFFSET([2]characters!$A$1,0,0,COUNTA([2]characters!$A:$A),MATCH(F$1,[2]characters!$1:$1,0)-MATCH($A$1,[2]characters!$1:$1,0)+1),MATCH(F$1,[2]characters!$1:$1,0)-MATCH($A$1,[2]characters!$1:$1,0)+1,FALSE)</f>
        <v>女性</v>
      </c>
      <c r="G160" s="77">
        <f ca="1">VLOOKUP($A160,OFFSET([2]characters!$A$1,0,0,COUNTA([2]characters!$A:$A),MATCH(G$1,[2]characters!$1:$1,0)-MATCH($A$1,[2]characters!$1:$1,0)+1),MATCH(G$1,[2]characters!$1:$1,0)-MATCH($A$1,[2]characters!$1:$1,0)+1,FALSE)</f>
        <v>4</v>
      </c>
      <c r="H160" s="77" t="str">
        <f ca="1">VLOOKUP($A160,OFFSET([2]characters!$A$1,0,0,COUNTA([2]characters!$A:$A),MATCH(H$1,[2]characters!$1:$1,0)-MATCH($A$1,[2]characters!$1:$1,0)+1),MATCH(H$1,[2]characters!$1:$1,0)-MATCH($A$1,[2]characters!$1:$1,0)+1,FALSE)</f>
        <v>PremiumW</v>
      </c>
      <c r="I160" s="77" t="str">
        <f ca="1">VLOOKUP($A160,OFFSET([2]characters!$A$1,0,0,COUNTA([2]characters!$A:$A),MATCH(I$1,[2]characters!$1:$1,0)-MATCH($A$1,[2]characters!$1:$1,0)+1),MATCH(I$1,[2]characters!$1:$1,0)-MATCH($A$1,[2]characters!$1:$1,0)+1,FALSE)</f>
        <v>red</v>
      </c>
      <c r="J160" s="14">
        <f ca="1">VLOOKUP(I160,[2]属性!$A:$E,2,FALSE)</f>
        <v>1</v>
      </c>
      <c r="K160" s="14">
        <f ca="1">VLOOKUP(I160,[2]属性!$A:$E,3,FALSE)</f>
        <v>1.02</v>
      </c>
      <c r="L160" s="14">
        <f ca="1">VLOOKUP(I160,[2]属性!$A:$E,4,FALSE)</f>
        <v>1</v>
      </c>
      <c r="M160" s="14">
        <f ca="1">VLOOKUP(I160,[2]属性!$A:$E,5,FALSE)</f>
        <v>0.98</v>
      </c>
      <c r="N160" s="14">
        <f ca="1">INDEX(コスト!$A$1:$I$20,MATCH(H160,コスト!$A$1:$A$20,FALSE),MATCH(G160,コスト!$A$1:$I$1,FALSE))</f>
        <v>16</v>
      </c>
      <c r="O160" s="14">
        <f ca="1">INDEX(レベル!$A$1:$I$21,MATCH(H160,レベル!$A$1:$A$21,FALSE),MATCH(G160,レベル!$A$1:$I$1,FALSE))</f>
        <v>60</v>
      </c>
      <c r="P160" s="63">
        <f t="shared" ca="1" si="21"/>
        <v>60</v>
      </c>
      <c r="Q160" s="77" t="str">
        <f ca="1">VLOOKUP($A160,OFFSET([2]characters!$A$1,0,0,COUNTA([2]characters!$A:$A),MATCH(Q$1,[2]characters!$1:$1,0)-MATCH($A$1,[2]characters!$1:$1,0)+1),MATCH(Q$1,[2]characters!$1:$1,0)-MATCH($A$1,[2]characters!$1:$1,0)+1,FALSE)</f>
        <v>heal</v>
      </c>
      <c r="R160" s="8" t="str">
        <f ca="1">VLOOKUP(Q160,[2]character_type_i18n!$A:$H,3,FALSE)</f>
        <v>回復タイプ</v>
      </c>
      <c r="S160" s="14">
        <f ca="1">VLOOKUP(Q160,[2]character_type_i18n!$A:$H,4,FALSE)</f>
        <v>0.8</v>
      </c>
      <c r="T160" s="14">
        <f ca="1">VLOOKUP(Q160,[2]character_type_i18n!$A:$H,5,FALSE)</f>
        <v>0.78</v>
      </c>
      <c r="U160" s="14">
        <f ca="1">VLOOKUP(Q160,[2]character_type_i18n!$A:$H,6,FALSE)</f>
        <v>1</v>
      </c>
      <c r="V160" s="14">
        <f ca="1">VLOOKUP(Q160,[2]character_type_i18n!$A:$H,7,FALSE)</f>
        <v>1.42</v>
      </c>
      <c r="W160" s="77" t="str">
        <f ca="1">VLOOKUP($A160,OFFSET([2]characters!$A$1,0,0,COUNTA([2]characters!$A:$A),MATCH(W$1,[2]characters!$1:$1,0)-MATCH($A$1,[2]characters!$1:$1,0)+1),MATCH(W$1,[2]characters!$1:$1,0)-MATCH($A$1,[2]characters!$1:$1,0)+1,FALSE)</f>
        <v>human</v>
      </c>
      <c r="X160" s="8" t="str">
        <f ca="1">VLOOKUP(W160,[2]character_tribe_i18n!$A:$H,3,FALSE)</f>
        <v>ヒューマン</v>
      </c>
      <c r="Y160" s="77" t="str">
        <f ca="1">VLOOKUP($A160,OFFSET([2]characters!$A$1,0,0,COUNTA([2]characters!$A:$A),MATCH(Y$1,[2]characters!$1:$1,0)-MATCH($A$1,[2]characters!$1:$1,0)+1),MATCH(Y$1,[2]characters!$1:$1,0)-MATCH($A$1,[2]characters!$1:$1,0)+1,FALSE)</f>
        <v>none</v>
      </c>
      <c r="Z160" s="8" t="str">
        <f ca="1">VLOOKUP(Y160,[2]character_tribe_i18n!$A:$H,3,FALSE)</f>
        <v>種族なし</v>
      </c>
      <c r="AA160" s="14">
        <f ca="1">VLOOKUP(W160,[2]character_tribe_i18n!$A:$H,4,FALSE)</f>
        <v>0.94</v>
      </c>
      <c r="AB160" s="14">
        <f ca="1">VLOOKUP(W160,[2]character_tribe_i18n!$A:$H,5,FALSE)</f>
        <v>0.99</v>
      </c>
      <c r="AC160" s="14">
        <f ca="1">VLOOKUP(W160,[2]character_tribe_i18n!$A:$H,6,FALSE)</f>
        <v>1</v>
      </c>
      <c r="AD160" s="14">
        <f ca="1">VLOOKUP(W160,[2]character_tribe_i18n!$A:$H,7,FALSE)</f>
        <v>1.07</v>
      </c>
      <c r="AE160" s="12" t="s">
        <v>102</v>
      </c>
      <c r="AF160" s="85" t="str">
        <f ca="1">IF(AE160="NULL","",VLOOKUP($AE160,OFFSET([2]characters!$A$1,0,0,COUNTA([2]characters!$A:$A),MATCH(AF$1,[2]characters!$1:$1,0)-MATCH($A$1,[2]characters!$1:$1,0)+1),MATCH(AF$1,[2]characters!$1:$1,0)-MATCH($A$1,[2]characters!$1:$1,0)+1,FALSE))</f>
        <v/>
      </c>
      <c r="AG160" s="8">
        <f t="shared" ca="1" si="16"/>
        <v>158</v>
      </c>
      <c r="AH160" s="85" t="str">
        <f ca="1">VLOOKUP($AG160,OFFSET([2]characters!$A$1,0,0,COUNTA([2]characters!$A:$A),MATCH(AH$1,[2]characters!$1:$1,0)-MATCH($A$1,[2]characters!$1:$1,0)+1),MATCH(AH$1,[2]characters!$1:$1,0)-MATCH($A$1,[2]characters!$1:$1,0)+1,FALSE)</f>
        <v>シスター シャルロッテ</v>
      </c>
      <c r="AI160" s="14" t="str">
        <f>IF(AE160="NULL","NULL",VLOOKUP(G160,ビット!$A$2:$B$7,2))</f>
        <v>NULL</v>
      </c>
      <c r="AJ160" s="9">
        <v>2</v>
      </c>
      <c r="AK160" s="10" t="str">
        <f t="shared" si="17"/>
        <v>普通</v>
      </c>
      <c r="AL160" s="14" t="str">
        <f ca="1">INDEX(経験値!$A$1:$I$20,MATCH(H160,経験値!$A$1:$A$20,FALSE),MATCH(G160,経験値!$A$1:$I$1,FALSE))</f>
        <v>required_exp_150</v>
      </c>
      <c r="AM160" s="11">
        <f ca="1">VLOOKUP(G160,経験値!$A$27:$B$31,2)</f>
        <v>3400</v>
      </c>
      <c r="AN160" s="21">
        <f ca="1">VLOOKUP(G160,ビット!$G$2:$H$7,2)</f>
        <v>600</v>
      </c>
      <c r="AO160" s="99" t="s">
        <v>184</v>
      </c>
      <c r="AP160" s="97">
        <v>614003</v>
      </c>
      <c r="AQ160" s="77" t="e">
        <f ca="1">VLOOKUP($AP160,OFFSET([1]unit_skills!$A$1,0,0,COUNTA([1]unit_skills!$A:$A),MATCH("name",[1]unit_skills!$1:$1,0)-MATCH($AP$1,[1]unit_skills!$1:$1,0)+1),MATCH("name",[1]unit_skills!$1:$1,0)-MATCH($AP$1,[1]unit_skills!$1:$1,0)+1,FALSE)</f>
        <v>#VALUE!</v>
      </c>
      <c r="AR160" s="77" t="e">
        <f ca="1">VLOOKUP($AP160,OFFSET([1]unit_skills!$A$1,0,0,COUNTA([1]unit_skills!$A:$A),MATCH("comment",[1]unit_skills!$1:$1,0)-MATCH($AP$1,[1]unit_skills!$1:$1,0)+1),MATCH("comment",[1]unit_skills!$1:$1,0)-MATCH($AP$1,[1]unit_skills!$1:$1,0)+1,FALSE)</f>
        <v>#VALUE!</v>
      </c>
      <c r="AS160" s="77" t="e">
        <f ca="1">VLOOKUP($AP160,OFFSET([1]unit_skills!$A$1,0,0,COUNTA([1]unit_skills!$A:$A),MATCH(AS$1,[1]unit_skills!$1:$1,0)-MATCH($AP$1,[1]unit_skills!$1:$1,0)+1),MATCH(AS$1,[1]unit_skills!$1:$1,0)-MATCH($AP$1,[1]unit_skills!$1:$1,0)+1,FALSE)</f>
        <v>#VALUE!</v>
      </c>
      <c r="AT160" s="97">
        <v>111110</v>
      </c>
      <c r="AU160" s="77" t="e">
        <f ca="1">VLOOKUP($AT160,OFFSET([1]crash_skills!$A$1,0,0,COUNTA([1]crash_skills!$A:$A),MATCH("name",[1]crash_skills!$1:$1,0)-MATCH($AT$1,[1]crash_skills!$1:$1,0)+1),MATCH("name",[1]crash_skills!$1:$1,0)-MATCH($AT$1,[1]crash_skills!$1:$1,0)+1,FALSE)</f>
        <v>#VALUE!</v>
      </c>
      <c r="AV160" s="77" t="e">
        <f ca="1">VLOOKUP($AT160,OFFSET([1]crash_skills!$A$1,0,0,COUNTA([1]crash_skills!$A:$A),MATCH("comment",[1]crash_skills!$1:$1,0)-MATCH($AT$1,[1]crash_skills!$1:$1,0)+1),MATCH("comment",[1]crash_skills!$1:$1,0)-MATCH($AT$1,[1]crash_skills!$1:$1,0)+1,FALSE)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60" s="77" t="e">
        <f ca="1">VLOOKUP($AT160,OFFSET([1]crash_skills!$A$1,0,0,COUNTA([1]crash_skills!$A:$A),MATCH(AW$1,[1]crash_skills!$1:$1,0)-MATCH($AT$1,[1]crash_skills!$1:$1,0)+1),MATCH(AW$1,[1]crash_skills!$1:$1,0)-MATCH($AT$1,[1]crash_skills!$1:$1,0)+1,FALSE)</f>
        <v>#VALUE!</v>
      </c>
      <c r="AX160" s="81">
        <f ca="1">VLOOKUP($A160,OFFSET([2]characters!$A$1,0,0,COUNTA([2]characters!$A:$A),MATCH(AX$1,[2]characters!$1:$1,0)-MATCH($A$1,[2]characters!$1:$1,0)+1),MATCH(AX$1,[2]characters!$1:$1,0)-MATCH($A$1,[2]characters!$1:$1,0)+1,FALSE)</f>
        <v>3</v>
      </c>
      <c r="AY160" s="19">
        <v>1</v>
      </c>
      <c r="AZ160" s="19">
        <v>1</v>
      </c>
      <c r="BA160" s="19">
        <v>0</v>
      </c>
      <c r="BB160" s="19">
        <v>1</v>
      </c>
      <c r="BC160" s="14">
        <f ca="1">INDEX('RC6SV'!$A$1:$G$20,MATCH(H160,'RC6SV'!$A$1:$A$20,FALSE),MATCH(G160,'RC6SV'!$A$1:$G$1,FALSE))</f>
        <v>6600</v>
      </c>
      <c r="BD160" s="63">
        <f t="shared" ca="1" si="18"/>
        <v>6600</v>
      </c>
      <c r="BE160" s="14">
        <f t="shared" ca="1" si="19"/>
        <v>4800</v>
      </c>
      <c r="BF160" s="14">
        <f t="shared" ca="1" si="20"/>
        <v>1</v>
      </c>
      <c r="BG160" s="20">
        <f ca="1">IF($BE160&lt;=0,ROUND(BK160*0.5,0), ROUND($BE160*S160*AA160*J160*AY160*0.8*[2]ステータス!$B$2,0))</f>
        <v>1444</v>
      </c>
      <c r="BH160" s="20">
        <f ca="1">IF($BE160&lt;=0,ROUND(BL160*0.5,0), ROUND($BE160*T160*AB160*K160*AZ160*0.8*[2]ステータス!$C$2,0))</f>
        <v>907</v>
      </c>
      <c r="BI160" s="20">
        <f ca="1">IF($BE160&lt;=0,ROUND(BM160*0.5,0), ROUND($BE160*U160*AC160*L160*BA160*0.8*[2]ステータス!$D$2,0))</f>
        <v>0</v>
      </c>
      <c r="BJ160" s="20">
        <f ca="1">IF($BE160&lt;=0,ROUND(BN160*0.5,0), ROUND($BE160*V160*AD160*M160*BB160*0.8*[2]ステータス!$E$2,0))</f>
        <v>1429</v>
      </c>
      <c r="BK160" s="14">
        <f ca="1">ROUND(BD160*S160*AA160*J160*AY160*[2]ステータス!$B$2,0)</f>
        <v>2482</v>
      </c>
      <c r="BL160" s="14">
        <f ca="1">ROUND(BD160*T160*AB160*K160*AZ160*[2]ステータス!$C$2,0)</f>
        <v>1560</v>
      </c>
      <c r="BM160" s="14">
        <f ca="1">ROUND(BD160*U160*AC160*L160*BA160*[2]ステータス!$D$2,0)</f>
        <v>0</v>
      </c>
      <c r="BN160" s="14">
        <f ca="1">ROUND(BD160*V160*AD160*M160*BB160*[2]ステータス!$E$2,0)</f>
        <v>2457</v>
      </c>
      <c r="BO160" s="13">
        <v>0</v>
      </c>
      <c r="BP160" s="13">
        <v>1</v>
      </c>
      <c r="BQ160" s="13" t="s">
        <v>102</v>
      </c>
      <c r="BR160" s="13">
        <f ca="1">VLOOKUP(H160,ghosts_label!$A$2:$B$19,2,FALSE)</f>
        <v>500</v>
      </c>
    </row>
    <row r="161" spans="1:70" ht="21" customHeight="1" x14ac:dyDescent="0.15">
      <c r="A161" s="14">
        <f t="shared" ca="1" si="15"/>
        <v>160</v>
      </c>
      <c r="B161" s="77" t="str">
        <f ca="1">VLOOKUP($A161,OFFSET([2]characters!$A$1,0,0,COUNTA([2]characters!$A:$A),MATCH(B$1,[2]characters!$1:$1,0)-MATCH($A$1,[2]characters!$1:$1,0)+1),MATCH(B$1,[2]characters!$1:$1,0)-MATCH($A$1,[2]characters!$1:$1,0)+1,FALSE)</f>
        <v>反逆者 クリエ</v>
      </c>
      <c r="C161" s="77" t="str">
        <f ca="1">VLOOKUP($A161,OFFSET([2]characters!$A$1,0,0,COUNTA([2]characters!$A:$A),MATCH(C$1,[2]characters!$1:$1,0)-MATCH($A$1,[2]characters!$1:$1,0)+1),MATCH(C$1,[2]characters!$1:$1,0)-MATCH($A$1,[2]characters!$1:$1,0)+1,FALSE)</f>
        <v>初期ガチャ</v>
      </c>
      <c r="D161" s="77" t="str">
        <f ca="1">VLOOKUP($A161,OFFSET([2]characters!$A$1,0,0,COUNTA([2]characters!$A:$A),MATCH(D$1,[2]characters!$1:$1,0)-MATCH($A$1,[2]characters!$1:$1,0)+1),MATCH(D$1,[2]characters!$1:$1,0)-MATCH($A$1,[2]characters!$1:$1,0)+1,FALSE)</f>
        <v>アバター</v>
      </c>
      <c r="E161" s="77" t="str">
        <f ca="1">VLOOKUP($A161,OFFSET([2]characters!$A$1,0,0,COUNTA([2]characters!$A:$A),MATCH(E$1,[2]characters!$1:$1,0)-MATCH($A$1,[2]characters!$1:$1,0)+1),MATCH(E$1,[2]characters!$1:$1,0)-MATCH($A$1,[2]characters!$1:$1,0)+1,FALSE)</f>
        <v>格好いい</v>
      </c>
      <c r="F161" s="77" t="str">
        <f ca="1">VLOOKUP($A161,OFFSET([2]characters!$A$1,0,0,COUNTA([2]characters!$A:$A),MATCH(F$1,[2]characters!$1:$1,0)-MATCH($A$1,[2]characters!$1:$1,0)+1),MATCH(F$1,[2]characters!$1:$1,0)-MATCH($A$1,[2]characters!$1:$1,0)+1,FALSE)</f>
        <v>女性</v>
      </c>
      <c r="G161" s="77">
        <f ca="1">VLOOKUP($A161,OFFSET([2]characters!$A$1,0,0,COUNTA([2]characters!$A:$A),MATCH(G$1,[2]characters!$1:$1,0)-MATCH($A$1,[2]characters!$1:$1,0)+1),MATCH(G$1,[2]characters!$1:$1,0)-MATCH($A$1,[2]characters!$1:$1,0)+1,FALSE)</f>
        <v>3</v>
      </c>
      <c r="H161" s="77" t="str">
        <f ca="1">VLOOKUP($A161,OFFSET([2]characters!$A$1,0,0,COUNTA([2]characters!$A:$A),MATCH(H$1,[2]characters!$1:$1,0)-MATCH($A$1,[2]characters!$1:$1,0)+1),MATCH(H$1,[2]characters!$1:$1,0)-MATCH($A$1,[2]characters!$1:$1,0)+1,FALSE)</f>
        <v>PremiumW</v>
      </c>
      <c r="I161" s="77" t="str">
        <f ca="1">VLOOKUP($A161,OFFSET([2]characters!$A$1,0,0,COUNTA([2]characters!$A:$A),MATCH(I$1,[2]characters!$1:$1,0)-MATCH($A$1,[2]characters!$1:$1,0)+1),MATCH(I$1,[2]characters!$1:$1,0)-MATCH($A$1,[2]characters!$1:$1,0)+1,FALSE)</f>
        <v>green</v>
      </c>
      <c r="J161" s="14">
        <f ca="1">VLOOKUP(I161,[2]属性!$A:$E,2,FALSE)</f>
        <v>1.02</v>
      </c>
      <c r="K161" s="14">
        <f ca="1">VLOOKUP(I161,[2]属性!$A:$E,3,FALSE)</f>
        <v>0.98</v>
      </c>
      <c r="L161" s="14">
        <f ca="1">VLOOKUP(I161,[2]属性!$A:$E,4,FALSE)</f>
        <v>1</v>
      </c>
      <c r="M161" s="14">
        <f ca="1">VLOOKUP(I161,[2]属性!$A:$E,5,FALSE)</f>
        <v>1</v>
      </c>
      <c r="N161" s="14">
        <f ca="1">INDEX(コスト!$A$1:$I$20,MATCH(H161,コスト!$A$1:$A$20,FALSE),MATCH(G161,コスト!$A$1:$I$1,FALSE))</f>
        <v>7</v>
      </c>
      <c r="O161" s="14">
        <f ca="1">INDEX(レベル!$A$1:$I$21,MATCH(H161,レベル!$A$1:$A$21,FALSE),MATCH(G161,レベル!$A$1:$I$1,FALSE))</f>
        <v>40</v>
      </c>
      <c r="P161" s="63">
        <f t="shared" ca="1" si="21"/>
        <v>45</v>
      </c>
      <c r="Q161" s="77" t="str">
        <f ca="1">VLOOKUP($A161,OFFSET([2]characters!$A$1,0,0,COUNTA([2]characters!$A:$A),MATCH(Q$1,[2]characters!$1:$1,0)-MATCH($A$1,[2]characters!$1:$1,0)+1),MATCH(Q$1,[2]characters!$1:$1,0)-MATCH($A$1,[2]characters!$1:$1,0)+1,FALSE)</f>
        <v>balance</v>
      </c>
      <c r="R161" s="8" t="str">
        <f ca="1">VLOOKUP(Q161,[2]character_type_i18n!$A:$H,3,FALSE)</f>
        <v>バランスタイプ</v>
      </c>
      <c r="S161" s="14">
        <f ca="1">VLOOKUP(Q161,[2]character_type_i18n!$A:$H,4,FALSE)</f>
        <v>1</v>
      </c>
      <c r="T161" s="14">
        <f ca="1">VLOOKUP(Q161,[2]character_type_i18n!$A:$H,5,FALSE)</f>
        <v>1</v>
      </c>
      <c r="U161" s="14">
        <f ca="1">VLOOKUP(Q161,[2]character_type_i18n!$A:$H,6,FALSE)</f>
        <v>1</v>
      </c>
      <c r="V161" s="14">
        <f ca="1">VLOOKUP(Q161,[2]character_type_i18n!$A:$H,7,FALSE)</f>
        <v>1</v>
      </c>
      <c r="W161" s="77" t="str">
        <f ca="1">VLOOKUP($A161,OFFSET([2]characters!$A$1,0,0,COUNTA([2]characters!$A:$A),MATCH(W$1,[2]characters!$1:$1,0)-MATCH($A$1,[2]characters!$1:$1,0)+1),MATCH(W$1,[2]characters!$1:$1,0)-MATCH($A$1,[2]characters!$1:$1,0)+1,FALSE)</f>
        <v>human</v>
      </c>
      <c r="X161" s="8" t="str">
        <f ca="1">VLOOKUP(W161,[2]character_tribe_i18n!$A:$H,3,FALSE)</f>
        <v>ヒューマン</v>
      </c>
      <c r="Y161" s="77" t="str">
        <f ca="1">VLOOKUP($A161,OFFSET([2]characters!$A$1,0,0,COUNTA([2]characters!$A:$A),MATCH(Y$1,[2]characters!$1:$1,0)-MATCH($A$1,[2]characters!$1:$1,0)+1),MATCH(Y$1,[2]characters!$1:$1,0)-MATCH($A$1,[2]characters!$1:$1,0)+1,FALSE)</f>
        <v>none</v>
      </c>
      <c r="Z161" s="8" t="str">
        <f ca="1">VLOOKUP(Y161,[2]character_tribe_i18n!$A:$H,3,FALSE)</f>
        <v>種族なし</v>
      </c>
      <c r="AA161" s="14">
        <f ca="1">VLOOKUP(W161,[2]character_tribe_i18n!$A:$H,4,FALSE)</f>
        <v>0.94</v>
      </c>
      <c r="AB161" s="14">
        <f ca="1">VLOOKUP(W161,[2]character_tribe_i18n!$A:$H,5,FALSE)</f>
        <v>0.99</v>
      </c>
      <c r="AC161" s="14">
        <f ca="1">VLOOKUP(W161,[2]character_tribe_i18n!$A:$H,6,FALSE)</f>
        <v>1</v>
      </c>
      <c r="AD161" s="14">
        <f ca="1">VLOOKUP(W161,[2]character_tribe_i18n!$A:$H,7,FALSE)</f>
        <v>1.07</v>
      </c>
      <c r="AE161" s="12">
        <v>161</v>
      </c>
      <c r="AF161" s="85" t="str">
        <f ca="1">IF(AE161="NULL","",VLOOKUP($AE161,OFFSET([2]characters!$A$1,0,0,COUNTA([2]characters!$A:$A),MATCH(AF$1,[2]characters!$1:$1,0)-MATCH($A$1,[2]characters!$1:$1,0)+1),MATCH(AF$1,[2]characters!$1:$1,0)-MATCH($A$1,[2]characters!$1:$1,0)+1,FALSE))</f>
        <v>咆哮の先導者 クリエ</v>
      </c>
      <c r="AG161" s="8">
        <f t="shared" ca="1" si="16"/>
        <v>160</v>
      </c>
      <c r="AH161" s="85" t="str">
        <f ca="1">VLOOKUP($AG161,OFFSET([2]characters!$A$1,0,0,COUNTA([2]characters!$A:$A),MATCH(AH$1,[2]characters!$1:$1,0)-MATCH($A$1,[2]characters!$1:$1,0)+1),MATCH(AH$1,[2]characters!$1:$1,0)-MATCH($A$1,[2]characters!$1:$1,0)+1,FALSE)</f>
        <v>反逆者 クリエ</v>
      </c>
      <c r="AI161" s="14">
        <f ca="1">IF(AE161="NULL","NULL",VLOOKUP(G161,ビット!$A$2:$B$7,2))</f>
        <v>20000</v>
      </c>
      <c r="AJ161" s="9">
        <v>2</v>
      </c>
      <c r="AK161" s="10" t="str">
        <f t="shared" si="17"/>
        <v>普通</v>
      </c>
      <c r="AL161" s="14" t="str">
        <f ca="1">INDEX(経験値!$A$1:$I$20,MATCH(H161,経験値!$A$1:$A$20,FALSE),MATCH(G161,経験値!$A$1:$I$1,FALSE))</f>
        <v>required_exp_150</v>
      </c>
      <c r="AM161" s="11">
        <f ca="1">VLOOKUP(G161,経験値!$A$27:$B$31,2)</f>
        <v>1500</v>
      </c>
      <c r="AN161" s="21">
        <f ca="1">VLOOKUP(G161,ビット!$G$2:$H$7,2)</f>
        <v>300</v>
      </c>
      <c r="AO161" s="99" t="s">
        <v>180</v>
      </c>
      <c r="AP161" s="97">
        <v>312008</v>
      </c>
      <c r="AQ161" s="77" t="e">
        <f ca="1">VLOOKUP($AP161,OFFSET([1]unit_skills!$A$1,0,0,COUNTA([1]unit_skills!$A:$A),MATCH("name",[1]unit_skills!$1:$1,0)-MATCH($AP$1,[1]unit_skills!$1:$1,0)+1),MATCH("name",[1]unit_skills!$1:$1,0)-MATCH($AP$1,[1]unit_skills!$1:$1,0)+1,FALSE)</f>
        <v>#VALUE!</v>
      </c>
      <c r="AR161" s="77" t="e">
        <f ca="1">VLOOKUP($AP161,OFFSET([1]unit_skills!$A$1,0,0,COUNTA([1]unit_skills!$A:$A),MATCH("comment",[1]unit_skills!$1:$1,0)-MATCH($AP$1,[1]unit_skills!$1:$1,0)+1),MATCH("comment",[1]unit_skills!$1:$1,0)-MATCH($AP$1,[1]unit_skills!$1:$1,0)+1,FALSE)</f>
        <v>#VALUE!</v>
      </c>
      <c r="AS161" s="77" t="e">
        <f ca="1">VLOOKUP($AP161,OFFSET([1]unit_skills!$A$1,0,0,COUNTA([1]unit_skills!$A:$A),MATCH(AS$1,[1]unit_skills!$1:$1,0)-MATCH($AP$1,[1]unit_skills!$1:$1,0)+1),MATCH(AS$1,[1]unit_skills!$1:$1,0)-MATCH($AP$1,[1]unit_skills!$1:$1,0)+1,FALSE)</f>
        <v>#VALUE!</v>
      </c>
      <c r="AT161" s="97">
        <v>300002</v>
      </c>
      <c r="AU161" s="77" t="e">
        <f ca="1">VLOOKUP($AT161,OFFSET([1]crash_skills!$A$1,0,0,COUNTA([1]crash_skills!$A:$A),MATCH("name",[1]crash_skills!$1:$1,0)-MATCH($AT$1,[1]crash_skills!$1:$1,0)+1),MATCH("name",[1]crash_skills!$1:$1,0)-MATCH($AT$1,[1]crash_skills!$1:$1,0)+1,FALSE)</f>
        <v>#VALUE!</v>
      </c>
      <c r="AV161" s="77" t="e">
        <f ca="1">VLOOKUP($AT161,OFFSET([1]crash_skills!$A$1,0,0,COUNTA([1]crash_skills!$A:$A),MATCH("comment",[1]crash_skills!$1:$1,0)-MATCH($AT$1,[1]crash_skills!$1:$1,0)+1),MATCH("comment",[1]crash_skills!$1:$1,0)-MATCH($AT$1,[1]crash_skills!$1:$1,0)+1,FALSE)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61" s="77" t="e">
        <f ca="1">VLOOKUP($AT161,OFFSET([1]crash_skills!$A$1,0,0,COUNTA([1]crash_skills!$A:$A),MATCH(AW$1,[1]crash_skills!$1:$1,0)-MATCH($AT$1,[1]crash_skills!$1:$1,0)+1),MATCH(AW$1,[1]crash_skills!$1:$1,0)-MATCH($AT$1,[1]crash_skills!$1:$1,0)+1,FALSE)</f>
        <v>#VALUE!</v>
      </c>
      <c r="AX161" s="81">
        <f ca="1">VLOOKUP($A161,OFFSET([2]characters!$A$1,0,0,COUNTA([2]characters!$A:$A),MATCH(AX$1,[2]characters!$1:$1,0)-MATCH($A$1,[2]characters!$1:$1,0)+1),MATCH(AX$1,[2]characters!$1:$1,0)-MATCH($A$1,[2]characters!$1:$1,0)+1,FALSE)</f>
        <v>3</v>
      </c>
      <c r="AY161" s="19">
        <v>1</v>
      </c>
      <c r="AZ161" s="19">
        <v>1</v>
      </c>
      <c r="BA161" s="19">
        <v>0</v>
      </c>
      <c r="BB161" s="19">
        <v>1</v>
      </c>
      <c r="BC161" s="14">
        <f ca="1">INDEX('RC6SV'!$A$1:$G$20,MATCH(H161,'RC6SV'!$A$1:$A$20,FALSE),MATCH(G161,'RC6SV'!$A$1:$G$1,FALSE))</f>
        <v>4800</v>
      </c>
      <c r="BD161" s="63">
        <f t="shared" ca="1" si="18"/>
        <v>4800</v>
      </c>
      <c r="BE161" s="14">
        <f t="shared" ca="1" si="19"/>
        <v>0</v>
      </c>
      <c r="BF161" s="14">
        <f t="shared" ca="1" si="20"/>
        <v>1</v>
      </c>
      <c r="BG161" s="20">
        <f ca="1">IF($BE161&lt;=0,ROUND(BK161*0.5,0), ROUND($BE161*S161*AA161*J161*AY161*0.8*[2]ステータス!$B$2,0))</f>
        <v>1151</v>
      </c>
      <c r="BH161" s="20">
        <f ca="1">IF($BE161&lt;=0,ROUND(BL161*0.5,0), ROUND($BE161*T161*AB161*K161*AZ161*0.8*[2]ステータス!$C$2,0))</f>
        <v>699</v>
      </c>
      <c r="BI161" s="20">
        <f ca="1">IF($BE161&lt;=0,ROUND(BM161*0.5,0), ROUND($BE161*U161*AC161*L161*BA161*0.8*[2]ステータス!$D$2,0))</f>
        <v>0</v>
      </c>
      <c r="BJ161" s="20">
        <f ca="1">IF($BE161&lt;=0,ROUND(BN161*0.5,0), ROUND($BE161*V161*AD161*M161*BB161*0.8*[2]ステータス!$E$2,0))</f>
        <v>642</v>
      </c>
      <c r="BK161" s="14">
        <f ca="1">ROUND(BD161*S161*AA161*J161*AY161*[2]ステータス!$B$2,0)</f>
        <v>2301</v>
      </c>
      <c r="BL161" s="14">
        <f ca="1">ROUND(BD161*T161*AB161*K161*AZ161*[2]ステータス!$C$2,0)</f>
        <v>1397</v>
      </c>
      <c r="BM161" s="14">
        <f ca="1">ROUND(BD161*U161*AC161*L161*BA161*[2]ステータス!$D$2,0)</f>
        <v>0</v>
      </c>
      <c r="BN161" s="14">
        <f ca="1">ROUND(BD161*V161*AD161*M161*BB161*[2]ステータス!$E$2,0)</f>
        <v>1284</v>
      </c>
      <c r="BO161" s="13">
        <v>0</v>
      </c>
      <c r="BP161" s="13">
        <v>1</v>
      </c>
      <c r="BQ161" s="13" t="s">
        <v>102</v>
      </c>
      <c r="BR161" s="13">
        <f ca="1">VLOOKUP(H161,ghosts_label!$A$2:$B$19,2,FALSE)</f>
        <v>500</v>
      </c>
    </row>
    <row r="162" spans="1:70" ht="21" customHeight="1" x14ac:dyDescent="0.15">
      <c r="A162" s="14">
        <f t="shared" ca="1" si="15"/>
        <v>161</v>
      </c>
      <c r="B162" s="77" t="str">
        <f ca="1">VLOOKUP($A162,OFFSET([2]characters!$A$1,0,0,COUNTA([2]characters!$A:$A),MATCH(B$1,[2]characters!$1:$1,0)-MATCH($A$1,[2]characters!$1:$1,0)+1),MATCH(B$1,[2]characters!$1:$1,0)-MATCH($A$1,[2]characters!$1:$1,0)+1,FALSE)</f>
        <v>咆哮の先導者 クリエ</v>
      </c>
      <c r="C162" s="77" t="str">
        <f ca="1">VLOOKUP($A162,OFFSET([2]characters!$A$1,0,0,COUNTA([2]characters!$A:$A),MATCH(C$1,[2]characters!$1:$1,0)-MATCH($A$1,[2]characters!$1:$1,0)+1),MATCH(C$1,[2]characters!$1:$1,0)-MATCH($A$1,[2]characters!$1:$1,0)+1,FALSE)</f>
        <v>初期ガチャ</v>
      </c>
      <c r="D162" s="77" t="str">
        <f ca="1">VLOOKUP($A162,OFFSET([2]characters!$A$1,0,0,COUNTA([2]characters!$A:$A),MATCH(D$1,[2]characters!$1:$1,0)-MATCH($A$1,[2]characters!$1:$1,0)+1),MATCH(D$1,[2]characters!$1:$1,0)-MATCH($A$1,[2]characters!$1:$1,0)+1,FALSE)</f>
        <v>アバター</v>
      </c>
      <c r="E162" s="77" t="str">
        <f ca="1">VLOOKUP($A162,OFFSET([2]characters!$A$1,0,0,COUNTA([2]characters!$A:$A),MATCH(E$1,[2]characters!$1:$1,0)-MATCH($A$1,[2]characters!$1:$1,0)+1),MATCH(E$1,[2]characters!$1:$1,0)-MATCH($A$1,[2]characters!$1:$1,0)+1,FALSE)</f>
        <v>格好いい</v>
      </c>
      <c r="F162" s="77" t="str">
        <f ca="1">VLOOKUP($A162,OFFSET([2]characters!$A$1,0,0,COUNTA([2]characters!$A:$A),MATCH(F$1,[2]characters!$1:$1,0)-MATCH($A$1,[2]characters!$1:$1,0)+1),MATCH(F$1,[2]characters!$1:$1,0)-MATCH($A$1,[2]characters!$1:$1,0)+1,FALSE)</f>
        <v>女性</v>
      </c>
      <c r="G162" s="77">
        <f ca="1">VLOOKUP($A162,OFFSET([2]characters!$A$1,0,0,COUNTA([2]characters!$A:$A),MATCH(G$1,[2]characters!$1:$1,0)-MATCH($A$1,[2]characters!$1:$1,0)+1),MATCH(G$1,[2]characters!$1:$1,0)-MATCH($A$1,[2]characters!$1:$1,0)+1,FALSE)</f>
        <v>4</v>
      </c>
      <c r="H162" s="77" t="str">
        <f ca="1">VLOOKUP($A162,OFFSET([2]characters!$A$1,0,0,COUNTA([2]characters!$A:$A),MATCH(H$1,[2]characters!$1:$1,0)-MATCH($A$1,[2]characters!$1:$1,0)+1),MATCH(H$1,[2]characters!$1:$1,0)-MATCH($A$1,[2]characters!$1:$1,0)+1,FALSE)</f>
        <v>PremiumW</v>
      </c>
      <c r="I162" s="77" t="str">
        <f ca="1">VLOOKUP($A162,OFFSET([2]characters!$A$1,0,0,COUNTA([2]characters!$A:$A),MATCH(I$1,[2]characters!$1:$1,0)-MATCH($A$1,[2]characters!$1:$1,0)+1),MATCH(I$1,[2]characters!$1:$1,0)-MATCH($A$1,[2]characters!$1:$1,0)+1,FALSE)</f>
        <v>green</v>
      </c>
      <c r="J162" s="14">
        <f ca="1">VLOOKUP(I162,[2]属性!$A:$E,2,FALSE)</f>
        <v>1.02</v>
      </c>
      <c r="K162" s="14">
        <f ca="1">VLOOKUP(I162,[2]属性!$A:$E,3,FALSE)</f>
        <v>0.98</v>
      </c>
      <c r="L162" s="14">
        <f ca="1">VLOOKUP(I162,[2]属性!$A:$E,4,FALSE)</f>
        <v>1</v>
      </c>
      <c r="M162" s="14">
        <f ca="1">VLOOKUP(I162,[2]属性!$A:$E,5,FALSE)</f>
        <v>1</v>
      </c>
      <c r="N162" s="14">
        <f ca="1">INDEX(コスト!$A$1:$I$20,MATCH(H162,コスト!$A$1:$A$20,FALSE),MATCH(G162,コスト!$A$1:$I$1,FALSE))</f>
        <v>16</v>
      </c>
      <c r="O162" s="14">
        <f ca="1">INDEX(レベル!$A$1:$I$21,MATCH(H162,レベル!$A$1:$A$21,FALSE),MATCH(G162,レベル!$A$1:$I$1,FALSE))</f>
        <v>60</v>
      </c>
      <c r="P162" s="63">
        <f t="shared" ca="1" si="21"/>
        <v>60</v>
      </c>
      <c r="Q162" s="77" t="str">
        <f ca="1">VLOOKUP($A162,OFFSET([2]characters!$A$1,0,0,COUNTA([2]characters!$A:$A),MATCH(Q$1,[2]characters!$1:$1,0)-MATCH($A$1,[2]characters!$1:$1,0)+1),MATCH(Q$1,[2]characters!$1:$1,0)-MATCH($A$1,[2]characters!$1:$1,0)+1,FALSE)</f>
        <v>balance</v>
      </c>
      <c r="R162" s="8" t="str">
        <f ca="1">VLOOKUP(Q162,[2]character_type_i18n!$A:$H,3,FALSE)</f>
        <v>バランスタイプ</v>
      </c>
      <c r="S162" s="14">
        <f ca="1">VLOOKUP(Q162,[2]character_type_i18n!$A:$H,4,FALSE)</f>
        <v>1</v>
      </c>
      <c r="T162" s="14">
        <f ca="1">VLOOKUP(Q162,[2]character_type_i18n!$A:$H,5,FALSE)</f>
        <v>1</v>
      </c>
      <c r="U162" s="14">
        <f ca="1">VLOOKUP(Q162,[2]character_type_i18n!$A:$H,6,FALSE)</f>
        <v>1</v>
      </c>
      <c r="V162" s="14">
        <f ca="1">VLOOKUP(Q162,[2]character_type_i18n!$A:$H,7,FALSE)</f>
        <v>1</v>
      </c>
      <c r="W162" s="77" t="str">
        <f ca="1">VLOOKUP($A162,OFFSET([2]characters!$A$1,0,0,COUNTA([2]characters!$A:$A),MATCH(W$1,[2]characters!$1:$1,0)-MATCH($A$1,[2]characters!$1:$1,0)+1),MATCH(W$1,[2]characters!$1:$1,0)-MATCH($A$1,[2]characters!$1:$1,0)+1,FALSE)</f>
        <v>human</v>
      </c>
      <c r="X162" s="8" t="str">
        <f ca="1">VLOOKUP(W162,[2]character_tribe_i18n!$A:$H,3,FALSE)</f>
        <v>ヒューマン</v>
      </c>
      <c r="Y162" s="77" t="str">
        <f ca="1">VLOOKUP($A162,OFFSET([2]characters!$A$1,0,0,COUNTA([2]characters!$A:$A),MATCH(Y$1,[2]characters!$1:$1,0)-MATCH($A$1,[2]characters!$1:$1,0)+1),MATCH(Y$1,[2]characters!$1:$1,0)-MATCH($A$1,[2]characters!$1:$1,0)+1,FALSE)</f>
        <v>none</v>
      </c>
      <c r="Z162" s="8" t="str">
        <f ca="1">VLOOKUP(Y162,[2]character_tribe_i18n!$A:$H,3,FALSE)</f>
        <v>種族なし</v>
      </c>
      <c r="AA162" s="14">
        <f ca="1">VLOOKUP(W162,[2]character_tribe_i18n!$A:$H,4,FALSE)</f>
        <v>0.94</v>
      </c>
      <c r="AB162" s="14">
        <f ca="1">VLOOKUP(W162,[2]character_tribe_i18n!$A:$H,5,FALSE)</f>
        <v>0.99</v>
      </c>
      <c r="AC162" s="14">
        <f ca="1">VLOOKUP(W162,[2]character_tribe_i18n!$A:$H,6,FALSE)</f>
        <v>1</v>
      </c>
      <c r="AD162" s="14">
        <f ca="1">VLOOKUP(W162,[2]character_tribe_i18n!$A:$H,7,FALSE)</f>
        <v>1.07</v>
      </c>
      <c r="AE162" s="12" t="s">
        <v>102</v>
      </c>
      <c r="AF162" s="85" t="str">
        <f ca="1">IF(AE162="NULL","",VLOOKUP($AE162,OFFSET([2]characters!$A$1,0,0,COUNTA([2]characters!$A:$A),MATCH(AF$1,[2]characters!$1:$1,0)-MATCH($A$1,[2]characters!$1:$1,0)+1),MATCH(AF$1,[2]characters!$1:$1,0)-MATCH($A$1,[2]characters!$1:$1,0)+1,FALSE))</f>
        <v/>
      </c>
      <c r="AG162" s="8">
        <f t="shared" ca="1" si="16"/>
        <v>160</v>
      </c>
      <c r="AH162" s="85" t="str">
        <f ca="1">VLOOKUP($AG162,OFFSET([2]characters!$A$1,0,0,COUNTA([2]characters!$A:$A),MATCH(AH$1,[2]characters!$1:$1,0)-MATCH($A$1,[2]characters!$1:$1,0)+1),MATCH(AH$1,[2]characters!$1:$1,0)-MATCH($A$1,[2]characters!$1:$1,0)+1,FALSE)</f>
        <v>反逆者 クリエ</v>
      </c>
      <c r="AI162" s="14" t="str">
        <f>IF(AE162="NULL","NULL",VLOOKUP(G162,ビット!$A$2:$B$7,2))</f>
        <v>NULL</v>
      </c>
      <c r="AJ162" s="9">
        <v>2</v>
      </c>
      <c r="AK162" s="10" t="str">
        <f t="shared" si="17"/>
        <v>普通</v>
      </c>
      <c r="AL162" s="14" t="str">
        <f ca="1">INDEX(経験値!$A$1:$I$20,MATCH(H162,経験値!$A$1:$A$20,FALSE),MATCH(G162,経験値!$A$1:$I$1,FALSE))</f>
        <v>required_exp_150</v>
      </c>
      <c r="AM162" s="11">
        <f ca="1">VLOOKUP(G162,経験値!$A$27:$B$31,2)</f>
        <v>3400</v>
      </c>
      <c r="AN162" s="21">
        <f ca="1">VLOOKUP(G162,ビット!$G$2:$H$7,2)</f>
        <v>600</v>
      </c>
      <c r="AO162" s="99" t="s">
        <v>180</v>
      </c>
      <c r="AP162" s="97">
        <v>312009</v>
      </c>
      <c r="AQ162" s="77" t="e">
        <f ca="1">VLOOKUP($AP162,OFFSET([1]unit_skills!$A$1,0,0,COUNTA([1]unit_skills!$A:$A),MATCH("name",[1]unit_skills!$1:$1,0)-MATCH($AP$1,[1]unit_skills!$1:$1,0)+1),MATCH("name",[1]unit_skills!$1:$1,0)-MATCH($AP$1,[1]unit_skills!$1:$1,0)+1,FALSE)</f>
        <v>#VALUE!</v>
      </c>
      <c r="AR162" s="77" t="e">
        <f ca="1">VLOOKUP($AP162,OFFSET([1]unit_skills!$A$1,0,0,COUNTA([1]unit_skills!$A:$A),MATCH("comment",[1]unit_skills!$1:$1,0)-MATCH($AP$1,[1]unit_skills!$1:$1,0)+1),MATCH("comment",[1]unit_skills!$1:$1,0)-MATCH($AP$1,[1]unit_skills!$1:$1,0)+1,FALSE)</f>
        <v>#VALUE!</v>
      </c>
      <c r="AS162" s="77" t="e">
        <f ca="1">VLOOKUP($AP162,OFFSET([1]unit_skills!$A$1,0,0,COUNTA([1]unit_skills!$A:$A),MATCH(AS$1,[1]unit_skills!$1:$1,0)-MATCH($AP$1,[1]unit_skills!$1:$1,0)+1),MATCH(AS$1,[1]unit_skills!$1:$1,0)-MATCH($AP$1,[1]unit_skills!$1:$1,0)+1,FALSE)</f>
        <v>#VALUE!</v>
      </c>
      <c r="AT162" s="97">
        <v>300014</v>
      </c>
      <c r="AU162" s="77" t="e">
        <f ca="1">VLOOKUP($AT162,OFFSET([1]crash_skills!$A$1,0,0,COUNTA([1]crash_skills!$A:$A),MATCH("name",[1]crash_skills!$1:$1,0)-MATCH($AT$1,[1]crash_skills!$1:$1,0)+1),MATCH("name",[1]crash_skills!$1:$1,0)-MATCH($AT$1,[1]crash_skills!$1:$1,0)+1,FALSE)</f>
        <v>#VALUE!</v>
      </c>
      <c r="AV162" s="77" t="e">
        <f ca="1">VLOOKUP($AT162,OFFSET([1]crash_skills!$A$1,0,0,COUNTA([1]crash_skills!$A:$A),MATCH("comment",[1]crash_skills!$1:$1,0)-MATCH($AT$1,[1]crash_skills!$1:$1,0)+1),MATCH("comment",[1]crash_skills!$1:$1,0)-MATCH($AT$1,[1]crash_skills!$1:$1,0)+1,FALSE)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62" s="77" t="e">
        <f ca="1">VLOOKUP($AT162,OFFSET([1]crash_skills!$A$1,0,0,COUNTA([1]crash_skills!$A:$A),MATCH(AW$1,[1]crash_skills!$1:$1,0)-MATCH($AT$1,[1]crash_skills!$1:$1,0)+1),MATCH(AW$1,[1]crash_skills!$1:$1,0)-MATCH($AT$1,[1]crash_skills!$1:$1,0)+1,FALSE)</f>
        <v>#VALUE!</v>
      </c>
      <c r="AX162" s="81">
        <f ca="1">VLOOKUP($A162,OFFSET([2]characters!$A$1,0,0,COUNTA([2]characters!$A:$A),MATCH(AX$1,[2]characters!$1:$1,0)-MATCH($A$1,[2]characters!$1:$1,0)+1),MATCH(AX$1,[2]characters!$1:$1,0)-MATCH($A$1,[2]characters!$1:$1,0)+1,FALSE)</f>
        <v>3</v>
      </c>
      <c r="AY162" s="19">
        <v>1</v>
      </c>
      <c r="AZ162" s="19">
        <v>1</v>
      </c>
      <c r="BA162" s="19">
        <v>0</v>
      </c>
      <c r="BB162" s="19">
        <v>1</v>
      </c>
      <c r="BC162" s="14">
        <f ca="1">INDEX('RC6SV'!$A$1:$G$20,MATCH(H162,'RC6SV'!$A$1:$A$20,FALSE),MATCH(G162,'RC6SV'!$A$1:$G$1,FALSE))</f>
        <v>6600</v>
      </c>
      <c r="BD162" s="63">
        <f t="shared" ca="1" si="18"/>
        <v>6600</v>
      </c>
      <c r="BE162" s="14">
        <f t="shared" ca="1" si="19"/>
        <v>4800</v>
      </c>
      <c r="BF162" s="14">
        <f t="shared" ca="1" si="20"/>
        <v>1</v>
      </c>
      <c r="BG162" s="20">
        <f ca="1">IF($BE162&lt;=0,ROUND(BK162*0.5,0), ROUND($BE162*S162*AA162*J162*AY162*0.8*[2]ステータス!$B$2,0))</f>
        <v>1841</v>
      </c>
      <c r="BH162" s="20">
        <f ca="1">IF($BE162&lt;=0,ROUND(BL162*0.5,0), ROUND($BE162*T162*AB162*K162*AZ162*0.8*[2]ステータス!$C$2,0))</f>
        <v>1118</v>
      </c>
      <c r="BI162" s="20">
        <f ca="1">IF($BE162&lt;=0,ROUND(BM162*0.5,0), ROUND($BE162*U162*AC162*L162*BA162*0.8*[2]ステータス!$D$2,0))</f>
        <v>0</v>
      </c>
      <c r="BJ162" s="20">
        <f ca="1">IF($BE162&lt;=0,ROUND(BN162*0.5,0), ROUND($BE162*V162*AD162*M162*BB162*0.8*[2]ステータス!$E$2,0))</f>
        <v>1027</v>
      </c>
      <c r="BK162" s="14">
        <f ca="1">ROUND(BD162*S162*AA162*J162*AY162*[2]ステータス!$B$2,0)</f>
        <v>3164</v>
      </c>
      <c r="BL162" s="14">
        <f ca="1">ROUND(BD162*T162*AB162*K162*AZ162*[2]ステータス!$C$2,0)</f>
        <v>1921</v>
      </c>
      <c r="BM162" s="14">
        <f ca="1">ROUND(BD162*U162*AC162*L162*BA162*[2]ステータス!$D$2,0)</f>
        <v>0</v>
      </c>
      <c r="BN162" s="14">
        <f ca="1">ROUND(BD162*V162*AD162*M162*BB162*[2]ステータス!$E$2,0)</f>
        <v>1766</v>
      </c>
      <c r="BO162" s="13">
        <v>0</v>
      </c>
      <c r="BP162" s="13">
        <v>1</v>
      </c>
      <c r="BQ162" s="13" t="s">
        <v>102</v>
      </c>
      <c r="BR162" s="13">
        <f ca="1">VLOOKUP(H162,ghosts_label!$A$2:$B$19,2,FALSE)</f>
        <v>500</v>
      </c>
    </row>
    <row r="163" spans="1:70" ht="21" customHeight="1" x14ac:dyDescent="0.15">
      <c r="A163" s="14">
        <f t="shared" ca="1" si="15"/>
        <v>162</v>
      </c>
      <c r="B163" s="77" t="str">
        <f ca="1">VLOOKUP($A163,OFFSET([2]characters!$A$1,0,0,COUNTA([2]characters!$A:$A),MATCH(B$1,[2]characters!$1:$1,0)-MATCH($A$1,[2]characters!$1:$1,0)+1),MATCH(B$1,[2]characters!$1:$1,0)-MATCH($A$1,[2]characters!$1:$1,0)+1,FALSE)</f>
        <v>狂女 クララ</v>
      </c>
      <c r="C163" s="77" t="str">
        <f ca="1">VLOOKUP($A163,OFFSET([2]characters!$A$1,0,0,COUNTA([2]characters!$A:$A),MATCH(C$1,[2]characters!$1:$1,0)-MATCH($A$1,[2]characters!$1:$1,0)+1),MATCH(C$1,[2]characters!$1:$1,0)-MATCH($A$1,[2]characters!$1:$1,0)+1,FALSE)</f>
        <v>初期ガチャ</v>
      </c>
      <c r="D163" s="77" t="str">
        <f ca="1">VLOOKUP($A163,OFFSET([2]characters!$A$1,0,0,COUNTA([2]characters!$A:$A),MATCH(D$1,[2]characters!$1:$1,0)-MATCH($A$1,[2]characters!$1:$1,0)+1),MATCH(D$1,[2]characters!$1:$1,0)-MATCH($A$1,[2]characters!$1:$1,0)+1,FALSE)</f>
        <v>アバター</v>
      </c>
      <c r="E163" s="77" t="str">
        <f ca="1">VLOOKUP($A163,OFFSET([2]characters!$A$1,0,0,COUNTA([2]characters!$A:$A),MATCH(E$1,[2]characters!$1:$1,0)-MATCH($A$1,[2]characters!$1:$1,0)+1),MATCH(E$1,[2]characters!$1:$1,0)-MATCH($A$1,[2]characters!$1:$1,0)+1,FALSE)</f>
        <v>美しい</v>
      </c>
      <c r="F163" s="77" t="str">
        <f ca="1">VLOOKUP($A163,OFFSET([2]characters!$A$1,0,0,COUNTA([2]characters!$A:$A),MATCH(F$1,[2]characters!$1:$1,0)-MATCH($A$1,[2]characters!$1:$1,0)+1),MATCH(F$1,[2]characters!$1:$1,0)-MATCH($A$1,[2]characters!$1:$1,0)+1,FALSE)</f>
        <v>女性</v>
      </c>
      <c r="G163" s="77">
        <f ca="1">VLOOKUP($A163,OFFSET([2]characters!$A$1,0,0,COUNTA([2]characters!$A:$A),MATCH(G$1,[2]characters!$1:$1,0)-MATCH($A$1,[2]characters!$1:$1,0)+1),MATCH(G$1,[2]characters!$1:$1,0)-MATCH($A$1,[2]characters!$1:$1,0)+1,FALSE)</f>
        <v>3</v>
      </c>
      <c r="H163" s="77" t="str">
        <f ca="1">VLOOKUP($A163,OFFSET([2]characters!$A$1,0,0,COUNTA([2]characters!$A:$A),MATCH(H$1,[2]characters!$1:$1,0)-MATCH($A$1,[2]characters!$1:$1,0)+1),MATCH(H$1,[2]characters!$1:$1,0)-MATCH($A$1,[2]characters!$1:$1,0)+1,FALSE)</f>
        <v>PremiumW</v>
      </c>
      <c r="I163" s="77" t="str">
        <f ca="1">VLOOKUP($A163,OFFSET([2]characters!$A$1,0,0,COUNTA([2]characters!$A:$A),MATCH(I$1,[2]characters!$1:$1,0)-MATCH($A$1,[2]characters!$1:$1,0)+1),MATCH(I$1,[2]characters!$1:$1,0)-MATCH($A$1,[2]characters!$1:$1,0)+1,FALSE)</f>
        <v>blue</v>
      </c>
      <c r="J163" s="14">
        <f ca="1">VLOOKUP(I163,[2]属性!$A:$E,2,FALSE)</f>
        <v>1</v>
      </c>
      <c r="K163" s="14">
        <f ca="1">VLOOKUP(I163,[2]属性!$A:$E,3,FALSE)</f>
        <v>0.98</v>
      </c>
      <c r="L163" s="14">
        <f ca="1">VLOOKUP(I163,[2]属性!$A:$E,4,FALSE)</f>
        <v>1</v>
      </c>
      <c r="M163" s="14">
        <f ca="1">VLOOKUP(I163,[2]属性!$A:$E,5,FALSE)</f>
        <v>1.02</v>
      </c>
      <c r="N163" s="14">
        <f ca="1">INDEX(コスト!$A$1:$I$20,MATCH(H163,コスト!$A$1:$A$20,FALSE),MATCH(G163,コスト!$A$1:$I$1,FALSE))</f>
        <v>7</v>
      </c>
      <c r="O163" s="14">
        <f ca="1">INDEX(レベル!$A$1:$I$21,MATCH(H163,レベル!$A$1:$A$21,FALSE),MATCH(G163,レベル!$A$1:$I$1,FALSE))</f>
        <v>40</v>
      </c>
      <c r="P163" s="63">
        <f t="shared" ca="1" si="21"/>
        <v>45</v>
      </c>
      <c r="Q163" s="77" t="str">
        <f ca="1">VLOOKUP($A163,OFFSET([2]characters!$A$1,0,0,COUNTA([2]characters!$A:$A),MATCH(Q$1,[2]characters!$1:$1,0)-MATCH($A$1,[2]characters!$1:$1,0)+1),MATCH(Q$1,[2]characters!$1:$1,0)-MATCH($A$1,[2]characters!$1:$1,0)+1,FALSE)</f>
        <v>attack</v>
      </c>
      <c r="R163" s="8" t="str">
        <f ca="1">VLOOKUP(Q163,[2]character_type_i18n!$A:$H,3,FALSE)</f>
        <v>攻撃タイプ</v>
      </c>
      <c r="S163" s="14">
        <f ca="1">VLOOKUP(Q163,[2]character_type_i18n!$A:$H,4,FALSE)</f>
        <v>1</v>
      </c>
      <c r="T163" s="14">
        <f ca="1">VLOOKUP(Q163,[2]character_type_i18n!$A:$H,5,FALSE)</f>
        <v>1.33</v>
      </c>
      <c r="U163" s="14">
        <f ca="1">VLOOKUP(Q163,[2]character_type_i18n!$A:$H,6,FALSE)</f>
        <v>1</v>
      </c>
      <c r="V163" s="14">
        <f ca="1">VLOOKUP(Q163,[2]character_type_i18n!$A:$H,7,FALSE)</f>
        <v>0.67</v>
      </c>
      <c r="W163" s="77" t="str">
        <f ca="1">VLOOKUP($A163,OFFSET([2]characters!$A$1,0,0,COUNTA([2]characters!$A:$A),MATCH(W$1,[2]characters!$1:$1,0)-MATCH($A$1,[2]characters!$1:$1,0)+1),MATCH(W$1,[2]characters!$1:$1,0)-MATCH($A$1,[2]characters!$1:$1,0)+1,FALSE)</f>
        <v>human</v>
      </c>
      <c r="X163" s="8" t="str">
        <f ca="1">VLOOKUP(W163,[2]character_tribe_i18n!$A:$H,3,FALSE)</f>
        <v>ヒューマン</v>
      </c>
      <c r="Y163" s="77" t="str">
        <f ca="1">VLOOKUP($A163,OFFSET([2]characters!$A$1,0,0,COUNTA([2]characters!$A:$A),MATCH(Y$1,[2]characters!$1:$1,0)-MATCH($A$1,[2]characters!$1:$1,0)+1),MATCH(Y$1,[2]characters!$1:$1,0)-MATCH($A$1,[2]characters!$1:$1,0)+1,FALSE)</f>
        <v>none</v>
      </c>
      <c r="Z163" s="8" t="str">
        <f ca="1">VLOOKUP(Y163,[2]character_tribe_i18n!$A:$H,3,FALSE)</f>
        <v>種族なし</v>
      </c>
      <c r="AA163" s="14">
        <f ca="1">VLOOKUP(W163,[2]character_tribe_i18n!$A:$H,4,FALSE)</f>
        <v>0.94</v>
      </c>
      <c r="AB163" s="14">
        <f ca="1">VLOOKUP(W163,[2]character_tribe_i18n!$A:$H,5,FALSE)</f>
        <v>0.99</v>
      </c>
      <c r="AC163" s="14">
        <f ca="1">VLOOKUP(W163,[2]character_tribe_i18n!$A:$H,6,FALSE)</f>
        <v>1</v>
      </c>
      <c r="AD163" s="14">
        <f ca="1">VLOOKUP(W163,[2]character_tribe_i18n!$A:$H,7,FALSE)</f>
        <v>1.07</v>
      </c>
      <c r="AE163" s="12">
        <v>163</v>
      </c>
      <c r="AF163" s="85" t="str">
        <f ca="1">IF(AE163="NULL","",VLOOKUP($AE163,OFFSET([2]characters!$A$1,0,0,COUNTA([2]characters!$A:$A),MATCH(AF$1,[2]characters!$1:$1,0)-MATCH($A$1,[2]characters!$1:$1,0)+1),MATCH(AF$1,[2]characters!$1:$1,0)-MATCH($A$1,[2]characters!$1:$1,0)+1,FALSE))</f>
        <v>冷酷な狂嬢 クララ</v>
      </c>
      <c r="AG163" s="8">
        <f t="shared" ca="1" si="16"/>
        <v>162</v>
      </c>
      <c r="AH163" s="85" t="str">
        <f ca="1">VLOOKUP($AG163,OFFSET([2]characters!$A$1,0,0,COUNTA([2]characters!$A:$A),MATCH(AH$1,[2]characters!$1:$1,0)-MATCH($A$1,[2]characters!$1:$1,0)+1),MATCH(AH$1,[2]characters!$1:$1,0)-MATCH($A$1,[2]characters!$1:$1,0)+1,FALSE)</f>
        <v>狂女 クララ</v>
      </c>
      <c r="AI163" s="14">
        <f ca="1">IF(AE163="NULL","NULL",VLOOKUP(G163,ビット!$A$2:$B$7,2))</f>
        <v>20000</v>
      </c>
      <c r="AJ163" s="9">
        <v>2</v>
      </c>
      <c r="AK163" s="10" t="str">
        <f t="shared" si="17"/>
        <v>普通</v>
      </c>
      <c r="AL163" s="14" t="str">
        <f ca="1">INDEX(経験値!$A$1:$I$20,MATCH(H163,経験値!$A$1:$A$20,FALSE),MATCH(G163,経験値!$A$1:$I$1,FALSE))</f>
        <v>required_exp_150</v>
      </c>
      <c r="AM163" s="11">
        <f ca="1">VLOOKUP(G163,経験値!$A$27:$B$31,2)</f>
        <v>1500</v>
      </c>
      <c r="AN163" s="21">
        <f ca="1">VLOOKUP(G163,ビット!$G$2:$H$7,2)</f>
        <v>300</v>
      </c>
      <c r="AO163" s="99" t="s">
        <v>182</v>
      </c>
      <c r="AP163" s="101">
        <v>420005</v>
      </c>
      <c r="AQ163" s="77" t="e">
        <f ca="1">VLOOKUP($AP163,OFFSET([1]unit_skills!$A$1,0,0,COUNTA([1]unit_skills!$A:$A),MATCH("name",[1]unit_skills!$1:$1,0)-MATCH($AP$1,[1]unit_skills!$1:$1,0)+1),MATCH("name",[1]unit_skills!$1:$1,0)-MATCH($AP$1,[1]unit_skills!$1:$1,0)+1,FALSE)</f>
        <v>#VALUE!</v>
      </c>
      <c r="AR163" s="77" t="e">
        <f ca="1">VLOOKUP($AP163,OFFSET([1]unit_skills!$A$1,0,0,COUNTA([1]unit_skills!$A:$A),MATCH("comment",[1]unit_skills!$1:$1,0)-MATCH($AP$1,[1]unit_skills!$1:$1,0)+1),MATCH("comment",[1]unit_skills!$1:$1,0)-MATCH($AP$1,[1]unit_skills!$1:$1,0)+1,FALSE)</f>
        <v>#VALUE!</v>
      </c>
      <c r="AS163" s="77" t="e">
        <f ca="1">VLOOKUP($AP163,OFFSET([1]unit_skills!$A$1,0,0,COUNTA([1]unit_skills!$A:$A),MATCH(AS$1,[1]unit_skills!$1:$1,0)-MATCH($AP$1,[1]unit_skills!$1:$1,0)+1),MATCH(AS$1,[1]unit_skills!$1:$1,0)-MATCH($AP$1,[1]unit_skills!$1:$1,0)+1,FALSE)</f>
        <v>#VALUE!</v>
      </c>
      <c r="AT163" s="97">
        <v>113003</v>
      </c>
      <c r="AU163" s="77" t="e">
        <f ca="1">VLOOKUP($AT163,OFFSET([1]crash_skills!$A$1,0,0,COUNTA([1]crash_skills!$A:$A),MATCH("name",[1]crash_skills!$1:$1,0)-MATCH($AT$1,[1]crash_skills!$1:$1,0)+1),MATCH("name",[1]crash_skills!$1:$1,0)-MATCH($AT$1,[1]crash_skills!$1:$1,0)+1,FALSE)</f>
        <v>#VALUE!</v>
      </c>
      <c r="AV163" s="77" t="e">
        <f ca="1">VLOOKUP($AT163,OFFSET([1]crash_skills!$A$1,0,0,COUNTA([1]crash_skills!$A:$A),MATCH("comment",[1]crash_skills!$1:$1,0)-MATCH($AT$1,[1]crash_skills!$1:$1,0)+1),MATCH("comment",[1]crash_skills!$1:$1,0)-MATCH($AT$1,[1]crash_skills!$1:$1,0)+1,FALSE)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63" s="77" t="e">
        <f ca="1">VLOOKUP($AT163,OFFSET([1]crash_skills!$A$1,0,0,COUNTA([1]crash_skills!$A:$A),MATCH(AW$1,[1]crash_skills!$1:$1,0)-MATCH($AT$1,[1]crash_skills!$1:$1,0)+1),MATCH(AW$1,[1]crash_skills!$1:$1,0)-MATCH($AT$1,[1]crash_skills!$1:$1,0)+1,FALSE)</f>
        <v>#VALUE!</v>
      </c>
      <c r="AX163" s="81">
        <f ca="1">VLOOKUP($A163,OFFSET([2]characters!$A$1,0,0,COUNTA([2]characters!$A:$A),MATCH(AX$1,[2]characters!$1:$1,0)-MATCH($A$1,[2]characters!$1:$1,0)+1),MATCH(AX$1,[2]characters!$1:$1,0)-MATCH($A$1,[2]characters!$1:$1,0)+1,FALSE)</f>
        <v>3</v>
      </c>
      <c r="AY163" s="19">
        <v>1</v>
      </c>
      <c r="AZ163" s="19">
        <v>1</v>
      </c>
      <c r="BA163" s="19">
        <v>0</v>
      </c>
      <c r="BB163" s="19">
        <v>1</v>
      </c>
      <c r="BC163" s="14">
        <f ca="1">INDEX('RC6SV'!$A$1:$G$20,MATCH(H163,'RC6SV'!$A$1:$A$20,FALSE),MATCH(G163,'RC6SV'!$A$1:$G$1,FALSE))</f>
        <v>4800</v>
      </c>
      <c r="BD163" s="63">
        <f t="shared" ca="1" si="18"/>
        <v>4800</v>
      </c>
      <c r="BE163" s="14">
        <f t="shared" ca="1" si="19"/>
        <v>0</v>
      </c>
      <c r="BF163" s="14">
        <f t="shared" ca="1" si="20"/>
        <v>1</v>
      </c>
      <c r="BG163" s="20">
        <f ca="1">IF($BE163&lt;=0,ROUND(BK163*0.5,0), ROUND($BE163*S163*AA163*J163*AY163*0.8*[2]ステータス!$B$2,0))</f>
        <v>1128</v>
      </c>
      <c r="BH163" s="20">
        <f ca="1">IF($BE163&lt;=0,ROUND(BL163*0.5,0), ROUND($BE163*T163*AB163*K163*AZ163*0.8*[2]ステータス!$C$2,0))</f>
        <v>929</v>
      </c>
      <c r="BI163" s="20">
        <f ca="1">IF($BE163&lt;=0,ROUND(BM163*0.5,0), ROUND($BE163*U163*AC163*L163*BA163*0.8*[2]ステータス!$D$2,0))</f>
        <v>0</v>
      </c>
      <c r="BJ163" s="20">
        <f ca="1">IF($BE163&lt;=0,ROUND(BN163*0.5,0), ROUND($BE163*V163*AD163*M163*BB163*0.8*[2]ステータス!$E$2,0))</f>
        <v>439</v>
      </c>
      <c r="BK163" s="14">
        <f ca="1">ROUND(BD163*S163*AA163*J163*AY163*[2]ステータス!$B$2,0)</f>
        <v>2256</v>
      </c>
      <c r="BL163" s="14">
        <f ca="1">ROUND(BD163*T163*AB163*K163*AZ163*[2]ステータス!$C$2,0)</f>
        <v>1858</v>
      </c>
      <c r="BM163" s="14">
        <f ca="1">ROUND(BD163*U163*AC163*L163*BA163*[2]ステータス!$D$2,0)</f>
        <v>0</v>
      </c>
      <c r="BN163" s="14">
        <f ca="1">ROUND(BD163*V163*AD163*M163*BB163*[2]ステータス!$E$2,0)</f>
        <v>877</v>
      </c>
      <c r="BO163" s="13">
        <v>0</v>
      </c>
      <c r="BP163" s="13">
        <v>1</v>
      </c>
      <c r="BQ163" s="13" t="s">
        <v>102</v>
      </c>
      <c r="BR163" s="13">
        <f ca="1">VLOOKUP(H163,ghosts_label!$A$2:$B$19,2,FALSE)</f>
        <v>500</v>
      </c>
    </row>
    <row r="164" spans="1:70" ht="21" customHeight="1" x14ac:dyDescent="0.15">
      <c r="A164" s="14">
        <f t="shared" ca="1" si="15"/>
        <v>163</v>
      </c>
      <c r="B164" s="77" t="str">
        <f ca="1">VLOOKUP($A164,OFFSET([2]characters!$A$1,0,0,COUNTA([2]characters!$A:$A),MATCH(B$1,[2]characters!$1:$1,0)-MATCH($A$1,[2]characters!$1:$1,0)+1),MATCH(B$1,[2]characters!$1:$1,0)-MATCH($A$1,[2]characters!$1:$1,0)+1,FALSE)</f>
        <v>冷酷な狂嬢 クララ</v>
      </c>
      <c r="C164" s="77" t="str">
        <f ca="1">VLOOKUP($A164,OFFSET([2]characters!$A$1,0,0,COUNTA([2]characters!$A:$A),MATCH(C$1,[2]characters!$1:$1,0)-MATCH($A$1,[2]characters!$1:$1,0)+1),MATCH(C$1,[2]characters!$1:$1,0)-MATCH($A$1,[2]characters!$1:$1,0)+1,FALSE)</f>
        <v>初期ガチャ</v>
      </c>
      <c r="D164" s="77" t="str">
        <f ca="1">VLOOKUP($A164,OFFSET([2]characters!$A$1,0,0,COUNTA([2]characters!$A:$A),MATCH(D$1,[2]characters!$1:$1,0)-MATCH($A$1,[2]characters!$1:$1,0)+1),MATCH(D$1,[2]characters!$1:$1,0)-MATCH($A$1,[2]characters!$1:$1,0)+1,FALSE)</f>
        <v>アバター</v>
      </c>
      <c r="E164" s="77" t="str">
        <f ca="1">VLOOKUP($A164,OFFSET([2]characters!$A$1,0,0,COUNTA([2]characters!$A:$A),MATCH(E$1,[2]characters!$1:$1,0)-MATCH($A$1,[2]characters!$1:$1,0)+1),MATCH(E$1,[2]characters!$1:$1,0)-MATCH($A$1,[2]characters!$1:$1,0)+1,FALSE)</f>
        <v>美しい</v>
      </c>
      <c r="F164" s="77" t="str">
        <f ca="1">VLOOKUP($A164,OFFSET([2]characters!$A$1,0,0,COUNTA([2]characters!$A:$A),MATCH(F$1,[2]characters!$1:$1,0)-MATCH($A$1,[2]characters!$1:$1,0)+1),MATCH(F$1,[2]characters!$1:$1,0)-MATCH($A$1,[2]characters!$1:$1,0)+1,FALSE)</f>
        <v>女性</v>
      </c>
      <c r="G164" s="77">
        <f ca="1">VLOOKUP($A164,OFFSET([2]characters!$A$1,0,0,COUNTA([2]characters!$A:$A),MATCH(G$1,[2]characters!$1:$1,0)-MATCH($A$1,[2]characters!$1:$1,0)+1),MATCH(G$1,[2]characters!$1:$1,0)-MATCH($A$1,[2]characters!$1:$1,0)+1,FALSE)</f>
        <v>4</v>
      </c>
      <c r="H164" s="77" t="str">
        <f ca="1">VLOOKUP($A164,OFFSET([2]characters!$A$1,0,0,COUNTA([2]characters!$A:$A),MATCH(H$1,[2]characters!$1:$1,0)-MATCH($A$1,[2]characters!$1:$1,0)+1),MATCH(H$1,[2]characters!$1:$1,0)-MATCH($A$1,[2]characters!$1:$1,0)+1,FALSE)</f>
        <v>PremiumW</v>
      </c>
      <c r="I164" s="77" t="str">
        <f ca="1">VLOOKUP($A164,OFFSET([2]characters!$A$1,0,0,COUNTA([2]characters!$A:$A),MATCH(I$1,[2]characters!$1:$1,0)-MATCH($A$1,[2]characters!$1:$1,0)+1),MATCH(I$1,[2]characters!$1:$1,0)-MATCH($A$1,[2]characters!$1:$1,0)+1,FALSE)</f>
        <v>blue</v>
      </c>
      <c r="J164" s="14">
        <f ca="1">VLOOKUP(I164,[2]属性!$A:$E,2,FALSE)</f>
        <v>1</v>
      </c>
      <c r="K164" s="14">
        <f ca="1">VLOOKUP(I164,[2]属性!$A:$E,3,FALSE)</f>
        <v>0.98</v>
      </c>
      <c r="L164" s="14">
        <f ca="1">VLOOKUP(I164,[2]属性!$A:$E,4,FALSE)</f>
        <v>1</v>
      </c>
      <c r="M164" s="14">
        <f ca="1">VLOOKUP(I164,[2]属性!$A:$E,5,FALSE)</f>
        <v>1.02</v>
      </c>
      <c r="N164" s="14">
        <f ca="1">INDEX(コスト!$A$1:$I$20,MATCH(H164,コスト!$A$1:$A$20,FALSE),MATCH(G164,コスト!$A$1:$I$1,FALSE))</f>
        <v>16</v>
      </c>
      <c r="O164" s="14">
        <f ca="1">INDEX(レベル!$A$1:$I$21,MATCH(H164,レベル!$A$1:$A$21,FALSE),MATCH(G164,レベル!$A$1:$I$1,FALSE))</f>
        <v>60</v>
      </c>
      <c r="P164" s="63">
        <f t="shared" ca="1" si="21"/>
        <v>60</v>
      </c>
      <c r="Q164" s="77" t="str">
        <f ca="1">VLOOKUP($A164,OFFSET([2]characters!$A$1,0,0,COUNTA([2]characters!$A:$A),MATCH(Q$1,[2]characters!$1:$1,0)-MATCH($A$1,[2]characters!$1:$1,0)+1),MATCH(Q$1,[2]characters!$1:$1,0)-MATCH($A$1,[2]characters!$1:$1,0)+1,FALSE)</f>
        <v>attack</v>
      </c>
      <c r="R164" s="8" t="str">
        <f ca="1">VLOOKUP(Q164,[2]character_type_i18n!$A:$H,3,FALSE)</f>
        <v>攻撃タイプ</v>
      </c>
      <c r="S164" s="14">
        <f ca="1">VLOOKUP(Q164,[2]character_type_i18n!$A:$H,4,FALSE)</f>
        <v>1</v>
      </c>
      <c r="T164" s="14">
        <f ca="1">VLOOKUP(Q164,[2]character_type_i18n!$A:$H,5,FALSE)</f>
        <v>1.33</v>
      </c>
      <c r="U164" s="14">
        <f ca="1">VLOOKUP(Q164,[2]character_type_i18n!$A:$H,6,FALSE)</f>
        <v>1</v>
      </c>
      <c r="V164" s="14">
        <f ca="1">VLOOKUP(Q164,[2]character_type_i18n!$A:$H,7,FALSE)</f>
        <v>0.67</v>
      </c>
      <c r="W164" s="77" t="str">
        <f ca="1">VLOOKUP($A164,OFFSET([2]characters!$A$1,0,0,COUNTA([2]characters!$A:$A),MATCH(W$1,[2]characters!$1:$1,0)-MATCH($A$1,[2]characters!$1:$1,0)+1),MATCH(W$1,[2]characters!$1:$1,0)-MATCH($A$1,[2]characters!$1:$1,0)+1,FALSE)</f>
        <v>human</v>
      </c>
      <c r="X164" s="8" t="str">
        <f ca="1">VLOOKUP(W164,[2]character_tribe_i18n!$A:$H,3,FALSE)</f>
        <v>ヒューマン</v>
      </c>
      <c r="Y164" s="77" t="str">
        <f ca="1">VLOOKUP($A164,OFFSET([2]characters!$A$1,0,0,COUNTA([2]characters!$A:$A),MATCH(Y$1,[2]characters!$1:$1,0)-MATCH($A$1,[2]characters!$1:$1,0)+1),MATCH(Y$1,[2]characters!$1:$1,0)-MATCH($A$1,[2]characters!$1:$1,0)+1,FALSE)</f>
        <v>none</v>
      </c>
      <c r="Z164" s="8" t="str">
        <f ca="1">VLOOKUP(Y164,[2]character_tribe_i18n!$A:$H,3,FALSE)</f>
        <v>種族なし</v>
      </c>
      <c r="AA164" s="14">
        <f ca="1">VLOOKUP(W164,[2]character_tribe_i18n!$A:$H,4,FALSE)</f>
        <v>0.94</v>
      </c>
      <c r="AB164" s="14">
        <f ca="1">VLOOKUP(W164,[2]character_tribe_i18n!$A:$H,5,FALSE)</f>
        <v>0.99</v>
      </c>
      <c r="AC164" s="14">
        <f ca="1">VLOOKUP(W164,[2]character_tribe_i18n!$A:$H,6,FALSE)</f>
        <v>1</v>
      </c>
      <c r="AD164" s="14">
        <f ca="1">VLOOKUP(W164,[2]character_tribe_i18n!$A:$H,7,FALSE)</f>
        <v>1.07</v>
      </c>
      <c r="AE164" s="12" t="s">
        <v>102</v>
      </c>
      <c r="AF164" s="85" t="str">
        <f ca="1">IF(AE164="NULL","",VLOOKUP($AE164,OFFSET([2]characters!$A$1,0,0,COUNTA([2]characters!$A:$A),MATCH(AF$1,[2]characters!$1:$1,0)-MATCH($A$1,[2]characters!$1:$1,0)+1),MATCH(AF$1,[2]characters!$1:$1,0)-MATCH($A$1,[2]characters!$1:$1,0)+1,FALSE))</f>
        <v/>
      </c>
      <c r="AG164" s="8">
        <f t="shared" ca="1" si="16"/>
        <v>162</v>
      </c>
      <c r="AH164" s="85" t="str">
        <f ca="1">VLOOKUP($AG164,OFFSET([2]characters!$A$1,0,0,COUNTA([2]characters!$A:$A),MATCH(AH$1,[2]characters!$1:$1,0)-MATCH($A$1,[2]characters!$1:$1,0)+1),MATCH(AH$1,[2]characters!$1:$1,0)-MATCH($A$1,[2]characters!$1:$1,0)+1,FALSE)</f>
        <v>狂女 クララ</v>
      </c>
      <c r="AI164" s="14" t="str">
        <f>IF(AE164="NULL","NULL",VLOOKUP(G164,ビット!$A$2:$B$7,2))</f>
        <v>NULL</v>
      </c>
      <c r="AJ164" s="9">
        <v>2</v>
      </c>
      <c r="AK164" s="10" t="str">
        <f t="shared" si="17"/>
        <v>普通</v>
      </c>
      <c r="AL164" s="14" t="str">
        <f ca="1">INDEX(経験値!$A$1:$I$20,MATCH(H164,経験値!$A$1:$A$20,FALSE),MATCH(G164,経験値!$A$1:$I$1,FALSE))</f>
        <v>required_exp_150</v>
      </c>
      <c r="AM164" s="11">
        <f ca="1">VLOOKUP(G164,経験値!$A$27:$B$31,2)</f>
        <v>3400</v>
      </c>
      <c r="AN164" s="21">
        <f ca="1">VLOOKUP(G164,ビット!$G$2:$H$7,2)</f>
        <v>600</v>
      </c>
      <c r="AO164" s="99" t="s">
        <v>182</v>
      </c>
      <c r="AP164" s="101">
        <v>420004</v>
      </c>
      <c r="AQ164" s="77" t="e">
        <f ca="1">VLOOKUP($AP164,OFFSET([1]unit_skills!$A$1,0,0,COUNTA([1]unit_skills!$A:$A),MATCH("name",[1]unit_skills!$1:$1,0)-MATCH($AP$1,[1]unit_skills!$1:$1,0)+1),MATCH("name",[1]unit_skills!$1:$1,0)-MATCH($AP$1,[1]unit_skills!$1:$1,0)+1,FALSE)</f>
        <v>#VALUE!</v>
      </c>
      <c r="AR164" s="77" t="e">
        <f ca="1">VLOOKUP($AP164,OFFSET([1]unit_skills!$A$1,0,0,COUNTA([1]unit_skills!$A:$A),MATCH("comment",[1]unit_skills!$1:$1,0)-MATCH($AP$1,[1]unit_skills!$1:$1,0)+1),MATCH("comment",[1]unit_skills!$1:$1,0)-MATCH($AP$1,[1]unit_skills!$1:$1,0)+1,FALSE)</f>
        <v>#VALUE!</v>
      </c>
      <c r="AS164" s="77" t="e">
        <f ca="1">VLOOKUP($AP164,OFFSET([1]unit_skills!$A$1,0,0,COUNTA([1]unit_skills!$A:$A),MATCH(AS$1,[1]unit_skills!$1:$1,0)-MATCH($AP$1,[1]unit_skills!$1:$1,0)+1),MATCH(AS$1,[1]unit_skills!$1:$1,0)-MATCH($AP$1,[1]unit_skills!$1:$1,0)+1,FALSE)</f>
        <v>#VALUE!</v>
      </c>
      <c r="AT164" s="97">
        <v>113010</v>
      </c>
      <c r="AU164" s="77" t="e">
        <f ca="1">VLOOKUP($AT164,OFFSET([1]crash_skills!$A$1,0,0,COUNTA([1]crash_skills!$A:$A),MATCH("name",[1]crash_skills!$1:$1,0)-MATCH($AT$1,[1]crash_skills!$1:$1,0)+1),MATCH("name",[1]crash_skills!$1:$1,0)-MATCH($AT$1,[1]crash_skills!$1:$1,0)+1,FALSE)</f>
        <v>#VALUE!</v>
      </c>
      <c r="AV164" s="77" t="e">
        <f ca="1">VLOOKUP($AT164,OFFSET([1]crash_skills!$A$1,0,0,COUNTA([1]crash_skills!$A:$A),MATCH("comment",[1]crash_skills!$1:$1,0)-MATCH($AT$1,[1]crash_skills!$1:$1,0)+1),MATCH("comment",[1]crash_skills!$1:$1,0)-MATCH($AT$1,[1]crash_skills!$1:$1,0)+1,FALSE)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64" s="77" t="e">
        <f ca="1">VLOOKUP($AT164,OFFSET([1]crash_skills!$A$1,0,0,COUNTA([1]crash_skills!$A:$A),MATCH(AW$1,[1]crash_skills!$1:$1,0)-MATCH($AT$1,[1]crash_skills!$1:$1,0)+1),MATCH(AW$1,[1]crash_skills!$1:$1,0)-MATCH($AT$1,[1]crash_skills!$1:$1,0)+1,FALSE)</f>
        <v>#VALUE!</v>
      </c>
      <c r="AX164" s="81">
        <f ca="1">VLOOKUP($A164,OFFSET([2]characters!$A$1,0,0,COUNTA([2]characters!$A:$A),MATCH(AX$1,[2]characters!$1:$1,0)-MATCH($A$1,[2]characters!$1:$1,0)+1),MATCH(AX$1,[2]characters!$1:$1,0)-MATCH($A$1,[2]characters!$1:$1,0)+1,FALSE)</f>
        <v>3</v>
      </c>
      <c r="AY164" s="19">
        <v>1</v>
      </c>
      <c r="AZ164" s="19">
        <v>1</v>
      </c>
      <c r="BA164" s="19">
        <v>0</v>
      </c>
      <c r="BB164" s="19">
        <v>1</v>
      </c>
      <c r="BC164" s="14">
        <f ca="1">INDEX('RC6SV'!$A$1:$G$20,MATCH(H164,'RC6SV'!$A$1:$A$20,FALSE),MATCH(G164,'RC6SV'!$A$1:$G$1,FALSE))</f>
        <v>6600</v>
      </c>
      <c r="BD164" s="63">
        <f t="shared" ca="1" si="18"/>
        <v>6600</v>
      </c>
      <c r="BE164" s="14">
        <f t="shared" ca="1" si="19"/>
        <v>4800</v>
      </c>
      <c r="BF164" s="14">
        <f t="shared" ca="1" si="20"/>
        <v>1</v>
      </c>
      <c r="BG164" s="20">
        <f ca="1">IF($BE164&lt;=0,ROUND(BK164*0.5,0), ROUND($BE164*S164*AA164*J164*AY164*0.8*[2]ステータス!$B$2,0))</f>
        <v>1805</v>
      </c>
      <c r="BH164" s="20">
        <f ca="1">IF($BE164&lt;=0,ROUND(BL164*0.5,0), ROUND($BE164*T164*AB164*K164*AZ164*0.8*[2]ステータス!$C$2,0))</f>
        <v>1487</v>
      </c>
      <c r="BI164" s="20">
        <f ca="1">IF($BE164&lt;=0,ROUND(BM164*0.5,0), ROUND($BE164*U164*AC164*L164*BA164*0.8*[2]ステータス!$D$2,0))</f>
        <v>0</v>
      </c>
      <c r="BJ164" s="20">
        <f ca="1">IF($BE164&lt;=0,ROUND(BN164*0.5,0), ROUND($BE164*V164*AD164*M164*BB164*0.8*[2]ステータス!$E$2,0))</f>
        <v>702</v>
      </c>
      <c r="BK164" s="14">
        <f ca="1">ROUND(BD164*S164*AA164*J164*AY164*[2]ステータス!$B$2,0)</f>
        <v>3102</v>
      </c>
      <c r="BL164" s="14">
        <f ca="1">ROUND(BD164*T164*AB164*K164*AZ164*[2]ステータス!$C$2,0)</f>
        <v>2555</v>
      </c>
      <c r="BM164" s="14">
        <f ca="1">ROUND(BD164*U164*AC164*L164*BA164*[2]ステータス!$D$2,0)</f>
        <v>0</v>
      </c>
      <c r="BN164" s="14">
        <f ca="1">ROUND(BD164*V164*AD164*M164*BB164*[2]ステータス!$E$2,0)</f>
        <v>1207</v>
      </c>
      <c r="BO164" s="13">
        <v>0</v>
      </c>
      <c r="BP164" s="13">
        <v>1</v>
      </c>
      <c r="BQ164" s="13" t="s">
        <v>102</v>
      </c>
      <c r="BR164" s="13">
        <f ca="1">VLOOKUP(H164,ghosts_label!$A$2:$B$19,2,FALSE)</f>
        <v>500</v>
      </c>
    </row>
    <row r="165" spans="1:70" ht="21" customHeight="1" x14ac:dyDescent="0.15">
      <c r="A165" s="14">
        <f t="shared" ca="1" si="15"/>
        <v>164</v>
      </c>
      <c r="B165" s="77" t="str">
        <f ca="1">VLOOKUP($A165,OFFSET([2]characters!$A$1,0,0,COUNTA([2]characters!$A:$A),MATCH(B$1,[2]characters!$1:$1,0)-MATCH($A$1,[2]characters!$1:$1,0)+1),MATCH(B$1,[2]characters!$1:$1,0)-MATCH($A$1,[2]characters!$1:$1,0)+1,FALSE)</f>
        <v>イブとトモダチ</v>
      </c>
      <c r="C165" s="77" t="str">
        <f ca="1">VLOOKUP($A165,OFFSET([2]characters!$A$1,0,0,COUNTA([2]characters!$A:$A),MATCH(C$1,[2]characters!$1:$1,0)-MATCH($A$1,[2]characters!$1:$1,0)+1),MATCH(C$1,[2]characters!$1:$1,0)-MATCH($A$1,[2]characters!$1:$1,0)+1,FALSE)</f>
        <v>初期ガチャ</v>
      </c>
      <c r="D165" s="77" t="str">
        <f ca="1">VLOOKUP($A165,OFFSET([2]characters!$A$1,0,0,COUNTA([2]characters!$A:$A),MATCH(D$1,[2]characters!$1:$1,0)-MATCH($A$1,[2]characters!$1:$1,0)+1),MATCH(D$1,[2]characters!$1:$1,0)-MATCH($A$1,[2]characters!$1:$1,0)+1,FALSE)</f>
        <v>アバター</v>
      </c>
      <c r="E165" s="77" t="str">
        <f ca="1">VLOOKUP($A165,OFFSET([2]characters!$A$1,0,0,COUNTA([2]characters!$A:$A),MATCH(E$1,[2]characters!$1:$1,0)-MATCH($A$1,[2]characters!$1:$1,0)+1),MATCH(E$1,[2]characters!$1:$1,0)-MATCH($A$1,[2]characters!$1:$1,0)+1,FALSE)</f>
        <v>可愛い</v>
      </c>
      <c r="F165" s="77" t="str">
        <f ca="1">VLOOKUP($A165,OFFSET([2]characters!$A$1,0,0,COUNTA([2]characters!$A:$A),MATCH(F$1,[2]characters!$1:$1,0)-MATCH($A$1,[2]characters!$1:$1,0)+1),MATCH(F$1,[2]characters!$1:$1,0)-MATCH($A$1,[2]characters!$1:$1,0)+1,FALSE)</f>
        <v>女性</v>
      </c>
      <c r="G165" s="77">
        <f ca="1">VLOOKUP($A165,OFFSET([2]characters!$A$1,0,0,COUNTA([2]characters!$A:$A),MATCH(G$1,[2]characters!$1:$1,0)-MATCH($A$1,[2]characters!$1:$1,0)+1),MATCH(G$1,[2]characters!$1:$1,0)-MATCH($A$1,[2]characters!$1:$1,0)+1,FALSE)</f>
        <v>3</v>
      </c>
      <c r="H165" s="77" t="str">
        <f ca="1">VLOOKUP($A165,OFFSET([2]characters!$A$1,0,0,COUNTA([2]characters!$A:$A),MATCH(H$1,[2]characters!$1:$1,0)-MATCH($A$1,[2]characters!$1:$1,0)+1),MATCH(H$1,[2]characters!$1:$1,0)-MATCH($A$1,[2]characters!$1:$1,0)+1,FALSE)</f>
        <v>PremiumW</v>
      </c>
      <c r="I165" s="77" t="str">
        <f ca="1">VLOOKUP($A165,OFFSET([2]characters!$A$1,0,0,COUNTA([2]characters!$A:$A),MATCH(I$1,[2]characters!$1:$1,0)-MATCH($A$1,[2]characters!$1:$1,0)+1),MATCH(I$1,[2]characters!$1:$1,0)-MATCH($A$1,[2]characters!$1:$1,0)+1,FALSE)</f>
        <v>yellow</v>
      </c>
      <c r="J165" s="14">
        <f ca="1">VLOOKUP(I165,[2]属性!$A:$E,2,FALSE)</f>
        <v>0.98</v>
      </c>
      <c r="K165" s="14">
        <f ca="1">VLOOKUP(I165,[2]属性!$A:$E,3,FALSE)</f>
        <v>1.01</v>
      </c>
      <c r="L165" s="14">
        <f ca="1">VLOOKUP(I165,[2]属性!$A:$E,4,FALSE)</f>
        <v>1</v>
      </c>
      <c r="M165" s="14">
        <f ca="1">VLOOKUP(I165,[2]属性!$A:$E,5,FALSE)</f>
        <v>1.01</v>
      </c>
      <c r="N165" s="14">
        <f ca="1">INDEX(コスト!$A$1:$I$20,MATCH(H165,コスト!$A$1:$A$20,FALSE),MATCH(G165,コスト!$A$1:$I$1,FALSE))</f>
        <v>7</v>
      </c>
      <c r="O165" s="14">
        <f ca="1">INDEX(レベル!$A$1:$I$21,MATCH(H165,レベル!$A$1:$A$21,FALSE),MATCH(G165,レベル!$A$1:$I$1,FALSE))</f>
        <v>40</v>
      </c>
      <c r="P165" s="63">
        <f t="shared" ca="1" si="21"/>
        <v>45</v>
      </c>
      <c r="Q165" s="77" t="str">
        <f ca="1">VLOOKUP($A165,OFFSET([2]characters!$A$1,0,0,COUNTA([2]characters!$A:$A),MATCH(Q$1,[2]characters!$1:$1,0)-MATCH($A$1,[2]characters!$1:$1,0)+1),MATCH(Q$1,[2]characters!$1:$1,0)-MATCH($A$1,[2]characters!$1:$1,0)+1,FALSE)</f>
        <v>technical</v>
      </c>
      <c r="R165" s="8" t="str">
        <f ca="1">VLOOKUP(Q165,[2]character_type_i18n!$A:$H,3,FALSE)</f>
        <v>テクニカルタイプ</v>
      </c>
      <c r="S165" s="14">
        <f ca="1">VLOOKUP(Q165,[2]character_type_i18n!$A:$H,4,FALSE)</f>
        <v>0.9</v>
      </c>
      <c r="T165" s="14">
        <f ca="1">VLOOKUP(Q165,[2]character_type_i18n!$A:$H,5,FALSE)</f>
        <v>0.9</v>
      </c>
      <c r="U165" s="14">
        <f ca="1">VLOOKUP(Q165,[2]character_type_i18n!$A:$H,6,FALSE)</f>
        <v>1</v>
      </c>
      <c r="V165" s="14">
        <f ca="1">VLOOKUP(Q165,[2]character_type_i18n!$A:$H,7,FALSE)</f>
        <v>0.9</v>
      </c>
      <c r="W165" s="77" t="str">
        <f ca="1">VLOOKUP($A165,OFFSET([2]characters!$A$1,0,0,COUNTA([2]characters!$A:$A),MATCH(W$1,[2]characters!$1:$1,0)-MATCH($A$1,[2]characters!$1:$1,0)+1),MATCH(W$1,[2]characters!$1:$1,0)-MATCH($A$1,[2]characters!$1:$1,0)+1,FALSE)</f>
        <v>human</v>
      </c>
      <c r="X165" s="8" t="str">
        <f ca="1">VLOOKUP(W165,[2]character_tribe_i18n!$A:$H,3,FALSE)</f>
        <v>ヒューマン</v>
      </c>
      <c r="Y165" s="77" t="str">
        <f ca="1">VLOOKUP($A165,OFFSET([2]characters!$A$1,0,0,COUNTA([2]characters!$A:$A),MATCH(Y$1,[2]characters!$1:$1,0)-MATCH($A$1,[2]characters!$1:$1,0)+1),MATCH(Y$1,[2]characters!$1:$1,0)-MATCH($A$1,[2]characters!$1:$1,0)+1,FALSE)</f>
        <v>unknown</v>
      </c>
      <c r="Z165" s="8" t="str">
        <f ca="1">VLOOKUP(Y165,[2]character_tribe_i18n!$A:$H,3,FALSE)</f>
        <v>Unknown</v>
      </c>
      <c r="AA165" s="14">
        <f ca="1">VLOOKUP(W165,[2]character_tribe_i18n!$A:$H,4,FALSE)</f>
        <v>0.94</v>
      </c>
      <c r="AB165" s="14">
        <f ca="1">VLOOKUP(W165,[2]character_tribe_i18n!$A:$H,5,FALSE)</f>
        <v>0.99</v>
      </c>
      <c r="AC165" s="14">
        <f ca="1">VLOOKUP(W165,[2]character_tribe_i18n!$A:$H,6,FALSE)</f>
        <v>1</v>
      </c>
      <c r="AD165" s="14">
        <f ca="1">VLOOKUP(W165,[2]character_tribe_i18n!$A:$H,7,FALSE)</f>
        <v>1.07</v>
      </c>
      <c r="AE165" s="12">
        <v>165</v>
      </c>
      <c r="AF165" s="85" t="str">
        <f ca="1">IF(AE165="NULL","",VLOOKUP($AE165,OFFSET([2]characters!$A$1,0,0,COUNTA([2]characters!$A:$A),MATCH(AF$1,[2]characters!$1:$1,0)-MATCH($A$1,[2]characters!$1:$1,0)+1),MATCH(AF$1,[2]characters!$1:$1,0)-MATCH($A$1,[2]characters!$1:$1,0)+1,FALSE))</f>
        <v>イブとたったひとりのトモダチ</v>
      </c>
      <c r="AG165" s="8">
        <f t="shared" ca="1" si="16"/>
        <v>164</v>
      </c>
      <c r="AH165" s="85" t="str">
        <f ca="1">VLOOKUP($AG165,OFFSET([2]characters!$A$1,0,0,COUNTA([2]characters!$A:$A),MATCH(AH$1,[2]characters!$1:$1,0)-MATCH($A$1,[2]characters!$1:$1,0)+1),MATCH(AH$1,[2]characters!$1:$1,0)-MATCH($A$1,[2]characters!$1:$1,0)+1,FALSE)</f>
        <v>イブとトモダチ</v>
      </c>
      <c r="AI165" s="14">
        <f ca="1">IF(AE165="NULL","NULL",VLOOKUP(G165,ビット!$A$2:$B$7,2))</f>
        <v>20000</v>
      </c>
      <c r="AJ165" s="9">
        <v>2</v>
      </c>
      <c r="AK165" s="10" t="str">
        <f t="shared" si="17"/>
        <v>普通</v>
      </c>
      <c r="AL165" s="14" t="str">
        <f ca="1">INDEX(経験値!$A$1:$I$20,MATCH(H165,経験値!$A$1:$A$20,FALSE),MATCH(G165,経験値!$A$1:$I$1,FALSE))</f>
        <v>required_exp_150</v>
      </c>
      <c r="AM165" s="11">
        <f ca="1">VLOOKUP(G165,経験値!$A$27:$B$31,2)</f>
        <v>1500</v>
      </c>
      <c r="AN165" s="21">
        <f ca="1">VLOOKUP(G165,ビット!$G$2:$H$7,2)</f>
        <v>300</v>
      </c>
      <c r="AO165" s="98" t="s">
        <v>181</v>
      </c>
      <c r="AP165" s="97">
        <v>440001</v>
      </c>
      <c r="AQ165" s="77" t="e">
        <f ca="1">VLOOKUP($AP165,OFFSET([1]unit_skills!$A$1,0,0,COUNTA([1]unit_skills!$A:$A),MATCH("name",[1]unit_skills!$1:$1,0)-MATCH($AP$1,[1]unit_skills!$1:$1,0)+1),MATCH("name",[1]unit_skills!$1:$1,0)-MATCH($AP$1,[1]unit_skills!$1:$1,0)+1,FALSE)</f>
        <v>#VALUE!</v>
      </c>
      <c r="AR165" s="77" t="e">
        <f ca="1">VLOOKUP($AP165,OFFSET([1]unit_skills!$A$1,0,0,COUNTA([1]unit_skills!$A:$A),MATCH("comment",[1]unit_skills!$1:$1,0)-MATCH($AP$1,[1]unit_skills!$1:$1,0)+1),MATCH("comment",[1]unit_skills!$1:$1,0)-MATCH($AP$1,[1]unit_skills!$1:$1,0)+1,FALSE)</f>
        <v>#VALUE!</v>
      </c>
      <c r="AS165" s="77" t="e">
        <f ca="1">VLOOKUP($AP165,OFFSET([1]unit_skills!$A$1,0,0,COUNTA([1]unit_skills!$A:$A),MATCH(AS$1,[1]unit_skills!$1:$1,0)-MATCH($AP$1,[1]unit_skills!$1:$1,0)+1),MATCH(AS$1,[1]unit_skills!$1:$1,0)-MATCH($AP$1,[1]unit_skills!$1:$1,0)+1,FALSE)</f>
        <v>#VALUE!</v>
      </c>
      <c r="AT165" s="97">
        <v>114003</v>
      </c>
      <c r="AU165" s="77" t="e">
        <f ca="1">VLOOKUP($AT165,OFFSET([1]crash_skills!$A$1,0,0,COUNTA([1]crash_skills!$A:$A),MATCH("name",[1]crash_skills!$1:$1,0)-MATCH($AT$1,[1]crash_skills!$1:$1,0)+1),MATCH("name",[1]crash_skills!$1:$1,0)-MATCH($AT$1,[1]crash_skills!$1:$1,0)+1,FALSE)</f>
        <v>#VALUE!</v>
      </c>
      <c r="AV165" s="77" t="e">
        <f ca="1">VLOOKUP($AT165,OFFSET([1]crash_skills!$A$1,0,0,COUNTA([1]crash_skills!$A:$A),MATCH("comment",[1]crash_skills!$1:$1,0)-MATCH($AT$1,[1]crash_skills!$1:$1,0)+1),MATCH("comment",[1]crash_skills!$1:$1,0)-MATCH($AT$1,[1]crash_skills!$1:$1,0)+1,FALSE)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65" s="77" t="e">
        <f ca="1">VLOOKUP($AT165,OFFSET([1]crash_skills!$A$1,0,0,COUNTA([1]crash_skills!$A:$A),MATCH(AW$1,[1]crash_skills!$1:$1,0)-MATCH($AT$1,[1]crash_skills!$1:$1,0)+1),MATCH(AW$1,[1]crash_skills!$1:$1,0)-MATCH($AT$1,[1]crash_skills!$1:$1,0)+1,FALSE)</f>
        <v>#VALUE!</v>
      </c>
      <c r="AX165" s="81">
        <f ca="1">VLOOKUP($A165,OFFSET([2]characters!$A$1,0,0,COUNTA([2]characters!$A:$A),MATCH(AX$1,[2]characters!$1:$1,0)-MATCH($A$1,[2]characters!$1:$1,0)+1),MATCH(AX$1,[2]characters!$1:$1,0)-MATCH($A$1,[2]characters!$1:$1,0)+1,FALSE)</f>
        <v>3</v>
      </c>
      <c r="AY165" s="19">
        <v>1</v>
      </c>
      <c r="AZ165" s="19">
        <v>0.8</v>
      </c>
      <c r="BA165" s="19">
        <v>0</v>
      </c>
      <c r="BB165" s="19">
        <v>1.2</v>
      </c>
      <c r="BC165" s="14">
        <f ca="1">INDEX('RC6SV'!$A$1:$G$20,MATCH(H165,'RC6SV'!$A$1:$A$20,FALSE),MATCH(G165,'RC6SV'!$A$1:$G$1,FALSE))</f>
        <v>4800</v>
      </c>
      <c r="BD165" s="63">
        <f t="shared" ca="1" si="18"/>
        <v>4800</v>
      </c>
      <c r="BE165" s="14">
        <f t="shared" ca="1" si="19"/>
        <v>0</v>
      </c>
      <c r="BF165" s="14">
        <f t="shared" ca="1" si="20"/>
        <v>1</v>
      </c>
      <c r="BG165" s="20">
        <f ca="1">IF($BE165&lt;=0,ROUND(BK165*0.5,0), ROUND($BE165*S165*AA165*J165*AY165*0.8*[2]ステータス!$B$2,0))</f>
        <v>995</v>
      </c>
      <c r="BH165" s="20">
        <f ca="1">IF($BE165&lt;=0,ROUND(BL165*0.5,0), ROUND($BE165*T165*AB165*K165*AZ165*0.8*[2]ステータス!$C$2,0))</f>
        <v>519</v>
      </c>
      <c r="BI165" s="20">
        <f ca="1">IF($BE165&lt;=0,ROUND(BM165*0.5,0), ROUND($BE165*U165*AC165*L165*BA165*0.8*[2]ステータス!$D$2,0))</f>
        <v>0</v>
      </c>
      <c r="BJ165" s="20">
        <f ca="1">IF($BE165&lt;=0,ROUND(BN165*0.5,0), ROUND($BE165*V165*AD165*M165*BB165*0.8*[2]ステータス!$E$2,0))</f>
        <v>701</v>
      </c>
      <c r="BK165" s="14">
        <f ca="1">ROUND(BD165*S165*AA165*J165*AY165*[2]ステータス!$B$2,0)</f>
        <v>1990</v>
      </c>
      <c r="BL165" s="14">
        <f ca="1">ROUND(BD165*T165*AB165*K165*AZ165*[2]ステータス!$C$2,0)</f>
        <v>1037</v>
      </c>
      <c r="BM165" s="14">
        <f ca="1">ROUND(BD165*U165*AC165*L165*BA165*[2]ステータス!$D$2,0)</f>
        <v>0</v>
      </c>
      <c r="BN165" s="14">
        <f ca="1">ROUND(BD165*V165*AD165*M165*BB165*[2]ステータス!$E$2,0)</f>
        <v>1401</v>
      </c>
      <c r="BO165" s="13">
        <v>0</v>
      </c>
      <c r="BP165" s="13">
        <v>1</v>
      </c>
      <c r="BQ165" s="13" t="s">
        <v>102</v>
      </c>
      <c r="BR165" s="13">
        <f ca="1">VLOOKUP(H165,ghosts_label!$A$2:$B$19,2,FALSE)</f>
        <v>500</v>
      </c>
    </row>
    <row r="166" spans="1:70" ht="21" customHeight="1" x14ac:dyDescent="0.15">
      <c r="A166" s="14">
        <f t="shared" ca="1" si="15"/>
        <v>165</v>
      </c>
      <c r="B166" s="77" t="str">
        <f ca="1">VLOOKUP($A166,OFFSET([2]characters!$A$1,0,0,COUNTA([2]characters!$A:$A),MATCH(B$1,[2]characters!$1:$1,0)-MATCH($A$1,[2]characters!$1:$1,0)+1),MATCH(B$1,[2]characters!$1:$1,0)-MATCH($A$1,[2]characters!$1:$1,0)+1,FALSE)</f>
        <v>イブとたったひとりのトモダチ</v>
      </c>
      <c r="C166" s="77" t="str">
        <f ca="1">VLOOKUP($A166,OFFSET([2]characters!$A$1,0,0,COUNTA([2]characters!$A:$A),MATCH(C$1,[2]characters!$1:$1,0)-MATCH($A$1,[2]characters!$1:$1,0)+1),MATCH(C$1,[2]characters!$1:$1,0)-MATCH($A$1,[2]characters!$1:$1,0)+1,FALSE)</f>
        <v>初期ガチャ</v>
      </c>
      <c r="D166" s="77" t="str">
        <f ca="1">VLOOKUP($A166,OFFSET([2]characters!$A$1,0,0,COUNTA([2]characters!$A:$A),MATCH(D$1,[2]characters!$1:$1,0)-MATCH($A$1,[2]characters!$1:$1,0)+1),MATCH(D$1,[2]characters!$1:$1,0)-MATCH($A$1,[2]characters!$1:$1,0)+1,FALSE)</f>
        <v>アバター</v>
      </c>
      <c r="E166" s="77" t="str">
        <f ca="1">VLOOKUP($A166,OFFSET([2]characters!$A$1,0,0,COUNTA([2]characters!$A:$A),MATCH(E$1,[2]characters!$1:$1,0)-MATCH($A$1,[2]characters!$1:$1,0)+1),MATCH(E$1,[2]characters!$1:$1,0)-MATCH($A$1,[2]characters!$1:$1,0)+1,FALSE)</f>
        <v>可愛い</v>
      </c>
      <c r="F166" s="77" t="str">
        <f ca="1">VLOOKUP($A166,OFFSET([2]characters!$A$1,0,0,COUNTA([2]characters!$A:$A),MATCH(F$1,[2]characters!$1:$1,0)-MATCH($A$1,[2]characters!$1:$1,0)+1),MATCH(F$1,[2]characters!$1:$1,0)-MATCH($A$1,[2]characters!$1:$1,0)+1,FALSE)</f>
        <v>女性</v>
      </c>
      <c r="G166" s="77">
        <f ca="1">VLOOKUP($A166,OFFSET([2]characters!$A$1,0,0,COUNTA([2]characters!$A:$A),MATCH(G$1,[2]characters!$1:$1,0)-MATCH($A$1,[2]characters!$1:$1,0)+1),MATCH(G$1,[2]characters!$1:$1,0)-MATCH($A$1,[2]characters!$1:$1,0)+1,FALSE)</f>
        <v>4</v>
      </c>
      <c r="H166" s="77" t="str">
        <f ca="1">VLOOKUP($A166,OFFSET([2]characters!$A$1,0,0,COUNTA([2]characters!$A:$A),MATCH(H$1,[2]characters!$1:$1,0)-MATCH($A$1,[2]characters!$1:$1,0)+1),MATCH(H$1,[2]characters!$1:$1,0)-MATCH($A$1,[2]characters!$1:$1,0)+1,FALSE)</f>
        <v>PremiumW</v>
      </c>
      <c r="I166" s="77" t="str">
        <f ca="1">VLOOKUP($A166,OFFSET([2]characters!$A$1,0,0,COUNTA([2]characters!$A:$A),MATCH(I$1,[2]characters!$1:$1,0)-MATCH($A$1,[2]characters!$1:$1,0)+1),MATCH(I$1,[2]characters!$1:$1,0)-MATCH($A$1,[2]characters!$1:$1,0)+1,FALSE)</f>
        <v>yellow</v>
      </c>
      <c r="J166" s="14">
        <f ca="1">VLOOKUP(I166,[2]属性!$A:$E,2,FALSE)</f>
        <v>0.98</v>
      </c>
      <c r="K166" s="14">
        <f ca="1">VLOOKUP(I166,[2]属性!$A:$E,3,FALSE)</f>
        <v>1.01</v>
      </c>
      <c r="L166" s="14">
        <f ca="1">VLOOKUP(I166,[2]属性!$A:$E,4,FALSE)</f>
        <v>1</v>
      </c>
      <c r="M166" s="14">
        <f ca="1">VLOOKUP(I166,[2]属性!$A:$E,5,FALSE)</f>
        <v>1.01</v>
      </c>
      <c r="N166" s="14">
        <f ca="1">INDEX(コスト!$A$1:$I$20,MATCH(H166,コスト!$A$1:$A$20,FALSE),MATCH(G166,コスト!$A$1:$I$1,FALSE))</f>
        <v>16</v>
      </c>
      <c r="O166" s="14">
        <f ca="1">INDEX(レベル!$A$1:$I$21,MATCH(H166,レベル!$A$1:$A$21,FALSE),MATCH(G166,レベル!$A$1:$I$1,FALSE))</f>
        <v>60</v>
      </c>
      <c r="P166" s="63">
        <f t="shared" ca="1" si="21"/>
        <v>60</v>
      </c>
      <c r="Q166" s="77" t="str">
        <f ca="1">VLOOKUP($A166,OFFSET([2]characters!$A$1,0,0,COUNTA([2]characters!$A:$A),MATCH(Q$1,[2]characters!$1:$1,0)-MATCH($A$1,[2]characters!$1:$1,0)+1),MATCH(Q$1,[2]characters!$1:$1,0)-MATCH($A$1,[2]characters!$1:$1,0)+1,FALSE)</f>
        <v>technical</v>
      </c>
      <c r="R166" s="8" t="str">
        <f ca="1">VLOOKUP(Q166,[2]character_type_i18n!$A:$H,3,FALSE)</f>
        <v>テクニカルタイプ</v>
      </c>
      <c r="S166" s="14">
        <f ca="1">VLOOKUP(Q166,[2]character_type_i18n!$A:$H,4,FALSE)</f>
        <v>0.9</v>
      </c>
      <c r="T166" s="14">
        <f ca="1">VLOOKUP(Q166,[2]character_type_i18n!$A:$H,5,FALSE)</f>
        <v>0.9</v>
      </c>
      <c r="U166" s="14">
        <f ca="1">VLOOKUP(Q166,[2]character_type_i18n!$A:$H,6,FALSE)</f>
        <v>1</v>
      </c>
      <c r="V166" s="14">
        <f ca="1">VLOOKUP(Q166,[2]character_type_i18n!$A:$H,7,FALSE)</f>
        <v>0.9</v>
      </c>
      <c r="W166" s="77" t="str">
        <f ca="1">VLOOKUP($A166,OFFSET([2]characters!$A$1,0,0,COUNTA([2]characters!$A:$A),MATCH(W$1,[2]characters!$1:$1,0)-MATCH($A$1,[2]characters!$1:$1,0)+1),MATCH(W$1,[2]characters!$1:$1,0)-MATCH($A$1,[2]characters!$1:$1,0)+1,FALSE)</f>
        <v>human</v>
      </c>
      <c r="X166" s="8" t="str">
        <f ca="1">VLOOKUP(W166,[2]character_tribe_i18n!$A:$H,3,FALSE)</f>
        <v>ヒューマン</v>
      </c>
      <c r="Y166" s="77" t="str">
        <f ca="1">VLOOKUP($A166,OFFSET([2]characters!$A$1,0,0,COUNTA([2]characters!$A:$A),MATCH(Y$1,[2]characters!$1:$1,0)-MATCH($A$1,[2]characters!$1:$1,0)+1),MATCH(Y$1,[2]characters!$1:$1,0)-MATCH($A$1,[2]characters!$1:$1,0)+1,FALSE)</f>
        <v>unknown</v>
      </c>
      <c r="Z166" s="8" t="str">
        <f ca="1">VLOOKUP(Y166,[2]character_tribe_i18n!$A:$H,3,FALSE)</f>
        <v>Unknown</v>
      </c>
      <c r="AA166" s="14">
        <f ca="1">VLOOKUP(W166,[2]character_tribe_i18n!$A:$H,4,FALSE)</f>
        <v>0.94</v>
      </c>
      <c r="AB166" s="14">
        <f ca="1">VLOOKUP(W166,[2]character_tribe_i18n!$A:$H,5,FALSE)</f>
        <v>0.99</v>
      </c>
      <c r="AC166" s="14">
        <f ca="1">VLOOKUP(W166,[2]character_tribe_i18n!$A:$H,6,FALSE)</f>
        <v>1</v>
      </c>
      <c r="AD166" s="14">
        <f ca="1">VLOOKUP(W166,[2]character_tribe_i18n!$A:$H,7,FALSE)</f>
        <v>1.07</v>
      </c>
      <c r="AE166" s="12" t="s">
        <v>102</v>
      </c>
      <c r="AF166" s="85" t="str">
        <f ca="1">IF(AE166="NULL","",VLOOKUP($AE166,OFFSET([2]characters!$A$1,0,0,COUNTA([2]characters!$A:$A),MATCH(AF$1,[2]characters!$1:$1,0)-MATCH($A$1,[2]characters!$1:$1,0)+1),MATCH(AF$1,[2]characters!$1:$1,0)-MATCH($A$1,[2]characters!$1:$1,0)+1,FALSE))</f>
        <v/>
      </c>
      <c r="AG166" s="8">
        <f t="shared" ca="1" si="16"/>
        <v>164</v>
      </c>
      <c r="AH166" s="85" t="str">
        <f ca="1">VLOOKUP($AG166,OFFSET([2]characters!$A$1,0,0,COUNTA([2]characters!$A:$A),MATCH(AH$1,[2]characters!$1:$1,0)-MATCH($A$1,[2]characters!$1:$1,0)+1),MATCH(AH$1,[2]characters!$1:$1,0)-MATCH($A$1,[2]characters!$1:$1,0)+1,FALSE)</f>
        <v>イブとトモダチ</v>
      </c>
      <c r="AI166" s="14" t="str">
        <f>IF(AE166="NULL","NULL",VLOOKUP(G166,ビット!$A$2:$B$7,2))</f>
        <v>NULL</v>
      </c>
      <c r="AJ166" s="9">
        <v>2</v>
      </c>
      <c r="AK166" s="10" t="str">
        <f t="shared" si="17"/>
        <v>普通</v>
      </c>
      <c r="AL166" s="14" t="str">
        <f ca="1">INDEX(経験値!$A$1:$I$20,MATCH(H166,経験値!$A$1:$A$20,FALSE),MATCH(G166,経験値!$A$1:$I$1,FALSE))</f>
        <v>required_exp_150</v>
      </c>
      <c r="AM166" s="11">
        <f ca="1">VLOOKUP(G166,経験値!$A$27:$B$31,2)</f>
        <v>3400</v>
      </c>
      <c r="AN166" s="21">
        <f ca="1">VLOOKUP(G166,ビット!$G$2:$H$7,2)</f>
        <v>600</v>
      </c>
      <c r="AO166" s="98" t="s">
        <v>181</v>
      </c>
      <c r="AP166" s="97">
        <v>440001</v>
      </c>
      <c r="AQ166" s="77" t="e">
        <f ca="1">VLOOKUP($AP166,OFFSET([1]unit_skills!$A$1,0,0,COUNTA([1]unit_skills!$A:$A),MATCH("name",[1]unit_skills!$1:$1,0)-MATCH($AP$1,[1]unit_skills!$1:$1,0)+1),MATCH("name",[1]unit_skills!$1:$1,0)-MATCH($AP$1,[1]unit_skills!$1:$1,0)+1,FALSE)</f>
        <v>#VALUE!</v>
      </c>
      <c r="AR166" s="77" t="e">
        <f ca="1">VLOOKUP($AP166,OFFSET([1]unit_skills!$A$1,0,0,COUNTA([1]unit_skills!$A:$A),MATCH("comment",[1]unit_skills!$1:$1,0)-MATCH($AP$1,[1]unit_skills!$1:$1,0)+1),MATCH("comment",[1]unit_skills!$1:$1,0)-MATCH($AP$1,[1]unit_skills!$1:$1,0)+1,FALSE)</f>
        <v>#VALUE!</v>
      </c>
      <c r="AS166" s="77" t="e">
        <f ca="1">VLOOKUP($AP166,OFFSET([1]unit_skills!$A$1,0,0,COUNTA([1]unit_skills!$A:$A),MATCH(AS$1,[1]unit_skills!$1:$1,0)-MATCH($AP$1,[1]unit_skills!$1:$1,0)+1),MATCH(AS$1,[1]unit_skills!$1:$1,0)-MATCH($AP$1,[1]unit_skills!$1:$1,0)+1,FALSE)</f>
        <v>#VALUE!</v>
      </c>
      <c r="AT166" s="97">
        <v>114011</v>
      </c>
      <c r="AU166" s="77" t="e">
        <f ca="1">VLOOKUP($AT166,OFFSET([1]crash_skills!$A$1,0,0,COUNTA([1]crash_skills!$A:$A),MATCH("name",[1]crash_skills!$1:$1,0)-MATCH($AT$1,[1]crash_skills!$1:$1,0)+1),MATCH("name",[1]crash_skills!$1:$1,0)-MATCH($AT$1,[1]crash_skills!$1:$1,0)+1,FALSE)</f>
        <v>#VALUE!</v>
      </c>
      <c r="AV166" s="77" t="e">
        <f ca="1">VLOOKUP($AT166,OFFSET([1]crash_skills!$A$1,0,0,COUNTA([1]crash_skills!$A:$A),MATCH("comment",[1]crash_skills!$1:$1,0)-MATCH($AT$1,[1]crash_skills!$1:$1,0)+1),MATCH("comment",[1]crash_skills!$1:$1,0)-MATCH($AT$1,[1]crash_skills!$1:$1,0)+1,FALSE)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66" s="77" t="e">
        <f ca="1">VLOOKUP($AT166,OFFSET([1]crash_skills!$A$1,0,0,COUNTA([1]crash_skills!$A:$A),MATCH(AW$1,[1]crash_skills!$1:$1,0)-MATCH($AT$1,[1]crash_skills!$1:$1,0)+1),MATCH(AW$1,[1]crash_skills!$1:$1,0)-MATCH($AT$1,[1]crash_skills!$1:$1,0)+1,FALSE)</f>
        <v>#VALUE!</v>
      </c>
      <c r="AX166" s="81">
        <f ca="1">VLOOKUP($A166,OFFSET([2]characters!$A$1,0,0,COUNTA([2]characters!$A:$A),MATCH(AX$1,[2]characters!$1:$1,0)-MATCH($A$1,[2]characters!$1:$1,0)+1),MATCH(AX$1,[2]characters!$1:$1,0)-MATCH($A$1,[2]characters!$1:$1,0)+1,FALSE)</f>
        <v>3</v>
      </c>
      <c r="AY166" s="19">
        <v>1</v>
      </c>
      <c r="AZ166" s="19">
        <v>0.8</v>
      </c>
      <c r="BA166" s="19">
        <v>0</v>
      </c>
      <c r="BB166" s="19">
        <v>1.2</v>
      </c>
      <c r="BC166" s="14">
        <f ca="1">INDEX('RC6SV'!$A$1:$G$20,MATCH(H166,'RC6SV'!$A$1:$A$20,FALSE),MATCH(G166,'RC6SV'!$A$1:$G$1,FALSE))</f>
        <v>6600</v>
      </c>
      <c r="BD166" s="63">
        <f t="shared" ca="1" si="18"/>
        <v>6600</v>
      </c>
      <c r="BE166" s="14">
        <f t="shared" ca="1" si="19"/>
        <v>4800</v>
      </c>
      <c r="BF166" s="14">
        <f t="shared" ca="1" si="20"/>
        <v>1</v>
      </c>
      <c r="BG166" s="20">
        <f ca="1">IF($BE166&lt;=0,ROUND(BK166*0.5,0), ROUND($BE166*S166*AA166*J166*AY166*0.8*[2]ステータス!$B$2,0))</f>
        <v>1592</v>
      </c>
      <c r="BH166" s="20">
        <f ca="1">IF($BE166&lt;=0,ROUND(BL166*0.5,0), ROUND($BE166*T166*AB166*K166*AZ166*0.8*[2]ステータス!$C$2,0))</f>
        <v>829</v>
      </c>
      <c r="BI166" s="20">
        <f ca="1">IF($BE166&lt;=0,ROUND(BM166*0.5,0), ROUND($BE166*U166*AC166*L166*BA166*0.8*[2]ステータス!$D$2,0))</f>
        <v>0</v>
      </c>
      <c r="BJ166" s="20">
        <f ca="1">IF($BE166&lt;=0,ROUND(BN166*0.5,0), ROUND($BE166*V166*AD166*M166*BB166*0.8*[2]ステータス!$E$2,0))</f>
        <v>1120</v>
      </c>
      <c r="BK166" s="14">
        <f ca="1">ROUND(BD166*S166*AA166*J166*AY166*[2]ステータス!$B$2,0)</f>
        <v>2736</v>
      </c>
      <c r="BL166" s="14">
        <f ca="1">ROUND(BD166*T166*AB166*K166*AZ166*[2]ステータス!$C$2,0)</f>
        <v>1425</v>
      </c>
      <c r="BM166" s="14">
        <f ca="1">ROUND(BD166*U166*AC166*L166*BA166*[2]ステータス!$D$2,0)</f>
        <v>0</v>
      </c>
      <c r="BN166" s="14">
        <f ca="1">ROUND(BD166*V166*AD166*M166*BB166*[2]ステータス!$E$2,0)</f>
        <v>1926</v>
      </c>
      <c r="BO166" s="13">
        <v>0</v>
      </c>
      <c r="BP166" s="13">
        <v>1</v>
      </c>
      <c r="BQ166" s="13" t="s">
        <v>102</v>
      </c>
      <c r="BR166" s="13">
        <f ca="1">VLOOKUP(H166,ghosts_label!$A$2:$B$19,2,FALSE)</f>
        <v>500</v>
      </c>
    </row>
    <row r="167" spans="1:70" ht="21" customHeight="1" x14ac:dyDescent="0.15">
      <c r="A167" s="14">
        <f t="shared" ca="1" si="15"/>
        <v>166</v>
      </c>
      <c r="B167" s="77" t="str">
        <f ca="1">VLOOKUP($A167,OFFSET([2]characters!$A$1,0,0,COUNTA([2]characters!$A:$A),MATCH(B$1,[2]characters!$1:$1,0)-MATCH($A$1,[2]characters!$1:$1,0)+1),MATCH(B$1,[2]characters!$1:$1,0)-MATCH($A$1,[2]characters!$1:$1,0)+1,FALSE)</f>
        <v>ベリアル</v>
      </c>
      <c r="C167" s="77" t="str">
        <f ca="1">VLOOKUP($A167,OFFSET([2]characters!$A$1,0,0,COUNTA([2]characters!$A:$A),MATCH(C$1,[2]characters!$1:$1,0)-MATCH($A$1,[2]characters!$1:$1,0)+1),MATCH(C$1,[2]characters!$1:$1,0)-MATCH($A$1,[2]characters!$1:$1,0)+1,FALSE)</f>
        <v>初期ガチャ</v>
      </c>
      <c r="D167" s="77" t="str">
        <f ca="1">VLOOKUP($A167,OFFSET([2]characters!$A$1,0,0,COUNTA([2]characters!$A:$A),MATCH(D$1,[2]characters!$1:$1,0)-MATCH($A$1,[2]characters!$1:$1,0)+1),MATCH(D$1,[2]characters!$1:$1,0)-MATCH($A$1,[2]characters!$1:$1,0)+1,FALSE)</f>
        <v>執行者</v>
      </c>
      <c r="E167" s="77" t="str">
        <f ca="1">VLOOKUP($A167,OFFSET([2]characters!$A$1,0,0,COUNTA([2]characters!$A:$A),MATCH(E$1,[2]characters!$1:$1,0)-MATCH($A$1,[2]characters!$1:$1,0)+1),MATCH(E$1,[2]characters!$1:$1,0)-MATCH($A$1,[2]characters!$1:$1,0)+1,FALSE)</f>
        <v>格好いい</v>
      </c>
      <c r="F167" s="77" t="str">
        <f ca="1">VLOOKUP($A167,OFFSET([2]characters!$A$1,0,0,COUNTA([2]characters!$A:$A),MATCH(F$1,[2]characters!$1:$1,0)-MATCH($A$1,[2]characters!$1:$1,0)+1),MATCH(F$1,[2]characters!$1:$1,0)-MATCH($A$1,[2]characters!$1:$1,0)+1,FALSE)</f>
        <v>男性</v>
      </c>
      <c r="G167" s="77">
        <f ca="1">VLOOKUP($A167,OFFSET([2]characters!$A$1,0,0,COUNTA([2]characters!$A:$A),MATCH(G$1,[2]characters!$1:$1,0)-MATCH($A$1,[2]characters!$1:$1,0)+1),MATCH(G$1,[2]characters!$1:$1,0)-MATCH($A$1,[2]characters!$1:$1,0)+1,FALSE)</f>
        <v>3</v>
      </c>
      <c r="H167" s="77" t="str">
        <f ca="1">VLOOKUP($A167,OFFSET([2]characters!$A$1,0,0,COUNTA([2]characters!$A:$A),MATCH(H$1,[2]characters!$1:$1,0)-MATCH($A$1,[2]characters!$1:$1,0)+1),MATCH(H$1,[2]characters!$1:$1,0)-MATCH($A$1,[2]characters!$1:$1,0)+1,FALSE)</f>
        <v>PremiumN</v>
      </c>
      <c r="I167" s="77" t="str">
        <f ca="1">VLOOKUP($A167,OFFSET([2]characters!$A$1,0,0,COUNTA([2]characters!$A:$A),MATCH(I$1,[2]characters!$1:$1,0)-MATCH($A$1,[2]characters!$1:$1,0)+1),MATCH(I$1,[2]characters!$1:$1,0)-MATCH($A$1,[2]characters!$1:$1,0)+1,FALSE)</f>
        <v>red</v>
      </c>
      <c r="J167" s="14">
        <f ca="1">VLOOKUP(I167,[2]属性!$A:$E,2,FALSE)</f>
        <v>1</v>
      </c>
      <c r="K167" s="14">
        <f ca="1">VLOOKUP(I167,[2]属性!$A:$E,3,FALSE)</f>
        <v>1.02</v>
      </c>
      <c r="L167" s="14">
        <f ca="1">VLOOKUP(I167,[2]属性!$A:$E,4,FALSE)</f>
        <v>1</v>
      </c>
      <c r="M167" s="14">
        <f ca="1">VLOOKUP(I167,[2]属性!$A:$E,5,FALSE)</f>
        <v>0.98</v>
      </c>
      <c r="N167" s="14">
        <f ca="1">INDEX(コスト!$A$1:$I$20,MATCH(H167,コスト!$A$1:$A$20,FALSE),MATCH(G167,コスト!$A$1:$I$1,FALSE))</f>
        <v>9</v>
      </c>
      <c r="O167" s="14">
        <f ca="1">INDEX(レベル!$A$1:$I$21,MATCH(H167,レベル!$A$1:$A$21,FALSE),MATCH(G167,レベル!$A$1:$I$1,FALSE))</f>
        <v>40</v>
      </c>
      <c r="P167" s="63">
        <f t="shared" ca="1" si="21"/>
        <v>45</v>
      </c>
      <c r="Q167" s="77" t="str">
        <f ca="1">VLOOKUP($A167,OFFSET([2]characters!$A$1,0,0,COUNTA([2]characters!$A:$A),MATCH(Q$1,[2]characters!$1:$1,0)-MATCH($A$1,[2]characters!$1:$1,0)+1),MATCH(Q$1,[2]characters!$1:$1,0)-MATCH($A$1,[2]characters!$1:$1,0)+1,FALSE)</f>
        <v>attack</v>
      </c>
      <c r="R167" s="8" t="str">
        <f ca="1">VLOOKUP(Q167,[2]character_type_i18n!$A:$H,3,FALSE)</f>
        <v>攻撃タイプ</v>
      </c>
      <c r="S167" s="14">
        <f ca="1">VLOOKUP(Q167,[2]character_type_i18n!$A:$H,4,FALSE)</f>
        <v>1</v>
      </c>
      <c r="T167" s="14">
        <f ca="1">VLOOKUP(Q167,[2]character_type_i18n!$A:$H,5,FALSE)</f>
        <v>1.33</v>
      </c>
      <c r="U167" s="14">
        <f ca="1">VLOOKUP(Q167,[2]character_type_i18n!$A:$H,6,FALSE)</f>
        <v>1</v>
      </c>
      <c r="V167" s="14">
        <f ca="1">VLOOKUP(Q167,[2]character_type_i18n!$A:$H,7,FALSE)</f>
        <v>0.67</v>
      </c>
      <c r="W167" s="77" t="str">
        <f ca="1">VLOOKUP($A167,OFFSET([2]characters!$A$1,0,0,COUNTA([2]characters!$A:$A),MATCH(W$1,[2]characters!$1:$1,0)-MATCH($A$1,[2]characters!$1:$1,0)+1),MATCH(W$1,[2]characters!$1:$1,0)-MATCH($A$1,[2]characters!$1:$1,0)+1,FALSE)</f>
        <v>god</v>
      </c>
      <c r="X167" s="8" t="str">
        <f ca="1">VLOOKUP(W167,[2]character_tribe_i18n!$A:$H,3,FALSE)</f>
        <v>ゴッド</v>
      </c>
      <c r="Y167" s="77" t="str">
        <f ca="1">VLOOKUP($A167,OFFSET([2]characters!$A$1,0,0,COUNTA([2]characters!$A:$A),MATCH(Y$1,[2]characters!$1:$1,0)-MATCH($A$1,[2]characters!$1:$1,0)+1),MATCH(Y$1,[2]characters!$1:$1,0)-MATCH($A$1,[2]characters!$1:$1,0)+1,FALSE)</f>
        <v>none</v>
      </c>
      <c r="Z167" s="8" t="str">
        <f ca="1">VLOOKUP(Y167,[2]character_tribe_i18n!$A:$H,3,FALSE)</f>
        <v>種族なし</v>
      </c>
      <c r="AA167" s="14">
        <f ca="1">VLOOKUP(W167,[2]character_tribe_i18n!$A:$H,4,FALSE)</f>
        <v>0.96</v>
      </c>
      <c r="AB167" s="14">
        <f ca="1">VLOOKUP(W167,[2]character_tribe_i18n!$A:$H,5,FALSE)</f>
        <v>1.02</v>
      </c>
      <c r="AC167" s="14">
        <f ca="1">VLOOKUP(W167,[2]character_tribe_i18n!$A:$H,6,FALSE)</f>
        <v>1</v>
      </c>
      <c r="AD167" s="14">
        <f ca="1">VLOOKUP(W167,[2]character_tribe_i18n!$A:$H,7,FALSE)</f>
        <v>1.02</v>
      </c>
      <c r="AE167" s="12">
        <v>167</v>
      </c>
      <c r="AF167" s="85" t="str">
        <f ca="1">IF(AE167="NULL","",VLOOKUP($AE167,OFFSET([2]characters!$A$1,0,0,COUNTA([2]characters!$A:$A),MATCH(AF$1,[2]characters!$1:$1,0)-MATCH($A$1,[2]characters!$1:$1,0)+1),MATCH(AF$1,[2]characters!$1:$1,0)-MATCH($A$1,[2]characters!$1:$1,0)+1,FALSE))</f>
        <v>逆徒 ベリアル</v>
      </c>
      <c r="AG167" s="8">
        <f t="shared" ca="1" si="16"/>
        <v>166</v>
      </c>
      <c r="AH167" s="85" t="str">
        <f ca="1">VLOOKUP($AG167,OFFSET([2]characters!$A$1,0,0,COUNTA([2]characters!$A:$A),MATCH(AH$1,[2]characters!$1:$1,0)-MATCH($A$1,[2]characters!$1:$1,0)+1),MATCH(AH$1,[2]characters!$1:$1,0)-MATCH($A$1,[2]characters!$1:$1,0)+1,FALSE)</f>
        <v>ベリアル</v>
      </c>
      <c r="AI167" s="14">
        <f ca="1">IF(AE167="NULL","NULL",VLOOKUP(G167,ビット!$A$2:$B$7,2))</f>
        <v>20000</v>
      </c>
      <c r="AJ167" s="9">
        <v>2</v>
      </c>
      <c r="AK167" s="10" t="str">
        <f t="shared" si="17"/>
        <v>普通</v>
      </c>
      <c r="AL167" s="14" t="str">
        <f ca="1">INDEX(経験値!$A$1:$I$20,MATCH(H167,経験値!$A$1:$A$20,FALSE),MATCH(G167,経験値!$A$1:$I$1,FALSE))</f>
        <v>required_exp_200</v>
      </c>
      <c r="AM167" s="11">
        <f ca="1">VLOOKUP(G167,経験値!$A$27:$B$31,2)</f>
        <v>1500</v>
      </c>
      <c r="AN167" s="21">
        <f ca="1">VLOOKUP(G167,ビット!$G$2:$H$7,2)</f>
        <v>300</v>
      </c>
      <c r="AO167" s="98" t="s">
        <v>185</v>
      </c>
      <c r="AP167" s="97">
        <v>111004</v>
      </c>
      <c r="AQ167" s="77" t="e">
        <f ca="1">VLOOKUP($AP167,OFFSET([1]unit_skills!$A$1,0,0,COUNTA([1]unit_skills!$A:$A),MATCH("name",[1]unit_skills!$1:$1,0)-MATCH($AP$1,[1]unit_skills!$1:$1,0)+1),MATCH("name",[1]unit_skills!$1:$1,0)-MATCH($AP$1,[1]unit_skills!$1:$1,0)+1,FALSE)</f>
        <v>#VALUE!</v>
      </c>
      <c r="AR167" s="77" t="e">
        <f ca="1">VLOOKUP($AP167,OFFSET([1]unit_skills!$A$1,0,0,COUNTA([1]unit_skills!$A:$A),MATCH("comment",[1]unit_skills!$1:$1,0)-MATCH($AP$1,[1]unit_skills!$1:$1,0)+1),MATCH("comment",[1]unit_skills!$1:$1,0)-MATCH($AP$1,[1]unit_skills!$1:$1,0)+1,FALSE)</f>
        <v>#VALUE!</v>
      </c>
      <c r="AS167" s="77" t="e">
        <f ca="1">VLOOKUP($AP167,OFFSET([1]unit_skills!$A$1,0,0,COUNTA([1]unit_skills!$A:$A),MATCH(AS$1,[1]unit_skills!$1:$1,0)-MATCH($AP$1,[1]unit_skills!$1:$1,0)+1),MATCH(AS$1,[1]unit_skills!$1:$1,0)-MATCH($AP$1,[1]unit_skills!$1:$1,0)+1,FALSE)</f>
        <v>#VALUE!</v>
      </c>
      <c r="AT167" s="97">
        <v>121203</v>
      </c>
      <c r="AU167" s="77" t="e">
        <f ca="1">VLOOKUP($AT167,OFFSET([1]crash_skills!$A$1,0,0,COUNTA([1]crash_skills!$A:$A),MATCH("name",[1]crash_skills!$1:$1,0)-MATCH($AT$1,[1]crash_skills!$1:$1,0)+1),MATCH("name",[1]crash_skills!$1:$1,0)-MATCH($AT$1,[1]crash_skills!$1:$1,0)+1,FALSE)</f>
        <v>#VALUE!</v>
      </c>
      <c r="AV167" s="77" t="e">
        <f ca="1">VLOOKUP($AT167,OFFSET([1]crash_skills!$A$1,0,0,COUNTA([1]crash_skills!$A:$A),MATCH("comment",[1]crash_skills!$1:$1,0)-MATCH($AT$1,[1]crash_skills!$1:$1,0)+1),MATCH("comment",[1]crash_skills!$1:$1,0)-MATCH($AT$1,[1]crash_skills!$1:$1,0)+1,FALSE)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67" s="77" t="e">
        <f ca="1">VLOOKUP($AT167,OFFSET([1]crash_skills!$A$1,0,0,COUNTA([1]crash_skills!$A:$A),MATCH(AW$1,[1]crash_skills!$1:$1,0)-MATCH($AT$1,[1]crash_skills!$1:$1,0)+1),MATCH(AW$1,[1]crash_skills!$1:$1,0)-MATCH($AT$1,[1]crash_skills!$1:$1,0)+1,FALSE)</f>
        <v>#VALUE!</v>
      </c>
      <c r="AX167" s="81">
        <f ca="1">VLOOKUP($A167,OFFSET([2]characters!$A$1,0,0,COUNTA([2]characters!$A:$A),MATCH(AX$1,[2]characters!$1:$1,0)-MATCH($A$1,[2]characters!$1:$1,0)+1),MATCH(AX$1,[2]characters!$1:$1,0)-MATCH($A$1,[2]characters!$1:$1,0)+1,FALSE)</f>
        <v>3</v>
      </c>
      <c r="AY167" s="19">
        <v>1</v>
      </c>
      <c r="AZ167" s="19">
        <v>1</v>
      </c>
      <c r="BA167" s="19">
        <v>0</v>
      </c>
      <c r="BB167" s="19">
        <v>1</v>
      </c>
      <c r="BC167" s="14">
        <f ca="1">INDEX('RC6SV'!$A$1:$G$20,MATCH(H167,'RC6SV'!$A$1:$A$20,FALSE),MATCH(G167,'RC6SV'!$A$1:$G$1,FALSE))</f>
        <v>4900</v>
      </c>
      <c r="BD167" s="63">
        <f t="shared" ca="1" si="18"/>
        <v>4900</v>
      </c>
      <c r="BE167" s="14">
        <f t="shared" ca="1" si="19"/>
        <v>0</v>
      </c>
      <c r="BF167" s="14">
        <f t="shared" ca="1" si="20"/>
        <v>1</v>
      </c>
      <c r="BG167" s="20">
        <f ca="1">IF($BE167&lt;=0,ROUND(BK167*0.5,0), ROUND($BE167*S167*AA167*J167*AY167*0.8*[2]ステータス!$B$2,0))</f>
        <v>1176</v>
      </c>
      <c r="BH167" s="20">
        <f ca="1">IF($BE167&lt;=0,ROUND(BL167*0.5,0), ROUND($BE167*T167*AB167*K167*AZ167*0.8*[2]ステータス!$C$2,0))</f>
        <v>1017</v>
      </c>
      <c r="BI167" s="20">
        <f ca="1">IF($BE167&lt;=0,ROUND(BM167*0.5,0), ROUND($BE167*U167*AC167*L167*BA167*0.8*[2]ステータス!$D$2,0))</f>
        <v>0</v>
      </c>
      <c r="BJ167" s="20">
        <f ca="1">IF($BE167&lt;=0,ROUND(BN167*0.5,0), ROUND($BE167*V167*AD167*M167*BB167*0.8*[2]ステータス!$E$2,0))</f>
        <v>410</v>
      </c>
      <c r="BK167" s="14">
        <f ca="1">ROUND(BD167*S167*AA167*J167*AY167*[2]ステータス!$B$2,0)</f>
        <v>2352</v>
      </c>
      <c r="BL167" s="14">
        <f ca="1">ROUND(BD167*T167*AB167*K167*AZ167*[2]ステータス!$C$2,0)</f>
        <v>2034</v>
      </c>
      <c r="BM167" s="14">
        <f ca="1">ROUND(BD167*U167*AC167*L167*BA167*[2]ステータス!$D$2,0)</f>
        <v>0</v>
      </c>
      <c r="BN167" s="14">
        <f ca="1">ROUND(BD167*V167*AD167*M167*BB167*[2]ステータス!$E$2,0)</f>
        <v>820</v>
      </c>
      <c r="BO167" s="13">
        <v>0</v>
      </c>
      <c r="BP167" s="13">
        <v>1</v>
      </c>
      <c r="BQ167" s="13" t="s">
        <v>102</v>
      </c>
      <c r="BR167" s="234">
        <v>700</v>
      </c>
    </row>
    <row r="168" spans="1:70" ht="21" customHeight="1" x14ac:dyDescent="0.15">
      <c r="A168" s="14">
        <f t="shared" ca="1" si="15"/>
        <v>167</v>
      </c>
      <c r="B168" s="77" t="str">
        <f ca="1">VLOOKUP($A168,OFFSET([2]characters!$A$1,0,0,COUNTA([2]characters!$A:$A),MATCH(B$1,[2]characters!$1:$1,0)-MATCH($A$1,[2]characters!$1:$1,0)+1),MATCH(B$1,[2]characters!$1:$1,0)-MATCH($A$1,[2]characters!$1:$1,0)+1,FALSE)</f>
        <v>逆徒 ベリアル</v>
      </c>
      <c r="C168" s="77" t="str">
        <f ca="1">VLOOKUP($A168,OFFSET([2]characters!$A$1,0,0,COUNTA([2]characters!$A:$A),MATCH(C$1,[2]characters!$1:$1,0)-MATCH($A$1,[2]characters!$1:$1,0)+1),MATCH(C$1,[2]characters!$1:$1,0)-MATCH($A$1,[2]characters!$1:$1,0)+1,FALSE)</f>
        <v>初期ガチャ</v>
      </c>
      <c r="D168" s="77" t="str">
        <f ca="1">VLOOKUP($A168,OFFSET([2]characters!$A$1,0,0,COUNTA([2]characters!$A:$A),MATCH(D$1,[2]characters!$1:$1,0)-MATCH($A$1,[2]characters!$1:$1,0)+1),MATCH(D$1,[2]characters!$1:$1,0)-MATCH($A$1,[2]characters!$1:$1,0)+1,FALSE)</f>
        <v>執行者</v>
      </c>
      <c r="E168" s="77" t="str">
        <f ca="1">VLOOKUP($A168,OFFSET([2]characters!$A$1,0,0,COUNTA([2]characters!$A:$A),MATCH(E$1,[2]characters!$1:$1,0)-MATCH($A$1,[2]characters!$1:$1,0)+1),MATCH(E$1,[2]characters!$1:$1,0)-MATCH($A$1,[2]characters!$1:$1,0)+1,FALSE)</f>
        <v>格好いい</v>
      </c>
      <c r="F168" s="77" t="str">
        <f ca="1">VLOOKUP($A168,OFFSET([2]characters!$A$1,0,0,COUNTA([2]characters!$A:$A),MATCH(F$1,[2]characters!$1:$1,0)-MATCH($A$1,[2]characters!$1:$1,0)+1),MATCH(F$1,[2]characters!$1:$1,0)-MATCH($A$1,[2]characters!$1:$1,0)+1,FALSE)</f>
        <v>男性</v>
      </c>
      <c r="G168" s="77">
        <f ca="1">VLOOKUP($A168,OFFSET([2]characters!$A$1,0,0,COUNTA([2]characters!$A:$A),MATCH(G$1,[2]characters!$1:$1,0)-MATCH($A$1,[2]characters!$1:$1,0)+1),MATCH(G$1,[2]characters!$1:$1,0)-MATCH($A$1,[2]characters!$1:$1,0)+1,FALSE)</f>
        <v>4</v>
      </c>
      <c r="H168" s="77" t="str">
        <f ca="1">VLOOKUP($A168,OFFSET([2]characters!$A$1,0,0,COUNTA([2]characters!$A:$A),MATCH(H$1,[2]characters!$1:$1,0)-MATCH($A$1,[2]characters!$1:$1,0)+1),MATCH(H$1,[2]characters!$1:$1,0)-MATCH($A$1,[2]characters!$1:$1,0)+1,FALSE)</f>
        <v>PremiumN</v>
      </c>
      <c r="I168" s="77" t="str">
        <f ca="1">VLOOKUP($A168,OFFSET([2]characters!$A$1,0,0,COUNTA([2]characters!$A:$A),MATCH(I$1,[2]characters!$1:$1,0)-MATCH($A$1,[2]characters!$1:$1,0)+1),MATCH(I$1,[2]characters!$1:$1,0)-MATCH($A$1,[2]characters!$1:$1,0)+1,FALSE)</f>
        <v>red</v>
      </c>
      <c r="J168" s="14">
        <f ca="1">VLOOKUP(I168,[2]属性!$A:$E,2,FALSE)</f>
        <v>1</v>
      </c>
      <c r="K168" s="14">
        <f ca="1">VLOOKUP(I168,[2]属性!$A:$E,3,FALSE)</f>
        <v>1.02</v>
      </c>
      <c r="L168" s="14">
        <f ca="1">VLOOKUP(I168,[2]属性!$A:$E,4,FALSE)</f>
        <v>1</v>
      </c>
      <c r="M168" s="14">
        <f ca="1">VLOOKUP(I168,[2]属性!$A:$E,5,FALSE)</f>
        <v>0.98</v>
      </c>
      <c r="N168" s="14">
        <f ca="1">INDEX(コスト!$A$1:$I$20,MATCH(H168,コスト!$A$1:$A$20,FALSE),MATCH(G168,コスト!$A$1:$I$1,FALSE))</f>
        <v>18</v>
      </c>
      <c r="O168" s="14">
        <f ca="1">INDEX(レベル!$A$1:$I$21,MATCH(H168,レベル!$A$1:$A$21,FALSE),MATCH(G168,レベル!$A$1:$I$1,FALSE))</f>
        <v>60</v>
      </c>
      <c r="P168" s="63">
        <f t="shared" ca="1" si="21"/>
        <v>60</v>
      </c>
      <c r="Q168" s="77" t="str">
        <f ca="1">VLOOKUP($A168,OFFSET([2]characters!$A$1,0,0,COUNTA([2]characters!$A:$A),MATCH(Q$1,[2]characters!$1:$1,0)-MATCH($A$1,[2]characters!$1:$1,0)+1),MATCH(Q$1,[2]characters!$1:$1,0)-MATCH($A$1,[2]characters!$1:$1,0)+1,FALSE)</f>
        <v>attack</v>
      </c>
      <c r="R168" s="8" t="str">
        <f ca="1">VLOOKUP(Q168,[2]character_type_i18n!$A:$H,3,FALSE)</f>
        <v>攻撃タイプ</v>
      </c>
      <c r="S168" s="14">
        <f ca="1">VLOOKUP(Q168,[2]character_type_i18n!$A:$H,4,FALSE)</f>
        <v>1</v>
      </c>
      <c r="T168" s="14">
        <f ca="1">VLOOKUP(Q168,[2]character_type_i18n!$A:$H,5,FALSE)</f>
        <v>1.33</v>
      </c>
      <c r="U168" s="14">
        <f ca="1">VLOOKUP(Q168,[2]character_type_i18n!$A:$H,6,FALSE)</f>
        <v>1</v>
      </c>
      <c r="V168" s="14">
        <f ca="1">VLOOKUP(Q168,[2]character_type_i18n!$A:$H,7,FALSE)</f>
        <v>0.67</v>
      </c>
      <c r="W168" s="77" t="str">
        <f ca="1">VLOOKUP($A168,OFFSET([2]characters!$A$1,0,0,COUNTA([2]characters!$A:$A),MATCH(W$1,[2]characters!$1:$1,0)-MATCH($A$1,[2]characters!$1:$1,0)+1),MATCH(W$1,[2]characters!$1:$1,0)-MATCH($A$1,[2]characters!$1:$1,0)+1,FALSE)</f>
        <v>god</v>
      </c>
      <c r="X168" s="8" t="str">
        <f ca="1">VLOOKUP(W168,[2]character_tribe_i18n!$A:$H,3,FALSE)</f>
        <v>ゴッド</v>
      </c>
      <c r="Y168" s="77" t="str">
        <f ca="1">VLOOKUP($A168,OFFSET([2]characters!$A$1,0,0,COUNTA([2]characters!$A:$A),MATCH(Y$1,[2]characters!$1:$1,0)-MATCH($A$1,[2]characters!$1:$1,0)+1),MATCH(Y$1,[2]characters!$1:$1,0)-MATCH($A$1,[2]characters!$1:$1,0)+1,FALSE)</f>
        <v>none</v>
      </c>
      <c r="Z168" s="8" t="str">
        <f ca="1">VLOOKUP(Y168,[2]character_tribe_i18n!$A:$H,3,FALSE)</f>
        <v>種族なし</v>
      </c>
      <c r="AA168" s="14">
        <f ca="1">VLOOKUP(W168,[2]character_tribe_i18n!$A:$H,4,FALSE)</f>
        <v>0.96</v>
      </c>
      <c r="AB168" s="14">
        <f ca="1">VLOOKUP(W168,[2]character_tribe_i18n!$A:$H,5,FALSE)</f>
        <v>1.02</v>
      </c>
      <c r="AC168" s="14">
        <f ca="1">VLOOKUP(W168,[2]character_tribe_i18n!$A:$H,6,FALSE)</f>
        <v>1</v>
      </c>
      <c r="AD168" s="14">
        <f ca="1">VLOOKUP(W168,[2]character_tribe_i18n!$A:$H,7,FALSE)</f>
        <v>1.02</v>
      </c>
      <c r="AE168" s="12">
        <v>168</v>
      </c>
      <c r="AF168" s="85" t="str">
        <f ca="1">IF(AE168="NULL","",VLOOKUP($AE168,OFFSET([2]characters!$A$1,0,0,COUNTA([2]characters!$A:$A),MATCH(AF$1,[2]characters!$1:$1,0)-MATCH($A$1,[2]characters!$1:$1,0)+1),MATCH(AF$1,[2]characters!$1:$1,0)-MATCH($A$1,[2]characters!$1:$1,0)+1,FALSE))</f>
        <v>猛進の大逆者 ベリアル</v>
      </c>
      <c r="AG168" s="8">
        <f t="shared" ca="1" si="16"/>
        <v>166</v>
      </c>
      <c r="AH168" s="85" t="str">
        <f ca="1">VLOOKUP($AG168,OFFSET([2]characters!$A$1,0,0,COUNTA([2]characters!$A:$A),MATCH(AH$1,[2]characters!$1:$1,0)-MATCH($A$1,[2]characters!$1:$1,0)+1),MATCH(AH$1,[2]characters!$1:$1,0)-MATCH($A$1,[2]characters!$1:$1,0)+1,FALSE)</f>
        <v>ベリアル</v>
      </c>
      <c r="AI168" s="14">
        <f ca="1">IF(AE168="NULL","NULL",VLOOKUP(G168,ビット!$A$2:$B$7,2))</f>
        <v>50000</v>
      </c>
      <c r="AJ168" s="9">
        <v>2</v>
      </c>
      <c r="AK168" s="10" t="str">
        <f t="shared" si="17"/>
        <v>普通</v>
      </c>
      <c r="AL168" s="14" t="str">
        <f ca="1">INDEX(経験値!$A$1:$I$20,MATCH(H168,経験値!$A$1:$A$20,FALSE),MATCH(G168,経験値!$A$1:$I$1,FALSE))</f>
        <v>required_exp_200</v>
      </c>
      <c r="AM168" s="11">
        <f ca="1">VLOOKUP(G168,経験値!$A$27:$B$31,2)</f>
        <v>3400</v>
      </c>
      <c r="AN168" s="21">
        <f ca="1">VLOOKUP(G168,ビット!$G$2:$H$7,2)</f>
        <v>600</v>
      </c>
      <c r="AO168" s="98" t="s">
        <v>185</v>
      </c>
      <c r="AP168" s="97">
        <v>111005</v>
      </c>
      <c r="AQ168" s="77" t="e">
        <f ca="1">VLOOKUP($AP168,OFFSET([1]unit_skills!$A$1,0,0,COUNTA([1]unit_skills!$A:$A),MATCH("name",[1]unit_skills!$1:$1,0)-MATCH($AP$1,[1]unit_skills!$1:$1,0)+1),MATCH("name",[1]unit_skills!$1:$1,0)-MATCH($AP$1,[1]unit_skills!$1:$1,0)+1,FALSE)</f>
        <v>#VALUE!</v>
      </c>
      <c r="AR168" s="77" t="e">
        <f ca="1">VLOOKUP($AP168,OFFSET([1]unit_skills!$A$1,0,0,COUNTA([1]unit_skills!$A:$A),MATCH("comment",[1]unit_skills!$1:$1,0)-MATCH($AP$1,[1]unit_skills!$1:$1,0)+1),MATCH("comment",[1]unit_skills!$1:$1,0)-MATCH($AP$1,[1]unit_skills!$1:$1,0)+1,FALSE)</f>
        <v>#VALUE!</v>
      </c>
      <c r="AS168" s="77" t="e">
        <f ca="1">VLOOKUP($AP168,OFFSET([1]unit_skills!$A$1,0,0,COUNTA([1]unit_skills!$A:$A),MATCH(AS$1,[1]unit_skills!$1:$1,0)-MATCH($AP$1,[1]unit_skills!$1:$1,0)+1),MATCH(AS$1,[1]unit_skills!$1:$1,0)-MATCH($AP$1,[1]unit_skills!$1:$1,0)+1,FALSE)</f>
        <v>#VALUE!</v>
      </c>
      <c r="AT168" s="97">
        <v>121203</v>
      </c>
      <c r="AU168" s="77" t="e">
        <f ca="1">VLOOKUP($AT168,OFFSET([1]crash_skills!$A$1,0,0,COUNTA([1]crash_skills!$A:$A),MATCH("name",[1]crash_skills!$1:$1,0)-MATCH($AT$1,[1]crash_skills!$1:$1,0)+1),MATCH("name",[1]crash_skills!$1:$1,0)-MATCH($AT$1,[1]crash_skills!$1:$1,0)+1,FALSE)</f>
        <v>#VALUE!</v>
      </c>
      <c r="AV168" s="77" t="e">
        <f ca="1">VLOOKUP($AT168,OFFSET([1]crash_skills!$A$1,0,0,COUNTA([1]crash_skills!$A:$A),MATCH("comment",[1]crash_skills!$1:$1,0)-MATCH($AT$1,[1]crash_skills!$1:$1,0)+1),MATCH("comment",[1]crash_skills!$1:$1,0)-MATCH($AT$1,[1]crash_skills!$1:$1,0)+1,FALSE)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68" s="77" t="e">
        <f ca="1">VLOOKUP($AT168,OFFSET([1]crash_skills!$A$1,0,0,COUNTA([1]crash_skills!$A:$A),MATCH(AW$1,[1]crash_skills!$1:$1,0)-MATCH($AT$1,[1]crash_skills!$1:$1,0)+1),MATCH(AW$1,[1]crash_skills!$1:$1,0)-MATCH($AT$1,[1]crash_skills!$1:$1,0)+1,FALSE)</f>
        <v>#VALUE!</v>
      </c>
      <c r="AX168" s="81">
        <f ca="1">VLOOKUP($A168,OFFSET([2]characters!$A$1,0,0,COUNTA([2]characters!$A:$A),MATCH(AX$1,[2]characters!$1:$1,0)-MATCH($A$1,[2]characters!$1:$1,0)+1),MATCH(AX$1,[2]characters!$1:$1,0)-MATCH($A$1,[2]characters!$1:$1,0)+1,FALSE)</f>
        <v>3</v>
      </c>
      <c r="AY168" s="19">
        <v>1</v>
      </c>
      <c r="AZ168" s="19">
        <v>1</v>
      </c>
      <c r="BA168" s="19">
        <v>0</v>
      </c>
      <c r="BB168" s="19">
        <v>1</v>
      </c>
      <c r="BC168" s="14">
        <f ca="1">INDEX('RC6SV'!$A$1:$G$20,MATCH(H168,'RC6SV'!$A$1:$A$20,FALSE),MATCH(G168,'RC6SV'!$A$1:$G$1,FALSE))</f>
        <v>6700</v>
      </c>
      <c r="BD168" s="63">
        <f t="shared" ca="1" si="18"/>
        <v>6700</v>
      </c>
      <c r="BE168" s="14">
        <f t="shared" ca="1" si="19"/>
        <v>4900</v>
      </c>
      <c r="BF168" s="14">
        <f t="shared" ca="1" si="20"/>
        <v>1</v>
      </c>
      <c r="BG168" s="20">
        <f ca="1">IF($BE168&lt;=0,ROUND(BK168*0.5,0), ROUND($BE168*S168*AA168*J168*AY168*0.8*[2]ステータス!$B$2,0))</f>
        <v>1882</v>
      </c>
      <c r="BH168" s="20">
        <f ca="1">IF($BE168&lt;=0,ROUND(BL168*0.5,0), ROUND($BE168*T168*AB168*K168*AZ168*0.8*[2]ステータス!$C$2,0))</f>
        <v>1627</v>
      </c>
      <c r="BI168" s="20">
        <f ca="1">IF($BE168&lt;=0,ROUND(BM168*0.5,0), ROUND($BE168*U168*AC168*L168*BA168*0.8*[2]ステータス!$D$2,0))</f>
        <v>0</v>
      </c>
      <c r="BJ168" s="20">
        <f ca="1">IF($BE168&lt;=0,ROUND(BN168*0.5,0), ROUND($BE168*V168*AD168*M168*BB168*0.8*[2]ステータス!$E$2,0))</f>
        <v>656</v>
      </c>
      <c r="BK168" s="14">
        <f ca="1">ROUND(BD168*S168*AA168*J168*AY168*[2]ステータス!$B$2,0)</f>
        <v>3216</v>
      </c>
      <c r="BL168" s="14">
        <f ca="1">ROUND(BD168*T168*AB168*K168*AZ168*[2]ステータス!$C$2,0)</f>
        <v>2781</v>
      </c>
      <c r="BM168" s="14">
        <f ca="1">ROUND(BD168*U168*AC168*L168*BA168*[2]ステータス!$D$2,0)</f>
        <v>0</v>
      </c>
      <c r="BN168" s="14">
        <f ca="1">ROUND(BD168*V168*AD168*M168*BB168*[2]ステータス!$E$2,0)</f>
        <v>1122</v>
      </c>
      <c r="BO168" s="13">
        <v>0</v>
      </c>
      <c r="BP168" s="13">
        <v>1</v>
      </c>
      <c r="BQ168" s="13" t="s">
        <v>102</v>
      </c>
      <c r="BR168" s="234">
        <v>700</v>
      </c>
    </row>
    <row r="169" spans="1:70" ht="21" customHeight="1" x14ac:dyDescent="0.15">
      <c r="A169" s="14">
        <f t="shared" ca="1" si="15"/>
        <v>168</v>
      </c>
      <c r="B169" s="77" t="str">
        <f ca="1">VLOOKUP($A169,OFFSET([2]characters!$A$1,0,0,COUNTA([2]characters!$A:$A),MATCH(B$1,[2]characters!$1:$1,0)-MATCH($A$1,[2]characters!$1:$1,0)+1),MATCH(B$1,[2]characters!$1:$1,0)-MATCH($A$1,[2]characters!$1:$1,0)+1,FALSE)</f>
        <v>猛進の大逆者 ベリアル</v>
      </c>
      <c r="C169" s="77" t="str">
        <f ca="1">VLOOKUP($A169,OFFSET([2]characters!$A$1,0,0,COUNTA([2]characters!$A:$A),MATCH(C$1,[2]characters!$1:$1,0)-MATCH($A$1,[2]characters!$1:$1,0)+1),MATCH(C$1,[2]characters!$1:$1,0)-MATCH($A$1,[2]characters!$1:$1,0)+1,FALSE)</f>
        <v>初期ガチャ</v>
      </c>
      <c r="D169" s="77" t="str">
        <f ca="1">VLOOKUP($A169,OFFSET([2]characters!$A$1,0,0,COUNTA([2]characters!$A:$A),MATCH(D$1,[2]characters!$1:$1,0)-MATCH($A$1,[2]characters!$1:$1,0)+1),MATCH(D$1,[2]characters!$1:$1,0)-MATCH($A$1,[2]characters!$1:$1,0)+1,FALSE)</f>
        <v>執行者</v>
      </c>
      <c r="E169" s="77" t="str">
        <f ca="1">VLOOKUP($A169,OFFSET([2]characters!$A$1,0,0,COUNTA([2]characters!$A:$A),MATCH(E$1,[2]characters!$1:$1,0)-MATCH($A$1,[2]characters!$1:$1,0)+1),MATCH(E$1,[2]characters!$1:$1,0)-MATCH($A$1,[2]characters!$1:$1,0)+1,FALSE)</f>
        <v>格好いい</v>
      </c>
      <c r="F169" s="77" t="str">
        <f ca="1">VLOOKUP($A169,OFFSET([2]characters!$A$1,0,0,COUNTA([2]characters!$A:$A),MATCH(F$1,[2]characters!$1:$1,0)-MATCH($A$1,[2]characters!$1:$1,0)+1),MATCH(F$1,[2]characters!$1:$1,0)-MATCH($A$1,[2]characters!$1:$1,0)+1,FALSE)</f>
        <v>男性</v>
      </c>
      <c r="G169" s="77">
        <f ca="1">VLOOKUP($A169,OFFSET([2]characters!$A$1,0,0,COUNTA([2]characters!$A:$A),MATCH(G$1,[2]characters!$1:$1,0)-MATCH($A$1,[2]characters!$1:$1,0)+1),MATCH(G$1,[2]characters!$1:$1,0)-MATCH($A$1,[2]characters!$1:$1,0)+1,FALSE)</f>
        <v>5</v>
      </c>
      <c r="H169" s="77" t="str">
        <f ca="1">VLOOKUP($A169,OFFSET([2]characters!$A$1,0,0,COUNTA([2]characters!$A:$A),MATCH(H$1,[2]characters!$1:$1,0)-MATCH($A$1,[2]characters!$1:$1,0)+1),MATCH(H$1,[2]characters!$1:$1,0)-MATCH($A$1,[2]characters!$1:$1,0)+1,FALSE)</f>
        <v>PremiumN</v>
      </c>
      <c r="I169" s="77" t="str">
        <f ca="1">VLOOKUP($A169,OFFSET([2]characters!$A$1,0,0,COUNTA([2]characters!$A:$A),MATCH(I$1,[2]characters!$1:$1,0)-MATCH($A$1,[2]characters!$1:$1,0)+1),MATCH(I$1,[2]characters!$1:$1,0)-MATCH($A$1,[2]characters!$1:$1,0)+1,FALSE)</f>
        <v>red</v>
      </c>
      <c r="J169" s="14">
        <f ca="1">VLOOKUP(I169,[2]属性!$A:$E,2,FALSE)</f>
        <v>1</v>
      </c>
      <c r="K169" s="14">
        <f ca="1">VLOOKUP(I169,[2]属性!$A:$E,3,FALSE)</f>
        <v>1.02</v>
      </c>
      <c r="L169" s="14">
        <f ca="1">VLOOKUP(I169,[2]属性!$A:$E,4,FALSE)</f>
        <v>1</v>
      </c>
      <c r="M169" s="14">
        <f ca="1">VLOOKUP(I169,[2]属性!$A:$E,5,FALSE)</f>
        <v>0.98</v>
      </c>
      <c r="N169" s="14">
        <f ca="1">INDEX(コスト!$A$1:$I$20,MATCH(H169,コスト!$A$1:$A$20,FALSE),MATCH(G169,コスト!$A$1:$I$1,FALSE))</f>
        <v>28</v>
      </c>
      <c r="O169" s="14">
        <f ca="1">INDEX(レベル!$A$1:$I$21,MATCH(H169,レベル!$A$1:$A$21,FALSE),MATCH(G169,レベル!$A$1:$I$1,FALSE))</f>
        <v>80</v>
      </c>
      <c r="P169" s="63">
        <f t="shared" ca="1" si="21"/>
        <v>75</v>
      </c>
      <c r="Q169" s="77" t="str">
        <f ca="1">VLOOKUP($A169,OFFSET([2]characters!$A$1,0,0,COUNTA([2]characters!$A:$A),MATCH(Q$1,[2]characters!$1:$1,0)-MATCH($A$1,[2]characters!$1:$1,0)+1),MATCH(Q$1,[2]characters!$1:$1,0)-MATCH($A$1,[2]characters!$1:$1,0)+1,FALSE)</f>
        <v>attack</v>
      </c>
      <c r="R169" s="8" t="str">
        <f ca="1">VLOOKUP(Q169,[2]character_type_i18n!$A:$H,3,FALSE)</f>
        <v>攻撃タイプ</v>
      </c>
      <c r="S169" s="14">
        <f ca="1">VLOOKUP(Q169,[2]character_type_i18n!$A:$H,4,FALSE)</f>
        <v>1</v>
      </c>
      <c r="T169" s="14">
        <f ca="1">VLOOKUP(Q169,[2]character_type_i18n!$A:$H,5,FALSE)</f>
        <v>1.33</v>
      </c>
      <c r="U169" s="14">
        <f ca="1">VLOOKUP(Q169,[2]character_type_i18n!$A:$H,6,FALSE)</f>
        <v>1</v>
      </c>
      <c r="V169" s="14">
        <f ca="1">VLOOKUP(Q169,[2]character_type_i18n!$A:$H,7,FALSE)</f>
        <v>0.67</v>
      </c>
      <c r="W169" s="77" t="str">
        <f ca="1">VLOOKUP($A169,OFFSET([2]characters!$A$1,0,0,COUNTA([2]characters!$A:$A),MATCH(W$1,[2]characters!$1:$1,0)-MATCH($A$1,[2]characters!$1:$1,0)+1),MATCH(W$1,[2]characters!$1:$1,0)-MATCH($A$1,[2]characters!$1:$1,0)+1,FALSE)</f>
        <v>god</v>
      </c>
      <c r="X169" s="8" t="str">
        <f ca="1">VLOOKUP(W169,[2]character_tribe_i18n!$A:$H,3,FALSE)</f>
        <v>ゴッド</v>
      </c>
      <c r="Y169" s="77" t="str">
        <f ca="1">VLOOKUP($A169,OFFSET([2]characters!$A$1,0,0,COUNTA([2]characters!$A:$A),MATCH(Y$1,[2]characters!$1:$1,0)-MATCH($A$1,[2]characters!$1:$1,0)+1),MATCH(Y$1,[2]characters!$1:$1,0)-MATCH($A$1,[2]characters!$1:$1,0)+1,FALSE)</f>
        <v>none</v>
      </c>
      <c r="Z169" s="8" t="str">
        <f ca="1">VLOOKUP(Y169,[2]character_tribe_i18n!$A:$H,3,FALSE)</f>
        <v>種族なし</v>
      </c>
      <c r="AA169" s="14">
        <f ca="1">VLOOKUP(W169,[2]character_tribe_i18n!$A:$H,4,FALSE)</f>
        <v>0.96</v>
      </c>
      <c r="AB169" s="14">
        <f ca="1">VLOOKUP(W169,[2]character_tribe_i18n!$A:$H,5,FALSE)</f>
        <v>1.02</v>
      </c>
      <c r="AC169" s="14">
        <f ca="1">VLOOKUP(W169,[2]character_tribe_i18n!$A:$H,6,FALSE)</f>
        <v>1</v>
      </c>
      <c r="AD169" s="14">
        <f ca="1">VLOOKUP(W169,[2]character_tribe_i18n!$A:$H,7,FALSE)</f>
        <v>1.02</v>
      </c>
      <c r="AE169" s="12">
        <v>805</v>
      </c>
      <c r="AF169" s="85" t="str">
        <f ca="1">IF(AE169="NULL","",VLOOKUP($AE169,OFFSET([2]characters!$A$1,0,0,COUNTA([2]characters!$A:$A),MATCH(AF$1,[2]characters!$1:$1,0)-MATCH($A$1,[2]characters!$1:$1,0)+1),MATCH(AF$1,[2]characters!$1:$1,0)-MATCH($A$1,[2]characters!$1:$1,0)+1,FALSE))</f>
        <v>熱環の大逆聖 ベリアル</v>
      </c>
      <c r="AG169" s="8">
        <f t="shared" ca="1" si="16"/>
        <v>166</v>
      </c>
      <c r="AH169" s="85" t="str">
        <f ca="1">VLOOKUP($AG169,OFFSET([2]characters!$A$1,0,0,COUNTA([2]characters!$A:$A),MATCH(AH$1,[2]characters!$1:$1,0)-MATCH($A$1,[2]characters!$1:$1,0)+1),MATCH(AH$1,[2]characters!$1:$1,0)-MATCH($A$1,[2]characters!$1:$1,0)+1,FALSE)</f>
        <v>ベリアル</v>
      </c>
      <c r="AI169" s="14">
        <f ca="1">IF(AE169="NULL","NULL",VLOOKUP(G169,ビット!$A$2:$B$7,2))</f>
        <v>200000</v>
      </c>
      <c r="AJ169" s="9">
        <v>2</v>
      </c>
      <c r="AK169" s="10" t="str">
        <f t="shared" si="17"/>
        <v>普通</v>
      </c>
      <c r="AL169" s="14" t="str">
        <f ca="1">INDEX(経験値!$A$1:$I$20,MATCH(H169,経験値!$A$1:$A$20,FALSE),MATCH(G169,経験値!$A$1:$I$1,FALSE))</f>
        <v>required_exp_200</v>
      </c>
      <c r="AM169" s="11">
        <f ca="1">VLOOKUP(G169,経験値!$A$27:$B$31,2)</f>
        <v>6400</v>
      </c>
      <c r="AN169" s="21">
        <f ca="1">VLOOKUP(G169,ビット!$G$2:$H$7,2)</f>
        <v>900</v>
      </c>
      <c r="AO169" s="98" t="s">
        <v>185</v>
      </c>
      <c r="AP169" s="97">
        <v>111006</v>
      </c>
      <c r="AQ169" s="77" t="e">
        <f ca="1">VLOOKUP($AP169,OFFSET([1]unit_skills!$A$1,0,0,COUNTA([1]unit_skills!$A:$A),MATCH("name",[1]unit_skills!$1:$1,0)-MATCH($AP$1,[1]unit_skills!$1:$1,0)+1),MATCH("name",[1]unit_skills!$1:$1,0)-MATCH($AP$1,[1]unit_skills!$1:$1,0)+1,FALSE)</f>
        <v>#VALUE!</v>
      </c>
      <c r="AR169" s="77" t="e">
        <f ca="1">VLOOKUP($AP169,OFFSET([1]unit_skills!$A$1,0,0,COUNTA([1]unit_skills!$A:$A),MATCH("comment",[1]unit_skills!$1:$1,0)-MATCH($AP$1,[1]unit_skills!$1:$1,0)+1),MATCH("comment",[1]unit_skills!$1:$1,0)-MATCH($AP$1,[1]unit_skills!$1:$1,0)+1,FALSE)</f>
        <v>#VALUE!</v>
      </c>
      <c r="AS169" s="77" t="e">
        <f ca="1">VLOOKUP($AP169,OFFSET([1]unit_skills!$A$1,0,0,COUNTA([1]unit_skills!$A:$A),MATCH(AS$1,[1]unit_skills!$1:$1,0)-MATCH($AP$1,[1]unit_skills!$1:$1,0)+1),MATCH(AS$1,[1]unit_skills!$1:$1,0)-MATCH($AP$1,[1]unit_skills!$1:$1,0)+1,FALSE)</f>
        <v>#VALUE!</v>
      </c>
      <c r="AT169" s="97">
        <v>121209</v>
      </c>
      <c r="AU169" s="77" t="e">
        <f ca="1">VLOOKUP($AT169,OFFSET([1]crash_skills!$A$1,0,0,COUNTA([1]crash_skills!$A:$A),MATCH("name",[1]crash_skills!$1:$1,0)-MATCH($AT$1,[1]crash_skills!$1:$1,0)+1),MATCH("name",[1]crash_skills!$1:$1,0)-MATCH($AT$1,[1]crash_skills!$1:$1,0)+1,FALSE)</f>
        <v>#VALUE!</v>
      </c>
      <c r="AV169" s="77" t="e">
        <f ca="1">VLOOKUP($AT169,OFFSET([1]crash_skills!$A$1,0,0,COUNTA([1]crash_skills!$A:$A),MATCH("comment",[1]crash_skills!$1:$1,0)-MATCH($AT$1,[1]crash_skills!$1:$1,0)+1),MATCH("comment",[1]crash_skills!$1:$1,0)-MATCH($AT$1,[1]crash_skills!$1:$1,0)+1,FALSE)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69" s="77" t="e">
        <f ca="1">VLOOKUP($AT169,OFFSET([1]crash_skills!$A$1,0,0,COUNTA([1]crash_skills!$A:$A),MATCH(AW$1,[1]crash_skills!$1:$1,0)-MATCH($AT$1,[1]crash_skills!$1:$1,0)+1),MATCH(AW$1,[1]crash_skills!$1:$1,0)-MATCH($AT$1,[1]crash_skills!$1:$1,0)+1,FALSE)</f>
        <v>#VALUE!</v>
      </c>
      <c r="AX169" s="81">
        <f ca="1">VLOOKUP($A169,OFFSET([2]characters!$A$1,0,0,COUNTA([2]characters!$A:$A),MATCH(AX$1,[2]characters!$1:$1,0)-MATCH($A$1,[2]characters!$1:$1,0)+1),MATCH(AX$1,[2]characters!$1:$1,0)-MATCH($A$1,[2]characters!$1:$1,0)+1,FALSE)</f>
        <v>3</v>
      </c>
      <c r="AY169" s="19">
        <v>1</v>
      </c>
      <c r="AZ169" s="19">
        <v>1</v>
      </c>
      <c r="BA169" s="19">
        <v>0</v>
      </c>
      <c r="BB169" s="19">
        <v>1</v>
      </c>
      <c r="BC169" s="14">
        <f ca="1">INDEX('RC6SV'!$A$1:$G$20,MATCH(H169,'RC6SV'!$A$1:$A$20,FALSE),MATCH(G169,'RC6SV'!$A$1:$G$1,FALSE))</f>
        <v>8500</v>
      </c>
      <c r="BD169" s="63">
        <f t="shared" ca="1" si="18"/>
        <v>8500</v>
      </c>
      <c r="BE169" s="14">
        <f t="shared" ca="1" si="19"/>
        <v>6700</v>
      </c>
      <c r="BF169" s="14">
        <f t="shared" ca="1" si="20"/>
        <v>1</v>
      </c>
      <c r="BG169" s="20">
        <f ca="1">IF($BE169&lt;=0,ROUND(BK169*0.5,0), ROUND($BE169*S169*AA169*J169*AY169*0.8*[2]ステータス!$B$2,0))</f>
        <v>2573</v>
      </c>
      <c r="BH169" s="20">
        <f ca="1">IF($BE169&lt;=0,ROUND(BL169*0.5,0), ROUND($BE169*T169*AB169*K169*AZ169*0.8*[2]ステータス!$C$2,0))</f>
        <v>2225</v>
      </c>
      <c r="BI169" s="20">
        <f ca="1">IF($BE169&lt;=0,ROUND(BM169*0.5,0), ROUND($BE169*U169*AC169*L169*BA169*0.8*[2]ステータス!$D$2,0))</f>
        <v>0</v>
      </c>
      <c r="BJ169" s="20">
        <f ca="1">IF($BE169&lt;=0,ROUND(BN169*0.5,0), ROUND($BE169*V169*AD169*M169*BB169*0.8*[2]ステータス!$E$2,0))</f>
        <v>897</v>
      </c>
      <c r="BK169" s="14">
        <f ca="1">ROUND(BD169*S169*AA169*J169*AY169*[2]ステータス!$B$2,0)</f>
        <v>4080</v>
      </c>
      <c r="BL169" s="14">
        <f ca="1">ROUND(BD169*T169*AB169*K169*AZ169*[2]ステータス!$C$2,0)</f>
        <v>3529</v>
      </c>
      <c r="BM169" s="14">
        <f ca="1">ROUND(BD169*U169*AC169*L169*BA169*[2]ステータス!$D$2,0)</f>
        <v>0</v>
      </c>
      <c r="BN169" s="14">
        <f ca="1">ROUND(BD169*V169*AD169*M169*BB169*[2]ステータス!$E$2,0)</f>
        <v>1423</v>
      </c>
      <c r="BO169" s="13">
        <v>0</v>
      </c>
      <c r="BP169" s="13">
        <v>1</v>
      </c>
      <c r="BQ169" s="13" t="s">
        <v>102</v>
      </c>
      <c r="BR169" s="234">
        <v>700</v>
      </c>
    </row>
    <row r="170" spans="1:70" ht="21" customHeight="1" x14ac:dyDescent="0.15">
      <c r="A170" s="14">
        <f t="shared" ca="1" si="15"/>
        <v>169</v>
      </c>
      <c r="B170" s="77" t="str">
        <f ca="1">VLOOKUP($A170,OFFSET([2]characters!$A$1,0,0,COUNTA([2]characters!$A:$A),MATCH(B$1,[2]characters!$1:$1,0)-MATCH($A$1,[2]characters!$1:$1,0)+1),MATCH(B$1,[2]characters!$1:$1,0)-MATCH($A$1,[2]characters!$1:$1,0)+1,FALSE)</f>
        <v>オセ</v>
      </c>
      <c r="C170" s="77" t="str">
        <f ca="1">VLOOKUP($A170,OFFSET([2]characters!$A$1,0,0,COUNTA([2]characters!$A:$A),MATCH(C$1,[2]characters!$1:$1,0)-MATCH($A$1,[2]characters!$1:$1,0)+1),MATCH(C$1,[2]characters!$1:$1,0)-MATCH($A$1,[2]characters!$1:$1,0)+1,FALSE)</f>
        <v>初期ガチャ</v>
      </c>
      <c r="D170" s="77" t="str">
        <f ca="1">VLOOKUP($A170,OFFSET([2]characters!$A$1,0,0,COUNTA([2]characters!$A:$A),MATCH(D$1,[2]characters!$1:$1,0)-MATCH($A$1,[2]characters!$1:$1,0)+1),MATCH(D$1,[2]characters!$1:$1,0)-MATCH($A$1,[2]characters!$1:$1,0)+1,FALSE)</f>
        <v>執行者</v>
      </c>
      <c r="E170" s="77" t="str">
        <f ca="1">VLOOKUP($A170,OFFSET([2]characters!$A$1,0,0,COUNTA([2]characters!$A:$A),MATCH(E$1,[2]characters!$1:$1,0)-MATCH($A$1,[2]characters!$1:$1,0)+1),MATCH(E$1,[2]characters!$1:$1,0)-MATCH($A$1,[2]characters!$1:$1,0)+1,FALSE)</f>
        <v>美しい</v>
      </c>
      <c r="F170" s="77" t="str">
        <f ca="1">VLOOKUP($A170,OFFSET([2]characters!$A$1,0,0,COUNTA([2]characters!$A:$A),MATCH(F$1,[2]characters!$1:$1,0)-MATCH($A$1,[2]characters!$1:$1,0)+1),MATCH(F$1,[2]characters!$1:$1,0)-MATCH($A$1,[2]characters!$1:$1,0)+1,FALSE)</f>
        <v>女性</v>
      </c>
      <c r="G170" s="77">
        <f ca="1">VLOOKUP($A170,OFFSET([2]characters!$A$1,0,0,COUNTA([2]characters!$A:$A),MATCH(G$1,[2]characters!$1:$1,0)-MATCH($A$1,[2]characters!$1:$1,0)+1),MATCH(G$1,[2]characters!$1:$1,0)-MATCH($A$1,[2]characters!$1:$1,0)+1,FALSE)</f>
        <v>3</v>
      </c>
      <c r="H170" s="77" t="str">
        <f ca="1">VLOOKUP($A170,OFFSET([2]characters!$A$1,0,0,COUNTA([2]characters!$A:$A),MATCH(H$1,[2]characters!$1:$1,0)-MATCH($A$1,[2]characters!$1:$1,0)+1),MATCH(H$1,[2]characters!$1:$1,0)-MATCH($A$1,[2]characters!$1:$1,0)+1,FALSE)</f>
        <v>PremiumN</v>
      </c>
      <c r="I170" s="77" t="str">
        <f ca="1">VLOOKUP($A170,OFFSET([2]characters!$A$1,0,0,COUNTA([2]characters!$A:$A),MATCH(I$1,[2]characters!$1:$1,0)-MATCH($A$1,[2]characters!$1:$1,0)+1),MATCH(I$1,[2]characters!$1:$1,0)-MATCH($A$1,[2]characters!$1:$1,0)+1,FALSE)</f>
        <v>green</v>
      </c>
      <c r="J170" s="14">
        <f ca="1">VLOOKUP(I170,[2]属性!$A:$E,2,FALSE)</f>
        <v>1.02</v>
      </c>
      <c r="K170" s="14">
        <f ca="1">VLOOKUP(I170,[2]属性!$A:$E,3,FALSE)</f>
        <v>0.98</v>
      </c>
      <c r="L170" s="14">
        <f ca="1">VLOOKUP(I170,[2]属性!$A:$E,4,FALSE)</f>
        <v>1</v>
      </c>
      <c r="M170" s="14">
        <f ca="1">VLOOKUP(I170,[2]属性!$A:$E,5,FALSE)</f>
        <v>1</v>
      </c>
      <c r="N170" s="14">
        <f ca="1">INDEX(コスト!$A$1:$I$20,MATCH(H170,コスト!$A$1:$A$20,FALSE),MATCH(G170,コスト!$A$1:$I$1,FALSE))</f>
        <v>9</v>
      </c>
      <c r="O170" s="14">
        <f ca="1">INDEX(レベル!$A$1:$I$21,MATCH(H170,レベル!$A$1:$A$21,FALSE),MATCH(G170,レベル!$A$1:$I$1,FALSE))</f>
        <v>40</v>
      </c>
      <c r="P170" s="63">
        <f t="shared" ca="1" si="21"/>
        <v>45</v>
      </c>
      <c r="Q170" s="77" t="str">
        <f ca="1">VLOOKUP($A170,OFFSET([2]characters!$A$1,0,0,COUNTA([2]characters!$A:$A),MATCH(Q$1,[2]characters!$1:$1,0)-MATCH($A$1,[2]characters!$1:$1,0)+1),MATCH(Q$1,[2]characters!$1:$1,0)-MATCH($A$1,[2]characters!$1:$1,0)+1,FALSE)</f>
        <v>attack</v>
      </c>
      <c r="R170" s="8" t="str">
        <f ca="1">VLOOKUP(Q170,[2]character_type_i18n!$A:$H,3,FALSE)</f>
        <v>攻撃タイプ</v>
      </c>
      <c r="S170" s="14">
        <f ca="1">VLOOKUP(Q170,[2]character_type_i18n!$A:$H,4,FALSE)</f>
        <v>1</v>
      </c>
      <c r="T170" s="14">
        <f ca="1">VLOOKUP(Q170,[2]character_type_i18n!$A:$H,5,FALSE)</f>
        <v>1.33</v>
      </c>
      <c r="U170" s="14">
        <f ca="1">VLOOKUP(Q170,[2]character_type_i18n!$A:$H,6,FALSE)</f>
        <v>1</v>
      </c>
      <c r="V170" s="14">
        <f ca="1">VLOOKUP(Q170,[2]character_type_i18n!$A:$H,7,FALSE)</f>
        <v>0.67</v>
      </c>
      <c r="W170" s="77" t="str">
        <f ca="1">VLOOKUP($A170,OFFSET([2]characters!$A$1,0,0,COUNTA([2]characters!$A:$A),MATCH(W$1,[2]characters!$1:$1,0)-MATCH($A$1,[2]characters!$1:$1,0)+1),MATCH(W$1,[2]characters!$1:$1,0)-MATCH($A$1,[2]characters!$1:$1,0)+1,FALSE)</f>
        <v>god</v>
      </c>
      <c r="X170" s="8" t="str">
        <f ca="1">VLOOKUP(W170,[2]character_tribe_i18n!$A:$H,3,FALSE)</f>
        <v>ゴッド</v>
      </c>
      <c r="Y170" s="77" t="str">
        <f ca="1">VLOOKUP($A170,OFFSET([2]characters!$A$1,0,0,COUNTA([2]characters!$A:$A),MATCH(Y$1,[2]characters!$1:$1,0)-MATCH($A$1,[2]characters!$1:$1,0)+1),MATCH(Y$1,[2]characters!$1:$1,0)-MATCH($A$1,[2]characters!$1:$1,0)+1,FALSE)</f>
        <v>none</v>
      </c>
      <c r="Z170" s="8" t="str">
        <f ca="1">VLOOKUP(Y170,[2]character_tribe_i18n!$A:$H,3,FALSE)</f>
        <v>種族なし</v>
      </c>
      <c r="AA170" s="14">
        <f ca="1">VLOOKUP(W170,[2]character_tribe_i18n!$A:$H,4,FALSE)</f>
        <v>0.96</v>
      </c>
      <c r="AB170" s="14">
        <f ca="1">VLOOKUP(W170,[2]character_tribe_i18n!$A:$H,5,FALSE)</f>
        <v>1.02</v>
      </c>
      <c r="AC170" s="14">
        <f ca="1">VLOOKUP(W170,[2]character_tribe_i18n!$A:$H,6,FALSE)</f>
        <v>1</v>
      </c>
      <c r="AD170" s="14">
        <f ca="1">VLOOKUP(W170,[2]character_tribe_i18n!$A:$H,7,FALSE)</f>
        <v>1.02</v>
      </c>
      <c r="AE170" s="12">
        <v>170</v>
      </c>
      <c r="AF170" s="85" t="str">
        <f ca="1">IF(AE170="NULL","",VLOOKUP($AE170,OFFSET([2]characters!$A$1,0,0,COUNTA([2]characters!$A:$A),MATCH(AF$1,[2]characters!$1:$1,0)-MATCH($A$1,[2]characters!$1:$1,0)+1),MATCH(AF$1,[2]characters!$1:$1,0)-MATCH($A$1,[2]characters!$1:$1,0)+1,FALSE))</f>
        <v>識徒 オセ</v>
      </c>
      <c r="AG170" s="8">
        <f t="shared" ca="1" si="16"/>
        <v>169</v>
      </c>
      <c r="AH170" s="85" t="str">
        <f ca="1">VLOOKUP($AG170,OFFSET([2]characters!$A$1,0,0,COUNTA([2]characters!$A:$A),MATCH(AH$1,[2]characters!$1:$1,0)-MATCH($A$1,[2]characters!$1:$1,0)+1),MATCH(AH$1,[2]characters!$1:$1,0)-MATCH($A$1,[2]characters!$1:$1,0)+1,FALSE)</f>
        <v>オセ</v>
      </c>
      <c r="AI170" s="14">
        <f ca="1">IF(AE170="NULL","NULL",VLOOKUP(G170,ビット!$A$2:$B$7,2))</f>
        <v>20000</v>
      </c>
      <c r="AJ170" s="9">
        <v>2</v>
      </c>
      <c r="AK170" s="10" t="str">
        <f t="shared" si="17"/>
        <v>普通</v>
      </c>
      <c r="AL170" s="14" t="str">
        <f ca="1">INDEX(経験値!$A$1:$I$20,MATCH(H170,経験値!$A$1:$A$20,FALSE),MATCH(G170,経験値!$A$1:$I$1,FALSE))</f>
        <v>required_exp_200</v>
      </c>
      <c r="AM170" s="11">
        <f ca="1">VLOOKUP(G170,経験値!$A$27:$B$31,2)</f>
        <v>1500</v>
      </c>
      <c r="AN170" s="21">
        <f ca="1">VLOOKUP(G170,ビット!$G$2:$H$7,2)</f>
        <v>300</v>
      </c>
      <c r="AO170" s="98" t="s">
        <v>185</v>
      </c>
      <c r="AP170" s="97">
        <v>540002</v>
      </c>
      <c r="AQ170" s="77" t="e">
        <f ca="1">VLOOKUP($AP170,OFFSET([1]unit_skills!$A$1,0,0,COUNTA([1]unit_skills!$A:$A),MATCH("name",[1]unit_skills!$1:$1,0)-MATCH($AP$1,[1]unit_skills!$1:$1,0)+1),MATCH("name",[1]unit_skills!$1:$1,0)-MATCH($AP$1,[1]unit_skills!$1:$1,0)+1,FALSE)</f>
        <v>#VALUE!</v>
      </c>
      <c r="AR170" s="77" t="e">
        <f ca="1">VLOOKUP($AP170,OFFSET([1]unit_skills!$A$1,0,0,COUNTA([1]unit_skills!$A:$A),MATCH("comment",[1]unit_skills!$1:$1,0)-MATCH($AP$1,[1]unit_skills!$1:$1,0)+1),MATCH("comment",[1]unit_skills!$1:$1,0)-MATCH($AP$1,[1]unit_skills!$1:$1,0)+1,FALSE)</f>
        <v>#VALUE!</v>
      </c>
      <c r="AS170" s="77" t="e">
        <f ca="1">VLOOKUP($AP170,OFFSET([1]unit_skills!$A$1,0,0,COUNTA([1]unit_skills!$A:$A),MATCH(AS$1,[1]unit_skills!$1:$1,0)-MATCH($AP$1,[1]unit_skills!$1:$1,0)+1),MATCH(AS$1,[1]unit_skills!$1:$1,0)-MATCH($AP$1,[1]unit_skills!$1:$1,0)+1,FALSE)</f>
        <v>#VALUE!</v>
      </c>
      <c r="AT170" s="97">
        <v>112003</v>
      </c>
      <c r="AU170" s="77" t="e">
        <f ca="1">VLOOKUP($AT170,OFFSET([1]crash_skills!$A$1,0,0,COUNTA([1]crash_skills!$A:$A),MATCH("name",[1]crash_skills!$1:$1,0)-MATCH($AT$1,[1]crash_skills!$1:$1,0)+1),MATCH("name",[1]crash_skills!$1:$1,0)-MATCH($AT$1,[1]crash_skills!$1:$1,0)+1,FALSE)</f>
        <v>#VALUE!</v>
      </c>
      <c r="AV170" s="77" t="e">
        <f ca="1">VLOOKUP($AT170,OFFSET([1]crash_skills!$A$1,0,0,COUNTA([1]crash_skills!$A:$A),MATCH("comment",[1]crash_skills!$1:$1,0)-MATCH($AT$1,[1]crash_skills!$1:$1,0)+1),MATCH("comment",[1]crash_skills!$1:$1,0)-MATCH($AT$1,[1]crash_skills!$1:$1,0)+1,FALSE)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70" s="77" t="e">
        <f ca="1">VLOOKUP($AT170,OFFSET([1]crash_skills!$A$1,0,0,COUNTA([1]crash_skills!$A:$A),MATCH(AW$1,[1]crash_skills!$1:$1,0)-MATCH($AT$1,[1]crash_skills!$1:$1,0)+1),MATCH(AW$1,[1]crash_skills!$1:$1,0)-MATCH($AT$1,[1]crash_skills!$1:$1,0)+1,FALSE)</f>
        <v>#VALUE!</v>
      </c>
      <c r="AX170" s="81">
        <f ca="1">VLOOKUP($A170,OFFSET([2]characters!$A$1,0,0,COUNTA([2]characters!$A:$A),MATCH(AX$1,[2]characters!$1:$1,0)-MATCH($A$1,[2]characters!$1:$1,0)+1),MATCH(AX$1,[2]characters!$1:$1,0)-MATCH($A$1,[2]characters!$1:$1,0)+1,FALSE)</f>
        <v>3</v>
      </c>
      <c r="AY170" s="19">
        <v>1</v>
      </c>
      <c r="AZ170" s="19">
        <v>1</v>
      </c>
      <c r="BA170" s="19">
        <v>0</v>
      </c>
      <c r="BB170" s="19">
        <v>1</v>
      </c>
      <c r="BC170" s="14">
        <f ca="1">INDEX('RC6SV'!$A$1:$G$20,MATCH(H170,'RC6SV'!$A$1:$A$20,FALSE),MATCH(G170,'RC6SV'!$A$1:$G$1,FALSE))</f>
        <v>4900</v>
      </c>
      <c r="BD170" s="63">
        <f t="shared" ca="1" si="18"/>
        <v>4900</v>
      </c>
      <c r="BE170" s="14">
        <f t="shared" ca="1" si="19"/>
        <v>0</v>
      </c>
      <c r="BF170" s="14">
        <f t="shared" ca="1" si="20"/>
        <v>1</v>
      </c>
      <c r="BG170" s="20">
        <f ca="1">IF($BE170&lt;=0,ROUND(BK170*0.5,0), ROUND($BE170*S170*AA170*J170*AY170*0.8*[2]ステータス!$B$2,0))</f>
        <v>1200</v>
      </c>
      <c r="BH170" s="20">
        <f ca="1">IF($BE170&lt;=0,ROUND(BL170*0.5,0), ROUND($BE170*T170*AB170*K170*AZ170*0.8*[2]ステータス!$C$2,0))</f>
        <v>977</v>
      </c>
      <c r="BI170" s="20">
        <f ca="1">IF($BE170&lt;=0,ROUND(BM170*0.5,0), ROUND($BE170*U170*AC170*L170*BA170*0.8*[2]ステータス!$D$2,0))</f>
        <v>0</v>
      </c>
      <c r="BJ170" s="20">
        <f ca="1">IF($BE170&lt;=0,ROUND(BN170*0.5,0), ROUND($BE170*V170*AD170*M170*BB170*0.8*[2]ステータス!$E$2,0))</f>
        <v>419</v>
      </c>
      <c r="BK170" s="14">
        <f ca="1">ROUND(BD170*S170*AA170*J170*AY170*[2]ステータス!$B$2,0)</f>
        <v>2399</v>
      </c>
      <c r="BL170" s="14">
        <f ca="1">ROUND(BD170*T170*AB170*K170*AZ170*[2]ステータス!$C$2,0)</f>
        <v>1954</v>
      </c>
      <c r="BM170" s="14">
        <f ca="1">ROUND(BD170*U170*AC170*L170*BA170*[2]ステータス!$D$2,0)</f>
        <v>0</v>
      </c>
      <c r="BN170" s="14">
        <f ca="1">ROUND(BD170*V170*AD170*M170*BB170*[2]ステータス!$E$2,0)</f>
        <v>837</v>
      </c>
      <c r="BO170" s="13">
        <v>0</v>
      </c>
      <c r="BP170" s="13">
        <v>1</v>
      </c>
      <c r="BQ170" s="13" t="s">
        <v>102</v>
      </c>
      <c r="BR170" s="234">
        <v>700</v>
      </c>
    </row>
    <row r="171" spans="1:70" ht="21" customHeight="1" x14ac:dyDescent="0.15">
      <c r="A171" s="14">
        <f t="shared" ca="1" si="15"/>
        <v>170</v>
      </c>
      <c r="B171" s="77" t="str">
        <f ca="1">VLOOKUP($A171,OFFSET([2]characters!$A$1,0,0,COUNTA([2]characters!$A:$A),MATCH(B$1,[2]characters!$1:$1,0)-MATCH($A$1,[2]characters!$1:$1,0)+1),MATCH(B$1,[2]characters!$1:$1,0)-MATCH($A$1,[2]characters!$1:$1,0)+1,FALSE)</f>
        <v>識徒 オセ</v>
      </c>
      <c r="C171" s="77" t="str">
        <f ca="1">VLOOKUP($A171,OFFSET([2]characters!$A$1,0,0,COUNTA([2]characters!$A:$A),MATCH(C$1,[2]characters!$1:$1,0)-MATCH($A$1,[2]characters!$1:$1,0)+1),MATCH(C$1,[2]characters!$1:$1,0)-MATCH($A$1,[2]characters!$1:$1,0)+1,FALSE)</f>
        <v>初期ガチャ</v>
      </c>
      <c r="D171" s="77" t="str">
        <f ca="1">VLOOKUP($A171,OFFSET([2]characters!$A$1,0,0,COUNTA([2]characters!$A:$A),MATCH(D$1,[2]characters!$1:$1,0)-MATCH($A$1,[2]characters!$1:$1,0)+1),MATCH(D$1,[2]characters!$1:$1,0)-MATCH($A$1,[2]characters!$1:$1,0)+1,FALSE)</f>
        <v>執行者</v>
      </c>
      <c r="E171" s="77" t="str">
        <f ca="1">VLOOKUP($A171,OFFSET([2]characters!$A$1,0,0,COUNTA([2]characters!$A:$A),MATCH(E$1,[2]characters!$1:$1,0)-MATCH($A$1,[2]characters!$1:$1,0)+1),MATCH(E$1,[2]characters!$1:$1,0)-MATCH($A$1,[2]characters!$1:$1,0)+1,FALSE)</f>
        <v>美しい</v>
      </c>
      <c r="F171" s="77" t="str">
        <f ca="1">VLOOKUP($A171,OFFSET([2]characters!$A$1,0,0,COUNTA([2]characters!$A:$A),MATCH(F$1,[2]characters!$1:$1,0)-MATCH($A$1,[2]characters!$1:$1,0)+1),MATCH(F$1,[2]characters!$1:$1,0)-MATCH($A$1,[2]characters!$1:$1,0)+1,FALSE)</f>
        <v>女性</v>
      </c>
      <c r="G171" s="77">
        <f ca="1">VLOOKUP($A171,OFFSET([2]characters!$A$1,0,0,COUNTA([2]characters!$A:$A),MATCH(G$1,[2]characters!$1:$1,0)-MATCH($A$1,[2]characters!$1:$1,0)+1),MATCH(G$1,[2]characters!$1:$1,0)-MATCH($A$1,[2]characters!$1:$1,0)+1,FALSE)</f>
        <v>4</v>
      </c>
      <c r="H171" s="77" t="str">
        <f ca="1">VLOOKUP($A171,OFFSET([2]characters!$A$1,0,0,COUNTA([2]characters!$A:$A),MATCH(H$1,[2]characters!$1:$1,0)-MATCH($A$1,[2]characters!$1:$1,0)+1),MATCH(H$1,[2]characters!$1:$1,0)-MATCH($A$1,[2]characters!$1:$1,0)+1,FALSE)</f>
        <v>PremiumN</v>
      </c>
      <c r="I171" s="77" t="str">
        <f ca="1">VLOOKUP($A171,OFFSET([2]characters!$A$1,0,0,COUNTA([2]characters!$A:$A),MATCH(I$1,[2]characters!$1:$1,0)-MATCH($A$1,[2]characters!$1:$1,0)+1),MATCH(I$1,[2]characters!$1:$1,0)-MATCH($A$1,[2]characters!$1:$1,0)+1,FALSE)</f>
        <v>green</v>
      </c>
      <c r="J171" s="14">
        <f ca="1">VLOOKUP(I171,[2]属性!$A:$E,2,FALSE)</f>
        <v>1.02</v>
      </c>
      <c r="K171" s="14">
        <f ca="1">VLOOKUP(I171,[2]属性!$A:$E,3,FALSE)</f>
        <v>0.98</v>
      </c>
      <c r="L171" s="14">
        <f ca="1">VLOOKUP(I171,[2]属性!$A:$E,4,FALSE)</f>
        <v>1</v>
      </c>
      <c r="M171" s="14">
        <f ca="1">VLOOKUP(I171,[2]属性!$A:$E,5,FALSE)</f>
        <v>1</v>
      </c>
      <c r="N171" s="14">
        <f ca="1">INDEX(コスト!$A$1:$I$20,MATCH(H171,コスト!$A$1:$A$20,FALSE),MATCH(G171,コスト!$A$1:$I$1,FALSE))</f>
        <v>18</v>
      </c>
      <c r="O171" s="14">
        <f ca="1">INDEX(レベル!$A$1:$I$21,MATCH(H171,レベル!$A$1:$A$21,FALSE),MATCH(G171,レベル!$A$1:$I$1,FALSE))</f>
        <v>60</v>
      </c>
      <c r="P171" s="63">
        <f t="shared" ca="1" si="21"/>
        <v>60</v>
      </c>
      <c r="Q171" s="77" t="str">
        <f ca="1">VLOOKUP($A171,OFFSET([2]characters!$A$1,0,0,COUNTA([2]characters!$A:$A),MATCH(Q$1,[2]characters!$1:$1,0)-MATCH($A$1,[2]characters!$1:$1,0)+1),MATCH(Q$1,[2]characters!$1:$1,0)-MATCH($A$1,[2]characters!$1:$1,0)+1,FALSE)</f>
        <v>attack</v>
      </c>
      <c r="R171" s="8" t="str">
        <f ca="1">VLOOKUP(Q171,[2]character_type_i18n!$A:$H,3,FALSE)</f>
        <v>攻撃タイプ</v>
      </c>
      <c r="S171" s="14">
        <f ca="1">VLOOKUP(Q171,[2]character_type_i18n!$A:$H,4,FALSE)</f>
        <v>1</v>
      </c>
      <c r="T171" s="14">
        <f ca="1">VLOOKUP(Q171,[2]character_type_i18n!$A:$H,5,FALSE)</f>
        <v>1.33</v>
      </c>
      <c r="U171" s="14">
        <f ca="1">VLOOKUP(Q171,[2]character_type_i18n!$A:$H,6,FALSE)</f>
        <v>1</v>
      </c>
      <c r="V171" s="14">
        <f ca="1">VLOOKUP(Q171,[2]character_type_i18n!$A:$H,7,FALSE)</f>
        <v>0.67</v>
      </c>
      <c r="W171" s="77" t="str">
        <f ca="1">VLOOKUP($A171,OFFSET([2]characters!$A$1,0,0,COUNTA([2]characters!$A:$A),MATCH(W$1,[2]characters!$1:$1,0)-MATCH($A$1,[2]characters!$1:$1,0)+1),MATCH(W$1,[2]characters!$1:$1,0)-MATCH($A$1,[2]characters!$1:$1,0)+1,FALSE)</f>
        <v>god</v>
      </c>
      <c r="X171" s="8" t="str">
        <f ca="1">VLOOKUP(W171,[2]character_tribe_i18n!$A:$H,3,FALSE)</f>
        <v>ゴッド</v>
      </c>
      <c r="Y171" s="77" t="str">
        <f ca="1">VLOOKUP($A171,OFFSET([2]characters!$A$1,0,0,COUNTA([2]characters!$A:$A),MATCH(Y$1,[2]characters!$1:$1,0)-MATCH($A$1,[2]characters!$1:$1,0)+1),MATCH(Y$1,[2]characters!$1:$1,0)-MATCH($A$1,[2]characters!$1:$1,0)+1,FALSE)</f>
        <v>none</v>
      </c>
      <c r="Z171" s="8" t="str">
        <f ca="1">VLOOKUP(Y171,[2]character_tribe_i18n!$A:$H,3,FALSE)</f>
        <v>種族なし</v>
      </c>
      <c r="AA171" s="14">
        <f ca="1">VLOOKUP(W171,[2]character_tribe_i18n!$A:$H,4,FALSE)</f>
        <v>0.96</v>
      </c>
      <c r="AB171" s="14">
        <f ca="1">VLOOKUP(W171,[2]character_tribe_i18n!$A:$H,5,FALSE)</f>
        <v>1.02</v>
      </c>
      <c r="AC171" s="14">
        <f ca="1">VLOOKUP(W171,[2]character_tribe_i18n!$A:$H,6,FALSE)</f>
        <v>1</v>
      </c>
      <c r="AD171" s="14">
        <f ca="1">VLOOKUP(W171,[2]character_tribe_i18n!$A:$H,7,FALSE)</f>
        <v>1.02</v>
      </c>
      <c r="AE171" s="12">
        <v>171</v>
      </c>
      <c r="AF171" s="85" t="str">
        <f ca="1">IF(AE171="NULL","",VLOOKUP($AE171,OFFSET([2]characters!$A$1,0,0,COUNTA([2]characters!$A:$A),MATCH(AF$1,[2]characters!$1:$1,0)-MATCH($A$1,[2]characters!$1:$1,0)+1),MATCH(AF$1,[2]characters!$1:$1,0)-MATCH($A$1,[2]characters!$1:$1,0)+1,FALSE))</f>
        <v>精解の預知者 オセ</v>
      </c>
      <c r="AG171" s="8">
        <f t="shared" ca="1" si="16"/>
        <v>169</v>
      </c>
      <c r="AH171" s="85" t="str">
        <f ca="1">VLOOKUP($AG171,OFFSET([2]characters!$A$1,0,0,COUNTA([2]characters!$A:$A),MATCH(AH$1,[2]characters!$1:$1,0)-MATCH($A$1,[2]characters!$1:$1,0)+1),MATCH(AH$1,[2]characters!$1:$1,0)-MATCH($A$1,[2]characters!$1:$1,0)+1,FALSE)</f>
        <v>オセ</v>
      </c>
      <c r="AI171" s="14">
        <f ca="1">IF(AE171="NULL","NULL",VLOOKUP(G171,ビット!$A$2:$B$7,2))</f>
        <v>50000</v>
      </c>
      <c r="AJ171" s="9">
        <v>2</v>
      </c>
      <c r="AK171" s="10" t="str">
        <f t="shared" si="17"/>
        <v>普通</v>
      </c>
      <c r="AL171" s="14" t="str">
        <f ca="1">INDEX(経験値!$A$1:$I$20,MATCH(H171,経験値!$A$1:$A$20,FALSE),MATCH(G171,経験値!$A$1:$I$1,FALSE))</f>
        <v>required_exp_200</v>
      </c>
      <c r="AM171" s="11">
        <f ca="1">VLOOKUP(G171,経験値!$A$27:$B$31,2)</f>
        <v>3400</v>
      </c>
      <c r="AN171" s="21">
        <f ca="1">VLOOKUP(G171,ビット!$G$2:$H$7,2)</f>
        <v>600</v>
      </c>
      <c r="AO171" s="98" t="s">
        <v>185</v>
      </c>
      <c r="AP171" s="97">
        <v>540002</v>
      </c>
      <c r="AQ171" s="77" t="e">
        <f ca="1">VLOOKUP($AP171,OFFSET([1]unit_skills!$A$1,0,0,COUNTA([1]unit_skills!$A:$A),MATCH("name",[1]unit_skills!$1:$1,0)-MATCH($AP$1,[1]unit_skills!$1:$1,0)+1),MATCH("name",[1]unit_skills!$1:$1,0)-MATCH($AP$1,[1]unit_skills!$1:$1,0)+1,FALSE)</f>
        <v>#VALUE!</v>
      </c>
      <c r="AR171" s="77" t="e">
        <f ca="1">VLOOKUP($AP171,OFFSET([1]unit_skills!$A$1,0,0,COUNTA([1]unit_skills!$A:$A),MATCH("comment",[1]unit_skills!$1:$1,0)-MATCH($AP$1,[1]unit_skills!$1:$1,0)+1),MATCH("comment",[1]unit_skills!$1:$1,0)-MATCH($AP$1,[1]unit_skills!$1:$1,0)+1,FALSE)</f>
        <v>#VALUE!</v>
      </c>
      <c r="AS171" s="77" t="e">
        <f ca="1">VLOOKUP($AP171,OFFSET([1]unit_skills!$A$1,0,0,COUNTA([1]unit_skills!$A:$A),MATCH(AS$1,[1]unit_skills!$1:$1,0)-MATCH($AP$1,[1]unit_skills!$1:$1,0)+1),MATCH(AS$1,[1]unit_skills!$1:$1,0)-MATCH($AP$1,[1]unit_skills!$1:$1,0)+1,FALSE)</f>
        <v>#VALUE!</v>
      </c>
      <c r="AT171" s="97">
        <v>112003</v>
      </c>
      <c r="AU171" s="77" t="e">
        <f ca="1">VLOOKUP($AT171,OFFSET([1]crash_skills!$A$1,0,0,COUNTA([1]crash_skills!$A:$A),MATCH("name",[1]crash_skills!$1:$1,0)-MATCH($AT$1,[1]crash_skills!$1:$1,0)+1),MATCH("name",[1]crash_skills!$1:$1,0)-MATCH($AT$1,[1]crash_skills!$1:$1,0)+1,FALSE)</f>
        <v>#VALUE!</v>
      </c>
      <c r="AV171" s="77" t="e">
        <f ca="1">VLOOKUP($AT171,OFFSET([1]crash_skills!$A$1,0,0,COUNTA([1]crash_skills!$A:$A),MATCH("comment",[1]crash_skills!$1:$1,0)-MATCH($AT$1,[1]crash_skills!$1:$1,0)+1),MATCH("comment",[1]crash_skills!$1:$1,0)-MATCH($AT$1,[1]crash_skills!$1:$1,0)+1,FALSE)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71" s="77" t="e">
        <f ca="1">VLOOKUP($AT171,OFFSET([1]crash_skills!$A$1,0,0,COUNTA([1]crash_skills!$A:$A),MATCH(AW$1,[1]crash_skills!$1:$1,0)-MATCH($AT$1,[1]crash_skills!$1:$1,0)+1),MATCH(AW$1,[1]crash_skills!$1:$1,0)-MATCH($AT$1,[1]crash_skills!$1:$1,0)+1,FALSE)</f>
        <v>#VALUE!</v>
      </c>
      <c r="AX171" s="81">
        <f ca="1">VLOOKUP($A171,OFFSET([2]characters!$A$1,0,0,COUNTA([2]characters!$A:$A),MATCH(AX$1,[2]characters!$1:$1,0)-MATCH($A$1,[2]characters!$1:$1,0)+1),MATCH(AX$1,[2]characters!$1:$1,0)-MATCH($A$1,[2]characters!$1:$1,0)+1,FALSE)</f>
        <v>3</v>
      </c>
      <c r="AY171" s="19">
        <v>1</v>
      </c>
      <c r="AZ171" s="19">
        <v>1</v>
      </c>
      <c r="BA171" s="19">
        <v>0</v>
      </c>
      <c r="BB171" s="19">
        <v>1</v>
      </c>
      <c r="BC171" s="14">
        <f ca="1">INDEX('RC6SV'!$A$1:$G$20,MATCH(H171,'RC6SV'!$A$1:$A$20,FALSE),MATCH(G171,'RC6SV'!$A$1:$G$1,FALSE))</f>
        <v>6700</v>
      </c>
      <c r="BD171" s="63">
        <f t="shared" ca="1" si="18"/>
        <v>6700</v>
      </c>
      <c r="BE171" s="14">
        <f t="shared" ca="1" si="19"/>
        <v>4900</v>
      </c>
      <c r="BF171" s="14">
        <f t="shared" ca="1" si="20"/>
        <v>1</v>
      </c>
      <c r="BG171" s="20">
        <f ca="1">IF($BE171&lt;=0,ROUND(BK171*0.5,0), ROUND($BE171*S171*AA171*J171*AY171*0.8*[2]ステータス!$B$2,0))</f>
        <v>1919</v>
      </c>
      <c r="BH171" s="20">
        <f ca="1">IF($BE171&lt;=0,ROUND(BL171*0.5,0), ROUND($BE171*T171*AB171*K171*AZ171*0.8*[2]ステータス!$C$2,0))</f>
        <v>1563</v>
      </c>
      <c r="BI171" s="20">
        <f ca="1">IF($BE171&lt;=0,ROUND(BM171*0.5,0), ROUND($BE171*U171*AC171*L171*BA171*0.8*[2]ステータス!$D$2,0))</f>
        <v>0</v>
      </c>
      <c r="BJ171" s="20">
        <f ca="1">IF($BE171&lt;=0,ROUND(BN171*0.5,0), ROUND($BE171*V171*AD171*M171*BB171*0.8*[2]ステータス!$E$2,0))</f>
        <v>670</v>
      </c>
      <c r="BK171" s="14">
        <f ca="1">ROUND(BD171*S171*AA171*J171*AY171*[2]ステータス!$B$2,0)</f>
        <v>3280</v>
      </c>
      <c r="BL171" s="14">
        <f ca="1">ROUND(BD171*T171*AB171*K171*AZ171*[2]ステータス!$C$2,0)</f>
        <v>2672</v>
      </c>
      <c r="BM171" s="14">
        <f ca="1">ROUND(BD171*U171*AC171*L171*BA171*[2]ステータス!$D$2,0)</f>
        <v>0</v>
      </c>
      <c r="BN171" s="14">
        <f ca="1">ROUND(BD171*V171*AD171*M171*BB171*[2]ステータス!$E$2,0)</f>
        <v>1145</v>
      </c>
      <c r="BO171" s="13">
        <v>0</v>
      </c>
      <c r="BP171" s="13">
        <v>1</v>
      </c>
      <c r="BQ171" s="13" t="s">
        <v>102</v>
      </c>
      <c r="BR171" s="234">
        <v>700</v>
      </c>
    </row>
    <row r="172" spans="1:70" ht="21" customHeight="1" x14ac:dyDescent="0.15">
      <c r="A172" s="14">
        <f t="shared" ca="1" si="15"/>
        <v>171</v>
      </c>
      <c r="B172" s="77" t="str">
        <f ca="1">VLOOKUP($A172,OFFSET([2]characters!$A$1,0,0,COUNTA([2]characters!$A:$A),MATCH(B$1,[2]characters!$1:$1,0)-MATCH($A$1,[2]characters!$1:$1,0)+1),MATCH(B$1,[2]characters!$1:$1,0)-MATCH($A$1,[2]characters!$1:$1,0)+1,FALSE)</f>
        <v>精解の預知者 オセ</v>
      </c>
      <c r="C172" s="77" t="str">
        <f ca="1">VLOOKUP($A172,OFFSET([2]characters!$A$1,0,0,COUNTA([2]characters!$A:$A),MATCH(C$1,[2]characters!$1:$1,0)-MATCH($A$1,[2]characters!$1:$1,0)+1),MATCH(C$1,[2]characters!$1:$1,0)-MATCH($A$1,[2]characters!$1:$1,0)+1,FALSE)</f>
        <v>初期ガチャ</v>
      </c>
      <c r="D172" s="77" t="str">
        <f ca="1">VLOOKUP($A172,OFFSET([2]characters!$A$1,0,0,COUNTA([2]characters!$A:$A),MATCH(D$1,[2]characters!$1:$1,0)-MATCH($A$1,[2]characters!$1:$1,0)+1),MATCH(D$1,[2]characters!$1:$1,0)-MATCH($A$1,[2]characters!$1:$1,0)+1,FALSE)</f>
        <v>執行者</v>
      </c>
      <c r="E172" s="77" t="str">
        <f ca="1">VLOOKUP($A172,OFFSET([2]characters!$A$1,0,0,COUNTA([2]characters!$A:$A),MATCH(E$1,[2]characters!$1:$1,0)-MATCH($A$1,[2]characters!$1:$1,0)+1),MATCH(E$1,[2]characters!$1:$1,0)-MATCH($A$1,[2]characters!$1:$1,0)+1,FALSE)</f>
        <v>美しい</v>
      </c>
      <c r="F172" s="77" t="str">
        <f ca="1">VLOOKUP($A172,OFFSET([2]characters!$A$1,0,0,COUNTA([2]characters!$A:$A),MATCH(F$1,[2]characters!$1:$1,0)-MATCH($A$1,[2]characters!$1:$1,0)+1),MATCH(F$1,[2]characters!$1:$1,0)-MATCH($A$1,[2]characters!$1:$1,0)+1,FALSE)</f>
        <v>女性</v>
      </c>
      <c r="G172" s="77">
        <f ca="1">VLOOKUP($A172,OFFSET([2]characters!$A$1,0,0,COUNTA([2]characters!$A:$A),MATCH(G$1,[2]characters!$1:$1,0)-MATCH($A$1,[2]characters!$1:$1,0)+1),MATCH(G$1,[2]characters!$1:$1,0)-MATCH($A$1,[2]characters!$1:$1,0)+1,FALSE)</f>
        <v>5</v>
      </c>
      <c r="H172" s="77" t="str">
        <f ca="1">VLOOKUP($A172,OFFSET([2]characters!$A$1,0,0,COUNTA([2]characters!$A:$A),MATCH(H$1,[2]characters!$1:$1,0)-MATCH($A$1,[2]characters!$1:$1,0)+1),MATCH(H$1,[2]characters!$1:$1,0)-MATCH($A$1,[2]characters!$1:$1,0)+1,FALSE)</f>
        <v>PremiumN</v>
      </c>
      <c r="I172" s="77" t="str">
        <f ca="1">VLOOKUP($A172,OFFSET([2]characters!$A$1,0,0,COUNTA([2]characters!$A:$A),MATCH(I$1,[2]characters!$1:$1,0)-MATCH($A$1,[2]characters!$1:$1,0)+1),MATCH(I$1,[2]characters!$1:$1,0)-MATCH($A$1,[2]characters!$1:$1,0)+1,FALSE)</f>
        <v>green</v>
      </c>
      <c r="J172" s="14">
        <f ca="1">VLOOKUP(I172,[2]属性!$A:$E,2,FALSE)</f>
        <v>1.02</v>
      </c>
      <c r="K172" s="14">
        <f ca="1">VLOOKUP(I172,[2]属性!$A:$E,3,FALSE)</f>
        <v>0.98</v>
      </c>
      <c r="L172" s="14">
        <f ca="1">VLOOKUP(I172,[2]属性!$A:$E,4,FALSE)</f>
        <v>1</v>
      </c>
      <c r="M172" s="14">
        <f ca="1">VLOOKUP(I172,[2]属性!$A:$E,5,FALSE)</f>
        <v>1</v>
      </c>
      <c r="N172" s="14">
        <f ca="1">INDEX(コスト!$A$1:$I$20,MATCH(H172,コスト!$A$1:$A$20,FALSE),MATCH(G172,コスト!$A$1:$I$1,FALSE))</f>
        <v>28</v>
      </c>
      <c r="O172" s="14">
        <f ca="1">INDEX(レベル!$A$1:$I$21,MATCH(H172,レベル!$A$1:$A$21,FALSE),MATCH(G172,レベル!$A$1:$I$1,FALSE))</f>
        <v>80</v>
      </c>
      <c r="P172" s="63">
        <f t="shared" ca="1" si="21"/>
        <v>75</v>
      </c>
      <c r="Q172" s="77" t="str">
        <f ca="1">VLOOKUP($A172,OFFSET([2]characters!$A$1,0,0,COUNTA([2]characters!$A:$A),MATCH(Q$1,[2]characters!$1:$1,0)-MATCH($A$1,[2]characters!$1:$1,0)+1),MATCH(Q$1,[2]characters!$1:$1,0)-MATCH($A$1,[2]characters!$1:$1,0)+1,FALSE)</f>
        <v>attack</v>
      </c>
      <c r="R172" s="8" t="str">
        <f ca="1">VLOOKUP(Q172,[2]character_type_i18n!$A:$H,3,FALSE)</f>
        <v>攻撃タイプ</v>
      </c>
      <c r="S172" s="14">
        <f ca="1">VLOOKUP(Q172,[2]character_type_i18n!$A:$H,4,FALSE)</f>
        <v>1</v>
      </c>
      <c r="T172" s="14">
        <f ca="1">VLOOKUP(Q172,[2]character_type_i18n!$A:$H,5,FALSE)</f>
        <v>1.33</v>
      </c>
      <c r="U172" s="14">
        <f ca="1">VLOOKUP(Q172,[2]character_type_i18n!$A:$H,6,FALSE)</f>
        <v>1</v>
      </c>
      <c r="V172" s="14">
        <f ca="1">VLOOKUP(Q172,[2]character_type_i18n!$A:$H,7,FALSE)</f>
        <v>0.67</v>
      </c>
      <c r="W172" s="77" t="str">
        <f ca="1">VLOOKUP($A172,OFFSET([2]characters!$A$1,0,0,COUNTA([2]characters!$A:$A),MATCH(W$1,[2]characters!$1:$1,0)-MATCH($A$1,[2]characters!$1:$1,0)+1),MATCH(W$1,[2]characters!$1:$1,0)-MATCH($A$1,[2]characters!$1:$1,0)+1,FALSE)</f>
        <v>god</v>
      </c>
      <c r="X172" s="8" t="str">
        <f ca="1">VLOOKUP(W172,[2]character_tribe_i18n!$A:$H,3,FALSE)</f>
        <v>ゴッド</v>
      </c>
      <c r="Y172" s="77" t="str">
        <f ca="1">VLOOKUP($A172,OFFSET([2]characters!$A$1,0,0,COUNTA([2]characters!$A:$A),MATCH(Y$1,[2]characters!$1:$1,0)-MATCH($A$1,[2]characters!$1:$1,0)+1),MATCH(Y$1,[2]characters!$1:$1,0)-MATCH($A$1,[2]characters!$1:$1,0)+1,FALSE)</f>
        <v>none</v>
      </c>
      <c r="Z172" s="8" t="str">
        <f ca="1">VLOOKUP(Y172,[2]character_tribe_i18n!$A:$H,3,FALSE)</f>
        <v>種族なし</v>
      </c>
      <c r="AA172" s="14">
        <f ca="1">VLOOKUP(W172,[2]character_tribe_i18n!$A:$H,4,FALSE)</f>
        <v>0.96</v>
      </c>
      <c r="AB172" s="14">
        <f ca="1">VLOOKUP(W172,[2]character_tribe_i18n!$A:$H,5,FALSE)</f>
        <v>1.02</v>
      </c>
      <c r="AC172" s="14">
        <f ca="1">VLOOKUP(W172,[2]character_tribe_i18n!$A:$H,6,FALSE)</f>
        <v>1</v>
      </c>
      <c r="AD172" s="14">
        <f ca="1">VLOOKUP(W172,[2]character_tribe_i18n!$A:$H,7,FALSE)</f>
        <v>1.02</v>
      </c>
      <c r="AE172" s="12">
        <v>806</v>
      </c>
      <c r="AF172" s="85" t="str">
        <f ca="1">IF(AE172="NULL","",VLOOKUP($AE172,OFFSET([2]characters!$A$1,0,0,COUNTA([2]characters!$A:$A),MATCH(AF$1,[2]characters!$1:$1,0)-MATCH($A$1,[2]characters!$1:$1,0)+1),MATCH(AF$1,[2]characters!$1:$1,0)-MATCH($A$1,[2]characters!$1:$1,0)+1,FALSE))</f>
        <v>全解の預智聖 オセ</v>
      </c>
      <c r="AG172" s="8">
        <f t="shared" ca="1" si="16"/>
        <v>169</v>
      </c>
      <c r="AH172" s="85" t="str">
        <f ca="1">VLOOKUP($AG172,OFFSET([2]characters!$A$1,0,0,COUNTA([2]characters!$A:$A),MATCH(AH$1,[2]characters!$1:$1,0)-MATCH($A$1,[2]characters!$1:$1,0)+1),MATCH(AH$1,[2]characters!$1:$1,0)-MATCH($A$1,[2]characters!$1:$1,0)+1,FALSE)</f>
        <v>オセ</v>
      </c>
      <c r="AI172" s="14">
        <f ca="1">IF(AE172="NULL","NULL",VLOOKUP(G172,ビット!$A$2:$B$7,2))</f>
        <v>200000</v>
      </c>
      <c r="AJ172" s="9">
        <v>2</v>
      </c>
      <c r="AK172" s="10" t="str">
        <f t="shared" si="17"/>
        <v>普通</v>
      </c>
      <c r="AL172" s="14" t="str">
        <f ca="1">INDEX(経験値!$A$1:$I$20,MATCH(H172,経験値!$A$1:$A$20,FALSE),MATCH(G172,経験値!$A$1:$I$1,FALSE))</f>
        <v>required_exp_200</v>
      </c>
      <c r="AM172" s="11">
        <f ca="1">VLOOKUP(G172,経験値!$A$27:$B$31,2)</f>
        <v>6400</v>
      </c>
      <c r="AN172" s="21">
        <f ca="1">VLOOKUP(G172,ビット!$G$2:$H$7,2)</f>
        <v>900</v>
      </c>
      <c r="AO172" s="98" t="s">
        <v>185</v>
      </c>
      <c r="AP172" s="97">
        <v>540002</v>
      </c>
      <c r="AQ172" s="77" t="e">
        <f ca="1">VLOOKUP($AP172,OFFSET([1]unit_skills!$A$1,0,0,COUNTA([1]unit_skills!$A:$A),MATCH("name",[1]unit_skills!$1:$1,0)-MATCH($AP$1,[1]unit_skills!$1:$1,0)+1),MATCH("name",[1]unit_skills!$1:$1,0)-MATCH($AP$1,[1]unit_skills!$1:$1,0)+1,FALSE)</f>
        <v>#VALUE!</v>
      </c>
      <c r="AR172" s="77" t="e">
        <f ca="1">VLOOKUP($AP172,OFFSET([1]unit_skills!$A$1,0,0,COUNTA([1]unit_skills!$A:$A),MATCH("comment",[1]unit_skills!$1:$1,0)-MATCH($AP$1,[1]unit_skills!$1:$1,0)+1),MATCH("comment",[1]unit_skills!$1:$1,0)-MATCH($AP$1,[1]unit_skills!$1:$1,0)+1,FALSE)</f>
        <v>#VALUE!</v>
      </c>
      <c r="AS172" s="77" t="e">
        <f ca="1">VLOOKUP($AP172,OFFSET([1]unit_skills!$A$1,0,0,COUNTA([1]unit_skills!$A:$A),MATCH(AS$1,[1]unit_skills!$1:$1,0)-MATCH($AP$1,[1]unit_skills!$1:$1,0)+1),MATCH(AS$1,[1]unit_skills!$1:$1,0)-MATCH($AP$1,[1]unit_skills!$1:$1,0)+1,FALSE)</f>
        <v>#VALUE!</v>
      </c>
      <c r="AT172" s="97">
        <v>112010</v>
      </c>
      <c r="AU172" s="77" t="e">
        <f ca="1">VLOOKUP($AT172,OFFSET([1]crash_skills!$A$1,0,0,COUNTA([1]crash_skills!$A:$A),MATCH("name",[1]crash_skills!$1:$1,0)-MATCH($AT$1,[1]crash_skills!$1:$1,0)+1),MATCH("name",[1]crash_skills!$1:$1,0)-MATCH($AT$1,[1]crash_skills!$1:$1,0)+1,FALSE)</f>
        <v>#VALUE!</v>
      </c>
      <c r="AV172" s="77" t="e">
        <f ca="1">VLOOKUP($AT172,OFFSET([1]crash_skills!$A$1,0,0,COUNTA([1]crash_skills!$A:$A),MATCH("comment",[1]crash_skills!$1:$1,0)-MATCH($AT$1,[1]crash_skills!$1:$1,0)+1),MATCH("comment",[1]crash_skills!$1:$1,0)-MATCH($AT$1,[1]crash_skills!$1:$1,0)+1,FALSE)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72" s="77" t="e">
        <f ca="1">VLOOKUP($AT172,OFFSET([1]crash_skills!$A$1,0,0,COUNTA([1]crash_skills!$A:$A),MATCH(AW$1,[1]crash_skills!$1:$1,0)-MATCH($AT$1,[1]crash_skills!$1:$1,0)+1),MATCH(AW$1,[1]crash_skills!$1:$1,0)-MATCH($AT$1,[1]crash_skills!$1:$1,0)+1,FALSE)</f>
        <v>#VALUE!</v>
      </c>
      <c r="AX172" s="81">
        <f ca="1">VLOOKUP($A172,OFFSET([2]characters!$A$1,0,0,COUNTA([2]characters!$A:$A),MATCH(AX$1,[2]characters!$1:$1,0)-MATCH($A$1,[2]characters!$1:$1,0)+1),MATCH(AX$1,[2]characters!$1:$1,0)-MATCH($A$1,[2]characters!$1:$1,0)+1,FALSE)</f>
        <v>3</v>
      </c>
      <c r="AY172" s="19">
        <v>1</v>
      </c>
      <c r="AZ172" s="19">
        <v>1</v>
      </c>
      <c r="BA172" s="19">
        <v>0</v>
      </c>
      <c r="BB172" s="19">
        <v>1</v>
      </c>
      <c r="BC172" s="14">
        <f ca="1">INDEX('RC6SV'!$A$1:$G$20,MATCH(H172,'RC6SV'!$A$1:$A$20,FALSE),MATCH(G172,'RC6SV'!$A$1:$G$1,FALSE))</f>
        <v>8500</v>
      </c>
      <c r="BD172" s="63">
        <f t="shared" ca="1" si="18"/>
        <v>8500</v>
      </c>
      <c r="BE172" s="14">
        <f t="shared" ca="1" si="19"/>
        <v>6700</v>
      </c>
      <c r="BF172" s="14">
        <f t="shared" ca="1" si="20"/>
        <v>1</v>
      </c>
      <c r="BG172" s="20">
        <f ca="1">IF($BE172&lt;=0,ROUND(BK172*0.5,0), ROUND($BE172*S172*AA172*J172*AY172*0.8*[2]ステータス!$B$2,0))</f>
        <v>2624</v>
      </c>
      <c r="BH172" s="20">
        <f ca="1">IF($BE172&lt;=0,ROUND(BL172*0.5,0), ROUND($BE172*T172*AB172*K172*AZ172*0.8*[2]ステータス!$C$2,0))</f>
        <v>2138</v>
      </c>
      <c r="BI172" s="20">
        <f ca="1">IF($BE172&lt;=0,ROUND(BM172*0.5,0), ROUND($BE172*U172*AC172*L172*BA172*0.8*[2]ステータス!$D$2,0))</f>
        <v>0</v>
      </c>
      <c r="BJ172" s="20">
        <f ca="1">IF($BE172&lt;=0,ROUND(BN172*0.5,0), ROUND($BE172*V172*AD172*M172*BB172*0.8*[2]ステータス!$E$2,0))</f>
        <v>916</v>
      </c>
      <c r="BK172" s="14">
        <f ca="1">ROUND(BD172*S172*AA172*J172*AY172*[2]ステータス!$B$2,0)</f>
        <v>4162</v>
      </c>
      <c r="BL172" s="14">
        <f ca="1">ROUND(BD172*T172*AB172*K172*AZ172*[2]ステータス!$C$2,0)</f>
        <v>3390</v>
      </c>
      <c r="BM172" s="14">
        <f ca="1">ROUND(BD172*U172*AC172*L172*BA172*[2]ステータス!$D$2,0)</f>
        <v>0</v>
      </c>
      <c r="BN172" s="14">
        <f ca="1">ROUND(BD172*V172*AD172*M172*BB172*[2]ステータス!$E$2,0)</f>
        <v>1452</v>
      </c>
      <c r="BO172" s="13">
        <v>0</v>
      </c>
      <c r="BP172" s="13">
        <v>1</v>
      </c>
      <c r="BQ172" s="13" t="s">
        <v>102</v>
      </c>
      <c r="BR172" s="234">
        <v>700</v>
      </c>
    </row>
    <row r="173" spans="1:70" ht="21" customHeight="1" x14ac:dyDescent="0.15">
      <c r="A173" s="14">
        <f t="shared" ca="1" si="15"/>
        <v>172</v>
      </c>
      <c r="B173" s="77" t="str">
        <f ca="1">VLOOKUP($A173,OFFSET([2]characters!$A$1,0,0,COUNTA([2]characters!$A:$A),MATCH(B$1,[2]characters!$1:$1,0)-MATCH($A$1,[2]characters!$1:$1,0)+1),MATCH(B$1,[2]characters!$1:$1,0)-MATCH($A$1,[2]characters!$1:$1,0)+1,FALSE)</f>
        <v>フォルネウス</v>
      </c>
      <c r="C173" s="77" t="str">
        <f ca="1">VLOOKUP($A173,OFFSET([2]characters!$A$1,0,0,COUNTA([2]characters!$A:$A),MATCH(C$1,[2]characters!$1:$1,0)-MATCH($A$1,[2]characters!$1:$1,0)+1),MATCH(C$1,[2]characters!$1:$1,0)-MATCH($A$1,[2]characters!$1:$1,0)+1,FALSE)</f>
        <v>初期ガチャ</v>
      </c>
      <c r="D173" s="77" t="str">
        <f ca="1">VLOOKUP($A173,OFFSET([2]characters!$A$1,0,0,COUNTA([2]characters!$A:$A),MATCH(D$1,[2]characters!$1:$1,0)-MATCH($A$1,[2]characters!$1:$1,0)+1),MATCH(D$1,[2]characters!$1:$1,0)-MATCH($A$1,[2]characters!$1:$1,0)+1,FALSE)</f>
        <v>執行者</v>
      </c>
      <c r="E173" s="77" t="str">
        <f ca="1">VLOOKUP($A173,OFFSET([2]characters!$A$1,0,0,COUNTA([2]characters!$A:$A),MATCH(E$1,[2]characters!$1:$1,0)-MATCH($A$1,[2]characters!$1:$1,0)+1),MATCH(E$1,[2]characters!$1:$1,0)-MATCH($A$1,[2]characters!$1:$1,0)+1,FALSE)</f>
        <v>可愛い</v>
      </c>
      <c r="F173" s="77" t="str">
        <f ca="1">VLOOKUP($A173,OFFSET([2]characters!$A$1,0,0,COUNTA([2]characters!$A:$A),MATCH(F$1,[2]characters!$1:$1,0)-MATCH($A$1,[2]characters!$1:$1,0)+1),MATCH(F$1,[2]characters!$1:$1,0)-MATCH($A$1,[2]characters!$1:$1,0)+1,FALSE)</f>
        <v>女性</v>
      </c>
      <c r="G173" s="77">
        <f ca="1">VLOOKUP($A173,OFFSET([2]characters!$A$1,0,0,COUNTA([2]characters!$A:$A),MATCH(G$1,[2]characters!$1:$1,0)-MATCH($A$1,[2]characters!$1:$1,0)+1),MATCH(G$1,[2]characters!$1:$1,0)-MATCH($A$1,[2]characters!$1:$1,0)+1,FALSE)</f>
        <v>3</v>
      </c>
      <c r="H173" s="77" t="str">
        <f ca="1">VLOOKUP($A173,OFFSET([2]characters!$A$1,0,0,COUNTA([2]characters!$A:$A),MATCH(H$1,[2]characters!$1:$1,0)-MATCH($A$1,[2]characters!$1:$1,0)+1),MATCH(H$1,[2]characters!$1:$1,0)-MATCH($A$1,[2]characters!$1:$1,0)+1,FALSE)</f>
        <v>PremiumN</v>
      </c>
      <c r="I173" s="77" t="str">
        <f ca="1">VLOOKUP($A173,OFFSET([2]characters!$A$1,0,0,COUNTA([2]characters!$A:$A),MATCH(I$1,[2]characters!$1:$1,0)-MATCH($A$1,[2]characters!$1:$1,0)+1),MATCH(I$1,[2]characters!$1:$1,0)-MATCH($A$1,[2]characters!$1:$1,0)+1,FALSE)</f>
        <v>blue</v>
      </c>
      <c r="J173" s="14">
        <f ca="1">VLOOKUP(I173,[2]属性!$A:$E,2,FALSE)</f>
        <v>1</v>
      </c>
      <c r="K173" s="14">
        <f ca="1">VLOOKUP(I173,[2]属性!$A:$E,3,FALSE)</f>
        <v>0.98</v>
      </c>
      <c r="L173" s="14">
        <f ca="1">VLOOKUP(I173,[2]属性!$A:$E,4,FALSE)</f>
        <v>1</v>
      </c>
      <c r="M173" s="14">
        <f ca="1">VLOOKUP(I173,[2]属性!$A:$E,5,FALSE)</f>
        <v>1.02</v>
      </c>
      <c r="N173" s="14">
        <f ca="1">INDEX(コスト!$A$1:$I$20,MATCH(H173,コスト!$A$1:$A$20,FALSE),MATCH(G173,コスト!$A$1:$I$1,FALSE))</f>
        <v>9</v>
      </c>
      <c r="O173" s="14">
        <f ca="1">INDEX(レベル!$A$1:$I$21,MATCH(H173,レベル!$A$1:$A$21,FALSE),MATCH(G173,レベル!$A$1:$I$1,FALSE))</f>
        <v>40</v>
      </c>
      <c r="P173" s="63">
        <f t="shared" ca="1" si="21"/>
        <v>45</v>
      </c>
      <c r="Q173" s="77" t="str">
        <f ca="1">VLOOKUP($A173,OFFSET([2]characters!$A$1,0,0,COUNTA([2]characters!$A:$A),MATCH(Q$1,[2]characters!$1:$1,0)-MATCH($A$1,[2]characters!$1:$1,0)+1),MATCH(Q$1,[2]characters!$1:$1,0)-MATCH($A$1,[2]characters!$1:$1,0)+1,FALSE)</f>
        <v>attack</v>
      </c>
      <c r="R173" s="8" t="str">
        <f ca="1">VLOOKUP(Q173,[2]character_type_i18n!$A:$H,3,FALSE)</f>
        <v>攻撃タイプ</v>
      </c>
      <c r="S173" s="14">
        <f ca="1">VLOOKUP(Q173,[2]character_type_i18n!$A:$H,4,FALSE)</f>
        <v>1</v>
      </c>
      <c r="T173" s="14">
        <f ca="1">VLOOKUP(Q173,[2]character_type_i18n!$A:$H,5,FALSE)</f>
        <v>1.33</v>
      </c>
      <c r="U173" s="14">
        <f ca="1">VLOOKUP(Q173,[2]character_type_i18n!$A:$H,6,FALSE)</f>
        <v>1</v>
      </c>
      <c r="V173" s="14">
        <f ca="1">VLOOKUP(Q173,[2]character_type_i18n!$A:$H,7,FALSE)</f>
        <v>0.67</v>
      </c>
      <c r="W173" s="77" t="str">
        <f ca="1">VLOOKUP($A173,OFFSET([2]characters!$A$1,0,0,COUNTA([2]characters!$A:$A),MATCH(W$1,[2]characters!$1:$1,0)-MATCH($A$1,[2]characters!$1:$1,0)+1),MATCH(W$1,[2]characters!$1:$1,0)-MATCH($A$1,[2]characters!$1:$1,0)+1,FALSE)</f>
        <v>god</v>
      </c>
      <c r="X173" s="8" t="str">
        <f ca="1">VLOOKUP(W173,[2]character_tribe_i18n!$A:$H,3,FALSE)</f>
        <v>ゴッド</v>
      </c>
      <c r="Y173" s="77" t="str">
        <f ca="1">VLOOKUP($A173,OFFSET([2]characters!$A$1,0,0,COUNTA([2]characters!$A:$A),MATCH(Y$1,[2]characters!$1:$1,0)-MATCH($A$1,[2]characters!$1:$1,0)+1),MATCH(Y$1,[2]characters!$1:$1,0)-MATCH($A$1,[2]characters!$1:$1,0)+1,FALSE)</f>
        <v>none</v>
      </c>
      <c r="Z173" s="8" t="str">
        <f ca="1">VLOOKUP(Y173,[2]character_tribe_i18n!$A:$H,3,FALSE)</f>
        <v>種族なし</v>
      </c>
      <c r="AA173" s="14">
        <f ca="1">VLOOKUP(W173,[2]character_tribe_i18n!$A:$H,4,FALSE)</f>
        <v>0.96</v>
      </c>
      <c r="AB173" s="14">
        <f ca="1">VLOOKUP(W173,[2]character_tribe_i18n!$A:$H,5,FALSE)</f>
        <v>1.02</v>
      </c>
      <c r="AC173" s="14">
        <f ca="1">VLOOKUP(W173,[2]character_tribe_i18n!$A:$H,6,FALSE)</f>
        <v>1</v>
      </c>
      <c r="AD173" s="14">
        <f ca="1">VLOOKUP(W173,[2]character_tribe_i18n!$A:$H,7,FALSE)</f>
        <v>1.02</v>
      </c>
      <c r="AE173" s="12">
        <v>173</v>
      </c>
      <c r="AF173" s="85" t="str">
        <f ca="1">IF(AE173="NULL","",VLOOKUP($AE173,OFFSET([2]characters!$A$1,0,0,COUNTA([2]characters!$A:$A),MATCH(AF$1,[2]characters!$1:$1,0)-MATCH($A$1,[2]characters!$1:$1,0)+1),MATCH(AF$1,[2]characters!$1:$1,0)-MATCH($A$1,[2]characters!$1:$1,0)+1,FALSE))</f>
        <v>公爵 フォルネウス</v>
      </c>
      <c r="AG173" s="8">
        <f t="shared" ca="1" si="16"/>
        <v>172</v>
      </c>
      <c r="AH173" s="85" t="str">
        <f ca="1">VLOOKUP($AG173,OFFSET([2]characters!$A$1,0,0,COUNTA([2]characters!$A:$A),MATCH(AH$1,[2]characters!$1:$1,0)-MATCH($A$1,[2]characters!$1:$1,0)+1),MATCH(AH$1,[2]characters!$1:$1,0)-MATCH($A$1,[2]characters!$1:$1,0)+1,FALSE)</f>
        <v>フォルネウス</v>
      </c>
      <c r="AI173" s="14">
        <f ca="1">IF(AE173="NULL","NULL",VLOOKUP(G173,ビット!$A$2:$B$7,2))</f>
        <v>20000</v>
      </c>
      <c r="AJ173" s="9">
        <v>2</v>
      </c>
      <c r="AK173" s="10" t="str">
        <f t="shared" si="17"/>
        <v>普通</v>
      </c>
      <c r="AL173" s="14" t="str">
        <f ca="1">INDEX(経験値!$A$1:$I$20,MATCH(H173,経験値!$A$1:$A$20,FALSE),MATCH(G173,経験値!$A$1:$I$1,FALSE))</f>
        <v>required_exp_200</v>
      </c>
      <c r="AM173" s="11">
        <f ca="1">VLOOKUP(G173,経験値!$A$27:$B$31,2)</f>
        <v>1500</v>
      </c>
      <c r="AN173" s="21">
        <f ca="1">VLOOKUP(G173,ビット!$G$2:$H$7,2)</f>
        <v>300</v>
      </c>
      <c r="AO173" s="98" t="s">
        <v>185</v>
      </c>
      <c r="AP173" s="97">
        <v>113003</v>
      </c>
      <c r="AQ173" s="77" t="e">
        <f ca="1">VLOOKUP($AP173,OFFSET([1]unit_skills!$A$1,0,0,COUNTA([1]unit_skills!$A:$A),MATCH("name",[1]unit_skills!$1:$1,0)-MATCH($AP$1,[1]unit_skills!$1:$1,0)+1),MATCH("name",[1]unit_skills!$1:$1,0)-MATCH($AP$1,[1]unit_skills!$1:$1,0)+1,FALSE)</f>
        <v>#VALUE!</v>
      </c>
      <c r="AR173" s="77" t="e">
        <f ca="1">VLOOKUP($AP173,OFFSET([1]unit_skills!$A$1,0,0,COUNTA([1]unit_skills!$A:$A),MATCH("comment",[1]unit_skills!$1:$1,0)-MATCH($AP$1,[1]unit_skills!$1:$1,0)+1),MATCH("comment",[1]unit_skills!$1:$1,0)-MATCH($AP$1,[1]unit_skills!$1:$1,0)+1,FALSE)</f>
        <v>#VALUE!</v>
      </c>
      <c r="AS173" s="77" t="e">
        <f ca="1">VLOOKUP($AP173,OFFSET([1]unit_skills!$A$1,0,0,COUNTA([1]unit_skills!$A:$A),MATCH(AS$1,[1]unit_skills!$1:$1,0)-MATCH($AP$1,[1]unit_skills!$1:$1,0)+1),MATCH(AS$1,[1]unit_skills!$1:$1,0)-MATCH($AP$1,[1]unit_skills!$1:$1,0)+1,FALSE)</f>
        <v>#VALUE!</v>
      </c>
      <c r="AT173" s="97">
        <v>123004</v>
      </c>
      <c r="AU173" s="77" t="e">
        <f ca="1">VLOOKUP($AT173,OFFSET([1]crash_skills!$A$1,0,0,COUNTA([1]crash_skills!$A:$A),MATCH("name",[1]crash_skills!$1:$1,0)-MATCH($AT$1,[1]crash_skills!$1:$1,0)+1),MATCH("name",[1]crash_skills!$1:$1,0)-MATCH($AT$1,[1]crash_skills!$1:$1,0)+1,FALSE)</f>
        <v>#VALUE!</v>
      </c>
      <c r="AV173" s="77" t="e">
        <f ca="1">VLOOKUP($AT173,OFFSET([1]crash_skills!$A$1,0,0,COUNTA([1]crash_skills!$A:$A),MATCH("comment",[1]crash_skills!$1:$1,0)-MATCH($AT$1,[1]crash_skills!$1:$1,0)+1),MATCH("comment",[1]crash_skills!$1:$1,0)-MATCH($AT$1,[1]crash_skills!$1:$1,0)+1,FALSE)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73" s="77" t="e">
        <f ca="1">VLOOKUP($AT173,OFFSET([1]crash_skills!$A$1,0,0,COUNTA([1]crash_skills!$A:$A),MATCH(AW$1,[1]crash_skills!$1:$1,0)-MATCH($AT$1,[1]crash_skills!$1:$1,0)+1),MATCH(AW$1,[1]crash_skills!$1:$1,0)-MATCH($AT$1,[1]crash_skills!$1:$1,0)+1,FALSE)</f>
        <v>#VALUE!</v>
      </c>
      <c r="AX173" s="81">
        <f ca="1">VLOOKUP($A173,OFFSET([2]characters!$A$1,0,0,COUNTA([2]characters!$A:$A),MATCH(AX$1,[2]characters!$1:$1,0)-MATCH($A$1,[2]characters!$1:$1,0)+1),MATCH(AX$1,[2]characters!$1:$1,0)-MATCH($A$1,[2]characters!$1:$1,0)+1,FALSE)</f>
        <v>3</v>
      </c>
      <c r="AY173" s="19">
        <v>1</v>
      </c>
      <c r="AZ173" s="19">
        <v>1</v>
      </c>
      <c r="BA173" s="19">
        <v>0</v>
      </c>
      <c r="BB173" s="19">
        <v>1</v>
      </c>
      <c r="BC173" s="14">
        <f ca="1">INDEX('RC6SV'!$A$1:$G$20,MATCH(H173,'RC6SV'!$A$1:$A$20,FALSE),MATCH(G173,'RC6SV'!$A$1:$G$1,FALSE))</f>
        <v>4900</v>
      </c>
      <c r="BD173" s="63">
        <f t="shared" ca="1" si="18"/>
        <v>4900</v>
      </c>
      <c r="BE173" s="14">
        <f t="shared" ca="1" si="19"/>
        <v>0</v>
      </c>
      <c r="BF173" s="14">
        <f t="shared" ca="1" si="20"/>
        <v>1</v>
      </c>
      <c r="BG173" s="20">
        <f ca="1">IF($BE173&lt;=0,ROUND(BK173*0.5,0), ROUND($BE173*S173*AA173*J173*AY173*0.8*[2]ステータス!$B$2,0))</f>
        <v>1176</v>
      </c>
      <c r="BH173" s="20">
        <f ca="1">IF($BE173&lt;=0,ROUND(BL173*0.5,0), ROUND($BE173*T173*AB173*K173*AZ173*0.8*[2]ステータス!$C$2,0))</f>
        <v>977</v>
      </c>
      <c r="BI173" s="20">
        <f ca="1">IF($BE173&lt;=0,ROUND(BM173*0.5,0), ROUND($BE173*U173*AC173*L173*BA173*0.8*[2]ステータス!$D$2,0))</f>
        <v>0</v>
      </c>
      <c r="BJ173" s="20">
        <f ca="1">IF($BE173&lt;=0,ROUND(BN173*0.5,0), ROUND($BE173*V173*AD173*M173*BB173*0.8*[2]ステータス!$E$2,0))</f>
        <v>427</v>
      </c>
      <c r="BK173" s="14">
        <f ca="1">ROUND(BD173*S173*AA173*J173*AY173*[2]ステータス!$B$2,0)</f>
        <v>2352</v>
      </c>
      <c r="BL173" s="14">
        <f ca="1">ROUND(BD173*T173*AB173*K173*AZ173*[2]ステータス!$C$2,0)</f>
        <v>1954</v>
      </c>
      <c r="BM173" s="14">
        <f ca="1">ROUND(BD173*U173*AC173*L173*BA173*[2]ステータス!$D$2,0)</f>
        <v>0</v>
      </c>
      <c r="BN173" s="14">
        <f ca="1">ROUND(BD173*V173*AD173*M173*BB173*[2]ステータス!$E$2,0)</f>
        <v>854</v>
      </c>
      <c r="BO173" s="13">
        <v>0</v>
      </c>
      <c r="BP173" s="13">
        <v>1</v>
      </c>
      <c r="BQ173" s="13" t="s">
        <v>102</v>
      </c>
      <c r="BR173" s="234">
        <v>700</v>
      </c>
    </row>
    <row r="174" spans="1:70" ht="21" customHeight="1" x14ac:dyDescent="0.15">
      <c r="A174" s="14">
        <f t="shared" ca="1" si="15"/>
        <v>173</v>
      </c>
      <c r="B174" s="77" t="str">
        <f ca="1">VLOOKUP($A174,OFFSET([2]characters!$A$1,0,0,COUNTA([2]characters!$A:$A),MATCH(B$1,[2]characters!$1:$1,0)-MATCH($A$1,[2]characters!$1:$1,0)+1),MATCH(B$1,[2]characters!$1:$1,0)-MATCH($A$1,[2]characters!$1:$1,0)+1,FALSE)</f>
        <v>公爵 フォルネウス</v>
      </c>
      <c r="C174" s="77" t="str">
        <f ca="1">VLOOKUP($A174,OFFSET([2]characters!$A$1,0,0,COUNTA([2]characters!$A:$A),MATCH(C$1,[2]characters!$1:$1,0)-MATCH($A$1,[2]characters!$1:$1,0)+1),MATCH(C$1,[2]characters!$1:$1,0)-MATCH($A$1,[2]characters!$1:$1,0)+1,FALSE)</f>
        <v>初期ガチャ</v>
      </c>
      <c r="D174" s="77" t="str">
        <f ca="1">VLOOKUP($A174,OFFSET([2]characters!$A$1,0,0,COUNTA([2]characters!$A:$A),MATCH(D$1,[2]characters!$1:$1,0)-MATCH($A$1,[2]characters!$1:$1,0)+1),MATCH(D$1,[2]characters!$1:$1,0)-MATCH($A$1,[2]characters!$1:$1,0)+1,FALSE)</f>
        <v>執行者</v>
      </c>
      <c r="E174" s="77" t="str">
        <f ca="1">VLOOKUP($A174,OFFSET([2]characters!$A$1,0,0,COUNTA([2]characters!$A:$A),MATCH(E$1,[2]characters!$1:$1,0)-MATCH($A$1,[2]characters!$1:$1,0)+1),MATCH(E$1,[2]characters!$1:$1,0)-MATCH($A$1,[2]characters!$1:$1,0)+1,FALSE)</f>
        <v>可愛い</v>
      </c>
      <c r="F174" s="77" t="str">
        <f ca="1">VLOOKUP($A174,OFFSET([2]characters!$A$1,0,0,COUNTA([2]characters!$A:$A),MATCH(F$1,[2]characters!$1:$1,0)-MATCH($A$1,[2]characters!$1:$1,0)+1),MATCH(F$1,[2]characters!$1:$1,0)-MATCH($A$1,[2]characters!$1:$1,0)+1,FALSE)</f>
        <v>女性</v>
      </c>
      <c r="G174" s="77">
        <f ca="1">VLOOKUP($A174,OFFSET([2]characters!$A$1,0,0,COUNTA([2]characters!$A:$A),MATCH(G$1,[2]characters!$1:$1,0)-MATCH($A$1,[2]characters!$1:$1,0)+1),MATCH(G$1,[2]characters!$1:$1,0)-MATCH($A$1,[2]characters!$1:$1,0)+1,FALSE)</f>
        <v>4</v>
      </c>
      <c r="H174" s="77" t="str">
        <f ca="1">VLOOKUP($A174,OFFSET([2]characters!$A$1,0,0,COUNTA([2]characters!$A:$A),MATCH(H$1,[2]characters!$1:$1,0)-MATCH($A$1,[2]characters!$1:$1,0)+1),MATCH(H$1,[2]characters!$1:$1,0)-MATCH($A$1,[2]characters!$1:$1,0)+1,FALSE)</f>
        <v>PremiumN</v>
      </c>
      <c r="I174" s="77" t="str">
        <f ca="1">VLOOKUP($A174,OFFSET([2]characters!$A$1,0,0,COUNTA([2]characters!$A:$A),MATCH(I$1,[2]characters!$1:$1,0)-MATCH($A$1,[2]characters!$1:$1,0)+1),MATCH(I$1,[2]characters!$1:$1,0)-MATCH($A$1,[2]characters!$1:$1,0)+1,FALSE)</f>
        <v>blue</v>
      </c>
      <c r="J174" s="14">
        <f ca="1">VLOOKUP(I174,[2]属性!$A:$E,2,FALSE)</f>
        <v>1</v>
      </c>
      <c r="K174" s="14">
        <f ca="1">VLOOKUP(I174,[2]属性!$A:$E,3,FALSE)</f>
        <v>0.98</v>
      </c>
      <c r="L174" s="14">
        <f ca="1">VLOOKUP(I174,[2]属性!$A:$E,4,FALSE)</f>
        <v>1</v>
      </c>
      <c r="M174" s="14">
        <f ca="1">VLOOKUP(I174,[2]属性!$A:$E,5,FALSE)</f>
        <v>1.02</v>
      </c>
      <c r="N174" s="14">
        <f ca="1">INDEX(コスト!$A$1:$I$20,MATCH(H174,コスト!$A$1:$A$20,FALSE),MATCH(G174,コスト!$A$1:$I$1,FALSE))</f>
        <v>18</v>
      </c>
      <c r="O174" s="14">
        <f ca="1">INDEX(レベル!$A$1:$I$21,MATCH(H174,レベル!$A$1:$A$21,FALSE),MATCH(G174,レベル!$A$1:$I$1,FALSE))</f>
        <v>60</v>
      </c>
      <c r="P174" s="63">
        <f t="shared" ca="1" si="21"/>
        <v>60</v>
      </c>
      <c r="Q174" s="77" t="str">
        <f ca="1">VLOOKUP($A174,OFFSET([2]characters!$A$1,0,0,COUNTA([2]characters!$A:$A),MATCH(Q$1,[2]characters!$1:$1,0)-MATCH($A$1,[2]characters!$1:$1,0)+1),MATCH(Q$1,[2]characters!$1:$1,0)-MATCH($A$1,[2]characters!$1:$1,0)+1,FALSE)</f>
        <v>attack</v>
      </c>
      <c r="R174" s="8" t="str">
        <f ca="1">VLOOKUP(Q174,[2]character_type_i18n!$A:$H,3,FALSE)</f>
        <v>攻撃タイプ</v>
      </c>
      <c r="S174" s="14">
        <f ca="1">VLOOKUP(Q174,[2]character_type_i18n!$A:$H,4,FALSE)</f>
        <v>1</v>
      </c>
      <c r="T174" s="14">
        <f ca="1">VLOOKUP(Q174,[2]character_type_i18n!$A:$H,5,FALSE)</f>
        <v>1.33</v>
      </c>
      <c r="U174" s="14">
        <f ca="1">VLOOKUP(Q174,[2]character_type_i18n!$A:$H,6,FALSE)</f>
        <v>1</v>
      </c>
      <c r="V174" s="14">
        <f ca="1">VLOOKUP(Q174,[2]character_type_i18n!$A:$H,7,FALSE)</f>
        <v>0.67</v>
      </c>
      <c r="W174" s="77" t="str">
        <f ca="1">VLOOKUP($A174,OFFSET([2]characters!$A$1,0,0,COUNTA([2]characters!$A:$A),MATCH(W$1,[2]characters!$1:$1,0)-MATCH($A$1,[2]characters!$1:$1,0)+1),MATCH(W$1,[2]characters!$1:$1,0)-MATCH($A$1,[2]characters!$1:$1,0)+1,FALSE)</f>
        <v>god</v>
      </c>
      <c r="X174" s="8" t="str">
        <f ca="1">VLOOKUP(W174,[2]character_tribe_i18n!$A:$H,3,FALSE)</f>
        <v>ゴッド</v>
      </c>
      <c r="Y174" s="77" t="str">
        <f ca="1">VLOOKUP($A174,OFFSET([2]characters!$A$1,0,0,COUNTA([2]characters!$A:$A),MATCH(Y$1,[2]characters!$1:$1,0)-MATCH($A$1,[2]characters!$1:$1,0)+1),MATCH(Y$1,[2]characters!$1:$1,0)-MATCH($A$1,[2]characters!$1:$1,0)+1,FALSE)</f>
        <v>none</v>
      </c>
      <c r="Z174" s="8" t="str">
        <f ca="1">VLOOKUP(Y174,[2]character_tribe_i18n!$A:$H,3,FALSE)</f>
        <v>種族なし</v>
      </c>
      <c r="AA174" s="14">
        <f ca="1">VLOOKUP(W174,[2]character_tribe_i18n!$A:$H,4,FALSE)</f>
        <v>0.96</v>
      </c>
      <c r="AB174" s="14">
        <f ca="1">VLOOKUP(W174,[2]character_tribe_i18n!$A:$H,5,FALSE)</f>
        <v>1.02</v>
      </c>
      <c r="AC174" s="14">
        <f ca="1">VLOOKUP(W174,[2]character_tribe_i18n!$A:$H,6,FALSE)</f>
        <v>1</v>
      </c>
      <c r="AD174" s="14">
        <f ca="1">VLOOKUP(W174,[2]character_tribe_i18n!$A:$H,7,FALSE)</f>
        <v>1.02</v>
      </c>
      <c r="AE174" s="12">
        <v>174</v>
      </c>
      <c r="AF174" s="85" t="str">
        <f ca="1">IF(AE174="NULL","",VLOOKUP($AE174,OFFSET([2]characters!$A$1,0,0,COUNTA([2]characters!$A:$A),MATCH(AF$1,[2]characters!$1:$1,0)-MATCH($A$1,[2]characters!$1:$1,0)+1),MATCH(AF$1,[2]characters!$1:$1,0)-MATCH($A$1,[2]characters!$1:$1,0)+1,FALSE))</f>
        <v>偽愛の大公爵 フォルネウス</v>
      </c>
      <c r="AG174" s="8">
        <f t="shared" ca="1" si="16"/>
        <v>172</v>
      </c>
      <c r="AH174" s="85" t="str">
        <f ca="1">VLOOKUP($AG174,OFFSET([2]characters!$A$1,0,0,COUNTA([2]characters!$A:$A),MATCH(AH$1,[2]characters!$1:$1,0)-MATCH($A$1,[2]characters!$1:$1,0)+1),MATCH(AH$1,[2]characters!$1:$1,0)-MATCH($A$1,[2]characters!$1:$1,0)+1,FALSE)</f>
        <v>フォルネウス</v>
      </c>
      <c r="AI174" s="14">
        <f ca="1">IF(AE174="NULL","NULL",VLOOKUP(G174,ビット!$A$2:$B$7,2))</f>
        <v>50000</v>
      </c>
      <c r="AJ174" s="9">
        <v>2</v>
      </c>
      <c r="AK174" s="10" t="str">
        <f t="shared" si="17"/>
        <v>普通</v>
      </c>
      <c r="AL174" s="14" t="str">
        <f ca="1">INDEX(経験値!$A$1:$I$20,MATCH(H174,経験値!$A$1:$A$20,FALSE),MATCH(G174,経験値!$A$1:$I$1,FALSE))</f>
        <v>required_exp_200</v>
      </c>
      <c r="AM174" s="11">
        <f ca="1">VLOOKUP(G174,経験値!$A$27:$B$31,2)</f>
        <v>3400</v>
      </c>
      <c r="AN174" s="21">
        <f ca="1">VLOOKUP(G174,ビット!$G$2:$H$7,2)</f>
        <v>600</v>
      </c>
      <c r="AO174" s="98" t="s">
        <v>185</v>
      </c>
      <c r="AP174" s="97">
        <v>113004</v>
      </c>
      <c r="AQ174" s="77" t="e">
        <f ca="1">VLOOKUP($AP174,OFFSET([1]unit_skills!$A$1,0,0,COUNTA([1]unit_skills!$A:$A),MATCH("name",[1]unit_skills!$1:$1,0)-MATCH($AP$1,[1]unit_skills!$1:$1,0)+1),MATCH("name",[1]unit_skills!$1:$1,0)-MATCH($AP$1,[1]unit_skills!$1:$1,0)+1,FALSE)</f>
        <v>#VALUE!</v>
      </c>
      <c r="AR174" s="77" t="e">
        <f ca="1">VLOOKUP($AP174,OFFSET([1]unit_skills!$A$1,0,0,COUNTA([1]unit_skills!$A:$A),MATCH("comment",[1]unit_skills!$1:$1,0)-MATCH($AP$1,[1]unit_skills!$1:$1,0)+1),MATCH("comment",[1]unit_skills!$1:$1,0)-MATCH($AP$1,[1]unit_skills!$1:$1,0)+1,FALSE)</f>
        <v>#VALUE!</v>
      </c>
      <c r="AS174" s="77" t="e">
        <f ca="1">VLOOKUP($AP174,OFFSET([1]unit_skills!$A$1,0,0,COUNTA([1]unit_skills!$A:$A),MATCH(AS$1,[1]unit_skills!$1:$1,0)-MATCH($AP$1,[1]unit_skills!$1:$1,0)+1),MATCH(AS$1,[1]unit_skills!$1:$1,0)-MATCH($AP$1,[1]unit_skills!$1:$1,0)+1,FALSE)</f>
        <v>#VALUE!</v>
      </c>
      <c r="AT174" s="97">
        <v>123004</v>
      </c>
      <c r="AU174" s="77" t="e">
        <f ca="1">VLOOKUP($AT174,OFFSET([1]crash_skills!$A$1,0,0,COUNTA([1]crash_skills!$A:$A),MATCH("name",[1]crash_skills!$1:$1,0)-MATCH($AT$1,[1]crash_skills!$1:$1,0)+1),MATCH("name",[1]crash_skills!$1:$1,0)-MATCH($AT$1,[1]crash_skills!$1:$1,0)+1,FALSE)</f>
        <v>#VALUE!</v>
      </c>
      <c r="AV174" s="77" t="e">
        <f ca="1">VLOOKUP($AT174,OFFSET([1]crash_skills!$A$1,0,0,COUNTA([1]crash_skills!$A:$A),MATCH("comment",[1]crash_skills!$1:$1,0)-MATCH($AT$1,[1]crash_skills!$1:$1,0)+1),MATCH("comment",[1]crash_skills!$1:$1,0)-MATCH($AT$1,[1]crash_skills!$1:$1,0)+1,FALSE)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74" s="77" t="e">
        <f ca="1">VLOOKUP($AT174,OFFSET([1]crash_skills!$A$1,0,0,COUNTA([1]crash_skills!$A:$A),MATCH(AW$1,[1]crash_skills!$1:$1,0)-MATCH($AT$1,[1]crash_skills!$1:$1,0)+1),MATCH(AW$1,[1]crash_skills!$1:$1,0)-MATCH($AT$1,[1]crash_skills!$1:$1,0)+1,FALSE)</f>
        <v>#VALUE!</v>
      </c>
      <c r="AX174" s="81">
        <f ca="1">VLOOKUP($A174,OFFSET([2]characters!$A$1,0,0,COUNTA([2]characters!$A:$A),MATCH(AX$1,[2]characters!$1:$1,0)-MATCH($A$1,[2]characters!$1:$1,0)+1),MATCH(AX$1,[2]characters!$1:$1,0)-MATCH($A$1,[2]characters!$1:$1,0)+1,FALSE)</f>
        <v>3</v>
      </c>
      <c r="AY174" s="19">
        <v>1</v>
      </c>
      <c r="AZ174" s="19">
        <v>1</v>
      </c>
      <c r="BA174" s="19">
        <v>0</v>
      </c>
      <c r="BB174" s="19">
        <v>1</v>
      </c>
      <c r="BC174" s="14">
        <f ca="1">INDEX('RC6SV'!$A$1:$G$20,MATCH(H174,'RC6SV'!$A$1:$A$20,FALSE),MATCH(G174,'RC6SV'!$A$1:$G$1,FALSE))</f>
        <v>6700</v>
      </c>
      <c r="BD174" s="63">
        <f t="shared" ca="1" si="18"/>
        <v>6700</v>
      </c>
      <c r="BE174" s="14">
        <f t="shared" ca="1" si="19"/>
        <v>4900</v>
      </c>
      <c r="BF174" s="14">
        <f t="shared" ca="1" si="20"/>
        <v>1</v>
      </c>
      <c r="BG174" s="20">
        <f ca="1">IF($BE174&lt;=0,ROUND(BK174*0.5,0), ROUND($BE174*S174*AA174*J174*AY174*0.8*[2]ステータス!$B$2,0))</f>
        <v>1882</v>
      </c>
      <c r="BH174" s="20">
        <f ca="1">IF($BE174&lt;=0,ROUND(BL174*0.5,0), ROUND($BE174*T174*AB174*K174*AZ174*0.8*[2]ステータス!$C$2,0))</f>
        <v>1563</v>
      </c>
      <c r="BI174" s="20">
        <f ca="1">IF($BE174&lt;=0,ROUND(BM174*0.5,0), ROUND($BE174*U174*AC174*L174*BA174*0.8*[2]ステータス!$D$2,0))</f>
        <v>0</v>
      </c>
      <c r="BJ174" s="20">
        <f ca="1">IF($BE174&lt;=0,ROUND(BN174*0.5,0), ROUND($BE174*V174*AD174*M174*BB174*0.8*[2]ステータス!$E$2,0))</f>
        <v>683</v>
      </c>
      <c r="BK174" s="14">
        <f ca="1">ROUND(BD174*S174*AA174*J174*AY174*[2]ステータス!$B$2,0)</f>
        <v>3216</v>
      </c>
      <c r="BL174" s="14">
        <f ca="1">ROUND(BD174*T174*AB174*K174*AZ174*[2]ステータス!$C$2,0)</f>
        <v>2672</v>
      </c>
      <c r="BM174" s="14">
        <f ca="1">ROUND(BD174*U174*AC174*L174*BA174*[2]ステータス!$D$2,0)</f>
        <v>0</v>
      </c>
      <c r="BN174" s="14">
        <f ca="1">ROUND(BD174*V174*AD174*M174*BB174*[2]ステータス!$E$2,0)</f>
        <v>1168</v>
      </c>
      <c r="BO174" s="13">
        <v>0</v>
      </c>
      <c r="BP174" s="13">
        <v>1</v>
      </c>
      <c r="BQ174" s="13" t="s">
        <v>102</v>
      </c>
      <c r="BR174" s="234">
        <v>700</v>
      </c>
    </row>
    <row r="175" spans="1:70" ht="21" customHeight="1" x14ac:dyDescent="0.15">
      <c r="A175" s="14">
        <f t="shared" ca="1" si="15"/>
        <v>174</v>
      </c>
      <c r="B175" s="77" t="str">
        <f ca="1">VLOOKUP($A175,OFFSET([2]characters!$A$1,0,0,COUNTA([2]characters!$A:$A),MATCH(B$1,[2]characters!$1:$1,0)-MATCH($A$1,[2]characters!$1:$1,0)+1),MATCH(B$1,[2]characters!$1:$1,0)-MATCH($A$1,[2]characters!$1:$1,0)+1,FALSE)</f>
        <v>偽愛の大公爵 フォルネウス</v>
      </c>
      <c r="C175" s="77" t="str">
        <f ca="1">VLOOKUP($A175,OFFSET([2]characters!$A$1,0,0,COUNTA([2]characters!$A:$A),MATCH(C$1,[2]characters!$1:$1,0)-MATCH($A$1,[2]characters!$1:$1,0)+1),MATCH(C$1,[2]characters!$1:$1,0)-MATCH($A$1,[2]characters!$1:$1,0)+1,FALSE)</f>
        <v>初期ガチャ</v>
      </c>
      <c r="D175" s="77" t="str">
        <f ca="1">VLOOKUP($A175,OFFSET([2]characters!$A$1,0,0,COUNTA([2]characters!$A:$A),MATCH(D$1,[2]characters!$1:$1,0)-MATCH($A$1,[2]characters!$1:$1,0)+1),MATCH(D$1,[2]characters!$1:$1,0)-MATCH($A$1,[2]characters!$1:$1,0)+1,FALSE)</f>
        <v>執行者</v>
      </c>
      <c r="E175" s="77" t="str">
        <f ca="1">VLOOKUP($A175,OFFSET([2]characters!$A$1,0,0,COUNTA([2]characters!$A:$A),MATCH(E$1,[2]characters!$1:$1,0)-MATCH($A$1,[2]characters!$1:$1,0)+1),MATCH(E$1,[2]characters!$1:$1,0)-MATCH($A$1,[2]characters!$1:$1,0)+1,FALSE)</f>
        <v>可愛い</v>
      </c>
      <c r="F175" s="77" t="str">
        <f ca="1">VLOOKUP($A175,OFFSET([2]characters!$A$1,0,0,COUNTA([2]characters!$A:$A),MATCH(F$1,[2]characters!$1:$1,0)-MATCH($A$1,[2]characters!$1:$1,0)+1),MATCH(F$1,[2]characters!$1:$1,0)-MATCH($A$1,[2]characters!$1:$1,0)+1,FALSE)</f>
        <v>女性</v>
      </c>
      <c r="G175" s="77">
        <f ca="1">VLOOKUP($A175,OFFSET([2]characters!$A$1,0,0,COUNTA([2]characters!$A:$A),MATCH(G$1,[2]characters!$1:$1,0)-MATCH($A$1,[2]characters!$1:$1,0)+1),MATCH(G$1,[2]characters!$1:$1,0)-MATCH($A$1,[2]characters!$1:$1,0)+1,FALSE)</f>
        <v>5</v>
      </c>
      <c r="H175" s="77" t="str">
        <f ca="1">VLOOKUP($A175,OFFSET([2]characters!$A$1,0,0,COUNTA([2]characters!$A:$A),MATCH(H$1,[2]characters!$1:$1,0)-MATCH($A$1,[2]characters!$1:$1,0)+1),MATCH(H$1,[2]characters!$1:$1,0)-MATCH($A$1,[2]characters!$1:$1,0)+1,FALSE)</f>
        <v>PremiumN</v>
      </c>
      <c r="I175" s="77" t="str">
        <f ca="1">VLOOKUP($A175,OFFSET([2]characters!$A$1,0,0,COUNTA([2]characters!$A:$A),MATCH(I$1,[2]characters!$1:$1,0)-MATCH($A$1,[2]characters!$1:$1,0)+1),MATCH(I$1,[2]characters!$1:$1,0)-MATCH($A$1,[2]characters!$1:$1,0)+1,FALSE)</f>
        <v>blue</v>
      </c>
      <c r="J175" s="14">
        <f ca="1">VLOOKUP(I175,[2]属性!$A:$E,2,FALSE)</f>
        <v>1</v>
      </c>
      <c r="K175" s="14">
        <f ca="1">VLOOKUP(I175,[2]属性!$A:$E,3,FALSE)</f>
        <v>0.98</v>
      </c>
      <c r="L175" s="14">
        <f ca="1">VLOOKUP(I175,[2]属性!$A:$E,4,FALSE)</f>
        <v>1</v>
      </c>
      <c r="M175" s="14">
        <f ca="1">VLOOKUP(I175,[2]属性!$A:$E,5,FALSE)</f>
        <v>1.02</v>
      </c>
      <c r="N175" s="14">
        <f ca="1">INDEX(コスト!$A$1:$I$20,MATCH(H175,コスト!$A$1:$A$20,FALSE),MATCH(G175,コスト!$A$1:$I$1,FALSE))</f>
        <v>28</v>
      </c>
      <c r="O175" s="14">
        <f ca="1">INDEX(レベル!$A$1:$I$21,MATCH(H175,レベル!$A$1:$A$21,FALSE),MATCH(G175,レベル!$A$1:$I$1,FALSE))</f>
        <v>80</v>
      </c>
      <c r="P175" s="63">
        <f t="shared" ca="1" si="21"/>
        <v>75</v>
      </c>
      <c r="Q175" s="77" t="str">
        <f ca="1">VLOOKUP($A175,OFFSET([2]characters!$A$1,0,0,COUNTA([2]characters!$A:$A),MATCH(Q$1,[2]characters!$1:$1,0)-MATCH($A$1,[2]characters!$1:$1,0)+1),MATCH(Q$1,[2]characters!$1:$1,0)-MATCH($A$1,[2]characters!$1:$1,0)+1,FALSE)</f>
        <v>attack</v>
      </c>
      <c r="R175" s="8" t="str">
        <f ca="1">VLOOKUP(Q175,[2]character_type_i18n!$A:$H,3,FALSE)</f>
        <v>攻撃タイプ</v>
      </c>
      <c r="S175" s="14">
        <f ca="1">VLOOKUP(Q175,[2]character_type_i18n!$A:$H,4,FALSE)</f>
        <v>1</v>
      </c>
      <c r="T175" s="14">
        <f ca="1">VLOOKUP(Q175,[2]character_type_i18n!$A:$H,5,FALSE)</f>
        <v>1.33</v>
      </c>
      <c r="U175" s="14">
        <f ca="1">VLOOKUP(Q175,[2]character_type_i18n!$A:$H,6,FALSE)</f>
        <v>1</v>
      </c>
      <c r="V175" s="14">
        <f ca="1">VLOOKUP(Q175,[2]character_type_i18n!$A:$H,7,FALSE)</f>
        <v>0.67</v>
      </c>
      <c r="W175" s="77" t="str">
        <f ca="1">VLOOKUP($A175,OFFSET([2]characters!$A$1,0,0,COUNTA([2]characters!$A:$A),MATCH(W$1,[2]characters!$1:$1,0)-MATCH($A$1,[2]characters!$1:$1,0)+1),MATCH(W$1,[2]characters!$1:$1,0)-MATCH($A$1,[2]characters!$1:$1,0)+1,FALSE)</f>
        <v>god</v>
      </c>
      <c r="X175" s="8" t="str">
        <f ca="1">VLOOKUP(W175,[2]character_tribe_i18n!$A:$H,3,FALSE)</f>
        <v>ゴッド</v>
      </c>
      <c r="Y175" s="77" t="str">
        <f ca="1">VLOOKUP($A175,OFFSET([2]characters!$A$1,0,0,COUNTA([2]characters!$A:$A),MATCH(Y$1,[2]characters!$1:$1,0)-MATCH($A$1,[2]characters!$1:$1,0)+1),MATCH(Y$1,[2]characters!$1:$1,0)-MATCH($A$1,[2]characters!$1:$1,0)+1,FALSE)</f>
        <v>none</v>
      </c>
      <c r="Z175" s="8" t="str">
        <f ca="1">VLOOKUP(Y175,[2]character_tribe_i18n!$A:$H,3,FALSE)</f>
        <v>種族なし</v>
      </c>
      <c r="AA175" s="14">
        <f ca="1">VLOOKUP(W175,[2]character_tribe_i18n!$A:$H,4,FALSE)</f>
        <v>0.96</v>
      </c>
      <c r="AB175" s="14">
        <f ca="1">VLOOKUP(W175,[2]character_tribe_i18n!$A:$H,5,FALSE)</f>
        <v>1.02</v>
      </c>
      <c r="AC175" s="14">
        <f ca="1">VLOOKUP(W175,[2]character_tribe_i18n!$A:$H,6,FALSE)</f>
        <v>1</v>
      </c>
      <c r="AD175" s="14">
        <f ca="1">VLOOKUP(W175,[2]character_tribe_i18n!$A:$H,7,FALSE)</f>
        <v>1.02</v>
      </c>
      <c r="AE175" s="12">
        <v>807</v>
      </c>
      <c r="AF175" s="85" t="str">
        <f ca="1">IF(AE175="NULL","",VLOOKUP($AE175,OFFSET([2]characters!$A$1,0,0,COUNTA([2]characters!$A:$A),MATCH(AF$1,[2]characters!$1:$1,0)-MATCH($A$1,[2]characters!$1:$1,0)+1),MATCH(AF$1,[2]characters!$1:$1,0)-MATCH($A$1,[2]characters!$1:$1,0)+1,FALSE))</f>
        <v>襲愛の真公爵 フォルネウス</v>
      </c>
      <c r="AG175" s="8">
        <f t="shared" ca="1" si="16"/>
        <v>172</v>
      </c>
      <c r="AH175" s="85" t="str">
        <f ca="1">VLOOKUP($AG175,OFFSET([2]characters!$A$1,0,0,COUNTA([2]characters!$A:$A),MATCH(AH$1,[2]characters!$1:$1,0)-MATCH($A$1,[2]characters!$1:$1,0)+1),MATCH(AH$1,[2]characters!$1:$1,0)-MATCH($A$1,[2]characters!$1:$1,0)+1,FALSE)</f>
        <v>フォルネウス</v>
      </c>
      <c r="AI175" s="14">
        <f ca="1">IF(AE175="NULL","NULL",VLOOKUP(G175,ビット!$A$2:$B$7,2))</f>
        <v>200000</v>
      </c>
      <c r="AJ175" s="9">
        <v>2</v>
      </c>
      <c r="AK175" s="10" t="str">
        <f t="shared" si="17"/>
        <v>普通</v>
      </c>
      <c r="AL175" s="14" t="str">
        <f ca="1">INDEX(経験値!$A$1:$I$20,MATCH(H175,経験値!$A$1:$A$20,FALSE),MATCH(G175,経験値!$A$1:$I$1,FALSE))</f>
        <v>required_exp_200</v>
      </c>
      <c r="AM175" s="11">
        <f ca="1">VLOOKUP(G175,経験値!$A$27:$B$31,2)</f>
        <v>6400</v>
      </c>
      <c r="AN175" s="21">
        <f ca="1">VLOOKUP(G175,ビット!$G$2:$H$7,2)</f>
        <v>900</v>
      </c>
      <c r="AO175" s="98" t="s">
        <v>185</v>
      </c>
      <c r="AP175" s="97">
        <v>113005</v>
      </c>
      <c r="AQ175" s="77" t="e">
        <f ca="1">VLOOKUP($AP175,OFFSET([1]unit_skills!$A$1,0,0,COUNTA([1]unit_skills!$A:$A),MATCH("name",[1]unit_skills!$1:$1,0)-MATCH($AP$1,[1]unit_skills!$1:$1,0)+1),MATCH("name",[1]unit_skills!$1:$1,0)-MATCH($AP$1,[1]unit_skills!$1:$1,0)+1,FALSE)</f>
        <v>#VALUE!</v>
      </c>
      <c r="AR175" s="77" t="e">
        <f ca="1">VLOOKUP($AP175,OFFSET([1]unit_skills!$A$1,0,0,COUNTA([1]unit_skills!$A:$A),MATCH("comment",[1]unit_skills!$1:$1,0)-MATCH($AP$1,[1]unit_skills!$1:$1,0)+1),MATCH("comment",[1]unit_skills!$1:$1,0)-MATCH($AP$1,[1]unit_skills!$1:$1,0)+1,FALSE)</f>
        <v>#VALUE!</v>
      </c>
      <c r="AS175" s="77" t="e">
        <f ca="1">VLOOKUP($AP175,OFFSET([1]unit_skills!$A$1,0,0,COUNTA([1]unit_skills!$A:$A),MATCH(AS$1,[1]unit_skills!$1:$1,0)-MATCH($AP$1,[1]unit_skills!$1:$1,0)+1),MATCH(AS$1,[1]unit_skills!$1:$1,0)-MATCH($AP$1,[1]unit_skills!$1:$1,0)+1,FALSE)</f>
        <v>#VALUE!</v>
      </c>
      <c r="AT175" s="97">
        <v>123005</v>
      </c>
      <c r="AU175" s="77" t="e">
        <f ca="1">VLOOKUP($AT175,OFFSET([1]crash_skills!$A$1,0,0,COUNTA([1]crash_skills!$A:$A),MATCH("name",[1]crash_skills!$1:$1,0)-MATCH($AT$1,[1]crash_skills!$1:$1,0)+1),MATCH("name",[1]crash_skills!$1:$1,0)-MATCH($AT$1,[1]crash_skills!$1:$1,0)+1,FALSE)</f>
        <v>#VALUE!</v>
      </c>
      <c r="AV175" s="77" t="e">
        <f ca="1">VLOOKUP($AT175,OFFSET([1]crash_skills!$A$1,0,0,COUNTA([1]crash_skills!$A:$A),MATCH("comment",[1]crash_skills!$1:$1,0)-MATCH($AT$1,[1]crash_skills!$1:$1,0)+1),MATCH("comment",[1]crash_skills!$1:$1,0)-MATCH($AT$1,[1]crash_skills!$1:$1,0)+1,FALSE)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75" s="77" t="e">
        <f ca="1">VLOOKUP($AT175,OFFSET([1]crash_skills!$A$1,0,0,COUNTA([1]crash_skills!$A:$A),MATCH(AW$1,[1]crash_skills!$1:$1,0)-MATCH($AT$1,[1]crash_skills!$1:$1,0)+1),MATCH(AW$1,[1]crash_skills!$1:$1,0)-MATCH($AT$1,[1]crash_skills!$1:$1,0)+1,FALSE)</f>
        <v>#VALUE!</v>
      </c>
      <c r="AX175" s="81">
        <f ca="1">VLOOKUP($A175,OFFSET([2]characters!$A$1,0,0,COUNTA([2]characters!$A:$A),MATCH(AX$1,[2]characters!$1:$1,0)-MATCH($A$1,[2]characters!$1:$1,0)+1),MATCH(AX$1,[2]characters!$1:$1,0)-MATCH($A$1,[2]characters!$1:$1,0)+1,FALSE)</f>
        <v>3</v>
      </c>
      <c r="AY175" s="19">
        <v>1</v>
      </c>
      <c r="AZ175" s="19">
        <v>1</v>
      </c>
      <c r="BA175" s="19">
        <v>0</v>
      </c>
      <c r="BB175" s="19">
        <v>1</v>
      </c>
      <c r="BC175" s="14">
        <f ca="1">INDEX('RC6SV'!$A$1:$G$20,MATCH(H175,'RC6SV'!$A$1:$A$20,FALSE),MATCH(G175,'RC6SV'!$A$1:$G$1,FALSE))</f>
        <v>8500</v>
      </c>
      <c r="BD175" s="63">
        <f t="shared" ca="1" si="18"/>
        <v>8500</v>
      </c>
      <c r="BE175" s="14">
        <f t="shared" ca="1" si="19"/>
        <v>6700</v>
      </c>
      <c r="BF175" s="14">
        <f t="shared" ca="1" si="20"/>
        <v>1</v>
      </c>
      <c r="BG175" s="20">
        <f ca="1">IF($BE175&lt;=0,ROUND(BK175*0.5,0), ROUND($BE175*S175*AA175*J175*AY175*0.8*[2]ステータス!$B$2,0))</f>
        <v>2573</v>
      </c>
      <c r="BH175" s="20">
        <f ca="1">IF($BE175&lt;=0,ROUND(BL175*0.5,0), ROUND($BE175*T175*AB175*K175*AZ175*0.8*[2]ステータス!$C$2,0))</f>
        <v>2138</v>
      </c>
      <c r="BI175" s="20">
        <f ca="1">IF($BE175&lt;=0,ROUND(BM175*0.5,0), ROUND($BE175*U175*AC175*L175*BA175*0.8*[2]ステータス!$D$2,0))</f>
        <v>0</v>
      </c>
      <c r="BJ175" s="20">
        <f ca="1">IF($BE175&lt;=0,ROUND(BN175*0.5,0), ROUND($BE175*V175*AD175*M175*BB175*0.8*[2]ステータス!$E$2,0))</f>
        <v>934</v>
      </c>
      <c r="BK175" s="14">
        <f ca="1">ROUND(BD175*S175*AA175*J175*AY175*[2]ステータス!$B$2,0)</f>
        <v>4080</v>
      </c>
      <c r="BL175" s="14">
        <f ca="1">ROUND(BD175*T175*AB175*K175*AZ175*[2]ステータス!$C$2,0)</f>
        <v>3390</v>
      </c>
      <c r="BM175" s="14">
        <f ca="1">ROUND(BD175*U175*AC175*L175*BA175*[2]ステータス!$D$2,0)</f>
        <v>0</v>
      </c>
      <c r="BN175" s="14">
        <f ca="1">ROUND(BD175*V175*AD175*M175*BB175*[2]ステータス!$E$2,0)</f>
        <v>1481</v>
      </c>
      <c r="BO175" s="13">
        <v>0</v>
      </c>
      <c r="BP175" s="13">
        <v>1</v>
      </c>
      <c r="BQ175" s="13" t="s">
        <v>102</v>
      </c>
      <c r="BR175" s="234">
        <v>700</v>
      </c>
    </row>
    <row r="176" spans="1:70" ht="21" customHeight="1" x14ac:dyDescent="0.15">
      <c r="A176" s="14">
        <f t="shared" ca="1" si="15"/>
        <v>175</v>
      </c>
      <c r="B176" s="77" t="str">
        <f ca="1">VLOOKUP($A176,OFFSET([2]characters!$A$1,0,0,COUNTA([2]characters!$A:$A),MATCH(B$1,[2]characters!$1:$1,0)-MATCH($A$1,[2]characters!$1:$1,0)+1),MATCH(B$1,[2]characters!$1:$1,0)-MATCH($A$1,[2]characters!$1:$1,0)+1,FALSE)</f>
        <v>バフォメット</v>
      </c>
      <c r="C176" s="77" t="str">
        <f ca="1">VLOOKUP($A176,OFFSET([2]characters!$A$1,0,0,COUNTA([2]characters!$A:$A),MATCH(C$1,[2]characters!$1:$1,0)-MATCH($A$1,[2]characters!$1:$1,0)+1),MATCH(C$1,[2]characters!$1:$1,0)-MATCH($A$1,[2]characters!$1:$1,0)+1,FALSE)</f>
        <v>初期ガチャ</v>
      </c>
      <c r="D176" s="77" t="str">
        <f ca="1">VLOOKUP($A176,OFFSET([2]characters!$A$1,0,0,COUNTA([2]characters!$A:$A),MATCH(D$1,[2]characters!$1:$1,0)-MATCH($A$1,[2]characters!$1:$1,0)+1),MATCH(D$1,[2]characters!$1:$1,0)-MATCH($A$1,[2]characters!$1:$1,0)+1,FALSE)</f>
        <v>執行者</v>
      </c>
      <c r="E176" s="77" t="str">
        <f ca="1">VLOOKUP($A176,OFFSET([2]characters!$A$1,0,0,COUNTA([2]characters!$A:$A),MATCH(E$1,[2]characters!$1:$1,0)-MATCH($A$1,[2]characters!$1:$1,0)+1),MATCH(E$1,[2]characters!$1:$1,0)-MATCH($A$1,[2]characters!$1:$1,0)+1,FALSE)</f>
        <v>美しい</v>
      </c>
      <c r="F176" s="77" t="str">
        <f ca="1">VLOOKUP($A176,OFFSET([2]characters!$A$1,0,0,COUNTA([2]characters!$A:$A),MATCH(F$1,[2]characters!$1:$1,0)-MATCH($A$1,[2]characters!$1:$1,0)+1),MATCH(F$1,[2]characters!$1:$1,0)-MATCH($A$1,[2]characters!$1:$1,0)+1,FALSE)</f>
        <v>女性</v>
      </c>
      <c r="G176" s="77">
        <f ca="1">VLOOKUP($A176,OFFSET([2]characters!$A$1,0,0,COUNTA([2]characters!$A:$A),MATCH(G$1,[2]characters!$1:$1,0)-MATCH($A$1,[2]characters!$1:$1,0)+1),MATCH(G$1,[2]characters!$1:$1,0)-MATCH($A$1,[2]characters!$1:$1,0)+1,FALSE)</f>
        <v>3</v>
      </c>
      <c r="H176" s="77" t="str">
        <f ca="1">VLOOKUP($A176,OFFSET([2]characters!$A$1,0,0,COUNTA([2]characters!$A:$A),MATCH(H$1,[2]characters!$1:$1,0)-MATCH($A$1,[2]characters!$1:$1,0)+1),MATCH(H$1,[2]characters!$1:$1,0)-MATCH($A$1,[2]characters!$1:$1,0)+1,FALSE)</f>
        <v>PremiumN</v>
      </c>
      <c r="I176" s="77" t="str">
        <f ca="1">VLOOKUP($A176,OFFSET([2]characters!$A$1,0,0,COUNTA([2]characters!$A:$A),MATCH(I$1,[2]characters!$1:$1,0)-MATCH($A$1,[2]characters!$1:$1,0)+1),MATCH(I$1,[2]characters!$1:$1,0)-MATCH($A$1,[2]characters!$1:$1,0)+1,FALSE)</f>
        <v>yellow</v>
      </c>
      <c r="J176" s="14">
        <f ca="1">VLOOKUP(I176,[2]属性!$A:$E,2,FALSE)</f>
        <v>0.98</v>
      </c>
      <c r="K176" s="14">
        <f ca="1">VLOOKUP(I176,[2]属性!$A:$E,3,FALSE)</f>
        <v>1.01</v>
      </c>
      <c r="L176" s="14">
        <f ca="1">VLOOKUP(I176,[2]属性!$A:$E,4,FALSE)</f>
        <v>1</v>
      </c>
      <c r="M176" s="14">
        <f ca="1">VLOOKUP(I176,[2]属性!$A:$E,5,FALSE)</f>
        <v>1.01</v>
      </c>
      <c r="N176" s="14">
        <f ca="1">INDEX(コスト!$A$1:$I$20,MATCH(H176,コスト!$A$1:$A$20,FALSE),MATCH(G176,コスト!$A$1:$I$1,FALSE))</f>
        <v>9</v>
      </c>
      <c r="O176" s="14">
        <f ca="1">INDEX(レベル!$A$1:$I$21,MATCH(H176,レベル!$A$1:$A$21,FALSE),MATCH(G176,レベル!$A$1:$I$1,FALSE))</f>
        <v>40</v>
      </c>
      <c r="P176" s="63">
        <f t="shared" ca="1" si="21"/>
        <v>45</v>
      </c>
      <c r="Q176" s="77" t="str">
        <f ca="1">VLOOKUP($A176,OFFSET([2]characters!$A$1,0,0,COUNTA([2]characters!$A:$A),MATCH(Q$1,[2]characters!$1:$1,0)-MATCH($A$1,[2]characters!$1:$1,0)+1),MATCH(Q$1,[2]characters!$1:$1,0)-MATCH($A$1,[2]characters!$1:$1,0)+1,FALSE)</f>
        <v>attack</v>
      </c>
      <c r="R176" s="8" t="str">
        <f ca="1">VLOOKUP(Q176,[2]character_type_i18n!$A:$H,3,FALSE)</f>
        <v>攻撃タイプ</v>
      </c>
      <c r="S176" s="14">
        <f ca="1">VLOOKUP(Q176,[2]character_type_i18n!$A:$H,4,FALSE)</f>
        <v>1</v>
      </c>
      <c r="T176" s="14">
        <f ca="1">VLOOKUP(Q176,[2]character_type_i18n!$A:$H,5,FALSE)</f>
        <v>1.33</v>
      </c>
      <c r="U176" s="14">
        <f ca="1">VLOOKUP(Q176,[2]character_type_i18n!$A:$H,6,FALSE)</f>
        <v>1</v>
      </c>
      <c r="V176" s="14">
        <f ca="1">VLOOKUP(Q176,[2]character_type_i18n!$A:$H,7,FALSE)</f>
        <v>0.67</v>
      </c>
      <c r="W176" s="77" t="str">
        <f ca="1">VLOOKUP($A176,OFFSET([2]characters!$A$1,0,0,COUNTA([2]characters!$A:$A),MATCH(W$1,[2]characters!$1:$1,0)-MATCH($A$1,[2]characters!$1:$1,0)+1),MATCH(W$1,[2]characters!$1:$1,0)-MATCH($A$1,[2]characters!$1:$1,0)+1,FALSE)</f>
        <v>god</v>
      </c>
      <c r="X176" s="8" t="str">
        <f ca="1">VLOOKUP(W176,[2]character_tribe_i18n!$A:$H,3,FALSE)</f>
        <v>ゴッド</v>
      </c>
      <c r="Y176" s="77" t="str">
        <f ca="1">VLOOKUP($A176,OFFSET([2]characters!$A$1,0,0,COUNTA([2]characters!$A:$A),MATCH(Y$1,[2]characters!$1:$1,0)-MATCH($A$1,[2]characters!$1:$1,0)+1),MATCH(Y$1,[2]characters!$1:$1,0)-MATCH($A$1,[2]characters!$1:$1,0)+1,FALSE)</f>
        <v>none</v>
      </c>
      <c r="Z176" s="8" t="str">
        <f ca="1">VLOOKUP(Y176,[2]character_tribe_i18n!$A:$H,3,FALSE)</f>
        <v>種族なし</v>
      </c>
      <c r="AA176" s="14">
        <f ca="1">VLOOKUP(W176,[2]character_tribe_i18n!$A:$H,4,FALSE)</f>
        <v>0.96</v>
      </c>
      <c r="AB176" s="14">
        <f ca="1">VLOOKUP(W176,[2]character_tribe_i18n!$A:$H,5,FALSE)</f>
        <v>1.02</v>
      </c>
      <c r="AC176" s="14">
        <f ca="1">VLOOKUP(W176,[2]character_tribe_i18n!$A:$H,6,FALSE)</f>
        <v>1</v>
      </c>
      <c r="AD176" s="14">
        <f ca="1">VLOOKUP(W176,[2]character_tribe_i18n!$A:$H,7,FALSE)</f>
        <v>1.02</v>
      </c>
      <c r="AE176" s="12">
        <v>176</v>
      </c>
      <c r="AF176" s="85" t="str">
        <f ca="1">IF(AE176="NULL","",VLOOKUP($AE176,OFFSET([2]characters!$A$1,0,0,COUNTA([2]characters!$A:$A),MATCH(AF$1,[2]characters!$1:$1,0)-MATCH($A$1,[2]characters!$1:$1,0)+1),MATCH(AF$1,[2]characters!$1:$1,0)-MATCH($A$1,[2]characters!$1:$1,0)+1,FALSE))</f>
        <v>異教徒 バフォメット</v>
      </c>
      <c r="AG176" s="8">
        <f t="shared" ca="1" si="16"/>
        <v>175</v>
      </c>
      <c r="AH176" s="85" t="str">
        <f ca="1">VLOOKUP($AG176,OFFSET([2]characters!$A$1,0,0,COUNTA([2]characters!$A:$A),MATCH(AH$1,[2]characters!$1:$1,0)-MATCH($A$1,[2]characters!$1:$1,0)+1),MATCH(AH$1,[2]characters!$1:$1,0)-MATCH($A$1,[2]characters!$1:$1,0)+1,FALSE)</f>
        <v>バフォメット</v>
      </c>
      <c r="AI176" s="14">
        <f ca="1">IF(AE176="NULL","NULL",VLOOKUP(G176,ビット!$A$2:$B$7,2))</f>
        <v>20000</v>
      </c>
      <c r="AJ176" s="9">
        <v>2</v>
      </c>
      <c r="AK176" s="10" t="str">
        <f t="shared" si="17"/>
        <v>普通</v>
      </c>
      <c r="AL176" s="14" t="str">
        <f ca="1">INDEX(経験値!$A$1:$I$20,MATCH(H176,経験値!$A$1:$A$20,FALSE),MATCH(G176,経験値!$A$1:$I$1,FALSE))</f>
        <v>required_exp_200</v>
      </c>
      <c r="AM176" s="11">
        <f ca="1">VLOOKUP(G176,経験値!$A$27:$B$31,2)</f>
        <v>1500</v>
      </c>
      <c r="AN176" s="21">
        <f ca="1">VLOOKUP(G176,ビット!$G$2:$H$7,2)</f>
        <v>300</v>
      </c>
      <c r="AO176" s="98" t="s">
        <v>185</v>
      </c>
      <c r="AP176" s="97">
        <v>114007</v>
      </c>
      <c r="AQ176" s="77" t="e">
        <f ca="1">VLOOKUP($AP176,OFFSET([1]unit_skills!$A$1,0,0,COUNTA([1]unit_skills!$A:$A),MATCH("name",[1]unit_skills!$1:$1,0)-MATCH($AP$1,[1]unit_skills!$1:$1,0)+1),MATCH("name",[1]unit_skills!$1:$1,0)-MATCH($AP$1,[1]unit_skills!$1:$1,0)+1,FALSE)</f>
        <v>#VALUE!</v>
      </c>
      <c r="AR176" s="77" t="e">
        <f ca="1">VLOOKUP($AP176,OFFSET([1]unit_skills!$A$1,0,0,COUNTA([1]unit_skills!$A:$A),MATCH("comment",[1]unit_skills!$1:$1,0)-MATCH($AP$1,[1]unit_skills!$1:$1,0)+1),MATCH("comment",[1]unit_skills!$1:$1,0)-MATCH($AP$1,[1]unit_skills!$1:$1,0)+1,FALSE)</f>
        <v>#VALUE!</v>
      </c>
      <c r="AS176" s="77" t="e">
        <f ca="1">VLOOKUP($AP176,OFFSET([1]unit_skills!$A$1,0,0,COUNTA([1]unit_skills!$A:$A),MATCH(AS$1,[1]unit_skills!$1:$1,0)-MATCH($AP$1,[1]unit_skills!$1:$1,0)+1),MATCH(AS$1,[1]unit_skills!$1:$1,0)-MATCH($AP$1,[1]unit_skills!$1:$1,0)+1,FALSE)</f>
        <v>#VALUE!</v>
      </c>
      <c r="AT176" s="97">
        <v>114003</v>
      </c>
      <c r="AU176" s="77" t="e">
        <f ca="1">VLOOKUP($AT176,OFFSET([1]crash_skills!$A$1,0,0,COUNTA([1]crash_skills!$A:$A),MATCH("name",[1]crash_skills!$1:$1,0)-MATCH($AT$1,[1]crash_skills!$1:$1,0)+1),MATCH("name",[1]crash_skills!$1:$1,0)-MATCH($AT$1,[1]crash_skills!$1:$1,0)+1,FALSE)</f>
        <v>#VALUE!</v>
      </c>
      <c r="AV176" s="77" t="e">
        <f ca="1">VLOOKUP($AT176,OFFSET([1]crash_skills!$A$1,0,0,COUNTA([1]crash_skills!$A:$A),MATCH("comment",[1]crash_skills!$1:$1,0)-MATCH($AT$1,[1]crash_skills!$1:$1,0)+1),MATCH("comment",[1]crash_skills!$1:$1,0)-MATCH($AT$1,[1]crash_skills!$1:$1,0)+1,FALSE)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76" s="77" t="e">
        <f ca="1">VLOOKUP($AT176,OFFSET([1]crash_skills!$A$1,0,0,COUNTA([1]crash_skills!$A:$A),MATCH(AW$1,[1]crash_skills!$1:$1,0)-MATCH($AT$1,[1]crash_skills!$1:$1,0)+1),MATCH(AW$1,[1]crash_skills!$1:$1,0)-MATCH($AT$1,[1]crash_skills!$1:$1,0)+1,FALSE)</f>
        <v>#VALUE!</v>
      </c>
      <c r="AX176" s="81">
        <f ca="1">VLOOKUP($A176,OFFSET([2]characters!$A$1,0,0,COUNTA([2]characters!$A:$A),MATCH(AX$1,[2]characters!$1:$1,0)-MATCH($A$1,[2]characters!$1:$1,0)+1),MATCH(AX$1,[2]characters!$1:$1,0)-MATCH($A$1,[2]characters!$1:$1,0)+1,FALSE)</f>
        <v>3</v>
      </c>
      <c r="AY176" s="19">
        <v>1</v>
      </c>
      <c r="AZ176" s="19">
        <v>1</v>
      </c>
      <c r="BA176" s="19">
        <v>0</v>
      </c>
      <c r="BB176" s="19">
        <v>1</v>
      </c>
      <c r="BC176" s="14">
        <f ca="1">INDEX('RC6SV'!$A$1:$G$20,MATCH(H176,'RC6SV'!$A$1:$A$20,FALSE),MATCH(G176,'RC6SV'!$A$1:$G$1,FALSE))</f>
        <v>4900</v>
      </c>
      <c r="BD176" s="63">
        <f t="shared" ca="1" si="18"/>
        <v>4900</v>
      </c>
      <c r="BE176" s="14">
        <f t="shared" ca="1" si="19"/>
        <v>0</v>
      </c>
      <c r="BF176" s="14">
        <f t="shared" ca="1" si="20"/>
        <v>1</v>
      </c>
      <c r="BG176" s="20">
        <f ca="1">IF($BE176&lt;=0,ROUND(BK176*0.5,0), ROUND($BE176*S176*AA176*J176*AY176*0.8*[2]ステータス!$B$2,0))</f>
        <v>1153</v>
      </c>
      <c r="BH176" s="20">
        <f ca="1">IF($BE176&lt;=0,ROUND(BL176*0.5,0), ROUND($BE176*T176*AB176*K176*AZ176*0.8*[2]ステータス!$C$2,0))</f>
        <v>1007</v>
      </c>
      <c r="BI176" s="20">
        <f ca="1">IF($BE176&lt;=0,ROUND(BM176*0.5,0), ROUND($BE176*U176*AC176*L176*BA176*0.8*[2]ステータス!$D$2,0))</f>
        <v>0</v>
      </c>
      <c r="BJ176" s="20">
        <f ca="1">IF($BE176&lt;=0,ROUND(BN176*0.5,0), ROUND($BE176*V176*AD176*M176*BB176*0.8*[2]ステータス!$E$2,0))</f>
        <v>423</v>
      </c>
      <c r="BK176" s="14">
        <f ca="1">ROUND(BD176*S176*AA176*J176*AY176*[2]ステータス!$B$2,0)</f>
        <v>2305</v>
      </c>
      <c r="BL176" s="14">
        <f ca="1">ROUND(BD176*T176*AB176*K176*AZ176*[2]ステータス!$C$2,0)</f>
        <v>2014</v>
      </c>
      <c r="BM176" s="14">
        <f ca="1">ROUND(BD176*U176*AC176*L176*BA176*[2]ステータス!$D$2,0)</f>
        <v>0</v>
      </c>
      <c r="BN176" s="14">
        <f ca="1">ROUND(BD176*V176*AD176*M176*BB176*[2]ステータス!$E$2,0)</f>
        <v>846</v>
      </c>
      <c r="BO176" s="13">
        <v>0</v>
      </c>
      <c r="BP176" s="13">
        <v>1</v>
      </c>
      <c r="BQ176" s="13" t="s">
        <v>102</v>
      </c>
      <c r="BR176" s="13">
        <f ca="1">VLOOKUP(H176,ghosts_label!$A$2:$B$19,2,FALSE)</f>
        <v>600</v>
      </c>
    </row>
    <row r="177" spans="1:70" ht="21" customHeight="1" x14ac:dyDescent="0.15">
      <c r="A177" s="14">
        <f t="shared" ca="1" si="15"/>
        <v>176</v>
      </c>
      <c r="B177" s="77" t="str">
        <f ca="1">VLOOKUP($A177,OFFSET([2]characters!$A$1,0,0,COUNTA([2]characters!$A:$A),MATCH(B$1,[2]characters!$1:$1,0)-MATCH($A$1,[2]characters!$1:$1,0)+1),MATCH(B$1,[2]characters!$1:$1,0)-MATCH($A$1,[2]characters!$1:$1,0)+1,FALSE)</f>
        <v>異教徒 バフォメット</v>
      </c>
      <c r="C177" s="77" t="str">
        <f ca="1">VLOOKUP($A177,OFFSET([2]characters!$A$1,0,0,COUNTA([2]characters!$A:$A),MATCH(C$1,[2]characters!$1:$1,0)-MATCH($A$1,[2]characters!$1:$1,0)+1),MATCH(C$1,[2]characters!$1:$1,0)-MATCH($A$1,[2]characters!$1:$1,0)+1,FALSE)</f>
        <v>初期ガチャ</v>
      </c>
      <c r="D177" s="77" t="str">
        <f ca="1">VLOOKUP($A177,OFFSET([2]characters!$A$1,0,0,COUNTA([2]characters!$A:$A),MATCH(D$1,[2]characters!$1:$1,0)-MATCH($A$1,[2]characters!$1:$1,0)+1),MATCH(D$1,[2]characters!$1:$1,0)-MATCH($A$1,[2]characters!$1:$1,0)+1,FALSE)</f>
        <v>執行者</v>
      </c>
      <c r="E177" s="77" t="str">
        <f ca="1">VLOOKUP($A177,OFFSET([2]characters!$A$1,0,0,COUNTA([2]characters!$A:$A),MATCH(E$1,[2]characters!$1:$1,0)-MATCH($A$1,[2]characters!$1:$1,0)+1),MATCH(E$1,[2]characters!$1:$1,0)-MATCH($A$1,[2]characters!$1:$1,0)+1,FALSE)</f>
        <v>美しい</v>
      </c>
      <c r="F177" s="77" t="str">
        <f ca="1">VLOOKUP($A177,OFFSET([2]characters!$A$1,0,0,COUNTA([2]characters!$A:$A),MATCH(F$1,[2]characters!$1:$1,0)-MATCH($A$1,[2]characters!$1:$1,0)+1),MATCH(F$1,[2]characters!$1:$1,0)-MATCH($A$1,[2]characters!$1:$1,0)+1,FALSE)</f>
        <v>女性</v>
      </c>
      <c r="G177" s="77">
        <f ca="1">VLOOKUP($A177,OFFSET([2]characters!$A$1,0,0,COUNTA([2]characters!$A:$A),MATCH(G$1,[2]characters!$1:$1,0)-MATCH($A$1,[2]characters!$1:$1,0)+1),MATCH(G$1,[2]characters!$1:$1,0)-MATCH($A$1,[2]characters!$1:$1,0)+1,FALSE)</f>
        <v>4</v>
      </c>
      <c r="H177" s="77" t="str">
        <f ca="1">VLOOKUP($A177,OFFSET([2]characters!$A$1,0,0,COUNTA([2]characters!$A:$A),MATCH(H$1,[2]characters!$1:$1,0)-MATCH($A$1,[2]characters!$1:$1,0)+1),MATCH(H$1,[2]characters!$1:$1,0)-MATCH($A$1,[2]characters!$1:$1,0)+1,FALSE)</f>
        <v>PremiumN</v>
      </c>
      <c r="I177" s="77" t="str">
        <f ca="1">VLOOKUP($A177,OFFSET([2]characters!$A$1,0,0,COUNTA([2]characters!$A:$A),MATCH(I$1,[2]characters!$1:$1,0)-MATCH($A$1,[2]characters!$1:$1,0)+1),MATCH(I$1,[2]characters!$1:$1,0)-MATCH($A$1,[2]characters!$1:$1,0)+1,FALSE)</f>
        <v>yellow</v>
      </c>
      <c r="J177" s="14">
        <f ca="1">VLOOKUP(I177,[2]属性!$A:$E,2,FALSE)</f>
        <v>0.98</v>
      </c>
      <c r="K177" s="14">
        <f ca="1">VLOOKUP(I177,[2]属性!$A:$E,3,FALSE)</f>
        <v>1.01</v>
      </c>
      <c r="L177" s="14">
        <f ca="1">VLOOKUP(I177,[2]属性!$A:$E,4,FALSE)</f>
        <v>1</v>
      </c>
      <c r="M177" s="14">
        <f ca="1">VLOOKUP(I177,[2]属性!$A:$E,5,FALSE)</f>
        <v>1.01</v>
      </c>
      <c r="N177" s="14">
        <f ca="1">INDEX(コスト!$A$1:$I$20,MATCH(H177,コスト!$A$1:$A$20,FALSE),MATCH(G177,コスト!$A$1:$I$1,FALSE))</f>
        <v>18</v>
      </c>
      <c r="O177" s="14">
        <f ca="1">INDEX(レベル!$A$1:$I$21,MATCH(H177,レベル!$A$1:$A$21,FALSE),MATCH(G177,レベル!$A$1:$I$1,FALSE))</f>
        <v>60</v>
      </c>
      <c r="P177" s="63">
        <f t="shared" ca="1" si="21"/>
        <v>60</v>
      </c>
      <c r="Q177" s="77" t="str">
        <f ca="1">VLOOKUP($A177,OFFSET([2]characters!$A$1,0,0,COUNTA([2]characters!$A:$A),MATCH(Q$1,[2]characters!$1:$1,0)-MATCH($A$1,[2]characters!$1:$1,0)+1),MATCH(Q$1,[2]characters!$1:$1,0)-MATCH($A$1,[2]characters!$1:$1,0)+1,FALSE)</f>
        <v>attack</v>
      </c>
      <c r="R177" s="8" t="str">
        <f ca="1">VLOOKUP(Q177,[2]character_type_i18n!$A:$H,3,FALSE)</f>
        <v>攻撃タイプ</v>
      </c>
      <c r="S177" s="14">
        <f ca="1">VLOOKUP(Q177,[2]character_type_i18n!$A:$H,4,FALSE)</f>
        <v>1</v>
      </c>
      <c r="T177" s="14">
        <f ca="1">VLOOKUP(Q177,[2]character_type_i18n!$A:$H,5,FALSE)</f>
        <v>1.33</v>
      </c>
      <c r="U177" s="14">
        <f ca="1">VLOOKUP(Q177,[2]character_type_i18n!$A:$H,6,FALSE)</f>
        <v>1</v>
      </c>
      <c r="V177" s="14">
        <f ca="1">VLOOKUP(Q177,[2]character_type_i18n!$A:$H,7,FALSE)</f>
        <v>0.67</v>
      </c>
      <c r="W177" s="77" t="str">
        <f ca="1">VLOOKUP($A177,OFFSET([2]characters!$A$1,0,0,COUNTA([2]characters!$A:$A),MATCH(W$1,[2]characters!$1:$1,0)-MATCH($A$1,[2]characters!$1:$1,0)+1),MATCH(W$1,[2]characters!$1:$1,0)-MATCH($A$1,[2]characters!$1:$1,0)+1,FALSE)</f>
        <v>god</v>
      </c>
      <c r="X177" s="8" t="str">
        <f ca="1">VLOOKUP(W177,[2]character_tribe_i18n!$A:$H,3,FALSE)</f>
        <v>ゴッド</v>
      </c>
      <c r="Y177" s="77" t="str">
        <f ca="1">VLOOKUP($A177,OFFSET([2]characters!$A$1,0,0,COUNTA([2]characters!$A:$A),MATCH(Y$1,[2]characters!$1:$1,0)-MATCH($A$1,[2]characters!$1:$1,0)+1),MATCH(Y$1,[2]characters!$1:$1,0)-MATCH($A$1,[2]characters!$1:$1,0)+1,FALSE)</f>
        <v>none</v>
      </c>
      <c r="Z177" s="8" t="str">
        <f ca="1">VLOOKUP(Y177,[2]character_tribe_i18n!$A:$H,3,FALSE)</f>
        <v>種族なし</v>
      </c>
      <c r="AA177" s="14">
        <f ca="1">VLOOKUP(W177,[2]character_tribe_i18n!$A:$H,4,FALSE)</f>
        <v>0.96</v>
      </c>
      <c r="AB177" s="14">
        <f ca="1">VLOOKUP(W177,[2]character_tribe_i18n!$A:$H,5,FALSE)</f>
        <v>1.02</v>
      </c>
      <c r="AC177" s="14">
        <f ca="1">VLOOKUP(W177,[2]character_tribe_i18n!$A:$H,6,FALSE)</f>
        <v>1</v>
      </c>
      <c r="AD177" s="14">
        <f ca="1">VLOOKUP(W177,[2]character_tribe_i18n!$A:$H,7,FALSE)</f>
        <v>1.02</v>
      </c>
      <c r="AE177" s="12">
        <v>177</v>
      </c>
      <c r="AF177" s="85" t="str">
        <f ca="1">IF(AE177="NULL","",VLOOKUP($AE177,OFFSET([2]characters!$A$1,0,0,COUNTA([2]characters!$A:$A),MATCH(AF$1,[2]characters!$1:$1,0)-MATCH($A$1,[2]characters!$1:$1,0)+1),MATCH(AF$1,[2]characters!$1:$1,0)-MATCH($A$1,[2]characters!$1:$1,0)+1,FALSE))</f>
        <v>黒魔の異端師 バフォメット</v>
      </c>
      <c r="AG177" s="8">
        <f t="shared" ca="1" si="16"/>
        <v>175</v>
      </c>
      <c r="AH177" s="85" t="str">
        <f ca="1">VLOOKUP($AG177,OFFSET([2]characters!$A$1,0,0,COUNTA([2]characters!$A:$A),MATCH(AH$1,[2]characters!$1:$1,0)-MATCH($A$1,[2]characters!$1:$1,0)+1),MATCH(AH$1,[2]characters!$1:$1,0)-MATCH($A$1,[2]characters!$1:$1,0)+1,FALSE)</f>
        <v>バフォメット</v>
      </c>
      <c r="AI177" s="14">
        <f ca="1">IF(AE177="NULL","NULL",VLOOKUP(G177,ビット!$A$2:$B$7,2))</f>
        <v>50000</v>
      </c>
      <c r="AJ177" s="9">
        <v>2</v>
      </c>
      <c r="AK177" s="10" t="str">
        <f t="shared" si="17"/>
        <v>普通</v>
      </c>
      <c r="AL177" s="14" t="str">
        <f ca="1">INDEX(経験値!$A$1:$I$20,MATCH(H177,経験値!$A$1:$A$20,FALSE),MATCH(G177,経験値!$A$1:$I$1,FALSE))</f>
        <v>required_exp_200</v>
      </c>
      <c r="AM177" s="11">
        <f ca="1">VLOOKUP(G177,経験値!$A$27:$B$31,2)</f>
        <v>3400</v>
      </c>
      <c r="AN177" s="21">
        <f ca="1">VLOOKUP(G177,ビット!$G$2:$H$7,2)</f>
        <v>600</v>
      </c>
      <c r="AO177" s="98" t="s">
        <v>185</v>
      </c>
      <c r="AP177" s="97">
        <v>114007</v>
      </c>
      <c r="AQ177" s="77" t="e">
        <f ca="1">VLOOKUP($AP177,OFFSET([1]unit_skills!$A$1,0,0,COUNTA([1]unit_skills!$A:$A),MATCH("name",[1]unit_skills!$1:$1,0)-MATCH($AP$1,[1]unit_skills!$1:$1,0)+1),MATCH("name",[1]unit_skills!$1:$1,0)-MATCH($AP$1,[1]unit_skills!$1:$1,0)+1,FALSE)</f>
        <v>#VALUE!</v>
      </c>
      <c r="AR177" s="77" t="e">
        <f ca="1">VLOOKUP($AP177,OFFSET([1]unit_skills!$A$1,0,0,COUNTA([1]unit_skills!$A:$A),MATCH("comment",[1]unit_skills!$1:$1,0)-MATCH($AP$1,[1]unit_skills!$1:$1,0)+1),MATCH("comment",[1]unit_skills!$1:$1,0)-MATCH($AP$1,[1]unit_skills!$1:$1,0)+1,FALSE)</f>
        <v>#VALUE!</v>
      </c>
      <c r="AS177" s="77" t="e">
        <f ca="1">VLOOKUP($AP177,OFFSET([1]unit_skills!$A$1,0,0,COUNTA([1]unit_skills!$A:$A),MATCH(AS$1,[1]unit_skills!$1:$1,0)-MATCH($AP$1,[1]unit_skills!$1:$1,0)+1),MATCH(AS$1,[1]unit_skills!$1:$1,0)-MATCH($AP$1,[1]unit_skills!$1:$1,0)+1,FALSE)</f>
        <v>#VALUE!</v>
      </c>
      <c r="AT177" s="97">
        <v>114003</v>
      </c>
      <c r="AU177" s="77" t="e">
        <f ca="1">VLOOKUP($AT177,OFFSET([1]crash_skills!$A$1,0,0,COUNTA([1]crash_skills!$A:$A),MATCH("name",[1]crash_skills!$1:$1,0)-MATCH($AT$1,[1]crash_skills!$1:$1,0)+1),MATCH("name",[1]crash_skills!$1:$1,0)-MATCH($AT$1,[1]crash_skills!$1:$1,0)+1,FALSE)</f>
        <v>#VALUE!</v>
      </c>
      <c r="AV177" s="77" t="e">
        <f ca="1">VLOOKUP($AT177,OFFSET([1]crash_skills!$A$1,0,0,COUNTA([1]crash_skills!$A:$A),MATCH("comment",[1]crash_skills!$1:$1,0)-MATCH($AT$1,[1]crash_skills!$1:$1,0)+1),MATCH("comment",[1]crash_skills!$1:$1,0)-MATCH($AT$1,[1]crash_skills!$1:$1,0)+1,FALSE)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77" s="77" t="e">
        <f ca="1">VLOOKUP($AT177,OFFSET([1]crash_skills!$A$1,0,0,COUNTA([1]crash_skills!$A:$A),MATCH(AW$1,[1]crash_skills!$1:$1,0)-MATCH($AT$1,[1]crash_skills!$1:$1,0)+1),MATCH(AW$1,[1]crash_skills!$1:$1,0)-MATCH($AT$1,[1]crash_skills!$1:$1,0)+1,FALSE)</f>
        <v>#VALUE!</v>
      </c>
      <c r="AX177" s="81">
        <f ca="1">VLOOKUP($A177,OFFSET([2]characters!$A$1,0,0,COUNTA([2]characters!$A:$A),MATCH(AX$1,[2]characters!$1:$1,0)-MATCH($A$1,[2]characters!$1:$1,0)+1),MATCH(AX$1,[2]characters!$1:$1,0)-MATCH($A$1,[2]characters!$1:$1,0)+1,FALSE)</f>
        <v>3</v>
      </c>
      <c r="AY177" s="19">
        <v>1</v>
      </c>
      <c r="AZ177" s="19">
        <v>1</v>
      </c>
      <c r="BA177" s="19">
        <v>0</v>
      </c>
      <c r="BB177" s="19">
        <v>1</v>
      </c>
      <c r="BC177" s="14">
        <f ca="1">INDEX('RC6SV'!$A$1:$G$20,MATCH(H177,'RC6SV'!$A$1:$A$20,FALSE),MATCH(G177,'RC6SV'!$A$1:$G$1,FALSE))</f>
        <v>6700</v>
      </c>
      <c r="BD177" s="63">
        <f t="shared" ca="1" si="18"/>
        <v>6700</v>
      </c>
      <c r="BE177" s="14">
        <f t="shared" ca="1" si="19"/>
        <v>4900</v>
      </c>
      <c r="BF177" s="14">
        <f t="shared" ca="1" si="20"/>
        <v>1</v>
      </c>
      <c r="BG177" s="20">
        <f ca="1">IF($BE177&lt;=0,ROUND(BK177*0.5,0), ROUND($BE177*S177*AA177*J177*AY177*0.8*[2]ステータス!$B$2,0))</f>
        <v>1844</v>
      </c>
      <c r="BH177" s="20">
        <f ca="1">IF($BE177&lt;=0,ROUND(BL177*0.5,0), ROUND($BE177*T177*AB177*K177*AZ177*0.8*[2]ステータス!$C$2,0))</f>
        <v>1611</v>
      </c>
      <c r="BI177" s="20">
        <f ca="1">IF($BE177&lt;=0,ROUND(BM177*0.5,0), ROUND($BE177*U177*AC177*L177*BA177*0.8*[2]ステータス!$D$2,0))</f>
        <v>0</v>
      </c>
      <c r="BJ177" s="20">
        <f ca="1">IF($BE177&lt;=0,ROUND(BN177*0.5,0), ROUND($BE177*V177*AD177*M177*BB177*0.8*[2]ステータス!$E$2,0))</f>
        <v>676</v>
      </c>
      <c r="BK177" s="14">
        <f ca="1">ROUND(BD177*S177*AA177*J177*AY177*[2]ステータス!$B$2,0)</f>
        <v>3152</v>
      </c>
      <c r="BL177" s="14">
        <f ca="1">ROUND(BD177*T177*AB177*K177*AZ177*[2]ステータス!$C$2,0)</f>
        <v>2754</v>
      </c>
      <c r="BM177" s="14">
        <f ca="1">ROUND(BD177*U177*AC177*L177*BA177*[2]ステータス!$D$2,0)</f>
        <v>0</v>
      </c>
      <c r="BN177" s="14">
        <f ca="1">ROUND(BD177*V177*AD177*M177*BB177*[2]ステータス!$E$2,0)</f>
        <v>1156</v>
      </c>
      <c r="BO177" s="13">
        <v>0</v>
      </c>
      <c r="BP177" s="13">
        <v>1</v>
      </c>
      <c r="BQ177" s="13" t="s">
        <v>102</v>
      </c>
      <c r="BR177" s="13">
        <f ca="1">VLOOKUP(H177,ghosts_label!$A$2:$B$19,2,FALSE)</f>
        <v>600</v>
      </c>
    </row>
    <row r="178" spans="1:70" ht="21" customHeight="1" x14ac:dyDescent="0.15">
      <c r="A178" s="14">
        <f t="shared" ca="1" si="15"/>
        <v>177</v>
      </c>
      <c r="B178" s="77" t="str">
        <f ca="1">VLOOKUP($A178,OFFSET([2]characters!$A$1,0,0,COUNTA([2]characters!$A:$A),MATCH(B$1,[2]characters!$1:$1,0)-MATCH($A$1,[2]characters!$1:$1,0)+1),MATCH(B$1,[2]characters!$1:$1,0)-MATCH($A$1,[2]characters!$1:$1,0)+1,FALSE)</f>
        <v>黒魔の異端師 バフォメット</v>
      </c>
      <c r="C178" s="77" t="str">
        <f ca="1">VLOOKUP($A178,OFFSET([2]characters!$A$1,0,0,COUNTA([2]characters!$A:$A),MATCH(C$1,[2]characters!$1:$1,0)-MATCH($A$1,[2]characters!$1:$1,0)+1),MATCH(C$1,[2]characters!$1:$1,0)-MATCH($A$1,[2]characters!$1:$1,0)+1,FALSE)</f>
        <v>初期ガチャ</v>
      </c>
      <c r="D178" s="77" t="str">
        <f ca="1">VLOOKUP($A178,OFFSET([2]characters!$A$1,0,0,COUNTA([2]characters!$A:$A),MATCH(D$1,[2]characters!$1:$1,0)-MATCH($A$1,[2]characters!$1:$1,0)+1),MATCH(D$1,[2]characters!$1:$1,0)-MATCH($A$1,[2]characters!$1:$1,0)+1,FALSE)</f>
        <v>執行者</v>
      </c>
      <c r="E178" s="77" t="str">
        <f ca="1">VLOOKUP($A178,OFFSET([2]characters!$A$1,0,0,COUNTA([2]characters!$A:$A),MATCH(E$1,[2]characters!$1:$1,0)-MATCH($A$1,[2]characters!$1:$1,0)+1),MATCH(E$1,[2]characters!$1:$1,0)-MATCH($A$1,[2]characters!$1:$1,0)+1,FALSE)</f>
        <v>美しい</v>
      </c>
      <c r="F178" s="77" t="str">
        <f ca="1">VLOOKUP($A178,OFFSET([2]characters!$A$1,0,0,COUNTA([2]characters!$A:$A),MATCH(F$1,[2]characters!$1:$1,0)-MATCH($A$1,[2]characters!$1:$1,0)+1),MATCH(F$1,[2]characters!$1:$1,0)-MATCH($A$1,[2]characters!$1:$1,0)+1,FALSE)</f>
        <v>女性</v>
      </c>
      <c r="G178" s="77">
        <f ca="1">VLOOKUP($A178,OFFSET([2]characters!$A$1,0,0,COUNTA([2]characters!$A:$A),MATCH(G$1,[2]characters!$1:$1,0)-MATCH($A$1,[2]characters!$1:$1,0)+1),MATCH(G$1,[2]characters!$1:$1,0)-MATCH($A$1,[2]characters!$1:$1,0)+1,FALSE)</f>
        <v>5</v>
      </c>
      <c r="H178" s="77" t="str">
        <f ca="1">VLOOKUP($A178,OFFSET([2]characters!$A$1,0,0,COUNTA([2]characters!$A:$A),MATCH(H$1,[2]characters!$1:$1,0)-MATCH($A$1,[2]characters!$1:$1,0)+1),MATCH(H$1,[2]characters!$1:$1,0)-MATCH($A$1,[2]characters!$1:$1,0)+1,FALSE)</f>
        <v>PremiumN</v>
      </c>
      <c r="I178" s="77" t="str">
        <f ca="1">VLOOKUP($A178,OFFSET([2]characters!$A$1,0,0,COUNTA([2]characters!$A:$A),MATCH(I$1,[2]characters!$1:$1,0)-MATCH($A$1,[2]characters!$1:$1,0)+1),MATCH(I$1,[2]characters!$1:$1,0)-MATCH($A$1,[2]characters!$1:$1,0)+1,FALSE)</f>
        <v>yellow</v>
      </c>
      <c r="J178" s="14">
        <f ca="1">VLOOKUP(I178,[2]属性!$A:$E,2,FALSE)</f>
        <v>0.98</v>
      </c>
      <c r="K178" s="14">
        <f ca="1">VLOOKUP(I178,[2]属性!$A:$E,3,FALSE)</f>
        <v>1.01</v>
      </c>
      <c r="L178" s="14">
        <f ca="1">VLOOKUP(I178,[2]属性!$A:$E,4,FALSE)</f>
        <v>1</v>
      </c>
      <c r="M178" s="14">
        <f ca="1">VLOOKUP(I178,[2]属性!$A:$E,5,FALSE)</f>
        <v>1.01</v>
      </c>
      <c r="N178" s="14">
        <f ca="1">INDEX(コスト!$A$1:$I$20,MATCH(H178,コスト!$A$1:$A$20,FALSE),MATCH(G178,コスト!$A$1:$I$1,FALSE))</f>
        <v>28</v>
      </c>
      <c r="O178" s="14">
        <f ca="1">INDEX(レベル!$A$1:$I$21,MATCH(H178,レベル!$A$1:$A$21,FALSE),MATCH(G178,レベル!$A$1:$I$1,FALSE))</f>
        <v>80</v>
      </c>
      <c r="P178" s="63">
        <f t="shared" ca="1" si="21"/>
        <v>75</v>
      </c>
      <c r="Q178" s="77" t="str">
        <f ca="1">VLOOKUP($A178,OFFSET([2]characters!$A$1,0,0,COUNTA([2]characters!$A:$A),MATCH(Q$1,[2]characters!$1:$1,0)-MATCH($A$1,[2]characters!$1:$1,0)+1),MATCH(Q$1,[2]characters!$1:$1,0)-MATCH($A$1,[2]characters!$1:$1,0)+1,FALSE)</f>
        <v>attack</v>
      </c>
      <c r="R178" s="8" t="str">
        <f ca="1">VLOOKUP(Q178,[2]character_type_i18n!$A:$H,3,FALSE)</f>
        <v>攻撃タイプ</v>
      </c>
      <c r="S178" s="14">
        <f ca="1">VLOOKUP(Q178,[2]character_type_i18n!$A:$H,4,FALSE)</f>
        <v>1</v>
      </c>
      <c r="T178" s="14">
        <f ca="1">VLOOKUP(Q178,[2]character_type_i18n!$A:$H,5,FALSE)</f>
        <v>1.33</v>
      </c>
      <c r="U178" s="14">
        <f ca="1">VLOOKUP(Q178,[2]character_type_i18n!$A:$H,6,FALSE)</f>
        <v>1</v>
      </c>
      <c r="V178" s="14">
        <f ca="1">VLOOKUP(Q178,[2]character_type_i18n!$A:$H,7,FALSE)</f>
        <v>0.67</v>
      </c>
      <c r="W178" s="77" t="str">
        <f ca="1">VLOOKUP($A178,OFFSET([2]characters!$A$1,0,0,COUNTA([2]characters!$A:$A),MATCH(W$1,[2]characters!$1:$1,0)-MATCH($A$1,[2]characters!$1:$1,0)+1),MATCH(W$1,[2]characters!$1:$1,0)-MATCH($A$1,[2]characters!$1:$1,0)+1,FALSE)</f>
        <v>god</v>
      </c>
      <c r="X178" s="8" t="str">
        <f ca="1">VLOOKUP(W178,[2]character_tribe_i18n!$A:$H,3,FALSE)</f>
        <v>ゴッド</v>
      </c>
      <c r="Y178" s="77" t="str">
        <f ca="1">VLOOKUP($A178,OFFSET([2]characters!$A$1,0,0,COUNTA([2]characters!$A:$A),MATCH(Y$1,[2]characters!$1:$1,0)-MATCH($A$1,[2]characters!$1:$1,0)+1),MATCH(Y$1,[2]characters!$1:$1,0)-MATCH($A$1,[2]characters!$1:$1,0)+1,FALSE)</f>
        <v>none</v>
      </c>
      <c r="Z178" s="8" t="str">
        <f ca="1">VLOOKUP(Y178,[2]character_tribe_i18n!$A:$H,3,FALSE)</f>
        <v>種族なし</v>
      </c>
      <c r="AA178" s="14">
        <f ca="1">VLOOKUP(W178,[2]character_tribe_i18n!$A:$H,4,FALSE)</f>
        <v>0.96</v>
      </c>
      <c r="AB178" s="14">
        <f ca="1">VLOOKUP(W178,[2]character_tribe_i18n!$A:$H,5,FALSE)</f>
        <v>1.02</v>
      </c>
      <c r="AC178" s="14">
        <f ca="1">VLOOKUP(W178,[2]character_tribe_i18n!$A:$H,6,FALSE)</f>
        <v>1</v>
      </c>
      <c r="AD178" s="14">
        <f ca="1">VLOOKUP(W178,[2]character_tribe_i18n!$A:$H,7,FALSE)</f>
        <v>1.02</v>
      </c>
      <c r="AE178" s="12" t="s">
        <v>102</v>
      </c>
      <c r="AF178" s="85" t="str">
        <f ca="1">IF(AE178="NULL","",VLOOKUP($AE178,OFFSET([2]characters!$A$1,0,0,COUNTA([2]characters!$A:$A),MATCH(AF$1,[2]characters!$1:$1,0)-MATCH($A$1,[2]characters!$1:$1,0)+1),MATCH(AF$1,[2]characters!$1:$1,0)-MATCH($A$1,[2]characters!$1:$1,0)+1,FALSE))</f>
        <v/>
      </c>
      <c r="AG178" s="8">
        <f t="shared" ca="1" si="16"/>
        <v>175</v>
      </c>
      <c r="AH178" s="85" t="str">
        <f ca="1">VLOOKUP($AG178,OFFSET([2]characters!$A$1,0,0,COUNTA([2]characters!$A:$A),MATCH(AH$1,[2]characters!$1:$1,0)-MATCH($A$1,[2]characters!$1:$1,0)+1),MATCH(AH$1,[2]characters!$1:$1,0)-MATCH($A$1,[2]characters!$1:$1,0)+1,FALSE)</f>
        <v>バフォメット</v>
      </c>
      <c r="AI178" s="14" t="str">
        <f>IF(AE178="NULL","NULL",VLOOKUP(G178,ビット!$A$2:$B$7,2))</f>
        <v>NULL</v>
      </c>
      <c r="AJ178" s="9">
        <v>2</v>
      </c>
      <c r="AK178" s="10" t="str">
        <f t="shared" si="17"/>
        <v>普通</v>
      </c>
      <c r="AL178" s="14" t="str">
        <f ca="1">INDEX(経験値!$A$1:$I$20,MATCH(H178,経験値!$A$1:$A$20,FALSE),MATCH(G178,経験値!$A$1:$I$1,FALSE))</f>
        <v>required_exp_200</v>
      </c>
      <c r="AM178" s="11">
        <f ca="1">VLOOKUP(G178,経験値!$A$27:$B$31,2)</f>
        <v>6400</v>
      </c>
      <c r="AN178" s="21">
        <f ca="1">VLOOKUP(G178,ビット!$G$2:$H$7,2)</f>
        <v>900</v>
      </c>
      <c r="AO178" s="98" t="s">
        <v>185</v>
      </c>
      <c r="AP178" s="97">
        <v>114008</v>
      </c>
      <c r="AQ178" s="77" t="e">
        <f ca="1">VLOOKUP($AP178,OFFSET([1]unit_skills!$A$1,0,0,COUNTA([1]unit_skills!$A:$A),MATCH("name",[1]unit_skills!$1:$1,0)-MATCH($AP$1,[1]unit_skills!$1:$1,0)+1),MATCH("name",[1]unit_skills!$1:$1,0)-MATCH($AP$1,[1]unit_skills!$1:$1,0)+1,FALSE)</f>
        <v>#VALUE!</v>
      </c>
      <c r="AR178" s="77" t="e">
        <f ca="1">VLOOKUP($AP178,OFFSET([1]unit_skills!$A$1,0,0,COUNTA([1]unit_skills!$A:$A),MATCH("comment",[1]unit_skills!$1:$1,0)-MATCH($AP$1,[1]unit_skills!$1:$1,0)+1),MATCH("comment",[1]unit_skills!$1:$1,0)-MATCH($AP$1,[1]unit_skills!$1:$1,0)+1,FALSE)</f>
        <v>#VALUE!</v>
      </c>
      <c r="AS178" s="77" t="e">
        <f ca="1">VLOOKUP($AP178,OFFSET([1]unit_skills!$A$1,0,0,COUNTA([1]unit_skills!$A:$A),MATCH(AS$1,[1]unit_skills!$1:$1,0)-MATCH($AP$1,[1]unit_skills!$1:$1,0)+1),MATCH(AS$1,[1]unit_skills!$1:$1,0)-MATCH($AP$1,[1]unit_skills!$1:$1,0)+1,FALSE)</f>
        <v>#VALUE!</v>
      </c>
      <c r="AT178" s="97">
        <v>114012</v>
      </c>
      <c r="AU178" s="77" t="e">
        <f ca="1">VLOOKUP($AT178,OFFSET([1]crash_skills!$A$1,0,0,COUNTA([1]crash_skills!$A:$A),MATCH("name",[1]crash_skills!$1:$1,0)-MATCH($AT$1,[1]crash_skills!$1:$1,0)+1),MATCH("name",[1]crash_skills!$1:$1,0)-MATCH($AT$1,[1]crash_skills!$1:$1,0)+1,FALSE)</f>
        <v>#VALUE!</v>
      </c>
      <c r="AV178" s="77" t="e">
        <f ca="1">VLOOKUP($AT178,OFFSET([1]crash_skills!$A$1,0,0,COUNTA([1]crash_skills!$A:$A),MATCH("comment",[1]crash_skills!$1:$1,0)-MATCH($AT$1,[1]crash_skills!$1:$1,0)+1),MATCH("comment",[1]crash_skills!$1:$1,0)-MATCH($AT$1,[1]crash_skills!$1:$1,0)+1,FALSE)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78" s="77" t="e">
        <f ca="1">VLOOKUP($AT178,OFFSET([1]crash_skills!$A$1,0,0,COUNTA([1]crash_skills!$A:$A),MATCH(AW$1,[1]crash_skills!$1:$1,0)-MATCH($AT$1,[1]crash_skills!$1:$1,0)+1),MATCH(AW$1,[1]crash_skills!$1:$1,0)-MATCH($AT$1,[1]crash_skills!$1:$1,0)+1,FALSE)</f>
        <v>#VALUE!</v>
      </c>
      <c r="AX178" s="81">
        <f ca="1">VLOOKUP($A178,OFFSET([2]characters!$A$1,0,0,COUNTA([2]characters!$A:$A),MATCH(AX$1,[2]characters!$1:$1,0)-MATCH($A$1,[2]characters!$1:$1,0)+1),MATCH(AX$1,[2]characters!$1:$1,0)-MATCH($A$1,[2]characters!$1:$1,0)+1,FALSE)</f>
        <v>3</v>
      </c>
      <c r="AY178" s="19">
        <v>1</v>
      </c>
      <c r="AZ178" s="19">
        <v>1</v>
      </c>
      <c r="BA178" s="19">
        <v>0</v>
      </c>
      <c r="BB178" s="19">
        <v>1</v>
      </c>
      <c r="BC178" s="14">
        <f ca="1">INDEX('RC6SV'!$A$1:$G$20,MATCH(H178,'RC6SV'!$A$1:$A$20,FALSE),MATCH(G178,'RC6SV'!$A$1:$G$1,FALSE))</f>
        <v>8500</v>
      </c>
      <c r="BD178" s="63">
        <f t="shared" ca="1" si="18"/>
        <v>8500</v>
      </c>
      <c r="BE178" s="14">
        <f t="shared" ca="1" si="19"/>
        <v>6700</v>
      </c>
      <c r="BF178" s="14">
        <f t="shared" ca="1" si="20"/>
        <v>1</v>
      </c>
      <c r="BG178" s="20">
        <f ca="1">IF($BE178&lt;=0,ROUND(BK178*0.5,0), ROUND($BE178*S178*AA178*J178*AY178*0.8*[2]ステータス!$B$2,0))</f>
        <v>2521</v>
      </c>
      <c r="BH178" s="20">
        <f ca="1">IF($BE178&lt;=0,ROUND(BL178*0.5,0), ROUND($BE178*T178*AB178*K178*AZ178*0.8*[2]ステータス!$C$2,0))</f>
        <v>2203</v>
      </c>
      <c r="BI178" s="20">
        <f ca="1">IF($BE178&lt;=0,ROUND(BM178*0.5,0), ROUND($BE178*U178*AC178*L178*BA178*0.8*[2]ステータス!$D$2,0))</f>
        <v>0</v>
      </c>
      <c r="BJ178" s="20">
        <f ca="1">IF($BE178&lt;=0,ROUND(BN178*0.5,0), ROUND($BE178*V178*AD178*M178*BB178*0.8*[2]ステータス!$E$2,0))</f>
        <v>925</v>
      </c>
      <c r="BK178" s="14">
        <f ca="1">ROUND(BD178*S178*AA178*J178*AY178*[2]ステータス!$B$2,0)</f>
        <v>3998</v>
      </c>
      <c r="BL178" s="14">
        <f ca="1">ROUND(BD178*T178*AB178*K178*AZ178*[2]ステータス!$C$2,0)</f>
        <v>3494</v>
      </c>
      <c r="BM178" s="14">
        <f ca="1">ROUND(BD178*U178*AC178*L178*BA178*[2]ステータス!$D$2,0)</f>
        <v>0</v>
      </c>
      <c r="BN178" s="14">
        <f ca="1">ROUND(BD178*V178*AD178*M178*BB178*[2]ステータス!$E$2,0)</f>
        <v>1467</v>
      </c>
      <c r="BO178" s="13">
        <v>0</v>
      </c>
      <c r="BP178" s="13">
        <v>1</v>
      </c>
      <c r="BQ178" s="13" t="s">
        <v>102</v>
      </c>
      <c r="BR178" s="13">
        <f ca="1">VLOOKUP(H178,ghosts_label!$A$2:$B$19,2,FALSE)</f>
        <v>600</v>
      </c>
    </row>
    <row r="179" spans="1:70" ht="21" customHeight="1" x14ac:dyDescent="0.15">
      <c r="A179" s="14">
        <f t="shared" ca="1" si="15"/>
        <v>178</v>
      </c>
      <c r="B179" s="77" t="str">
        <f ca="1">VLOOKUP($A179,OFFSET([2]characters!$A$1,0,0,COUNTA([2]characters!$A:$A),MATCH(B$1,[2]characters!$1:$1,0)-MATCH($A$1,[2]characters!$1:$1,0)+1),MATCH(B$1,[2]characters!$1:$1,0)-MATCH($A$1,[2]characters!$1:$1,0)+1,FALSE)</f>
        <v>ケルベロス</v>
      </c>
      <c r="C179" s="77" t="str">
        <f ca="1">VLOOKUP($A179,OFFSET([2]characters!$A$1,0,0,COUNTA([2]characters!$A:$A),MATCH(C$1,[2]characters!$1:$1,0)-MATCH($A$1,[2]characters!$1:$1,0)+1),MATCH(C$1,[2]characters!$1:$1,0)-MATCH($A$1,[2]characters!$1:$1,0)+1,FALSE)</f>
        <v>初期ガチャ</v>
      </c>
      <c r="D179" s="77" t="str">
        <f ca="1">VLOOKUP($A179,OFFSET([2]characters!$A$1,0,0,COUNTA([2]characters!$A:$A),MATCH(D$1,[2]characters!$1:$1,0)-MATCH($A$1,[2]characters!$1:$1,0)+1),MATCH(D$1,[2]characters!$1:$1,0)-MATCH($A$1,[2]characters!$1:$1,0)+1,FALSE)</f>
        <v>破界者</v>
      </c>
      <c r="E179" s="77" t="str">
        <f ca="1">VLOOKUP($A179,OFFSET([2]characters!$A$1,0,0,COUNTA([2]characters!$A:$A),MATCH(E$1,[2]characters!$1:$1,0)-MATCH($A$1,[2]characters!$1:$1,0)+1),MATCH(E$1,[2]characters!$1:$1,0)-MATCH($A$1,[2]characters!$1:$1,0)+1,FALSE)</f>
        <v>可愛い</v>
      </c>
      <c r="F179" s="77" t="str">
        <f ca="1">VLOOKUP($A179,OFFSET([2]characters!$A$1,0,0,COUNTA([2]characters!$A:$A),MATCH(F$1,[2]characters!$1:$1,0)-MATCH($A$1,[2]characters!$1:$1,0)+1),MATCH(F$1,[2]characters!$1:$1,0)-MATCH($A$1,[2]characters!$1:$1,0)+1,FALSE)</f>
        <v>女性</v>
      </c>
      <c r="G179" s="77">
        <f ca="1">VLOOKUP($A179,OFFSET([2]characters!$A$1,0,0,COUNTA([2]characters!$A:$A),MATCH(G$1,[2]characters!$1:$1,0)-MATCH($A$1,[2]characters!$1:$1,0)+1),MATCH(G$1,[2]characters!$1:$1,0)-MATCH($A$1,[2]characters!$1:$1,0)+1,FALSE)</f>
        <v>3</v>
      </c>
      <c r="H179" s="77" t="str">
        <f ca="1">VLOOKUP($A179,OFFSET([2]characters!$A$1,0,0,COUNTA([2]characters!$A:$A),MATCH(H$1,[2]characters!$1:$1,0)-MATCH($A$1,[2]characters!$1:$1,0)+1),MATCH(H$1,[2]characters!$1:$1,0)-MATCH($A$1,[2]characters!$1:$1,0)+1,FALSE)</f>
        <v>PremiumN</v>
      </c>
      <c r="I179" s="77" t="str">
        <f ca="1">VLOOKUP($A179,OFFSET([2]characters!$A$1,0,0,COUNTA([2]characters!$A:$A),MATCH(I$1,[2]characters!$1:$1,0)-MATCH($A$1,[2]characters!$1:$1,0)+1),MATCH(I$1,[2]characters!$1:$1,0)-MATCH($A$1,[2]characters!$1:$1,0)+1,FALSE)</f>
        <v>red</v>
      </c>
      <c r="J179" s="14">
        <f ca="1">VLOOKUP(I179,[2]属性!$A:$E,2,FALSE)</f>
        <v>1</v>
      </c>
      <c r="K179" s="14">
        <f ca="1">VLOOKUP(I179,[2]属性!$A:$E,3,FALSE)</f>
        <v>1.02</v>
      </c>
      <c r="L179" s="14">
        <f ca="1">VLOOKUP(I179,[2]属性!$A:$E,4,FALSE)</f>
        <v>1</v>
      </c>
      <c r="M179" s="14">
        <f ca="1">VLOOKUP(I179,[2]属性!$A:$E,5,FALSE)</f>
        <v>0.98</v>
      </c>
      <c r="N179" s="14">
        <f ca="1">INDEX(コスト!$A$1:$I$20,MATCH(H179,コスト!$A$1:$A$20,FALSE),MATCH(G179,コスト!$A$1:$I$1,FALSE))</f>
        <v>9</v>
      </c>
      <c r="O179" s="14">
        <f ca="1">INDEX(レベル!$A$1:$I$21,MATCH(H179,レベル!$A$1:$A$21,FALSE),MATCH(G179,レベル!$A$1:$I$1,FALSE))</f>
        <v>40</v>
      </c>
      <c r="P179" s="63">
        <f t="shared" ca="1" si="21"/>
        <v>45</v>
      </c>
      <c r="Q179" s="77" t="str">
        <f ca="1">VLOOKUP($A179,OFFSET([2]characters!$A$1,0,0,COUNTA([2]characters!$A:$A),MATCH(Q$1,[2]characters!$1:$1,0)-MATCH($A$1,[2]characters!$1:$1,0)+1),MATCH(Q$1,[2]characters!$1:$1,0)-MATCH($A$1,[2]characters!$1:$1,0)+1,FALSE)</f>
        <v>balance</v>
      </c>
      <c r="R179" s="8" t="str">
        <f ca="1">VLOOKUP(Q179,[2]character_type_i18n!$A:$H,3,FALSE)</f>
        <v>バランスタイプ</v>
      </c>
      <c r="S179" s="14">
        <f ca="1">VLOOKUP(Q179,[2]character_type_i18n!$A:$H,4,FALSE)</f>
        <v>1</v>
      </c>
      <c r="T179" s="14">
        <f ca="1">VLOOKUP(Q179,[2]character_type_i18n!$A:$H,5,FALSE)</f>
        <v>1</v>
      </c>
      <c r="U179" s="14">
        <f ca="1">VLOOKUP(Q179,[2]character_type_i18n!$A:$H,6,FALSE)</f>
        <v>1</v>
      </c>
      <c r="V179" s="14">
        <f ca="1">VLOOKUP(Q179,[2]character_type_i18n!$A:$H,7,FALSE)</f>
        <v>1</v>
      </c>
      <c r="W179" s="77" t="str">
        <f ca="1">VLOOKUP($A179,OFFSET([2]characters!$A$1,0,0,COUNTA([2]characters!$A:$A),MATCH(W$1,[2]characters!$1:$1,0)-MATCH($A$1,[2]characters!$1:$1,0)+1),MATCH(W$1,[2]characters!$1:$1,0)-MATCH($A$1,[2]characters!$1:$1,0)+1,FALSE)</f>
        <v>animal</v>
      </c>
      <c r="X179" s="8" t="str">
        <f ca="1">VLOOKUP(W179,[2]character_tribe_i18n!$A:$H,3,FALSE)</f>
        <v>アニマル</v>
      </c>
      <c r="Y179" s="77" t="str">
        <f ca="1">VLOOKUP($A179,OFFSET([2]characters!$A$1,0,0,COUNTA([2]characters!$A:$A),MATCH(Y$1,[2]characters!$1:$1,0)-MATCH($A$1,[2]characters!$1:$1,0)+1),MATCH(Y$1,[2]characters!$1:$1,0)-MATCH($A$1,[2]characters!$1:$1,0)+1,FALSE)</f>
        <v>none</v>
      </c>
      <c r="Z179" s="8" t="str">
        <f ca="1">VLOOKUP(Y179,[2]character_tribe_i18n!$A:$H,3,FALSE)</f>
        <v>種族なし</v>
      </c>
      <c r="AA179" s="14">
        <f ca="1">VLOOKUP(W179,[2]character_tribe_i18n!$A:$H,4,FALSE)</f>
        <v>1</v>
      </c>
      <c r="AB179" s="14">
        <f ca="1">VLOOKUP(W179,[2]character_tribe_i18n!$A:$H,5,FALSE)</f>
        <v>1.1000000000000001</v>
      </c>
      <c r="AC179" s="14">
        <f ca="1">VLOOKUP(W179,[2]character_tribe_i18n!$A:$H,6,FALSE)</f>
        <v>1</v>
      </c>
      <c r="AD179" s="14">
        <f ca="1">VLOOKUP(W179,[2]character_tribe_i18n!$A:$H,7,FALSE)</f>
        <v>0.9</v>
      </c>
      <c r="AE179" s="12">
        <v>179</v>
      </c>
      <c r="AF179" s="85" t="str">
        <f ca="1">IF(AE179="NULL","",VLOOKUP($AE179,OFFSET([2]characters!$A$1,0,0,COUNTA([2]characters!$A:$A),MATCH(AF$1,[2]characters!$1:$1,0)-MATCH($A$1,[2]characters!$1:$1,0)+1),MATCH(AF$1,[2]characters!$1:$1,0)-MATCH($A$1,[2]characters!$1:$1,0)+1,FALSE))</f>
        <v>番犬 ケルベロス</v>
      </c>
      <c r="AG179" s="8">
        <f t="shared" ca="1" si="16"/>
        <v>178</v>
      </c>
      <c r="AH179" s="85" t="str">
        <f ca="1">VLOOKUP($AG179,OFFSET([2]characters!$A$1,0,0,COUNTA([2]characters!$A:$A),MATCH(AH$1,[2]characters!$1:$1,0)-MATCH($A$1,[2]characters!$1:$1,0)+1),MATCH(AH$1,[2]characters!$1:$1,0)-MATCH($A$1,[2]characters!$1:$1,0)+1,FALSE)</f>
        <v>ケルベロス</v>
      </c>
      <c r="AI179" s="14">
        <f ca="1">IF(AE179="NULL","NULL",VLOOKUP(G179,ビット!$A$2:$B$7,2))</f>
        <v>20000</v>
      </c>
      <c r="AJ179" s="9">
        <v>2</v>
      </c>
      <c r="AK179" s="10" t="str">
        <f t="shared" si="17"/>
        <v>普通</v>
      </c>
      <c r="AL179" s="14" t="str">
        <f ca="1">INDEX(経験値!$A$1:$I$20,MATCH(H179,経験値!$A$1:$A$20,FALSE),MATCH(G179,経験値!$A$1:$I$1,FALSE))</f>
        <v>required_exp_200</v>
      </c>
      <c r="AM179" s="11">
        <f ca="1">VLOOKUP(G179,経験値!$A$27:$B$31,2)</f>
        <v>1500</v>
      </c>
      <c r="AN179" s="21">
        <f ca="1">VLOOKUP(G179,ビット!$G$2:$H$7,2)</f>
        <v>300</v>
      </c>
      <c r="AO179" s="98" t="s">
        <v>178</v>
      </c>
      <c r="AP179" s="97">
        <v>332002</v>
      </c>
      <c r="AQ179" s="77" t="e">
        <f ca="1">VLOOKUP($AP179,OFFSET([1]unit_skills!$A$1,0,0,COUNTA([1]unit_skills!$A:$A),MATCH("name",[1]unit_skills!$1:$1,0)-MATCH($AP$1,[1]unit_skills!$1:$1,0)+1),MATCH("name",[1]unit_skills!$1:$1,0)-MATCH($AP$1,[1]unit_skills!$1:$1,0)+1,FALSE)</f>
        <v>#VALUE!</v>
      </c>
      <c r="AR179" s="77" t="e">
        <f ca="1">VLOOKUP($AP179,OFFSET([1]unit_skills!$A$1,0,0,COUNTA([1]unit_skills!$A:$A),MATCH("comment",[1]unit_skills!$1:$1,0)-MATCH($AP$1,[1]unit_skills!$1:$1,0)+1),MATCH("comment",[1]unit_skills!$1:$1,0)-MATCH($AP$1,[1]unit_skills!$1:$1,0)+1,FALSE)</f>
        <v>#VALUE!</v>
      </c>
      <c r="AS179" s="77" t="e">
        <f ca="1">VLOOKUP($AP179,OFFSET([1]unit_skills!$A$1,0,0,COUNTA([1]unit_skills!$A:$A),MATCH(AS$1,[1]unit_skills!$1:$1,0)-MATCH($AP$1,[1]unit_skills!$1:$1,0)+1),MATCH(AS$1,[1]unit_skills!$1:$1,0)-MATCH($AP$1,[1]unit_skills!$1:$1,0)+1,FALSE)</f>
        <v>#VALUE!</v>
      </c>
      <c r="AT179" s="97">
        <v>201102</v>
      </c>
      <c r="AU179" s="77" t="e">
        <f ca="1">VLOOKUP($AT179,OFFSET([1]crash_skills!$A$1,0,0,COUNTA([1]crash_skills!$A:$A),MATCH("name",[1]crash_skills!$1:$1,0)-MATCH($AT$1,[1]crash_skills!$1:$1,0)+1),MATCH("name",[1]crash_skills!$1:$1,0)-MATCH($AT$1,[1]crash_skills!$1:$1,0)+1,FALSE)</f>
        <v>#VALUE!</v>
      </c>
      <c r="AV179" s="77" t="e">
        <f ca="1">VLOOKUP($AT179,OFFSET([1]crash_skills!$A$1,0,0,COUNTA([1]crash_skills!$A:$A),MATCH("comment",[1]crash_skills!$1:$1,0)-MATCH($AT$1,[1]crash_skills!$1:$1,0)+1),MATCH("comment",[1]crash_skills!$1:$1,0)-MATCH($AT$1,[1]crash_skills!$1:$1,0)+1,FALSE)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79" s="77" t="e">
        <f ca="1">VLOOKUP($AT179,OFFSET([1]crash_skills!$A$1,0,0,COUNTA([1]crash_skills!$A:$A),MATCH(AW$1,[1]crash_skills!$1:$1,0)-MATCH($AT$1,[1]crash_skills!$1:$1,0)+1),MATCH(AW$1,[1]crash_skills!$1:$1,0)-MATCH($AT$1,[1]crash_skills!$1:$1,0)+1,FALSE)</f>
        <v>#VALUE!</v>
      </c>
      <c r="AX179" s="81">
        <f ca="1">VLOOKUP($A179,OFFSET([2]characters!$A$1,0,0,COUNTA([2]characters!$A:$A),MATCH(AX$1,[2]characters!$1:$1,0)-MATCH($A$1,[2]characters!$1:$1,0)+1),MATCH(AX$1,[2]characters!$1:$1,0)-MATCH($A$1,[2]characters!$1:$1,0)+1,FALSE)</f>
        <v>3</v>
      </c>
      <c r="AY179" s="19">
        <v>1</v>
      </c>
      <c r="AZ179" s="19">
        <v>1</v>
      </c>
      <c r="BA179" s="19">
        <v>0</v>
      </c>
      <c r="BB179" s="19">
        <v>1</v>
      </c>
      <c r="BC179" s="14">
        <f ca="1">INDEX('RC6SV'!$A$1:$G$20,MATCH(H179,'RC6SV'!$A$1:$A$20,FALSE),MATCH(G179,'RC6SV'!$A$1:$G$1,FALSE))</f>
        <v>4900</v>
      </c>
      <c r="BD179" s="63">
        <f t="shared" ca="1" si="18"/>
        <v>4900</v>
      </c>
      <c r="BE179" s="14">
        <f t="shared" ca="1" si="19"/>
        <v>0</v>
      </c>
      <c r="BF179" s="14">
        <f t="shared" ca="1" si="20"/>
        <v>1</v>
      </c>
      <c r="BG179" s="20">
        <f ca="1">IF($BE179&lt;=0,ROUND(BK179*0.5,0), ROUND($BE179*S179*AA179*J179*AY179*0.8*[2]ステータス!$B$2,0))</f>
        <v>1225</v>
      </c>
      <c r="BH179" s="20">
        <f ca="1">IF($BE179&lt;=0,ROUND(BL179*0.5,0), ROUND($BE179*T179*AB179*K179*AZ179*0.8*[2]ステータス!$C$2,0))</f>
        <v>825</v>
      </c>
      <c r="BI179" s="20">
        <f ca="1">IF($BE179&lt;=0,ROUND(BM179*0.5,0), ROUND($BE179*U179*AC179*L179*BA179*0.8*[2]ステータス!$D$2,0))</f>
        <v>0</v>
      </c>
      <c r="BJ179" s="20">
        <f ca="1">IF($BE179&lt;=0,ROUND(BN179*0.5,0), ROUND($BE179*V179*AD179*M179*BB179*0.8*[2]ステータス!$E$2,0))</f>
        <v>540</v>
      </c>
      <c r="BK179" s="14">
        <f ca="1">ROUND(BD179*S179*AA179*J179*AY179*[2]ステータス!$B$2,0)</f>
        <v>2450</v>
      </c>
      <c r="BL179" s="14">
        <f ca="1">ROUND(BD179*T179*AB179*K179*AZ179*[2]ステータス!$C$2,0)</f>
        <v>1649</v>
      </c>
      <c r="BM179" s="14">
        <f ca="1">ROUND(BD179*U179*AC179*L179*BA179*[2]ステータス!$D$2,0)</f>
        <v>0</v>
      </c>
      <c r="BN179" s="14">
        <f ca="1">ROUND(BD179*V179*AD179*M179*BB179*[2]ステータス!$E$2,0)</f>
        <v>1080</v>
      </c>
      <c r="BO179" s="13">
        <v>0</v>
      </c>
      <c r="BP179" s="13">
        <v>1</v>
      </c>
      <c r="BQ179" s="13" t="s">
        <v>102</v>
      </c>
      <c r="BR179" s="13">
        <f ca="1">VLOOKUP(H179,ghosts_label!$A$2:$B$19,2,FALSE)</f>
        <v>600</v>
      </c>
    </row>
    <row r="180" spans="1:70" ht="21" customHeight="1" x14ac:dyDescent="0.15">
      <c r="A180" s="14">
        <f t="shared" ca="1" si="15"/>
        <v>179</v>
      </c>
      <c r="B180" s="77" t="str">
        <f ca="1">VLOOKUP($A180,OFFSET([2]characters!$A$1,0,0,COUNTA([2]characters!$A:$A),MATCH(B$1,[2]characters!$1:$1,0)-MATCH($A$1,[2]characters!$1:$1,0)+1),MATCH(B$1,[2]characters!$1:$1,0)-MATCH($A$1,[2]characters!$1:$1,0)+1,FALSE)</f>
        <v>番犬 ケルベロス</v>
      </c>
      <c r="C180" s="77" t="str">
        <f ca="1">VLOOKUP($A180,OFFSET([2]characters!$A$1,0,0,COUNTA([2]characters!$A:$A),MATCH(C$1,[2]characters!$1:$1,0)-MATCH($A$1,[2]characters!$1:$1,0)+1),MATCH(C$1,[2]characters!$1:$1,0)-MATCH($A$1,[2]characters!$1:$1,0)+1,FALSE)</f>
        <v>初期ガチャ</v>
      </c>
      <c r="D180" s="77" t="str">
        <f ca="1">VLOOKUP($A180,OFFSET([2]characters!$A$1,0,0,COUNTA([2]characters!$A:$A),MATCH(D$1,[2]characters!$1:$1,0)-MATCH($A$1,[2]characters!$1:$1,0)+1),MATCH(D$1,[2]characters!$1:$1,0)-MATCH($A$1,[2]characters!$1:$1,0)+1,FALSE)</f>
        <v>破界者</v>
      </c>
      <c r="E180" s="77" t="str">
        <f ca="1">VLOOKUP($A180,OFFSET([2]characters!$A$1,0,0,COUNTA([2]characters!$A:$A),MATCH(E$1,[2]characters!$1:$1,0)-MATCH($A$1,[2]characters!$1:$1,0)+1),MATCH(E$1,[2]characters!$1:$1,0)-MATCH($A$1,[2]characters!$1:$1,0)+1,FALSE)</f>
        <v>可愛い</v>
      </c>
      <c r="F180" s="77" t="str">
        <f ca="1">VLOOKUP($A180,OFFSET([2]characters!$A$1,0,0,COUNTA([2]characters!$A:$A),MATCH(F$1,[2]characters!$1:$1,0)-MATCH($A$1,[2]characters!$1:$1,0)+1),MATCH(F$1,[2]characters!$1:$1,0)-MATCH($A$1,[2]characters!$1:$1,0)+1,FALSE)</f>
        <v>女性</v>
      </c>
      <c r="G180" s="77">
        <f ca="1">VLOOKUP($A180,OFFSET([2]characters!$A$1,0,0,COUNTA([2]characters!$A:$A),MATCH(G$1,[2]characters!$1:$1,0)-MATCH($A$1,[2]characters!$1:$1,0)+1),MATCH(G$1,[2]characters!$1:$1,0)-MATCH($A$1,[2]characters!$1:$1,0)+1,FALSE)</f>
        <v>4</v>
      </c>
      <c r="H180" s="77" t="str">
        <f ca="1">VLOOKUP($A180,OFFSET([2]characters!$A$1,0,0,COUNTA([2]characters!$A:$A),MATCH(H$1,[2]characters!$1:$1,0)-MATCH($A$1,[2]characters!$1:$1,0)+1),MATCH(H$1,[2]characters!$1:$1,0)-MATCH($A$1,[2]characters!$1:$1,0)+1,FALSE)</f>
        <v>PremiumN</v>
      </c>
      <c r="I180" s="77" t="str">
        <f ca="1">VLOOKUP($A180,OFFSET([2]characters!$A$1,0,0,COUNTA([2]characters!$A:$A),MATCH(I$1,[2]characters!$1:$1,0)-MATCH($A$1,[2]characters!$1:$1,0)+1),MATCH(I$1,[2]characters!$1:$1,0)-MATCH($A$1,[2]characters!$1:$1,0)+1,FALSE)</f>
        <v>red</v>
      </c>
      <c r="J180" s="14">
        <f ca="1">VLOOKUP(I180,[2]属性!$A:$E,2,FALSE)</f>
        <v>1</v>
      </c>
      <c r="K180" s="14">
        <f ca="1">VLOOKUP(I180,[2]属性!$A:$E,3,FALSE)</f>
        <v>1.02</v>
      </c>
      <c r="L180" s="14">
        <f ca="1">VLOOKUP(I180,[2]属性!$A:$E,4,FALSE)</f>
        <v>1</v>
      </c>
      <c r="M180" s="14">
        <f ca="1">VLOOKUP(I180,[2]属性!$A:$E,5,FALSE)</f>
        <v>0.98</v>
      </c>
      <c r="N180" s="14">
        <f ca="1">INDEX(コスト!$A$1:$I$20,MATCH(H180,コスト!$A$1:$A$20,FALSE),MATCH(G180,コスト!$A$1:$I$1,FALSE))</f>
        <v>18</v>
      </c>
      <c r="O180" s="14">
        <f ca="1">INDEX(レベル!$A$1:$I$21,MATCH(H180,レベル!$A$1:$A$21,FALSE),MATCH(G180,レベル!$A$1:$I$1,FALSE))</f>
        <v>60</v>
      </c>
      <c r="P180" s="63">
        <f t="shared" ca="1" si="21"/>
        <v>60</v>
      </c>
      <c r="Q180" s="77" t="str">
        <f ca="1">VLOOKUP($A180,OFFSET([2]characters!$A$1,0,0,COUNTA([2]characters!$A:$A),MATCH(Q$1,[2]characters!$1:$1,0)-MATCH($A$1,[2]characters!$1:$1,0)+1),MATCH(Q$1,[2]characters!$1:$1,0)-MATCH($A$1,[2]characters!$1:$1,0)+1,FALSE)</f>
        <v>balance</v>
      </c>
      <c r="R180" s="8" t="str">
        <f ca="1">VLOOKUP(Q180,[2]character_type_i18n!$A:$H,3,FALSE)</f>
        <v>バランスタイプ</v>
      </c>
      <c r="S180" s="14">
        <f ca="1">VLOOKUP(Q180,[2]character_type_i18n!$A:$H,4,FALSE)</f>
        <v>1</v>
      </c>
      <c r="T180" s="14">
        <f ca="1">VLOOKUP(Q180,[2]character_type_i18n!$A:$H,5,FALSE)</f>
        <v>1</v>
      </c>
      <c r="U180" s="14">
        <f ca="1">VLOOKUP(Q180,[2]character_type_i18n!$A:$H,6,FALSE)</f>
        <v>1</v>
      </c>
      <c r="V180" s="14">
        <f ca="1">VLOOKUP(Q180,[2]character_type_i18n!$A:$H,7,FALSE)</f>
        <v>1</v>
      </c>
      <c r="W180" s="77" t="str">
        <f ca="1">VLOOKUP($A180,OFFSET([2]characters!$A$1,0,0,COUNTA([2]characters!$A:$A),MATCH(W$1,[2]characters!$1:$1,0)-MATCH($A$1,[2]characters!$1:$1,0)+1),MATCH(W$1,[2]characters!$1:$1,0)-MATCH($A$1,[2]characters!$1:$1,0)+1,FALSE)</f>
        <v>animal</v>
      </c>
      <c r="X180" s="8" t="str">
        <f ca="1">VLOOKUP(W180,[2]character_tribe_i18n!$A:$H,3,FALSE)</f>
        <v>アニマル</v>
      </c>
      <c r="Y180" s="77" t="str">
        <f ca="1">VLOOKUP($A180,OFFSET([2]characters!$A$1,0,0,COUNTA([2]characters!$A:$A),MATCH(Y$1,[2]characters!$1:$1,0)-MATCH($A$1,[2]characters!$1:$1,0)+1),MATCH(Y$1,[2]characters!$1:$1,0)-MATCH($A$1,[2]characters!$1:$1,0)+1,FALSE)</f>
        <v>none</v>
      </c>
      <c r="Z180" s="8" t="str">
        <f ca="1">VLOOKUP(Y180,[2]character_tribe_i18n!$A:$H,3,FALSE)</f>
        <v>種族なし</v>
      </c>
      <c r="AA180" s="14">
        <f ca="1">VLOOKUP(W180,[2]character_tribe_i18n!$A:$H,4,FALSE)</f>
        <v>1</v>
      </c>
      <c r="AB180" s="14">
        <f ca="1">VLOOKUP(W180,[2]character_tribe_i18n!$A:$H,5,FALSE)</f>
        <v>1.1000000000000001</v>
      </c>
      <c r="AC180" s="14">
        <f ca="1">VLOOKUP(W180,[2]character_tribe_i18n!$A:$H,6,FALSE)</f>
        <v>1</v>
      </c>
      <c r="AD180" s="14">
        <f ca="1">VLOOKUP(W180,[2]character_tribe_i18n!$A:$H,7,FALSE)</f>
        <v>0.9</v>
      </c>
      <c r="AE180" s="12">
        <v>180</v>
      </c>
      <c r="AF180" s="85" t="str">
        <f ca="1">IF(AE180="NULL","",VLOOKUP($AE180,OFFSET([2]characters!$A$1,0,0,COUNTA([2]characters!$A:$A),MATCH(AF$1,[2]characters!$1:$1,0)-MATCH($A$1,[2]characters!$1:$1,0)+1),MATCH(AF$1,[2]characters!$1:$1,0)-MATCH($A$1,[2]characters!$1:$1,0)+1,FALSE))</f>
        <v>地獄の大門番 ケルベロス</v>
      </c>
      <c r="AG180" s="8">
        <f t="shared" ca="1" si="16"/>
        <v>178</v>
      </c>
      <c r="AH180" s="85" t="str">
        <f ca="1">VLOOKUP($AG180,OFFSET([2]characters!$A$1,0,0,COUNTA([2]characters!$A:$A),MATCH(AH$1,[2]characters!$1:$1,0)-MATCH($A$1,[2]characters!$1:$1,0)+1),MATCH(AH$1,[2]characters!$1:$1,0)-MATCH($A$1,[2]characters!$1:$1,0)+1,FALSE)</f>
        <v>ケルベロス</v>
      </c>
      <c r="AI180" s="14">
        <f ca="1">IF(AE180="NULL","NULL",VLOOKUP(G180,ビット!$A$2:$B$7,2))</f>
        <v>50000</v>
      </c>
      <c r="AJ180" s="9">
        <v>2</v>
      </c>
      <c r="AK180" s="10" t="str">
        <f t="shared" si="17"/>
        <v>普通</v>
      </c>
      <c r="AL180" s="14" t="str">
        <f ca="1">INDEX(経験値!$A$1:$I$20,MATCH(H180,経験値!$A$1:$A$20,FALSE),MATCH(G180,経験値!$A$1:$I$1,FALSE))</f>
        <v>required_exp_200</v>
      </c>
      <c r="AM180" s="11">
        <f ca="1">VLOOKUP(G180,経験値!$A$27:$B$31,2)</f>
        <v>3400</v>
      </c>
      <c r="AN180" s="21">
        <f ca="1">VLOOKUP(G180,ビット!$G$2:$H$7,2)</f>
        <v>600</v>
      </c>
      <c r="AO180" s="98" t="s">
        <v>178</v>
      </c>
      <c r="AP180" s="97">
        <v>332003</v>
      </c>
      <c r="AQ180" s="77" t="e">
        <f ca="1">VLOOKUP($AP180,OFFSET([1]unit_skills!$A$1,0,0,COUNTA([1]unit_skills!$A:$A),MATCH("name",[1]unit_skills!$1:$1,0)-MATCH($AP$1,[1]unit_skills!$1:$1,0)+1),MATCH("name",[1]unit_skills!$1:$1,0)-MATCH($AP$1,[1]unit_skills!$1:$1,0)+1,FALSE)</f>
        <v>#VALUE!</v>
      </c>
      <c r="AR180" s="77" t="e">
        <f ca="1">VLOOKUP($AP180,OFFSET([1]unit_skills!$A$1,0,0,COUNTA([1]unit_skills!$A:$A),MATCH("comment",[1]unit_skills!$1:$1,0)-MATCH($AP$1,[1]unit_skills!$1:$1,0)+1),MATCH("comment",[1]unit_skills!$1:$1,0)-MATCH($AP$1,[1]unit_skills!$1:$1,0)+1,FALSE)</f>
        <v>#VALUE!</v>
      </c>
      <c r="AS180" s="77" t="e">
        <f ca="1">VLOOKUP($AP180,OFFSET([1]unit_skills!$A$1,0,0,COUNTA([1]unit_skills!$A:$A),MATCH(AS$1,[1]unit_skills!$1:$1,0)-MATCH($AP$1,[1]unit_skills!$1:$1,0)+1),MATCH(AS$1,[1]unit_skills!$1:$1,0)-MATCH($AP$1,[1]unit_skills!$1:$1,0)+1,FALSE)</f>
        <v>#VALUE!</v>
      </c>
      <c r="AT180" s="97">
        <v>201102</v>
      </c>
      <c r="AU180" s="77" t="e">
        <f ca="1">VLOOKUP($AT180,OFFSET([1]crash_skills!$A$1,0,0,COUNTA([1]crash_skills!$A:$A),MATCH("name",[1]crash_skills!$1:$1,0)-MATCH($AT$1,[1]crash_skills!$1:$1,0)+1),MATCH("name",[1]crash_skills!$1:$1,0)-MATCH($AT$1,[1]crash_skills!$1:$1,0)+1,FALSE)</f>
        <v>#VALUE!</v>
      </c>
      <c r="AV180" s="77" t="e">
        <f ca="1">VLOOKUP($AT180,OFFSET([1]crash_skills!$A$1,0,0,COUNTA([1]crash_skills!$A:$A),MATCH("comment",[1]crash_skills!$1:$1,0)-MATCH($AT$1,[1]crash_skills!$1:$1,0)+1),MATCH("comment",[1]crash_skills!$1:$1,0)-MATCH($AT$1,[1]crash_skills!$1:$1,0)+1,FALSE)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80" s="77" t="e">
        <f ca="1">VLOOKUP($AT180,OFFSET([1]crash_skills!$A$1,0,0,COUNTA([1]crash_skills!$A:$A),MATCH(AW$1,[1]crash_skills!$1:$1,0)-MATCH($AT$1,[1]crash_skills!$1:$1,0)+1),MATCH(AW$1,[1]crash_skills!$1:$1,0)-MATCH($AT$1,[1]crash_skills!$1:$1,0)+1,FALSE)</f>
        <v>#VALUE!</v>
      </c>
      <c r="AX180" s="81">
        <f ca="1">VLOOKUP($A180,OFFSET([2]characters!$A$1,0,0,COUNTA([2]characters!$A:$A),MATCH(AX$1,[2]characters!$1:$1,0)-MATCH($A$1,[2]characters!$1:$1,0)+1),MATCH(AX$1,[2]characters!$1:$1,0)-MATCH($A$1,[2]characters!$1:$1,0)+1,FALSE)</f>
        <v>3</v>
      </c>
      <c r="AY180" s="19">
        <v>1</v>
      </c>
      <c r="AZ180" s="19">
        <v>1</v>
      </c>
      <c r="BA180" s="19">
        <v>0</v>
      </c>
      <c r="BB180" s="19">
        <v>1</v>
      </c>
      <c r="BC180" s="14">
        <f ca="1">INDEX('RC6SV'!$A$1:$G$20,MATCH(H180,'RC6SV'!$A$1:$A$20,FALSE),MATCH(G180,'RC6SV'!$A$1:$G$1,FALSE))</f>
        <v>6700</v>
      </c>
      <c r="BD180" s="63">
        <f t="shared" ca="1" si="18"/>
        <v>6700</v>
      </c>
      <c r="BE180" s="14">
        <f t="shared" ca="1" si="19"/>
        <v>4900</v>
      </c>
      <c r="BF180" s="14">
        <f t="shared" ca="1" si="20"/>
        <v>1</v>
      </c>
      <c r="BG180" s="20">
        <f ca="1">IF($BE180&lt;=0,ROUND(BK180*0.5,0), ROUND($BE180*S180*AA180*J180*AY180*0.8*[2]ステータス!$B$2,0))</f>
        <v>1960</v>
      </c>
      <c r="BH180" s="20">
        <f ca="1">IF($BE180&lt;=0,ROUND(BL180*0.5,0), ROUND($BE180*T180*AB180*K180*AZ180*0.8*[2]ステータス!$C$2,0))</f>
        <v>1319</v>
      </c>
      <c r="BI180" s="20">
        <f ca="1">IF($BE180&lt;=0,ROUND(BM180*0.5,0), ROUND($BE180*U180*AC180*L180*BA180*0.8*[2]ステータス!$D$2,0))</f>
        <v>0</v>
      </c>
      <c r="BJ180" s="20">
        <f ca="1">IF($BE180&lt;=0,ROUND(BN180*0.5,0), ROUND($BE180*V180*AD180*M180*BB180*0.8*[2]ステータス!$E$2,0))</f>
        <v>864</v>
      </c>
      <c r="BK180" s="14">
        <f ca="1">ROUND(BD180*S180*AA180*J180*AY180*[2]ステータス!$B$2,0)</f>
        <v>3350</v>
      </c>
      <c r="BL180" s="14">
        <f ca="1">ROUND(BD180*T180*AB180*K180*AZ180*[2]ステータス!$C$2,0)</f>
        <v>2255</v>
      </c>
      <c r="BM180" s="14">
        <f ca="1">ROUND(BD180*U180*AC180*L180*BA180*[2]ステータス!$D$2,0)</f>
        <v>0</v>
      </c>
      <c r="BN180" s="14">
        <f ca="1">ROUND(BD180*V180*AD180*M180*BB180*[2]ステータス!$E$2,0)</f>
        <v>1477</v>
      </c>
      <c r="BO180" s="13">
        <v>0</v>
      </c>
      <c r="BP180" s="13">
        <v>1</v>
      </c>
      <c r="BQ180" s="13" t="s">
        <v>102</v>
      </c>
      <c r="BR180" s="13">
        <f ca="1">VLOOKUP(H180,ghosts_label!$A$2:$B$19,2,FALSE)</f>
        <v>600</v>
      </c>
    </row>
    <row r="181" spans="1:70" ht="21" customHeight="1" x14ac:dyDescent="0.15">
      <c r="A181" s="14">
        <f t="shared" ca="1" si="15"/>
        <v>180</v>
      </c>
      <c r="B181" s="77" t="str">
        <f ca="1">VLOOKUP($A181,OFFSET([2]characters!$A$1,0,0,COUNTA([2]characters!$A:$A),MATCH(B$1,[2]characters!$1:$1,0)-MATCH($A$1,[2]characters!$1:$1,0)+1),MATCH(B$1,[2]characters!$1:$1,0)-MATCH($A$1,[2]characters!$1:$1,0)+1,FALSE)</f>
        <v>地獄の大門番 ケルベロス</v>
      </c>
      <c r="C181" s="77" t="str">
        <f ca="1">VLOOKUP($A181,OFFSET([2]characters!$A$1,0,0,COUNTA([2]characters!$A:$A),MATCH(C$1,[2]characters!$1:$1,0)-MATCH($A$1,[2]characters!$1:$1,0)+1),MATCH(C$1,[2]characters!$1:$1,0)-MATCH($A$1,[2]characters!$1:$1,0)+1,FALSE)</f>
        <v>初期ガチャ</v>
      </c>
      <c r="D181" s="77" t="str">
        <f ca="1">VLOOKUP($A181,OFFSET([2]characters!$A$1,0,0,COUNTA([2]characters!$A:$A),MATCH(D$1,[2]characters!$1:$1,0)-MATCH($A$1,[2]characters!$1:$1,0)+1),MATCH(D$1,[2]characters!$1:$1,0)-MATCH($A$1,[2]characters!$1:$1,0)+1,FALSE)</f>
        <v>破界者</v>
      </c>
      <c r="E181" s="77" t="str">
        <f ca="1">VLOOKUP($A181,OFFSET([2]characters!$A$1,0,0,COUNTA([2]characters!$A:$A),MATCH(E$1,[2]characters!$1:$1,0)-MATCH($A$1,[2]characters!$1:$1,0)+1),MATCH(E$1,[2]characters!$1:$1,0)-MATCH($A$1,[2]characters!$1:$1,0)+1,FALSE)</f>
        <v>可愛い</v>
      </c>
      <c r="F181" s="77" t="str">
        <f ca="1">VLOOKUP($A181,OFFSET([2]characters!$A$1,0,0,COUNTA([2]characters!$A:$A),MATCH(F$1,[2]characters!$1:$1,0)-MATCH($A$1,[2]characters!$1:$1,0)+1),MATCH(F$1,[2]characters!$1:$1,0)-MATCH($A$1,[2]characters!$1:$1,0)+1,FALSE)</f>
        <v>女性</v>
      </c>
      <c r="G181" s="77">
        <f ca="1">VLOOKUP($A181,OFFSET([2]characters!$A$1,0,0,COUNTA([2]characters!$A:$A),MATCH(G$1,[2]characters!$1:$1,0)-MATCH($A$1,[2]characters!$1:$1,0)+1),MATCH(G$1,[2]characters!$1:$1,0)-MATCH($A$1,[2]characters!$1:$1,0)+1,FALSE)</f>
        <v>5</v>
      </c>
      <c r="H181" s="77" t="str">
        <f ca="1">VLOOKUP($A181,OFFSET([2]characters!$A$1,0,0,COUNTA([2]characters!$A:$A),MATCH(H$1,[2]characters!$1:$1,0)-MATCH($A$1,[2]characters!$1:$1,0)+1),MATCH(H$1,[2]characters!$1:$1,0)-MATCH($A$1,[2]characters!$1:$1,0)+1,FALSE)</f>
        <v>PremiumN</v>
      </c>
      <c r="I181" s="77" t="str">
        <f ca="1">VLOOKUP($A181,OFFSET([2]characters!$A$1,0,0,COUNTA([2]characters!$A:$A),MATCH(I$1,[2]characters!$1:$1,0)-MATCH($A$1,[2]characters!$1:$1,0)+1),MATCH(I$1,[2]characters!$1:$1,0)-MATCH($A$1,[2]characters!$1:$1,0)+1,FALSE)</f>
        <v>red</v>
      </c>
      <c r="J181" s="14">
        <f ca="1">VLOOKUP(I181,[2]属性!$A:$E,2,FALSE)</f>
        <v>1</v>
      </c>
      <c r="K181" s="14">
        <f ca="1">VLOOKUP(I181,[2]属性!$A:$E,3,FALSE)</f>
        <v>1.02</v>
      </c>
      <c r="L181" s="14">
        <f ca="1">VLOOKUP(I181,[2]属性!$A:$E,4,FALSE)</f>
        <v>1</v>
      </c>
      <c r="M181" s="14">
        <f ca="1">VLOOKUP(I181,[2]属性!$A:$E,5,FALSE)</f>
        <v>0.98</v>
      </c>
      <c r="N181" s="14">
        <f ca="1">INDEX(コスト!$A$1:$I$20,MATCH(H181,コスト!$A$1:$A$20,FALSE),MATCH(G181,コスト!$A$1:$I$1,FALSE))</f>
        <v>28</v>
      </c>
      <c r="O181" s="14">
        <f ca="1">INDEX(レベル!$A$1:$I$21,MATCH(H181,レベル!$A$1:$A$21,FALSE),MATCH(G181,レベル!$A$1:$I$1,FALSE))</f>
        <v>80</v>
      </c>
      <c r="P181" s="63">
        <f t="shared" ca="1" si="21"/>
        <v>75</v>
      </c>
      <c r="Q181" s="77" t="str">
        <f ca="1">VLOOKUP($A181,OFFSET([2]characters!$A$1,0,0,COUNTA([2]characters!$A:$A),MATCH(Q$1,[2]characters!$1:$1,0)-MATCH($A$1,[2]characters!$1:$1,0)+1),MATCH(Q$1,[2]characters!$1:$1,0)-MATCH($A$1,[2]characters!$1:$1,0)+1,FALSE)</f>
        <v>balance</v>
      </c>
      <c r="R181" s="8" t="str">
        <f ca="1">VLOOKUP(Q181,[2]character_type_i18n!$A:$H,3,FALSE)</f>
        <v>バランスタイプ</v>
      </c>
      <c r="S181" s="14">
        <f ca="1">VLOOKUP(Q181,[2]character_type_i18n!$A:$H,4,FALSE)</f>
        <v>1</v>
      </c>
      <c r="T181" s="14">
        <f ca="1">VLOOKUP(Q181,[2]character_type_i18n!$A:$H,5,FALSE)</f>
        <v>1</v>
      </c>
      <c r="U181" s="14">
        <f ca="1">VLOOKUP(Q181,[2]character_type_i18n!$A:$H,6,FALSE)</f>
        <v>1</v>
      </c>
      <c r="V181" s="14">
        <f ca="1">VLOOKUP(Q181,[2]character_type_i18n!$A:$H,7,FALSE)</f>
        <v>1</v>
      </c>
      <c r="W181" s="77" t="str">
        <f ca="1">VLOOKUP($A181,OFFSET([2]characters!$A$1,0,0,COUNTA([2]characters!$A:$A),MATCH(W$1,[2]characters!$1:$1,0)-MATCH($A$1,[2]characters!$1:$1,0)+1),MATCH(W$1,[2]characters!$1:$1,0)-MATCH($A$1,[2]characters!$1:$1,0)+1,FALSE)</f>
        <v>animal</v>
      </c>
      <c r="X181" s="8" t="str">
        <f ca="1">VLOOKUP(W181,[2]character_tribe_i18n!$A:$H,3,FALSE)</f>
        <v>アニマル</v>
      </c>
      <c r="Y181" s="77" t="str">
        <f ca="1">VLOOKUP($A181,OFFSET([2]characters!$A$1,0,0,COUNTA([2]characters!$A:$A),MATCH(Y$1,[2]characters!$1:$1,0)-MATCH($A$1,[2]characters!$1:$1,0)+1),MATCH(Y$1,[2]characters!$1:$1,0)-MATCH($A$1,[2]characters!$1:$1,0)+1,FALSE)</f>
        <v>none</v>
      </c>
      <c r="Z181" s="8" t="str">
        <f ca="1">VLOOKUP(Y181,[2]character_tribe_i18n!$A:$H,3,FALSE)</f>
        <v>種族なし</v>
      </c>
      <c r="AA181" s="14">
        <f ca="1">VLOOKUP(W181,[2]character_tribe_i18n!$A:$H,4,FALSE)</f>
        <v>1</v>
      </c>
      <c r="AB181" s="14">
        <f ca="1">VLOOKUP(W181,[2]character_tribe_i18n!$A:$H,5,FALSE)</f>
        <v>1.1000000000000001</v>
      </c>
      <c r="AC181" s="14">
        <f ca="1">VLOOKUP(W181,[2]character_tribe_i18n!$A:$H,6,FALSE)</f>
        <v>1</v>
      </c>
      <c r="AD181" s="14">
        <f ca="1">VLOOKUP(W181,[2]character_tribe_i18n!$A:$H,7,FALSE)</f>
        <v>0.9</v>
      </c>
      <c r="AE181" s="12" t="s">
        <v>102</v>
      </c>
      <c r="AF181" s="85" t="str">
        <f ca="1">IF(AE181="NULL","",VLOOKUP($AE181,OFFSET([2]characters!$A$1,0,0,COUNTA([2]characters!$A:$A),MATCH(AF$1,[2]characters!$1:$1,0)-MATCH($A$1,[2]characters!$1:$1,0)+1),MATCH(AF$1,[2]characters!$1:$1,0)-MATCH($A$1,[2]characters!$1:$1,0)+1,FALSE))</f>
        <v/>
      </c>
      <c r="AG181" s="8">
        <f t="shared" ca="1" si="16"/>
        <v>178</v>
      </c>
      <c r="AH181" s="85" t="str">
        <f ca="1">VLOOKUP($AG181,OFFSET([2]characters!$A$1,0,0,COUNTA([2]characters!$A:$A),MATCH(AH$1,[2]characters!$1:$1,0)-MATCH($A$1,[2]characters!$1:$1,0)+1),MATCH(AH$1,[2]characters!$1:$1,0)-MATCH($A$1,[2]characters!$1:$1,0)+1,FALSE)</f>
        <v>ケルベロス</v>
      </c>
      <c r="AI181" s="14" t="str">
        <f>IF(AE181="NULL","NULL",VLOOKUP(G181,ビット!$A$2:$B$7,2))</f>
        <v>NULL</v>
      </c>
      <c r="AJ181" s="9">
        <v>2</v>
      </c>
      <c r="AK181" s="10" t="str">
        <f t="shared" si="17"/>
        <v>普通</v>
      </c>
      <c r="AL181" s="14" t="str">
        <f ca="1">INDEX(経験値!$A$1:$I$20,MATCH(H181,経験値!$A$1:$A$20,FALSE),MATCH(G181,経験値!$A$1:$I$1,FALSE))</f>
        <v>required_exp_200</v>
      </c>
      <c r="AM181" s="11">
        <f ca="1">VLOOKUP(G181,経験値!$A$27:$B$31,2)</f>
        <v>6400</v>
      </c>
      <c r="AN181" s="21">
        <f ca="1">VLOOKUP(G181,ビット!$G$2:$H$7,2)</f>
        <v>900</v>
      </c>
      <c r="AO181" s="98" t="s">
        <v>178</v>
      </c>
      <c r="AP181" s="97">
        <v>332004</v>
      </c>
      <c r="AQ181" s="77" t="e">
        <f ca="1">VLOOKUP($AP181,OFFSET([1]unit_skills!$A$1,0,0,COUNTA([1]unit_skills!$A:$A),MATCH("name",[1]unit_skills!$1:$1,0)-MATCH($AP$1,[1]unit_skills!$1:$1,0)+1),MATCH("name",[1]unit_skills!$1:$1,0)-MATCH($AP$1,[1]unit_skills!$1:$1,0)+1,FALSE)</f>
        <v>#VALUE!</v>
      </c>
      <c r="AR181" s="77" t="e">
        <f ca="1">VLOOKUP($AP181,OFFSET([1]unit_skills!$A$1,0,0,COUNTA([1]unit_skills!$A:$A),MATCH("comment",[1]unit_skills!$1:$1,0)-MATCH($AP$1,[1]unit_skills!$1:$1,0)+1),MATCH("comment",[1]unit_skills!$1:$1,0)-MATCH($AP$1,[1]unit_skills!$1:$1,0)+1,FALSE)</f>
        <v>#VALUE!</v>
      </c>
      <c r="AS181" s="77" t="e">
        <f ca="1">VLOOKUP($AP181,OFFSET([1]unit_skills!$A$1,0,0,COUNTA([1]unit_skills!$A:$A),MATCH(AS$1,[1]unit_skills!$1:$1,0)-MATCH($AP$1,[1]unit_skills!$1:$1,0)+1),MATCH(AS$1,[1]unit_skills!$1:$1,0)-MATCH($AP$1,[1]unit_skills!$1:$1,0)+1,FALSE)</f>
        <v>#VALUE!</v>
      </c>
      <c r="AT181" s="97">
        <v>201108</v>
      </c>
      <c r="AU181" s="77" t="e">
        <f ca="1">VLOOKUP($AT181,OFFSET([1]crash_skills!$A$1,0,0,COUNTA([1]crash_skills!$A:$A),MATCH("name",[1]crash_skills!$1:$1,0)-MATCH($AT$1,[1]crash_skills!$1:$1,0)+1),MATCH("name",[1]crash_skills!$1:$1,0)-MATCH($AT$1,[1]crash_skills!$1:$1,0)+1,FALSE)</f>
        <v>#VALUE!</v>
      </c>
      <c r="AV181" s="77" t="e">
        <f ca="1">VLOOKUP($AT181,OFFSET([1]crash_skills!$A$1,0,0,COUNTA([1]crash_skills!$A:$A),MATCH("comment",[1]crash_skills!$1:$1,0)-MATCH($AT$1,[1]crash_skills!$1:$1,0)+1),MATCH("comment",[1]crash_skills!$1:$1,0)-MATCH($AT$1,[1]crash_skills!$1:$1,0)+1,FALSE)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81" s="77" t="e">
        <f ca="1">VLOOKUP($AT181,OFFSET([1]crash_skills!$A$1,0,0,COUNTA([1]crash_skills!$A:$A),MATCH(AW$1,[1]crash_skills!$1:$1,0)-MATCH($AT$1,[1]crash_skills!$1:$1,0)+1),MATCH(AW$1,[1]crash_skills!$1:$1,0)-MATCH($AT$1,[1]crash_skills!$1:$1,0)+1,FALSE)</f>
        <v>#VALUE!</v>
      </c>
      <c r="AX181" s="81">
        <f ca="1">VLOOKUP($A181,OFFSET([2]characters!$A$1,0,0,COUNTA([2]characters!$A:$A),MATCH(AX$1,[2]characters!$1:$1,0)-MATCH($A$1,[2]characters!$1:$1,0)+1),MATCH(AX$1,[2]characters!$1:$1,0)-MATCH($A$1,[2]characters!$1:$1,0)+1,FALSE)</f>
        <v>3</v>
      </c>
      <c r="AY181" s="19">
        <v>1</v>
      </c>
      <c r="AZ181" s="19">
        <v>1</v>
      </c>
      <c r="BA181" s="19">
        <v>0</v>
      </c>
      <c r="BB181" s="19">
        <v>1</v>
      </c>
      <c r="BC181" s="14">
        <f ca="1">INDEX('RC6SV'!$A$1:$G$20,MATCH(H181,'RC6SV'!$A$1:$A$20,FALSE),MATCH(G181,'RC6SV'!$A$1:$G$1,FALSE))</f>
        <v>8500</v>
      </c>
      <c r="BD181" s="63">
        <f t="shared" ca="1" si="18"/>
        <v>8500</v>
      </c>
      <c r="BE181" s="14">
        <f t="shared" ca="1" si="19"/>
        <v>6700</v>
      </c>
      <c r="BF181" s="14">
        <f t="shared" ca="1" si="20"/>
        <v>1</v>
      </c>
      <c r="BG181" s="20">
        <f ca="1">IF($BE181&lt;=0,ROUND(BK181*0.5,0), ROUND($BE181*S181*AA181*J181*AY181*0.8*[2]ステータス!$B$2,0))</f>
        <v>2680</v>
      </c>
      <c r="BH181" s="20">
        <f ca="1">IF($BE181&lt;=0,ROUND(BL181*0.5,0), ROUND($BE181*T181*AB181*K181*AZ181*0.8*[2]ステータス!$C$2,0))</f>
        <v>1804</v>
      </c>
      <c r="BI181" s="20">
        <f ca="1">IF($BE181&lt;=0,ROUND(BM181*0.5,0), ROUND($BE181*U181*AC181*L181*BA181*0.8*[2]ステータス!$D$2,0))</f>
        <v>0</v>
      </c>
      <c r="BJ181" s="20">
        <f ca="1">IF($BE181&lt;=0,ROUND(BN181*0.5,0), ROUND($BE181*V181*AD181*M181*BB181*0.8*[2]ステータス!$E$2,0))</f>
        <v>1182</v>
      </c>
      <c r="BK181" s="14">
        <f ca="1">ROUND(BD181*S181*AA181*J181*AY181*[2]ステータス!$B$2,0)</f>
        <v>4250</v>
      </c>
      <c r="BL181" s="14">
        <f ca="1">ROUND(BD181*T181*AB181*K181*AZ181*[2]ステータス!$C$2,0)</f>
        <v>2861</v>
      </c>
      <c r="BM181" s="14">
        <f ca="1">ROUND(BD181*U181*AC181*L181*BA181*[2]ステータス!$D$2,0)</f>
        <v>0</v>
      </c>
      <c r="BN181" s="14">
        <f ca="1">ROUND(BD181*V181*AD181*M181*BB181*[2]ステータス!$E$2,0)</f>
        <v>1874</v>
      </c>
      <c r="BO181" s="13">
        <v>0</v>
      </c>
      <c r="BP181" s="13">
        <v>1</v>
      </c>
      <c r="BQ181" s="13" t="s">
        <v>102</v>
      </c>
      <c r="BR181" s="13">
        <f ca="1">VLOOKUP(H181,ghosts_label!$A$2:$B$19,2,FALSE)</f>
        <v>600</v>
      </c>
    </row>
    <row r="182" spans="1:70" ht="21" customHeight="1" x14ac:dyDescent="0.15">
      <c r="A182" s="14">
        <f t="shared" ca="1" si="15"/>
        <v>181</v>
      </c>
      <c r="B182" s="77" t="str">
        <f ca="1">VLOOKUP($A182,OFFSET([2]characters!$A$1,0,0,COUNTA([2]characters!$A:$A),MATCH(B$1,[2]characters!$1:$1,0)-MATCH($A$1,[2]characters!$1:$1,0)+1),MATCH(B$1,[2]characters!$1:$1,0)-MATCH($A$1,[2]characters!$1:$1,0)+1,FALSE)</f>
        <v>ベヒモス</v>
      </c>
      <c r="C182" s="77" t="str">
        <f ca="1">VLOOKUP($A182,OFFSET([2]characters!$A$1,0,0,COUNTA([2]characters!$A:$A),MATCH(C$1,[2]characters!$1:$1,0)-MATCH($A$1,[2]characters!$1:$1,0)+1),MATCH(C$1,[2]characters!$1:$1,0)-MATCH($A$1,[2]characters!$1:$1,0)+1,FALSE)</f>
        <v>初期ガチャ</v>
      </c>
      <c r="D182" s="77" t="str">
        <f ca="1">VLOOKUP($A182,OFFSET([2]characters!$A$1,0,0,COUNTA([2]characters!$A:$A),MATCH(D$1,[2]characters!$1:$1,0)-MATCH($A$1,[2]characters!$1:$1,0)+1),MATCH(D$1,[2]characters!$1:$1,0)-MATCH($A$1,[2]characters!$1:$1,0)+1,FALSE)</f>
        <v>破界者</v>
      </c>
      <c r="E182" s="77" t="str">
        <f ca="1">VLOOKUP($A182,OFFSET([2]characters!$A$1,0,0,COUNTA([2]characters!$A:$A),MATCH(E$1,[2]characters!$1:$1,0)-MATCH($A$1,[2]characters!$1:$1,0)+1),MATCH(E$1,[2]characters!$1:$1,0)-MATCH($A$1,[2]characters!$1:$1,0)+1,FALSE)</f>
        <v>可愛い</v>
      </c>
      <c r="F182" s="77" t="str">
        <f ca="1">VLOOKUP($A182,OFFSET([2]characters!$A$1,0,0,COUNTA([2]characters!$A:$A),MATCH(F$1,[2]characters!$1:$1,0)-MATCH($A$1,[2]characters!$1:$1,0)+1),MATCH(F$1,[2]characters!$1:$1,0)-MATCH($A$1,[2]characters!$1:$1,0)+1,FALSE)</f>
        <v>女性</v>
      </c>
      <c r="G182" s="77">
        <f ca="1">VLOOKUP($A182,OFFSET([2]characters!$A$1,0,0,COUNTA([2]characters!$A:$A),MATCH(G$1,[2]characters!$1:$1,0)-MATCH($A$1,[2]characters!$1:$1,0)+1),MATCH(G$1,[2]characters!$1:$1,0)-MATCH($A$1,[2]characters!$1:$1,0)+1,FALSE)</f>
        <v>3</v>
      </c>
      <c r="H182" s="77" t="str">
        <f ca="1">VLOOKUP($A182,OFFSET([2]characters!$A$1,0,0,COUNTA([2]characters!$A:$A),MATCH(H$1,[2]characters!$1:$1,0)-MATCH($A$1,[2]characters!$1:$1,0)+1),MATCH(H$1,[2]characters!$1:$1,0)-MATCH($A$1,[2]characters!$1:$1,0)+1,FALSE)</f>
        <v>PremiumN</v>
      </c>
      <c r="I182" s="77" t="str">
        <f ca="1">VLOOKUP($A182,OFFSET([2]characters!$A$1,0,0,COUNTA([2]characters!$A:$A),MATCH(I$1,[2]characters!$1:$1,0)-MATCH($A$1,[2]characters!$1:$1,0)+1),MATCH(I$1,[2]characters!$1:$1,0)-MATCH($A$1,[2]characters!$1:$1,0)+1,FALSE)</f>
        <v>green</v>
      </c>
      <c r="J182" s="14">
        <f ca="1">VLOOKUP(I182,[2]属性!$A:$E,2,FALSE)</f>
        <v>1.02</v>
      </c>
      <c r="K182" s="14">
        <f ca="1">VLOOKUP(I182,[2]属性!$A:$E,3,FALSE)</f>
        <v>0.98</v>
      </c>
      <c r="L182" s="14">
        <f ca="1">VLOOKUP(I182,[2]属性!$A:$E,4,FALSE)</f>
        <v>1</v>
      </c>
      <c r="M182" s="14">
        <f ca="1">VLOOKUP(I182,[2]属性!$A:$E,5,FALSE)</f>
        <v>1</v>
      </c>
      <c r="N182" s="14">
        <f ca="1">INDEX(コスト!$A$1:$I$20,MATCH(H182,コスト!$A$1:$A$20,FALSE),MATCH(G182,コスト!$A$1:$I$1,FALSE))</f>
        <v>9</v>
      </c>
      <c r="O182" s="14">
        <f ca="1">INDEX(レベル!$A$1:$I$21,MATCH(H182,レベル!$A$1:$A$21,FALSE),MATCH(G182,レベル!$A$1:$I$1,FALSE))</f>
        <v>40</v>
      </c>
      <c r="P182" s="63">
        <f t="shared" ca="1" si="21"/>
        <v>45</v>
      </c>
      <c r="Q182" s="77" t="str">
        <f ca="1">VLOOKUP($A182,OFFSET([2]characters!$A$1,0,0,COUNTA([2]characters!$A:$A),MATCH(Q$1,[2]characters!$1:$1,0)-MATCH($A$1,[2]characters!$1:$1,0)+1),MATCH(Q$1,[2]characters!$1:$1,0)-MATCH($A$1,[2]characters!$1:$1,0)+1,FALSE)</f>
        <v>hp</v>
      </c>
      <c r="R182" s="8" t="str">
        <f ca="1">VLOOKUP(Q182,[2]character_type_i18n!$A:$H,3,FALSE)</f>
        <v>体力タイプ</v>
      </c>
      <c r="S182" s="14">
        <f ca="1">VLOOKUP(Q182,[2]character_type_i18n!$A:$H,4,FALSE)</f>
        <v>1.45</v>
      </c>
      <c r="T182" s="14">
        <f ca="1">VLOOKUP(Q182,[2]character_type_i18n!$A:$H,5,FALSE)</f>
        <v>0.85</v>
      </c>
      <c r="U182" s="14">
        <f ca="1">VLOOKUP(Q182,[2]character_type_i18n!$A:$H,6,FALSE)</f>
        <v>1</v>
      </c>
      <c r="V182" s="14">
        <f ca="1">VLOOKUP(Q182,[2]character_type_i18n!$A:$H,7,FALSE)</f>
        <v>0.7</v>
      </c>
      <c r="W182" s="77" t="str">
        <f ca="1">VLOOKUP($A182,OFFSET([2]characters!$A$1,0,0,COUNTA([2]characters!$A:$A),MATCH(W$1,[2]characters!$1:$1,0)-MATCH($A$1,[2]characters!$1:$1,0)+1),MATCH(W$1,[2]characters!$1:$1,0)-MATCH($A$1,[2]characters!$1:$1,0)+1,FALSE)</f>
        <v>animal</v>
      </c>
      <c r="X182" s="8" t="str">
        <f ca="1">VLOOKUP(W182,[2]character_tribe_i18n!$A:$H,3,FALSE)</f>
        <v>アニマル</v>
      </c>
      <c r="Y182" s="77" t="str">
        <f ca="1">VLOOKUP($A182,OFFSET([2]characters!$A$1,0,0,COUNTA([2]characters!$A:$A),MATCH(Y$1,[2]characters!$1:$1,0)-MATCH($A$1,[2]characters!$1:$1,0)+1),MATCH(Y$1,[2]characters!$1:$1,0)-MATCH($A$1,[2]characters!$1:$1,0)+1,FALSE)</f>
        <v>none</v>
      </c>
      <c r="Z182" s="8" t="str">
        <f ca="1">VLOOKUP(Y182,[2]character_tribe_i18n!$A:$H,3,FALSE)</f>
        <v>種族なし</v>
      </c>
      <c r="AA182" s="14">
        <f ca="1">VLOOKUP(W182,[2]character_tribe_i18n!$A:$H,4,FALSE)</f>
        <v>1</v>
      </c>
      <c r="AB182" s="14">
        <f ca="1">VLOOKUP(W182,[2]character_tribe_i18n!$A:$H,5,FALSE)</f>
        <v>1.1000000000000001</v>
      </c>
      <c r="AC182" s="14">
        <f ca="1">VLOOKUP(W182,[2]character_tribe_i18n!$A:$H,6,FALSE)</f>
        <v>1</v>
      </c>
      <c r="AD182" s="14">
        <f ca="1">VLOOKUP(W182,[2]character_tribe_i18n!$A:$H,7,FALSE)</f>
        <v>0.9</v>
      </c>
      <c r="AE182" s="12">
        <v>182</v>
      </c>
      <c r="AF182" s="85" t="str">
        <f ca="1">IF(AE182="NULL","",VLOOKUP($AE182,OFFSET([2]characters!$A$1,0,0,COUNTA([2]characters!$A:$A),MATCH(AF$1,[2]characters!$1:$1,0)-MATCH($A$1,[2]characters!$1:$1,0)+1),MATCH(AF$1,[2]characters!$1:$1,0)-MATCH($A$1,[2]characters!$1:$1,0)+1,FALSE))</f>
        <v>放蕩者 ベヒモス</v>
      </c>
      <c r="AG182" s="8">
        <f t="shared" ca="1" si="16"/>
        <v>181</v>
      </c>
      <c r="AH182" s="85" t="str">
        <f ca="1">VLOOKUP($AG182,OFFSET([2]characters!$A$1,0,0,COUNTA([2]characters!$A:$A),MATCH(AH$1,[2]characters!$1:$1,0)-MATCH($A$1,[2]characters!$1:$1,0)+1),MATCH(AH$1,[2]characters!$1:$1,0)-MATCH($A$1,[2]characters!$1:$1,0)+1,FALSE)</f>
        <v>ベヒモス</v>
      </c>
      <c r="AI182" s="14">
        <f ca="1">IF(AE182="NULL","NULL",VLOOKUP(G182,ビット!$A$2:$B$7,2))</f>
        <v>20000</v>
      </c>
      <c r="AJ182" s="9">
        <v>2</v>
      </c>
      <c r="AK182" s="10" t="str">
        <f t="shared" si="17"/>
        <v>普通</v>
      </c>
      <c r="AL182" s="14" t="str">
        <f ca="1">INDEX(経験値!$A$1:$I$20,MATCH(H182,経験値!$A$1:$A$20,FALSE),MATCH(G182,経験値!$A$1:$I$1,FALSE))</f>
        <v>required_exp_200</v>
      </c>
      <c r="AM182" s="11">
        <f ca="1">VLOOKUP(G182,経験値!$A$27:$B$31,2)</f>
        <v>1500</v>
      </c>
      <c r="AN182" s="21">
        <f ca="1">VLOOKUP(G182,ビット!$G$2:$H$7,2)</f>
        <v>300</v>
      </c>
      <c r="AO182" s="98" t="s">
        <v>178</v>
      </c>
      <c r="AP182" s="97">
        <v>333002</v>
      </c>
      <c r="AQ182" s="77" t="e">
        <f ca="1">VLOOKUP($AP182,OFFSET([1]unit_skills!$A$1,0,0,COUNTA([1]unit_skills!$A:$A),MATCH("name",[1]unit_skills!$1:$1,0)-MATCH($AP$1,[1]unit_skills!$1:$1,0)+1),MATCH("name",[1]unit_skills!$1:$1,0)-MATCH($AP$1,[1]unit_skills!$1:$1,0)+1,FALSE)</f>
        <v>#VALUE!</v>
      </c>
      <c r="AR182" s="77" t="e">
        <f ca="1">VLOOKUP($AP182,OFFSET([1]unit_skills!$A$1,0,0,COUNTA([1]unit_skills!$A:$A),MATCH("comment",[1]unit_skills!$1:$1,0)-MATCH($AP$1,[1]unit_skills!$1:$1,0)+1),MATCH("comment",[1]unit_skills!$1:$1,0)-MATCH($AP$1,[1]unit_skills!$1:$1,0)+1,FALSE)</f>
        <v>#VALUE!</v>
      </c>
      <c r="AS182" s="77" t="e">
        <f ca="1">VLOOKUP($AP182,OFFSET([1]unit_skills!$A$1,0,0,COUNTA([1]unit_skills!$A:$A),MATCH(AS$1,[1]unit_skills!$1:$1,0)-MATCH($AP$1,[1]unit_skills!$1:$1,0)+1),MATCH(AS$1,[1]unit_skills!$1:$1,0)-MATCH($AP$1,[1]unit_skills!$1:$1,0)+1,FALSE)</f>
        <v>#VALUE!</v>
      </c>
      <c r="AT182" s="97">
        <v>132003</v>
      </c>
      <c r="AU182" s="77" t="e">
        <f ca="1">VLOOKUP($AT182,OFFSET([1]crash_skills!$A$1,0,0,COUNTA([1]crash_skills!$A:$A),MATCH("name",[1]crash_skills!$1:$1,0)-MATCH($AT$1,[1]crash_skills!$1:$1,0)+1),MATCH("name",[1]crash_skills!$1:$1,0)-MATCH($AT$1,[1]crash_skills!$1:$1,0)+1,FALSE)</f>
        <v>#VALUE!</v>
      </c>
      <c r="AV182" s="77" t="e">
        <f ca="1">VLOOKUP($AT182,OFFSET([1]crash_skills!$A$1,0,0,COUNTA([1]crash_skills!$A:$A),MATCH("comment",[1]crash_skills!$1:$1,0)-MATCH($AT$1,[1]crash_skills!$1:$1,0)+1),MATCH("comment",[1]crash_skills!$1:$1,0)-MATCH($AT$1,[1]crash_skills!$1:$1,0)+1,FALSE)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82" s="77" t="e">
        <f ca="1">VLOOKUP($AT182,OFFSET([1]crash_skills!$A$1,0,0,COUNTA([1]crash_skills!$A:$A),MATCH(AW$1,[1]crash_skills!$1:$1,0)-MATCH($AT$1,[1]crash_skills!$1:$1,0)+1),MATCH(AW$1,[1]crash_skills!$1:$1,0)-MATCH($AT$1,[1]crash_skills!$1:$1,0)+1,FALSE)</f>
        <v>#VALUE!</v>
      </c>
      <c r="AX182" s="81">
        <f ca="1">VLOOKUP($A182,OFFSET([2]characters!$A$1,0,0,COUNTA([2]characters!$A:$A),MATCH(AX$1,[2]characters!$1:$1,0)-MATCH($A$1,[2]characters!$1:$1,0)+1),MATCH(AX$1,[2]characters!$1:$1,0)-MATCH($A$1,[2]characters!$1:$1,0)+1,FALSE)</f>
        <v>3</v>
      </c>
      <c r="AY182" s="19">
        <v>1</v>
      </c>
      <c r="AZ182" s="19">
        <v>1</v>
      </c>
      <c r="BA182" s="19">
        <v>0</v>
      </c>
      <c r="BB182" s="19">
        <v>1</v>
      </c>
      <c r="BC182" s="14">
        <f ca="1">INDEX('RC6SV'!$A$1:$G$20,MATCH(H182,'RC6SV'!$A$1:$A$20,FALSE),MATCH(G182,'RC6SV'!$A$1:$G$1,FALSE))</f>
        <v>4900</v>
      </c>
      <c r="BD182" s="63">
        <f t="shared" ca="1" si="18"/>
        <v>4900</v>
      </c>
      <c r="BE182" s="14">
        <f t="shared" ca="1" si="19"/>
        <v>0</v>
      </c>
      <c r="BF182" s="14">
        <f t="shared" ca="1" si="20"/>
        <v>1</v>
      </c>
      <c r="BG182" s="20">
        <f ca="1">IF($BE182&lt;=0,ROUND(BK182*0.5,0), ROUND($BE182*S182*AA182*J182*AY182*0.8*[2]ステータス!$B$2,0))</f>
        <v>1812</v>
      </c>
      <c r="BH182" s="20">
        <f ca="1">IF($BE182&lt;=0,ROUND(BL182*0.5,0), ROUND($BE182*T182*AB182*K182*AZ182*0.8*[2]ステータス!$C$2,0))</f>
        <v>674</v>
      </c>
      <c r="BI182" s="20">
        <f ca="1">IF($BE182&lt;=0,ROUND(BM182*0.5,0), ROUND($BE182*U182*AC182*L182*BA182*0.8*[2]ステータス!$D$2,0))</f>
        <v>0</v>
      </c>
      <c r="BJ182" s="20">
        <f ca="1">IF($BE182&lt;=0,ROUND(BN182*0.5,0), ROUND($BE182*V182*AD182*M182*BB182*0.8*[2]ステータス!$E$2,0))</f>
        <v>386</v>
      </c>
      <c r="BK182" s="14">
        <f ca="1">ROUND(BD182*S182*AA182*J182*AY182*[2]ステータス!$B$2,0)</f>
        <v>3624</v>
      </c>
      <c r="BL182" s="14">
        <f ca="1">ROUND(BD182*T182*AB182*K182*AZ182*[2]ステータス!$C$2,0)</f>
        <v>1347</v>
      </c>
      <c r="BM182" s="14">
        <f ca="1">ROUND(BD182*U182*AC182*L182*BA182*[2]ステータス!$D$2,0)</f>
        <v>0</v>
      </c>
      <c r="BN182" s="14">
        <f ca="1">ROUND(BD182*V182*AD182*M182*BB182*[2]ステータス!$E$2,0)</f>
        <v>772</v>
      </c>
      <c r="BO182" s="13">
        <v>0</v>
      </c>
      <c r="BP182" s="13">
        <v>1</v>
      </c>
      <c r="BQ182" s="13" t="s">
        <v>102</v>
      </c>
      <c r="BR182" s="13">
        <f ca="1">VLOOKUP(H182,ghosts_label!$A$2:$B$19,2,FALSE)</f>
        <v>600</v>
      </c>
    </row>
    <row r="183" spans="1:70" ht="21" customHeight="1" x14ac:dyDescent="0.15">
      <c r="A183" s="14">
        <f t="shared" ca="1" si="15"/>
        <v>182</v>
      </c>
      <c r="B183" s="77" t="str">
        <f ca="1">VLOOKUP($A183,OFFSET([2]characters!$A$1,0,0,COUNTA([2]characters!$A:$A),MATCH(B$1,[2]characters!$1:$1,0)-MATCH($A$1,[2]characters!$1:$1,0)+1),MATCH(B$1,[2]characters!$1:$1,0)-MATCH($A$1,[2]characters!$1:$1,0)+1,FALSE)</f>
        <v>放蕩者 ベヒモス</v>
      </c>
      <c r="C183" s="77" t="str">
        <f ca="1">VLOOKUP($A183,OFFSET([2]characters!$A$1,0,0,COUNTA([2]characters!$A:$A),MATCH(C$1,[2]characters!$1:$1,0)-MATCH($A$1,[2]characters!$1:$1,0)+1),MATCH(C$1,[2]characters!$1:$1,0)-MATCH($A$1,[2]characters!$1:$1,0)+1,FALSE)</f>
        <v>初期ガチャ</v>
      </c>
      <c r="D183" s="77" t="str">
        <f ca="1">VLOOKUP($A183,OFFSET([2]characters!$A$1,0,0,COUNTA([2]characters!$A:$A),MATCH(D$1,[2]characters!$1:$1,0)-MATCH($A$1,[2]characters!$1:$1,0)+1),MATCH(D$1,[2]characters!$1:$1,0)-MATCH($A$1,[2]characters!$1:$1,0)+1,FALSE)</f>
        <v>破界者</v>
      </c>
      <c r="E183" s="77" t="str">
        <f ca="1">VLOOKUP($A183,OFFSET([2]characters!$A$1,0,0,COUNTA([2]characters!$A:$A),MATCH(E$1,[2]characters!$1:$1,0)-MATCH($A$1,[2]characters!$1:$1,0)+1),MATCH(E$1,[2]characters!$1:$1,0)-MATCH($A$1,[2]characters!$1:$1,0)+1,FALSE)</f>
        <v>可愛い</v>
      </c>
      <c r="F183" s="77" t="str">
        <f ca="1">VLOOKUP($A183,OFFSET([2]characters!$A$1,0,0,COUNTA([2]characters!$A:$A),MATCH(F$1,[2]characters!$1:$1,0)-MATCH($A$1,[2]characters!$1:$1,0)+1),MATCH(F$1,[2]characters!$1:$1,0)-MATCH($A$1,[2]characters!$1:$1,0)+1,FALSE)</f>
        <v>女性</v>
      </c>
      <c r="G183" s="77">
        <f ca="1">VLOOKUP($A183,OFFSET([2]characters!$A$1,0,0,COUNTA([2]characters!$A:$A),MATCH(G$1,[2]characters!$1:$1,0)-MATCH($A$1,[2]characters!$1:$1,0)+1),MATCH(G$1,[2]characters!$1:$1,0)-MATCH($A$1,[2]characters!$1:$1,0)+1,FALSE)</f>
        <v>4</v>
      </c>
      <c r="H183" s="77" t="str">
        <f ca="1">VLOOKUP($A183,OFFSET([2]characters!$A$1,0,0,COUNTA([2]characters!$A:$A),MATCH(H$1,[2]characters!$1:$1,0)-MATCH($A$1,[2]characters!$1:$1,0)+1),MATCH(H$1,[2]characters!$1:$1,0)-MATCH($A$1,[2]characters!$1:$1,0)+1,FALSE)</f>
        <v>PremiumN</v>
      </c>
      <c r="I183" s="77" t="str">
        <f ca="1">VLOOKUP($A183,OFFSET([2]characters!$A$1,0,0,COUNTA([2]characters!$A:$A),MATCH(I$1,[2]characters!$1:$1,0)-MATCH($A$1,[2]characters!$1:$1,0)+1),MATCH(I$1,[2]characters!$1:$1,0)-MATCH($A$1,[2]characters!$1:$1,0)+1,FALSE)</f>
        <v>green</v>
      </c>
      <c r="J183" s="14">
        <f ca="1">VLOOKUP(I183,[2]属性!$A:$E,2,FALSE)</f>
        <v>1.02</v>
      </c>
      <c r="K183" s="14">
        <f ca="1">VLOOKUP(I183,[2]属性!$A:$E,3,FALSE)</f>
        <v>0.98</v>
      </c>
      <c r="L183" s="14">
        <f ca="1">VLOOKUP(I183,[2]属性!$A:$E,4,FALSE)</f>
        <v>1</v>
      </c>
      <c r="M183" s="14">
        <f ca="1">VLOOKUP(I183,[2]属性!$A:$E,5,FALSE)</f>
        <v>1</v>
      </c>
      <c r="N183" s="14">
        <f ca="1">INDEX(コスト!$A$1:$I$20,MATCH(H183,コスト!$A$1:$A$20,FALSE),MATCH(G183,コスト!$A$1:$I$1,FALSE))</f>
        <v>18</v>
      </c>
      <c r="O183" s="14">
        <f ca="1">INDEX(レベル!$A$1:$I$21,MATCH(H183,レベル!$A$1:$A$21,FALSE),MATCH(G183,レベル!$A$1:$I$1,FALSE))</f>
        <v>60</v>
      </c>
      <c r="P183" s="63">
        <f t="shared" ca="1" si="21"/>
        <v>60</v>
      </c>
      <c r="Q183" s="77" t="str">
        <f ca="1">VLOOKUP($A183,OFFSET([2]characters!$A$1,0,0,COUNTA([2]characters!$A:$A),MATCH(Q$1,[2]characters!$1:$1,0)-MATCH($A$1,[2]characters!$1:$1,0)+1),MATCH(Q$1,[2]characters!$1:$1,0)-MATCH($A$1,[2]characters!$1:$1,0)+1,FALSE)</f>
        <v>hp</v>
      </c>
      <c r="R183" s="8" t="str">
        <f ca="1">VLOOKUP(Q183,[2]character_type_i18n!$A:$H,3,FALSE)</f>
        <v>体力タイプ</v>
      </c>
      <c r="S183" s="14">
        <f ca="1">VLOOKUP(Q183,[2]character_type_i18n!$A:$H,4,FALSE)</f>
        <v>1.45</v>
      </c>
      <c r="T183" s="14">
        <f ca="1">VLOOKUP(Q183,[2]character_type_i18n!$A:$H,5,FALSE)</f>
        <v>0.85</v>
      </c>
      <c r="U183" s="14">
        <f ca="1">VLOOKUP(Q183,[2]character_type_i18n!$A:$H,6,FALSE)</f>
        <v>1</v>
      </c>
      <c r="V183" s="14">
        <f ca="1">VLOOKUP(Q183,[2]character_type_i18n!$A:$H,7,FALSE)</f>
        <v>0.7</v>
      </c>
      <c r="W183" s="77" t="str">
        <f ca="1">VLOOKUP($A183,OFFSET([2]characters!$A$1,0,0,COUNTA([2]characters!$A:$A),MATCH(W$1,[2]characters!$1:$1,0)-MATCH($A$1,[2]characters!$1:$1,0)+1),MATCH(W$1,[2]characters!$1:$1,0)-MATCH($A$1,[2]characters!$1:$1,0)+1,FALSE)</f>
        <v>animal</v>
      </c>
      <c r="X183" s="8" t="str">
        <f ca="1">VLOOKUP(W183,[2]character_tribe_i18n!$A:$H,3,FALSE)</f>
        <v>アニマル</v>
      </c>
      <c r="Y183" s="77" t="str">
        <f ca="1">VLOOKUP($A183,OFFSET([2]characters!$A$1,0,0,COUNTA([2]characters!$A:$A),MATCH(Y$1,[2]characters!$1:$1,0)-MATCH($A$1,[2]characters!$1:$1,0)+1),MATCH(Y$1,[2]characters!$1:$1,0)-MATCH($A$1,[2]characters!$1:$1,0)+1,FALSE)</f>
        <v>none</v>
      </c>
      <c r="Z183" s="8" t="str">
        <f ca="1">VLOOKUP(Y183,[2]character_tribe_i18n!$A:$H,3,FALSE)</f>
        <v>種族なし</v>
      </c>
      <c r="AA183" s="14">
        <f ca="1">VLOOKUP(W183,[2]character_tribe_i18n!$A:$H,4,FALSE)</f>
        <v>1</v>
      </c>
      <c r="AB183" s="14">
        <f ca="1">VLOOKUP(W183,[2]character_tribe_i18n!$A:$H,5,FALSE)</f>
        <v>1.1000000000000001</v>
      </c>
      <c r="AC183" s="14">
        <f ca="1">VLOOKUP(W183,[2]character_tribe_i18n!$A:$H,6,FALSE)</f>
        <v>1</v>
      </c>
      <c r="AD183" s="14">
        <f ca="1">VLOOKUP(W183,[2]character_tribe_i18n!$A:$H,7,FALSE)</f>
        <v>0.9</v>
      </c>
      <c r="AE183" s="12">
        <v>183</v>
      </c>
      <c r="AF183" s="85" t="str">
        <f ca="1">IF(AE183="NULL","",VLOOKUP($AE183,OFFSET([2]characters!$A$1,0,0,COUNTA([2]characters!$A:$A),MATCH(AF$1,[2]characters!$1:$1,0)-MATCH($A$1,[2]characters!$1:$1,0)+1),MATCH(AF$1,[2]characters!$1:$1,0)-MATCH($A$1,[2]characters!$1:$1,0)+1,FALSE))</f>
        <v>鈍重な彷徨者 ベヒモス</v>
      </c>
      <c r="AG183" s="8">
        <f t="shared" ca="1" si="16"/>
        <v>181</v>
      </c>
      <c r="AH183" s="85" t="str">
        <f ca="1">VLOOKUP($AG183,OFFSET([2]characters!$A$1,0,0,COUNTA([2]characters!$A:$A),MATCH(AH$1,[2]characters!$1:$1,0)-MATCH($A$1,[2]characters!$1:$1,0)+1),MATCH(AH$1,[2]characters!$1:$1,0)-MATCH($A$1,[2]characters!$1:$1,0)+1,FALSE)</f>
        <v>ベヒモス</v>
      </c>
      <c r="AI183" s="14">
        <f ca="1">IF(AE183="NULL","NULL",VLOOKUP(G183,ビット!$A$2:$B$7,2))</f>
        <v>50000</v>
      </c>
      <c r="AJ183" s="9">
        <v>2</v>
      </c>
      <c r="AK183" s="10" t="str">
        <f t="shared" si="17"/>
        <v>普通</v>
      </c>
      <c r="AL183" s="14" t="str">
        <f ca="1">INDEX(経験値!$A$1:$I$20,MATCH(H183,経験値!$A$1:$A$20,FALSE),MATCH(G183,経験値!$A$1:$I$1,FALSE))</f>
        <v>required_exp_200</v>
      </c>
      <c r="AM183" s="11">
        <f ca="1">VLOOKUP(G183,経験値!$A$27:$B$31,2)</f>
        <v>3400</v>
      </c>
      <c r="AN183" s="21">
        <f ca="1">VLOOKUP(G183,ビット!$G$2:$H$7,2)</f>
        <v>600</v>
      </c>
      <c r="AO183" s="98" t="s">
        <v>178</v>
      </c>
      <c r="AP183" s="97">
        <v>333003</v>
      </c>
      <c r="AQ183" s="77" t="e">
        <f ca="1">VLOOKUP($AP183,OFFSET([1]unit_skills!$A$1,0,0,COUNTA([1]unit_skills!$A:$A),MATCH("name",[1]unit_skills!$1:$1,0)-MATCH($AP$1,[1]unit_skills!$1:$1,0)+1),MATCH("name",[1]unit_skills!$1:$1,0)-MATCH($AP$1,[1]unit_skills!$1:$1,0)+1,FALSE)</f>
        <v>#VALUE!</v>
      </c>
      <c r="AR183" s="77" t="e">
        <f ca="1">VLOOKUP($AP183,OFFSET([1]unit_skills!$A$1,0,0,COUNTA([1]unit_skills!$A:$A),MATCH("comment",[1]unit_skills!$1:$1,0)-MATCH($AP$1,[1]unit_skills!$1:$1,0)+1),MATCH("comment",[1]unit_skills!$1:$1,0)-MATCH($AP$1,[1]unit_skills!$1:$1,0)+1,FALSE)</f>
        <v>#VALUE!</v>
      </c>
      <c r="AS183" s="77" t="e">
        <f ca="1">VLOOKUP($AP183,OFFSET([1]unit_skills!$A$1,0,0,COUNTA([1]unit_skills!$A:$A),MATCH(AS$1,[1]unit_skills!$1:$1,0)-MATCH($AP$1,[1]unit_skills!$1:$1,0)+1),MATCH(AS$1,[1]unit_skills!$1:$1,0)-MATCH($AP$1,[1]unit_skills!$1:$1,0)+1,FALSE)</f>
        <v>#VALUE!</v>
      </c>
      <c r="AT183" s="97">
        <v>132004</v>
      </c>
      <c r="AU183" s="77" t="e">
        <f ca="1">VLOOKUP($AT183,OFFSET([1]crash_skills!$A$1,0,0,COUNTA([1]crash_skills!$A:$A),MATCH("name",[1]crash_skills!$1:$1,0)-MATCH($AT$1,[1]crash_skills!$1:$1,0)+1),MATCH("name",[1]crash_skills!$1:$1,0)-MATCH($AT$1,[1]crash_skills!$1:$1,0)+1,FALSE)</f>
        <v>#VALUE!</v>
      </c>
      <c r="AV183" s="77" t="e">
        <f ca="1">VLOOKUP($AT183,OFFSET([1]crash_skills!$A$1,0,0,COUNTA([1]crash_skills!$A:$A),MATCH("comment",[1]crash_skills!$1:$1,0)-MATCH($AT$1,[1]crash_skills!$1:$1,0)+1),MATCH("comment",[1]crash_skills!$1:$1,0)-MATCH($AT$1,[1]crash_skills!$1:$1,0)+1,FALSE)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83" s="77" t="e">
        <f ca="1">VLOOKUP($AT183,OFFSET([1]crash_skills!$A$1,0,0,COUNTA([1]crash_skills!$A:$A),MATCH(AW$1,[1]crash_skills!$1:$1,0)-MATCH($AT$1,[1]crash_skills!$1:$1,0)+1),MATCH(AW$1,[1]crash_skills!$1:$1,0)-MATCH($AT$1,[1]crash_skills!$1:$1,0)+1,FALSE)</f>
        <v>#VALUE!</v>
      </c>
      <c r="AX183" s="81">
        <f ca="1">VLOOKUP($A183,OFFSET([2]characters!$A$1,0,0,COUNTA([2]characters!$A:$A),MATCH(AX$1,[2]characters!$1:$1,0)-MATCH($A$1,[2]characters!$1:$1,0)+1),MATCH(AX$1,[2]characters!$1:$1,0)-MATCH($A$1,[2]characters!$1:$1,0)+1,FALSE)</f>
        <v>3</v>
      </c>
      <c r="AY183" s="19">
        <v>1</v>
      </c>
      <c r="AZ183" s="19">
        <v>1</v>
      </c>
      <c r="BA183" s="19">
        <v>0</v>
      </c>
      <c r="BB183" s="19">
        <v>1</v>
      </c>
      <c r="BC183" s="14">
        <f ca="1">INDEX('RC6SV'!$A$1:$G$20,MATCH(H183,'RC6SV'!$A$1:$A$20,FALSE),MATCH(G183,'RC6SV'!$A$1:$G$1,FALSE))</f>
        <v>6700</v>
      </c>
      <c r="BD183" s="63">
        <f t="shared" ca="1" si="18"/>
        <v>6700</v>
      </c>
      <c r="BE183" s="14">
        <f t="shared" ca="1" si="19"/>
        <v>4900</v>
      </c>
      <c r="BF183" s="14">
        <f t="shared" ca="1" si="20"/>
        <v>1</v>
      </c>
      <c r="BG183" s="20">
        <f ca="1">IF($BE183&lt;=0,ROUND(BK183*0.5,0), ROUND($BE183*S183*AA183*J183*AY183*0.8*[2]ステータス!$B$2,0))</f>
        <v>2899</v>
      </c>
      <c r="BH183" s="20">
        <f ca="1">IF($BE183&lt;=0,ROUND(BL183*0.5,0), ROUND($BE183*T183*AB183*K183*AZ183*0.8*[2]ステータス!$C$2,0))</f>
        <v>1078</v>
      </c>
      <c r="BI183" s="20">
        <f ca="1">IF($BE183&lt;=0,ROUND(BM183*0.5,0), ROUND($BE183*U183*AC183*L183*BA183*0.8*[2]ステータス!$D$2,0))</f>
        <v>0</v>
      </c>
      <c r="BJ183" s="20">
        <f ca="1">IF($BE183&lt;=0,ROUND(BN183*0.5,0), ROUND($BE183*V183*AD183*M183*BB183*0.8*[2]ステータス!$E$2,0))</f>
        <v>617</v>
      </c>
      <c r="BK183" s="14">
        <f ca="1">ROUND(BD183*S183*AA183*J183*AY183*[2]ステータス!$B$2,0)</f>
        <v>4955</v>
      </c>
      <c r="BL183" s="14">
        <f ca="1">ROUND(BD183*T183*AB183*K183*AZ183*[2]ステータス!$C$2,0)</f>
        <v>1842</v>
      </c>
      <c r="BM183" s="14">
        <f ca="1">ROUND(BD183*U183*AC183*L183*BA183*[2]ステータス!$D$2,0)</f>
        <v>0</v>
      </c>
      <c r="BN183" s="14">
        <f ca="1">ROUND(BD183*V183*AD183*M183*BB183*[2]ステータス!$E$2,0)</f>
        <v>1055</v>
      </c>
      <c r="BO183" s="13">
        <v>0</v>
      </c>
      <c r="BP183" s="13">
        <v>1</v>
      </c>
      <c r="BQ183" s="13" t="s">
        <v>102</v>
      </c>
      <c r="BR183" s="13">
        <f ca="1">VLOOKUP(H183,ghosts_label!$A$2:$B$19,2,FALSE)</f>
        <v>600</v>
      </c>
    </row>
    <row r="184" spans="1:70" ht="21" customHeight="1" x14ac:dyDescent="0.15">
      <c r="A184" s="14">
        <f t="shared" ca="1" si="15"/>
        <v>183</v>
      </c>
      <c r="B184" s="77" t="str">
        <f ca="1">VLOOKUP($A184,OFFSET([2]characters!$A$1,0,0,COUNTA([2]characters!$A:$A),MATCH(B$1,[2]characters!$1:$1,0)-MATCH($A$1,[2]characters!$1:$1,0)+1),MATCH(B$1,[2]characters!$1:$1,0)-MATCH($A$1,[2]characters!$1:$1,0)+1,FALSE)</f>
        <v>鈍重な彷徨者 ベヒモス</v>
      </c>
      <c r="C184" s="77" t="str">
        <f ca="1">VLOOKUP($A184,OFFSET([2]characters!$A$1,0,0,COUNTA([2]characters!$A:$A),MATCH(C$1,[2]characters!$1:$1,0)-MATCH($A$1,[2]characters!$1:$1,0)+1),MATCH(C$1,[2]characters!$1:$1,0)-MATCH($A$1,[2]characters!$1:$1,0)+1,FALSE)</f>
        <v>初期ガチャ</v>
      </c>
      <c r="D184" s="77" t="str">
        <f ca="1">VLOOKUP($A184,OFFSET([2]characters!$A$1,0,0,COUNTA([2]characters!$A:$A),MATCH(D$1,[2]characters!$1:$1,0)-MATCH($A$1,[2]characters!$1:$1,0)+1),MATCH(D$1,[2]characters!$1:$1,0)-MATCH($A$1,[2]characters!$1:$1,0)+1,FALSE)</f>
        <v>破界者</v>
      </c>
      <c r="E184" s="77" t="str">
        <f ca="1">VLOOKUP($A184,OFFSET([2]characters!$A$1,0,0,COUNTA([2]characters!$A:$A),MATCH(E$1,[2]characters!$1:$1,0)-MATCH($A$1,[2]characters!$1:$1,0)+1),MATCH(E$1,[2]characters!$1:$1,0)-MATCH($A$1,[2]characters!$1:$1,0)+1,FALSE)</f>
        <v>可愛い</v>
      </c>
      <c r="F184" s="77" t="str">
        <f ca="1">VLOOKUP($A184,OFFSET([2]characters!$A$1,0,0,COUNTA([2]characters!$A:$A),MATCH(F$1,[2]characters!$1:$1,0)-MATCH($A$1,[2]characters!$1:$1,0)+1),MATCH(F$1,[2]characters!$1:$1,0)-MATCH($A$1,[2]characters!$1:$1,0)+1,FALSE)</f>
        <v>女性</v>
      </c>
      <c r="G184" s="77">
        <f ca="1">VLOOKUP($A184,OFFSET([2]characters!$A$1,0,0,COUNTA([2]characters!$A:$A),MATCH(G$1,[2]characters!$1:$1,0)-MATCH($A$1,[2]characters!$1:$1,0)+1),MATCH(G$1,[2]characters!$1:$1,0)-MATCH($A$1,[2]characters!$1:$1,0)+1,FALSE)</f>
        <v>5</v>
      </c>
      <c r="H184" s="77" t="str">
        <f ca="1">VLOOKUP($A184,OFFSET([2]characters!$A$1,0,0,COUNTA([2]characters!$A:$A),MATCH(H$1,[2]characters!$1:$1,0)-MATCH($A$1,[2]characters!$1:$1,0)+1),MATCH(H$1,[2]characters!$1:$1,0)-MATCH($A$1,[2]characters!$1:$1,0)+1,FALSE)</f>
        <v>PremiumN</v>
      </c>
      <c r="I184" s="77" t="str">
        <f ca="1">VLOOKUP($A184,OFFSET([2]characters!$A$1,0,0,COUNTA([2]characters!$A:$A),MATCH(I$1,[2]characters!$1:$1,0)-MATCH($A$1,[2]characters!$1:$1,0)+1),MATCH(I$1,[2]characters!$1:$1,0)-MATCH($A$1,[2]characters!$1:$1,0)+1,FALSE)</f>
        <v>green</v>
      </c>
      <c r="J184" s="14">
        <f ca="1">VLOOKUP(I184,[2]属性!$A:$E,2,FALSE)</f>
        <v>1.02</v>
      </c>
      <c r="K184" s="14">
        <f ca="1">VLOOKUP(I184,[2]属性!$A:$E,3,FALSE)</f>
        <v>0.98</v>
      </c>
      <c r="L184" s="14">
        <f ca="1">VLOOKUP(I184,[2]属性!$A:$E,4,FALSE)</f>
        <v>1</v>
      </c>
      <c r="M184" s="14">
        <f ca="1">VLOOKUP(I184,[2]属性!$A:$E,5,FALSE)</f>
        <v>1</v>
      </c>
      <c r="N184" s="14">
        <f ca="1">INDEX(コスト!$A$1:$I$20,MATCH(H184,コスト!$A$1:$A$20,FALSE),MATCH(G184,コスト!$A$1:$I$1,FALSE))</f>
        <v>28</v>
      </c>
      <c r="O184" s="14">
        <f ca="1">INDEX(レベル!$A$1:$I$21,MATCH(H184,レベル!$A$1:$A$21,FALSE),MATCH(G184,レベル!$A$1:$I$1,FALSE))</f>
        <v>80</v>
      </c>
      <c r="P184" s="63">
        <f t="shared" ca="1" si="21"/>
        <v>75</v>
      </c>
      <c r="Q184" s="77" t="str">
        <f ca="1">VLOOKUP($A184,OFFSET([2]characters!$A$1,0,0,COUNTA([2]characters!$A:$A),MATCH(Q$1,[2]characters!$1:$1,0)-MATCH($A$1,[2]characters!$1:$1,0)+1),MATCH(Q$1,[2]characters!$1:$1,0)-MATCH($A$1,[2]characters!$1:$1,0)+1,FALSE)</f>
        <v>hp</v>
      </c>
      <c r="R184" s="8" t="str">
        <f ca="1">VLOOKUP(Q184,[2]character_type_i18n!$A:$H,3,FALSE)</f>
        <v>体力タイプ</v>
      </c>
      <c r="S184" s="14">
        <f ca="1">VLOOKUP(Q184,[2]character_type_i18n!$A:$H,4,FALSE)</f>
        <v>1.45</v>
      </c>
      <c r="T184" s="14">
        <f ca="1">VLOOKUP(Q184,[2]character_type_i18n!$A:$H,5,FALSE)</f>
        <v>0.85</v>
      </c>
      <c r="U184" s="14">
        <f ca="1">VLOOKUP(Q184,[2]character_type_i18n!$A:$H,6,FALSE)</f>
        <v>1</v>
      </c>
      <c r="V184" s="14">
        <f ca="1">VLOOKUP(Q184,[2]character_type_i18n!$A:$H,7,FALSE)</f>
        <v>0.7</v>
      </c>
      <c r="W184" s="77" t="str">
        <f ca="1">VLOOKUP($A184,OFFSET([2]characters!$A$1,0,0,COUNTA([2]characters!$A:$A),MATCH(W$1,[2]characters!$1:$1,0)-MATCH($A$1,[2]characters!$1:$1,0)+1),MATCH(W$1,[2]characters!$1:$1,0)-MATCH($A$1,[2]characters!$1:$1,0)+1,FALSE)</f>
        <v>animal</v>
      </c>
      <c r="X184" s="8" t="str">
        <f ca="1">VLOOKUP(W184,[2]character_tribe_i18n!$A:$H,3,FALSE)</f>
        <v>アニマル</v>
      </c>
      <c r="Y184" s="77" t="str">
        <f ca="1">VLOOKUP($A184,OFFSET([2]characters!$A$1,0,0,COUNTA([2]characters!$A:$A),MATCH(Y$1,[2]characters!$1:$1,0)-MATCH($A$1,[2]characters!$1:$1,0)+1),MATCH(Y$1,[2]characters!$1:$1,0)-MATCH($A$1,[2]characters!$1:$1,0)+1,FALSE)</f>
        <v>none</v>
      </c>
      <c r="Z184" s="8" t="str">
        <f ca="1">VLOOKUP(Y184,[2]character_tribe_i18n!$A:$H,3,FALSE)</f>
        <v>種族なし</v>
      </c>
      <c r="AA184" s="14">
        <f ca="1">VLOOKUP(W184,[2]character_tribe_i18n!$A:$H,4,FALSE)</f>
        <v>1</v>
      </c>
      <c r="AB184" s="14">
        <f ca="1">VLOOKUP(W184,[2]character_tribe_i18n!$A:$H,5,FALSE)</f>
        <v>1.1000000000000001</v>
      </c>
      <c r="AC184" s="14">
        <f ca="1">VLOOKUP(W184,[2]character_tribe_i18n!$A:$H,6,FALSE)</f>
        <v>1</v>
      </c>
      <c r="AD184" s="14">
        <f ca="1">VLOOKUP(W184,[2]character_tribe_i18n!$A:$H,7,FALSE)</f>
        <v>0.9</v>
      </c>
      <c r="AE184" s="12" t="s">
        <v>102</v>
      </c>
      <c r="AF184" s="85" t="str">
        <f ca="1">IF(AE184="NULL","",VLOOKUP($AE184,OFFSET([2]characters!$A$1,0,0,COUNTA([2]characters!$A:$A),MATCH(AF$1,[2]characters!$1:$1,0)-MATCH($A$1,[2]characters!$1:$1,0)+1),MATCH(AF$1,[2]characters!$1:$1,0)-MATCH($A$1,[2]characters!$1:$1,0)+1,FALSE))</f>
        <v/>
      </c>
      <c r="AG184" s="8">
        <f t="shared" ca="1" si="16"/>
        <v>181</v>
      </c>
      <c r="AH184" s="85" t="str">
        <f ca="1">VLOOKUP($AG184,OFFSET([2]characters!$A$1,0,0,COUNTA([2]characters!$A:$A),MATCH(AH$1,[2]characters!$1:$1,0)-MATCH($A$1,[2]characters!$1:$1,0)+1),MATCH(AH$1,[2]characters!$1:$1,0)-MATCH($A$1,[2]characters!$1:$1,0)+1,FALSE)</f>
        <v>ベヒモス</v>
      </c>
      <c r="AI184" s="14" t="str">
        <f>IF(AE184="NULL","NULL",VLOOKUP(G184,ビット!$A$2:$B$7,2))</f>
        <v>NULL</v>
      </c>
      <c r="AJ184" s="9">
        <v>2</v>
      </c>
      <c r="AK184" s="10" t="str">
        <f t="shared" si="17"/>
        <v>普通</v>
      </c>
      <c r="AL184" s="14" t="str">
        <f ca="1">INDEX(経験値!$A$1:$I$20,MATCH(H184,経験値!$A$1:$A$20,FALSE),MATCH(G184,経験値!$A$1:$I$1,FALSE))</f>
        <v>required_exp_200</v>
      </c>
      <c r="AM184" s="11">
        <f ca="1">VLOOKUP(G184,経験値!$A$27:$B$31,2)</f>
        <v>6400</v>
      </c>
      <c r="AN184" s="21">
        <f ca="1">VLOOKUP(G184,ビット!$G$2:$H$7,2)</f>
        <v>900</v>
      </c>
      <c r="AO184" s="98" t="s">
        <v>178</v>
      </c>
      <c r="AP184" s="97">
        <v>333004</v>
      </c>
      <c r="AQ184" s="77" t="e">
        <f ca="1">VLOOKUP($AP184,OFFSET([1]unit_skills!$A$1,0,0,COUNTA([1]unit_skills!$A:$A),MATCH("name",[1]unit_skills!$1:$1,0)-MATCH($AP$1,[1]unit_skills!$1:$1,0)+1),MATCH("name",[1]unit_skills!$1:$1,0)-MATCH($AP$1,[1]unit_skills!$1:$1,0)+1,FALSE)</f>
        <v>#VALUE!</v>
      </c>
      <c r="AR184" s="77" t="e">
        <f ca="1">VLOOKUP($AP184,OFFSET([1]unit_skills!$A$1,0,0,COUNTA([1]unit_skills!$A:$A),MATCH("comment",[1]unit_skills!$1:$1,0)-MATCH($AP$1,[1]unit_skills!$1:$1,0)+1),MATCH("comment",[1]unit_skills!$1:$1,0)-MATCH($AP$1,[1]unit_skills!$1:$1,0)+1,FALSE)</f>
        <v>#VALUE!</v>
      </c>
      <c r="AS184" s="77" t="e">
        <f ca="1">VLOOKUP($AP184,OFFSET([1]unit_skills!$A$1,0,0,COUNTA([1]unit_skills!$A:$A),MATCH(AS$1,[1]unit_skills!$1:$1,0)-MATCH($AP$1,[1]unit_skills!$1:$1,0)+1),MATCH(AS$1,[1]unit_skills!$1:$1,0)-MATCH($AP$1,[1]unit_skills!$1:$1,0)+1,FALSE)</f>
        <v>#VALUE!</v>
      </c>
      <c r="AT184" s="97">
        <v>132009</v>
      </c>
      <c r="AU184" s="77" t="e">
        <f ca="1">VLOOKUP($AT184,OFFSET([1]crash_skills!$A$1,0,0,COUNTA([1]crash_skills!$A:$A),MATCH("name",[1]crash_skills!$1:$1,0)-MATCH($AT$1,[1]crash_skills!$1:$1,0)+1),MATCH("name",[1]crash_skills!$1:$1,0)-MATCH($AT$1,[1]crash_skills!$1:$1,0)+1,FALSE)</f>
        <v>#VALUE!</v>
      </c>
      <c r="AV184" s="77" t="e">
        <f ca="1">VLOOKUP($AT184,OFFSET([1]crash_skills!$A$1,0,0,COUNTA([1]crash_skills!$A:$A),MATCH("comment",[1]crash_skills!$1:$1,0)-MATCH($AT$1,[1]crash_skills!$1:$1,0)+1),MATCH("comment",[1]crash_skills!$1:$1,0)-MATCH($AT$1,[1]crash_skills!$1:$1,0)+1,FALSE)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84" s="77" t="e">
        <f ca="1">VLOOKUP($AT184,OFFSET([1]crash_skills!$A$1,0,0,COUNTA([1]crash_skills!$A:$A),MATCH(AW$1,[1]crash_skills!$1:$1,0)-MATCH($AT$1,[1]crash_skills!$1:$1,0)+1),MATCH(AW$1,[1]crash_skills!$1:$1,0)-MATCH($AT$1,[1]crash_skills!$1:$1,0)+1,FALSE)</f>
        <v>#VALUE!</v>
      </c>
      <c r="AX184" s="81">
        <f ca="1">VLOOKUP($A184,OFFSET([2]characters!$A$1,0,0,COUNTA([2]characters!$A:$A),MATCH(AX$1,[2]characters!$1:$1,0)-MATCH($A$1,[2]characters!$1:$1,0)+1),MATCH(AX$1,[2]characters!$1:$1,0)-MATCH($A$1,[2]characters!$1:$1,0)+1,FALSE)</f>
        <v>3</v>
      </c>
      <c r="AY184" s="19">
        <v>1</v>
      </c>
      <c r="AZ184" s="19">
        <v>1</v>
      </c>
      <c r="BA184" s="19">
        <v>0</v>
      </c>
      <c r="BB184" s="19">
        <v>1</v>
      </c>
      <c r="BC184" s="14">
        <f ca="1">INDEX('RC6SV'!$A$1:$G$20,MATCH(H184,'RC6SV'!$A$1:$A$20,FALSE),MATCH(G184,'RC6SV'!$A$1:$G$1,FALSE))</f>
        <v>8500</v>
      </c>
      <c r="BD184" s="63">
        <f t="shared" ca="1" si="18"/>
        <v>8500</v>
      </c>
      <c r="BE184" s="14">
        <f t="shared" ca="1" si="19"/>
        <v>6700</v>
      </c>
      <c r="BF184" s="14">
        <f t="shared" ca="1" si="20"/>
        <v>1</v>
      </c>
      <c r="BG184" s="20">
        <f ca="1">IF($BE184&lt;=0,ROUND(BK184*0.5,0), ROUND($BE184*S184*AA184*J184*AY184*0.8*[2]ステータス!$B$2,0))</f>
        <v>3964</v>
      </c>
      <c r="BH184" s="20">
        <f ca="1">IF($BE184&lt;=0,ROUND(BL184*0.5,0), ROUND($BE184*T184*AB184*K184*AZ184*0.8*[2]ステータス!$C$2,0))</f>
        <v>1473</v>
      </c>
      <c r="BI184" s="20">
        <f ca="1">IF($BE184&lt;=0,ROUND(BM184*0.5,0), ROUND($BE184*U184*AC184*L184*BA184*0.8*[2]ステータス!$D$2,0))</f>
        <v>0</v>
      </c>
      <c r="BJ184" s="20">
        <f ca="1">IF($BE184&lt;=0,ROUND(BN184*0.5,0), ROUND($BE184*V184*AD184*M184*BB184*0.8*[2]ステータス!$E$2,0))</f>
        <v>844</v>
      </c>
      <c r="BK184" s="14">
        <f ca="1">ROUND(BD184*S184*AA184*J184*AY184*[2]ステータス!$B$2,0)</f>
        <v>6286</v>
      </c>
      <c r="BL184" s="14">
        <f ca="1">ROUND(BD184*T184*AB184*K184*AZ184*[2]ステータス!$C$2,0)</f>
        <v>2337</v>
      </c>
      <c r="BM184" s="14">
        <f ca="1">ROUND(BD184*U184*AC184*L184*BA184*[2]ステータス!$D$2,0)</f>
        <v>0</v>
      </c>
      <c r="BN184" s="14">
        <f ca="1">ROUND(BD184*V184*AD184*M184*BB184*[2]ステータス!$E$2,0)</f>
        <v>1339</v>
      </c>
      <c r="BO184" s="13">
        <v>0</v>
      </c>
      <c r="BP184" s="13">
        <v>1</v>
      </c>
      <c r="BQ184" s="13" t="s">
        <v>102</v>
      </c>
      <c r="BR184" s="13">
        <f ca="1">VLOOKUP(H184,ghosts_label!$A$2:$B$19,2,FALSE)</f>
        <v>600</v>
      </c>
    </row>
    <row r="185" spans="1:70" ht="21" customHeight="1" x14ac:dyDescent="0.15">
      <c r="A185" s="14">
        <f t="shared" ca="1" si="15"/>
        <v>184</v>
      </c>
      <c r="B185" s="77" t="str">
        <f ca="1">VLOOKUP($A185,OFFSET([2]characters!$A$1,0,0,COUNTA([2]characters!$A:$A),MATCH(B$1,[2]characters!$1:$1,0)-MATCH($A$1,[2]characters!$1:$1,0)+1),MATCH(B$1,[2]characters!$1:$1,0)-MATCH($A$1,[2]characters!$1:$1,0)+1,FALSE)</f>
        <v>クラーケン</v>
      </c>
      <c r="C185" s="77" t="str">
        <f ca="1">VLOOKUP($A185,OFFSET([2]characters!$A$1,0,0,COUNTA([2]characters!$A:$A),MATCH(C$1,[2]characters!$1:$1,0)-MATCH($A$1,[2]characters!$1:$1,0)+1),MATCH(C$1,[2]characters!$1:$1,0)-MATCH($A$1,[2]characters!$1:$1,0)+1,FALSE)</f>
        <v>初期ガチャ</v>
      </c>
      <c r="D185" s="77" t="str">
        <f ca="1">VLOOKUP($A185,OFFSET([2]characters!$A$1,0,0,COUNTA([2]characters!$A:$A),MATCH(D$1,[2]characters!$1:$1,0)-MATCH($A$1,[2]characters!$1:$1,0)+1),MATCH(D$1,[2]characters!$1:$1,0)-MATCH($A$1,[2]characters!$1:$1,0)+1,FALSE)</f>
        <v>破界者</v>
      </c>
      <c r="E185" s="77" t="str">
        <f ca="1">VLOOKUP($A185,OFFSET([2]characters!$A$1,0,0,COUNTA([2]characters!$A:$A),MATCH(E$1,[2]characters!$1:$1,0)-MATCH($A$1,[2]characters!$1:$1,0)+1),MATCH(E$1,[2]characters!$1:$1,0)-MATCH($A$1,[2]characters!$1:$1,0)+1,FALSE)</f>
        <v>美しい</v>
      </c>
      <c r="F185" s="77" t="str">
        <f ca="1">VLOOKUP($A185,OFFSET([2]characters!$A$1,0,0,COUNTA([2]characters!$A:$A),MATCH(F$1,[2]characters!$1:$1,0)-MATCH($A$1,[2]characters!$1:$1,0)+1),MATCH(F$1,[2]characters!$1:$1,0)-MATCH($A$1,[2]characters!$1:$1,0)+1,FALSE)</f>
        <v>女性</v>
      </c>
      <c r="G185" s="77">
        <f ca="1">VLOOKUP($A185,OFFSET([2]characters!$A$1,0,0,COUNTA([2]characters!$A:$A),MATCH(G$1,[2]characters!$1:$1,0)-MATCH($A$1,[2]characters!$1:$1,0)+1),MATCH(G$1,[2]characters!$1:$1,0)-MATCH($A$1,[2]characters!$1:$1,0)+1,FALSE)</f>
        <v>3</v>
      </c>
      <c r="H185" s="77" t="str">
        <f ca="1">VLOOKUP($A185,OFFSET([2]characters!$A$1,0,0,COUNTA([2]characters!$A:$A),MATCH(H$1,[2]characters!$1:$1,0)-MATCH($A$1,[2]characters!$1:$1,0)+1),MATCH(H$1,[2]characters!$1:$1,0)-MATCH($A$1,[2]characters!$1:$1,0)+1,FALSE)</f>
        <v>PremiumN</v>
      </c>
      <c r="I185" s="77" t="str">
        <f ca="1">VLOOKUP($A185,OFFSET([2]characters!$A$1,0,0,COUNTA([2]characters!$A:$A),MATCH(I$1,[2]characters!$1:$1,0)-MATCH($A$1,[2]characters!$1:$1,0)+1),MATCH(I$1,[2]characters!$1:$1,0)-MATCH($A$1,[2]characters!$1:$1,0)+1,FALSE)</f>
        <v>blue</v>
      </c>
      <c r="J185" s="14">
        <f ca="1">VLOOKUP(I185,[2]属性!$A:$E,2,FALSE)</f>
        <v>1</v>
      </c>
      <c r="K185" s="14">
        <f ca="1">VLOOKUP(I185,[2]属性!$A:$E,3,FALSE)</f>
        <v>0.98</v>
      </c>
      <c r="L185" s="14">
        <f ca="1">VLOOKUP(I185,[2]属性!$A:$E,4,FALSE)</f>
        <v>1</v>
      </c>
      <c r="M185" s="14">
        <f ca="1">VLOOKUP(I185,[2]属性!$A:$E,5,FALSE)</f>
        <v>1.02</v>
      </c>
      <c r="N185" s="14">
        <f ca="1">INDEX(コスト!$A$1:$I$20,MATCH(H185,コスト!$A$1:$A$20,FALSE),MATCH(G185,コスト!$A$1:$I$1,FALSE))</f>
        <v>9</v>
      </c>
      <c r="O185" s="14">
        <f ca="1">INDEX(レベル!$A$1:$I$21,MATCH(H185,レベル!$A$1:$A$21,FALSE),MATCH(G185,レベル!$A$1:$I$1,FALSE))</f>
        <v>40</v>
      </c>
      <c r="P185" s="63">
        <f t="shared" ca="1" si="21"/>
        <v>45</v>
      </c>
      <c r="Q185" s="77" t="str">
        <f ca="1">VLOOKUP($A185,OFFSET([2]characters!$A$1,0,0,COUNTA([2]characters!$A:$A),MATCH(Q$1,[2]characters!$1:$1,0)-MATCH($A$1,[2]characters!$1:$1,0)+1),MATCH(Q$1,[2]characters!$1:$1,0)-MATCH($A$1,[2]characters!$1:$1,0)+1,FALSE)</f>
        <v>heal</v>
      </c>
      <c r="R185" s="8" t="str">
        <f ca="1">VLOOKUP(Q185,[2]character_type_i18n!$A:$H,3,FALSE)</f>
        <v>回復タイプ</v>
      </c>
      <c r="S185" s="14">
        <f ca="1">VLOOKUP(Q185,[2]character_type_i18n!$A:$H,4,FALSE)</f>
        <v>0.8</v>
      </c>
      <c r="T185" s="14">
        <f ca="1">VLOOKUP(Q185,[2]character_type_i18n!$A:$H,5,FALSE)</f>
        <v>0.78</v>
      </c>
      <c r="U185" s="14">
        <f ca="1">VLOOKUP(Q185,[2]character_type_i18n!$A:$H,6,FALSE)</f>
        <v>1</v>
      </c>
      <c r="V185" s="14">
        <f ca="1">VLOOKUP(Q185,[2]character_type_i18n!$A:$H,7,FALSE)</f>
        <v>1.42</v>
      </c>
      <c r="W185" s="77" t="str">
        <f ca="1">VLOOKUP($A185,OFFSET([2]characters!$A$1,0,0,COUNTA([2]characters!$A:$A),MATCH(W$1,[2]characters!$1:$1,0)-MATCH($A$1,[2]characters!$1:$1,0)+1),MATCH(W$1,[2]characters!$1:$1,0)-MATCH($A$1,[2]characters!$1:$1,0)+1,FALSE)</f>
        <v>animal</v>
      </c>
      <c r="X185" s="8" t="str">
        <f ca="1">VLOOKUP(W185,[2]character_tribe_i18n!$A:$H,3,FALSE)</f>
        <v>アニマル</v>
      </c>
      <c r="Y185" s="77" t="str">
        <f ca="1">VLOOKUP($A185,OFFSET([2]characters!$A$1,0,0,COUNTA([2]characters!$A:$A),MATCH(Y$1,[2]characters!$1:$1,0)-MATCH($A$1,[2]characters!$1:$1,0)+1),MATCH(Y$1,[2]characters!$1:$1,0)-MATCH($A$1,[2]characters!$1:$1,0)+1,FALSE)</f>
        <v>none</v>
      </c>
      <c r="Z185" s="8" t="str">
        <f ca="1">VLOOKUP(Y185,[2]character_tribe_i18n!$A:$H,3,FALSE)</f>
        <v>種族なし</v>
      </c>
      <c r="AA185" s="14">
        <f ca="1">VLOOKUP(W185,[2]character_tribe_i18n!$A:$H,4,FALSE)</f>
        <v>1</v>
      </c>
      <c r="AB185" s="14">
        <f ca="1">VLOOKUP(W185,[2]character_tribe_i18n!$A:$H,5,FALSE)</f>
        <v>1.1000000000000001</v>
      </c>
      <c r="AC185" s="14">
        <f ca="1">VLOOKUP(W185,[2]character_tribe_i18n!$A:$H,6,FALSE)</f>
        <v>1</v>
      </c>
      <c r="AD185" s="14">
        <f ca="1">VLOOKUP(W185,[2]character_tribe_i18n!$A:$H,7,FALSE)</f>
        <v>0.9</v>
      </c>
      <c r="AE185" s="12">
        <v>185</v>
      </c>
      <c r="AF185" s="85" t="str">
        <f ca="1">IF(AE185="NULL","",VLOOKUP($AE185,OFFSET([2]characters!$A$1,0,0,COUNTA([2]characters!$A:$A),MATCH(AF$1,[2]characters!$1:$1,0)-MATCH($A$1,[2]characters!$1:$1,0)+1),MATCH(AF$1,[2]characters!$1:$1,0)-MATCH($A$1,[2]characters!$1:$1,0)+1,FALSE))</f>
        <v>海姫 クラーケン</v>
      </c>
      <c r="AG185" s="8">
        <f t="shared" ca="1" si="16"/>
        <v>184</v>
      </c>
      <c r="AH185" s="85" t="str">
        <f ca="1">VLOOKUP($AG185,OFFSET([2]characters!$A$1,0,0,COUNTA([2]characters!$A:$A),MATCH(AH$1,[2]characters!$1:$1,0)-MATCH($A$1,[2]characters!$1:$1,0)+1),MATCH(AH$1,[2]characters!$1:$1,0)-MATCH($A$1,[2]characters!$1:$1,0)+1,FALSE)</f>
        <v>クラーケン</v>
      </c>
      <c r="AI185" s="14">
        <f ca="1">IF(AE185="NULL","NULL",VLOOKUP(G185,ビット!$A$2:$B$7,2))</f>
        <v>20000</v>
      </c>
      <c r="AJ185" s="9">
        <v>2</v>
      </c>
      <c r="AK185" s="10" t="str">
        <f t="shared" si="17"/>
        <v>普通</v>
      </c>
      <c r="AL185" s="14" t="str">
        <f ca="1">INDEX(経験値!$A$1:$I$20,MATCH(H185,経験値!$A$1:$A$20,FALSE),MATCH(G185,経験値!$A$1:$I$1,FALSE))</f>
        <v>required_exp_200</v>
      </c>
      <c r="AM185" s="11">
        <f ca="1">VLOOKUP(G185,経験値!$A$27:$B$31,2)</f>
        <v>1500</v>
      </c>
      <c r="AN185" s="21">
        <f ca="1">VLOOKUP(G185,ビット!$G$2:$H$7,2)</f>
        <v>300</v>
      </c>
      <c r="AO185" s="98" t="s">
        <v>178</v>
      </c>
      <c r="AP185" s="97">
        <v>334002</v>
      </c>
      <c r="AQ185" s="77" t="e">
        <f ca="1">VLOOKUP($AP185,OFFSET([1]unit_skills!$A$1,0,0,COUNTA([1]unit_skills!$A:$A),MATCH("name",[1]unit_skills!$1:$1,0)-MATCH($AP$1,[1]unit_skills!$1:$1,0)+1),MATCH("name",[1]unit_skills!$1:$1,0)-MATCH($AP$1,[1]unit_skills!$1:$1,0)+1,FALSE)</f>
        <v>#VALUE!</v>
      </c>
      <c r="AR185" s="77" t="e">
        <f ca="1">VLOOKUP($AP185,OFFSET([1]unit_skills!$A$1,0,0,COUNTA([1]unit_skills!$A:$A),MATCH("comment",[1]unit_skills!$1:$1,0)-MATCH($AP$1,[1]unit_skills!$1:$1,0)+1),MATCH("comment",[1]unit_skills!$1:$1,0)-MATCH($AP$1,[1]unit_skills!$1:$1,0)+1,FALSE)</f>
        <v>#VALUE!</v>
      </c>
      <c r="AS185" s="77" t="e">
        <f ca="1">VLOOKUP($AP185,OFFSET([1]unit_skills!$A$1,0,0,COUNTA([1]unit_skills!$A:$A),MATCH(AS$1,[1]unit_skills!$1:$1,0)-MATCH($AP$1,[1]unit_skills!$1:$1,0)+1),MATCH(AS$1,[1]unit_skills!$1:$1,0)-MATCH($AP$1,[1]unit_skills!$1:$1,0)+1,FALSE)</f>
        <v>#VALUE!</v>
      </c>
      <c r="AT185" s="97">
        <v>213003</v>
      </c>
      <c r="AU185" s="77" t="e">
        <f ca="1">VLOOKUP($AT185,OFFSET([1]crash_skills!$A$1,0,0,COUNTA([1]crash_skills!$A:$A),MATCH("name",[1]crash_skills!$1:$1,0)-MATCH($AT$1,[1]crash_skills!$1:$1,0)+1),MATCH("name",[1]crash_skills!$1:$1,0)-MATCH($AT$1,[1]crash_skills!$1:$1,0)+1,FALSE)</f>
        <v>#VALUE!</v>
      </c>
      <c r="AV185" s="77" t="e">
        <f ca="1">VLOOKUP($AT185,OFFSET([1]crash_skills!$A$1,0,0,COUNTA([1]crash_skills!$A:$A),MATCH("comment",[1]crash_skills!$1:$1,0)-MATCH($AT$1,[1]crash_skills!$1:$1,0)+1),MATCH("comment",[1]crash_skills!$1:$1,0)-MATCH($AT$1,[1]crash_skills!$1:$1,0)+1,FALSE)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85" s="77" t="e">
        <f ca="1">VLOOKUP($AT185,OFFSET([1]crash_skills!$A$1,0,0,COUNTA([1]crash_skills!$A:$A),MATCH(AW$1,[1]crash_skills!$1:$1,0)-MATCH($AT$1,[1]crash_skills!$1:$1,0)+1),MATCH(AW$1,[1]crash_skills!$1:$1,0)-MATCH($AT$1,[1]crash_skills!$1:$1,0)+1,FALSE)</f>
        <v>#VALUE!</v>
      </c>
      <c r="AX185" s="81">
        <f ca="1">VLOOKUP($A185,OFFSET([2]characters!$A$1,0,0,COUNTA([2]characters!$A:$A),MATCH(AX$1,[2]characters!$1:$1,0)-MATCH($A$1,[2]characters!$1:$1,0)+1),MATCH(AX$1,[2]characters!$1:$1,0)-MATCH($A$1,[2]characters!$1:$1,0)+1,FALSE)</f>
        <v>3</v>
      </c>
      <c r="AY185" s="19">
        <v>1</v>
      </c>
      <c r="AZ185" s="19">
        <v>1</v>
      </c>
      <c r="BA185" s="19">
        <v>0</v>
      </c>
      <c r="BB185" s="19">
        <v>1</v>
      </c>
      <c r="BC185" s="14">
        <f ca="1">INDEX('RC6SV'!$A$1:$G$20,MATCH(H185,'RC6SV'!$A$1:$A$20,FALSE),MATCH(G185,'RC6SV'!$A$1:$G$1,FALSE))</f>
        <v>4900</v>
      </c>
      <c r="BD185" s="63">
        <f t="shared" ca="1" si="18"/>
        <v>4900</v>
      </c>
      <c r="BE185" s="14">
        <f t="shared" ca="1" si="19"/>
        <v>0</v>
      </c>
      <c r="BF185" s="14">
        <f t="shared" ca="1" si="20"/>
        <v>1</v>
      </c>
      <c r="BG185" s="20">
        <f ca="1">IF($BE185&lt;=0,ROUND(BK185*0.5,0), ROUND($BE185*S185*AA185*J185*AY185*0.8*[2]ステータス!$B$2,0))</f>
        <v>980</v>
      </c>
      <c r="BH185" s="20">
        <f ca="1">IF($BE185&lt;=0,ROUND(BL185*0.5,0), ROUND($BE185*T185*AB185*K185*AZ185*0.8*[2]ステータス!$C$2,0))</f>
        <v>618</v>
      </c>
      <c r="BI185" s="20">
        <f ca="1">IF($BE185&lt;=0,ROUND(BM185*0.5,0), ROUND($BE185*U185*AC185*L185*BA185*0.8*[2]ステータス!$D$2,0))</f>
        <v>0</v>
      </c>
      <c r="BJ185" s="20">
        <f ca="1">IF($BE185&lt;=0,ROUND(BN185*0.5,0), ROUND($BE185*V185*AD185*M185*BB185*0.8*[2]ステータス!$E$2,0))</f>
        <v>799</v>
      </c>
      <c r="BK185" s="14">
        <f ca="1">ROUND(BD185*S185*AA185*J185*AY185*[2]ステータス!$B$2,0)</f>
        <v>1960</v>
      </c>
      <c r="BL185" s="14">
        <f ca="1">ROUND(BD185*T185*AB185*K185*AZ185*[2]ステータス!$C$2,0)</f>
        <v>1236</v>
      </c>
      <c r="BM185" s="14">
        <f ca="1">ROUND(BD185*U185*AC185*L185*BA185*[2]ステータス!$D$2,0)</f>
        <v>0</v>
      </c>
      <c r="BN185" s="14">
        <f ca="1">ROUND(BD185*V185*AD185*M185*BB185*[2]ステータス!$E$2,0)</f>
        <v>1597</v>
      </c>
      <c r="BO185" s="13">
        <v>0</v>
      </c>
      <c r="BP185" s="13">
        <v>1</v>
      </c>
      <c r="BQ185" s="13" t="s">
        <v>102</v>
      </c>
      <c r="BR185" s="13">
        <f ca="1">VLOOKUP(H185,ghosts_label!$A$2:$B$19,2,FALSE)</f>
        <v>600</v>
      </c>
    </row>
    <row r="186" spans="1:70" ht="21" customHeight="1" x14ac:dyDescent="0.15">
      <c r="A186" s="14">
        <f t="shared" ca="1" si="15"/>
        <v>185</v>
      </c>
      <c r="B186" s="77" t="str">
        <f ca="1">VLOOKUP($A186,OFFSET([2]characters!$A$1,0,0,COUNTA([2]characters!$A:$A),MATCH(B$1,[2]characters!$1:$1,0)-MATCH($A$1,[2]characters!$1:$1,0)+1),MATCH(B$1,[2]characters!$1:$1,0)-MATCH($A$1,[2]characters!$1:$1,0)+1,FALSE)</f>
        <v>海姫 クラーケン</v>
      </c>
      <c r="C186" s="77" t="str">
        <f ca="1">VLOOKUP($A186,OFFSET([2]characters!$A$1,0,0,COUNTA([2]characters!$A:$A),MATCH(C$1,[2]characters!$1:$1,0)-MATCH($A$1,[2]characters!$1:$1,0)+1),MATCH(C$1,[2]characters!$1:$1,0)-MATCH($A$1,[2]characters!$1:$1,0)+1,FALSE)</f>
        <v>初期ガチャ</v>
      </c>
      <c r="D186" s="77" t="str">
        <f ca="1">VLOOKUP($A186,OFFSET([2]characters!$A$1,0,0,COUNTA([2]characters!$A:$A),MATCH(D$1,[2]characters!$1:$1,0)-MATCH($A$1,[2]characters!$1:$1,0)+1),MATCH(D$1,[2]characters!$1:$1,0)-MATCH($A$1,[2]characters!$1:$1,0)+1,FALSE)</f>
        <v>破界者</v>
      </c>
      <c r="E186" s="77" t="str">
        <f ca="1">VLOOKUP($A186,OFFSET([2]characters!$A$1,0,0,COUNTA([2]characters!$A:$A),MATCH(E$1,[2]characters!$1:$1,0)-MATCH($A$1,[2]characters!$1:$1,0)+1),MATCH(E$1,[2]characters!$1:$1,0)-MATCH($A$1,[2]characters!$1:$1,0)+1,FALSE)</f>
        <v>美しい</v>
      </c>
      <c r="F186" s="77" t="str">
        <f ca="1">VLOOKUP($A186,OFFSET([2]characters!$A$1,0,0,COUNTA([2]characters!$A:$A),MATCH(F$1,[2]characters!$1:$1,0)-MATCH($A$1,[2]characters!$1:$1,0)+1),MATCH(F$1,[2]characters!$1:$1,0)-MATCH($A$1,[2]characters!$1:$1,0)+1,FALSE)</f>
        <v>女性</v>
      </c>
      <c r="G186" s="77">
        <f ca="1">VLOOKUP($A186,OFFSET([2]characters!$A$1,0,0,COUNTA([2]characters!$A:$A),MATCH(G$1,[2]characters!$1:$1,0)-MATCH($A$1,[2]characters!$1:$1,0)+1),MATCH(G$1,[2]characters!$1:$1,0)-MATCH($A$1,[2]characters!$1:$1,0)+1,FALSE)</f>
        <v>4</v>
      </c>
      <c r="H186" s="77" t="str">
        <f ca="1">VLOOKUP($A186,OFFSET([2]characters!$A$1,0,0,COUNTA([2]characters!$A:$A),MATCH(H$1,[2]characters!$1:$1,0)-MATCH($A$1,[2]characters!$1:$1,0)+1),MATCH(H$1,[2]characters!$1:$1,0)-MATCH($A$1,[2]characters!$1:$1,0)+1,FALSE)</f>
        <v>PremiumN</v>
      </c>
      <c r="I186" s="77" t="str">
        <f ca="1">VLOOKUP($A186,OFFSET([2]characters!$A$1,0,0,COUNTA([2]characters!$A:$A),MATCH(I$1,[2]characters!$1:$1,0)-MATCH($A$1,[2]characters!$1:$1,0)+1),MATCH(I$1,[2]characters!$1:$1,0)-MATCH($A$1,[2]characters!$1:$1,0)+1,FALSE)</f>
        <v>blue</v>
      </c>
      <c r="J186" s="14">
        <f ca="1">VLOOKUP(I186,[2]属性!$A:$E,2,FALSE)</f>
        <v>1</v>
      </c>
      <c r="K186" s="14">
        <f ca="1">VLOOKUP(I186,[2]属性!$A:$E,3,FALSE)</f>
        <v>0.98</v>
      </c>
      <c r="L186" s="14">
        <f ca="1">VLOOKUP(I186,[2]属性!$A:$E,4,FALSE)</f>
        <v>1</v>
      </c>
      <c r="M186" s="14">
        <f ca="1">VLOOKUP(I186,[2]属性!$A:$E,5,FALSE)</f>
        <v>1.02</v>
      </c>
      <c r="N186" s="14">
        <f ca="1">INDEX(コスト!$A$1:$I$20,MATCH(H186,コスト!$A$1:$A$20,FALSE),MATCH(G186,コスト!$A$1:$I$1,FALSE))</f>
        <v>18</v>
      </c>
      <c r="O186" s="14">
        <f ca="1">INDEX(レベル!$A$1:$I$21,MATCH(H186,レベル!$A$1:$A$21,FALSE),MATCH(G186,レベル!$A$1:$I$1,FALSE))</f>
        <v>60</v>
      </c>
      <c r="P186" s="63">
        <f t="shared" ca="1" si="21"/>
        <v>60</v>
      </c>
      <c r="Q186" s="77" t="str">
        <f ca="1">VLOOKUP($A186,OFFSET([2]characters!$A$1,0,0,COUNTA([2]characters!$A:$A),MATCH(Q$1,[2]characters!$1:$1,0)-MATCH($A$1,[2]characters!$1:$1,0)+1),MATCH(Q$1,[2]characters!$1:$1,0)-MATCH($A$1,[2]characters!$1:$1,0)+1,FALSE)</f>
        <v>heal</v>
      </c>
      <c r="R186" s="8" t="str">
        <f ca="1">VLOOKUP(Q186,[2]character_type_i18n!$A:$H,3,FALSE)</f>
        <v>回復タイプ</v>
      </c>
      <c r="S186" s="14">
        <f ca="1">VLOOKUP(Q186,[2]character_type_i18n!$A:$H,4,FALSE)</f>
        <v>0.8</v>
      </c>
      <c r="T186" s="14">
        <f ca="1">VLOOKUP(Q186,[2]character_type_i18n!$A:$H,5,FALSE)</f>
        <v>0.78</v>
      </c>
      <c r="U186" s="14">
        <f ca="1">VLOOKUP(Q186,[2]character_type_i18n!$A:$H,6,FALSE)</f>
        <v>1</v>
      </c>
      <c r="V186" s="14">
        <f ca="1">VLOOKUP(Q186,[2]character_type_i18n!$A:$H,7,FALSE)</f>
        <v>1.42</v>
      </c>
      <c r="W186" s="77" t="str">
        <f ca="1">VLOOKUP($A186,OFFSET([2]characters!$A$1,0,0,COUNTA([2]characters!$A:$A),MATCH(W$1,[2]characters!$1:$1,0)-MATCH($A$1,[2]characters!$1:$1,0)+1),MATCH(W$1,[2]characters!$1:$1,0)-MATCH($A$1,[2]characters!$1:$1,0)+1,FALSE)</f>
        <v>animal</v>
      </c>
      <c r="X186" s="8" t="str">
        <f ca="1">VLOOKUP(W186,[2]character_tribe_i18n!$A:$H,3,FALSE)</f>
        <v>アニマル</v>
      </c>
      <c r="Y186" s="77" t="str">
        <f ca="1">VLOOKUP($A186,OFFSET([2]characters!$A$1,0,0,COUNTA([2]characters!$A:$A),MATCH(Y$1,[2]characters!$1:$1,0)-MATCH($A$1,[2]characters!$1:$1,0)+1),MATCH(Y$1,[2]characters!$1:$1,0)-MATCH($A$1,[2]characters!$1:$1,0)+1,FALSE)</f>
        <v>none</v>
      </c>
      <c r="Z186" s="8" t="str">
        <f ca="1">VLOOKUP(Y186,[2]character_tribe_i18n!$A:$H,3,FALSE)</f>
        <v>種族なし</v>
      </c>
      <c r="AA186" s="14">
        <f ca="1">VLOOKUP(W186,[2]character_tribe_i18n!$A:$H,4,FALSE)</f>
        <v>1</v>
      </c>
      <c r="AB186" s="14">
        <f ca="1">VLOOKUP(W186,[2]character_tribe_i18n!$A:$H,5,FALSE)</f>
        <v>1.1000000000000001</v>
      </c>
      <c r="AC186" s="14">
        <f ca="1">VLOOKUP(W186,[2]character_tribe_i18n!$A:$H,6,FALSE)</f>
        <v>1</v>
      </c>
      <c r="AD186" s="14">
        <f ca="1">VLOOKUP(W186,[2]character_tribe_i18n!$A:$H,7,FALSE)</f>
        <v>0.9</v>
      </c>
      <c r="AE186" s="12">
        <v>186</v>
      </c>
      <c r="AF186" s="85" t="str">
        <f ca="1">IF(AE186="NULL","",VLOOKUP($AE186,OFFSET([2]characters!$A$1,0,0,COUNTA([2]characters!$A:$A),MATCH(AF$1,[2]characters!$1:$1,0)-MATCH($A$1,[2]characters!$1:$1,0)+1),MATCH(AF$1,[2]characters!$1:$1,0)-MATCH($A$1,[2]characters!$1:$1,0)+1,FALSE))</f>
        <v>誇り高き多触姫・クラーケン</v>
      </c>
      <c r="AG186" s="8">
        <f t="shared" ca="1" si="16"/>
        <v>184</v>
      </c>
      <c r="AH186" s="85" t="str">
        <f ca="1">VLOOKUP($AG186,OFFSET([2]characters!$A$1,0,0,COUNTA([2]characters!$A:$A),MATCH(AH$1,[2]characters!$1:$1,0)-MATCH($A$1,[2]characters!$1:$1,0)+1),MATCH(AH$1,[2]characters!$1:$1,0)-MATCH($A$1,[2]characters!$1:$1,0)+1,FALSE)</f>
        <v>クラーケン</v>
      </c>
      <c r="AI186" s="14">
        <f ca="1">IF(AE186="NULL","NULL",VLOOKUP(G186,ビット!$A$2:$B$7,2))</f>
        <v>50000</v>
      </c>
      <c r="AJ186" s="9">
        <v>2</v>
      </c>
      <c r="AK186" s="10" t="str">
        <f t="shared" si="17"/>
        <v>普通</v>
      </c>
      <c r="AL186" s="14" t="str">
        <f ca="1">INDEX(経験値!$A$1:$I$20,MATCH(H186,経験値!$A$1:$A$20,FALSE),MATCH(G186,経験値!$A$1:$I$1,FALSE))</f>
        <v>required_exp_200</v>
      </c>
      <c r="AM186" s="11">
        <f ca="1">VLOOKUP(G186,経験値!$A$27:$B$31,2)</f>
        <v>3400</v>
      </c>
      <c r="AN186" s="21">
        <f ca="1">VLOOKUP(G186,ビット!$G$2:$H$7,2)</f>
        <v>600</v>
      </c>
      <c r="AO186" s="98" t="s">
        <v>178</v>
      </c>
      <c r="AP186" s="97">
        <v>334003</v>
      </c>
      <c r="AQ186" s="77" t="e">
        <f ca="1">VLOOKUP($AP186,OFFSET([1]unit_skills!$A$1,0,0,COUNTA([1]unit_skills!$A:$A),MATCH("name",[1]unit_skills!$1:$1,0)-MATCH($AP$1,[1]unit_skills!$1:$1,0)+1),MATCH("name",[1]unit_skills!$1:$1,0)-MATCH($AP$1,[1]unit_skills!$1:$1,0)+1,FALSE)</f>
        <v>#VALUE!</v>
      </c>
      <c r="AR186" s="77" t="e">
        <f ca="1">VLOOKUP($AP186,OFFSET([1]unit_skills!$A$1,0,0,COUNTA([1]unit_skills!$A:$A),MATCH("comment",[1]unit_skills!$1:$1,0)-MATCH($AP$1,[1]unit_skills!$1:$1,0)+1),MATCH("comment",[1]unit_skills!$1:$1,0)-MATCH($AP$1,[1]unit_skills!$1:$1,0)+1,FALSE)</f>
        <v>#VALUE!</v>
      </c>
      <c r="AS186" s="77" t="e">
        <f ca="1">VLOOKUP($AP186,OFFSET([1]unit_skills!$A$1,0,0,COUNTA([1]unit_skills!$A:$A),MATCH(AS$1,[1]unit_skills!$1:$1,0)-MATCH($AP$1,[1]unit_skills!$1:$1,0)+1),MATCH(AS$1,[1]unit_skills!$1:$1,0)-MATCH($AP$1,[1]unit_skills!$1:$1,0)+1,FALSE)</f>
        <v>#VALUE!</v>
      </c>
      <c r="AT186" s="97">
        <v>213003</v>
      </c>
      <c r="AU186" s="77" t="e">
        <f ca="1">VLOOKUP($AT186,OFFSET([1]crash_skills!$A$1,0,0,COUNTA([1]crash_skills!$A:$A),MATCH("name",[1]crash_skills!$1:$1,0)-MATCH($AT$1,[1]crash_skills!$1:$1,0)+1),MATCH("name",[1]crash_skills!$1:$1,0)-MATCH($AT$1,[1]crash_skills!$1:$1,0)+1,FALSE)</f>
        <v>#VALUE!</v>
      </c>
      <c r="AV186" s="77" t="e">
        <f ca="1">VLOOKUP($AT186,OFFSET([1]crash_skills!$A$1,0,0,COUNTA([1]crash_skills!$A:$A),MATCH("comment",[1]crash_skills!$1:$1,0)-MATCH($AT$1,[1]crash_skills!$1:$1,0)+1),MATCH("comment",[1]crash_skills!$1:$1,0)-MATCH($AT$1,[1]crash_skills!$1:$1,0)+1,FALSE)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86" s="77" t="e">
        <f ca="1">VLOOKUP($AT186,OFFSET([1]crash_skills!$A$1,0,0,COUNTA([1]crash_skills!$A:$A),MATCH(AW$1,[1]crash_skills!$1:$1,0)-MATCH($AT$1,[1]crash_skills!$1:$1,0)+1),MATCH(AW$1,[1]crash_skills!$1:$1,0)-MATCH($AT$1,[1]crash_skills!$1:$1,0)+1,FALSE)</f>
        <v>#VALUE!</v>
      </c>
      <c r="AX186" s="81">
        <f ca="1">VLOOKUP($A186,OFFSET([2]characters!$A$1,0,0,COUNTA([2]characters!$A:$A),MATCH(AX$1,[2]characters!$1:$1,0)-MATCH($A$1,[2]characters!$1:$1,0)+1),MATCH(AX$1,[2]characters!$1:$1,0)-MATCH($A$1,[2]characters!$1:$1,0)+1,FALSE)</f>
        <v>3</v>
      </c>
      <c r="AY186" s="19">
        <v>1</v>
      </c>
      <c r="AZ186" s="19">
        <v>1</v>
      </c>
      <c r="BA186" s="19">
        <v>0</v>
      </c>
      <c r="BB186" s="19">
        <v>1</v>
      </c>
      <c r="BC186" s="14">
        <f ca="1">INDEX('RC6SV'!$A$1:$G$20,MATCH(H186,'RC6SV'!$A$1:$A$20,FALSE),MATCH(G186,'RC6SV'!$A$1:$G$1,FALSE))</f>
        <v>6700</v>
      </c>
      <c r="BD186" s="63">
        <f t="shared" ca="1" si="18"/>
        <v>6700</v>
      </c>
      <c r="BE186" s="14">
        <f t="shared" ca="1" si="19"/>
        <v>4900</v>
      </c>
      <c r="BF186" s="14">
        <f t="shared" ca="1" si="20"/>
        <v>1</v>
      </c>
      <c r="BG186" s="20">
        <f ca="1">IF($BE186&lt;=0,ROUND(BK186*0.5,0), ROUND($BE186*S186*AA186*J186*AY186*0.8*[2]ステータス!$B$2,0))</f>
        <v>1568</v>
      </c>
      <c r="BH186" s="20">
        <f ca="1">IF($BE186&lt;=0,ROUND(BL186*0.5,0), ROUND($BE186*T186*AB186*K186*AZ186*0.8*[2]ステータス!$C$2,0))</f>
        <v>989</v>
      </c>
      <c r="BI186" s="20">
        <f ca="1">IF($BE186&lt;=0,ROUND(BM186*0.5,0), ROUND($BE186*U186*AC186*L186*BA186*0.8*[2]ステータス!$D$2,0))</f>
        <v>0</v>
      </c>
      <c r="BJ186" s="20">
        <f ca="1">IF($BE186&lt;=0,ROUND(BN186*0.5,0), ROUND($BE186*V186*AD186*M186*BB186*0.8*[2]ステータス!$E$2,0))</f>
        <v>1277</v>
      </c>
      <c r="BK186" s="14">
        <f ca="1">ROUND(BD186*S186*AA186*J186*AY186*[2]ステータス!$B$2,0)</f>
        <v>2680</v>
      </c>
      <c r="BL186" s="14">
        <f ca="1">ROUND(BD186*T186*AB186*K186*AZ186*[2]ステータス!$C$2,0)</f>
        <v>1690</v>
      </c>
      <c r="BM186" s="14">
        <f ca="1">ROUND(BD186*U186*AC186*L186*BA186*[2]ステータス!$D$2,0)</f>
        <v>0</v>
      </c>
      <c r="BN186" s="14">
        <f ca="1">ROUND(BD186*V186*AD186*M186*BB186*[2]ステータス!$E$2,0)</f>
        <v>2183</v>
      </c>
      <c r="BO186" s="13">
        <v>0</v>
      </c>
      <c r="BP186" s="13">
        <v>1</v>
      </c>
      <c r="BQ186" s="13" t="s">
        <v>102</v>
      </c>
      <c r="BR186" s="13">
        <f ca="1">VLOOKUP(H186,ghosts_label!$A$2:$B$19,2,FALSE)</f>
        <v>600</v>
      </c>
    </row>
    <row r="187" spans="1:70" ht="21" customHeight="1" x14ac:dyDescent="0.15">
      <c r="A187" s="14">
        <f t="shared" ca="1" si="15"/>
        <v>186</v>
      </c>
      <c r="B187" s="77" t="str">
        <f ca="1">VLOOKUP($A187,OFFSET([2]characters!$A$1,0,0,COUNTA([2]characters!$A:$A),MATCH(B$1,[2]characters!$1:$1,0)-MATCH($A$1,[2]characters!$1:$1,0)+1),MATCH(B$1,[2]characters!$1:$1,0)-MATCH($A$1,[2]characters!$1:$1,0)+1,FALSE)</f>
        <v>誇り高き多触姫・クラーケン</v>
      </c>
      <c r="C187" s="77" t="str">
        <f ca="1">VLOOKUP($A187,OFFSET([2]characters!$A$1,0,0,COUNTA([2]characters!$A:$A),MATCH(C$1,[2]characters!$1:$1,0)-MATCH($A$1,[2]characters!$1:$1,0)+1),MATCH(C$1,[2]characters!$1:$1,0)-MATCH($A$1,[2]characters!$1:$1,0)+1,FALSE)</f>
        <v>初期ガチャ</v>
      </c>
      <c r="D187" s="77" t="str">
        <f ca="1">VLOOKUP($A187,OFFSET([2]characters!$A$1,0,0,COUNTA([2]characters!$A:$A),MATCH(D$1,[2]characters!$1:$1,0)-MATCH($A$1,[2]characters!$1:$1,0)+1),MATCH(D$1,[2]characters!$1:$1,0)-MATCH($A$1,[2]characters!$1:$1,0)+1,FALSE)</f>
        <v>破界者</v>
      </c>
      <c r="E187" s="77" t="str">
        <f ca="1">VLOOKUP($A187,OFFSET([2]characters!$A$1,0,0,COUNTA([2]characters!$A:$A),MATCH(E$1,[2]characters!$1:$1,0)-MATCH($A$1,[2]characters!$1:$1,0)+1),MATCH(E$1,[2]characters!$1:$1,0)-MATCH($A$1,[2]characters!$1:$1,0)+1,FALSE)</f>
        <v>美しい</v>
      </c>
      <c r="F187" s="77" t="str">
        <f ca="1">VLOOKUP($A187,OFFSET([2]characters!$A$1,0,0,COUNTA([2]characters!$A:$A),MATCH(F$1,[2]characters!$1:$1,0)-MATCH($A$1,[2]characters!$1:$1,0)+1),MATCH(F$1,[2]characters!$1:$1,0)-MATCH($A$1,[2]characters!$1:$1,0)+1,FALSE)</f>
        <v>女性</v>
      </c>
      <c r="G187" s="77">
        <f ca="1">VLOOKUP($A187,OFFSET([2]characters!$A$1,0,0,COUNTA([2]characters!$A:$A),MATCH(G$1,[2]characters!$1:$1,0)-MATCH($A$1,[2]characters!$1:$1,0)+1),MATCH(G$1,[2]characters!$1:$1,0)-MATCH($A$1,[2]characters!$1:$1,0)+1,FALSE)</f>
        <v>5</v>
      </c>
      <c r="H187" s="77" t="str">
        <f ca="1">VLOOKUP($A187,OFFSET([2]characters!$A$1,0,0,COUNTA([2]characters!$A:$A),MATCH(H$1,[2]characters!$1:$1,0)-MATCH($A$1,[2]characters!$1:$1,0)+1),MATCH(H$1,[2]characters!$1:$1,0)-MATCH($A$1,[2]characters!$1:$1,0)+1,FALSE)</f>
        <v>PremiumN</v>
      </c>
      <c r="I187" s="77" t="str">
        <f ca="1">VLOOKUP($A187,OFFSET([2]characters!$A$1,0,0,COUNTA([2]characters!$A:$A),MATCH(I$1,[2]characters!$1:$1,0)-MATCH($A$1,[2]characters!$1:$1,0)+1),MATCH(I$1,[2]characters!$1:$1,0)-MATCH($A$1,[2]characters!$1:$1,0)+1,FALSE)</f>
        <v>blue</v>
      </c>
      <c r="J187" s="14">
        <f ca="1">VLOOKUP(I187,[2]属性!$A:$E,2,FALSE)</f>
        <v>1</v>
      </c>
      <c r="K187" s="14">
        <f ca="1">VLOOKUP(I187,[2]属性!$A:$E,3,FALSE)</f>
        <v>0.98</v>
      </c>
      <c r="L187" s="14">
        <f ca="1">VLOOKUP(I187,[2]属性!$A:$E,4,FALSE)</f>
        <v>1</v>
      </c>
      <c r="M187" s="14">
        <f ca="1">VLOOKUP(I187,[2]属性!$A:$E,5,FALSE)</f>
        <v>1.02</v>
      </c>
      <c r="N187" s="14">
        <f ca="1">INDEX(コスト!$A$1:$I$20,MATCH(H187,コスト!$A$1:$A$20,FALSE),MATCH(G187,コスト!$A$1:$I$1,FALSE))</f>
        <v>28</v>
      </c>
      <c r="O187" s="14">
        <f ca="1">INDEX(レベル!$A$1:$I$21,MATCH(H187,レベル!$A$1:$A$21,FALSE),MATCH(G187,レベル!$A$1:$I$1,FALSE))</f>
        <v>80</v>
      </c>
      <c r="P187" s="63">
        <f t="shared" ca="1" si="21"/>
        <v>75</v>
      </c>
      <c r="Q187" s="77" t="str">
        <f ca="1">VLOOKUP($A187,OFFSET([2]characters!$A$1,0,0,COUNTA([2]characters!$A:$A),MATCH(Q$1,[2]characters!$1:$1,0)-MATCH($A$1,[2]characters!$1:$1,0)+1),MATCH(Q$1,[2]characters!$1:$1,0)-MATCH($A$1,[2]characters!$1:$1,0)+1,FALSE)</f>
        <v>heal</v>
      </c>
      <c r="R187" s="8" t="str">
        <f ca="1">VLOOKUP(Q187,[2]character_type_i18n!$A:$H,3,FALSE)</f>
        <v>回復タイプ</v>
      </c>
      <c r="S187" s="14">
        <f ca="1">VLOOKUP(Q187,[2]character_type_i18n!$A:$H,4,FALSE)</f>
        <v>0.8</v>
      </c>
      <c r="T187" s="14">
        <f ca="1">VLOOKUP(Q187,[2]character_type_i18n!$A:$H,5,FALSE)</f>
        <v>0.78</v>
      </c>
      <c r="U187" s="14">
        <f ca="1">VLOOKUP(Q187,[2]character_type_i18n!$A:$H,6,FALSE)</f>
        <v>1</v>
      </c>
      <c r="V187" s="14">
        <f ca="1">VLOOKUP(Q187,[2]character_type_i18n!$A:$H,7,FALSE)</f>
        <v>1.42</v>
      </c>
      <c r="W187" s="77" t="str">
        <f ca="1">VLOOKUP($A187,OFFSET([2]characters!$A$1,0,0,COUNTA([2]characters!$A:$A),MATCH(W$1,[2]characters!$1:$1,0)-MATCH($A$1,[2]characters!$1:$1,0)+1),MATCH(W$1,[2]characters!$1:$1,0)-MATCH($A$1,[2]characters!$1:$1,0)+1,FALSE)</f>
        <v>animal</v>
      </c>
      <c r="X187" s="8" t="str">
        <f ca="1">VLOOKUP(W187,[2]character_tribe_i18n!$A:$H,3,FALSE)</f>
        <v>アニマル</v>
      </c>
      <c r="Y187" s="77" t="str">
        <f ca="1">VLOOKUP($A187,OFFSET([2]characters!$A$1,0,0,COUNTA([2]characters!$A:$A),MATCH(Y$1,[2]characters!$1:$1,0)-MATCH($A$1,[2]characters!$1:$1,0)+1),MATCH(Y$1,[2]characters!$1:$1,0)-MATCH($A$1,[2]characters!$1:$1,0)+1,FALSE)</f>
        <v>none</v>
      </c>
      <c r="Z187" s="8" t="str">
        <f ca="1">VLOOKUP(Y187,[2]character_tribe_i18n!$A:$H,3,FALSE)</f>
        <v>種族なし</v>
      </c>
      <c r="AA187" s="14">
        <f ca="1">VLOOKUP(W187,[2]character_tribe_i18n!$A:$H,4,FALSE)</f>
        <v>1</v>
      </c>
      <c r="AB187" s="14">
        <f ca="1">VLOOKUP(W187,[2]character_tribe_i18n!$A:$H,5,FALSE)</f>
        <v>1.1000000000000001</v>
      </c>
      <c r="AC187" s="14">
        <f ca="1">VLOOKUP(W187,[2]character_tribe_i18n!$A:$H,6,FALSE)</f>
        <v>1</v>
      </c>
      <c r="AD187" s="14">
        <f ca="1">VLOOKUP(W187,[2]character_tribe_i18n!$A:$H,7,FALSE)</f>
        <v>0.9</v>
      </c>
      <c r="AE187" s="12" t="s">
        <v>102</v>
      </c>
      <c r="AF187" s="85" t="str">
        <f ca="1">IF(AE187="NULL","",VLOOKUP($AE187,OFFSET([2]characters!$A$1,0,0,COUNTA([2]characters!$A:$A),MATCH(AF$1,[2]characters!$1:$1,0)-MATCH($A$1,[2]characters!$1:$1,0)+1),MATCH(AF$1,[2]characters!$1:$1,0)-MATCH($A$1,[2]characters!$1:$1,0)+1,FALSE))</f>
        <v/>
      </c>
      <c r="AG187" s="8">
        <f t="shared" ca="1" si="16"/>
        <v>184</v>
      </c>
      <c r="AH187" s="85" t="str">
        <f ca="1">VLOOKUP($AG187,OFFSET([2]characters!$A$1,0,0,COUNTA([2]characters!$A:$A),MATCH(AH$1,[2]characters!$1:$1,0)-MATCH($A$1,[2]characters!$1:$1,0)+1),MATCH(AH$1,[2]characters!$1:$1,0)-MATCH($A$1,[2]characters!$1:$1,0)+1,FALSE)</f>
        <v>クラーケン</v>
      </c>
      <c r="AI187" s="14" t="str">
        <f>IF(AE187="NULL","NULL",VLOOKUP(G187,ビット!$A$2:$B$7,2))</f>
        <v>NULL</v>
      </c>
      <c r="AJ187" s="9">
        <v>2</v>
      </c>
      <c r="AK187" s="10" t="str">
        <f t="shared" si="17"/>
        <v>普通</v>
      </c>
      <c r="AL187" s="14" t="str">
        <f ca="1">INDEX(経験値!$A$1:$I$20,MATCH(H187,経験値!$A$1:$A$20,FALSE),MATCH(G187,経験値!$A$1:$I$1,FALSE))</f>
        <v>required_exp_200</v>
      </c>
      <c r="AM187" s="11">
        <f ca="1">VLOOKUP(G187,経験値!$A$27:$B$31,2)</f>
        <v>6400</v>
      </c>
      <c r="AN187" s="21">
        <f ca="1">VLOOKUP(G187,ビット!$G$2:$H$7,2)</f>
        <v>900</v>
      </c>
      <c r="AO187" s="98" t="s">
        <v>178</v>
      </c>
      <c r="AP187" s="97">
        <v>334004</v>
      </c>
      <c r="AQ187" s="77" t="e">
        <f ca="1">VLOOKUP($AP187,OFFSET([1]unit_skills!$A$1,0,0,COUNTA([1]unit_skills!$A:$A),MATCH("name",[1]unit_skills!$1:$1,0)-MATCH($AP$1,[1]unit_skills!$1:$1,0)+1),MATCH("name",[1]unit_skills!$1:$1,0)-MATCH($AP$1,[1]unit_skills!$1:$1,0)+1,FALSE)</f>
        <v>#VALUE!</v>
      </c>
      <c r="AR187" s="77" t="e">
        <f ca="1">VLOOKUP($AP187,OFFSET([1]unit_skills!$A$1,0,0,COUNTA([1]unit_skills!$A:$A),MATCH("comment",[1]unit_skills!$1:$1,0)-MATCH($AP$1,[1]unit_skills!$1:$1,0)+1),MATCH("comment",[1]unit_skills!$1:$1,0)-MATCH($AP$1,[1]unit_skills!$1:$1,0)+1,FALSE)</f>
        <v>#VALUE!</v>
      </c>
      <c r="AS187" s="77" t="e">
        <f ca="1">VLOOKUP($AP187,OFFSET([1]unit_skills!$A$1,0,0,COUNTA([1]unit_skills!$A:$A),MATCH(AS$1,[1]unit_skills!$1:$1,0)-MATCH($AP$1,[1]unit_skills!$1:$1,0)+1),MATCH(AS$1,[1]unit_skills!$1:$1,0)-MATCH($AP$1,[1]unit_skills!$1:$1,0)+1,FALSE)</f>
        <v>#VALUE!</v>
      </c>
      <c r="AT187" s="97">
        <v>213004</v>
      </c>
      <c r="AU187" s="77" t="e">
        <f ca="1">VLOOKUP($AT187,OFFSET([1]crash_skills!$A$1,0,0,COUNTA([1]crash_skills!$A:$A),MATCH("name",[1]crash_skills!$1:$1,0)-MATCH($AT$1,[1]crash_skills!$1:$1,0)+1),MATCH("name",[1]crash_skills!$1:$1,0)-MATCH($AT$1,[1]crash_skills!$1:$1,0)+1,FALSE)</f>
        <v>#VALUE!</v>
      </c>
      <c r="AV187" s="77" t="e">
        <f ca="1">VLOOKUP($AT187,OFFSET([1]crash_skills!$A$1,0,0,COUNTA([1]crash_skills!$A:$A),MATCH("comment",[1]crash_skills!$1:$1,0)-MATCH($AT$1,[1]crash_skills!$1:$1,0)+1),MATCH("comment",[1]crash_skills!$1:$1,0)-MATCH($AT$1,[1]crash_skills!$1:$1,0)+1,FALSE)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87" s="77" t="e">
        <f ca="1">VLOOKUP($AT187,OFFSET([1]crash_skills!$A$1,0,0,COUNTA([1]crash_skills!$A:$A),MATCH(AW$1,[1]crash_skills!$1:$1,0)-MATCH($AT$1,[1]crash_skills!$1:$1,0)+1),MATCH(AW$1,[1]crash_skills!$1:$1,0)-MATCH($AT$1,[1]crash_skills!$1:$1,0)+1,FALSE)</f>
        <v>#VALUE!</v>
      </c>
      <c r="AX187" s="81">
        <f ca="1">VLOOKUP($A187,OFFSET([2]characters!$A$1,0,0,COUNTA([2]characters!$A:$A),MATCH(AX$1,[2]characters!$1:$1,0)-MATCH($A$1,[2]characters!$1:$1,0)+1),MATCH(AX$1,[2]characters!$1:$1,0)-MATCH($A$1,[2]characters!$1:$1,0)+1,FALSE)</f>
        <v>3</v>
      </c>
      <c r="AY187" s="19">
        <v>1</v>
      </c>
      <c r="AZ187" s="19">
        <v>1</v>
      </c>
      <c r="BA187" s="19">
        <v>0</v>
      </c>
      <c r="BB187" s="19">
        <v>1</v>
      </c>
      <c r="BC187" s="14">
        <f ca="1">INDEX('RC6SV'!$A$1:$G$20,MATCH(H187,'RC6SV'!$A$1:$A$20,FALSE),MATCH(G187,'RC6SV'!$A$1:$G$1,FALSE))</f>
        <v>8500</v>
      </c>
      <c r="BD187" s="63">
        <f t="shared" ca="1" si="18"/>
        <v>8500</v>
      </c>
      <c r="BE187" s="14">
        <f t="shared" ca="1" si="19"/>
        <v>6700</v>
      </c>
      <c r="BF187" s="14">
        <f t="shared" ca="1" si="20"/>
        <v>1</v>
      </c>
      <c r="BG187" s="20">
        <f ca="1">IF($BE187&lt;=0,ROUND(BK187*0.5,0), ROUND($BE187*S187*AA187*J187*AY187*0.8*[2]ステータス!$B$2,0))</f>
        <v>2144</v>
      </c>
      <c r="BH187" s="20">
        <f ca="1">IF($BE187&lt;=0,ROUND(BL187*0.5,0), ROUND($BE187*T187*AB187*K187*AZ187*0.8*[2]ステータス!$C$2,0))</f>
        <v>1352</v>
      </c>
      <c r="BI187" s="20">
        <f ca="1">IF($BE187&lt;=0,ROUND(BM187*0.5,0), ROUND($BE187*U187*AC187*L187*BA187*0.8*[2]ステータス!$D$2,0))</f>
        <v>0</v>
      </c>
      <c r="BJ187" s="20">
        <f ca="1">IF($BE187&lt;=0,ROUND(BN187*0.5,0), ROUND($BE187*V187*AD187*M187*BB187*0.8*[2]ステータス!$E$2,0))</f>
        <v>1747</v>
      </c>
      <c r="BK187" s="14">
        <f ca="1">ROUND(BD187*S187*AA187*J187*AY187*[2]ステータス!$B$2,0)</f>
        <v>3400</v>
      </c>
      <c r="BL187" s="14">
        <f ca="1">ROUND(BD187*T187*AB187*K187*AZ187*[2]ステータス!$C$2,0)</f>
        <v>2144</v>
      </c>
      <c r="BM187" s="14">
        <f ca="1">ROUND(BD187*U187*AC187*L187*BA187*[2]ステータス!$D$2,0)</f>
        <v>0</v>
      </c>
      <c r="BN187" s="14">
        <f ca="1">ROUND(BD187*V187*AD187*M187*BB187*[2]ステータス!$E$2,0)</f>
        <v>2770</v>
      </c>
      <c r="BO187" s="13">
        <v>0</v>
      </c>
      <c r="BP187" s="13">
        <v>1</v>
      </c>
      <c r="BQ187" s="13" t="s">
        <v>102</v>
      </c>
      <c r="BR187" s="13">
        <f ca="1">VLOOKUP(H187,ghosts_label!$A$2:$B$19,2,FALSE)</f>
        <v>600</v>
      </c>
    </row>
    <row r="188" spans="1:70" ht="21" customHeight="1" x14ac:dyDescent="0.15">
      <c r="A188" s="14">
        <f t="shared" ca="1" si="15"/>
        <v>187</v>
      </c>
      <c r="B188" s="77" t="str">
        <f ca="1">VLOOKUP($A188,OFFSET([2]characters!$A$1,0,0,COUNTA([2]characters!$A:$A),MATCH(B$1,[2]characters!$1:$1,0)-MATCH($A$1,[2]characters!$1:$1,0)+1),MATCH(B$1,[2]characters!$1:$1,0)-MATCH($A$1,[2]characters!$1:$1,0)+1,FALSE)</f>
        <v>ホルス</v>
      </c>
      <c r="C188" s="77" t="str">
        <f ca="1">VLOOKUP($A188,OFFSET([2]characters!$A$1,0,0,COUNTA([2]characters!$A:$A),MATCH(C$1,[2]characters!$1:$1,0)-MATCH($A$1,[2]characters!$1:$1,0)+1),MATCH(C$1,[2]characters!$1:$1,0)-MATCH($A$1,[2]characters!$1:$1,0)+1,FALSE)</f>
        <v>初期ガチャ</v>
      </c>
      <c r="D188" s="77" t="str">
        <f ca="1">VLOOKUP($A188,OFFSET([2]characters!$A$1,0,0,COUNTA([2]characters!$A:$A),MATCH(D$1,[2]characters!$1:$1,0)-MATCH($A$1,[2]characters!$1:$1,0)+1),MATCH(D$1,[2]characters!$1:$1,0)-MATCH($A$1,[2]characters!$1:$1,0)+1,FALSE)</f>
        <v>破界者</v>
      </c>
      <c r="E188" s="77" t="str">
        <f ca="1">VLOOKUP($A188,OFFSET([2]characters!$A$1,0,0,COUNTA([2]characters!$A:$A),MATCH(E$1,[2]characters!$1:$1,0)-MATCH($A$1,[2]characters!$1:$1,0)+1),MATCH(E$1,[2]characters!$1:$1,0)-MATCH($A$1,[2]characters!$1:$1,0)+1,FALSE)</f>
        <v>美しい</v>
      </c>
      <c r="F188" s="77" t="str">
        <f ca="1">VLOOKUP($A188,OFFSET([2]characters!$A$1,0,0,COUNTA([2]characters!$A:$A),MATCH(F$1,[2]characters!$1:$1,0)-MATCH($A$1,[2]characters!$1:$1,0)+1),MATCH(F$1,[2]characters!$1:$1,0)-MATCH($A$1,[2]characters!$1:$1,0)+1,FALSE)</f>
        <v>女性</v>
      </c>
      <c r="G188" s="77">
        <f ca="1">VLOOKUP($A188,OFFSET([2]characters!$A$1,0,0,COUNTA([2]characters!$A:$A),MATCH(G$1,[2]characters!$1:$1,0)-MATCH($A$1,[2]characters!$1:$1,0)+1),MATCH(G$1,[2]characters!$1:$1,0)-MATCH($A$1,[2]characters!$1:$1,0)+1,FALSE)</f>
        <v>3</v>
      </c>
      <c r="H188" s="77" t="str">
        <f ca="1">VLOOKUP($A188,OFFSET([2]characters!$A$1,0,0,COUNTA([2]characters!$A:$A),MATCH(H$1,[2]characters!$1:$1,0)-MATCH($A$1,[2]characters!$1:$1,0)+1),MATCH(H$1,[2]characters!$1:$1,0)-MATCH($A$1,[2]characters!$1:$1,0)+1,FALSE)</f>
        <v>PremiumN</v>
      </c>
      <c r="I188" s="77" t="str">
        <f ca="1">VLOOKUP($A188,OFFSET([2]characters!$A$1,0,0,COUNTA([2]characters!$A:$A),MATCH(I$1,[2]characters!$1:$1,0)-MATCH($A$1,[2]characters!$1:$1,0)+1),MATCH(I$1,[2]characters!$1:$1,0)-MATCH($A$1,[2]characters!$1:$1,0)+1,FALSE)</f>
        <v>yellow</v>
      </c>
      <c r="J188" s="14">
        <f ca="1">VLOOKUP(I188,[2]属性!$A:$E,2,FALSE)</f>
        <v>0.98</v>
      </c>
      <c r="K188" s="14">
        <f ca="1">VLOOKUP(I188,[2]属性!$A:$E,3,FALSE)</f>
        <v>1.01</v>
      </c>
      <c r="L188" s="14">
        <f ca="1">VLOOKUP(I188,[2]属性!$A:$E,4,FALSE)</f>
        <v>1</v>
      </c>
      <c r="M188" s="14">
        <f ca="1">VLOOKUP(I188,[2]属性!$A:$E,5,FALSE)</f>
        <v>1.01</v>
      </c>
      <c r="N188" s="14">
        <f ca="1">INDEX(コスト!$A$1:$I$20,MATCH(H188,コスト!$A$1:$A$20,FALSE),MATCH(G188,コスト!$A$1:$I$1,FALSE))</f>
        <v>9</v>
      </c>
      <c r="O188" s="14">
        <f ca="1">INDEX(レベル!$A$1:$I$21,MATCH(H188,レベル!$A$1:$A$21,FALSE),MATCH(G188,レベル!$A$1:$I$1,FALSE))</f>
        <v>40</v>
      </c>
      <c r="P188" s="63">
        <f t="shared" ca="1" si="21"/>
        <v>45</v>
      </c>
      <c r="Q188" s="77" t="str">
        <f ca="1">VLOOKUP($A188,OFFSET([2]characters!$A$1,0,0,COUNTA([2]characters!$A:$A),MATCH(Q$1,[2]characters!$1:$1,0)-MATCH($A$1,[2]characters!$1:$1,0)+1),MATCH(Q$1,[2]characters!$1:$1,0)-MATCH($A$1,[2]characters!$1:$1,0)+1,FALSE)</f>
        <v>attack</v>
      </c>
      <c r="R188" s="8" t="str">
        <f ca="1">VLOOKUP(Q188,[2]character_type_i18n!$A:$H,3,FALSE)</f>
        <v>攻撃タイプ</v>
      </c>
      <c r="S188" s="14">
        <f ca="1">VLOOKUP(Q188,[2]character_type_i18n!$A:$H,4,FALSE)</f>
        <v>1</v>
      </c>
      <c r="T188" s="14">
        <f ca="1">VLOOKUP(Q188,[2]character_type_i18n!$A:$H,5,FALSE)</f>
        <v>1.33</v>
      </c>
      <c r="U188" s="14">
        <f ca="1">VLOOKUP(Q188,[2]character_type_i18n!$A:$H,6,FALSE)</f>
        <v>1</v>
      </c>
      <c r="V188" s="14">
        <f ca="1">VLOOKUP(Q188,[2]character_type_i18n!$A:$H,7,FALSE)</f>
        <v>0.67</v>
      </c>
      <c r="W188" s="77" t="str">
        <f ca="1">VLOOKUP($A188,OFFSET([2]characters!$A$1,0,0,COUNTA([2]characters!$A:$A),MATCH(W$1,[2]characters!$1:$1,0)-MATCH($A$1,[2]characters!$1:$1,0)+1),MATCH(W$1,[2]characters!$1:$1,0)-MATCH($A$1,[2]characters!$1:$1,0)+1,FALSE)</f>
        <v>animal</v>
      </c>
      <c r="X188" s="8" t="str">
        <f ca="1">VLOOKUP(W188,[2]character_tribe_i18n!$A:$H,3,FALSE)</f>
        <v>アニマル</v>
      </c>
      <c r="Y188" s="77" t="str">
        <f ca="1">VLOOKUP($A188,OFFSET([2]characters!$A$1,0,0,COUNTA([2]characters!$A:$A),MATCH(Y$1,[2]characters!$1:$1,0)-MATCH($A$1,[2]characters!$1:$1,0)+1),MATCH(Y$1,[2]characters!$1:$1,0)-MATCH($A$1,[2]characters!$1:$1,0)+1,FALSE)</f>
        <v>none</v>
      </c>
      <c r="Z188" s="8" t="str">
        <f ca="1">VLOOKUP(Y188,[2]character_tribe_i18n!$A:$H,3,FALSE)</f>
        <v>種族なし</v>
      </c>
      <c r="AA188" s="14">
        <f ca="1">VLOOKUP(W188,[2]character_tribe_i18n!$A:$H,4,FALSE)</f>
        <v>1</v>
      </c>
      <c r="AB188" s="14">
        <f ca="1">VLOOKUP(W188,[2]character_tribe_i18n!$A:$H,5,FALSE)</f>
        <v>1.1000000000000001</v>
      </c>
      <c r="AC188" s="14">
        <f ca="1">VLOOKUP(W188,[2]character_tribe_i18n!$A:$H,6,FALSE)</f>
        <v>1</v>
      </c>
      <c r="AD188" s="14">
        <f ca="1">VLOOKUP(W188,[2]character_tribe_i18n!$A:$H,7,FALSE)</f>
        <v>0.9</v>
      </c>
      <c r="AE188" s="12">
        <v>188</v>
      </c>
      <c r="AF188" s="85" t="str">
        <f ca="1">IF(AE188="NULL","",VLOOKUP($AE188,OFFSET([2]characters!$A$1,0,0,COUNTA([2]characters!$A:$A),MATCH(AF$1,[2]characters!$1:$1,0)-MATCH($A$1,[2]characters!$1:$1,0)+1),MATCH(AF$1,[2]characters!$1:$1,0)-MATCH($A$1,[2]characters!$1:$1,0)+1,FALSE))</f>
        <v>猛禽 ホルス</v>
      </c>
      <c r="AG188" s="8">
        <f t="shared" ca="1" si="16"/>
        <v>187</v>
      </c>
      <c r="AH188" s="85" t="str">
        <f ca="1">VLOOKUP($AG188,OFFSET([2]characters!$A$1,0,0,COUNTA([2]characters!$A:$A),MATCH(AH$1,[2]characters!$1:$1,0)-MATCH($A$1,[2]characters!$1:$1,0)+1),MATCH(AH$1,[2]characters!$1:$1,0)-MATCH($A$1,[2]characters!$1:$1,0)+1,FALSE)</f>
        <v>ホルス</v>
      </c>
      <c r="AI188" s="14">
        <f ca="1">IF(AE188="NULL","NULL",VLOOKUP(G188,ビット!$A$2:$B$7,2))</f>
        <v>20000</v>
      </c>
      <c r="AJ188" s="9">
        <v>2</v>
      </c>
      <c r="AK188" s="10" t="str">
        <f t="shared" si="17"/>
        <v>普通</v>
      </c>
      <c r="AL188" s="14" t="str">
        <f ca="1">INDEX(経験値!$A$1:$I$20,MATCH(H188,経験値!$A$1:$A$20,FALSE),MATCH(G188,経験値!$A$1:$I$1,FALSE))</f>
        <v>required_exp_200</v>
      </c>
      <c r="AM188" s="11">
        <f ca="1">VLOOKUP(G188,経験値!$A$27:$B$31,2)</f>
        <v>1500</v>
      </c>
      <c r="AN188" s="21">
        <f ca="1">VLOOKUP(G188,ビット!$G$2:$H$7,2)</f>
        <v>300</v>
      </c>
      <c r="AO188" s="98" t="s">
        <v>178</v>
      </c>
      <c r="AP188" s="97">
        <v>331002</v>
      </c>
      <c r="AQ188" s="77" t="e">
        <f ca="1">VLOOKUP($AP188,OFFSET([1]unit_skills!$A$1,0,0,COUNTA([1]unit_skills!$A:$A),MATCH("name",[1]unit_skills!$1:$1,0)-MATCH($AP$1,[1]unit_skills!$1:$1,0)+1),MATCH("name",[1]unit_skills!$1:$1,0)-MATCH($AP$1,[1]unit_skills!$1:$1,0)+1,FALSE)</f>
        <v>#VALUE!</v>
      </c>
      <c r="AR188" s="77" t="e">
        <f ca="1">VLOOKUP($AP188,OFFSET([1]unit_skills!$A$1,0,0,COUNTA([1]unit_skills!$A:$A),MATCH("comment",[1]unit_skills!$1:$1,0)-MATCH($AP$1,[1]unit_skills!$1:$1,0)+1),MATCH("comment",[1]unit_skills!$1:$1,0)-MATCH($AP$1,[1]unit_skills!$1:$1,0)+1,FALSE)</f>
        <v>#VALUE!</v>
      </c>
      <c r="AS188" s="77" t="e">
        <f ca="1">VLOOKUP($AP188,OFFSET([1]unit_skills!$A$1,0,0,COUNTA([1]unit_skills!$A:$A),MATCH(AS$1,[1]unit_skills!$1:$1,0)-MATCH($AP$1,[1]unit_skills!$1:$1,0)+1),MATCH(AS$1,[1]unit_skills!$1:$1,0)-MATCH($AP$1,[1]unit_skills!$1:$1,0)+1,FALSE)</f>
        <v>#VALUE!</v>
      </c>
      <c r="AT188" s="97">
        <v>204202</v>
      </c>
      <c r="AU188" s="77" t="e">
        <f ca="1">VLOOKUP($AT188,OFFSET([1]crash_skills!$A$1,0,0,COUNTA([1]crash_skills!$A:$A),MATCH("name",[1]crash_skills!$1:$1,0)-MATCH($AT$1,[1]crash_skills!$1:$1,0)+1),MATCH("name",[1]crash_skills!$1:$1,0)-MATCH($AT$1,[1]crash_skills!$1:$1,0)+1,FALSE)</f>
        <v>#VALUE!</v>
      </c>
      <c r="AV188" s="77" t="e">
        <f ca="1">VLOOKUP($AT188,OFFSET([1]crash_skills!$A$1,0,0,COUNTA([1]crash_skills!$A:$A),MATCH("comment",[1]crash_skills!$1:$1,0)-MATCH($AT$1,[1]crash_skills!$1:$1,0)+1),MATCH("comment",[1]crash_skills!$1:$1,0)-MATCH($AT$1,[1]crash_skills!$1:$1,0)+1,FALSE)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88" s="77" t="e">
        <f ca="1">VLOOKUP($AT188,OFFSET([1]crash_skills!$A$1,0,0,COUNTA([1]crash_skills!$A:$A),MATCH(AW$1,[1]crash_skills!$1:$1,0)-MATCH($AT$1,[1]crash_skills!$1:$1,0)+1),MATCH(AW$1,[1]crash_skills!$1:$1,0)-MATCH($AT$1,[1]crash_skills!$1:$1,0)+1,FALSE)</f>
        <v>#VALUE!</v>
      </c>
      <c r="AX188" s="81">
        <f ca="1">VLOOKUP($A188,OFFSET([2]characters!$A$1,0,0,COUNTA([2]characters!$A:$A),MATCH(AX$1,[2]characters!$1:$1,0)-MATCH($A$1,[2]characters!$1:$1,0)+1),MATCH(AX$1,[2]characters!$1:$1,0)-MATCH($A$1,[2]characters!$1:$1,0)+1,FALSE)</f>
        <v>3</v>
      </c>
      <c r="AY188" s="19">
        <v>1</v>
      </c>
      <c r="AZ188" s="19">
        <v>1</v>
      </c>
      <c r="BA188" s="19">
        <v>0</v>
      </c>
      <c r="BB188" s="19">
        <v>1</v>
      </c>
      <c r="BC188" s="14">
        <f ca="1">INDEX('RC6SV'!$A$1:$G$20,MATCH(H188,'RC6SV'!$A$1:$A$20,FALSE),MATCH(G188,'RC6SV'!$A$1:$G$1,FALSE))</f>
        <v>4900</v>
      </c>
      <c r="BD188" s="63">
        <f t="shared" ca="1" si="18"/>
        <v>4900</v>
      </c>
      <c r="BE188" s="14">
        <f t="shared" ca="1" si="19"/>
        <v>0</v>
      </c>
      <c r="BF188" s="14">
        <f t="shared" ca="1" si="20"/>
        <v>1</v>
      </c>
      <c r="BG188" s="20">
        <f ca="1">IF($BE188&lt;=0,ROUND(BK188*0.5,0), ROUND($BE188*S188*AA188*J188*AY188*0.8*[2]ステータス!$B$2,0))</f>
        <v>1201</v>
      </c>
      <c r="BH188" s="20">
        <f ca="1">IF($BE188&lt;=0,ROUND(BL188*0.5,0), ROUND($BE188*T188*AB188*K188*AZ188*0.8*[2]ステータス!$C$2,0))</f>
        <v>1086</v>
      </c>
      <c r="BI188" s="20">
        <f ca="1">IF($BE188&lt;=0,ROUND(BM188*0.5,0), ROUND($BE188*U188*AC188*L188*BA188*0.8*[2]ステータス!$D$2,0))</f>
        <v>0</v>
      </c>
      <c r="BJ188" s="20">
        <f ca="1">IF($BE188&lt;=0,ROUND(BN188*0.5,0), ROUND($BE188*V188*AD188*M188*BB188*0.8*[2]ステータス!$E$2,0))</f>
        <v>373</v>
      </c>
      <c r="BK188" s="14">
        <f ca="1">ROUND(BD188*S188*AA188*J188*AY188*[2]ステータス!$B$2,0)</f>
        <v>2401</v>
      </c>
      <c r="BL188" s="14">
        <f ca="1">ROUND(BD188*T188*AB188*K188*AZ188*[2]ステータス!$C$2,0)</f>
        <v>2172</v>
      </c>
      <c r="BM188" s="14">
        <f ca="1">ROUND(BD188*U188*AC188*L188*BA188*[2]ステータス!$D$2,0)</f>
        <v>0</v>
      </c>
      <c r="BN188" s="14">
        <f ca="1">ROUND(BD188*V188*AD188*M188*BB188*[2]ステータス!$E$2,0)</f>
        <v>746</v>
      </c>
      <c r="BO188" s="13">
        <v>0</v>
      </c>
      <c r="BP188" s="13">
        <v>1</v>
      </c>
      <c r="BQ188" s="13" t="s">
        <v>102</v>
      </c>
      <c r="BR188" s="13">
        <f ca="1">VLOOKUP(H188,ghosts_label!$A$2:$B$19,2,FALSE)</f>
        <v>600</v>
      </c>
    </row>
    <row r="189" spans="1:70" ht="21" customHeight="1" x14ac:dyDescent="0.15">
      <c r="A189" s="14">
        <f t="shared" ca="1" si="15"/>
        <v>188</v>
      </c>
      <c r="B189" s="77" t="str">
        <f ca="1">VLOOKUP($A189,OFFSET([2]characters!$A$1,0,0,COUNTA([2]characters!$A:$A),MATCH(B$1,[2]characters!$1:$1,0)-MATCH($A$1,[2]characters!$1:$1,0)+1),MATCH(B$1,[2]characters!$1:$1,0)-MATCH($A$1,[2]characters!$1:$1,0)+1,FALSE)</f>
        <v>猛禽 ホルス</v>
      </c>
      <c r="C189" s="77" t="str">
        <f ca="1">VLOOKUP($A189,OFFSET([2]characters!$A$1,0,0,COUNTA([2]characters!$A:$A),MATCH(C$1,[2]characters!$1:$1,0)-MATCH($A$1,[2]characters!$1:$1,0)+1),MATCH(C$1,[2]characters!$1:$1,0)-MATCH($A$1,[2]characters!$1:$1,0)+1,FALSE)</f>
        <v>初期ガチャ</v>
      </c>
      <c r="D189" s="77" t="str">
        <f ca="1">VLOOKUP($A189,OFFSET([2]characters!$A$1,0,0,COUNTA([2]characters!$A:$A),MATCH(D$1,[2]characters!$1:$1,0)-MATCH($A$1,[2]characters!$1:$1,0)+1),MATCH(D$1,[2]characters!$1:$1,0)-MATCH($A$1,[2]characters!$1:$1,0)+1,FALSE)</f>
        <v>破界者</v>
      </c>
      <c r="E189" s="77" t="str">
        <f ca="1">VLOOKUP($A189,OFFSET([2]characters!$A$1,0,0,COUNTA([2]characters!$A:$A),MATCH(E$1,[2]characters!$1:$1,0)-MATCH($A$1,[2]characters!$1:$1,0)+1),MATCH(E$1,[2]characters!$1:$1,0)-MATCH($A$1,[2]characters!$1:$1,0)+1,FALSE)</f>
        <v>美しい</v>
      </c>
      <c r="F189" s="77" t="str">
        <f ca="1">VLOOKUP($A189,OFFSET([2]characters!$A$1,0,0,COUNTA([2]characters!$A:$A),MATCH(F$1,[2]characters!$1:$1,0)-MATCH($A$1,[2]characters!$1:$1,0)+1),MATCH(F$1,[2]characters!$1:$1,0)-MATCH($A$1,[2]characters!$1:$1,0)+1,FALSE)</f>
        <v>女性</v>
      </c>
      <c r="G189" s="77">
        <f ca="1">VLOOKUP($A189,OFFSET([2]characters!$A$1,0,0,COUNTA([2]characters!$A:$A),MATCH(G$1,[2]characters!$1:$1,0)-MATCH($A$1,[2]characters!$1:$1,0)+1),MATCH(G$1,[2]characters!$1:$1,0)-MATCH($A$1,[2]characters!$1:$1,0)+1,FALSE)</f>
        <v>4</v>
      </c>
      <c r="H189" s="77" t="str">
        <f ca="1">VLOOKUP($A189,OFFSET([2]characters!$A$1,0,0,COUNTA([2]characters!$A:$A),MATCH(H$1,[2]characters!$1:$1,0)-MATCH($A$1,[2]characters!$1:$1,0)+1),MATCH(H$1,[2]characters!$1:$1,0)-MATCH($A$1,[2]characters!$1:$1,0)+1,FALSE)</f>
        <v>PremiumN</v>
      </c>
      <c r="I189" s="77" t="str">
        <f ca="1">VLOOKUP($A189,OFFSET([2]characters!$A$1,0,0,COUNTA([2]characters!$A:$A),MATCH(I$1,[2]characters!$1:$1,0)-MATCH($A$1,[2]characters!$1:$1,0)+1),MATCH(I$1,[2]characters!$1:$1,0)-MATCH($A$1,[2]characters!$1:$1,0)+1,FALSE)</f>
        <v>yellow</v>
      </c>
      <c r="J189" s="14">
        <f ca="1">VLOOKUP(I189,[2]属性!$A:$E,2,FALSE)</f>
        <v>0.98</v>
      </c>
      <c r="K189" s="14">
        <f ca="1">VLOOKUP(I189,[2]属性!$A:$E,3,FALSE)</f>
        <v>1.01</v>
      </c>
      <c r="L189" s="14">
        <f ca="1">VLOOKUP(I189,[2]属性!$A:$E,4,FALSE)</f>
        <v>1</v>
      </c>
      <c r="M189" s="14">
        <f ca="1">VLOOKUP(I189,[2]属性!$A:$E,5,FALSE)</f>
        <v>1.01</v>
      </c>
      <c r="N189" s="14">
        <f ca="1">INDEX(コスト!$A$1:$I$20,MATCH(H189,コスト!$A$1:$A$20,FALSE),MATCH(G189,コスト!$A$1:$I$1,FALSE))</f>
        <v>18</v>
      </c>
      <c r="O189" s="14">
        <f ca="1">INDEX(レベル!$A$1:$I$21,MATCH(H189,レベル!$A$1:$A$21,FALSE),MATCH(G189,レベル!$A$1:$I$1,FALSE))</f>
        <v>60</v>
      </c>
      <c r="P189" s="63">
        <f t="shared" ca="1" si="21"/>
        <v>60</v>
      </c>
      <c r="Q189" s="77" t="str">
        <f ca="1">VLOOKUP($A189,OFFSET([2]characters!$A$1,0,0,COUNTA([2]characters!$A:$A),MATCH(Q$1,[2]characters!$1:$1,0)-MATCH($A$1,[2]characters!$1:$1,0)+1),MATCH(Q$1,[2]characters!$1:$1,0)-MATCH($A$1,[2]characters!$1:$1,0)+1,FALSE)</f>
        <v>attack</v>
      </c>
      <c r="R189" s="8" t="str">
        <f ca="1">VLOOKUP(Q189,[2]character_type_i18n!$A:$H,3,FALSE)</f>
        <v>攻撃タイプ</v>
      </c>
      <c r="S189" s="14">
        <f ca="1">VLOOKUP(Q189,[2]character_type_i18n!$A:$H,4,FALSE)</f>
        <v>1</v>
      </c>
      <c r="T189" s="14">
        <f ca="1">VLOOKUP(Q189,[2]character_type_i18n!$A:$H,5,FALSE)</f>
        <v>1.33</v>
      </c>
      <c r="U189" s="14">
        <f ca="1">VLOOKUP(Q189,[2]character_type_i18n!$A:$H,6,FALSE)</f>
        <v>1</v>
      </c>
      <c r="V189" s="14">
        <f ca="1">VLOOKUP(Q189,[2]character_type_i18n!$A:$H,7,FALSE)</f>
        <v>0.67</v>
      </c>
      <c r="W189" s="77" t="str">
        <f ca="1">VLOOKUP($A189,OFFSET([2]characters!$A$1,0,0,COUNTA([2]characters!$A:$A),MATCH(W$1,[2]characters!$1:$1,0)-MATCH($A$1,[2]characters!$1:$1,0)+1),MATCH(W$1,[2]characters!$1:$1,0)-MATCH($A$1,[2]characters!$1:$1,0)+1,FALSE)</f>
        <v>animal</v>
      </c>
      <c r="X189" s="8" t="str">
        <f ca="1">VLOOKUP(W189,[2]character_tribe_i18n!$A:$H,3,FALSE)</f>
        <v>アニマル</v>
      </c>
      <c r="Y189" s="77" t="str">
        <f ca="1">VLOOKUP($A189,OFFSET([2]characters!$A$1,0,0,COUNTA([2]characters!$A:$A),MATCH(Y$1,[2]characters!$1:$1,0)-MATCH($A$1,[2]characters!$1:$1,0)+1),MATCH(Y$1,[2]characters!$1:$1,0)-MATCH($A$1,[2]characters!$1:$1,0)+1,FALSE)</f>
        <v>none</v>
      </c>
      <c r="Z189" s="8" t="str">
        <f ca="1">VLOOKUP(Y189,[2]character_tribe_i18n!$A:$H,3,FALSE)</f>
        <v>種族なし</v>
      </c>
      <c r="AA189" s="14">
        <f ca="1">VLOOKUP(W189,[2]character_tribe_i18n!$A:$H,4,FALSE)</f>
        <v>1</v>
      </c>
      <c r="AB189" s="14">
        <f ca="1">VLOOKUP(W189,[2]character_tribe_i18n!$A:$H,5,FALSE)</f>
        <v>1.1000000000000001</v>
      </c>
      <c r="AC189" s="14">
        <f ca="1">VLOOKUP(W189,[2]character_tribe_i18n!$A:$H,6,FALSE)</f>
        <v>1</v>
      </c>
      <c r="AD189" s="14">
        <f ca="1">VLOOKUP(W189,[2]character_tribe_i18n!$A:$H,7,FALSE)</f>
        <v>0.9</v>
      </c>
      <c r="AE189" s="12">
        <v>189</v>
      </c>
      <c r="AF189" s="85" t="str">
        <f ca="1">IF(AE189="NULL","",VLOOKUP($AE189,OFFSET([2]characters!$A$1,0,0,COUNTA([2]characters!$A:$A),MATCH(AF$1,[2]characters!$1:$1,0)-MATCH($A$1,[2]characters!$1:$1,0)+1),MATCH(AF$1,[2]characters!$1:$1,0)-MATCH($A$1,[2]characters!$1:$1,0)+1,FALSE))</f>
        <v>迅雷の王禽 ホルス</v>
      </c>
      <c r="AG189" s="8">
        <f t="shared" ca="1" si="16"/>
        <v>187</v>
      </c>
      <c r="AH189" s="85" t="str">
        <f ca="1">VLOOKUP($AG189,OFFSET([2]characters!$A$1,0,0,COUNTA([2]characters!$A:$A),MATCH(AH$1,[2]characters!$1:$1,0)-MATCH($A$1,[2]characters!$1:$1,0)+1),MATCH(AH$1,[2]characters!$1:$1,0)-MATCH($A$1,[2]characters!$1:$1,0)+1,FALSE)</f>
        <v>ホルス</v>
      </c>
      <c r="AI189" s="14">
        <f ca="1">IF(AE189="NULL","NULL",VLOOKUP(G189,ビット!$A$2:$B$7,2))</f>
        <v>50000</v>
      </c>
      <c r="AJ189" s="9">
        <v>2</v>
      </c>
      <c r="AK189" s="10" t="str">
        <f t="shared" si="17"/>
        <v>普通</v>
      </c>
      <c r="AL189" s="14" t="str">
        <f ca="1">INDEX(経験値!$A$1:$I$20,MATCH(H189,経験値!$A$1:$A$20,FALSE),MATCH(G189,経験値!$A$1:$I$1,FALSE))</f>
        <v>required_exp_200</v>
      </c>
      <c r="AM189" s="11">
        <f ca="1">VLOOKUP(G189,経験値!$A$27:$B$31,2)</f>
        <v>3400</v>
      </c>
      <c r="AN189" s="21">
        <f ca="1">VLOOKUP(G189,ビット!$G$2:$H$7,2)</f>
        <v>600</v>
      </c>
      <c r="AO189" s="98" t="s">
        <v>178</v>
      </c>
      <c r="AP189" s="97">
        <v>331003</v>
      </c>
      <c r="AQ189" s="77" t="e">
        <f ca="1">VLOOKUP($AP189,OFFSET([1]unit_skills!$A$1,0,0,COUNTA([1]unit_skills!$A:$A),MATCH("name",[1]unit_skills!$1:$1,0)-MATCH($AP$1,[1]unit_skills!$1:$1,0)+1),MATCH("name",[1]unit_skills!$1:$1,0)-MATCH($AP$1,[1]unit_skills!$1:$1,0)+1,FALSE)</f>
        <v>#VALUE!</v>
      </c>
      <c r="AR189" s="77" t="e">
        <f ca="1">VLOOKUP($AP189,OFFSET([1]unit_skills!$A$1,0,0,COUNTA([1]unit_skills!$A:$A),MATCH("comment",[1]unit_skills!$1:$1,0)-MATCH($AP$1,[1]unit_skills!$1:$1,0)+1),MATCH("comment",[1]unit_skills!$1:$1,0)-MATCH($AP$1,[1]unit_skills!$1:$1,0)+1,FALSE)</f>
        <v>#VALUE!</v>
      </c>
      <c r="AS189" s="77" t="e">
        <f ca="1">VLOOKUP($AP189,OFFSET([1]unit_skills!$A$1,0,0,COUNTA([1]unit_skills!$A:$A),MATCH(AS$1,[1]unit_skills!$1:$1,0)-MATCH($AP$1,[1]unit_skills!$1:$1,0)+1),MATCH(AS$1,[1]unit_skills!$1:$1,0)-MATCH($AP$1,[1]unit_skills!$1:$1,0)+1,FALSE)</f>
        <v>#VALUE!</v>
      </c>
      <c r="AT189" s="97">
        <v>204202</v>
      </c>
      <c r="AU189" s="77" t="e">
        <f ca="1">VLOOKUP($AT189,OFFSET([1]crash_skills!$A$1,0,0,COUNTA([1]crash_skills!$A:$A),MATCH("name",[1]crash_skills!$1:$1,0)-MATCH($AT$1,[1]crash_skills!$1:$1,0)+1),MATCH("name",[1]crash_skills!$1:$1,0)-MATCH($AT$1,[1]crash_skills!$1:$1,0)+1,FALSE)</f>
        <v>#VALUE!</v>
      </c>
      <c r="AV189" s="77" t="e">
        <f ca="1">VLOOKUP($AT189,OFFSET([1]crash_skills!$A$1,0,0,COUNTA([1]crash_skills!$A:$A),MATCH("comment",[1]crash_skills!$1:$1,0)-MATCH($AT$1,[1]crash_skills!$1:$1,0)+1),MATCH("comment",[1]crash_skills!$1:$1,0)-MATCH($AT$1,[1]crash_skills!$1:$1,0)+1,FALSE)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89" s="77" t="e">
        <f ca="1">VLOOKUP($AT189,OFFSET([1]crash_skills!$A$1,0,0,COUNTA([1]crash_skills!$A:$A),MATCH(AW$1,[1]crash_skills!$1:$1,0)-MATCH($AT$1,[1]crash_skills!$1:$1,0)+1),MATCH(AW$1,[1]crash_skills!$1:$1,0)-MATCH($AT$1,[1]crash_skills!$1:$1,0)+1,FALSE)</f>
        <v>#VALUE!</v>
      </c>
      <c r="AX189" s="81">
        <f ca="1">VLOOKUP($A189,OFFSET([2]characters!$A$1,0,0,COUNTA([2]characters!$A:$A),MATCH(AX$1,[2]characters!$1:$1,0)-MATCH($A$1,[2]characters!$1:$1,0)+1),MATCH(AX$1,[2]characters!$1:$1,0)-MATCH($A$1,[2]characters!$1:$1,0)+1,FALSE)</f>
        <v>3</v>
      </c>
      <c r="AY189" s="19">
        <v>1</v>
      </c>
      <c r="AZ189" s="19">
        <v>1</v>
      </c>
      <c r="BA189" s="19">
        <v>0</v>
      </c>
      <c r="BB189" s="19">
        <v>1</v>
      </c>
      <c r="BC189" s="14">
        <f ca="1">INDEX('RC6SV'!$A$1:$G$20,MATCH(H189,'RC6SV'!$A$1:$A$20,FALSE),MATCH(G189,'RC6SV'!$A$1:$G$1,FALSE))</f>
        <v>6700</v>
      </c>
      <c r="BD189" s="63">
        <f t="shared" ca="1" si="18"/>
        <v>6700</v>
      </c>
      <c r="BE189" s="14">
        <f t="shared" ca="1" si="19"/>
        <v>4900</v>
      </c>
      <c r="BF189" s="14">
        <f t="shared" ca="1" si="20"/>
        <v>1</v>
      </c>
      <c r="BG189" s="20">
        <f ca="1">IF($BE189&lt;=0,ROUND(BK189*0.5,0), ROUND($BE189*S189*AA189*J189*AY189*0.8*[2]ステータス!$B$2,0))</f>
        <v>1921</v>
      </c>
      <c r="BH189" s="20">
        <f ca="1">IF($BE189&lt;=0,ROUND(BL189*0.5,0), ROUND($BE189*T189*AB189*K189*AZ189*0.8*[2]ステータス!$C$2,0))</f>
        <v>1738</v>
      </c>
      <c r="BI189" s="20">
        <f ca="1">IF($BE189&lt;=0,ROUND(BM189*0.5,0), ROUND($BE189*U189*AC189*L189*BA189*0.8*[2]ステータス!$D$2,0))</f>
        <v>0</v>
      </c>
      <c r="BJ189" s="20">
        <f ca="1">IF($BE189&lt;=0,ROUND(BN189*0.5,0), ROUND($BE189*V189*AD189*M189*BB189*0.8*[2]ステータス!$E$2,0))</f>
        <v>597</v>
      </c>
      <c r="BK189" s="14">
        <f ca="1">ROUND(BD189*S189*AA189*J189*AY189*[2]ステータス!$B$2,0)</f>
        <v>3283</v>
      </c>
      <c r="BL189" s="14">
        <f ca="1">ROUND(BD189*T189*AB189*K189*AZ189*[2]ステータス!$C$2,0)</f>
        <v>2970</v>
      </c>
      <c r="BM189" s="14">
        <f ca="1">ROUND(BD189*U189*AC189*L189*BA189*[2]ステータス!$D$2,0)</f>
        <v>0</v>
      </c>
      <c r="BN189" s="14">
        <f ca="1">ROUND(BD189*V189*AD189*M189*BB189*[2]ステータス!$E$2,0)</f>
        <v>1020</v>
      </c>
      <c r="BO189" s="13">
        <v>0</v>
      </c>
      <c r="BP189" s="13">
        <v>1</v>
      </c>
      <c r="BQ189" s="13" t="s">
        <v>102</v>
      </c>
      <c r="BR189" s="13">
        <f ca="1">VLOOKUP(H189,ghosts_label!$A$2:$B$19,2,FALSE)</f>
        <v>600</v>
      </c>
    </row>
    <row r="190" spans="1:70" ht="21" customHeight="1" x14ac:dyDescent="0.15">
      <c r="A190" s="14">
        <f t="shared" ca="1" si="15"/>
        <v>189</v>
      </c>
      <c r="B190" s="77" t="str">
        <f ca="1">VLOOKUP($A190,OFFSET([2]characters!$A$1,0,0,COUNTA([2]characters!$A:$A),MATCH(B$1,[2]characters!$1:$1,0)-MATCH($A$1,[2]characters!$1:$1,0)+1),MATCH(B$1,[2]characters!$1:$1,0)-MATCH($A$1,[2]characters!$1:$1,0)+1,FALSE)</f>
        <v>迅雷の王禽 ホルス</v>
      </c>
      <c r="C190" s="77" t="str">
        <f ca="1">VLOOKUP($A190,OFFSET([2]characters!$A$1,0,0,COUNTA([2]characters!$A:$A),MATCH(C$1,[2]characters!$1:$1,0)-MATCH($A$1,[2]characters!$1:$1,0)+1),MATCH(C$1,[2]characters!$1:$1,0)-MATCH($A$1,[2]characters!$1:$1,0)+1,FALSE)</f>
        <v>初期ガチャ</v>
      </c>
      <c r="D190" s="77" t="str">
        <f ca="1">VLOOKUP($A190,OFFSET([2]characters!$A$1,0,0,COUNTA([2]characters!$A:$A),MATCH(D$1,[2]characters!$1:$1,0)-MATCH($A$1,[2]characters!$1:$1,0)+1),MATCH(D$1,[2]characters!$1:$1,0)-MATCH($A$1,[2]characters!$1:$1,0)+1,FALSE)</f>
        <v>破界者</v>
      </c>
      <c r="E190" s="77" t="str">
        <f ca="1">VLOOKUP($A190,OFFSET([2]characters!$A$1,0,0,COUNTA([2]characters!$A:$A),MATCH(E$1,[2]characters!$1:$1,0)-MATCH($A$1,[2]characters!$1:$1,0)+1),MATCH(E$1,[2]characters!$1:$1,0)-MATCH($A$1,[2]characters!$1:$1,0)+1,FALSE)</f>
        <v>美しい</v>
      </c>
      <c r="F190" s="77" t="str">
        <f ca="1">VLOOKUP($A190,OFFSET([2]characters!$A$1,0,0,COUNTA([2]characters!$A:$A),MATCH(F$1,[2]characters!$1:$1,0)-MATCH($A$1,[2]characters!$1:$1,0)+1),MATCH(F$1,[2]characters!$1:$1,0)-MATCH($A$1,[2]characters!$1:$1,0)+1,FALSE)</f>
        <v>女性</v>
      </c>
      <c r="G190" s="77">
        <f ca="1">VLOOKUP($A190,OFFSET([2]characters!$A$1,0,0,COUNTA([2]characters!$A:$A),MATCH(G$1,[2]characters!$1:$1,0)-MATCH($A$1,[2]characters!$1:$1,0)+1),MATCH(G$1,[2]characters!$1:$1,0)-MATCH($A$1,[2]characters!$1:$1,0)+1,FALSE)</f>
        <v>5</v>
      </c>
      <c r="H190" s="77" t="str">
        <f ca="1">VLOOKUP($A190,OFFSET([2]characters!$A$1,0,0,COUNTA([2]characters!$A:$A),MATCH(H$1,[2]characters!$1:$1,0)-MATCH($A$1,[2]characters!$1:$1,0)+1),MATCH(H$1,[2]characters!$1:$1,0)-MATCH($A$1,[2]characters!$1:$1,0)+1,FALSE)</f>
        <v>PremiumN</v>
      </c>
      <c r="I190" s="77" t="str">
        <f ca="1">VLOOKUP($A190,OFFSET([2]characters!$A$1,0,0,COUNTA([2]characters!$A:$A),MATCH(I$1,[2]characters!$1:$1,0)-MATCH($A$1,[2]characters!$1:$1,0)+1),MATCH(I$1,[2]characters!$1:$1,0)-MATCH($A$1,[2]characters!$1:$1,0)+1,FALSE)</f>
        <v>yellow</v>
      </c>
      <c r="J190" s="14">
        <f ca="1">VLOOKUP(I190,[2]属性!$A:$E,2,FALSE)</f>
        <v>0.98</v>
      </c>
      <c r="K190" s="14">
        <f ca="1">VLOOKUP(I190,[2]属性!$A:$E,3,FALSE)</f>
        <v>1.01</v>
      </c>
      <c r="L190" s="14">
        <f ca="1">VLOOKUP(I190,[2]属性!$A:$E,4,FALSE)</f>
        <v>1</v>
      </c>
      <c r="M190" s="14">
        <f ca="1">VLOOKUP(I190,[2]属性!$A:$E,5,FALSE)</f>
        <v>1.01</v>
      </c>
      <c r="N190" s="14">
        <f ca="1">INDEX(コスト!$A$1:$I$20,MATCH(H190,コスト!$A$1:$A$20,FALSE),MATCH(G190,コスト!$A$1:$I$1,FALSE))</f>
        <v>28</v>
      </c>
      <c r="O190" s="14">
        <f ca="1">INDEX(レベル!$A$1:$I$21,MATCH(H190,レベル!$A$1:$A$21,FALSE),MATCH(G190,レベル!$A$1:$I$1,FALSE))</f>
        <v>80</v>
      </c>
      <c r="P190" s="63">
        <f t="shared" ca="1" si="21"/>
        <v>75</v>
      </c>
      <c r="Q190" s="77" t="str">
        <f ca="1">VLOOKUP($A190,OFFSET([2]characters!$A$1,0,0,COUNTA([2]characters!$A:$A),MATCH(Q$1,[2]characters!$1:$1,0)-MATCH($A$1,[2]characters!$1:$1,0)+1),MATCH(Q$1,[2]characters!$1:$1,0)-MATCH($A$1,[2]characters!$1:$1,0)+1,FALSE)</f>
        <v>attack</v>
      </c>
      <c r="R190" s="8" t="str">
        <f ca="1">VLOOKUP(Q190,[2]character_type_i18n!$A:$H,3,FALSE)</f>
        <v>攻撃タイプ</v>
      </c>
      <c r="S190" s="14">
        <f ca="1">VLOOKUP(Q190,[2]character_type_i18n!$A:$H,4,FALSE)</f>
        <v>1</v>
      </c>
      <c r="T190" s="14">
        <f ca="1">VLOOKUP(Q190,[2]character_type_i18n!$A:$H,5,FALSE)</f>
        <v>1.33</v>
      </c>
      <c r="U190" s="14">
        <f ca="1">VLOOKUP(Q190,[2]character_type_i18n!$A:$H,6,FALSE)</f>
        <v>1</v>
      </c>
      <c r="V190" s="14">
        <f ca="1">VLOOKUP(Q190,[2]character_type_i18n!$A:$H,7,FALSE)</f>
        <v>0.67</v>
      </c>
      <c r="W190" s="77" t="str">
        <f ca="1">VLOOKUP($A190,OFFSET([2]characters!$A$1,0,0,COUNTA([2]characters!$A:$A),MATCH(W$1,[2]characters!$1:$1,0)-MATCH($A$1,[2]characters!$1:$1,0)+1),MATCH(W$1,[2]characters!$1:$1,0)-MATCH($A$1,[2]characters!$1:$1,0)+1,FALSE)</f>
        <v>animal</v>
      </c>
      <c r="X190" s="8" t="str">
        <f ca="1">VLOOKUP(W190,[2]character_tribe_i18n!$A:$H,3,FALSE)</f>
        <v>アニマル</v>
      </c>
      <c r="Y190" s="77" t="str">
        <f ca="1">VLOOKUP($A190,OFFSET([2]characters!$A$1,0,0,COUNTA([2]characters!$A:$A),MATCH(Y$1,[2]characters!$1:$1,0)-MATCH($A$1,[2]characters!$1:$1,0)+1),MATCH(Y$1,[2]characters!$1:$1,0)-MATCH($A$1,[2]characters!$1:$1,0)+1,FALSE)</f>
        <v>none</v>
      </c>
      <c r="Z190" s="8" t="str">
        <f ca="1">VLOOKUP(Y190,[2]character_tribe_i18n!$A:$H,3,FALSE)</f>
        <v>種族なし</v>
      </c>
      <c r="AA190" s="14">
        <f ca="1">VLOOKUP(W190,[2]character_tribe_i18n!$A:$H,4,FALSE)</f>
        <v>1</v>
      </c>
      <c r="AB190" s="14">
        <f ca="1">VLOOKUP(W190,[2]character_tribe_i18n!$A:$H,5,FALSE)</f>
        <v>1.1000000000000001</v>
      </c>
      <c r="AC190" s="14">
        <f ca="1">VLOOKUP(W190,[2]character_tribe_i18n!$A:$H,6,FALSE)</f>
        <v>1</v>
      </c>
      <c r="AD190" s="14">
        <f ca="1">VLOOKUP(W190,[2]character_tribe_i18n!$A:$H,7,FALSE)</f>
        <v>0.9</v>
      </c>
      <c r="AE190" s="12" t="s">
        <v>102</v>
      </c>
      <c r="AF190" s="85" t="str">
        <f ca="1">IF(AE190="NULL","",VLOOKUP($AE190,OFFSET([2]characters!$A$1,0,0,COUNTA([2]characters!$A:$A),MATCH(AF$1,[2]characters!$1:$1,0)-MATCH($A$1,[2]characters!$1:$1,0)+1),MATCH(AF$1,[2]characters!$1:$1,0)-MATCH($A$1,[2]characters!$1:$1,0)+1,FALSE))</f>
        <v/>
      </c>
      <c r="AG190" s="8">
        <f t="shared" ca="1" si="16"/>
        <v>187</v>
      </c>
      <c r="AH190" s="85" t="str">
        <f ca="1">VLOOKUP($AG190,OFFSET([2]characters!$A$1,0,0,COUNTA([2]characters!$A:$A),MATCH(AH$1,[2]characters!$1:$1,0)-MATCH($A$1,[2]characters!$1:$1,0)+1),MATCH(AH$1,[2]characters!$1:$1,0)-MATCH($A$1,[2]characters!$1:$1,0)+1,FALSE)</f>
        <v>ホルス</v>
      </c>
      <c r="AI190" s="14" t="str">
        <f>IF(AE190="NULL","NULL",VLOOKUP(G190,ビット!$A$2:$B$7,2))</f>
        <v>NULL</v>
      </c>
      <c r="AJ190" s="9">
        <v>2</v>
      </c>
      <c r="AK190" s="10" t="str">
        <f t="shared" si="17"/>
        <v>普通</v>
      </c>
      <c r="AL190" s="14" t="str">
        <f ca="1">INDEX(経験値!$A$1:$I$20,MATCH(H190,経験値!$A$1:$A$20,FALSE),MATCH(G190,経験値!$A$1:$I$1,FALSE))</f>
        <v>required_exp_200</v>
      </c>
      <c r="AM190" s="11">
        <f ca="1">VLOOKUP(G190,経験値!$A$27:$B$31,2)</f>
        <v>6400</v>
      </c>
      <c r="AN190" s="21">
        <f ca="1">VLOOKUP(G190,ビット!$G$2:$H$7,2)</f>
        <v>900</v>
      </c>
      <c r="AO190" s="98" t="s">
        <v>178</v>
      </c>
      <c r="AP190" s="97">
        <v>331004</v>
      </c>
      <c r="AQ190" s="77" t="e">
        <f ca="1">VLOOKUP($AP190,OFFSET([1]unit_skills!$A$1,0,0,COUNTA([1]unit_skills!$A:$A),MATCH("name",[1]unit_skills!$1:$1,0)-MATCH($AP$1,[1]unit_skills!$1:$1,0)+1),MATCH("name",[1]unit_skills!$1:$1,0)-MATCH($AP$1,[1]unit_skills!$1:$1,0)+1,FALSE)</f>
        <v>#VALUE!</v>
      </c>
      <c r="AR190" s="77" t="e">
        <f ca="1">VLOOKUP($AP190,OFFSET([1]unit_skills!$A$1,0,0,COUNTA([1]unit_skills!$A:$A),MATCH("comment",[1]unit_skills!$1:$1,0)-MATCH($AP$1,[1]unit_skills!$1:$1,0)+1),MATCH("comment",[1]unit_skills!$1:$1,0)-MATCH($AP$1,[1]unit_skills!$1:$1,0)+1,FALSE)</f>
        <v>#VALUE!</v>
      </c>
      <c r="AS190" s="77" t="e">
        <f ca="1">VLOOKUP($AP190,OFFSET([1]unit_skills!$A$1,0,0,COUNTA([1]unit_skills!$A:$A),MATCH(AS$1,[1]unit_skills!$1:$1,0)-MATCH($AP$1,[1]unit_skills!$1:$1,0)+1),MATCH(AS$1,[1]unit_skills!$1:$1,0)-MATCH($AP$1,[1]unit_skills!$1:$1,0)+1,FALSE)</f>
        <v>#VALUE!</v>
      </c>
      <c r="AT190" s="97">
        <v>204208</v>
      </c>
      <c r="AU190" s="77" t="e">
        <f ca="1">VLOOKUP($AT190,OFFSET([1]crash_skills!$A$1,0,0,COUNTA([1]crash_skills!$A:$A),MATCH("name",[1]crash_skills!$1:$1,0)-MATCH($AT$1,[1]crash_skills!$1:$1,0)+1),MATCH("name",[1]crash_skills!$1:$1,0)-MATCH($AT$1,[1]crash_skills!$1:$1,0)+1,FALSE)</f>
        <v>#VALUE!</v>
      </c>
      <c r="AV190" s="77" t="e">
        <f ca="1">VLOOKUP($AT190,OFFSET([1]crash_skills!$A$1,0,0,COUNTA([1]crash_skills!$A:$A),MATCH("comment",[1]crash_skills!$1:$1,0)-MATCH($AT$1,[1]crash_skills!$1:$1,0)+1),MATCH("comment",[1]crash_skills!$1:$1,0)-MATCH($AT$1,[1]crash_skills!$1:$1,0)+1,FALSE)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90" s="77" t="e">
        <f ca="1">VLOOKUP($AT190,OFFSET([1]crash_skills!$A$1,0,0,COUNTA([1]crash_skills!$A:$A),MATCH(AW$1,[1]crash_skills!$1:$1,0)-MATCH($AT$1,[1]crash_skills!$1:$1,0)+1),MATCH(AW$1,[1]crash_skills!$1:$1,0)-MATCH($AT$1,[1]crash_skills!$1:$1,0)+1,FALSE)</f>
        <v>#VALUE!</v>
      </c>
      <c r="AX190" s="81">
        <f ca="1">VLOOKUP($A190,OFFSET([2]characters!$A$1,0,0,COUNTA([2]characters!$A:$A),MATCH(AX$1,[2]characters!$1:$1,0)-MATCH($A$1,[2]characters!$1:$1,0)+1),MATCH(AX$1,[2]characters!$1:$1,0)-MATCH($A$1,[2]characters!$1:$1,0)+1,FALSE)</f>
        <v>3</v>
      </c>
      <c r="AY190" s="19">
        <v>1</v>
      </c>
      <c r="AZ190" s="19">
        <v>1</v>
      </c>
      <c r="BA190" s="19">
        <v>0</v>
      </c>
      <c r="BB190" s="19">
        <v>1</v>
      </c>
      <c r="BC190" s="14">
        <f ca="1">INDEX('RC6SV'!$A$1:$G$20,MATCH(H190,'RC6SV'!$A$1:$A$20,FALSE),MATCH(G190,'RC6SV'!$A$1:$G$1,FALSE))</f>
        <v>8500</v>
      </c>
      <c r="BD190" s="63">
        <f t="shared" ca="1" si="18"/>
        <v>8500</v>
      </c>
      <c r="BE190" s="14">
        <f t="shared" ca="1" si="19"/>
        <v>6700</v>
      </c>
      <c r="BF190" s="14">
        <f t="shared" ca="1" si="20"/>
        <v>1</v>
      </c>
      <c r="BG190" s="20">
        <f ca="1">IF($BE190&lt;=0,ROUND(BK190*0.5,0), ROUND($BE190*S190*AA190*J190*AY190*0.8*[2]ステータス!$B$2,0))</f>
        <v>2626</v>
      </c>
      <c r="BH190" s="20">
        <f ca="1">IF($BE190&lt;=0,ROUND(BL190*0.5,0), ROUND($BE190*T190*AB190*K190*AZ190*0.8*[2]ステータス!$C$2,0))</f>
        <v>2376</v>
      </c>
      <c r="BI190" s="20">
        <f ca="1">IF($BE190&lt;=0,ROUND(BM190*0.5,0), ROUND($BE190*U190*AC190*L190*BA190*0.8*[2]ステータス!$D$2,0))</f>
        <v>0</v>
      </c>
      <c r="BJ190" s="20">
        <f ca="1">IF($BE190&lt;=0,ROUND(BN190*0.5,0), ROUND($BE190*V190*AD190*M190*BB190*0.8*[2]ステータス!$E$2,0))</f>
        <v>816</v>
      </c>
      <c r="BK190" s="14">
        <f ca="1">ROUND(BD190*S190*AA190*J190*AY190*[2]ステータス!$B$2,0)</f>
        <v>4165</v>
      </c>
      <c r="BL190" s="14">
        <f ca="1">ROUND(BD190*T190*AB190*K190*AZ190*[2]ステータス!$C$2,0)</f>
        <v>3768</v>
      </c>
      <c r="BM190" s="14">
        <f ca="1">ROUND(BD190*U190*AC190*L190*BA190*[2]ステータス!$D$2,0)</f>
        <v>0</v>
      </c>
      <c r="BN190" s="14">
        <f ca="1">ROUND(BD190*V190*AD190*M190*BB190*[2]ステータス!$E$2,0)</f>
        <v>1294</v>
      </c>
      <c r="BO190" s="13">
        <v>0</v>
      </c>
      <c r="BP190" s="13">
        <v>1</v>
      </c>
      <c r="BQ190" s="13" t="s">
        <v>102</v>
      </c>
      <c r="BR190" s="13">
        <f ca="1">VLOOKUP(H190,ghosts_label!$A$2:$B$19,2,FALSE)</f>
        <v>600</v>
      </c>
    </row>
    <row r="191" spans="1:70" ht="21" customHeight="1" x14ac:dyDescent="0.15">
      <c r="A191" s="14">
        <f t="shared" ca="1" si="15"/>
        <v>190</v>
      </c>
      <c r="B191" s="77" t="str">
        <f ca="1">VLOOKUP($A191,OFFSET([2]characters!$A$1,0,0,COUNTA([2]characters!$A:$A),MATCH(B$1,[2]characters!$1:$1,0)-MATCH($A$1,[2]characters!$1:$1,0)+1),MATCH(B$1,[2]characters!$1:$1,0)-MATCH($A$1,[2]characters!$1:$1,0)+1,FALSE)</f>
        <v>卑弥呼</v>
      </c>
      <c r="C191" s="77" t="str">
        <f ca="1">VLOOKUP($A191,OFFSET([2]characters!$A$1,0,0,COUNTA([2]characters!$A:$A),MATCH(C$1,[2]characters!$1:$1,0)-MATCH($A$1,[2]characters!$1:$1,0)+1),MATCH(C$1,[2]characters!$1:$1,0)-MATCH($A$1,[2]characters!$1:$1,0)+1,FALSE)</f>
        <v>初期ガチャ</v>
      </c>
      <c r="D191" s="77" t="str">
        <f ca="1">VLOOKUP($A191,OFFSET([2]characters!$A$1,0,0,COUNTA([2]characters!$A:$A),MATCH(D$1,[2]characters!$1:$1,0)-MATCH($A$1,[2]characters!$1:$1,0)+1),MATCH(D$1,[2]characters!$1:$1,0)-MATCH($A$1,[2]characters!$1:$1,0)+1,FALSE)</f>
        <v>守護者</v>
      </c>
      <c r="E191" s="77" t="str">
        <f ca="1">VLOOKUP($A191,OFFSET([2]characters!$A$1,0,0,COUNTA([2]characters!$A:$A),MATCH(E$1,[2]characters!$1:$1,0)-MATCH($A$1,[2]characters!$1:$1,0)+1),MATCH(E$1,[2]characters!$1:$1,0)-MATCH($A$1,[2]characters!$1:$1,0)+1,FALSE)</f>
        <v>美しい</v>
      </c>
      <c r="F191" s="77" t="str">
        <f ca="1">VLOOKUP($A191,OFFSET([2]characters!$A$1,0,0,COUNTA([2]characters!$A:$A),MATCH(F$1,[2]characters!$1:$1,0)-MATCH($A$1,[2]characters!$1:$1,0)+1),MATCH(F$1,[2]characters!$1:$1,0)-MATCH($A$1,[2]characters!$1:$1,0)+1,FALSE)</f>
        <v>女性</v>
      </c>
      <c r="G191" s="77">
        <f ca="1">VLOOKUP($A191,OFFSET([2]characters!$A$1,0,0,COUNTA([2]characters!$A:$A),MATCH(G$1,[2]characters!$1:$1,0)-MATCH($A$1,[2]characters!$1:$1,0)+1),MATCH(G$1,[2]characters!$1:$1,0)-MATCH($A$1,[2]characters!$1:$1,0)+1,FALSE)</f>
        <v>3</v>
      </c>
      <c r="H191" s="77" t="str">
        <f ca="1">VLOOKUP($A191,OFFSET([2]characters!$A$1,0,0,COUNTA([2]characters!$A:$A),MATCH(H$1,[2]characters!$1:$1,0)-MATCH($A$1,[2]characters!$1:$1,0)+1),MATCH(H$1,[2]characters!$1:$1,0)-MATCH($A$1,[2]characters!$1:$1,0)+1,FALSE)</f>
        <v>PremiumN</v>
      </c>
      <c r="I191" s="77" t="str">
        <f ca="1">VLOOKUP($A191,OFFSET([2]characters!$A$1,0,0,COUNTA([2]characters!$A:$A),MATCH(I$1,[2]characters!$1:$1,0)-MATCH($A$1,[2]characters!$1:$1,0)+1),MATCH(I$1,[2]characters!$1:$1,0)-MATCH($A$1,[2]characters!$1:$1,0)+1,FALSE)</f>
        <v>red</v>
      </c>
      <c r="J191" s="14">
        <f ca="1">VLOOKUP(I191,[2]属性!$A:$E,2,FALSE)</f>
        <v>1</v>
      </c>
      <c r="K191" s="14">
        <f ca="1">VLOOKUP(I191,[2]属性!$A:$E,3,FALSE)</f>
        <v>1.02</v>
      </c>
      <c r="L191" s="14">
        <f ca="1">VLOOKUP(I191,[2]属性!$A:$E,4,FALSE)</f>
        <v>1</v>
      </c>
      <c r="M191" s="14">
        <f ca="1">VLOOKUP(I191,[2]属性!$A:$E,5,FALSE)</f>
        <v>0.98</v>
      </c>
      <c r="N191" s="14">
        <f ca="1">INDEX(コスト!$A$1:$I$20,MATCH(H191,コスト!$A$1:$A$20,FALSE),MATCH(G191,コスト!$A$1:$I$1,FALSE))</f>
        <v>9</v>
      </c>
      <c r="O191" s="14">
        <f ca="1">INDEX(レベル!$A$1:$I$21,MATCH(H191,レベル!$A$1:$A$21,FALSE),MATCH(G191,レベル!$A$1:$I$1,FALSE))</f>
        <v>40</v>
      </c>
      <c r="P191" s="63">
        <f t="shared" ca="1" si="21"/>
        <v>45</v>
      </c>
      <c r="Q191" s="77" t="str">
        <f ca="1">VLOOKUP($A191,OFFSET([2]characters!$A$1,0,0,COUNTA([2]characters!$A:$A),MATCH(Q$1,[2]characters!$1:$1,0)-MATCH($A$1,[2]characters!$1:$1,0)+1),MATCH(Q$1,[2]characters!$1:$1,0)-MATCH($A$1,[2]characters!$1:$1,0)+1,FALSE)</f>
        <v>balance</v>
      </c>
      <c r="R191" s="8" t="str">
        <f ca="1">VLOOKUP(Q191,[2]character_type_i18n!$A:$H,3,FALSE)</f>
        <v>バランスタイプ</v>
      </c>
      <c r="S191" s="14">
        <f ca="1">VLOOKUP(Q191,[2]character_type_i18n!$A:$H,4,FALSE)</f>
        <v>1</v>
      </c>
      <c r="T191" s="14">
        <f ca="1">VLOOKUP(Q191,[2]character_type_i18n!$A:$H,5,FALSE)</f>
        <v>1</v>
      </c>
      <c r="U191" s="14">
        <f ca="1">VLOOKUP(Q191,[2]character_type_i18n!$A:$H,6,FALSE)</f>
        <v>1</v>
      </c>
      <c r="V191" s="14">
        <f ca="1">VLOOKUP(Q191,[2]character_type_i18n!$A:$H,7,FALSE)</f>
        <v>1</v>
      </c>
      <c r="W191" s="77" t="str">
        <f ca="1">VLOOKUP($A191,OFFSET([2]characters!$A$1,0,0,COUNTA([2]characters!$A:$A),MATCH(W$1,[2]characters!$1:$1,0)-MATCH($A$1,[2]characters!$1:$1,0)+1),MATCH(W$1,[2]characters!$1:$1,0)-MATCH($A$1,[2]characters!$1:$1,0)+1,FALSE)</f>
        <v>human</v>
      </c>
      <c r="X191" s="8" t="str">
        <f ca="1">VLOOKUP(W191,[2]character_tribe_i18n!$A:$H,3,FALSE)</f>
        <v>ヒューマン</v>
      </c>
      <c r="Y191" s="77" t="str">
        <f ca="1">VLOOKUP($A191,OFFSET([2]characters!$A$1,0,0,COUNTA([2]characters!$A:$A),MATCH(Y$1,[2]characters!$1:$1,0)-MATCH($A$1,[2]characters!$1:$1,0)+1),MATCH(Y$1,[2]characters!$1:$1,0)-MATCH($A$1,[2]characters!$1:$1,0)+1,FALSE)</f>
        <v>none</v>
      </c>
      <c r="Z191" s="8" t="str">
        <f ca="1">VLOOKUP(Y191,[2]character_tribe_i18n!$A:$H,3,FALSE)</f>
        <v>種族なし</v>
      </c>
      <c r="AA191" s="14">
        <f ca="1">VLOOKUP(W191,[2]character_tribe_i18n!$A:$H,4,FALSE)</f>
        <v>0.94</v>
      </c>
      <c r="AB191" s="14">
        <f ca="1">VLOOKUP(W191,[2]character_tribe_i18n!$A:$H,5,FALSE)</f>
        <v>0.99</v>
      </c>
      <c r="AC191" s="14">
        <f ca="1">VLOOKUP(W191,[2]character_tribe_i18n!$A:$H,6,FALSE)</f>
        <v>1</v>
      </c>
      <c r="AD191" s="14">
        <f ca="1">VLOOKUP(W191,[2]character_tribe_i18n!$A:$H,7,FALSE)</f>
        <v>1.07</v>
      </c>
      <c r="AE191" s="12">
        <v>191</v>
      </c>
      <c r="AF191" s="85" t="str">
        <f ca="1">IF(AE191="NULL","",VLOOKUP($AE191,OFFSET([2]characters!$A$1,0,0,COUNTA([2]characters!$A:$A),MATCH(AF$1,[2]characters!$1:$1,0)-MATCH($A$1,[2]characters!$1:$1,0)+1),MATCH(AF$1,[2]characters!$1:$1,0)-MATCH($A$1,[2]characters!$1:$1,0)+1,FALSE))</f>
        <v>始祖 卑弥呼</v>
      </c>
      <c r="AG191" s="8">
        <f t="shared" ca="1" si="16"/>
        <v>190</v>
      </c>
      <c r="AH191" s="85" t="str">
        <f ca="1">VLOOKUP($AG191,OFFSET([2]characters!$A$1,0,0,COUNTA([2]characters!$A:$A),MATCH(AH$1,[2]characters!$1:$1,0)-MATCH($A$1,[2]characters!$1:$1,0)+1),MATCH(AH$1,[2]characters!$1:$1,0)-MATCH($A$1,[2]characters!$1:$1,0)+1,FALSE)</f>
        <v>卑弥呼</v>
      </c>
      <c r="AI191" s="14">
        <f ca="1">IF(AE191="NULL","NULL",VLOOKUP(G191,ビット!$A$2:$B$7,2))</f>
        <v>20000</v>
      </c>
      <c r="AJ191" s="9">
        <v>2</v>
      </c>
      <c r="AK191" s="10" t="str">
        <f t="shared" si="17"/>
        <v>普通</v>
      </c>
      <c r="AL191" s="14" t="str">
        <f ca="1">INDEX(経験値!$A$1:$I$20,MATCH(H191,経験値!$A$1:$A$20,FALSE),MATCH(G191,経験値!$A$1:$I$1,FALSE))</f>
        <v>required_exp_200</v>
      </c>
      <c r="AM191" s="11">
        <f ca="1">VLOOKUP(G191,経験値!$A$27:$B$31,2)</f>
        <v>1500</v>
      </c>
      <c r="AN191" s="21">
        <f ca="1">VLOOKUP(G191,ビット!$G$2:$H$7,2)</f>
        <v>300</v>
      </c>
      <c r="AO191" s="98" t="s">
        <v>178</v>
      </c>
      <c r="AP191" s="97">
        <v>311008</v>
      </c>
      <c r="AQ191" s="77" t="e">
        <f ca="1">VLOOKUP($AP191,OFFSET([1]unit_skills!$A$1,0,0,COUNTA([1]unit_skills!$A:$A),MATCH("name",[1]unit_skills!$1:$1,0)-MATCH($AP$1,[1]unit_skills!$1:$1,0)+1),MATCH("name",[1]unit_skills!$1:$1,0)-MATCH($AP$1,[1]unit_skills!$1:$1,0)+1,FALSE)</f>
        <v>#VALUE!</v>
      </c>
      <c r="AR191" s="77" t="e">
        <f ca="1">VLOOKUP($AP191,OFFSET([1]unit_skills!$A$1,0,0,COUNTA([1]unit_skills!$A:$A),MATCH("comment",[1]unit_skills!$1:$1,0)-MATCH($AP$1,[1]unit_skills!$1:$1,0)+1),MATCH("comment",[1]unit_skills!$1:$1,0)-MATCH($AP$1,[1]unit_skills!$1:$1,0)+1,FALSE)</f>
        <v>#VALUE!</v>
      </c>
      <c r="AS191" s="77" t="e">
        <f ca="1">VLOOKUP($AP191,OFFSET([1]unit_skills!$A$1,0,0,COUNTA([1]unit_skills!$A:$A),MATCH(AS$1,[1]unit_skills!$1:$1,0)-MATCH($AP$1,[1]unit_skills!$1:$1,0)+1),MATCH(AS$1,[1]unit_skills!$1:$1,0)-MATCH($AP$1,[1]unit_skills!$1:$1,0)+1,FALSE)</f>
        <v>#VALUE!</v>
      </c>
      <c r="AT191" s="97">
        <v>191102</v>
      </c>
      <c r="AU191" s="77" t="e">
        <f ca="1">VLOOKUP($AT191,OFFSET([1]crash_skills!$A$1,0,0,COUNTA([1]crash_skills!$A:$A),MATCH("name",[1]crash_skills!$1:$1,0)-MATCH($AT$1,[1]crash_skills!$1:$1,0)+1),MATCH("name",[1]crash_skills!$1:$1,0)-MATCH($AT$1,[1]crash_skills!$1:$1,0)+1,FALSE)</f>
        <v>#VALUE!</v>
      </c>
      <c r="AV191" s="77" t="e">
        <f ca="1">VLOOKUP($AT191,OFFSET([1]crash_skills!$A$1,0,0,COUNTA([1]crash_skills!$A:$A),MATCH("comment",[1]crash_skills!$1:$1,0)-MATCH($AT$1,[1]crash_skills!$1:$1,0)+1),MATCH("comment",[1]crash_skills!$1:$1,0)-MATCH($AT$1,[1]crash_skills!$1:$1,0)+1,FALSE)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91" s="77" t="e">
        <f ca="1">VLOOKUP($AT191,OFFSET([1]crash_skills!$A$1,0,0,COUNTA([1]crash_skills!$A:$A),MATCH(AW$1,[1]crash_skills!$1:$1,0)-MATCH($AT$1,[1]crash_skills!$1:$1,0)+1),MATCH(AW$1,[1]crash_skills!$1:$1,0)-MATCH($AT$1,[1]crash_skills!$1:$1,0)+1,FALSE)</f>
        <v>#VALUE!</v>
      </c>
      <c r="AX191" s="81">
        <f ca="1">VLOOKUP($A191,OFFSET([2]characters!$A$1,0,0,COUNTA([2]characters!$A:$A),MATCH(AX$1,[2]characters!$1:$1,0)-MATCH($A$1,[2]characters!$1:$1,0)+1),MATCH(AX$1,[2]characters!$1:$1,0)-MATCH($A$1,[2]characters!$1:$1,0)+1,FALSE)</f>
        <v>3</v>
      </c>
      <c r="AY191" s="19">
        <v>1</v>
      </c>
      <c r="AZ191" s="19">
        <v>1</v>
      </c>
      <c r="BA191" s="19">
        <v>0</v>
      </c>
      <c r="BB191" s="19">
        <v>1</v>
      </c>
      <c r="BC191" s="14">
        <f ca="1">INDEX('RC6SV'!$A$1:$G$20,MATCH(H191,'RC6SV'!$A$1:$A$20,FALSE),MATCH(G191,'RC6SV'!$A$1:$G$1,FALSE))</f>
        <v>4900</v>
      </c>
      <c r="BD191" s="63">
        <f t="shared" ca="1" si="18"/>
        <v>4900</v>
      </c>
      <c r="BE191" s="14">
        <f t="shared" ca="1" si="19"/>
        <v>0</v>
      </c>
      <c r="BF191" s="14">
        <f t="shared" ca="1" si="20"/>
        <v>1</v>
      </c>
      <c r="BG191" s="20">
        <f ca="1">IF($BE191&lt;=0,ROUND(BK191*0.5,0), ROUND($BE191*S191*AA191*J191*AY191*0.8*[2]ステータス!$B$2,0))</f>
        <v>1152</v>
      </c>
      <c r="BH191" s="20">
        <f ca="1">IF($BE191&lt;=0,ROUND(BL191*0.5,0), ROUND($BE191*T191*AB191*K191*AZ191*0.8*[2]ステータス!$C$2,0))</f>
        <v>742</v>
      </c>
      <c r="BI191" s="20">
        <f ca="1">IF($BE191&lt;=0,ROUND(BM191*0.5,0), ROUND($BE191*U191*AC191*L191*BA191*0.8*[2]ステータス!$D$2,0))</f>
        <v>0</v>
      </c>
      <c r="BJ191" s="20">
        <f ca="1">IF($BE191&lt;=0,ROUND(BN191*0.5,0), ROUND($BE191*V191*AD191*M191*BB191*0.8*[2]ステータス!$E$2,0))</f>
        <v>643</v>
      </c>
      <c r="BK191" s="14">
        <f ca="1">ROUND(BD191*S191*AA191*J191*AY191*[2]ステータス!$B$2,0)</f>
        <v>2303</v>
      </c>
      <c r="BL191" s="14">
        <f ca="1">ROUND(BD191*T191*AB191*K191*AZ191*[2]ステータス!$C$2,0)</f>
        <v>1484</v>
      </c>
      <c r="BM191" s="14">
        <f ca="1">ROUND(BD191*U191*AC191*L191*BA191*[2]ステータス!$D$2,0)</f>
        <v>0</v>
      </c>
      <c r="BN191" s="14">
        <f ca="1">ROUND(BD191*V191*AD191*M191*BB191*[2]ステータス!$E$2,0)</f>
        <v>1285</v>
      </c>
      <c r="BO191" s="13">
        <v>0</v>
      </c>
      <c r="BP191" s="13">
        <v>1</v>
      </c>
      <c r="BQ191" s="13" t="s">
        <v>102</v>
      </c>
      <c r="BR191" s="13">
        <f ca="1">VLOOKUP(H191,ghosts_label!$A$2:$B$19,2,FALSE)</f>
        <v>600</v>
      </c>
    </row>
    <row r="192" spans="1:70" ht="21" customHeight="1" x14ac:dyDescent="0.15">
      <c r="A192" s="14">
        <f t="shared" ca="1" si="15"/>
        <v>191</v>
      </c>
      <c r="B192" s="77" t="str">
        <f ca="1">VLOOKUP($A192,OFFSET([2]characters!$A$1,0,0,COUNTA([2]characters!$A:$A),MATCH(B$1,[2]characters!$1:$1,0)-MATCH($A$1,[2]characters!$1:$1,0)+1),MATCH(B$1,[2]characters!$1:$1,0)-MATCH($A$1,[2]characters!$1:$1,0)+1,FALSE)</f>
        <v>始祖 卑弥呼</v>
      </c>
      <c r="C192" s="77" t="str">
        <f ca="1">VLOOKUP($A192,OFFSET([2]characters!$A$1,0,0,COUNTA([2]characters!$A:$A),MATCH(C$1,[2]characters!$1:$1,0)-MATCH($A$1,[2]characters!$1:$1,0)+1),MATCH(C$1,[2]characters!$1:$1,0)-MATCH($A$1,[2]characters!$1:$1,0)+1,FALSE)</f>
        <v>初期ガチャ</v>
      </c>
      <c r="D192" s="77" t="str">
        <f ca="1">VLOOKUP($A192,OFFSET([2]characters!$A$1,0,0,COUNTA([2]characters!$A:$A),MATCH(D$1,[2]characters!$1:$1,0)-MATCH($A$1,[2]characters!$1:$1,0)+1),MATCH(D$1,[2]characters!$1:$1,0)-MATCH($A$1,[2]characters!$1:$1,0)+1,FALSE)</f>
        <v>守護者</v>
      </c>
      <c r="E192" s="77" t="str">
        <f ca="1">VLOOKUP($A192,OFFSET([2]characters!$A$1,0,0,COUNTA([2]characters!$A:$A),MATCH(E$1,[2]characters!$1:$1,0)-MATCH($A$1,[2]characters!$1:$1,0)+1),MATCH(E$1,[2]characters!$1:$1,0)-MATCH($A$1,[2]characters!$1:$1,0)+1,FALSE)</f>
        <v>美しい</v>
      </c>
      <c r="F192" s="77" t="str">
        <f ca="1">VLOOKUP($A192,OFFSET([2]characters!$A$1,0,0,COUNTA([2]characters!$A:$A),MATCH(F$1,[2]characters!$1:$1,0)-MATCH($A$1,[2]characters!$1:$1,0)+1),MATCH(F$1,[2]characters!$1:$1,0)-MATCH($A$1,[2]characters!$1:$1,0)+1,FALSE)</f>
        <v>女性</v>
      </c>
      <c r="G192" s="77">
        <f ca="1">VLOOKUP($A192,OFFSET([2]characters!$A$1,0,0,COUNTA([2]characters!$A:$A),MATCH(G$1,[2]characters!$1:$1,0)-MATCH($A$1,[2]characters!$1:$1,0)+1),MATCH(G$1,[2]characters!$1:$1,0)-MATCH($A$1,[2]characters!$1:$1,0)+1,FALSE)</f>
        <v>4</v>
      </c>
      <c r="H192" s="77" t="str">
        <f ca="1">VLOOKUP($A192,OFFSET([2]characters!$A$1,0,0,COUNTA([2]characters!$A:$A),MATCH(H$1,[2]characters!$1:$1,0)-MATCH($A$1,[2]characters!$1:$1,0)+1),MATCH(H$1,[2]characters!$1:$1,0)-MATCH($A$1,[2]characters!$1:$1,0)+1,FALSE)</f>
        <v>PremiumN</v>
      </c>
      <c r="I192" s="77" t="str">
        <f ca="1">VLOOKUP($A192,OFFSET([2]characters!$A$1,0,0,COUNTA([2]characters!$A:$A),MATCH(I$1,[2]characters!$1:$1,0)-MATCH($A$1,[2]characters!$1:$1,0)+1),MATCH(I$1,[2]characters!$1:$1,0)-MATCH($A$1,[2]characters!$1:$1,0)+1,FALSE)</f>
        <v>red</v>
      </c>
      <c r="J192" s="14">
        <f ca="1">VLOOKUP(I192,[2]属性!$A:$E,2,FALSE)</f>
        <v>1</v>
      </c>
      <c r="K192" s="14">
        <f ca="1">VLOOKUP(I192,[2]属性!$A:$E,3,FALSE)</f>
        <v>1.02</v>
      </c>
      <c r="L192" s="14">
        <f ca="1">VLOOKUP(I192,[2]属性!$A:$E,4,FALSE)</f>
        <v>1</v>
      </c>
      <c r="M192" s="14">
        <f ca="1">VLOOKUP(I192,[2]属性!$A:$E,5,FALSE)</f>
        <v>0.98</v>
      </c>
      <c r="N192" s="14">
        <f ca="1">INDEX(コスト!$A$1:$I$20,MATCH(H192,コスト!$A$1:$A$20,FALSE),MATCH(G192,コスト!$A$1:$I$1,FALSE))</f>
        <v>18</v>
      </c>
      <c r="O192" s="14">
        <f ca="1">INDEX(レベル!$A$1:$I$21,MATCH(H192,レベル!$A$1:$A$21,FALSE),MATCH(G192,レベル!$A$1:$I$1,FALSE))</f>
        <v>60</v>
      </c>
      <c r="P192" s="63">
        <f t="shared" ca="1" si="21"/>
        <v>60</v>
      </c>
      <c r="Q192" s="77" t="str">
        <f ca="1">VLOOKUP($A192,OFFSET([2]characters!$A$1,0,0,COUNTA([2]characters!$A:$A),MATCH(Q$1,[2]characters!$1:$1,0)-MATCH($A$1,[2]characters!$1:$1,0)+1),MATCH(Q$1,[2]characters!$1:$1,0)-MATCH($A$1,[2]characters!$1:$1,0)+1,FALSE)</f>
        <v>balance</v>
      </c>
      <c r="R192" s="8" t="str">
        <f ca="1">VLOOKUP(Q192,[2]character_type_i18n!$A:$H,3,FALSE)</f>
        <v>バランスタイプ</v>
      </c>
      <c r="S192" s="14">
        <f ca="1">VLOOKUP(Q192,[2]character_type_i18n!$A:$H,4,FALSE)</f>
        <v>1</v>
      </c>
      <c r="T192" s="14">
        <f ca="1">VLOOKUP(Q192,[2]character_type_i18n!$A:$H,5,FALSE)</f>
        <v>1</v>
      </c>
      <c r="U192" s="14">
        <f ca="1">VLOOKUP(Q192,[2]character_type_i18n!$A:$H,6,FALSE)</f>
        <v>1</v>
      </c>
      <c r="V192" s="14">
        <f ca="1">VLOOKUP(Q192,[2]character_type_i18n!$A:$H,7,FALSE)</f>
        <v>1</v>
      </c>
      <c r="W192" s="77" t="str">
        <f ca="1">VLOOKUP($A192,OFFSET([2]characters!$A$1,0,0,COUNTA([2]characters!$A:$A),MATCH(W$1,[2]characters!$1:$1,0)-MATCH($A$1,[2]characters!$1:$1,0)+1),MATCH(W$1,[2]characters!$1:$1,0)-MATCH($A$1,[2]characters!$1:$1,0)+1,FALSE)</f>
        <v>human</v>
      </c>
      <c r="X192" s="8" t="str">
        <f ca="1">VLOOKUP(W192,[2]character_tribe_i18n!$A:$H,3,FALSE)</f>
        <v>ヒューマン</v>
      </c>
      <c r="Y192" s="77" t="str">
        <f ca="1">VLOOKUP($A192,OFFSET([2]characters!$A$1,0,0,COUNTA([2]characters!$A:$A),MATCH(Y$1,[2]characters!$1:$1,0)-MATCH($A$1,[2]characters!$1:$1,0)+1),MATCH(Y$1,[2]characters!$1:$1,0)-MATCH($A$1,[2]characters!$1:$1,0)+1,FALSE)</f>
        <v>none</v>
      </c>
      <c r="Z192" s="8" t="str">
        <f ca="1">VLOOKUP(Y192,[2]character_tribe_i18n!$A:$H,3,FALSE)</f>
        <v>種族なし</v>
      </c>
      <c r="AA192" s="14">
        <f ca="1">VLOOKUP(W192,[2]character_tribe_i18n!$A:$H,4,FALSE)</f>
        <v>0.94</v>
      </c>
      <c r="AB192" s="14">
        <f ca="1">VLOOKUP(W192,[2]character_tribe_i18n!$A:$H,5,FALSE)</f>
        <v>0.99</v>
      </c>
      <c r="AC192" s="14">
        <f ca="1">VLOOKUP(W192,[2]character_tribe_i18n!$A:$H,6,FALSE)</f>
        <v>1</v>
      </c>
      <c r="AD192" s="14">
        <f ca="1">VLOOKUP(W192,[2]character_tribe_i18n!$A:$H,7,FALSE)</f>
        <v>1.07</v>
      </c>
      <c r="AE192" s="12">
        <v>192</v>
      </c>
      <c r="AF192" s="85" t="str">
        <f ca="1">IF(AE192="NULL","",VLOOKUP($AE192,OFFSET([2]characters!$A$1,0,0,COUNTA([2]characters!$A:$A),MATCH(AF$1,[2]characters!$1:$1,0)-MATCH($A$1,[2]characters!$1:$1,0)+1),MATCH(AF$1,[2]characters!$1:$1,0)-MATCH($A$1,[2]characters!$1:$1,0)+1,FALSE))</f>
        <v>荘厳なる始祖帝 卑弥呼</v>
      </c>
      <c r="AG192" s="8">
        <f t="shared" ca="1" si="16"/>
        <v>190</v>
      </c>
      <c r="AH192" s="85" t="str">
        <f ca="1">VLOOKUP($AG192,OFFSET([2]characters!$A$1,0,0,COUNTA([2]characters!$A:$A),MATCH(AH$1,[2]characters!$1:$1,0)-MATCH($A$1,[2]characters!$1:$1,0)+1),MATCH(AH$1,[2]characters!$1:$1,0)-MATCH($A$1,[2]characters!$1:$1,0)+1,FALSE)</f>
        <v>卑弥呼</v>
      </c>
      <c r="AI192" s="14">
        <f ca="1">IF(AE192="NULL","NULL",VLOOKUP(G192,ビット!$A$2:$B$7,2))</f>
        <v>50000</v>
      </c>
      <c r="AJ192" s="9">
        <v>2</v>
      </c>
      <c r="AK192" s="10" t="str">
        <f t="shared" si="17"/>
        <v>普通</v>
      </c>
      <c r="AL192" s="14" t="str">
        <f ca="1">INDEX(経験値!$A$1:$I$20,MATCH(H192,経験値!$A$1:$A$20,FALSE),MATCH(G192,経験値!$A$1:$I$1,FALSE))</f>
        <v>required_exp_200</v>
      </c>
      <c r="AM192" s="11">
        <f ca="1">VLOOKUP(G192,経験値!$A$27:$B$31,2)</f>
        <v>3400</v>
      </c>
      <c r="AN192" s="21">
        <f ca="1">VLOOKUP(G192,ビット!$G$2:$H$7,2)</f>
        <v>600</v>
      </c>
      <c r="AO192" s="98" t="s">
        <v>178</v>
      </c>
      <c r="AP192" s="97">
        <v>311020</v>
      </c>
      <c r="AQ192" s="77" t="e">
        <f ca="1">VLOOKUP($AP192,OFFSET([1]unit_skills!$A$1,0,0,COUNTA([1]unit_skills!$A:$A),MATCH("name",[1]unit_skills!$1:$1,0)-MATCH($AP$1,[1]unit_skills!$1:$1,0)+1),MATCH("name",[1]unit_skills!$1:$1,0)-MATCH($AP$1,[1]unit_skills!$1:$1,0)+1,FALSE)</f>
        <v>#VALUE!</v>
      </c>
      <c r="AR192" s="77" t="e">
        <f ca="1">VLOOKUP($AP192,OFFSET([1]unit_skills!$A$1,0,0,COUNTA([1]unit_skills!$A:$A),MATCH("comment",[1]unit_skills!$1:$1,0)-MATCH($AP$1,[1]unit_skills!$1:$1,0)+1),MATCH("comment",[1]unit_skills!$1:$1,0)-MATCH($AP$1,[1]unit_skills!$1:$1,0)+1,FALSE)</f>
        <v>#VALUE!</v>
      </c>
      <c r="AS192" s="77" t="e">
        <f ca="1">VLOOKUP($AP192,OFFSET([1]unit_skills!$A$1,0,0,COUNTA([1]unit_skills!$A:$A),MATCH(AS$1,[1]unit_skills!$1:$1,0)-MATCH($AP$1,[1]unit_skills!$1:$1,0)+1),MATCH(AS$1,[1]unit_skills!$1:$1,0)-MATCH($AP$1,[1]unit_skills!$1:$1,0)+1,FALSE)</f>
        <v>#VALUE!</v>
      </c>
      <c r="AT192" s="97">
        <v>191102</v>
      </c>
      <c r="AU192" s="77" t="e">
        <f ca="1">VLOOKUP($AT192,OFFSET([1]crash_skills!$A$1,0,0,COUNTA([1]crash_skills!$A:$A),MATCH("name",[1]crash_skills!$1:$1,0)-MATCH($AT$1,[1]crash_skills!$1:$1,0)+1),MATCH("name",[1]crash_skills!$1:$1,0)-MATCH($AT$1,[1]crash_skills!$1:$1,0)+1,FALSE)</f>
        <v>#VALUE!</v>
      </c>
      <c r="AV192" s="77" t="e">
        <f ca="1">VLOOKUP($AT192,OFFSET([1]crash_skills!$A$1,0,0,COUNTA([1]crash_skills!$A:$A),MATCH("comment",[1]crash_skills!$1:$1,0)-MATCH($AT$1,[1]crash_skills!$1:$1,0)+1),MATCH("comment",[1]crash_skills!$1:$1,0)-MATCH($AT$1,[1]crash_skills!$1:$1,0)+1,FALSE)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92" s="77" t="e">
        <f ca="1">VLOOKUP($AT192,OFFSET([1]crash_skills!$A$1,0,0,COUNTA([1]crash_skills!$A:$A),MATCH(AW$1,[1]crash_skills!$1:$1,0)-MATCH($AT$1,[1]crash_skills!$1:$1,0)+1),MATCH(AW$1,[1]crash_skills!$1:$1,0)-MATCH($AT$1,[1]crash_skills!$1:$1,0)+1,FALSE)</f>
        <v>#VALUE!</v>
      </c>
      <c r="AX192" s="81">
        <f ca="1">VLOOKUP($A192,OFFSET([2]characters!$A$1,0,0,COUNTA([2]characters!$A:$A),MATCH(AX$1,[2]characters!$1:$1,0)-MATCH($A$1,[2]characters!$1:$1,0)+1),MATCH(AX$1,[2]characters!$1:$1,0)-MATCH($A$1,[2]characters!$1:$1,0)+1,FALSE)</f>
        <v>3</v>
      </c>
      <c r="AY192" s="19">
        <v>1</v>
      </c>
      <c r="AZ192" s="19">
        <v>1</v>
      </c>
      <c r="BA192" s="19">
        <v>0</v>
      </c>
      <c r="BB192" s="19">
        <v>1</v>
      </c>
      <c r="BC192" s="14">
        <f ca="1">INDEX('RC6SV'!$A$1:$G$20,MATCH(H192,'RC6SV'!$A$1:$A$20,FALSE),MATCH(G192,'RC6SV'!$A$1:$G$1,FALSE))</f>
        <v>6700</v>
      </c>
      <c r="BD192" s="63">
        <f t="shared" ca="1" si="18"/>
        <v>6700</v>
      </c>
      <c r="BE192" s="14">
        <f t="shared" ca="1" si="19"/>
        <v>4900</v>
      </c>
      <c r="BF192" s="14">
        <f t="shared" ca="1" si="20"/>
        <v>1</v>
      </c>
      <c r="BG192" s="20">
        <f ca="1">IF($BE192&lt;=0,ROUND(BK192*0.5,0), ROUND($BE192*S192*AA192*J192*AY192*0.8*[2]ステータス!$B$2,0))</f>
        <v>1842</v>
      </c>
      <c r="BH192" s="20">
        <f ca="1">IF($BE192&lt;=0,ROUND(BL192*0.5,0), ROUND($BE192*T192*AB192*K192*AZ192*0.8*[2]ステータス!$C$2,0))</f>
        <v>1188</v>
      </c>
      <c r="BI192" s="20">
        <f ca="1">IF($BE192&lt;=0,ROUND(BM192*0.5,0), ROUND($BE192*U192*AC192*L192*BA192*0.8*[2]ステータス!$D$2,0))</f>
        <v>0</v>
      </c>
      <c r="BJ192" s="20">
        <f ca="1">IF($BE192&lt;=0,ROUND(BN192*0.5,0), ROUND($BE192*V192*AD192*M192*BB192*0.8*[2]ステータス!$E$2,0))</f>
        <v>1028</v>
      </c>
      <c r="BK192" s="14">
        <f ca="1">ROUND(BD192*S192*AA192*J192*AY192*[2]ステータス!$B$2,0)</f>
        <v>3149</v>
      </c>
      <c r="BL192" s="14">
        <f ca="1">ROUND(BD192*T192*AB192*K192*AZ192*[2]ステータス!$C$2,0)</f>
        <v>2030</v>
      </c>
      <c r="BM192" s="14">
        <f ca="1">ROUND(BD192*U192*AC192*L192*BA192*[2]ステータス!$D$2,0)</f>
        <v>0</v>
      </c>
      <c r="BN192" s="14">
        <f ca="1">ROUND(BD192*V192*AD192*M192*BB192*[2]ステータス!$E$2,0)</f>
        <v>1756</v>
      </c>
      <c r="BO192" s="13">
        <v>0</v>
      </c>
      <c r="BP192" s="13">
        <v>1</v>
      </c>
      <c r="BQ192" s="13" t="s">
        <v>102</v>
      </c>
      <c r="BR192" s="13">
        <f ca="1">VLOOKUP(H192,ghosts_label!$A$2:$B$19,2,FALSE)</f>
        <v>600</v>
      </c>
    </row>
    <row r="193" spans="1:70" ht="21" customHeight="1" x14ac:dyDescent="0.15">
      <c r="A193" s="14">
        <f t="shared" ca="1" si="15"/>
        <v>192</v>
      </c>
      <c r="B193" s="77" t="str">
        <f ca="1">VLOOKUP($A193,OFFSET([2]characters!$A$1,0,0,COUNTA([2]characters!$A:$A),MATCH(B$1,[2]characters!$1:$1,0)-MATCH($A$1,[2]characters!$1:$1,0)+1),MATCH(B$1,[2]characters!$1:$1,0)-MATCH($A$1,[2]characters!$1:$1,0)+1,FALSE)</f>
        <v>荘厳なる始祖帝 卑弥呼</v>
      </c>
      <c r="C193" s="77" t="str">
        <f ca="1">VLOOKUP($A193,OFFSET([2]characters!$A$1,0,0,COUNTA([2]characters!$A:$A),MATCH(C$1,[2]characters!$1:$1,0)-MATCH($A$1,[2]characters!$1:$1,0)+1),MATCH(C$1,[2]characters!$1:$1,0)-MATCH($A$1,[2]characters!$1:$1,0)+1,FALSE)</f>
        <v>初期ガチャ</v>
      </c>
      <c r="D193" s="77" t="str">
        <f ca="1">VLOOKUP($A193,OFFSET([2]characters!$A$1,0,0,COUNTA([2]characters!$A:$A),MATCH(D$1,[2]characters!$1:$1,0)-MATCH($A$1,[2]characters!$1:$1,0)+1),MATCH(D$1,[2]characters!$1:$1,0)-MATCH($A$1,[2]characters!$1:$1,0)+1,FALSE)</f>
        <v>守護者</v>
      </c>
      <c r="E193" s="77" t="str">
        <f ca="1">VLOOKUP($A193,OFFSET([2]characters!$A$1,0,0,COUNTA([2]characters!$A:$A),MATCH(E$1,[2]characters!$1:$1,0)-MATCH($A$1,[2]characters!$1:$1,0)+1),MATCH(E$1,[2]characters!$1:$1,0)-MATCH($A$1,[2]characters!$1:$1,0)+1,FALSE)</f>
        <v>美しい</v>
      </c>
      <c r="F193" s="77" t="str">
        <f ca="1">VLOOKUP($A193,OFFSET([2]characters!$A$1,0,0,COUNTA([2]characters!$A:$A),MATCH(F$1,[2]characters!$1:$1,0)-MATCH($A$1,[2]characters!$1:$1,0)+1),MATCH(F$1,[2]characters!$1:$1,0)-MATCH($A$1,[2]characters!$1:$1,0)+1,FALSE)</f>
        <v>女性</v>
      </c>
      <c r="G193" s="77">
        <f ca="1">VLOOKUP($A193,OFFSET([2]characters!$A$1,0,0,COUNTA([2]characters!$A:$A),MATCH(G$1,[2]characters!$1:$1,0)-MATCH($A$1,[2]characters!$1:$1,0)+1),MATCH(G$1,[2]characters!$1:$1,0)-MATCH($A$1,[2]characters!$1:$1,0)+1,FALSE)</f>
        <v>5</v>
      </c>
      <c r="H193" s="77" t="str">
        <f ca="1">VLOOKUP($A193,OFFSET([2]characters!$A$1,0,0,COUNTA([2]characters!$A:$A),MATCH(H$1,[2]characters!$1:$1,0)-MATCH($A$1,[2]characters!$1:$1,0)+1),MATCH(H$1,[2]characters!$1:$1,0)-MATCH($A$1,[2]characters!$1:$1,0)+1,FALSE)</f>
        <v>PremiumN</v>
      </c>
      <c r="I193" s="77" t="str">
        <f ca="1">VLOOKUP($A193,OFFSET([2]characters!$A$1,0,0,COUNTA([2]characters!$A:$A),MATCH(I$1,[2]characters!$1:$1,0)-MATCH($A$1,[2]characters!$1:$1,0)+1),MATCH(I$1,[2]characters!$1:$1,0)-MATCH($A$1,[2]characters!$1:$1,0)+1,FALSE)</f>
        <v>red</v>
      </c>
      <c r="J193" s="14">
        <f ca="1">VLOOKUP(I193,[2]属性!$A:$E,2,FALSE)</f>
        <v>1</v>
      </c>
      <c r="K193" s="14">
        <f ca="1">VLOOKUP(I193,[2]属性!$A:$E,3,FALSE)</f>
        <v>1.02</v>
      </c>
      <c r="L193" s="14">
        <f ca="1">VLOOKUP(I193,[2]属性!$A:$E,4,FALSE)</f>
        <v>1</v>
      </c>
      <c r="M193" s="14">
        <f ca="1">VLOOKUP(I193,[2]属性!$A:$E,5,FALSE)</f>
        <v>0.98</v>
      </c>
      <c r="N193" s="14">
        <f ca="1">INDEX(コスト!$A$1:$I$20,MATCH(H193,コスト!$A$1:$A$20,FALSE),MATCH(G193,コスト!$A$1:$I$1,FALSE))</f>
        <v>28</v>
      </c>
      <c r="O193" s="14">
        <f ca="1">INDEX(レベル!$A$1:$I$21,MATCH(H193,レベル!$A$1:$A$21,FALSE),MATCH(G193,レベル!$A$1:$I$1,FALSE))</f>
        <v>80</v>
      </c>
      <c r="P193" s="63">
        <f t="shared" ca="1" si="21"/>
        <v>75</v>
      </c>
      <c r="Q193" s="77" t="str">
        <f ca="1">VLOOKUP($A193,OFFSET([2]characters!$A$1,0,0,COUNTA([2]characters!$A:$A),MATCH(Q$1,[2]characters!$1:$1,0)-MATCH($A$1,[2]characters!$1:$1,0)+1),MATCH(Q$1,[2]characters!$1:$1,0)-MATCH($A$1,[2]characters!$1:$1,0)+1,FALSE)</f>
        <v>balance</v>
      </c>
      <c r="R193" s="8" t="str">
        <f ca="1">VLOOKUP(Q193,[2]character_type_i18n!$A:$H,3,FALSE)</f>
        <v>バランスタイプ</v>
      </c>
      <c r="S193" s="14">
        <f ca="1">VLOOKUP(Q193,[2]character_type_i18n!$A:$H,4,FALSE)</f>
        <v>1</v>
      </c>
      <c r="T193" s="14">
        <f ca="1">VLOOKUP(Q193,[2]character_type_i18n!$A:$H,5,FALSE)</f>
        <v>1</v>
      </c>
      <c r="U193" s="14">
        <f ca="1">VLOOKUP(Q193,[2]character_type_i18n!$A:$H,6,FALSE)</f>
        <v>1</v>
      </c>
      <c r="V193" s="14">
        <f ca="1">VLOOKUP(Q193,[2]character_type_i18n!$A:$H,7,FALSE)</f>
        <v>1</v>
      </c>
      <c r="W193" s="77" t="str">
        <f ca="1">VLOOKUP($A193,OFFSET([2]characters!$A$1,0,0,COUNTA([2]characters!$A:$A),MATCH(W$1,[2]characters!$1:$1,0)-MATCH($A$1,[2]characters!$1:$1,0)+1),MATCH(W$1,[2]characters!$1:$1,0)-MATCH($A$1,[2]characters!$1:$1,0)+1,FALSE)</f>
        <v>human</v>
      </c>
      <c r="X193" s="8" t="str">
        <f ca="1">VLOOKUP(W193,[2]character_tribe_i18n!$A:$H,3,FALSE)</f>
        <v>ヒューマン</v>
      </c>
      <c r="Y193" s="77" t="str">
        <f ca="1">VLOOKUP($A193,OFFSET([2]characters!$A$1,0,0,COUNTA([2]characters!$A:$A),MATCH(Y$1,[2]characters!$1:$1,0)-MATCH($A$1,[2]characters!$1:$1,0)+1),MATCH(Y$1,[2]characters!$1:$1,0)-MATCH($A$1,[2]characters!$1:$1,0)+1,FALSE)</f>
        <v>none</v>
      </c>
      <c r="Z193" s="8" t="str">
        <f ca="1">VLOOKUP(Y193,[2]character_tribe_i18n!$A:$H,3,FALSE)</f>
        <v>種族なし</v>
      </c>
      <c r="AA193" s="14">
        <f ca="1">VLOOKUP(W193,[2]character_tribe_i18n!$A:$H,4,FALSE)</f>
        <v>0.94</v>
      </c>
      <c r="AB193" s="14">
        <f ca="1">VLOOKUP(W193,[2]character_tribe_i18n!$A:$H,5,FALSE)</f>
        <v>0.99</v>
      </c>
      <c r="AC193" s="14">
        <f ca="1">VLOOKUP(W193,[2]character_tribe_i18n!$A:$H,6,FALSE)</f>
        <v>1</v>
      </c>
      <c r="AD193" s="14">
        <f ca="1">VLOOKUP(W193,[2]character_tribe_i18n!$A:$H,7,FALSE)</f>
        <v>1.07</v>
      </c>
      <c r="AE193" s="12" t="s">
        <v>102</v>
      </c>
      <c r="AF193" s="85" t="str">
        <f ca="1">IF(AE193="NULL","",VLOOKUP($AE193,OFFSET([2]characters!$A$1,0,0,COUNTA([2]characters!$A:$A),MATCH(AF$1,[2]characters!$1:$1,0)-MATCH($A$1,[2]characters!$1:$1,0)+1),MATCH(AF$1,[2]characters!$1:$1,0)-MATCH($A$1,[2]characters!$1:$1,0)+1,FALSE))</f>
        <v/>
      </c>
      <c r="AG193" s="8">
        <f t="shared" ca="1" si="16"/>
        <v>190</v>
      </c>
      <c r="AH193" s="85" t="str">
        <f ca="1">VLOOKUP($AG193,OFFSET([2]characters!$A$1,0,0,COUNTA([2]characters!$A:$A),MATCH(AH$1,[2]characters!$1:$1,0)-MATCH($A$1,[2]characters!$1:$1,0)+1),MATCH(AH$1,[2]characters!$1:$1,0)-MATCH($A$1,[2]characters!$1:$1,0)+1,FALSE)</f>
        <v>卑弥呼</v>
      </c>
      <c r="AI193" s="14" t="str">
        <f>IF(AE193="NULL","NULL",VLOOKUP(G193,ビット!$A$2:$B$7,2))</f>
        <v>NULL</v>
      </c>
      <c r="AJ193" s="9">
        <v>2</v>
      </c>
      <c r="AK193" s="10" t="str">
        <f t="shared" si="17"/>
        <v>普通</v>
      </c>
      <c r="AL193" s="14" t="str">
        <f ca="1">INDEX(経験値!$A$1:$I$20,MATCH(H193,経験値!$A$1:$A$20,FALSE),MATCH(G193,経験値!$A$1:$I$1,FALSE))</f>
        <v>required_exp_200</v>
      </c>
      <c r="AM193" s="11">
        <f ca="1">VLOOKUP(G193,経験値!$A$27:$B$31,2)</f>
        <v>6400</v>
      </c>
      <c r="AN193" s="21">
        <f ca="1">VLOOKUP(G193,ビット!$G$2:$H$7,2)</f>
        <v>900</v>
      </c>
      <c r="AO193" s="98" t="s">
        <v>178</v>
      </c>
      <c r="AP193" s="97">
        <v>311021</v>
      </c>
      <c r="AQ193" s="77" t="e">
        <f ca="1">VLOOKUP($AP193,OFFSET([1]unit_skills!$A$1,0,0,COUNTA([1]unit_skills!$A:$A),MATCH("name",[1]unit_skills!$1:$1,0)-MATCH($AP$1,[1]unit_skills!$1:$1,0)+1),MATCH("name",[1]unit_skills!$1:$1,0)-MATCH($AP$1,[1]unit_skills!$1:$1,0)+1,FALSE)</f>
        <v>#VALUE!</v>
      </c>
      <c r="AR193" s="77" t="e">
        <f ca="1">VLOOKUP($AP193,OFFSET([1]unit_skills!$A$1,0,0,COUNTA([1]unit_skills!$A:$A),MATCH("comment",[1]unit_skills!$1:$1,0)-MATCH($AP$1,[1]unit_skills!$1:$1,0)+1),MATCH("comment",[1]unit_skills!$1:$1,0)-MATCH($AP$1,[1]unit_skills!$1:$1,0)+1,FALSE)</f>
        <v>#VALUE!</v>
      </c>
      <c r="AS193" s="77" t="e">
        <f ca="1">VLOOKUP($AP193,OFFSET([1]unit_skills!$A$1,0,0,COUNTA([1]unit_skills!$A:$A),MATCH(AS$1,[1]unit_skills!$1:$1,0)-MATCH($AP$1,[1]unit_skills!$1:$1,0)+1),MATCH(AS$1,[1]unit_skills!$1:$1,0)-MATCH($AP$1,[1]unit_skills!$1:$1,0)+1,FALSE)</f>
        <v>#VALUE!</v>
      </c>
      <c r="AT193" s="97">
        <v>191108</v>
      </c>
      <c r="AU193" s="77" t="e">
        <f ca="1">VLOOKUP($AT193,OFFSET([1]crash_skills!$A$1,0,0,COUNTA([1]crash_skills!$A:$A),MATCH("name",[1]crash_skills!$1:$1,0)-MATCH($AT$1,[1]crash_skills!$1:$1,0)+1),MATCH("name",[1]crash_skills!$1:$1,0)-MATCH($AT$1,[1]crash_skills!$1:$1,0)+1,FALSE)</f>
        <v>#VALUE!</v>
      </c>
      <c r="AV193" s="77" t="e">
        <f ca="1">VLOOKUP($AT193,OFFSET([1]crash_skills!$A$1,0,0,COUNTA([1]crash_skills!$A:$A),MATCH("comment",[1]crash_skills!$1:$1,0)-MATCH($AT$1,[1]crash_skills!$1:$1,0)+1),MATCH("comment",[1]crash_skills!$1:$1,0)-MATCH($AT$1,[1]crash_skills!$1:$1,0)+1,FALSE)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93" s="77" t="e">
        <f ca="1">VLOOKUP($AT193,OFFSET([1]crash_skills!$A$1,0,0,COUNTA([1]crash_skills!$A:$A),MATCH(AW$1,[1]crash_skills!$1:$1,0)-MATCH($AT$1,[1]crash_skills!$1:$1,0)+1),MATCH(AW$1,[1]crash_skills!$1:$1,0)-MATCH($AT$1,[1]crash_skills!$1:$1,0)+1,FALSE)</f>
        <v>#VALUE!</v>
      </c>
      <c r="AX193" s="81">
        <f ca="1">VLOOKUP($A193,OFFSET([2]characters!$A$1,0,0,COUNTA([2]characters!$A:$A),MATCH(AX$1,[2]characters!$1:$1,0)-MATCH($A$1,[2]characters!$1:$1,0)+1),MATCH(AX$1,[2]characters!$1:$1,0)-MATCH($A$1,[2]characters!$1:$1,0)+1,FALSE)</f>
        <v>3</v>
      </c>
      <c r="AY193" s="19">
        <v>1</v>
      </c>
      <c r="AZ193" s="19">
        <v>1</v>
      </c>
      <c r="BA193" s="19">
        <v>0</v>
      </c>
      <c r="BB193" s="19">
        <v>1</v>
      </c>
      <c r="BC193" s="14">
        <f ca="1">INDEX('RC6SV'!$A$1:$G$20,MATCH(H193,'RC6SV'!$A$1:$A$20,FALSE),MATCH(G193,'RC6SV'!$A$1:$G$1,FALSE))</f>
        <v>8500</v>
      </c>
      <c r="BD193" s="63">
        <f t="shared" ca="1" si="18"/>
        <v>8500</v>
      </c>
      <c r="BE193" s="14">
        <f t="shared" ca="1" si="19"/>
        <v>6700</v>
      </c>
      <c r="BF193" s="14">
        <f t="shared" ca="1" si="20"/>
        <v>1</v>
      </c>
      <c r="BG193" s="20">
        <f ca="1">IF($BE193&lt;=0,ROUND(BK193*0.5,0), ROUND($BE193*S193*AA193*J193*AY193*0.8*[2]ステータス!$B$2,0))</f>
        <v>2519</v>
      </c>
      <c r="BH193" s="20">
        <f ca="1">IF($BE193&lt;=0,ROUND(BL193*0.5,0), ROUND($BE193*T193*AB193*K193*AZ193*0.8*[2]ステータス!$C$2,0))</f>
        <v>1624</v>
      </c>
      <c r="BI193" s="20">
        <f ca="1">IF($BE193&lt;=0,ROUND(BM193*0.5,0), ROUND($BE193*U193*AC193*L193*BA193*0.8*[2]ステータス!$D$2,0))</f>
        <v>0</v>
      </c>
      <c r="BJ193" s="20">
        <f ca="1">IF($BE193&lt;=0,ROUND(BN193*0.5,0), ROUND($BE193*V193*AD193*M193*BB193*0.8*[2]ステータス!$E$2,0))</f>
        <v>1405</v>
      </c>
      <c r="BK193" s="14">
        <f ca="1">ROUND(BD193*S193*AA193*J193*AY193*[2]ステータス!$B$2,0)</f>
        <v>3995</v>
      </c>
      <c r="BL193" s="14">
        <f ca="1">ROUND(BD193*T193*AB193*K193*AZ193*[2]ステータス!$C$2,0)</f>
        <v>2575</v>
      </c>
      <c r="BM193" s="14">
        <f ca="1">ROUND(BD193*U193*AC193*L193*BA193*[2]ステータス!$D$2,0)</f>
        <v>0</v>
      </c>
      <c r="BN193" s="14">
        <f ca="1">ROUND(BD193*V193*AD193*M193*BB193*[2]ステータス!$E$2,0)</f>
        <v>2228</v>
      </c>
      <c r="BO193" s="13">
        <v>0</v>
      </c>
      <c r="BP193" s="13">
        <v>1</v>
      </c>
      <c r="BQ193" s="13" t="s">
        <v>102</v>
      </c>
      <c r="BR193" s="13">
        <f ca="1">VLOOKUP(H193,ghosts_label!$A$2:$B$19,2,FALSE)</f>
        <v>600</v>
      </c>
    </row>
    <row r="194" spans="1:70" ht="21" customHeight="1" x14ac:dyDescent="0.15">
      <c r="A194" s="14">
        <f t="shared" ref="A194:A257" ca="1" si="22">INDIRECT(ADDRESS(ROW(),COLUMN(),1,TRUE,"[CharacterMasterData.xlsm]characters"))</f>
        <v>193</v>
      </c>
      <c r="B194" s="77" t="str">
        <f ca="1">VLOOKUP($A194,OFFSET([2]characters!$A$1,0,0,COUNTA([2]characters!$A:$A),MATCH(B$1,[2]characters!$1:$1,0)-MATCH($A$1,[2]characters!$1:$1,0)+1),MATCH(B$1,[2]characters!$1:$1,0)-MATCH($A$1,[2]characters!$1:$1,0)+1,FALSE)</f>
        <v>ロビンフッド</v>
      </c>
      <c r="C194" s="77" t="str">
        <f ca="1">VLOOKUP($A194,OFFSET([2]characters!$A$1,0,0,COUNTA([2]characters!$A:$A),MATCH(C$1,[2]characters!$1:$1,0)-MATCH($A$1,[2]characters!$1:$1,0)+1),MATCH(C$1,[2]characters!$1:$1,0)-MATCH($A$1,[2]characters!$1:$1,0)+1,FALSE)</f>
        <v>初期ガチャ</v>
      </c>
      <c r="D194" s="77" t="str">
        <f ca="1">VLOOKUP($A194,OFFSET([2]characters!$A$1,0,0,COUNTA([2]characters!$A:$A),MATCH(D$1,[2]characters!$1:$1,0)-MATCH($A$1,[2]characters!$1:$1,0)+1),MATCH(D$1,[2]characters!$1:$1,0)-MATCH($A$1,[2]characters!$1:$1,0)+1,FALSE)</f>
        <v>守護者</v>
      </c>
      <c r="E194" s="77" t="str">
        <f ca="1">VLOOKUP($A194,OFFSET([2]characters!$A$1,0,0,COUNTA([2]characters!$A:$A),MATCH(E$1,[2]characters!$1:$1,0)-MATCH($A$1,[2]characters!$1:$1,0)+1),MATCH(E$1,[2]characters!$1:$1,0)-MATCH($A$1,[2]characters!$1:$1,0)+1,FALSE)</f>
        <v>可愛い</v>
      </c>
      <c r="F194" s="77" t="str">
        <f ca="1">VLOOKUP($A194,OFFSET([2]characters!$A$1,0,0,COUNTA([2]characters!$A:$A),MATCH(F$1,[2]characters!$1:$1,0)-MATCH($A$1,[2]characters!$1:$1,0)+1),MATCH(F$1,[2]characters!$1:$1,0)-MATCH($A$1,[2]characters!$1:$1,0)+1,FALSE)</f>
        <v>女性</v>
      </c>
      <c r="G194" s="77">
        <f ca="1">VLOOKUP($A194,OFFSET([2]characters!$A$1,0,0,COUNTA([2]characters!$A:$A),MATCH(G$1,[2]characters!$1:$1,0)-MATCH($A$1,[2]characters!$1:$1,0)+1),MATCH(G$1,[2]characters!$1:$1,0)-MATCH($A$1,[2]characters!$1:$1,0)+1,FALSE)</f>
        <v>3</v>
      </c>
      <c r="H194" s="77" t="str">
        <f ca="1">VLOOKUP($A194,OFFSET([2]characters!$A$1,0,0,COUNTA([2]characters!$A:$A),MATCH(H$1,[2]characters!$1:$1,0)-MATCH($A$1,[2]characters!$1:$1,0)+1),MATCH(H$1,[2]characters!$1:$1,0)-MATCH($A$1,[2]characters!$1:$1,0)+1,FALSE)</f>
        <v>PremiumN</v>
      </c>
      <c r="I194" s="77" t="str">
        <f ca="1">VLOOKUP($A194,OFFSET([2]characters!$A$1,0,0,COUNTA([2]characters!$A:$A),MATCH(I$1,[2]characters!$1:$1,0)-MATCH($A$1,[2]characters!$1:$1,0)+1),MATCH(I$1,[2]characters!$1:$1,0)-MATCH($A$1,[2]characters!$1:$1,0)+1,FALSE)</f>
        <v>green</v>
      </c>
      <c r="J194" s="14">
        <f ca="1">VLOOKUP(I194,[2]属性!$A:$E,2,FALSE)</f>
        <v>1.02</v>
      </c>
      <c r="K194" s="14">
        <f ca="1">VLOOKUP(I194,[2]属性!$A:$E,3,FALSE)</f>
        <v>0.98</v>
      </c>
      <c r="L194" s="14">
        <f ca="1">VLOOKUP(I194,[2]属性!$A:$E,4,FALSE)</f>
        <v>1</v>
      </c>
      <c r="M194" s="14">
        <f ca="1">VLOOKUP(I194,[2]属性!$A:$E,5,FALSE)</f>
        <v>1</v>
      </c>
      <c r="N194" s="14">
        <f ca="1">INDEX(コスト!$A$1:$I$20,MATCH(H194,コスト!$A$1:$A$20,FALSE),MATCH(G194,コスト!$A$1:$I$1,FALSE))</f>
        <v>9</v>
      </c>
      <c r="O194" s="14">
        <f ca="1">INDEX(レベル!$A$1:$I$21,MATCH(H194,レベル!$A$1:$A$21,FALSE),MATCH(G194,レベル!$A$1:$I$1,FALSE))</f>
        <v>40</v>
      </c>
      <c r="P194" s="63">
        <f t="shared" ca="1" si="21"/>
        <v>45</v>
      </c>
      <c r="Q194" s="77" t="str">
        <f ca="1">VLOOKUP($A194,OFFSET([2]characters!$A$1,0,0,COUNTA([2]characters!$A:$A),MATCH(Q$1,[2]characters!$1:$1,0)-MATCH($A$1,[2]characters!$1:$1,0)+1),MATCH(Q$1,[2]characters!$1:$1,0)-MATCH($A$1,[2]characters!$1:$1,0)+1,FALSE)</f>
        <v>balance</v>
      </c>
      <c r="R194" s="8" t="str">
        <f ca="1">VLOOKUP(Q194,[2]character_type_i18n!$A:$H,3,FALSE)</f>
        <v>バランスタイプ</v>
      </c>
      <c r="S194" s="14">
        <f ca="1">VLOOKUP(Q194,[2]character_type_i18n!$A:$H,4,FALSE)</f>
        <v>1</v>
      </c>
      <c r="T194" s="14">
        <f ca="1">VLOOKUP(Q194,[2]character_type_i18n!$A:$H,5,FALSE)</f>
        <v>1</v>
      </c>
      <c r="U194" s="14">
        <f ca="1">VLOOKUP(Q194,[2]character_type_i18n!$A:$H,6,FALSE)</f>
        <v>1</v>
      </c>
      <c r="V194" s="14">
        <f ca="1">VLOOKUP(Q194,[2]character_type_i18n!$A:$H,7,FALSE)</f>
        <v>1</v>
      </c>
      <c r="W194" s="77" t="str">
        <f ca="1">VLOOKUP($A194,OFFSET([2]characters!$A$1,0,0,COUNTA([2]characters!$A:$A),MATCH(W$1,[2]characters!$1:$1,0)-MATCH($A$1,[2]characters!$1:$1,0)+1),MATCH(W$1,[2]characters!$1:$1,0)-MATCH($A$1,[2]characters!$1:$1,0)+1,FALSE)</f>
        <v>human</v>
      </c>
      <c r="X194" s="8" t="str">
        <f ca="1">VLOOKUP(W194,[2]character_tribe_i18n!$A:$H,3,FALSE)</f>
        <v>ヒューマン</v>
      </c>
      <c r="Y194" s="77" t="str">
        <f ca="1">VLOOKUP($A194,OFFSET([2]characters!$A$1,0,0,COUNTA([2]characters!$A:$A),MATCH(Y$1,[2]characters!$1:$1,0)-MATCH($A$1,[2]characters!$1:$1,0)+1),MATCH(Y$1,[2]characters!$1:$1,0)-MATCH($A$1,[2]characters!$1:$1,0)+1,FALSE)</f>
        <v>none</v>
      </c>
      <c r="Z194" s="8" t="str">
        <f ca="1">VLOOKUP(Y194,[2]character_tribe_i18n!$A:$H,3,FALSE)</f>
        <v>種族なし</v>
      </c>
      <c r="AA194" s="14">
        <f ca="1">VLOOKUP(W194,[2]character_tribe_i18n!$A:$H,4,FALSE)</f>
        <v>0.94</v>
      </c>
      <c r="AB194" s="14">
        <f ca="1">VLOOKUP(W194,[2]character_tribe_i18n!$A:$H,5,FALSE)</f>
        <v>0.99</v>
      </c>
      <c r="AC194" s="14">
        <f ca="1">VLOOKUP(W194,[2]character_tribe_i18n!$A:$H,6,FALSE)</f>
        <v>1</v>
      </c>
      <c r="AD194" s="14">
        <f ca="1">VLOOKUP(W194,[2]character_tribe_i18n!$A:$H,7,FALSE)</f>
        <v>1.07</v>
      </c>
      <c r="AE194" s="12">
        <v>194</v>
      </c>
      <c r="AF194" s="85" t="str">
        <f ca="1">IF(AE194="NULL","",VLOOKUP($AE194,OFFSET([2]characters!$A$1,0,0,COUNTA([2]characters!$A:$A),MATCH(AF$1,[2]characters!$1:$1,0)-MATCH($A$1,[2]characters!$1:$1,0)+1),MATCH(AF$1,[2]characters!$1:$1,0)-MATCH($A$1,[2]characters!$1:$1,0)+1,FALSE))</f>
        <v>スナイパー ロビンフッド</v>
      </c>
      <c r="AG194" s="8">
        <f t="shared" ref="AG194:AG257" ca="1" si="23">IF(ISNA(MATCH(A194,AE:AE,0)),A194,INDIRECT(ADDRESS(MATCH(A194,AE:AE,0),COLUMN())))</f>
        <v>193</v>
      </c>
      <c r="AH194" s="85" t="str">
        <f ca="1">VLOOKUP($AG194,OFFSET([2]characters!$A$1,0,0,COUNTA([2]characters!$A:$A),MATCH(AH$1,[2]characters!$1:$1,0)-MATCH($A$1,[2]characters!$1:$1,0)+1),MATCH(AH$1,[2]characters!$1:$1,0)-MATCH($A$1,[2]characters!$1:$1,0)+1,FALSE)</f>
        <v>ロビンフッド</v>
      </c>
      <c r="AI194" s="14">
        <f ca="1">IF(AE194="NULL","NULL",VLOOKUP(G194,ビット!$A$2:$B$7,2))</f>
        <v>20000</v>
      </c>
      <c r="AJ194" s="9">
        <v>2</v>
      </c>
      <c r="AK194" s="10" t="str">
        <f t="shared" ref="AK194:AK257" si="24">IF(AJ194=1,"早熟",IF(AJ194=2,"普通",IF(AJ194=3,"晩成","")))</f>
        <v>普通</v>
      </c>
      <c r="AL194" s="14" t="str">
        <f ca="1">INDEX(経験値!$A$1:$I$20,MATCH(H194,経験値!$A$1:$A$20,FALSE),MATCH(G194,経験値!$A$1:$I$1,FALSE))</f>
        <v>required_exp_200</v>
      </c>
      <c r="AM194" s="11">
        <f ca="1">VLOOKUP(G194,経験値!$A$27:$B$31,2)</f>
        <v>1500</v>
      </c>
      <c r="AN194" s="21">
        <f ca="1">VLOOKUP(G194,ビット!$G$2:$H$7,2)</f>
        <v>300</v>
      </c>
      <c r="AO194" s="98" t="s">
        <v>178</v>
      </c>
      <c r="AP194" s="97">
        <v>312010</v>
      </c>
      <c r="AQ194" s="77" t="e">
        <f ca="1">VLOOKUP($AP194,OFFSET([1]unit_skills!$A$1,0,0,COUNTA([1]unit_skills!$A:$A),MATCH("name",[1]unit_skills!$1:$1,0)-MATCH($AP$1,[1]unit_skills!$1:$1,0)+1),MATCH("name",[1]unit_skills!$1:$1,0)-MATCH($AP$1,[1]unit_skills!$1:$1,0)+1,FALSE)</f>
        <v>#VALUE!</v>
      </c>
      <c r="AR194" s="77" t="e">
        <f ca="1">VLOOKUP($AP194,OFFSET([1]unit_skills!$A$1,0,0,COUNTA([1]unit_skills!$A:$A),MATCH("comment",[1]unit_skills!$1:$1,0)-MATCH($AP$1,[1]unit_skills!$1:$1,0)+1),MATCH("comment",[1]unit_skills!$1:$1,0)-MATCH($AP$1,[1]unit_skills!$1:$1,0)+1,FALSE)</f>
        <v>#VALUE!</v>
      </c>
      <c r="AS194" s="77" t="e">
        <f ca="1">VLOOKUP($AP194,OFFSET([1]unit_skills!$A$1,0,0,COUNTA([1]unit_skills!$A:$A),MATCH(AS$1,[1]unit_skills!$1:$1,0)-MATCH($AP$1,[1]unit_skills!$1:$1,0)+1),MATCH(AS$1,[1]unit_skills!$1:$1,0)-MATCH($AP$1,[1]unit_skills!$1:$1,0)+1,FALSE)</f>
        <v>#VALUE!</v>
      </c>
      <c r="AT194" s="97">
        <v>112003</v>
      </c>
      <c r="AU194" s="77" t="e">
        <f ca="1">VLOOKUP($AT194,OFFSET([1]crash_skills!$A$1,0,0,COUNTA([1]crash_skills!$A:$A),MATCH("name",[1]crash_skills!$1:$1,0)-MATCH($AT$1,[1]crash_skills!$1:$1,0)+1),MATCH("name",[1]crash_skills!$1:$1,0)-MATCH($AT$1,[1]crash_skills!$1:$1,0)+1,FALSE)</f>
        <v>#VALUE!</v>
      </c>
      <c r="AV194" s="77" t="e">
        <f ca="1">VLOOKUP($AT194,OFFSET([1]crash_skills!$A$1,0,0,COUNTA([1]crash_skills!$A:$A),MATCH("comment",[1]crash_skills!$1:$1,0)-MATCH($AT$1,[1]crash_skills!$1:$1,0)+1),MATCH("comment",[1]crash_skills!$1:$1,0)-MATCH($AT$1,[1]crash_skills!$1:$1,0)+1,FALSE)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94" s="77" t="e">
        <f ca="1">VLOOKUP($AT194,OFFSET([1]crash_skills!$A$1,0,0,COUNTA([1]crash_skills!$A:$A),MATCH(AW$1,[1]crash_skills!$1:$1,0)-MATCH($AT$1,[1]crash_skills!$1:$1,0)+1),MATCH(AW$1,[1]crash_skills!$1:$1,0)-MATCH($AT$1,[1]crash_skills!$1:$1,0)+1,FALSE)</f>
        <v>#VALUE!</v>
      </c>
      <c r="AX194" s="81">
        <f ca="1">VLOOKUP($A194,OFFSET([2]characters!$A$1,0,0,COUNTA([2]characters!$A:$A),MATCH(AX$1,[2]characters!$1:$1,0)-MATCH($A$1,[2]characters!$1:$1,0)+1),MATCH(AX$1,[2]characters!$1:$1,0)-MATCH($A$1,[2]characters!$1:$1,0)+1,FALSE)</f>
        <v>3</v>
      </c>
      <c r="AY194" s="19">
        <v>1</v>
      </c>
      <c r="AZ194" s="19">
        <v>1</v>
      </c>
      <c r="BA194" s="19">
        <v>0</v>
      </c>
      <c r="BB194" s="19">
        <v>1</v>
      </c>
      <c r="BC194" s="14">
        <f ca="1">INDEX('RC6SV'!$A$1:$G$20,MATCH(H194,'RC6SV'!$A$1:$A$20,FALSE),MATCH(G194,'RC6SV'!$A$1:$G$1,FALSE))</f>
        <v>4900</v>
      </c>
      <c r="BD194" s="63">
        <f t="shared" ref="BD194:BD257" ca="1" si="25">ROUND(BC194*IF(AJ194=1,0.95,IF(AJ194=2,1,IF(AJ194,1.05,0))),0)</f>
        <v>4900</v>
      </c>
      <c r="BE194" s="14">
        <f t="shared" ref="BE194:BE257" ca="1" si="26">ROUND(IFERROR(INDIRECT(ADDRESS(MATCH($A194,$AE:$AE,0),MATCH($BC$1,$1:$1,0))),0),0)</f>
        <v>0</v>
      </c>
      <c r="BF194" s="14">
        <f t="shared" ref="BF194:BF257" ca="1" si="27">ROUND(IFERROR(INDIRECT(ADDRESS(MATCH($A194,$AE:$AE,0),10)),INDIRECT(ADDRESS(MATCH($A194,$A:$A,0),10))),0)</f>
        <v>1</v>
      </c>
      <c r="BG194" s="20">
        <f ca="1">IF($BE194&lt;=0,ROUND(BK194*0.5,0), ROUND($BE194*S194*AA194*J194*AY194*0.8*[2]ステータス!$B$2,0))</f>
        <v>1175</v>
      </c>
      <c r="BH194" s="20">
        <f ca="1">IF($BE194&lt;=0,ROUND(BL194*0.5,0), ROUND($BE194*T194*AB194*K194*AZ194*0.8*[2]ステータス!$C$2,0))</f>
        <v>713</v>
      </c>
      <c r="BI194" s="20">
        <f ca="1">IF($BE194&lt;=0,ROUND(BM194*0.5,0), ROUND($BE194*U194*AC194*L194*BA194*0.8*[2]ステータス!$D$2,0))</f>
        <v>0</v>
      </c>
      <c r="BJ194" s="20">
        <f ca="1">IF($BE194&lt;=0,ROUND(BN194*0.5,0), ROUND($BE194*V194*AD194*M194*BB194*0.8*[2]ステータス!$E$2,0))</f>
        <v>656</v>
      </c>
      <c r="BK194" s="14">
        <f ca="1">ROUND(BD194*S194*AA194*J194*AY194*[2]ステータス!$B$2,0)</f>
        <v>2349</v>
      </c>
      <c r="BL194" s="14">
        <f ca="1">ROUND(BD194*T194*AB194*K194*AZ194*[2]ステータス!$C$2,0)</f>
        <v>1426</v>
      </c>
      <c r="BM194" s="14">
        <f ca="1">ROUND(BD194*U194*AC194*L194*BA194*[2]ステータス!$D$2,0)</f>
        <v>0</v>
      </c>
      <c r="BN194" s="14">
        <f ca="1">ROUND(BD194*V194*AD194*M194*BB194*[2]ステータス!$E$2,0)</f>
        <v>1311</v>
      </c>
      <c r="BO194" s="13">
        <v>0</v>
      </c>
      <c r="BP194" s="13">
        <v>1</v>
      </c>
      <c r="BQ194" s="13" t="s">
        <v>102</v>
      </c>
      <c r="BR194" s="13">
        <f ca="1">VLOOKUP(H194,ghosts_label!$A$2:$B$19,2,FALSE)</f>
        <v>600</v>
      </c>
    </row>
    <row r="195" spans="1:70" ht="21" customHeight="1" x14ac:dyDescent="0.15">
      <c r="A195" s="14">
        <f t="shared" ca="1" si="22"/>
        <v>194</v>
      </c>
      <c r="B195" s="77" t="str">
        <f ca="1">VLOOKUP($A195,OFFSET([2]characters!$A$1,0,0,COUNTA([2]characters!$A:$A),MATCH(B$1,[2]characters!$1:$1,0)-MATCH($A$1,[2]characters!$1:$1,0)+1),MATCH(B$1,[2]characters!$1:$1,0)-MATCH($A$1,[2]characters!$1:$1,0)+1,FALSE)</f>
        <v>スナイパー ロビンフッド</v>
      </c>
      <c r="C195" s="77" t="str">
        <f ca="1">VLOOKUP($A195,OFFSET([2]characters!$A$1,0,0,COUNTA([2]characters!$A:$A),MATCH(C$1,[2]characters!$1:$1,0)-MATCH($A$1,[2]characters!$1:$1,0)+1),MATCH(C$1,[2]characters!$1:$1,0)-MATCH($A$1,[2]characters!$1:$1,0)+1,FALSE)</f>
        <v>初期ガチャ</v>
      </c>
      <c r="D195" s="77" t="str">
        <f ca="1">VLOOKUP($A195,OFFSET([2]characters!$A$1,0,0,COUNTA([2]characters!$A:$A),MATCH(D$1,[2]characters!$1:$1,0)-MATCH($A$1,[2]characters!$1:$1,0)+1),MATCH(D$1,[2]characters!$1:$1,0)-MATCH($A$1,[2]characters!$1:$1,0)+1,FALSE)</f>
        <v>守護者</v>
      </c>
      <c r="E195" s="77" t="str">
        <f ca="1">VLOOKUP($A195,OFFSET([2]characters!$A$1,0,0,COUNTA([2]characters!$A:$A),MATCH(E$1,[2]characters!$1:$1,0)-MATCH($A$1,[2]characters!$1:$1,0)+1),MATCH(E$1,[2]characters!$1:$1,0)-MATCH($A$1,[2]characters!$1:$1,0)+1,FALSE)</f>
        <v>可愛い</v>
      </c>
      <c r="F195" s="77" t="str">
        <f ca="1">VLOOKUP($A195,OFFSET([2]characters!$A$1,0,0,COUNTA([2]characters!$A:$A),MATCH(F$1,[2]characters!$1:$1,0)-MATCH($A$1,[2]characters!$1:$1,0)+1),MATCH(F$1,[2]characters!$1:$1,0)-MATCH($A$1,[2]characters!$1:$1,0)+1,FALSE)</f>
        <v>女性</v>
      </c>
      <c r="G195" s="77">
        <f ca="1">VLOOKUP($A195,OFFSET([2]characters!$A$1,0,0,COUNTA([2]characters!$A:$A),MATCH(G$1,[2]characters!$1:$1,0)-MATCH($A$1,[2]characters!$1:$1,0)+1),MATCH(G$1,[2]characters!$1:$1,0)-MATCH($A$1,[2]characters!$1:$1,0)+1,FALSE)</f>
        <v>4</v>
      </c>
      <c r="H195" s="77" t="str">
        <f ca="1">VLOOKUP($A195,OFFSET([2]characters!$A$1,0,0,COUNTA([2]characters!$A:$A),MATCH(H$1,[2]characters!$1:$1,0)-MATCH($A$1,[2]characters!$1:$1,0)+1),MATCH(H$1,[2]characters!$1:$1,0)-MATCH($A$1,[2]characters!$1:$1,0)+1,FALSE)</f>
        <v>PremiumN</v>
      </c>
      <c r="I195" s="77" t="str">
        <f ca="1">VLOOKUP($A195,OFFSET([2]characters!$A$1,0,0,COUNTA([2]characters!$A:$A),MATCH(I$1,[2]characters!$1:$1,0)-MATCH($A$1,[2]characters!$1:$1,0)+1),MATCH(I$1,[2]characters!$1:$1,0)-MATCH($A$1,[2]characters!$1:$1,0)+1,FALSE)</f>
        <v>green</v>
      </c>
      <c r="J195" s="14">
        <f ca="1">VLOOKUP(I195,[2]属性!$A:$E,2,FALSE)</f>
        <v>1.02</v>
      </c>
      <c r="K195" s="14">
        <f ca="1">VLOOKUP(I195,[2]属性!$A:$E,3,FALSE)</f>
        <v>0.98</v>
      </c>
      <c r="L195" s="14">
        <f ca="1">VLOOKUP(I195,[2]属性!$A:$E,4,FALSE)</f>
        <v>1</v>
      </c>
      <c r="M195" s="14">
        <f ca="1">VLOOKUP(I195,[2]属性!$A:$E,5,FALSE)</f>
        <v>1</v>
      </c>
      <c r="N195" s="14">
        <f ca="1">INDEX(コスト!$A$1:$I$20,MATCH(H195,コスト!$A$1:$A$20,FALSE),MATCH(G195,コスト!$A$1:$I$1,FALSE))</f>
        <v>18</v>
      </c>
      <c r="O195" s="14">
        <f ca="1">INDEX(レベル!$A$1:$I$21,MATCH(H195,レベル!$A$1:$A$21,FALSE),MATCH(G195,レベル!$A$1:$I$1,FALSE))</f>
        <v>60</v>
      </c>
      <c r="P195" s="63">
        <f t="shared" ref="P195:P258" ca="1" si="28">G195*15</f>
        <v>60</v>
      </c>
      <c r="Q195" s="77" t="str">
        <f ca="1">VLOOKUP($A195,OFFSET([2]characters!$A$1,0,0,COUNTA([2]characters!$A:$A),MATCH(Q$1,[2]characters!$1:$1,0)-MATCH($A$1,[2]characters!$1:$1,0)+1),MATCH(Q$1,[2]characters!$1:$1,0)-MATCH($A$1,[2]characters!$1:$1,0)+1,FALSE)</f>
        <v>balance</v>
      </c>
      <c r="R195" s="8" t="str">
        <f ca="1">VLOOKUP(Q195,[2]character_type_i18n!$A:$H,3,FALSE)</f>
        <v>バランスタイプ</v>
      </c>
      <c r="S195" s="14">
        <f ca="1">VLOOKUP(Q195,[2]character_type_i18n!$A:$H,4,FALSE)</f>
        <v>1</v>
      </c>
      <c r="T195" s="14">
        <f ca="1">VLOOKUP(Q195,[2]character_type_i18n!$A:$H,5,FALSE)</f>
        <v>1</v>
      </c>
      <c r="U195" s="14">
        <f ca="1">VLOOKUP(Q195,[2]character_type_i18n!$A:$H,6,FALSE)</f>
        <v>1</v>
      </c>
      <c r="V195" s="14">
        <f ca="1">VLOOKUP(Q195,[2]character_type_i18n!$A:$H,7,FALSE)</f>
        <v>1</v>
      </c>
      <c r="W195" s="77" t="str">
        <f ca="1">VLOOKUP($A195,OFFSET([2]characters!$A$1,0,0,COUNTA([2]characters!$A:$A),MATCH(W$1,[2]characters!$1:$1,0)-MATCH($A$1,[2]characters!$1:$1,0)+1),MATCH(W$1,[2]characters!$1:$1,0)-MATCH($A$1,[2]characters!$1:$1,0)+1,FALSE)</f>
        <v>human</v>
      </c>
      <c r="X195" s="8" t="str">
        <f ca="1">VLOOKUP(W195,[2]character_tribe_i18n!$A:$H,3,FALSE)</f>
        <v>ヒューマン</v>
      </c>
      <c r="Y195" s="77" t="str">
        <f ca="1">VLOOKUP($A195,OFFSET([2]characters!$A$1,0,0,COUNTA([2]characters!$A:$A),MATCH(Y$1,[2]characters!$1:$1,0)-MATCH($A$1,[2]characters!$1:$1,0)+1),MATCH(Y$1,[2]characters!$1:$1,0)-MATCH($A$1,[2]characters!$1:$1,0)+1,FALSE)</f>
        <v>none</v>
      </c>
      <c r="Z195" s="8" t="str">
        <f ca="1">VLOOKUP(Y195,[2]character_tribe_i18n!$A:$H,3,FALSE)</f>
        <v>種族なし</v>
      </c>
      <c r="AA195" s="14">
        <f ca="1">VLOOKUP(W195,[2]character_tribe_i18n!$A:$H,4,FALSE)</f>
        <v>0.94</v>
      </c>
      <c r="AB195" s="14">
        <f ca="1">VLOOKUP(W195,[2]character_tribe_i18n!$A:$H,5,FALSE)</f>
        <v>0.99</v>
      </c>
      <c r="AC195" s="14">
        <f ca="1">VLOOKUP(W195,[2]character_tribe_i18n!$A:$H,6,FALSE)</f>
        <v>1</v>
      </c>
      <c r="AD195" s="14">
        <f ca="1">VLOOKUP(W195,[2]character_tribe_i18n!$A:$H,7,FALSE)</f>
        <v>1.07</v>
      </c>
      <c r="AE195" s="12">
        <v>195</v>
      </c>
      <c r="AF195" s="85" t="str">
        <f ca="1">IF(AE195="NULL","",VLOOKUP($AE195,OFFSET([2]characters!$A$1,0,0,COUNTA([2]characters!$A:$A),MATCH(AF$1,[2]characters!$1:$1,0)-MATCH($A$1,[2]characters!$1:$1,0)+1),MATCH(AF$1,[2]characters!$1:$1,0)-MATCH($A$1,[2]characters!$1:$1,0)+1,FALSE))</f>
        <v>グランドハンター ロビンフッド</v>
      </c>
      <c r="AG195" s="8">
        <f t="shared" ca="1" si="23"/>
        <v>193</v>
      </c>
      <c r="AH195" s="85" t="str">
        <f ca="1">VLOOKUP($AG195,OFFSET([2]characters!$A$1,0,0,COUNTA([2]characters!$A:$A),MATCH(AH$1,[2]characters!$1:$1,0)-MATCH($A$1,[2]characters!$1:$1,0)+1),MATCH(AH$1,[2]characters!$1:$1,0)-MATCH($A$1,[2]characters!$1:$1,0)+1,FALSE)</f>
        <v>ロビンフッド</v>
      </c>
      <c r="AI195" s="14">
        <f ca="1">IF(AE195="NULL","NULL",VLOOKUP(G195,ビット!$A$2:$B$7,2))</f>
        <v>50000</v>
      </c>
      <c r="AJ195" s="9">
        <v>2</v>
      </c>
      <c r="AK195" s="10" t="str">
        <f t="shared" si="24"/>
        <v>普通</v>
      </c>
      <c r="AL195" s="14" t="str">
        <f ca="1">INDEX(経験値!$A$1:$I$20,MATCH(H195,経験値!$A$1:$A$20,FALSE),MATCH(G195,経験値!$A$1:$I$1,FALSE))</f>
        <v>required_exp_200</v>
      </c>
      <c r="AM195" s="11">
        <f ca="1">VLOOKUP(G195,経験値!$A$27:$B$31,2)</f>
        <v>3400</v>
      </c>
      <c r="AN195" s="21">
        <f ca="1">VLOOKUP(G195,ビット!$G$2:$H$7,2)</f>
        <v>600</v>
      </c>
      <c r="AO195" s="98" t="s">
        <v>178</v>
      </c>
      <c r="AP195" s="97">
        <v>312020</v>
      </c>
      <c r="AQ195" s="77" t="e">
        <f ca="1">VLOOKUP($AP195,OFFSET([1]unit_skills!$A$1,0,0,COUNTA([1]unit_skills!$A:$A),MATCH("name",[1]unit_skills!$1:$1,0)-MATCH($AP$1,[1]unit_skills!$1:$1,0)+1),MATCH("name",[1]unit_skills!$1:$1,0)-MATCH($AP$1,[1]unit_skills!$1:$1,0)+1,FALSE)</f>
        <v>#VALUE!</v>
      </c>
      <c r="AR195" s="77" t="e">
        <f ca="1">VLOOKUP($AP195,OFFSET([1]unit_skills!$A$1,0,0,COUNTA([1]unit_skills!$A:$A),MATCH("comment",[1]unit_skills!$1:$1,0)-MATCH($AP$1,[1]unit_skills!$1:$1,0)+1),MATCH("comment",[1]unit_skills!$1:$1,0)-MATCH($AP$1,[1]unit_skills!$1:$1,0)+1,FALSE)</f>
        <v>#VALUE!</v>
      </c>
      <c r="AS195" s="77" t="e">
        <f ca="1">VLOOKUP($AP195,OFFSET([1]unit_skills!$A$1,0,0,COUNTA([1]unit_skills!$A:$A),MATCH(AS$1,[1]unit_skills!$1:$1,0)-MATCH($AP$1,[1]unit_skills!$1:$1,0)+1),MATCH(AS$1,[1]unit_skills!$1:$1,0)-MATCH($AP$1,[1]unit_skills!$1:$1,0)+1,FALSE)</f>
        <v>#VALUE!</v>
      </c>
      <c r="AT195" s="97">
        <v>112003</v>
      </c>
      <c r="AU195" s="77" t="e">
        <f ca="1">VLOOKUP($AT195,OFFSET([1]crash_skills!$A$1,0,0,COUNTA([1]crash_skills!$A:$A),MATCH("name",[1]crash_skills!$1:$1,0)-MATCH($AT$1,[1]crash_skills!$1:$1,0)+1),MATCH("name",[1]crash_skills!$1:$1,0)-MATCH($AT$1,[1]crash_skills!$1:$1,0)+1,FALSE)</f>
        <v>#VALUE!</v>
      </c>
      <c r="AV195" s="77" t="e">
        <f ca="1">VLOOKUP($AT195,OFFSET([1]crash_skills!$A$1,0,0,COUNTA([1]crash_skills!$A:$A),MATCH("comment",[1]crash_skills!$1:$1,0)-MATCH($AT$1,[1]crash_skills!$1:$1,0)+1),MATCH("comment",[1]crash_skills!$1:$1,0)-MATCH($AT$1,[1]crash_skills!$1:$1,0)+1,FALSE)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95" s="77" t="e">
        <f ca="1">VLOOKUP($AT195,OFFSET([1]crash_skills!$A$1,0,0,COUNTA([1]crash_skills!$A:$A),MATCH(AW$1,[1]crash_skills!$1:$1,0)-MATCH($AT$1,[1]crash_skills!$1:$1,0)+1),MATCH(AW$1,[1]crash_skills!$1:$1,0)-MATCH($AT$1,[1]crash_skills!$1:$1,0)+1,FALSE)</f>
        <v>#VALUE!</v>
      </c>
      <c r="AX195" s="81">
        <f ca="1">VLOOKUP($A195,OFFSET([2]characters!$A$1,0,0,COUNTA([2]characters!$A:$A),MATCH(AX$1,[2]characters!$1:$1,0)-MATCH($A$1,[2]characters!$1:$1,0)+1),MATCH(AX$1,[2]characters!$1:$1,0)-MATCH($A$1,[2]characters!$1:$1,0)+1,FALSE)</f>
        <v>3</v>
      </c>
      <c r="AY195" s="19">
        <v>1</v>
      </c>
      <c r="AZ195" s="19">
        <v>1</v>
      </c>
      <c r="BA195" s="19">
        <v>0</v>
      </c>
      <c r="BB195" s="19">
        <v>1</v>
      </c>
      <c r="BC195" s="14">
        <f ca="1">INDEX('RC6SV'!$A$1:$G$20,MATCH(H195,'RC6SV'!$A$1:$A$20,FALSE),MATCH(G195,'RC6SV'!$A$1:$G$1,FALSE))</f>
        <v>6700</v>
      </c>
      <c r="BD195" s="63">
        <f t="shared" ca="1" si="25"/>
        <v>6700</v>
      </c>
      <c r="BE195" s="14">
        <f t="shared" ca="1" si="26"/>
        <v>4900</v>
      </c>
      <c r="BF195" s="14">
        <f t="shared" ca="1" si="27"/>
        <v>1</v>
      </c>
      <c r="BG195" s="20">
        <f ca="1">IF($BE195&lt;=0,ROUND(BK195*0.5,0), ROUND($BE195*S195*AA195*J195*AY195*0.8*[2]ステータス!$B$2,0))</f>
        <v>1879</v>
      </c>
      <c r="BH195" s="20">
        <f ca="1">IF($BE195&lt;=0,ROUND(BL195*0.5,0), ROUND($BE195*T195*AB195*K195*AZ195*0.8*[2]ステータス!$C$2,0))</f>
        <v>1141</v>
      </c>
      <c r="BI195" s="20">
        <f ca="1">IF($BE195&lt;=0,ROUND(BM195*0.5,0), ROUND($BE195*U195*AC195*L195*BA195*0.8*[2]ステータス!$D$2,0))</f>
        <v>0</v>
      </c>
      <c r="BJ195" s="20">
        <f ca="1">IF($BE195&lt;=0,ROUND(BN195*0.5,0), ROUND($BE195*V195*AD195*M195*BB195*0.8*[2]ステータス!$E$2,0))</f>
        <v>1049</v>
      </c>
      <c r="BK195" s="14">
        <f ca="1">ROUND(BD195*S195*AA195*J195*AY195*[2]ステータス!$B$2,0)</f>
        <v>3212</v>
      </c>
      <c r="BL195" s="14">
        <f ca="1">ROUND(BD195*T195*AB195*K195*AZ195*[2]ステータス!$C$2,0)</f>
        <v>1950</v>
      </c>
      <c r="BM195" s="14">
        <f ca="1">ROUND(BD195*U195*AC195*L195*BA195*[2]ステータス!$D$2,0)</f>
        <v>0</v>
      </c>
      <c r="BN195" s="14">
        <f ca="1">ROUND(BD195*V195*AD195*M195*BB195*[2]ステータス!$E$2,0)</f>
        <v>1792</v>
      </c>
      <c r="BO195" s="13">
        <v>0</v>
      </c>
      <c r="BP195" s="13">
        <v>1</v>
      </c>
      <c r="BQ195" s="13" t="s">
        <v>102</v>
      </c>
      <c r="BR195" s="13">
        <f ca="1">VLOOKUP(H195,ghosts_label!$A$2:$B$19,2,FALSE)</f>
        <v>600</v>
      </c>
    </row>
    <row r="196" spans="1:70" ht="21" customHeight="1" x14ac:dyDescent="0.15">
      <c r="A196" s="14">
        <f t="shared" ca="1" si="22"/>
        <v>195</v>
      </c>
      <c r="B196" s="77" t="str">
        <f ca="1">VLOOKUP($A196,OFFSET([2]characters!$A$1,0,0,COUNTA([2]characters!$A:$A),MATCH(B$1,[2]characters!$1:$1,0)-MATCH($A$1,[2]characters!$1:$1,0)+1),MATCH(B$1,[2]characters!$1:$1,0)-MATCH($A$1,[2]characters!$1:$1,0)+1,FALSE)</f>
        <v>グランドハンター ロビンフッド</v>
      </c>
      <c r="C196" s="77" t="str">
        <f ca="1">VLOOKUP($A196,OFFSET([2]characters!$A$1,0,0,COUNTA([2]characters!$A:$A),MATCH(C$1,[2]characters!$1:$1,0)-MATCH($A$1,[2]characters!$1:$1,0)+1),MATCH(C$1,[2]characters!$1:$1,0)-MATCH($A$1,[2]characters!$1:$1,0)+1,FALSE)</f>
        <v>初期ガチャ</v>
      </c>
      <c r="D196" s="77" t="str">
        <f ca="1">VLOOKUP($A196,OFFSET([2]characters!$A$1,0,0,COUNTA([2]characters!$A:$A),MATCH(D$1,[2]characters!$1:$1,0)-MATCH($A$1,[2]characters!$1:$1,0)+1),MATCH(D$1,[2]characters!$1:$1,0)-MATCH($A$1,[2]characters!$1:$1,0)+1,FALSE)</f>
        <v>守護者</v>
      </c>
      <c r="E196" s="77" t="str">
        <f ca="1">VLOOKUP($A196,OFFSET([2]characters!$A$1,0,0,COUNTA([2]characters!$A:$A),MATCH(E$1,[2]characters!$1:$1,0)-MATCH($A$1,[2]characters!$1:$1,0)+1),MATCH(E$1,[2]characters!$1:$1,0)-MATCH($A$1,[2]characters!$1:$1,0)+1,FALSE)</f>
        <v>可愛い</v>
      </c>
      <c r="F196" s="77" t="str">
        <f ca="1">VLOOKUP($A196,OFFSET([2]characters!$A$1,0,0,COUNTA([2]characters!$A:$A),MATCH(F$1,[2]characters!$1:$1,0)-MATCH($A$1,[2]characters!$1:$1,0)+1),MATCH(F$1,[2]characters!$1:$1,0)-MATCH($A$1,[2]characters!$1:$1,0)+1,FALSE)</f>
        <v>女性</v>
      </c>
      <c r="G196" s="77">
        <f ca="1">VLOOKUP($A196,OFFSET([2]characters!$A$1,0,0,COUNTA([2]characters!$A:$A),MATCH(G$1,[2]characters!$1:$1,0)-MATCH($A$1,[2]characters!$1:$1,0)+1),MATCH(G$1,[2]characters!$1:$1,0)-MATCH($A$1,[2]characters!$1:$1,0)+1,FALSE)</f>
        <v>5</v>
      </c>
      <c r="H196" s="77" t="str">
        <f ca="1">VLOOKUP($A196,OFFSET([2]characters!$A$1,0,0,COUNTA([2]characters!$A:$A),MATCH(H$1,[2]characters!$1:$1,0)-MATCH($A$1,[2]characters!$1:$1,0)+1),MATCH(H$1,[2]characters!$1:$1,0)-MATCH($A$1,[2]characters!$1:$1,0)+1,FALSE)</f>
        <v>PremiumN</v>
      </c>
      <c r="I196" s="77" t="str">
        <f ca="1">VLOOKUP($A196,OFFSET([2]characters!$A$1,0,0,COUNTA([2]characters!$A:$A),MATCH(I$1,[2]characters!$1:$1,0)-MATCH($A$1,[2]characters!$1:$1,0)+1),MATCH(I$1,[2]characters!$1:$1,0)-MATCH($A$1,[2]characters!$1:$1,0)+1,FALSE)</f>
        <v>green</v>
      </c>
      <c r="J196" s="14">
        <f ca="1">VLOOKUP(I196,[2]属性!$A:$E,2,FALSE)</f>
        <v>1.02</v>
      </c>
      <c r="K196" s="14">
        <f ca="1">VLOOKUP(I196,[2]属性!$A:$E,3,FALSE)</f>
        <v>0.98</v>
      </c>
      <c r="L196" s="14">
        <f ca="1">VLOOKUP(I196,[2]属性!$A:$E,4,FALSE)</f>
        <v>1</v>
      </c>
      <c r="M196" s="14">
        <f ca="1">VLOOKUP(I196,[2]属性!$A:$E,5,FALSE)</f>
        <v>1</v>
      </c>
      <c r="N196" s="14">
        <f ca="1">INDEX(コスト!$A$1:$I$20,MATCH(H196,コスト!$A$1:$A$20,FALSE),MATCH(G196,コスト!$A$1:$I$1,FALSE))</f>
        <v>28</v>
      </c>
      <c r="O196" s="14">
        <f ca="1">INDEX(レベル!$A$1:$I$21,MATCH(H196,レベル!$A$1:$A$21,FALSE),MATCH(G196,レベル!$A$1:$I$1,FALSE))</f>
        <v>80</v>
      </c>
      <c r="P196" s="63">
        <f t="shared" ca="1" si="28"/>
        <v>75</v>
      </c>
      <c r="Q196" s="77" t="str">
        <f ca="1">VLOOKUP($A196,OFFSET([2]characters!$A$1,0,0,COUNTA([2]characters!$A:$A),MATCH(Q$1,[2]characters!$1:$1,0)-MATCH($A$1,[2]characters!$1:$1,0)+1),MATCH(Q$1,[2]characters!$1:$1,0)-MATCH($A$1,[2]characters!$1:$1,0)+1,FALSE)</f>
        <v>balance</v>
      </c>
      <c r="R196" s="8" t="str">
        <f ca="1">VLOOKUP(Q196,[2]character_type_i18n!$A:$H,3,FALSE)</f>
        <v>バランスタイプ</v>
      </c>
      <c r="S196" s="14">
        <f ca="1">VLOOKUP(Q196,[2]character_type_i18n!$A:$H,4,FALSE)</f>
        <v>1</v>
      </c>
      <c r="T196" s="14">
        <f ca="1">VLOOKUP(Q196,[2]character_type_i18n!$A:$H,5,FALSE)</f>
        <v>1</v>
      </c>
      <c r="U196" s="14">
        <f ca="1">VLOOKUP(Q196,[2]character_type_i18n!$A:$H,6,FALSE)</f>
        <v>1</v>
      </c>
      <c r="V196" s="14">
        <f ca="1">VLOOKUP(Q196,[2]character_type_i18n!$A:$H,7,FALSE)</f>
        <v>1</v>
      </c>
      <c r="W196" s="77" t="str">
        <f ca="1">VLOOKUP($A196,OFFSET([2]characters!$A$1,0,0,COUNTA([2]characters!$A:$A),MATCH(W$1,[2]characters!$1:$1,0)-MATCH($A$1,[2]characters!$1:$1,0)+1),MATCH(W$1,[2]characters!$1:$1,0)-MATCH($A$1,[2]characters!$1:$1,0)+1,FALSE)</f>
        <v>human</v>
      </c>
      <c r="X196" s="8" t="str">
        <f ca="1">VLOOKUP(W196,[2]character_tribe_i18n!$A:$H,3,FALSE)</f>
        <v>ヒューマン</v>
      </c>
      <c r="Y196" s="77" t="str">
        <f ca="1">VLOOKUP($A196,OFFSET([2]characters!$A$1,0,0,COUNTA([2]characters!$A:$A),MATCH(Y$1,[2]characters!$1:$1,0)-MATCH($A$1,[2]characters!$1:$1,0)+1),MATCH(Y$1,[2]characters!$1:$1,0)-MATCH($A$1,[2]characters!$1:$1,0)+1,FALSE)</f>
        <v>none</v>
      </c>
      <c r="Z196" s="8" t="str">
        <f ca="1">VLOOKUP(Y196,[2]character_tribe_i18n!$A:$H,3,FALSE)</f>
        <v>種族なし</v>
      </c>
      <c r="AA196" s="14">
        <f ca="1">VLOOKUP(W196,[2]character_tribe_i18n!$A:$H,4,FALSE)</f>
        <v>0.94</v>
      </c>
      <c r="AB196" s="14">
        <f ca="1">VLOOKUP(W196,[2]character_tribe_i18n!$A:$H,5,FALSE)</f>
        <v>0.99</v>
      </c>
      <c r="AC196" s="14">
        <f ca="1">VLOOKUP(W196,[2]character_tribe_i18n!$A:$H,6,FALSE)</f>
        <v>1</v>
      </c>
      <c r="AD196" s="14">
        <f ca="1">VLOOKUP(W196,[2]character_tribe_i18n!$A:$H,7,FALSE)</f>
        <v>1.07</v>
      </c>
      <c r="AE196" s="12" t="s">
        <v>102</v>
      </c>
      <c r="AF196" s="85" t="str">
        <f ca="1">IF(AE196="NULL","",VLOOKUP($AE196,OFFSET([2]characters!$A$1,0,0,COUNTA([2]characters!$A:$A),MATCH(AF$1,[2]characters!$1:$1,0)-MATCH($A$1,[2]characters!$1:$1,0)+1),MATCH(AF$1,[2]characters!$1:$1,0)-MATCH($A$1,[2]characters!$1:$1,0)+1,FALSE))</f>
        <v/>
      </c>
      <c r="AG196" s="8">
        <f t="shared" ca="1" si="23"/>
        <v>193</v>
      </c>
      <c r="AH196" s="85" t="str">
        <f ca="1">VLOOKUP($AG196,OFFSET([2]characters!$A$1,0,0,COUNTA([2]characters!$A:$A),MATCH(AH$1,[2]characters!$1:$1,0)-MATCH($A$1,[2]characters!$1:$1,0)+1),MATCH(AH$1,[2]characters!$1:$1,0)-MATCH($A$1,[2]characters!$1:$1,0)+1,FALSE)</f>
        <v>ロビンフッド</v>
      </c>
      <c r="AI196" s="14" t="str">
        <f>IF(AE196="NULL","NULL",VLOOKUP(G196,ビット!$A$2:$B$7,2))</f>
        <v>NULL</v>
      </c>
      <c r="AJ196" s="9">
        <v>2</v>
      </c>
      <c r="AK196" s="10" t="str">
        <f t="shared" si="24"/>
        <v>普通</v>
      </c>
      <c r="AL196" s="14" t="str">
        <f ca="1">INDEX(経験値!$A$1:$I$20,MATCH(H196,経験値!$A$1:$A$20,FALSE),MATCH(G196,経験値!$A$1:$I$1,FALSE))</f>
        <v>required_exp_200</v>
      </c>
      <c r="AM196" s="11">
        <f ca="1">VLOOKUP(G196,経験値!$A$27:$B$31,2)</f>
        <v>6400</v>
      </c>
      <c r="AN196" s="21">
        <f ca="1">VLOOKUP(G196,ビット!$G$2:$H$7,2)</f>
        <v>900</v>
      </c>
      <c r="AO196" s="98" t="s">
        <v>178</v>
      </c>
      <c r="AP196" s="97">
        <v>312021</v>
      </c>
      <c r="AQ196" s="77" t="e">
        <f ca="1">VLOOKUP($AP196,OFFSET([1]unit_skills!$A$1,0,0,COUNTA([1]unit_skills!$A:$A),MATCH("name",[1]unit_skills!$1:$1,0)-MATCH($AP$1,[1]unit_skills!$1:$1,0)+1),MATCH("name",[1]unit_skills!$1:$1,0)-MATCH($AP$1,[1]unit_skills!$1:$1,0)+1,FALSE)</f>
        <v>#VALUE!</v>
      </c>
      <c r="AR196" s="77" t="e">
        <f ca="1">VLOOKUP($AP196,OFFSET([1]unit_skills!$A$1,0,0,COUNTA([1]unit_skills!$A:$A),MATCH("comment",[1]unit_skills!$1:$1,0)-MATCH($AP$1,[1]unit_skills!$1:$1,0)+1),MATCH("comment",[1]unit_skills!$1:$1,0)-MATCH($AP$1,[1]unit_skills!$1:$1,0)+1,FALSE)</f>
        <v>#VALUE!</v>
      </c>
      <c r="AS196" s="77" t="e">
        <f ca="1">VLOOKUP($AP196,OFFSET([1]unit_skills!$A$1,0,0,COUNTA([1]unit_skills!$A:$A),MATCH(AS$1,[1]unit_skills!$1:$1,0)-MATCH($AP$1,[1]unit_skills!$1:$1,0)+1),MATCH(AS$1,[1]unit_skills!$1:$1,0)-MATCH($AP$1,[1]unit_skills!$1:$1,0)+1,FALSE)</f>
        <v>#VALUE!</v>
      </c>
      <c r="AT196" s="97">
        <v>112011</v>
      </c>
      <c r="AU196" s="77" t="e">
        <f ca="1">VLOOKUP($AT196,OFFSET([1]crash_skills!$A$1,0,0,COUNTA([1]crash_skills!$A:$A),MATCH("name",[1]crash_skills!$1:$1,0)-MATCH($AT$1,[1]crash_skills!$1:$1,0)+1),MATCH("name",[1]crash_skills!$1:$1,0)-MATCH($AT$1,[1]crash_skills!$1:$1,0)+1,FALSE)</f>
        <v>#VALUE!</v>
      </c>
      <c r="AV196" s="77" t="e">
        <f ca="1">VLOOKUP($AT196,OFFSET([1]crash_skills!$A$1,0,0,COUNTA([1]crash_skills!$A:$A),MATCH("comment",[1]crash_skills!$1:$1,0)-MATCH($AT$1,[1]crash_skills!$1:$1,0)+1),MATCH("comment",[1]crash_skills!$1:$1,0)-MATCH($AT$1,[1]crash_skills!$1:$1,0)+1,FALSE)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96" s="77" t="e">
        <f ca="1">VLOOKUP($AT196,OFFSET([1]crash_skills!$A$1,0,0,COUNTA([1]crash_skills!$A:$A),MATCH(AW$1,[1]crash_skills!$1:$1,0)-MATCH($AT$1,[1]crash_skills!$1:$1,0)+1),MATCH(AW$1,[1]crash_skills!$1:$1,0)-MATCH($AT$1,[1]crash_skills!$1:$1,0)+1,FALSE)</f>
        <v>#VALUE!</v>
      </c>
      <c r="AX196" s="81">
        <f ca="1">VLOOKUP($A196,OFFSET([2]characters!$A$1,0,0,COUNTA([2]characters!$A:$A),MATCH(AX$1,[2]characters!$1:$1,0)-MATCH($A$1,[2]characters!$1:$1,0)+1),MATCH(AX$1,[2]characters!$1:$1,0)-MATCH($A$1,[2]characters!$1:$1,0)+1,FALSE)</f>
        <v>3</v>
      </c>
      <c r="AY196" s="19">
        <v>1</v>
      </c>
      <c r="AZ196" s="19">
        <v>1</v>
      </c>
      <c r="BA196" s="19">
        <v>0</v>
      </c>
      <c r="BB196" s="19">
        <v>1</v>
      </c>
      <c r="BC196" s="14">
        <f ca="1">INDEX('RC6SV'!$A$1:$G$20,MATCH(H196,'RC6SV'!$A$1:$A$20,FALSE),MATCH(G196,'RC6SV'!$A$1:$G$1,FALSE))</f>
        <v>8500</v>
      </c>
      <c r="BD196" s="63">
        <f t="shared" ca="1" si="25"/>
        <v>8500</v>
      </c>
      <c r="BE196" s="14">
        <f t="shared" ca="1" si="26"/>
        <v>6700</v>
      </c>
      <c r="BF196" s="14">
        <f t="shared" ca="1" si="27"/>
        <v>1</v>
      </c>
      <c r="BG196" s="20">
        <f ca="1">IF($BE196&lt;=0,ROUND(BK196*0.5,0), ROUND($BE196*S196*AA196*J196*AY196*0.8*[2]ステータス!$B$2,0))</f>
        <v>2570</v>
      </c>
      <c r="BH196" s="20">
        <f ca="1">IF($BE196&lt;=0,ROUND(BL196*0.5,0), ROUND($BE196*T196*AB196*K196*AZ196*0.8*[2]ステータス!$C$2,0))</f>
        <v>1560</v>
      </c>
      <c r="BI196" s="20">
        <f ca="1">IF($BE196&lt;=0,ROUND(BM196*0.5,0), ROUND($BE196*U196*AC196*L196*BA196*0.8*[2]ステータス!$D$2,0))</f>
        <v>0</v>
      </c>
      <c r="BJ196" s="20">
        <f ca="1">IF($BE196&lt;=0,ROUND(BN196*0.5,0), ROUND($BE196*V196*AD196*M196*BB196*0.8*[2]ステータス!$E$2,0))</f>
        <v>1434</v>
      </c>
      <c r="BK196" s="14">
        <f ca="1">ROUND(BD196*S196*AA196*J196*AY196*[2]ステータス!$B$2,0)</f>
        <v>4075</v>
      </c>
      <c r="BL196" s="14">
        <f ca="1">ROUND(BD196*T196*AB196*K196*AZ196*[2]ステータス!$C$2,0)</f>
        <v>2474</v>
      </c>
      <c r="BM196" s="14">
        <f ca="1">ROUND(BD196*U196*AC196*L196*BA196*[2]ステータス!$D$2,0)</f>
        <v>0</v>
      </c>
      <c r="BN196" s="14">
        <f ca="1">ROUND(BD196*V196*AD196*M196*BB196*[2]ステータス!$E$2,0)</f>
        <v>2274</v>
      </c>
      <c r="BO196" s="13">
        <v>0</v>
      </c>
      <c r="BP196" s="13">
        <v>1</v>
      </c>
      <c r="BQ196" s="13" t="s">
        <v>102</v>
      </c>
      <c r="BR196" s="13">
        <f ca="1">VLOOKUP(H196,ghosts_label!$A$2:$B$19,2,FALSE)</f>
        <v>600</v>
      </c>
    </row>
    <row r="197" spans="1:70" ht="21" customHeight="1" x14ac:dyDescent="0.15">
      <c r="A197" s="14">
        <f t="shared" ca="1" si="22"/>
        <v>196</v>
      </c>
      <c r="B197" s="77" t="str">
        <f ca="1">VLOOKUP($A197,OFFSET([2]characters!$A$1,0,0,COUNTA([2]characters!$A:$A),MATCH(B$1,[2]characters!$1:$1,0)-MATCH($A$1,[2]characters!$1:$1,0)+1),MATCH(B$1,[2]characters!$1:$1,0)-MATCH($A$1,[2]characters!$1:$1,0)+1,FALSE)</f>
        <v>アキレス</v>
      </c>
      <c r="C197" s="77" t="str">
        <f ca="1">VLOOKUP($A197,OFFSET([2]characters!$A$1,0,0,COUNTA([2]characters!$A:$A),MATCH(C$1,[2]characters!$1:$1,0)-MATCH($A$1,[2]characters!$1:$1,0)+1),MATCH(C$1,[2]characters!$1:$1,0)-MATCH($A$1,[2]characters!$1:$1,0)+1,FALSE)</f>
        <v>初期ガチャ</v>
      </c>
      <c r="D197" s="77" t="str">
        <f ca="1">VLOOKUP($A197,OFFSET([2]characters!$A$1,0,0,COUNTA([2]characters!$A:$A),MATCH(D$1,[2]characters!$1:$1,0)-MATCH($A$1,[2]characters!$1:$1,0)+1),MATCH(D$1,[2]characters!$1:$1,0)-MATCH($A$1,[2]characters!$1:$1,0)+1,FALSE)</f>
        <v>守護者</v>
      </c>
      <c r="E197" s="77" t="str">
        <f ca="1">VLOOKUP($A197,OFFSET([2]characters!$A$1,0,0,COUNTA([2]characters!$A:$A),MATCH(E$1,[2]characters!$1:$1,0)-MATCH($A$1,[2]characters!$1:$1,0)+1),MATCH(E$1,[2]characters!$1:$1,0)-MATCH($A$1,[2]characters!$1:$1,0)+1,FALSE)</f>
        <v>美しい</v>
      </c>
      <c r="F197" s="77" t="str">
        <f ca="1">VLOOKUP($A197,OFFSET([2]characters!$A$1,0,0,COUNTA([2]characters!$A:$A),MATCH(F$1,[2]characters!$1:$1,0)-MATCH($A$1,[2]characters!$1:$1,0)+1),MATCH(F$1,[2]characters!$1:$1,0)-MATCH($A$1,[2]characters!$1:$1,0)+1,FALSE)</f>
        <v>女性</v>
      </c>
      <c r="G197" s="77">
        <f ca="1">VLOOKUP($A197,OFFSET([2]characters!$A$1,0,0,COUNTA([2]characters!$A:$A),MATCH(G$1,[2]characters!$1:$1,0)-MATCH($A$1,[2]characters!$1:$1,0)+1),MATCH(G$1,[2]characters!$1:$1,0)-MATCH($A$1,[2]characters!$1:$1,0)+1,FALSE)</f>
        <v>3</v>
      </c>
      <c r="H197" s="77" t="str">
        <f ca="1">VLOOKUP($A197,OFFSET([2]characters!$A$1,0,0,COUNTA([2]characters!$A:$A),MATCH(H$1,[2]characters!$1:$1,0)-MATCH($A$1,[2]characters!$1:$1,0)+1),MATCH(H$1,[2]characters!$1:$1,0)-MATCH($A$1,[2]characters!$1:$1,0)+1,FALSE)</f>
        <v>PremiumN</v>
      </c>
      <c r="I197" s="77" t="str">
        <f ca="1">VLOOKUP($A197,OFFSET([2]characters!$A$1,0,0,COUNTA([2]characters!$A:$A),MATCH(I$1,[2]characters!$1:$1,0)-MATCH($A$1,[2]characters!$1:$1,0)+1),MATCH(I$1,[2]characters!$1:$1,0)-MATCH($A$1,[2]characters!$1:$1,0)+1,FALSE)</f>
        <v>yellow</v>
      </c>
      <c r="J197" s="14">
        <f ca="1">VLOOKUP(I197,[2]属性!$A:$E,2,FALSE)</f>
        <v>0.98</v>
      </c>
      <c r="K197" s="14">
        <f ca="1">VLOOKUP(I197,[2]属性!$A:$E,3,FALSE)</f>
        <v>1.01</v>
      </c>
      <c r="L197" s="14">
        <f ca="1">VLOOKUP(I197,[2]属性!$A:$E,4,FALSE)</f>
        <v>1</v>
      </c>
      <c r="M197" s="14">
        <f ca="1">VLOOKUP(I197,[2]属性!$A:$E,5,FALSE)</f>
        <v>1.01</v>
      </c>
      <c r="N197" s="14">
        <f ca="1">INDEX(コスト!$A$1:$I$20,MATCH(H197,コスト!$A$1:$A$20,FALSE),MATCH(G197,コスト!$A$1:$I$1,FALSE))</f>
        <v>9</v>
      </c>
      <c r="O197" s="14">
        <f ca="1">INDEX(レベル!$A$1:$I$21,MATCH(H197,レベル!$A$1:$A$21,FALSE),MATCH(G197,レベル!$A$1:$I$1,FALSE))</f>
        <v>40</v>
      </c>
      <c r="P197" s="63">
        <f t="shared" ca="1" si="28"/>
        <v>45</v>
      </c>
      <c r="Q197" s="77" t="str">
        <f ca="1">VLOOKUP($A197,OFFSET([2]characters!$A$1,0,0,COUNTA([2]characters!$A:$A),MATCH(Q$1,[2]characters!$1:$1,0)-MATCH($A$1,[2]characters!$1:$1,0)+1),MATCH(Q$1,[2]characters!$1:$1,0)-MATCH($A$1,[2]characters!$1:$1,0)+1,FALSE)</f>
        <v>balance</v>
      </c>
      <c r="R197" s="8" t="str">
        <f ca="1">VLOOKUP(Q197,[2]character_type_i18n!$A:$H,3,FALSE)</f>
        <v>バランスタイプ</v>
      </c>
      <c r="S197" s="14">
        <f ca="1">VLOOKUP(Q197,[2]character_type_i18n!$A:$H,4,FALSE)</f>
        <v>1</v>
      </c>
      <c r="T197" s="14">
        <f ca="1">VLOOKUP(Q197,[2]character_type_i18n!$A:$H,5,FALSE)</f>
        <v>1</v>
      </c>
      <c r="U197" s="14">
        <f ca="1">VLOOKUP(Q197,[2]character_type_i18n!$A:$H,6,FALSE)</f>
        <v>1</v>
      </c>
      <c r="V197" s="14">
        <f ca="1">VLOOKUP(Q197,[2]character_type_i18n!$A:$H,7,FALSE)</f>
        <v>1</v>
      </c>
      <c r="W197" s="77" t="str">
        <f ca="1">VLOOKUP($A197,OFFSET([2]characters!$A$1,0,0,COUNTA([2]characters!$A:$A),MATCH(W$1,[2]characters!$1:$1,0)-MATCH($A$1,[2]characters!$1:$1,0)+1),MATCH(W$1,[2]characters!$1:$1,0)-MATCH($A$1,[2]characters!$1:$1,0)+1,FALSE)</f>
        <v>human</v>
      </c>
      <c r="X197" s="8" t="str">
        <f ca="1">VLOOKUP(W197,[2]character_tribe_i18n!$A:$H,3,FALSE)</f>
        <v>ヒューマン</v>
      </c>
      <c r="Y197" s="77" t="str">
        <f ca="1">VLOOKUP($A197,OFFSET([2]characters!$A$1,0,0,COUNTA([2]characters!$A:$A),MATCH(Y$1,[2]characters!$1:$1,0)-MATCH($A$1,[2]characters!$1:$1,0)+1),MATCH(Y$1,[2]characters!$1:$1,0)-MATCH($A$1,[2]characters!$1:$1,0)+1,FALSE)</f>
        <v>none</v>
      </c>
      <c r="Z197" s="8" t="str">
        <f ca="1">VLOOKUP(Y197,[2]character_tribe_i18n!$A:$H,3,FALSE)</f>
        <v>種族なし</v>
      </c>
      <c r="AA197" s="14">
        <f ca="1">VLOOKUP(W197,[2]character_tribe_i18n!$A:$H,4,FALSE)</f>
        <v>0.94</v>
      </c>
      <c r="AB197" s="14">
        <f ca="1">VLOOKUP(W197,[2]character_tribe_i18n!$A:$H,5,FALSE)</f>
        <v>0.99</v>
      </c>
      <c r="AC197" s="14">
        <f ca="1">VLOOKUP(W197,[2]character_tribe_i18n!$A:$H,6,FALSE)</f>
        <v>1</v>
      </c>
      <c r="AD197" s="14">
        <f ca="1">VLOOKUP(W197,[2]character_tribe_i18n!$A:$H,7,FALSE)</f>
        <v>1.07</v>
      </c>
      <c r="AE197" s="12">
        <v>197</v>
      </c>
      <c r="AF197" s="85" t="str">
        <f ca="1">IF(AE197="NULL","",VLOOKUP($AE197,OFFSET([2]characters!$A$1,0,0,COUNTA([2]characters!$A:$A),MATCH(AF$1,[2]characters!$1:$1,0)-MATCH($A$1,[2]characters!$1:$1,0)+1),MATCH(AF$1,[2]characters!$1:$1,0)-MATCH($A$1,[2]characters!$1:$1,0)+1,FALSE))</f>
        <v>鉄腕 アキレス</v>
      </c>
      <c r="AG197" s="8">
        <f t="shared" ca="1" si="23"/>
        <v>196</v>
      </c>
      <c r="AH197" s="85" t="str">
        <f ca="1">VLOOKUP($AG197,OFFSET([2]characters!$A$1,0,0,COUNTA([2]characters!$A:$A),MATCH(AH$1,[2]characters!$1:$1,0)-MATCH($A$1,[2]characters!$1:$1,0)+1),MATCH(AH$1,[2]characters!$1:$1,0)-MATCH($A$1,[2]characters!$1:$1,0)+1,FALSE)</f>
        <v>アキレス</v>
      </c>
      <c r="AI197" s="14">
        <f ca="1">IF(AE197="NULL","NULL",VLOOKUP(G197,ビット!$A$2:$B$7,2))</f>
        <v>20000</v>
      </c>
      <c r="AJ197" s="9">
        <v>2</v>
      </c>
      <c r="AK197" s="10" t="str">
        <f t="shared" si="24"/>
        <v>普通</v>
      </c>
      <c r="AL197" s="14" t="str">
        <f ca="1">INDEX(経験値!$A$1:$I$20,MATCH(H197,経験値!$A$1:$A$20,FALSE),MATCH(G197,経験値!$A$1:$I$1,FALSE))</f>
        <v>required_exp_200</v>
      </c>
      <c r="AM197" s="11">
        <f ca="1">VLOOKUP(G197,経験値!$A$27:$B$31,2)</f>
        <v>1500</v>
      </c>
      <c r="AN197" s="21">
        <f ca="1">VLOOKUP(G197,ビット!$G$2:$H$7,2)</f>
        <v>300</v>
      </c>
      <c r="AO197" s="98" t="s">
        <v>178</v>
      </c>
      <c r="AP197" s="97">
        <v>314008</v>
      </c>
      <c r="AQ197" s="77" t="e">
        <f ca="1">VLOOKUP($AP197,OFFSET([1]unit_skills!$A$1,0,0,COUNTA([1]unit_skills!$A:$A),MATCH("name",[1]unit_skills!$1:$1,0)-MATCH($AP$1,[1]unit_skills!$1:$1,0)+1),MATCH("name",[1]unit_skills!$1:$1,0)-MATCH($AP$1,[1]unit_skills!$1:$1,0)+1,FALSE)</f>
        <v>#VALUE!</v>
      </c>
      <c r="AR197" s="77" t="e">
        <f ca="1">VLOOKUP($AP197,OFFSET([1]unit_skills!$A$1,0,0,COUNTA([1]unit_skills!$A:$A),MATCH("comment",[1]unit_skills!$1:$1,0)-MATCH($AP$1,[1]unit_skills!$1:$1,0)+1),MATCH("comment",[1]unit_skills!$1:$1,0)-MATCH($AP$1,[1]unit_skills!$1:$1,0)+1,FALSE)</f>
        <v>#VALUE!</v>
      </c>
      <c r="AS197" s="77" t="e">
        <f ca="1">VLOOKUP($AP197,OFFSET([1]unit_skills!$A$1,0,0,COUNTA([1]unit_skills!$A:$A),MATCH(AS$1,[1]unit_skills!$1:$1,0)-MATCH($AP$1,[1]unit_skills!$1:$1,0)+1),MATCH(AS$1,[1]unit_skills!$1:$1,0)-MATCH($AP$1,[1]unit_skills!$1:$1,0)+1,FALSE)</f>
        <v>#VALUE!</v>
      </c>
      <c r="AT197" s="97">
        <v>194202</v>
      </c>
      <c r="AU197" s="77" t="e">
        <f ca="1">VLOOKUP($AT197,OFFSET([1]crash_skills!$A$1,0,0,COUNTA([1]crash_skills!$A:$A),MATCH("name",[1]crash_skills!$1:$1,0)-MATCH($AT$1,[1]crash_skills!$1:$1,0)+1),MATCH("name",[1]crash_skills!$1:$1,0)-MATCH($AT$1,[1]crash_skills!$1:$1,0)+1,FALSE)</f>
        <v>#VALUE!</v>
      </c>
      <c r="AV197" s="77" t="e">
        <f ca="1">VLOOKUP($AT197,OFFSET([1]crash_skills!$A$1,0,0,COUNTA([1]crash_skills!$A:$A),MATCH("comment",[1]crash_skills!$1:$1,0)-MATCH($AT$1,[1]crash_skills!$1:$1,0)+1),MATCH("comment",[1]crash_skills!$1:$1,0)-MATCH($AT$1,[1]crash_skills!$1:$1,0)+1,FALSE)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97" s="77" t="e">
        <f ca="1">VLOOKUP($AT197,OFFSET([1]crash_skills!$A$1,0,0,COUNTA([1]crash_skills!$A:$A),MATCH(AW$1,[1]crash_skills!$1:$1,0)-MATCH($AT$1,[1]crash_skills!$1:$1,0)+1),MATCH(AW$1,[1]crash_skills!$1:$1,0)-MATCH($AT$1,[1]crash_skills!$1:$1,0)+1,FALSE)</f>
        <v>#VALUE!</v>
      </c>
      <c r="AX197" s="81">
        <f ca="1">VLOOKUP($A197,OFFSET([2]characters!$A$1,0,0,COUNTA([2]characters!$A:$A),MATCH(AX$1,[2]characters!$1:$1,0)-MATCH($A$1,[2]characters!$1:$1,0)+1),MATCH(AX$1,[2]characters!$1:$1,0)-MATCH($A$1,[2]characters!$1:$1,0)+1,FALSE)</f>
        <v>3</v>
      </c>
      <c r="AY197" s="19">
        <v>1</v>
      </c>
      <c r="AZ197" s="19">
        <v>1</v>
      </c>
      <c r="BA197" s="19">
        <v>0</v>
      </c>
      <c r="BB197" s="19">
        <v>1</v>
      </c>
      <c r="BC197" s="14">
        <f ca="1">INDEX('RC6SV'!$A$1:$G$20,MATCH(H197,'RC6SV'!$A$1:$A$20,FALSE),MATCH(G197,'RC6SV'!$A$1:$G$1,FALSE))</f>
        <v>4900</v>
      </c>
      <c r="BD197" s="63">
        <f t="shared" ca="1" si="25"/>
        <v>4900</v>
      </c>
      <c r="BE197" s="14">
        <f t="shared" ca="1" si="26"/>
        <v>0</v>
      </c>
      <c r="BF197" s="14">
        <f t="shared" ca="1" si="27"/>
        <v>1</v>
      </c>
      <c r="BG197" s="20">
        <f ca="1">IF($BE197&lt;=0,ROUND(BK197*0.5,0), ROUND($BE197*S197*AA197*J197*AY197*0.8*[2]ステータス!$B$2,0))</f>
        <v>1129</v>
      </c>
      <c r="BH197" s="20">
        <f ca="1">IF($BE197&lt;=0,ROUND(BL197*0.5,0), ROUND($BE197*T197*AB197*K197*AZ197*0.8*[2]ステータス!$C$2,0))</f>
        <v>735</v>
      </c>
      <c r="BI197" s="20">
        <f ca="1">IF($BE197&lt;=0,ROUND(BM197*0.5,0), ROUND($BE197*U197*AC197*L197*BA197*0.8*[2]ステータス!$D$2,0))</f>
        <v>0</v>
      </c>
      <c r="BJ197" s="20">
        <f ca="1">IF($BE197&lt;=0,ROUND(BN197*0.5,0), ROUND($BE197*V197*AD197*M197*BB197*0.8*[2]ステータス!$E$2,0))</f>
        <v>662</v>
      </c>
      <c r="BK197" s="14">
        <f ca="1">ROUND(BD197*S197*AA197*J197*AY197*[2]ステータス!$B$2,0)</f>
        <v>2257</v>
      </c>
      <c r="BL197" s="14">
        <f ca="1">ROUND(BD197*T197*AB197*K197*AZ197*[2]ステータス!$C$2,0)</f>
        <v>1470</v>
      </c>
      <c r="BM197" s="14">
        <f ca="1">ROUND(BD197*U197*AC197*L197*BA197*[2]ステータス!$D$2,0)</f>
        <v>0</v>
      </c>
      <c r="BN197" s="14">
        <f ca="1">ROUND(BD197*V197*AD197*M197*BB197*[2]ステータス!$E$2,0)</f>
        <v>1324</v>
      </c>
      <c r="BO197" s="13">
        <v>0</v>
      </c>
      <c r="BP197" s="13">
        <v>1</v>
      </c>
      <c r="BQ197" s="13" t="s">
        <v>102</v>
      </c>
      <c r="BR197" s="13">
        <f ca="1">VLOOKUP(H197,ghosts_label!$A$2:$B$19,2,FALSE)</f>
        <v>600</v>
      </c>
    </row>
    <row r="198" spans="1:70" ht="21" customHeight="1" x14ac:dyDescent="0.15">
      <c r="A198" s="14">
        <f t="shared" ca="1" si="22"/>
        <v>197</v>
      </c>
      <c r="B198" s="77" t="str">
        <f ca="1">VLOOKUP($A198,OFFSET([2]characters!$A$1,0,0,COUNTA([2]characters!$A:$A),MATCH(B$1,[2]characters!$1:$1,0)-MATCH($A$1,[2]characters!$1:$1,0)+1),MATCH(B$1,[2]characters!$1:$1,0)-MATCH($A$1,[2]characters!$1:$1,0)+1,FALSE)</f>
        <v>鉄腕 アキレス</v>
      </c>
      <c r="C198" s="77" t="str">
        <f ca="1">VLOOKUP($A198,OFFSET([2]characters!$A$1,0,0,COUNTA([2]characters!$A:$A),MATCH(C$1,[2]characters!$1:$1,0)-MATCH($A$1,[2]characters!$1:$1,0)+1),MATCH(C$1,[2]characters!$1:$1,0)-MATCH($A$1,[2]characters!$1:$1,0)+1,FALSE)</f>
        <v>初期ガチャ</v>
      </c>
      <c r="D198" s="77" t="str">
        <f ca="1">VLOOKUP($A198,OFFSET([2]characters!$A$1,0,0,COUNTA([2]characters!$A:$A),MATCH(D$1,[2]characters!$1:$1,0)-MATCH($A$1,[2]characters!$1:$1,0)+1),MATCH(D$1,[2]characters!$1:$1,0)-MATCH($A$1,[2]characters!$1:$1,0)+1,FALSE)</f>
        <v>守護者</v>
      </c>
      <c r="E198" s="77" t="str">
        <f ca="1">VLOOKUP($A198,OFFSET([2]characters!$A$1,0,0,COUNTA([2]characters!$A:$A),MATCH(E$1,[2]characters!$1:$1,0)-MATCH($A$1,[2]characters!$1:$1,0)+1),MATCH(E$1,[2]characters!$1:$1,0)-MATCH($A$1,[2]characters!$1:$1,0)+1,FALSE)</f>
        <v>美しい</v>
      </c>
      <c r="F198" s="77" t="str">
        <f ca="1">VLOOKUP($A198,OFFSET([2]characters!$A$1,0,0,COUNTA([2]characters!$A:$A),MATCH(F$1,[2]characters!$1:$1,0)-MATCH($A$1,[2]characters!$1:$1,0)+1),MATCH(F$1,[2]characters!$1:$1,0)-MATCH($A$1,[2]characters!$1:$1,0)+1,FALSE)</f>
        <v>女性</v>
      </c>
      <c r="G198" s="77">
        <f ca="1">VLOOKUP($A198,OFFSET([2]characters!$A$1,0,0,COUNTA([2]characters!$A:$A),MATCH(G$1,[2]characters!$1:$1,0)-MATCH($A$1,[2]characters!$1:$1,0)+1),MATCH(G$1,[2]characters!$1:$1,0)-MATCH($A$1,[2]characters!$1:$1,0)+1,FALSE)</f>
        <v>4</v>
      </c>
      <c r="H198" s="77" t="str">
        <f ca="1">VLOOKUP($A198,OFFSET([2]characters!$A$1,0,0,COUNTA([2]characters!$A:$A),MATCH(H$1,[2]characters!$1:$1,0)-MATCH($A$1,[2]characters!$1:$1,0)+1),MATCH(H$1,[2]characters!$1:$1,0)-MATCH($A$1,[2]characters!$1:$1,0)+1,FALSE)</f>
        <v>PremiumN</v>
      </c>
      <c r="I198" s="77" t="str">
        <f ca="1">VLOOKUP($A198,OFFSET([2]characters!$A$1,0,0,COUNTA([2]characters!$A:$A),MATCH(I$1,[2]characters!$1:$1,0)-MATCH($A$1,[2]characters!$1:$1,0)+1),MATCH(I$1,[2]characters!$1:$1,0)-MATCH($A$1,[2]characters!$1:$1,0)+1,FALSE)</f>
        <v>yellow</v>
      </c>
      <c r="J198" s="14">
        <f ca="1">VLOOKUP(I198,[2]属性!$A:$E,2,FALSE)</f>
        <v>0.98</v>
      </c>
      <c r="K198" s="14">
        <f ca="1">VLOOKUP(I198,[2]属性!$A:$E,3,FALSE)</f>
        <v>1.01</v>
      </c>
      <c r="L198" s="14">
        <f ca="1">VLOOKUP(I198,[2]属性!$A:$E,4,FALSE)</f>
        <v>1</v>
      </c>
      <c r="M198" s="14">
        <f ca="1">VLOOKUP(I198,[2]属性!$A:$E,5,FALSE)</f>
        <v>1.01</v>
      </c>
      <c r="N198" s="14">
        <f ca="1">INDEX(コスト!$A$1:$I$20,MATCH(H198,コスト!$A$1:$A$20,FALSE),MATCH(G198,コスト!$A$1:$I$1,FALSE))</f>
        <v>18</v>
      </c>
      <c r="O198" s="14">
        <f ca="1">INDEX(レベル!$A$1:$I$21,MATCH(H198,レベル!$A$1:$A$21,FALSE),MATCH(G198,レベル!$A$1:$I$1,FALSE))</f>
        <v>60</v>
      </c>
      <c r="P198" s="63">
        <f t="shared" ca="1" si="28"/>
        <v>60</v>
      </c>
      <c r="Q198" s="77" t="str">
        <f ca="1">VLOOKUP($A198,OFFSET([2]characters!$A$1,0,0,COUNTA([2]characters!$A:$A),MATCH(Q$1,[2]characters!$1:$1,0)-MATCH($A$1,[2]characters!$1:$1,0)+1),MATCH(Q$1,[2]characters!$1:$1,0)-MATCH($A$1,[2]characters!$1:$1,0)+1,FALSE)</f>
        <v>balance</v>
      </c>
      <c r="R198" s="8" t="str">
        <f ca="1">VLOOKUP(Q198,[2]character_type_i18n!$A:$H,3,FALSE)</f>
        <v>バランスタイプ</v>
      </c>
      <c r="S198" s="14">
        <f ca="1">VLOOKUP(Q198,[2]character_type_i18n!$A:$H,4,FALSE)</f>
        <v>1</v>
      </c>
      <c r="T198" s="14">
        <f ca="1">VLOOKUP(Q198,[2]character_type_i18n!$A:$H,5,FALSE)</f>
        <v>1</v>
      </c>
      <c r="U198" s="14">
        <f ca="1">VLOOKUP(Q198,[2]character_type_i18n!$A:$H,6,FALSE)</f>
        <v>1</v>
      </c>
      <c r="V198" s="14">
        <f ca="1">VLOOKUP(Q198,[2]character_type_i18n!$A:$H,7,FALSE)</f>
        <v>1</v>
      </c>
      <c r="W198" s="77" t="str">
        <f ca="1">VLOOKUP($A198,OFFSET([2]characters!$A$1,0,0,COUNTA([2]characters!$A:$A),MATCH(W$1,[2]characters!$1:$1,0)-MATCH($A$1,[2]characters!$1:$1,0)+1),MATCH(W$1,[2]characters!$1:$1,0)-MATCH($A$1,[2]characters!$1:$1,0)+1,FALSE)</f>
        <v>human</v>
      </c>
      <c r="X198" s="8" t="str">
        <f ca="1">VLOOKUP(W198,[2]character_tribe_i18n!$A:$H,3,FALSE)</f>
        <v>ヒューマン</v>
      </c>
      <c r="Y198" s="77" t="str">
        <f ca="1">VLOOKUP($A198,OFFSET([2]characters!$A$1,0,0,COUNTA([2]characters!$A:$A),MATCH(Y$1,[2]characters!$1:$1,0)-MATCH($A$1,[2]characters!$1:$1,0)+1),MATCH(Y$1,[2]characters!$1:$1,0)-MATCH($A$1,[2]characters!$1:$1,0)+1,FALSE)</f>
        <v>none</v>
      </c>
      <c r="Z198" s="8" t="str">
        <f ca="1">VLOOKUP(Y198,[2]character_tribe_i18n!$A:$H,3,FALSE)</f>
        <v>種族なし</v>
      </c>
      <c r="AA198" s="14">
        <f ca="1">VLOOKUP(W198,[2]character_tribe_i18n!$A:$H,4,FALSE)</f>
        <v>0.94</v>
      </c>
      <c r="AB198" s="14">
        <f ca="1">VLOOKUP(W198,[2]character_tribe_i18n!$A:$H,5,FALSE)</f>
        <v>0.99</v>
      </c>
      <c r="AC198" s="14">
        <f ca="1">VLOOKUP(W198,[2]character_tribe_i18n!$A:$H,6,FALSE)</f>
        <v>1</v>
      </c>
      <c r="AD198" s="14">
        <f ca="1">VLOOKUP(W198,[2]character_tribe_i18n!$A:$H,7,FALSE)</f>
        <v>1.07</v>
      </c>
      <c r="AE198" s="12">
        <v>198</v>
      </c>
      <c r="AF198" s="85" t="str">
        <f ca="1">IF(AE198="NULL","",VLOOKUP($AE198,OFFSET([2]characters!$A$1,0,0,COUNTA([2]characters!$A:$A),MATCH(AF$1,[2]characters!$1:$1,0)-MATCH($A$1,[2]characters!$1:$1,0)+1),MATCH(AF$1,[2]characters!$1:$1,0)-MATCH($A$1,[2]characters!$1:$1,0)+1,FALSE))</f>
        <v>砕骨の剛腕 アキレス</v>
      </c>
      <c r="AG198" s="8">
        <f t="shared" ca="1" si="23"/>
        <v>196</v>
      </c>
      <c r="AH198" s="85" t="str">
        <f ca="1">VLOOKUP($AG198,OFFSET([2]characters!$A$1,0,0,COUNTA([2]characters!$A:$A),MATCH(AH$1,[2]characters!$1:$1,0)-MATCH($A$1,[2]characters!$1:$1,0)+1),MATCH(AH$1,[2]characters!$1:$1,0)-MATCH($A$1,[2]characters!$1:$1,0)+1,FALSE)</f>
        <v>アキレス</v>
      </c>
      <c r="AI198" s="14">
        <f ca="1">IF(AE198="NULL","NULL",VLOOKUP(G198,ビット!$A$2:$B$7,2))</f>
        <v>50000</v>
      </c>
      <c r="AJ198" s="9">
        <v>2</v>
      </c>
      <c r="AK198" s="10" t="str">
        <f t="shared" si="24"/>
        <v>普通</v>
      </c>
      <c r="AL198" s="14" t="str">
        <f ca="1">INDEX(経験値!$A$1:$I$20,MATCH(H198,経験値!$A$1:$A$20,FALSE),MATCH(G198,経験値!$A$1:$I$1,FALSE))</f>
        <v>required_exp_200</v>
      </c>
      <c r="AM198" s="11">
        <f ca="1">VLOOKUP(G198,経験値!$A$27:$B$31,2)</f>
        <v>3400</v>
      </c>
      <c r="AN198" s="21">
        <f ca="1">VLOOKUP(G198,ビット!$G$2:$H$7,2)</f>
        <v>600</v>
      </c>
      <c r="AO198" s="98" t="s">
        <v>178</v>
      </c>
      <c r="AP198" s="97">
        <v>314027</v>
      </c>
      <c r="AQ198" s="77" t="e">
        <f ca="1">VLOOKUP($AP198,OFFSET([1]unit_skills!$A$1,0,0,COUNTA([1]unit_skills!$A:$A),MATCH("name",[1]unit_skills!$1:$1,0)-MATCH($AP$1,[1]unit_skills!$1:$1,0)+1),MATCH("name",[1]unit_skills!$1:$1,0)-MATCH($AP$1,[1]unit_skills!$1:$1,0)+1,FALSE)</f>
        <v>#VALUE!</v>
      </c>
      <c r="AR198" s="77" t="e">
        <f ca="1">VLOOKUP($AP198,OFFSET([1]unit_skills!$A$1,0,0,COUNTA([1]unit_skills!$A:$A),MATCH("comment",[1]unit_skills!$1:$1,0)-MATCH($AP$1,[1]unit_skills!$1:$1,0)+1),MATCH("comment",[1]unit_skills!$1:$1,0)-MATCH($AP$1,[1]unit_skills!$1:$1,0)+1,FALSE)</f>
        <v>#VALUE!</v>
      </c>
      <c r="AS198" s="77" t="e">
        <f ca="1">VLOOKUP($AP198,OFFSET([1]unit_skills!$A$1,0,0,COUNTA([1]unit_skills!$A:$A),MATCH(AS$1,[1]unit_skills!$1:$1,0)-MATCH($AP$1,[1]unit_skills!$1:$1,0)+1),MATCH(AS$1,[1]unit_skills!$1:$1,0)-MATCH($AP$1,[1]unit_skills!$1:$1,0)+1,FALSE)</f>
        <v>#VALUE!</v>
      </c>
      <c r="AT198" s="97">
        <v>194203</v>
      </c>
      <c r="AU198" s="77" t="e">
        <f ca="1">VLOOKUP($AT198,OFFSET([1]crash_skills!$A$1,0,0,COUNTA([1]crash_skills!$A:$A),MATCH("name",[1]crash_skills!$1:$1,0)-MATCH($AT$1,[1]crash_skills!$1:$1,0)+1),MATCH("name",[1]crash_skills!$1:$1,0)-MATCH($AT$1,[1]crash_skills!$1:$1,0)+1,FALSE)</f>
        <v>#VALUE!</v>
      </c>
      <c r="AV198" s="77" t="e">
        <f ca="1">VLOOKUP($AT198,OFFSET([1]crash_skills!$A$1,0,0,COUNTA([1]crash_skills!$A:$A),MATCH("comment",[1]crash_skills!$1:$1,0)-MATCH($AT$1,[1]crash_skills!$1:$1,0)+1),MATCH("comment",[1]crash_skills!$1:$1,0)-MATCH($AT$1,[1]crash_skills!$1:$1,0)+1,FALSE)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98" s="77" t="e">
        <f ca="1">VLOOKUP($AT198,OFFSET([1]crash_skills!$A$1,0,0,COUNTA([1]crash_skills!$A:$A),MATCH(AW$1,[1]crash_skills!$1:$1,0)-MATCH($AT$1,[1]crash_skills!$1:$1,0)+1),MATCH(AW$1,[1]crash_skills!$1:$1,0)-MATCH($AT$1,[1]crash_skills!$1:$1,0)+1,FALSE)</f>
        <v>#VALUE!</v>
      </c>
      <c r="AX198" s="81">
        <f ca="1">VLOOKUP($A198,OFFSET([2]characters!$A$1,0,0,COUNTA([2]characters!$A:$A),MATCH(AX$1,[2]characters!$1:$1,0)-MATCH($A$1,[2]characters!$1:$1,0)+1),MATCH(AX$1,[2]characters!$1:$1,0)-MATCH($A$1,[2]characters!$1:$1,0)+1,FALSE)</f>
        <v>3</v>
      </c>
      <c r="AY198" s="19">
        <v>1</v>
      </c>
      <c r="AZ198" s="19">
        <v>1</v>
      </c>
      <c r="BA198" s="19">
        <v>0</v>
      </c>
      <c r="BB198" s="19">
        <v>1</v>
      </c>
      <c r="BC198" s="14">
        <f ca="1">INDEX('RC6SV'!$A$1:$G$20,MATCH(H198,'RC6SV'!$A$1:$A$20,FALSE),MATCH(G198,'RC6SV'!$A$1:$G$1,FALSE))</f>
        <v>6700</v>
      </c>
      <c r="BD198" s="63">
        <f t="shared" ca="1" si="25"/>
        <v>6700</v>
      </c>
      <c r="BE198" s="14">
        <f t="shared" ca="1" si="26"/>
        <v>4900</v>
      </c>
      <c r="BF198" s="14">
        <f t="shared" ca="1" si="27"/>
        <v>1</v>
      </c>
      <c r="BG198" s="20">
        <f ca="1">IF($BE198&lt;=0,ROUND(BK198*0.5,0), ROUND($BE198*S198*AA198*J198*AY198*0.8*[2]ステータス!$B$2,0))</f>
        <v>1806</v>
      </c>
      <c r="BH198" s="20">
        <f ca="1">IF($BE198&lt;=0,ROUND(BL198*0.5,0), ROUND($BE198*T198*AB198*K198*AZ198*0.8*[2]ステータス!$C$2,0))</f>
        <v>1176</v>
      </c>
      <c r="BI198" s="20">
        <f ca="1">IF($BE198&lt;=0,ROUND(BM198*0.5,0), ROUND($BE198*U198*AC198*L198*BA198*0.8*[2]ステータス!$D$2,0))</f>
        <v>0</v>
      </c>
      <c r="BJ198" s="20">
        <f ca="1">IF($BE198&lt;=0,ROUND(BN198*0.5,0), ROUND($BE198*V198*AD198*M198*BB198*0.8*[2]ステータス!$E$2,0))</f>
        <v>1059</v>
      </c>
      <c r="BK198" s="14">
        <f ca="1">ROUND(BD198*S198*AA198*J198*AY198*[2]ステータス!$B$2,0)</f>
        <v>3086</v>
      </c>
      <c r="BL198" s="14">
        <f ca="1">ROUND(BD198*T198*AB198*K198*AZ198*[2]ステータス!$C$2,0)</f>
        <v>2010</v>
      </c>
      <c r="BM198" s="14">
        <f ca="1">ROUND(BD198*U198*AC198*L198*BA198*[2]ステータス!$D$2,0)</f>
        <v>0</v>
      </c>
      <c r="BN198" s="14">
        <f ca="1">ROUND(BD198*V198*AD198*M198*BB198*[2]ステータス!$E$2,0)</f>
        <v>1810</v>
      </c>
      <c r="BO198" s="13">
        <v>0</v>
      </c>
      <c r="BP198" s="13">
        <v>1</v>
      </c>
      <c r="BQ198" s="13" t="s">
        <v>102</v>
      </c>
      <c r="BR198" s="13">
        <f ca="1">VLOOKUP(H198,ghosts_label!$A$2:$B$19,2,FALSE)</f>
        <v>600</v>
      </c>
    </row>
    <row r="199" spans="1:70" ht="21" customHeight="1" x14ac:dyDescent="0.15">
      <c r="A199" s="14">
        <f t="shared" ca="1" si="22"/>
        <v>198</v>
      </c>
      <c r="B199" s="77" t="str">
        <f ca="1">VLOOKUP($A199,OFFSET([2]characters!$A$1,0,0,COUNTA([2]characters!$A:$A),MATCH(B$1,[2]characters!$1:$1,0)-MATCH($A$1,[2]characters!$1:$1,0)+1),MATCH(B$1,[2]characters!$1:$1,0)-MATCH($A$1,[2]characters!$1:$1,0)+1,FALSE)</f>
        <v>砕骨の剛腕 アキレス</v>
      </c>
      <c r="C199" s="77" t="str">
        <f ca="1">VLOOKUP($A199,OFFSET([2]characters!$A$1,0,0,COUNTA([2]characters!$A:$A),MATCH(C$1,[2]characters!$1:$1,0)-MATCH($A$1,[2]characters!$1:$1,0)+1),MATCH(C$1,[2]characters!$1:$1,0)-MATCH($A$1,[2]characters!$1:$1,0)+1,FALSE)</f>
        <v>初期ガチャ</v>
      </c>
      <c r="D199" s="77" t="str">
        <f ca="1">VLOOKUP($A199,OFFSET([2]characters!$A$1,0,0,COUNTA([2]characters!$A:$A),MATCH(D$1,[2]characters!$1:$1,0)-MATCH($A$1,[2]characters!$1:$1,0)+1),MATCH(D$1,[2]characters!$1:$1,0)-MATCH($A$1,[2]characters!$1:$1,0)+1,FALSE)</f>
        <v>守護者</v>
      </c>
      <c r="E199" s="77" t="str">
        <f ca="1">VLOOKUP($A199,OFFSET([2]characters!$A$1,0,0,COUNTA([2]characters!$A:$A),MATCH(E$1,[2]characters!$1:$1,0)-MATCH($A$1,[2]characters!$1:$1,0)+1),MATCH(E$1,[2]characters!$1:$1,0)-MATCH($A$1,[2]characters!$1:$1,0)+1,FALSE)</f>
        <v>美しい</v>
      </c>
      <c r="F199" s="77" t="str">
        <f ca="1">VLOOKUP($A199,OFFSET([2]characters!$A$1,0,0,COUNTA([2]characters!$A:$A),MATCH(F$1,[2]characters!$1:$1,0)-MATCH($A$1,[2]characters!$1:$1,0)+1),MATCH(F$1,[2]characters!$1:$1,0)-MATCH($A$1,[2]characters!$1:$1,0)+1,FALSE)</f>
        <v>女性</v>
      </c>
      <c r="G199" s="77">
        <f ca="1">VLOOKUP($A199,OFFSET([2]characters!$A$1,0,0,COUNTA([2]characters!$A:$A),MATCH(G$1,[2]characters!$1:$1,0)-MATCH($A$1,[2]characters!$1:$1,0)+1),MATCH(G$1,[2]characters!$1:$1,0)-MATCH($A$1,[2]characters!$1:$1,0)+1,FALSE)</f>
        <v>5</v>
      </c>
      <c r="H199" s="77" t="str">
        <f ca="1">VLOOKUP($A199,OFFSET([2]characters!$A$1,0,0,COUNTA([2]characters!$A:$A),MATCH(H$1,[2]characters!$1:$1,0)-MATCH($A$1,[2]characters!$1:$1,0)+1),MATCH(H$1,[2]characters!$1:$1,0)-MATCH($A$1,[2]characters!$1:$1,0)+1,FALSE)</f>
        <v>PremiumN</v>
      </c>
      <c r="I199" s="77" t="str">
        <f ca="1">VLOOKUP($A199,OFFSET([2]characters!$A$1,0,0,COUNTA([2]characters!$A:$A),MATCH(I$1,[2]characters!$1:$1,0)-MATCH($A$1,[2]characters!$1:$1,0)+1),MATCH(I$1,[2]characters!$1:$1,0)-MATCH($A$1,[2]characters!$1:$1,0)+1,FALSE)</f>
        <v>yellow</v>
      </c>
      <c r="J199" s="14">
        <f ca="1">VLOOKUP(I199,[2]属性!$A:$E,2,FALSE)</f>
        <v>0.98</v>
      </c>
      <c r="K199" s="14">
        <f ca="1">VLOOKUP(I199,[2]属性!$A:$E,3,FALSE)</f>
        <v>1.01</v>
      </c>
      <c r="L199" s="14">
        <f ca="1">VLOOKUP(I199,[2]属性!$A:$E,4,FALSE)</f>
        <v>1</v>
      </c>
      <c r="M199" s="14">
        <f ca="1">VLOOKUP(I199,[2]属性!$A:$E,5,FALSE)</f>
        <v>1.01</v>
      </c>
      <c r="N199" s="14">
        <f ca="1">INDEX(コスト!$A$1:$I$20,MATCH(H199,コスト!$A$1:$A$20,FALSE),MATCH(G199,コスト!$A$1:$I$1,FALSE))</f>
        <v>28</v>
      </c>
      <c r="O199" s="14">
        <f ca="1">INDEX(レベル!$A$1:$I$21,MATCH(H199,レベル!$A$1:$A$21,FALSE),MATCH(G199,レベル!$A$1:$I$1,FALSE))</f>
        <v>80</v>
      </c>
      <c r="P199" s="63">
        <f t="shared" ca="1" si="28"/>
        <v>75</v>
      </c>
      <c r="Q199" s="77" t="str">
        <f ca="1">VLOOKUP($A199,OFFSET([2]characters!$A$1,0,0,COUNTA([2]characters!$A:$A),MATCH(Q$1,[2]characters!$1:$1,0)-MATCH($A$1,[2]characters!$1:$1,0)+1),MATCH(Q$1,[2]characters!$1:$1,0)-MATCH($A$1,[2]characters!$1:$1,0)+1,FALSE)</f>
        <v>balance</v>
      </c>
      <c r="R199" s="8" t="str">
        <f ca="1">VLOOKUP(Q199,[2]character_type_i18n!$A:$H,3,FALSE)</f>
        <v>バランスタイプ</v>
      </c>
      <c r="S199" s="14">
        <f ca="1">VLOOKUP(Q199,[2]character_type_i18n!$A:$H,4,FALSE)</f>
        <v>1</v>
      </c>
      <c r="T199" s="14">
        <f ca="1">VLOOKUP(Q199,[2]character_type_i18n!$A:$H,5,FALSE)</f>
        <v>1</v>
      </c>
      <c r="U199" s="14">
        <f ca="1">VLOOKUP(Q199,[2]character_type_i18n!$A:$H,6,FALSE)</f>
        <v>1</v>
      </c>
      <c r="V199" s="14">
        <f ca="1">VLOOKUP(Q199,[2]character_type_i18n!$A:$H,7,FALSE)</f>
        <v>1</v>
      </c>
      <c r="W199" s="77" t="str">
        <f ca="1">VLOOKUP($A199,OFFSET([2]characters!$A$1,0,0,COUNTA([2]characters!$A:$A),MATCH(W$1,[2]characters!$1:$1,0)-MATCH($A$1,[2]characters!$1:$1,0)+1),MATCH(W$1,[2]characters!$1:$1,0)-MATCH($A$1,[2]characters!$1:$1,0)+1,FALSE)</f>
        <v>human</v>
      </c>
      <c r="X199" s="8" t="str">
        <f ca="1">VLOOKUP(W199,[2]character_tribe_i18n!$A:$H,3,FALSE)</f>
        <v>ヒューマン</v>
      </c>
      <c r="Y199" s="77" t="str">
        <f ca="1">VLOOKUP($A199,OFFSET([2]characters!$A$1,0,0,COUNTA([2]characters!$A:$A),MATCH(Y$1,[2]characters!$1:$1,0)-MATCH($A$1,[2]characters!$1:$1,0)+1),MATCH(Y$1,[2]characters!$1:$1,0)-MATCH($A$1,[2]characters!$1:$1,0)+1,FALSE)</f>
        <v>none</v>
      </c>
      <c r="Z199" s="8" t="str">
        <f ca="1">VLOOKUP(Y199,[2]character_tribe_i18n!$A:$H,3,FALSE)</f>
        <v>種族なし</v>
      </c>
      <c r="AA199" s="14">
        <f ca="1">VLOOKUP(W199,[2]character_tribe_i18n!$A:$H,4,FALSE)</f>
        <v>0.94</v>
      </c>
      <c r="AB199" s="14">
        <f ca="1">VLOOKUP(W199,[2]character_tribe_i18n!$A:$H,5,FALSE)</f>
        <v>0.99</v>
      </c>
      <c r="AC199" s="14">
        <f ca="1">VLOOKUP(W199,[2]character_tribe_i18n!$A:$H,6,FALSE)</f>
        <v>1</v>
      </c>
      <c r="AD199" s="14">
        <f ca="1">VLOOKUP(W199,[2]character_tribe_i18n!$A:$H,7,FALSE)</f>
        <v>1.07</v>
      </c>
      <c r="AE199" s="12" t="s">
        <v>102</v>
      </c>
      <c r="AF199" s="85" t="str">
        <f ca="1">IF(AE199="NULL","",VLOOKUP($AE199,OFFSET([2]characters!$A$1,0,0,COUNTA([2]characters!$A:$A),MATCH(AF$1,[2]characters!$1:$1,0)-MATCH($A$1,[2]characters!$1:$1,0)+1),MATCH(AF$1,[2]characters!$1:$1,0)-MATCH($A$1,[2]characters!$1:$1,0)+1,FALSE))</f>
        <v/>
      </c>
      <c r="AG199" s="8">
        <f t="shared" ca="1" si="23"/>
        <v>196</v>
      </c>
      <c r="AH199" s="85" t="str">
        <f ca="1">VLOOKUP($AG199,OFFSET([2]characters!$A$1,0,0,COUNTA([2]characters!$A:$A),MATCH(AH$1,[2]characters!$1:$1,0)-MATCH($A$1,[2]characters!$1:$1,0)+1),MATCH(AH$1,[2]characters!$1:$1,0)-MATCH($A$1,[2]characters!$1:$1,0)+1,FALSE)</f>
        <v>アキレス</v>
      </c>
      <c r="AI199" s="14" t="str">
        <f>IF(AE199="NULL","NULL",VLOOKUP(G199,ビット!$A$2:$B$7,2))</f>
        <v>NULL</v>
      </c>
      <c r="AJ199" s="9">
        <v>2</v>
      </c>
      <c r="AK199" s="10" t="str">
        <f t="shared" si="24"/>
        <v>普通</v>
      </c>
      <c r="AL199" s="14" t="str">
        <f ca="1">INDEX(経験値!$A$1:$I$20,MATCH(H199,経験値!$A$1:$A$20,FALSE),MATCH(G199,経験値!$A$1:$I$1,FALSE))</f>
        <v>required_exp_200</v>
      </c>
      <c r="AM199" s="11">
        <f ca="1">VLOOKUP(G199,経験値!$A$27:$B$31,2)</f>
        <v>6400</v>
      </c>
      <c r="AN199" s="21">
        <f ca="1">VLOOKUP(G199,ビット!$G$2:$H$7,2)</f>
        <v>900</v>
      </c>
      <c r="AO199" s="98" t="s">
        <v>178</v>
      </c>
      <c r="AP199" s="97">
        <v>314028</v>
      </c>
      <c r="AQ199" s="77" t="e">
        <f ca="1">VLOOKUP($AP199,OFFSET([1]unit_skills!$A$1,0,0,COUNTA([1]unit_skills!$A:$A),MATCH("name",[1]unit_skills!$1:$1,0)-MATCH($AP$1,[1]unit_skills!$1:$1,0)+1),MATCH("name",[1]unit_skills!$1:$1,0)-MATCH($AP$1,[1]unit_skills!$1:$1,0)+1,FALSE)</f>
        <v>#VALUE!</v>
      </c>
      <c r="AR199" s="77" t="e">
        <f ca="1">VLOOKUP($AP199,OFFSET([1]unit_skills!$A$1,0,0,COUNTA([1]unit_skills!$A:$A),MATCH("comment",[1]unit_skills!$1:$1,0)-MATCH($AP$1,[1]unit_skills!$1:$1,0)+1),MATCH("comment",[1]unit_skills!$1:$1,0)-MATCH($AP$1,[1]unit_skills!$1:$1,0)+1,FALSE)</f>
        <v>#VALUE!</v>
      </c>
      <c r="AS199" s="77" t="e">
        <f ca="1">VLOOKUP($AP199,OFFSET([1]unit_skills!$A$1,0,0,COUNTA([1]unit_skills!$A:$A),MATCH(AS$1,[1]unit_skills!$1:$1,0)-MATCH($AP$1,[1]unit_skills!$1:$1,0)+1),MATCH(AS$1,[1]unit_skills!$1:$1,0)-MATCH($AP$1,[1]unit_skills!$1:$1,0)+1,FALSE)</f>
        <v>#VALUE!</v>
      </c>
      <c r="AT199" s="97">
        <v>194208</v>
      </c>
      <c r="AU199" s="77" t="e">
        <f ca="1">VLOOKUP($AT199,OFFSET([1]crash_skills!$A$1,0,0,COUNTA([1]crash_skills!$A:$A),MATCH("name",[1]crash_skills!$1:$1,0)-MATCH($AT$1,[1]crash_skills!$1:$1,0)+1),MATCH("name",[1]crash_skills!$1:$1,0)-MATCH($AT$1,[1]crash_skills!$1:$1,0)+1,FALSE)</f>
        <v>#VALUE!</v>
      </c>
      <c r="AV199" s="77" t="e">
        <f ca="1">VLOOKUP($AT199,OFFSET([1]crash_skills!$A$1,0,0,COUNTA([1]crash_skills!$A:$A),MATCH("comment",[1]crash_skills!$1:$1,0)-MATCH($AT$1,[1]crash_skills!$1:$1,0)+1),MATCH("comment",[1]crash_skills!$1:$1,0)-MATCH($AT$1,[1]crash_skills!$1:$1,0)+1,FALSE)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199" s="77" t="e">
        <f ca="1">VLOOKUP($AT199,OFFSET([1]crash_skills!$A$1,0,0,COUNTA([1]crash_skills!$A:$A),MATCH(AW$1,[1]crash_skills!$1:$1,0)-MATCH($AT$1,[1]crash_skills!$1:$1,0)+1),MATCH(AW$1,[1]crash_skills!$1:$1,0)-MATCH($AT$1,[1]crash_skills!$1:$1,0)+1,FALSE)</f>
        <v>#VALUE!</v>
      </c>
      <c r="AX199" s="81">
        <f ca="1">VLOOKUP($A199,OFFSET([2]characters!$A$1,0,0,COUNTA([2]characters!$A:$A),MATCH(AX$1,[2]characters!$1:$1,0)-MATCH($A$1,[2]characters!$1:$1,0)+1),MATCH(AX$1,[2]characters!$1:$1,0)-MATCH($A$1,[2]characters!$1:$1,0)+1,FALSE)</f>
        <v>3</v>
      </c>
      <c r="AY199" s="19">
        <v>1</v>
      </c>
      <c r="AZ199" s="19">
        <v>1</v>
      </c>
      <c r="BA199" s="19">
        <v>0</v>
      </c>
      <c r="BB199" s="19">
        <v>1</v>
      </c>
      <c r="BC199" s="14">
        <f ca="1">INDEX('RC6SV'!$A$1:$G$20,MATCH(H199,'RC6SV'!$A$1:$A$20,FALSE),MATCH(G199,'RC6SV'!$A$1:$G$1,FALSE))</f>
        <v>8500</v>
      </c>
      <c r="BD199" s="63">
        <f t="shared" ca="1" si="25"/>
        <v>8500</v>
      </c>
      <c r="BE199" s="14">
        <f t="shared" ca="1" si="26"/>
        <v>6700</v>
      </c>
      <c r="BF199" s="14">
        <f t="shared" ca="1" si="27"/>
        <v>1</v>
      </c>
      <c r="BG199" s="20">
        <f ca="1">IF($BE199&lt;=0,ROUND(BK199*0.5,0), ROUND($BE199*S199*AA199*J199*AY199*0.8*[2]ステータス!$B$2,0))</f>
        <v>2469</v>
      </c>
      <c r="BH199" s="20">
        <f ca="1">IF($BE199&lt;=0,ROUND(BL199*0.5,0), ROUND($BE199*T199*AB199*K199*AZ199*0.8*[2]ステータス!$C$2,0))</f>
        <v>1608</v>
      </c>
      <c r="BI199" s="20">
        <f ca="1">IF($BE199&lt;=0,ROUND(BM199*0.5,0), ROUND($BE199*U199*AC199*L199*BA199*0.8*[2]ステータス!$D$2,0))</f>
        <v>0</v>
      </c>
      <c r="BJ199" s="20">
        <f ca="1">IF($BE199&lt;=0,ROUND(BN199*0.5,0), ROUND($BE199*V199*AD199*M199*BB199*0.8*[2]ステータス!$E$2,0))</f>
        <v>1448</v>
      </c>
      <c r="BK199" s="14">
        <f ca="1">ROUND(BD199*S199*AA199*J199*AY199*[2]ステータス!$B$2,0)</f>
        <v>3915</v>
      </c>
      <c r="BL199" s="14">
        <f ca="1">ROUND(BD199*T199*AB199*K199*AZ199*[2]ステータス!$C$2,0)</f>
        <v>2550</v>
      </c>
      <c r="BM199" s="14">
        <f ca="1">ROUND(BD199*U199*AC199*L199*BA199*[2]ステータス!$D$2,0)</f>
        <v>0</v>
      </c>
      <c r="BN199" s="14">
        <f ca="1">ROUND(BD199*V199*AD199*M199*BB199*[2]ステータス!$E$2,0)</f>
        <v>2296</v>
      </c>
      <c r="BO199" s="13">
        <v>0</v>
      </c>
      <c r="BP199" s="13">
        <v>1</v>
      </c>
      <c r="BQ199" s="13" t="s">
        <v>102</v>
      </c>
      <c r="BR199" s="13">
        <f ca="1">VLOOKUP(H199,ghosts_label!$A$2:$B$19,2,FALSE)</f>
        <v>600</v>
      </c>
    </row>
    <row r="200" spans="1:70" ht="21" customHeight="1" x14ac:dyDescent="0.15">
      <c r="A200" s="14">
        <f t="shared" ca="1" si="22"/>
        <v>199</v>
      </c>
      <c r="B200" s="77" t="str">
        <f ca="1">VLOOKUP($A200,OFFSET([2]characters!$A$1,0,0,COUNTA([2]characters!$A:$A),MATCH(B$1,[2]characters!$1:$1,0)-MATCH($A$1,[2]characters!$1:$1,0)+1),MATCH(B$1,[2]characters!$1:$1,0)-MATCH($A$1,[2]characters!$1:$1,0)+1,FALSE)</f>
        <v>ジークフリート</v>
      </c>
      <c r="C200" s="77" t="str">
        <f ca="1">VLOOKUP($A200,OFFSET([2]characters!$A$1,0,0,COUNTA([2]characters!$A:$A),MATCH(C$1,[2]characters!$1:$1,0)-MATCH($A$1,[2]characters!$1:$1,0)+1),MATCH(C$1,[2]characters!$1:$1,0)-MATCH($A$1,[2]characters!$1:$1,0)+1,FALSE)</f>
        <v>初期ガチャ</v>
      </c>
      <c r="D200" s="77" t="str">
        <f ca="1">VLOOKUP($A200,OFFSET([2]characters!$A$1,0,0,COUNTA([2]characters!$A:$A),MATCH(D$1,[2]characters!$1:$1,0)-MATCH($A$1,[2]characters!$1:$1,0)+1),MATCH(D$1,[2]characters!$1:$1,0)-MATCH($A$1,[2]characters!$1:$1,0)+1,FALSE)</f>
        <v>守護者</v>
      </c>
      <c r="E200" s="77" t="str">
        <f ca="1">VLOOKUP($A200,OFFSET([2]characters!$A$1,0,0,COUNTA([2]characters!$A:$A),MATCH(E$1,[2]characters!$1:$1,0)-MATCH($A$1,[2]characters!$1:$1,0)+1),MATCH(E$1,[2]characters!$1:$1,0)-MATCH($A$1,[2]characters!$1:$1,0)+1,FALSE)</f>
        <v>格好いい</v>
      </c>
      <c r="F200" s="77" t="str">
        <f ca="1">VLOOKUP($A200,OFFSET([2]characters!$A$1,0,0,COUNTA([2]characters!$A:$A),MATCH(F$1,[2]characters!$1:$1,0)-MATCH($A$1,[2]characters!$1:$1,0)+1),MATCH(F$1,[2]characters!$1:$1,0)-MATCH($A$1,[2]characters!$1:$1,0)+1,FALSE)</f>
        <v>男性</v>
      </c>
      <c r="G200" s="77">
        <f ca="1">VLOOKUP($A200,OFFSET([2]characters!$A$1,0,0,COUNTA([2]characters!$A:$A),MATCH(G$1,[2]characters!$1:$1,0)-MATCH($A$1,[2]characters!$1:$1,0)+1),MATCH(G$1,[2]characters!$1:$1,0)-MATCH($A$1,[2]characters!$1:$1,0)+1,FALSE)</f>
        <v>3</v>
      </c>
      <c r="H200" s="77" t="str">
        <f ca="1">VLOOKUP($A200,OFFSET([2]characters!$A$1,0,0,COUNTA([2]characters!$A:$A),MATCH(H$1,[2]characters!$1:$1,0)-MATCH($A$1,[2]characters!$1:$1,0)+1),MATCH(H$1,[2]characters!$1:$1,0)-MATCH($A$1,[2]characters!$1:$1,0)+1,FALSE)</f>
        <v>PremiumN</v>
      </c>
      <c r="I200" s="77" t="str">
        <f ca="1">VLOOKUP($A200,OFFSET([2]characters!$A$1,0,0,COUNTA([2]characters!$A:$A),MATCH(I$1,[2]characters!$1:$1,0)-MATCH($A$1,[2]characters!$1:$1,0)+1),MATCH(I$1,[2]characters!$1:$1,0)-MATCH($A$1,[2]characters!$1:$1,0)+1,FALSE)</f>
        <v>blue</v>
      </c>
      <c r="J200" s="14">
        <f ca="1">VLOOKUP(I200,[2]属性!$A:$E,2,FALSE)</f>
        <v>1</v>
      </c>
      <c r="K200" s="14">
        <f ca="1">VLOOKUP(I200,[2]属性!$A:$E,3,FALSE)</f>
        <v>0.98</v>
      </c>
      <c r="L200" s="14">
        <f ca="1">VLOOKUP(I200,[2]属性!$A:$E,4,FALSE)</f>
        <v>1</v>
      </c>
      <c r="M200" s="14">
        <f ca="1">VLOOKUP(I200,[2]属性!$A:$E,5,FALSE)</f>
        <v>1.02</v>
      </c>
      <c r="N200" s="14">
        <f ca="1">INDEX(コスト!$A$1:$I$20,MATCH(H200,コスト!$A$1:$A$20,FALSE),MATCH(G200,コスト!$A$1:$I$1,FALSE))</f>
        <v>9</v>
      </c>
      <c r="O200" s="14">
        <f ca="1">INDEX(レベル!$A$1:$I$21,MATCH(H200,レベル!$A$1:$A$21,FALSE),MATCH(G200,レベル!$A$1:$I$1,FALSE))</f>
        <v>40</v>
      </c>
      <c r="P200" s="63">
        <f t="shared" ca="1" si="28"/>
        <v>45</v>
      </c>
      <c r="Q200" s="77" t="str">
        <f ca="1">VLOOKUP($A200,OFFSET([2]characters!$A$1,0,0,COUNTA([2]characters!$A:$A),MATCH(Q$1,[2]characters!$1:$1,0)-MATCH($A$1,[2]characters!$1:$1,0)+1),MATCH(Q$1,[2]characters!$1:$1,0)-MATCH($A$1,[2]characters!$1:$1,0)+1,FALSE)</f>
        <v>balance</v>
      </c>
      <c r="R200" s="8" t="str">
        <f ca="1">VLOOKUP(Q200,[2]character_type_i18n!$A:$H,3,FALSE)</f>
        <v>バランスタイプ</v>
      </c>
      <c r="S200" s="14">
        <f ca="1">VLOOKUP(Q200,[2]character_type_i18n!$A:$H,4,FALSE)</f>
        <v>1</v>
      </c>
      <c r="T200" s="14">
        <f ca="1">VLOOKUP(Q200,[2]character_type_i18n!$A:$H,5,FALSE)</f>
        <v>1</v>
      </c>
      <c r="U200" s="14">
        <f ca="1">VLOOKUP(Q200,[2]character_type_i18n!$A:$H,6,FALSE)</f>
        <v>1</v>
      </c>
      <c r="V200" s="14">
        <f ca="1">VLOOKUP(Q200,[2]character_type_i18n!$A:$H,7,FALSE)</f>
        <v>1</v>
      </c>
      <c r="W200" s="77" t="str">
        <f ca="1">VLOOKUP($A200,OFFSET([2]characters!$A$1,0,0,COUNTA([2]characters!$A:$A),MATCH(W$1,[2]characters!$1:$1,0)-MATCH($A$1,[2]characters!$1:$1,0)+1),MATCH(W$1,[2]characters!$1:$1,0)-MATCH($A$1,[2]characters!$1:$1,0)+1,FALSE)</f>
        <v>human</v>
      </c>
      <c r="X200" s="8" t="str">
        <f ca="1">VLOOKUP(W200,[2]character_tribe_i18n!$A:$H,3,FALSE)</f>
        <v>ヒューマン</v>
      </c>
      <c r="Y200" s="77" t="str">
        <f ca="1">VLOOKUP($A200,OFFSET([2]characters!$A$1,0,0,COUNTA([2]characters!$A:$A),MATCH(Y$1,[2]characters!$1:$1,0)-MATCH($A$1,[2]characters!$1:$1,0)+1),MATCH(Y$1,[2]characters!$1:$1,0)-MATCH($A$1,[2]characters!$1:$1,0)+1,FALSE)</f>
        <v>none</v>
      </c>
      <c r="Z200" s="8" t="str">
        <f ca="1">VLOOKUP(Y200,[2]character_tribe_i18n!$A:$H,3,FALSE)</f>
        <v>種族なし</v>
      </c>
      <c r="AA200" s="14">
        <f ca="1">VLOOKUP(W200,[2]character_tribe_i18n!$A:$H,4,FALSE)</f>
        <v>0.94</v>
      </c>
      <c r="AB200" s="14">
        <f ca="1">VLOOKUP(W200,[2]character_tribe_i18n!$A:$H,5,FALSE)</f>
        <v>0.99</v>
      </c>
      <c r="AC200" s="14">
        <f ca="1">VLOOKUP(W200,[2]character_tribe_i18n!$A:$H,6,FALSE)</f>
        <v>1</v>
      </c>
      <c r="AD200" s="14">
        <f ca="1">VLOOKUP(W200,[2]character_tribe_i18n!$A:$H,7,FALSE)</f>
        <v>1.07</v>
      </c>
      <c r="AE200" s="12">
        <v>200</v>
      </c>
      <c r="AF200" s="85" t="str">
        <f ca="1">IF(AE200="NULL","",VLOOKUP($AE200,OFFSET([2]characters!$A$1,0,0,COUNTA([2]characters!$A:$A),MATCH(AF$1,[2]characters!$1:$1,0)-MATCH($A$1,[2]characters!$1:$1,0)+1),MATCH(AF$1,[2]characters!$1:$1,0)-MATCH($A$1,[2]characters!$1:$1,0)+1,FALSE))</f>
        <v>大剣士 ジークフリート</v>
      </c>
      <c r="AG200" s="8">
        <f t="shared" ca="1" si="23"/>
        <v>199</v>
      </c>
      <c r="AH200" s="85" t="str">
        <f ca="1">VLOOKUP($AG200,OFFSET([2]characters!$A$1,0,0,COUNTA([2]characters!$A:$A),MATCH(AH$1,[2]characters!$1:$1,0)-MATCH($A$1,[2]characters!$1:$1,0)+1),MATCH(AH$1,[2]characters!$1:$1,0)-MATCH($A$1,[2]characters!$1:$1,0)+1,FALSE)</f>
        <v>ジークフリート</v>
      </c>
      <c r="AI200" s="14">
        <f ca="1">IF(AE200="NULL","NULL",VLOOKUP(G200,ビット!$A$2:$B$7,2))</f>
        <v>20000</v>
      </c>
      <c r="AJ200" s="9">
        <v>2</v>
      </c>
      <c r="AK200" s="10" t="str">
        <f t="shared" si="24"/>
        <v>普通</v>
      </c>
      <c r="AL200" s="14" t="str">
        <f ca="1">INDEX(経験値!$A$1:$I$20,MATCH(H200,経験値!$A$1:$A$20,FALSE),MATCH(G200,経験値!$A$1:$I$1,FALSE))</f>
        <v>required_exp_200</v>
      </c>
      <c r="AM200" s="11">
        <f ca="1">VLOOKUP(G200,経験値!$A$27:$B$31,2)</f>
        <v>1500</v>
      </c>
      <c r="AN200" s="21">
        <f ca="1">VLOOKUP(G200,ビット!$G$2:$H$7,2)</f>
        <v>300</v>
      </c>
      <c r="AO200" s="98" t="s">
        <v>178</v>
      </c>
      <c r="AP200" s="97">
        <v>313008</v>
      </c>
      <c r="AQ200" s="77" t="e">
        <f ca="1">VLOOKUP($AP200,OFFSET([1]unit_skills!$A$1,0,0,COUNTA([1]unit_skills!$A:$A),MATCH("name",[1]unit_skills!$1:$1,0)-MATCH($AP$1,[1]unit_skills!$1:$1,0)+1),MATCH("name",[1]unit_skills!$1:$1,0)-MATCH($AP$1,[1]unit_skills!$1:$1,0)+1,FALSE)</f>
        <v>#VALUE!</v>
      </c>
      <c r="AR200" s="77" t="e">
        <f ca="1">VLOOKUP($AP200,OFFSET([1]unit_skills!$A$1,0,0,COUNTA([1]unit_skills!$A:$A),MATCH("comment",[1]unit_skills!$1:$1,0)-MATCH($AP$1,[1]unit_skills!$1:$1,0)+1),MATCH("comment",[1]unit_skills!$1:$1,0)-MATCH($AP$1,[1]unit_skills!$1:$1,0)+1,FALSE)</f>
        <v>#VALUE!</v>
      </c>
      <c r="AS200" s="77" t="e">
        <f ca="1">VLOOKUP($AP200,OFFSET([1]unit_skills!$A$1,0,0,COUNTA([1]unit_skills!$A:$A),MATCH(AS$1,[1]unit_skills!$1:$1,0)-MATCH($AP$1,[1]unit_skills!$1:$1,0)+1),MATCH(AS$1,[1]unit_skills!$1:$1,0)-MATCH($AP$1,[1]unit_skills!$1:$1,0)+1,FALSE)</f>
        <v>#VALUE!</v>
      </c>
      <c r="AT200" s="97">
        <v>123003</v>
      </c>
      <c r="AU200" s="77" t="e">
        <f ca="1">VLOOKUP($AT200,OFFSET([1]crash_skills!$A$1,0,0,COUNTA([1]crash_skills!$A:$A),MATCH("name",[1]crash_skills!$1:$1,0)-MATCH($AT$1,[1]crash_skills!$1:$1,0)+1),MATCH("name",[1]crash_skills!$1:$1,0)-MATCH($AT$1,[1]crash_skills!$1:$1,0)+1,FALSE)</f>
        <v>#VALUE!</v>
      </c>
      <c r="AV200" s="77" t="e">
        <f ca="1">VLOOKUP($AT200,OFFSET([1]crash_skills!$A$1,0,0,COUNTA([1]crash_skills!$A:$A),MATCH("comment",[1]crash_skills!$1:$1,0)-MATCH($AT$1,[1]crash_skills!$1:$1,0)+1),MATCH("comment",[1]crash_skills!$1:$1,0)-MATCH($AT$1,[1]crash_skills!$1:$1,0)+1,FALSE)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00" s="77" t="e">
        <f ca="1">VLOOKUP($AT200,OFFSET([1]crash_skills!$A$1,0,0,COUNTA([1]crash_skills!$A:$A),MATCH(AW$1,[1]crash_skills!$1:$1,0)-MATCH($AT$1,[1]crash_skills!$1:$1,0)+1),MATCH(AW$1,[1]crash_skills!$1:$1,0)-MATCH($AT$1,[1]crash_skills!$1:$1,0)+1,FALSE)</f>
        <v>#VALUE!</v>
      </c>
      <c r="AX200" s="81">
        <f ca="1">VLOOKUP($A200,OFFSET([2]characters!$A$1,0,0,COUNTA([2]characters!$A:$A),MATCH(AX$1,[2]characters!$1:$1,0)-MATCH($A$1,[2]characters!$1:$1,0)+1),MATCH(AX$1,[2]characters!$1:$1,0)-MATCH($A$1,[2]characters!$1:$1,0)+1,FALSE)</f>
        <v>3</v>
      </c>
      <c r="AY200" s="19">
        <v>1</v>
      </c>
      <c r="AZ200" s="19">
        <v>1</v>
      </c>
      <c r="BA200" s="19">
        <v>0</v>
      </c>
      <c r="BB200" s="19">
        <v>1</v>
      </c>
      <c r="BC200" s="14">
        <f ca="1">INDEX('RC6SV'!$A$1:$G$20,MATCH(H200,'RC6SV'!$A$1:$A$20,FALSE),MATCH(G200,'RC6SV'!$A$1:$G$1,FALSE))</f>
        <v>4900</v>
      </c>
      <c r="BD200" s="63">
        <f t="shared" ca="1" si="25"/>
        <v>4900</v>
      </c>
      <c r="BE200" s="14">
        <f t="shared" ca="1" si="26"/>
        <v>0</v>
      </c>
      <c r="BF200" s="14">
        <f t="shared" ca="1" si="27"/>
        <v>1</v>
      </c>
      <c r="BG200" s="20">
        <f ca="1">IF($BE200&lt;=0,ROUND(BK200*0.5,0), ROUND($BE200*S200*AA200*J200*AY200*0.8*[2]ステータス!$B$2,0))</f>
        <v>1152</v>
      </c>
      <c r="BH200" s="20">
        <f ca="1">IF($BE200&lt;=0,ROUND(BL200*0.5,0), ROUND($BE200*T200*AB200*K200*AZ200*0.8*[2]ステータス!$C$2,0))</f>
        <v>713</v>
      </c>
      <c r="BI200" s="20">
        <f ca="1">IF($BE200&lt;=0,ROUND(BM200*0.5,0), ROUND($BE200*U200*AC200*L200*BA200*0.8*[2]ステータス!$D$2,0))</f>
        <v>0</v>
      </c>
      <c r="BJ200" s="20">
        <f ca="1">IF($BE200&lt;=0,ROUND(BN200*0.5,0), ROUND($BE200*V200*AD200*M200*BB200*0.8*[2]ステータス!$E$2,0))</f>
        <v>669</v>
      </c>
      <c r="BK200" s="14">
        <f ca="1">ROUND(BD200*S200*AA200*J200*AY200*[2]ステータス!$B$2,0)</f>
        <v>2303</v>
      </c>
      <c r="BL200" s="14">
        <f ca="1">ROUND(BD200*T200*AB200*K200*AZ200*[2]ステータス!$C$2,0)</f>
        <v>1426</v>
      </c>
      <c r="BM200" s="14">
        <f ca="1">ROUND(BD200*U200*AC200*L200*BA200*[2]ステータス!$D$2,0)</f>
        <v>0</v>
      </c>
      <c r="BN200" s="14">
        <f ca="1">ROUND(BD200*V200*AD200*M200*BB200*[2]ステータス!$E$2,0)</f>
        <v>1337</v>
      </c>
      <c r="BO200" s="13">
        <v>0</v>
      </c>
      <c r="BP200" s="13">
        <v>1</v>
      </c>
      <c r="BQ200" s="13" t="s">
        <v>102</v>
      </c>
      <c r="BR200" s="13">
        <f ca="1">VLOOKUP(H200,ghosts_label!$A$2:$B$19,2,FALSE)</f>
        <v>600</v>
      </c>
    </row>
    <row r="201" spans="1:70" ht="21" customHeight="1" x14ac:dyDescent="0.15">
      <c r="A201" s="14">
        <f t="shared" ca="1" si="22"/>
        <v>200</v>
      </c>
      <c r="B201" s="77" t="str">
        <f ca="1">VLOOKUP($A201,OFFSET([2]characters!$A$1,0,0,COUNTA([2]characters!$A:$A),MATCH(B$1,[2]characters!$1:$1,0)-MATCH($A$1,[2]characters!$1:$1,0)+1),MATCH(B$1,[2]characters!$1:$1,0)-MATCH($A$1,[2]characters!$1:$1,0)+1,FALSE)</f>
        <v>大剣士 ジークフリート</v>
      </c>
      <c r="C201" s="77" t="str">
        <f ca="1">VLOOKUP($A201,OFFSET([2]characters!$A$1,0,0,COUNTA([2]characters!$A:$A),MATCH(C$1,[2]characters!$1:$1,0)-MATCH($A$1,[2]characters!$1:$1,0)+1),MATCH(C$1,[2]characters!$1:$1,0)-MATCH($A$1,[2]characters!$1:$1,0)+1,FALSE)</f>
        <v>初期ガチャ</v>
      </c>
      <c r="D201" s="77" t="str">
        <f ca="1">VLOOKUP($A201,OFFSET([2]characters!$A$1,0,0,COUNTA([2]characters!$A:$A),MATCH(D$1,[2]characters!$1:$1,0)-MATCH($A$1,[2]characters!$1:$1,0)+1),MATCH(D$1,[2]characters!$1:$1,0)-MATCH($A$1,[2]characters!$1:$1,0)+1,FALSE)</f>
        <v>守護者</v>
      </c>
      <c r="E201" s="77" t="str">
        <f ca="1">VLOOKUP($A201,OFFSET([2]characters!$A$1,0,0,COUNTA([2]characters!$A:$A),MATCH(E$1,[2]characters!$1:$1,0)-MATCH($A$1,[2]characters!$1:$1,0)+1),MATCH(E$1,[2]characters!$1:$1,0)-MATCH($A$1,[2]characters!$1:$1,0)+1,FALSE)</f>
        <v>格好いい</v>
      </c>
      <c r="F201" s="77" t="str">
        <f ca="1">VLOOKUP($A201,OFFSET([2]characters!$A$1,0,0,COUNTA([2]characters!$A:$A),MATCH(F$1,[2]characters!$1:$1,0)-MATCH($A$1,[2]characters!$1:$1,0)+1),MATCH(F$1,[2]characters!$1:$1,0)-MATCH($A$1,[2]characters!$1:$1,0)+1,FALSE)</f>
        <v>男性</v>
      </c>
      <c r="G201" s="77">
        <f ca="1">VLOOKUP($A201,OFFSET([2]characters!$A$1,0,0,COUNTA([2]characters!$A:$A),MATCH(G$1,[2]characters!$1:$1,0)-MATCH($A$1,[2]characters!$1:$1,0)+1),MATCH(G$1,[2]characters!$1:$1,0)-MATCH($A$1,[2]characters!$1:$1,0)+1,FALSE)</f>
        <v>4</v>
      </c>
      <c r="H201" s="77" t="str">
        <f ca="1">VLOOKUP($A201,OFFSET([2]characters!$A$1,0,0,COUNTA([2]characters!$A:$A),MATCH(H$1,[2]characters!$1:$1,0)-MATCH($A$1,[2]characters!$1:$1,0)+1),MATCH(H$1,[2]characters!$1:$1,0)-MATCH($A$1,[2]characters!$1:$1,0)+1,FALSE)</f>
        <v>PremiumN</v>
      </c>
      <c r="I201" s="77" t="str">
        <f ca="1">VLOOKUP($A201,OFFSET([2]characters!$A$1,0,0,COUNTA([2]characters!$A:$A),MATCH(I$1,[2]characters!$1:$1,0)-MATCH($A$1,[2]characters!$1:$1,0)+1),MATCH(I$1,[2]characters!$1:$1,0)-MATCH($A$1,[2]characters!$1:$1,0)+1,FALSE)</f>
        <v>blue</v>
      </c>
      <c r="J201" s="14">
        <f ca="1">VLOOKUP(I201,[2]属性!$A:$E,2,FALSE)</f>
        <v>1</v>
      </c>
      <c r="K201" s="14">
        <f ca="1">VLOOKUP(I201,[2]属性!$A:$E,3,FALSE)</f>
        <v>0.98</v>
      </c>
      <c r="L201" s="14">
        <f ca="1">VLOOKUP(I201,[2]属性!$A:$E,4,FALSE)</f>
        <v>1</v>
      </c>
      <c r="M201" s="14">
        <f ca="1">VLOOKUP(I201,[2]属性!$A:$E,5,FALSE)</f>
        <v>1.02</v>
      </c>
      <c r="N201" s="14">
        <f ca="1">INDEX(コスト!$A$1:$I$20,MATCH(H201,コスト!$A$1:$A$20,FALSE),MATCH(G201,コスト!$A$1:$I$1,FALSE))</f>
        <v>18</v>
      </c>
      <c r="O201" s="14">
        <f ca="1">INDEX(レベル!$A$1:$I$21,MATCH(H201,レベル!$A$1:$A$21,FALSE),MATCH(G201,レベル!$A$1:$I$1,FALSE))</f>
        <v>60</v>
      </c>
      <c r="P201" s="63">
        <f t="shared" ca="1" si="28"/>
        <v>60</v>
      </c>
      <c r="Q201" s="77" t="str">
        <f ca="1">VLOOKUP($A201,OFFSET([2]characters!$A$1,0,0,COUNTA([2]characters!$A:$A),MATCH(Q$1,[2]characters!$1:$1,0)-MATCH($A$1,[2]characters!$1:$1,0)+1),MATCH(Q$1,[2]characters!$1:$1,0)-MATCH($A$1,[2]characters!$1:$1,0)+1,FALSE)</f>
        <v>balance</v>
      </c>
      <c r="R201" s="8" t="str">
        <f ca="1">VLOOKUP(Q201,[2]character_type_i18n!$A:$H,3,FALSE)</f>
        <v>バランスタイプ</v>
      </c>
      <c r="S201" s="14">
        <f ca="1">VLOOKUP(Q201,[2]character_type_i18n!$A:$H,4,FALSE)</f>
        <v>1</v>
      </c>
      <c r="T201" s="14">
        <f ca="1">VLOOKUP(Q201,[2]character_type_i18n!$A:$H,5,FALSE)</f>
        <v>1</v>
      </c>
      <c r="U201" s="14">
        <f ca="1">VLOOKUP(Q201,[2]character_type_i18n!$A:$H,6,FALSE)</f>
        <v>1</v>
      </c>
      <c r="V201" s="14">
        <f ca="1">VLOOKUP(Q201,[2]character_type_i18n!$A:$H,7,FALSE)</f>
        <v>1</v>
      </c>
      <c r="W201" s="77" t="str">
        <f ca="1">VLOOKUP($A201,OFFSET([2]characters!$A$1,0,0,COUNTA([2]characters!$A:$A),MATCH(W$1,[2]characters!$1:$1,0)-MATCH($A$1,[2]characters!$1:$1,0)+1),MATCH(W$1,[2]characters!$1:$1,0)-MATCH($A$1,[2]characters!$1:$1,0)+1,FALSE)</f>
        <v>human</v>
      </c>
      <c r="X201" s="8" t="str">
        <f ca="1">VLOOKUP(W201,[2]character_tribe_i18n!$A:$H,3,FALSE)</f>
        <v>ヒューマン</v>
      </c>
      <c r="Y201" s="77" t="str">
        <f ca="1">VLOOKUP($A201,OFFSET([2]characters!$A$1,0,0,COUNTA([2]characters!$A:$A),MATCH(Y$1,[2]characters!$1:$1,0)-MATCH($A$1,[2]characters!$1:$1,0)+1),MATCH(Y$1,[2]characters!$1:$1,0)-MATCH($A$1,[2]characters!$1:$1,0)+1,FALSE)</f>
        <v>none</v>
      </c>
      <c r="Z201" s="8" t="str">
        <f ca="1">VLOOKUP(Y201,[2]character_tribe_i18n!$A:$H,3,FALSE)</f>
        <v>種族なし</v>
      </c>
      <c r="AA201" s="14">
        <f ca="1">VLOOKUP(W201,[2]character_tribe_i18n!$A:$H,4,FALSE)</f>
        <v>0.94</v>
      </c>
      <c r="AB201" s="14">
        <f ca="1">VLOOKUP(W201,[2]character_tribe_i18n!$A:$H,5,FALSE)</f>
        <v>0.99</v>
      </c>
      <c r="AC201" s="14">
        <f ca="1">VLOOKUP(W201,[2]character_tribe_i18n!$A:$H,6,FALSE)</f>
        <v>1</v>
      </c>
      <c r="AD201" s="14">
        <f ca="1">VLOOKUP(W201,[2]character_tribe_i18n!$A:$H,7,FALSE)</f>
        <v>1.07</v>
      </c>
      <c r="AE201" s="12">
        <v>201</v>
      </c>
      <c r="AF201" s="85" t="str">
        <f ca="1">IF(AE201="NULL","",VLOOKUP($AE201,OFFSET([2]characters!$A$1,0,0,COUNTA([2]characters!$A:$A),MATCH(AF$1,[2]characters!$1:$1,0)-MATCH($A$1,[2]characters!$1:$1,0)+1),MATCH(AF$1,[2]characters!$1:$1,0)-MATCH($A$1,[2]characters!$1:$1,0)+1,FALSE))</f>
        <v>斬空の大破剣 ジークフリート</v>
      </c>
      <c r="AG201" s="8">
        <f t="shared" ca="1" si="23"/>
        <v>199</v>
      </c>
      <c r="AH201" s="85" t="str">
        <f ca="1">VLOOKUP($AG201,OFFSET([2]characters!$A$1,0,0,COUNTA([2]characters!$A:$A),MATCH(AH$1,[2]characters!$1:$1,0)-MATCH($A$1,[2]characters!$1:$1,0)+1),MATCH(AH$1,[2]characters!$1:$1,0)-MATCH($A$1,[2]characters!$1:$1,0)+1,FALSE)</f>
        <v>ジークフリート</v>
      </c>
      <c r="AI201" s="14">
        <f ca="1">IF(AE201="NULL","NULL",VLOOKUP(G201,ビット!$A$2:$B$7,2))</f>
        <v>50000</v>
      </c>
      <c r="AJ201" s="9">
        <v>2</v>
      </c>
      <c r="AK201" s="10" t="str">
        <f t="shared" si="24"/>
        <v>普通</v>
      </c>
      <c r="AL201" s="14" t="str">
        <f ca="1">INDEX(経験値!$A$1:$I$20,MATCH(H201,経験値!$A$1:$A$20,FALSE),MATCH(G201,経験値!$A$1:$I$1,FALSE))</f>
        <v>required_exp_200</v>
      </c>
      <c r="AM201" s="11">
        <f ca="1">VLOOKUP(G201,経験値!$A$27:$B$31,2)</f>
        <v>3400</v>
      </c>
      <c r="AN201" s="21">
        <f ca="1">VLOOKUP(G201,ビット!$G$2:$H$7,2)</f>
        <v>600</v>
      </c>
      <c r="AO201" s="98" t="s">
        <v>178</v>
      </c>
      <c r="AP201" s="97">
        <v>313023</v>
      </c>
      <c r="AQ201" s="77" t="e">
        <f ca="1">VLOOKUP($AP201,OFFSET([1]unit_skills!$A$1,0,0,COUNTA([1]unit_skills!$A:$A),MATCH("name",[1]unit_skills!$1:$1,0)-MATCH($AP$1,[1]unit_skills!$1:$1,0)+1),MATCH("name",[1]unit_skills!$1:$1,0)-MATCH($AP$1,[1]unit_skills!$1:$1,0)+1,FALSE)</f>
        <v>#VALUE!</v>
      </c>
      <c r="AR201" s="77" t="e">
        <f ca="1">VLOOKUP($AP201,OFFSET([1]unit_skills!$A$1,0,0,COUNTA([1]unit_skills!$A:$A),MATCH("comment",[1]unit_skills!$1:$1,0)-MATCH($AP$1,[1]unit_skills!$1:$1,0)+1),MATCH("comment",[1]unit_skills!$1:$1,0)-MATCH($AP$1,[1]unit_skills!$1:$1,0)+1,FALSE)</f>
        <v>#VALUE!</v>
      </c>
      <c r="AS201" s="77" t="e">
        <f ca="1">VLOOKUP($AP201,OFFSET([1]unit_skills!$A$1,0,0,COUNTA([1]unit_skills!$A:$A),MATCH(AS$1,[1]unit_skills!$1:$1,0)-MATCH($AP$1,[1]unit_skills!$1:$1,0)+1),MATCH(AS$1,[1]unit_skills!$1:$1,0)-MATCH($AP$1,[1]unit_skills!$1:$1,0)+1,FALSE)</f>
        <v>#VALUE!</v>
      </c>
      <c r="AT201" s="97">
        <v>123004</v>
      </c>
      <c r="AU201" s="77" t="e">
        <f ca="1">VLOOKUP($AT201,OFFSET([1]crash_skills!$A$1,0,0,COUNTA([1]crash_skills!$A:$A),MATCH("name",[1]crash_skills!$1:$1,0)-MATCH($AT$1,[1]crash_skills!$1:$1,0)+1),MATCH("name",[1]crash_skills!$1:$1,0)-MATCH($AT$1,[1]crash_skills!$1:$1,0)+1,FALSE)</f>
        <v>#VALUE!</v>
      </c>
      <c r="AV201" s="77" t="e">
        <f ca="1">VLOOKUP($AT201,OFFSET([1]crash_skills!$A$1,0,0,COUNTA([1]crash_skills!$A:$A),MATCH("comment",[1]crash_skills!$1:$1,0)-MATCH($AT$1,[1]crash_skills!$1:$1,0)+1),MATCH("comment",[1]crash_skills!$1:$1,0)-MATCH($AT$1,[1]crash_skills!$1:$1,0)+1,FALSE)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01" s="77" t="e">
        <f ca="1">VLOOKUP($AT201,OFFSET([1]crash_skills!$A$1,0,0,COUNTA([1]crash_skills!$A:$A),MATCH(AW$1,[1]crash_skills!$1:$1,0)-MATCH($AT$1,[1]crash_skills!$1:$1,0)+1),MATCH(AW$1,[1]crash_skills!$1:$1,0)-MATCH($AT$1,[1]crash_skills!$1:$1,0)+1,FALSE)</f>
        <v>#VALUE!</v>
      </c>
      <c r="AX201" s="81">
        <f ca="1">VLOOKUP($A201,OFFSET([2]characters!$A$1,0,0,COUNTA([2]characters!$A:$A),MATCH(AX$1,[2]characters!$1:$1,0)-MATCH($A$1,[2]characters!$1:$1,0)+1),MATCH(AX$1,[2]characters!$1:$1,0)-MATCH($A$1,[2]characters!$1:$1,0)+1,FALSE)</f>
        <v>3</v>
      </c>
      <c r="AY201" s="19">
        <v>1</v>
      </c>
      <c r="AZ201" s="19">
        <v>1</v>
      </c>
      <c r="BA201" s="19">
        <v>0</v>
      </c>
      <c r="BB201" s="19">
        <v>1</v>
      </c>
      <c r="BC201" s="14">
        <f ca="1">INDEX('RC6SV'!$A$1:$G$20,MATCH(H201,'RC6SV'!$A$1:$A$20,FALSE),MATCH(G201,'RC6SV'!$A$1:$G$1,FALSE))</f>
        <v>6700</v>
      </c>
      <c r="BD201" s="63">
        <f t="shared" ca="1" si="25"/>
        <v>6700</v>
      </c>
      <c r="BE201" s="14">
        <f t="shared" ca="1" si="26"/>
        <v>4900</v>
      </c>
      <c r="BF201" s="14">
        <f t="shared" ca="1" si="27"/>
        <v>1</v>
      </c>
      <c r="BG201" s="20">
        <f ca="1">IF($BE201&lt;=0,ROUND(BK201*0.5,0), ROUND($BE201*S201*AA201*J201*AY201*0.8*[2]ステータス!$B$2,0))</f>
        <v>1842</v>
      </c>
      <c r="BH201" s="20">
        <f ca="1">IF($BE201&lt;=0,ROUND(BL201*0.5,0), ROUND($BE201*T201*AB201*K201*AZ201*0.8*[2]ステータス!$C$2,0))</f>
        <v>1141</v>
      </c>
      <c r="BI201" s="20">
        <f ca="1">IF($BE201&lt;=0,ROUND(BM201*0.5,0), ROUND($BE201*U201*AC201*L201*BA201*0.8*[2]ステータス!$D$2,0))</f>
        <v>0</v>
      </c>
      <c r="BJ201" s="20">
        <f ca="1">IF($BE201&lt;=0,ROUND(BN201*0.5,0), ROUND($BE201*V201*AD201*M201*BB201*0.8*[2]ステータス!$E$2,0))</f>
        <v>1070</v>
      </c>
      <c r="BK201" s="14">
        <f ca="1">ROUND(BD201*S201*AA201*J201*AY201*[2]ステータス!$B$2,0)</f>
        <v>3149</v>
      </c>
      <c r="BL201" s="14">
        <f ca="1">ROUND(BD201*T201*AB201*K201*AZ201*[2]ステータス!$C$2,0)</f>
        <v>1950</v>
      </c>
      <c r="BM201" s="14">
        <f ca="1">ROUND(BD201*U201*AC201*L201*BA201*[2]ステータス!$D$2,0)</f>
        <v>0</v>
      </c>
      <c r="BN201" s="14">
        <f ca="1">ROUND(BD201*V201*AD201*M201*BB201*[2]ステータス!$E$2,0)</f>
        <v>1828</v>
      </c>
      <c r="BO201" s="13">
        <v>0</v>
      </c>
      <c r="BP201" s="13">
        <v>1</v>
      </c>
      <c r="BQ201" s="13" t="s">
        <v>102</v>
      </c>
      <c r="BR201" s="13">
        <f ca="1">VLOOKUP(H201,ghosts_label!$A$2:$B$19,2,FALSE)</f>
        <v>600</v>
      </c>
    </row>
    <row r="202" spans="1:70" ht="21" customHeight="1" x14ac:dyDescent="0.15">
      <c r="A202" s="14">
        <f t="shared" ca="1" si="22"/>
        <v>201</v>
      </c>
      <c r="B202" s="77" t="str">
        <f ca="1">VLOOKUP($A202,OFFSET([2]characters!$A$1,0,0,COUNTA([2]characters!$A:$A),MATCH(B$1,[2]characters!$1:$1,0)-MATCH($A$1,[2]characters!$1:$1,0)+1),MATCH(B$1,[2]characters!$1:$1,0)-MATCH($A$1,[2]characters!$1:$1,0)+1,FALSE)</f>
        <v>斬空の大破剣 ジークフリート</v>
      </c>
      <c r="C202" s="77" t="str">
        <f ca="1">VLOOKUP($A202,OFFSET([2]characters!$A$1,0,0,COUNTA([2]characters!$A:$A),MATCH(C$1,[2]characters!$1:$1,0)-MATCH($A$1,[2]characters!$1:$1,0)+1),MATCH(C$1,[2]characters!$1:$1,0)-MATCH($A$1,[2]characters!$1:$1,0)+1,FALSE)</f>
        <v>初期ガチャ</v>
      </c>
      <c r="D202" s="77" t="str">
        <f ca="1">VLOOKUP($A202,OFFSET([2]characters!$A$1,0,0,COUNTA([2]characters!$A:$A),MATCH(D$1,[2]characters!$1:$1,0)-MATCH($A$1,[2]characters!$1:$1,0)+1),MATCH(D$1,[2]characters!$1:$1,0)-MATCH($A$1,[2]characters!$1:$1,0)+1,FALSE)</f>
        <v>守護者</v>
      </c>
      <c r="E202" s="77" t="str">
        <f ca="1">VLOOKUP($A202,OFFSET([2]characters!$A$1,0,0,COUNTA([2]characters!$A:$A),MATCH(E$1,[2]characters!$1:$1,0)-MATCH($A$1,[2]characters!$1:$1,0)+1),MATCH(E$1,[2]characters!$1:$1,0)-MATCH($A$1,[2]characters!$1:$1,0)+1,FALSE)</f>
        <v>格好いい</v>
      </c>
      <c r="F202" s="77" t="str">
        <f ca="1">VLOOKUP($A202,OFFSET([2]characters!$A$1,0,0,COUNTA([2]characters!$A:$A),MATCH(F$1,[2]characters!$1:$1,0)-MATCH($A$1,[2]characters!$1:$1,0)+1),MATCH(F$1,[2]characters!$1:$1,0)-MATCH($A$1,[2]characters!$1:$1,0)+1,FALSE)</f>
        <v>男性</v>
      </c>
      <c r="G202" s="77">
        <f ca="1">VLOOKUP($A202,OFFSET([2]characters!$A$1,0,0,COUNTA([2]characters!$A:$A),MATCH(G$1,[2]characters!$1:$1,0)-MATCH($A$1,[2]characters!$1:$1,0)+1),MATCH(G$1,[2]characters!$1:$1,0)-MATCH($A$1,[2]characters!$1:$1,0)+1,FALSE)</f>
        <v>5</v>
      </c>
      <c r="H202" s="77" t="str">
        <f ca="1">VLOOKUP($A202,OFFSET([2]characters!$A$1,0,0,COUNTA([2]characters!$A:$A),MATCH(H$1,[2]characters!$1:$1,0)-MATCH($A$1,[2]characters!$1:$1,0)+1),MATCH(H$1,[2]characters!$1:$1,0)-MATCH($A$1,[2]characters!$1:$1,0)+1,FALSE)</f>
        <v>PremiumN</v>
      </c>
      <c r="I202" s="77" t="str">
        <f ca="1">VLOOKUP($A202,OFFSET([2]characters!$A$1,0,0,COUNTA([2]characters!$A:$A),MATCH(I$1,[2]characters!$1:$1,0)-MATCH($A$1,[2]characters!$1:$1,0)+1),MATCH(I$1,[2]characters!$1:$1,0)-MATCH($A$1,[2]characters!$1:$1,0)+1,FALSE)</f>
        <v>blue</v>
      </c>
      <c r="J202" s="14">
        <f ca="1">VLOOKUP(I202,[2]属性!$A:$E,2,FALSE)</f>
        <v>1</v>
      </c>
      <c r="K202" s="14">
        <f ca="1">VLOOKUP(I202,[2]属性!$A:$E,3,FALSE)</f>
        <v>0.98</v>
      </c>
      <c r="L202" s="14">
        <f ca="1">VLOOKUP(I202,[2]属性!$A:$E,4,FALSE)</f>
        <v>1</v>
      </c>
      <c r="M202" s="14">
        <f ca="1">VLOOKUP(I202,[2]属性!$A:$E,5,FALSE)</f>
        <v>1.02</v>
      </c>
      <c r="N202" s="14">
        <f ca="1">INDEX(コスト!$A$1:$I$20,MATCH(H202,コスト!$A$1:$A$20,FALSE),MATCH(G202,コスト!$A$1:$I$1,FALSE))</f>
        <v>28</v>
      </c>
      <c r="O202" s="14">
        <f ca="1">INDEX(レベル!$A$1:$I$21,MATCH(H202,レベル!$A$1:$A$21,FALSE),MATCH(G202,レベル!$A$1:$I$1,FALSE))</f>
        <v>80</v>
      </c>
      <c r="P202" s="63">
        <f t="shared" ca="1" si="28"/>
        <v>75</v>
      </c>
      <c r="Q202" s="77" t="str">
        <f ca="1">VLOOKUP($A202,OFFSET([2]characters!$A$1,0,0,COUNTA([2]characters!$A:$A),MATCH(Q$1,[2]characters!$1:$1,0)-MATCH($A$1,[2]characters!$1:$1,0)+1),MATCH(Q$1,[2]characters!$1:$1,0)-MATCH($A$1,[2]characters!$1:$1,0)+1,FALSE)</f>
        <v>balance</v>
      </c>
      <c r="R202" s="8" t="str">
        <f ca="1">VLOOKUP(Q202,[2]character_type_i18n!$A:$H,3,FALSE)</f>
        <v>バランスタイプ</v>
      </c>
      <c r="S202" s="14">
        <f ca="1">VLOOKUP(Q202,[2]character_type_i18n!$A:$H,4,FALSE)</f>
        <v>1</v>
      </c>
      <c r="T202" s="14">
        <f ca="1">VLOOKUP(Q202,[2]character_type_i18n!$A:$H,5,FALSE)</f>
        <v>1</v>
      </c>
      <c r="U202" s="14">
        <f ca="1">VLOOKUP(Q202,[2]character_type_i18n!$A:$H,6,FALSE)</f>
        <v>1</v>
      </c>
      <c r="V202" s="14">
        <f ca="1">VLOOKUP(Q202,[2]character_type_i18n!$A:$H,7,FALSE)</f>
        <v>1</v>
      </c>
      <c r="W202" s="77" t="str">
        <f ca="1">VLOOKUP($A202,OFFSET([2]characters!$A$1,0,0,COUNTA([2]characters!$A:$A),MATCH(W$1,[2]characters!$1:$1,0)-MATCH($A$1,[2]characters!$1:$1,0)+1),MATCH(W$1,[2]characters!$1:$1,0)-MATCH($A$1,[2]characters!$1:$1,0)+1,FALSE)</f>
        <v>human</v>
      </c>
      <c r="X202" s="8" t="str">
        <f ca="1">VLOOKUP(W202,[2]character_tribe_i18n!$A:$H,3,FALSE)</f>
        <v>ヒューマン</v>
      </c>
      <c r="Y202" s="77" t="str">
        <f ca="1">VLOOKUP($A202,OFFSET([2]characters!$A$1,0,0,COUNTA([2]characters!$A:$A),MATCH(Y$1,[2]characters!$1:$1,0)-MATCH($A$1,[2]characters!$1:$1,0)+1),MATCH(Y$1,[2]characters!$1:$1,0)-MATCH($A$1,[2]characters!$1:$1,0)+1,FALSE)</f>
        <v>none</v>
      </c>
      <c r="Z202" s="8" t="str">
        <f ca="1">VLOOKUP(Y202,[2]character_tribe_i18n!$A:$H,3,FALSE)</f>
        <v>種族なし</v>
      </c>
      <c r="AA202" s="14">
        <f ca="1">VLOOKUP(W202,[2]character_tribe_i18n!$A:$H,4,FALSE)</f>
        <v>0.94</v>
      </c>
      <c r="AB202" s="14">
        <f ca="1">VLOOKUP(W202,[2]character_tribe_i18n!$A:$H,5,FALSE)</f>
        <v>0.99</v>
      </c>
      <c r="AC202" s="14">
        <f ca="1">VLOOKUP(W202,[2]character_tribe_i18n!$A:$H,6,FALSE)</f>
        <v>1</v>
      </c>
      <c r="AD202" s="14">
        <f ca="1">VLOOKUP(W202,[2]character_tribe_i18n!$A:$H,7,FALSE)</f>
        <v>1.07</v>
      </c>
      <c r="AE202" s="12" t="s">
        <v>102</v>
      </c>
      <c r="AF202" s="85" t="str">
        <f ca="1">IF(AE202="NULL","",VLOOKUP($AE202,OFFSET([2]characters!$A$1,0,0,COUNTA([2]characters!$A:$A),MATCH(AF$1,[2]characters!$1:$1,0)-MATCH($A$1,[2]characters!$1:$1,0)+1),MATCH(AF$1,[2]characters!$1:$1,0)-MATCH($A$1,[2]characters!$1:$1,0)+1,FALSE))</f>
        <v/>
      </c>
      <c r="AG202" s="8">
        <f t="shared" ca="1" si="23"/>
        <v>199</v>
      </c>
      <c r="AH202" s="85" t="str">
        <f ca="1">VLOOKUP($AG202,OFFSET([2]characters!$A$1,0,0,COUNTA([2]characters!$A:$A),MATCH(AH$1,[2]characters!$1:$1,0)-MATCH($A$1,[2]characters!$1:$1,0)+1),MATCH(AH$1,[2]characters!$1:$1,0)-MATCH($A$1,[2]characters!$1:$1,0)+1,FALSE)</f>
        <v>ジークフリート</v>
      </c>
      <c r="AI202" s="14" t="str">
        <f>IF(AE202="NULL","NULL",VLOOKUP(G202,ビット!$A$2:$B$7,2))</f>
        <v>NULL</v>
      </c>
      <c r="AJ202" s="9">
        <v>2</v>
      </c>
      <c r="AK202" s="10" t="str">
        <f t="shared" si="24"/>
        <v>普通</v>
      </c>
      <c r="AL202" s="14" t="str">
        <f ca="1">INDEX(経験値!$A$1:$I$20,MATCH(H202,経験値!$A$1:$A$20,FALSE),MATCH(G202,経験値!$A$1:$I$1,FALSE))</f>
        <v>required_exp_200</v>
      </c>
      <c r="AM202" s="11">
        <f ca="1">VLOOKUP(G202,経験値!$A$27:$B$31,2)</f>
        <v>6400</v>
      </c>
      <c r="AN202" s="21">
        <f ca="1">VLOOKUP(G202,ビット!$G$2:$H$7,2)</f>
        <v>900</v>
      </c>
      <c r="AO202" s="98" t="s">
        <v>178</v>
      </c>
      <c r="AP202" s="97">
        <v>313024</v>
      </c>
      <c r="AQ202" s="77" t="e">
        <f ca="1">VLOOKUP($AP202,OFFSET([1]unit_skills!$A$1,0,0,COUNTA([1]unit_skills!$A:$A),MATCH("name",[1]unit_skills!$1:$1,0)-MATCH($AP$1,[1]unit_skills!$1:$1,0)+1),MATCH("name",[1]unit_skills!$1:$1,0)-MATCH($AP$1,[1]unit_skills!$1:$1,0)+1,FALSE)</f>
        <v>#VALUE!</v>
      </c>
      <c r="AR202" s="77" t="e">
        <f ca="1">VLOOKUP($AP202,OFFSET([1]unit_skills!$A$1,0,0,COUNTA([1]unit_skills!$A:$A),MATCH("comment",[1]unit_skills!$1:$1,0)-MATCH($AP$1,[1]unit_skills!$1:$1,0)+1),MATCH("comment",[1]unit_skills!$1:$1,0)-MATCH($AP$1,[1]unit_skills!$1:$1,0)+1,FALSE)</f>
        <v>#VALUE!</v>
      </c>
      <c r="AS202" s="77" t="e">
        <f ca="1">VLOOKUP($AP202,OFFSET([1]unit_skills!$A$1,0,0,COUNTA([1]unit_skills!$A:$A),MATCH(AS$1,[1]unit_skills!$1:$1,0)-MATCH($AP$1,[1]unit_skills!$1:$1,0)+1),MATCH(AS$1,[1]unit_skills!$1:$1,0)-MATCH($AP$1,[1]unit_skills!$1:$1,0)+1,FALSE)</f>
        <v>#VALUE!</v>
      </c>
      <c r="AT202" s="97">
        <v>123010</v>
      </c>
      <c r="AU202" s="77" t="e">
        <f ca="1">VLOOKUP($AT202,OFFSET([1]crash_skills!$A$1,0,0,COUNTA([1]crash_skills!$A:$A),MATCH("name",[1]crash_skills!$1:$1,0)-MATCH($AT$1,[1]crash_skills!$1:$1,0)+1),MATCH("name",[1]crash_skills!$1:$1,0)-MATCH($AT$1,[1]crash_skills!$1:$1,0)+1,FALSE)</f>
        <v>#VALUE!</v>
      </c>
      <c r="AV202" s="77" t="e">
        <f ca="1">VLOOKUP($AT202,OFFSET([1]crash_skills!$A$1,0,0,COUNTA([1]crash_skills!$A:$A),MATCH("comment",[1]crash_skills!$1:$1,0)-MATCH($AT$1,[1]crash_skills!$1:$1,0)+1),MATCH("comment",[1]crash_skills!$1:$1,0)-MATCH($AT$1,[1]crash_skills!$1:$1,0)+1,FALSE)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02" s="77" t="e">
        <f ca="1">VLOOKUP($AT202,OFFSET([1]crash_skills!$A$1,0,0,COUNTA([1]crash_skills!$A:$A),MATCH(AW$1,[1]crash_skills!$1:$1,0)-MATCH($AT$1,[1]crash_skills!$1:$1,0)+1),MATCH(AW$1,[1]crash_skills!$1:$1,0)-MATCH($AT$1,[1]crash_skills!$1:$1,0)+1,FALSE)</f>
        <v>#VALUE!</v>
      </c>
      <c r="AX202" s="81">
        <f ca="1">VLOOKUP($A202,OFFSET([2]characters!$A$1,0,0,COUNTA([2]characters!$A:$A),MATCH(AX$1,[2]characters!$1:$1,0)-MATCH($A$1,[2]characters!$1:$1,0)+1),MATCH(AX$1,[2]characters!$1:$1,0)-MATCH($A$1,[2]characters!$1:$1,0)+1,FALSE)</f>
        <v>3</v>
      </c>
      <c r="AY202" s="19">
        <v>1</v>
      </c>
      <c r="AZ202" s="19">
        <v>1</v>
      </c>
      <c r="BA202" s="19">
        <v>0</v>
      </c>
      <c r="BB202" s="19">
        <v>1</v>
      </c>
      <c r="BC202" s="14">
        <f ca="1">INDEX('RC6SV'!$A$1:$G$20,MATCH(H202,'RC6SV'!$A$1:$A$20,FALSE),MATCH(G202,'RC6SV'!$A$1:$G$1,FALSE))</f>
        <v>8500</v>
      </c>
      <c r="BD202" s="63">
        <f t="shared" ca="1" si="25"/>
        <v>8500</v>
      </c>
      <c r="BE202" s="14">
        <f t="shared" ca="1" si="26"/>
        <v>6700</v>
      </c>
      <c r="BF202" s="14">
        <f t="shared" ca="1" si="27"/>
        <v>1</v>
      </c>
      <c r="BG202" s="20">
        <f ca="1">IF($BE202&lt;=0,ROUND(BK202*0.5,0), ROUND($BE202*S202*AA202*J202*AY202*0.8*[2]ステータス!$B$2,0))</f>
        <v>2519</v>
      </c>
      <c r="BH202" s="20">
        <f ca="1">IF($BE202&lt;=0,ROUND(BL202*0.5,0), ROUND($BE202*T202*AB202*K202*AZ202*0.8*[2]ステータス!$C$2,0))</f>
        <v>1560</v>
      </c>
      <c r="BI202" s="20">
        <f ca="1">IF($BE202&lt;=0,ROUND(BM202*0.5,0), ROUND($BE202*U202*AC202*L202*BA202*0.8*[2]ステータス!$D$2,0))</f>
        <v>0</v>
      </c>
      <c r="BJ202" s="20">
        <f ca="1">IF($BE202&lt;=0,ROUND(BN202*0.5,0), ROUND($BE202*V202*AD202*M202*BB202*0.8*[2]ステータス!$E$2,0))</f>
        <v>1462</v>
      </c>
      <c r="BK202" s="14">
        <f ca="1">ROUND(BD202*S202*AA202*J202*AY202*[2]ステータス!$B$2,0)</f>
        <v>3995</v>
      </c>
      <c r="BL202" s="14">
        <f ca="1">ROUND(BD202*T202*AB202*K202*AZ202*[2]ステータス!$C$2,0)</f>
        <v>2474</v>
      </c>
      <c r="BM202" s="14">
        <f ca="1">ROUND(BD202*U202*AC202*L202*BA202*[2]ステータス!$D$2,0)</f>
        <v>0</v>
      </c>
      <c r="BN202" s="14">
        <f ca="1">ROUND(BD202*V202*AD202*M202*BB202*[2]ステータス!$E$2,0)</f>
        <v>2319</v>
      </c>
      <c r="BO202" s="13">
        <v>0</v>
      </c>
      <c r="BP202" s="13">
        <v>1</v>
      </c>
      <c r="BQ202" s="13" t="s">
        <v>102</v>
      </c>
      <c r="BR202" s="13">
        <f ca="1">VLOOKUP(H202,ghosts_label!$A$2:$B$19,2,FALSE)</f>
        <v>600</v>
      </c>
    </row>
    <row r="203" spans="1:70" ht="21" customHeight="1" x14ac:dyDescent="0.15">
      <c r="A203" s="14">
        <f t="shared" ca="1" si="22"/>
        <v>202</v>
      </c>
      <c r="B203" s="77" t="str">
        <f ca="1">VLOOKUP($A203,OFFSET([2]characters!$A$1,0,0,COUNTA([2]characters!$A:$A),MATCH(B$1,[2]characters!$1:$1,0)-MATCH($A$1,[2]characters!$1:$1,0)+1),MATCH(B$1,[2]characters!$1:$1,0)-MATCH($A$1,[2]characters!$1:$1,0)+1,FALSE)</f>
        <v>プロメテウス</v>
      </c>
      <c r="C203" s="77" t="str">
        <f ca="1">VLOOKUP($A203,OFFSET([2]characters!$A$1,0,0,COUNTA([2]characters!$A:$A),MATCH(C$1,[2]characters!$1:$1,0)-MATCH($A$1,[2]characters!$1:$1,0)+1),MATCH(C$1,[2]characters!$1:$1,0)-MATCH($A$1,[2]characters!$1:$1,0)+1,FALSE)</f>
        <v>初期ガチャ</v>
      </c>
      <c r="D203" s="77" t="str">
        <f ca="1">VLOOKUP($A203,OFFSET([2]characters!$A$1,0,0,COUNTA([2]characters!$A:$A),MATCH(D$1,[2]characters!$1:$1,0)-MATCH($A$1,[2]characters!$1:$1,0)+1),MATCH(D$1,[2]characters!$1:$1,0)-MATCH($A$1,[2]characters!$1:$1,0)+1,FALSE)</f>
        <v>管理者</v>
      </c>
      <c r="E203" s="77" t="str">
        <f ca="1">VLOOKUP($A203,OFFSET([2]characters!$A$1,0,0,COUNTA([2]characters!$A:$A),MATCH(E$1,[2]characters!$1:$1,0)-MATCH($A$1,[2]characters!$1:$1,0)+1),MATCH(E$1,[2]characters!$1:$1,0)-MATCH($A$1,[2]characters!$1:$1,0)+1,FALSE)</f>
        <v>格好いい</v>
      </c>
      <c r="F203" s="77" t="str">
        <f ca="1">VLOOKUP($A203,OFFSET([2]characters!$A$1,0,0,COUNTA([2]characters!$A:$A),MATCH(F$1,[2]characters!$1:$1,0)-MATCH($A$1,[2]characters!$1:$1,0)+1),MATCH(F$1,[2]characters!$1:$1,0)-MATCH($A$1,[2]characters!$1:$1,0)+1,FALSE)</f>
        <v>男性</v>
      </c>
      <c r="G203" s="77">
        <f ca="1">VLOOKUP($A203,OFFSET([2]characters!$A$1,0,0,COUNTA([2]characters!$A:$A),MATCH(G$1,[2]characters!$1:$1,0)-MATCH($A$1,[2]characters!$1:$1,0)+1),MATCH(G$1,[2]characters!$1:$1,0)-MATCH($A$1,[2]characters!$1:$1,0)+1,FALSE)</f>
        <v>3</v>
      </c>
      <c r="H203" s="77" t="str">
        <f ca="1">VLOOKUP($A203,OFFSET([2]characters!$A$1,0,0,COUNTA([2]characters!$A:$A),MATCH(H$1,[2]characters!$1:$1,0)-MATCH($A$1,[2]characters!$1:$1,0)+1),MATCH(H$1,[2]characters!$1:$1,0)-MATCH($A$1,[2]characters!$1:$1,0)+1,FALSE)</f>
        <v>PremiumN</v>
      </c>
      <c r="I203" s="77" t="str">
        <f ca="1">VLOOKUP($A203,OFFSET([2]characters!$A$1,0,0,COUNTA([2]characters!$A:$A),MATCH(I$1,[2]characters!$1:$1,0)-MATCH($A$1,[2]characters!$1:$1,0)+1),MATCH(I$1,[2]characters!$1:$1,0)-MATCH($A$1,[2]characters!$1:$1,0)+1,FALSE)</f>
        <v>red</v>
      </c>
      <c r="J203" s="14">
        <f ca="1">VLOOKUP(I203,[2]属性!$A:$E,2,FALSE)</f>
        <v>1</v>
      </c>
      <c r="K203" s="14">
        <f ca="1">VLOOKUP(I203,[2]属性!$A:$E,3,FALSE)</f>
        <v>1.02</v>
      </c>
      <c r="L203" s="14">
        <f ca="1">VLOOKUP(I203,[2]属性!$A:$E,4,FALSE)</f>
        <v>1</v>
      </c>
      <c r="M203" s="14">
        <f ca="1">VLOOKUP(I203,[2]属性!$A:$E,5,FALSE)</f>
        <v>0.98</v>
      </c>
      <c r="N203" s="14">
        <f ca="1">INDEX(コスト!$A$1:$I$20,MATCH(H203,コスト!$A$1:$A$20,FALSE),MATCH(G203,コスト!$A$1:$I$1,FALSE))</f>
        <v>9</v>
      </c>
      <c r="O203" s="14">
        <f ca="1">INDEX(レベル!$A$1:$I$21,MATCH(H203,レベル!$A$1:$A$21,FALSE),MATCH(G203,レベル!$A$1:$I$1,FALSE))</f>
        <v>40</v>
      </c>
      <c r="P203" s="63">
        <f t="shared" ca="1" si="28"/>
        <v>45</v>
      </c>
      <c r="Q203" s="77" t="str">
        <f ca="1">VLOOKUP($A203,OFFSET([2]characters!$A$1,0,0,COUNTA([2]characters!$A:$A),MATCH(Q$1,[2]characters!$1:$1,0)-MATCH($A$1,[2]characters!$1:$1,0)+1),MATCH(Q$1,[2]characters!$1:$1,0)-MATCH($A$1,[2]characters!$1:$1,0)+1,FALSE)</f>
        <v>hp</v>
      </c>
      <c r="R203" s="8" t="str">
        <f ca="1">VLOOKUP(Q203,[2]character_type_i18n!$A:$H,3,FALSE)</f>
        <v>体力タイプ</v>
      </c>
      <c r="S203" s="14">
        <f ca="1">VLOOKUP(Q203,[2]character_type_i18n!$A:$H,4,FALSE)</f>
        <v>1.45</v>
      </c>
      <c r="T203" s="14">
        <f ca="1">VLOOKUP(Q203,[2]character_type_i18n!$A:$H,5,FALSE)</f>
        <v>0.85</v>
      </c>
      <c r="U203" s="14">
        <f ca="1">VLOOKUP(Q203,[2]character_type_i18n!$A:$H,6,FALSE)</f>
        <v>1</v>
      </c>
      <c r="V203" s="14">
        <f ca="1">VLOOKUP(Q203,[2]character_type_i18n!$A:$H,7,FALSE)</f>
        <v>0.7</v>
      </c>
      <c r="W203" s="77" t="str">
        <f ca="1">VLOOKUP($A203,OFFSET([2]characters!$A$1,0,0,COUNTA([2]characters!$A:$A),MATCH(W$1,[2]characters!$1:$1,0)-MATCH($A$1,[2]characters!$1:$1,0)+1),MATCH(W$1,[2]characters!$1:$1,0)-MATCH($A$1,[2]characters!$1:$1,0)+1,FALSE)</f>
        <v>god</v>
      </c>
      <c r="X203" s="8" t="str">
        <f ca="1">VLOOKUP(W203,[2]character_tribe_i18n!$A:$H,3,FALSE)</f>
        <v>ゴッド</v>
      </c>
      <c r="Y203" s="77" t="str">
        <f ca="1">VLOOKUP($A203,OFFSET([2]characters!$A$1,0,0,COUNTA([2]characters!$A:$A),MATCH(Y$1,[2]characters!$1:$1,0)-MATCH($A$1,[2]characters!$1:$1,0)+1),MATCH(Y$1,[2]characters!$1:$1,0)-MATCH($A$1,[2]characters!$1:$1,0)+1,FALSE)</f>
        <v>none</v>
      </c>
      <c r="Z203" s="8" t="str">
        <f ca="1">VLOOKUP(Y203,[2]character_tribe_i18n!$A:$H,3,FALSE)</f>
        <v>種族なし</v>
      </c>
      <c r="AA203" s="14">
        <f ca="1">VLOOKUP(W203,[2]character_tribe_i18n!$A:$H,4,FALSE)</f>
        <v>0.96</v>
      </c>
      <c r="AB203" s="14">
        <f ca="1">VLOOKUP(W203,[2]character_tribe_i18n!$A:$H,5,FALSE)</f>
        <v>1.02</v>
      </c>
      <c r="AC203" s="14">
        <f ca="1">VLOOKUP(W203,[2]character_tribe_i18n!$A:$H,6,FALSE)</f>
        <v>1</v>
      </c>
      <c r="AD203" s="14">
        <f ca="1">VLOOKUP(W203,[2]character_tribe_i18n!$A:$H,7,FALSE)</f>
        <v>1.02</v>
      </c>
      <c r="AE203" s="12">
        <v>203</v>
      </c>
      <c r="AF203" s="85" t="str">
        <f ca="1">IF(AE203="NULL","",VLOOKUP($AE203,OFFSET([2]characters!$A$1,0,0,COUNTA([2]characters!$A:$A),MATCH(AF$1,[2]characters!$1:$1,0)-MATCH($A$1,[2]characters!$1:$1,0)+1),MATCH(AF$1,[2]characters!$1:$1,0)-MATCH($A$1,[2]characters!$1:$1,0)+1,FALSE))</f>
        <v>焔神 プロメテウス</v>
      </c>
      <c r="AG203" s="8">
        <f t="shared" ca="1" si="23"/>
        <v>202</v>
      </c>
      <c r="AH203" s="85" t="str">
        <f ca="1">VLOOKUP($AG203,OFFSET([2]characters!$A$1,0,0,COUNTA([2]characters!$A:$A),MATCH(AH$1,[2]characters!$1:$1,0)-MATCH($A$1,[2]characters!$1:$1,0)+1),MATCH(AH$1,[2]characters!$1:$1,0)-MATCH($A$1,[2]characters!$1:$1,0)+1,FALSE)</f>
        <v>プロメテウス</v>
      </c>
      <c r="AI203" s="14">
        <f ca="1">IF(AE203="NULL","NULL",VLOOKUP(G203,ビット!$A$2:$B$7,2))</f>
        <v>20000</v>
      </c>
      <c r="AJ203" s="9">
        <v>2</v>
      </c>
      <c r="AK203" s="10" t="str">
        <f t="shared" si="24"/>
        <v>普通</v>
      </c>
      <c r="AL203" s="14" t="str">
        <f ca="1">INDEX(経験値!$A$1:$I$20,MATCH(H203,経験値!$A$1:$A$20,FALSE),MATCH(G203,経験値!$A$1:$I$1,FALSE))</f>
        <v>required_exp_200</v>
      </c>
      <c r="AM203" s="11">
        <f ca="1">VLOOKUP(G203,経験値!$A$27:$B$31,2)</f>
        <v>1500</v>
      </c>
      <c r="AN203" s="21">
        <f ca="1">VLOOKUP(G203,ビット!$G$2:$H$7,2)</f>
        <v>300</v>
      </c>
      <c r="AO203" s="98" t="s">
        <v>185</v>
      </c>
      <c r="AP203" s="97">
        <v>811001</v>
      </c>
      <c r="AQ203" s="77" t="e">
        <f ca="1">VLOOKUP($AP203,OFFSET([1]unit_skills!$A$1,0,0,COUNTA([1]unit_skills!$A:$A),MATCH("name",[1]unit_skills!$1:$1,0)-MATCH($AP$1,[1]unit_skills!$1:$1,0)+1),MATCH("name",[1]unit_skills!$1:$1,0)-MATCH($AP$1,[1]unit_skills!$1:$1,0)+1,FALSE)</f>
        <v>#VALUE!</v>
      </c>
      <c r="AR203" s="77" t="e">
        <f ca="1">VLOOKUP($AP203,OFFSET([1]unit_skills!$A$1,0,0,COUNTA([1]unit_skills!$A:$A),MATCH("comment",[1]unit_skills!$1:$1,0)-MATCH($AP$1,[1]unit_skills!$1:$1,0)+1),MATCH("comment",[1]unit_skills!$1:$1,0)-MATCH($AP$1,[1]unit_skills!$1:$1,0)+1,FALSE)</f>
        <v>#VALUE!</v>
      </c>
      <c r="AS203" s="77" t="e">
        <f ca="1">VLOOKUP($AP203,OFFSET([1]unit_skills!$A$1,0,0,COUNTA([1]unit_skills!$A:$A),MATCH(AS$1,[1]unit_skills!$1:$1,0)-MATCH($AP$1,[1]unit_skills!$1:$1,0)+1),MATCH(AS$1,[1]unit_skills!$1:$1,0)-MATCH($AP$1,[1]unit_skills!$1:$1,0)+1,FALSE)</f>
        <v>#VALUE!</v>
      </c>
      <c r="AT203" s="97">
        <v>151002</v>
      </c>
      <c r="AU203" s="77" t="e">
        <f ca="1">VLOOKUP($AT203,OFFSET([1]crash_skills!$A$1,0,0,COUNTA([1]crash_skills!$A:$A),MATCH("name",[1]crash_skills!$1:$1,0)-MATCH($AT$1,[1]crash_skills!$1:$1,0)+1),MATCH("name",[1]crash_skills!$1:$1,0)-MATCH($AT$1,[1]crash_skills!$1:$1,0)+1,FALSE)</f>
        <v>#VALUE!</v>
      </c>
      <c r="AV203" s="77" t="e">
        <f ca="1">VLOOKUP($AT203,OFFSET([1]crash_skills!$A$1,0,0,COUNTA([1]crash_skills!$A:$A),MATCH("comment",[1]crash_skills!$1:$1,0)-MATCH($AT$1,[1]crash_skills!$1:$1,0)+1),MATCH("comment",[1]crash_skills!$1:$1,0)-MATCH($AT$1,[1]crash_skills!$1:$1,0)+1,FALSE)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03" s="77" t="e">
        <f ca="1">VLOOKUP($AT203,OFFSET([1]crash_skills!$A$1,0,0,COUNTA([1]crash_skills!$A:$A),MATCH(AW$1,[1]crash_skills!$1:$1,0)-MATCH($AT$1,[1]crash_skills!$1:$1,0)+1),MATCH(AW$1,[1]crash_skills!$1:$1,0)-MATCH($AT$1,[1]crash_skills!$1:$1,0)+1,FALSE)</f>
        <v>#VALUE!</v>
      </c>
      <c r="AX203" s="81">
        <f ca="1">VLOOKUP($A203,OFFSET([2]characters!$A$1,0,0,COUNTA([2]characters!$A:$A),MATCH(AX$1,[2]characters!$1:$1,0)-MATCH($A$1,[2]characters!$1:$1,0)+1),MATCH(AX$1,[2]characters!$1:$1,0)-MATCH($A$1,[2]characters!$1:$1,0)+1,FALSE)</f>
        <v>3</v>
      </c>
      <c r="AY203" s="19">
        <v>1</v>
      </c>
      <c r="AZ203" s="19">
        <v>1</v>
      </c>
      <c r="BA203" s="19">
        <v>0</v>
      </c>
      <c r="BB203" s="19">
        <v>1</v>
      </c>
      <c r="BC203" s="14">
        <f ca="1">INDEX('RC6SV'!$A$1:$G$20,MATCH(H203,'RC6SV'!$A$1:$A$20,FALSE),MATCH(G203,'RC6SV'!$A$1:$G$1,FALSE))</f>
        <v>4900</v>
      </c>
      <c r="BD203" s="63">
        <f t="shared" ca="1" si="25"/>
        <v>4900</v>
      </c>
      <c r="BE203" s="14">
        <f t="shared" ca="1" si="26"/>
        <v>0</v>
      </c>
      <c r="BF203" s="14">
        <f t="shared" ca="1" si="27"/>
        <v>1</v>
      </c>
      <c r="BG203" s="20">
        <f ca="1">IF($BE203&lt;=0,ROUND(BK203*0.5,0), ROUND($BE203*S203*AA203*J203*AY203*0.8*[2]ステータス!$B$2,0))</f>
        <v>1705</v>
      </c>
      <c r="BH203" s="20">
        <f ca="1">IF($BE203&lt;=0,ROUND(BL203*0.5,0), ROUND($BE203*T203*AB203*K203*AZ203*0.8*[2]ステータス!$C$2,0))</f>
        <v>650</v>
      </c>
      <c r="BI203" s="20">
        <f ca="1">IF($BE203&lt;=0,ROUND(BM203*0.5,0), ROUND($BE203*U203*AC203*L203*BA203*0.8*[2]ステータス!$D$2,0))</f>
        <v>0</v>
      </c>
      <c r="BJ203" s="20">
        <f ca="1">IF($BE203&lt;=0,ROUND(BN203*0.5,0), ROUND($BE203*V203*AD203*M203*BB203*0.8*[2]ステータス!$E$2,0))</f>
        <v>429</v>
      </c>
      <c r="BK203" s="14">
        <f ca="1">ROUND(BD203*S203*AA203*J203*AY203*[2]ステータス!$B$2,0)</f>
        <v>3410</v>
      </c>
      <c r="BL203" s="14">
        <f ca="1">ROUND(BD203*T203*AB203*K203*AZ203*[2]ステータス!$C$2,0)</f>
        <v>1300</v>
      </c>
      <c r="BM203" s="14">
        <f ca="1">ROUND(BD203*U203*AC203*L203*BA203*[2]ステータス!$D$2,0)</f>
        <v>0</v>
      </c>
      <c r="BN203" s="14">
        <f ca="1">ROUND(BD203*V203*AD203*M203*BB203*[2]ステータス!$E$2,0)</f>
        <v>857</v>
      </c>
      <c r="BO203" s="13">
        <v>0</v>
      </c>
      <c r="BP203" s="13">
        <v>1</v>
      </c>
      <c r="BQ203" s="13" t="s">
        <v>102</v>
      </c>
      <c r="BR203" s="234">
        <v>700</v>
      </c>
    </row>
    <row r="204" spans="1:70" ht="21" customHeight="1" x14ac:dyDescent="0.15">
      <c r="A204" s="14">
        <f t="shared" ca="1" si="22"/>
        <v>203</v>
      </c>
      <c r="B204" s="77" t="str">
        <f ca="1">VLOOKUP($A204,OFFSET([2]characters!$A$1,0,0,COUNTA([2]characters!$A:$A),MATCH(B$1,[2]characters!$1:$1,0)-MATCH($A$1,[2]characters!$1:$1,0)+1),MATCH(B$1,[2]characters!$1:$1,0)-MATCH($A$1,[2]characters!$1:$1,0)+1,FALSE)</f>
        <v>焔神 プロメテウス</v>
      </c>
      <c r="C204" s="77" t="str">
        <f ca="1">VLOOKUP($A204,OFFSET([2]characters!$A$1,0,0,COUNTA([2]characters!$A:$A),MATCH(C$1,[2]characters!$1:$1,0)-MATCH($A$1,[2]characters!$1:$1,0)+1),MATCH(C$1,[2]characters!$1:$1,0)-MATCH($A$1,[2]characters!$1:$1,0)+1,FALSE)</f>
        <v>初期ガチャ</v>
      </c>
      <c r="D204" s="77" t="str">
        <f ca="1">VLOOKUP($A204,OFFSET([2]characters!$A$1,0,0,COUNTA([2]characters!$A:$A),MATCH(D$1,[2]characters!$1:$1,0)-MATCH($A$1,[2]characters!$1:$1,0)+1),MATCH(D$1,[2]characters!$1:$1,0)-MATCH($A$1,[2]characters!$1:$1,0)+1,FALSE)</f>
        <v>管理者</v>
      </c>
      <c r="E204" s="77" t="str">
        <f ca="1">VLOOKUP($A204,OFFSET([2]characters!$A$1,0,0,COUNTA([2]characters!$A:$A),MATCH(E$1,[2]characters!$1:$1,0)-MATCH($A$1,[2]characters!$1:$1,0)+1),MATCH(E$1,[2]characters!$1:$1,0)-MATCH($A$1,[2]characters!$1:$1,0)+1,FALSE)</f>
        <v>格好いい</v>
      </c>
      <c r="F204" s="77" t="str">
        <f ca="1">VLOOKUP($A204,OFFSET([2]characters!$A$1,0,0,COUNTA([2]characters!$A:$A),MATCH(F$1,[2]characters!$1:$1,0)-MATCH($A$1,[2]characters!$1:$1,0)+1),MATCH(F$1,[2]characters!$1:$1,0)-MATCH($A$1,[2]characters!$1:$1,0)+1,FALSE)</f>
        <v>男性</v>
      </c>
      <c r="G204" s="77">
        <f ca="1">VLOOKUP($A204,OFFSET([2]characters!$A$1,0,0,COUNTA([2]characters!$A:$A),MATCH(G$1,[2]characters!$1:$1,0)-MATCH($A$1,[2]characters!$1:$1,0)+1),MATCH(G$1,[2]characters!$1:$1,0)-MATCH($A$1,[2]characters!$1:$1,0)+1,FALSE)</f>
        <v>4</v>
      </c>
      <c r="H204" s="77" t="str">
        <f ca="1">VLOOKUP($A204,OFFSET([2]characters!$A$1,0,0,COUNTA([2]characters!$A:$A),MATCH(H$1,[2]characters!$1:$1,0)-MATCH($A$1,[2]characters!$1:$1,0)+1),MATCH(H$1,[2]characters!$1:$1,0)-MATCH($A$1,[2]characters!$1:$1,0)+1,FALSE)</f>
        <v>PremiumN</v>
      </c>
      <c r="I204" s="77" t="str">
        <f ca="1">VLOOKUP($A204,OFFSET([2]characters!$A$1,0,0,COUNTA([2]characters!$A:$A),MATCH(I$1,[2]characters!$1:$1,0)-MATCH($A$1,[2]characters!$1:$1,0)+1),MATCH(I$1,[2]characters!$1:$1,0)-MATCH($A$1,[2]characters!$1:$1,0)+1,FALSE)</f>
        <v>red</v>
      </c>
      <c r="J204" s="14">
        <f ca="1">VLOOKUP(I204,[2]属性!$A:$E,2,FALSE)</f>
        <v>1</v>
      </c>
      <c r="K204" s="14">
        <f ca="1">VLOOKUP(I204,[2]属性!$A:$E,3,FALSE)</f>
        <v>1.02</v>
      </c>
      <c r="L204" s="14">
        <f ca="1">VLOOKUP(I204,[2]属性!$A:$E,4,FALSE)</f>
        <v>1</v>
      </c>
      <c r="M204" s="14">
        <f ca="1">VLOOKUP(I204,[2]属性!$A:$E,5,FALSE)</f>
        <v>0.98</v>
      </c>
      <c r="N204" s="14">
        <f ca="1">INDEX(コスト!$A$1:$I$20,MATCH(H204,コスト!$A$1:$A$20,FALSE),MATCH(G204,コスト!$A$1:$I$1,FALSE))</f>
        <v>18</v>
      </c>
      <c r="O204" s="14">
        <f ca="1">INDEX(レベル!$A$1:$I$21,MATCH(H204,レベル!$A$1:$A$21,FALSE),MATCH(G204,レベル!$A$1:$I$1,FALSE))</f>
        <v>60</v>
      </c>
      <c r="P204" s="63">
        <f t="shared" ca="1" si="28"/>
        <v>60</v>
      </c>
      <c r="Q204" s="77" t="str">
        <f ca="1">VLOOKUP($A204,OFFSET([2]characters!$A$1,0,0,COUNTA([2]characters!$A:$A),MATCH(Q$1,[2]characters!$1:$1,0)-MATCH($A$1,[2]characters!$1:$1,0)+1),MATCH(Q$1,[2]characters!$1:$1,0)-MATCH($A$1,[2]characters!$1:$1,0)+1,FALSE)</f>
        <v>hp</v>
      </c>
      <c r="R204" s="8" t="str">
        <f ca="1">VLOOKUP(Q204,[2]character_type_i18n!$A:$H,3,FALSE)</f>
        <v>体力タイプ</v>
      </c>
      <c r="S204" s="14">
        <f ca="1">VLOOKUP(Q204,[2]character_type_i18n!$A:$H,4,FALSE)</f>
        <v>1.45</v>
      </c>
      <c r="T204" s="14">
        <f ca="1">VLOOKUP(Q204,[2]character_type_i18n!$A:$H,5,FALSE)</f>
        <v>0.85</v>
      </c>
      <c r="U204" s="14">
        <f ca="1">VLOOKUP(Q204,[2]character_type_i18n!$A:$H,6,FALSE)</f>
        <v>1</v>
      </c>
      <c r="V204" s="14">
        <f ca="1">VLOOKUP(Q204,[2]character_type_i18n!$A:$H,7,FALSE)</f>
        <v>0.7</v>
      </c>
      <c r="W204" s="77" t="str">
        <f ca="1">VLOOKUP($A204,OFFSET([2]characters!$A$1,0,0,COUNTA([2]characters!$A:$A),MATCH(W$1,[2]characters!$1:$1,0)-MATCH($A$1,[2]characters!$1:$1,0)+1),MATCH(W$1,[2]characters!$1:$1,0)-MATCH($A$1,[2]characters!$1:$1,0)+1,FALSE)</f>
        <v>god</v>
      </c>
      <c r="X204" s="8" t="str">
        <f ca="1">VLOOKUP(W204,[2]character_tribe_i18n!$A:$H,3,FALSE)</f>
        <v>ゴッド</v>
      </c>
      <c r="Y204" s="77" t="str">
        <f ca="1">VLOOKUP($A204,OFFSET([2]characters!$A$1,0,0,COUNTA([2]characters!$A:$A),MATCH(Y$1,[2]characters!$1:$1,0)-MATCH($A$1,[2]characters!$1:$1,0)+1),MATCH(Y$1,[2]characters!$1:$1,0)-MATCH($A$1,[2]characters!$1:$1,0)+1,FALSE)</f>
        <v>none</v>
      </c>
      <c r="Z204" s="8" t="str">
        <f ca="1">VLOOKUP(Y204,[2]character_tribe_i18n!$A:$H,3,FALSE)</f>
        <v>種族なし</v>
      </c>
      <c r="AA204" s="14">
        <f ca="1">VLOOKUP(W204,[2]character_tribe_i18n!$A:$H,4,FALSE)</f>
        <v>0.96</v>
      </c>
      <c r="AB204" s="14">
        <f ca="1">VLOOKUP(W204,[2]character_tribe_i18n!$A:$H,5,FALSE)</f>
        <v>1.02</v>
      </c>
      <c r="AC204" s="14">
        <f ca="1">VLOOKUP(W204,[2]character_tribe_i18n!$A:$H,6,FALSE)</f>
        <v>1</v>
      </c>
      <c r="AD204" s="14">
        <f ca="1">VLOOKUP(W204,[2]character_tribe_i18n!$A:$H,7,FALSE)</f>
        <v>1.02</v>
      </c>
      <c r="AE204" s="12">
        <v>204</v>
      </c>
      <c r="AF204" s="85" t="str">
        <f ca="1">IF(AE204="NULL","",VLOOKUP($AE204,OFFSET([2]characters!$A$1,0,0,COUNTA([2]characters!$A:$A),MATCH(AF$1,[2]characters!$1:$1,0)-MATCH($A$1,[2]characters!$1:$1,0)+1),MATCH(AF$1,[2]characters!$1:$1,0)-MATCH($A$1,[2]characters!$1:$1,0)+1,FALSE))</f>
        <v>慟哭の巨焔 プロメテウス</v>
      </c>
      <c r="AG204" s="8">
        <f t="shared" ca="1" si="23"/>
        <v>202</v>
      </c>
      <c r="AH204" s="85" t="str">
        <f ca="1">VLOOKUP($AG204,OFFSET([2]characters!$A$1,0,0,COUNTA([2]characters!$A:$A),MATCH(AH$1,[2]characters!$1:$1,0)-MATCH($A$1,[2]characters!$1:$1,0)+1),MATCH(AH$1,[2]characters!$1:$1,0)-MATCH($A$1,[2]characters!$1:$1,0)+1,FALSE)</f>
        <v>プロメテウス</v>
      </c>
      <c r="AI204" s="14">
        <f ca="1">IF(AE204="NULL","NULL",VLOOKUP(G204,ビット!$A$2:$B$7,2))</f>
        <v>50000</v>
      </c>
      <c r="AJ204" s="9">
        <v>2</v>
      </c>
      <c r="AK204" s="10" t="str">
        <f t="shared" si="24"/>
        <v>普通</v>
      </c>
      <c r="AL204" s="14" t="str">
        <f ca="1">INDEX(経験値!$A$1:$I$20,MATCH(H204,経験値!$A$1:$A$20,FALSE),MATCH(G204,経験値!$A$1:$I$1,FALSE))</f>
        <v>required_exp_200</v>
      </c>
      <c r="AM204" s="11">
        <f ca="1">VLOOKUP(G204,経験値!$A$27:$B$31,2)</f>
        <v>3400</v>
      </c>
      <c r="AN204" s="21">
        <f ca="1">VLOOKUP(G204,ビット!$G$2:$H$7,2)</f>
        <v>600</v>
      </c>
      <c r="AO204" s="98" t="s">
        <v>185</v>
      </c>
      <c r="AP204" s="97">
        <v>811001</v>
      </c>
      <c r="AQ204" s="77" t="e">
        <f ca="1">VLOOKUP($AP204,OFFSET([1]unit_skills!$A$1,0,0,COUNTA([1]unit_skills!$A:$A),MATCH("name",[1]unit_skills!$1:$1,0)-MATCH($AP$1,[1]unit_skills!$1:$1,0)+1),MATCH("name",[1]unit_skills!$1:$1,0)-MATCH($AP$1,[1]unit_skills!$1:$1,0)+1,FALSE)</f>
        <v>#VALUE!</v>
      </c>
      <c r="AR204" s="77" t="e">
        <f ca="1">VLOOKUP($AP204,OFFSET([1]unit_skills!$A$1,0,0,COUNTA([1]unit_skills!$A:$A),MATCH("comment",[1]unit_skills!$1:$1,0)-MATCH($AP$1,[1]unit_skills!$1:$1,0)+1),MATCH("comment",[1]unit_skills!$1:$1,0)-MATCH($AP$1,[1]unit_skills!$1:$1,0)+1,FALSE)</f>
        <v>#VALUE!</v>
      </c>
      <c r="AS204" s="77" t="e">
        <f ca="1">VLOOKUP($AP204,OFFSET([1]unit_skills!$A$1,0,0,COUNTA([1]unit_skills!$A:$A),MATCH(AS$1,[1]unit_skills!$1:$1,0)-MATCH($AP$1,[1]unit_skills!$1:$1,0)+1),MATCH(AS$1,[1]unit_skills!$1:$1,0)-MATCH($AP$1,[1]unit_skills!$1:$1,0)+1,FALSE)</f>
        <v>#VALUE!</v>
      </c>
      <c r="AT204" s="97">
        <v>151003</v>
      </c>
      <c r="AU204" s="77" t="e">
        <f ca="1">VLOOKUP($AT204,OFFSET([1]crash_skills!$A$1,0,0,COUNTA([1]crash_skills!$A:$A),MATCH("name",[1]crash_skills!$1:$1,0)-MATCH($AT$1,[1]crash_skills!$1:$1,0)+1),MATCH("name",[1]crash_skills!$1:$1,0)-MATCH($AT$1,[1]crash_skills!$1:$1,0)+1,FALSE)</f>
        <v>#VALUE!</v>
      </c>
      <c r="AV204" s="77" t="e">
        <f ca="1">VLOOKUP($AT204,OFFSET([1]crash_skills!$A$1,0,0,COUNTA([1]crash_skills!$A:$A),MATCH("comment",[1]crash_skills!$1:$1,0)-MATCH($AT$1,[1]crash_skills!$1:$1,0)+1),MATCH("comment",[1]crash_skills!$1:$1,0)-MATCH($AT$1,[1]crash_skills!$1:$1,0)+1,FALSE)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04" s="77" t="e">
        <f ca="1">VLOOKUP($AT204,OFFSET([1]crash_skills!$A$1,0,0,COUNTA([1]crash_skills!$A:$A),MATCH(AW$1,[1]crash_skills!$1:$1,0)-MATCH($AT$1,[1]crash_skills!$1:$1,0)+1),MATCH(AW$1,[1]crash_skills!$1:$1,0)-MATCH($AT$1,[1]crash_skills!$1:$1,0)+1,FALSE)</f>
        <v>#VALUE!</v>
      </c>
      <c r="AX204" s="81">
        <f ca="1">VLOOKUP($A204,OFFSET([2]characters!$A$1,0,0,COUNTA([2]characters!$A:$A),MATCH(AX$1,[2]characters!$1:$1,0)-MATCH($A$1,[2]characters!$1:$1,0)+1),MATCH(AX$1,[2]characters!$1:$1,0)-MATCH($A$1,[2]characters!$1:$1,0)+1,FALSE)</f>
        <v>3</v>
      </c>
      <c r="AY204" s="19">
        <v>1</v>
      </c>
      <c r="AZ204" s="19">
        <v>1</v>
      </c>
      <c r="BA204" s="19">
        <v>0</v>
      </c>
      <c r="BB204" s="19">
        <v>1</v>
      </c>
      <c r="BC204" s="14">
        <f ca="1">INDEX('RC6SV'!$A$1:$G$20,MATCH(H204,'RC6SV'!$A$1:$A$20,FALSE),MATCH(G204,'RC6SV'!$A$1:$G$1,FALSE))</f>
        <v>6700</v>
      </c>
      <c r="BD204" s="63">
        <f t="shared" ca="1" si="25"/>
        <v>6700</v>
      </c>
      <c r="BE204" s="14">
        <f t="shared" ca="1" si="26"/>
        <v>4900</v>
      </c>
      <c r="BF204" s="14">
        <f t="shared" ca="1" si="27"/>
        <v>1</v>
      </c>
      <c r="BG204" s="20">
        <f ca="1">IF($BE204&lt;=0,ROUND(BK204*0.5,0), ROUND($BE204*S204*AA204*J204*AY204*0.8*[2]ステータス!$B$2,0))</f>
        <v>2728</v>
      </c>
      <c r="BH204" s="20">
        <f ca="1">IF($BE204&lt;=0,ROUND(BL204*0.5,0), ROUND($BE204*T204*AB204*K204*AZ204*0.8*[2]ステータス!$C$2,0))</f>
        <v>1040</v>
      </c>
      <c r="BI204" s="20">
        <f ca="1">IF($BE204&lt;=0,ROUND(BM204*0.5,0), ROUND($BE204*U204*AC204*L204*BA204*0.8*[2]ステータス!$D$2,0))</f>
        <v>0</v>
      </c>
      <c r="BJ204" s="20">
        <f ca="1">IF($BE204&lt;=0,ROUND(BN204*0.5,0), ROUND($BE204*V204*AD204*M204*BB204*0.8*[2]ステータス!$E$2,0))</f>
        <v>686</v>
      </c>
      <c r="BK204" s="14">
        <f ca="1">ROUND(BD204*S204*AA204*J204*AY204*[2]ステータス!$B$2,0)</f>
        <v>4663</v>
      </c>
      <c r="BL204" s="14">
        <f ca="1">ROUND(BD204*T204*AB204*K204*AZ204*[2]ステータス!$C$2,0)</f>
        <v>1778</v>
      </c>
      <c r="BM204" s="14">
        <f ca="1">ROUND(BD204*U204*AC204*L204*BA204*[2]ステータス!$D$2,0)</f>
        <v>0</v>
      </c>
      <c r="BN204" s="14">
        <f ca="1">ROUND(BD204*V204*AD204*M204*BB204*[2]ステータス!$E$2,0)</f>
        <v>1172</v>
      </c>
      <c r="BO204" s="13">
        <v>0</v>
      </c>
      <c r="BP204" s="13">
        <v>1</v>
      </c>
      <c r="BQ204" s="13" t="s">
        <v>102</v>
      </c>
      <c r="BR204" s="234">
        <v>700</v>
      </c>
    </row>
    <row r="205" spans="1:70" ht="21" customHeight="1" x14ac:dyDescent="0.15">
      <c r="A205" s="14">
        <f t="shared" ca="1" si="22"/>
        <v>204</v>
      </c>
      <c r="B205" s="77" t="str">
        <f ca="1">VLOOKUP($A205,OFFSET([2]characters!$A$1,0,0,COUNTA([2]characters!$A:$A),MATCH(B$1,[2]characters!$1:$1,0)-MATCH($A$1,[2]characters!$1:$1,0)+1),MATCH(B$1,[2]characters!$1:$1,0)-MATCH($A$1,[2]characters!$1:$1,0)+1,FALSE)</f>
        <v>慟哭の巨焔 プロメテウス</v>
      </c>
      <c r="C205" s="77" t="str">
        <f ca="1">VLOOKUP($A205,OFFSET([2]characters!$A$1,0,0,COUNTA([2]characters!$A:$A),MATCH(C$1,[2]characters!$1:$1,0)-MATCH($A$1,[2]characters!$1:$1,0)+1),MATCH(C$1,[2]characters!$1:$1,0)-MATCH($A$1,[2]characters!$1:$1,0)+1,FALSE)</f>
        <v>初期ガチャ</v>
      </c>
      <c r="D205" s="77" t="str">
        <f ca="1">VLOOKUP($A205,OFFSET([2]characters!$A$1,0,0,COUNTA([2]characters!$A:$A),MATCH(D$1,[2]characters!$1:$1,0)-MATCH($A$1,[2]characters!$1:$1,0)+1),MATCH(D$1,[2]characters!$1:$1,0)-MATCH($A$1,[2]characters!$1:$1,0)+1,FALSE)</f>
        <v>管理者</v>
      </c>
      <c r="E205" s="77" t="str">
        <f ca="1">VLOOKUP($A205,OFFSET([2]characters!$A$1,0,0,COUNTA([2]characters!$A:$A),MATCH(E$1,[2]characters!$1:$1,0)-MATCH($A$1,[2]characters!$1:$1,0)+1),MATCH(E$1,[2]characters!$1:$1,0)-MATCH($A$1,[2]characters!$1:$1,0)+1,FALSE)</f>
        <v>格好いい</v>
      </c>
      <c r="F205" s="77" t="str">
        <f ca="1">VLOOKUP($A205,OFFSET([2]characters!$A$1,0,0,COUNTA([2]characters!$A:$A),MATCH(F$1,[2]characters!$1:$1,0)-MATCH($A$1,[2]characters!$1:$1,0)+1),MATCH(F$1,[2]characters!$1:$1,0)-MATCH($A$1,[2]characters!$1:$1,0)+1,FALSE)</f>
        <v>男性</v>
      </c>
      <c r="G205" s="77">
        <f ca="1">VLOOKUP($A205,OFFSET([2]characters!$A$1,0,0,COUNTA([2]characters!$A:$A),MATCH(G$1,[2]characters!$1:$1,0)-MATCH($A$1,[2]characters!$1:$1,0)+1),MATCH(G$1,[2]characters!$1:$1,0)-MATCH($A$1,[2]characters!$1:$1,0)+1,FALSE)</f>
        <v>5</v>
      </c>
      <c r="H205" s="77" t="str">
        <f ca="1">VLOOKUP($A205,OFFSET([2]characters!$A$1,0,0,COUNTA([2]characters!$A:$A),MATCH(H$1,[2]characters!$1:$1,0)-MATCH($A$1,[2]characters!$1:$1,0)+1),MATCH(H$1,[2]characters!$1:$1,0)-MATCH($A$1,[2]characters!$1:$1,0)+1,FALSE)</f>
        <v>PremiumN</v>
      </c>
      <c r="I205" s="77" t="str">
        <f ca="1">VLOOKUP($A205,OFFSET([2]characters!$A$1,0,0,COUNTA([2]characters!$A:$A),MATCH(I$1,[2]characters!$1:$1,0)-MATCH($A$1,[2]characters!$1:$1,0)+1),MATCH(I$1,[2]characters!$1:$1,0)-MATCH($A$1,[2]characters!$1:$1,0)+1,FALSE)</f>
        <v>red</v>
      </c>
      <c r="J205" s="14">
        <f ca="1">VLOOKUP(I205,[2]属性!$A:$E,2,FALSE)</f>
        <v>1</v>
      </c>
      <c r="K205" s="14">
        <f ca="1">VLOOKUP(I205,[2]属性!$A:$E,3,FALSE)</f>
        <v>1.02</v>
      </c>
      <c r="L205" s="14">
        <f ca="1">VLOOKUP(I205,[2]属性!$A:$E,4,FALSE)</f>
        <v>1</v>
      </c>
      <c r="M205" s="14">
        <f ca="1">VLOOKUP(I205,[2]属性!$A:$E,5,FALSE)</f>
        <v>0.98</v>
      </c>
      <c r="N205" s="14">
        <f ca="1">INDEX(コスト!$A$1:$I$20,MATCH(H205,コスト!$A$1:$A$20,FALSE),MATCH(G205,コスト!$A$1:$I$1,FALSE))</f>
        <v>28</v>
      </c>
      <c r="O205" s="14">
        <f ca="1">INDEX(レベル!$A$1:$I$21,MATCH(H205,レベル!$A$1:$A$21,FALSE),MATCH(G205,レベル!$A$1:$I$1,FALSE))</f>
        <v>80</v>
      </c>
      <c r="P205" s="63">
        <f t="shared" ca="1" si="28"/>
        <v>75</v>
      </c>
      <c r="Q205" s="77" t="str">
        <f ca="1">VLOOKUP($A205,OFFSET([2]characters!$A$1,0,0,COUNTA([2]characters!$A:$A),MATCH(Q$1,[2]characters!$1:$1,0)-MATCH($A$1,[2]characters!$1:$1,0)+1),MATCH(Q$1,[2]characters!$1:$1,0)-MATCH($A$1,[2]characters!$1:$1,0)+1,FALSE)</f>
        <v>hp</v>
      </c>
      <c r="R205" s="8" t="str">
        <f ca="1">VLOOKUP(Q205,[2]character_type_i18n!$A:$H,3,FALSE)</f>
        <v>体力タイプ</v>
      </c>
      <c r="S205" s="14">
        <f ca="1">VLOOKUP(Q205,[2]character_type_i18n!$A:$H,4,FALSE)</f>
        <v>1.45</v>
      </c>
      <c r="T205" s="14">
        <f ca="1">VLOOKUP(Q205,[2]character_type_i18n!$A:$H,5,FALSE)</f>
        <v>0.85</v>
      </c>
      <c r="U205" s="14">
        <f ca="1">VLOOKUP(Q205,[2]character_type_i18n!$A:$H,6,FALSE)</f>
        <v>1</v>
      </c>
      <c r="V205" s="14">
        <f ca="1">VLOOKUP(Q205,[2]character_type_i18n!$A:$H,7,FALSE)</f>
        <v>0.7</v>
      </c>
      <c r="W205" s="77" t="str">
        <f ca="1">VLOOKUP($A205,OFFSET([2]characters!$A$1,0,0,COUNTA([2]characters!$A:$A),MATCH(W$1,[2]characters!$1:$1,0)-MATCH($A$1,[2]characters!$1:$1,0)+1),MATCH(W$1,[2]characters!$1:$1,0)-MATCH($A$1,[2]characters!$1:$1,0)+1,FALSE)</f>
        <v>god</v>
      </c>
      <c r="X205" s="8" t="str">
        <f ca="1">VLOOKUP(W205,[2]character_tribe_i18n!$A:$H,3,FALSE)</f>
        <v>ゴッド</v>
      </c>
      <c r="Y205" s="77" t="str">
        <f ca="1">VLOOKUP($A205,OFFSET([2]characters!$A$1,0,0,COUNTA([2]characters!$A:$A),MATCH(Y$1,[2]characters!$1:$1,0)-MATCH($A$1,[2]characters!$1:$1,0)+1),MATCH(Y$1,[2]characters!$1:$1,0)-MATCH($A$1,[2]characters!$1:$1,0)+1,FALSE)</f>
        <v>none</v>
      </c>
      <c r="Z205" s="8" t="str">
        <f ca="1">VLOOKUP(Y205,[2]character_tribe_i18n!$A:$H,3,FALSE)</f>
        <v>種族なし</v>
      </c>
      <c r="AA205" s="14">
        <f ca="1">VLOOKUP(W205,[2]character_tribe_i18n!$A:$H,4,FALSE)</f>
        <v>0.96</v>
      </c>
      <c r="AB205" s="14">
        <f ca="1">VLOOKUP(W205,[2]character_tribe_i18n!$A:$H,5,FALSE)</f>
        <v>1.02</v>
      </c>
      <c r="AC205" s="14">
        <f ca="1">VLOOKUP(W205,[2]character_tribe_i18n!$A:$H,6,FALSE)</f>
        <v>1</v>
      </c>
      <c r="AD205" s="14">
        <f ca="1">VLOOKUP(W205,[2]character_tribe_i18n!$A:$H,7,FALSE)</f>
        <v>1.02</v>
      </c>
      <c r="AE205" s="12" t="s">
        <v>102</v>
      </c>
      <c r="AF205" s="85" t="str">
        <f ca="1">IF(AE205="NULL","",VLOOKUP($AE205,OFFSET([2]characters!$A$1,0,0,COUNTA([2]characters!$A:$A),MATCH(AF$1,[2]characters!$1:$1,0)-MATCH($A$1,[2]characters!$1:$1,0)+1),MATCH(AF$1,[2]characters!$1:$1,0)-MATCH($A$1,[2]characters!$1:$1,0)+1,FALSE))</f>
        <v/>
      </c>
      <c r="AG205" s="8">
        <f t="shared" ca="1" si="23"/>
        <v>202</v>
      </c>
      <c r="AH205" s="85" t="str">
        <f ca="1">VLOOKUP($AG205,OFFSET([2]characters!$A$1,0,0,COUNTA([2]characters!$A:$A),MATCH(AH$1,[2]characters!$1:$1,0)-MATCH($A$1,[2]characters!$1:$1,0)+1),MATCH(AH$1,[2]characters!$1:$1,0)-MATCH($A$1,[2]characters!$1:$1,0)+1,FALSE)</f>
        <v>プロメテウス</v>
      </c>
      <c r="AI205" s="14" t="str">
        <f>IF(AE205="NULL","NULL",VLOOKUP(G205,ビット!$A$2:$B$7,2))</f>
        <v>NULL</v>
      </c>
      <c r="AJ205" s="9">
        <v>2</v>
      </c>
      <c r="AK205" s="10" t="str">
        <f t="shared" si="24"/>
        <v>普通</v>
      </c>
      <c r="AL205" s="14" t="str">
        <f ca="1">INDEX(経験値!$A$1:$I$20,MATCH(H205,経験値!$A$1:$A$20,FALSE),MATCH(G205,経験値!$A$1:$I$1,FALSE))</f>
        <v>required_exp_200</v>
      </c>
      <c r="AM205" s="11">
        <f ca="1">VLOOKUP(G205,経験値!$A$27:$B$31,2)</f>
        <v>6400</v>
      </c>
      <c r="AN205" s="21">
        <f ca="1">VLOOKUP(G205,ビット!$G$2:$H$7,2)</f>
        <v>900</v>
      </c>
      <c r="AO205" s="98" t="s">
        <v>185</v>
      </c>
      <c r="AP205" s="97">
        <v>811002</v>
      </c>
      <c r="AQ205" s="77" t="e">
        <f ca="1">VLOOKUP($AP205,OFFSET([1]unit_skills!$A$1,0,0,COUNTA([1]unit_skills!$A:$A),MATCH("name",[1]unit_skills!$1:$1,0)-MATCH($AP$1,[1]unit_skills!$1:$1,0)+1),MATCH("name",[1]unit_skills!$1:$1,0)-MATCH($AP$1,[1]unit_skills!$1:$1,0)+1,FALSE)</f>
        <v>#VALUE!</v>
      </c>
      <c r="AR205" s="77" t="e">
        <f ca="1">VLOOKUP($AP205,OFFSET([1]unit_skills!$A$1,0,0,COUNTA([1]unit_skills!$A:$A),MATCH("comment",[1]unit_skills!$1:$1,0)-MATCH($AP$1,[1]unit_skills!$1:$1,0)+1),MATCH("comment",[1]unit_skills!$1:$1,0)-MATCH($AP$1,[1]unit_skills!$1:$1,0)+1,FALSE)</f>
        <v>#VALUE!</v>
      </c>
      <c r="AS205" s="77" t="e">
        <f ca="1">VLOOKUP($AP205,OFFSET([1]unit_skills!$A$1,0,0,COUNTA([1]unit_skills!$A:$A),MATCH(AS$1,[1]unit_skills!$1:$1,0)-MATCH($AP$1,[1]unit_skills!$1:$1,0)+1),MATCH(AS$1,[1]unit_skills!$1:$1,0)-MATCH($AP$1,[1]unit_skills!$1:$1,0)+1,FALSE)</f>
        <v>#VALUE!</v>
      </c>
      <c r="AT205" s="97">
        <v>151008</v>
      </c>
      <c r="AU205" s="77" t="e">
        <f ca="1">VLOOKUP($AT205,OFFSET([1]crash_skills!$A$1,0,0,COUNTA([1]crash_skills!$A:$A),MATCH("name",[1]crash_skills!$1:$1,0)-MATCH($AT$1,[1]crash_skills!$1:$1,0)+1),MATCH("name",[1]crash_skills!$1:$1,0)-MATCH($AT$1,[1]crash_skills!$1:$1,0)+1,FALSE)</f>
        <v>#VALUE!</v>
      </c>
      <c r="AV205" s="77" t="e">
        <f ca="1">VLOOKUP($AT205,OFFSET([1]crash_skills!$A$1,0,0,COUNTA([1]crash_skills!$A:$A),MATCH("comment",[1]crash_skills!$1:$1,0)-MATCH($AT$1,[1]crash_skills!$1:$1,0)+1),MATCH("comment",[1]crash_skills!$1:$1,0)-MATCH($AT$1,[1]crash_skills!$1:$1,0)+1,FALSE)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05" s="77" t="e">
        <f ca="1">VLOOKUP($AT205,OFFSET([1]crash_skills!$A$1,0,0,COUNTA([1]crash_skills!$A:$A),MATCH(AW$1,[1]crash_skills!$1:$1,0)-MATCH($AT$1,[1]crash_skills!$1:$1,0)+1),MATCH(AW$1,[1]crash_skills!$1:$1,0)-MATCH($AT$1,[1]crash_skills!$1:$1,0)+1,FALSE)</f>
        <v>#VALUE!</v>
      </c>
      <c r="AX205" s="81">
        <f ca="1">VLOOKUP($A205,OFFSET([2]characters!$A$1,0,0,COUNTA([2]characters!$A:$A),MATCH(AX$1,[2]characters!$1:$1,0)-MATCH($A$1,[2]characters!$1:$1,0)+1),MATCH(AX$1,[2]characters!$1:$1,0)-MATCH($A$1,[2]characters!$1:$1,0)+1,FALSE)</f>
        <v>3</v>
      </c>
      <c r="AY205" s="19">
        <v>1</v>
      </c>
      <c r="AZ205" s="19">
        <v>1</v>
      </c>
      <c r="BA205" s="19">
        <v>0</v>
      </c>
      <c r="BB205" s="19">
        <v>1</v>
      </c>
      <c r="BC205" s="14">
        <f ca="1">INDEX('RC6SV'!$A$1:$G$20,MATCH(H205,'RC6SV'!$A$1:$A$20,FALSE),MATCH(G205,'RC6SV'!$A$1:$G$1,FALSE))</f>
        <v>8500</v>
      </c>
      <c r="BD205" s="63">
        <f t="shared" ca="1" si="25"/>
        <v>8500</v>
      </c>
      <c r="BE205" s="14">
        <f t="shared" ca="1" si="26"/>
        <v>6700</v>
      </c>
      <c r="BF205" s="14">
        <f t="shared" ca="1" si="27"/>
        <v>1</v>
      </c>
      <c r="BG205" s="20">
        <f ca="1">IF($BE205&lt;=0,ROUND(BK205*0.5,0), ROUND($BE205*S205*AA205*J205*AY205*0.8*[2]ステータス!$B$2,0))</f>
        <v>3731</v>
      </c>
      <c r="BH205" s="20">
        <f ca="1">IF($BE205&lt;=0,ROUND(BL205*0.5,0), ROUND($BE205*T205*AB205*K205*AZ205*0.8*[2]ステータス!$C$2,0))</f>
        <v>1422</v>
      </c>
      <c r="BI205" s="20">
        <f ca="1">IF($BE205&lt;=0,ROUND(BM205*0.5,0), ROUND($BE205*U205*AC205*L205*BA205*0.8*[2]ステータス!$D$2,0))</f>
        <v>0</v>
      </c>
      <c r="BJ205" s="20">
        <f ca="1">IF($BE205&lt;=0,ROUND(BN205*0.5,0), ROUND($BE205*V205*AD205*M205*BB205*0.8*[2]ステータス!$E$2,0))</f>
        <v>938</v>
      </c>
      <c r="BK205" s="14">
        <f ca="1">ROUND(BD205*S205*AA205*J205*AY205*[2]ステータス!$B$2,0)</f>
        <v>5916</v>
      </c>
      <c r="BL205" s="14">
        <f ca="1">ROUND(BD205*T205*AB205*K205*AZ205*[2]ステータス!$C$2,0)</f>
        <v>2255</v>
      </c>
      <c r="BM205" s="14">
        <f ca="1">ROUND(BD205*U205*AC205*L205*BA205*[2]ステータス!$D$2,0)</f>
        <v>0</v>
      </c>
      <c r="BN205" s="14">
        <f ca="1">ROUND(BD205*V205*AD205*M205*BB205*[2]ステータス!$E$2,0)</f>
        <v>1487</v>
      </c>
      <c r="BO205" s="13">
        <v>0</v>
      </c>
      <c r="BP205" s="13">
        <v>1</v>
      </c>
      <c r="BQ205" s="13" t="s">
        <v>102</v>
      </c>
      <c r="BR205" s="234">
        <v>700</v>
      </c>
    </row>
    <row r="206" spans="1:70" ht="21" customHeight="1" x14ac:dyDescent="0.15">
      <c r="A206" s="14">
        <f t="shared" ca="1" si="22"/>
        <v>205</v>
      </c>
      <c r="B206" s="77" t="str">
        <f ca="1">VLOOKUP($A206,OFFSET([2]characters!$A$1,0,0,COUNTA([2]characters!$A:$A),MATCH(B$1,[2]characters!$1:$1,0)-MATCH($A$1,[2]characters!$1:$1,0)+1),MATCH(B$1,[2]characters!$1:$1,0)-MATCH($A$1,[2]characters!$1:$1,0)+1,FALSE)</f>
        <v>アフロディーテ</v>
      </c>
      <c r="C206" s="77" t="str">
        <f ca="1">VLOOKUP($A206,OFFSET([2]characters!$A$1,0,0,COUNTA([2]characters!$A:$A),MATCH(C$1,[2]characters!$1:$1,0)-MATCH($A$1,[2]characters!$1:$1,0)+1),MATCH(C$1,[2]characters!$1:$1,0)-MATCH($A$1,[2]characters!$1:$1,0)+1,FALSE)</f>
        <v>初期ガチャ</v>
      </c>
      <c r="D206" s="77" t="str">
        <f ca="1">VLOOKUP($A206,OFFSET([2]characters!$A$1,0,0,COUNTA([2]characters!$A:$A),MATCH(D$1,[2]characters!$1:$1,0)-MATCH($A$1,[2]characters!$1:$1,0)+1),MATCH(D$1,[2]characters!$1:$1,0)-MATCH($A$1,[2]characters!$1:$1,0)+1,FALSE)</f>
        <v>管理者</v>
      </c>
      <c r="E206" s="77" t="str">
        <f ca="1">VLOOKUP($A206,OFFSET([2]characters!$A$1,0,0,COUNTA([2]characters!$A:$A),MATCH(E$1,[2]characters!$1:$1,0)-MATCH($A$1,[2]characters!$1:$1,0)+1),MATCH(E$1,[2]characters!$1:$1,0)-MATCH($A$1,[2]characters!$1:$1,0)+1,FALSE)</f>
        <v>可愛い</v>
      </c>
      <c r="F206" s="77" t="str">
        <f ca="1">VLOOKUP($A206,OFFSET([2]characters!$A$1,0,0,COUNTA([2]characters!$A:$A),MATCH(F$1,[2]characters!$1:$1,0)-MATCH($A$1,[2]characters!$1:$1,0)+1),MATCH(F$1,[2]characters!$1:$1,0)-MATCH($A$1,[2]characters!$1:$1,0)+1,FALSE)</f>
        <v>女性</v>
      </c>
      <c r="G206" s="77">
        <f ca="1">VLOOKUP($A206,OFFSET([2]characters!$A$1,0,0,COUNTA([2]characters!$A:$A),MATCH(G$1,[2]characters!$1:$1,0)-MATCH($A$1,[2]characters!$1:$1,0)+1),MATCH(G$1,[2]characters!$1:$1,0)-MATCH($A$1,[2]characters!$1:$1,0)+1,FALSE)</f>
        <v>3</v>
      </c>
      <c r="H206" s="77" t="str">
        <f ca="1">VLOOKUP($A206,OFFSET([2]characters!$A$1,0,0,COUNTA([2]characters!$A:$A),MATCH(H$1,[2]characters!$1:$1,0)-MATCH($A$1,[2]characters!$1:$1,0)+1),MATCH(H$1,[2]characters!$1:$1,0)-MATCH($A$1,[2]characters!$1:$1,0)+1,FALSE)</f>
        <v>PremiumN</v>
      </c>
      <c r="I206" s="77" t="str">
        <f ca="1">VLOOKUP($A206,OFFSET([2]characters!$A$1,0,0,COUNTA([2]characters!$A:$A),MATCH(I$1,[2]characters!$1:$1,0)-MATCH($A$1,[2]characters!$1:$1,0)+1),MATCH(I$1,[2]characters!$1:$1,0)-MATCH($A$1,[2]characters!$1:$1,0)+1,FALSE)</f>
        <v>green</v>
      </c>
      <c r="J206" s="14">
        <f ca="1">VLOOKUP(I206,[2]属性!$A:$E,2,FALSE)</f>
        <v>1.02</v>
      </c>
      <c r="K206" s="14">
        <f ca="1">VLOOKUP(I206,[2]属性!$A:$E,3,FALSE)</f>
        <v>0.98</v>
      </c>
      <c r="L206" s="14">
        <f ca="1">VLOOKUP(I206,[2]属性!$A:$E,4,FALSE)</f>
        <v>1</v>
      </c>
      <c r="M206" s="14">
        <f ca="1">VLOOKUP(I206,[2]属性!$A:$E,5,FALSE)</f>
        <v>1</v>
      </c>
      <c r="N206" s="14">
        <f ca="1">INDEX(コスト!$A$1:$I$20,MATCH(H206,コスト!$A$1:$A$20,FALSE),MATCH(G206,コスト!$A$1:$I$1,FALSE))</f>
        <v>9</v>
      </c>
      <c r="O206" s="14">
        <f ca="1">INDEX(レベル!$A$1:$I$21,MATCH(H206,レベル!$A$1:$A$21,FALSE),MATCH(G206,レベル!$A$1:$I$1,FALSE))</f>
        <v>40</v>
      </c>
      <c r="P206" s="63">
        <f t="shared" ca="1" si="28"/>
        <v>45</v>
      </c>
      <c r="Q206" s="77" t="str">
        <f ca="1">VLOOKUP($A206,OFFSET([2]characters!$A$1,0,0,COUNTA([2]characters!$A:$A),MATCH(Q$1,[2]characters!$1:$1,0)-MATCH($A$1,[2]characters!$1:$1,0)+1),MATCH(Q$1,[2]characters!$1:$1,0)-MATCH($A$1,[2]characters!$1:$1,0)+1,FALSE)</f>
        <v>hp</v>
      </c>
      <c r="R206" s="8" t="str">
        <f ca="1">VLOOKUP(Q206,[2]character_type_i18n!$A:$H,3,FALSE)</f>
        <v>体力タイプ</v>
      </c>
      <c r="S206" s="14">
        <f ca="1">VLOOKUP(Q206,[2]character_type_i18n!$A:$H,4,FALSE)</f>
        <v>1.45</v>
      </c>
      <c r="T206" s="14">
        <f ca="1">VLOOKUP(Q206,[2]character_type_i18n!$A:$H,5,FALSE)</f>
        <v>0.85</v>
      </c>
      <c r="U206" s="14">
        <f ca="1">VLOOKUP(Q206,[2]character_type_i18n!$A:$H,6,FALSE)</f>
        <v>1</v>
      </c>
      <c r="V206" s="14">
        <f ca="1">VLOOKUP(Q206,[2]character_type_i18n!$A:$H,7,FALSE)</f>
        <v>0.7</v>
      </c>
      <c r="W206" s="77" t="str">
        <f ca="1">VLOOKUP($A206,OFFSET([2]characters!$A$1,0,0,COUNTA([2]characters!$A:$A),MATCH(W$1,[2]characters!$1:$1,0)-MATCH($A$1,[2]characters!$1:$1,0)+1),MATCH(W$1,[2]characters!$1:$1,0)-MATCH($A$1,[2]characters!$1:$1,0)+1,FALSE)</f>
        <v>god</v>
      </c>
      <c r="X206" s="8" t="str">
        <f ca="1">VLOOKUP(W206,[2]character_tribe_i18n!$A:$H,3,FALSE)</f>
        <v>ゴッド</v>
      </c>
      <c r="Y206" s="77" t="str">
        <f ca="1">VLOOKUP($A206,OFFSET([2]characters!$A$1,0,0,COUNTA([2]characters!$A:$A),MATCH(Y$1,[2]characters!$1:$1,0)-MATCH($A$1,[2]characters!$1:$1,0)+1),MATCH(Y$1,[2]characters!$1:$1,0)-MATCH($A$1,[2]characters!$1:$1,0)+1,FALSE)</f>
        <v>none</v>
      </c>
      <c r="Z206" s="8" t="str">
        <f ca="1">VLOOKUP(Y206,[2]character_tribe_i18n!$A:$H,3,FALSE)</f>
        <v>種族なし</v>
      </c>
      <c r="AA206" s="14">
        <f ca="1">VLOOKUP(W206,[2]character_tribe_i18n!$A:$H,4,FALSE)</f>
        <v>0.96</v>
      </c>
      <c r="AB206" s="14">
        <f ca="1">VLOOKUP(W206,[2]character_tribe_i18n!$A:$H,5,FALSE)</f>
        <v>1.02</v>
      </c>
      <c r="AC206" s="14">
        <f ca="1">VLOOKUP(W206,[2]character_tribe_i18n!$A:$H,6,FALSE)</f>
        <v>1</v>
      </c>
      <c r="AD206" s="14">
        <f ca="1">VLOOKUP(W206,[2]character_tribe_i18n!$A:$H,7,FALSE)</f>
        <v>1.02</v>
      </c>
      <c r="AE206" s="12">
        <v>206</v>
      </c>
      <c r="AF206" s="85" t="str">
        <f ca="1">IF(AE206="NULL","",VLOOKUP($AE206,OFFSET([2]characters!$A$1,0,0,COUNTA([2]characters!$A:$A),MATCH(AF$1,[2]characters!$1:$1,0)-MATCH($A$1,[2]characters!$1:$1,0)+1),MATCH(AF$1,[2]characters!$1:$1,0)-MATCH($A$1,[2]characters!$1:$1,0)+1,FALSE))</f>
        <v>美神 アフロディーテ</v>
      </c>
      <c r="AG206" s="8">
        <f t="shared" ca="1" si="23"/>
        <v>205</v>
      </c>
      <c r="AH206" s="85" t="str">
        <f ca="1">VLOOKUP($AG206,OFFSET([2]characters!$A$1,0,0,COUNTA([2]characters!$A:$A),MATCH(AH$1,[2]characters!$1:$1,0)-MATCH($A$1,[2]characters!$1:$1,0)+1),MATCH(AH$1,[2]characters!$1:$1,0)-MATCH($A$1,[2]characters!$1:$1,0)+1,FALSE)</f>
        <v>アフロディーテ</v>
      </c>
      <c r="AI206" s="14">
        <f ca="1">IF(AE206="NULL","NULL",VLOOKUP(G206,ビット!$A$2:$B$7,2))</f>
        <v>20000</v>
      </c>
      <c r="AJ206" s="9">
        <v>2</v>
      </c>
      <c r="AK206" s="10" t="str">
        <f t="shared" si="24"/>
        <v>普通</v>
      </c>
      <c r="AL206" s="14" t="str">
        <f ca="1">INDEX(経験値!$A$1:$I$20,MATCH(H206,経験値!$A$1:$A$20,FALSE),MATCH(G206,経験値!$A$1:$I$1,FALSE))</f>
        <v>required_exp_200</v>
      </c>
      <c r="AM206" s="11">
        <f ca="1">VLOOKUP(G206,経験値!$A$27:$B$31,2)</f>
        <v>1500</v>
      </c>
      <c r="AN206" s="21">
        <f ca="1">VLOOKUP(G206,ビット!$G$2:$H$7,2)</f>
        <v>300</v>
      </c>
      <c r="AO206" s="98" t="s">
        <v>185</v>
      </c>
      <c r="AP206" s="97">
        <v>712002</v>
      </c>
      <c r="AQ206" s="77" t="e">
        <f ca="1">VLOOKUP($AP206,OFFSET([1]unit_skills!$A$1,0,0,COUNTA([1]unit_skills!$A:$A),MATCH("name",[1]unit_skills!$1:$1,0)-MATCH($AP$1,[1]unit_skills!$1:$1,0)+1),MATCH("name",[1]unit_skills!$1:$1,0)-MATCH($AP$1,[1]unit_skills!$1:$1,0)+1,FALSE)</f>
        <v>#VALUE!</v>
      </c>
      <c r="AR206" s="77" t="e">
        <f ca="1">VLOOKUP($AP206,OFFSET([1]unit_skills!$A$1,0,0,COUNTA([1]unit_skills!$A:$A),MATCH("comment",[1]unit_skills!$1:$1,0)-MATCH($AP$1,[1]unit_skills!$1:$1,0)+1),MATCH("comment",[1]unit_skills!$1:$1,0)-MATCH($AP$1,[1]unit_skills!$1:$1,0)+1,FALSE)</f>
        <v>#VALUE!</v>
      </c>
      <c r="AS206" s="77" t="e">
        <f ca="1">VLOOKUP($AP206,OFFSET([1]unit_skills!$A$1,0,0,COUNTA([1]unit_skills!$A:$A),MATCH(AS$1,[1]unit_skills!$1:$1,0)-MATCH($AP$1,[1]unit_skills!$1:$1,0)+1),MATCH(AS$1,[1]unit_skills!$1:$1,0)-MATCH($AP$1,[1]unit_skills!$1:$1,0)+1,FALSE)</f>
        <v>#VALUE!</v>
      </c>
      <c r="AT206" s="97">
        <v>152002</v>
      </c>
      <c r="AU206" s="77" t="e">
        <f ca="1">VLOOKUP($AT206,OFFSET([1]crash_skills!$A$1,0,0,COUNTA([1]crash_skills!$A:$A),MATCH("name",[1]crash_skills!$1:$1,0)-MATCH($AT$1,[1]crash_skills!$1:$1,0)+1),MATCH("name",[1]crash_skills!$1:$1,0)-MATCH($AT$1,[1]crash_skills!$1:$1,0)+1,FALSE)</f>
        <v>#VALUE!</v>
      </c>
      <c r="AV206" s="77" t="e">
        <f ca="1">VLOOKUP($AT206,OFFSET([1]crash_skills!$A$1,0,0,COUNTA([1]crash_skills!$A:$A),MATCH("comment",[1]crash_skills!$1:$1,0)-MATCH($AT$1,[1]crash_skills!$1:$1,0)+1),MATCH("comment",[1]crash_skills!$1:$1,0)-MATCH($AT$1,[1]crash_skills!$1:$1,0)+1,FALSE)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06" s="77" t="e">
        <f ca="1">VLOOKUP($AT206,OFFSET([1]crash_skills!$A$1,0,0,COUNTA([1]crash_skills!$A:$A),MATCH(AW$1,[1]crash_skills!$1:$1,0)-MATCH($AT$1,[1]crash_skills!$1:$1,0)+1),MATCH(AW$1,[1]crash_skills!$1:$1,0)-MATCH($AT$1,[1]crash_skills!$1:$1,0)+1,FALSE)</f>
        <v>#VALUE!</v>
      </c>
      <c r="AX206" s="81">
        <f ca="1">VLOOKUP($A206,OFFSET([2]characters!$A$1,0,0,COUNTA([2]characters!$A:$A),MATCH(AX$1,[2]characters!$1:$1,0)-MATCH($A$1,[2]characters!$1:$1,0)+1),MATCH(AX$1,[2]characters!$1:$1,0)-MATCH($A$1,[2]characters!$1:$1,0)+1,FALSE)</f>
        <v>3</v>
      </c>
      <c r="AY206" s="19">
        <v>1</v>
      </c>
      <c r="AZ206" s="19">
        <v>1</v>
      </c>
      <c r="BA206" s="19">
        <v>0</v>
      </c>
      <c r="BB206" s="19">
        <v>1</v>
      </c>
      <c r="BC206" s="14">
        <f ca="1">INDEX('RC6SV'!$A$1:$G$20,MATCH(H206,'RC6SV'!$A$1:$A$20,FALSE),MATCH(G206,'RC6SV'!$A$1:$G$1,FALSE))</f>
        <v>4900</v>
      </c>
      <c r="BD206" s="63">
        <f t="shared" ca="1" si="25"/>
        <v>4900</v>
      </c>
      <c r="BE206" s="14">
        <f t="shared" ca="1" si="26"/>
        <v>0</v>
      </c>
      <c r="BF206" s="14">
        <f t="shared" ca="1" si="27"/>
        <v>1</v>
      </c>
      <c r="BG206" s="20">
        <f ca="1">IF($BE206&lt;=0,ROUND(BK206*0.5,0), ROUND($BE206*S206*AA206*J206*AY206*0.8*[2]ステータス!$B$2,0))</f>
        <v>1740</v>
      </c>
      <c r="BH206" s="20">
        <f ca="1">IF($BE206&lt;=0,ROUND(BL206*0.5,0), ROUND($BE206*T206*AB206*K206*AZ206*0.8*[2]ステータス!$C$2,0))</f>
        <v>625</v>
      </c>
      <c r="BI206" s="20">
        <f ca="1">IF($BE206&lt;=0,ROUND(BM206*0.5,0), ROUND($BE206*U206*AC206*L206*BA206*0.8*[2]ステータス!$D$2,0))</f>
        <v>0</v>
      </c>
      <c r="BJ206" s="20">
        <f ca="1">IF($BE206&lt;=0,ROUND(BN206*0.5,0), ROUND($BE206*V206*AD206*M206*BB206*0.8*[2]ステータス!$E$2,0))</f>
        <v>438</v>
      </c>
      <c r="BK206" s="14">
        <f ca="1">ROUND(BD206*S206*AA206*J206*AY206*[2]ステータス!$B$2,0)</f>
        <v>3479</v>
      </c>
      <c r="BL206" s="14">
        <f ca="1">ROUND(BD206*T206*AB206*K206*AZ206*[2]ステータス!$C$2,0)</f>
        <v>1249</v>
      </c>
      <c r="BM206" s="14">
        <f ca="1">ROUND(BD206*U206*AC206*L206*BA206*[2]ステータス!$D$2,0)</f>
        <v>0</v>
      </c>
      <c r="BN206" s="14">
        <f ca="1">ROUND(BD206*V206*AD206*M206*BB206*[2]ステータス!$E$2,0)</f>
        <v>875</v>
      </c>
      <c r="BO206" s="13">
        <v>0</v>
      </c>
      <c r="BP206" s="13">
        <v>1</v>
      </c>
      <c r="BQ206" s="13" t="s">
        <v>102</v>
      </c>
      <c r="BR206" s="234">
        <v>700</v>
      </c>
    </row>
    <row r="207" spans="1:70" ht="21" customHeight="1" x14ac:dyDescent="0.15">
      <c r="A207" s="14">
        <f t="shared" ca="1" si="22"/>
        <v>206</v>
      </c>
      <c r="B207" s="77" t="str">
        <f ca="1">VLOOKUP($A207,OFFSET([2]characters!$A$1,0,0,COUNTA([2]characters!$A:$A),MATCH(B$1,[2]characters!$1:$1,0)-MATCH($A$1,[2]characters!$1:$1,0)+1),MATCH(B$1,[2]characters!$1:$1,0)-MATCH($A$1,[2]characters!$1:$1,0)+1,FALSE)</f>
        <v>美神 アフロディーテ</v>
      </c>
      <c r="C207" s="77" t="str">
        <f ca="1">VLOOKUP($A207,OFFSET([2]characters!$A$1,0,0,COUNTA([2]characters!$A:$A),MATCH(C$1,[2]characters!$1:$1,0)-MATCH($A$1,[2]characters!$1:$1,0)+1),MATCH(C$1,[2]characters!$1:$1,0)-MATCH($A$1,[2]characters!$1:$1,0)+1,FALSE)</f>
        <v>初期ガチャ</v>
      </c>
      <c r="D207" s="77" t="str">
        <f ca="1">VLOOKUP($A207,OFFSET([2]characters!$A$1,0,0,COUNTA([2]characters!$A:$A),MATCH(D$1,[2]characters!$1:$1,0)-MATCH($A$1,[2]characters!$1:$1,0)+1),MATCH(D$1,[2]characters!$1:$1,0)-MATCH($A$1,[2]characters!$1:$1,0)+1,FALSE)</f>
        <v>管理者</v>
      </c>
      <c r="E207" s="77" t="str">
        <f ca="1">VLOOKUP($A207,OFFSET([2]characters!$A$1,0,0,COUNTA([2]characters!$A:$A),MATCH(E$1,[2]characters!$1:$1,0)-MATCH($A$1,[2]characters!$1:$1,0)+1),MATCH(E$1,[2]characters!$1:$1,0)-MATCH($A$1,[2]characters!$1:$1,0)+1,FALSE)</f>
        <v>可愛い</v>
      </c>
      <c r="F207" s="77" t="str">
        <f ca="1">VLOOKUP($A207,OFFSET([2]characters!$A$1,0,0,COUNTA([2]characters!$A:$A),MATCH(F$1,[2]characters!$1:$1,0)-MATCH($A$1,[2]characters!$1:$1,0)+1),MATCH(F$1,[2]characters!$1:$1,0)-MATCH($A$1,[2]characters!$1:$1,0)+1,FALSE)</f>
        <v>女性</v>
      </c>
      <c r="G207" s="77">
        <f ca="1">VLOOKUP($A207,OFFSET([2]characters!$A$1,0,0,COUNTA([2]characters!$A:$A),MATCH(G$1,[2]characters!$1:$1,0)-MATCH($A$1,[2]characters!$1:$1,0)+1),MATCH(G$1,[2]characters!$1:$1,0)-MATCH($A$1,[2]characters!$1:$1,0)+1,FALSE)</f>
        <v>4</v>
      </c>
      <c r="H207" s="77" t="str">
        <f ca="1">VLOOKUP($A207,OFFSET([2]characters!$A$1,0,0,COUNTA([2]characters!$A:$A),MATCH(H$1,[2]characters!$1:$1,0)-MATCH($A$1,[2]characters!$1:$1,0)+1),MATCH(H$1,[2]characters!$1:$1,0)-MATCH($A$1,[2]characters!$1:$1,0)+1,FALSE)</f>
        <v>PremiumN</v>
      </c>
      <c r="I207" s="77" t="str">
        <f ca="1">VLOOKUP($A207,OFFSET([2]characters!$A$1,0,0,COUNTA([2]characters!$A:$A),MATCH(I$1,[2]characters!$1:$1,0)-MATCH($A$1,[2]characters!$1:$1,0)+1),MATCH(I$1,[2]characters!$1:$1,0)-MATCH($A$1,[2]characters!$1:$1,0)+1,FALSE)</f>
        <v>green</v>
      </c>
      <c r="J207" s="14">
        <f ca="1">VLOOKUP(I207,[2]属性!$A:$E,2,FALSE)</f>
        <v>1.02</v>
      </c>
      <c r="K207" s="14">
        <f ca="1">VLOOKUP(I207,[2]属性!$A:$E,3,FALSE)</f>
        <v>0.98</v>
      </c>
      <c r="L207" s="14">
        <f ca="1">VLOOKUP(I207,[2]属性!$A:$E,4,FALSE)</f>
        <v>1</v>
      </c>
      <c r="M207" s="14">
        <f ca="1">VLOOKUP(I207,[2]属性!$A:$E,5,FALSE)</f>
        <v>1</v>
      </c>
      <c r="N207" s="14">
        <f ca="1">INDEX(コスト!$A$1:$I$20,MATCH(H207,コスト!$A$1:$A$20,FALSE),MATCH(G207,コスト!$A$1:$I$1,FALSE))</f>
        <v>18</v>
      </c>
      <c r="O207" s="14">
        <f ca="1">INDEX(レベル!$A$1:$I$21,MATCH(H207,レベル!$A$1:$A$21,FALSE),MATCH(G207,レベル!$A$1:$I$1,FALSE))</f>
        <v>60</v>
      </c>
      <c r="P207" s="63">
        <f t="shared" ca="1" si="28"/>
        <v>60</v>
      </c>
      <c r="Q207" s="77" t="str">
        <f ca="1">VLOOKUP($A207,OFFSET([2]characters!$A$1,0,0,COUNTA([2]characters!$A:$A),MATCH(Q$1,[2]characters!$1:$1,0)-MATCH($A$1,[2]characters!$1:$1,0)+1),MATCH(Q$1,[2]characters!$1:$1,0)-MATCH($A$1,[2]characters!$1:$1,0)+1,FALSE)</f>
        <v>hp</v>
      </c>
      <c r="R207" s="8" t="str">
        <f ca="1">VLOOKUP(Q207,[2]character_type_i18n!$A:$H,3,FALSE)</f>
        <v>体力タイプ</v>
      </c>
      <c r="S207" s="14">
        <f ca="1">VLOOKUP(Q207,[2]character_type_i18n!$A:$H,4,FALSE)</f>
        <v>1.45</v>
      </c>
      <c r="T207" s="14">
        <f ca="1">VLOOKUP(Q207,[2]character_type_i18n!$A:$H,5,FALSE)</f>
        <v>0.85</v>
      </c>
      <c r="U207" s="14">
        <f ca="1">VLOOKUP(Q207,[2]character_type_i18n!$A:$H,6,FALSE)</f>
        <v>1</v>
      </c>
      <c r="V207" s="14">
        <f ca="1">VLOOKUP(Q207,[2]character_type_i18n!$A:$H,7,FALSE)</f>
        <v>0.7</v>
      </c>
      <c r="W207" s="77" t="str">
        <f ca="1">VLOOKUP($A207,OFFSET([2]characters!$A$1,0,0,COUNTA([2]characters!$A:$A),MATCH(W$1,[2]characters!$1:$1,0)-MATCH($A$1,[2]characters!$1:$1,0)+1),MATCH(W$1,[2]characters!$1:$1,0)-MATCH($A$1,[2]characters!$1:$1,0)+1,FALSE)</f>
        <v>god</v>
      </c>
      <c r="X207" s="8" t="str">
        <f ca="1">VLOOKUP(W207,[2]character_tribe_i18n!$A:$H,3,FALSE)</f>
        <v>ゴッド</v>
      </c>
      <c r="Y207" s="77" t="str">
        <f ca="1">VLOOKUP($A207,OFFSET([2]characters!$A$1,0,0,COUNTA([2]characters!$A:$A),MATCH(Y$1,[2]characters!$1:$1,0)-MATCH($A$1,[2]characters!$1:$1,0)+1),MATCH(Y$1,[2]characters!$1:$1,0)-MATCH($A$1,[2]characters!$1:$1,0)+1,FALSE)</f>
        <v>none</v>
      </c>
      <c r="Z207" s="8" t="str">
        <f ca="1">VLOOKUP(Y207,[2]character_tribe_i18n!$A:$H,3,FALSE)</f>
        <v>種族なし</v>
      </c>
      <c r="AA207" s="14">
        <f ca="1">VLOOKUP(W207,[2]character_tribe_i18n!$A:$H,4,FALSE)</f>
        <v>0.96</v>
      </c>
      <c r="AB207" s="14">
        <f ca="1">VLOOKUP(W207,[2]character_tribe_i18n!$A:$H,5,FALSE)</f>
        <v>1.02</v>
      </c>
      <c r="AC207" s="14">
        <f ca="1">VLOOKUP(W207,[2]character_tribe_i18n!$A:$H,6,FALSE)</f>
        <v>1</v>
      </c>
      <c r="AD207" s="14">
        <f ca="1">VLOOKUP(W207,[2]character_tribe_i18n!$A:$H,7,FALSE)</f>
        <v>1.02</v>
      </c>
      <c r="AE207" s="12">
        <v>207</v>
      </c>
      <c r="AF207" s="85" t="str">
        <f ca="1">IF(AE207="NULL","",VLOOKUP($AE207,OFFSET([2]characters!$A$1,0,0,COUNTA([2]characters!$A:$A),MATCH(AF$1,[2]characters!$1:$1,0)-MATCH($A$1,[2]characters!$1:$1,0)+1),MATCH(AF$1,[2]characters!$1:$1,0)-MATCH($A$1,[2]characters!$1:$1,0)+1,FALSE))</f>
        <v>豊穣の麗神・アフロディーテ</v>
      </c>
      <c r="AG207" s="8">
        <f t="shared" ca="1" si="23"/>
        <v>205</v>
      </c>
      <c r="AH207" s="85" t="str">
        <f ca="1">VLOOKUP($AG207,OFFSET([2]characters!$A$1,0,0,COUNTA([2]characters!$A:$A),MATCH(AH$1,[2]characters!$1:$1,0)-MATCH($A$1,[2]characters!$1:$1,0)+1),MATCH(AH$1,[2]characters!$1:$1,0)-MATCH($A$1,[2]characters!$1:$1,0)+1,FALSE)</f>
        <v>アフロディーテ</v>
      </c>
      <c r="AI207" s="14">
        <f ca="1">IF(AE207="NULL","NULL",VLOOKUP(G207,ビット!$A$2:$B$7,2))</f>
        <v>50000</v>
      </c>
      <c r="AJ207" s="9">
        <v>2</v>
      </c>
      <c r="AK207" s="10" t="str">
        <f t="shared" si="24"/>
        <v>普通</v>
      </c>
      <c r="AL207" s="14" t="str">
        <f ca="1">INDEX(経験値!$A$1:$I$20,MATCH(H207,経験値!$A$1:$A$20,FALSE),MATCH(G207,経験値!$A$1:$I$1,FALSE))</f>
        <v>required_exp_200</v>
      </c>
      <c r="AM207" s="11">
        <f ca="1">VLOOKUP(G207,経験値!$A$27:$B$31,2)</f>
        <v>3400</v>
      </c>
      <c r="AN207" s="21">
        <f ca="1">VLOOKUP(G207,ビット!$G$2:$H$7,2)</f>
        <v>600</v>
      </c>
      <c r="AO207" s="98" t="s">
        <v>185</v>
      </c>
      <c r="AP207" s="97">
        <v>712002</v>
      </c>
      <c r="AQ207" s="77" t="e">
        <f ca="1">VLOOKUP($AP207,OFFSET([1]unit_skills!$A$1,0,0,COUNTA([1]unit_skills!$A:$A),MATCH("name",[1]unit_skills!$1:$1,0)-MATCH($AP$1,[1]unit_skills!$1:$1,0)+1),MATCH("name",[1]unit_skills!$1:$1,0)-MATCH($AP$1,[1]unit_skills!$1:$1,0)+1,FALSE)</f>
        <v>#VALUE!</v>
      </c>
      <c r="AR207" s="77" t="e">
        <f ca="1">VLOOKUP($AP207,OFFSET([1]unit_skills!$A$1,0,0,COUNTA([1]unit_skills!$A:$A),MATCH("comment",[1]unit_skills!$1:$1,0)-MATCH($AP$1,[1]unit_skills!$1:$1,0)+1),MATCH("comment",[1]unit_skills!$1:$1,0)-MATCH($AP$1,[1]unit_skills!$1:$1,0)+1,FALSE)</f>
        <v>#VALUE!</v>
      </c>
      <c r="AS207" s="77" t="e">
        <f ca="1">VLOOKUP($AP207,OFFSET([1]unit_skills!$A$1,0,0,COUNTA([1]unit_skills!$A:$A),MATCH(AS$1,[1]unit_skills!$1:$1,0)-MATCH($AP$1,[1]unit_skills!$1:$1,0)+1),MATCH(AS$1,[1]unit_skills!$1:$1,0)-MATCH($AP$1,[1]unit_skills!$1:$1,0)+1,FALSE)</f>
        <v>#VALUE!</v>
      </c>
      <c r="AT207" s="97">
        <v>152003</v>
      </c>
      <c r="AU207" s="77" t="e">
        <f ca="1">VLOOKUP($AT207,OFFSET([1]crash_skills!$A$1,0,0,COUNTA([1]crash_skills!$A:$A),MATCH("name",[1]crash_skills!$1:$1,0)-MATCH($AT$1,[1]crash_skills!$1:$1,0)+1),MATCH("name",[1]crash_skills!$1:$1,0)-MATCH($AT$1,[1]crash_skills!$1:$1,0)+1,FALSE)</f>
        <v>#VALUE!</v>
      </c>
      <c r="AV207" s="77" t="e">
        <f ca="1">VLOOKUP($AT207,OFFSET([1]crash_skills!$A$1,0,0,COUNTA([1]crash_skills!$A:$A),MATCH("comment",[1]crash_skills!$1:$1,0)-MATCH($AT$1,[1]crash_skills!$1:$1,0)+1),MATCH("comment",[1]crash_skills!$1:$1,0)-MATCH($AT$1,[1]crash_skills!$1:$1,0)+1,FALSE)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07" s="77" t="e">
        <f ca="1">VLOOKUP($AT207,OFFSET([1]crash_skills!$A$1,0,0,COUNTA([1]crash_skills!$A:$A),MATCH(AW$1,[1]crash_skills!$1:$1,0)-MATCH($AT$1,[1]crash_skills!$1:$1,0)+1),MATCH(AW$1,[1]crash_skills!$1:$1,0)-MATCH($AT$1,[1]crash_skills!$1:$1,0)+1,FALSE)</f>
        <v>#VALUE!</v>
      </c>
      <c r="AX207" s="81">
        <f ca="1">VLOOKUP($A207,OFFSET([2]characters!$A$1,0,0,COUNTA([2]characters!$A:$A),MATCH(AX$1,[2]characters!$1:$1,0)-MATCH($A$1,[2]characters!$1:$1,0)+1),MATCH(AX$1,[2]characters!$1:$1,0)-MATCH($A$1,[2]characters!$1:$1,0)+1,FALSE)</f>
        <v>3</v>
      </c>
      <c r="AY207" s="19">
        <v>1</v>
      </c>
      <c r="AZ207" s="19">
        <v>1</v>
      </c>
      <c r="BA207" s="19">
        <v>0</v>
      </c>
      <c r="BB207" s="19">
        <v>1</v>
      </c>
      <c r="BC207" s="14">
        <f ca="1">INDEX('RC6SV'!$A$1:$G$20,MATCH(H207,'RC6SV'!$A$1:$A$20,FALSE),MATCH(G207,'RC6SV'!$A$1:$G$1,FALSE))</f>
        <v>6700</v>
      </c>
      <c r="BD207" s="63">
        <f t="shared" ca="1" si="25"/>
        <v>6700</v>
      </c>
      <c r="BE207" s="14">
        <f t="shared" ca="1" si="26"/>
        <v>4900</v>
      </c>
      <c r="BF207" s="14">
        <f t="shared" ca="1" si="27"/>
        <v>1</v>
      </c>
      <c r="BG207" s="20">
        <f ca="1">IF($BE207&lt;=0,ROUND(BK207*0.5,0), ROUND($BE207*S207*AA207*J207*AY207*0.8*[2]ステータス!$B$2,0))</f>
        <v>2783</v>
      </c>
      <c r="BH207" s="20">
        <f ca="1">IF($BE207&lt;=0,ROUND(BL207*0.5,0), ROUND($BE207*T207*AB207*K207*AZ207*0.8*[2]ステータス!$C$2,0))</f>
        <v>999</v>
      </c>
      <c r="BI207" s="20">
        <f ca="1">IF($BE207&lt;=0,ROUND(BM207*0.5,0), ROUND($BE207*U207*AC207*L207*BA207*0.8*[2]ステータス!$D$2,0))</f>
        <v>0</v>
      </c>
      <c r="BJ207" s="20">
        <f ca="1">IF($BE207&lt;=0,ROUND(BN207*0.5,0), ROUND($BE207*V207*AD207*M207*BB207*0.8*[2]ステータス!$E$2,0))</f>
        <v>700</v>
      </c>
      <c r="BK207" s="14">
        <f ca="1">ROUND(BD207*S207*AA207*J207*AY207*[2]ステータス!$B$2,0)</f>
        <v>4756</v>
      </c>
      <c r="BL207" s="14">
        <f ca="1">ROUND(BD207*T207*AB207*K207*AZ207*[2]ステータス!$C$2,0)</f>
        <v>1708</v>
      </c>
      <c r="BM207" s="14">
        <f ca="1">ROUND(BD207*U207*AC207*L207*BA207*[2]ステータス!$D$2,0)</f>
        <v>0</v>
      </c>
      <c r="BN207" s="14">
        <f ca="1">ROUND(BD207*V207*AD207*M207*BB207*[2]ステータス!$E$2,0)</f>
        <v>1196</v>
      </c>
      <c r="BO207" s="13">
        <v>0</v>
      </c>
      <c r="BP207" s="13">
        <v>1</v>
      </c>
      <c r="BQ207" s="13" t="s">
        <v>102</v>
      </c>
      <c r="BR207" s="234">
        <v>700</v>
      </c>
    </row>
    <row r="208" spans="1:70" ht="21" customHeight="1" x14ac:dyDescent="0.15">
      <c r="A208" s="14">
        <f t="shared" ca="1" si="22"/>
        <v>207</v>
      </c>
      <c r="B208" s="77" t="str">
        <f ca="1">VLOOKUP($A208,OFFSET([2]characters!$A$1,0,0,COUNTA([2]characters!$A:$A),MATCH(B$1,[2]characters!$1:$1,0)-MATCH($A$1,[2]characters!$1:$1,0)+1),MATCH(B$1,[2]characters!$1:$1,0)-MATCH($A$1,[2]characters!$1:$1,0)+1,FALSE)</f>
        <v>豊穣の麗神・アフロディーテ</v>
      </c>
      <c r="C208" s="77" t="str">
        <f ca="1">VLOOKUP($A208,OFFSET([2]characters!$A$1,0,0,COUNTA([2]characters!$A:$A),MATCH(C$1,[2]characters!$1:$1,0)-MATCH($A$1,[2]characters!$1:$1,0)+1),MATCH(C$1,[2]characters!$1:$1,0)-MATCH($A$1,[2]characters!$1:$1,0)+1,FALSE)</f>
        <v>初期ガチャ</v>
      </c>
      <c r="D208" s="77" t="str">
        <f ca="1">VLOOKUP($A208,OFFSET([2]characters!$A$1,0,0,COUNTA([2]characters!$A:$A),MATCH(D$1,[2]characters!$1:$1,0)-MATCH($A$1,[2]characters!$1:$1,0)+1),MATCH(D$1,[2]characters!$1:$1,0)-MATCH($A$1,[2]characters!$1:$1,0)+1,FALSE)</f>
        <v>管理者</v>
      </c>
      <c r="E208" s="77" t="str">
        <f ca="1">VLOOKUP($A208,OFFSET([2]characters!$A$1,0,0,COUNTA([2]characters!$A:$A),MATCH(E$1,[2]characters!$1:$1,0)-MATCH($A$1,[2]characters!$1:$1,0)+1),MATCH(E$1,[2]characters!$1:$1,0)-MATCH($A$1,[2]characters!$1:$1,0)+1,FALSE)</f>
        <v>可愛い</v>
      </c>
      <c r="F208" s="77" t="str">
        <f ca="1">VLOOKUP($A208,OFFSET([2]characters!$A$1,0,0,COUNTA([2]characters!$A:$A),MATCH(F$1,[2]characters!$1:$1,0)-MATCH($A$1,[2]characters!$1:$1,0)+1),MATCH(F$1,[2]characters!$1:$1,0)-MATCH($A$1,[2]characters!$1:$1,0)+1,FALSE)</f>
        <v>女性</v>
      </c>
      <c r="G208" s="77">
        <f ca="1">VLOOKUP($A208,OFFSET([2]characters!$A$1,0,0,COUNTA([2]characters!$A:$A),MATCH(G$1,[2]characters!$1:$1,0)-MATCH($A$1,[2]characters!$1:$1,0)+1),MATCH(G$1,[2]characters!$1:$1,0)-MATCH($A$1,[2]characters!$1:$1,0)+1,FALSE)</f>
        <v>5</v>
      </c>
      <c r="H208" s="77" t="str">
        <f ca="1">VLOOKUP($A208,OFFSET([2]characters!$A$1,0,0,COUNTA([2]characters!$A:$A),MATCH(H$1,[2]characters!$1:$1,0)-MATCH($A$1,[2]characters!$1:$1,0)+1),MATCH(H$1,[2]characters!$1:$1,0)-MATCH($A$1,[2]characters!$1:$1,0)+1,FALSE)</f>
        <v>PremiumN</v>
      </c>
      <c r="I208" s="77" t="str">
        <f ca="1">VLOOKUP($A208,OFFSET([2]characters!$A$1,0,0,COUNTA([2]characters!$A:$A),MATCH(I$1,[2]characters!$1:$1,0)-MATCH($A$1,[2]characters!$1:$1,0)+1),MATCH(I$1,[2]characters!$1:$1,0)-MATCH($A$1,[2]characters!$1:$1,0)+1,FALSE)</f>
        <v>green</v>
      </c>
      <c r="J208" s="14">
        <f ca="1">VLOOKUP(I208,[2]属性!$A:$E,2,FALSE)</f>
        <v>1.02</v>
      </c>
      <c r="K208" s="14">
        <f ca="1">VLOOKUP(I208,[2]属性!$A:$E,3,FALSE)</f>
        <v>0.98</v>
      </c>
      <c r="L208" s="14">
        <f ca="1">VLOOKUP(I208,[2]属性!$A:$E,4,FALSE)</f>
        <v>1</v>
      </c>
      <c r="M208" s="14">
        <f ca="1">VLOOKUP(I208,[2]属性!$A:$E,5,FALSE)</f>
        <v>1</v>
      </c>
      <c r="N208" s="14">
        <f ca="1">INDEX(コスト!$A$1:$I$20,MATCH(H208,コスト!$A$1:$A$20,FALSE),MATCH(G208,コスト!$A$1:$I$1,FALSE))</f>
        <v>28</v>
      </c>
      <c r="O208" s="14">
        <f ca="1">INDEX(レベル!$A$1:$I$21,MATCH(H208,レベル!$A$1:$A$21,FALSE),MATCH(G208,レベル!$A$1:$I$1,FALSE))</f>
        <v>80</v>
      </c>
      <c r="P208" s="63">
        <f t="shared" ca="1" si="28"/>
        <v>75</v>
      </c>
      <c r="Q208" s="77" t="str">
        <f ca="1">VLOOKUP($A208,OFFSET([2]characters!$A$1,0,0,COUNTA([2]characters!$A:$A),MATCH(Q$1,[2]characters!$1:$1,0)-MATCH($A$1,[2]characters!$1:$1,0)+1),MATCH(Q$1,[2]characters!$1:$1,0)-MATCH($A$1,[2]characters!$1:$1,0)+1,FALSE)</f>
        <v>hp</v>
      </c>
      <c r="R208" s="8" t="str">
        <f ca="1">VLOOKUP(Q208,[2]character_type_i18n!$A:$H,3,FALSE)</f>
        <v>体力タイプ</v>
      </c>
      <c r="S208" s="14">
        <f ca="1">VLOOKUP(Q208,[2]character_type_i18n!$A:$H,4,FALSE)</f>
        <v>1.45</v>
      </c>
      <c r="T208" s="14">
        <f ca="1">VLOOKUP(Q208,[2]character_type_i18n!$A:$H,5,FALSE)</f>
        <v>0.85</v>
      </c>
      <c r="U208" s="14">
        <f ca="1">VLOOKUP(Q208,[2]character_type_i18n!$A:$H,6,FALSE)</f>
        <v>1</v>
      </c>
      <c r="V208" s="14">
        <f ca="1">VLOOKUP(Q208,[2]character_type_i18n!$A:$H,7,FALSE)</f>
        <v>0.7</v>
      </c>
      <c r="W208" s="77" t="str">
        <f ca="1">VLOOKUP($A208,OFFSET([2]characters!$A$1,0,0,COUNTA([2]characters!$A:$A),MATCH(W$1,[2]characters!$1:$1,0)-MATCH($A$1,[2]characters!$1:$1,0)+1),MATCH(W$1,[2]characters!$1:$1,0)-MATCH($A$1,[2]characters!$1:$1,0)+1,FALSE)</f>
        <v>god</v>
      </c>
      <c r="X208" s="8" t="str">
        <f ca="1">VLOOKUP(W208,[2]character_tribe_i18n!$A:$H,3,FALSE)</f>
        <v>ゴッド</v>
      </c>
      <c r="Y208" s="77" t="str">
        <f ca="1">VLOOKUP($A208,OFFSET([2]characters!$A$1,0,0,COUNTA([2]characters!$A:$A),MATCH(Y$1,[2]characters!$1:$1,0)-MATCH($A$1,[2]characters!$1:$1,0)+1),MATCH(Y$1,[2]characters!$1:$1,0)-MATCH($A$1,[2]characters!$1:$1,0)+1,FALSE)</f>
        <v>none</v>
      </c>
      <c r="Z208" s="8" t="str">
        <f ca="1">VLOOKUP(Y208,[2]character_tribe_i18n!$A:$H,3,FALSE)</f>
        <v>種族なし</v>
      </c>
      <c r="AA208" s="14">
        <f ca="1">VLOOKUP(W208,[2]character_tribe_i18n!$A:$H,4,FALSE)</f>
        <v>0.96</v>
      </c>
      <c r="AB208" s="14">
        <f ca="1">VLOOKUP(W208,[2]character_tribe_i18n!$A:$H,5,FALSE)</f>
        <v>1.02</v>
      </c>
      <c r="AC208" s="14">
        <f ca="1">VLOOKUP(W208,[2]character_tribe_i18n!$A:$H,6,FALSE)</f>
        <v>1</v>
      </c>
      <c r="AD208" s="14">
        <f ca="1">VLOOKUP(W208,[2]character_tribe_i18n!$A:$H,7,FALSE)</f>
        <v>1.02</v>
      </c>
      <c r="AE208" s="12" t="s">
        <v>102</v>
      </c>
      <c r="AF208" s="85" t="str">
        <f ca="1">IF(AE208="NULL","",VLOOKUP($AE208,OFFSET([2]characters!$A$1,0,0,COUNTA([2]characters!$A:$A),MATCH(AF$1,[2]characters!$1:$1,0)-MATCH($A$1,[2]characters!$1:$1,0)+1),MATCH(AF$1,[2]characters!$1:$1,0)-MATCH($A$1,[2]characters!$1:$1,0)+1,FALSE))</f>
        <v/>
      </c>
      <c r="AG208" s="8">
        <f t="shared" ca="1" si="23"/>
        <v>205</v>
      </c>
      <c r="AH208" s="85" t="str">
        <f ca="1">VLOOKUP($AG208,OFFSET([2]characters!$A$1,0,0,COUNTA([2]characters!$A:$A),MATCH(AH$1,[2]characters!$1:$1,0)-MATCH($A$1,[2]characters!$1:$1,0)+1),MATCH(AH$1,[2]characters!$1:$1,0)-MATCH($A$1,[2]characters!$1:$1,0)+1,FALSE)</f>
        <v>アフロディーテ</v>
      </c>
      <c r="AI208" s="14" t="str">
        <f>IF(AE208="NULL","NULL",VLOOKUP(G208,ビット!$A$2:$B$7,2))</f>
        <v>NULL</v>
      </c>
      <c r="AJ208" s="9">
        <v>2</v>
      </c>
      <c r="AK208" s="10" t="str">
        <f t="shared" si="24"/>
        <v>普通</v>
      </c>
      <c r="AL208" s="14" t="str">
        <f ca="1">INDEX(経験値!$A$1:$I$20,MATCH(H208,経験値!$A$1:$A$20,FALSE),MATCH(G208,経験値!$A$1:$I$1,FALSE))</f>
        <v>required_exp_200</v>
      </c>
      <c r="AM208" s="11">
        <f ca="1">VLOOKUP(G208,経験値!$A$27:$B$31,2)</f>
        <v>6400</v>
      </c>
      <c r="AN208" s="21">
        <f ca="1">VLOOKUP(G208,ビット!$G$2:$H$7,2)</f>
        <v>900</v>
      </c>
      <c r="AO208" s="98" t="s">
        <v>185</v>
      </c>
      <c r="AP208" s="97">
        <v>712003</v>
      </c>
      <c r="AQ208" s="77" t="e">
        <f ca="1">VLOOKUP($AP208,OFFSET([1]unit_skills!$A$1,0,0,COUNTA([1]unit_skills!$A:$A),MATCH("name",[1]unit_skills!$1:$1,0)-MATCH($AP$1,[1]unit_skills!$1:$1,0)+1),MATCH("name",[1]unit_skills!$1:$1,0)-MATCH($AP$1,[1]unit_skills!$1:$1,0)+1,FALSE)</f>
        <v>#VALUE!</v>
      </c>
      <c r="AR208" s="77" t="e">
        <f ca="1">VLOOKUP($AP208,OFFSET([1]unit_skills!$A$1,0,0,COUNTA([1]unit_skills!$A:$A),MATCH("comment",[1]unit_skills!$1:$1,0)-MATCH($AP$1,[1]unit_skills!$1:$1,0)+1),MATCH("comment",[1]unit_skills!$1:$1,0)-MATCH($AP$1,[1]unit_skills!$1:$1,0)+1,FALSE)</f>
        <v>#VALUE!</v>
      </c>
      <c r="AS208" s="77" t="e">
        <f ca="1">VLOOKUP($AP208,OFFSET([1]unit_skills!$A$1,0,0,COUNTA([1]unit_skills!$A:$A),MATCH(AS$1,[1]unit_skills!$1:$1,0)-MATCH($AP$1,[1]unit_skills!$1:$1,0)+1),MATCH(AS$1,[1]unit_skills!$1:$1,0)-MATCH($AP$1,[1]unit_skills!$1:$1,0)+1,FALSE)</f>
        <v>#VALUE!</v>
      </c>
      <c r="AT208" s="97">
        <v>152007</v>
      </c>
      <c r="AU208" s="77" t="e">
        <f ca="1">VLOOKUP($AT208,OFFSET([1]crash_skills!$A$1,0,0,COUNTA([1]crash_skills!$A:$A),MATCH("name",[1]crash_skills!$1:$1,0)-MATCH($AT$1,[1]crash_skills!$1:$1,0)+1),MATCH("name",[1]crash_skills!$1:$1,0)-MATCH($AT$1,[1]crash_skills!$1:$1,0)+1,FALSE)</f>
        <v>#VALUE!</v>
      </c>
      <c r="AV208" s="77" t="e">
        <f ca="1">VLOOKUP($AT208,OFFSET([1]crash_skills!$A$1,0,0,COUNTA([1]crash_skills!$A:$A),MATCH("comment",[1]crash_skills!$1:$1,0)-MATCH($AT$1,[1]crash_skills!$1:$1,0)+1),MATCH("comment",[1]crash_skills!$1:$1,0)-MATCH($AT$1,[1]crash_skills!$1:$1,0)+1,FALSE)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08" s="77" t="e">
        <f ca="1">VLOOKUP($AT208,OFFSET([1]crash_skills!$A$1,0,0,COUNTA([1]crash_skills!$A:$A),MATCH(AW$1,[1]crash_skills!$1:$1,0)-MATCH($AT$1,[1]crash_skills!$1:$1,0)+1),MATCH(AW$1,[1]crash_skills!$1:$1,0)-MATCH($AT$1,[1]crash_skills!$1:$1,0)+1,FALSE)</f>
        <v>#VALUE!</v>
      </c>
      <c r="AX208" s="81">
        <f ca="1">VLOOKUP($A208,OFFSET([2]characters!$A$1,0,0,COUNTA([2]characters!$A:$A),MATCH(AX$1,[2]characters!$1:$1,0)-MATCH($A$1,[2]characters!$1:$1,0)+1),MATCH(AX$1,[2]characters!$1:$1,0)-MATCH($A$1,[2]characters!$1:$1,0)+1,FALSE)</f>
        <v>3</v>
      </c>
      <c r="AY208" s="19">
        <v>1</v>
      </c>
      <c r="AZ208" s="19">
        <v>1</v>
      </c>
      <c r="BA208" s="19">
        <v>0</v>
      </c>
      <c r="BB208" s="19">
        <v>1</v>
      </c>
      <c r="BC208" s="14">
        <f ca="1">INDEX('RC6SV'!$A$1:$G$20,MATCH(H208,'RC6SV'!$A$1:$A$20,FALSE),MATCH(G208,'RC6SV'!$A$1:$G$1,FALSE))</f>
        <v>8500</v>
      </c>
      <c r="BD208" s="63">
        <f t="shared" ca="1" si="25"/>
        <v>8500</v>
      </c>
      <c r="BE208" s="14">
        <f t="shared" ca="1" si="26"/>
        <v>6700</v>
      </c>
      <c r="BF208" s="14">
        <f t="shared" ca="1" si="27"/>
        <v>1</v>
      </c>
      <c r="BG208" s="20">
        <f ca="1">IF($BE208&lt;=0,ROUND(BK208*0.5,0), ROUND($BE208*S208*AA208*J208*AY208*0.8*[2]ステータス!$B$2,0))</f>
        <v>3805</v>
      </c>
      <c r="BH208" s="20">
        <f ca="1">IF($BE208&lt;=0,ROUND(BL208*0.5,0), ROUND($BE208*T208*AB208*K208*AZ208*0.8*[2]ステータス!$C$2,0))</f>
        <v>1366</v>
      </c>
      <c r="BI208" s="20">
        <f ca="1">IF($BE208&lt;=0,ROUND(BM208*0.5,0), ROUND($BE208*U208*AC208*L208*BA208*0.8*[2]ステータス!$D$2,0))</f>
        <v>0</v>
      </c>
      <c r="BJ208" s="20">
        <f ca="1">IF($BE208&lt;=0,ROUND(BN208*0.5,0), ROUND($BE208*V208*AD208*M208*BB208*0.8*[2]ステータス!$E$2,0))</f>
        <v>957</v>
      </c>
      <c r="BK208" s="14">
        <f ca="1">ROUND(BD208*S208*AA208*J208*AY208*[2]ステータス!$B$2,0)</f>
        <v>6034</v>
      </c>
      <c r="BL208" s="14">
        <f ca="1">ROUND(BD208*T208*AB208*K208*AZ208*[2]ステータス!$C$2,0)</f>
        <v>2167</v>
      </c>
      <c r="BM208" s="14">
        <f ca="1">ROUND(BD208*U208*AC208*L208*BA208*[2]ステータス!$D$2,0)</f>
        <v>0</v>
      </c>
      <c r="BN208" s="14">
        <f ca="1">ROUND(BD208*V208*AD208*M208*BB208*[2]ステータス!$E$2,0)</f>
        <v>1517</v>
      </c>
      <c r="BO208" s="13">
        <v>0</v>
      </c>
      <c r="BP208" s="13">
        <v>1</v>
      </c>
      <c r="BQ208" s="13" t="s">
        <v>102</v>
      </c>
      <c r="BR208" s="234">
        <v>700</v>
      </c>
    </row>
    <row r="209" spans="1:70" ht="21" customHeight="1" x14ac:dyDescent="0.15">
      <c r="A209" s="14">
        <f t="shared" ca="1" si="22"/>
        <v>208</v>
      </c>
      <c r="B209" s="77" t="str">
        <f ca="1">VLOOKUP($A209,OFFSET([2]characters!$A$1,0,0,COUNTA([2]characters!$A:$A),MATCH(B$1,[2]characters!$1:$1,0)-MATCH($A$1,[2]characters!$1:$1,0)+1),MATCH(B$1,[2]characters!$1:$1,0)-MATCH($A$1,[2]characters!$1:$1,0)+1,FALSE)</f>
        <v>テティス</v>
      </c>
      <c r="C209" s="77" t="str">
        <f ca="1">VLOOKUP($A209,OFFSET([2]characters!$A$1,0,0,COUNTA([2]characters!$A:$A),MATCH(C$1,[2]characters!$1:$1,0)-MATCH($A$1,[2]characters!$1:$1,0)+1),MATCH(C$1,[2]characters!$1:$1,0)-MATCH($A$1,[2]characters!$1:$1,0)+1,FALSE)</f>
        <v>初期ガチャ</v>
      </c>
      <c r="D209" s="77" t="str">
        <f ca="1">VLOOKUP($A209,OFFSET([2]characters!$A$1,0,0,COUNTA([2]characters!$A:$A),MATCH(D$1,[2]characters!$1:$1,0)-MATCH($A$1,[2]characters!$1:$1,0)+1),MATCH(D$1,[2]characters!$1:$1,0)-MATCH($A$1,[2]characters!$1:$1,0)+1,FALSE)</f>
        <v>管理者</v>
      </c>
      <c r="E209" s="77" t="str">
        <f ca="1">VLOOKUP($A209,OFFSET([2]characters!$A$1,0,0,COUNTA([2]characters!$A:$A),MATCH(E$1,[2]characters!$1:$1,0)-MATCH($A$1,[2]characters!$1:$1,0)+1),MATCH(E$1,[2]characters!$1:$1,0)-MATCH($A$1,[2]characters!$1:$1,0)+1,FALSE)</f>
        <v>美しい</v>
      </c>
      <c r="F209" s="77" t="str">
        <f ca="1">VLOOKUP($A209,OFFSET([2]characters!$A$1,0,0,COUNTA([2]characters!$A:$A),MATCH(F$1,[2]characters!$1:$1,0)-MATCH($A$1,[2]characters!$1:$1,0)+1),MATCH(F$1,[2]characters!$1:$1,0)-MATCH($A$1,[2]characters!$1:$1,0)+1,FALSE)</f>
        <v>女性</v>
      </c>
      <c r="G209" s="77">
        <f ca="1">VLOOKUP($A209,OFFSET([2]characters!$A$1,0,0,COUNTA([2]characters!$A:$A),MATCH(G$1,[2]characters!$1:$1,0)-MATCH($A$1,[2]characters!$1:$1,0)+1),MATCH(G$1,[2]characters!$1:$1,0)-MATCH($A$1,[2]characters!$1:$1,0)+1,FALSE)</f>
        <v>3</v>
      </c>
      <c r="H209" s="77" t="str">
        <f ca="1">VLOOKUP($A209,OFFSET([2]characters!$A$1,0,0,COUNTA([2]characters!$A:$A),MATCH(H$1,[2]characters!$1:$1,0)-MATCH($A$1,[2]characters!$1:$1,0)+1),MATCH(H$1,[2]characters!$1:$1,0)-MATCH($A$1,[2]characters!$1:$1,0)+1,FALSE)</f>
        <v>PremiumN</v>
      </c>
      <c r="I209" s="77" t="str">
        <f ca="1">VLOOKUP($A209,OFFSET([2]characters!$A$1,0,0,COUNTA([2]characters!$A:$A),MATCH(I$1,[2]characters!$1:$1,0)-MATCH($A$1,[2]characters!$1:$1,0)+1),MATCH(I$1,[2]characters!$1:$1,0)-MATCH($A$1,[2]characters!$1:$1,0)+1,FALSE)</f>
        <v>blue</v>
      </c>
      <c r="J209" s="14">
        <f ca="1">VLOOKUP(I209,[2]属性!$A:$E,2,FALSE)</f>
        <v>1</v>
      </c>
      <c r="K209" s="14">
        <f ca="1">VLOOKUP(I209,[2]属性!$A:$E,3,FALSE)</f>
        <v>0.98</v>
      </c>
      <c r="L209" s="14">
        <f ca="1">VLOOKUP(I209,[2]属性!$A:$E,4,FALSE)</f>
        <v>1</v>
      </c>
      <c r="M209" s="14">
        <f ca="1">VLOOKUP(I209,[2]属性!$A:$E,5,FALSE)</f>
        <v>1.02</v>
      </c>
      <c r="N209" s="14">
        <f ca="1">INDEX(コスト!$A$1:$I$20,MATCH(H209,コスト!$A$1:$A$20,FALSE),MATCH(G209,コスト!$A$1:$I$1,FALSE))</f>
        <v>9</v>
      </c>
      <c r="O209" s="14">
        <f ca="1">INDEX(レベル!$A$1:$I$21,MATCH(H209,レベル!$A$1:$A$21,FALSE),MATCH(G209,レベル!$A$1:$I$1,FALSE))</f>
        <v>40</v>
      </c>
      <c r="P209" s="63">
        <f t="shared" ca="1" si="28"/>
        <v>45</v>
      </c>
      <c r="Q209" s="77" t="str">
        <f ca="1">VLOOKUP($A209,OFFSET([2]characters!$A$1,0,0,COUNTA([2]characters!$A:$A),MATCH(Q$1,[2]characters!$1:$1,0)-MATCH($A$1,[2]characters!$1:$1,0)+1),MATCH(Q$1,[2]characters!$1:$1,0)-MATCH($A$1,[2]characters!$1:$1,0)+1,FALSE)</f>
        <v>hp</v>
      </c>
      <c r="R209" s="8" t="str">
        <f ca="1">VLOOKUP(Q209,[2]character_type_i18n!$A:$H,3,FALSE)</f>
        <v>体力タイプ</v>
      </c>
      <c r="S209" s="14">
        <f ca="1">VLOOKUP(Q209,[2]character_type_i18n!$A:$H,4,FALSE)</f>
        <v>1.45</v>
      </c>
      <c r="T209" s="14">
        <f ca="1">VLOOKUP(Q209,[2]character_type_i18n!$A:$H,5,FALSE)</f>
        <v>0.85</v>
      </c>
      <c r="U209" s="14">
        <f ca="1">VLOOKUP(Q209,[2]character_type_i18n!$A:$H,6,FALSE)</f>
        <v>1</v>
      </c>
      <c r="V209" s="14">
        <f ca="1">VLOOKUP(Q209,[2]character_type_i18n!$A:$H,7,FALSE)</f>
        <v>0.7</v>
      </c>
      <c r="W209" s="77" t="str">
        <f ca="1">VLOOKUP($A209,OFFSET([2]characters!$A$1,0,0,COUNTA([2]characters!$A:$A),MATCH(W$1,[2]characters!$1:$1,0)-MATCH($A$1,[2]characters!$1:$1,0)+1),MATCH(W$1,[2]characters!$1:$1,0)-MATCH($A$1,[2]characters!$1:$1,0)+1,FALSE)</f>
        <v>god</v>
      </c>
      <c r="X209" s="8" t="str">
        <f ca="1">VLOOKUP(W209,[2]character_tribe_i18n!$A:$H,3,FALSE)</f>
        <v>ゴッド</v>
      </c>
      <c r="Y209" s="77" t="str">
        <f ca="1">VLOOKUP($A209,OFFSET([2]characters!$A$1,0,0,COUNTA([2]characters!$A:$A),MATCH(Y$1,[2]characters!$1:$1,0)-MATCH($A$1,[2]characters!$1:$1,0)+1),MATCH(Y$1,[2]characters!$1:$1,0)-MATCH($A$1,[2]characters!$1:$1,0)+1,FALSE)</f>
        <v>none</v>
      </c>
      <c r="Z209" s="8" t="str">
        <f ca="1">VLOOKUP(Y209,[2]character_tribe_i18n!$A:$H,3,FALSE)</f>
        <v>種族なし</v>
      </c>
      <c r="AA209" s="14">
        <f ca="1">VLOOKUP(W209,[2]character_tribe_i18n!$A:$H,4,FALSE)</f>
        <v>0.96</v>
      </c>
      <c r="AB209" s="14">
        <f ca="1">VLOOKUP(W209,[2]character_tribe_i18n!$A:$H,5,FALSE)</f>
        <v>1.02</v>
      </c>
      <c r="AC209" s="14">
        <f ca="1">VLOOKUP(W209,[2]character_tribe_i18n!$A:$H,6,FALSE)</f>
        <v>1</v>
      </c>
      <c r="AD209" s="14">
        <f ca="1">VLOOKUP(W209,[2]character_tribe_i18n!$A:$H,7,FALSE)</f>
        <v>1.02</v>
      </c>
      <c r="AE209" s="12">
        <v>209</v>
      </c>
      <c r="AF209" s="85" t="str">
        <f ca="1">IF(AE209="NULL","",VLOOKUP($AE209,OFFSET([2]characters!$A$1,0,0,COUNTA([2]characters!$A:$A),MATCH(AF$1,[2]characters!$1:$1,0)-MATCH($A$1,[2]characters!$1:$1,0)+1),MATCH(AF$1,[2]characters!$1:$1,0)-MATCH($A$1,[2]characters!$1:$1,0)+1,FALSE))</f>
        <v>孤神 テティス</v>
      </c>
      <c r="AG209" s="8">
        <f t="shared" ca="1" si="23"/>
        <v>208</v>
      </c>
      <c r="AH209" s="85" t="str">
        <f ca="1">VLOOKUP($AG209,OFFSET([2]characters!$A$1,0,0,COUNTA([2]characters!$A:$A),MATCH(AH$1,[2]characters!$1:$1,0)-MATCH($A$1,[2]characters!$1:$1,0)+1),MATCH(AH$1,[2]characters!$1:$1,0)-MATCH($A$1,[2]characters!$1:$1,0)+1,FALSE)</f>
        <v>テティス</v>
      </c>
      <c r="AI209" s="14">
        <f ca="1">IF(AE209="NULL","NULL",VLOOKUP(G209,ビット!$A$2:$B$7,2))</f>
        <v>20000</v>
      </c>
      <c r="AJ209" s="9">
        <v>2</v>
      </c>
      <c r="AK209" s="10" t="str">
        <f t="shared" si="24"/>
        <v>普通</v>
      </c>
      <c r="AL209" s="14" t="str">
        <f ca="1">INDEX(経験値!$A$1:$I$20,MATCH(H209,経験値!$A$1:$A$20,FALSE),MATCH(G209,経験値!$A$1:$I$1,FALSE))</f>
        <v>required_exp_200</v>
      </c>
      <c r="AM209" s="11">
        <f ca="1">VLOOKUP(G209,経験値!$A$27:$B$31,2)</f>
        <v>1500</v>
      </c>
      <c r="AN209" s="21">
        <f ca="1">VLOOKUP(G209,ビット!$G$2:$H$7,2)</f>
        <v>300</v>
      </c>
      <c r="AO209" s="98" t="s">
        <v>185</v>
      </c>
      <c r="AP209" s="97">
        <v>713002</v>
      </c>
      <c r="AQ209" s="77" t="e">
        <f ca="1">VLOOKUP($AP209,OFFSET([1]unit_skills!$A$1,0,0,COUNTA([1]unit_skills!$A:$A),MATCH("name",[1]unit_skills!$1:$1,0)-MATCH($AP$1,[1]unit_skills!$1:$1,0)+1),MATCH("name",[1]unit_skills!$1:$1,0)-MATCH($AP$1,[1]unit_skills!$1:$1,0)+1,FALSE)</f>
        <v>#VALUE!</v>
      </c>
      <c r="AR209" s="77" t="e">
        <f ca="1">VLOOKUP($AP209,OFFSET([1]unit_skills!$A$1,0,0,COUNTA([1]unit_skills!$A:$A),MATCH("comment",[1]unit_skills!$1:$1,0)-MATCH($AP$1,[1]unit_skills!$1:$1,0)+1),MATCH("comment",[1]unit_skills!$1:$1,0)-MATCH($AP$1,[1]unit_skills!$1:$1,0)+1,FALSE)</f>
        <v>#VALUE!</v>
      </c>
      <c r="AS209" s="77" t="e">
        <f ca="1">VLOOKUP($AP209,OFFSET([1]unit_skills!$A$1,0,0,COUNTA([1]unit_skills!$A:$A),MATCH(AS$1,[1]unit_skills!$1:$1,0)-MATCH($AP$1,[1]unit_skills!$1:$1,0)+1),MATCH(AS$1,[1]unit_skills!$1:$1,0)-MATCH($AP$1,[1]unit_skills!$1:$1,0)+1,FALSE)</f>
        <v>#VALUE!</v>
      </c>
      <c r="AT209" s="97">
        <v>163002</v>
      </c>
      <c r="AU209" s="77" t="e">
        <f ca="1">VLOOKUP($AT209,OFFSET([1]crash_skills!$A$1,0,0,COUNTA([1]crash_skills!$A:$A),MATCH("name",[1]crash_skills!$1:$1,0)-MATCH($AT$1,[1]crash_skills!$1:$1,0)+1),MATCH("name",[1]crash_skills!$1:$1,0)-MATCH($AT$1,[1]crash_skills!$1:$1,0)+1,FALSE)</f>
        <v>#VALUE!</v>
      </c>
      <c r="AV209" s="77" t="e">
        <f ca="1">VLOOKUP($AT209,OFFSET([1]crash_skills!$A$1,0,0,COUNTA([1]crash_skills!$A:$A),MATCH("comment",[1]crash_skills!$1:$1,0)-MATCH($AT$1,[1]crash_skills!$1:$1,0)+1),MATCH("comment",[1]crash_skills!$1:$1,0)-MATCH($AT$1,[1]crash_skills!$1:$1,0)+1,FALSE)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09" s="77" t="e">
        <f ca="1">VLOOKUP($AT209,OFFSET([1]crash_skills!$A$1,0,0,COUNTA([1]crash_skills!$A:$A),MATCH(AW$1,[1]crash_skills!$1:$1,0)-MATCH($AT$1,[1]crash_skills!$1:$1,0)+1),MATCH(AW$1,[1]crash_skills!$1:$1,0)-MATCH($AT$1,[1]crash_skills!$1:$1,0)+1,FALSE)</f>
        <v>#VALUE!</v>
      </c>
      <c r="AX209" s="81">
        <f ca="1">VLOOKUP($A209,OFFSET([2]characters!$A$1,0,0,COUNTA([2]characters!$A:$A),MATCH(AX$1,[2]characters!$1:$1,0)-MATCH($A$1,[2]characters!$1:$1,0)+1),MATCH(AX$1,[2]characters!$1:$1,0)-MATCH($A$1,[2]characters!$1:$1,0)+1,FALSE)</f>
        <v>3</v>
      </c>
      <c r="AY209" s="19">
        <v>1</v>
      </c>
      <c r="AZ209" s="19">
        <v>1</v>
      </c>
      <c r="BA209" s="19">
        <v>0</v>
      </c>
      <c r="BB209" s="19">
        <v>1</v>
      </c>
      <c r="BC209" s="14">
        <f ca="1">INDEX('RC6SV'!$A$1:$G$20,MATCH(H209,'RC6SV'!$A$1:$A$20,FALSE),MATCH(G209,'RC6SV'!$A$1:$G$1,FALSE))</f>
        <v>4900</v>
      </c>
      <c r="BD209" s="63">
        <f t="shared" ca="1" si="25"/>
        <v>4900</v>
      </c>
      <c r="BE209" s="14">
        <f t="shared" ca="1" si="26"/>
        <v>0</v>
      </c>
      <c r="BF209" s="14">
        <f t="shared" ca="1" si="27"/>
        <v>1</v>
      </c>
      <c r="BG209" s="20">
        <f ca="1">IF($BE209&lt;=0,ROUND(BK209*0.5,0), ROUND($BE209*S209*AA209*J209*AY209*0.8*[2]ステータス!$B$2,0))</f>
        <v>1705</v>
      </c>
      <c r="BH209" s="20">
        <f ca="1">IF($BE209&lt;=0,ROUND(BL209*0.5,0), ROUND($BE209*T209*AB209*K209*AZ209*0.8*[2]ステータス!$C$2,0))</f>
        <v>625</v>
      </c>
      <c r="BI209" s="20">
        <f ca="1">IF($BE209&lt;=0,ROUND(BM209*0.5,0), ROUND($BE209*U209*AC209*L209*BA209*0.8*[2]ステータス!$D$2,0))</f>
        <v>0</v>
      </c>
      <c r="BJ209" s="20">
        <f ca="1">IF($BE209&lt;=0,ROUND(BN209*0.5,0), ROUND($BE209*V209*AD209*M209*BB209*0.8*[2]ステータス!$E$2,0))</f>
        <v>446</v>
      </c>
      <c r="BK209" s="14">
        <f ca="1">ROUND(BD209*S209*AA209*J209*AY209*[2]ステータス!$B$2,0)</f>
        <v>3410</v>
      </c>
      <c r="BL209" s="14">
        <f ca="1">ROUND(BD209*T209*AB209*K209*AZ209*[2]ステータス!$C$2,0)</f>
        <v>1249</v>
      </c>
      <c r="BM209" s="14">
        <f ca="1">ROUND(BD209*U209*AC209*L209*BA209*[2]ステータス!$D$2,0)</f>
        <v>0</v>
      </c>
      <c r="BN209" s="14">
        <f ca="1">ROUND(BD209*V209*AD209*M209*BB209*[2]ステータス!$E$2,0)</f>
        <v>892</v>
      </c>
      <c r="BO209" s="13">
        <v>0</v>
      </c>
      <c r="BP209" s="13">
        <v>1</v>
      </c>
      <c r="BQ209" s="13" t="s">
        <v>102</v>
      </c>
      <c r="BR209" s="234">
        <v>700</v>
      </c>
    </row>
    <row r="210" spans="1:70" ht="21" customHeight="1" x14ac:dyDescent="0.15">
      <c r="A210" s="14">
        <f t="shared" ca="1" si="22"/>
        <v>209</v>
      </c>
      <c r="B210" s="77" t="str">
        <f ca="1">VLOOKUP($A210,OFFSET([2]characters!$A$1,0,0,COUNTA([2]characters!$A:$A),MATCH(B$1,[2]characters!$1:$1,0)-MATCH($A$1,[2]characters!$1:$1,0)+1),MATCH(B$1,[2]characters!$1:$1,0)-MATCH($A$1,[2]characters!$1:$1,0)+1,FALSE)</f>
        <v>孤神 テティス</v>
      </c>
      <c r="C210" s="77" t="str">
        <f ca="1">VLOOKUP($A210,OFFSET([2]characters!$A$1,0,0,COUNTA([2]characters!$A:$A),MATCH(C$1,[2]characters!$1:$1,0)-MATCH($A$1,[2]characters!$1:$1,0)+1),MATCH(C$1,[2]characters!$1:$1,0)-MATCH($A$1,[2]characters!$1:$1,0)+1,FALSE)</f>
        <v>初期ガチャ</v>
      </c>
      <c r="D210" s="77" t="str">
        <f ca="1">VLOOKUP($A210,OFFSET([2]characters!$A$1,0,0,COUNTA([2]characters!$A:$A),MATCH(D$1,[2]characters!$1:$1,0)-MATCH($A$1,[2]characters!$1:$1,0)+1),MATCH(D$1,[2]characters!$1:$1,0)-MATCH($A$1,[2]characters!$1:$1,0)+1,FALSE)</f>
        <v>管理者</v>
      </c>
      <c r="E210" s="77" t="str">
        <f ca="1">VLOOKUP($A210,OFFSET([2]characters!$A$1,0,0,COUNTA([2]characters!$A:$A),MATCH(E$1,[2]characters!$1:$1,0)-MATCH($A$1,[2]characters!$1:$1,0)+1),MATCH(E$1,[2]characters!$1:$1,0)-MATCH($A$1,[2]characters!$1:$1,0)+1,FALSE)</f>
        <v>美しい</v>
      </c>
      <c r="F210" s="77" t="str">
        <f ca="1">VLOOKUP($A210,OFFSET([2]characters!$A$1,0,0,COUNTA([2]characters!$A:$A),MATCH(F$1,[2]characters!$1:$1,0)-MATCH($A$1,[2]characters!$1:$1,0)+1),MATCH(F$1,[2]characters!$1:$1,0)-MATCH($A$1,[2]characters!$1:$1,0)+1,FALSE)</f>
        <v>女性</v>
      </c>
      <c r="G210" s="77">
        <f ca="1">VLOOKUP($A210,OFFSET([2]characters!$A$1,0,0,COUNTA([2]characters!$A:$A),MATCH(G$1,[2]characters!$1:$1,0)-MATCH($A$1,[2]characters!$1:$1,0)+1),MATCH(G$1,[2]characters!$1:$1,0)-MATCH($A$1,[2]characters!$1:$1,0)+1,FALSE)</f>
        <v>4</v>
      </c>
      <c r="H210" s="77" t="str">
        <f ca="1">VLOOKUP($A210,OFFSET([2]characters!$A$1,0,0,COUNTA([2]characters!$A:$A),MATCH(H$1,[2]characters!$1:$1,0)-MATCH($A$1,[2]characters!$1:$1,0)+1),MATCH(H$1,[2]characters!$1:$1,0)-MATCH($A$1,[2]characters!$1:$1,0)+1,FALSE)</f>
        <v>PremiumN</v>
      </c>
      <c r="I210" s="77" t="str">
        <f ca="1">VLOOKUP($A210,OFFSET([2]characters!$A$1,0,0,COUNTA([2]characters!$A:$A),MATCH(I$1,[2]characters!$1:$1,0)-MATCH($A$1,[2]characters!$1:$1,0)+1),MATCH(I$1,[2]characters!$1:$1,0)-MATCH($A$1,[2]characters!$1:$1,0)+1,FALSE)</f>
        <v>blue</v>
      </c>
      <c r="J210" s="14">
        <f ca="1">VLOOKUP(I210,[2]属性!$A:$E,2,FALSE)</f>
        <v>1</v>
      </c>
      <c r="K210" s="14">
        <f ca="1">VLOOKUP(I210,[2]属性!$A:$E,3,FALSE)</f>
        <v>0.98</v>
      </c>
      <c r="L210" s="14">
        <f ca="1">VLOOKUP(I210,[2]属性!$A:$E,4,FALSE)</f>
        <v>1</v>
      </c>
      <c r="M210" s="14">
        <f ca="1">VLOOKUP(I210,[2]属性!$A:$E,5,FALSE)</f>
        <v>1.02</v>
      </c>
      <c r="N210" s="14">
        <f ca="1">INDEX(コスト!$A$1:$I$20,MATCH(H210,コスト!$A$1:$A$20,FALSE),MATCH(G210,コスト!$A$1:$I$1,FALSE))</f>
        <v>18</v>
      </c>
      <c r="O210" s="14">
        <f ca="1">INDEX(レベル!$A$1:$I$21,MATCH(H210,レベル!$A$1:$A$21,FALSE),MATCH(G210,レベル!$A$1:$I$1,FALSE))</f>
        <v>60</v>
      </c>
      <c r="P210" s="63">
        <f t="shared" ca="1" si="28"/>
        <v>60</v>
      </c>
      <c r="Q210" s="77" t="str">
        <f ca="1">VLOOKUP($A210,OFFSET([2]characters!$A$1,0,0,COUNTA([2]characters!$A:$A),MATCH(Q$1,[2]characters!$1:$1,0)-MATCH($A$1,[2]characters!$1:$1,0)+1),MATCH(Q$1,[2]characters!$1:$1,0)-MATCH($A$1,[2]characters!$1:$1,0)+1,FALSE)</f>
        <v>hp</v>
      </c>
      <c r="R210" s="8" t="str">
        <f ca="1">VLOOKUP(Q210,[2]character_type_i18n!$A:$H,3,FALSE)</f>
        <v>体力タイプ</v>
      </c>
      <c r="S210" s="14">
        <f ca="1">VLOOKUP(Q210,[2]character_type_i18n!$A:$H,4,FALSE)</f>
        <v>1.45</v>
      </c>
      <c r="T210" s="14">
        <f ca="1">VLOOKUP(Q210,[2]character_type_i18n!$A:$H,5,FALSE)</f>
        <v>0.85</v>
      </c>
      <c r="U210" s="14">
        <f ca="1">VLOOKUP(Q210,[2]character_type_i18n!$A:$H,6,FALSE)</f>
        <v>1</v>
      </c>
      <c r="V210" s="14">
        <f ca="1">VLOOKUP(Q210,[2]character_type_i18n!$A:$H,7,FALSE)</f>
        <v>0.7</v>
      </c>
      <c r="W210" s="77" t="str">
        <f ca="1">VLOOKUP($A210,OFFSET([2]characters!$A$1,0,0,COUNTA([2]characters!$A:$A),MATCH(W$1,[2]characters!$1:$1,0)-MATCH($A$1,[2]characters!$1:$1,0)+1),MATCH(W$1,[2]characters!$1:$1,0)-MATCH($A$1,[2]characters!$1:$1,0)+1,FALSE)</f>
        <v>god</v>
      </c>
      <c r="X210" s="8" t="str">
        <f ca="1">VLOOKUP(W210,[2]character_tribe_i18n!$A:$H,3,FALSE)</f>
        <v>ゴッド</v>
      </c>
      <c r="Y210" s="77" t="str">
        <f ca="1">VLOOKUP($A210,OFFSET([2]characters!$A$1,0,0,COUNTA([2]characters!$A:$A),MATCH(Y$1,[2]characters!$1:$1,0)-MATCH($A$1,[2]characters!$1:$1,0)+1),MATCH(Y$1,[2]characters!$1:$1,0)-MATCH($A$1,[2]characters!$1:$1,0)+1,FALSE)</f>
        <v>none</v>
      </c>
      <c r="Z210" s="8" t="str">
        <f ca="1">VLOOKUP(Y210,[2]character_tribe_i18n!$A:$H,3,FALSE)</f>
        <v>種族なし</v>
      </c>
      <c r="AA210" s="14">
        <f ca="1">VLOOKUP(W210,[2]character_tribe_i18n!$A:$H,4,FALSE)</f>
        <v>0.96</v>
      </c>
      <c r="AB210" s="14">
        <f ca="1">VLOOKUP(W210,[2]character_tribe_i18n!$A:$H,5,FALSE)</f>
        <v>1.02</v>
      </c>
      <c r="AC210" s="14">
        <f ca="1">VLOOKUP(W210,[2]character_tribe_i18n!$A:$H,6,FALSE)</f>
        <v>1</v>
      </c>
      <c r="AD210" s="14">
        <f ca="1">VLOOKUP(W210,[2]character_tribe_i18n!$A:$H,7,FALSE)</f>
        <v>1.02</v>
      </c>
      <c r="AE210" s="12">
        <v>210</v>
      </c>
      <c r="AF210" s="85" t="str">
        <f ca="1">IF(AE210="NULL","",VLOOKUP($AE210,OFFSET([2]characters!$A$1,0,0,COUNTA([2]characters!$A:$A),MATCH(AF$1,[2]characters!$1:$1,0)-MATCH($A$1,[2]characters!$1:$1,0)+1),MATCH(AF$1,[2]characters!$1:$1,0)-MATCH($A$1,[2]characters!$1:$1,0)+1,FALSE))</f>
        <v>海底の孤高神 テティス</v>
      </c>
      <c r="AG210" s="8">
        <f t="shared" ca="1" si="23"/>
        <v>208</v>
      </c>
      <c r="AH210" s="85" t="str">
        <f ca="1">VLOOKUP($AG210,OFFSET([2]characters!$A$1,0,0,COUNTA([2]characters!$A:$A),MATCH(AH$1,[2]characters!$1:$1,0)-MATCH($A$1,[2]characters!$1:$1,0)+1),MATCH(AH$1,[2]characters!$1:$1,0)-MATCH($A$1,[2]characters!$1:$1,0)+1,FALSE)</f>
        <v>テティス</v>
      </c>
      <c r="AI210" s="14">
        <f ca="1">IF(AE210="NULL","NULL",VLOOKUP(G210,ビット!$A$2:$B$7,2))</f>
        <v>50000</v>
      </c>
      <c r="AJ210" s="9">
        <v>2</v>
      </c>
      <c r="AK210" s="10" t="str">
        <f t="shared" si="24"/>
        <v>普通</v>
      </c>
      <c r="AL210" s="14" t="str">
        <f ca="1">INDEX(経験値!$A$1:$I$20,MATCH(H210,経験値!$A$1:$A$20,FALSE),MATCH(G210,経験値!$A$1:$I$1,FALSE))</f>
        <v>required_exp_200</v>
      </c>
      <c r="AM210" s="11">
        <f ca="1">VLOOKUP(G210,経験値!$A$27:$B$31,2)</f>
        <v>3400</v>
      </c>
      <c r="AN210" s="21">
        <f ca="1">VLOOKUP(G210,ビット!$G$2:$H$7,2)</f>
        <v>600</v>
      </c>
      <c r="AO210" s="98" t="s">
        <v>185</v>
      </c>
      <c r="AP210" s="97">
        <v>713002</v>
      </c>
      <c r="AQ210" s="77" t="e">
        <f ca="1">VLOOKUP($AP210,OFFSET([1]unit_skills!$A$1,0,0,COUNTA([1]unit_skills!$A:$A),MATCH("name",[1]unit_skills!$1:$1,0)-MATCH($AP$1,[1]unit_skills!$1:$1,0)+1),MATCH("name",[1]unit_skills!$1:$1,0)-MATCH($AP$1,[1]unit_skills!$1:$1,0)+1,FALSE)</f>
        <v>#VALUE!</v>
      </c>
      <c r="AR210" s="77" t="e">
        <f ca="1">VLOOKUP($AP210,OFFSET([1]unit_skills!$A$1,0,0,COUNTA([1]unit_skills!$A:$A),MATCH("comment",[1]unit_skills!$1:$1,0)-MATCH($AP$1,[1]unit_skills!$1:$1,0)+1),MATCH("comment",[1]unit_skills!$1:$1,0)-MATCH($AP$1,[1]unit_skills!$1:$1,0)+1,FALSE)</f>
        <v>#VALUE!</v>
      </c>
      <c r="AS210" s="77" t="e">
        <f ca="1">VLOOKUP($AP210,OFFSET([1]unit_skills!$A$1,0,0,COUNTA([1]unit_skills!$A:$A),MATCH(AS$1,[1]unit_skills!$1:$1,0)-MATCH($AP$1,[1]unit_skills!$1:$1,0)+1),MATCH(AS$1,[1]unit_skills!$1:$1,0)-MATCH($AP$1,[1]unit_skills!$1:$1,0)+1,FALSE)</f>
        <v>#VALUE!</v>
      </c>
      <c r="AT210" s="97">
        <v>163003</v>
      </c>
      <c r="AU210" s="77" t="e">
        <f ca="1">VLOOKUP($AT210,OFFSET([1]crash_skills!$A$1,0,0,COUNTA([1]crash_skills!$A:$A),MATCH("name",[1]crash_skills!$1:$1,0)-MATCH($AT$1,[1]crash_skills!$1:$1,0)+1),MATCH("name",[1]crash_skills!$1:$1,0)-MATCH($AT$1,[1]crash_skills!$1:$1,0)+1,FALSE)</f>
        <v>#VALUE!</v>
      </c>
      <c r="AV210" s="77" t="e">
        <f ca="1">VLOOKUP($AT210,OFFSET([1]crash_skills!$A$1,0,0,COUNTA([1]crash_skills!$A:$A),MATCH("comment",[1]crash_skills!$1:$1,0)-MATCH($AT$1,[1]crash_skills!$1:$1,0)+1),MATCH("comment",[1]crash_skills!$1:$1,0)-MATCH($AT$1,[1]crash_skills!$1:$1,0)+1,FALSE)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10" s="77" t="e">
        <f ca="1">VLOOKUP($AT210,OFFSET([1]crash_skills!$A$1,0,0,COUNTA([1]crash_skills!$A:$A),MATCH(AW$1,[1]crash_skills!$1:$1,0)-MATCH($AT$1,[1]crash_skills!$1:$1,0)+1),MATCH(AW$1,[1]crash_skills!$1:$1,0)-MATCH($AT$1,[1]crash_skills!$1:$1,0)+1,FALSE)</f>
        <v>#VALUE!</v>
      </c>
      <c r="AX210" s="81">
        <f ca="1">VLOOKUP($A210,OFFSET([2]characters!$A$1,0,0,COUNTA([2]characters!$A:$A),MATCH(AX$1,[2]characters!$1:$1,0)-MATCH($A$1,[2]characters!$1:$1,0)+1),MATCH(AX$1,[2]characters!$1:$1,0)-MATCH($A$1,[2]characters!$1:$1,0)+1,FALSE)</f>
        <v>3</v>
      </c>
      <c r="AY210" s="19">
        <v>1</v>
      </c>
      <c r="AZ210" s="19">
        <v>1</v>
      </c>
      <c r="BA210" s="19">
        <v>0</v>
      </c>
      <c r="BB210" s="19">
        <v>1</v>
      </c>
      <c r="BC210" s="14">
        <f ca="1">INDEX('RC6SV'!$A$1:$G$20,MATCH(H210,'RC6SV'!$A$1:$A$20,FALSE),MATCH(G210,'RC6SV'!$A$1:$G$1,FALSE))</f>
        <v>6700</v>
      </c>
      <c r="BD210" s="63">
        <f t="shared" ca="1" si="25"/>
        <v>6700</v>
      </c>
      <c r="BE210" s="14">
        <f t="shared" ca="1" si="26"/>
        <v>4900</v>
      </c>
      <c r="BF210" s="14">
        <f t="shared" ca="1" si="27"/>
        <v>1</v>
      </c>
      <c r="BG210" s="20">
        <f ca="1">IF($BE210&lt;=0,ROUND(BK210*0.5,0), ROUND($BE210*S210*AA210*J210*AY210*0.8*[2]ステータス!$B$2,0))</f>
        <v>2728</v>
      </c>
      <c r="BH210" s="20">
        <f ca="1">IF($BE210&lt;=0,ROUND(BL210*0.5,0), ROUND($BE210*T210*AB210*K210*AZ210*0.8*[2]ステータス!$C$2,0))</f>
        <v>999</v>
      </c>
      <c r="BI210" s="20">
        <f ca="1">IF($BE210&lt;=0,ROUND(BM210*0.5,0), ROUND($BE210*U210*AC210*L210*BA210*0.8*[2]ステータス!$D$2,0))</f>
        <v>0</v>
      </c>
      <c r="BJ210" s="20">
        <f ca="1">IF($BE210&lt;=0,ROUND(BN210*0.5,0), ROUND($BE210*V210*AD210*M210*BB210*0.8*[2]ステータス!$E$2,0))</f>
        <v>714</v>
      </c>
      <c r="BK210" s="14">
        <f ca="1">ROUND(BD210*S210*AA210*J210*AY210*[2]ステータス!$B$2,0)</f>
        <v>4663</v>
      </c>
      <c r="BL210" s="14">
        <f ca="1">ROUND(BD210*T210*AB210*K210*AZ210*[2]ステータス!$C$2,0)</f>
        <v>1708</v>
      </c>
      <c r="BM210" s="14">
        <f ca="1">ROUND(BD210*U210*AC210*L210*BA210*[2]ステータス!$D$2,0)</f>
        <v>0</v>
      </c>
      <c r="BN210" s="14">
        <f ca="1">ROUND(BD210*V210*AD210*M210*BB210*[2]ステータス!$E$2,0)</f>
        <v>1220</v>
      </c>
      <c r="BO210" s="13">
        <v>0</v>
      </c>
      <c r="BP210" s="13">
        <v>1</v>
      </c>
      <c r="BQ210" s="13" t="s">
        <v>102</v>
      </c>
      <c r="BR210" s="234">
        <v>700</v>
      </c>
    </row>
    <row r="211" spans="1:70" ht="21" customHeight="1" x14ac:dyDescent="0.15">
      <c r="A211" s="14">
        <f t="shared" ca="1" si="22"/>
        <v>210</v>
      </c>
      <c r="B211" s="77" t="str">
        <f ca="1">VLOOKUP($A211,OFFSET([2]characters!$A$1,0,0,COUNTA([2]characters!$A:$A),MATCH(B$1,[2]characters!$1:$1,0)-MATCH($A$1,[2]characters!$1:$1,0)+1),MATCH(B$1,[2]characters!$1:$1,0)-MATCH($A$1,[2]characters!$1:$1,0)+1,FALSE)</f>
        <v>海底の孤高神 テティス</v>
      </c>
      <c r="C211" s="77" t="str">
        <f ca="1">VLOOKUP($A211,OFFSET([2]characters!$A$1,0,0,COUNTA([2]characters!$A:$A),MATCH(C$1,[2]characters!$1:$1,0)-MATCH($A$1,[2]characters!$1:$1,0)+1),MATCH(C$1,[2]characters!$1:$1,0)-MATCH($A$1,[2]characters!$1:$1,0)+1,FALSE)</f>
        <v>初期ガチャ</v>
      </c>
      <c r="D211" s="77" t="str">
        <f ca="1">VLOOKUP($A211,OFFSET([2]characters!$A$1,0,0,COUNTA([2]characters!$A:$A),MATCH(D$1,[2]characters!$1:$1,0)-MATCH($A$1,[2]characters!$1:$1,0)+1),MATCH(D$1,[2]characters!$1:$1,0)-MATCH($A$1,[2]characters!$1:$1,0)+1,FALSE)</f>
        <v>管理者</v>
      </c>
      <c r="E211" s="77" t="str">
        <f ca="1">VLOOKUP($A211,OFFSET([2]characters!$A$1,0,0,COUNTA([2]characters!$A:$A),MATCH(E$1,[2]characters!$1:$1,0)-MATCH($A$1,[2]characters!$1:$1,0)+1),MATCH(E$1,[2]characters!$1:$1,0)-MATCH($A$1,[2]characters!$1:$1,0)+1,FALSE)</f>
        <v>美しい</v>
      </c>
      <c r="F211" s="77" t="str">
        <f ca="1">VLOOKUP($A211,OFFSET([2]characters!$A$1,0,0,COUNTA([2]characters!$A:$A),MATCH(F$1,[2]characters!$1:$1,0)-MATCH($A$1,[2]characters!$1:$1,0)+1),MATCH(F$1,[2]characters!$1:$1,0)-MATCH($A$1,[2]characters!$1:$1,0)+1,FALSE)</f>
        <v>女性</v>
      </c>
      <c r="G211" s="77">
        <f ca="1">VLOOKUP($A211,OFFSET([2]characters!$A$1,0,0,COUNTA([2]characters!$A:$A),MATCH(G$1,[2]characters!$1:$1,0)-MATCH($A$1,[2]characters!$1:$1,0)+1),MATCH(G$1,[2]characters!$1:$1,0)-MATCH($A$1,[2]characters!$1:$1,0)+1,FALSE)</f>
        <v>5</v>
      </c>
      <c r="H211" s="77" t="str">
        <f ca="1">VLOOKUP($A211,OFFSET([2]characters!$A$1,0,0,COUNTA([2]characters!$A:$A),MATCH(H$1,[2]characters!$1:$1,0)-MATCH($A$1,[2]characters!$1:$1,0)+1),MATCH(H$1,[2]characters!$1:$1,0)-MATCH($A$1,[2]characters!$1:$1,0)+1,FALSE)</f>
        <v>PremiumN</v>
      </c>
      <c r="I211" s="77" t="str">
        <f ca="1">VLOOKUP($A211,OFFSET([2]characters!$A$1,0,0,COUNTA([2]characters!$A:$A),MATCH(I$1,[2]characters!$1:$1,0)-MATCH($A$1,[2]characters!$1:$1,0)+1),MATCH(I$1,[2]characters!$1:$1,0)-MATCH($A$1,[2]characters!$1:$1,0)+1,FALSE)</f>
        <v>blue</v>
      </c>
      <c r="J211" s="14">
        <f ca="1">VLOOKUP(I211,[2]属性!$A:$E,2,FALSE)</f>
        <v>1</v>
      </c>
      <c r="K211" s="14">
        <f ca="1">VLOOKUP(I211,[2]属性!$A:$E,3,FALSE)</f>
        <v>0.98</v>
      </c>
      <c r="L211" s="14">
        <f ca="1">VLOOKUP(I211,[2]属性!$A:$E,4,FALSE)</f>
        <v>1</v>
      </c>
      <c r="M211" s="14">
        <f ca="1">VLOOKUP(I211,[2]属性!$A:$E,5,FALSE)</f>
        <v>1.02</v>
      </c>
      <c r="N211" s="14">
        <f ca="1">INDEX(コスト!$A$1:$I$20,MATCH(H211,コスト!$A$1:$A$20,FALSE),MATCH(G211,コスト!$A$1:$I$1,FALSE))</f>
        <v>28</v>
      </c>
      <c r="O211" s="14">
        <f ca="1">INDEX(レベル!$A$1:$I$21,MATCH(H211,レベル!$A$1:$A$21,FALSE),MATCH(G211,レベル!$A$1:$I$1,FALSE))</f>
        <v>80</v>
      </c>
      <c r="P211" s="63">
        <f t="shared" ca="1" si="28"/>
        <v>75</v>
      </c>
      <c r="Q211" s="77" t="str">
        <f ca="1">VLOOKUP($A211,OFFSET([2]characters!$A$1,0,0,COUNTA([2]characters!$A:$A),MATCH(Q$1,[2]characters!$1:$1,0)-MATCH($A$1,[2]characters!$1:$1,0)+1),MATCH(Q$1,[2]characters!$1:$1,0)-MATCH($A$1,[2]characters!$1:$1,0)+1,FALSE)</f>
        <v>hp</v>
      </c>
      <c r="R211" s="8" t="str">
        <f ca="1">VLOOKUP(Q211,[2]character_type_i18n!$A:$H,3,FALSE)</f>
        <v>体力タイプ</v>
      </c>
      <c r="S211" s="14">
        <f ca="1">VLOOKUP(Q211,[2]character_type_i18n!$A:$H,4,FALSE)</f>
        <v>1.45</v>
      </c>
      <c r="T211" s="14">
        <f ca="1">VLOOKUP(Q211,[2]character_type_i18n!$A:$H,5,FALSE)</f>
        <v>0.85</v>
      </c>
      <c r="U211" s="14">
        <f ca="1">VLOOKUP(Q211,[2]character_type_i18n!$A:$H,6,FALSE)</f>
        <v>1</v>
      </c>
      <c r="V211" s="14">
        <f ca="1">VLOOKUP(Q211,[2]character_type_i18n!$A:$H,7,FALSE)</f>
        <v>0.7</v>
      </c>
      <c r="W211" s="77" t="str">
        <f ca="1">VLOOKUP($A211,OFFSET([2]characters!$A$1,0,0,COUNTA([2]characters!$A:$A),MATCH(W$1,[2]characters!$1:$1,0)-MATCH($A$1,[2]characters!$1:$1,0)+1),MATCH(W$1,[2]characters!$1:$1,0)-MATCH($A$1,[2]characters!$1:$1,0)+1,FALSE)</f>
        <v>god</v>
      </c>
      <c r="X211" s="8" t="str">
        <f ca="1">VLOOKUP(W211,[2]character_tribe_i18n!$A:$H,3,FALSE)</f>
        <v>ゴッド</v>
      </c>
      <c r="Y211" s="77" t="str">
        <f ca="1">VLOOKUP($A211,OFFSET([2]characters!$A$1,0,0,COUNTA([2]characters!$A:$A),MATCH(Y$1,[2]characters!$1:$1,0)-MATCH($A$1,[2]characters!$1:$1,0)+1),MATCH(Y$1,[2]characters!$1:$1,0)-MATCH($A$1,[2]characters!$1:$1,0)+1,FALSE)</f>
        <v>none</v>
      </c>
      <c r="Z211" s="8" t="str">
        <f ca="1">VLOOKUP(Y211,[2]character_tribe_i18n!$A:$H,3,FALSE)</f>
        <v>種族なし</v>
      </c>
      <c r="AA211" s="14">
        <f ca="1">VLOOKUP(W211,[2]character_tribe_i18n!$A:$H,4,FALSE)</f>
        <v>0.96</v>
      </c>
      <c r="AB211" s="14">
        <f ca="1">VLOOKUP(W211,[2]character_tribe_i18n!$A:$H,5,FALSE)</f>
        <v>1.02</v>
      </c>
      <c r="AC211" s="14">
        <f ca="1">VLOOKUP(W211,[2]character_tribe_i18n!$A:$H,6,FALSE)</f>
        <v>1</v>
      </c>
      <c r="AD211" s="14">
        <f ca="1">VLOOKUP(W211,[2]character_tribe_i18n!$A:$H,7,FALSE)</f>
        <v>1.02</v>
      </c>
      <c r="AE211" s="12" t="s">
        <v>102</v>
      </c>
      <c r="AF211" s="85" t="str">
        <f ca="1">IF(AE211="NULL","",VLOOKUP($AE211,OFFSET([2]characters!$A$1,0,0,COUNTA([2]characters!$A:$A),MATCH(AF$1,[2]characters!$1:$1,0)-MATCH($A$1,[2]characters!$1:$1,0)+1),MATCH(AF$1,[2]characters!$1:$1,0)-MATCH($A$1,[2]characters!$1:$1,0)+1,FALSE))</f>
        <v/>
      </c>
      <c r="AG211" s="8">
        <f t="shared" ca="1" si="23"/>
        <v>208</v>
      </c>
      <c r="AH211" s="85" t="str">
        <f ca="1">VLOOKUP($AG211,OFFSET([2]characters!$A$1,0,0,COUNTA([2]characters!$A:$A),MATCH(AH$1,[2]characters!$1:$1,0)-MATCH($A$1,[2]characters!$1:$1,0)+1),MATCH(AH$1,[2]characters!$1:$1,0)-MATCH($A$1,[2]characters!$1:$1,0)+1,FALSE)</f>
        <v>テティス</v>
      </c>
      <c r="AI211" s="14" t="str">
        <f>IF(AE211="NULL","NULL",VLOOKUP(G211,ビット!$A$2:$B$7,2))</f>
        <v>NULL</v>
      </c>
      <c r="AJ211" s="9">
        <v>2</v>
      </c>
      <c r="AK211" s="10" t="str">
        <f t="shared" si="24"/>
        <v>普通</v>
      </c>
      <c r="AL211" s="14" t="str">
        <f ca="1">INDEX(経験値!$A$1:$I$20,MATCH(H211,経験値!$A$1:$A$20,FALSE),MATCH(G211,経験値!$A$1:$I$1,FALSE))</f>
        <v>required_exp_200</v>
      </c>
      <c r="AM211" s="11">
        <f ca="1">VLOOKUP(G211,経験値!$A$27:$B$31,2)</f>
        <v>6400</v>
      </c>
      <c r="AN211" s="21">
        <f ca="1">VLOOKUP(G211,ビット!$G$2:$H$7,2)</f>
        <v>900</v>
      </c>
      <c r="AO211" s="98" t="s">
        <v>185</v>
      </c>
      <c r="AP211" s="97">
        <v>713003</v>
      </c>
      <c r="AQ211" s="77" t="e">
        <f ca="1">VLOOKUP($AP211,OFFSET([1]unit_skills!$A$1,0,0,COUNTA([1]unit_skills!$A:$A),MATCH("name",[1]unit_skills!$1:$1,0)-MATCH($AP$1,[1]unit_skills!$1:$1,0)+1),MATCH("name",[1]unit_skills!$1:$1,0)-MATCH($AP$1,[1]unit_skills!$1:$1,0)+1,FALSE)</f>
        <v>#VALUE!</v>
      </c>
      <c r="AR211" s="77" t="e">
        <f ca="1">VLOOKUP($AP211,OFFSET([1]unit_skills!$A$1,0,0,COUNTA([1]unit_skills!$A:$A),MATCH("comment",[1]unit_skills!$1:$1,0)-MATCH($AP$1,[1]unit_skills!$1:$1,0)+1),MATCH("comment",[1]unit_skills!$1:$1,0)-MATCH($AP$1,[1]unit_skills!$1:$1,0)+1,FALSE)</f>
        <v>#VALUE!</v>
      </c>
      <c r="AS211" s="77" t="e">
        <f ca="1">VLOOKUP($AP211,OFFSET([1]unit_skills!$A$1,0,0,COUNTA([1]unit_skills!$A:$A),MATCH(AS$1,[1]unit_skills!$1:$1,0)-MATCH($AP$1,[1]unit_skills!$1:$1,0)+1),MATCH(AS$1,[1]unit_skills!$1:$1,0)-MATCH($AP$1,[1]unit_skills!$1:$1,0)+1,FALSE)</f>
        <v>#VALUE!</v>
      </c>
      <c r="AT211" s="97">
        <v>163008</v>
      </c>
      <c r="AU211" s="77" t="e">
        <f ca="1">VLOOKUP($AT211,OFFSET([1]crash_skills!$A$1,0,0,COUNTA([1]crash_skills!$A:$A),MATCH("name",[1]crash_skills!$1:$1,0)-MATCH($AT$1,[1]crash_skills!$1:$1,0)+1),MATCH("name",[1]crash_skills!$1:$1,0)-MATCH($AT$1,[1]crash_skills!$1:$1,0)+1,FALSE)</f>
        <v>#VALUE!</v>
      </c>
      <c r="AV211" s="77" t="e">
        <f ca="1">VLOOKUP($AT211,OFFSET([1]crash_skills!$A$1,0,0,COUNTA([1]crash_skills!$A:$A),MATCH("comment",[1]crash_skills!$1:$1,0)-MATCH($AT$1,[1]crash_skills!$1:$1,0)+1),MATCH("comment",[1]crash_skills!$1:$1,0)-MATCH($AT$1,[1]crash_skills!$1:$1,0)+1,FALSE)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11" s="77" t="e">
        <f ca="1">VLOOKUP($AT211,OFFSET([1]crash_skills!$A$1,0,0,COUNTA([1]crash_skills!$A:$A),MATCH(AW$1,[1]crash_skills!$1:$1,0)-MATCH($AT$1,[1]crash_skills!$1:$1,0)+1),MATCH(AW$1,[1]crash_skills!$1:$1,0)-MATCH($AT$1,[1]crash_skills!$1:$1,0)+1,FALSE)</f>
        <v>#VALUE!</v>
      </c>
      <c r="AX211" s="81">
        <f ca="1">VLOOKUP($A211,OFFSET([2]characters!$A$1,0,0,COUNTA([2]characters!$A:$A),MATCH(AX$1,[2]characters!$1:$1,0)-MATCH($A$1,[2]characters!$1:$1,0)+1),MATCH(AX$1,[2]characters!$1:$1,0)-MATCH($A$1,[2]characters!$1:$1,0)+1,FALSE)</f>
        <v>3</v>
      </c>
      <c r="AY211" s="19">
        <v>1</v>
      </c>
      <c r="AZ211" s="19">
        <v>1</v>
      </c>
      <c r="BA211" s="19">
        <v>0</v>
      </c>
      <c r="BB211" s="19">
        <v>1</v>
      </c>
      <c r="BC211" s="14">
        <f ca="1">INDEX('RC6SV'!$A$1:$G$20,MATCH(H211,'RC6SV'!$A$1:$A$20,FALSE),MATCH(G211,'RC6SV'!$A$1:$G$1,FALSE))</f>
        <v>8500</v>
      </c>
      <c r="BD211" s="63">
        <f t="shared" ca="1" si="25"/>
        <v>8500</v>
      </c>
      <c r="BE211" s="14">
        <f t="shared" ca="1" si="26"/>
        <v>6700</v>
      </c>
      <c r="BF211" s="14">
        <f t="shared" ca="1" si="27"/>
        <v>1</v>
      </c>
      <c r="BG211" s="20">
        <f ca="1">IF($BE211&lt;=0,ROUND(BK211*0.5,0), ROUND($BE211*S211*AA211*J211*AY211*0.8*[2]ステータス!$B$2,0))</f>
        <v>3731</v>
      </c>
      <c r="BH211" s="20">
        <f ca="1">IF($BE211&lt;=0,ROUND(BL211*0.5,0), ROUND($BE211*T211*AB211*K211*AZ211*0.8*[2]ステータス!$C$2,0))</f>
        <v>1366</v>
      </c>
      <c r="BI211" s="20">
        <f ca="1">IF($BE211&lt;=0,ROUND(BM211*0.5,0), ROUND($BE211*U211*AC211*L211*BA211*0.8*[2]ステータス!$D$2,0))</f>
        <v>0</v>
      </c>
      <c r="BJ211" s="20">
        <f ca="1">IF($BE211&lt;=0,ROUND(BN211*0.5,0), ROUND($BE211*V211*AD211*M211*BB211*0.8*[2]ステータス!$E$2,0))</f>
        <v>976</v>
      </c>
      <c r="BK211" s="14">
        <f ca="1">ROUND(BD211*S211*AA211*J211*AY211*[2]ステータス!$B$2,0)</f>
        <v>5916</v>
      </c>
      <c r="BL211" s="14">
        <f ca="1">ROUND(BD211*T211*AB211*K211*AZ211*[2]ステータス!$C$2,0)</f>
        <v>2167</v>
      </c>
      <c r="BM211" s="14">
        <f ca="1">ROUND(BD211*U211*AC211*L211*BA211*[2]ステータス!$D$2,0)</f>
        <v>0</v>
      </c>
      <c r="BN211" s="14">
        <f ca="1">ROUND(BD211*V211*AD211*M211*BB211*[2]ステータス!$E$2,0)</f>
        <v>1548</v>
      </c>
      <c r="BO211" s="13">
        <v>0</v>
      </c>
      <c r="BP211" s="13">
        <v>1</v>
      </c>
      <c r="BQ211" s="13" t="s">
        <v>102</v>
      </c>
      <c r="BR211" s="234">
        <v>700</v>
      </c>
    </row>
    <row r="212" spans="1:70" ht="21" customHeight="1" x14ac:dyDescent="0.15">
      <c r="A212" s="14">
        <f t="shared" ca="1" si="22"/>
        <v>211</v>
      </c>
      <c r="B212" s="77" t="str">
        <f ca="1">VLOOKUP($A212,OFFSET([2]characters!$A$1,0,0,COUNTA([2]characters!$A:$A),MATCH(B$1,[2]characters!$1:$1,0)-MATCH($A$1,[2]characters!$1:$1,0)+1),MATCH(B$1,[2]characters!$1:$1,0)-MATCH($A$1,[2]characters!$1:$1,0)+1,FALSE)</f>
        <v>アストライアー</v>
      </c>
      <c r="C212" s="77" t="str">
        <f ca="1">VLOOKUP($A212,OFFSET([2]characters!$A$1,0,0,COUNTA([2]characters!$A:$A),MATCH(C$1,[2]characters!$1:$1,0)-MATCH($A$1,[2]characters!$1:$1,0)+1),MATCH(C$1,[2]characters!$1:$1,0)-MATCH($A$1,[2]characters!$1:$1,0)+1,FALSE)</f>
        <v>初期ガチャ</v>
      </c>
      <c r="D212" s="77" t="str">
        <f ca="1">VLOOKUP($A212,OFFSET([2]characters!$A$1,0,0,COUNTA([2]characters!$A:$A),MATCH(D$1,[2]characters!$1:$1,0)-MATCH($A$1,[2]characters!$1:$1,0)+1),MATCH(D$1,[2]characters!$1:$1,0)-MATCH($A$1,[2]characters!$1:$1,0)+1,FALSE)</f>
        <v>管理者</v>
      </c>
      <c r="E212" s="77" t="str">
        <f ca="1">VLOOKUP($A212,OFFSET([2]characters!$A$1,0,0,COUNTA([2]characters!$A:$A),MATCH(E$1,[2]characters!$1:$1,0)-MATCH($A$1,[2]characters!$1:$1,0)+1),MATCH(E$1,[2]characters!$1:$1,0)-MATCH($A$1,[2]characters!$1:$1,0)+1,FALSE)</f>
        <v>美しい</v>
      </c>
      <c r="F212" s="77" t="str">
        <f ca="1">VLOOKUP($A212,OFFSET([2]characters!$A$1,0,0,COUNTA([2]characters!$A:$A),MATCH(F$1,[2]characters!$1:$1,0)-MATCH($A$1,[2]characters!$1:$1,0)+1),MATCH(F$1,[2]characters!$1:$1,0)-MATCH($A$1,[2]characters!$1:$1,0)+1,FALSE)</f>
        <v>女性</v>
      </c>
      <c r="G212" s="77">
        <f ca="1">VLOOKUP($A212,OFFSET([2]characters!$A$1,0,0,COUNTA([2]characters!$A:$A),MATCH(G$1,[2]characters!$1:$1,0)-MATCH($A$1,[2]characters!$1:$1,0)+1),MATCH(G$1,[2]characters!$1:$1,0)-MATCH($A$1,[2]characters!$1:$1,0)+1,FALSE)</f>
        <v>3</v>
      </c>
      <c r="H212" s="77" t="str">
        <f ca="1">VLOOKUP($A212,OFFSET([2]characters!$A$1,0,0,COUNTA([2]characters!$A:$A),MATCH(H$1,[2]characters!$1:$1,0)-MATCH($A$1,[2]characters!$1:$1,0)+1),MATCH(H$1,[2]characters!$1:$1,0)-MATCH($A$1,[2]characters!$1:$1,0)+1,FALSE)</f>
        <v>PremiumN</v>
      </c>
      <c r="I212" s="77" t="str">
        <f ca="1">VLOOKUP($A212,OFFSET([2]characters!$A$1,0,0,COUNTA([2]characters!$A:$A),MATCH(I$1,[2]characters!$1:$1,0)-MATCH($A$1,[2]characters!$1:$1,0)+1),MATCH(I$1,[2]characters!$1:$1,0)-MATCH($A$1,[2]characters!$1:$1,0)+1,FALSE)</f>
        <v>yellow</v>
      </c>
      <c r="J212" s="14">
        <f ca="1">VLOOKUP(I212,[2]属性!$A:$E,2,FALSE)</f>
        <v>0.98</v>
      </c>
      <c r="K212" s="14">
        <f ca="1">VLOOKUP(I212,[2]属性!$A:$E,3,FALSE)</f>
        <v>1.01</v>
      </c>
      <c r="L212" s="14">
        <f ca="1">VLOOKUP(I212,[2]属性!$A:$E,4,FALSE)</f>
        <v>1</v>
      </c>
      <c r="M212" s="14">
        <f ca="1">VLOOKUP(I212,[2]属性!$A:$E,5,FALSE)</f>
        <v>1.01</v>
      </c>
      <c r="N212" s="14">
        <f ca="1">INDEX(コスト!$A$1:$I$20,MATCH(H212,コスト!$A$1:$A$20,FALSE),MATCH(G212,コスト!$A$1:$I$1,FALSE))</f>
        <v>9</v>
      </c>
      <c r="O212" s="14">
        <f ca="1">INDEX(レベル!$A$1:$I$21,MATCH(H212,レベル!$A$1:$A$21,FALSE),MATCH(G212,レベル!$A$1:$I$1,FALSE))</f>
        <v>40</v>
      </c>
      <c r="P212" s="63">
        <f t="shared" ca="1" si="28"/>
        <v>45</v>
      </c>
      <c r="Q212" s="77" t="str">
        <f ca="1">VLOOKUP($A212,OFFSET([2]characters!$A$1,0,0,COUNTA([2]characters!$A:$A),MATCH(Q$1,[2]characters!$1:$1,0)-MATCH($A$1,[2]characters!$1:$1,0)+1),MATCH(Q$1,[2]characters!$1:$1,0)-MATCH($A$1,[2]characters!$1:$1,0)+1,FALSE)</f>
        <v>balance</v>
      </c>
      <c r="R212" s="8" t="str">
        <f ca="1">VLOOKUP(Q212,[2]character_type_i18n!$A:$H,3,FALSE)</f>
        <v>バランスタイプ</v>
      </c>
      <c r="S212" s="14">
        <f ca="1">VLOOKUP(Q212,[2]character_type_i18n!$A:$H,4,FALSE)</f>
        <v>1</v>
      </c>
      <c r="T212" s="14">
        <f ca="1">VLOOKUP(Q212,[2]character_type_i18n!$A:$H,5,FALSE)</f>
        <v>1</v>
      </c>
      <c r="U212" s="14">
        <f ca="1">VLOOKUP(Q212,[2]character_type_i18n!$A:$H,6,FALSE)</f>
        <v>1</v>
      </c>
      <c r="V212" s="14">
        <f ca="1">VLOOKUP(Q212,[2]character_type_i18n!$A:$H,7,FALSE)</f>
        <v>1</v>
      </c>
      <c r="W212" s="77" t="str">
        <f ca="1">VLOOKUP($A212,OFFSET([2]characters!$A$1,0,0,COUNTA([2]characters!$A:$A),MATCH(W$1,[2]characters!$1:$1,0)-MATCH($A$1,[2]characters!$1:$1,0)+1),MATCH(W$1,[2]characters!$1:$1,0)-MATCH($A$1,[2]characters!$1:$1,0)+1,FALSE)</f>
        <v>god</v>
      </c>
      <c r="X212" s="8" t="str">
        <f ca="1">VLOOKUP(W212,[2]character_tribe_i18n!$A:$H,3,FALSE)</f>
        <v>ゴッド</v>
      </c>
      <c r="Y212" s="77" t="str">
        <f ca="1">VLOOKUP($A212,OFFSET([2]characters!$A$1,0,0,COUNTA([2]characters!$A:$A),MATCH(Y$1,[2]characters!$1:$1,0)-MATCH($A$1,[2]characters!$1:$1,0)+1),MATCH(Y$1,[2]characters!$1:$1,0)-MATCH($A$1,[2]characters!$1:$1,0)+1,FALSE)</f>
        <v>none</v>
      </c>
      <c r="Z212" s="8" t="str">
        <f ca="1">VLOOKUP(Y212,[2]character_tribe_i18n!$A:$H,3,FALSE)</f>
        <v>種族なし</v>
      </c>
      <c r="AA212" s="14">
        <f ca="1">VLOOKUP(W212,[2]character_tribe_i18n!$A:$H,4,FALSE)</f>
        <v>0.96</v>
      </c>
      <c r="AB212" s="14">
        <f ca="1">VLOOKUP(W212,[2]character_tribe_i18n!$A:$H,5,FALSE)</f>
        <v>1.02</v>
      </c>
      <c r="AC212" s="14">
        <f ca="1">VLOOKUP(W212,[2]character_tribe_i18n!$A:$H,6,FALSE)</f>
        <v>1</v>
      </c>
      <c r="AD212" s="14">
        <f ca="1">VLOOKUP(W212,[2]character_tribe_i18n!$A:$H,7,FALSE)</f>
        <v>1.02</v>
      </c>
      <c r="AE212" s="12">
        <v>212</v>
      </c>
      <c r="AF212" s="85" t="str">
        <f ca="1">IF(AE212="NULL","",VLOOKUP($AE212,OFFSET([2]characters!$A$1,0,0,COUNTA([2]characters!$A:$A),MATCH(AF$1,[2]characters!$1:$1,0)-MATCH($A$1,[2]characters!$1:$1,0)+1),MATCH(AF$1,[2]characters!$1:$1,0)-MATCH($A$1,[2]characters!$1:$1,0)+1,FALSE))</f>
        <v>星神 アストライアー</v>
      </c>
      <c r="AG212" s="8">
        <f t="shared" ca="1" si="23"/>
        <v>211</v>
      </c>
      <c r="AH212" s="85" t="str">
        <f ca="1">VLOOKUP($AG212,OFFSET([2]characters!$A$1,0,0,COUNTA([2]characters!$A:$A),MATCH(AH$1,[2]characters!$1:$1,0)-MATCH($A$1,[2]characters!$1:$1,0)+1),MATCH(AH$1,[2]characters!$1:$1,0)-MATCH($A$1,[2]characters!$1:$1,0)+1,FALSE)</f>
        <v>アストライアー</v>
      </c>
      <c r="AI212" s="14">
        <f ca="1">IF(AE212="NULL","NULL",VLOOKUP(G212,ビット!$A$2:$B$7,2))</f>
        <v>20000</v>
      </c>
      <c r="AJ212" s="9">
        <v>2</v>
      </c>
      <c r="AK212" s="10" t="str">
        <f t="shared" si="24"/>
        <v>普通</v>
      </c>
      <c r="AL212" s="14" t="str">
        <f ca="1">INDEX(経験値!$A$1:$I$20,MATCH(H212,経験値!$A$1:$A$20,FALSE),MATCH(G212,経験値!$A$1:$I$1,FALSE))</f>
        <v>required_exp_200</v>
      </c>
      <c r="AM212" s="11">
        <f ca="1">VLOOKUP(G212,経験値!$A$27:$B$31,2)</f>
        <v>1500</v>
      </c>
      <c r="AN212" s="21">
        <f ca="1">VLOOKUP(G212,ビット!$G$2:$H$7,2)</f>
        <v>300</v>
      </c>
      <c r="AO212" s="98" t="s">
        <v>185</v>
      </c>
      <c r="AP212" s="97">
        <v>615002</v>
      </c>
      <c r="AQ212" s="77" t="e">
        <f ca="1">VLOOKUP($AP212,OFFSET([1]unit_skills!$A$1,0,0,COUNTA([1]unit_skills!$A:$A),MATCH("name",[1]unit_skills!$1:$1,0)-MATCH($AP$1,[1]unit_skills!$1:$1,0)+1),MATCH("name",[1]unit_skills!$1:$1,0)-MATCH($AP$1,[1]unit_skills!$1:$1,0)+1,FALSE)</f>
        <v>#VALUE!</v>
      </c>
      <c r="AR212" s="77" t="e">
        <f ca="1">VLOOKUP($AP212,OFFSET([1]unit_skills!$A$1,0,0,COUNTA([1]unit_skills!$A:$A),MATCH("comment",[1]unit_skills!$1:$1,0)-MATCH($AP$1,[1]unit_skills!$1:$1,0)+1),MATCH("comment",[1]unit_skills!$1:$1,0)-MATCH($AP$1,[1]unit_skills!$1:$1,0)+1,FALSE)</f>
        <v>#VALUE!</v>
      </c>
      <c r="AS212" s="77" t="e">
        <f ca="1">VLOOKUP($AP212,OFFSET([1]unit_skills!$A$1,0,0,COUNTA([1]unit_skills!$A:$A),MATCH(AS$1,[1]unit_skills!$1:$1,0)-MATCH($AP$1,[1]unit_skills!$1:$1,0)+1),MATCH(AS$1,[1]unit_skills!$1:$1,0)-MATCH($AP$1,[1]unit_skills!$1:$1,0)+1,FALSE)</f>
        <v>#VALUE!</v>
      </c>
      <c r="AT212" s="97">
        <v>164002</v>
      </c>
      <c r="AU212" s="77" t="e">
        <f ca="1">VLOOKUP($AT212,OFFSET([1]crash_skills!$A$1,0,0,COUNTA([1]crash_skills!$A:$A),MATCH("name",[1]crash_skills!$1:$1,0)-MATCH($AT$1,[1]crash_skills!$1:$1,0)+1),MATCH("name",[1]crash_skills!$1:$1,0)-MATCH($AT$1,[1]crash_skills!$1:$1,0)+1,FALSE)</f>
        <v>#VALUE!</v>
      </c>
      <c r="AV212" s="77" t="e">
        <f ca="1">VLOOKUP($AT212,OFFSET([1]crash_skills!$A$1,0,0,COUNTA([1]crash_skills!$A:$A),MATCH("comment",[1]crash_skills!$1:$1,0)-MATCH($AT$1,[1]crash_skills!$1:$1,0)+1),MATCH("comment",[1]crash_skills!$1:$1,0)-MATCH($AT$1,[1]crash_skills!$1:$1,0)+1,FALSE)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12" s="77" t="e">
        <f ca="1">VLOOKUP($AT212,OFFSET([1]crash_skills!$A$1,0,0,COUNTA([1]crash_skills!$A:$A),MATCH(AW$1,[1]crash_skills!$1:$1,0)-MATCH($AT$1,[1]crash_skills!$1:$1,0)+1),MATCH(AW$1,[1]crash_skills!$1:$1,0)-MATCH($AT$1,[1]crash_skills!$1:$1,0)+1,FALSE)</f>
        <v>#VALUE!</v>
      </c>
      <c r="AX212" s="81">
        <f ca="1">VLOOKUP($A212,OFFSET([2]characters!$A$1,0,0,COUNTA([2]characters!$A:$A),MATCH(AX$1,[2]characters!$1:$1,0)-MATCH($A$1,[2]characters!$1:$1,0)+1),MATCH(AX$1,[2]characters!$1:$1,0)-MATCH($A$1,[2]characters!$1:$1,0)+1,FALSE)</f>
        <v>3</v>
      </c>
      <c r="AY212" s="19">
        <v>1</v>
      </c>
      <c r="AZ212" s="19">
        <v>1</v>
      </c>
      <c r="BA212" s="19">
        <v>0</v>
      </c>
      <c r="BB212" s="19">
        <v>1</v>
      </c>
      <c r="BC212" s="14">
        <f ca="1">INDEX('RC6SV'!$A$1:$G$20,MATCH(H212,'RC6SV'!$A$1:$A$20,FALSE),MATCH(G212,'RC6SV'!$A$1:$G$1,FALSE))</f>
        <v>4900</v>
      </c>
      <c r="BD212" s="63">
        <f t="shared" ca="1" si="25"/>
        <v>4900</v>
      </c>
      <c r="BE212" s="14">
        <f t="shared" ca="1" si="26"/>
        <v>0</v>
      </c>
      <c r="BF212" s="14">
        <f t="shared" ca="1" si="27"/>
        <v>1</v>
      </c>
      <c r="BG212" s="20">
        <f ca="1">IF($BE212&lt;=0,ROUND(BK212*0.5,0), ROUND($BE212*S212*AA212*J212*AY212*0.8*[2]ステータス!$B$2,0))</f>
        <v>1153</v>
      </c>
      <c r="BH212" s="20">
        <f ca="1">IF($BE212&lt;=0,ROUND(BL212*0.5,0), ROUND($BE212*T212*AB212*K212*AZ212*0.8*[2]ステータス!$C$2,0))</f>
        <v>757</v>
      </c>
      <c r="BI212" s="20">
        <f ca="1">IF($BE212&lt;=0,ROUND(BM212*0.5,0), ROUND($BE212*U212*AC212*L212*BA212*0.8*[2]ステータス!$D$2,0))</f>
        <v>0</v>
      </c>
      <c r="BJ212" s="20">
        <f ca="1">IF($BE212&lt;=0,ROUND(BN212*0.5,0), ROUND($BE212*V212*AD212*M212*BB212*0.8*[2]ステータス!$E$2,0))</f>
        <v>631</v>
      </c>
      <c r="BK212" s="14">
        <f ca="1">ROUND(BD212*S212*AA212*J212*AY212*[2]ステータス!$B$2,0)</f>
        <v>2305</v>
      </c>
      <c r="BL212" s="14">
        <f ca="1">ROUND(BD212*T212*AB212*K212*AZ212*[2]ステータス!$C$2,0)</f>
        <v>1514</v>
      </c>
      <c r="BM212" s="14">
        <f ca="1">ROUND(BD212*U212*AC212*L212*BA212*[2]ステータス!$D$2,0)</f>
        <v>0</v>
      </c>
      <c r="BN212" s="14">
        <f ca="1">ROUND(BD212*V212*AD212*M212*BB212*[2]ステータス!$E$2,0)</f>
        <v>1262</v>
      </c>
      <c r="BO212" s="13">
        <v>0</v>
      </c>
      <c r="BP212" s="13">
        <v>1</v>
      </c>
      <c r="BQ212" s="13" t="s">
        <v>102</v>
      </c>
      <c r="BR212" s="234">
        <v>700</v>
      </c>
    </row>
    <row r="213" spans="1:70" ht="21" customHeight="1" x14ac:dyDescent="0.15">
      <c r="A213" s="14">
        <f t="shared" ca="1" si="22"/>
        <v>212</v>
      </c>
      <c r="B213" s="77" t="str">
        <f ca="1">VLOOKUP($A213,OFFSET([2]characters!$A$1,0,0,COUNTA([2]characters!$A:$A),MATCH(B$1,[2]characters!$1:$1,0)-MATCH($A$1,[2]characters!$1:$1,0)+1),MATCH(B$1,[2]characters!$1:$1,0)-MATCH($A$1,[2]characters!$1:$1,0)+1,FALSE)</f>
        <v>星神 アストライアー</v>
      </c>
      <c r="C213" s="77" t="str">
        <f ca="1">VLOOKUP($A213,OFFSET([2]characters!$A$1,0,0,COUNTA([2]characters!$A:$A),MATCH(C$1,[2]characters!$1:$1,0)-MATCH($A$1,[2]characters!$1:$1,0)+1),MATCH(C$1,[2]characters!$1:$1,0)-MATCH($A$1,[2]characters!$1:$1,0)+1,FALSE)</f>
        <v>初期ガチャ</v>
      </c>
      <c r="D213" s="77" t="str">
        <f ca="1">VLOOKUP($A213,OFFSET([2]characters!$A$1,0,0,COUNTA([2]characters!$A:$A),MATCH(D$1,[2]characters!$1:$1,0)-MATCH($A$1,[2]characters!$1:$1,0)+1),MATCH(D$1,[2]characters!$1:$1,0)-MATCH($A$1,[2]characters!$1:$1,0)+1,FALSE)</f>
        <v>管理者</v>
      </c>
      <c r="E213" s="77" t="str">
        <f ca="1">VLOOKUP($A213,OFFSET([2]characters!$A$1,0,0,COUNTA([2]characters!$A:$A),MATCH(E$1,[2]characters!$1:$1,0)-MATCH($A$1,[2]characters!$1:$1,0)+1),MATCH(E$1,[2]characters!$1:$1,0)-MATCH($A$1,[2]characters!$1:$1,0)+1,FALSE)</f>
        <v>美しい</v>
      </c>
      <c r="F213" s="77" t="str">
        <f ca="1">VLOOKUP($A213,OFFSET([2]characters!$A$1,0,0,COUNTA([2]characters!$A:$A),MATCH(F$1,[2]characters!$1:$1,0)-MATCH($A$1,[2]characters!$1:$1,0)+1),MATCH(F$1,[2]characters!$1:$1,0)-MATCH($A$1,[2]characters!$1:$1,0)+1,FALSE)</f>
        <v>女性</v>
      </c>
      <c r="G213" s="77">
        <f ca="1">VLOOKUP($A213,OFFSET([2]characters!$A$1,0,0,COUNTA([2]characters!$A:$A),MATCH(G$1,[2]characters!$1:$1,0)-MATCH($A$1,[2]characters!$1:$1,0)+1),MATCH(G$1,[2]characters!$1:$1,0)-MATCH($A$1,[2]characters!$1:$1,0)+1,FALSE)</f>
        <v>4</v>
      </c>
      <c r="H213" s="77" t="str">
        <f ca="1">VLOOKUP($A213,OFFSET([2]characters!$A$1,0,0,COUNTA([2]characters!$A:$A),MATCH(H$1,[2]characters!$1:$1,0)-MATCH($A$1,[2]characters!$1:$1,0)+1),MATCH(H$1,[2]characters!$1:$1,0)-MATCH($A$1,[2]characters!$1:$1,0)+1,FALSE)</f>
        <v>PremiumN</v>
      </c>
      <c r="I213" s="77" t="str">
        <f ca="1">VLOOKUP($A213,OFFSET([2]characters!$A$1,0,0,COUNTA([2]characters!$A:$A),MATCH(I$1,[2]characters!$1:$1,0)-MATCH($A$1,[2]characters!$1:$1,0)+1),MATCH(I$1,[2]characters!$1:$1,0)-MATCH($A$1,[2]characters!$1:$1,0)+1,FALSE)</f>
        <v>yellow</v>
      </c>
      <c r="J213" s="14">
        <f ca="1">VLOOKUP(I213,[2]属性!$A:$E,2,FALSE)</f>
        <v>0.98</v>
      </c>
      <c r="K213" s="14">
        <f ca="1">VLOOKUP(I213,[2]属性!$A:$E,3,FALSE)</f>
        <v>1.01</v>
      </c>
      <c r="L213" s="14">
        <f ca="1">VLOOKUP(I213,[2]属性!$A:$E,4,FALSE)</f>
        <v>1</v>
      </c>
      <c r="M213" s="14">
        <f ca="1">VLOOKUP(I213,[2]属性!$A:$E,5,FALSE)</f>
        <v>1.01</v>
      </c>
      <c r="N213" s="14">
        <f ca="1">INDEX(コスト!$A$1:$I$20,MATCH(H213,コスト!$A$1:$A$20,FALSE),MATCH(G213,コスト!$A$1:$I$1,FALSE))</f>
        <v>18</v>
      </c>
      <c r="O213" s="14">
        <f ca="1">INDEX(レベル!$A$1:$I$21,MATCH(H213,レベル!$A$1:$A$21,FALSE),MATCH(G213,レベル!$A$1:$I$1,FALSE))</f>
        <v>60</v>
      </c>
      <c r="P213" s="63">
        <f t="shared" ca="1" si="28"/>
        <v>60</v>
      </c>
      <c r="Q213" s="77" t="str">
        <f ca="1">VLOOKUP($A213,OFFSET([2]characters!$A$1,0,0,COUNTA([2]characters!$A:$A),MATCH(Q$1,[2]characters!$1:$1,0)-MATCH($A$1,[2]characters!$1:$1,0)+1),MATCH(Q$1,[2]characters!$1:$1,0)-MATCH($A$1,[2]characters!$1:$1,0)+1,FALSE)</f>
        <v>balance</v>
      </c>
      <c r="R213" s="8" t="str">
        <f ca="1">VLOOKUP(Q213,[2]character_type_i18n!$A:$H,3,FALSE)</f>
        <v>バランスタイプ</v>
      </c>
      <c r="S213" s="14">
        <f ca="1">VLOOKUP(Q213,[2]character_type_i18n!$A:$H,4,FALSE)</f>
        <v>1</v>
      </c>
      <c r="T213" s="14">
        <f ca="1">VLOOKUP(Q213,[2]character_type_i18n!$A:$H,5,FALSE)</f>
        <v>1</v>
      </c>
      <c r="U213" s="14">
        <f ca="1">VLOOKUP(Q213,[2]character_type_i18n!$A:$H,6,FALSE)</f>
        <v>1</v>
      </c>
      <c r="V213" s="14">
        <f ca="1">VLOOKUP(Q213,[2]character_type_i18n!$A:$H,7,FALSE)</f>
        <v>1</v>
      </c>
      <c r="W213" s="77" t="str">
        <f ca="1">VLOOKUP($A213,OFFSET([2]characters!$A$1,0,0,COUNTA([2]characters!$A:$A),MATCH(W$1,[2]characters!$1:$1,0)-MATCH($A$1,[2]characters!$1:$1,0)+1),MATCH(W$1,[2]characters!$1:$1,0)-MATCH($A$1,[2]characters!$1:$1,0)+1,FALSE)</f>
        <v>god</v>
      </c>
      <c r="X213" s="8" t="str">
        <f ca="1">VLOOKUP(W213,[2]character_tribe_i18n!$A:$H,3,FALSE)</f>
        <v>ゴッド</v>
      </c>
      <c r="Y213" s="77" t="str">
        <f ca="1">VLOOKUP($A213,OFFSET([2]characters!$A$1,0,0,COUNTA([2]characters!$A:$A),MATCH(Y$1,[2]characters!$1:$1,0)-MATCH($A$1,[2]characters!$1:$1,0)+1),MATCH(Y$1,[2]characters!$1:$1,0)-MATCH($A$1,[2]characters!$1:$1,0)+1,FALSE)</f>
        <v>none</v>
      </c>
      <c r="Z213" s="8" t="str">
        <f ca="1">VLOOKUP(Y213,[2]character_tribe_i18n!$A:$H,3,FALSE)</f>
        <v>種族なし</v>
      </c>
      <c r="AA213" s="14">
        <f ca="1">VLOOKUP(W213,[2]character_tribe_i18n!$A:$H,4,FALSE)</f>
        <v>0.96</v>
      </c>
      <c r="AB213" s="14">
        <f ca="1">VLOOKUP(W213,[2]character_tribe_i18n!$A:$H,5,FALSE)</f>
        <v>1.02</v>
      </c>
      <c r="AC213" s="14">
        <f ca="1">VLOOKUP(W213,[2]character_tribe_i18n!$A:$H,6,FALSE)</f>
        <v>1</v>
      </c>
      <c r="AD213" s="14">
        <f ca="1">VLOOKUP(W213,[2]character_tribe_i18n!$A:$H,7,FALSE)</f>
        <v>1.02</v>
      </c>
      <c r="AE213" s="12">
        <v>213</v>
      </c>
      <c r="AF213" s="85" t="str">
        <f ca="1">IF(AE213="NULL","",VLOOKUP($AE213,OFFSET([2]characters!$A$1,0,0,COUNTA([2]characters!$A:$A),MATCH(AF$1,[2]characters!$1:$1,0)-MATCH($A$1,[2]characters!$1:$1,0)+1),MATCH(AF$1,[2]characters!$1:$1,0)-MATCH($A$1,[2]characters!$1:$1,0)+1,FALSE))</f>
        <v>満天の星降神 アストライアー</v>
      </c>
      <c r="AG213" s="8">
        <f t="shared" ca="1" si="23"/>
        <v>211</v>
      </c>
      <c r="AH213" s="85" t="str">
        <f ca="1">VLOOKUP($AG213,OFFSET([2]characters!$A$1,0,0,COUNTA([2]characters!$A:$A),MATCH(AH$1,[2]characters!$1:$1,0)-MATCH($A$1,[2]characters!$1:$1,0)+1),MATCH(AH$1,[2]characters!$1:$1,0)-MATCH($A$1,[2]characters!$1:$1,0)+1,FALSE)</f>
        <v>アストライアー</v>
      </c>
      <c r="AI213" s="14">
        <f ca="1">IF(AE213="NULL","NULL",VLOOKUP(G213,ビット!$A$2:$B$7,2))</f>
        <v>50000</v>
      </c>
      <c r="AJ213" s="9">
        <v>2</v>
      </c>
      <c r="AK213" s="10" t="str">
        <f t="shared" si="24"/>
        <v>普通</v>
      </c>
      <c r="AL213" s="14" t="str">
        <f ca="1">INDEX(経験値!$A$1:$I$20,MATCH(H213,経験値!$A$1:$A$20,FALSE),MATCH(G213,経験値!$A$1:$I$1,FALSE))</f>
        <v>required_exp_200</v>
      </c>
      <c r="AM213" s="11">
        <f ca="1">VLOOKUP(G213,経験値!$A$27:$B$31,2)</f>
        <v>3400</v>
      </c>
      <c r="AN213" s="21">
        <f ca="1">VLOOKUP(G213,ビット!$G$2:$H$7,2)</f>
        <v>600</v>
      </c>
      <c r="AO213" s="98" t="s">
        <v>185</v>
      </c>
      <c r="AP213" s="97">
        <v>615003</v>
      </c>
      <c r="AQ213" s="77" t="e">
        <f ca="1">VLOOKUP($AP213,OFFSET([1]unit_skills!$A$1,0,0,COUNTA([1]unit_skills!$A:$A),MATCH("name",[1]unit_skills!$1:$1,0)-MATCH($AP$1,[1]unit_skills!$1:$1,0)+1),MATCH("name",[1]unit_skills!$1:$1,0)-MATCH($AP$1,[1]unit_skills!$1:$1,0)+1,FALSE)</f>
        <v>#VALUE!</v>
      </c>
      <c r="AR213" s="77" t="e">
        <f ca="1">VLOOKUP($AP213,OFFSET([1]unit_skills!$A$1,0,0,COUNTA([1]unit_skills!$A:$A),MATCH("comment",[1]unit_skills!$1:$1,0)-MATCH($AP$1,[1]unit_skills!$1:$1,0)+1),MATCH("comment",[1]unit_skills!$1:$1,0)-MATCH($AP$1,[1]unit_skills!$1:$1,0)+1,FALSE)</f>
        <v>#VALUE!</v>
      </c>
      <c r="AS213" s="77" t="e">
        <f ca="1">VLOOKUP($AP213,OFFSET([1]unit_skills!$A$1,0,0,COUNTA([1]unit_skills!$A:$A),MATCH(AS$1,[1]unit_skills!$1:$1,0)-MATCH($AP$1,[1]unit_skills!$1:$1,0)+1),MATCH(AS$1,[1]unit_skills!$1:$1,0)-MATCH($AP$1,[1]unit_skills!$1:$1,0)+1,FALSE)</f>
        <v>#VALUE!</v>
      </c>
      <c r="AT213" s="97">
        <v>164003</v>
      </c>
      <c r="AU213" s="77" t="e">
        <f ca="1">VLOOKUP($AT213,OFFSET([1]crash_skills!$A$1,0,0,COUNTA([1]crash_skills!$A:$A),MATCH("name",[1]crash_skills!$1:$1,0)-MATCH($AT$1,[1]crash_skills!$1:$1,0)+1),MATCH("name",[1]crash_skills!$1:$1,0)-MATCH($AT$1,[1]crash_skills!$1:$1,0)+1,FALSE)</f>
        <v>#VALUE!</v>
      </c>
      <c r="AV213" s="77" t="e">
        <f ca="1">VLOOKUP($AT213,OFFSET([1]crash_skills!$A$1,0,0,COUNTA([1]crash_skills!$A:$A),MATCH("comment",[1]crash_skills!$1:$1,0)-MATCH($AT$1,[1]crash_skills!$1:$1,0)+1),MATCH("comment",[1]crash_skills!$1:$1,0)-MATCH($AT$1,[1]crash_skills!$1:$1,0)+1,FALSE)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13" s="77" t="e">
        <f ca="1">VLOOKUP($AT213,OFFSET([1]crash_skills!$A$1,0,0,COUNTA([1]crash_skills!$A:$A),MATCH(AW$1,[1]crash_skills!$1:$1,0)-MATCH($AT$1,[1]crash_skills!$1:$1,0)+1),MATCH(AW$1,[1]crash_skills!$1:$1,0)-MATCH($AT$1,[1]crash_skills!$1:$1,0)+1,FALSE)</f>
        <v>#VALUE!</v>
      </c>
      <c r="AX213" s="81">
        <f ca="1">VLOOKUP($A213,OFFSET([2]characters!$A$1,0,0,COUNTA([2]characters!$A:$A),MATCH(AX$1,[2]characters!$1:$1,0)-MATCH($A$1,[2]characters!$1:$1,0)+1),MATCH(AX$1,[2]characters!$1:$1,0)-MATCH($A$1,[2]characters!$1:$1,0)+1,FALSE)</f>
        <v>3</v>
      </c>
      <c r="AY213" s="19">
        <v>1</v>
      </c>
      <c r="AZ213" s="19">
        <v>1</v>
      </c>
      <c r="BA213" s="19">
        <v>0</v>
      </c>
      <c r="BB213" s="19">
        <v>1</v>
      </c>
      <c r="BC213" s="14">
        <f ca="1">INDEX('RC6SV'!$A$1:$G$20,MATCH(H213,'RC6SV'!$A$1:$A$20,FALSE),MATCH(G213,'RC6SV'!$A$1:$G$1,FALSE))</f>
        <v>6700</v>
      </c>
      <c r="BD213" s="63">
        <f t="shared" ca="1" si="25"/>
        <v>6700</v>
      </c>
      <c r="BE213" s="14">
        <f t="shared" ca="1" si="26"/>
        <v>4900</v>
      </c>
      <c r="BF213" s="14">
        <f t="shared" ca="1" si="27"/>
        <v>1</v>
      </c>
      <c r="BG213" s="20">
        <f ca="1">IF($BE213&lt;=0,ROUND(BK213*0.5,0), ROUND($BE213*S213*AA213*J213*AY213*0.8*[2]ステータス!$B$2,0))</f>
        <v>1844</v>
      </c>
      <c r="BH213" s="20">
        <f ca="1">IF($BE213&lt;=0,ROUND(BL213*0.5,0), ROUND($BE213*T213*AB213*K213*AZ213*0.8*[2]ステータス!$C$2,0))</f>
        <v>1212</v>
      </c>
      <c r="BI213" s="20">
        <f ca="1">IF($BE213&lt;=0,ROUND(BM213*0.5,0), ROUND($BE213*U213*AC213*L213*BA213*0.8*[2]ステータス!$D$2,0))</f>
        <v>0</v>
      </c>
      <c r="BJ213" s="20">
        <f ca="1">IF($BE213&lt;=0,ROUND(BN213*0.5,0), ROUND($BE213*V213*AD213*M213*BB213*0.8*[2]ステータス!$E$2,0))</f>
        <v>1010</v>
      </c>
      <c r="BK213" s="14">
        <f ca="1">ROUND(BD213*S213*AA213*J213*AY213*[2]ステータス!$B$2,0)</f>
        <v>3152</v>
      </c>
      <c r="BL213" s="14">
        <f ca="1">ROUND(BD213*T213*AB213*K213*AZ213*[2]ステータス!$C$2,0)</f>
        <v>2071</v>
      </c>
      <c r="BM213" s="14">
        <f ca="1">ROUND(BD213*U213*AC213*L213*BA213*[2]ステータス!$D$2,0)</f>
        <v>0</v>
      </c>
      <c r="BN213" s="14">
        <f ca="1">ROUND(BD213*V213*AD213*M213*BB213*[2]ステータス!$E$2,0)</f>
        <v>1726</v>
      </c>
      <c r="BO213" s="13">
        <v>0</v>
      </c>
      <c r="BP213" s="13">
        <v>1</v>
      </c>
      <c r="BQ213" s="13" t="s">
        <v>102</v>
      </c>
      <c r="BR213" s="234">
        <v>700</v>
      </c>
    </row>
    <row r="214" spans="1:70" ht="21" customHeight="1" x14ac:dyDescent="0.15">
      <c r="A214" s="14">
        <f t="shared" ca="1" si="22"/>
        <v>213</v>
      </c>
      <c r="B214" s="77" t="str">
        <f ca="1">VLOOKUP($A214,OFFSET([2]characters!$A$1,0,0,COUNTA([2]characters!$A:$A),MATCH(B$1,[2]characters!$1:$1,0)-MATCH($A$1,[2]characters!$1:$1,0)+1),MATCH(B$1,[2]characters!$1:$1,0)-MATCH($A$1,[2]characters!$1:$1,0)+1,FALSE)</f>
        <v>満天の星降神 アストライアー</v>
      </c>
      <c r="C214" s="77" t="str">
        <f ca="1">VLOOKUP($A214,OFFSET([2]characters!$A$1,0,0,COUNTA([2]characters!$A:$A),MATCH(C$1,[2]characters!$1:$1,0)-MATCH($A$1,[2]characters!$1:$1,0)+1),MATCH(C$1,[2]characters!$1:$1,0)-MATCH($A$1,[2]characters!$1:$1,0)+1,FALSE)</f>
        <v>初期ガチャ</v>
      </c>
      <c r="D214" s="77" t="str">
        <f ca="1">VLOOKUP($A214,OFFSET([2]characters!$A$1,0,0,COUNTA([2]characters!$A:$A),MATCH(D$1,[2]characters!$1:$1,0)-MATCH($A$1,[2]characters!$1:$1,0)+1),MATCH(D$1,[2]characters!$1:$1,0)-MATCH($A$1,[2]characters!$1:$1,0)+1,FALSE)</f>
        <v>管理者</v>
      </c>
      <c r="E214" s="77" t="str">
        <f ca="1">VLOOKUP($A214,OFFSET([2]characters!$A$1,0,0,COUNTA([2]characters!$A:$A),MATCH(E$1,[2]characters!$1:$1,0)-MATCH($A$1,[2]characters!$1:$1,0)+1),MATCH(E$1,[2]characters!$1:$1,0)-MATCH($A$1,[2]characters!$1:$1,0)+1,FALSE)</f>
        <v>美しい</v>
      </c>
      <c r="F214" s="77" t="str">
        <f ca="1">VLOOKUP($A214,OFFSET([2]characters!$A$1,0,0,COUNTA([2]characters!$A:$A),MATCH(F$1,[2]characters!$1:$1,0)-MATCH($A$1,[2]characters!$1:$1,0)+1),MATCH(F$1,[2]characters!$1:$1,0)-MATCH($A$1,[2]characters!$1:$1,0)+1,FALSE)</f>
        <v>女性</v>
      </c>
      <c r="G214" s="77">
        <f ca="1">VLOOKUP($A214,OFFSET([2]characters!$A$1,0,0,COUNTA([2]characters!$A:$A),MATCH(G$1,[2]characters!$1:$1,0)-MATCH($A$1,[2]characters!$1:$1,0)+1),MATCH(G$1,[2]characters!$1:$1,0)-MATCH($A$1,[2]characters!$1:$1,0)+1,FALSE)</f>
        <v>5</v>
      </c>
      <c r="H214" s="77" t="str">
        <f ca="1">VLOOKUP($A214,OFFSET([2]characters!$A$1,0,0,COUNTA([2]characters!$A:$A),MATCH(H$1,[2]characters!$1:$1,0)-MATCH($A$1,[2]characters!$1:$1,0)+1),MATCH(H$1,[2]characters!$1:$1,0)-MATCH($A$1,[2]characters!$1:$1,0)+1,FALSE)</f>
        <v>PremiumN</v>
      </c>
      <c r="I214" s="77" t="str">
        <f ca="1">VLOOKUP($A214,OFFSET([2]characters!$A$1,0,0,COUNTA([2]characters!$A:$A),MATCH(I$1,[2]characters!$1:$1,0)-MATCH($A$1,[2]characters!$1:$1,0)+1),MATCH(I$1,[2]characters!$1:$1,0)-MATCH($A$1,[2]characters!$1:$1,0)+1,FALSE)</f>
        <v>yellow</v>
      </c>
      <c r="J214" s="14">
        <f ca="1">VLOOKUP(I214,[2]属性!$A:$E,2,FALSE)</f>
        <v>0.98</v>
      </c>
      <c r="K214" s="14">
        <f ca="1">VLOOKUP(I214,[2]属性!$A:$E,3,FALSE)</f>
        <v>1.01</v>
      </c>
      <c r="L214" s="14">
        <f ca="1">VLOOKUP(I214,[2]属性!$A:$E,4,FALSE)</f>
        <v>1</v>
      </c>
      <c r="M214" s="14">
        <f ca="1">VLOOKUP(I214,[2]属性!$A:$E,5,FALSE)</f>
        <v>1.01</v>
      </c>
      <c r="N214" s="14">
        <f ca="1">INDEX(コスト!$A$1:$I$20,MATCH(H214,コスト!$A$1:$A$20,FALSE),MATCH(G214,コスト!$A$1:$I$1,FALSE))</f>
        <v>28</v>
      </c>
      <c r="O214" s="14">
        <f ca="1">INDEX(レベル!$A$1:$I$21,MATCH(H214,レベル!$A$1:$A$21,FALSE),MATCH(G214,レベル!$A$1:$I$1,FALSE))</f>
        <v>80</v>
      </c>
      <c r="P214" s="63">
        <f t="shared" ca="1" si="28"/>
        <v>75</v>
      </c>
      <c r="Q214" s="77" t="str">
        <f ca="1">VLOOKUP($A214,OFFSET([2]characters!$A$1,0,0,COUNTA([2]characters!$A:$A),MATCH(Q$1,[2]characters!$1:$1,0)-MATCH($A$1,[2]characters!$1:$1,0)+1),MATCH(Q$1,[2]characters!$1:$1,0)-MATCH($A$1,[2]characters!$1:$1,0)+1,FALSE)</f>
        <v>balance</v>
      </c>
      <c r="R214" s="8" t="str">
        <f ca="1">VLOOKUP(Q214,[2]character_type_i18n!$A:$H,3,FALSE)</f>
        <v>バランスタイプ</v>
      </c>
      <c r="S214" s="14">
        <f ca="1">VLOOKUP(Q214,[2]character_type_i18n!$A:$H,4,FALSE)</f>
        <v>1</v>
      </c>
      <c r="T214" s="14">
        <f ca="1">VLOOKUP(Q214,[2]character_type_i18n!$A:$H,5,FALSE)</f>
        <v>1</v>
      </c>
      <c r="U214" s="14">
        <f ca="1">VLOOKUP(Q214,[2]character_type_i18n!$A:$H,6,FALSE)</f>
        <v>1</v>
      </c>
      <c r="V214" s="14">
        <f ca="1">VLOOKUP(Q214,[2]character_type_i18n!$A:$H,7,FALSE)</f>
        <v>1</v>
      </c>
      <c r="W214" s="77" t="str">
        <f ca="1">VLOOKUP($A214,OFFSET([2]characters!$A$1,0,0,COUNTA([2]characters!$A:$A),MATCH(W$1,[2]characters!$1:$1,0)-MATCH($A$1,[2]characters!$1:$1,0)+1),MATCH(W$1,[2]characters!$1:$1,0)-MATCH($A$1,[2]characters!$1:$1,0)+1,FALSE)</f>
        <v>god</v>
      </c>
      <c r="X214" s="8" t="str">
        <f ca="1">VLOOKUP(W214,[2]character_tribe_i18n!$A:$H,3,FALSE)</f>
        <v>ゴッド</v>
      </c>
      <c r="Y214" s="77" t="str">
        <f ca="1">VLOOKUP($A214,OFFSET([2]characters!$A$1,0,0,COUNTA([2]characters!$A:$A),MATCH(Y$1,[2]characters!$1:$1,0)-MATCH($A$1,[2]characters!$1:$1,0)+1),MATCH(Y$1,[2]characters!$1:$1,0)-MATCH($A$1,[2]characters!$1:$1,0)+1,FALSE)</f>
        <v>none</v>
      </c>
      <c r="Z214" s="8" t="str">
        <f ca="1">VLOOKUP(Y214,[2]character_tribe_i18n!$A:$H,3,FALSE)</f>
        <v>種族なし</v>
      </c>
      <c r="AA214" s="14">
        <f ca="1">VLOOKUP(W214,[2]character_tribe_i18n!$A:$H,4,FALSE)</f>
        <v>0.96</v>
      </c>
      <c r="AB214" s="14">
        <f ca="1">VLOOKUP(W214,[2]character_tribe_i18n!$A:$H,5,FALSE)</f>
        <v>1.02</v>
      </c>
      <c r="AC214" s="14">
        <f ca="1">VLOOKUP(W214,[2]character_tribe_i18n!$A:$H,6,FALSE)</f>
        <v>1</v>
      </c>
      <c r="AD214" s="14">
        <f ca="1">VLOOKUP(W214,[2]character_tribe_i18n!$A:$H,7,FALSE)</f>
        <v>1.02</v>
      </c>
      <c r="AE214" s="12" t="s">
        <v>102</v>
      </c>
      <c r="AF214" s="85" t="str">
        <f ca="1">IF(AE214="NULL","",VLOOKUP($AE214,OFFSET([2]characters!$A$1,0,0,COUNTA([2]characters!$A:$A),MATCH(AF$1,[2]characters!$1:$1,0)-MATCH($A$1,[2]characters!$1:$1,0)+1),MATCH(AF$1,[2]characters!$1:$1,0)-MATCH($A$1,[2]characters!$1:$1,0)+1,FALSE))</f>
        <v/>
      </c>
      <c r="AG214" s="8">
        <f t="shared" ca="1" si="23"/>
        <v>211</v>
      </c>
      <c r="AH214" s="85" t="str">
        <f ca="1">VLOOKUP($AG214,OFFSET([2]characters!$A$1,0,0,COUNTA([2]characters!$A:$A),MATCH(AH$1,[2]characters!$1:$1,0)-MATCH($A$1,[2]characters!$1:$1,0)+1),MATCH(AH$1,[2]characters!$1:$1,0)-MATCH($A$1,[2]characters!$1:$1,0)+1,FALSE)</f>
        <v>アストライアー</v>
      </c>
      <c r="AI214" s="14" t="str">
        <f>IF(AE214="NULL","NULL",VLOOKUP(G214,ビット!$A$2:$B$7,2))</f>
        <v>NULL</v>
      </c>
      <c r="AJ214" s="9">
        <v>2</v>
      </c>
      <c r="AK214" s="10" t="str">
        <f t="shared" si="24"/>
        <v>普通</v>
      </c>
      <c r="AL214" s="14" t="str">
        <f ca="1">INDEX(経験値!$A$1:$I$20,MATCH(H214,経験値!$A$1:$A$20,FALSE),MATCH(G214,経験値!$A$1:$I$1,FALSE))</f>
        <v>required_exp_200</v>
      </c>
      <c r="AM214" s="11">
        <f ca="1">VLOOKUP(G214,経験値!$A$27:$B$31,2)</f>
        <v>6400</v>
      </c>
      <c r="AN214" s="21">
        <f ca="1">VLOOKUP(G214,ビット!$G$2:$H$7,2)</f>
        <v>900</v>
      </c>
      <c r="AO214" s="98" t="s">
        <v>185</v>
      </c>
      <c r="AP214" s="97">
        <v>615004</v>
      </c>
      <c r="AQ214" s="77" t="e">
        <f ca="1">VLOOKUP($AP214,OFFSET([1]unit_skills!$A$1,0,0,COUNTA([1]unit_skills!$A:$A),MATCH("name",[1]unit_skills!$1:$1,0)-MATCH($AP$1,[1]unit_skills!$1:$1,0)+1),MATCH("name",[1]unit_skills!$1:$1,0)-MATCH($AP$1,[1]unit_skills!$1:$1,0)+1,FALSE)</f>
        <v>#VALUE!</v>
      </c>
      <c r="AR214" s="77" t="e">
        <f ca="1">VLOOKUP($AP214,OFFSET([1]unit_skills!$A$1,0,0,COUNTA([1]unit_skills!$A:$A),MATCH("comment",[1]unit_skills!$1:$1,0)-MATCH($AP$1,[1]unit_skills!$1:$1,0)+1),MATCH("comment",[1]unit_skills!$1:$1,0)-MATCH($AP$1,[1]unit_skills!$1:$1,0)+1,FALSE)</f>
        <v>#VALUE!</v>
      </c>
      <c r="AS214" s="77" t="e">
        <f ca="1">VLOOKUP($AP214,OFFSET([1]unit_skills!$A$1,0,0,COUNTA([1]unit_skills!$A:$A),MATCH(AS$1,[1]unit_skills!$1:$1,0)-MATCH($AP$1,[1]unit_skills!$1:$1,0)+1),MATCH(AS$1,[1]unit_skills!$1:$1,0)-MATCH($AP$1,[1]unit_skills!$1:$1,0)+1,FALSE)</f>
        <v>#VALUE!</v>
      </c>
      <c r="AT214" s="97">
        <v>164008</v>
      </c>
      <c r="AU214" s="77" t="e">
        <f ca="1">VLOOKUP($AT214,OFFSET([1]crash_skills!$A$1,0,0,COUNTA([1]crash_skills!$A:$A),MATCH("name",[1]crash_skills!$1:$1,0)-MATCH($AT$1,[1]crash_skills!$1:$1,0)+1),MATCH("name",[1]crash_skills!$1:$1,0)-MATCH($AT$1,[1]crash_skills!$1:$1,0)+1,FALSE)</f>
        <v>#VALUE!</v>
      </c>
      <c r="AV214" s="77" t="e">
        <f ca="1">VLOOKUP($AT214,OFFSET([1]crash_skills!$A$1,0,0,COUNTA([1]crash_skills!$A:$A),MATCH("comment",[1]crash_skills!$1:$1,0)-MATCH($AT$1,[1]crash_skills!$1:$1,0)+1),MATCH("comment",[1]crash_skills!$1:$1,0)-MATCH($AT$1,[1]crash_skills!$1:$1,0)+1,FALSE)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14" s="77" t="e">
        <f ca="1">VLOOKUP($AT214,OFFSET([1]crash_skills!$A$1,0,0,COUNTA([1]crash_skills!$A:$A),MATCH(AW$1,[1]crash_skills!$1:$1,0)-MATCH($AT$1,[1]crash_skills!$1:$1,0)+1),MATCH(AW$1,[1]crash_skills!$1:$1,0)-MATCH($AT$1,[1]crash_skills!$1:$1,0)+1,FALSE)</f>
        <v>#VALUE!</v>
      </c>
      <c r="AX214" s="81">
        <f ca="1">VLOOKUP($A214,OFFSET([2]characters!$A$1,0,0,COUNTA([2]characters!$A:$A),MATCH(AX$1,[2]characters!$1:$1,0)-MATCH($A$1,[2]characters!$1:$1,0)+1),MATCH(AX$1,[2]characters!$1:$1,0)-MATCH($A$1,[2]characters!$1:$1,0)+1,FALSE)</f>
        <v>3</v>
      </c>
      <c r="AY214" s="19">
        <v>1</v>
      </c>
      <c r="AZ214" s="19">
        <v>1</v>
      </c>
      <c r="BA214" s="19">
        <v>0</v>
      </c>
      <c r="BB214" s="19">
        <v>1</v>
      </c>
      <c r="BC214" s="14">
        <f ca="1">INDEX('RC6SV'!$A$1:$G$20,MATCH(H214,'RC6SV'!$A$1:$A$20,FALSE),MATCH(G214,'RC6SV'!$A$1:$G$1,FALSE))</f>
        <v>8500</v>
      </c>
      <c r="BD214" s="63">
        <f t="shared" ca="1" si="25"/>
        <v>8500</v>
      </c>
      <c r="BE214" s="14">
        <f t="shared" ca="1" si="26"/>
        <v>6700</v>
      </c>
      <c r="BF214" s="14">
        <f t="shared" ca="1" si="27"/>
        <v>1</v>
      </c>
      <c r="BG214" s="20">
        <f ca="1">IF($BE214&lt;=0,ROUND(BK214*0.5,0), ROUND($BE214*S214*AA214*J214*AY214*0.8*[2]ステータス!$B$2,0))</f>
        <v>2521</v>
      </c>
      <c r="BH214" s="20">
        <f ca="1">IF($BE214&lt;=0,ROUND(BL214*0.5,0), ROUND($BE214*T214*AB214*K214*AZ214*0.8*[2]ステータス!$C$2,0))</f>
        <v>1657</v>
      </c>
      <c r="BI214" s="20">
        <f ca="1">IF($BE214&lt;=0,ROUND(BM214*0.5,0), ROUND($BE214*U214*AC214*L214*BA214*0.8*[2]ステータス!$D$2,0))</f>
        <v>0</v>
      </c>
      <c r="BJ214" s="20">
        <f ca="1">IF($BE214&lt;=0,ROUND(BN214*0.5,0), ROUND($BE214*V214*AD214*M214*BB214*0.8*[2]ステータス!$E$2,0))</f>
        <v>1380</v>
      </c>
      <c r="BK214" s="14">
        <f ca="1">ROUND(BD214*S214*AA214*J214*AY214*[2]ステータス!$B$2,0)</f>
        <v>3998</v>
      </c>
      <c r="BL214" s="14">
        <f ca="1">ROUND(BD214*T214*AB214*K214*AZ214*[2]ステータス!$C$2,0)</f>
        <v>2627</v>
      </c>
      <c r="BM214" s="14">
        <f ca="1">ROUND(BD214*U214*AC214*L214*BA214*[2]ステータス!$D$2,0)</f>
        <v>0</v>
      </c>
      <c r="BN214" s="14">
        <f ca="1">ROUND(BD214*V214*AD214*M214*BB214*[2]ステータス!$E$2,0)</f>
        <v>2189</v>
      </c>
      <c r="BO214" s="13">
        <v>0</v>
      </c>
      <c r="BP214" s="13">
        <v>1</v>
      </c>
      <c r="BQ214" s="13" t="s">
        <v>102</v>
      </c>
      <c r="BR214" s="234">
        <v>700</v>
      </c>
    </row>
    <row r="215" spans="1:70" ht="21" customHeight="1" x14ac:dyDescent="0.15">
      <c r="A215" s="14">
        <f t="shared" ca="1" si="22"/>
        <v>214</v>
      </c>
      <c r="B215" s="77" t="str">
        <f ca="1">VLOOKUP($A215,OFFSET([2]characters!$A$1,0,0,COUNTA([2]characters!$A:$A),MATCH(B$1,[2]characters!$1:$1,0)-MATCH($A$1,[2]characters!$1:$1,0)+1),MATCH(B$1,[2]characters!$1:$1,0)-MATCH($A$1,[2]characters!$1:$1,0)+1,FALSE)</f>
        <v>アズラエル</v>
      </c>
      <c r="C215" s="77" t="str">
        <f ca="1">VLOOKUP($A215,OFFSET([2]characters!$A$1,0,0,COUNTA([2]characters!$A:$A),MATCH(C$1,[2]characters!$1:$1,0)-MATCH($A$1,[2]characters!$1:$1,0)+1),MATCH(C$1,[2]characters!$1:$1,0)-MATCH($A$1,[2]characters!$1:$1,0)+1,FALSE)</f>
        <v>初期ガチャ</v>
      </c>
      <c r="D215" s="77" t="str">
        <f ca="1">VLOOKUP($A215,OFFSET([2]characters!$A$1,0,0,COUNTA([2]characters!$A:$A),MATCH(D$1,[2]characters!$1:$1,0)-MATCH($A$1,[2]characters!$1:$1,0)+1),MATCH(D$1,[2]characters!$1:$1,0)-MATCH($A$1,[2]characters!$1:$1,0)+1,FALSE)</f>
        <v>管理者</v>
      </c>
      <c r="E215" s="77" t="str">
        <f ca="1">VLOOKUP($A215,OFFSET([2]characters!$A$1,0,0,COUNTA([2]characters!$A:$A),MATCH(E$1,[2]characters!$1:$1,0)-MATCH($A$1,[2]characters!$1:$1,0)+1),MATCH(E$1,[2]characters!$1:$1,0)-MATCH($A$1,[2]characters!$1:$1,0)+1,FALSE)</f>
        <v>可愛い</v>
      </c>
      <c r="F215" s="77" t="str">
        <f ca="1">VLOOKUP($A215,OFFSET([2]characters!$A$1,0,0,COUNTA([2]characters!$A:$A),MATCH(F$1,[2]characters!$1:$1,0)-MATCH($A$1,[2]characters!$1:$1,0)+1),MATCH(F$1,[2]characters!$1:$1,0)-MATCH($A$1,[2]characters!$1:$1,0)+1,FALSE)</f>
        <v>女性</v>
      </c>
      <c r="G215" s="77">
        <f ca="1">VLOOKUP($A215,OFFSET([2]characters!$A$1,0,0,COUNTA([2]characters!$A:$A),MATCH(G$1,[2]characters!$1:$1,0)-MATCH($A$1,[2]characters!$1:$1,0)+1),MATCH(G$1,[2]characters!$1:$1,0)-MATCH($A$1,[2]characters!$1:$1,0)+1,FALSE)</f>
        <v>3</v>
      </c>
      <c r="H215" s="77" t="str">
        <f ca="1">VLOOKUP($A215,OFFSET([2]characters!$A$1,0,0,COUNTA([2]characters!$A:$A),MATCH(H$1,[2]characters!$1:$1,0)-MATCH($A$1,[2]characters!$1:$1,0)+1),MATCH(H$1,[2]characters!$1:$1,0)-MATCH($A$1,[2]characters!$1:$1,0)+1,FALSE)</f>
        <v>PremiumN</v>
      </c>
      <c r="I215" s="77" t="str">
        <f ca="1">VLOOKUP($A215,OFFSET([2]characters!$A$1,0,0,COUNTA([2]characters!$A:$A),MATCH(I$1,[2]characters!$1:$1,0)-MATCH($A$1,[2]characters!$1:$1,0)+1),MATCH(I$1,[2]characters!$1:$1,0)-MATCH($A$1,[2]characters!$1:$1,0)+1,FALSE)</f>
        <v>red</v>
      </c>
      <c r="J215" s="14">
        <f ca="1">VLOOKUP(I215,[2]属性!$A:$E,2,FALSE)</f>
        <v>1</v>
      </c>
      <c r="K215" s="14">
        <f ca="1">VLOOKUP(I215,[2]属性!$A:$E,3,FALSE)</f>
        <v>1.02</v>
      </c>
      <c r="L215" s="14">
        <f ca="1">VLOOKUP(I215,[2]属性!$A:$E,4,FALSE)</f>
        <v>1</v>
      </c>
      <c r="M215" s="14">
        <f ca="1">VLOOKUP(I215,[2]属性!$A:$E,5,FALSE)</f>
        <v>0.98</v>
      </c>
      <c r="N215" s="14">
        <f ca="1">INDEX(コスト!$A$1:$I$20,MATCH(H215,コスト!$A$1:$A$20,FALSE),MATCH(G215,コスト!$A$1:$I$1,FALSE))</f>
        <v>9</v>
      </c>
      <c r="O215" s="14">
        <f ca="1">INDEX(レベル!$A$1:$I$21,MATCH(H215,レベル!$A$1:$A$21,FALSE),MATCH(G215,レベル!$A$1:$I$1,FALSE))</f>
        <v>40</v>
      </c>
      <c r="P215" s="63">
        <f t="shared" ca="1" si="28"/>
        <v>45</v>
      </c>
      <c r="Q215" s="77" t="str">
        <f ca="1">VLOOKUP($A215,OFFSET([2]characters!$A$1,0,0,COUNTA([2]characters!$A:$A),MATCH(Q$1,[2]characters!$1:$1,0)-MATCH($A$1,[2]characters!$1:$1,0)+1),MATCH(Q$1,[2]characters!$1:$1,0)-MATCH($A$1,[2]characters!$1:$1,0)+1,FALSE)</f>
        <v>balance</v>
      </c>
      <c r="R215" s="8" t="str">
        <f ca="1">VLOOKUP(Q215,[2]character_type_i18n!$A:$H,3,FALSE)</f>
        <v>バランスタイプ</v>
      </c>
      <c r="S215" s="14">
        <f ca="1">VLOOKUP(Q215,[2]character_type_i18n!$A:$H,4,FALSE)</f>
        <v>1</v>
      </c>
      <c r="T215" s="14">
        <f ca="1">VLOOKUP(Q215,[2]character_type_i18n!$A:$H,5,FALSE)</f>
        <v>1</v>
      </c>
      <c r="U215" s="14">
        <f ca="1">VLOOKUP(Q215,[2]character_type_i18n!$A:$H,6,FALSE)</f>
        <v>1</v>
      </c>
      <c r="V215" s="14">
        <f ca="1">VLOOKUP(Q215,[2]character_type_i18n!$A:$H,7,FALSE)</f>
        <v>1</v>
      </c>
      <c r="W215" s="77" t="str">
        <f ca="1">VLOOKUP($A215,OFFSET([2]characters!$A$1,0,0,COUNTA([2]characters!$A:$A),MATCH(W$1,[2]characters!$1:$1,0)-MATCH($A$1,[2]characters!$1:$1,0)+1),MATCH(W$1,[2]characters!$1:$1,0)-MATCH($A$1,[2]characters!$1:$1,0)+1,FALSE)</f>
        <v>god</v>
      </c>
      <c r="X215" s="8" t="str">
        <f ca="1">VLOOKUP(W215,[2]character_tribe_i18n!$A:$H,3,FALSE)</f>
        <v>ゴッド</v>
      </c>
      <c r="Y215" s="77" t="str">
        <f ca="1">VLOOKUP($A215,OFFSET([2]characters!$A$1,0,0,COUNTA([2]characters!$A:$A),MATCH(Y$1,[2]characters!$1:$1,0)-MATCH($A$1,[2]characters!$1:$1,0)+1),MATCH(Y$1,[2]characters!$1:$1,0)-MATCH($A$1,[2]characters!$1:$1,0)+1,FALSE)</f>
        <v>none</v>
      </c>
      <c r="Z215" s="8" t="str">
        <f ca="1">VLOOKUP(Y215,[2]character_tribe_i18n!$A:$H,3,FALSE)</f>
        <v>種族なし</v>
      </c>
      <c r="AA215" s="14">
        <f ca="1">VLOOKUP(W215,[2]character_tribe_i18n!$A:$H,4,FALSE)</f>
        <v>0.96</v>
      </c>
      <c r="AB215" s="14">
        <f ca="1">VLOOKUP(W215,[2]character_tribe_i18n!$A:$H,5,FALSE)</f>
        <v>1.02</v>
      </c>
      <c r="AC215" s="14">
        <f ca="1">VLOOKUP(W215,[2]character_tribe_i18n!$A:$H,6,FALSE)</f>
        <v>1</v>
      </c>
      <c r="AD215" s="14">
        <f ca="1">VLOOKUP(W215,[2]character_tribe_i18n!$A:$H,7,FALSE)</f>
        <v>1.02</v>
      </c>
      <c r="AE215" s="12">
        <v>215</v>
      </c>
      <c r="AF215" s="85" t="str">
        <f ca="1">IF(AE215="NULL","",VLOOKUP($AE215,OFFSET([2]characters!$A$1,0,0,COUNTA([2]characters!$A:$A),MATCH(AF$1,[2]characters!$1:$1,0)-MATCH($A$1,[2]characters!$1:$1,0)+1),MATCH(AF$1,[2]characters!$1:$1,0)-MATCH($A$1,[2]characters!$1:$1,0)+1,FALSE))</f>
        <v>死導者 アズラエル</v>
      </c>
      <c r="AG215" s="8">
        <f t="shared" ca="1" si="23"/>
        <v>214</v>
      </c>
      <c r="AH215" s="85" t="str">
        <f ca="1">VLOOKUP($AG215,OFFSET([2]characters!$A$1,0,0,COUNTA([2]characters!$A:$A),MATCH(AH$1,[2]characters!$1:$1,0)-MATCH($A$1,[2]characters!$1:$1,0)+1),MATCH(AH$1,[2]characters!$1:$1,0)-MATCH($A$1,[2]characters!$1:$1,0)+1,FALSE)</f>
        <v>アズラエル</v>
      </c>
      <c r="AI215" s="14">
        <f ca="1">IF(AE215="NULL","NULL",VLOOKUP(G215,ビット!$A$2:$B$7,2))</f>
        <v>20000</v>
      </c>
      <c r="AJ215" s="9">
        <v>2</v>
      </c>
      <c r="AK215" s="10" t="str">
        <f t="shared" si="24"/>
        <v>普通</v>
      </c>
      <c r="AL215" s="14" t="str">
        <f ca="1">INDEX(経験値!$A$1:$I$20,MATCH(H215,経験値!$A$1:$A$20,FALSE),MATCH(G215,経験値!$A$1:$I$1,FALSE))</f>
        <v>required_exp_200</v>
      </c>
      <c r="AM215" s="11">
        <f ca="1">VLOOKUP(G215,経験値!$A$27:$B$31,2)</f>
        <v>1500</v>
      </c>
      <c r="AN215" s="21">
        <f ca="1">VLOOKUP(G215,ビット!$G$2:$H$7,2)</f>
        <v>300</v>
      </c>
      <c r="AO215" s="98" t="s">
        <v>178</v>
      </c>
      <c r="AP215" s="97">
        <v>325002</v>
      </c>
      <c r="AQ215" s="77" t="e">
        <f ca="1">VLOOKUP($AP215,OFFSET([1]unit_skills!$A$1,0,0,COUNTA([1]unit_skills!$A:$A),MATCH("name",[1]unit_skills!$1:$1,0)-MATCH($AP$1,[1]unit_skills!$1:$1,0)+1),MATCH("name",[1]unit_skills!$1:$1,0)-MATCH($AP$1,[1]unit_skills!$1:$1,0)+1,FALSE)</f>
        <v>#VALUE!</v>
      </c>
      <c r="AR215" s="77" t="e">
        <f ca="1">VLOOKUP($AP215,OFFSET([1]unit_skills!$A$1,0,0,COUNTA([1]unit_skills!$A:$A),MATCH("comment",[1]unit_skills!$1:$1,0)-MATCH($AP$1,[1]unit_skills!$1:$1,0)+1),MATCH("comment",[1]unit_skills!$1:$1,0)-MATCH($AP$1,[1]unit_skills!$1:$1,0)+1,FALSE)</f>
        <v>#VALUE!</v>
      </c>
      <c r="AS215" s="77" t="e">
        <f ca="1">VLOOKUP($AP215,OFFSET([1]unit_skills!$A$1,0,0,COUNTA([1]unit_skills!$A:$A),MATCH(AS$1,[1]unit_skills!$1:$1,0)-MATCH($AP$1,[1]unit_skills!$1:$1,0)+1),MATCH(AS$1,[1]unit_skills!$1:$1,0)-MATCH($AP$1,[1]unit_skills!$1:$1,0)+1,FALSE)</f>
        <v>#VALUE!</v>
      </c>
      <c r="AT215" s="97">
        <v>431002</v>
      </c>
      <c r="AU215" s="77" t="e">
        <f ca="1">VLOOKUP($AT215,OFFSET([1]crash_skills!$A$1,0,0,COUNTA([1]crash_skills!$A:$A),MATCH("name",[1]crash_skills!$1:$1,0)-MATCH($AT$1,[1]crash_skills!$1:$1,0)+1),MATCH("name",[1]crash_skills!$1:$1,0)-MATCH($AT$1,[1]crash_skills!$1:$1,0)+1,FALSE)</f>
        <v>#VALUE!</v>
      </c>
      <c r="AV215" s="77" t="e">
        <f ca="1">VLOOKUP($AT215,OFFSET([1]crash_skills!$A$1,0,0,COUNTA([1]crash_skills!$A:$A),MATCH("comment",[1]crash_skills!$1:$1,0)-MATCH($AT$1,[1]crash_skills!$1:$1,0)+1),MATCH("comment",[1]crash_skills!$1:$1,0)-MATCH($AT$1,[1]crash_skills!$1:$1,0)+1,FALSE)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15" s="77" t="e">
        <f ca="1">VLOOKUP($AT215,OFFSET([1]crash_skills!$A$1,0,0,COUNTA([1]crash_skills!$A:$A),MATCH(AW$1,[1]crash_skills!$1:$1,0)-MATCH($AT$1,[1]crash_skills!$1:$1,0)+1),MATCH(AW$1,[1]crash_skills!$1:$1,0)-MATCH($AT$1,[1]crash_skills!$1:$1,0)+1,FALSE)</f>
        <v>#VALUE!</v>
      </c>
      <c r="AX215" s="81">
        <f ca="1">VLOOKUP($A215,OFFSET([2]characters!$A$1,0,0,COUNTA([2]characters!$A:$A),MATCH(AX$1,[2]characters!$1:$1,0)-MATCH($A$1,[2]characters!$1:$1,0)+1),MATCH(AX$1,[2]characters!$1:$1,0)-MATCH($A$1,[2]characters!$1:$1,0)+1,FALSE)</f>
        <v>3</v>
      </c>
      <c r="AY215" s="19">
        <v>1</v>
      </c>
      <c r="AZ215" s="19">
        <v>1</v>
      </c>
      <c r="BA215" s="19">
        <v>0</v>
      </c>
      <c r="BB215" s="19">
        <v>1</v>
      </c>
      <c r="BC215" s="14">
        <f ca="1">INDEX('RC6SV'!$A$1:$G$20,MATCH(H215,'RC6SV'!$A$1:$A$20,FALSE),MATCH(G215,'RC6SV'!$A$1:$G$1,FALSE))</f>
        <v>4900</v>
      </c>
      <c r="BD215" s="63">
        <f t="shared" ca="1" si="25"/>
        <v>4900</v>
      </c>
      <c r="BE215" s="14">
        <f t="shared" ca="1" si="26"/>
        <v>0</v>
      </c>
      <c r="BF215" s="14">
        <f t="shared" ca="1" si="27"/>
        <v>1</v>
      </c>
      <c r="BG215" s="20">
        <f ca="1">IF($BE215&lt;=0,ROUND(BK215*0.5,0), ROUND($BE215*S215*AA215*J215*AY215*0.8*[2]ステータス!$B$2,0))</f>
        <v>1176</v>
      </c>
      <c r="BH215" s="20">
        <f ca="1">IF($BE215&lt;=0,ROUND(BL215*0.5,0), ROUND($BE215*T215*AB215*K215*AZ215*0.8*[2]ステータス!$C$2,0))</f>
        <v>765</v>
      </c>
      <c r="BI215" s="20">
        <f ca="1">IF($BE215&lt;=0,ROUND(BM215*0.5,0), ROUND($BE215*U215*AC215*L215*BA215*0.8*[2]ステータス!$D$2,0))</f>
        <v>0</v>
      </c>
      <c r="BJ215" s="20">
        <f ca="1">IF($BE215&lt;=0,ROUND(BN215*0.5,0), ROUND($BE215*V215*AD215*M215*BB215*0.8*[2]ステータス!$E$2,0))</f>
        <v>613</v>
      </c>
      <c r="BK215" s="14">
        <f ca="1">ROUND(BD215*S215*AA215*J215*AY215*[2]ステータス!$B$2,0)</f>
        <v>2352</v>
      </c>
      <c r="BL215" s="14">
        <f ca="1">ROUND(BD215*T215*AB215*K215*AZ215*[2]ステータス!$C$2,0)</f>
        <v>1529</v>
      </c>
      <c r="BM215" s="14">
        <f ca="1">ROUND(BD215*U215*AC215*L215*BA215*[2]ステータス!$D$2,0)</f>
        <v>0</v>
      </c>
      <c r="BN215" s="14">
        <f ca="1">ROUND(BD215*V215*AD215*M215*BB215*[2]ステータス!$E$2,0)</f>
        <v>1225</v>
      </c>
      <c r="BO215" s="13">
        <v>0</v>
      </c>
      <c r="BP215" s="13">
        <v>1</v>
      </c>
      <c r="BQ215" s="13" t="s">
        <v>102</v>
      </c>
      <c r="BR215" s="13">
        <f ca="1">VLOOKUP(H215,ghosts_label!$A$2:$B$19,2,FALSE)</f>
        <v>600</v>
      </c>
    </row>
    <row r="216" spans="1:70" ht="21" customHeight="1" x14ac:dyDescent="0.15">
      <c r="A216" s="14">
        <f t="shared" ca="1" si="22"/>
        <v>215</v>
      </c>
      <c r="B216" s="77" t="str">
        <f ca="1">VLOOKUP($A216,OFFSET([2]characters!$A$1,0,0,COUNTA([2]characters!$A:$A),MATCH(B$1,[2]characters!$1:$1,0)-MATCH($A$1,[2]characters!$1:$1,0)+1),MATCH(B$1,[2]characters!$1:$1,0)-MATCH($A$1,[2]characters!$1:$1,0)+1,FALSE)</f>
        <v>死導者 アズラエル</v>
      </c>
      <c r="C216" s="77" t="str">
        <f ca="1">VLOOKUP($A216,OFFSET([2]characters!$A$1,0,0,COUNTA([2]characters!$A:$A),MATCH(C$1,[2]characters!$1:$1,0)-MATCH($A$1,[2]characters!$1:$1,0)+1),MATCH(C$1,[2]characters!$1:$1,0)-MATCH($A$1,[2]characters!$1:$1,0)+1,FALSE)</f>
        <v>初期ガチャ</v>
      </c>
      <c r="D216" s="77" t="str">
        <f ca="1">VLOOKUP($A216,OFFSET([2]characters!$A$1,0,0,COUNTA([2]characters!$A:$A),MATCH(D$1,[2]characters!$1:$1,0)-MATCH($A$1,[2]characters!$1:$1,0)+1),MATCH(D$1,[2]characters!$1:$1,0)-MATCH($A$1,[2]characters!$1:$1,0)+1,FALSE)</f>
        <v>管理者</v>
      </c>
      <c r="E216" s="77" t="str">
        <f ca="1">VLOOKUP($A216,OFFSET([2]characters!$A$1,0,0,COUNTA([2]characters!$A:$A),MATCH(E$1,[2]characters!$1:$1,0)-MATCH($A$1,[2]characters!$1:$1,0)+1),MATCH(E$1,[2]characters!$1:$1,0)-MATCH($A$1,[2]characters!$1:$1,0)+1,FALSE)</f>
        <v>可愛い</v>
      </c>
      <c r="F216" s="77" t="str">
        <f ca="1">VLOOKUP($A216,OFFSET([2]characters!$A$1,0,0,COUNTA([2]characters!$A:$A),MATCH(F$1,[2]characters!$1:$1,0)-MATCH($A$1,[2]characters!$1:$1,0)+1),MATCH(F$1,[2]characters!$1:$1,0)-MATCH($A$1,[2]characters!$1:$1,0)+1,FALSE)</f>
        <v>女性</v>
      </c>
      <c r="G216" s="77">
        <f ca="1">VLOOKUP($A216,OFFSET([2]characters!$A$1,0,0,COUNTA([2]characters!$A:$A),MATCH(G$1,[2]characters!$1:$1,0)-MATCH($A$1,[2]characters!$1:$1,0)+1),MATCH(G$1,[2]characters!$1:$1,0)-MATCH($A$1,[2]characters!$1:$1,0)+1,FALSE)</f>
        <v>4</v>
      </c>
      <c r="H216" s="77" t="str">
        <f ca="1">VLOOKUP($A216,OFFSET([2]characters!$A$1,0,0,COUNTA([2]characters!$A:$A),MATCH(H$1,[2]characters!$1:$1,0)-MATCH($A$1,[2]characters!$1:$1,0)+1),MATCH(H$1,[2]characters!$1:$1,0)-MATCH($A$1,[2]characters!$1:$1,0)+1,FALSE)</f>
        <v>PremiumN</v>
      </c>
      <c r="I216" s="77" t="str">
        <f ca="1">VLOOKUP($A216,OFFSET([2]characters!$A$1,0,0,COUNTA([2]characters!$A:$A),MATCH(I$1,[2]characters!$1:$1,0)-MATCH($A$1,[2]characters!$1:$1,0)+1),MATCH(I$1,[2]characters!$1:$1,0)-MATCH($A$1,[2]characters!$1:$1,0)+1,FALSE)</f>
        <v>red</v>
      </c>
      <c r="J216" s="14">
        <f ca="1">VLOOKUP(I216,[2]属性!$A:$E,2,FALSE)</f>
        <v>1</v>
      </c>
      <c r="K216" s="14">
        <f ca="1">VLOOKUP(I216,[2]属性!$A:$E,3,FALSE)</f>
        <v>1.02</v>
      </c>
      <c r="L216" s="14">
        <f ca="1">VLOOKUP(I216,[2]属性!$A:$E,4,FALSE)</f>
        <v>1</v>
      </c>
      <c r="M216" s="14">
        <f ca="1">VLOOKUP(I216,[2]属性!$A:$E,5,FALSE)</f>
        <v>0.98</v>
      </c>
      <c r="N216" s="14">
        <f ca="1">INDEX(コスト!$A$1:$I$20,MATCH(H216,コスト!$A$1:$A$20,FALSE),MATCH(G216,コスト!$A$1:$I$1,FALSE))</f>
        <v>18</v>
      </c>
      <c r="O216" s="14">
        <f ca="1">INDEX(レベル!$A$1:$I$21,MATCH(H216,レベル!$A$1:$A$21,FALSE),MATCH(G216,レベル!$A$1:$I$1,FALSE))</f>
        <v>60</v>
      </c>
      <c r="P216" s="63">
        <f t="shared" ca="1" si="28"/>
        <v>60</v>
      </c>
      <c r="Q216" s="77" t="str">
        <f ca="1">VLOOKUP($A216,OFFSET([2]characters!$A$1,0,0,COUNTA([2]characters!$A:$A),MATCH(Q$1,[2]characters!$1:$1,0)-MATCH($A$1,[2]characters!$1:$1,0)+1),MATCH(Q$1,[2]characters!$1:$1,0)-MATCH($A$1,[2]characters!$1:$1,0)+1,FALSE)</f>
        <v>balance</v>
      </c>
      <c r="R216" s="8" t="str">
        <f ca="1">VLOOKUP(Q216,[2]character_type_i18n!$A:$H,3,FALSE)</f>
        <v>バランスタイプ</v>
      </c>
      <c r="S216" s="14">
        <f ca="1">VLOOKUP(Q216,[2]character_type_i18n!$A:$H,4,FALSE)</f>
        <v>1</v>
      </c>
      <c r="T216" s="14">
        <f ca="1">VLOOKUP(Q216,[2]character_type_i18n!$A:$H,5,FALSE)</f>
        <v>1</v>
      </c>
      <c r="U216" s="14">
        <f ca="1">VLOOKUP(Q216,[2]character_type_i18n!$A:$H,6,FALSE)</f>
        <v>1</v>
      </c>
      <c r="V216" s="14">
        <f ca="1">VLOOKUP(Q216,[2]character_type_i18n!$A:$H,7,FALSE)</f>
        <v>1</v>
      </c>
      <c r="W216" s="77" t="str">
        <f ca="1">VLOOKUP($A216,OFFSET([2]characters!$A$1,0,0,COUNTA([2]characters!$A:$A),MATCH(W$1,[2]characters!$1:$1,0)-MATCH($A$1,[2]characters!$1:$1,0)+1),MATCH(W$1,[2]characters!$1:$1,0)-MATCH($A$1,[2]characters!$1:$1,0)+1,FALSE)</f>
        <v>god</v>
      </c>
      <c r="X216" s="8" t="str">
        <f ca="1">VLOOKUP(W216,[2]character_tribe_i18n!$A:$H,3,FALSE)</f>
        <v>ゴッド</v>
      </c>
      <c r="Y216" s="77" t="str">
        <f ca="1">VLOOKUP($A216,OFFSET([2]characters!$A$1,0,0,COUNTA([2]characters!$A:$A),MATCH(Y$1,[2]characters!$1:$1,0)-MATCH($A$1,[2]characters!$1:$1,0)+1),MATCH(Y$1,[2]characters!$1:$1,0)-MATCH($A$1,[2]characters!$1:$1,0)+1,FALSE)</f>
        <v>none</v>
      </c>
      <c r="Z216" s="8" t="str">
        <f ca="1">VLOOKUP(Y216,[2]character_tribe_i18n!$A:$H,3,FALSE)</f>
        <v>種族なし</v>
      </c>
      <c r="AA216" s="14">
        <f ca="1">VLOOKUP(W216,[2]character_tribe_i18n!$A:$H,4,FALSE)</f>
        <v>0.96</v>
      </c>
      <c r="AB216" s="14">
        <f ca="1">VLOOKUP(W216,[2]character_tribe_i18n!$A:$H,5,FALSE)</f>
        <v>1.02</v>
      </c>
      <c r="AC216" s="14">
        <f ca="1">VLOOKUP(W216,[2]character_tribe_i18n!$A:$H,6,FALSE)</f>
        <v>1</v>
      </c>
      <c r="AD216" s="14">
        <f ca="1">VLOOKUP(W216,[2]character_tribe_i18n!$A:$H,7,FALSE)</f>
        <v>1.02</v>
      </c>
      <c r="AE216" s="12">
        <v>216</v>
      </c>
      <c r="AF216" s="85" t="str">
        <f ca="1">IF(AE216="NULL","",VLOOKUP($AE216,OFFSET([2]characters!$A$1,0,0,COUNTA([2]characters!$A:$A),MATCH(AF$1,[2]characters!$1:$1,0)-MATCH($A$1,[2]characters!$1:$1,0)+1),MATCH(AF$1,[2]characters!$1:$1,0)-MATCH($A$1,[2]characters!$1:$1,0)+1,FALSE))</f>
        <v>百読の死導司書 アズラエル</v>
      </c>
      <c r="AG216" s="8">
        <f t="shared" ca="1" si="23"/>
        <v>214</v>
      </c>
      <c r="AH216" s="85" t="str">
        <f ca="1">VLOOKUP($AG216,OFFSET([2]characters!$A$1,0,0,COUNTA([2]characters!$A:$A),MATCH(AH$1,[2]characters!$1:$1,0)-MATCH($A$1,[2]characters!$1:$1,0)+1),MATCH(AH$1,[2]characters!$1:$1,0)-MATCH($A$1,[2]characters!$1:$1,0)+1,FALSE)</f>
        <v>アズラエル</v>
      </c>
      <c r="AI216" s="14">
        <f ca="1">IF(AE216="NULL","NULL",VLOOKUP(G216,ビット!$A$2:$B$7,2))</f>
        <v>50000</v>
      </c>
      <c r="AJ216" s="9">
        <v>2</v>
      </c>
      <c r="AK216" s="10" t="str">
        <f t="shared" si="24"/>
        <v>普通</v>
      </c>
      <c r="AL216" s="14" t="str">
        <f ca="1">INDEX(経験値!$A$1:$I$20,MATCH(H216,経験値!$A$1:$A$20,FALSE),MATCH(G216,経験値!$A$1:$I$1,FALSE))</f>
        <v>required_exp_200</v>
      </c>
      <c r="AM216" s="11">
        <f ca="1">VLOOKUP(G216,経験値!$A$27:$B$31,2)</f>
        <v>3400</v>
      </c>
      <c r="AN216" s="21">
        <f ca="1">VLOOKUP(G216,ビット!$G$2:$H$7,2)</f>
        <v>600</v>
      </c>
      <c r="AO216" s="98" t="s">
        <v>178</v>
      </c>
      <c r="AP216" s="97">
        <v>325003</v>
      </c>
      <c r="AQ216" s="77" t="e">
        <f ca="1">VLOOKUP($AP216,OFFSET([1]unit_skills!$A$1,0,0,COUNTA([1]unit_skills!$A:$A),MATCH("name",[1]unit_skills!$1:$1,0)-MATCH($AP$1,[1]unit_skills!$1:$1,0)+1),MATCH("name",[1]unit_skills!$1:$1,0)-MATCH($AP$1,[1]unit_skills!$1:$1,0)+1,FALSE)</f>
        <v>#VALUE!</v>
      </c>
      <c r="AR216" s="77" t="e">
        <f ca="1">VLOOKUP($AP216,OFFSET([1]unit_skills!$A$1,0,0,COUNTA([1]unit_skills!$A:$A),MATCH("comment",[1]unit_skills!$1:$1,0)-MATCH($AP$1,[1]unit_skills!$1:$1,0)+1),MATCH("comment",[1]unit_skills!$1:$1,0)-MATCH($AP$1,[1]unit_skills!$1:$1,0)+1,FALSE)</f>
        <v>#VALUE!</v>
      </c>
      <c r="AS216" s="77" t="e">
        <f ca="1">VLOOKUP($AP216,OFFSET([1]unit_skills!$A$1,0,0,COUNTA([1]unit_skills!$A:$A),MATCH(AS$1,[1]unit_skills!$1:$1,0)-MATCH($AP$1,[1]unit_skills!$1:$1,0)+1),MATCH(AS$1,[1]unit_skills!$1:$1,0)-MATCH($AP$1,[1]unit_skills!$1:$1,0)+1,FALSE)</f>
        <v>#VALUE!</v>
      </c>
      <c r="AT216" s="97">
        <v>431003</v>
      </c>
      <c r="AU216" s="77" t="e">
        <f ca="1">VLOOKUP($AT216,OFFSET([1]crash_skills!$A$1,0,0,COUNTA([1]crash_skills!$A:$A),MATCH("name",[1]crash_skills!$1:$1,0)-MATCH($AT$1,[1]crash_skills!$1:$1,0)+1),MATCH("name",[1]crash_skills!$1:$1,0)-MATCH($AT$1,[1]crash_skills!$1:$1,0)+1,FALSE)</f>
        <v>#VALUE!</v>
      </c>
      <c r="AV216" s="77" t="e">
        <f ca="1">VLOOKUP($AT216,OFFSET([1]crash_skills!$A$1,0,0,COUNTA([1]crash_skills!$A:$A),MATCH("comment",[1]crash_skills!$1:$1,0)-MATCH($AT$1,[1]crash_skills!$1:$1,0)+1),MATCH("comment",[1]crash_skills!$1:$1,0)-MATCH($AT$1,[1]crash_skills!$1:$1,0)+1,FALSE)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16" s="77" t="e">
        <f ca="1">VLOOKUP($AT216,OFFSET([1]crash_skills!$A$1,0,0,COUNTA([1]crash_skills!$A:$A),MATCH(AW$1,[1]crash_skills!$1:$1,0)-MATCH($AT$1,[1]crash_skills!$1:$1,0)+1),MATCH(AW$1,[1]crash_skills!$1:$1,0)-MATCH($AT$1,[1]crash_skills!$1:$1,0)+1,FALSE)</f>
        <v>#VALUE!</v>
      </c>
      <c r="AX216" s="81">
        <f ca="1">VLOOKUP($A216,OFFSET([2]characters!$A$1,0,0,COUNTA([2]characters!$A:$A),MATCH(AX$1,[2]characters!$1:$1,0)-MATCH($A$1,[2]characters!$1:$1,0)+1),MATCH(AX$1,[2]characters!$1:$1,0)-MATCH($A$1,[2]characters!$1:$1,0)+1,FALSE)</f>
        <v>3</v>
      </c>
      <c r="AY216" s="19">
        <v>1</v>
      </c>
      <c r="AZ216" s="19">
        <v>1</v>
      </c>
      <c r="BA216" s="19">
        <v>0</v>
      </c>
      <c r="BB216" s="19">
        <v>1</v>
      </c>
      <c r="BC216" s="14">
        <f ca="1">INDEX('RC6SV'!$A$1:$G$20,MATCH(H216,'RC6SV'!$A$1:$A$20,FALSE),MATCH(G216,'RC6SV'!$A$1:$G$1,FALSE))</f>
        <v>6700</v>
      </c>
      <c r="BD216" s="63">
        <f t="shared" ca="1" si="25"/>
        <v>6700</v>
      </c>
      <c r="BE216" s="14">
        <f t="shared" ca="1" si="26"/>
        <v>4900</v>
      </c>
      <c r="BF216" s="14">
        <f t="shared" ca="1" si="27"/>
        <v>1</v>
      </c>
      <c r="BG216" s="20">
        <f ca="1">IF($BE216&lt;=0,ROUND(BK216*0.5,0), ROUND($BE216*S216*AA216*J216*AY216*0.8*[2]ステータス!$B$2,0))</f>
        <v>1882</v>
      </c>
      <c r="BH216" s="20">
        <f ca="1">IF($BE216&lt;=0,ROUND(BL216*0.5,0), ROUND($BE216*T216*AB216*K216*AZ216*0.8*[2]ステータス!$C$2,0))</f>
        <v>1224</v>
      </c>
      <c r="BI216" s="20">
        <f ca="1">IF($BE216&lt;=0,ROUND(BM216*0.5,0), ROUND($BE216*U216*AC216*L216*BA216*0.8*[2]ステータス!$D$2,0))</f>
        <v>0</v>
      </c>
      <c r="BJ216" s="20">
        <f ca="1">IF($BE216&lt;=0,ROUND(BN216*0.5,0), ROUND($BE216*V216*AD216*M216*BB216*0.8*[2]ステータス!$E$2,0))</f>
        <v>980</v>
      </c>
      <c r="BK216" s="14">
        <f ca="1">ROUND(BD216*S216*AA216*J216*AY216*[2]ステータス!$B$2,0)</f>
        <v>3216</v>
      </c>
      <c r="BL216" s="14">
        <f ca="1">ROUND(BD216*T216*AB216*K216*AZ216*[2]ステータス!$C$2,0)</f>
        <v>2091</v>
      </c>
      <c r="BM216" s="14">
        <f ca="1">ROUND(BD216*U216*AC216*L216*BA216*[2]ステータス!$D$2,0)</f>
        <v>0</v>
      </c>
      <c r="BN216" s="14">
        <f ca="1">ROUND(BD216*V216*AD216*M216*BB216*[2]ステータス!$E$2,0)</f>
        <v>1674</v>
      </c>
      <c r="BO216" s="13">
        <v>0</v>
      </c>
      <c r="BP216" s="13">
        <v>1</v>
      </c>
      <c r="BQ216" s="13" t="s">
        <v>102</v>
      </c>
      <c r="BR216" s="13">
        <f ca="1">VLOOKUP(H216,ghosts_label!$A$2:$B$19,2,FALSE)</f>
        <v>600</v>
      </c>
    </row>
    <row r="217" spans="1:70" ht="21" customHeight="1" x14ac:dyDescent="0.15">
      <c r="A217" s="14">
        <f t="shared" ca="1" si="22"/>
        <v>216</v>
      </c>
      <c r="B217" s="77" t="str">
        <f ca="1">VLOOKUP($A217,OFFSET([2]characters!$A$1,0,0,COUNTA([2]characters!$A:$A),MATCH(B$1,[2]characters!$1:$1,0)-MATCH($A$1,[2]characters!$1:$1,0)+1),MATCH(B$1,[2]characters!$1:$1,0)-MATCH($A$1,[2]characters!$1:$1,0)+1,FALSE)</f>
        <v>百読の死導司書 アズラエル</v>
      </c>
      <c r="C217" s="77" t="str">
        <f ca="1">VLOOKUP($A217,OFFSET([2]characters!$A$1,0,0,COUNTA([2]characters!$A:$A),MATCH(C$1,[2]characters!$1:$1,0)-MATCH($A$1,[2]characters!$1:$1,0)+1),MATCH(C$1,[2]characters!$1:$1,0)-MATCH($A$1,[2]characters!$1:$1,0)+1,FALSE)</f>
        <v>初期ガチャ</v>
      </c>
      <c r="D217" s="77" t="str">
        <f ca="1">VLOOKUP($A217,OFFSET([2]characters!$A$1,0,0,COUNTA([2]characters!$A:$A),MATCH(D$1,[2]characters!$1:$1,0)-MATCH($A$1,[2]characters!$1:$1,0)+1),MATCH(D$1,[2]characters!$1:$1,0)-MATCH($A$1,[2]characters!$1:$1,0)+1,FALSE)</f>
        <v>管理者</v>
      </c>
      <c r="E217" s="77" t="str">
        <f ca="1">VLOOKUP($A217,OFFSET([2]characters!$A$1,0,0,COUNTA([2]characters!$A:$A),MATCH(E$1,[2]characters!$1:$1,0)-MATCH($A$1,[2]characters!$1:$1,0)+1),MATCH(E$1,[2]characters!$1:$1,0)-MATCH($A$1,[2]characters!$1:$1,0)+1,FALSE)</f>
        <v>可愛い</v>
      </c>
      <c r="F217" s="77" t="str">
        <f ca="1">VLOOKUP($A217,OFFSET([2]characters!$A$1,0,0,COUNTA([2]characters!$A:$A),MATCH(F$1,[2]characters!$1:$1,0)-MATCH($A$1,[2]characters!$1:$1,0)+1),MATCH(F$1,[2]characters!$1:$1,0)-MATCH($A$1,[2]characters!$1:$1,0)+1,FALSE)</f>
        <v>女性</v>
      </c>
      <c r="G217" s="77">
        <f ca="1">VLOOKUP($A217,OFFSET([2]characters!$A$1,0,0,COUNTA([2]characters!$A:$A),MATCH(G$1,[2]characters!$1:$1,0)-MATCH($A$1,[2]characters!$1:$1,0)+1),MATCH(G$1,[2]characters!$1:$1,0)-MATCH($A$1,[2]characters!$1:$1,0)+1,FALSE)</f>
        <v>5</v>
      </c>
      <c r="H217" s="77" t="str">
        <f ca="1">VLOOKUP($A217,OFFSET([2]characters!$A$1,0,0,COUNTA([2]characters!$A:$A),MATCH(H$1,[2]characters!$1:$1,0)-MATCH($A$1,[2]characters!$1:$1,0)+1),MATCH(H$1,[2]characters!$1:$1,0)-MATCH($A$1,[2]characters!$1:$1,0)+1,FALSE)</f>
        <v>PremiumN</v>
      </c>
      <c r="I217" s="77" t="str">
        <f ca="1">VLOOKUP($A217,OFFSET([2]characters!$A$1,0,0,COUNTA([2]characters!$A:$A),MATCH(I$1,[2]characters!$1:$1,0)-MATCH($A$1,[2]characters!$1:$1,0)+1),MATCH(I$1,[2]characters!$1:$1,0)-MATCH($A$1,[2]characters!$1:$1,0)+1,FALSE)</f>
        <v>red</v>
      </c>
      <c r="J217" s="14">
        <f ca="1">VLOOKUP(I217,[2]属性!$A:$E,2,FALSE)</f>
        <v>1</v>
      </c>
      <c r="K217" s="14">
        <f ca="1">VLOOKUP(I217,[2]属性!$A:$E,3,FALSE)</f>
        <v>1.02</v>
      </c>
      <c r="L217" s="14">
        <f ca="1">VLOOKUP(I217,[2]属性!$A:$E,4,FALSE)</f>
        <v>1</v>
      </c>
      <c r="M217" s="14">
        <f ca="1">VLOOKUP(I217,[2]属性!$A:$E,5,FALSE)</f>
        <v>0.98</v>
      </c>
      <c r="N217" s="14">
        <f ca="1">INDEX(コスト!$A$1:$I$20,MATCH(H217,コスト!$A$1:$A$20,FALSE),MATCH(G217,コスト!$A$1:$I$1,FALSE))</f>
        <v>28</v>
      </c>
      <c r="O217" s="14">
        <f ca="1">INDEX(レベル!$A$1:$I$21,MATCH(H217,レベル!$A$1:$A$21,FALSE),MATCH(G217,レベル!$A$1:$I$1,FALSE))</f>
        <v>80</v>
      </c>
      <c r="P217" s="63">
        <f t="shared" ca="1" si="28"/>
        <v>75</v>
      </c>
      <c r="Q217" s="77" t="str">
        <f ca="1">VLOOKUP($A217,OFFSET([2]characters!$A$1,0,0,COUNTA([2]characters!$A:$A),MATCH(Q$1,[2]characters!$1:$1,0)-MATCH($A$1,[2]characters!$1:$1,0)+1),MATCH(Q$1,[2]characters!$1:$1,0)-MATCH($A$1,[2]characters!$1:$1,0)+1,FALSE)</f>
        <v>balance</v>
      </c>
      <c r="R217" s="8" t="str">
        <f ca="1">VLOOKUP(Q217,[2]character_type_i18n!$A:$H,3,FALSE)</f>
        <v>バランスタイプ</v>
      </c>
      <c r="S217" s="14">
        <f ca="1">VLOOKUP(Q217,[2]character_type_i18n!$A:$H,4,FALSE)</f>
        <v>1</v>
      </c>
      <c r="T217" s="14">
        <f ca="1">VLOOKUP(Q217,[2]character_type_i18n!$A:$H,5,FALSE)</f>
        <v>1</v>
      </c>
      <c r="U217" s="14">
        <f ca="1">VLOOKUP(Q217,[2]character_type_i18n!$A:$H,6,FALSE)</f>
        <v>1</v>
      </c>
      <c r="V217" s="14">
        <f ca="1">VLOOKUP(Q217,[2]character_type_i18n!$A:$H,7,FALSE)</f>
        <v>1</v>
      </c>
      <c r="W217" s="77" t="str">
        <f ca="1">VLOOKUP($A217,OFFSET([2]characters!$A$1,0,0,COUNTA([2]characters!$A:$A),MATCH(W$1,[2]characters!$1:$1,0)-MATCH($A$1,[2]characters!$1:$1,0)+1),MATCH(W$1,[2]characters!$1:$1,0)-MATCH($A$1,[2]characters!$1:$1,0)+1,FALSE)</f>
        <v>god</v>
      </c>
      <c r="X217" s="8" t="str">
        <f ca="1">VLOOKUP(W217,[2]character_tribe_i18n!$A:$H,3,FALSE)</f>
        <v>ゴッド</v>
      </c>
      <c r="Y217" s="77" t="str">
        <f ca="1">VLOOKUP($A217,OFFSET([2]characters!$A$1,0,0,COUNTA([2]characters!$A:$A),MATCH(Y$1,[2]characters!$1:$1,0)-MATCH($A$1,[2]characters!$1:$1,0)+1),MATCH(Y$1,[2]characters!$1:$1,0)-MATCH($A$1,[2]characters!$1:$1,0)+1,FALSE)</f>
        <v>none</v>
      </c>
      <c r="Z217" s="8" t="str">
        <f ca="1">VLOOKUP(Y217,[2]character_tribe_i18n!$A:$H,3,FALSE)</f>
        <v>種族なし</v>
      </c>
      <c r="AA217" s="14">
        <f ca="1">VLOOKUP(W217,[2]character_tribe_i18n!$A:$H,4,FALSE)</f>
        <v>0.96</v>
      </c>
      <c r="AB217" s="14">
        <f ca="1">VLOOKUP(W217,[2]character_tribe_i18n!$A:$H,5,FALSE)</f>
        <v>1.02</v>
      </c>
      <c r="AC217" s="14">
        <f ca="1">VLOOKUP(W217,[2]character_tribe_i18n!$A:$H,6,FALSE)</f>
        <v>1</v>
      </c>
      <c r="AD217" s="14">
        <f ca="1">VLOOKUP(W217,[2]character_tribe_i18n!$A:$H,7,FALSE)</f>
        <v>1.02</v>
      </c>
      <c r="AE217" s="12" t="s">
        <v>102</v>
      </c>
      <c r="AF217" s="85" t="str">
        <f ca="1">IF(AE217="NULL","",VLOOKUP($AE217,OFFSET([2]characters!$A$1,0,0,COUNTA([2]characters!$A:$A),MATCH(AF$1,[2]characters!$1:$1,0)-MATCH($A$1,[2]characters!$1:$1,0)+1),MATCH(AF$1,[2]characters!$1:$1,0)-MATCH($A$1,[2]characters!$1:$1,0)+1,FALSE))</f>
        <v/>
      </c>
      <c r="AG217" s="8">
        <f t="shared" ca="1" si="23"/>
        <v>214</v>
      </c>
      <c r="AH217" s="85" t="str">
        <f ca="1">VLOOKUP($AG217,OFFSET([2]characters!$A$1,0,0,COUNTA([2]characters!$A:$A),MATCH(AH$1,[2]characters!$1:$1,0)-MATCH($A$1,[2]characters!$1:$1,0)+1),MATCH(AH$1,[2]characters!$1:$1,0)-MATCH($A$1,[2]characters!$1:$1,0)+1,FALSE)</f>
        <v>アズラエル</v>
      </c>
      <c r="AI217" s="14" t="str">
        <f>IF(AE217="NULL","NULL",VLOOKUP(G217,ビット!$A$2:$B$7,2))</f>
        <v>NULL</v>
      </c>
      <c r="AJ217" s="9">
        <v>2</v>
      </c>
      <c r="AK217" s="10" t="str">
        <f t="shared" si="24"/>
        <v>普通</v>
      </c>
      <c r="AL217" s="14" t="str">
        <f ca="1">INDEX(経験値!$A$1:$I$20,MATCH(H217,経験値!$A$1:$A$20,FALSE),MATCH(G217,経験値!$A$1:$I$1,FALSE))</f>
        <v>required_exp_200</v>
      </c>
      <c r="AM217" s="11">
        <f ca="1">VLOOKUP(G217,経験値!$A$27:$B$31,2)</f>
        <v>6400</v>
      </c>
      <c r="AN217" s="21">
        <f ca="1">VLOOKUP(G217,ビット!$G$2:$H$7,2)</f>
        <v>900</v>
      </c>
      <c r="AO217" s="98" t="s">
        <v>178</v>
      </c>
      <c r="AP217" s="97">
        <v>325004</v>
      </c>
      <c r="AQ217" s="77" t="e">
        <f ca="1">VLOOKUP($AP217,OFFSET([1]unit_skills!$A$1,0,0,COUNTA([1]unit_skills!$A:$A),MATCH("name",[1]unit_skills!$1:$1,0)-MATCH($AP$1,[1]unit_skills!$1:$1,0)+1),MATCH("name",[1]unit_skills!$1:$1,0)-MATCH($AP$1,[1]unit_skills!$1:$1,0)+1,FALSE)</f>
        <v>#VALUE!</v>
      </c>
      <c r="AR217" s="77" t="e">
        <f ca="1">VLOOKUP($AP217,OFFSET([1]unit_skills!$A$1,0,0,COUNTA([1]unit_skills!$A:$A),MATCH("comment",[1]unit_skills!$1:$1,0)-MATCH($AP$1,[1]unit_skills!$1:$1,0)+1),MATCH("comment",[1]unit_skills!$1:$1,0)-MATCH($AP$1,[1]unit_skills!$1:$1,0)+1,FALSE)</f>
        <v>#VALUE!</v>
      </c>
      <c r="AS217" s="77" t="e">
        <f ca="1">VLOOKUP($AP217,OFFSET([1]unit_skills!$A$1,0,0,COUNTA([1]unit_skills!$A:$A),MATCH(AS$1,[1]unit_skills!$1:$1,0)-MATCH($AP$1,[1]unit_skills!$1:$1,0)+1),MATCH(AS$1,[1]unit_skills!$1:$1,0)-MATCH($AP$1,[1]unit_skills!$1:$1,0)+1,FALSE)</f>
        <v>#VALUE!</v>
      </c>
      <c r="AT217" s="97">
        <v>431004</v>
      </c>
      <c r="AU217" s="77" t="e">
        <f ca="1">VLOOKUP($AT217,OFFSET([1]crash_skills!$A$1,0,0,COUNTA([1]crash_skills!$A:$A),MATCH("name",[1]crash_skills!$1:$1,0)-MATCH($AT$1,[1]crash_skills!$1:$1,0)+1),MATCH("name",[1]crash_skills!$1:$1,0)-MATCH($AT$1,[1]crash_skills!$1:$1,0)+1,FALSE)</f>
        <v>#VALUE!</v>
      </c>
      <c r="AV217" s="77" t="e">
        <f ca="1">VLOOKUP($AT217,OFFSET([1]crash_skills!$A$1,0,0,COUNTA([1]crash_skills!$A:$A),MATCH("comment",[1]crash_skills!$1:$1,0)-MATCH($AT$1,[1]crash_skills!$1:$1,0)+1),MATCH("comment",[1]crash_skills!$1:$1,0)-MATCH($AT$1,[1]crash_skills!$1:$1,0)+1,FALSE)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17" s="77" t="e">
        <f ca="1">VLOOKUP($AT217,OFFSET([1]crash_skills!$A$1,0,0,COUNTA([1]crash_skills!$A:$A),MATCH(AW$1,[1]crash_skills!$1:$1,0)-MATCH($AT$1,[1]crash_skills!$1:$1,0)+1),MATCH(AW$1,[1]crash_skills!$1:$1,0)-MATCH($AT$1,[1]crash_skills!$1:$1,0)+1,FALSE)</f>
        <v>#VALUE!</v>
      </c>
      <c r="AX217" s="81">
        <f ca="1">VLOOKUP($A217,OFFSET([2]characters!$A$1,0,0,COUNTA([2]characters!$A:$A),MATCH(AX$1,[2]characters!$1:$1,0)-MATCH($A$1,[2]characters!$1:$1,0)+1),MATCH(AX$1,[2]characters!$1:$1,0)-MATCH($A$1,[2]characters!$1:$1,0)+1,FALSE)</f>
        <v>3</v>
      </c>
      <c r="AY217" s="19">
        <v>1</v>
      </c>
      <c r="AZ217" s="19">
        <v>1</v>
      </c>
      <c r="BA217" s="19">
        <v>0</v>
      </c>
      <c r="BB217" s="19">
        <v>1</v>
      </c>
      <c r="BC217" s="14">
        <f ca="1">INDEX('RC6SV'!$A$1:$G$20,MATCH(H217,'RC6SV'!$A$1:$A$20,FALSE),MATCH(G217,'RC6SV'!$A$1:$G$1,FALSE))</f>
        <v>8500</v>
      </c>
      <c r="BD217" s="63">
        <f t="shared" ca="1" si="25"/>
        <v>8500</v>
      </c>
      <c r="BE217" s="14">
        <f t="shared" ca="1" si="26"/>
        <v>6700</v>
      </c>
      <c r="BF217" s="14">
        <f t="shared" ca="1" si="27"/>
        <v>1</v>
      </c>
      <c r="BG217" s="20">
        <f ca="1">IF($BE217&lt;=0,ROUND(BK217*0.5,0), ROUND($BE217*S217*AA217*J217*AY217*0.8*[2]ステータス!$B$2,0))</f>
        <v>2573</v>
      </c>
      <c r="BH217" s="20">
        <f ca="1">IF($BE217&lt;=0,ROUND(BL217*0.5,0), ROUND($BE217*T217*AB217*K217*AZ217*0.8*[2]ステータス!$C$2,0))</f>
        <v>1673</v>
      </c>
      <c r="BI217" s="20">
        <f ca="1">IF($BE217&lt;=0,ROUND(BM217*0.5,0), ROUND($BE217*U217*AC217*L217*BA217*0.8*[2]ステータス!$D$2,0))</f>
        <v>0</v>
      </c>
      <c r="BJ217" s="20">
        <f ca="1">IF($BE217&lt;=0,ROUND(BN217*0.5,0), ROUND($BE217*V217*AD217*M217*BB217*0.8*[2]ステータス!$E$2,0))</f>
        <v>1339</v>
      </c>
      <c r="BK217" s="14">
        <f ca="1">ROUND(BD217*S217*AA217*J217*AY217*[2]ステータス!$B$2,0)</f>
        <v>4080</v>
      </c>
      <c r="BL217" s="14">
        <f ca="1">ROUND(BD217*T217*AB217*K217*AZ217*[2]ステータス!$C$2,0)</f>
        <v>2653</v>
      </c>
      <c r="BM217" s="14">
        <f ca="1">ROUND(BD217*U217*AC217*L217*BA217*[2]ステータス!$D$2,0)</f>
        <v>0</v>
      </c>
      <c r="BN217" s="14">
        <f ca="1">ROUND(BD217*V217*AD217*M217*BB217*[2]ステータス!$E$2,0)</f>
        <v>2124</v>
      </c>
      <c r="BO217" s="13">
        <v>0</v>
      </c>
      <c r="BP217" s="13">
        <v>1</v>
      </c>
      <c r="BQ217" s="13" t="s">
        <v>102</v>
      </c>
      <c r="BR217" s="13">
        <f ca="1">VLOOKUP(H217,ghosts_label!$A$2:$B$19,2,FALSE)</f>
        <v>600</v>
      </c>
    </row>
    <row r="218" spans="1:70" ht="21" customHeight="1" x14ac:dyDescent="0.15">
      <c r="A218" s="14">
        <f t="shared" ca="1" si="22"/>
        <v>217</v>
      </c>
      <c r="B218" s="77" t="str">
        <f ca="1">VLOOKUP($A218,OFFSET([2]characters!$A$1,0,0,COUNTA([2]characters!$A:$A),MATCH(B$1,[2]characters!$1:$1,0)-MATCH($A$1,[2]characters!$1:$1,0)+1),MATCH(B$1,[2]characters!$1:$1,0)-MATCH($A$1,[2]characters!$1:$1,0)+1,FALSE)</f>
        <v>ケツァクアトル</v>
      </c>
      <c r="C218" s="77" t="str">
        <f ca="1">VLOOKUP($A218,OFFSET([2]characters!$A$1,0,0,COUNTA([2]characters!$A:$A),MATCH(C$1,[2]characters!$1:$1,0)-MATCH($A$1,[2]characters!$1:$1,0)+1),MATCH(C$1,[2]characters!$1:$1,0)-MATCH($A$1,[2]characters!$1:$1,0)+1,FALSE)</f>
        <v>初期ガチャ</v>
      </c>
      <c r="D218" s="77" t="str">
        <f ca="1">VLOOKUP($A218,OFFSET([2]characters!$A$1,0,0,COUNTA([2]characters!$A:$A),MATCH(D$1,[2]characters!$1:$1,0)-MATCH($A$1,[2]characters!$1:$1,0)+1),MATCH(D$1,[2]characters!$1:$1,0)-MATCH($A$1,[2]characters!$1:$1,0)+1,FALSE)</f>
        <v>破界者</v>
      </c>
      <c r="E218" s="77" t="str">
        <f ca="1">VLOOKUP($A218,OFFSET([2]characters!$A$1,0,0,COUNTA([2]characters!$A:$A),MATCH(E$1,[2]characters!$1:$1,0)-MATCH($A$1,[2]characters!$1:$1,0)+1),MATCH(E$1,[2]characters!$1:$1,0)-MATCH($A$1,[2]characters!$1:$1,0)+1,FALSE)</f>
        <v>美しい</v>
      </c>
      <c r="F218" s="77" t="str">
        <f ca="1">VLOOKUP($A218,OFFSET([2]characters!$A$1,0,0,COUNTA([2]characters!$A:$A),MATCH(F$1,[2]characters!$1:$1,0)-MATCH($A$1,[2]characters!$1:$1,0)+1),MATCH(F$1,[2]characters!$1:$1,0)-MATCH($A$1,[2]characters!$1:$1,0)+1,FALSE)</f>
        <v>女性</v>
      </c>
      <c r="G218" s="77">
        <f ca="1">VLOOKUP($A218,OFFSET([2]characters!$A$1,0,0,COUNTA([2]characters!$A:$A),MATCH(G$1,[2]characters!$1:$1,0)-MATCH($A$1,[2]characters!$1:$1,0)+1),MATCH(G$1,[2]characters!$1:$1,0)-MATCH($A$1,[2]characters!$1:$1,0)+1,FALSE)</f>
        <v>3</v>
      </c>
      <c r="H218" s="77" t="str">
        <f ca="1">VLOOKUP($A218,OFFSET([2]characters!$A$1,0,0,COUNTA([2]characters!$A:$A),MATCH(H$1,[2]characters!$1:$1,0)-MATCH($A$1,[2]characters!$1:$1,0)+1),MATCH(H$1,[2]characters!$1:$1,0)-MATCH($A$1,[2]characters!$1:$1,0)+1,FALSE)</f>
        <v>PremiumN</v>
      </c>
      <c r="I218" s="77" t="str">
        <f ca="1">VLOOKUP($A218,OFFSET([2]characters!$A$1,0,0,COUNTA([2]characters!$A:$A),MATCH(I$1,[2]characters!$1:$1,0)-MATCH($A$1,[2]characters!$1:$1,0)+1),MATCH(I$1,[2]characters!$1:$1,0)-MATCH($A$1,[2]characters!$1:$1,0)+1,FALSE)</f>
        <v>green</v>
      </c>
      <c r="J218" s="14">
        <f ca="1">VLOOKUP(I218,[2]属性!$A:$E,2,FALSE)</f>
        <v>1.02</v>
      </c>
      <c r="K218" s="14">
        <f ca="1">VLOOKUP(I218,[2]属性!$A:$E,3,FALSE)</f>
        <v>0.98</v>
      </c>
      <c r="L218" s="14">
        <f ca="1">VLOOKUP(I218,[2]属性!$A:$E,4,FALSE)</f>
        <v>1</v>
      </c>
      <c r="M218" s="14">
        <f ca="1">VLOOKUP(I218,[2]属性!$A:$E,5,FALSE)</f>
        <v>1</v>
      </c>
      <c r="N218" s="14">
        <f ca="1">INDEX(コスト!$A$1:$I$20,MATCH(H218,コスト!$A$1:$A$20,FALSE),MATCH(G218,コスト!$A$1:$I$1,FALSE))</f>
        <v>9</v>
      </c>
      <c r="O218" s="14">
        <f ca="1">INDEX(レベル!$A$1:$I$21,MATCH(H218,レベル!$A$1:$A$21,FALSE),MATCH(G218,レベル!$A$1:$I$1,FALSE))</f>
        <v>40</v>
      </c>
      <c r="P218" s="63">
        <f t="shared" ca="1" si="28"/>
        <v>45</v>
      </c>
      <c r="Q218" s="77" t="str">
        <f ca="1">VLOOKUP($A218,OFFSET([2]characters!$A$1,0,0,COUNTA([2]characters!$A:$A),MATCH(Q$1,[2]characters!$1:$1,0)-MATCH($A$1,[2]characters!$1:$1,0)+1),MATCH(Q$1,[2]characters!$1:$1,0)-MATCH($A$1,[2]characters!$1:$1,0)+1,FALSE)</f>
        <v>hp</v>
      </c>
      <c r="R218" s="8" t="str">
        <f ca="1">VLOOKUP(Q218,[2]character_type_i18n!$A:$H,3,FALSE)</f>
        <v>体力タイプ</v>
      </c>
      <c r="S218" s="14">
        <f ca="1">VLOOKUP(Q218,[2]character_type_i18n!$A:$H,4,FALSE)</f>
        <v>1.45</v>
      </c>
      <c r="T218" s="14">
        <f ca="1">VLOOKUP(Q218,[2]character_type_i18n!$A:$H,5,FALSE)</f>
        <v>0.85</v>
      </c>
      <c r="U218" s="14">
        <f ca="1">VLOOKUP(Q218,[2]character_type_i18n!$A:$H,6,FALSE)</f>
        <v>1</v>
      </c>
      <c r="V218" s="14">
        <f ca="1">VLOOKUP(Q218,[2]character_type_i18n!$A:$H,7,FALSE)</f>
        <v>0.7</v>
      </c>
      <c r="W218" s="77" t="str">
        <f ca="1">VLOOKUP($A218,OFFSET([2]characters!$A$1,0,0,COUNTA([2]characters!$A:$A),MATCH(W$1,[2]characters!$1:$1,0)-MATCH($A$1,[2]characters!$1:$1,0)+1),MATCH(W$1,[2]characters!$1:$1,0)-MATCH($A$1,[2]characters!$1:$1,0)+1,FALSE)</f>
        <v>dragon</v>
      </c>
      <c r="X218" s="8" t="str">
        <f ca="1">VLOOKUP(W218,[2]character_tribe_i18n!$A:$H,3,FALSE)</f>
        <v>ドラゴン</v>
      </c>
      <c r="Y218" s="77" t="str">
        <f ca="1">VLOOKUP($A218,OFFSET([2]characters!$A$1,0,0,COUNTA([2]characters!$A:$A),MATCH(Y$1,[2]characters!$1:$1,0)-MATCH($A$1,[2]characters!$1:$1,0)+1),MATCH(Y$1,[2]characters!$1:$1,0)-MATCH($A$1,[2]characters!$1:$1,0)+1,FALSE)</f>
        <v>none</v>
      </c>
      <c r="Z218" s="8" t="str">
        <f ca="1">VLOOKUP(Y218,[2]character_tribe_i18n!$A:$H,3,FALSE)</f>
        <v>種族なし</v>
      </c>
      <c r="AA218" s="14">
        <f ca="1">VLOOKUP(W218,[2]character_tribe_i18n!$A:$H,4,FALSE)</f>
        <v>1.1499999999999999</v>
      </c>
      <c r="AB218" s="14">
        <f ca="1">VLOOKUP(W218,[2]character_tribe_i18n!$A:$H,5,FALSE)</f>
        <v>1.1000000000000001</v>
      </c>
      <c r="AC218" s="14">
        <f ca="1">VLOOKUP(W218,[2]character_tribe_i18n!$A:$H,6,FALSE)</f>
        <v>1</v>
      </c>
      <c r="AD218" s="14">
        <f ca="1">VLOOKUP(W218,[2]character_tribe_i18n!$A:$H,7,FALSE)</f>
        <v>0.75</v>
      </c>
      <c r="AE218" s="12">
        <v>218</v>
      </c>
      <c r="AF218" s="85" t="str">
        <f ca="1">IF(AE218="NULL","",VLOOKUP($AE218,OFFSET([2]characters!$A$1,0,0,COUNTA([2]characters!$A:$A),MATCH(AF$1,[2]characters!$1:$1,0)-MATCH($A$1,[2]characters!$1:$1,0)+1),MATCH(AF$1,[2]characters!$1:$1,0)-MATCH($A$1,[2]characters!$1:$1,0)+1,FALSE))</f>
        <v>聖蛇 ケツァクアトル</v>
      </c>
      <c r="AG218" s="8">
        <f t="shared" ca="1" si="23"/>
        <v>217</v>
      </c>
      <c r="AH218" s="85" t="str">
        <f ca="1">VLOOKUP($AG218,OFFSET([2]characters!$A$1,0,0,COUNTA([2]characters!$A:$A),MATCH(AH$1,[2]characters!$1:$1,0)-MATCH($A$1,[2]characters!$1:$1,0)+1),MATCH(AH$1,[2]characters!$1:$1,0)-MATCH($A$1,[2]characters!$1:$1,0)+1,FALSE)</f>
        <v>ケツァクアトル</v>
      </c>
      <c r="AI218" s="14">
        <f ca="1">IF(AE218="NULL","NULL",VLOOKUP(G218,ビット!$A$2:$B$7,2))</f>
        <v>20000</v>
      </c>
      <c r="AJ218" s="9">
        <v>2</v>
      </c>
      <c r="AK218" s="10" t="str">
        <f t="shared" si="24"/>
        <v>普通</v>
      </c>
      <c r="AL218" s="14" t="str">
        <f ca="1">INDEX(経験値!$A$1:$I$20,MATCH(H218,経験値!$A$1:$A$20,FALSE),MATCH(G218,経験値!$A$1:$I$1,FALSE))</f>
        <v>required_exp_200</v>
      </c>
      <c r="AM218" s="11">
        <f ca="1">VLOOKUP(G218,経験値!$A$27:$B$31,2)</f>
        <v>1500</v>
      </c>
      <c r="AN218" s="21">
        <f ca="1">VLOOKUP(G218,ビット!$G$2:$H$7,2)</f>
        <v>300</v>
      </c>
      <c r="AO218" s="98" t="s">
        <v>178</v>
      </c>
      <c r="AP218" s="97">
        <v>323002</v>
      </c>
      <c r="AQ218" s="77" t="e">
        <f ca="1">VLOOKUP($AP218,OFFSET([1]unit_skills!$A$1,0,0,COUNTA([1]unit_skills!$A:$A),MATCH("name",[1]unit_skills!$1:$1,0)-MATCH($AP$1,[1]unit_skills!$1:$1,0)+1),MATCH("name",[1]unit_skills!$1:$1,0)-MATCH($AP$1,[1]unit_skills!$1:$1,0)+1,FALSE)</f>
        <v>#VALUE!</v>
      </c>
      <c r="AR218" s="77" t="e">
        <f ca="1">VLOOKUP($AP218,OFFSET([1]unit_skills!$A$1,0,0,COUNTA([1]unit_skills!$A:$A),MATCH("comment",[1]unit_skills!$1:$1,0)-MATCH($AP$1,[1]unit_skills!$1:$1,0)+1),MATCH("comment",[1]unit_skills!$1:$1,0)-MATCH($AP$1,[1]unit_skills!$1:$1,0)+1,FALSE)</f>
        <v>#VALUE!</v>
      </c>
      <c r="AS218" s="77" t="e">
        <f ca="1">VLOOKUP($AP218,OFFSET([1]unit_skills!$A$1,0,0,COUNTA([1]unit_skills!$A:$A),MATCH(AS$1,[1]unit_skills!$1:$1,0)-MATCH($AP$1,[1]unit_skills!$1:$1,0)+1),MATCH(AS$1,[1]unit_skills!$1:$1,0)-MATCH($AP$1,[1]unit_skills!$1:$1,0)+1,FALSE)</f>
        <v>#VALUE!</v>
      </c>
      <c r="AT218" s="97">
        <v>442002</v>
      </c>
      <c r="AU218" s="77" t="e">
        <f ca="1">VLOOKUP($AT218,OFFSET([1]crash_skills!$A$1,0,0,COUNTA([1]crash_skills!$A:$A),MATCH("name",[1]crash_skills!$1:$1,0)-MATCH($AT$1,[1]crash_skills!$1:$1,0)+1),MATCH("name",[1]crash_skills!$1:$1,0)-MATCH($AT$1,[1]crash_skills!$1:$1,0)+1,FALSE)</f>
        <v>#VALUE!</v>
      </c>
      <c r="AV218" s="77" t="e">
        <f ca="1">VLOOKUP($AT218,OFFSET([1]crash_skills!$A$1,0,0,COUNTA([1]crash_skills!$A:$A),MATCH("comment",[1]crash_skills!$1:$1,0)-MATCH($AT$1,[1]crash_skills!$1:$1,0)+1),MATCH("comment",[1]crash_skills!$1:$1,0)-MATCH($AT$1,[1]crash_skills!$1:$1,0)+1,FALSE)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18" s="77" t="e">
        <f ca="1">VLOOKUP($AT218,OFFSET([1]crash_skills!$A$1,0,0,COUNTA([1]crash_skills!$A:$A),MATCH(AW$1,[1]crash_skills!$1:$1,0)-MATCH($AT$1,[1]crash_skills!$1:$1,0)+1),MATCH(AW$1,[1]crash_skills!$1:$1,0)-MATCH($AT$1,[1]crash_skills!$1:$1,0)+1,FALSE)</f>
        <v>#VALUE!</v>
      </c>
      <c r="AX218" s="81">
        <f ca="1">VLOOKUP($A218,OFFSET([2]characters!$A$1,0,0,COUNTA([2]characters!$A:$A),MATCH(AX$1,[2]characters!$1:$1,0)-MATCH($A$1,[2]characters!$1:$1,0)+1),MATCH(AX$1,[2]characters!$1:$1,0)-MATCH($A$1,[2]characters!$1:$1,0)+1,FALSE)</f>
        <v>3</v>
      </c>
      <c r="AY218" s="19">
        <v>1</v>
      </c>
      <c r="AZ218" s="19">
        <v>1</v>
      </c>
      <c r="BA218" s="19">
        <v>0</v>
      </c>
      <c r="BB218" s="19">
        <v>1</v>
      </c>
      <c r="BC218" s="14">
        <f ca="1">INDEX('RC6SV'!$A$1:$G$20,MATCH(H218,'RC6SV'!$A$1:$A$20,FALSE),MATCH(G218,'RC6SV'!$A$1:$G$1,FALSE))</f>
        <v>4900</v>
      </c>
      <c r="BD218" s="63">
        <f t="shared" ca="1" si="25"/>
        <v>4900</v>
      </c>
      <c r="BE218" s="14">
        <f t="shared" ca="1" si="26"/>
        <v>0</v>
      </c>
      <c r="BF218" s="14">
        <f t="shared" ca="1" si="27"/>
        <v>1</v>
      </c>
      <c r="BG218" s="20">
        <f ca="1">IF($BE218&lt;=0,ROUND(BK218*0.5,0), ROUND($BE218*S218*AA218*J218*AY218*0.8*[2]ステータス!$B$2,0))</f>
        <v>2084</v>
      </c>
      <c r="BH218" s="20">
        <f ca="1">IF($BE218&lt;=0,ROUND(BL218*0.5,0), ROUND($BE218*T218*AB218*K218*AZ218*0.8*[2]ステータス!$C$2,0))</f>
        <v>674</v>
      </c>
      <c r="BI218" s="20">
        <f ca="1">IF($BE218&lt;=0,ROUND(BM218*0.5,0), ROUND($BE218*U218*AC218*L218*BA218*0.8*[2]ステータス!$D$2,0))</f>
        <v>0</v>
      </c>
      <c r="BJ218" s="20">
        <f ca="1">IF($BE218&lt;=0,ROUND(BN218*0.5,0), ROUND($BE218*V218*AD218*M218*BB218*0.8*[2]ステータス!$E$2,0))</f>
        <v>322</v>
      </c>
      <c r="BK218" s="14">
        <f ca="1">ROUND(BD218*S218*AA218*J218*AY218*[2]ステータス!$B$2,0)</f>
        <v>4167</v>
      </c>
      <c r="BL218" s="14">
        <f ca="1">ROUND(BD218*T218*AB218*K218*AZ218*[2]ステータス!$C$2,0)</f>
        <v>1347</v>
      </c>
      <c r="BM218" s="14">
        <f ca="1">ROUND(BD218*U218*AC218*L218*BA218*[2]ステータス!$D$2,0)</f>
        <v>0</v>
      </c>
      <c r="BN218" s="14">
        <f ca="1">ROUND(BD218*V218*AD218*M218*BB218*[2]ステータス!$E$2,0)</f>
        <v>643</v>
      </c>
      <c r="BO218" s="13">
        <v>0</v>
      </c>
      <c r="BP218" s="13">
        <v>1</v>
      </c>
      <c r="BQ218" s="13" t="s">
        <v>102</v>
      </c>
      <c r="BR218" s="13">
        <f ca="1">VLOOKUP(H218,ghosts_label!$A$2:$B$19,2,FALSE)</f>
        <v>600</v>
      </c>
    </row>
    <row r="219" spans="1:70" ht="21" customHeight="1" x14ac:dyDescent="0.15">
      <c r="A219" s="14">
        <f t="shared" ca="1" si="22"/>
        <v>218</v>
      </c>
      <c r="B219" s="77" t="str">
        <f ca="1">VLOOKUP($A219,OFFSET([2]characters!$A$1,0,0,COUNTA([2]characters!$A:$A),MATCH(B$1,[2]characters!$1:$1,0)-MATCH($A$1,[2]characters!$1:$1,0)+1),MATCH(B$1,[2]characters!$1:$1,0)-MATCH($A$1,[2]characters!$1:$1,0)+1,FALSE)</f>
        <v>聖蛇 ケツァクアトル</v>
      </c>
      <c r="C219" s="77" t="str">
        <f ca="1">VLOOKUP($A219,OFFSET([2]characters!$A$1,0,0,COUNTA([2]characters!$A:$A),MATCH(C$1,[2]characters!$1:$1,0)-MATCH($A$1,[2]characters!$1:$1,0)+1),MATCH(C$1,[2]characters!$1:$1,0)-MATCH($A$1,[2]characters!$1:$1,0)+1,FALSE)</f>
        <v>初期ガチャ</v>
      </c>
      <c r="D219" s="77" t="str">
        <f ca="1">VLOOKUP($A219,OFFSET([2]characters!$A$1,0,0,COUNTA([2]characters!$A:$A),MATCH(D$1,[2]characters!$1:$1,0)-MATCH($A$1,[2]characters!$1:$1,0)+1),MATCH(D$1,[2]characters!$1:$1,0)-MATCH($A$1,[2]characters!$1:$1,0)+1,FALSE)</f>
        <v>破界者</v>
      </c>
      <c r="E219" s="77" t="str">
        <f ca="1">VLOOKUP($A219,OFFSET([2]characters!$A$1,0,0,COUNTA([2]characters!$A:$A),MATCH(E$1,[2]characters!$1:$1,0)-MATCH($A$1,[2]characters!$1:$1,0)+1),MATCH(E$1,[2]characters!$1:$1,0)-MATCH($A$1,[2]characters!$1:$1,0)+1,FALSE)</f>
        <v>美しい</v>
      </c>
      <c r="F219" s="77" t="str">
        <f ca="1">VLOOKUP($A219,OFFSET([2]characters!$A$1,0,0,COUNTA([2]characters!$A:$A),MATCH(F$1,[2]characters!$1:$1,0)-MATCH($A$1,[2]characters!$1:$1,0)+1),MATCH(F$1,[2]characters!$1:$1,0)-MATCH($A$1,[2]characters!$1:$1,0)+1,FALSE)</f>
        <v>女性</v>
      </c>
      <c r="G219" s="77">
        <f ca="1">VLOOKUP($A219,OFFSET([2]characters!$A$1,0,0,COUNTA([2]characters!$A:$A),MATCH(G$1,[2]characters!$1:$1,0)-MATCH($A$1,[2]characters!$1:$1,0)+1),MATCH(G$1,[2]characters!$1:$1,0)-MATCH($A$1,[2]characters!$1:$1,0)+1,FALSE)</f>
        <v>4</v>
      </c>
      <c r="H219" s="77" t="str">
        <f ca="1">VLOOKUP($A219,OFFSET([2]characters!$A$1,0,0,COUNTA([2]characters!$A:$A),MATCH(H$1,[2]characters!$1:$1,0)-MATCH($A$1,[2]characters!$1:$1,0)+1),MATCH(H$1,[2]characters!$1:$1,0)-MATCH($A$1,[2]characters!$1:$1,0)+1,FALSE)</f>
        <v>PremiumN</v>
      </c>
      <c r="I219" s="77" t="str">
        <f ca="1">VLOOKUP($A219,OFFSET([2]characters!$A$1,0,0,COUNTA([2]characters!$A:$A),MATCH(I$1,[2]characters!$1:$1,0)-MATCH($A$1,[2]characters!$1:$1,0)+1),MATCH(I$1,[2]characters!$1:$1,0)-MATCH($A$1,[2]characters!$1:$1,0)+1,FALSE)</f>
        <v>green</v>
      </c>
      <c r="J219" s="14">
        <f ca="1">VLOOKUP(I219,[2]属性!$A:$E,2,FALSE)</f>
        <v>1.02</v>
      </c>
      <c r="K219" s="14">
        <f ca="1">VLOOKUP(I219,[2]属性!$A:$E,3,FALSE)</f>
        <v>0.98</v>
      </c>
      <c r="L219" s="14">
        <f ca="1">VLOOKUP(I219,[2]属性!$A:$E,4,FALSE)</f>
        <v>1</v>
      </c>
      <c r="M219" s="14">
        <f ca="1">VLOOKUP(I219,[2]属性!$A:$E,5,FALSE)</f>
        <v>1</v>
      </c>
      <c r="N219" s="14">
        <f ca="1">INDEX(コスト!$A$1:$I$20,MATCH(H219,コスト!$A$1:$A$20,FALSE),MATCH(G219,コスト!$A$1:$I$1,FALSE))</f>
        <v>18</v>
      </c>
      <c r="O219" s="14">
        <f ca="1">INDEX(レベル!$A$1:$I$21,MATCH(H219,レベル!$A$1:$A$21,FALSE),MATCH(G219,レベル!$A$1:$I$1,FALSE))</f>
        <v>60</v>
      </c>
      <c r="P219" s="63">
        <f t="shared" ca="1" si="28"/>
        <v>60</v>
      </c>
      <c r="Q219" s="77" t="str">
        <f ca="1">VLOOKUP($A219,OFFSET([2]characters!$A$1,0,0,COUNTA([2]characters!$A:$A),MATCH(Q$1,[2]characters!$1:$1,0)-MATCH($A$1,[2]characters!$1:$1,0)+1),MATCH(Q$1,[2]characters!$1:$1,0)-MATCH($A$1,[2]characters!$1:$1,0)+1,FALSE)</f>
        <v>hp</v>
      </c>
      <c r="R219" s="8" t="str">
        <f ca="1">VLOOKUP(Q219,[2]character_type_i18n!$A:$H,3,FALSE)</f>
        <v>体力タイプ</v>
      </c>
      <c r="S219" s="14">
        <f ca="1">VLOOKUP(Q219,[2]character_type_i18n!$A:$H,4,FALSE)</f>
        <v>1.45</v>
      </c>
      <c r="T219" s="14">
        <f ca="1">VLOOKUP(Q219,[2]character_type_i18n!$A:$H,5,FALSE)</f>
        <v>0.85</v>
      </c>
      <c r="U219" s="14">
        <f ca="1">VLOOKUP(Q219,[2]character_type_i18n!$A:$H,6,FALSE)</f>
        <v>1</v>
      </c>
      <c r="V219" s="14">
        <f ca="1">VLOOKUP(Q219,[2]character_type_i18n!$A:$H,7,FALSE)</f>
        <v>0.7</v>
      </c>
      <c r="W219" s="77" t="str">
        <f ca="1">VLOOKUP($A219,OFFSET([2]characters!$A$1,0,0,COUNTA([2]characters!$A:$A),MATCH(W$1,[2]characters!$1:$1,0)-MATCH($A$1,[2]characters!$1:$1,0)+1),MATCH(W$1,[2]characters!$1:$1,0)-MATCH($A$1,[2]characters!$1:$1,0)+1,FALSE)</f>
        <v>dragon</v>
      </c>
      <c r="X219" s="8" t="str">
        <f ca="1">VLOOKUP(W219,[2]character_tribe_i18n!$A:$H,3,FALSE)</f>
        <v>ドラゴン</v>
      </c>
      <c r="Y219" s="77" t="str">
        <f ca="1">VLOOKUP($A219,OFFSET([2]characters!$A$1,0,0,COUNTA([2]characters!$A:$A),MATCH(Y$1,[2]characters!$1:$1,0)-MATCH($A$1,[2]characters!$1:$1,0)+1),MATCH(Y$1,[2]characters!$1:$1,0)-MATCH($A$1,[2]characters!$1:$1,0)+1,FALSE)</f>
        <v>none</v>
      </c>
      <c r="Z219" s="8" t="str">
        <f ca="1">VLOOKUP(Y219,[2]character_tribe_i18n!$A:$H,3,FALSE)</f>
        <v>種族なし</v>
      </c>
      <c r="AA219" s="14">
        <f ca="1">VLOOKUP(W219,[2]character_tribe_i18n!$A:$H,4,FALSE)</f>
        <v>1.1499999999999999</v>
      </c>
      <c r="AB219" s="14">
        <f ca="1">VLOOKUP(W219,[2]character_tribe_i18n!$A:$H,5,FALSE)</f>
        <v>1.1000000000000001</v>
      </c>
      <c r="AC219" s="14">
        <f ca="1">VLOOKUP(W219,[2]character_tribe_i18n!$A:$H,6,FALSE)</f>
        <v>1</v>
      </c>
      <c r="AD219" s="14">
        <f ca="1">VLOOKUP(W219,[2]character_tribe_i18n!$A:$H,7,FALSE)</f>
        <v>0.75</v>
      </c>
      <c r="AE219" s="12">
        <v>219</v>
      </c>
      <c r="AF219" s="85" t="str">
        <f ca="1">IF(AE219="NULL","",VLOOKUP($AE219,OFFSET([2]characters!$A$1,0,0,COUNTA([2]characters!$A:$A),MATCH(AF$1,[2]characters!$1:$1,0)-MATCH($A$1,[2]characters!$1:$1,0)+1),MATCH(AF$1,[2]characters!$1:$1,0)-MATCH($A$1,[2]characters!$1:$1,0)+1,FALSE))</f>
        <v>覇翼の聖蛇竜 ケツァクアトル</v>
      </c>
      <c r="AG219" s="8">
        <f t="shared" ca="1" si="23"/>
        <v>217</v>
      </c>
      <c r="AH219" s="85" t="str">
        <f ca="1">VLOOKUP($AG219,OFFSET([2]characters!$A$1,0,0,COUNTA([2]characters!$A:$A),MATCH(AH$1,[2]characters!$1:$1,0)-MATCH($A$1,[2]characters!$1:$1,0)+1),MATCH(AH$1,[2]characters!$1:$1,0)-MATCH($A$1,[2]characters!$1:$1,0)+1,FALSE)</f>
        <v>ケツァクアトル</v>
      </c>
      <c r="AI219" s="14">
        <f ca="1">IF(AE219="NULL","NULL",VLOOKUP(G219,ビット!$A$2:$B$7,2))</f>
        <v>50000</v>
      </c>
      <c r="AJ219" s="9">
        <v>2</v>
      </c>
      <c r="AK219" s="10" t="str">
        <f t="shared" si="24"/>
        <v>普通</v>
      </c>
      <c r="AL219" s="14" t="str">
        <f ca="1">INDEX(経験値!$A$1:$I$20,MATCH(H219,経験値!$A$1:$A$20,FALSE),MATCH(G219,経験値!$A$1:$I$1,FALSE))</f>
        <v>required_exp_200</v>
      </c>
      <c r="AM219" s="11">
        <f ca="1">VLOOKUP(G219,経験値!$A$27:$B$31,2)</f>
        <v>3400</v>
      </c>
      <c r="AN219" s="21">
        <f ca="1">VLOOKUP(G219,ビット!$G$2:$H$7,2)</f>
        <v>600</v>
      </c>
      <c r="AO219" s="98" t="s">
        <v>178</v>
      </c>
      <c r="AP219" s="97">
        <v>323003</v>
      </c>
      <c r="AQ219" s="77" t="e">
        <f ca="1">VLOOKUP($AP219,OFFSET([1]unit_skills!$A$1,0,0,COUNTA([1]unit_skills!$A:$A),MATCH("name",[1]unit_skills!$1:$1,0)-MATCH($AP$1,[1]unit_skills!$1:$1,0)+1),MATCH("name",[1]unit_skills!$1:$1,0)-MATCH($AP$1,[1]unit_skills!$1:$1,0)+1,FALSE)</f>
        <v>#VALUE!</v>
      </c>
      <c r="AR219" s="77" t="e">
        <f ca="1">VLOOKUP($AP219,OFFSET([1]unit_skills!$A$1,0,0,COUNTA([1]unit_skills!$A:$A),MATCH("comment",[1]unit_skills!$1:$1,0)-MATCH($AP$1,[1]unit_skills!$1:$1,0)+1),MATCH("comment",[1]unit_skills!$1:$1,0)-MATCH($AP$1,[1]unit_skills!$1:$1,0)+1,FALSE)</f>
        <v>#VALUE!</v>
      </c>
      <c r="AS219" s="77" t="e">
        <f ca="1">VLOOKUP($AP219,OFFSET([1]unit_skills!$A$1,0,0,COUNTA([1]unit_skills!$A:$A),MATCH(AS$1,[1]unit_skills!$1:$1,0)-MATCH($AP$1,[1]unit_skills!$1:$1,0)+1),MATCH(AS$1,[1]unit_skills!$1:$1,0)-MATCH($AP$1,[1]unit_skills!$1:$1,0)+1,FALSE)</f>
        <v>#VALUE!</v>
      </c>
      <c r="AT219" s="97">
        <v>442003</v>
      </c>
      <c r="AU219" s="77" t="e">
        <f ca="1">VLOOKUP($AT219,OFFSET([1]crash_skills!$A$1,0,0,COUNTA([1]crash_skills!$A:$A),MATCH("name",[1]crash_skills!$1:$1,0)-MATCH($AT$1,[1]crash_skills!$1:$1,0)+1),MATCH("name",[1]crash_skills!$1:$1,0)-MATCH($AT$1,[1]crash_skills!$1:$1,0)+1,FALSE)</f>
        <v>#VALUE!</v>
      </c>
      <c r="AV219" s="77" t="e">
        <f ca="1">VLOOKUP($AT219,OFFSET([1]crash_skills!$A$1,0,0,COUNTA([1]crash_skills!$A:$A),MATCH("comment",[1]crash_skills!$1:$1,0)-MATCH($AT$1,[1]crash_skills!$1:$1,0)+1),MATCH("comment",[1]crash_skills!$1:$1,0)-MATCH($AT$1,[1]crash_skills!$1:$1,0)+1,FALSE)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19" s="77" t="e">
        <f ca="1">VLOOKUP($AT219,OFFSET([1]crash_skills!$A$1,0,0,COUNTA([1]crash_skills!$A:$A),MATCH(AW$1,[1]crash_skills!$1:$1,0)-MATCH($AT$1,[1]crash_skills!$1:$1,0)+1),MATCH(AW$1,[1]crash_skills!$1:$1,0)-MATCH($AT$1,[1]crash_skills!$1:$1,0)+1,FALSE)</f>
        <v>#VALUE!</v>
      </c>
      <c r="AX219" s="81">
        <f ca="1">VLOOKUP($A219,OFFSET([2]characters!$A$1,0,0,COUNTA([2]characters!$A:$A),MATCH(AX$1,[2]characters!$1:$1,0)-MATCH($A$1,[2]characters!$1:$1,0)+1),MATCH(AX$1,[2]characters!$1:$1,0)-MATCH($A$1,[2]characters!$1:$1,0)+1,FALSE)</f>
        <v>3</v>
      </c>
      <c r="AY219" s="19">
        <v>1</v>
      </c>
      <c r="AZ219" s="19">
        <v>1</v>
      </c>
      <c r="BA219" s="19">
        <v>0</v>
      </c>
      <c r="BB219" s="19">
        <v>1</v>
      </c>
      <c r="BC219" s="14">
        <f ca="1">INDEX('RC6SV'!$A$1:$G$20,MATCH(H219,'RC6SV'!$A$1:$A$20,FALSE),MATCH(G219,'RC6SV'!$A$1:$G$1,FALSE))</f>
        <v>6700</v>
      </c>
      <c r="BD219" s="63">
        <f t="shared" ca="1" si="25"/>
        <v>6700</v>
      </c>
      <c r="BE219" s="14">
        <f t="shared" ca="1" si="26"/>
        <v>4900</v>
      </c>
      <c r="BF219" s="14">
        <f t="shared" ca="1" si="27"/>
        <v>1</v>
      </c>
      <c r="BG219" s="20">
        <f ca="1">IF($BE219&lt;=0,ROUND(BK219*0.5,0), ROUND($BE219*S219*AA219*J219*AY219*0.8*[2]ステータス!$B$2,0))</f>
        <v>3334</v>
      </c>
      <c r="BH219" s="20">
        <f ca="1">IF($BE219&lt;=0,ROUND(BL219*0.5,0), ROUND($BE219*T219*AB219*K219*AZ219*0.8*[2]ステータス!$C$2,0))</f>
        <v>1078</v>
      </c>
      <c r="BI219" s="20">
        <f ca="1">IF($BE219&lt;=0,ROUND(BM219*0.5,0), ROUND($BE219*U219*AC219*L219*BA219*0.8*[2]ステータス!$D$2,0))</f>
        <v>0</v>
      </c>
      <c r="BJ219" s="20">
        <f ca="1">IF($BE219&lt;=0,ROUND(BN219*0.5,0), ROUND($BE219*V219*AD219*M219*BB219*0.8*[2]ステータス!$E$2,0))</f>
        <v>515</v>
      </c>
      <c r="BK219" s="14">
        <f ca="1">ROUND(BD219*S219*AA219*J219*AY219*[2]ステータス!$B$2,0)</f>
        <v>5698</v>
      </c>
      <c r="BL219" s="14">
        <f ca="1">ROUND(BD219*T219*AB219*K219*AZ219*[2]ステータス!$C$2,0)</f>
        <v>1842</v>
      </c>
      <c r="BM219" s="14">
        <f ca="1">ROUND(BD219*U219*AC219*L219*BA219*[2]ステータス!$D$2,0)</f>
        <v>0</v>
      </c>
      <c r="BN219" s="14">
        <f ca="1">ROUND(BD219*V219*AD219*M219*BB219*[2]ステータス!$E$2,0)</f>
        <v>879</v>
      </c>
      <c r="BO219" s="13">
        <v>0</v>
      </c>
      <c r="BP219" s="13">
        <v>1</v>
      </c>
      <c r="BQ219" s="13" t="s">
        <v>102</v>
      </c>
      <c r="BR219" s="13">
        <f ca="1">VLOOKUP(H219,ghosts_label!$A$2:$B$19,2,FALSE)</f>
        <v>600</v>
      </c>
    </row>
    <row r="220" spans="1:70" ht="21" customHeight="1" x14ac:dyDescent="0.15">
      <c r="A220" s="14">
        <f t="shared" ca="1" si="22"/>
        <v>219</v>
      </c>
      <c r="B220" s="77" t="str">
        <f ca="1">VLOOKUP($A220,OFFSET([2]characters!$A$1,0,0,COUNTA([2]characters!$A:$A),MATCH(B$1,[2]characters!$1:$1,0)-MATCH($A$1,[2]characters!$1:$1,0)+1),MATCH(B$1,[2]characters!$1:$1,0)-MATCH($A$1,[2]characters!$1:$1,0)+1,FALSE)</f>
        <v>覇翼の聖蛇竜 ケツァクアトル</v>
      </c>
      <c r="C220" s="77" t="str">
        <f ca="1">VLOOKUP($A220,OFFSET([2]characters!$A$1,0,0,COUNTA([2]characters!$A:$A),MATCH(C$1,[2]characters!$1:$1,0)-MATCH($A$1,[2]characters!$1:$1,0)+1),MATCH(C$1,[2]characters!$1:$1,0)-MATCH($A$1,[2]characters!$1:$1,0)+1,FALSE)</f>
        <v>初期ガチャ</v>
      </c>
      <c r="D220" s="77" t="str">
        <f ca="1">VLOOKUP($A220,OFFSET([2]characters!$A$1,0,0,COUNTA([2]characters!$A:$A),MATCH(D$1,[2]characters!$1:$1,0)-MATCH($A$1,[2]characters!$1:$1,0)+1),MATCH(D$1,[2]characters!$1:$1,0)-MATCH($A$1,[2]characters!$1:$1,0)+1,FALSE)</f>
        <v>破界者</v>
      </c>
      <c r="E220" s="77" t="str">
        <f ca="1">VLOOKUP($A220,OFFSET([2]characters!$A$1,0,0,COUNTA([2]characters!$A:$A),MATCH(E$1,[2]characters!$1:$1,0)-MATCH($A$1,[2]characters!$1:$1,0)+1),MATCH(E$1,[2]characters!$1:$1,0)-MATCH($A$1,[2]characters!$1:$1,0)+1,FALSE)</f>
        <v>美しい</v>
      </c>
      <c r="F220" s="77" t="str">
        <f ca="1">VLOOKUP($A220,OFFSET([2]characters!$A$1,0,0,COUNTA([2]characters!$A:$A),MATCH(F$1,[2]characters!$1:$1,0)-MATCH($A$1,[2]characters!$1:$1,0)+1),MATCH(F$1,[2]characters!$1:$1,0)-MATCH($A$1,[2]characters!$1:$1,0)+1,FALSE)</f>
        <v>女性</v>
      </c>
      <c r="G220" s="77">
        <f ca="1">VLOOKUP($A220,OFFSET([2]characters!$A$1,0,0,COUNTA([2]characters!$A:$A),MATCH(G$1,[2]characters!$1:$1,0)-MATCH($A$1,[2]characters!$1:$1,0)+1),MATCH(G$1,[2]characters!$1:$1,0)-MATCH($A$1,[2]characters!$1:$1,0)+1,FALSE)</f>
        <v>5</v>
      </c>
      <c r="H220" s="77" t="str">
        <f ca="1">VLOOKUP($A220,OFFSET([2]characters!$A$1,0,0,COUNTA([2]characters!$A:$A),MATCH(H$1,[2]characters!$1:$1,0)-MATCH($A$1,[2]characters!$1:$1,0)+1),MATCH(H$1,[2]characters!$1:$1,0)-MATCH($A$1,[2]characters!$1:$1,0)+1,FALSE)</f>
        <v>PremiumN</v>
      </c>
      <c r="I220" s="77" t="str">
        <f ca="1">VLOOKUP($A220,OFFSET([2]characters!$A$1,0,0,COUNTA([2]characters!$A:$A),MATCH(I$1,[2]characters!$1:$1,0)-MATCH($A$1,[2]characters!$1:$1,0)+1),MATCH(I$1,[2]characters!$1:$1,0)-MATCH($A$1,[2]characters!$1:$1,0)+1,FALSE)</f>
        <v>green</v>
      </c>
      <c r="J220" s="14">
        <f ca="1">VLOOKUP(I220,[2]属性!$A:$E,2,FALSE)</f>
        <v>1.02</v>
      </c>
      <c r="K220" s="14">
        <f ca="1">VLOOKUP(I220,[2]属性!$A:$E,3,FALSE)</f>
        <v>0.98</v>
      </c>
      <c r="L220" s="14">
        <f ca="1">VLOOKUP(I220,[2]属性!$A:$E,4,FALSE)</f>
        <v>1</v>
      </c>
      <c r="M220" s="14">
        <f ca="1">VLOOKUP(I220,[2]属性!$A:$E,5,FALSE)</f>
        <v>1</v>
      </c>
      <c r="N220" s="14">
        <f ca="1">INDEX(コスト!$A$1:$I$20,MATCH(H220,コスト!$A$1:$A$20,FALSE),MATCH(G220,コスト!$A$1:$I$1,FALSE))</f>
        <v>28</v>
      </c>
      <c r="O220" s="14">
        <f ca="1">INDEX(レベル!$A$1:$I$21,MATCH(H220,レベル!$A$1:$A$21,FALSE),MATCH(G220,レベル!$A$1:$I$1,FALSE))</f>
        <v>80</v>
      </c>
      <c r="P220" s="63">
        <f t="shared" ca="1" si="28"/>
        <v>75</v>
      </c>
      <c r="Q220" s="77" t="str">
        <f ca="1">VLOOKUP($A220,OFFSET([2]characters!$A$1,0,0,COUNTA([2]characters!$A:$A),MATCH(Q$1,[2]characters!$1:$1,0)-MATCH($A$1,[2]characters!$1:$1,0)+1),MATCH(Q$1,[2]characters!$1:$1,0)-MATCH($A$1,[2]characters!$1:$1,0)+1,FALSE)</f>
        <v>hp</v>
      </c>
      <c r="R220" s="8" t="str">
        <f ca="1">VLOOKUP(Q220,[2]character_type_i18n!$A:$H,3,FALSE)</f>
        <v>体力タイプ</v>
      </c>
      <c r="S220" s="14">
        <f ca="1">VLOOKUP(Q220,[2]character_type_i18n!$A:$H,4,FALSE)</f>
        <v>1.45</v>
      </c>
      <c r="T220" s="14">
        <f ca="1">VLOOKUP(Q220,[2]character_type_i18n!$A:$H,5,FALSE)</f>
        <v>0.85</v>
      </c>
      <c r="U220" s="14">
        <f ca="1">VLOOKUP(Q220,[2]character_type_i18n!$A:$H,6,FALSE)</f>
        <v>1</v>
      </c>
      <c r="V220" s="14">
        <f ca="1">VLOOKUP(Q220,[2]character_type_i18n!$A:$H,7,FALSE)</f>
        <v>0.7</v>
      </c>
      <c r="W220" s="77" t="str">
        <f ca="1">VLOOKUP($A220,OFFSET([2]characters!$A$1,0,0,COUNTA([2]characters!$A:$A),MATCH(W$1,[2]characters!$1:$1,0)-MATCH($A$1,[2]characters!$1:$1,0)+1),MATCH(W$1,[2]characters!$1:$1,0)-MATCH($A$1,[2]characters!$1:$1,0)+1,FALSE)</f>
        <v>dragon</v>
      </c>
      <c r="X220" s="8" t="str">
        <f ca="1">VLOOKUP(W220,[2]character_tribe_i18n!$A:$H,3,FALSE)</f>
        <v>ドラゴン</v>
      </c>
      <c r="Y220" s="77" t="str">
        <f ca="1">VLOOKUP($A220,OFFSET([2]characters!$A$1,0,0,COUNTA([2]characters!$A:$A),MATCH(Y$1,[2]characters!$1:$1,0)-MATCH($A$1,[2]characters!$1:$1,0)+1),MATCH(Y$1,[2]characters!$1:$1,0)-MATCH($A$1,[2]characters!$1:$1,0)+1,FALSE)</f>
        <v>none</v>
      </c>
      <c r="Z220" s="8" t="str">
        <f ca="1">VLOOKUP(Y220,[2]character_tribe_i18n!$A:$H,3,FALSE)</f>
        <v>種族なし</v>
      </c>
      <c r="AA220" s="14">
        <f ca="1">VLOOKUP(W220,[2]character_tribe_i18n!$A:$H,4,FALSE)</f>
        <v>1.1499999999999999</v>
      </c>
      <c r="AB220" s="14">
        <f ca="1">VLOOKUP(W220,[2]character_tribe_i18n!$A:$H,5,FALSE)</f>
        <v>1.1000000000000001</v>
      </c>
      <c r="AC220" s="14">
        <f ca="1">VLOOKUP(W220,[2]character_tribe_i18n!$A:$H,6,FALSE)</f>
        <v>1</v>
      </c>
      <c r="AD220" s="14">
        <f ca="1">VLOOKUP(W220,[2]character_tribe_i18n!$A:$H,7,FALSE)</f>
        <v>0.75</v>
      </c>
      <c r="AE220" s="12" t="s">
        <v>102</v>
      </c>
      <c r="AF220" s="85" t="str">
        <f ca="1">IF(AE220="NULL","",VLOOKUP($AE220,OFFSET([2]characters!$A$1,0,0,COUNTA([2]characters!$A:$A),MATCH(AF$1,[2]characters!$1:$1,0)-MATCH($A$1,[2]characters!$1:$1,0)+1),MATCH(AF$1,[2]characters!$1:$1,0)-MATCH($A$1,[2]characters!$1:$1,0)+1,FALSE))</f>
        <v/>
      </c>
      <c r="AG220" s="8">
        <f t="shared" ca="1" si="23"/>
        <v>217</v>
      </c>
      <c r="AH220" s="85" t="str">
        <f ca="1">VLOOKUP($AG220,OFFSET([2]characters!$A$1,0,0,COUNTA([2]characters!$A:$A),MATCH(AH$1,[2]characters!$1:$1,0)-MATCH($A$1,[2]characters!$1:$1,0)+1),MATCH(AH$1,[2]characters!$1:$1,0)-MATCH($A$1,[2]characters!$1:$1,0)+1,FALSE)</f>
        <v>ケツァクアトル</v>
      </c>
      <c r="AI220" s="14" t="str">
        <f>IF(AE220="NULL","NULL",VLOOKUP(G220,ビット!$A$2:$B$7,2))</f>
        <v>NULL</v>
      </c>
      <c r="AJ220" s="9">
        <v>2</v>
      </c>
      <c r="AK220" s="10" t="str">
        <f t="shared" si="24"/>
        <v>普通</v>
      </c>
      <c r="AL220" s="14" t="str">
        <f ca="1">INDEX(経験値!$A$1:$I$20,MATCH(H220,経験値!$A$1:$A$20,FALSE),MATCH(G220,経験値!$A$1:$I$1,FALSE))</f>
        <v>required_exp_200</v>
      </c>
      <c r="AM220" s="11">
        <f ca="1">VLOOKUP(G220,経験値!$A$27:$B$31,2)</f>
        <v>6400</v>
      </c>
      <c r="AN220" s="21">
        <f ca="1">VLOOKUP(G220,ビット!$G$2:$H$7,2)</f>
        <v>900</v>
      </c>
      <c r="AO220" s="98" t="s">
        <v>178</v>
      </c>
      <c r="AP220" s="97">
        <v>323004</v>
      </c>
      <c r="AQ220" s="77" t="e">
        <f ca="1">VLOOKUP($AP220,OFFSET([1]unit_skills!$A$1,0,0,COUNTA([1]unit_skills!$A:$A),MATCH("name",[1]unit_skills!$1:$1,0)-MATCH($AP$1,[1]unit_skills!$1:$1,0)+1),MATCH("name",[1]unit_skills!$1:$1,0)-MATCH($AP$1,[1]unit_skills!$1:$1,0)+1,FALSE)</f>
        <v>#VALUE!</v>
      </c>
      <c r="AR220" s="77" t="e">
        <f ca="1">VLOOKUP($AP220,OFFSET([1]unit_skills!$A$1,0,0,COUNTA([1]unit_skills!$A:$A),MATCH("comment",[1]unit_skills!$1:$1,0)-MATCH($AP$1,[1]unit_skills!$1:$1,0)+1),MATCH("comment",[1]unit_skills!$1:$1,0)-MATCH($AP$1,[1]unit_skills!$1:$1,0)+1,FALSE)</f>
        <v>#VALUE!</v>
      </c>
      <c r="AS220" s="77" t="e">
        <f ca="1">VLOOKUP($AP220,OFFSET([1]unit_skills!$A$1,0,0,COUNTA([1]unit_skills!$A:$A),MATCH(AS$1,[1]unit_skills!$1:$1,0)-MATCH($AP$1,[1]unit_skills!$1:$1,0)+1),MATCH(AS$1,[1]unit_skills!$1:$1,0)-MATCH($AP$1,[1]unit_skills!$1:$1,0)+1,FALSE)</f>
        <v>#VALUE!</v>
      </c>
      <c r="AT220" s="97">
        <v>442004</v>
      </c>
      <c r="AU220" s="77" t="e">
        <f ca="1">VLOOKUP($AT220,OFFSET([1]crash_skills!$A$1,0,0,COUNTA([1]crash_skills!$A:$A),MATCH("name",[1]crash_skills!$1:$1,0)-MATCH($AT$1,[1]crash_skills!$1:$1,0)+1),MATCH("name",[1]crash_skills!$1:$1,0)-MATCH($AT$1,[1]crash_skills!$1:$1,0)+1,FALSE)</f>
        <v>#VALUE!</v>
      </c>
      <c r="AV220" s="77" t="e">
        <f ca="1">VLOOKUP($AT220,OFFSET([1]crash_skills!$A$1,0,0,COUNTA([1]crash_skills!$A:$A),MATCH("comment",[1]crash_skills!$1:$1,0)-MATCH($AT$1,[1]crash_skills!$1:$1,0)+1),MATCH("comment",[1]crash_skills!$1:$1,0)-MATCH($AT$1,[1]crash_skills!$1:$1,0)+1,FALSE)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20" s="77" t="e">
        <f ca="1">VLOOKUP($AT220,OFFSET([1]crash_skills!$A$1,0,0,COUNTA([1]crash_skills!$A:$A),MATCH(AW$1,[1]crash_skills!$1:$1,0)-MATCH($AT$1,[1]crash_skills!$1:$1,0)+1),MATCH(AW$1,[1]crash_skills!$1:$1,0)-MATCH($AT$1,[1]crash_skills!$1:$1,0)+1,FALSE)</f>
        <v>#VALUE!</v>
      </c>
      <c r="AX220" s="81">
        <f ca="1">VLOOKUP($A220,OFFSET([2]characters!$A$1,0,0,COUNTA([2]characters!$A:$A),MATCH(AX$1,[2]characters!$1:$1,0)-MATCH($A$1,[2]characters!$1:$1,0)+1),MATCH(AX$1,[2]characters!$1:$1,0)-MATCH($A$1,[2]characters!$1:$1,0)+1,FALSE)</f>
        <v>3</v>
      </c>
      <c r="AY220" s="19">
        <v>1</v>
      </c>
      <c r="AZ220" s="19">
        <v>1</v>
      </c>
      <c r="BA220" s="19">
        <v>0</v>
      </c>
      <c r="BB220" s="19">
        <v>1</v>
      </c>
      <c r="BC220" s="14">
        <f ca="1">INDEX('RC6SV'!$A$1:$G$20,MATCH(H220,'RC6SV'!$A$1:$A$20,FALSE),MATCH(G220,'RC6SV'!$A$1:$G$1,FALSE))</f>
        <v>8500</v>
      </c>
      <c r="BD220" s="63">
        <f t="shared" ca="1" si="25"/>
        <v>8500</v>
      </c>
      <c r="BE220" s="14">
        <f t="shared" ca="1" si="26"/>
        <v>6700</v>
      </c>
      <c r="BF220" s="14">
        <f t="shared" ca="1" si="27"/>
        <v>1</v>
      </c>
      <c r="BG220" s="20">
        <f ca="1">IF($BE220&lt;=0,ROUND(BK220*0.5,0), ROUND($BE220*S220*AA220*J220*AY220*0.8*[2]ステータス!$B$2,0))</f>
        <v>4558</v>
      </c>
      <c r="BH220" s="20">
        <f ca="1">IF($BE220&lt;=0,ROUND(BL220*0.5,0), ROUND($BE220*T220*AB220*K220*AZ220*0.8*[2]ステータス!$C$2,0))</f>
        <v>1473</v>
      </c>
      <c r="BI220" s="20">
        <f ca="1">IF($BE220&lt;=0,ROUND(BM220*0.5,0), ROUND($BE220*U220*AC220*L220*BA220*0.8*[2]ステータス!$D$2,0))</f>
        <v>0</v>
      </c>
      <c r="BJ220" s="20">
        <f ca="1">IF($BE220&lt;=0,ROUND(BN220*0.5,0), ROUND($BE220*V220*AD220*M220*BB220*0.8*[2]ステータス!$E$2,0))</f>
        <v>704</v>
      </c>
      <c r="BK220" s="14">
        <f ca="1">ROUND(BD220*S220*AA220*J220*AY220*[2]ステータス!$B$2,0)</f>
        <v>7229</v>
      </c>
      <c r="BL220" s="14">
        <f ca="1">ROUND(BD220*T220*AB220*K220*AZ220*[2]ステータス!$C$2,0)</f>
        <v>2337</v>
      </c>
      <c r="BM220" s="14">
        <f ca="1">ROUND(BD220*U220*AC220*L220*BA220*[2]ステータス!$D$2,0)</f>
        <v>0</v>
      </c>
      <c r="BN220" s="14">
        <f ca="1">ROUND(BD220*V220*AD220*M220*BB220*[2]ステータス!$E$2,0)</f>
        <v>1116</v>
      </c>
      <c r="BO220" s="13">
        <v>0</v>
      </c>
      <c r="BP220" s="13">
        <v>1</v>
      </c>
      <c r="BQ220" s="13" t="s">
        <v>102</v>
      </c>
      <c r="BR220" s="13">
        <f ca="1">VLOOKUP(H220,ghosts_label!$A$2:$B$19,2,FALSE)</f>
        <v>600</v>
      </c>
    </row>
    <row r="221" spans="1:70" ht="21" customHeight="1" x14ac:dyDescent="0.15">
      <c r="A221" s="14">
        <f t="shared" ca="1" si="22"/>
        <v>220</v>
      </c>
      <c r="B221" s="77" t="str">
        <f ca="1">VLOOKUP($A221,OFFSET([2]characters!$A$1,0,0,COUNTA([2]characters!$A:$A),MATCH(B$1,[2]characters!$1:$1,0)-MATCH($A$1,[2]characters!$1:$1,0)+1),MATCH(B$1,[2]characters!$1:$1,0)-MATCH($A$1,[2]characters!$1:$1,0)+1,FALSE)</f>
        <v>ルキフグス</v>
      </c>
      <c r="C221" s="77" t="str">
        <f ca="1">VLOOKUP($A221,OFFSET([2]characters!$A$1,0,0,COUNTA([2]characters!$A:$A),MATCH(C$1,[2]characters!$1:$1,0)-MATCH($A$1,[2]characters!$1:$1,0)+1),MATCH(C$1,[2]characters!$1:$1,0)-MATCH($A$1,[2]characters!$1:$1,0)+1,FALSE)</f>
        <v>初期ガチャ</v>
      </c>
      <c r="D221" s="77" t="str">
        <f ca="1">VLOOKUP($A221,OFFSET([2]characters!$A$1,0,0,COUNTA([2]characters!$A:$A),MATCH(D$1,[2]characters!$1:$1,0)-MATCH($A$1,[2]characters!$1:$1,0)+1),MATCH(D$1,[2]characters!$1:$1,0)-MATCH($A$1,[2]characters!$1:$1,0)+1,FALSE)</f>
        <v>執行者</v>
      </c>
      <c r="E221" s="77" t="str">
        <f ca="1">VLOOKUP($A221,OFFSET([2]characters!$A$1,0,0,COUNTA([2]characters!$A:$A),MATCH(E$1,[2]characters!$1:$1,0)-MATCH($A$1,[2]characters!$1:$1,0)+1),MATCH(E$1,[2]characters!$1:$1,0)-MATCH($A$1,[2]characters!$1:$1,0)+1,FALSE)</f>
        <v>美しい</v>
      </c>
      <c r="F221" s="77" t="str">
        <f ca="1">VLOOKUP($A221,OFFSET([2]characters!$A$1,0,0,COUNTA([2]characters!$A:$A),MATCH(F$1,[2]characters!$1:$1,0)-MATCH($A$1,[2]characters!$1:$1,0)+1),MATCH(F$1,[2]characters!$1:$1,0)-MATCH($A$1,[2]characters!$1:$1,0)+1,FALSE)</f>
        <v>女性</v>
      </c>
      <c r="G221" s="77">
        <f ca="1">VLOOKUP($A221,OFFSET([2]characters!$A$1,0,0,COUNTA([2]characters!$A:$A),MATCH(G$1,[2]characters!$1:$1,0)-MATCH($A$1,[2]characters!$1:$1,0)+1),MATCH(G$1,[2]characters!$1:$1,0)-MATCH($A$1,[2]characters!$1:$1,0)+1,FALSE)</f>
        <v>3</v>
      </c>
      <c r="H221" s="77" t="str">
        <f ca="1">VLOOKUP($A221,OFFSET([2]characters!$A$1,0,0,COUNTA([2]characters!$A:$A),MATCH(H$1,[2]characters!$1:$1,0)-MATCH($A$1,[2]characters!$1:$1,0)+1),MATCH(H$1,[2]characters!$1:$1,0)-MATCH($A$1,[2]characters!$1:$1,0)+1,FALSE)</f>
        <v>PremiumN</v>
      </c>
      <c r="I221" s="77" t="str">
        <f ca="1">VLOOKUP($A221,OFFSET([2]characters!$A$1,0,0,COUNTA([2]characters!$A:$A),MATCH(I$1,[2]characters!$1:$1,0)-MATCH($A$1,[2]characters!$1:$1,0)+1),MATCH(I$1,[2]characters!$1:$1,0)-MATCH($A$1,[2]characters!$1:$1,0)+1,FALSE)</f>
        <v>blue</v>
      </c>
      <c r="J221" s="14">
        <f ca="1">VLOOKUP(I221,[2]属性!$A:$E,2,FALSE)</f>
        <v>1</v>
      </c>
      <c r="K221" s="14">
        <f ca="1">VLOOKUP(I221,[2]属性!$A:$E,3,FALSE)</f>
        <v>0.98</v>
      </c>
      <c r="L221" s="14">
        <f ca="1">VLOOKUP(I221,[2]属性!$A:$E,4,FALSE)</f>
        <v>1</v>
      </c>
      <c r="M221" s="14">
        <f ca="1">VLOOKUP(I221,[2]属性!$A:$E,5,FALSE)</f>
        <v>1.02</v>
      </c>
      <c r="N221" s="14">
        <f ca="1">INDEX(コスト!$A$1:$I$20,MATCH(H221,コスト!$A$1:$A$20,FALSE),MATCH(G221,コスト!$A$1:$I$1,FALSE))</f>
        <v>9</v>
      </c>
      <c r="O221" s="14">
        <f ca="1">INDEX(レベル!$A$1:$I$21,MATCH(H221,レベル!$A$1:$A$21,FALSE),MATCH(G221,レベル!$A$1:$I$1,FALSE))</f>
        <v>40</v>
      </c>
      <c r="P221" s="63">
        <f t="shared" ca="1" si="28"/>
        <v>45</v>
      </c>
      <c r="Q221" s="77" t="str">
        <f ca="1">VLOOKUP($A221,OFFSET([2]characters!$A$1,0,0,COUNTA([2]characters!$A:$A),MATCH(Q$1,[2]characters!$1:$1,0)-MATCH($A$1,[2]characters!$1:$1,0)+1),MATCH(Q$1,[2]characters!$1:$1,0)-MATCH($A$1,[2]characters!$1:$1,0)+1,FALSE)</f>
        <v>balance</v>
      </c>
      <c r="R221" s="8" t="str">
        <f ca="1">VLOOKUP(Q221,[2]character_type_i18n!$A:$H,3,FALSE)</f>
        <v>バランスタイプ</v>
      </c>
      <c r="S221" s="14">
        <f ca="1">VLOOKUP(Q221,[2]character_type_i18n!$A:$H,4,FALSE)</f>
        <v>1</v>
      </c>
      <c r="T221" s="14">
        <f ca="1">VLOOKUP(Q221,[2]character_type_i18n!$A:$H,5,FALSE)</f>
        <v>1</v>
      </c>
      <c r="U221" s="14">
        <f ca="1">VLOOKUP(Q221,[2]character_type_i18n!$A:$H,6,FALSE)</f>
        <v>1</v>
      </c>
      <c r="V221" s="14">
        <f ca="1">VLOOKUP(Q221,[2]character_type_i18n!$A:$H,7,FALSE)</f>
        <v>1</v>
      </c>
      <c r="W221" s="77" t="str">
        <f ca="1">VLOOKUP($A221,OFFSET([2]characters!$A$1,0,0,COUNTA([2]characters!$A:$A),MATCH(W$1,[2]characters!$1:$1,0)-MATCH($A$1,[2]characters!$1:$1,0)+1),MATCH(W$1,[2]characters!$1:$1,0)-MATCH($A$1,[2]characters!$1:$1,0)+1,FALSE)</f>
        <v>god</v>
      </c>
      <c r="X221" s="8" t="str">
        <f ca="1">VLOOKUP(W221,[2]character_tribe_i18n!$A:$H,3,FALSE)</f>
        <v>ゴッド</v>
      </c>
      <c r="Y221" s="77" t="str">
        <f ca="1">VLOOKUP($A221,OFFSET([2]characters!$A$1,0,0,COUNTA([2]characters!$A:$A),MATCH(Y$1,[2]characters!$1:$1,0)-MATCH($A$1,[2]characters!$1:$1,0)+1),MATCH(Y$1,[2]characters!$1:$1,0)-MATCH($A$1,[2]characters!$1:$1,0)+1,FALSE)</f>
        <v>none</v>
      </c>
      <c r="Z221" s="8" t="str">
        <f ca="1">VLOOKUP(Y221,[2]character_tribe_i18n!$A:$H,3,FALSE)</f>
        <v>種族なし</v>
      </c>
      <c r="AA221" s="14">
        <f ca="1">VLOOKUP(W221,[2]character_tribe_i18n!$A:$H,4,FALSE)</f>
        <v>0.96</v>
      </c>
      <c r="AB221" s="14">
        <f ca="1">VLOOKUP(W221,[2]character_tribe_i18n!$A:$H,5,FALSE)</f>
        <v>1.02</v>
      </c>
      <c r="AC221" s="14">
        <f ca="1">VLOOKUP(W221,[2]character_tribe_i18n!$A:$H,6,FALSE)</f>
        <v>1</v>
      </c>
      <c r="AD221" s="14">
        <f ca="1">VLOOKUP(W221,[2]character_tribe_i18n!$A:$H,7,FALSE)</f>
        <v>1.02</v>
      </c>
      <c r="AE221" s="12">
        <v>221</v>
      </c>
      <c r="AF221" s="85" t="str">
        <f ca="1">IF(AE221="NULL","",VLOOKUP($AE221,OFFSET([2]characters!$A$1,0,0,COUNTA([2]characters!$A:$A),MATCH(AF$1,[2]characters!$1:$1,0)-MATCH($A$1,[2]characters!$1:$1,0)+1),MATCH(AF$1,[2]characters!$1:$1,0)-MATCH($A$1,[2]characters!$1:$1,0)+1,FALSE))</f>
        <v>宰相 ルキフグス</v>
      </c>
      <c r="AG221" s="8">
        <f t="shared" ca="1" si="23"/>
        <v>220</v>
      </c>
      <c r="AH221" s="85" t="str">
        <f ca="1">VLOOKUP($AG221,OFFSET([2]characters!$A$1,0,0,COUNTA([2]characters!$A:$A),MATCH(AH$1,[2]characters!$1:$1,0)-MATCH($A$1,[2]characters!$1:$1,0)+1),MATCH(AH$1,[2]characters!$1:$1,0)-MATCH($A$1,[2]characters!$1:$1,0)+1,FALSE)</f>
        <v>ルキフグス</v>
      </c>
      <c r="AI221" s="14">
        <f ca="1">IF(AE221="NULL","NULL",VLOOKUP(G221,ビット!$A$2:$B$7,2))</f>
        <v>20000</v>
      </c>
      <c r="AJ221" s="9">
        <v>2</v>
      </c>
      <c r="AK221" s="10" t="str">
        <f t="shared" si="24"/>
        <v>普通</v>
      </c>
      <c r="AL221" s="14" t="str">
        <f ca="1">INDEX(経験値!$A$1:$I$20,MATCH(H221,経験値!$A$1:$A$20,FALSE),MATCH(G221,経験値!$A$1:$I$1,FALSE))</f>
        <v>required_exp_200</v>
      </c>
      <c r="AM221" s="11">
        <f ca="1">VLOOKUP(G221,経験値!$A$27:$B$31,2)</f>
        <v>1500</v>
      </c>
      <c r="AN221" s="21">
        <f ca="1">VLOOKUP(G221,ビット!$G$2:$H$7,2)</f>
        <v>300</v>
      </c>
      <c r="AO221" s="99" t="s">
        <v>184</v>
      </c>
      <c r="AP221" s="97">
        <v>633001</v>
      </c>
      <c r="AQ221" s="77" t="e">
        <f ca="1">VLOOKUP($AP221,OFFSET([1]unit_skills!$A$1,0,0,COUNTA([1]unit_skills!$A:$A),MATCH("name",[1]unit_skills!$1:$1,0)-MATCH($AP$1,[1]unit_skills!$1:$1,0)+1),MATCH("name",[1]unit_skills!$1:$1,0)-MATCH($AP$1,[1]unit_skills!$1:$1,0)+1,FALSE)</f>
        <v>#VALUE!</v>
      </c>
      <c r="AR221" s="77" t="e">
        <f ca="1">VLOOKUP($AP221,OFFSET([1]unit_skills!$A$1,0,0,COUNTA([1]unit_skills!$A:$A),MATCH("comment",[1]unit_skills!$1:$1,0)-MATCH($AP$1,[1]unit_skills!$1:$1,0)+1),MATCH("comment",[1]unit_skills!$1:$1,0)-MATCH($AP$1,[1]unit_skills!$1:$1,0)+1,FALSE)</f>
        <v>#VALUE!</v>
      </c>
      <c r="AS221" s="77" t="e">
        <f ca="1">VLOOKUP($AP221,OFFSET([1]unit_skills!$A$1,0,0,COUNTA([1]unit_skills!$A:$A),MATCH(AS$1,[1]unit_skills!$1:$1,0)-MATCH($AP$1,[1]unit_skills!$1:$1,0)+1),MATCH(AS$1,[1]unit_skills!$1:$1,0)-MATCH($AP$1,[1]unit_skills!$1:$1,0)+1,FALSE)</f>
        <v>#VALUE!</v>
      </c>
      <c r="AT221" s="97">
        <v>153002</v>
      </c>
      <c r="AU221" s="77" t="e">
        <f ca="1">VLOOKUP($AT221,OFFSET([1]crash_skills!$A$1,0,0,COUNTA([1]crash_skills!$A:$A),MATCH("name",[1]crash_skills!$1:$1,0)-MATCH($AT$1,[1]crash_skills!$1:$1,0)+1),MATCH("name",[1]crash_skills!$1:$1,0)-MATCH($AT$1,[1]crash_skills!$1:$1,0)+1,FALSE)</f>
        <v>#VALUE!</v>
      </c>
      <c r="AV221" s="77" t="e">
        <f ca="1">VLOOKUP($AT221,OFFSET([1]crash_skills!$A$1,0,0,COUNTA([1]crash_skills!$A:$A),MATCH("comment",[1]crash_skills!$1:$1,0)-MATCH($AT$1,[1]crash_skills!$1:$1,0)+1),MATCH("comment",[1]crash_skills!$1:$1,0)-MATCH($AT$1,[1]crash_skills!$1:$1,0)+1,FALSE)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21" s="77" t="e">
        <f ca="1">VLOOKUP($AT221,OFFSET([1]crash_skills!$A$1,0,0,COUNTA([1]crash_skills!$A:$A),MATCH(AW$1,[1]crash_skills!$1:$1,0)-MATCH($AT$1,[1]crash_skills!$1:$1,0)+1),MATCH(AW$1,[1]crash_skills!$1:$1,0)-MATCH($AT$1,[1]crash_skills!$1:$1,0)+1,FALSE)</f>
        <v>#VALUE!</v>
      </c>
      <c r="AX221" s="81">
        <f ca="1">VLOOKUP($A221,OFFSET([2]characters!$A$1,0,0,COUNTA([2]characters!$A:$A),MATCH(AX$1,[2]characters!$1:$1,0)-MATCH($A$1,[2]characters!$1:$1,0)+1),MATCH(AX$1,[2]characters!$1:$1,0)-MATCH($A$1,[2]characters!$1:$1,0)+1,FALSE)</f>
        <v>3</v>
      </c>
      <c r="AY221" s="19">
        <v>1</v>
      </c>
      <c r="AZ221" s="19">
        <v>1</v>
      </c>
      <c r="BA221" s="19">
        <v>0</v>
      </c>
      <c r="BB221" s="19">
        <v>1</v>
      </c>
      <c r="BC221" s="14">
        <f ca="1">INDEX('RC6SV'!$A$1:$G$20,MATCH(H221,'RC6SV'!$A$1:$A$20,FALSE),MATCH(G221,'RC6SV'!$A$1:$G$1,FALSE))</f>
        <v>4900</v>
      </c>
      <c r="BD221" s="63">
        <f t="shared" ca="1" si="25"/>
        <v>4900</v>
      </c>
      <c r="BE221" s="14">
        <f t="shared" ca="1" si="26"/>
        <v>0</v>
      </c>
      <c r="BF221" s="14">
        <f t="shared" ca="1" si="27"/>
        <v>1</v>
      </c>
      <c r="BG221" s="20">
        <f ca="1">IF($BE221&lt;=0,ROUND(BK221*0.5,0), ROUND($BE221*S221*AA221*J221*AY221*0.8*[2]ステータス!$B$2,0))</f>
        <v>1176</v>
      </c>
      <c r="BH221" s="20">
        <f ca="1">IF($BE221&lt;=0,ROUND(BL221*0.5,0), ROUND($BE221*T221*AB221*K221*AZ221*0.8*[2]ステータス!$C$2,0))</f>
        <v>735</v>
      </c>
      <c r="BI221" s="20">
        <f ca="1">IF($BE221&lt;=0,ROUND(BM221*0.5,0), ROUND($BE221*U221*AC221*L221*BA221*0.8*[2]ステータス!$D$2,0))</f>
        <v>0</v>
      </c>
      <c r="BJ221" s="20">
        <f ca="1">IF($BE221&lt;=0,ROUND(BN221*0.5,0), ROUND($BE221*V221*AD221*M221*BB221*0.8*[2]ステータス!$E$2,0))</f>
        <v>637</v>
      </c>
      <c r="BK221" s="14">
        <f ca="1">ROUND(BD221*S221*AA221*J221*AY221*[2]ステータス!$B$2,0)</f>
        <v>2352</v>
      </c>
      <c r="BL221" s="14">
        <f ca="1">ROUND(BD221*T221*AB221*K221*AZ221*[2]ステータス!$C$2,0)</f>
        <v>1469</v>
      </c>
      <c r="BM221" s="14">
        <f ca="1">ROUND(BD221*U221*AC221*L221*BA221*[2]ステータス!$D$2,0)</f>
        <v>0</v>
      </c>
      <c r="BN221" s="14">
        <f ca="1">ROUND(BD221*V221*AD221*M221*BB221*[2]ステータス!$E$2,0)</f>
        <v>1274</v>
      </c>
      <c r="BO221" s="13">
        <v>0</v>
      </c>
      <c r="BP221" s="13">
        <v>1</v>
      </c>
      <c r="BQ221" s="13" t="s">
        <v>102</v>
      </c>
      <c r="BR221" s="13">
        <f ca="1">VLOOKUP(H221,ghosts_label!$A$2:$B$19,2,FALSE)</f>
        <v>600</v>
      </c>
    </row>
    <row r="222" spans="1:70" ht="21" customHeight="1" x14ac:dyDescent="0.15">
      <c r="A222" s="14">
        <f t="shared" ca="1" si="22"/>
        <v>221</v>
      </c>
      <c r="B222" s="77" t="str">
        <f ca="1">VLOOKUP($A222,OFFSET([2]characters!$A$1,0,0,COUNTA([2]characters!$A:$A),MATCH(B$1,[2]characters!$1:$1,0)-MATCH($A$1,[2]characters!$1:$1,0)+1),MATCH(B$1,[2]characters!$1:$1,0)-MATCH($A$1,[2]characters!$1:$1,0)+1,FALSE)</f>
        <v>宰相 ルキフグス</v>
      </c>
      <c r="C222" s="77" t="str">
        <f ca="1">VLOOKUP($A222,OFFSET([2]characters!$A$1,0,0,COUNTA([2]characters!$A:$A),MATCH(C$1,[2]characters!$1:$1,0)-MATCH($A$1,[2]characters!$1:$1,0)+1),MATCH(C$1,[2]characters!$1:$1,0)-MATCH($A$1,[2]characters!$1:$1,0)+1,FALSE)</f>
        <v>初期ガチャ</v>
      </c>
      <c r="D222" s="77" t="str">
        <f ca="1">VLOOKUP($A222,OFFSET([2]characters!$A$1,0,0,COUNTA([2]characters!$A:$A),MATCH(D$1,[2]characters!$1:$1,0)-MATCH($A$1,[2]characters!$1:$1,0)+1),MATCH(D$1,[2]characters!$1:$1,0)-MATCH($A$1,[2]characters!$1:$1,0)+1,FALSE)</f>
        <v>執行者</v>
      </c>
      <c r="E222" s="77" t="str">
        <f ca="1">VLOOKUP($A222,OFFSET([2]characters!$A$1,0,0,COUNTA([2]characters!$A:$A),MATCH(E$1,[2]characters!$1:$1,0)-MATCH($A$1,[2]characters!$1:$1,0)+1),MATCH(E$1,[2]characters!$1:$1,0)-MATCH($A$1,[2]characters!$1:$1,0)+1,FALSE)</f>
        <v>美しい</v>
      </c>
      <c r="F222" s="77" t="str">
        <f ca="1">VLOOKUP($A222,OFFSET([2]characters!$A$1,0,0,COUNTA([2]characters!$A:$A),MATCH(F$1,[2]characters!$1:$1,0)-MATCH($A$1,[2]characters!$1:$1,0)+1),MATCH(F$1,[2]characters!$1:$1,0)-MATCH($A$1,[2]characters!$1:$1,0)+1,FALSE)</f>
        <v>女性</v>
      </c>
      <c r="G222" s="77">
        <f ca="1">VLOOKUP($A222,OFFSET([2]characters!$A$1,0,0,COUNTA([2]characters!$A:$A),MATCH(G$1,[2]characters!$1:$1,0)-MATCH($A$1,[2]characters!$1:$1,0)+1),MATCH(G$1,[2]characters!$1:$1,0)-MATCH($A$1,[2]characters!$1:$1,0)+1,FALSE)</f>
        <v>4</v>
      </c>
      <c r="H222" s="77" t="str">
        <f ca="1">VLOOKUP($A222,OFFSET([2]characters!$A$1,0,0,COUNTA([2]characters!$A:$A),MATCH(H$1,[2]characters!$1:$1,0)-MATCH($A$1,[2]characters!$1:$1,0)+1),MATCH(H$1,[2]characters!$1:$1,0)-MATCH($A$1,[2]characters!$1:$1,0)+1,FALSE)</f>
        <v>PremiumN</v>
      </c>
      <c r="I222" s="77" t="str">
        <f ca="1">VLOOKUP($A222,OFFSET([2]characters!$A$1,0,0,COUNTA([2]characters!$A:$A),MATCH(I$1,[2]characters!$1:$1,0)-MATCH($A$1,[2]characters!$1:$1,0)+1),MATCH(I$1,[2]characters!$1:$1,0)-MATCH($A$1,[2]characters!$1:$1,0)+1,FALSE)</f>
        <v>blue</v>
      </c>
      <c r="J222" s="14">
        <f ca="1">VLOOKUP(I222,[2]属性!$A:$E,2,FALSE)</f>
        <v>1</v>
      </c>
      <c r="K222" s="14">
        <f ca="1">VLOOKUP(I222,[2]属性!$A:$E,3,FALSE)</f>
        <v>0.98</v>
      </c>
      <c r="L222" s="14">
        <f ca="1">VLOOKUP(I222,[2]属性!$A:$E,4,FALSE)</f>
        <v>1</v>
      </c>
      <c r="M222" s="14">
        <f ca="1">VLOOKUP(I222,[2]属性!$A:$E,5,FALSE)</f>
        <v>1.02</v>
      </c>
      <c r="N222" s="14">
        <f ca="1">INDEX(コスト!$A$1:$I$20,MATCH(H222,コスト!$A$1:$A$20,FALSE),MATCH(G222,コスト!$A$1:$I$1,FALSE))</f>
        <v>18</v>
      </c>
      <c r="O222" s="14">
        <f ca="1">INDEX(レベル!$A$1:$I$21,MATCH(H222,レベル!$A$1:$A$21,FALSE),MATCH(G222,レベル!$A$1:$I$1,FALSE))</f>
        <v>60</v>
      </c>
      <c r="P222" s="63">
        <f t="shared" ca="1" si="28"/>
        <v>60</v>
      </c>
      <c r="Q222" s="77" t="str">
        <f ca="1">VLOOKUP($A222,OFFSET([2]characters!$A$1,0,0,COUNTA([2]characters!$A:$A),MATCH(Q$1,[2]characters!$1:$1,0)-MATCH($A$1,[2]characters!$1:$1,0)+1),MATCH(Q$1,[2]characters!$1:$1,0)-MATCH($A$1,[2]characters!$1:$1,0)+1,FALSE)</f>
        <v>balance</v>
      </c>
      <c r="R222" s="8" t="str">
        <f ca="1">VLOOKUP(Q222,[2]character_type_i18n!$A:$H,3,FALSE)</f>
        <v>バランスタイプ</v>
      </c>
      <c r="S222" s="14">
        <f ca="1">VLOOKUP(Q222,[2]character_type_i18n!$A:$H,4,FALSE)</f>
        <v>1</v>
      </c>
      <c r="T222" s="14">
        <f ca="1">VLOOKUP(Q222,[2]character_type_i18n!$A:$H,5,FALSE)</f>
        <v>1</v>
      </c>
      <c r="U222" s="14">
        <f ca="1">VLOOKUP(Q222,[2]character_type_i18n!$A:$H,6,FALSE)</f>
        <v>1</v>
      </c>
      <c r="V222" s="14">
        <f ca="1">VLOOKUP(Q222,[2]character_type_i18n!$A:$H,7,FALSE)</f>
        <v>1</v>
      </c>
      <c r="W222" s="77" t="str">
        <f ca="1">VLOOKUP($A222,OFFSET([2]characters!$A$1,0,0,COUNTA([2]characters!$A:$A),MATCH(W$1,[2]characters!$1:$1,0)-MATCH($A$1,[2]characters!$1:$1,0)+1),MATCH(W$1,[2]characters!$1:$1,0)-MATCH($A$1,[2]characters!$1:$1,0)+1,FALSE)</f>
        <v>god</v>
      </c>
      <c r="X222" s="8" t="str">
        <f ca="1">VLOOKUP(W222,[2]character_tribe_i18n!$A:$H,3,FALSE)</f>
        <v>ゴッド</v>
      </c>
      <c r="Y222" s="77" t="str">
        <f ca="1">VLOOKUP($A222,OFFSET([2]characters!$A$1,0,0,COUNTA([2]characters!$A:$A),MATCH(Y$1,[2]characters!$1:$1,0)-MATCH($A$1,[2]characters!$1:$1,0)+1),MATCH(Y$1,[2]characters!$1:$1,0)-MATCH($A$1,[2]characters!$1:$1,0)+1,FALSE)</f>
        <v>none</v>
      </c>
      <c r="Z222" s="8" t="str">
        <f ca="1">VLOOKUP(Y222,[2]character_tribe_i18n!$A:$H,3,FALSE)</f>
        <v>種族なし</v>
      </c>
      <c r="AA222" s="14">
        <f ca="1">VLOOKUP(W222,[2]character_tribe_i18n!$A:$H,4,FALSE)</f>
        <v>0.96</v>
      </c>
      <c r="AB222" s="14">
        <f ca="1">VLOOKUP(W222,[2]character_tribe_i18n!$A:$H,5,FALSE)</f>
        <v>1.02</v>
      </c>
      <c r="AC222" s="14">
        <f ca="1">VLOOKUP(W222,[2]character_tribe_i18n!$A:$H,6,FALSE)</f>
        <v>1</v>
      </c>
      <c r="AD222" s="14">
        <f ca="1">VLOOKUP(W222,[2]character_tribe_i18n!$A:$H,7,FALSE)</f>
        <v>1.02</v>
      </c>
      <c r="AE222" s="12">
        <v>222</v>
      </c>
      <c r="AF222" s="85" t="str">
        <f ca="1">IF(AE222="NULL","",VLOOKUP($AE222,OFFSET([2]characters!$A$1,0,0,COUNTA([2]characters!$A:$A),MATCH(AF$1,[2]characters!$1:$1,0)-MATCH($A$1,[2]characters!$1:$1,0)+1),MATCH(AF$1,[2]characters!$1:$1,0)-MATCH($A$1,[2]characters!$1:$1,0)+1,FALSE))</f>
        <v>避光の鉄鎖宰相 ルキフグス</v>
      </c>
      <c r="AG222" s="8">
        <f t="shared" ca="1" si="23"/>
        <v>220</v>
      </c>
      <c r="AH222" s="85" t="str">
        <f ca="1">VLOOKUP($AG222,OFFSET([2]characters!$A$1,0,0,COUNTA([2]characters!$A:$A),MATCH(AH$1,[2]characters!$1:$1,0)-MATCH($A$1,[2]characters!$1:$1,0)+1),MATCH(AH$1,[2]characters!$1:$1,0)-MATCH($A$1,[2]characters!$1:$1,0)+1,FALSE)</f>
        <v>ルキフグス</v>
      </c>
      <c r="AI222" s="14">
        <f ca="1">IF(AE222="NULL","NULL",VLOOKUP(G222,ビット!$A$2:$B$7,2))</f>
        <v>50000</v>
      </c>
      <c r="AJ222" s="9">
        <v>2</v>
      </c>
      <c r="AK222" s="10" t="str">
        <f t="shared" si="24"/>
        <v>普通</v>
      </c>
      <c r="AL222" s="14" t="str">
        <f ca="1">INDEX(経験値!$A$1:$I$20,MATCH(H222,経験値!$A$1:$A$20,FALSE),MATCH(G222,経験値!$A$1:$I$1,FALSE))</f>
        <v>required_exp_200</v>
      </c>
      <c r="AM222" s="11">
        <f ca="1">VLOOKUP(G222,経験値!$A$27:$B$31,2)</f>
        <v>3400</v>
      </c>
      <c r="AN222" s="21">
        <f ca="1">VLOOKUP(G222,ビット!$G$2:$H$7,2)</f>
        <v>600</v>
      </c>
      <c r="AO222" s="99" t="s">
        <v>184</v>
      </c>
      <c r="AP222" s="97">
        <v>633002</v>
      </c>
      <c r="AQ222" s="77" t="e">
        <f ca="1">VLOOKUP($AP222,OFFSET([1]unit_skills!$A$1,0,0,COUNTA([1]unit_skills!$A:$A),MATCH("name",[1]unit_skills!$1:$1,0)-MATCH($AP$1,[1]unit_skills!$1:$1,0)+1),MATCH("name",[1]unit_skills!$1:$1,0)-MATCH($AP$1,[1]unit_skills!$1:$1,0)+1,FALSE)</f>
        <v>#VALUE!</v>
      </c>
      <c r="AR222" s="77" t="e">
        <f ca="1">VLOOKUP($AP222,OFFSET([1]unit_skills!$A$1,0,0,COUNTA([1]unit_skills!$A:$A),MATCH("comment",[1]unit_skills!$1:$1,0)-MATCH($AP$1,[1]unit_skills!$1:$1,0)+1),MATCH("comment",[1]unit_skills!$1:$1,0)-MATCH($AP$1,[1]unit_skills!$1:$1,0)+1,FALSE)</f>
        <v>#VALUE!</v>
      </c>
      <c r="AS222" s="77" t="e">
        <f ca="1">VLOOKUP($AP222,OFFSET([1]unit_skills!$A$1,0,0,COUNTA([1]unit_skills!$A:$A),MATCH(AS$1,[1]unit_skills!$1:$1,0)-MATCH($AP$1,[1]unit_skills!$1:$1,0)+1),MATCH(AS$1,[1]unit_skills!$1:$1,0)-MATCH($AP$1,[1]unit_skills!$1:$1,0)+1,FALSE)</f>
        <v>#VALUE!</v>
      </c>
      <c r="AT222" s="97">
        <v>153003</v>
      </c>
      <c r="AU222" s="77" t="e">
        <f ca="1">VLOOKUP($AT222,OFFSET([1]crash_skills!$A$1,0,0,COUNTA([1]crash_skills!$A:$A),MATCH("name",[1]crash_skills!$1:$1,0)-MATCH($AT$1,[1]crash_skills!$1:$1,0)+1),MATCH("name",[1]crash_skills!$1:$1,0)-MATCH($AT$1,[1]crash_skills!$1:$1,0)+1,FALSE)</f>
        <v>#VALUE!</v>
      </c>
      <c r="AV222" s="77" t="e">
        <f ca="1">VLOOKUP($AT222,OFFSET([1]crash_skills!$A$1,0,0,COUNTA([1]crash_skills!$A:$A),MATCH("comment",[1]crash_skills!$1:$1,0)-MATCH($AT$1,[1]crash_skills!$1:$1,0)+1),MATCH("comment",[1]crash_skills!$1:$1,0)-MATCH($AT$1,[1]crash_skills!$1:$1,0)+1,FALSE)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22" s="77" t="e">
        <f ca="1">VLOOKUP($AT222,OFFSET([1]crash_skills!$A$1,0,0,COUNTA([1]crash_skills!$A:$A),MATCH(AW$1,[1]crash_skills!$1:$1,0)-MATCH($AT$1,[1]crash_skills!$1:$1,0)+1),MATCH(AW$1,[1]crash_skills!$1:$1,0)-MATCH($AT$1,[1]crash_skills!$1:$1,0)+1,FALSE)</f>
        <v>#VALUE!</v>
      </c>
      <c r="AX222" s="81">
        <f ca="1">VLOOKUP($A222,OFFSET([2]characters!$A$1,0,0,COUNTA([2]characters!$A:$A),MATCH(AX$1,[2]characters!$1:$1,0)-MATCH($A$1,[2]characters!$1:$1,0)+1),MATCH(AX$1,[2]characters!$1:$1,0)-MATCH($A$1,[2]characters!$1:$1,0)+1,FALSE)</f>
        <v>3</v>
      </c>
      <c r="AY222" s="19">
        <v>1</v>
      </c>
      <c r="AZ222" s="19">
        <v>1</v>
      </c>
      <c r="BA222" s="19">
        <v>0</v>
      </c>
      <c r="BB222" s="19">
        <v>1</v>
      </c>
      <c r="BC222" s="14">
        <f ca="1">INDEX('RC6SV'!$A$1:$G$20,MATCH(H222,'RC6SV'!$A$1:$A$20,FALSE),MATCH(G222,'RC6SV'!$A$1:$G$1,FALSE))</f>
        <v>6700</v>
      </c>
      <c r="BD222" s="63">
        <f t="shared" ca="1" si="25"/>
        <v>6700</v>
      </c>
      <c r="BE222" s="14">
        <f t="shared" ca="1" si="26"/>
        <v>4900</v>
      </c>
      <c r="BF222" s="14">
        <f t="shared" ca="1" si="27"/>
        <v>1</v>
      </c>
      <c r="BG222" s="20">
        <f ca="1">IF($BE222&lt;=0,ROUND(BK222*0.5,0), ROUND($BE222*S222*AA222*J222*AY222*0.8*[2]ステータス!$B$2,0))</f>
        <v>1882</v>
      </c>
      <c r="BH222" s="20">
        <f ca="1">IF($BE222&lt;=0,ROUND(BL222*0.5,0), ROUND($BE222*T222*AB222*K222*AZ222*0.8*[2]ステータス!$C$2,0))</f>
        <v>1176</v>
      </c>
      <c r="BI222" s="20">
        <f ca="1">IF($BE222&lt;=0,ROUND(BM222*0.5,0), ROUND($BE222*U222*AC222*L222*BA222*0.8*[2]ステータス!$D$2,0))</f>
        <v>0</v>
      </c>
      <c r="BJ222" s="20">
        <f ca="1">IF($BE222&lt;=0,ROUND(BN222*0.5,0), ROUND($BE222*V222*AD222*M222*BB222*0.8*[2]ステータス!$E$2,0))</f>
        <v>1020</v>
      </c>
      <c r="BK222" s="14">
        <f ca="1">ROUND(BD222*S222*AA222*J222*AY222*[2]ステータス!$B$2,0)</f>
        <v>3216</v>
      </c>
      <c r="BL222" s="14">
        <f ca="1">ROUND(BD222*T222*AB222*K222*AZ222*[2]ステータス!$C$2,0)</f>
        <v>2009</v>
      </c>
      <c r="BM222" s="14">
        <f ca="1">ROUND(BD222*U222*AC222*L222*BA222*[2]ステータス!$D$2,0)</f>
        <v>0</v>
      </c>
      <c r="BN222" s="14">
        <f ca="1">ROUND(BD222*V222*AD222*M222*BB222*[2]ステータス!$E$2,0)</f>
        <v>1743</v>
      </c>
      <c r="BO222" s="13">
        <v>0</v>
      </c>
      <c r="BP222" s="13">
        <v>1</v>
      </c>
      <c r="BQ222" s="13" t="s">
        <v>102</v>
      </c>
      <c r="BR222" s="13">
        <f ca="1">VLOOKUP(H222,ghosts_label!$A$2:$B$19,2,FALSE)</f>
        <v>600</v>
      </c>
    </row>
    <row r="223" spans="1:70" ht="21" customHeight="1" x14ac:dyDescent="0.15">
      <c r="A223" s="14">
        <f t="shared" ca="1" si="22"/>
        <v>222</v>
      </c>
      <c r="B223" s="77" t="str">
        <f ca="1">VLOOKUP($A223,OFFSET([2]characters!$A$1,0,0,COUNTA([2]characters!$A:$A),MATCH(B$1,[2]characters!$1:$1,0)-MATCH($A$1,[2]characters!$1:$1,0)+1),MATCH(B$1,[2]characters!$1:$1,0)-MATCH($A$1,[2]characters!$1:$1,0)+1,FALSE)</f>
        <v>避光の鉄鎖宰相 ルキフグス</v>
      </c>
      <c r="C223" s="77" t="str">
        <f ca="1">VLOOKUP($A223,OFFSET([2]characters!$A$1,0,0,COUNTA([2]characters!$A:$A),MATCH(C$1,[2]characters!$1:$1,0)-MATCH($A$1,[2]characters!$1:$1,0)+1),MATCH(C$1,[2]characters!$1:$1,0)-MATCH($A$1,[2]characters!$1:$1,0)+1,FALSE)</f>
        <v>初期ガチャ</v>
      </c>
      <c r="D223" s="77" t="str">
        <f ca="1">VLOOKUP($A223,OFFSET([2]characters!$A$1,0,0,COUNTA([2]characters!$A:$A),MATCH(D$1,[2]characters!$1:$1,0)-MATCH($A$1,[2]characters!$1:$1,0)+1),MATCH(D$1,[2]characters!$1:$1,0)-MATCH($A$1,[2]characters!$1:$1,0)+1,FALSE)</f>
        <v>執行者</v>
      </c>
      <c r="E223" s="77" t="str">
        <f ca="1">VLOOKUP($A223,OFFSET([2]characters!$A$1,0,0,COUNTA([2]characters!$A:$A),MATCH(E$1,[2]characters!$1:$1,0)-MATCH($A$1,[2]characters!$1:$1,0)+1),MATCH(E$1,[2]characters!$1:$1,0)-MATCH($A$1,[2]characters!$1:$1,0)+1,FALSE)</f>
        <v>美しい</v>
      </c>
      <c r="F223" s="77" t="str">
        <f ca="1">VLOOKUP($A223,OFFSET([2]characters!$A$1,0,0,COUNTA([2]characters!$A:$A),MATCH(F$1,[2]characters!$1:$1,0)-MATCH($A$1,[2]characters!$1:$1,0)+1),MATCH(F$1,[2]characters!$1:$1,0)-MATCH($A$1,[2]characters!$1:$1,0)+1,FALSE)</f>
        <v>女性</v>
      </c>
      <c r="G223" s="77">
        <f ca="1">VLOOKUP($A223,OFFSET([2]characters!$A$1,0,0,COUNTA([2]characters!$A:$A),MATCH(G$1,[2]characters!$1:$1,0)-MATCH($A$1,[2]characters!$1:$1,0)+1),MATCH(G$1,[2]characters!$1:$1,0)-MATCH($A$1,[2]characters!$1:$1,0)+1,FALSE)</f>
        <v>5</v>
      </c>
      <c r="H223" s="77" t="str">
        <f ca="1">VLOOKUP($A223,OFFSET([2]characters!$A$1,0,0,COUNTA([2]characters!$A:$A),MATCH(H$1,[2]characters!$1:$1,0)-MATCH($A$1,[2]characters!$1:$1,0)+1),MATCH(H$1,[2]characters!$1:$1,0)-MATCH($A$1,[2]characters!$1:$1,0)+1,FALSE)</f>
        <v>PremiumN</v>
      </c>
      <c r="I223" s="77" t="str">
        <f ca="1">VLOOKUP($A223,OFFSET([2]characters!$A$1,0,0,COUNTA([2]characters!$A:$A),MATCH(I$1,[2]characters!$1:$1,0)-MATCH($A$1,[2]characters!$1:$1,0)+1),MATCH(I$1,[2]characters!$1:$1,0)-MATCH($A$1,[2]characters!$1:$1,0)+1,FALSE)</f>
        <v>blue</v>
      </c>
      <c r="J223" s="14">
        <f ca="1">VLOOKUP(I223,[2]属性!$A:$E,2,FALSE)</f>
        <v>1</v>
      </c>
      <c r="K223" s="14">
        <f ca="1">VLOOKUP(I223,[2]属性!$A:$E,3,FALSE)</f>
        <v>0.98</v>
      </c>
      <c r="L223" s="14">
        <f ca="1">VLOOKUP(I223,[2]属性!$A:$E,4,FALSE)</f>
        <v>1</v>
      </c>
      <c r="M223" s="14">
        <f ca="1">VLOOKUP(I223,[2]属性!$A:$E,5,FALSE)</f>
        <v>1.02</v>
      </c>
      <c r="N223" s="14">
        <f ca="1">INDEX(コスト!$A$1:$I$20,MATCH(H223,コスト!$A$1:$A$20,FALSE),MATCH(G223,コスト!$A$1:$I$1,FALSE))</f>
        <v>28</v>
      </c>
      <c r="O223" s="14">
        <f ca="1">INDEX(レベル!$A$1:$I$21,MATCH(H223,レベル!$A$1:$A$21,FALSE),MATCH(G223,レベル!$A$1:$I$1,FALSE))</f>
        <v>80</v>
      </c>
      <c r="P223" s="63">
        <f t="shared" ca="1" si="28"/>
        <v>75</v>
      </c>
      <c r="Q223" s="77" t="str">
        <f ca="1">VLOOKUP($A223,OFFSET([2]characters!$A$1,0,0,COUNTA([2]characters!$A:$A),MATCH(Q$1,[2]characters!$1:$1,0)-MATCH($A$1,[2]characters!$1:$1,0)+1),MATCH(Q$1,[2]characters!$1:$1,0)-MATCH($A$1,[2]characters!$1:$1,0)+1,FALSE)</f>
        <v>balance</v>
      </c>
      <c r="R223" s="8" t="str">
        <f ca="1">VLOOKUP(Q223,[2]character_type_i18n!$A:$H,3,FALSE)</f>
        <v>バランスタイプ</v>
      </c>
      <c r="S223" s="14">
        <f ca="1">VLOOKUP(Q223,[2]character_type_i18n!$A:$H,4,FALSE)</f>
        <v>1</v>
      </c>
      <c r="T223" s="14">
        <f ca="1">VLOOKUP(Q223,[2]character_type_i18n!$A:$H,5,FALSE)</f>
        <v>1</v>
      </c>
      <c r="U223" s="14">
        <f ca="1">VLOOKUP(Q223,[2]character_type_i18n!$A:$H,6,FALSE)</f>
        <v>1</v>
      </c>
      <c r="V223" s="14">
        <f ca="1">VLOOKUP(Q223,[2]character_type_i18n!$A:$H,7,FALSE)</f>
        <v>1</v>
      </c>
      <c r="W223" s="77" t="str">
        <f ca="1">VLOOKUP($A223,OFFSET([2]characters!$A$1,0,0,COUNTA([2]characters!$A:$A),MATCH(W$1,[2]characters!$1:$1,0)-MATCH($A$1,[2]characters!$1:$1,0)+1),MATCH(W$1,[2]characters!$1:$1,0)-MATCH($A$1,[2]characters!$1:$1,0)+1,FALSE)</f>
        <v>god</v>
      </c>
      <c r="X223" s="8" t="str">
        <f ca="1">VLOOKUP(W223,[2]character_tribe_i18n!$A:$H,3,FALSE)</f>
        <v>ゴッド</v>
      </c>
      <c r="Y223" s="77" t="str">
        <f ca="1">VLOOKUP($A223,OFFSET([2]characters!$A$1,0,0,COUNTA([2]characters!$A:$A),MATCH(Y$1,[2]characters!$1:$1,0)-MATCH($A$1,[2]characters!$1:$1,0)+1),MATCH(Y$1,[2]characters!$1:$1,0)-MATCH($A$1,[2]characters!$1:$1,0)+1,FALSE)</f>
        <v>none</v>
      </c>
      <c r="Z223" s="8" t="str">
        <f ca="1">VLOOKUP(Y223,[2]character_tribe_i18n!$A:$H,3,FALSE)</f>
        <v>種族なし</v>
      </c>
      <c r="AA223" s="14">
        <f ca="1">VLOOKUP(W223,[2]character_tribe_i18n!$A:$H,4,FALSE)</f>
        <v>0.96</v>
      </c>
      <c r="AB223" s="14">
        <f ca="1">VLOOKUP(W223,[2]character_tribe_i18n!$A:$H,5,FALSE)</f>
        <v>1.02</v>
      </c>
      <c r="AC223" s="14">
        <f ca="1">VLOOKUP(W223,[2]character_tribe_i18n!$A:$H,6,FALSE)</f>
        <v>1</v>
      </c>
      <c r="AD223" s="14">
        <f ca="1">VLOOKUP(W223,[2]character_tribe_i18n!$A:$H,7,FALSE)</f>
        <v>1.02</v>
      </c>
      <c r="AE223" s="12" t="s">
        <v>102</v>
      </c>
      <c r="AF223" s="85" t="str">
        <f ca="1">IF(AE223="NULL","",VLOOKUP($AE223,OFFSET([2]characters!$A$1,0,0,COUNTA([2]characters!$A:$A),MATCH(AF$1,[2]characters!$1:$1,0)-MATCH($A$1,[2]characters!$1:$1,0)+1),MATCH(AF$1,[2]characters!$1:$1,0)-MATCH($A$1,[2]characters!$1:$1,0)+1,FALSE))</f>
        <v/>
      </c>
      <c r="AG223" s="8">
        <f t="shared" ca="1" si="23"/>
        <v>220</v>
      </c>
      <c r="AH223" s="85" t="str">
        <f ca="1">VLOOKUP($AG223,OFFSET([2]characters!$A$1,0,0,COUNTA([2]characters!$A:$A),MATCH(AH$1,[2]characters!$1:$1,0)-MATCH($A$1,[2]characters!$1:$1,0)+1),MATCH(AH$1,[2]characters!$1:$1,0)-MATCH($A$1,[2]characters!$1:$1,0)+1,FALSE)</f>
        <v>ルキフグス</v>
      </c>
      <c r="AI223" s="14" t="str">
        <f>IF(AE223="NULL","NULL",VLOOKUP(G223,ビット!$A$2:$B$7,2))</f>
        <v>NULL</v>
      </c>
      <c r="AJ223" s="9">
        <v>2</v>
      </c>
      <c r="AK223" s="10" t="str">
        <f t="shared" si="24"/>
        <v>普通</v>
      </c>
      <c r="AL223" s="14" t="str">
        <f ca="1">INDEX(経験値!$A$1:$I$20,MATCH(H223,経験値!$A$1:$A$20,FALSE),MATCH(G223,経験値!$A$1:$I$1,FALSE))</f>
        <v>required_exp_200</v>
      </c>
      <c r="AM223" s="11">
        <f ca="1">VLOOKUP(G223,経験値!$A$27:$B$31,2)</f>
        <v>6400</v>
      </c>
      <c r="AN223" s="21">
        <f ca="1">VLOOKUP(G223,ビット!$G$2:$H$7,2)</f>
        <v>900</v>
      </c>
      <c r="AO223" s="99" t="s">
        <v>184</v>
      </c>
      <c r="AP223" s="97">
        <v>633003</v>
      </c>
      <c r="AQ223" s="77" t="e">
        <f ca="1">VLOOKUP($AP223,OFFSET([1]unit_skills!$A$1,0,0,COUNTA([1]unit_skills!$A:$A),MATCH("name",[1]unit_skills!$1:$1,0)-MATCH($AP$1,[1]unit_skills!$1:$1,0)+1),MATCH("name",[1]unit_skills!$1:$1,0)-MATCH($AP$1,[1]unit_skills!$1:$1,0)+1,FALSE)</f>
        <v>#VALUE!</v>
      </c>
      <c r="AR223" s="77" t="e">
        <f ca="1">VLOOKUP($AP223,OFFSET([1]unit_skills!$A$1,0,0,COUNTA([1]unit_skills!$A:$A),MATCH("comment",[1]unit_skills!$1:$1,0)-MATCH($AP$1,[1]unit_skills!$1:$1,0)+1),MATCH("comment",[1]unit_skills!$1:$1,0)-MATCH($AP$1,[1]unit_skills!$1:$1,0)+1,FALSE)</f>
        <v>#VALUE!</v>
      </c>
      <c r="AS223" s="77" t="e">
        <f ca="1">VLOOKUP($AP223,OFFSET([1]unit_skills!$A$1,0,0,COUNTA([1]unit_skills!$A:$A),MATCH(AS$1,[1]unit_skills!$1:$1,0)-MATCH($AP$1,[1]unit_skills!$1:$1,0)+1),MATCH(AS$1,[1]unit_skills!$1:$1,0)-MATCH($AP$1,[1]unit_skills!$1:$1,0)+1,FALSE)</f>
        <v>#VALUE!</v>
      </c>
      <c r="AT223" s="97">
        <v>153007</v>
      </c>
      <c r="AU223" s="77" t="e">
        <f ca="1">VLOOKUP($AT223,OFFSET([1]crash_skills!$A$1,0,0,COUNTA([1]crash_skills!$A:$A),MATCH("name",[1]crash_skills!$1:$1,0)-MATCH($AT$1,[1]crash_skills!$1:$1,0)+1),MATCH("name",[1]crash_skills!$1:$1,0)-MATCH($AT$1,[1]crash_skills!$1:$1,0)+1,FALSE)</f>
        <v>#VALUE!</v>
      </c>
      <c r="AV223" s="77" t="e">
        <f ca="1">VLOOKUP($AT223,OFFSET([1]crash_skills!$A$1,0,0,COUNTA([1]crash_skills!$A:$A),MATCH("comment",[1]crash_skills!$1:$1,0)-MATCH($AT$1,[1]crash_skills!$1:$1,0)+1),MATCH("comment",[1]crash_skills!$1:$1,0)-MATCH($AT$1,[1]crash_skills!$1:$1,0)+1,FALSE)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23" s="77" t="e">
        <f ca="1">VLOOKUP($AT223,OFFSET([1]crash_skills!$A$1,0,0,COUNTA([1]crash_skills!$A:$A),MATCH(AW$1,[1]crash_skills!$1:$1,0)-MATCH($AT$1,[1]crash_skills!$1:$1,0)+1),MATCH(AW$1,[1]crash_skills!$1:$1,0)-MATCH($AT$1,[1]crash_skills!$1:$1,0)+1,FALSE)</f>
        <v>#VALUE!</v>
      </c>
      <c r="AX223" s="81">
        <f ca="1">VLOOKUP($A223,OFFSET([2]characters!$A$1,0,0,COUNTA([2]characters!$A:$A),MATCH(AX$1,[2]characters!$1:$1,0)-MATCH($A$1,[2]characters!$1:$1,0)+1),MATCH(AX$1,[2]characters!$1:$1,0)-MATCH($A$1,[2]characters!$1:$1,0)+1,FALSE)</f>
        <v>3</v>
      </c>
      <c r="AY223" s="19">
        <v>1</v>
      </c>
      <c r="AZ223" s="19">
        <v>1</v>
      </c>
      <c r="BA223" s="19">
        <v>0</v>
      </c>
      <c r="BB223" s="19">
        <v>1</v>
      </c>
      <c r="BC223" s="14">
        <f ca="1">INDEX('RC6SV'!$A$1:$G$20,MATCH(H223,'RC6SV'!$A$1:$A$20,FALSE),MATCH(G223,'RC6SV'!$A$1:$G$1,FALSE))</f>
        <v>8500</v>
      </c>
      <c r="BD223" s="63">
        <f t="shared" ca="1" si="25"/>
        <v>8500</v>
      </c>
      <c r="BE223" s="14">
        <f t="shared" ca="1" si="26"/>
        <v>6700</v>
      </c>
      <c r="BF223" s="14">
        <f t="shared" ca="1" si="27"/>
        <v>1</v>
      </c>
      <c r="BG223" s="20">
        <f ca="1">IF($BE223&lt;=0,ROUND(BK223*0.5,0), ROUND($BE223*S223*AA223*J223*AY223*0.8*[2]ステータス!$B$2,0))</f>
        <v>2573</v>
      </c>
      <c r="BH223" s="20">
        <f ca="1">IF($BE223&lt;=0,ROUND(BL223*0.5,0), ROUND($BE223*T223*AB223*K223*AZ223*0.8*[2]ステータス!$C$2,0))</f>
        <v>1607</v>
      </c>
      <c r="BI223" s="20">
        <f ca="1">IF($BE223&lt;=0,ROUND(BM223*0.5,0), ROUND($BE223*U223*AC223*L223*BA223*0.8*[2]ステータス!$D$2,0))</f>
        <v>0</v>
      </c>
      <c r="BJ223" s="20">
        <f ca="1">IF($BE223&lt;=0,ROUND(BN223*0.5,0), ROUND($BE223*V223*AD223*M223*BB223*0.8*[2]ステータス!$E$2,0))</f>
        <v>1394</v>
      </c>
      <c r="BK223" s="14">
        <f ca="1">ROUND(BD223*S223*AA223*J223*AY223*[2]ステータス!$B$2,0)</f>
        <v>4080</v>
      </c>
      <c r="BL223" s="14">
        <f ca="1">ROUND(BD223*T223*AB223*K223*AZ223*[2]ステータス!$C$2,0)</f>
        <v>2549</v>
      </c>
      <c r="BM223" s="14">
        <f ca="1">ROUND(BD223*U223*AC223*L223*BA223*[2]ステータス!$D$2,0)</f>
        <v>0</v>
      </c>
      <c r="BN223" s="14">
        <f ca="1">ROUND(BD223*V223*AD223*M223*BB223*[2]ステータス!$E$2,0)</f>
        <v>2211</v>
      </c>
      <c r="BO223" s="13">
        <v>0</v>
      </c>
      <c r="BP223" s="13">
        <v>1</v>
      </c>
      <c r="BQ223" s="13" t="s">
        <v>102</v>
      </c>
      <c r="BR223" s="13">
        <f ca="1">VLOOKUP(H223,ghosts_label!$A$2:$B$19,2,FALSE)</f>
        <v>600</v>
      </c>
    </row>
    <row r="224" spans="1:70" ht="21" customHeight="1" x14ac:dyDescent="0.15">
      <c r="A224" s="14">
        <f t="shared" ca="1" si="22"/>
        <v>223</v>
      </c>
      <c r="B224" s="77" t="str">
        <f ca="1">VLOOKUP($A224,OFFSET([2]characters!$A$1,0,0,COUNTA([2]characters!$A:$A),MATCH(B$1,[2]characters!$1:$1,0)-MATCH($A$1,[2]characters!$1:$1,0)+1),MATCH(B$1,[2]characters!$1:$1,0)-MATCH($A$1,[2]characters!$1:$1,0)+1,FALSE)</f>
        <v>ヘラクレス</v>
      </c>
      <c r="C224" s="77" t="str">
        <f ca="1">VLOOKUP($A224,OFFSET([2]characters!$A$1,0,0,COUNTA([2]characters!$A:$A),MATCH(C$1,[2]characters!$1:$1,0)-MATCH($A$1,[2]characters!$1:$1,0)+1),MATCH(C$1,[2]characters!$1:$1,0)-MATCH($A$1,[2]characters!$1:$1,0)+1,FALSE)</f>
        <v>初期ガチャ</v>
      </c>
      <c r="D224" s="77" t="str">
        <f ca="1">VLOOKUP($A224,OFFSET([2]characters!$A$1,0,0,COUNTA([2]characters!$A:$A),MATCH(D$1,[2]characters!$1:$1,0)-MATCH($A$1,[2]characters!$1:$1,0)+1),MATCH(D$1,[2]characters!$1:$1,0)-MATCH($A$1,[2]characters!$1:$1,0)+1,FALSE)</f>
        <v>守護者</v>
      </c>
      <c r="E224" s="77" t="str">
        <f ca="1">VLOOKUP($A224,OFFSET([2]characters!$A$1,0,0,COUNTA([2]characters!$A:$A),MATCH(E$1,[2]characters!$1:$1,0)-MATCH($A$1,[2]characters!$1:$1,0)+1),MATCH(E$1,[2]characters!$1:$1,0)-MATCH($A$1,[2]characters!$1:$1,0)+1,FALSE)</f>
        <v>格好いい</v>
      </c>
      <c r="F224" s="77" t="str">
        <f ca="1">VLOOKUP($A224,OFFSET([2]characters!$A$1,0,0,COUNTA([2]characters!$A:$A),MATCH(F$1,[2]characters!$1:$1,0)-MATCH($A$1,[2]characters!$1:$1,0)+1),MATCH(F$1,[2]characters!$1:$1,0)-MATCH($A$1,[2]characters!$1:$1,0)+1,FALSE)</f>
        <v>男性</v>
      </c>
      <c r="G224" s="77">
        <f ca="1">VLOOKUP($A224,OFFSET([2]characters!$A$1,0,0,COUNTA([2]characters!$A:$A),MATCH(G$1,[2]characters!$1:$1,0)-MATCH($A$1,[2]characters!$1:$1,0)+1),MATCH(G$1,[2]characters!$1:$1,0)-MATCH($A$1,[2]characters!$1:$1,0)+1,FALSE)</f>
        <v>3</v>
      </c>
      <c r="H224" s="77" t="str">
        <f ca="1">VLOOKUP($A224,OFFSET([2]characters!$A$1,0,0,COUNTA([2]characters!$A:$A),MATCH(H$1,[2]characters!$1:$1,0)-MATCH($A$1,[2]characters!$1:$1,0)+1),MATCH(H$1,[2]characters!$1:$1,0)-MATCH($A$1,[2]characters!$1:$1,0)+1,FALSE)</f>
        <v>PremiumN</v>
      </c>
      <c r="I224" s="77" t="str">
        <f ca="1">VLOOKUP($A224,OFFSET([2]characters!$A$1,0,0,COUNTA([2]characters!$A:$A),MATCH(I$1,[2]characters!$1:$1,0)-MATCH($A$1,[2]characters!$1:$1,0)+1),MATCH(I$1,[2]characters!$1:$1,0)-MATCH($A$1,[2]characters!$1:$1,0)+1,FALSE)</f>
        <v>yellow</v>
      </c>
      <c r="J224" s="14">
        <f ca="1">VLOOKUP(I224,[2]属性!$A:$E,2,FALSE)</f>
        <v>0.98</v>
      </c>
      <c r="K224" s="14">
        <f ca="1">VLOOKUP(I224,[2]属性!$A:$E,3,FALSE)</f>
        <v>1.01</v>
      </c>
      <c r="L224" s="14">
        <f ca="1">VLOOKUP(I224,[2]属性!$A:$E,4,FALSE)</f>
        <v>1</v>
      </c>
      <c r="M224" s="14">
        <f ca="1">VLOOKUP(I224,[2]属性!$A:$E,5,FALSE)</f>
        <v>1.01</v>
      </c>
      <c r="N224" s="14">
        <f ca="1">INDEX(コスト!$A$1:$I$20,MATCH(H224,コスト!$A$1:$A$20,FALSE),MATCH(G224,コスト!$A$1:$I$1,FALSE))</f>
        <v>9</v>
      </c>
      <c r="O224" s="14">
        <f ca="1">INDEX(レベル!$A$1:$I$21,MATCH(H224,レベル!$A$1:$A$21,FALSE),MATCH(G224,レベル!$A$1:$I$1,FALSE))</f>
        <v>40</v>
      </c>
      <c r="P224" s="63">
        <f t="shared" ca="1" si="28"/>
        <v>45</v>
      </c>
      <c r="Q224" s="77" t="str">
        <f ca="1">VLOOKUP($A224,OFFSET([2]characters!$A$1,0,0,COUNTA([2]characters!$A:$A),MATCH(Q$1,[2]characters!$1:$1,0)-MATCH($A$1,[2]characters!$1:$1,0)+1),MATCH(Q$1,[2]characters!$1:$1,0)-MATCH($A$1,[2]characters!$1:$1,0)+1,FALSE)</f>
        <v>balance</v>
      </c>
      <c r="R224" s="8" t="str">
        <f ca="1">VLOOKUP(Q224,[2]character_type_i18n!$A:$H,3,FALSE)</f>
        <v>バランスタイプ</v>
      </c>
      <c r="S224" s="14">
        <f ca="1">VLOOKUP(Q224,[2]character_type_i18n!$A:$H,4,FALSE)</f>
        <v>1</v>
      </c>
      <c r="T224" s="14">
        <f ca="1">VLOOKUP(Q224,[2]character_type_i18n!$A:$H,5,FALSE)</f>
        <v>1</v>
      </c>
      <c r="U224" s="14">
        <f ca="1">VLOOKUP(Q224,[2]character_type_i18n!$A:$H,6,FALSE)</f>
        <v>1</v>
      </c>
      <c r="V224" s="14">
        <f ca="1">VLOOKUP(Q224,[2]character_type_i18n!$A:$H,7,FALSE)</f>
        <v>1</v>
      </c>
      <c r="W224" s="77" t="str">
        <f ca="1">VLOOKUP($A224,OFFSET([2]characters!$A$1,0,0,COUNTA([2]characters!$A:$A),MATCH(W$1,[2]characters!$1:$1,0)-MATCH($A$1,[2]characters!$1:$1,0)+1),MATCH(W$1,[2]characters!$1:$1,0)-MATCH($A$1,[2]characters!$1:$1,0)+1,FALSE)</f>
        <v>human</v>
      </c>
      <c r="X224" s="8" t="str">
        <f ca="1">VLOOKUP(W224,[2]character_tribe_i18n!$A:$H,3,FALSE)</f>
        <v>ヒューマン</v>
      </c>
      <c r="Y224" s="77" t="str">
        <f ca="1">VLOOKUP($A224,OFFSET([2]characters!$A$1,0,0,COUNTA([2]characters!$A:$A),MATCH(Y$1,[2]characters!$1:$1,0)-MATCH($A$1,[2]characters!$1:$1,0)+1),MATCH(Y$1,[2]characters!$1:$1,0)-MATCH($A$1,[2]characters!$1:$1,0)+1,FALSE)</f>
        <v>none</v>
      </c>
      <c r="Z224" s="8" t="str">
        <f ca="1">VLOOKUP(Y224,[2]character_tribe_i18n!$A:$H,3,FALSE)</f>
        <v>種族なし</v>
      </c>
      <c r="AA224" s="14">
        <f ca="1">VLOOKUP(W224,[2]character_tribe_i18n!$A:$H,4,FALSE)</f>
        <v>0.94</v>
      </c>
      <c r="AB224" s="14">
        <f ca="1">VLOOKUP(W224,[2]character_tribe_i18n!$A:$H,5,FALSE)</f>
        <v>0.99</v>
      </c>
      <c r="AC224" s="14">
        <f ca="1">VLOOKUP(W224,[2]character_tribe_i18n!$A:$H,6,FALSE)</f>
        <v>1</v>
      </c>
      <c r="AD224" s="14">
        <f ca="1">VLOOKUP(W224,[2]character_tribe_i18n!$A:$H,7,FALSE)</f>
        <v>1.07</v>
      </c>
      <c r="AE224" s="12">
        <v>224</v>
      </c>
      <c r="AF224" s="85" t="str">
        <f ca="1">IF(AE224="NULL","",VLOOKUP($AE224,OFFSET([2]characters!$A$1,0,0,COUNTA([2]characters!$A:$A),MATCH(AF$1,[2]characters!$1:$1,0)-MATCH($A$1,[2]characters!$1:$1,0)+1),MATCH(AF$1,[2]characters!$1:$1,0)-MATCH($A$1,[2]characters!$1:$1,0)+1,FALSE))</f>
        <v>巨腕 ヘラクレス</v>
      </c>
      <c r="AG224" s="8">
        <f t="shared" ca="1" si="23"/>
        <v>223</v>
      </c>
      <c r="AH224" s="85" t="str">
        <f ca="1">VLOOKUP($AG224,OFFSET([2]characters!$A$1,0,0,COUNTA([2]characters!$A:$A),MATCH(AH$1,[2]characters!$1:$1,0)-MATCH($A$1,[2]characters!$1:$1,0)+1),MATCH(AH$1,[2]characters!$1:$1,0)-MATCH($A$1,[2]characters!$1:$1,0)+1,FALSE)</f>
        <v>ヘラクレス</v>
      </c>
      <c r="AI224" s="14">
        <f ca="1">IF(AE224="NULL","NULL",VLOOKUP(G224,ビット!$A$2:$B$7,2))</f>
        <v>20000</v>
      </c>
      <c r="AJ224" s="9">
        <v>2</v>
      </c>
      <c r="AK224" s="10" t="str">
        <f t="shared" si="24"/>
        <v>普通</v>
      </c>
      <c r="AL224" s="14" t="str">
        <f ca="1">INDEX(経験値!$A$1:$I$20,MATCH(H224,経験値!$A$1:$A$20,FALSE),MATCH(G224,経験値!$A$1:$I$1,FALSE))</f>
        <v>required_exp_200</v>
      </c>
      <c r="AM224" s="11">
        <f ca="1">VLOOKUP(G224,経験値!$A$27:$B$31,2)</f>
        <v>1500</v>
      </c>
      <c r="AN224" s="21">
        <f ca="1">VLOOKUP(G224,ビット!$G$2:$H$7,2)</f>
        <v>300</v>
      </c>
      <c r="AO224" s="98" t="s">
        <v>178</v>
      </c>
      <c r="AP224" s="97">
        <v>321008</v>
      </c>
      <c r="AQ224" s="77" t="e">
        <f ca="1">VLOOKUP($AP224,OFFSET([1]unit_skills!$A$1,0,0,COUNTA([1]unit_skills!$A:$A),MATCH("name",[1]unit_skills!$1:$1,0)-MATCH($AP$1,[1]unit_skills!$1:$1,0)+1),MATCH("name",[1]unit_skills!$1:$1,0)-MATCH($AP$1,[1]unit_skills!$1:$1,0)+1,FALSE)</f>
        <v>#VALUE!</v>
      </c>
      <c r="AR224" s="77" t="e">
        <f ca="1">VLOOKUP($AP224,OFFSET([1]unit_skills!$A$1,0,0,COUNTA([1]unit_skills!$A:$A),MATCH("comment",[1]unit_skills!$1:$1,0)-MATCH($AP$1,[1]unit_skills!$1:$1,0)+1),MATCH("comment",[1]unit_skills!$1:$1,0)-MATCH($AP$1,[1]unit_skills!$1:$1,0)+1,FALSE)</f>
        <v>#VALUE!</v>
      </c>
      <c r="AS224" s="77" t="e">
        <f ca="1">VLOOKUP($AP224,OFFSET([1]unit_skills!$A$1,0,0,COUNTA([1]unit_skills!$A:$A),MATCH(AS$1,[1]unit_skills!$1:$1,0)-MATCH($AP$1,[1]unit_skills!$1:$1,0)+1),MATCH(AS$1,[1]unit_skills!$1:$1,0)-MATCH($AP$1,[1]unit_skills!$1:$1,0)+1,FALSE)</f>
        <v>#VALUE!</v>
      </c>
      <c r="AT224" s="97">
        <v>454002</v>
      </c>
      <c r="AU224" s="77" t="e">
        <f ca="1">VLOOKUP($AT224,OFFSET([1]crash_skills!$A$1,0,0,COUNTA([1]crash_skills!$A:$A),MATCH("name",[1]crash_skills!$1:$1,0)-MATCH($AT$1,[1]crash_skills!$1:$1,0)+1),MATCH("name",[1]crash_skills!$1:$1,0)-MATCH($AT$1,[1]crash_skills!$1:$1,0)+1,FALSE)</f>
        <v>#VALUE!</v>
      </c>
      <c r="AV224" s="77" t="e">
        <f ca="1">VLOOKUP($AT224,OFFSET([1]crash_skills!$A$1,0,0,COUNTA([1]crash_skills!$A:$A),MATCH("comment",[1]crash_skills!$1:$1,0)-MATCH($AT$1,[1]crash_skills!$1:$1,0)+1),MATCH("comment",[1]crash_skills!$1:$1,0)-MATCH($AT$1,[1]crash_skills!$1:$1,0)+1,FALSE)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24" s="77" t="e">
        <f ca="1">VLOOKUP($AT224,OFFSET([1]crash_skills!$A$1,0,0,COUNTA([1]crash_skills!$A:$A),MATCH(AW$1,[1]crash_skills!$1:$1,0)-MATCH($AT$1,[1]crash_skills!$1:$1,0)+1),MATCH(AW$1,[1]crash_skills!$1:$1,0)-MATCH($AT$1,[1]crash_skills!$1:$1,0)+1,FALSE)</f>
        <v>#VALUE!</v>
      </c>
      <c r="AX224" s="81">
        <f ca="1">VLOOKUP($A224,OFFSET([2]characters!$A$1,0,0,COUNTA([2]characters!$A:$A),MATCH(AX$1,[2]characters!$1:$1,0)-MATCH($A$1,[2]characters!$1:$1,0)+1),MATCH(AX$1,[2]characters!$1:$1,0)-MATCH($A$1,[2]characters!$1:$1,0)+1,FALSE)</f>
        <v>3</v>
      </c>
      <c r="AY224" s="19">
        <v>1</v>
      </c>
      <c r="AZ224" s="19">
        <v>1</v>
      </c>
      <c r="BA224" s="19">
        <v>0</v>
      </c>
      <c r="BB224" s="19">
        <v>1</v>
      </c>
      <c r="BC224" s="14">
        <f ca="1">INDEX('RC6SV'!$A$1:$G$20,MATCH(H224,'RC6SV'!$A$1:$A$20,FALSE),MATCH(G224,'RC6SV'!$A$1:$G$1,FALSE))</f>
        <v>4900</v>
      </c>
      <c r="BD224" s="63">
        <f t="shared" ca="1" si="25"/>
        <v>4900</v>
      </c>
      <c r="BE224" s="14">
        <f t="shared" ca="1" si="26"/>
        <v>0</v>
      </c>
      <c r="BF224" s="14">
        <f t="shared" ca="1" si="27"/>
        <v>1</v>
      </c>
      <c r="BG224" s="20">
        <f ca="1">IF($BE224&lt;=0,ROUND(BK224*0.5,0), ROUND($BE224*S224*AA224*J224*AY224*0.8*[2]ステータス!$B$2,0))</f>
        <v>1129</v>
      </c>
      <c r="BH224" s="20">
        <f ca="1">IF($BE224&lt;=0,ROUND(BL224*0.5,0), ROUND($BE224*T224*AB224*K224*AZ224*0.8*[2]ステータス!$C$2,0))</f>
        <v>735</v>
      </c>
      <c r="BI224" s="20">
        <f ca="1">IF($BE224&lt;=0,ROUND(BM224*0.5,0), ROUND($BE224*U224*AC224*L224*BA224*0.8*[2]ステータス!$D$2,0))</f>
        <v>0</v>
      </c>
      <c r="BJ224" s="20">
        <f ca="1">IF($BE224&lt;=0,ROUND(BN224*0.5,0), ROUND($BE224*V224*AD224*M224*BB224*0.8*[2]ステータス!$E$2,0))</f>
        <v>662</v>
      </c>
      <c r="BK224" s="14">
        <f ca="1">ROUND(BD224*S224*AA224*J224*AY224*[2]ステータス!$B$2,0)</f>
        <v>2257</v>
      </c>
      <c r="BL224" s="14">
        <f ca="1">ROUND(BD224*T224*AB224*K224*AZ224*[2]ステータス!$C$2,0)</f>
        <v>1470</v>
      </c>
      <c r="BM224" s="14">
        <f ca="1">ROUND(BD224*U224*AC224*L224*BA224*[2]ステータス!$D$2,0)</f>
        <v>0</v>
      </c>
      <c r="BN224" s="14">
        <f ca="1">ROUND(BD224*V224*AD224*M224*BB224*[2]ステータス!$E$2,0)</f>
        <v>1324</v>
      </c>
      <c r="BO224" s="13">
        <v>0</v>
      </c>
      <c r="BP224" s="13">
        <v>1</v>
      </c>
      <c r="BQ224" s="13" t="s">
        <v>102</v>
      </c>
      <c r="BR224" s="13">
        <f ca="1">VLOOKUP(H224,ghosts_label!$A$2:$B$19,2,FALSE)</f>
        <v>600</v>
      </c>
    </row>
    <row r="225" spans="1:70" ht="21" customHeight="1" x14ac:dyDescent="0.15">
      <c r="A225" s="14">
        <f t="shared" ca="1" si="22"/>
        <v>224</v>
      </c>
      <c r="B225" s="77" t="str">
        <f ca="1">VLOOKUP($A225,OFFSET([2]characters!$A$1,0,0,COUNTA([2]characters!$A:$A),MATCH(B$1,[2]characters!$1:$1,0)-MATCH($A$1,[2]characters!$1:$1,0)+1),MATCH(B$1,[2]characters!$1:$1,0)-MATCH($A$1,[2]characters!$1:$1,0)+1,FALSE)</f>
        <v>巨腕 ヘラクレス</v>
      </c>
      <c r="C225" s="77" t="str">
        <f ca="1">VLOOKUP($A225,OFFSET([2]characters!$A$1,0,0,COUNTA([2]characters!$A:$A),MATCH(C$1,[2]characters!$1:$1,0)-MATCH($A$1,[2]characters!$1:$1,0)+1),MATCH(C$1,[2]characters!$1:$1,0)-MATCH($A$1,[2]characters!$1:$1,0)+1,FALSE)</f>
        <v>初期ガチャ</v>
      </c>
      <c r="D225" s="77" t="str">
        <f ca="1">VLOOKUP($A225,OFFSET([2]characters!$A$1,0,0,COUNTA([2]characters!$A:$A),MATCH(D$1,[2]characters!$1:$1,0)-MATCH($A$1,[2]characters!$1:$1,0)+1),MATCH(D$1,[2]characters!$1:$1,0)-MATCH($A$1,[2]characters!$1:$1,0)+1,FALSE)</f>
        <v>守護者</v>
      </c>
      <c r="E225" s="77" t="str">
        <f ca="1">VLOOKUP($A225,OFFSET([2]characters!$A$1,0,0,COUNTA([2]characters!$A:$A),MATCH(E$1,[2]characters!$1:$1,0)-MATCH($A$1,[2]characters!$1:$1,0)+1),MATCH(E$1,[2]characters!$1:$1,0)-MATCH($A$1,[2]characters!$1:$1,0)+1,FALSE)</f>
        <v>格好いい</v>
      </c>
      <c r="F225" s="77" t="str">
        <f ca="1">VLOOKUP($A225,OFFSET([2]characters!$A$1,0,0,COUNTA([2]characters!$A:$A),MATCH(F$1,[2]characters!$1:$1,0)-MATCH($A$1,[2]characters!$1:$1,0)+1),MATCH(F$1,[2]characters!$1:$1,0)-MATCH($A$1,[2]characters!$1:$1,0)+1,FALSE)</f>
        <v>男性</v>
      </c>
      <c r="G225" s="77">
        <f ca="1">VLOOKUP($A225,OFFSET([2]characters!$A$1,0,0,COUNTA([2]characters!$A:$A),MATCH(G$1,[2]characters!$1:$1,0)-MATCH($A$1,[2]characters!$1:$1,0)+1),MATCH(G$1,[2]characters!$1:$1,0)-MATCH($A$1,[2]characters!$1:$1,0)+1,FALSE)</f>
        <v>4</v>
      </c>
      <c r="H225" s="77" t="str">
        <f ca="1">VLOOKUP($A225,OFFSET([2]characters!$A$1,0,0,COUNTA([2]characters!$A:$A),MATCH(H$1,[2]characters!$1:$1,0)-MATCH($A$1,[2]characters!$1:$1,0)+1),MATCH(H$1,[2]characters!$1:$1,0)-MATCH($A$1,[2]characters!$1:$1,0)+1,FALSE)</f>
        <v>PremiumN</v>
      </c>
      <c r="I225" s="77" t="str">
        <f ca="1">VLOOKUP($A225,OFFSET([2]characters!$A$1,0,0,COUNTA([2]characters!$A:$A),MATCH(I$1,[2]characters!$1:$1,0)-MATCH($A$1,[2]characters!$1:$1,0)+1),MATCH(I$1,[2]characters!$1:$1,0)-MATCH($A$1,[2]characters!$1:$1,0)+1,FALSE)</f>
        <v>yellow</v>
      </c>
      <c r="J225" s="14">
        <f ca="1">VLOOKUP(I225,[2]属性!$A:$E,2,FALSE)</f>
        <v>0.98</v>
      </c>
      <c r="K225" s="14">
        <f ca="1">VLOOKUP(I225,[2]属性!$A:$E,3,FALSE)</f>
        <v>1.01</v>
      </c>
      <c r="L225" s="14">
        <f ca="1">VLOOKUP(I225,[2]属性!$A:$E,4,FALSE)</f>
        <v>1</v>
      </c>
      <c r="M225" s="14">
        <f ca="1">VLOOKUP(I225,[2]属性!$A:$E,5,FALSE)</f>
        <v>1.01</v>
      </c>
      <c r="N225" s="14">
        <f ca="1">INDEX(コスト!$A$1:$I$20,MATCH(H225,コスト!$A$1:$A$20,FALSE),MATCH(G225,コスト!$A$1:$I$1,FALSE))</f>
        <v>18</v>
      </c>
      <c r="O225" s="14">
        <f ca="1">INDEX(レベル!$A$1:$I$21,MATCH(H225,レベル!$A$1:$A$21,FALSE),MATCH(G225,レベル!$A$1:$I$1,FALSE))</f>
        <v>60</v>
      </c>
      <c r="P225" s="63">
        <f t="shared" ca="1" si="28"/>
        <v>60</v>
      </c>
      <c r="Q225" s="77" t="str">
        <f ca="1">VLOOKUP($A225,OFFSET([2]characters!$A$1,0,0,COUNTA([2]characters!$A:$A),MATCH(Q$1,[2]characters!$1:$1,0)-MATCH($A$1,[2]characters!$1:$1,0)+1),MATCH(Q$1,[2]characters!$1:$1,0)-MATCH($A$1,[2]characters!$1:$1,0)+1,FALSE)</f>
        <v>balance</v>
      </c>
      <c r="R225" s="8" t="str">
        <f ca="1">VLOOKUP(Q225,[2]character_type_i18n!$A:$H,3,FALSE)</f>
        <v>バランスタイプ</v>
      </c>
      <c r="S225" s="14">
        <f ca="1">VLOOKUP(Q225,[2]character_type_i18n!$A:$H,4,FALSE)</f>
        <v>1</v>
      </c>
      <c r="T225" s="14">
        <f ca="1">VLOOKUP(Q225,[2]character_type_i18n!$A:$H,5,FALSE)</f>
        <v>1</v>
      </c>
      <c r="U225" s="14">
        <f ca="1">VLOOKUP(Q225,[2]character_type_i18n!$A:$H,6,FALSE)</f>
        <v>1</v>
      </c>
      <c r="V225" s="14">
        <f ca="1">VLOOKUP(Q225,[2]character_type_i18n!$A:$H,7,FALSE)</f>
        <v>1</v>
      </c>
      <c r="W225" s="77" t="str">
        <f ca="1">VLOOKUP($A225,OFFSET([2]characters!$A$1,0,0,COUNTA([2]characters!$A:$A),MATCH(W$1,[2]characters!$1:$1,0)-MATCH($A$1,[2]characters!$1:$1,0)+1),MATCH(W$1,[2]characters!$1:$1,0)-MATCH($A$1,[2]characters!$1:$1,0)+1,FALSE)</f>
        <v>human</v>
      </c>
      <c r="X225" s="8" t="str">
        <f ca="1">VLOOKUP(W225,[2]character_tribe_i18n!$A:$H,3,FALSE)</f>
        <v>ヒューマン</v>
      </c>
      <c r="Y225" s="77" t="str">
        <f ca="1">VLOOKUP($A225,OFFSET([2]characters!$A$1,0,0,COUNTA([2]characters!$A:$A),MATCH(Y$1,[2]characters!$1:$1,0)-MATCH($A$1,[2]characters!$1:$1,0)+1),MATCH(Y$1,[2]characters!$1:$1,0)-MATCH($A$1,[2]characters!$1:$1,0)+1,FALSE)</f>
        <v>none</v>
      </c>
      <c r="Z225" s="8" t="str">
        <f ca="1">VLOOKUP(Y225,[2]character_tribe_i18n!$A:$H,3,FALSE)</f>
        <v>種族なし</v>
      </c>
      <c r="AA225" s="14">
        <f ca="1">VLOOKUP(W225,[2]character_tribe_i18n!$A:$H,4,FALSE)</f>
        <v>0.94</v>
      </c>
      <c r="AB225" s="14">
        <f ca="1">VLOOKUP(W225,[2]character_tribe_i18n!$A:$H,5,FALSE)</f>
        <v>0.99</v>
      </c>
      <c r="AC225" s="14">
        <f ca="1">VLOOKUP(W225,[2]character_tribe_i18n!$A:$H,6,FALSE)</f>
        <v>1</v>
      </c>
      <c r="AD225" s="14">
        <f ca="1">VLOOKUP(W225,[2]character_tribe_i18n!$A:$H,7,FALSE)</f>
        <v>1.07</v>
      </c>
      <c r="AE225" s="12">
        <v>225</v>
      </c>
      <c r="AF225" s="85" t="str">
        <f ca="1">IF(AE225="NULL","",VLOOKUP($AE225,OFFSET([2]characters!$A$1,0,0,COUNTA([2]characters!$A:$A),MATCH(AF$1,[2]characters!$1:$1,0)-MATCH($A$1,[2]characters!$1:$1,0)+1),MATCH(AF$1,[2]characters!$1:$1,0)-MATCH($A$1,[2]characters!$1:$1,0)+1,FALSE))</f>
        <v>咆哮の巨獅腕 ヘラクレス</v>
      </c>
      <c r="AG225" s="8">
        <f t="shared" ca="1" si="23"/>
        <v>223</v>
      </c>
      <c r="AH225" s="85" t="str">
        <f ca="1">VLOOKUP($AG225,OFFSET([2]characters!$A$1,0,0,COUNTA([2]characters!$A:$A),MATCH(AH$1,[2]characters!$1:$1,0)-MATCH($A$1,[2]characters!$1:$1,0)+1),MATCH(AH$1,[2]characters!$1:$1,0)-MATCH($A$1,[2]characters!$1:$1,0)+1,FALSE)</f>
        <v>ヘラクレス</v>
      </c>
      <c r="AI225" s="14">
        <f ca="1">IF(AE225="NULL","NULL",VLOOKUP(G225,ビット!$A$2:$B$7,2))</f>
        <v>50000</v>
      </c>
      <c r="AJ225" s="9">
        <v>2</v>
      </c>
      <c r="AK225" s="10" t="str">
        <f t="shared" si="24"/>
        <v>普通</v>
      </c>
      <c r="AL225" s="14" t="str">
        <f ca="1">INDEX(経験値!$A$1:$I$20,MATCH(H225,経験値!$A$1:$A$20,FALSE),MATCH(G225,経験値!$A$1:$I$1,FALSE))</f>
        <v>required_exp_200</v>
      </c>
      <c r="AM225" s="11">
        <f ca="1">VLOOKUP(G225,経験値!$A$27:$B$31,2)</f>
        <v>3400</v>
      </c>
      <c r="AN225" s="21">
        <f ca="1">VLOOKUP(G225,ビット!$G$2:$H$7,2)</f>
        <v>600</v>
      </c>
      <c r="AO225" s="98" t="s">
        <v>178</v>
      </c>
      <c r="AP225" s="97">
        <v>321009</v>
      </c>
      <c r="AQ225" s="77" t="e">
        <f ca="1">VLOOKUP($AP225,OFFSET([1]unit_skills!$A$1,0,0,COUNTA([1]unit_skills!$A:$A),MATCH("name",[1]unit_skills!$1:$1,0)-MATCH($AP$1,[1]unit_skills!$1:$1,0)+1),MATCH("name",[1]unit_skills!$1:$1,0)-MATCH($AP$1,[1]unit_skills!$1:$1,0)+1,FALSE)</f>
        <v>#VALUE!</v>
      </c>
      <c r="AR225" s="77" t="e">
        <f ca="1">VLOOKUP($AP225,OFFSET([1]unit_skills!$A$1,0,0,COUNTA([1]unit_skills!$A:$A),MATCH("comment",[1]unit_skills!$1:$1,0)-MATCH($AP$1,[1]unit_skills!$1:$1,0)+1),MATCH("comment",[1]unit_skills!$1:$1,0)-MATCH($AP$1,[1]unit_skills!$1:$1,0)+1,FALSE)</f>
        <v>#VALUE!</v>
      </c>
      <c r="AS225" s="77" t="e">
        <f ca="1">VLOOKUP($AP225,OFFSET([1]unit_skills!$A$1,0,0,COUNTA([1]unit_skills!$A:$A),MATCH(AS$1,[1]unit_skills!$1:$1,0)-MATCH($AP$1,[1]unit_skills!$1:$1,0)+1),MATCH(AS$1,[1]unit_skills!$1:$1,0)-MATCH($AP$1,[1]unit_skills!$1:$1,0)+1,FALSE)</f>
        <v>#VALUE!</v>
      </c>
      <c r="AT225" s="97">
        <v>454001</v>
      </c>
      <c r="AU225" s="77" t="e">
        <f ca="1">VLOOKUP($AT225,OFFSET([1]crash_skills!$A$1,0,0,COUNTA([1]crash_skills!$A:$A),MATCH("name",[1]crash_skills!$1:$1,0)-MATCH($AT$1,[1]crash_skills!$1:$1,0)+1),MATCH("name",[1]crash_skills!$1:$1,0)-MATCH($AT$1,[1]crash_skills!$1:$1,0)+1,FALSE)</f>
        <v>#VALUE!</v>
      </c>
      <c r="AV225" s="77" t="e">
        <f ca="1">VLOOKUP($AT225,OFFSET([1]crash_skills!$A$1,0,0,COUNTA([1]crash_skills!$A:$A),MATCH("comment",[1]crash_skills!$1:$1,0)-MATCH($AT$1,[1]crash_skills!$1:$1,0)+1),MATCH("comment",[1]crash_skills!$1:$1,0)-MATCH($AT$1,[1]crash_skills!$1:$1,0)+1,FALSE)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25" s="77" t="e">
        <f ca="1">VLOOKUP($AT225,OFFSET([1]crash_skills!$A$1,0,0,COUNTA([1]crash_skills!$A:$A),MATCH(AW$1,[1]crash_skills!$1:$1,0)-MATCH($AT$1,[1]crash_skills!$1:$1,0)+1),MATCH(AW$1,[1]crash_skills!$1:$1,0)-MATCH($AT$1,[1]crash_skills!$1:$1,0)+1,FALSE)</f>
        <v>#VALUE!</v>
      </c>
      <c r="AX225" s="81">
        <f ca="1">VLOOKUP($A225,OFFSET([2]characters!$A$1,0,0,COUNTA([2]characters!$A:$A),MATCH(AX$1,[2]characters!$1:$1,0)-MATCH($A$1,[2]characters!$1:$1,0)+1),MATCH(AX$1,[2]characters!$1:$1,0)-MATCH($A$1,[2]characters!$1:$1,0)+1,FALSE)</f>
        <v>3</v>
      </c>
      <c r="AY225" s="19">
        <v>1</v>
      </c>
      <c r="AZ225" s="19">
        <v>1</v>
      </c>
      <c r="BA225" s="19">
        <v>0</v>
      </c>
      <c r="BB225" s="19">
        <v>1</v>
      </c>
      <c r="BC225" s="14">
        <f ca="1">INDEX('RC6SV'!$A$1:$G$20,MATCH(H225,'RC6SV'!$A$1:$A$20,FALSE),MATCH(G225,'RC6SV'!$A$1:$G$1,FALSE))</f>
        <v>6700</v>
      </c>
      <c r="BD225" s="63">
        <f t="shared" ca="1" si="25"/>
        <v>6700</v>
      </c>
      <c r="BE225" s="14">
        <f t="shared" ca="1" si="26"/>
        <v>4900</v>
      </c>
      <c r="BF225" s="14">
        <f t="shared" ca="1" si="27"/>
        <v>1</v>
      </c>
      <c r="BG225" s="20">
        <f ca="1">IF($BE225&lt;=0,ROUND(BK225*0.5,0), ROUND($BE225*S225*AA225*J225*AY225*0.8*[2]ステータス!$B$2,0))</f>
        <v>1806</v>
      </c>
      <c r="BH225" s="20">
        <f ca="1">IF($BE225&lt;=0,ROUND(BL225*0.5,0), ROUND($BE225*T225*AB225*K225*AZ225*0.8*[2]ステータス!$C$2,0))</f>
        <v>1176</v>
      </c>
      <c r="BI225" s="20">
        <f ca="1">IF($BE225&lt;=0,ROUND(BM225*0.5,0), ROUND($BE225*U225*AC225*L225*BA225*0.8*[2]ステータス!$D$2,0))</f>
        <v>0</v>
      </c>
      <c r="BJ225" s="20">
        <f ca="1">IF($BE225&lt;=0,ROUND(BN225*0.5,0), ROUND($BE225*V225*AD225*M225*BB225*0.8*[2]ステータス!$E$2,0))</f>
        <v>1059</v>
      </c>
      <c r="BK225" s="14">
        <f ca="1">ROUND(BD225*S225*AA225*J225*AY225*[2]ステータス!$B$2,0)</f>
        <v>3086</v>
      </c>
      <c r="BL225" s="14">
        <f ca="1">ROUND(BD225*T225*AB225*K225*AZ225*[2]ステータス!$C$2,0)</f>
        <v>2010</v>
      </c>
      <c r="BM225" s="14">
        <f ca="1">ROUND(BD225*U225*AC225*L225*BA225*[2]ステータス!$D$2,0)</f>
        <v>0</v>
      </c>
      <c r="BN225" s="14">
        <f ca="1">ROUND(BD225*V225*AD225*M225*BB225*[2]ステータス!$E$2,0)</f>
        <v>1810</v>
      </c>
      <c r="BO225" s="13">
        <v>0</v>
      </c>
      <c r="BP225" s="13">
        <v>1</v>
      </c>
      <c r="BQ225" s="13" t="s">
        <v>102</v>
      </c>
      <c r="BR225" s="13">
        <f ca="1">VLOOKUP(H225,ghosts_label!$A$2:$B$19,2,FALSE)</f>
        <v>600</v>
      </c>
    </row>
    <row r="226" spans="1:70" ht="21" customHeight="1" x14ac:dyDescent="0.15">
      <c r="A226" s="14">
        <f t="shared" ca="1" si="22"/>
        <v>225</v>
      </c>
      <c r="B226" s="77" t="str">
        <f ca="1">VLOOKUP($A226,OFFSET([2]characters!$A$1,0,0,COUNTA([2]characters!$A:$A),MATCH(B$1,[2]characters!$1:$1,0)-MATCH($A$1,[2]characters!$1:$1,0)+1),MATCH(B$1,[2]characters!$1:$1,0)-MATCH($A$1,[2]characters!$1:$1,0)+1,FALSE)</f>
        <v>咆哮の巨獅腕 ヘラクレス</v>
      </c>
      <c r="C226" s="77" t="str">
        <f ca="1">VLOOKUP($A226,OFFSET([2]characters!$A$1,0,0,COUNTA([2]characters!$A:$A),MATCH(C$1,[2]characters!$1:$1,0)-MATCH($A$1,[2]characters!$1:$1,0)+1),MATCH(C$1,[2]characters!$1:$1,0)-MATCH($A$1,[2]characters!$1:$1,0)+1,FALSE)</f>
        <v>初期ガチャ</v>
      </c>
      <c r="D226" s="77" t="str">
        <f ca="1">VLOOKUP($A226,OFFSET([2]characters!$A$1,0,0,COUNTA([2]characters!$A:$A),MATCH(D$1,[2]characters!$1:$1,0)-MATCH($A$1,[2]characters!$1:$1,0)+1),MATCH(D$1,[2]characters!$1:$1,0)-MATCH($A$1,[2]characters!$1:$1,0)+1,FALSE)</f>
        <v>守護者</v>
      </c>
      <c r="E226" s="77" t="str">
        <f ca="1">VLOOKUP($A226,OFFSET([2]characters!$A$1,0,0,COUNTA([2]characters!$A:$A),MATCH(E$1,[2]characters!$1:$1,0)-MATCH($A$1,[2]characters!$1:$1,0)+1),MATCH(E$1,[2]characters!$1:$1,0)-MATCH($A$1,[2]characters!$1:$1,0)+1,FALSE)</f>
        <v>格好いい</v>
      </c>
      <c r="F226" s="77" t="str">
        <f ca="1">VLOOKUP($A226,OFFSET([2]characters!$A$1,0,0,COUNTA([2]characters!$A:$A),MATCH(F$1,[2]characters!$1:$1,0)-MATCH($A$1,[2]characters!$1:$1,0)+1),MATCH(F$1,[2]characters!$1:$1,0)-MATCH($A$1,[2]characters!$1:$1,0)+1,FALSE)</f>
        <v>男性</v>
      </c>
      <c r="G226" s="77">
        <f ca="1">VLOOKUP($A226,OFFSET([2]characters!$A$1,0,0,COUNTA([2]characters!$A:$A),MATCH(G$1,[2]characters!$1:$1,0)-MATCH($A$1,[2]characters!$1:$1,0)+1),MATCH(G$1,[2]characters!$1:$1,0)-MATCH($A$1,[2]characters!$1:$1,0)+1,FALSE)</f>
        <v>5</v>
      </c>
      <c r="H226" s="77" t="str">
        <f ca="1">VLOOKUP($A226,OFFSET([2]characters!$A$1,0,0,COUNTA([2]characters!$A:$A),MATCH(H$1,[2]characters!$1:$1,0)-MATCH($A$1,[2]characters!$1:$1,0)+1),MATCH(H$1,[2]characters!$1:$1,0)-MATCH($A$1,[2]characters!$1:$1,0)+1,FALSE)</f>
        <v>PremiumN</v>
      </c>
      <c r="I226" s="77" t="str">
        <f ca="1">VLOOKUP($A226,OFFSET([2]characters!$A$1,0,0,COUNTA([2]characters!$A:$A),MATCH(I$1,[2]characters!$1:$1,0)-MATCH($A$1,[2]characters!$1:$1,0)+1),MATCH(I$1,[2]characters!$1:$1,0)-MATCH($A$1,[2]characters!$1:$1,0)+1,FALSE)</f>
        <v>yellow</v>
      </c>
      <c r="J226" s="14">
        <f ca="1">VLOOKUP(I226,[2]属性!$A:$E,2,FALSE)</f>
        <v>0.98</v>
      </c>
      <c r="K226" s="14">
        <f ca="1">VLOOKUP(I226,[2]属性!$A:$E,3,FALSE)</f>
        <v>1.01</v>
      </c>
      <c r="L226" s="14">
        <f ca="1">VLOOKUP(I226,[2]属性!$A:$E,4,FALSE)</f>
        <v>1</v>
      </c>
      <c r="M226" s="14">
        <f ca="1">VLOOKUP(I226,[2]属性!$A:$E,5,FALSE)</f>
        <v>1.01</v>
      </c>
      <c r="N226" s="14">
        <f ca="1">INDEX(コスト!$A$1:$I$20,MATCH(H226,コスト!$A$1:$A$20,FALSE),MATCH(G226,コスト!$A$1:$I$1,FALSE))</f>
        <v>28</v>
      </c>
      <c r="O226" s="14">
        <f ca="1">INDEX(レベル!$A$1:$I$21,MATCH(H226,レベル!$A$1:$A$21,FALSE),MATCH(G226,レベル!$A$1:$I$1,FALSE))</f>
        <v>80</v>
      </c>
      <c r="P226" s="63">
        <f t="shared" ca="1" si="28"/>
        <v>75</v>
      </c>
      <c r="Q226" s="77" t="str">
        <f ca="1">VLOOKUP($A226,OFFSET([2]characters!$A$1,0,0,COUNTA([2]characters!$A:$A),MATCH(Q$1,[2]characters!$1:$1,0)-MATCH($A$1,[2]characters!$1:$1,0)+1),MATCH(Q$1,[2]characters!$1:$1,0)-MATCH($A$1,[2]characters!$1:$1,0)+1,FALSE)</f>
        <v>balance</v>
      </c>
      <c r="R226" s="8" t="str">
        <f ca="1">VLOOKUP(Q226,[2]character_type_i18n!$A:$H,3,FALSE)</f>
        <v>バランスタイプ</v>
      </c>
      <c r="S226" s="14">
        <f ca="1">VLOOKUP(Q226,[2]character_type_i18n!$A:$H,4,FALSE)</f>
        <v>1</v>
      </c>
      <c r="T226" s="14">
        <f ca="1">VLOOKUP(Q226,[2]character_type_i18n!$A:$H,5,FALSE)</f>
        <v>1</v>
      </c>
      <c r="U226" s="14">
        <f ca="1">VLOOKUP(Q226,[2]character_type_i18n!$A:$H,6,FALSE)</f>
        <v>1</v>
      </c>
      <c r="V226" s="14">
        <f ca="1">VLOOKUP(Q226,[2]character_type_i18n!$A:$H,7,FALSE)</f>
        <v>1</v>
      </c>
      <c r="W226" s="77" t="str">
        <f ca="1">VLOOKUP($A226,OFFSET([2]characters!$A$1,0,0,COUNTA([2]characters!$A:$A),MATCH(W$1,[2]characters!$1:$1,0)-MATCH($A$1,[2]characters!$1:$1,0)+1),MATCH(W$1,[2]characters!$1:$1,0)-MATCH($A$1,[2]characters!$1:$1,0)+1,FALSE)</f>
        <v>human</v>
      </c>
      <c r="X226" s="8" t="str">
        <f ca="1">VLOOKUP(W226,[2]character_tribe_i18n!$A:$H,3,FALSE)</f>
        <v>ヒューマン</v>
      </c>
      <c r="Y226" s="77" t="str">
        <f ca="1">VLOOKUP($A226,OFFSET([2]characters!$A$1,0,0,COUNTA([2]characters!$A:$A),MATCH(Y$1,[2]characters!$1:$1,0)-MATCH($A$1,[2]characters!$1:$1,0)+1),MATCH(Y$1,[2]characters!$1:$1,0)-MATCH($A$1,[2]characters!$1:$1,0)+1,FALSE)</f>
        <v>none</v>
      </c>
      <c r="Z226" s="8" t="str">
        <f ca="1">VLOOKUP(Y226,[2]character_tribe_i18n!$A:$H,3,FALSE)</f>
        <v>種族なし</v>
      </c>
      <c r="AA226" s="14">
        <f ca="1">VLOOKUP(W226,[2]character_tribe_i18n!$A:$H,4,FALSE)</f>
        <v>0.94</v>
      </c>
      <c r="AB226" s="14">
        <f ca="1">VLOOKUP(W226,[2]character_tribe_i18n!$A:$H,5,FALSE)</f>
        <v>0.99</v>
      </c>
      <c r="AC226" s="14">
        <f ca="1">VLOOKUP(W226,[2]character_tribe_i18n!$A:$H,6,FALSE)</f>
        <v>1</v>
      </c>
      <c r="AD226" s="14">
        <f ca="1">VLOOKUP(W226,[2]character_tribe_i18n!$A:$H,7,FALSE)</f>
        <v>1.07</v>
      </c>
      <c r="AE226" s="12" t="s">
        <v>102</v>
      </c>
      <c r="AF226" s="85" t="str">
        <f ca="1">IF(AE226="NULL","",VLOOKUP($AE226,OFFSET([2]characters!$A$1,0,0,COUNTA([2]characters!$A:$A),MATCH(AF$1,[2]characters!$1:$1,0)-MATCH($A$1,[2]characters!$1:$1,0)+1),MATCH(AF$1,[2]characters!$1:$1,0)-MATCH($A$1,[2]characters!$1:$1,0)+1,FALSE))</f>
        <v/>
      </c>
      <c r="AG226" s="8">
        <f t="shared" ca="1" si="23"/>
        <v>223</v>
      </c>
      <c r="AH226" s="85" t="str">
        <f ca="1">VLOOKUP($AG226,OFFSET([2]characters!$A$1,0,0,COUNTA([2]characters!$A:$A),MATCH(AH$1,[2]characters!$1:$1,0)-MATCH($A$1,[2]characters!$1:$1,0)+1),MATCH(AH$1,[2]characters!$1:$1,0)-MATCH($A$1,[2]characters!$1:$1,0)+1,FALSE)</f>
        <v>ヘラクレス</v>
      </c>
      <c r="AI226" s="14" t="str">
        <f>IF(AE226="NULL","NULL",VLOOKUP(G226,ビット!$A$2:$B$7,2))</f>
        <v>NULL</v>
      </c>
      <c r="AJ226" s="9">
        <v>2</v>
      </c>
      <c r="AK226" s="10" t="str">
        <f t="shared" si="24"/>
        <v>普通</v>
      </c>
      <c r="AL226" s="14" t="str">
        <f ca="1">INDEX(経験値!$A$1:$I$20,MATCH(H226,経験値!$A$1:$A$20,FALSE),MATCH(G226,経験値!$A$1:$I$1,FALSE))</f>
        <v>required_exp_200</v>
      </c>
      <c r="AM226" s="11">
        <f ca="1">VLOOKUP(G226,経験値!$A$27:$B$31,2)</f>
        <v>6400</v>
      </c>
      <c r="AN226" s="21">
        <f ca="1">VLOOKUP(G226,ビット!$G$2:$H$7,2)</f>
        <v>900</v>
      </c>
      <c r="AO226" s="98" t="s">
        <v>178</v>
      </c>
      <c r="AP226" s="97">
        <v>321010</v>
      </c>
      <c r="AQ226" s="77" t="e">
        <f ca="1">VLOOKUP($AP226,OFFSET([1]unit_skills!$A$1,0,0,COUNTA([1]unit_skills!$A:$A),MATCH("name",[1]unit_skills!$1:$1,0)-MATCH($AP$1,[1]unit_skills!$1:$1,0)+1),MATCH("name",[1]unit_skills!$1:$1,0)-MATCH($AP$1,[1]unit_skills!$1:$1,0)+1,FALSE)</f>
        <v>#VALUE!</v>
      </c>
      <c r="AR226" s="77" t="e">
        <f ca="1">VLOOKUP($AP226,OFFSET([1]unit_skills!$A$1,0,0,COUNTA([1]unit_skills!$A:$A),MATCH("comment",[1]unit_skills!$1:$1,0)-MATCH($AP$1,[1]unit_skills!$1:$1,0)+1),MATCH("comment",[1]unit_skills!$1:$1,0)-MATCH($AP$1,[1]unit_skills!$1:$1,0)+1,FALSE)</f>
        <v>#VALUE!</v>
      </c>
      <c r="AS226" s="77" t="e">
        <f ca="1">VLOOKUP($AP226,OFFSET([1]unit_skills!$A$1,0,0,COUNTA([1]unit_skills!$A:$A),MATCH(AS$1,[1]unit_skills!$1:$1,0)-MATCH($AP$1,[1]unit_skills!$1:$1,0)+1),MATCH(AS$1,[1]unit_skills!$1:$1,0)-MATCH($AP$1,[1]unit_skills!$1:$1,0)+1,FALSE)</f>
        <v>#VALUE!</v>
      </c>
      <c r="AT226" s="97">
        <v>454004</v>
      </c>
      <c r="AU226" s="77" t="e">
        <f ca="1">VLOOKUP($AT226,OFFSET([1]crash_skills!$A$1,0,0,COUNTA([1]crash_skills!$A:$A),MATCH("name",[1]crash_skills!$1:$1,0)-MATCH($AT$1,[1]crash_skills!$1:$1,0)+1),MATCH("name",[1]crash_skills!$1:$1,0)-MATCH($AT$1,[1]crash_skills!$1:$1,0)+1,FALSE)</f>
        <v>#VALUE!</v>
      </c>
      <c r="AV226" s="77" t="e">
        <f ca="1">VLOOKUP($AT226,OFFSET([1]crash_skills!$A$1,0,0,COUNTA([1]crash_skills!$A:$A),MATCH("comment",[1]crash_skills!$1:$1,0)-MATCH($AT$1,[1]crash_skills!$1:$1,0)+1),MATCH("comment",[1]crash_skills!$1:$1,0)-MATCH($AT$1,[1]crash_skills!$1:$1,0)+1,FALSE)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26" s="77" t="e">
        <f ca="1">VLOOKUP($AT226,OFFSET([1]crash_skills!$A$1,0,0,COUNTA([1]crash_skills!$A:$A),MATCH(AW$1,[1]crash_skills!$1:$1,0)-MATCH($AT$1,[1]crash_skills!$1:$1,0)+1),MATCH(AW$1,[1]crash_skills!$1:$1,0)-MATCH($AT$1,[1]crash_skills!$1:$1,0)+1,FALSE)</f>
        <v>#VALUE!</v>
      </c>
      <c r="AX226" s="81">
        <f ca="1">VLOOKUP($A226,OFFSET([2]characters!$A$1,0,0,COUNTA([2]characters!$A:$A),MATCH(AX$1,[2]characters!$1:$1,0)-MATCH($A$1,[2]characters!$1:$1,0)+1),MATCH(AX$1,[2]characters!$1:$1,0)-MATCH($A$1,[2]characters!$1:$1,0)+1,FALSE)</f>
        <v>3</v>
      </c>
      <c r="AY226" s="19">
        <v>1</v>
      </c>
      <c r="AZ226" s="19">
        <v>1</v>
      </c>
      <c r="BA226" s="19">
        <v>0</v>
      </c>
      <c r="BB226" s="19">
        <v>1</v>
      </c>
      <c r="BC226" s="14">
        <f ca="1">INDEX('RC6SV'!$A$1:$G$20,MATCH(H226,'RC6SV'!$A$1:$A$20,FALSE),MATCH(G226,'RC6SV'!$A$1:$G$1,FALSE))</f>
        <v>8500</v>
      </c>
      <c r="BD226" s="63">
        <f t="shared" ca="1" si="25"/>
        <v>8500</v>
      </c>
      <c r="BE226" s="14">
        <f t="shared" ca="1" si="26"/>
        <v>6700</v>
      </c>
      <c r="BF226" s="14">
        <f t="shared" ca="1" si="27"/>
        <v>1</v>
      </c>
      <c r="BG226" s="20">
        <f ca="1">IF($BE226&lt;=0,ROUND(BK226*0.5,0), ROUND($BE226*S226*AA226*J226*AY226*0.8*[2]ステータス!$B$2,0))</f>
        <v>2469</v>
      </c>
      <c r="BH226" s="20">
        <f ca="1">IF($BE226&lt;=0,ROUND(BL226*0.5,0), ROUND($BE226*T226*AB226*K226*AZ226*0.8*[2]ステータス!$C$2,0))</f>
        <v>1608</v>
      </c>
      <c r="BI226" s="20">
        <f ca="1">IF($BE226&lt;=0,ROUND(BM226*0.5,0), ROUND($BE226*U226*AC226*L226*BA226*0.8*[2]ステータス!$D$2,0))</f>
        <v>0</v>
      </c>
      <c r="BJ226" s="20">
        <f ca="1">IF($BE226&lt;=0,ROUND(BN226*0.5,0), ROUND($BE226*V226*AD226*M226*BB226*0.8*[2]ステータス!$E$2,0))</f>
        <v>1448</v>
      </c>
      <c r="BK226" s="14">
        <f ca="1">ROUND(BD226*S226*AA226*J226*AY226*[2]ステータス!$B$2,0)</f>
        <v>3915</v>
      </c>
      <c r="BL226" s="14">
        <f ca="1">ROUND(BD226*T226*AB226*K226*AZ226*[2]ステータス!$C$2,0)</f>
        <v>2550</v>
      </c>
      <c r="BM226" s="14">
        <f ca="1">ROUND(BD226*U226*AC226*L226*BA226*[2]ステータス!$D$2,0)</f>
        <v>0</v>
      </c>
      <c r="BN226" s="14">
        <f ca="1">ROUND(BD226*V226*AD226*M226*BB226*[2]ステータス!$E$2,0)</f>
        <v>2296</v>
      </c>
      <c r="BO226" s="13">
        <v>0</v>
      </c>
      <c r="BP226" s="13">
        <v>1</v>
      </c>
      <c r="BQ226" s="13" t="s">
        <v>102</v>
      </c>
      <c r="BR226" s="13">
        <f ca="1">VLOOKUP(H226,ghosts_label!$A$2:$B$19,2,FALSE)</f>
        <v>600</v>
      </c>
    </row>
    <row r="227" spans="1:70" ht="21" customHeight="1" x14ac:dyDescent="0.15">
      <c r="A227" s="14">
        <f t="shared" ca="1" si="22"/>
        <v>226</v>
      </c>
      <c r="B227" s="77" t="str">
        <f ca="1">VLOOKUP($A227,OFFSET([2]characters!$A$1,0,0,COUNTA([2]characters!$A:$A),MATCH(B$1,[2]characters!$1:$1,0)-MATCH($A$1,[2]characters!$1:$1,0)+1),MATCH(B$1,[2]characters!$1:$1,0)-MATCH($A$1,[2]characters!$1:$1,0)+1,FALSE)</f>
        <v>アレス</v>
      </c>
      <c r="C227" s="77" t="str">
        <f ca="1">VLOOKUP($A227,OFFSET([2]characters!$A$1,0,0,COUNTA([2]characters!$A:$A),MATCH(C$1,[2]characters!$1:$1,0)-MATCH($A$1,[2]characters!$1:$1,0)+1),MATCH(C$1,[2]characters!$1:$1,0)-MATCH($A$1,[2]characters!$1:$1,0)+1,FALSE)</f>
        <v>初期ガチャ</v>
      </c>
      <c r="D227" s="77" t="str">
        <f ca="1">VLOOKUP($A227,OFFSET([2]characters!$A$1,0,0,COUNTA([2]characters!$A:$A),MATCH(D$1,[2]characters!$1:$1,0)-MATCH($A$1,[2]characters!$1:$1,0)+1),MATCH(D$1,[2]characters!$1:$1,0)-MATCH($A$1,[2]characters!$1:$1,0)+1,FALSE)</f>
        <v>管理者</v>
      </c>
      <c r="E227" s="77" t="str">
        <f ca="1">VLOOKUP($A227,OFFSET([2]characters!$A$1,0,0,COUNTA([2]characters!$A:$A),MATCH(E$1,[2]characters!$1:$1,0)-MATCH($A$1,[2]characters!$1:$1,0)+1),MATCH(E$1,[2]characters!$1:$1,0)-MATCH($A$1,[2]characters!$1:$1,0)+1,FALSE)</f>
        <v>格好いい</v>
      </c>
      <c r="F227" s="77" t="str">
        <f ca="1">VLOOKUP($A227,OFFSET([2]characters!$A$1,0,0,COUNTA([2]characters!$A:$A),MATCH(F$1,[2]characters!$1:$1,0)-MATCH($A$1,[2]characters!$1:$1,0)+1),MATCH(F$1,[2]characters!$1:$1,0)-MATCH($A$1,[2]characters!$1:$1,0)+1,FALSE)</f>
        <v>男性</v>
      </c>
      <c r="G227" s="77">
        <f ca="1">VLOOKUP($A227,OFFSET([2]characters!$A$1,0,0,COUNTA([2]characters!$A:$A),MATCH(G$1,[2]characters!$1:$1,0)-MATCH($A$1,[2]characters!$1:$1,0)+1),MATCH(G$1,[2]characters!$1:$1,0)-MATCH($A$1,[2]characters!$1:$1,0)+1,FALSE)</f>
        <v>3</v>
      </c>
      <c r="H227" s="77" t="str">
        <f ca="1">VLOOKUP($A227,OFFSET([2]characters!$A$1,0,0,COUNTA([2]characters!$A:$A),MATCH(H$1,[2]characters!$1:$1,0)-MATCH($A$1,[2]characters!$1:$1,0)+1),MATCH(H$1,[2]characters!$1:$1,0)-MATCH($A$1,[2]characters!$1:$1,0)+1,FALSE)</f>
        <v>PremiumS</v>
      </c>
      <c r="I227" s="77" t="str">
        <f ca="1">VLOOKUP($A227,OFFSET([2]characters!$A$1,0,0,COUNTA([2]characters!$A:$A),MATCH(I$1,[2]characters!$1:$1,0)-MATCH($A$1,[2]characters!$1:$1,0)+1),MATCH(I$1,[2]characters!$1:$1,0)-MATCH($A$1,[2]characters!$1:$1,0)+1,FALSE)</f>
        <v>red</v>
      </c>
      <c r="J227" s="14">
        <f ca="1">VLOOKUP(I227,[2]属性!$A:$E,2,FALSE)</f>
        <v>1</v>
      </c>
      <c r="K227" s="14">
        <f ca="1">VLOOKUP(I227,[2]属性!$A:$E,3,FALSE)</f>
        <v>1.02</v>
      </c>
      <c r="L227" s="14">
        <f ca="1">VLOOKUP(I227,[2]属性!$A:$E,4,FALSE)</f>
        <v>1</v>
      </c>
      <c r="M227" s="14">
        <f ca="1">VLOOKUP(I227,[2]属性!$A:$E,5,FALSE)</f>
        <v>0.98</v>
      </c>
      <c r="N227" s="14">
        <f ca="1">INDEX(コスト!$A$1:$I$20,MATCH(H227,コスト!$A$1:$A$20,FALSE),MATCH(G227,コスト!$A$1:$I$1,FALSE))</f>
        <v>10</v>
      </c>
      <c r="O227" s="14">
        <f ca="1">INDEX(レベル!$A$1:$I$21,MATCH(H227,レベル!$A$1:$A$21,FALSE),MATCH(G227,レベル!$A$1:$I$1,FALSE))</f>
        <v>40</v>
      </c>
      <c r="P227" s="63">
        <f t="shared" ca="1" si="28"/>
        <v>45</v>
      </c>
      <c r="Q227" s="77" t="str">
        <f ca="1">VLOOKUP($A227,OFFSET([2]characters!$A$1,0,0,COUNTA([2]characters!$A:$A),MATCH(Q$1,[2]characters!$1:$1,0)-MATCH($A$1,[2]characters!$1:$1,0)+1),MATCH(Q$1,[2]characters!$1:$1,0)-MATCH($A$1,[2]characters!$1:$1,0)+1,FALSE)</f>
        <v>attack</v>
      </c>
      <c r="R227" s="8" t="str">
        <f ca="1">VLOOKUP(Q227,[2]character_type_i18n!$A:$H,3,FALSE)</f>
        <v>攻撃タイプ</v>
      </c>
      <c r="S227" s="14">
        <f ca="1">VLOOKUP(Q227,[2]character_type_i18n!$A:$H,4,FALSE)</f>
        <v>1</v>
      </c>
      <c r="T227" s="14">
        <f ca="1">VLOOKUP(Q227,[2]character_type_i18n!$A:$H,5,FALSE)</f>
        <v>1.33</v>
      </c>
      <c r="U227" s="14">
        <f ca="1">VLOOKUP(Q227,[2]character_type_i18n!$A:$H,6,FALSE)</f>
        <v>1</v>
      </c>
      <c r="V227" s="14">
        <f ca="1">VLOOKUP(Q227,[2]character_type_i18n!$A:$H,7,FALSE)</f>
        <v>0.67</v>
      </c>
      <c r="W227" s="77" t="str">
        <f ca="1">VLOOKUP($A227,OFFSET([2]characters!$A$1,0,0,COUNTA([2]characters!$A:$A),MATCH(W$1,[2]characters!$1:$1,0)-MATCH($A$1,[2]characters!$1:$1,0)+1),MATCH(W$1,[2]characters!$1:$1,0)-MATCH($A$1,[2]characters!$1:$1,0)+1,FALSE)</f>
        <v>god</v>
      </c>
      <c r="X227" s="8" t="str">
        <f ca="1">VLOOKUP(W227,[2]character_tribe_i18n!$A:$H,3,FALSE)</f>
        <v>ゴッド</v>
      </c>
      <c r="Y227" s="77" t="str">
        <f ca="1">VLOOKUP($A227,OFFSET([2]characters!$A$1,0,0,COUNTA([2]characters!$A:$A),MATCH(Y$1,[2]characters!$1:$1,0)-MATCH($A$1,[2]characters!$1:$1,0)+1),MATCH(Y$1,[2]characters!$1:$1,0)-MATCH($A$1,[2]characters!$1:$1,0)+1,FALSE)</f>
        <v>none</v>
      </c>
      <c r="Z227" s="8" t="str">
        <f ca="1">VLOOKUP(Y227,[2]character_tribe_i18n!$A:$H,3,FALSE)</f>
        <v>種族なし</v>
      </c>
      <c r="AA227" s="14">
        <f ca="1">VLOOKUP(W227,[2]character_tribe_i18n!$A:$H,4,FALSE)</f>
        <v>0.96</v>
      </c>
      <c r="AB227" s="14">
        <f ca="1">VLOOKUP(W227,[2]character_tribe_i18n!$A:$H,5,FALSE)</f>
        <v>1.02</v>
      </c>
      <c r="AC227" s="14">
        <f ca="1">VLOOKUP(W227,[2]character_tribe_i18n!$A:$H,6,FALSE)</f>
        <v>1</v>
      </c>
      <c r="AD227" s="14">
        <f ca="1">VLOOKUP(W227,[2]character_tribe_i18n!$A:$H,7,FALSE)</f>
        <v>1.02</v>
      </c>
      <c r="AE227" s="12">
        <v>227</v>
      </c>
      <c r="AF227" s="85" t="str">
        <f ca="1">IF(AE227="NULL","",VLOOKUP($AE227,OFFSET([2]characters!$A$1,0,0,COUNTA([2]characters!$A:$A),MATCH(AF$1,[2]characters!$1:$1,0)-MATCH($A$1,[2]characters!$1:$1,0)+1),MATCH(AF$1,[2]characters!$1:$1,0)-MATCH($A$1,[2]characters!$1:$1,0)+1,FALSE))</f>
        <v>滅弾 アレス</v>
      </c>
      <c r="AG227" s="8">
        <f t="shared" ca="1" si="23"/>
        <v>226</v>
      </c>
      <c r="AH227" s="85" t="str">
        <f ca="1">VLOOKUP($AG227,OFFSET([2]characters!$A$1,0,0,COUNTA([2]characters!$A:$A),MATCH(AH$1,[2]characters!$1:$1,0)-MATCH($A$1,[2]characters!$1:$1,0)+1),MATCH(AH$1,[2]characters!$1:$1,0)-MATCH($A$1,[2]characters!$1:$1,0)+1,FALSE)</f>
        <v>アレス</v>
      </c>
      <c r="AI227" s="14">
        <f ca="1">IF(AE227="NULL","NULL",VLOOKUP(G227,ビット!$A$2:$B$7,2))</f>
        <v>20000</v>
      </c>
      <c r="AJ227" s="9">
        <v>2</v>
      </c>
      <c r="AK227" s="10" t="str">
        <f t="shared" si="24"/>
        <v>普通</v>
      </c>
      <c r="AL227" s="14" t="str">
        <f ca="1">INDEX(経験値!$A$1:$I$20,MATCH(H227,経験値!$A$1:$A$20,FALSE),MATCH(G227,経験値!$A$1:$I$1,FALSE))</f>
        <v>required_exp_200</v>
      </c>
      <c r="AM227" s="11">
        <f ca="1">VLOOKUP(G227,経験値!$A$27:$B$31,2)</f>
        <v>1500</v>
      </c>
      <c r="AN227" s="21">
        <f ca="1">VLOOKUP(G227,ビット!$G$2:$H$7,2)</f>
        <v>300</v>
      </c>
      <c r="AO227" s="98" t="s">
        <v>185</v>
      </c>
      <c r="AP227" s="97">
        <v>711004</v>
      </c>
      <c r="AQ227" s="77" t="e">
        <f ca="1">VLOOKUP($AP227,OFFSET([1]unit_skills!$A$1,0,0,COUNTA([1]unit_skills!$A:$A),MATCH("name",[1]unit_skills!$1:$1,0)-MATCH($AP$1,[1]unit_skills!$1:$1,0)+1),MATCH("name",[1]unit_skills!$1:$1,0)-MATCH($AP$1,[1]unit_skills!$1:$1,0)+1,FALSE)</f>
        <v>#VALUE!</v>
      </c>
      <c r="AR227" s="77" t="e">
        <f ca="1">VLOOKUP($AP227,OFFSET([1]unit_skills!$A$1,0,0,COUNTA([1]unit_skills!$A:$A),MATCH("comment",[1]unit_skills!$1:$1,0)-MATCH($AP$1,[1]unit_skills!$1:$1,0)+1),MATCH("comment",[1]unit_skills!$1:$1,0)-MATCH($AP$1,[1]unit_skills!$1:$1,0)+1,FALSE)</f>
        <v>#VALUE!</v>
      </c>
      <c r="AS227" s="77" t="e">
        <f ca="1">VLOOKUP($AP227,OFFSET([1]unit_skills!$A$1,0,0,COUNTA([1]unit_skills!$A:$A),MATCH(AS$1,[1]unit_skills!$1:$1,0)-MATCH($AP$1,[1]unit_skills!$1:$1,0)+1),MATCH(AS$1,[1]unit_skills!$1:$1,0)-MATCH($AP$1,[1]unit_skills!$1:$1,0)+1,FALSE)</f>
        <v>#VALUE!</v>
      </c>
      <c r="AT227" s="97">
        <v>161002</v>
      </c>
      <c r="AU227" s="77" t="e">
        <f ca="1">VLOOKUP($AT227,OFFSET([1]crash_skills!$A$1,0,0,COUNTA([1]crash_skills!$A:$A),MATCH("name",[1]crash_skills!$1:$1,0)-MATCH($AT$1,[1]crash_skills!$1:$1,0)+1),MATCH("name",[1]crash_skills!$1:$1,0)-MATCH($AT$1,[1]crash_skills!$1:$1,0)+1,FALSE)</f>
        <v>#VALUE!</v>
      </c>
      <c r="AV227" s="77" t="e">
        <f ca="1">VLOOKUP($AT227,OFFSET([1]crash_skills!$A$1,0,0,COUNTA([1]crash_skills!$A:$A),MATCH("comment",[1]crash_skills!$1:$1,0)-MATCH($AT$1,[1]crash_skills!$1:$1,0)+1),MATCH("comment",[1]crash_skills!$1:$1,0)-MATCH($AT$1,[1]crash_skills!$1:$1,0)+1,FALSE)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27" s="77" t="e">
        <f ca="1">VLOOKUP($AT227,OFFSET([1]crash_skills!$A$1,0,0,COUNTA([1]crash_skills!$A:$A),MATCH(AW$1,[1]crash_skills!$1:$1,0)-MATCH($AT$1,[1]crash_skills!$1:$1,0)+1),MATCH(AW$1,[1]crash_skills!$1:$1,0)-MATCH($AT$1,[1]crash_skills!$1:$1,0)+1,FALSE)</f>
        <v>#VALUE!</v>
      </c>
      <c r="AX227" s="81">
        <f ca="1">VLOOKUP($A227,OFFSET([2]characters!$A$1,0,0,COUNTA([2]characters!$A:$A),MATCH(AX$1,[2]characters!$1:$1,0)-MATCH($A$1,[2]characters!$1:$1,0)+1),MATCH(AX$1,[2]characters!$1:$1,0)-MATCH($A$1,[2]characters!$1:$1,0)+1,FALSE)</f>
        <v>3</v>
      </c>
      <c r="AY227" s="19">
        <v>1</v>
      </c>
      <c r="AZ227" s="19">
        <v>1</v>
      </c>
      <c r="BA227" s="19">
        <v>0</v>
      </c>
      <c r="BB227" s="19">
        <v>1</v>
      </c>
      <c r="BC227" s="14">
        <f ca="1">INDEX('RC6SV'!$A$1:$G$20,MATCH(H227,'RC6SV'!$A$1:$A$20,FALSE),MATCH(G227,'RC6SV'!$A$1:$G$1,FALSE))</f>
        <v>5000</v>
      </c>
      <c r="BD227" s="63">
        <f t="shared" ca="1" si="25"/>
        <v>5000</v>
      </c>
      <c r="BE227" s="14">
        <f t="shared" ca="1" si="26"/>
        <v>0</v>
      </c>
      <c r="BF227" s="14">
        <f t="shared" ca="1" si="27"/>
        <v>1</v>
      </c>
      <c r="BG227" s="20">
        <f ca="1">IF($BE227&lt;=0,ROUND(BK227*0.5,0), ROUND($BE227*S227*AA227*J227*AY227*0.8*[2]ステータス!$B$2,0))</f>
        <v>1200</v>
      </c>
      <c r="BH227" s="20">
        <f ca="1">IF($BE227&lt;=0,ROUND(BL227*0.5,0), ROUND($BE227*T227*AB227*K227*AZ227*0.8*[2]ステータス!$C$2,0))</f>
        <v>1038</v>
      </c>
      <c r="BI227" s="20">
        <f ca="1">IF($BE227&lt;=0,ROUND(BM227*0.5,0), ROUND($BE227*U227*AC227*L227*BA227*0.8*[2]ステータス!$D$2,0))</f>
        <v>0</v>
      </c>
      <c r="BJ227" s="20">
        <f ca="1">IF($BE227&lt;=0,ROUND(BN227*0.5,0), ROUND($BE227*V227*AD227*M227*BB227*0.8*[2]ステータス!$E$2,0))</f>
        <v>419</v>
      </c>
      <c r="BK227" s="14">
        <f ca="1">ROUND(BD227*S227*AA227*J227*AY227*[2]ステータス!$B$2,0)</f>
        <v>2400</v>
      </c>
      <c r="BL227" s="14">
        <f ca="1">ROUND(BD227*T227*AB227*K227*AZ227*[2]ステータス!$C$2,0)</f>
        <v>2076</v>
      </c>
      <c r="BM227" s="14">
        <f ca="1">ROUND(BD227*U227*AC227*L227*BA227*[2]ステータス!$D$2,0)</f>
        <v>0</v>
      </c>
      <c r="BN227" s="14">
        <f ca="1">ROUND(BD227*V227*AD227*M227*BB227*[2]ステータス!$E$2,0)</f>
        <v>837</v>
      </c>
      <c r="BO227" s="13">
        <v>0</v>
      </c>
      <c r="BP227" s="13">
        <v>1</v>
      </c>
      <c r="BQ227" s="13" t="s">
        <v>102</v>
      </c>
      <c r="BR227" s="13">
        <f ca="1">VLOOKUP(H227,ghosts_label!$A$2:$B$19,2,FALSE)</f>
        <v>700</v>
      </c>
    </row>
    <row r="228" spans="1:70" ht="21" customHeight="1" x14ac:dyDescent="0.15">
      <c r="A228" s="14">
        <f t="shared" ca="1" si="22"/>
        <v>227</v>
      </c>
      <c r="B228" s="77" t="str">
        <f ca="1">VLOOKUP($A228,OFFSET([2]characters!$A$1,0,0,COUNTA([2]characters!$A:$A),MATCH(B$1,[2]characters!$1:$1,0)-MATCH($A$1,[2]characters!$1:$1,0)+1),MATCH(B$1,[2]characters!$1:$1,0)-MATCH($A$1,[2]characters!$1:$1,0)+1,FALSE)</f>
        <v>滅弾 アレス</v>
      </c>
      <c r="C228" s="77" t="str">
        <f ca="1">VLOOKUP($A228,OFFSET([2]characters!$A$1,0,0,COUNTA([2]characters!$A:$A),MATCH(C$1,[2]characters!$1:$1,0)-MATCH($A$1,[2]characters!$1:$1,0)+1),MATCH(C$1,[2]characters!$1:$1,0)-MATCH($A$1,[2]characters!$1:$1,0)+1,FALSE)</f>
        <v>初期ガチャ</v>
      </c>
      <c r="D228" s="77" t="str">
        <f ca="1">VLOOKUP($A228,OFFSET([2]characters!$A$1,0,0,COUNTA([2]characters!$A:$A),MATCH(D$1,[2]characters!$1:$1,0)-MATCH($A$1,[2]characters!$1:$1,0)+1),MATCH(D$1,[2]characters!$1:$1,0)-MATCH($A$1,[2]characters!$1:$1,0)+1,FALSE)</f>
        <v>管理者</v>
      </c>
      <c r="E228" s="77" t="str">
        <f ca="1">VLOOKUP($A228,OFFSET([2]characters!$A$1,0,0,COUNTA([2]characters!$A:$A),MATCH(E$1,[2]characters!$1:$1,0)-MATCH($A$1,[2]characters!$1:$1,0)+1),MATCH(E$1,[2]characters!$1:$1,0)-MATCH($A$1,[2]characters!$1:$1,0)+1,FALSE)</f>
        <v>格好いい</v>
      </c>
      <c r="F228" s="77" t="str">
        <f ca="1">VLOOKUP($A228,OFFSET([2]characters!$A$1,0,0,COUNTA([2]characters!$A:$A),MATCH(F$1,[2]characters!$1:$1,0)-MATCH($A$1,[2]characters!$1:$1,0)+1),MATCH(F$1,[2]characters!$1:$1,0)-MATCH($A$1,[2]characters!$1:$1,0)+1,FALSE)</f>
        <v>男性</v>
      </c>
      <c r="G228" s="77">
        <f ca="1">VLOOKUP($A228,OFFSET([2]characters!$A$1,0,0,COUNTA([2]characters!$A:$A),MATCH(G$1,[2]characters!$1:$1,0)-MATCH($A$1,[2]characters!$1:$1,0)+1),MATCH(G$1,[2]characters!$1:$1,0)-MATCH($A$1,[2]characters!$1:$1,0)+1,FALSE)</f>
        <v>4</v>
      </c>
      <c r="H228" s="77" t="str">
        <f ca="1">VLOOKUP($A228,OFFSET([2]characters!$A$1,0,0,COUNTA([2]characters!$A:$A),MATCH(H$1,[2]characters!$1:$1,0)-MATCH($A$1,[2]characters!$1:$1,0)+1),MATCH(H$1,[2]characters!$1:$1,0)-MATCH($A$1,[2]characters!$1:$1,0)+1,FALSE)</f>
        <v>PremiumS</v>
      </c>
      <c r="I228" s="77" t="str">
        <f ca="1">VLOOKUP($A228,OFFSET([2]characters!$A$1,0,0,COUNTA([2]characters!$A:$A),MATCH(I$1,[2]characters!$1:$1,0)-MATCH($A$1,[2]characters!$1:$1,0)+1),MATCH(I$1,[2]characters!$1:$1,0)-MATCH($A$1,[2]characters!$1:$1,0)+1,FALSE)</f>
        <v>red</v>
      </c>
      <c r="J228" s="14">
        <f ca="1">VLOOKUP(I228,[2]属性!$A:$E,2,FALSE)</f>
        <v>1</v>
      </c>
      <c r="K228" s="14">
        <f ca="1">VLOOKUP(I228,[2]属性!$A:$E,3,FALSE)</f>
        <v>1.02</v>
      </c>
      <c r="L228" s="14">
        <f ca="1">VLOOKUP(I228,[2]属性!$A:$E,4,FALSE)</f>
        <v>1</v>
      </c>
      <c r="M228" s="14">
        <f ca="1">VLOOKUP(I228,[2]属性!$A:$E,5,FALSE)</f>
        <v>0.98</v>
      </c>
      <c r="N228" s="14">
        <f ca="1">INDEX(コスト!$A$1:$I$20,MATCH(H228,コスト!$A$1:$A$20,FALSE),MATCH(G228,コスト!$A$1:$I$1,FALSE))</f>
        <v>20</v>
      </c>
      <c r="O228" s="14">
        <f ca="1">INDEX(レベル!$A$1:$I$21,MATCH(H228,レベル!$A$1:$A$21,FALSE),MATCH(G228,レベル!$A$1:$I$1,FALSE))</f>
        <v>60</v>
      </c>
      <c r="P228" s="63">
        <f t="shared" ca="1" si="28"/>
        <v>60</v>
      </c>
      <c r="Q228" s="77" t="str">
        <f ca="1">VLOOKUP($A228,OFFSET([2]characters!$A$1,0,0,COUNTA([2]characters!$A:$A),MATCH(Q$1,[2]characters!$1:$1,0)-MATCH($A$1,[2]characters!$1:$1,0)+1),MATCH(Q$1,[2]characters!$1:$1,0)-MATCH($A$1,[2]characters!$1:$1,0)+1,FALSE)</f>
        <v>attack</v>
      </c>
      <c r="R228" s="8" t="str">
        <f ca="1">VLOOKUP(Q228,[2]character_type_i18n!$A:$H,3,FALSE)</f>
        <v>攻撃タイプ</v>
      </c>
      <c r="S228" s="14">
        <f ca="1">VLOOKUP(Q228,[2]character_type_i18n!$A:$H,4,FALSE)</f>
        <v>1</v>
      </c>
      <c r="T228" s="14">
        <f ca="1">VLOOKUP(Q228,[2]character_type_i18n!$A:$H,5,FALSE)</f>
        <v>1.33</v>
      </c>
      <c r="U228" s="14">
        <f ca="1">VLOOKUP(Q228,[2]character_type_i18n!$A:$H,6,FALSE)</f>
        <v>1</v>
      </c>
      <c r="V228" s="14">
        <f ca="1">VLOOKUP(Q228,[2]character_type_i18n!$A:$H,7,FALSE)</f>
        <v>0.67</v>
      </c>
      <c r="W228" s="77" t="str">
        <f ca="1">VLOOKUP($A228,OFFSET([2]characters!$A$1,0,0,COUNTA([2]characters!$A:$A),MATCH(W$1,[2]characters!$1:$1,0)-MATCH($A$1,[2]characters!$1:$1,0)+1),MATCH(W$1,[2]characters!$1:$1,0)-MATCH($A$1,[2]characters!$1:$1,0)+1,FALSE)</f>
        <v>god</v>
      </c>
      <c r="X228" s="8" t="str">
        <f ca="1">VLOOKUP(W228,[2]character_tribe_i18n!$A:$H,3,FALSE)</f>
        <v>ゴッド</v>
      </c>
      <c r="Y228" s="77" t="str">
        <f ca="1">VLOOKUP($A228,OFFSET([2]characters!$A$1,0,0,COUNTA([2]characters!$A:$A),MATCH(Y$1,[2]characters!$1:$1,0)-MATCH($A$1,[2]characters!$1:$1,0)+1),MATCH(Y$1,[2]characters!$1:$1,0)-MATCH($A$1,[2]characters!$1:$1,0)+1,FALSE)</f>
        <v>none</v>
      </c>
      <c r="Z228" s="8" t="str">
        <f ca="1">VLOOKUP(Y228,[2]character_tribe_i18n!$A:$H,3,FALSE)</f>
        <v>種族なし</v>
      </c>
      <c r="AA228" s="14">
        <f ca="1">VLOOKUP(W228,[2]character_tribe_i18n!$A:$H,4,FALSE)</f>
        <v>0.96</v>
      </c>
      <c r="AB228" s="14">
        <f ca="1">VLOOKUP(W228,[2]character_tribe_i18n!$A:$H,5,FALSE)</f>
        <v>1.02</v>
      </c>
      <c r="AC228" s="14">
        <f ca="1">VLOOKUP(W228,[2]character_tribe_i18n!$A:$H,6,FALSE)</f>
        <v>1</v>
      </c>
      <c r="AD228" s="14">
        <f ca="1">VLOOKUP(W228,[2]character_tribe_i18n!$A:$H,7,FALSE)</f>
        <v>1.02</v>
      </c>
      <c r="AE228" s="12">
        <v>228</v>
      </c>
      <c r="AF228" s="85" t="str">
        <f ca="1">IF(AE228="NULL","",VLOOKUP($AE228,OFFSET([2]characters!$A$1,0,0,COUNTA([2]characters!$A:$A),MATCH(AF$1,[2]characters!$1:$1,0)-MATCH($A$1,[2]characters!$1:$1,0)+1),MATCH(AF$1,[2]characters!$1:$1,0)-MATCH($A$1,[2]characters!$1:$1,0)+1,FALSE))</f>
        <v>殲滅の掃射砲 アレス</v>
      </c>
      <c r="AG228" s="8">
        <f t="shared" ca="1" si="23"/>
        <v>226</v>
      </c>
      <c r="AH228" s="85" t="str">
        <f ca="1">VLOOKUP($AG228,OFFSET([2]characters!$A$1,0,0,COUNTA([2]characters!$A:$A),MATCH(AH$1,[2]characters!$1:$1,0)-MATCH($A$1,[2]characters!$1:$1,0)+1),MATCH(AH$1,[2]characters!$1:$1,0)-MATCH($A$1,[2]characters!$1:$1,0)+1,FALSE)</f>
        <v>アレス</v>
      </c>
      <c r="AI228" s="14">
        <f ca="1">IF(AE228="NULL","NULL",VLOOKUP(G228,ビット!$A$2:$B$7,2))</f>
        <v>50000</v>
      </c>
      <c r="AJ228" s="9">
        <v>2</v>
      </c>
      <c r="AK228" s="10" t="str">
        <f t="shared" si="24"/>
        <v>普通</v>
      </c>
      <c r="AL228" s="14" t="str">
        <f ca="1">INDEX(経験値!$A$1:$I$20,MATCH(H228,経験値!$A$1:$A$20,FALSE),MATCH(G228,経験値!$A$1:$I$1,FALSE))</f>
        <v>required_exp_200</v>
      </c>
      <c r="AM228" s="11">
        <f ca="1">VLOOKUP(G228,経験値!$A$27:$B$31,2)</f>
        <v>3400</v>
      </c>
      <c r="AN228" s="21">
        <f ca="1">VLOOKUP(G228,ビット!$G$2:$H$7,2)</f>
        <v>600</v>
      </c>
      <c r="AO228" s="98" t="s">
        <v>185</v>
      </c>
      <c r="AP228" s="97">
        <v>711005</v>
      </c>
      <c r="AQ228" s="77" t="e">
        <f ca="1">VLOOKUP($AP228,OFFSET([1]unit_skills!$A$1,0,0,COUNTA([1]unit_skills!$A:$A),MATCH("name",[1]unit_skills!$1:$1,0)-MATCH($AP$1,[1]unit_skills!$1:$1,0)+1),MATCH("name",[1]unit_skills!$1:$1,0)-MATCH($AP$1,[1]unit_skills!$1:$1,0)+1,FALSE)</f>
        <v>#VALUE!</v>
      </c>
      <c r="AR228" s="77" t="e">
        <f ca="1">VLOOKUP($AP228,OFFSET([1]unit_skills!$A$1,0,0,COUNTA([1]unit_skills!$A:$A),MATCH("comment",[1]unit_skills!$1:$1,0)-MATCH($AP$1,[1]unit_skills!$1:$1,0)+1),MATCH("comment",[1]unit_skills!$1:$1,0)-MATCH($AP$1,[1]unit_skills!$1:$1,0)+1,FALSE)</f>
        <v>#VALUE!</v>
      </c>
      <c r="AS228" s="77" t="e">
        <f ca="1">VLOOKUP($AP228,OFFSET([1]unit_skills!$A$1,0,0,COUNTA([1]unit_skills!$A:$A),MATCH(AS$1,[1]unit_skills!$1:$1,0)-MATCH($AP$1,[1]unit_skills!$1:$1,0)+1),MATCH(AS$1,[1]unit_skills!$1:$1,0)-MATCH($AP$1,[1]unit_skills!$1:$1,0)+1,FALSE)</f>
        <v>#VALUE!</v>
      </c>
      <c r="AT228" s="97">
        <v>161003</v>
      </c>
      <c r="AU228" s="77" t="e">
        <f ca="1">VLOOKUP($AT228,OFFSET([1]crash_skills!$A$1,0,0,COUNTA([1]crash_skills!$A:$A),MATCH("name",[1]crash_skills!$1:$1,0)-MATCH($AT$1,[1]crash_skills!$1:$1,0)+1),MATCH("name",[1]crash_skills!$1:$1,0)-MATCH($AT$1,[1]crash_skills!$1:$1,0)+1,FALSE)</f>
        <v>#VALUE!</v>
      </c>
      <c r="AV228" s="77" t="e">
        <f ca="1">VLOOKUP($AT228,OFFSET([1]crash_skills!$A$1,0,0,COUNTA([1]crash_skills!$A:$A),MATCH("comment",[1]crash_skills!$1:$1,0)-MATCH($AT$1,[1]crash_skills!$1:$1,0)+1),MATCH("comment",[1]crash_skills!$1:$1,0)-MATCH($AT$1,[1]crash_skills!$1:$1,0)+1,FALSE)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28" s="77" t="e">
        <f ca="1">VLOOKUP($AT228,OFFSET([1]crash_skills!$A$1,0,0,COUNTA([1]crash_skills!$A:$A),MATCH(AW$1,[1]crash_skills!$1:$1,0)-MATCH($AT$1,[1]crash_skills!$1:$1,0)+1),MATCH(AW$1,[1]crash_skills!$1:$1,0)-MATCH($AT$1,[1]crash_skills!$1:$1,0)+1,FALSE)</f>
        <v>#VALUE!</v>
      </c>
      <c r="AX228" s="81">
        <f ca="1">VLOOKUP($A228,OFFSET([2]characters!$A$1,0,0,COUNTA([2]characters!$A:$A),MATCH(AX$1,[2]characters!$1:$1,0)-MATCH($A$1,[2]characters!$1:$1,0)+1),MATCH(AX$1,[2]characters!$1:$1,0)-MATCH($A$1,[2]characters!$1:$1,0)+1,FALSE)</f>
        <v>3</v>
      </c>
      <c r="AY228" s="19">
        <v>1</v>
      </c>
      <c r="AZ228" s="19">
        <v>1</v>
      </c>
      <c r="BA228" s="19">
        <v>0</v>
      </c>
      <c r="BB228" s="19">
        <v>1</v>
      </c>
      <c r="BC228" s="14">
        <f ca="1">INDEX('RC6SV'!$A$1:$G$20,MATCH(H228,'RC6SV'!$A$1:$A$20,FALSE),MATCH(G228,'RC6SV'!$A$1:$G$1,FALSE))</f>
        <v>7000</v>
      </c>
      <c r="BD228" s="63">
        <f t="shared" ca="1" si="25"/>
        <v>7000</v>
      </c>
      <c r="BE228" s="14">
        <f t="shared" ca="1" si="26"/>
        <v>5000</v>
      </c>
      <c r="BF228" s="14">
        <f t="shared" ca="1" si="27"/>
        <v>1</v>
      </c>
      <c r="BG228" s="20">
        <f ca="1">IF($BE228&lt;=0,ROUND(BK228*0.5,0), ROUND($BE228*S228*AA228*J228*AY228*0.8*[2]ステータス!$B$2,0))</f>
        <v>1920</v>
      </c>
      <c r="BH228" s="20">
        <f ca="1">IF($BE228&lt;=0,ROUND(BL228*0.5,0), ROUND($BE228*T228*AB228*K228*AZ228*0.8*[2]ステータス!$C$2,0))</f>
        <v>1660</v>
      </c>
      <c r="BI228" s="20">
        <f ca="1">IF($BE228&lt;=0,ROUND(BM228*0.5,0), ROUND($BE228*U228*AC228*L228*BA228*0.8*[2]ステータス!$D$2,0))</f>
        <v>0</v>
      </c>
      <c r="BJ228" s="20">
        <f ca="1">IF($BE228&lt;=0,ROUND(BN228*0.5,0), ROUND($BE228*V228*AD228*M228*BB228*0.8*[2]ステータス!$E$2,0))</f>
        <v>670</v>
      </c>
      <c r="BK228" s="14">
        <f ca="1">ROUND(BD228*S228*AA228*J228*AY228*[2]ステータス!$B$2,0)</f>
        <v>3360</v>
      </c>
      <c r="BL228" s="14">
        <f ca="1">ROUND(BD228*T228*AB228*K228*AZ228*[2]ステータス!$C$2,0)</f>
        <v>2906</v>
      </c>
      <c r="BM228" s="14">
        <f ca="1">ROUND(BD228*U228*AC228*L228*BA228*[2]ステータス!$D$2,0)</f>
        <v>0</v>
      </c>
      <c r="BN228" s="14">
        <f ca="1">ROUND(BD228*V228*AD228*M228*BB228*[2]ステータス!$E$2,0)</f>
        <v>1172</v>
      </c>
      <c r="BO228" s="13">
        <v>0</v>
      </c>
      <c r="BP228" s="13">
        <v>1</v>
      </c>
      <c r="BQ228" s="13" t="s">
        <v>102</v>
      </c>
      <c r="BR228" s="13">
        <f ca="1">VLOOKUP(H228,ghosts_label!$A$2:$B$19,2,FALSE)</f>
        <v>700</v>
      </c>
    </row>
    <row r="229" spans="1:70" ht="21" customHeight="1" x14ac:dyDescent="0.15">
      <c r="A229" s="14">
        <f t="shared" ca="1" si="22"/>
        <v>228</v>
      </c>
      <c r="B229" s="77" t="str">
        <f ca="1">VLOOKUP($A229,OFFSET([2]characters!$A$1,0,0,COUNTA([2]characters!$A:$A),MATCH(B$1,[2]characters!$1:$1,0)-MATCH($A$1,[2]characters!$1:$1,0)+1),MATCH(B$1,[2]characters!$1:$1,0)-MATCH($A$1,[2]characters!$1:$1,0)+1,FALSE)</f>
        <v>殲滅の掃射砲 アレス</v>
      </c>
      <c r="C229" s="77" t="str">
        <f ca="1">VLOOKUP($A229,OFFSET([2]characters!$A$1,0,0,COUNTA([2]characters!$A:$A),MATCH(C$1,[2]characters!$1:$1,0)-MATCH($A$1,[2]characters!$1:$1,0)+1),MATCH(C$1,[2]characters!$1:$1,0)-MATCH($A$1,[2]characters!$1:$1,0)+1,FALSE)</f>
        <v>初期ガチャ</v>
      </c>
      <c r="D229" s="77" t="str">
        <f ca="1">VLOOKUP($A229,OFFSET([2]characters!$A$1,0,0,COUNTA([2]characters!$A:$A),MATCH(D$1,[2]characters!$1:$1,0)-MATCH($A$1,[2]characters!$1:$1,0)+1),MATCH(D$1,[2]characters!$1:$1,0)-MATCH($A$1,[2]characters!$1:$1,0)+1,FALSE)</f>
        <v>管理者</v>
      </c>
      <c r="E229" s="77" t="str">
        <f ca="1">VLOOKUP($A229,OFFSET([2]characters!$A$1,0,0,COUNTA([2]characters!$A:$A),MATCH(E$1,[2]characters!$1:$1,0)-MATCH($A$1,[2]characters!$1:$1,0)+1),MATCH(E$1,[2]characters!$1:$1,0)-MATCH($A$1,[2]characters!$1:$1,0)+1,FALSE)</f>
        <v>格好いい</v>
      </c>
      <c r="F229" s="77" t="str">
        <f ca="1">VLOOKUP($A229,OFFSET([2]characters!$A$1,0,0,COUNTA([2]characters!$A:$A),MATCH(F$1,[2]characters!$1:$1,0)-MATCH($A$1,[2]characters!$1:$1,0)+1),MATCH(F$1,[2]characters!$1:$1,0)-MATCH($A$1,[2]characters!$1:$1,0)+1,FALSE)</f>
        <v>男性</v>
      </c>
      <c r="G229" s="77">
        <f ca="1">VLOOKUP($A229,OFFSET([2]characters!$A$1,0,0,COUNTA([2]characters!$A:$A),MATCH(G$1,[2]characters!$1:$1,0)-MATCH($A$1,[2]characters!$1:$1,0)+1),MATCH(G$1,[2]characters!$1:$1,0)-MATCH($A$1,[2]characters!$1:$1,0)+1,FALSE)</f>
        <v>5</v>
      </c>
      <c r="H229" s="77" t="str">
        <f ca="1">VLOOKUP($A229,OFFSET([2]characters!$A$1,0,0,COUNTA([2]characters!$A:$A),MATCH(H$1,[2]characters!$1:$1,0)-MATCH($A$1,[2]characters!$1:$1,0)+1),MATCH(H$1,[2]characters!$1:$1,0)-MATCH($A$1,[2]characters!$1:$1,0)+1,FALSE)</f>
        <v>PremiumS</v>
      </c>
      <c r="I229" s="77" t="str">
        <f ca="1">VLOOKUP($A229,OFFSET([2]characters!$A$1,0,0,COUNTA([2]characters!$A:$A),MATCH(I$1,[2]characters!$1:$1,0)-MATCH($A$1,[2]characters!$1:$1,0)+1),MATCH(I$1,[2]characters!$1:$1,0)-MATCH($A$1,[2]characters!$1:$1,0)+1,FALSE)</f>
        <v>red</v>
      </c>
      <c r="J229" s="14">
        <f ca="1">VLOOKUP(I229,[2]属性!$A:$E,2,FALSE)</f>
        <v>1</v>
      </c>
      <c r="K229" s="14">
        <f ca="1">VLOOKUP(I229,[2]属性!$A:$E,3,FALSE)</f>
        <v>1.02</v>
      </c>
      <c r="L229" s="14">
        <f ca="1">VLOOKUP(I229,[2]属性!$A:$E,4,FALSE)</f>
        <v>1</v>
      </c>
      <c r="M229" s="14">
        <f ca="1">VLOOKUP(I229,[2]属性!$A:$E,5,FALSE)</f>
        <v>0.98</v>
      </c>
      <c r="N229" s="14">
        <f ca="1">INDEX(コスト!$A$1:$I$20,MATCH(H229,コスト!$A$1:$A$20,FALSE),MATCH(G229,コスト!$A$1:$I$1,FALSE))</f>
        <v>30</v>
      </c>
      <c r="O229" s="14">
        <f ca="1">INDEX(レベル!$A$1:$I$21,MATCH(H229,レベル!$A$1:$A$21,FALSE),MATCH(G229,レベル!$A$1:$I$1,FALSE))</f>
        <v>80</v>
      </c>
      <c r="P229" s="63">
        <f t="shared" ca="1" si="28"/>
        <v>75</v>
      </c>
      <c r="Q229" s="77" t="str">
        <f ca="1">VLOOKUP($A229,OFFSET([2]characters!$A$1,0,0,COUNTA([2]characters!$A:$A),MATCH(Q$1,[2]characters!$1:$1,0)-MATCH($A$1,[2]characters!$1:$1,0)+1),MATCH(Q$1,[2]characters!$1:$1,0)-MATCH($A$1,[2]characters!$1:$1,0)+1,FALSE)</f>
        <v>attack</v>
      </c>
      <c r="R229" s="8" t="str">
        <f ca="1">VLOOKUP(Q229,[2]character_type_i18n!$A:$H,3,FALSE)</f>
        <v>攻撃タイプ</v>
      </c>
      <c r="S229" s="14">
        <f ca="1">VLOOKUP(Q229,[2]character_type_i18n!$A:$H,4,FALSE)</f>
        <v>1</v>
      </c>
      <c r="T229" s="14">
        <f ca="1">VLOOKUP(Q229,[2]character_type_i18n!$A:$H,5,FALSE)</f>
        <v>1.33</v>
      </c>
      <c r="U229" s="14">
        <f ca="1">VLOOKUP(Q229,[2]character_type_i18n!$A:$H,6,FALSE)</f>
        <v>1</v>
      </c>
      <c r="V229" s="14">
        <f ca="1">VLOOKUP(Q229,[2]character_type_i18n!$A:$H,7,FALSE)</f>
        <v>0.67</v>
      </c>
      <c r="W229" s="77" t="str">
        <f ca="1">VLOOKUP($A229,OFFSET([2]characters!$A$1,0,0,COUNTA([2]characters!$A:$A),MATCH(W$1,[2]characters!$1:$1,0)-MATCH($A$1,[2]characters!$1:$1,0)+1),MATCH(W$1,[2]characters!$1:$1,0)-MATCH($A$1,[2]characters!$1:$1,0)+1,FALSE)</f>
        <v>god</v>
      </c>
      <c r="X229" s="8" t="str">
        <f ca="1">VLOOKUP(W229,[2]character_tribe_i18n!$A:$H,3,FALSE)</f>
        <v>ゴッド</v>
      </c>
      <c r="Y229" s="77" t="str">
        <f ca="1">VLOOKUP($A229,OFFSET([2]characters!$A$1,0,0,COUNTA([2]characters!$A:$A),MATCH(Y$1,[2]characters!$1:$1,0)-MATCH($A$1,[2]characters!$1:$1,0)+1),MATCH(Y$1,[2]characters!$1:$1,0)-MATCH($A$1,[2]characters!$1:$1,0)+1,FALSE)</f>
        <v>none</v>
      </c>
      <c r="Z229" s="8" t="str">
        <f ca="1">VLOOKUP(Y229,[2]character_tribe_i18n!$A:$H,3,FALSE)</f>
        <v>種族なし</v>
      </c>
      <c r="AA229" s="14">
        <f ca="1">VLOOKUP(W229,[2]character_tribe_i18n!$A:$H,4,FALSE)</f>
        <v>0.96</v>
      </c>
      <c r="AB229" s="14">
        <f ca="1">VLOOKUP(W229,[2]character_tribe_i18n!$A:$H,5,FALSE)</f>
        <v>1.02</v>
      </c>
      <c r="AC229" s="14">
        <f ca="1">VLOOKUP(W229,[2]character_tribe_i18n!$A:$H,6,FALSE)</f>
        <v>1</v>
      </c>
      <c r="AD229" s="14">
        <f ca="1">VLOOKUP(W229,[2]character_tribe_i18n!$A:$H,7,FALSE)</f>
        <v>1.02</v>
      </c>
      <c r="AE229" s="12" t="s">
        <v>102</v>
      </c>
      <c r="AF229" s="85" t="str">
        <f ca="1">IF(AE229="NULL","",VLOOKUP($AE229,OFFSET([2]characters!$A$1,0,0,COUNTA([2]characters!$A:$A),MATCH(AF$1,[2]characters!$1:$1,0)-MATCH($A$1,[2]characters!$1:$1,0)+1),MATCH(AF$1,[2]characters!$1:$1,0)-MATCH($A$1,[2]characters!$1:$1,0)+1,FALSE))</f>
        <v/>
      </c>
      <c r="AG229" s="8">
        <f t="shared" ca="1" si="23"/>
        <v>226</v>
      </c>
      <c r="AH229" s="85" t="str">
        <f ca="1">VLOOKUP($AG229,OFFSET([2]characters!$A$1,0,0,COUNTA([2]characters!$A:$A),MATCH(AH$1,[2]characters!$1:$1,0)-MATCH($A$1,[2]characters!$1:$1,0)+1),MATCH(AH$1,[2]characters!$1:$1,0)-MATCH($A$1,[2]characters!$1:$1,0)+1,FALSE)</f>
        <v>アレス</v>
      </c>
      <c r="AI229" s="14" t="str">
        <f>IF(AE229="NULL","NULL",VLOOKUP(G229,ビット!$A$2:$B$7,2))</f>
        <v>NULL</v>
      </c>
      <c r="AJ229" s="9">
        <v>2</v>
      </c>
      <c r="AK229" s="10" t="str">
        <f t="shared" si="24"/>
        <v>普通</v>
      </c>
      <c r="AL229" s="14" t="str">
        <f ca="1">INDEX(経験値!$A$1:$I$20,MATCH(H229,経験値!$A$1:$A$20,FALSE),MATCH(G229,経験値!$A$1:$I$1,FALSE))</f>
        <v>required_exp_200</v>
      </c>
      <c r="AM229" s="11">
        <f ca="1">VLOOKUP(G229,経験値!$A$27:$B$31,2)</f>
        <v>6400</v>
      </c>
      <c r="AN229" s="21">
        <f ca="1">VLOOKUP(G229,ビット!$G$2:$H$7,2)</f>
        <v>900</v>
      </c>
      <c r="AO229" s="98" t="s">
        <v>185</v>
      </c>
      <c r="AP229" s="97">
        <v>711003</v>
      </c>
      <c r="AQ229" s="77" t="e">
        <f ca="1">VLOOKUP($AP229,OFFSET([1]unit_skills!$A$1,0,0,COUNTA([1]unit_skills!$A:$A),MATCH("name",[1]unit_skills!$1:$1,0)-MATCH($AP$1,[1]unit_skills!$1:$1,0)+1),MATCH("name",[1]unit_skills!$1:$1,0)-MATCH($AP$1,[1]unit_skills!$1:$1,0)+1,FALSE)</f>
        <v>#VALUE!</v>
      </c>
      <c r="AR229" s="77" t="e">
        <f ca="1">VLOOKUP($AP229,OFFSET([1]unit_skills!$A$1,0,0,COUNTA([1]unit_skills!$A:$A),MATCH("comment",[1]unit_skills!$1:$1,0)-MATCH($AP$1,[1]unit_skills!$1:$1,0)+1),MATCH("comment",[1]unit_skills!$1:$1,0)-MATCH($AP$1,[1]unit_skills!$1:$1,0)+1,FALSE)</f>
        <v>#VALUE!</v>
      </c>
      <c r="AS229" s="77" t="e">
        <f ca="1">VLOOKUP($AP229,OFFSET([1]unit_skills!$A$1,0,0,COUNTA([1]unit_skills!$A:$A),MATCH(AS$1,[1]unit_skills!$1:$1,0)-MATCH($AP$1,[1]unit_skills!$1:$1,0)+1),MATCH(AS$1,[1]unit_skills!$1:$1,0)-MATCH($AP$1,[1]unit_skills!$1:$1,0)+1,FALSE)</f>
        <v>#VALUE!</v>
      </c>
      <c r="AT229" s="97">
        <v>161007</v>
      </c>
      <c r="AU229" s="77" t="e">
        <f ca="1">VLOOKUP($AT229,OFFSET([1]crash_skills!$A$1,0,0,COUNTA([1]crash_skills!$A:$A),MATCH("name",[1]crash_skills!$1:$1,0)-MATCH($AT$1,[1]crash_skills!$1:$1,0)+1),MATCH("name",[1]crash_skills!$1:$1,0)-MATCH($AT$1,[1]crash_skills!$1:$1,0)+1,FALSE)</f>
        <v>#VALUE!</v>
      </c>
      <c r="AV229" s="77" t="e">
        <f ca="1">VLOOKUP($AT229,OFFSET([1]crash_skills!$A$1,0,0,COUNTA([1]crash_skills!$A:$A),MATCH("comment",[1]crash_skills!$1:$1,0)-MATCH($AT$1,[1]crash_skills!$1:$1,0)+1),MATCH("comment",[1]crash_skills!$1:$1,0)-MATCH($AT$1,[1]crash_skills!$1:$1,0)+1,FALSE)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29" s="77" t="e">
        <f ca="1">VLOOKUP($AT229,OFFSET([1]crash_skills!$A$1,0,0,COUNTA([1]crash_skills!$A:$A),MATCH(AW$1,[1]crash_skills!$1:$1,0)-MATCH($AT$1,[1]crash_skills!$1:$1,0)+1),MATCH(AW$1,[1]crash_skills!$1:$1,0)-MATCH($AT$1,[1]crash_skills!$1:$1,0)+1,FALSE)</f>
        <v>#VALUE!</v>
      </c>
      <c r="AX229" s="81">
        <f ca="1">VLOOKUP($A229,OFFSET([2]characters!$A$1,0,0,COUNTA([2]characters!$A:$A),MATCH(AX$1,[2]characters!$1:$1,0)-MATCH($A$1,[2]characters!$1:$1,0)+1),MATCH(AX$1,[2]characters!$1:$1,0)-MATCH($A$1,[2]characters!$1:$1,0)+1,FALSE)</f>
        <v>3</v>
      </c>
      <c r="AY229" s="19">
        <v>1</v>
      </c>
      <c r="AZ229" s="19">
        <v>1</v>
      </c>
      <c r="BA229" s="19">
        <v>0</v>
      </c>
      <c r="BB229" s="19">
        <v>1</v>
      </c>
      <c r="BC229" s="14">
        <f ca="1">INDEX('RC6SV'!$A$1:$G$20,MATCH(H229,'RC6SV'!$A$1:$A$20,FALSE),MATCH(G229,'RC6SV'!$A$1:$G$1,FALSE))</f>
        <v>9000</v>
      </c>
      <c r="BD229" s="63">
        <f t="shared" ca="1" si="25"/>
        <v>9000</v>
      </c>
      <c r="BE229" s="14">
        <f t="shared" ca="1" si="26"/>
        <v>7000</v>
      </c>
      <c r="BF229" s="14">
        <f t="shared" ca="1" si="27"/>
        <v>1</v>
      </c>
      <c r="BG229" s="20">
        <f ca="1">IF($BE229&lt;=0,ROUND(BK229*0.5,0), ROUND($BE229*S229*AA229*J229*AY229*0.8*[2]ステータス!$B$2,0))</f>
        <v>2688</v>
      </c>
      <c r="BH229" s="20">
        <f ca="1">IF($BE229&lt;=0,ROUND(BL229*0.5,0), ROUND($BE229*T229*AB229*K229*AZ229*0.8*[2]ステータス!$C$2,0))</f>
        <v>2325</v>
      </c>
      <c r="BI229" s="20">
        <f ca="1">IF($BE229&lt;=0,ROUND(BM229*0.5,0), ROUND($BE229*U229*AC229*L229*BA229*0.8*[2]ステータス!$D$2,0))</f>
        <v>0</v>
      </c>
      <c r="BJ229" s="20">
        <f ca="1">IF($BE229&lt;=0,ROUND(BN229*0.5,0), ROUND($BE229*V229*AD229*M229*BB229*0.8*[2]ステータス!$E$2,0))</f>
        <v>938</v>
      </c>
      <c r="BK229" s="14">
        <f ca="1">ROUND(BD229*S229*AA229*J229*AY229*[2]ステータス!$B$2,0)</f>
        <v>4320</v>
      </c>
      <c r="BL229" s="14">
        <f ca="1">ROUND(BD229*T229*AB229*K229*AZ229*[2]ステータス!$C$2,0)</f>
        <v>3736</v>
      </c>
      <c r="BM229" s="14">
        <f ca="1">ROUND(BD229*U229*AC229*L229*BA229*[2]ステータス!$D$2,0)</f>
        <v>0</v>
      </c>
      <c r="BN229" s="14">
        <f ca="1">ROUND(BD229*V229*AD229*M229*BB229*[2]ステータス!$E$2,0)</f>
        <v>1507</v>
      </c>
      <c r="BO229" s="13">
        <v>0</v>
      </c>
      <c r="BP229" s="13">
        <v>1</v>
      </c>
      <c r="BQ229" s="13" t="s">
        <v>102</v>
      </c>
      <c r="BR229" s="13">
        <f ca="1">VLOOKUP(H229,ghosts_label!$A$2:$B$19,2,FALSE)</f>
        <v>700</v>
      </c>
    </row>
    <row r="230" spans="1:70" ht="21" customHeight="1" x14ac:dyDescent="0.15">
      <c r="A230" s="14">
        <f t="shared" ca="1" si="22"/>
        <v>229</v>
      </c>
      <c r="B230" s="77" t="str">
        <f ca="1">VLOOKUP($A230,OFFSET([2]characters!$A$1,0,0,COUNTA([2]characters!$A:$A),MATCH(B$1,[2]characters!$1:$1,0)-MATCH($A$1,[2]characters!$1:$1,0)+1),MATCH(B$1,[2]characters!$1:$1,0)-MATCH($A$1,[2]characters!$1:$1,0)+1,FALSE)</f>
        <v>ヨルムンガンド</v>
      </c>
      <c r="C230" s="77" t="str">
        <f ca="1">VLOOKUP($A230,OFFSET([2]characters!$A$1,0,0,COUNTA([2]characters!$A:$A),MATCH(C$1,[2]characters!$1:$1,0)-MATCH($A$1,[2]characters!$1:$1,0)+1),MATCH(C$1,[2]characters!$1:$1,0)-MATCH($A$1,[2]characters!$1:$1,0)+1,FALSE)</f>
        <v>初期ガチャ</v>
      </c>
      <c r="D230" s="77" t="str">
        <f ca="1">VLOOKUP($A230,OFFSET([2]characters!$A$1,0,0,COUNTA([2]characters!$A:$A),MATCH(D$1,[2]characters!$1:$1,0)-MATCH($A$1,[2]characters!$1:$1,0)+1),MATCH(D$1,[2]characters!$1:$1,0)-MATCH($A$1,[2]characters!$1:$1,0)+1,FALSE)</f>
        <v>破界者</v>
      </c>
      <c r="E230" s="77" t="str">
        <f ca="1">VLOOKUP($A230,OFFSET([2]characters!$A$1,0,0,COUNTA([2]characters!$A:$A),MATCH(E$1,[2]characters!$1:$1,0)-MATCH($A$1,[2]characters!$1:$1,0)+1),MATCH(E$1,[2]characters!$1:$1,0)-MATCH($A$1,[2]characters!$1:$1,0)+1,FALSE)</f>
        <v>可愛い</v>
      </c>
      <c r="F230" s="77" t="str">
        <f ca="1">VLOOKUP($A230,OFFSET([2]characters!$A$1,0,0,COUNTA([2]characters!$A:$A),MATCH(F$1,[2]characters!$1:$1,0)-MATCH($A$1,[2]characters!$1:$1,0)+1),MATCH(F$1,[2]characters!$1:$1,0)-MATCH($A$1,[2]characters!$1:$1,0)+1,FALSE)</f>
        <v>女性</v>
      </c>
      <c r="G230" s="77">
        <f ca="1">VLOOKUP($A230,OFFSET([2]characters!$A$1,0,0,COUNTA([2]characters!$A:$A),MATCH(G$1,[2]characters!$1:$1,0)-MATCH($A$1,[2]characters!$1:$1,0)+1),MATCH(G$1,[2]characters!$1:$1,0)-MATCH($A$1,[2]characters!$1:$1,0)+1,FALSE)</f>
        <v>3</v>
      </c>
      <c r="H230" s="77" t="str">
        <f ca="1">VLOOKUP($A230,OFFSET([2]characters!$A$1,0,0,COUNTA([2]characters!$A:$A),MATCH(H$1,[2]characters!$1:$1,0)-MATCH($A$1,[2]characters!$1:$1,0)+1),MATCH(H$1,[2]characters!$1:$1,0)-MATCH($A$1,[2]characters!$1:$1,0)+1,FALSE)</f>
        <v>PremiumS</v>
      </c>
      <c r="I230" s="77" t="str">
        <f ca="1">VLOOKUP($A230,OFFSET([2]characters!$A$1,0,0,COUNTA([2]characters!$A:$A),MATCH(I$1,[2]characters!$1:$1,0)-MATCH($A$1,[2]characters!$1:$1,0)+1),MATCH(I$1,[2]characters!$1:$1,0)-MATCH($A$1,[2]characters!$1:$1,0)+1,FALSE)</f>
        <v>green</v>
      </c>
      <c r="J230" s="14">
        <f ca="1">VLOOKUP(I230,[2]属性!$A:$E,2,FALSE)</f>
        <v>1.02</v>
      </c>
      <c r="K230" s="14">
        <f ca="1">VLOOKUP(I230,[2]属性!$A:$E,3,FALSE)</f>
        <v>0.98</v>
      </c>
      <c r="L230" s="14">
        <f ca="1">VLOOKUP(I230,[2]属性!$A:$E,4,FALSE)</f>
        <v>1</v>
      </c>
      <c r="M230" s="14">
        <f ca="1">VLOOKUP(I230,[2]属性!$A:$E,5,FALSE)</f>
        <v>1</v>
      </c>
      <c r="N230" s="14">
        <f ca="1">INDEX(コスト!$A$1:$I$20,MATCH(H230,コスト!$A$1:$A$20,FALSE),MATCH(G230,コスト!$A$1:$I$1,FALSE))</f>
        <v>10</v>
      </c>
      <c r="O230" s="14">
        <f ca="1">INDEX(レベル!$A$1:$I$21,MATCH(H230,レベル!$A$1:$A$21,FALSE),MATCH(G230,レベル!$A$1:$I$1,FALSE))</f>
        <v>40</v>
      </c>
      <c r="P230" s="63">
        <f t="shared" ca="1" si="28"/>
        <v>45</v>
      </c>
      <c r="Q230" s="77" t="str">
        <f ca="1">VLOOKUP($A230,OFFSET([2]characters!$A$1,0,0,COUNTA([2]characters!$A:$A),MATCH(Q$1,[2]characters!$1:$1,0)-MATCH($A$1,[2]characters!$1:$1,0)+1),MATCH(Q$1,[2]characters!$1:$1,0)-MATCH($A$1,[2]characters!$1:$1,0)+1,FALSE)</f>
        <v>technical</v>
      </c>
      <c r="R230" s="8" t="str">
        <f ca="1">VLOOKUP(Q230,[2]character_type_i18n!$A:$H,3,FALSE)</f>
        <v>テクニカルタイプ</v>
      </c>
      <c r="S230" s="14">
        <f ca="1">VLOOKUP(Q230,[2]character_type_i18n!$A:$H,4,FALSE)</f>
        <v>0.9</v>
      </c>
      <c r="T230" s="14">
        <f ca="1">VLOOKUP(Q230,[2]character_type_i18n!$A:$H,5,FALSE)</f>
        <v>0.9</v>
      </c>
      <c r="U230" s="14">
        <f ca="1">VLOOKUP(Q230,[2]character_type_i18n!$A:$H,6,FALSE)</f>
        <v>1</v>
      </c>
      <c r="V230" s="14">
        <f ca="1">VLOOKUP(Q230,[2]character_type_i18n!$A:$H,7,FALSE)</f>
        <v>0.9</v>
      </c>
      <c r="W230" s="77" t="str">
        <f ca="1">VLOOKUP($A230,OFFSET([2]characters!$A$1,0,0,COUNTA([2]characters!$A:$A),MATCH(W$1,[2]characters!$1:$1,0)-MATCH($A$1,[2]characters!$1:$1,0)+1),MATCH(W$1,[2]characters!$1:$1,0)-MATCH($A$1,[2]characters!$1:$1,0)+1,FALSE)</f>
        <v>dragon</v>
      </c>
      <c r="X230" s="8" t="str">
        <f ca="1">VLOOKUP(W230,[2]character_tribe_i18n!$A:$H,3,FALSE)</f>
        <v>ドラゴン</v>
      </c>
      <c r="Y230" s="77" t="str">
        <f ca="1">VLOOKUP($A230,OFFSET([2]characters!$A$1,0,0,COUNTA([2]characters!$A:$A),MATCH(Y$1,[2]characters!$1:$1,0)-MATCH($A$1,[2]characters!$1:$1,0)+1),MATCH(Y$1,[2]characters!$1:$1,0)-MATCH($A$1,[2]characters!$1:$1,0)+1,FALSE)</f>
        <v>none</v>
      </c>
      <c r="Z230" s="8" t="str">
        <f ca="1">VLOOKUP(Y230,[2]character_tribe_i18n!$A:$H,3,FALSE)</f>
        <v>種族なし</v>
      </c>
      <c r="AA230" s="14">
        <f ca="1">VLOOKUP(W230,[2]character_tribe_i18n!$A:$H,4,FALSE)</f>
        <v>1.1499999999999999</v>
      </c>
      <c r="AB230" s="14">
        <f ca="1">VLOOKUP(W230,[2]character_tribe_i18n!$A:$H,5,FALSE)</f>
        <v>1.1000000000000001</v>
      </c>
      <c r="AC230" s="14">
        <f ca="1">VLOOKUP(W230,[2]character_tribe_i18n!$A:$H,6,FALSE)</f>
        <v>1</v>
      </c>
      <c r="AD230" s="14">
        <f ca="1">VLOOKUP(W230,[2]character_tribe_i18n!$A:$H,7,FALSE)</f>
        <v>0.75</v>
      </c>
      <c r="AE230" s="12">
        <v>230</v>
      </c>
      <c r="AF230" s="85" t="str">
        <f ca="1">IF(AE230="NULL","",VLOOKUP($AE230,OFFSET([2]characters!$A$1,0,0,COUNTA([2]characters!$A:$A),MATCH(AF$1,[2]characters!$1:$1,0)-MATCH($A$1,[2]characters!$1:$1,0)+1),MATCH(AF$1,[2]characters!$1:$1,0)-MATCH($A$1,[2]characters!$1:$1,0)+1,FALSE))</f>
        <v>毒銃 ヨルムンガンド</v>
      </c>
      <c r="AG230" s="8">
        <f t="shared" ca="1" si="23"/>
        <v>229</v>
      </c>
      <c r="AH230" s="85" t="str">
        <f ca="1">VLOOKUP($AG230,OFFSET([2]characters!$A$1,0,0,COUNTA([2]characters!$A:$A),MATCH(AH$1,[2]characters!$1:$1,0)-MATCH($A$1,[2]characters!$1:$1,0)+1),MATCH(AH$1,[2]characters!$1:$1,0)-MATCH($A$1,[2]characters!$1:$1,0)+1,FALSE)</f>
        <v>ヨルムンガンド</v>
      </c>
      <c r="AI230" s="14">
        <f ca="1">IF(AE230="NULL","NULL",VLOOKUP(G230,ビット!$A$2:$B$7,2))</f>
        <v>20000</v>
      </c>
      <c r="AJ230" s="9">
        <v>2</v>
      </c>
      <c r="AK230" s="10" t="str">
        <f t="shared" si="24"/>
        <v>普通</v>
      </c>
      <c r="AL230" s="14" t="str">
        <f ca="1">INDEX(経験値!$A$1:$I$20,MATCH(H230,経験値!$A$1:$A$20,FALSE),MATCH(G230,経験値!$A$1:$I$1,FALSE))</f>
        <v>required_exp_200</v>
      </c>
      <c r="AM230" s="11">
        <f ca="1">VLOOKUP(G230,経験値!$A$27:$B$31,2)</f>
        <v>1500</v>
      </c>
      <c r="AN230" s="21">
        <f ca="1">VLOOKUP(G230,ビット!$G$2:$H$7,2)</f>
        <v>300</v>
      </c>
      <c r="AO230" s="98" t="s">
        <v>178</v>
      </c>
      <c r="AP230" s="97">
        <v>540011</v>
      </c>
      <c r="AQ230" s="77" t="e">
        <f ca="1">VLOOKUP($AP230,OFFSET([1]unit_skills!$A$1,0,0,COUNTA([1]unit_skills!$A:$A),MATCH("name",[1]unit_skills!$1:$1,0)-MATCH($AP$1,[1]unit_skills!$1:$1,0)+1),MATCH("name",[1]unit_skills!$1:$1,0)-MATCH($AP$1,[1]unit_skills!$1:$1,0)+1,FALSE)</f>
        <v>#VALUE!</v>
      </c>
      <c r="AR230" s="77" t="e">
        <f ca="1">VLOOKUP($AP230,OFFSET([1]unit_skills!$A$1,0,0,COUNTA([1]unit_skills!$A:$A),MATCH("comment",[1]unit_skills!$1:$1,0)-MATCH($AP$1,[1]unit_skills!$1:$1,0)+1),MATCH("comment",[1]unit_skills!$1:$1,0)-MATCH($AP$1,[1]unit_skills!$1:$1,0)+1,FALSE)</f>
        <v>#VALUE!</v>
      </c>
      <c r="AS230" s="77" t="e">
        <f ca="1">VLOOKUP($AP230,OFFSET([1]unit_skills!$A$1,0,0,COUNTA([1]unit_skills!$A:$A),MATCH(AS$1,[1]unit_skills!$1:$1,0)-MATCH($AP$1,[1]unit_skills!$1:$1,0)+1),MATCH(AS$1,[1]unit_skills!$1:$1,0)-MATCH($AP$1,[1]unit_skills!$1:$1,0)+1,FALSE)</f>
        <v>#VALUE!</v>
      </c>
      <c r="AT230" s="97">
        <v>142003</v>
      </c>
      <c r="AU230" s="77" t="e">
        <f ca="1">VLOOKUP($AT230,OFFSET([1]crash_skills!$A$1,0,0,COUNTA([1]crash_skills!$A:$A),MATCH("name",[1]crash_skills!$1:$1,0)-MATCH($AT$1,[1]crash_skills!$1:$1,0)+1),MATCH("name",[1]crash_skills!$1:$1,0)-MATCH($AT$1,[1]crash_skills!$1:$1,0)+1,FALSE)</f>
        <v>#VALUE!</v>
      </c>
      <c r="AV230" s="77" t="e">
        <f ca="1">VLOOKUP($AT230,OFFSET([1]crash_skills!$A$1,0,0,COUNTA([1]crash_skills!$A:$A),MATCH("comment",[1]crash_skills!$1:$1,0)-MATCH($AT$1,[1]crash_skills!$1:$1,0)+1),MATCH("comment",[1]crash_skills!$1:$1,0)-MATCH($AT$1,[1]crash_skills!$1:$1,0)+1,FALSE)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30" s="77" t="e">
        <f ca="1">VLOOKUP($AT230,OFFSET([1]crash_skills!$A$1,0,0,COUNTA([1]crash_skills!$A:$A),MATCH(AW$1,[1]crash_skills!$1:$1,0)-MATCH($AT$1,[1]crash_skills!$1:$1,0)+1),MATCH(AW$1,[1]crash_skills!$1:$1,0)-MATCH($AT$1,[1]crash_skills!$1:$1,0)+1,FALSE)</f>
        <v>#VALUE!</v>
      </c>
      <c r="AX230" s="81">
        <f ca="1">VLOOKUP($A230,OFFSET([2]characters!$A$1,0,0,COUNTA([2]characters!$A:$A),MATCH(AX$1,[2]characters!$1:$1,0)-MATCH($A$1,[2]characters!$1:$1,0)+1),MATCH(AX$1,[2]characters!$1:$1,0)-MATCH($A$1,[2]characters!$1:$1,0)+1,FALSE)</f>
        <v>3</v>
      </c>
      <c r="AY230" s="19">
        <v>1.2</v>
      </c>
      <c r="AZ230" s="19">
        <v>0.8</v>
      </c>
      <c r="BA230" s="19">
        <v>0</v>
      </c>
      <c r="BB230" s="19">
        <v>1</v>
      </c>
      <c r="BC230" s="14">
        <f ca="1">INDEX('RC6SV'!$A$1:$G$20,MATCH(H230,'RC6SV'!$A$1:$A$20,FALSE),MATCH(G230,'RC6SV'!$A$1:$G$1,FALSE))</f>
        <v>5000</v>
      </c>
      <c r="BD230" s="63">
        <f t="shared" ca="1" si="25"/>
        <v>5000</v>
      </c>
      <c r="BE230" s="14">
        <f t="shared" ca="1" si="26"/>
        <v>0</v>
      </c>
      <c r="BF230" s="14">
        <f t="shared" ca="1" si="27"/>
        <v>1</v>
      </c>
      <c r="BG230" s="20">
        <f ca="1">IF($BE230&lt;=0,ROUND(BK230*0.5,0), ROUND($BE230*S230*AA230*J230*AY230*0.8*[2]ステータス!$B$2,0))</f>
        <v>1584</v>
      </c>
      <c r="BH230" s="20">
        <f ca="1">IF($BE230&lt;=0,ROUND(BL230*0.5,0), ROUND($BE230*T230*AB230*K230*AZ230*0.8*[2]ステータス!$C$2,0))</f>
        <v>582</v>
      </c>
      <c r="BI230" s="20">
        <f ca="1">IF($BE230&lt;=0,ROUND(BM230*0.5,0), ROUND($BE230*U230*AC230*L230*BA230*0.8*[2]ステータス!$D$2,0))</f>
        <v>0</v>
      </c>
      <c r="BJ230" s="20">
        <f ca="1">IF($BE230&lt;=0,ROUND(BN230*0.5,0), ROUND($BE230*V230*AD230*M230*BB230*0.8*[2]ステータス!$E$2,0))</f>
        <v>422</v>
      </c>
      <c r="BK230" s="14">
        <f ca="1">ROUND(BD230*S230*AA230*J230*AY230*[2]ステータス!$B$2,0)</f>
        <v>3167</v>
      </c>
      <c r="BL230" s="14">
        <f ca="1">ROUND(BD230*T230*AB230*K230*AZ230*[2]ステータス!$C$2,0)</f>
        <v>1164</v>
      </c>
      <c r="BM230" s="14">
        <f ca="1">ROUND(BD230*U230*AC230*L230*BA230*[2]ステータス!$D$2,0)</f>
        <v>0</v>
      </c>
      <c r="BN230" s="14">
        <f ca="1">ROUND(BD230*V230*AD230*M230*BB230*[2]ステータス!$E$2,0)</f>
        <v>844</v>
      </c>
      <c r="BO230" s="13">
        <v>0</v>
      </c>
      <c r="BP230" s="13">
        <v>1</v>
      </c>
      <c r="BQ230" s="13" t="s">
        <v>102</v>
      </c>
      <c r="BR230" s="13">
        <f ca="1">VLOOKUP(H230,ghosts_label!$A$2:$B$19,2,FALSE)</f>
        <v>700</v>
      </c>
    </row>
    <row r="231" spans="1:70" ht="21" customHeight="1" x14ac:dyDescent="0.15">
      <c r="A231" s="14">
        <f t="shared" ca="1" si="22"/>
        <v>230</v>
      </c>
      <c r="B231" s="77" t="str">
        <f ca="1">VLOOKUP($A231,OFFSET([2]characters!$A$1,0,0,COUNTA([2]characters!$A:$A),MATCH(B$1,[2]characters!$1:$1,0)-MATCH($A$1,[2]characters!$1:$1,0)+1),MATCH(B$1,[2]characters!$1:$1,0)-MATCH($A$1,[2]characters!$1:$1,0)+1,FALSE)</f>
        <v>毒銃 ヨルムンガンド</v>
      </c>
      <c r="C231" s="77" t="str">
        <f ca="1">VLOOKUP($A231,OFFSET([2]characters!$A$1,0,0,COUNTA([2]characters!$A:$A),MATCH(C$1,[2]characters!$1:$1,0)-MATCH($A$1,[2]characters!$1:$1,0)+1),MATCH(C$1,[2]characters!$1:$1,0)-MATCH($A$1,[2]characters!$1:$1,0)+1,FALSE)</f>
        <v>初期ガチャ</v>
      </c>
      <c r="D231" s="77" t="str">
        <f ca="1">VLOOKUP($A231,OFFSET([2]characters!$A$1,0,0,COUNTA([2]characters!$A:$A),MATCH(D$1,[2]characters!$1:$1,0)-MATCH($A$1,[2]characters!$1:$1,0)+1),MATCH(D$1,[2]characters!$1:$1,0)-MATCH($A$1,[2]characters!$1:$1,0)+1,FALSE)</f>
        <v>破界者</v>
      </c>
      <c r="E231" s="77" t="str">
        <f ca="1">VLOOKUP($A231,OFFSET([2]characters!$A$1,0,0,COUNTA([2]characters!$A:$A),MATCH(E$1,[2]characters!$1:$1,0)-MATCH($A$1,[2]characters!$1:$1,0)+1),MATCH(E$1,[2]characters!$1:$1,0)-MATCH($A$1,[2]characters!$1:$1,0)+1,FALSE)</f>
        <v>可愛い</v>
      </c>
      <c r="F231" s="77" t="str">
        <f ca="1">VLOOKUP($A231,OFFSET([2]characters!$A$1,0,0,COUNTA([2]characters!$A:$A),MATCH(F$1,[2]characters!$1:$1,0)-MATCH($A$1,[2]characters!$1:$1,0)+1),MATCH(F$1,[2]characters!$1:$1,0)-MATCH($A$1,[2]characters!$1:$1,0)+1,FALSE)</f>
        <v>女性</v>
      </c>
      <c r="G231" s="77">
        <f ca="1">VLOOKUP($A231,OFFSET([2]characters!$A$1,0,0,COUNTA([2]characters!$A:$A),MATCH(G$1,[2]characters!$1:$1,0)-MATCH($A$1,[2]characters!$1:$1,0)+1),MATCH(G$1,[2]characters!$1:$1,0)-MATCH($A$1,[2]characters!$1:$1,0)+1,FALSE)</f>
        <v>4</v>
      </c>
      <c r="H231" s="77" t="str">
        <f ca="1">VLOOKUP($A231,OFFSET([2]characters!$A$1,0,0,COUNTA([2]characters!$A:$A),MATCH(H$1,[2]characters!$1:$1,0)-MATCH($A$1,[2]characters!$1:$1,0)+1),MATCH(H$1,[2]characters!$1:$1,0)-MATCH($A$1,[2]characters!$1:$1,0)+1,FALSE)</f>
        <v>PremiumS</v>
      </c>
      <c r="I231" s="77" t="str">
        <f ca="1">VLOOKUP($A231,OFFSET([2]characters!$A$1,0,0,COUNTA([2]characters!$A:$A),MATCH(I$1,[2]characters!$1:$1,0)-MATCH($A$1,[2]characters!$1:$1,0)+1),MATCH(I$1,[2]characters!$1:$1,0)-MATCH($A$1,[2]characters!$1:$1,0)+1,FALSE)</f>
        <v>green</v>
      </c>
      <c r="J231" s="14">
        <f ca="1">VLOOKUP(I231,[2]属性!$A:$E,2,FALSE)</f>
        <v>1.02</v>
      </c>
      <c r="K231" s="14">
        <f ca="1">VLOOKUP(I231,[2]属性!$A:$E,3,FALSE)</f>
        <v>0.98</v>
      </c>
      <c r="L231" s="14">
        <f ca="1">VLOOKUP(I231,[2]属性!$A:$E,4,FALSE)</f>
        <v>1</v>
      </c>
      <c r="M231" s="14">
        <f ca="1">VLOOKUP(I231,[2]属性!$A:$E,5,FALSE)</f>
        <v>1</v>
      </c>
      <c r="N231" s="14">
        <f ca="1">INDEX(コスト!$A$1:$I$20,MATCH(H231,コスト!$A$1:$A$20,FALSE),MATCH(G231,コスト!$A$1:$I$1,FALSE))</f>
        <v>20</v>
      </c>
      <c r="O231" s="14">
        <f ca="1">INDEX(レベル!$A$1:$I$21,MATCH(H231,レベル!$A$1:$A$21,FALSE),MATCH(G231,レベル!$A$1:$I$1,FALSE))</f>
        <v>60</v>
      </c>
      <c r="P231" s="63">
        <f t="shared" ca="1" si="28"/>
        <v>60</v>
      </c>
      <c r="Q231" s="77" t="str">
        <f ca="1">VLOOKUP($A231,OFFSET([2]characters!$A$1,0,0,COUNTA([2]characters!$A:$A),MATCH(Q$1,[2]characters!$1:$1,0)-MATCH($A$1,[2]characters!$1:$1,0)+1),MATCH(Q$1,[2]characters!$1:$1,0)-MATCH($A$1,[2]characters!$1:$1,0)+1,FALSE)</f>
        <v>technical</v>
      </c>
      <c r="R231" s="8" t="str">
        <f ca="1">VLOOKUP(Q231,[2]character_type_i18n!$A:$H,3,FALSE)</f>
        <v>テクニカルタイプ</v>
      </c>
      <c r="S231" s="14">
        <f ca="1">VLOOKUP(Q231,[2]character_type_i18n!$A:$H,4,FALSE)</f>
        <v>0.9</v>
      </c>
      <c r="T231" s="14">
        <f ca="1">VLOOKUP(Q231,[2]character_type_i18n!$A:$H,5,FALSE)</f>
        <v>0.9</v>
      </c>
      <c r="U231" s="14">
        <f ca="1">VLOOKUP(Q231,[2]character_type_i18n!$A:$H,6,FALSE)</f>
        <v>1</v>
      </c>
      <c r="V231" s="14">
        <f ca="1">VLOOKUP(Q231,[2]character_type_i18n!$A:$H,7,FALSE)</f>
        <v>0.9</v>
      </c>
      <c r="W231" s="77" t="str">
        <f ca="1">VLOOKUP($A231,OFFSET([2]characters!$A$1,0,0,COUNTA([2]characters!$A:$A),MATCH(W$1,[2]characters!$1:$1,0)-MATCH($A$1,[2]characters!$1:$1,0)+1),MATCH(W$1,[2]characters!$1:$1,0)-MATCH($A$1,[2]characters!$1:$1,0)+1,FALSE)</f>
        <v>dragon</v>
      </c>
      <c r="X231" s="8" t="str">
        <f ca="1">VLOOKUP(W231,[2]character_tribe_i18n!$A:$H,3,FALSE)</f>
        <v>ドラゴン</v>
      </c>
      <c r="Y231" s="77" t="str">
        <f ca="1">VLOOKUP($A231,OFFSET([2]characters!$A$1,0,0,COUNTA([2]characters!$A:$A),MATCH(Y$1,[2]characters!$1:$1,0)-MATCH($A$1,[2]characters!$1:$1,0)+1),MATCH(Y$1,[2]characters!$1:$1,0)-MATCH($A$1,[2]characters!$1:$1,0)+1,FALSE)</f>
        <v>none</v>
      </c>
      <c r="Z231" s="8" t="str">
        <f ca="1">VLOOKUP(Y231,[2]character_tribe_i18n!$A:$H,3,FALSE)</f>
        <v>種族なし</v>
      </c>
      <c r="AA231" s="14">
        <f ca="1">VLOOKUP(W231,[2]character_tribe_i18n!$A:$H,4,FALSE)</f>
        <v>1.1499999999999999</v>
      </c>
      <c r="AB231" s="14">
        <f ca="1">VLOOKUP(W231,[2]character_tribe_i18n!$A:$H,5,FALSE)</f>
        <v>1.1000000000000001</v>
      </c>
      <c r="AC231" s="14">
        <f ca="1">VLOOKUP(W231,[2]character_tribe_i18n!$A:$H,6,FALSE)</f>
        <v>1</v>
      </c>
      <c r="AD231" s="14">
        <f ca="1">VLOOKUP(W231,[2]character_tribe_i18n!$A:$H,7,FALSE)</f>
        <v>0.75</v>
      </c>
      <c r="AE231" s="12">
        <v>231</v>
      </c>
      <c r="AF231" s="85" t="str">
        <f ca="1">IF(AE231="NULL","",VLOOKUP($AE231,OFFSET([2]characters!$A$1,0,0,COUNTA([2]characters!$A:$A),MATCH(AF$1,[2]characters!$1:$1,0)-MATCH($A$1,[2]characters!$1:$1,0)+1),MATCH(AF$1,[2]characters!$1:$1,0)-MATCH($A$1,[2]characters!$1:$1,0)+1,FALSE))</f>
        <v>必中の咬銃 ヨルムンガンド</v>
      </c>
      <c r="AG231" s="8">
        <f t="shared" ca="1" si="23"/>
        <v>229</v>
      </c>
      <c r="AH231" s="85" t="str">
        <f ca="1">VLOOKUP($AG231,OFFSET([2]characters!$A$1,0,0,COUNTA([2]characters!$A:$A),MATCH(AH$1,[2]characters!$1:$1,0)-MATCH($A$1,[2]characters!$1:$1,0)+1),MATCH(AH$1,[2]characters!$1:$1,0)-MATCH($A$1,[2]characters!$1:$1,0)+1,FALSE)</f>
        <v>ヨルムンガンド</v>
      </c>
      <c r="AI231" s="14">
        <f ca="1">IF(AE231="NULL","NULL",VLOOKUP(G231,ビット!$A$2:$B$7,2))</f>
        <v>50000</v>
      </c>
      <c r="AJ231" s="9">
        <v>2</v>
      </c>
      <c r="AK231" s="10" t="str">
        <f t="shared" si="24"/>
        <v>普通</v>
      </c>
      <c r="AL231" s="14" t="str">
        <f ca="1">INDEX(経験値!$A$1:$I$20,MATCH(H231,経験値!$A$1:$A$20,FALSE),MATCH(G231,経験値!$A$1:$I$1,FALSE))</f>
        <v>required_exp_200</v>
      </c>
      <c r="AM231" s="11">
        <f ca="1">VLOOKUP(G231,経験値!$A$27:$B$31,2)</f>
        <v>3400</v>
      </c>
      <c r="AN231" s="21">
        <f ca="1">VLOOKUP(G231,ビット!$G$2:$H$7,2)</f>
        <v>600</v>
      </c>
      <c r="AO231" s="98" t="s">
        <v>178</v>
      </c>
      <c r="AP231" s="97">
        <v>540012</v>
      </c>
      <c r="AQ231" s="77" t="e">
        <f ca="1">VLOOKUP($AP231,OFFSET([1]unit_skills!$A$1,0,0,COUNTA([1]unit_skills!$A:$A),MATCH("name",[1]unit_skills!$1:$1,0)-MATCH($AP$1,[1]unit_skills!$1:$1,0)+1),MATCH("name",[1]unit_skills!$1:$1,0)-MATCH($AP$1,[1]unit_skills!$1:$1,0)+1,FALSE)</f>
        <v>#VALUE!</v>
      </c>
      <c r="AR231" s="77" t="e">
        <f ca="1">VLOOKUP($AP231,OFFSET([1]unit_skills!$A$1,0,0,COUNTA([1]unit_skills!$A:$A),MATCH("comment",[1]unit_skills!$1:$1,0)-MATCH($AP$1,[1]unit_skills!$1:$1,0)+1),MATCH("comment",[1]unit_skills!$1:$1,0)-MATCH($AP$1,[1]unit_skills!$1:$1,0)+1,FALSE)</f>
        <v>#VALUE!</v>
      </c>
      <c r="AS231" s="77" t="e">
        <f ca="1">VLOOKUP($AP231,OFFSET([1]unit_skills!$A$1,0,0,COUNTA([1]unit_skills!$A:$A),MATCH(AS$1,[1]unit_skills!$1:$1,0)-MATCH($AP$1,[1]unit_skills!$1:$1,0)+1),MATCH(AS$1,[1]unit_skills!$1:$1,0)-MATCH($AP$1,[1]unit_skills!$1:$1,0)+1,FALSE)</f>
        <v>#VALUE!</v>
      </c>
      <c r="AT231" s="97">
        <v>142004</v>
      </c>
      <c r="AU231" s="77" t="e">
        <f ca="1">VLOOKUP($AT231,OFFSET([1]crash_skills!$A$1,0,0,COUNTA([1]crash_skills!$A:$A),MATCH("name",[1]crash_skills!$1:$1,0)-MATCH($AT$1,[1]crash_skills!$1:$1,0)+1),MATCH("name",[1]crash_skills!$1:$1,0)-MATCH($AT$1,[1]crash_skills!$1:$1,0)+1,FALSE)</f>
        <v>#VALUE!</v>
      </c>
      <c r="AV231" s="77" t="e">
        <f ca="1">VLOOKUP($AT231,OFFSET([1]crash_skills!$A$1,0,0,COUNTA([1]crash_skills!$A:$A),MATCH("comment",[1]crash_skills!$1:$1,0)-MATCH($AT$1,[1]crash_skills!$1:$1,0)+1),MATCH("comment",[1]crash_skills!$1:$1,0)-MATCH($AT$1,[1]crash_skills!$1:$1,0)+1,FALSE)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31" s="77" t="e">
        <f ca="1">VLOOKUP($AT231,OFFSET([1]crash_skills!$A$1,0,0,COUNTA([1]crash_skills!$A:$A),MATCH(AW$1,[1]crash_skills!$1:$1,0)-MATCH($AT$1,[1]crash_skills!$1:$1,0)+1),MATCH(AW$1,[1]crash_skills!$1:$1,0)-MATCH($AT$1,[1]crash_skills!$1:$1,0)+1,FALSE)</f>
        <v>#VALUE!</v>
      </c>
      <c r="AX231" s="81">
        <f ca="1">VLOOKUP($A231,OFFSET([2]characters!$A$1,0,0,COUNTA([2]characters!$A:$A),MATCH(AX$1,[2]characters!$1:$1,0)-MATCH($A$1,[2]characters!$1:$1,0)+1),MATCH(AX$1,[2]characters!$1:$1,0)-MATCH($A$1,[2]characters!$1:$1,0)+1,FALSE)</f>
        <v>3</v>
      </c>
      <c r="AY231" s="19">
        <v>1.2</v>
      </c>
      <c r="AZ231" s="19">
        <v>0.8</v>
      </c>
      <c r="BA231" s="19">
        <v>0</v>
      </c>
      <c r="BB231" s="19">
        <v>1</v>
      </c>
      <c r="BC231" s="14">
        <f ca="1">INDEX('RC6SV'!$A$1:$G$20,MATCH(H231,'RC6SV'!$A$1:$A$20,FALSE),MATCH(G231,'RC6SV'!$A$1:$G$1,FALSE))</f>
        <v>7000</v>
      </c>
      <c r="BD231" s="63">
        <f t="shared" ca="1" si="25"/>
        <v>7000</v>
      </c>
      <c r="BE231" s="14">
        <f t="shared" ca="1" si="26"/>
        <v>5000</v>
      </c>
      <c r="BF231" s="14">
        <f t="shared" ca="1" si="27"/>
        <v>1</v>
      </c>
      <c r="BG231" s="20">
        <f ca="1">IF($BE231&lt;=0,ROUND(BK231*0.5,0), ROUND($BE231*S231*AA231*J231*AY231*0.8*[2]ステータス!$B$2,0))</f>
        <v>2534</v>
      </c>
      <c r="BH231" s="20">
        <f ca="1">IF($BE231&lt;=0,ROUND(BL231*0.5,0), ROUND($BE231*T231*AB231*K231*AZ231*0.8*[2]ステータス!$C$2,0))</f>
        <v>931</v>
      </c>
      <c r="BI231" s="20">
        <f ca="1">IF($BE231&lt;=0,ROUND(BM231*0.5,0), ROUND($BE231*U231*AC231*L231*BA231*0.8*[2]ステータス!$D$2,0))</f>
        <v>0</v>
      </c>
      <c r="BJ231" s="20">
        <f ca="1">IF($BE231&lt;=0,ROUND(BN231*0.5,0), ROUND($BE231*V231*AD231*M231*BB231*0.8*[2]ステータス!$E$2,0))</f>
        <v>675</v>
      </c>
      <c r="BK231" s="14">
        <f ca="1">ROUND(BD231*S231*AA231*J231*AY231*[2]ステータス!$B$2,0)</f>
        <v>4434</v>
      </c>
      <c r="BL231" s="14">
        <f ca="1">ROUND(BD231*T231*AB231*K231*AZ231*[2]ステータス!$C$2,0)</f>
        <v>1630</v>
      </c>
      <c r="BM231" s="14">
        <f ca="1">ROUND(BD231*U231*AC231*L231*BA231*[2]ステータス!$D$2,0)</f>
        <v>0</v>
      </c>
      <c r="BN231" s="14">
        <f ca="1">ROUND(BD231*V231*AD231*M231*BB231*[2]ステータス!$E$2,0)</f>
        <v>1181</v>
      </c>
      <c r="BO231" s="13">
        <v>0</v>
      </c>
      <c r="BP231" s="13">
        <v>1</v>
      </c>
      <c r="BQ231" s="13" t="s">
        <v>102</v>
      </c>
      <c r="BR231" s="13">
        <f ca="1">VLOOKUP(H231,ghosts_label!$A$2:$B$19,2,FALSE)</f>
        <v>700</v>
      </c>
    </row>
    <row r="232" spans="1:70" ht="21" customHeight="1" x14ac:dyDescent="0.15">
      <c r="A232" s="14">
        <f t="shared" ca="1" si="22"/>
        <v>231</v>
      </c>
      <c r="B232" s="77" t="str">
        <f ca="1">VLOOKUP($A232,OFFSET([2]characters!$A$1,0,0,COUNTA([2]characters!$A:$A),MATCH(B$1,[2]characters!$1:$1,0)-MATCH($A$1,[2]characters!$1:$1,0)+1),MATCH(B$1,[2]characters!$1:$1,0)-MATCH($A$1,[2]characters!$1:$1,0)+1,FALSE)</f>
        <v>必中の咬銃 ヨルムンガンド</v>
      </c>
      <c r="C232" s="77" t="str">
        <f ca="1">VLOOKUP($A232,OFFSET([2]characters!$A$1,0,0,COUNTA([2]characters!$A:$A),MATCH(C$1,[2]characters!$1:$1,0)-MATCH($A$1,[2]characters!$1:$1,0)+1),MATCH(C$1,[2]characters!$1:$1,0)-MATCH($A$1,[2]characters!$1:$1,0)+1,FALSE)</f>
        <v>初期ガチャ</v>
      </c>
      <c r="D232" s="77" t="str">
        <f ca="1">VLOOKUP($A232,OFFSET([2]characters!$A$1,0,0,COUNTA([2]characters!$A:$A),MATCH(D$1,[2]characters!$1:$1,0)-MATCH($A$1,[2]characters!$1:$1,0)+1),MATCH(D$1,[2]characters!$1:$1,0)-MATCH($A$1,[2]characters!$1:$1,0)+1,FALSE)</f>
        <v>破界者</v>
      </c>
      <c r="E232" s="77" t="str">
        <f ca="1">VLOOKUP($A232,OFFSET([2]characters!$A$1,0,0,COUNTA([2]characters!$A:$A),MATCH(E$1,[2]characters!$1:$1,0)-MATCH($A$1,[2]characters!$1:$1,0)+1),MATCH(E$1,[2]characters!$1:$1,0)-MATCH($A$1,[2]characters!$1:$1,0)+1,FALSE)</f>
        <v>可愛い</v>
      </c>
      <c r="F232" s="77" t="str">
        <f ca="1">VLOOKUP($A232,OFFSET([2]characters!$A$1,0,0,COUNTA([2]characters!$A:$A),MATCH(F$1,[2]characters!$1:$1,0)-MATCH($A$1,[2]characters!$1:$1,0)+1),MATCH(F$1,[2]characters!$1:$1,0)-MATCH($A$1,[2]characters!$1:$1,0)+1,FALSE)</f>
        <v>女性</v>
      </c>
      <c r="G232" s="77">
        <f ca="1">VLOOKUP($A232,OFFSET([2]characters!$A$1,0,0,COUNTA([2]characters!$A:$A),MATCH(G$1,[2]characters!$1:$1,0)-MATCH($A$1,[2]characters!$1:$1,0)+1),MATCH(G$1,[2]characters!$1:$1,0)-MATCH($A$1,[2]characters!$1:$1,0)+1,FALSE)</f>
        <v>5</v>
      </c>
      <c r="H232" s="77" t="str">
        <f ca="1">VLOOKUP($A232,OFFSET([2]characters!$A$1,0,0,COUNTA([2]characters!$A:$A),MATCH(H$1,[2]characters!$1:$1,0)-MATCH($A$1,[2]characters!$1:$1,0)+1),MATCH(H$1,[2]characters!$1:$1,0)-MATCH($A$1,[2]characters!$1:$1,0)+1,FALSE)</f>
        <v>PremiumS</v>
      </c>
      <c r="I232" s="77" t="str">
        <f ca="1">VLOOKUP($A232,OFFSET([2]characters!$A$1,0,0,COUNTA([2]characters!$A:$A),MATCH(I$1,[2]characters!$1:$1,0)-MATCH($A$1,[2]characters!$1:$1,0)+1),MATCH(I$1,[2]characters!$1:$1,0)-MATCH($A$1,[2]characters!$1:$1,0)+1,FALSE)</f>
        <v>green</v>
      </c>
      <c r="J232" s="14">
        <f ca="1">VLOOKUP(I232,[2]属性!$A:$E,2,FALSE)</f>
        <v>1.02</v>
      </c>
      <c r="K232" s="14">
        <f ca="1">VLOOKUP(I232,[2]属性!$A:$E,3,FALSE)</f>
        <v>0.98</v>
      </c>
      <c r="L232" s="14">
        <f ca="1">VLOOKUP(I232,[2]属性!$A:$E,4,FALSE)</f>
        <v>1</v>
      </c>
      <c r="M232" s="14">
        <f ca="1">VLOOKUP(I232,[2]属性!$A:$E,5,FALSE)</f>
        <v>1</v>
      </c>
      <c r="N232" s="14">
        <f ca="1">INDEX(コスト!$A$1:$I$20,MATCH(H232,コスト!$A$1:$A$20,FALSE),MATCH(G232,コスト!$A$1:$I$1,FALSE))</f>
        <v>30</v>
      </c>
      <c r="O232" s="14">
        <f ca="1">INDEX(レベル!$A$1:$I$21,MATCH(H232,レベル!$A$1:$A$21,FALSE),MATCH(G232,レベル!$A$1:$I$1,FALSE))</f>
        <v>80</v>
      </c>
      <c r="P232" s="63">
        <f t="shared" ca="1" si="28"/>
        <v>75</v>
      </c>
      <c r="Q232" s="77" t="str">
        <f ca="1">VLOOKUP($A232,OFFSET([2]characters!$A$1,0,0,COUNTA([2]characters!$A:$A),MATCH(Q$1,[2]characters!$1:$1,0)-MATCH($A$1,[2]characters!$1:$1,0)+1),MATCH(Q$1,[2]characters!$1:$1,0)-MATCH($A$1,[2]characters!$1:$1,0)+1,FALSE)</f>
        <v>technical</v>
      </c>
      <c r="R232" s="8" t="str">
        <f ca="1">VLOOKUP(Q232,[2]character_type_i18n!$A:$H,3,FALSE)</f>
        <v>テクニカルタイプ</v>
      </c>
      <c r="S232" s="14">
        <f ca="1">VLOOKUP(Q232,[2]character_type_i18n!$A:$H,4,FALSE)</f>
        <v>0.9</v>
      </c>
      <c r="T232" s="14">
        <f ca="1">VLOOKUP(Q232,[2]character_type_i18n!$A:$H,5,FALSE)</f>
        <v>0.9</v>
      </c>
      <c r="U232" s="14">
        <f ca="1">VLOOKUP(Q232,[2]character_type_i18n!$A:$H,6,FALSE)</f>
        <v>1</v>
      </c>
      <c r="V232" s="14">
        <f ca="1">VLOOKUP(Q232,[2]character_type_i18n!$A:$H,7,FALSE)</f>
        <v>0.9</v>
      </c>
      <c r="W232" s="77" t="str">
        <f ca="1">VLOOKUP($A232,OFFSET([2]characters!$A$1,0,0,COUNTA([2]characters!$A:$A),MATCH(W$1,[2]characters!$1:$1,0)-MATCH($A$1,[2]characters!$1:$1,0)+1),MATCH(W$1,[2]characters!$1:$1,0)-MATCH($A$1,[2]characters!$1:$1,0)+1,FALSE)</f>
        <v>dragon</v>
      </c>
      <c r="X232" s="8" t="str">
        <f ca="1">VLOOKUP(W232,[2]character_tribe_i18n!$A:$H,3,FALSE)</f>
        <v>ドラゴン</v>
      </c>
      <c r="Y232" s="77" t="str">
        <f ca="1">VLOOKUP($A232,OFFSET([2]characters!$A$1,0,0,COUNTA([2]characters!$A:$A),MATCH(Y$1,[2]characters!$1:$1,0)-MATCH($A$1,[2]characters!$1:$1,0)+1),MATCH(Y$1,[2]characters!$1:$1,0)-MATCH($A$1,[2]characters!$1:$1,0)+1,FALSE)</f>
        <v>none</v>
      </c>
      <c r="Z232" s="8" t="str">
        <f ca="1">VLOOKUP(Y232,[2]character_tribe_i18n!$A:$H,3,FALSE)</f>
        <v>種族なし</v>
      </c>
      <c r="AA232" s="14">
        <f ca="1">VLOOKUP(W232,[2]character_tribe_i18n!$A:$H,4,FALSE)</f>
        <v>1.1499999999999999</v>
      </c>
      <c r="AB232" s="14">
        <f ca="1">VLOOKUP(W232,[2]character_tribe_i18n!$A:$H,5,FALSE)</f>
        <v>1.1000000000000001</v>
      </c>
      <c r="AC232" s="14">
        <f ca="1">VLOOKUP(W232,[2]character_tribe_i18n!$A:$H,6,FALSE)</f>
        <v>1</v>
      </c>
      <c r="AD232" s="14">
        <f ca="1">VLOOKUP(W232,[2]character_tribe_i18n!$A:$H,7,FALSE)</f>
        <v>0.75</v>
      </c>
      <c r="AE232" s="12" t="s">
        <v>102</v>
      </c>
      <c r="AF232" s="85" t="str">
        <f ca="1">IF(AE232="NULL","",VLOOKUP($AE232,OFFSET([2]characters!$A$1,0,0,COUNTA([2]characters!$A:$A),MATCH(AF$1,[2]characters!$1:$1,0)-MATCH($A$1,[2]characters!$1:$1,0)+1),MATCH(AF$1,[2]characters!$1:$1,0)-MATCH($A$1,[2]characters!$1:$1,0)+1,FALSE))</f>
        <v/>
      </c>
      <c r="AG232" s="8">
        <f t="shared" ca="1" si="23"/>
        <v>229</v>
      </c>
      <c r="AH232" s="85" t="str">
        <f ca="1">VLOOKUP($AG232,OFFSET([2]characters!$A$1,0,0,COUNTA([2]characters!$A:$A),MATCH(AH$1,[2]characters!$1:$1,0)-MATCH($A$1,[2]characters!$1:$1,0)+1),MATCH(AH$1,[2]characters!$1:$1,0)-MATCH($A$1,[2]characters!$1:$1,0)+1,FALSE)</f>
        <v>ヨルムンガンド</v>
      </c>
      <c r="AI232" s="14" t="str">
        <f>IF(AE232="NULL","NULL",VLOOKUP(G232,ビット!$A$2:$B$7,2))</f>
        <v>NULL</v>
      </c>
      <c r="AJ232" s="9">
        <v>2</v>
      </c>
      <c r="AK232" s="10" t="str">
        <f t="shared" si="24"/>
        <v>普通</v>
      </c>
      <c r="AL232" s="14" t="str">
        <f ca="1">INDEX(経験値!$A$1:$I$20,MATCH(H232,経験値!$A$1:$A$20,FALSE),MATCH(G232,経験値!$A$1:$I$1,FALSE))</f>
        <v>required_exp_200</v>
      </c>
      <c r="AM232" s="11">
        <f ca="1">VLOOKUP(G232,経験値!$A$27:$B$31,2)</f>
        <v>6400</v>
      </c>
      <c r="AN232" s="21">
        <f ca="1">VLOOKUP(G232,ビット!$G$2:$H$7,2)</f>
        <v>900</v>
      </c>
      <c r="AO232" s="98" t="s">
        <v>178</v>
      </c>
      <c r="AP232" s="97">
        <v>540013</v>
      </c>
      <c r="AQ232" s="77" t="e">
        <f ca="1">VLOOKUP($AP232,OFFSET([1]unit_skills!$A$1,0,0,COUNTA([1]unit_skills!$A:$A),MATCH("name",[1]unit_skills!$1:$1,0)-MATCH($AP$1,[1]unit_skills!$1:$1,0)+1),MATCH("name",[1]unit_skills!$1:$1,0)-MATCH($AP$1,[1]unit_skills!$1:$1,0)+1,FALSE)</f>
        <v>#VALUE!</v>
      </c>
      <c r="AR232" s="77" t="e">
        <f ca="1">VLOOKUP($AP232,OFFSET([1]unit_skills!$A$1,0,0,COUNTA([1]unit_skills!$A:$A),MATCH("comment",[1]unit_skills!$1:$1,0)-MATCH($AP$1,[1]unit_skills!$1:$1,0)+1),MATCH("comment",[1]unit_skills!$1:$1,0)-MATCH($AP$1,[1]unit_skills!$1:$1,0)+1,FALSE)</f>
        <v>#VALUE!</v>
      </c>
      <c r="AS232" s="77" t="e">
        <f ca="1">VLOOKUP($AP232,OFFSET([1]unit_skills!$A$1,0,0,COUNTA([1]unit_skills!$A:$A),MATCH(AS$1,[1]unit_skills!$1:$1,0)-MATCH($AP$1,[1]unit_skills!$1:$1,0)+1),MATCH(AS$1,[1]unit_skills!$1:$1,0)-MATCH($AP$1,[1]unit_skills!$1:$1,0)+1,FALSE)</f>
        <v>#VALUE!</v>
      </c>
      <c r="AT232" s="97">
        <v>142009</v>
      </c>
      <c r="AU232" s="77" t="e">
        <f ca="1">VLOOKUP($AT232,OFFSET([1]crash_skills!$A$1,0,0,COUNTA([1]crash_skills!$A:$A),MATCH("name",[1]crash_skills!$1:$1,0)-MATCH($AT$1,[1]crash_skills!$1:$1,0)+1),MATCH("name",[1]crash_skills!$1:$1,0)-MATCH($AT$1,[1]crash_skills!$1:$1,0)+1,FALSE)</f>
        <v>#VALUE!</v>
      </c>
      <c r="AV232" s="77" t="e">
        <f ca="1">VLOOKUP($AT232,OFFSET([1]crash_skills!$A$1,0,0,COUNTA([1]crash_skills!$A:$A),MATCH("comment",[1]crash_skills!$1:$1,0)-MATCH($AT$1,[1]crash_skills!$1:$1,0)+1),MATCH("comment",[1]crash_skills!$1:$1,0)-MATCH($AT$1,[1]crash_skills!$1:$1,0)+1,FALSE)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32" s="77" t="e">
        <f ca="1">VLOOKUP($AT232,OFFSET([1]crash_skills!$A$1,0,0,COUNTA([1]crash_skills!$A:$A),MATCH(AW$1,[1]crash_skills!$1:$1,0)-MATCH($AT$1,[1]crash_skills!$1:$1,0)+1),MATCH(AW$1,[1]crash_skills!$1:$1,0)-MATCH($AT$1,[1]crash_skills!$1:$1,0)+1,FALSE)</f>
        <v>#VALUE!</v>
      </c>
      <c r="AX232" s="81">
        <f ca="1">VLOOKUP($A232,OFFSET([2]characters!$A$1,0,0,COUNTA([2]characters!$A:$A),MATCH(AX$1,[2]characters!$1:$1,0)-MATCH($A$1,[2]characters!$1:$1,0)+1),MATCH(AX$1,[2]characters!$1:$1,0)-MATCH($A$1,[2]characters!$1:$1,0)+1,FALSE)</f>
        <v>3</v>
      </c>
      <c r="AY232" s="19">
        <v>1.2</v>
      </c>
      <c r="AZ232" s="19">
        <v>0.8</v>
      </c>
      <c r="BA232" s="19">
        <v>0</v>
      </c>
      <c r="BB232" s="19">
        <v>1</v>
      </c>
      <c r="BC232" s="14">
        <f ca="1">INDEX('RC6SV'!$A$1:$G$20,MATCH(H232,'RC6SV'!$A$1:$A$20,FALSE),MATCH(G232,'RC6SV'!$A$1:$G$1,FALSE))</f>
        <v>9000</v>
      </c>
      <c r="BD232" s="63">
        <f t="shared" ca="1" si="25"/>
        <v>9000</v>
      </c>
      <c r="BE232" s="14">
        <f t="shared" ca="1" si="26"/>
        <v>7000</v>
      </c>
      <c r="BF232" s="14">
        <f t="shared" ca="1" si="27"/>
        <v>1</v>
      </c>
      <c r="BG232" s="20">
        <f ca="1">IF($BE232&lt;=0,ROUND(BK232*0.5,0), ROUND($BE232*S232*AA232*J232*AY232*0.8*[2]ステータス!$B$2,0))</f>
        <v>3547</v>
      </c>
      <c r="BH232" s="20">
        <f ca="1">IF($BE232&lt;=0,ROUND(BL232*0.5,0), ROUND($BE232*T232*AB232*K232*AZ232*0.8*[2]ステータス!$C$2,0))</f>
        <v>1304</v>
      </c>
      <c r="BI232" s="20">
        <f ca="1">IF($BE232&lt;=0,ROUND(BM232*0.5,0), ROUND($BE232*U232*AC232*L232*BA232*0.8*[2]ステータス!$D$2,0))</f>
        <v>0</v>
      </c>
      <c r="BJ232" s="20">
        <f ca="1">IF($BE232&lt;=0,ROUND(BN232*0.5,0), ROUND($BE232*V232*AD232*M232*BB232*0.8*[2]ステータス!$E$2,0))</f>
        <v>945</v>
      </c>
      <c r="BK232" s="14">
        <f ca="1">ROUND(BD232*S232*AA232*J232*AY232*[2]ステータス!$B$2,0)</f>
        <v>5701</v>
      </c>
      <c r="BL232" s="14">
        <f ca="1">ROUND(BD232*T232*AB232*K232*AZ232*[2]ステータス!$C$2,0)</f>
        <v>2096</v>
      </c>
      <c r="BM232" s="14">
        <f ca="1">ROUND(BD232*U232*AC232*L232*BA232*[2]ステータス!$D$2,0)</f>
        <v>0</v>
      </c>
      <c r="BN232" s="14">
        <f ca="1">ROUND(BD232*V232*AD232*M232*BB232*[2]ステータス!$E$2,0)</f>
        <v>1519</v>
      </c>
      <c r="BO232" s="13">
        <v>0</v>
      </c>
      <c r="BP232" s="13">
        <v>1</v>
      </c>
      <c r="BQ232" s="13" t="s">
        <v>102</v>
      </c>
      <c r="BR232" s="13">
        <f ca="1">VLOOKUP(H232,ghosts_label!$A$2:$B$19,2,FALSE)</f>
        <v>700</v>
      </c>
    </row>
    <row r="233" spans="1:70" ht="21" customHeight="1" x14ac:dyDescent="0.15">
      <c r="A233" s="14">
        <f t="shared" ca="1" si="22"/>
        <v>232</v>
      </c>
      <c r="B233" s="77" t="str">
        <f ca="1">VLOOKUP($A233,OFFSET([2]characters!$A$1,0,0,COUNTA([2]characters!$A:$A),MATCH(B$1,[2]characters!$1:$1,0)-MATCH($A$1,[2]characters!$1:$1,0)+1),MATCH(B$1,[2]characters!$1:$1,0)-MATCH($A$1,[2]characters!$1:$1,0)+1,FALSE)</f>
        <v>パーシヴァル</v>
      </c>
      <c r="C233" s="77" t="str">
        <f ca="1">VLOOKUP($A233,OFFSET([2]characters!$A$1,0,0,COUNTA([2]characters!$A:$A),MATCH(C$1,[2]characters!$1:$1,0)-MATCH($A$1,[2]characters!$1:$1,0)+1),MATCH(C$1,[2]characters!$1:$1,0)-MATCH($A$1,[2]characters!$1:$1,0)+1,FALSE)</f>
        <v>初期ガチャ</v>
      </c>
      <c r="D233" s="77" t="str">
        <f ca="1">VLOOKUP($A233,OFFSET([2]characters!$A$1,0,0,COUNTA([2]characters!$A:$A),MATCH(D$1,[2]characters!$1:$1,0)-MATCH($A$1,[2]characters!$1:$1,0)+1),MATCH(D$1,[2]characters!$1:$1,0)-MATCH($A$1,[2]characters!$1:$1,0)+1,FALSE)</f>
        <v>守護者</v>
      </c>
      <c r="E233" s="77" t="str">
        <f ca="1">VLOOKUP($A233,OFFSET([2]characters!$A$1,0,0,COUNTA([2]characters!$A:$A),MATCH(E$1,[2]characters!$1:$1,0)-MATCH($A$1,[2]characters!$1:$1,0)+1),MATCH(E$1,[2]characters!$1:$1,0)-MATCH($A$1,[2]characters!$1:$1,0)+1,FALSE)</f>
        <v>美しい</v>
      </c>
      <c r="F233" s="77" t="str">
        <f ca="1">VLOOKUP($A233,OFFSET([2]characters!$A$1,0,0,COUNTA([2]characters!$A:$A),MATCH(F$1,[2]characters!$1:$1,0)-MATCH($A$1,[2]characters!$1:$1,0)+1),MATCH(F$1,[2]characters!$1:$1,0)-MATCH($A$1,[2]characters!$1:$1,0)+1,FALSE)</f>
        <v>女性</v>
      </c>
      <c r="G233" s="77">
        <f ca="1">VLOOKUP($A233,OFFSET([2]characters!$A$1,0,0,COUNTA([2]characters!$A:$A),MATCH(G$1,[2]characters!$1:$1,0)-MATCH($A$1,[2]characters!$1:$1,0)+1),MATCH(G$1,[2]characters!$1:$1,0)-MATCH($A$1,[2]characters!$1:$1,0)+1,FALSE)</f>
        <v>3</v>
      </c>
      <c r="H233" s="77" t="str">
        <f ca="1">VLOOKUP($A233,OFFSET([2]characters!$A$1,0,0,COUNTA([2]characters!$A:$A),MATCH(H$1,[2]characters!$1:$1,0)-MATCH($A$1,[2]characters!$1:$1,0)+1),MATCH(H$1,[2]characters!$1:$1,0)-MATCH($A$1,[2]characters!$1:$1,0)+1,FALSE)</f>
        <v>PremiumS</v>
      </c>
      <c r="I233" s="77" t="str">
        <f ca="1">VLOOKUP($A233,OFFSET([2]characters!$A$1,0,0,COUNTA([2]characters!$A:$A),MATCH(I$1,[2]characters!$1:$1,0)-MATCH($A$1,[2]characters!$1:$1,0)+1),MATCH(I$1,[2]characters!$1:$1,0)-MATCH($A$1,[2]characters!$1:$1,0)+1,FALSE)</f>
        <v>blue</v>
      </c>
      <c r="J233" s="14">
        <f ca="1">VLOOKUP(I233,[2]属性!$A:$E,2,FALSE)</f>
        <v>1</v>
      </c>
      <c r="K233" s="14">
        <f ca="1">VLOOKUP(I233,[2]属性!$A:$E,3,FALSE)</f>
        <v>0.98</v>
      </c>
      <c r="L233" s="14">
        <f ca="1">VLOOKUP(I233,[2]属性!$A:$E,4,FALSE)</f>
        <v>1</v>
      </c>
      <c r="M233" s="14">
        <f ca="1">VLOOKUP(I233,[2]属性!$A:$E,5,FALSE)</f>
        <v>1.02</v>
      </c>
      <c r="N233" s="14">
        <f ca="1">INDEX(コスト!$A$1:$I$20,MATCH(H233,コスト!$A$1:$A$20,FALSE),MATCH(G233,コスト!$A$1:$I$1,FALSE))</f>
        <v>10</v>
      </c>
      <c r="O233" s="14">
        <f ca="1">INDEX(レベル!$A$1:$I$21,MATCH(H233,レベル!$A$1:$A$21,FALSE),MATCH(G233,レベル!$A$1:$I$1,FALSE))</f>
        <v>40</v>
      </c>
      <c r="P233" s="63">
        <f t="shared" ca="1" si="28"/>
        <v>45</v>
      </c>
      <c r="Q233" s="77" t="str">
        <f ca="1">VLOOKUP($A233,OFFSET([2]characters!$A$1,0,0,COUNTA([2]characters!$A:$A),MATCH(Q$1,[2]characters!$1:$1,0)-MATCH($A$1,[2]characters!$1:$1,0)+1),MATCH(Q$1,[2]characters!$1:$1,0)-MATCH($A$1,[2]characters!$1:$1,0)+1,FALSE)</f>
        <v>technical</v>
      </c>
      <c r="R233" s="8" t="str">
        <f ca="1">VLOOKUP(Q233,[2]character_type_i18n!$A:$H,3,FALSE)</f>
        <v>テクニカルタイプ</v>
      </c>
      <c r="S233" s="14">
        <f ca="1">VLOOKUP(Q233,[2]character_type_i18n!$A:$H,4,FALSE)</f>
        <v>0.9</v>
      </c>
      <c r="T233" s="14">
        <f ca="1">VLOOKUP(Q233,[2]character_type_i18n!$A:$H,5,FALSE)</f>
        <v>0.9</v>
      </c>
      <c r="U233" s="14">
        <f ca="1">VLOOKUP(Q233,[2]character_type_i18n!$A:$H,6,FALSE)</f>
        <v>1</v>
      </c>
      <c r="V233" s="14">
        <f ca="1">VLOOKUP(Q233,[2]character_type_i18n!$A:$H,7,FALSE)</f>
        <v>0.9</v>
      </c>
      <c r="W233" s="77" t="str">
        <f ca="1">VLOOKUP($A233,OFFSET([2]characters!$A$1,0,0,COUNTA([2]characters!$A:$A),MATCH(W$1,[2]characters!$1:$1,0)-MATCH($A$1,[2]characters!$1:$1,0)+1),MATCH(W$1,[2]characters!$1:$1,0)-MATCH($A$1,[2]characters!$1:$1,0)+1,FALSE)</f>
        <v>human</v>
      </c>
      <c r="X233" s="8" t="str">
        <f ca="1">VLOOKUP(W233,[2]character_tribe_i18n!$A:$H,3,FALSE)</f>
        <v>ヒューマン</v>
      </c>
      <c r="Y233" s="77" t="str">
        <f ca="1">VLOOKUP($A233,OFFSET([2]characters!$A$1,0,0,COUNTA([2]characters!$A:$A),MATCH(Y$1,[2]characters!$1:$1,0)-MATCH($A$1,[2]characters!$1:$1,0)+1),MATCH(Y$1,[2]characters!$1:$1,0)-MATCH($A$1,[2]characters!$1:$1,0)+1,FALSE)</f>
        <v>none</v>
      </c>
      <c r="Z233" s="8" t="str">
        <f ca="1">VLOOKUP(Y233,[2]character_tribe_i18n!$A:$H,3,FALSE)</f>
        <v>種族なし</v>
      </c>
      <c r="AA233" s="14">
        <f ca="1">VLOOKUP(W233,[2]character_tribe_i18n!$A:$H,4,FALSE)</f>
        <v>0.94</v>
      </c>
      <c r="AB233" s="14">
        <f ca="1">VLOOKUP(W233,[2]character_tribe_i18n!$A:$H,5,FALSE)</f>
        <v>0.99</v>
      </c>
      <c r="AC233" s="14">
        <f ca="1">VLOOKUP(W233,[2]character_tribe_i18n!$A:$H,6,FALSE)</f>
        <v>1</v>
      </c>
      <c r="AD233" s="14">
        <f ca="1">VLOOKUP(W233,[2]character_tribe_i18n!$A:$H,7,FALSE)</f>
        <v>1.07</v>
      </c>
      <c r="AE233" s="12">
        <v>233</v>
      </c>
      <c r="AF233" s="85" t="str">
        <f ca="1">IF(AE233="NULL","",VLOOKUP($AE233,OFFSET([2]characters!$A$1,0,0,COUNTA([2]characters!$A:$A),MATCH(AF$1,[2]characters!$1:$1,0)-MATCH($A$1,[2]characters!$1:$1,0)+1),MATCH(AF$1,[2]characters!$1:$1,0)-MATCH($A$1,[2]characters!$1:$1,0)+1,FALSE))</f>
        <v>遂行 パーシヴァル</v>
      </c>
      <c r="AG233" s="8">
        <f t="shared" ca="1" si="23"/>
        <v>232</v>
      </c>
      <c r="AH233" s="85" t="str">
        <f ca="1">VLOOKUP($AG233,OFFSET([2]characters!$A$1,0,0,COUNTA([2]characters!$A:$A),MATCH(AH$1,[2]characters!$1:$1,0)-MATCH($A$1,[2]characters!$1:$1,0)+1),MATCH(AH$1,[2]characters!$1:$1,0)-MATCH($A$1,[2]characters!$1:$1,0)+1,FALSE)</f>
        <v>パーシヴァル</v>
      </c>
      <c r="AI233" s="14">
        <f ca="1">IF(AE233="NULL","NULL",VLOOKUP(G233,ビット!$A$2:$B$7,2))</f>
        <v>20000</v>
      </c>
      <c r="AJ233" s="9">
        <v>2</v>
      </c>
      <c r="AK233" s="10" t="str">
        <f t="shared" si="24"/>
        <v>普通</v>
      </c>
      <c r="AL233" s="14" t="str">
        <f ca="1">INDEX(経験値!$A$1:$I$20,MATCH(H233,経験値!$A$1:$A$20,FALSE),MATCH(G233,経験値!$A$1:$I$1,FALSE))</f>
        <v>required_exp_200</v>
      </c>
      <c r="AM233" s="11">
        <f ca="1">VLOOKUP(G233,経験値!$A$27:$B$31,2)</f>
        <v>1500</v>
      </c>
      <c r="AN233" s="21">
        <f ca="1">VLOOKUP(G233,ビット!$G$2:$H$7,2)</f>
        <v>300</v>
      </c>
      <c r="AO233" s="98" t="s">
        <v>181</v>
      </c>
      <c r="AP233" s="97">
        <v>440002</v>
      </c>
      <c r="AQ233" s="77" t="e">
        <f ca="1">VLOOKUP($AP233,OFFSET([1]unit_skills!$A$1,0,0,COUNTA([1]unit_skills!$A:$A),MATCH("name",[1]unit_skills!$1:$1,0)-MATCH($AP$1,[1]unit_skills!$1:$1,0)+1),MATCH("name",[1]unit_skills!$1:$1,0)-MATCH($AP$1,[1]unit_skills!$1:$1,0)+1,FALSE)</f>
        <v>#VALUE!</v>
      </c>
      <c r="AR233" s="77" t="e">
        <f ca="1">VLOOKUP($AP233,OFFSET([1]unit_skills!$A$1,0,0,COUNTA([1]unit_skills!$A:$A),MATCH("comment",[1]unit_skills!$1:$1,0)-MATCH($AP$1,[1]unit_skills!$1:$1,0)+1),MATCH("comment",[1]unit_skills!$1:$1,0)-MATCH($AP$1,[1]unit_skills!$1:$1,0)+1,FALSE)</f>
        <v>#VALUE!</v>
      </c>
      <c r="AS233" s="77" t="e">
        <f ca="1">VLOOKUP($AP233,OFFSET([1]unit_skills!$A$1,0,0,COUNTA([1]unit_skills!$A:$A),MATCH(AS$1,[1]unit_skills!$1:$1,0)-MATCH($AP$1,[1]unit_skills!$1:$1,0)+1),MATCH(AS$1,[1]unit_skills!$1:$1,0)-MATCH($AP$1,[1]unit_skills!$1:$1,0)+1,FALSE)</f>
        <v>#VALUE!</v>
      </c>
      <c r="AT233" s="97">
        <v>113003</v>
      </c>
      <c r="AU233" s="77" t="e">
        <f ca="1">VLOOKUP($AT233,OFFSET([1]crash_skills!$A$1,0,0,COUNTA([1]crash_skills!$A:$A),MATCH("name",[1]crash_skills!$1:$1,0)-MATCH($AT$1,[1]crash_skills!$1:$1,0)+1),MATCH("name",[1]crash_skills!$1:$1,0)-MATCH($AT$1,[1]crash_skills!$1:$1,0)+1,FALSE)</f>
        <v>#VALUE!</v>
      </c>
      <c r="AV233" s="77" t="e">
        <f ca="1">VLOOKUP($AT233,OFFSET([1]crash_skills!$A$1,0,0,COUNTA([1]crash_skills!$A:$A),MATCH("comment",[1]crash_skills!$1:$1,0)-MATCH($AT$1,[1]crash_skills!$1:$1,0)+1),MATCH("comment",[1]crash_skills!$1:$1,0)-MATCH($AT$1,[1]crash_skills!$1:$1,0)+1,FALSE)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33" s="77" t="e">
        <f ca="1">VLOOKUP($AT233,OFFSET([1]crash_skills!$A$1,0,0,COUNTA([1]crash_skills!$A:$A),MATCH(AW$1,[1]crash_skills!$1:$1,0)-MATCH($AT$1,[1]crash_skills!$1:$1,0)+1),MATCH(AW$1,[1]crash_skills!$1:$1,0)-MATCH($AT$1,[1]crash_skills!$1:$1,0)+1,FALSE)</f>
        <v>#VALUE!</v>
      </c>
      <c r="AX233" s="81">
        <f ca="1">VLOOKUP($A233,OFFSET([2]characters!$A$1,0,0,COUNTA([2]characters!$A:$A),MATCH(AX$1,[2]characters!$1:$1,0)-MATCH($A$1,[2]characters!$1:$1,0)+1),MATCH(AX$1,[2]characters!$1:$1,0)-MATCH($A$1,[2]characters!$1:$1,0)+1,FALSE)</f>
        <v>3</v>
      </c>
      <c r="AY233" s="19">
        <v>1</v>
      </c>
      <c r="AZ233" s="19">
        <v>0.8</v>
      </c>
      <c r="BA233" s="19">
        <v>0</v>
      </c>
      <c r="BB233" s="19">
        <v>1.2</v>
      </c>
      <c r="BC233" s="14">
        <f ca="1">INDEX('RC6SV'!$A$1:$G$20,MATCH(H233,'RC6SV'!$A$1:$A$20,FALSE),MATCH(G233,'RC6SV'!$A$1:$G$1,FALSE))</f>
        <v>5000</v>
      </c>
      <c r="BD233" s="63">
        <f t="shared" ca="1" si="25"/>
        <v>5000</v>
      </c>
      <c r="BE233" s="14">
        <f t="shared" ca="1" si="26"/>
        <v>0</v>
      </c>
      <c r="BF233" s="14">
        <f t="shared" ca="1" si="27"/>
        <v>1</v>
      </c>
      <c r="BG233" s="20">
        <f ca="1">IF($BE233&lt;=0,ROUND(BK233*0.5,0), ROUND($BE233*S233*AA233*J233*AY233*0.8*[2]ステータス!$B$2,0))</f>
        <v>1058</v>
      </c>
      <c r="BH233" s="20">
        <f ca="1">IF($BE233&lt;=0,ROUND(BL233*0.5,0), ROUND($BE233*T233*AB233*K233*AZ233*0.8*[2]ステータス!$C$2,0))</f>
        <v>524</v>
      </c>
      <c r="BI233" s="20">
        <f ca="1">IF($BE233&lt;=0,ROUND(BM233*0.5,0), ROUND($BE233*U233*AC233*L233*BA233*0.8*[2]ステータス!$D$2,0))</f>
        <v>0</v>
      </c>
      <c r="BJ233" s="20">
        <f ca="1">IF($BE233&lt;=0,ROUND(BN233*0.5,0), ROUND($BE233*V233*AD233*M233*BB233*0.8*[2]ステータス!$E$2,0))</f>
        <v>737</v>
      </c>
      <c r="BK233" s="14">
        <f ca="1">ROUND(BD233*S233*AA233*J233*AY233*[2]ステータス!$B$2,0)</f>
        <v>2115</v>
      </c>
      <c r="BL233" s="14">
        <f ca="1">ROUND(BD233*T233*AB233*K233*AZ233*[2]ステータス!$C$2,0)</f>
        <v>1048</v>
      </c>
      <c r="BM233" s="14">
        <f ca="1">ROUND(BD233*U233*AC233*L233*BA233*[2]ステータス!$D$2,0)</f>
        <v>0</v>
      </c>
      <c r="BN233" s="14">
        <f ca="1">ROUND(BD233*V233*AD233*M233*BB233*[2]ステータス!$E$2,0)</f>
        <v>1473</v>
      </c>
      <c r="BO233" s="13">
        <v>0</v>
      </c>
      <c r="BP233" s="13">
        <v>1</v>
      </c>
      <c r="BQ233" s="13" t="s">
        <v>102</v>
      </c>
      <c r="BR233" s="13">
        <f ca="1">VLOOKUP(H233,ghosts_label!$A$2:$B$19,2,FALSE)</f>
        <v>700</v>
      </c>
    </row>
    <row r="234" spans="1:70" ht="21" customHeight="1" x14ac:dyDescent="0.15">
      <c r="A234" s="14">
        <f t="shared" ca="1" si="22"/>
        <v>233</v>
      </c>
      <c r="B234" s="77" t="str">
        <f ca="1">VLOOKUP($A234,OFFSET([2]characters!$A$1,0,0,COUNTA([2]characters!$A:$A),MATCH(B$1,[2]characters!$1:$1,0)-MATCH($A$1,[2]characters!$1:$1,0)+1),MATCH(B$1,[2]characters!$1:$1,0)-MATCH($A$1,[2]characters!$1:$1,0)+1,FALSE)</f>
        <v>遂行 パーシヴァル</v>
      </c>
      <c r="C234" s="77" t="str">
        <f ca="1">VLOOKUP($A234,OFFSET([2]characters!$A$1,0,0,COUNTA([2]characters!$A:$A),MATCH(C$1,[2]characters!$1:$1,0)-MATCH($A$1,[2]characters!$1:$1,0)+1),MATCH(C$1,[2]characters!$1:$1,0)-MATCH($A$1,[2]characters!$1:$1,0)+1,FALSE)</f>
        <v>初期ガチャ</v>
      </c>
      <c r="D234" s="77" t="str">
        <f ca="1">VLOOKUP($A234,OFFSET([2]characters!$A$1,0,0,COUNTA([2]characters!$A:$A),MATCH(D$1,[2]characters!$1:$1,0)-MATCH($A$1,[2]characters!$1:$1,0)+1),MATCH(D$1,[2]characters!$1:$1,0)-MATCH($A$1,[2]characters!$1:$1,0)+1,FALSE)</f>
        <v>守護者</v>
      </c>
      <c r="E234" s="77" t="str">
        <f ca="1">VLOOKUP($A234,OFFSET([2]characters!$A$1,0,0,COUNTA([2]characters!$A:$A),MATCH(E$1,[2]characters!$1:$1,0)-MATCH($A$1,[2]characters!$1:$1,0)+1),MATCH(E$1,[2]characters!$1:$1,0)-MATCH($A$1,[2]characters!$1:$1,0)+1,FALSE)</f>
        <v>美しい</v>
      </c>
      <c r="F234" s="77" t="str">
        <f ca="1">VLOOKUP($A234,OFFSET([2]characters!$A$1,0,0,COUNTA([2]characters!$A:$A),MATCH(F$1,[2]characters!$1:$1,0)-MATCH($A$1,[2]characters!$1:$1,0)+1),MATCH(F$1,[2]characters!$1:$1,0)-MATCH($A$1,[2]characters!$1:$1,0)+1,FALSE)</f>
        <v>女性</v>
      </c>
      <c r="G234" s="77">
        <f ca="1">VLOOKUP($A234,OFFSET([2]characters!$A$1,0,0,COUNTA([2]characters!$A:$A),MATCH(G$1,[2]characters!$1:$1,0)-MATCH($A$1,[2]characters!$1:$1,0)+1),MATCH(G$1,[2]characters!$1:$1,0)-MATCH($A$1,[2]characters!$1:$1,0)+1,FALSE)</f>
        <v>4</v>
      </c>
      <c r="H234" s="77" t="str">
        <f ca="1">VLOOKUP($A234,OFFSET([2]characters!$A$1,0,0,COUNTA([2]characters!$A:$A),MATCH(H$1,[2]characters!$1:$1,0)-MATCH($A$1,[2]characters!$1:$1,0)+1),MATCH(H$1,[2]characters!$1:$1,0)-MATCH($A$1,[2]characters!$1:$1,0)+1,FALSE)</f>
        <v>PremiumS</v>
      </c>
      <c r="I234" s="77" t="str">
        <f ca="1">VLOOKUP($A234,OFFSET([2]characters!$A$1,0,0,COUNTA([2]characters!$A:$A),MATCH(I$1,[2]characters!$1:$1,0)-MATCH($A$1,[2]characters!$1:$1,0)+1),MATCH(I$1,[2]characters!$1:$1,0)-MATCH($A$1,[2]characters!$1:$1,0)+1,FALSE)</f>
        <v>blue</v>
      </c>
      <c r="J234" s="14">
        <f ca="1">VLOOKUP(I234,[2]属性!$A:$E,2,FALSE)</f>
        <v>1</v>
      </c>
      <c r="K234" s="14">
        <f ca="1">VLOOKUP(I234,[2]属性!$A:$E,3,FALSE)</f>
        <v>0.98</v>
      </c>
      <c r="L234" s="14">
        <f ca="1">VLOOKUP(I234,[2]属性!$A:$E,4,FALSE)</f>
        <v>1</v>
      </c>
      <c r="M234" s="14">
        <f ca="1">VLOOKUP(I234,[2]属性!$A:$E,5,FALSE)</f>
        <v>1.02</v>
      </c>
      <c r="N234" s="14">
        <f ca="1">INDEX(コスト!$A$1:$I$20,MATCH(H234,コスト!$A$1:$A$20,FALSE),MATCH(G234,コスト!$A$1:$I$1,FALSE))</f>
        <v>20</v>
      </c>
      <c r="O234" s="14">
        <f ca="1">INDEX(レベル!$A$1:$I$21,MATCH(H234,レベル!$A$1:$A$21,FALSE),MATCH(G234,レベル!$A$1:$I$1,FALSE))</f>
        <v>60</v>
      </c>
      <c r="P234" s="63">
        <f t="shared" ca="1" si="28"/>
        <v>60</v>
      </c>
      <c r="Q234" s="77" t="str">
        <f ca="1">VLOOKUP($A234,OFFSET([2]characters!$A$1,0,0,COUNTA([2]characters!$A:$A),MATCH(Q$1,[2]characters!$1:$1,0)-MATCH($A$1,[2]characters!$1:$1,0)+1),MATCH(Q$1,[2]characters!$1:$1,0)-MATCH($A$1,[2]characters!$1:$1,0)+1,FALSE)</f>
        <v>technical</v>
      </c>
      <c r="R234" s="8" t="str">
        <f ca="1">VLOOKUP(Q234,[2]character_type_i18n!$A:$H,3,FALSE)</f>
        <v>テクニカルタイプ</v>
      </c>
      <c r="S234" s="14">
        <f ca="1">VLOOKUP(Q234,[2]character_type_i18n!$A:$H,4,FALSE)</f>
        <v>0.9</v>
      </c>
      <c r="T234" s="14">
        <f ca="1">VLOOKUP(Q234,[2]character_type_i18n!$A:$H,5,FALSE)</f>
        <v>0.9</v>
      </c>
      <c r="U234" s="14">
        <f ca="1">VLOOKUP(Q234,[2]character_type_i18n!$A:$H,6,FALSE)</f>
        <v>1</v>
      </c>
      <c r="V234" s="14">
        <f ca="1">VLOOKUP(Q234,[2]character_type_i18n!$A:$H,7,FALSE)</f>
        <v>0.9</v>
      </c>
      <c r="W234" s="77" t="str">
        <f ca="1">VLOOKUP($A234,OFFSET([2]characters!$A$1,0,0,COUNTA([2]characters!$A:$A),MATCH(W$1,[2]characters!$1:$1,0)-MATCH($A$1,[2]characters!$1:$1,0)+1),MATCH(W$1,[2]characters!$1:$1,0)-MATCH($A$1,[2]characters!$1:$1,0)+1,FALSE)</f>
        <v>human</v>
      </c>
      <c r="X234" s="8" t="str">
        <f ca="1">VLOOKUP(W234,[2]character_tribe_i18n!$A:$H,3,FALSE)</f>
        <v>ヒューマン</v>
      </c>
      <c r="Y234" s="77" t="str">
        <f ca="1">VLOOKUP($A234,OFFSET([2]characters!$A$1,0,0,COUNTA([2]characters!$A:$A),MATCH(Y$1,[2]characters!$1:$1,0)-MATCH($A$1,[2]characters!$1:$1,0)+1),MATCH(Y$1,[2]characters!$1:$1,0)-MATCH($A$1,[2]characters!$1:$1,0)+1,FALSE)</f>
        <v>none</v>
      </c>
      <c r="Z234" s="8" t="str">
        <f ca="1">VLOOKUP(Y234,[2]character_tribe_i18n!$A:$H,3,FALSE)</f>
        <v>種族なし</v>
      </c>
      <c r="AA234" s="14">
        <f ca="1">VLOOKUP(W234,[2]character_tribe_i18n!$A:$H,4,FALSE)</f>
        <v>0.94</v>
      </c>
      <c r="AB234" s="14">
        <f ca="1">VLOOKUP(W234,[2]character_tribe_i18n!$A:$H,5,FALSE)</f>
        <v>0.99</v>
      </c>
      <c r="AC234" s="14">
        <f ca="1">VLOOKUP(W234,[2]character_tribe_i18n!$A:$H,6,FALSE)</f>
        <v>1</v>
      </c>
      <c r="AD234" s="14">
        <f ca="1">VLOOKUP(W234,[2]character_tribe_i18n!$A:$H,7,FALSE)</f>
        <v>1.07</v>
      </c>
      <c r="AE234" s="12">
        <v>234</v>
      </c>
      <c r="AF234" s="85" t="str">
        <f ca="1">IF(AE234="NULL","",VLOOKUP($AE234,OFFSET([2]characters!$A$1,0,0,COUNTA([2]characters!$A:$A),MATCH(AF$1,[2]characters!$1:$1,0)-MATCH($A$1,[2]characters!$1:$1,0)+1),MATCH(AF$1,[2]characters!$1:$1,0)-MATCH($A$1,[2]characters!$1:$1,0)+1,FALSE))</f>
        <v>精密なる照準 パーシヴァル</v>
      </c>
      <c r="AG234" s="8">
        <f t="shared" ca="1" si="23"/>
        <v>232</v>
      </c>
      <c r="AH234" s="85" t="str">
        <f ca="1">VLOOKUP($AG234,OFFSET([2]characters!$A$1,0,0,COUNTA([2]characters!$A:$A),MATCH(AH$1,[2]characters!$1:$1,0)-MATCH($A$1,[2]characters!$1:$1,0)+1),MATCH(AH$1,[2]characters!$1:$1,0)-MATCH($A$1,[2]characters!$1:$1,0)+1,FALSE)</f>
        <v>パーシヴァル</v>
      </c>
      <c r="AI234" s="14">
        <f ca="1">IF(AE234="NULL","NULL",VLOOKUP(G234,ビット!$A$2:$B$7,2))</f>
        <v>50000</v>
      </c>
      <c r="AJ234" s="9">
        <v>2</v>
      </c>
      <c r="AK234" s="10" t="str">
        <f t="shared" si="24"/>
        <v>普通</v>
      </c>
      <c r="AL234" s="14" t="str">
        <f ca="1">INDEX(経験値!$A$1:$I$20,MATCH(H234,経験値!$A$1:$A$20,FALSE),MATCH(G234,経験値!$A$1:$I$1,FALSE))</f>
        <v>required_exp_200</v>
      </c>
      <c r="AM234" s="11">
        <f ca="1">VLOOKUP(G234,経験値!$A$27:$B$31,2)</f>
        <v>3400</v>
      </c>
      <c r="AN234" s="21">
        <f ca="1">VLOOKUP(G234,ビット!$G$2:$H$7,2)</f>
        <v>600</v>
      </c>
      <c r="AO234" s="98" t="s">
        <v>181</v>
      </c>
      <c r="AP234" s="97">
        <v>440002</v>
      </c>
      <c r="AQ234" s="77" t="e">
        <f ca="1">VLOOKUP($AP234,OFFSET([1]unit_skills!$A$1,0,0,COUNTA([1]unit_skills!$A:$A),MATCH("name",[1]unit_skills!$1:$1,0)-MATCH($AP$1,[1]unit_skills!$1:$1,0)+1),MATCH("name",[1]unit_skills!$1:$1,0)-MATCH($AP$1,[1]unit_skills!$1:$1,0)+1,FALSE)</f>
        <v>#VALUE!</v>
      </c>
      <c r="AR234" s="77" t="e">
        <f ca="1">VLOOKUP($AP234,OFFSET([1]unit_skills!$A$1,0,0,COUNTA([1]unit_skills!$A:$A),MATCH("comment",[1]unit_skills!$1:$1,0)-MATCH($AP$1,[1]unit_skills!$1:$1,0)+1),MATCH("comment",[1]unit_skills!$1:$1,0)-MATCH($AP$1,[1]unit_skills!$1:$1,0)+1,FALSE)</f>
        <v>#VALUE!</v>
      </c>
      <c r="AS234" s="77" t="e">
        <f ca="1">VLOOKUP($AP234,OFFSET([1]unit_skills!$A$1,0,0,COUNTA([1]unit_skills!$A:$A),MATCH(AS$1,[1]unit_skills!$1:$1,0)-MATCH($AP$1,[1]unit_skills!$1:$1,0)+1),MATCH(AS$1,[1]unit_skills!$1:$1,0)-MATCH($AP$1,[1]unit_skills!$1:$1,0)+1,FALSE)</f>
        <v>#VALUE!</v>
      </c>
      <c r="AT234" s="97">
        <v>113003</v>
      </c>
      <c r="AU234" s="77" t="e">
        <f ca="1">VLOOKUP($AT234,OFFSET([1]crash_skills!$A$1,0,0,COUNTA([1]crash_skills!$A:$A),MATCH("name",[1]crash_skills!$1:$1,0)-MATCH($AT$1,[1]crash_skills!$1:$1,0)+1),MATCH("name",[1]crash_skills!$1:$1,0)-MATCH($AT$1,[1]crash_skills!$1:$1,0)+1,FALSE)</f>
        <v>#VALUE!</v>
      </c>
      <c r="AV234" s="77" t="e">
        <f ca="1">VLOOKUP($AT234,OFFSET([1]crash_skills!$A$1,0,0,COUNTA([1]crash_skills!$A:$A),MATCH("comment",[1]crash_skills!$1:$1,0)-MATCH($AT$1,[1]crash_skills!$1:$1,0)+1),MATCH("comment",[1]crash_skills!$1:$1,0)-MATCH($AT$1,[1]crash_skills!$1:$1,0)+1,FALSE)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34" s="77" t="e">
        <f ca="1">VLOOKUP($AT234,OFFSET([1]crash_skills!$A$1,0,0,COUNTA([1]crash_skills!$A:$A),MATCH(AW$1,[1]crash_skills!$1:$1,0)-MATCH($AT$1,[1]crash_skills!$1:$1,0)+1),MATCH(AW$1,[1]crash_skills!$1:$1,0)-MATCH($AT$1,[1]crash_skills!$1:$1,0)+1,FALSE)</f>
        <v>#VALUE!</v>
      </c>
      <c r="AX234" s="81">
        <f ca="1">VLOOKUP($A234,OFFSET([2]characters!$A$1,0,0,COUNTA([2]characters!$A:$A),MATCH(AX$1,[2]characters!$1:$1,0)-MATCH($A$1,[2]characters!$1:$1,0)+1),MATCH(AX$1,[2]characters!$1:$1,0)-MATCH($A$1,[2]characters!$1:$1,0)+1,FALSE)</f>
        <v>3</v>
      </c>
      <c r="AY234" s="19">
        <v>1</v>
      </c>
      <c r="AZ234" s="19">
        <v>0.8</v>
      </c>
      <c r="BA234" s="19">
        <v>0</v>
      </c>
      <c r="BB234" s="19">
        <v>1.2</v>
      </c>
      <c r="BC234" s="14">
        <f ca="1">INDEX('RC6SV'!$A$1:$G$20,MATCH(H234,'RC6SV'!$A$1:$A$20,FALSE),MATCH(G234,'RC6SV'!$A$1:$G$1,FALSE))</f>
        <v>7000</v>
      </c>
      <c r="BD234" s="63">
        <f t="shared" ca="1" si="25"/>
        <v>7000</v>
      </c>
      <c r="BE234" s="14">
        <f t="shared" ca="1" si="26"/>
        <v>5000</v>
      </c>
      <c r="BF234" s="14">
        <f t="shared" ca="1" si="27"/>
        <v>1</v>
      </c>
      <c r="BG234" s="20">
        <f ca="1">IF($BE234&lt;=0,ROUND(BK234*0.5,0), ROUND($BE234*S234*AA234*J234*AY234*0.8*[2]ステータス!$B$2,0))</f>
        <v>1692</v>
      </c>
      <c r="BH234" s="20">
        <f ca="1">IF($BE234&lt;=0,ROUND(BL234*0.5,0), ROUND($BE234*T234*AB234*K234*AZ234*0.8*[2]ステータス!$C$2,0))</f>
        <v>838</v>
      </c>
      <c r="BI234" s="20">
        <f ca="1">IF($BE234&lt;=0,ROUND(BM234*0.5,0), ROUND($BE234*U234*AC234*L234*BA234*0.8*[2]ステータス!$D$2,0))</f>
        <v>0</v>
      </c>
      <c r="BJ234" s="20">
        <f ca="1">IF($BE234&lt;=0,ROUND(BN234*0.5,0), ROUND($BE234*V234*AD234*M234*BB234*0.8*[2]ステータス!$E$2,0))</f>
        <v>1179</v>
      </c>
      <c r="BK234" s="14">
        <f ca="1">ROUND(BD234*S234*AA234*J234*AY234*[2]ステータス!$B$2,0)</f>
        <v>2961</v>
      </c>
      <c r="BL234" s="14">
        <f ca="1">ROUND(BD234*T234*AB234*K234*AZ234*[2]ステータス!$C$2,0)</f>
        <v>1467</v>
      </c>
      <c r="BM234" s="14">
        <f ca="1">ROUND(BD234*U234*AC234*L234*BA234*[2]ステータス!$D$2,0)</f>
        <v>0</v>
      </c>
      <c r="BN234" s="14">
        <f ca="1">ROUND(BD234*V234*AD234*M234*BB234*[2]ステータス!$E$2,0)</f>
        <v>2063</v>
      </c>
      <c r="BO234" s="13">
        <v>0</v>
      </c>
      <c r="BP234" s="13">
        <v>1</v>
      </c>
      <c r="BQ234" s="13" t="s">
        <v>102</v>
      </c>
      <c r="BR234" s="13">
        <f ca="1">VLOOKUP(H234,ghosts_label!$A$2:$B$19,2,FALSE)</f>
        <v>700</v>
      </c>
    </row>
    <row r="235" spans="1:70" ht="21" customHeight="1" x14ac:dyDescent="0.15">
      <c r="A235" s="14">
        <f t="shared" ca="1" si="22"/>
        <v>234</v>
      </c>
      <c r="B235" s="77" t="str">
        <f ca="1">VLOOKUP($A235,OFFSET([2]characters!$A$1,0,0,COUNTA([2]characters!$A:$A),MATCH(B$1,[2]characters!$1:$1,0)-MATCH($A$1,[2]characters!$1:$1,0)+1),MATCH(B$1,[2]characters!$1:$1,0)-MATCH($A$1,[2]characters!$1:$1,0)+1,FALSE)</f>
        <v>精密なる照準 パーシヴァル</v>
      </c>
      <c r="C235" s="77" t="str">
        <f ca="1">VLOOKUP($A235,OFFSET([2]characters!$A$1,0,0,COUNTA([2]characters!$A:$A),MATCH(C$1,[2]characters!$1:$1,0)-MATCH($A$1,[2]characters!$1:$1,0)+1),MATCH(C$1,[2]characters!$1:$1,0)-MATCH($A$1,[2]characters!$1:$1,0)+1,FALSE)</f>
        <v>初期ガチャ</v>
      </c>
      <c r="D235" s="77" t="str">
        <f ca="1">VLOOKUP($A235,OFFSET([2]characters!$A$1,0,0,COUNTA([2]characters!$A:$A),MATCH(D$1,[2]characters!$1:$1,0)-MATCH($A$1,[2]characters!$1:$1,0)+1),MATCH(D$1,[2]characters!$1:$1,0)-MATCH($A$1,[2]characters!$1:$1,0)+1,FALSE)</f>
        <v>守護者</v>
      </c>
      <c r="E235" s="77" t="str">
        <f ca="1">VLOOKUP($A235,OFFSET([2]characters!$A$1,0,0,COUNTA([2]characters!$A:$A),MATCH(E$1,[2]characters!$1:$1,0)-MATCH($A$1,[2]characters!$1:$1,0)+1),MATCH(E$1,[2]characters!$1:$1,0)-MATCH($A$1,[2]characters!$1:$1,0)+1,FALSE)</f>
        <v>美しい</v>
      </c>
      <c r="F235" s="77" t="str">
        <f ca="1">VLOOKUP($A235,OFFSET([2]characters!$A$1,0,0,COUNTA([2]characters!$A:$A),MATCH(F$1,[2]characters!$1:$1,0)-MATCH($A$1,[2]characters!$1:$1,0)+1),MATCH(F$1,[2]characters!$1:$1,0)-MATCH($A$1,[2]characters!$1:$1,0)+1,FALSE)</f>
        <v>女性</v>
      </c>
      <c r="G235" s="77">
        <f ca="1">VLOOKUP($A235,OFFSET([2]characters!$A$1,0,0,COUNTA([2]characters!$A:$A),MATCH(G$1,[2]characters!$1:$1,0)-MATCH($A$1,[2]characters!$1:$1,0)+1),MATCH(G$1,[2]characters!$1:$1,0)-MATCH($A$1,[2]characters!$1:$1,0)+1,FALSE)</f>
        <v>5</v>
      </c>
      <c r="H235" s="77" t="str">
        <f ca="1">VLOOKUP($A235,OFFSET([2]characters!$A$1,0,0,COUNTA([2]characters!$A:$A),MATCH(H$1,[2]characters!$1:$1,0)-MATCH($A$1,[2]characters!$1:$1,0)+1),MATCH(H$1,[2]characters!$1:$1,0)-MATCH($A$1,[2]characters!$1:$1,0)+1,FALSE)</f>
        <v>PremiumS</v>
      </c>
      <c r="I235" s="77" t="str">
        <f ca="1">VLOOKUP($A235,OFFSET([2]characters!$A$1,0,0,COUNTA([2]characters!$A:$A),MATCH(I$1,[2]characters!$1:$1,0)-MATCH($A$1,[2]characters!$1:$1,0)+1),MATCH(I$1,[2]characters!$1:$1,0)-MATCH($A$1,[2]characters!$1:$1,0)+1,FALSE)</f>
        <v>blue</v>
      </c>
      <c r="J235" s="14">
        <f ca="1">VLOOKUP(I235,[2]属性!$A:$E,2,FALSE)</f>
        <v>1</v>
      </c>
      <c r="K235" s="14">
        <f ca="1">VLOOKUP(I235,[2]属性!$A:$E,3,FALSE)</f>
        <v>0.98</v>
      </c>
      <c r="L235" s="14">
        <f ca="1">VLOOKUP(I235,[2]属性!$A:$E,4,FALSE)</f>
        <v>1</v>
      </c>
      <c r="M235" s="14">
        <f ca="1">VLOOKUP(I235,[2]属性!$A:$E,5,FALSE)</f>
        <v>1.02</v>
      </c>
      <c r="N235" s="14">
        <f ca="1">INDEX(コスト!$A$1:$I$20,MATCH(H235,コスト!$A$1:$A$20,FALSE),MATCH(G235,コスト!$A$1:$I$1,FALSE))</f>
        <v>30</v>
      </c>
      <c r="O235" s="14">
        <f ca="1">INDEX(レベル!$A$1:$I$21,MATCH(H235,レベル!$A$1:$A$21,FALSE),MATCH(G235,レベル!$A$1:$I$1,FALSE))</f>
        <v>80</v>
      </c>
      <c r="P235" s="63">
        <f t="shared" ca="1" si="28"/>
        <v>75</v>
      </c>
      <c r="Q235" s="77" t="str">
        <f ca="1">VLOOKUP($A235,OFFSET([2]characters!$A$1,0,0,COUNTA([2]characters!$A:$A),MATCH(Q$1,[2]characters!$1:$1,0)-MATCH($A$1,[2]characters!$1:$1,0)+1),MATCH(Q$1,[2]characters!$1:$1,0)-MATCH($A$1,[2]characters!$1:$1,0)+1,FALSE)</f>
        <v>technical</v>
      </c>
      <c r="R235" s="8" t="str">
        <f ca="1">VLOOKUP(Q235,[2]character_type_i18n!$A:$H,3,FALSE)</f>
        <v>テクニカルタイプ</v>
      </c>
      <c r="S235" s="14">
        <f ca="1">VLOOKUP(Q235,[2]character_type_i18n!$A:$H,4,FALSE)</f>
        <v>0.9</v>
      </c>
      <c r="T235" s="14">
        <f ca="1">VLOOKUP(Q235,[2]character_type_i18n!$A:$H,5,FALSE)</f>
        <v>0.9</v>
      </c>
      <c r="U235" s="14">
        <f ca="1">VLOOKUP(Q235,[2]character_type_i18n!$A:$H,6,FALSE)</f>
        <v>1</v>
      </c>
      <c r="V235" s="14">
        <f ca="1">VLOOKUP(Q235,[2]character_type_i18n!$A:$H,7,FALSE)</f>
        <v>0.9</v>
      </c>
      <c r="W235" s="77" t="str">
        <f ca="1">VLOOKUP($A235,OFFSET([2]characters!$A$1,0,0,COUNTA([2]characters!$A:$A),MATCH(W$1,[2]characters!$1:$1,0)-MATCH($A$1,[2]characters!$1:$1,0)+1),MATCH(W$1,[2]characters!$1:$1,0)-MATCH($A$1,[2]characters!$1:$1,0)+1,FALSE)</f>
        <v>human</v>
      </c>
      <c r="X235" s="8" t="str">
        <f ca="1">VLOOKUP(W235,[2]character_tribe_i18n!$A:$H,3,FALSE)</f>
        <v>ヒューマン</v>
      </c>
      <c r="Y235" s="77" t="str">
        <f ca="1">VLOOKUP($A235,OFFSET([2]characters!$A$1,0,0,COUNTA([2]characters!$A:$A),MATCH(Y$1,[2]characters!$1:$1,0)-MATCH($A$1,[2]characters!$1:$1,0)+1),MATCH(Y$1,[2]characters!$1:$1,0)-MATCH($A$1,[2]characters!$1:$1,0)+1,FALSE)</f>
        <v>none</v>
      </c>
      <c r="Z235" s="8" t="str">
        <f ca="1">VLOOKUP(Y235,[2]character_tribe_i18n!$A:$H,3,FALSE)</f>
        <v>種族なし</v>
      </c>
      <c r="AA235" s="14">
        <f ca="1">VLOOKUP(W235,[2]character_tribe_i18n!$A:$H,4,FALSE)</f>
        <v>0.94</v>
      </c>
      <c r="AB235" s="14">
        <f ca="1">VLOOKUP(W235,[2]character_tribe_i18n!$A:$H,5,FALSE)</f>
        <v>0.99</v>
      </c>
      <c r="AC235" s="14">
        <f ca="1">VLOOKUP(W235,[2]character_tribe_i18n!$A:$H,6,FALSE)</f>
        <v>1</v>
      </c>
      <c r="AD235" s="14">
        <f ca="1">VLOOKUP(W235,[2]character_tribe_i18n!$A:$H,7,FALSE)</f>
        <v>1.07</v>
      </c>
      <c r="AE235" s="12" t="s">
        <v>102</v>
      </c>
      <c r="AF235" s="85" t="str">
        <f ca="1">IF(AE235="NULL","",VLOOKUP($AE235,OFFSET([2]characters!$A$1,0,0,COUNTA([2]characters!$A:$A),MATCH(AF$1,[2]characters!$1:$1,0)-MATCH($A$1,[2]characters!$1:$1,0)+1),MATCH(AF$1,[2]characters!$1:$1,0)-MATCH($A$1,[2]characters!$1:$1,0)+1,FALSE))</f>
        <v/>
      </c>
      <c r="AG235" s="8">
        <f t="shared" ca="1" si="23"/>
        <v>232</v>
      </c>
      <c r="AH235" s="85" t="str">
        <f ca="1">VLOOKUP($AG235,OFFSET([2]characters!$A$1,0,0,COUNTA([2]characters!$A:$A),MATCH(AH$1,[2]characters!$1:$1,0)-MATCH($A$1,[2]characters!$1:$1,0)+1),MATCH(AH$1,[2]characters!$1:$1,0)-MATCH($A$1,[2]characters!$1:$1,0)+1,FALSE)</f>
        <v>パーシヴァル</v>
      </c>
      <c r="AI235" s="14" t="str">
        <f>IF(AE235="NULL","NULL",VLOOKUP(G235,ビット!$A$2:$B$7,2))</f>
        <v>NULL</v>
      </c>
      <c r="AJ235" s="9">
        <v>2</v>
      </c>
      <c r="AK235" s="10" t="str">
        <f t="shared" si="24"/>
        <v>普通</v>
      </c>
      <c r="AL235" s="14" t="str">
        <f ca="1">INDEX(経験値!$A$1:$I$20,MATCH(H235,経験値!$A$1:$A$20,FALSE),MATCH(G235,経験値!$A$1:$I$1,FALSE))</f>
        <v>required_exp_200</v>
      </c>
      <c r="AM235" s="11">
        <f ca="1">VLOOKUP(G235,経験値!$A$27:$B$31,2)</f>
        <v>6400</v>
      </c>
      <c r="AN235" s="21">
        <f ca="1">VLOOKUP(G235,ビット!$G$2:$H$7,2)</f>
        <v>900</v>
      </c>
      <c r="AO235" s="98" t="s">
        <v>181</v>
      </c>
      <c r="AP235" s="97">
        <v>440002</v>
      </c>
      <c r="AQ235" s="77" t="e">
        <f ca="1">VLOOKUP($AP235,OFFSET([1]unit_skills!$A$1,0,0,COUNTA([1]unit_skills!$A:$A),MATCH("name",[1]unit_skills!$1:$1,0)-MATCH($AP$1,[1]unit_skills!$1:$1,0)+1),MATCH("name",[1]unit_skills!$1:$1,0)-MATCH($AP$1,[1]unit_skills!$1:$1,0)+1,FALSE)</f>
        <v>#VALUE!</v>
      </c>
      <c r="AR235" s="77" t="e">
        <f ca="1">VLOOKUP($AP235,OFFSET([1]unit_skills!$A$1,0,0,COUNTA([1]unit_skills!$A:$A),MATCH("comment",[1]unit_skills!$1:$1,0)-MATCH($AP$1,[1]unit_skills!$1:$1,0)+1),MATCH("comment",[1]unit_skills!$1:$1,0)-MATCH($AP$1,[1]unit_skills!$1:$1,0)+1,FALSE)</f>
        <v>#VALUE!</v>
      </c>
      <c r="AS235" s="77" t="e">
        <f ca="1">VLOOKUP($AP235,OFFSET([1]unit_skills!$A$1,0,0,COUNTA([1]unit_skills!$A:$A),MATCH(AS$1,[1]unit_skills!$1:$1,0)-MATCH($AP$1,[1]unit_skills!$1:$1,0)+1),MATCH(AS$1,[1]unit_skills!$1:$1,0)-MATCH($AP$1,[1]unit_skills!$1:$1,0)+1,FALSE)</f>
        <v>#VALUE!</v>
      </c>
      <c r="AT235" s="97">
        <v>113011</v>
      </c>
      <c r="AU235" s="77" t="e">
        <f ca="1">VLOOKUP($AT235,OFFSET([1]crash_skills!$A$1,0,0,COUNTA([1]crash_skills!$A:$A),MATCH("name",[1]crash_skills!$1:$1,0)-MATCH($AT$1,[1]crash_skills!$1:$1,0)+1),MATCH("name",[1]crash_skills!$1:$1,0)-MATCH($AT$1,[1]crash_skills!$1:$1,0)+1,FALSE)</f>
        <v>#VALUE!</v>
      </c>
      <c r="AV235" s="77" t="e">
        <f ca="1">VLOOKUP($AT235,OFFSET([1]crash_skills!$A$1,0,0,COUNTA([1]crash_skills!$A:$A),MATCH("comment",[1]crash_skills!$1:$1,0)-MATCH($AT$1,[1]crash_skills!$1:$1,0)+1),MATCH("comment",[1]crash_skills!$1:$1,0)-MATCH($AT$1,[1]crash_skills!$1:$1,0)+1,FALSE)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35" s="77" t="e">
        <f ca="1">VLOOKUP($AT235,OFFSET([1]crash_skills!$A$1,0,0,COUNTA([1]crash_skills!$A:$A),MATCH(AW$1,[1]crash_skills!$1:$1,0)-MATCH($AT$1,[1]crash_skills!$1:$1,0)+1),MATCH(AW$1,[1]crash_skills!$1:$1,0)-MATCH($AT$1,[1]crash_skills!$1:$1,0)+1,FALSE)</f>
        <v>#VALUE!</v>
      </c>
      <c r="AX235" s="81">
        <f ca="1">VLOOKUP($A235,OFFSET([2]characters!$A$1,0,0,COUNTA([2]characters!$A:$A),MATCH(AX$1,[2]characters!$1:$1,0)-MATCH($A$1,[2]characters!$1:$1,0)+1),MATCH(AX$1,[2]characters!$1:$1,0)-MATCH($A$1,[2]characters!$1:$1,0)+1,FALSE)</f>
        <v>3</v>
      </c>
      <c r="AY235" s="19">
        <v>1</v>
      </c>
      <c r="AZ235" s="19">
        <v>0.8</v>
      </c>
      <c r="BA235" s="19">
        <v>0</v>
      </c>
      <c r="BB235" s="19">
        <v>1.2</v>
      </c>
      <c r="BC235" s="14">
        <f ca="1">INDEX('RC6SV'!$A$1:$G$20,MATCH(H235,'RC6SV'!$A$1:$A$20,FALSE),MATCH(G235,'RC6SV'!$A$1:$G$1,FALSE))</f>
        <v>9000</v>
      </c>
      <c r="BD235" s="63">
        <f t="shared" ca="1" si="25"/>
        <v>9000</v>
      </c>
      <c r="BE235" s="14">
        <f t="shared" ca="1" si="26"/>
        <v>7000</v>
      </c>
      <c r="BF235" s="14">
        <f t="shared" ca="1" si="27"/>
        <v>1</v>
      </c>
      <c r="BG235" s="20">
        <f ca="1">IF($BE235&lt;=0,ROUND(BK235*0.5,0), ROUND($BE235*S235*AA235*J235*AY235*0.8*[2]ステータス!$B$2,0))</f>
        <v>2369</v>
      </c>
      <c r="BH235" s="20">
        <f ca="1">IF($BE235&lt;=0,ROUND(BL235*0.5,0), ROUND($BE235*T235*AB235*K235*AZ235*0.8*[2]ステータス!$C$2,0))</f>
        <v>1174</v>
      </c>
      <c r="BI235" s="20">
        <f ca="1">IF($BE235&lt;=0,ROUND(BM235*0.5,0), ROUND($BE235*U235*AC235*L235*BA235*0.8*[2]ステータス!$D$2,0))</f>
        <v>0</v>
      </c>
      <c r="BJ235" s="20">
        <f ca="1">IF($BE235&lt;=0,ROUND(BN235*0.5,0), ROUND($BE235*V235*AD235*M235*BB235*0.8*[2]ステータス!$E$2,0))</f>
        <v>1650</v>
      </c>
      <c r="BK235" s="14">
        <f ca="1">ROUND(BD235*S235*AA235*J235*AY235*[2]ステータス!$B$2,0)</f>
        <v>3807</v>
      </c>
      <c r="BL235" s="14">
        <f ca="1">ROUND(BD235*T235*AB235*K235*AZ235*[2]ステータス!$C$2,0)</f>
        <v>1886</v>
      </c>
      <c r="BM235" s="14">
        <f ca="1">ROUND(BD235*U235*AC235*L235*BA235*[2]ステータス!$D$2,0)</f>
        <v>0</v>
      </c>
      <c r="BN235" s="14">
        <f ca="1">ROUND(BD235*V235*AD235*M235*BB235*[2]ステータス!$E$2,0)</f>
        <v>2652</v>
      </c>
      <c r="BO235" s="13">
        <v>0</v>
      </c>
      <c r="BP235" s="13">
        <v>1</v>
      </c>
      <c r="BQ235" s="13" t="s">
        <v>102</v>
      </c>
      <c r="BR235" s="13">
        <f ca="1">VLOOKUP(H235,ghosts_label!$A$2:$B$19,2,FALSE)</f>
        <v>700</v>
      </c>
    </row>
    <row r="236" spans="1:70" ht="21" customHeight="1" x14ac:dyDescent="0.15">
      <c r="A236" s="14">
        <f t="shared" ca="1" si="22"/>
        <v>235</v>
      </c>
      <c r="B236" s="77" t="str">
        <f ca="1">VLOOKUP($A236,OFFSET([2]characters!$A$1,0,0,COUNTA([2]characters!$A:$A),MATCH(B$1,[2]characters!$1:$1,0)-MATCH($A$1,[2]characters!$1:$1,0)+1),MATCH(B$1,[2]characters!$1:$1,0)-MATCH($A$1,[2]characters!$1:$1,0)+1,FALSE)</f>
        <v>イザナミ</v>
      </c>
      <c r="C236" s="77" t="str">
        <f ca="1">VLOOKUP($A236,OFFSET([2]characters!$A$1,0,0,COUNTA([2]characters!$A:$A),MATCH(C$1,[2]characters!$1:$1,0)-MATCH($A$1,[2]characters!$1:$1,0)+1),MATCH(C$1,[2]characters!$1:$1,0)-MATCH($A$1,[2]characters!$1:$1,0)+1,FALSE)</f>
        <v>初期ガチャ</v>
      </c>
      <c r="D236" s="77" t="str">
        <f ca="1">VLOOKUP($A236,OFFSET([2]characters!$A$1,0,0,COUNTA([2]characters!$A:$A),MATCH(D$1,[2]characters!$1:$1,0)-MATCH($A$1,[2]characters!$1:$1,0)+1),MATCH(D$1,[2]characters!$1:$1,0)-MATCH($A$1,[2]characters!$1:$1,0)+1,FALSE)</f>
        <v>執行者</v>
      </c>
      <c r="E236" s="77" t="str">
        <f ca="1">VLOOKUP($A236,OFFSET([2]characters!$A$1,0,0,COUNTA([2]characters!$A:$A),MATCH(E$1,[2]characters!$1:$1,0)-MATCH($A$1,[2]characters!$1:$1,0)+1),MATCH(E$1,[2]characters!$1:$1,0)-MATCH($A$1,[2]characters!$1:$1,0)+1,FALSE)</f>
        <v>美しい</v>
      </c>
      <c r="F236" s="77" t="str">
        <f ca="1">VLOOKUP($A236,OFFSET([2]characters!$A$1,0,0,COUNTA([2]characters!$A:$A),MATCH(F$1,[2]characters!$1:$1,0)-MATCH($A$1,[2]characters!$1:$1,0)+1),MATCH(F$1,[2]characters!$1:$1,0)-MATCH($A$1,[2]characters!$1:$1,0)+1,FALSE)</f>
        <v>女性</v>
      </c>
      <c r="G236" s="77">
        <f ca="1">VLOOKUP($A236,OFFSET([2]characters!$A$1,0,0,COUNTA([2]characters!$A:$A),MATCH(G$1,[2]characters!$1:$1,0)-MATCH($A$1,[2]characters!$1:$1,0)+1),MATCH(G$1,[2]characters!$1:$1,0)-MATCH($A$1,[2]characters!$1:$1,0)+1,FALSE)</f>
        <v>3</v>
      </c>
      <c r="H236" s="77" t="str">
        <f ca="1">VLOOKUP($A236,OFFSET([2]characters!$A$1,0,0,COUNTA([2]characters!$A:$A),MATCH(H$1,[2]characters!$1:$1,0)-MATCH($A$1,[2]characters!$1:$1,0)+1),MATCH(H$1,[2]characters!$1:$1,0)-MATCH($A$1,[2]characters!$1:$1,0)+1,FALSE)</f>
        <v>PremiumS</v>
      </c>
      <c r="I236" s="77" t="str">
        <f ca="1">VLOOKUP($A236,OFFSET([2]characters!$A$1,0,0,COUNTA([2]characters!$A:$A),MATCH(I$1,[2]characters!$1:$1,0)-MATCH($A$1,[2]characters!$1:$1,0)+1),MATCH(I$1,[2]characters!$1:$1,0)-MATCH($A$1,[2]characters!$1:$1,0)+1,FALSE)</f>
        <v>yellow</v>
      </c>
      <c r="J236" s="14">
        <f ca="1">VLOOKUP(I236,[2]属性!$A:$E,2,FALSE)</f>
        <v>0.98</v>
      </c>
      <c r="K236" s="14">
        <f ca="1">VLOOKUP(I236,[2]属性!$A:$E,3,FALSE)</f>
        <v>1.01</v>
      </c>
      <c r="L236" s="14">
        <f ca="1">VLOOKUP(I236,[2]属性!$A:$E,4,FALSE)</f>
        <v>1</v>
      </c>
      <c r="M236" s="14">
        <f ca="1">VLOOKUP(I236,[2]属性!$A:$E,5,FALSE)</f>
        <v>1.01</v>
      </c>
      <c r="N236" s="14">
        <f ca="1">INDEX(コスト!$A$1:$I$20,MATCH(H236,コスト!$A$1:$A$20,FALSE),MATCH(G236,コスト!$A$1:$I$1,FALSE))</f>
        <v>10</v>
      </c>
      <c r="O236" s="14">
        <f ca="1">INDEX(レベル!$A$1:$I$21,MATCH(H236,レベル!$A$1:$A$21,FALSE),MATCH(G236,レベル!$A$1:$I$1,FALSE))</f>
        <v>40</v>
      </c>
      <c r="P236" s="63">
        <f t="shared" ca="1" si="28"/>
        <v>45</v>
      </c>
      <c r="Q236" s="77" t="str">
        <f ca="1">VLOOKUP($A236,OFFSET([2]characters!$A$1,0,0,COUNTA([2]characters!$A:$A),MATCH(Q$1,[2]characters!$1:$1,0)-MATCH($A$1,[2]characters!$1:$1,0)+1),MATCH(Q$1,[2]characters!$1:$1,0)-MATCH($A$1,[2]characters!$1:$1,0)+1,FALSE)</f>
        <v>attack</v>
      </c>
      <c r="R236" s="8" t="str">
        <f ca="1">VLOOKUP(Q236,[2]character_type_i18n!$A:$H,3,FALSE)</f>
        <v>攻撃タイプ</v>
      </c>
      <c r="S236" s="14">
        <f ca="1">VLOOKUP(Q236,[2]character_type_i18n!$A:$H,4,FALSE)</f>
        <v>1</v>
      </c>
      <c r="T236" s="14">
        <f ca="1">VLOOKUP(Q236,[2]character_type_i18n!$A:$H,5,FALSE)</f>
        <v>1.33</v>
      </c>
      <c r="U236" s="14">
        <f ca="1">VLOOKUP(Q236,[2]character_type_i18n!$A:$H,6,FALSE)</f>
        <v>1</v>
      </c>
      <c r="V236" s="14">
        <f ca="1">VLOOKUP(Q236,[2]character_type_i18n!$A:$H,7,FALSE)</f>
        <v>0.67</v>
      </c>
      <c r="W236" s="77" t="str">
        <f ca="1">VLOOKUP($A236,OFFSET([2]characters!$A$1,0,0,COUNTA([2]characters!$A:$A),MATCH(W$1,[2]characters!$1:$1,0)-MATCH($A$1,[2]characters!$1:$1,0)+1),MATCH(W$1,[2]characters!$1:$1,0)-MATCH($A$1,[2]characters!$1:$1,0)+1,FALSE)</f>
        <v>god</v>
      </c>
      <c r="X236" s="8" t="str">
        <f ca="1">VLOOKUP(W236,[2]character_tribe_i18n!$A:$H,3,FALSE)</f>
        <v>ゴッド</v>
      </c>
      <c r="Y236" s="77" t="str">
        <f ca="1">VLOOKUP($A236,OFFSET([2]characters!$A$1,0,0,COUNTA([2]characters!$A:$A),MATCH(Y$1,[2]characters!$1:$1,0)-MATCH($A$1,[2]characters!$1:$1,0)+1),MATCH(Y$1,[2]characters!$1:$1,0)-MATCH($A$1,[2]characters!$1:$1,0)+1,FALSE)</f>
        <v>none</v>
      </c>
      <c r="Z236" s="8" t="str">
        <f ca="1">VLOOKUP(Y236,[2]character_tribe_i18n!$A:$H,3,FALSE)</f>
        <v>種族なし</v>
      </c>
      <c r="AA236" s="14">
        <f ca="1">VLOOKUP(W236,[2]character_tribe_i18n!$A:$H,4,FALSE)</f>
        <v>0.96</v>
      </c>
      <c r="AB236" s="14">
        <f ca="1">VLOOKUP(W236,[2]character_tribe_i18n!$A:$H,5,FALSE)</f>
        <v>1.02</v>
      </c>
      <c r="AC236" s="14">
        <f ca="1">VLOOKUP(W236,[2]character_tribe_i18n!$A:$H,6,FALSE)</f>
        <v>1</v>
      </c>
      <c r="AD236" s="14">
        <f ca="1">VLOOKUP(W236,[2]character_tribe_i18n!$A:$H,7,FALSE)</f>
        <v>1.02</v>
      </c>
      <c r="AE236" s="12">
        <v>236</v>
      </c>
      <c r="AF236" s="85" t="str">
        <f ca="1">IF(AE236="NULL","",VLOOKUP($AE236,OFFSET([2]characters!$A$1,0,0,COUNTA([2]characters!$A:$A),MATCH(AF$1,[2]characters!$1:$1,0)-MATCH($A$1,[2]characters!$1:$1,0)+1),MATCH(AF$1,[2]characters!$1:$1,0)-MATCH($A$1,[2]characters!$1:$1,0)+1,FALSE))</f>
        <v>神産 イザナミ</v>
      </c>
      <c r="AG236" s="8">
        <f t="shared" ca="1" si="23"/>
        <v>235</v>
      </c>
      <c r="AH236" s="85" t="str">
        <f ca="1">VLOOKUP($AG236,OFFSET([2]characters!$A$1,0,0,COUNTA([2]characters!$A:$A),MATCH(AH$1,[2]characters!$1:$1,0)-MATCH($A$1,[2]characters!$1:$1,0)+1),MATCH(AH$1,[2]characters!$1:$1,0)-MATCH($A$1,[2]characters!$1:$1,0)+1,FALSE)</f>
        <v>イザナミ</v>
      </c>
      <c r="AI236" s="14">
        <f ca="1">IF(AE236="NULL","NULL",VLOOKUP(G236,ビット!$A$2:$B$7,2))</f>
        <v>20000</v>
      </c>
      <c r="AJ236" s="9">
        <v>2</v>
      </c>
      <c r="AK236" s="10" t="str">
        <f t="shared" si="24"/>
        <v>普通</v>
      </c>
      <c r="AL236" s="14" t="str">
        <f ca="1">INDEX(経験値!$A$1:$I$20,MATCH(H236,経験値!$A$1:$A$20,FALSE),MATCH(G236,経験値!$A$1:$I$1,FALSE))</f>
        <v>required_exp_200</v>
      </c>
      <c r="AM236" s="11">
        <f ca="1">VLOOKUP(G236,経験値!$A$27:$B$31,2)</f>
        <v>1500</v>
      </c>
      <c r="AN236" s="21">
        <f ca="1">VLOOKUP(G236,ビット!$G$2:$H$7,2)</f>
        <v>300</v>
      </c>
      <c r="AO236" s="98" t="s">
        <v>185</v>
      </c>
      <c r="AP236" s="97">
        <v>540004</v>
      </c>
      <c r="AQ236" s="77" t="e">
        <f ca="1">VLOOKUP($AP236,OFFSET([1]unit_skills!$A$1,0,0,COUNTA([1]unit_skills!$A:$A),MATCH("name",[1]unit_skills!$1:$1,0)-MATCH($AP$1,[1]unit_skills!$1:$1,0)+1),MATCH("name",[1]unit_skills!$1:$1,0)-MATCH($AP$1,[1]unit_skills!$1:$1,0)+1,FALSE)</f>
        <v>#VALUE!</v>
      </c>
      <c r="AR236" s="77" t="e">
        <f ca="1">VLOOKUP($AP236,OFFSET([1]unit_skills!$A$1,0,0,COUNTA([1]unit_skills!$A:$A),MATCH("comment",[1]unit_skills!$1:$1,0)-MATCH($AP$1,[1]unit_skills!$1:$1,0)+1),MATCH("comment",[1]unit_skills!$1:$1,0)-MATCH($AP$1,[1]unit_skills!$1:$1,0)+1,FALSE)</f>
        <v>#VALUE!</v>
      </c>
      <c r="AS236" s="77" t="e">
        <f ca="1">VLOOKUP($AP236,OFFSET([1]unit_skills!$A$1,0,0,COUNTA([1]unit_skills!$A:$A),MATCH(AS$1,[1]unit_skills!$1:$1,0)-MATCH($AP$1,[1]unit_skills!$1:$1,0)+1),MATCH(AS$1,[1]unit_skills!$1:$1,0)-MATCH($AP$1,[1]unit_skills!$1:$1,0)+1,FALSE)</f>
        <v>#VALUE!</v>
      </c>
      <c r="AT236" s="97">
        <v>114003</v>
      </c>
      <c r="AU236" s="77" t="e">
        <f ca="1">VLOOKUP($AT236,OFFSET([1]crash_skills!$A$1,0,0,COUNTA([1]crash_skills!$A:$A),MATCH("name",[1]crash_skills!$1:$1,0)-MATCH($AT$1,[1]crash_skills!$1:$1,0)+1),MATCH("name",[1]crash_skills!$1:$1,0)-MATCH($AT$1,[1]crash_skills!$1:$1,0)+1,FALSE)</f>
        <v>#VALUE!</v>
      </c>
      <c r="AV236" s="77" t="e">
        <f ca="1">VLOOKUP($AT236,OFFSET([1]crash_skills!$A$1,0,0,COUNTA([1]crash_skills!$A:$A),MATCH("comment",[1]crash_skills!$1:$1,0)-MATCH($AT$1,[1]crash_skills!$1:$1,0)+1),MATCH("comment",[1]crash_skills!$1:$1,0)-MATCH($AT$1,[1]crash_skills!$1:$1,0)+1,FALSE)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36" s="77" t="e">
        <f ca="1">VLOOKUP($AT236,OFFSET([1]crash_skills!$A$1,0,0,COUNTA([1]crash_skills!$A:$A),MATCH(AW$1,[1]crash_skills!$1:$1,0)-MATCH($AT$1,[1]crash_skills!$1:$1,0)+1),MATCH(AW$1,[1]crash_skills!$1:$1,0)-MATCH($AT$1,[1]crash_skills!$1:$1,0)+1,FALSE)</f>
        <v>#VALUE!</v>
      </c>
      <c r="AX236" s="81">
        <f ca="1">VLOOKUP($A236,OFFSET([2]characters!$A$1,0,0,COUNTA([2]characters!$A:$A),MATCH(AX$1,[2]characters!$1:$1,0)-MATCH($A$1,[2]characters!$1:$1,0)+1),MATCH(AX$1,[2]characters!$1:$1,0)-MATCH($A$1,[2]characters!$1:$1,0)+1,FALSE)</f>
        <v>3</v>
      </c>
      <c r="AY236" s="19">
        <v>1</v>
      </c>
      <c r="AZ236" s="19">
        <v>1</v>
      </c>
      <c r="BA236" s="19">
        <v>0</v>
      </c>
      <c r="BB236" s="19">
        <v>1</v>
      </c>
      <c r="BC236" s="14">
        <f ca="1">INDEX('RC6SV'!$A$1:$G$20,MATCH(H236,'RC6SV'!$A$1:$A$20,FALSE),MATCH(G236,'RC6SV'!$A$1:$G$1,FALSE))</f>
        <v>5000</v>
      </c>
      <c r="BD236" s="63">
        <f t="shared" ca="1" si="25"/>
        <v>5000</v>
      </c>
      <c r="BE236" s="14">
        <f t="shared" ca="1" si="26"/>
        <v>0</v>
      </c>
      <c r="BF236" s="14">
        <f t="shared" ca="1" si="27"/>
        <v>1</v>
      </c>
      <c r="BG236" s="20">
        <f ca="1">IF($BE236&lt;=0,ROUND(BK236*0.5,0), ROUND($BE236*S236*AA236*J236*AY236*0.8*[2]ステータス!$B$2,0))</f>
        <v>1176</v>
      </c>
      <c r="BH236" s="20">
        <f ca="1">IF($BE236&lt;=0,ROUND(BL236*0.5,0), ROUND($BE236*T236*AB236*K236*AZ236*0.8*[2]ステータス!$C$2,0))</f>
        <v>1028</v>
      </c>
      <c r="BI236" s="20">
        <f ca="1">IF($BE236&lt;=0,ROUND(BM236*0.5,0), ROUND($BE236*U236*AC236*L236*BA236*0.8*[2]ステータス!$D$2,0))</f>
        <v>0</v>
      </c>
      <c r="BJ236" s="20">
        <f ca="1">IF($BE236&lt;=0,ROUND(BN236*0.5,0), ROUND($BE236*V236*AD236*M236*BB236*0.8*[2]ステータス!$E$2,0))</f>
        <v>432</v>
      </c>
      <c r="BK236" s="14">
        <f ca="1">ROUND(BD236*S236*AA236*J236*AY236*[2]ステータス!$B$2,0)</f>
        <v>2352</v>
      </c>
      <c r="BL236" s="14">
        <f ca="1">ROUND(BD236*T236*AB236*K236*AZ236*[2]ステータス!$C$2,0)</f>
        <v>2055</v>
      </c>
      <c r="BM236" s="14">
        <f ca="1">ROUND(BD236*U236*AC236*L236*BA236*[2]ステータス!$D$2,0)</f>
        <v>0</v>
      </c>
      <c r="BN236" s="14">
        <f ca="1">ROUND(BD236*V236*AD236*M236*BB236*[2]ステータス!$E$2,0)</f>
        <v>863</v>
      </c>
      <c r="BO236" s="13">
        <v>0</v>
      </c>
      <c r="BP236" s="13">
        <v>1</v>
      </c>
      <c r="BQ236" s="13" t="s">
        <v>102</v>
      </c>
      <c r="BR236" s="13">
        <f ca="1">VLOOKUP(H236,ghosts_label!$A$2:$B$19,2,FALSE)</f>
        <v>700</v>
      </c>
    </row>
    <row r="237" spans="1:70" ht="21" customHeight="1" x14ac:dyDescent="0.15">
      <c r="A237" s="14">
        <f t="shared" ca="1" si="22"/>
        <v>236</v>
      </c>
      <c r="B237" s="77" t="str">
        <f ca="1">VLOOKUP($A237,OFFSET([2]characters!$A$1,0,0,COUNTA([2]characters!$A:$A),MATCH(B$1,[2]characters!$1:$1,0)-MATCH($A$1,[2]characters!$1:$1,0)+1),MATCH(B$1,[2]characters!$1:$1,0)-MATCH($A$1,[2]characters!$1:$1,0)+1,FALSE)</f>
        <v>神産 イザナミ</v>
      </c>
      <c r="C237" s="77" t="str">
        <f ca="1">VLOOKUP($A237,OFFSET([2]characters!$A$1,0,0,COUNTA([2]characters!$A:$A),MATCH(C$1,[2]characters!$1:$1,0)-MATCH($A$1,[2]characters!$1:$1,0)+1),MATCH(C$1,[2]characters!$1:$1,0)-MATCH($A$1,[2]characters!$1:$1,0)+1,FALSE)</f>
        <v>初期ガチャ</v>
      </c>
      <c r="D237" s="77" t="str">
        <f ca="1">VLOOKUP($A237,OFFSET([2]characters!$A$1,0,0,COUNTA([2]characters!$A:$A),MATCH(D$1,[2]characters!$1:$1,0)-MATCH($A$1,[2]characters!$1:$1,0)+1),MATCH(D$1,[2]characters!$1:$1,0)-MATCH($A$1,[2]characters!$1:$1,0)+1,FALSE)</f>
        <v>執行者</v>
      </c>
      <c r="E237" s="77" t="str">
        <f ca="1">VLOOKUP($A237,OFFSET([2]characters!$A$1,0,0,COUNTA([2]characters!$A:$A),MATCH(E$1,[2]characters!$1:$1,0)-MATCH($A$1,[2]characters!$1:$1,0)+1),MATCH(E$1,[2]characters!$1:$1,0)-MATCH($A$1,[2]characters!$1:$1,0)+1,FALSE)</f>
        <v>美しい</v>
      </c>
      <c r="F237" s="77" t="str">
        <f ca="1">VLOOKUP($A237,OFFSET([2]characters!$A$1,0,0,COUNTA([2]characters!$A:$A),MATCH(F$1,[2]characters!$1:$1,0)-MATCH($A$1,[2]characters!$1:$1,0)+1),MATCH(F$1,[2]characters!$1:$1,0)-MATCH($A$1,[2]characters!$1:$1,0)+1,FALSE)</f>
        <v>女性</v>
      </c>
      <c r="G237" s="77">
        <f ca="1">VLOOKUP($A237,OFFSET([2]characters!$A$1,0,0,COUNTA([2]characters!$A:$A),MATCH(G$1,[2]characters!$1:$1,0)-MATCH($A$1,[2]characters!$1:$1,0)+1),MATCH(G$1,[2]characters!$1:$1,0)-MATCH($A$1,[2]characters!$1:$1,0)+1,FALSE)</f>
        <v>4</v>
      </c>
      <c r="H237" s="77" t="str">
        <f ca="1">VLOOKUP($A237,OFFSET([2]characters!$A$1,0,0,COUNTA([2]characters!$A:$A),MATCH(H$1,[2]characters!$1:$1,0)-MATCH($A$1,[2]characters!$1:$1,0)+1),MATCH(H$1,[2]characters!$1:$1,0)-MATCH($A$1,[2]characters!$1:$1,0)+1,FALSE)</f>
        <v>PremiumS</v>
      </c>
      <c r="I237" s="77" t="str">
        <f ca="1">VLOOKUP($A237,OFFSET([2]characters!$A$1,0,0,COUNTA([2]characters!$A:$A),MATCH(I$1,[2]characters!$1:$1,0)-MATCH($A$1,[2]characters!$1:$1,0)+1),MATCH(I$1,[2]characters!$1:$1,0)-MATCH($A$1,[2]characters!$1:$1,0)+1,FALSE)</f>
        <v>yellow</v>
      </c>
      <c r="J237" s="14">
        <f ca="1">VLOOKUP(I237,[2]属性!$A:$E,2,FALSE)</f>
        <v>0.98</v>
      </c>
      <c r="K237" s="14">
        <f ca="1">VLOOKUP(I237,[2]属性!$A:$E,3,FALSE)</f>
        <v>1.01</v>
      </c>
      <c r="L237" s="14">
        <f ca="1">VLOOKUP(I237,[2]属性!$A:$E,4,FALSE)</f>
        <v>1</v>
      </c>
      <c r="M237" s="14">
        <f ca="1">VLOOKUP(I237,[2]属性!$A:$E,5,FALSE)</f>
        <v>1.01</v>
      </c>
      <c r="N237" s="14">
        <f ca="1">INDEX(コスト!$A$1:$I$20,MATCH(H237,コスト!$A$1:$A$20,FALSE),MATCH(G237,コスト!$A$1:$I$1,FALSE))</f>
        <v>20</v>
      </c>
      <c r="O237" s="14">
        <f ca="1">INDEX(レベル!$A$1:$I$21,MATCH(H237,レベル!$A$1:$A$21,FALSE),MATCH(G237,レベル!$A$1:$I$1,FALSE))</f>
        <v>60</v>
      </c>
      <c r="P237" s="63">
        <f t="shared" ca="1" si="28"/>
        <v>60</v>
      </c>
      <c r="Q237" s="77" t="str">
        <f ca="1">VLOOKUP($A237,OFFSET([2]characters!$A$1,0,0,COUNTA([2]characters!$A:$A),MATCH(Q$1,[2]characters!$1:$1,0)-MATCH($A$1,[2]characters!$1:$1,0)+1),MATCH(Q$1,[2]characters!$1:$1,0)-MATCH($A$1,[2]characters!$1:$1,0)+1,FALSE)</f>
        <v>attack</v>
      </c>
      <c r="R237" s="8" t="str">
        <f ca="1">VLOOKUP(Q237,[2]character_type_i18n!$A:$H,3,FALSE)</f>
        <v>攻撃タイプ</v>
      </c>
      <c r="S237" s="14">
        <f ca="1">VLOOKUP(Q237,[2]character_type_i18n!$A:$H,4,FALSE)</f>
        <v>1</v>
      </c>
      <c r="T237" s="14">
        <f ca="1">VLOOKUP(Q237,[2]character_type_i18n!$A:$H,5,FALSE)</f>
        <v>1.33</v>
      </c>
      <c r="U237" s="14">
        <f ca="1">VLOOKUP(Q237,[2]character_type_i18n!$A:$H,6,FALSE)</f>
        <v>1</v>
      </c>
      <c r="V237" s="14">
        <f ca="1">VLOOKUP(Q237,[2]character_type_i18n!$A:$H,7,FALSE)</f>
        <v>0.67</v>
      </c>
      <c r="W237" s="77" t="str">
        <f ca="1">VLOOKUP($A237,OFFSET([2]characters!$A$1,0,0,COUNTA([2]characters!$A:$A),MATCH(W$1,[2]characters!$1:$1,0)-MATCH($A$1,[2]characters!$1:$1,0)+1),MATCH(W$1,[2]characters!$1:$1,0)-MATCH($A$1,[2]characters!$1:$1,0)+1,FALSE)</f>
        <v>god</v>
      </c>
      <c r="X237" s="8" t="str">
        <f ca="1">VLOOKUP(W237,[2]character_tribe_i18n!$A:$H,3,FALSE)</f>
        <v>ゴッド</v>
      </c>
      <c r="Y237" s="77" t="str">
        <f ca="1">VLOOKUP($A237,OFFSET([2]characters!$A$1,0,0,COUNTA([2]characters!$A:$A),MATCH(Y$1,[2]characters!$1:$1,0)-MATCH($A$1,[2]characters!$1:$1,0)+1),MATCH(Y$1,[2]characters!$1:$1,0)-MATCH($A$1,[2]characters!$1:$1,0)+1,FALSE)</f>
        <v>none</v>
      </c>
      <c r="Z237" s="8" t="str">
        <f ca="1">VLOOKUP(Y237,[2]character_tribe_i18n!$A:$H,3,FALSE)</f>
        <v>種族なし</v>
      </c>
      <c r="AA237" s="14">
        <f ca="1">VLOOKUP(W237,[2]character_tribe_i18n!$A:$H,4,FALSE)</f>
        <v>0.96</v>
      </c>
      <c r="AB237" s="14">
        <f ca="1">VLOOKUP(W237,[2]character_tribe_i18n!$A:$H,5,FALSE)</f>
        <v>1.02</v>
      </c>
      <c r="AC237" s="14">
        <f ca="1">VLOOKUP(W237,[2]character_tribe_i18n!$A:$H,6,FALSE)</f>
        <v>1</v>
      </c>
      <c r="AD237" s="14">
        <f ca="1">VLOOKUP(W237,[2]character_tribe_i18n!$A:$H,7,FALSE)</f>
        <v>1.02</v>
      </c>
      <c r="AE237" s="12">
        <v>237</v>
      </c>
      <c r="AF237" s="85" t="str">
        <f ca="1">IF(AE237="NULL","",VLOOKUP($AE237,OFFSET([2]characters!$A$1,0,0,COUNTA([2]characters!$A:$A),MATCH(AF$1,[2]characters!$1:$1,0)-MATCH($A$1,[2]characters!$1:$1,0)+1),MATCH(AF$1,[2]characters!$1:$1,0)-MATCH($A$1,[2]characters!$1:$1,0)+1,FALSE))</f>
        <v>森羅万象の神母 イザナミ</v>
      </c>
      <c r="AG237" s="8">
        <f t="shared" ca="1" si="23"/>
        <v>235</v>
      </c>
      <c r="AH237" s="85" t="str">
        <f ca="1">VLOOKUP($AG237,OFFSET([2]characters!$A$1,0,0,COUNTA([2]characters!$A:$A),MATCH(AH$1,[2]characters!$1:$1,0)-MATCH($A$1,[2]characters!$1:$1,0)+1),MATCH(AH$1,[2]characters!$1:$1,0)-MATCH($A$1,[2]characters!$1:$1,0)+1,FALSE)</f>
        <v>イザナミ</v>
      </c>
      <c r="AI237" s="14">
        <f ca="1">IF(AE237="NULL","NULL",VLOOKUP(G237,ビット!$A$2:$B$7,2))</f>
        <v>50000</v>
      </c>
      <c r="AJ237" s="9">
        <v>2</v>
      </c>
      <c r="AK237" s="10" t="str">
        <f t="shared" si="24"/>
        <v>普通</v>
      </c>
      <c r="AL237" s="14" t="str">
        <f ca="1">INDEX(経験値!$A$1:$I$20,MATCH(H237,経験値!$A$1:$A$20,FALSE),MATCH(G237,経験値!$A$1:$I$1,FALSE))</f>
        <v>required_exp_200</v>
      </c>
      <c r="AM237" s="11">
        <f ca="1">VLOOKUP(G237,経験値!$A$27:$B$31,2)</f>
        <v>3400</v>
      </c>
      <c r="AN237" s="21">
        <f ca="1">VLOOKUP(G237,ビット!$G$2:$H$7,2)</f>
        <v>600</v>
      </c>
      <c r="AO237" s="98" t="s">
        <v>185</v>
      </c>
      <c r="AP237" s="97">
        <v>540004</v>
      </c>
      <c r="AQ237" s="77" t="e">
        <f ca="1">VLOOKUP($AP237,OFFSET([1]unit_skills!$A$1,0,0,COUNTA([1]unit_skills!$A:$A),MATCH("name",[1]unit_skills!$1:$1,0)-MATCH($AP$1,[1]unit_skills!$1:$1,0)+1),MATCH("name",[1]unit_skills!$1:$1,0)-MATCH($AP$1,[1]unit_skills!$1:$1,0)+1,FALSE)</f>
        <v>#VALUE!</v>
      </c>
      <c r="AR237" s="77" t="e">
        <f ca="1">VLOOKUP($AP237,OFFSET([1]unit_skills!$A$1,0,0,COUNTA([1]unit_skills!$A:$A),MATCH("comment",[1]unit_skills!$1:$1,0)-MATCH($AP$1,[1]unit_skills!$1:$1,0)+1),MATCH("comment",[1]unit_skills!$1:$1,0)-MATCH($AP$1,[1]unit_skills!$1:$1,0)+1,FALSE)</f>
        <v>#VALUE!</v>
      </c>
      <c r="AS237" s="77" t="e">
        <f ca="1">VLOOKUP($AP237,OFFSET([1]unit_skills!$A$1,0,0,COUNTA([1]unit_skills!$A:$A),MATCH(AS$1,[1]unit_skills!$1:$1,0)-MATCH($AP$1,[1]unit_skills!$1:$1,0)+1),MATCH(AS$1,[1]unit_skills!$1:$1,0)-MATCH($AP$1,[1]unit_skills!$1:$1,0)+1,FALSE)</f>
        <v>#VALUE!</v>
      </c>
      <c r="AT237" s="97">
        <v>114003</v>
      </c>
      <c r="AU237" s="77" t="e">
        <f ca="1">VLOOKUP($AT237,OFFSET([1]crash_skills!$A$1,0,0,COUNTA([1]crash_skills!$A:$A),MATCH("name",[1]crash_skills!$1:$1,0)-MATCH($AT$1,[1]crash_skills!$1:$1,0)+1),MATCH("name",[1]crash_skills!$1:$1,0)-MATCH($AT$1,[1]crash_skills!$1:$1,0)+1,FALSE)</f>
        <v>#VALUE!</v>
      </c>
      <c r="AV237" s="77" t="e">
        <f ca="1">VLOOKUP($AT237,OFFSET([1]crash_skills!$A$1,0,0,COUNTA([1]crash_skills!$A:$A),MATCH("comment",[1]crash_skills!$1:$1,0)-MATCH($AT$1,[1]crash_skills!$1:$1,0)+1),MATCH("comment",[1]crash_skills!$1:$1,0)-MATCH($AT$1,[1]crash_skills!$1:$1,0)+1,FALSE)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37" s="77" t="e">
        <f ca="1">VLOOKUP($AT237,OFFSET([1]crash_skills!$A$1,0,0,COUNTA([1]crash_skills!$A:$A),MATCH(AW$1,[1]crash_skills!$1:$1,0)-MATCH($AT$1,[1]crash_skills!$1:$1,0)+1),MATCH(AW$1,[1]crash_skills!$1:$1,0)-MATCH($AT$1,[1]crash_skills!$1:$1,0)+1,FALSE)</f>
        <v>#VALUE!</v>
      </c>
      <c r="AX237" s="81">
        <f ca="1">VLOOKUP($A237,OFFSET([2]characters!$A$1,0,0,COUNTA([2]characters!$A:$A),MATCH(AX$1,[2]characters!$1:$1,0)-MATCH($A$1,[2]characters!$1:$1,0)+1),MATCH(AX$1,[2]characters!$1:$1,0)-MATCH($A$1,[2]characters!$1:$1,0)+1,FALSE)</f>
        <v>3</v>
      </c>
      <c r="AY237" s="19">
        <v>1</v>
      </c>
      <c r="AZ237" s="19">
        <v>1</v>
      </c>
      <c r="BA237" s="19">
        <v>0</v>
      </c>
      <c r="BB237" s="19">
        <v>1</v>
      </c>
      <c r="BC237" s="14">
        <f ca="1">INDEX('RC6SV'!$A$1:$G$20,MATCH(H237,'RC6SV'!$A$1:$A$20,FALSE),MATCH(G237,'RC6SV'!$A$1:$G$1,FALSE))</f>
        <v>7000</v>
      </c>
      <c r="BD237" s="63">
        <f t="shared" ca="1" si="25"/>
        <v>7000</v>
      </c>
      <c r="BE237" s="14">
        <f t="shared" ca="1" si="26"/>
        <v>5000</v>
      </c>
      <c r="BF237" s="14">
        <f t="shared" ca="1" si="27"/>
        <v>1</v>
      </c>
      <c r="BG237" s="20">
        <f ca="1">IF($BE237&lt;=0,ROUND(BK237*0.5,0), ROUND($BE237*S237*AA237*J237*AY237*0.8*[2]ステータス!$B$2,0))</f>
        <v>1882</v>
      </c>
      <c r="BH237" s="20">
        <f ca="1">IF($BE237&lt;=0,ROUND(BL237*0.5,0), ROUND($BE237*T237*AB237*K237*AZ237*0.8*[2]ステータス!$C$2,0))</f>
        <v>1644</v>
      </c>
      <c r="BI237" s="20">
        <f ca="1">IF($BE237&lt;=0,ROUND(BM237*0.5,0), ROUND($BE237*U237*AC237*L237*BA237*0.8*[2]ステータス!$D$2,0))</f>
        <v>0</v>
      </c>
      <c r="BJ237" s="20">
        <f ca="1">IF($BE237&lt;=0,ROUND(BN237*0.5,0), ROUND($BE237*V237*AD237*M237*BB237*0.8*[2]ステータス!$E$2,0))</f>
        <v>690</v>
      </c>
      <c r="BK237" s="14">
        <f ca="1">ROUND(BD237*S237*AA237*J237*AY237*[2]ステータス!$B$2,0)</f>
        <v>3293</v>
      </c>
      <c r="BL237" s="14">
        <f ca="1">ROUND(BD237*T237*AB237*K237*AZ237*[2]ステータス!$C$2,0)</f>
        <v>2877</v>
      </c>
      <c r="BM237" s="14">
        <f ca="1">ROUND(BD237*U237*AC237*L237*BA237*[2]ステータス!$D$2,0)</f>
        <v>0</v>
      </c>
      <c r="BN237" s="14">
        <f ca="1">ROUND(BD237*V237*AD237*M237*BB237*[2]ステータス!$E$2,0)</f>
        <v>1208</v>
      </c>
      <c r="BO237" s="13">
        <v>0</v>
      </c>
      <c r="BP237" s="13">
        <v>1</v>
      </c>
      <c r="BQ237" s="13" t="s">
        <v>102</v>
      </c>
      <c r="BR237" s="13">
        <f ca="1">VLOOKUP(H237,ghosts_label!$A$2:$B$19,2,FALSE)</f>
        <v>700</v>
      </c>
    </row>
    <row r="238" spans="1:70" ht="21" customHeight="1" x14ac:dyDescent="0.15">
      <c r="A238" s="14">
        <f t="shared" ca="1" si="22"/>
        <v>237</v>
      </c>
      <c r="B238" s="77" t="str">
        <f ca="1">VLOOKUP($A238,OFFSET([2]characters!$A$1,0,0,COUNTA([2]characters!$A:$A),MATCH(B$1,[2]characters!$1:$1,0)-MATCH($A$1,[2]characters!$1:$1,0)+1),MATCH(B$1,[2]characters!$1:$1,0)-MATCH($A$1,[2]characters!$1:$1,0)+1,FALSE)</f>
        <v>森羅万象の神母 イザナミ</v>
      </c>
      <c r="C238" s="77" t="str">
        <f ca="1">VLOOKUP($A238,OFFSET([2]characters!$A$1,0,0,COUNTA([2]characters!$A:$A),MATCH(C$1,[2]characters!$1:$1,0)-MATCH($A$1,[2]characters!$1:$1,0)+1),MATCH(C$1,[2]characters!$1:$1,0)-MATCH($A$1,[2]characters!$1:$1,0)+1,FALSE)</f>
        <v>初期ガチャ</v>
      </c>
      <c r="D238" s="77" t="str">
        <f ca="1">VLOOKUP($A238,OFFSET([2]characters!$A$1,0,0,COUNTA([2]characters!$A:$A),MATCH(D$1,[2]characters!$1:$1,0)-MATCH($A$1,[2]characters!$1:$1,0)+1),MATCH(D$1,[2]characters!$1:$1,0)-MATCH($A$1,[2]characters!$1:$1,0)+1,FALSE)</f>
        <v>執行者</v>
      </c>
      <c r="E238" s="77" t="str">
        <f ca="1">VLOOKUP($A238,OFFSET([2]characters!$A$1,0,0,COUNTA([2]characters!$A:$A),MATCH(E$1,[2]characters!$1:$1,0)-MATCH($A$1,[2]characters!$1:$1,0)+1),MATCH(E$1,[2]characters!$1:$1,0)-MATCH($A$1,[2]characters!$1:$1,0)+1,FALSE)</f>
        <v>美しい</v>
      </c>
      <c r="F238" s="77" t="str">
        <f ca="1">VLOOKUP($A238,OFFSET([2]characters!$A$1,0,0,COUNTA([2]characters!$A:$A),MATCH(F$1,[2]characters!$1:$1,0)-MATCH($A$1,[2]characters!$1:$1,0)+1),MATCH(F$1,[2]characters!$1:$1,0)-MATCH($A$1,[2]characters!$1:$1,0)+1,FALSE)</f>
        <v>女性</v>
      </c>
      <c r="G238" s="77">
        <f ca="1">VLOOKUP($A238,OFFSET([2]characters!$A$1,0,0,COUNTA([2]characters!$A:$A),MATCH(G$1,[2]characters!$1:$1,0)-MATCH($A$1,[2]characters!$1:$1,0)+1),MATCH(G$1,[2]characters!$1:$1,0)-MATCH($A$1,[2]characters!$1:$1,0)+1,FALSE)</f>
        <v>5</v>
      </c>
      <c r="H238" s="77" t="str">
        <f ca="1">VLOOKUP($A238,OFFSET([2]characters!$A$1,0,0,COUNTA([2]characters!$A:$A),MATCH(H$1,[2]characters!$1:$1,0)-MATCH($A$1,[2]characters!$1:$1,0)+1),MATCH(H$1,[2]characters!$1:$1,0)-MATCH($A$1,[2]characters!$1:$1,0)+1,FALSE)</f>
        <v>PremiumS</v>
      </c>
      <c r="I238" s="77" t="str">
        <f ca="1">VLOOKUP($A238,OFFSET([2]characters!$A$1,0,0,COUNTA([2]characters!$A:$A),MATCH(I$1,[2]characters!$1:$1,0)-MATCH($A$1,[2]characters!$1:$1,0)+1),MATCH(I$1,[2]characters!$1:$1,0)-MATCH($A$1,[2]characters!$1:$1,0)+1,FALSE)</f>
        <v>yellow</v>
      </c>
      <c r="J238" s="14">
        <f ca="1">VLOOKUP(I238,[2]属性!$A:$E,2,FALSE)</f>
        <v>0.98</v>
      </c>
      <c r="K238" s="14">
        <f ca="1">VLOOKUP(I238,[2]属性!$A:$E,3,FALSE)</f>
        <v>1.01</v>
      </c>
      <c r="L238" s="14">
        <f ca="1">VLOOKUP(I238,[2]属性!$A:$E,4,FALSE)</f>
        <v>1</v>
      </c>
      <c r="M238" s="14">
        <f ca="1">VLOOKUP(I238,[2]属性!$A:$E,5,FALSE)</f>
        <v>1.01</v>
      </c>
      <c r="N238" s="14">
        <f ca="1">INDEX(コスト!$A$1:$I$20,MATCH(H238,コスト!$A$1:$A$20,FALSE),MATCH(G238,コスト!$A$1:$I$1,FALSE))</f>
        <v>30</v>
      </c>
      <c r="O238" s="14">
        <f ca="1">INDEX(レベル!$A$1:$I$21,MATCH(H238,レベル!$A$1:$A$21,FALSE),MATCH(G238,レベル!$A$1:$I$1,FALSE))</f>
        <v>80</v>
      </c>
      <c r="P238" s="63">
        <f t="shared" ca="1" si="28"/>
        <v>75</v>
      </c>
      <c r="Q238" s="77" t="str">
        <f ca="1">VLOOKUP($A238,OFFSET([2]characters!$A$1,0,0,COUNTA([2]characters!$A:$A),MATCH(Q$1,[2]characters!$1:$1,0)-MATCH($A$1,[2]characters!$1:$1,0)+1),MATCH(Q$1,[2]characters!$1:$1,0)-MATCH($A$1,[2]characters!$1:$1,0)+1,FALSE)</f>
        <v>attack</v>
      </c>
      <c r="R238" s="8" t="str">
        <f ca="1">VLOOKUP(Q238,[2]character_type_i18n!$A:$H,3,FALSE)</f>
        <v>攻撃タイプ</v>
      </c>
      <c r="S238" s="14">
        <f ca="1">VLOOKUP(Q238,[2]character_type_i18n!$A:$H,4,FALSE)</f>
        <v>1</v>
      </c>
      <c r="T238" s="14">
        <f ca="1">VLOOKUP(Q238,[2]character_type_i18n!$A:$H,5,FALSE)</f>
        <v>1.33</v>
      </c>
      <c r="U238" s="14">
        <f ca="1">VLOOKUP(Q238,[2]character_type_i18n!$A:$H,6,FALSE)</f>
        <v>1</v>
      </c>
      <c r="V238" s="14">
        <f ca="1">VLOOKUP(Q238,[2]character_type_i18n!$A:$H,7,FALSE)</f>
        <v>0.67</v>
      </c>
      <c r="W238" s="77" t="str">
        <f ca="1">VLOOKUP($A238,OFFSET([2]characters!$A$1,0,0,COUNTA([2]characters!$A:$A),MATCH(W$1,[2]characters!$1:$1,0)-MATCH($A$1,[2]characters!$1:$1,0)+1),MATCH(W$1,[2]characters!$1:$1,0)-MATCH($A$1,[2]characters!$1:$1,0)+1,FALSE)</f>
        <v>god</v>
      </c>
      <c r="X238" s="8" t="str">
        <f ca="1">VLOOKUP(W238,[2]character_tribe_i18n!$A:$H,3,FALSE)</f>
        <v>ゴッド</v>
      </c>
      <c r="Y238" s="77" t="str">
        <f ca="1">VLOOKUP($A238,OFFSET([2]characters!$A$1,0,0,COUNTA([2]characters!$A:$A),MATCH(Y$1,[2]characters!$1:$1,0)-MATCH($A$1,[2]characters!$1:$1,0)+1),MATCH(Y$1,[2]characters!$1:$1,0)-MATCH($A$1,[2]characters!$1:$1,0)+1,FALSE)</f>
        <v>none</v>
      </c>
      <c r="Z238" s="8" t="str">
        <f ca="1">VLOOKUP(Y238,[2]character_tribe_i18n!$A:$H,3,FALSE)</f>
        <v>種族なし</v>
      </c>
      <c r="AA238" s="14">
        <f ca="1">VLOOKUP(W238,[2]character_tribe_i18n!$A:$H,4,FALSE)</f>
        <v>0.96</v>
      </c>
      <c r="AB238" s="14">
        <f ca="1">VLOOKUP(W238,[2]character_tribe_i18n!$A:$H,5,FALSE)</f>
        <v>1.02</v>
      </c>
      <c r="AC238" s="14">
        <f ca="1">VLOOKUP(W238,[2]character_tribe_i18n!$A:$H,6,FALSE)</f>
        <v>1</v>
      </c>
      <c r="AD238" s="14">
        <f ca="1">VLOOKUP(W238,[2]character_tribe_i18n!$A:$H,7,FALSE)</f>
        <v>1.02</v>
      </c>
      <c r="AE238" s="12">
        <v>808</v>
      </c>
      <c r="AF238" s="85" t="str">
        <f ca="1">IF(AE238="NULL","",VLOOKUP($AE238,OFFSET([2]characters!$A$1,0,0,COUNTA([2]characters!$A:$A),MATCH(AF$1,[2]characters!$1:$1,0)-MATCH($A$1,[2]characters!$1:$1,0)+1),MATCH(AF$1,[2]characters!$1:$1,0)-MATCH($A$1,[2]characters!$1:$1,0)+1,FALSE))</f>
        <v>天地万物の烈神母 イザナミ</v>
      </c>
      <c r="AG238" s="8">
        <f t="shared" ca="1" si="23"/>
        <v>235</v>
      </c>
      <c r="AH238" s="85" t="str">
        <f ca="1">VLOOKUP($AG238,OFFSET([2]characters!$A$1,0,0,COUNTA([2]characters!$A:$A),MATCH(AH$1,[2]characters!$1:$1,0)-MATCH($A$1,[2]characters!$1:$1,0)+1),MATCH(AH$1,[2]characters!$1:$1,0)-MATCH($A$1,[2]characters!$1:$1,0)+1,FALSE)</f>
        <v>イザナミ</v>
      </c>
      <c r="AI238" s="14">
        <f ca="1">IF(AE238="NULL","NULL",VLOOKUP(G238,ビット!$A$2:$B$7,2))</f>
        <v>200000</v>
      </c>
      <c r="AJ238" s="9">
        <v>2</v>
      </c>
      <c r="AK238" s="10" t="str">
        <f t="shared" si="24"/>
        <v>普通</v>
      </c>
      <c r="AL238" s="14" t="str">
        <f ca="1">INDEX(経験値!$A$1:$I$20,MATCH(H238,経験値!$A$1:$A$20,FALSE),MATCH(G238,経験値!$A$1:$I$1,FALSE))</f>
        <v>required_exp_200</v>
      </c>
      <c r="AM238" s="11">
        <f ca="1">VLOOKUP(G238,経験値!$A$27:$B$31,2)</f>
        <v>6400</v>
      </c>
      <c r="AN238" s="21">
        <f ca="1">VLOOKUP(G238,ビット!$G$2:$H$7,2)</f>
        <v>900</v>
      </c>
      <c r="AO238" s="98" t="s">
        <v>185</v>
      </c>
      <c r="AP238" s="97">
        <v>540004</v>
      </c>
      <c r="AQ238" s="77" t="e">
        <f ca="1">VLOOKUP($AP238,OFFSET([1]unit_skills!$A$1,0,0,COUNTA([1]unit_skills!$A:$A),MATCH("name",[1]unit_skills!$1:$1,0)-MATCH($AP$1,[1]unit_skills!$1:$1,0)+1),MATCH("name",[1]unit_skills!$1:$1,0)-MATCH($AP$1,[1]unit_skills!$1:$1,0)+1,FALSE)</f>
        <v>#VALUE!</v>
      </c>
      <c r="AR238" s="77" t="e">
        <f ca="1">VLOOKUP($AP238,OFFSET([1]unit_skills!$A$1,0,0,COUNTA([1]unit_skills!$A:$A),MATCH("comment",[1]unit_skills!$1:$1,0)-MATCH($AP$1,[1]unit_skills!$1:$1,0)+1),MATCH("comment",[1]unit_skills!$1:$1,0)-MATCH($AP$1,[1]unit_skills!$1:$1,0)+1,FALSE)</f>
        <v>#VALUE!</v>
      </c>
      <c r="AS238" s="77" t="e">
        <f ca="1">VLOOKUP($AP238,OFFSET([1]unit_skills!$A$1,0,0,COUNTA([1]unit_skills!$A:$A),MATCH(AS$1,[1]unit_skills!$1:$1,0)-MATCH($AP$1,[1]unit_skills!$1:$1,0)+1),MATCH(AS$1,[1]unit_skills!$1:$1,0)-MATCH($AP$1,[1]unit_skills!$1:$1,0)+1,FALSE)</f>
        <v>#VALUE!</v>
      </c>
      <c r="AT238" s="97">
        <v>114013</v>
      </c>
      <c r="AU238" s="77" t="e">
        <f ca="1">VLOOKUP($AT238,OFFSET([1]crash_skills!$A$1,0,0,COUNTA([1]crash_skills!$A:$A),MATCH("name",[1]crash_skills!$1:$1,0)-MATCH($AT$1,[1]crash_skills!$1:$1,0)+1),MATCH("name",[1]crash_skills!$1:$1,0)-MATCH($AT$1,[1]crash_skills!$1:$1,0)+1,FALSE)</f>
        <v>#VALUE!</v>
      </c>
      <c r="AV238" s="77" t="e">
        <f ca="1">VLOOKUP($AT238,OFFSET([1]crash_skills!$A$1,0,0,COUNTA([1]crash_skills!$A:$A),MATCH("comment",[1]crash_skills!$1:$1,0)-MATCH($AT$1,[1]crash_skills!$1:$1,0)+1),MATCH("comment",[1]crash_skills!$1:$1,0)-MATCH($AT$1,[1]crash_skills!$1:$1,0)+1,FALSE)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38" s="77" t="e">
        <f ca="1">VLOOKUP($AT238,OFFSET([1]crash_skills!$A$1,0,0,COUNTA([1]crash_skills!$A:$A),MATCH(AW$1,[1]crash_skills!$1:$1,0)-MATCH($AT$1,[1]crash_skills!$1:$1,0)+1),MATCH(AW$1,[1]crash_skills!$1:$1,0)-MATCH($AT$1,[1]crash_skills!$1:$1,0)+1,FALSE)</f>
        <v>#VALUE!</v>
      </c>
      <c r="AX238" s="81">
        <f ca="1">VLOOKUP($A238,OFFSET([2]characters!$A$1,0,0,COUNTA([2]characters!$A:$A),MATCH(AX$1,[2]characters!$1:$1,0)-MATCH($A$1,[2]characters!$1:$1,0)+1),MATCH(AX$1,[2]characters!$1:$1,0)-MATCH($A$1,[2]characters!$1:$1,0)+1,FALSE)</f>
        <v>3</v>
      </c>
      <c r="AY238" s="19">
        <v>1</v>
      </c>
      <c r="AZ238" s="19">
        <v>1</v>
      </c>
      <c r="BA238" s="19">
        <v>0</v>
      </c>
      <c r="BB238" s="19">
        <v>1</v>
      </c>
      <c r="BC238" s="14">
        <f ca="1">INDEX('RC6SV'!$A$1:$G$20,MATCH(H238,'RC6SV'!$A$1:$A$20,FALSE),MATCH(G238,'RC6SV'!$A$1:$G$1,FALSE))</f>
        <v>9000</v>
      </c>
      <c r="BD238" s="63">
        <f t="shared" ca="1" si="25"/>
        <v>9000</v>
      </c>
      <c r="BE238" s="14">
        <f t="shared" ca="1" si="26"/>
        <v>7000</v>
      </c>
      <c r="BF238" s="14">
        <f t="shared" ca="1" si="27"/>
        <v>1</v>
      </c>
      <c r="BG238" s="20">
        <f ca="1">IF($BE238&lt;=0,ROUND(BK238*0.5,0), ROUND($BE238*S238*AA238*J238*AY238*0.8*[2]ステータス!$B$2,0))</f>
        <v>2634</v>
      </c>
      <c r="BH238" s="20">
        <f ca="1">IF($BE238&lt;=0,ROUND(BL238*0.5,0), ROUND($BE238*T238*AB238*K238*AZ238*0.8*[2]ステータス!$C$2,0))</f>
        <v>2302</v>
      </c>
      <c r="BI238" s="20">
        <f ca="1">IF($BE238&lt;=0,ROUND(BM238*0.5,0), ROUND($BE238*U238*AC238*L238*BA238*0.8*[2]ステータス!$D$2,0))</f>
        <v>0</v>
      </c>
      <c r="BJ238" s="20">
        <f ca="1">IF($BE238&lt;=0,ROUND(BN238*0.5,0), ROUND($BE238*V238*AD238*M238*BB238*0.8*[2]ステータス!$E$2,0))</f>
        <v>966</v>
      </c>
      <c r="BK238" s="14">
        <f ca="1">ROUND(BD238*S238*AA238*J238*AY238*[2]ステータス!$B$2,0)</f>
        <v>4234</v>
      </c>
      <c r="BL238" s="14">
        <f ca="1">ROUND(BD238*T238*AB238*K238*AZ238*[2]ステータス!$C$2,0)</f>
        <v>3699</v>
      </c>
      <c r="BM238" s="14">
        <f ca="1">ROUND(BD238*U238*AC238*L238*BA238*[2]ステータス!$D$2,0)</f>
        <v>0</v>
      </c>
      <c r="BN238" s="14">
        <f ca="1">ROUND(BD238*V238*AD238*M238*BB238*[2]ステータス!$E$2,0)</f>
        <v>1553</v>
      </c>
      <c r="BO238" s="13">
        <v>0</v>
      </c>
      <c r="BP238" s="13">
        <v>1</v>
      </c>
      <c r="BQ238" s="13" t="s">
        <v>102</v>
      </c>
      <c r="BR238" s="13">
        <f ca="1">VLOOKUP(H238,ghosts_label!$A$2:$B$19,2,FALSE)</f>
        <v>700</v>
      </c>
    </row>
    <row r="239" spans="1:70" ht="21" customHeight="1" x14ac:dyDescent="0.15">
      <c r="A239" s="14">
        <f t="shared" ca="1" si="22"/>
        <v>238</v>
      </c>
      <c r="B239" s="77" t="str">
        <f ca="1">VLOOKUP($A239,OFFSET([2]characters!$A$1,0,0,COUNTA([2]characters!$A:$A),MATCH(B$1,[2]characters!$1:$1,0)-MATCH($A$1,[2]characters!$1:$1,0)+1),MATCH(B$1,[2]characters!$1:$1,0)-MATCH($A$1,[2]characters!$1:$1,0)+1,FALSE)</f>
        <v>ウリエル</v>
      </c>
      <c r="C239" s="77" t="str">
        <f ca="1">VLOOKUP($A239,OFFSET([2]characters!$A$1,0,0,COUNTA([2]characters!$A:$A),MATCH(C$1,[2]characters!$1:$1,0)-MATCH($A$1,[2]characters!$1:$1,0)+1),MATCH(C$1,[2]characters!$1:$1,0)-MATCH($A$1,[2]characters!$1:$1,0)+1,FALSE)</f>
        <v>ガチャ:天使01</v>
      </c>
      <c r="D239" s="77" t="str">
        <f ca="1">VLOOKUP($A239,OFFSET([2]characters!$A$1,0,0,COUNTA([2]characters!$A:$A),MATCH(D$1,[2]characters!$1:$1,0)-MATCH($A$1,[2]characters!$1:$1,0)+1),MATCH(D$1,[2]characters!$1:$1,0)-MATCH($A$1,[2]characters!$1:$1,0)+1,FALSE)</f>
        <v>管理者</v>
      </c>
      <c r="E239" s="77" t="str">
        <f ca="1">VLOOKUP($A239,OFFSET([2]characters!$A$1,0,0,COUNTA([2]characters!$A:$A),MATCH(E$1,[2]characters!$1:$1,0)-MATCH($A$1,[2]characters!$1:$1,0)+1),MATCH(E$1,[2]characters!$1:$1,0)-MATCH($A$1,[2]characters!$1:$1,0)+1,FALSE)</f>
        <v>美しい</v>
      </c>
      <c r="F239" s="77" t="str">
        <f ca="1">VLOOKUP($A239,OFFSET([2]characters!$A$1,0,0,COUNTA([2]characters!$A:$A),MATCH(F$1,[2]characters!$1:$1,0)-MATCH($A$1,[2]characters!$1:$1,0)+1),MATCH(F$1,[2]characters!$1:$1,0)-MATCH($A$1,[2]characters!$1:$1,0)+1,FALSE)</f>
        <v>女性</v>
      </c>
      <c r="G239" s="77">
        <f ca="1">VLOOKUP($A239,OFFSET([2]characters!$A$1,0,0,COUNTA([2]characters!$A:$A),MATCH(G$1,[2]characters!$1:$1,0)-MATCH($A$1,[2]characters!$1:$1,0)+1),MATCH(G$1,[2]characters!$1:$1,0)-MATCH($A$1,[2]characters!$1:$1,0)+1,FALSE)</f>
        <v>3</v>
      </c>
      <c r="H239" s="77" t="str">
        <f ca="1">VLOOKUP($A239,OFFSET([2]characters!$A$1,0,0,COUNTA([2]characters!$A:$A),MATCH(H$1,[2]characters!$1:$1,0)-MATCH($A$1,[2]characters!$1:$1,0)+1),MATCH(H$1,[2]characters!$1:$1,0)-MATCH($A$1,[2]characters!$1:$1,0)+1,FALSE)</f>
        <v>PremiumS</v>
      </c>
      <c r="I239" s="77" t="str">
        <f ca="1">VLOOKUP($A239,OFFSET([2]characters!$A$1,0,0,COUNTA([2]characters!$A:$A),MATCH(I$1,[2]characters!$1:$1,0)-MATCH($A$1,[2]characters!$1:$1,0)+1),MATCH(I$1,[2]characters!$1:$1,0)-MATCH($A$1,[2]characters!$1:$1,0)+1,FALSE)</f>
        <v>red</v>
      </c>
      <c r="J239" s="14">
        <f ca="1">VLOOKUP(I239,[2]属性!$A:$E,2,FALSE)</f>
        <v>1</v>
      </c>
      <c r="K239" s="14">
        <f ca="1">VLOOKUP(I239,[2]属性!$A:$E,3,FALSE)</f>
        <v>1.02</v>
      </c>
      <c r="L239" s="14">
        <f ca="1">VLOOKUP(I239,[2]属性!$A:$E,4,FALSE)</f>
        <v>1</v>
      </c>
      <c r="M239" s="14">
        <f ca="1">VLOOKUP(I239,[2]属性!$A:$E,5,FALSE)</f>
        <v>0.98</v>
      </c>
      <c r="N239" s="14">
        <f ca="1">INDEX(コスト!$A$1:$I$20,MATCH(H239,コスト!$A$1:$A$20,FALSE),MATCH(G239,コスト!$A$1:$I$1,FALSE))</f>
        <v>10</v>
      </c>
      <c r="O239" s="14">
        <f ca="1">INDEX(レベル!$A$1:$I$21,MATCH(H239,レベル!$A$1:$A$21,FALSE),MATCH(G239,レベル!$A$1:$I$1,FALSE))</f>
        <v>40</v>
      </c>
      <c r="P239" s="63">
        <f t="shared" ca="1" si="28"/>
        <v>45</v>
      </c>
      <c r="Q239" s="77" t="str">
        <f ca="1">VLOOKUP($A239,OFFSET([2]characters!$A$1,0,0,COUNTA([2]characters!$A:$A),MATCH(Q$1,[2]characters!$1:$1,0)-MATCH($A$1,[2]characters!$1:$1,0)+1),MATCH(Q$1,[2]characters!$1:$1,0)-MATCH($A$1,[2]characters!$1:$1,0)+1,FALSE)</f>
        <v>hp</v>
      </c>
      <c r="R239" s="8" t="str">
        <f ca="1">VLOOKUP(Q239,[2]character_type_i18n!$A:$H,3,FALSE)</f>
        <v>体力タイプ</v>
      </c>
      <c r="S239" s="14">
        <f ca="1">VLOOKUP(Q239,[2]character_type_i18n!$A:$H,4,FALSE)</f>
        <v>1.45</v>
      </c>
      <c r="T239" s="14">
        <f ca="1">VLOOKUP(Q239,[2]character_type_i18n!$A:$H,5,FALSE)</f>
        <v>0.85</v>
      </c>
      <c r="U239" s="14">
        <f ca="1">VLOOKUP(Q239,[2]character_type_i18n!$A:$H,6,FALSE)</f>
        <v>1</v>
      </c>
      <c r="V239" s="14">
        <f ca="1">VLOOKUP(Q239,[2]character_type_i18n!$A:$H,7,FALSE)</f>
        <v>0.7</v>
      </c>
      <c r="W239" s="77" t="str">
        <f ca="1">VLOOKUP($A239,OFFSET([2]characters!$A$1,0,0,COUNTA([2]characters!$A:$A),MATCH(W$1,[2]characters!$1:$1,0)-MATCH($A$1,[2]characters!$1:$1,0)+1),MATCH(W$1,[2]characters!$1:$1,0)-MATCH($A$1,[2]characters!$1:$1,0)+1,FALSE)</f>
        <v>machine</v>
      </c>
      <c r="X239" s="8" t="str">
        <f ca="1">VLOOKUP(W239,[2]character_tribe_i18n!$A:$H,3,FALSE)</f>
        <v>マシン</v>
      </c>
      <c r="Y239" s="77" t="str">
        <f ca="1">VLOOKUP($A239,OFFSET([2]characters!$A$1,0,0,COUNTA([2]characters!$A:$A),MATCH(Y$1,[2]characters!$1:$1,0)-MATCH($A$1,[2]characters!$1:$1,0)+1),MATCH(Y$1,[2]characters!$1:$1,0)-MATCH($A$1,[2]characters!$1:$1,0)+1,FALSE)</f>
        <v>god</v>
      </c>
      <c r="Z239" s="8" t="str">
        <f ca="1">VLOOKUP(Y239,[2]character_tribe_i18n!$A:$H,3,FALSE)</f>
        <v>ゴッド</v>
      </c>
      <c r="AA239" s="14">
        <f ca="1">VLOOKUP(W239,[2]character_tribe_i18n!$A:$H,4,FALSE)</f>
        <v>1</v>
      </c>
      <c r="AB239" s="14">
        <f ca="1">VLOOKUP(W239,[2]character_tribe_i18n!$A:$H,5,FALSE)</f>
        <v>1</v>
      </c>
      <c r="AC239" s="14">
        <f ca="1">VLOOKUP(W239,[2]character_tribe_i18n!$A:$H,6,FALSE)</f>
        <v>1</v>
      </c>
      <c r="AD239" s="14">
        <f ca="1">VLOOKUP(W239,[2]character_tribe_i18n!$A:$H,7,FALSE)</f>
        <v>1</v>
      </c>
      <c r="AE239" s="12">
        <v>239</v>
      </c>
      <c r="AF239" s="85" t="str">
        <f ca="1">IF(AE239="NULL","",VLOOKUP($AE239,OFFSET([2]characters!$A$1,0,0,COUNTA([2]characters!$A:$A),MATCH(AF$1,[2]characters!$1:$1,0)-MATCH($A$1,[2]characters!$1:$1,0)+1),MATCH(AF$1,[2]characters!$1:$1,0)-MATCH($A$1,[2]characters!$1:$1,0)+1,FALSE))</f>
        <v>豪炎の天使 ウリエル</v>
      </c>
      <c r="AG239" s="8">
        <f t="shared" ca="1" si="23"/>
        <v>238</v>
      </c>
      <c r="AH239" s="85" t="str">
        <f ca="1">VLOOKUP($AG239,OFFSET([2]characters!$A$1,0,0,COUNTA([2]characters!$A:$A),MATCH(AH$1,[2]characters!$1:$1,0)-MATCH($A$1,[2]characters!$1:$1,0)+1),MATCH(AH$1,[2]characters!$1:$1,0)-MATCH($A$1,[2]characters!$1:$1,0)+1,FALSE)</f>
        <v>ウリエル</v>
      </c>
      <c r="AI239" s="14">
        <f ca="1">IF(AE239="NULL","NULL",VLOOKUP(G239,ビット!$A$2:$B$7,2))</f>
        <v>20000</v>
      </c>
      <c r="AJ239" s="9">
        <v>2</v>
      </c>
      <c r="AK239" s="10" t="str">
        <f t="shared" si="24"/>
        <v>普通</v>
      </c>
      <c r="AL239" s="14" t="str">
        <f ca="1">INDEX(経験値!$A$1:$I$20,MATCH(H239,経験値!$A$1:$A$20,FALSE),MATCH(G239,経験値!$A$1:$I$1,FALSE))</f>
        <v>required_exp_200</v>
      </c>
      <c r="AM239" s="11">
        <f ca="1">VLOOKUP(G239,経験値!$A$27:$B$31,2)</f>
        <v>1500</v>
      </c>
      <c r="AN239" s="21">
        <f ca="1">VLOOKUP(G239,ビット!$G$2:$H$7,2)</f>
        <v>300</v>
      </c>
      <c r="AO239" s="98" t="s">
        <v>179</v>
      </c>
      <c r="AP239" s="97">
        <v>511001</v>
      </c>
      <c r="AQ239" s="77" t="e">
        <f ca="1">VLOOKUP($AP239,OFFSET([1]unit_skills!$A$1,0,0,COUNTA([1]unit_skills!$A:$A),MATCH("name",[1]unit_skills!$1:$1,0)-MATCH($AP$1,[1]unit_skills!$1:$1,0)+1),MATCH("name",[1]unit_skills!$1:$1,0)-MATCH($AP$1,[1]unit_skills!$1:$1,0)+1,FALSE)</f>
        <v>#VALUE!</v>
      </c>
      <c r="AR239" s="77" t="e">
        <f ca="1">VLOOKUP($AP239,OFFSET([1]unit_skills!$A$1,0,0,COUNTA([1]unit_skills!$A:$A),MATCH("comment",[1]unit_skills!$1:$1,0)-MATCH($AP$1,[1]unit_skills!$1:$1,0)+1),MATCH("comment",[1]unit_skills!$1:$1,0)-MATCH($AP$1,[1]unit_skills!$1:$1,0)+1,FALSE)</f>
        <v>#VALUE!</v>
      </c>
      <c r="AS239" s="77" t="e">
        <f ca="1">VLOOKUP($AP239,OFFSET([1]unit_skills!$A$1,0,0,COUNTA([1]unit_skills!$A:$A),MATCH(AS$1,[1]unit_skills!$1:$1,0)-MATCH($AP$1,[1]unit_skills!$1:$1,0)+1),MATCH(AS$1,[1]unit_skills!$1:$1,0)-MATCH($AP$1,[1]unit_skills!$1:$1,0)+1,FALSE)</f>
        <v>#VALUE!</v>
      </c>
      <c r="AT239" s="97">
        <v>121203</v>
      </c>
      <c r="AU239" s="77" t="e">
        <f ca="1">VLOOKUP($AT239,OFFSET([1]crash_skills!$A$1,0,0,COUNTA([1]crash_skills!$A:$A),MATCH("name",[1]crash_skills!$1:$1,0)-MATCH($AT$1,[1]crash_skills!$1:$1,0)+1),MATCH("name",[1]crash_skills!$1:$1,0)-MATCH($AT$1,[1]crash_skills!$1:$1,0)+1,FALSE)</f>
        <v>#VALUE!</v>
      </c>
      <c r="AV239" s="77" t="e">
        <f ca="1">VLOOKUP($AT239,OFFSET([1]crash_skills!$A$1,0,0,COUNTA([1]crash_skills!$A:$A),MATCH("comment",[1]crash_skills!$1:$1,0)-MATCH($AT$1,[1]crash_skills!$1:$1,0)+1),MATCH("comment",[1]crash_skills!$1:$1,0)-MATCH($AT$1,[1]crash_skills!$1:$1,0)+1,FALSE)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39" s="77" t="e">
        <f ca="1">VLOOKUP($AT239,OFFSET([1]crash_skills!$A$1,0,0,COUNTA([1]crash_skills!$A:$A),MATCH(AW$1,[1]crash_skills!$1:$1,0)-MATCH($AT$1,[1]crash_skills!$1:$1,0)+1),MATCH(AW$1,[1]crash_skills!$1:$1,0)-MATCH($AT$1,[1]crash_skills!$1:$1,0)+1,FALSE)</f>
        <v>#VALUE!</v>
      </c>
      <c r="AX239" s="81">
        <f ca="1">VLOOKUP($A239,OFFSET([2]characters!$A$1,0,0,COUNTA([2]characters!$A:$A),MATCH(AX$1,[2]characters!$1:$1,0)-MATCH($A$1,[2]characters!$1:$1,0)+1),MATCH(AX$1,[2]characters!$1:$1,0)-MATCH($A$1,[2]characters!$1:$1,0)+1,FALSE)</f>
        <v>3</v>
      </c>
      <c r="AY239" s="19">
        <v>1</v>
      </c>
      <c r="AZ239" s="19">
        <v>1</v>
      </c>
      <c r="BA239" s="19">
        <v>0</v>
      </c>
      <c r="BB239" s="19">
        <v>1</v>
      </c>
      <c r="BC239" s="14">
        <f ca="1">INDEX('RC6SV'!$A$1:$G$20,MATCH(H239,'RC6SV'!$A$1:$A$20,FALSE),MATCH(G239,'RC6SV'!$A$1:$G$1,FALSE))</f>
        <v>5000</v>
      </c>
      <c r="BD239" s="63">
        <f t="shared" ca="1" si="25"/>
        <v>5000</v>
      </c>
      <c r="BE239" s="14">
        <f t="shared" ca="1" si="26"/>
        <v>0</v>
      </c>
      <c r="BF239" s="14">
        <f t="shared" ca="1" si="27"/>
        <v>1</v>
      </c>
      <c r="BG239" s="20">
        <f ca="1">IF($BE239&lt;=0,ROUND(BK239*0.5,0), ROUND($BE239*S239*AA239*J239*AY239*0.8*[2]ステータス!$B$2,0))</f>
        <v>1813</v>
      </c>
      <c r="BH239" s="20">
        <f ca="1">IF($BE239&lt;=0,ROUND(BL239*0.5,0), ROUND($BE239*T239*AB239*K239*AZ239*0.8*[2]ステータス!$C$2,0))</f>
        <v>651</v>
      </c>
      <c r="BI239" s="20">
        <f ca="1">IF($BE239&lt;=0,ROUND(BM239*0.5,0), ROUND($BE239*U239*AC239*L239*BA239*0.8*[2]ステータス!$D$2,0))</f>
        <v>0</v>
      </c>
      <c r="BJ239" s="20">
        <f ca="1">IF($BE239&lt;=0,ROUND(BN239*0.5,0), ROUND($BE239*V239*AD239*M239*BB239*0.8*[2]ステータス!$E$2,0))</f>
        <v>429</v>
      </c>
      <c r="BK239" s="14">
        <f ca="1">ROUND(BD239*S239*AA239*J239*AY239*[2]ステータス!$B$2,0)</f>
        <v>3625</v>
      </c>
      <c r="BL239" s="14">
        <f ca="1">ROUND(BD239*T239*AB239*K239*AZ239*[2]ステータス!$C$2,0)</f>
        <v>1301</v>
      </c>
      <c r="BM239" s="14">
        <f ca="1">ROUND(BD239*U239*AC239*L239*BA239*[2]ステータス!$D$2,0)</f>
        <v>0</v>
      </c>
      <c r="BN239" s="14">
        <f ca="1">ROUND(BD239*V239*AD239*M239*BB239*[2]ステータス!$E$2,0)</f>
        <v>858</v>
      </c>
      <c r="BO239" s="13">
        <v>0</v>
      </c>
      <c r="BP239" s="13">
        <v>1</v>
      </c>
      <c r="BQ239" s="13" t="s">
        <v>102</v>
      </c>
      <c r="BR239" s="13">
        <f ca="1">VLOOKUP(H239,ghosts_label!$A$2:$B$19,2,FALSE)</f>
        <v>700</v>
      </c>
    </row>
    <row r="240" spans="1:70" ht="21" customHeight="1" x14ac:dyDescent="0.15">
      <c r="A240" s="14">
        <f t="shared" ca="1" si="22"/>
        <v>239</v>
      </c>
      <c r="B240" s="77" t="str">
        <f ca="1">VLOOKUP($A240,OFFSET([2]characters!$A$1,0,0,COUNTA([2]characters!$A:$A),MATCH(B$1,[2]characters!$1:$1,0)-MATCH($A$1,[2]characters!$1:$1,0)+1),MATCH(B$1,[2]characters!$1:$1,0)-MATCH($A$1,[2]characters!$1:$1,0)+1,FALSE)</f>
        <v>豪炎の天使 ウリエル</v>
      </c>
      <c r="C240" s="77" t="str">
        <f ca="1">VLOOKUP($A240,OFFSET([2]characters!$A$1,0,0,COUNTA([2]characters!$A:$A),MATCH(C$1,[2]characters!$1:$1,0)-MATCH($A$1,[2]characters!$1:$1,0)+1),MATCH(C$1,[2]characters!$1:$1,0)-MATCH($A$1,[2]characters!$1:$1,0)+1,FALSE)</f>
        <v>ガチャ:天使01</v>
      </c>
      <c r="D240" s="77" t="str">
        <f ca="1">VLOOKUP($A240,OFFSET([2]characters!$A$1,0,0,COUNTA([2]characters!$A:$A),MATCH(D$1,[2]characters!$1:$1,0)-MATCH($A$1,[2]characters!$1:$1,0)+1),MATCH(D$1,[2]characters!$1:$1,0)-MATCH($A$1,[2]characters!$1:$1,0)+1,FALSE)</f>
        <v>管理者</v>
      </c>
      <c r="E240" s="77" t="str">
        <f ca="1">VLOOKUP($A240,OFFSET([2]characters!$A$1,0,0,COUNTA([2]characters!$A:$A),MATCH(E$1,[2]characters!$1:$1,0)-MATCH($A$1,[2]characters!$1:$1,0)+1),MATCH(E$1,[2]characters!$1:$1,0)-MATCH($A$1,[2]characters!$1:$1,0)+1,FALSE)</f>
        <v>美しい</v>
      </c>
      <c r="F240" s="77" t="str">
        <f ca="1">VLOOKUP($A240,OFFSET([2]characters!$A$1,0,0,COUNTA([2]characters!$A:$A),MATCH(F$1,[2]characters!$1:$1,0)-MATCH($A$1,[2]characters!$1:$1,0)+1),MATCH(F$1,[2]characters!$1:$1,0)-MATCH($A$1,[2]characters!$1:$1,0)+1,FALSE)</f>
        <v>女性</v>
      </c>
      <c r="G240" s="77">
        <f ca="1">VLOOKUP($A240,OFFSET([2]characters!$A$1,0,0,COUNTA([2]characters!$A:$A),MATCH(G$1,[2]characters!$1:$1,0)-MATCH($A$1,[2]characters!$1:$1,0)+1),MATCH(G$1,[2]characters!$1:$1,0)-MATCH($A$1,[2]characters!$1:$1,0)+1,FALSE)</f>
        <v>4</v>
      </c>
      <c r="H240" s="77" t="str">
        <f ca="1">VLOOKUP($A240,OFFSET([2]characters!$A$1,0,0,COUNTA([2]characters!$A:$A),MATCH(H$1,[2]characters!$1:$1,0)-MATCH($A$1,[2]characters!$1:$1,0)+1),MATCH(H$1,[2]characters!$1:$1,0)-MATCH($A$1,[2]characters!$1:$1,0)+1,FALSE)</f>
        <v>PremiumS</v>
      </c>
      <c r="I240" s="77" t="str">
        <f ca="1">VLOOKUP($A240,OFFSET([2]characters!$A$1,0,0,COUNTA([2]characters!$A:$A),MATCH(I$1,[2]characters!$1:$1,0)-MATCH($A$1,[2]characters!$1:$1,0)+1),MATCH(I$1,[2]characters!$1:$1,0)-MATCH($A$1,[2]characters!$1:$1,0)+1,FALSE)</f>
        <v>red</v>
      </c>
      <c r="J240" s="14">
        <f ca="1">VLOOKUP(I240,[2]属性!$A:$E,2,FALSE)</f>
        <v>1</v>
      </c>
      <c r="K240" s="14">
        <f ca="1">VLOOKUP(I240,[2]属性!$A:$E,3,FALSE)</f>
        <v>1.02</v>
      </c>
      <c r="L240" s="14">
        <f ca="1">VLOOKUP(I240,[2]属性!$A:$E,4,FALSE)</f>
        <v>1</v>
      </c>
      <c r="M240" s="14">
        <f ca="1">VLOOKUP(I240,[2]属性!$A:$E,5,FALSE)</f>
        <v>0.98</v>
      </c>
      <c r="N240" s="14">
        <f ca="1">INDEX(コスト!$A$1:$I$20,MATCH(H240,コスト!$A$1:$A$20,FALSE),MATCH(G240,コスト!$A$1:$I$1,FALSE))</f>
        <v>20</v>
      </c>
      <c r="O240" s="14">
        <f ca="1">INDEX(レベル!$A$1:$I$21,MATCH(H240,レベル!$A$1:$A$21,FALSE),MATCH(G240,レベル!$A$1:$I$1,FALSE))</f>
        <v>60</v>
      </c>
      <c r="P240" s="63">
        <f t="shared" ca="1" si="28"/>
        <v>60</v>
      </c>
      <c r="Q240" s="77" t="str">
        <f ca="1">VLOOKUP($A240,OFFSET([2]characters!$A$1,0,0,COUNTA([2]characters!$A:$A),MATCH(Q$1,[2]characters!$1:$1,0)-MATCH($A$1,[2]characters!$1:$1,0)+1),MATCH(Q$1,[2]characters!$1:$1,0)-MATCH($A$1,[2]characters!$1:$1,0)+1,FALSE)</f>
        <v>hp</v>
      </c>
      <c r="R240" s="8" t="str">
        <f ca="1">VLOOKUP(Q240,[2]character_type_i18n!$A:$H,3,FALSE)</f>
        <v>体力タイプ</v>
      </c>
      <c r="S240" s="14">
        <f ca="1">VLOOKUP(Q240,[2]character_type_i18n!$A:$H,4,FALSE)</f>
        <v>1.45</v>
      </c>
      <c r="T240" s="14">
        <f ca="1">VLOOKUP(Q240,[2]character_type_i18n!$A:$H,5,FALSE)</f>
        <v>0.85</v>
      </c>
      <c r="U240" s="14">
        <f ca="1">VLOOKUP(Q240,[2]character_type_i18n!$A:$H,6,FALSE)</f>
        <v>1</v>
      </c>
      <c r="V240" s="14">
        <f ca="1">VLOOKUP(Q240,[2]character_type_i18n!$A:$H,7,FALSE)</f>
        <v>0.7</v>
      </c>
      <c r="W240" s="77" t="str">
        <f ca="1">VLOOKUP($A240,OFFSET([2]characters!$A$1,0,0,COUNTA([2]characters!$A:$A),MATCH(W$1,[2]characters!$1:$1,0)-MATCH($A$1,[2]characters!$1:$1,0)+1),MATCH(W$1,[2]characters!$1:$1,0)-MATCH($A$1,[2]characters!$1:$1,0)+1,FALSE)</f>
        <v>machine</v>
      </c>
      <c r="X240" s="8" t="str">
        <f ca="1">VLOOKUP(W240,[2]character_tribe_i18n!$A:$H,3,FALSE)</f>
        <v>マシン</v>
      </c>
      <c r="Y240" s="77" t="str">
        <f ca="1">VLOOKUP($A240,OFFSET([2]characters!$A$1,0,0,COUNTA([2]characters!$A:$A),MATCH(Y$1,[2]characters!$1:$1,0)-MATCH($A$1,[2]characters!$1:$1,0)+1),MATCH(Y$1,[2]characters!$1:$1,0)-MATCH($A$1,[2]characters!$1:$1,0)+1,FALSE)</f>
        <v>god</v>
      </c>
      <c r="Z240" s="8" t="str">
        <f ca="1">VLOOKUP(Y240,[2]character_tribe_i18n!$A:$H,3,FALSE)</f>
        <v>ゴッド</v>
      </c>
      <c r="AA240" s="14">
        <f ca="1">VLOOKUP(W240,[2]character_tribe_i18n!$A:$H,4,FALSE)</f>
        <v>1</v>
      </c>
      <c r="AB240" s="14">
        <f ca="1">VLOOKUP(W240,[2]character_tribe_i18n!$A:$H,5,FALSE)</f>
        <v>1</v>
      </c>
      <c r="AC240" s="14">
        <f ca="1">VLOOKUP(W240,[2]character_tribe_i18n!$A:$H,6,FALSE)</f>
        <v>1</v>
      </c>
      <c r="AD240" s="14">
        <f ca="1">VLOOKUP(W240,[2]character_tribe_i18n!$A:$H,7,FALSE)</f>
        <v>1</v>
      </c>
      <c r="AE240" s="12">
        <v>240</v>
      </c>
      <c r="AF240" s="85" t="str">
        <f ca="1">IF(AE240="NULL","",VLOOKUP($AE240,OFFSET([2]characters!$A$1,0,0,COUNTA([2]characters!$A:$A),MATCH(AF$1,[2]characters!$1:$1,0)-MATCH($A$1,[2]characters!$1:$1,0)+1),MATCH(AF$1,[2]characters!$1:$1,0)-MATCH($A$1,[2]characters!$1:$1,0)+1,FALSE))</f>
        <v>轟炎の天使 ウリエル・スレイヤー</v>
      </c>
      <c r="AG240" s="8">
        <f t="shared" ca="1" si="23"/>
        <v>238</v>
      </c>
      <c r="AH240" s="85" t="str">
        <f ca="1">VLOOKUP($AG240,OFFSET([2]characters!$A$1,0,0,COUNTA([2]characters!$A:$A),MATCH(AH$1,[2]characters!$1:$1,0)-MATCH($A$1,[2]characters!$1:$1,0)+1),MATCH(AH$1,[2]characters!$1:$1,0)-MATCH($A$1,[2]characters!$1:$1,0)+1,FALSE)</f>
        <v>ウリエル</v>
      </c>
      <c r="AI240" s="14">
        <f ca="1">IF(AE240="NULL","NULL",VLOOKUP(G240,ビット!$A$2:$B$7,2))</f>
        <v>50000</v>
      </c>
      <c r="AJ240" s="9">
        <v>2</v>
      </c>
      <c r="AK240" s="10" t="str">
        <f t="shared" si="24"/>
        <v>普通</v>
      </c>
      <c r="AL240" s="14" t="str">
        <f ca="1">INDEX(経験値!$A$1:$I$20,MATCH(H240,経験値!$A$1:$A$20,FALSE),MATCH(G240,経験値!$A$1:$I$1,FALSE))</f>
        <v>required_exp_200</v>
      </c>
      <c r="AM240" s="11">
        <f ca="1">VLOOKUP(G240,経験値!$A$27:$B$31,2)</f>
        <v>3400</v>
      </c>
      <c r="AN240" s="21">
        <f ca="1">VLOOKUP(G240,ビット!$G$2:$H$7,2)</f>
        <v>600</v>
      </c>
      <c r="AO240" s="98" t="s">
        <v>179</v>
      </c>
      <c r="AP240" s="97">
        <v>511001</v>
      </c>
      <c r="AQ240" s="77" t="e">
        <f ca="1">VLOOKUP($AP240,OFFSET([1]unit_skills!$A$1,0,0,COUNTA([1]unit_skills!$A:$A),MATCH("name",[1]unit_skills!$1:$1,0)-MATCH($AP$1,[1]unit_skills!$1:$1,0)+1),MATCH("name",[1]unit_skills!$1:$1,0)-MATCH($AP$1,[1]unit_skills!$1:$1,0)+1,FALSE)</f>
        <v>#VALUE!</v>
      </c>
      <c r="AR240" s="77" t="e">
        <f ca="1">VLOOKUP($AP240,OFFSET([1]unit_skills!$A$1,0,0,COUNTA([1]unit_skills!$A:$A),MATCH("comment",[1]unit_skills!$1:$1,0)-MATCH($AP$1,[1]unit_skills!$1:$1,0)+1),MATCH("comment",[1]unit_skills!$1:$1,0)-MATCH($AP$1,[1]unit_skills!$1:$1,0)+1,FALSE)</f>
        <v>#VALUE!</v>
      </c>
      <c r="AS240" s="77" t="e">
        <f ca="1">VLOOKUP($AP240,OFFSET([1]unit_skills!$A$1,0,0,COUNTA([1]unit_skills!$A:$A),MATCH(AS$1,[1]unit_skills!$1:$1,0)-MATCH($AP$1,[1]unit_skills!$1:$1,0)+1),MATCH(AS$1,[1]unit_skills!$1:$1,0)-MATCH($AP$1,[1]unit_skills!$1:$1,0)+1,FALSE)</f>
        <v>#VALUE!</v>
      </c>
      <c r="AT240" s="97">
        <v>121203</v>
      </c>
      <c r="AU240" s="77" t="e">
        <f ca="1">VLOOKUP($AT240,OFFSET([1]crash_skills!$A$1,0,0,COUNTA([1]crash_skills!$A:$A),MATCH("name",[1]crash_skills!$1:$1,0)-MATCH($AT$1,[1]crash_skills!$1:$1,0)+1),MATCH("name",[1]crash_skills!$1:$1,0)-MATCH($AT$1,[1]crash_skills!$1:$1,0)+1,FALSE)</f>
        <v>#VALUE!</v>
      </c>
      <c r="AV240" s="77" t="e">
        <f ca="1">VLOOKUP($AT240,OFFSET([1]crash_skills!$A$1,0,0,COUNTA([1]crash_skills!$A:$A),MATCH("comment",[1]crash_skills!$1:$1,0)-MATCH($AT$1,[1]crash_skills!$1:$1,0)+1),MATCH("comment",[1]crash_skills!$1:$1,0)-MATCH($AT$1,[1]crash_skills!$1:$1,0)+1,FALSE)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40" s="77" t="e">
        <f ca="1">VLOOKUP($AT240,OFFSET([1]crash_skills!$A$1,0,0,COUNTA([1]crash_skills!$A:$A),MATCH(AW$1,[1]crash_skills!$1:$1,0)-MATCH($AT$1,[1]crash_skills!$1:$1,0)+1),MATCH(AW$1,[1]crash_skills!$1:$1,0)-MATCH($AT$1,[1]crash_skills!$1:$1,0)+1,FALSE)</f>
        <v>#VALUE!</v>
      </c>
      <c r="AX240" s="81">
        <f ca="1">VLOOKUP($A240,OFFSET([2]characters!$A$1,0,0,COUNTA([2]characters!$A:$A),MATCH(AX$1,[2]characters!$1:$1,0)-MATCH($A$1,[2]characters!$1:$1,0)+1),MATCH(AX$1,[2]characters!$1:$1,0)-MATCH($A$1,[2]characters!$1:$1,0)+1,FALSE)</f>
        <v>3</v>
      </c>
      <c r="AY240" s="19">
        <v>1</v>
      </c>
      <c r="AZ240" s="19">
        <v>1</v>
      </c>
      <c r="BA240" s="19">
        <v>0</v>
      </c>
      <c r="BB240" s="19">
        <v>1</v>
      </c>
      <c r="BC240" s="14">
        <f ca="1">INDEX('RC6SV'!$A$1:$G$20,MATCH(H240,'RC6SV'!$A$1:$A$20,FALSE),MATCH(G240,'RC6SV'!$A$1:$G$1,FALSE))</f>
        <v>7000</v>
      </c>
      <c r="BD240" s="63">
        <f t="shared" ca="1" si="25"/>
        <v>7000</v>
      </c>
      <c r="BE240" s="14">
        <f t="shared" ca="1" si="26"/>
        <v>5000</v>
      </c>
      <c r="BF240" s="14">
        <f t="shared" ca="1" si="27"/>
        <v>1</v>
      </c>
      <c r="BG240" s="20">
        <f ca="1">IF($BE240&lt;=0,ROUND(BK240*0.5,0), ROUND($BE240*S240*AA240*J240*AY240*0.8*[2]ステータス!$B$2,0))</f>
        <v>2900</v>
      </c>
      <c r="BH240" s="20">
        <f ca="1">IF($BE240&lt;=0,ROUND(BL240*0.5,0), ROUND($BE240*T240*AB240*K240*AZ240*0.8*[2]ステータス!$C$2,0))</f>
        <v>1040</v>
      </c>
      <c r="BI240" s="20">
        <f ca="1">IF($BE240&lt;=0,ROUND(BM240*0.5,0), ROUND($BE240*U240*AC240*L240*BA240*0.8*[2]ステータス!$D$2,0))</f>
        <v>0</v>
      </c>
      <c r="BJ240" s="20">
        <f ca="1">IF($BE240&lt;=0,ROUND(BN240*0.5,0), ROUND($BE240*V240*AD240*M240*BB240*0.8*[2]ステータス!$E$2,0))</f>
        <v>686</v>
      </c>
      <c r="BK240" s="14">
        <f ca="1">ROUND(BD240*S240*AA240*J240*AY240*[2]ステータス!$B$2,0)</f>
        <v>5075</v>
      </c>
      <c r="BL240" s="14">
        <f ca="1">ROUND(BD240*T240*AB240*K240*AZ240*[2]ステータス!$C$2,0)</f>
        <v>1821</v>
      </c>
      <c r="BM240" s="14">
        <f ca="1">ROUND(BD240*U240*AC240*L240*BA240*[2]ステータス!$D$2,0)</f>
        <v>0</v>
      </c>
      <c r="BN240" s="14">
        <f ca="1">ROUND(BD240*V240*AD240*M240*BB240*[2]ステータス!$E$2,0)</f>
        <v>1201</v>
      </c>
      <c r="BO240" s="13">
        <v>0</v>
      </c>
      <c r="BP240" s="13">
        <v>1</v>
      </c>
      <c r="BQ240" s="13" t="s">
        <v>102</v>
      </c>
      <c r="BR240" s="13">
        <f ca="1">VLOOKUP(H240,ghosts_label!$A$2:$B$19,2,FALSE)</f>
        <v>700</v>
      </c>
    </row>
    <row r="241" spans="1:70" ht="21" customHeight="1" x14ac:dyDescent="0.15">
      <c r="A241" s="14">
        <f t="shared" ca="1" si="22"/>
        <v>240</v>
      </c>
      <c r="B241" s="77" t="str">
        <f ca="1">VLOOKUP($A241,OFFSET([2]characters!$A$1,0,0,COUNTA([2]characters!$A:$A),MATCH(B$1,[2]characters!$1:$1,0)-MATCH($A$1,[2]characters!$1:$1,0)+1),MATCH(B$1,[2]characters!$1:$1,0)-MATCH($A$1,[2]characters!$1:$1,0)+1,FALSE)</f>
        <v>轟炎の天使 ウリエル・スレイヤー</v>
      </c>
      <c r="C241" s="77" t="str">
        <f ca="1">VLOOKUP($A241,OFFSET([2]characters!$A$1,0,0,COUNTA([2]characters!$A:$A),MATCH(C$1,[2]characters!$1:$1,0)-MATCH($A$1,[2]characters!$1:$1,0)+1),MATCH(C$1,[2]characters!$1:$1,0)-MATCH($A$1,[2]characters!$1:$1,0)+1,FALSE)</f>
        <v>ガチャ:天使01</v>
      </c>
      <c r="D241" s="77" t="str">
        <f ca="1">VLOOKUP($A241,OFFSET([2]characters!$A$1,0,0,COUNTA([2]characters!$A:$A),MATCH(D$1,[2]characters!$1:$1,0)-MATCH($A$1,[2]characters!$1:$1,0)+1),MATCH(D$1,[2]characters!$1:$1,0)-MATCH($A$1,[2]characters!$1:$1,0)+1,FALSE)</f>
        <v>管理者</v>
      </c>
      <c r="E241" s="77" t="str">
        <f ca="1">VLOOKUP($A241,OFFSET([2]characters!$A$1,0,0,COUNTA([2]characters!$A:$A),MATCH(E$1,[2]characters!$1:$1,0)-MATCH($A$1,[2]characters!$1:$1,0)+1),MATCH(E$1,[2]characters!$1:$1,0)-MATCH($A$1,[2]characters!$1:$1,0)+1,FALSE)</f>
        <v>美しい</v>
      </c>
      <c r="F241" s="77" t="str">
        <f ca="1">VLOOKUP($A241,OFFSET([2]characters!$A$1,0,0,COUNTA([2]characters!$A:$A),MATCH(F$1,[2]characters!$1:$1,0)-MATCH($A$1,[2]characters!$1:$1,0)+1),MATCH(F$1,[2]characters!$1:$1,0)-MATCH($A$1,[2]characters!$1:$1,0)+1,FALSE)</f>
        <v>女性</v>
      </c>
      <c r="G241" s="77">
        <f ca="1">VLOOKUP($A241,OFFSET([2]characters!$A$1,0,0,COUNTA([2]characters!$A:$A),MATCH(G$1,[2]characters!$1:$1,0)-MATCH($A$1,[2]characters!$1:$1,0)+1),MATCH(G$1,[2]characters!$1:$1,0)-MATCH($A$1,[2]characters!$1:$1,0)+1,FALSE)</f>
        <v>5</v>
      </c>
      <c r="H241" s="77" t="str">
        <f ca="1">VLOOKUP($A241,OFFSET([2]characters!$A$1,0,0,COUNTA([2]characters!$A:$A),MATCH(H$1,[2]characters!$1:$1,0)-MATCH($A$1,[2]characters!$1:$1,0)+1),MATCH(H$1,[2]characters!$1:$1,0)-MATCH($A$1,[2]characters!$1:$1,0)+1,FALSE)</f>
        <v>PremiumS</v>
      </c>
      <c r="I241" s="77" t="str">
        <f ca="1">VLOOKUP($A241,OFFSET([2]characters!$A$1,0,0,COUNTA([2]characters!$A:$A),MATCH(I$1,[2]characters!$1:$1,0)-MATCH($A$1,[2]characters!$1:$1,0)+1),MATCH(I$1,[2]characters!$1:$1,0)-MATCH($A$1,[2]characters!$1:$1,0)+1,FALSE)</f>
        <v>red</v>
      </c>
      <c r="J241" s="14">
        <f ca="1">VLOOKUP(I241,[2]属性!$A:$E,2,FALSE)</f>
        <v>1</v>
      </c>
      <c r="K241" s="14">
        <f ca="1">VLOOKUP(I241,[2]属性!$A:$E,3,FALSE)</f>
        <v>1.02</v>
      </c>
      <c r="L241" s="14">
        <f ca="1">VLOOKUP(I241,[2]属性!$A:$E,4,FALSE)</f>
        <v>1</v>
      </c>
      <c r="M241" s="14">
        <f ca="1">VLOOKUP(I241,[2]属性!$A:$E,5,FALSE)</f>
        <v>0.98</v>
      </c>
      <c r="N241" s="14">
        <f ca="1">INDEX(コスト!$A$1:$I$20,MATCH(H241,コスト!$A$1:$A$20,FALSE),MATCH(G241,コスト!$A$1:$I$1,FALSE))</f>
        <v>30</v>
      </c>
      <c r="O241" s="14">
        <f ca="1">INDEX(レベル!$A$1:$I$21,MATCH(H241,レベル!$A$1:$A$21,FALSE),MATCH(G241,レベル!$A$1:$I$1,FALSE))</f>
        <v>80</v>
      </c>
      <c r="P241" s="63">
        <f t="shared" ca="1" si="28"/>
        <v>75</v>
      </c>
      <c r="Q241" s="77" t="str">
        <f ca="1">VLOOKUP($A241,OFFSET([2]characters!$A$1,0,0,COUNTA([2]characters!$A:$A),MATCH(Q$1,[2]characters!$1:$1,0)-MATCH($A$1,[2]characters!$1:$1,0)+1),MATCH(Q$1,[2]characters!$1:$1,0)-MATCH($A$1,[2]characters!$1:$1,0)+1,FALSE)</f>
        <v>hp</v>
      </c>
      <c r="R241" s="8" t="str">
        <f ca="1">VLOOKUP(Q241,[2]character_type_i18n!$A:$H,3,FALSE)</f>
        <v>体力タイプ</v>
      </c>
      <c r="S241" s="14">
        <f ca="1">VLOOKUP(Q241,[2]character_type_i18n!$A:$H,4,FALSE)</f>
        <v>1.45</v>
      </c>
      <c r="T241" s="14">
        <f ca="1">VLOOKUP(Q241,[2]character_type_i18n!$A:$H,5,FALSE)</f>
        <v>0.85</v>
      </c>
      <c r="U241" s="14">
        <f ca="1">VLOOKUP(Q241,[2]character_type_i18n!$A:$H,6,FALSE)</f>
        <v>1</v>
      </c>
      <c r="V241" s="14">
        <f ca="1">VLOOKUP(Q241,[2]character_type_i18n!$A:$H,7,FALSE)</f>
        <v>0.7</v>
      </c>
      <c r="W241" s="77" t="str">
        <f ca="1">VLOOKUP($A241,OFFSET([2]characters!$A$1,0,0,COUNTA([2]characters!$A:$A),MATCH(W$1,[2]characters!$1:$1,0)-MATCH($A$1,[2]characters!$1:$1,0)+1),MATCH(W$1,[2]characters!$1:$1,0)-MATCH($A$1,[2]characters!$1:$1,0)+1,FALSE)</f>
        <v>machine</v>
      </c>
      <c r="X241" s="8" t="str">
        <f ca="1">VLOOKUP(W241,[2]character_tribe_i18n!$A:$H,3,FALSE)</f>
        <v>マシン</v>
      </c>
      <c r="Y241" s="77" t="str">
        <f ca="1">VLOOKUP($A241,OFFSET([2]characters!$A$1,0,0,COUNTA([2]characters!$A:$A),MATCH(Y$1,[2]characters!$1:$1,0)-MATCH($A$1,[2]characters!$1:$1,0)+1),MATCH(Y$1,[2]characters!$1:$1,0)-MATCH($A$1,[2]characters!$1:$1,0)+1,FALSE)</f>
        <v>god</v>
      </c>
      <c r="Z241" s="8" t="str">
        <f ca="1">VLOOKUP(Y241,[2]character_tribe_i18n!$A:$H,3,FALSE)</f>
        <v>ゴッド</v>
      </c>
      <c r="AA241" s="14">
        <f ca="1">VLOOKUP(W241,[2]character_tribe_i18n!$A:$H,4,FALSE)</f>
        <v>1</v>
      </c>
      <c r="AB241" s="14">
        <f ca="1">VLOOKUP(W241,[2]character_tribe_i18n!$A:$H,5,FALSE)</f>
        <v>1</v>
      </c>
      <c r="AC241" s="14">
        <f ca="1">VLOOKUP(W241,[2]character_tribe_i18n!$A:$H,6,FALSE)</f>
        <v>1</v>
      </c>
      <c r="AD241" s="14">
        <f ca="1">VLOOKUP(W241,[2]character_tribe_i18n!$A:$H,7,FALSE)</f>
        <v>1</v>
      </c>
      <c r="AE241" s="12" t="s">
        <v>102</v>
      </c>
      <c r="AF241" s="85" t="str">
        <f ca="1">IF(AE241="NULL","",VLOOKUP($AE241,OFFSET([2]characters!$A$1,0,0,COUNTA([2]characters!$A:$A),MATCH(AF$1,[2]characters!$1:$1,0)-MATCH($A$1,[2]characters!$1:$1,0)+1),MATCH(AF$1,[2]characters!$1:$1,0)-MATCH($A$1,[2]characters!$1:$1,0)+1,FALSE))</f>
        <v/>
      </c>
      <c r="AG241" s="8">
        <f t="shared" ca="1" si="23"/>
        <v>238</v>
      </c>
      <c r="AH241" s="85" t="str">
        <f ca="1">VLOOKUP($AG241,OFFSET([2]characters!$A$1,0,0,COUNTA([2]characters!$A:$A),MATCH(AH$1,[2]characters!$1:$1,0)-MATCH($A$1,[2]characters!$1:$1,0)+1),MATCH(AH$1,[2]characters!$1:$1,0)-MATCH($A$1,[2]characters!$1:$1,0)+1,FALSE)</f>
        <v>ウリエル</v>
      </c>
      <c r="AI241" s="14" t="str">
        <f>IF(AE241="NULL","NULL",VLOOKUP(G241,ビット!$A$2:$B$7,2))</f>
        <v>NULL</v>
      </c>
      <c r="AJ241" s="9">
        <v>2</v>
      </c>
      <c r="AK241" s="10" t="str">
        <f t="shared" si="24"/>
        <v>普通</v>
      </c>
      <c r="AL241" s="14" t="str">
        <f ca="1">INDEX(経験値!$A$1:$I$20,MATCH(H241,経験値!$A$1:$A$20,FALSE),MATCH(G241,経験値!$A$1:$I$1,FALSE))</f>
        <v>required_exp_200</v>
      </c>
      <c r="AM241" s="11">
        <f ca="1">VLOOKUP(G241,経験値!$A$27:$B$31,2)</f>
        <v>6400</v>
      </c>
      <c r="AN241" s="21">
        <f ca="1">VLOOKUP(G241,ビット!$G$2:$H$7,2)</f>
        <v>900</v>
      </c>
      <c r="AO241" s="98" t="s">
        <v>179</v>
      </c>
      <c r="AP241" s="97">
        <v>511001</v>
      </c>
      <c r="AQ241" s="77" t="e">
        <f ca="1">VLOOKUP($AP241,OFFSET([1]unit_skills!$A$1,0,0,COUNTA([1]unit_skills!$A:$A),MATCH("name",[1]unit_skills!$1:$1,0)-MATCH($AP$1,[1]unit_skills!$1:$1,0)+1),MATCH("name",[1]unit_skills!$1:$1,0)-MATCH($AP$1,[1]unit_skills!$1:$1,0)+1,FALSE)</f>
        <v>#VALUE!</v>
      </c>
      <c r="AR241" s="77" t="e">
        <f ca="1">VLOOKUP($AP241,OFFSET([1]unit_skills!$A$1,0,0,COUNTA([1]unit_skills!$A:$A),MATCH("comment",[1]unit_skills!$1:$1,0)-MATCH($AP$1,[1]unit_skills!$1:$1,0)+1),MATCH("comment",[1]unit_skills!$1:$1,0)-MATCH($AP$1,[1]unit_skills!$1:$1,0)+1,FALSE)</f>
        <v>#VALUE!</v>
      </c>
      <c r="AS241" s="77" t="e">
        <f ca="1">VLOOKUP($AP241,OFFSET([1]unit_skills!$A$1,0,0,COUNTA([1]unit_skills!$A:$A),MATCH(AS$1,[1]unit_skills!$1:$1,0)-MATCH($AP$1,[1]unit_skills!$1:$1,0)+1),MATCH(AS$1,[1]unit_skills!$1:$1,0)-MATCH($AP$1,[1]unit_skills!$1:$1,0)+1,FALSE)</f>
        <v>#VALUE!</v>
      </c>
      <c r="AT241" s="97">
        <v>121210</v>
      </c>
      <c r="AU241" s="77" t="e">
        <f ca="1">VLOOKUP($AT241,OFFSET([1]crash_skills!$A$1,0,0,COUNTA([1]crash_skills!$A:$A),MATCH("name",[1]crash_skills!$1:$1,0)-MATCH($AT$1,[1]crash_skills!$1:$1,0)+1),MATCH("name",[1]crash_skills!$1:$1,0)-MATCH($AT$1,[1]crash_skills!$1:$1,0)+1,FALSE)</f>
        <v>#VALUE!</v>
      </c>
      <c r="AV241" s="77" t="e">
        <f ca="1">VLOOKUP($AT241,OFFSET([1]crash_skills!$A$1,0,0,COUNTA([1]crash_skills!$A:$A),MATCH("comment",[1]crash_skills!$1:$1,0)-MATCH($AT$1,[1]crash_skills!$1:$1,0)+1),MATCH("comment",[1]crash_skills!$1:$1,0)-MATCH($AT$1,[1]crash_skills!$1:$1,0)+1,FALSE)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41" s="77" t="e">
        <f ca="1">VLOOKUP($AT241,OFFSET([1]crash_skills!$A$1,0,0,COUNTA([1]crash_skills!$A:$A),MATCH(AW$1,[1]crash_skills!$1:$1,0)-MATCH($AT$1,[1]crash_skills!$1:$1,0)+1),MATCH(AW$1,[1]crash_skills!$1:$1,0)-MATCH($AT$1,[1]crash_skills!$1:$1,0)+1,FALSE)</f>
        <v>#VALUE!</v>
      </c>
      <c r="AX241" s="81">
        <f ca="1">VLOOKUP($A241,OFFSET([2]characters!$A$1,0,0,COUNTA([2]characters!$A:$A),MATCH(AX$1,[2]characters!$1:$1,0)-MATCH($A$1,[2]characters!$1:$1,0)+1),MATCH(AX$1,[2]characters!$1:$1,0)-MATCH($A$1,[2]characters!$1:$1,0)+1,FALSE)</f>
        <v>3</v>
      </c>
      <c r="AY241" s="19">
        <v>1</v>
      </c>
      <c r="AZ241" s="19">
        <v>1</v>
      </c>
      <c r="BA241" s="19">
        <v>0</v>
      </c>
      <c r="BB241" s="19">
        <v>1</v>
      </c>
      <c r="BC241" s="14">
        <f ca="1">INDEX('RC6SV'!$A$1:$G$20,MATCH(H241,'RC6SV'!$A$1:$A$20,FALSE),MATCH(G241,'RC6SV'!$A$1:$G$1,FALSE))</f>
        <v>9000</v>
      </c>
      <c r="BD241" s="63">
        <f t="shared" ca="1" si="25"/>
        <v>9000</v>
      </c>
      <c r="BE241" s="14">
        <f t="shared" ca="1" si="26"/>
        <v>7000</v>
      </c>
      <c r="BF241" s="14">
        <f t="shared" ca="1" si="27"/>
        <v>1</v>
      </c>
      <c r="BG241" s="20">
        <f ca="1">IF($BE241&lt;=0,ROUND(BK241*0.5,0), ROUND($BE241*S241*AA241*J241*AY241*0.8*[2]ステータス!$B$2,0))</f>
        <v>4060</v>
      </c>
      <c r="BH241" s="20">
        <f ca="1">IF($BE241&lt;=0,ROUND(BL241*0.5,0), ROUND($BE241*T241*AB241*K241*AZ241*0.8*[2]ステータス!$C$2,0))</f>
        <v>1457</v>
      </c>
      <c r="BI241" s="20">
        <f ca="1">IF($BE241&lt;=0,ROUND(BM241*0.5,0), ROUND($BE241*U241*AC241*L241*BA241*0.8*[2]ステータス!$D$2,0))</f>
        <v>0</v>
      </c>
      <c r="BJ241" s="20">
        <f ca="1">IF($BE241&lt;=0,ROUND(BN241*0.5,0), ROUND($BE241*V241*AD241*M241*BB241*0.8*[2]ステータス!$E$2,0))</f>
        <v>960</v>
      </c>
      <c r="BK241" s="14">
        <f ca="1">ROUND(BD241*S241*AA241*J241*AY241*[2]ステータス!$B$2,0)</f>
        <v>6525</v>
      </c>
      <c r="BL241" s="14">
        <f ca="1">ROUND(BD241*T241*AB241*K241*AZ241*[2]ステータス!$C$2,0)</f>
        <v>2341</v>
      </c>
      <c r="BM241" s="14">
        <f ca="1">ROUND(BD241*U241*AC241*L241*BA241*[2]ステータス!$D$2,0)</f>
        <v>0</v>
      </c>
      <c r="BN241" s="14">
        <f ca="1">ROUND(BD241*V241*AD241*M241*BB241*[2]ステータス!$E$2,0)</f>
        <v>1544</v>
      </c>
      <c r="BO241" s="13">
        <v>0</v>
      </c>
      <c r="BP241" s="13">
        <v>1</v>
      </c>
      <c r="BQ241" s="13" t="s">
        <v>102</v>
      </c>
      <c r="BR241" s="13">
        <f ca="1">VLOOKUP(H241,ghosts_label!$A$2:$B$19,2,FALSE)</f>
        <v>700</v>
      </c>
    </row>
    <row r="242" spans="1:70" ht="21" customHeight="1" x14ac:dyDescent="0.15">
      <c r="A242" s="14">
        <f t="shared" ca="1" si="22"/>
        <v>241</v>
      </c>
      <c r="B242" s="77" t="str">
        <f ca="1">VLOOKUP($A242,OFFSET([2]characters!$A$1,0,0,COUNTA([2]characters!$A:$A),MATCH(B$1,[2]characters!$1:$1,0)-MATCH($A$1,[2]characters!$1:$1,0)+1),MATCH(B$1,[2]characters!$1:$1,0)-MATCH($A$1,[2]characters!$1:$1,0)+1,FALSE)</f>
        <v>ガブリエル</v>
      </c>
      <c r="C242" s="77" t="str">
        <f ca="1">VLOOKUP($A242,OFFSET([2]characters!$A$1,0,0,COUNTA([2]characters!$A:$A),MATCH(C$1,[2]characters!$1:$1,0)-MATCH($A$1,[2]characters!$1:$1,0)+1),MATCH(C$1,[2]characters!$1:$1,0)-MATCH($A$1,[2]characters!$1:$1,0)+1,FALSE)</f>
        <v>ガチャ:天使01</v>
      </c>
      <c r="D242" s="77" t="str">
        <f ca="1">VLOOKUP($A242,OFFSET([2]characters!$A$1,0,0,COUNTA([2]characters!$A:$A),MATCH(D$1,[2]characters!$1:$1,0)-MATCH($A$1,[2]characters!$1:$1,0)+1),MATCH(D$1,[2]characters!$1:$1,0)-MATCH($A$1,[2]characters!$1:$1,0)+1,FALSE)</f>
        <v>管理者</v>
      </c>
      <c r="E242" s="77" t="str">
        <f ca="1">VLOOKUP($A242,OFFSET([2]characters!$A$1,0,0,COUNTA([2]characters!$A:$A),MATCH(E$1,[2]characters!$1:$1,0)-MATCH($A$1,[2]characters!$1:$1,0)+1),MATCH(E$1,[2]characters!$1:$1,0)-MATCH($A$1,[2]characters!$1:$1,0)+1,FALSE)</f>
        <v>美しい</v>
      </c>
      <c r="F242" s="77" t="str">
        <f ca="1">VLOOKUP($A242,OFFSET([2]characters!$A$1,0,0,COUNTA([2]characters!$A:$A),MATCH(F$1,[2]characters!$1:$1,0)-MATCH($A$1,[2]characters!$1:$1,0)+1),MATCH(F$1,[2]characters!$1:$1,0)-MATCH($A$1,[2]characters!$1:$1,0)+1,FALSE)</f>
        <v>女性</v>
      </c>
      <c r="G242" s="77">
        <f ca="1">VLOOKUP($A242,OFFSET([2]characters!$A$1,0,0,COUNTA([2]characters!$A:$A),MATCH(G$1,[2]characters!$1:$1,0)-MATCH($A$1,[2]characters!$1:$1,0)+1),MATCH(G$1,[2]characters!$1:$1,0)-MATCH($A$1,[2]characters!$1:$1,0)+1,FALSE)</f>
        <v>3</v>
      </c>
      <c r="H242" s="77" t="str">
        <f ca="1">VLOOKUP($A242,OFFSET([2]characters!$A$1,0,0,COUNTA([2]characters!$A:$A),MATCH(H$1,[2]characters!$1:$1,0)-MATCH($A$1,[2]characters!$1:$1,0)+1),MATCH(H$1,[2]characters!$1:$1,0)-MATCH($A$1,[2]characters!$1:$1,0)+1,FALSE)</f>
        <v>PremiumS</v>
      </c>
      <c r="I242" s="77" t="str">
        <f ca="1">VLOOKUP($A242,OFFSET([2]characters!$A$1,0,0,COUNTA([2]characters!$A:$A),MATCH(I$1,[2]characters!$1:$1,0)-MATCH($A$1,[2]characters!$1:$1,0)+1),MATCH(I$1,[2]characters!$1:$1,0)-MATCH($A$1,[2]characters!$1:$1,0)+1,FALSE)</f>
        <v>green</v>
      </c>
      <c r="J242" s="14">
        <f ca="1">VLOOKUP(I242,[2]属性!$A:$E,2,FALSE)</f>
        <v>1.02</v>
      </c>
      <c r="K242" s="14">
        <f ca="1">VLOOKUP(I242,[2]属性!$A:$E,3,FALSE)</f>
        <v>0.98</v>
      </c>
      <c r="L242" s="14">
        <f ca="1">VLOOKUP(I242,[2]属性!$A:$E,4,FALSE)</f>
        <v>1</v>
      </c>
      <c r="M242" s="14">
        <f ca="1">VLOOKUP(I242,[2]属性!$A:$E,5,FALSE)</f>
        <v>1</v>
      </c>
      <c r="N242" s="14">
        <f ca="1">INDEX(コスト!$A$1:$I$20,MATCH(H242,コスト!$A$1:$A$20,FALSE),MATCH(G242,コスト!$A$1:$I$1,FALSE))</f>
        <v>10</v>
      </c>
      <c r="O242" s="14">
        <f ca="1">INDEX(レベル!$A$1:$I$21,MATCH(H242,レベル!$A$1:$A$21,FALSE),MATCH(G242,レベル!$A$1:$I$1,FALSE))</f>
        <v>40</v>
      </c>
      <c r="P242" s="63">
        <f t="shared" ca="1" si="28"/>
        <v>45</v>
      </c>
      <c r="Q242" s="77" t="str">
        <f ca="1">VLOOKUP($A242,OFFSET([2]characters!$A$1,0,0,COUNTA([2]characters!$A:$A),MATCH(Q$1,[2]characters!$1:$1,0)-MATCH($A$1,[2]characters!$1:$1,0)+1),MATCH(Q$1,[2]characters!$1:$1,0)-MATCH($A$1,[2]characters!$1:$1,0)+1,FALSE)</f>
        <v>balance</v>
      </c>
      <c r="R242" s="8" t="str">
        <f ca="1">VLOOKUP(Q242,[2]character_type_i18n!$A:$H,3,FALSE)</f>
        <v>バランスタイプ</v>
      </c>
      <c r="S242" s="14">
        <f ca="1">VLOOKUP(Q242,[2]character_type_i18n!$A:$H,4,FALSE)</f>
        <v>1</v>
      </c>
      <c r="T242" s="14">
        <f ca="1">VLOOKUP(Q242,[2]character_type_i18n!$A:$H,5,FALSE)</f>
        <v>1</v>
      </c>
      <c r="U242" s="14">
        <f ca="1">VLOOKUP(Q242,[2]character_type_i18n!$A:$H,6,FALSE)</f>
        <v>1</v>
      </c>
      <c r="V242" s="14">
        <f ca="1">VLOOKUP(Q242,[2]character_type_i18n!$A:$H,7,FALSE)</f>
        <v>1</v>
      </c>
      <c r="W242" s="77" t="str">
        <f ca="1">VLOOKUP($A242,OFFSET([2]characters!$A$1,0,0,COUNTA([2]characters!$A:$A),MATCH(W$1,[2]characters!$1:$1,0)-MATCH($A$1,[2]characters!$1:$1,0)+1),MATCH(W$1,[2]characters!$1:$1,0)-MATCH($A$1,[2]characters!$1:$1,0)+1,FALSE)</f>
        <v>machine</v>
      </c>
      <c r="X242" s="8" t="str">
        <f ca="1">VLOOKUP(W242,[2]character_tribe_i18n!$A:$H,3,FALSE)</f>
        <v>マシン</v>
      </c>
      <c r="Y242" s="77" t="str">
        <f ca="1">VLOOKUP($A242,OFFSET([2]characters!$A$1,0,0,COUNTA([2]characters!$A:$A),MATCH(Y$1,[2]characters!$1:$1,0)-MATCH($A$1,[2]characters!$1:$1,0)+1),MATCH(Y$1,[2]characters!$1:$1,0)-MATCH($A$1,[2]characters!$1:$1,0)+1,FALSE)</f>
        <v>god</v>
      </c>
      <c r="Z242" s="8" t="str">
        <f ca="1">VLOOKUP(Y242,[2]character_tribe_i18n!$A:$H,3,FALSE)</f>
        <v>ゴッド</v>
      </c>
      <c r="AA242" s="14">
        <f ca="1">VLOOKUP(W242,[2]character_tribe_i18n!$A:$H,4,FALSE)</f>
        <v>1</v>
      </c>
      <c r="AB242" s="14">
        <f ca="1">VLOOKUP(W242,[2]character_tribe_i18n!$A:$H,5,FALSE)</f>
        <v>1</v>
      </c>
      <c r="AC242" s="14">
        <f ca="1">VLOOKUP(W242,[2]character_tribe_i18n!$A:$H,6,FALSE)</f>
        <v>1</v>
      </c>
      <c r="AD242" s="14">
        <f ca="1">VLOOKUP(W242,[2]character_tribe_i18n!$A:$H,7,FALSE)</f>
        <v>1</v>
      </c>
      <c r="AE242" s="12">
        <v>242</v>
      </c>
      <c r="AF242" s="85" t="str">
        <f ca="1">IF(AE242="NULL","",VLOOKUP($AE242,OFFSET([2]characters!$A$1,0,0,COUNTA([2]characters!$A:$A),MATCH(AF$1,[2]characters!$1:$1,0)-MATCH($A$1,[2]characters!$1:$1,0)+1),MATCH(AF$1,[2]characters!$1:$1,0)-MATCH($A$1,[2]characters!$1:$1,0)+1,FALSE))</f>
        <v>百花の天使 ガブリエル</v>
      </c>
      <c r="AG242" s="8">
        <f t="shared" ca="1" si="23"/>
        <v>241</v>
      </c>
      <c r="AH242" s="85" t="str">
        <f ca="1">VLOOKUP($AG242,OFFSET([2]characters!$A$1,0,0,COUNTA([2]characters!$A:$A),MATCH(AH$1,[2]characters!$1:$1,0)-MATCH($A$1,[2]characters!$1:$1,0)+1),MATCH(AH$1,[2]characters!$1:$1,0)-MATCH($A$1,[2]characters!$1:$1,0)+1,FALSE)</f>
        <v>ガブリエル</v>
      </c>
      <c r="AI242" s="14">
        <f ca="1">IF(AE242="NULL","NULL",VLOOKUP(G242,ビット!$A$2:$B$7,2))</f>
        <v>20000</v>
      </c>
      <c r="AJ242" s="9">
        <v>2</v>
      </c>
      <c r="AK242" s="10" t="str">
        <f t="shared" si="24"/>
        <v>普通</v>
      </c>
      <c r="AL242" s="14" t="str">
        <f ca="1">INDEX(経験値!$A$1:$I$20,MATCH(H242,経験値!$A$1:$A$20,FALSE),MATCH(G242,経験値!$A$1:$I$1,FALSE))</f>
        <v>required_exp_200</v>
      </c>
      <c r="AM242" s="11">
        <f ca="1">VLOOKUP(G242,経験値!$A$27:$B$31,2)</f>
        <v>1500</v>
      </c>
      <c r="AN242" s="21">
        <f ca="1">VLOOKUP(G242,ビット!$G$2:$H$7,2)</f>
        <v>300</v>
      </c>
      <c r="AO242" s="98" t="s">
        <v>185</v>
      </c>
      <c r="AP242" s="102">
        <v>822001</v>
      </c>
      <c r="AQ242" s="77" t="e">
        <f ca="1">VLOOKUP($AP242,OFFSET([1]unit_skills!$A$1,0,0,COUNTA([1]unit_skills!$A:$A),MATCH("name",[1]unit_skills!$1:$1,0)-MATCH($AP$1,[1]unit_skills!$1:$1,0)+1),MATCH("name",[1]unit_skills!$1:$1,0)-MATCH($AP$1,[1]unit_skills!$1:$1,0)+1,FALSE)</f>
        <v>#VALUE!</v>
      </c>
      <c r="AR242" s="77" t="e">
        <f ca="1">VLOOKUP($AP242,OFFSET([1]unit_skills!$A$1,0,0,COUNTA([1]unit_skills!$A:$A),MATCH("comment",[1]unit_skills!$1:$1,0)-MATCH($AP$1,[1]unit_skills!$1:$1,0)+1),MATCH("comment",[1]unit_skills!$1:$1,0)-MATCH($AP$1,[1]unit_skills!$1:$1,0)+1,FALSE)</f>
        <v>#VALUE!</v>
      </c>
      <c r="AS242" s="77" t="e">
        <f ca="1">VLOOKUP($AP242,OFFSET([1]unit_skills!$A$1,0,0,COUNTA([1]unit_skills!$A:$A),MATCH(AS$1,[1]unit_skills!$1:$1,0)-MATCH($AP$1,[1]unit_skills!$1:$1,0)+1),MATCH(AS$1,[1]unit_skills!$1:$1,0)-MATCH($AP$1,[1]unit_skills!$1:$1,0)+1,FALSE)</f>
        <v>#VALUE!</v>
      </c>
      <c r="AT242" s="97">
        <v>162002</v>
      </c>
      <c r="AU242" s="77" t="e">
        <f ca="1">VLOOKUP($AT242,OFFSET([1]crash_skills!$A$1,0,0,COUNTA([1]crash_skills!$A:$A),MATCH("name",[1]crash_skills!$1:$1,0)-MATCH($AT$1,[1]crash_skills!$1:$1,0)+1),MATCH("name",[1]crash_skills!$1:$1,0)-MATCH($AT$1,[1]crash_skills!$1:$1,0)+1,FALSE)</f>
        <v>#VALUE!</v>
      </c>
      <c r="AV242" s="77" t="e">
        <f ca="1">VLOOKUP($AT242,OFFSET([1]crash_skills!$A$1,0,0,COUNTA([1]crash_skills!$A:$A),MATCH("comment",[1]crash_skills!$1:$1,0)-MATCH($AT$1,[1]crash_skills!$1:$1,0)+1),MATCH("comment",[1]crash_skills!$1:$1,0)-MATCH($AT$1,[1]crash_skills!$1:$1,0)+1,FALSE)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42" s="77" t="e">
        <f ca="1">VLOOKUP($AT242,OFFSET([1]crash_skills!$A$1,0,0,COUNTA([1]crash_skills!$A:$A),MATCH(AW$1,[1]crash_skills!$1:$1,0)-MATCH($AT$1,[1]crash_skills!$1:$1,0)+1),MATCH(AW$1,[1]crash_skills!$1:$1,0)-MATCH($AT$1,[1]crash_skills!$1:$1,0)+1,FALSE)</f>
        <v>#VALUE!</v>
      </c>
      <c r="AX242" s="81">
        <f ca="1">VLOOKUP($A242,OFFSET([2]characters!$A$1,0,0,COUNTA([2]characters!$A:$A),MATCH(AX$1,[2]characters!$1:$1,0)-MATCH($A$1,[2]characters!$1:$1,0)+1),MATCH(AX$1,[2]characters!$1:$1,0)-MATCH($A$1,[2]characters!$1:$1,0)+1,FALSE)</f>
        <v>3</v>
      </c>
      <c r="AY242" s="19">
        <v>1</v>
      </c>
      <c r="AZ242" s="19">
        <v>1</v>
      </c>
      <c r="BA242" s="19">
        <v>0</v>
      </c>
      <c r="BB242" s="19">
        <v>1</v>
      </c>
      <c r="BC242" s="14">
        <f ca="1">INDEX('RC6SV'!$A$1:$G$20,MATCH(H242,'RC6SV'!$A$1:$A$20,FALSE),MATCH(G242,'RC6SV'!$A$1:$G$1,FALSE))</f>
        <v>5000</v>
      </c>
      <c r="BD242" s="63">
        <f t="shared" ca="1" si="25"/>
        <v>5000</v>
      </c>
      <c r="BE242" s="14">
        <f t="shared" ca="1" si="26"/>
        <v>0</v>
      </c>
      <c r="BF242" s="14">
        <f t="shared" ca="1" si="27"/>
        <v>1</v>
      </c>
      <c r="BG242" s="20">
        <f ca="1">IF($BE242&lt;=0,ROUND(BK242*0.5,0), ROUND($BE242*S242*AA242*J242*AY242*0.8*[2]ステータス!$B$2,0))</f>
        <v>1275</v>
      </c>
      <c r="BH242" s="20">
        <f ca="1">IF($BE242&lt;=0,ROUND(BL242*0.5,0), ROUND($BE242*T242*AB242*K242*AZ242*0.8*[2]ステータス!$C$2,0))</f>
        <v>735</v>
      </c>
      <c r="BI242" s="20">
        <f ca="1">IF($BE242&lt;=0,ROUND(BM242*0.5,0), ROUND($BE242*U242*AC242*L242*BA242*0.8*[2]ステータス!$D$2,0))</f>
        <v>0</v>
      </c>
      <c r="BJ242" s="20">
        <f ca="1">IF($BE242&lt;=0,ROUND(BN242*0.5,0), ROUND($BE242*V242*AD242*M242*BB242*0.8*[2]ステータス!$E$2,0))</f>
        <v>625</v>
      </c>
      <c r="BK242" s="14">
        <f ca="1">ROUND(BD242*S242*AA242*J242*AY242*[2]ステータス!$B$2,0)</f>
        <v>2550</v>
      </c>
      <c r="BL242" s="14">
        <f ca="1">ROUND(BD242*T242*AB242*K242*AZ242*[2]ステータス!$C$2,0)</f>
        <v>1470</v>
      </c>
      <c r="BM242" s="14">
        <f ca="1">ROUND(BD242*U242*AC242*L242*BA242*[2]ステータス!$D$2,0)</f>
        <v>0</v>
      </c>
      <c r="BN242" s="14">
        <f ca="1">ROUND(BD242*V242*AD242*M242*BB242*[2]ステータス!$E$2,0)</f>
        <v>1250</v>
      </c>
      <c r="BO242" s="13">
        <v>0</v>
      </c>
      <c r="BP242" s="13">
        <v>1</v>
      </c>
      <c r="BQ242" s="13" t="s">
        <v>102</v>
      </c>
      <c r="BR242" s="13">
        <f ca="1">VLOOKUP(H242,ghosts_label!$A$2:$B$19,2,FALSE)</f>
        <v>700</v>
      </c>
    </row>
    <row r="243" spans="1:70" ht="21" customHeight="1" x14ac:dyDescent="0.15">
      <c r="A243" s="14">
        <f t="shared" ca="1" si="22"/>
        <v>242</v>
      </c>
      <c r="B243" s="77" t="str">
        <f ca="1">VLOOKUP($A243,OFFSET([2]characters!$A$1,0,0,COUNTA([2]characters!$A:$A),MATCH(B$1,[2]characters!$1:$1,0)-MATCH($A$1,[2]characters!$1:$1,0)+1),MATCH(B$1,[2]characters!$1:$1,0)-MATCH($A$1,[2]characters!$1:$1,0)+1,FALSE)</f>
        <v>百花の天使 ガブリエル</v>
      </c>
      <c r="C243" s="77" t="str">
        <f ca="1">VLOOKUP($A243,OFFSET([2]characters!$A$1,0,0,COUNTA([2]characters!$A:$A),MATCH(C$1,[2]characters!$1:$1,0)-MATCH($A$1,[2]characters!$1:$1,0)+1),MATCH(C$1,[2]characters!$1:$1,0)-MATCH($A$1,[2]characters!$1:$1,0)+1,FALSE)</f>
        <v>ガチャ:天使01</v>
      </c>
      <c r="D243" s="77" t="str">
        <f ca="1">VLOOKUP($A243,OFFSET([2]characters!$A$1,0,0,COUNTA([2]characters!$A:$A),MATCH(D$1,[2]characters!$1:$1,0)-MATCH($A$1,[2]characters!$1:$1,0)+1),MATCH(D$1,[2]characters!$1:$1,0)-MATCH($A$1,[2]characters!$1:$1,0)+1,FALSE)</f>
        <v>管理者</v>
      </c>
      <c r="E243" s="77" t="str">
        <f ca="1">VLOOKUP($A243,OFFSET([2]characters!$A$1,0,0,COUNTA([2]characters!$A:$A),MATCH(E$1,[2]characters!$1:$1,0)-MATCH($A$1,[2]characters!$1:$1,0)+1),MATCH(E$1,[2]characters!$1:$1,0)-MATCH($A$1,[2]characters!$1:$1,0)+1,FALSE)</f>
        <v>美しい</v>
      </c>
      <c r="F243" s="77" t="str">
        <f ca="1">VLOOKUP($A243,OFFSET([2]characters!$A$1,0,0,COUNTA([2]characters!$A:$A),MATCH(F$1,[2]characters!$1:$1,0)-MATCH($A$1,[2]characters!$1:$1,0)+1),MATCH(F$1,[2]characters!$1:$1,0)-MATCH($A$1,[2]characters!$1:$1,0)+1,FALSE)</f>
        <v>女性</v>
      </c>
      <c r="G243" s="77">
        <f ca="1">VLOOKUP($A243,OFFSET([2]characters!$A$1,0,0,COUNTA([2]characters!$A:$A),MATCH(G$1,[2]characters!$1:$1,0)-MATCH($A$1,[2]characters!$1:$1,0)+1),MATCH(G$1,[2]characters!$1:$1,0)-MATCH($A$1,[2]characters!$1:$1,0)+1,FALSE)</f>
        <v>4</v>
      </c>
      <c r="H243" s="77" t="str">
        <f ca="1">VLOOKUP($A243,OFFSET([2]characters!$A$1,0,0,COUNTA([2]characters!$A:$A),MATCH(H$1,[2]characters!$1:$1,0)-MATCH($A$1,[2]characters!$1:$1,0)+1),MATCH(H$1,[2]characters!$1:$1,0)-MATCH($A$1,[2]characters!$1:$1,0)+1,FALSE)</f>
        <v>PremiumS</v>
      </c>
      <c r="I243" s="77" t="str">
        <f ca="1">VLOOKUP($A243,OFFSET([2]characters!$A$1,0,0,COUNTA([2]characters!$A:$A),MATCH(I$1,[2]characters!$1:$1,0)-MATCH($A$1,[2]characters!$1:$1,0)+1),MATCH(I$1,[2]characters!$1:$1,0)-MATCH($A$1,[2]characters!$1:$1,0)+1,FALSE)</f>
        <v>green</v>
      </c>
      <c r="J243" s="14">
        <f ca="1">VLOOKUP(I243,[2]属性!$A:$E,2,FALSE)</f>
        <v>1.02</v>
      </c>
      <c r="K243" s="14">
        <f ca="1">VLOOKUP(I243,[2]属性!$A:$E,3,FALSE)</f>
        <v>0.98</v>
      </c>
      <c r="L243" s="14">
        <f ca="1">VLOOKUP(I243,[2]属性!$A:$E,4,FALSE)</f>
        <v>1</v>
      </c>
      <c r="M243" s="14">
        <f ca="1">VLOOKUP(I243,[2]属性!$A:$E,5,FALSE)</f>
        <v>1</v>
      </c>
      <c r="N243" s="14">
        <f ca="1">INDEX(コスト!$A$1:$I$20,MATCH(H243,コスト!$A$1:$A$20,FALSE),MATCH(G243,コスト!$A$1:$I$1,FALSE))</f>
        <v>20</v>
      </c>
      <c r="O243" s="14">
        <f ca="1">INDEX(レベル!$A$1:$I$21,MATCH(H243,レベル!$A$1:$A$21,FALSE),MATCH(G243,レベル!$A$1:$I$1,FALSE))</f>
        <v>60</v>
      </c>
      <c r="P243" s="63">
        <f t="shared" ca="1" si="28"/>
        <v>60</v>
      </c>
      <c r="Q243" s="77" t="str">
        <f ca="1">VLOOKUP($A243,OFFSET([2]characters!$A$1,0,0,COUNTA([2]characters!$A:$A),MATCH(Q$1,[2]characters!$1:$1,0)-MATCH($A$1,[2]characters!$1:$1,0)+1),MATCH(Q$1,[2]characters!$1:$1,0)-MATCH($A$1,[2]characters!$1:$1,0)+1,FALSE)</f>
        <v>balance</v>
      </c>
      <c r="R243" s="8" t="str">
        <f ca="1">VLOOKUP(Q243,[2]character_type_i18n!$A:$H,3,FALSE)</f>
        <v>バランスタイプ</v>
      </c>
      <c r="S243" s="14">
        <f ca="1">VLOOKUP(Q243,[2]character_type_i18n!$A:$H,4,FALSE)</f>
        <v>1</v>
      </c>
      <c r="T243" s="14">
        <f ca="1">VLOOKUP(Q243,[2]character_type_i18n!$A:$H,5,FALSE)</f>
        <v>1</v>
      </c>
      <c r="U243" s="14">
        <f ca="1">VLOOKUP(Q243,[2]character_type_i18n!$A:$H,6,FALSE)</f>
        <v>1</v>
      </c>
      <c r="V243" s="14">
        <f ca="1">VLOOKUP(Q243,[2]character_type_i18n!$A:$H,7,FALSE)</f>
        <v>1</v>
      </c>
      <c r="W243" s="77" t="str">
        <f ca="1">VLOOKUP($A243,OFFSET([2]characters!$A$1,0,0,COUNTA([2]characters!$A:$A),MATCH(W$1,[2]characters!$1:$1,0)-MATCH($A$1,[2]characters!$1:$1,0)+1),MATCH(W$1,[2]characters!$1:$1,0)-MATCH($A$1,[2]characters!$1:$1,0)+1,FALSE)</f>
        <v>machine</v>
      </c>
      <c r="X243" s="8" t="str">
        <f ca="1">VLOOKUP(W243,[2]character_tribe_i18n!$A:$H,3,FALSE)</f>
        <v>マシン</v>
      </c>
      <c r="Y243" s="77" t="str">
        <f ca="1">VLOOKUP($A243,OFFSET([2]characters!$A$1,0,0,COUNTA([2]characters!$A:$A),MATCH(Y$1,[2]characters!$1:$1,0)-MATCH($A$1,[2]characters!$1:$1,0)+1),MATCH(Y$1,[2]characters!$1:$1,0)-MATCH($A$1,[2]characters!$1:$1,0)+1,FALSE)</f>
        <v>god</v>
      </c>
      <c r="Z243" s="8" t="str">
        <f ca="1">VLOOKUP(Y243,[2]character_tribe_i18n!$A:$H,3,FALSE)</f>
        <v>ゴッド</v>
      </c>
      <c r="AA243" s="14">
        <f ca="1">VLOOKUP(W243,[2]character_tribe_i18n!$A:$H,4,FALSE)</f>
        <v>1</v>
      </c>
      <c r="AB243" s="14">
        <f ca="1">VLOOKUP(W243,[2]character_tribe_i18n!$A:$H,5,FALSE)</f>
        <v>1</v>
      </c>
      <c r="AC243" s="14">
        <f ca="1">VLOOKUP(W243,[2]character_tribe_i18n!$A:$H,6,FALSE)</f>
        <v>1</v>
      </c>
      <c r="AD243" s="14">
        <f ca="1">VLOOKUP(W243,[2]character_tribe_i18n!$A:$H,7,FALSE)</f>
        <v>1</v>
      </c>
      <c r="AE243" s="12">
        <v>243</v>
      </c>
      <c r="AF243" s="85" t="str">
        <f ca="1">IF(AE243="NULL","",VLOOKUP($AE243,OFFSET([2]characters!$A$1,0,0,COUNTA([2]characters!$A:$A),MATCH(AF$1,[2]characters!$1:$1,0)-MATCH($A$1,[2]characters!$1:$1,0)+1),MATCH(AF$1,[2]characters!$1:$1,0)-MATCH($A$1,[2]characters!$1:$1,0)+1,FALSE))</f>
        <v>万花の天使 ガブリエル・ブルーム</v>
      </c>
      <c r="AG243" s="8">
        <f t="shared" ca="1" si="23"/>
        <v>241</v>
      </c>
      <c r="AH243" s="85" t="str">
        <f ca="1">VLOOKUP($AG243,OFFSET([2]characters!$A$1,0,0,COUNTA([2]characters!$A:$A),MATCH(AH$1,[2]characters!$1:$1,0)-MATCH($A$1,[2]characters!$1:$1,0)+1),MATCH(AH$1,[2]characters!$1:$1,0)-MATCH($A$1,[2]characters!$1:$1,0)+1,FALSE)</f>
        <v>ガブリエル</v>
      </c>
      <c r="AI243" s="14">
        <f ca="1">IF(AE243="NULL","NULL",VLOOKUP(G243,ビット!$A$2:$B$7,2))</f>
        <v>50000</v>
      </c>
      <c r="AJ243" s="9">
        <v>2</v>
      </c>
      <c r="AK243" s="10" t="str">
        <f t="shared" si="24"/>
        <v>普通</v>
      </c>
      <c r="AL243" s="14" t="str">
        <f ca="1">INDEX(経験値!$A$1:$I$20,MATCH(H243,経験値!$A$1:$A$20,FALSE),MATCH(G243,経験値!$A$1:$I$1,FALSE))</f>
        <v>required_exp_200</v>
      </c>
      <c r="AM243" s="11">
        <f ca="1">VLOOKUP(G243,経験値!$A$27:$B$31,2)</f>
        <v>3400</v>
      </c>
      <c r="AN243" s="21">
        <f ca="1">VLOOKUP(G243,ビット!$G$2:$H$7,2)</f>
        <v>600</v>
      </c>
      <c r="AO243" s="98" t="s">
        <v>185</v>
      </c>
      <c r="AP243" s="102">
        <v>822002</v>
      </c>
      <c r="AQ243" s="77" t="e">
        <f ca="1">VLOOKUP($AP243,OFFSET([1]unit_skills!$A$1,0,0,COUNTA([1]unit_skills!$A:$A),MATCH("name",[1]unit_skills!$1:$1,0)-MATCH($AP$1,[1]unit_skills!$1:$1,0)+1),MATCH("name",[1]unit_skills!$1:$1,0)-MATCH($AP$1,[1]unit_skills!$1:$1,0)+1,FALSE)</f>
        <v>#VALUE!</v>
      </c>
      <c r="AR243" s="77" t="e">
        <f ca="1">VLOOKUP($AP243,OFFSET([1]unit_skills!$A$1,0,0,COUNTA([1]unit_skills!$A:$A),MATCH("comment",[1]unit_skills!$1:$1,0)-MATCH($AP$1,[1]unit_skills!$1:$1,0)+1),MATCH("comment",[1]unit_skills!$1:$1,0)-MATCH($AP$1,[1]unit_skills!$1:$1,0)+1,FALSE)</f>
        <v>#VALUE!</v>
      </c>
      <c r="AS243" s="77" t="e">
        <f ca="1">VLOOKUP($AP243,OFFSET([1]unit_skills!$A$1,0,0,COUNTA([1]unit_skills!$A:$A),MATCH(AS$1,[1]unit_skills!$1:$1,0)-MATCH($AP$1,[1]unit_skills!$1:$1,0)+1),MATCH(AS$1,[1]unit_skills!$1:$1,0)-MATCH($AP$1,[1]unit_skills!$1:$1,0)+1,FALSE)</f>
        <v>#VALUE!</v>
      </c>
      <c r="AT243" s="97">
        <v>162003</v>
      </c>
      <c r="AU243" s="77" t="e">
        <f ca="1">VLOOKUP($AT243,OFFSET([1]crash_skills!$A$1,0,0,COUNTA([1]crash_skills!$A:$A),MATCH("name",[1]crash_skills!$1:$1,0)-MATCH($AT$1,[1]crash_skills!$1:$1,0)+1),MATCH("name",[1]crash_skills!$1:$1,0)-MATCH($AT$1,[1]crash_skills!$1:$1,0)+1,FALSE)</f>
        <v>#VALUE!</v>
      </c>
      <c r="AV243" s="77" t="e">
        <f ca="1">VLOOKUP($AT243,OFFSET([1]crash_skills!$A$1,0,0,COUNTA([1]crash_skills!$A:$A),MATCH("comment",[1]crash_skills!$1:$1,0)-MATCH($AT$1,[1]crash_skills!$1:$1,0)+1),MATCH("comment",[1]crash_skills!$1:$1,0)-MATCH($AT$1,[1]crash_skills!$1:$1,0)+1,FALSE)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43" s="77" t="e">
        <f ca="1">VLOOKUP($AT243,OFFSET([1]crash_skills!$A$1,0,0,COUNTA([1]crash_skills!$A:$A),MATCH(AW$1,[1]crash_skills!$1:$1,0)-MATCH($AT$1,[1]crash_skills!$1:$1,0)+1),MATCH(AW$1,[1]crash_skills!$1:$1,0)-MATCH($AT$1,[1]crash_skills!$1:$1,0)+1,FALSE)</f>
        <v>#VALUE!</v>
      </c>
      <c r="AX243" s="81">
        <f ca="1">VLOOKUP($A243,OFFSET([2]characters!$A$1,0,0,COUNTA([2]characters!$A:$A),MATCH(AX$1,[2]characters!$1:$1,0)-MATCH($A$1,[2]characters!$1:$1,0)+1),MATCH(AX$1,[2]characters!$1:$1,0)-MATCH($A$1,[2]characters!$1:$1,0)+1,FALSE)</f>
        <v>3</v>
      </c>
      <c r="AY243" s="19">
        <v>1</v>
      </c>
      <c r="AZ243" s="19">
        <v>1</v>
      </c>
      <c r="BA243" s="19">
        <v>0</v>
      </c>
      <c r="BB243" s="19">
        <v>1</v>
      </c>
      <c r="BC243" s="14">
        <f ca="1">INDEX('RC6SV'!$A$1:$G$20,MATCH(H243,'RC6SV'!$A$1:$A$20,FALSE),MATCH(G243,'RC6SV'!$A$1:$G$1,FALSE))</f>
        <v>7000</v>
      </c>
      <c r="BD243" s="63">
        <f t="shared" ca="1" si="25"/>
        <v>7000</v>
      </c>
      <c r="BE243" s="14">
        <f t="shared" ca="1" si="26"/>
        <v>5000</v>
      </c>
      <c r="BF243" s="14">
        <f t="shared" ca="1" si="27"/>
        <v>1</v>
      </c>
      <c r="BG243" s="20">
        <f ca="1">IF($BE243&lt;=0,ROUND(BK243*0.5,0), ROUND($BE243*S243*AA243*J243*AY243*0.8*[2]ステータス!$B$2,0))</f>
        <v>2040</v>
      </c>
      <c r="BH243" s="20">
        <f ca="1">IF($BE243&lt;=0,ROUND(BL243*0.5,0), ROUND($BE243*T243*AB243*K243*AZ243*0.8*[2]ステータス!$C$2,0))</f>
        <v>1176</v>
      </c>
      <c r="BI243" s="20">
        <f ca="1">IF($BE243&lt;=0,ROUND(BM243*0.5,0), ROUND($BE243*U243*AC243*L243*BA243*0.8*[2]ステータス!$D$2,0))</f>
        <v>0</v>
      </c>
      <c r="BJ243" s="20">
        <f ca="1">IF($BE243&lt;=0,ROUND(BN243*0.5,0), ROUND($BE243*V243*AD243*M243*BB243*0.8*[2]ステータス!$E$2,0))</f>
        <v>1000</v>
      </c>
      <c r="BK243" s="14">
        <f ca="1">ROUND(BD243*S243*AA243*J243*AY243*[2]ステータス!$B$2,0)</f>
        <v>3570</v>
      </c>
      <c r="BL243" s="14">
        <f ca="1">ROUND(BD243*T243*AB243*K243*AZ243*[2]ステータス!$C$2,0)</f>
        <v>2058</v>
      </c>
      <c r="BM243" s="14">
        <f ca="1">ROUND(BD243*U243*AC243*L243*BA243*[2]ステータス!$D$2,0)</f>
        <v>0</v>
      </c>
      <c r="BN243" s="14">
        <f ca="1">ROUND(BD243*V243*AD243*M243*BB243*[2]ステータス!$E$2,0)</f>
        <v>1750</v>
      </c>
      <c r="BO243" s="13">
        <v>0</v>
      </c>
      <c r="BP243" s="13">
        <v>1</v>
      </c>
      <c r="BQ243" s="13" t="s">
        <v>102</v>
      </c>
      <c r="BR243" s="13">
        <f ca="1">VLOOKUP(H243,ghosts_label!$A$2:$B$19,2,FALSE)</f>
        <v>700</v>
      </c>
    </row>
    <row r="244" spans="1:70" ht="21" customHeight="1" x14ac:dyDescent="0.15">
      <c r="A244" s="14">
        <f t="shared" ca="1" si="22"/>
        <v>243</v>
      </c>
      <c r="B244" s="77" t="str">
        <f ca="1">VLOOKUP($A244,OFFSET([2]characters!$A$1,0,0,COUNTA([2]characters!$A:$A),MATCH(B$1,[2]characters!$1:$1,0)-MATCH($A$1,[2]characters!$1:$1,0)+1),MATCH(B$1,[2]characters!$1:$1,0)-MATCH($A$1,[2]characters!$1:$1,0)+1,FALSE)</f>
        <v>万花の天使 ガブリエル・ブルーム</v>
      </c>
      <c r="C244" s="77" t="str">
        <f ca="1">VLOOKUP($A244,OFFSET([2]characters!$A$1,0,0,COUNTA([2]characters!$A:$A),MATCH(C$1,[2]characters!$1:$1,0)-MATCH($A$1,[2]characters!$1:$1,0)+1),MATCH(C$1,[2]characters!$1:$1,0)-MATCH($A$1,[2]characters!$1:$1,0)+1,FALSE)</f>
        <v>ガチャ:天使01</v>
      </c>
      <c r="D244" s="77" t="str">
        <f ca="1">VLOOKUP($A244,OFFSET([2]characters!$A$1,0,0,COUNTA([2]characters!$A:$A),MATCH(D$1,[2]characters!$1:$1,0)-MATCH($A$1,[2]characters!$1:$1,0)+1),MATCH(D$1,[2]characters!$1:$1,0)-MATCH($A$1,[2]characters!$1:$1,0)+1,FALSE)</f>
        <v>管理者</v>
      </c>
      <c r="E244" s="77" t="str">
        <f ca="1">VLOOKUP($A244,OFFSET([2]characters!$A$1,0,0,COUNTA([2]characters!$A:$A),MATCH(E$1,[2]characters!$1:$1,0)-MATCH($A$1,[2]characters!$1:$1,0)+1),MATCH(E$1,[2]characters!$1:$1,0)-MATCH($A$1,[2]characters!$1:$1,0)+1,FALSE)</f>
        <v>美しい</v>
      </c>
      <c r="F244" s="77" t="str">
        <f ca="1">VLOOKUP($A244,OFFSET([2]characters!$A$1,0,0,COUNTA([2]characters!$A:$A),MATCH(F$1,[2]characters!$1:$1,0)-MATCH($A$1,[2]characters!$1:$1,0)+1),MATCH(F$1,[2]characters!$1:$1,0)-MATCH($A$1,[2]characters!$1:$1,0)+1,FALSE)</f>
        <v>女性</v>
      </c>
      <c r="G244" s="77">
        <f ca="1">VLOOKUP($A244,OFFSET([2]characters!$A$1,0,0,COUNTA([2]characters!$A:$A),MATCH(G$1,[2]characters!$1:$1,0)-MATCH($A$1,[2]characters!$1:$1,0)+1),MATCH(G$1,[2]characters!$1:$1,0)-MATCH($A$1,[2]characters!$1:$1,0)+1,FALSE)</f>
        <v>5</v>
      </c>
      <c r="H244" s="77" t="str">
        <f ca="1">VLOOKUP($A244,OFFSET([2]characters!$A$1,0,0,COUNTA([2]characters!$A:$A),MATCH(H$1,[2]characters!$1:$1,0)-MATCH($A$1,[2]characters!$1:$1,0)+1),MATCH(H$1,[2]characters!$1:$1,0)-MATCH($A$1,[2]characters!$1:$1,0)+1,FALSE)</f>
        <v>PremiumS</v>
      </c>
      <c r="I244" s="77" t="str">
        <f ca="1">VLOOKUP($A244,OFFSET([2]characters!$A$1,0,0,COUNTA([2]characters!$A:$A),MATCH(I$1,[2]characters!$1:$1,0)-MATCH($A$1,[2]characters!$1:$1,0)+1),MATCH(I$1,[2]characters!$1:$1,0)-MATCH($A$1,[2]characters!$1:$1,0)+1,FALSE)</f>
        <v>green</v>
      </c>
      <c r="J244" s="14">
        <f ca="1">VLOOKUP(I244,[2]属性!$A:$E,2,FALSE)</f>
        <v>1.02</v>
      </c>
      <c r="K244" s="14">
        <f ca="1">VLOOKUP(I244,[2]属性!$A:$E,3,FALSE)</f>
        <v>0.98</v>
      </c>
      <c r="L244" s="14">
        <f ca="1">VLOOKUP(I244,[2]属性!$A:$E,4,FALSE)</f>
        <v>1</v>
      </c>
      <c r="M244" s="14">
        <f ca="1">VLOOKUP(I244,[2]属性!$A:$E,5,FALSE)</f>
        <v>1</v>
      </c>
      <c r="N244" s="14">
        <f ca="1">INDEX(コスト!$A$1:$I$20,MATCH(H244,コスト!$A$1:$A$20,FALSE),MATCH(G244,コスト!$A$1:$I$1,FALSE))</f>
        <v>30</v>
      </c>
      <c r="O244" s="14">
        <f ca="1">INDEX(レベル!$A$1:$I$21,MATCH(H244,レベル!$A$1:$A$21,FALSE),MATCH(G244,レベル!$A$1:$I$1,FALSE))</f>
        <v>80</v>
      </c>
      <c r="P244" s="63">
        <f t="shared" ca="1" si="28"/>
        <v>75</v>
      </c>
      <c r="Q244" s="77" t="str">
        <f ca="1">VLOOKUP($A244,OFFSET([2]characters!$A$1,0,0,COUNTA([2]characters!$A:$A),MATCH(Q$1,[2]characters!$1:$1,0)-MATCH($A$1,[2]characters!$1:$1,0)+1),MATCH(Q$1,[2]characters!$1:$1,0)-MATCH($A$1,[2]characters!$1:$1,0)+1,FALSE)</f>
        <v>balance</v>
      </c>
      <c r="R244" s="8" t="str">
        <f ca="1">VLOOKUP(Q244,[2]character_type_i18n!$A:$H,3,FALSE)</f>
        <v>バランスタイプ</v>
      </c>
      <c r="S244" s="14">
        <f ca="1">VLOOKUP(Q244,[2]character_type_i18n!$A:$H,4,FALSE)</f>
        <v>1</v>
      </c>
      <c r="T244" s="14">
        <f ca="1">VLOOKUP(Q244,[2]character_type_i18n!$A:$H,5,FALSE)</f>
        <v>1</v>
      </c>
      <c r="U244" s="14">
        <f ca="1">VLOOKUP(Q244,[2]character_type_i18n!$A:$H,6,FALSE)</f>
        <v>1</v>
      </c>
      <c r="V244" s="14">
        <f ca="1">VLOOKUP(Q244,[2]character_type_i18n!$A:$H,7,FALSE)</f>
        <v>1</v>
      </c>
      <c r="W244" s="77" t="str">
        <f ca="1">VLOOKUP($A244,OFFSET([2]characters!$A$1,0,0,COUNTA([2]characters!$A:$A),MATCH(W$1,[2]characters!$1:$1,0)-MATCH($A$1,[2]characters!$1:$1,0)+1),MATCH(W$1,[2]characters!$1:$1,0)-MATCH($A$1,[2]characters!$1:$1,0)+1,FALSE)</f>
        <v>machine</v>
      </c>
      <c r="X244" s="8" t="str">
        <f ca="1">VLOOKUP(W244,[2]character_tribe_i18n!$A:$H,3,FALSE)</f>
        <v>マシン</v>
      </c>
      <c r="Y244" s="77" t="str">
        <f ca="1">VLOOKUP($A244,OFFSET([2]characters!$A$1,0,0,COUNTA([2]characters!$A:$A),MATCH(Y$1,[2]characters!$1:$1,0)-MATCH($A$1,[2]characters!$1:$1,0)+1),MATCH(Y$1,[2]characters!$1:$1,0)-MATCH($A$1,[2]characters!$1:$1,0)+1,FALSE)</f>
        <v>god</v>
      </c>
      <c r="Z244" s="8" t="str">
        <f ca="1">VLOOKUP(Y244,[2]character_tribe_i18n!$A:$H,3,FALSE)</f>
        <v>ゴッド</v>
      </c>
      <c r="AA244" s="14">
        <f ca="1">VLOOKUP(W244,[2]character_tribe_i18n!$A:$H,4,FALSE)</f>
        <v>1</v>
      </c>
      <c r="AB244" s="14">
        <f ca="1">VLOOKUP(W244,[2]character_tribe_i18n!$A:$H,5,FALSE)</f>
        <v>1</v>
      </c>
      <c r="AC244" s="14">
        <f ca="1">VLOOKUP(W244,[2]character_tribe_i18n!$A:$H,6,FALSE)</f>
        <v>1</v>
      </c>
      <c r="AD244" s="14">
        <f ca="1">VLOOKUP(W244,[2]character_tribe_i18n!$A:$H,7,FALSE)</f>
        <v>1</v>
      </c>
      <c r="AE244" s="12" t="s">
        <v>102</v>
      </c>
      <c r="AF244" s="85" t="str">
        <f ca="1">IF(AE244="NULL","",VLOOKUP($AE244,OFFSET([2]characters!$A$1,0,0,COUNTA([2]characters!$A:$A),MATCH(AF$1,[2]characters!$1:$1,0)-MATCH($A$1,[2]characters!$1:$1,0)+1),MATCH(AF$1,[2]characters!$1:$1,0)-MATCH($A$1,[2]characters!$1:$1,0)+1,FALSE))</f>
        <v/>
      </c>
      <c r="AG244" s="8">
        <f t="shared" ca="1" si="23"/>
        <v>241</v>
      </c>
      <c r="AH244" s="85" t="str">
        <f ca="1">VLOOKUP($AG244,OFFSET([2]characters!$A$1,0,0,COUNTA([2]characters!$A:$A),MATCH(AH$1,[2]characters!$1:$1,0)-MATCH($A$1,[2]characters!$1:$1,0)+1),MATCH(AH$1,[2]characters!$1:$1,0)-MATCH($A$1,[2]characters!$1:$1,0)+1,FALSE)</f>
        <v>ガブリエル</v>
      </c>
      <c r="AI244" s="14" t="str">
        <f>IF(AE244="NULL","NULL",VLOOKUP(G244,ビット!$A$2:$B$7,2))</f>
        <v>NULL</v>
      </c>
      <c r="AJ244" s="9">
        <v>2</v>
      </c>
      <c r="AK244" s="10" t="str">
        <f t="shared" si="24"/>
        <v>普通</v>
      </c>
      <c r="AL244" s="14" t="str">
        <f ca="1">INDEX(経験値!$A$1:$I$20,MATCH(H244,経験値!$A$1:$A$20,FALSE),MATCH(G244,経験値!$A$1:$I$1,FALSE))</f>
        <v>required_exp_200</v>
      </c>
      <c r="AM244" s="11">
        <f ca="1">VLOOKUP(G244,経験値!$A$27:$B$31,2)</f>
        <v>6400</v>
      </c>
      <c r="AN244" s="21">
        <f ca="1">VLOOKUP(G244,ビット!$G$2:$H$7,2)</f>
        <v>900</v>
      </c>
      <c r="AO244" s="98" t="s">
        <v>185</v>
      </c>
      <c r="AP244" s="102">
        <v>822003</v>
      </c>
      <c r="AQ244" s="77" t="e">
        <f ca="1">VLOOKUP($AP244,OFFSET([1]unit_skills!$A$1,0,0,COUNTA([1]unit_skills!$A:$A),MATCH("name",[1]unit_skills!$1:$1,0)-MATCH($AP$1,[1]unit_skills!$1:$1,0)+1),MATCH("name",[1]unit_skills!$1:$1,0)-MATCH($AP$1,[1]unit_skills!$1:$1,0)+1,FALSE)</f>
        <v>#VALUE!</v>
      </c>
      <c r="AR244" s="77" t="e">
        <f ca="1">VLOOKUP($AP244,OFFSET([1]unit_skills!$A$1,0,0,COUNTA([1]unit_skills!$A:$A),MATCH("comment",[1]unit_skills!$1:$1,0)-MATCH($AP$1,[1]unit_skills!$1:$1,0)+1),MATCH("comment",[1]unit_skills!$1:$1,0)-MATCH($AP$1,[1]unit_skills!$1:$1,0)+1,FALSE)</f>
        <v>#VALUE!</v>
      </c>
      <c r="AS244" s="77" t="e">
        <f ca="1">VLOOKUP($AP244,OFFSET([1]unit_skills!$A$1,0,0,COUNTA([1]unit_skills!$A:$A),MATCH(AS$1,[1]unit_skills!$1:$1,0)-MATCH($AP$1,[1]unit_skills!$1:$1,0)+1),MATCH(AS$1,[1]unit_skills!$1:$1,0)-MATCH($AP$1,[1]unit_skills!$1:$1,0)+1,FALSE)</f>
        <v>#VALUE!</v>
      </c>
      <c r="AT244" s="97">
        <v>162007</v>
      </c>
      <c r="AU244" s="77" t="e">
        <f ca="1">VLOOKUP($AT244,OFFSET([1]crash_skills!$A$1,0,0,COUNTA([1]crash_skills!$A:$A),MATCH("name",[1]crash_skills!$1:$1,0)-MATCH($AT$1,[1]crash_skills!$1:$1,0)+1),MATCH("name",[1]crash_skills!$1:$1,0)-MATCH($AT$1,[1]crash_skills!$1:$1,0)+1,FALSE)</f>
        <v>#VALUE!</v>
      </c>
      <c r="AV244" s="77" t="e">
        <f ca="1">VLOOKUP($AT244,OFFSET([1]crash_skills!$A$1,0,0,COUNTA([1]crash_skills!$A:$A),MATCH("comment",[1]crash_skills!$1:$1,0)-MATCH($AT$1,[1]crash_skills!$1:$1,0)+1),MATCH("comment",[1]crash_skills!$1:$1,0)-MATCH($AT$1,[1]crash_skills!$1:$1,0)+1,FALSE)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44" s="77" t="e">
        <f ca="1">VLOOKUP($AT244,OFFSET([1]crash_skills!$A$1,0,0,COUNTA([1]crash_skills!$A:$A),MATCH(AW$1,[1]crash_skills!$1:$1,0)-MATCH($AT$1,[1]crash_skills!$1:$1,0)+1),MATCH(AW$1,[1]crash_skills!$1:$1,0)-MATCH($AT$1,[1]crash_skills!$1:$1,0)+1,FALSE)</f>
        <v>#VALUE!</v>
      </c>
      <c r="AX244" s="81">
        <f ca="1">VLOOKUP($A244,OFFSET([2]characters!$A$1,0,0,COUNTA([2]characters!$A:$A),MATCH(AX$1,[2]characters!$1:$1,0)-MATCH($A$1,[2]characters!$1:$1,0)+1),MATCH(AX$1,[2]characters!$1:$1,0)-MATCH($A$1,[2]characters!$1:$1,0)+1,FALSE)</f>
        <v>3</v>
      </c>
      <c r="AY244" s="19">
        <v>1</v>
      </c>
      <c r="AZ244" s="19">
        <v>1</v>
      </c>
      <c r="BA244" s="19">
        <v>0</v>
      </c>
      <c r="BB244" s="19">
        <v>1</v>
      </c>
      <c r="BC244" s="14">
        <f ca="1">INDEX('RC6SV'!$A$1:$G$20,MATCH(H244,'RC6SV'!$A$1:$A$20,FALSE),MATCH(G244,'RC6SV'!$A$1:$G$1,FALSE))</f>
        <v>9000</v>
      </c>
      <c r="BD244" s="63">
        <f t="shared" ca="1" si="25"/>
        <v>9000</v>
      </c>
      <c r="BE244" s="14">
        <f t="shared" ca="1" si="26"/>
        <v>7000</v>
      </c>
      <c r="BF244" s="14">
        <f t="shared" ca="1" si="27"/>
        <v>1</v>
      </c>
      <c r="BG244" s="20">
        <f ca="1">IF($BE244&lt;=0,ROUND(BK244*0.5,0), ROUND($BE244*S244*AA244*J244*AY244*0.8*[2]ステータス!$B$2,0))</f>
        <v>2856</v>
      </c>
      <c r="BH244" s="20">
        <f ca="1">IF($BE244&lt;=0,ROUND(BL244*0.5,0), ROUND($BE244*T244*AB244*K244*AZ244*0.8*[2]ステータス!$C$2,0))</f>
        <v>1646</v>
      </c>
      <c r="BI244" s="20">
        <f ca="1">IF($BE244&lt;=0,ROUND(BM244*0.5,0), ROUND($BE244*U244*AC244*L244*BA244*0.8*[2]ステータス!$D$2,0))</f>
        <v>0</v>
      </c>
      <c r="BJ244" s="20">
        <f ca="1">IF($BE244&lt;=0,ROUND(BN244*0.5,0), ROUND($BE244*V244*AD244*M244*BB244*0.8*[2]ステータス!$E$2,0))</f>
        <v>1400</v>
      </c>
      <c r="BK244" s="14">
        <f ca="1">ROUND(BD244*S244*AA244*J244*AY244*[2]ステータス!$B$2,0)</f>
        <v>4590</v>
      </c>
      <c r="BL244" s="14">
        <f ca="1">ROUND(BD244*T244*AB244*K244*AZ244*[2]ステータス!$C$2,0)</f>
        <v>2646</v>
      </c>
      <c r="BM244" s="14">
        <f ca="1">ROUND(BD244*U244*AC244*L244*BA244*[2]ステータス!$D$2,0)</f>
        <v>0</v>
      </c>
      <c r="BN244" s="14">
        <f ca="1">ROUND(BD244*V244*AD244*M244*BB244*[2]ステータス!$E$2,0)</f>
        <v>2250</v>
      </c>
      <c r="BO244" s="13">
        <v>0</v>
      </c>
      <c r="BP244" s="13">
        <v>1</v>
      </c>
      <c r="BQ244" s="13" t="s">
        <v>102</v>
      </c>
      <c r="BR244" s="13">
        <f ca="1">VLOOKUP(H244,ghosts_label!$A$2:$B$19,2,FALSE)</f>
        <v>700</v>
      </c>
    </row>
    <row r="245" spans="1:70" ht="21" customHeight="1" x14ac:dyDescent="0.15">
      <c r="A245" s="14">
        <f t="shared" ca="1" si="22"/>
        <v>244</v>
      </c>
      <c r="B245" s="77" t="str">
        <f ca="1">VLOOKUP($A245,OFFSET([2]characters!$A$1,0,0,COUNTA([2]characters!$A:$A),MATCH(B$1,[2]characters!$1:$1,0)-MATCH($A$1,[2]characters!$1:$1,0)+1),MATCH(B$1,[2]characters!$1:$1,0)-MATCH($A$1,[2]characters!$1:$1,0)+1,FALSE)</f>
        <v>ラファエル</v>
      </c>
      <c r="C245" s="77" t="str">
        <f ca="1">VLOOKUP($A245,OFFSET([2]characters!$A$1,0,0,COUNTA([2]characters!$A:$A),MATCH(C$1,[2]characters!$1:$1,0)-MATCH($A$1,[2]characters!$1:$1,0)+1),MATCH(C$1,[2]characters!$1:$1,0)-MATCH($A$1,[2]characters!$1:$1,0)+1,FALSE)</f>
        <v>ガチャ:天使01</v>
      </c>
      <c r="D245" s="77" t="str">
        <f ca="1">VLOOKUP($A245,OFFSET([2]characters!$A$1,0,0,COUNTA([2]characters!$A:$A),MATCH(D$1,[2]characters!$1:$1,0)-MATCH($A$1,[2]characters!$1:$1,0)+1),MATCH(D$1,[2]characters!$1:$1,0)-MATCH($A$1,[2]characters!$1:$1,0)+1,FALSE)</f>
        <v>管理者</v>
      </c>
      <c r="E245" s="77" t="str">
        <f ca="1">VLOOKUP($A245,OFFSET([2]characters!$A$1,0,0,COUNTA([2]characters!$A:$A),MATCH(E$1,[2]characters!$1:$1,0)-MATCH($A$1,[2]characters!$1:$1,0)+1),MATCH(E$1,[2]characters!$1:$1,0)-MATCH($A$1,[2]characters!$1:$1,0)+1,FALSE)</f>
        <v>美しい</v>
      </c>
      <c r="F245" s="77" t="str">
        <f ca="1">VLOOKUP($A245,OFFSET([2]characters!$A$1,0,0,COUNTA([2]characters!$A:$A),MATCH(F$1,[2]characters!$1:$1,0)-MATCH($A$1,[2]characters!$1:$1,0)+1),MATCH(F$1,[2]characters!$1:$1,0)-MATCH($A$1,[2]characters!$1:$1,0)+1,FALSE)</f>
        <v>女性</v>
      </c>
      <c r="G245" s="77">
        <f ca="1">VLOOKUP($A245,OFFSET([2]characters!$A$1,0,0,COUNTA([2]characters!$A:$A),MATCH(G$1,[2]characters!$1:$1,0)-MATCH($A$1,[2]characters!$1:$1,0)+1),MATCH(G$1,[2]characters!$1:$1,0)-MATCH($A$1,[2]characters!$1:$1,0)+1,FALSE)</f>
        <v>3</v>
      </c>
      <c r="H245" s="77" t="str">
        <f ca="1">VLOOKUP($A245,OFFSET([2]characters!$A$1,0,0,COUNTA([2]characters!$A:$A),MATCH(H$1,[2]characters!$1:$1,0)-MATCH($A$1,[2]characters!$1:$1,0)+1),MATCH(H$1,[2]characters!$1:$1,0)-MATCH($A$1,[2]characters!$1:$1,0)+1,FALSE)</f>
        <v>PremiumS</v>
      </c>
      <c r="I245" s="77" t="str">
        <f ca="1">VLOOKUP($A245,OFFSET([2]characters!$A$1,0,0,COUNTA([2]characters!$A:$A),MATCH(I$1,[2]characters!$1:$1,0)-MATCH($A$1,[2]characters!$1:$1,0)+1),MATCH(I$1,[2]characters!$1:$1,0)-MATCH($A$1,[2]characters!$1:$1,0)+1,FALSE)</f>
        <v>blue</v>
      </c>
      <c r="J245" s="14">
        <f ca="1">VLOOKUP(I245,[2]属性!$A:$E,2,FALSE)</f>
        <v>1</v>
      </c>
      <c r="K245" s="14">
        <f ca="1">VLOOKUP(I245,[2]属性!$A:$E,3,FALSE)</f>
        <v>0.98</v>
      </c>
      <c r="L245" s="14">
        <f ca="1">VLOOKUP(I245,[2]属性!$A:$E,4,FALSE)</f>
        <v>1</v>
      </c>
      <c r="M245" s="14">
        <f ca="1">VLOOKUP(I245,[2]属性!$A:$E,5,FALSE)</f>
        <v>1.02</v>
      </c>
      <c r="N245" s="14">
        <f ca="1">INDEX(コスト!$A$1:$I$20,MATCH(H245,コスト!$A$1:$A$20,FALSE),MATCH(G245,コスト!$A$1:$I$1,FALSE))</f>
        <v>10</v>
      </c>
      <c r="O245" s="14">
        <f ca="1">INDEX(レベル!$A$1:$I$21,MATCH(H245,レベル!$A$1:$A$21,FALSE),MATCH(G245,レベル!$A$1:$I$1,FALSE))</f>
        <v>40</v>
      </c>
      <c r="P245" s="63">
        <f t="shared" ca="1" si="28"/>
        <v>45</v>
      </c>
      <c r="Q245" s="77" t="str">
        <f ca="1">VLOOKUP($A245,OFFSET([2]characters!$A$1,0,0,COUNTA([2]characters!$A:$A),MATCH(Q$1,[2]characters!$1:$1,0)-MATCH($A$1,[2]characters!$1:$1,0)+1),MATCH(Q$1,[2]characters!$1:$1,0)-MATCH($A$1,[2]characters!$1:$1,0)+1,FALSE)</f>
        <v>balance</v>
      </c>
      <c r="R245" s="8" t="str">
        <f ca="1">VLOOKUP(Q245,[2]character_type_i18n!$A:$H,3,FALSE)</f>
        <v>バランスタイプ</v>
      </c>
      <c r="S245" s="14">
        <f ca="1">VLOOKUP(Q245,[2]character_type_i18n!$A:$H,4,FALSE)</f>
        <v>1</v>
      </c>
      <c r="T245" s="14">
        <f ca="1">VLOOKUP(Q245,[2]character_type_i18n!$A:$H,5,FALSE)</f>
        <v>1</v>
      </c>
      <c r="U245" s="14">
        <f ca="1">VLOOKUP(Q245,[2]character_type_i18n!$A:$H,6,FALSE)</f>
        <v>1</v>
      </c>
      <c r="V245" s="14">
        <f ca="1">VLOOKUP(Q245,[2]character_type_i18n!$A:$H,7,FALSE)</f>
        <v>1</v>
      </c>
      <c r="W245" s="77" t="str">
        <f ca="1">VLOOKUP($A245,OFFSET([2]characters!$A$1,0,0,COUNTA([2]characters!$A:$A),MATCH(W$1,[2]characters!$1:$1,0)-MATCH($A$1,[2]characters!$1:$1,0)+1),MATCH(W$1,[2]characters!$1:$1,0)-MATCH($A$1,[2]characters!$1:$1,0)+1,FALSE)</f>
        <v>machine</v>
      </c>
      <c r="X245" s="8" t="str">
        <f ca="1">VLOOKUP(W245,[2]character_tribe_i18n!$A:$H,3,FALSE)</f>
        <v>マシン</v>
      </c>
      <c r="Y245" s="77" t="str">
        <f ca="1">VLOOKUP($A245,OFFSET([2]characters!$A$1,0,0,COUNTA([2]characters!$A:$A),MATCH(Y$1,[2]characters!$1:$1,0)-MATCH($A$1,[2]characters!$1:$1,0)+1),MATCH(Y$1,[2]characters!$1:$1,0)-MATCH($A$1,[2]characters!$1:$1,0)+1,FALSE)</f>
        <v>god</v>
      </c>
      <c r="Z245" s="8" t="str">
        <f ca="1">VLOOKUP(Y245,[2]character_tribe_i18n!$A:$H,3,FALSE)</f>
        <v>ゴッド</v>
      </c>
      <c r="AA245" s="14">
        <f ca="1">VLOOKUP(W245,[2]character_tribe_i18n!$A:$H,4,FALSE)</f>
        <v>1</v>
      </c>
      <c r="AB245" s="14">
        <f ca="1">VLOOKUP(W245,[2]character_tribe_i18n!$A:$H,5,FALSE)</f>
        <v>1</v>
      </c>
      <c r="AC245" s="14">
        <f ca="1">VLOOKUP(W245,[2]character_tribe_i18n!$A:$H,6,FALSE)</f>
        <v>1</v>
      </c>
      <c r="AD245" s="14">
        <f ca="1">VLOOKUP(W245,[2]character_tribe_i18n!$A:$H,7,FALSE)</f>
        <v>1</v>
      </c>
      <c r="AE245" s="12">
        <v>245</v>
      </c>
      <c r="AF245" s="85" t="str">
        <f ca="1">IF(AE245="NULL","",VLOOKUP($AE245,OFFSET([2]characters!$A$1,0,0,COUNTA([2]characters!$A:$A),MATCH(AF$1,[2]characters!$1:$1,0)-MATCH($A$1,[2]characters!$1:$1,0)+1),MATCH(AF$1,[2]characters!$1:$1,0)-MATCH($A$1,[2]characters!$1:$1,0)+1,FALSE))</f>
        <v>鎮癒の天使 ラファエル</v>
      </c>
      <c r="AG245" s="8">
        <f t="shared" ca="1" si="23"/>
        <v>244</v>
      </c>
      <c r="AH245" s="85" t="str">
        <f ca="1">VLOOKUP($AG245,OFFSET([2]characters!$A$1,0,0,COUNTA([2]characters!$A:$A),MATCH(AH$1,[2]characters!$1:$1,0)-MATCH($A$1,[2]characters!$1:$1,0)+1),MATCH(AH$1,[2]characters!$1:$1,0)-MATCH($A$1,[2]characters!$1:$1,0)+1,FALSE)</f>
        <v>ラファエル</v>
      </c>
      <c r="AI245" s="14">
        <f ca="1">IF(AE245="NULL","NULL",VLOOKUP(G245,ビット!$A$2:$B$7,2))</f>
        <v>20000</v>
      </c>
      <c r="AJ245" s="9">
        <v>2</v>
      </c>
      <c r="AK245" s="10" t="str">
        <f t="shared" si="24"/>
        <v>普通</v>
      </c>
      <c r="AL245" s="14" t="str">
        <f ca="1">INDEX(経験値!$A$1:$I$20,MATCH(H245,経験値!$A$1:$A$20,FALSE),MATCH(G245,経験値!$A$1:$I$1,FALSE))</f>
        <v>required_exp_200</v>
      </c>
      <c r="AM245" s="11">
        <f ca="1">VLOOKUP(G245,経験値!$A$27:$B$31,2)</f>
        <v>1500</v>
      </c>
      <c r="AN245" s="21">
        <f ca="1">VLOOKUP(G245,ビット!$G$2:$H$7,2)</f>
        <v>300</v>
      </c>
      <c r="AO245" s="98" t="s">
        <v>178</v>
      </c>
      <c r="AP245" s="97">
        <v>325008</v>
      </c>
      <c r="AQ245" s="77" t="e">
        <f ca="1">VLOOKUP($AP245,OFFSET([1]unit_skills!$A$1,0,0,COUNTA([1]unit_skills!$A:$A),MATCH("name",[1]unit_skills!$1:$1,0)-MATCH($AP$1,[1]unit_skills!$1:$1,0)+1),MATCH("name",[1]unit_skills!$1:$1,0)-MATCH($AP$1,[1]unit_skills!$1:$1,0)+1,FALSE)</f>
        <v>#VALUE!</v>
      </c>
      <c r="AR245" s="77" t="e">
        <f ca="1">VLOOKUP($AP245,OFFSET([1]unit_skills!$A$1,0,0,COUNTA([1]unit_skills!$A:$A),MATCH("comment",[1]unit_skills!$1:$1,0)-MATCH($AP$1,[1]unit_skills!$1:$1,0)+1),MATCH("comment",[1]unit_skills!$1:$1,0)-MATCH($AP$1,[1]unit_skills!$1:$1,0)+1,FALSE)</f>
        <v>#VALUE!</v>
      </c>
      <c r="AS245" s="77" t="e">
        <f ca="1">VLOOKUP($AP245,OFFSET([1]unit_skills!$A$1,0,0,COUNTA([1]unit_skills!$A:$A),MATCH(AS$1,[1]unit_skills!$1:$1,0)-MATCH($AP$1,[1]unit_skills!$1:$1,0)+1),MATCH(AS$1,[1]unit_skills!$1:$1,0)-MATCH($AP$1,[1]unit_skills!$1:$1,0)+1,FALSE)</f>
        <v>#VALUE!</v>
      </c>
      <c r="AT245" s="97">
        <v>223003</v>
      </c>
      <c r="AU245" s="77" t="e">
        <f ca="1">VLOOKUP($AT245,OFFSET([1]crash_skills!$A$1,0,0,COUNTA([1]crash_skills!$A:$A),MATCH("name",[1]crash_skills!$1:$1,0)-MATCH($AT$1,[1]crash_skills!$1:$1,0)+1),MATCH("name",[1]crash_skills!$1:$1,0)-MATCH($AT$1,[1]crash_skills!$1:$1,0)+1,FALSE)</f>
        <v>#VALUE!</v>
      </c>
      <c r="AV245" s="77" t="e">
        <f ca="1">VLOOKUP($AT245,OFFSET([1]crash_skills!$A$1,0,0,COUNTA([1]crash_skills!$A:$A),MATCH("comment",[1]crash_skills!$1:$1,0)-MATCH($AT$1,[1]crash_skills!$1:$1,0)+1),MATCH("comment",[1]crash_skills!$1:$1,0)-MATCH($AT$1,[1]crash_skills!$1:$1,0)+1,FALSE)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45" s="77" t="e">
        <f ca="1">VLOOKUP($AT245,OFFSET([1]crash_skills!$A$1,0,0,COUNTA([1]crash_skills!$A:$A),MATCH(AW$1,[1]crash_skills!$1:$1,0)-MATCH($AT$1,[1]crash_skills!$1:$1,0)+1),MATCH(AW$1,[1]crash_skills!$1:$1,0)-MATCH($AT$1,[1]crash_skills!$1:$1,0)+1,FALSE)</f>
        <v>#VALUE!</v>
      </c>
      <c r="AX245" s="81">
        <f ca="1">VLOOKUP($A245,OFFSET([2]characters!$A$1,0,0,COUNTA([2]characters!$A:$A),MATCH(AX$1,[2]characters!$1:$1,0)-MATCH($A$1,[2]characters!$1:$1,0)+1),MATCH(AX$1,[2]characters!$1:$1,0)-MATCH($A$1,[2]characters!$1:$1,0)+1,FALSE)</f>
        <v>3</v>
      </c>
      <c r="AY245" s="19">
        <v>1</v>
      </c>
      <c r="AZ245" s="19">
        <v>1</v>
      </c>
      <c r="BA245" s="19">
        <v>0</v>
      </c>
      <c r="BB245" s="19">
        <v>1</v>
      </c>
      <c r="BC245" s="14">
        <f ca="1">INDEX('RC6SV'!$A$1:$G$20,MATCH(H245,'RC6SV'!$A$1:$A$20,FALSE),MATCH(G245,'RC6SV'!$A$1:$G$1,FALSE))</f>
        <v>5000</v>
      </c>
      <c r="BD245" s="63">
        <f t="shared" ca="1" si="25"/>
        <v>5000</v>
      </c>
      <c r="BE245" s="14">
        <f t="shared" ca="1" si="26"/>
        <v>0</v>
      </c>
      <c r="BF245" s="14">
        <f t="shared" ca="1" si="27"/>
        <v>1</v>
      </c>
      <c r="BG245" s="20">
        <f ca="1">IF($BE245&lt;=0,ROUND(BK245*0.5,0), ROUND($BE245*S245*AA245*J245*AY245*0.8*[2]ステータス!$B$2,0))</f>
        <v>1250</v>
      </c>
      <c r="BH245" s="20">
        <f ca="1">IF($BE245&lt;=0,ROUND(BL245*0.5,0), ROUND($BE245*T245*AB245*K245*AZ245*0.8*[2]ステータス!$C$2,0))</f>
        <v>735</v>
      </c>
      <c r="BI245" s="20">
        <f ca="1">IF($BE245&lt;=0,ROUND(BM245*0.5,0), ROUND($BE245*U245*AC245*L245*BA245*0.8*[2]ステータス!$D$2,0))</f>
        <v>0</v>
      </c>
      <c r="BJ245" s="20">
        <f ca="1">IF($BE245&lt;=0,ROUND(BN245*0.5,0), ROUND($BE245*V245*AD245*M245*BB245*0.8*[2]ステータス!$E$2,0))</f>
        <v>638</v>
      </c>
      <c r="BK245" s="14">
        <f ca="1">ROUND(BD245*S245*AA245*J245*AY245*[2]ステータス!$B$2,0)</f>
        <v>2500</v>
      </c>
      <c r="BL245" s="14">
        <f ca="1">ROUND(BD245*T245*AB245*K245*AZ245*[2]ステータス!$C$2,0)</f>
        <v>1470</v>
      </c>
      <c r="BM245" s="14">
        <f ca="1">ROUND(BD245*U245*AC245*L245*BA245*[2]ステータス!$D$2,0)</f>
        <v>0</v>
      </c>
      <c r="BN245" s="14">
        <f ca="1">ROUND(BD245*V245*AD245*M245*BB245*[2]ステータス!$E$2,0)</f>
        <v>1275</v>
      </c>
      <c r="BO245" s="13">
        <v>0</v>
      </c>
      <c r="BP245" s="13">
        <v>1</v>
      </c>
      <c r="BQ245" s="13" t="s">
        <v>102</v>
      </c>
      <c r="BR245" s="13">
        <f ca="1">VLOOKUP(H245,ghosts_label!$A$2:$B$19,2,FALSE)</f>
        <v>700</v>
      </c>
    </row>
    <row r="246" spans="1:70" ht="21" customHeight="1" x14ac:dyDescent="0.15">
      <c r="A246" s="14">
        <f t="shared" ca="1" si="22"/>
        <v>245</v>
      </c>
      <c r="B246" s="77" t="str">
        <f ca="1">VLOOKUP($A246,OFFSET([2]characters!$A$1,0,0,COUNTA([2]characters!$A:$A),MATCH(B$1,[2]characters!$1:$1,0)-MATCH($A$1,[2]characters!$1:$1,0)+1),MATCH(B$1,[2]characters!$1:$1,0)-MATCH($A$1,[2]characters!$1:$1,0)+1,FALSE)</f>
        <v>鎮癒の天使 ラファエル</v>
      </c>
      <c r="C246" s="77" t="str">
        <f ca="1">VLOOKUP($A246,OFFSET([2]characters!$A$1,0,0,COUNTA([2]characters!$A:$A),MATCH(C$1,[2]characters!$1:$1,0)-MATCH($A$1,[2]characters!$1:$1,0)+1),MATCH(C$1,[2]characters!$1:$1,0)-MATCH($A$1,[2]characters!$1:$1,0)+1,FALSE)</f>
        <v>ガチャ:天使01</v>
      </c>
      <c r="D246" s="77" t="str">
        <f ca="1">VLOOKUP($A246,OFFSET([2]characters!$A$1,0,0,COUNTA([2]characters!$A:$A),MATCH(D$1,[2]characters!$1:$1,0)-MATCH($A$1,[2]characters!$1:$1,0)+1),MATCH(D$1,[2]characters!$1:$1,0)-MATCH($A$1,[2]characters!$1:$1,0)+1,FALSE)</f>
        <v>管理者</v>
      </c>
      <c r="E246" s="77" t="str">
        <f ca="1">VLOOKUP($A246,OFFSET([2]characters!$A$1,0,0,COUNTA([2]characters!$A:$A),MATCH(E$1,[2]characters!$1:$1,0)-MATCH($A$1,[2]characters!$1:$1,0)+1),MATCH(E$1,[2]characters!$1:$1,0)-MATCH($A$1,[2]characters!$1:$1,0)+1,FALSE)</f>
        <v>美しい</v>
      </c>
      <c r="F246" s="77" t="str">
        <f ca="1">VLOOKUP($A246,OFFSET([2]characters!$A$1,0,0,COUNTA([2]characters!$A:$A),MATCH(F$1,[2]characters!$1:$1,0)-MATCH($A$1,[2]characters!$1:$1,0)+1),MATCH(F$1,[2]characters!$1:$1,0)-MATCH($A$1,[2]characters!$1:$1,0)+1,FALSE)</f>
        <v>女性</v>
      </c>
      <c r="G246" s="77">
        <f ca="1">VLOOKUP($A246,OFFSET([2]characters!$A$1,0,0,COUNTA([2]characters!$A:$A),MATCH(G$1,[2]characters!$1:$1,0)-MATCH($A$1,[2]characters!$1:$1,0)+1),MATCH(G$1,[2]characters!$1:$1,0)-MATCH($A$1,[2]characters!$1:$1,0)+1,FALSE)</f>
        <v>4</v>
      </c>
      <c r="H246" s="77" t="str">
        <f ca="1">VLOOKUP($A246,OFFSET([2]characters!$A$1,0,0,COUNTA([2]characters!$A:$A),MATCH(H$1,[2]characters!$1:$1,0)-MATCH($A$1,[2]characters!$1:$1,0)+1),MATCH(H$1,[2]characters!$1:$1,0)-MATCH($A$1,[2]characters!$1:$1,0)+1,FALSE)</f>
        <v>PremiumS</v>
      </c>
      <c r="I246" s="77" t="str">
        <f ca="1">VLOOKUP($A246,OFFSET([2]characters!$A$1,0,0,COUNTA([2]characters!$A:$A),MATCH(I$1,[2]characters!$1:$1,0)-MATCH($A$1,[2]characters!$1:$1,0)+1),MATCH(I$1,[2]characters!$1:$1,0)-MATCH($A$1,[2]characters!$1:$1,0)+1,FALSE)</f>
        <v>blue</v>
      </c>
      <c r="J246" s="14">
        <f ca="1">VLOOKUP(I246,[2]属性!$A:$E,2,FALSE)</f>
        <v>1</v>
      </c>
      <c r="K246" s="14">
        <f ca="1">VLOOKUP(I246,[2]属性!$A:$E,3,FALSE)</f>
        <v>0.98</v>
      </c>
      <c r="L246" s="14">
        <f ca="1">VLOOKUP(I246,[2]属性!$A:$E,4,FALSE)</f>
        <v>1</v>
      </c>
      <c r="M246" s="14">
        <f ca="1">VLOOKUP(I246,[2]属性!$A:$E,5,FALSE)</f>
        <v>1.02</v>
      </c>
      <c r="N246" s="14">
        <f ca="1">INDEX(コスト!$A$1:$I$20,MATCH(H246,コスト!$A$1:$A$20,FALSE),MATCH(G246,コスト!$A$1:$I$1,FALSE))</f>
        <v>20</v>
      </c>
      <c r="O246" s="14">
        <f ca="1">INDEX(レベル!$A$1:$I$21,MATCH(H246,レベル!$A$1:$A$21,FALSE),MATCH(G246,レベル!$A$1:$I$1,FALSE))</f>
        <v>60</v>
      </c>
      <c r="P246" s="63">
        <f t="shared" ca="1" si="28"/>
        <v>60</v>
      </c>
      <c r="Q246" s="77" t="str">
        <f ca="1">VLOOKUP($A246,OFFSET([2]characters!$A$1,0,0,COUNTA([2]characters!$A:$A),MATCH(Q$1,[2]characters!$1:$1,0)-MATCH($A$1,[2]characters!$1:$1,0)+1),MATCH(Q$1,[2]characters!$1:$1,0)-MATCH($A$1,[2]characters!$1:$1,0)+1,FALSE)</f>
        <v>balance</v>
      </c>
      <c r="R246" s="8" t="str">
        <f ca="1">VLOOKUP(Q246,[2]character_type_i18n!$A:$H,3,FALSE)</f>
        <v>バランスタイプ</v>
      </c>
      <c r="S246" s="14">
        <f ca="1">VLOOKUP(Q246,[2]character_type_i18n!$A:$H,4,FALSE)</f>
        <v>1</v>
      </c>
      <c r="T246" s="14">
        <f ca="1">VLOOKUP(Q246,[2]character_type_i18n!$A:$H,5,FALSE)</f>
        <v>1</v>
      </c>
      <c r="U246" s="14">
        <f ca="1">VLOOKUP(Q246,[2]character_type_i18n!$A:$H,6,FALSE)</f>
        <v>1</v>
      </c>
      <c r="V246" s="14">
        <f ca="1">VLOOKUP(Q246,[2]character_type_i18n!$A:$H,7,FALSE)</f>
        <v>1</v>
      </c>
      <c r="W246" s="77" t="str">
        <f ca="1">VLOOKUP($A246,OFFSET([2]characters!$A$1,0,0,COUNTA([2]characters!$A:$A),MATCH(W$1,[2]characters!$1:$1,0)-MATCH($A$1,[2]characters!$1:$1,0)+1),MATCH(W$1,[2]characters!$1:$1,0)-MATCH($A$1,[2]characters!$1:$1,0)+1,FALSE)</f>
        <v>machine</v>
      </c>
      <c r="X246" s="8" t="str">
        <f ca="1">VLOOKUP(W246,[2]character_tribe_i18n!$A:$H,3,FALSE)</f>
        <v>マシン</v>
      </c>
      <c r="Y246" s="77" t="str">
        <f ca="1">VLOOKUP($A246,OFFSET([2]characters!$A$1,0,0,COUNTA([2]characters!$A:$A),MATCH(Y$1,[2]characters!$1:$1,0)-MATCH($A$1,[2]characters!$1:$1,0)+1),MATCH(Y$1,[2]characters!$1:$1,0)-MATCH($A$1,[2]characters!$1:$1,0)+1,FALSE)</f>
        <v>god</v>
      </c>
      <c r="Z246" s="8" t="str">
        <f ca="1">VLOOKUP(Y246,[2]character_tribe_i18n!$A:$H,3,FALSE)</f>
        <v>ゴッド</v>
      </c>
      <c r="AA246" s="14">
        <f ca="1">VLOOKUP(W246,[2]character_tribe_i18n!$A:$H,4,FALSE)</f>
        <v>1</v>
      </c>
      <c r="AB246" s="14">
        <f ca="1">VLOOKUP(W246,[2]character_tribe_i18n!$A:$H,5,FALSE)</f>
        <v>1</v>
      </c>
      <c r="AC246" s="14">
        <f ca="1">VLOOKUP(W246,[2]character_tribe_i18n!$A:$H,6,FALSE)</f>
        <v>1</v>
      </c>
      <c r="AD246" s="14">
        <f ca="1">VLOOKUP(W246,[2]character_tribe_i18n!$A:$H,7,FALSE)</f>
        <v>1</v>
      </c>
      <c r="AE246" s="12">
        <v>246</v>
      </c>
      <c r="AF246" s="85" t="str">
        <f ca="1">IF(AE246="NULL","",VLOOKUP($AE246,OFFSET([2]characters!$A$1,0,0,COUNTA([2]characters!$A:$A),MATCH(AF$1,[2]characters!$1:$1,0)-MATCH($A$1,[2]characters!$1:$1,0)+1),MATCH(AF$1,[2]characters!$1:$1,0)-MATCH($A$1,[2]characters!$1:$1,0)+1,FALSE))</f>
        <v>真癒の天使 ラファエル・メディカ</v>
      </c>
      <c r="AG246" s="8">
        <f t="shared" ca="1" si="23"/>
        <v>244</v>
      </c>
      <c r="AH246" s="85" t="str">
        <f ca="1">VLOOKUP($AG246,OFFSET([2]characters!$A$1,0,0,COUNTA([2]characters!$A:$A),MATCH(AH$1,[2]characters!$1:$1,0)-MATCH($A$1,[2]characters!$1:$1,0)+1),MATCH(AH$1,[2]characters!$1:$1,0)-MATCH($A$1,[2]characters!$1:$1,0)+1,FALSE)</f>
        <v>ラファエル</v>
      </c>
      <c r="AI246" s="14">
        <f ca="1">IF(AE246="NULL","NULL",VLOOKUP(G246,ビット!$A$2:$B$7,2))</f>
        <v>50000</v>
      </c>
      <c r="AJ246" s="9">
        <v>2</v>
      </c>
      <c r="AK246" s="10" t="str">
        <f t="shared" si="24"/>
        <v>普通</v>
      </c>
      <c r="AL246" s="14" t="str">
        <f ca="1">INDEX(経験値!$A$1:$I$20,MATCH(H246,経験値!$A$1:$A$20,FALSE),MATCH(G246,経験値!$A$1:$I$1,FALSE))</f>
        <v>required_exp_200</v>
      </c>
      <c r="AM246" s="11">
        <f ca="1">VLOOKUP(G246,経験値!$A$27:$B$31,2)</f>
        <v>3400</v>
      </c>
      <c r="AN246" s="21">
        <f ca="1">VLOOKUP(G246,ビット!$G$2:$H$7,2)</f>
        <v>600</v>
      </c>
      <c r="AO246" s="98" t="s">
        <v>178</v>
      </c>
      <c r="AP246" s="97">
        <v>325009</v>
      </c>
      <c r="AQ246" s="77" t="e">
        <f ca="1">VLOOKUP($AP246,OFFSET([1]unit_skills!$A$1,0,0,COUNTA([1]unit_skills!$A:$A),MATCH("name",[1]unit_skills!$1:$1,0)-MATCH($AP$1,[1]unit_skills!$1:$1,0)+1),MATCH("name",[1]unit_skills!$1:$1,0)-MATCH($AP$1,[1]unit_skills!$1:$1,0)+1,FALSE)</f>
        <v>#VALUE!</v>
      </c>
      <c r="AR246" s="77" t="e">
        <f ca="1">VLOOKUP($AP246,OFFSET([1]unit_skills!$A$1,0,0,COUNTA([1]unit_skills!$A:$A),MATCH("comment",[1]unit_skills!$1:$1,0)-MATCH($AP$1,[1]unit_skills!$1:$1,0)+1),MATCH("comment",[1]unit_skills!$1:$1,0)-MATCH($AP$1,[1]unit_skills!$1:$1,0)+1,FALSE)</f>
        <v>#VALUE!</v>
      </c>
      <c r="AS246" s="77" t="e">
        <f ca="1">VLOOKUP($AP246,OFFSET([1]unit_skills!$A$1,0,0,COUNTA([1]unit_skills!$A:$A),MATCH(AS$1,[1]unit_skills!$1:$1,0)-MATCH($AP$1,[1]unit_skills!$1:$1,0)+1),MATCH(AS$1,[1]unit_skills!$1:$1,0)-MATCH($AP$1,[1]unit_skills!$1:$1,0)+1,FALSE)</f>
        <v>#VALUE!</v>
      </c>
      <c r="AT246" s="97">
        <v>223003</v>
      </c>
      <c r="AU246" s="77" t="e">
        <f ca="1">VLOOKUP($AT246,OFFSET([1]crash_skills!$A$1,0,0,COUNTA([1]crash_skills!$A:$A),MATCH("name",[1]crash_skills!$1:$1,0)-MATCH($AT$1,[1]crash_skills!$1:$1,0)+1),MATCH("name",[1]crash_skills!$1:$1,0)-MATCH($AT$1,[1]crash_skills!$1:$1,0)+1,FALSE)</f>
        <v>#VALUE!</v>
      </c>
      <c r="AV246" s="77" t="e">
        <f ca="1">VLOOKUP($AT246,OFFSET([1]crash_skills!$A$1,0,0,COUNTA([1]crash_skills!$A:$A),MATCH("comment",[1]crash_skills!$1:$1,0)-MATCH($AT$1,[1]crash_skills!$1:$1,0)+1),MATCH("comment",[1]crash_skills!$1:$1,0)-MATCH($AT$1,[1]crash_skills!$1:$1,0)+1,FALSE)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46" s="77" t="e">
        <f ca="1">VLOOKUP($AT246,OFFSET([1]crash_skills!$A$1,0,0,COUNTA([1]crash_skills!$A:$A),MATCH(AW$1,[1]crash_skills!$1:$1,0)-MATCH($AT$1,[1]crash_skills!$1:$1,0)+1),MATCH(AW$1,[1]crash_skills!$1:$1,0)-MATCH($AT$1,[1]crash_skills!$1:$1,0)+1,FALSE)</f>
        <v>#VALUE!</v>
      </c>
      <c r="AX246" s="81">
        <f ca="1">VLOOKUP($A246,OFFSET([2]characters!$A$1,0,0,COUNTA([2]characters!$A:$A),MATCH(AX$1,[2]characters!$1:$1,0)-MATCH($A$1,[2]characters!$1:$1,0)+1),MATCH(AX$1,[2]characters!$1:$1,0)-MATCH($A$1,[2]characters!$1:$1,0)+1,FALSE)</f>
        <v>3</v>
      </c>
      <c r="AY246" s="19">
        <v>1</v>
      </c>
      <c r="AZ246" s="19">
        <v>1</v>
      </c>
      <c r="BA246" s="19">
        <v>0</v>
      </c>
      <c r="BB246" s="19">
        <v>1</v>
      </c>
      <c r="BC246" s="14">
        <f ca="1">INDEX('RC6SV'!$A$1:$G$20,MATCH(H246,'RC6SV'!$A$1:$A$20,FALSE),MATCH(G246,'RC6SV'!$A$1:$G$1,FALSE))</f>
        <v>7000</v>
      </c>
      <c r="BD246" s="63">
        <f t="shared" ca="1" si="25"/>
        <v>7000</v>
      </c>
      <c r="BE246" s="14">
        <f t="shared" ca="1" si="26"/>
        <v>5000</v>
      </c>
      <c r="BF246" s="14">
        <f t="shared" ca="1" si="27"/>
        <v>1</v>
      </c>
      <c r="BG246" s="20">
        <f ca="1">IF($BE246&lt;=0,ROUND(BK246*0.5,0), ROUND($BE246*S246*AA246*J246*AY246*0.8*[2]ステータス!$B$2,0))</f>
        <v>2000</v>
      </c>
      <c r="BH246" s="20">
        <f ca="1">IF($BE246&lt;=0,ROUND(BL246*0.5,0), ROUND($BE246*T246*AB246*K246*AZ246*0.8*[2]ステータス!$C$2,0))</f>
        <v>1176</v>
      </c>
      <c r="BI246" s="20">
        <f ca="1">IF($BE246&lt;=0,ROUND(BM246*0.5,0), ROUND($BE246*U246*AC246*L246*BA246*0.8*[2]ステータス!$D$2,0))</f>
        <v>0</v>
      </c>
      <c r="BJ246" s="20">
        <f ca="1">IF($BE246&lt;=0,ROUND(BN246*0.5,0), ROUND($BE246*V246*AD246*M246*BB246*0.8*[2]ステータス!$E$2,0))</f>
        <v>1020</v>
      </c>
      <c r="BK246" s="14">
        <f ca="1">ROUND(BD246*S246*AA246*J246*AY246*[2]ステータス!$B$2,0)</f>
        <v>3500</v>
      </c>
      <c r="BL246" s="14">
        <f ca="1">ROUND(BD246*T246*AB246*K246*AZ246*[2]ステータス!$C$2,0)</f>
        <v>2058</v>
      </c>
      <c r="BM246" s="14">
        <f ca="1">ROUND(BD246*U246*AC246*L246*BA246*[2]ステータス!$D$2,0)</f>
        <v>0</v>
      </c>
      <c r="BN246" s="14">
        <f ca="1">ROUND(BD246*V246*AD246*M246*BB246*[2]ステータス!$E$2,0)</f>
        <v>1785</v>
      </c>
      <c r="BO246" s="13">
        <v>0</v>
      </c>
      <c r="BP246" s="13">
        <v>1</v>
      </c>
      <c r="BQ246" s="13" t="s">
        <v>102</v>
      </c>
      <c r="BR246" s="13">
        <f ca="1">VLOOKUP(H246,ghosts_label!$A$2:$B$19,2,FALSE)</f>
        <v>700</v>
      </c>
    </row>
    <row r="247" spans="1:70" ht="21" customHeight="1" x14ac:dyDescent="0.15">
      <c r="A247" s="14">
        <f t="shared" ca="1" si="22"/>
        <v>246</v>
      </c>
      <c r="B247" s="77" t="str">
        <f ca="1">VLOOKUP($A247,OFFSET([2]characters!$A$1,0,0,COUNTA([2]characters!$A:$A),MATCH(B$1,[2]characters!$1:$1,0)-MATCH($A$1,[2]characters!$1:$1,0)+1),MATCH(B$1,[2]characters!$1:$1,0)-MATCH($A$1,[2]characters!$1:$1,0)+1,FALSE)</f>
        <v>真癒の天使 ラファエル・メディカ</v>
      </c>
      <c r="C247" s="77" t="str">
        <f ca="1">VLOOKUP($A247,OFFSET([2]characters!$A$1,0,0,COUNTA([2]characters!$A:$A),MATCH(C$1,[2]characters!$1:$1,0)-MATCH($A$1,[2]characters!$1:$1,0)+1),MATCH(C$1,[2]characters!$1:$1,0)-MATCH($A$1,[2]characters!$1:$1,0)+1,FALSE)</f>
        <v>ガチャ:天使01</v>
      </c>
      <c r="D247" s="77" t="str">
        <f ca="1">VLOOKUP($A247,OFFSET([2]characters!$A$1,0,0,COUNTA([2]characters!$A:$A),MATCH(D$1,[2]characters!$1:$1,0)-MATCH($A$1,[2]characters!$1:$1,0)+1),MATCH(D$1,[2]characters!$1:$1,0)-MATCH($A$1,[2]characters!$1:$1,0)+1,FALSE)</f>
        <v>管理者</v>
      </c>
      <c r="E247" s="77" t="str">
        <f ca="1">VLOOKUP($A247,OFFSET([2]characters!$A$1,0,0,COUNTA([2]characters!$A:$A),MATCH(E$1,[2]characters!$1:$1,0)-MATCH($A$1,[2]characters!$1:$1,0)+1),MATCH(E$1,[2]characters!$1:$1,0)-MATCH($A$1,[2]characters!$1:$1,0)+1,FALSE)</f>
        <v>美しい</v>
      </c>
      <c r="F247" s="77" t="str">
        <f ca="1">VLOOKUP($A247,OFFSET([2]characters!$A$1,0,0,COUNTA([2]characters!$A:$A),MATCH(F$1,[2]characters!$1:$1,0)-MATCH($A$1,[2]characters!$1:$1,0)+1),MATCH(F$1,[2]characters!$1:$1,0)-MATCH($A$1,[2]characters!$1:$1,0)+1,FALSE)</f>
        <v>女性</v>
      </c>
      <c r="G247" s="77">
        <f ca="1">VLOOKUP($A247,OFFSET([2]characters!$A$1,0,0,COUNTA([2]characters!$A:$A),MATCH(G$1,[2]characters!$1:$1,0)-MATCH($A$1,[2]characters!$1:$1,0)+1),MATCH(G$1,[2]characters!$1:$1,0)-MATCH($A$1,[2]characters!$1:$1,0)+1,FALSE)</f>
        <v>5</v>
      </c>
      <c r="H247" s="77" t="str">
        <f ca="1">VLOOKUP($A247,OFFSET([2]characters!$A$1,0,0,COUNTA([2]characters!$A:$A),MATCH(H$1,[2]characters!$1:$1,0)-MATCH($A$1,[2]characters!$1:$1,0)+1),MATCH(H$1,[2]characters!$1:$1,0)-MATCH($A$1,[2]characters!$1:$1,0)+1,FALSE)</f>
        <v>PremiumS</v>
      </c>
      <c r="I247" s="77" t="str">
        <f ca="1">VLOOKUP($A247,OFFSET([2]characters!$A$1,0,0,COUNTA([2]characters!$A:$A),MATCH(I$1,[2]characters!$1:$1,0)-MATCH($A$1,[2]characters!$1:$1,0)+1),MATCH(I$1,[2]characters!$1:$1,0)-MATCH($A$1,[2]characters!$1:$1,0)+1,FALSE)</f>
        <v>blue</v>
      </c>
      <c r="J247" s="14">
        <f ca="1">VLOOKUP(I247,[2]属性!$A:$E,2,FALSE)</f>
        <v>1</v>
      </c>
      <c r="K247" s="14">
        <f ca="1">VLOOKUP(I247,[2]属性!$A:$E,3,FALSE)</f>
        <v>0.98</v>
      </c>
      <c r="L247" s="14">
        <f ca="1">VLOOKUP(I247,[2]属性!$A:$E,4,FALSE)</f>
        <v>1</v>
      </c>
      <c r="M247" s="14">
        <f ca="1">VLOOKUP(I247,[2]属性!$A:$E,5,FALSE)</f>
        <v>1.02</v>
      </c>
      <c r="N247" s="14">
        <f ca="1">INDEX(コスト!$A$1:$I$20,MATCH(H247,コスト!$A$1:$A$20,FALSE),MATCH(G247,コスト!$A$1:$I$1,FALSE))</f>
        <v>30</v>
      </c>
      <c r="O247" s="14">
        <f ca="1">INDEX(レベル!$A$1:$I$21,MATCH(H247,レベル!$A$1:$A$21,FALSE),MATCH(G247,レベル!$A$1:$I$1,FALSE))</f>
        <v>80</v>
      </c>
      <c r="P247" s="63">
        <f t="shared" ca="1" si="28"/>
        <v>75</v>
      </c>
      <c r="Q247" s="77" t="str">
        <f ca="1">VLOOKUP($A247,OFFSET([2]characters!$A$1,0,0,COUNTA([2]characters!$A:$A),MATCH(Q$1,[2]characters!$1:$1,0)-MATCH($A$1,[2]characters!$1:$1,0)+1),MATCH(Q$1,[2]characters!$1:$1,0)-MATCH($A$1,[2]characters!$1:$1,0)+1,FALSE)</f>
        <v>balance</v>
      </c>
      <c r="R247" s="8" t="str">
        <f ca="1">VLOOKUP(Q247,[2]character_type_i18n!$A:$H,3,FALSE)</f>
        <v>バランスタイプ</v>
      </c>
      <c r="S247" s="14">
        <f ca="1">VLOOKUP(Q247,[2]character_type_i18n!$A:$H,4,FALSE)</f>
        <v>1</v>
      </c>
      <c r="T247" s="14">
        <f ca="1">VLOOKUP(Q247,[2]character_type_i18n!$A:$H,5,FALSE)</f>
        <v>1</v>
      </c>
      <c r="U247" s="14">
        <f ca="1">VLOOKUP(Q247,[2]character_type_i18n!$A:$H,6,FALSE)</f>
        <v>1</v>
      </c>
      <c r="V247" s="14">
        <f ca="1">VLOOKUP(Q247,[2]character_type_i18n!$A:$H,7,FALSE)</f>
        <v>1</v>
      </c>
      <c r="W247" s="77" t="str">
        <f ca="1">VLOOKUP($A247,OFFSET([2]characters!$A$1,0,0,COUNTA([2]characters!$A:$A),MATCH(W$1,[2]characters!$1:$1,0)-MATCH($A$1,[2]characters!$1:$1,0)+1),MATCH(W$1,[2]characters!$1:$1,0)-MATCH($A$1,[2]characters!$1:$1,0)+1,FALSE)</f>
        <v>machine</v>
      </c>
      <c r="X247" s="8" t="str">
        <f ca="1">VLOOKUP(W247,[2]character_tribe_i18n!$A:$H,3,FALSE)</f>
        <v>マシン</v>
      </c>
      <c r="Y247" s="77" t="str">
        <f ca="1">VLOOKUP($A247,OFFSET([2]characters!$A$1,0,0,COUNTA([2]characters!$A:$A),MATCH(Y$1,[2]characters!$1:$1,0)-MATCH($A$1,[2]characters!$1:$1,0)+1),MATCH(Y$1,[2]characters!$1:$1,0)-MATCH($A$1,[2]characters!$1:$1,0)+1,FALSE)</f>
        <v>god</v>
      </c>
      <c r="Z247" s="8" t="str">
        <f ca="1">VLOOKUP(Y247,[2]character_tribe_i18n!$A:$H,3,FALSE)</f>
        <v>ゴッド</v>
      </c>
      <c r="AA247" s="14">
        <f ca="1">VLOOKUP(W247,[2]character_tribe_i18n!$A:$H,4,FALSE)</f>
        <v>1</v>
      </c>
      <c r="AB247" s="14">
        <f ca="1">VLOOKUP(W247,[2]character_tribe_i18n!$A:$H,5,FALSE)</f>
        <v>1</v>
      </c>
      <c r="AC247" s="14">
        <f ca="1">VLOOKUP(W247,[2]character_tribe_i18n!$A:$H,6,FALSE)</f>
        <v>1</v>
      </c>
      <c r="AD247" s="14">
        <f ca="1">VLOOKUP(W247,[2]character_tribe_i18n!$A:$H,7,FALSE)</f>
        <v>1</v>
      </c>
      <c r="AE247" s="12" t="s">
        <v>102</v>
      </c>
      <c r="AF247" s="85" t="str">
        <f ca="1">IF(AE247="NULL","",VLOOKUP($AE247,OFFSET([2]characters!$A$1,0,0,COUNTA([2]characters!$A:$A),MATCH(AF$1,[2]characters!$1:$1,0)-MATCH($A$1,[2]characters!$1:$1,0)+1),MATCH(AF$1,[2]characters!$1:$1,0)-MATCH($A$1,[2]characters!$1:$1,0)+1,FALSE))</f>
        <v/>
      </c>
      <c r="AG247" s="8">
        <f t="shared" ca="1" si="23"/>
        <v>244</v>
      </c>
      <c r="AH247" s="85" t="str">
        <f ca="1">VLOOKUP($AG247,OFFSET([2]characters!$A$1,0,0,COUNTA([2]characters!$A:$A),MATCH(AH$1,[2]characters!$1:$1,0)-MATCH($A$1,[2]characters!$1:$1,0)+1),MATCH(AH$1,[2]characters!$1:$1,0)-MATCH($A$1,[2]characters!$1:$1,0)+1,FALSE)</f>
        <v>ラファエル</v>
      </c>
      <c r="AI247" s="14" t="str">
        <f>IF(AE247="NULL","NULL",VLOOKUP(G247,ビット!$A$2:$B$7,2))</f>
        <v>NULL</v>
      </c>
      <c r="AJ247" s="9">
        <v>2</v>
      </c>
      <c r="AK247" s="10" t="str">
        <f t="shared" si="24"/>
        <v>普通</v>
      </c>
      <c r="AL247" s="14" t="str">
        <f ca="1">INDEX(経験値!$A$1:$I$20,MATCH(H247,経験値!$A$1:$A$20,FALSE),MATCH(G247,経験値!$A$1:$I$1,FALSE))</f>
        <v>required_exp_200</v>
      </c>
      <c r="AM247" s="11">
        <f ca="1">VLOOKUP(G247,経験値!$A$27:$B$31,2)</f>
        <v>6400</v>
      </c>
      <c r="AN247" s="21">
        <f ca="1">VLOOKUP(G247,ビット!$G$2:$H$7,2)</f>
        <v>900</v>
      </c>
      <c r="AO247" s="98" t="s">
        <v>178</v>
      </c>
      <c r="AP247" s="97">
        <v>325010</v>
      </c>
      <c r="AQ247" s="77" t="e">
        <f ca="1">VLOOKUP($AP247,OFFSET([1]unit_skills!$A$1,0,0,COUNTA([1]unit_skills!$A:$A),MATCH("name",[1]unit_skills!$1:$1,0)-MATCH($AP$1,[1]unit_skills!$1:$1,0)+1),MATCH("name",[1]unit_skills!$1:$1,0)-MATCH($AP$1,[1]unit_skills!$1:$1,0)+1,FALSE)</f>
        <v>#VALUE!</v>
      </c>
      <c r="AR247" s="77" t="e">
        <f ca="1">VLOOKUP($AP247,OFFSET([1]unit_skills!$A$1,0,0,COUNTA([1]unit_skills!$A:$A),MATCH("comment",[1]unit_skills!$1:$1,0)-MATCH($AP$1,[1]unit_skills!$1:$1,0)+1),MATCH("comment",[1]unit_skills!$1:$1,0)-MATCH($AP$1,[1]unit_skills!$1:$1,0)+1,FALSE)</f>
        <v>#VALUE!</v>
      </c>
      <c r="AS247" s="77" t="e">
        <f ca="1">VLOOKUP($AP247,OFFSET([1]unit_skills!$A$1,0,0,COUNTA([1]unit_skills!$A:$A),MATCH(AS$1,[1]unit_skills!$1:$1,0)-MATCH($AP$1,[1]unit_skills!$1:$1,0)+1),MATCH(AS$1,[1]unit_skills!$1:$1,0)-MATCH($AP$1,[1]unit_skills!$1:$1,0)+1,FALSE)</f>
        <v>#VALUE!</v>
      </c>
      <c r="AT247" s="97">
        <v>223004</v>
      </c>
      <c r="AU247" s="77" t="e">
        <f ca="1">VLOOKUP($AT247,OFFSET([1]crash_skills!$A$1,0,0,COUNTA([1]crash_skills!$A:$A),MATCH("name",[1]crash_skills!$1:$1,0)-MATCH($AT$1,[1]crash_skills!$1:$1,0)+1),MATCH("name",[1]crash_skills!$1:$1,0)-MATCH($AT$1,[1]crash_skills!$1:$1,0)+1,FALSE)</f>
        <v>#VALUE!</v>
      </c>
      <c r="AV247" s="77" t="e">
        <f ca="1">VLOOKUP($AT247,OFFSET([1]crash_skills!$A$1,0,0,COUNTA([1]crash_skills!$A:$A),MATCH("comment",[1]crash_skills!$1:$1,0)-MATCH($AT$1,[1]crash_skills!$1:$1,0)+1),MATCH("comment",[1]crash_skills!$1:$1,0)-MATCH($AT$1,[1]crash_skills!$1:$1,0)+1,FALSE)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47" s="77" t="e">
        <f ca="1">VLOOKUP($AT247,OFFSET([1]crash_skills!$A$1,0,0,COUNTA([1]crash_skills!$A:$A),MATCH(AW$1,[1]crash_skills!$1:$1,0)-MATCH($AT$1,[1]crash_skills!$1:$1,0)+1),MATCH(AW$1,[1]crash_skills!$1:$1,0)-MATCH($AT$1,[1]crash_skills!$1:$1,0)+1,FALSE)</f>
        <v>#VALUE!</v>
      </c>
      <c r="AX247" s="81">
        <f ca="1">VLOOKUP($A247,OFFSET([2]characters!$A$1,0,0,COUNTA([2]characters!$A:$A),MATCH(AX$1,[2]characters!$1:$1,0)-MATCH($A$1,[2]characters!$1:$1,0)+1),MATCH(AX$1,[2]characters!$1:$1,0)-MATCH($A$1,[2]characters!$1:$1,0)+1,FALSE)</f>
        <v>3</v>
      </c>
      <c r="AY247" s="19">
        <v>1</v>
      </c>
      <c r="AZ247" s="19">
        <v>1</v>
      </c>
      <c r="BA247" s="19">
        <v>0</v>
      </c>
      <c r="BB247" s="19">
        <v>1</v>
      </c>
      <c r="BC247" s="14">
        <f ca="1">INDEX('RC6SV'!$A$1:$G$20,MATCH(H247,'RC6SV'!$A$1:$A$20,FALSE),MATCH(G247,'RC6SV'!$A$1:$G$1,FALSE))</f>
        <v>9000</v>
      </c>
      <c r="BD247" s="63">
        <f t="shared" ca="1" si="25"/>
        <v>9000</v>
      </c>
      <c r="BE247" s="14">
        <f t="shared" ca="1" si="26"/>
        <v>7000</v>
      </c>
      <c r="BF247" s="14">
        <f t="shared" ca="1" si="27"/>
        <v>1</v>
      </c>
      <c r="BG247" s="20">
        <f ca="1">IF($BE247&lt;=0,ROUND(BK247*0.5,0), ROUND($BE247*S247*AA247*J247*AY247*0.8*[2]ステータス!$B$2,0))</f>
        <v>2800</v>
      </c>
      <c r="BH247" s="20">
        <f ca="1">IF($BE247&lt;=0,ROUND(BL247*0.5,0), ROUND($BE247*T247*AB247*K247*AZ247*0.8*[2]ステータス!$C$2,0))</f>
        <v>1646</v>
      </c>
      <c r="BI247" s="20">
        <f ca="1">IF($BE247&lt;=0,ROUND(BM247*0.5,0), ROUND($BE247*U247*AC247*L247*BA247*0.8*[2]ステータス!$D$2,0))</f>
        <v>0</v>
      </c>
      <c r="BJ247" s="20">
        <f ca="1">IF($BE247&lt;=0,ROUND(BN247*0.5,0), ROUND($BE247*V247*AD247*M247*BB247*0.8*[2]ステータス!$E$2,0))</f>
        <v>1428</v>
      </c>
      <c r="BK247" s="14">
        <f ca="1">ROUND(BD247*S247*AA247*J247*AY247*[2]ステータス!$B$2,0)</f>
        <v>4500</v>
      </c>
      <c r="BL247" s="14">
        <f ca="1">ROUND(BD247*T247*AB247*K247*AZ247*[2]ステータス!$C$2,0)</f>
        <v>2646</v>
      </c>
      <c r="BM247" s="14">
        <f ca="1">ROUND(BD247*U247*AC247*L247*BA247*[2]ステータス!$D$2,0)</f>
        <v>0</v>
      </c>
      <c r="BN247" s="14">
        <f ca="1">ROUND(BD247*V247*AD247*M247*BB247*[2]ステータス!$E$2,0)</f>
        <v>2295</v>
      </c>
      <c r="BO247" s="13">
        <v>0</v>
      </c>
      <c r="BP247" s="13">
        <v>1</v>
      </c>
      <c r="BQ247" s="13" t="s">
        <v>102</v>
      </c>
      <c r="BR247" s="13">
        <f ca="1">VLOOKUP(H247,ghosts_label!$A$2:$B$19,2,FALSE)</f>
        <v>700</v>
      </c>
    </row>
    <row r="248" spans="1:70" ht="21" customHeight="1" x14ac:dyDescent="0.15">
      <c r="A248" s="14">
        <f t="shared" ca="1" si="22"/>
        <v>247</v>
      </c>
      <c r="B248" s="77" t="str">
        <f ca="1">VLOOKUP($A248,OFFSET([2]characters!$A$1,0,0,COUNTA([2]characters!$A:$A),MATCH(B$1,[2]characters!$1:$1,0)-MATCH($A$1,[2]characters!$1:$1,0)+1),MATCH(B$1,[2]characters!$1:$1,0)-MATCH($A$1,[2]characters!$1:$1,0)+1,FALSE)</f>
        <v>ミカエル</v>
      </c>
      <c r="C248" s="77" t="str">
        <f ca="1">VLOOKUP($A248,OFFSET([2]characters!$A$1,0,0,COUNTA([2]characters!$A:$A),MATCH(C$1,[2]characters!$1:$1,0)-MATCH($A$1,[2]characters!$1:$1,0)+1),MATCH(C$1,[2]characters!$1:$1,0)-MATCH($A$1,[2]characters!$1:$1,0)+1,FALSE)</f>
        <v>ガチャ:天使01</v>
      </c>
      <c r="D248" s="77" t="str">
        <f ca="1">VLOOKUP($A248,OFFSET([2]characters!$A$1,0,0,COUNTA([2]characters!$A:$A),MATCH(D$1,[2]characters!$1:$1,0)-MATCH($A$1,[2]characters!$1:$1,0)+1),MATCH(D$1,[2]characters!$1:$1,0)-MATCH($A$1,[2]characters!$1:$1,0)+1,FALSE)</f>
        <v>管理者</v>
      </c>
      <c r="E248" s="77" t="str">
        <f ca="1">VLOOKUP($A248,OFFSET([2]characters!$A$1,0,0,COUNTA([2]characters!$A:$A),MATCH(E$1,[2]characters!$1:$1,0)-MATCH($A$1,[2]characters!$1:$1,0)+1),MATCH(E$1,[2]characters!$1:$1,0)-MATCH($A$1,[2]characters!$1:$1,0)+1,FALSE)</f>
        <v>可愛い</v>
      </c>
      <c r="F248" s="77" t="str">
        <f ca="1">VLOOKUP($A248,OFFSET([2]characters!$A$1,0,0,COUNTA([2]characters!$A:$A),MATCH(F$1,[2]characters!$1:$1,0)-MATCH($A$1,[2]characters!$1:$1,0)+1),MATCH(F$1,[2]characters!$1:$1,0)-MATCH($A$1,[2]characters!$1:$1,0)+1,FALSE)</f>
        <v>女性</v>
      </c>
      <c r="G248" s="77">
        <f ca="1">VLOOKUP($A248,OFFSET([2]characters!$A$1,0,0,COUNTA([2]characters!$A:$A),MATCH(G$1,[2]characters!$1:$1,0)-MATCH($A$1,[2]characters!$1:$1,0)+1),MATCH(G$1,[2]characters!$1:$1,0)-MATCH($A$1,[2]characters!$1:$1,0)+1,FALSE)</f>
        <v>3</v>
      </c>
      <c r="H248" s="77" t="str">
        <f ca="1">VLOOKUP($A248,OFFSET([2]characters!$A$1,0,0,COUNTA([2]characters!$A:$A),MATCH(H$1,[2]characters!$1:$1,0)-MATCH($A$1,[2]characters!$1:$1,0)+1),MATCH(H$1,[2]characters!$1:$1,0)-MATCH($A$1,[2]characters!$1:$1,0)+1,FALSE)</f>
        <v>PremiumS</v>
      </c>
      <c r="I248" s="77" t="str">
        <f ca="1">VLOOKUP($A248,OFFSET([2]characters!$A$1,0,0,COUNTA([2]characters!$A:$A),MATCH(I$1,[2]characters!$1:$1,0)-MATCH($A$1,[2]characters!$1:$1,0)+1),MATCH(I$1,[2]characters!$1:$1,0)-MATCH($A$1,[2]characters!$1:$1,0)+1,FALSE)</f>
        <v>yellow</v>
      </c>
      <c r="J248" s="14">
        <f ca="1">VLOOKUP(I248,[2]属性!$A:$E,2,FALSE)</f>
        <v>0.98</v>
      </c>
      <c r="K248" s="14">
        <f ca="1">VLOOKUP(I248,[2]属性!$A:$E,3,FALSE)</f>
        <v>1.01</v>
      </c>
      <c r="L248" s="14">
        <f ca="1">VLOOKUP(I248,[2]属性!$A:$E,4,FALSE)</f>
        <v>1</v>
      </c>
      <c r="M248" s="14">
        <f ca="1">VLOOKUP(I248,[2]属性!$A:$E,5,FALSE)</f>
        <v>1.01</v>
      </c>
      <c r="N248" s="14">
        <f ca="1">INDEX(コスト!$A$1:$I$20,MATCH(H248,コスト!$A$1:$A$20,FALSE),MATCH(G248,コスト!$A$1:$I$1,FALSE))</f>
        <v>10</v>
      </c>
      <c r="O248" s="14">
        <f ca="1">INDEX(レベル!$A$1:$I$21,MATCH(H248,レベル!$A$1:$A$21,FALSE),MATCH(G248,レベル!$A$1:$I$1,FALSE))</f>
        <v>40</v>
      </c>
      <c r="P248" s="63">
        <f t="shared" ca="1" si="28"/>
        <v>45</v>
      </c>
      <c r="Q248" s="77" t="str">
        <f ca="1">VLOOKUP($A248,OFFSET([2]characters!$A$1,0,0,COUNTA([2]characters!$A:$A),MATCH(Q$1,[2]characters!$1:$1,0)-MATCH($A$1,[2]characters!$1:$1,0)+1),MATCH(Q$1,[2]characters!$1:$1,0)-MATCH($A$1,[2]characters!$1:$1,0)+1,FALSE)</f>
        <v>attack</v>
      </c>
      <c r="R248" s="8" t="str">
        <f ca="1">VLOOKUP(Q248,[2]character_type_i18n!$A:$H,3,FALSE)</f>
        <v>攻撃タイプ</v>
      </c>
      <c r="S248" s="14">
        <f ca="1">VLOOKUP(Q248,[2]character_type_i18n!$A:$H,4,FALSE)</f>
        <v>1</v>
      </c>
      <c r="T248" s="14">
        <f ca="1">VLOOKUP(Q248,[2]character_type_i18n!$A:$H,5,FALSE)</f>
        <v>1.33</v>
      </c>
      <c r="U248" s="14">
        <f ca="1">VLOOKUP(Q248,[2]character_type_i18n!$A:$H,6,FALSE)</f>
        <v>1</v>
      </c>
      <c r="V248" s="14">
        <f ca="1">VLOOKUP(Q248,[2]character_type_i18n!$A:$H,7,FALSE)</f>
        <v>0.67</v>
      </c>
      <c r="W248" s="77" t="str">
        <f ca="1">VLOOKUP($A248,OFFSET([2]characters!$A$1,0,0,COUNTA([2]characters!$A:$A),MATCH(W$1,[2]characters!$1:$1,0)-MATCH($A$1,[2]characters!$1:$1,0)+1),MATCH(W$1,[2]characters!$1:$1,0)-MATCH($A$1,[2]characters!$1:$1,0)+1,FALSE)</f>
        <v>machine</v>
      </c>
      <c r="X248" s="8" t="str">
        <f ca="1">VLOOKUP(W248,[2]character_tribe_i18n!$A:$H,3,FALSE)</f>
        <v>マシン</v>
      </c>
      <c r="Y248" s="77" t="str">
        <f ca="1">VLOOKUP($A248,OFFSET([2]characters!$A$1,0,0,COUNTA([2]characters!$A:$A),MATCH(Y$1,[2]characters!$1:$1,0)-MATCH($A$1,[2]characters!$1:$1,0)+1),MATCH(Y$1,[2]characters!$1:$1,0)-MATCH($A$1,[2]characters!$1:$1,0)+1,FALSE)</f>
        <v>god</v>
      </c>
      <c r="Z248" s="8" t="str">
        <f ca="1">VLOOKUP(Y248,[2]character_tribe_i18n!$A:$H,3,FALSE)</f>
        <v>ゴッド</v>
      </c>
      <c r="AA248" s="14">
        <f ca="1">VLOOKUP(W248,[2]character_tribe_i18n!$A:$H,4,FALSE)</f>
        <v>1</v>
      </c>
      <c r="AB248" s="14">
        <f ca="1">VLOOKUP(W248,[2]character_tribe_i18n!$A:$H,5,FALSE)</f>
        <v>1</v>
      </c>
      <c r="AC248" s="14">
        <f ca="1">VLOOKUP(W248,[2]character_tribe_i18n!$A:$H,6,FALSE)</f>
        <v>1</v>
      </c>
      <c r="AD248" s="14">
        <f ca="1">VLOOKUP(W248,[2]character_tribe_i18n!$A:$H,7,FALSE)</f>
        <v>1</v>
      </c>
      <c r="AE248" s="12">
        <v>248</v>
      </c>
      <c r="AF248" s="85" t="str">
        <f ca="1">IF(AE248="NULL","",VLOOKUP($AE248,OFFSET([2]characters!$A$1,0,0,COUNTA([2]characters!$A:$A),MATCH(AF$1,[2]characters!$1:$1,0)-MATCH($A$1,[2]characters!$1:$1,0)+1),MATCH(AF$1,[2]characters!$1:$1,0)-MATCH($A$1,[2]characters!$1:$1,0)+1,FALSE))</f>
        <v>彩電の天使 ミカエル</v>
      </c>
      <c r="AG248" s="8">
        <f t="shared" ca="1" si="23"/>
        <v>247</v>
      </c>
      <c r="AH248" s="85" t="str">
        <f ca="1">VLOOKUP($AG248,OFFSET([2]characters!$A$1,0,0,COUNTA([2]characters!$A:$A),MATCH(AH$1,[2]characters!$1:$1,0)-MATCH($A$1,[2]characters!$1:$1,0)+1),MATCH(AH$1,[2]characters!$1:$1,0)-MATCH($A$1,[2]characters!$1:$1,0)+1,FALSE)</f>
        <v>ミカエル</v>
      </c>
      <c r="AI248" s="14">
        <f ca="1">IF(AE248="NULL","NULL",VLOOKUP(G248,ビット!$A$2:$B$7,2))</f>
        <v>20000</v>
      </c>
      <c r="AJ248" s="9">
        <v>2</v>
      </c>
      <c r="AK248" s="10" t="str">
        <f t="shared" si="24"/>
        <v>普通</v>
      </c>
      <c r="AL248" s="14" t="str">
        <f ca="1">INDEX(経験値!$A$1:$I$20,MATCH(H248,経験値!$A$1:$A$20,FALSE),MATCH(G248,経験値!$A$1:$I$1,FALSE))</f>
        <v>required_exp_200</v>
      </c>
      <c r="AM248" s="11">
        <f ca="1">VLOOKUP(G248,経験値!$A$27:$B$31,2)</f>
        <v>1500</v>
      </c>
      <c r="AN248" s="21">
        <f ca="1">VLOOKUP(G248,ビット!$G$2:$H$7,2)</f>
        <v>300</v>
      </c>
      <c r="AO248" s="98" t="s">
        <v>185</v>
      </c>
      <c r="AP248" s="97">
        <v>114005</v>
      </c>
      <c r="AQ248" s="77" t="e">
        <f ca="1">VLOOKUP($AP248,OFFSET([1]unit_skills!$A$1,0,0,COUNTA([1]unit_skills!$A:$A),MATCH("name",[1]unit_skills!$1:$1,0)-MATCH($AP$1,[1]unit_skills!$1:$1,0)+1),MATCH("name",[1]unit_skills!$1:$1,0)-MATCH($AP$1,[1]unit_skills!$1:$1,0)+1,FALSE)</f>
        <v>#VALUE!</v>
      </c>
      <c r="AR248" s="77" t="e">
        <f ca="1">VLOOKUP($AP248,OFFSET([1]unit_skills!$A$1,0,0,COUNTA([1]unit_skills!$A:$A),MATCH("comment",[1]unit_skills!$1:$1,0)-MATCH($AP$1,[1]unit_skills!$1:$1,0)+1),MATCH("comment",[1]unit_skills!$1:$1,0)-MATCH($AP$1,[1]unit_skills!$1:$1,0)+1,FALSE)</f>
        <v>#VALUE!</v>
      </c>
      <c r="AS248" s="77" t="e">
        <f ca="1">VLOOKUP($AP248,OFFSET([1]unit_skills!$A$1,0,0,COUNTA([1]unit_skills!$A:$A),MATCH(AS$1,[1]unit_skills!$1:$1,0)-MATCH($AP$1,[1]unit_skills!$1:$1,0)+1),MATCH(AS$1,[1]unit_skills!$1:$1,0)-MATCH($AP$1,[1]unit_skills!$1:$1,0)+1,FALSE)</f>
        <v>#VALUE!</v>
      </c>
      <c r="AT248" s="97">
        <v>124003</v>
      </c>
      <c r="AU248" s="77" t="e">
        <f ca="1">VLOOKUP($AT248,OFFSET([1]crash_skills!$A$1,0,0,COUNTA([1]crash_skills!$A:$A),MATCH("name",[1]crash_skills!$1:$1,0)-MATCH($AT$1,[1]crash_skills!$1:$1,0)+1),MATCH("name",[1]crash_skills!$1:$1,0)-MATCH($AT$1,[1]crash_skills!$1:$1,0)+1,FALSE)</f>
        <v>#VALUE!</v>
      </c>
      <c r="AV248" s="77" t="e">
        <f ca="1">VLOOKUP($AT248,OFFSET([1]crash_skills!$A$1,0,0,COUNTA([1]crash_skills!$A:$A),MATCH("comment",[1]crash_skills!$1:$1,0)-MATCH($AT$1,[1]crash_skills!$1:$1,0)+1),MATCH("comment",[1]crash_skills!$1:$1,0)-MATCH($AT$1,[1]crash_skills!$1:$1,0)+1,FALSE)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48" s="77" t="e">
        <f ca="1">VLOOKUP($AT248,OFFSET([1]crash_skills!$A$1,0,0,COUNTA([1]crash_skills!$A:$A),MATCH(AW$1,[1]crash_skills!$1:$1,0)-MATCH($AT$1,[1]crash_skills!$1:$1,0)+1),MATCH(AW$1,[1]crash_skills!$1:$1,0)-MATCH($AT$1,[1]crash_skills!$1:$1,0)+1,FALSE)</f>
        <v>#VALUE!</v>
      </c>
      <c r="AX248" s="81">
        <f ca="1">VLOOKUP($A248,OFFSET([2]characters!$A$1,0,0,COUNTA([2]characters!$A:$A),MATCH(AX$1,[2]characters!$1:$1,0)-MATCH($A$1,[2]characters!$1:$1,0)+1),MATCH(AX$1,[2]characters!$1:$1,0)-MATCH($A$1,[2]characters!$1:$1,0)+1,FALSE)</f>
        <v>3</v>
      </c>
      <c r="AY248" s="19">
        <v>1</v>
      </c>
      <c r="AZ248" s="19">
        <v>1</v>
      </c>
      <c r="BA248" s="19">
        <v>0</v>
      </c>
      <c r="BB248" s="19">
        <v>1</v>
      </c>
      <c r="BC248" s="14">
        <f ca="1">INDEX('RC6SV'!$A$1:$G$20,MATCH(H248,'RC6SV'!$A$1:$A$20,FALSE),MATCH(G248,'RC6SV'!$A$1:$G$1,FALSE))</f>
        <v>5000</v>
      </c>
      <c r="BD248" s="63">
        <f t="shared" ca="1" si="25"/>
        <v>5000</v>
      </c>
      <c r="BE248" s="14">
        <f t="shared" ca="1" si="26"/>
        <v>0</v>
      </c>
      <c r="BF248" s="14">
        <f t="shared" ca="1" si="27"/>
        <v>1</v>
      </c>
      <c r="BG248" s="20">
        <f ca="1">IF($BE248&lt;=0,ROUND(BK248*0.5,0), ROUND($BE248*S248*AA248*J248*AY248*0.8*[2]ステータス!$B$2,0))</f>
        <v>1225</v>
      </c>
      <c r="BH248" s="20">
        <f ca="1">IF($BE248&lt;=0,ROUND(BL248*0.5,0), ROUND($BE248*T248*AB248*K248*AZ248*0.8*[2]ステータス!$C$2,0))</f>
        <v>1008</v>
      </c>
      <c r="BI248" s="20">
        <f ca="1">IF($BE248&lt;=0,ROUND(BM248*0.5,0), ROUND($BE248*U248*AC248*L248*BA248*0.8*[2]ステータス!$D$2,0))</f>
        <v>0</v>
      </c>
      <c r="BJ248" s="20">
        <f ca="1">IF($BE248&lt;=0,ROUND(BN248*0.5,0), ROUND($BE248*V248*AD248*M248*BB248*0.8*[2]ステータス!$E$2,0))</f>
        <v>423</v>
      </c>
      <c r="BK248" s="14">
        <f ca="1">ROUND(BD248*S248*AA248*J248*AY248*[2]ステータス!$B$2,0)</f>
        <v>2450</v>
      </c>
      <c r="BL248" s="14">
        <f ca="1">ROUND(BD248*T248*AB248*K248*AZ248*[2]ステータス!$C$2,0)</f>
        <v>2015</v>
      </c>
      <c r="BM248" s="14">
        <f ca="1">ROUND(BD248*U248*AC248*L248*BA248*[2]ステータス!$D$2,0)</f>
        <v>0</v>
      </c>
      <c r="BN248" s="14">
        <f ca="1">ROUND(BD248*V248*AD248*M248*BB248*[2]ステータス!$E$2,0)</f>
        <v>846</v>
      </c>
      <c r="BO248" s="13">
        <v>0</v>
      </c>
      <c r="BP248" s="13">
        <v>1</v>
      </c>
      <c r="BQ248" s="13" t="s">
        <v>102</v>
      </c>
      <c r="BR248" s="13">
        <f ca="1">VLOOKUP(H248,ghosts_label!$A$2:$B$19,2,FALSE)</f>
        <v>700</v>
      </c>
    </row>
    <row r="249" spans="1:70" ht="21" customHeight="1" x14ac:dyDescent="0.15">
      <c r="A249" s="14">
        <f t="shared" ca="1" si="22"/>
        <v>248</v>
      </c>
      <c r="B249" s="77" t="str">
        <f ca="1">VLOOKUP($A249,OFFSET([2]characters!$A$1,0,0,COUNTA([2]characters!$A:$A),MATCH(B$1,[2]characters!$1:$1,0)-MATCH($A$1,[2]characters!$1:$1,0)+1),MATCH(B$1,[2]characters!$1:$1,0)-MATCH($A$1,[2]characters!$1:$1,0)+1,FALSE)</f>
        <v>彩電の天使 ミカエル</v>
      </c>
      <c r="C249" s="77" t="str">
        <f ca="1">VLOOKUP($A249,OFFSET([2]characters!$A$1,0,0,COUNTA([2]characters!$A:$A),MATCH(C$1,[2]characters!$1:$1,0)-MATCH($A$1,[2]characters!$1:$1,0)+1),MATCH(C$1,[2]characters!$1:$1,0)-MATCH($A$1,[2]characters!$1:$1,0)+1,FALSE)</f>
        <v>ガチャ:天使01</v>
      </c>
      <c r="D249" s="77" t="str">
        <f ca="1">VLOOKUP($A249,OFFSET([2]characters!$A$1,0,0,COUNTA([2]characters!$A:$A),MATCH(D$1,[2]characters!$1:$1,0)-MATCH($A$1,[2]characters!$1:$1,0)+1),MATCH(D$1,[2]characters!$1:$1,0)-MATCH($A$1,[2]characters!$1:$1,0)+1,FALSE)</f>
        <v>管理者</v>
      </c>
      <c r="E249" s="77" t="str">
        <f ca="1">VLOOKUP($A249,OFFSET([2]characters!$A$1,0,0,COUNTA([2]characters!$A:$A),MATCH(E$1,[2]characters!$1:$1,0)-MATCH($A$1,[2]characters!$1:$1,0)+1),MATCH(E$1,[2]characters!$1:$1,0)-MATCH($A$1,[2]characters!$1:$1,0)+1,FALSE)</f>
        <v>可愛い</v>
      </c>
      <c r="F249" s="77" t="str">
        <f ca="1">VLOOKUP($A249,OFFSET([2]characters!$A$1,0,0,COUNTA([2]characters!$A:$A),MATCH(F$1,[2]characters!$1:$1,0)-MATCH($A$1,[2]characters!$1:$1,0)+1),MATCH(F$1,[2]characters!$1:$1,0)-MATCH($A$1,[2]characters!$1:$1,0)+1,FALSE)</f>
        <v>女性</v>
      </c>
      <c r="G249" s="77">
        <f ca="1">VLOOKUP($A249,OFFSET([2]characters!$A$1,0,0,COUNTA([2]characters!$A:$A),MATCH(G$1,[2]characters!$1:$1,0)-MATCH($A$1,[2]characters!$1:$1,0)+1),MATCH(G$1,[2]characters!$1:$1,0)-MATCH($A$1,[2]characters!$1:$1,0)+1,FALSE)</f>
        <v>4</v>
      </c>
      <c r="H249" s="77" t="str">
        <f ca="1">VLOOKUP($A249,OFFSET([2]characters!$A$1,0,0,COUNTA([2]characters!$A:$A),MATCH(H$1,[2]characters!$1:$1,0)-MATCH($A$1,[2]characters!$1:$1,0)+1),MATCH(H$1,[2]characters!$1:$1,0)-MATCH($A$1,[2]characters!$1:$1,0)+1,FALSE)</f>
        <v>PremiumS</v>
      </c>
      <c r="I249" s="77" t="str">
        <f ca="1">VLOOKUP($A249,OFFSET([2]characters!$A$1,0,0,COUNTA([2]characters!$A:$A),MATCH(I$1,[2]characters!$1:$1,0)-MATCH($A$1,[2]characters!$1:$1,0)+1),MATCH(I$1,[2]characters!$1:$1,0)-MATCH($A$1,[2]characters!$1:$1,0)+1,FALSE)</f>
        <v>yellow</v>
      </c>
      <c r="J249" s="14">
        <f ca="1">VLOOKUP(I249,[2]属性!$A:$E,2,FALSE)</f>
        <v>0.98</v>
      </c>
      <c r="K249" s="14">
        <f ca="1">VLOOKUP(I249,[2]属性!$A:$E,3,FALSE)</f>
        <v>1.01</v>
      </c>
      <c r="L249" s="14">
        <f ca="1">VLOOKUP(I249,[2]属性!$A:$E,4,FALSE)</f>
        <v>1</v>
      </c>
      <c r="M249" s="14">
        <f ca="1">VLOOKUP(I249,[2]属性!$A:$E,5,FALSE)</f>
        <v>1.01</v>
      </c>
      <c r="N249" s="14">
        <f ca="1">INDEX(コスト!$A$1:$I$20,MATCH(H249,コスト!$A$1:$A$20,FALSE),MATCH(G249,コスト!$A$1:$I$1,FALSE))</f>
        <v>20</v>
      </c>
      <c r="O249" s="14">
        <f ca="1">INDEX(レベル!$A$1:$I$21,MATCH(H249,レベル!$A$1:$A$21,FALSE),MATCH(G249,レベル!$A$1:$I$1,FALSE))</f>
        <v>60</v>
      </c>
      <c r="P249" s="63">
        <f t="shared" ca="1" si="28"/>
        <v>60</v>
      </c>
      <c r="Q249" s="77" t="str">
        <f ca="1">VLOOKUP($A249,OFFSET([2]characters!$A$1,0,0,COUNTA([2]characters!$A:$A),MATCH(Q$1,[2]characters!$1:$1,0)-MATCH($A$1,[2]characters!$1:$1,0)+1),MATCH(Q$1,[2]characters!$1:$1,0)-MATCH($A$1,[2]characters!$1:$1,0)+1,FALSE)</f>
        <v>attack</v>
      </c>
      <c r="R249" s="8" t="str">
        <f ca="1">VLOOKUP(Q249,[2]character_type_i18n!$A:$H,3,FALSE)</f>
        <v>攻撃タイプ</v>
      </c>
      <c r="S249" s="14">
        <f ca="1">VLOOKUP(Q249,[2]character_type_i18n!$A:$H,4,FALSE)</f>
        <v>1</v>
      </c>
      <c r="T249" s="14">
        <f ca="1">VLOOKUP(Q249,[2]character_type_i18n!$A:$H,5,FALSE)</f>
        <v>1.33</v>
      </c>
      <c r="U249" s="14">
        <f ca="1">VLOOKUP(Q249,[2]character_type_i18n!$A:$H,6,FALSE)</f>
        <v>1</v>
      </c>
      <c r="V249" s="14">
        <f ca="1">VLOOKUP(Q249,[2]character_type_i18n!$A:$H,7,FALSE)</f>
        <v>0.67</v>
      </c>
      <c r="W249" s="77" t="str">
        <f ca="1">VLOOKUP($A249,OFFSET([2]characters!$A$1,0,0,COUNTA([2]characters!$A:$A),MATCH(W$1,[2]characters!$1:$1,0)-MATCH($A$1,[2]characters!$1:$1,0)+1),MATCH(W$1,[2]characters!$1:$1,0)-MATCH($A$1,[2]characters!$1:$1,0)+1,FALSE)</f>
        <v>machine</v>
      </c>
      <c r="X249" s="8" t="str">
        <f ca="1">VLOOKUP(W249,[2]character_tribe_i18n!$A:$H,3,FALSE)</f>
        <v>マシン</v>
      </c>
      <c r="Y249" s="77" t="str">
        <f ca="1">VLOOKUP($A249,OFFSET([2]characters!$A$1,0,0,COUNTA([2]characters!$A:$A),MATCH(Y$1,[2]characters!$1:$1,0)-MATCH($A$1,[2]characters!$1:$1,0)+1),MATCH(Y$1,[2]characters!$1:$1,0)-MATCH($A$1,[2]characters!$1:$1,0)+1,FALSE)</f>
        <v>god</v>
      </c>
      <c r="Z249" s="8" t="str">
        <f ca="1">VLOOKUP(Y249,[2]character_tribe_i18n!$A:$H,3,FALSE)</f>
        <v>ゴッド</v>
      </c>
      <c r="AA249" s="14">
        <f ca="1">VLOOKUP(W249,[2]character_tribe_i18n!$A:$H,4,FALSE)</f>
        <v>1</v>
      </c>
      <c r="AB249" s="14">
        <f ca="1">VLOOKUP(W249,[2]character_tribe_i18n!$A:$H,5,FALSE)</f>
        <v>1</v>
      </c>
      <c r="AC249" s="14">
        <f ca="1">VLOOKUP(W249,[2]character_tribe_i18n!$A:$H,6,FALSE)</f>
        <v>1</v>
      </c>
      <c r="AD249" s="14">
        <f ca="1">VLOOKUP(W249,[2]character_tribe_i18n!$A:$H,7,FALSE)</f>
        <v>1</v>
      </c>
      <c r="AE249" s="12">
        <v>249</v>
      </c>
      <c r="AF249" s="85" t="str">
        <f ca="1">IF(AE249="NULL","",VLOOKUP($AE249,OFFSET([2]characters!$A$1,0,0,COUNTA([2]characters!$A:$A),MATCH(AF$1,[2]characters!$1:$1,0)-MATCH($A$1,[2]characters!$1:$1,0)+1),MATCH(AF$1,[2]characters!$1:$1,0)-MATCH($A$1,[2]characters!$1:$1,0)+1,FALSE))</f>
        <v>雷電の天使 ミカエル・ゲイナー</v>
      </c>
      <c r="AG249" s="8">
        <f t="shared" ca="1" si="23"/>
        <v>247</v>
      </c>
      <c r="AH249" s="85" t="str">
        <f ca="1">VLOOKUP($AG249,OFFSET([2]characters!$A$1,0,0,COUNTA([2]characters!$A:$A),MATCH(AH$1,[2]characters!$1:$1,0)-MATCH($A$1,[2]characters!$1:$1,0)+1),MATCH(AH$1,[2]characters!$1:$1,0)-MATCH($A$1,[2]characters!$1:$1,0)+1,FALSE)</f>
        <v>ミカエル</v>
      </c>
      <c r="AI249" s="14">
        <f ca="1">IF(AE249="NULL","NULL",VLOOKUP(G249,ビット!$A$2:$B$7,2))</f>
        <v>50000</v>
      </c>
      <c r="AJ249" s="9">
        <v>2</v>
      </c>
      <c r="AK249" s="10" t="str">
        <f t="shared" si="24"/>
        <v>普通</v>
      </c>
      <c r="AL249" s="14" t="str">
        <f ca="1">INDEX(経験値!$A$1:$I$20,MATCH(H249,経験値!$A$1:$A$20,FALSE),MATCH(G249,経験値!$A$1:$I$1,FALSE))</f>
        <v>required_exp_200</v>
      </c>
      <c r="AM249" s="11">
        <f ca="1">VLOOKUP(G249,経験値!$A$27:$B$31,2)</f>
        <v>3400</v>
      </c>
      <c r="AN249" s="21">
        <f ca="1">VLOOKUP(G249,ビット!$G$2:$H$7,2)</f>
        <v>600</v>
      </c>
      <c r="AO249" s="98" t="s">
        <v>185</v>
      </c>
      <c r="AP249" s="97">
        <v>114005</v>
      </c>
      <c r="AQ249" s="77" t="e">
        <f ca="1">VLOOKUP($AP249,OFFSET([1]unit_skills!$A$1,0,0,COUNTA([1]unit_skills!$A:$A),MATCH("name",[1]unit_skills!$1:$1,0)-MATCH($AP$1,[1]unit_skills!$1:$1,0)+1),MATCH("name",[1]unit_skills!$1:$1,0)-MATCH($AP$1,[1]unit_skills!$1:$1,0)+1,FALSE)</f>
        <v>#VALUE!</v>
      </c>
      <c r="AR249" s="77" t="e">
        <f ca="1">VLOOKUP($AP249,OFFSET([1]unit_skills!$A$1,0,0,COUNTA([1]unit_skills!$A:$A),MATCH("comment",[1]unit_skills!$1:$1,0)-MATCH($AP$1,[1]unit_skills!$1:$1,0)+1),MATCH("comment",[1]unit_skills!$1:$1,0)-MATCH($AP$1,[1]unit_skills!$1:$1,0)+1,FALSE)</f>
        <v>#VALUE!</v>
      </c>
      <c r="AS249" s="77" t="e">
        <f ca="1">VLOOKUP($AP249,OFFSET([1]unit_skills!$A$1,0,0,COUNTA([1]unit_skills!$A:$A),MATCH(AS$1,[1]unit_skills!$1:$1,0)-MATCH($AP$1,[1]unit_skills!$1:$1,0)+1),MATCH(AS$1,[1]unit_skills!$1:$1,0)-MATCH($AP$1,[1]unit_skills!$1:$1,0)+1,FALSE)</f>
        <v>#VALUE!</v>
      </c>
      <c r="AT249" s="97">
        <v>124003</v>
      </c>
      <c r="AU249" s="77" t="e">
        <f ca="1">VLOOKUP($AT249,OFFSET([1]crash_skills!$A$1,0,0,COUNTA([1]crash_skills!$A:$A),MATCH("name",[1]crash_skills!$1:$1,0)-MATCH($AT$1,[1]crash_skills!$1:$1,0)+1),MATCH("name",[1]crash_skills!$1:$1,0)-MATCH($AT$1,[1]crash_skills!$1:$1,0)+1,FALSE)</f>
        <v>#VALUE!</v>
      </c>
      <c r="AV249" s="77" t="e">
        <f ca="1">VLOOKUP($AT249,OFFSET([1]crash_skills!$A$1,0,0,COUNTA([1]crash_skills!$A:$A),MATCH("comment",[1]crash_skills!$1:$1,0)-MATCH($AT$1,[1]crash_skills!$1:$1,0)+1),MATCH("comment",[1]crash_skills!$1:$1,0)-MATCH($AT$1,[1]crash_skills!$1:$1,0)+1,FALSE)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49" s="77" t="e">
        <f ca="1">VLOOKUP($AT249,OFFSET([1]crash_skills!$A$1,0,0,COUNTA([1]crash_skills!$A:$A),MATCH(AW$1,[1]crash_skills!$1:$1,0)-MATCH($AT$1,[1]crash_skills!$1:$1,0)+1),MATCH(AW$1,[1]crash_skills!$1:$1,0)-MATCH($AT$1,[1]crash_skills!$1:$1,0)+1,FALSE)</f>
        <v>#VALUE!</v>
      </c>
      <c r="AX249" s="81">
        <f ca="1">VLOOKUP($A249,OFFSET([2]characters!$A$1,0,0,COUNTA([2]characters!$A:$A),MATCH(AX$1,[2]characters!$1:$1,0)-MATCH($A$1,[2]characters!$1:$1,0)+1),MATCH(AX$1,[2]characters!$1:$1,0)-MATCH($A$1,[2]characters!$1:$1,0)+1,FALSE)</f>
        <v>3</v>
      </c>
      <c r="AY249" s="19">
        <v>1</v>
      </c>
      <c r="AZ249" s="19">
        <v>1</v>
      </c>
      <c r="BA249" s="19">
        <v>0</v>
      </c>
      <c r="BB249" s="19">
        <v>1</v>
      </c>
      <c r="BC249" s="14">
        <f ca="1">INDEX('RC6SV'!$A$1:$G$20,MATCH(H249,'RC6SV'!$A$1:$A$20,FALSE),MATCH(G249,'RC6SV'!$A$1:$G$1,FALSE))</f>
        <v>7000</v>
      </c>
      <c r="BD249" s="63">
        <f t="shared" ca="1" si="25"/>
        <v>7000</v>
      </c>
      <c r="BE249" s="14">
        <f t="shared" ca="1" si="26"/>
        <v>5000</v>
      </c>
      <c r="BF249" s="14">
        <f t="shared" ca="1" si="27"/>
        <v>1</v>
      </c>
      <c r="BG249" s="20">
        <f ca="1">IF($BE249&lt;=0,ROUND(BK249*0.5,0), ROUND($BE249*S249*AA249*J249*AY249*0.8*[2]ステータス!$B$2,0))</f>
        <v>1960</v>
      </c>
      <c r="BH249" s="20">
        <f ca="1">IF($BE249&lt;=0,ROUND(BL249*0.5,0), ROUND($BE249*T249*AB249*K249*AZ249*0.8*[2]ステータス!$C$2,0))</f>
        <v>1612</v>
      </c>
      <c r="BI249" s="20">
        <f ca="1">IF($BE249&lt;=0,ROUND(BM249*0.5,0), ROUND($BE249*U249*AC249*L249*BA249*0.8*[2]ステータス!$D$2,0))</f>
        <v>0</v>
      </c>
      <c r="BJ249" s="20">
        <f ca="1">IF($BE249&lt;=0,ROUND(BN249*0.5,0), ROUND($BE249*V249*AD249*M249*BB249*0.8*[2]ステータス!$E$2,0))</f>
        <v>677</v>
      </c>
      <c r="BK249" s="14">
        <f ca="1">ROUND(BD249*S249*AA249*J249*AY249*[2]ステータス!$B$2,0)</f>
        <v>3430</v>
      </c>
      <c r="BL249" s="14">
        <f ca="1">ROUND(BD249*T249*AB249*K249*AZ249*[2]ステータス!$C$2,0)</f>
        <v>2821</v>
      </c>
      <c r="BM249" s="14">
        <f ca="1">ROUND(BD249*U249*AC249*L249*BA249*[2]ステータス!$D$2,0)</f>
        <v>0</v>
      </c>
      <c r="BN249" s="14">
        <f ca="1">ROUND(BD249*V249*AD249*M249*BB249*[2]ステータス!$E$2,0)</f>
        <v>1184</v>
      </c>
      <c r="BO249" s="13">
        <v>0</v>
      </c>
      <c r="BP249" s="13">
        <v>1</v>
      </c>
      <c r="BQ249" s="13" t="s">
        <v>102</v>
      </c>
      <c r="BR249" s="13">
        <f ca="1">VLOOKUP(H249,ghosts_label!$A$2:$B$19,2,FALSE)</f>
        <v>700</v>
      </c>
    </row>
    <row r="250" spans="1:70" ht="21" customHeight="1" x14ac:dyDescent="0.15">
      <c r="A250" s="14">
        <f t="shared" ca="1" si="22"/>
        <v>249</v>
      </c>
      <c r="B250" s="77" t="str">
        <f ca="1">VLOOKUP($A250,OFFSET([2]characters!$A$1,0,0,COUNTA([2]characters!$A:$A),MATCH(B$1,[2]characters!$1:$1,0)-MATCH($A$1,[2]characters!$1:$1,0)+1),MATCH(B$1,[2]characters!$1:$1,0)-MATCH($A$1,[2]characters!$1:$1,0)+1,FALSE)</f>
        <v>雷電の天使 ミカエル・ゲイナー</v>
      </c>
      <c r="C250" s="77" t="str">
        <f ca="1">VLOOKUP($A250,OFFSET([2]characters!$A$1,0,0,COUNTA([2]characters!$A:$A),MATCH(C$1,[2]characters!$1:$1,0)-MATCH($A$1,[2]characters!$1:$1,0)+1),MATCH(C$1,[2]characters!$1:$1,0)-MATCH($A$1,[2]characters!$1:$1,0)+1,FALSE)</f>
        <v>ガチャ:天使01</v>
      </c>
      <c r="D250" s="77" t="str">
        <f ca="1">VLOOKUP($A250,OFFSET([2]characters!$A$1,0,0,COUNTA([2]characters!$A:$A),MATCH(D$1,[2]characters!$1:$1,0)-MATCH($A$1,[2]characters!$1:$1,0)+1),MATCH(D$1,[2]characters!$1:$1,0)-MATCH($A$1,[2]characters!$1:$1,0)+1,FALSE)</f>
        <v>管理者</v>
      </c>
      <c r="E250" s="77" t="str">
        <f ca="1">VLOOKUP($A250,OFFSET([2]characters!$A$1,0,0,COUNTA([2]characters!$A:$A),MATCH(E$1,[2]characters!$1:$1,0)-MATCH($A$1,[2]characters!$1:$1,0)+1),MATCH(E$1,[2]characters!$1:$1,0)-MATCH($A$1,[2]characters!$1:$1,0)+1,FALSE)</f>
        <v>可愛い</v>
      </c>
      <c r="F250" s="77" t="str">
        <f ca="1">VLOOKUP($A250,OFFSET([2]characters!$A$1,0,0,COUNTA([2]characters!$A:$A),MATCH(F$1,[2]characters!$1:$1,0)-MATCH($A$1,[2]characters!$1:$1,0)+1),MATCH(F$1,[2]characters!$1:$1,0)-MATCH($A$1,[2]characters!$1:$1,0)+1,FALSE)</f>
        <v>女性</v>
      </c>
      <c r="G250" s="77">
        <f ca="1">VLOOKUP($A250,OFFSET([2]characters!$A$1,0,0,COUNTA([2]characters!$A:$A),MATCH(G$1,[2]characters!$1:$1,0)-MATCH($A$1,[2]characters!$1:$1,0)+1),MATCH(G$1,[2]characters!$1:$1,0)-MATCH($A$1,[2]characters!$1:$1,0)+1,FALSE)</f>
        <v>5</v>
      </c>
      <c r="H250" s="77" t="str">
        <f ca="1">VLOOKUP($A250,OFFSET([2]characters!$A$1,0,0,COUNTA([2]characters!$A:$A),MATCH(H$1,[2]characters!$1:$1,0)-MATCH($A$1,[2]characters!$1:$1,0)+1),MATCH(H$1,[2]characters!$1:$1,0)-MATCH($A$1,[2]characters!$1:$1,0)+1,FALSE)</f>
        <v>PremiumS</v>
      </c>
      <c r="I250" s="77" t="str">
        <f ca="1">VLOOKUP($A250,OFFSET([2]characters!$A$1,0,0,COUNTA([2]characters!$A:$A),MATCH(I$1,[2]characters!$1:$1,0)-MATCH($A$1,[2]characters!$1:$1,0)+1),MATCH(I$1,[2]characters!$1:$1,0)-MATCH($A$1,[2]characters!$1:$1,0)+1,FALSE)</f>
        <v>yellow</v>
      </c>
      <c r="J250" s="14">
        <f ca="1">VLOOKUP(I250,[2]属性!$A:$E,2,FALSE)</f>
        <v>0.98</v>
      </c>
      <c r="K250" s="14">
        <f ca="1">VLOOKUP(I250,[2]属性!$A:$E,3,FALSE)</f>
        <v>1.01</v>
      </c>
      <c r="L250" s="14">
        <f ca="1">VLOOKUP(I250,[2]属性!$A:$E,4,FALSE)</f>
        <v>1</v>
      </c>
      <c r="M250" s="14">
        <f ca="1">VLOOKUP(I250,[2]属性!$A:$E,5,FALSE)</f>
        <v>1.01</v>
      </c>
      <c r="N250" s="14">
        <f ca="1">INDEX(コスト!$A$1:$I$20,MATCH(H250,コスト!$A$1:$A$20,FALSE),MATCH(G250,コスト!$A$1:$I$1,FALSE))</f>
        <v>30</v>
      </c>
      <c r="O250" s="14">
        <f ca="1">INDEX(レベル!$A$1:$I$21,MATCH(H250,レベル!$A$1:$A$21,FALSE),MATCH(G250,レベル!$A$1:$I$1,FALSE))</f>
        <v>80</v>
      </c>
      <c r="P250" s="63">
        <f t="shared" ca="1" si="28"/>
        <v>75</v>
      </c>
      <c r="Q250" s="77" t="str">
        <f ca="1">VLOOKUP($A250,OFFSET([2]characters!$A$1,0,0,COUNTA([2]characters!$A:$A),MATCH(Q$1,[2]characters!$1:$1,0)-MATCH($A$1,[2]characters!$1:$1,0)+1),MATCH(Q$1,[2]characters!$1:$1,0)-MATCH($A$1,[2]characters!$1:$1,0)+1,FALSE)</f>
        <v>attack</v>
      </c>
      <c r="R250" s="8" t="str">
        <f ca="1">VLOOKUP(Q250,[2]character_type_i18n!$A:$H,3,FALSE)</f>
        <v>攻撃タイプ</v>
      </c>
      <c r="S250" s="14">
        <f ca="1">VLOOKUP(Q250,[2]character_type_i18n!$A:$H,4,FALSE)</f>
        <v>1</v>
      </c>
      <c r="T250" s="14">
        <f ca="1">VLOOKUP(Q250,[2]character_type_i18n!$A:$H,5,FALSE)</f>
        <v>1.33</v>
      </c>
      <c r="U250" s="14">
        <f ca="1">VLOOKUP(Q250,[2]character_type_i18n!$A:$H,6,FALSE)</f>
        <v>1</v>
      </c>
      <c r="V250" s="14">
        <f ca="1">VLOOKUP(Q250,[2]character_type_i18n!$A:$H,7,FALSE)</f>
        <v>0.67</v>
      </c>
      <c r="W250" s="77" t="str">
        <f ca="1">VLOOKUP($A250,OFFSET([2]characters!$A$1,0,0,COUNTA([2]characters!$A:$A),MATCH(W$1,[2]characters!$1:$1,0)-MATCH($A$1,[2]characters!$1:$1,0)+1),MATCH(W$1,[2]characters!$1:$1,0)-MATCH($A$1,[2]characters!$1:$1,0)+1,FALSE)</f>
        <v>machine</v>
      </c>
      <c r="X250" s="8" t="str">
        <f ca="1">VLOOKUP(W250,[2]character_tribe_i18n!$A:$H,3,FALSE)</f>
        <v>マシン</v>
      </c>
      <c r="Y250" s="77" t="str">
        <f ca="1">VLOOKUP($A250,OFFSET([2]characters!$A$1,0,0,COUNTA([2]characters!$A:$A),MATCH(Y$1,[2]characters!$1:$1,0)-MATCH($A$1,[2]characters!$1:$1,0)+1),MATCH(Y$1,[2]characters!$1:$1,0)-MATCH($A$1,[2]characters!$1:$1,0)+1,FALSE)</f>
        <v>god</v>
      </c>
      <c r="Z250" s="8" t="str">
        <f ca="1">VLOOKUP(Y250,[2]character_tribe_i18n!$A:$H,3,FALSE)</f>
        <v>ゴッド</v>
      </c>
      <c r="AA250" s="14">
        <f ca="1">VLOOKUP(W250,[2]character_tribe_i18n!$A:$H,4,FALSE)</f>
        <v>1</v>
      </c>
      <c r="AB250" s="14">
        <f ca="1">VLOOKUP(W250,[2]character_tribe_i18n!$A:$H,5,FALSE)</f>
        <v>1</v>
      </c>
      <c r="AC250" s="14">
        <f ca="1">VLOOKUP(W250,[2]character_tribe_i18n!$A:$H,6,FALSE)</f>
        <v>1</v>
      </c>
      <c r="AD250" s="14">
        <f ca="1">VLOOKUP(W250,[2]character_tribe_i18n!$A:$H,7,FALSE)</f>
        <v>1</v>
      </c>
      <c r="AE250" s="12" t="s">
        <v>102</v>
      </c>
      <c r="AF250" s="85" t="str">
        <f ca="1">IF(AE250="NULL","",VLOOKUP($AE250,OFFSET([2]characters!$A$1,0,0,COUNTA([2]characters!$A:$A),MATCH(AF$1,[2]characters!$1:$1,0)-MATCH($A$1,[2]characters!$1:$1,0)+1),MATCH(AF$1,[2]characters!$1:$1,0)-MATCH($A$1,[2]characters!$1:$1,0)+1,FALSE))</f>
        <v/>
      </c>
      <c r="AG250" s="8">
        <f t="shared" ca="1" si="23"/>
        <v>247</v>
      </c>
      <c r="AH250" s="85" t="str">
        <f ca="1">VLOOKUP($AG250,OFFSET([2]characters!$A$1,0,0,COUNTA([2]characters!$A:$A),MATCH(AH$1,[2]characters!$1:$1,0)-MATCH($A$1,[2]characters!$1:$1,0)+1),MATCH(AH$1,[2]characters!$1:$1,0)-MATCH($A$1,[2]characters!$1:$1,0)+1,FALSE)</f>
        <v>ミカエル</v>
      </c>
      <c r="AI250" s="14" t="str">
        <f>IF(AE250="NULL","NULL",VLOOKUP(G250,ビット!$A$2:$B$7,2))</f>
        <v>NULL</v>
      </c>
      <c r="AJ250" s="9">
        <v>2</v>
      </c>
      <c r="AK250" s="10" t="str">
        <f t="shared" si="24"/>
        <v>普通</v>
      </c>
      <c r="AL250" s="14" t="str">
        <f ca="1">INDEX(経験値!$A$1:$I$20,MATCH(H250,経験値!$A$1:$A$20,FALSE),MATCH(G250,経験値!$A$1:$I$1,FALSE))</f>
        <v>required_exp_200</v>
      </c>
      <c r="AM250" s="11">
        <f ca="1">VLOOKUP(G250,経験値!$A$27:$B$31,2)</f>
        <v>6400</v>
      </c>
      <c r="AN250" s="21">
        <f ca="1">VLOOKUP(G250,ビット!$G$2:$H$7,2)</f>
        <v>900</v>
      </c>
      <c r="AO250" s="98" t="s">
        <v>185</v>
      </c>
      <c r="AP250" s="97">
        <v>114006</v>
      </c>
      <c r="AQ250" s="77" t="e">
        <f ca="1">VLOOKUP($AP250,OFFSET([1]unit_skills!$A$1,0,0,COUNTA([1]unit_skills!$A:$A),MATCH("name",[1]unit_skills!$1:$1,0)-MATCH($AP$1,[1]unit_skills!$1:$1,0)+1),MATCH("name",[1]unit_skills!$1:$1,0)-MATCH($AP$1,[1]unit_skills!$1:$1,0)+1,FALSE)</f>
        <v>#VALUE!</v>
      </c>
      <c r="AR250" s="77" t="e">
        <f ca="1">VLOOKUP($AP250,OFFSET([1]unit_skills!$A$1,0,0,COUNTA([1]unit_skills!$A:$A),MATCH("comment",[1]unit_skills!$1:$1,0)-MATCH($AP$1,[1]unit_skills!$1:$1,0)+1),MATCH("comment",[1]unit_skills!$1:$1,0)-MATCH($AP$1,[1]unit_skills!$1:$1,0)+1,FALSE)</f>
        <v>#VALUE!</v>
      </c>
      <c r="AS250" s="77" t="e">
        <f ca="1">VLOOKUP($AP250,OFFSET([1]unit_skills!$A$1,0,0,COUNTA([1]unit_skills!$A:$A),MATCH(AS$1,[1]unit_skills!$1:$1,0)-MATCH($AP$1,[1]unit_skills!$1:$1,0)+1),MATCH(AS$1,[1]unit_skills!$1:$1,0)-MATCH($AP$1,[1]unit_skills!$1:$1,0)+1,FALSE)</f>
        <v>#VALUE!</v>
      </c>
      <c r="AT250" s="97">
        <v>124009</v>
      </c>
      <c r="AU250" s="77" t="e">
        <f ca="1">VLOOKUP($AT250,OFFSET([1]crash_skills!$A$1,0,0,COUNTA([1]crash_skills!$A:$A),MATCH("name",[1]crash_skills!$1:$1,0)-MATCH($AT$1,[1]crash_skills!$1:$1,0)+1),MATCH("name",[1]crash_skills!$1:$1,0)-MATCH($AT$1,[1]crash_skills!$1:$1,0)+1,FALSE)</f>
        <v>#VALUE!</v>
      </c>
      <c r="AV250" s="77" t="e">
        <f ca="1">VLOOKUP($AT250,OFFSET([1]crash_skills!$A$1,0,0,COUNTA([1]crash_skills!$A:$A),MATCH("comment",[1]crash_skills!$1:$1,0)-MATCH($AT$1,[1]crash_skills!$1:$1,0)+1),MATCH("comment",[1]crash_skills!$1:$1,0)-MATCH($AT$1,[1]crash_skills!$1:$1,0)+1,FALSE)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50" s="77" t="e">
        <f ca="1">VLOOKUP($AT250,OFFSET([1]crash_skills!$A$1,0,0,COUNTA([1]crash_skills!$A:$A),MATCH(AW$1,[1]crash_skills!$1:$1,0)-MATCH($AT$1,[1]crash_skills!$1:$1,0)+1),MATCH(AW$1,[1]crash_skills!$1:$1,0)-MATCH($AT$1,[1]crash_skills!$1:$1,0)+1,FALSE)</f>
        <v>#VALUE!</v>
      </c>
      <c r="AX250" s="81">
        <f ca="1">VLOOKUP($A250,OFFSET([2]characters!$A$1,0,0,COUNTA([2]characters!$A:$A),MATCH(AX$1,[2]characters!$1:$1,0)-MATCH($A$1,[2]characters!$1:$1,0)+1),MATCH(AX$1,[2]characters!$1:$1,0)-MATCH($A$1,[2]characters!$1:$1,0)+1,FALSE)</f>
        <v>3</v>
      </c>
      <c r="AY250" s="19">
        <v>1</v>
      </c>
      <c r="AZ250" s="19">
        <v>1</v>
      </c>
      <c r="BA250" s="19">
        <v>0</v>
      </c>
      <c r="BB250" s="19">
        <v>1</v>
      </c>
      <c r="BC250" s="14">
        <f ca="1">INDEX('RC6SV'!$A$1:$G$20,MATCH(H250,'RC6SV'!$A$1:$A$20,FALSE),MATCH(G250,'RC6SV'!$A$1:$G$1,FALSE))</f>
        <v>9000</v>
      </c>
      <c r="BD250" s="63">
        <f t="shared" ca="1" si="25"/>
        <v>9000</v>
      </c>
      <c r="BE250" s="14">
        <f t="shared" ca="1" si="26"/>
        <v>7000</v>
      </c>
      <c r="BF250" s="14">
        <f t="shared" ca="1" si="27"/>
        <v>1</v>
      </c>
      <c r="BG250" s="20">
        <f ca="1">IF($BE250&lt;=0,ROUND(BK250*0.5,0), ROUND($BE250*S250*AA250*J250*AY250*0.8*[2]ステータス!$B$2,0))</f>
        <v>2744</v>
      </c>
      <c r="BH250" s="20">
        <f ca="1">IF($BE250&lt;=0,ROUND(BL250*0.5,0), ROUND($BE250*T250*AB250*K250*AZ250*0.8*[2]ステータス!$C$2,0))</f>
        <v>2257</v>
      </c>
      <c r="BI250" s="20">
        <f ca="1">IF($BE250&lt;=0,ROUND(BM250*0.5,0), ROUND($BE250*U250*AC250*L250*BA250*0.8*[2]ステータス!$D$2,0))</f>
        <v>0</v>
      </c>
      <c r="BJ250" s="20">
        <f ca="1">IF($BE250&lt;=0,ROUND(BN250*0.5,0), ROUND($BE250*V250*AD250*M250*BB250*0.8*[2]ステータス!$E$2,0))</f>
        <v>947</v>
      </c>
      <c r="BK250" s="14">
        <f ca="1">ROUND(BD250*S250*AA250*J250*AY250*[2]ステータス!$B$2,0)</f>
        <v>4410</v>
      </c>
      <c r="BL250" s="14">
        <f ca="1">ROUND(BD250*T250*AB250*K250*AZ250*[2]ステータス!$C$2,0)</f>
        <v>3627</v>
      </c>
      <c r="BM250" s="14">
        <f ca="1">ROUND(BD250*U250*AC250*L250*BA250*[2]ステータス!$D$2,0)</f>
        <v>0</v>
      </c>
      <c r="BN250" s="14">
        <f ca="1">ROUND(BD250*V250*AD250*M250*BB250*[2]ステータス!$E$2,0)</f>
        <v>1523</v>
      </c>
      <c r="BO250" s="13">
        <v>0</v>
      </c>
      <c r="BP250" s="13">
        <v>1</v>
      </c>
      <c r="BQ250" s="13" t="s">
        <v>102</v>
      </c>
      <c r="BR250" s="13">
        <f ca="1">VLOOKUP(H250,ghosts_label!$A$2:$B$19,2,FALSE)</f>
        <v>700</v>
      </c>
    </row>
    <row r="251" spans="1:70" ht="21" customHeight="1" x14ac:dyDescent="0.15">
      <c r="A251" s="14">
        <f t="shared" ca="1" si="22"/>
        <v>250</v>
      </c>
      <c r="B251" s="77" t="str">
        <f ca="1">VLOOKUP($A251,OFFSET([2]characters!$A$1,0,0,COUNTA([2]characters!$A:$A),MATCH(B$1,[2]characters!$1:$1,0)-MATCH($A$1,[2]characters!$1:$1,0)+1),MATCH(B$1,[2]characters!$1:$1,0)-MATCH($A$1,[2]characters!$1:$1,0)+1,FALSE)</f>
        <v>マンモン</v>
      </c>
      <c r="C251" s="77" t="str">
        <f ca="1">VLOOKUP($A251,OFFSET([2]characters!$A$1,0,0,COUNTA([2]characters!$A:$A),MATCH(C$1,[2]characters!$1:$1,0)-MATCH($A$1,[2]characters!$1:$1,0)+1),MATCH(C$1,[2]characters!$1:$1,0)-MATCH($A$1,[2]characters!$1:$1,0)+1,FALSE)</f>
        <v>ガチャ:7つの大罪01</v>
      </c>
      <c r="D251" s="77" t="str">
        <f ca="1">VLOOKUP($A251,OFFSET([2]characters!$A$1,0,0,COUNTA([2]characters!$A:$A),MATCH(D$1,[2]characters!$1:$1,0)-MATCH($A$1,[2]characters!$1:$1,0)+1),MATCH(D$1,[2]characters!$1:$1,0)-MATCH($A$1,[2]characters!$1:$1,0)+1,FALSE)</f>
        <v>執行者</v>
      </c>
      <c r="E251" s="77" t="str">
        <f ca="1">VLOOKUP($A251,OFFSET([2]characters!$A$1,0,0,COUNTA([2]characters!$A:$A),MATCH(E$1,[2]characters!$1:$1,0)-MATCH($A$1,[2]characters!$1:$1,0)+1),MATCH(E$1,[2]characters!$1:$1,0)-MATCH($A$1,[2]characters!$1:$1,0)+1,FALSE)</f>
        <v>美しい</v>
      </c>
      <c r="F251" s="77" t="str">
        <f ca="1">VLOOKUP($A251,OFFSET([2]characters!$A$1,0,0,COUNTA([2]characters!$A:$A),MATCH(F$1,[2]characters!$1:$1,0)-MATCH($A$1,[2]characters!$1:$1,0)+1),MATCH(F$1,[2]characters!$1:$1,0)-MATCH($A$1,[2]characters!$1:$1,0)+1,FALSE)</f>
        <v>女性</v>
      </c>
      <c r="G251" s="77">
        <f ca="1">VLOOKUP($A251,OFFSET([2]characters!$A$1,0,0,COUNTA([2]characters!$A:$A),MATCH(G$1,[2]characters!$1:$1,0)-MATCH($A$1,[2]characters!$1:$1,0)+1),MATCH(G$1,[2]characters!$1:$1,0)-MATCH($A$1,[2]characters!$1:$1,0)+1,FALSE)</f>
        <v>3</v>
      </c>
      <c r="H251" s="77" t="str">
        <f ca="1">VLOOKUP($A251,OFFSET([2]characters!$A$1,0,0,COUNTA([2]characters!$A:$A),MATCH(H$1,[2]characters!$1:$1,0)-MATCH($A$1,[2]characters!$1:$1,0)+1),MATCH(H$1,[2]characters!$1:$1,0)-MATCH($A$1,[2]characters!$1:$1,0)+1,FALSE)</f>
        <v>PremiumS</v>
      </c>
      <c r="I251" s="77" t="str">
        <f ca="1">VLOOKUP($A251,OFFSET([2]characters!$A$1,0,0,COUNTA([2]characters!$A:$A),MATCH(I$1,[2]characters!$1:$1,0)-MATCH($A$1,[2]characters!$1:$1,0)+1),MATCH(I$1,[2]characters!$1:$1,0)-MATCH($A$1,[2]characters!$1:$1,0)+1,FALSE)</f>
        <v>red</v>
      </c>
      <c r="J251" s="14">
        <f ca="1">VLOOKUP(I251,[2]属性!$A:$E,2,FALSE)</f>
        <v>1</v>
      </c>
      <c r="K251" s="14">
        <f ca="1">VLOOKUP(I251,[2]属性!$A:$E,3,FALSE)</f>
        <v>1.02</v>
      </c>
      <c r="L251" s="14">
        <f ca="1">VLOOKUP(I251,[2]属性!$A:$E,4,FALSE)</f>
        <v>1</v>
      </c>
      <c r="M251" s="14">
        <f ca="1">VLOOKUP(I251,[2]属性!$A:$E,5,FALSE)</f>
        <v>0.98</v>
      </c>
      <c r="N251" s="14">
        <f ca="1">INDEX(コスト!$A$1:$I$20,MATCH(H251,コスト!$A$1:$A$20,FALSE),MATCH(G251,コスト!$A$1:$I$1,FALSE))</f>
        <v>10</v>
      </c>
      <c r="O251" s="14">
        <f ca="1">INDEX(レベル!$A$1:$I$21,MATCH(H251,レベル!$A$1:$A$21,FALSE),MATCH(G251,レベル!$A$1:$I$1,FALSE))</f>
        <v>40</v>
      </c>
      <c r="P251" s="63">
        <f t="shared" ca="1" si="28"/>
        <v>45</v>
      </c>
      <c r="Q251" s="77" t="str">
        <f ca="1">VLOOKUP($A251,OFFSET([2]characters!$A$1,0,0,COUNTA([2]characters!$A:$A),MATCH(Q$1,[2]characters!$1:$1,0)-MATCH($A$1,[2]characters!$1:$1,0)+1),MATCH(Q$1,[2]characters!$1:$1,0)-MATCH($A$1,[2]characters!$1:$1,0)+1,FALSE)</f>
        <v>balance</v>
      </c>
      <c r="R251" s="8" t="str">
        <f ca="1">VLOOKUP(Q251,[2]character_type_i18n!$A:$H,3,FALSE)</f>
        <v>バランスタイプ</v>
      </c>
      <c r="S251" s="14">
        <f ca="1">VLOOKUP(Q251,[2]character_type_i18n!$A:$H,4,FALSE)</f>
        <v>1</v>
      </c>
      <c r="T251" s="14">
        <f ca="1">VLOOKUP(Q251,[2]character_type_i18n!$A:$H,5,FALSE)</f>
        <v>1</v>
      </c>
      <c r="U251" s="14">
        <f ca="1">VLOOKUP(Q251,[2]character_type_i18n!$A:$H,6,FALSE)</f>
        <v>1</v>
      </c>
      <c r="V251" s="14">
        <f ca="1">VLOOKUP(Q251,[2]character_type_i18n!$A:$H,7,FALSE)</f>
        <v>1</v>
      </c>
      <c r="W251" s="77" t="str">
        <f ca="1">VLOOKUP($A251,OFFSET([2]characters!$A$1,0,0,COUNTA([2]characters!$A:$A),MATCH(W$1,[2]characters!$1:$1,0)-MATCH($A$1,[2]characters!$1:$1,0)+1),MATCH(W$1,[2]characters!$1:$1,0)-MATCH($A$1,[2]characters!$1:$1,0)+1,FALSE)</f>
        <v>god</v>
      </c>
      <c r="X251" s="8" t="str">
        <f ca="1">VLOOKUP(W251,[2]character_tribe_i18n!$A:$H,3,FALSE)</f>
        <v>ゴッド</v>
      </c>
      <c r="Y251" s="77" t="str">
        <f ca="1">VLOOKUP($A251,OFFSET([2]characters!$A$1,0,0,COUNTA([2]characters!$A:$A),MATCH(Y$1,[2]characters!$1:$1,0)-MATCH($A$1,[2]characters!$1:$1,0)+1),MATCH(Y$1,[2]characters!$1:$1,0)-MATCH($A$1,[2]characters!$1:$1,0)+1,FALSE)</f>
        <v>none</v>
      </c>
      <c r="Z251" s="8" t="str">
        <f ca="1">VLOOKUP(Y251,[2]character_tribe_i18n!$A:$H,3,FALSE)</f>
        <v>種族なし</v>
      </c>
      <c r="AA251" s="14">
        <f ca="1">VLOOKUP(W251,[2]character_tribe_i18n!$A:$H,4,FALSE)</f>
        <v>0.96</v>
      </c>
      <c r="AB251" s="14">
        <f ca="1">VLOOKUP(W251,[2]character_tribe_i18n!$A:$H,5,FALSE)</f>
        <v>1.02</v>
      </c>
      <c r="AC251" s="14">
        <f ca="1">VLOOKUP(W251,[2]character_tribe_i18n!$A:$H,6,FALSE)</f>
        <v>1</v>
      </c>
      <c r="AD251" s="14">
        <f ca="1">VLOOKUP(W251,[2]character_tribe_i18n!$A:$H,7,FALSE)</f>
        <v>1.02</v>
      </c>
      <c r="AE251" s="12">
        <v>251</v>
      </c>
      <c r="AF251" s="85" t="str">
        <f ca="1">IF(AE251="NULL","",VLOOKUP($AE251,OFFSET([2]characters!$A$1,0,0,COUNTA([2]characters!$A:$A),MATCH(AF$1,[2]characters!$1:$1,0)-MATCH($A$1,[2]characters!$1:$1,0)+1),MATCH(AF$1,[2]characters!$1:$1,0)-MATCH($A$1,[2]characters!$1:$1,0)+1,FALSE))</f>
        <v>強欲 マンモン</v>
      </c>
      <c r="AG251" s="8">
        <f t="shared" ca="1" si="23"/>
        <v>250</v>
      </c>
      <c r="AH251" s="85" t="str">
        <f ca="1">VLOOKUP($AG251,OFFSET([2]characters!$A$1,0,0,COUNTA([2]characters!$A:$A),MATCH(AH$1,[2]characters!$1:$1,0)-MATCH($A$1,[2]characters!$1:$1,0)+1),MATCH(AH$1,[2]characters!$1:$1,0)-MATCH($A$1,[2]characters!$1:$1,0)+1,FALSE)</f>
        <v>マンモン</v>
      </c>
      <c r="AI251" s="14">
        <f ca="1">IF(AE251="NULL","NULL",VLOOKUP(G251,ビット!$A$2:$B$7,2))</f>
        <v>20000</v>
      </c>
      <c r="AJ251" s="9">
        <v>2</v>
      </c>
      <c r="AK251" s="10" t="str">
        <f t="shared" si="24"/>
        <v>普通</v>
      </c>
      <c r="AL251" s="14" t="str">
        <f ca="1">INDEX(経験値!$A$1:$I$20,MATCH(H251,経験値!$A$1:$A$20,FALSE),MATCH(G251,経験値!$A$1:$I$1,FALSE))</f>
        <v>required_exp_200</v>
      </c>
      <c r="AM251" s="11">
        <f ca="1">VLOOKUP(G251,経験値!$A$27:$B$31,2)</f>
        <v>1500</v>
      </c>
      <c r="AN251" s="21">
        <f ca="1">VLOOKUP(G251,ビット!$G$2:$H$7,2)</f>
        <v>300</v>
      </c>
      <c r="AO251" s="98" t="s">
        <v>185</v>
      </c>
      <c r="AP251" s="97">
        <v>181001</v>
      </c>
      <c r="AQ251" s="77" t="e">
        <f ca="1">VLOOKUP($AP251,OFFSET([1]unit_skills!$A$1,0,0,COUNTA([1]unit_skills!$A:$A),MATCH("name",[1]unit_skills!$1:$1,0)-MATCH($AP$1,[1]unit_skills!$1:$1,0)+1),MATCH("name",[1]unit_skills!$1:$1,0)-MATCH($AP$1,[1]unit_skills!$1:$1,0)+1,FALSE)</f>
        <v>#VALUE!</v>
      </c>
      <c r="AR251" s="77" t="e">
        <f ca="1">VLOOKUP($AP251,OFFSET([1]unit_skills!$A$1,0,0,COUNTA([1]unit_skills!$A:$A),MATCH("comment",[1]unit_skills!$1:$1,0)-MATCH($AP$1,[1]unit_skills!$1:$1,0)+1),MATCH("comment",[1]unit_skills!$1:$1,0)-MATCH($AP$1,[1]unit_skills!$1:$1,0)+1,FALSE)</f>
        <v>#VALUE!</v>
      </c>
      <c r="AS251" s="77" t="e">
        <f ca="1">VLOOKUP($AP251,OFFSET([1]unit_skills!$A$1,0,0,COUNTA([1]unit_skills!$A:$A),MATCH(AS$1,[1]unit_skills!$1:$1,0)-MATCH($AP$1,[1]unit_skills!$1:$1,0)+1),MATCH(AS$1,[1]unit_skills!$1:$1,0)-MATCH($AP$1,[1]unit_skills!$1:$1,0)+1,FALSE)</f>
        <v>#VALUE!</v>
      </c>
      <c r="AT251" s="97">
        <v>111103</v>
      </c>
      <c r="AU251" s="77" t="e">
        <f ca="1">VLOOKUP($AT251,OFFSET([1]crash_skills!$A$1,0,0,COUNTA([1]crash_skills!$A:$A),MATCH("name",[1]crash_skills!$1:$1,0)-MATCH($AT$1,[1]crash_skills!$1:$1,0)+1),MATCH("name",[1]crash_skills!$1:$1,0)-MATCH($AT$1,[1]crash_skills!$1:$1,0)+1,FALSE)</f>
        <v>#VALUE!</v>
      </c>
      <c r="AV251" s="77" t="e">
        <f ca="1">VLOOKUP($AT251,OFFSET([1]crash_skills!$A$1,0,0,COUNTA([1]crash_skills!$A:$A),MATCH("comment",[1]crash_skills!$1:$1,0)-MATCH($AT$1,[1]crash_skills!$1:$1,0)+1),MATCH("comment",[1]crash_skills!$1:$1,0)-MATCH($AT$1,[1]crash_skills!$1:$1,0)+1,FALSE)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51" s="77" t="e">
        <f ca="1">VLOOKUP($AT251,OFFSET([1]crash_skills!$A$1,0,0,COUNTA([1]crash_skills!$A:$A),MATCH(AW$1,[1]crash_skills!$1:$1,0)-MATCH($AT$1,[1]crash_skills!$1:$1,0)+1),MATCH(AW$1,[1]crash_skills!$1:$1,0)-MATCH($AT$1,[1]crash_skills!$1:$1,0)+1,FALSE)</f>
        <v>#VALUE!</v>
      </c>
      <c r="AX251" s="81">
        <f ca="1">VLOOKUP($A251,OFFSET([2]characters!$A$1,0,0,COUNTA([2]characters!$A:$A),MATCH(AX$1,[2]characters!$1:$1,0)-MATCH($A$1,[2]characters!$1:$1,0)+1),MATCH(AX$1,[2]characters!$1:$1,0)-MATCH($A$1,[2]characters!$1:$1,0)+1,FALSE)</f>
        <v>3</v>
      </c>
      <c r="AY251" s="19">
        <v>1</v>
      </c>
      <c r="AZ251" s="19">
        <v>1</v>
      </c>
      <c r="BA251" s="19">
        <v>0</v>
      </c>
      <c r="BB251" s="19">
        <v>1</v>
      </c>
      <c r="BC251" s="14">
        <f ca="1">INDEX('RC6SV'!$A$1:$G$20,MATCH(H251,'RC6SV'!$A$1:$A$20,FALSE),MATCH(G251,'RC6SV'!$A$1:$G$1,FALSE))</f>
        <v>5000</v>
      </c>
      <c r="BD251" s="63">
        <f t="shared" ca="1" si="25"/>
        <v>5000</v>
      </c>
      <c r="BE251" s="14">
        <f t="shared" ca="1" si="26"/>
        <v>0</v>
      </c>
      <c r="BF251" s="14">
        <f t="shared" ca="1" si="27"/>
        <v>1</v>
      </c>
      <c r="BG251" s="20">
        <f ca="1">IF($BE251&lt;=0,ROUND(BK251*0.5,0), ROUND($BE251*S251*AA251*J251*AY251*0.8*[2]ステータス!$B$2,0))</f>
        <v>1200</v>
      </c>
      <c r="BH251" s="20">
        <f ca="1">IF($BE251&lt;=0,ROUND(BL251*0.5,0), ROUND($BE251*T251*AB251*K251*AZ251*0.8*[2]ステータス!$C$2,0))</f>
        <v>781</v>
      </c>
      <c r="BI251" s="20">
        <f ca="1">IF($BE251&lt;=0,ROUND(BM251*0.5,0), ROUND($BE251*U251*AC251*L251*BA251*0.8*[2]ステータス!$D$2,0))</f>
        <v>0</v>
      </c>
      <c r="BJ251" s="20">
        <f ca="1">IF($BE251&lt;=0,ROUND(BN251*0.5,0), ROUND($BE251*V251*AD251*M251*BB251*0.8*[2]ステータス!$E$2,0))</f>
        <v>625</v>
      </c>
      <c r="BK251" s="14">
        <f ca="1">ROUND(BD251*S251*AA251*J251*AY251*[2]ステータス!$B$2,0)</f>
        <v>2400</v>
      </c>
      <c r="BL251" s="14">
        <f ca="1">ROUND(BD251*T251*AB251*K251*AZ251*[2]ステータス!$C$2,0)</f>
        <v>1561</v>
      </c>
      <c r="BM251" s="14">
        <f ca="1">ROUND(BD251*U251*AC251*L251*BA251*[2]ステータス!$D$2,0)</f>
        <v>0</v>
      </c>
      <c r="BN251" s="14">
        <f ca="1">ROUND(BD251*V251*AD251*M251*BB251*[2]ステータス!$E$2,0)</f>
        <v>1250</v>
      </c>
      <c r="BO251" s="13">
        <v>0</v>
      </c>
      <c r="BP251" s="13">
        <v>1</v>
      </c>
      <c r="BQ251" s="13" t="s">
        <v>102</v>
      </c>
      <c r="BR251" s="13">
        <f ca="1">VLOOKUP(H251,ghosts_label!$A$2:$B$19,2,FALSE)</f>
        <v>700</v>
      </c>
    </row>
    <row r="252" spans="1:70" ht="21" customHeight="1" x14ac:dyDescent="0.15">
      <c r="A252" s="14">
        <f t="shared" ca="1" si="22"/>
        <v>251</v>
      </c>
      <c r="B252" s="77" t="str">
        <f ca="1">VLOOKUP($A252,OFFSET([2]characters!$A$1,0,0,COUNTA([2]characters!$A:$A),MATCH(B$1,[2]characters!$1:$1,0)-MATCH($A$1,[2]characters!$1:$1,0)+1),MATCH(B$1,[2]characters!$1:$1,0)-MATCH($A$1,[2]characters!$1:$1,0)+1,FALSE)</f>
        <v>強欲 マンモン</v>
      </c>
      <c r="C252" s="77" t="str">
        <f ca="1">VLOOKUP($A252,OFFSET([2]characters!$A$1,0,0,COUNTA([2]characters!$A:$A),MATCH(C$1,[2]characters!$1:$1,0)-MATCH($A$1,[2]characters!$1:$1,0)+1),MATCH(C$1,[2]characters!$1:$1,0)-MATCH($A$1,[2]characters!$1:$1,0)+1,FALSE)</f>
        <v>ガチャ:7つの大罪01</v>
      </c>
      <c r="D252" s="77" t="str">
        <f ca="1">VLOOKUP($A252,OFFSET([2]characters!$A$1,0,0,COUNTA([2]characters!$A:$A),MATCH(D$1,[2]characters!$1:$1,0)-MATCH($A$1,[2]characters!$1:$1,0)+1),MATCH(D$1,[2]characters!$1:$1,0)-MATCH($A$1,[2]characters!$1:$1,0)+1,FALSE)</f>
        <v>執行者</v>
      </c>
      <c r="E252" s="77" t="str">
        <f ca="1">VLOOKUP($A252,OFFSET([2]characters!$A$1,0,0,COUNTA([2]characters!$A:$A),MATCH(E$1,[2]characters!$1:$1,0)-MATCH($A$1,[2]characters!$1:$1,0)+1),MATCH(E$1,[2]characters!$1:$1,0)-MATCH($A$1,[2]characters!$1:$1,0)+1,FALSE)</f>
        <v>美しい</v>
      </c>
      <c r="F252" s="77" t="str">
        <f ca="1">VLOOKUP($A252,OFFSET([2]characters!$A$1,0,0,COUNTA([2]characters!$A:$A),MATCH(F$1,[2]characters!$1:$1,0)-MATCH($A$1,[2]characters!$1:$1,0)+1),MATCH(F$1,[2]characters!$1:$1,0)-MATCH($A$1,[2]characters!$1:$1,0)+1,FALSE)</f>
        <v>女性</v>
      </c>
      <c r="G252" s="77">
        <f ca="1">VLOOKUP($A252,OFFSET([2]characters!$A$1,0,0,COUNTA([2]characters!$A:$A),MATCH(G$1,[2]characters!$1:$1,0)-MATCH($A$1,[2]characters!$1:$1,0)+1),MATCH(G$1,[2]characters!$1:$1,0)-MATCH($A$1,[2]characters!$1:$1,0)+1,FALSE)</f>
        <v>4</v>
      </c>
      <c r="H252" s="77" t="str">
        <f ca="1">VLOOKUP($A252,OFFSET([2]characters!$A$1,0,0,COUNTA([2]characters!$A:$A),MATCH(H$1,[2]characters!$1:$1,0)-MATCH($A$1,[2]characters!$1:$1,0)+1),MATCH(H$1,[2]characters!$1:$1,0)-MATCH($A$1,[2]characters!$1:$1,0)+1,FALSE)</f>
        <v>PremiumS</v>
      </c>
      <c r="I252" s="77" t="str">
        <f ca="1">VLOOKUP($A252,OFFSET([2]characters!$A$1,0,0,COUNTA([2]characters!$A:$A),MATCH(I$1,[2]characters!$1:$1,0)-MATCH($A$1,[2]characters!$1:$1,0)+1),MATCH(I$1,[2]characters!$1:$1,0)-MATCH($A$1,[2]characters!$1:$1,0)+1,FALSE)</f>
        <v>red</v>
      </c>
      <c r="J252" s="14">
        <f ca="1">VLOOKUP(I252,[2]属性!$A:$E,2,FALSE)</f>
        <v>1</v>
      </c>
      <c r="K252" s="14">
        <f ca="1">VLOOKUP(I252,[2]属性!$A:$E,3,FALSE)</f>
        <v>1.02</v>
      </c>
      <c r="L252" s="14">
        <f ca="1">VLOOKUP(I252,[2]属性!$A:$E,4,FALSE)</f>
        <v>1</v>
      </c>
      <c r="M252" s="14">
        <f ca="1">VLOOKUP(I252,[2]属性!$A:$E,5,FALSE)</f>
        <v>0.98</v>
      </c>
      <c r="N252" s="14">
        <f ca="1">INDEX(コスト!$A$1:$I$20,MATCH(H252,コスト!$A$1:$A$20,FALSE),MATCH(G252,コスト!$A$1:$I$1,FALSE))</f>
        <v>20</v>
      </c>
      <c r="O252" s="14">
        <f ca="1">INDEX(レベル!$A$1:$I$21,MATCH(H252,レベル!$A$1:$A$21,FALSE),MATCH(G252,レベル!$A$1:$I$1,FALSE))</f>
        <v>60</v>
      </c>
      <c r="P252" s="63">
        <f t="shared" ca="1" si="28"/>
        <v>60</v>
      </c>
      <c r="Q252" s="77" t="str">
        <f ca="1">VLOOKUP($A252,OFFSET([2]characters!$A$1,0,0,COUNTA([2]characters!$A:$A),MATCH(Q$1,[2]characters!$1:$1,0)-MATCH($A$1,[2]characters!$1:$1,0)+1),MATCH(Q$1,[2]characters!$1:$1,0)-MATCH($A$1,[2]characters!$1:$1,0)+1,FALSE)</f>
        <v>balance</v>
      </c>
      <c r="R252" s="8" t="str">
        <f ca="1">VLOOKUP(Q252,[2]character_type_i18n!$A:$H,3,FALSE)</f>
        <v>バランスタイプ</v>
      </c>
      <c r="S252" s="14">
        <f ca="1">VLOOKUP(Q252,[2]character_type_i18n!$A:$H,4,FALSE)</f>
        <v>1</v>
      </c>
      <c r="T252" s="14">
        <f ca="1">VLOOKUP(Q252,[2]character_type_i18n!$A:$H,5,FALSE)</f>
        <v>1</v>
      </c>
      <c r="U252" s="14">
        <f ca="1">VLOOKUP(Q252,[2]character_type_i18n!$A:$H,6,FALSE)</f>
        <v>1</v>
      </c>
      <c r="V252" s="14">
        <f ca="1">VLOOKUP(Q252,[2]character_type_i18n!$A:$H,7,FALSE)</f>
        <v>1</v>
      </c>
      <c r="W252" s="77" t="str">
        <f ca="1">VLOOKUP($A252,OFFSET([2]characters!$A$1,0,0,COUNTA([2]characters!$A:$A),MATCH(W$1,[2]characters!$1:$1,0)-MATCH($A$1,[2]characters!$1:$1,0)+1),MATCH(W$1,[2]characters!$1:$1,0)-MATCH($A$1,[2]characters!$1:$1,0)+1,FALSE)</f>
        <v>god</v>
      </c>
      <c r="X252" s="8" t="str">
        <f ca="1">VLOOKUP(W252,[2]character_tribe_i18n!$A:$H,3,FALSE)</f>
        <v>ゴッド</v>
      </c>
      <c r="Y252" s="77" t="str">
        <f ca="1">VLOOKUP($A252,OFFSET([2]characters!$A$1,0,0,COUNTA([2]characters!$A:$A),MATCH(Y$1,[2]characters!$1:$1,0)-MATCH($A$1,[2]characters!$1:$1,0)+1),MATCH(Y$1,[2]characters!$1:$1,0)-MATCH($A$1,[2]characters!$1:$1,0)+1,FALSE)</f>
        <v>none</v>
      </c>
      <c r="Z252" s="8" t="str">
        <f ca="1">VLOOKUP(Y252,[2]character_tribe_i18n!$A:$H,3,FALSE)</f>
        <v>種族なし</v>
      </c>
      <c r="AA252" s="14">
        <f ca="1">VLOOKUP(W252,[2]character_tribe_i18n!$A:$H,4,FALSE)</f>
        <v>0.96</v>
      </c>
      <c r="AB252" s="14">
        <f ca="1">VLOOKUP(W252,[2]character_tribe_i18n!$A:$H,5,FALSE)</f>
        <v>1.02</v>
      </c>
      <c r="AC252" s="14">
        <f ca="1">VLOOKUP(W252,[2]character_tribe_i18n!$A:$H,6,FALSE)</f>
        <v>1</v>
      </c>
      <c r="AD252" s="14">
        <f ca="1">VLOOKUP(W252,[2]character_tribe_i18n!$A:$H,7,FALSE)</f>
        <v>1.02</v>
      </c>
      <c r="AE252" s="12">
        <v>252</v>
      </c>
      <c r="AF252" s="85" t="str">
        <f ca="1">IF(AE252="NULL","",VLOOKUP($AE252,OFFSET([2]characters!$A$1,0,0,COUNTA([2]characters!$A:$A),MATCH(AF$1,[2]characters!$1:$1,0)-MATCH($A$1,[2]characters!$1:$1,0)+1),MATCH(AF$1,[2]characters!$1:$1,0)-MATCH($A$1,[2]characters!$1:$1,0)+1,FALSE))</f>
        <v>強欲の沸騰 マンモン</v>
      </c>
      <c r="AG252" s="8">
        <f t="shared" ca="1" si="23"/>
        <v>250</v>
      </c>
      <c r="AH252" s="85" t="str">
        <f ca="1">VLOOKUP($AG252,OFFSET([2]characters!$A$1,0,0,COUNTA([2]characters!$A:$A),MATCH(AH$1,[2]characters!$1:$1,0)-MATCH($A$1,[2]characters!$1:$1,0)+1),MATCH(AH$1,[2]characters!$1:$1,0)-MATCH($A$1,[2]characters!$1:$1,0)+1,FALSE)</f>
        <v>マンモン</v>
      </c>
      <c r="AI252" s="14">
        <f ca="1">IF(AE252="NULL","NULL",VLOOKUP(G252,ビット!$A$2:$B$7,2))</f>
        <v>50000</v>
      </c>
      <c r="AJ252" s="9">
        <v>2</v>
      </c>
      <c r="AK252" s="10" t="str">
        <f t="shared" si="24"/>
        <v>普通</v>
      </c>
      <c r="AL252" s="14" t="str">
        <f ca="1">INDEX(経験値!$A$1:$I$20,MATCH(H252,経験値!$A$1:$A$20,FALSE),MATCH(G252,経験値!$A$1:$I$1,FALSE))</f>
        <v>required_exp_200</v>
      </c>
      <c r="AM252" s="11">
        <f ca="1">VLOOKUP(G252,経験値!$A$27:$B$31,2)</f>
        <v>3400</v>
      </c>
      <c r="AN252" s="21">
        <f ca="1">VLOOKUP(G252,ビット!$G$2:$H$7,2)</f>
        <v>600</v>
      </c>
      <c r="AO252" s="98" t="s">
        <v>185</v>
      </c>
      <c r="AP252" s="97">
        <v>181001</v>
      </c>
      <c r="AQ252" s="77" t="e">
        <f ca="1">VLOOKUP($AP252,OFFSET([1]unit_skills!$A$1,0,0,COUNTA([1]unit_skills!$A:$A),MATCH("name",[1]unit_skills!$1:$1,0)-MATCH($AP$1,[1]unit_skills!$1:$1,0)+1),MATCH("name",[1]unit_skills!$1:$1,0)-MATCH($AP$1,[1]unit_skills!$1:$1,0)+1,FALSE)</f>
        <v>#VALUE!</v>
      </c>
      <c r="AR252" s="77" t="e">
        <f ca="1">VLOOKUP($AP252,OFFSET([1]unit_skills!$A$1,0,0,COUNTA([1]unit_skills!$A:$A),MATCH("comment",[1]unit_skills!$1:$1,0)-MATCH($AP$1,[1]unit_skills!$1:$1,0)+1),MATCH("comment",[1]unit_skills!$1:$1,0)-MATCH($AP$1,[1]unit_skills!$1:$1,0)+1,FALSE)</f>
        <v>#VALUE!</v>
      </c>
      <c r="AS252" s="77" t="e">
        <f ca="1">VLOOKUP($AP252,OFFSET([1]unit_skills!$A$1,0,0,COUNTA([1]unit_skills!$A:$A),MATCH(AS$1,[1]unit_skills!$1:$1,0)-MATCH($AP$1,[1]unit_skills!$1:$1,0)+1),MATCH(AS$1,[1]unit_skills!$1:$1,0)-MATCH($AP$1,[1]unit_skills!$1:$1,0)+1,FALSE)</f>
        <v>#VALUE!</v>
      </c>
      <c r="AT252" s="97">
        <v>111103</v>
      </c>
      <c r="AU252" s="77" t="e">
        <f ca="1">VLOOKUP($AT252,OFFSET([1]crash_skills!$A$1,0,0,COUNTA([1]crash_skills!$A:$A),MATCH("name",[1]crash_skills!$1:$1,0)-MATCH($AT$1,[1]crash_skills!$1:$1,0)+1),MATCH("name",[1]crash_skills!$1:$1,0)-MATCH($AT$1,[1]crash_skills!$1:$1,0)+1,FALSE)</f>
        <v>#VALUE!</v>
      </c>
      <c r="AV252" s="77" t="e">
        <f ca="1">VLOOKUP($AT252,OFFSET([1]crash_skills!$A$1,0,0,COUNTA([1]crash_skills!$A:$A),MATCH("comment",[1]crash_skills!$1:$1,0)-MATCH($AT$1,[1]crash_skills!$1:$1,0)+1),MATCH("comment",[1]crash_skills!$1:$1,0)-MATCH($AT$1,[1]crash_skills!$1:$1,0)+1,FALSE)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52" s="77" t="e">
        <f ca="1">VLOOKUP($AT252,OFFSET([1]crash_skills!$A$1,0,0,COUNTA([1]crash_skills!$A:$A),MATCH(AW$1,[1]crash_skills!$1:$1,0)-MATCH($AT$1,[1]crash_skills!$1:$1,0)+1),MATCH(AW$1,[1]crash_skills!$1:$1,0)-MATCH($AT$1,[1]crash_skills!$1:$1,0)+1,FALSE)</f>
        <v>#VALUE!</v>
      </c>
      <c r="AX252" s="81">
        <f ca="1">VLOOKUP($A252,OFFSET([2]characters!$A$1,0,0,COUNTA([2]characters!$A:$A),MATCH(AX$1,[2]characters!$1:$1,0)-MATCH($A$1,[2]characters!$1:$1,0)+1),MATCH(AX$1,[2]characters!$1:$1,0)-MATCH($A$1,[2]characters!$1:$1,0)+1,FALSE)</f>
        <v>3</v>
      </c>
      <c r="AY252" s="19">
        <v>1</v>
      </c>
      <c r="AZ252" s="19">
        <v>1</v>
      </c>
      <c r="BA252" s="19">
        <v>0</v>
      </c>
      <c r="BB252" s="19">
        <v>1</v>
      </c>
      <c r="BC252" s="14">
        <f ca="1">INDEX('RC6SV'!$A$1:$G$20,MATCH(H252,'RC6SV'!$A$1:$A$20,FALSE),MATCH(G252,'RC6SV'!$A$1:$G$1,FALSE))</f>
        <v>7000</v>
      </c>
      <c r="BD252" s="63">
        <f t="shared" ca="1" si="25"/>
        <v>7000</v>
      </c>
      <c r="BE252" s="14">
        <f t="shared" ca="1" si="26"/>
        <v>5000</v>
      </c>
      <c r="BF252" s="14">
        <f t="shared" ca="1" si="27"/>
        <v>1</v>
      </c>
      <c r="BG252" s="20">
        <f ca="1">IF($BE252&lt;=0,ROUND(BK252*0.5,0), ROUND($BE252*S252*AA252*J252*AY252*0.8*[2]ステータス!$B$2,0))</f>
        <v>1920</v>
      </c>
      <c r="BH252" s="20">
        <f ca="1">IF($BE252&lt;=0,ROUND(BL252*0.5,0), ROUND($BE252*T252*AB252*K252*AZ252*0.8*[2]ステータス!$C$2,0))</f>
        <v>1248</v>
      </c>
      <c r="BI252" s="20">
        <f ca="1">IF($BE252&lt;=0,ROUND(BM252*0.5,0), ROUND($BE252*U252*AC252*L252*BA252*0.8*[2]ステータス!$D$2,0))</f>
        <v>0</v>
      </c>
      <c r="BJ252" s="20">
        <f ca="1">IF($BE252&lt;=0,ROUND(BN252*0.5,0), ROUND($BE252*V252*AD252*M252*BB252*0.8*[2]ステータス!$E$2,0))</f>
        <v>1000</v>
      </c>
      <c r="BK252" s="14">
        <f ca="1">ROUND(BD252*S252*AA252*J252*AY252*[2]ステータス!$B$2,0)</f>
        <v>3360</v>
      </c>
      <c r="BL252" s="14">
        <f ca="1">ROUND(BD252*T252*AB252*K252*AZ252*[2]ステータス!$C$2,0)</f>
        <v>2185</v>
      </c>
      <c r="BM252" s="14">
        <f ca="1">ROUND(BD252*U252*AC252*L252*BA252*[2]ステータス!$D$2,0)</f>
        <v>0</v>
      </c>
      <c r="BN252" s="14">
        <f ca="1">ROUND(BD252*V252*AD252*M252*BB252*[2]ステータス!$E$2,0)</f>
        <v>1749</v>
      </c>
      <c r="BO252" s="13">
        <v>0</v>
      </c>
      <c r="BP252" s="13">
        <v>1</v>
      </c>
      <c r="BQ252" s="13" t="s">
        <v>102</v>
      </c>
      <c r="BR252" s="13">
        <f ca="1">VLOOKUP(H252,ghosts_label!$A$2:$B$19,2,FALSE)</f>
        <v>700</v>
      </c>
    </row>
    <row r="253" spans="1:70" ht="21" customHeight="1" x14ac:dyDescent="0.15">
      <c r="A253" s="14">
        <f t="shared" ca="1" si="22"/>
        <v>252</v>
      </c>
      <c r="B253" s="77" t="str">
        <f ca="1">VLOOKUP($A253,OFFSET([2]characters!$A$1,0,0,COUNTA([2]characters!$A:$A),MATCH(B$1,[2]characters!$1:$1,0)-MATCH($A$1,[2]characters!$1:$1,0)+1),MATCH(B$1,[2]characters!$1:$1,0)-MATCH($A$1,[2]characters!$1:$1,0)+1,FALSE)</f>
        <v>強欲の沸騰 マンモン</v>
      </c>
      <c r="C253" s="77" t="str">
        <f ca="1">VLOOKUP($A253,OFFSET([2]characters!$A$1,0,0,COUNTA([2]characters!$A:$A),MATCH(C$1,[2]characters!$1:$1,0)-MATCH($A$1,[2]characters!$1:$1,0)+1),MATCH(C$1,[2]characters!$1:$1,0)-MATCH($A$1,[2]characters!$1:$1,0)+1,FALSE)</f>
        <v>ガチャ:7つの大罪01</v>
      </c>
      <c r="D253" s="77" t="str">
        <f ca="1">VLOOKUP($A253,OFFSET([2]characters!$A$1,0,0,COUNTA([2]characters!$A:$A),MATCH(D$1,[2]characters!$1:$1,0)-MATCH($A$1,[2]characters!$1:$1,0)+1),MATCH(D$1,[2]characters!$1:$1,0)-MATCH($A$1,[2]characters!$1:$1,0)+1,FALSE)</f>
        <v>執行者</v>
      </c>
      <c r="E253" s="77" t="str">
        <f ca="1">VLOOKUP($A253,OFFSET([2]characters!$A$1,0,0,COUNTA([2]characters!$A:$A),MATCH(E$1,[2]characters!$1:$1,0)-MATCH($A$1,[2]characters!$1:$1,0)+1),MATCH(E$1,[2]characters!$1:$1,0)-MATCH($A$1,[2]characters!$1:$1,0)+1,FALSE)</f>
        <v>美しい</v>
      </c>
      <c r="F253" s="77" t="str">
        <f ca="1">VLOOKUP($A253,OFFSET([2]characters!$A$1,0,0,COUNTA([2]characters!$A:$A),MATCH(F$1,[2]characters!$1:$1,0)-MATCH($A$1,[2]characters!$1:$1,0)+1),MATCH(F$1,[2]characters!$1:$1,0)-MATCH($A$1,[2]characters!$1:$1,0)+1,FALSE)</f>
        <v>女性</v>
      </c>
      <c r="G253" s="77">
        <f ca="1">VLOOKUP($A253,OFFSET([2]characters!$A$1,0,0,COUNTA([2]characters!$A:$A),MATCH(G$1,[2]characters!$1:$1,0)-MATCH($A$1,[2]characters!$1:$1,0)+1),MATCH(G$1,[2]characters!$1:$1,0)-MATCH($A$1,[2]characters!$1:$1,0)+1,FALSE)</f>
        <v>5</v>
      </c>
      <c r="H253" s="77" t="str">
        <f ca="1">VLOOKUP($A253,OFFSET([2]characters!$A$1,0,0,COUNTA([2]characters!$A:$A),MATCH(H$1,[2]characters!$1:$1,0)-MATCH($A$1,[2]characters!$1:$1,0)+1),MATCH(H$1,[2]characters!$1:$1,0)-MATCH($A$1,[2]characters!$1:$1,0)+1,FALSE)</f>
        <v>PremiumS</v>
      </c>
      <c r="I253" s="77" t="str">
        <f ca="1">VLOOKUP($A253,OFFSET([2]characters!$A$1,0,0,COUNTA([2]characters!$A:$A),MATCH(I$1,[2]characters!$1:$1,0)-MATCH($A$1,[2]characters!$1:$1,0)+1),MATCH(I$1,[2]characters!$1:$1,0)-MATCH($A$1,[2]characters!$1:$1,0)+1,FALSE)</f>
        <v>red</v>
      </c>
      <c r="J253" s="14">
        <f ca="1">VLOOKUP(I253,[2]属性!$A:$E,2,FALSE)</f>
        <v>1</v>
      </c>
      <c r="K253" s="14">
        <f ca="1">VLOOKUP(I253,[2]属性!$A:$E,3,FALSE)</f>
        <v>1.02</v>
      </c>
      <c r="L253" s="14">
        <f ca="1">VLOOKUP(I253,[2]属性!$A:$E,4,FALSE)</f>
        <v>1</v>
      </c>
      <c r="M253" s="14">
        <f ca="1">VLOOKUP(I253,[2]属性!$A:$E,5,FALSE)</f>
        <v>0.98</v>
      </c>
      <c r="N253" s="14">
        <f ca="1">INDEX(コスト!$A$1:$I$20,MATCH(H253,コスト!$A$1:$A$20,FALSE),MATCH(G253,コスト!$A$1:$I$1,FALSE))</f>
        <v>30</v>
      </c>
      <c r="O253" s="14">
        <f ca="1">INDEX(レベル!$A$1:$I$21,MATCH(H253,レベル!$A$1:$A$21,FALSE),MATCH(G253,レベル!$A$1:$I$1,FALSE))</f>
        <v>80</v>
      </c>
      <c r="P253" s="63">
        <f t="shared" ca="1" si="28"/>
        <v>75</v>
      </c>
      <c r="Q253" s="77" t="str">
        <f ca="1">VLOOKUP($A253,OFFSET([2]characters!$A$1,0,0,COUNTA([2]characters!$A:$A),MATCH(Q$1,[2]characters!$1:$1,0)-MATCH($A$1,[2]characters!$1:$1,0)+1),MATCH(Q$1,[2]characters!$1:$1,0)-MATCH($A$1,[2]characters!$1:$1,0)+1,FALSE)</f>
        <v>balance</v>
      </c>
      <c r="R253" s="8" t="str">
        <f ca="1">VLOOKUP(Q253,[2]character_type_i18n!$A:$H,3,FALSE)</f>
        <v>バランスタイプ</v>
      </c>
      <c r="S253" s="14">
        <f ca="1">VLOOKUP(Q253,[2]character_type_i18n!$A:$H,4,FALSE)</f>
        <v>1</v>
      </c>
      <c r="T253" s="14">
        <f ca="1">VLOOKUP(Q253,[2]character_type_i18n!$A:$H,5,FALSE)</f>
        <v>1</v>
      </c>
      <c r="U253" s="14">
        <f ca="1">VLOOKUP(Q253,[2]character_type_i18n!$A:$H,6,FALSE)</f>
        <v>1</v>
      </c>
      <c r="V253" s="14">
        <f ca="1">VLOOKUP(Q253,[2]character_type_i18n!$A:$H,7,FALSE)</f>
        <v>1</v>
      </c>
      <c r="W253" s="77" t="str">
        <f ca="1">VLOOKUP($A253,OFFSET([2]characters!$A$1,0,0,COUNTA([2]characters!$A:$A),MATCH(W$1,[2]characters!$1:$1,0)-MATCH($A$1,[2]characters!$1:$1,0)+1),MATCH(W$1,[2]characters!$1:$1,0)-MATCH($A$1,[2]characters!$1:$1,0)+1,FALSE)</f>
        <v>god</v>
      </c>
      <c r="X253" s="8" t="str">
        <f ca="1">VLOOKUP(W253,[2]character_tribe_i18n!$A:$H,3,FALSE)</f>
        <v>ゴッド</v>
      </c>
      <c r="Y253" s="77" t="str">
        <f ca="1">VLOOKUP($A253,OFFSET([2]characters!$A$1,0,0,COUNTA([2]characters!$A:$A),MATCH(Y$1,[2]characters!$1:$1,0)-MATCH($A$1,[2]characters!$1:$1,0)+1),MATCH(Y$1,[2]characters!$1:$1,0)-MATCH($A$1,[2]characters!$1:$1,0)+1,FALSE)</f>
        <v>none</v>
      </c>
      <c r="Z253" s="8" t="str">
        <f ca="1">VLOOKUP(Y253,[2]character_tribe_i18n!$A:$H,3,FALSE)</f>
        <v>種族なし</v>
      </c>
      <c r="AA253" s="14">
        <f ca="1">VLOOKUP(W253,[2]character_tribe_i18n!$A:$H,4,FALSE)</f>
        <v>0.96</v>
      </c>
      <c r="AB253" s="14">
        <f ca="1">VLOOKUP(W253,[2]character_tribe_i18n!$A:$H,5,FALSE)</f>
        <v>1.02</v>
      </c>
      <c r="AC253" s="14">
        <f ca="1">VLOOKUP(W253,[2]character_tribe_i18n!$A:$H,6,FALSE)</f>
        <v>1</v>
      </c>
      <c r="AD253" s="14">
        <f ca="1">VLOOKUP(W253,[2]character_tribe_i18n!$A:$H,7,FALSE)</f>
        <v>1.02</v>
      </c>
      <c r="AE253" s="12" t="s">
        <v>102</v>
      </c>
      <c r="AF253" s="85" t="str">
        <f ca="1">IF(AE253="NULL","",VLOOKUP($AE253,OFFSET([2]characters!$A$1,0,0,COUNTA([2]characters!$A:$A),MATCH(AF$1,[2]characters!$1:$1,0)-MATCH($A$1,[2]characters!$1:$1,0)+1),MATCH(AF$1,[2]characters!$1:$1,0)-MATCH($A$1,[2]characters!$1:$1,0)+1,FALSE))</f>
        <v/>
      </c>
      <c r="AG253" s="8">
        <f t="shared" ca="1" si="23"/>
        <v>250</v>
      </c>
      <c r="AH253" s="85" t="str">
        <f ca="1">VLOOKUP($AG253,OFFSET([2]characters!$A$1,0,0,COUNTA([2]characters!$A:$A),MATCH(AH$1,[2]characters!$1:$1,0)-MATCH($A$1,[2]characters!$1:$1,0)+1),MATCH(AH$1,[2]characters!$1:$1,0)-MATCH($A$1,[2]characters!$1:$1,0)+1,FALSE)</f>
        <v>マンモン</v>
      </c>
      <c r="AI253" s="14" t="str">
        <f>IF(AE253="NULL","NULL",VLOOKUP(G253,ビット!$A$2:$B$7,2))</f>
        <v>NULL</v>
      </c>
      <c r="AJ253" s="9">
        <v>2</v>
      </c>
      <c r="AK253" s="10" t="str">
        <f t="shared" si="24"/>
        <v>普通</v>
      </c>
      <c r="AL253" s="14" t="str">
        <f ca="1">INDEX(経験値!$A$1:$I$20,MATCH(H253,経験値!$A$1:$A$20,FALSE),MATCH(G253,経験値!$A$1:$I$1,FALSE))</f>
        <v>required_exp_200</v>
      </c>
      <c r="AM253" s="11">
        <f ca="1">VLOOKUP(G253,経験値!$A$27:$B$31,2)</f>
        <v>6400</v>
      </c>
      <c r="AN253" s="21">
        <f ca="1">VLOOKUP(G253,ビット!$G$2:$H$7,2)</f>
        <v>900</v>
      </c>
      <c r="AO253" s="98" t="s">
        <v>185</v>
      </c>
      <c r="AP253" s="97">
        <v>181002</v>
      </c>
      <c r="AQ253" s="77" t="e">
        <f ca="1">VLOOKUP($AP253,OFFSET([1]unit_skills!$A$1,0,0,COUNTA([1]unit_skills!$A:$A),MATCH("name",[1]unit_skills!$1:$1,0)-MATCH($AP$1,[1]unit_skills!$1:$1,0)+1),MATCH("name",[1]unit_skills!$1:$1,0)-MATCH($AP$1,[1]unit_skills!$1:$1,0)+1,FALSE)</f>
        <v>#VALUE!</v>
      </c>
      <c r="AR253" s="77" t="e">
        <f ca="1">VLOOKUP($AP253,OFFSET([1]unit_skills!$A$1,0,0,COUNTA([1]unit_skills!$A:$A),MATCH("comment",[1]unit_skills!$1:$1,0)-MATCH($AP$1,[1]unit_skills!$1:$1,0)+1),MATCH("comment",[1]unit_skills!$1:$1,0)-MATCH($AP$1,[1]unit_skills!$1:$1,0)+1,FALSE)</f>
        <v>#VALUE!</v>
      </c>
      <c r="AS253" s="77" t="e">
        <f ca="1">VLOOKUP($AP253,OFFSET([1]unit_skills!$A$1,0,0,COUNTA([1]unit_skills!$A:$A),MATCH(AS$1,[1]unit_skills!$1:$1,0)-MATCH($AP$1,[1]unit_skills!$1:$1,0)+1),MATCH(AS$1,[1]unit_skills!$1:$1,0)-MATCH($AP$1,[1]unit_skills!$1:$1,0)+1,FALSE)</f>
        <v>#VALUE!</v>
      </c>
      <c r="AT253" s="97">
        <v>111111</v>
      </c>
      <c r="AU253" s="77" t="e">
        <f ca="1">VLOOKUP($AT253,OFFSET([1]crash_skills!$A$1,0,0,COUNTA([1]crash_skills!$A:$A),MATCH("name",[1]crash_skills!$1:$1,0)-MATCH($AT$1,[1]crash_skills!$1:$1,0)+1),MATCH("name",[1]crash_skills!$1:$1,0)-MATCH($AT$1,[1]crash_skills!$1:$1,0)+1,FALSE)</f>
        <v>#VALUE!</v>
      </c>
      <c r="AV253" s="77" t="e">
        <f ca="1">VLOOKUP($AT253,OFFSET([1]crash_skills!$A$1,0,0,COUNTA([1]crash_skills!$A:$A),MATCH("comment",[1]crash_skills!$1:$1,0)-MATCH($AT$1,[1]crash_skills!$1:$1,0)+1),MATCH("comment",[1]crash_skills!$1:$1,0)-MATCH($AT$1,[1]crash_skills!$1:$1,0)+1,FALSE)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53" s="77" t="e">
        <f ca="1">VLOOKUP($AT253,OFFSET([1]crash_skills!$A$1,0,0,COUNTA([1]crash_skills!$A:$A),MATCH(AW$1,[1]crash_skills!$1:$1,0)-MATCH($AT$1,[1]crash_skills!$1:$1,0)+1),MATCH(AW$1,[1]crash_skills!$1:$1,0)-MATCH($AT$1,[1]crash_skills!$1:$1,0)+1,FALSE)</f>
        <v>#VALUE!</v>
      </c>
      <c r="AX253" s="81">
        <f ca="1">VLOOKUP($A253,OFFSET([2]characters!$A$1,0,0,COUNTA([2]characters!$A:$A),MATCH(AX$1,[2]characters!$1:$1,0)-MATCH($A$1,[2]characters!$1:$1,0)+1),MATCH(AX$1,[2]characters!$1:$1,0)-MATCH($A$1,[2]characters!$1:$1,0)+1,FALSE)</f>
        <v>3</v>
      </c>
      <c r="AY253" s="19">
        <v>1</v>
      </c>
      <c r="AZ253" s="19">
        <v>1</v>
      </c>
      <c r="BA253" s="19">
        <v>0</v>
      </c>
      <c r="BB253" s="19">
        <v>1</v>
      </c>
      <c r="BC253" s="14">
        <f ca="1">INDEX('RC6SV'!$A$1:$G$20,MATCH(H253,'RC6SV'!$A$1:$A$20,FALSE),MATCH(G253,'RC6SV'!$A$1:$G$1,FALSE))</f>
        <v>9000</v>
      </c>
      <c r="BD253" s="63">
        <f t="shared" ca="1" si="25"/>
        <v>9000</v>
      </c>
      <c r="BE253" s="14">
        <f t="shared" ca="1" si="26"/>
        <v>7000</v>
      </c>
      <c r="BF253" s="14">
        <f t="shared" ca="1" si="27"/>
        <v>1</v>
      </c>
      <c r="BG253" s="20">
        <f ca="1">IF($BE253&lt;=0,ROUND(BK253*0.5,0), ROUND($BE253*S253*AA253*J253*AY253*0.8*[2]ステータス!$B$2,0))</f>
        <v>2688</v>
      </c>
      <c r="BH253" s="20">
        <f ca="1">IF($BE253&lt;=0,ROUND(BL253*0.5,0), ROUND($BE253*T253*AB253*K253*AZ253*0.8*[2]ステータス!$C$2,0))</f>
        <v>1748</v>
      </c>
      <c r="BI253" s="20">
        <f ca="1">IF($BE253&lt;=0,ROUND(BM253*0.5,0), ROUND($BE253*U253*AC253*L253*BA253*0.8*[2]ステータス!$D$2,0))</f>
        <v>0</v>
      </c>
      <c r="BJ253" s="20">
        <f ca="1">IF($BE253&lt;=0,ROUND(BN253*0.5,0), ROUND($BE253*V253*AD253*M253*BB253*0.8*[2]ステータス!$E$2,0))</f>
        <v>1399</v>
      </c>
      <c r="BK253" s="14">
        <f ca="1">ROUND(BD253*S253*AA253*J253*AY253*[2]ステータス!$B$2,0)</f>
        <v>4320</v>
      </c>
      <c r="BL253" s="14">
        <f ca="1">ROUND(BD253*T253*AB253*K253*AZ253*[2]ステータス!$C$2,0)</f>
        <v>2809</v>
      </c>
      <c r="BM253" s="14">
        <f ca="1">ROUND(BD253*U253*AC253*L253*BA253*[2]ステータス!$D$2,0)</f>
        <v>0</v>
      </c>
      <c r="BN253" s="14">
        <f ca="1">ROUND(BD253*V253*AD253*M253*BB253*[2]ステータス!$E$2,0)</f>
        <v>2249</v>
      </c>
      <c r="BO253" s="13">
        <v>0</v>
      </c>
      <c r="BP253" s="13">
        <v>1</v>
      </c>
      <c r="BQ253" s="13" t="s">
        <v>102</v>
      </c>
      <c r="BR253" s="13">
        <f ca="1">VLOOKUP(H253,ghosts_label!$A$2:$B$19,2,FALSE)</f>
        <v>700</v>
      </c>
    </row>
    <row r="254" spans="1:70" ht="21" customHeight="1" x14ac:dyDescent="0.15">
      <c r="A254" s="14">
        <f t="shared" ca="1" si="22"/>
        <v>253</v>
      </c>
      <c r="B254" s="77" t="str">
        <f ca="1">VLOOKUP($A254,OFFSET([2]characters!$A$1,0,0,COUNTA([2]characters!$A:$A),MATCH(B$1,[2]characters!$1:$1,0)-MATCH($A$1,[2]characters!$1:$1,0)+1),MATCH(B$1,[2]characters!$1:$1,0)-MATCH($A$1,[2]characters!$1:$1,0)+1,FALSE)</f>
        <v>ベルフェゴール</v>
      </c>
      <c r="C254" s="77" t="str">
        <f ca="1">VLOOKUP($A254,OFFSET([2]characters!$A$1,0,0,COUNTA([2]characters!$A:$A),MATCH(C$1,[2]characters!$1:$1,0)-MATCH($A$1,[2]characters!$1:$1,0)+1),MATCH(C$1,[2]characters!$1:$1,0)-MATCH($A$1,[2]characters!$1:$1,0)+1,FALSE)</f>
        <v>ガチャ:7つの大罪01</v>
      </c>
      <c r="D254" s="77" t="str">
        <f ca="1">VLOOKUP($A254,OFFSET([2]characters!$A$1,0,0,COUNTA([2]characters!$A:$A),MATCH(D$1,[2]characters!$1:$1,0)-MATCH($A$1,[2]characters!$1:$1,0)+1),MATCH(D$1,[2]characters!$1:$1,0)-MATCH($A$1,[2]characters!$1:$1,0)+1,FALSE)</f>
        <v>執行者</v>
      </c>
      <c r="E254" s="77" t="str">
        <f ca="1">VLOOKUP($A254,OFFSET([2]characters!$A$1,0,0,COUNTA([2]characters!$A:$A),MATCH(E$1,[2]characters!$1:$1,0)-MATCH($A$1,[2]characters!$1:$1,0)+1),MATCH(E$1,[2]characters!$1:$1,0)-MATCH($A$1,[2]characters!$1:$1,0)+1,FALSE)</f>
        <v>可愛い</v>
      </c>
      <c r="F254" s="77" t="str">
        <f ca="1">VLOOKUP($A254,OFFSET([2]characters!$A$1,0,0,COUNTA([2]characters!$A:$A),MATCH(F$1,[2]characters!$1:$1,0)-MATCH($A$1,[2]characters!$1:$1,0)+1),MATCH(F$1,[2]characters!$1:$1,0)-MATCH($A$1,[2]characters!$1:$1,0)+1,FALSE)</f>
        <v>女性</v>
      </c>
      <c r="G254" s="77">
        <f ca="1">VLOOKUP($A254,OFFSET([2]characters!$A$1,0,0,COUNTA([2]characters!$A:$A),MATCH(G$1,[2]characters!$1:$1,0)-MATCH($A$1,[2]characters!$1:$1,0)+1),MATCH(G$1,[2]characters!$1:$1,0)-MATCH($A$1,[2]characters!$1:$1,0)+1,FALSE)</f>
        <v>3</v>
      </c>
      <c r="H254" s="77" t="str">
        <f ca="1">VLOOKUP($A254,OFFSET([2]characters!$A$1,0,0,COUNTA([2]characters!$A:$A),MATCH(H$1,[2]characters!$1:$1,0)-MATCH($A$1,[2]characters!$1:$1,0)+1),MATCH(H$1,[2]characters!$1:$1,0)-MATCH($A$1,[2]characters!$1:$1,0)+1,FALSE)</f>
        <v>PremiumS</v>
      </c>
      <c r="I254" s="77" t="str">
        <f ca="1">VLOOKUP($A254,OFFSET([2]characters!$A$1,0,0,COUNTA([2]characters!$A:$A),MATCH(I$1,[2]characters!$1:$1,0)-MATCH($A$1,[2]characters!$1:$1,0)+1),MATCH(I$1,[2]characters!$1:$1,0)-MATCH($A$1,[2]characters!$1:$1,0)+1,FALSE)</f>
        <v>green</v>
      </c>
      <c r="J254" s="14">
        <f ca="1">VLOOKUP(I254,[2]属性!$A:$E,2,FALSE)</f>
        <v>1.02</v>
      </c>
      <c r="K254" s="14">
        <f ca="1">VLOOKUP(I254,[2]属性!$A:$E,3,FALSE)</f>
        <v>0.98</v>
      </c>
      <c r="L254" s="14">
        <f ca="1">VLOOKUP(I254,[2]属性!$A:$E,4,FALSE)</f>
        <v>1</v>
      </c>
      <c r="M254" s="14">
        <f ca="1">VLOOKUP(I254,[2]属性!$A:$E,5,FALSE)</f>
        <v>1</v>
      </c>
      <c r="N254" s="14">
        <f ca="1">INDEX(コスト!$A$1:$I$20,MATCH(H254,コスト!$A$1:$A$20,FALSE),MATCH(G254,コスト!$A$1:$I$1,FALSE))</f>
        <v>10</v>
      </c>
      <c r="O254" s="14">
        <f ca="1">INDEX(レベル!$A$1:$I$21,MATCH(H254,レベル!$A$1:$A$21,FALSE),MATCH(G254,レベル!$A$1:$I$1,FALSE))</f>
        <v>40</v>
      </c>
      <c r="P254" s="63">
        <f t="shared" ca="1" si="28"/>
        <v>45</v>
      </c>
      <c r="Q254" s="77" t="str">
        <f ca="1">VLOOKUP($A254,OFFSET([2]characters!$A$1,0,0,COUNTA([2]characters!$A:$A),MATCH(Q$1,[2]characters!$1:$1,0)-MATCH($A$1,[2]characters!$1:$1,0)+1),MATCH(Q$1,[2]characters!$1:$1,0)-MATCH($A$1,[2]characters!$1:$1,0)+1,FALSE)</f>
        <v>technical</v>
      </c>
      <c r="R254" s="8" t="str">
        <f ca="1">VLOOKUP(Q254,[2]character_type_i18n!$A:$H,3,FALSE)</f>
        <v>テクニカルタイプ</v>
      </c>
      <c r="S254" s="14">
        <f ca="1">VLOOKUP(Q254,[2]character_type_i18n!$A:$H,4,FALSE)</f>
        <v>0.9</v>
      </c>
      <c r="T254" s="14">
        <f ca="1">VLOOKUP(Q254,[2]character_type_i18n!$A:$H,5,FALSE)</f>
        <v>0.9</v>
      </c>
      <c r="U254" s="14">
        <f ca="1">VLOOKUP(Q254,[2]character_type_i18n!$A:$H,6,FALSE)</f>
        <v>1</v>
      </c>
      <c r="V254" s="14">
        <f ca="1">VLOOKUP(Q254,[2]character_type_i18n!$A:$H,7,FALSE)</f>
        <v>0.9</v>
      </c>
      <c r="W254" s="77" t="str">
        <f ca="1">VLOOKUP($A254,OFFSET([2]characters!$A$1,0,0,COUNTA([2]characters!$A:$A),MATCH(W$1,[2]characters!$1:$1,0)-MATCH($A$1,[2]characters!$1:$1,0)+1),MATCH(W$1,[2]characters!$1:$1,0)-MATCH($A$1,[2]characters!$1:$1,0)+1,FALSE)</f>
        <v>god</v>
      </c>
      <c r="X254" s="8" t="str">
        <f ca="1">VLOOKUP(W254,[2]character_tribe_i18n!$A:$H,3,FALSE)</f>
        <v>ゴッド</v>
      </c>
      <c r="Y254" s="77" t="str">
        <f ca="1">VLOOKUP($A254,OFFSET([2]characters!$A$1,0,0,COUNTA([2]characters!$A:$A),MATCH(Y$1,[2]characters!$1:$1,0)-MATCH($A$1,[2]characters!$1:$1,0)+1),MATCH(Y$1,[2]characters!$1:$1,0)-MATCH($A$1,[2]characters!$1:$1,0)+1,FALSE)</f>
        <v>none</v>
      </c>
      <c r="Z254" s="8" t="str">
        <f ca="1">VLOOKUP(Y254,[2]character_tribe_i18n!$A:$H,3,FALSE)</f>
        <v>種族なし</v>
      </c>
      <c r="AA254" s="14">
        <f ca="1">VLOOKUP(W254,[2]character_tribe_i18n!$A:$H,4,FALSE)</f>
        <v>0.96</v>
      </c>
      <c r="AB254" s="14">
        <f ca="1">VLOOKUP(W254,[2]character_tribe_i18n!$A:$H,5,FALSE)</f>
        <v>1.02</v>
      </c>
      <c r="AC254" s="14">
        <f ca="1">VLOOKUP(W254,[2]character_tribe_i18n!$A:$H,6,FALSE)</f>
        <v>1</v>
      </c>
      <c r="AD254" s="14">
        <f ca="1">VLOOKUP(W254,[2]character_tribe_i18n!$A:$H,7,FALSE)</f>
        <v>1.02</v>
      </c>
      <c r="AE254" s="12">
        <v>254</v>
      </c>
      <c r="AF254" s="85" t="str">
        <f ca="1">IF(AE254="NULL","",VLOOKUP($AE254,OFFSET([2]characters!$A$1,0,0,COUNTA([2]characters!$A:$A),MATCH(AF$1,[2]characters!$1:$1,0)-MATCH($A$1,[2]characters!$1:$1,0)+1),MATCH(AF$1,[2]characters!$1:$1,0)-MATCH($A$1,[2]characters!$1:$1,0)+1,FALSE))</f>
        <v>怠惰 ベルフェゴール</v>
      </c>
      <c r="AG254" s="8">
        <f t="shared" ca="1" si="23"/>
        <v>253</v>
      </c>
      <c r="AH254" s="85" t="str">
        <f ca="1">VLOOKUP($AG254,OFFSET([2]characters!$A$1,0,0,COUNTA([2]characters!$A:$A),MATCH(AH$1,[2]characters!$1:$1,0)-MATCH($A$1,[2]characters!$1:$1,0)+1),MATCH(AH$1,[2]characters!$1:$1,0)-MATCH($A$1,[2]characters!$1:$1,0)+1,FALSE)</f>
        <v>ベルフェゴール</v>
      </c>
      <c r="AI254" s="14">
        <f ca="1">IF(AE254="NULL","NULL",VLOOKUP(G254,ビット!$A$2:$B$7,2))</f>
        <v>20000</v>
      </c>
      <c r="AJ254" s="9">
        <v>2</v>
      </c>
      <c r="AK254" s="10" t="str">
        <f t="shared" si="24"/>
        <v>普通</v>
      </c>
      <c r="AL254" s="14" t="str">
        <f ca="1">INDEX(経験値!$A$1:$I$20,MATCH(H254,経験値!$A$1:$A$20,FALSE),MATCH(G254,経験値!$A$1:$I$1,FALSE))</f>
        <v>required_exp_200</v>
      </c>
      <c r="AM254" s="11">
        <f ca="1">VLOOKUP(G254,経験値!$A$27:$B$31,2)</f>
        <v>1500</v>
      </c>
      <c r="AN254" s="21">
        <f ca="1">VLOOKUP(G254,ビット!$G$2:$H$7,2)</f>
        <v>300</v>
      </c>
      <c r="AO254" s="98" t="s">
        <v>181</v>
      </c>
      <c r="AP254" s="101">
        <v>440004</v>
      </c>
      <c r="AQ254" s="77" t="e">
        <f ca="1">VLOOKUP($AP254,OFFSET([1]unit_skills!$A$1,0,0,COUNTA([1]unit_skills!$A:$A),MATCH("name",[1]unit_skills!$1:$1,0)-MATCH($AP$1,[1]unit_skills!$1:$1,0)+1),MATCH("name",[1]unit_skills!$1:$1,0)-MATCH($AP$1,[1]unit_skills!$1:$1,0)+1,FALSE)</f>
        <v>#VALUE!</v>
      </c>
      <c r="AR254" s="77" t="e">
        <f ca="1">VLOOKUP($AP254,OFFSET([1]unit_skills!$A$1,0,0,COUNTA([1]unit_skills!$A:$A),MATCH("comment",[1]unit_skills!$1:$1,0)-MATCH($AP$1,[1]unit_skills!$1:$1,0)+1),MATCH("comment",[1]unit_skills!$1:$1,0)-MATCH($AP$1,[1]unit_skills!$1:$1,0)+1,FALSE)</f>
        <v>#VALUE!</v>
      </c>
      <c r="AS254" s="77" t="e">
        <f ca="1">VLOOKUP($AP254,OFFSET([1]unit_skills!$A$1,0,0,COUNTA([1]unit_skills!$A:$A),MATCH(AS$1,[1]unit_skills!$1:$1,0)-MATCH($AP$1,[1]unit_skills!$1:$1,0)+1),MATCH(AS$1,[1]unit_skills!$1:$1,0)-MATCH($AP$1,[1]unit_skills!$1:$1,0)+1,FALSE)</f>
        <v>#VALUE!</v>
      </c>
      <c r="AT254" s="97">
        <v>112003</v>
      </c>
      <c r="AU254" s="77" t="e">
        <f ca="1">VLOOKUP($AT254,OFFSET([1]crash_skills!$A$1,0,0,COUNTA([1]crash_skills!$A:$A),MATCH("name",[1]crash_skills!$1:$1,0)-MATCH($AT$1,[1]crash_skills!$1:$1,0)+1),MATCH("name",[1]crash_skills!$1:$1,0)-MATCH($AT$1,[1]crash_skills!$1:$1,0)+1,FALSE)</f>
        <v>#VALUE!</v>
      </c>
      <c r="AV254" s="77" t="e">
        <f ca="1">VLOOKUP($AT254,OFFSET([1]crash_skills!$A$1,0,0,COUNTA([1]crash_skills!$A:$A),MATCH("comment",[1]crash_skills!$1:$1,0)-MATCH($AT$1,[1]crash_skills!$1:$1,0)+1),MATCH("comment",[1]crash_skills!$1:$1,0)-MATCH($AT$1,[1]crash_skills!$1:$1,0)+1,FALSE)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54" s="77" t="e">
        <f ca="1">VLOOKUP($AT254,OFFSET([1]crash_skills!$A$1,0,0,COUNTA([1]crash_skills!$A:$A),MATCH(AW$1,[1]crash_skills!$1:$1,0)-MATCH($AT$1,[1]crash_skills!$1:$1,0)+1),MATCH(AW$1,[1]crash_skills!$1:$1,0)-MATCH($AT$1,[1]crash_skills!$1:$1,0)+1,FALSE)</f>
        <v>#VALUE!</v>
      </c>
      <c r="AX254" s="81">
        <f ca="1">VLOOKUP($A254,OFFSET([2]characters!$A$1,0,0,COUNTA([2]characters!$A:$A),MATCH(AX$1,[2]characters!$1:$1,0)-MATCH($A$1,[2]characters!$1:$1,0)+1),MATCH(AX$1,[2]characters!$1:$1,0)-MATCH($A$1,[2]characters!$1:$1,0)+1,FALSE)</f>
        <v>3</v>
      </c>
      <c r="AY254" s="19">
        <v>1</v>
      </c>
      <c r="AZ254" s="19">
        <v>0.8</v>
      </c>
      <c r="BA254" s="19">
        <v>0</v>
      </c>
      <c r="BB254" s="19">
        <v>1.2</v>
      </c>
      <c r="BC254" s="14">
        <f ca="1">INDEX('RC6SV'!$A$1:$G$20,MATCH(H254,'RC6SV'!$A$1:$A$20,FALSE),MATCH(G254,'RC6SV'!$A$1:$G$1,FALSE))</f>
        <v>5000</v>
      </c>
      <c r="BD254" s="63">
        <f t="shared" ca="1" si="25"/>
        <v>5000</v>
      </c>
      <c r="BE254" s="14">
        <f t="shared" ca="1" si="26"/>
        <v>0</v>
      </c>
      <c r="BF254" s="14">
        <f t="shared" ca="1" si="27"/>
        <v>1</v>
      </c>
      <c r="BG254" s="20">
        <f ca="1">IF($BE254&lt;=0,ROUND(BK254*0.5,0), ROUND($BE254*S254*AA254*J254*AY254*0.8*[2]ステータス!$B$2,0))</f>
        <v>1102</v>
      </c>
      <c r="BH254" s="20">
        <f ca="1">IF($BE254&lt;=0,ROUND(BL254*0.5,0), ROUND($BE254*T254*AB254*K254*AZ254*0.8*[2]ステータス!$C$2,0))</f>
        <v>540</v>
      </c>
      <c r="BI254" s="20">
        <f ca="1">IF($BE254&lt;=0,ROUND(BM254*0.5,0), ROUND($BE254*U254*AC254*L254*BA254*0.8*[2]ステータス!$D$2,0))</f>
        <v>0</v>
      </c>
      <c r="BJ254" s="20">
        <f ca="1">IF($BE254&lt;=0,ROUND(BN254*0.5,0), ROUND($BE254*V254*AD254*M254*BB254*0.8*[2]ステータス!$E$2,0))</f>
        <v>689</v>
      </c>
      <c r="BK254" s="14">
        <f ca="1">ROUND(BD254*S254*AA254*J254*AY254*[2]ステータス!$B$2,0)</f>
        <v>2203</v>
      </c>
      <c r="BL254" s="14">
        <f ca="1">ROUND(BD254*T254*AB254*K254*AZ254*[2]ステータス!$C$2,0)</f>
        <v>1080</v>
      </c>
      <c r="BM254" s="14">
        <f ca="1">ROUND(BD254*U254*AC254*L254*BA254*[2]ステータス!$D$2,0)</f>
        <v>0</v>
      </c>
      <c r="BN254" s="14">
        <f ca="1">ROUND(BD254*V254*AD254*M254*BB254*[2]ステータス!$E$2,0)</f>
        <v>1377</v>
      </c>
      <c r="BO254" s="13">
        <v>0</v>
      </c>
      <c r="BP254" s="13">
        <v>1</v>
      </c>
      <c r="BQ254" s="13" t="s">
        <v>102</v>
      </c>
      <c r="BR254" s="13">
        <f ca="1">VLOOKUP(H254,ghosts_label!$A$2:$B$19,2,FALSE)</f>
        <v>700</v>
      </c>
    </row>
    <row r="255" spans="1:70" ht="21" customHeight="1" x14ac:dyDescent="0.15">
      <c r="A255" s="14">
        <f t="shared" ca="1" si="22"/>
        <v>254</v>
      </c>
      <c r="B255" s="77" t="str">
        <f ca="1">VLOOKUP($A255,OFFSET([2]characters!$A$1,0,0,COUNTA([2]characters!$A:$A),MATCH(B$1,[2]characters!$1:$1,0)-MATCH($A$1,[2]characters!$1:$1,0)+1),MATCH(B$1,[2]characters!$1:$1,0)-MATCH($A$1,[2]characters!$1:$1,0)+1,FALSE)</f>
        <v>怠惰 ベルフェゴール</v>
      </c>
      <c r="C255" s="77" t="str">
        <f ca="1">VLOOKUP($A255,OFFSET([2]characters!$A$1,0,0,COUNTA([2]characters!$A:$A),MATCH(C$1,[2]characters!$1:$1,0)-MATCH($A$1,[2]characters!$1:$1,0)+1),MATCH(C$1,[2]characters!$1:$1,0)-MATCH($A$1,[2]characters!$1:$1,0)+1,FALSE)</f>
        <v>ガチャ:7つの大罪01</v>
      </c>
      <c r="D255" s="77" t="str">
        <f ca="1">VLOOKUP($A255,OFFSET([2]characters!$A$1,0,0,COUNTA([2]characters!$A:$A),MATCH(D$1,[2]characters!$1:$1,0)-MATCH($A$1,[2]characters!$1:$1,0)+1),MATCH(D$1,[2]characters!$1:$1,0)-MATCH($A$1,[2]characters!$1:$1,0)+1,FALSE)</f>
        <v>執行者</v>
      </c>
      <c r="E255" s="77" t="str">
        <f ca="1">VLOOKUP($A255,OFFSET([2]characters!$A$1,0,0,COUNTA([2]characters!$A:$A),MATCH(E$1,[2]characters!$1:$1,0)-MATCH($A$1,[2]characters!$1:$1,0)+1),MATCH(E$1,[2]characters!$1:$1,0)-MATCH($A$1,[2]characters!$1:$1,0)+1,FALSE)</f>
        <v>可愛い</v>
      </c>
      <c r="F255" s="77" t="str">
        <f ca="1">VLOOKUP($A255,OFFSET([2]characters!$A$1,0,0,COUNTA([2]characters!$A:$A),MATCH(F$1,[2]characters!$1:$1,0)-MATCH($A$1,[2]characters!$1:$1,0)+1),MATCH(F$1,[2]characters!$1:$1,0)-MATCH($A$1,[2]characters!$1:$1,0)+1,FALSE)</f>
        <v>女性</v>
      </c>
      <c r="G255" s="77">
        <f ca="1">VLOOKUP($A255,OFFSET([2]characters!$A$1,0,0,COUNTA([2]characters!$A:$A),MATCH(G$1,[2]characters!$1:$1,0)-MATCH($A$1,[2]characters!$1:$1,0)+1),MATCH(G$1,[2]characters!$1:$1,0)-MATCH($A$1,[2]characters!$1:$1,0)+1,FALSE)</f>
        <v>4</v>
      </c>
      <c r="H255" s="77" t="str">
        <f ca="1">VLOOKUP($A255,OFFSET([2]characters!$A$1,0,0,COUNTA([2]characters!$A:$A),MATCH(H$1,[2]characters!$1:$1,0)-MATCH($A$1,[2]characters!$1:$1,0)+1),MATCH(H$1,[2]characters!$1:$1,0)-MATCH($A$1,[2]characters!$1:$1,0)+1,FALSE)</f>
        <v>PremiumS</v>
      </c>
      <c r="I255" s="77" t="str">
        <f ca="1">VLOOKUP($A255,OFFSET([2]characters!$A$1,0,0,COUNTA([2]characters!$A:$A),MATCH(I$1,[2]characters!$1:$1,0)-MATCH($A$1,[2]characters!$1:$1,0)+1),MATCH(I$1,[2]characters!$1:$1,0)-MATCH($A$1,[2]characters!$1:$1,0)+1,FALSE)</f>
        <v>green</v>
      </c>
      <c r="J255" s="14">
        <f ca="1">VLOOKUP(I255,[2]属性!$A:$E,2,FALSE)</f>
        <v>1.02</v>
      </c>
      <c r="K255" s="14">
        <f ca="1">VLOOKUP(I255,[2]属性!$A:$E,3,FALSE)</f>
        <v>0.98</v>
      </c>
      <c r="L255" s="14">
        <f ca="1">VLOOKUP(I255,[2]属性!$A:$E,4,FALSE)</f>
        <v>1</v>
      </c>
      <c r="M255" s="14">
        <f ca="1">VLOOKUP(I255,[2]属性!$A:$E,5,FALSE)</f>
        <v>1</v>
      </c>
      <c r="N255" s="14">
        <f ca="1">INDEX(コスト!$A$1:$I$20,MATCH(H255,コスト!$A$1:$A$20,FALSE),MATCH(G255,コスト!$A$1:$I$1,FALSE))</f>
        <v>20</v>
      </c>
      <c r="O255" s="14">
        <f ca="1">INDEX(レベル!$A$1:$I$21,MATCH(H255,レベル!$A$1:$A$21,FALSE),MATCH(G255,レベル!$A$1:$I$1,FALSE))</f>
        <v>60</v>
      </c>
      <c r="P255" s="63">
        <f t="shared" ca="1" si="28"/>
        <v>60</v>
      </c>
      <c r="Q255" s="77" t="str">
        <f ca="1">VLOOKUP($A255,OFFSET([2]characters!$A$1,0,0,COUNTA([2]characters!$A:$A),MATCH(Q$1,[2]characters!$1:$1,0)-MATCH($A$1,[2]characters!$1:$1,0)+1),MATCH(Q$1,[2]characters!$1:$1,0)-MATCH($A$1,[2]characters!$1:$1,0)+1,FALSE)</f>
        <v>technical</v>
      </c>
      <c r="R255" s="8" t="str">
        <f ca="1">VLOOKUP(Q255,[2]character_type_i18n!$A:$H,3,FALSE)</f>
        <v>テクニカルタイプ</v>
      </c>
      <c r="S255" s="14">
        <f ca="1">VLOOKUP(Q255,[2]character_type_i18n!$A:$H,4,FALSE)</f>
        <v>0.9</v>
      </c>
      <c r="T255" s="14">
        <f ca="1">VLOOKUP(Q255,[2]character_type_i18n!$A:$H,5,FALSE)</f>
        <v>0.9</v>
      </c>
      <c r="U255" s="14">
        <f ca="1">VLOOKUP(Q255,[2]character_type_i18n!$A:$H,6,FALSE)</f>
        <v>1</v>
      </c>
      <c r="V255" s="14">
        <f ca="1">VLOOKUP(Q255,[2]character_type_i18n!$A:$H,7,FALSE)</f>
        <v>0.9</v>
      </c>
      <c r="W255" s="77" t="str">
        <f ca="1">VLOOKUP($A255,OFFSET([2]characters!$A$1,0,0,COUNTA([2]characters!$A:$A),MATCH(W$1,[2]characters!$1:$1,0)-MATCH($A$1,[2]characters!$1:$1,0)+1),MATCH(W$1,[2]characters!$1:$1,0)-MATCH($A$1,[2]characters!$1:$1,0)+1,FALSE)</f>
        <v>god</v>
      </c>
      <c r="X255" s="8" t="str">
        <f ca="1">VLOOKUP(W255,[2]character_tribe_i18n!$A:$H,3,FALSE)</f>
        <v>ゴッド</v>
      </c>
      <c r="Y255" s="77" t="str">
        <f ca="1">VLOOKUP($A255,OFFSET([2]characters!$A$1,0,0,COUNTA([2]characters!$A:$A),MATCH(Y$1,[2]characters!$1:$1,0)-MATCH($A$1,[2]characters!$1:$1,0)+1),MATCH(Y$1,[2]characters!$1:$1,0)-MATCH($A$1,[2]characters!$1:$1,0)+1,FALSE)</f>
        <v>none</v>
      </c>
      <c r="Z255" s="8" t="str">
        <f ca="1">VLOOKUP(Y255,[2]character_tribe_i18n!$A:$H,3,FALSE)</f>
        <v>種族なし</v>
      </c>
      <c r="AA255" s="14">
        <f ca="1">VLOOKUP(W255,[2]character_tribe_i18n!$A:$H,4,FALSE)</f>
        <v>0.96</v>
      </c>
      <c r="AB255" s="14">
        <f ca="1">VLOOKUP(W255,[2]character_tribe_i18n!$A:$H,5,FALSE)</f>
        <v>1.02</v>
      </c>
      <c r="AC255" s="14">
        <f ca="1">VLOOKUP(W255,[2]character_tribe_i18n!$A:$H,6,FALSE)</f>
        <v>1</v>
      </c>
      <c r="AD255" s="14">
        <f ca="1">VLOOKUP(W255,[2]character_tribe_i18n!$A:$H,7,FALSE)</f>
        <v>1.02</v>
      </c>
      <c r="AE255" s="12">
        <v>255</v>
      </c>
      <c r="AF255" s="85" t="str">
        <f ca="1">IF(AE255="NULL","",VLOOKUP($AE255,OFFSET([2]characters!$A$1,0,0,COUNTA([2]characters!$A:$A),MATCH(AF$1,[2]characters!$1:$1,0)-MATCH($A$1,[2]characters!$1:$1,0)+1),MATCH(AF$1,[2]characters!$1:$1,0)-MATCH($A$1,[2]characters!$1:$1,0)+1,FALSE))</f>
        <v>怠惰の頂点 ベルフェゴール</v>
      </c>
      <c r="AG255" s="8">
        <f t="shared" ca="1" si="23"/>
        <v>253</v>
      </c>
      <c r="AH255" s="85" t="str">
        <f ca="1">VLOOKUP($AG255,OFFSET([2]characters!$A$1,0,0,COUNTA([2]characters!$A:$A),MATCH(AH$1,[2]characters!$1:$1,0)-MATCH($A$1,[2]characters!$1:$1,0)+1),MATCH(AH$1,[2]characters!$1:$1,0)-MATCH($A$1,[2]characters!$1:$1,0)+1,FALSE)</f>
        <v>ベルフェゴール</v>
      </c>
      <c r="AI255" s="14">
        <f ca="1">IF(AE255="NULL","NULL",VLOOKUP(G255,ビット!$A$2:$B$7,2))</f>
        <v>50000</v>
      </c>
      <c r="AJ255" s="9">
        <v>2</v>
      </c>
      <c r="AK255" s="10" t="str">
        <f t="shared" si="24"/>
        <v>普通</v>
      </c>
      <c r="AL255" s="14" t="str">
        <f ca="1">INDEX(経験値!$A$1:$I$20,MATCH(H255,経験値!$A$1:$A$20,FALSE),MATCH(G255,経験値!$A$1:$I$1,FALSE))</f>
        <v>required_exp_200</v>
      </c>
      <c r="AM255" s="11">
        <f ca="1">VLOOKUP(G255,経験値!$A$27:$B$31,2)</f>
        <v>3400</v>
      </c>
      <c r="AN255" s="21">
        <f ca="1">VLOOKUP(G255,ビット!$G$2:$H$7,2)</f>
        <v>600</v>
      </c>
      <c r="AO255" s="98" t="s">
        <v>181</v>
      </c>
      <c r="AP255" s="101">
        <v>440004</v>
      </c>
      <c r="AQ255" s="77" t="e">
        <f ca="1">VLOOKUP($AP255,OFFSET([1]unit_skills!$A$1,0,0,COUNTA([1]unit_skills!$A:$A),MATCH("name",[1]unit_skills!$1:$1,0)-MATCH($AP$1,[1]unit_skills!$1:$1,0)+1),MATCH("name",[1]unit_skills!$1:$1,0)-MATCH($AP$1,[1]unit_skills!$1:$1,0)+1,FALSE)</f>
        <v>#VALUE!</v>
      </c>
      <c r="AR255" s="77" t="e">
        <f ca="1">VLOOKUP($AP255,OFFSET([1]unit_skills!$A$1,0,0,COUNTA([1]unit_skills!$A:$A),MATCH("comment",[1]unit_skills!$1:$1,0)-MATCH($AP$1,[1]unit_skills!$1:$1,0)+1),MATCH("comment",[1]unit_skills!$1:$1,0)-MATCH($AP$1,[1]unit_skills!$1:$1,0)+1,FALSE)</f>
        <v>#VALUE!</v>
      </c>
      <c r="AS255" s="77" t="e">
        <f ca="1">VLOOKUP($AP255,OFFSET([1]unit_skills!$A$1,0,0,COUNTA([1]unit_skills!$A:$A),MATCH(AS$1,[1]unit_skills!$1:$1,0)-MATCH($AP$1,[1]unit_skills!$1:$1,0)+1),MATCH(AS$1,[1]unit_skills!$1:$1,0)-MATCH($AP$1,[1]unit_skills!$1:$1,0)+1,FALSE)</f>
        <v>#VALUE!</v>
      </c>
      <c r="AT255" s="97">
        <v>112003</v>
      </c>
      <c r="AU255" s="77" t="e">
        <f ca="1">VLOOKUP($AT255,OFFSET([1]crash_skills!$A$1,0,0,COUNTA([1]crash_skills!$A:$A),MATCH("name",[1]crash_skills!$1:$1,0)-MATCH($AT$1,[1]crash_skills!$1:$1,0)+1),MATCH("name",[1]crash_skills!$1:$1,0)-MATCH($AT$1,[1]crash_skills!$1:$1,0)+1,FALSE)</f>
        <v>#VALUE!</v>
      </c>
      <c r="AV255" s="77" t="e">
        <f ca="1">VLOOKUP($AT255,OFFSET([1]crash_skills!$A$1,0,0,COUNTA([1]crash_skills!$A:$A),MATCH("comment",[1]crash_skills!$1:$1,0)-MATCH($AT$1,[1]crash_skills!$1:$1,0)+1),MATCH("comment",[1]crash_skills!$1:$1,0)-MATCH($AT$1,[1]crash_skills!$1:$1,0)+1,FALSE)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55" s="77" t="e">
        <f ca="1">VLOOKUP($AT255,OFFSET([1]crash_skills!$A$1,0,0,COUNTA([1]crash_skills!$A:$A),MATCH(AW$1,[1]crash_skills!$1:$1,0)-MATCH($AT$1,[1]crash_skills!$1:$1,0)+1),MATCH(AW$1,[1]crash_skills!$1:$1,0)-MATCH($AT$1,[1]crash_skills!$1:$1,0)+1,FALSE)</f>
        <v>#VALUE!</v>
      </c>
      <c r="AX255" s="81">
        <f ca="1">VLOOKUP($A255,OFFSET([2]characters!$A$1,0,0,COUNTA([2]characters!$A:$A),MATCH(AX$1,[2]characters!$1:$1,0)-MATCH($A$1,[2]characters!$1:$1,0)+1),MATCH(AX$1,[2]characters!$1:$1,0)-MATCH($A$1,[2]characters!$1:$1,0)+1,FALSE)</f>
        <v>3</v>
      </c>
      <c r="AY255" s="19">
        <v>1</v>
      </c>
      <c r="AZ255" s="19">
        <v>0.8</v>
      </c>
      <c r="BA255" s="19">
        <v>0</v>
      </c>
      <c r="BB255" s="19">
        <v>1.2</v>
      </c>
      <c r="BC255" s="14">
        <f ca="1">INDEX('RC6SV'!$A$1:$G$20,MATCH(H255,'RC6SV'!$A$1:$A$20,FALSE),MATCH(G255,'RC6SV'!$A$1:$G$1,FALSE))</f>
        <v>7000</v>
      </c>
      <c r="BD255" s="63">
        <f t="shared" ca="1" si="25"/>
        <v>7000</v>
      </c>
      <c r="BE255" s="14">
        <f t="shared" ca="1" si="26"/>
        <v>5000</v>
      </c>
      <c r="BF255" s="14">
        <f t="shared" ca="1" si="27"/>
        <v>1</v>
      </c>
      <c r="BG255" s="20">
        <f ca="1">IF($BE255&lt;=0,ROUND(BK255*0.5,0), ROUND($BE255*S255*AA255*J255*AY255*0.8*[2]ステータス!$B$2,0))</f>
        <v>1763</v>
      </c>
      <c r="BH255" s="20">
        <f ca="1">IF($BE255&lt;=0,ROUND(BL255*0.5,0), ROUND($BE255*T255*AB255*K255*AZ255*0.8*[2]ステータス!$C$2,0))</f>
        <v>864</v>
      </c>
      <c r="BI255" s="20">
        <f ca="1">IF($BE255&lt;=0,ROUND(BM255*0.5,0), ROUND($BE255*U255*AC255*L255*BA255*0.8*[2]ステータス!$D$2,0))</f>
        <v>0</v>
      </c>
      <c r="BJ255" s="20">
        <f ca="1">IF($BE255&lt;=0,ROUND(BN255*0.5,0), ROUND($BE255*V255*AD255*M255*BB255*0.8*[2]ステータス!$E$2,0))</f>
        <v>1102</v>
      </c>
      <c r="BK255" s="14">
        <f ca="1">ROUND(BD255*S255*AA255*J255*AY255*[2]ステータス!$B$2,0)</f>
        <v>3084</v>
      </c>
      <c r="BL255" s="14">
        <f ca="1">ROUND(BD255*T255*AB255*K255*AZ255*[2]ステータス!$C$2,0)</f>
        <v>1511</v>
      </c>
      <c r="BM255" s="14">
        <f ca="1">ROUND(BD255*U255*AC255*L255*BA255*[2]ステータス!$D$2,0)</f>
        <v>0</v>
      </c>
      <c r="BN255" s="14">
        <f ca="1">ROUND(BD255*V255*AD255*M255*BB255*[2]ステータス!$E$2,0)</f>
        <v>1928</v>
      </c>
      <c r="BO255" s="13">
        <v>0</v>
      </c>
      <c r="BP255" s="13">
        <v>1</v>
      </c>
      <c r="BQ255" s="13" t="s">
        <v>102</v>
      </c>
      <c r="BR255" s="13">
        <f ca="1">VLOOKUP(H255,ghosts_label!$A$2:$B$19,2,FALSE)</f>
        <v>700</v>
      </c>
    </row>
    <row r="256" spans="1:70" ht="21" customHeight="1" x14ac:dyDescent="0.15">
      <c r="A256" s="14">
        <f t="shared" ca="1" si="22"/>
        <v>255</v>
      </c>
      <c r="B256" s="77" t="str">
        <f ca="1">VLOOKUP($A256,OFFSET([2]characters!$A$1,0,0,COUNTA([2]characters!$A:$A),MATCH(B$1,[2]characters!$1:$1,0)-MATCH($A$1,[2]characters!$1:$1,0)+1),MATCH(B$1,[2]characters!$1:$1,0)-MATCH($A$1,[2]characters!$1:$1,0)+1,FALSE)</f>
        <v>怠惰の頂点 ベルフェゴール</v>
      </c>
      <c r="C256" s="77" t="str">
        <f ca="1">VLOOKUP($A256,OFFSET([2]characters!$A$1,0,0,COUNTA([2]characters!$A:$A),MATCH(C$1,[2]characters!$1:$1,0)-MATCH($A$1,[2]characters!$1:$1,0)+1),MATCH(C$1,[2]characters!$1:$1,0)-MATCH($A$1,[2]characters!$1:$1,0)+1,FALSE)</f>
        <v>ガチャ:7つの大罪01</v>
      </c>
      <c r="D256" s="77" t="str">
        <f ca="1">VLOOKUP($A256,OFFSET([2]characters!$A$1,0,0,COUNTA([2]characters!$A:$A),MATCH(D$1,[2]characters!$1:$1,0)-MATCH($A$1,[2]characters!$1:$1,0)+1),MATCH(D$1,[2]characters!$1:$1,0)-MATCH($A$1,[2]characters!$1:$1,0)+1,FALSE)</f>
        <v>執行者</v>
      </c>
      <c r="E256" s="77" t="str">
        <f ca="1">VLOOKUP($A256,OFFSET([2]characters!$A$1,0,0,COUNTA([2]characters!$A:$A),MATCH(E$1,[2]characters!$1:$1,0)-MATCH($A$1,[2]characters!$1:$1,0)+1),MATCH(E$1,[2]characters!$1:$1,0)-MATCH($A$1,[2]characters!$1:$1,0)+1,FALSE)</f>
        <v>可愛い</v>
      </c>
      <c r="F256" s="77" t="str">
        <f ca="1">VLOOKUP($A256,OFFSET([2]characters!$A$1,0,0,COUNTA([2]characters!$A:$A),MATCH(F$1,[2]characters!$1:$1,0)-MATCH($A$1,[2]characters!$1:$1,0)+1),MATCH(F$1,[2]characters!$1:$1,0)-MATCH($A$1,[2]characters!$1:$1,0)+1,FALSE)</f>
        <v>女性</v>
      </c>
      <c r="G256" s="77">
        <f ca="1">VLOOKUP($A256,OFFSET([2]characters!$A$1,0,0,COUNTA([2]characters!$A:$A),MATCH(G$1,[2]characters!$1:$1,0)-MATCH($A$1,[2]characters!$1:$1,0)+1),MATCH(G$1,[2]characters!$1:$1,0)-MATCH($A$1,[2]characters!$1:$1,0)+1,FALSE)</f>
        <v>5</v>
      </c>
      <c r="H256" s="77" t="str">
        <f ca="1">VLOOKUP($A256,OFFSET([2]characters!$A$1,0,0,COUNTA([2]characters!$A:$A),MATCH(H$1,[2]characters!$1:$1,0)-MATCH($A$1,[2]characters!$1:$1,0)+1),MATCH(H$1,[2]characters!$1:$1,0)-MATCH($A$1,[2]characters!$1:$1,0)+1,FALSE)</f>
        <v>PremiumS</v>
      </c>
      <c r="I256" s="77" t="str">
        <f ca="1">VLOOKUP($A256,OFFSET([2]characters!$A$1,0,0,COUNTA([2]characters!$A:$A),MATCH(I$1,[2]characters!$1:$1,0)-MATCH($A$1,[2]characters!$1:$1,0)+1),MATCH(I$1,[2]characters!$1:$1,0)-MATCH($A$1,[2]characters!$1:$1,0)+1,FALSE)</f>
        <v>green</v>
      </c>
      <c r="J256" s="14">
        <f ca="1">VLOOKUP(I256,[2]属性!$A:$E,2,FALSE)</f>
        <v>1.02</v>
      </c>
      <c r="K256" s="14">
        <f ca="1">VLOOKUP(I256,[2]属性!$A:$E,3,FALSE)</f>
        <v>0.98</v>
      </c>
      <c r="L256" s="14">
        <f ca="1">VLOOKUP(I256,[2]属性!$A:$E,4,FALSE)</f>
        <v>1</v>
      </c>
      <c r="M256" s="14">
        <f ca="1">VLOOKUP(I256,[2]属性!$A:$E,5,FALSE)</f>
        <v>1</v>
      </c>
      <c r="N256" s="14">
        <f ca="1">INDEX(コスト!$A$1:$I$20,MATCH(H256,コスト!$A$1:$A$20,FALSE),MATCH(G256,コスト!$A$1:$I$1,FALSE))</f>
        <v>30</v>
      </c>
      <c r="O256" s="14">
        <f ca="1">INDEX(レベル!$A$1:$I$21,MATCH(H256,レベル!$A$1:$A$21,FALSE),MATCH(G256,レベル!$A$1:$I$1,FALSE))</f>
        <v>80</v>
      </c>
      <c r="P256" s="63">
        <f t="shared" ca="1" si="28"/>
        <v>75</v>
      </c>
      <c r="Q256" s="77" t="str">
        <f ca="1">VLOOKUP($A256,OFFSET([2]characters!$A$1,0,0,COUNTA([2]characters!$A:$A),MATCH(Q$1,[2]characters!$1:$1,0)-MATCH($A$1,[2]characters!$1:$1,0)+1),MATCH(Q$1,[2]characters!$1:$1,0)-MATCH($A$1,[2]characters!$1:$1,0)+1,FALSE)</f>
        <v>technical</v>
      </c>
      <c r="R256" s="8" t="str">
        <f ca="1">VLOOKUP(Q256,[2]character_type_i18n!$A:$H,3,FALSE)</f>
        <v>テクニカルタイプ</v>
      </c>
      <c r="S256" s="14">
        <f ca="1">VLOOKUP(Q256,[2]character_type_i18n!$A:$H,4,FALSE)</f>
        <v>0.9</v>
      </c>
      <c r="T256" s="14">
        <f ca="1">VLOOKUP(Q256,[2]character_type_i18n!$A:$H,5,FALSE)</f>
        <v>0.9</v>
      </c>
      <c r="U256" s="14">
        <f ca="1">VLOOKUP(Q256,[2]character_type_i18n!$A:$H,6,FALSE)</f>
        <v>1</v>
      </c>
      <c r="V256" s="14">
        <f ca="1">VLOOKUP(Q256,[2]character_type_i18n!$A:$H,7,FALSE)</f>
        <v>0.9</v>
      </c>
      <c r="W256" s="77" t="str">
        <f ca="1">VLOOKUP($A256,OFFSET([2]characters!$A$1,0,0,COUNTA([2]characters!$A:$A),MATCH(W$1,[2]characters!$1:$1,0)-MATCH($A$1,[2]characters!$1:$1,0)+1),MATCH(W$1,[2]characters!$1:$1,0)-MATCH($A$1,[2]characters!$1:$1,0)+1,FALSE)</f>
        <v>god</v>
      </c>
      <c r="X256" s="8" t="str">
        <f ca="1">VLOOKUP(W256,[2]character_tribe_i18n!$A:$H,3,FALSE)</f>
        <v>ゴッド</v>
      </c>
      <c r="Y256" s="77" t="str">
        <f ca="1">VLOOKUP($A256,OFFSET([2]characters!$A$1,0,0,COUNTA([2]characters!$A:$A),MATCH(Y$1,[2]characters!$1:$1,0)-MATCH($A$1,[2]characters!$1:$1,0)+1),MATCH(Y$1,[2]characters!$1:$1,0)-MATCH($A$1,[2]characters!$1:$1,0)+1,FALSE)</f>
        <v>none</v>
      </c>
      <c r="Z256" s="8" t="str">
        <f ca="1">VLOOKUP(Y256,[2]character_tribe_i18n!$A:$H,3,FALSE)</f>
        <v>種族なし</v>
      </c>
      <c r="AA256" s="14">
        <f ca="1">VLOOKUP(W256,[2]character_tribe_i18n!$A:$H,4,FALSE)</f>
        <v>0.96</v>
      </c>
      <c r="AB256" s="14">
        <f ca="1">VLOOKUP(W256,[2]character_tribe_i18n!$A:$H,5,FALSE)</f>
        <v>1.02</v>
      </c>
      <c r="AC256" s="14">
        <f ca="1">VLOOKUP(W256,[2]character_tribe_i18n!$A:$H,6,FALSE)</f>
        <v>1</v>
      </c>
      <c r="AD256" s="14">
        <f ca="1">VLOOKUP(W256,[2]character_tribe_i18n!$A:$H,7,FALSE)</f>
        <v>1.02</v>
      </c>
      <c r="AE256" s="12" t="s">
        <v>102</v>
      </c>
      <c r="AF256" s="85" t="str">
        <f ca="1">IF(AE256="NULL","",VLOOKUP($AE256,OFFSET([2]characters!$A$1,0,0,COUNTA([2]characters!$A:$A),MATCH(AF$1,[2]characters!$1:$1,0)-MATCH($A$1,[2]characters!$1:$1,0)+1),MATCH(AF$1,[2]characters!$1:$1,0)-MATCH($A$1,[2]characters!$1:$1,0)+1,FALSE))</f>
        <v/>
      </c>
      <c r="AG256" s="8">
        <f t="shared" ca="1" si="23"/>
        <v>253</v>
      </c>
      <c r="AH256" s="85" t="str">
        <f ca="1">VLOOKUP($AG256,OFFSET([2]characters!$A$1,0,0,COUNTA([2]characters!$A:$A),MATCH(AH$1,[2]characters!$1:$1,0)-MATCH($A$1,[2]characters!$1:$1,0)+1),MATCH(AH$1,[2]characters!$1:$1,0)-MATCH($A$1,[2]characters!$1:$1,0)+1,FALSE)</f>
        <v>ベルフェゴール</v>
      </c>
      <c r="AI256" s="14" t="str">
        <f>IF(AE256="NULL","NULL",VLOOKUP(G256,ビット!$A$2:$B$7,2))</f>
        <v>NULL</v>
      </c>
      <c r="AJ256" s="9">
        <v>2</v>
      </c>
      <c r="AK256" s="10" t="str">
        <f t="shared" si="24"/>
        <v>普通</v>
      </c>
      <c r="AL256" s="14" t="str">
        <f ca="1">INDEX(経験値!$A$1:$I$20,MATCH(H256,経験値!$A$1:$A$20,FALSE),MATCH(G256,経験値!$A$1:$I$1,FALSE))</f>
        <v>required_exp_200</v>
      </c>
      <c r="AM256" s="11">
        <f ca="1">VLOOKUP(G256,経験値!$A$27:$B$31,2)</f>
        <v>6400</v>
      </c>
      <c r="AN256" s="21">
        <f ca="1">VLOOKUP(G256,ビット!$G$2:$H$7,2)</f>
        <v>900</v>
      </c>
      <c r="AO256" s="98" t="s">
        <v>181</v>
      </c>
      <c r="AP256" s="101">
        <v>440004</v>
      </c>
      <c r="AQ256" s="77" t="e">
        <f ca="1">VLOOKUP($AP256,OFFSET([1]unit_skills!$A$1,0,0,COUNTA([1]unit_skills!$A:$A),MATCH("name",[1]unit_skills!$1:$1,0)-MATCH($AP$1,[1]unit_skills!$1:$1,0)+1),MATCH("name",[1]unit_skills!$1:$1,0)-MATCH($AP$1,[1]unit_skills!$1:$1,0)+1,FALSE)</f>
        <v>#VALUE!</v>
      </c>
      <c r="AR256" s="77" t="e">
        <f ca="1">VLOOKUP($AP256,OFFSET([1]unit_skills!$A$1,0,0,COUNTA([1]unit_skills!$A:$A),MATCH("comment",[1]unit_skills!$1:$1,0)-MATCH($AP$1,[1]unit_skills!$1:$1,0)+1),MATCH("comment",[1]unit_skills!$1:$1,0)-MATCH($AP$1,[1]unit_skills!$1:$1,0)+1,FALSE)</f>
        <v>#VALUE!</v>
      </c>
      <c r="AS256" s="77" t="e">
        <f ca="1">VLOOKUP($AP256,OFFSET([1]unit_skills!$A$1,0,0,COUNTA([1]unit_skills!$A:$A),MATCH(AS$1,[1]unit_skills!$1:$1,0)-MATCH($AP$1,[1]unit_skills!$1:$1,0)+1),MATCH(AS$1,[1]unit_skills!$1:$1,0)-MATCH($AP$1,[1]unit_skills!$1:$1,0)+1,FALSE)</f>
        <v>#VALUE!</v>
      </c>
      <c r="AT256" s="97">
        <v>112012</v>
      </c>
      <c r="AU256" s="77" t="e">
        <f ca="1">VLOOKUP($AT256,OFFSET([1]crash_skills!$A$1,0,0,COUNTA([1]crash_skills!$A:$A),MATCH("name",[1]crash_skills!$1:$1,0)-MATCH($AT$1,[1]crash_skills!$1:$1,0)+1),MATCH("name",[1]crash_skills!$1:$1,0)-MATCH($AT$1,[1]crash_skills!$1:$1,0)+1,FALSE)</f>
        <v>#VALUE!</v>
      </c>
      <c r="AV256" s="77" t="e">
        <f ca="1">VLOOKUP($AT256,OFFSET([1]crash_skills!$A$1,0,0,COUNTA([1]crash_skills!$A:$A),MATCH("comment",[1]crash_skills!$1:$1,0)-MATCH($AT$1,[1]crash_skills!$1:$1,0)+1),MATCH("comment",[1]crash_skills!$1:$1,0)-MATCH($AT$1,[1]crash_skills!$1:$1,0)+1,FALSE)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56" s="77" t="e">
        <f ca="1">VLOOKUP($AT256,OFFSET([1]crash_skills!$A$1,0,0,COUNTA([1]crash_skills!$A:$A),MATCH(AW$1,[1]crash_skills!$1:$1,0)-MATCH($AT$1,[1]crash_skills!$1:$1,0)+1),MATCH(AW$1,[1]crash_skills!$1:$1,0)-MATCH($AT$1,[1]crash_skills!$1:$1,0)+1,FALSE)</f>
        <v>#VALUE!</v>
      </c>
      <c r="AX256" s="81">
        <f ca="1">VLOOKUP($A256,OFFSET([2]characters!$A$1,0,0,COUNTA([2]characters!$A:$A),MATCH(AX$1,[2]characters!$1:$1,0)-MATCH($A$1,[2]characters!$1:$1,0)+1),MATCH(AX$1,[2]characters!$1:$1,0)-MATCH($A$1,[2]characters!$1:$1,0)+1,FALSE)</f>
        <v>3</v>
      </c>
      <c r="AY256" s="19">
        <v>1</v>
      </c>
      <c r="AZ256" s="19">
        <v>0.8</v>
      </c>
      <c r="BA256" s="19">
        <v>0</v>
      </c>
      <c r="BB256" s="19">
        <v>1.2</v>
      </c>
      <c r="BC256" s="14">
        <f ca="1">INDEX('RC6SV'!$A$1:$G$20,MATCH(H256,'RC6SV'!$A$1:$A$20,FALSE),MATCH(G256,'RC6SV'!$A$1:$G$1,FALSE))</f>
        <v>9000</v>
      </c>
      <c r="BD256" s="63">
        <f t="shared" ca="1" si="25"/>
        <v>9000</v>
      </c>
      <c r="BE256" s="14">
        <f t="shared" ca="1" si="26"/>
        <v>7000</v>
      </c>
      <c r="BF256" s="14">
        <f t="shared" ca="1" si="27"/>
        <v>1</v>
      </c>
      <c r="BG256" s="20">
        <f ca="1">IF($BE256&lt;=0,ROUND(BK256*0.5,0), ROUND($BE256*S256*AA256*J256*AY256*0.8*[2]ステータス!$B$2,0))</f>
        <v>2468</v>
      </c>
      <c r="BH256" s="20">
        <f ca="1">IF($BE256&lt;=0,ROUND(BL256*0.5,0), ROUND($BE256*T256*AB256*K256*AZ256*0.8*[2]ステータス!$C$2,0))</f>
        <v>1209</v>
      </c>
      <c r="BI256" s="20">
        <f ca="1">IF($BE256&lt;=0,ROUND(BM256*0.5,0), ROUND($BE256*U256*AC256*L256*BA256*0.8*[2]ステータス!$D$2,0))</f>
        <v>0</v>
      </c>
      <c r="BJ256" s="20">
        <f ca="1">IF($BE256&lt;=0,ROUND(BN256*0.5,0), ROUND($BE256*V256*AD256*M256*BB256*0.8*[2]ステータス!$E$2,0))</f>
        <v>1542</v>
      </c>
      <c r="BK256" s="14">
        <f ca="1">ROUND(BD256*S256*AA256*J256*AY256*[2]ステータス!$B$2,0)</f>
        <v>3966</v>
      </c>
      <c r="BL256" s="14">
        <f ca="1">ROUND(BD256*T256*AB256*K256*AZ256*[2]ステータス!$C$2,0)</f>
        <v>1943</v>
      </c>
      <c r="BM256" s="14">
        <f ca="1">ROUND(BD256*U256*AC256*L256*BA256*[2]ステータス!$D$2,0)</f>
        <v>0</v>
      </c>
      <c r="BN256" s="14">
        <f ca="1">ROUND(BD256*V256*AD256*M256*BB256*[2]ステータス!$E$2,0)</f>
        <v>2479</v>
      </c>
      <c r="BO256" s="13">
        <v>0</v>
      </c>
      <c r="BP256" s="13">
        <v>1</v>
      </c>
      <c r="BQ256" s="13" t="s">
        <v>102</v>
      </c>
      <c r="BR256" s="13">
        <f ca="1">VLOOKUP(H256,ghosts_label!$A$2:$B$19,2,FALSE)</f>
        <v>700</v>
      </c>
    </row>
    <row r="257" spans="1:70" ht="21" customHeight="1" x14ac:dyDescent="0.15">
      <c r="A257" s="14">
        <f t="shared" ca="1" si="22"/>
        <v>256</v>
      </c>
      <c r="B257" s="77" t="str">
        <f ca="1">VLOOKUP($A257,OFFSET([2]characters!$A$1,0,0,COUNTA([2]characters!$A:$A),MATCH(B$1,[2]characters!$1:$1,0)-MATCH($A$1,[2]characters!$1:$1,0)+1),MATCH(B$1,[2]characters!$1:$1,0)-MATCH($A$1,[2]characters!$1:$1,0)+1,FALSE)</f>
        <v>アスモデウス</v>
      </c>
      <c r="C257" s="77" t="str">
        <f ca="1">VLOOKUP($A257,OFFSET([2]characters!$A$1,0,0,COUNTA([2]characters!$A:$A),MATCH(C$1,[2]characters!$1:$1,0)-MATCH($A$1,[2]characters!$1:$1,0)+1),MATCH(C$1,[2]characters!$1:$1,0)-MATCH($A$1,[2]characters!$1:$1,0)+1,FALSE)</f>
        <v>ガチャ:7つの大罪01</v>
      </c>
      <c r="D257" s="77" t="str">
        <f ca="1">VLOOKUP($A257,OFFSET([2]characters!$A$1,0,0,COUNTA([2]characters!$A:$A),MATCH(D$1,[2]characters!$1:$1,0)-MATCH($A$1,[2]characters!$1:$1,0)+1),MATCH(D$1,[2]characters!$1:$1,0)-MATCH($A$1,[2]characters!$1:$1,0)+1,FALSE)</f>
        <v>執行者</v>
      </c>
      <c r="E257" s="77" t="str">
        <f ca="1">VLOOKUP($A257,OFFSET([2]characters!$A$1,0,0,COUNTA([2]characters!$A:$A),MATCH(E$1,[2]characters!$1:$1,0)-MATCH($A$1,[2]characters!$1:$1,0)+1),MATCH(E$1,[2]characters!$1:$1,0)-MATCH($A$1,[2]characters!$1:$1,0)+1,FALSE)</f>
        <v>美しい</v>
      </c>
      <c r="F257" s="77" t="str">
        <f ca="1">VLOOKUP($A257,OFFSET([2]characters!$A$1,0,0,COUNTA([2]characters!$A:$A),MATCH(F$1,[2]characters!$1:$1,0)-MATCH($A$1,[2]characters!$1:$1,0)+1),MATCH(F$1,[2]characters!$1:$1,0)-MATCH($A$1,[2]characters!$1:$1,0)+1,FALSE)</f>
        <v>女性</v>
      </c>
      <c r="G257" s="77">
        <f ca="1">VLOOKUP($A257,OFFSET([2]characters!$A$1,0,0,COUNTA([2]characters!$A:$A),MATCH(G$1,[2]characters!$1:$1,0)-MATCH($A$1,[2]characters!$1:$1,0)+1),MATCH(G$1,[2]characters!$1:$1,0)-MATCH($A$1,[2]characters!$1:$1,0)+1,FALSE)</f>
        <v>3</v>
      </c>
      <c r="H257" s="77" t="str">
        <f ca="1">VLOOKUP($A257,OFFSET([2]characters!$A$1,0,0,COUNTA([2]characters!$A:$A),MATCH(H$1,[2]characters!$1:$1,0)-MATCH($A$1,[2]characters!$1:$1,0)+1),MATCH(H$1,[2]characters!$1:$1,0)-MATCH($A$1,[2]characters!$1:$1,0)+1,FALSE)</f>
        <v>PremiumS</v>
      </c>
      <c r="I257" s="77" t="str">
        <f ca="1">VLOOKUP($A257,OFFSET([2]characters!$A$1,0,0,COUNTA([2]characters!$A:$A),MATCH(I$1,[2]characters!$1:$1,0)-MATCH($A$1,[2]characters!$1:$1,0)+1),MATCH(I$1,[2]characters!$1:$1,0)-MATCH($A$1,[2]characters!$1:$1,0)+1,FALSE)</f>
        <v>blue</v>
      </c>
      <c r="J257" s="14">
        <f ca="1">VLOOKUP(I257,[2]属性!$A:$E,2,FALSE)</f>
        <v>1</v>
      </c>
      <c r="K257" s="14">
        <f ca="1">VLOOKUP(I257,[2]属性!$A:$E,3,FALSE)</f>
        <v>0.98</v>
      </c>
      <c r="L257" s="14">
        <f ca="1">VLOOKUP(I257,[2]属性!$A:$E,4,FALSE)</f>
        <v>1</v>
      </c>
      <c r="M257" s="14">
        <f ca="1">VLOOKUP(I257,[2]属性!$A:$E,5,FALSE)</f>
        <v>1.02</v>
      </c>
      <c r="N257" s="14">
        <f ca="1">INDEX(コスト!$A$1:$I$20,MATCH(H257,コスト!$A$1:$A$20,FALSE),MATCH(G257,コスト!$A$1:$I$1,FALSE))</f>
        <v>10</v>
      </c>
      <c r="O257" s="14">
        <f ca="1">INDEX(レベル!$A$1:$I$21,MATCH(H257,レベル!$A$1:$A$21,FALSE),MATCH(G257,レベル!$A$1:$I$1,FALSE))</f>
        <v>40</v>
      </c>
      <c r="P257" s="63">
        <f t="shared" ca="1" si="28"/>
        <v>45</v>
      </c>
      <c r="Q257" s="77" t="str">
        <f ca="1">VLOOKUP($A257,OFFSET([2]characters!$A$1,0,0,COUNTA([2]characters!$A:$A),MATCH(Q$1,[2]characters!$1:$1,0)-MATCH($A$1,[2]characters!$1:$1,0)+1),MATCH(Q$1,[2]characters!$1:$1,0)-MATCH($A$1,[2]characters!$1:$1,0)+1,FALSE)</f>
        <v>attack</v>
      </c>
      <c r="R257" s="8" t="str">
        <f ca="1">VLOOKUP(Q257,[2]character_type_i18n!$A:$H,3,FALSE)</f>
        <v>攻撃タイプ</v>
      </c>
      <c r="S257" s="14">
        <f ca="1">VLOOKUP(Q257,[2]character_type_i18n!$A:$H,4,FALSE)</f>
        <v>1</v>
      </c>
      <c r="T257" s="14">
        <f ca="1">VLOOKUP(Q257,[2]character_type_i18n!$A:$H,5,FALSE)</f>
        <v>1.33</v>
      </c>
      <c r="U257" s="14">
        <f ca="1">VLOOKUP(Q257,[2]character_type_i18n!$A:$H,6,FALSE)</f>
        <v>1</v>
      </c>
      <c r="V257" s="14">
        <f ca="1">VLOOKUP(Q257,[2]character_type_i18n!$A:$H,7,FALSE)</f>
        <v>0.67</v>
      </c>
      <c r="W257" s="77" t="str">
        <f ca="1">VLOOKUP($A257,OFFSET([2]characters!$A$1,0,0,COUNTA([2]characters!$A:$A),MATCH(W$1,[2]characters!$1:$1,0)-MATCH($A$1,[2]characters!$1:$1,0)+1),MATCH(W$1,[2]characters!$1:$1,0)-MATCH($A$1,[2]characters!$1:$1,0)+1,FALSE)</f>
        <v>god</v>
      </c>
      <c r="X257" s="8" t="str">
        <f ca="1">VLOOKUP(W257,[2]character_tribe_i18n!$A:$H,3,FALSE)</f>
        <v>ゴッド</v>
      </c>
      <c r="Y257" s="77" t="str">
        <f ca="1">VLOOKUP($A257,OFFSET([2]characters!$A$1,0,0,COUNTA([2]characters!$A:$A),MATCH(Y$1,[2]characters!$1:$1,0)-MATCH($A$1,[2]characters!$1:$1,0)+1),MATCH(Y$1,[2]characters!$1:$1,0)-MATCH($A$1,[2]characters!$1:$1,0)+1,FALSE)</f>
        <v>none</v>
      </c>
      <c r="Z257" s="8" t="str">
        <f ca="1">VLOOKUP(Y257,[2]character_tribe_i18n!$A:$H,3,FALSE)</f>
        <v>種族なし</v>
      </c>
      <c r="AA257" s="14">
        <f ca="1">VLOOKUP(W257,[2]character_tribe_i18n!$A:$H,4,FALSE)</f>
        <v>0.96</v>
      </c>
      <c r="AB257" s="14">
        <f ca="1">VLOOKUP(W257,[2]character_tribe_i18n!$A:$H,5,FALSE)</f>
        <v>1.02</v>
      </c>
      <c r="AC257" s="14">
        <f ca="1">VLOOKUP(W257,[2]character_tribe_i18n!$A:$H,6,FALSE)</f>
        <v>1</v>
      </c>
      <c r="AD257" s="14">
        <f ca="1">VLOOKUP(W257,[2]character_tribe_i18n!$A:$H,7,FALSE)</f>
        <v>1.02</v>
      </c>
      <c r="AE257" s="12">
        <v>257</v>
      </c>
      <c r="AF257" s="85" t="str">
        <f ca="1">IF(AE257="NULL","",VLOOKUP($AE257,OFFSET([2]characters!$A$1,0,0,COUNTA([2]characters!$A:$A),MATCH(AF$1,[2]characters!$1:$1,0)-MATCH($A$1,[2]characters!$1:$1,0)+1),MATCH(AF$1,[2]characters!$1:$1,0)-MATCH($A$1,[2]characters!$1:$1,0)+1,FALSE))</f>
        <v>色欲 アスモデウス</v>
      </c>
      <c r="AG257" s="8">
        <f t="shared" ca="1" si="23"/>
        <v>256</v>
      </c>
      <c r="AH257" s="85" t="str">
        <f ca="1">VLOOKUP($AG257,OFFSET([2]characters!$A$1,0,0,COUNTA([2]characters!$A:$A),MATCH(AH$1,[2]characters!$1:$1,0)-MATCH($A$1,[2]characters!$1:$1,0)+1),MATCH(AH$1,[2]characters!$1:$1,0)-MATCH($A$1,[2]characters!$1:$1,0)+1,FALSE)</f>
        <v>アスモデウス</v>
      </c>
      <c r="AI257" s="14">
        <f ca="1">IF(AE257="NULL","NULL",VLOOKUP(G257,ビット!$A$2:$B$7,2))</f>
        <v>20000</v>
      </c>
      <c r="AJ257" s="9">
        <v>2</v>
      </c>
      <c r="AK257" s="10" t="str">
        <f t="shared" si="24"/>
        <v>普通</v>
      </c>
      <c r="AL257" s="14" t="str">
        <f ca="1">INDEX(経験値!$A$1:$I$20,MATCH(H257,経験値!$A$1:$A$20,FALSE),MATCH(G257,経験値!$A$1:$I$1,FALSE))</f>
        <v>required_exp_200</v>
      </c>
      <c r="AM257" s="11">
        <f ca="1">VLOOKUP(G257,経験値!$A$27:$B$31,2)</f>
        <v>1500</v>
      </c>
      <c r="AN257" s="21">
        <f ca="1">VLOOKUP(G257,ビット!$G$2:$H$7,2)</f>
        <v>300</v>
      </c>
      <c r="AO257" s="99" t="s">
        <v>184</v>
      </c>
      <c r="AP257" s="97">
        <v>160001</v>
      </c>
      <c r="AQ257" s="77" t="e">
        <f ca="1">VLOOKUP($AP257,OFFSET([1]unit_skills!$A$1,0,0,COUNTA([1]unit_skills!$A:$A),MATCH("name",[1]unit_skills!$1:$1,0)-MATCH($AP$1,[1]unit_skills!$1:$1,0)+1),MATCH("name",[1]unit_skills!$1:$1,0)-MATCH($AP$1,[1]unit_skills!$1:$1,0)+1,FALSE)</f>
        <v>#VALUE!</v>
      </c>
      <c r="AR257" s="77" t="e">
        <f ca="1">VLOOKUP($AP257,OFFSET([1]unit_skills!$A$1,0,0,COUNTA([1]unit_skills!$A:$A),MATCH("comment",[1]unit_skills!$1:$1,0)-MATCH($AP$1,[1]unit_skills!$1:$1,0)+1),MATCH("comment",[1]unit_skills!$1:$1,0)-MATCH($AP$1,[1]unit_skills!$1:$1,0)+1,FALSE)</f>
        <v>#VALUE!</v>
      </c>
      <c r="AS257" s="77" t="e">
        <f ca="1">VLOOKUP($AP257,OFFSET([1]unit_skills!$A$1,0,0,COUNTA([1]unit_skills!$A:$A),MATCH(AS$1,[1]unit_skills!$1:$1,0)-MATCH($AP$1,[1]unit_skills!$1:$1,0)+1),MATCH(AS$1,[1]unit_skills!$1:$1,0)-MATCH($AP$1,[1]unit_skills!$1:$1,0)+1,FALSE)</f>
        <v>#VALUE!</v>
      </c>
      <c r="AT257" s="97">
        <v>203102</v>
      </c>
      <c r="AU257" s="77" t="e">
        <f ca="1">VLOOKUP($AT257,OFFSET([1]crash_skills!$A$1,0,0,COUNTA([1]crash_skills!$A:$A),MATCH("name",[1]crash_skills!$1:$1,0)-MATCH($AT$1,[1]crash_skills!$1:$1,0)+1),MATCH("name",[1]crash_skills!$1:$1,0)-MATCH($AT$1,[1]crash_skills!$1:$1,0)+1,FALSE)</f>
        <v>#VALUE!</v>
      </c>
      <c r="AV257" s="77" t="e">
        <f ca="1">VLOOKUP($AT257,OFFSET([1]crash_skills!$A$1,0,0,COUNTA([1]crash_skills!$A:$A),MATCH("comment",[1]crash_skills!$1:$1,0)-MATCH($AT$1,[1]crash_skills!$1:$1,0)+1),MATCH("comment",[1]crash_skills!$1:$1,0)-MATCH($AT$1,[1]crash_skills!$1:$1,0)+1,FALSE)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57" s="77" t="e">
        <f ca="1">VLOOKUP($AT257,OFFSET([1]crash_skills!$A$1,0,0,COUNTA([1]crash_skills!$A:$A),MATCH(AW$1,[1]crash_skills!$1:$1,0)-MATCH($AT$1,[1]crash_skills!$1:$1,0)+1),MATCH(AW$1,[1]crash_skills!$1:$1,0)-MATCH($AT$1,[1]crash_skills!$1:$1,0)+1,FALSE)</f>
        <v>#VALUE!</v>
      </c>
      <c r="AX257" s="81">
        <f ca="1">VLOOKUP($A257,OFFSET([2]characters!$A$1,0,0,COUNTA([2]characters!$A:$A),MATCH(AX$1,[2]characters!$1:$1,0)-MATCH($A$1,[2]characters!$1:$1,0)+1),MATCH(AX$1,[2]characters!$1:$1,0)-MATCH($A$1,[2]characters!$1:$1,0)+1,FALSE)</f>
        <v>3</v>
      </c>
      <c r="AY257" s="19">
        <v>1</v>
      </c>
      <c r="AZ257" s="19">
        <v>1</v>
      </c>
      <c r="BA257" s="19">
        <v>0</v>
      </c>
      <c r="BB257" s="19">
        <v>1</v>
      </c>
      <c r="BC257" s="14">
        <f ca="1">INDEX('RC6SV'!$A$1:$G$20,MATCH(H257,'RC6SV'!$A$1:$A$20,FALSE),MATCH(G257,'RC6SV'!$A$1:$G$1,FALSE))</f>
        <v>5000</v>
      </c>
      <c r="BD257" s="63">
        <f t="shared" ca="1" si="25"/>
        <v>5000</v>
      </c>
      <c r="BE257" s="14">
        <f t="shared" ca="1" si="26"/>
        <v>0</v>
      </c>
      <c r="BF257" s="14">
        <f t="shared" ca="1" si="27"/>
        <v>1</v>
      </c>
      <c r="BG257" s="20">
        <f ca="1">IF($BE257&lt;=0,ROUND(BK257*0.5,0), ROUND($BE257*S257*AA257*J257*AY257*0.8*[2]ステータス!$B$2,0))</f>
        <v>1200</v>
      </c>
      <c r="BH257" s="20">
        <f ca="1">IF($BE257&lt;=0,ROUND(BL257*0.5,0), ROUND($BE257*T257*AB257*K257*AZ257*0.8*[2]ステータス!$C$2,0))</f>
        <v>997</v>
      </c>
      <c r="BI257" s="20">
        <f ca="1">IF($BE257&lt;=0,ROUND(BM257*0.5,0), ROUND($BE257*U257*AC257*L257*BA257*0.8*[2]ステータス!$D$2,0))</f>
        <v>0</v>
      </c>
      <c r="BJ257" s="20">
        <f ca="1">IF($BE257&lt;=0,ROUND(BN257*0.5,0), ROUND($BE257*V257*AD257*M257*BB257*0.8*[2]ステータス!$E$2,0))</f>
        <v>436</v>
      </c>
      <c r="BK257" s="14">
        <f ca="1">ROUND(BD257*S257*AA257*J257*AY257*[2]ステータス!$B$2,0)</f>
        <v>2400</v>
      </c>
      <c r="BL257" s="14">
        <f ca="1">ROUND(BD257*T257*AB257*K257*AZ257*[2]ステータス!$C$2,0)</f>
        <v>1994</v>
      </c>
      <c r="BM257" s="14">
        <f ca="1">ROUND(BD257*U257*AC257*L257*BA257*[2]ステータス!$D$2,0)</f>
        <v>0</v>
      </c>
      <c r="BN257" s="14">
        <f ca="1">ROUND(BD257*V257*AD257*M257*BB257*[2]ステータス!$E$2,0)</f>
        <v>871</v>
      </c>
      <c r="BO257" s="13">
        <v>0</v>
      </c>
      <c r="BP257" s="13">
        <v>1</v>
      </c>
      <c r="BQ257" s="13" t="s">
        <v>102</v>
      </c>
      <c r="BR257" s="13">
        <f ca="1">VLOOKUP(H257,ghosts_label!$A$2:$B$19,2,FALSE)</f>
        <v>700</v>
      </c>
    </row>
    <row r="258" spans="1:70" ht="21" customHeight="1" x14ac:dyDescent="0.15">
      <c r="A258" s="14">
        <f t="shared" ref="A258:A321" ca="1" si="29">INDIRECT(ADDRESS(ROW(),COLUMN(),1,TRUE,"[CharacterMasterData.xlsm]characters"))</f>
        <v>257</v>
      </c>
      <c r="B258" s="77" t="str">
        <f ca="1">VLOOKUP($A258,OFFSET([2]characters!$A$1,0,0,COUNTA([2]characters!$A:$A),MATCH(B$1,[2]characters!$1:$1,0)-MATCH($A$1,[2]characters!$1:$1,0)+1),MATCH(B$1,[2]characters!$1:$1,0)-MATCH($A$1,[2]characters!$1:$1,0)+1,FALSE)</f>
        <v>色欲 アスモデウス</v>
      </c>
      <c r="C258" s="77" t="str">
        <f ca="1">VLOOKUP($A258,OFFSET([2]characters!$A$1,0,0,COUNTA([2]characters!$A:$A),MATCH(C$1,[2]characters!$1:$1,0)-MATCH($A$1,[2]characters!$1:$1,0)+1),MATCH(C$1,[2]characters!$1:$1,0)-MATCH($A$1,[2]characters!$1:$1,0)+1,FALSE)</f>
        <v>ガチャ:7つの大罪01</v>
      </c>
      <c r="D258" s="77" t="str">
        <f ca="1">VLOOKUP($A258,OFFSET([2]characters!$A$1,0,0,COUNTA([2]characters!$A:$A),MATCH(D$1,[2]characters!$1:$1,0)-MATCH($A$1,[2]characters!$1:$1,0)+1),MATCH(D$1,[2]characters!$1:$1,0)-MATCH($A$1,[2]characters!$1:$1,0)+1,FALSE)</f>
        <v>執行者</v>
      </c>
      <c r="E258" s="77" t="str">
        <f ca="1">VLOOKUP($A258,OFFSET([2]characters!$A$1,0,0,COUNTA([2]characters!$A:$A),MATCH(E$1,[2]characters!$1:$1,0)-MATCH($A$1,[2]characters!$1:$1,0)+1),MATCH(E$1,[2]characters!$1:$1,0)-MATCH($A$1,[2]characters!$1:$1,0)+1,FALSE)</f>
        <v>美しい</v>
      </c>
      <c r="F258" s="77" t="str">
        <f ca="1">VLOOKUP($A258,OFFSET([2]characters!$A$1,0,0,COUNTA([2]characters!$A:$A),MATCH(F$1,[2]characters!$1:$1,0)-MATCH($A$1,[2]characters!$1:$1,0)+1),MATCH(F$1,[2]characters!$1:$1,0)-MATCH($A$1,[2]characters!$1:$1,0)+1,FALSE)</f>
        <v>女性</v>
      </c>
      <c r="G258" s="77">
        <f ca="1">VLOOKUP($A258,OFFSET([2]characters!$A$1,0,0,COUNTA([2]characters!$A:$A),MATCH(G$1,[2]characters!$1:$1,0)-MATCH($A$1,[2]characters!$1:$1,0)+1),MATCH(G$1,[2]characters!$1:$1,0)-MATCH($A$1,[2]characters!$1:$1,0)+1,FALSE)</f>
        <v>4</v>
      </c>
      <c r="H258" s="77" t="str">
        <f ca="1">VLOOKUP($A258,OFFSET([2]characters!$A$1,0,0,COUNTA([2]characters!$A:$A),MATCH(H$1,[2]characters!$1:$1,0)-MATCH($A$1,[2]characters!$1:$1,0)+1),MATCH(H$1,[2]characters!$1:$1,0)-MATCH($A$1,[2]characters!$1:$1,0)+1,FALSE)</f>
        <v>PremiumS</v>
      </c>
      <c r="I258" s="77" t="str">
        <f ca="1">VLOOKUP($A258,OFFSET([2]characters!$A$1,0,0,COUNTA([2]characters!$A:$A),MATCH(I$1,[2]characters!$1:$1,0)-MATCH($A$1,[2]characters!$1:$1,0)+1),MATCH(I$1,[2]characters!$1:$1,0)-MATCH($A$1,[2]characters!$1:$1,0)+1,FALSE)</f>
        <v>blue</v>
      </c>
      <c r="J258" s="14">
        <f ca="1">VLOOKUP(I258,[2]属性!$A:$E,2,FALSE)</f>
        <v>1</v>
      </c>
      <c r="K258" s="14">
        <f ca="1">VLOOKUP(I258,[2]属性!$A:$E,3,FALSE)</f>
        <v>0.98</v>
      </c>
      <c r="L258" s="14">
        <f ca="1">VLOOKUP(I258,[2]属性!$A:$E,4,FALSE)</f>
        <v>1</v>
      </c>
      <c r="M258" s="14">
        <f ca="1">VLOOKUP(I258,[2]属性!$A:$E,5,FALSE)</f>
        <v>1.02</v>
      </c>
      <c r="N258" s="14">
        <f ca="1">INDEX(コスト!$A$1:$I$20,MATCH(H258,コスト!$A$1:$A$20,FALSE),MATCH(G258,コスト!$A$1:$I$1,FALSE))</f>
        <v>20</v>
      </c>
      <c r="O258" s="14">
        <f ca="1">INDEX(レベル!$A$1:$I$21,MATCH(H258,レベル!$A$1:$A$21,FALSE),MATCH(G258,レベル!$A$1:$I$1,FALSE))</f>
        <v>60</v>
      </c>
      <c r="P258" s="63">
        <f t="shared" ca="1" si="28"/>
        <v>60</v>
      </c>
      <c r="Q258" s="77" t="str">
        <f ca="1">VLOOKUP($A258,OFFSET([2]characters!$A$1,0,0,COUNTA([2]characters!$A:$A),MATCH(Q$1,[2]characters!$1:$1,0)-MATCH($A$1,[2]characters!$1:$1,0)+1),MATCH(Q$1,[2]characters!$1:$1,0)-MATCH($A$1,[2]characters!$1:$1,0)+1,FALSE)</f>
        <v>attack</v>
      </c>
      <c r="R258" s="8" t="str">
        <f ca="1">VLOOKUP(Q258,[2]character_type_i18n!$A:$H,3,FALSE)</f>
        <v>攻撃タイプ</v>
      </c>
      <c r="S258" s="14">
        <f ca="1">VLOOKUP(Q258,[2]character_type_i18n!$A:$H,4,FALSE)</f>
        <v>1</v>
      </c>
      <c r="T258" s="14">
        <f ca="1">VLOOKUP(Q258,[2]character_type_i18n!$A:$H,5,FALSE)</f>
        <v>1.33</v>
      </c>
      <c r="U258" s="14">
        <f ca="1">VLOOKUP(Q258,[2]character_type_i18n!$A:$H,6,FALSE)</f>
        <v>1</v>
      </c>
      <c r="V258" s="14">
        <f ca="1">VLOOKUP(Q258,[2]character_type_i18n!$A:$H,7,FALSE)</f>
        <v>0.67</v>
      </c>
      <c r="W258" s="77" t="str">
        <f ca="1">VLOOKUP($A258,OFFSET([2]characters!$A$1,0,0,COUNTA([2]characters!$A:$A),MATCH(W$1,[2]characters!$1:$1,0)-MATCH($A$1,[2]characters!$1:$1,0)+1),MATCH(W$1,[2]characters!$1:$1,0)-MATCH($A$1,[2]characters!$1:$1,0)+1,FALSE)</f>
        <v>god</v>
      </c>
      <c r="X258" s="8" t="str">
        <f ca="1">VLOOKUP(W258,[2]character_tribe_i18n!$A:$H,3,FALSE)</f>
        <v>ゴッド</v>
      </c>
      <c r="Y258" s="77" t="str">
        <f ca="1">VLOOKUP($A258,OFFSET([2]characters!$A$1,0,0,COUNTA([2]characters!$A:$A),MATCH(Y$1,[2]characters!$1:$1,0)-MATCH($A$1,[2]characters!$1:$1,0)+1),MATCH(Y$1,[2]characters!$1:$1,0)-MATCH($A$1,[2]characters!$1:$1,0)+1,FALSE)</f>
        <v>none</v>
      </c>
      <c r="Z258" s="8" t="str">
        <f ca="1">VLOOKUP(Y258,[2]character_tribe_i18n!$A:$H,3,FALSE)</f>
        <v>種族なし</v>
      </c>
      <c r="AA258" s="14">
        <f ca="1">VLOOKUP(W258,[2]character_tribe_i18n!$A:$H,4,FALSE)</f>
        <v>0.96</v>
      </c>
      <c r="AB258" s="14">
        <f ca="1">VLOOKUP(W258,[2]character_tribe_i18n!$A:$H,5,FALSE)</f>
        <v>1.02</v>
      </c>
      <c r="AC258" s="14">
        <f ca="1">VLOOKUP(W258,[2]character_tribe_i18n!$A:$H,6,FALSE)</f>
        <v>1</v>
      </c>
      <c r="AD258" s="14">
        <f ca="1">VLOOKUP(W258,[2]character_tribe_i18n!$A:$H,7,FALSE)</f>
        <v>1.02</v>
      </c>
      <c r="AE258" s="12">
        <v>258</v>
      </c>
      <c r="AF258" s="85" t="str">
        <f ca="1">IF(AE258="NULL","",VLOOKUP($AE258,OFFSET([2]characters!$A$1,0,0,COUNTA([2]characters!$A:$A),MATCH(AF$1,[2]characters!$1:$1,0)-MATCH($A$1,[2]characters!$1:$1,0)+1),MATCH(AF$1,[2]characters!$1:$1,0)-MATCH($A$1,[2]characters!$1:$1,0)+1,FALSE))</f>
        <v>色欲の源流 アスモデウス</v>
      </c>
      <c r="AG258" s="8">
        <f t="shared" ref="AG258:AG321" ca="1" si="30">IF(ISNA(MATCH(A258,AE:AE,0)),A258,INDIRECT(ADDRESS(MATCH(A258,AE:AE,0),COLUMN())))</f>
        <v>256</v>
      </c>
      <c r="AH258" s="85" t="str">
        <f ca="1">VLOOKUP($AG258,OFFSET([2]characters!$A$1,0,0,COUNTA([2]characters!$A:$A),MATCH(AH$1,[2]characters!$1:$1,0)-MATCH($A$1,[2]characters!$1:$1,0)+1),MATCH(AH$1,[2]characters!$1:$1,0)-MATCH($A$1,[2]characters!$1:$1,0)+1,FALSE)</f>
        <v>アスモデウス</v>
      </c>
      <c r="AI258" s="14">
        <f ca="1">IF(AE258="NULL","NULL",VLOOKUP(G258,ビット!$A$2:$B$7,2))</f>
        <v>50000</v>
      </c>
      <c r="AJ258" s="9">
        <v>2</v>
      </c>
      <c r="AK258" s="10" t="str">
        <f t="shared" ref="AK258:AK321" si="31">IF(AJ258=1,"早熟",IF(AJ258=2,"普通",IF(AJ258=3,"晩成","")))</f>
        <v>普通</v>
      </c>
      <c r="AL258" s="14" t="str">
        <f ca="1">INDEX(経験値!$A$1:$I$20,MATCH(H258,経験値!$A$1:$A$20,FALSE),MATCH(G258,経験値!$A$1:$I$1,FALSE))</f>
        <v>required_exp_200</v>
      </c>
      <c r="AM258" s="11">
        <f ca="1">VLOOKUP(G258,経験値!$A$27:$B$31,2)</f>
        <v>3400</v>
      </c>
      <c r="AN258" s="21">
        <f ca="1">VLOOKUP(G258,ビット!$G$2:$H$7,2)</f>
        <v>600</v>
      </c>
      <c r="AO258" s="99" t="s">
        <v>184</v>
      </c>
      <c r="AP258" s="97">
        <v>160002</v>
      </c>
      <c r="AQ258" s="77" t="e">
        <f ca="1">VLOOKUP($AP258,OFFSET([1]unit_skills!$A$1,0,0,COUNTA([1]unit_skills!$A:$A),MATCH("name",[1]unit_skills!$1:$1,0)-MATCH($AP$1,[1]unit_skills!$1:$1,0)+1),MATCH("name",[1]unit_skills!$1:$1,0)-MATCH($AP$1,[1]unit_skills!$1:$1,0)+1,FALSE)</f>
        <v>#VALUE!</v>
      </c>
      <c r="AR258" s="77" t="e">
        <f ca="1">VLOOKUP($AP258,OFFSET([1]unit_skills!$A$1,0,0,COUNTA([1]unit_skills!$A:$A),MATCH("comment",[1]unit_skills!$1:$1,0)-MATCH($AP$1,[1]unit_skills!$1:$1,0)+1),MATCH("comment",[1]unit_skills!$1:$1,0)-MATCH($AP$1,[1]unit_skills!$1:$1,0)+1,FALSE)</f>
        <v>#VALUE!</v>
      </c>
      <c r="AS258" s="77" t="e">
        <f ca="1">VLOOKUP($AP258,OFFSET([1]unit_skills!$A$1,0,0,COUNTA([1]unit_skills!$A:$A),MATCH(AS$1,[1]unit_skills!$1:$1,0)-MATCH($AP$1,[1]unit_skills!$1:$1,0)+1),MATCH(AS$1,[1]unit_skills!$1:$1,0)-MATCH($AP$1,[1]unit_skills!$1:$1,0)+1,FALSE)</f>
        <v>#VALUE!</v>
      </c>
      <c r="AT258" s="97">
        <v>203103</v>
      </c>
      <c r="AU258" s="77" t="e">
        <f ca="1">VLOOKUP($AT258,OFFSET([1]crash_skills!$A$1,0,0,COUNTA([1]crash_skills!$A:$A),MATCH("name",[1]crash_skills!$1:$1,0)-MATCH($AT$1,[1]crash_skills!$1:$1,0)+1),MATCH("name",[1]crash_skills!$1:$1,0)-MATCH($AT$1,[1]crash_skills!$1:$1,0)+1,FALSE)</f>
        <v>#VALUE!</v>
      </c>
      <c r="AV258" s="77" t="e">
        <f ca="1">VLOOKUP($AT258,OFFSET([1]crash_skills!$A$1,0,0,COUNTA([1]crash_skills!$A:$A),MATCH("comment",[1]crash_skills!$1:$1,0)-MATCH($AT$1,[1]crash_skills!$1:$1,0)+1),MATCH("comment",[1]crash_skills!$1:$1,0)-MATCH($AT$1,[1]crash_skills!$1:$1,0)+1,FALSE)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58" s="77" t="e">
        <f ca="1">VLOOKUP($AT258,OFFSET([1]crash_skills!$A$1,0,0,COUNTA([1]crash_skills!$A:$A),MATCH(AW$1,[1]crash_skills!$1:$1,0)-MATCH($AT$1,[1]crash_skills!$1:$1,0)+1),MATCH(AW$1,[1]crash_skills!$1:$1,0)-MATCH($AT$1,[1]crash_skills!$1:$1,0)+1,FALSE)</f>
        <v>#VALUE!</v>
      </c>
      <c r="AX258" s="81">
        <f ca="1">VLOOKUP($A258,OFFSET([2]characters!$A$1,0,0,COUNTA([2]characters!$A:$A),MATCH(AX$1,[2]characters!$1:$1,0)-MATCH($A$1,[2]characters!$1:$1,0)+1),MATCH(AX$1,[2]characters!$1:$1,0)-MATCH($A$1,[2]characters!$1:$1,0)+1,FALSE)</f>
        <v>3</v>
      </c>
      <c r="AY258" s="19">
        <v>1</v>
      </c>
      <c r="AZ258" s="19">
        <v>1</v>
      </c>
      <c r="BA258" s="19">
        <v>0</v>
      </c>
      <c r="BB258" s="19">
        <v>1</v>
      </c>
      <c r="BC258" s="14">
        <f ca="1">INDEX('RC6SV'!$A$1:$G$20,MATCH(H258,'RC6SV'!$A$1:$A$20,FALSE),MATCH(G258,'RC6SV'!$A$1:$G$1,FALSE))</f>
        <v>7000</v>
      </c>
      <c r="BD258" s="63">
        <f t="shared" ref="BD258:BD321" ca="1" si="32">ROUND(BC258*IF(AJ258=1,0.95,IF(AJ258=2,1,IF(AJ258,1.05,0))),0)</f>
        <v>7000</v>
      </c>
      <c r="BE258" s="14">
        <f t="shared" ref="BE258:BE321" ca="1" si="33">ROUND(IFERROR(INDIRECT(ADDRESS(MATCH($A258,$AE:$AE,0),MATCH($BC$1,$1:$1,0))),0),0)</f>
        <v>5000</v>
      </c>
      <c r="BF258" s="14">
        <f t="shared" ref="BF258:BF321" ca="1" si="34">ROUND(IFERROR(INDIRECT(ADDRESS(MATCH($A258,$AE:$AE,0),10)),INDIRECT(ADDRESS(MATCH($A258,$A:$A,0),10))),0)</f>
        <v>1</v>
      </c>
      <c r="BG258" s="20">
        <f ca="1">IF($BE258&lt;=0,ROUND(BK258*0.5,0), ROUND($BE258*S258*AA258*J258*AY258*0.8*[2]ステータス!$B$2,0))</f>
        <v>1920</v>
      </c>
      <c r="BH258" s="20">
        <f ca="1">IF($BE258&lt;=0,ROUND(BL258*0.5,0), ROUND($BE258*T258*AB258*K258*AZ258*0.8*[2]ステータス!$C$2,0))</f>
        <v>1595</v>
      </c>
      <c r="BI258" s="20">
        <f ca="1">IF($BE258&lt;=0,ROUND(BM258*0.5,0), ROUND($BE258*U258*AC258*L258*BA258*0.8*[2]ステータス!$D$2,0))</f>
        <v>0</v>
      </c>
      <c r="BJ258" s="20">
        <f ca="1">IF($BE258&lt;=0,ROUND(BN258*0.5,0), ROUND($BE258*V258*AD258*M258*BB258*0.8*[2]ステータス!$E$2,0))</f>
        <v>697</v>
      </c>
      <c r="BK258" s="14">
        <f ca="1">ROUND(BD258*S258*AA258*J258*AY258*[2]ステータス!$B$2,0)</f>
        <v>3360</v>
      </c>
      <c r="BL258" s="14">
        <f ca="1">ROUND(BD258*T258*AB258*K258*AZ258*[2]ステータス!$C$2,0)</f>
        <v>2792</v>
      </c>
      <c r="BM258" s="14">
        <f ca="1">ROUND(BD258*U258*AC258*L258*BA258*[2]ステータス!$D$2,0)</f>
        <v>0</v>
      </c>
      <c r="BN258" s="14">
        <f ca="1">ROUND(BD258*V258*AD258*M258*BB258*[2]ステータス!$E$2,0)</f>
        <v>1220</v>
      </c>
      <c r="BO258" s="13">
        <v>0</v>
      </c>
      <c r="BP258" s="13">
        <v>1</v>
      </c>
      <c r="BQ258" s="13" t="s">
        <v>102</v>
      </c>
      <c r="BR258" s="13">
        <f ca="1">VLOOKUP(H258,ghosts_label!$A$2:$B$19,2,FALSE)</f>
        <v>700</v>
      </c>
    </row>
    <row r="259" spans="1:70" ht="21" customHeight="1" x14ac:dyDescent="0.15">
      <c r="A259" s="14">
        <f t="shared" ca="1" si="29"/>
        <v>258</v>
      </c>
      <c r="B259" s="77" t="str">
        <f ca="1">VLOOKUP($A259,OFFSET([2]characters!$A$1,0,0,COUNTA([2]characters!$A:$A),MATCH(B$1,[2]characters!$1:$1,0)-MATCH($A$1,[2]characters!$1:$1,0)+1),MATCH(B$1,[2]characters!$1:$1,0)-MATCH($A$1,[2]characters!$1:$1,0)+1,FALSE)</f>
        <v>色欲の源流 アスモデウス</v>
      </c>
      <c r="C259" s="77" t="str">
        <f ca="1">VLOOKUP($A259,OFFSET([2]characters!$A$1,0,0,COUNTA([2]characters!$A:$A),MATCH(C$1,[2]characters!$1:$1,0)-MATCH($A$1,[2]characters!$1:$1,0)+1),MATCH(C$1,[2]characters!$1:$1,0)-MATCH($A$1,[2]characters!$1:$1,0)+1,FALSE)</f>
        <v>ガチャ:7つの大罪01</v>
      </c>
      <c r="D259" s="77" t="str">
        <f ca="1">VLOOKUP($A259,OFFSET([2]characters!$A$1,0,0,COUNTA([2]characters!$A:$A),MATCH(D$1,[2]characters!$1:$1,0)-MATCH($A$1,[2]characters!$1:$1,0)+1),MATCH(D$1,[2]characters!$1:$1,0)-MATCH($A$1,[2]characters!$1:$1,0)+1,FALSE)</f>
        <v>執行者</v>
      </c>
      <c r="E259" s="77" t="str">
        <f ca="1">VLOOKUP($A259,OFFSET([2]characters!$A$1,0,0,COUNTA([2]characters!$A:$A),MATCH(E$1,[2]characters!$1:$1,0)-MATCH($A$1,[2]characters!$1:$1,0)+1),MATCH(E$1,[2]characters!$1:$1,0)-MATCH($A$1,[2]characters!$1:$1,0)+1,FALSE)</f>
        <v>美しい</v>
      </c>
      <c r="F259" s="77" t="str">
        <f ca="1">VLOOKUP($A259,OFFSET([2]characters!$A$1,0,0,COUNTA([2]characters!$A:$A),MATCH(F$1,[2]characters!$1:$1,0)-MATCH($A$1,[2]characters!$1:$1,0)+1),MATCH(F$1,[2]characters!$1:$1,0)-MATCH($A$1,[2]characters!$1:$1,0)+1,FALSE)</f>
        <v>女性</v>
      </c>
      <c r="G259" s="77">
        <f ca="1">VLOOKUP($A259,OFFSET([2]characters!$A$1,0,0,COUNTA([2]characters!$A:$A),MATCH(G$1,[2]characters!$1:$1,0)-MATCH($A$1,[2]characters!$1:$1,0)+1),MATCH(G$1,[2]characters!$1:$1,0)-MATCH($A$1,[2]characters!$1:$1,0)+1,FALSE)</f>
        <v>5</v>
      </c>
      <c r="H259" s="77" t="str">
        <f ca="1">VLOOKUP($A259,OFFSET([2]characters!$A$1,0,0,COUNTA([2]characters!$A:$A),MATCH(H$1,[2]characters!$1:$1,0)-MATCH($A$1,[2]characters!$1:$1,0)+1),MATCH(H$1,[2]characters!$1:$1,0)-MATCH($A$1,[2]characters!$1:$1,0)+1,FALSE)</f>
        <v>PremiumS</v>
      </c>
      <c r="I259" s="77" t="str">
        <f ca="1">VLOOKUP($A259,OFFSET([2]characters!$A$1,0,0,COUNTA([2]characters!$A:$A),MATCH(I$1,[2]characters!$1:$1,0)-MATCH($A$1,[2]characters!$1:$1,0)+1),MATCH(I$1,[2]characters!$1:$1,0)-MATCH($A$1,[2]characters!$1:$1,0)+1,FALSE)</f>
        <v>blue</v>
      </c>
      <c r="J259" s="14">
        <f ca="1">VLOOKUP(I259,[2]属性!$A:$E,2,FALSE)</f>
        <v>1</v>
      </c>
      <c r="K259" s="14">
        <f ca="1">VLOOKUP(I259,[2]属性!$A:$E,3,FALSE)</f>
        <v>0.98</v>
      </c>
      <c r="L259" s="14">
        <f ca="1">VLOOKUP(I259,[2]属性!$A:$E,4,FALSE)</f>
        <v>1</v>
      </c>
      <c r="M259" s="14">
        <f ca="1">VLOOKUP(I259,[2]属性!$A:$E,5,FALSE)</f>
        <v>1.02</v>
      </c>
      <c r="N259" s="14">
        <f ca="1">INDEX(コスト!$A$1:$I$20,MATCH(H259,コスト!$A$1:$A$20,FALSE),MATCH(G259,コスト!$A$1:$I$1,FALSE))</f>
        <v>30</v>
      </c>
      <c r="O259" s="14">
        <f ca="1">INDEX(レベル!$A$1:$I$21,MATCH(H259,レベル!$A$1:$A$21,FALSE),MATCH(G259,レベル!$A$1:$I$1,FALSE))</f>
        <v>80</v>
      </c>
      <c r="P259" s="63">
        <f t="shared" ref="P259:P322" ca="1" si="35">G259*15</f>
        <v>75</v>
      </c>
      <c r="Q259" s="77" t="str">
        <f ca="1">VLOOKUP($A259,OFFSET([2]characters!$A$1,0,0,COUNTA([2]characters!$A:$A),MATCH(Q$1,[2]characters!$1:$1,0)-MATCH($A$1,[2]characters!$1:$1,0)+1),MATCH(Q$1,[2]characters!$1:$1,0)-MATCH($A$1,[2]characters!$1:$1,0)+1,FALSE)</f>
        <v>attack</v>
      </c>
      <c r="R259" s="8" t="str">
        <f ca="1">VLOOKUP(Q259,[2]character_type_i18n!$A:$H,3,FALSE)</f>
        <v>攻撃タイプ</v>
      </c>
      <c r="S259" s="14">
        <f ca="1">VLOOKUP(Q259,[2]character_type_i18n!$A:$H,4,FALSE)</f>
        <v>1</v>
      </c>
      <c r="T259" s="14">
        <f ca="1">VLOOKUP(Q259,[2]character_type_i18n!$A:$H,5,FALSE)</f>
        <v>1.33</v>
      </c>
      <c r="U259" s="14">
        <f ca="1">VLOOKUP(Q259,[2]character_type_i18n!$A:$H,6,FALSE)</f>
        <v>1</v>
      </c>
      <c r="V259" s="14">
        <f ca="1">VLOOKUP(Q259,[2]character_type_i18n!$A:$H,7,FALSE)</f>
        <v>0.67</v>
      </c>
      <c r="W259" s="77" t="str">
        <f ca="1">VLOOKUP($A259,OFFSET([2]characters!$A$1,0,0,COUNTA([2]characters!$A:$A),MATCH(W$1,[2]characters!$1:$1,0)-MATCH($A$1,[2]characters!$1:$1,0)+1),MATCH(W$1,[2]characters!$1:$1,0)-MATCH($A$1,[2]characters!$1:$1,0)+1,FALSE)</f>
        <v>god</v>
      </c>
      <c r="X259" s="8" t="str">
        <f ca="1">VLOOKUP(W259,[2]character_tribe_i18n!$A:$H,3,FALSE)</f>
        <v>ゴッド</v>
      </c>
      <c r="Y259" s="77" t="str">
        <f ca="1">VLOOKUP($A259,OFFSET([2]characters!$A$1,0,0,COUNTA([2]characters!$A:$A),MATCH(Y$1,[2]characters!$1:$1,0)-MATCH($A$1,[2]characters!$1:$1,0)+1),MATCH(Y$1,[2]characters!$1:$1,0)-MATCH($A$1,[2]characters!$1:$1,0)+1,FALSE)</f>
        <v>none</v>
      </c>
      <c r="Z259" s="8" t="str">
        <f ca="1">VLOOKUP(Y259,[2]character_tribe_i18n!$A:$H,3,FALSE)</f>
        <v>種族なし</v>
      </c>
      <c r="AA259" s="14">
        <f ca="1">VLOOKUP(W259,[2]character_tribe_i18n!$A:$H,4,FALSE)</f>
        <v>0.96</v>
      </c>
      <c r="AB259" s="14">
        <f ca="1">VLOOKUP(W259,[2]character_tribe_i18n!$A:$H,5,FALSE)</f>
        <v>1.02</v>
      </c>
      <c r="AC259" s="14">
        <f ca="1">VLOOKUP(W259,[2]character_tribe_i18n!$A:$H,6,FALSE)</f>
        <v>1</v>
      </c>
      <c r="AD259" s="14">
        <f ca="1">VLOOKUP(W259,[2]character_tribe_i18n!$A:$H,7,FALSE)</f>
        <v>1.02</v>
      </c>
      <c r="AE259" s="12" t="s">
        <v>102</v>
      </c>
      <c r="AF259" s="85" t="str">
        <f ca="1">IF(AE259="NULL","",VLOOKUP($AE259,OFFSET([2]characters!$A$1,0,0,COUNTA([2]characters!$A:$A),MATCH(AF$1,[2]characters!$1:$1,0)-MATCH($A$1,[2]characters!$1:$1,0)+1),MATCH(AF$1,[2]characters!$1:$1,0)-MATCH($A$1,[2]characters!$1:$1,0)+1,FALSE))</f>
        <v/>
      </c>
      <c r="AG259" s="8">
        <f t="shared" ca="1" si="30"/>
        <v>256</v>
      </c>
      <c r="AH259" s="85" t="str">
        <f ca="1">VLOOKUP($AG259,OFFSET([2]characters!$A$1,0,0,COUNTA([2]characters!$A:$A),MATCH(AH$1,[2]characters!$1:$1,0)-MATCH($A$1,[2]characters!$1:$1,0)+1),MATCH(AH$1,[2]characters!$1:$1,0)-MATCH($A$1,[2]characters!$1:$1,0)+1,FALSE)</f>
        <v>アスモデウス</v>
      </c>
      <c r="AI259" s="14" t="str">
        <f>IF(AE259="NULL","NULL",VLOOKUP(G259,ビット!$A$2:$B$7,2))</f>
        <v>NULL</v>
      </c>
      <c r="AJ259" s="9">
        <v>2</v>
      </c>
      <c r="AK259" s="10" t="str">
        <f t="shared" si="31"/>
        <v>普通</v>
      </c>
      <c r="AL259" s="14" t="str">
        <f ca="1">INDEX(経験値!$A$1:$I$20,MATCH(H259,経験値!$A$1:$A$20,FALSE),MATCH(G259,経験値!$A$1:$I$1,FALSE))</f>
        <v>required_exp_200</v>
      </c>
      <c r="AM259" s="11">
        <f ca="1">VLOOKUP(G259,経験値!$A$27:$B$31,2)</f>
        <v>6400</v>
      </c>
      <c r="AN259" s="21">
        <f ca="1">VLOOKUP(G259,ビット!$G$2:$H$7,2)</f>
        <v>900</v>
      </c>
      <c r="AO259" s="99" t="s">
        <v>184</v>
      </c>
      <c r="AP259" s="97">
        <v>160003</v>
      </c>
      <c r="AQ259" s="77" t="e">
        <f ca="1">VLOOKUP($AP259,OFFSET([1]unit_skills!$A$1,0,0,COUNTA([1]unit_skills!$A:$A),MATCH("name",[1]unit_skills!$1:$1,0)-MATCH($AP$1,[1]unit_skills!$1:$1,0)+1),MATCH("name",[1]unit_skills!$1:$1,0)-MATCH($AP$1,[1]unit_skills!$1:$1,0)+1,FALSE)</f>
        <v>#VALUE!</v>
      </c>
      <c r="AR259" s="77" t="e">
        <f ca="1">VLOOKUP($AP259,OFFSET([1]unit_skills!$A$1,0,0,COUNTA([1]unit_skills!$A:$A),MATCH("comment",[1]unit_skills!$1:$1,0)-MATCH($AP$1,[1]unit_skills!$1:$1,0)+1),MATCH("comment",[1]unit_skills!$1:$1,0)-MATCH($AP$1,[1]unit_skills!$1:$1,0)+1,FALSE)</f>
        <v>#VALUE!</v>
      </c>
      <c r="AS259" s="77" t="e">
        <f ca="1">VLOOKUP($AP259,OFFSET([1]unit_skills!$A$1,0,0,COUNTA([1]unit_skills!$A:$A),MATCH(AS$1,[1]unit_skills!$1:$1,0)-MATCH($AP$1,[1]unit_skills!$1:$1,0)+1),MATCH(AS$1,[1]unit_skills!$1:$1,0)-MATCH($AP$1,[1]unit_skills!$1:$1,0)+1,FALSE)</f>
        <v>#VALUE!</v>
      </c>
      <c r="AT259" s="97">
        <v>203108</v>
      </c>
      <c r="AU259" s="77" t="e">
        <f ca="1">VLOOKUP($AT259,OFFSET([1]crash_skills!$A$1,0,0,COUNTA([1]crash_skills!$A:$A),MATCH("name",[1]crash_skills!$1:$1,0)-MATCH($AT$1,[1]crash_skills!$1:$1,0)+1),MATCH("name",[1]crash_skills!$1:$1,0)-MATCH($AT$1,[1]crash_skills!$1:$1,0)+1,FALSE)</f>
        <v>#VALUE!</v>
      </c>
      <c r="AV259" s="77" t="e">
        <f ca="1">VLOOKUP($AT259,OFFSET([1]crash_skills!$A$1,0,0,COUNTA([1]crash_skills!$A:$A),MATCH("comment",[1]crash_skills!$1:$1,0)-MATCH($AT$1,[1]crash_skills!$1:$1,0)+1),MATCH("comment",[1]crash_skills!$1:$1,0)-MATCH($AT$1,[1]crash_skills!$1:$1,0)+1,FALSE)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59" s="77" t="e">
        <f ca="1">VLOOKUP($AT259,OFFSET([1]crash_skills!$A$1,0,0,COUNTA([1]crash_skills!$A:$A),MATCH(AW$1,[1]crash_skills!$1:$1,0)-MATCH($AT$1,[1]crash_skills!$1:$1,0)+1),MATCH(AW$1,[1]crash_skills!$1:$1,0)-MATCH($AT$1,[1]crash_skills!$1:$1,0)+1,FALSE)</f>
        <v>#VALUE!</v>
      </c>
      <c r="AX259" s="81">
        <f ca="1">VLOOKUP($A259,OFFSET([2]characters!$A$1,0,0,COUNTA([2]characters!$A:$A),MATCH(AX$1,[2]characters!$1:$1,0)-MATCH($A$1,[2]characters!$1:$1,0)+1),MATCH(AX$1,[2]characters!$1:$1,0)-MATCH($A$1,[2]characters!$1:$1,0)+1,FALSE)</f>
        <v>3</v>
      </c>
      <c r="AY259" s="19">
        <v>1</v>
      </c>
      <c r="AZ259" s="19">
        <v>1</v>
      </c>
      <c r="BA259" s="19">
        <v>0</v>
      </c>
      <c r="BB259" s="19">
        <v>1</v>
      </c>
      <c r="BC259" s="14">
        <f ca="1">INDEX('RC6SV'!$A$1:$G$20,MATCH(H259,'RC6SV'!$A$1:$A$20,FALSE),MATCH(G259,'RC6SV'!$A$1:$G$1,FALSE))</f>
        <v>9000</v>
      </c>
      <c r="BD259" s="63">
        <f t="shared" ca="1" si="32"/>
        <v>9000</v>
      </c>
      <c r="BE259" s="14">
        <f t="shared" ca="1" si="33"/>
        <v>7000</v>
      </c>
      <c r="BF259" s="14">
        <f t="shared" ca="1" si="34"/>
        <v>1</v>
      </c>
      <c r="BG259" s="20">
        <f ca="1">IF($BE259&lt;=0,ROUND(BK259*0.5,0), ROUND($BE259*S259*AA259*J259*AY259*0.8*[2]ステータス!$B$2,0))</f>
        <v>2688</v>
      </c>
      <c r="BH259" s="20">
        <f ca="1">IF($BE259&lt;=0,ROUND(BL259*0.5,0), ROUND($BE259*T259*AB259*K259*AZ259*0.8*[2]ステータス!$C$2,0))</f>
        <v>2234</v>
      </c>
      <c r="BI259" s="20">
        <f ca="1">IF($BE259&lt;=0,ROUND(BM259*0.5,0), ROUND($BE259*U259*AC259*L259*BA259*0.8*[2]ステータス!$D$2,0))</f>
        <v>0</v>
      </c>
      <c r="BJ259" s="20">
        <f ca="1">IF($BE259&lt;=0,ROUND(BN259*0.5,0), ROUND($BE259*V259*AD259*M259*BB259*0.8*[2]ステータス!$E$2,0))</f>
        <v>976</v>
      </c>
      <c r="BK259" s="14">
        <f ca="1">ROUND(BD259*S259*AA259*J259*AY259*[2]ステータス!$B$2,0)</f>
        <v>4320</v>
      </c>
      <c r="BL259" s="14">
        <f ca="1">ROUND(BD259*T259*AB259*K259*AZ259*[2]ステータス!$C$2,0)</f>
        <v>3590</v>
      </c>
      <c r="BM259" s="14">
        <f ca="1">ROUND(BD259*U259*AC259*L259*BA259*[2]ステータス!$D$2,0)</f>
        <v>0</v>
      </c>
      <c r="BN259" s="14">
        <f ca="1">ROUND(BD259*V259*AD259*M259*BB259*[2]ステータス!$E$2,0)</f>
        <v>1568</v>
      </c>
      <c r="BO259" s="13">
        <v>0</v>
      </c>
      <c r="BP259" s="13">
        <v>1</v>
      </c>
      <c r="BQ259" s="13" t="s">
        <v>102</v>
      </c>
      <c r="BR259" s="13">
        <f ca="1">VLOOKUP(H259,ghosts_label!$A$2:$B$19,2,FALSE)</f>
        <v>700</v>
      </c>
    </row>
    <row r="260" spans="1:70" ht="21" customHeight="1" x14ac:dyDescent="0.15">
      <c r="A260" s="14">
        <f t="shared" ca="1" si="29"/>
        <v>259</v>
      </c>
      <c r="B260" s="77" t="str">
        <f ca="1">VLOOKUP($A260,OFFSET([2]characters!$A$1,0,0,COUNTA([2]characters!$A:$A),MATCH(B$1,[2]characters!$1:$1,0)-MATCH($A$1,[2]characters!$1:$1,0)+1),MATCH(B$1,[2]characters!$1:$1,0)-MATCH($A$1,[2]characters!$1:$1,0)+1,FALSE)</f>
        <v>ウロボロス</v>
      </c>
      <c r="C260" s="77" t="str">
        <f ca="1">VLOOKUP($A260,OFFSET([2]characters!$A$1,0,0,COUNTA([2]characters!$A:$A),MATCH(C$1,[2]characters!$1:$1,0)-MATCH($A$1,[2]characters!$1:$1,0)+1),MATCH(C$1,[2]characters!$1:$1,0)-MATCH($A$1,[2]characters!$1:$1,0)+1,FALSE)</f>
        <v>ガチャ:7つの大罪01</v>
      </c>
      <c r="D260" s="77" t="str">
        <f ca="1">VLOOKUP($A260,OFFSET([2]characters!$A$1,0,0,COUNTA([2]characters!$A:$A),MATCH(D$1,[2]characters!$1:$1,0)-MATCH($A$1,[2]characters!$1:$1,0)+1),MATCH(D$1,[2]characters!$1:$1,0)-MATCH($A$1,[2]characters!$1:$1,0)+1,FALSE)</f>
        <v>執行者</v>
      </c>
      <c r="E260" s="77" t="str">
        <f ca="1">VLOOKUP($A260,OFFSET([2]characters!$A$1,0,0,COUNTA([2]characters!$A:$A),MATCH(E$1,[2]characters!$1:$1,0)-MATCH($A$1,[2]characters!$1:$1,0)+1),MATCH(E$1,[2]characters!$1:$1,0)-MATCH($A$1,[2]characters!$1:$1,0)+1,FALSE)</f>
        <v>格好いい</v>
      </c>
      <c r="F260" s="77" t="str">
        <f ca="1">VLOOKUP($A260,OFFSET([2]characters!$A$1,0,0,COUNTA([2]characters!$A:$A),MATCH(F$1,[2]characters!$1:$1,0)-MATCH($A$1,[2]characters!$1:$1,0)+1),MATCH(F$1,[2]characters!$1:$1,0)-MATCH($A$1,[2]characters!$1:$1,0)+1,FALSE)</f>
        <v>女性</v>
      </c>
      <c r="G260" s="77">
        <f ca="1">VLOOKUP($A260,OFFSET([2]characters!$A$1,0,0,COUNTA([2]characters!$A:$A),MATCH(G$1,[2]characters!$1:$1,0)-MATCH($A$1,[2]characters!$1:$1,0)+1),MATCH(G$1,[2]characters!$1:$1,0)-MATCH($A$1,[2]characters!$1:$1,0)+1,FALSE)</f>
        <v>3</v>
      </c>
      <c r="H260" s="77" t="str">
        <f ca="1">VLOOKUP($A260,OFFSET([2]characters!$A$1,0,0,COUNTA([2]characters!$A:$A),MATCH(H$1,[2]characters!$1:$1,0)-MATCH($A$1,[2]characters!$1:$1,0)+1),MATCH(H$1,[2]characters!$1:$1,0)-MATCH($A$1,[2]characters!$1:$1,0)+1,FALSE)</f>
        <v>PremiumS</v>
      </c>
      <c r="I260" s="77" t="str">
        <f ca="1">VLOOKUP($A260,OFFSET([2]characters!$A$1,0,0,COUNTA([2]characters!$A:$A),MATCH(I$1,[2]characters!$1:$1,0)-MATCH($A$1,[2]characters!$1:$1,0)+1),MATCH(I$1,[2]characters!$1:$1,0)-MATCH($A$1,[2]characters!$1:$1,0)+1,FALSE)</f>
        <v>yellow</v>
      </c>
      <c r="J260" s="14">
        <f ca="1">VLOOKUP(I260,[2]属性!$A:$E,2,FALSE)</f>
        <v>0.98</v>
      </c>
      <c r="K260" s="14">
        <f ca="1">VLOOKUP(I260,[2]属性!$A:$E,3,FALSE)</f>
        <v>1.01</v>
      </c>
      <c r="L260" s="14">
        <f ca="1">VLOOKUP(I260,[2]属性!$A:$E,4,FALSE)</f>
        <v>1</v>
      </c>
      <c r="M260" s="14">
        <f ca="1">VLOOKUP(I260,[2]属性!$A:$E,5,FALSE)</f>
        <v>1.01</v>
      </c>
      <c r="N260" s="14">
        <f ca="1">INDEX(コスト!$A$1:$I$20,MATCH(H260,コスト!$A$1:$A$20,FALSE),MATCH(G260,コスト!$A$1:$I$1,FALSE))</f>
        <v>10</v>
      </c>
      <c r="O260" s="14">
        <f ca="1">INDEX(レベル!$A$1:$I$21,MATCH(H260,レベル!$A$1:$A$21,FALSE),MATCH(G260,レベル!$A$1:$I$1,FALSE))</f>
        <v>40</v>
      </c>
      <c r="P260" s="63">
        <f t="shared" ca="1" si="35"/>
        <v>45</v>
      </c>
      <c r="Q260" s="77" t="str">
        <f ca="1">VLOOKUP($A260,OFFSET([2]characters!$A$1,0,0,COUNTA([2]characters!$A:$A),MATCH(Q$1,[2]characters!$1:$1,0)-MATCH($A$1,[2]characters!$1:$1,0)+1),MATCH(Q$1,[2]characters!$1:$1,0)-MATCH($A$1,[2]characters!$1:$1,0)+1,FALSE)</f>
        <v>balance</v>
      </c>
      <c r="R260" s="8" t="str">
        <f ca="1">VLOOKUP(Q260,[2]character_type_i18n!$A:$H,3,FALSE)</f>
        <v>バランスタイプ</v>
      </c>
      <c r="S260" s="14">
        <f ca="1">VLOOKUP(Q260,[2]character_type_i18n!$A:$H,4,FALSE)</f>
        <v>1</v>
      </c>
      <c r="T260" s="14">
        <f ca="1">VLOOKUP(Q260,[2]character_type_i18n!$A:$H,5,FALSE)</f>
        <v>1</v>
      </c>
      <c r="U260" s="14">
        <f ca="1">VLOOKUP(Q260,[2]character_type_i18n!$A:$H,6,FALSE)</f>
        <v>1</v>
      </c>
      <c r="V260" s="14">
        <f ca="1">VLOOKUP(Q260,[2]character_type_i18n!$A:$H,7,FALSE)</f>
        <v>1</v>
      </c>
      <c r="W260" s="77" t="str">
        <f ca="1">VLOOKUP($A260,OFFSET([2]characters!$A$1,0,0,COUNTA([2]characters!$A:$A),MATCH(W$1,[2]characters!$1:$1,0)-MATCH($A$1,[2]characters!$1:$1,0)+1),MATCH(W$1,[2]characters!$1:$1,0)-MATCH($A$1,[2]characters!$1:$1,0)+1,FALSE)</f>
        <v>dragon</v>
      </c>
      <c r="X260" s="8" t="str">
        <f ca="1">VLOOKUP(W260,[2]character_tribe_i18n!$A:$H,3,FALSE)</f>
        <v>ドラゴン</v>
      </c>
      <c r="Y260" s="77" t="str">
        <f ca="1">VLOOKUP($A260,OFFSET([2]characters!$A$1,0,0,COUNTA([2]characters!$A:$A),MATCH(Y$1,[2]characters!$1:$1,0)-MATCH($A$1,[2]characters!$1:$1,0)+1),MATCH(Y$1,[2]characters!$1:$1,0)-MATCH($A$1,[2]characters!$1:$1,0)+1,FALSE)</f>
        <v>none</v>
      </c>
      <c r="Z260" s="8" t="str">
        <f ca="1">VLOOKUP(Y260,[2]character_tribe_i18n!$A:$H,3,FALSE)</f>
        <v>種族なし</v>
      </c>
      <c r="AA260" s="14">
        <f ca="1">VLOOKUP(W260,[2]character_tribe_i18n!$A:$H,4,FALSE)</f>
        <v>1.1499999999999999</v>
      </c>
      <c r="AB260" s="14">
        <f ca="1">VLOOKUP(W260,[2]character_tribe_i18n!$A:$H,5,FALSE)</f>
        <v>1.1000000000000001</v>
      </c>
      <c r="AC260" s="14">
        <f ca="1">VLOOKUP(W260,[2]character_tribe_i18n!$A:$H,6,FALSE)</f>
        <v>1</v>
      </c>
      <c r="AD260" s="14">
        <f ca="1">VLOOKUP(W260,[2]character_tribe_i18n!$A:$H,7,FALSE)</f>
        <v>0.75</v>
      </c>
      <c r="AE260" s="12">
        <v>260</v>
      </c>
      <c r="AF260" s="85" t="str">
        <f ca="1">IF(AE260="NULL","",VLOOKUP($AE260,OFFSET([2]characters!$A$1,0,0,COUNTA([2]characters!$A:$A),MATCH(AF$1,[2]characters!$1:$1,0)-MATCH($A$1,[2]characters!$1:$1,0)+1),MATCH(AF$1,[2]characters!$1:$1,0)-MATCH($A$1,[2]characters!$1:$1,0)+1,FALSE))</f>
        <v>輪廻 ウロボロス</v>
      </c>
      <c r="AG260" s="8">
        <f t="shared" ca="1" si="30"/>
        <v>259</v>
      </c>
      <c r="AH260" s="85" t="str">
        <f ca="1">VLOOKUP($AG260,OFFSET([2]characters!$A$1,0,0,COUNTA([2]characters!$A:$A),MATCH(AH$1,[2]characters!$1:$1,0)-MATCH($A$1,[2]characters!$1:$1,0)+1),MATCH(AH$1,[2]characters!$1:$1,0)-MATCH($A$1,[2]characters!$1:$1,0)+1,FALSE)</f>
        <v>ウロボロス</v>
      </c>
      <c r="AI260" s="14">
        <f ca="1">IF(AE260="NULL","NULL",VLOOKUP(G260,ビット!$A$2:$B$7,2))</f>
        <v>20000</v>
      </c>
      <c r="AJ260" s="9">
        <v>2</v>
      </c>
      <c r="AK260" s="10" t="str">
        <f t="shared" si="31"/>
        <v>普通</v>
      </c>
      <c r="AL260" s="14" t="str">
        <f ca="1">INDEX(経験値!$A$1:$I$20,MATCH(H260,経験値!$A$1:$A$20,FALSE),MATCH(G260,経験値!$A$1:$I$1,FALSE))</f>
        <v>required_exp_200</v>
      </c>
      <c r="AM260" s="11">
        <f ca="1">VLOOKUP(G260,経験値!$A$27:$B$31,2)</f>
        <v>1500</v>
      </c>
      <c r="AN260" s="21">
        <f ca="1">VLOOKUP(G260,ビット!$G$2:$H$7,2)</f>
        <v>300</v>
      </c>
      <c r="AO260" s="99" t="s">
        <v>184</v>
      </c>
      <c r="AP260" s="97">
        <v>323008</v>
      </c>
      <c r="AQ260" s="77" t="e">
        <f ca="1">VLOOKUP($AP260,OFFSET([1]unit_skills!$A$1,0,0,COUNTA([1]unit_skills!$A:$A),MATCH("name",[1]unit_skills!$1:$1,0)-MATCH($AP$1,[1]unit_skills!$1:$1,0)+1),MATCH("name",[1]unit_skills!$1:$1,0)-MATCH($AP$1,[1]unit_skills!$1:$1,0)+1,FALSE)</f>
        <v>#VALUE!</v>
      </c>
      <c r="AR260" s="77" t="e">
        <f ca="1">VLOOKUP($AP260,OFFSET([1]unit_skills!$A$1,0,0,COUNTA([1]unit_skills!$A:$A),MATCH("comment",[1]unit_skills!$1:$1,0)-MATCH($AP$1,[1]unit_skills!$1:$1,0)+1),MATCH("comment",[1]unit_skills!$1:$1,0)-MATCH($AP$1,[1]unit_skills!$1:$1,0)+1,FALSE)</f>
        <v>#VALUE!</v>
      </c>
      <c r="AS260" s="77" t="e">
        <f ca="1">VLOOKUP($AP260,OFFSET([1]unit_skills!$A$1,0,0,COUNTA([1]unit_skills!$A:$A),MATCH(AS$1,[1]unit_skills!$1:$1,0)-MATCH($AP$1,[1]unit_skills!$1:$1,0)+1),MATCH(AS$1,[1]unit_skills!$1:$1,0)-MATCH($AP$1,[1]unit_skills!$1:$1,0)+1,FALSE)</f>
        <v>#VALUE!</v>
      </c>
      <c r="AT260" s="97">
        <v>124003</v>
      </c>
      <c r="AU260" s="77" t="e">
        <f ca="1">VLOOKUP($AT260,OFFSET([1]crash_skills!$A$1,0,0,COUNTA([1]crash_skills!$A:$A),MATCH("name",[1]crash_skills!$1:$1,0)-MATCH($AT$1,[1]crash_skills!$1:$1,0)+1),MATCH("name",[1]crash_skills!$1:$1,0)-MATCH($AT$1,[1]crash_skills!$1:$1,0)+1,FALSE)</f>
        <v>#VALUE!</v>
      </c>
      <c r="AV260" s="77" t="e">
        <f ca="1">VLOOKUP($AT260,OFFSET([1]crash_skills!$A$1,0,0,COUNTA([1]crash_skills!$A:$A),MATCH("comment",[1]crash_skills!$1:$1,0)-MATCH($AT$1,[1]crash_skills!$1:$1,0)+1),MATCH("comment",[1]crash_skills!$1:$1,0)-MATCH($AT$1,[1]crash_skills!$1:$1,0)+1,FALSE)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60" s="77" t="e">
        <f ca="1">VLOOKUP($AT260,OFFSET([1]crash_skills!$A$1,0,0,COUNTA([1]crash_skills!$A:$A),MATCH(AW$1,[1]crash_skills!$1:$1,0)-MATCH($AT$1,[1]crash_skills!$1:$1,0)+1),MATCH(AW$1,[1]crash_skills!$1:$1,0)-MATCH($AT$1,[1]crash_skills!$1:$1,0)+1,FALSE)</f>
        <v>#VALUE!</v>
      </c>
      <c r="AX260" s="81">
        <f ca="1">VLOOKUP($A260,OFFSET([2]characters!$A$1,0,0,COUNTA([2]characters!$A:$A),MATCH(AX$1,[2]characters!$1:$1,0)-MATCH($A$1,[2]characters!$1:$1,0)+1),MATCH(AX$1,[2]characters!$1:$1,0)-MATCH($A$1,[2]characters!$1:$1,0)+1,FALSE)</f>
        <v>3</v>
      </c>
      <c r="AY260" s="19">
        <v>1</v>
      </c>
      <c r="AZ260" s="19">
        <v>1</v>
      </c>
      <c r="BA260" s="19">
        <v>0</v>
      </c>
      <c r="BB260" s="19">
        <v>1</v>
      </c>
      <c r="BC260" s="14">
        <f ca="1">INDEX('RC6SV'!$A$1:$G$20,MATCH(H260,'RC6SV'!$A$1:$A$20,FALSE),MATCH(G260,'RC6SV'!$A$1:$G$1,FALSE))</f>
        <v>5000</v>
      </c>
      <c r="BD260" s="63">
        <f t="shared" ca="1" si="32"/>
        <v>5000</v>
      </c>
      <c r="BE260" s="14">
        <f t="shared" ca="1" si="33"/>
        <v>0</v>
      </c>
      <c r="BF260" s="14">
        <f t="shared" ca="1" si="34"/>
        <v>1</v>
      </c>
      <c r="BG260" s="20">
        <f ca="1">IF($BE260&lt;=0,ROUND(BK260*0.5,0), ROUND($BE260*S260*AA260*J260*AY260*0.8*[2]ステータス!$B$2,0))</f>
        <v>1409</v>
      </c>
      <c r="BH260" s="20">
        <f ca="1">IF($BE260&lt;=0,ROUND(BL260*0.5,0), ROUND($BE260*T260*AB260*K260*AZ260*0.8*[2]ステータス!$C$2,0))</f>
        <v>834</v>
      </c>
      <c r="BI260" s="20">
        <f ca="1">IF($BE260&lt;=0,ROUND(BM260*0.5,0), ROUND($BE260*U260*AC260*L260*BA260*0.8*[2]ステータス!$D$2,0))</f>
        <v>0</v>
      </c>
      <c r="BJ260" s="20">
        <f ca="1">IF($BE260&lt;=0,ROUND(BN260*0.5,0), ROUND($BE260*V260*AD260*M260*BB260*0.8*[2]ステータス!$E$2,0))</f>
        <v>474</v>
      </c>
      <c r="BK260" s="14">
        <f ca="1">ROUND(BD260*S260*AA260*J260*AY260*[2]ステータス!$B$2,0)</f>
        <v>2818</v>
      </c>
      <c r="BL260" s="14">
        <f ca="1">ROUND(BD260*T260*AB260*K260*AZ260*[2]ステータス!$C$2,0)</f>
        <v>1667</v>
      </c>
      <c r="BM260" s="14">
        <f ca="1">ROUND(BD260*U260*AC260*L260*BA260*[2]ステータス!$D$2,0)</f>
        <v>0</v>
      </c>
      <c r="BN260" s="14">
        <f ca="1">ROUND(BD260*V260*AD260*M260*BB260*[2]ステータス!$E$2,0)</f>
        <v>947</v>
      </c>
      <c r="BO260" s="13">
        <v>0</v>
      </c>
      <c r="BP260" s="13">
        <v>1</v>
      </c>
      <c r="BQ260" s="13" t="s">
        <v>102</v>
      </c>
      <c r="BR260" s="13">
        <f ca="1">VLOOKUP(H260,ghosts_label!$A$2:$B$19,2,FALSE)</f>
        <v>700</v>
      </c>
    </row>
    <row r="261" spans="1:70" ht="21" customHeight="1" x14ac:dyDescent="0.15">
      <c r="A261" s="14">
        <f t="shared" ca="1" si="29"/>
        <v>260</v>
      </c>
      <c r="B261" s="77" t="str">
        <f ca="1">VLOOKUP($A261,OFFSET([2]characters!$A$1,0,0,COUNTA([2]characters!$A:$A),MATCH(B$1,[2]characters!$1:$1,0)-MATCH($A$1,[2]characters!$1:$1,0)+1),MATCH(B$1,[2]characters!$1:$1,0)-MATCH($A$1,[2]characters!$1:$1,0)+1,FALSE)</f>
        <v>輪廻 ウロボロス</v>
      </c>
      <c r="C261" s="77" t="str">
        <f ca="1">VLOOKUP($A261,OFFSET([2]characters!$A$1,0,0,COUNTA([2]characters!$A:$A),MATCH(C$1,[2]characters!$1:$1,0)-MATCH($A$1,[2]characters!$1:$1,0)+1),MATCH(C$1,[2]characters!$1:$1,0)-MATCH($A$1,[2]characters!$1:$1,0)+1,FALSE)</f>
        <v>ガチャ:7つの大罪01</v>
      </c>
      <c r="D261" s="77" t="str">
        <f ca="1">VLOOKUP($A261,OFFSET([2]characters!$A$1,0,0,COUNTA([2]characters!$A:$A),MATCH(D$1,[2]characters!$1:$1,0)-MATCH($A$1,[2]characters!$1:$1,0)+1),MATCH(D$1,[2]characters!$1:$1,0)-MATCH($A$1,[2]characters!$1:$1,0)+1,FALSE)</f>
        <v>執行者</v>
      </c>
      <c r="E261" s="77" t="str">
        <f ca="1">VLOOKUP($A261,OFFSET([2]characters!$A$1,0,0,COUNTA([2]characters!$A:$A),MATCH(E$1,[2]characters!$1:$1,0)-MATCH($A$1,[2]characters!$1:$1,0)+1),MATCH(E$1,[2]characters!$1:$1,0)-MATCH($A$1,[2]characters!$1:$1,0)+1,FALSE)</f>
        <v>格好いい</v>
      </c>
      <c r="F261" s="77" t="str">
        <f ca="1">VLOOKUP($A261,OFFSET([2]characters!$A$1,0,0,COUNTA([2]characters!$A:$A),MATCH(F$1,[2]characters!$1:$1,0)-MATCH($A$1,[2]characters!$1:$1,0)+1),MATCH(F$1,[2]characters!$1:$1,0)-MATCH($A$1,[2]characters!$1:$1,0)+1,FALSE)</f>
        <v>女性</v>
      </c>
      <c r="G261" s="77">
        <f ca="1">VLOOKUP($A261,OFFSET([2]characters!$A$1,0,0,COUNTA([2]characters!$A:$A),MATCH(G$1,[2]characters!$1:$1,0)-MATCH($A$1,[2]characters!$1:$1,0)+1),MATCH(G$1,[2]characters!$1:$1,0)-MATCH($A$1,[2]characters!$1:$1,0)+1,FALSE)</f>
        <v>4</v>
      </c>
      <c r="H261" s="77" t="str">
        <f ca="1">VLOOKUP($A261,OFFSET([2]characters!$A$1,0,0,COUNTA([2]characters!$A:$A),MATCH(H$1,[2]characters!$1:$1,0)-MATCH($A$1,[2]characters!$1:$1,0)+1),MATCH(H$1,[2]characters!$1:$1,0)-MATCH($A$1,[2]characters!$1:$1,0)+1,FALSE)</f>
        <v>PremiumS</v>
      </c>
      <c r="I261" s="77" t="str">
        <f ca="1">VLOOKUP($A261,OFFSET([2]characters!$A$1,0,0,COUNTA([2]characters!$A:$A),MATCH(I$1,[2]characters!$1:$1,0)-MATCH($A$1,[2]characters!$1:$1,0)+1),MATCH(I$1,[2]characters!$1:$1,0)-MATCH($A$1,[2]characters!$1:$1,0)+1,FALSE)</f>
        <v>yellow</v>
      </c>
      <c r="J261" s="14">
        <f ca="1">VLOOKUP(I261,[2]属性!$A:$E,2,FALSE)</f>
        <v>0.98</v>
      </c>
      <c r="K261" s="14">
        <f ca="1">VLOOKUP(I261,[2]属性!$A:$E,3,FALSE)</f>
        <v>1.01</v>
      </c>
      <c r="L261" s="14">
        <f ca="1">VLOOKUP(I261,[2]属性!$A:$E,4,FALSE)</f>
        <v>1</v>
      </c>
      <c r="M261" s="14">
        <f ca="1">VLOOKUP(I261,[2]属性!$A:$E,5,FALSE)</f>
        <v>1.01</v>
      </c>
      <c r="N261" s="14">
        <f ca="1">INDEX(コスト!$A$1:$I$20,MATCH(H261,コスト!$A$1:$A$20,FALSE),MATCH(G261,コスト!$A$1:$I$1,FALSE))</f>
        <v>20</v>
      </c>
      <c r="O261" s="14">
        <f ca="1">INDEX(レベル!$A$1:$I$21,MATCH(H261,レベル!$A$1:$A$21,FALSE),MATCH(G261,レベル!$A$1:$I$1,FALSE))</f>
        <v>60</v>
      </c>
      <c r="P261" s="63">
        <f t="shared" ca="1" si="35"/>
        <v>60</v>
      </c>
      <c r="Q261" s="77" t="str">
        <f ca="1">VLOOKUP($A261,OFFSET([2]characters!$A$1,0,0,COUNTA([2]characters!$A:$A),MATCH(Q$1,[2]characters!$1:$1,0)-MATCH($A$1,[2]characters!$1:$1,0)+1),MATCH(Q$1,[2]characters!$1:$1,0)-MATCH($A$1,[2]characters!$1:$1,0)+1,FALSE)</f>
        <v>balance</v>
      </c>
      <c r="R261" s="8" t="str">
        <f ca="1">VLOOKUP(Q261,[2]character_type_i18n!$A:$H,3,FALSE)</f>
        <v>バランスタイプ</v>
      </c>
      <c r="S261" s="14">
        <f ca="1">VLOOKUP(Q261,[2]character_type_i18n!$A:$H,4,FALSE)</f>
        <v>1</v>
      </c>
      <c r="T261" s="14">
        <f ca="1">VLOOKUP(Q261,[2]character_type_i18n!$A:$H,5,FALSE)</f>
        <v>1</v>
      </c>
      <c r="U261" s="14">
        <f ca="1">VLOOKUP(Q261,[2]character_type_i18n!$A:$H,6,FALSE)</f>
        <v>1</v>
      </c>
      <c r="V261" s="14">
        <f ca="1">VLOOKUP(Q261,[2]character_type_i18n!$A:$H,7,FALSE)</f>
        <v>1</v>
      </c>
      <c r="W261" s="77" t="str">
        <f ca="1">VLOOKUP($A261,OFFSET([2]characters!$A$1,0,0,COUNTA([2]characters!$A:$A),MATCH(W$1,[2]characters!$1:$1,0)-MATCH($A$1,[2]characters!$1:$1,0)+1),MATCH(W$1,[2]characters!$1:$1,0)-MATCH($A$1,[2]characters!$1:$1,0)+1,FALSE)</f>
        <v>dragon</v>
      </c>
      <c r="X261" s="8" t="str">
        <f ca="1">VLOOKUP(W261,[2]character_tribe_i18n!$A:$H,3,FALSE)</f>
        <v>ドラゴン</v>
      </c>
      <c r="Y261" s="77" t="str">
        <f ca="1">VLOOKUP($A261,OFFSET([2]characters!$A$1,0,0,COUNTA([2]characters!$A:$A),MATCH(Y$1,[2]characters!$1:$1,0)-MATCH($A$1,[2]characters!$1:$1,0)+1),MATCH(Y$1,[2]characters!$1:$1,0)-MATCH($A$1,[2]characters!$1:$1,0)+1,FALSE)</f>
        <v>none</v>
      </c>
      <c r="Z261" s="8" t="str">
        <f ca="1">VLOOKUP(Y261,[2]character_tribe_i18n!$A:$H,3,FALSE)</f>
        <v>種族なし</v>
      </c>
      <c r="AA261" s="14">
        <f ca="1">VLOOKUP(W261,[2]character_tribe_i18n!$A:$H,4,FALSE)</f>
        <v>1.1499999999999999</v>
      </c>
      <c r="AB261" s="14">
        <f ca="1">VLOOKUP(W261,[2]character_tribe_i18n!$A:$H,5,FALSE)</f>
        <v>1.1000000000000001</v>
      </c>
      <c r="AC261" s="14">
        <f ca="1">VLOOKUP(W261,[2]character_tribe_i18n!$A:$H,6,FALSE)</f>
        <v>1</v>
      </c>
      <c r="AD261" s="14">
        <f ca="1">VLOOKUP(W261,[2]character_tribe_i18n!$A:$H,7,FALSE)</f>
        <v>0.75</v>
      </c>
      <c r="AE261" s="12">
        <v>261</v>
      </c>
      <c r="AF261" s="85" t="str">
        <f ca="1">IF(AE261="NULL","",VLOOKUP($AE261,OFFSET([2]characters!$A$1,0,0,COUNTA([2]characters!$A:$A),MATCH(AF$1,[2]characters!$1:$1,0)-MATCH($A$1,[2]characters!$1:$1,0)+1),MATCH(AF$1,[2]characters!$1:$1,0)-MATCH($A$1,[2]characters!$1:$1,0)+1,FALSE))</f>
        <v>輪廻の蛇龍 ウロボロス</v>
      </c>
      <c r="AG261" s="8">
        <f t="shared" ca="1" si="30"/>
        <v>259</v>
      </c>
      <c r="AH261" s="85" t="str">
        <f ca="1">VLOOKUP($AG261,OFFSET([2]characters!$A$1,0,0,COUNTA([2]characters!$A:$A),MATCH(AH$1,[2]characters!$1:$1,0)-MATCH($A$1,[2]characters!$1:$1,0)+1),MATCH(AH$1,[2]characters!$1:$1,0)-MATCH($A$1,[2]characters!$1:$1,0)+1,FALSE)</f>
        <v>ウロボロス</v>
      </c>
      <c r="AI261" s="14">
        <f ca="1">IF(AE261="NULL","NULL",VLOOKUP(G261,ビット!$A$2:$B$7,2))</f>
        <v>50000</v>
      </c>
      <c r="AJ261" s="9">
        <v>2</v>
      </c>
      <c r="AK261" s="10" t="str">
        <f t="shared" si="31"/>
        <v>普通</v>
      </c>
      <c r="AL261" s="14" t="str">
        <f ca="1">INDEX(経験値!$A$1:$I$20,MATCH(H261,経験値!$A$1:$A$20,FALSE),MATCH(G261,経験値!$A$1:$I$1,FALSE))</f>
        <v>required_exp_200</v>
      </c>
      <c r="AM261" s="11">
        <f ca="1">VLOOKUP(G261,経験値!$A$27:$B$31,2)</f>
        <v>3400</v>
      </c>
      <c r="AN261" s="21">
        <f ca="1">VLOOKUP(G261,ビット!$G$2:$H$7,2)</f>
        <v>600</v>
      </c>
      <c r="AO261" s="99" t="s">
        <v>184</v>
      </c>
      <c r="AP261" s="97">
        <v>323009</v>
      </c>
      <c r="AQ261" s="77" t="e">
        <f ca="1">VLOOKUP($AP261,OFFSET([1]unit_skills!$A$1,0,0,COUNTA([1]unit_skills!$A:$A),MATCH("name",[1]unit_skills!$1:$1,0)-MATCH($AP$1,[1]unit_skills!$1:$1,0)+1),MATCH("name",[1]unit_skills!$1:$1,0)-MATCH($AP$1,[1]unit_skills!$1:$1,0)+1,FALSE)</f>
        <v>#VALUE!</v>
      </c>
      <c r="AR261" s="77" t="e">
        <f ca="1">VLOOKUP($AP261,OFFSET([1]unit_skills!$A$1,0,0,COUNTA([1]unit_skills!$A:$A),MATCH("comment",[1]unit_skills!$1:$1,0)-MATCH($AP$1,[1]unit_skills!$1:$1,0)+1),MATCH("comment",[1]unit_skills!$1:$1,0)-MATCH($AP$1,[1]unit_skills!$1:$1,0)+1,FALSE)</f>
        <v>#VALUE!</v>
      </c>
      <c r="AS261" s="77" t="e">
        <f ca="1">VLOOKUP($AP261,OFFSET([1]unit_skills!$A$1,0,0,COUNTA([1]unit_skills!$A:$A),MATCH(AS$1,[1]unit_skills!$1:$1,0)-MATCH($AP$1,[1]unit_skills!$1:$1,0)+1),MATCH(AS$1,[1]unit_skills!$1:$1,0)-MATCH($AP$1,[1]unit_skills!$1:$1,0)+1,FALSE)</f>
        <v>#VALUE!</v>
      </c>
      <c r="AT261" s="97">
        <v>124003</v>
      </c>
      <c r="AU261" s="77" t="e">
        <f ca="1">VLOOKUP($AT261,OFFSET([1]crash_skills!$A$1,0,0,COUNTA([1]crash_skills!$A:$A),MATCH("name",[1]crash_skills!$1:$1,0)-MATCH($AT$1,[1]crash_skills!$1:$1,0)+1),MATCH("name",[1]crash_skills!$1:$1,0)-MATCH($AT$1,[1]crash_skills!$1:$1,0)+1,FALSE)</f>
        <v>#VALUE!</v>
      </c>
      <c r="AV261" s="77" t="e">
        <f ca="1">VLOOKUP($AT261,OFFSET([1]crash_skills!$A$1,0,0,COUNTA([1]crash_skills!$A:$A),MATCH("comment",[1]crash_skills!$1:$1,0)-MATCH($AT$1,[1]crash_skills!$1:$1,0)+1),MATCH("comment",[1]crash_skills!$1:$1,0)-MATCH($AT$1,[1]crash_skills!$1:$1,0)+1,FALSE)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61" s="77" t="e">
        <f ca="1">VLOOKUP($AT261,OFFSET([1]crash_skills!$A$1,0,0,COUNTA([1]crash_skills!$A:$A),MATCH(AW$1,[1]crash_skills!$1:$1,0)-MATCH($AT$1,[1]crash_skills!$1:$1,0)+1),MATCH(AW$1,[1]crash_skills!$1:$1,0)-MATCH($AT$1,[1]crash_skills!$1:$1,0)+1,FALSE)</f>
        <v>#VALUE!</v>
      </c>
      <c r="AX261" s="81">
        <f ca="1">VLOOKUP($A261,OFFSET([2]characters!$A$1,0,0,COUNTA([2]characters!$A:$A),MATCH(AX$1,[2]characters!$1:$1,0)-MATCH($A$1,[2]characters!$1:$1,0)+1),MATCH(AX$1,[2]characters!$1:$1,0)-MATCH($A$1,[2]characters!$1:$1,0)+1,FALSE)</f>
        <v>3</v>
      </c>
      <c r="AY261" s="19">
        <v>1</v>
      </c>
      <c r="AZ261" s="19">
        <v>1</v>
      </c>
      <c r="BA261" s="19">
        <v>0</v>
      </c>
      <c r="BB261" s="19">
        <v>1</v>
      </c>
      <c r="BC261" s="14">
        <f ca="1">INDEX('RC6SV'!$A$1:$G$20,MATCH(H261,'RC6SV'!$A$1:$A$20,FALSE),MATCH(G261,'RC6SV'!$A$1:$G$1,FALSE))</f>
        <v>7000</v>
      </c>
      <c r="BD261" s="63">
        <f t="shared" ca="1" si="32"/>
        <v>7000</v>
      </c>
      <c r="BE261" s="14">
        <f t="shared" ca="1" si="33"/>
        <v>5000</v>
      </c>
      <c r="BF261" s="14">
        <f t="shared" ca="1" si="34"/>
        <v>1</v>
      </c>
      <c r="BG261" s="20">
        <f ca="1">IF($BE261&lt;=0,ROUND(BK261*0.5,0), ROUND($BE261*S261*AA261*J261*AY261*0.8*[2]ステータス!$B$2,0))</f>
        <v>2254</v>
      </c>
      <c r="BH261" s="20">
        <f ca="1">IF($BE261&lt;=0,ROUND(BL261*0.5,0), ROUND($BE261*T261*AB261*K261*AZ261*0.8*[2]ステータス!$C$2,0))</f>
        <v>1333</v>
      </c>
      <c r="BI261" s="20">
        <f ca="1">IF($BE261&lt;=0,ROUND(BM261*0.5,0), ROUND($BE261*U261*AC261*L261*BA261*0.8*[2]ステータス!$D$2,0))</f>
        <v>0</v>
      </c>
      <c r="BJ261" s="20">
        <f ca="1">IF($BE261&lt;=0,ROUND(BN261*0.5,0), ROUND($BE261*V261*AD261*M261*BB261*0.8*[2]ステータス!$E$2,0))</f>
        <v>758</v>
      </c>
      <c r="BK261" s="14">
        <f ca="1">ROUND(BD261*S261*AA261*J261*AY261*[2]ステータス!$B$2,0)</f>
        <v>3945</v>
      </c>
      <c r="BL261" s="14">
        <f ca="1">ROUND(BD261*T261*AB261*K261*AZ261*[2]ステータス!$C$2,0)</f>
        <v>2333</v>
      </c>
      <c r="BM261" s="14">
        <f ca="1">ROUND(BD261*U261*AC261*L261*BA261*[2]ステータス!$D$2,0)</f>
        <v>0</v>
      </c>
      <c r="BN261" s="14">
        <f ca="1">ROUND(BD261*V261*AD261*M261*BB261*[2]ステータス!$E$2,0)</f>
        <v>1326</v>
      </c>
      <c r="BO261" s="13">
        <v>0</v>
      </c>
      <c r="BP261" s="13">
        <v>1</v>
      </c>
      <c r="BQ261" s="13" t="s">
        <v>102</v>
      </c>
      <c r="BR261" s="13">
        <f ca="1">VLOOKUP(H261,ghosts_label!$A$2:$B$19,2,FALSE)</f>
        <v>700</v>
      </c>
    </row>
    <row r="262" spans="1:70" ht="21" customHeight="1" x14ac:dyDescent="0.15">
      <c r="A262" s="14">
        <f t="shared" ca="1" si="29"/>
        <v>261</v>
      </c>
      <c r="B262" s="77" t="str">
        <f ca="1">VLOOKUP($A262,OFFSET([2]characters!$A$1,0,0,COUNTA([2]characters!$A:$A),MATCH(B$1,[2]characters!$1:$1,0)-MATCH($A$1,[2]characters!$1:$1,0)+1),MATCH(B$1,[2]characters!$1:$1,0)-MATCH($A$1,[2]characters!$1:$1,0)+1,FALSE)</f>
        <v>輪廻の蛇龍 ウロボロス</v>
      </c>
      <c r="C262" s="77" t="str">
        <f ca="1">VLOOKUP($A262,OFFSET([2]characters!$A$1,0,0,COUNTA([2]characters!$A:$A),MATCH(C$1,[2]characters!$1:$1,0)-MATCH($A$1,[2]characters!$1:$1,0)+1),MATCH(C$1,[2]characters!$1:$1,0)-MATCH($A$1,[2]characters!$1:$1,0)+1,FALSE)</f>
        <v>ガチャ:7つの大罪01</v>
      </c>
      <c r="D262" s="77" t="str">
        <f ca="1">VLOOKUP($A262,OFFSET([2]characters!$A$1,0,0,COUNTA([2]characters!$A:$A),MATCH(D$1,[2]characters!$1:$1,0)-MATCH($A$1,[2]characters!$1:$1,0)+1),MATCH(D$1,[2]characters!$1:$1,0)-MATCH($A$1,[2]characters!$1:$1,0)+1,FALSE)</f>
        <v>執行者</v>
      </c>
      <c r="E262" s="77" t="str">
        <f ca="1">VLOOKUP($A262,OFFSET([2]characters!$A$1,0,0,COUNTA([2]characters!$A:$A),MATCH(E$1,[2]characters!$1:$1,0)-MATCH($A$1,[2]characters!$1:$1,0)+1),MATCH(E$1,[2]characters!$1:$1,0)-MATCH($A$1,[2]characters!$1:$1,0)+1,FALSE)</f>
        <v>格好いい</v>
      </c>
      <c r="F262" s="77" t="str">
        <f ca="1">VLOOKUP($A262,OFFSET([2]characters!$A$1,0,0,COUNTA([2]characters!$A:$A),MATCH(F$1,[2]characters!$1:$1,0)-MATCH($A$1,[2]characters!$1:$1,0)+1),MATCH(F$1,[2]characters!$1:$1,0)-MATCH($A$1,[2]characters!$1:$1,0)+1,FALSE)</f>
        <v>女性</v>
      </c>
      <c r="G262" s="77">
        <f ca="1">VLOOKUP($A262,OFFSET([2]characters!$A$1,0,0,COUNTA([2]characters!$A:$A),MATCH(G$1,[2]characters!$1:$1,0)-MATCH($A$1,[2]characters!$1:$1,0)+1),MATCH(G$1,[2]characters!$1:$1,0)-MATCH($A$1,[2]characters!$1:$1,0)+1,FALSE)</f>
        <v>5</v>
      </c>
      <c r="H262" s="77" t="str">
        <f ca="1">VLOOKUP($A262,OFFSET([2]characters!$A$1,0,0,COUNTA([2]characters!$A:$A),MATCH(H$1,[2]characters!$1:$1,0)-MATCH($A$1,[2]characters!$1:$1,0)+1),MATCH(H$1,[2]characters!$1:$1,0)-MATCH($A$1,[2]characters!$1:$1,0)+1,FALSE)</f>
        <v>PremiumS</v>
      </c>
      <c r="I262" s="77" t="str">
        <f ca="1">VLOOKUP($A262,OFFSET([2]characters!$A$1,0,0,COUNTA([2]characters!$A:$A),MATCH(I$1,[2]characters!$1:$1,0)-MATCH($A$1,[2]characters!$1:$1,0)+1),MATCH(I$1,[2]characters!$1:$1,0)-MATCH($A$1,[2]characters!$1:$1,0)+1,FALSE)</f>
        <v>yellow</v>
      </c>
      <c r="J262" s="14">
        <f ca="1">VLOOKUP(I262,[2]属性!$A:$E,2,FALSE)</f>
        <v>0.98</v>
      </c>
      <c r="K262" s="14">
        <f ca="1">VLOOKUP(I262,[2]属性!$A:$E,3,FALSE)</f>
        <v>1.01</v>
      </c>
      <c r="L262" s="14">
        <f ca="1">VLOOKUP(I262,[2]属性!$A:$E,4,FALSE)</f>
        <v>1</v>
      </c>
      <c r="M262" s="14">
        <f ca="1">VLOOKUP(I262,[2]属性!$A:$E,5,FALSE)</f>
        <v>1.01</v>
      </c>
      <c r="N262" s="14">
        <f ca="1">INDEX(コスト!$A$1:$I$20,MATCH(H262,コスト!$A$1:$A$20,FALSE),MATCH(G262,コスト!$A$1:$I$1,FALSE))</f>
        <v>30</v>
      </c>
      <c r="O262" s="14">
        <f ca="1">INDEX(レベル!$A$1:$I$21,MATCH(H262,レベル!$A$1:$A$21,FALSE),MATCH(G262,レベル!$A$1:$I$1,FALSE))</f>
        <v>80</v>
      </c>
      <c r="P262" s="63">
        <f t="shared" ca="1" si="35"/>
        <v>75</v>
      </c>
      <c r="Q262" s="77" t="str">
        <f ca="1">VLOOKUP($A262,OFFSET([2]characters!$A$1,0,0,COUNTA([2]characters!$A:$A),MATCH(Q$1,[2]characters!$1:$1,0)-MATCH($A$1,[2]characters!$1:$1,0)+1),MATCH(Q$1,[2]characters!$1:$1,0)-MATCH($A$1,[2]characters!$1:$1,0)+1,FALSE)</f>
        <v>balance</v>
      </c>
      <c r="R262" s="8" t="str">
        <f ca="1">VLOOKUP(Q262,[2]character_type_i18n!$A:$H,3,FALSE)</f>
        <v>バランスタイプ</v>
      </c>
      <c r="S262" s="14">
        <f ca="1">VLOOKUP(Q262,[2]character_type_i18n!$A:$H,4,FALSE)</f>
        <v>1</v>
      </c>
      <c r="T262" s="14">
        <f ca="1">VLOOKUP(Q262,[2]character_type_i18n!$A:$H,5,FALSE)</f>
        <v>1</v>
      </c>
      <c r="U262" s="14">
        <f ca="1">VLOOKUP(Q262,[2]character_type_i18n!$A:$H,6,FALSE)</f>
        <v>1</v>
      </c>
      <c r="V262" s="14">
        <f ca="1">VLOOKUP(Q262,[2]character_type_i18n!$A:$H,7,FALSE)</f>
        <v>1</v>
      </c>
      <c r="W262" s="77" t="str">
        <f ca="1">VLOOKUP($A262,OFFSET([2]characters!$A$1,0,0,COUNTA([2]characters!$A:$A),MATCH(W$1,[2]characters!$1:$1,0)-MATCH($A$1,[2]characters!$1:$1,0)+1),MATCH(W$1,[2]characters!$1:$1,0)-MATCH($A$1,[2]characters!$1:$1,0)+1,FALSE)</f>
        <v>dragon</v>
      </c>
      <c r="X262" s="8" t="str">
        <f ca="1">VLOOKUP(W262,[2]character_tribe_i18n!$A:$H,3,FALSE)</f>
        <v>ドラゴン</v>
      </c>
      <c r="Y262" s="77" t="str">
        <f ca="1">VLOOKUP($A262,OFFSET([2]characters!$A$1,0,0,COUNTA([2]characters!$A:$A),MATCH(Y$1,[2]characters!$1:$1,0)-MATCH($A$1,[2]characters!$1:$1,0)+1),MATCH(Y$1,[2]characters!$1:$1,0)-MATCH($A$1,[2]characters!$1:$1,0)+1,FALSE)</f>
        <v>none</v>
      </c>
      <c r="Z262" s="8" t="str">
        <f ca="1">VLOOKUP(Y262,[2]character_tribe_i18n!$A:$H,3,FALSE)</f>
        <v>種族なし</v>
      </c>
      <c r="AA262" s="14">
        <f ca="1">VLOOKUP(W262,[2]character_tribe_i18n!$A:$H,4,FALSE)</f>
        <v>1.1499999999999999</v>
      </c>
      <c r="AB262" s="14">
        <f ca="1">VLOOKUP(W262,[2]character_tribe_i18n!$A:$H,5,FALSE)</f>
        <v>1.1000000000000001</v>
      </c>
      <c r="AC262" s="14">
        <f ca="1">VLOOKUP(W262,[2]character_tribe_i18n!$A:$H,6,FALSE)</f>
        <v>1</v>
      </c>
      <c r="AD262" s="14">
        <f ca="1">VLOOKUP(W262,[2]character_tribe_i18n!$A:$H,7,FALSE)</f>
        <v>0.75</v>
      </c>
      <c r="AE262" s="12" t="s">
        <v>102</v>
      </c>
      <c r="AF262" s="85" t="str">
        <f ca="1">IF(AE262="NULL","",VLOOKUP($AE262,OFFSET([2]characters!$A$1,0,0,COUNTA([2]characters!$A:$A),MATCH(AF$1,[2]characters!$1:$1,0)-MATCH($A$1,[2]characters!$1:$1,0)+1),MATCH(AF$1,[2]characters!$1:$1,0)-MATCH($A$1,[2]characters!$1:$1,0)+1,FALSE))</f>
        <v/>
      </c>
      <c r="AG262" s="8">
        <f t="shared" ca="1" si="30"/>
        <v>259</v>
      </c>
      <c r="AH262" s="85" t="str">
        <f ca="1">VLOOKUP($AG262,OFFSET([2]characters!$A$1,0,0,COUNTA([2]characters!$A:$A),MATCH(AH$1,[2]characters!$1:$1,0)-MATCH($A$1,[2]characters!$1:$1,0)+1),MATCH(AH$1,[2]characters!$1:$1,0)-MATCH($A$1,[2]characters!$1:$1,0)+1,FALSE)</f>
        <v>ウロボロス</v>
      </c>
      <c r="AI262" s="14" t="str">
        <f>IF(AE262="NULL","NULL",VLOOKUP(G262,ビット!$A$2:$B$7,2))</f>
        <v>NULL</v>
      </c>
      <c r="AJ262" s="9">
        <v>2</v>
      </c>
      <c r="AK262" s="10" t="str">
        <f t="shared" si="31"/>
        <v>普通</v>
      </c>
      <c r="AL262" s="14" t="str">
        <f ca="1">INDEX(経験値!$A$1:$I$20,MATCH(H262,経験値!$A$1:$A$20,FALSE),MATCH(G262,経験値!$A$1:$I$1,FALSE))</f>
        <v>required_exp_200</v>
      </c>
      <c r="AM262" s="11">
        <f ca="1">VLOOKUP(G262,経験値!$A$27:$B$31,2)</f>
        <v>6400</v>
      </c>
      <c r="AN262" s="21">
        <f ca="1">VLOOKUP(G262,ビット!$G$2:$H$7,2)</f>
        <v>900</v>
      </c>
      <c r="AO262" s="99" t="s">
        <v>184</v>
      </c>
      <c r="AP262" s="97">
        <v>323010</v>
      </c>
      <c r="AQ262" s="77" t="e">
        <f ca="1">VLOOKUP($AP262,OFFSET([1]unit_skills!$A$1,0,0,COUNTA([1]unit_skills!$A:$A),MATCH("name",[1]unit_skills!$1:$1,0)-MATCH($AP$1,[1]unit_skills!$1:$1,0)+1),MATCH("name",[1]unit_skills!$1:$1,0)-MATCH($AP$1,[1]unit_skills!$1:$1,0)+1,FALSE)</f>
        <v>#VALUE!</v>
      </c>
      <c r="AR262" s="77" t="e">
        <f ca="1">VLOOKUP($AP262,OFFSET([1]unit_skills!$A$1,0,0,COUNTA([1]unit_skills!$A:$A),MATCH("comment",[1]unit_skills!$1:$1,0)-MATCH($AP$1,[1]unit_skills!$1:$1,0)+1),MATCH("comment",[1]unit_skills!$1:$1,0)-MATCH($AP$1,[1]unit_skills!$1:$1,0)+1,FALSE)</f>
        <v>#VALUE!</v>
      </c>
      <c r="AS262" s="77" t="e">
        <f ca="1">VLOOKUP($AP262,OFFSET([1]unit_skills!$A$1,0,0,COUNTA([1]unit_skills!$A:$A),MATCH(AS$1,[1]unit_skills!$1:$1,0)-MATCH($AP$1,[1]unit_skills!$1:$1,0)+1),MATCH(AS$1,[1]unit_skills!$1:$1,0)-MATCH($AP$1,[1]unit_skills!$1:$1,0)+1,FALSE)</f>
        <v>#VALUE!</v>
      </c>
      <c r="AT262" s="97">
        <v>124011</v>
      </c>
      <c r="AU262" s="77" t="e">
        <f ca="1">VLOOKUP($AT262,OFFSET([1]crash_skills!$A$1,0,0,COUNTA([1]crash_skills!$A:$A),MATCH("name",[1]crash_skills!$1:$1,0)-MATCH($AT$1,[1]crash_skills!$1:$1,0)+1),MATCH("name",[1]crash_skills!$1:$1,0)-MATCH($AT$1,[1]crash_skills!$1:$1,0)+1,FALSE)</f>
        <v>#VALUE!</v>
      </c>
      <c r="AV262" s="77" t="e">
        <f ca="1">VLOOKUP($AT262,OFFSET([1]crash_skills!$A$1,0,0,COUNTA([1]crash_skills!$A:$A),MATCH("comment",[1]crash_skills!$1:$1,0)-MATCH($AT$1,[1]crash_skills!$1:$1,0)+1),MATCH("comment",[1]crash_skills!$1:$1,0)-MATCH($AT$1,[1]crash_skills!$1:$1,0)+1,FALSE)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62" s="77" t="e">
        <f ca="1">VLOOKUP($AT262,OFFSET([1]crash_skills!$A$1,0,0,COUNTA([1]crash_skills!$A:$A),MATCH(AW$1,[1]crash_skills!$1:$1,0)-MATCH($AT$1,[1]crash_skills!$1:$1,0)+1),MATCH(AW$1,[1]crash_skills!$1:$1,0)-MATCH($AT$1,[1]crash_skills!$1:$1,0)+1,FALSE)</f>
        <v>#VALUE!</v>
      </c>
      <c r="AX262" s="81">
        <f ca="1">VLOOKUP($A262,OFFSET([2]characters!$A$1,0,0,COUNTA([2]characters!$A:$A),MATCH(AX$1,[2]characters!$1:$1,0)-MATCH($A$1,[2]characters!$1:$1,0)+1),MATCH(AX$1,[2]characters!$1:$1,0)-MATCH($A$1,[2]characters!$1:$1,0)+1,FALSE)</f>
        <v>3</v>
      </c>
      <c r="AY262" s="19">
        <v>1</v>
      </c>
      <c r="AZ262" s="19">
        <v>1</v>
      </c>
      <c r="BA262" s="19">
        <v>0</v>
      </c>
      <c r="BB262" s="19">
        <v>1</v>
      </c>
      <c r="BC262" s="14">
        <f ca="1">INDEX('RC6SV'!$A$1:$G$20,MATCH(H262,'RC6SV'!$A$1:$A$20,FALSE),MATCH(G262,'RC6SV'!$A$1:$G$1,FALSE))</f>
        <v>9000</v>
      </c>
      <c r="BD262" s="63">
        <f t="shared" ca="1" si="32"/>
        <v>9000</v>
      </c>
      <c r="BE262" s="14">
        <f t="shared" ca="1" si="33"/>
        <v>7000</v>
      </c>
      <c r="BF262" s="14">
        <f t="shared" ca="1" si="34"/>
        <v>1</v>
      </c>
      <c r="BG262" s="20">
        <f ca="1">IF($BE262&lt;=0,ROUND(BK262*0.5,0), ROUND($BE262*S262*AA262*J262*AY262*0.8*[2]ステータス!$B$2,0))</f>
        <v>3156</v>
      </c>
      <c r="BH262" s="20">
        <f ca="1">IF($BE262&lt;=0,ROUND(BL262*0.5,0), ROUND($BE262*T262*AB262*K262*AZ262*0.8*[2]ステータス!$C$2,0))</f>
        <v>1866</v>
      </c>
      <c r="BI262" s="20">
        <f ca="1">IF($BE262&lt;=0,ROUND(BM262*0.5,0), ROUND($BE262*U262*AC262*L262*BA262*0.8*[2]ステータス!$D$2,0))</f>
        <v>0</v>
      </c>
      <c r="BJ262" s="20">
        <f ca="1">IF($BE262&lt;=0,ROUND(BN262*0.5,0), ROUND($BE262*V262*AD262*M262*BB262*0.8*[2]ステータス!$E$2,0))</f>
        <v>1061</v>
      </c>
      <c r="BK262" s="14">
        <f ca="1">ROUND(BD262*S262*AA262*J262*AY262*[2]ステータス!$B$2,0)</f>
        <v>5072</v>
      </c>
      <c r="BL262" s="14">
        <f ca="1">ROUND(BD262*T262*AB262*K262*AZ262*[2]ステータス!$C$2,0)</f>
        <v>3000</v>
      </c>
      <c r="BM262" s="14">
        <f ca="1">ROUND(BD262*U262*AC262*L262*BA262*[2]ステータス!$D$2,0)</f>
        <v>0</v>
      </c>
      <c r="BN262" s="14">
        <f ca="1">ROUND(BD262*V262*AD262*M262*BB262*[2]ステータス!$E$2,0)</f>
        <v>1704</v>
      </c>
      <c r="BO262" s="13">
        <v>0</v>
      </c>
      <c r="BP262" s="13">
        <v>1</v>
      </c>
      <c r="BQ262" s="13" t="s">
        <v>102</v>
      </c>
      <c r="BR262" s="13">
        <f ca="1">VLOOKUP(H262,ghosts_label!$A$2:$B$19,2,FALSE)</f>
        <v>700</v>
      </c>
    </row>
    <row r="263" spans="1:70" ht="21" customHeight="1" x14ac:dyDescent="0.15">
      <c r="A263" s="14">
        <f t="shared" ca="1" si="29"/>
        <v>262</v>
      </c>
      <c r="B263" s="77" t="str">
        <f ca="1">VLOOKUP($A263,OFFSET([2]characters!$A$1,0,0,COUNTA([2]characters!$A:$A),MATCH(B$1,[2]characters!$1:$1,0)-MATCH($A$1,[2]characters!$1:$1,0)+1),MATCH(B$1,[2]characters!$1:$1,0)-MATCH($A$1,[2]characters!$1:$1,0)+1,FALSE)</f>
        <v>アシュリー</v>
      </c>
      <c r="C263" s="77" t="str">
        <f ca="1">VLOOKUP($A263,OFFSET([2]characters!$A$1,0,0,COUNTA([2]characters!$A:$A),MATCH(C$1,[2]characters!$1:$1,0)-MATCH($A$1,[2]characters!$1:$1,0)+1),MATCH(C$1,[2]characters!$1:$1,0)-MATCH($A$1,[2]characters!$1:$1,0)+1,FALSE)</f>
        <v>イベント:魔獣01</v>
      </c>
      <c r="D263" s="77" t="str">
        <f ca="1">VLOOKUP($A263,OFFSET([2]characters!$A$1,0,0,COUNTA([2]characters!$A:$A),MATCH(D$1,[2]characters!$1:$1,0)-MATCH($A$1,[2]characters!$1:$1,0)+1),MATCH(D$1,[2]characters!$1:$1,0)-MATCH($A$1,[2]characters!$1:$1,0)+1,FALSE)</f>
        <v>QoH</v>
      </c>
      <c r="E263" s="77" t="str">
        <f ca="1">VLOOKUP($A263,OFFSET([2]characters!$A$1,0,0,COUNTA([2]characters!$A:$A),MATCH(E$1,[2]characters!$1:$1,0)-MATCH($A$1,[2]characters!$1:$1,0)+1),MATCH(E$1,[2]characters!$1:$1,0)-MATCH($A$1,[2]characters!$1:$1,0)+1,FALSE)</f>
        <v>格好いい</v>
      </c>
      <c r="F263" s="77" t="str">
        <f ca="1">VLOOKUP($A263,OFFSET([2]characters!$A$1,0,0,COUNTA([2]characters!$A:$A),MATCH(F$1,[2]characters!$1:$1,0)-MATCH($A$1,[2]characters!$1:$1,0)+1),MATCH(F$1,[2]characters!$1:$1,0)-MATCH($A$1,[2]characters!$1:$1,0)+1,FALSE)</f>
        <v>女性</v>
      </c>
      <c r="G263" s="77">
        <f ca="1">VLOOKUP($A263,OFFSET([2]characters!$A$1,0,0,COUNTA([2]characters!$A:$A),MATCH(G$1,[2]characters!$1:$1,0)-MATCH($A$1,[2]characters!$1:$1,0)+1),MATCH(G$1,[2]characters!$1:$1,0)-MATCH($A$1,[2]characters!$1:$1,0)+1,FALSE)</f>
        <v>3</v>
      </c>
      <c r="H263" s="77" t="str">
        <f ca="1">VLOOKUP($A263,OFFSET([2]characters!$A$1,0,0,COUNTA([2]characters!$A:$A),MATCH(H$1,[2]characters!$1:$1,0)-MATCH($A$1,[2]characters!$1:$1,0)+1),MATCH(H$1,[2]characters!$1:$1,0)-MATCH($A$1,[2]characters!$1:$1,0)+1,FALSE)</f>
        <v>Drop2W</v>
      </c>
      <c r="I263" s="77" t="str">
        <f ca="1">VLOOKUP($A263,OFFSET([2]characters!$A$1,0,0,COUNTA([2]characters!$A:$A),MATCH(I$1,[2]characters!$1:$1,0)-MATCH($A$1,[2]characters!$1:$1,0)+1),MATCH(I$1,[2]characters!$1:$1,0)-MATCH($A$1,[2]characters!$1:$1,0)+1,FALSE)</f>
        <v>red</v>
      </c>
      <c r="J263" s="14">
        <f ca="1">VLOOKUP(I263,[2]属性!$A:$E,2,FALSE)</f>
        <v>1</v>
      </c>
      <c r="K263" s="14">
        <f ca="1">VLOOKUP(I263,[2]属性!$A:$E,3,FALSE)</f>
        <v>1.02</v>
      </c>
      <c r="L263" s="14">
        <f ca="1">VLOOKUP(I263,[2]属性!$A:$E,4,FALSE)</f>
        <v>1</v>
      </c>
      <c r="M263" s="14">
        <f ca="1">VLOOKUP(I263,[2]属性!$A:$E,5,FALSE)</f>
        <v>0.98</v>
      </c>
      <c r="N263" s="14">
        <f ca="1">INDEX(コスト!$A$1:$I$20,MATCH(H263,コスト!$A$1:$A$20,FALSE),MATCH(G263,コスト!$A$1:$I$1,FALSE))</f>
        <v>6</v>
      </c>
      <c r="O263" s="14">
        <f ca="1">INDEX(レベル!$A$1:$I$21,MATCH(H263,レベル!$A$1:$A$21,FALSE),MATCH(G263,レベル!$A$1:$I$1,FALSE))</f>
        <v>40</v>
      </c>
      <c r="P263" s="63">
        <f t="shared" ca="1" si="35"/>
        <v>45</v>
      </c>
      <c r="Q263" s="77" t="str">
        <f ca="1">VLOOKUP($A263,OFFSET([2]characters!$A$1,0,0,COUNTA([2]characters!$A:$A),MATCH(Q$1,[2]characters!$1:$1,0)-MATCH($A$1,[2]characters!$1:$1,0)+1),MATCH(Q$1,[2]characters!$1:$1,0)-MATCH($A$1,[2]characters!$1:$1,0)+1,FALSE)</f>
        <v>attack</v>
      </c>
      <c r="R263" s="8" t="str">
        <f ca="1">VLOOKUP(Q263,[2]character_type_i18n!$A:$H,3,FALSE)</f>
        <v>攻撃タイプ</v>
      </c>
      <c r="S263" s="14">
        <f ca="1">VLOOKUP(Q263,[2]character_type_i18n!$A:$H,4,FALSE)</f>
        <v>1</v>
      </c>
      <c r="T263" s="14">
        <f ca="1">VLOOKUP(Q263,[2]character_type_i18n!$A:$H,5,FALSE)</f>
        <v>1.33</v>
      </c>
      <c r="U263" s="14">
        <f ca="1">VLOOKUP(Q263,[2]character_type_i18n!$A:$H,6,FALSE)</f>
        <v>1</v>
      </c>
      <c r="V263" s="14">
        <f ca="1">VLOOKUP(Q263,[2]character_type_i18n!$A:$H,7,FALSE)</f>
        <v>0.67</v>
      </c>
      <c r="W263" s="77" t="str">
        <f ca="1">VLOOKUP($A263,OFFSET([2]characters!$A$1,0,0,COUNTA([2]characters!$A:$A),MATCH(W$1,[2]characters!$1:$1,0)-MATCH($A$1,[2]characters!$1:$1,0)+1),MATCH(W$1,[2]characters!$1:$1,0)-MATCH($A$1,[2]characters!$1:$1,0)+1,FALSE)</f>
        <v>animal</v>
      </c>
      <c r="X263" s="8" t="str">
        <f ca="1">VLOOKUP(W263,[2]character_tribe_i18n!$A:$H,3,FALSE)</f>
        <v>アニマル</v>
      </c>
      <c r="Y263" s="77" t="str">
        <f ca="1">VLOOKUP($A263,OFFSET([2]characters!$A$1,0,0,COUNTA([2]characters!$A:$A),MATCH(Y$1,[2]characters!$1:$1,0)-MATCH($A$1,[2]characters!$1:$1,0)+1),MATCH(Y$1,[2]characters!$1:$1,0)-MATCH($A$1,[2]characters!$1:$1,0)+1,FALSE)</f>
        <v>none</v>
      </c>
      <c r="Z263" s="8" t="str">
        <f ca="1">VLOOKUP(Y263,[2]character_tribe_i18n!$A:$H,3,FALSE)</f>
        <v>種族なし</v>
      </c>
      <c r="AA263" s="14">
        <f ca="1">VLOOKUP(W263,[2]character_tribe_i18n!$A:$H,4,FALSE)</f>
        <v>1</v>
      </c>
      <c r="AB263" s="14">
        <f ca="1">VLOOKUP(W263,[2]character_tribe_i18n!$A:$H,5,FALSE)</f>
        <v>1.1000000000000001</v>
      </c>
      <c r="AC263" s="14">
        <f ca="1">VLOOKUP(W263,[2]character_tribe_i18n!$A:$H,6,FALSE)</f>
        <v>1</v>
      </c>
      <c r="AD263" s="14">
        <f ca="1">VLOOKUP(W263,[2]character_tribe_i18n!$A:$H,7,FALSE)</f>
        <v>0.9</v>
      </c>
      <c r="AE263" s="12">
        <v>263</v>
      </c>
      <c r="AF263" s="85" t="str">
        <f ca="1">IF(AE263="NULL","",VLOOKUP($AE263,OFFSET([2]characters!$A$1,0,0,COUNTA([2]characters!$A:$A),MATCH(AF$1,[2]characters!$1:$1,0)-MATCH($A$1,[2]characters!$1:$1,0)+1),MATCH(AF$1,[2]characters!$1:$1,0)-MATCH($A$1,[2]characters!$1:$1,0)+1,FALSE))</f>
        <v>鉤爪姫 アシュリー</v>
      </c>
      <c r="AG263" s="8">
        <f t="shared" ca="1" si="30"/>
        <v>262</v>
      </c>
      <c r="AH263" s="85" t="str">
        <f ca="1">VLOOKUP($AG263,OFFSET([2]characters!$A$1,0,0,COUNTA([2]characters!$A:$A),MATCH(AH$1,[2]characters!$1:$1,0)-MATCH($A$1,[2]characters!$1:$1,0)+1),MATCH(AH$1,[2]characters!$1:$1,0)-MATCH($A$1,[2]characters!$1:$1,0)+1,FALSE)</f>
        <v>アシュリー</v>
      </c>
      <c r="AI263" s="14">
        <f ca="1">IF(AE263="NULL","NULL",VLOOKUP(G263,ビット!$A$2:$B$7,2))</f>
        <v>20000</v>
      </c>
      <c r="AJ263" s="9">
        <v>2</v>
      </c>
      <c r="AK263" s="10" t="str">
        <f t="shared" si="31"/>
        <v>普通</v>
      </c>
      <c r="AL263" s="14" t="str">
        <f ca="1">INDEX(経験値!$A$1:$I$20,MATCH(H263,経験値!$A$1:$A$20,FALSE),MATCH(G263,経験値!$A$1:$I$1,FALSE))</f>
        <v>required_exp_150</v>
      </c>
      <c r="AM263" s="11">
        <f ca="1">VLOOKUP(G263,経験値!$A$27:$B$31,2)</f>
        <v>1500</v>
      </c>
      <c r="AN263" s="21">
        <f ca="1">VLOOKUP(G263,ビット!$G$2:$H$7,2)</f>
        <v>300</v>
      </c>
      <c r="AO263" s="99" t="s">
        <v>184</v>
      </c>
      <c r="AP263" s="101">
        <v>540005</v>
      </c>
      <c r="AQ263" s="77" t="e">
        <f ca="1">VLOOKUP($AP263,OFFSET([1]unit_skills!$A$1,0,0,COUNTA([1]unit_skills!$A:$A),MATCH("name",[1]unit_skills!$1:$1,0)-MATCH($AP$1,[1]unit_skills!$1:$1,0)+1),MATCH("name",[1]unit_skills!$1:$1,0)-MATCH($AP$1,[1]unit_skills!$1:$1,0)+1,FALSE)</f>
        <v>#VALUE!</v>
      </c>
      <c r="AR263" s="77" t="e">
        <f ca="1">VLOOKUP($AP263,OFFSET([1]unit_skills!$A$1,0,0,COUNTA([1]unit_skills!$A:$A),MATCH("comment",[1]unit_skills!$1:$1,0)-MATCH($AP$1,[1]unit_skills!$1:$1,0)+1),MATCH("comment",[1]unit_skills!$1:$1,0)-MATCH($AP$1,[1]unit_skills!$1:$1,0)+1,FALSE)</f>
        <v>#VALUE!</v>
      </c>
      <c r="AS263" s="77" t="e">
        <f ca="1">VLOOKUP($AP263,OFFSET([1]unit_skills!$A$1,0,0,COUNTA([1]unit_skills!$A:$A),MATCH(AS$1,[1]unit_skills!$1:$1,0)-MATCH($AP$1,[1]unit_skills!$1:$1,0)+1),MATCH(AS$1,[1]unit_skills!$1:$1,0)-MATCH($AP$1,[1]unit_skills!$1:$1,0)+1,FALSE)</f>
        <v>#VALUE!</v>
      </c>
      <c r="AT263" s="97">
        <v>121204</v>
      </c>
      <c r="AU263" s="77" t="e">
        <f ca="1">VLOOKUP($AT263,OFFSET([1]crash_skills!$A$1,0,0,COUNTA([1]crash_skills!$A:$A),MATCH("name",[1]crash_skills!$1:$1,0)-MATCH($AT$1,[1]crash_skills!$1:$1,0)+1),MATCH("name",[1]crash_skills!$1:$1,0)-MATCH($AT$1,[1]crash_skills!$1:$1,0)+1,FALSE)</f>
        <v>#VALUE!</v>
      </c>
      <c r="AV263" s="77" t="e">
        <f ca="1">VLOOKUP($AT263,OFFSET([1]crash_skills!$A$1,0,0,COUNTA([1]crash_skills!$A:$A),MATCH("comment",[1]crash_skills!$1:$1,0)-MATCH($AT$1,[1]crash_skills!$1:$1,0)+1),MATCH("comment",[1]crash_skills!$1:$1,0)-MATCH($AT$1,[1]crash_skills!$1:$1,0)+1,FALSE)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63" s="77" t="e">
        <f ca="1">VLOOKUP($AT263,OFFSET([1]crash_skills!$A$1,0,0,COUNTA([1]crash_skills!$A:$A),MATCH(AW$1,[1]crash_skills!$1:$1,0)-MATCH($AT$1,[1]crash_skills!$1:$1,0)+1),MATCH(AW$1,[1]crash_skills!$1:$1,0)-MATCH($AT$1,[1]crash_skills!$1:$1,0)+1,FALSE)</f>
        <v>#VALUE!</v>
      </c>
      <c r="AX263" s="81">
        <f ca="1">VLOOKUP($A263,OFFSET([2]characters!$A$1,0,0,COUNTA([2]characters!$A:$A),MATCH(AX$1,[2]characters!$1:$1,0)-MATCH($A$1,[2]characters!$1:$1,0)+1),MATCH(AX$1,[2]characters!$1:$1,0)-MATCH($A$1,[2]characters!$1:$1,0)+1,FALSE)</f>
        <v>3</v>
      </c>
      <c r="AY263" s="19">
        <v>1</v>
      </c>
      <c r="AZ263" s="19">
        <v>1</v>
      </c>
      <c r="BA263" s="19">
        <v>0</v>
      </c>
      <c r="BB263" s="19">
        <v>1</v>
      </c>
      <c r="BC263" s="14">
        <f ca="1">INDEX('RC6SV'!$A$1:$G$20,MATCH(H263,'RC6SV'!$A$1:$A$20,FALSE),MATCH(G263,'RC6SV'!$A$1:$G$1,FALSE))</f>
        <v>4400</v>
      </c>
      <c r="BD263" s="63">
        <f t="shared" ca="1" si="32"/>
        <v>4400</v>
      </c>
      <c r="BE263" s="14">
        <f t="shared" ca="1" si="33"/>
        <v>0</v>
      </c>
      <c r="BF263" s="14">
        <f t="shared" ca="1" si="34"/>
        <v>1</v>
      </c>
      <c r="BG263" s="20">
        <f ca="1">IF($BE263&lt;=0,ROUND(BK263*0.5,0), ROUND($BE263*S263*AA263*J263*AY263*0.8*[2]ステータス!$B$2,0))</f>
        <v>1100</v>
      </c>
      <c r="BH263" s="20">
        <f ca="1">IF($BE263&lt;=0,ROUND(BL263*0.5,0), ROUND($BE263*T263*AB263*K263*AZ263*0.8*[2]ステータス!$C$2,0))</f>
        <v>985</v>
      </c>
      <c r="BI263" s="20">
        <f ca="1">IF($BE263&lt;=0,ROUND(BM263*0.5,0), ROUND($BE263*U263*AC263*L263*BA263*0.8*[2]ステータス!$D$2,0))</f>
        <v>0</v>
      </c>
      <c r="BJ263" s="20">
        <f ca="1">IF($BE263&lt;=0,ROUND(BN263*0.5,0), ROUND($BE263*V263*AD263*M263*BB263*0.8*[2]ステータス!$E$2,0))</f>
        <v>325</v>
      </c>
      <c r="BK263" s="14">
        <f ca="1">ROUND(BD263*S263*AA263*J263*AY263*[2]ステータス!$B$2,0)</f>
        <v>2200</v>
      </c>
      <c r="BL263" s="14">
        <f ca="1">ROUND(BD263*T263*AB263*K263*AZ263*[2]ステータス!$C$2,0)</f>
        <v>1970</v>
      </c>
      <c r="BM263" s="14">
        <f ca="1">ROUND(BD263*U263*AC263*L263*BA263*[2]ステータス!$D$2,0)</f>
        <v>0</v>
      </c>
      <c r="BN263" s="14">
        <f ca="1">ROUND(BD263*V263*AD263*M263*BB263*[2]ステータス!$E$2,0)</f>
        <v>650</v>
      </c>
      <c r="BO263" s="13">
        <v>0</v>
      </c>
      <c r="BP263" s="13">
        <v>1</v>
      </c>
      <c r="BQ263" s="13" t="s">
        <v>102</v>
      </c>
      <c r="BR263" s="13">
        <f ca="1">VLOOKUP(H263,ghosts_label!$A$2:$B$19,2,FALSE)</f>
        <v>1</v>
      </c>
    </row>
    <row r="264" spans="1:70" ht="21" customHeight="1" x14ac:dyDescent="0.15">
      <c r="A264" s="14">
        <f t="shared" ca="1" si="29"/>
        <v>263</v>
      </c>
      <c r="B264" s="77" t="str">
        <f ca="1">VLOOKUP($A264,OFFSET([2]characters!$A$1,0,0,COUNTA([2]characters!$A:$A),MATCH(B$1,[2]characters!$1:$1,0)-MATCH($A$1,[2]characters!$1:$1,0)+1),MATCH(B$1,[2]characters!$1:$1,0)-MATCH($A$1,[2]characters!$1:$1,0)+1,FALSE)</f>
        <v>鉤爪姫 アシュリー</v>
      </c>
      <c r="C264" s="77" t="str">
        <f ca="1">VLOOKUP($A264,OFFSET([2]characters!$A$1,0,0,COUNTA([2]characters!$A:$A),MATCH(C$1,[2]characters!$1:$1,0)-MATCH($A$1,[2]characters!$1:$1,0)+1),MATCH(C$1,[2]characters!$1:$1,0)-MATCH($A$1,[2]characters!$1:$1,0)+1,FALSE)</f>
        <v>イベント:魔獣01</v>
      </c>
      <c r="D264" s="77" t="str">
        <f ca="1">VLOOKUP($A264,OFFSET([2]characters!$A$1,0,0,COUNTA([2]characters!$A:$A),MATCH(D$1,[2]characters!$1:$1,0)-MATCH($A$1,[2]characters!$1:$1,0)+1),MATCH(D$1,[2]characters!$1:$1,0)-MATCH($A$1,[2]characters!$1:$1,0)+1,FALSE)</f>
        <v>QoH</v>
      </c>
      <c r="E264" s="77" t="str">
        <f ca="1">VLOOKUP($A264,OFFSET([2]characters!$A$1,0,0,COUNTA([2]characters!$A:$A),MATCH(E$1,[2]characters!$1:$1,0)-MATCH($A$1,[2]characters!$1:$1,0)+1),MATCH(E$1,[2]characters!$1:$1,0)-MATCH($A$1,[2]characters!$1:$1,0)+1,FALSE)</f>
        <v>格好いい</v>
      </c>
      <c r="F264" s="77" t="str">
        <f ca="1">VLOOKUP($A264,OFFSET([2]characters!$A$1,0,0,COUNTA([2]characters!$A:$A),MATCH(F$1,[2]characters!$1:$1,0)-MATCH($A$1,[2]characters!$1:$1,0)+1),MATCH(F$1,[2]characters!$1:$1,0)-MATCH($A$1,[2]characters!$1:$1,0)+1,FALSE)</f>
        <v>女性</v>
      </c>
      <c r="G264" s="77">
        <f ca="1">VLOOKUP($A264,OFFSET([2]characters!$A$1,0,0,COUNTA([2]characters!$A:$A),MATCH(G$1,[2]characters!$1:$1,0)-MATCH($A$1,[2]characters!$1:$1,0)+1),MATCH(G$1,[2]characters!$1:$1,0)-MATCH($A$1,[2]characters!$1:$1,0)+1,FALSE)</f>
        <v>4</v>
      </c>
      <c r="H264" s="77" t="str">
        <f ca="1">VLOOKUP($A264,OFFSET([2]characters!$A$1,0,0,COUNTA([2]characters!$A:$A),MATCH(H$1,[2]characters!$1:$1,0)-MATCH($A$1,[2]characters!$1:$1,0)+1),MATCH(H$1,[2]characters!$1:$1,0)-MATCH($A$1,[2]characters!$1:$1,0)+1,FALSE)</f>
        <v>Drop2W</v>
      </c>
      <c r="I264" s="77" t="str">
        <f ca="1">VLOOKUP($A264,OFFSET([2]characters!$A$1,0,0,COUNTA([2]characters!$A:$A),MATCH(I$1,[2]characters!$1:$1,0)-MATCH($A$1,[2]characters!$1:$1,0)+1),MATCH(I$1,[2]characters!$1:$1,0)-MATCH($A$1,[2]characters!$1:$1,0)+1,FALSE)</f>
        <v>red</v>
      </c>
      <c r="J264" s="14">
        <f ca="1">VLOOKUP(I264,[2]属性!$A:$E,2,FALSE)</f>
        <v>1</v>
      </c>
      <c r="K264" s="14">
        <f ca="1">VLOOKUP(I264,[2]属性!$A:$E,3,FALSE)</f>
        <v>1.02</v>
      </c>
      <c r="L264" s="14">
        <f ca="1">VLOOKUP(I264,[2]属性!$A:$E,4,FALSE)</f>
        <v>1</v>
      </c>
      <c r="M264" s="14">
        <f ca="1">VLOOKUP(I264,[2]属性!$A:$E,5,FALSE)</f>
        <v>0.98</v>
      </c>
      <c r="N264" s="14">
        <f ca="1">INDEX(コスト!$A$1:$I$20,MATCH(H264,コスト!$A$1:$A$20,FALSE),MATCH(G264,コスト!$A$1:$I$1,FALSE))</f>
        <v>14</v>
      </c>
      <c r="O264" s="14">
        <f ca="1">INDEX(レベル!$A$1:$I$21,MATCH(H264,レベル!$A$1:$A$21,FALSE),MATCH(G264,レベル!$A$1:$I$1,FALSE))</f>
        <v>60</v>
      </c>
      <c r="P264" s="63">
        <f t="shared" ca="1" si="35"/>
        <v>60</v>
      </c>
      <c r="Q264" s="77" t="str">
        <f ca="1">VLOOKUP($A264,OFFSET([2]characters!$A$1,0,0,COUNTA([2]characters!$A:$A),MATCH(Q$1,[2]characters!$1:$1,0)-MATCH($A$1,[2]characters!$1:$1,0)+1),MATCH(Q$1,[2]characters!$1:$1,0)-MATCH($A$1,[2]characters!$1:$1,0)+1,FALSE)</f>
        <v>attack</v>
      </c>
      <c r="R264" s="8" t="str">
        <f ca="1">VLOOKUP(Q264,[2]character_type_i18n!$A:$H,3,FALSE)</f>
        <v>攻撃タイプ</v>
      </c>
      <c r="S264" s="14">
        <f ca="1">VLOOKUP(Q264,[2]character_type_i18n!$A:$H,4,FALSE)</f>
        <v>1</v>
      </c>
      <c r="T264" s="14">
        <f ca="1">VLOOKUP(Q264,[2]character_type_i18n!$A:$H,5,FALSE)</f>
        <v>1.33</v>
      </c>
      <c r="U264" s="14">
        <f ca="1">VLOOKUP(Q264,[2]character_type_i18n!$A:$H,6,FALSE)</f>
        <v>1</v>
      </c>
      <c r="V264" s="14">
        <f ca="1">VLOOKUP(Q264,[2]character_type_i18n!$A:$H,7,FALSE)</f>
        <v>0.67</v>
      </c>
      <c r="W264" s="77" t="str">
        <f ca="1">VLOOKUP($A264,OFFSET([2]characters!$A$1,0,0,COUNTA([2]characters!$A:$A),MATCH(W$1,[2]characters!$1:$1,0)-MATCH($A$1,[2]characters!$1:$1,0)+1),MATCH(W$1,[2]characters!$1:$1,0)-MATCH($A$1,[2]characters!$1:$1,0)+1,FALSE)</f>
        <v>animal</v>
      </c>
      <c r="X264" s="8" t="str">
        <f ca="1">VLOOKUP(W264,[2]character_tribe_i18n!$A:$H,3,FALSE)</f>
        <v>アニマル</v>
      </c>
      <c r="Y264" s="77" t="str">
        <f ca="1">VLOOKUP($A264,OFFSET([2]characters!$A$1,0,0,COUNTA([2]characters!$A:$A),MATCH(Y$1,[2]characters!$1:$1,0)-MATCH($A$1,[2]characters!$1:$1,0)+1),MATCH(Y$1,[2]characters!$1:$1,0)-MATCH($A$1,[2]characters!$1:$1,0)+1,FALSE)</f>
        <v>none</v>
      </c>
      <c r="Z264" s="8" t="str">
        <f ca="1">VLOOKUP(Y264,[2]character_tribe_i18n!$A:$H,3,FALSE)</f>
        <v>種族なし</v>
      </c>
      <c r="AA264" s="14">
        <f ca="1">VLOOKUP(W264,[2]character_tribe_i18n!$A:$H,4,FALSE)</f>
        <v>1</v>
      </c>
      <c r="AB264" s="14">
        <f ca="1">VLOOKUP(W264,[2]character_tribe_i18n!$A:$H,5,FALSE)</f>
        <v>1.1000000000000001</v>
      </c>
      <c r="AC264" s="14">
        <f ca="1">VLOOKUP(W264,[2]character_tribe_i18n!$A:$H,6,FALSE)</f>
        <v>1</v>
      </c>
      <c r="AD264" s="14">
        <f ca="1">VLOOKUP(W264,[2]character_tribe_i18n!$A:$H,7,FALSE)</f>
        <v>0.9</v>
      </c>
      <c r="AE264" s="12" t="s">
        <v>102</v>
      </c>
      <c r="AF264" s="85" t="str">
        <f ca="1">IF(AE264="NULL","",VLOOKUP($AE264,OFFSET([2]characters!$A$1,0,0,COUNTA([2]characters!$A:$A),MATCH(AF$1,[2]characters!$1:$1,0)-MATCH($A$1,[2]characters!$1:$1,0)+1),MATCH(AF$1,[2]characters!$1:$1,0)-MATCH($A$1,[2]characters!$1:$1,0)+1,FALSE))</f>
        <v/>
      </c>
      <c r="AG264" s="8">
        <f t="shared" ca="1" si="30"/>
        <v>262</v>
      </c>
      <c r="AH264" s="85" t="str">
        <f ca="1">VLOOKUP($AG264,OFFSET([2]characters!$A$1,0,0,COUNTA([2]characters!$A:$A),MATCH(AH$1,[2]characters!$1:$1,0)-MATCH($A$1,[2]characters!$1:$1,0)+1),MATCH(AH$1,[2]characters!$1:$1,0)-MATCH($A$1,[2]characters!$1:$1,0)+1,FALSE)</f>
        <v>アシュリー</v>
      </c>
      <c r="AI264" s="14" t="str">
        <f>IF(AE264="NULL","NULL",VLOOKUP(G264,ビット!$A$2:$B$7,2))</f>
        <v>NULL</v>
      </c>
      <c r="AJ264" s="9">
        <v>2</v>
      </c>
      <c r="AK264" s="10" t="str">
        <f t="shared" si="31"/>
        <v>普通</v>
      </c>
      <c r="AL264" s="14" t="str">
        <f ca="1">INDEX(経験値!$A$1:$I$20,MATCH(H264,経験値!$A$1:$A$20,FALSE),MATCH(G264,経験値!$A$1:$I$1,FALSE))</f>
        <v>required_exp_150</v>
      </c>
      <c r="AM264" s="11">
        <f ca="1">VLOOKUP(G264,経験値!$A$27:$B$31,2)</f>
        <v>3400</v>
      </c>
      <c r="AN264" s="21">
        <f ca="1">VLOOKUP(G264,ビット!$G$2:$H$7,2)</f>
        <v>600</v>
      </c>
      <c r="AO264" s="99" t="s">
        <v>184</v>
      </c>
      <c r="AP264" s="101">
        <v>540005</v>
      </c>
      <c r="AQ264" s="77" t="e">
        <f ca="1">VLOOKUP($AP264,OFFSET([1]unit_skills!$A$1,0,0,COUNTA([1]unit_skills!$A:$A),MATCH("name",[1]unit_skills!$1:$1,0)-MATCH($AP$1,[1]unit_skills!$1:$1,0)+1),MATCH("name",[1]unit_skills!$1:$1,0)-MATCH($AP$1,[1]unit_skills!$1:$1,0)+1,FALSE)</f>
        <v>#VALUE!</v>
      </c>
      <c r="AR264" s="77" t="e">
        <f ca="1">VLOOKUP($AP264,OFFSET([1]unit_skills!$A$1,0,0,COUNTA([1]unit_skills!$A:$A),MATCH("comment",[1]unit_skills!$1:$1,0)-MATCH($AP$1,[1]unit_skills!$1:$1,0)+1),MATCH("comment",[1]unit_skills!$1:$1,0)-MATCH($AP$1,[1]unit_skills!$1:$1,0)+1,FALSE)</f>
        <v>#VALUE!</v>
      </c>
      <c r="AS264" s="77" t="e">
        <f ca="1">VLOOKUP($AP264,OFFSET([1]unit_skills!$A$1,0,0,COUNTA([1]unit_skills!$A:$A),MATCH(AS$1,[1]unit_skills!$1:$1,0)-MATCH($AP$1,[1]unit_skills!$1:$1,0)+1),MATCH(AS$1,[1]unit_skills!$1:$1,0)-MATCH($AP$1,[1]unit_skills!$1:$1,0)+1,FALSE)</f>
        <v>#VALUE!</v>
      </c>
      <c r="AT264" s="97">
        <v>121212</v>
      </c>
      <c r="AU264" s="77" t="e">
        <f ca="1">VLOOKUP($AT264,OFFSET([1]crash_skills!$A$1,0,0,COUNTA([1]crash_skills!$A:$A),MATCH("name",[1]crash_skills!$1:$1,0)-MATCH($AT$1,[1]crash_skills!$1:$1,0)+1),MATCH("name",[1]crash_skills!$1:$1,0)-MATCH($AT$1,[1]crash_skills!$1:$1,0)+1,FALSE)</f>
        <v>#VALUE!</v>
      </c>
      <c r="AV264" s="77" t="e">
        <f ca="1">VLOOKUP($AT264,OFFSET([1]crash_skills!$A$1,0,0,COUNTA([1]crash_skills!$A:$A),MATCH("comment",[1]crash_skills!$1:$1,0)-MATCH($AT$1,[1]crash_skills!$1:$1,0)+1),MATCH("comment",[1]crash_skills!$1:$1,0)-MATCH($AT$1,[1]crash_skills!$1:$1,0)+1,FALSE)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64" s="77" t="e">
        <f ca="1">VLOOKUP($AT264,OFFSET([1]crash_skills!$A$1,0,0,COUNTA([1]crash_skills!$A:$A),MATCH(AW$1,[1]crash_skills!$1:$1,0)-MATCH($AT$1,[1]crash_skills!$1:$1,0)+1),MATCH(AW$1,[1]crash_skills!$1:$1,0)-MATCH($AT$1,[1]crash_skills!$1:$1,0)+1,FALSE)</f>
        <v>#VALUE!</v>
      </c>
      <c r="AX264" s="81">
        <f ca="1">VLOOKUP($A264,OFFSET([2]characters!$A$1,0,0,COUNTA([2]characters!$A:$A),MATCH(AX$1,[2]characters!$1:$1,0)-MATCH($A$1,[2]characters!$1:$1,0)+1),MATCH(AX$1,[2]characters!$1:$1,0)-MATCH($A$1,[2]characters!$1:$1,0)+1,FALSE)</f>
        <v>3</v>
      </c>
      <c r="AY264" s="19">
        <v>1</v>
      </c>
      <c r="AZ264" s="19">
        <v>1</v>
      </c>
      <c r="BA264" s="19">
        <v>0</v>
      </c>
      <c r="BB264" s="19">
        <v>1</v>
      </c>
      <c r="BC264" s="14">
        <f ca="1">INDEX('RC6SV'!$A$1:$G$20,MATCH(H264,'RC6SV'!$A$1:$A$20,FALSE),MATCH(G264,'RC6SV'!$A$1:$G$1,FALSE))</f>
        <v>5600</v>
      </c>
      <c r="BD264" s="63">
        <f t="shared" ca="1" si="32"/>
        <v>5600</v>
      </c>
      <c r="BE264" s="14">
        <f t="shared" ca="1" si="33"/>
        <v>4400</v>
      </c>
      <c r="BF264" s="14">
        <f t="shared" ca="1" si="34"/>
        <v>1</v>
      </c>
      <c r="BG264" s="20">
        <f ca="1">IF($BE264&lt;=0,ROUND(BK264*0.5,0), ROUND($BE264*S264*AA264*J264*AY264*0.8*[2]ステータス!$B$2,0))</f>
        <v>1760</v>
      </c>
      <c r="BH264" s="20">
        <f ca="1">IF($BE264&lt;=0,ROUND(BL264*0.5,0), ROUND($BE264*T264*AB264*K264*AZ264*0.8*[2]ステータス!$C$2,0))</f>
        <v>1576</v>
      </c>
      <c r="BI264" s="20">
        <f ca="1">IF($BE264&lt;=0,ROUND(BM264*0.5,0), ROUND($BE264*U264*AC264*L264*BA264*0.8*[2]ステータス!$D$2,0))</f>
        <v>0</v>
      </c>
      <c r="BJ264" s="20">
        <f ca="1">IF($BE264&lt;=0,ROUND(BN264*0.5,0), ROUND($BE264*V264*AD264*M264*BB264*0.8*[2]ステータス!$E$2,0))</f>
        <v>520</v>
      </c>
      <c r="BK264" s="14">
        <f ca="1">ROUND(BD264*S264*AA264*J264*AY264*[2]ステータス!$B$2,0)</f>
        <v>2800</v>
      </c>
      <c r="BL264" s="14">
        <f ca="1">ROUND(BD264*T264*AB264*K264*AZ264*[2]ステータス!$C$2,0)</f>
        <v>2507</v>
      </c>
      <c r="BM264" s="14">
        <f ca="1">ROUND(BD264*U264*AC264*L264*BA264*[2]ステータス!$D$2,0)</f>
        <v>0</v>
      </c>
      <c r="BN264" s="14">
        <f ca="1">ROUND(BD264*V264*AD264*M264*BB264*[2]ステータス!$E$2,0)</f>
        <v>827</v>
      </c>
      <c r="BO264" s="13">
        <v>0</v>
      </c>
      <c r="BP264" s="13">
        <v>1</v>
      </c>
      <c r="BQ264" s="13" t="s">
        <v>102</v>
      </c>
      <c r="BR264" s="13">
        <f ca="1">VLOOKUP(H264,ghosts_label!$A$2:$B$19,2,FALSE)</f>
        <v>1</v>
      </c>
    </row>
    <row r="265" spans="1:70" ht="21" customHeight="1" x14ac:dyDescent="0.15">
      <c r="A265" s="14">
        <f t="shared" ca="1" si="29"/>
        <v>264</v>
      </c>
      <c r="B265" s="77" t="str">
        <f ca="1">VLOOKUP($A265,OFFSET([2]characters!$A$1,0,0,COUNTA([2]characters!$A:$A),MATCH(B$1,[2]characters!$1:$1,0)-MATCH($A$1,[2]characters!$1:$1,0)+1),MATCH(B$1,[2]characters!$1:$1,0)-MATCH($A$1,[2]characters!$1:$1,0)+1,FALSE)</f>
        <v>ユニコーン</v>
      </c>
      <c r="C265" s="77" t="str">
        <f ca="1">VLOOKUP($A265,OFFSET([2]characters!$A$1,0,0,COUNTA([2]characters!$A:$A),MATCH(C$1,[2]characters!$1:$1,0)-MATCH($A$1,[2]characters!$1:$1,0)+1),MATCH(C$1,[2]characters!$1:$1,0)-MATCH($A$1,[2]characters!$1:$1,0)+1,FALSE)</f>
        <v>イベント:魔獣01</v>
      </c>
      <c r="D265" s="77" t="str">
        <f ca="1">VLOOKUP($A265,OFFSET([2]characters!$A$1,0,0,COUNTA([2]characters!$A:$A),MATCH(D$1,[2]characters!$1:$1,0)-MATCH($A$1,[2]characters!$1:$1,0)+1),MATCH(D$1,[2]characters!$1:$1,0)-MATCH($A$1,[2]characters!$1:$1,0)+1,FALSE)</f>
        <v>QoH</v>
      </c>
      <c r="E265" s="77" t="str">
        <f ca="1">VLOOKUP($A265,OFFSET([2]characters!$A$1,0,0,COUNTA([2]characters!$A:$A),MATCH(E$1,[2]characters!$1:$1,0)-MATCH($A$1,[2]characters!$1:$1,0)+1),MATCH(E$1,[2]characters!$1:$1,0)-MATCH($A$1,[2]characters!$1:$1,0)+1,FALSE)</f>
        <v>格好いい</v>
      </c>
      <c r="F265" s="77" t="str">
        <f ca="1">VLOOKUP($A265,OFFSET([2]characters!$A$1,0,0,COUNTA([2]characters!$A:$A),MATCH(F$1,[2]characters!$1:$1,0)-MATCH($A$1,[2]characters!$1:$1,0)+1),MATCH(F$1,[2]characters!$1:$1,0)-MATCH($A$1,[2]characters!$1:$1,0)+1,FALSE)</f>
        <v>不明</v>
      </c>
      <c r="G265" s="77">
        <f ca="1">VLOOKUP($A265,OFFSET([2]characters!$A$1,0,0,COUNTA([2]characters!$A:$A),MATCH(G$1,[2]characters!$1:$1,0)-MATCH($A$1,[2]characters!$1:$1,0)+1),MATCH(G$1,[2]characters!$1:$1,0)-MATCH($A$1,[2]characters!$1:$1,0)+1,FALSE)</f>
        <v>3</v>
      </c>
      <c r="H265" s="77" t="str">
        <f ca="1">VLOOKUP($A265,OFFSET([2]characters!$A$1,0,0,COUNTA([2]characters!$A:$A),MATCH(H$1,[2]characters!$1:$1,0)-MATCH($A$1,[2]characters!$1:$1,0)+1),MATCH(H$1,[2]characters!$1:$1,0)-MATCH($A$1,[2]characters!$1:$1,0)+1,FALSE)</f>
        <v>Drop2W</v>
      </c>
      <c r="I265" s="77" t="str">
        <f ca="1">VLOOKUP($A265,OFFSET([2]characters!$A$1,0,0,COUNTA([2]characters!$A:$A),MATCH(I$1,[2]characters!$1:$1,0)-MATCH($A$1,[2]characters!$1:$1,0)+1),MATCH(I$1,[2]characters!$1:$1,0)-MATCH($A$1,[2]characters!$1:$1,0)+1,FALSE)</f>
        <v>green</v>
      </c>
      <c r="J265" s="14">
        <f ca="1">VLOOKUP(I265,[2]属性!$A:$E,2,FALSE)</f>
        <v>1.02</v>
      </c>
      <c r="K265" s="14">
        <f ca="1">VLOOKUP(I265,[2]属性!$A:$E,3,FALSE)</f>
        <v>0.98</v>
      </c>
      <c r="L265" s="14">
        <f ca="1">VLOOKUP(I265,[2]属性!$A:$E,4,FALSE)</f>
        <v>1</v>
      </c>
      <c r="M265" s="14">
        <f ca="1">VLOOKUP(I265,[2]属性!$A:$E,5,FALSE)</f>
        <v>1</v>
      </c>
      <c r="N265" s="14">
        <f ca="1">INDEX(コスト!$A$1:$I$20,MATCH(H265,コスト!$A$1:$A$20,FALSE),MATCH(G265,コスト!$A$1:$I$1,FALSE))</f>
        <v>6</v>
      </c>
      <c r="O265" s="14">
        <f ca="1">INDEX(レベル!$A$1:$I$21,MATCH(H265,レベル!$A$1:$A$21,FALSE),MATCH(G265,レベル!$A$1:$I$1,FALSE))</f>
        <v>40</v>
      </c>
      <c r="P265" s="63">
        <f t="shared" ca="1" si="35"/>
        <v>45</v>
      </c>
      <c r="Q265" s="77" t="str">
        <f ca="1">VLOOKUP($A265,OFFSET([2]characters!$A$1,0,0,COUNTA([2]characters!$A:$A),MATCH(Q$1,[2]characters!$1:$1,0)-MATCH($A$1,[2]characters!$1:$1,0)+1),MATCH(Q$1,[2]characters!$1:$1,0)-MATCH($A$1,[2]characters!$1:$1,0)+1,FALSE)</f>
        <v>hp</v>
      </c>
      <c r="R265" s="8" t="str">
        <f ca="1">VLOOKUP(Q265,[2]character_type_i18n!$A:$H,3,FALSE)</f>
        <v>体力タイプ</v>
      </c>
      <c r="S265" s="14">
        <f ca="1">VLOOKUP(Q265,[2]character_type_i18n!$A:$H,4,FALSE)</f>
        <v>1.45</v>
      </c>
      <c r="T265" s="14">
        <f ca="1">VLOOKUP(Q265,[2]character_type_i18n!$A:$H,5,FALSE)</f>
        <v>0.85</v>
      </c>
      <c r="U265" s="14">
        <f ca="1">VLOOKUP(Q265,[2]character_type_i18n!$A:$H,6,FALSE)</f>
        <v>1</v>
      </c>
      <c r="V265" s="14">
        <f ca="1">VLOOKUP(Q265,[2]character_type_i18n!$A:$H,7,FALSE)</f>
        <v>0.7</v>
      </c>
      <c r="W265" s="77" t="str">
        <f ca="1">VLOOKUP($A265,OFFSET([2]characters!$A$1,0,0,COUNTA([2]characters!$A:$A),MATCH(W$1,[2]characters!$1:$1,0)-MATCH($A$1,[2]characters!$1:$1,0)+1),MATCH(W$1,[2]characters!$1:$1,0)-MATCH($A$1,[2]characters!$1:$1,0)+1,FALSE)</f>
        <v>animal</v>
      </c>
      <c r="X265" s="8" t="str">
        <f ca="1">VLOOKUP(W265,[2]character_tribe_i18n!$A:$H,3,FALSE)</f>
        <v>アニマル</v>
      </c>
      <c r="Y265" s="77" t="str">
        <f ca="1">VLOOKUP($A265,OFFSET([2]characters!$A$1,0,0,COUNTA([2]characters!$A:$A),MATCH(Y$1,[2]characters!$1:$1,0)-MATCH($A$1,[2]characters!$1:$1,0)+1),MATCH(Y$1,[2]characters!$1:$1,0)-MATCH($A$1,[2]characters!$1:$1,0)+1,FALSE)</f>
        <v>none</v>
      </c>
      <c r="Z265" s="8" t="str">
        <f ca="1">VLOOKUP(Y265,[2]character_tribe_i18n!$A:$H,3,FALSE)</f>
        <v>種族なし</v>
      </c>
      <c r="AA265" s="14">
        <f ca="1">VLOOKUP(W265,[2]character_tribe_i18n!$A:$H,4,FALSE)</f>
        <v>1</v>
      </c>
      <c r="AB265" s="14">
        <f ca="1">VLOOKUP(W265,[2]character_tribe_i18n!$A:$H,5,FALSE)</f>
        <v>1.1000000000000001</v>
      </c>
      <c r="AC265" s="14">
        <f ca="1">VLOOKUP(W265,[2]character_tribe_i18n!$A:$H,6,FALSE)</f>
        <v>1</v>
      </c>
      <c r="AD265" s="14">
        <f ca="1">VLOOKUP(W265,[2]character_tribe_i18n!$A:$H,7,FALSE)</f>
        <v>0.9</v>
      </c>
      <c r="AE265" s="12">
        <v>265</v>
      </c>
      <c r="AF265" s="85" t="str">
        <f ca="1">IF(AE265="NULL","",VLOOKUP($AE265,OFFSET([2]characters!$A$1,0,0,COUNTA([2]characters!$A:$A),MATCH(AF$1,[2]characters!$1:$1,0)-MATCH($A$1,[2]characters!$1:$1,0)+1),MATCH(AF$1,[2]characters!$1:$1,0)-MATCH($A$1,[2]characters!$1:$1,0)+1,FALSE))</f>
        <v>翠角馬 ユニコーン</v>
      </c>
      <c r="AG265" s="8">
        <f t="shared" ca="1" si="30"/>
        <v>264</v>
      </c>
      <c r="AH265" s="85" t="str">
        <f ca="1">VLOOKUP($AG265,OFFSET([2]characters!$A$1,0,0,COUNTA([2]characters!$A:$A),MATCH(AH$1,[2]characters!$1:$1,0)-MATCH($A$1,[2]characters!$1:$1,0)+1),MATCH(AH$1,[2]characters!$1:$1,0)-MATCH($A$1,[2]characters!$1:$1,0)+1,FALSE)</f>
        <v>ユニコーン</v>
      </c>
      <c r="AI265" s="14">
        <f ca="1">IF(AE265="NULL","NULL",VLOOKUP(G265,ビット!$A$2:$B$7,2))</f>
        <v>20000</v>
      </c>
      <c r="AJ265" s="9">
        <v>2</v>
      </c>
      <c r="AK265" s="10" t="str">
        <f t="shared" si="31"/>
        <v>普通</v>
      </c>
      <c r="AL265" s="14" t="str">
        <f ca="1">INDEX(経験値!$A$1:$I$20,MATCH(H265,経験値!$A$1:$A$20,FALSE),MATCH(G265,経験値!$A$1:$I$1,FALSE))</f>
        <v>required_exp_150</v>
      </c>
      <c r="AM265" s="11">
        <f ca="1">VLOOKUP(G265,経験値!$A$27:$B$31,2)</f>
        <v>1500</v>
      </c>
      <c r="AN265" s="21">
        <f ca="1">VLOOKUP(G265,ビット!$G$2:$H$7,2)</f>
        <v>300</v>
      </c>
      <c r="AO265" s="98" t="s">
        <v>186</v>
      </c>
      <c r="AP265" s="97">
        <v>536001</v>
      </c>
      <c r="AQ265" s="77" t="e">
        <f ca="1">VLOOKUP($AP265,OFFSET([1]unit_skills!$A$1,0,0,COUNTA([1]unit_skills!$A:$A),MATCH("name",[1]unit_skills!$1:$1,0)-MATCH($AP$1,[1]unit_skills!$1:$1,0)+1),MATCH("name",[1]unit_skills!$1:$1,0)-MATCH($AP$1,[1]unit_skills!$1:$1,0)+1,FALSE)</f>
        <v>#VALUE!</v>
      </c>
      <c r="AR265" s="77" t="e">
        <f ca="1">VLOOKUP($AP265,OFFSET([1]unit_skills!$A$1,0,0,COUNTA([1]unit_skills!$A:$A),MATCH("comment",[1]unit_skills!$1:$1,0)-MATCH($AP$1,[1]unit_skills!$1:$1,0)+1),MATCH("comment",[1]unit_skills!$1:$1,0)-MATCH($AP$1,[1]unit_skills!$1:$1,0)+1,FALSE)</f>
        <v>#VALUE!</v>
      </c>
      <c r="AS265" s="77" t="e">
        <f ca="1">VLOOKUP($AP265,OFFSET([1]unit_skills!$A$1,0,0,COUNTA([1]unit_skills!$A:$A),MATCH(AS$1,[1]unit_skills!$1:$1,0)-MATCH($AP$1,[1]unit_skills!$1:$1,0)+1),MATCH(AS$1,[1]unit_skills!$1:$1,0)-MATCH($AP$1,[1]unit_skills!$1:$1,0)+1,FALSE)</f>
        <v>#VALUE!</v>
      </c>
      <c r="AT265" s="97">
        <v>112003</v>
      </c>
      <c r="AU265" s="77" t="e">
        <f ca="1">VLOOKUP($AT265,OFFSET([1]crash_skills!$A$1,0,0,COUNTA([1]crash_skills!$A:$A),MATCH("name",[1]crash_skills!$1:$1,0)-MATCH($AT$1,[1]crash_skills!$1:$1,0)+1),MATCH("name",[1]crash_skills!$1:$1,0)-MATCH($AT$1,[1]crash_skills!$1:$1,0)+1,FALSE)</f>
        <v>#VALUE!</v>
      </c>
      <c r="AV265" s="77" t="e">
        <f ca="1">VLOOKUP($AT265,OFFSET([1]crash_skills!$A$1,0,0,COUNTA([1]crash_skills!$A:$A),MATCH("comment",[1]crash_skills!$1:$1,0)-MATCH($AT$1,[1]crash_skills!$1:$1,0)+1),MATCH("comment",[1]crash_skills!$1:$1,0)-MATCH($AT$1,[1]crash_skills!$1:$1,0)+1,FALSE)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65" s="77" t="e">
        <f ca="1">VLOOKUP($AT265,OFFSET([1]crash_skills!$A$1,0,0,COUNTA([1]crash_skills!$A:$A),MATCH(AW$1,[1]crash_skills!$1:$1,0)-MATCH($AT$1,[1]crash_skills!$1:$1,0)+1),MATCH(AW$1,[1]crash_skills!$1:$1,0)-MATCH($AT$1,[1]crash_skills!$1:$1,0)+1,FALSE)</f>
        <v>#VALUE!</v>
      </c>
      <c r="AX265" s="81">
        <f ca="1">VLOOKUP($A265,OFFSET([2]characters!$A$1,0,0,COUNTA([2]characters!$A:$A),MATCH(AX$1,[2]characters!$1:$1,0)-MATCH($A$1,[2]characters!$1:$1,0)+1),MATCH(AX$1,[2]characters!$1:$1,0)-MATCH($A$1,[2]characters!$1:$1,0)+1,FALSE)</f>
        <v>3</v>
      </c>
      <c r="AY265" s="19">
        <v>1</v>
      </c>
      <c r="AZ265" s="19">
        <v>1</v>
      </c>
      <c r="BA265" s="19">
        <v>0</v>
      </c>
      <c r="BB265" s="19">
        <v>1</v>
      </c>
      <c r="BC265" s="14">
        <f ca="1">INDEX('RC6SV'!$A$1:$G$20,MATCH(H265,'RC6SV'!$A$1:$A$20,FALSE),MATCH(G265,'RC6SV'!$A$1:$G$1,FALSE))</f>
        <v>4400</v>
      </c>
      <c r="BD265" s="63">
        <f t="shared" ca="1" si="32"/>
        <v>4400</v>
      </c>
      <c r="BE265" s="14">
        <f t="shared" ca="1" si="33"/>
        <v>0</v>
      </c>
      <c r="BF265" s="14">
        <f t="shared" ca="1" si="34"/>
        <v>1</v>
      </c>
      <c r="BG265" s="20">
        <f ca="1">IF($BE265&lt;=0,ROUND(BK265*0.5,0), ROUND($BE265*S265*AA265*J265*AY265*0.8*[2]ステータス!$B$2,0))</f>
        <v>1627</v>
      </c>
      <c r="BH265" s="20">
        <f ca="1">IF($BE265&lt;=0,ROUND(BL265*0.5,0), ROUND($BE265*T265*AB265*K265*AZ265*0.8*[2]ステータス!$C$2,0))</f>
        <v>605</v>
      </c>
      <c r="BI265" s="20">
        <f ca="1">IF($BE265&lt;=0,ROUND(BM265*0.5,0), ROUND($BE265*U265*AC265*L265*BA265*0.8*[2]ステータス!$D$2,0))</f>
        <v>0</v>
      </c>
      <c r="BJ265" s="20">
        <f ca="1">IF($BE265&lt;=0,ROUND(BN265*0.5,0), ROUND($BE265*V265*AD265*M265*BB265*0.8*[2]ステータス!$E$2,0))</f>
        <v>347</v>
      </c>
      <c r="BK265" s="14">
        <f ca="1">ROUND(BD265*S265*AA265*J265*AY265*[2]ステータス!$B$2,0)</f>
        <v>3254</v>
      </c>
      <c r="BL265" s="14">
        <f ca="1">ROUND(BD265*T265*AB265*K265*AZ265*[2]ステータス!$C$2,0)</f>
        <v>1210</v>
      </c>
      <c r="BM265" s="14">
        <f ca="1">ROUND(BD265*U265*AC265*L265*BA265*[2]ステータス!$D$2,0)</f>
        <v>0</v>
      </c>
      <c r="BN265" s="14">
        <f ca="1">ROUND(BD265*V265*AD265*M265*BB265*[2]ステータス!$E$2,0)</f>
        <v>693</v>
      </c>
      <c r="BO265" s="13">
        <v>0</v>
      </c>
      <c r="BP265" s="13">
        <v>1</v>
      </c>
      <c r="BQ265" s="13" t="s">
        <v>102</v>
      </c>
      <c r="BR265" s="13">
        <f ca="1">VLOOKUP(H265,ghosts_label!$A$2:$B$19,2,FALSE)</f>
        <v>1</v>
      </c>
    </row>
    <row r="266" spans="1:70" ht="21" customHeight="1" x14ac:dyDescent="0.15">
      <c r="A266" s="14">
        <f t="shared" ca="1" si="29"/>
        <v>265</v>
      </c>
      <c r="B266" s="77" t="str">
        <f ca="1">VLOOKUP($A266,OFFSET([2]characters!$A$1,0,0,COUNTA([2]characters!$A:$A),MATCH(B$1,[2]characters!$1:$1,0)-MATCH($A$1,[2]characters!$1:$1,0)+1),MATCH(B$1,[2]characters!$1:$1,0)-MATCH($A$1,[2]characters!$1:$1,0)+1,FALSE)</f>
        <v>翠角馬 ユニコーン</v>
      </c>
      <c r="C266" s="77" t="str">
        <f ca="1">VLOOKUP($A266,OFFSET([2]characters!$A$1,0,0,COUNTA([2]characters!$A:$A),MATCH(C$1,[2]characters!$1:$1,0)-MATCH($A$1,[2]characters!$1:$1,0)+1),MATCH(C$1,[2]characters!$1:$1,0)-MATCH($A$1,[2]characters!$1:$1,0)+1,FALSE)</f>
        <v>イベント:魔獣01</v>
      </c>
      <c r="D266" s="77" t="str">
        <f ca="1">VLOOKUP($A266,OFFSET([2]characters!$A$1,0,0,COUNTA([2]characters!$A:$A),MATCH(D$1,[2]characters!$1:$1,0)-MATCH($A$1,[2]characters!$1:$1,0)+1),MATCH(D$1,[2]characters!$1:$1,0)-MATCH($A$1,[2]characters!$1:$1,0)+1,FALSE)</f>
        <v>QoH</v>
      </c>
      <c r="E266" s="77" t="str">
        <f ca="1">VLOOKUP($A266,OFFSET([2]characters!$A$1,0,0,COUNTA([2]characters!$A:$A),MATCH(E$1,[2]characters!$1:$1,0)-MATCH($A$1,[2]characters!$1:$1,0)+1),MATCH(E$1,[2]characters!$1:$1,0)-MATCH($A$1,[2]characters!$1:$1,0)+1,FALSE)</f>
        <v>格好いい</v>
      </c>
      <c r="F266" s="77" t="str">
        <f ca="1">VLOOKUP($A266,OFFSET([2]characters!$A$1,0,0,COUNTA([2]characters!$A:$A),MATCH(F$1,[2]characters!$1:$1,0)-MATCH($A$1,[2]characters!$1:$1,0)+1),MATCH(F$1,[2]characters!$1:$1,0)-MATCH($A$1,[2]characters!$1:$1,0)+1,FALSE)</f>
        <v>不明</v>
      </c>
      <c r="G266" s="77">
        <f ca="1">VLOOKUP($A266,OFFSET([2]characters!$A$1,0,0,COUNTA([2]characters!$A:$A),MATCH(G$1,[2]characters!$1:$1,0)-MATCH($A$1,[2]characters!$1:$1,0)+1),MATCH(G$1,[2]characters!$1:$1,0)-MATCH($A$1,[2]characters!$1:$1,0)+1,FALSE)</f>
        <v>4</v>
      </c>
      <c r="H266" s="77" t="str">
        <f ca="1">VLOOKUP($A266,OFFSET([2]characters!$A$1,0,0,COUNTA([2]characters!$A:$A),MATCH(H$1,[2]characters!$1:$1,0)-MATCH($A$1,[2]characters!$1:$1,0)+1),MATCH(H$1,[2]characters!$1:$1,0)-MATCH($A$1,[2]characters!$1:$1,0)+1,FALSE)</f>
        <v>Drop2W</v>
      </c>
      <c r="I266" s="77" t="str">
        <f ca="1">VLOOKUP($A266,OFFSET([2]characters!$A$1,0,0,COUNTA([2]characters!$A:$A),MATCH(I$1,[2]characters!$1:$1,0)-MATCH($A$1,[2]characters!$1:$1,0)+1),MATCH(I$1,[2]characters!$1:$1,0)-MATCH($A$1,[2]characters!$1:$1,0)+1,FALSE)</f>
        <v>green</v>
      </c>
      <c r="J266" s="14">
        <f ca="1">VLOOKUP(I266,[2]属性!$A:$E,2,FALSE)</f>
        <v>1.02</v>
      </c>
      <c r="K266" s="14">
        <f ca="1">VLOOKUP(I266,[2]属性!$A:$E,3,FALSE)</f>
        <v>0.98</v>
      </c>
      <c r="L266" s="14">
        <f ca="1">VLOOKUP(I266,[2]属性!$A:$E,4,FALSE)</f>
        <v>1</v>
      </c>
      <c r="M266" s="14">
        <f ca="1">VLOOKUP(I266,[2]属性!$A:$E,5,FALSE)</f>
        <v>1</v>
      </c>
      <c r="N266" s="14">
        <f ca="1">INDEX(コスト!$A$1:$I$20,MATCH(H266,コスト!$A$1:$A$20,FALSE),MATCH(G266,コスト!$A$1:$I$1,FALSE))</f>
        <v>14</v>
      </c>
      <c r="O266" s="14">
        <f ca="1">INDEX(レベル!$A$1:$I$21,MATCH(H266,レベル!$A$1:$A$21,FALSE),MATCH(G266,レベル!$A$1:$I$1,FALSE))</f>
        <v>60</v>
      </c>
      <c r="P266" s="63">
        <f t="shared" ca="1" si="35"/>
        <v>60</v>
      </c>
      <c r="Q266" s="77" t="str">
        <f ca="1">VLOOKUP($A266,OFFSET([2]characters!$A$1,0,0,COUNTA([2]characters!$A:$A),MATCH(Q$1,[2]characters!$1:$1,0)-MATCH($A$1,[2]characters!$1:$1,0)+1),MATCH(Q$1,[2]characters!$1:$1,0)-MATCH($A$1,[2]characters!$1:$1,0)+1,FALSE)</f>
        <v>hp</v>
      </c>
      <c r="R266" s="8" t="str">
        <f ca="1">VLOOKUP(Q266,[2]character_type_i18n!$A:$H,3,FALSE)</f>
        <v>体力タイプ</v>
      </c>
      <c r="S266" s="14">
        <f ca="1">VLOOKUP(Q266,[2]character_type_i18n!$A:$H,4,FALSE)</f>
        <v>1.45</v>
      </c>
      <c r="T266" s="14">
        <f ca="1">VLOOKUP(Q266,[2]character_type_i18n!$A:$H,5,FALSE)</f>
        <v>0.85</v>
      </c>
      <c r="U266" s="14">
        <f ca="1">VLOOKUP(Q266,[2]character_type_i18n!$A:$H,6,FALSE)</f>
        <v>1</v>
      </c>
      <c r="V266" s="14">
        <f ca="1">VLOOKUP(Q266,[2]character_type_i18n!$A:$H,7,FALSE)</f>
        <v>0.7</v>
      </c>
      <c r="W266" s="77" t="str">
        <f ca="1">VLOOKUP($A266,OFFSET([2]characters!$A$1,0,0,COUNTA([2]characters!$A:$A),MATCH(W$1,[2]characters!$1:$1,0)-MATCH($A$1,[2]characters!$1:$1,0)+1),MATCH(W$1,[2]characters!$1:$1,0)-MATCH($A$1,[2]characters!$1:$1,0)+1,FALSE)</f>
        <v>animal</v>
      </c>
      <c r="X266" s="8" t="str">
        <f ca="1">VLOOKUP(W266,[2]character_tribe_i18n!$A:$H,3,FALSE)</f>
        <v>アニマル</v>
      </c>
      <c r="Y266" s="77" t="str">
        <f ca="1">VLOOKUP($A266,OFFSET([2]characters!$A$1,0,0,COUNTA([2]characters!$A:$A),MATCH(Y$1,[2]characters!$1:$1,0)-MATCH($A$1,[2]characters!$1:$1,0)+1),MATCH(Y$1,[2]characters!$1:$1,0)-MATCH($A$1,[2]characters!$1:$1,0)+1,FALSE)</f>
        <v>none</v>
      </c>
      <c r="Z266" s="8" t="str">
        <f ca="1">VLOOKUP(Y266,[2]character_tribe_i18n!$A:$H,3,FALSE)</f>
        <v>種族なし</v>
      </c>
      <c r="AA266" s="14">
        <f ca="1">VLOOKUP(W266,[2]character_tribe_i18n!$A:$H,4,FALSE)</f>
        <v>1</v>
      </c>
      <c r="AB266" s="14">
        <f ca="1">VLOOKUP(W266,[2]character_tribe_i18n!$A:$H,5,FALSE)</f>
        <v>1.1000000000000001</v>
      </c>
      <c r="AC266" s="14">
        <f ca="1">VLOOKUP(W266,[2]character_tribe_i18n!$A:$H,6,FALSE)</f>
        <v>1</v>
      </c>
      <c r="AD266" s="14">
        <f ca="1">VLOOKUP(W266,[2]character_tribe_i18n!$A:$H,7,FALSE)</f>
        <v>0.9</v>
      </c>
      <c r="AE266" s="12" t="s">
        <v>102</v>
      </c>
      <c r="AF266" s="85" t="str">
        <f ca="1">IF(AE266="NULL","",VLOOKUP($AE266,OFFSET([2]characters!$A$1,0,0,COUNTA([2]characters!$A:$A),MATCH(AF$1,[2]characters!$1:$1,0)-MATCH($A$1,[2]characters!$1:$1,0)+1),MATCH(AF$1,[2]characters!$1:$1,0)-MATCH($A$1,[2]characters!$1:$1,0)+1,FALSE))</f>
        <v/>
      </c>
      <c r="AG266" s="8">
        <f t="shared" ca="1" si="30"/>
        <v>264</v>
      </c>
      <c r="AH266" s="85" t="str">
        <f ca="1">VLOOKUP($AG266,OFFSET([2]characters!$A$1,0,0,COUNTA([2]characters!$A:$A),MATCH(AH$1,[2]characters!$1:$1,0)-MATCH($A$1,[2]characters!$1:$1,0)+1),MATCH(AH$1,[2]characters!$1:$1,0)-MATCH($A$1,[2]characters!$1:$1,0)+1,FALSE)</f>
        <v>ユニコーン</v>
      </c>
      <c r="AI266" s="14" t="str">
        <f>IF(AE266="NULL","NULL",VLOOKUP(G266,ビット!$A$2:$B$7,2))</f>
        <v>NULL</v>
      </c>
      <c r="AJ266" s="9">
        <v>2</v>
      </c>
      <c r="AK266" s="10" t="str">
        <f t="shared" si="31"/>
        <v>普通</v>
      </c>
      <c r="AL266" s="14" t="str">
        <f ca="1">INDEX(経験値!$A$1:$I$20,MATCH(H266,経験値!$A$1:$A$20,FALSE),MATCH(G266,経験値!$A$1:$I$1,FALSE))</f>
        <v>required_exp_150</v>
      </c>
      <c r="AM266" s="11">
        <f ca="1">VLOOKUP(G266,経験値!$A$27:$B$31,2)</f>
        <v>3400</v>
      </c>
      <c r="AN266" s="21">
        <f ca="1">VLOOKUP(G266,ビット!$G$2:$H$7,2)</f>
        <v>600</v>
      </c>
      <c r="AO266" s="98" t="s">
        <v>186</v>
      </c>
      <c r="AP266" s="97">
        <v>536002</v>
      </c>
      <c r="AQ266" s="77" t="e">
        <f ca="1">VLOOKUP($AP266,OFFSET([1]unit_skills!$A$1,0,0,COUNTA([1]unit_skills!$A:$A),MATCH("name",[1]unit_skills!$1:$1,0)-MATCH($AP$1,[1]unit_skills!$1:$1,0)+1),MATCH("name",[1]unit_skills!$1:$1,0)-MATCH($AP$1,[1]unit_skills!$1:$1,0)+1,FALSE)</f>
        <v>#VALUE!</v>
      </c>
      <c r="AR266" s="77" t="e">
        <f ca="1">VLOOKUP($AP266,OFFSET([1]unit_skills!$A$1,0,0,COUNTA([1]unit_skills!$A:$A),MATCH("comment",[1]unit_skills!$1:$1,0)-MATCH($AP$1,[1]unit_skills!$1:$1,0)+1),MATCH("comment",[1]unit_skills!$1:$1,0)-MATCH($AP$1,[1]unit_skills!$1:$1,0)+1,FALSE)</f>
        <v>#VALUE!</v>
      </c>
      <c r="AS266" s="77" t="e">
        <f ca="1">VLOOKUP($AP266,OFFSET([1]unit_skills!$A$1,0,0,COUNTA([1]unit_skills!$A:$A),MATCH(AS$1,[1]unit_skills!$1:$1,0)-MATCH($AP$1,[1]unit_skills!$1:$1,0)+1),MATCH(AS$1,[1]unit_skills!$1:$1,0)-MATCH($AP$1,[1]unit_skills!$1:$1,0)+1,FALSE)</f>
        <v>#VALUE!</v>
      </c>
      <c r="AT266" s="97">
        <v>112013</v>
      </c>
      <c r="AU266" s="77" t="e">
        <f ca="1">VLOOKUP($AT266,OFFSET([1]crash_skills!$A$1,0,0,COUNTA([1]crash_skills!$A:$A),MATCH("name",[1]crash_skills!$1:$1,0)-MATCH($AT$1,[1]crash_skills!$1:$1,0)+1),MATCH("name",[1]crash_skills!$1:$1,0)-MATCH($AT$1,[1]crash_skills!$1:$1,0)+1,FALSE)</f>
        <v>#VALUE!</v>
      </c>
      <c r="AV266" s="77" t="e">
        <f ca="1">VLOOKUP($AT266,OFFSET([1]crash_skills!$A$1,0,0,COUNTA([1]crash_skills!$A:$A),MATCH("comment",[1]crash_skills!$1:$1,0)-MATCH($AT$1,[1]crash_skills!$1:$1,0)+1),MATCH("comment",[1]crash_skills!$1:$1,0)-MATCH($AT$1,[1]crash_skills!$1:$1,0)+1,FALSE)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66" s="77" t="e">
        <f ca="1">VLOOKUP($AT266,OFFSET([1]crash_skills!$A$1,0,0,COUNTA([1]crash_skills!$A:$A),MATCH(AW$1,[1]crash_skills!$1:$1,0)-MATCH($AT$1,[1]crash_skills!$1:$1,0)+1),MATCH(AW$1,[1]crash_skills!$1:$1,0)-MATCH($AT$1,[1]crash_skills!$1:$1,0)+1,FALSE)</f>
        <v>#VALUE!</v>
      </c>
      <c r="AX266" s="81">
        <f ca="1">VLOOKUP($A266,OFFSET([2]characters!$A$1,0,0,COUNTA([2]characters!$A:$A),MATCH(AX$1,[2]characters!$1:$1,0)-MATCH($A$1,[2]characters!$1:$1,0)+1),MATCH(AX$1,[2]characters!$1:$1,0)-MATCH($A$1,[2]characters!$1:$1,0)+1,FALSE)</f>
        <v>3</v>
      </c>
      <c r="AY266" s="19">
        <v>1</v>
      </c>
      <c r="AZ266" s="19">
        <v>1</v>
      </c>
      <c r="BA266" s="19">
        <v>0</v>
      </c>
      <c r="BB266" s="19">
        <v>1</v>
      </c>
      <c r="BC266" s="14">
        <f ca="1">INDEX('RC6SV'!$A$1:$G$20,MATCH(H266,'RC6SV'!$A$1:$A$20,FALSE),MATCH(G266,'RC6SV'!$A$1:$G$1,FALSE))</f>
        <v>5600</v>
      </c>
      <c r="BD266" s="63">
        <f t="shared" ca="1" si="32"/>
        <v>5600</v>
      </c>
      <c r="BE266" s="14">
        <f t="shared" ca="1" si="33"/>
        <v>4400</v>
      </c>
      <c r="BF266" s="14">
        <f t="shared" ca="1" si="34"/>
        <v>1</v>
      </c>
      <c r="BG266" s="20">
        <f ca="1">IF($BE266&lt;=0,ROUND(BK266*0.5,0), ROUND($BE266*S266*AA266*J266*AY266*0.8*[2]ステータス!$B$2,0))</f>
        <v>2603</v>
      </c>
      <c r="BH266" s="20">
        <f ca="1">IF($BE266&lt;=0,ROUND(BL266*0.5,0), ROUND($BE266*T266*AB266*K266*AZ266*0.8*[2]ステータス!$C$2,0))</f>
        <v>968</v>
      </c>
      <c r="BI266" s="20">
        <f ca="1">IF($BE266&lt;=0,ROUND(BM266*0.5,0), ROUND($BE266*U266*AC266*L266*BA266*0.8*[2]ステータス!$D$2,0))</f>
        <v>0</v>
      </c>
      <c r="BJ266" s="20">
        <f ca="1">IF($BE266&lt;=0,ROUND(BN266*0.5,0), ROUND($BE266*V266*AD266*M266*BB266*0.8*[2]ステータス!$E$2,0))</f>
        <v>554</v>
      </c>
      <c r="BK266" s="14">
        <f ca="1">ROUND(BD266*S266*AA266*J266*AY266*[2]ステータス!$B$2,0)</f>
        <v>4141</v>
      </c>
      <c r="BL266" s="14">
        <f ca="1">ROUND(BD266*T266*AB266*K266*AZ266*[2]ステータス!$C$2,0)</f>
        <v>1539</v>
      </c>
      <c r="BM266" s="14">
        <f ca="1">ROUND(BD266*U266*AC266*L266*BA266*[2]ステータス!$D$2,0)</f>
        <v>0</v>
      </c>
      <c r="BN266" s="14">
        <f ca="1">ROUND(BD266*V266*AD266*M266*BB266*[2]ステータス!$E$2,0)</f>
        <v>882</v>
      </c>
      <c r="BO266" s="13">
        <v>0</v>
      </c>
      <c r="BP266" s="13">
        <v>1</v>
      </c>
      <c r="BQ266" s="13" t="s">
        <v>102</v>
      </c>
      <c r="BR266" s="13">
        <f ca="1">VLOOKUP(H266,ghosts_label!$A$2:$B$19,2,FALSE)</f>
        <v>1</v>
      </c>
    </row>
    <row r="267" spans="1:70" ht="21" customHeight="1" x14ac:dyDescent="0.15">
      <c r="A267" s="14">
        <f t="shared" ca="1" si="29"/>
        <v>266</v>
      </c>
      <c r="B267" s="77" t="str">
        <f ca="1">VLOOKUP($A267,OFFSET([2]characters!$A$1,0,0,COUNTA([2]characters!$A:$A),MATCH(B$1,[2]characters!$1:$1,0)-MATCH($A$1,[2]characters!$1:$1,0)+1),MATCH(B$1,[2]characters!$1:$1,0)-MATCH($A$1,[2]characters!$1:$1,0)+1,FALSE)</f>
        <v>リリアンブルー</v>
      </c>
      <c r="C267" s="77" t="str">
        <f ca="1">VLOOKUP($A267,OFFSET([2]characters!$A$1,0,0,COUNTA([2]characters!$A:$A),MATCH(C$1,[2]characters!$1:$1,0)-MATCH($A$1,[2]characters!$1:$1,0)+1),MATCH(C$1,[2]characters!$1:$1,0)-MATCH($A$1,[2]characters!$1:$1,0)+1,FALSE)</f>
        <v>イベント:魔獣01</v>
      </c>
      <c r="D267" s="77" t="str">
        <f ca="1">VLOOKUP($A267,OFFSET([2]characters!$A$1,0,0,COUNTA([2]characters!$A:$A),MATCH(D$1,[2]characters!$1:$1,0)-MATCH($A$1,[2]characters!$1:$1,0)+1),MATCH(D$1,[2]characters!$1:$1,0)-MATCH($A$1,[2]characters!$1:$1,0)+1,FALSE)</f>
        <v>QoH</v>
      </c>
      <c r="E267" s="77" t="str">
        <f ca="1">VLOOKUP($A267,OFFSET([2]characters!$A$1,0,0,COUNTA([2]characters!$A:$A),MATCH(E$1,[2]characters!$1:$1,0)-MATCH($A$1,[2]characters!$1:$1,0)+1),MATCH(E$1,[2]characters!$1:$1,0)-MATCH($A$1,[2]characters!$1:$1,0)+1,FALSE)</f>
        <v>怪しい</v>
      </c>
      <c r="F267" s="77" t="str">
        <f ca="1">VLOOKUP($A267,OFFSET([2]characters!$A$1,0,0,COUNTA([2]characters!$A:$A),MATCH(F$1,[2]characters!$1:$1,0)-MATCH($A$1,[2]characters!$1:$1,0)+1),MATCH(F$1,[2]characters!$1:$1,0)-MATCH($A$1,[2]characters!$1:$1,0)+1,FALSE)</f>
        <v>女性</v>
      </c>
      <c r="G267" s="77">
        <f ca="1">VLOOKUP($A267,OFFSET([2]characters!$A$1,0,0,COUNTA([2]characters!$A:$A),MATCH(G$1,[2]characters!$1:$1,0)-MATCH($A$1,[2]characters!$1:$1,0)+1),MATCH(G$1,[2]characters!$1:$1,0)-MATCH($A$1,[2]characters!$1:$1,0)+1,FALSE)</f>
        <v>3</v>
      </c>
      <c r="H267" s="77" t="str">
        <f ca="1">VLOOKUP($A267,OFFSET([2]characters!$A$1,0,0,COUNTA([2]characters!$A:$A),MATCH(H$1,[2]characters!$1:$1,0)-MATCH($A$1,[2]characters!$1:$1,0)+1),MATCH(H$1,[2]characters!$1:$1,0)-MATCH($A$1,[2]characters!$1:$1,0)+1,FALSE)</f>
        <v>Drop2W</v>
      </c>
      <c r="I267" s="77" t="str">
        <f ca="1">VLOOKUP($A267,OFFSET([2]characters!$A$1,0,0,COUNTA([2]characters!$A:$A),MATCH(I$1,[2]characters!$1:$1,0)-MATCH($A$1,[2]characters!$1:$1,0)+1),MATCH(I$1,[2]characters!$1:$1,0)-MATCH($A$1,[2]characters!$1:$1,0)+1,FALSE)</f>
        <v>blue</v>
      </c>
      <c r="J267" s="14">
        <f ca="1">VLOOKUP(I267,[2]属性!$A:$E,2,FALSE)</f>
        <v>1</v>
      </c>
      <c r="K267" s="14">
        <f ca="1">VLOOKUP(I267,[2]属性!$A:$E,3,FALSE)</f>
        <v>0.98</v>
      </c>
      <c r="L267" s="14">
        <f ca="1">VLOOKUP(I267,[2]属性!$A:$E,4,FALSE)</f>
        <v>1</v>
      </c>
      <c r="M267" s="14">
        <f ca="1">VLOOKUP(I267,[2]属性!$A:$E,5,FALSE)</f>
        <v>1.02</v>
      </c>
      <c r="N267" s="14">
        <f ca="1">INDEX(コスト!$A$1:$I$20,MATCH(H267,コスト!$A$1:$A$20,FALSE),MATCH(G267,コスト!$A$1:$I$1,FALSE))</f>
        <v>6</v>
      </c>
      <c r="O267" s="14">
        <f ca="1">INDEX(レベル!$A$1:$I$21,MATCH(H267,レベル!$A$1:$A$21,FALSE),MATCH(G267,レベル!$A$1:$I$1,FALSE))</f>
        <v>40</v>
      </c>
      <c r="P267" s="63">
        <f t="shared" ca="1" si="35"/>
        <v>45</v>
      </c>
      <c r="Q267" s="77" t="str">
        <f ca="1">VLOOKUP($A267,OFFSET([2]characters!$A$1,0,0,COUNTA([2]characters!$A:$A),MATCH(Q$1,[2]characters!$1:$1,0)-MATCH($A$1,[2]characters!$1:$1,0)+1),MATCH(Q$1,[2]characters!$1:$1,0)-MATCH($A$1,[2]characters!$1:$1,0)+1,FALSE)</f>
        <v>balance</v>
      </c>
      <c r="R267" s="8" t="str">
        <f ca="1">VLOOKUP(Q267,[2]character_type_i18n!$A:$H,3,FALSE)</f>
        <v>バランスタイプ</v>
      </c>
      <c r="S267" s="14">
        <f ca="1">VLOOKUP(Q267,[2]character_type_i18n!$A:$H,4,FALSE)</f>
        <v>1</v>
      </c>
      <c r="T267" s="14">
        <f ca="1">VLOOKUP(Q267,[2]character_type_i18n!$A:$H,5,FALSE)</f>
        <v>1</v>
      </c>
      <c r="U267" s="14">
        <f ca="1">VLOOKUP(Q267,[2]character_type_i18n!$A:$H,6,FALSE)</f>
        <v>1</v>
      </c>
      <c r="V267" s="14">
        <f ca="1">VLOOKUP(Q267,[2]character_type_i18n!$A:$H,7,FALSE)</f>
        <v>1</v>
      </c>
      <c r="W267" s="77" t="str">
        <f ca="1">VLOOKUP($A267,OFFSET([2]characters!$A$1,0,0,COUNTA([2]characters!$A:$A),MATCH(W$1,[2]characters!$1:$1,0)-MATCH($A$1,[2]characters!$1:$1,0)+1),MATCH(W$1,[2]characters!$1:$1,0)-MATCH($A$1,[2]characters!$1:$1,0)+1,FALSE)</f>
        <v>animal</v>
      </c>
      <c r="X267" s="8" t="str">
        <f ca="1">VLOOKUP(W267,[2]character_tribe_i18n!$A:$H,3,FALSE)</f>
        <v>アニマル</v>
      </c>
      <c r="Y267" s="77" t="str">
        <f ca="1">VLOOKUP($A267,OFFSET([2]characters!$A$1,0,0,COUNTA([2]characters!$A:$A),MATCH(Y$1,[2]characters!$1:$1,0)-MATCH($A$1,[2]characters!$1:$1,0)+1),MATCH(Y$1,[2]characters!$1:$1,0)-MATCH($A$1,[2]characters!$1:$1,0)+1,FALSE)</f>
        <v>none</v>
      </c>
      <c r="Z267" s="8" t="str">
        <f ca="1">VLOOKUP(Y267,[2]character_tribe_i18n!$A:$H,3,FALSE)</f>
        <v>種族なし</v>
      </c>
      <c r="AA267" s="14">
        <f ca="1">VLOOKUP(W267,[2]character_tribe_i18n!$A:$H,4,FALSE)</f>
        <v>1</v>
      </c>
      <c r="AB267" s="14">
        <f ca="1">VLOOKUP(W267,[2]character_tribe_i18n!$A:$H,5,FALSE)</f>
        <v>1.1000000000000001</v>
      </c>
      <c r="AC267" s="14">
        <f ca="1">VLOOKUP(W267,[2]character_tribe_i18n!$A:$H,6,FALSE)</f>
        <v>1</v>
      </c>
      <c r="AD267" s="14">
        <f ca="1">VLOOKUP(W267,[2]character_tribe_i18n!$A:$H,7,FALSE)</f>
        <v>0.9</v>
      </c>
      <c r="AE267" s="12">
        <v>267</v>
      </c>
      <c r="AF267" s="85" t="str">
        <f ca="1">IF(AE267="NULL","",VLOOKUP($AE267,OFFSET([2]characters!$A$1,0,0,COUNTA([2]characters!$A:$A),MATCH(AF$1,[2]characters!$1:$1,0)-MATCH($A$1,[2]characters!$1:$1,0)+1),MATCH(AF$1,[2]characters!$1:$1,0)-MATCH($A$1,[2]characters!$1:$1,0)+1,FALSE))</f>
        <v>奇術猫 リリアンブルー</v>
      </c>
      <c r="AG267" s="8">
        <f t="shared" ca="1" si="30"/>
        <v>266</v>
      </c>
      <c r="AH267" s="85" t="str">
        <f ca="1">VLOOKUP($AG267,OFFSET([2]characters!$A$1,0,0,COUNTA([2]characters!$A:$A),MATCH(AH$1,[2]characters!$1:$1,0)-MATCH($A$1,[2]characters!$1:$1,0)+1),MATCH(AH$1,[2]characters!$1:$1,0)-MATCH($A$1,[2]characters!$1:$1,0)+1,FALSE)</f>
        <v>リリアンブルー</v>
      </c>
      <c r="AI267" s="14">
        <f ca="1">IF(AE267="NULL","NULL",VLOOKUP(G267,ビット!$A$2:$B$7,2))</f>
        <v>20000</v>
      </c>
      <c r="AJ267" s="9">
        <v>2</v>
      </c>
      <c r="AK267" s="10" t="str">
        <f t="shared" si="31"/>
        <v>普通</v>
      </c>
      <c r="AL267" s="14" t="str">
        <f ca="1">INDEX(経験値!$A$1:$I$20,MATCH(H267,経験値!$A$1:$A$20,FALSE),MATCH(G267,経験値!$A$1:$I$1,FALSE))</f>
        <v>required_exp_150</v>
      </c>
      <c r="AM267" s="11">
        <f ca="1">VLOOKUP(G267,経験値!$A$27:$B$31,2)</f>
        <v>1500</v>
      </c>
      <c r="AN267" s="21">
        <f ca="1">VLOOKUP(G267,ビット!$G$2:$H$7,2)</f>
        <v>300</v>
      </c>
      <c r="AO267" s="98"/>
      <c r="AP267" s="101">
        <v>541001</v>
      </c>
      <c r="AQ267" s="77" t="e">
        <f ca="1">VLOOKUP($AP267,OFFSET([1]unit_skills!$A$1,0,0,COUNTA([1]unit_skills!$A:$A),MATCH("name",[1]unit_skills!$1:$1,0)-MATCH($AP$1,[1]unit_skills!$1:$1,0)+1),MATCH("name",[1]unit_skills!$1:$1,0)-MATCH($AP$1,[1]unit_skills!$1:$1,0)+1,FALSE)</f>
        <v>#VALUE!</v>
      </c>
      <c r="AR267" s="77" t="e">
        <f ca="1">VLOOKUP($AP267,OFFSET([1]unit_skills!$A$1,0,0,COUNTA([1]unit_skills!$A:$A),MATCH("comment",[1]unit_skills!$1:$1,0)-MATCH($AP$1,[1]unit_skills!$1:$1,0)+1),MATCH("comment",[1]unit_skills!$1:$1,0)-MATCH($AP$1,[1]unit_skills!$1:$1,0)+1,FALSE)</f>
        <v>#VALUE!</v>
      </c>
      <c r="AS267" s="77" t="e">
        <f ca="1">VLOOKUP($AP267,OFFSET([1]unit_skills!$A$1,0,0,COUNTA([1]unit_skills!$A:$A),MATCH(AS$1,[1]unit_skills!$1:$1,0)-MATCH($AP$1,[1]unit_skills!$1:$1,0)+1),MATCH(AS$1,[1]unit_skills!$1:$1,0)-MATCH($AP$1,[1]unit_skills!$1:$1,0)+1,FALSE)</f>
        <v>#VALUE!</v>
      </c>
      <c r="AT267" s="97">
        <v>453002</v>
      </c>
      <c r="AU267" s="77" t="e">
        <f ca="1">VLOOKUP($AT267,OFFSET([1]crash_skills!$A$1,0,0,COUNTA([1]crash_skills!$A:$A),MATCH("name",[1]crash_skills!$1:$1,0)-MATCH($AT$1,[1]crash_skills!$1:$1,0)+1),MATCH("name",[1]crash_skills!$1:$1,0)-MATCH($AT$1,[1]crash_skills!$1:$1,0)+1,FALSE)</f>
        <v>#VALUE!</v>
      </c>
      <c r="AV267" s="77" t="e">
        <f ca="1">VLOOKUP($AT267,OFFSET([1]crash_skills!$A$1,0,0,COUNTA([1]crash_skills!$A:$A),MATCH("comment",[1]crash_skills!$1:$1,0)-MATCH($AT$1,[1]crash_skills!$1:$1,0)+1),MATCH("comment",[1]crash_skills!$1:$1,0)-MATCH($AT$1,[1]crash_skills!$1:$1,0)+1,FALSE)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67" s="77" t="e">
        <f ca="1">VLOOKUP($AT267,OFFSET([1]crash_skills!$A$1,0,0,COUNTA([1]crash_skills!$A:$A),MATCH(AW$1,[1]crash_skills!$1:$1,0)-MATCH($AT$1,[1]crash_skills!$1:$1,0)+1),MATCH(AW$1,[1]crash_skills!$1:$1,0)-MATCH($AT$1,[1]crash_skills!$1:$1,0)+1,FALSE)</f>
        <v>#VALUE!</v>
      </c>
      <c r="AX267" s="81">
        <f ca="1">VLOOKUP($A267,OFFSET([2]characters!$A$1,0,0,COUNTA([2]characters!$A:$A),MATCH(AX$1,[2]characters!$1:$1,0)-MATCH($A$1,[2]characters!$1:$1,0)+1),MATCH(AX$1,[2]characters!$1:$1,0)-MATCH($A$1,[2]characters!$1:$1,0)+1,FALSE)</f>
        <v>3</v>
      </c>
      <c r="AY267" s="19">
        <v>1</v>
      </c>
      <c r="AZ267" s="19">
        <v>1</v>
      </c>
      <c r="BA267" s="19">
        <v>0</v>
      </c>
      <c r="BB267" s="19">
        <v>1</v>
      </c>
      <c r="BC267" s="14">
        <f ca="1">INDEX('RC6SV'!$A$1:$G$20,MATCH(H267,'RC6SV'!$A$1:$A$20,FALSE),MATCH(G267,'RC6SV'!$A$1:$G$1,FALSE))</f>
        <v>4400</v>
      </c>
      <c r="BD267" s="63">
        <f t="shared" ca="1" si="32"/>
        <v>4400</v>
      </c>
      <c r="BE267" s="14">
        <f t="shared" ca="1" si="33"/>
        <v>0</v>
      </c>
      <c r="BF267" s="14">
        <f t="shared" ca="1" si="34"/>
        <v>1</v>
      </c>
      <c r="BG267" s="20">
        <f ca="1">IF($BE267&lt;=0,ROUND(BK267*0.5,0), ROUND($BE267*S267*AA267*J267*AY267*0.8*[2]ステータス!$B$2,0))</f>
        <v>1100</v>
      </c>
      <c r="BH267" s="20">
        <f ca="1">IF($BE267&lt;=0,ROUND(BL267*0.5,0), ROUND($BE267*T267*AB267*K267*AZ267*0.8*[2]ステータス!$C$2,0))</f>
        <v>712</v>
      </c>
      <c r="BI267" s="20">
        <f ca="1">IF($BE267&lt;=0,ROUND(BM267*0.5,0), ROUND($BE267*U267*AC267*L267*BA267*0.8*[2]ステータス!$D$2,0))</f>
        <v>0</v>
      </c>
      <c r="BJ267" s="20">
        <f ca="1">IF($BE267&lt;=0,ROUND(BN267*0.5,0), ROUND($BE267*V267*AD267*M267*BB267*0.8*[2]ステータス!$E$2,0))</f>
        <v>505</v>
      </c>
      <c r="BK267" s="14">
        <f ca="1">ROUND(BD267*S267*AA267*J267*AY267*[2]ステータス!$B$2,0)</f>
        <v>2200</v>
      </c>
      <c r="BL267" s="14">
        <f ca="1">ROUND(BD267*T267*AB267*K267*AZ267*[2]ステータス!$C$2,0)</f>
        <v>1423</v>
      </c>
      <c r="BM267" s="14">
        <f ca="1">ROUND(BD267*U267*AC267*L267*BA267*[2]ステータス!$D$2,0)</f>
        <v>0</v>
      </c>
      <c r="BN267" s="14">
        <f ca="1">ROUND(BD267*V267*AD267*M267*BB267*[2]ステータス!$E$2,0)</f>
        <v>1010</v>
      </c>
      <c r="BO267" s="13">
        <v>0</v>
      </c>
      <c r="BP267" s="13">
        <v>1</v>
      </c>
      <c r="BQ267" s="13" t="s">
        <v>102</v>
      </c>
      <c r="BR267" s="13">
        <f ca="1">VLOOKUP(H267,ghosts_label!$A$2:$B$19,2,FALSE)</f>
        <v>1</v>
      </c>
    </row>
    <row r="268" spans="1:70" ht="21" customHeight="1" x14ac:dyDescent="0.15">
      <c r="A268" s="14">
        <f t="shared" ca="1" si="29"/>
        <v>267</v>
      </c>
      <c r="B268" s="77" t="str">
        <f ca="1">VLOOKUP($A268,OFFSET([2]characters!$A$1,0,0,COUNTA([2]characters!$A:$A),MATCH(B$1,[2]characters!$1:$1,0)-MATCH($A$1,[2]characters!$1:$1,0)+1),MATCH(B$1,[2]characters!$1:$1,0)-MATCH($A$1,[2]characters!$1:$1,0)+1,FALSE)</f>
        <v>奇術猫 リリアンブルー</v>
      </c>
      <c r="C268" s="77" t="str">
        <f ca="1">VLOOKUP($A268,OFFSET([2]characters!$A$1,0,0,COUNTA([2]characters!$A:$A),MATCH(C$1,[2]characters!$1:$1,0)-MATCH($A$1,[2]characters!$1:$1,0)+1),MATCH(C$1,[2]characters!$1:$1,0)-MATCH($A$1,[2]characters!$1:$1,0)+1,FALSE)</f>
        <v>イベント:魔獣01</v>
      </c>
      <c r="D268" s="77" t="str">
        <f ca="1">VLOOKUP($A268,OFFSET([2]characters!$A$1,0,0,COUNTA([2]characters!$A:$A),MATCH(D$1,[2]characters!$1:$1,0)-MATCH($A$1,[2]characters!$1:$1,0)+1),MATCH(D$1,[2]characters!$1:$1,0)-MATCH($A$1,[2]characters!$1:$1,0)+1,FALSE)</f>
        <v>QoH</v>
      </c>
      <c r="E268" s="77" t="str">
        <f ca="1">VLOOKUP($A268,OFFSET([2]characters!$A$1,0,0,COUNTA([2]characters!$A:$A),MATCH(E$1,[2]characters!$1:$1,0)-MATCH($A$1,[2]characters!$1:$1,0)+1),MATCH(E$1,[2]characters!$1:$1,0)-MATCH($A$1,[2]characters!$1:$1,0)+1,FALSE)</f>
        <v>怪しい</v>
      </c>
      <c r="F268" s="77" t="str">
        <f ca="1">VLOOKUP($A268,OFFSET([2]characters!$A$1,0,0,COUNTA([2]characters!$A:$A),MATCH(F$1,[2]characters!$1:$1,0)-MATCH($A$1,[2]characters!$1:$1,0)+1),MATCH(F$1,[2]characters!$1:$1,0)-MATCH($A$1,[2]characters!$1:$1,0)+1,FALSE)</f>
        <v>女性</v>
      </c>
      <c r="G268" s="77">
        <f ca="1">VLOOKUP($A268,OFFSET([2]characters!$A$1,0,0,COUNTA([2]characters!$A:$A),MATCH(G$1,[2]characters!$1:$1,0)-MATCH($A$1,[2]characters!$1:$1,0)+1),MATCH(G$1,[2]characters!$1:$1,0)-MATCH($A$1,[2]characters!$1:$1,0)+1,FALSE)</f>
        <v>4</v>
      </c>
      <c r="H268" s="77" t="str">
        <f ca="1">VLOOKUP($A268,OFFSET([2]characters!$A$1,0,0,COUNTA([2]characters!$A:$A),MATCH(H$1,[2]characters!$1:$1,0)-MATCH($A$1,[2]characters!$1:$1,0)+1),MATCH(H$1,[2]characters!$1:$1,0)-MATCH($A$1,[2]characters!$1:$1,0)+1,FALSE)</f>
        <v>Drop2W</v>
      </c>
      <c r="I268" s="77" t="str">
        <f ca="1">VLOOKUP($A268,OFFSET([2]characters!$A$1,0,0,COUNTA([2]characters!$A:$A),MATCH(I$1,[2]characters!$1:$1,0)-MATCH($A$1,[2]characters!$1:$1,0)+1),MATCH(I$1,[2]characters!$1:$1,0)-MATCH($A$1,[2]characters!$1:$1,0)+1,FALSE)</f>
        <v>blue</v>
      </c>
      <c r="J268" s="14">
        <f ca="1">VLOOKUP(I268,[2]属性!$A:$E,2,FALSE)</f>
        <v>1</v>
      </c>
      <c r="K268" s="14">
        <f ca="1">VLOOKUP(I268,[2]属性!$A:$E,3,FALSE)</f>
        <v>0.98</v>
      </c>
      <c r="L268" s="14">
        <f ca="1">VLOOKUP(I268,[2]属性!$A:$E,4,FALSE)</f>
        <v>1</v>
      </c>
      <c r="M268" s="14">
        <f ca="1">VLOOKUP(I268,[2]属性!$A:$E,5,FALSE)</f>
        <v>1.02</v>
      </c>
      <c r="N268" s="14">
        <f ca="1">INDEX(コスト!$A$1:$I$20,MATCH(H268,コスト!$A$1:$A$20,FALSE),MATCH(G268,コスト!$A$1:$I$1,FALSE))</f>
        <v>14</v>
      </c>
      <c r="O268" s="14">
        <f ca="1">INDEX(レベル!$A$1:$I$21,MATCH(H268,レベル!$A$1:$A$21,FALSE),MATCH(G268,レベル!$A$1:$I$1,FALSE))</f>
        <v>60</v>
      </c>
      <c r="P268" s="63">
        <f t="shared" ca="1" si="35"/>
        <v>60</v>
      </c>
      <c r="Q268" s="77" t="str">
        <f ca="1">VLOOKUP($A268,OFFSET([2]characters!$A$1,0,0,COUNTA([2]characters!$A:$A),MATCH(Q$1,[2]characters!$1:$1,0)-MATCH($A$1,[2]characters!$1:$1,0)+1),MATCH(Q$1,[2]characters!$1:$1,0)-MATCH($A$1,[2]characters!$1:$1,0)+1,FALSE)</f>
        <v>balance</v>
      </c>
      <c r="R268" s="8" t="str">
        <f ca="1">VLOOKUP(Q268,[2]character_type_i18n!$A:$H,3,FALSE)</f>
        <v>バランスタイプ</v>
      </c>
      <c r="S268" s="14">
        <f ca="1">VLOOKUP(Q268,[2]character_type_i18n!$A:$H,4,FALSE)</f>
        <v>1</v>
      </c>
      <c r="T268" s="14">
        <f ca="1">VLOOKUP(Q268,[2]character_type_i18n!$A:$H,5,FALSE)</f>
        <v>1</v>
      </c>
      <c r="U268" s="14">
        <f ca="1">VLOOKUP(Q268,[2]character_type_i18n!$A:$H,6,FALSE)</f>
        <v>1</v>
      </c>
      <c r="V268" s="14">
        <f ca="1">VLOOKUP(Q268,[2]character_type_i18n!$A:$H,7,FALSE)</f>
        <v>1</v>
      </c>
      <c r="W268" s="77" t="str">
        <f ca="1">VLOOKUP($A268,OFFSET([2]characters!$A$1,0,0,COUNTA([2]characters!$A:$A),MATCH(W$1,[2]characters!$1:$1,0)-MATCH($A$1,[2]characters!$1:$1,0)+1),MATCH(W$1,[2]characters!$1:$1,0)-MATCH($A$1,[2]characters!$1:$1,0)+1,FALSE)</f>
        <v>animal</v>
      </c>
      <c r="X268" s="8" t="str">
        <f ca="1">VLOOKUP(W268,[2]character_tribe_i18n!$A:$H,3,FALSE)</f>
        <v>アニマル</v>
      </c>
      <c r="Y268" s="77" t="str">
        <f ca="1">VLOOKUP($A268,OFFSET([2]characters!$A$1,0,0,COUNTA([2]characters!$A:$A),MATCH(Y$1,[2]characters!$1:$1,0)-MATCH($A$1,[2]characters!$1:$1,0)+1),MATCH(Y$1,[2]characters!$1:$1,0)-MATCH($A$1,[2]characters!$1:$1,0)+1,FALSE)</f>
        <v>none</v>
      </c>
      <c r="Z268" s="8" t="str">
        <f ca="1">VLOOKUP(Y268,[2]character_tribe_i18n!$A:$H,3,FALSE)</f>
        <v>種族なし</v>
      </c>
      <c r="AA268" s="14">
        <f ca="1">VLOOKUP(W268,[2]character_tribe_i18n!$A:$H,4,FALSE)</f>
        <v>1</v>
      </c>
      <c r="AB268" s="14">
        <f ca="1">VLOOKUP(W268,[2]character_tribe_i18n!$A:$H,5,FALSE)</f>
        <v>1.1000000000000001</v>
      </c>
      <c r="AC268" s="14">
        <f ca="1">VLOOKUP(W268,[2]character_tribe_i18n!$A:$H,6,FALSE)</f>
        <v>1</v>
      </c>
      <c r="AD268" s="14">
        <f ca="1">VLOOKUP(W268,[2]character_tribe_i18n!$A:$H,7,FALSE)</f>
        <v>0.9</v>
      </c>
      <c r="AE268" s="12" t="s">
        <v>102</v>
      </c>
      <c r="AF268" s="85" t="str">
        <f ca="1">IF(AE268="NULL","",VLOOKUP($AE268,OFFSET([2]characters!$A$1,0,0,COUNTA([2]characters!$A:$A),MATCH(AF$1,[2]characters!$1:$1,0)-MATCH($A$1,[2]characters!$1:$1,0)+1),MATCH(AF$1,[2]characters!$1:$1,0)-MATCH($A$1,[2]characters!$1:$1,0)+1,FALSE))</f>
        <v/>
      </c>
      <c r="AG268" s="8">
        <f t="shared" ca="1" si="30"/>
        <v>266</v>
      </c>
      <c r="AH268" s="85" t="str">
        <f ca="1">VLOOKUP($AG268,OFFSET([2]characters!$A$1,0,0,COUNTA([2]characters!$A:$A),MATCH(AH$1,[2]characters!$1:$1,0)-MATCH($A$1,[2]characters!$1:$1,0)+1),MATCH(AH$1,[2]characters!$1:$1,0)-MATCH($A$1,[2]characters!$1:$1,0)+1,FALSE)</f>
        <v>リリアンブルー</v>
      </c>
      <c r="AI268" s="14" t="str">
        <f>IF(AE268="NULL","NULL",VLOOKUP(G268,ビット!$A$2:$B$7,2))</f>
        <v>NULL</v>
      </c>
      <c r="AJ268" s="9">
        <v>2</v>
      </c>
      <c r="AK268" s="10" t="str">
        <f t="shared" si="31"/>
        <v>普通</v>
      </c>
      <c r="AL268" s="14" t="str">
        <f ca="1">INDEX(経験値!$A$1:$I$20,MATCH(H268,経験値!$A$1:$A$20,FALSE),MATCH(G268,経験値!$A$1:$I$1,FALSE))</f>
        <v>required_exp_150</v>
      </c>
      <c r="AM268" s="11">
        <f ca="1">VLOOKUP(G268,経験値!$A$27:$B$31,2)</f>
        <v>3400</v>
      </c>
      <c r="AN268" s="21">
        <f ca="1">VLOOKUP(G268,ビット!$G$2:$H$7,2)</f>
        <v>600</v>
      </c>
      <c r="AO268" s="98"/>
      <c r="AP268" s="101">
        <v>541001</v>
      </c>
      <c r="AQ268" s="77" t="e">
        <f ca="1">VLOOKUP($AP268,OFFSET([1]unit_skills!$A$1,0,0,COUNTA([1]unit_skills!$A:$A),MATCH("name",[1]unit_skills!$1:$1,0)-MATCH($AP$1,[1]unit_skills!$1:$1,0)+1),MATCH("name",[1]unit_skills!$1:$1,0)-MATCH($AP$1,[1]unit_skills!$1:$1,0)+1,FALSE)</f>
        <v>#VALUE!</v>
      </c>
      <c r="AR268" s="77" t="e">
        <f ca="1">VLOOKUP($AP268,OFFSET([1]unit_skills!$A$1,0,0,COUNTA([1]unit_skills!$A:$A),MATCH("comment",[1]unit_skills!$1:$1,0)-MATCH($AP$1,[1]unit_skills!$1:$1,0)+1),MATCH("comment",[1]unit_skills!$1:$1,0)-MATCH($AP$1,[1]unit_skills!$1:$1,0)+1,FALSE)</f>
        <v>#VALUE!</v>
      </c>
      <c r="AS268" s="77" t="e">
        <f ca="1">VLOOKUP($AP268,OFFSET([1]unit_skills!$A$1,0,0,COUNTA([1]unit_skills!$A:$A),MATCH(AS$1,[1]unit_skills!$1:$1,0)-MATCH($AP$1,[1]unit_skills!$1:$1,0)+1),MATCH(AS$1,[1]unit_skills!$1:$1,0)-MATCH($AP$1,[1]unit_skills!$1:$1,0)+1,FALSE)</f>
        <v>#VALUE!</v>
      </c>
      <c r="AT268" s="97">
        <v>453004</v>
      </c>
      <c r="AU268" s="77" t="e">
        <f ca="1">VLOOKUP($AT268,OFFSET([1]crash_skills!$A$1,0,0,COUNTA([1]crash_skills!$A:$A),MATCH("name",[1]crash_skills!$1:$1,0)-MATCH($AT$1,[1]crash_skills!$1:$1,0)+1),MATCH("name",[1]crash_skills!$1:$1,0)-MATCH($AT$1,[1]crash_skills!$1:$1,0)+1,FALSE)</f>
        <v>#VALUE!</v>
      </c>
      <c r="AV268" s="77" t="e">
        <f ca="1">VLOOKUP($AT268,OFFSET([1]crash_skills!$A$1,0,0,COUNTA([1]crash_skills!$A:$A),MATCH("comment",[1]crash_skills!$1:$1,0)-MATCH($AT$1,[1]crash_skills!$1:$1,0)+1),MATCH("comment",[1]crash_skills!$1:$1,0)-MATCH($AT$1,[1]crash_skills!$1:$1,0)+1,FALSE)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68" s="77" t="e">
        <f ca="1">VLOOKUP($AT268,OFFSET([1]crash_skills!$A$1,0,0,COUNTA([1]crash_skills!$A:$A),MATCH(AW$1,[1]crash_skills!$1:$1,0)-MATCH($AT$1,[1]crash_skills!$1:$1,0)+1),MATCH(AW$1,[1]crash_skills!$1:$1,0)-MATCH($AT$1,[1]crash_skills!$1:$1,0)+1,FALSE)</f>
        <v>#VALUE!</v>
      </c>
      <c r="AX268" s="81">
        <f ca="1">VLOOKUP($A268,OFFSET([2]characters!$A$1,0,0,COUNTA([2]characters!$A:$A),MATCH(AX$1,[2]characters!$1:$1,0)-MATCH($A$1,[2]characters!$1:$1,0)+1),MATCH(AX$1,[2]characters!$1:$1,0)-MATCH($A$1,[2]characters!$1:$1,0)+1,FALSE)</f>
        <v>3</v>
      </c>
      <c r="AY268" s="19">
        <v>1</v>
      </c>
      <c r="AZ268" s="19">
        <v>1</v>
      </c>
      <c r="BA268" s="19">
        <v>0</v>
      </c>
      <c r="BB268" s="19">
        <v>1</v>
      </c>
      <c r="BC268" s="14">
        <f ca="1">INDEX('RC6SV'!$A$1:$G$20,MATCH(H268,'RC6SV'!$A$1:$A$20,FALSE),MATCH(G268,'RC6SV'!$A$1:$G$1,FALSE))</f>
        <v>5600</v>
      </c>
      <c r="BD268" s="63">
        <f t="shared" ca="1" si="32"/>
        <v>5600</v>
      </c>
      <c r="BE268" s="14">
        <f t="shared" ca="1" si="33"/>
        <v>4400</v>
      </c>
      <c r="BF268" s="14">
        <f t="shared" ca="1" si="34"/>
        <v>1</v>
      </c>
      <c r="BG268" s="20">
        <f ca="1">IF($BE268&lt;=0,ROUND(BK268*0.5,0), ROUND($BE268*S268*AA268*J268*AY268*0.8*[2]ステータス!$B$2,0))</f>
        <v>1760</v>
      </c>
      <c r="BH268" s="20">
        <f ca="1">IF($BE268&lt;=0,ROUND(BL268*0.5,0), ROUND($BE268*T268*AB268*K268*AZ268*0.8*[2]ステータス!$C$2,0))</f>
        <v>1138</v>
      </c>
      <c r="BI268" s="20">
        <f ca="1">IF($BE268&lt;=0,ROUND(BM268*0.5,0), ROUND($BE268*U268*AC268*L268*BA268*0.8*[2]ステータス!$D$2,0))</f>
        <v>0</v>
      </c>
      <c r="BJ268" s="20">
        <f ca="1">IF($BE268&lt;=0,ROUND(BN268*0.5,0), ROUND($BE268*V268*AD268*M268*BB268*0.8*[2]ステータス!$E$2,0))</f>
        <v>808</v>
      </c>
      <c r="BK268" s="14">
        <f ca="1">ROUND(BD268*S268*AA268*J268*AY268*[2]ステータス!$B$2,0)</f>
        <v>2800</v>
      </c>
      <c r="BL268" s="14">
        <f ca="1">ROUND(BD268*T268*AB268*K268*AZ268*[2]ステータス!$C$2,0)</f>
        <v>1811</v>
      </c>
      <c r="BM268" s="14">
        <f ca="1">ROUND(BD268*U268*AC268*L268*BA268*[2]ステータス!$D$2,0)</f>
        <v>0</v>
      </c>
      <c r="BN268" s="14">
        <f ca="1">ROUND(BD268*V268*AD268*M268*BB268*[2]ステータス!$E$2,0)</f>
        <v>1285</v>
      </c>
      <c r="BO268" s="13">
        <v>0</v>
      </c>
      <c r="BP268" s="13">
        <v>1</v>
      </c>
      <c r="BQ268" s="13" t="s">
        <v>102</v>
      </c>
      <c r="BR268" s="13">
        <f ca="1">VLOOKUP(H268,ghosts_label!$A$2:$B$19,2,FALSE)</f>
        <v>1</v>
      </c>
    </row>
    <row r="269" spans="1:70" ht="21" customHeight="1" x14ac:dyDescent="0.15">
      <c r="A269" s="14">
        <f t="shared" ca="1" si="29"/>
        <v>268</v>
      </c>
      <c r="B269" s="77" t="str">
        <f ca="1">VLOOKUP($A269,OFFSET([2]characters!$A$1,0,0,COUNTA([2]characters!$A:$A),MATCH(B$1,[2]characters!$1:$1,0)-MATCH($A$1,[2]characters!$1:$1,0)+1),MATCH(B$1,[2]characters!$1:$1,0)-MATCH($A$1,[2]characters!$1:$1,0)+1,FALSE)</f>
        <v>鵺</v>
      </c>
      <c r="C269" s="77" t="str">
        <f ca="1">VLOOKUP($A269,OFFSET([2]characters!$A$1,0,0,COUNTA([2]characters!$A:$A),MATCH(C$1,[2]characters!$1:$1,0)-MATCH($A$1,[2]characters!$1:$1,0)+1),MATCH(C$1,[2]characters!$1:$1,0)-MATCH($A$1,[2]characters!$1:$1,0)+1,FALSE)</f>
        <v>イベント:魔獣01</v>
      </c>
      <c r="D269" s="77" t="str">
        <f ca="1">VLOOKUP($A269,OFFSET([2]characters!$A$1,0,0,COUNTA([2]characters!$A:$A),MATCH(D$1,[2]characters!$1:$1,0)-MATCH($A$1,[2]characters!$1:$1,0)+1),MATCH(D$1,[2]characters!$1:$1,0)-MATCH($A$1,[2]characters!$1:$1,0)+1,FALSE)</f>
        <v>QoH</v>
      </c>
      <c r="E269" s="77" t="str">
        <f ca="1">VLOOKUP($A269,OFFSET([2]characters!$A$1,0,0,COUNTA([2]characters!$A:$A),MATCH(E$1,[2]characters!$1:$1,0)-MATCH($A$1,[2]characters!$1:$1,0)+1),MATCH(E$1,[2]characters!$1:$1,0)-MATCH($A$1,[2]characters!$1:$1,0)+1,FALSE)</f>
        <v>格好いい</v>
      </c>
      <c r="F269" s="77" t="str">
        <f ca="1">VLOOKUP($A269,OFFSET([2]characters!$A$1,0,0,COUNTA([2]characters!$A:$A),MATCH(F$1,[2]characters!$1:$1,0)-MATCH($A$1,[2]characters!$1:$1,0)+1),MATCH(F$1,[2]characters!$1:$1,0)-MATCH($A$1,[2]characters!$1:$1,0)+1,FALSE)</f>
        <v>男性</v>
      </c>
      <c r="G269" s="77">
        <f ca="1">VLOOKUP($A269,OFFSET([2]characters!$A$1,0,0,COUNTA([2]characters!$A:$A),MATCH(G$1,[2]characters!$1:$1,0)-MATCH($A$1,[2]characters!$1:$1,0)+1),MATCH(G$1,[2]characters!$1:$1,0)-MATCH($A$1,[2]characters!$1:$1,0)+1,FALSE)</f>
        <v>3</v>
      </c>
      <c r="H269" s="77" t="str">
        <f ca="1">VLOOKUP($A269,OFFSET([2]characters!$A$1,0,0,COUNTA([2]characters!$A:$A),MATCH(H$1,[2]characters!$1:$1,0)-MATCH($A$1,[2]characters!$1:$1,0)+1),MATCH(H$1,[2]characters!$1:$1,0)-MATCH($A$1,[2]characters!$1:$1,0)+1,FALSE)</f>
        <v>Drop2W</v>
      </c>
      <c r="I269" s="77" t="str">
        <f ca="1">VLOOKUP($A269,OFFSET([2]characters!$A$1,0,0,COUNTA([2]characters!$A:$A),MATCH(I$1,[2]characters!$1:$1,0)-MATCH($A$1,[2]characters!$1:$1,0)+1),MATCH(I$1,[2]characters!$1:$1,0)-MATCH($A$1,[2]characters!$1:$1,0)+1,FALSE)</f>
        <v>yellow</v>
      </c>
      <c r="J269" s="14">
        <f ca="1">VLOOKUP(I269,[2]属性!$A:$E,2,FALSE)</f>
        <v>0.98</v>
      </c>
      <c r="K269" s="14">
        <f ca="1">VLOOKUP(I269,[2]属性!$A:$E,3,FALSE)</f>
        <v>1.01</v>
      </c>
      <c r="L269" s="14">
        <f ca="1">VLOOKUP(I269,[2]属性!$A:$E,4,FALSE)</f>
        <v>1</v>
      </c>
      <c r="M269" s="14">
        <f ca="1">VLOOKUP(I269,[2]属性!$A:$E,5,FALSE)</f>
        <v>1.01</v>
      </c>
      <c r="N269" s="14">
        <f ca="1">INDEX(コスト!$A$1:$I$20,MATCH(H269,コスト!$A$1:$A$20,FALSE),MATCH(G269,コスト!$A$1:$I$1,FALSE))</f>
        <v>6</v>
      </c>
      <c r="O269" s="14">
        <f ca="1">INDEX(レベル!$A$1:$I$21,MATCH(H269,レベル!$A$1:$A$21,FALSE),MATCH(G269,レベル!$A$1:$I$1,FALSE))</f>
        <v>40</v>
      </c>
      <c r="P269" s="63">
        <f t="shared" ca="1" si="35"/>
        <v>45</v>
      </c>
      <c r="Q269" s="77" t="str">
        <f ca="1">VLOOKUP($A269,OFFSET([2]characters!$A$1,0,0,COUNTA([2]characters!$A:$A),MATCH(Q$1,[2]characters!$1:$1,0)-MATCH($A$1,[2]characters!$1:$1,0)+1),MATCH(Q$1,[2]characters!$1:$1,0)-MATCH($A$1,[2]characters!$1:$1,0)+1,FALSE)</f>
        <v>technical</v>
      </c>
      <c r="R269" s="8" t="str">
        <f ca="1">VLOOKUP(Q269,[2]character_type_i18n!$A:$H,3,FALSE)</f>
        <v>テクニカルタイプ</v>
      </c>
      <c r="S269" s="14">
        <f ca="1">VLOOKUP(Q269,[2]character_type_i18n!$A:$H,4,FALSE)</f>
        <v>0.9</v>
      </c>
      <c r="T269" s="14">
        <f ca="1">VLOOKUP(Q269,[2]character_type_i18n!$A:$H,5,FALSE)</f>
        <v>0.9</v>
      </c>
      <c r="U269" s="14">
        <f ca="1">VLOOKUP(Q269,[2]character_type_i18n!$A:$H,6,FALSE)</f>
        <v>1</v>
      </c>
      <c r="V269" s="14">
        <f ca="1">VLOOKUP(Q269,[2]character_type_i18n!$A:$H,7,FALSE)</f>
        <v>0.9</v>
      </c>
      <c r="W269" s="77" t="str">
        <f ca="1">VLOOKUP($A269,OFFSET([2]characters!$A$1,0,0,COUNTA([2]characters!$A:$A),MATCH(W$1,[2]characters!$1:$1,0)-MATCH($A$1,[2]characters!$1:$1,0)+1),MATCH(W$1,[2]characters!$1:$1,0)-MATCH($A$1,[2]characters!$1:$1,0)+1,FALSE)</f>
        <v>animal</v>
      </c>
      <c r="X269" s="8" t="str">
        <f ca="1">VLOOKUP(W269,[2]character_tribe_i18n!$A:$H,3,FALSE)</f>
        <v>アニマル</v>
      </c>
      <c r="Y269" s="77" t="str">
        <f ca="1">VLOOKUP($A269,OFFSET([2]characters!$A$1,0,0,COUNTA([2]characters!$A:$A),MATCH(Y$1,[2]characters!$1:$1,0)-MATCH($A$1,[2]characters!$1:$1,0)+1),MATCH(Y$1,[2]characters!$1:$1,0)-MATCH($A$1,[2]characters!$1:$1,0)+1,FALSE)</f>
        <v>none</v>
      </c>
      <c r="Z269" s="8" t="str">
        <f ca="1">VLOOKUP(Y269,[2]character_tribe_i18n!$A:$H,3,FALSE)</f>
        <v>種族なし</v>
      </c>
      <c r="AA269" s="14">
        <f ca="1">VLOOKUP(W269,[2]character_tribe_i18n!$A:$H,4,FALSE)</f>
        <v>1</v>
      </c>
      <c r="AB269" s="14">
        <f ca="1">VLOOKUP(W269,[2]character_tribe_i18n!$A:$H,5,FALSE)</f>
        <v>1.1000000000000001</v>
      </c>
      <c r="AC269" s="14">
        <f ca="1">VLOOKUP(W269,[2]character_tribe_i18n!$A:$H,6,FALSE)</f>
        <v>1</v>
      </c>
      <c r="AD269" s="14">
        <f ca="1">VLOOKUP(W269,[2]character_tribe_i18n!$A:$H,7,FALSE)</f>
        <v>0.9</v>
      </c>
      <c r="AE269" s="12">
        <v>269</v>
      </c>
      <c r="AF269" s="85" t="str">
        <f ca="1">IF(AE269="NULL","",VLOOKUP($AE269,OFFSET([2]characters!$A$1,0,0,COUNTA([2]characters!$A:$A),MATCH(AF$1,[2]characters!$1:$1,0)-MATCH($A$1,[2]characters!$1:$1,0)+1),MATCH(AF$1,[2]characters!$1:$1,0)-MATCH($A$1,[2]characters!$1:$1,0)+1,FALSE))</f>
        <v>合雷獣 鵺</v>
      </c>
      <c r="AG269" s="8">
        <f t="shared" ca="1" si="30"/>
        <v>268</v>
      </c>
      <c r="AH269" s="85" t="str">
        <f ca="1">VLOOKUP($AG269,OFFSET([2]characters!$A$1,0,0,COUNTA([2]characters!$A:$A),MATCH(AH$1,[2]characters!$1:$1,0)-MATCH($A$1,[2]characters!$1:$1,0)+1),MATCH(AH$1,[2]characters!$1:$1,0)-MATCH($A$1,[2]characters!$1:$1,0)+1,FALSE)</f>
        <v>鵺</v>
      </c>
      <c r="AI269" s="14">
        <f ca="1">IF(AE269="NULL","NULL",VLOOKUP(G269,ビット!$A$2:$B$7,2))</f>
        <v>20000</v>
      </c>
      <c r="AJ269" s="9">
        <v>2</v>
      </c>
      <c r="AK269" s="10" t="str">
        <f t="shared" si="31"/>
        <v>普通</v>
      </c>
      <c r="AL269" s="14" t="str">
        <f ca="1">INDEX(経験値!$A$1:$I$20,MATCH(H269,経験値!$A$1:$A$20,FALSE),MATCH(G269,経験値!$A$1:$I$1,FALSE))</f>
        <v>required_exp_150</v>
      </c>
      <c r="AM269" s="11">
        <f ca="1">VLOOKUP(G269,経験値!$A$27:$B$31,2)</f>
        <v>1500</v>
      </c>
      <c r="AN269" s="21">
        <f ca="1">VLOOKUP(G269,ビット!$G$2:$H$7,2)</f>
        <v>300</v>
      </c>
      <c r="AO269" s="98" t="s">
        <v>187</v>
      </c>
      <c r="AP269" s="101">
        <v>514001</v>
      </c>
      <c r="AQ269" s="77" t="e">
        <f ca="1">VLOOKUP($AP269,OFFSET([1]unit_skills!$A$1,0,0,COUNTA([1]unit_skills!$A:$A),MATCH("name",[1]unit_skills!$1:$1,0)-MATCH($AP$1,[1]unit_skills!$1:$1,0)+1),MATCH("name",[1]unit_skills!$1:$1,0)-MATCH($AP$1,[1]unit_skills!$1:$1,0)+1,FALSE)</f>
        <v>#VALUE!</v>
      </c>
      <c r="AR269" s="77" t="e">
        <f ca="1">VLOOKUP($AP269,OFFSET([1]unit_skills!$A$1,0,0,COUNTA([1]unit_skills!$A:$A),MATCH("comment",[1]unit_skills!$1:$1,0)-MATCH($AP$1,[1]unit_skills!$1:$1,0)+1),MATCH("comment",[1]unit_skills!$1:$1,0)-MATCH($AP$1,[1]unit_skills!$1:$1,0)+1,FALSE)</f>
        <v>#VALUE!</v>
      </c>
      <c r="AS269" s="77" t="e">
        <f ca="1">VLOOKUP($AP269,OFFSET([1]unit_skills!$A$1,0,0,COUNTA([1]unit_skills!$A:$A),MATCH(AS$1,[1]unit_skills!$1:$1,0)-MATCH($AP$1,[1]unit_skills!$1:$1,0)+1),MATCH(AS$1,[1]unit_skills!$1:$1,0)-MATCH($AP$1,[1]unit_skills!$1:$1,0)+1,FALSE)</f>
        <v>#VALUE!</v>
      </c>
      <c r="AT269" s="97">
        <v>124003</v>
      </c>
      <c r="AU269" s="77" t="e">
        <f ca="1">VLOOKUP($AT269,OFFSET([1]crash_skills!$A$1,0,0,COUNTA([1]crash_skills!$A:$A),MATCH("name",[1]crash_skills!$1:$1,0)-MATCH($AT$1,[1]crash_skills!$1:$1,0)+1),MATCH("name",[1]crash_skills!$1:$1,0)-MATCH($AT$1,[1]crash_skills!$1:$1,0)+1,FALSE)</f>
        <v>#VALUE!</v>
      </c>
      <c r="AV269" s="77" t="e">
        <f ca="1">VLOOKUP($AT269,OFFSET([1]crash_skills!$A$1,0,0,COUNTA([1]crash_skills!$A:$A),MATCH("comment",[1]crash_skills!$1:$1,0)-MATCH($AT$1,[1]crash_skills!$1:$1,0)+1),MATCH("comment",[1]crash_skills!$1:$1,0)-MATCH($AT$1,[1]crash_skills!$1:$1,0)+1,FALSE)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69" s="77" t="e">
        <f ca="1">VLOOKUP($AT269,OFFSET([1]crash_skills!$A$1,0,0,COUNTA([1]crash_skills!$A:$A),MATCH(AW$1,[1]crash_skills!$1:$1,0)-MATCH($AT$1,[1]crash_skills!$1:$1,0)+1),MATCH(AW$1,[1]crash_skills!$1:$1,0)-MATCH($AT$1,[1]crash_skills!$1:$1,0)+1,FALSE)</f>
        <v>#VALUE!</v>
      </c>
      <c r="AX269" s="81">
        <f ca="1">VLOOKUP($A269,OFFSET([2]characters!$A$1,0,0,COUNTA([2]characters!$A:$A),MATCH(AX$1,[2]characters!$1:$1,0)-MATCH($A$1,[2]characters!$1:$1,0)+1),MATCH(AX$1,[2]characters!$1:$1,0)-MATCH($A$1,[2]characters!$1:$1,0)+1,FALSE)</f>
        <v>3</v>
      </c>
      <c r="AY269" s="19">
        <v>1</v>
      </c>
      <c r="AZ269" s="19">
        <v>1</v>
      </c>
      <c r="BA269" s="19">
        <v>0</v>
      </c>
      <c r="BB269" s="19">
        <v>1</v>
      </c>
      <c r="BC269" s="14">
        <f ca="1">INDEX('RC6SV'!$A$1:$G$20,MATCH(H269,'RC6SV'!$A$1:$A$20,FALSE),MATCH(G269,'RC6SV'!$A$1:$G$1,FALSE))</f>
        <v>4400</v>
      </c>
      <c r="BD269" s="63">
        <f t="shared" ca="1" si="32"/>
        <v>4400</v>
      </c>
      <c r="BE269" s="14">
        <f t="shared" ca="1" si="33"/>
        <v>0</v>
      </c>
      <c r="BF269" s="14">
        <f t="shared" ca="1" si="34"/>
        <v>1</v>
      </c>
      <c r="BG269" s="20">
        <f ca="1">IF($BE269&lt;=0,ROUND(BK269*0.5,0), ROUND($BE269*S269*AA269*J269*AY269*0.8*[2]ステータス!$B$2,0))</f>
        <v>970</v>
      </c>
      <c r="BH269" s="20">
        <f ca="1">IF($BE269&lt;=0,ROUND(BL269*0.5,0), ROUND($BE269*T269*AB269*K269*AZ269*0.8*[2]ステータス!$C$2,0))</f>
        <v>660</v>
      </c>
      <c r="BI269" s="20">
        <f ca="1">IF($BE269&lt;=0,ROUND(BM269*0.5,0), ROUND($BE269*U269*AC269*L269*BA269*0.8*[2]ステータス!$D$2,0))</f>
        <v>0</v>
      </c>
      <c r="BJ269" s="20">
        <f ca="1">IF($BE269&lt;=0,ROUND(BN269*0.5,0), ROUND($BE269*V269*AD269*M269*BB269*0.8*[2]ステータス!$E$2,0))</f>
        <v>450</v>
      </c>
      <c r="BK269" s="14">
        <f ca="1">ROUND(BD269*S269*AA269*J269*AY269*[2]ステータス!$B$2,0)</f>
        <v>1940</v>
      </c>
      <c r="BL269" s="14">
        <f ca="1">ROUND(BD269*T269*AB269*K269*AZ269*[2]ステータス!$C$2,0)</f>
        <v>1320</v>
      </c>
      <c r="BM269" s="14">
        <f ca="1">ROUND(BD269*U269*AC269*L269*BA269*[2]ステータス!$D$2,0)</f>
        <v>0</v>
      </c>
      <c r="BN269" s="14">
        <f ca="1">ROUND(BD269*V269*AD269*M269*BB269*[2]ステータス!$E$2,0)</f>
        <v>900</v>
      </c>
      <c r="BO269" s="13">
        <v>0</v>
      </c>
      <c r="BP269" s="13">
        <v>1</v>
      </c>
      <c r="BQ269" s="13" t="s">
        <v>102</v>
      </c>
      <c r="BR269" s="13">
        <f ca="1">VLOOKUP(H269,ghosts_label!$A$2:$B$19,2,FALSE)</f>
        <v>1</v>
      </c>
    </row>
    <row r="270" spans="1:70" ht="21" customHeight="1" x14ac:dyDescent="0.15">
      <c r="A270" s="14">
        <f t="shared" ca="1" si="29"/>
        <v>269</v>
      </c>
      <c r="B270" s="77" t="str">
        <f ca="1">VLOOKUP($A270,OFFSET([2]characters!$A$1,0,0,COUNTA([2]characters!$A:$A),MATCH(B$1,[2]characters!$1:$1,0)-MATCH($A$1,[2]characters!$1:$1,0)+1),MATCH(B$1,[2]characters!$1:$1,0)-MATCH($A$1,[2]characters!$1:$1,0)+1,FALSE)</f>
        <v>合雷獣 鵺</v>
      </c>
      <c r="C270" s="77" t="str">
        <f ca="1">VLOOKUP($A270,OFFSET([2]characters!$A$1,0,0,COUNTA([2]characters!$A:$A),MATCH(C$1,[2]characters!$1:$1,0)-MATCH($A$1,[2]characters!$1:$1,0)+1),MATCH(C$1,[2]characters!$1:$1,0)-MATCH($A$1,[2]characters!$1:$1,0)+1,FALSE)</f>
        <v>イベント:魔獣01</v>
      </c>
      <c r="D270" s="77" t="str">
        <f ca="1">VLOOKUP($A270,OFFSET([2]characters!$A$1,0,0,COUNTA([2]characters!$A:$A),MATCH(D$1,[2]characters!$1:$1,0)-MATCH($A$1,[2]characters!$1:$1,0)+1),MATCH(D$1,[2]characters!$1:$1,0)-MATCH($A$1,[2]characters!$1:$1,0)+1,FALSE)</f>
        <v>QoH</v>
      </c>
      <c r="E270" s="77" t="str">
        <f ca="1">VLOOKUP($A270,OFFSET([2]characters!$A$1,0,0,COUNTA([2]characters!$A:$A),MATCH(E$1,[2]characters!$1:$1,0)-MATCH($A$1,[2]characters!$1:$1,0)+1),MATCH(E$1,[2]characters!$1:$1,0)-MATCH($A$1,[2]characters!$1:$1,0)+1,FALSE)</f>
        <v>格好いい</v>
      </c>
      <c r="F270" s="77" t="str">
        <f ca="1">VLOOKUP($A270,OFFSET([2]characters!$A$1,0,0,COUNTA([2]characters!$A:$A),MATCH(F$1,[2]characters!$1:$1,0)-MATCH($A$1,[2]characters!$1:$1,0)+1),MATCH(F$1,[2]characters!$1:$1,0)-MATCH($A$1,[2]characters!$1:$1,0)+1,FALSE)</f>
        <v>男性</v>
      </c>
      <c r="G270" s="77">
        <f ca="1">VLOOKUP($A270,OFFSET([2]characters!$A$1,0,0,COUNTA([2]characters!$A:$A),MATCH(G$1,[2]characters!$1:$1,0)-MATCH($A$1,[2]characters!$1:$1,0)+1),MATCH(G$1,[2]characters!$1:$1,0)-MATCH($A$1,[2]characters!$1:$1,0)+1,FALSE)</f>
        <v>4</v>
      </c>
      <c r="H270" s="77" t="str">
        <f ca="1">VLOOKUP($A270,OFFSET([2]characters!$A$1,0,0,COUNTA([2]characters!$A:$A),MATCH(H$1,[2]characters!$1:$1,0)-MATCH($A$1,[2]characters!$1:$1,0)+1),MATCH(H$1,[2]characters!$1:$1,0)-MATCH($A$1,[2]characters!$1:$1,0)+1,FALSE)</f>
        <v>Drop2W</v>
      </c>
      <c r="I270" s="77" t="str">
        <f ca="1">VLOOKUP($A270,OFFSET([2]characters!$A$1,0,0,COUNTA([2]characters!$A:$A),MATCH(I$1,[2]characters!$1:$1,0)-MATCH($A$1,[2]characters!$1:$1,0)+1),MATCH(I$1,[2]characters!$1:$1,0)-MATCH($A$1,[2]characters!$1:$1,0)+1,FALSE)</f>
        <v>yellow</v>
      </c>
      <c r="J270" s="14">
        <f ca="1">VLOOKUP(I270,[2]属性!$A:$E,2,FALSE)</f>
        <v>0.98</v>
      </c>
      <c r="K270" s="14">
        <f ca="1">VLOOKUP(I270,[2]属性!$A:$E,3,FALSE)</f>
        <v>1.01</v>
      </c>
      <c r="L270" s="14">
        <f ca="1">VLOOKUP(I270,[2]属性!$A:$E,4,FALSE)</f>
        <v>1</v>
      </c>
      <c r="M270" s="14">
        <f ca="1">VLOOKUP(I270,[2]属性!$A:$E,5,FALSE)</f>
        <v>1.01</v>
      </c>
      <c r="N270" s="14">
        <f ca="1">INDEX(コスト!$A$1:$I$20,MATCH(H270,コスト!$A$1:$A$20,FALSE),MATCH(G270,コスト!$A$1:$I$1,FALSE))</f>
        <v>14</v>
      </c>
      <c r="O270" s="14">
        <f ca="1">INDEX(レベル!$A$1:$I$21,MATCH(H270,レベル!$A$1:$A$21,FALSE),MATCH(G270,レベル!$A$1:$I$1,FALSE))</f>
        <v>60</v>
      </c>
      <c r="P270" s="63">
        <f t="shared" ca="1" si="35"/>
        <v>60</v>
      </c>
      <c r="Q270" s="77" t="str">
        <f ca="1">VLOOKUP($A270,OFFSET([2]characters!$A$1,0,0,COUNTA([2]characters!$A:$A),MATCH(Q$1,[2]characters!$1:$1,0)-MATCH($A$1,[2]characters!$1:$1,0)+1),MATCH(Q$1,[2]characters!$1:$1,0)-MATCH($A$1,[2]characters!$1:$1,0)+1,FALSE)</f>
        <v>technical</v>
      </c>
      <c r="R270" s="8" t="str">
        <f ca="1">VLOOKUP(Q270,[2]character_type_i18n!$A:$H,3,FALSE)</f>
        <v>テクニカルタイプ</v>
      </c>
      <c r="S270" s="14">
        <f ca="1">VLOOKUP(Q270,[2]character_type_i18n!$A:$H,4,FALSE)</f>
        <v>0.9</v>
      </c>
      <c r="T270" s="14">
        <f ca="1">VLOOKUP(Q270,[2]character_type_i18n!$A:$H,5,FALSE)</f>
        <v>0.9</v>
      </c>
      <c r="U270" s="14">
        <f ca="1">VLOOKUP(Q270,[2]character_type_i18n!$A:$H,6,FALSE)</f>
        <v>1</v>
      </c>
      <c r="V270" s="14">
        <f ca="1">VLOOKUP(Q270,[2]character_type_i18n!$A:$H,7,FALSE)</f>
        <v>0.9</v>
      </c>
      <c r="W270" s="77" t="str">
        <f ca="1">VLOOKUP($A270,OFFSET([2]characters!$A$1,0,0,COUNTA([2]characters!$A:$A),MATCH(W$1,[2]characters!$1:$1,0)-MATCH($A$1,[2]characters!$1:$1,0)+1),MATCH(W$1,[2]characters!$1:$1,0)-MATCH($A$1,[2]characters!$1:$1,0)+1,FALSE)</f>
        <v>animal</v>
      </c>
      <c r="X270" s="8" t="str">
        <f ca="1">VLOOKUP(W270,[2]character_tribe_i18n!$A:$H,3,FALSE)</f>
        <v>アニマル</v>
      </c>
      <c r="Y270" s="77" t="str">
        <f ca="1">VLOOKUP($A270,OFFSET([2]characters!$A$1,0,0,COUNTA([2]characters!$A:$A),MATCH(Y$1,[2]characters!$1:$1,0)-MATCH($A$1,[2]characters!$1:$1,0)+1),MATCH(Y$1,[2]characters!$1:$1,0)-MATCH($A$1,[2]characters!$1:$1,0)+1,FALSE)</f>
        <v>none</v>
      </c>
      <c r="Z270" s="8" t="str">
        <f ca="1">VLOOKUP(Y270,[2]character_tribe_i18n!$A:$H,3,FALSE)</f>
        <v>種族なし</v>
      </c>
      <c r="AA270" s="14">
        <f ca="1">VLOOKUP(W270,[2]character_tribe_i18n!$A:$H,4,FALSE)</f>
        <v>1</v>
      </c>
      <c r="AB270" s="14">
        <f ca="1">VLOOKUP(W270,[2]character_tribe_i18n!$A:$H,5,FALSE)</f>
        <v>1.1000000000000001</v>
      </c>
      <c r="AC270" s="14">
        <f ca="1">VLOOKUP(W270,[2]character_tribe_i18n!$A:$H,6,FALSE)</f>
        <v>1</v>
      </c>
      <c r="AD270" s="14">
        <f ca="1">VLOOKUP(W270,[2]character_tribe_i18n!$A:$H,7,FALSE)</f>
        <v>0.9</v>
      </c>
      <c r="AE270" s="12" t="s">
        <v>102</v>
      </c>
      <c r="AF270" s="85" t="str">
        <f ca="1">IF(AE270="NULL","",VLOOKUP($AE270,OFFSET([2]characters!$A$1,0,0,COUNTA([2]characters!$A:$A),MATCH(AF$1,[2]characters!$1:$1,0)-MATCH($A$1,[2]characters!$1:$1,0)+1),MATCH(AF$1,[2]characters!$1:$1,0)-MATCH($A$1,[2]characters!$1:$1,0)+1,FALSE))</f>
        <v/>
      </c>
      <c r="AG270" s="8">
        <f t="shared" ca="1" si="30"/>
        <v>268</v>
      </c>
      <c r="AH270" s="85" t="str">
        <f ca="1">VLOOKUP($AG270,OFFSET([2]characters!$A$1,0,0,COUNTA([2]characters!$A:$A),MATCH(AH$1,[2]characters!$1:$1,0)-MATCH($A$1,[2]characters!$1:$1,0)+1),MATCH(AH$1,[2]characters!$1:$1,0)-MATCH($A$1,[2]characters!$1:$1,0)+1,FALSE)</f>
        <v>鵺</v>
      </c>
      <c r="AI270" s="14" t="str">
        <f>IF(AE270="NULL","NULL",VLOOKUP(G270,ビット!$A$2:$B$7,2))</f>
        <v>NULL</v>
      </c>
      <c r="AJ270" s="9">
        <v>2</v>
      </c>
      <c r="AK270" s="10" t="str">
        <f t="shared" si="31"/>
        <v>普通</v>
      </c>
      <c r="AL270" s="14" t="str">
        <f ca="1">INDEX(経験値!$A$1:$I$20,MATCH(H270,経験値!$A$1:$A$20,FALSE),MATCH(G270,経験値!$A$1:$I$1,FALSE))</f>
        <v>required_exp_150</v>
      </c>
      <c r="AM270" s="11">
        <f ca="1">VLOOKUP(G270,経験値!$A$27:$B$31,2)</f>
        <v>3400</v>
      </c>
      <c r="AN270" s="21">
        <f ca="1">VLOOKUP(G270,ビット!$G$2:$H$7,2)</f>
        <v>600</v>
      </c>
      <c r="AO270" s="98" t="s">
        <v>187</v>
      </c>
      <c r="AP270" s="101">
        <v>514001</v>
      </c>
      <c r="AQ270" s="77" t="e">
        <f ca="1">VLOOKUP($AP270,OFFSET([1]unit_skills!$A$1,0,0,COUNTA([1]unit_skills!$A:$A),MATCH("name",[1]unit_skills!$1:$1,0)-MATCH($AP$1,[1]unit_skills!$1:$1,0)+1),MATCH("name",[1]unit_skills!$1:$1,0)-MATCH($AP$1,[1]unit_skills!$1:$1,0)+1,FALSE)</f>
        <v>#VALUE!</v>
      </c>
      <c r="AR270" s="77" t="e">
        <f ca="1">VLOOKUP($AP270,OFFSET([1]unit_skills!$A$1,0,0,COUNTA([1]unit_skills!$A:$A),MATCH("comment",[1]unit_skills!$1:$1,0)-MATCH($AP$1,[1]unit_skills!$1:$1,0)+1),MATCH("comment",[1]unit_skills!$1:$1,0)-MATCH($AP$1,[1]unit_skills!$1:$1,0)+1,FALSE)</f>
        <v>#VALUE!</v>
      </c>
      <c r="AS270" s="77" t="e">
        <f ca="1">VLOOKUP($AP270,OFFSET([1]unit_skills!$A$1,0,0,COUNTA([1]unit_skills!$A:$A),MATCH(AS$1,[1]unit_skills!$1:$1,0)-MATCH($AP$1,[1]unit_skills!$1:$1,0)+1),MATCH(AS$1,[1]unit_skills!$1:$1,0)-MATCH($AP$1,[1]unit_skills!$1:$1,0)+1,FALSE)</f>
        <v>#VALUE!</v>
      </c>
      <c r="AT270" s="97">
        <v>124010</v>
      </c>
      <c r="AU270" s="77" t="e">
        <f ca="1">VLOOKUP($AT270,OFFSET([1]crash_skills!$A$1,0,0,COUNTA([1]crash_skills!$A:$A),MATCH("name",[1]crash_skills!$1:$1,0)-MATCH($AT$1,[1]crash_skills!$1:$1,0)+1),MATCH("name",[1]crash_skills!$1:$1,0)-MATCH($AT$1,[1]crash_skills!$1:$1,0)+1,FALSE)</f>
        <v>#VALUE!</v>
      </c>
      <c r="AV270" s="77" t="e">
        <f ca="1">VLOOKUP($AT270,OFFSET([1]crash_skills!$A$1,0,0,COUNTA([1]crash_skills!$A:$A),MATCH("comment",[1]crash_skills!$1:$1,0)-MATCH($AT$1,[1]crash_skills!$1:$1,0)+1),MATCH("comment",[1]crash_skills!$1:$1,0)-MATCH($AT$1,[1]crash_skills!$1:$1,0)+1,FALSE)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70" s="77" t="e">
        <f ca="1">VLOOKUP($AT270,OFFSET([1]crash_skills!$A$1,0,0,COUNTA([1]crash_skills!$A:$A),MATCH(AW$1,[1]crash_skills!$1:$1,0)-MATCH($AT$1,[1]crash_skills!$1:$1,0)+1),MATCH(AW$1,[1]crash_skills!$1:$1,0)-MATCH($AT$1,[1]crash_skills!$1:$1,0)+1,FALSE)</f>
        <v>#VALUE!</v>
      </c>
      <c r="AX270" s="81">
        <f ca="1">VLOOKUP($A270,OFFSET([2]characters!$A$1,0,0,COUNTA([2]characters!$A:$A),MATCH(AX$1,[2]characters!$1:$1,0)-MATCH($A$1,[2]characters!$1:$1,0)+1),MATCH(AX$1,[2]characters!$1:$1,0)-MATCH($A$1,[2]characters!$1:$1,0)+1,FALSE)</f>
        <v>3</v>
      </c>
      <c r="AY270" s="19">
        <v>1</v>
      </c>
      <c r="AZ270" s="19">
        <v>1</v>
      </c>
      <c r="BA270" s="19">
        <v>0</v>
      </c>
      <c r="BB270" s="19">
        <v>1</v>
      </c>
      <c r="BC270" s="14">
        <f ca="1">INDEX('RC6SV'!$A$1:$G$20,MATCH(H270,'RC6SV'!$A$1:$A$20,FALSE),MATCH(G270,'RC6SV'!$A$1:$G$1,FALSE))</f>
        <v>5600</v>
      </c>
      <c r="BD270" s="63">
        <f t="shared" ca="1" si="32"/>
        <v>5600</v>
      </c>
      <c r="BE270" s="14">
        <f t="shared" ca="1" si="33"/>
        <v>4400</v>
      </c>
      <c r="BF270" s="14">
        <f t="shared" ca="1" si="34"/>
        <v>1</v>
      </c>
      <c r="BG270" s="20">
        <f ca="1">IF($BE270&lt;=0,ROUND(BK270*0.5,0), ROUND($BE270*S270*AA270*J270*AY270*0.8*[2]ステータス!$B$2,0))</f>
        <v>1552</v>
      </c>
      <c r="BH270" s="20">
        <f ca="1">IF($BE270&lt;=0,ROUND(BL270*0.5,0), ROUND($BE270*T270*AB270*K270*AZ270*0.8*[2]ステータス!$C$2,0))</f>
        <v>1056</v>
      </c>
      <c r="BI270" s="20">
        <f ca="1">IF($BE270&lt;=0,ROUND(BM270*0.5,0), ROUND($BE270*U270*AC270*L270*BA270*0.8*[2]ステータス!$D$2,0))</f>
        <v>0</v>
      </c>
      <c r="BJ270" s="20">
        <f ca="1">IF($BE270&lt;=0,ROUND(BN270*0.5,0), ROUND($BE270*V270*AD270*M270*BB270*0.8*[2]ステータス!$E$2,0))</f>
        <v>720</v>
      </c>
      <c r="BK270" s="14">
        <f ca="1">ROUND(BD270*S270*AA270*J270*AY270*[2]ステータス!$B$2,0)</f>
        <v>2470</v>
      </c>
      <c r="BL270" s="14">
        <f ca="1">ROUND(BD270*T270*AB270*K270*AZ270*[2]ステータス!$C$2,0)</f>
        <v>1680</v>
      </c>
      <c r="BM270" s="14">
        <f ca="1">ROUND(BD270*U270*AC270*L270*BA270*[2]ステータス!$D$2,0)</f>
        <v>0</v>
      </c>
      <c r="BN270" s="14">
        <f ca="1">ROUND(BD270*V270*AD270*M270*BB270*[2]ステータス!$E$2,0)</f>
        <v>1145</v>
      </c>
      <c r="BO270" s="13">
        <v>0</v>
      </c>
      <c r="BP270" s="13">
        <v>1</v>
      </c>
      <c r="BQ270" s="13" t="s">
        <v>102</v>
      </c>
      <c r="BR270" s="13">
        <f ca="1">VLOOKUP(H270,ghosts_label!$A$2:$B$19,2,FALSE)</f>
        <v>1</v>
      </c>
    </row>
    <row r="271" spans="1:70" ht="21" customHeight="1" x14ac:dyDescent="0.15">
      <c r="A271" s="14">
        <f t="shared" ca="1" si="29"/>
        <v>270</v>
      </c>
      <c r="B271" s="77" t="str">
        <f ca="1">VLOOKUP($A271,OFFSET([2]characters!$A$1,0,0,COUNTA([2]characters!$A:$A),MATCH(B$1,[2]characters!$1:$1,0)-MATCH($A$1,[2]characters!$1:$1,0)+1),MATCH(B$1,[2]characters!$1:$1,0)-MATCH($A$1,[2]characters!$1:$1,0)+1,FALSE)</f>
        <v>風爪のミリー</v>
      </c>
      <c r="C271" s="77" t="str">
        <f ca="1">VLOOKUP($A271,OFFSET([2]characters!$A$1,0,0,COUNTA([2]characters!$A:$A),MATCH(C$1,[2]characters!$1:$1,0)-MATCH($A$1,[2]characters!$1:$1,0)+1),MATCH(C$1,[2]characters!$1:$1,0)-MATCH($A$1,[2]characters!$1:$1,0)+1,FALSE)</f>
        <v>イベント:暴走するアバター01</v>
      </c>
      <c r="D271" s="77" t="str">
        <f ca="1">VLOOKUP($A271,OFFSET([2]characters!$A$1,0,0,COUNTA([2]characters!$A:$A),MATCH(D$1,[2]characters!$1:$1,0)-MATCH($A$1,[2]characters!$1:$1,0)+1),MATCH(D$1,[2]characters!$1:$1,0)-MATCH($A$1,[2]characters!$1:$1,0)+1,FALSE)</f>
        <v>探索者</v>
      </c>
      <c r="E271" s="77" t="str">
        <f ca="1">VLOOKUP($A271,OFFSET([2]characters!$A$1,0,0,COUNTA([2]characters!$A:$A),MATCH(E$1,[2]characters!$1:$1,0)-MATCH($A$1,[2]characters!$1:$1,0)+1),MATCH(E$1,[2]characters!$1:$1,0)-MATCH($A$1,[2]characters!$1:$1,0)+1,FALSE)</f>
        <v>美しい</v>
      </c>
      <c r="F271" s="77" t="str">
        <f ca="1">VLOOKUP($A271,OFFSET([2]characters!$A$1,0,0,COUNTA([2]characters!$A:$A),MATCH(F$1,[2]characters!$1:$1,0)-MATCH($A$1,[2]characters!$1:$1,0)+1),MATCH(F$1,[2]characters!$1:$1,0)-MATCH($A$1,[2]characters!$1:$1,0)+1,FALSE)</f>
        <v>女性</v>
      </c>
      <c r="G271" s="77">
        <f ca="1">VLOOKUP($A271,OFFSET([2]characters!$A$1,0,0,COUNTA([2]characters!$A:$A),MATCH(G$1,[2]characters!$1:$1,0)-MATCH($A$1,[2]characters!$1:$1,0)+1),MATCH(G$1,[2]characters!$1:$1,0)-MATCH($A$1,[2]characters!$1:$1,0)+1,FALSE)</f>
        <v>4</v>
      </c>
      <c r="H271" s="77" t="str">
        <f ca="1">VLOOKUP($A271,OFFSET([2]characters!$A$1,0,0,COUNTA([2]characters!$A:$A),MATCH(H$1,[2]characters!$1:$1,0)-MATCH($A$1,[2]characters!$1:$1,0)+1),MATCH(H$1,[2]characters!$1:$1,0)-MATCH($A$1,[2]characters!$1:$1,0)+1,FALSE)</f>
        <v>Drop2N</v>
      </c>
      <c r="I271" s="77" t="str">
        <f ca="1">VLOOKUP($A271,OFFSET([2]characters!$A$1,0,0,COUNTA([2]characters!$A:$A),MATCH(I$1,[2]characters!$1:$1,0)-MATCH($A$1,[2]characters!$1:$1,0)+1),MATCH(I$1,[2]characters!$1:$1,0)-MATCH($A$1,[2]characters!$1:$1,0)+1,FALSE)</f>
        <v>green</v>
      </c>
      <c r="J271" s="14">
        <f ca="1">VLOOKUP(I271,[2]属性!$A:$E,2,FALSE)</f>
        <v>1.02</v>
      </c>
      <c r="K271" s="14">
        <f ca="1">VLOOKUP(I271,[2]属性!$A:$E,3,FALSE)</f>
        <v>0.98</v>
      </c>
      <c r="L271" s="14">
        <f ca="1">VLOOKUP(I271,[2]属性!$A:$E,4,FALSE)</f>
        <v>1</v>
      </c>
      <c r="M271" s="14">
        <f ca="1">VLOOKUP(I271,[2]属性!$A:$E,5,FALSE)</f>
        <v>1</v>
      </c>
      <c r="N271" s="14">
        <f ca="1">INDEX(コスト!$A$1:$I$20,MATCH(H271,コスト!$A$1:$A$20,FALSE),MATCH(G271,コスト!$A$1:$I$1,FALSE))</f>
        <v>17</v>
      </c>
      <c r="O271" s="14">
        <f ca="1">INDEX(レベル!$A$1:$I$21,MATCH(H271,レベル!$A$1:$A$21,FALSE),MATCH(G271,レベル!$A$1:$I$1,FALSE))</f>
        <v>60</v>
      </c>
      <c r="P271" s="63">
        <f t="shared" ca="1" si="35"/>
        <v>60</v>
      </c>
      <c r="Q271" s="77" t="str">
        <f ca="1">VLOOKUP($A271,OFFSET([2]characters!$A$1,0,0,COUNTA([2]characters!$A:$A),MATCH(Q$1,[2]characters!$1:$1,0)-MATCH($A$1,[2]characters!$1:$1,0)+1),MATCH(Q$1,[2]characters!$1:$1,0)-MATCH($A$1,[2]characters!$1:$1,0)+1,FALSE)</f>
        <v>attack</v>
      </c>
      <c r="R271" s="8" t="str">
        <f ca="1">VLOOKUP(Q271,[2]character_type_i18n!$A:$H,3,FALSE)</f>
        <v>攻撃タイプ</v>
      </c>
      <c r="S271" s="14">
        <f ca="1">VLOOKUP(Q271,[2]character_type_i18n!$A:$H,4,FALSE)</f>
        <v>1</v>
      </c>
      <c r="T271" s="14">
        <f ca="1">VLOOKUP(Q271,[2]character_type_i18n!$A:$H,5,FALSE)</f>
        <v>1.33</v>
      </c>
      <c r="U271" s="14">
        <f ca="1">VLOOKUP(Q271,[2]character_type_i18n!$A:$H,6,FALSE)</f>
        <v>1</v>
      </c>
      <c r="V271" s="14">
        <f ca="1">VLOOKUP(Q271,[2]character_type_i18n!$A:$H,7,FALSE)</f>
        <v>0.67</v>
      </c>
      <c r="W271" s="77" t="str">
        <f ca="1">VLOOKUP($A271,OFFSET([2]characters!$A$1,0,0,COUNTA([2]characters!$A:$A),MATCH(W$1,[2]characters!$1:$1,0)-MATCH($A$1,[2]characters!$1:$1,0)+1),MATCH(W$1,[2]characters!$1:$1,0)-MATCH($A$1,[2]characters!$1:$1,0)+1,FALSE)</f>
        <v>human</v>
      </c>
      <c r="X271" s="8" t="str">
        <f ca="1">VLOOKUP(W271,[2]character_tribe_i18n!$A:$H,3,FALSE)</f>
        <v>ヒューマン</v>
      </c>
      <c r="Y271" s="77" t="str">
        <f ca="1">VLOOKUP($A271,OFFSET([2]characters!$A$1,0,0,COUNTA([2]characters!$A:$A),MATCH(Y$1,[2]characters!$1:$1,0)-MATCH($A$1,[2]characters!$1:$1,0)+1),MATCH(Y$1,[2]characters!$1:$1,0)-MATCH($A$1,[2]characters!$1:$1,0)+1,FALSE)</f>
        <v>animal</v>
      </c>
      <c r="Z271" s="8" t="str">
        <f ca="1">VLOOKUP(Y271,[2]character_tribe_i18n!$A:$H,3,FALSE)</f>
        <v>アニマル</v>
      </c>
      <c r="AA271" s="14">
        <f ca="1">VLOOKUP(W271,[2]character_tribe_i18n!$A:$H,4,FALSE)</f>
        <v>0.94</v>
      </c>
      <c r="AB271" s="14">
        <f ca="1">VLOOKUP(W271,[2]character_tribe_i18n!$A:$H,5,FALSE)</f>
        <v>0.99</v>
      </c>
      <c r="AC271" s="14">
        <f ca="1">VLOOKUP(W271,[2]character_tribe_i18n!$A:$H,6,FALSE)</f>
        <v>1</v>
      </c>
      <c r="AD271" s="14">
        <f ca="1">VLOOKUP(W271,[2]character_tribe_i18n!$A:$H,7,FALSE)</f>
        <v>1.07</v>
      </c>
      <c r="AE271" s="12">
        <v>271</v>
      </c>
      <c r="AF271" s="85" t="str">
        <f ca="1">IF(AE271="NULL","",VLOOKUP($AE271,OFFSET([2]characters!$A$1,0,0,COUNTA([2]characters!$A:$A),MATCH(AF$1,[2]characters!$1:$1,0)-MATCH($A$1,[2]characters!$1:$1,0)+1),MATCH(AF$1,[2]characters!$1:$1,0)-MATCH($A$1,[2]characters!$1:$1,0)+1,FALSE))</f>
        <v>疾風五花 ミリー</v>
      </c>
      <c r="AG271" s="8">
        <f t="shared" ca="1" si="30"/>
        <v>270</v>
      </c>
      <c r="AH271" s="85" t="str">
        <f ca="1">VLOOKUP($AG271,OFFSET([2]characters!$A$1,0,0,COUNTA([2]characters!$A:$A),MATCH(AH$1,[2]characters!$1:$1,0)-MATCH($A$1,[2]characters!$1:$1,0)+1),MATCH(AH$1,[2]characters!$1:$1,0)-MATCH($A$1,[2]characters!$1:$1,0)+1,FALSE)</f>
        <v>風爪のミリー</v>
      </c>
      <c r="AI271" s="14">
        <f ca="1">IF(AE271="NULL","NULL",VLOOKUP(G271,ビット!$A$2:$B$7,2))</f>
        <v>50000</v>
      </c>
      <c r="AJ271" s="9">
        <v>2</v>
      </c>
      <c r="AK271" s="10" t="str">
        <f t="shared" si="31"/>
        <v>普通</v>
      </c>
      <c r="AL271" s="14" t="str">
        <f ca="1">INDEX(経験値!$A$1:$I$20,MATCH(H271,経験値!$A$1:$A$20,FALSE),MATCH(G271,経験値!$A$1:$I$1,FALSE))</f>
        <v>required_exp_200</v>
      </c>
      <c r="AM271" s="11">
        <f ca="1">VLOOKUP(G271,経験値!$A$27:$B$31,2)</f>
        <v>3400</v>
      </c>
      <c r="AN271" s="21">
        <f ca="1">VLOOKUP(G271,ビット!$G$2:$H$7,2)</f>
        <v>600</v>
      </c>
      <c r="AO271" s="98" t="s">
        <v>178</v>
      </c>
      <c r="AP271" s="97">
        <v>322003</v>
      </c>
      <c r="AQ271" s="77" t="e">
        <f ca="1">VLOOKUP($AP271,OFFSET([1]unit_skills!$A$1,0,0,COUNTA([1]unit_skills!$A:$A),MATCH("name",[1]unit_skills!$1:$1,0)-MATCH($AP$1,[1]unit_skills!$1:$1,0)+1),MATCH("name",[1]unit_skills!$1:$1,0)-MATCH($AP$1,[1]unit_skills!$1:$1,0)+1,FALSE)</f>
        <v>#VALUE!</v>
      </c>
      <c r="AR271" s="77" t="e">
        <f ca="1">VLOOKUP($AP271,OFFSET([1]unit_skills!$A$1,0,0,COUNTA([1]unit_skills!$A:$A),MATCH("comment",[1]unit_skills!$1:$1,0)-MATCH($AP$1,[1]unit_skills!$1:$1,0)+1),MATCH("comment",[1]unit_skills!$1:$1,0)-MATCH($AP$1,[1]unit_skills!$1:$1,0)+1,FALSE)</f>
        <v>#VALUE!</v>
      </c>
      <c r="AS271" s="77" t="e">
        <f ca="1">VLOOKUP($AP271,OFFSET([1]unit_skills!$A$1,0,0,COUNTA([1]unit_skills!$A:$A),MATCH(AS$1,[1]unit_skills!$1:$1,0)-MATCH($AP$1,[1]unit_skills!$1:$1,0)+1),MATCH(AS$1,[1]unit_skills!$1:$1,0)-MATCH($AP$1,[1]unit_skills!$1:$1,0)+1,FALSE)</f>
        <v>#VALUE!</v>
      </c>
      <c r="AT271" s="97">
        <v>122003</v>
      </c>
      <c r="AU271" s="77" t="e">
        <f ca="1">VLOOKUP($AT271,OFFSET([1]crash_skills!$A$1,0,0,COUNTA([1]crash_skills!$A:$A),MATCH("name",[1]crash_skills!$1:$1,0)-MATCH($AT$1,[1]crash_skills!$1:$1,0)+1),MATCH("name",[1]crash_skills!$1:$1,0)-MATCH($AT$1,[1]crash_skills!$1:$1,0)+1,FALSE)</f>
        <v>#VALUE!</v>
      </c>
      <c r="AV271" s="77" t="e">
        <f ca="1">VLOOKUP($AT271,OFFSET([1]crash_skills!$A$1,0,0,COUNTA([1]crash_skills!$A:$A),MATCH("comment",[1]crash_skills!$1:$1,0)-MATCH($AT$1,[1]crash_skills!$1:$1,0)+1),MATCH("comment",[1]crash_skills!$1:$1,0)-MATCH($AT$1,[1]crash_skills!$1:$1,0)+1,FALSE)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71" s="77" t="e">
        <f ca="1">VLOOKUP($AT271,OFFSET([1]crash_skills!$A$1,0,0,COUNTA([1]crash_skills!$A:$A),MATCH(AW$1,[1]crash_skills!$1:$1,0)-MATCH($AT$1,[1]crash_skills!$1:$1,0)+1),MATCH(AW$1,[1]crash_skills!$1:$1,0)-MATCH($AT$1,[1]crash_skills!$1:$1,0)+1,FALSE)</f>
        <v>#VALUE!</v>
      </c>
      <c r="AX271" s="81">
        <f ca="1">VLOOKUP($A271,OFFSET([2]characters!$A$1,0,0,COUNTA([2]characters!$A:$A),MATCH(AX$1,[2]characters!$1:$1,0)-MATCH($A$1,[2]characters!$1:$1,0)+1),MATCH(AX$1,[2]characters!$1:$1,0)-MATCH($A$1,[2]characters!$1:$1,0)+1,FALSE)</f>
        <v>3</v>
      </c>
      <c r="AY271" s="19">
        <v>1</v>
      </c>
      <c r="AZ271" s="19">
        <v>1</v>
      </c>
      <c r="BA271" s="19">
        <v>0</v>
      </c>
      <c r="BB271" s="19">
        <v>1</v>
      </c>
      <c r="BC271" s="14">
        <f ca="1">INDEX('RC6SV'!$A$1:$G$20,MATCH(H271,'RC6SV'!$A$1:$A$20,FALSE),MATCH(G271,'RC6SV'!$A$1:$G$1,FALSE))</f>
        <v>5800</v>
      </c>
      <c r="BD271" s="63">
        <f t="shared" ca="1" si="32"/>
        <v>5800</v>
      </c>
      <c r="BE271" s="14">
        <f t="shared" ca="1" si="33"/>
        <v>0</v>
      </c>
      <c r="BF271" s="14">
        <f t="shared" ca="1" si="34"/>
        <v>1</v>
      </c>
      <c r="BG271" s="20">
        <f ca="1">IF($BE271&lt;=0,ROUND(BK271*0.5,0), ROUND($BE271*S271*AA271*J271*AY271*0.8*[2]ステータス!$B$2,0))</f>
        <v>1391</v>
      </c>
      <c r="BH271" s="20">
        <f ca="1">IF($BE271&lt;=0,ROUND(BL271*0.5,0), ROUND($BE271*T271*AB271*K271*AZ271*0.8*[2]ステータス!$C$2,0))</f>
        <v>1123</v>
      </c>
      <c r="BI271" s="20">
        <f ca="1">IF($BE271&lt;=0,ROUND(BM271*0.5,0), ROUND($BE271*U271*AC271*L271*BA271*0.8*[2]ステータス!$D$2,0))</f>
        <v>0</v>
      </c>
      <c r="BJ271" s="20">
        <f ca="1">IF($BE271&lt;=0,ROUND(BN271*0.5,0), ROUND($BE271*V271*AD271*M271*BB271*0.8*[2]ステータス!$E$2,0))</f>
        <v>520</v>
      </c>
      <c r="BK271" s="14">
        <f ca="1">ROUND(BD271*S271*AA271*J271*AY271*[2]ステータス!$B$2,0)</f>
        <v>2781</v>
      </c>
      <c r="BL271" s="14">
        <f ca="1">ROUND(BD271*T271*AB271*K271*AZ271*[2]ステータス!$C$2,0)</f>
        <v>2245</v>
      </c>
      <c r="BM271" s="14">
        <f ca="1">ROUND(BD271*U271*AC271*L271*BA271*[2]ステータス!$D$2,0)</f>
        <v>0</v>
      </c>
      <c r="BN271" s="14">
        <f ca="1">ROUND(BD271*V271*AD271*M271*BB271*[2]ステータス!$E$2,0)</f>
        <v>1040</v>
      </c>
      <c r="BO271" s="13">
        <v>0</v>
      </c>
      <c r="BP271" s="13">
        <v>1</v>
      </c>
      <c r="BQ271" s="13" t="s">
        <v>102</v>
      </c>
      <c r="BR271" s="13">
        <f ca="1">VLOOKUP(H271,ghosts_label!$A$2:$B$19,2,FALSE)</f>
        <v>1</v>
      </c>
    </row>
    <row r="272" spans="1:70" ht="21" customHeight="1" x14ac:dyDescent="0.15">
      <c r="A272" s="14">
        <f t="shared" ca="1" si="29"/>
        <v>271</v>
      </c>
      <c r="B272" s="77" t="str">
        <f ca="1">VLOOKUP($A272,OFFSET([2]characters!$A$1,0,0,COUNTA([2]characters!$A:$A),MATCH(B$1,[2]characters!$1:$1,0)-MATCH($A$1,[2]characters!$1:$1,0)+1),MATCH(B$1,[2]characters!$1:$1,0)-MATCH($A$1,[2]characters!$1:$1,0)+1,FALSE)</f>
        <v>疾風五花 ミリー</v>
      </c>
      <c r="C272" s="77" t="str">
        <f ca="1">VLOOKUP($A272,OFFSET([2]characters!$A$1,0,0,COUNTA([2]characters!$A:$A),MATCH(C$1,[2]characters!$1:$1,0)-MATCH($A$1,[2]characters!$1:$1,0)+1),MATCH(C$1,[2]characters!$1:$1,0)-MATCH($A$1,[2]characters!$1:$1,0)+1,FALSE)</f>
        <v>イベント:暴走するアバター01</v>
      </c>
      <c r="D272" s="77" t="str">
        <f ca="1">VLOOKUP($A272,OFFSET([2]characters!$A$1,0,0,COUNTA([2]characters!$A:$A),MATCH(D$1,[2]characters!$1:$1,0)-MATCH($A$1,[2]characters!$1:$1,0)+1),MATCH(D$1,[2]characters!$1:$1,0)-MATCH($A$1,[2]characters!$1:$1,0)+1,FALSE)</f>
        <v>探索者</v>
      </c>
      <c r="E272" s="77" t="str">
        <f ca="1">VLOOKUP($A272,OFFSET([2]characters!$A$1,0,0,COUNTA([2]characters!$A:$A),MATCH(E$1,[2]characters!$1:$1,0)-MATCH($A$1,[2]characters!$1:$1,0)+1),MATCH(E$1,[2]characters!$1:$1,0)-MATCH($A$1,[2]characters!$1:$1,0)+1,FALSE)</f>
        <v>美しい</v>
      </c>
      <c r="F272" s="77" t="str">
        <f ca="1">VLOOKUP($A272,OFFSET([2]characters!$A$1,0,0,COUNTA([2]characters!$A:$A),MATCH(F$1,[2]characters!$1:$1,0)-MATCH($A$1,[2]characters!$1:$1,0)+1),MATCH(F$1,[2]characters!$1:$1,0)-MATCH($A$1,[2]characters!$1:$1,0)+1,FALSE)</f>
        <v>女性</v>
      </c>
      <c r="G272" s="77">
        <f ca="1">VLOOKUP($A272,OFFSET([2]characters!$A$1,0,0,COUNTA([2]characters!$A:$A),MATCH(G$1,[2]characters!$1:$1,0)-MATCH($A$1,[2]characters!$1:$1,0)+1),MATCH(G$1,[2]characters!$1:$1,0)-MATCH($A$1,[2]characters!$1:$1,0)+1,FALSE)</f>
        <v>5</v>
      </c>
      <c r="H272" s="77" t="str">
        <f ca="1">VLOOKUP($A272,OFFSET([2]characters!$A$1,0,0,COUNTA([2]characters!$A:$A),MATCH(H$1,[2]characters!$1:$1,0)-MATCH($A$1,[2]characters!$1:$1,0)+1),MATCH(H$1,[2]characters!$1:$1,0)-MATCH($A$1,[2]characters!$1:$1,0)+1,FALSE)</f>
        <v>Drop2N</v>
      </c>
      <c r="I272" s="77" t="str">
        <f ca="1">VLOOKUP($A272,OFFSET([2]characters!$A$1,0,0,COUNTA([2]characters!$A:$A),MATCH(I$1,[2]characters!$1:$1,0)-MATCH($A$1,[2]characters!$1:$1,0)+1),MATCH(I$1,[2]characters!$1:$1,0)-MATCH($A$1,[2]characters!$1:$1,0)+1,FALSE)</f>
        <v>green</v>
      </c>
      <c r="J272" s="14">
        <f ca="1">VLOOKUP(I272,[2]属性!$A:$E,2,FALSE)</f>
        <v>1.02</v>
      </c>
      <c r="K272" s="14">
        <f ca="1">VLOOKUP(I272,[2]属性!$A:$E,3,FALSE)</f>
        <v>0.98</v>
      </c>
      <c r="L272" s="14">
        <f ca="1">VLOOKUP(I272,[2]属性!$A:$E,4,FALSE)</f>
        <v>1</v>
      </c>
      <c r="M272" s="14">
        <f ca="1">VLOOKUP(I272,[2]属性!$A:$E,5,FALSE)</f>
        <v>1</v>
      </c>
      <c r="N272" s="14">
        <f ca="1">INDEX(コスト!$A$1:$I$20,MATCH(H272,コスト!$A$1:$A$20,FALSE),MATCH(G272,コスト!$A$1:$I$1,FALSE))</f>
        <v>26</v>
      </c>
      <c r="O272" s="14">
        <f ca="1">INDEX(レベル!$A$1:$I$21,MATCH(H272,レベル!$A$1:$A$21,FALSE),MATCH(G272,レベル!$A$1:$I$1,FALSE))</f>
        <v>80</v>
      </c>
      <c r="P272" s="63">
        <f t="shared" ca="1" si="35"/>
        <v>75</v>
      </c>
      <c r="Q272" s="77" t="str">
        <f ca="1">VLOOKUP($A272,OFFSET([2]characters!$A$1,0,0,COUNTA([2]characters!$A:$A),MATCH(Q$1,[2]characters!$1:$1,0)-MATCH($A$1,[2]characters!$1:$1,0)+1),MATCH(Q$1,[2]characters!$1:$1,0)-MATCH($A$1,[2]characters!$1:$1,0)+1,FALSE)</f>
        <v>attack</v>
      </c>
      <c r="R272" s="8" t="str">
        <f ca="1">VLOOKUP(Q272,[2]character_type_i18n!$A:$H,3,FALSE)</f>
        <v>攻撃タイプ</v>
      </c>
      <c r="S272" s="14">
        <f ca="1">VLOOKUP(Q272,[2]character_type_i18n!$A:$H,4,FALSE)</f>
        <v>1</v>
      </c>
      <c r="T272" s="14">
        <f ca="1">VLOOKUP(Q272,[2]character_type_i18n!$A:$H,5,FALSE)</f>
        <v>1.33</v>
      </c>
      <c r="U272" s="14">
        <f ca="1">VLOOKUP(Q272,[2]character_type_i18n!$A:$H,6,FALSE)</f>
        <v>1</v>
      </c>
      <c r="V272" s="14">
        <f ca="1">VLOOKUP(Q272,[2]character_type_i18n!$A:$H,7,FALSE)</f>
        <v>0.67</v>
      </c>
      <c r="W272" s="77" t="str">
        <f ca="1">VLOOKUP($A272,OFFSET([2]characters!$A$1,0,0,COUNTA([2]characters!$A:$A),MATCH(W$1,[2]characters!$1:$1,0)-MATCH($A$1,[2]characters!$1:$1,0)+1),MATCH(W$1,[2]characters!$1:$1,0)-MATCH($A$1,[2]characters!$1:$1,0)+1,FALSE)</f>
        <v>human</v>
      </c>
      <c r="X272" s="8" t="str">
        <f ca="1">VLOOKUP(W272,[2]character_tribe_i18n!$A:$H,3,FALSE)</f>
        <v>ヒューマン</v>
      </c>
      <c r="Y272" s="77" t="str">
        <f ca="1">VLOOKUP($A272,OFFSET([2]characters!$A$1,0,0,COUNTA([2]characters!$A:$A),MATCH(Y$1,[2]characters!$1:$1,0)-MATCH($A$1,[2]characters!$1:$1,0)+1),MATCH(Y$1,[2]characters!$1:$1,0)-MATCH($A$1,[2]characters!$1:$1,0)+1,FALSE)</f>
        <v>animal</v>
      </c>
      <c r="Z272" s="8" t="str">
        <f ca="1">VLOOKUP(Y272,[2]character_tribe_i18n!$A:$H,3,FALSE)</f>
        <v>アニマル</v>
      </c>
      <c r="AA272" s="14">
        <f ca="1">VLOOKUP(W272,[2]character_tribe_i18n!$A:$H,4,FALSE)</f>
        <v>0.94</v>
      </c>
      <c r="AB272" s="14">
        <f ca="1">VLOOKUP(W272,[2]character_tribe_i18n!$A:$H,5,FALSE)</f>
        <v>0.99</v>
      </c>
      <c r="AC272" s="14">
        <f ca="1">VLOOKUP(W272,[2]character_tribe_i18n!$A:$H,6,FALSE)</f>
        <v>1</v>
      </c>
      <c r="AD272" s="14">
        <f ca="1">VLOOKUP(W272,[2]character_tribe_i18n!$A:$H,7,FALSE)</f>
        <v>1.07</v>
      </c>
      <c r="AE272" s="12" t="s">
        <v>102</v>
      </c>
      <c r="AF272" s="85" t="str">
        <f ca="1">IF(AE272="NULL","",VLOOKUP($AE272,OFFSET([2]characters!$A$1,0,0,COUNTA([2]characters!$A:$A),MATCH(AF$1,[2]characters!$1:$1,0)-MATCH($A$1,[2]characters!$1:$1,0)+1),MATCH(AF$1,[2]characters!$1:$1,0)-MATCH($A$1,[2]characters!$1:$1,0)+1,FALSE))</f>
        <v/>
      </c>
      <c r="AG272" s="8">
        <f t="shared" ca="1" si="30"/>
        <v>270</v>
      </c>
      <c r="AH272" s="85" t="str">
        <f ca="1">VLOOKUP($AG272,OFFSET([2]characters!$A$1,0,0,COUNTA([2]characters!$A:$A),MATCH(AH$1,[2]characters!$1:$1,0)-MATCH($A$1,[2]characters!$1:$1,0)+1),MATCH(AH$1,[2]characters!$1:$1,0)-MATCH($A$1,[2]characters!$1:$1,0)+1,FALSE)</f>
        <v>風爪のミリー</v>
      </c>
      <c r="AI272" s="14" t="str">
        <f>IF(AE272="NULL","NULL",VLOOKUP(G272,ビット!$A$2:$B$7,2))</f>
        <v>NULL</v>
      </c>
      <c r="AJ272" s="9">
        <v>2</v>
      </c>
      <c r="AK272" s="10" t="str">
        <f t="shared" si="31"/>
        <v>普通</v>
      </c>
      <c r="AL272" s="14" t="str">
        <f ca="1">INDEX(経験値!$A$1:$I$20,MATCH(H272,経験値!$A$1:$A$20,FALSE),MATCH(G272,経験値!$A$1:$I$1,FALSE))</f>
        <v>required_exp_200</v>
      </c>
      <c r="AM272" s="11">
        <f ca="1">VLOOKUP(G272,経験値!$A$27:$B$31,2)</f>
        <v>6400</v>
      </c>
      <c r="AN272" s="21">
        <f ca="1">VLOOKUP(G272,ビット!$G$2:$H$7,2)</f>
        <v>900</v>
      </c>
      <c r="AO272" s="98" t="s">
        <v>178</v>
      </c>
      <c r="AP272" s="97">
        <v>322004</v>
      </c>
      <c r="AQ272" s="77" t="e">
        <f ca="1">VLOOKUP($AP272,OFFSET([1]unit_skills!$A$1,0,0,COUNTA([1]unit_skills!$A:$A),MATCH("name",[1]unit_skills!$1:$1,0)-MATCH($AP$1,[1]unit_skills!$1:$1,0)+1),MATCH("name",[1]unit_skills!$1:$1,0)-MATCH($AP$1,[1]unit_skills!$1:$1,0)+1,FALSE)</f>
        <v>#VALUE!</v>
      </c>
      <c r="AR272" s="77" t="e">
        <f ca="1">VLOOKUP($AP272,OFFSET([1]unit_skills!$A$1,0,0,COUNTA([1]unit_skills!$A:$A),MATCH("comment",[1]unit_skills!$1:$1,0)-MATCH($AP$1,[1]unit_skills!$1:$1,0)+1),MATCH("comment",[1]unit_skills!$1:$1,0)-MATCH($AP$1,[1]unit_skills!$1:$1,0)+1,FALSE)</f>
        <v>#VALUE!</v>
      </c>
      <c r="AS272" s="77" t="e">
        <f ca="1">VLOOKUP($AP272,OFFSET([1]unit_skills!$A$1,0,0,COUNTA([1]unit_skills!$A:$A),MATCH(AS$1,[1]unit_skills!$1:$1,0)-MATCH($AP$1,[1]unit_skills!$1:$1,0)+1),MATCH(AS$1,[1]unit_skills!$1:$1,0)-MATCH($AP$1,[1]unit_skills!$1:$1,0)+1,FALSE)</f>
        <v>#VALUE!</v>
      </c>
      <c r="AT272" s="97">
        <v>122011</v>
      </c>
      <c r="AU272" s="77" t="e">
        <f ca="1">VLOOKUP($AT272,OFFSET([1]crash_skills!$A$1,0,0,COUNTA([1]crash_skills!$A:$A),MATCH("name",[1]crash_skills!$1:$1,0)-MATCH($AT$1,[1]crash_skills!$1:$1,0)+1),MATCH("name",[1]crash_skills!$1:$1,0)-MATCH($AT$1,[1]crash_skills!$1:$1,0)+1,FALSE)</f>
        <v>#VALUE!</v>
      </c>
      <c r="AV272" s="77" t="e">
        <f ca="1">VLOOKUP($AT272,OFFSET([1]crash_skills!$A$1,0,0,COUNTA([1]crash_skills!$A:$A),MATCH("comment",[1]crash_skills!$1:$1,0)-MATCH($AT$1,[1]crash_skills!$1:$1,0)+1),MATCH("comment",[1]crash_skills!$1:$1,0)-MATCH($AT$1,[1]crash_skills!$1:$1,0)+1,FALSE)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72" s="77" t="e">
        <f ca="1">VLOOKUP($AT272,OFFSET([1]crash_skills!$A$1,0,0,COUNTA([1]crash_skills!$A:$A),MATCH(AW$1,[1]crash_skills!$1:$1,0)-MATCH($AT$1,[1]crash_skills!$1:$1,0)+1),MATCH(AW$1,[1]crash_skills!$1:$1,0)-MATCH($AT$1,[1]crash_skills!$1:$1,0)+1,FALSE)</f>
        <v>#VALUE!</v>
      </c>
      <c r="AX272" s="81">
        <f ca="1">VLOOKUP($A272,OFFSET([2]characters!$A$1,0,0,COUNTA([2]characters!$A:$A),MATCH(AX$1,[2]characters!$1:$1,0)-MATCH($A$1,[2]characters!$1:$1,0)+1),MATCH(AX$1,[2]characters!$1:$1,0)-MATCH($A$1,[2]characters!$1:$1,0)+1,FALSE)</f>
        <v>3</v>
      </c>
      <c r="AY272" s="19">
        <v>1</v>
      </c>
      <c r="AZ272" s="19">
        <v>1</v>
      </c>
      <c r="BA272" s="19">
        <v>0</v>
      </c>
      <c r="BB272" s="19">
        <v>1</v>
      </c>
      <c r="BC272" s="14">
        <f ca="1">INDEX('RC6SV'!$A$1:$G$20,MATCH(H272,'RC6SV'!$A$1:$A$20,FALSE),MATCH(G272,'RC6SV'!$A$1:$G$1,FALSE))</f>
        <v>7600</v>
      </c>
      <c r="BD272" s="63">
        <f t="shared" ca="1" si="32"/>
        <v>7600</v>
      </c>
      <c r="BE272" s="14">
        <f t="shared" ca="1" si="33"/>
        <v>5800</v>
      </c>
      <c r="BF272" s="14">
        <f t="shared" ca="1" si="34"/>
        <v>1</v>
      </c>
      <c r="BG272" s="20">
        <f ca="1">IF($BE272&lt;=0,ROUND(BK272*0.5,0), ROUND($BE272*S272*AA272*J272*AY272*0.8*[2]ステータス!$B$2,0))</f>
        <v>2224</v>
      </c>
      <c r="BH272" s="20">
        <f ca="1">IF($BE272&lt;=0,ROUND(BL272*0.5,0), ROUND($BE272*T272*AB272*K272*AZ272*0.8*[2]ステータス!$C$2,0))</f>
        <v>1796</v>
      </c>
      <c r="BI272" s="20">
        <f ca="1">IF($BE272&lt;=0,ROUND(BM272*0.5,0), ROUND($BE272*U272*AC272*L272*BA272*0.8*[2]ステータス!$D$2,0))</f>
        <v>0</v>
      </c>
      <c r="BJ272" s="20">
        <f ca="1">IF($BE272&lt;=0,ROUND(BN272*0.5,0), ROUND($BE272*V272*AD272*M272*BB272*0.8*[2]ステータス!$E$2,0))</f>
        <v>832</v>
      </c>
      <c r="BK272" s="14">
        <f ca="1">ROUND(BD272*S272*AA272*J272*AY272*[2]ステータス!$B$2,0)</f>
        <v>3643</v>
      </c>
      <c r="BL272" s="14">
        <f ca="1">ROUND(BD272*T272*AB272*K272*AZ272*[2]ステータス!$C$2,0)</f>
        <v>2942</v>
      </c>
      <c r="BM272" s="14">
        <f ca="1">ROUND(BD272*U272*AC272*L272*BA272*[2]ステータス!$D$2,0)</f>
        <v>0</v>
      </c>
      <c r="BN272" s="14">
        <f ca="1">ROUND(BD272*V272*AD272*M272*BB272*[2]ステータス!$E$2,0)</f>
        <v>1362</v>
      </c>
      <c r="BO272" s="13">
        <v>0</v>
      </c>
      <c r="BP272" s="13">
        <v>1</v>
      </c>
      <c r="BQ272" s="13" t="s">
        <v>102</v>
      </c>
      <c r="BR272" s="13">
        <f ca="1">VLOOKUP(H272,ghosts_label!$A$2:$B$19,2,FALSE)</f>
        <v>1</v>
      </c>
    </row>
    <row r="273" spans="1:70" ht="21" customHeight="1" x14ac:dyDescent="0.15">
      <c r="A273" s="14">
        <f t="shared" ca="1" si="29"/>
        <v>272</v>
      </c>
      <c r="B273" s="77" t="str">
        <f ca="1">VLOOKUP($A273,OFFSET([2]characters!$A$1,0,0,COUNTA([2]characters!$A:$A),MATCH(B$1,[2]characters!$1:$1,0)-MATCH($A$1,[2]characters!$1:$1,0)+1),MATCH(B$1,[2]characters!$1:$1,0)-MATCH($A$1,[2]characters!$1:$1,0)+1,FALSE)</f>
        <v>魔札のシルベール</v>
      </c>
      <c r="C273" s="77" t="str">
        <f ca="1">VLOOKUP($A273,OFFSET([2]characters!$A$1,0,0,COUNTA([2]characters!$A:$A),MATCH(C$1,[2]characters!$1:$1,0)-MATCH($A$1,[2]characters!$1:$1,0)+1),MATCH(C$1,[2]characters!$1:$1,0)-MATCH($A$1,[2]characters!$1:$1,0)+1,FALSE)</f>
        <v>イベント:暴走するアバター01</v>
      </c>
      <c r="D273" s="77" t="str">
        <f ca="1">VLOOKUP($A273,OFFSET([2]characters!$A$1,0,0,COUNTA([2]characters!$A:$A),MATCH(D$1,[2]characters!$1:$1,0)-MATCH($A$1,[2]characters!$1:$1,0)+1),MATCH(D$1,[2]characters!$1:$1,0)-MATCH($A$1,[2]characters!$1:$1,0)+1,FALSE)</f>
        <v>探索者</v>
      </c>
      <c r="E273" s="77" t="str">
        <f ca="1">VLOOKUP($A273,OFFSET([2]characters!$A$1,0,0,COUNTA([2]characters!$A:$A),MATCH(E$1,[2]characters!$1:$1,0)-MATCH($A$1,[2]characters!$1:$1,0)+1),MATCH(E$1,[2]characters!$1:$1,0)-MATCH($A$1,[2]characters!$1:$1,0)+1,FALSE)</f>
        <v>格好いい</v>
      </c>
      <c r="F273" s="77" t="str">
        <f ca="1">VLOOKUP($A273,OFFSET([2]characters!$A$1,0,0,COUNTA([2]characters!$A:$A),MATCH(F$1,[2]characters!$1:$1,0)-MATCH($A$1,[2]characters!$1:$1,0)+1),MATCH(F$1,[2]characters!$1:$1,0)-MATCH($A$1,[2]characters!$1:$1,0)+1,FALSE)</f>
        <v>男性</v>
      </c>
      <c r="G273" s="77">
        <f ca="1">VLOOKUP($A273,OFFSET([2]characters!$A$1,0,0,COUNTA([2]characters!$A:$A),MATCH(G$1,[2]characters!$1:$1,0)-MATCH($A$1,[2]characters!$1:$1,0)+1),MATCH(G$1,[2]characters!$1:$1,0)-MATCH($A$1,[2]characters!$1:$1,0)+1,FALSE)</f>
        <v>4</v>
      </c>
      <c r="H273" s="77" t="str">
        <f ca="1">VLOOKUP($A273,OFFSET([2]characters!$A$1,0,0,COUNTA([2]characters!$A:$A),MATCH(H$1,[2]characters!$1:$1,0)-MATCH($A$1,[2]characters!$1:$1,0)+1),MATCH(H$1,[2]characters!$1:$1,0)-MATCH($A$1,[2]characters!$1:$1,0)+1,FALSE)</f>
        <v>Drop2N</v>
      </c>
      <c r="I273" s="77" t="str">
        <f ca="1">VLOOKUP($A273,OFFSET([2]characters!$A$1,0,0,COUNTA([2]characters!$A:$A),MATCH(I$1,[2]characters!$1:$1,0)-MATCH($A$1,[2]characters!$1:$1,0)+1),MATCH(I$1,[2]characters!$1:$1,0)-MATCH($A$1,[2]characters!$1:$1,0)+1,FALSE)</f>
        <v>blue</v>
      </c>
      <c r="J273" s="14">
        <f ca="1">VLOOKUP(I273,[2]属性!$A:$E,2,FALSE)</f>
        <v>1</v>
      </c>
      <c r="K273" s="14">
        <f ca="1">VLOOKUP(I273,[2]属性!$A:$E,3,FALSE)</f>
        <v>0.98</v>
      </c>
      <c r="L273" s="14">
        <f ca="1">VLOOKUP(I273,[2]属性!$A:$E,4,FALSE)</f>
        <v>1</v>
      </c>
      <c r="M273" s="14">
        <f ca="1">VLOOKUP(I273,[2]属性!$A:$E,5,FALSE)</f>
        <v>1.02</v>
      </c>
      <c r="N273" s="14">
        <f ca="1">INDEX(コスト!$A$1:$I$20,MATCH(H273,コスト!$A$1:$A$20,FALSE),MATCH(G273,コスト!$A$1:$I$1,FALSE))</f>
        <v>17</v>
      </c>
      <c r="O273" s="14">
        <f ca="1">INDEX(レベル!$A$1:$I$21,MATCH(H273,レベル!$A$1:$A$21,FALSE),MATCH(G273,レベル!$A$1:$I$1,FALSE))</f>
        <v>60</v>
      </c>
      <c r="P273" s="63">
        <f t="shared" ca="1" si="35"/>
        <v>60</v>
      </c>
      <c r="Q273" s="77" t="str">
        <f ca="1">VLOOKUP($A273,OFFSET([2]characters!$A$1,0,0,COUNTA([2]characters!$A:$A),MATCH(Q$1,[2]characters!$1:$1,0)-MATCH($A$1,[2]characters!$1:$1,0)+1),MATCH(Q$1,[2]characters!$1:$1,0)-MATCH($A$1,[2]characters!$1:$1,0)+1,FALSE)</f>
        <v>technical</v>
      </c>
      <c r="R273" s="8" t="str">
        <f ca="1">VLOOKUP(Q273,[2]character_type_i18n!$A:$H,3,FALSE)</f>
        <v>テクニカルタイプ</v>
      </c>
      <c r="S273" s="14">
        <f ca="1">VLOOKUP(Q273,[2]character_type_i18n!$A:$H,4,FALSE)</f>
        <v>0.9</v>
      </c>
      <c r="T273" s="14">
        <f ca="1">VLOOKUP(Q273,[2]character_type_i18n!$A:$H,5,FALSE)</f>
        <v>0.9</v>
      </c>
      <c r="U273" s="14">
        <f ca="1">VLOOKUP(Q273,[2]character_type_i18n!$A:$H,6,FALSE)</f>
        <v>1</v>
      </c>
      <c r="V273" s="14">
        <f ca="1">VLOOKUP(Q273,[2]character_type_i18n!$A:$H,7,FALSE)</f>
        <v>0.9</v>
      </c>
      <c r="W273" s="77" t="str">
        <f ca="1">VLOOKUP($A273,OFFSET([2]characters!$A$1,0,0,COUNTA([2]characters!$A:$A),MATCH(W$1,[2]characters!$1:$1,0)-MATCH($A$1,[2]characters!$1:$1,0)+1),MATCH(W$1,[2]characters!$1:$1,0)-MATCH($A$1,[2]characters!$1:$1,0)+1,FALSE)</f>
        <v>human</v>
      </c>
      <c r="X273" s="8" t="str">
        <f ca="1">VLOOKUP(W273,[2]character_tribe_i18n!$A:$H,3,FALSE)</f>
        <v>ヒューマン</v>
      </c>
      <c r="Y273" s="77" t="str">
        <f ca="1">VLOOKUP($A273,OFFSET([2]characters!$A$1,0,0,COUNTA([2]characters!$A:$A),MATCH(Y$1,[2]characters!$1:$1,0)-MATCH($A$1,[2]characters!$1:$1,0)+1),MATCH(Y$1,[2]characters!$1:$1,0)-MATCH($A$1,[2]characters!$1:$1,0)+1,FALSE)</f>
        <v>none</v>
      </c>
      <c r="Z273" s="8" t="str">
        <f ca="1">VLOOKUP(Y273,[2]character_tribe_i18n!$A:$H,3,FALSE)</f>
        <v>種族なし</v>
      </c>
      <c r="AA273" s="14">
        <f ca="1">VLOOKUP(W273,[2]character_tribe_i18n!$A:$H,4,FALSE)</f>
        <v>0.94</v>
      </c>
      <c r="AB273" s="14">
        <f ca="1">VLOOKUP(W273,[2]character_tribe_i18n!$A:$H,5,FALSE)</f>
        <v>0.99</v>
      </c>
      <c r="AC273" s="14">
        <f ca="1">VLOOKUP(W273,[2]character_tribe_i18n!$A:$H,6,FALSE)</f>
        <v>1</v>
      </c>
      <c r="AD273" s="14">
        <f ca="1">VLOOKUP(W273,[2]character_tribe_i18n!$A:$H,7,FALSE)</f>
        <v>1.07</v>
      </c>
      <c r="AE273" s="12">
        <v>273</v>
      </c>
      <c r="AF273" s="85" t="str">
        <f ca="1">IF(AE273="NULL","",VLOOKUP($AE273,OFFSET([2]characters!$A$1,0,0,COUNTA([2]characters!$A:$A),MATCH(AF$1,[2]characters!$1:$1,0)-MATCH($A$1,[2]characters!$1:$1,0)+1),MATCH(AF$1,[2]characters!$1:$1,0)-MATCH($A$1,[2]characters!$1:$1,0)+1,FALSE))</f>
        <v>円環魔道 シルベール</v>
      </c>
      <c r="AG273" s="8">
        <f t="shared" ca="1" si="30"/>
        <v>272</v>
      </c>
      <c r="AH273" s="85" t="str">
        <f ca="1">VLOOKUP($AG273,OFFSET([2]characters!$A$1,0,0,COUNTA([2]characters!$A:$A),MATCH(AH$1,[2]characters!$1:$1,0)-MATCH($A$1,[2]characters!$1:$1,0)+1),MATCH(AH$1,[2]characters!$1:$1,0)-MATCH($A$1,[2]characters!$1:$1,0)+1,FALSE)</f>
        <v>魔札のシルベール</v>
      </c>
      <c r="AI273" s="14">
        <f ca="1">IF(AE273="NULL","NULL",VLOOKUP(G273,ビット!$A$2:$B$7,2))</f>
        <v>50000</v>
      </c>
      <c r="AJ273" s="9">
        <v>2</v>
      </c>
      <c r="AK273" s="10" t="str">
        <f t="shared" si="31"/>
        <v>普通</v>
      </c>
      <c r="AL273" s="14" t="str">
        <f ca="1">INDEX(経験値!$A$1:$I$20,MATCH(H273,経験値!$A$1:$A$20,FALSE),MATCH(G273,経験値!$A$1:$I$1,FALSE))</f>
        <v>required_exp_200</v>
      </c>
      <c r="AM273" s="11">
        <f ca="1">VLOOKUP(G273,経験値!$A$27:$B$31,2)</f>
        <v>3400</v>
      </c>
      <c r="AN273" s="21">
        <f ca="1">VLOOKUP(G273,ビット!$G$2:$H$7,2)</f>
        <v>600</v>
      </c>
      <c r="AO273" s="98" t="s">
        <v>178</v>
      </c>
      <c r="AP273" s="101">
        <v>321003</v>
      </c>
      <c r="AQ273" s="77" t="e">
        <f ca="1">VLOOKUP($AP273,OFFSET([1]unit_skills!$A$1,0,0,COUNTA([1]unit_skills!$A:$A),MATCH("name",[1]unit_skills!$1:$1,0)-MATCH($AP$1,[1]unit_skills!$1:$1,0)+1),MATCH("name",[1]unit_skills!$1:$1,0)-MATCH($AP$1,[1]unit_skills!$1:$1,0)+1,FALSE)</f>
        <v>#VALUE!</v>
      </c>
      <c r="AR273" s="77" t="e">
        <f ca="1">VLOOKUP($AP273,OFFSET([1]unit_skills!$A$1,0,0,COUNTA([1]unit_skills!$A:$A),MATCH("comment",[1]unit_skills!$1:$1,0)-MATCH($AP$1,[1]unit_skills!$1:$1,0)+1),MATCH("comment",[1]unit_skills!$1:$1,0)-MATCH($AP$1,[1]unit_skills!$1:$1,0)+1,FALSE)</f>
        <v>#VALUE!</v>
      </c>
      <c r="AS273" s="77" t="e">
        <f ca="1">VLOOKUP($AP273,OFFSET([1]unit_skills!$A$1,0,0,COUNTA([1]unit_skills!$A:$A),MATCH(AS$1,[1]unit_skills!$1:$1,0)-MATCH($AP$1,[1]unit_skills!$1:$1,0)+1),MATCH(AS$1,[1]unit_skills!$1:$1,0)-MATCH($AP$1,[1]unit_skills!$1:$1,0)+1,FALSE)</f>
        <v>#VALUE!</v>
      </c>
      <c r="AT273" s="97">
        <v>444004</v>
      </c>
      <c r="AU273" s="77" t="e">
        <f ca="1">VLOOKUP($AT273,OFFSET([1]crash_skills!$A$1,0,0,COUNTA([1]crash_skills!$A:$A),MATCH("name",[1]crash_skills!$1:$1,0)-MATCH($AT$1,[1]crash_skills!$1:$1,0)+1),MATCH("name",[1]crash_skills!$1:$1,0)-MATCH($AT$1,[1]crash_skills!$1:$1,0)+1,FALSE)</f>
        <v>#VALUE!</v>
      </c>
      <c r="AV273" s="77" t="e">
        <f ca="1">VLOOKUP($AT273,OFFSET([1]crash_skills!$A$1,0,0,COUNTA([1]crash_skills!$A:$A),MATCH("comment",[1]crash_skills!$1:$1,0)-MATCH($AT$1,[1]crash_skills!$1:$1,0)+1),MATCH("comment",[1]crash_skills!$1:$1,0)-MATCH($AT$1,[1]crash_skills!$1:$1,0)+1,FALSE)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73" s="77" t="e">
        <f ca="1">VLOOKUP($AT273,OFFSET([1]crash_skills!$A$1,0,0,COUNTA([1]crash_skills!$A:$A),MATCH(AW$1,[1]crash_skills!$1:$1,0)-MATCH($AT$1,[1]crash_skills!$1:$1,0)+1),MATCH(AW$1,[1]crash_skills!$1:$1,0)-MATCH($AT$1,[1]crash_skills!$1:$1,0)+1,FALSE)</f>
        <v>#VALUE!</v>
      </c>
      <c r="AX273" s="81">
        <f ca="1">VLOOKUP($A273,OFFSET([2]characters!$A$1,0,0,COUNTA([2]characters!$A:$A),MATCH(AX$1,[2]characters!$1:$1,0)-MATCH($A$1,[2]characters!$1:$1,0)+1),MATCH(AX$1,[2]characters!$1:$1,0)-MATCH($A$1,[2]characters!$1:$1,0)+1,FALSE)</f>
        <v>3</v>
      </c>
      <c r="AY273" s="19">
        <v>1</v>
      </c>
      <c r="AZ273" s="19">
        <v>1</v>
      </c>
      <c r="BA273" s="19">
        <v>0</v>
      </c>
      <c r="BB273" s="19">
        <v>1</v>
      </c>
      <c r="BC273" s="14">
        <f ca="1">INDEX('RC6SV'!$A$1:$G$20,MATCH(H273,'RC6SV'!$A$1:$A$20,FALSE),MATCH(G273,'RC6SV'!$A$1:$G$1,FALSE))</f>
        <v>5800</v>
      </c>
      <c r="BD273" s="63">
        <f t="shared" ca="1" si="32"/>
        <v>5800</v>
      </c>
      <c r="BE273" s="14">
        <f t="shared" ca="1" si="33"/>
        <v>0</v>
      </c>
      <c r="BF273" s="14">
        <f t="shared" ca="1" si="34"/>
        <v>1</v>
      </c>
      <c r="BG273" s="20">
        <f ca="1">IF($BE273&lt;=0,ROUND(BK273*0.5,0), ROUND($BE273*S273*AA273*J273*AY273*0.8*[2]ステータス!$B$2,0))</f>
        <v>1227</v>
      </c>
      <c r="BH273" s="20">
        <f ca="1">IF($BE273&lt;=0,ROUND(BL273*0.5,0), ROUND($BE273*T273*AB273*K273*AZ273*0.8*[2]ステータス!$C$2,0))</f>
        <v>760</v>
      </c>
      <c r="BI273" s="20">
        <f ca="1">IF($BE273&lt;=0,ROUND(BM273*0.5,0), ROUND($BE273*U273*AC273*L273*BA273*0.8*[2]ステータス!$D$2,0))</f>
        <v>0</v>
      </c>
      <c r="BJ273" s="20">
        <f ca="1">IF($BE273&lt;=0,ROUND(BN273*0.5,0), ROUND($BE273*V273*AD273*M273*BB273*0.8*[2]ステータス!$E$2,0))</f>
        <v>712</v>
      </c>
      <c r="BK273" s="14">
        <f ca="1">ROUND(BD273*S273*AA273*J273*AY273*[2]ステータス!$B$2,0)</f>
        <v>2453</v>
      </c>
      <c r="BL273" s="14">
        <f ca="1">ROUND(BD273*T273*AB273*K273*AZ273*[2]ステータス!$C$2,0)</f>
        <v>1519</v>
      </c>
      <c r="BM273" s="14">
        <f ca="1">ROUND(BD273*U273*AC273*L273*BA273*[2]ステータス!$D$2,0)</f>
        <v>0</v>
      </c>
      <c r="BN273" s="14">
        <f ca="1">ROUND(BD273*V273*AD273*M273*BB273*[2]ステータス!$E$2,0)</f>
        <v>1424</v>
      </c>
      <c r="BO273" s="13">
        <v>0</v>
      </c>
      <c r="BP273" s="13">
        <v>1</v>
      </c>
      <c r="BQ273" s="13" t="s">
        <v>102</v>
      </c>
      <c r="BR273" s="13">
        <f ca="1">VLOOKUP(H273,ghosts_label!$A$2:$B$19,2,FALSE)</f>
        <v>1</v>
      </c>
    </row>
    <row r="274" spans="1:70" ht="21" customHeight="1" x14ac:dyDescent="0.15">
      <c r="A274" s="14">
        <f t="shared" ca="1" si="29"/>
        <v>273</v>
      </c>
      <c r="B274" s="77" t="str">
        <f ca="1">VLOOKUP($A274,OFFSET([2]characters!$A$1,0,0,COUNTA([2]characters!$A:$A),MATCH(B$1,[2]characters!$1:$1,0)-MATCH($A$1,[2]characters!$1:$1,0)+1),MATCH(B$1,[2]characters!$1:$1,0)-MATCH($A$1,[2]characters!$1:$1,0)+1,FALSE)</f>
        <v>円環魔道 シルベール</v>
      </c>
      <c r="C274" s="77" t="str">
        <f ca="1">VLOOKUP($A274,OFFSET([2]characters!$A$1,0,0,COUNTA([2]characters!$A:$A),MATCH(C$1,[2]characters!$1:$1,0)-MATCH($A$1,[2]characters!$1:$1,0)+1),MATCH(C$1,[2]characters!$1:$1,0)-MATCH($A$1,[2]characters!$1:$1,0)+1,FALSE)</f>
        <v>イベント:暴走するアバター01</v>
      </c>
      <c r="D274" s="77" t="str">
        <f ca="1">VLOOKUP($A274,OFFSET([2]characters!$A$1,0,0,COUNTA([2]characters!$A:$A),MATCH(D$1,[2]characters!$1:$1,0)-MATCH($A$1,[2]characters!$1:$1,0)+1),MATCH(D$1,[2]characters!$1:$1,0)-MATCH($A$1,[2]characters!$1:$1,0)+1,FALSE)</f>
        <v>探索者</v>
      </c>
      <c r="E274" s="77" t="str">
        <f ca="1">VLOOKUP($A274,OFFSET([2]characters!$A$1,0,0,COUNTA([2]characters!$A:$A),MATCH(E$1,[2]characters!$1:$1,0)-MATCH($A$1,[2]characters!$1:$1,0)+1),MATCH(E$1,[2]characters!$1:$1,0)-MATCH($A$1,[2]characters!$1:$1,0)+1,FALSE)</f>
        <v>格好いい</v>
      </c>
      <c r="F274" s="77" t="str">
        <f ca="1">VLOOKUP($A274,OFFSET([2]characters!$A$1,0,0,COUNTA([2]characters!$A:$A),MATCH(F$1,[2]characters!$1:$1,0)-MATCH($A$1,[2]characters!$1:$1,0)+1),MATCH(F$1,[2]characters!$1:$1,0)-MATCH($A$1,[2]characters!$1:$1,0)+1,FALSE)</f>
        <v>男性</v>
      </c>
      <c r="G274" s="77">
        <f ca="1">VLOOKUP($A274,OFFSET([2]characters!$A$1,0,0,COUNTA([2]characters!$A:$A),MATCH(G$1,[2]characters!$1:$1,0)-MATCH($A$1,[2]characters!$1:$1,0)+1),MATCH(G$1,[2]characters!$1:$1,0)-MATCH($A$1,[2]characters!$1:$1,0)+1,FALSE)</f>
        <v>5</v>
      </c>
      <c r="H274" s="77" t="str">
        <f ca="1">VLOOKUP($A274,OFFSET([2]characters!$A$1,0,0,COUNTA([2]characters!$A:$A),MATCH(H$1,[2]characters!$1:$1,0)-MATCH($A$1,[2]characters!$1:$1,0)+1),MATCH(H$1,[2]characters!$1:$1,0)-MATCH($A$1,[2]characters!$1:$1,0)+1,FALSE)</f>
        <v>Drop2N</v>
      </c>
      <c r="I274" s="77" t="str">
        <f ca="1">VLOOKUP($A274,OFFSET([2]characters!$A$1,0,0,COUNTA([2]characters!$A:$A),MATCH(I$1,[2]characters!$1:$1,0)-MATCH($A$1,[2]characters!$1:$1,0)+1),MATCH(I$1,[2]characters!$1:$1,0)-MATCH($A$1,[2]characters!$1:$1,0)+1,FALSE)</f>
        <v>blue</v>
      </c>
      <c r="J274" s="14">
        <f ca="1">VLOOKUP(I274,[2]属性!$A:$E,2,FALSE)</f>
        <v>1</v>
      </c>
      <c r="K274" s="14">
        <f ca="1">VLOOKUP(I274,[2]属性!$A:$E,3,FALSE)</f>
        <v>0.98</v>
      </c>
      <c r="L274" s="14">
        <f ca="1">VLOOKUP(I274,[2]属性!$A:$E,4,FALSE)</f>
        <v>1</v>
      </c>
      <c r="M274" s="14">
        <f ca="1">VLOOKUP(I274,[2]属性!$A:$E,5,FALSE)</f>
        <v>1.02</v>
      </c>
      <c r="N274" s="14">
        <f ca="1">INDEX(コスト!$A$1:$I$20,MATCH(H274,コスト!$A$1:$A$20,FALSE),MATCH(G274,コスト!$A$1:$I$1,FALSE))</f>
        <v>26</v>
      </c>
      <c r="O274" s="14">
        <f ca="1">INDEX(レベル!$A$1:$I$21,MATCH(H274,レベル!$A$1:$A$21,FALSE),MATCH(G274,レベル!$A$1:$I$1,FALSE))</f>
        <v>80</v>
      </c>
      <c r="P274" s="63">
        <f t="shared" ca="1" si="35"/>
        <v>75</v>
      </c>
      <c r="Q274" s="77" t="str">
        <f ca="1">VLOOKUP($A274,OFFSET([2]characters!$A$1,0,0,COUNTA([2]characters!$A:$A),MATCH(Q$1,[2]characters!$1:$1,0)-MATCH($A$1,[2]characters!$1:$1,0)+1),MATCH(Q$1,[2]characters!$1:$1,0)-MATCH($A$1,[2]characters!$1:$1,0)+1,FALSE)</f>
        <v>technical</v>
      </c>
      <c r="R274" s="8" t="str">
        <f ca="1">VLOOKUP(Q274,[2]character_type_i18n!$A:$H,3,FALSE)</f>
        <v>テクニカルタイプ</v>
      </c>
      <c r="S274" s="14">
        <f ca="1">VLOOKUP(Q274,[2]character_type_i18n!$A:$H,4,FALSE)</f>
        <v>0.9</v>
      </c>
      <c r="T274" s="14">
        <f ca="1">VLOOKUP(Q274,[2]character_type_i18n!$A:$H,5,FALSE)</f>
        <v>0.9</v>
      </c>
      <c r="U274" s="14">
        <f ca="1">VLOOKUP(Q274,[2]character_type_i18n!$A:$H,6,FALSE)</f>
        <v>1</v>
      </c>
      <c r="V274" s="14">
        <f ca="1">VLOOKUP(Q274,[2]character_type_i18n!$A:$H,7,FALSE)</f>
        <v>0.9</v>
      </c>
      <c r="W274" s="77" t="str">
        <f ca="1">VLOOKUP($A274,OFFSET([2]characters!$A$1,0,0,COUNTA([2]characters!$A:$A),MATCH(W$1,[2]characters!$1:$1,0)-MATCH($A$1,[2]characters!$1:$1,0)+1),MATCH(W$1,[2]characters!$1:$1,0)-MATCH($A$1,[2]characters!$1:$1,0)+1,FALSE)</f>
        <v>human</v>
      </c>
      <c r="X274" s="8" t="str">
        <f ca="1">VLOOKUP(W274,[2]character_tribe_i18n!$A:$H,3,FALSE)</f>
        <v>ヒューマン</v>
      </c>
      <c r="Y274" s="77" t="str">
        <f ca="1">VLOOKUP($A274,OFFSET([2]characters!$A$1,0,0,COUNTA([2]characters!$A:$A),MATCH(Y$1,[2]characters!$1:$1,0)-MATCH($A$1,[2]characters!$1:$1,0)+1),MATCH(Y$1,[2]characters!$1:$1,0)-MATCH($A$1,[2]characters!$1:$1,0)+1,FALSE)</f>
        <v>none</v>
      </c>
      <c r="Z274" s="8" t="str">
        <f ca="1">VLOOKUP(Y274,[2]character_tribe_i18n!$A:$H,3,FALSE)</f>
        <v>種族なし</v>
      </c>
      <c r="AA274" s="14">
        <f ca="1">VLOOKUP(W274,[2]character_tribe_i18n!$A:$H,4,FALSE)</f>
        <v>0.94</v>
      </c>
      <c r="AB274" s="14">
        <f ca="1">VLOOKUP(W274,[2]character_tribe_i18n!$A:$H,5,FALSE)</f>
        <v>0.99</v>
      </c>
      <c r="AC274" s="14">
        <f ca="1">VLOOKUP(W274,[2]character_tribe_i18n!$A:$H,6,FALSE)</f>
        <v>1</v>
      </c>
      <c r="AD274" s="14">
        <f ca="1">VLOOKUP(W274,[2]character_tribe_i18n!$A:$H,7,FALSE)</f>
        <v>1.07</v>
      </c>
      <c r="AE274" s="12" t="s">
        <v>102</v>
      </c>
      <c r="AF274" s="85" t="str">
        <f ca="1">IF(AE274="NULL","",VLOOKUP($AE274,OFFSET([2]characters!$A$1,0,0,COUNTA([2]characters!$A:$A),MATCH(AF$1,[2]characters!$1:$1,0)-MATCH($A$1,[2]characters!$1:$1,0)+1),MATCH(AF$1,[2]characters!$1:$1,0)-MATCH($A$1,[2]characters!$1:$1,0)+1,FALSE))</f>
        <v/>
      </c>
      <c r="AG274" s="8">
        <f t="shared" ca="1" si="30"/>
        <v>272</v>
      </c>
      <c r="AH274" s="85" t="str">
        <f ca="1">VLOOKUP($AG274,OFFSET([2]characters!$A$1,0,0,COUNTA([2]characters!$A:$A),MATCH(AH$1,[2]characters!$1:$1,0)-MATCH($A$1,[2]characters!$1:$1,0)+1),MATCH(AH$1,[2]characters!$1:$1,0)-MATCH($A$1,[2]characters!$1:$1,0)+1,FALSE)</f>
        <v>魔札のシルベール</v>
      </c>
      <c r="AI274" s="14" t="str">
        <f>IF(AE274="NULL","NULL",VLOOKUP(G274,ビット!$A$2:$B$7,2))</f>
        <v>NULL</v>
      </c>
      <c r="AJ274" s="9">
        <v>2</v>
      </c>
      <c r="AK274" s="10" t="str">
        <f t="shared" si="31"/>
        <v>普通</v>
      </c>
      <c r="AL274" s="14" t="str">
        <f ca="1">INDEX(経験値!$A$1:$I$20,MATCH(H274,経験値!$A$1:$A$20,FALSE),MATCH(G274,経験値!$A$1:$I$1,FALSE))</f>
        <v>required_exp_200</v>
      </c>
      <c r="AM274" s="11">
        <f ca="1">VLOOKUP(G274,経験値!$A$27:$B$31,2)</f>
        <v>6400</v>
      </c>
      <c r="AN274" s="21">
        <f ca="1">VLOOKUP(G274,ビット!$G$2:$H$7,2)</f>
        <v>900</v>
      </c>
      <c r="AO274" s="98" t="s">
        <v>178</v>
      </c>
      <c r="AP274" s="101">
        <v>321004</v>
      </c>
      <c r="AQ274" s="77" t="e">
        <f ca="1">VLOOKUP($AP274,OFFSET([1]unit_skills!$A$1,0,0,COUNTA([1]unit_skills!$A:$A),MATCH("name",[1]unit_skills!$1:$1,0)-MATCH($AP$1,[1]unit_skills!$1:$1,0)+1),MATCH("name",[1]unit_skills!$1:$1,0)-MATCH($AP$1,[1]unit_skills!$1:$1,0)+1,FALSE)</f>
        <v>#VALUE!</v>
      </c>
      <c r="AR274" s="77" t="e">
        <f ca="1">VLOOKUP($AP274,OFFSET([1]unit_skills!$A$1,0,0,COUNTA([1]unit_skills!$A:$A),MATCH("comment",[1]unit_skills!$1:$1,0)-MATCH($AP$1,[1]unit_skills!$1:$1,0)+1),MATCH("comment",[1]unit_skills!$1:$1,0)-MATCH($AP$1,[1]unit_skills!$1:$1,0)+1,FALSE)</f>
        <v>#VALUE!</v>
      </c>
      <c r="AS274" s="77" t="e">
        <f ca="1">VLOOKUP($AP274,OFFSET([1]unit_skills!$A$1,0,0,COUNTA([1]unit_skills!$A:$A),MATCH(AS$1,[1]unit_skills!$1:$1,0)-MATCH($AP$1,[1]unit_skills!$1:$1,0)+1),MATCH(AS$1,[1]unit_skills!$1:$1,0)-MATCH($AP$1,[1]unit_skills!$1:$1,0)+1,FALSE)</f>
        <v>#VALUE!</v>
      </c>
      <c r="AT274" s="97">
        <v>444005</v>
      </c>
      <c r="AU274" s="77" t="e">
        <f ca="1">VLOOKUP($AT274,OFFSET([1]crash_skills!$A$1,0,0,COUNTA([1]crash_skills!$A:$A),MATCH("name",[1]crash_skills!$1:$1,0)-MATCH($AT$1,[1]crash_skills!$1:$1,0)+1),MATCH("name",[1]crash_skills!$1:$1,0)-MATCH($AT$1,[1]crash_skills!$1:$1,0)+1,FALSE)</f>
        <v>#VALUE!</v>
      </c>
      <c r="AV274" s="77" t="e">
        <f ca="1">VLOOKUP($AT274,OFFSET([1]crash_skills!$A$1,0,0,COUNTA([1]crash_skills!$A:$A),MATCH("comment",[1]crash_skills!$1:$1,0)-MATCH($AT$1,[1]crash_skills!$1:$1,0)+1),MATCH("comment",[1]crash_skills!$1:$1,0)-MATCH($AT$1,[1]crash_skills!$1:$1,0)+1,FALSE)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74" s="77" t="e">
        <f ca="1">VLOOKUP($AT274,OFFSET([1]crash_skills!$A$1,0,0,COUNTA([1]crash_skills!$A:$A),MATCH(AW$1,[1]crash_skills!$1:$1,0)-MATCH($AT$1,[1]crash_skills!$1:$1,0)+1),MATCH(AW$1,[1]crash_skills!$1:$1,0)-MATCH($AT$1,[1]crash_skills!$1:$1,0)+1,FALSE)</f>
        <v>#VALUE!</v>
      </c>
      <c r="AX274" s="81">
        <f ca="1">VLOOKUP($A274,OFFSET([2]characters!$A$1,0,0,COUNTA([2]characters!$A:$A),MATCH(AX$1,[2]characters!$1:$1,0)-MATCH($A$1,[2]characters!$1:$1,0)+1),MATCH(AX$1,[2]characters!$1:$1,0)-MATCH($A$1,[2]characters!$1:$1,0)+1,FALSE)</f>
        <v>3</v>
      </c>
      <c r="AY274" s="19">
        <v>1</v>
      </c>
      <c r="AZ274" s="19">
        <v>1</v>
      </c>
      <c r="BA274" s="19">
        <v>0</v>
      </c>
      <c r="BB274" s="19">
        <v>1</v>
      </c>
      <c r="BC274" s="14">
        <f ca="1">INDEX('RC6SV'!$A$1:$G$20,MATCH(H274,'RC6SV'!$A$1:$A$20,FALSE),MATCH(G274,'RC6SV'!$A$1:$G$1,FALSE))</f>
        <v>7600</v>
      </c>
      <c r="BD274" s="63">
        <f t="shared" ca="1" si="32"/>
        <v>7600</v>
      </c>
      <c r="BE274" s="14">
        <f t="shared" ca="1" si="33"/>
        <v>5800</v>
      </c>
      <c r="BF274" s="14">
        <f t="shared" ca="1" si="34"/>
        <v>1</v>
      </c>
      <c r="BG274" s="20">
        <f ca="1">IF($BE274&lt;=0,ROUND(BK274*0.5,0), ROUND($BE274*S274*AA274*J274*AY274*0.8*[2]ステータス!$B$2,0))</f>
        <v>1963</v>
      </c>
      <c r="BH274" s="20">
        <f ca="1">IF($BE274&lt;=0,ROUND(BL274*0.5,0), ROUND($BE274*T274*AB274*K274*AZ274*0.8*[2]ステータス!$C$2,0))</f>
        <v>1215</v>
      </c>
      <c r="BI274" s="20">
        <f ca="1">IF($BE274&lt;=0,ROUND(BM274*0.5,0), ROUND($BE274*U274*AC274*L274*BA274*0.8*[2]ステータス!$D$2,0))</f>
        <v>0</v>
      </c>
      <c r="BJ274" s="20">
        <f ca="1">IF($BE274&lt;=0,ROUND(BN274*0.5,0), ROUND($BE274*V274*AD274*M274*BB274*0.8*[2]ステータス!$E$2,0))</f>
        <v>1139</v>
      </c>
      <c r="BK274" s="14">
        <f ca="1">ROUND(BD274*S274*AA274*J274*AY274*[2]ステータス!$B$2,0)</f>
        <v>3215</v>
      </c>
      <c r="BL274" s="14">
        <f ca="1">ROUND(BD274*T274*AB274*K274*AZ274*[2]ステータス!$C$2,0)</f>
        <v>1991</v>
      </c>
      <c r="BM274" s="14">
        <f ca="1">ROUND(BD274*U274*AC274*L274*BA274*[2]ステータス!$D$2,0)</f>
        <v>0</v>
      </c>
      <c r="BN274" s="14">
        <f ca="1">ROUND(BD274*V274*AD274*M274*BB274*[2]ステータス!$E$2,0)</f>
        <v>1866</v>
      </c>
      <c r="BO274" s="13">
        <v>0</v>
      </c>
      <c r="BP274" s="13">
        <v>1</v>
      </c>
      <c r="BQ274" s="13" t="s">
        <v>102</v>
      </c>
      <c r="BR274" s="13">
        <f ca="1">VLOOKUP(H274,ghosts_label!$A$2:$B$19,2,FALSE)</f>
        <v>1</v>
      </c>
    </row>
    <row r="275" spans="1:70" ht="21" customHeight="1" x14ac:dyDescent="0.15">
      <c r="A275" s="14">
        <f t="shared" ca="1" si="29"/>
        <v>274</v>
      </c>
      <c r="B275" s="77" t="str">
        <f ca="1">VLOOKUP($A275,OFFSET([2]characters!$A$1,0,0,COUNTA([2]characters!$A:$A),MATCH(B$1,[2]characters!$1:$1,0)-MATCH($A$1,[2]characters!$1:$1,0)+1),MATCH(B$1,[2]characters!$1:$1,0)-MATCH($A$1,[2]characters!$1:$1,0)+1,FALSE)</f>
        <v>砕棒のガエル</v>
      </c>
      <c r="C275" s="77" t="str">
        <f ca="1">VLOOKUP($A275,OFFSET([2]characters!$A$1,0,0,COUNTA([2]characters!$A:$A),MATCH(C$1,[2]characters!$1:$1,0)-MATCH($A$1,[2]characters!$1:$1,0)+1),MATCH(C$1,[2]characters!$1:$1,0)-MATCH($A$1,[2]characters!$1:$1,0)+1,FALSE)</f>
        <v>イベント:暴走するアバター01</v>
      </c>
      <c r="D275" s="77" t="str">
        <f ca="1">VLOOKUP($A275,OFFSET([2]characters!$A$1,0,0,COUNTA([2]characters!$A:$A),MATCH(D$1,[2]characters!$1:$1,0)-MATCH($A$1,[2]characters!$1:$1,0)+1),MATCH(D$1,[2]characters!$1:$1,0)-MATCH($A$1,[2]characters!$1:$1,0)+1,FALSE)</f>
        <v>探索者</v>
      </c>
      <c r="E275" s="77" t="str">
        <f ca="1">VLOOKUP($A275,OFFSET([2]characters!$A$1,0,0,COUNTA([2]characters!$A:$A),MATCH(E$1,[2]characters!$1:$1,0)-MATCH($A$1,[2]characters!$1:$1,0)+1),MATCH(E$1,[2]characters!$1:$1,0)-MATCH($A$1,[2]characters!$1:$1,0)+1,FALSE)</f>
        <v>格好いい</v>
      </c>
      <c r="F275" s="77" t="str">
        <f ca="1">VLOOKUP($A275,OFFSET([2]characters!$A$1,0,0,COUNTA([2]characters!$A:$A),MATCH(F$1,[2]characters!$1:$1,0)-MATCH($A$1,[2]characters!$1:$1,0)+1),MATCH(F$1,[2]characters!$1:$1,0)-MATCH($A$1,[2]characters!$1:$1,0)+1,FALSE)</f>
        <v>男性</v>
      </c>
      <c r="G275" s="77">
        <f ca="1">VLOOKUP($A275,OFFSET([2]characters!$A$1,0,0,COUNTA([2]characters!$A:$A),MATCH(G$1,[2]characters!$1:$1,0)-MATCH($A$1,[2]characters!$1:$1,0)+1),MATCH(G$1,[2]characters!$1:$1,0)-MATCH($A$1,[2]characters!$1:$1,0)+1,FALSE)</f>
        <v>4</v>
      </c>
      <c r="H275" s="77" t="str">
        <f ca="1">VLOOKUP($A275,OFFSET([2]characters!$A$1,0,0,COUNTA([2]characters!$A:$A),MATCH(H$1,[2]characters!$1:$1,0)-MATCH($A$1,[2]characters!$1:$1,0)+1),MATCH(H$1,[2]characters!$1:$1,0)-MATCH($A$1,[2]characters!$1:$1,0)+1,FALSE)</f>
        <v>Drop2N</v>
      </c>
      <c r="I275" s="77" t="str">
        <f ca="1">VLOOKUP($A275,OFFSET([2]characters!$A$1,0,0,COUNTA([2]characters!$A:$A),MATCH(I$1,[2]characters!$1:$1,0)-MATCH($A$1,[2]characters!$1:$1,0)+1),MATCH(I$1,[2]characters!$1:$1,0)-MATCH($A$1,[2]characters!$1:$1,0)+1,FALSE)</f>
        <v>yellow</v>
      </c>
      <c r="J275" s="14">
        <f ca="1">VLOOKUP(I275,[2]属性!$A:$E,2,FALSE)</f>
        <v>0.98</v>
      </c>
      <c r="K275" s="14">
        <f ca="1">VLOOKUP(I275,[2]属性!$A:$E,3,FALSE)</f>
        <v>1.01</v>
      </c>
      <c r="L275" s="14">
        <f ca="1">VLOOKUP(I275,[2]属性!$A:$E,4,FALSE)</f>
        <v>1</v>
      </c>
      <c r="M275" s="14">
        <f ca="1">VLOOKUP(I275,[2]属性!$A:$E,5,FALSE)</f>
        <v>1.01</v>
      </c>
      <c r="N275" s="14">
        <f ca="1">INDEX(コスト!$A$1:$I$20,MATCH(H275,コスト!$A$1:$A$20,FALSE),MATCH(G275,コスト!$A$1:$I$1,FALSE))</f>
        <v>17</v>
      </c>
      <c r="O275" s="14">
        <f ca="1">INDEX(レベル!$A$1:$I$21,MATCH(H275,レベル!$A$1:$A$21,FALSE),MATCH(G275,レベル!$A$1:$I$1,FALSE))</f>
        <v>60</v>
      </c>
      <c r="P275" s="63">
        <f t="shared" ca="1" si="35"/>
        <v>60</v>
      </c>
      <c r="Q275" s="77" t="str">
        <f ca="1">VLOOKUP($A275,OFFSET([2]characters!$A$1,0,0,COUNTA([2]characters!$A:$A),MATCH(Q$1,[2]characters!$1:$1,0)-MATCH($A$1,[2]characters!$1:$1,0)+1),MATCH(Q$1,[2]characters!$1:$1,0)-MATCH($A$1,[2]characters!$1:$1,0)+1,FALSE)</f>
        <v>attack</v>
      </c>
      <c r="R275" s="8" t="str">
        <f ca="1">VLOOKUP(Q275,[2]character_type_i18n!$A:$H,3,FALSE)</f>
        <v>攻撃タイプ</v>
      </c>
      <c r="S275" s="14">
        <f ca="1">VLOOKUP(Q275,[2]character_type_i18n!$A:$H,4,FALSE)</f>
        <v>1</v>
      </c>
      <c r="T275" s="14">
        <f ca="1">VLOOKUP(Q275,[2]character_type_i18n!$A:$H,5,FALSE)</f>
        <v>1.33</v>
      </c>
      <c r="U275" s="14">
        <f ca="1">VLOOKUP(Q275,[2]character_type_i18n!$A:$H,6,FALSE)</f>
        <v>1</v>
      </c>
      <c r="V275" s="14">
        <f ca="1">VLOOKUP(Q275,[2]character_type_i18n!$A:$H,7,FALSE)</f>
        <v>0.67</v>
      </c>
      <c r="W275" s="77" t="str">
        <f ca="1">VLOOKUP($A275,OFFSET([2]characters!$A$1,0,0,COUNTA([2]characters!$A:$A),MATCH(W$1,[2]characters!$1:$1,0)-MATCH($A$1,[2]characters!$1:$1,0)+1),MATCH(W$1,[2]characters!$1:$1,0)-MATCH($A$1,[2]characters!$1:$1,0)+1,FALSE)</f>
        <v>human</v>
      </c>
      <c r="X275" s="8" t="str">
        <f ca="1">VLOOKUP(W275,[2]character_tribe_i18n!$A:$H,3,FALSE)</f>
        <v>ヒューマン</v>
      </c>
      <c r="Y275" s="77" t="str">
        <f ca="1">VLOOKUP($A275,OFFSET([2]characters!$A$1,0,0,COUNTA([2]characters!$A:$A),MATCH(Y$1,[2]characters!$1:$1,0)-MATCH($A$1,[2]characters!$1:$1,0)+1),MATCH(Y$1,[2]characters!$1:$1,0)-MATCH($A$1,[2]characters!$1:$1,0)+1,FALSE)</f>
        <v>animal</v>
      </c>
      <c r="Z275" s="8" t="str">
        <f ca="1">VLOOKUP(Y275,[2]character_tribe_i18n!$A:$H,3,FALSE)</f>
        <v>アニマル</v>
      </c>
      <c r="AA275" s="14">
        <f ca="1">VLOOKUP(W275,[2]character_tribe_i18n!$A:$H,4,FALSE)</f>
        <v>0.94</v>
      </c>
      <c r="AB275" s="14">
        <f ca="1">VLOOKUP(W275,[2]character_tribe_i18n!$A:$H,5,FALSE)</f>
        <v>0.99</v>
      </c>
      <c r="AC275" s="14">
        <f ca="1">VLOOKUP(W275,[2]character_tribe_i18n!$A:$H,6,FALSE)</f>
        <v>1</v>
      </c>
      <c r="AD275" s="14">
        <f ca="1">VLOOKUP(W275,[2]character_tribe_i18n!$A:$H,7,FALSE)</f>
        <v>1.07</v>
      </c>
      <c r="AE275" s="12">
        <v>275</v>
      </c>
      <c r="AF275" s="85" t="str">
        <f ca="1">IF(AE275="NULL","",VLOOKUP($AE275,OFFSET([2]characters!$A$1,0,0,COUNTA([2]characters!$A:$A),MATCH(AF$1,[2]characters!$1:$1,0)-MATCH($A$1,[2]characters!$1:$1,0)+1),MATCH(AF$1,[2]characters!$1:$1,0)-MATCH($A$1,[2]characters!$1:$1,0)+1,FALSE))</f>
        <v>轟雷砕棒 ガエル</v>
      </c>
      <c r="AG275" s="8">
        <f t="shared" ca="1" si="30"/>
        <v>274</v>
      </c>
      <c r="AH275" s="85" t="str">
        <f ca="1">VLOOKUP($AG275,OFFSET([2]characters!$A$1,0,0,COUNTA([2]characters!$A:$A),MATCH(AH$1,[2]characters!$1:$1,0)-MATCH($A$1,[2]characters!$1:$1,0)+1),MATCH(AH$1,[2]characters!$1:$1,0)-MATCH($A$1,[2]characters!$1:$1,0)+1,FALSE)</f>
        <v>砕棒のガエル</v>
      </c>
      <c r="AI275" s="14">
        <f ca="1">IF(AE275="NULL","NULL",VLOOKUP(G275,ビット!$A$2:$B$7,2))</f>
        <v>50000</v>
      </c>
      <c r="AJ275" s="9">
        <v>2</v>
      </c>
      <c r="AK275" s="10" t="str">
        <f t="shared" si="31"/>
        <v>普通</v>
      </c>
      <c r="AL275" s="14" t="str">
        <f ca="1">INDEX(経験値!$A$1:$I$20,MATCH(H275,経験値!$A$1:$A$20,FALSE),MATCH(G275,経験値!$A$1:$I$1,FALSE))</f>
        <v>required_exp_200</v>
      </c>
      <c r="AM275" s="11">
        <f ca="1">VLOOKUP(G275,経験値!$A$27:$B$31,2)</f>
        <v>3400</v>
      </c>
      <c r="AN275" s="21">
        <f ca="1">VLOOKUP(G275,ビット!$G$2:$H$7,2)</f>
        <v>600</v>
      </c>
      <c r="AO275" s="98" t="s">
        <v>178</v>
      </c>
      <c r="AP275" s="101">
        <v>322009</v>
      </c>
      <c r="AQ275" s="77" t="e">
        <f ca="1">VLOOKUP($AP275,OFFSET([1]unit_skills!$A$1,0,0,COUNTA([1]unit_skills!$A:$A),MATCH("name",[1]unit_skills!$1:$1,0)-MATCH($AP$1,[1]unit_skills!$1:$1,0)+1),MATCH("name",[1]unit_skills!$1:$1,0)-MATCH($AP$1,[1]unit_skills!$1:$1,0)+1,FALSE)</f>
        <v>#VALUE!</v>
      </c>
      <c r="AR275" s="77" t="e">
        <f ca="1">VLOOKUP($AP275,OFFSET([1]unit_skills!$A$1,0,0,COUNTA([1]unit_skills!$A:$A),MATCH("comment",[1]unit_skills!$1:$1,0)-MATCH($AP$1,[1]unit_skills!$1:$1,0)+1),MATCH("comment",[1]unit_skills!$1:$1,0)-MATCH($AP$1,[1]unit_skills!$1:$1,0)+1,FALSE)</f>
        <v>#VALUE!</v>
      </c>
      <c r="AS275" s="77" t="e">
        <f ca="1">VLOOKUP($AP275,OFFSET([1]unit_skills!$A$1,0,0,COUNTA([1]unit_skills!$A:$A),MATCH(AS$1,[1]unit_skills!$1:$1,0)-MATCH($AP$1,[1]unit_skills!$1:$1,0)+1),MATCH(AS$1,[1]unit_skills!$1:$1,0)-MATCH($AP$1,[1]unit_skills!$1:$1,0)+1,FALSE)</f>
        <v>#VALUE!</v>
      </c>
      <c r="AT275" s="97">
        <v>114003</v>
      </c>
      <c r="AU275" s="77" t="e">
        <f ca="1">VLOOKUP($AT275,OFFSET([1]crash_skills!$A$1,0,0,COUNTA([1]crash_skills!$A:$A),MATCH("name",[1]crash_skills!$1:$1,0)-MATCH($AT$1,[1]crash_skills!$1:$1,0)+1),MATCH("name",[1]crash_skills!$1:$1,0)-MATCH($AT$1,[1]crash_skills!$1:$1,0)+1,FALSE)</f>
        <v>#VALUE!</v>
      </c>
      <c r="AV275" s="77" t="e">
        <f ca="1">VLOOKUP($AT275,OFFSET([1]crash_skills!$A$1,0,0,COUNTA([1]crash_skills!$A:$A),MATCH("comment",[1]crash_skills!$1:$1,0)-MATCH($AT$1,[1]crash_skills!$1:$1,0)+1),MATCH("comment",[1]crash_skills!$1:$1,0)-MATCH($AT$1,[1]crash_skills!$1:$1,0)+1,FALSE)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75" s="77" t="e">
        <f ca="1">VLOOKUP($AT275,OFFSET([1]crash_skills!$A$1,0,0,COUNTA([1]crash_skills!$A:$A),MATCH(AW$1,[1]crash_skills!$1:$1,0)-MATCH($AT$1,[1]crash_skills!$1:$1,0)+1),MATCH(AW$1,[1]crash_skills!$1:$1,0)-MATCH($AT$1,[1]crash_skills!$1:$1,0)+1,FALSE)</f>
        <v>#VALUE!</v>
      </c>
      <c r="AX275" s="81">
        <f ca="1">VLOOKUP($A275,OFFSET([2]characters!$A$1,0,0,COUNTA([2]characters!$A:$A),MATCH(AX$1,[2]characters!$1:$1,0)-MATCH($A$1,[2]characters!$1:$1,0)+1),MATCH(AX$1,[2]characters!$1:$1,0)-MATCH($A$1,[2]characters!$1:$1,0)+1,FALSE)</f>
        <v>3</v>
      </c>
      <c r="AY275" s="19">
        <v>1</v>
      </c>
      <c r="AZ275" s="19">
        <v>1</v>
      </c>
      <c r="BA275" s="19">
        <v>0</v>
      </c>
      <c r="BB275" s="19">
        <v>1</v>
      </c>
      <c r="BC275" s="14">
        <f ca="1">INDEX('RC6SV'!$A$1:$G$20,MATCH(H275,'RC6SV'!$A$1:$A$20,FALSE),MATCH(G275,'RC6SV'!$A$1:$G$1,FALSE))</f>
        <v>5800</v>
      </c>
      <c r="BD275" s="63">
        <f t="shared" ca="1" si="32"/>
        <v>5800</v>
      </c>
      <c r="BE275" s="14">
        <f t="shared" ca="1" si="33"/>
        <v>0</v>
      </c>
      <c r="BF275" s="14">
        <f t="shared" ca="1" si="34"/>
        <v>1</v>
      </c>
      <c r="BG275" s="20">
        <f ca="1">IF($BE275&lt;=0,ROUND(BK275*0.5,0), ROUND($BE275*S275*AA275*J275*AY275*0.8*[2]ステータス!$B$2,0))</f>
        <v>1336</v>
      </c>
      <c r="BH275" s="20">
        <f ca="1">IF($BE275&lt;=0,ROUND(BL275*0.5,0), ROUND($BE275*T275*AB275*K275*AZ275*0.8*[2]ステータス!$C$2,0))</f>
        <v>1157</v>
      </c>
      <c r="BI275" s="20">
        <f ca="1">IF($BE275&lt;=0,ROUND(BM275*0.5,0), ROUND($BE275*U275*AC275*L275*BA275*0.8*[2]ステータス!$D$2,0))</f>
        <v>0</v>
      </c>
      <c r="BJ275" s="20">
        <f ca="1">IF($BE275&lt;=0,ROUND(BN275*0.5,0), ROUND($BE275*V275*AD275*M275*BB275*0.8*[2]ステータス!$E$2,0))</f>
        <v>525</v>
      </c>
      <c r="BK275" s="14">
        <f ca="1">ROUND(BD275*S275*AA275*J275*AY275*[2]ステータス!$B$2,0)</f>
        <v>2671</v>
      </c>
      <c r="BL275" s="14">
        <f ca="1">ROUND(BD275*T275*AB275*K275*AZ275*[2]ステータス!$C$2,0)</f>
        <v>2314</v>
      </c>
      <c r="BM275" s="14">
        <f ca="1">ROUND(BD275*U275*AC275*L275*BA275*[2]ステータス!$D$2,0)</f>
        <v>0</v>
      </c>
      <c r="BN275" s="14">
        <f ca="1">ROUND(BD275*V275*AD275*M275*BB275*[2]ステータス!$E$2,0)</f>
        <v>1050</v>
      </c>
      <c r="BO275" s="13">
        <v>0</v>
      </c>
      <c r="BP275" s="13">
        <v>1</v>
      </c>
      <c r="BQ275" s="13" t="s">
        <v>102</v>
      </c>
      <c r="BR275" s="13">
        <f ca="1">VLOOKUP(H275,ghosts_label!$A$2:$B$19,2,FALSE)</f>
        <v>1</v>
      </c>
    </row>
    <row r="276" spans="1:70" ht="21" customHeight="1" x14ac:dyDescent="0.15">
      <c r="A276" s="14">
        <f t="shared" ca="1" si="29"/>
        <v>275</v>
      </c>
      <c r="B276" s="77" t="str">
        <f ca="1">VLOOKUP($A276,OFFSET([2]characters!$A$1,0,0,COUNTA([2]characters!$A:$A),MATCH(B$1,[2]characters!$1:$1,0)-MATCH($A$1,[2]characters!$1:$1,0)+1),MATCH(B$1,[2]characters!$1:$1,0)-MATCH($A$1,[2]characters!$1:$1,0)+1,FALSE)</f>
        <v>轟雷砕棒 ガエル</v>
      </c>
      <c r="C276" s="77" t="str">
        <f ca="1">VLOOKUP($A276,OFFSET([2]characters!$A$1,0,0,COUNTA([2]characters!$A:$A),MATCH(C$1,[2]characters!$1:$1,0)-MATCH($A$1,[2]characters!$1:$1,0)+1),MATCH(C$1,[2]characters!$1:$1,0)-MATCH($A$1,[2]characters!$1:$1,0)+1,FALSE)</f>
        <v>イベント:暴走するアバター01</v>
      </c>
      <c r="D276" s="77" t="str">
        <f ca="1">VLOOKUP($A276,OFFSET([2]characters!$A$1,0,0,COUNTA([2]characters!$A:$A),MATCH(D$1,[2]characters!$1:$1,0)-MATCH($A$1,[2]characters!$1:$1,0)+1),MATCH(D$1,[2]characters!$1:$1,0)-MATCH($A$1,[2]characters!$1:$1,0)+1,FALSE)</f>
        <v>探索者</v>
      </c>
      <c r="E276" s="77" t="str">
        <f ca="1">VLOOKUP($A276,OFFSET([2]characters!$A$1,0,0,COUNTA([2]characters!$A:$A),MATCH(E$1,[2]characters!$1:$1,0)-MATCH($A$1,[2]characters!$1:$1,0)+1),MATCH(E$1,[2]characters!$1:$1,0)-MATCH($A$1,[2]characters!$1:$1,0)+1,FALSE)</f>
        <v>格好いい</v>
      </c>
      <c r="F276" s="77" t="str">
        <f ca="1">VLOOKUP($A276,OFFSET([2]characters!$A$1,0,0,COUNTA([2]characters!$A:$A),MATCH(F$1,[2]characters!$1:$1,0)-MATCH($A$1,[2]characters!$1:$1,0)+1),MATCH(F$1,[2]characters!$1:$1,0)-MATCH($A$1,[2]characters!$1:$1,0)+1,FALSE)</f>
        <v>男性</v>
      </c>
      <c r="G276" s="77">
        <f ca="1">VLOOKUP($A276,OFFSET([2]characters!$A$1,0,0,COUNTA([2]characters!$A:$A),MATCH(G$1,[2]characters!$1:$1,0)-MATCH($A$1,[2]characters!$1:$1,0)+1),MATCH(G$1,[2]characters!$1:$1,0)-MATCH($A$1,[2]characters!$1:$1,0)+1,FALSE)</f>
        <v>5</v>
      </c>
      <c r="H276" s="77" t="str">
        <f ca="1">VLOOKUP($A276,OFFSET([2]characters!$A$1,0,0,COUNTA([2]characters!$A:$A),MATCH(H$1,[2]characters!$1:$1,0)-MATCH($A$1,[2]characters!$1:$1,0)+1),MATCH(H$1,[2]characters!$1:$1,0)-MATCH($A$1,[2]characters!$1:$1,0)+1,FALSE)</f>
        <v>Drop2N</v>
      </c>
      <c r="I276" s="77" t="str">
        <f ca="1">VLOOKUP($A276,OFFSET([2]characters!$A$1,0,0,COUNTA([2]characters!$A:$A),MATCH(I$1,[2]characters!$1:$1,0)-MATCH($A$1,[2]characters!$1:$1,0)+1),MATCH(I$1,[2]characters!$1:$1,0)-MATCH($A$1,[2]characters!$1:$1,0)+1,FALSE)</f>
        <v>yellow</v>
      </c>
      <c r="J276" s="14">
        <f ca="1">VLOOKUP(I276,[2]属性!$A:$E,2,FALSE)</f>
        <v>0.98</v>
      </c>
      <c r="K276" s="14">
        <f ca="1">VLOOKUP(I276,[2]属性!$A:$E,3,FALSE)</f>
        <v>1.01</v>
      </c>
      <c r="L276" s="14">
        <f ca="1">VLOOKUP(I276,[2]属性!$A:$E,4,FALSE)</f>
        <v>1</v>
      </c>
      <c r="M276" s="14">
        <f ca="1">VLOOKUP(I276,[2]属性!$A:$E,5,FALSE)</f>
        <v>1.01</v>
      </c>
      <c r="N276" s="14">
        <f ca="1">INDEX(コスト!$A$1:$I$20,MATCH(H276,コスト!$A$1:$A$20,FALSE),MATCH(G276,コスト!$A$1:$I$1,FALSE))</f>
        <v>26</v>
      </c>
      <c r="O276" s="14">
        <f ca="1">INDEX(レベル!$A$1:$I$21,MATCH(H276,レベル!$A$1:$A$21,FALSE),MATCH(G276,レベル!$A$1:$I$1,FALSE))</f>
        <v>80</v>
      </c>
      <c r="P276" s="63">
        <f t="shared" ca="1" si="35"/>
        <v>75</v>
      </c>
      <c r="Q276" s="77" t="str">
        <f ca="1">VLOOKUP($A276,OFFSET([2]characters!$A$1,0,0,COUNTA([2]characters!$A:$A),MATCH(Q$1,[2]characters!$1:$1,0)-MATCH($A$1,[2]characters!$1:$1,0)+1),MATCH(Q$1,[2]characters!$1:$1,0)-MATCH($A$1,[2]characters!$1:$1,0)+1,FALSE)</f>
        <v>attack</v>
      </c>
      <c r="R276" s="8" t="str">
        <f ca="1">VLOOKUP(Q276,[2]character_type_i18n!$A:$H,3,FALSE)</f>
        <v>攻撃タイプ</v>
      </c>
      <c r="S276" s="14">
        <f ca="1">VLOOKUP(Q276,[2]character_type_i18n!$A:$H,4,FALSE)</f>
        <v>1</v>
      </c>
      <c r="T276" s="14">
        <f ca="1">VLOOKUP(Q276,[2]character_type_i18n!$A:$H,5,FALSE)</f>
        <v>1.33</v>
      </c>
      <c r="U276" s="14">
        <f ca="1">VLOOKUP(Q276,[2]character_type_i18n!$A:$H,6,FALSE)</f>
        <v>1</v>
      </c>
      <c r="V276" s="14">
        <f ca="1">VLOOKUP(Q276,[2]character_type_i18n!$A:$H,7,FALSE)</f>
        <v>0.67</v>
      </c>
      <c r="W276" s="77" t="str">
        <f ca="1">VLOOKUP($A276,OFFSET([2]characters!$A$1,0,0,COUNTA([2]characters!$A:$A),MATCH(W$1,[2]characters!$1:$1,0)-MATCH($A$1,[2]characters!$1:$1,0)+1),MATCH(W$1,[2]characters!$1:$1,0)-MATCH($A$1,[2]characters!$1:$1,0)+1,FALSE)</f>
        <v>human</v>
      </c>
      <c r="X276" s="8" t="str">
        <f ca="1">VLOOKUP(W276,[2]character_tribe_i18n!$A:$H,3,FALSE)</f>
        <v>ヒューマン</v>
      </c>
      <c r="Y276" s="77" t="str">
        <f ca="1">VLOOKUP($A276,OFFSET([2]characters!$A$1,0,0,COUNTA([2]characters!$A:$A),MATCH(Y$1,[2]characters!$1:$1,0)-MATCH($A$1,[2]characters!$1:$1,0)+1),MATCH(Y$1,[2]characters!$1:$1,0)-MATCH($A$1,[2]characters!$1:$1,0)+1,FALSE)</f>
        <v>animal</v>
      </c>
      <c r="Z276" s="8" t="str">
        <f ca="1">VLOOKUP(Y276,[2]character_tribe_i18n!$A:$H,3,FALSE)</f>
        <v>アニマル</v>
      </c>
      <c r="AA276" s="14">
        <f ca="1">VLOOKUP(W276,[2]character_tribe_i18n!$A:$H,4,FALSE)</f>
        <v>0.94</v>
      </c>
      <c r="AB276" s="14">
        <f ca="1">VLOOKUP(W276,[2]character_tribe_i18n!$A:$H,5,FALSE)</f>
        <v>0.99</v>
      </c>
      <c r="AC276" s="14">
        <f ca="1">VLOOKUP(W276,[2]character_tribe_i18n!$A:$H,6,FALSE)</f>
        <v>1</v>
      </c>
      <c r="AD276" s="14">
        <f ca="1">VLOOKUP(W276,[2]character_tribe_i18n!$A:$H,7,FALSE)</f>
        <v>1.07</v>
      </c>
      <c r="AE276" s="12" t="s">
        <v>102</v>
      </c>
      <c r="AF276" s="85" t="str">
        <f ca="1">IF(AE276="NULL","",VLOOKUP($AE276,OFFSET([2]characters!$A$1,0,0,COUNTA([2]characters!$A:$A),MATCH(AF$1,[2]characters!$1:$1,0)-MATCH($A$1,[2]characters!$1:$1,0)+1),MATCH(AF$1,[2]characters!$1:$1,0)-MATCH($A$1,[2]characters!$1:$1,0)+1,FALSE))</f>
        <v/>
      </c>
      <c r="AG276" s="8">
        <f t="shared" ca="1" si="30"/>
        <v>274</v>
      </c>
      <c r="AH276" s="85" t="str">
        <f ca="1">VLOOKUP($AG276,OFFSET([2]characters!$A$1,0,0,COUNTA([2]characters!$A:$A),MATCH(AH$1,[2]characters!$1:$1,0)-MATCH($A$1,[2]characters!$1:$1,0)+1),MATCH(AH$1,[2]characters!$1:$1,0)-MATCH($A$1,[2]characters!$1:$1,0)+1,FALSE)</f>
        <v>砕棒のガエル</v>
      </c>
      <c r="AI276" s="14" t="str">
        <f>IF(AE276="NULL","NULL",VLOOKUP(G276,ビット!$A$2:$B$7,2))</f>
        <v>NULL</v>
      </c>
      <c r="AJ276" s="9">
        <v>2</v>
      </c>
      <c r="AK276" s="10" t="str">
        <f t="shared" si="31"/>
        <v>普通</v>
      </c>
      <c r="AL276" s="14" t="str">
        <f ca="1">INDEX(経験値!$A$1:$I$20,MATCH(H276,経験値!$A$1:$A$20,FALSE),MATCH(G276,経験値!$A$1:$I$1,FALSE))</f>
        <v>required_exp_200</v>
      </c>
      <c r="AM276" s="11">
        <f ca="1">VLOOKUP(G276,経験値!$A$27:$B$31,2)</f>
        <v>6400</v>
      </c>
      <c r="AN276" s="21">
        <f ca="1">VLOOKUP(G276,ビット!$G$2:$H$7,2)</f>
        <v>900</v>
      </c>
      <c r="AO276" s="98" t="s">
        <v>178</v>
      </c>
      <c r="AP276" s="101">
        <v>322010</v>
      </c>
      <c r="AQ276" s="77" t="e">
        <f ca="1">VLOOKUP($AP276,OFFSET([1]unit_skills!$A$1,0,0,COUNTA([1]unit_skills!$A:$A),MATCH("name",[1]unit_skills!$1:$1,0)-MATCH($AP$1,[1]unit_skills!$1:$1,0)+1),MATCH("name",[1]unit_skills!$1:$1,0)-MATCH($AP$1,[1]unit_skills!$1:$1,0)+1,FALSE)</f>
        <v>#VALUE!</v>
      </c>
      <c r="AR276" s="77" t="e">
        <f ca="1">VLOOKUP($AP276,OFFSET([1]unit_skills!$A$1,0,0,COUNTA([1]unit_skills!$A:$A),MATCH("comment",[1]unit_skills!$1:$1,0)-MATCH($AP$1,[1]unit_skills!$1:$1,0)+1),MATCH("comment",[1]unit_skills!$1:$1,0)-MATCH($AP$1,[1]unit_skills!$1:$1,0)+1,FALSE)</f>
        <v>#VALUE!</v>
      </c>
      <c r="AS276" s="77" t="e">
        <f ca="1">VLOOKUP($AP276,OFFSET([1]unit_skills!$A$1,0,0,COUNTA([1]unit_skills!$A:$A),MATCH(AS$1,[1]unit_skills!$1:$1,0)-MATCH($AP$1,[1]unit_skills!$1:$1,0)+1),MATCH(AS$1,[1]unit_skills!$1:$1,0)-MATCH($AP$1,[1]unit_skills!$1:$1,0)+1,FALSE)</f>
        <v>#VALUE!</v>
      </c>
      <c r="AT276" s="97">
        <v>114016</v>
      </c>
      <c r="AU276" s="77" t="e">
        <f ca="1">VLOOKUP($AT276,OFFSET([1]crash_skills!$A$1,0,0,COUNTA([1]crash_skills!$A:$A),MATCH("name",[1]crash_skills!$1:$1,0)-MATCH($AT$1,[1]crash_skills!$1:$1,0)+1),MATCH("name",[1]crash_skills!$1:$1,0)-MATCH($AT$1,[1]crash_skills!$1:$1,0)+1,FALSE)</f>
        <v>#VALUE!</v>
      </c>
      <c r="AV276" s="77" t="e">
        <f ca="1">VLOOKUP($AT276,OFFSET([1]crash_skills!$A$1,0,0,COUNTA([1]crash_skills!$A:$A),MATCH("comment",[1]crash_skills!$1:$1,0)-MATCH($AT$1,[1]crash_skills!$1:$1,0)+1),MATCH("comment",[1]crash_skills!$1:$1,0)-MATCH($AT$1,[1]crash_skills!$1:$1,0)+1,FALSE)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76" s="77" t="e">
        <f ca="1">VLOOKUP($AT276,OFFSET([1]crash_skills!$A$1,0,0,COUNTA([1]crash_skills!$A:$A),MATCH(AW$1,[1]crash_skills!$1:$1,0)-MATCH($AT$1,[1]crash_skills!$1:$1,0)+1),MATCH(AW$1,[1]crash_skills!$1:$1,0)-MATCH($AT$1,[1]crash_skills!$1:$1,0)+1,FALSE)</f>
        <v>#VALUE!</v>
      </c>
      <c r="AX276" s="81">
        <f ca="1">VLOOKUP($A276,OFFSET([2]characters!$A$1,0,0,COUNTA([2]characters!$A:$A),MATCH(AX$1,[2]characters!$1:$1,0)-MATCH($A$1,[2]characters!$1:$1,0)+1),MATCH(AX$1,[2]characters!$1:$1,0)-MATCH($A$1,[2]characters!$1:$1,0)+1,FALSE)</f>
        <v>3</v>
      </c>
      <c r="AY276" s="19">
        <v>1</v>
      </c>
      <c r="AZ276" s="19">
        <v>1</v>
      </c>
      <c r="BA276" s="19">
        <v>0</v>
      </c>
      <c r="BB276" s="19">
        <v>1</v>
      </c>
      <c r="BC276" s="14">
        <f ca="1">INDEX('RC6SV'!$A$1:$G$20,MATCH(H276,'RC6SV'!$A$1:$A$20,FALSE),MATCH(G276,'RC6SV'!$A$1:$G$1,FALSE))</f>
        <v>7600</v>
      </c>
      <c r="BD276" s="63">
        <f t="shared" ca="1" si="32"/>
        <v>7600</v>
      </c>
      <c r="BE276" s="14">
        <f t="shared" ca="1" si="33"/>
        <v>5800</v>
      </c>
      <c r="BF276" s="14">
        <f t="shared" ca="1" si="34"/>
        <v>1</v>
      </c>
      <c r="BG276" s="20">
        <f ca="1">IF($BE276&lt;=0,ROUND(BK276*0.5,0), ROUND($BE276*S276*AA276*J276*AY276*0.8*[2]ステータス!$B$2,0))</f>
        <v>2137</v>
      </c>
      <c r="BH276" s="20">
        <f ca="1">IF($BE276&lt;=0,ROUND(BL276*0.5,0), ROUND($BE276*T276*AB276*K276*AZ276*0.8*[2]ステータス!$C$2,0))</f>
        <v>1851</v>
      </c>
      <c r="BI276" s="20">
        <f ca="1">IF($BE276&lt;=0,ROUND(BM276*0.5,0), ROUND($BE276*U276*AC276*L276*BA276*0.8*[2]ステータス!$D$2,0))</f>
        <v>0</v>
      </c>
      <c r="BJ276" s="20">
        <f ca="1">IF($BE276&lt;=0,ROUND(BN276*0.5,0), ROUND($BE276*V276*AD276*M276*BB276*0.8*[2]ステータス!$E$2,0))</f>
        <v>840</v>
      </c>
      <c r="BK276" s="14">
        <f ca="1">ROUND(BD276*S276*AA276*J276*AY276*[2]ステータス!$B$2,0)</f>
        <v>3501</v>
      </c>
      <c r="BL276" s="14">
        <f ca="1">ROUND(BD276*T276*AB276*K276*AZ276*[2]ステータス!$C$2,0)</f>
        <v>3032</v>
      </c>
      <c r="BM276" s="14">
        <f ca="1">ROUND(BD276*U276*AC276*L276*BA276*[2]ステータス!$D$2,0)</f>
        <v>0</v>
      </c>
      <c r="BN276" s="14">
        <f ca="1">ROUND(BD276*V276*AD276*M276*BB276*[2]ステータス!$E$2,0)</f>
        <v>1376</v>
      </c>
      <c r="BO276" s="13">
        <v>0</v>
      </c>
      <c r="BP276" s="13">
        <v>1</v>
      </c>
      <c r="BQ276" s="13" t="s">
        <v>102</v>
      </c>
      <c r="BR276" s="13">
        <f ca="1">VLOOKUP(H276,ghosts_label!$A$2:$B$19,2,FALSE)</f>
        <v>1</v>
      </c>
    </row>
    <row r="277" spans="1:70" ht="21" customHeight="1" x14ac:dyDescent="0.15">
      <c r="A277" s="14">
        <f t="shared" ca="1" si="29"/>
        <v>276</v>
      </c>
      <c r="B277" s="77" t="str">
        <f ca="1">VLOOKUP($A277,OFFSET([2]characters!$A$1,0,0,COUNTA([2]characters!$A:$A),MATCH(B$1,[2]characters!$1:$1,0)-MATCH($A$1,[2]characters!$1:$1,0)+1),MATCH(B$1,[2]characters!$1:$1,0)-MATCH($A$1,[2]characters!$1:$1,0)+1,FALSE)</f>
        <v>機拳のイリア</v>
      </c>
      <c r="C277" s="77" t="str">
        <f ca="1">VLOOKUP($A277,OFFSET([2]characters!$A$1,0,0,COUNTA([2]characters!$A:$A),MATCH(C$1,[2]characters!$1:$1,0)-MATCH($A$1,[2]characters!$1:$1,0)+1),MATCH(C$1,[2]characters!$1:$1,0)-MATCH($A$1,[2]characters!$1:$1,0)+1,FALSE)</f>
        <v>イベント:暴走するアバター01</v>
      </c>
      <c r="D277" s="77" t="str">
        <f ca="1">VLOOKUP($A277,OFFSET([2]characters!$A$1,0,0,COUNTA([2]characters!$A:$A),MATCH(D$1,[2]characters!$1:$1,0)-MATCH($A$1,[2]characters!$1:$1,0)+1),MATCH(D$1,[2]characters!$1:$1,0)-MATCH($A$1,[2]characters!$1:$1,0)+1,FALSE)</f>
        <v>探索者</v>
      </c>
      <c r="E277" s="77" t="str">
        <f ca="1">VLOOKUP($A277,OFFSET([2]characters!$A$1,0,0,COUNTA([2]characters!$A:$A),MATCH(E$1,[2]characters!$1:$1,0)-MATCH($A$1,[2]characters!$1:$1,0)+1),MATCH(E$1,[2]characters!$1:$1,0)-MATCH($A$1,[2]characters!$1:$1,0)+1,FALSE)</f>
        <v>可愛い</v>
      </c>
      <c r="F277" s="77" t="str">
        <f ca="1">VLOOKUP($A277,OFFSET([2]characters!$A$1,0,0,COUNTA([2]characters!$A:$A),MATCH(F$1,[2]characters!$1:$1,0)-MATCH($A$1,[2]characters!$1:$1,0)+1),MATCH(F$1,[2]characters!$1:$1,0)-MATCH($A$1,[2]characters!$1:$1,0)+1,FALSE)</f>
        <v>女性</v>
      </c>
      <c r="G277" s="77">
        <f ca="1">VLOOKUP($A277,OFFSET([2]characters!$A$1,0,0,COUNTA([2]characters!$A:$A),MATCH(G$1,[2]characters!$1:$1,0)-MATCH($A$1,[2]characters!$1:$1,0)+1),MATCH(G$1,[2]characters!$1:$1,0)-MATCH($A$1,[2]characters!$1:$1,0)+1,FALSE)</f>
        <v>4</v>
      </c>
      <c r="H277" s="77" t="str">
        <f ca="1">VLOOKUP($A277,OFFSET([2]characters!$A$1,0,0,COUNTA([2]characters!$A:$A),MATCH(H$1,[2]characters!$1:$1,0)-MATCH($A$1,[2]characters!$1:$1,0)+1),MATCH(H$1,[2]characters!$1:$1,0)-MATCH($A$1,[2]characters!$1:$1,0)+1,FALSE)</f>
        <v>Drop2N</v>
      </c>
      <c r="I277" s="77" t="str">
        <f ca="1">VLOOKUP($A277,OFFSET([2]characters!$A$1,0,0,COUNTA([2]characters!$A:$A),MATCH(I$1,[2]characters!$1:$1,0)-MATCH($A$1,[2]characters!$1:$1,0)+1),MATCH(I$1,[2]characters!$1:$1,0)-MATCH($A$1,[2]characters!$1:$1,0)+1,FALSE)</f>
        <v>red</v>
      </c>
      <c r="J277" s="14">
        <f ca="1">VLOOKUP(I277,[2]属性!$A:$E,2,FALSE)</f>
        <v>1</v>
      </c>
      <c r="K277" s="14">
        <f ca="1">VLOOKUP(I277,[2]属性!$A:$E,3,FALSE)</f>
        <v>1.02</v>
      </c>
      <c r="L277" s="14">
        <f ca="1">VLOOKUP(I277,[2]属性!$A:$E,4,FALSE)</f>
        <v>1</v>
      </c>
      <c r="M277" s="14">
        <f ca="1">VLOOKUP(I277,[2]属性!$A:$E,5,FALSE)</f>
        <v>0.98</v>
      </c>
      <c r="N277" s="14">
        <f ca="1">INDEX(コスト!$A$1:$I$20,MATCH(H277,コスト!$A$1:$A$20,FALSE),MATCH(G277,コスト!$A$1:$I$1,FALSE))</f>
        <v>17</v>
      </c>
      <c r="O277" s="14">
        <f ca="1">INDEX(レベル!$A$1:$I$21,MATCH(H277,レベル!$A$1:$A$21,FALSE),MATCH(G277,レベル!$A$1:$I$1,FALSE))</f>
        <v>60</v>
      </c>
      <c r="P277" s="63">
        <f t="shared" ca="1" si="35"/>
        <v>60</v>
      </c>
      <c r="Q277" s="77" t="str">
        <f ca="1">VLOOKUP($A277,OFFSET([2]characters!$A$1,0,0,COUNTA([2]characters!$A:$A),MATCH(Q$1,[2]characters!$1:$1,0)-MATCH($A$1,[2]characters!$1:$1,0)+1),MATCH(Q$1,[2]characters!$1:$1,0)-MATCH($A$1,[2]characters!$1:$1,0)+1,FALSE)</f>
        <v>balance</v>
      </c>
      <c r="R277" s="8" t="str">
        <f ca="1">VLOOKUP(Q277,[2]character_type_i18n!$A:$H,3,FALSE)</f>
        <v>バランスタイプ</v>
      </c>
      <c r="S277" s="14">
        <f ca="1">VLOOKUP(Q277,[2]character_type_i18n!$A:$H,4,FALSE)</f>
        <v>1</v>
      </c>
      <c r="T277" s="14">
        <f ca="1">VLOOKUP(Q277,[2]character_type_i18n!$A:$H,5,FALSE)</f>
        <v>1</v>
      </c>
      <c r="U277" s="14">
        <f ca="1">VLOOKUP(Q277,[2]character_type_i18n!$A:$H,6,FALSE)</f>
        <v>1</v>
      </c>
      <c r="V277" s="14">
        <f ca="1">VLOOKUP(Q277,[2]character_type_i18n!$A:$H,7,FALSE)</f>
        <v>1</v>
      </c>
      <c r="W277" s="77" t="str">
        <f ca="1">VLOOKUP($A277,OFFSET([2]characters!$A$1,0,0,COUNTA([2]characters!$A:$A),MATCH(W$1,[2]characters!$1:$1,0)-MATCH($A$1,[2]characters!$1:$1,0)+1),MATCH(W$1,[2]characters!$1:$1,0)-MATCH($A$1,[2]characters!$1:$1,0)+1,FALSE)</f>
        <v>human</v>
      </c>
      <c r="X277" s="8" t="str">
        <f ca="1">VLOOKUP(W277,[2]character_tribe_i18n!$A:$H,3,FALSE)</f>
        <v>ヒューマン</v>
      </c>
      <c r="Y277" s="77" t="str">
        <f ca="1">VLOOKUP($A277,OFFSET([2]characters!$A$1,0,0,COUNTA([2]characters!$A:$A),MATCH(Y$1,[2]characters!$1:$1,0)-MATCH($A$1,[2]characters!$1:$1,0)+1),MATCH(Y$1,[2]characters!$1:$1,0)-MATCH($A$1,[2]characters!$1:$1,0)+1,FALSE)</f>
        <v>machine</v>
      </c>
      <c r="Z277" s="8" t="str">
        <f ca="1">VLOOKUP(Y277,[2]character_tribe_i18n!$A:$H,3,FALSE)</f>
        <v>マシン</v>
      </c>
      <c r="AA277" s="14">
        <f ca="1">VLOOKUP(W277,[2]character_tribe_i18n!$A:$H,4,FALSE)</f>
        <v>0.94</v>
      </c>
      <c r="AB277" s="14">
        <f ca="1">VLOOKUP(W277,[2]character_tribe_i18n!$A:$H,5,FALSE)</f>
        <v>0.99</v>
      </c>
      <c r="AC277" s="14">
        <f ca="1">VLOOKUP(W277,[2]character_tribe_i18n!$A:$H,6,FALSE)</f>
        <v>1</v>
      </c>
      <c r="AD277" s="14">
        <f ca="1">VLOOKUP(W277,[2]character_tribe_i18n!$A:$H,7,FALSE)</f>
        <v>1.07</v>
      </c>
      <c r="AE277" s="12">
        <v>277</v>
      </c>
      <c r="AF277" s="85" t="str">
        <f ca="1">IF(AE277="NULL","",VLOOKUP($AE277,OFFSET([2]characters!$A$1,0,0,COUNTA([2]characters!$A:$A),MATCH(AF$1,[2]characters!$1:$1,0)-MATCH($A$1,[2]characters!$1:$1,0)+1),MATCH(AF$1,[2]characters!$1:$1,0)-MATCH($A$1,[2]characters!$1:$1,0)+1,FALSE))</f>
        <v>機拳恐慌 イリア</v>
      </c>
      <c r="AG277" s="8">
        <f t="shared" ca="1" si="30"/>
        <v>276</v>
      </c>
      <c r="AH277" s="85" t="str">
        <f ca="1">VLOOKUP($AG277,OFFSET([2]characters!$A$1,0,0,COUNTA([2]characters!$A:$A),MATCH(AH$1,[2]characters!$1:$1,0)-MATCH($A$1,[2]characters!$1:$1,0)+1),MATCH(AH$1,[2]characters!$1:$1,0)-MATCH($A$1,[2]characters!$1:$1,0)+1,FALSE)</f>
        <v>機拳のイリア</v>
      </c>
      <c r="AI277" s="14">
        <f ca="1">IF(AE277="NULL","NULL",VLOOKUP(G277,ビット!$A$2:$B$7,2))</f>
        <v>50000</v>
      </c>
      <c r="AJ277" s="9">
        <v>2</v>
      </c>
      <c r="AK277" s="10" t="str">
        <f t="shared" si="31"/>
        <v>普通</v>
      </c>
      <c r="AL277" s="14" t="str">
        <f ca="1">INDEX(経験値!$A$1:$I$20,MATCH(H277,経験値!$A$1:$A$20,FALSE),MATCH(G277,経験値!$A$1:$I$1,FALSE))</f>
        <v>required_exp_200</v>
      </c>
      <c r="AM277" s="11">
        <f ca="1">VLOOKUP(G277,経験値!$A$27:$B$31,2)</f>
        <v>3400</v>
      </c>
      <c r="AN277" s="21">
        <f ca="1">VLOOKUP(G277,ビット!$G$2:$H$7,2)</f>
        <v>600</v>
      </c>
      <c r="AO277" s="98" t="s">
        <v>178</v>
      </c>
      <c r="AP277" s="97">
        <v>324009</v>
      </c>
      <c r="AQ277" s="77" t="e">
        <f ca="1">VLOOKUP($AP277,OFFSET([1]unit_skills!$A$1,0,0,COUNTA([1]unit_skills!$A:$A),MATCH("name",[1]unit_skills!$1:$1,0)-MATCH($AP$1,[1]unit_skills!$1:$1,0)+1),MATCH("name",[1]unit_skills!$1:$1,0)-MATCH($AP$1,[1]unit_skills!$1:$1,0)+1,FALSE)</f>
        <v>#VALUE!</v>
      </c>
      <c r="AR277" s="77" t="e">
        <f ca="1">VLOOKUP($AP277,OFFSET([1]unit_skills!$A$1,0,0,COUNTA([1]unit_skills!$A:$A),MATCH("comment",[1]unit_skills!$1:$1,0)-MATCH($AP$1,[1]unit_skills!$1:$1,0)+1),MATCH("comment",[1]unit_skills!$1:$1,0)-MATCH($AP$1,[1]unit_skills!$1:$1,0)+1,FALSE)</f>
        <v>#VALUE!</v>
      </c>
      <c r="AS277" s="77" t="e">
        <f ca="1">VLOOKUP($AP277,OFFSET([1]unit_skills!$A$1,0,0,COUNTA([1]unit_skills!$A:$A),MATCH(AS$1,[1]unit_skills!$1:$1,0)-MATCH($AP$1,[1]unit_skills!$1:$1,0)+1),MATCH(AS$1,[1]unit_skills!$1:$1,0)-MATCH($AP$1,[1]unit_skills!$1:$1,0)+1,FALSE)</f>
        <v>#VALUE!</v>
      </c>
      <c r="AT277" s="97">
        <v>111103</v>
      </c>
      <c r="AU277" s="77" t="e">
        <f ca="1">VLOOKUP($AT277,OFFSET([1]crash_skills!$A$1,0,0,COUNTA([1]crash_skills!$A:$A),MATCH("name",[1]crash_skills!$1:$1,0)-MATCH($AT$1,[1]crash_skills!$1:$1,0)+1),MATCH("name",[1]crash_skills!$1:$1,0)-MATCH($AT$1,[1]crash_skills!$1:$1,0)+1,FALSE)</f>
        <v>#VALUE!</v>
      </c>
      <c r="AV277" s="77" t="e">
        <f ca="1">VLOOKUP($AT277,OFFSET([1]crash_skills!$A$1,0,0,COUNTA([1]crash_skills!$A:$A),MATCH("comment",[1]crash_skills!$1:$1,0)-MATCH($AT$1,[1]crash_skills!$1:$1,0)+1),MATCH("comment",[1]crash_skills!$1:$1,0)-MATCH($AT$1,[1]crash_skills!$1:$1,0)+1,FALSE)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77" s="77" t="e">
        <f ca="1">VLOOKUP($AT277,OFFSET([1]crash_skills!$A$1,0,0,COUNTA([1]crash_skills!$A:$A),MATCH(AW$1,[1]crash_skills!$1:$1,0)-MATCH($AT$1,[1]crash_skills!$1:$1,0)+1),MATCH(AW$1,[1]crash_skills!$1:$1,0)-MATCH($AT$1,[1]crash_skills!$1:$1,0)+1,FALSE)</f>
        <v>#VALUE!</v>
      </c>
      <c r="AX277" s="81">
        <f ca="1">VLOOKUP($A277,OFFSET([2]characters!$A$1,0,0,COUNTA([2]characters!$A:$A),MATCH(AX$1,[2]characters!$1:$1,0)-MATCH($A$1,[2]characters!$1:$1,0)+1),MATCH(AX$1,[2]characters!$1:$1,0)-MATCH($A$1,[2]characters!$1:$1,0)+1,FALSE)</f>
        <v>3</v>
      </c>
      <c r="AY277" s="19">
        <v>1</v>
      </c>
      <c r="AZ277" s="19">
        <v>1</v>
      </c>
      <c r="BA277" s="19">
        <v>0</v>
      </c>
      <c r="BB277" s="19">
        <v>1</v>
      </c>
      <c r="BC277" s="14">
        <f ca="1">INDEX('RC6SV'!$A$1:$G$20,MATCH(H277,'RC6SV'!$A$1:$A$20,FALSE),MATCH(G277,'RC6SV'!$A$1:$G$1,FALSE))</f>
        <v>5800</v>
      </c>
      <c r="BD277" s="63">
        <f t="shared" ca="1" si="32"/>
        <v>5800</v>
      </c>
      <c r="BE277" s="14">
        <f t="shared" ca="1" si="33"/>
        <v>0</v>
      </c>
      <c r="BF277" s="14">
        <f t="shared" ca="1" si="34"/>
        <v>1</v>
      </c>
      <c r="BG277" s="20">
        <f ca="1">IF($BE277&lt;=0,ROUND(BK277*0.5,0), ROUND($BE277*S277*AA277*J277*AY277*0.8*[2]ステータス!$B$2,0))</f>
        <v>1363</v>
      </c>
      <c r="BH277" s="20">
        <f ca="1">IF($BE277&lt;=0,ROUND(BL277*0.5,0), ROUND($BE277*T277*AB277*K277*AZ277*0.8*[2]ステータス!$C$2,0))</f>
        <v>879</v>
      </c>
      <c r="BI277" s="20">
        <f ca="1">IF($BE277&lt;=0,ROUND(BM277*0.5,0), ROUND($BE277*U277*AC277*L277*BA277*0.8*[2]ステータス!$D$2,0))</f>
        <v>0</v>
      </c>
      <c r="BJ277" s="20">
        <f ca="1">IF($BE277&lt;=0,ROUND(BN277*0.5,0), ROUND($BE277*V277*AD277*M277*BB277*0.8*[2]ステータス!$E$2,0))</f>
        <v>760</v>
      </c>
      <c r="BK277" s="14">
        <f ca="1">ROUND(BD277*S277*AA277*J277*AY277*[2]ステータス!$B$2,0)</f>
        <v>2726</v>
      </c>
      <c r="BL277" s="14">
        <f ca="1">ROUND(BD277*T277*AB277*K277*AZ277*[2]ステータス!$C$2,0)</f>
        <v>1757</v>
      </c>
      <c r="BM277" s="14">
        <f ca="1">ROUND(BD277*U277*AC277*L277*BA277*[2]ステータス!$D$2,0)</f>
        <v>0</v>
      </c>
      <c r="BN277" s="14">
        <f ca="1">ROUND(BD277*V277*AD277*M277*BB277*[2]ステータス!$E$2,0)</f>
        <v>1520</v>
      </c>
      <c r="BO277" s="13">
        <v>0</v>
      </c>
      <c r="BP277" s="13">
        <v>1</v>
      </c>
      <c r="BQ277" s="13" t="s">
        <v>102</v>
      </c>
      <c r="BR277" s="13">
        <f ca="1">VLOOKUP(H277,ghosts_label!$A$2:$B$19,2,FALSE)</f>
        <v>1</v>
      </c>
    </row>
    <row r="278" spans="1:70" ht="21" customHeight="1" x14ac:dyDescent="0.15">
      <c r="A278" s="14">
        <f t="shared" ca="1" si="29"/>
        <v>277</v>
      </c>
      <c r="B278" s="77" t="str">
        <f ca="1">VLOOKUP($A278,OFFSET([2]characters!$A$1,0,0,COUNTA([2]characters!$A:$A),MATCH(B$1,[2]characters!$1:$1,0)-MATCH($A$1,[2]characters!$1:$1,0)+1),MATCH(B$1,[2]characters!$1:$1,0)-MATCH($A$1,[2]characters!$1:$1,0)+1,FALSE)</f>
        <v>機拳恐慌 イリア</v>
      </c>
      <c r="C278" s="77" t="str">
        <f ca="1">VLOOKUP($A278,OFFSET([2]characters!$A$1,0,0,COUNTA([2]characters!$A:$A),MATCH(C$1,[2]characters!$1:$1,0)-MATCH($A$1,[2]characters!$1:$1,0)+1),MATCH(C$1,[2]characters!$1:$1,0)-MATCH($A$1,[2]characters!$1:$1,0)+1,FALSE)</f>
        <v>イベント:暴走するアバター01</v>
      </c>
      <c r="D278" s="77" t="str">
        <f ca="1">VLOOKUP($A278,OFFSET([2]characters!$A$1,0,0,COUNTA([2]characters!$A:$A),MATCH(D$1,[2]characters!$1:$1,0)-MATCH($A$1,[2]characters!$1:$1,0)+1),MATCH(D$1,[2]characters!$1:$1,0)-MATCH($A$1,[2]characters!$1:$1,0)+1,FALSE)</f>
        <v>探索者</v>
      </c>
      <c r="E278" s="77" t="str">
        <f ca="1">VLOOKUP($A278,OFFSET([2]characters!$A$1,0,0,COUNTA([2]characters!$A:$A),MATCH(E$1,[2]characters!$1:$1,0)-MATCH($A$1,[2]characters!$1:$1,0)+1),MATCH(E$1,[2]characters!$1:$1,0)-MATCH($A$1,[2]characters!$1:$1,0)+1,FALSE)</f>
        <v>可愛い</v>
      </c>
      <c r="F278" s="77" t="str">
        <f ca="1">VLOOKUP($A278,OFFSET([2]characters!$A$1,0,0,COUNTA([2]characters!$A:$A),MATCH(F$1,[2]characters!$1:$1,0)-MATCH($A$1,[2]characters!$1:$1,0)+1),MATCH(F$1,[2]characters!$1:$1,0)-MATCH($A$1,[2]characters!$1:$1,0)+1,FALSE)</f>
        <v>女性</v>
      </c>
      <c r="G278" s="77">
        <f ca="1">VLOOKUP($A278,OFFSET([2]characters!$A$1,0,0,COUNTA([2]characters!$A:$A),MATCH(G$1,[2]characters!$1:$1,0)-MATCH($A$1,[2]characters!$1:$1,0)+1),MATCH(G$1,[2]characters!$1:$1,0)-MATCH($A$1,[2]characters!$1:$1,0)+1,FALSE)</f>
        <v>5</v>
      </c>
      <c r="H278" s="77" t="str">
        <f ca="1">VLOOKUP($A278,OFFSET([2]characters!$A$1,0,0,COUNTA([2]characters!$A:$A),MATCH(H$1,[2]characters!$1:$1,0)-MATCH($A$1,[2]characters!$1:$1,0)+1),MATCH(H$1,[2]characters!$1:$1,0)-MATCH($A$1,[2]characters!$1:$1,0)+1,FALSE)</f>
        <v>Drop2N</v>
      </c>
      <c r="I278" s="77" t="str">
        <f ca="1">VLOOKUP($A278,OFFSET([2]characters!$A$1,0,0,COUNTA([2]characters!$A:$A),MATCH(I$1,[2]characters!$1:$1,0)-MATCH($A$1,[2]characters!$1:$1,0)+1),MATCH(I$1,[2]characters!$1:$1,0)-MATCH($A$1,[2]characters!$1:$1,0)+1,FALSE)</f>
        <v>red</v>
      </c>
      <c r="J278" s="14">
        <f ca="1">VLOOKUP(I278,[2]属性!$A:$E,2,FALSE)</f>
        <v>1</v>
      </c>
      <c r="K278" s="14">
        <f ca="1">VLOOKUP(I278,[2]属性!$A:$E,3,FALSE)</f>
        <v>1.02</v>
      </c>
      <c r="L278" s="14">
        <f ca="1">VLOOKUP(I278,[2]属性!$A:$E,4,FALSE)</f>
        <v>1</v>
      </c>
      <c r="M278" s="14">
        <f ca="1">VLOOKUP(I278,[2]属性!$A:$E,5,FALSE)</f>
        <v>0.98</v>
      </c>
      <c r="N278" s="14">
        <f ca="1">INDEX(コスト!$A$1:$I$20,MATCH(H278,コスト!$A$1:$A$20,FALSE),MATCH(G278,コスト!$A$1:$I$1,FALSE))</f>
        <v>26</v>
      </c>
      <c r="O278" s="14">
        <f ca="1">INDEX(レベル!$A$1:$I$21,MATCH(H278,レベル!$A$1:$A$21,FALSE),MATCH(G278,レベル!$A$1:$I$1,FALSE))</f>
        <v>80</v>
      </c>
      <c r="P278" s="63">
        <f t="shared" ca="1" si="35"/>
        <v>75</v>
      </c>
      <c r="Q278" s="77" t="str">
        <f ca="1">VLOOKUP($A278,OFFSET([2]characters!$A$1,0,0,COUNTA([2]characters!$A:$A),MATCH(Q$1,[2]characters!$1:$1,0)-MATCH($A$1,[2]characters!$1:$1,0)+1),MATCH(Q$1,[2]characters!$1:$1,0)-MATCH($A$1,[2]characters!$1:$1,0)+1,FALSE)</f>
        <v>balance</v>
      </c>
      <c r="R278" s="8" t="str">
        <f ca="1">VLOOKUP(Q278,[2]character_type_i18n!$A:$H,3,FALSE)</f>
        <v>バランスタイプ</v>
      </c>
      <c r="S278" s="14">
        <f ca="1">VLOOKUP(Q278,[2]character_type_i18n!$A:$H,4,FALSE)</f>
        <v>1</v>
      </c>
      <c r="T278" s="14">
        <f ca="1">VLOOKUP(Q278,[2]character_type_i18n!$A:$H,5,FALSE)</f>
        <v>1</v>
      </c>
      <c r="U278" s="14">
        <f ca="1">VLOOKUP(Q278,[2]character_type_i18n!$A:$H,6,FALSE)</f>
        <v>1</v>
      </c>
      <c r="V278" s="14">
        <f ca="1">VLOOKUP(Q278,[2]character_type_i18n!$A:$H,7,FALSE)</f>
        <v>1</v>
      </c>
      <c r="W278" s="77" t="str">
        <f ca="1">VLOOKUP($A278,OFFSET([2]characters!$A$1,0,0,COUNTA([2]characters!$A:$A),MATCH(W$1,[2]characters!$1:$1,0)-MATCH($A$1,[2]characters!$1:$1,0)+1),MATCH(W$1,[2]characters!$1:$1,0)-MATCH($A$1,[2]characters!$1:$1,0)+1,FALSE)</f>
        <v>human</v>
      </c>
      <c r="X278" s="8" t="str">
        <f ca="1">VLOOKUP(W278,[2]character_tribe_i18n!$A:$H,3,FALSE)</f>
        <v>ヒューマン</v>
      </c>
      <c r="Y278" s="77" t="str">
        <f ca="1">VLOOKUP($A278,OFFSET([2]characters!$A$1,0,0,COUNTA([2]characters!$A:$A),MATCH(Y$1,[2]characters!$1:$1,0)-MATCH($A$1,[2]characters!$1:$1,0)+1),MATCH(Y$1,[2]characters!$1:$1,0)-MATCH($A$1,[2]characters!$1:$1,0)+1,FALSE)</f>
        <v>machine</v>
      </c>
      <c r="Z278" s="8" t="str">
        <f ca="1">VLOOKUP(Y278,[2]character_tribe_i18n!$A:$H,3,FALSE)</f>
        <v>マシン</v>
      </c>
      <c r="AA278" s="14">
        <f ca="1">VLOOKUP(W278,[2]character_tribe_i18n!$A:$H,4,FALSE)</f>
        <v>0.94</v>
      </c>
      <c r="AB278" s="14">
        <f ca="1">VLOOKUP(W278,[2]character_tribe_i18n!$A:$H,5,FALSE)</f>
        <v>0.99</v>
      </c>
      <c r="AC278" s="14">
        <f ca="1">VLOOKUP(W278,[2]character_tribe_i18n!$A:$H,6,FALSE)</f>
        <v>1</v>
      </c>
      <c r="AD278" s="14">
        <f ca="1">VLOOKUP(W278,[2]character_tribe_i18n!$A:$H,7,FALSE)</f>
        <v>1.07</v>
      </c>
      <c r="AE278" s="12" t="s">
        <v>102</v>
      </c>
      <c r="AF278" s="85" t="str">
        <f ca="1">IF(AE278="NULL","",VLOOKUP($AE278,OFFSET([2]characters!$A$1,0,0,COUNTA([2]characters!$A:$A),MATCH(AF$1,[2]characters!$1:$1,0)-MATCH($A$1,[2]characters!$1:$1,0)+1),MATCH(AF$1,[2]characters!$1:$1,0)-MATCH($A$1,[2]characters!$1:$1,0)+1,FALSE))</f>
        <v/>
      </c>
      <c r="AG278" s="8">
        <f t="shared" ca="1" si="30"/>
        <v>276</v>
      </c>
      <c r="AH278" s="85" t="str">
        <f ca="1">VLOOKUP($AG278,OFFSET([2]characters!$A$1,0,0,COUNTA([2]characters!$A:$A),MATCH(AH$1,[2]characters!$1:$1,0)-MATCH($A$1,[2]characters!$1:$1,0)+1),MATCH(AH$1,[2]characters!$1:$1,0)-MATCH($A$1,[2]characters!$1:$1,0)+1,FALSE)</f>
        <v>機拳のイリア</v>
      </c>
      <c r="AI278" s="14" t="str">
        <f>IF(AE278="NULL","NULL",VLOOKUP(G278,ビット!$A$2:$B$7,2))</f>
        <v>NULL</v>
      </c>
      <c r="AJ278" s="9">
        <v>2</v>
      </c>
      <c r="AK278" s="10" t="str">
        <f t="shared" si="31"/>
        <v>普通</v>
      </c>
      <c r="AL278" s="14" t="str">
        <f ca="1">INDEX(経験値!$A$1:$I$20,MATCH(H278,経験値!$A$1:$A$20,FALSE),MATCH(G278,経験値!$A$1:$I$1,FALSE))</f>
        <v>required_exp_200</v>
      </c>
      <c r="AM278" s="11">
        <f ca="1">VLOOKUP(G278,経験値!$A$27:$B$31,2)</f>
        <v>6400</v>
      </c>
      <c r="AN278" s="21">
        <f ca="1">VLOOKUP(G278,ビット!$G$2:$H$7,2)</f>
        <v>900</v>
      </c>
      <c r="AO278" s="98" t="s">
        <v>178</v>
      </c>
      <c r="AP278" s="97">
        <v>324010</v>
      </c>
      <c r="AQ278" s="77" t="e">
        <f ca="1">VLOOKUP($AP278,OFFSET([1]unit_skills!$A$1,0,0,COUNTA([1]unit_skills!$A:$A),MATCH("name",[1]unit_skills!$1:$1,0)-MATCH($AP$1,[1]unit_skills!$1:$1,0)+1),MATCH("name",[1]unit_skills!$1:$1,0)-MATCH($AP$1,[1]unit_skills!$1:$1,0)+1,FALSE)</f>
        <v>#VALUE!</v>
      </c>
      <c r="AR278" s="77" t="e">
        <f ca="1">VLOOKUP($AP278,OFFSET([1]unit_skills!$A$1,0,0,COUNTA([1]unit_skills!$A:$A),MATCH("comment",[1]unit_skills!$1:$1,0)-MATCH($AP$1,[1]unit_skills!$1:$1,0)+1),MATCH("comment",[1]unit_skills!$1:$1,0)-MATCH($AP$1,[1]unit_skills!$1:$1,0)+1,FALSE)</f>
        <v>#VALUE!</v>
      </c>
      <c r="AS278" s="77" t="e">
        <f ca="1">VLOOKUP($AP278,OFFSET([1]unit_skills!$A$1,0,0,COUNTA([1]unit_skills!$A:$A),MATCH(AS$1,[1]unit_skills!$1:$1,0)-MATCH($AP$1,[1]unit_skills!$1:$1,0)+1),MATCH(AS$1,[1]unit_skills!$1:$1,0)-MATCH($AP$1,[1]unit_skills!$1:$1,0)+1,FALSE)</f>
        <v>#VALUE!</v>
      </c>
      <c r="AT278" s="97">
        <v>111112</v>
      </c>
      <c r="AU278" s="77" t="e">
        <f ca="1">VLOOKUP($AT278,OFFSET([1]crash_skills!$A$1,0,0,COUNTA([1]crash_skills!$A:$A),MATCH("name",[1]crash_skills!$1:$1,0)-MATCH($AT$1,[1]crash_skills!$1:$1,0)+1),MATCH("name",[1]crash_skills!$1:$1,0)-MATCH($AT$1,[1]crash_skills!$1:$1,0)+1,FALSE)</f>
        <v>#VALUE!</v>
      </c>
      <c r="AV278" s="77" t="e">
        <f ca="1">VLOOKUP($AT278,OFFSET([1]crash_skills!$A$1,0,0,COUNTA([1]crash_skills!$A:$A),MATCH("comment",[1]crash_skills!$1:$1,0)-MATCH($AT$1,[1]crash_skills!$1:$1,0)+1),MATCH("comment",[1]crash_skills!$1:$1,0)-MATCH($AT$1,[1]crash_skills!$1:$1,0)+1,FALSE)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78" s="77" t="e">
        <f ca="1">VLOOKUP($AT278,OFFSET([1]crash_skills!$A$1,0,0,COUNTA([1]crash_skills!$A:$A),MATCH(AW$1,[1]crash_skills!$1:$1,0)-MATCH($AT$1,[1]crash_skills!$1:$1,0)+1),MATCH(AW$1,[1]crash_skills!$1:$1,0)-MATCH($AT$1,[1]crash_skills!$1:$1,0)+1,FALSE)</f>
        <v>#VALUE!</v>
      </c>
      <c r="AX278" s="81">
        <f ca="1">VLOOKUP($A278,OFFSET([2]characters!$A$1,0,0,COUNTA([2]characters!$A:$A),MATCH(AX$1,[2]characters!$1:$1,0)-MATCH($A$1,[2]characters!$1:$1,0)+1),MATCH(AX$1,[2]characters!$1:$1,0)-MATCH($A$1,[2]characters!$1:$1,0)+1,FALSE)</f>
        <v>3</v>
      </c>
      <c r="AY278" s="19">
        <v>1</v>
      </c>
      <c r="AZ278" s="19">
        <v>1</v>
      </c>
      <c r="BA278" s="19">
        <v>0</v>
      </c>
      <c r="BB278" s="19">
        <v>1</v>
      </c>
      <c r="BC278" s="14">
        <f ca="1">INDEX('RC6SV'!$A$1:$G$20,MATCH(H278,'RC6SV'!$A$1:$A$20,FALSE),MATCH(G278,'RC6SV'!$A$1:$G$1,FALSE))</f>
        <v>7600</v>
      </c>
      <c r="BD278" s="63">
        <f t="shared" ca="1" si="32"/>
        <v>7600</v>
      </c>
      <c r="BE278" s="14">
        <f t="shared" ca="1" si="33"/>
        <v>5800</v>
      </c>
      <c r="BF278" s="14">
        <f t="shared" ca="1" si="34"/>
        <v>1</v>
      </c>
      <c r="BG278" s="20">
        <f ca="1">IF($BE278&lt;=0,ROUND(BK278*0.5,0), ROUND($BE278*S278*AA278*J278*AY278*0.8*[2]ステータス!$B$2,0))</f>
        <v>2181</v>
      </c>
      <c r="BH278" s="20">
        <f ca="1">IF($BE278&lt;=0,ROUND(BL278*0.5,0), ROUND($BE278*T278*AB278*K278*AZ278*0.8*[2]ステータス!$C$2,0))</f>
        <v>1406</v>
      </c>
      <c r="BI278" s="20">
        <f ca="1">IF($BE278&lt;=0,ROUND(BM278*0.5,0), ROUND($BE278*U278*AC278*L278*BA278*0.8*[2]ステータス!$D$2,0))</f>
        <v>0</v>
      </c>
      <c r="BJ278" s="20">
        <f ca="1">IF($BE278&lt;=0,ROUND(BN278*0.5,0), ROUND($BE278*V278*AD278*M278*BB278*0.8*[2]ステータス!$E$2,0))</f>
        <v>1216</v>
      </c>
      <c r="BK278" s="14">
        <f ca="1">ROUND(BD278*S278*AA278*J278*AY278*[2]ステータス!$B$2,0)</f>
        <v>3572</v>
      </c>
      <c r="BL278" s="14">
        <f ca="1">ROUND(BD278*T278*AB278*K278*AZ278*[2]ステータス!$C$2,0)</f>
        <v>2302</v>
      </c>
      <c r="BM278" s="14">
        <f ca="1">ROUND(BD278*U278*AC278*L278*BA278*[2]ステータス!$D$2,0)</f>
        <v>0</v>
      </c>
      <c r="BN278" s="14">
        <f ca="1">ROUND(BD278*V278*AD278*M278*BB278*[2]ステータス!$E$2,0)</f>
        <v>1992</v>
      </c>
      <c r="BO278" s="13">
        <v>0</v>
      </c>
      <c r="BP278" s="13">
        <v>1</v>
      </c>
      <c r="BQ278" s="13" t="s">
        <v>102</v>
      </c>
      <c r="BR278" s="13">
        <f ca="1">VLOOKUP(H278,ghosts_label!$A$2:$B$19,2,FALSE)</f>
        <v>1</v>
      </c>
    </row>
    <row r="279" spans="1:70" ht="21" customHeight="1" x14ac:dyDescent="0.15">
      <c r="A279" s="14">
        <f t="shared" ca="1" si="29"/>
        <v>278</v>
      </c>
      <c r="B279" s="77" t="str">
        <f ca="1">VLOOKUP($A279,OFFSET([2]characters!$A$1,0,0,COUNTA([2]characters!$A:$A),MATCH(B$1,[2]characters!$1:$1,0)-MATCH($A$1,[2]characters!$1:$1,0)+1),MATCH(B$1,[2]characters!$1:$1,0)-MATCH($A$1,[2]characters!$1:$1,0)+1,FALSE)</f>
        <v>アマテラス</v>
      </c>
      <c r="C279" s="77" t="str">
        <f ca="1">VLOOKUP($A279,OFFSET([2]characters!$A$1,0,0,COUNTA([2]characters!$A:$A),MATCH(C$1,[2]characters!$1:$1,0)-MATCH($A$1,[2]characters!$1:$1,0)+1),MATCH(C$1,[2]characters!$1:$1,0)-MATCH($A$1,[2]characters!$1:$1,0)+1,FALSE)</f>
        <v>イベント:ウィザード</v>
      </c>
      <c r="D279" s="77" t="str">
        <f ca="1">VLOOKUP($A279,OFFSET([2]characters!$A$1,0,0,COUNTA([2]characters!$A:$A),MATCH(D$1,[2]characters!$1:$1,0)-MATCH($A$1,[2]characters!$1:$1,0)+1),MATCH(D$1,[2]characters!$1:$1,0)-MATCH($A$1,[2]characters!$1:$1,0)+1,FALSE)</f>
        <v>管理者</v>
      </c>
      <c r="E279" s="77" t="str">
        <f ca="1">VLOOKUP($A279,OFFSET([2]characters!$A$1,0,0,COUNTA([2]characters!$A:$A),MATCH(E$1,[2]characters!$1:$1,0)-MATCH($A$1,[2]characters!$1:$1,0)+1),MATCH(E$1,[2]characters!$1:$1,0)-MATCH($A$1,[2]characters!$1:$1,0)+1,FALSE)</f>
        <v>美しい</v>
      </c>
      <c r="F279" s="77" t="str">
        <f ca="1">VLOOKUP($A279,OFFSET([2]characters!$A$1,0,0,COUNTA([2]characters!$A:$A),MATCH(F$1,[2]characters!$1:$1,0)-MATCH($A$1,[2]characters!$1:$1,0)+1),MATCH(F$1,[2]characters!$1:$1,0)-MATCH($A$1,[2]characters!$1:$1,0)+1,FALSE)</f>
        <v>女性</v>
      </c>
      <c r="G279" s="77">
        <f ca="1">VLOOKUP($A279,OFFSET([2]characters!$A$1,0,0,COUNTA([2]characters!$A:$A),MATCH(G$1,[2]characters!$1:$1,0)-MATCH($A$1,[2]characters!$1:$1,0)+1),MATCH(G$1,[2]characters!$1:$1,0)-MATCH($A$1,[2]characters!$1:$1,0)+1,FALSE)</f>
        <v>4</v>
      </c>
      <c r="H279" s="77" t="str">
        <f ca="1">VLOOKUP($A279,OFFSET([2]characters!$A$1,0,0,COUNTA([2]characters!$A:$A),MATCH(H$1,[2]characters!$1:$1,0)-MATCH($A$1,[2]characters!$1:$1,0)+1),MATCH(H$1,[2]characters!$1:$1,0)-MATCH($A$1,[2]characters!$1:$1,0)+1,FALSE)</f>
        <v>DropWizS</v>
      </c>
      <c r="I279" s="77" t="str">
        <f ca="1">VLOOKUP($A279,OFFSET([2]characters!$A$1,0,0,COUNTA([2]characters!$A:$A),MATCH(I$1,[2]characters!$1:$1,0)-MATCH($A$1,[2]characters!$1:$1,0)+1),MATCH(I$1,[2]characters!$1:$1,0)-MATCH($A$1,[2]characters!$1:$1,0)+1,FALSE)</f>
        <v>red</v>
      </c>
      <c r="J279" s="14">
        <f ca="1">VLOOKUP(I279,[2]属性!$A:$E,2,FALSE)</f>
        <v>1</v>
      </c>
      <c r="K279" s="14">
        <f ca="1">VLOOKUP(I279,[2]属性!$A:$E,3,FALSE)</f>
        <v>1.02</v>
      </c>
      <c r="L279" s="14">
        <f ca="1">VLOOKUP(I279,[2]属性!$A:$E,4,FALSE)</f>
        <v>1</v>
      </c>
      <c r="M279" s="14">
        <f ca="1">VLOOKUP(I279,[2]属性!$A:$E,5,FALSE)</f>
        <v>0.98</v>
      </c>
      <c r="N279" s="14">
        <f ca="1">INDEX(コスト!$A$1:$I$20,MATCH(H279,コスト!$A$1:$A$20,FALSE),MATCH(G279,コスト!$A$1:$I$1,FALSE))</f>
        <v>20</v>
      </c>
      <c r="O279" s="14">
        <f ca="1">INDEX(レベル!$A$1:$I$21,MATCH(H279,レベル!$A$1:$A$21,FALSE),MATCH(G279,レベル!$A$1:$I$1,FALSE))</f>
        <v>60</v>
      </c>
      <c r="P279" s="63">
        <f t="shared" ca="1" si="35"/>
        <v>60</v>
      </c>
      <c r="Q279" s="77" t="str">
        <f ca="1">VLOOKUP($A279,OFFSET([2]characters!$A$1,0,0,COUNTA([2]characters!$A:$A),MATCH(Q$1,[2]characters!$1:$1,0)-MATCH($A$1,[2]characters!$1:$1,0)+1),MATCH(Q$1,[2]characters!$1:$1,0)-MATCH($A$1,[2]characters!$1:$1,0)+1,FALSE)</f>
        <v>attack</v>
      </c>
      <c r="R279" s="8" t="str">
        <f ca="1">VLOOKUP(Q279,[2]character_type_i18n!$A:$H,3,FALSE)</f>
        <v>攻撃タイプ</v>
      </c>
      <c r="S279" s="14">
        <f ca="1">VLOOKUP(Q279,[2]character_type_i18n!$A:$H,4,FALSE)</f>
        <v>1</v>
      </c>
      <c r="T279" s="14">
        <f ca="1">VLOOKUP(Q279,[2]character_type_i18n!$A:$H,5,FALSE)</f>
        <v>1.33</v>
      </c>
      <c r="U279" s="14">
        <f ca="1">VLOOKUP(Q279,[2]character_type_i18n!$A:$H,6,FALSE)</f>
        <v>1</v>
      </c>
      <c r="V279" s="14">
        <f ca="1">VLOOKUP(Q279,[2]character_type_i18n!$A:$H,7,FALSE)</f>
        <v>0.67</v>
      </c>
      <c r="W279" s="77" t="str">
        <f ca="1">VLOOKUP($A279,OFFSET([2]characters!$A$1,0,0,COUNTA([2]characters!$A:$A),MATCH(W$1,[2]characters!$1:$1,0)-MATCH($A$1,[2]characters!$1:$1,0)+1),MATCH(W$1,[2]characters!$1:$1,0)-MATCH($A$1,[2]characters!$1:$1,0)+1,FALSE)</f>
        <v>god</v>
      </c>
      <c r="X279" s="8" t="str">
        <f ca="1">VLOOKUP(W279,[2]character_tribe_i18n!$A:$H,3,FALSE)</f>
        <v>ゴッド</v>
      </c>
      <c r="Y279" s="77" t="str">
        <f ca="1">VLOOKUP($A279,OFFSET([2]characters!$A$1,0,0,COUNTA([2]characters!$A:$A),MATCH(Y$1,[2]characters!$1:$1,0)-MATCH($A$1,[2]characters!$1:$1,0)+1),MATCH(Y$1,[2]characters!$1:$1,0)-MATCH($A$1,[2]characters!$1:$1,0)+1,FALSE)</f>
        <v>none</v>
      </c>
      <c r="Z279" s="8" t="str">
        <f ca="1">VLOOKUP(Y279,[2]character_tribe_i18n!$A:$H,3,FALSE)</f>
        <v>種族なし</v>
      </c>
      <c r="AA279" s="14">
        <f ca="1">VLOOKUP(W279,[2]character_tribe_i18n!$A:$H,4,FALSE)</f>
        <v>0.96</v>
      </c>
      <c r="AB279" s="14">
        <f ca="1">VLOOKUP(W279,[2]character_tribe_i18n!$A:$H,5,FALSE)</f>
        <v>1.02</v>
      </c>
      <c r="AC279" s="14">
        <f ca="1">VLOOKUP(W279,[2]character_tribe_i18n!$A:$H,6,FALSE)</f>
        <v>1</v>
      </c>
      <c r="AD279" s="14">
        <f ca="1">VLOOKUP(W279,[2]character_tribe_i18n!$A:$H,7,FALSE)</f>
        <v>1.02</v>
      </c>
      <c r="AE279" s="12">
        <v>279</v>
      </c>
      <c r="AF279" s="85" t="str">
        <f ca="1">IF(AE279="NULL","",VLOOKUP($AE279,OFFSET([2]characters!$A$1,0,0,COUNTA([2]characters!$A:$A),MATCH(AF$1,[2]characters!$1:$1,0)-MATCH($A$1,[2]characters!$1:$1,0)+1),MATCH(AF$1,[2]characters!$1:$1,0)-MATCH($A$1,[2]characters!$1:$1,0)+1,FALSE))</f>
        <v>統空大神 アマテラス</v>
      </c>
      <c r="AG279" s="8">
        <f t="shared" ca="1" si="30"/>
        <v>278</v>
      </c>
      <c r="AH279" s="85" t="str">
        <f ca="1">VLOOKUP($AG279,OFFSET([2]characters!$A$1,0,0,COUNTA([2]characters!$A:$A),MATCH(AH$1,[2]characters!$1:$1,0)-MATCH($A$1,[2]characters!$1:$1,0)+1),MATCH(AH$1,[2]characters!$1:$1,0)-MATCH($A$1,[2]characters!$1:$1,0)+1,FALSE)</f>
        <v>アマテラス</v>
      </c>
      <c r="AI279" s="14">
        <f ca="1">IF(AE279="NULL","NULL",VLOOKUP(G279,ビット!$A$2:$B$7,2))</f>
        <v>50000</v>
      </c>
      <c r="AJ279" s="9">
        <v>2</v>
      </c>
      <c r="AK279" s="10" t="str">
        <f t="shared" si="31"/>
        <v>普通</v>
      </c>
      <c r="AL279" s="14" t="str">
        <f ca="1">INDEX(経験値!$A$1:$I$20,MATCH(H279,経験値!$A$1:$A$20,FALSE),MATCH(G279,経験値!$A$1:$I$1,FALSE))</f>
        <v>required_exp_200</v>
      </c>
      <c r="AM279" s="11">
        <f ca="1">VLOOKUP(G279,経験値!$A$27:$B$31,2)</f>
        <v>3400</v>
      </c>
      <c r="AN279" s="21">
        <f ca="1">VLOOKUP(G279,ビット!$G$2:$H$7,2)</f>
        <v>600</v>
      </c>
      <c r="AO279" s="98" t="s">
        <v>185</v>
      </c>
      <c r="AP279" s="103">
        <v>311022</v>
      </c>
      <c r="AQ279" s="77" t="e">
        <f ca="1">VLOOKUP($AP279,OFFSET([1]unit_skills!$A$1,0,0,COUNTA([1]unit_skills!$A:$A),MATCH("name",[1]unit_skills!$1:$1,0)-MATCH($AP$1,[1]unit_skills!$1:$1,0)+1),MATCH("name",[1]unit_skills!$1:$1,0)-MATCH($AP$1,[1]unit_skills!$1:$1,0)+1,FALSE)</f>
        <v>#VALUE!</v>
      </c>
      <c r="AR279" s="77" t="e">
        <f ca="1">VLOOKUP($AP279,OFFSET([1]unit_skills!$A$1,0,0,COUNTA([1]unit_skills!$A:$A),MATCH("comment",[1]unit_skills!$1:$1,0)-MATCH($AP$1,[1]unit_skills!$1:$1,0)+1),MATCH("comment",[1]unit_skills!$1:$1,0)-MATCH($AP$1,[1]unit_skills!$1:$1,0)+1,FALSE)</f>
        <v>#VALUE!</v>
      </c>
      <c r="AS279" s="77" t="e">
        <f ca="1">VLOOKUP($AP279,OFFSET([1]unit_skills!$A$1,0,0,COUNTA([1]unit_skills!$A:$A),MATCH(AS$1,[1]unit_skills!$1:$1,0)-MATCH($AP$1,[1]unit_skills!$1:$1,0)+1),MATCH(AS$1,[1]unit_skills!$1:$1,0)-MATCH($AP$1,[1]unit_skills!$1:$1,0)+1,FALSE)</f>
        <v>#VALUE!</v>
      </c>
      <c r="AT279" s="97">
        <v>171508</v>
      </c>
      <c r="AU279" s="77" t="e">
        <f ca="1">VLOOKUP($AT279,OFFSET([1]crash_skills!$A$1,0,0,COUNTA([1]crash_skills!$A:$A),MATCH("name",[1]crash_skills!$1:$1,0)-MATCH($AT$1,[1]crash_skills!$1:$1,0)+1),MATCH("name",[1]crash_skills!$1:$1,0)-MATCH($AT$1,[1]crash_skills!$1:$1,0)+1,FALSE)</f>
        <v>#VALUE!</v>
      </c>
      <c r="AV279" s="77" t="e">
        <f ca="1">VLOOKUP($AT279,OFFSET([1]crash_skills!$A$1,0,0,COUNTA([1]crash_skills!$A:$A),MATCH("comment",[1]crash_skills!$1:$1,0)-MATCH($AT$1,[1]crash_skills!$1:$1,0)+1),MATCH("comment",[1]crash_skills!$1:$1,0)-MATCH($AT$1,[1]crash_skills!$1:$1,0)+1,FALSE)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79" s="77" t="e">
        <f ca="1">VLOOKUP($AT279,OFFSET([1]crash_skills!$A$1,0,0,COUNTA([1]crash_skills!$A:$A),MATCH(AW$1,[1]crash_skills!$1:$1,0)-MATCH($AT$1,[1]crash_skills!$1:$1,0)+1),MATCH(AW$1,[1]crash_skills!$1:$1,0)-MATCH($AT$1,[1]crash_skills!$1:$1,0)+1,FALSE)</f>
        <v>#VALUE!</v>
      </c>
      <c r="AX279" s="81">
        <f ca="1">VLOOKUP($A279,OFFSET([2]characters!$A$1,0,0,COUNTA([2]characters!$A:$A),MATCH(AX$1,[2]characters!$1:$1,0)-MATCH($A$1,[2]characters!$1:$1,0)+1),MATCH(AX$1,[2]characters!$1:$1,0)-MATCH($A$1,[2]characters!$1:$1,0)+1,FALSE)</f>
        <v>3</v>
      </c>
      <c r="AY279" s="19">
        <v>1.03</v>
      </c>
      <c r="AZ279" s="19">
        <v>1.002</v>
      </c>
      <c r="BA279" s="19">
        <v>0</v>
      </c>
      <c r="BB279" s="19">
        <v>1.1100000000000001</v>
      </c>
      <c r="BC279" s="14">
        <f ca="1">INDEX('RC6SV'!$A$1:$G$20,MATCH(H279,'RC6SV'!$A$1:$A$20,FALSE),MATCH(G279,'RC6SV'!$A$1:$G$1,FALSE))</f>
        <v>7000</v>
      </c>
      <c r="BD279" s="63">
        <f t="shared" ca="1" si="32"/>
        <v>7000</v>
      </c>
      <c r="BE279" s="14">
        <f t="shared" ca="1" si="33"/>
        <v>0</v>
      </c>
      <c r="BF279" s="14">
        <f t="shared" ca="1" si="34"/>
        <v>1</v>
      </c>
      <c r="BG279" s="20">
        <f ca="1">IF($BE279&lt;=0,ROUND(BK279*0.5,0), ROUND($BE279*S279*AA279*J279*AY279*0.8*[2]ステータス!$B$2,0))</f>
        <v>1731</v>
      </c>
      <c r="BH279" s="20">
        <f ca="1">IF($BE279&lt;=0,ROUND(BL279*0.5,0), ROUND($BE279*T279*AB279*K279*AZ279*0.8*[2]ステータス!$C$2,0))</f>
        <v>1456</v>
      </c>
      <c r="BI279" s="20">
        <f ca="1">IF($BE279&lt;=0,ROUND(BM279*0.5,0), ROUND($BE279*U279*AC279*L279*BA279*0.8*[2]ステータス!$D$2,0))</f>
        <v>0</v>
      </c>
      <c r="BJ279" s="20">
        <f ca="1">IF($BE279&lt;=0,ROUND(BN279*0.5,0), ROUND($BE279*V279*AD279*M279*BB279*0.8*[2]ステータス!$E$2,0))</f>
        <v>651</v>
      </c>
      <c r="BK279" s="14">
        <f ca="1">ROUND(BD279*S279*AA279*J279*AY279*[2]ステータス!$B$2,0)</f>
        <v>3461</v>
      </c>
      <c r="BL279" s="14">
        <f ca="1">ROUND(BD279*T279*AB279*K279*AZ279*[2]ステータス!$C$2,0)</f>
        <v>2912</v>
      </c>
      <c r="BM279" s="14">
        <f ca="1">ROUND(BD279*U279*AC279*L279*BA279*[2]ステータス!$D$2,0)</f>
        <v>0</v>
      </c>
      <c r="BN279" s="14">
        <f ca="1">ROUND(BD279*V279*AD279*M279*BB279*[2]ステータス!$E$2,0)</f>
        <v>1301</v>
      </c>
      <c r="BO279" s="13">
        <v>0</v>
      </c>
      <c r="BP279" s="13">
        <v>1</v>
      </c>
      <c r="BQ279" s="13" t="s">
        <v>102</v>
      </c>
      <c r="BR279" s="13">
        <f ca="1">VLOOKUP(H279,ghosts_label!$A$2:$B$19,2,FALSE)</f>
        <v>1</v>
      </c>
    </row>
    <row r="280" spans="1:70" ht="21" customHeight="1" x14ac:dyDescent="0.15">
      <c r="A280" s="14">
        <f t="shared" ca="1" si="29"/>
        <v>279</v>
      </c>
      <c r="B280" s="77" t="str">
        <f ca="1">VLOOKUP($A280,OFFSET([2]characters!$A$1,0,0,COUNTA([2]characters!$A:$A),MATCH(B$1,[2]characters!$1:$1,0)-MATCH($A$1,[2]characters!$1:$1,0)+1),MATCH(B$1,[2]characters!$1:$1,0)-MATCH($A$1,[2]characters!$1:$1,0)+1,FALSE)</f>
        <v>統空大神 アマテラス</v>
      </c>
      <c r="C280" s="77" t="str">
        <f ca="1">VLOOKUP($A280,OFFSET([2]characters!$A$1,0,0,COUNTA([2]characters!$A:$A),MATCH(C$1,[2]characters!$1:$1,0)-MATCH($A$1,[2]characters!$1:$1,0)+1),MATCH(C$1,[2]characters!$1:$1,0)-MATCH($A$1,[2]characters!$1:$1,0)+1,FALSE)</f>
        <v>イベント:ウィザード</v>
      </c>
      <c r="D280" s="77" t="str">
        <f ca="1">VLOOKUP($A280,OFFSET([2]characters!$A$1,0,0,COUNTA([2]characters!$A:$A),MATCH(D$1,[2]characters!$1:$1,0)-MATCH($A$1,[2]characters!$1:$1,0)+1),MATCH(D$1,[2]characters!$1:$1,0)-MATCH($A$1,[2]characters!$1:$1,0)+1,FALSE)</f>
        <v>管理者</v>
      </c>
      <c r="E280" s="77" t="str">
        <f ca="1">VLOOKUP($A280,OFFSET([2]characters!$A$1,0,0,COUNTA([2]characters!$A:$A),MATCH(E$1,[2]characters!$1:$1,0)-MATCH($A$1,[2]characters!$1:$1,0)+1),MATCH(E$1,[2]characters!$1:$1,0)-MATCH($A$1,[2]characters!$1:$1,0)+1,FALSE)</f>
        <v>美しい</v>
      </c>
      <c r="F280" s="77" t="str">
        <f ca="1">VLOOKUP($A280,OFFSET([2]characters!$A$1,0,0,COUNTA([2]characters!$A:$A),MATCH(F$1,[2]characters!$1:$1,0)-MATCH($A$1,[2]characters!$1:$1,0)+1),MATCH(F$1,[2]characters!$1:$1,0)-MATCH($A$1,[2]characters!$1:$1,0)+1,FALSE)</f>
        <v>女性</v>
      </c>
      <c r="G280" s="77">
        <f ca="1">VLOOKUP($A280,OFFSET([2]characters!$A$1,0,0,COUNTA([2]characters!$A:$A),MATCH(G$1,[2]characters!$1:$1,0)-MATCH($A$1,[2]characters!$1:$1,0)+1),MATCH(G$1,[2]characters!$1:$1,0)-MATCH($A$1,[2]characters!$1:$1,0)+1,FALSE)</f>
        <v>5</v>
      </c>
      <c r="H280" s="77" t="str">
        <f ca="1">VLOOKUP($A280,OFFSET([2]characters!$A$1,0,0,COUNTA([2]characters!$A:$A),MATCH(H$1,[2]characters!$1:$1,0)-MATCH($A$1,[2]characters!$1:$1,0)+1),MATCH(H$1,[2]characters!$1:$1,0)-MATCH($A$1,[2]characters!$1:$1,0)+1,FALSE)</f>
        <v>DropWizS</v>
      </c>
      <c r="I280" s="77" t="str">
        <f ca="1">VLOOKUP($A280,OFFSET([2]characters!$A$1,0,0,COUNTA([2]characters!$A:$A),MATCH(I$1,[2]characters!$1:$1,0)-MATCH($A$1,[2]characters!$1:$1,0)+1),MATCH(I$1,[2]characters!$1:$1,0)-MATCH($A$1,[2]characters!$1:$1,0)+1,FALSE)</f>
        <v>red</v>
      </c>
      <c r="J280" s="14">
        <f ca="1">VLOOKUP(I280,[2]属性!$A:$E,2,FALSE)</f>
        <v>1</v>
      </c>
      <c r="K280" s="14">
        <f ca="1">VLOOKUP(I280,[2]属性!$A:$E,3,FALSE)</f>
        <v>1.02</v>
      </c>
      <c r="L280" s="14">
        <f ca="1">VLOOKUP(I280,[2]属性!$A:$E,4,FALSE)</f>
        <v>1</v>
      </c>
      <c r="M280" s="14">
        <f ca="1">VLOOKUP(I280,[2]属性!$A:$E,5,FALSE)</f>
        <v>0.98</v>
      </c>
      <c r="N280" s="14">
        <f ca="1">INDEX(コスト!$A$1:$I$20,MATCH(H280,コスト!$A$1:$A$20,FALSE),MATCH(G280,コスト!$A$1:$I$1,FALSE))</f>
        <v>30</v>
      </c>
      <c r="O280" s="14">
        <f ca="1">INDEX(レベル!$A$1:$I$21,MATCH(H280,レベル!$A$1:$A$21,FALSE),MATCH(G280,レベル!$A$1:$I$1,FALSE))</f>
        <v>80</v>
      </c>
      <c r="P280" s="63">
        <f t="shared" ca="1" si="35"/>
        <v>75</v>
      </c>
      <c r="Q280" s="77" t="str">
        <f ca="1">VLOOKUP($A280,OFFSET([2]characters!$A$1,0,0,COUNTA([2]characters!$A:$A),MATCH(Q$1,[2]characters!$1:$1,0)-MATCH($A$1,[2]characters!$1:$1,0)+1),MATCH(Q$1,[2]characters!$1:$1,0)-MATCH($A$1,[2]characters!$1:$1,0)+1,FALSE)</f>
        <v>attack</v>
      </c>
      <c r="R280" s="8" t="str">
        <f ca="1">VLOOKUP(Q280,[2]character_type_i18n!$A:$H,3,FALSE)</f>
        <v>攻撃タイプ</v>
      </c>
      <c r="S280" s="14">
        <f ca="1">VLOOKUP(Q280,[2]character_type_i18n!$A:$H,4,FALSE)</f>
        <v>1</v>
      </c>
      <c r="T280" s="14">
        <f ca="1">VLOOKUP(Q280,[2]character_type_i18n!$A:$H,5,FALSE)</f>
        <v>1.33</v>
      </c>
      <c r="U280" s="14">
        <f ca="1">VLOOKUP(Q280,[2]character_type_i18n!$A:$H,6,FALSE)</f>
        <v>1</v>
      </c>
      <c r="V280" s="14">
        <f ca="1">VLOOKUP(Q280,[2]character_type_i18n!$A:$H,7,FALSE)</f>
        <v>0.67</v>
      </c>
      <c r="W280" s="77" t="str">
        <f ca="1">VLOOKUP($A280,OFFSET([2]characters!$A$1,0,0,COUNTA([2]characters!$A:$A),MATCH(W$1,[2]characters!$1:$1,0)-MATCH($A$1,[2]characters!$1:$1,0)+1),MATCH(W$1,[2]characters!$1:$1,0)-MATCH($A$1,[2]characters!$1:$1,0)+1,FALSE)</f>
        <v>god</v>
      </c>
      <c r="X280" s="8" t="str">
        <f ca="1">VLOOKUP(W280,[2]character_tribe_i18n!$A:$H,3,FALSE)</f>
        <v>ゴッド</v>
      </c>
      <c r="Y280" s="77" t="str">
        <f ca="1">VLOOKUP($A280,OFFSET([2]characters!$A$1,0,0,COUNTA([2]characters!$A:$A),MATCH(Y$1,[2]characters!$1:$1,0)-MATCH($A$1,[2]characters!$1:$1,0)+1),MATCH(Y$1,[2]characters!$1:$1,0)-MATCH($A$1,[2]characters!$1:$1,0)+1,FALSE)</f>
        <v>none</v>
      </c>
      <c r="Z280" s="8" t="str">
        <f ca="1">VLOOKUP(Y280,[2]character_tribe_i18n!$A:$H,3,FALSE)</f>
        <v>種族なし</v>
      </c>
      <c r="AA280" s="14">
        <f ca="1">VLOOKUP(W280,[2]character_tribe_i18n!$A:$H,4,FALSE)</f>
        <v>0.96</v>
      </c>
      <c r="AB280" s="14">
        <f ca="1">VLOOKUP(W280,[2]character_tribe_i18n!$A:$H,5,FALSE)</f>
        <v>1.02</v>
      </c>
      <c r="AC280" s="14">
        <f ca="1">VLOOKUP(W280,[2]character_tribe_i18n!$A:$H,6,FALSE)</f>
        <v>1</v>
      </c>
      <c r="AD280" s="14">
        <f ca="1">VLOOKUP(W280,[2]character_tribe_i18n!$A:$H,7,FALSE)</f>
        <v>1.02</v>
      </c>
      <c r="AE280" s="12">
        <v>810</v>
      </c>
      <c r="AF280" s="85" t="str">
        <f ca="1">IF(AE280="NULL","",VLOOKUP($AE280,OFFSET([2]characters!$A$1,0,0,COUNTA([2]characters!$A:$A),MATCH(AF$1,[2]characters!$1:$1,0)-MATCH($A$1,[2]characters!$1:$1,0)+1),MATCH(AF$1,[2]characters!$1:$1,0)-MATCH($A$1,[2]characters!$1:$1,0)+1,FALSE))</f>
        <v>君臨大御神 アマテラス</v>
      </c>
      <c r="AG280" s="8">
        <f t="shared" ca="1" si="30"/>
        <v>278</v>
      </c>
      <c r="AH280" s="85" t="str">
        <f ca="1">VLOOKUP($AG280,OFFSET([2]characters!$A$1,0,0,COUNTA([2]characters!$A:$A),MATCH(AH$1,[2]characters!$1:$1,0)-MATCH($A$1,[2]characters!$1:$1,0)+1),MATCH(AH$1,[2]characters!$1:$1,0)-MATCH($A$1,[2]characters!$1:$1,0)+1,FALSE)</f>
        <v>アマテラス</v>
      </c>
      <c r="AI280" s="14">
        <f ca="1">IF(AE280="NULL","NULL",VLOOKUP(G280,ビット!$A$2:$B$7,2))</f>
        <v>200000</v>
      </c>
      <c r="AJ280" s="9">
        <v>2</v>
      </c>
      <c r="AK280" s="10" t="str">
        <f t="shared" si="31"/>
        <v>普通</v>
      </c>
      <c r="AL280" s="14" t="str">
        <f ca="1">INDEX(経験値!$A$1:$I$20,MATCH(H280,経験値!$A$1:$A$20,FALSE),MATCH(G280,経験値!$A$1:$I$1,FALSE))</f>
        <v>required_exp_200</v>
      </c>
      <c r="AM280" s="11">
        <f ca="1">VLOOKUP(G280,経験値!$A$27:$B$31,2)</f>
        <v>6400</v>
      </c>
      <c r="AN280" s="21">
        <f ca="1">VLOOKUP(G280,ビット!$G$2:$H$7,2)</f>
        <v>900</v>
      </c>
      <c r="AO280" s="98" t="s">
        <v>185</v>
      </c>
      <c r="AP280" s="103">
        <v>311022</v>
      </c>
      <c r="AQ280" s="77" t="e">
        <f ca="1">VLOOKUP($AP280,OFFSET([1]unit_skills!$A$1,0,0,COUNTA([1]unit_skills!$A:$A),MATCH("name",[1]unit_skills!$1:$1,0)-MATCH($AP$1,[1]unit_skills!$1:$1,0)+1),MATCH("name",[1]unit_skills!$1:$1,0)-MATCH($AP$1,[1]unit_skills!$1:$1,0)+1,FALSE)</f>
        <v>#VALUE!</v>
      </c>
      <c r="AR280" s="77" t="e">
        <f ca="1">VLOOKUP($AP280,OFFSET([1]unit_skills!$A$1,0,0,COUNTA([1]unit_skills!$A:$A),MATCH("comment",[1]unit_skills!$1:$1,0)-MATCH($AP$1,[1]unit_skills!$1:$1,0)+1),MATCH("comment",[1]unit_skills!$1:$1,0)-MATCH($AP$1,[1]unit_skills!$1:$1,0)+1,FALSE)</f>
        <v>#VALUE!</v>
      </c>
      <c r="AS280" s="77" t="e">
        <f ca="1">VLOOKUP($AP280,OFFSET([1]unit_skills!$A$1,0,0,COUNTA([1]unit_skills!$A:$A),MATCH(AS$1,[1]unit_skills!$1:$1,0)-MATCH($AP$1,[1]unit_skills!$1:$1,0)+1),MATCH(AS$1,[1]unit_skills!$1:$1,0)-MATCH($AP$1,[1]unit_skills!$1:$1,0)+1,FALSE)</f>
        <v>#VALUE!</v>
      </c>
      <c r="AT280" s="103">
        <v>171507</v>
      </c>
      <c r="AU280" s="77" t="e">
        <f ca="1">VLOOKUP($AT280,OFFSET([1]crash_skills!$A$1,0,0,COUNTA([1]crash_skills!$A:$A),MATCH("name",[1]crash_skills!$1:$1,0)-MATCH($AT$1,[1]crash_skills!$1:$1,0)+1),MATCH("name",[1]crash_skills!$1:$1,0)-MATCH($AT$1,[1]crash_skills!$1:$1,0)+1,FALSE)</f>
        <v>#VALUE!</v>
      </c>
      <c r="AV280" s="77" t="e">
        <f ca="1">VLOOKUP($AT280,OFFSET([1]crash_skills!$A$1,0,0,COUNTA([1]crash_skills!$A:$A),MATCH("comment",[1]crash_skills!$1:$1,0)-MATCH($AT$1,[1]crash_skills!$1:$1,0)+1),MATCH("comment",[1]crash_skills!$1:$1,0)-MATCH($AT$1,[1]crash_skills!$1:$1,0)+1,FALSE)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80" s="77" t="e">
        <f ca="1">VLOOKUP($AT280,OFFSET([1]crash_skills!$A$1,0,0,COUNTA([1]crash_skills!$A:$A),MATCH(AW$1,[1]crash_skills!$1:$1,0)-MATCH($AT$1,[1]crash_skills!$1:$1,0)+1),MATCH(AW$1,[1]crash_skills!$1:$1,0)-MATCH($AT$1,[1]crash_skills!$1:$1,0)+1,FALSE)</f>
        <v>#VALUE!</v>
      </c>
      <c r="AX280" s="81">
        <f ca="1">VLOOKUP($A280,OFFSET([2]characters!$A$1,0,0,COUNTA([2]characters!$A:$A),MATCH(AX$1,[2]characters!$1:$1,0)-MATCH($A$1,[2]characters!$1:$1,0)+1),MATCH(AX$1,[2]characters!$1:$1,0)-MATCH($A$1,[2]characters!$1:$1,0)+1,FALSE)</f>
        <v>3</v>
      </c>
      <c r="AY280" s="19">
        <v>1.03</v>
      </c>
      <c r="AZ280" s="19">
        <v>1.002</v>
      </c>
      <c r="BA280" s="19">
        <v>0</v>
      </c>
      <c r="BB280" s="19">
        <v>1.1100000000000001</v>
      </c>
      <c r="BC280" s="14">
        <f ca="1">INDEX('RC6SV'!$A$1:$G$20,MATCH(H280,'RC6SV'!$A$1:$A$20,FALSE),MATCH(G280,'RC6SV'!$A$1:$G$1,FALSE))</f>
        <v>9000</v>
      </c>
      <c r="BD280" s="63">
        <f t="shared" ca="1" si="32"/>
        <v>9000</v>
      </c>
      <c r="BE280" s="14">
        <f t="shared" ca="1" si="33"/>
        <v>7000</v>
      </c>
      <c r="BF280" s="14">
        <f t="shared" ca="1" si="34"/>
        <v>1</v>
      </c>
      <c r="BG280" s="20">
        <f ca="1">IF($BE280&lt;=0,ROUND(BK280*0.5,0), ROUND($BE280*S280*AA280*J280*AY280*0.8*[2]ステータス!$B$2,0))</f>
        <v>2769</v>
      </c>
      <c r="BH280" s="20">
        <f ca="1">IF($BE280&lt;=0,ROUND(BL280*0.5,0), ROUND($BE280*T280*AB280*K280*AZ280*0.8*[2]ステータス!$C$2,0))</f>
        <v>2329</v>
      </c>
      <c r="BI280" s="20">
        <f ca="1">IF($BE280&lt;=0,ROUND(BM280*0.5,0), ROUND($BE280*U280*AC280*L280*BA280*0.8*[2]ステータス!$D$2,0))</f>
        <v>0</v>
      </c>
      <c r="BJ280" s="20">
        <f ca="1">IF($BE280&lt;=0,ROUND(BN280*0.5,0), ROUND($BE280*V280*AD280*M280*BB280*0.8*[2]ステータス!$E$2,0))</f>
        <v>1041</v>
      </c>
      <c r="BK280" s="14">
        <f ca="1">ROUND(BD280*S280*AA280*J280*AY280*[2]ステータス!$B$2,0)</f>
        <v>4450</v>
      </c>
      <c r="BL280" s="14">
        <f ca="1">ROUND(BD280*T280*AB280*K280*AZ280*[2]ステータス!$C$2,0)</f>
        <v>3744</v>
      </c>
      <c r="BM280" s="14">
        <f ca="1">ROUND(BD280*U280*AC280*L280*BA280*[2]ステータス!$D$2,0)</f>
        <v>0</v>
      </c>
      <c r="BN280" s="14">
        <f ca="1">ROUND(BD280*V280*AD280*M280*BB280*[2]ステータス!$E$2,0)</f>
        <v>1673</v>
      </c>
      <c r="BO280" s="13">
        <v>0</v>
      </c>
      <c r="BP280" s="13">
        <v>1</v>
      </c>
      <c r="BQ280" s="13" t="s">
        <v>102</v>
      </c>
      <c r="BR280" s="13">
        <f ca="1">VLOOKUP(H280,ghosts_label!$A$2:$B$19,2,FALSE)</f>
        <v>1</v>
      </c>
    </row>
    <row r="281" spans="1:70" ht="21" customHeight="1" x14ac:dyDescent="0.15">
      <c r="A281" s="14">
        <f t="shared" ca="1" si="29"/>
        <v>280</v>
      </c>
      <c r="B281" s="77" t="str">
        <f ca="1">VLOOKUP($A281,OFFSET([2]characters!$A$1,0,0,COUNTA([2]characters!$A:$A),MATCH(B$1,[2]characters!$1:$1,0)-MATCH($A$1,[2]characters!$1:$1,0)+1),MATCH(B$1,[2]characters!$1:$1,0)-MATCH($A$1,[2]characters!$1:$1,0)+1,FALSE)</f>
        <v>リンドブルム</v>
      </c>
      <c r="C281" s="77" t="str">
        <f ca="1">VLOOKUP($A281,OFFSET([2]characters!$A$1,0,0,COUNTA([2]characters!$A:$A),MATCH(C$1,[2]characters!$1:$1,0)-MATCH($A$1,[2]characters!$1:$1,0)+1),MATCH(C$1,[2]characters!$1:$1,0)-MATCH($A$1,[2]characters!$1:$1,0)+1,FALSE)</f>
        <v>イベント:機械龍01</v>
      </c>
      <c r="D281" s="77" t="str">
        <f ca="1">VLOOKUP($A281,OFFSET([2]characters!$A$1,0,0,COUNTA([2]characters!$A:$A),MATCH(D$1,[2]characters!$1:$1,0)-MATCH($A$1,[2]characters!$1:$1,0)+1),MATCH(D$1,[2]characters!$1:$1,0)-MATCH($A$1,[2]characters!$1:$1,0)+1,FALSE)</f>
        <v>QoH</v>
      </c>
      <c r="E281" s="77" t="str">
        <f ca="1">VLOOKUP($A281,OFFSET([2]characters!$A$1,0,0,COUNTA([2]characters!$A:$A),MATCH(E$1,[2]characters!$1:$1,0)-MATCH($A$1,[2]characters!$1:$1,0)+1),MATCH(E$1,[2]characters!$1:$1,0)-MATCH($A$1,[2]characters!$1:$1,0)+1,FALSE)</f>
        <v>格好いい</v>
      </c>
      <c r="F281" s="77" t="str">
        <f ca="1">VLOOKUP($A281,OFFSET([2]characters!$A$1,0,0,COUNTA([2]characters!$A:$A),MATCH(F$1,[2]characters!$1:$1,0)-MATCH($A$1,[2]characters!$1:$1,0)+1),MATCH(F$1,[2]characters!$1:$1,0)-MATCH($A$1,[2]characters!$1:$1,0)+1,FALSE)</f>
        <v>不明</v>
      </c>
      <c r="G281" s="77">
        <f ca="1">VLOOKUP($A281,OFFSET([2]characters!$A$1,0,0,COUNTA([2]characters!$A:$A),MATCH(G$1,[2]characters!$1:$1,0)-MATCH($A$1,[2]characters!$1:$1,0)+1),MATCH(G$1,[2]characters!$1:$1,0)-MATCH($A$1,[2]characters!$1:$1,0)+1,FALSE)</f>
        <v>3</v>
      </c>
      <c r="H281" s="77" t="str">
        <f ca="1">VLOOKUP($A281,OFFSET([2]characters!$A$1,0,0,COUNTA([2]characters!$A:$A),MATCH(H$1,[2]characters!$1:$1,0)-MATCH($A$1,[2]characters!$1:$1,0)+1),MATCH(H$1,[2]characters!$1:$1,0)-MATCH($A$1,[2]characters!$1:$1,0)+1,FALSE)</f>
        <v>Drop2W</v>
      </c>
      <c r="I281" s="77" t="str">
        <f ca="1">VLOOKUP($A281,OFFSET([2]characters!$A$1,0,0,COUNTA([2]characters!$A:$A),MATCH(I$1,[2]characters!$1:$1,0)-MATCH($A$1,[2]characters!$1:$1,0)+1),MATCH(I$1,[2]characters!$1:$1,0)-MATCH($A$1,[2]characters!$1:$1,0)+1,FALSE)</f>
        <v>green</v>
      </c>
      <c r="J281" s="14">
        <f ca="1">VLOOKUP(I281,[2]属性!$A:$E,2,FALSE)</f>
        <v>1.02</v>
      </c>
      <c r="K281" s="14">
        <f ca="1">VLOOKUP(I281,[2]属性!$A:$E,3,FALSE)</f>
        <v>0.98</v>
      </c>
      <c r="L281" s="14">
        <f ca="1">VLOOKUP(I281,[2]属性!$A:$E,4,FALSE)</f>
        <v>1</v>
      </c>
      <c r="M281" s="14">
        <f ca="1">VLOOKUP(I281,[2]属性!$A:$E,5,FALSE)</f>
        <v>1</v>
      </c>
      <c r="N281" s="14">
        <f ca="1">INDEX(コスト!$A$1:$I$20,MATCH(H281,コスト!$A$1:$A$20,FALSE),MATCH(G281,コスト!$A$1:$I$1,FALSE))</f>
        <v>6</v>
      </c>
      <c r="O281" s="14">
        <f ca="1">INDEX(レベル!$A$1:$I$21,MATCH(H281,レベル!$A$1:$A$21,FALSE),MATCH(G281,レベル!$A$1:$I$1,FALSE))</f>
        <v>40</v>
      </c>
      <c r="P281" s="63">
        <f t="shared" ca="1" si="35"/>
        <v>45</v>
      </c>
      <c r="Q281" s="77" t="str">
        <f ca="1">VLOOKUP($A281,OFFSET([2]characters!$A$1,0,0,COUNTA([2]characters!$A:$A),MATCH(Q$1,[2]characters!$1:$1,0)-MATCH($A$1,[2]characters!$1:$1,0)+1),MATCH(Q$1,[2]characters!$1:$1,0)-MATCH($A$1,[2]characters!$1:$1,0)+1,FALSE)</f>
        <v>attack</v>
      </c>
      <c r="R281" s="8" t="str">
        <f ca="1">VLOOKUP(Q281,[2]character_type_i18n!$A:$H,3,FALSE)</f>
        <v>攻撃タイプ</v>
      </c>
      <c r="S281" s="14">
        <f ca="1">VLOOKUP(Q281,[2]character_type_i18n!$A:$H,4,FALSE)</f>
        <v>1</v>
      </c>
      <c r="T281" s="14">
        <f ca="1">VLOOKUP(Q281,[2]character_type_i18n!$A:$H,5,FALSE)</f>
        <v>1.33</v>
      </c>
      <c r="U281" s="14">
        <f ca="1">VLOOKUP(Q281,[2]character_type_i18n!$A:$H,6,FALSE)</f>
        <v>1</v>
      </c>
      <c r="V281" s="14">
        <f ca="1">VLOOKUP(Q281,[2]character_type_i18n!$A:$H,7,FALSE)</f>
        <v>0.67</v>
      </c>
      <c r="W281" s="77" t="str">
        <f ca="1">VLOOKUP($A281,OFFSET([2]characters!$A$1,0,0,COUNTA([2]characters!$A:$A),MATCH(W$1,[2]characters!$1:$1,0)-MATCH($A$1,[2]characters!$1:$1,0)+1),MATCH(W$1,[2]characters!$1:$1,0)-MATCH($A$1,[2]characters!$1:$1,0)+1,FALSE)</f>
        <v>dragon</v>
      </c>
      <c r="X281" s="8" t="str">
        <f ca="1">VLOOKUP(W281,[2]character_tribe_i18n!$A:$H,3,FALSE)</f>
        <v>ドラゴン</v>
      </c>
      <c r="Y281" s="77" t="str">
        <f ca="1">VLOOKUP($A281,OFFSET([2]characters!$A$1,0,0,COUNTA([2]characters!$A:$A),MATCH(Y$1,[2]characters!$1:$1,0)-MATCH($A$1,[2]characters!$1:$1,0)+1),MATCH(Y$1,[2]characters!$1:$1,0)-MATCH($A$1,[2]characters!$1:$1,0)+1,FALSE)</f>
        <v>machine</v>
      </c>
      <c r="Z281" s="8" t="str">
        <f ca="1">VLOOKUP(Y281,[2]character_tribe_i18n!$A:$H,3,FALSE)</f>
        <v>マシン</v>
      </c>
      <c r="AA281" s="14">
        <f ca="1">VLOOKUP(W281,[2]character_tribe_i18n!$A:$H,4,FALSE)</f>
        <v>1.1499999999999999</v>
      </c>
      <c r="AB281" s="14">
        <f ca="1">VLOOKUP(W281,[2]character_tribe_i18n!$A:$H,5,FALSE)</f>
        <v>1.1000000000000001</v>
      </c>
      <c r="AC281" s="14">
        <f ca="1">VLOOKUP(W281,[2]character_tribe_i18n!$A:$H,6,FALSE)</f>
        <v>1</v>
      </c>
      <c r="AD281" s="14">
        <f ca="1">VLOOKUP(W281,[2]character_tribe_i18n!$A:$H,7,FALSE)</f>
        <v>0.75</v>
      </c>
      <c r="AE281" s="12">
        <v>281</v>
      </c>
      <c r="AF281" s="85" t="str">
        <f ca="1">IF(AE281="NULL","",VLOOKUP($AE281,OFFSET([2]characters!$A$1,0,0,COUNTA([2]characters!$A:$A),MATCH(AF$1,[2]characters!$1:$1,0)-MATCH($A$1,[2]characters!$1:$1,0)+1),MATCH(AF$1,[2]characters!$1:$1,0)-MATCH($A$1,[2]characters!$1:$1,0)+1,FALSE))</f>
        <v>リンドブルム・コンデンス</v>
      </c>
      <c r="AG281" s="8">
        <f t="shared" ca="1" si="30"/>
        <v>280</v>
      </c>
      <c r="AH281" s="85" t="str">
        <f ca="1">VLOOKUP($AG281,OFFSET([2]characters!$A$1,0,0,COUNTA([2]characters!$A:$A),MATCH(AH$1,[2]characters!$1:$1,0)-MATCH($A$1,[2]characters!$1:$1,0)+1),MATCH(AH$1,[2]characters!$1:$1,0)-MATCH($A$1,[2]characters!$1:$1,0)+1,FALSE)</f>
        <v>リンドブルム</v>
      </c>
      <c r="AI281" s="14">
        <f ca="1">IF(AE281="NULL","NULL",VLOOKUP(G281,ビット!$A$2:$B$7,2))</f>
        <v>20000</v>
      </c>
      <c r="AJ281" s="9">
        <v>2</v>
      </c>
      <c r="AK281" s="10" t="str">
        <f t="shared" si="31"/>
        <v>普通</v>
      </c>
      <c r="AL281" s="14" t="str">
        <f ca="1">INDEX(経験値!$A$1:$I$20,MATCH(H281,経験値!$A$1:$A$20,FALSE),MATCH(G281,経験値!$A$1:$I$1,FALSE))</f>
        <v>required_exp_150</v>
      </c>
      <c r="AM281" s="11">
        <f ca="1">VLOOKUP(G281,経験値!$A$27:$B$31,2)</f>
        <v>1500</v>
      </c>
      <c r="AN281" s="21">
        <f ca="1">VLOOKUP(G281,ビット!$G$2:$H$7,2)</f>
        <v>300</v>
      </c>
      <c r="AO281" s="98" t="s">
        <v>188</v>
      </c>
      <c r="AP281" s="53">
        <v>150002</v>
      </c>
      <c r="AQ281" s="77" t="e">
        <f ca="1">VLOOKUP($AP281,OFFSET([1]unit_skills!$A$1,0,0,COUNTA([1]unit_skills!$A:$A),MATCH("name",[1]unit_skills!$1:$1,0)-MATCH($AP$1,[1]unit_skills!$1:$1,0)+1),MATCH("name",[1]unit_skills!$1:$1,0)-MATCH($AP$1,[1]unit_skills!$1:$1,0)+1,FALSE)</f>
        <v>#VALUE!</v>
      </c>
      <c r="AR281" s="77" t="e">
        <f ca="1">VLOOKUP($AP281,OFFSET([1]unit_skills!$A$1,0,0,COUNTA([1]unit_skills!$A:$A),MATCH("comment",[1]unit_skills!$1:$1,0)-MATCH($AP$1,[1]unit_skills!$1:$1,0)+1),MATCH("comment",[1]unit_skills!$1:$1,0)-MATCH($AP$1,[1]unit_skills!$1:$1,0)+1,FALSE)</f>
        <v>#VALUE!</v>
      </c>
      <c r="AS281" s="77" t="e">
        <f ca="1">VLOOKUP($AP281,OFFSET([1]unit_skills!$A$1,0,0,COUNTA([1]unit_skills!$A:$A),MATCH(AS$1,[1]unit_skills!$1:$1,0)-MATCH($AP$1,[1]unit_skills!$1:$1,0)+1),MATCH(AS$1,[1]unit_skills!$1:$1,0)-MATCH($AP$1,[1]unit_skills!$1:$1,0)+1,FALSE)</f>
        <v>#VALUE!</v>
      </c>
      <c r="AT281" s="97">
        <v>122003</v>
      </c>
      <c r="AU281" s="77" t="e">
        <f ca="1">VLOOKUP($AT281,OFFSET([1]crash_skills!$A$1,0,0,COUNTA([1]crash_skills!$A:$A),MATCH("name",[1]crash_skills!$1:$1,0)-MATCH($AT$1,[1]crash_skills!$1:$1,0)+1),MATCH("name",[1]crash_skills!$1:$1,0)-MATCH($AT$1,[1]crash_skills!$1:$1,0)+1,FALSE)</f>
        <v>#VALUE!</v>
      </c>
      <c r="AV281" s="77" t="e">
        <f ca="1">VLOOKUP($AT281,OFFSET([1]crash_skills!$A$1,0,0,COUNTA([1]crash_skills!$A:$A),MATCH("comment",[1]crash_skills!$1:$1,0)-MATCH($AT$1,[1]crash_skills!$1:$1,0)+1),MATCH("comment",[1]crash_skills!$1:$1,0)-MATCH($AT$1,[1]crash_skills!$1:$1,0)+1,FALSE)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81" s="77" t="e">
        <f ca="1">VLOOKUP($AT281,OFFSET([1]crash_skills!$A$1,0,0,COUNTA([1]crash_skills!$A:$A),MATCH(AW$1,[1]crash_skills!$1:$1,0)-MATCH($AT$1,[1]crash_skills!$1:$1,0)+1),MATCH(AW$1,[1]crash_skills!$1:$1,0)-MATCH($AT$1,[1]crash_skills!$1:$1,0)+1,FALSE)</f>
        <v>#VALUE!</v>
      </c>
      <c r="AX281" s="81">
        <f ca="1">VLOOKUP($A281,OFFSET([2]characters!$A$1,0,0,COUNTA([2]characters!$A:$A),MATCH(AX$1,[2]characters!$1:$1,0)-MATCH($A$1,[2]characters!$1:$1,0)+1),MATCH(AX$1,[2]characters!$1:$1,0)-MATCH($A$1,[2]characters!$1:$1,0)+1,FALSE)</f>
        <v>3</v>
      </c>
      <c r="AY281" s="19">
        <v>1</v>
      </c>
      <c r="AZ281" s="19">
        <v>1</v>
      </c>
      <c r="BA281" s="19">
        <v>0</v>
      </c>
      <c r="BB281" s="19">
        <v>1</v>
      </c>
      <c r="BC281" s="14">
        <f ca="1">INDEX('RC6SV'!$A$1:$G$20,MATCH(H281,'RC6SV'!$A$1:$A$20,FALSE),MATCH(G281,'RC6SV'!$A$1:$G$1,FALSE))</f>
        <v>4400</v>
      </c>
      <c r="BD281" s="63">
        <f t="shared" ca="1" si="32"/>
        <v>4400</v>
      </c>
      <c r="BE281" s="14">
        <f t="shared" ca="1" si="33"/>
        <v>0</v>
      </c>
      <c r="BF281" s="14">
        <f t="shared" ca="1" si="34"/>
        <v>1</v>
      </c>
      <c r="BG281" s="20">
        <f ca="1">IF($BE281&lt;=0,ROUND(BK281*0.5,0), ROUND($BE281*S281*AA281*J281*AY281*0.8*[2]ステータス!$B$2,0))</f>
        <v>1291</v>
      </c>
      <c r="BH281" s="20">
        <f ca="1">IF($BE281&lt;=0,ROUND(BL281*0.5,0), ROUND($BE281*T281*AB281*K281*AZ281*0.8*[2]ステータス!$C$2,0))</f>
        <v>947</v>
      </c>
      <c r="BI281" s="20">
        <f ca="1">IF($BE281&lt;=0,ROUND(BM281*0.5,0), ROUND($BE281*U281*AC281*L281*BA281*0.8*[2]ステータス!$D$2,0))</f>
        <v>0</v>
      </c>
      <c r="BJ281" s="20">
        <f ca="1">IF($BE281&lt;=0,ROUND(BN281*0.5,0), ROUND($BE281*V281*AD281*M281*BB281*0.8*[2]ステータス!$E$2,0))</f>
        <v>277</v>
      </c>
      <c r="BK281" s="14">
        <f ca="1">ROUND(BD281*S281*AA281*J281*AY281*[2]ステータス!$B$2,0)</f>
        <v>2581</v>
      </c>
      <c r="BL281" s="14">
        <f ca="1">ROUND(BD281*T281*AB281*K281*AZ281*[2]ステータス!$C$2,0)</f>
        <v>1893</v>
      </c>
      <c r="BM281" s="14">
        <f ca="1">ROUND(BD281*U281*AC281*L281*BA281*[2]ステータス!$D$2,0)</f>
        <v>0</v>
      </c>
      <c r="BN281" s="14">
        <f ca="1">ROUND(BD281*V281*AD281*M281*BB281*[2]ステータス!$E$2,0)</f>
        <v>553</v>
      </c>
      <c r="BO281" s="13">
        <v>0</v>
      </c>
      <c r="BP281" s="13">
        <v>1</v>
      </c>
      <c r="BQ281" s="13" t="s">
        <v>102</v>
      </c>
      <c r="BR281" s="13">
        <f ca="1">VLOOKUP(H281,ghosts_label!$A$2:$B$19,2,FALSE)</f>
        <v>1</v>
      </c>
    </row>
    <row r="282" spans="1:70" ht="21" customHeight="1" x14ac:dyDescent="0.15">
      <c r="A282" s="14">
        <f t="shared" ca="1" si="29"/>
        <v>281</v>
      </c>
      <c r="B282" s="77" t="str">
        <f ca="1">VLOOKUP($A282,OFFSET([2]characters!$A$1,0,0,COUNTA([2]characters!$A:$A),MATCH(B$1,[2]characters!$1:$1,0)-MATCH($A$1,[2]characters!$1:$1,0)+1),MATCH(B$1,[2]characters!$1:$1,0)-MATCH($A$1,[2]characters!$1:$1,0)+1,FALSE)</f>
        <v>リンドブルム・コンデンス</v>
      </c>
      <c r="C282" s="77" t="str">
        <f ca="1">VLOOKUP($A282,OFFSET([2]characters!$A$1,0,0,COUNTA([2]characters!$A:$A),MATCH(C$1,[2]characters!$1:$1,0)-MATCH($A$1,[2]characters!$1:$1,0)+1),MATCH(C$1,[2]characters!$1:$1,0)-MATCH($A$1,[2]characters!$1:$1,0)+1,FALSE)</f>
        <v>イベント:機械龍01</v>
      </c>
      <c r="D282" s="77" t="str">
        <f ca="1">VLOOKUP($A282,OFFSET([2]characters!$A$1,0,0,COUNTA([2]characters!$A:$A),MATCH(D$1,[2]characters!$1:$1,0)-MATCH($A$1,[2]characters!$1:$1,0)+1),MATCH(D$1,[2]characters!$1:$1,0)-MATCH($A$1,[2]characters!$1:$1,0)+1,FALSE)</f>
        <v>QoH</v>
      </c>
      <c r="E282" s="77" t="str">
        <f ca="1">VLOOKUP($A282,OFFSET([2]characters!$A$1,0,0,COUNTA([2]characters!$A:$A),MATCH(E$1,[2]characters!$1:$1,0)-MATCH($A$1,[2]characters!$1:$1,0)+1),MATCH(E$1,[2]characters!$1:$1,0)-MATCH($A$1,[2]characters!$1:$1,0)+1,FALSE)</f>
        <v>格好いい</v>
      </c>
      <c r="F282" s="77" t="str">
        <f ca="1">VLOOKUP($A282,OFFSET([2]characters!$A$1,0,0,COUNTA([2]characters!$A:$A),MATCH(F$1,[2]characters!$1:$1,0)-MATCH($A$1,[2]characters!$1:$1,0)+1),MATCH(F$1,[2]characters!$1:$1,0)-MATCH($A$1,[2]characters!$1:$1,0)+1,FALSE)</f>
        <v>不明</v>
      </c>
      <c r="G282" s="77">
        <f ca="1">VLOOKUP($A282,OFFSET([2]characters!$A$1,0,0,COUNTA([2]characters!$A:$A),MATCH(G$1,[2]characters!$1:$1,0)-MATCH($A$1,[2]characters!$1:$1,0)+1),MATCH(G$1,[2]characters!$1:$1,0)-MATCH($A$1,[2]characters!$1:$1,0)+1,FALSE)</f>
        <v>4</v>
      </c>
      <c r="H282" s="77" t="str">
        <f ca="1">VLOOKUP($A282,OFFSET([2]characters!$A$1,0,0,COUNTA([2]characters!$A:$A),MATCH(H$1,[2]characters!$1:$1,0)-MATCH($A$1,[2]characters!$1:$1,0)+1),MATCH(H$1,[2]characters!$1:$1,0)-MATCH($A$1,[2]characters!$1:$1,0)+1,FALSE)</f>
        <v>DropWizW</v>
      </c>
      <c r="I282" s="77" t="str">
        <f ca="1">VLOOKUP($A282,OFFSET([2]characters!$A$1,0,0,COUNTA([2]characters!$A:$A),MATCH(I$1,[2]characters!$1:$1,0)-MATCH($A$1,[2]characters!$1:$1,0)+1),MATCH(I$1,[2]characters!$1:$1,0)-MATCH($A$1,[2]characters!$1:$1,0)+1,FALSE)</f>
        <v>green</v>
      </c>
      <c r="J282" s="14">
        <f ca="1">VLOOKUP(I282,[2]属性!$A:$E,2,FALSE)</f>
        <v>1.02</v>
      </c>
      <c r="K282" s="14">
        <f ca="1">VLOOKUP(I282,[2]属性!$A:$E,3,FALSE)</f>
        <v>0.98</v>
      </c>
      <c r="L282" s="14">
        <f ca="1">VLOOKUP(I282,[2]属性!$A:$E,4,FALSE)</f>
        <v>1</v>
      </c>
      <c r="M282" s="14">
        <f ca="1">VLOOKUP(I282,[2]属性!$A:$E,5,FALSE)</f>
        <v>1</v>
      </c>
      <c r="N282" s="14">
        <f ca="1">INDEX(コスト!$A$1:$I$20,MATCH(H282,コスト!$A$1:$A$20,FALSE),MATCH(G282,コスト!$A$1:$I$1,FALSE))</f>
        <v>16</v>
      </c>
      <c r="O282" s="14">
        <f ca="1">INDEX(レベル!$A$1:$I$21,MATCH(H282,レベル!$A$1:$A$21,FALSE),MATCH(G282,レベル!$A$1:$I$1,FALSE))</f>
        <v>60</v>
      </c>
      <c r="P282" s="63">
        <f t="shared" ca="1" si="35"/>
        <v>60</v>
      </c>
      <c r="Q282" s="77" t="str">
        <f ca="1">VLOOKUP($A282,OFFSET([2]characters!$A$1,0,0,COUNTA([2]characters!$A:$A),MATCH(Q$1,[2]characters!$1:$1,0)-MATCH($A$1,[2]characters!$1:$1,0)+1),MATCH(Q$1,[2]characters!$1:$1,0)-MATCH($A$1,[2]characters!$1:$1,0)+1,FALSE)</f>
        <v>attack</v>
      </c>
      <c r="R282" s="8" t="str">
        <f ca="1">VLOOKUP(Q282,[2]character_type_i18n!$A:$H,3,FALSE)</f>
        <v>攻撃タイプ</v>
      </c>
      <c r="S282" s="14">
        <f ca="1">VLOOKUP(Q282,[2]character_type_i18n!$A:$H,4,FALSE)</f>
        <v>1</v>
      </c>
      <c r="T282" s="14">
        <f ca="1">VLOOKUP(Q282,[2]character_type_i18n!$A:$H,5,FALSE)</f>
        <v>1.33</v>
      </c>
      <c r="U282" s="14">
        <f ca="1">VLOOKUP(Q282,[2]character_type_i18n!$A:$H,6,FALSE)</f>
        <v>1</v>
      </c>
      <c r="V282" s="14">
        <f ca="1">VLOOKUP(Q282,[2]character_type_i18n!$A:$H,7,FALSE)</f>
        <v>0.67</v>
      </c>
      <c r="W282" s="77" t="str">
        <f ca="1">VLOOKUP($A282,OFFSET([2]characters!$A$1,0,0,COUNTA([2]characters!$A:$A),MATCH(W$1,[2]characters!$1:$1,0)-MATCH($A$1,[2]characters!$1:$1,0)+1),MATCH(W$1,[2]characters!$1:$1,0)-MATCH($A$1,[2]characters!$1:$1,0)+1,FALSE)</f>
        <v>dragon</v>
      </c>
      <c r="X282" s="8" t="str">
        <f ca="1">VLOOKUP(W282,[2]character_tribe_i18n!$A:$H,3,FALSE)</f>
        <v>ドラゴン</v>
      </c>
      <c r="Y282" s="77" t="str">
        <f ca="1">VLOOKUP($A282,OFFSET([2]characters!$A$1,0,0,COUNTA([2]characters!$A:$A),MATCH(Y$1,[2]characters!$1:$1,0)-MATCH($A$1,[2]characters!$1:$1,0)+1),MATCH(Y$1,[2]characters!$1:$1,0)-MATCH($A$1,[2]characters!$1:$1,0)+1,FALSE)</f>
        <v>machine</v>
      </c>
      <c r="Z282" s="8" t="str">
        <f ca="1">VLOOKUP(Y282,[2]character_tribe_i18n!$A:$H,3,FALSE)</f>
        <v>マシン</v>
      </c>
      <c r="AA282" s="14">
        <f ca="1">VLOOKUP(W282,[2]character_tribe_i18n!$A:$H,4,FALSE)</f>
        <v>1.1499999999999999</v>
      </c>
      <c r="AB282" s="14">
        <f ca="1">VLOOKUP(W282,[2]character_tribe_i18n!$A:$H,5,FALSE)</f>
        <v>1.1000000000000001</v>
      </c>
      <c r="AC282" s="14">
        <f ca="1">VLOOKUP(W282,[2]character_tribe_i18n!$A:$H,6,FALSE)</f>
        <v>1</v>
      </c>
      <c r="AD282" s="14">
        <f ca="1">VLOOKUP(W282,[2]character_tribe_i18n!$A:$H,7,FALSE)</f>
        <v>0.75</v>
      </c>
      <c r="AE282" s="12">
        <v>616</v>
      </c>
      <c r="AF282" s="85" t="str">
        <f ca="1">IF(AE282="NULL","",VLOOKUP($AE282,OFFSET([2]characters!$A$1,0,0,COUNTA([2]characters!$A:$A),MATCH(AF$1,[2]characters!$1:$1,0)-MATCH($A$1,[2]characters!$1:$1,0)+1),MATCH(AF$1,[2]characters!$1:$1,0)-MATCH($A$1,[2]characters!$1:$1,0)+1,FALSE))</f>
        <v>リンドブルム・デルタクラスター</v>
      </c>
      <c r="AG282" s="8">
        <f t="shared" ca="1" si="30"/>
        <v>280</v>
      </c>
      <c r="AH282" s="85" t="str">
        <f ca="1">VLOOKUP($AG282,OFFSET([2]characters!$A$1,0,0,COUNTA([2]characters!$A:$A),MATCH(AH$1,[2]characters!$1:$1,0)-MATCH($A$1,[2]characters!$1:$1,0)+1),MATCH(AH$1,[2]characters!$1:$1,0)-MATCH($A$1,[2]characters!$1:$1,0)+1,FALSE)</f>
        <v>リンドブルム</v>
      </c>
      <c r="AI282" s="14">
        <f ca="1">IF(AE282="NULL","NULL",VLOOKUP(G282,ビット!$A$2:$B$7,2))</f>
        <v>50000</v>
      </c>
      <c r="AJ282" s="9">
        <v>2</v>
      </c>
      <c r="AK282" s="10" t="str">
        <f t="shared" si="31"/>
        <v>普通</v>
      </c>
      <c r="AL282" s="14" t="str">
        <f ca="1">INDEX(経験値!$A$1:$I$20,MATCH(H282,経験値!$A$1:$A$20,FALSE),MATCH(G282,経験値!$A$1:$I$1,FALSE))</f>
        <v>required_exp_150</v>
      </c>
      <c r="AM282" s="11">
        <f ca="1">VLOOKUP(G282,経験値!$A$27:$B$31,2)</f>
        <v>3400</v>
      </c>
      <c r="AN282" s="21">
        <f ca="1">VLOOKUP(G282,ビット!$G$2:$H$7,2)</f>
        <v>600</v>
      </c>
      <c r="AO282" s="98" t="s">
        <v>188</v>
      </c>
      <c r="AP282" s="53">
        <v>150003</v>
      </c>
      <c r="AQ282" s="77" t="e">
        <f ca="1">VLOOKUP($AP282,OFFSET([1]unit_skills!$A$1,0,0,COUNTA([1]unit_skills!$A:$A),MATCH("name",[1]unit_skills!$1:$1,0)-MATCH($AP$1,[1]unit_skills!$1:$1,0)+1),MATCH("name",[1]unit_skills!$1:$1,0)-MATCH($AP$1,[1]unit_skills!$1:$1,0)+1,FALSE)</f>
        <v>#VALUE!</v>
      </c>
      <c r="AR282" s="77" t="e">
        <f ca="1">VLOOKUP($AP282,OFFSET([1]unit_skills!$A$1,0,0,COUNTA([1]unit_skills!$A:$A),MATCH("comment",[1]unit_skills!$1:$1,0)-MATCH($AP$1,[1]unit_skills!$1:$1,0)+1),MATCH("comment",[1]unit_skills!$1:$1,0)-MATCH($AP$1,[1]unit_skills!$1:$1,0)+1,FALSE)</f>
        <v>#VALUE!</v>
      </c>
      <c r="AS282" s="77" t="e">
        <f ca="1">VLOOKUP($AP282,OFFSET([1]unit_skills!$A$1,0,0,COUNTA([1]unit_skills!$A:$A),MATCH(AS$1,[1]unit_skills!$1:$1,0)-MATCH($AP$1,[1]unit_skills!$1:$1,0)+1),MATCH(AS$1,[1]unit_skills!$1:$1,0)-MATCH($AP$1,[1]unit_skills!$1:$1,0)+1,FALSE)</f>
        <v>#VALUE!</v>
      </c>
      <c r="AT282" s="97">
        <v>122012</v>
      </c>
      <c r="AU282" s="77" t="e">
        <f ca="1">VLOOKUP($AT282,OFFSET([1]crash_skills!$A$1,0,0,COUNTA([1]crash_skills!$A:$A),MATCH("name",[1]crash_skills!$1:$1,0)-MATCH($AT$1,[1]crash_skills!$1:$1,0)+1),MATCH("name",[1]crash_skills!$1:$1,0)-MATCH($AT$1,[1]crash_skills!$1:$1,0)+1,FALSE)</f>
        <v>#VALUE!</v>
      </c>
      <c r="AV282" s="77" t="e">
        <f ca="1">VLOOKUP($AT282,OFFSET([1]crash_skills!$A$1,0,0,COUNTA([1]crash_skills!$A:$A),MATCH("comment",[1]crash_skills!$1:$1,0)-MATCH($AT$1,[1]crash_skills!$1:$1,0)+1),MATCH("comment",[1]crash_skills!$1:$1,0)-MATCH($AT$1,[1]crash_skills!$1:$1,0)+1,FALSE)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82" s="77" t="e">
        <f ca="1">VLOOKUP($AT282,OFFSET([1]crash_skills!$A$1,0,0,COUNTA([1]crash_skills!$A:$A),MATCH(AW$1,[1]crash_skills!$1:$1,0)-MATCH($AT$1,[1]crash_skills!$1:$1,0)+1),MATCH(AW$1,[1]crash_skills!$1:$1,0)-MATCH($AT$1,[1]crash_skills!$1:$1,0)+1,FALSE)</f>
        <v>#VALUE!</v>
      </c>
      <c r="AX282" s="81">
        <f ca="1">VLOOKUP($A282,OFFSET([2]characters!$A$1,0,0,COUNTA([2]characters!$A:$A),MATCH(AX$1,[2]characters!$1:$1,0)-MATCH($A$1,[2]characters!$1:$1,0)+1),MATCH(AX$1,[2]characters!$1:$1,0)-MATCH($A$1,[2]characters!$1:$1,0)+1,FALSE)</f>
        <v>3</v>
      </c>
      <c r="AY282" s="19">
        <v>1</v>
      </c>
      <c r="AZ282" s="19">
        <v>1</v>
      </c>
      <c r="BA282" s="19">
        <v>0</v>
      </c>
      <c r="BB282" s="19">
        <v>1</v>
      </c>
      <c r="BC282" s="14">
        <f ca="1">INDEX('RC6SV'!$A$1:$G$20,MATCH(H282,'RC6SV'!$A$1:$A$20,FALSE),MATCH(G282,'RC6SV'!$A$1:$G$1,FALSE))</f>
        <v>6600</v>
      </c>
      <c r="BD282" s="63">
        <f t="shared" ca="1" si="32"/>
        <v>6600</v>
      </c>
      <c r="BE282" s="14">
        <f t="shared" ca="1" si="33"/>
        <v>4400</v>
      </c>
      <c r="BF282" s="14">
        <f t="shared" ca="1" si="34"/>
        <v>1</v>
      </c>
      <c r="BG282" s="20">
        <f ca="1">IF($BE282&lt;=0,ROUND(BK282*0.5,0), ROUND($BE282*S282*AA282*J282*AY282*0.8*[2]ステータス!$B$2,0))</f>
        <v>2064</v>
      </c>
      <c r="BH282" s="20">
        <f ca="1">IF($BE282&lt;=0,ROUND(BL282*0.5,0), ROUND($BE282*T282*AB282*K282*AZ282*0.8*[2]ステータス!$C$2,0))</f>
        <v>1514</v>
      </c>
      <c r="BI282" s="20">
        <f ca="1">IF($BE282&lt;=0,ROUND(BM282*0.5,0), ROUND($BE282*U282*AC282*L282*BA282*0.8*[2]ステータス!$D$2,0))</f>
        <v>0</v>
      </c>
      <c r="BJ282" s="20">
        <f ca="1">IF($BE282&lt;=0,ROUND(BN282*0.5,0), ROUND($BE282*V282*AD282*M282*BB282*0.8*[2]ステータス!$E$2,0))</f>
        <v>442</v>
      </c>
      <c r="BK282" s="14">
        <f ca="1">ROUND(BD282*S282*AA282*J282*AY282*[2]ステータス!$B$2,0)</f>
        <v>3871</v>
      </c>
      <c r="BL282" s="14">
        <f ca="1">ROUND(BD282*T282*AB282*K282*AZ282*[2]ステータス!$C$2,0)</f>
        <v>2839</v>
      </c>
      <c r="BM282" s="14">
        <f ca="1">ROUND(BD282*U282*AC282*L282*BA282*[2]ステータス!$D$2,0)</f>
        <v>0</v>
      </c>
      <c r="BN282" s="14">
        <f ca="1">ROUND(BD282*V282*AD282*M282*BB282*[2]ステータス!$E$2,0)</f>
        <v>829</v>
      </c>
      <c r="BO282" s="13">
        <v>0</v>
      </c>
      <c r="BP282" s="13">
        <v>1</v>
      </c>
      <c r="BQ282" s="13" t="s">
        <v>102</v>
      </c>
      <c r="BR282" s="13">
        <f ca="1">VLOOKUP(H282,ghosts_label!$A$2:$B$19,2,FALSE)</f>
        <v>1</v>
      </c>
    </row>
    <row r="283" spans="1:70" ht="21" customHeight="1" x14ac:dyDescent="0.15">
      <c r="A283" s="14">
        <f t="shared" ca="1" si="29"/>
        <v>282</v>
      </c>
      <c r="B283" s="77" t="str">
        <f ca="1">VLOOKUP($A283,OFFSET([2]characters!$A$1,0,0,COUNTA([2]characters!$A:$A),MATCH(B$1,[2]characters!$1:$1,0)-MATCH($A$1,[2]characters!$1:$1,0)+1),MATCH(B$1,[2]characters!$1:$1,0)-MATCH($A$1,[2]characters!$1:$1,0)+1,FALSE)</f>
        <v>ラーフ</v>
      </c>
      <c r="C283" s="77" t="str">
        <f ca="1">VLOOKUP($A283,OFFSET([2]characters!$A$1,0,0,COUNTA([2]characters!$A:$A),MATCH(C$1,[2]characters!$1:$1,0)-MATCH($A$1,[2]characters!$1:$1,0)+1),MATCH(C$1,[2]characters!$1:$1,0)-MATCH($A$1,[2]characters!$1:$1,0)+1,FALSE)</f>
        <v>イベント:機械龍01</v>
      </c>
      <c r="D283" s="77" t="str">
        <f ca="1">VLOOKUP($A283,OFFSET([2]characters!$A$1,0,0,COUNTA([2]characters!$A:$A),MATCH(D$1,[2]characters!$1:$1,0)-MATCH($A$1,[2]characters!$1:$1,0)+1),MATCH(D$1,[2]characters!$1:$1,0)-MATCH($A$1,[2]characters!$1:$1,0)+1,FALSE)</f>
        <v>QoH</v>
      </c>
      <c r="E283" s="77" t="str">
        <f ca="1">VLOOKUP($A283,OFFSET([2]characters!$A$1,0,0,COUNTA([2]characters!$A:$A),MATCH(E$1,[2]characters!$1:$1,0)-MATCH($A$1,[2]characters!$1:$1,0)+1),MATCH(E$1,[2]characters!$1:$1,0)-MATCH($A$1,[2]characters!$1:$1,0)+1,FALSE)</f>
        <v>格好いい</v>
      </c>
      <c r="F283" s="77" t="str">
        <f ca="1">VLOOKUP($A283,OFFSET([2]characters!$A$1,0,0,COUNTA([2]characters!$A:$A),MATCH(F$1,[2]characters!$1:$1,0)-MATCH($A$1,[2]characters!$1:$1,0)+1),MATCH(F$1,[2]characters!$1:$1,0)-MATCH($A$1,[2]characters!$1:$1,0)+1,FALSE)</f>
        <v>不明</v>
      </c>
      <c r="G283" s="77">
        <f ca="1">VLOOKUP($A283,OFFSET([2]characters!$A$1,0,0,COUNTA([2]characters!$A:$A),MATCH(G$1,[2]characters!$1:$1,0)-MATCH($A$1,[2]characters!$1:$1,0)+1),MATCH(G$1,[2]characters!$1:$1,0)-MATCH($A$1,[2]characters!$1:$1,0)+1,FALSE)</f>
        <v>3</v>
      </c>
      <c r="H283" s="77" t="str">
        <f ca="1">VLOOKUP($A283,OFFSET([2]characters!$A$1,0,0,COUNTA([2]characters!$A:$A),MATCH(H$1,[2]characters!$1:$1,0)-MATCH($A$1,[2]characters!$1:$1,0)+1),MATCH(H$1,[2]characters!$1:$1,0)-MATCH($A$1,[2]characters!$1:$1,0)+1,FALSE)</f>
        <v>Drop2W</v>
      </c>
      <c r="I283" s="77" t="str">
        <f ca="1">VLOOKUP($A283,OFFSET([2]characters!$A$1,0,0,COUNTA([2]characters!$A:$A),MATCH(I$1,[2]characters!$1:$1,0)-MATCH($A$1,[2]characters!$1:$1,0)+1),MATCH(I$1,[2]characters!$1:$1,0)-MATCH($A$1,[2]characters!$1:$1,0)+1,FALSE)</f>
        <v>blue</v>
      </c>
      <c r="J283" s="14">
        <f ca="1">VLOOKUP(I283,[2]属性!$A:$E,2,FALSE)</f>
        <v>1</v>
      </c>
      <c r="K283" s="14">
        <f ca="1">VLOOKUP(I283,[2]属性!$A:$E,3,FALSE)</f>
        <v>0.98</v>
      </c>
      <c r="L283" s="14">
        <f ca="1">VLOOKUP(I283,[2]属性!$A:$E,4,FALSE)</f>
        <v>1</v>
      </c>
      <c r="M283" s="14">
        <f ca="1">VLOOKUP(I283,[2]属性!$A:$E,5,FALSE)</f>
        <v>1.02</v>
      </c>
      <c r="N283" s="14">
        <f ca="1">INDEX(コスト!$A$1:$I$20,MATCH(H283,コスト!$A$1:$A$20,FALSE),MATCH(G283,コスト!$A$1:$I$1,FALSE))</f>
        <v>6</v>
      </c>
      <c r="O283" s="14">
        <f ca="1">INDEX(レベル!$A$1:$I$21,MATCH(H283,レベル!$A$1:$A$21,FALSE),MATCH(G283,レベル!$A$1:$I$1,FALSE))</f>
        <v>40</v>
      </c>
      <c r="P283" s="63">
        <f t="shared" ca="1" si="35"/>
        <v>45</v>
      </c>
      <c r="Q283" s="77" t="str">
        <f ca="1">VLOOKUP($A283,OFFSET([2]characters!$A$1,0,0,COUNTA([2]characters!$A:$A),MATCH(Q$1,[2]characters!$1:$1,0)-MATCH($A$1,[2]characters!$1:$1,0)+1),MATCH(Q$1,[2]characters!$1:$1,0)-MATCH($A$1,[2]characters!$1:$1,0)+1,FALSE)</f>
        <v>balance</v>
      </c>
      <c r="R283" s="8" t="str">
        <f ca="1">VLOOKUP(Q283,[2]character_type_i18n!$A:$H,3,FALSE)</f>
        <v>バランスタイプ</v>
      </c>
      <c r="S283" s="14">
        <f ca="1">VLOOKUP(Q283,[2]character_type_i18n!$A:$H,4,FALSE)</f>
        <v>1</v>
      </c>
      <c r="T283" s="14">
        <f ca="1">VLOOKUP(Q283,[2]character_type_i18n!$A:$H,5,FALSE)</f>
        <v>1</v>
      </c>
      <c r="U283" s="14">
        <f ca="1">VLOOKUP(Q283,[2]character_type_i18n!$A:$H,6,FALSE)</f>
        <v>1</v>
      </c>
      <c r="V283" s="14">
        <f ca="1">VLOOKUP(Q283,[2]character_type_i18n!$A:$H,7,FALSE)</f>
        <v>1</v>
      </c>
      <c r="W283" s="77" t="str">
        <f ca="1">VLOOKUP($A283,OFFSET([2]characters!$A$1,0,0,COUNTA([2]characters!$A:$A),MATCH(W$1,[2]characters!$1:$1,0)-MATCH($A$1,[2]characters!$1:$1,0)+1),MATCH(W$1,[2]characters!$1:$1,0)-MATCH($A$1,[2]characters!$1:$1,0)+1,FALSE)</f>
        <v>dragon</v>
      </c>
      <c r="X283" s="8" t="str">
        <f ca="1">VLOOKUP(W283,[2]character_tribe_i18n!$A:$H,3,FALSE)</f>
        <v>ドラゴン</v>
      </c>
      <c r="Y283" s="77" t="str">
        <f ca="1">VLOOKUP($A283,OFFSET([2]characters!$A$1,0,0,COUNTA([2]characters!$A:$A),MATCH(Y$1,[2]characters!$1:$1,0)-MATCH($A$1,[2]characters!$1:$1,0)+1),MATCH(Y$1,[2]characters!$1:$1,0)-MATCH($A$1,[2]characters!$1:$1,0)+1,FALSE)</f>
        <v>machine</v>
      </c>
      <c r="Z283" s="8" t="str">
        <f ca="1">VLOOKUP(Y283,[2]character_tribe_i18n!$A:$H,3,FALSE)</f>
        <v>マシン</v>
      </c>
      <c r="AA283" s="14">
        <f ca="1">VLOOKUP(W283,[2]character_tribe_i18n!$A:$H,4,FALSE)</f>
        <v>1.1499999999999999</v>
      </c>
      <c r="AB283" s="14">
        <f ca="1">VLOOKUP(W283,[2]character_tribe_i18n!$A:$H,5,FALSE)</f>
        <v>1.1000000000000001</v>
      </c>
      <c r="AC283" s="14">
        <f ca="1">VLOOKUP(W283,[2]character_tribe_i18n!$A:$H,6,FALSE)</f>
        <v>1</v>
      </c>
      <c r="AD283" s="14">
        <f ca="1">VLOOKUP(W283,[2]character_tribe_i18n!$A:$H,7,FALSE)</f>
        <v>0.75</v>
      </c>
      <c r="AE283" s="12">
        <v>283</v>
      </c>
      <c r="AF283" s="85" t="str">
        <f ca="1">IF(AE283="NULL","",VLOOKUP($AE283,OFFSET([2]characters!$A$1,0,0,COUNTA([2]characters!$A:$A),MATCH(AF$1,[2]characters!$1:$1,0)-MATCH($A$1,[2]characters!$1:$1,0)+1),MATCH(AF$1,[2]characters!$1:$1,0)-MATCH($A$1,[2]characters!$1:$1,0)+1,FALSE))</f>
        <v>ラーフ・メテオ</v>
      </c>
      <c r="AG283" s="8">
        <f t="shared" ca="1" si="30"/>
        <v>282</v>
      </c>
      <c r="AH283" s="85" t="str">
        <f ca="1">VLOOKUP($AG283,OFFSET([2]characters!$A$1,0,0,COUNTA([2]characters!$A:$A),MATCH(AH$1,[2]characters!$1:$1,0)-MATCH($A$1,[2]characters!$1:$1,0)+1),MATCH(AH$1,[2]characters!$1:$1,0)-MATCH($A$1,[2]characters!$1:$1,0)+1,FALSE)</f>
        <v>ラーフ</v>
      </c>
      <c r="AI283" s="14">
        <f ca="1">IF(AE283="NULL","NULL",VLOOKUP(G283,ビット!$A$2:$B$7,2))</f>
        <v>20000</v>
      </c>
      <c r="AJ283" s="9">
        <v>2</v>
      </c>
      <c r="AK283" s="10" t="str">
        <f t="shared" si="31"/>
        <v>普通</v>
      </c>
      <c r="AL283" s="14" t="str">
        <f ca="1">INDEX(経験値!$A$1:$I$20,MATCH(H283,経験値!$A$1:$A$20,FALSE),MATCH(G283,経験値!$A$1:$I$1,FALSE))</f>
        <v>required_exp_150</v>
      </c>
      <c r="AM283" s="11">
        <f ca="1">VLOOKUP(G283,経験値!$A$27:$B$31,2)</f>
        <v>1500</v>
      </c>
      <c r="AN283" s="21">
        <f ca="1">VLOOKUP(G283,ビット!$G$2:$H$7,2)</f>
        <v>300</v>
      </c>
      <c r="AO283" s="98" t="s">
        <v>188</v>
      </c>
      <c r="AP283" s="97">
        <v>445001</v>
      </c>
      <c r="AQ283" s="77" t="e">
        <f ca="1">VLOOKUP($AP283,OFFSET([1]unit_skills!$A$1,0,0,COUNTA([1]unit_skills!$A:$A),MATCH("name",[1]unit_skills!$1:$1,0)-MATCH($AP$1,[1]unit_skills!$1:$1,0)+1),MATCH("name",[1]unit_skills!$1:$1,0)-MATCH($AP$1,[1]unit_skills!$1:$1,0)+1,FALSE)</f>
        <v>#VALUE!</v>
      </c>
      <c r="AR283" s="77" t="e">
        <f ca="1">VLOOKUP($AP283,OFFSET([1]unit_skills!$A$1,0,0,COUNTA([1]unit_skills!$A:$A),MATCH("comment",[1]unit_skills!$1:$1,0)-MATCH($AP$1,[1]unit_skills!$1:$1,0)+1),MATCH("comment",[1]unit_skills!$1:$1,0)-MATCH($AP$1,[1]unit_skills!$1:$1,0)+1,FALSE)</f>
        <v>#VALUE!</v>
      </c>
      <c r="AS283" s="77" t="e">
        <f ca="1">VLOOKUP($AP283,OFFSET([1]unit_skills!$A$1,0,0,COUNTA([1]unit_skills!$A:$A),MATCH(AS$1,[1]unit_skills!$1:$1,0)-MATCH($AP$1,[1]unit_skills!$1:$1,0)+1),MATCH(AS$1,[1]unit_skills!$1:$1,0)-MATCH($AP$1,[1]unit_skills!$1:$1,0)+1,FALSE)</f>
        <v>#VALUE!</v>
      </c>
      <c r="AT283" s="97">
        <v>173102</v>
      </c>
      <c r="AU283" s="77" t="e">
        <f ca="1">VLOOKUP($AT283,OFFSET([1]crash_skills!$A$1,0,0,COUNTA([1]crash_skills!$A:$A),MATCH("name",[1]crash_skills!$1:$1,0)-MATCH($AT$1,[1]crash_skills!$1:$1,0)+1),MATCH("name",[1]crash_skills!$1:$1,0)-MATCH($AT$1,[1]crash_skills!$1:$1,0)+1,FALSE)</f>
        <v>#VALUE!</v>
      </c>
      <c r="AV283" s="77" t="e">
        <f ca="1">VLOOKUP($AT283,OFFSET([1]crash_skills!$A$1,0,0,COUNTA([1]crash_skills!$A:$A),MATCH("comment",[1]crash_skills!$1:$1,0)-MATCH($AT$1,[1]crash_skills!$1:$1,0)+1),MATCH("comment",[1]crash_skills!$1:$1,0)-MATCH($AT$1,[1]crash_skills!$1:$1,0)+1,FALSE)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83" s="77" t="e">
        <f ca="1">VLOOKUP($AT283,OFFSET([1]crash_skills!$A$1,0,0,COUNTA([1]crash_skills!$A:$A),MATCH(AW$1,[1]crash_skills!$1:$1,0)-MATCH($AT$1,[1]crash_skills!$1:$1,0)+1),MATCH(AW$1,[1]crash_skills!$1:$1,0)-MATCH($AT$1,[1]crash_skills!$1:$1,0)+1,FALSE)</f>
        <v>#VALUE!</v>
      </c>
      <c r="AX283" s="81">
        <f ca="1">VLOOKUP($A283,OFFSET([2]characters!$A$1,0,0,COUNTA([2]characters!$A:$A),MATCH(AX$1,[2]characters!$1:$1,0)-MATCH($A$1,[2]characters!$1:$1,0)+1),MATCH(AX$1,[2]characters!$1:$1,0)-MATCH($A$1,[2]characters!$1:$1,0)+1,FALSE)</f>
        <v>3</v>
      </c>
      <c r="AY283" s="19">
        <v>1</v>
      </c>
      <c r="AZ283" s="19">
        <v>1</v>
      </c>
      <c r="BA283" s="19">
        <v>0</v>
      </c>
      <c r="BB283" s="19">
        <v>1</v>
      </c>
      <c r="BC283" s="14">
        <f ca="1">INDEX('RC6SV'!$A$1:$G$20,MATCH(H283,'RC6SV'!$A$1:$A$20,FALSE),MATCH(G283,'RC6SV'!$A$1:$G$1,FALSE))</f>
        <v>4400</v>
      </c>
      <c r="BD283" s="63">
        <f t="shared" ca="1" si="32"/>
        <v>4400</v>
      </c>
      <c r="BE283" s="14">
        <f t="shared" ca="1" si="33"/>
        <v>0</v>
      </c>
      <c r="BF283" s="14">
        <f t="shared" ca="1" si="34"/>
        <v>1</v>
      </c>
      <c r="BG283" s="20">
        <f ca="1">IF($BE283&lt;=0,ROUND(BK283*0.5,0), ROUND($BE283*S283*AA283*J283*AY283*0.8*[2]ステータス!$B$2,0))</f>
        <v>1265</v>
      </c>
      <c r="BH283" s="20">
        <f ca="1">IF($BE283&lt;=0,ROUND(BL283*0.5,0), ROUND($BE283*T283*AB283*K283*AZ283*0.8*[2]ステータス!$C$2,0))</f>
        <v>712</v>
      </c>
      <c r="BI283" s="20">
        <f ca="1">IF($BE283&lt;=0,ROUND(BM283*0.5,0), ROUND($BE283*U283*AC283*L283*BA283*0.8*[2]ステータス!$D$2,0))</f>
        <v>0</v>
      </c>
      <c r="BJ283" s="20">
        <f ca="1">IF($BE283&lt;=0,ROUND(BN283*0.5,0), ROUND($BE283*V283*AD283*M283*BB283*0.8*[2]ステータス!$E$2,0))</f>
        <v>421</v>
      </c>
      <c r="BK283" s="14">
        <f ca="1">ROUND(BD283*S283*AA283*J283*AY283*[2]ステータス!$B$2,0)</f>
        <v>2530</v>
      </c>
      <c r="BL283" s="14">
        <f ca="1">ROUND(BD283*T283*AB283*K283*AZ283*[2]ステータス!$C$2,0)</f>
        <v>1423</v>
      </c>
      <c r="BM283" s="14">
        <f ca="1">ROUND(BD283*U283*AC283*L283*BA283*[2]ステータス!$D$2,0)</f>
        <v>0</v>
      </c>
      <c r="BN283" s="14">
        <f ca="1">ROUND(BD283*V283*AD283*M283*BB283*[2]ステータス!$E$2,0)</f>
        <v>842</v>
      </c>
      <c r="BO283" s="13">
        <v>0</v>
      </c>
      <c r="BP283" s="13">
        <v>1</v>
      </c>
      <c r="BQ283" s="13" t="s">
        <v>102</v>
      </c>
      <c r="BR283" s="13">
        <f ca="1">VLOOKUP(H283,ghosts_label!$A$2:$B$19,2,FALSE)</f>
        <v>1</v>
      </c>
    </row>
    <row r="284" spans="1:70" ht="21" customHeight="1" x14ac:dyDescent="0.15">
      <c r="A284" s="14">
        <f t="shared" ca="1" si="29"/>
        <v>283</v>
      </c>
      <c r="B284" s="77" t="str">
        <f ca="1">VLOOKUP($A284,OFFSET([2]characters!$A$1,0,0,COUNTA([2]characters!$A:$A),MATCH(B$1,[2]characters!$1:$1,0)-MATCH($A$1,[2]characters!$1:$1,0)+1),MATCH(B$1,[2]characters!$1:$1,0)-MATCH($A$1,[2]characters!$1:$1,0)+1,FALSE)</f>
        <v>ラーフ・メテオ</v>
      </c>
      <c r="C284" s="77" t="str">
        <f ca="1">VLOOKUP($A284,OFFSET([2]characters!$A$1,0,0,COUNTA([2]characters!$A:$A),MATCH(C$1,[2]characters!$1:$1,0)-MATCH($A$1,[2]characters!$1:$1,0)+1),MATCH(C$1,[2]characters!$1:$1,0)-MATCH($A$1,[2]characters!$1:$1,0)+1,FALSE)</f>
        <v>イベント:機械龍01</v>
      </c>
      <c r="D284" s="77" t="str">
        <f ca="1">VLOOKUP($A284,OFFSET([2]characters!$A$1,0,0,COUNTA([2]characters!$A:$A),MATCH(D$1,[2]characters!$1:$1,0)-MATCH($A$1,[2]characters!$1:$1,0)+1),MATCH(D$1,[2]characters!$1:$1,0)-MATCH($A$1,[2]characters!$1:$1,0)+1,FALSE)</f>
        <v>QoH</v>
      </c>
      <c r="E284" s="77" t="str">
        <f ca="1">VLOOKUP($A284,OFFSET([2]characters!$A$1,0,0,COUNTA([2]characters!$A:$A),MATCH(E$1,[2]characters!$1:$1,0)-MATCH($A$1,[2]characters!$1:$1,0)+1),MATCH(E$1,[2]characters!$1:$1,0)-MATCH($A$1,[2]characters!$1:$1,0)+1,FALSE)</f>
        <v>格好いい</v>
      </c>
      <c r="F284" s="77" t="str">
        <f ca="1">VLOOKUP($A284,OFFSET([2]characters!$A$1,0,0,COUNTA([2]characters!$A:$A),MATCH(F$1,[2]characters!$1:$1,0)-MATCH($A$1,[2]characters!$1:$1,0)+1),MATCH(F$1,[2]characters!$1:$1,0)-MATCH($A$1,[2]characters!$1:$1,0)+1,FALSE)</f>
        <v>不明</v>
      </c>
      <c r="G284" s="77">
        <f ca="1">VLOOKUP($A284,OFFSET([2]characters!$A$1,0,0,COUNTA([2]characters!$A:$A),MATCH(G$1,[2]characters!$1:$1,0)-MATCH($A$1,[2]characters!$1:$1,0)+1),MATCH(G$1,[2]characters!$1:$1,0)-MATCH($A$1,[2]characters!$1:$1,0)+1,FALSE)</f>
        <v>4</v>
      </c>
      <c r="H284" s="77" t="str">
        <f ca="1">VLOOKUP($A284,OFFSET([2]characters!$A$1,0,0,COUNTA([2]characters!$A:$A),MATCH(H$1,[2]characters!$1:$1,0)-MATCH($A$1,[2]characters!$1:$1,0)+1),MATCH(H$1,[2]characters!$1:$1,0)-MATCH($A$1,[2]characters!$1:$1,0)+1,FALSE)</f>
        <v>DropWizW</v>
      </c>
      <c r="I284" s="77" t="str">
        <f ca="1">VLOOKUP($A284,OFFSET([2]characters!$A$1,0,0,COUNTA([2]characters!$A:$A),MATCH(I$1,[2]characters!$1:$1,0)-MATCH($A$1,[2]characters!$1:$1,0)+1),MATCH(I$1,[2]characters!$1:$1,0)-MATCH($A$1,[2]characters!$1:$1,0)+1,FALSE)</f>
        <v>blue</v>
      </c>
      <c r="J284" s="14">
        <f ca="1">VLOOKUP(I284,[2]属性!$A:$E,2,FALSE)</f>
        <v>1</v>
      </c>
      <c r="K284" s="14">
        <f ca="1">VLOOKUP(I284,[2]属性!$A:$E,3,FALSE)</f>
        <v>0.98</v>
      </c>
      <c r="L284" s="14">
        <f ca="1">VLOOKUP(I284,[2]属性!$A:$E,4,FALSE)</f>
        <v>1</v>
      </c>
      <c r="M284" s="14">
        <f ca="1">VLOOKUP(I284,[2]属性!$A:$E,5,FALSE)</f>
        <v>1.02</v>
      </c>
      <c r="N284" s="14">
        <f ca="1">INDEX(コスト!$A$1:$I$20,MATCH(H284,コスト!$A$1:$A$20,FALSE),MATCH(G284,コスト!$A$1:$I$1,FALSE))</f>
        <v>16</v>
      </c>
      <c r="O284" s="14">
        <f ca="1">INDEX(レベル!$A$1:$I$21,MATCH(H284,レベル!$A$1:$A$21,FALSE),MATCH(G284,レベル!$A$1:$I$1,FALSE))</f>
        <v>60</v>
      </c>
      <c r="P284" s="63">
        <f t="shared" ca="1" si="35"/>
        <v>60</v>
      </c>
      <c r="Q284" s="77" t="str">
        <f ca="1">VLOOKUP($A284,OFFSET([2]characters!$A$1,0,0,COUNTA([2]characters!$A:$A),MATCH(Q$1,[2]characters!$1:$1,0)-MATCH($A$1,[2]characters!$1:$1,0)+1),MATCH(Q$1,[2]characters!$1:$1,0)-MATCH($A$1,[2]characters!$1:$1,0)+1,FALSE)</f>
        <v>balance</v>
      </c>
      <c r="R284" s="8" t="str">
        <f ca="1">VLOOKUP(Q284,[2]character_type_i18n!$A:$H,3,FALSE)</f>
        <v>バランスタイプ</v>
      </c>
      <c r="S284" s="14">
        <f ca="1">VLOOKUP(Q284,[2]character_type_i18n!$A:$H,4,FALSE)</f>
        <v>1</v>
      </c>
      <c r="T284" s="14">
        <f ca="1">VLOOKUP(Q284,[2]character_type_i18n!$A:$H,5,FALSE)</f>
        <v>1</v>
      </c>
      <c r="U284" s="14">
        <f ca="1">VLOOKUP(Q284,[2]character_type_i18n!$A:$H,6,FALSE)</f>
        <v>1</v>
      </c>
      <c r="V284" s="14">
        <f ca="1">VLOOKUP(Q284,[2]character_type_i18n!$A:$H,7,FALSE)</f>
        <v>1</v>
      </c>
      <c r="W284" s="77" t="str">
        <f ca="1">VLOOKUP($A284,OFFSET([2]characters!$A$1,0,0,COUNTA([2]characters!$A:$A),MATCH(W$1,[2]characters!$1:$1,0)-MATCH($A$1,[2]characters!$1:$1,0)+1),MATCH(W$1,[2]characters!$1:$1,0)-MATCH($A$1,[2]characters!$1:$1,0)+1,FALSE)</f>
        <v>dragon</v>
      </c>
      <c r="X284" s="8" t="str">
        <f ca="1">VLOOKUP(W284,[2]character_tribe_i18n!$A:$H,3,FALSE)</f>
        <v>ドラゴン</v>
      </c>
      <c r="Y284" s="77" t="str">
        <f ca="1">VLOOKUP($A284,OFFSET([2]characters!$A$1,0,0,COUNTA([2]characters!$A:$A),MATCH(Y$1,[2]characters!$1:$1,0)-MATCH($A$1,[2]characters!$1:$1,0)+1),MATCH(Y$1,[2]characters!$1:$1,0)-MATCH($A$1,[2]characters!$1:$1,0)+1,FALSE)</f>
        <v>machine</v>
      </c>
      <c r="Z284" s="8" t="str">
        <f ca="1">VLOOKUP(Y284,[2]character_tribe_i18n!$A:$H,3,FALSE)</f>
        <v>マシン</v>
      </c>
      <c r="AA284" s="14">
        <f ca="1">VLOOKUP(W284,[2]character_tribe_i18n!$A:$H,4,FALSE)</f>
        <v>1.1499999999999999</v>
      </c>
      <c r="AB284" s="14">
        <f ca="1">VLOOKUP(W284,[2]character_tribe_i18n!$A:$H,5,FALSE)</f>
        <v>1.1000000000000001</v>
      </c>
      <c r="AC284" s="14">
        <f ca="1">VLOOKUP(W284,[2]character_tribe_i18n!$A:$H,6,FALSE)</f>
        <v>1</v>
      </c>
      <c r="AD284" s="14">
        <f ca="1">VLOOKUP(W284,[2]character_tribe_i18n!$A:$H,7,FALSE)</f>
        <v>0.75</v>
      </c>
      <c r="AE284" s="12">
        <v>617</v>
      </c>
      <c r="AF284" s="85" t="str">
        <f ca="1">IF(AE284="NULL","",VLOOKUP($AE284,OFFSET([2]characters!$A$1,0,0,COUNTA([2]characters!$A:$A),MATCH(AF$1,[2]characters!$1:$1,0)-MATCH($A$1,[2]characters!$1:$1,0)+1),MATCH(AF$1,[2]characters!$1:$1,0)-MATCH($A$1,[2]characters!$1:$1,0)+1,FALSE))</f>
        <v>ラーフ・アルマゲドン</v>
      </c>
      <c r="AG284" s="8">
        <f t="shared" ca="1" si="30"/>
        <v>282</v>
      </c>
      <c r="AH284" s="85" t="str">
        <f ca="1">VLOOKUP($AG284,OFFSET([2]characters!$A$1,0,0,COUNTA([2]characters!$A:$A),MATCH(AH$1,[2]characters!$1:$1,0)-MATCH($A$1,[2]characters!$1:$1,0)+1),MATCH(AH$1,[2]characters!$1:$1,0)-MATCH($A$1,[2]characters!$1:$1,0)+1,FALSE)</f>
        <v>ラーフ</v>
      </c>
      <c r="AI284" s="14">
        <f ca="1">IF(AE284="NULL","NULL",VLOOKUP(G284,ビット!$A$2:$B$7,2))</f>
        <v>50000</v>
      </c>
      <c r="AJ284" s="9">
        <v>2</v>
      </c>
      <c r="AK284" s="10" t="str">
        <f t="shared" si="31"/>
        <v>普通</v>
      </c>
      <c r="AL284" s="14" t="str">
        <f ca="1">INDEX(経験値!$A$1:$I$20,MATCH(H284,経験値!$A$1:$A$20,FALSE),MATCH(G284,経験値!$A$1:$I$1,FALSE))</f>
        <v>required_exp_150</v>
      </c>
      <c r="AM284" s="11">
        <f ca="1">VLOOKUP(G284,経験値!$A$27:$B$31,2)</f>
        <v>3400</v>
      </c>
      <c r="AN284" s="21">
        <f ca="1">VLOOKUP(G284,ビット!$G$2:$H$7,2)</f>
        <v>600</v>
      </c>
      <c r="AO284" s="98" t="s">
        <v>188</v>
      </c>
      <c r="AP284" s="97">
        <v>445001</v>
      </c>
      <c r="AQ284" s="77" t="e">
        <f ca="1">VLOOKUP($AP284,OFFSET([1]unit_skills!$A$1,0,0,COUNTA([1]unit_skills!$A:$A),MATCH("name",[1]unit_skills!$1:$1,0)-MATCH($AP$1,[1]unit_skills!$1:$1,0)+1),MATCH("name",[1]unit_skills!$1:$1,0)-MATCH($AP$1,[1]unit_skills!$1:$1,0)+1,FALSE)</f>
        <v>#VALUE!</v>
      </c>
      <c r="AR284" s="77" t="e">
        <f ca="1">VLOOKUP($AP284,OFFSET([1]unit_skills!$A$1,0,0,COUNTA([1]unit_skills!$A:$A),MATCH("comment",[1]unit_skills!$1:$1,0)-MATCH($AP$1,[1]unit_skills!$1:$1,0)+1),MATCH("comment",[1]unit_skills!$1:$1,0)-MATCH($AP$1,[1]unit_skills!$1:$1,0)+1,FALSE)</f>
        <v>#VALUE!</v>
      </c>
      <c r="AS284" s="77" t="e">
        <f ca="1">VLOOKUP($AP284,OFFSET([1]unit_skills!$A$1,0,0,COUNTA([1]unit_skills!$A:$A),MATCH(AS$1,[1]unit_skills!$1:$1,0)-MATCH($AP$1,[1]unit_skills!$1:$1,0)+1),MATCH(AS$1,[1]unit_skills!$1:$1,0)-MATCH($AP$1,[1]unit_skills!$1:$1,0)+1,FALSE)</f>
        <v>#VALUE!</v>
      </c>
      <c r="AT284" s="97">
        <v>173107</v>
      </c>
      <c r="AU284" s="77" t="e">
        <f ca="1">VLOOKUP($AT284,OFFSET([1]crash_skills!$A$1,0,0,COUNTA([1]crash_skills!$A:$A),MATCH("name",[1]crash_skills!$1:$1,0)-MATCH($AT$1,[1]crash_skills!$1:$1,0)+1),MATCH("name",[1]crash_skills!$1:$1,0)-MATCH($AT$1,[1]crash_skills!$1:$1,0)+1,FALSE)</f>
        <v>#VALUE!</v>
      </c>
      <c r="AV284" s="77" t="e">
        <f ca="1">VLOOKUP($AT284,OFFSET([1]crash_skills!$A$1,0,0,COUNTA([1]crash_skills!$A:$A),MATCH("comment",[1]crash_skills!$1:$1,0)-MATCH($AT$1,[1]crash_skills!$1:$1,0)+1),MATCH("comment",[1]crash_skills!$1:$1,0)-MATCH($AT$1,[1]crash_skills!$1:$1,0)+1,FALSE)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84" s="77" t="e">
        <f ca="1">VLOOKUP($AT284,OFFSET([1]crash_skills!$A$1,0,0,COUNTA([1]crash_skills!$A:$A),MATCH(AW$1,[1]crash_skills!$1:$1,0)-MATCH($AT$1,[1]crash_skills!$1:$1,0)+1),MATCH(AW$1,[1]crash_skills!$1:$1,0)-MATCH($AT$1,[1]crash_skills!$1:$1,0)+1,FALSE)</f>
        <v>#VALUE!</v>
      </c>
      <c r="AX284" s="81">
        <f ca="1">VLOOKUP($A284,OFFSET([2]characters!$A$1,0,0,COUNTA([2]characters!$A:$A),MATCH(AX$1,[2]characters!$1:$1,0)-MATCH($A$1,[2]characters!$1:$1,0)+1),MATCH(AX$1,[2]characters!$1:$1,0)-MATCH($A$1,[2]characters!$1:$1,0)+1,FALSE)</f>
        <v>3</v>
      </c>
      <c r="AY284" s="19">
        <v>1</v>
      </c>
      <c r="AZ284" s="19">
        <v>1</v>
      </c>
      <c r="BA284" s="19">
        <v>0</v>
      </c>
      <c r="BB284" s="19">
        <v>1</v>
      </c>
      <c r="BC284" s="14">
        <f ca="1">INDEX('RC6SV'!$A$1:$G$20,MATCH(H284,'RC6SV'!$A$1:$A$20,FALSE),MATCH(G284,'RC6SV'!$A$1:$G$1,FALSE))</f>
        <v>6600</v>
      </c>
      <c r="BD284" s="63">
        <f t="shared" ca="1" si="32"/>
        <v>6600</v>
      </c>
      <c r="BE284" s="14">
        <f t="shared" ca="1" si="33"/>
        <v>4400</v>
      </c>
      <c r="BF284" s="14">
        <f t="shared" ca="1" si="34"/>
        <v>1</v>
      </c>
      <c r="BG284" s="20">
        <f ca="1">IF($BE284&lt;=0,ROUND(BK284*0.5,0), ROUND($BE284*S284*AA284*J284*AY284*0.8*[2]ステータス!$B$2,0))</f>
        <v>2024</v>
      </c>
      <c r="BH284" s="20">
        <f ca="1">IF($BE284&lt;=0,ROUND(BL284*0.5,0), ROUND($BE284*T284*AB284*K284*AZ284*0.8*[2]ステータス!$C$2,0))</f>
        <v>1138</v>
      </c>
      <c r="BI284" s="20">
        <f ca="1">IF($BE284&lt;=0,ROUND(BM284*0.5,0), ROUND($BE284*U284*AC284*L284*BA284*0.8*[2]ステータス!$D$2,0))</f>
        <v>0</v>
      </c>
      <c r="BJ284" s="20">
        <f ca="1">IF($BE284&lt;=0,ROUND(BN284*0.5,0), ROUND($BE284*V284*AD284*M284*BB284*0.8*[2]ステータス!$E$2,0))</f>
        <v>673</v>
      </c>
      <c r="BK284" s="14">
        <f ca="1">ROUND(BD284*S284*AA284*J284*AY284*[2]ステータス!$B$2,0)</f>
        <v>3795</v>
      </c>
      <c r="BL284" s="14">
        <f ca="1">ROUND(BD284*T284*AB284*K284*AZ284*[2]ステータス!$C$2,0)</f>
        <v>2134</v>
      </c>
      <c r="BM284" s="14">
        <f ca="1">ROUND(BD284*U284*AC284*L284*BA284*[2]ステータス!$D$2,0)</f>
        <v>0</v>
      </c>
      <c r="BN284" s="14">
        <f ca="1">ROUND(BD284*V284*AD284*M284*BB284*[2]ステータス!$E$2,0)</f>
        <v>1262</v>
      </c>
      <c r="BO284" s="13">
        <v>0</v>
      </c>
      <c r="BP284" s="13">
        <v>1</v>
      </c>
      <c r="BQ284" s="13" t="s">
        <v>102</v>
      </c>
      <c r="BR284" s="13">
        <f ca="1">VLOOKUP(H284,ghosts_label!$A$2:$B$19,2,FALSE)</f>
        <v>1</v>
      </c>
    </row>
    <row r="285" spans="1:70" ht="21" customHeight="1" x14ac:dyDescent="0.15">
      <c r="A285" s="14">
        <f t="shared" ca="1" si="29"/>
        <v>284</v>
      </c>
      <c r="B285" s="77" t="str">
        <f ca="1">VLOOKUP($A285,OFFSET([2]characters!$A$1,0,0,COUNTA([2]characters!$A:$A),MATCH(B$1,[2]characters!$1:$1,0)-MATCH($A$1,[2]characters!$1:$1,0)+1),MATCH(B$1,[2]characters!$1:$1,0)-MATCH($A$1,[2]characters!$1:$1,0)+1,FALSE)</f>
        <v>フェルニゲシュ</v>
      </c>
      <c r="C285" s="77" t="str">
        <f ca="1">VLOOKUP($A285,OFFSET([2]characters!$A$1,0,0,COUNTA([2]characters!$A:$A),MATCH(C$1,[2]characters!$1:$1,0)-MATCH($A$1,[2]characters!$1:$1,0)+1),MATCH(C$1,[2]characters!$1:$1,0)-MATCH($A$1,[2]characters!$1:$1,0)+1,FALSE)</f>
        <v>イベント:機械龍01</v>
      </c>
      <c r="D285" s="77" t="str">
        <f ca="1">VLOOKUP($A285,OFFSET([2]characters!$A$1,0,0,COUNTA([2]characters!$A:$A),MATCH(D$1,[2]characters!$1:$1,0)-MATCH($A$1,[2]characters!$1:$1,0)+1),MATCH(D$1,[2]characters!$1:$1,0)-MATCH($A$1,[2]characters!$1:$1,0)+1,FALSE)</f>
        <v>QoH</v>
      </c>
      <c r="E285" s="77" t="str">
        <f ca="1">VLOOKUP($A285,OFFSET([2]characters!$A$1,0,0,COUNTA([2]characters!$A:$A),MATCH(E$1,[2]characters!$1:$1,0)-MATCH($A$1,[2]characters!$1:$1,0)+1),MATCH(E$1,[2]characters!$1:$1,0)-MATCH($A$1,[2]characters!$1:$1,0)+1,FALSE)</f>
        <v>格好いい</v>
      </c>
      <c r="F285" s="77" t="str">
        <f ca="1">VLOOKUP($A285,OFFSET([2]characters!$A$1,0,0,COUNTA([2]characters!$A:$A),MATCH(F$1,[2]characters!$1:$1,0)-MATCH($A$1,[2]characters!$1:$1,0)+1),MATCH(F$1,[2]characters!$1:$1,0)-MATCH($A$1,[2]characters!$1:$1,0)+1,FALSE)</f>
        <v>不明</v>
      </c>
      <c r="G285" s="77">
        <f ca="1">VLOOKUP($A285,OFFSET([2]characters!$A$1,0,0,COUNTA([2]characters!$A:$A),MATCH(G$1,[2]characters!$1:$1,0)-MATCH($A$1,[2]characters!$1:$1,0)+1),MATCH(G$1,[2]characters!$1:$1,0)-MATCH($A$1,[2]characters!$1:$1,0)+1,FALSE)</f>
        <v>3</v>
      </c>
      <c r="H285" s="77" t="str">
        <f ca="1">VLOOKUP($A285,OFFSET([2]characters!$A$1,0,0,COUNTA([2]characters!$A:$A),MATCH(H$1,[2]characters!$1:$1,0)-MATCH($A$1,[2]characters!$1:$1,0)+1),MATCH(H$1,[2]characters!$1:$1,0)-MATCH($A$1,[2]characters!$1:$1,0)+1,FALSE)</f>
        <v>Drop2W</v>
      </c>
      <c r="I285" s="77" t="str">
        <f ca="1">VLOOKUP($A285,OFFSET([2]characters!$A$1,0,0,COUNTA([2]characters!$A:$A),MATCH(I$1,[2]characters!$1:$1,0)-MATCH($A$1,[2]characters!$1:$1,0)+1),MATCH(I$1,[2]characters!$1:$1,0)-MATCH($A$1,[2]characters!$1:$1,0)+1,FALSE)</f>
        <v>yellow</v>
      </c>
      <c r="J285" s="14">
        <f ca="1">VLOOKUP(I285,[2]属性!$A:$E,2,FALSE)</f>
        <v>0.98</v>
      </c>
      <c r="K285" s="14">
        <f ca="1">VLOOKUP(I285,[2]属性!$A:$E,3,FALSE)</f>
        <v>1.01</v>
      </c>
      <c r="L285" s="14">
        <f ca="1">VLOOKUP(I285,[2]属性!$A:$E,4,FALSE)</f>
        <v>1</v>
      </c>
      <c r="M285" s="14">
        <f ca="1">VLOOKUP(I285,[2]属性!$A:$E,5,FALSE)</f>
        <v>1.01</v>
      </c>
      <c r="N285" s="14">
        <f ca="1">INDEX(コスト!$A$1:$I$20,MATCH(H285,コスト!$A$1:$A$20,FALSE),MATCH(G285,コスト!$A$1:$I$1,FALSE))</f>
        <v>6</v>
      </c>
      <c r="O285" s="14">
        <f ca="1">INDEX(レベル!$A$1:$I$21,MATCH(H285,レベル!$A$1:$A$21,FALSE),MATCH(G285,レベル!$A$1:$I$1,FALSE))</f>
        <v>40</v>
      </c>
      <c r="P285" s="63">
        <f t="shared" ca="1" si="35"/>
        <v>45</v>
      </c>
      <c r="Q285" s="77" t="str">
        <f ca="1">VLOOKUP($A285,OFFSET([2]characters!$A$1,0,0,COUNTA([2]characters!$A:$A),MATCH(Q$1,[2]characters!$1:$1,0)-MATCH($A$1,[2]characters!$1:$1,0)+1),MATCH(Q$1,[2]characters!$1:$1,0)-MATCH($A$1,[2]characters!$1:$1,0)+1,FALSE)</f>
        <v>technical</v>
      </c>
      <c r="R285" s="8" t="str">
        <f ca="1">VLOOKUP(Q285,[2]character_type_i18n!$A:$H,3,FALSE)</f>
        <v>テクニカルタイプ</v>
      </c>
      <c r="S285" s="14">
        <f ca="1">VLOOKUP(Q285,[2]character_type_i18n!$A:$H,4,FALSE)</f>
        <v>0.9</v>
      </c>
      <c r="T285" s="14">
        <f ca="1">VLOOKUP(Q285,[2]character_type_i18n!$A:$H,5,FALSE)</f>
        <v>0.9</v>
      </c>
      <c r="U285" s="14">
        <f ca="1">VLOOKUP(Q285,[2]character_type_i18n!$A:$H,6,FALSE)</f>
        <v>1</v>
      </c>
      <c r="V285" s="14">
        <f ca="1">VLOOKUP(Q285,[2]character_type_i18n!$A:$H,7,FALSE)</f>
        <v>0.9</v>
      </c>
      <c r="W285" s="77" t="str">
        <f ca="1">VLOOKUP($A285,OFFSET([2]characters!$A$1,0,0,COUNTA([2]characters!$A:$A),MATCH(W$1,[2]characters!$1:$1,0)-MATCH($A$1,[2]characters!$1:$1,0)+1),MATCH(W$1,[2]characters!$1:$1,0)-MATCH($A$1,[2]characters!$1:$1,0)+1,FALSE)</f>
        <v>dragon</v>
      </c>
      <c r="X285" s="8" t="str">
        <f ca="1">VLOOKUP(W285,[2]character_tribe_i18n!$A:$H,3,FALSE)</f>
        <v>ドラゴン</v>
      </c>
      <c r="Y285" s="77" t="str">
        <f ca="1">VLOOKUP($A285,OFFSET([2]characters!$A$1,0,0,COUNTA([2]characters!$A:$A),MATCH(Y$1,[2]characters!$1:$1,0)-MATCH($A$1,[2]characters!$1:$1,0)+1),MATCH(Y$1,[2]characters!$1:$1,0)-MATCH($A$1,[2]characters!$1:$1,0)+1,FALSE)</f>
        <v>machine</v>
      </c>
      <c r="Z285" s="8" t="str">
        <f ca="1">VLOOKUP(Y285,[2]character_tribe_i18n!$A:$H,3,FALSE)</f>
        <v>マシン</v>
      </c>
      <c r="AA285" s="14">
        <f ca="1">VLOOKUP(W285,[2]character_tribe_i18n!$A:$H,4,FALSE)</f>
        <v>1.1499999999999999</v>
      </c>
      <c r="AB285" s="14">
        <f ca="1">VLOOKUP(W285,[2]character_tribe_i18n!$A:$H,5,FALSE)</f>
        <v>1.1000000000000001</v>
      </c>
      <c r="AC285" s="14">
        <f ca="1">VLOOKUP(W285,[2]character_tribe_i18n!$A:$H,6,FALSE)</f>
        <v>1</v>
      </c>
      <c r="AD285" s="14">
        <f ca="1">VLOOKUP(W285,[2]character_tribe_i18n!$A:$H,7,FALSE)</f>
        <v>0.75</v>
      </c>
      <c r="AE285" s="12">
        <v>285</v>
      </c>
      <c r="AF285" s="85" t="str">
        <f ca="1">IF(AE285="NULL","",VLOOKUP($AE285,OFFSET([2]characters!$A$1,0,0,COUNTA([2]characters!$A:$A),MATCH(AF$1,[2]characters!$1:$1,0)-MATCH($A$1,[2]characters!$1:$1,0)+1),MATCH(AF$1,[2]characters!$1:$1,0)-MATCH($A$1,[2]characters!$1:$1,0)+1,FALSE))</f>
        <v>フェルニゲシュ・オーバードライヴ</v>
      </c>
      <c r="AG285" s="8">
        <f t="shared" ca="1" si="30"/>
        <v>284</v>
      </c>
      <c r="AH285" s="85" t="str">
        <f ca="1">VLOOKUP($AG285,OFFSET([2]characters!$A$1,0,0,COUNTA([2]characters!$A:$A),MATCH(AH$1,[2]characters!$1:$1,0)-MATCH($A$1,[2]characters!$1:$1,0)+1),MATCH(AH$1,[2]characters!$1:$1,0)-MATCH($A$1,[2]characters!$1:$1,0)+1,FALSE)</f>
        <v>フェルニゲシュ</v>
      </c>
      <c r="AI285" s="14">
        <f ca="1">IF(AE285="NULL","NULL",VLOOKUP(G285,ビット!$A$2:$B$7,2))</f>
        <v>20000</v>
      </c>
      <c r="AJ285" s="9">
        <v>2</v>
      </c>
      <c r="AK285" s="10" t="str">
        <f t="shared" si="31"/>
        <v>普通</v>
      </c>
      <c r="AL285" s="14" t="str">
        <f ca="1">INDEX(経験値!$A$1:$I$20,MATCH(H285,経験値!$A$1:$A$20,FALSE),MATCH(G285,経験値!$A$1:$I$1,FALSE))</f>
        <v>required_exp_150</v>
      </c>
      <c r="AM285" s="11">
        <f ca="1">VLOOKUP(G285,経験値!$A$27:$B$31,2)</f>
        <v>1500</v>
      </c>
      <c r="AN285" s="21">
        <f ca="1">VLOOKUP(G285,ビット!$G$2:$H$7,2)</f>
        <v>300</v>
      </c>
      <c r="AO285" s="98" t="s">
        <v>188</v>
      </c>
      <c r="AP285" s="97">
        <v>413003</v>
      </c>
      <c r="AQ285" s="77" t="e">
        <f ca="1">VLOOKUP($AP285,OFFSET([1]unit_skills!$A$1,0,0,COUNTA([1]unit_skills!$A:$A),MATCH("name",[1]unit_skills!$1:$1,0)-MATCH($AP$1,[1]unit_skills!$1:$1,0)+1),MATCH("name",[1]unit_skills!$1:$1,0)-MATCH($AP$1,[1]unit_skills!$1:$1,0)+1,FALSE)</f>
        <v>#VALUE!</v>
      </c>
      <c r="AR285" s="77" t="e">
        <f ca="1">VLOOKUP($AP285,OFFSET([1]unit_skills!$A$1,0,0,COUNTA([1]unit_skills!$A:$A),MATCH("comment",[1]unit_skills!$1:$1,0)-MATCH($AP$1,[1]unit_skills!$1:$1,0)+1),MATCH("comment",[1]unit_skills!$1:$1,0)-MATCH($AP$1,[1]unit_skills!$1:$1,0)+1,FALSE)</f>
        <v>#VALUE!</v>
      </c>
      <c r="AS285" s="77" t="e">
        <f ca="1">VLOOKUP($AP285,OFFSET([1]unit_skills!$A$1,0,0,COUNTA([1]unit_skills!$A:$A),MATCH(AS$1,[1]unit_skills!$1:$1,0)-MATCH($AP$1,[1]unit_skills!$1:$1,0)+1),MATCH(AS$1,[1]unit_skills!$1:$1,0)-MATCH($AP$1,[1]unit_skills!$1:$1,0)+1,FALSE)</f>
        <v>#VALUE!</v>
      </c>
      <c r="AT285" s="97">
        <v>174202</v>
      </c>
      <c r="AU285" s="77" t="e">
        <f ca="1">VLOOKUP($AT285,OFFSET([1]crash_skills!$A$1,0,0,COUNTA([1]crash_skills!$A:$A),MATCH("name",[1]crash_skills!$1:$1,0)-MATCH($AT$1,[1]crash_skills!$1:$1,0)+1),MATCH("name",[1]crash_skills!$1:$1,0)-MATCH($AT$1,[1]crash_skills!$1:$1,0)+1,FALSE)</f>
        <v>#VALUE!</v>
      </c>
      <c r="AV285" s="77" t="e">
        <f ca="1">VLOOKUP($AT285,OFFSET([1]crash_skills!$A$1,0,0,COUNTA([1]crash_skills!$A:$A),MATCH("comment",[1]crash_skills!$1:$1,0)-MATCH($AT$1,[1]crash_skills!$1:$1,0)+1),MATCH("comment",[1]crash_skills!$1:$1,0)-MATCH($AT$1,[1]crash_skills!$1:$1,0)+1,FALSE)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85" s="77" t="e">
        <f ca="1">VLOOKUP($AT285,OFFSET([1]crash_skills!$A$1,0,0,COUNTA([1]crash_skills!$A:$A),MATCH(AW$1,[1]crash_skills!$1:$1,0)-MATCH($AT$1,[1]crash_skills!$1:$1,0)+1),MATCH(AW$1,[1]crash_skills!$1:$1,0)-MATCH($AT$1,[1]crash_skills!$1:$1,0)+1,FALSE)</f>
        <v>#VALUE!</v>
      </c>
      <c r="AX285" s="81">
        <f ca="1">VLOOKUP($A285,OFFSET([2]characters!$A$1,0,0,COUNTA([2]characters!$A:$A),MATCH(AX$1,[2]characters!$1:$1,0)-MATCH($A$1,[2]characters!$1:$1,0)+1),MATCH(AX$1,[2]characters!$1:$1,0)-MATCH($A$1,[2]characters!$1:$1,0)+1,FALSE)</f>
        <v>3</v>
      </c>
      <c r="AY285" s="19">
        <v>1</v>
      </c>
      <c r="AZ285" s="19">
        <v>1</v>
      </c>
      <c r="BA285" s="19">
        <v>0</v>
      </c>
      <c r="BB285" s="19">
        <v>1</v>
      </c>
      <c r="BC285" s="14">
        <f ca="1">INDEX('RC6SV'!$A$1:$G$20,MATCH(H285,'RC6SV'!$A$1:$A$20,FALSE),MATCH(G285,'RC6SV'!$A$1:$G$1,FALSE))</f>
        <v>4400</v>
      </c>
      <c r="BD285" s="63">
        <f t="shared" ca="1" si="32"/>
        <v>4400</v>
      </c>
      <c r="BE285" s="14">
        <f t="shared" ca="1" si="33"/>
        <v>0</v>
      </c>
      <c r="BF285" s="14">
        <f t="shared" ca="1" si="34"/>
        <v>1</v>
      </c>
      <c r="BG285" s="20">
        <f ca="1">IF($BE285&lt;=0,ROUND(BK285*0.5,0), ROUND($BE285*S285*AA285*J285*AY285*0.8*[2]ステータス!$B$2,0))</f>
        <v>1116</v>
      </c>
      <c r="BH285" s="20">
        <f ca="1">IF($BE285&lt;=0,ROUND(BL285*0.5,0), ROUND($BE285*T285*AB285*K285*AZ285*0.8*[2]ステータス!$C$2,0))</f>
        <v>660</v>
      </c>
      <c r="BI285" s="20">
        <f ca="1">IF($BE285&lt;=0,ROUND(BM285*0.5,0), ROUND($BE285*U285*AC285*L285*BA285*0.8*[2]ステータス!$D$2,0))</f>
        <v>0</v>
      </c>
      <c r="BJ285" s="20">
        <f ca="1">IF($BE285&lt;=0,ROUND(BN285*0.5,0), ROUND($BE285*V285*AD285*M285*BB285*0.8*[2]ステータス!$E$2,0))</f>
        <v>375</v>
      </c>
      <c r="BK285" s="14">
        <f ca="1">ROUND(BD285*S285*AA285*J285*AY285*[2]ステータス!$B$2,0)</f>
        <v>2231</v>
      </c>
      <c r="BL285" s="14">
        <f ca="1">ROUND(BD285*T285*AB285*K285*AZ285*[2]ステータス!$C$2,0)</f>
        <v>1320</v>
      </c>
      <c r="BM285" s="14">
        <f ca="1">ROUND(BD285*U285*AC285*L285*BA285*[2]ステータス!$D$2,0)</f>
        <v>0</v>
      </c>
      <c r="BN285" s="14">
        <f ca="1">ROUND(BD285*V285*AD285*M285*BB285*[2]ステータス!$E$2,0)</f>
        <v>750</v>
      </c>
      <c r="BO285" s="13">
        <v>0</v>
      </c>
      <c r="BP285" s="13">
        <v>1</v>
      </c>
      <c r="BQ285" s="13" t="s">
        <v>102</v>
      </c>
      <c r="BR285" s="13">
        <f ca="1">VLOOKUP(H285,ghosts_label!$A$2:$B$19,2,FALSE)</f>
        <v>1</v>
      </c>
    </row>
    <row r="286" spans="1:70" ht="21" customHeight="1" x14ac:dyDescent="0.15">
      <c r="A286" s="14">
        <f t="shared" ca="1" si="29"/>
        <v>285</v>
      </c>
      <c r="B286" s="77" t="str">
        <f ca="1">VLOOKUP($A286,OFFSET([2]characters!$A$1,0,0,COUNTA([2]characters!$A:$A),MATCH(B$1,[2]characters!$1:$1,0)-MATCH($A$1,[2]characters!$1:$1,0)+1),MATCH(B$1,[2]characters!$1:$1,0)-MATCH($A$1,[2]characters!$1:$1,0)+1,FALSE)</f>
        <v>フェルニゲシュ・オーバードライヴ</v>
      </c>
      <c r="C286" s="77" t="str">
        <f ca="1">VLOOKUP($A286,OFFSET([2]characters!$A$1,0,0,COUNTA([2]characters!$A:$A),MATCH(C$1,[2]characters!$1:$1,0)-MATCH($A$1,[2]characters!$1:$1,0)+1),MATCH(C$1,[2]characters!$1:$1,0)-MATCH($A$1,[2]characters!$1:$1,0)+1,FALSE)</f>
        <v>イベント:機械龍01</v>
      </c>
      <c r="D286" s="77" t="str">
        <f ca="1">VLOOKUP($A286,OFFSET([2]characters!$A$1,0,0,COUNTA([2]characters!$A:$A),MATCH(D$1,[2]characters!$1:$1,0)-MATCH($A$1,[2]characters!$1:$1,0)+1),MATCH(D$1,[2]characters!$1:$1,0)-MATCH($A$1,[2]characters!$1:$1,0)+1,FALSE)</f>
        <v>QoH</v>
      </c>
      <c r="E286" s="77" t="str">
        <f ca="1">VLOOKUP($A286,OFFSET([2]characters!$A$1,0,0,COUNTA([2]characters!$A:$A),MATCH(E$1,[2]characters!$1:$1,0)-MATCH($A$1,[2]characters!$1:$1,0)+1),MATCH(E$1,[2]characters!$1:$1,0)-MATCH($A$1,[2]characters!$1:$1,0)+1,FALSE)</f>
        <v>格好いい</v>
      </c>
      <c r="F286" s="77" t="str">
        <f ca="1">VLOOKUP($A286,OFFSET([2]characters!$A$1,0,0,COUNTA([2]characters!$A:$A),MATCH(F$1,[2]characters!$1:$1,0)-MATCH($A$1,[2]characters!$1:$1,0)+1),MATCH(F$1,[2]characters!$1:$1,0)-MATCH($A$1,[2]characters!$1:$1,0)+1,FALSE)</f>
        <v>不明</v>
      </c>
      <c r="G286" s="77">
        <f ca="1">VLOOKUP($A286,OFFSET([2]characters!$A$1,0,0,COUNTA([2]characters!$A:$A),MATCH(G$1,[2]characters!$1:$1,0)-MATCH($A$1,[2]characters!$1:$1,0)+1),MATCH(G$1,[2]characters!$1:$1,0)-MATCH($A$1,[2]characters!$1:$1,0)+1,FALSE)</f>
        <v>4</v>
      </c>
      <c r="H286" s="77" t="str">
        <f ca="1">VLOOKUP($A286,OFFSET([2]characters!$A$1,0,0,COUNTA([2]characters!$A:$A),MATCH(H$1,[2]characters!$1:$1,0)-MATCH($A$1,[2]characters!$1:$1,0)+1),MATCH(H$1,[2]characters!$1:$1,0)-MATCH($A$1,[2]characters!$1:$1,0)+1,FALSE)</f>
        <v>DropWizW</v>
      </c>
      <c r="I286" s="77" t="str">
        <f ca="1">VLOOKUP($A286,OFFSET([2]characters!$A$1,0,0,COUNTA([2]characters!$A:$A),MATCH(I$1,[2]characters!$1:$1,0)-MATCH($A$1,[2]characters!$1:$1,0)+1),MATCH(I$1,[2]characters!$1:$1,0)-MATCH($A$1,[2]characters!$1:$1,0)+1,FALSE)</f>
        <v>yellow</v>
      </c>
      <c r="J286" s="14">
        <f ca="1">VLOOKUP(I286,[2]属性!$A:$E,2,FALSE)</f>
        <v>0.98</v>
      </c>
      <c r="K286" s="14">
        <f ca="1">VLOOKUP(I286,[2]属性!$A:$E,3,FALSE)</f>
        <v>1.01</v>
      </c>
      <c r="L286" s="14">
        <f ca="1">VLOOKUP(I286,[2]属性!$A:$E,4,FALSE)</f>
        <v>1</v>
      </c>
      <c r="M286" s="14">
        <f ca="1">VLOOKUP(I286,[2]属性!$A:$E,5,FALSE)</f>
        <v>1.01</v>
      </c>
      <c r="N286" s="14">
        <f ca="1">INDEX(コスト!$A$1:$I$20,MATCH(H286,コスト!$A$1:$A$20,FALSE),MATCH(G286,コスト!$A$1:$I$1,FALSE))</f>
        <v>16</v>
      </c>
      <c r="O286" s="14">
        <f ca="1">INDEX(レベル!$A$1:$I$21,MATCH(H286,レベル!$A$1:$A$21,FALSE),MATCH(G286,レベル!$A$1:$I$1,FALSE))</f>
        <v>60</v>
      </c>
      <c r="P286" s="63">
        <f t="shared" ca="1" si="35"/>
        <v>60</v>
      </c>
      <c r="Q286" s="77" t="str">
        <f ca="1">VLOOKUP($A286,OFFSET([2]characters!$A$1,0,0,COUNTA([2]characters!$A:$A),MATCH(Q$1,[2]characters!$1:$1,0)-MATCH($A$1,[2]characters!$1:$1,0)+1),MATCH(Q$1,[2]characters!$1:$1,0)-MATCH($A$1,[2]characters!$1:$1,0)+1,FALSE)</f>
        <v>technical</v>
      </c>
      <c r="R286" s="8" t="str">
        <f ca="1">VLOOKUP(Q286,[2]character_type_i18n!$A:$H,3,FALSE)</f>
        <v>テクニカルタイプ</v>
      </c>
      <c r="S286" s="14">
        <f ca="1">VLOOKUP(Q286,[2]character_type_i18n!$A:$H,4,FALSE)</f>
        <v>0.9</v>
      </c>
      <c r="T286" s="14">
        <f ca="1">VLOOKUP(Q286,[2]character_type_i18n!$A:$H,5,FALSE)</f>
        <v>0.9</v>
      </c>
      <c r="U286" s="14">
        <f ca="1">VLOOKUP(Q286,[2]character_type_i18n!$A:$H,6,FALSE)</f>
        <v>1</v>
      </c>
      <c r="V286" s="14">
        <f ca="1">VLOOKUP(Q286,[2]character_type_i18n!$A:$H,7,FALSE)</f>
        <v>0.9</v>
      </c>
      <c r="W286" s="77" t="str">
        <f ca="1">VLOOKUP($A286,OFFSET([2]characters!$A$1,0,0,COUNTA([2]characters!$A:$A),MATCH(W$1,[2]characters!$1:$1,0)-MATCH($A$1,[2]characters!$1:$1,0)+1),MATCH(W$1,[2]characters!$1:$1,0)-MATCH($A$1,[2]characters!$1:$1,0)+1,FALSE)</f>
        <v>dragon</v>
      </c>
      <c r="X286" s="8" t="str">
        <f ca="1">VLOOKUP(W286,[2]character_tribe_i18n!$A:$H,3,FALSE)</f>
        <v>ドラゴン</v>
      </c>
      <c r="Y286" s="77" t="str">
        <f ca="1">VLOOKUP($A286,OFFSET([2]characters!$A$1,0,0,COUNTA([2]characters!$A:$A),MATCH(Y$1,[2]characters!$1:$1,0)-MATCH($A$1,[2]characters!$1:$1,0)+1),MATCH(Y$1,[2]characters!$1:$1,0)-MATCH($A$1,[2]characters!$1:$1,0)+1,FALSE)</f>
        <v>machine</v>
      </c>
      <c r="Z286" s="8" t="str">
        <f ca="1">VLOOKUP(Y286,[2]character_tribe_i18n!$A:$H,3,FALSE)</f>
        <v>マシン</v>
      </c>
      <c r="AA286" s="14">
        <f ca="1">VLOOKUP(W286,[2]character_tribe_i18n!$A:$H,4,FALSE)</f>
        <v>1.1499999999999999</v>
      </c>
      <c r="AB286" s="14">
        <f ca="1">VLOOKUP(W286,[2]character_tribe_i18n!$A:$H,5,FALSE)</f>
        <v>1.1000000000000001</v>
      </c>
      <c r="AC286" s="14">
        <f ca="1">VLOOKUP(W286,[2]character_tribe_i18n!$A:$H,6,FALSE)</f>
        <v>1</v>
      </c>
      <c r="AD286" s="14">
        <f ca="1">VLOOKUP(W286,[2]character_tribe_i18n!$A:$H,7,FALSE)</f>
        <v>0.75</v>
      </c>
      <c r="AE286" s="12">
        <v>618</v>
      </c>
      <c r="AF286" s="85" t="str">
        <f ca="1">IF(AE286="NULL","",VLOOKUP($AE286,OFFSET([2]characters!$A$1,0,0,COUNTA([2]characters!$A:$A),MATCH(AF$1,[2]characters!$1:$1,0)-MATCH($A$1,[2]characters!$1:$1,0)+1),MATCH(AF$1,[2]characters!$1:$1,0)-MATCH($A$1,[2]characters!$1:$1,0)+1,FALSE))</f>
        <v>フェルニゲシュ・オメガドライブ</v>
      </c>
      <c r="AG286" s="8">
        <f t="shared" ca="1" si="30"/>
        <v>284</v>
      </c>
      <c r="AH286" s="85" t="str">
        <f ca="1">VLOOKUP($AG286,OFFSET([2]characters!$A$1,0,0,COUNTA([2]characters!$A:$A),MATCH(AH$1,[2]characters!$1:$1,0)-MATCH($A$1,[2]characters!$1:$1,0)+1),MATCH(AH$1,[2]characters!$1:$1,0)-MATCH($A$1,[2]characters!$1:$1,0)+1,FALSE)</f>
        <v>フェルニゲシュ</v>
      </c>
      <c r="AI286" s="14">
        <f ca="1">IF(AE286="NULL","NULL",VLOOKUP(G286,ビット!$A$2:$B$7,2))</f>
        <v>50000</v>
      </c>
      <c r="AJ286" s="9">
        <v>2</v>
      </c>
      <c r="AK286" s="10" t="str">
        <f t="shared" si="31"/>
        <v>普通</v>
      </c>
      <c r="AL286" s="14" t="str">
        <f ca="1">INDEX(経験値!$A$1:$I$20,MATCH(H286,経験値!$A$1:$A$20,FALSE),MATCH(G286,経験値!$A$1:$I$1,FALSE))</f>
        <v>required_exp_150</v>
      </c>
      <c r="AM286" s="11">
        <f ca="1">VLOOKUP(G286,経験値!$A$27:$B$31,2)</f>
        <v>3400</v>
      </c>
      <c r="AN286" s="21">
        <f ca="1">VLOOKUP(G286,ビット!$G$2:$H$7,2)</f>
        <v>600</v>
      </c>
      <c r="AO286" s="98" t="s">
        <v>188</v>
      </c>
      <c r="AP286" s="97">
        <v>413004</v>
      </c>
      <c r="AQ286" s="77" t="e">
        <f ca="1">VLOOKUP($AP286,OFFSET([1]unit_skills!$A$1,0,0,COUNTA([1]unit_skills!$A:$A),MATCH("name",[1]unit_skills!$1:$1,0)-MATCH($AP$1,[1]unit_skills!$1:$1,0)+1),MATCH("name",[1]unit_skills!$1:$1,0)-MATCH($AP$1,[1]unit_skills!$1:$1,0)+1,FALSE)</f>
        <v>#VALUE!</v>
      </c>
      <c r="AR286" s="77" t="e">
        <f ca="1">VLOOKUP($AP286,OFFSET([1]unit_skills!$A$1,0,0,COUNTA([1]unit_skills!$A:$A),MATCH("comment",[1]unit_skills!$1:$1,0)-MATCH($AP$1,[1]unit_skills!$1:$1,0)+1),MATCH("comment",[1]unit_skills!$1:$1,0)-MATCH($AP$1,[1]unit_skills!$1:$1,0)+1,FALSE)</f>
        <v>#VALUE!</v>
      </c>
      <c r="AS286" s="77" t="e">
        <f ca="1">VLOOKUP($AP286,OFFSET([1]unit_skills!$A$1,0,0,COUNTA([1]unit_skills!$A:$A),MATCH(AS$1,[1]unit_skills!$1:$1,0)-MATCH($AP$1,[1]unit_skills!$1:$1,0)+1),MATCH(AS$1,[1]unit_skills!$1:$1,0)-MATCH($AP$1,[1]unit_skills!$1:$1,0)+1,FALSE)</f>
        <v>#VALUE!</v>
      </c>
      <c r="AT286" s="97">
        <v>174207</v>
      </c>
      <c r="AU286" s="77" t="e">
        <f ca="1">VLOOKUP($AT286,OFFSET([1]crash_skills!$A$1,0,0,COUNTA([1]crash_skills!$A:$A),MATCH("name",[1]crash_skills!$1:$1,0)-MATCH($AT$1,[1]crash_skills!$1:$1,0)+1),MATCH("name",[1]crash_skills!$1:$1,0)-MATCH($AT$1,[1]crash_skills!$1:$1,0)+1,FALSE)</f>
        <v>#VALUE!</v>
      </c>
      <c r="AV286" s="77" t="e">
        <f ca="1">VLOOKUP($AT286,OFFSET([1]crash_skills!$A$1,0,0,COUNTA([1]crash_skills!$A:$A),MATCH("comment",[1]crash_skills!$1:$1,0)-MATCH($AT$1,[1]crash_skills!$1:$1,0)+1),MATCH("comment",[1]crash_skills!$1:$1,0)-MATCH($AT$1,[1]crash_skills!$1:$1,0)+1,FALSE)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86" s="77" t="e">
        <f ca="1">VLOOKUP($AT286,OFFSET([1]crash_skills!$A$1,0,0,COUNTA([1]crash_skills!$A:$A),MATCH(AW$1,[1]crash_skills!$1:$1,0)-MATCH($AT$1,[1]crash_skills!$1:$1,0)+1),MATCH(AW$1,[1]crash_skills!$1:$1,0)-MATCH($AT$1,[1]crash_skills!$1:$1,0)+1,FALSE)</f>
        <v>#VALUE!</v>
      </c>
      <c r="AX286" s="81">
        <f ca="1">VLOOKUP($A286,OFFSET([2]characters!$A$1,0,0,COUNTA([2]characters!$A:$A),MATCH(AX$1,[2]characters!$1:$1,0)-MATCH($A$1,[2]characters!$1:$1,0)+1),MATCH(AX$1,[2]characters!$1:$1,0)-MATCH($A$1,[2]characters!$1:$1,0)+1,FALSE)</f>
        <v>3</v>
      </c>
      <c r="AY286" s="19">
        <v>1</v>
      </c>
      <c r="AZ286" s="19">
        <v>1</v>
      </c>
      <c r="BA286" s="19">
        <v>0</v>
      </c>
      <c r="BB286" s="19">
        <v>1</v>
      </c>
      <c r="BC286" s="14">
        <f ca="1">INDEX('RC6SV'!$A$1:$G$20,MATCH(H286,'RC6SV'!$A$1:$A$20,FALSE),MATCH(G286,'RC6SV'!$A$1:$G$1,FALSE))</f>
        <v>6600</v>
      </c>
      <c r="BD286" s="63">
        <f t="shared" ca="1" si="32"/>
        <v>6600</v>
      </c>
      <c r="BE286" s="14">
        <f t="shared" ca="1" si="33"/>
        <v>4400</v>
      </c>
      <c r="BF286" s="14">
        <f t="shared" ca="1" si="34"/>
        <v>1</v>
      </c>
      <c r="BG286" s="20">
        <f ca="1">IF($BE286&lt;=0,ROUND(BK286*0.5,0), ROUND($BE286*S286*AA286*J286*AY286*0.8*[2]ステータス!$B$2,0))</f>
        <v>1785</v>
      </c>
      <c r="BH286" s="20">
        <f ca="1">IF($BE286&lt;=0,ROUND(BL286*0.5,0), ROUND($BE286*T286*AB286*K286*AZ286*0.8*[2]ステータス!$C$2,0))</f>
        <v>1056</v>
      </c>
      <c r="BI286" s="20">
        <f ca="1">IF($BE286&lt;=0,ROUND(BM286*0.5,0), ROUND($BE286*U286*AC286*L286*BA286*0.8*[2]ステータス!$D$2,0))</f>
        <v>0</v>
      </c>
      <c r="BJ286" s="20">
        <f ca="1">IF($BE286&lt;=0,ROUND(BN286*0.5,0), ROUND($BE286*V286*AD286*M286*BB286*0.8*[2]ステータス!$E$2,0))</f>
        <v>600</v>
      </c>
      <c r="BK286" s="14">
        <f ca="1">ROUND(BD286*S286*AA286*J286*AY286*[2]ステータス!$B$2,0)</f>
        <v>3347</v>
      </c>
      <c r="BL286" s="14">
        <f ca="1">ROUND(BD286*T286*AB286*K286*AZ286*[2]ステータス!$C$2,0)</f>
        <v>1980</v>
      </c>
      <c r="BM286" s="14">
        <f ca="1">ROUND(BD286*U286*AC286*L286*BA286*[2]ステータス!$D$2,0)</f>
        <v>0</v>
      </c>
      <c r="BN286" s="14">
        <f ca="1">ROUND(BD286*V286*AD286*M286*BB286*[2]ステータス!$E$2,0)</f>
        <v>1125</v>
      </c>
      <c r="BO286" s="13">
        <v>0</v>
      </c>
      <c r="BP286" s="13">
        <v>1</v>
      </c>
      <c r="BQ286" s="13" t="s">
        <v>102</v>
      </c>
      <c r="BR286" s="13">
        <f ca="1">VLOOKUP(H286,ghosts_label!$A$2:$B$19,2,FALSE)</f>
        <v>1</v>
      </c>
    </row>
    <row r="287" spans="1:70" ht="21" customHeight="1" x14ac:dyDescent="0.15">
      <c r="A287" s="14">
        <f t="shared" ca="1" si="29"/>
        <v>286</v>
      </c>
      <c r="B287" s="77" t="str">
        <f ca="1">VLOOKUP($A287,OFFSET([2]characters!$A$1,0,0,COUNTA([2]characters!$A:$A),MATCH(B$1,[2]characters!$1:$1,0)-MATCH($A$1,[2]characters!$1:$1,0)+1),MATCH(B$1,[2]characters!$1:$1,0)-MATCH($A$1,[2]characters!$1:$1,0)+1,FALSE)</f>
        <v>ヒュドラ</v>
      </c>
      <c r="C287" s="77" t="str">
        <f ca="1">VLOOKUP($A287,OFFSET([2]characters!$A$1,0,0,COUNTA([2]characters!$A:$A),MATCH(C$1,[2]characters!$1:$1,0)-MATCH($A$1,[2]characters!$1:$1,0)+1),MATCH(C$1,[2]characters!$1:$1,0)-MATCH($A$1,[2]characters!$1:$1,0)+1,FALSE)</f>
        <v>イベント:機械龍01</v>
      </c>
      <c r="D287" s="77" t="str">
        <f ca="1">VLOOKUP($A287,OFFSET([2]characters!$A$1,0,0,COUNTA([2]characters!$A:$A),MATCH(D$1,[2]characters!$1:$1,0)-MATCH($A$1,[2]characters!$1:$1,0)+1),MATCH(D$1,[2]characters!$1:$1,0)-MATCH($A$1,[2]characters!$1:$1,0)+1,FALSE)</f>
        <v>QoH</v>
      </c>
      <c r="E287" s="77" t="str">
        <f ca="1">VLOOKUP($A287,OFFSET([2]characters!$A$1,0,0,COUNTA([2]characters!$A:$A),MATCH(E$1,[2]characters!$1:$1,0)-MATCH($A$1,[2]characters!$1:$1,0)+1),MATCH(E$1,[2]characters!$1:$1,0)-MATCH($A$1,[2]characters!$1:$1,0)+1,FALSE)</f>
        <v>格好いい</v>
      </c>
      <c r="F287" s="77" t="str">
        <f ca="1">VLOOKUP($A287,OFFSET([2]characters!$A$1,0,0,COUNTA([2]characters!$A:$A),MATCH(F$1,[2]characters!$1:$1,0)-MATCH($A$1,[2]characters!$1:$1,0)+1),MATCH(F$1,[2]characters!$1:$1,0)-MATCH($A$1,[2]characters!$1:$1,0)+1,FALSE)</f>
        <v>不明</v>
      </c>
      <c r="G287" s="77">
        <f ca="1">VLOOKUP($A287,OFFSET([2]characters!$A$1,0,0,COUNTA([2]characters!$A:$A),MATCH(G$1,[2]characters!$1:$1,0)-MATCH($A$1,[2]characters!$1:$1,0)+1),MATCH(G$1,[2]characters!$1:$1,0)-MATCH($A$1,[2]characters!$1:$1,0)+1,FALSE)</f>
        <v>3</v>
      </c>
      <c r="H287" s="77" t="str">
        <f ca="1">VLOOKUP($A287,OFFSET([2]characters!$A$1,0,0,COUNTA([2]characters!$A:$A),MATCH(H$1,[2]characters!$1:$1,0)-MATCH($A$1,[2]characters!$1:$1,0)+1),MATCH(H$1,[2]characters!$1:$1,0)-MATCH($A$1,[2]characters!$1:$1,0)+1,FALSE)</f>
        <v>Drop2W</v>
      </c>
      <c r="I287" s="77" t="str">
        <f ca="1">VLOOKUP($A287,OFFSET([2]characters!$A$1,0,0,COUNTA([2]characters!$A:$A),MATCH(I$1,[2]characters!$1:$1,0)-MATCH($A$1,[2]characters!$1:$1,0)+1),MATCH(I$1,[2]characters!$1:$1,0)-MATCH($A$1,[2]characters!$1:$1,0)+1,FALSE)</f>
        <v>red</v>
      </c>
      <c r="J287" s="14">
        <f ca="1">VLOOKUP(I287,[2]属性!$A:$E,2,FALSE)</f>
        <v>1</v>
      </c>
      <c r="K287" s="14">
        <f ca="1">VLOOKUP(I287,[2]属性!$A:$E,3,FALSE)</f>
        <v>1.02</v>
      </c>
      <c r="L287" s="14">
        <f ca="1">VLOOKUP(I287,[2]属性!$A:$E,4,FALSE)</f>
        <v>1</v>
      </c>
      <c r="M287" s="14">
        <f ca="1">VLOOKUP(I287,[2]属性!$A:$E,5,FALSE)</f>
        <v>0.98</v>
      </c>
      <c r="N287" s="14">
        <f ca="1">INDEX(コスト!$A$1:$I$20,MATCH(H287,コスト!$A$1:$A$20,FALSE),MATCH(G287,コスト!$A$1:$I$1,FALSE))</f>
        <v>6</v>
      </c>
      <c r="O287" s="14">
        <f ca="1">INDEX(レベル!$A$1:$I$21,MATCH(H287,レベル!$A$1:$A$21,FALSE),MATCH(G287,レベル!$A$1:$I$1,FALSE))</f>
        <v>40</v>
      </c>
      <c r="P287" s="63">
        <f t="shared" ca="1" si="35"/>
        <v>45</v>
      </c>
      <c r="Q287" s="77" t="str">
        <f ca="1">VLOOKUP($A287,OFFSET([2]characters!$A$1,0,0,COUNTA([2]characters!$A:$A),MATCH(Q$1,[2]characters!$1:$1,0)-MATCH($A$1,[2]characters!$1:$1,0)+1),MATCH(Q$1,[2]characters!$1:$1,0)-MATCH($A$1,[2]characters!$1:$1,0)+1,FALSE)</f>
        <v>attack</v>
      </c>
      <c r="R287" s="8" t="str">
        <f ca="1">VLOOKUP(Q287,[2]character_type_i18n!$A:$H,3,FALSE)</f>
        <v>攻撃タイプ</v>
      </c>
      <c r="S287" s="14">
        <f ca="1">VLOOKUP(Q287,[2]character_type_i18n!$A:$H,4,FALSE)</f>
        <v>1</v>
      </c>
      <c r="T287" s="14">
        <f ca="1">VLOOKUP(Q287,[2]character_type_i18n!$A:$H,5,FALSE)</f>
        <v>1.33</v>
      </c>
      <c r="U287" s="14">
        <f ca="1">VLOOKUP(Q287,[2]character_type_i18n!$A:$H,6,FALSE)</f>
        <v>1</v>
      </c>
      <c r="V287" s="14">
        <f ca="1">VLOOKUP(Q287,[2]character_type_i18n!$A:$H,7,FALSE)</f>
        <v>0.67</v>
      </c>
      <c r="W287" s="77" t="str">
        <f ca="1">VLOOKUP($A287,OFFSET([2]characters!$A$1,0,0,COUNTA([2]characters!$A:$A),MATCH(W$1,[2]characters!$1:$1,0)-MATCH($A$1,[2]characters!$1:$1,0)+1),MATCH(W$1,[2]characters!$1:$1,0)-MATCH($A$1,[2]characters!$1:$1,0)+1,FALSE)</f>
        <v>dragon</v>
      </c>
      <c r="X287" s="8" t="str">
        <f ca="1">VLOOKUP(W287,[2]character_tribe_i18n!$A:$H,3,FALSE)</f>
        <v>ドラゴン</v>
      </c>
      <c r="Y287" s="77" t="str">
        <f ca="1">VLOOKUP($A287,OFFSET([2]characters!$A$1,0,0,COUNTA([2]characters!$A:$A),MATCH(Y$1,[2]characters!$1:$1,0)-MATCH($A$1,[2]characters!$1:$1,0)+1),MATCH(Y$1,[2]characters!$1:$1,0)-MATCH($A$1,[2]characters!$1:$1,0)+1,FALSE)</f>
        <v>machine</v>
      </c>
      <c r="Z287" s="8" t="str">
        <f ca="1">VLOOKUP(Y287,[2]character_tribe_i18n!$A:$H,3,FALSE)</f>
        <v>マシン</v>
      </c>
      <c r="AA287" s="14">
        <f ca="1">VLOOKUP(W287,[2]character_tribe_i18n!$A:$H,4,FALSE)</f>
        <v>1.1499999999999999</v>
      </c>
      <c r="AB287" s="14">
        <f ca="1">VLOOKUP(W287,[2]character_tribe_i18n!$A:$H,5,FALSE)</f>
        <v>1.1000000000000001</v>
      </c>
      <c r="AC287" s="14">
        <f ca="1">VLOOKUP(W287,[2]character_tribe_i18n!$A:$H,6,FALSE)</f>
        <v>1</v>
      </c>
      <c r="AD287" s="14">
        <f ca="1">VLOOKUP(W287,[2]character_tribe_i18n!$A:$H,7,FALSE)</f>
        <v>0.75</v>
      </c>
      <c r="AE287" s="12">
        <v>287</v>
      </c>
      <c r="AF287" s="85" t="str">
        <f ca="1">IF(AE287="NULL","",VLOOKUP($AE287,OFFSET([2]characters!$A$1,0,0,COUNTA([2]characters!$A:$A),MATCH(AF$1,[2]characters!$1:$1,0)-MATCH($A$1,[2]characters!$1:$1,0)+1),MATCH(AF$1,[2]characters!$1:$1,0)-MATCH($A$1,[2]characters!$1:$1,0)+1,FALSE))</f>
        <v>ヒュドラ・フルオープン</v>
      </c>
      <c r="AG287" s="8">
        <f t="shared" ca="1" si="30"/>
        <v>286</v>
      </c>
      <c r="AH287" s="85" t="str">
        <f ca="1">VLOOKUP($AG287,OFFSET([2]characters!$A$1,0,0,COUNTA([2]characters!$A:$A),MATCH(AH$1,[2]characters!$1:$1,0)-MATCH($A$1,[2]characters!$1:$1,0)+1),MATCH(AH$1,[2]characters!$1:$1,0)-MATCH($A$1,[2]characters!$1:$1,0)+1,FALSE)</f>
        <v>ヒュドラ</v>
      </c>
      <c r="AI287" s="14">
        <f ca="1">IF(AE287="NULL","NULL",VLOOKUP(G287,ビット!$A$2:$B$7,2))</f>
        <v>20000</v>
      </c>
      <c r="AJ287" s="9">
        <v>2</v>
      </c>
      <c r="AK287" s="10" t="str">
        <f t="shared" si="31"/>
        <v>普通</v>
      </c>
      <c r="AL287" s="14" t="str">
        <f ca="1">INDEX(経験値!$A$1:$I$20,MATCH(H287,経験値!$A$1:$A$20,FALSE),MATCH(G287,経験値!$A$1:$I$1,FALSE))</f>
        <v>required_exp_150</v>
      </c>
      <c r="AM287" s="11">
        <f ca="1">VLOOKUP(G287,経験値!$A$27:$B$31,2)</f>
        <v>1500</v>
      </c>
      <c r="AN287" s="21">
        <f ca="1">VLOOKUP(G287,ビット!$G$2:$H$7,2)</f>
        <v>300</v>
      </c>
      <c r="AO287" s="98" t="s">
        <v>188</v>
      </c>
      <c r="AP287" s="97">
        <v>550003</v>
      </c>
      <c r="AQ287" s="77" t="e">
        <f ca="1">VLOOKUP($AP287,OFFSET([1]unit_skills!$A$1,0,0,COUNTA([1]unit_skills!$A:$A),MATCH("name",[1]unit_skills!$1:$1,0)-MATCH($AP$1,[1]unit_skills!$1:$1,0)+1),MATCH("name",[1]unit_skills!$1:$1,0)-MATCH($AP$1,[1]unit_skills!$1:$1,0)+1,FALSE)</f>
        <v>#VALUE!</v>
      </c>
      <c r="AR287" s="77" t="e">
        <f ca="1">VLOOKUP($AP287,OFFSET([1]unit_skills!$A$1,0,0,COUNTA([1]unit_skills!$A:$A),MATCH("comment",[1]unit_skills!$1:$1,0)-MATCH($AP$1,[1]unit_skills!$1:$1,0)+1),MATCH("comment",[1]unit_skills!$1:$1,0)-MATCH($AP$1,[1]unit_skills!$1:$1,0)+1,FALSE)</f>
        <v>#VALUE!</v>
      </c>
      <c r="AS287" s="77" t="e">
        <f ca="1">VLOOKUP($AP287,OFFSET([1]unit_skills!$A$1,0,0,COUNTA([1]unit_skills!$A:$A),MATCH(AS$1,[1]unit_skills!$1:$1,0)-MATCH($AP$1,[1]unit_skills!$1:$1,0)+1),MATCH(AS$1,[1]unit_skills!$1:$1,0)-MATCH($AP$1,[1]unit_skills!$1:$1,0)+1,FALSE)</f>
        <v>#VALUE!</v>
      </c>
      <c r="AT287" s="97">
        <v>111103</v>
      </c>
      <c r="AU287" s="77" t="e">
        <f ca="1">VLOOKUP($AT287,OFFSET([1]crash_skills!$A$1,0,0,COUNTA([1]crash_skills!$A:$A),MATCH("name",[1]crash_skills!$1:$1,0)-MATCH($AT$1,[1]crash_skills!$1:$1,0)+1),MATCH("name",[1]crash_skills!$1:$1,0)-MATCH($AT$1,[1]crash_skills!$1:$1,0)+1,FALSE)</f>
        <v>#VALUE!</v>
      </c>
      <c r="AV287" s="77" t="e">
        <f ca="1">VLOOKUP($AT287,OFFSET([1]crash_skills!$A$1,0,0,COUNTA([1]crash_skills!$A:$A),MATCH("comment",[1]crash_skills!$1:$1,0)-MATCH($AT$1,[1]crash_skills!$1:$1,0)+1),MATCH("comment",[1]crash_skills!$1:$1,0)-MATCH($AT$1,[1]crash_skills!$1:$1,0)+1,FALSE)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87" s="77" t="e">
        <f ca="1">VLOOKUP($AT287,OFFSET([1]crash_skills!$A$1,0,0,COUNTA([1]crash_skills!$A:$A),MATCH(AW$1,[1]crash_skills!$1:$1,0)-MATCH($AT$1,[1]crash_skills!$1:$1,0)+1),MATCH(AW$1,[1]crash_skills!$1:$1,0)-MATCH($AT$1,[1]crash_skills!$1:$1,0)+1,FALSE)</f>
        <v>#VALUE!</v>
      </c>
      <c r="AX287" s="81">
        <f ca="1">VLOOKUP($A287,OFFSET([2]characters!$A$1,0,0,COUNTA([2]characters!$A:$A),MATCH(AX$1,[2]characters!$1:$1,0)-MATCH($A$1,[2]characters!$1:$1,0)+1),MATCH(AX$1,[2]characters!$1:$1,0)-MATCH($A$1,[2]characters!$1:$1,0)+1,FALSE)</f>
        <v>3</v>
      </c>
      <c r="AY287" s="19">
        <v>1</v>
      </c>
      <c r="AZ287" s="19">
        <v>1</v>
      </c>
      <c r="BA287" s="19">
        <v>0</v>
      </c>
      <c r="BB287" s="19">
        <v>1</v>
      </c>
      <c r="BC287" s="14">
        <f ca="1">INDEX('RC6SV'!$A$1:$G$20,MATCH(H287,'RC6SV'!$A$1:$A$20,FALSE),MATCH(G287,'RC6SV'!$A$1:$G$1,FALSE))</f>
        <v>4400</v>
      </c>
      <c r="BD287" s="63">
        <f t="shared" ca="1" si="32"/>
        <v>4400</v>
      </c>
      <c r="BE287" s="14">
        <f t="shared" ca="1" si="33"/>
        <v>0</v>
      </c>
      <c r="BF287" s="14">
        <f t="shared" ca="1" si="34"/>
        <v>1</v>
      </c>
      <c r="BG287" s="20">
        <f ca="1">IF($BE287&lt;=0,ROUND(BK287*0.5,0), ROUND($BE287*S287*AA287*J287*AY287*0.8*[2]ステータス!$B$2,0))</f>
        <v>1265</v>
      </c>
      <c r="BH287" s="20">
        <f ca="1">IF($BE287&lt;=0,ROUND(BL287*0.5,0), ROUND($BE287*T287*AB287*K287*AZ287*0.8*[2]ステータス!$C$2,0))</f>
        <v>985</v>
      </c>
      <c r="BI287" s="20">
        <f ca="1">IF($BE287&lt;=0,ROUND(BM287*0.5,0), ROUND($BE287*U287*AC287*L287*BA287*0.8*[2]ステータス!$D$2,0))</f>
        <v>0</v>
      </c>
      <c r="BJ287" s="20">
        <f ca="1">IF($BE287&lt;=0,ROUND(BN287*0.5,0), ROUND($BE287*V287*AD287*M287*BB287*0.8*[2]ステータス!$E$2,0))</f>
        <v>271</v>
      </c>
      <c r="BK287" s="14">
        <f ca="1">ROUND(BD287*S287*AA287*J287*AY287*[2]ステータス!$B$2,0)</f>
        <v>2530</v>
      </c>
      <c r="BL287" s="14">
        <f ca="1">ROUND(BD287*T287*AB287*K287*AZ287*[2]ステータス!$C$2,0)</f>
        <v>1970</v>
      </c>
      <c r="BM287" s="14">
        <f ca="1">ROUND(BD287*U287*AC287*L287*BA287*[2]ステータス!$D$2,0)</f>
        <v>0</v>
      </c>
      <c r="BN287" s="14">
        <f ca="1">ROUND(BD287*V287*AD287*M287*BB287*[2]ステータス!$E$2,0)</f>
        <v>542</v>
      </c>
      <c r="BO287" s="13">
        <v>0</v>
      </c>
      <c r="BP287" s="13">
        <v>1</v>
      </c>
      <c r="BQ287" s="13" t="s">
        <v>102</v>
      </c>
      <c r="BR287" s="13">
        <f ca="1">VLOOKUP(H287,ghosts_label!$A$2:$B$19,2,FALSE)</f>
        <v>1</v>
      </c>
    </row>
    <row r="288" spans="1:70" ht="21" customHeight="1" x14ac:dyDescent="0.15">
      <c r="A288" s="14">
        <f t="shared" ca="1" si="29"/>
        <v>287</v>
      </c>
      <c r="B288" s="77" t="str">
        <f ca="1">VLOOKUP($A288,OFFSET([2]characters!$A$1,0,0,COUNTA([2]characters!$A:$A),MATCH(B$1,[2]characters!$1:$1,0)-MATCH($A$1,[2]characters!$1:$1,0)+1),MATCH(B$1,[2]characters!$1:$1,0)-MATCH($A$1,[2]characters!$1:$1,0)+1,FALSE)</f>
        <v>ヒュドラ・フルオープン</v>
      </c>
      <c r="C288" s="77" t="str">
        <f ca="1">VLOOKUP($A288,OFFSET([2]characters!$A$1,0,0,COUNTA([2]characters!$A:$A),MATCH(C$1,[2]characters!$1:$1,0)-MATCH($A$1,[2]characters!$1:$1,0)+1),MATCH(C$1,[2]characters!$1:$1,0)-MATCH($A$1,[2]characters!$1:$1,0)+1,FALSE)</f>
        <v>イベント:機械龍01</v>
      </c>
      <c r="D288" s="77" t="str">
        <f ca="1">VLOOKUP($A288,OFFSET([2]characters!$A$1,0,0,COUNTA([2]characters!$A:$A),MATCH(D$1,[2]characters!$1:$1,0)-MATCH($A$1,[2]characters!$1:$1,0)+1),MATCH(D$1,[2]characters!$1:$1,0)-MATCH($A$1,[2]characters!$1:$1,0)+1,FALSE)</f>
        <v>QoH</v>
      </c>
      <c r="E288" s="77" t="str">
        <f ca="1">VLOOKUP($A288,OFFSET([2]characters!$A$1,0,0,COUNTA([2]characters!$A:$A),MATCH(E$1,[2]characters!$1:$1,0)-MATCH($A$1,[2]characters!$1:$1,0)+1),MATCH(E$1,[2]characters!$1:$1,0)-MATCH($A$1,[2]characters!$1:$1,0)+1,FALSE)</f>
        <v>格好いい</v>
      </c>
      <c r="F288" s="77" t="str">
        <f ca="1">VLOOKUP($A288,OFFSET([2]characters!$A$1,0,0,COUNTA([2]characters!$A:$A),MATCH(F$1,[2]characters!$1:$1,0)-MATCH($A$1,[2]characters!$1:$1,0)+1),MATCH(F$1,[2]characters!$1:$1,0)-MATCH($A$1,[2]characters!$1:$1,0)+1,FALSE)</f>
        <v>不明</v>
      </c>
      <c r="G288" s="77">
        <f ca="1">VLOOKUP($A288,OFFSET([2]characters!$A$1,0,0,COUNTA([2]characters!$A:$A),MATCH(G$1,[2]characters!$1:$1,0)-MATCH($A$1,[2]characters!$1:$1,0)+1),MATCH(G$1,[2]characters!$1:$1,0)-MATCH($A$1,[2]characters!$1:$1,0)+1,FALSE)</f>
        <v>4</v>
      </c>
      <c r="H288" s="77" t="str">
        <f ca="1">VLOOKUP($A288,OFFSET([2]characters!$A$1,0,0,COUNTA([2]characters!$A:$A),MATCH(H$1,[2]characters!$1:$1,0)-MATCH($A$1,[2]characters!$1:$1,0)+1),MATCH(H$1,[2]characters!$1:$1,0)-MATCH($A$1,[2]characters!$1:$1,0)+1,FALSE)</f>
        <v>DropWizW</v>
      </c>
      <c r="I288" s="77" t="str">
        <f ca="1">VLOOKUP($A288,OFFSET([2]characters!$A$1,0,0,COUNTA([2]characters!$A:$A),MATCH(I$1,[2]characters!$1:$1,0)-MATCH($A$1,[2]characters!$1:$1,0)+1),MATCH(I$1,[2]characters!$1:$1,0)-MATCH($A$1,[2]characters!$1:$1,0)+1,FALSE)</f>
        <v>red</v>
      </c>
      <c r="J288" s="14">
        <f ca="1">VLOOKUP(I288,[2]属性!$A:$E,2,FALSE)</f>
        <v>1</v>
      </c>
      <c r="K288" s="14">
        <f ca="1">VLOOKUP(I288,[2]属性!$A:$E,3,FALSE)</f>
        <v>1.02</v>
      </c>
      <c r="L288" s="14">
        <f ca="1">VLOOKUP(I288,[2]属性!$A:$E,4,FALSE)</f>
        <v>1</v>
      </c>
      <c r="M288" s="14">
        <f ca="1">VLOOKUP(I288,[2]属性!$A:$E,5,FALSE)</f>
        <v>0.98</v>
      </c>
      <c r="N288" s="14">
        <f ca="1">INDEX(コスト!$A$1:$I$20,MATCH(H288,コスト!$A$1:$A$20,FALSE),MATCH(G288,コスト!$A$1:$I$1,FALSE))</f>
        <v>16</v>
      </c>
      <c r="O288" s="14">
        <f ca="1">INDEX(レベル!$A$1:$I$21,MATCH(H288,レベル!$A$1:$A$21,FALSE),MATCH(G288,レベル!$A$1:$I$1,FALSE))</f>
        <v>60</v>
      </c>
      <c r="P288" s="63">
        <f t="shared" ca="1" si="35"/>
        <v>60</v>
      </c>
      <c r="Q288" s="77" t="str">
        <f ca="1">VLOOKUP($A288,OFFSET([2]characters!$A$1,0,0,COUNTA([2]characters!$A:$A),MATCH(Q$1,[2]characters!$1:$1,0)-MATCH($A$1,[2]characters!$1:$1,0)+1),MATCH(Q$1,[2]characters!$1:$1,0)-MATCH($A$1,[2]characters!$1:$1,0)+1,FALSE)</f>
        <v>attack</v>
      </c>
      <c r="R288" s="8" t="str">
        <f ca="1">VLOOKUP(Q288,[2]character_type_i18n!$A:$H,3,FALSE)</f>
        <v>攻撃タイプ</v>
      </c>
      <c r="S288" s="14">
        <f ca="1">VLOOKUP(Q288,[2]character_type_i18n!$A:$H,4,FALSE)</f>
        <v>1</v>
      </c>
      <c r="T288" s="14">
        <f ca="1">VLOOKUP(Q288,[2]character_type_i18n!$A:$H,5,FALSE)</f>
        <v>1.33</v>
      </c>
      <c r="U288" s="14">
        <f ca="1">VLOOKUP(Q288,[2]character_type_i18n!$A:$H,6,FALSE)</f>
        <v>1</v>
      </c>
      <c r="V288" s="14">
        <f ca="1">VLOOKUP(Q288,[2]character_type_i18n!$A:$H,7,FALSE)</f>
        <v>0.67</v>
      </c>
      <c r="W288" s="77" t="str">
        <f ca="1">VLOOKUP($A288,OFFSET([2]characters!$A$1,0,0,COUNTA([2]characters!$A:$A),MATCH(W$1,[2]characters!$1:$1,0)-MATCH($A$1,[2]characters!$1:$1,0)+1),MATCH(W$1,[2]characters!$1:$1,0)-MATCH($A$1,[2]characters!$1:$1,0)+1,FALSE)</f>
        <v>dragon</v>
      </c>
      <c r="X288" s="8" t="str">
        <f ca="1">VLOOKUP(W288,[2]character_tribe_i18n!$A:$H,3,FALSE)</f>
        <v>ドラゴン</v>
      </c>
      <c r="Y288" s="77" t="str">
        <f ca="1">VLOOKUP($A288,OFFSET([2]characters!$A$1,0,0,COUNTA([2]characters!$A:$A),MATCH(Y$1,[2]characters!$1:$1,0)-MATCH($A$1,[2]characters!$1:$1,0)+1),MATCH(Y$1,[2]characters!$1:$1,0)-MATCH($A$1,[2]characters!$1:$1,0)+1,FALSE)</f>
        <v>machine</v>
      </c>
      <c r="Z288" s="8" t="str">
        <f ca="1">VLOOKUP(Y288,[2]character_tribe_i18n!$A:$H,3,FALSE)</f>
        <v>マシン</v>
      </c>
      <c r="AA288" s="14">
        <f ca="1">VLOOKUP(W288,[2]character_tribe_i18n!$A:$H,4,FALSE)</f>
        <v>1.1499999999999999</v>
      </c>
      <c r="AB288" s="14">
        <f ca="1">VLOOKUP(W288,[2]character_tribe_i18n!$A:$H,5,FALSE)</f>
        <v>1.1000000000000001</v>
      </c>
      <c r="AC288" s="14">
        <f ca="1">VLOOKUP(W288,[2]character_tribe_i18n!$A:$H,6,FALSE)</f>
        <v>1</v>
      </c>
      <c r="AD288" s="14">
        <f ca="1">VLOOKUP(W288,[2]character_tribe_i18n!$A:$H,7,FALSE)</f>
        <v>0.75</v>
      </c>
      <c r="AE288" s="12">
        <v>615</v>
      </c>
      <c r="AF288" s="85" t="str">
        <f ca="1">IF(AE288="NULL","",VLOOKUP($AE288,OFFSET([2]characters!$A$1,0,0,COUNTA([2]characters!$A:$A),MATCH(AF$1,[2]characters!$1:$1,0)-MATCH($A$1,[2]characters!$1:$1,0)+1),MATCH(AF$1,[2]characters!$1:$1,0)-MATCH($A$1,[2]characters!$1:$1,0)+1,FALSE))</f>
        <v>ヒュドラ・コスモブラスト</v>
      </c>
      <c r="AG288" s="8">
        <f t="shared" ca="1" si="30"/>
        <v>286</v>
      </c>
      <c r="AH288" s="85" t="str">
        <f ca="1">VLOOKUP($AG288,OFFSET([2]characters!$A$1,0,0,COUNTA([2]characters!$A:$A),MATCH(AH$1,[2]characters!$1:$1,0)-MATCH($A$1,[2]characters!$1:$1,0)+1),MATCH(AH$1,[2]characters!$1:$1,0)-MATCH($A$1,[2]characters!$1:$1,0)+1,FALSE)</f>
        <v>ヒュドラ</v>
      </c>
      <c r="AI288" s="14">
        <f ca="1">IF(AE288="NULL","NULL",VLOOKUP(G288,ビット!$A$2:$B$7,2))</f>
        <v>50000</v>
      </c>
      <c r="AJ288" s="9">
        <v>2</v>
      </c>
      <c r="AK288" s="10" t="str">
        <f t="shared" si="31"/>
        <v>普通</v>
      </c>
      <c r="AL288" s="14" t="str">
        <f ca="1">INDEX(経験値!$A$1:$I$20,MATCH(H288,経験値!$A$1:$A$20,FALSE),MATCH(G288,経験値!$A$1:$I$1,FALSE))</f>
        <v>required_exp_150</v>
      </c>
      <c r="AM288" s="11">
        <f ca="1">VLOOKUP(G288,経験値!$A$27:$B$31,2)</f>
        <v>3400</v>
      </c>
      <c r="AN288" s="21">
        <f ca="1">VLOOKUP(G288,ビット!$G$2:$H$7,2)</f>
        <v>600</v>
      </c>
      <c r="AO288" s="98" t="s">
        <v>188</v>
      </c>
      <c r="AP288" s="97">
        <v>550003</v>
      </c>
      <c r="AQ288" s="77" t="e">
        <f ca="1">VLOOKUP($AP288,OFFSET([1]unit_skills!$A$1,0,0,COUNTA([1]unit_skills!$A:$A),MATCH("name",[1]unit_skills!$1:$1,0)-MATCH($AP$1,[1]unit_skills!$1:$1,0)+1),MATCH("name",[1]unit_skills!$1:$1,0)-MATCH($AP$1,[1]unit_skills!$1:$1,0)+1,FALSE)</f>
        <v>#VALUE!</v>
      </c>
      <c r="AR288" s="77" t="e">
        <f ca="1">VLOOKUP($AP288,OFFSET([1]unit_skills!$A$1,0,0,COUNTA([1]unit_skills!$A:$A),MATCH("comment",[1]unit_skills!$1:$1,0)-MATCH($AP$1,[1]unit_skills!$1:$1,0)+1),MATCH("comment",[1]unit_skills!$1:$1,0)-MATCH($AP$1,[1]unit_skills!$1:$1,0)+1,FALSE)</f>
        <v>#VALUE!</v>
      </c>
      <c r="AS288" s="77" t="e">
        <f ca="1">VLOOKUP($AP288,OFFSET([1]unit_skills!$A$1,0,0,COUNTA([1]unit_skills!$A:$A),MATCH(AS$1,[1]unit_skills!$1:$1,0)-MATCH($AP$1,[1]unit_skills!$1:$1,0)+1),MATCH(AS$1,[1]unit_skills!$1:$1,0)-MATCH($AP$1,[1]unit_skills!$1:$1,0)+1,FALSE)</f>
        <v>#VALUE!</v>
      </c>
      <c r="AT288" s="97">
        <v>111113</v>
      </c>
      <c r="AU288" s="77" t="e">
        <f ca="1">VLOOKUP($AT288,OFFSET([1]crash_skills!$A$1,0,0,COUNTA([1]crash_skills!$A:$A),MATCH("name",[1]crash_skills!$1:$1,0)-MATCH($AT$1,[1]crash_skills!$1:$1,0)+1),MATCH("name",[1]crash_skills!$1:$1,0)-MATCH($AT$1,[1]crash_skills!$1:$1,0)+1,FALSE)</f>
        <v>#VALUE!</v>
      </c>
      <c r="AV288" s="77" t="e">
        <f ca="1">VLOOKUP($AT288,OFFSET([1]crash_skills!$A$1,0,0,COUNTA([1]crash_skills!$A:$A),MATCH("comment",[1]crash_skills!$1:$1,0)-MATCH($AT$1,[1]crash_skills!$1:$1,0)+1),MATCH("comment",[1]crash_skills!$1:$1,0)-MATCH($AT$1,[1]crash_skills!$1:$1,0)+1,FALSE)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88" s="77" t="e">
        <f ca="1">VLOOKUP($AT288,OFFSET([1]crash_skills!$A$1,0,0,COUNTA([1]crash_skills!$A:$A),MATCH(AW$1,[1]crash_skills!$1:$1,0)-MATCH($AT$1,[1]crash_skills!$1:$1,0)+1),MATCH(AW$1,[1]crash_skills!$1:$1,0)-MATCH($AT$1,[1]crash_skills!$1:$1,0)+1,FALSE)</f>
        <v>#VALUE!</v>
      </c>
      <c r="AX288" s="81">
        <f ca="1">VLOOKUP($A288,OFFSET([2]characters!$A$1,0,0,COUNTA([2]characters!$A:$A),MATCH(AX$1,[2]characters!$1:$1,0)-MATCH($A$1,[2]characters!$1:$1,0)+1),MATCH(AX$1,[2]characters!$1:$1,0)-MATCH($A$1,[2]characters!$1:$1,0)+1,FALSE)</f>
        <v>3</v>
      </c>
      <c r="AY288" s="19">
        <v>1</v>
      </c>
      <c r="AZ288" s="19">
        <v>1</v>
      </c>
      <c r="BA288" s="19">
        <v>0</v>
      </c>
      <c r="BB288" s="19">
        <v>1</v>
      </c>
      <c r="BC288" s="14">
        <f ca="1">INDEX('RC6SV'!$A$1:$G$20,MATCH(H288,'RC6SV'!$A$1:$A$20,FALSE),MATCH(G288,'RC6SV'!$A$1:$G$1,FALSE))</f>
        <v>6600</v>
      </c>
      <c r="BD288" s="63">
        <f t="shared" ca="1" si="32"/>
        <v>6600</v>
      </c>
      <c r="BE288" s="14">
        <f t="shared" ca="1" si="33"/>
        <v>4400</v>
      </c>
      <c r="BF288" s="14">
        <f t="shared" ca="1" si="34"/>
        <v>1</v>
      </c>
      <c r="BG288" s="20">
        <f ca="1">IF($BE288&lt;=0,ROUND(BK288*0.5,0), ROUND($BE288*S288*AA288*J288*AY288*0.8*[2]ステータス!$B$2,0))</f>
        <v>2024</v>
      </c>
      <c r="BH288" s="20">
        <f ca="1">IF($BE288&lt;=0,ROUND(BL288*0.5,0), ROUND($BE288*T288*AB288*K288*AZ288*0.8*[2]ステータス!$C$2,0))</f>
        <v>1576</v>
      </c>
      <c r="BI288" s="20">
        <f ca="1">IF($BE288&lt;=0,ROUND(BM288*0.5,0), ROUND($BE288*U288*AC288*L288*BA288*0.8*[2]ステータス!$D$2,0))</f>
        <v>0</v>
      </c>
      <c r="BJ288" s="20">
        <f ca="1">IF($BE288&lt;=0,ROUND(BN288*0.5,0), ROUND($BE288*V288*AD288*M288*BB288*0.8*[2]ステータス!$E$2,0))</f>
        <v>433</v>
      </c>
      <c r="BK288" s="14">
        <f ca="1">ROUND(BD288*S288*AA288*J288*AY288*[2]ステータス!$B$2,0)</f>
        <v>3795</v>
      </c>
      <c r="BL288" s="14">
        <f ca="1">ROUND(BD288*T288*AB288*K288*AZ288*[2]ステータス!$C$2,0)</f>
        <v>2955</v>
      </c>
      <c r="BM288" s="14">
        <f ca="1">ROUND(BD288*U288*AC288*L288*BA288*[2]ステータス!$D$2,0)</f>
        <v>0</v>
      </c>
      <c r="BN288" s="14">
        <f ca="1">ROUND(BD288*V288*AD288*M288*BB288*[2]ステータス!$E$2,0)</f>
        <v>813</v>
      </c>
      <c r="BO288" s="13">
        <v>0</v>
      </c>
      <c r="BP288" s="13">
        <v>1</v>
      </c>
      <c r="BQ288" s="13" t="s">
        <v>102</v>
      </c>
      <c r="BR288" s="13">
        <f ca="1">VLOOKUP(H288,ghosts_label!$A$2:$B$19,2,FALSE)</f>
        <v>1</v>
      </c>
    </row>
    <row r="289" spans="1:70" ht="21" customHeight="1" x14ac:dyDescent="0.15">
      <c r="A289" s="14">
        <f t="shared" ca="1" si="29"/>
        <v>288</v>
      </c>
      <c r="B289" s="77" t="str">
        <f ca="1">VLOOKUP($A289,OFFSET([2]characters!$A$1,0,0,COUNTA([2]characters!$A:$A),MATCH(B$1,[2]characters!$1:$1,0)-MATCH($A$1,[2]characters!$1:$1,0)+1),MATCH(B$1,[2]characters!$1:$1,0)-MATCH($A$1,[2]characters!$1:$1,0)+1,FALSE)</f>
        <v>ミカド</v>
      </c>
      <c r="C289" s="77" t="str">
        <f ca="1">VLOOKUP($A289,OFFSET([2]characters!$A$1,0,0,COUNTA([2]characters!$A:$A),MATCH(C$1,[2]characters!$1:$1,0)-MATCH($A$1,[2]characters!$1:$1,0)+1),MATCH(C$1,[2]characters!$1:$1,0)-MATCH($A$1,[2]characters!$1:$1,0)+1,FALSE)</f>
        <v>イベント:アリスの絵本01</v>
      </c>
      <c r="D289" s="77" t="str">
        <f ca="1">VLOOKUP($A289,OFFSET([2]characters!$A$1,0,0,COUNTA([2]characters!$A:$A),MATCH(D$1,[2]characters!$1:$1,0)-MATCH($A$1,[2]characters!$1:$1,0)+1),MATCH(D$1,[2]characters!$1:$1,0)-MATCH($A$1,[2]characters!$1:$1,0)+1,FALSE)</f>
        <v>アバター</v>
      </c>
      <c r="E289" s="77" t="str">
        <f ca="1">VLOOKUP($A289,OFFSET([2]characters!$A$1,0,0,COUNTA([2]characters!$A:$A),MATCH(E$1,[2]characters!$1:$1,0)-MATCH($A$1,[2]characters!$1:$1,0)+1),MATCH(E$1,[2]characters!$1:$1,0)-MATCH($A$1,[2]characters!$1:$1,0)+1,FALSE)</f>
        <v>格好いい</v>
      </c>
      <c r="F289" s="77" t="str">
        <f ca="1">VLOOKUP($A289,OFFSET([2]characters!$A$1,0,0,COUNTA([2]characters!$A:$A),MATCH(F$1,[2]characters!$1:$1,0)-MATCH($A$1,[2]characters!$1:$1,0)+1),MATCH(F$1,[2]characters!$1:$1,0)-MATCH($A$1,[2]characters!$1:$1,0)+1,FALSE)</f>
        <v>男性</v>
      </c>
      <c r="G289" s="77">
        <f ca="1">VLOOKUP($A289,OFFSET([2]characters!$A$1,0,0,COUNTA([2]characters!$A:$A),MATCH(G$1,[2]characters!$1:$1,0)-MATCH($A$1,[2]characters!$1:$1,0)+1),MATCH(G$1,[2]characters!$1:$1,0)-MATCH($A$1,[2]characters!$1:$1,0)+1,FALSE)</f>
        <v>4</v>
      </c>
      <c r="H289" s="77" t="str">
        <f ca="1">VLOOKUP($A289,OFFSET([2]characters!$A$1,0,0,COUNTA([2]characters!$A:$A),MATCH(H$1,[2]characters!$1:$1,0)-MATCH($A$1,[2]characters!$1:$1,0)+1),MATCH(H$1,[2]characters!$1:$1,0)-MATCH($A$1,[2]characters!$1:$1,0)+1,FALSE)</f>
        <v>Drop2N</v>
      </c>
      <c r="I289" s="77" t="str">
        <f ca="1">VLOOKUP($A289,OFFSET([2]characters!$A$1,0,0,COUNTA([2]characters!$A:$A),MATCH(I$1,[2]characters!$1:$1,0)-MATCH($A$1,[2]characters!$1:$1,0)+1),MATCH(I$1,[2]characters!$1:$1,0)-MATCH($A$1,[2]characters!$1:$1,0)+1,FALSE)</f>
        <v>yellow</v>
      </c>
      <c r="J289" s="14">
        <f ca="1">VLOOKUP(I289,[2]属性!$A:$E,2,FALSE)</f>
        <v>0.98</v>
      </c>
      <c r="K289" s="14">
        <f ca="1">VLOOKUP(I289,[2]属性!$A:$E,3,FALSE)</f>
        <v>1.01</v>
      </c>
      <c r="L289" s="14">
        <f ca="1">VLOOKUP(I289,[2]属性!$A:$E,4,FALSE)</f>
        <v>1</v>
      </c>
      <c r="M289" s="14">
        <f ca="1">VLOOKUP(I289,[2]属性!$A:$E,5,FALSE)</f>
        <v>1.01</v>
      </c>
      <c r="N289" s="14">
        <f ca="1">INDEX(コスト!$A$1:$I$20,MATCH(H289,コスト!$A$1:$A$20,FALSE),MATCH(G289,コスト!$A$1:$I$1,FALSE))</f>
        <v>17</v>
      </c>
      <c r="O289" s="14">
        <f ca="1">INDEX(レベル!$A$1:$I$21,MATCH(H289,レベル!$A$1:$A$21,FALSE),MATCH(G289,レベル!$A$1:$I$1,FALSE))</f>
        <v>60</v>
      </c>
      <c r="P289" s="63">
        <f t="shared" ca="1" si="35"/>
        <v>60</v>
      </c>
      <c r="Q289" s="77" t="str">
        <f ca="1">VLOOKUP($A289,OFFSET([2]characters!$A$1,0,0,COUNTA([2]characters!$A:$A),MATCH(Q$1,[2]characters!$1:$1,0)-MATCH($A$1,[2]characters!$1:$1,0)+1),MATCH(Q$1,[2]characters!$1:$1,0)-MATCH($A$1,[2]characters!$1:$1,0)+1,FALSE)</f>
        <v>balance</v>
      </c>
      <c r="R289" s="8" t="str">
        <f ca="1">VLOOKUP(Q289,[2]character_type_i18n!$A:$H,3,FALSE)</f>
        <v>バランスタイプ</v>
      </c>
      <c r="S289" s="14">
        <f ca="1">VLOOKUP(Q289,[2]character_type_i18n!$A:$H,4,FALSE)</f>
        <v>1</v>
      </c>
      <c r="T289" s="14">
        <f ca="1">VLOOKUP(Q289,[2]character_type_i18n!$A:$H,5,FALSE)</f>
        <v>1</v>
      </c>
      <c r="U289" s="14">
        <f ca="1">VLOOKUP(Q289,[2]character_type_i18n!$A:$H,6,FALSE)</f>
        <v>1</v>
      </c>
      <c r="V289" s="14">
        <f ca="1">VLOOKUP(Q289,[2]character_type_i18n!$A:$H,7,FALSE)</f>
        <v>1</v>
      </c>
      <c r="W289" s="77" t="str">
        <f ca="1">VLOOKUP($A289,OFFSET([2]characters!$A$1,0,0,COUNTA([2]characters!$A:$A),MATCH(W$1,[2]characters!$1:$1,0)-MATCH($A$1,[2]characters!$1:$1,0)+1),MATCH(W$1,[2]characters!$1:$1,0)-MATCH($A$1,[2]characters!$1:$1,0)+1,FALSE)</f>
        <v>human</v>
      </c>
      <c r="X289" s="8" t="str">
        <f ca="1">VLOOKUP(W289,[2]character_tribe_i18n!$A:$H,3,FALSE)</f>
        <v>ヒューマン</v>
      </c>
      <c r="Y289" s="77" t="str">
        <f ca="1">VLOOKUP($A289,OFFSET([2]characters!$A$1,0,0,COUNTA([2]characters!$A:$A),MATCH(Y$1,[2]characters!$1:$1,0)-MATCH($A$1,[2]characters!$1:$1,0)+1),MATCH(Y$1,[2]characters!$1:$1,0)-MATCH($A$1,[2]characters!$1:$1,0)+1,FALSE)</f>
        <v>none</v>
      </c>
      <c r="Z289" s="8" t="str">
        <f ca="1">VLOOKUP(Y289,[2]character_tribe_i18n!$A:$H,3,FALSE)</f>
        <v>種族なし</v>
      </c>
      <c r="AA289" s="14">
        <f ca="1">VLOOKUP(W289,[2]character_tribe_i18n!$A:$H,4,FALSE)</f>
        <v>0.94</v>
      </c>
      <c r="AB289" s="14">
        <f ca="1">VLOOKUP(W289,[2]character_tribe_i18n!$A:$H,5,FALSE)</f>
        <v>0.99</v>
      </c>
      <c r="AC289" s="14">
        <f ca="1">VLOOKUP(W289,[2]character_tribe_i18n!$A:$H,6,FALSE)</f>
        <v>1</v>
      </c>
      <c r="AD289" s="14">
        <f ca="1">VLOOKUP(W289,[2]character_tribe_i18n!$A:$H,7,FALSE)</f>
        <v>1.07</v>
      </c>
      <c r="AE289" s="12">
        <v>289</v>
      </c>
      <c r="AF289" s="85" t="str">
        <f ca="1">IF(AE289="NULL","",VLOOKUP($AE289,OFFSET([2]characters!$A$1,0,0,COUNTA([2]characters!$A:$A),MATCH(AF$1,[2]characters!$1:$1,0)-MATCH($A$1,[2]characters!$1:$1,0)+1),MATCH(AF$1,[2]characters!$1:$1,0)-MATCH($A$1,[2]characters!$1:$1,0)+1,FALSE))</f>
        <v>高圧なるミカド</v>
      </c>
      <c r="AG289" s="8">
        <f t="shared" ca="1" si="30"/>
        <v>288</v>
      </c>
      <c r="AH289" s="85" t="str">
        <f ca="1">VLOOKUP($AG289,OFFSET([2]characters!$A$1,0,0,COUNTA([2]characters!$A:$A),MATCH(AH$1,[2]characters!$1:$1,0)-MATCH($A$1,[2]characters!$1:$1,0)+1),MATCH(AH$1,[2]characters!$1:$1,0)-MATCH($A$1,[2]characters!$1:$1,0)+1,FALSE)</f>
        <v>ミカド</v>
      </c>
      <c r="AI289" s="14">
        <f ca="1">IF(AE289="NULL","NULL",VLOOKUP(G289,ビット!$A$2:$B$7,2))</f>
        <v>50000</v>
      </c>
      <c r="AJ289" s="9">
        <v>2</v>
      </c>
      <c r="AK289" s="10" t="str">
        <f t="shared" si="31"/>
        <v>普通</v>
      </c>
      <c r="AL289" s="14" t="str">
        <f ca="1">INDEX(経験値!$A$1:$I$20,MATCH(H289,経験値!$A$1:$A$20,FALSE),MATCH(G289,経験値!$A$1:$I$1,FALSE))</f>
        <v>required_exp_200</v>
      </c>
      <c r="AM289" s="11">
        <f ca="1">VLOOKUP(G289,経験値!$A$27:$B$31,2)</f>
        <v>3400</v>
      </c>
      <c r="AN289" s="21">
        <f ca="1">VLOOKUP(G289,ビット!$G$2:$H$7,2)</f>
        <v>600</v>
      </c>
      <c r="AO289" s="98" t="s">
        <v>185</v>
      </c>
      <c r="AP289" s="97">
        <v>222009</v>
      </c>
      <c r="AQ289" s="77" t="e">
        <f ca="1">VLOOKUP($AP289,OFFSET([1]unit_skills!$A$1,0,0,COUNTA([1]unit_skills!$A:$A),MATCH("name",[1]unit_skills!$1:$1,0)-MATCH($AP$1,[1]unit_skills!$1:$1,0)+1),MATCH("name",[1]unit_skills!$1:$1,0)-MATCH($AP$1,[1]unit_skills!$1:$1,0)+1,FALSE)</f>
        <v>#VALUE!</v>
      </c>
      <c r="AR289" s="77" t="e">
        <f ca="1">VLOOKUP($AP289,OFFSET([1]unit_skills!$A$1,0,0,COUNTA([1]unit_skills!$A:$A),MATCH("comment",[1]unit_skills!$1:$1,0)-MATCH($AP$1,[1]unit_skills!$1:$1,0)+1),MATCH("comment",[1]unit_skills!$1:$1,0)-MATCH($AP$1,[1]unit_skills!$1:$1,0)+1,FALSE)</f>
        <v>#VALUE!</v>
      </c>
      <c r="AS289" s="77" t="e">
        <f ca="1">VLOOKUP($AP289,OFFSET([1]unit_skills!$A$1,0,0,COUNTA([1]unit_skills!$A:$A),MATCH(AS$1,[1]unit_skills!$1:$1,0)-MATCH($AP$1,[1]unit_skills!$1:$1,0)+1),MATCH(AS$1,[1]unit_skills!$1:$1,0)-MATCH($AP$1,[1]unit_skills!$1:$1,0)+1,FALSE)</f>
        <v>#VALUE!</v>
      </c>
      <c r="AT289" s="97">
        <v>144004</v>
      </c>
      <c r="AU289" s="77" t="e">
        <f ca="1">VLOOKUP($AT289,OFFSET([1]crash_skills!$A$1,0,0,COUNTA([1]crash_skills!$A:$A),MATCH("name",[1]crash_skills!$1:$1,0)-MATCH($AT$1,[1]crash_skills!$1:$1,0)+1),MATCH("name",[1]crash_skills!$1:$1,0)-MATCH($AT$1,[1]crash_skills!$1:$1,0)+1,FALSE)</f>
        <v>#VALUE!</v>
      </c>
      <c r="AV289" s="77" t="e">
        <f ca="1">VLOOKUP($AT289,OFFSET([1]crash_skills!$A$1,0,0,COUNTA([1]crash_skills!$A:$A),MATCH("comment",[1]crash_skills!$1:$1,0)-MATCH($AT$1,[1]crash_skills!$1:$1,0)+1),MATCH("comment",[1]crash_skills!$1:$1,0)-MATCH($AT$1,[1]crash_skills!$1:$1,0)+1,FALSE)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89" s="77" t="e">
        <f ca="1">VLOOKUP($AT289,OFFSET([1]crash_skills!$A$1,0,0,COUNTA([1]crash_skills!$A:$A),MATCH(AW$1,[1]crash_skills!$1:$1,0)-MATCH($AT$1,[1]crash_skills!$1:$1,0)+1),MATCH(AW$1,[1]crash_skills!$1:$1,0)-MATCH($AT$1,[1]crash_skills!$1:$1,0)+1,FALSE)</f>
        <v>#VALUE!</v>
      </c>
      <c r="AX289" s="81">
        <f ca="1">VLOOKUP($A289,OFFSET([2]characters!$A$1,0,0,COUNTA([2]characters!$A:$A),MATCH(AX$1,[2]characters!$1:$1,0)-MATCH($A$1,[2]characters!$1:$1,0)+1),MATCH(AX$1,[2]characters!$1:$1,0)-MATCH($A$1,[2]characters!$1:$1,0)+1,FALSE)</f>
        <v>3</v>
      </c>
      <c r="AY289" s="19">
        <v>1</v>
      </c>
      <c r="AZ289" s="19">
        <v>1</v>
      </c>
      <c r="BA289" s="19">
        <v>0</v>
      </c>
      <c r="BB289" s="19">
        <v>1</v>
      </c>
      <c r="BC289" s="14">
        <f ca="1">INDEX('RC6SV'!$A$1:$G$20,MATCH(H289,'RC6SV'!$A$1:$A$20,FALSE),MATCH(G289,'RC6SV'!$A$1:$G$1,FALSE))</f>
        <v>5800</v>
      </c>
      <c r="BD289" s="63">
        <f t="shared" ca="1" si="32"/>
        <v>5800</v>
      </c>
      <c r="BE289" s="14">
        <f t="shared" ca="1" si="33"/>
        <v>0</v>
      </c>
      <c r="BF289" s="14">
        <f t="shared" ca="1" si="34"/>
        <v>1</v>
      </c>
      <c r="BG289" s="20">
        <f ca="1">IF($BE289&lt;=0,ROUND(BK289*0.5,0), ROUND($BE289*S289*AA289*J289*AY289*0.8*[2]ステータス!$B$2,0))</f>
        <v>1336</v>
      </c>
      <c r="BH289" s="20">
        <f ca="1">IF($BE289&lt;=0,ROUND(BL289*0.5,0), ROUND($BE289*T289*AB289*K289*AZ289*0.8*[2]ステータス!$C$2,0))</f>
        <v>870</v>
      </c>
      <c r="BI289" s="20">
        <f ca="1">IF($BE289&lt;=0,ROUND(BM289*0.5,0), ROUND($BE289*U289*AC289*L289*BA289*0.8*[2]ステータス!$D$2,0))</f>
        <v>0</v>
      </c>
      <c r="BJ289" s="20">
        <f ca="1">IF($BE289&lt;=0,ROUND(BN289*0.5,0), ROUND($BE289*V289*AD289*M289*BB289*0.8*[2]ステータス!$E$2,0))</f>
        <v>784</v>
      </c>
      <c r="BK289" s="14">
        <f ca="1">ROUND(BD289*S289*AA289*J289*AY289*[2]ステータス!$B$2,0)</f>
        <v>2671</v>
      </c>
      <c r="BL289" s="14">
        <f ca="1">ROUND(BD289*T289*AB289*K289*AZ289*[2]ステータス!$C$2,0)</f>
        <v>1740</v>
      </c>
      <c r="BM289" s="14">
        <f ca="1">ROUND(BD289*U289*AC289*L289*BA289*[2]ステータス!$D$2,0)</f>
        <v>0</v>
      </c>
      <c r="BN289" s="14">
        <f ca="1">ROUND(BD289*V289*AD289*M289*BB289*[2]ステータス!$E$2,0)</f>
        <v>1567</v>
      </c>
      <c r="BO289" s="13">
        <v>0</v>
      </c>
      <c r="BP289" s="13">
        <v>1</v>
      </c>
      <c r="BQ289" s="13" t="s">
        <v>102</v>
      </c>
      <c r="BR289" s="13">
        <f ca="1">VLOOKUP(H289,ghosts_label!$A$2:$B$19,2,FALSE)</f>
        <v>1</v>
      </c>
    </row>
    <row r="290" spans="1:70" ht="21" customHeight="1" x14ac:dyDescent="0.15">
      <c r="A290" s="14">
        <f t="shared" ca="1" si="29"/>
        <v>289</v>
      </c>
      <c r="B290" s="77" t="str">
        <f ca="1">VLOOKUP($A290,OFFSET([2]characters!$A$1,0,0,COUNTA([2]characters!$A:$A),MATCH(B$1,[2]characters!$1:$1,0)-MATCH($A$1,[2]characters!$1:$1,0)+1),MATCH(B$1,[2]characters!$1:$1,0)-MATCH($A$1,[2]characters!$1:$1,0)+1,FALSE)</f>
        <v>高圧なるミカド</v>
      </c>
      <c r="C290" s="77" t="str">
        <f ca="1">VLOOKUP($A290,OFFSET([2]characters!$A$1,0,0,COUNTA([2]characters!$A:$A),MATCH(C$1,[2]characters!$1:$1,0)-MATCH($A$1,[2]characters!$1:$1,0)+1),MATCH(C$1,[2]characters!$1:$1,0)-MATCH($A$1,[2]characters!$1:$1,0)+1,FALSE)</f>
        <v>イベント:アリスの絵本01</v>
      </c>
      <c r="D290" s="77" t="str">
        <f ca="1">VLOOKUP($A290,OFFSET([2]characters!$A$1,0,0,COUNTA([2]characters!$A:$A),MATCH(D$1,[2]characters!$1:$1,0)-MATCH($A$1,[2]characters!$1:$1,0)+1),MATCH(D$1,[2]characters!$1:$1,0)-MATCH($A$1,[2]characters!$1:$1,0)+1,FALSE)</f>
        <v>アバター</v>
      </c>
      <c r="E290" s="77" t="str">
        <f ca="1">VLOOKUP($A290,OFFSET([2]characters!$A$1,0,0,COUNTA([2]characters!$A:$A),MATCH(E$1,[2]characters!$1:$1,0)-MATCH($A$1,[2]characters!$1:$1,0)+1),MATCH(E$1,[2]characters!$1:$1,0)-MATCH($A$1,[2]characters!$1:$1,0)+1,FALSE)</f>
        <v>格好いい</v>
      </c>
      <c r="F290" s="77" t="str">
        <f ca="1">VLOOKUP($A290,OFFSET([2]characters!$A$1,0,0,COUNTA([2]characters!$A:$A),MATCH(F$1,[2]characters!$1:$1,0)-MATCH($A$1,[2]characters!$1:$1,0)+1),MATCH(F$1,[2]characters!$1:$1,0)-MATCH($A$1,[2]characters!$1:$1,0)+1,FALSE)</f>
        <v>男性</v>
      </c>
      <c r="G290" s="77">
        <f ca="1">VLOOKUP($A290,OFFSET([2]characters!$A$1,0,0,COUNTA([2]characters!$A:$A),MATCH(G$1,[2]characters!$1:$1,0)-MATCH($A$1,[2]characters!$1:$1,0)+1),MATCH(G$1,[2]characters!$1:$1,0)-MATCH($A$1,[2]characters!$1:$1,0)+1,FALSE)</f>
        <v>5</v>
      </c>
      <c r="H290" s="77" t="str">
        <f ca="1">VLOOKUP($A290,OFFSET([2]characters!$A$1,0,0,COUNTA([2]characters!$A:$A),MATCH(H$1,[2]characters!$1:$1,0)-MATCH($A$1,[2]characters!$1:$1,0)+1),MATCH(H$1,[2]characters!$1:$1,0)-MATCH($A$1,[2]characters!$1:$1,0)+1,FALSE)</f>
        <v>Drop2N</v>
      </c>
      <c r="I290" s="77" t="str">
        <f ca="1">VLOOKUP($A290,OFFSET([2]characters!$A$1,0,0,COUNTA([2]characters!$A:$A),MATCH(I$1,[2]characters!$1:$1,0)-MATCH($A$1,[2]characters!$1:$1,0)+1),MATCH(I$1,[2]characters!$1:$1,0)-MATCH($A$1,[2]characters!$1:$1,0)+1,FALSE)</f>
        <v>yellow</v>
      </c>
      <c r="J290" s="14">
        <f ca="1">VLOOKUP(I290,[2]属性!$A:$E,2,FALSE)</f>
        <v>0.98</v>
      </c>
      <c r="K290" s="14">
        <f ca="1">VLOOKUP(I290,[2]属性!$A:$E,3,FALSE)</f>
        <v>1.01</v>
      </c>
      <c r="L290" s="14">
        <f ca="1">VLOOKUP(I290,[2]属性!$A:$E,4,FALSE)</f>
        <v>1</v>
      </c>
      <c r="M290" s="14">
        <f ca="1">VLOOKUP(I290,[2]属性!$A:$E,5,FALSE)</f>
        <v>1.01</v>
      </c>
      <c r="N290" s="14">
        <f ca="1">INDEX(コスト!$A$1:$I$20,MATCH(H290,コスト!$A$1:$A$20,FALSE),MATCH(G290,コスト!$A$1:$I$1,FALSE))</f>
        <v>26</v>
      </c>
      <c r="O290" s="14">
        <f ca="1">INDEX(レベル!$A$1:$I$21,MATCH(H290,レベル!$A$1:$A$21,FALSE),MATCH(G290,レベル!$A$1:$I$1,FALSE))</f>
        <v>80</v>
      </c>
      <c r="P290" s="63">
        <f t="shared" ca="1" si="35"/>
        <v>75</v>
      </c>
      <c r="Q290" s="77" t="str">
        <f ca="1">VLOOKUP($A290,OFFSET([2]characters!$A$1,0,0,COUNTA([2]characters!$A:$A),MATCH(Q$1,[2]characters!$1:$1,0)-MATCH($A$1,[2]characters!$1:$1,0)+1),MATCH(Q$1,[2]characters!$1:$1,0)-MATCH($A$1,[2]characters!$1:$1,0)+1,FALSE)</f>
        <v>balance</v>
      </c>
      <c r="R290" s="8" t="str">
        <f ca="1">VLOOKUP(Q290,[2]character_type_i18n!$A:$H,3,FALSE)</f>
        <v>バランスタイプ</v>
      </c>
      <c r="S290" s="14">
        <f ca="1">VLOOKUP(Q290,[2]character_type_i18n!$A:$H,4,FALSE)</f>
        <v>1</v>
      </c>
      <c r="T290" s="14">
        <f ca="1">VLOOKUP(Q290,[2]character_type_i18n!$A:$H,5,FALSE)</f>
        <v>1</v>
      </c>
      <c r="U290" s="14">
        <f ca="1">VLOOKUP(Q290,[2]character_type_i18n!$A:$H,6,FALSE)</f>
        <v>1</v>
      </c>
      <c r="V290" s="14">
        <f ca="1">VLOOKUP(Q290,[2]character_type_i18n!$A:$H,7,FALSE)</f>
        <v>1</v>
      </c>
      <c r="W290" s="77" t="str">
        <f ca="1">VLOOKUP($A290,OFFSET([2]characters!$A$1,0,0,COUNTA([2]characters!$A:$A),MATCH(W$1,[2]characters!$1:$1,0)-MATCH($A$1,[2]characters!$1:$1,0)+1),MATCH(W$1,[2]characters!$1:$1,0)-MATCH($A$1,[2]characters!$1:$1,0)+1,FALSE)</f>
        <v>human</v>
      </c>
      <c r="X290" s="8" t="str">
        <f ca="1">VLOOKUP(W290,[2]character_tribe_i18n!$A:$H,3,FALSE)</f>
        <v>ヒューマン</v>
      </c>
      <c r="Y290" s="77" t="str">
        <f ca="1">VLOOKUP($A290,OFFSET([2]characters!$A$1,0,0,COUNTA([2]characters!$A:$A),MATCH(Y$1,[2]characters!$1:$1,0)-MATCH($A$1,[2]characters!$1:$1,0)+1),MATCH(Y$1,[2]characters!$1:$1,0)-MATCH($A$1,[2]characters!$1:$1,0)+1,FALSE)</f>
        <v>none</v>
      </c>
      <c r="Z290" s="8" t="str">
        <f ca="1">VLOOKUP(Y290,[2]character_tribe_i18n!$A:$H,3,FALSE)</f>
        <v>種族なし</v>
      </c>
      <c r="AA290" s="14">
        <f ca="1">VLOOKUP(W290,[2]character_tribe_i18n!$A:$H,4,FALSE)</f>
        <v>0.94</v>
      </c>
      <c r="AB290" s="14">
        <f ca="1">VLOOKUP(W290,[2]character_tribe_i18n!$A:$H,5,FALSE)</f>
        <v>0.99</v>
      </c>
      <c r="AC290" s="14">
        <f ca="1">VLOOKUP(W290,[2]character_tribe_i18n!$A:$H,6,FALSE)</f>
        <v>1</v>
      </c>
      <c r="AD290" s="14">
        <f ca="1">VLOOKUP(W290,[2]character_tribe_i18n!$A:$H,7,FALSE)</f>
        <v>1.07</v>
      </c>
      <c r="AE290" s="12" t="s">
        <v>102</v>
      </c>
      <c r="AF290" s="85" t="str">
        <f ca="1">IF(AE290="NULL","",VLOOKUP($AE290,OFFSET([2]characters!$A$1,0,0,COUNTA([2]characters!$A:$A),MATCH(AF$1,[2]characters!$1:$1,0)-MATCH($A$1,[2]characters!$1:$1,0)+1),MATCH(AF$1,[2]characters!$1:$1,0)-MATCH($A$1,[2]characters!$1:$1,0)+1,FALSE))</f>
        <v/>
      </c>
      <c r="AG290" s="8">
        <f t="shared" ca="1" si="30"/>
        <v>288</v>
      </c>
      <c r="AH290" s="85" t="str">
        <f ca="1">VLOOKUP($AG290,OFFSET([2]characters!$A$1,0,0,COUNTA([2]characters!$A:$A),MATCH(AH$1,[2]characters!$1:$1,0)-MATCH($A$1,[2]characters!$1:$1,0)+1),MATCH(AH$1,[2]characters!$1:$1,0)-MATCH($A$1,[2]characters!$1:$1,0)+1,FALSE)</f>
        <v>ミカド</v>
      </c>
      <c r="AI290" s="14" t="str">
        <f>IF(AE290="NULL","NULL",VLOOKUP(G290,ビット!$A$2:$B$7,2))</f>
        <v>NULL</v>
      </c>
      <c r="AJ290" s="9">
        <v>2</v>
      </c>
      <c r="AK290" s="10" t="str">
        <f t="shared" si="31"/>
        <v>普通</v>
      </c>
      <c r="AL290" s="14" t="str">
        <f ca="1">INDEX(経験値!$A$1:$I$20,MATCH(H290,経験値!$A$1:$A$20,FALSE),MATCH(G290,経験値!$A$1:$I$1,FALSE))</f>
        <v>required_exp_200</v>
      </c>
      <c r="AM290" s="11">
        <f ca="1">VLOOKUP(G290,経験値!$A$27:$B$31,2)</f>
        <v>6400</v>
      </c>
      <c r="AN290" s="21">
        <f ca="1">VLOOKUP(G290,ビット!$G$2:$H$7,2)</f>
        <v>900</v>
      </c>
      <c r="AO290" s="98" t="s">
        <v>185</v>
      </c>
      <c r="AP290" s="97">
        <v>222010</v>
      </c>
      <c r="AQ290" s="77" t="e">
        <f ca="1">VLOOKUP($AP290,OFFSET([1]unit_skills!$A$1,0,0,COUNTA([1]unit_skills!$A:$A),MATCH("name",[1]unit_skills!$1:$1,0)-MATCH($AP$1,[1]unit_skills!$1:$1,0)+1),MATCH("name",[1]unit_skills!$1:$1,0)-MATCH($AP$1,[1]unit_skills!$1:$1,0)+1,FALSE)</f>
        <v>#VALUE!</v>
      </c>
      <c r="AR290" s="77" t="e">
        <f ca="1">VLOOKUP($AP290,OFFSET([1]unit_skills!$A$1,0,0,COUNTA([1]unit_skills!$A:$A),MATCH("comment",[1]unit_skills!$1:$1,0)-MATCH($AP$1,[1]unit_skills!$1:$1,0)+1),MATCH("comment",[1]unit_skills!$1:$1,0)-MATCH($AP$1,[1]unit_skills!$1:$1,0)+1,FALSE)</f>
        <v>#VALUE!</v>
      </c>
      <c r="AS290" s="77" t="e">
        <f ca="1">VLOOKUP($AP290,OFFSET([1]unit_skills!$A$1,0,0,COUNTA([1]unit_skills!$A:$A),MATCH(AS$1,[1]unit_skills!$1:$1,0)-MATCH($AP$1,[1]unit_skills!$1:$1,0)+1),MATCH(AS$1,[1]unit_skills!$1:$1,0)-MATCH($AP$1,[1]unit_skills!$1:$1,0)+1,FALSE)</f>
        <v>#VALUE!</v>
      </c>
      <c r="AT290" s="53">
        <v>144009</v>
      </c>
      <c r="AU290" s="77" t="e">
        <f ca="1">VLOOKUP($AT290,OFFSET([1]crash_skills!$A$1,0,0,COUNTA([1]crash_skills!$A:$A),MATCH("name",[1]crash_skills!$1:$1,0)-MATCH($AT$1,[1]crash_skills!$1:$1,0)+1),MATCH("name",[1]crash_skills!$1:$1,0)-MATCH($AT$1,[1]crash_skills!$1:$1,0)+1,FALSE)</f>
        <v>#VALUE!</v>
      </c>
      <c r="AV290" s="77" t="e">
        <f ca="1">VLOOKUP($AT290,OFFSET([1]crash_skills!$A$1,0,0,COUNTA([1]crash_skills!$A:$A),MATCH("comment",[1]crash_skills!$1:$1,0)-MATCH($AT$1,[1]crash_skills!$1:$1,0)+1),MATCH("comment",[1]crash_skills!$1:$1,0)-MATCH($AT$1,[1]crash_skills!$1:$1,0)+1,FALSE)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90" s="77" t="e">
        <f ca="1">VLOOKUP($AT290,OFFSET([1]crash_skills!$A$1,0,0,COUNTA([1]crash_skills!$A:$A),MATCH(AW$1,[1]crash_skills!$1:$1,0)-MATCH($AT$1,[1]crash_skills!$1:$1,0)+1),MATCH(AW$1,[1]crash_skills!$1:$1,0)-MATCH($AT$1,[1]crash_skills!$1:$1,0)+1,FALSE)</f>
        <v>#VALUE!</v>
      </c>
      <c r="AX290" s="81">
        <f ca="1">VLOOKUP($A290,OFFSET([2]characters!$A$1,0,0,COUNTA([2]characters!$A:$A),MATCH(AX$1,[2]characters!$1:$1,0)-MATCH($A$1,[2]characters!$1:$1,0)+1),MATCH(AX$1,[2]characters!$1:$1,0)-MATCH($A$1,[2]characters!$1:$1,0)+1,FALSE)</f>
        <v>3</v>
      </c>
      <c r="AY290" s="19">
        <v>1</v>
      </c>
      <c r="AZ290" s="19">
        <v>1</v>
      </c>
      <c r="BA290" s="19">
        <v>0</v>
      </c>
      <c r="BB290" s="19">
        <v>1</v>
      </c>
      <c r="BC290" s="14">
        <f ca="1">INDEX('RC6SV'!$A$1:$G$20,MATCH(H290,'RC6SV'!$A$1:$A$20,FALSE),MATCH(G290,'RC6SV'!$A$1:$G$1,FALSE))</f>
        <v>7600</v>
      </c>
      <c r="BD290" s="63">
        <f t="shared" ca="1" si="32"/>
        <v>7600</v>
      </c>
      <c r="BE290" s="14">
        <f t="shared" ca="1" si="33"/>
        <v>5800</v>
      </c>
      <c r="BF290" s="14">
        <f t="shared" ca="1" si="34"/>
        <v>1</v>
      </c>
      <c r="BG290" s="20">
        <f ca="1">IF($BE290&lt;=0,ROUND(BK290*0.5,0), ROUND($BE290*S290*AA290*J290*AY290*0.8*[2]ステータス!$B$2,0))</f>
        <v>2137</v>
      </c>
      <c r="BH290" s="20">
        <f ca="1">IF($BE290&lt;=0,ROUND(BL290*0.5,0), ROUND($BE290*T290*AB290*K290*AZ290*0.8*[2]ステータス!$C$2,0))</f>
        <v>1392</v>
      </c>
      <c r="BI290" s="20">
        <f ca="1">IF($BE290&lt;=0,ROUND(BM290*0.5,0), ROUND($BE290*U290*AC290*L290*BA290*0.8*[2]ステータス!$D$2,0))</f>
        <v>0</v>
      </c>
      <c r="BJ290" s="20">
        <f ca="1">IF($BE290&lt;=0,ROUND(BN290*0.5,0), ROUND($BE290*V290*AD290*M290*BB290*0.8*[2]ステータス!$E$2,0))</f>
        <v>1254</v>
      </c>
      <c r="BK290" s="14">
        <f ca="1">ROUND(BD290*S290*AA290*J290*AY290*[2]ステータス!$B$2,0)</f>
        <v>3501</v>
      </c>
      <c r="BL290" s="14">
        <f ca="1">ROUND(BD290*T290*AB290*K290*AZ290*[2]ステータス!$C$2,0)</f>
        <v>2280</v>
      </c>
      <c r="BM290" s="14">
        <f ca="1">ROUND(BD290*U290*AC290*L290*BA290*[2]ステータス!$D$2,0)</f>
        <v>0</v>
      </c>
      <c r="BN290" s="14">
        <f ca="1">ROUND(BD290*V290*AD290*M290*BB290*[2]ステータス!$E$2,0)</f>
        <v>2053</v>
      </c>
      <c r="BO290" s="13">
        <v>0</v>
      </c>
      <c r="BP290" s="13">
        <v>1</v>
      </c>
      <c r="BQ290" s="13" t="s">
        <v>102</v>
      </c>
      <c r="BR290" s="13">
        <f ca="1">VLOOKUP(H290,ghosts_label!$A$2:$B$19,2,FALSE)</f>
        <v>1</v>
      </c>
    </row>
    <row r="291" spans="1:70" ht="21" customHeight="1" x14ac:dyDescent="0.15">
      <c r="A291" s="14">
        <f t="shared" ca="1" si="29"/>
        <v>290</v>
      </c>
      <c r="B291" s="77" t="str">
        <f ca="1">VLOOKUP($A291,OFFSET([2]characters!$A$1,0,0,COUNTA([2]characters!$A:$A),MATCH(B$1,[2]characters!$1:$1,0)-MATCH($A$1,[2]characters!$1:$1,0)+1),MATCH(B$1,[2]characters!$1:$1,0)-MATCH($A$1,[2]characters!$1:$1,0)+1,FALSE)</f>
        <v>ウィッチ・オクトパス</v>
      </c>
      <c r="C291" s="77" t="str">
        <f ca="1">VLOOKUP($A291,OFFSET([2]characters!$A$1,0,0,COUNTA([2]characters!$A:$A),MATCH(C$1,[2]characters!$1:$1,0)-MATCH($A$1,[2]characters!$1:$1,0)+1),MATCH(C$1,[2]characters!$1:$1,0)-MATCH($A$1,[2]characters!$1:$1,0)+1,FALSE)</f>
        <v>イベント:アリスの絵本01</v>
      </c>
      <c r="D291" s="77" t="str">
        <f ca="1">VLOOKUP($A291,OFFSET([2]characters!$A$1,0,0,COUNTA([2]characters!$A:$A),MATCH(D$1,[2]characters!$1:$1,0)-MATCH($A$1,[2]characters!$1:$1,0)+1),MATCH(D$1,[2]characters!$1:$1,0)-MATCH($A$1,[2]characters!$1:$1,0)+1,FALSE)</f>
        <v>アバター</v>
      </c>
      <c r="E291" s="77" t="str">
        <f ca="1">VLOOKUP($A291,OFFSET([2]characters!$A$1,0,0,COUNTA([2]characters!$A:$A),MATCH(E$1,[2]characters!$1:$1,0)-MATCH($A$1,[2]characters!$1:$1,0)+1),MATCH(E$1,[2]characters!$1:$1,0)-MATCH($A$1,[2]characters!$1:$1,0)+1,FALSE)</f>
        <v>可愛い</v>
      </c>
      <c r="F291" s="77" t="str">
        <f ca="1">VLOOKUP($A291,OFFSET([2]characters!$A$1,0,0,COUNTA([2]characters!$A:$A),MATCH(F$1,[2]characters!$1:$1,0)-MATCH($A$1,[2]characters!$1:$1,0)+1),MATCH(F$1,[2]characters!$1:$1,0)-MATCH($A$1,[2]characters!$1:$1,0)+1,FALSE)</f>
        <v>女性</v>
      </c>
      <c r="G291" s="77">
        <f ca="1">VLOOKUP($A291,OFFSET([2]characters!$A$1,0,0,COUNTA([2]characters!$A:$A),MATCH(G$1,[2]characters!$1:$1,0)-MATCH($A$1,[2]characters!$1:$1,0)+1),MATCH(G$1,[2]characters!$1:$1,0)-MATCH($A$1,[2]characters!$1:$1,0)+1,FALSE)</f>
        <v>4</v>
      </c>
      <c r="H291" s="77" t="str">
        <f ca="1">VLOOKUP($A291,OFFSET([2]characters!$A$1,0,0,COUNTA([2]characters!$A:$A),MATCH(H$1,[2]characters!$1:$1,0)-MATCH($A$1,[2]characters!$1:$1,0)+1),MATCH(H$1,[2]characters!$1:$1,0)-MATCH($A$1,[2]characters!$1:$1,0)+1,FALSE)</f>
        <v>Drop2N</v>
      </c>
      <c r="I291" s="77" t="str">
        <f ca="1">VLOOKUP($A291,OFFSET([2]characters!$A$1,0,0,COUNTA([2]characters!$A:$A),MATCH(I$1,[2]characters!$1:$1,0)-MATCH($A$1,[2]characters!$1:$1,0)+1),MATCH(I$1,[2]characters!$1:$1,0)-MATCH($A$1,[2]characters!$1:$1,0)+1,FALSE)</f>
        <v>red</v>
      </c>
      <c r="J291" s="14">
        <f ca="1">VLOOKUP(I291,[2]属性!$A:$E,2,FALSE)</f>
        <v>1</v>
      </c>
      <c r="K291" s="14">
        <f ca="1">VLOOKUP(I291,[2]属性!$A:$E,3,FALSE)</f>
        <v>1.02</v>
      </c>
      <c r="L291" s="14">
        <f ca="1">VLOOKUP(I291,[2]属性!$A:$E,4,FALSE)</f>
        <v>1</v>
      </c>
      <c r="M291" s="14">
        <f ca="1">VLOOKUP(I291,[2]属性!$A:$E,5,FALSE)</f>
        <v>0.98</v>
      </c>
      <c r="N291" s="14">
        <f ca="1">INDEX(コスト!$A$1:$I$20,MATCH(H291,コスト!$A$1:$A$20,FALSE),MATCH(G291,コスト!$A$1:$I$1,FALSE))</f>
        <v>17</v>
      </c>
      <c r="O291" s="14">
        <f ca="1">INDEX(レベル!$A$1:$I$21,MATCH(H291,レベル!$A$1:$A$21,FALSE),MATCH(G291,レベル!$A$1:$I$1,FALSE))</f>
        <v>60</v>
      </c>
      <c r="P291" s="63">
        <f t="shared" ca="1" si="35"/>
        <v>60</v>
      </c>
      <c r="Q291" s="77" t="str">
        <f ca="1">VLOOKUP($A291,OFFSET([2]characters!$A$1,0,0,COUNTA([2]characters!$A:$A),MATCH(Q$1,[2]characters!$1:$1,0)-MATCH($A$1,[2]characters!$1:$1,0)+1),MATCH(Q$1,[2]characters!$1:$1,0)-MATCH($A$1,[2]characters!$1:$1,0)+1,FALSE)</f>
        <v>technical</v>
      </c>
      <c r="R291" s="8" t="str">
        <f ca="1">VLOOKUP(Q291,[2]character_type_i18n!$A:$H,3,FALSE)</f>
        <v>テクニカルタイプ</v>
      </c>
      <c r="S291" s="14">
        <f ca="1">VLOOKUP(Q291,[2]character_type_i18n!$A:$H,4,FALSE)</f>
        <v>0.9</v>
      </c>
      <c r="T291" s="14">
        <f ca="1">VLOOKUP(Q291,[2]character_type_i18n!$A:$H,5,FALSE)</f>
        <v>0.9</v>
      </c>
      <c r="U291" s="14">
        <f ca="1">VLOOKUP(Q291,[2]character_type_i18n!$A:$H,6,FALSE)</f>
        <v>1</v>
      </c>
      <c r="V291" s="14">
        <f ca="1">VLOOKUP(Q291,[2]character_type_i18n!$A:$H,7,FALSE)</f>
        <v>0.9</v>
      </c>
      <c r="W291" s="77" t="str">
        <f ca="1">VLOOKUP($A291,OFFSET([2]characters!$A$1,0,0,COUNTA([2]characters!$A:$A),MATCH(W$1,[2]characters!$1:$1,0)-MATCH($A$1,[2]characters!$1:$1,0)+1),MATCH(W$1,[2]characters!$1:$1,0)-MATCH($A$1,[2]characters!$1:$1,0)+1,FALSE)</f>
        <v>human</v>
      </c>
      <c r="X291" s="8" t="str">
        <f ca="1">VLOOKUP(W291,[2]character_tribe_i18n!$A:$H,3,FALSE)</f>
        <v>ヒューマン</v>
      </c>
      <c r="Y291" s="77" t="str">
        <f ca="1">VLOOKUP($A291,OFFSET([2]characters!$A$1,0,0,COUNTA([2]characters!$A:$A),MATCH(Y$1,[2]characters!$1:$1,0)-MATCH($A$1,[2]characters!$1:$1,0)+1),MATCH(Y$1,[2]characters!$1:$1,0)-MATCH($A$1,[2]characters!$1:$1,0)+1,FALSE)</f>
        <v>none</v>
      </c>
      <c r="Z291" s="8" t="str">
        <f ca="1">VLOOKUP(Y291,[2]character_tribe_i18n!$A:$H,3,FALSE)</f>
        <v>種族なし</v>
      </c>
      <c r="AA291" s="14">
        <f ca="1">VLOOKUP(W291,[2]character_tribe_i18n!$A:$H,4,FALSE)</f>
        <v>0.94</v>
      </c>
      <c r="AB291" s="14">
        <f ca="1">VLOOKUP(W291,[2]character_tribe_i18n!$A:$H,5,FALSE)</f>
        <v>0.99</v>
      </c>
      <c r="AC291" s="14">
        <f ca="1">VLOOKUP(W291,[2]character_tribe_i18n!$A:$H,6,FALSE)</f>
        <v>1</v>
      </c>
      <c r="AD291" s="14">
        <f ca="1">VLOOKUP(W291,[2]character_tribe_i18n!$A:$H,7,FALSE)</f>
        <v>1.07</v>
      </c>
      <c r="AE291" s="12">
        <v>291</v>
      </c>
      <c r="AF291" s="85" t="str">
        <f ca="1">IF(AE291="NULL","",VLOOKUP($AE291,OFFSET([2]characters!$A$1,0,0,COUNTA([2]characters!$A:$A),MATCH(AF$1,[2]characters!$1:$1,0)-MATCH($A$1,[2]characters!$1:$1,0)+1),MATCH(AF$1,[2]characters!$1:$1,0)-MATCH($A$1,[2]characters!$1:$1,0)+1,FALSE))</f>
        <v>魔改造のウィッチ・オクトパス</v>
      </c>
      <c r="AG291" s="8">
        <f t="shared" ca="1" si="30"/>
        <v>290</v>
      </c>
      <c r="AH291" s="85" t="str">
        <f ca="1">VLOOKUP($AG291,OFFSET([2]characters!$A$1,0,0,COUNTA([2]characters!$A:$A),MATCH(AH$1,[2]characters!$1:$1,0)-MATCH($A$1,[2]characters!$1:$1,0)+1),MATCH(AH$1,[2]characters!$1:$1,0)-MATCH($A$1,[2]characters!$1:$1,0)+1,FALSE)</f>
        <v>ウィッチ・オクトパス</v>
      </c>
      <c r="AI291" s="14">
        <f ca="1">IF(AE291="NULL","NULL",VLOOKUP(G291,ビット!$A$2:$B$7,2))</f>
        <v>50000</v>
      </c>
      <c r="AJ291" s="9">
        <v>2</v>
      </c>
      <c r="AK291" s="10" t="str">
        <f t="shared" si="31"/>
        <v>普通</v>
      </c>
      <c r="AL291" s="14" t="str">
        <f ca="1">INDEX(経験値!$A$1:$I$20,MATCH(H291,経験値!$A$1:$A$20,FALSE),MATCH(G291,経験値!$A$1:$I$1,FALSE))</f>
        <v>required_exp_200</v>
      </c>
      <c r="AM291" s="11">
        <f ca="1">VLOOKUP(G291,経験値!$A$27:$B$31,2)</f>
        <v>3400</v>
      </c>
      <c r="AN291" s="21">
        <f ca="1">VLOOKUP(G291,ビット!$G$2:$H$7,2)</f>
        <v>600</v>
      </c>
      <c r="AO291" s="98" t="s">
        <v>185</v>
      </c>
      <c r="AP291" s="97">
        <v>430010</v>
      </c>
      <c r="AQ291" s="77" t="e">
        <f ca="1">VLOOKUP($AP291,OFFSET([1]unit_skills!$A$1,0,0,COUNTA([1]unit_skills!$A:$A),MATCH("name",[1]unit_skills!$1:$1,0)-MATCH($AP$1,[1]unit_skills!$1:$1,0)+1),MATCH("name",[1]unit_skills!$1:$1,0)-MATCH($AP$1,[1]unit_skills!$1:$1,0)+1,FALSE)</f>
        <v>#VALUE!</v>
      </c>
      <c r="AR291" s="77" t="e">
        <f ca="1">VLOOKUP($AP291,OFFSET([1]unit_skills!$A$1,0,0,COUNTA([1]unit_skills!$A:$A),MATCH("comment",[1]unit_skills!$1:$1,0)-MATCH($AP$1,[1]unit_skills!$1:$1,0)+1),MATCH("comment",[1]unit_skills!$1:$1,0)-MATCH($AP$1,[1]unit_skills!$1:$1,0)+1,FALSE)</f>
        <v>#VALUE!</v>
      </c>
      <c r="AS291" s="77" t="e">
        <f ca="1">VLOOKUP($AP291,OFFSET([1]unit_skills!$A$1,0,0,COUNTA([1]unit_skills!$A:$A),MATCH(AS$1,[1]unit_skills!$1:$1,0)-MATCH($AP$1,[1]unit_skills!$1:$1,0)+1),MATCH(AS$1,[1]unit_skills!$1:$1,0)-MATCH($AP$1,[1]unit_skills!$1:$1,0)+1,FALSE)</f>
        <v>#VALUE!</v>
      </c>
      <c r="AT291" s="97">
        <v>310001</v>
      </c>
      <c r="AU291" s="77" t="e">
        <f ca="1">VLOOKUP($AT291,OFFSET([1]crash_skills!$A$1,0,0,COUNTA([1]crash_skills!$A:$A),MATCH("name",[1]crash_skills!$1:$1,0)-MATCH($AT$1,[1]crash_skills!$1:$1,0)+1),MATCH("name",[1]crash_skills!$1:$1,0)-MATCH($AT$1,[1]crash_skills!$1:$1,0)+1,FALSE)</f>
        <v>#VALUE!</v>
      </c>
      <c r="AV291" s="77" t="e">
        <f ca="1">VLOOKUP($AT291,OFFSET([1]crash_skills!$A$1,0,0,COUNTA([1]crash_skills!$A:$A),MATCH("comment",[1]crash_skills!$1:$1,0)-MATCH($AT$1,[1]crash_skills!$1:$1,0)+1),MATCH("comment",[1]crash_skills!$1:$1,0)-MATCH($AT$1,[1]crash_skills!$1:$1,0)+1,FALSE)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91" s="77" t="e">
        <f ca="1">VLOOKUP($AT291,OFFSET([1]crash_skills!$A$1,0,0,COUNTA([1]crash_skills!$A:$A),MATCH(AW$1,[1]crash_skills!$1:$1,0)-MATCH($AT$1,[1]crash_skills!$1:$1,0)+1),MATCH(AW$1,[1]crash_skills!$1:$1,0)-MATCH($AT$1,[1]crash_skills!$1:$1,0)+1,FALSE)</f>
        <v>#VALUE!</v>
      </c>
      <c r="AX291" s="81">
        <f ca="1">VLOOKUP($A291,OFFSET([2]characters!$A$1,0,0,COUNTA([2]characters!$A:$A),MATCH(AX$1,[2]characters!$1:$1,0)-MATCH($A$1,[2]characters!$1:$1,0)+1),MATCH(AX$1,[2]characters!$1:$1,0)-MATCH($A$1,[2]characters!$1:$1,0)+1,FALSE)</f>
        <v>3</v>
      </c>
      <c r="AY291" s="19">
        <v>1</v>
      </c>
      <c r="AZ291" s="19">
        <v>1</v>
      </c>
      <c r="BA291" s="19">
        <v>0</v>
      </c>
      <c r="BB291" s="19">
        <v>1</v>
      </c>
      <c r="BC291" s="14">
        <f ca="1">INDEX('RC6SV'!$A$1:$G$20,MATCH(H291,'RC6SV'!$A$1:$A$20,FALSE),MATCH(G291,'RC6SV'!$A$1:$G$1,FALSE))</f>
        <v>5800</v>
      </c>
      <c r="BD291" s="63">
        <f t="shared" ca="1" si="32"/>
        <v>5800</v>
      </c>
      <c r="BE291" s="14">
        <f t="shared" ca="1" si="33"/>
        <v>0</v>
      </c>
      <c r="BF291" s="14">
        <f t="shared" ca="1" si="34"/>
        <v>1</v>
      </c>
      <c r="BG291" s="20">
        <f ca="1">IF($BE291&lt;=0,ROUND(BK291*0.5,0), ROUND($BE291*S291*AA291*J291*AY291*0.8*[2]ステータス!$B$2,0))</f>
        <v>1227</v>
      </c>
      <c r="BH291" s="20">
        <f ca="1">IF($BE291&lt;=0,ROUND(BL291*0.5,0), ROUND($BE291*T291*AB291*K291*AZ291*0.8*[2]ステータス!$C$2,0))</f>
        <v>791</v>
      </c>
      <c r="BI291" s="20">
        <f ca="1">IF($BE291&lt;=0,ROUND(BM291*0.5,0), ROUND($BE291*U291*AC291*L291*BA291*0.8*[2]ステータス!$D$2,0))</f>
        <v>0</v>
      </c>
      <c r="BJ291" s="20">
        <f ca="1">IF($BE291&lt;=0,ROUND(BN291*0.5,0), ROUND($BE291*V291*AD291*M291*BB291*0.8*[2]ステータス!$E$2,0))</f>
        <v>684</v>
      </c>
      <c r="BK291" s="14">
        <f ca="1">ROUND(BD291*S291*AA291*J291*AY291*[2]ステータス!$B$2,0)</f>
        <v>2453</v>
      </c>
      <c r="BL291" s="14">
        <f ca="1">ROUND(BD291*T291*AB291*K291*AZ291*[2]ステータス!$C$2,0)</f>
        <v>1581</v>
      </c>
      <c r="BM291" s="14">
        <f ca="1">ROUND(BD291*U291*AC291*L291*BA291*[2]ステータス!$D$2,0)</f>
        <v>0</v>
      </c>
      <c r="BN291" s="14">
        <f ca="1">ROUND(BD291*V291*AD291*M291*BB291*[2]ステータス!$E$2,0)</f>
        <v>1368</v>
      </c>
      <c r="BO291" s="13">
        <v>0</v>
      </c>
      <c r="BP291" s="13">
        <v>1</v>
      </c>
      <c r="BQ291" s="13" t="s">
        <v>102</v>
      </c>
      <c r="BR291" s="13">
        <f ca="1">VLOOKUP(H291,ghosts_label!$A$2:$B$19,2,FALSE)</f>
        <v>1</v>
      </c>
    </row>
    <row r="292" spans="1:70" ht="21" customHeight="1" x14ac:dyDescent="0.15">
      <c r="A292" s="14">
        <f t="shared" ca="1" si="29"/>
        <v>291</v>
      </c>
      <c r="B292" s="77" t="str">
        <f ca="1">VLOOKUP($A292,OFFSET([2]characters!$A$1,0,0,COUNTA([2]characters!$A:$A),MATCH(B$1,[2]characters!$1:$1,0)-MATCH($A$1,[2]characters!$1:$1,0)+1),MATCH(B$1,[2]characters!$1:$1,0)-MATCH($A$1,[2]characters!$1:$1,0)+1,FALSE)</f>
        <v>魔改造のウィッチ・オクトパス</v>
      </c>
      <c r="C292" s="77" t="str">
        <f ca="1">VLOOKUP($A292,OFFSET([2]characters!$A$1,0,0,COUNTA([2]characters!$A:$A),MATCH(C$1,[2]characters!$1:$1,0)-MATCH($A$1,[2]characters!$1:$1,0)+1),MATCH(C$1,[2]characters!$1:$1,0)-MATCH($A$1,[2]characters!$1:$1,0)+1,FALSE)</f>
        <v>イベント:アリスの絵本01</v>
      </c>
      <c r="D292" s="77" t="str">
        <f ca="1">VLOOKUP($A292,OFFSET([2]characters!$A$1,0,0,COUNTA([2]characters!$A:$A),MATCH(D$1,[2]characters!$1:$1,0)-MATCH($A$1,[2]characters!$1:$1,0)+1),MATCH(D$1,[2]characters!$1:$1,0)-MATCH($A$1,[2]characters!$1:$1,0)+1,FALSE)</f>
        <v>アバター</v>
      </c>
      <c r="E292" s="77" t="str">
        <f ca="1">VLOOKUP($A292,OFFSET([2]characters!$A$1,0,0,COUNTA([2]characters!$A:$A),MATCH(E$1,[2]characters!$1:$1,0)-MATCH($A$1,[2]characters!$1:$1,0)+1),MATCH(E$1,[2]characters!$1:$1,0)-MATCH($A$1,[2]characters!$1:$1,0)+1,FALSE)</f>
        <v>可愛い</v>
      </c>
      <c r="F292" s="77" t="str">
        <f ca="1">VLOOKUP($A292,OFFSET([2]characters!$A$1,0,0,COUNTA([2]characters!$A:$A),MATCH(F$1,[2]characters!$1:$1,0)-MATCH($A$1,[2]characters!$1:$1,0)+1),MATCH(F$1,[2]characters!$1:$1,0)-MATCH($A$1,[2]characters!$1:$1,0)+1,FALSE)</f>
        <v>女性</v>
      </c>
      <c r="G292" s="77">
        <f ca="1">VLOOKUP($A292,OFFSET([2]characters!$A$1,0,0,COUNTA([2]characters!$A:$A),MATCH(G$1,[2]characters!$1:$1,0)-MATCH($A$1,[2]characters!$1:$1,0)+1),MATCH(G$1,[2]characters!$1:$1,0)-MATCH($A$1,[2]characters!$1:$1,0)+1,FALSE)</f>
        <v>5</v>
      </c>
      <c r="H292" s="77" t="str">
        <f ca="1">VLOOKUP($A292,OFFSET([2]characters!$A$1,0,0,COUNTA([2]characters!$A:$A),MATCH(H$1,[2]characters!$1:$1,0)-MATCH($A$1,[2]characters!$1:$1,0)+1),MATCH(H$1,[2]characters!$1:$1,0)-MATCH($A$1,[2]characters!$1:$1,0)+1,FALSE)</f>
        <v>Drop2N</v>
      </c>
      <c r="I292" s="77" t="str">
        <f ca="1">VLOOKUP($A292,OFFSET([2]characters!$A$1,0,0,COUNTA([2]characters!$A:$A),MATCH(I$1,[2]characters!$1:$1,0)-MATCH($A$1,[2]characters!$1:$1,0)+1),MATCH(I$1,[2]characters!$1:$1,0)-MATCH($A$1,[2]characters!$1:$1,0)+1,FALSE)</f>
        <v>red</v>
      </c>
      <c r="J292" s="14">
        <f ca="1">VLOOKUP(I292,[2]属性!$A:$E,2,FALSE)</f>
        <v>1</v>
      </c>
      <c r="K292" s="14">
        <f ca="1">VLOOKUP(I292,[2]属性!$A:$E,3,FALSE)</f>
        <v>1.02</v>
      </c>
      <c r="L292" s="14">
        <f ca="1">VLOOKUP(I292,[2]属性!$A:$E,4,FALSE)</f>
        <v>1</v>
      </c>
      <c r="M292" s="14">
        <f ca="1">VLOOKUP(I292,[2]属性!$A:$E,5,FALSE)</f>
        <v>0.98</v>
      </c>
      <c r="N292" s="14">
        <f ca="1">INDEX(コスト!$A$1:$I$20,MATCH(H292,コスト!$A$1:$A$20,FALSE),MATCH(G292,コスト!$A$1:$I$1,FALSE))</f>
        <v>26</v>
      </c>
      <c r="O292" s="14">
        <f ca="1">INDEX(レベル!$A$1:$I$21,MATCH(H292,レベル!$A$1:$A$21,FALSE),MATCH(G292,レベル!$A$1:$I$1,FALSE))</f>
        <v>80</v>
      </c>
      <c r="P292" s="63">
        <f t="shared" ca="1" si="35"/>
        <v>75</v>
      </c>
      <c r="Q292" s="77" t="str">
        <f ca="1">VLOOKUP($A292,OFFSET([2]characters!$A$1,0,0,COUNTA([2]characters!$A:$A),MATCH(Q$1,[2]characters!$1:$1,0)-MATCH($A$1,[2]characters!$1:$1,0)+1),MATCH(Q$1,[2]characters!$1:$1,0)-MATCH($A$1,[2]characters!$1:$1,0)+1,FALSE)</f>
        <v>technical</v>
      </c>
      <c r="R292" s="8" t="str">
        <f ca="1">VLOOKUP(Q292,[2]character_type_i18n!$A:$H,3,FALSE)</f>
        <v>テクニカルタイプ</v>
      </c>
      <c r="S292" s="14">
        <f ca="1">VLOOKUP(Q292,[2]character_type_i18n!$A:$H,4,FALSE)</f>
        <v>0.9</v>
      </c>
      <c r="T292" s="14">
        <f ca="1">VLOOKUP(Q292,[2]character_type_i18n!$A:$H,5,FALSE)</f>
        <v>0.9</v>
      </c>
      <c r="U292" s="14">
        <f ca="1">VLOOKUP(Q292,[2]character_type_i18n!$A:$H,6,FALSE)</f>
        <v>1</v>
      </c>
      <c r="V292" s="14">
        <f ca="1">VLOOKUP(Q292,[2]character_type_i18n!$A:$H,7,FALSE)</f>
        <v>0.9</v>
      </c>
      <c r="W292" s="77" t="str">
        <f ca="1">VLOOKUP($A292,OFFSET([2]characters!$A$1,0,0,COUNTA([2]characters!$A:$A),MATCH(W$1,[2]characters!$1:$1,0)-MATCH($A$1,[2]characters!$1:$1,0)+1),MATCH(W$1,[2]characters!$1:$1,0)-MATCH($A$1,[2]characters!$1:$1,0)+1,FALSE)</f>
        <v>human</v>
      </c>
      <c r="X292" s="8" t="str">
        <f ca="1">VLOOKUP(W292,[2]character_tribe_i18n!$A:$H,3,FALSE)</f>
        <v>ヒューマン</v>
      </c>
      <c r="Y292" s="77" t="str">
        <f ca="1">VLOOKUP($A292,OFFSET([2]characters!$A$1,0,0,COUNTA([2]characters!$A:$A),MATCH(Y$1,[2]characters!$1:$1,0)-MATCH($A$1,[2]characters!$1:$1,0)+1),MATCH(Y$1,[2]characters!$1:$1,0)-MATCH($A$1,[2]characters!$1:$1,0)+1,FALSE)</f>
        <v>none</v>
      </c>
      <c r="Z292" s="8" t="str">
        <f ca="1">VLOOKUP(Y292,[2]character_tribe_i18n!$A:$H,3,FALSE)</f>
        <v>種族なし</v>
      </c>
      <c r="AA292" s="14">
        <f ca="1">VLOOKUP(W292,[2]character_tribe_i18n!$A:$H,4,FALSE)</f>
        <v>0.94</v>
      </c>
      <c r="AB292" s="14">
        <f ca="1">VLOOKUP(W292,[2]character_tribe_i18n!$A:$H,5,FALSE)</f>
        <v>0.99</v>
      </c>
      <c r="AC292" s="14">
        <f ca="1">VLOOKUP(W292,[2]character_tribe_i18n!$A:$H,6,FALSE)</f>
        <v>1</v>
      </c>
      <c r="AD292" s="14">
        <f ca="1">VLOOKUP(W292,[2]character_tribe_i18n!$A:$H,7,FALSE)</f>
        <v>1.07</v>
      </c>
      <c r="AE292" s="12" t="s">
        <v>102</v>
      </c>
      <c r="AF292" s="85" t="str">
        <f ca="1">IF(AE292="NULL","",VLOOKUP($AE292,OFFSET([2]characters!$A$1,0,0,COUNTA([2]characters!$A:$A),MATCH(AF$1,[2]characters!$1:$1,0)-MATCH($A$1,[2]characters!$1:$1,0)+1),MATCH(AF$1,[2]characters!$1:$1,0)-MATCH($A$1,[2]characters!$1:$1,0)+1,FALSE))</f>
        <v/>
      </c>
      <c r="AG292" s="8">
        <f t="shared" ca="1" si="30"/>
        <v>290</v>
      </c>
      <c r="AH292" s="85" t="str">
        <f ca="1">VLOOKUP($AG292,OFFSET([2]characters!$A$1,0,0,COUNTA([2]characters!$A:$A),MATCH(AH$1,[2]characters!$1:$1,0)-MATCH($A$1,[2]characters!$1:$1,0)+1),MATCH(AH$1,[2]characters!$1:$1,0)-MATCH($A$1,[2]characters!$1:$1,0)+1,FALSE)</f>
        <v>ウィッチ・オクトパス</v>
      </c>
      <c r="AI292" s="14" t="str">
        <f>IF(AE292="NULL","NULL",VLOOKUP(G292,ビット!$A$2:$B$7,2))</f>
        <v>NULL</v>
      </c>
      <c r="AJ292" s="9">
        <v>2</v>
      </c>
      <c r="AK292" s="10" t="str">
        <f t="shared" si="31"/>
        <v>普通</v>
      </c>
      <c r="AL292" s="14" t="str">
        <f ca="1">INDEX(経験値!$A$1:$I$20,MATCH(H292,経験値!$A$1:$A$20,FALSE),MATCH(G292,経験値!$A$1:$I$1,FALSE))</f>
        <v>required_exp_200</v>
      </c>
      <c r="AM292" s="11">
        <f ca="1">VLOOKUP(G292,経験値!$A$27:$B$31,2)</f>
        <v>6400</v>
      </c>
      <c r="AN292" s="21">
        <f ca="1">VLOOKUP(G292,ビット!$G$2:$H$7,2)</f>
        <v>900</v>
      </c>
      <c r="AO292" s="98" t="s">
        <v>185</v>
      </c>
      <c r="AP292" s="97">
        <v>430011</v>
      </c>
      <c r="AQ292" s="77" t="e">
        <f ca="1">VLOOKUP($AP292,OFFSET([1]unit_skills!$A$1,0,0,COUNTA([1]unit_skills!$A:$A),MATCH("name",[1]unit_skills!$1:$1,0)-MATCH($AP$1,[1]unit_skills!$1:$1,0)+1),MATCH("name",[1]unit_skills!$1:$1,0)-MATCH($AP$1,[1]unit_skills!$1:$1,0)+1,FALSE)</f>
        <v>#VALUE!</v>
      </c>
      <c r="AR292" s="77" t="e">
        <f ca="1">VLOOKUP($AP292,OFFSET([1]unit_skills!$A$1,0,0,COUNTA([1]unit_skills!$A:$A),MATCH("comment",[1]unit_skills!$1:$1,0)-MATCH($AP$1,[1]unit_skills!$1:$1,0)+1),MATCH("comment",[1]unit_skills!$1:$1,0)-MATCH($AP$1,[1]unit_skills!$1:$1,0)+1,FALSE)</f>
        <v>#VALUE!</v>
      </c>
      <c r="AS292" s="77" t="e">
        <f ca="1">VLOOKUP($AP292,OFFSET([1]unit_skills!$A$1,0,0,COUNTA([1]unit_skills!$A:$A),MATCH(AS$1,[1]unit_skills!$1:$1,0)-MATCH($AP$1,[1]unit_skills!$1:$1,0)+1),MATCH(AS$1,[1]unit_skills!$1:$1,0)-MATCH($AP$1,[1]unit_skills!$1:$1,0)+1,FALSE)</f>
        <v>#VALUE!</v>
      </c>
      <c r="AT292" s="97">
        <v>310005</v>
      </c>
      <c r="AU292" s="77" t="e">
        <f ca="1">VLOOKUP($AT292,OFFSET([1]crash_skills!$A$1,0,0,COUNTA([1]crash_skills!$A:$A),MATCH("name",[1]crash_skills!$1:$1,0)-MATCH($AT$1,[1]crash_skills!$1:$1,0)+1),MATCH("name",[1]crash_skills!$1:$1,0)-MATCH($AT$1,[1]crash_skills!$1:$1,0)+1,FALSE)</f>
        <v>#VALUE!</v>
      </c>
      <c r="AV292" s="77" t="e">
        <f ca="1">VLOOKUP($AT292,OFFSET([1]crash_skills!$A$1,0,0,COUNTA([1]crash_skills!$A:$A),MATCH("comment",[1]crash_skills!$1:$1,0)-MATCH($AT$1,[1]crash_skills!$1:$1,0)+1),MATCH("comment",[1]crash_skills!$1:$1,0)-MATCH($AT$1,[1]crash_skills!$1:$1,0)+1,FALSE)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92" s="77" t="e">
        <f ca="1">VLOOKUP($AT292,OFFSET([1]crash_skills!$A$1,0,0,COUNTA([1]crash_skills!$A:$A),MATCH(AW$1,[1]crash_skills!$1:$1,0)-MATCH($AT$1,[1]crash_skills!$1:$1,0)+1),MATCH(AW$1,[1]crash_skills!$1:$1,0)-MATCH($AT$1,[1]crash_skills!$1:$1,0)+1,FALSE)</f>
        <v>#VALUE!</v>
      </c>
      <c r="AX292" s="81">
        <f ca="1">VLOOKUP($A292,OFFSET([2]characters!$A$1,0,0,COUNTA([2]characters!$A:$A),MATCH(AX$1,[2]characters!$1:$1,0)-MATCH($A$1,[2]characters!$1:$1,0)+1),MATCH(AX$1,[2]characters!$1:$1,0)-MATCH($A$1,[2]characters!$1:$1,0)+1,FALSE)</f>
        <v>3</v>
      </c>
      <c r="AY292" s="19">
        <v>1</v>
      </c>
      <c r="AZ292" s="19">
        <v>1</v>
      </c>
      <c r="BA292" s="19">
        <v>0</v>
      </c>
      <c r="BB292" s="19">
        <v>1</v>
      </c>
      <c r="BC292" s="14">
        <f ca="1">INDEX('RC6SV'!$A$1:$G$20,MATCH(H292,'RC6SV'!$A$1:$A$20,FALSE),MATCH(G292,'RC6SV'!$A$1:$G$1,FALSE))</f>
        <v>7600</v>
      </c>
      <c r="BD292" s="63">
        <f t="shared" ca="1" si="32"/>
        <v>7600</v>
      </c>
      <c r="BE292" s="14">
        <f t="shared" ca="1" si="33"/>
        <v>5800</v>
      </c>
      <c r="BF292" s="14">
        <f t="shared" ca="1" si="34"/>
        <v>1</v>
      </c>
      <c r="BG292" s="20">
        <f ca="1">IF($BE292&lt;=0,ROUND(BK292*0.5,0), ROUND($BE292*S292*AA292*J292*AY292*0.8*[2]ステータス!$B$2,0))</f>
        <v>1963</v>
      </c>
      <c r="BH292" s="20">
        <f ca="1">IF($BE292&lt;=0,ROUND(BL292*0.5,0), ROUND($BE292*T292*AB292*K292*AZ292*0.8*[2]ステータス!$C$2,0))</f>
        <v>1265</v>
      </c>
      <c r="BI292" s="20">
        <f ca="1">IF($BE292&lt;=0,ROUND(BM292*0.5,0), ROUND($BE292*U292*AC292*L292*BA292*0.8*[2]ステータス!$D$2,0))</f>
        <v>0</v>
      </c>
      <c r="BJ292" s="20">
        <f ca="1">IF($BE292&lt;=0,ROUND(BN292*0.5,0), ROUND($BE292*V292*AD292*M292*BB292*0.8*[2]ステータス!$E$2,0))</f>
        <v>1095</v>
      </c>
      <c r="BK292" s="14">
        <f ca="1">ROUND(BD292*S292*AA292*J292*AY292*[2]ステータス!$B$2,0)</f>
        <v>3215</v>
      </c>
      <c r="BL292" s="14">
        <f ca="1">ROUND(BD292*T292*AB292*K292*AZ292*[2]ステータス!$C$2,0)</f>
        <v>2072</v>
      </c>
      <c r="BM292" s="14">
        <f ca="1">ROUND(BD292*U292*AC292*L292*BA292*[2]ステータス!$D$2,0)</f>
        <v>0</v>
      </c>
      <c r="BN292" s="14">
        <f ca="1">ROUND(BD292*V292*AD292*M292*BB292*[2]ステータス!$E$2,0)</f>
        <v>1793</v>
      </c>
      <c r="BO292" s="13">
        <v>0</v>
      </c>
      <c r="BP292" s="13">
        <v>1</v>
      </c>
      <c r="BQ292" s="13" t="s">
        <v>102</v>
      </c>
      <c r="BR292" s="13">
        <f ca="1">VLOOKUP(H292,ghosts_label!$A$2:$B$19,2,FALSE)</f>
        <v>1</v>
      </c>
    </row>
    <row r="293" spans="1:70" ht="21" customHeight="1" x14ac:dyDescent="0.15">
      <c r="A293" s="14">
        <f t="shared" ca="1" si="29"/>
        <v>292</v>
      </c>
      <c r="B293" s="77" t="str">
        <f ca="1">VLOOKUP($A293,OFFSET([2]characters!$A$1,0,0,COUNTA([2]characters!$A:$A),MATCH(B$1,[2]characters!$1:$1,0)-MATCH($A$1,[2]characters!$1:$1,0)+1),MATCH(B$1,[2]characters!$1:$1,0)-MATCH($A$1,[2]characters!$1:$1,0)+1,FALSE)</f>
        <v>アナスタシア</v>
      </c>
      <c r="C293" s="77" t="str">
        <f ca="1">VLOOKUP($A293,OFFSET([2]characters!$A$1,0,0,COUNTA([2]characters!$A:$A),MATCH(C$1,[2]characters!$1:$1,0)-MATCH($A$1,[2]characters!$1:$1,0)+1),MATCH(C$1,[2]characters!$1:$1,0)-MATCH($A$1,[2]characters!$1:$1,0)+1,FALSE)</f>
        <v>イベント:アリスの絵本01</v>
      </c>
      <c r="D293" s="77" t="str">
        <f ca="1">VLOOKUP($A293,OFFSET([2]characters!$A$1,0,0,COUNTA([2]characters!$A:$A),MATCH(D$1,[2]characters!$1:$1,0)-MATCH($A$1,[2]characters!$1:$1,0)+1),MATCH(D$1,[2]characters!$1:$1,0)-MATCH($A$1,[2]characters!$1:$1,0)+1,FALSE)</f>
        <v>アバター</v>
      </c>
      <c r="E293" s="77" t="str">
        <f ca="1">VLOOKUP($A293,OFFSET([2]characters!$A$1,0,0,COUNTA([2]characters!$A:$A),MATCH(E$1,[2]characters!$1:$1,0)-MATCH($A$1,[2]characters!$1:$1,0)+1),MATCH(E$1,[2]characters!$1:$1,0)-MATCH($A$1,[2]characters!$1:$1,0)+1,FALSE)</f>
        <v>美しい</v>
      </c>
      <c r="F293" s="77" t="str">
        <f ca="1">VLOOKUP($A293,OFFSET([2]characters!$A$1,0,0,COUNTA([2]characters!$A:$A),MATCH(F$1,[2]characters!$1:$1,0)-MATCH($A$1,[2]characters!$1:$1,0)+1),MATCH(F$1,[2]characters!$1:$1,0)-MATCH($A$1,[2]characters!$1:$1,0)+1,FALSE)</f>
        <v>女性</v>
      </c>
      <c r="G293" s="77">
        <f ca="1">VLOOKUP($A293,OFFSET([2]characters!$A$1,0,0,COUNTA([2]characters!$A:$A),MATCH(G$1,[2]characters!$1:$1,0)-MATCH($A$1,[2]characters!$1:$1,0)+1),MATCH(G$1,[2]characters!$1:$1,0)-MATCH($A$1,[2]characters!$1:$1,0)+1,FALSE)</f>
        <v>4</v>
      </c>
      <c r="H293" s="77" t="str">
        <f ca="1">VLOOKUP($A293,OFFSET([2]characters!$A$1,0,0,COUNTA([2]characters!$A:$A),MATCH(H$1,[2]characters!$1:$1,0)-MATCH($A$1,[2]characters!$1:$1,0)+1),MATCH(H$1,[2]characters!$1:$1,0)-MATCH($A$1,[2]characters!$1:$1,0)+1,FALSE)</f>
        <v>Drop2N</v>
      </c>
      <c r="I293" s="77" t="str">
        <f ca="1">VLOOKUP($A293,OFFSET([2]characters!$A$1,0,0,COUNTA([2]characters!$A:$A),MATCH(I$1,[2]characters!$1:$1,0)-MATCH($A$1,[2]characters!$1:$1,0)+1),MATCH(I$1,[2]characters!$1:$1,0)-MATCH($A$1,[2]characters!$1:$1,0)+1,FALSE)</f>
        <v>blue</v>
      </c>
      <c r="J293" s="14">
        <f ca="1">VLOOKUP(I293,[2]属性!$A:$E,2,FALSE)</f>
        <v>1</v>
      </c>
      <c r="K293" s="14">
        <f ca="1">VLOOKUP(I293,[2]属性!$A:$E,3,FALSE)</f>
        <v>0.98</v>
      </c>
      <c r="L293" s="14">
        <f ca="1">VLOOKUP(I293,[2]属性!$A:$E,4,FALSE)</f>
        <v>1</v>
      </c>
      <c r="M293" s="14">
        <f ca="1">VLOOKUP(I293,[2]属性!$A:$E,5,FALSE)</f>
        <v>1.02</v>
      </c>
      <c r="N293" s="14">
        <f ca="1">INDEX(コスト!$A$1:$I$20,MATCH(H293,コスト!$A$1:$A$20,FALSE),MATCH(G293,コスト!$A$1:$I$1,FALSE))</f>
        <v>17</v>
      </c>
      <c r="O293" s="14">
        <f ca="1">INDEX(レベル!$A$1:$I$21,MATCH(H293,レベル!$A$1:$A$21,FALSE),MATCH(G293,レベル!$A$1:$I$1,FALSE))</f>
        <v>60</v>
      </c>
      <c r="P293" s="63">
        <f t="shared" ca="1" si="35"/>
        <v>60</v>
      </c>
      <c r="Q293" s="77" t="str">
        <f ca="1">VLOOKUP($A293,OFFSET([2]characters!$A$1,0,0,COUNTA([2]characters!$A:$A),MATCH(Q$1,[2]characters!$1:$1,0)-MATCH($A$1,[2]characters!$1:$1,0)+1),MATCH(Q$1,[2]characters!$1:$1,0)-MATCH($A$1,[2]characters!$1:$1,0)+1,FALSE)</f>
        <v>balance</v>
      </c>
      <c r="R293" s="8" t="str">
        <f ca="1">VLOOKUP(Q293,[2]character_type_i18n!$A:$H,3,FALSE)</f>
        <v>バランスタイプ</v>
      </c>
      <c r="S293" s="14">
        <f ca="1">VLOOKUP(Q293,[2]character_type_i18n!$A:$H,4,FALSE)</f>
        <v>1</v>
      </c>
      <c r="T293" s="14">
        <f ca="1">VLOOKUP(Q293,[2]character_type_i18n!$A:$H,5,FALSE)</f>
        <v>1</v>
      </c>
      <c r="U293" s="14">
        <f ca="1">VLOOKUP(Q293,[2]character_type_i18n!$A:$H,6,FALSE)</f>
        <v>1</v>
      </c>
      <c r="V293" s="14">
        <f ca="1">VLOOKUP(Q293,[2]character_type_i18n!$A:$H,7,FALSE)</f>
        <v>1</v>
      </c>
      <c r="W293" s="77" t="str">
        <f ca="1">VLOOKUP($A293,OFFSET([2]characters!$A$1,0,0,COUNTA([2]characters!$A:$A),MATCH(W$1,[2]characters!$1:$1,0)-MATCH($A$1,[2]characters!$1:$1,0)+1),MATCH(W$1,[2]characters!$1:$1,0)-MATCH($A$1,[2]characters!$1:$1,0)+1,FALSE)</f>
        <v>human</v>
      </c>
      <c r="X293" s="8" t="str">
        <f ca="1">VLOOKUP(W293,[2]character_tribe_i18n!$A:$H,3,FALSE)</f>
        <v>ヒューマン</v>
      </c>
      <c r="Y293" s="77" t="str">
        <f ca="1">VLOOKUP($A293,OFFSET([2]characters!$A$1,0,0,COUNTA([2]characters!$A:$A),MATCH(Y$1,[2]characters!$1:$1,0)-MATCH($A$1,[2]characters!$1:$1,0)+1),MATCH(Y$1,[2]characters!$1:$1,0)-MATCH($A$1,[2]characters!$1:$1,0)+1,FALSE)</f>
        <v>none</v>
      </c>
      <c r="Z293" s="8" t="str">
        <f ca="1">VLOOKUP(Y293,[2]character_tribe_i18n!$A:$H,3,FALSE)</f>
        <v>種族なし</v>
      </c>
      <c r="AA293" s="14">
        <f ca="1">VLOOKUP(W293,[2]character_tribe_i18n!$A:$H,4,FALSE)</f>
        <v>0.94</v>
      </c>
      <c r="AB293" s="14">
        <f ca="1">VLOOKUP(W293,[2]character_tribe_i18n!$A:$H,5,FALSE)</f>
        <v>0.99</v>
      </c>
      <c r="AC293" s="14">
        <f ca="1">VLOOKUP(W293,[2]character_tribe_i18n!$A:$H,6,FALSE)</f>
        <v>1</v>
      </c>
      <c r="AD293" s="14">
        <f ca="1">VLOOKUP(W293,[2]character_tribe_i18n!$A:$H,7,FALSE)</f>
        <v>1.07</v>
      </c>
      <c r="AE293" s="12">
        <v>293</v>
      </c>
      <c r="AF293" s="85" t="str">
        <f ca="1">IF(AE293="NULL","",VLOOKUP($AE293,OFFSET([2]characters!$A$1,0,0,COUNTA([2]characters!$A:$A),MATCH(AF$1,[2]characters!$1:$1,0)-MATCH($A$1,[2]characters!$1:$1,0)+1),MATCH(AF$1,[2]characters!$1:$1,0)-MATCH($A$1,[2]characters!$1:$1,0)+1,FALSE))</f>
        <v>激流拳技を極めし者 アナスタシア</v>
      </c>
      <c r="AG293" s="8">
        <f t="shared" ca="1" si="30"/>
        <v>292</v>
      </c>
      <c r="AH293" s="85" t="str">
        <f ca="1">VLOOKUP($AG293,OFFSET([2]characters!$A$1,0,0,COUNTA([2]characters!$A:$A),MATCH(AH$1,[2]characters!$1:$1,0)-MATCH($A$1,[2]characters!$1:$1,0)+1),MATCH(AH$1,[2]characters!$1:$1,0)-MATCH($A$1,[2]characters!$1:$1,0)+1,FALSE)</f>
        <v>アナスタシア</v>
      </c>
      <c r="AI293" s="14">
        <f ca="1">IF(AE293="NULL","NULL",VLOOKUP(G293,ビット!$A$2:$B$7,2))</f>
        <v>50000</v>
      </c>
      <c r="AJ293" s="9">
        <v>2</v>
      </c>
      <c r="AK293" s="10" t="str">
        <f t="shared" si="31"/>
        <v>普通</v>
      </c>
      <c r="AL293" s="14" t="str">
        <f ca="1">INDEX(経験値!$A$1:$I$20,MATCH(H293,経験値!$A$1:$A$20,FALSE),MATCH(G293,経験値!$A$1:$I$1,FALSE))</f>
        <v>required_exp_200</v>
      </c>
      <c r="AM293" s="11">
        <f ca="1">VLOOKUP(G293,経験値!$A$27:$B$31,2)</f>
        <v>3400</v>
      </c>
      <c r="AN293" s="21">
        <f ca="1">VLOOKUP(G293,ビット!$G$2:$H$7,2)</f>
        <v>600</v>
      </c>
      <c r="AO293" s="98" t="s">
        <v>185</v>
      </c>
      <c r="AP293" s="97">
        <v>113006</v>
      </c>
      <c r="AQ293" s="77" t="e">
        <f ca="1">VLOOKUP($AP293,OFFSET([1]unit_skills!$A$1,0,0,COUNTA([1]unit_skills!$A:$A),MATCH("name",[1]unit_skills!$1:$1,0)-MATCH($AP$1,[1]unit_skills!$1:$1,0)+1),MATCH("name",[1]unit_skills!$1:$1,0)-MATCH($AP$1,[1]unit_skills!$1:$1,0)+1,FALSE)</f>
        <v>#VALUE!</v>
      </c>
      <c r="AR293" s="77" t="e">
        <f ca="1">VLOOKUP($AP293,OFFSET([1]unit_skills!$A$1,0,0,COUNTA([1]unit_skills!$A:$A),MATCH("comment",[1]unit_skills!$1:$1,0)-MATCH($AP$1,[1]unit_skills!$1:$1,0)+1),MATCH("comment",[1]unit_skills!$1:$1,0)-MATCH($AP$1,[1]unit_skills!$1:$1,0)+1,FALSE)</f>
        <v>#VALUE!</v>
      </c>
      <c r="AS293" s="77" t="e">
        <f ca="1">VLOOKUP($AP293,OFFSET([1]unit_skills!$A$1,0,0,COUNTA([1]unit_skills!$A:$A),MATCH(AS$1,[1]unit_skills!$1:$1,0)-MATCH($AP$1,[1]unit_skills!$1:$1,0)+1),MATCH(AS$1,[1]unit_skills!$1:$1,0)-MATCH($AP$1,[1]unit_skills!$1:$1,0)+1,FALSE)</f>
        <v>#VALUE!</v>
      </c>
      <c r="AT293" s="97">
        <v>423001</v>
      </c>
      <c r="AU293" s="77" t="e">
        <f ca="1">VLOOKUP($AT293,OFFSET([1]crash_skills!$A$1,0,0,COUNTA([1]crash_skills!$A:$A),MATCH("name",[1]crash_skills!$1:$1,0)-MATCH($AT$1,[1]crash_skills!$1:$1,0)+1),MATCH("name",[1]crash_skills!$1:$1,0)-MATCH($AT$1,[1]crash_skills!$1:$1,0)+1,FALSE)</f>
        <v>#VALUE!</v>
      </c>
      <c r="AV293" s="77" t="e">
        <f ca="1">VLOOKUP($AT293,OFFSET([1]crash_skills!$A$1,0,0,COUNTA([1]crash_skills!$A:$A),MATCH("comment",[1]crash_skills!$1:$1,0)-MATCH($AT$1,[1]crash_skills!$1:$1,0)+1),MATCH("comment",[1]crash_skills!$1:$1,0)-MATCH($AT$1,[1]crash_skills!$1:$1,0)+1,FALSE)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93" s="77" t="e">
        <f ca="1">VLOOKUP($AT293,OFFSET([1]crash_skills!$A$1,0,0,COUNTA([1]crash_skills!$A:$A),MATCH(AW$1,[1]crash_skills!$1:$1,0)-MATCH($AT$1,[1]crash_skills!$1:$1,0)+1),MATCH(AW$1,[1]crash_skills!$1:$1,0)-MATCH($AT$1,[1]crash_skills!$1:$1,0)+1,FALSE)</f>
        <v>#VALUE!</v>
      </c>
      <c r="AX293" s="81">
        <f ca="1">VLOOKUP($A293,OFFSET([2]characters!$A$1,0,0,COUNTA([2]characters!$A:$A),MATCH(AX$1,[2]characters!$1:$1,0)-MATCH($A$1,[2]characters!$1:$1,0)+1),MATCH(AX$1,[2]characters!$1:$1,0)-MATCH($A$1,[2]characters!$1:$1,0)+1,FALSE)</f>
        <v>3</v>
      </c>
      <c r="AY293" s="19">
        <v>1</v>
      </c>
      <c r="AZ293" s="19">
        <v>1</v>
      </c>
      <c r="BA293" s="19">
        <v>0</v>
      </c>
      <c r="BB293" s="19">
        <v>1</v>
      </c>
      <c r="BC293" s="14">
        <f ca="1">INDEX('RC6SV'!$A$1:$G$20,MATCH(H293,'RC6SV'!$A$1:$A$20,FALSE),MATCH(G293,'RC6SV'!$A$1:$G$1,FALSE))</f>
        <v>5800</v>
      </c>
      <c r="BD293" s="63">
        <f t="shared" ca="1" si="32"/>
        <v>5800</v>
      </c>
      <c r="BE293" s="14">
        <f t="shared" ca="1" si="33"/>
        <v>0</v>
      </c>
      <c r="BF293" s="14">
        <f t="shared" ca="1" si="34"/>
        <v>1</v>
      </c>
      <c r="BG293" s="20">
        <f ca="1">IF($BE293&lt;=0,ROUND(BK293*0.5,0), ROUND($BE293*S293*AA293*J293*AY293*0.8*[2]ステータス!$B$2,0))</f>
        <v>1363</v>
      </c>
      <c r="BH293" s="20">
        <f ca="1">IF($BE293&lt;=0,ROUND(BL293*0.5,0), ROUND($BE293*T293*AB293*K293*AZ293*0.8*[2]ステータス!$C$2,0))</f>
        <v>844</v>
      </c>
      <c r="BI293" s="20">
        <f ca="1">IF($BE293&lt;=0,ROUND(BM293*0.5,0), ROUND($BE293*U293*AC293*L293*BA293*0.8*[2]ステータス!$D$2,0))</f>
        <v>0</v>
      </c>
      <c r="BJ293" s="20">
        <f ca="1">IF($BE293&lt;=0,ROUND(BN293*0.5,0), ROUND($BE293*V293*AD293*M293*BB293*0.8*[2]ステータス!$E$2,0))</f>
        <v>792</v>
      </c>
      <c r="BK293" s="14">
        <f ca="1">ROUND(BD293*S293*AA293*J293*AY293*[2]ステータス!$B$2,0)</f>
        <v>2726</v>
      </c>
      <c r="BL293" s="14">
        <f ca="1">ROUND(BD293*T293*AB293*K293*AZ293*[2]ステータス!$C$2,0)</f>
        <v>1688</v>
      </c>
      <c r="BM293" s="14">
        <f ca="1">ROUND(BD293*U293*AC293*L293*BA293*[2]ステータス!$D$2,0)</f>
        <v>0</v>
      </c>
      <c r="BN293" s="14">
        <f ca="1">ROUND(BD293*V293*AD293*M293*BB293*[2]ステータス!$E$2,0)</f>
        <v>1583</v>
      </c>
      <c r="BO293" s="13">
        <v>0</v>
      </c>
      <c r="BP293" s="13">
        <v>1</v>
      </c>
      <c r="BQ293" s="13" t="s">
        <v>102</v>
      </c>
      <c r="BR293" s="13">
        <f ca="1">VLOOKUP(H293,ghosts_label!$A$2:$B$19,2,FALSE)</f>
        <v>1</v>
      </c>
    </row>
    <row r="294" spans="1:70" ht="21" customHeight="1" x14ac:dyDescent="0.15">
      <c r="A294" s="14">
        <f t="shared" ca="1" si="29"/>
        <v>293</v>
      </c>
      <c r="B294" s="77" t="str">
        <f ca="1">VLOOKUP($A294,OFFSET([2]characters!$A$1,0,0,COUNTA([2]characters!$A:$A),MATCH(B$1,[2]characters!$1:$1,0)-MATCH($A$1,[2]characters!$1:$1,0)+1),MATCH(B$1,[2]characters!$1:$1,0)-MATCH($A$1,[2]characters!$1:$1,0)+1,FALSE)</f>
        <v>激流拳技を極めし者 アナスタシア</v>
      </c>
      <c r="C294" s="77" t="str">
        <f ca="1">VLOOKUP($A294,OFFSET([2]characters!$A$1,0,0,COUNTA([2]characters!$A:$A),MATCH(C$1,[2]characters!$1:$1,0)-MATCH($A$1,[2]characters!$1:$1,0)+1),MATCH(C$1,[2]characters!$1:$1,0)-MATCH($A$1,[2]characters!$1:$1,0)+1,FALSE)</f>
        <v>イベント:アリスの絵本01</v>
      </c>
      <c r="D294" s="77" t="str">
        <f ca="1">VLOOKUP($A294,OFFSET([2]characters!$A$1,0,0,COUNTA([2]characters!$A:$A),MATCH(D$1,[2]characters!$1:$1,0)-MATCH($A$1,[2]characters!$1:$1,0)+1),MATCH(D$1,[2]characters!$1:$1,0)-MATCH($A$1,[2]characters!$1:$1,0)+1,FALSE)</f>
        <v>アバター</v>
      </c>
      <c r="E294" s="77" t="str">
        <f ca="1">VLOOKUP($A294,OFFSET([2]characters!$A$1,0,0,COUNTA([2]characters!$A:$A),MATCH(E$1,[2]characters!$1:$1,0)-MATCH($A$1,[2]characters!$1:$1,0)+1),MATCH(E$1,[2]characters!$1:$1,0)-MATCH($A$1,[2]characters!$1:$1,0)+1,FALSE)</f>
        <v>美しい</v>
      </c>
      <c r="F294" s="77" t="str">
        <f ca="1">VLOOKUP($A294,OFFSET([2]characters!$A$1,0,0,COUNTA([2]characters!$A:$A),MATCH(F$1,[2]characters!$1:$1,0)-MATCH($A$1,[2]characters!$1:$1,0)+1),MATCH(F$1,[2]characters!$1:$1,0)-MATCH($A$1,[2]characters!$1:$1,0)+1,FALSE)</f>
        <v>女性</v>
      </c>
      <c r="G294" s="77">
        <f ca="1">VLOOKUP($A294,OFFSET([2]characters!$A$1,0,0,COUNTA([2]characters!$A:$A),MATCH(G$1,[2]characters!$1:$1,0)-MATCH($A$1,[2]characters!$1:$1,0)+1),MATCH(G$1,[2]characters!$1:$1,0)-MATCH($A$1,[2]characters!$1:$1,0)+1,FALSE)</f>
        <v>5</v>
      </c>
      <c r="H294" s="77" t="str">
        <f ca="1">VLOOKUP($A294,OFFSET([2]characters!$A$1,0,0,COUNTA([2]characters!$A:$A),MATCH(H$1,[2]characters!$1:$1,0)-MATCH($A$1,[2]characters!$1:$1,0)+1),MATCH(H$1,[2]characters!$1:$1,0)-MATCH($A$1,[2]characters!$1:$1,0)+1,FALSE)</f>
        <v>Drop2N</v>
      </c>
      <c r="I294" s="77" t="str">
        <f ca="1">VLOOKUP($A294,OFFSET([2]characters!$A$1,0,0,COUNTA([2]characters!$A:$A),MATCH(I$1,[2]characters!$1:$1,0)-MATCH($A$1,[2]characters!$1:$1,0)+1),MATCH(I$1,[2]characters!$1:$1,0)-MATCH($A$1,[2]characters!$1:$1,0)+1,FALSE)</f>
        <v>blue</v>
      </c>
      <c r="J294" s="14">
        <f ca="1">VLOOKUP(I294,[2]属性!$A:$E,2,FALSE)</f>
        <v>1</v>
      </c>
      <c r="K294" s="14">
        <f ca="1">VLOOKUP(I294,[2]属性!$A:$E,3,FALSE)</f>
        <v>0.98</v>
      </c>
      <c r="L294" s="14">
        <f ca="1">VLOOKUP(I294,[2]属性!$A:$E,4,FALSE)</f>
        <v>1</v>
      </c>
      <c r="M294" s="14">
        <f ca="1">VLOOKUP(I294,[2]属性!$A:$E,5,FALSE)</f>
        <v>1.02</v>
      </c>
      <c r="N294" s="14">
        <f ca="1">INDEX(コスト!$A$1:$I$20,MATCH(H294,コスト!$A$1:$A$20,FALSE),MATCH(G294,コスト!$A$1:$I$1,FALSE))</f>
        <v>26</v>
      </c>
      <c r="O294" s="14">
        <f ca="1">INDEX(レベル!$A$1:$I$21,MATCH(H294,レベル!$A$1:$A$21,FALSE),MATCH(G294,レベル!$A$1:$I$1,FALSE))</f>
        <v>80</v>
      </c>
      <c r="P294" s="63">
        <f t="shared" ca="1" si="35"/>
        <v>75</v>
      </c>
      <c r="Q294" s="77" t="str">
        <f ca="1">VLOOKUP($A294,OFFSET([2]characters!$A$1,0,0,COUNTA([2]characters!$A:$A),MATCH(Q$1,[2]characters!$1:$1,0)-MATCH($A$1,[2]characters!$1:$1,0)+1),MATCH(Q$1,[2]characters!$1:$1,0)-MATCH($A$1,[2]characters!$1:$1,0)+1,FALSE)</f>
        <v>balance</v>
      </c>
      <c r="R294" s="8" t="str">
        <f ca="1">VLOOKUP(Q294,[2]character_type_i18n!$A:$H,3,FALSE)</f>
        <v>バランスタイプ</v>
      </c>
      <c r="S294" s="14">
        <f ca="1">VLOOKUP(Q294,[2]character_type_i18n!$A:$H,4,FALSE)</f>
        <v>1</v>
      </c>
      <c r="T294" s="14">
        <f ca="1">VLOOKUP(Q294,[2]character_type_i18n!$A:$H,5,FALSE)</f>
        <v>1</v>
      </c>
      <c r="U294" s="14">
        <f ca="1">VLOOKUP(Q294,[2]character_type_i18n!$A:$H,6,FALSE)</f>
        <v>1</v>
      </c>
      <c r="V294" s="14">
        <f ca="1">VLOOKUP(Q294,[2]character_type_i18n!$A:$H,7,FALSE)</f>
        <v>1</v>
      </c>
      <c r="W294" s="77" t="str">
        <f ca="1">VLOOKUP($A294,OFFSET([2]characters!$A$1,0,0,COUNTA([2]characters!$A:$A),MATCH(W$1,[2]characters!$1:$1,0)-MATCH($A$1,[2]characters!$1:$1,0)+1),MATCH(W$1,[2]characters!$1:$1,0)-MATCH($A$1,[2]characters!$1:$1,0)+1,FALSE)</f>
        <v>human</v>
      </c>
      <c r="X294" s="8" t="str">
        <f ca="1">VLOOKUP(W294,[2]character_tribe_i18n!$A:$H,3,FALSE)</f>
        <v>ヒューマン</v>
      </c>
      <c r="Y294" s="77" t="str">
        <f ca="1">VLOOKUP($A294,OFFSET([2]characters!$A$1,0,0,COUNTA([2]characters!$A:$A),MATCH(Y$1,[2]characters!$1:$1,0)-MATCH($A$1,[2]characters!$1:$1,0)+1),MATCH(Y$1,[2]characters!$1:$1,0)-MATCH($A$1,[2]characters!$1:$1,0)+1,FALSE)</f>
        <v>none</v>
      </c>
      <c r="Z294" s="8" t="str">
        <f ca="1">VLOOKUP(Y294,[2]character_tribe_i18n!$A:$H,3,FALSE)</f>
        <v>種族なし</v>
      </c>
      <c r="AA294" s="14">
        <f ca="1">VLOOKUP(W294,[2]character_tribe_i18n!$A:$H,4,FALSE)</f>
        <v>0.94</v>
      </c>
      <c r="AB294" s="14">
        <f ca="1">VLOOKUP(W294,[2]character_tribe_i18n!$A:$H,5,FALSE)</f>
        <v>0.99</v>
      </c>
      <c r="AC294" s="14">
        <f ca="1">VLOOKUP(W294,[2]character_tribe_i18n!$A:$H,6,FALSE)</f>
        <v>1</v>
      </c>
      <c r="AD294" s="14">
        <f ca="1">VLOOKUP(W294,[2]character_tribe_i18n!$A:$H,7,FALSE)</f>
        <v>1.07</v>
      </c>
      <c r="AE294" s="12" t="s">
        <v>102</v>
      </c>
      <c r="AF294" s="85" t="str">
        <f ca="1">IF(AE294="NULL","",VLOOKUP($AE294,OFFSET([2]characters!$A$1,0,0,COUNTA([2]characters!$A:$A),MATCH(AF$1,[2]characters!$1:$1,0)-MATCH($A$1,[2]characters!$1:$1,0)+1),MATCH(AF$1,[2]characters!$1:$1,0)-MATCH($A$1,[2]characters!$1:$1,0)+1,FALSE))</f>
        <v/>
      </c>
      <c r="AG294" s="8">
        <f t="shared" ca="1" si="30"/>
        <v>292</v>
      </c>
      <c r="AH294" s="85" t="str">
        <f ca="1">VLOOKUP($AG294,OFFSET([2]characters!$A$1,0,0,COUNTA([2]characters!$A:$A),MATCH(AH$1,[2]characters!$1:$1,0)-MATCH($A$1,[2]characters!$1:$1,0)+1),MATCH(AH$1,[2]characters!$1:$1,0)-MATCH($A$1,[2]characters!$1:$1,0)+1,FALSE)</f>
        <v>アナスタシア</v>
      </c>
      <c r="AI294" s="14" t="str">
        <f>IF(AE294="NULL","NULL",VLOOKUP(G294,ビット!$A$2:$B$7,2))</f>
        <v>NULL</v>
      </c>
      <c r="AJ294" s="9">
        <v>2</v>
      </c>
      <c r="AK294" s="10" t="str">
        <f t="shared" si="31"/>
        <v>普通</v>
      </c>
      <c r="AL294" s="14" t="str">
        <f ca="1">INDEX(経験値!$A$1:$I$20,MATCH(H294,経験値!$A$1:$A$20,FALSE),MATCH(G294,経験値!$A$1:$I$1,FALSE))</f>
        <v>required_exp_200</v>
      </c>
      <c r="AM294" s="11">
        <f ca="1">VLOOKUP(G294,経験値!$A$27:$B$31,2)</f>
        <v>6400</v>
      </c>
      <c r="AN294" s="21">
        <f ca="1">VLOOKUP(G294,ビット!$G$2:$H$7,2)</f>
        <v>900</v>
      </c>
      <c r="AO294" s="98" t="s">
        <v>185</v>
      </c>
      <c r="AP294" s="97">
        <v>113007</v>
      </c>
      <c r="AQ294" s="77" t="e">
        <f ca="1">VLOOKUP($AP294,OFFSET([1]unit_skills!$A$1,0,0,COUNTA([1]unit_skills!$A:$A),MATCH("name",[1]unit_skills!$1:$1,0)-MATCH($AP$1,[1]unit_skills!$1:$1,0)+1),MATCH("name",[1]unit_skills!$1:$1,0)-MATCH($AP$1,[1]unit_skills!$1:$1,0)+1,FALSE)</f>
        <v>#VALUE!</v>
      </c>
      <c r="AR294" s="77" t="e">
        <f ca="1">VLOOKUP($AP294,OFFSET([1]unit_skills!$A$1,0,0,COUNTA([1]unit_skills!$A:$A),MATCH("comment",[1]unit_skills!$1:$1,0)-MATCH($AP$1,[1]unit_skills!$1:$1,0)+1),MATCH("comment",[1]unit_skills!$1:$1,0)-MATCH($AP$1,[1]unit_skills!$1:$1,0)+1,FALSE)</f>
        <v>#VALUE!</v>
      </c>
      <c r="AS294" s="77" t="e">
        <f ca="1">VLOOKUP($AP294,OFFSET([1]unit_skills!$A$1,0,0,COUNTA([1]unit_skills!$A:$A),MATCH(AS$1,[1]unit_skills!$1:$1,0)-MATCH($AP$1,[1]unit_skills!$1:$1,0)+1),MATCH(AS$1,[1]unit_skills!$1:$1,0)-MATCH($AP$1,[1]unit_skills!$1:$1,0)+1,FALSE)</f>
        <v>#VALUE!</v>
      </c>
      <c r="AT294" s="97">
        <v>423005</v>
      </c>
      <c r="AU294" s="77" t="e">
        <f ca="1">VLOOKUP($AT294,OFFSET([1]crash_skills!$A$1,0,0,COUNTA([1]crash_skills!$A:$A),MATCH("name",[1]crash_skills!$1:$1,0)-MATCH($AT$1,[1]crash_skills!$1:$1,0)+1),MATCH("name",[1]crash_skills!$1:$1,0)-MATCH($AT$1,[1]crash_skills!$1:$1,0)+1,FALSE)</f>
        <v>#VALUE!</v>
      </c>
      <c r="AV294" s="77" t="e">
        <f ca="1">VLOOKUP($AT294,OFFSET([1]crash_skills!$A$1,0,0,COUNTA([1]crash_skills!$A:$A),MATCH("comment",[1]crash_skills!$1:$1,0)-MATCH($AT$1,[1]crash_skills!$1:$1,0)+1),MATCH("comment",[1]crash_skills!$1:$1,0)-MATCH($AT$1,[1]crash_skills!$1:$1,0)+1,FALSE)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94" s="77" t="e">
        <f ca="1">VLOOKUP($AT294,OFFSET([1]crash_skills!$A$1,0,0,COUNTA([1]crash_skills!$A:$A),MATCH(AW$1,[1]crash_skills!$1:$1,0)-MATCH($AT$1,[1]crash_skills!$1:$1,0)+1),MATCH(AW$1,[1]crash_skills!$1:$1,0)-MATCH($AT$1,[1]crash_skills!$1:$1,0)+1,FALSE)</f>
        <v>#VALUE!</v>
      </c>
      <c r="AX294" s="81">
        <f ca="1">VLOOKUP($A294,OFFSET([2]characters!$A$1,0,0,COUNTA([2]characters!$A:$A),MATCH(AX$1,[2]characters!$1:$1,0)-MATCH($A$1,[2]characters!$1:$1,0)+1),MATCH(AX$1,[2]characters!$1:$1,0)-MATCH($A$1,[2]characters!$1:$1,0)+1,FALSE)</f>
        <v>3</v>
      </c>
      <c r="AY294" s="19">
        <v>1</v>
      </c>
      <c r="AZ294" s="19">
        <v>1</v>
      </c>
      <c r="BA294" s="19">
        <v>0</v>
      </c>
      <c r="BB294" s="19">
        <v>1</v>
      </c>
      <c r="BC294" s="14">
        <f ca="1">INDEX('RC6SV'!$A$1:$G$20,MATCH(H294,'RC6SV'!$A$1:$A$20,FALSE),MATCH(G294,'RC6SV'!$A$1:$G$1,FALSE))</f>
        <v>7600</v>
      </c>
      <c r="BD294" s="63">
        <f t="shared" ca="1" si="32"/>
        <v>7600</v>
      </c>
      <c r="BE294" s="14">
        <f t="shared" ca="1" si="33"/>
        <v>5800</v>
      </c>
      <c r="BF294" s="14">
        <f t="shared" ca="1" si="34"/>
        <v>1</v>
      </c>
      <c r="BG294" s="20">
        <f ca="1">IF($BE294&lt;=0,ROUND(BK294*0.5,0), ROUND($BE294*S294*AA294*J294*AY294*0.8*[2]ステータス!$B$2,0))</f>
        <v>2181</v>
      </c>
      <c r="BH294" s="20">
        <f ca="1">IF($BE294&lt;=0,ROUND(BL294*0.5,0), ROUND($BE294*T294*AB294*K294*AZ294*0.8*[2]ステータス!$C$2,0))</f>
        <v>1351</v>
      </c>
      <c r="BI294" s="20">
        <f ca="1">IF($BE294&lt;=0,ROUND(BM294*0.5,0), ROUND($BE294*U294*AC294*L294*BA294*0.8*[2]ステータス!$D$2,0))</f>
        <v>0</v>
      </c>
      <c r="BJ294" s="20">
        <f ca="1">IF($BE294&lt;=0,ROUND(BN294*0.5,0), ROUND($BE294*V294*AD294*M294*BB294*0.8*[2]ステータス!$E$2,0))</f>
        <v>1266</v>
      </c>
      <c r="BK294" s="14">
        <f ca="1">ROUND(BD294*S294*AA294*J294*AY294*[2]ステータス!$B$2,0)</f>
        <v>3572</v>
      </c>
      <c r="BL294" s="14">
        <f ca="1">ROUND(BD294*T294*AB294*K294*AZ294*[2]ステータス!$C$2,0)</f>
        <v>2212</v>
      </c>
      <c r="BM294" s="14">
        <f ca="1">ROUND(BD294*U294*AC294*L294*BA294*[2]ステータス!$D$2,0)</f>
        <v>0</v>
      </c>
      <c r="BN294" s="14">
        <f ca="1">ROUND(BD294*V294*AD294*M294*BB294*[2]ステータス!$E$2,0)</f>
        <v>2074</v>
      </c>
      <c r="BO294" s="13">
        <v>0</v>
      </c>
      <c r="BP294" s="13">
        <v>1</v>
      </c>
      <c r="BQ294" s="13" t="s">
        <v>102</v>
      </c>
      <c r="BR294" s="13">
        <f ca="1">VLOOKUP(H294,ghosts_label!$A$2:$B$19,2,FALSE)</f>
        <v>1</v>
      </c>
    </row>
    <row r="295" spans="1:70" ht="21" customHeight="1" x14ac:dyDescent="0.15">
      <c r="A295" s="14">
        <f t="shared" ca="1" si="29"/>
        <v>294</v>
      </c>
      <c r="B295" s="77" t="str">
        <f ca="1">VLOOKUP($A295,OFFSET([2]characters!$A$1,0,0,COUNTA([2]characters!$A:$A),MATCH(B$1,[2]characters!$1:$1,0)-MATCH($A$1,[2]characters!$1:$1,0)+1),MATCH(B$1,[2]characters!$1:$1,0)-MATCH($A$1,[2]characters!$1:$1,0)+1,FALSE)</f>
        <v>ウルフ・ザ・レッドイーター</v>
      </c>
      <c r="C295" s="77" t="str">
        <f ca="1">VLOOKUP($A295,OFFSET([2]characters!$A$1,0,0,COUNTA([2]characters!$A:$A),MATCH(C$1,[2]characters!$1:$1,0)-MATCH($A$1,[2]characters!$1:$1,0)+1),MATCH(C$1,[2]characters!$1:$1,0)-MATCH($A$1,[2]characters!$1:$1,0)+1,FALSE)</f>
        <v>イベント:アリスの絵本01</v>
      </c>
      <c r="D295" s="77" t="str">
        <f ca="1">VLOOKUP($A295,OFFSET([2]characters!$A$1,0,0,COUNTA([2]characters!$A:$A),MATCH(D$1,[2]characters!$1:$1,0)-MATCH($A$1,[2]characters!$1:$1,0)+1),MATCH(D$1,[2]characters!$1:$1,0)-MATCH($A$1,[2]characters!$1:$1,0)+1,FALSE)</f>
        <v>アバター</v>
      </c>
      <c r="E295" s="77" t="str">
        <f ca="1">VLOOKUP($A295,OFFSET([2]characters!$A$1,0,0,COUNTA([2]characters!$A:$A),MATCH(E$1,[2]characters!$1:$1,0)-MATCH($A$1,[2]characters!$1:$1,0)+1),MATCH(E$1,[2]characters!$1:$1,0)-MATCH($A$1,[2]characters!$1:$1,0)+1,FALSE)</f>
        <v>格好いい</v>
      </c>
      <c r="F295" s="77" t="str">
        <f ca="1">VLOOKUP($A295,OFFSET([2]characters!$A$1,0,0,COUNTA([2]characters!$A:$A),MATCH(F$1,[2]characters!$1:$1,0)-MATCH($A$1,[2]characters!$1:$1,0)+1),MATCH(F$1,[2]characters!$1:$1,0)-MATCH($A$1,[2]characters!$1:$1,0)+1,FALSE)</f>
        <v>男性</v>
      </c>
      <c r="G295" s="77">
        <f ca="1">VLOOKUP($A295,OFFSET([2]characters!$A$1,0,0,COUNTA([2]characters!$A:$A),MATCH(G$1,[2]characters!$1:$1,0)-MATCH($A$1,[2]characters!$1:$1,0)+1),MATCH(G$1,[2]characters!$1:$1,0)-MATCH($A$1,[2]characters!$1:$1,0)+1,FALSE)</f>
        <v>4</v>
      </c>
      <c r="H295" s="77" t="str">
        <f ca="1">VLOOKUP($A295,OFFSET([2]characters!$A$1,0,0,COUNTA([2]characters!$A:$A),MATCH(H$1,[2]characters!$1:$1,0)-MATCH($A$1,[2]characters!$1:$1,0)+1),MATCH(H$1,[2]characters!$1:$1,0)-MATCH($A$1,[2]characters!$1:$1,0)+1,FALSE)</f>
        <v>Drop2N</v>
      </c>
      <c r="I295" s="77" t="str">
        <f ca="1">VLOOKUP($A295,OFFSET([2]characters!$A$1,0,0,COUNTA([2]characters!$A:$A),MATCH(I$1,[2]characters!$1:$1,0)-MATCH($A$1,[2]characters!$1:$1,0)+1),MATCH(I$1,[2]characters!$1:$1,0)-MATCH($A$1,[2]characters!$1:$1,0)+1,FALSE)</f>
        <v>green</v>
      </c>
      <c r="J295" s="14">
        <f ca="1">VLOOKUP(I295,[2]属性!$A:$E,2,FALSE)</f>
        <v>1.02</v>
      </c>
      <c r="K295" s="14">
        <f ca="1">VLOOKUP(I295,[2]属性!$A:$E,3,FALSE)</f>
        <v>0.98</v>
      </c>
      <c r="L295" s="14">
        <f ca="1">VLOOKUP(I295,[2]属性!$A:$E,4,FALSE)</f>
        <v>1</v>
      </c>
      <c r="M295" s="14">
        <f ca="1">VLOOKUP(I295,[2]属性!$A:$E,5,FALSE)</f>
        <v>1</v>
      </c>
      <c r="N295" s="14">
        <f ca="1">INDEX(コスト!$A$1:$I$20,MATCH(H295,コスト!$A$1:$A$20,FALSE),MATCH(G295,コスト!$A$1:$I$1,FALSE))</f>
        <v>17</v>
      </c>
      <c r="O295" s="14">
        <f ca="1">INDEX(レベル!$A$1:$I$21,MATCH(H295,レベル!$A$1:$A$21,FALSE),MATCH(G295,レベル!$A$1:$I$1,FALSE))</f>
        <v>60</v>
      </c>
      <c r="P295" s="63">
        <f t="shared" ca="1" si="35"/>
        <v>60</v>
      </c>
      <c r="Q295" s="77" t="str">
        <f ca="1">VLOOKUP($A295,OFFSET([2]characters!$A$1,0,0,COUNTA([2]characters!$A:$A),MATCH(Q$1,[2]characters!$1:$1,0)-MATCH($A$1,[2]characters!$1:$1,0)+1),MATCH(Q$1,[2]characters!$1:$1,0)-MATCH($A$1,[2]characters!$1:$1,0)+1,FALSE)</f>
        <v>attack</v>
      </c>
      <c r="R295" s="8" t="str">
        <f ca="1">VLOOKUP(Q295,[2]character_type_i18n!$A:$H,3,FALSE)</f>
        <v>攻撃タイプ</v>
      </c>
      <c r="S295" s="14">
        <f ca="1">VLOOKUP(Q295,[2]character_type_i18n!$A:$H,4,FALSE)</f>
        <v>1</v>
      </c>
      <c r="T295" s="14">
        <f ca="1">VLOOKUP(Q295,[2]character_type_i18n!$A:$H,5,FALSE)</f>
        <v>1.33</v>
      </c>
      <c r="U295" s="14">
        <f ca="1">VLOOKUP(Q295,[2]character_type_i18n!$A:$H,6,FALSE)</f>
        <v>1</v>
      </c>
      <c r="V295" s="14">
        <f ca="1">VLOOKUP(Q295,[2]character_type_i18n!$A:$H,7,FALSE)</f>
        <v>0.67</v>
      </c>
      <c r="W295" s="77" t="str">
        <f ca="1">VLOOKUP($A295,OFFSET([2]characters!$A$1,0,0,COUNTA([2]characters!$A:$A),MATCH(W$1,[2]characters!$1:$1,0)-MATCH($A$1,[2]characters!$1:$1,0)+1),MATCH(W$1,[2]characters!$1:$1,0)-MATCH($A$1,[2]characters!$1:$1,0)+1,FALSE)</f>
        <v>animal</v>
      </c>
      <c r="X295" s="8" t="str">
        <f ca="1">VLOOKUP(W295,[2]character_tribe_i18n!$A:$H,3,FALSE)</f>
        <v>アニマル</v>
      </c>
      <c r="Y295" s="77" t="str">
        <f ca="1">VLOOKUP($A295,OFFSET([2]characters!$A$1,0,0,COUNTA([2]characters!$A:$A),MATCH(Y$1,[2]characters!$1:$1,0)-MATCH($A$1,[2]characters!$1:$1,0)+1),MATCH(Y$1,[2]characters!$1:$1,0)-MATCH($A$1,[2]characters!$1:$1,0)+1,FALSE)</f>
        <v>none</v>
      </c>
      <c r="Z295" s="8" t="str">
        <f ca="1">VLOOKUP(Y295,[2]character_tribe_i18n!$A:$H,3,FALSE)</f>
        <v>種族なし</v>
      </c>
      <c r="AA295" s="14">
        <f ca="1">VLOOKUP(W295,[2]character_tribe_i18n!$A:$H,4,FALSE)</f>
        <v>1</v>
      </c>
      <c r="AB295" s="14">
        <f ca="1">VLOOKUP(W295,[2]character_tribe_i18n!$A:$H,5,FALSE)</f>
        <v>1.1000000000000001</v>
      </c>
      <c r="AC295" s="14">
        <f ca="1">VLOOKUP(W295,[2]character_tribe_i18n!$A:$H,6,FALSE)</f>
        <v>1</v>
      </c>
      <c r="AD295" s="14">
        <f ca="1">VLOOKUP(W295,[2]character_tribe_i18n!$A:$H,7,FALSE)</f>
        <v>0.9</v>
      </c>
      <c r="AE295" s="12">
        <v>295</v>
      </c>
      <c r="AF295" s="85" t="str">
        <f ca="1">IF(AE295="NULL","",VLOOKUP($AE295,OFFSET([2]characters!$A$1,0,0,COUNTA([2]characters!$A:$A),MATCH(AF$1,[2]characters!$1:$1,0)-MATCH($A$1,[2]characters!$1:$1,0)+1),MATCH(AF$1,[2]characters!$1:$1,0)-MATCH($A$1,[2]characters!$1:$1,0)+1,FALSE))</f>
        <v>ウルフ・ザ・レッドクラッシャー</v>
      </c>
      <c r="AG295" s="8">
        <f t="shared" ca="1" si="30"/>
        <v>294</v>
      </c>
      <c r="AH295" s="85" t="str">
        <f ca="1">VLOOKUP($AG295,OFFSET([2]characters!$A$1,0,0,COUNTA([2]characters!$A:$A),MATCH(AH$1,[2]characters!$1:$1,0)-MATCH($A$1,[2]characters!$1:$1,0)+1),MATCH(AH$1,[2]characters!$1:$1,0)-MATCH($A$1,[2]characters!$1:$1,0)+1,FALSE)</f>
        <v>ウルフ・ザ・レッドイーター</v>
      </c>
      <c r="AI295" s="14">
        <f ca="1">IF(AE295="NULL","NULL",VLOOKUP(G295,ビット!$A$2:$B$7,2))</f>
        <v>50000</v>
      </c>
      <c r="AJ295" s="9">
        <v>2</v>
      </c>
      <c r="AK295" s="10" t="str">
        <f t="shared" si="31"/>
        <v>普通</v>
      </c>
      <c r="AL295" s="14" t="str">
        <f ca="1">INDEX(経験値!$A$1:$I$20,MATCH(H295,経験値!$A$1:$A$20,FALSE),MATCH(G295,経験値!$A$1:$I$1,FALSE))</f>
        <v>required_exp_200</v>
      </c>
      <c r="AM295" s="11">
        <f ca="1">VLOOKUP(G295,経験値!$A$27:$B$31,2)</f>
        <v>3400</v>
      </c>
      <c r="AN295" s="21">
        <f ca="1">VLOOKUP(G295,ビット!$G$2:$H$7,2)</f>
        <v>600</v>
      </c>
      <c r="AO295" s="98" t="s">
        <v>185</v>
      </c>
      <c r="AP295" s="97">
        <v>312022</v>
      </c>
      <c r="AQ295" s="77" t="e">
        <f ca="1">VLOOKUP($AP295,OFFSET([1]unit_skills!$A$1,0,0,COUNTA([1]unit_skills!$A:$A),MATCH("name",[1]unit_skills!$1:$1,0)-MATCH($AP$1,[1]unit_skills!$1:$1,0)+1),MATCH("name",[1]unit_skills!$1:$1,0)-MATCH($AP$1,[1]unit_skills!$1:$1,0)+1,FALSE)</f>
        <v>#VALUE!</v>
      </c>
      <c r="AR295" s="77" t="e">
        <f ca="1">VLOOKUP($AP295,OFFSET([1]unit_skills!$A$1,0,0,COUNTA([1]unit_skills!$A:$A),MATCH("comment",[1]unit_skills!$1:$1,0)-MATCH($AP$1,[1]unit_skills!$1:$1,0)+1),MATCH("comment",[1]unit_skills!$1:$1,0)-MATCH($AP$1,[1]unit_skills!$1:$1,0)+1,FALSE)</f>
        <v>#VALUE!</v>
      </c>
      <c r="AS295" s="77" t="e">
        <f ca="1">VLOOKUP($AP295,OFFSET([1]unit_skills!$A$1,0,0,COUNTA([1]unit_skills!$A:$A),MATCH(AS$1,[1]unit_skills!$1:$1,0)-MATCH($AP$1,[1]unit_skills!$1:$1,0)+1),MATCH(AS$1,[1]unit_skills!$1:$1,0)-MATCH($AP$1,[1]unit_skills!$1:$1,0)+1,FALSE)</f>
        <v>#VALUE!</v>
      </c>
      <c r="AT295" s="158">
        <v>212001</v>
      </c>
      <c r="AU295" s="77" t="e">
        <f ca="1">VLOOKUP($AT295,OFFSET([1]crash_skills!$A$1,0,0,COUNTA([1]crash_skills!$A:$A),MATCH("name",[1]crash_skills!$1:$1,0)-MATCH($AT$1,[1]crash_skills!$1:$1,0)+1),MATCH("name",[1]crash_skills!$1:$1,0)-MATCH($AT$1,[1]crash_skills!$1:$1,0)+1,FALSE)</f>
        <v>#VALUE!</v>
      </c>
      <c r="AV295" s="77" t="e">
        <f ca="1">VLOOKUP($AT295,OFFSET([1]crash_skills!$A$1,0,0,COUNTA([1]crash_skills!$A:$A),MATCH("comment",[1]crash_skills!$1:$1,0)-MATCH($AT$1,[1]crash_skills!$1:$1,0)+1),MATCH("comment",[1]crash_skills!$1:$1,0)-MATCH($AT$1,[1]crash_skills!$1:$1,0)+1,FALSE)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95" s="77" t="e">
        <f ca="1">VLOOKUP($AT295,OFFSET([1]crash_skills!$A$1,0,0,COUNTA([1]crash_skills!$A:$A),MATCH(AW$1,[1]crash_skills!$1:$1,0)-MATCH($AT$1,[1]crash_skills!$1:$1,0)+1),MATCH(AW$1,[1]crash_skills!$1:$1,0)-MATCH($AT$1,[1]crash_skills!$1:$1,0)+1,FALSE)</f>
        <v>#VALUE!</v>
      </c>
      <c r="AX295" s="81">
        <f ca="1">VLOOKUP($A295,OFFSET([2]characters!$A$1,0,0,COUNTA([2]characters!$A:$A),MATCH(AX$1,[2]characters!$1:$1,0)-MATCH($A$1,[2]characters!$1:$1,0)+1),MATCH(AX$1,[2]characters!$1:$1,0)-MATCH($A$1,[2]characters!$1:$1,0)+1,FALSE)</f>
        <v>3</v>
      </c>
      <c r="AY295" s="19">
        <v>1</v>
      </c>
      <c r="AZ295" s="19">
        <v>1</v>
      </c>
      <c r="BA295" s="19">
        <v>0</v>
      </c>
      <c r="BB295" s="19">
        <v>1</v>
      </c>
      <c r="BC295" s="14">
        <f ca="1">INDEX('RC6SV'!$A$1:$G$20,MATCH(H295,'RC6SV'!$A$1:$A$20,FALSE),MATCH(G295,'RC6SV'!$A$1:$G$1,FALSE))</f>
        <v>5800</v>
      </c>
      <c r="BD295" s="63">
        <f t="shared" ca="1" si="32"/>
        <v>5800</v>
      </c>
      <c r="BE295" s="14">
        <f t="shared" ca="1" si="33"/>
        <v>0</v>
      </c>
      <c r="BF295" s="14">
        <f t="shared" ca="1" si="34"/>
        <v>1</v>
      </c>
      <c r="BG295" s="20">
        <f ca="1">IF($BE295&lt;=0,ROUND(BK295*0.5,0), ROUND($BE295*S295*AA295*J295*AY295*0.8*[2]ステータス!$B$2,0))</f>
        <v>1479</v>
      </c>
      <c r="BH295" s="20">
        <f ca="1">IF($BE295&lt;=0,ROUND(BL295*0.5,0), ROUND($BE295*T295*AB295*K295*AZ295*0.8*[2]ステータス!$C$2,0))</f>
        <v>1248</v>
      </c>
      <c r="BI295" s="20">
        <f ca="1">IF($BE295&lt;=0,ROUND(BM295*0.5,0), ROUND($BE295*U295*AC295*L295*BA295*0.8*[2]ステータス!$D$2,0))</f>
        <v>0</v>
      </c>
      <c r="BJ295" s="20">
        <f ca="1">IF($BE295&lt;=0,ROUND(BN295*0.5,0), ROUND($BE295*V295*AD295*M295*BB295*0.8*[2]ステータス!$E$2,0))</f>
        <v>437</v>
      </c>
      <c r="BK295" s="14">
        <f ca="1">ROUND(BD295*S295*AA295*J295*AY295*[2]ステータス!$B$2,0)</f>
        <v>2958</v>
      </c>
      <c r="BL295" s="14">
        <f ca="1">ROUND(BD295*T295*AB295*K295*AZ295*[2]ステータス!$C$2,0)</f>
        <v>2495</v>
      </c>
      <c r="BM295" s="14">
        <f ca="1">ROUND(BD295*U295*AC295*L295*BA295*[2]ステータス!$D$2,0)</f>
        <v>0</v>
      </c>
      <c r="BN295" s="14">
        <f ca="1">ROUND(BD295*V295*AD295*M295*BB295*[2]ステータス!$E$2,0)</f>
        <v>874</v>
      </c>
      <c r="BO295" s="13">
        <v>0</v>
      </c>
      <c r="BP295" s="13">
        <v>1</v>
      </c>
      <c r="BQ295" s="13" t="s">
        <v>102</v>
      </c>
      <c r="BR295" s="13">
        <f ca="1">VLOOKUP(H295,ghosts_label!$A$2:$B$19,2,FALSE)</f>
        <v>1</v>
      </c>
    </row>
    <row r="296" spans="1:70" ht="21" customHeight="1" x14ac:dyDescent="0.15">
      <c r="A296" s="14">
        <f t="shared" ca="1" si="29"/>
        <v>295</v>
      </c>
      <c r="B296" s="77" t="str">
        <f ca="1">VLOOKUP($A296,OFFSET([2]characters!$A$1,0,0,COUNTA([2]characters!$A:$A),MATCH(B$1,[2]characters!$1:$1,0)-MATCH($A$1,[2]characters!$1:$1,0)+1),MATCH(B$1,[2]characters!$1:$1,0)-MATCH($A$1,[2]characters!$1:$1,0)+1,FALSE)</f>
        <v>ウルフ・ザ・レッドクラッシャー</v>
      </c>
      <c r="C296" s="77" t="str">
        <f ca="1">VLOOKUP($A296,OFFSET([2]characters!$A$1,0,0,COUNTA([2]characters!$A:$A),MATCH(C$1,[2]characters!$1:$1,0)-MATCH($A$1,[2]characters!$1:$1,0)+1),MATCH(C$1,[2]characters!$1:$1,0)-MATCH($A$1,[2]characters!$1:$1,0)+1,FALSE)</f>
        <v>イベント:アリスの絵本01</v>
      </c>
      <c r="D296" s="77" t="str">
        <f ca="1">VLOOKUP($A296,OFFSET([2]characters!$A$1,0,0,COUNTA([2]characters!$A:$A),MATCH(D$1,[2]characters!$1:$1,0)-MATCH($A$1,[2]characters!$1:$1,0)+1),MATCH(D$1,[2]characters!$1:$1,0)-MATCH($A$1,[2]characters!$1:$1,0)+1,FALSE)</f>
        <v>アバター</v>
      </c>
      <c r="E296" s="77" t="str">
        <f ca="1">VLOOKUP($A296,OFFSET([2]characters!$A$1,0,0,COUNTA([2]characters!$A:$A),MATCH(E$1,[2]characters!$1:$1,0)-MATCH($A$1,[2]characters!$1:$1,0)+1),MATCH(E$1,[2]characters!$1:$1,0)-MATCH($A$1,[2]characters!$1:$1,0)+1,FALSE)</f>
        <v>格好いい</v>
      </c>
      <c r="F296" s="77" t="str">
        <f ca="1">VLOOKUP($A296,OFFSET([2]characters!$A$1,0,0,COUNTA([2]characters!$A:$A),MATCH(F$1,[2]characters!$1:$1,0)-MATCH($A$1,[2]characters!$1:$1,0)+1),MATCH(F$1,[2]characters!$1:$1,0)-MATCH($A$1,[2]characters!$1:$1,0)+1,FALSE)</f>
        <v>男性</v>
      </c>
      <c r="G296" s="77">
        <f ca="1">VLOOKUP($A296,OFFSET([2]characters!$A$1,0,0,COUNTA([2]characters!$A:$A),MATCH(G$1,[2]characters!$1:$1,0)-MATCH($A$1,[2]characters!$1:$1,0)+1),MATCH(G$1,[2]characters!$1:$1,0)-MATCH($A$1,[2]characters!$1:$1,0)+1,FALSE)</f>
        <v>5</v>
      </c>
      <c r="H296" s="77" t="str">
        <f ca="1">VLOOKUP($A296,OFFSET([2]characters!$A$1,0,0,COUNTA([2]characters!$A:$A),MATCH(H$1,[2]characters!$1:$1,0)-MATCH($A$1,[2]characters!$1:$1,0)+1),MATCH(H$1,[2]characters!$1:$1,0)-MATCH($A$1,[2]characters!$1:$1,0)+1,FALSE)</f>
        <v>Drop2N</v>
      </c>
      <c r="I296" s="77" t="str">
        <f ca="1">VLOOKUP($A296,OFFSET([2]characters!$A$1,0,0,COUNTA([2]characters!$A:$A),MATCH(I$1,[2]characters!$1:$1,0)-MATCH($A$1,[2]characters!$1:$1,0)+1),MATCH(I$1,[2]characters!$1:$1,0)-MATCH($A$1,[2]characters!$1:$1,0)+1,FALSE)</f>
        <v>green</v>
      </c>
      <c r="J296" s="14">
        <f ca="1">VLOOKUP(I296,[2]属性!$A:$E,2,FALSE)</f>
        <v>1.02</v>
      </c>
      <c r="K296" s="14">
        <f ca="1">VLOOKUP(I296,[2]属性!$A:$E,3,FALSE)</f>
        <v>0.98</v>
      </c>
      <c r="L296" s="14">
        <f ca="1">VLOOKUP(I296,[2]属性!$A:$E,4,FALSE)</f>
        <v>1</v>
      </c>
      <c r="M296" s="14">
        <f ca="1">VLOOKUP(I296,[2]属性!$A:$E,5,FALSE)</f>
        <v>1</v>
      </c>
      <c r="N296" s="14">
        <f ca="1">INDEX(コスト!$A$1:$I$20,MATCH(H296,コスト!$A$1:$A$20,FALSE),MATCH(G296,コスト!$A$1:$I$1,FALSE))</f>
        <v>26</v>
      </c>
      <c r="O296" s="14">
        <f ca="1">INDEX(レベル!$A$1:$I$21,MATCH(H296,レベル!$A$1:$A$21,FALSE),MATCH(G296,レベル!$A$1:$I$1,FALSE))</f>
        <v>80</v>
      </c>
      <c r="P296" s="63">
        <f t="shared" ca="1" si="35"/>
        <v>75</v>
      </c>
      <c r="Q296" s="77" t="str">
        <f ca="1">VLOOKUP($A296,OFFSET([2]characters!$A$1,0,0,COUNTA([2]characters!$A:$A),MATCH(Q$1,[2]characters!$1:$1,0)-MATCH($A$1,[2]characters!$1:$1,0)+1),MATCH(Q$1,[2]characters!$1:$1,0)-MATCH($A$1,[2]characters!$1:$1,0)+1,FALSE)</f>
        <v>attack</v>
      </c>
      <c r="R296" s="8" t="str">
        <f ca="1">VLOOKUP(Q296,[2]character_type_i18n!$A:$H,3,FALSE)</f>
        <v>攻撃タイプ</v>
      </c>
      <c r="S296" s="14">
        <f ca="1">VLOOKUP(Q296,[2]character_type_i18n!$A:$H,4,FALSE)</f>
        <v>1</v>
      </c>
      <c r="T296" s="14">
        <f ca="1">VLOOKUP(Q296,[2]character_type_i18n!$A:$H,5,FALSE)</f>
        <v>1.33</v>
      </c>
      <c r="U296" s="14">
        <f ca="1">VLOOKUP(Q296,[2]character_type_i18n!$A:$H,6,FALSE)</f>
        <v>1</v>
      </c>
      <c r="V296" s="14">
        <f ca="1">VLOOKUP(Q296,[2]character_type_i18n!$A:$H,7,FALSE)</f>
        <v>0.67</v>
      </c>
      <c r="W296" s="77" t="str">
        <f ca="1">VLOOKUP($A296,OFFSET([2]characters!$A$1,0,0,COUNTA([2]characters!$A:$A),MATCH(W$1,[2]characters!$1:$1,0)-MATCH($A$1,[2]characters!$1:$1,0)+1),MATCH(W$1,[2]characters!$1:$1,0)-MATCH($A$1,[2]characters!$1:$1,0)+1,FALSE)</f>
        <v>animal</v>
      </c>
      <c r="X296" s="8" t="str">
        <f ca="1">VLOOKUP(W296,[2]character_tribe_i18n!$A:$H,3,FALSE)</f>
        <v>アニマル</v>
      </c>
      <c r="Y296" s="77" t="str">
        <f ca="1">VLOOKUP($A296,OFFSET([2]characters!$A$1,0,0,COUNTA([2]characters!$A:$A),MATCH(Y$1,[2]characters!$1:$1,0)-MATCH($A$1,[2]characters!$1:$1,0)+1),MATCH(Y$1,[2]characters!$1:$1,0)-MATCH($A$1,[2]characters!$1:$1,0)+1,FALSE)</f>
        <v>none</v>
      </c>
      <c r="Z296" s="8" t="str">
        <f ca="1">VLOOKUP(Y296,[2]character_tribe_i18n!$A:$H,3,FALSE)</f>
        <v>種族なし</v>
      </c>
      <c r="AA296" s="14">
        <f ca="1">VLOOKUP(W296,[2]character_tribe_i18n!$A:$H,4,FALSE)</f>
        <v>1</v>
      </c>
      <c r="AB296" s="14">
        <f ca="1">VLOOKUP(W296,[2]character_tribe_i18n!$A:$H,5,FALSE)</f>
        <v>1.1000000000000001</v>
      </c>
      <c r="AC296" s="14">
        <f ca="1">VLOOKUP(W296,[2]character_tribe_i18n!$A:$H,6,FALSE)</f>
        <v>1</v>
      </c>
      <c r="AD296" s="14">
        <f ca="1">VLOOKUP(W296,[2]character_tribe_i18n!$A:$H,7,FALSE)</f>
        <v>0.9</v>
      </c>
      <c r="AE296" s="12" t="s">
        <v>102</v>
      </c>
      <c r="AF296" s="85" t="str">
        <f ca="1">IF(AE296="NULL","",VLOOKUP($AE296,OFFSET([2]characters!$A$1,0,0,COUNTA([2]characters!$A:$A),MATCH(AF$1,[2]characters!$1:$1,0)-MATCH($A$1,[2]characters!$1:$1,0)+1),MATCH(AF$1,[2]characters!$1:$1,0)-MATCH($A$1,[2]characters!$1:$1,0)+1,FALSE))</f>
        <v/>
      </c>
      <c r="AG296" s="8">
        <f t="shared" ca="1" si="30"/>
        <v>294</v>
      </c>
      <c r="AH296" s="85" t="str">
        <f ca="1">VLOOKUP($AG296,OFFSET([2]characters!$A$1,0,0,COUNTA([2]characters!$A:$A),MATCH(AH$1,[2]characters!$1:$1,0)-MATCH($A$1,[2]characters!$1:$1,0)+1),MATCH(AH$1,[2]characters!$1:$1,0)-MATCH($A$1,[2]characters!$1:$1,0)+1,FALSE)</f>
        <v>ウルフ・ザ・レッドイーター</v>
      </c>
      <c r="AI296" s="14" t="str">
        <f>IF(AE296="NULL","NULL",VLOOKUP(G296,ビット!$A$2:$B$7,2))</f>
        <v>NULL</v>
      </c>
      <c r="AJ296" s="9">
        <v>2</v>
      </c>
      <c r="AK296" s="10" t="str">
        <f t="shared" si="31"/>
        <v>普通</v>
      </c>
      <c r="AL296" s="14" t="str">
        <f ca="1">INDEX(経験値!$A$1:$I$20,MATCH(H296,経験値!$A$1:$A$20,FALSE),MATCH(G296,経験値!$A$1:$I$1,FALSE))</f>
        <v>required_exp_200</v>
      </c>
      <c r="AM296" s="11">
        <f ca="1">VLOOKUP(G296,経験値!$A$27:$B$31,2)</f>
        <v>6400</v>
      </c>
      <c r="AN296" s="21">
        <f ca="1">VLOOKUP(G296,ビット!$G$2:$H$7,2)</f>
        <v>900</v>
      </c>
      <c r="AO296" s="98" t="s">
        <v>185</v>
      </c>
      <c r="AP296" s="97">
        <v>312022</v>
      </c>
      <c r="AQ296" s="77" t="e">
        <f ca="1">VLOOKUP($AP296,OFFSET([1]unit_skills!$A$1,0,0,COUNTA([1]unit_skills!$A:$A),MATCH("name",[1]unit_skills!$1:$1,0)-MATCH($AP$1,[1]unit_skills!$1:$1,0)+1),MATCH("name",[1]unit_skills!$1:$1,0)-MATCH($AP$1,[1]unit_skills!$1:$1,0)+1,FALSE)</f>
        <v>#VALUE!</v>
      </c>
      <c r="AR296" s="77" t="e">
        <f ca="1">VLOOKUP($AP296,OFFSET([1]unit_skills!$A$1,0,0,COUNTA([1]unit_skills!$A:$A),MATCH("comment",[1]unit_skills!$1:$1,0)-MATCH($AP$1,[1]unit_skills!$1:$1,0)+1),MATCH("comment",[1]unit_skills!$1:$1,0)-MATCH($AP$1,[1]unit_skills!$1:$1,0)+1,FALSE)</f>
        <v>#VALUE!</v>
      </c>
      <c r="AS296" s="77" t="e">
        <f ca="1">VLOOKUP($AP296,OFFSET([1]unit_skills!$A$1,0,0,COUNTA([1]unit_skills!$A:$A),MATCH(AS$1,[1]unit_skills!$1:$1,0)-MATCH($AP$1,[1]unit_skills!$1:$1,0)+1),MATCH(AS$1,[1]unit_skills!$1:$1,0)-MATCH($AP$1,[1]unit_skills!$1:$1,0)+1,FALSE)</f>
        <v>#VALUE!</v>
      </c>
      <c r="AT296" s="97">
        <v>212004</v>
      </c>
      <c r="AU296" s="77" t="e">
        <f ca="1">VLOOKUP($AT296,OFFSET([1]crash_skills!$A$1,0,0,COUNTA([1]crash_skills!$A:$A),MATCH("name",[1]crash_skills!$1:$1,0)-MATCH($AT$1,[1]crash_skills!$1:$1,0)+1),MATCH("name",[1]crash_skills!$1:$1,0)-MATCH($AT$1,[1]crash_skills!$1:$1,0)+1,FALSE)</f>
        <v>#VALUE!</v>
      </c>
      <c r="AV296" s="77" t="e">
        <f ca="1">VLOOKUP($AT296,OFFSET([1]crash_skills!$A$1,0,0,COUNTA([1]crash_skills!$A:$A),MATCH("comment",[1]crash_skills!$1:$1,0)-MATCH($AT$1,[1]crash_skills!$1:$1,0)+1),MATCH("comment",[1]crash_skills!$1:$1,0)-MATCH($AT$1,[1]crash_skills!$1:$1,0)+1,FALSE)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96" s="77" t="e">
        <f ca="1">VLOOKUP($AT296,OFFSET([1]crash_skills!$A$1,0,0,COUNTA([1]crash_skills!$A:$A),MATCH(AW$1,[1]crash_skills!$1:$1,0)-MATCH($AT$1,[1]crash_skills!$1:$1,0)+1),MATCH(AW$1,[1]crash_skills!$1:$1,0)-MATCH($AT$1,[1]crash_skills!$1:$1,0)+1,FALSE)</f>
        <v>#VALUE!</v>
      </c>
      <c r="AX296" s="81">
        <f ca="1">VLOOKUP($A296,OFFSET([2]characters!$A$1,0,0,COUNTA([2]characters!$A:$A),MATCH(AX$1,[2]characters!$1:$1,0)-MATCH($A$1,[2]characters!$1:$1,0)+1),MATCH(AX$1,[2]characters!$1:$1,0)-MATCH($A$1,[2]characters!$1:$1,0)+1,FALSE)</f>
        <v>3</v>
      </c>
      <c r="AY296" s="19">
        <v>1</v>
      </c>
      <c r="AZ296" s="19">
        <v>1</v>
      </c>
      <c r="BA296" s="19">
        <v>0</v>
      </c>
      <c r="BB296" s="19">
        <v>1</v>
      </c>
      <c r="BC296" s="14">
        <f ca="1">INDEX('RC6SV'!$A$1:$G$20,MATCH(H296,'RC6SV'!$A$1:$A$20,FALSE),MATCH(G296,'RC6SV'!$A$1:$G$1,FALSE))</f>
        <v>7600</v>
      </c>
      <c r="BD296" s="63">
        <f t="shared" ca="1" si="32"/>
        <v>7600</v>
      </c>
      <c r="BE296" s="14">
        <f t="shared" ca="1" si="33"/>
        <v>5800</v>
      </c>
      <c r="BF296" s="14">
        <f t="shared" ca="1" si="34"/>
        <v>1</v>
      </c>
      <c r="BG296" s="20">
        <f ca="1">IF($BE296&lt;=0,ROUND(BK296*0.5,0), ROUND($BE296*S296*AA296*J296*AY296*0.8*[2]ステータス!$B$2,0))</f>
        <v>2366</v>
      </c>
      <c r="BH296" s="20">
        <f ca="1">IF($BE296&lt;=0,ROUND(BL296*0.5,0), ROUND($BE296*T296*AB296*K296*AZ296*0.8*[2]ステータス!$C$2,0))</f>
        <v>1996</v>
      </c>
      <c r="BI296" s="20">
        <f ca="1">IF($BE296&lt;=0,ROUND(BM296*0.5,0), ROUND($BE296*U296*AC296*L296*BA296*0.8*[2]ステータス!$D$2,0))</f>
        <v>0</v>
      </c>
      <c r="BJ296" s="20">
        <f ca="1">IF($BE296&lt;=0,ROUND(BN296*0.5,0), ROUND($BE296*V296*AD296*M296*BB296*0.8*[2]ステータス!$E$2,0))</f>
        <v>699</v>
      </c>
      <c r="BK296" s="14">
        <f ca="1">ROUND(BD296*S296*AA296*J296*AY296*[2]ステータス!$B$2,0)</f>
        <v>3876</v>
      </c>
      <c r="BL296" s="14">
        <f ca="1">ROUND(BD296*T296*AB296*K296*AZ296*[2]ステータス!$C$2,0)</f>
        <v>3269</v>
      </c>
      <c r="BM296" s="14">
        <f ca="1">ROUND(BD296*U296*AC296*L296*BA296*[2]ステータス!$D$2,0)</f>
        <v>0</v>
      </c>
      <c r="BN296" s="14">
        <f ca="1">ROUND(BD296*V296*AD296*M296*BB296*[2]ステータス!$E$2,0)</f>
        <v>1146</v>
      </c>
      <c r="BO296" s="13">
        <v>0</v>
      </c>
      <c r="BP296" s="13">
        <v>1</v>
      </c>
      <c r="BQ296" s="13" t="s">
        <v>102</v>
      </c>
      <c r="BR296" s="13">
        <f ca="1">VLOOKUP(H296,ghosts_label!$A$2:$B$19,2,FALSE)</f>
        <v>1</v>
      </c>
    </row>
    <row r="297" spans="1:70" ht="21" customHeight="1" x14ac:dyDescent="0.15">
      <c r="A297" s="14">
        <f t="shared" ca="1" si="29"/>
        <v>296</v>
      </c>
      <c r="B297" s="77" t="str">
        <f ca="1">VLOOKUP($A297,OFFSET([2]characters!$A$1,0,0,COUNTA([2]characters!$A:$A),MATCH(B$1,[2]characters!$1:$1,0)-MATCH($A$1,[2]characters!$1:$1,0)+1),MATCH(B$1,[2]characters!$1:$1,0)-MATCH($A$1,[2]characters!$1:$1,0)+1,FALSE)</f>
        <v>アザゼル</v>
      </c>
      <c r="C297" s="77" t="str">
        <f ca="1">VLOOKUP($A297,OFFSET([2]characters!$A$1,0,0,COUNTA([2]characters!$A:$A),MATCH(C$1,[2]characters!$1:$1,0)-MATCH($A$1,[2]characters!$1:$1,0)+1),MATCH(C$1,[2]characters!$1:$1,0)-MATCH($A$1,[2]characters!$1:$1,0)+1,FALSE)</f>
        <v>イベント:ウィザード</v>
      </c>
      <c r="D297" s="77" t="str">
        <f ca="1">VLOOKUP($A297,OFFSET([2]characters!$A$1,0,0,COUNTA([2]characters!$A:$A),MATCH(D$1,[2]characters!$1:$1,0)-MATCH($A$1,[2]characters!$1:$1,0)+1),MATCH(D$1,[2]characters!$1:$1,0)-MATCH($A$1,[2]characters!$1:$1,0)+1,FALSE)</f>
        <v>執行者</v>
      </c>
      <c r="E297" s="77" t="str">
        <f ca="1">VLOOKUP($A297,OFFSET([2]characters!$A$1,0,0,COUNTA([2]characters!$A:$A),MATCH(E$1,[2]characters!$1:$1,0)-MATCH($A$1,[2]characters!$1:$1,0)+1),MATCH(E$1,[2]characters!$1:$1,0)-MATCH($A$1,[2]characters!$1:$1,0)+1,FALSE)</f>
        <v>格好いい</v>
      </c>
      <c r="F297" s="77" t="str">
        <f ca="1">VLOOKUP($A297,OFFSET([2]characters!$A$1,0,0,COUNTA([2]characters!$A:$A),MATCH(F$1,[2]characters!$1:$1,0)-MATCH($A$1,[2]characters!$1:$1,0)+1),MATCH(F$1,[2]characters!$1:$1,0)-MATCH($A$1,[2]characters!$1:$1,0)+1,FALSE)</f>
        <v>男性</v>
      </c>
      <c r="G297" s="77">
        <f ca="1">VLOOKUP($A297,OFFSET([2]characters!$A$1,0,0,COUNTA([2]characters!$A:$A),MATCH(G$1,[2]characters!$1:$1,0)-MATCH($A$1,[2]characters!$1:$1,0)+1),MATCH(G$1,[2]characters!$1:$1,0)-MATCH($A$1,[2]characters!$1:$1,0)+1,FALSE)</f>
        <v>4</v>
      </c>
      <c r="H297" s="77" t="str">
        <f ca="1">VLOOKUP($A297,OFFSET([2]characters!$A$1,0,0,COUNTA([2]characters!$A:$A),MATCH(H$1,[2]characters!$1:$1,0)-MATCH($A$1,[2]characters!$1:$1,0)+1),MATCH(H$1,[2]characters!$1:$1,0)-MATCH($A$1,[2]characters!$1:$1,0)+1,FALSE)</f>
        <v>DropWizS</v>
      </c>
      <c r="I297" s="77" t="str">
        <f ca="1">VLOOKUP($A297,OFFSET([2]characters!$A$1,0,0,COUNTA([2]characters!$A:$A),MATCH(I$1,[2]characters!$1:$1,0)-MATCH($A$1,[2]characters!$1:$1,0)+1),MATCH(I$1,[2]characters!$1:$1,0)-MATCH($A$1,[2]characters!$1:$1,0)+1,FALSE)</f>
        <v>green</v>
      </c>
      <c r="J297" s="14">
        <f ca="1">VLOOKUP(I297,[2]属性!$A:$E,2,FALSE)</f>
        <v>1.02</v>
      </c>
      <c r="K297" s="14">
        <f ca="1">VLOOKUP(I297,[2]属性!$A:$E,3,FALSE)</f>
        <v>0.98</v>
      </c>
      <c r="L297" s="14">
        <f ca="1">VLOOKUP(I297,[2]属性!$A:$E,4,FALSE)</f>
        <v>1</v>
      </c>
      <c r="M297" s="14">
        <f ca="1">VLOOKUP(I297,[2]属性!$A:$E,5,FALSE)</f>
        <v>1</v>
      </c>
      <c r="N297" s="14">
        <f ca="1">INDEX(コスト!$A$1:$I$20,MATCH(H297,コスト!$A$1:$A$20,FALSE),MATCH(G297,コスト!$A$1:$I$1,FALSE))</f>
        <v>20</v>
      </c>
      <c r="O297" s="14">
        <f ca="1">INDEX(レベル!$A$1:$I$21,MATCH(H297,レベル!$A$1:$A$21,FALSE),MATCH(G297,レベル!$A$1:$I$1,FALSE))</f>
        <v>60</v>
      </c>
      <c r="P297" s="63">
        <f t="shared" ca="1" si="35"/>
        <v>60</v>
      </c>
      <c r="Q297" s="77" t="str">
        <f ca="1">VLOOKUP($A297,OFFSET([2]characters!$A$1,0,0,COUNTA([2]characters!$A:$A),MATCH(Q$1,[2]characters!$1:$1,0)-MATCH($A$1,[2]characters!$1:$1,0)+1),MATCH(Q$1,[2]characters!$1:$1,0)-MATCH($A$1,[2]characters!$1:$1,0)+1,FALSE)</f>
        <v>technical</v>
      </c>
      <c r="R297" s="8" t="str">
        <f ca="1">VLOOKUP(Q297,[2]character_type_i18n!$A:$H,3,FALSE)</f>
        <v>テクニカルタイプ</v>
      </c>
      <c r="S297" s="14">
        <f ca="1">VLOOKUP(Q297,[2]character_type_i18n!$A:$H,4,FALSE)</f>
        <v>0.9</v>
      </c>
      <c r="T297" s="14">
        <f ca="1">VLOOKUP(Q297,[2]character_type_i18n!$A:$H,5,FALSE)</f>
        <v>0.9</v>
      </c>
      <c r="U297" s="14">
        <f ca="1">VLOOKUP(Q297,[2]character_type_i18n!$A:$H,6,FALSE)</f>
        <v>1</v>
      </c>
      <c r="V297" s="14">
        <f ca="1">VLOOKUP(Q297,[2]character_type_i18n!$A:$H,7,FALSE)</f>
        <v>0.9</v>
      </c>
      <c r="W297" s="77" t="str">
        <f ca="1">VLOOKUP($A297,OFFSET([2]characters!$A$1,0,0,COUNTA([2]characters!$A:$A),MATCH(W$1,[2]characters!$1:$1,0)-MATCH($A$1,[2]characters!$1:$1,0)+1),MATCH(W$1,[2]characters!$1:$1,0)-MATCH($A$1,[2]characters!$1:$1,0)+1,FALSE)</f>
        <v>god</v>
      </c>
      <c r="X297" s="8" t="str">
        <f ca="1">VLOOKUP(W297,[2]character_tribe_i18n!$A:$H,3,FALSE)</f>
        <v>ゴッド</v>
      </c>
      <c r="Y297" s="77" t="str">
        <f ca="1">VLOOKUP($A297,OFFSET([2]characters!$A$1,0,0,COUNTA([2]characters!$A:$A),MATCH(Y$1,[2]characters!$1:$1,0)-MATCH($A$1,[2]characters!$1:$1,0)+1),MATCH(Y$1,[2]characters!$1:$1,0)-MATCH($A$1,[2]characters!$1:$1,0)+1,FALSE)</f>
        <v>none</v>
      </c>
      <c r="Z297" s="8" t="str">
        <f ca="1">VLOOKUP(Y297,[2]character_tribe_i18n!$A:$H,3,FALSE)</f>
        <v>種族なし</v>
      </c>
      <c r="AA297" s="14">
        <f ca="1">VLOOKUP(W297,[2]character_tribe_i18n!$A:$H,4,FALSE)</f>
        <v>0.96</v>
      </c>
      <c r="AB297" s="14">
        <f ca="1">VLOOKUP(W297,[2]character_tribe_i18n!$A:$H,5,FALSE)</f>
        <v>1.02</v>
      </c>
      <c r="AC297" s="14">
        <f ca="1">VLOOKUP(W297,[2]character_tribe_i18n!$A:$H,6,FALSE)</f>
        <v>1</v>
      </c>
      <c r="AD297" s="14">
        <f ca="1">VLOOKUP(W297,[2]character_tribe_i18n!$A:$H,7,FALSE)</f>
        <v>1.02</v>
      </c>
      <c r="AE297" s="12">
        <v>297</v>
      </c>
      <c r="AF297" s="85" t="str">
        <f ca="1">IF(AE297="NULL","",VLOOKUP($AE297,OFFSET([2]characters!$A$1,0,0,COUNTA([2]characters!$A:$A),MATCH(AF$1,[2]characters!$1:$1,0)-MATCH($A$1,[2]characters!$1:$1,0)+1),MATCH(AF$1,[2]characters!$1:$1,0)-MATCH($A$1,[2]characters!$1:$1,0)+1,FALSE))</f>
        <v>狂靭なる双撃 アザゼル</v>
      </c>
      <c r="AG297" s="8">
        <f t="shared" ca="1" si="30"/>
        <v>296</v>
      </c>
      <c r="AH297" s="85" t="str">
        <f ca="1">VLOOKUP($AG297,OFFSET([2]characters!$A$1,0,0,COUNTA([2]characters!$A:$A),MATCH(AH$1,[2]characters!$1:$1,0)-MATCH($A$1,[2]characters!$1:$1,0)+1),MATCH(AH$1,[2]characters!$1:$1,0)-MATCH($A$1,[2]characters!$1:$1,0)+1,FALSE)</f>
        <v>アザゼル</v>
      </c>
      <c r="AI297" s="14">
        <f ca="1">IF(AE297="NULL","NULL",VLOOKUP(G297,ビット!$A$2:$B$7,2))</f>
        <v>50000</v>
      </c>
      <c r="AJ297" s="9">
        <v>2</v>
      </c>
      <c r="AK297" s="10" t="str">
        <f t="shared" si="31"/>
        <v>普通</v>
      </c>
      <c r="AL297" s="14" t="str">
        <f ca="1">INDEX(経験値!$A$1:$I$20,MATCH(H297,経験値!$A$1:$A$20,FALSE),MATCH(G297,経験値!$A$1:$I$1,FALSE))</f>
        <v>required_exp_200</v>
      </c>
      <c r="AM297" s="11">
        <f ca="1">VLOOKUP(G297,経験値!$A$27:$B$31,2)</f>
        <v>3400</v>
      </c>
      <c r="AN297" s="21">
        <f ca="1">VLOOKUP(G297,ビット!$G$2:$H$7,2)</f>
        <v>600</v>
      </c>
      <c r="AO297" s="98"/>
      <c r="AP297" s="4">
        <v>514004</v>
      </c>
      <c r="AQ297" s="77" t="e">
        <f ca="1">VLOOKUP($AP297,OFFSET([1]unit_skills!$A$1,0,0,COUNTA([1]unit_skills!$A:$A),MATCH("name",[1]unit_skills!$1:$1,0)-MATCH($AP$1,[1]unit_skills!$1:$1,0)+1),MATCH("name",[1]unit_skills!$1:$1,0)-MATCH($AP$1,[1]unit_skills!$1:$1,0)+1,FALSE)</f>
        <v>#VALUE!</v>
      </c>
      <c r="AR297" s="77" t="e">
        <f ca="1">VLOOKUP($AP297,OFFSET([1]unit_skills!$A$1,0,0,COUNTA([1]unit_skills!$A:$A),MATCH("comment",[1]unit_skills!$1:$1,0)-MATCH($AP$1,[1]unit_skills!$1:$1,0)+1),MATCH("comment",[1]unit_skills!$1:$1,0)-MATCH($AP$1,[1]unit_skills!$1:$1,0)+1,FALSE)</f>
        <v>#VALUE!</v>
      </c>
      <c r="AS297" s="77" t="e">
        <f ca="1">VLOOKUP($AP297,OFFSET([1]unit_skills!$A$1,0,0,COUNTA([1]unit_skills!$A:$A),MATCH(AS$1,[1]unit_skills!$1:$1,0)-MATCH($AP$1,[1]unit_skills!$1:$1,0)+1),MATCH(AS$1,[1]unit_skills!$1:$1,0)-MATCH($AP$1,[1]unit_skills!$1:$1,0)+1,FALSE)</f>
        <v>#VALUE!</v>
      </c>
      <c r="AT297" s="53">
        <v>182107</v>
      </c>
      <c r="AU297" s="77" t="e">
        <f ca="1">VLOOKUP($AT297,OFFSET([1]crash_skills!$A$1,0,0,COUNTA([1]crash_skills!$A:$A),MATCH("name",[1]crash_skills!$1:$1,0)-MATCH($AT$1,[1]crash_skills!$1:$1,0)+1),MATCH("name",[1]crash_skills!$1:$1,0)-MATCH($AT$1,[1]crash_skills!$1:$1,0)+1,FALSE)</f>
        <v>#VALUE!</v>
      </c>
      <c r="AV297" s="77" t="e">
        <f ca="1">VLOOKUP($AT297,OFFSET([1]crash_skills!$A$1,0,0,COUNTA([1]crash_skills!$A:$A),MATCH("comment",[1]crash_skills!$1:$1,0)-MATCH($AT$1,[1]crash_skills!$1:$1,0)+1),MATCH("comment",[1]crash_skills!$1:$1,0)-MATCH($AT$1,[1]crash_skills!$1:$1,0)+1,FALSE)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97" s="77" t="e">
        <f ca="1">VLOOKUP($AT297,OFFSET([1]crash_skills!$A$1,0,0,COUNTA([1]crash_skills!$A:$A),MATCH(AW$1,[1]crash_skills!$1:$1,0)-MATCH($AT$1,[1]crash_skills!$1:$1,0)+1),MATCH(AW$1,[1]crash_skills!$1:$1,0)-MATCH($AT$1,[1]crash_skills!$1:$1,0)+1,FALSE)</f>
        <v>#VALUE!</v>
      </c>
      <c r="AX297" s="81">
        <f ca="1">VLOOKUP($A297,OFFSET([2]characters!$A$1,0,0,COUNTA([2]characters!$A:$A),MATCH(AX$1,[2]characters!$1:$1,0)-MATCH($A$1,[2]characters!$1:$1,0)+1),MATCH(AX$1,[2]characters!$1:$1,0)-MATCH($A$1,[2]characters!$1:$1,0)+1,FALSE)</f>
        <v>3</v>
      </c>
      <c r="AY297" s="139">
        <v>1.1000000000000001</v>
      </c>
      <c r="AZ297" s="139">
        <v>1.2370000000000001</v>
      </c>
      <c r="BA297" s="139">
        <v>0</v>
      </c>
      <c r="BB297" s="139">
        <v>1.01</v>
      </c>
      <c r="BC297" s="14">
        <f ca="1">INDEX('RC6SV'!$A$1:$G$20,MATCH(H297,'RC6SV'!$A$1:$A$20,FALSE),MATCH(G297,'RC6SV'!$A$1:$G$1,FALSE))</f>
        <v>7000</v>
      </c>
      <c r="BD297" s="63">
        <f t="shared" ca="1" si="32"/>
        <v>7000</v>
      </c>
      <c r="BE297" s="14">
        <f t="shared" ca="1" si="33"/>
        <v>0</v>
      </c>
      <c r="BF297" s="14">
        <f t="shared" ca="1" si="34"/>
        <v>1</v>
      </c>
      <c r="BG297" s="20">
        <f ca="1">IF($BE297&lt;=0,ROUND(BK297*0.5,0), ROUND($BE297*S297*AA297*J297*AY297*0.8*[2]ステータス!$B$2,0))</f>
        <v>1697</v>
      </c>
      <c r="BH297" s="20">
        <f ca="1">IF($BE297&lt;=0,ROUND(BL297*0.5,0), ROUND($BE297*T297*AB297*K297*AZ297*0.8*[2]ステータス!$C$2,0))</f>
        <v>1169</v>
      </c>
      <c r="BI297" s="20">
        <f ca="1">IF($BE297&lt;=0,ROUND(BM297*0.5,0), ROUND($BE297*U297*AC297*L297*BA297*0.8*[2]ステータス!$D$2,0))</f>
        <v>0</v>
      </c>
      <c r="BJ297" s="20">
        <f ca="1">IF($BE297&lt;=0,ROUND(BN297*0.5,0), ROUND($BE297*V297*AD297*M297*BB297*0.8*[2]ステータス!$E$2,0))</f>
        <v>812</v>
      </c>
      <c r="BK297" s="14">
        <f ca="1">ROUND(BD297*S297*AA297*J297*AY297*[2]ステータス!$B$2,0)</f>
        <v>3393</v>
      </c>
      <c r="BL297" s="14">
        <f ca="1">ROUND(BD297*T297*AB297*K297*AZ297*[2]ステータス!$C$2,0)</f>
        <v>2337</v>
      </c>
      <c r="BM297" s="14">
        <f ca="1">ROUND(BD297*U297*AC297*L297*BA297*[2]ステータス!$D$2,0)</f>
        <v>0</v>
      </c>
      <c r="BN297" s="14">
        <f ca="1">ROUND(BD297*V297*AD297*M297*BB297*[2]ステータス!$E$2,0)</f>
        <v>1623</v>
      </c>
      <c r="BO297" s="13">
        <v>0</v>
      </c>
      <c r="BP297" s="13">
        <v>1</v>
      </c>
      <c r="BQ297" s="13" t="s">
        <v>102</v>
      </c>
      <c r="BR297" s="13">
        <f ca="1">VLOOKUP(H297,ghosts_label!$A$2:$B$19,2,FALSE)</f>
        <v>1</v>
      </c>
    </row>
    <row r="298" spans="1:70" ht="21" customHeight="1" x14ac:dyDescent="0.15">
      <c r="A298" s="14">
        <f t="shared" ca="1" si="29"/>
        <v>297</v>
      </c>
      <c r="B298" s="77" t="str">
        <f ca="1">VLOOKUP($A298,OFFSET([2]characters!$A$1,0,0,COUNTA([2]characters!$A:$A),MATCH(B$1,[2]characters!$1:$1,0)-MATCH($A$1,[2]characters!$1:$1,0)+1),MATCH(B$1,[2]characters!$1:$1,0)-MATCH($A$1,[2]characters!$1:$1,0)+1,FALSE)</f>
        <v>狂靭なる双撃 アザゼル</v>
      </c>
      <c r="C298" s="77" t="str">
        <f ca="1">VLOOKUP($A298,OFFSET([2]characters!$A$1,0,0,COUNTA([2]characters!$A:$A),MATCH(C$1,[2]characters!$1:$1,0)-MATCH($A$1,[2]characters!$1:$1,0)+1),MATCH(C$1,[2]characters!$1:$1,0)-MATCH($A$1,[2]characters!$1:$1,0)+1,FALSE)</f>
        <v>イベント:ウィザード</v>
      </c>
      <c r="D298" s="77" t="str">
        <f ca="1">VLOOKUP($A298,OFFSET([2]characters!$A$1,0,0,COUNTA([2]characters!$A:$A),MATCH(D$1,[2]characters!$1:$1,0)-MATCH($A$1,[2]characters!$1:$1,0)+1),MATCH(D$1,[2]characters!$1:$1,0)-MATCH($A$1,[2]characters!$1:$1,0)+1,FALSE)</f>
        <v>執行者</v>
      </c>
      <c r="E298" s="77" t="str">
        <f ca="1">VLOOKUP($A298,OFFSET([2]characters!$A$1,0,0,COUNTA([2]characters!$A:$A),MATCH(E$1,[2]characters!$1:$1,0)-MATCH($A$1,[2]characters!$1:$1,0)+1),MATCH(E$1,[2]characters!$1:$1,0)-MATCH($A$1,[2]characters!$1:$1,0)+1,FALSE)</f>
        <v>格好いい</v>
      </c>
      <c r="F298" s="77" t="str">
        <f ca="1">VLOOKUP($A298,OFFSET([2]characters!$A$1,0,0,COUNTA([2]characters!$A:$A),MATCH(F$1,[2]characters!$1:$1,0)-MATCH($A$1,[2]characters!$1:$1,0)+1),MATCH(F$1,[2]characters!$1:$1,0)-MATCH($A$1,[2]characters!$1:$1,0)+1,FALSE)</f>
        <v>男性</v>
      </c>
      <c r="G298" s="77">
        <f ca="1">VLOOKUP($A298,OFFSET([2]characters!$A$1,0,0,COUNTA([2]characters!$A:$A),MATCH(G$1,[2]characters!$1:$1,0)-MATCH($A$1,[2]characters!$1:$1,0)+1),MATCH(G$1,[2]characters!$1:$1,0)-MATCH($A$1,[2]characters!$1:$1,0)+1,FALSE)</f>
        <v>5</v>
      </c>
      <c r="H298" s="77" t="str">
        <f ca="1">VLOOKUP($A298,OFFSET([2]characters!$A$1,0,0,COUNTA([2]characters!$A:$A),MATCH(H$1,[2]characters!$1:$1,0)-MATCH($A$1,[2]characters!$1:$1,0)+1),MATCH(H$1,[2]characters!$1:$1,0)-MATCH($A$1,[2]characters!$1:$1,0)+1,FALSE)</f>
        <v>DropWizS</v>
      </c>
      <c r="I298" s="77" t="str">
        <f ca="1">VLOOKUP($A298,OFFSET([2]characters!$A$1,0,0,COUNTA([2]characters!$A:$A),MATCH(I$1,[2]characters!$1:$1,0)-MATCH($A$1,[2]characters!$1:$1,0)+1),MATCH(I$1,[2]characters!$1:$1,0)-MATCH($A$1,[2]characters!$1:$1,0)+1,FALSE)</f>
        <v>green</v>
      </c>
      <c r="J298" s="14">
        <f ca="1">VLOOKUP(I298,[2]属性!$A:$E,2,FALSE)</f>
        <v>1.02</v>
      </c>
      <c r="K298" s="14">
        <f ca="1">VLOOKUP(I298,[2]属性!$A:$E,3,FALSE)</f>
        <v>0.98</v>
      </c>
      <c r="L298" s="14">
        <f ca="1">VLOOKUP(I298,[2]属性!$A:$E,4,FALSE)</f>
        <v>1</v>
      </c>
      <c r="M298" s="14">
        <f ca="1">VLOOKUP(I298,[2]属性!$A:$E,5,FALSE)</f>
        <v>1</v>
      </c>
      <c r="N298" s="14">
        <f ca="1">INDEX(コスト!$A$1:$I$20,MATCH(H298,コスト!$A$1:$A$20,FALSE),MATCH(G298,コスト!$A$1:$I$1,FALSE))</f>
        <v>30</v>
      </c>
      <c r="O298" s="14">
        <f ca="1">INDEX(レベル!$A$1:$I$21,MATCH(H298,レベル!$A$1:$A$21,FALSE),MATCH(G298,レベル!$A$1:$I$1,FALSE))</f>
        <v>80</v>
      </c>
      <c r="P298" s="63">
        <f t="shared" ca="1" si="35"/>
        <v>75</v>
      </c>
      <c r="Q298" s="77" t="str">
        <f ca="1">VLOOKUP($A298,OFFSET([2]characters!$A$1,0,0,COUNTA([2]characters!$A:$A),MATCH(Q$1,[2]characters!$1:$1,0)-MATCH($A$1,[2]characters!$1:$1,0)+1),MATCH(Q$1,[2]characters!$1:$1,0)-MATCH($A$1,[2]characters!$1:$1,0)+1,FALSE)</f>
        <v>technical</v>
      </c>
      <c r="R298" s="8" t="str">
        <f ca="1">VLOOKUP(Q298,[2]character_type_i18n!$A:$H,3,FALSE)</f>
        <v>テクニカルタイプ</v>
      </c>
      <c r="S298" s="14">
        <f ca="1">VLOOKUP(Q298,[2]character_type_i18n!$A:$H,4,FALSE)</f>
        <v>0.9</v>
      </c>
      <c r="T298" s="14">
        <f ca="1">VLOOKUP(Q298,[2]character_type_i18n!$A:$H,5,FALSE)</f>
        <v>0.9</v>
      </c>
      <c r="U298" s="14">
        <f ca="1">VLOOKUP(Q298,[2]character_type_i18n!$A:$H,6,FALSE)</f>
        <v>1</v>
      </c>
      <c r="V298" s="14">
        <f ca="1">VLOOKUP(Q298,[2]character_type_i18n!$A:$H,7,FALSE)</f>
        <v>0.9</v>
      </c>
      <c r="W298" s="77" t="str">
        <f ca="1">VLOOKUP($A298,OFFSET([2]characters!$A$1,0,0,COUNTA([2]characters!$A:$A),MATCH(W$1,[2]characters!$1:$1,0)-MATCH($A$1,[2]characters!$1:$1,0)+1),MATCH(W$1,[2]characters!$1:$1,0)-MATCH($A$1,[2]characters!$1:$1,0)+1,FALSE)</f>
        <v>god</v>
      </c>
      <c r="X298" s="8" t="str">
        <f ca="1">VLOOKUP(W298,[2]character_tribe_i18n!$A:$H,3,FALSE)</f>
        <v>ゴッド</v>
      </c>
      <c r="Y298" s="77" t="str">
        <f ca="1">VLOOKUP($A298,OFFSET([2]characters!$A$1,0,0,COUNTA([2]characters!$A:$A),MATCH(Y$1,[2]characters!$1:$1,0)-MATCH($A$1,[2]characters!$1:$1,0)+1),MATCH(Y$1,[2]characters!$1:$1,0)-MATCH($A$1,[2]characters!$1:$1,0)+1,FALSE)</f>
        <v>none</v>
      </c>
      <c r="Z298" s="8" t="str">
        <f ca="1">VLOOKUP(Y298,[2]character_tribe_i18n!$A:$H,3,FALSE)</f>
        <v>種族なし</v>
      </c>
      <c r="AA298" s="14">
        <f ca="1">VLOOKUP(W298,[2]character_tribe_i18n!$A:$H,4,FALSE)</f>
        <v>0.96</v>
      </c>
      <c r="AB298" s="14">
        <f ca="1">VLOOKUP(W298,[2]character_tribe_i18n!$A:$H,5,FALSE)</f>
        <v>1.02</v>
      </c>
      <c r="AC298" s="14">
        <f ca="1">VLOOKUP(W298,[2]character_tribe_i18n!$A:$H,6,FALSE)</f>
        <v>1</v>
      </c>
      <c r="AD298" s="14">
        <f ca="1">VLOOKUP(W298,[2]character_tribe_i18n!$A:$H,7,FALSE)</f>
        <v>1.02</v>
      </c>
      <c r="AE298" s="12">
        <v>812</v>
      </c>
      <c r="AF298" s="85" t="str">
        <f ca="1">IF(AE298="NULL","",VLOOKUP($AE298,OFFSET([2]characters!$A$1,0,0,COUNTA([2]characters!$A:$A),MATCH(AF$1,[2]characters!$1:$1,0)-MATCH($A$1,[2]characters!$1:$1,0)+1),MATCH(AF$1,[2]characters!$1:$1,0)-MATCH($A$1,[2]characters!$1:$1,0)+1,FALSE))</f>
        <v>凶膨なる殲滅 アザゼル</v>
      </c>
      <c r="AG298" s="8">
        <f t="shared" ca="1" si="30"/>
        <v>296</v>
      </c>
      <c r="AH298" s="85" t="str">
        <f ca="1">VLOOKUP($AG298,OFFSET([2]characters!$A$1,0,0,COUNTA([2]characters!$A:$A),MATCH(AH$1,[2]characters!$1:$1,0)-MATCH($A$1,[2]characters!$1:$1,0)+1),MATCH(AH$1,[2]characters!$1:$1,0)-MATCH($A$1,[2]characters!$1:$1,0)+1,FALSE)</f>
        <v>アザゼル</v>
      </c>
      <c r="AI298" s="14">
        <f ca="1">IF(AE298="NULL","NULL",VLOOKUP(G298,ビット!$A$2:$B$7,2))</f>
        <v>200000</v>
      </c>
      <c r="AJ298" s="9">
        <v>2</v>
      </c>
      <c r="AK298" s="10" t="str">
        <f t="shared" si="31"/>
        <v>普通</v>
      </c>
      <c r="AL298" s="14" t="str">
        <f ca="1">INDEX(経験値!$A$1:$I$20,MATCH(H298,経験値!$A$1:$A$20,FALSE),MATCH(G298,経験値!$A$1:$I$1,FALSE))</f>
        <v>required_exp_200</v>
      </c>
      <c r="AM298" s="11">
        <f ca="1">VLOOKUP(G298,経験値!$A$27:$B$31,2)</f>
        <v>6400</v>
      </c>
      <c r="AN298" s="21">
        <f ca="1">VLOOKUP(G298,ビット!$G$2:$H$7,2)</f>
        <v>900</v>
      </c>
      <c r="AO298" s="98"/>
      <c r="AP298" s="4">
        <v>514004</v>
      </c>
      <c r="AQ298" s="77" t="e">
        <f ca="1">VLOOKUP($AP298,OFFSET([1]unit_skills!$A$1,0,0,COUNTA([1]unit_skills!$A:$A),MATCH("name",[1]unit_skills!$1:$1,0)-MATCH($AP$1,[1]unit_skills!$1:$1,0)+1),MATCH("name",[1]unit_skills!$1:$1,0)-MATCH($AP$1,[1]unit_skills!$1:$1,0)+1,FALSE)</f>
        <v>#VALUE!</v>
      </c>
      <c r="AR298" s="77" t="e">
        <f ca="1">VLOOKUP($AP298,OFFSET([1]unit_skills!$A$1,0,0,COUNTA([1]unit_skills!$A:$A),MATCH("comment",[1]unit_skills!$1:$1,0)-MATCH($AP$1,[1]unit_skills!$1:$1,0)+1),MATCH("comment",[1]unit_skills!$1:$1,0)-MATCH($AP$1,[1]unit_skills!$1:$1,0)+1,FALSE)</f>
        <v>#VALUE!</v>
      </c>
      <c r="AS298" s="77" t="e">
        <f ca="1">VLOOKUP($AP298,OFFSET([1]unit_skills!$A$1,0,0,COUNTA([1]unit_skills!$A:$A),MATCH(AS$1,[1]unit_skills!$1:$1,0)-MATCH($AP$1,[1]unit_skills!$1:$1,0)+1),MATCH(AS$1,[1]unit_skills!$1:$1,0)-MATCH($AP$1,[1]unit_skills!$1:$1,0)+1,FALSE)</f>
        <v>#VALUE!</v>
      </c>
      <c r="AT298" s="53">
        <v>182107</v>
      </c>
      <c r="AU298" s="77" t="e">
        <f ca="1">VLOOKUP($AT298,OFFSET([1]crash_skills!$A$1,0,0,COUNTA([1]crash_skills!$A:$A),MATCH("name",[1]crash_skills!$1:$1,0)-MATCH($AT$1,[1]crash_skills!$1:$1,0)+1),MATCH("name",[1]crash_skills!$1:$1,0)-MATCH($AT$1,[1]crash_skills!$1:$1,0)+1,FALSE)</f>
        <v>#VALUE!</v>
      </c>
      <c r="AV298" s="77" t="e">
        <f ca="1">VLOOKUP($AT298,OFFSET([1]crash_skills!$A$1,0,0,COUNTA([1]crash_skills!$A:$A),MATCH("comment",[1]crash_skills!$1:$1,0)-MATCH($AT$1,[1]crash_skills!$1:$1,0)+1),MATCH("comment",[1]crash_skills!$1:$1,0)-MATCH($AT$1,[1]crash_skills!$1:$1,0)+1,FALSE)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98" s="77" t="e">
        <f ca="1">VLOOKUP($AT298,OFFSET([1]crash_skills!$A$1,0,0,COUNTA([1]crash_skills!$A:$A),MATCH(AW$1,[1]crash_skills!$1:$1,0)-MATCH($AT$1,[1]crash_skills!$1:$1,0)+1),MATCH(AW$1,[1]crash_skills!$1:$1,0)-MATCH($AT$1,[1]crash_skills!$1:$1,0)+1,FALSE)</f>
        <v>#VALUE!</v>
      </c>
      <c r="AX298" s="81">
        <f ca="1">VLOOKUP($A298,OFFSET([2]characters!$A$1,0,0,COUNTA([2]characters!$A:$A),MATCH(AX$1,[2]characters!$1:$1,0)-MATCH($A$1,[2]characters!$1:$1,0)+1),MATCH(AX$1,[2]characters!$1:$1,0)-MATCH($A$1,[2]characters!$1:$1,0)+1,FALSE)</f>
        <v>3</v>
      </c>
      <c r="AY298" s="139">
        <v>1.1819999999999999</v>
      </c>
      <c r="AZ298" s="139">
        <v>1.306</v>
      </c>
      <c r="BA298" s="139">
        <v>0</v>
      </c>
      <c r="BB298" s="139">
        <v>1.0660000000000001</v>
      </c>
      <c r="BC298" s="14">
        <f ca="1">INDEX('RC6SV'!$A$1:$G$20,MATCH(H298,'RC6SV'!$A$1:$A$20,FALSE),MATCH(G298,'RC6SV'!$A$1:$G$1,FALSE))</f>
        <v>9000</v>
      </c>
      <c r="BD298" s="63">
        <f t="shared" ca="1" si="32"/>
        <v>9000</v>
      </c>
      <c r="BE298" s="14">
        <f t="shared" ca="1" si="33"/>
        <v>7000</v>
      </c>
      <c r="BF298" s="14">
        <f t="shared" ca="1" si="34"/>
        <v>1</v>
      </c>
      <c r="BG298" s="20">
        <f ca="1">IF($BE298&lt;=0,ROUND(BK298*0.5,0), ROUND($BE298*S298*AA298*J298*AY298*0.8*[2]ステータス!$B$2,0))</f>
        <v>2917</v>
      </c>
      <c r="BH298" s="20">
        <f ca="1">IF($BE298&lt;=0,ROUND(BL298*0.5,0), ROUND($BE298*T298*AB298*K298*AZ298*0.8*[2]ステータス!$C$2,0))</f>
        <v>1974</v>
      </c>
      <c r="BI298" s="20">
        <f ca="1">IF($BE298&lt;=0,ROUND(BM298*0.5,0), ROUND($BE298*U298*AC298*L298*BA298*0.8*[2]ステータス!$D$2,0))</f>
        <v>0</v>
      </c>
      <c r="BJ298" s="20">
        <f ca="1">IF($BE298&lt;=0,ROUND(BN298*0.5,0), ROUND($BE298*V298*AD298*M298*BB298*0.8*[2]ステータス!$E$2,0))</f>
        <v>1370</v>
      </c>
      <c r="BK298" s="14">
        <f ca="1">ROUND(BD298*S298*AA298*J298*AY298*[2]ステータス!$B$2,0)</f>
        <v>4688</v>
      </c>
      <c r="BL298" s="14">
        <f ca="1">ROUND(BD298*T298*AB298*K298*AZ298*[2]ステータス!$C$2,0)</f>
        <v>3172</v>
      </c>
      <c r="BM298" s="14">
        <f ca="1">ROUND(BD298*U298*AC298*L298*BA298*[2]ステータス!$D$2,0)</f>
        <v>0</v>
      </c>
      <c r="BN298" s="14">
        <f ca="1">ROUND(BD298*V298*AD298*M298*BB298*[2]ステータス!$E$2,0)</f>
        <v>2202</v>
      </c>
      <c r="BO298" s="13">
        <v>0</v>
      </c>
      <c r="BP298" s="13">
        <v>1</v>
      </c>
      <c r="BQ298" s="13" t="s">
        <v>102</v>
      </c>
      <c r="BR298" s="13">
        <f ca="1">VLOOKUP(H298,ghosts_label!$A$2:$B$19,2,FALSE)</f>
        <v>1</v>
      </c>
    </row>
    <row r="299" spans="1:70" ht="21" customHeight="1" x14ac:dyDescent="0.15">
      <c r="A299" s="14">
        <f t="shared" ca="1" si="29"/>
        <v>298</v>
      </c>
      <c r="B299" s="77" t="str">
        <f ca="1">VLOOKUP($A299,OFFSET([2]characters!$A$1,0,0,COUNTA([2]characters!$A:$A),MATCH(B$1,[2]characters!$1:$1,0)-MATCH($A$1,[2]characters!$1:$1,0)+1),MATCH(B$1,[2]characters!$1:$1,0)-MATCH($A$1,[2]characters!$1:$1,0)+1,FALSE)</f>
        <v>炎殺のミサコ</v>
      </c>
      <c r="C299" s="77" t="str">
        <f ca="1">VLOOKUP($A299,OFFSET([2]characters!$A$1,0,0,COUNTA([2]characters!$A:$A),MATCH(C$1,[2]characters!$1:$1,0)-MATCH($A$1,[2]characters!$1:$1,0)+1),MATCH(C$1,[2]characters!$1:$1,0)-MATCH($A$1,[2]characters!$1:$1,0)+1,FALSE)</f>
        <v>イベント:囚人01</v>
      </c>
      <c r="D299" s="77" t="str">
        <f ca="1">VLOOKUP($A299,OFFSET([2]characters!$A$1,0,0,COUNTA([2]characters!$A:$A),MATCH(D$1,[2]characters!$1:$1,0)-MATCH($A$1,[2]characters!$1:$1,0)+1),MATCH(D$1,[2]characters!$1:$1,0)-MATCH($A$1,[2]characters!$1:$1,0)+1,FALSE)</f>
        <v>QoH</v>
      </c>
      <c r="E299" s="77" t="str">
        <f ca="1">VLOOKUP($A299,OFFSET([2]characters!$A$1,0,0,COUNTA([2]characters!$A:$A),MATCH(E$1,[2]characters!$1:$1,0)-MATCH($A$1,[2]characters!$1:$1,0)+1),MATCH(E$1,[2]characters!$1:$1,0)-MATCH($A$1,[2]characters!$1:$1,0)+1,FALSE)</f>
        <v>美しい</v>
      </c>
      <c r="F299" s="77" t="str">
        <f ca="1">VLOOKUP($A299,OFFSET([2]characters!$A$1,0,0,COUNTA([2]characters!$A:$A),MATCH(F$1,[2]characters!$1:$1,0)-MATCH($A$1,[2]characters!$1:$1,0)+1),MATCH(F$1,[2]characters!$1:$1,0)-MATCH($A$1,[2]characters!$1:$1,0)+1,FALSE)</f>
        <v>女性</v>
      </c>
      <c r="G299" s="77">
        <f ca="1">VLOOKUP($A299,OFFSET([2]characters!$A$1,0,0,COUNTA([2]characters!$A:$A),MATCH(G$1,[2]characters!$1:$1,0)-MATCH($A$1,[2]characters!$1:$1,0)+1),MATCH(G$1,[2]characters!$1:$1,0)-MATCH($A$1,[2]characters!$1:$1,0)+1,FALSE)</f>
        <v>3</v>
      </c>
      <c r="H299" s="77" t="str">
        <f ca="1">VLOOKUP($A299,OFFSET([2]characters!$A$1,0,0,COUNTA([2]characters!$A:$A),MATCH(H$1,[2]characters!$1:$1,0)-MATCH($A$1,[2]characters!$1:$1,0)+1),MATCH(H$1,[2]characters!$1:$1,0)-MATCH($A$1,[2]characters!$1:$1,0)+1,FALSE)</f>
        <v>Drop2W</v>
      </c>
      <c r="I299" s="77" t="str">
        <f ca="1">VLOOKUP($A299,OFFSET([2]characters!$A$1,0,0,COUNTA([2]characters!$A:$A),MATCH(I$1,[2]characters!$1:$1,0)-MATCH($A$1,[2]characters!$1:$1,0)+1),MATCH(I$1,[2]characters!$1:$1,0)-MATCH($A$1,[2]characters!$1:$1,0)+1,FALSE)</f>
        <v>red</v>
      </c>
      <c r="J299" s="14">
        <f ca="1">VLOOKUP(I299,[2]属性!$A:$E,2,FALSE)</f>
        <v>1</v>
      </c>
      <c r="K299" s="14">
        <f ca="1">VLOOKUP(I299,[2]属性!$A:$E,3,FALSE)</f>
        <v>1.02</v>
      </c>
      <c r="L299" s="14">
        <f ca="1">VLOOKUP(I299,[2]属性!$A:$E,4,FALSE)</f>
        <v>1</v>
      </c>
      <c r="M299" s="14">
        <f ca="1">VLOOKUP(I299,[2]属性!$A:$E,5,FALSE)</f>
        <v>0.98</v>
      </c>
      <c r="N299" s="14">
        <f ca="1">INDEX(コスト!$A$1:$I$20,MATCH(H299,コスト!$A$1:$A$20,FALSE),MATCH(G299,コスト!$A$1:$I$1,FALSE))</f>
        <v>6</v>
      </c>
      <c r="O299" s="14">
        <f ca="1">INDEX(レベル!$A$1:$I$21,MATCH(H299,レベル!$A$1:$A$21,FALSE),MATCH(G299,レベル!$A$1:$I$1,FALSE))</f>
        <v>40</v>
      </c>
      <c r="P299" s="63">
        <f t="shared" ca="1" si="35"/>
        <v>45</v>
      </c>
      <c r="Q299" s="77" t="str">
        <f ca="1">VLOOKUP($A299,OFFSET([2]characters!$A$1,0,0,COUNTA([2]characters!$A:$A),MATCH(Q$1,[2]characters!$1:$1,0)-MATCH($A$1,[2]characters!$1:$1,0)+1),MATCH(Q$1,[2]characters!$1:$1,0)-MATCH($A$1,[2]characters!$1:$1,0)+1,FALSE)</f>
        <v>hp</v>
      </c>
      <c r="R299" s="8" t="str">
        <f ca="1">VLOOKUP(Q299,[2]character_type_i18n!$A:$H,3,FALSE)</f>
        <v>体力タイプ</v>
      </c>
      <c r="S299" s="14">
        <f ca="1">VLOOKUP(Q299,[2]character_type_i18n!$A:$H,4,FALSE)</f>
        <v>1.45</v>
      </c>
      <c r="T299" s="14">
        <f ca="1">VLOOKUP(Q299,[2]character_type_i18n!$A:$H,5,FALSE)</f>
        <v>0.85</v>
      </c>
      <c r="U299" s="14">
        <f ca="1">VLOOKUP(Q299,[2]character_type_i18n!$A:$H,6,FALSE)</f>
        <v>1</v>
      </c>
      <c r="V299" s="14">
        <f ca="1">VLOOKUP(Q299,[2]character_type_i18n!$A:$H,7,FALSE)</f>
        <v>0.7</v>
      </c>
      <c r="W299" s="77" t="str">
        <f ca="1">VLOOKUP($A299,OFFSET([2]characters!$A$1,0,0,COUNTA([2]characters!$A:$A),MATCH(W$1,[2]characters!$1:$1,0)-MATCH($A$1,[2]characters!$1:$1,0)+1),MATCH(W$1,[2]characters!$1:$1,0)-MATCH($A$1,[2]characters!$1:$1,0)+1,FALSE)</f>
        <v>human</v>
      </c>
      <c r="X299" s="8" t="str">
        <f ca="1">VLOOKUP(W299,[2]character_tribe_i18n!$A:$H,3,FALSE)</f>
        <v>ヒューマン</v>
      </c>
      <c r="Y299" s="77" t="str">
        <f ca="1">VLOOKUP($A299,OFFSET([2]characters!$A$1,0,0,COUNTA([2]characters!$A:$A),MATCH(Y$1,[2]characters!$1:$1,0)-MATCH($A$1,[2]characters!$1:$1,0)+1),MATCH(Y$1,[2]characters!$1:$1,0)-MATCH($A$1,[2]characters!$1:$1,0)+1,FALSE)</f>
        <v>none</v>
      </c>
      <c r="Z299" s="8" t="str">
        <f ca="1">VLOOKUP(Y299,[2]character_tribe_i18n!$A:$H,3,FALSE)</f>
        <v>種族なし</v>
      </c>
      <c r="AA299" s="14">
        <f ca="1">VLOOKUP(W299,[2]character_tribe_i18n!$A:$H,4,FALSE)</f>
        <v>0.94</v>
      </c>
      <c r="AB299" s="14">
        <f ca="1">VLOOKUP(W299,[2]character_tribe_i18n!$A:$H,5,FALSE)</f>
        <v>0.99</v>
      </c>
      <c r="AC299" s="14">
        <f ca="1">VLOOKUP(W299,[2]character_tribe_i18n!$A:$H,6,FALSE)</f>
        <v>1</v>
      </c>
      <c r="AD299" s="14">
        <f ca="1">VLOOKUP(W299,[2]character_tribe_i18n!$A:$H,7,FALSE)</f>
        <v>1.07</v>
      </c>
      <c r="AE299" s="12">
        <v>299</v>
      </c>
      <c r="AF299" s="85" t="str">
        <f ca="1">IF(AE299="NULL","",VLOOKUP($AE299,OFFSET([2]characters!$A$1,0,0,COUNTA([2]characters!$A:$A),MATCH(AF$1,[2]characters!$1:$1,0)-MATCH($A$1,[2]characters!$1:$1,0)+1),MATCH(AF$1,[2]characters!$1:$1,0)-MATCH($A$1,[2]characters!$1:$1,0)+1,FALSE))</f>
        <v>狂気の炎風 ミサコ</v>
      </c>
      <c r="AG299" s="8">
        <f t="shared" ca="1" si="30"/>
        <v>298</v>
      </c>
      <c r="AH299" s="85" t="str">
        <f ca="1">VLOOKUP($AG299,OFFSET([2]characters!$A$1,0,0,COUNTA([2]characters!$A:$A),MATCH(AH$1,[2]characters!$1:$1,0)-MATCH($A$1,[2]characters!$1:$1,0)+1),MATCH(AH$1,[2]characters!$1:$1,0)-MATCH($A$1,[2]characters!$1:$1,0)+1,FALSE)</f>
        <v>炎殺のミサコ</v>
      </c>
      <c r="AI299" s="14">
        <f ca="1">IF(AE299="NULL","NULL",VLOOKUP(G299,ビット!$A$2:$B$7,2))</f>
        <v>20000</v>
      </c>
      <c r="AJ299" s="9">
        <v>2</v>
      </c>
      <c r="AK299" s="10" t="str">
        <f t="shared" si="31"/>
        <v>普通</v>
      </c>
      <c r="AL299" s="14" t="str">
        <f ca="1">INDEX(経験値!$A$1:$I$20,MATCH(H299,経験値!$A$1:$A$20,FALSE),MATCH(G299,経験値!$A$1:$I$1,FALSE))</f>
        <v>required_exp_150</v>
      </c>
      <c r="AM299" s="11">
        <f ca="1">VLOOKUP(G299,経験値!$A$27:$B$31,2)</f>
        <v>1500</v>
      </c>
      <c r="AN299" s="21">
        <f ca="1">VLOOKUP(G299,ビット!$G$2:$H$7,2)</f>
        <v>300</v>
      </c>
      <c r="AO299" s="100" t="s">
        <v>185</v>
      </c>
      <c r="AP299" s="4">
        <v>536003</v>
      </c>
      <c r="AQ299" s="77" t="e">
        <f ca="1">VLOOKUP($AP299,OFFSET([1]unit_skills!$A$1,0,0,COUNTA([1]unit_skills!$A:$A),MATCH("name",[1]unit_skills!$1:$1,0)-MATCH($AP$1,[1]unit_skills!$1:$1,0)+1),MATCH("name",[1]unit_skills!$1:$1,0)-MATCH($AP$1,[1]unit_skills!$1:$1,0)+1,FALSE)</f>
        <v>#VALUE!</v>
      </c>
      <c r="AR299" s="77" t="e">
        <f ca="1">VLOOKUP($AP299,OFFSET([1]unit_skills!$A$1,0,0,COUNTA([1]unit_skills!$A:$A),MATCH("comment",[1]unit_skills!$1:$1,0)-MATCH($AP$1,[1]unit_skills!$1:$1,0)+1),MATCH("comment",[1]unit_skills!$1:$1,0)-MATCH($AP$1,[1]unit_skills!$1:$1,0)+1,FALSE)</f>
        <v>#VALUE!</v>
      </c>
      <c r="AS299" s="77" t="e">
        <f ca="1">VLOOKUP($AP299,OFFSET([1]unit_skills!$A$1,0,0,COUNTA([1]unit_skills!$A:$A),MATCH(AS$1,[1]unit_skills!$1:$1,0)-MATCH($AP$1,[1]unit_skills!$1:$1,0)+1),MATCH(AS$1,[1]unit_skills!$1:$1,0)-MATCH($AP$1,[1]unit_skills!$1:$1,0)+1,FALSE)</f>
        <v>#VALUE!</v>
      </c>
      <c r="AT299" s="53">
        <v>121204</v>
      </c>
      <c r="AU299" s="77" t="e">
        <f ca="1">VLOOKUP($AT299,OFFSET([1]crash_skills!$A$1,0,0,COUNTA([1]crash_skills!$A:$A),MATCH("name",[1]crash_skills!$1:$1,0)-MATCH($AT$1,[1]crash_skills!$1:$1,0)+1),MATCH("name",[1]crash_skills!$1:$1,0)-MATCH($AT$1,[1]crash_skills!$1:$1,0)+1,FALSE)</f>
        <v>#VALUE!</v>
      </c>
      <c r="AV299" s="77" t="e">
        <f ca="1">VLOOKUP($AT299,OFFSET([1]crash_skills!$A$1,0,0,COUNTA([1]crash_skills!$A:$A),MATCH("comment",[1]crash_skills!$1:$1,0)-MATCH($AT$1,[1]crash_skills!$1:$1,0)+1),MATCH("comment",[1]crash_skills!$1:$1,0)-MATCH($AT$1,[1]crash_skills!$1:$1,0)+1,FALSE)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299" s="77" t="e">
        <f ca="1">VLOOKUP($AT299,OFFSET([1]crash_skills!$A$1,0,0,COUNTA([1]crash_skills!$A:$A),MATCH(AW$1,[1]crash_skills!$1:$1,0)-MATCH($AT$1,[1]crash_skills!$1:$1,0)+1),MATCH(AW$1,[1]crash_skills!$1:$1,0)-MATCH($AT$1,[1]crash_skills!$1:$1,0)+1,FALSE)</f>
        <v>#VALUE!</v>
      </c>
      <c r="AX299" s="81">
        <f ca="1">VLOOKUP($A299,OFFSET([2]characters!$A$1,0,0,COUNTA([2]characters!$A:$A),MATCH(AX$1,[2]characters!$1:$1,0)-MATCH($A$1,[2]characters!$1:$1,0)+1),MATCH(AX$1,[2]characters!$1:$1,0)-MATCH($A$1,[2]characters!$1:$1,0)+1,FALSE)</f>
        <v>3</v>
      </c>
      <c r="AY299" s="19">
        <v>1</v>
      </c>
      <c r="AZ299" s="19">
        <v>1</v>
      </c>
      <c r="BA299" s="19">
        <v>0</v>
      </c>
      <c r="BB299" s="19">
        <v>1</v>
      </c>
      <c r="BC299" s="14">
        <f ca="1">INDEX('RC6SV'!$A$1:$G$20,MATCH(H299,'RC6SV'!$A$1:$A$20,FALSE),MATCH(G299,'RC6SV'!$A$1:$G$1,FALSE))</f>
        <v>4400</v>
      </c>
      <c r="BD299" s="63">
        <f t="shared" ca="1" si="32"/>
        <v>4400</v>
      </c>
      <c r="BE299" s="14">
        <f t="shared" ca="1" si="33"/>
        <v>0</v>
      </c>
      <c r="BF299" s="14">
        <f t="shared" ca="1" si="34"/>
        <v>1</v>
      </c>
      <c r="BG299" s="20">
        <f ca="1">IF($BE299&lt;=0,ROUND(BK299*0.5,0), ROUND($BE299*S299*AA299*J299*AY299*0.8*[2]ステータス!$B$2,0))</f>
        <v>1500</v>
      </c>
      <c r="BH299" s="20">
        <f ca="1">IF($BE299&lt;=0,ROUND(BL299*0.5,0), ROUND($BE299*T299*AB299*K299*AZ299*0.8*[2]ステータス!$C$2,0))</f>
        <v>567</v>
      </c>
      <c r="BI299" s="20">
        <f ca="1">IF($BE299&lt;=0,ROUND(BM299*0.5,0), ROUND($BE299*U299*AC299*L299*BA299*0.8*[2]ステータス!$D$2,0))</f>
        <v>0</v>
      </c>
      <c r="BJ299" s="20">
        <f ca="1">IF($BE299&lt;=0,ROUND(BN299*0.5,0), ROUND($BE299*V299*AD299*M299*BB299*0.8*[2]ステータス!$E$2,0))</f>
        <v>404</v>
      </c>
      <c r="BK299" s="14">
        <f ca="1">ROUND(BD299*S299*AA299*J299*AY299*[2]ステータス!$B$2,0)</f>
        <v>2999</v>
      </c>
      <c r="BL299" s="14">
        <f ca="1">ROUND(BD299*T299*AB299*K299*AZ299*[2]ステータス!$C$2,0)</f>
        <v>1133</v>
      </c>
      <c r="BM299" s="14">
        <f ca="1">ROUND(BD299*U299*AC299*L299*BA299*[2]ステータス!$D$2,0)</f>
        <v>0</v>
      </c>
      <c r="BN299" s="14">
        <f ca="1">ROUND(BD299*V299*AD299*M299*BB299*[2]ステータス!$E$2,0)</f>
        <v>807</v>
      </c>
      <c r="BO299" s="13">
        <v>0</v>
      </c>
      <c r="BP299" s="13">
        <v>1</v>
      </c>
      <c r="BQ299" s="13" t="s">
        <v>102</v>
      </c>
      <c r="BR299" s="13">
        <f ca="1">VLOOKUP(H299,ghosts_label!$A$2:$B$19,2,FALSE)</f>
        <v>1</v>
      </c>
    </row>
    <row r="300" spans="1:70" ht="21" customHeight="1" x14ac:dyDescent="0.15">
      <c r="A300" s="14">
        <f t="shared" ca="1" si="29"/>
        <v>299</v>
      </c>
      <c r="B300" s="77" t="str">
        <f ca="1">VLOOKUP($A300,OFFSET([2]characters!$A$1,0,0,COUNTA([2]characters!$A:$A),MATCH(B$1,[2]characters!$1:$1,0)-MATCH($A$1,[2]characters!$1:$1,0)+1),MATCH(B$1,[2]characters!$1:$1,0)-MATCH($A$1,[2]characters!$1:$1,0)+1,FALSE)</f>
        <v>狂気の炎風 ミサコ</v>
      </c>
      <c r="C300" s="77" t="str">
        <f ca="1">VLOOKUP($A300,OFFSET([2]characters!$A$1,0,0,COUNTA([2]characters!$A:$A),MATCH(C$1,[2]characters!$1:$1,0)-MATCH($A$1,[2]characters!$1:$1,0)+1),MATCH(C$1,[2]characters!$1:$1,0)-MATCH($A$1,[2]characters!$1:$1,0)+1,FALSE)</f>
        <v>イベント:囚人01</v>
      </c>
      <c r="D300" s="77" t="str">
        <f ca="1">VLOOKUP($A300,OFFSET([2]characters!$A$1,0,0,COUNTA([2]characters!$A:$A),MATCH(D$1,[2]characters!$1:$1,0)-MATCH($A$1,[2]characters!$1:$1,0)+1),MATCH(D$1,[2]characters!$1:$1,0)-MATCH($A$1,[2]characters!$1:$1,0)+1,FALSE)</f>
        <v>QoH</v>
      </c>
      <c r="E300" s="77" t="str">
        <f ca="1">VLOOKUP($A300,OFFSET([2]characters!$A$1,0,0,COUNTA([2]characters!$A:$A),MATCH(E$1,[2]characters!$1:$1,0)-MATCH($A$1,[2]characters!$1:$1,0)+1),MATCH(E$1,[2]characters!$1:$1,0)-MATCH($A$1,[2]characters!$1:$1,0)+1,FALSE)</f>
        <v>美しい</v>
      </c>
      <c r="F300" s="77" t="str">
        <f ca="1">VLOOKUP($A300,OFFSET([2]characters!$A$1,0,0,COUNTA([2]characters!$A:$A),MATCH(F$1,[2]characters!$1:$1,0)-MATCH($A$1,[2]characters!$1:$1,0)+1),MATCH(F$1,[2]characters!$1:$1,0)-MATCH($A$1,[2]characters!$1:$1,0)+1,FALSE)</f>
        <v>女性</v>
      </c>
      <c r="G300" s="77">
        <f ca="1">VLOOKUP($A300,OFFSET([2]characters!$A$1,0,0,COUNTA([2]characters!$A:$A),MATCH(G$1,[2]characters!$1:$1,0)-MATCH($A$1,[2]characters!$1:$1,0)+1),MATCH(G$1,[2]characters!$1:$1,0)-MATCH($A$1,[2]characters!$1:$1,0)+1,FALSE)</f>
        <v>4</v>
      </c>
      <c r="H300" s="77" t="str">
        <f ca="1">VLOOKUP($A300,OFFSET([2]characters!$A$1,0,0,COUNTA([2]characters!$A:$A),MATCH(H$1,[2]characters!$1:$1,0)-MATCH($A$1,[2]characters!$1:$1,0)+1),MATCH(H$1,[2]characters!$1:$1,0)-MATCH($A$1,[2]characters!$1:$1,0)+1,FALSE)</f>
        <v>Drop2W</v>
      </c>
      <c r="I300" s="77" t="str">
        <f ca="1">VLOOKUP($A300,OFFSET([2]characters!$A$1,0,0,COUNTA([2]characters!$A:$A),MATCH(I$1,[2]characters!$1:$1,0)-MATCH($A$1,[2]characters!$1:$1,0)+1),MATCH(I$1,[2]characters!$1:$1,0)-MATCH($A$1,[2]characters!$1:$1,0)+1,FALSE)</f>
        <v>red</v>
      </c>
      <c r="J300" s="14">
        <f ca="1">VLOOKUP(I300,[2]属性!$A:$E,2,FALSE)</f>
        <v>1</v>
      </c>
      <c r="K300" s="14">
        <f ca="1">VLOOKUP(I300,[2]属性!$A:$E,3,FALSE)</f>
        <v>1.02</v>
      </c>
      <c r="L300" s="14">
        <f ca="1">VLOOKUP(I300,[2]属性!$A:$E,4,FALSE)</f>
        <v>1</v>
      </c>
      <c r="M300" s="14">
        <f ca="1">VLOOKUP(I300,[2]属性!$A:$E,5,FALSE)</f>
        <v>0.98</v>
      </c>
      <c r="N300" s="14">
        <f ca="1">INDEX(コスト!$A$1:$I$20,MATCH(H300,コスト!$A$1:$A$20,FALSE),MATCH(G300,コスト!$A$1:$I$1,FALSE))</f>
        <v>14</v>
      </c>
      <c r="O300" s="14">
        <f ca="1">INDEX(レベル!$A$1:$I$21,MATCH(H300,レベル!$A$1:$A$21,FALSE),MATCH(G300,レベル!$A$1:$I$1,FALSE))</f>
        <v>60</v>
      </c>
      <c r="P300" s="63">
        <f t="shared" ca="1" si="35"/>
        <v>60</v>
      </c>
      <c r="Q300" s="77" t="str">
        <f ca="1">VLOOKUP($A300,OFFSET([2]characters!$A$1,0,0,COUNTA([2]characters!$A:$A),MATCH(Q$1,[2]characters!$1:$1,0)-MATCH($A$1,[2]characters!$1:$1,0)+1),MATCH(Q$1,[2]characters!$1:$1,0)-MATCH($A$1,[2]characters!$1:$1,0)+1,FALSE)</f>
        <v>hp</v>
      </c>
      <c r="R300" s="8" t="str">
        <f ca="1">VLOOKUP(Q300,[2]character_type_i18n!$A:$H,3,FALSE)</f>
        <v>体力タイプ</v>
      </c>
      <c r="S300" s="14">
        <f ca="1">VLOOKUP(Q300,[2]character_type_i18n!$A:$H,4,FALSE)</f>
        <v>1.45</v>
      </c>
      <c r="T300" s="14">
        <f ca="1">VLOOKUP(Q300,[2]character_type_i18n!$A:$H,5,FALSE)</f>
        <v>0.85</v>
      </c>
      <c r="U300" s="14">
        <f ca="1">VLOOKUP(Q300,[2]character_type_i18n!$A:$H,6,FALSE)</f>
        <v>1</v>
      </c>
      <c r="V300" s="14">
        <f ca="1">VLOOKUP(Q300,[2]character_type_i18n!$A:$H,7,FALSE)</f>
        <v>0.7</v>
      </c>
      <c r="W300" s="77" t="str">
        <f ca="1">VLOOKUP($A300,OFFSET([2]characters!$A$1,0,0,COUNTA([2]characters!$A:$A),MATCH(W$1,[2]characters!$1:$1,0)-MATCH($A$1,[2]characters!$1:$1,0)+1),MATCH(W$1,[2]characters!$1:$1,0)-MATCH($A$1,[2]characters!$1:$1,0)+1,FALSE)</f>
        <v>human</v>
      </c>
      <c r="X300" s="8" t="str">
        <f ca="1">VLOOKUP(W300,[2]character_tribe_i18n!$A:$H,3,FALSE)</f>
        <v>ヒューマン</v>
      </c>
      <c r="Y300" s="77" t="str">
        <f ca="1">VLOOKUP($A300,OFFSET([2]characters!$A$1,0,0,COUNTA([2]characters!$A:$A),MATCH(Y$1,[2]characters!$1:$1,0)-MATCH($A$1,[2]characters!$1:$1,0)+1),MATCH(Y$1,[2]characters!$1:$1,0)-MATCH($A$1,[2]characters!$1:$1,0)+1,FALSE)</f>
        <v>none</v>
      </c>
      <c r="Z300" s="8" t="str">
        <f ca="1">VLOOKUP(Y300,[2]character_tribe_i18n!$A:$H,3,FALSE)</f>
        <v>種族なし</v>
      </c>
      <c r="AA300" s="14">
        <f ca="1">VLOOKUP(W300,[2]character_tribe_i18n!$A:$H,4,FALSE)</f>
        <v>0.94</v>
      </c>
      <c r="AB300" s="14">
        <f ca="1">VLOOKUP(W300,[2]character_tribe_i18n!$A:$H,5,FALSE)</f>
        <v>0.99</v>
      </c>
      <c r="AC300" s="14">
        <f ca="1">VLOOKUP(W300,[2]character_tribe_i18n!$A:$H,6,FALSE)</f>
        <v>1</v>
      </c>
      <c r="AD300" s="14">
        <f ca="1">VLOOKUP(W300,[2]character_tribe_i18n!$A:$H,7,FALSE)</f>
        <v>1.07</v>
      </c>
      <c r="AE300" s="12" t="s">
        <v>102</v>
      </c>
      <c r="AF300" s="85" t="str">
        <f ca="1">IF(AE300="NULL","",VLOOKUP($AE300,OFFSET([2]characters!$A$1,0,0,COUNTA([2]characters!$A:$A),MATCH(AF$1,[2]characters!$1:$1,0)-MATCH($A$1,[2]characters!$1:$1,0)+1),MATCH(AF$1,[2]characters!$1:$1,0)-MATCH($A$1,[2]characters!$1:$1,0)+1,FALSE))</f>
        <v/>
      </c>
      <c r="AG300" s="8">
        <f t="shared" ca="1" si="30"/>
        <v>298</v>
      </c>
      <c r="AH300" s="85" t="str">
        <f ca="1">VLOOKUP($AG300,OFFSET([2]characters!$A$1,0,0,COUNTA([2]characters!$A:$A),MATCH(AH$1,[2]characters!$1:$1,0)-MATCH($A$1,[2]characters!$1:$1,0)+1),MATCH(AH$1,[2]characters!$1:$1,0)-MATCH($A$1,[2]characters!$1:$1,0)+1,FALSE)</f>
        <v>炎殺のミサコ</v>
      </c>
      <c r="AI300" s="14" t="str">
        <f>IF(AE300="NULL","NULL",VLOOKUP(G300,ビット!$A$2:$B$7,2))</f>
        <v>NULL</v>
      </c>
      <c r="AJ300" s="9">
        <v>2</v>
      </c>
      <c r="AK300" s="10" t="str">
        <f t="shared" si="31"/>
        <v>普通</v>
      </c>
      <c r="AL300" s="14" t="str">
        <f ca="1">INDEX(経験値!$A$1:$I$20,MATCH(H300,経験値!$A$1:$A$20,FALSE),MATCH(G300,経験値!$A$1:$I$1,FALSE))</f>
        <v>required_exp_150</v>
      </c>
      <c r="AM300" s="11">
        <f ca="1">VLOOKUP(G300,経験値!$A$27:$B$31,2)</f>
        <v>3400</v>
      </c>
      <c r="AN300" s="21">
        <f ca="1">VLOOKUP(G300,ビット!$G$2:$H$7,2)</f>
        <v>600</v>
      </c>
      <c r="AO300" s="100" t="s">
        <v>185</v>
      </c>
      <c r="AP300" s="4">
        <v>536003</v>
      </c>
      <c r="AQ300" s="77" t="e">
        <f ca="1">VLOOKUP($AP300,OFFSET([1]unit_skills!$A$1,0,0,COUNTA([1]unit_skills!$A:$A),MATCH("name",[1]unit_skills!$1:$1,0)-MATCH($AP$1,[1]unit_skills!$1:$1,0)+1),MATCH("name",[1]unit_skills!$1:$1,0)-MATCH($AP$1,[1]unit_skills!$1:$1,0)+1,FALSE)</f>
        <v>#VALUE!</v>
      </c>
      <c r="AR300" s="77" t="e">
        <f ca="1">VLOOKUP($AP300,OFFSET([1]unit_skills!$A$1,0,0,COUNTA([1]unit_skills!$A:$A),MATCH("comment",[1]unit_skills!$1:$1,0)-MATCH($AP$1,[1]unit_skills!$1:$1,0)+1),MATCH("comment",[1]unit_skills!$1:$1,0)-MATCH($AP$1,[1]unit_skills!$1:$1,0)+1,FALSE)</f>
        <v>#VALUE!</v>
      </c>
      <c r="AS300" s="77" t="e">
        <f ca="1">VLOOKUP($AP300,OFFSET([1]unit_skills!$A$1,0,0,COUNTA([1]unit_skills!$A:$A),MATCH(AS$1,[1]unit_skills!$1:$1,0)-MATCH($AP$1,[1]unit_skills!$1:$1,0)+1),MATCH(AS$1,[1]unit_skills!$1:$1,0)-MATCH($AP$1,[1]unit_skills!$1:$1,0)+1,FALSE)</f>
        <v>#VALUE!</v>
      </c>
      <c r="AT300" s="158">
        <v>121213</v>
      </c>
      <c r="AU300" s="77" t="e">
        <f ca="1">VLOOKUP($AT300,OFFSET([1]crash_skills!$A$1,0,0,COUNTA([1]crash_skills!$A:$A),MATCH("name",[1]crash_skills!$1:$1,0)-MATCH($AT$1,[1]crash_skills!$1:$1,0)+1),MATCH("name",[1]crash_skills!$1:$1,0)-MATCH($AT$1,[1]crash_skills!$1:$1,0)+1,FALSE)</f>
        <v>#VALUE!</v>
      </c>
      <c r="AV300" s="77" t="e">
        <f ca="1">VLOOKUP($AT300,OFFSET([1]crash_skills!$A$1,0,0,COUNTA([1]crash_skills!$A:$A),MATCH("comment",[1]crash_skills!$1:$1,0)-MATCH($AT$1,[1]crash_skills!$1:$1,0)+1),MATCH("comment",[1]crash_skills!$1:$1,0)-MATCH($AT$1,[1]crash_skills!$1:$1,0)+1,FALSE)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00" s="77" t="e">
        <f ca="1">VLOOKUP($AT300,OFFSET([1]crash_skills!$A$1,0,0,COUNTA([1]crash_skills!$A:$A),MATCH(AW$1,[1]crash_skills!$1:$1,0)-MATCH($AT$1,[1]crash_skills!$1:$1,0)+1),MATCH(AW$1,[1]crash_skills!$1:$1,0)-MATCH($AT$1,[1]crash_skills!$1:$1,0)+1,FALSE)</f>
        <v>#VALUE!</v>
      </c>
      <c r="AX300" s="81">
        <f ca="1">VLOOKUP($A300,OFFSET([2]characters!$A$1,0,0,COUNTA([2]characters!$A:$A),MATCH(AX$1,[2]characters!$1:$1,0)-MATCH($A$1,[2]characters!$1:$1,0)+1),MATCH(AX$1,[2]characters!$1:$1,0)-MATCH($A$1,[2]characters!$1:$1,0)+1,FALSE)</f>
        <v>3</v>
      </c>
      <c r="AY300" s="19">
        <v>1</v>
      </c>
      <c r="AZ300" s="19">
        <v>1</v>
      </c>
      <c r="BA300" s="19">
        <v>0</v>
      </c>
      <c r="BB300" s="19">
        <v>1</v>
      </c>
      <c r="BC300" s="14">
        <f ca="1">INDEX('RC6SV'!$A$1:$G$20,MATCH(H300,'RC6SV'!$A$1:$A$20,FALSE),MATCH(G300,'RC6SV'!$A$1:$G$1,FALSE))</f>
        <v>5600</v>
      </c>
      <c r="BD300" s="63">
        <f t="shared" ca="1" si="32"/>
        <v>5600</v>
      </c>
      <c r="BE300" s="14">
        <f t="shared" ca="1" si="33"/>
        <v>4400</v>
      </c>
      <c r="BF300" s="14">
        <f t="shared" ca="1" si="34"/>
        <v>1</v>
      </c>
      <c r="BG300" s="20">
        <f ca="1">IF($BE300&lt;=0,ROUND(BK300*0.5,0), ROUND($BE300*S300*AA300*J300*AY300*0.8*[2]ステータス!$B$2,0))</f>
        <v>2399</v>
      </c>
      <c r="BH300" s="20">
        <f ca="1">IF($BE300&lt;=0,ROUND(BL300*0.5,0), ROUND($BE300*T300*AB300*K300*AZ300*0.8*[2]ステータス!$C$2,0))</f>
        <v>906</v>
      </c>
      <c r="BI300" s="20">
        <f ca="1">IF($BE300&lt;=0,ROUND(BM300*0.5,0), ROUND($BE300*U300*AC300*L300*BA300*0.8*[2]ステータス!$D$2,0))</f>
        <v>0</v>
      </c>
      <c r="BJ300" s="20">
        <f ca="1">IF($BE300&lt;=0,ROUND(BN300*0.5,0), ROUND($BE300*V300*AD300*M300*BB300*0.8*[2]ステータス!$E$2,0))</f>
        <v>646</v>
      </c>
      <c r="BK300" s="14">
        <f ca="1">ROUND(BD300*S300*AA300*J300*AY300*[2]ステータス!$B$2,0)</f>
        <v>3816</v>
      </c>
      <c r="BL300" s="14">
        <f ca="1">ROUND(BD300*T300*AB300*K300*AZ300*[2]ステータス!$C$2,0)</f>
        <v>1442</v>
      </c>
      <c r="BM300" s="14">
        <f ca="1">ROUND(BD300*U300*AC300*L300*BA300*[2]ステータス!$D$2,0)</f>
        <v>0</v>
      </c>
      <c r="BN300" s="14">
        <f ca="1">ROUND(BD300*V300*AD300*M300*BB300*[2]ステータス!$E$2,0)</f>
        <v>1028</v>
      </c>
      <c r="BO300" s="13">
        <v>0</v>
      </c>
      <c r="BP300" s="13">
        <v>1</v>
      </c>
      <c r="BQ300" s="13" t="s">
        <v>102</v>
      </c>
      <c r="BR300" s="13">
        <f ca="1">VLOOKUP(H300,ghosts_label!$A$2:$B$19,2,FALSE)</f>
        <v>1</v>
      </c>
    </row>
    <row r="301" spans="1:70" ht="21" customHeight="1" x14ac:dyDescent="0.15">
      <c r="A301" s="14">
        <f t="shared" ca="1" si="29"/>
        <v>300</v>
      </c>
      <c r="B301" s="77" t="str">
        <f ca="1">VLOOKUP($A301,OFFSET([2]characters!$A$1,0,0,COUNTA([2]characters!$A:$A),MATCH(B$1,[2]characters!$1:$1,0)-MATCH($A$1,[2]characters!$1:$1,0)+1),MATCH(B$1,[2]characters!$1:$1,0)-MATCH($A$1,[2]characters!$1:$1,0)+1,FALSE)</f>
        <v>毒殺のチカ</v>
      </c>
      <c r="C301" s="77" t="str">
        <f ca="1">VLOOKUP($A301,OFFSET([2]characters!$A$1,0,0,COUNTA([2]characters!$A:$A),MATCH(C$1,[2]characters!$1:$1,0)-MATCH($A$1,[2]characters!$1:$1,0)+1),MATCH(C$1,[2]characters!$1:$1,0)-MATCH($A$1,[2]characters!$1:$1,0)+1,FALSE)</f>
        <v>イベント:囚人01</v>
      </c>
      <c r="D301" s="77" t="str">
        <f ca="1">VLOOKUP($A301,OFFSET([2]characters!$A$1,0,0,COUNTA([2]characters!$A:$A),MATCH(D$1,[2]characters!$1:$1,0)-MATCH($A$1,[2]characters!$1:$1,0)+1),MATCH(D$1,[2]characters!$1:$1,0)-MATCH($A$1,[2]characters!$1:$1,0)+1,FALSE)</f>
        <v>QoH</v>
      </c>
      <c r="E301" s="77" t="str">
        <f ca="1">VLOOKUP($A301,OFFSET([2]characters!$A$1,0,0,COUNTA([2]characters!$A:$A),MATCH(E$1,[2]characters!$1:$1,0)-MATCH($A$1,[2]characters!$1:$1,0)+1),MATCH(E$1,[2]characters!$1:$1,0)-MATCH($A$1,[2]characters!$1:$1,0)+1,FALSE)</f>
        <v>可愛い</v>
      </c>
      <c r="F301" s="77" t="str">
        <f ca="1">VLOOKUP($A301,OFFSET([2]characters!$A$1,0,0,COUNTA([2]characters!$A:$A),MATCH(F$1,[2]characters!$1:$1,0)-MATCH($A$1,[2]characters!$1:$1,0)+1),MATCH(F$1,[2]characters!$1:$1,0)-MATCH($A$1,[2]characters!$1:$1,0)+1,FALSE)</f>
        <v>女性</v>
      </c>
      <c r="G301" s="77">
        <f ca="1">VLOOKUP($A301,OFFSET([2]characters!$A$1,0,0,COUNTA([2]characters!$A:$A),MATCH(G$1,[2]characters!$1:$1,0)-MATCH($A$1,[2]characters!$1:$1,0)+1),MATCH(G$1,[2]characters!$1:$1,0)-MATCH($A$1,[2]characters!$1:$1,0)+1,FALSE)</f>
        <v>3</v>
      </c>
      <c r="H301" s="77" t="str">
        <f ca="1">VLOOKUP($A301,OFFSET([2]characters!$A$1,0,0,COUNTA([2]characters!$A:$A),MATCH(H$1,[2]characters!$1:$1,0)-MATCH($A$1,[2]characters!$1:$1,0)+1),MATCH(H$1,[2]characters!$1:$1,0)-MATCH($A$1,[2]characters!$1:$1,0)+1,FALSE)</f>
        <v>Drop2W</v>
      </c>
      <c r="I301" s="77" t="str">
        <f ca="1">VLOOKUP($A301,OFFSET([2]characters!$A$1,0,0,COUNTA([2]characters!$A:$A),MATCH(I$1,[2]characters!$1:$1,0)-MATCH($A$1,[2]characters!$1:$1,0)+1),MATCH(I$1,[2]characters!$1:$1,0)-MATCH($A$1,[2]characters!$1:$1,0)+1,FALSE)</f>
        <v>green</v>
      </c>
      <c r="J301" s="14">
        <f ca="1">VLOOKUP(I301,[2]属性!$A:$E,2,FALSE)</f>
        <v>1.02</v>
      </c>
      <c r="K301" s="14">
        <f ca="1">VLOOKUP(I301,[2]属性!$A:$E,3,FALSE)</f>
        <v>0.98</v>
      </c>
      <c r="L301" s="14">
        <f ca="1">VLOOKUP(I301,[2]属性!$A:$E,4,FALSE)</f>
        <v>1</v>
      </c>
      <c r="M301" s="14">
        <f ca="1">VLOOKUP(I301,[2]属性!$A:$E,5,FALSE)</f>
        <v>1</v>
      </c>
      <c r="N301" s="14">
        <f ca="1">INDEX(コスト!$A$1:$I$20,MATCH(H301,コスト!$A$1:$A$20,FALSE),MATCH(G301,コスト!$A$1:$I$1,FALSE))</f>
        <v>6</v>
      </c>
      <c r="O301" s="14">
        <f ca="1">INDEX(レベル!$A$1:$I$21,MATCH(H301,レベル!$A$1:$A$21,FALSE),MATCH(G301,レベル!$A$1:$I$1,FALSE))</f>
        <v>40</v>
      </c>
      <c r="P301" s="63">
        <f t="shared" ca="1" si="35"/>
        <v>45</v>
      </c>
      <c r="Q301" s="77" t="str">
        <f ca="1">VLOOKUP($A301,OFFSET([2]characters!$A$1,0,0,COUNTA([2]characters!$A:$A),MATCH(Q$1,[2]characters!$1:$1,0)-MATCH($A$1,[2]characters!$1:$1,0)+1),MATCH(Q$1,[2]characters!$1:$1,0)-MATCH($A$1,[2]characters!$1:$1,0)+1,FALSE)</f>
        <v>balance</v>
      </c>
      <c r="R301" s="8" t="str">
        <f ca="1">VLOOKUP(Q301,[2]character_type_i18n!$A:$H,3,FALSE)</f>
        <v>バランスタイプ</v>
      </c>
      <c r="S301" s="14">
        <f ca="1">VLOOKUP(Q301,[2]character_type_i18n!$A:$H,4,FALSE)</f>
        <v>1</v>
      </c>
      <c r="T301" s="14">
        <f ca="1">VLOOKUP(Q301,[2]character_type_i18n!$A:$H,5,FALSE)</f>
        <v>1</v>
      </c>
      <c r="U301" s="14">
        <f ca="1">VLOOKUP(Q301,[2]character_type_i18n!$A:$H,6,FALSE)</f>
        <v>1</v>
      </c>
      <c r="V301" s="14">
        <f ca="1">VLOOKUP(Q301,[2]character_type_i18n!$A:$H,7,FALSE)</f>
        <v>1</v>
      </c>
      <c r="W301" s="77" t="str">
        <f ca="1">VLOOKUP($A301,OFFSET([2]characters!$A$1,0,0,COUNTA([2]characters!$A:$A),MATCH(W$1,[2]characters!$1:$1,0)-MATCH($A$1,[2]characters!$1:$1,0)+1),MATCH(W$1,[2]characters!$1:$1,0)-MATCH($A$1,[2]characters!$1:$1,0)+1,FALSE)</f>
        <v>human</v>
      </c>
      <c r="X301" s="8" t="str">
        <f ca="1">VLOOKUP(W301,[2]character_tribe_i18n!$A:$H,3,FALSE)</f>
        <v>ヒューマン</v>
      </c>
      <c r="Y301" s="77" t="str">
        <f ca="1">VLOOKUP($A301,OFFSET([2]characters!$A$1,0,0,COUNTA([2]characters!$A:$A),MATCH(Y$1,[2]characters!$1:$1,0)-MATCH($A$1,[2]characters!$1:$1,0)+1),MATCH(Y$1,[2]characters!$1:$1,0)-MATCH($A$1,[2]characters!$1:$1,0)+1,FALSE)</f>
        <v>none</v>
      </c>
      <c r="Z301" s="8" t="str">
        <f ca="1">VLOOKUP(Y301,[2]character_tribe_i18n!$A:$H,3,FALSE)</f>
        <v>種族なし</v>
      </c>
      <c r="AA301" s="14">
        <f ca="1">VLOOKUP(W301,[2]character_tribe_i18n!$A:$H,4,FALSE)</f>
        <v>0.94</v>
      </c>
      <c r="AB301" s="14">
        <f ca="1">VLOOKUP(W301,[2]character_tribe_i18n!$A:$H,5,FALSE)</f>
        <v>0.99</v>
      </c>
      <c r="AC301" s="14">
        <f ca="1">VLOOKUP(W301,[2]character_tribe_i18n!$A:$H,6,FALSE)</f>
        <v>1</v>
      </c>
      <c r="AD301" s="14">
        <f ca="1">VLOOKUP(W301,[2]character_tribe_i18n!$A:$H,7,FALSE)</f>
        <v>1.07</v>
      </c>
      <c r="AE301" s="12">
        <v>301</v>
      </c>
      <c r="AF301" s="85" t="str">
        <f ca="1">IF(AE301="NULL","",VLOOKUP($AE301,OFFSET([2]characters!$A$1,0,0,COUNTA([2]characters!$A:$A),MATCH(AF$1,[2]characters!$1:$1,0)-MATCH($A$1,[2]characters!$1:$1,0)+1),MATCH(AF$1,[2]characters!$1:$1,0)-MATCH($A$1,[2]characters!$1:$1,0)+1,FALSE))</f>
        <v>宿痾の葬送 チカ</v>
      </c>
      <c r="AG301" s="8">
        <f t="shared" ca="1" si="30"/>
        <v>300</v>
      </c>
      <c r="AH301" s="85" t="str">
        <f ca="1">VLOOKUP($AG301,OFFSET([2]characters!$A$1,0,0,COUNTA([2]characters!$A:$A),MATCH(AH$1,[2]characters!$1:$1,0)-MATCH($A$1,[2]characters!$1:$1,0)+1),MATCH(AH$1,[2]characters!$1:$1,0)-MATCH($A$1,[2]characters!$1:$1,0)+1,FALSE)</f>
        <v>毒殺のチカ</v>
      </c>
      <c r="AI301" s="14">
        <f ca="1">IF(AE301="NULL","NULL",VLOOKUP(G301,ビット!$A$2:$B$7,2))</f>
        <v>20000</v>
      </c>
      <c r="AJ301" s="9">
        <v>2</v>
      </c>
      <c r="AK301" s="10" t="str">
        <f t="shared" si="31"/>
        <v>普通</v>
      </c>
      <c r="AL301" s="14" t="str">
        <f ca="1">INDEX(経験値!$A$1:$I$20,MATCH(H301,経験値!$A$1:$A$20,FALSE),MATCH(G301,経験値!$A$1:$I$1,FALSE))</f>
        <v>required_exp_150</v>
      </c>
      <c r="AM301" s="11">
        <f ca="1">VLOOKUP(G301,経験値!$A$27:$B$31,2)</f>
        <v>1500</v>
      </c>
      <c r="AN301" s="21">
        <f ca="1">VLOOKUP(G301,ビット!$G$2:$H$7,2)</f>
        <v>300</v>
      </c>
      <c r="AO301" s="100" t="s">
        <v>185</v>
      </c>
      <c r="AP301" s="4">
        <v>430004</v>
      </c>
      <c r="AQ301" s="77" t="e">
        <f ca="1">VLOOKUP($AP301,OFFSET([1]unit_skills!$A$1,0,0,COUNTA([1]unit_skills!$A:$A),MATCH("name",[1]unit_skills!$1:$1,0)-MATCH($AP$1,[1]unit_skills!$1:$1,0)+1),MATCH("name",[1]unit_skills!$1:$1,0)-MATCH($AP$1,[1]unit_skills!$1:$1,0)+1,FALSE)</f>
        <v>#VALUE!</v>
      </c>
      <c r="AR301" s="77" t="e">
        <f ca="1">VLOOKUP($AP301,OFFSET([1]unit_skills!$A$1,0,0,COUNTA([1]unit_skills!$A:$A),MATCH("comment",[1]unit_skills!$1:$1,0)-MATCH($AP$1,[1]unit_skills!$1:$1,0)+1),MATCH("comment",[1]unit_skills!$1:$1,0)-MATCH($AP$1,[1]unit_skills!$1:$1,0)+1,FALSE)</f>
        <v>#VALUE!</v>
      </c>
      <c r="AS301" s="77" t="e">
        <f ca="1">VLOOKUP($AP301,OFFSET([1]unit_skills!$A$1,0,0,COUNTA([1]unit_skills!$A:$A),MATCH(AS$1,[1]unit_skills!$1:$1,0)-MATCH($AP$1,[1]unit_skills!$1:$1,0)+1),MATCH(AS$1,[1]unit_skills!$1:$1,0)-MATCH($AP$1,[1]unit_skills!$1:$1,0)+1,FALSE)</f>
        <v>#VALUE!</v>
      </c>
      <c r="AT301" s="158">
        <v>434005</v>
      </c>
      <c r="AU301" s="77" t="e">
        <f ca="1">VLOOKUP($AT301,OFFSET([1]crash_skills!$A$1,0,0,COUNTA([1]crash_skills!$A:$A),MATCH("name",[1]crash_skills!$1:$1,0)-MATCH($AT$1,[1]crash_skills!$1:$1,0)+1),MATCH("name",[1]crash_skills!$1:$1,0)-MATCH($AT$1,[1]crash_skills!$1:$1,0)+1,FALSE)</f>
        <v>#VALUE!</v>
      </c>
      <c r="AV301" s="77" t="e">
        <f ca="1">VLOOKUP($AT301,OFFSET([1]crash_skills!$A$1,0,0,COUNTA([1]crash_skills!$A:$A),MATCH("comment",[1]crash_skills!$1:$1,0)-MATCH($AT$1,[1]crash_skills!$1:$1,0)+1),MATCH("comment",[1]crash_skills!$1:$1,0)-MATCH($AT$1,[1]crash_skills!$1:$1,0)+1,FALSE)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01" s="77" t="e">
        <f ca="1">VLOOKUP($AT301,OFFSET([1]crash_skills!$A$1,0,0,COUNTA([1]crash_skills!$A:$A),MATCH(AW$1,[1]crash_skills!$1:$1,0)-MATCH($AT$1,[1]crash_skills!$1:$1,0)+1),MATCH(AW$1,[1]crash_skills!$1:$1,0)-MATCH($AT$1,[1]crash_skills!$1:$1,0)+1,FALSE)</f>
        <v>#VALUE!</v>
      </c>
      <c r="AX301" s="81">
        <f ca="1">VLOOKUP($A301,OFFSET([2]characters!$A$1,0,0,COUNTA([2]characters!$A:$A),MATCH(AX$1,[2]characters!$1:$1,0)-MATCH($A$1,[2]characters!$1:$1,0)+1),MATCH(AX$1,[2]characters!$1:$1,0)-MATCH($A$1,[2]characters!$1:$1,0)+1,FALSE)</f>
        <v>3</v>
      </c>
      <c r="AY301" s="19">
        <v>1</v>
      </c>
      <c r="AZ301" s="19">
        <v>1</v>
      </c>
      <c r="BA301" s="19">
        <v>0</v>
      </c>
      <c r="BB301" s="19">
        <v>1</v>
      </c>
      <c r="BC301" s="14">
        <f ca="1">INDEX('RC6SV'!$A$1:$G$20,MATCH(H301,'RC6SV'!$A$1:$A$20,FALSE),MATCH(G301,'RC6SV'!$A$1:$G$1,FALSE))</f>
        <v>4400</v>
      </c>
      <c r="BD301" s="63">
        <f t="shared" ca="1" si="32"/>
        <v>4400</v>
      </c>
      <c r="BE301" s="14">
        <f t="shared" ca="1" si="33"/>
        <v>0</v>
      </c>
      <c r="BF301" s="14">
        <f t="shared" ca="1" si="34"/>
        <v>1</v>
      </c>
      <c r="BG301" s="20">
        <f ca="1">IF($BE301&lt;=0,ROUND(BK301*0.5,0), ROUND($BE301*S301*AA301*J301*AY301*0.8*[2]ステータス!$B$2,0))</f>
        <v>1055</v>
      </c>
      <c r="BH301" s="20">
        <f ca="1">IF($BE301&lt;=0,ROUND(BL301*0.5,0), ROUND($BE301*T301*AB301*K301*AZ301*0.8*[2]ステータス!$C$2,0))</f>
        <v>641</v>
      </c>
      <c r="BI301" s="20">
        <f ca="1">IF($BE301&lt;=0,ROUND(BM301*0.5,0), ROUND($BE301*U301*AC301*L301*BA301*0.8*[2]ステータス!$D$2,0))</f>
        <v>0</v>
      </c>
      <c r="BJ301" s="20">
        <f ca="1">IF($BE301&lt;=0,ROUND(BN301*0.5,0), ROUND($BE301*V301*AD301*M301*BB301*0.8*[2]ステータス!$E$2,0))</f>
        <v>589</v>
      </c>
      <c r="BK301" s="14">
        <f ca="1">ROUND(BD301*S301*AA301*J301*AY301*[2]ステータス!$B$2,0)</f>
        <v>2109</v>
      </c>
      <c r="BL301" s="14">
        <f ca="1">ROUND(BD301*T301*AB301*K301*AZ301*[2]ステータス!$C$2,0)</f>
        <v>1281</v>
      </c>
      <c r="BM301" s="14">
        <f ca="1">ROUND(BD301*U301*AC301*L301*BA301*[2]ステータス!$D$2,0)</f>
        <v>0</v>
      </c>
      <c r="BN301" s="14">
        <f ca="1">ROUND(BD301*V301*AD301*M301*BB301*[2]ステータス!$E$2,0)</f>
        <v>1177</v>
      </c>
      <c r="BO301" s="13">
        <v>0</v>
      </c>
      <c r="BP301" s="13">
        <v>1</v>
      </c>
      <c r="BQ301" s="13" t="s">
        <v>102</v>
      </c>
      <c r="BR301" s="13">
        <f ca="1">VLOOKUP(H301,ghosts_label!$A$2:$B$19,2,FALSE)</f>
        <v>1</v>
      </c>
    </row>
    <row r="302" spans="1:70" ht="21" customHeight="1" x14ac:dyDescent="0.15">
      <c r="A302" s="14">
        <f t="shared" ca="1" si="29"/>
        <v>301</v>
      </c>
      <c r="B302" s="77" t="str">
        <f ca="1">VLOOKUP($A302,OFFSET([2]characters!$A$1,0,0,COUNTA([2]characters!$A:$A),MATCH(B$1,[2]characters!$1:$1,0)-MATCH($A$1,[2]characters!$1:$1,0)+1),MATCH(B$1,[2]characters!$1:$1,0)-MATCH($A$1,[2]characters!$1:$1,0)+1,FALSE)</f>
        <v>宿痾の葬送 チカ</v>
      </c>
      <c r="C302" s="77" t="str">
        <f ca="1">VLOOKUP($A302,OFFSET([2]characters!$A$1,0,0,COUNTA([2]characters!$A:$A),MATCH(C$1,[2]characters!$1:$1,0)-MATCH($A$1,[2]characters!$1:$1,0)+1),MATCH(C$1,[2]characters!$1:$1,0)-MATCH($A$1,[2]characters!$1:$1,0)+1,FALSE)</f>
        <v>イベント:囚人01</v>
      </c>
      <c r="D302" s="77" t="str">
        <f ca="1">VLOOKUP($A302,OFFSET([2]characters!$A$1,0,0,COUNTA([2]characters!$A:$A),MATCH(D$1,[2]characters!$1:$1,0)-MATCH($A$1,[2]characters!$1:$1,0)+1),MATCH(D$1,[2]characters!$1:$1,0)-MATCH($A$1,[2]characters!$1:$1,0)+1,FALSE)</f>
        <v>QoH</v>
      </c>
      <c r="E302" s="77" t="str">
        <f ca="1">VLOOKUP($A302,OFFSET([2]characters!$A$1,0,0,COUNTA([2]characters!$A:$A),MATCH(E$1,[2]characters!$1:$1,0)-MATCH($A$1,[2]characters!$1:$1,0)+1),MATCH(E$1,[2]characters!$1:$1,0)-MATCH($A$1,[2]characters!$1:$1,0)+1,FALSE)</f>
        <v>可愛い</v>
      </c>
      <c r="F302" s="77" t="str">
        <f ca="1">VLOOKUP($A302,OFFSET([2]characters!$A$1,0,0,COUNTA([2]characters!$A:$A),MATCH(F$1,[2]characters!$1:$1,0)-MATCH($A$1,[2]characters!$1:$1,0)+1),MATCH(F$1,[2]characters!$1:$1,0)-MATCH($A$1,[2]characters!$1:$1,0)+1,FALSE)</f>
        <v>女性</v>
      </c>
      <c r="G302" s="77">
        <f ca="1">VLOOKUP($A302,OFFSET([2]characters!$A$1,0,0,COUNTA([2]characters!$A:$A),MATCH(G$1,[2]characters!$1:$1,0)-MATCH($A$1,[2]characters!$1:$1,0)+1),MATCH(G$1,[2]characters!$1:$1,0)-MATCH($A$1,[2]characters!$1:$1,0)+1,FALSE)</f>
        <v>4</v>
      </c>
      <c r="H302" s="77" t="str">
        <f ca="1">VLOOKUP($A302,OFFSET([2]characters!$A$1,0,0,COUNTA([2]characters!$A:$A),MATCH(H$1,[2]characters!$1:$1,0)-MATCH($A$1,[2]characters!$1:$1,0)+1),MATCH(H$1,[2]characters!$1:$1,0)-MATCH($A$1,[2]characters!$1:$1,0)+1,FALSE)</f>
        <v>Drop2W</v>
      </c>
      <c r="I302" s="77" t="str">
        <f ca="1">VLOOKUP($A302,OFFSET([2]characters!$A$1,0,0,COUNTA([2]characters!$A:$A),MATCH(I$1,[2]characters!$1:$1,0)-MATCH($A$1,[2]characters!$1:$1,0)+1),MATCH(I$1,[2]characters!$1:$1,0)-MATCH($A$1,[2]characters!$1:$1,0)+1,FALSE)</f>
        <v>green</v>
      </c>
      <c r="J302" s="14">
        <f ca="1">VLOOKUP(I302,[2]属性!$A:$E,2,FALSE)</f>
        <v>1.02</v>
      </c>
      <c r="K302" s="14">
        <f ca="1">VLOOKUP(I302,[2]属性!$A:$E,3,FALSE)</f>
        <v>0.98</v>
      </c>
      <c r="L302" s="14">
        <f ca="1">VLOOKUP(I302,[2]属性!$A:$E,4,FALSE)</f>
        <v>1</v>
      </c>
      <c r="M302" s="14">
        <f ca="1">VLOOKUP(I302,[2]属性!$A:$E,5,FALSE)</f>
        <v>1</v>
      </c>
      <c r="N302" s="14">
        <f ca="1">INDEX(コスト!$A$1:$I$20,MATCH(H302,コスト!$A$1:$A$20,FALSE),MATCH(G302,コスト!$A$1:$I$1,FALSE))</f>
        <v>14</v>
      </c>
      <c r="O302" s="14">
        <f ca="1">INDEX(レベル!$A$1:$I$21,MATCH(H302,レベル!$A$1:$A$21,FALSE),MATCH(G302,レベル!$A$1:$I$1,FALSE))</f>
        <v>60</v>
      </c>
      <c r="P302" s="63">
        <f t="shared" ca="1" si="35"/>
        <v>60</v>
      </c>
      <c r="Q302" s="77" t="str">
        <f ca="1">VLOOKUP($A302,OFFSET([2]characters!$A$1,0,0,COUNTA([2]characters!$A:$A),MATCH(Q$1,[2]characters!$1:$1,0)-MATCH($A$1,[2]characters!$1:$1,0)+1),MATCH(Q$1,[2]characters!$1:$1,0)-MATCH($A$1,[2]characters!$1:$1,0)+1,FALSE)</f>
        <v>balance</v>
      </c>
      <c r="R302" s="8" t="str">
        <f ca="1">VLOOKUP(Q302,[2]character_type_i18n!$A:$H,3,FALSE)</f>
        <v>バランスタイプ</v>
      </c>
      <c r="S302" s="14">
        <f ca="1">VLOOKUP(Q302,[2]character_type_i18n!$A:$H,4,FALSE)</f>
        <v>1</v>
      </c>
      <c r="T302" s="14">
        <f ca="1">VLOOKUP(Q302,[2]character_type_i18n!$A:$H,5,FALSE)</f>
        <v>1</v>
      </c>
      <c r="U302" s="14">
        <f ca="1">VLOOKUP(Q302,[2]character_type_i18n!$A:$H,6,FALSE)</f>
        <v>1</v>
      </c>
      <c r="V302" s="14">
        <f ca="1">VLOOKUP(Q302,[2]character_type_i18n!$A:$H,7,FALSE)</f>
        <v>1</v>
      </c>
      <c r="W302" s="77" t="str">
        <f ca="1">VLOOKUP($A302,OFFSET([2]characters!$A$1,0,0,COUNTA([2]characters!$A:$A),MATCH(W$1,[2]characters!$1:$1,0)-MATCH($A$1,[2]characters!$1:$1,0)+1),MATCH(W$1,[2]characters!$1:$1,0)-MATCH($A$1,[2]characters!$1:$1,0)+1,FALSE)</f>
        <v>human</v>
      </c>
      <c r="X302" s="8" t="str">
        <f ca="1">VLOOKUP(W302,[2]character_tribe_i18n!$A:$H,3,FALSE)</f>
        <v>ヒューマン</v>
      </c>
      <c r="Y302" s="77" t="str">
        <f ca="1">VLOOKUP($A302,OFFSET([2]characters!$A$1,0,0,COUNTA([2]characters!$A:$A),MATCH(Y$1,[2]characters!$1:$1,0)-MATCH($A$1,[2]characters!$1:$1,0)+1),MATCH(Y$1,[2]characters!$1:$1,0)-MATCH($A$1,[2]characters!$1:$1,0)+1,FALSE)</f>
        <v>none</v>
      </c>
      <c r="Z302" s="8" t="str">
        <f ca="1">VLOOKUP(Y302,[2]character_tribe_i18n!$A:$H,3,FALSE)</f>
        <v>種族なし</v>
      </c>
      <c r="AA302" s="14">
        <f ca="1">VLOOKUP(W302,[2]character_tribe_i18n!$A:$H,4,FALSE)</f>
        <v>0.94</v>
      </c>
      <c r="AB302" s="14">
        <f ca="1">VLOOKUP(W302,[2]character_tribe_i18n!$A:$H,5,FALSE)</f>
        <v>0.99</v>
      </c>
      <c r="AC302" s="14">
        <f ca="1">VLOOKUP(W302,[2]character_tribe_i18n!$A:$H,6,FALSE)</f>
        <v>1</v>
      </c>
      <c r="AD302" s="14">
        <f ca="1">VLOOKUP(W302,[2]character_tribe_i18n!$A:$H,7,FALSE)</f>
        <v>1.07</v>
      </c>
      <c r="AE302" s="12" t="s">
        <v>102</v>
      </c>
      <c r="AF302" s="85" t="str">
        <f ca="1">IF(AE302="NULL","",VLOOKUP($AE302,OFFSET([2]characters!$A$1,0,0,COUNTA([2]characters!$A:$A),MATCH(AF$1,[2]characters!$1:$1,0)-MATCH($A$1,[2]characters!$1:$1,0)+1),MATCH(AF$1,[2]characters!$1:$1,0)-MATCH($A$1,[2]characters!$1:$1,0)+1,FALSE))</f>
        <v/>
      </c>
      <c r="AG302" s="8">
        <f t="shared" ca="1" si="30"/>
        <v>300</v>
      </c>
      <c r="AH302" s="85" t="str">
        <f ca="1">VLOOKUP($AG302,OFFSET([2]characters!$A$1,0,0,COUNTA([2]characters!$A:$A),MATCH(AH$1,[2]characters!$1:$1,0)-MATCH($A$1,[2]characters!$1:$1,0)+1),MATCH(AH$1,[2]characters!$1:$1,0)-MATCH($A$1,[2]characters!$1:$1,0)+1,FALSE)</f>
        <v>毒殺のチカ</v>
      </c>
      <c r="AI302" s="14" t="str">
        <f>IF(AE302="NULL","NULL",VLOOKUP(G302,ビット!$A$2:$B$7,2))</f>
        <v>NULL</v>
      </c>
      <c r="AJ302" s="9">
        <v>2</v>
      </c>
      <c r="AK302" s="10" t="str">
        <f t="shared" si="31"/>
        <v>普通</v>
      </c>
      <c r="AL302" s="14" t="str">
        <f ca="1">INDEX(経験値!$A$1:$I$20,MATCH(H302,経験値!$A$1:$A$20,FALSE),MATCH(G302,経験値!$A$1:$I$1,FALSE))</f>
        <v>required_exp_150</v>
      </c>
      <c r="AM302" s="11">
        <f ca="1">VLOOKUP(G302,経験値!$A$27:$B$31,2)</f>
        <v>3400</v>
      </c>
      <c r="AN302" s="21">
        <f ca="1">VLOOKUP(G302,ビット!$G$2:$H$7,2)</f>
        <v>600</v>
      </c>
      <c r="AO302" s="100" t="s">
        <v>185</v>
      </c>
      <c r="AP302" s="4">
        <v>430004</v>
      </c>
      <c r="AQ302" s="77" t="e">
        <f ca="1">VLOOKUP($AP302,OFFSET([1]unit_skills!$A$1,0,0,COUNTA([1]unit_skills!$A:$A),MATCH("name",[1]unit_skills!$1:$1,0)-MATCH($AP$1,[1]unit_skills!$1:$1,0)+1),MATCH("name",[1]unit_skills!$1:$1,0)-MATCH($AP$1,[1]unit_skills!$1:$1,0)+1,FALSE)</f>
        <v>#VALUE!</v>
      </c>
      <c r="AR302" s="77" t="e">
        <f ca="1">VLOOKUP($AP302,OFFSET([1]unit_skills!$A$1,0,0,COUNTA([1]unit_skills!$A:$A),MATCH("comment",[1]unit_skills!$1:$1,0)-MATCH($AP$1,[1]unit_skills!$1:$1,0)+1),MATCH("comment",[1]unit_skills!$1:$1,0)-MATCH($AP$1,[1]unit_skills!$1:$1,0)+1,FALSE)</f>
        <v>#VALUE!</v>
      </c>
      <c r="AS302" s="77" t="e">
        <f ca="1">VLOOKUP($AP302,OFFSET([1]unit_skills!$A$1,0,0,COUNTA([1]unit_skills!$A:$A),MATCH(AS$1,[1]unit_skills!$1:$1,0)-MATCH($AP$1,[1]unit_skills!$1:$1,0)+1),MATCH(AS$1,[1]unit_skills!$1:$1,0)-MATCH($AP$1,[1]unit_skills!$1:$1,0)+1,FALSE)</f>
        <v>#VALUE!</v>
      </c>
      <c r="AT302" s="158">
        <v>434004</v>
      </c>
      <c r="AU302" s="77" t="e">
        <f ca="1">VLOOKUP($AT302,OFFSET([1]crash_skills!$A$1,0,0,COUNTA([1]crash_skills!$A:$A),MATCH("name",[1]crash_skills!$1:$1,0)-MATCH($AT$1,[1]crash_skills!$1:$1,0)+1),MATCH("name",[1]crash_skills!$1:$1,0)-MATCH($AT$1,[1]crash_skills!$1:$1,0)+1,FALSE)</f>
        <v>#VALUE!</v>
      </c>
      <c r="AV302" s="77" t="e">
        <f ca="1">VLOOKUP($AT302,OFFSET([1]crash_skills!$A$1,0,0,COUNTA([1]crash_skills!$A:$A),MATCH("comment",[1]crash_skills!$1:$1,0)-MATCH($AT$1,[1]crash_skills!$1:$1,0)+1),MATCH("comment",[1]crash_skills!$1:$1,0)-MATCH($AT$1,[1]crash_skills!$1:$1,0)+1,FALSE)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02" s="77" t="e">
        <f ca="1">VLOOKUP($AT302,OFFSET([1]crash_skills!$A$1,0,0,COUNTA([1]crash_skills!$A:$A),MATCH(AW$1,[1]crash_skills!$1:$1,0)-MATCH($AT$1,[1]crash_skills!$1:$1,0)+1),MATCH(AW$1,[1]crash_skills!$1:$1,0)-MATCH($AT$1,[1]crash_skills!$1:$1,0)+1,FALSE)</f>
        <v>#VALUE!</v>
      </c>
      <c r="AX302" s="81">
        <f ca="1">VLOOKUP($A302,OFFSET([2]characters!$A$1,0,0,COUNTA([2]characters!$A:$A),MATCH(AX$1,[2]characters!$1:$1,0)-MATCH($A$1,[2]characters!$1:$1,0)+1),MATCH(AX$1,[2]characters!$1:$1,0)-MATCH($A$1,[2]characters!$1:$1,0)+1,FALSE)</f>
        <v>3</v>
      </c>
      <c r="AY302" s="19">
        <v>1</v>
      </c>
      <c r="AZ302" s="19">
        <v>1</v>
      </c>
      <c r="BA302" s="19">
        <v>0</v>
      </c>
      <c r="BB302" s="19">
        <v>1</v>
      </c>
      <c r="BC302" s="14">
        <f ca="1">INDEX('RC6SV'!$A$1:$G$20,MATCH(H302,'RC6SV'!$A$1:$A$20,FALSE),MATCH(G302,'RC6SV'!$A$1:$G$1,FALSE))</f>
        <v>5600</v>
      </c>
      <c r="BD302" s="63">
        <f t="shared" ca="1" si="32"/>
        <v>5600</v>
      </c>
      <c r="BE302" s="14">
        <f t="shared" ca="1" si="33"/>
        <v>4400</v>
      </c>
      <c r="BF302" s="14">
        <f t="shared" ca="1" si="34"/>
        <v>1</v>
      </c>
      <c r="BG302" s="20">
        <f ca="1">IF($BE302&lt;=0,ROUND(BK302*0.5,0), ROUND($BE302*S302*AA302*J302*AY302*0.8*[2]ステータス!$B$2,0))</f>
        <v>1687</v>
      </c>
      <c r="BH302" s="20">
        <f ca="1">IF($BE302&lt;=0,ROUND(BL302*0.5,0), ROUND($BE302*T302*AB302*K302*AZ302*0.8*[2]ステータス!$C$2,0))</f>
        <v>1025</v>
      </c>
      <c r="BI302" s="20">
        <f ca="1">IF($BE302&lt;=0,ROUND(BM302*0.5,0), ROUND($BE302*U302*AC302*L302*BA302*0.8*[2]ステータス!$D$2,0))</f>
        <v>0</v>
      </c>
      <c r="BJ302" s="20">
        <f ca="1">IF($BE302&lt;=0,ROUND(BN302*0.5,0), ROUND($BE302*V302*AD302*M302*BB302*0.8*[2]ステータス!$E$2,0))</f>
        <v>942</v>
      </c>
      <c r="BK302" s="14">
        <f ca="1">ROUND(BD302*S302*AA302*J302*AY302*[2]ステータス!$B$2,0)</f>
        <v>2685</v>
      </c>
      <c r="BL302" s="14">
        <f ca="1">ROUND(BD302*T302*AB302*K302*AZ302*[2]ステータス!$C$2,0)</f>
        <v>1630</v>
      </c>
      <c r="BM302" s="14">
        <f ca="1">ROUND(BD302*U302*AC302*L302*BA302*[2]ステータス!$D$2,0)</f>
        <v>0</v>
      </c>
      <c r="BN302" s="14">
        <f ca="1">ROUND(BD302*V302*AD302*M302*BB302*[2]ステータス!$E$2,0)</f>
        <v>1498</v>
      </c>
      <c r="BO302" s="13">
        <v>0</v>
      </c>
      <c r="BP302" s="13">
        <v>1</v>
      </c>
      <c r="BQ302" s="13" t="s">
        <v>102</v>
      </c>
      <c r="BR302" s="13">
        <f ca="1">VLOOKUP(H302,ghosts_label!$A$2:$B$19,2,FALSE)</f>
        <v>1</v>
      </c>
    </row>
    <row r="303" spans="1:70" ht="21" customHeight="1" x14ac:dyDescent="0.15">
      <c r="A303" s="14">
        <f t="shared" ca="1" si="29"/>
        <v>302</v>
      </c>
      <c r="B303" s="77" t="str">
        <f ca="1">VLOOKUP($A303,OFFSET([2]characters!$A$1,0,0,COUNTA([2]characters!$A:$A),MATCH(B$1,[2]characters!$1:$1,0)-MATCH($A$1,[2]characters!$1:$1,0)+1),MATCH(B$1,[2]characters!$1:$1,0)-MATCH($A$1,[2]characters!$1:$1,0)+1,FALSE)</f>
        <v>絞殺のリサ</v>
      </c>
      <c r="C303" s="77" t="str">
        <f ca="1">VLOOKUP($A303,OFFSET([2]characters!$A$1,0,0,COUNTA([2]characters!$A:$A),MATCH(C$1,[2]characters!$1:$1,0)-MATCH($A$1,[2]characters!$1:$1,0)+1),MATCH(C$1,[2]characters!$1:$1,0)-MATCH($A$1,[2]characters!$1:$1,0)+1,FALSE)</f>
        <v>イベント:囚人01</v>
      </c>
      <c r="D303" s="77" t="str">
        <f ca="1">VLOOKUP($A303,OFFSET([2]characters!$A$1,0,0,COUNTA([2]characters!$A:$A),MATCH(D$1,[2]characters!$1:$1,0)-MATCH($A$1,[2]characters!$1:$1,0)+1),MATCH(D$1,[2]characters!$1:$1,0)-MATCH($A$1,[2]characters!$1:$1,0)+1,FALSE)</f>
        <v>QoH</v>
      </c>
      <c r="E303" s="77" t="str">
        <f ca="1">VLOOKUP($A303,OFFSET([2]characters!$A$1,0,0,COUNTA([2]characters!$A:$A),MATCH(E$1,[2]characters!$1:$1,0)-MATCH($A$1,[2]characters!$1:$1,0)+1),MATCH(E$1,[2]characters!$1:$1,0)-MATCH($A$1,[2]characters!$1:$1,0)+1,FALSE)</f>
        <v>美しい</v>
      </c>
      <c r="F303" s="77" t="str">
        <f ca="1">VLOOKUP($A303,OFFSET([2]characters!$A$1,0,0,COUNTA([2]characters!$A:$A),MATCH(F$1,[2]characters!$1:$1,0)-MATCH($A$1,[2]characters!$1:$1,0)+1),MATCH(F$1,[2]characters!$1:$1,0)-MATCH($A$1,[2]characters!$1:$1,0)+1,FALSE)</f>
        <v>女性</v>
      </c>
      <c r="G303" s="77">
        <f ca="1">VLOOKUP($A303,OFFSET([2]characters!$A$1,0,0,COUNTA([2]characters!$A:$A),MATCH(G$1,[2]characters!$1:$1,0)-MATCH($A$1,[2]characters!$1:$1,0)+1),MATCH(G$1,[2]characters!$1:$1,0)-MATCH($A$1,[2]characters!$1:$1,0)+1,FALSE)</f>
        <v>3</v>
      </c>
      <c r="H303" s="77" t="str">
        <f ca="1">VLOOKUP($A303,OFFSET([2]characters!$A$1,0,0,COUNTA([2]characters!$A:$A),MATCH(H$1,[2]characters!$1:$1,0)-MATCH($A$1,[2]characters!$1:$1,0)+1),MATCH(H$1,[2]characters!$1:$1,0)-MATCH($A$1,[2]characters!$1:$1,0)+1,FALSE)</f>
        <v>Drop2W</v>
      </c>
      <c r="I303" s="77" t="str">
        <f ca="1">VLOOKUP($A303,OFFSET([2]characters!$A$1,0,0,COUNTA([2]characters!$A:$A),MATCH(I$1,[2]characters!$1:$1,0)-MATCH($A$1,[2]characters!$1:$1,0)+1),MATCH(I$1,[2]characters!$1:$1,0)-MATCH($A$1,[2]characters!$1:$1,0)+1,FALSE)</f>
        <v>blue</v>
      </c>
      <c r="J303" s="14">
        <f ca="1">VLOOKUP(I303,[2]属性!$A:$E,2,FALSE)</f>
        <v>1</v>
      </c>
      <c r="K303" s="14">
        <f ca="1">VLOOKUP(I303,[2]属性!$A:$E,3,FALSE)</f>
        <v>0.98</v>
      </c>
      <c r="L303" s="14">
        <f ca="1">VLOOKUP(I303,[2]属性!$A:$E,4,FALSE)</f>
        <v>1</v>
      </c>
      <c r="M303" s="14">
        <f ca="1">VLOOKUP(I303,[2]属性!$A:$E,5,FALSE)</f>
        <v>1.02</v>
      </c>
      <c r="N303" s="14">
        <f ca="1">INDEX(コスト!$A$1:$I$20,MATCH(H303,コスト!$A$1:$A$20,FALSE),MATCH(G303,コスト!$A$1:$I$1,FALSE))</f>
        <v>6</v>
      </c>
      <c r="O303" s="14">
        <f ca="1">INDEX(レベル!$A$1:$I$21,MATCH(H303,レベル!$A$1:$A$21,FALSE),MATCH(G303,レベル!$A$1:$I$1,FALSE))</f>
        <v>40</v>
      </c>
      <c r="P303" s="63">
        <f t="shared" ca="1" si="35"/>
        <v>45</v>
      </c>
      <c r="Q303" s="77" t="str">
        <f ca="1">VLOOKUP($A303,OFFSET([2]characters!$A$1,0,0,COUNTA([2]characters!$A:$A),MATCH(Q$1,[2]characters!$1:$1,0)-MATCH($A$1,[2]characters!$1:$1,0)+1),MATCH(Q$1,[2]characters!$1:$1,0)-MATCH($A$1,[2]characters!$1:$1,0)+1,FALSE)</f>
        <v>heal</v>
      </c>
      <c r="R303" s="8" t="str">
        <f ca="1">VLOOKUP(Q303,[2]character_type_i18n!$A:$H,3,FALSE)</f>
        <v>回復タイプ</v>
      </c>
      <c r="S303" s="14">
        <f ca="1">VLOOKUP(Q303,[2]character_type_i18n!$A:$H,4,FALSE)</f>
        <v>0.8</v>
      </c>
      <c r="T303" s="14">
        <f ca="1">VLOOKUP(Q303,[2]character_type_i18n!$A:$H,5,FALSE)</f>
        <v>0.78</v>
      </c>
      <c r="U303" s="14">
        <f ca="1">VLOOKUP(Q303,[2]character_type_i18n!$A:$H,6,FALSE)</f>
        <v>1</v>
      </c>
      <c r="V303" s="14">
        <f ca="1">VLOOKUP(Q303,[2]character_type_i18n!$A:$H,7,FALSE)</f>
        <v>1.42</v>
      </c>
      <c r="W303" s="77" t="str">
        <f ca="1">VLOOKUP($A303,OFFSET([2]characters!$A$1,0,0,COUNTA([2]characters!$A:$A),MATCH(W$1,[2]characters!$1:$1,0)-MATCH($A$1,[2]characters!$1:$1,0)+1),MATCH(W$1,[2]characters!$1:$1,0)-MATCH($A$1,[2]characters!$1:$1,0)+1,FALSE)</f>
        <v>human</v>
      </c>
      <c r="X303" s="8" t="str">
        <f ca="1">VLOOKUP(W303,[2]character_tribe_i18n!$A:$H,3,FALSE)</f>
        <v>ヒューマン</v>
      </c>
      <c r="Y303" s="77" t="str">
        <f ca="1">VLOOKUP($A303,OFFSET([2]characters!$A$1,0,0,COUNTA([2]characters!$A:$A),MATCH(Y$1,[2]characters!$1:$1,0)-MATCH($A$1,[2]characters!$1:$1,0)+1),MATCH(Y$1,[2]characters!$1:$1,0)-MATCH($A$1,[2]characters!$1:$1,0)+1,FALSE)</f>
        <v>none</v>
      </c>
      <c r="Z303" s="8" t="str">
        <f ca="1">VLOOKUP(Y303,[2]character_tribe_i18n!$A:$H,3,FALSE)</f>
        <v>種族なし</v>
      </c>
      <c r="AA303" s="14">
        <f ca="1">VLOOKUP(W303,[2]character_tribe_i18n!$A:$H,4,FALSE)</f>
        <v>0.94</v>
      </c>
      <c r="AB303" s="14">
        <f ca="1">VLOOKUP(W303,[2]character_tribe_i18n!$A:$H,5,FALSE)</f>
        <v>0.99</v>
      </c>
      <c r="AC303" s="14">
        <f ca="1">VLOOKUP(W303,[2]character_tribe_i18n!$A:$H,6,FALSE)</f>
        <v>1</v>
      </c>
      <c r="AD303" s="14">
        <f ca="1">VLOOKUP(W303,[2]character_tribe_i18n!$A:$H,7,FALSE)</f>
        <v>1.07</v>
      </c>
      <c r="AE303" s="12">
        <v>303</v>
      </c>
      <c r="AF303" s="85" t="str">
        <f ca="1">IF(AE303="NULL","",VLOOKUP($AE303,OFFSET([2]characters!$A$1,0,0,COUNTA([2]characters!$A:$A),MATCH(AF$1,[2]characters!$1:$1,0)-MATCH($A$1,[2]characters!$1:$1,0)+1),MATCH(AF$1,[2]characters!$1:$1,0)-MATCH($A$1,[2]characters!$1:$1,0)+1,FALSE))</f>
        <v>哄笑の禁縛 リサ</v>
      </c>
      <c r="AG303" s="8">
        <f t="shared" ca="1" si="30"/>
        <v>302</v>
      </c>
      <c r="AH303" s="85" t="str">
        <f ca="1">VLOOKUP($AG303,OFFSET([2]characters!$A$1,0,0,COUNTA([2]characters!$A:$A),MATCH(AH$1,[2]characters!$1:$1,0)-MATCH($A$1,[2]characters!$1:$1,0)+1),MATCH(AH$1,[2]characters!$1:$1,0)-MATCH($A$1,[2]characters!$1:$1,0)+1,FALSE)</f>
        <v>絞殺のリサ</v>
      </c>
      <c r="AI303" s="14">
        <f ca="1">IF(AE303="NULL","NULL",VLOOKUP(G303,ビット!$A$2:$B$7,2))</f>
        <v>20000</v>
      </c>
      <c r="AJ303" s="9">
        <v>2</v>
      </c>
      <c r="AK303" s="10" t="str">
        <f t="shared" si="31"/>
        <v>普通</v>
      </c>
      <c r="AL303" s="14" t="str">
        <f ca="1">INDEX(経験値!$A$1:$I$20,MATCH(H303,経験値!$A$1:$A$20,FALSE),MATCH(G303,経験値!$A$1:$I$1,FALSE))</f>
        <v>required_exp_150</v>
      </c>
      <c r="AM303" s="11">
        <f ca="1">VLOOKUP(G303,経験値!$A$27:$B$31,2)</f>
        <v>1500</v>
      </c>
      <c r="AN303" s="21">
        <f ca="1">VLOOKUP(G303,ビット!$G$2:$H$7,2)</f>
        <v>300</v>
      </c>
      <c r="AO303" s="100" t="s">
        <v>185</v>
      </c>
      <c r="AP303" s="4">
        <v>712001</v>
      </c>
      <c r="AQ303" s="77" t="e">
        <f ca="1">VLOOKUP($AP303,OFFSET([1]unit_skills!$A$1,0,0,COUNTA([1]unit_skills!$A:$A),MATCH("name",[1]unit_skills!$1:$1,0)-MATCH($AP$1,[1]unit_skills!$1:$1,0)+1),MATCH("name",[1]unit_skills!$1:$1,0)-MATCH($AP$1,[1]unit_skills!$1:$1,0)+1,FALSE)</f>
        <v>#VALUE!</v>
      </c>
      <c r="AR303" s="77" t="e">
        <f ca="1">VLOOKUP($AP303,OFFSET([1]unit_skills!$A$1,0,0,COUNTA([1]unit_skills!$A:$A),MATCH("comment",[1]unit_skills!$1:$1,0)-MATCH($AP$1,[1]unit_skills!$1:$1,0)+1),MATCH("comment",[1]unit_skills!$1:$1,0)-MATCH($AP$1,[1]unit_skills!$1:$1,0)+1,FALSE)</f>
        <v>#VALUE!</v>
      </c>
      <c r="AS303" s="77" t="e">
        <f ca="1">VLOOKUP($AP303,OFFSET([1]unit_skills!$A$1,0,0,COUNTA([1]unit_skills!$A:$A),MATCH(AS$1,[1]unit_skills!$1:$1,0)-MATCH($AP$1,[1]unit_skills!$1:$1,0)+1),MATCH(AS$1,[1]unit_skills!$1:$1,0)-MATCH($AP$1,[1]unit_skills!$1:$1,0)+1,FALSE)</f>
        <v>#VALUE!</v>
      </c>
      <c r="AT303" s="53">
        <v>454005</v>
      </c>
      <c r="AU303" s="77" t="e">
        <f ca="1">VLOOKUP($AT303,OFFSET([1]crash_skills!$A$1,0,0,COUNTA([1]crash_skills!$A:$A),MATCH("name",[1]crash_skills!$1:$1,0)-MATCH($AT$1,[1]crash_skills!$1:$1,0)+1),MATCH("name",[1]crash_skills!$1:$1,0)-MATCH($AT$1,[1]crash_skills!$1:$1,0)+1,FALSE)</f>
        <v>#VALUE!</v>
      </c>
      <c r="AV303" s="77" t="e">
        <f ca="1">VLOOKUP($AT303,OFFSET([1]crash_skills!$A$1,0,0,COUNTA([1]crash_skills!$A:$A),MATCH("comment",[1]crash_skills!$1:$1,0)-MATCH($AT$1,[1]crash_skills!$1:$1,0)+1),MATCH("comment",[1]crash_skills!$1:$1,0)-MATCH($AT$1,[1]crash_skills!$1:$1,0)+1,FALSE)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03" s="77" t="e">
        <f ca="1">VLOOKUP($AT303,OFFSET([1]crash_skills!$A$1,0,0,COUNTA([1]crash_skills!$A:$A),MATCH(AW$1,[1]crash_skills!$1:$1,0)-MATCH($AT$1,[1]crash_skills!$1:$1,0)+1),MATCH(AW$1,[1]crash_skills!$1:$1,0)-MATCH($AT$1,[1]crash_skills!$1:$1,0)+1,FALSE)</f>
        <v>#VALUE!</v>
      </c>
      <c r="AX303" s="81">
        <f ca="1">VLOOKUP($A303,OFFSET([2]characters!$A$1,0,0,COUNTA([2]characters!$A:$A),MATCH(AX$1,[2]characters!$1:$1,0)-MATCH($A$1,[2]characters!$1:$1,0)+1),MATCH(AX$1,[2]characters!$1:$1,0)-MATCH($A$1,[2]characters!$1:$1,0)+1,FALSE)</f>
        <v>3</v>
      </c>
      <c r="AY303" s="19">
        <v>1</v>
      </c>
      <c r="AZ303" s="19">
        <v>1</v>
      </c>
      <c r="BA303" s="19">
        <v>0</v>
      </c>
      <c r="BB303" s="19">
        <v>1</v>
      </c>
      <c r="BC303" s="14">
        <f ca="1">INDEX('RC6SV'!$A$1:$G$20,MATCH(H303,'RC6SV'!$A$1:$A$20,FALSE),MATCH(G303,'RC6SV'!$A$1:$G$1,FALSE))</f>
        <v>4400</v>
      </c>
      <c r="BD303" s="63">
        <f t="shared" ca="1" si="32"/>
        <v>4400</v>
      </c>
      <c r="BE303" s="14">
        <f t="shared" ca="1" si="33"/>
        <v>0</v>
      </c>
      <c r="BF303" s="14">
        <f t="shared" ca="1" si="34"/>
        <v>1</v>
      </c>
      <c r="BG303" s="20">
        <f ca="1">IF($BE303&lt;=0,ROUND(BK303*0.5,0), ROUND($BE303*S303*AA303*J303*AY303*0.8*[2]ステータス!$B$2,0))</f>
        <v>827</v>
      </c>
      <c r="BH303" s="20">
        <f ca="1">IF($BE303&lt;=0,ROUND(BL303*0.5,0), ROUND($BE303*T303*AB303*K303*AZ303*0.8*[2]ステータス!$C$2,0))</f>
        <v>500</v>
      </c>
      <c r="BI303" s="20">
        <f ca="1">IF($BE303&lt;=0,ROUND(BM303*0.5,0), ROUND($BE303*U303*AC303*L303*BA303*0.8*[2]ステータス!$D$2,0))</f>
        <v>0</v>
      </c>
      <c r="BJ303" s="20">
        <f ca="1">IF($BE303&lt;=0,ROUND(BN303*0.5,0), ROUND($BE303*V303*AD303*M303*BB303*0.8*[2]ステータス!$E$2,0))</f>
        <v>853</v>
      </c>
      <c r="BK303" s="14">
        <f ca="1">ROUND(BD303*S303*AA303*J303*AY303*[2]ステータス!$B$2,0)</f>
        <v>1654</v>
      </c>
      <c r="BL303" s="14">
        <f ca="1">ROUND(BD303*T303*AB303*K303*AZ303*[2]ステータス!$C$2,0)</f>
        <v>999</v>
      </c>
      <c r="BM303" s="14">
        <f ca="1">ROUND(BD303*U303*AC303*L303*BA303*[2]ステータス!$D$2,0)</f>
        <v>0</v>
      </c>
      <c r="BN303" s="14">
        <f ca="1">ROUND(BD303*V303*AD303*M303*BB303*[2]ステータス!$E$2,0)</f>
        <v>1705</v>
      </c>
      <c r="BO303" s="13">
        <v>0</v>
      </c>
      <c r="BP303" s="13">
        <v>1</v>
      </c>
      <c r="BQ303" s="13" t="s">
        <v>102</v>
      </c>
      <c r="BR303" s="13">
        <f ca="1">VLOOKUP(H303,ghosts_label!$A$2:$B$19,2,FALSE)</f>
        <v>1</v>
      </c>
    </row>
    <row r="304" spans="1:70" ht="21" customHeight="1" x14ac:dyDescent="0.15">
      <c r="A304" s="14">
        <f t="shared" ca="1" si="29"/>
        <v>303</v>
      </c>
      <c r="B304" s="77" t="str">
        <f ca="1">VLOOKUP($A304,OFFSET([2]characters!$A$1,0,0,COUNTA([2]characters!$A:$A),MATCH(B$1,[2]characters!$1:$1,0)-MATCH($A$1,[2]characters!$1:$1,0)+1),MATCH(B$1,[2]characters!$1:$1,0)-MATCH($A$1,[2]characters!$1:$1,0)+1,FALSE)</f>
        <v>哄笑の禁縛 リサ</v>
      </c>
      <c r="C304" s="77" t="str">
        <f ca="1">VLOOKUP($A304,OFFSET([2]characters!$A$1,0,0,COUNTA([2]characters!$A:$A),MATCH(C$1,[2]characters!$1:$1,0)-MATCH($A$1,[2]characters!$1:$1,0)+1),MATCH(C$1,[2]characters!$1:$1,0)-MATCH($A$1,[2]characters!$1:$1,0)+1,FALSE)</f>
        <v>イベント:囚人01</v>
      </c>
      <c r="D304" s="77" t="str">
        <f ca="1">VLOOKUP($A304,OFFSET([2]characters!$A$1,0,0,COUNTA([2]characters!$A:$A),MATCH(D$1,[2]characters!$1:$1,0)-MATCH($A$1,[2]characters!$1:$1,0)+1),MATCH(D$1,[2]characters!$1:$1,0)-MATCH($A$1,[2]characters!$1:$1,0)+1,FALSE)</f>
        <v>QoH</v>
      </c>
      <c r="E304" s="77" t="str">
        <f ca="1">VLOOKUP($A304,OFFSET([2]characters!$A$1,0,0,COUNTA([2]characters!$A:$A),MATCH(E$1,[2]characters!$1:$1,0)-MATCH($A$1,[2]characters!$1:$1,0)+1),MATCH(E$1,[2]characters!$1:$1,0)-MATCH($A$1,[2]characters!$1:$1,0)+1,FALSE)</f>
        <v>美しい</v>
      </c>
      <c r="F304" s="77" t="str">
        <f ca="1">VLOOKUP($A304,OFFSET([2]characters!$A$1,0,0,COUNTA([2]characters!$A:$A),MATCH(F$1,[2]characters!$1:$1,0)-MATCH($A$1,[2]characters!$1:$1,0)+1),MATCH(F$1,[2]characters!$1:$1,0)-MATCH($A$1,[2]characters!$1:$1,0)+1,FALSE)</f>
        <v>女性</v>
      </c>
      <c r="G304" s="77">
        <f ca="1">VLOOKUP($A304,OFFSET([2]characters!$A$1,0,0,COUNTA([2]characters!$A:$A),MATCH(G$1,[2]characters!$1:$1,0)-MATCH($A$1,[2]characters!$1:$1,0)+1),MATCH(G$1,[2]characters!$1:$1,0)-MATCH($A$1,[2]characters!$1:$1,0)+1,FALSE)</f>
        <v>4</v>
      </c>
      <c r="H304" s="77" t="str">
        <f ca="1">VLOOKUP($A304,OFFSET([2]characters!$A$1,0,0,COUNTA([2]characters!$A:$A),MATCH(H$1,[2]characters!$1:$1,0)-MATCH($A$1,[2]characters!$1:$1,0)+1),MATCH(H$1,[2]characters!$1:$1,0)-MATCH($A$1,[2]characters!$1:$1,0)+1,FALSE)</f>
        <v>Drop2W</v>
      </c>
      <c r="I304" s="77" t="str">
        <f ca="1">VLOOKUP($A304,OFFSET([2]characters!$A$1,0,0,COUNTA([2]characters!$A:$A),MATCH(I$1,[2]characters!$1:$1,0)-MATCH($A$1,[2]characters!$1:$1,0)+1),MATCH(I$1,[2]characters!$1:$1,0)-MATCH($A$1,[2]characters!$1:$1,0)+1,FALSE)</f>
        <v>blue</v>
      </c>
      <c r="J304" s="14">
        <f ca="1">VLOOKUP(I304,[2]属性!$A:$E,2,FALSE)</f>
        <v>1</v>
      </c>
      <c r="K304" s="14">
        <f ca="1">VLOOKUP(I304,[2]属性!$A:$E,3,FALSE)</f>
        <v>0.98</v>
      </c>
      <c r="L304" s="14">
        <f ca="1">VLOOKUP(I304,[2]属性!$A:$E,4,FALSE)</f>
        <v>1</v>
      </c>
      <c r="M304" s="14">
        <f ca="1">VLOOKUP(I304,[2]属性!$A:$E,5,FALSE)</f>
        <v>1.02</v>
      </c>
      <c r="N304" s="14">
        <f ca="1">INDEX(コスト!$A$1:$I$20,MATCH(H304,コスト!$A$1:$A$20,FALSE),MATCH(G304,コスト!$A$1:$I$1,FALSE))</f>
        <v>14</v>
      </c>
      <c r="O304" s="14">
        <f ca="1">INDEX(レベル!$A$1:$I$21,MATCH(H304,レベル!$A$1:$A$21,FALSE),MATCH(G304,レベル!$A$1:$I$1,FALSE))</f>
        <v>60</v>
      </c>
      <c r="P304" s="63">
        <f t="shared" ca="1" si="35"/>
        <v>60</v>
      </c>
      <c r="Q304" s="77" t="str">
        <f ca="1">VLOOKUP($A304,OFFSET([2]characters!$A$1,0,0,COUNTA([2]characters!$A:$A),MATCH(Q$1,[2]characters!$1:$1,0)-MATCH($A$1,[2]characters!$1:$1,0)+1),MATCH(Q$1,[2]characters!$1:$1,0)-MATCH($A$1,[2]characters!$1:$1,0)+1,FALSE)</f>
        <v>heal</v>
      </c>
      <c r="R304" s="8" t="str">
        <f ca="1">VLOOKUP(Q304,[2]character_type_i18n!$A:$H,3,FALSE)</f>
        <v>回復タイプ</v>
      </c>
      <c r="S304" s="14">
        <f ca="1">VLOOKUP(Q304,[2]character_type_i18n!$A:$H,4,FALSE)</f>
        <v>0.8</v>
      </c>
      <c r="T304" s="14">
        <f ca="1">VLOOKUP(Q304,[2]character_type_i18n!$A:$H,5,FALSE)</f>
        <v>0.78</v>
      </c>
      <c r="U304" s="14">
        <f ca="1">VLOOKUP(Q304,[2]character_type_i18n!$A:$H,6,FALSE)</f>
        <v>1</v>
      </c>
      <c r="V304" s="14">
        <f ca="1">VLOOKUP(Q304,[2]character_type_i18n!$A:$H,7,FALSE)</f>
        <v>1.42</v>
      </c>
      <c r="W304" s="77" t="str">
        <f ca="1">VLOOKUP($A304,OFFSET([2]characters!$A$1,0,0,COUNTA([2]characters!$A:$A),MATCH(W$1,[2]characters!$1:$1,0)-MATCH($A$1,[2]characters!$1:$1,0)+1),MATCH(W$1,[2]characters!$1:$1,0)-MATCH($A$1,[2]characters!$1:$1,0)+1,FALSE)</f>
        <v>human</v>
      </c>
      <c r="X304" s="8" t="str">
        <f ca="1">VLOOKUP(W304,[2]character_tribe_i18n!$A:$H,3,FALSE)</f>
        <v>ヒューマン</v>
      </c>
      <c r="Y304" s="77" t="str">
        <f ca="1">VLOOKUP($A304,OFFSET([2]characters!$A$1,0,0,COUNTA([2]characters!$A:$A),MATCH(Y$1,[2]characters!$1:$1,0)-MATCH($A$1,[2]characters!$1:$1,0)+1),MATCH(Y$1,[2]characters!$1:$1,0)-MATCH($A$1,[2]characters!$1:$1,0)+1,FALSE)</f>
        <v>none</v>
      </c>
      <c r="Z304" s="8" t="str">
        <f ca="1">VLOOKUP(Y304,[2]character_tribe_i18n!$A:$H,3,FALSE)</f>
        <v>種族なし</v>
      </c>
      <c r="AA304" s="14">
        <f ca="1">VLOOKUP(W304,[2]character_tribe_i18n!$A:$H,4,FALSE)</f>
        <v>0.94</v>
      </c>
      <c r="AB304" s="14">
        <f ca="1">VLOOKUP(W304,[2]character_tribe_i18n!$A:$H,5,FALSE)</f>
        <v>0.99</v>
      </c>
      <c r="AC304" s="14">
        <f ca="1">VLOOKUP(W304,[2]character_tribe_i18n!$A:$H,6,FALSE)</f>
        <v>1</v>
      </c>
      <c r="AD304" s="14">
        <f ca="1">VLOOKUP(W304,[2]character_tribe_i18n!$A:$H,7,FALSE)</f>
        <v>1.07</v>
      </c>
      <c r="AE304" s="12" t="s">
        <v>102</v>
      </c>
      <c r="AF304" s="85" t="str">
        <f ca="1">IF(AE304="NULL","",VLOOKUP($AE304,OFFSET([2]characters!$A$1,0,0,COUNTA([2]characters!$A:$A),MATCH(AF$1,[2]characters!$1:$1,0)-MATCH($A$1,[2]characters!$1:$1,0)+1),MATCH(AF$1,[2]characters!$1:$1,0)-MATCH($A$1,[2]characters!$1:$1,0)+1,FALSE))</f>
        <v/>
      </c>
      <c r="AG304" s="8">
        <f t="shared" ca="1" si="30"/>
        <v>302</v>
      </c>
      <c r="AH304" s="85" t="str">
        <f ca="1">VLOOKUP($AG304,OFFSET([2]characters!$A$1,0,0,COUNTA([2]characters!$A:$A),MATCH(AH$1,[2]characters!$1:$1,0)-MATCH($A$1,[2]characters!$1:$1,0)+1),MATCH(AH$1,[2]characters!$1:$1,0)-MATCH($A$1,[2]characters!$1:$1,0)+1,FALSE)</f>
        <v>絞殺のリサ</v>
      </c>
      <c r="AI304" s="14" t="str">
        <f>IF(AE304="NULL","NULL",VLOOKUP(G304,ビット!$A$2:$B$7,2))</f>
        <v>NULL</v>
      </c>
      <c r="AJ304" s="9">
        <v>2</v>
      </c>
      <c r="AK304" s="10" t="str">
        <f t="shared" si="31"/>
        <v>普通</v>
      </c>
      <c r="AL304" s="14" t="str">
        <f ca="1">INDEX(経験値!$A$1:$I$20,MATCH(H304,経験値!$A$1:$A$20,FALSE),MATCH(G304,経験値!$A$1:$I$1,FALSE))</f>
        <v>required_exp_150</v>
      </c>
      <c r="AM304" s="11">
        <f ca="1">VLOOKUP(G304,経験値!$A$27:$B$31,2)</f>
        <v>3400</v>
      </c>
      <c r="AN304" s="21">
        <f ca="1">VLOOKUP(G304,ビット!$G$2:$H$7,2)</f>
        <v>600</v>
      </c>
      <c r="AO304" s="100" t="s">
        <v>185</v>
      </c>
      <c r="AP304" s="4">
        <v>712001</v>
      </c>
      <c r="AQ304" s="77" t="e">
        <f ca="1">VLOOKUP($AP304,OFFSET([1]unit_skills!$A$1,0,0,COUNTA([1]unit_skills!$A:$A),MATCH("name",[1]unit_skills!$1:$1,0)-MATCH($AP$1,[1]unit_skills!$1:$1,0)+1),MATCH("name",[1]unit_skills!$1:$1,0)-MATCH($AP$1,[1]unit_skills!$1:$1,0)+1,FALSE)</f>
        <v>#VALUE!</v>
      </c>
      <c r="AR304" s="77" t="e">
        <f ca="1">VLOOKUP($AP304,OFFSET([1]unit_skills!$A$1,0,0,COUNTA([1]unit_skills!$A:$A),MATCH("comment",[1]unit_skills!$1:$1,0)-MATCH($AP$1,[1]unit_skills!$1:$1,0)+1),MATCH("comment",[1]unit_skills!$1:$1,0)-MATCH($AP$1,[1]unit_skills!$1:$1,0)+1,FALSE)</f>
        <v>#VALUE!</v>
      </c>
      <c r="AS304" s="77" t="e">
        <f ca="1">VLOOKUP($AP304,OFFSET([1]unit_skills!$A$1,0,0,COUNTA([1]unit_skills!$A:$A),MATCH(AS$1,[1]unit_skills!$1:$1,0)-MATCH($AP$1,[1]unit_skills!$1:$1,0)+1),MATCH(AS$1,[1]unit_skills!$1:$1,0)-MATCH($AP$1,[1]unit_skills!$1:$1,0)+1,FALSE)</f>
        <v>#VALUE!</v>
      </c>
      <c r="AT304" s="53">
        <v>454005</v>
      </c>
      <c r="AU304" s="77" t="e">
        <f ca="1">VLOOKUP($AT304,OFFSET([1]crash_skills!$A$1,0,0,COUNTA([1]crash_skills!$A:$A),MATCH("name",[1]crash_skills!$1:$1,0)-MATCH($AT$1,[1]crash_skills!$1:$1,0)+1),MATCH("name",[1]crash_skills!$1:$1,0)-MATCH($AT$1,[1]crash_skills!$1:$1,0)+1,FALSE)</f>
        <v>#VALUE!</v>
      </c>
      <c r="AV304" s="77" t="e">
        <f ca="1">VLOOKUP($AT304,OFFSET([1]crash_skills!$A$1,0,0,COUNTA([1]crash_skills!$A:$A),MATCH("comment",[1]crash_skills!$1:$1,0)-MATCH($AT$1,[1]crash_skills!$1:$1,0)+1),MATCH("comment",[1]crash_skills!$1:$1,0)-MATCH($AT$1,[1]crash_skills!$1:$1,0)+1,FALSE)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04" s="77" t="e">
        <f ca="1">VLOOKUP($AT304,OFFSET([1]crash_skills!$A$1,0,0,COUNTA([1]crash_skills!$A:$A),MATCH(AW$1,[1]crash_skills!$1:$1,0)-MATCH($AT$1,[1]crash_skills!$1:$1,0)+1),MATCH(AW$1,[1]crash_skills!$1:$1,0)-MATCH($AT$1,[1]crash_skills!$1:$1,0)+1,FALSE)</f>
        <v>#VALUE!</v>
      </c>
      <c r="AX304" s="81">
        <f ca="1">VLOOKUP($A304,OFFSET([2]characters!$A$1,0,0,COUNTA([2]characters!$A:$A),MATCH(AX$1,[2]characters!$1:$1,0)-MATCH($A$1,[2]characters!$1:$1,0)+1),MATCH(AX$1,[2]characters!$1:$1,0)-MATCH($A$1,[2]characters!$1:$1,0)+1,FALSE)</f>
        <v>3</v>
      </c>
      <c r="AY304" s="19">
        <v>1</v>
      </c>
      <c r="AZ304" s="19">
        <v>1</v>
      </c>
      <c r="BA304" s="19">
        <v>0</v>
      </c>
      <c r="BB304" s="19">
        <v>1</v>
      </c>
      <c r="BC304" s="14">
        <f ca="1">INDEX('RC6SV'!$A$1:$G$20,MATCH(H304,'RC6SV'!$A$1:$A$20,FALSE),MATCH(G304,'RC6SV'!$A$1:$G$1,FALSE))</f>
        <v>5600</v>
      </c>
      <c r="BD304" s="63">
        <f t="shared" ca="1" si="32"/>
        <v>5600</v>
      </c>
      <c r="BE304" s="14">
        <f t="shared" ca="1" si="33"/>
        <v>4400</v>
      </c>
      <c r="BF304" s="14">
        <f t="shared" ca="1" si="34"/>
        <v>1</v>
      </c>
      <c r="BG304" s="20">
        <f ca="1">IF($BE304&lt;=0,ROUND(BK304*0.5,0), ROUND($BE304*S304*AA304*J304*AY304*0.8*[2]ステータス!$B$2,0))</f>
        <v>1324</v>
      </c>
      <c r="BH304" s="20">
        <f ca="1">IF($BE304&lt;=0,ROUND(BL304*0.5,0), ROUND($BE304*T304*AB304*K304*AZ304*0.8*[2]ステータス!$C$2,0))</f>
        <v>799</v>
      </c>
      <c r="BI304" s="20">
        <f ca="1">IF($BE304&lt;=0,ROUND(BM304*0.5,0), ROUND($BE304*U304*AC304*L304*BA304*0.8*[2]ステータス!$D$2,0))</f>
        <v>0</v>
      </c>
      <c r="BJ304" s="20">
        <f ca="1">IF($BE304&lt;=0,ROUND(BN304*0.5,0), ROUND($BE304*V304*AD304*M304*BB304*0.8*[2]ステータス!$E$2,0))</f>
        <v>1364</v>
      </c>
      <c r="BK304" s="14">
        <f ca="1">ROUND(BD304*S304*AA304*J304*AY304*[2]ステータス!$B$2,0)</f>
        <v>2106</v>
      </c>
      <c r="BL304" s="14">
        <f ca="1">ROUND(BD304*T304*AB304*K304*AZ304*[2]ステータス!$C$2,0)</f>
        <v>1271</v>
      </c>
      <c r="BM304" s="14">
        <f ca="1">ROUND(BD304*U304*AC304*L304*BA304*[2]ステータス!$D$2,0)</f>
        <v>0</v>
      </c>
      <c r="BN304" s="14">
        <f ca="1">ROUND(BD304*V304*AD304*M304*BB304*[2]ステータス!$E$2,0)</f>
        <v>2170</v>
      </c>
      <c r="BO304" s="13">
        <v>0</v>
      </c>
      <c r="BP304" s="13">
        <v>1</v>
      </c>
      <c r="BQ304" s="13" t="s">
        <v>102</v>
      </c>
      <c r="BR304" s="13">
        <f ca="1">VLOOKUP(H304,ghosts_label!$A$2:$B$19,2,FALSE)</f>
        <v>1</v>
      </c>
    </row>
    <row r="305" spans="1:70" ht="21" customHeight="1" x14ac:dyDescent="0.15">
      <c r="A305" s="14">
        <f t="shared" ca="1" si="29"/>
        <v>304</v>
      </c>
      <c r="B305" s="77" t="str">
        <f ca="1">VLOOKUP($A305,OFFSET([2]characters!$A$1,0,0,COUNTA([2]characters!$A:$A),MATCH(B$1,[2]characters!$1:$1,0)-MATCH($A$1,[2]characters!$1:$1,0)+1),MATCH(B$1,[2]characters!$1:$1,0)-MATCH($A$1,[2]characters!$1:$1,0)+1,FALSE)</f>
        <v>電殺のチエミ</v>
      </c>
      <c r="C305" s="77" t="str">
        <f ca="1">VLOOKUP($A305,OFFSET([2]characters!$A$1,0,0,COUNTA([2]characters!$A:$A),MATCH(C$1,[2]characters!$1:$1,0)-MATCH($A$1,[2]characters!$1:$1,0)+1),MATCH(C$1,[2]characters!$1:$1,0)-MATCH($A$1,[2]characters!$1:$1,0)+1,FALSE)</f>
        <v>イベント:囚人01</v>
      </c>
      <c r="D305" s="77" t="str">
        <f ca="1">VLOOKUP($A305,OFFSET([2]characters!$A$1,0,0,COUNTA([2]characters!$A:$A),MATCH(D$1,[2]characters!$1:$1,0)-MATCH($A$1,[2]characters!$1:$1,0)+1),MATCH(D$1,[2]characters!$1:$1,0)-MATCH($A$1,[2]characters!$1:$1,0)+1,FALSE)</f>
        <v>QoH</v>
      </c>
      <c r="E305" s="77" t="str">
        <f ca="1">VLOOKUP($A305,OFFSET([2]characters!$A$1,0,0,COUNTA([2]characters!$A:$A),MATCH(E$1,[2]characters!$1:$1,0)-MATCH($A$1,[2]characters!$1:$1,0)+1),MATCH(E$1,[2]characters!$1:$1,0)-MATCH($A$1,[2]characters!$1:$1,0)+1,FALSE)</f>
        <v>美しい</v>
      </c>
      <c r="F305" s="77" t="str">
        <f ca="1">VLOOKUP($A305,OFFSET([2]characters!$A$1,0,0,COUNTA([2]characters!$A:$A),MATCH(F$1,[2]characters!$1:$1,0)-MATCH($A$1,[2]characters!$1:$1,0)+1),MATCH(F$1,[2]characters!$1:$1,0)-MATCH($A$1,[2]characters!$1:$1,0)+1,FALSE)</f>
        <v>女性</v>
      </c>
      <c r="G305" s="77">
        <f ca="1">VLOOKUP($A305,OFFSET([2]characters!$A$1,0,0,COUNTA([2]characters!$A:$A),MATCH(G$1,[2]characters!$1:$1,0)-MATCH($A$1,[2]characters!$1:$1,0)+1),MATCH(G$1,[2]characters!$1:$1,0)-MATCH($A$1,[2]characters!$1:$1,0)+1,FALSE)</f>
        <v>3</v>
      </c>
      <c r="H305" s="77" t="str">
        <f ca="1">VLOOKUP($A305,OFFSET([2]characters!$A$1,0,0,COUNTA([2]characters!$A:$A),MATCH(H$1,[2]characters!$1:$1,0)-MATCH($A$1,[2]characters!$1:$1,0)+1),MATCH(H$1,[2]characters!$1:$1,0)-MATCH($A$1,[2]characters!$1:$1,0)+1,FALSE)</f>
        <v>Drop2W</v>
      </c>
      <c r="I305" s="77" t="str">
        <f ca="1">VLOOKUP($A305,OFFSET([2]characters!$A$1,0,0,COUNTA([2]characters!$A:$A),MATCH(I$1,[2]characters!$1:$1,0)-MATCH($A$1,[2]characters!$1:$1,0)+1),MATCH(I$1,[2]characters!$1:$1,0)-MATCH($A$1,[2]characters!$1:$1,0)+1,FALSE)</f>
        <v>yellow</v>
      </c>
      <c r="J305" s="14">
        <f ca="1">VLOOKUP(I305,[2]属性!$A:$E,2,FALSE)</f>
        <v>0.98</v>
      </c>
      <c r="K305" s="14">
        <f ca="1">VLOOKUP(I305,[2]属性!$A:$E,3,FALSE)</f>
        <v>1.01</v>
      </c>
      <c r="L305" s="14">
        <f ca="1">VLOOKUP(I305,[2]属性!$A:$E,4,FALSE)</f>
        <v>1</v>
      </c>
      <c r="M305" s="14">
        <f ca="1">VLOOKUP(I305,[2]属性!$A:$E,5,FALSE)</f>
        <v>1.01</v>
      </c>
      <c r="N305" s="14">
        <f ca="1">INDEX(コスト!$A$1:$I$20,MATCH(H305,コスト!$A$1:$A$20,FALSE),MATCH(G305,コスト!$A$1:$I$1,FALSE))</f>
        <v>6</v>
      </c>
      <c r="O305" s="14">
        <f ca="1">INDEX(レベル!$A$1:$I$21,MATCH(H305,レベル!$A$1:$A$21,FALSE),MATCH(G305,レベル!$A$1:$I$1,FALSE))</f>
        <v>40</v>
      </c>
      <c r="P305" s="63">
        <f t="shared" ca="1" si="35"/>
        <v>45</v>
      </c>
      <c r="Q305" s="77" t="str">
        <f ca="1">VLOOKUP($A305,OFFSET([2]characters!$A$1,0,0,COUNTA([2]characters!$A:$A),MATCH(Q$1,[2]characters!$1:$1,0)-MATCH($A$1,[2]characters!$1:$1,0)+1),MATCH(Q$1,[2]characters!$1:$1,0)-MATCH($A$1,[2]characters!$1:$1,0)+1,FALSE)</f>
        <v>attack</v>
      </c>
      <c r="R305" s="8" t="str">
        <f ca="1">VLOOKUP(Q305,[2]character_type_i18n!$A:$H,3,FALSE)</f>
        <v>攻撃タイプ</v>
      </c>
      <c r="S305" s="14">
        <f ca="1">VLOOKUP(Q305,[2]character_type_i18n!$A:$H,4,FALSE)</f>
        <v>1</v>
      </c>
      <c r="T305" s="14">
        <f ca="1">VLOOKUP(Q305,[2]character_type_i18n!$A:$H,5,FALSE)</f>
        <v>1.33</v>
      </c>
      <c r="U305" s="14">
        <f ca="1">VLOOKUP(Q305,[2]character_type_i18n!$A:$H,6,FALSE)</f>
        <v>1</v>
      </c>
      <c r="V305" s="14">
        <f ca="1">VLOOKUP(Q305,[2]character_type_i18n!$A:$H,7,FALSE)</f>
        <v>0.67</v>
      </c>
      <c r="W305" s="77" t="str">
        <f ca="1">VLOOKUP($A305,OFFSET([2]characters!$A$1,0,0,COUNTA([2]characters!$A:$A),MATCH(W$1,[2]characters!$1:$1,0)-MATCH($A$1,[2]characters!$1:$1,0)+1),MATCH(W$1,[2]characters!$1:$1,0)-MATCH($A$1,[2]characters!$1:$1,0)+1,FALSE)</f>
        <v>human</v>
      </c>
      <c r="X305" s="8" t="str">
        <f ca="1">VLOOKUP(W305,[2]character_tribe_i18n!$A:$H,3,FALSE)</f>
        <v>ヒューマン</v>
      </c>
      <c r="Y305" s="77" t="str">
        <f ca="1">VLOOKUP($A305,OFFSET([2]characters!$A$1,0,0,COUNTA([2]characters!$A:$A),MATCH(Y$1,[2]characters!$1:$1,0)-MATCH($A$1,[2]characters!$1:$1,0)+1),MATCH(Y$1,[2]characters!$1:$1,0)-MATCH($A$1,[2]characters!$1:$1,0)+1,FALSE)</f>
        <v>none</v>
      </c>
      <c r="Z305" s="8" t="str">
        <f ca="1">VLOOKUP(Y305,[2]character_tribe_i18n!$A:$H,3,FALSE)</f>
        <v>種族なし</v>
      </c>
      <c r="AA305" s="14">
        <f ca="1">VLOOKUP(W305,[2]character_tribe_i18n!$A:$H,4,FALSE)</f>
        <v>0.94</v>
      </c>
      <c r="AB305" s="14">
        <f ca="1">VLOOKUP(W305,[2]character_tribe_i18n!$A:$H,5,FALSE)</f>
        <v>0.99</v>
      </c>
      <c r="AC305" s="14">
        <f ca="1">VLOOKUP(W305,[2]character_tribe_i18n!$A:$H,6,FALSE)</f>
        <v>1</v>
      </c>
      <c r="AD305" s="14">
        <f ca="1">VLOOKUP(W305,[2]character_tribe_i18n!$A:$H,7,FALSE)</f>
        <v>1.07</v>
      </c>
      <c r="AE305" s="12">
        <v>305</v>
      </c>
      <c r="AF305" s="85" t="str">
        <f ca="1">IF(AE305="NULL","",VLOOKUP($AE305,OFFSET([2]characters!$A$1,0,0,COUNTA([2]characters!$A:$A),MATCH(AF$1,[2]characters!$1:$1,0)-MATCH($A$1,[2]characters!$1:$1,0)+1),MATCH(AF$1,[2]characters!$1:$1,0)-MATCH($A$1,[2]characters!$1:$1,0)+1,FALSE))</f>
        <v>螺旋の雷電 チエミ</v>
      </c>
      <c r="AG305" s="8">
        <f t="shared" ca="1" si="30"/>
        <v>304</v>
      </c>
      <c r="AH305" s="85" t="str">
        <f ca="1">VLOOKUP($AG305,OFFSET([2]characters!$A$1,0,0,COUNTA([2]characters!$A:$A),MATCH(AH$1,[2]characters!$1:$1,0)-MATCH($A$1,[2]characters!$1:$1,0)+1),MATCH(AH$1,[2]characters!$1:$1,0)-MATCH($A$1,[2]characters!$1:$1,0)+1,FALSE)</f>
        <v>電殺のチエミ</v>
      </c>
      <c r="AI305" s="14">
        <f ca="1">IF(AE305="NULL","NULL",VLOOKUP(G305,ビット!$A$2:$B$7,2))</f>
        <v>20000</v>
      </c>
      <c r="AJ305" s="9">
        <v>2</v>
      </c>
      <c r="AK305" s="10" t="str">
        <f t="shared" si="31"/>
        <v>普通</v>
      </c>
      <c r="AL305" s="14" t="str">
        <f ca="1">INDEX(経験値!$A$1:$I$20,MATCH(H305,経験値!$A$1:$A$20,FALSE),MATCH(G305,経験値!$A$1:$I$1,FALSE))</f>
        <v>required_exp_150</v>
      </c>
      <c r="AM305" s="11">
        <f ca="1">VLOOKUP(G305,経験値!$A$27:$B$31,2)</f>
        <v>1500</v>
      </c>
      <c r="AN305" s="21">
        <f ca="1">VLOOKUP(G305,ビット!$G$2:$H$7,2)</f>
        <v>300</v>
      </c>
      <c r="AO305" s="99" t="s">
        <v>182</v>
      </c>
      <c r="AP305" s="4">
        <v>222018</v>
      </c>
      <c r="AQ305" s="77" t="e">
        <f ca="1">VLOOKUP($AP305,OFFSET([1]unit_skills!$A$1,0,0,COUNTA([1]unit_skills!$A:$A),MATCH("name",[1]unit_skills!$1:$1,0)-MATCH($AP$1,[1]unit_skills!$1:$1,0)+1),MATCH("name",[1]unit_skills!$1:$1,0)-MATCH($AP$1,[1]unit_skills!$1:$1,0)+1,FALSE)</f>
        <v>#VALUE!</v>
      </c>
      <c r="AR305" s="77" t="e">
        <f ca="1">VLOOKUP($AP305,OFFSET([1]unit_skills!$A$1,0,0,COUNTA([1]unit_skills!$A:$A),MATCH("comment",[1]unit_skills!$1:$1,0)-MATCH($AP$1,[1]unit_skills!$1:$1,0)+1),MATCH("comment",[1]unit_skills!$1:$1,0)-MATCH($AP$1,[1]unit_skills!$1:$1,0)+1,FALSE)</f>
        <v>#VALUE!</v>
      </c>
      <c r="AS305" s="77" t="e">
        <f ca="1">VLOOKUP($AP305,OFFSET([1]unit_skills!$A$1,0,0,COUNTA([1]unit_skills!$A:$A),MATCH(AS$1,[1]unit_skills!$1:$1,0)-MATCH($AP$1,[1]unit_skills!$1:$1,0)+1),MATCH(AS$1,[1]unit_skills!$1:$1,0)-MATCH($AP$1,[1]unit_skills!$1:$1,0)+1,FALSE)</f>
        <v>#VALUE!</v>
      </c>
      <c r="AT305" s="53">
        <v>124003</v>
      </c>
      <c r="AU305" s="77" t="e">
        <f ca="1">VLOOKUP($AT305,OFFSET([1]crash_skills!$A$1,0,0,COUNTA([1]crash_skills!$A:$A),MATCH("name",[1]crash_skills!$1:$1,0)-MATCH($AT$1,[1]crash_skills!$1:$1,0)+1),MATCH("name",[1]crash_skills!$1:$1,0)-MATCH($AT$1,[1]crash_skills!$1:$1,0)+1,FALSE)</f>
        <v>#VALUE!</v>
      </c>
      <c r="AV305" s="77" t="e">
        <f ca="1">VLOOKUP($AT305,OFFSET([1]crash_skills!$A$1,0,0,COUNTA([1]crash_skills!$A:$A),MATCH("comment",[1]crash_skills!$1:$1,0)-MATCH($AT$1,[1]crash_skills!$1:$1,0)+1),MATCH("comment",[1]crash_skills!$1:$1,0)-MATCH($AT$1,[1]crash_skills!$1:$1,0)+1,FALSE)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05" s="77" t="e">
        <f ca="1">VLOOKUP($AT305,OFFSET([1]crash_skills!$A$1,0,0,COUNTA([1]crash_skills!$A:$A),MATCH(AW$1,[1]crash_skills!$1:$1,0)-MATCH($AT$1,[1]crash_skills!$1:$1,0)+1),MATCH(AW$1,[1]crash_skills!$1:$1,0)-MATCH($AT$1,[1]crash_skills!$1:$1,0)+1,FALSE)</f>
        <v>#VALUE!</v>
      </c>
      <c r="AX305" s="81">
        <f ca="1">VLOOKUP($A305,OFFSET([2]characters!$A$1,0,0,COUNTA([2]characters!$A:$A),MATCH(AX$1,[2]characters!$1:$1,0)-MATCH($A$1,[2]characters!$1:$1,0)+1),MATCH(AX$1,[2]characters!$1:$1,0)-MATCH($A$1,[2]characters!$1:$1,0)+1,FALSE)</f>
        <v>3</v>
      </c>
      <c r="AY305" s="19">
        <v>1</v>
      </c>
      <c r="AZ305" s="19">
        <v>1</v>
      </c>
      <c r="BA305" s="19">
        <v>0</v>
      </c>
      <c r="BB305" s="19">
        <v>1</v>
      </c>
      <c r="BC305" s="14">
        <f ca="1">INDEX('RC6SV'!$A$1:$G$20,MATCH(H305,'RC6SV'!$A$1:$A$20,FALSE),MATCH(G305,'RC6SV'!$A$1:$G$1,FALSE))</f>
        <v>4400</v>
      </c>
      <c r="BD305" s="63">
        <f t="shared" ca="1" si="32"/>
        <v>4400</v>
      </c>
      <c r="BE305" s="14">
        <f t="shared" ca="1" si="33"/>
        <v>0</v>
      </c>
      <c r="BF305" s="14">
        <f t="shared" ca="1" si="34"/>
        <v>1</v>
      </c>
      <c r="BG305" s="20">
        <f ca="1">IF($BE305&lt;=0,ROUND(BK305*0.5,0), ROUND($BE305*S305*AA305*J305*AY305*0.8*[2]ステータス!$B$2,0))</f>
        <v>1014</v>
      </c>
      <c r="BH305" s="20">
        <f ca="1">IF($BE305&lt;=0,ROUND(BL305*0.5,0), ROUND($BE305*T305*AB305*K305*AZ305*0.8*[2]ステータス!$C$2,0))</f>
        <v>878</v>
      </c>
      <c r="BI305" s="20">
        <f ca="1">IF($BE305&lt;=0,ROUND(BM305*0.5,0), ROUND($BE305*U305*AC305*L305*BA305*0.8*[2]ステータス!$D$2,0))</f>
        <v>0</v>
      </c>
      <c r="BJ305" s="20">
        <f ca="1">IF($BE305&lt;=0,ROUND(BN305*0.5,0), ROUND($BE305*V305*AD305*M305*BB305*0.8*[2]ステータス!$E$2,0))</f>
        <v>398</v>
      </c>
      <c r="BK305" s="14">
        <f ca="1">ROUND(BD305*S305*AA305*J305*AY305*[2]ステータス!$B$2,0)</f>
        <v>2027</v>
      </c>
      <c r="BL305" s="14">
        <f ca="1">ROUND(BD305*T305*AB305*K305*AZ305*[2]ステータス!$C$2,0)</f>
        <v>1755</v>
      </c>
      <c r="BM305" s="14">
        <f ca="1">ROUND(BD305*U305*AC305*L305*BA305*[2]ステータス!$D$2,0)</f>
        <v>0</v>
      </c>
      <c r="BN305" s="14">
        <f ca="1">ROUND(BD305*V305*AD305*M305*BB305*[2]ステータス!$E$2,0)</f>
        <v>796</v>
      </c>
      <c r="BO305" s="13">
        <v>0</v>
      </c>
      <c r="BP305" s="13">
        <v>1</v>
      </c>
      <c r="BQ305" s="13" t="s">
        <v>102</v>
      </c>
      <c r="BR305" s="13">
        <f ca="1">VLOOKUP(H305,ghosts_label!$A$2:$B$19,2,FALSE)</f>
        <v>1</v>
      </c>
    </row>
    <row r="306" spans="1:70" ht="21" customHeight="1" x14ac:dyDescent="0.15">
      <c r="A306" s="14">
        <f t="shared" ca="1" si="29"/>
        <v>305</v>
      </c>
      <c r="B306" s="77" t="str">
        <f ca="1">VLOOKUP($A306,OFFSET([2]characters!$A$1,0,0,COUNTA([2]characters!$A:$A),MATCH(B$1,[2]characters!$1:$1,0)-MATCH($A$1,[2]characters!$1:$1,0)+1),MATCH(B$1,[2]characters!$1:$1,0)-MATCH($A$1,[2]characters!$1:$1,0)+1,FALSE)</f>
        <v>螺旋の雷電 チエミ</v>
      </c>
      <c r="C306" s="77" t="str">
        <f ca="1">VLOOKUP($A306,OFFSET([2]characters!$A$1,0,0,COUNTA([2]characters!$A:$A),MATCH(C$1,[2]characters!$1:$1,0)-MATCH($A$1,[2]characters!$1:$1,0)+1),MATCH(C$1,[2]characters!$1:$1,0)-MATCH($A$1,[2]characters!$1:$1,0)+1,FALSE)</f>
        <v>イベント:囚人01</v>
      </c>
      <c r="D306" s="77" t="str">
        <f ca="1">VLOOKUP($A306,OFFSET([2]characters!$A$1,0,0,COUNTA([2]characters!$A:$A),MATCH(D$1,[2]characters!$1:$1,0)-MATCH($A$1,[2]characters!$1:$1,0)+1),MATCH(D$1,[2]characters!$1:$1,0)-MATCH($A$1,[2]characters!$1:$1,0)+1,FALSE)</f>
        <v>QoH</v>
      </c>
      <c r="E306" s="77" t="str">
        <f ca="1">VLOOKUP($A306,OFFSET([2]characters!$A$1,0,0,COUNTA([2]characters!$A:$A),MATCH(E$1,[2]characters!$1:$1,0)-MATCH($A$1,[2]characters!$1:$1,0)+1),MATCH(E$1,[2]characters!$1:$1,0)-MATCH($A$1,[2]characters!$1:$1,0)+1,FALSE)</f>
        <v>美しい</v>
      </c>
      <c r="F306" s="77" t="str">
        <f ca="1">VLOOKUP($A306,OFFSET([2]characters!$A$1,0,0,COUNTA([2]characters!$A:$A),MATCH(F$1,[2]characters!$1:$1,0)-MATCH($A$1,[2]characters!$1:$1,0)+1),MATCH(F$1,[2]characters!$1:$1,0)-MATCH($A$1,[2]characters!$1:$1,0)+1,FALSE)</f>
        <v>女性</v>
      </c>
      <c r="G306" s="77">
        <f ca="1">VLOOKUP($A306,OFFSET([2]characters!$A$1,0,0,COUNTA([2]characters!$A:$A),MATCH(G$1,[2]characters!$1:$1,0)-MATCH($A$1,[2]characters!$1:$1,0)+1),MATCH(G$1,[2]characters!$1:$1,0)-MATCH($A$1,[2]characters!$1:$1,0)+1,FALSE)</f>
        <v>4</v>
      </c>
      <c r="H306" s="77" t="str">
        <f ca="1">VLOOKUP($A306,OFFSET([2]characters!$A$1,0,0,COUNTA([2]characters!$A:$A),MATCH(H$1,[2]characters!$1:$1,0)-MATCH($A$1,[2]characters!$1:$1,0)+1),MATCH(H$1,[2]characters!$1:$1,0)-MATCH($A$1,[2]characters!$1:$1,0)+1,FALSE)</f>
        <v>Drop2W</v>
      </c>
      <c r="I306" s="77" t="str">
        <f ca="1">VLOOKUP($A306,OFFSET([2]characters!$A$1,0,0,COUNTA([2]characters!$A:$A),MATCH(I$1,[2]characters!$1:$1,0)-MATCH($A$1,[2]characters!$1:$1,0)+1),MATCH(I$1,[2]characters!$1:$1,0)-MATCH($A$1,[2]characters!$1:$1,0)+1,FALSE)</f>
        <v>yellow</v>
      </c>
      <c r="J306" s="14">
        <f ca="1">VLOOKUP(I306,[2]属性!$A:$E,2,FALSE)</f>
        <v>0.98</v>
      </c>
      <c r="K306" s="14">
        <f ca="1">VLOOKUP(I306,[2]属性!$A:$E,3,FALSE)</f>
        <v>1.01</v>
      </c>
      <c r="L306" s="14">
        <f ca="1">VLOOKUP(I306,[2]属性!$A:$E,4,FALSE)</f>
        <v>1</v>
      </c>
      <c r="M306" s="14">
        <f ca="1">VLOOKUP(I306,[2]属性!$A:$E,5,FALSE)</f>
        <v>1.01</v>
      </c>
      <c r="N306" s="14">
        <f ca="1">INDEX(コスト!$A$1:$I$20,MATCH(H306,コスト!$A$1:$A$20,FALSE),MATCH(G306,コスト!$A$1:$I$1,FALSE))</f>
        <v>14</v>
      </c>
      <c r="O306" s="14">
        <f ca="1">INDEX(レベル!$A$1:$I$21,MATCH(H306,レベル!$A$1:$A$21,FALSE),MATCH(G306,レベル!$A$1:$I$1,FALSE))</f>
        <v>60</v>
      </c>
      <c r="P306" s="63">
        <f t="shared" ca="1" si="35"/>
        <v>60</v>
      </c>
      <c r="Q306" s="77" t="str">
        <f ca="1">VLOOKUP($A306,OFFSET([2]characters!$A$1,0,0,COUNTA([2]characters!$A:$A),MATCH(Q$1,[2]characters!$1:$1,0)-MATCH($A$1,[2]characters!$1:$1,0)+1),MATCH(Q$1,[2]characters!$1:$1,0)-MATCH($A$1,[2]characters!$1:$1,0)+1,FALSE)</f>
        <v>attack</v>
      </c>
      <c r="R306" s="8" t="str">
        <f ca="1">VLOOKUP(Q306,[2]character_type_i18n!$A:$H,3,FALSE)</f>
        <v>攻撃タイプ</v>
      </c>
      <c r="S306" s="14">
        <f ca="1">VLOOKUP(Q306,[2]character_type_i18n!$A:$H,4,FALSE)</f>
        <v>1</v>
      </c>
      <c r="T306" s="14">
        <f ca="1">VLOOKUP(Q306,[2]character_type_i18n!$A:$H,5,FALSE)</f>
        <v>1.33</v>
      </c>
      <c r="U306" s="14">
        <f ca="1">VLOOKUP(Q306,[2]character_type_i18n!$A:$H,6,FALSE)</f>
        <v>1</v>
      </c>
      <c r="V306" s="14">
        <f ca="1">VLOOKUP(Q306,[2]character_type_i18n!$A:$H,7,FALSE)</f>
        <v>0.67</v>
      </c>
      <c r="W306" s="77" t="str">
        <f ca="1">VLOOKUP($A306,OFFSET([2]characters!$A$1,0,0,COUNTA([2]characters!$A:$A),MATCH(W$1,[2]characters!$1:$1,0)-MATCH($A$1,[2]characters!$1:$1,0)+1),MATCH(W$1,[2]characters!$1:$1,0)-MATCH($A$1,[2]characters!$1:$1,0)+1,FALSE)</f>
        <v>human</v>
      </c>
      <c r="X306" s="8" t="str">
        <f ca="1">VLOOKUP(W306,[2]character_tribe_i18n!$A:$H,3,FALSE)</f>
        <v>ヒューマン</v>
      </c>
      <c r="Y306" s="77" t="str">
        <f ca="1">VLOOKUP($A306,OFFSET([2]characters!$A$1,0,0,COUNTA([2]characters!$A:$A),MATCH(Y$1,[2]characters!$1:$1,0)-MATCH($A$1,[2]characters!$1:$1,0)+1),MATCH(Y$1,[2]characters!$1:$1,0)-MATCH($A$1,[2]characters!$1:$1,0)+1,FALSE)</f>
        <v>none</v>
      </c>
      <c r="Z306" s="8" t="str">
        <f ca="1">VLOOKUP(Y306,[2]character_tribe_i18n!$A:$H,3,FALSE)</f>
        <v>種族なし</v>
      </c>
      <c r="AA306" s="14">
        <f ca="1">VLOOKUP(W306,[2]character_tribe_i18n!$A:$H,4,FALSE)</f>
        <v>0.94</v>
      </c>
      <c r="AB306" s="14">
        <f ca="1">VLOOKUP(W306,[2]character_tribe_i18n!$A:$H,5,FALSE)</f>
        <v>0.99</v>
      </c>
      <c r="AC306" s="14">
        <f ca="1">VLOOKUP(W306,[2]character_tribe_i18n!$A:$H,6,FALSE)</f>
        <v>1</v>
      </c>
      <c r="AD306" s="14">
        <f ca="1">VLOOKUP(W306,[2]character_tribe_i18n!$A:$H,7,FALSE)</f>
        <v>1.07</v>
      </c>
      <c r="AE306" s="12" t="s">
        <v>102</v>
      </c>
      <c r="AF306" s="85" t="str">
        <f ca="1">IF(AE306="NULL","",VLOOKUP($AE306,OFFSET([2]characters!$A$1,0,0,COUNTA([2]characters!$A:$A),MATCH(AF$1,[2]characters!$1:$1,0)-MATCH($A$1,[2]characters!$1:$1,0)+1),MATCH(AF$1,[2]characters!$1:$1,0)-MATCH($A$1,[2]characters!$1:$1,0)+1,FALSE))</f>
        <v/>
      </c>
      <c r="AG306" s="8">
        <f t="shared" ca="1" si="30"/>
        <v>304</v>
      </c>
      <c r="AH306" s="85" t="str">
        <f ca="1">VLOOKUP($AG306,OFFSET([2]characters!$A$1,0,0,COUNTA([2]characters!$A:$A),MATCH(AH$1,[2]characters!$1:$1,0)-MATCH($A$1,[2]characters!$1:$1,0)+1),MATCH(AH$1,[2]characters!$1:$1,0)-MATCH($A$1,[2]characters!$1:$1,0)+1,FALSE)</f>
        <v>電殺のチエミ</v>
      </c>
      <c r="AI306" s="14" t="str">
        <f>IF(AE306="NULL","NULL",VLOOKUP(G306,ビット!$A$2:$B$7,2))</f>
        <v>NULL</v>
      </c>
      <c r="AJ306" s="9">
        <v>2</v>
      </c>
      <c r="AK306" s="10" t="str">
        <f t="shared" si="31"/>
        <v>普通</v>
      </c>
      <c r="AL306" s="14" t="str">
        <f ca="1">INDEX(経験値!$A$1:$I$20,MATCH(H306,経験値!$A$1:$A$20,FALSE),MATCH(G306,経験値!$A$1:$I$1,FALSE))</f>
        <v>required_exp_150</v>
      </c>
      <c r="AM306" s="11">
        <f ca="1">VLOOKUP(G306,経験値!$A$27:$B$31,2)</f>
        <v>3400</v>
      </c>
      <c r="AN306" s="21">
        <f ca="1">VLOOKUP(G306,ビット!$G$2:$H$7,2)</f>
        <v>600</v>
      </c>
      <c r="AO306" s="99" t="s">
        <v>182</v>
      </c>
      <c r="AP306" s="4">
        <v>222018</v>
      </c>
      <c r="AQ306" s="77" t="e">
        <f ca="1">VLOOKUP($AP306,OFFSET([1]unit_skills!$A$1,0,0,COUNTA([1]unit_skills!$A:$A),MATCH("name",[1]unit_skills!$1:$1,0)-MATCH($AP$1,[1]unit_skills!$1:$1,0)+1),MATCH("name",[1]unit_skills!$1:$1,0)-MATCH($AP$1,[1]unit_skills!$1:$1,0)+1,FALSE)</f>
        <v>#VALUE!</v>
      </c>
      <c r="AR306" s="77" t="e">
        <f ca="1">VLOOKUP($AP306,OFFSET([1]unit_skills!$A$1,0,0,COUNTA([1]unit_skills!$A:$A),MATCH("comment",[1]unit_skills!$1:$1,0)-MATCH($AP$1,[1]unit_skills!$1:$1,0)+1),MATCH("comment",[1]unit_skills!$1:$1,0)-MATCH($AP$1,[1]unit_skills!$1:$1,0)+1,FALSE)</f>
        <v>#VALUE!</v>
      </c>
      <c r="AS306" s="77" t="e">
        <f ca="1">VLOOKUP($AP306,OFFSET([1]unit_skills!$A$1,0,0,COUNTA([1]unit_skills!$A:$A),MATCH(AS$1,[1]unit_skills!$1:$1,0)-MATCH($AP$1,[1]unit_skills!$1:$1,0)+1),MATCH(AS$1,[1]unit_skills!$1:$1,0)-MATCH($AP$1,[1]unit_skills!$1:$1,0)+1,FALSE)</f>
        <v>#VALUE!</v>
      </c>
      <c r="AT306" s="53">
        <v>124012</v>
      </c>
      <c r="AU306" s="77" t="e">
        <f ca="1">VLOOKUP($AT306,OFFSET([1]crash_skills!$A$1,0,0,COUNTA([1]crash_skills!$A:$A),MATCH("name",[1]crash_skills!$1:$1,0)-MATCH($AT$1,[1]crash_skills!$1:$1,0)+1),MATCH("name",[1]crash_skills!$1:$1,0)-MATCH($AT$1,[1]crash_skills!$1:$1,0)+1,FALSE)</f>
        <v>#VALUE!</v>
      </c>
      <c r="AV306" s="77" t="e">
        <f ca="1">VLOOKUP($AT306,OFFSET([1]crash_skills!$A$1,0,0,COUNTA([1]crash_skills!$A:$A),MATCH("comment",[1]crash_skills!$1:$1,0)-MATCH($AT$1,[1]crash_skills!$1:$1,0)+1),MATCH("comment",[1]crash_skills!$1:$1,0)-MATCH($AT$1,[1]crash_skills!$1:$1,0)+1,FALSE)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06" s="77" t="e">
        <f ca="1">VLOOKUP($AT306,OFFSET([1]crash_skills!$A$1,0,0,COUNTA([1]crash_skills!$A:$A),MATCH(AW$1,[1]crash_skills!$1:$1,0)-MATCH($AT$1,[1]crash_skills!$1:$1,0)+1),MATCH(AW$1,[1]crash_skills!$1:$1,0)-MATCH($AT$1,[1]crash_skills!$1:$1,0)+1,FALSE)</f>
        <v>#VALUE!</v>
      </c>
      <c r="AX306" s="81">
        <f ca="1">VLOOKUP($A306,OFFSET([2]characters!$A$1,0,0,COUNTA([2]characters!$A:$A),MATCH(AX$1,[2]characters!$1:$1,0)-MATCH($A$1,[2]characters!$1:$1,0)+1),MATCH(AX$1,[2]characters!$1:$1,0)-MATCH($A$1,[2]characters!$1:$1,0)+1,FALSE)</f>
        <v>3</v>
      </c>
      <c r="AY306" s="19">
        <v>1</v>
      </c>
      <c r="AZ306" s="19">
        <v>1</v>
      </c>
      <c r="BA306" s="19">
        <v>0</v>
      </c>
      <c r="BB306" s="19">
        <v>1</v>
      </c>
      <c r="BC306" s="14">
        <f ca="1">INDEX('RC6SV'!$A$1:$G$20,MATCH(H306,'RC6SV'!$A$1:$A$20,FALSE),MATCH(G306,'RC6SV'!$A$1:$G$1,FALSE))</f>
        <v>5600</v>
      </c>
      <c r="BD306" s="63">
        <f t="shared" ca="1" si="32"/>
        <v>5600</v>
      </c>
      <c r="BE306" s="14">
        <f t="shared" ca="1" si="33"/>
        <v>4400</v>
      </c>
      <c r="BF306" s="14">
        <f t="shared" ca="1" si="34"/>
        <v>1</v>
      </c>
      <c r="BG306" s="20">
        <f ca="1">IF($BE306&lt;=0,ROUND(BK306*0.5,0), ROUND($BE306*S306*AA306*J306*AY306*0.8*[2]ステータス!$B$2,0))</f>
        <v>1621</v>
      </c>
      <c r="BH306" s="20">
        <f ca="1">IF($BE306&lt;=0,ROUND(BL306*0.5,0), ROUND($BE306*T306*AB306*K306*AZ306*0.8*[2]ステータス!$C$2,0))</f>
        <v>1404</v>
      </c>
      <c r="BI306" s="20">
        <f ca="1">IF($BE306&lt;=0,ROUND(BM306*0.5,0), ROUND($BE306*U306*AC306*L306*BA306*0.8*[2]ステータス!$D$2,0))</f>
        <v>0</v>
      </c>
      <c r="BJ306" s="20">
        <f ca="1">IF($BE306&lt;=0,ROUND(BN306*0.5,0), ROUND($BE306*V306*AD306*M306*BB306*0.8*[2]ステータス!$E$2,0))</f>
        <v>637</v>
      </c>
      <c r="BK306" s="14">
        <f ca="1">ROUND(BD306*S306*AA306*J306*AY306*[2]ステータス!$B$2,0)</f>
        <v>2579</v>
      </c>
      <c r="BL306" s="14">
        <f ca="1">ROUND(BD306*T306*AB306*K306*AZ306*[2]ステータス!$C$2,0)</f>
        <v>2234</v>
      </c>
      <c r="BM306" s="14">
        <f ca="1">ROUND(BD306*U306*AC306*L306*BA306*[2]ステータス!$D$2,0)</f>
        <v>0</v>
      </c>
      <c r="BN306" s="14">
        <f ca="1">ROUND(BD306*V306*AD306*M306*BB306*[2]ステータス!$E$2,0)</f>
        <v>1014</v>
      </c>
      <c r="BO306" s="13">
        <v>0</v>
      </c>
      <c r="BP306" s="13">
        <v>1</v>
      </c>
      <c r="BQ306" s="13" t="s">
        <v>102</v>
      </c>
      <c r="BR306" s="13">
        <f ca="1">VLOOKUP(H306,ghosts_label!$A$2:$B$19,2,FALSE)</f>
        <v>1</v>
      </c>
    </row>
    <row r="307" spans="1:70" ht="21" customHeight="1" x14ac:dyDescent="0.15">
      <c r="A307" s="14">
        <f t="shared" ca="1" si="29"/>
        <v>306</v>
      </c>
      <c r="B307" s="77" t="str">
        <f ca="1">VLOOKUP($A307,OFFSET([2]characters!$A$1,0,0,COUNTA([2]characters!$A:$A),MATCH(B$1,[2]characters!$1:$1,0)-MATCH($A$1,[2]characters!$1:$1,0)+1),MATCH(B$1,[2]characters!$1:$1,0)-MATCH($A$1,[2]characters!$1:$1,0)+1,FALSE)</f>
        <v>メガロドン</v>
      </c>
      <c r="C307" s="77" t="str">
        <f ca="1">VLOOKUP($A307,OFFSET([2]characters!$A$1,0,0,COUNTA([2]characters!$A:$A),MATCH(C$1,[2]characters!$1:$1,0)-MATCH($A$1,[2]characters!$1:$1,0)+1),MATCH(C$1,[2]characters!$1:$1,0)-MATCH($A$1,[2]characters!$1:$1,0)+1,FALSE)</f>
        <v>イベント:深海生物01</v>
      </c>
      <c r="D307" s="77" t="str">
        <f ca="1">VLOOKUP($A307,OFFSET([2]characters!$A$1,0,0,COUNTA([2]characters!$A:$A),MATCH(D$1,[2]characters!$1:$1,0)-MATCH($A$1,[2]characters!$1:$1,0)+1),MATCH(D$1,[2]characters!$1:$1,0)-MATCH($A$1,[2]characters!$1:$1,0)+1,FALSE)</f>
        <v>アバター</v>
      </c>
      <c r="E307" s="77" t="str">
        <f ca="1">VLOOKUP($A307,OFFSET([2]characters!$A$1,0,0,COUNTA([2]characters!$A:$A),MATCH(E$1,[2]characters!$1:$1,0)-MATCH($A$1,[2]characters!$1:$1,0)+1),MATCH(E$1,[2]characters!$1:$1,0)-MATCH($A$1,[2]characters!$1:$1,0)+1,FALSE)</f>
        <v>格好いい</v>
      </c>
      <c r="F307" s="77" t="str">
        <f ca="1">VLOOKUP($A307,OFFSET([2]characters!$A$1,0,0,COUNTA([2]characters!$A:$A),MATCH(F$1,[2]characters!$1:$1,0)-MATCH($A$1,[2]characters!$1:$1,0)+1),MATCH(F$1,[2]characters!$1:$1,0)-MATCH($A$1,[2]characters!$1:$1,0)+1,FALSE)</f>
        <v>女性</v>
      </c>
      <c r="G307" s="77">
        <f ca="1">VLOOKUP($A307,OFFSET([2]characters!$A$1,0,0,COUNTA([2]characters!$A:$A),MATCH(G$1,[2]characters!$1:$1,0)-MATCH($A$1,[2]characters!$1:$1,0)+1),MATCH(G$1,[2]characters!$1:$1,0)-MATCH($A$1,[2]characters!$1:$1,0)+1,FALSE)</f>
        <v>4</v>
      </c>
      <c r="H307" s="77" t="str">
        <f ca="1">VLOOKUP($A307,OFFSET([2]characters!$A$1,0,0,COUNTA([2]characters!$A:$A),MATCH(H$1,[2]characters!$1:$1,0)-MATCH($A$1,[2]characters!$1:$1,0)+1),MATCH(H$1,[2]characters!$1:$1,0)-MATCH($A$1,[2]characters!$1:$1,0)+1,FALSE)</f>
        <v>Drop2N</v>
      </c>
      <c r="I307" s="77" t="str">
        <f ca="1">VLOOKUP($A307,OFFSET([2]characters!$A$1,0,0,COUNTA([2]characters!$A:$A),MATCH(I$1,[2]characters!$1:$1,0)-MATCH($A$1,[2]characters!$1:$1,0)+1),MATCH(I$1,[2]characters!$1:$1,0)-MATCH($A$1,[2]characters!$1:$1,0)+1,FALSE)</f>
        <v>red</v>
      </c>
      <c r="J307" s="14">
        <f ca="1">VLOOKUP(I307,[2]属性!$A:$E,2,FALSE)</f>
        <v>1</v>
      </c>
      <c r="K307" s="14">
        <f ca="1">VLOOKUP(I307,[2]属性!$A:$E,3,FALSE)</f>
        <v>1.02</v>
      </c>
      <c r="L307" s="14">
        <f ca="1">VLOOKUP(I307,[2]属性!$A:$E,4,FALSE)</f>
        <v>1</v>
      </c>
      <c r="M307" s="14">
        <f ca="1">VLOOKUP(I307,[2]属性!$A:$E,5,FALSE)</f>
        <v>0.98</v>
      </c>
      <c r="N307" s="14">
        <f ca="1">INDEX(コスト!$A$1:$I$20,MATCH(H307,コスト!$A$1:$A$20,FALSE),MATCH(G307,コスト!$A$1:$I$1,FALSE))</f>
        <v>17</v>
      </c>
      <c r="O307" s="14">
        <f ca="1">INDEX(レベル!$A$1:$I$21,MATCH(H307,レベル!$A$1:$A$21,FALSE),MATCH(G307,レベル!$A$1:$I$1,FALSE))</f>
        <v>60</v>
      </c>
      <c r="P307" s="63">
        <f t="shared" ca="1" si="35"/>
        <v>60</v>
      </c>
      <c r="Q307" s="77" t="str">
        <f ca="1">VLOOKUP($A307,OFFSET([2]characters!$A$1,0,0,COUNTA([2]characters!$A:$A),MATCH(Q$1,[2]characters!$1:$1,0)-MATCH($A$1,[2]characters!$1:$1,0)+1),MATCH(Q$1,[2]characters!$1:$1,0)-MATCH($A$1,[2]characters!$1:$1,0)+1,FALSE)</f>
        <v>attack</v>
      </c>
      <c r="R307" s="8" t="str">
        <f ca="1">VLOOKUP(Q307,[2]character_type_i18n!$A:$H,3,FALSE)</f>
        <v>攻撃タイプ</v>
      </c>
      <c r="S307" s="14">
        <f ca="1">VLOOKUP(Q307,[2]character_type_i18n!$A:$H,4,FALSE)</f>
        <v>1</v>
      </c>
      <c r="T307" s="14">
        <f ca="1">VLOOKUP(Q307,[2]character_type_i18n!$A:$H,5,FALSE)</f>
        <v>1.33</v>
      </c>
      <c r="U307" s="14">
        <f ca="1">VLOOKUP(Q307,[2]character_type_i18n!$A:$H,6,FALSE)</f>
        <v>1</v>
      </c>
      <c r="V307" s="14">
        <f ca="1">VLOOKUP(Q307,[2]character_type_i18n!$A:$H,7,FALSE)</f>
        <v>0.67</v>
      </c>
      <c r="W307" s="77" t="str">
        <f ca="1">VLOOKUP($A307,OFFSET([2]characters!$A$1,0,0,COUNTA([2]characters!$A:$A),MATCH(W$1,[2]characters!$1:$1,0)-MATCH($A$1,[2]characters!$1:$1,0)+1),MATCH(W$1,[2]characters!$1:$1,0)-MATCH($A$1,[2]characters!$1:$1,0)+1,FALSE)</f>
        <v>animal</v>
      </c>
      <c r="X307" s="8" t="str">
        <f ca="1">VLOOKUP(W307,[2]character_tribe_i18n!$A:$H,3,FALSE)</f>
        <v>アニマル</v>
      </c>
      <c r="Y307" s="77" t="str">
        <f ca="1">VLOOKUP($A307,OFFSET([2]characters!$A$1,0,0,COUNTA([2]characters!$A:$A),MATCH(Y$1,[2]characters!$1:$1,0)-MATCH($A$1,[2]characters!$1:$1,0)+1),MATCH(Y$1,[2]characters!$1:$1,0)-MATCH($A$1,[2]characters!$1:$1,0)+1,FALSE)</f>
        <v>none</v>
      </c>
      <c r="Z307" s="8" t="str">
        <f ca="1">VLOOKUP(Y307,[2]character_tribe_i18n!$A:$H,3,FALSE)</f>
        <v>種族なし</v>
      </c>
      <c r="AA307" s="14">
        <f ca="1">VLOOKUP(W307,[2]character_tribe_i18n!$A:$H,4,FALSE)</f>
        <v>1</v>
      </c>
      <c r="AB307" s="14">
        <f ca="1">VLOOKUP(W307,[2]character_tribe_i18n!$A:$H,5,FALSE)</f>
        <v>1.1000000000000001</v>
      </c>
      <c r="AC307" s="14">
        <f ca="1">VLOOKUP(W307,[2]character_tribe_i18n!$A:$H,6,FALSE)</f>
        <v>1</v>
      </c>
      <c r="AD307" s="14">
        <f ca="1">VLOOKUP(W307,[2]character_tribe_i18n!$A:$H,7,FALSE)</f>
        <v>0.9</v>
      </c>
      <c r="AE307" s="12">
        <v>307</v>
      </c>
      <c r="AF307" s="85" t="str">
        <f ca="1">IF(AE307="NULL","",VLOOKUP($AE307,OFFSET([2]characters!$A$1,0,0,COUNTA([2]characters!$A:$A),MATCH(AF$1,[2]characters!$1:$1,0)-MATCH($A$1,[2]characters!$1:$1,0)+1),MATCH(AF$1,[2]characters!$1:$1,0)-MATCH($A$1,[2]characters!$1:$1,0)+1,FALSE))</f>
        <v>古の鋼拳 メガロドン</v>
      </c>
      <c r="AG307" s="8">
        <f t="shared" ca="1" si="30"/>
        <v>306</v>
      </c>
      <c r="AH307" s="85" t="str">
        <f ca="1">VLOOKUP($AG307,OFFSET([2]characters!$A$1,0,0,COUNTA([2]characters!$A:$A),MATCH(AH$1,[2]characters!$1:$1,0)-MATCH($A$1,[2]characters!$1:$1,0)+1),MATCH(AH$1,[2]characters!$1:$1,0)-MATCH($A$1,[2]characters!$1:$1,0)+1,FALSE)</f>
        <v>メガロドン</v>
      </c>
      <c r="AI307" s="14">
        <f ca="1">IF(AE307="NULL","NULL",VLOOKUP(G307,ビット!$A$2:$B$7,2))</f>
        <v>50000</v>
      </c>
      <c r="AJ307" s="9">
        <v>2</v>
      </c>
      <c r="AK307" s="10" t="str">
        <f t="shared" si="31"/>
        <v>普通</v>
      </c>
      <c r="AL307" s="14" t="str">
        <f ca="1">INDEX(経験値!$A$1:$I$20,MATCH(H307,経験値!$A$1:$A$20,FALSE),MATCH(G307,経験値!$A$1:$I$1,FALSE))</f>
        <v>required_exp_200</v>
      </c>
      <c r="AM307" s="11">
        <f ca="1">VLOOKUP(G307,経験値!$A$27:$B$31,2)</f>
        <v>3400</v>
      </c>
      <c r="AN307" s="21">
        <f ca="1">VLOOKUP(G307,ビット!$G$2:$H$7,2)</f>
        <v>600</v>
      </c>
      <c r="AO307" s="100" t="s">
        <v>185</v>
      </c>
      <c r="AP307" s="4">
        <v>121004</v>
      </c>
      <c r="AQ307" s="77" t="e">
        <f ca="1">VLOOKUP($AP307,OFFSET([1]unit_skills!$A$1,0,0,COUNTA([1]unit_skills!$A:$A),MATCH("name",[1]unit_skills!$1:$1,0)-MATCH($AP$1,[1]unit_skills!$1:$1,0)+1),MATCH("name",[1]unit_skills!$1:$1,0)-MATCH($AP$1,[1]unit_skills!$1:$1,0)+1,FALSE)</f>
        <v>#VALUE!</v>
      </c>
      <c r="AR307" s="77" t="e">
        <f ca="1">VLOOKUP($AP307,OFFSET([1]unit_skills!$A$1,0,0,COUNTA([1]unit_skills!$A:$A),MATCH("comment",[1]unit_skills!$1:$1,0)-MATCH($AP$1,[1]unit_skills!$1:$1,0)+1),MATCH("comment",[1]unit_skills!$1:$1,0)-MATCH($AP$1,[1]unit_skills!$1:$1,0)+1,FALSE)</f>
        <v>#VALUE!</v>
      </c>
      <c r="AS307" s="77" t="e">
        <f ca="1">VLOOKUP($AP307,OFFSET([1]unit_skills!$A$1,0,0,COUNTA([1]unit_skills!$A:$A),MATCH(AS$1,[1]unit_skills!$1:$1,0)-MATCH($AP$1,[1]unit_skills!$1:$1,0)+1),MATCH(AS$1,[1]unit_skills!$1:$1,0)-MATCH($AP$1,[1]unit_skills!$1:$1,0)+1,FALSE)</f>
        <v>#VALUE!</v>
      </c>
      <c r="AT307" s="53">
        <v>111103</v>
      </c>
      <c r="AU307" s="77" t="e">
        <f ca="1">VLOOKUP($AT307,OFFSET([1]crash_skills!$A$1,0,0,COUNTA([1]crash_skills!$A:$A),MATCH("name",[1]crash_skills!$1:$1,0)-MATCH($AT$1,[1]crash_skills!$1:$1,0)+1),MATCH("name",[1]crash_skills!$1:$1,0)-MATCH($AT$1,[1]crash_skills!$1:$1,0)+1,FALSE)</f>
        <v>#VALUE!</v>
      </c>
      <c r="AV307" s="77" t="e">
        <f ca="1">VLOOKUP($AT307,OFFSET([1]crash_skills!$A$1,0,0,COUNTA([1]crash_skills!$A:$A),MATCH("comment",[1]crash_skills!$1:$1,0)-MATCH($AT$1,[1]crash_skills!$1:$1,0)+1),MATCH("comment",[1]crash_skills!$1:$1,0)-MATCH($AT$1,[1]crash_skills!$1:$1,0)+1,FALSE)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07" s="77" t="e">
        <f ca="1">VLOOKUP($AT307,OFFSET([1]crash_skills!$A$1,0,0,COUNTA([1]crash_skills!$A:$A),MATCH(AW$1,[1]crash_skills!$1:$1,0)-MATCH($AT$1,[1]crash_skills!$1:$1,0)+1),MATCH(AW$1,[1]crash_skills!$1:$1,0)-MATCH($AT$1,[1]crash_skills!$1:$1,0)+1,FALSE)</f>
        <v>#VALUE!</v>
      </c>
      <c r="AX307" s="81">
        <f ca="1">VLOOKUP($A307,OFFSET([2]characters!$A$1,0,0,COUNTA([2]characters!$A:$A),MATCH(AX$1,[2]characters!$1:$1,0)-MATCH($A$1,[2]characters!$1:$1,0)+1),MATCH(AX$1,[2]characters!$1:$1,0)-MATCH($A$1,[2]characters!$1:$1,0)+1,FALSE)</f>
        <v>3</v>
      </c>
      <c r="AY307" s="19">
        <v>1</v>
      </c>
      <c r="AZ307" s="19">
        <v>1</v>
      </c>
      <c r="BA307" s="19">
        <v>0</v>
      </c>
      <c r="BB307" s="19">
        <v>1</v>
      </c>
      <c r="BC307" s="14">
        <f ca="1">INDEX('RC6SV'!$A$1:$G$20,MATCH(H307,'RC6SV'!$A$1:$A$20,FALSE),MATCH(G307,'RC6SV'!$A$1:$G$1,FALSE))</f>
        <v>5800</v>
      </c>
      <c r="BD307" s="63">
        <f t="shared" ca="1" si="32"/>
        <v>5800</v>
      </c>
      <c r="BE307" s="14">
        <f t="shared" ca="1" si="33"/>
        <v>0</v>
      </c>
      <c r="BF307" s="14">
        <f t="shared" ca="1" si="34"/>
        <v>1</v>
      </c>
      <c r="BG307" s="20">
        <f ca="1">IF($BE307&lt;=0,ROUND(BK307*0.5,0), ROUND($BE307*S307*AA307*J307*AY307*0.8*[2]ステータス!$B$2,0))</f>
        <v>1450</v>
      </c>
      <c r="BH307" s="20">
        <f ca="1">IF($BE307&lt;=0,ROUND(BL307*0.5,0), ROUND($BE307*T307*AB307*K307*AZ307*0.8*[2]ステータス!$C$2,0))</f>
        <v>1299</v>
      </c>
      <c r="BI307" s="20">
        <f ca="1">IF($BE307&lt;=0,ROUND(BM307*0.5,0), ROUND($BE307*U307*AC307*L307*BA307*0.8*[2]ステータス!$D$2,0))</f>
        <v>0</v>
      </c>
      <c r="BJ307" s="20">
        <f ca="1">IF($BE307&lt;=0,ROUND(BN307*0.5,0), ROUND($BE307*V307*AD307*M307*BB307*0.8*[2]ステータス!$E$2,0))</f>
        <v>429</v>
      </c>
      <c r="BK307" s="14">
        <f ca="1">ROUND(BD307*S307*AA307*J307*AY307*[2]ステータス!$B$2,0)</f>
        <v>2900</v>
      </c>
      <c r="BL307" s="14">
        <f ca="1">ROUND(BD307*T307*AB307*K307*AZ307*[2]ステータス!$C$2,0)</f>
        <v>2597</v>
      </c>
      <c r="BM307" s="14">
        <f ca="1">ROUND(BD307*U307*AC307*L307*BA307*[2]ステータス!$D$2,0)</f>
        <v>0</v>
      </c>
      <c r="BN307" s="14">
        <f ca="1">ROUND(BD307*V307*AD307*M307*BB307*[2]ステータス!$E$2,0)</f>
        <v>857</v>
      </c>
      <c r="BO307" s="13">
        <v>0</v>
      </c>
      <c r="BP307" s="13">
        <v>1</v>
      </c>
      <c r="BQ307" s="13" t="s">
        <v>102</v>
      </c>
      <c r="BR307" s="13">
        <f ca="1">VLOOKUP(H307,ghosts_label!$A$2:$B$19,2,FALSE)</f>
        <v>1</v>
      </c>
    </row>
    <row r="308" spans="1:70" ht="21" customHeight="1" x14ac:dyDescent="0.15">
      <c r="A308" s="14">
        <f t="shared" ca="1" si="29"/>
        <v>307</v>
      </c>
      <c r="B308" s="77" t="str">
        <f ca="1">VLOOKUP($A308,OFFSET([2]characters!$A$1,0,0,COUNTA([2]characters!$A:$A),MATCH(B$1,[2]characters!$1:$1,0)-MATCH($A$1,[2]characters!$1:$1,0)+1),MATCH(B$1,[2]characters!$1:$1,0)-MATCH($A$1,[2]characters!$1:$1,0)+1,FALSE)</f>
        <v>古の鋼拳 メガロドン</v>
      </c>
      <c r="C308" s="77" t="str">
        <f ca="1">VLOOKUP($A308,OFFSET([2]characters!$A$1,0,0,COUNTA([2]characters!$A:$A),MATCH(C$1,[2]characters!$1:$1,0)-MATCH($A$1,[2]characters!$1:$1,0)+1),MATCH(C$1,[2]characters!$1:$1,0)-MATCH($A$1,[2]characters!$1:$1,0)+1,FALSE)</f>
        <v>イベント:深海生物01</v>
      </c>
      <c r="D308" s="77" t="str">
        <f ca="1">VLOOKUP($A308,OFFSET([2]characters!$A$1,0,0,COUNTA([2]characters!$A:$A),MATCH(D$1,[2]characters!$1:$1,0)-MATCH($A$1,[2]characters!$1:$1,0)+1),MATCH(D$1,[2]characters!$1:$1,0)-MATCH($A$1,[2]characters!$1:$1,0)+1,FALSE)</f>
        <v>アバター</v>
      </c>
      <c r="E308" s="77" t="str">
        <f ca="1">VLOOKUP($A308,OFFSET([2]characters!$A$1,0,0,COUNTA([2]characters!$A:$A),MATCH(E$1,[2]characters!$1:$1,0)-MATCH($A$1,[2]characters!$1:$1,0)+1),MATCH(E$1,[2]characters!$1:$1,0)-MATCH($A$1,[2]characters!$1:$1,0)+1,FALSE)</f>
        <v>格好いい</v>
      </c>
      <c r="F308" s="77" t="str">
        <f ca="1">VLOOKUP($A308,OFFSET([2]characters!$A$1,0,0,COUNTA([2]characters!$A:$A),MATCH(F$1,[2]characters!$1:$1,0)-MATCH($A$1,[2]characters!$1:$1,0)+1),MATCH(F$1,[2]characters!$1:$1,0)-MATCH($A$1,[2]characters!$1:$1,0)+1,FALSE)</f>
        <v>女性</v>
      </c>
      <c r="G308" s="77">
        <f ca="1">VLOOKUP($A308,OFFSET([2]characters!$A$1,0,0,COUNTA([2]characters!$A:$A),MATCH(G$1,[2]characters!$1:$1,0)-MATCH($A$1,[2]characters!$1:$1,0)+1),MATCH(G$1,[2]characters!$1:$1,0)-MATCH($A$1,[2]characters!$1:$1,0)+1,FALSE)</f>
        <v>5</v>
      </c>
      <c r="H308" s="77" t="str">
        <f ca="1">VLOOKUP($A308,OFFSET([2]characters!$A$1,0,0,COUNTA([2]characters!$A:$A),MATCH(H$1,[2]characters!$1:$1,0)-MATCH($A$1,[2]characters!$1:$1,0)+1),MATCH(H$1,[2]characters!$1:$1,0)-MATCH($A$1,[2]characters!$1:$1,0)+1,FALSE)</f>
        <v>Drop2N</v>
      </c>
      <c r="I308" s="77" t="str">
        <f ca="1">VLOOKUP($A308,OFFSET([2]characters!$A$1,0,0,COUNTA([2]characters!$A:$A),MATCH(I$1,[2]characters!$1:$1,0)-MATCH($A$1,[2]characters!$1:$1,0)+1),MATCH(I$1,[2]characters!$1:$1,0)-MATCH($A$1,[2]characters!$1:$1,0)+1,FALSE)</f>
        <v>red</v>
      </c>
      <c r="J308" s="14">
        <f ca="1">VLOOKUP(I308,[2]属性!$A:$E,2,FALSE)</f>
        <v>1</v>
      </c>
      <c r="K308" s="14">
        <f ca="1">VLOOKUP(I308,[2]属性!$A:$E,3,FALSE)</f>
        <v>1.02</v>
      </c>
      <c r="L308" s="14">
        <f ca="1">VLOOKUP(I308,[2]属性!$A:$E,4,FALSE)</f>
        <v>1</v>
      </c>
      <c r="M308" s="14">
        <f ca="1">VLOOKUP(I308,[2]属性!$A:$E,5,FALSE)</f>
        <v>0.98</v>
      </c>
      <c r="N308" s="14">
        <f ca="1">INDEX(コスト!$A$1:$I$20,MATCH(H308,コスト!$A$1:$A$20,FALSE),MATCH(G308,コスト!$A$1:$I$1,FALSE))</f>
        <v>26</v>
      </c>
      <c r="O308" s="14">
        <f ca="1">INDEX(レベル!$A$1:$I$21,MATCH(H308,レベル!$A$1:$A$21,FALSE),MATCH(G308,レベル!$A$1:$I$1,FALSE))</f>
        <v>80</v>
      </c>
      <c r="P308" s="63">
        <f t="shared" ca="1" si="35"/>
        <v>75</v>
      </c>
      <c r="Q308" s="77" t="str">
        <f ca="1">VLOOKUP($A308,OFFSET([2]characters!$A$1,0,0,COUNTA([2]characters!$A:$A),MATCH(Q$1,[2]characters!$1:$1,0)-MATCH($A$1,[2]characters!$1:$1,0)+1),MATCH(Q$1,[2]characters!$1:$1,0)-MATCH($A$1,[2]characters!$1:$1,0)+1,FALSE)</f>
        <v>attack</v>
      </c>
      <c r="R308" s="8" t="str">
        <f ca="1">VLOOKUP(Q308,[2]character_type_i18n!$A:$H,3,FALSE)</f>
        <v>攻撃タイプ</v>
      </c>
      <c r="S308" s="14">
        <f ca="1">VLOOKUP(Q308,[2]character_type_i18n!$A:$H,4,FALSE)</f>
        <v>1</v>
      </c>
      <c r="T308" s="14">
        <f ca="1">VLOOKUP(Q308,[2]character_type_i18n!$A:$H,5,FALSE)</f>
        <v>1.33</v>
      </c>
      <c r="U308" s="14">
        <f ca="1">VLOOKUP(Q308,[2]character_type_i18n!$A:$H,6,FALSE)</f>
        <v>1</v>
      </c>
      <c r="V308" s="14">
        <f ca="1">VLOOKUP(Q308,[2]character_type_i18n!$A:$H,7,FALSE)</f>
        <v>0.67</v>
      </c>
      <c r="W308" s="77" t="str">
        <f ca="1">VLOOKUP($A308,OFFSET([2]characters!$A$1,0,0,COUNTA([2]characters!$A:$A),MATCH(W$1,[2]characters!$1:$1,0)-MATCH($A$1,[2]characters!$1:$1,0)+1),MATCH(W$1,[2]characters!$1:$1,0)-MATCH($A$1,[2]characters!$1:$1,0)+1,FALSE)</f>
        <v>animal</v>
      </c>
      <c r="X308" s="8" t="str">
        <f ca="1">VLOOKUP(W308,[2]character_tribe_i18n!$A:$H,3,FALSE)</f>
        <v>アニマル</v>
      </c>
      <c r="Y308" s="77" t="str">
        <f ca="1">VLOOKUP($A308,OFFSET([2]characters!$A$1,0,0,COUNTA([2]characters!$A:$A),MATCH(Y$1,[2]characters!$1:$1,0)-MATCH($A$1,[2]characters!$1:$1,0)+1),MATCH(Y$1,[2]characters!$1:$1,0)-MATCH($A$1,[2]characters!$1:$1,0)+1,FALSE)</f>
        <v>none</v>
      </c>
      <c r="Z308" s="8" t="str">
        <f ca="1">VLOOKUP(Y308,[2]character_tribe_i18n!$A:$H,3,FALSE)</f>
        <v>種族なし</v>
      </c>
      <c r="AA308" s="14">
        <f ca="1">VLOOKUP(W308,[2]character_tribe_i18n!$A:$H,4,FALSE)</f>
        <v>1</v>
      </c>
      <c r="AB308" s="14">
        <f ca="1">VLOOKUP(W308,[2]character_tribe_i18n!$A:$H,5,FALSE)</f>
        <v>1.1000000000000001</v>
      </c>
      <c r="AC308" s="14">
        <f ca="1">VLOOKUP(W308,[2]character_tribe_i18n!$A:$H,6,FALSE)</f>
        <v>1</v>
      </c>
      <c r="AD308" s="14">
        <f ca="1">VLOOKUP(W308,[2]character_tribe_i18n!$A:$H,7,FALSE)</f>
        <v>0.9</v>
      </c>
      <c r="AE308" s="12" t="s">
        <v>102</v>
      </c>
      <c r="AF308" s="85" t="str">
        <f ca="1">IF(AE308="NULL","",VLOOKUP($AE308,OFFSET([2]characters!$A$1,0,0,COUNTA([2]characters!$A:$A),MATCH(AF$1,[2]characters!$1:$1,0)-MATCH($A$1,[2]characters!$1:$1,0)+1),MATCH(AF$1,[2]characters!$1:$1,0)-MATCH($A$1,[2]characters!$1:$1,0)+1,FALSE))</f>
        <v/>
      </c>
      <c r="AG308" s="8">
        <f t="shared" ca="1" si="30"/>
        <v>306</v>
      </c>
      <c r="AH308" s="85" t="str">
        <f ca="1">VLOOKUP($AG308,OFFSET([2]characters!$A$1,0,0,COUNTA([2]characters!$A:$A),MATCH(AH$1,[2]characters!$1:$1,0)-MATCH($A$1,[2]characters!$1:$1,0)+1),MATCH(AH$1,[2]characters!$1:$1,0)-MATCH($A$1,[2]characters!$1:$1,0)+1,FALSE)</f>
        <v>メガロドン</v>
      </c>
      <c r="AI308" s="14" t="str">
        <f>IF(AE308="NULL","NULL",VLOOKUP(G308,ビット!$A$2:$B$7,2))</f>
        <v>NULL</v>
      </c>
      <c r="AJ308" s="9">
        <v>2</v>
      </c>
      <c r="AK308" s="10" t="str">
        <f t="shared" si="31"/>
        <v>普通</v>
      </c>
      <c r="AL308" s="14" t="str">
        <f ca="1">INDEX(経験値!$A$1:$I$20,MATCH(H308,経験値!$A$1:$A$20,FALSE),MATCH(G308,経験値!$A$1:$I$1,FALSE))</f>
        <v>required_exp_200</v>
      </c>
      <c r="AM308" s="11">
        <f ca="1">VLOOKUP(G308,経験値!$A$27:$B$31,2)</f>
        <v>6400</v>
      </c>
      <c r="AN308" s="21">
        <f ca="1">VLOOKUP(G308,ビット!$G$2:$H$7,2)</f>
        <v>900</v>
      </c>
      <c r="AO308" s="100" t="s">
        <v>185</v>
      </c>
      <c r="AP308" s="4">
        <v>121004</v>
      </c>
      <c r="AQ308" s="77" t="e">
        <f ca="1">VLOOKUP($AP308,OFFSET([1]unit_skills!$A$1,0,0,COUNTA([1]unit_skills!$A:$A),MATCH("name",[1]unit_skills!$1:$1,0)-MATCH($AP$1,[1]unit_skills!$1:$1,0)+1),MATCH("name",[1]unit_skills!$1:$1,0)-MATCH($AP$1,[1]unit_skills!$1:$1,0)+1,FALSE)</f>
        <v>#VALUE!</v>
      </c>
      <c r="AR308" s="77" t="e">
        <f ca="1">VLOOKUP($AP308,OFFSET([1]unit_skills!$A$1,0,0,COUNTA([1]unit_skills!$A:$A),MATCH("comment",[1]unit_skills!$1:$1,0)-MATCH($AP$1,[1]unit_skills!$1:$1,0)+1),MATCH("comment",[1]unit_skills!$1:$1,0)-MATCH($AP$1,[1]unit_skills!$1:$1,0)+1,FALSE)</f>
        <v>#VALUE!</v>
      </c>
      <c r="AS308" s="77" t="e">
        <f ca="1">VLOOKUP($AP308,OFFSET([1]unit_skills!$A$1,0,0,COUNTA([1]unit_skills!$A:$A),MATCH(AS$1,[1]unit_skills!$1:$1,0)-MATCH($AP$1,[1]unit_skills!$1:$1,0)+1),MATCH(AS$1,[1]unit_skills!$1:$1,0)-MATCH($AP$1,[1]unit_skills!$1:$1,0)+1,FALSE)</f>
        <v>#VALUE!</v>
      </c>
      <c r="AT308" s="53">
        <v>111116</v>
      </c>
      <c r="AU308" s="77" t="e">
        <f ca="1">VLOOKUP($AT308,OFFSET([1]crash_skills!$A$1,0,0,COUNTA([1]crash_skills!$A:$A),MATCH("name",[1]crash_skills!$1:$1,0)-MATCH($AT$1,[1]crash_skills!$1:$1,0)+1),MATCH("name",[1]crash_skills!$1:$1,0)-MATCH($AT$1,[1]crash_skills!$1:$1,0)+1,FALSE)</f>
        <v>#VALUE!</v>
      </c>
      <c r="AV308" s="77" t="e">
        <f ca="1">VLOOKUP($AT308,OFFSET([1]crash_skills!$A$1,0,0,COUNTA([1]crash_skills!$A:$A),MATCH("comment",[1]crash_skills!$1:$1,0)-MATCH($AT$1,[1]crash_skills!$1:$1,0)+1),MATCH("comment",[1]crash_skills!$1:$1,0)-MATCH($AT$1,[1]crash_skills!$1:$1,0)+1,FALSE)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08" s="77" t="e">
        <f ca="1">VLOOKUP($AT308,OFFSET([1]crash_skills!$A$1,0,0,COUNTA([1]crash_skills!$A:$A),MATCH(AW$1,[1]crash_skills!$1:$1,0)-MATCH($AT$1,[1]crash_skills!$1:$1,0)+1),MATCH(AW$1,[1]crash_skills!$1:$1,0)-MATCH($AT$1,[1]crash_skills!$1:$1,0)+1,FALSE)</f>
        <v>#VALUE!</v>
      </c>
      <c r="AX308" s="81">
        <f ca="1">VLOOKUP($A308,OFFSET([2]characters!$A$1,0,0,COUNTA([2]characters!$A:$A),MATCH(AX$1,[2]characters!$1:$1,0)-MATCH($A$1,[2]characters!$1:$1,0)+1),MATCH(AX$1,[2]characters!$1:$1,0)-MATCH($A$1,[2]characters!$1:$1,0)+1,FALSE)</f>
        <v>3</v>
      </c>
      <c r="AY308" s="19">
        <v>1</v>
      </c>
      <c r="AZ308" s="19">
        <v>1</v>
      </c>
      <c r="BA308" s="19">
        <v>0</v>
      </c>
      <c r="BB308" s="19">
        <v>1</v>
      </c>
      <c r="BC308" s="14">
        <f ca="1">INDEX('RC6SV'!$A$1:$G$20,MATCH(H308,'RC6SV'!$A$1:$A$20,FALSE),MATCH(G308,'RC6SV'!$A$1:$G$1,FALSE))</f>
        <v>7600</v>
      </c>
      <c r="BD308" s="63">
        <f t="shared" ca="1" si="32"/>
        <v>7600</v>
      </c>
      <c r="BE308" s="14">
        <f t="shared" ca="1" si="33"/>
        <v>5800</v>
      </c>
      <c r="BF308" s="14">
        <f t="shared" ca="1" si="34"/>
        <v>1</v>
      </c>
      <c r="BG308" s="20">
        <f ca="1">IF($BE308&lt;=0,ROUND(BK308*0.5,0), ROUND($BE308*S308*AA308*J308*AY308*0.8*[2]ステータス!$B$2,0))</f>
        <v>2320</v>
      </c>
      <c r="BH308" s="20">
        <f ca="1">IF($BE308&lt;=0,ROUND(BL308*0.5,0), ROUND($BE308*T308*AB308*K308*AZ308*0.8*[2]ステータス!$C$2,0))</f>
        <v>2077</v>
      </c>
      <c r="BI308" s="20">
        <f ca="1">IF($BE308&lt;=0,ROUND(BM308*0.5,0), ROUND($BE308*U308*AC308*L308*BA308*0.8*[2]ステータス!$D$2,0))</f>
        <v>0</v>
      </c>
      <c r="BJ308" s="20">
        <f ca="1">IF($BE308&lt;=0,ROUND(BN308*0.5,0), ROUND($BE308*V308*AD308*M308*BB308*0.8*[2]ステータス!$E$2,0))</f>
        <v>685</v>
      </c>
      <c r="BK308" s="14">
        <f ca="1">ROUND(BD308*S308*AA308*J308*AY308*[2]ステータス!$B$2,0)</f>
        <v>3800</v>
      </c>
      <c r="BL308" s="14">
        <f ca="1">ROUND(BD308*T308*AB308*K308*AZ308*[2]ステータス!$C$2,0)</f>
        <v>3402</v>
      </c>
      <c r="BM308" s="14">
        <f ca="1">ROUND(BD308*U308*AC308*L308*BA308*[2]ステータス!$D$2,0)</f>
        <v>0</v>
      </c>
      <c r="BN308" s="14">
        <f ca="1">ROUND(BD308*V308*AD308*M308*BB308*[2]ステータス!$E$2,0)</f>
        <v>1123</v>
      </c>
      <c r="BO308" s="13">
        <v>0</v>
      </c>
      <c r="BP308" s="13">
        <v>1</v>
      </c>
      <c r="BQ308" s="13" t="s">
        <v>102</v>
      </c>
      <c r="BR308" s="13">
        <f ca="1">VLOOKUP(H308,ghosts_label!$A$2:$B$19,2,FALSE)</f>
        <v>1</v>
      </c>
    </row>
    <row r="309" spans="1:70" ht="21" customHeight="1" x14ac:dyDescent="0.15">
      <c r="A309" s="14">
        <f t="shared" ca="1" si="29"/>
        <v>308</v>
      </c>
      <c r="B309" s="77" t="str">
        <f ca="1">VLOOKUP($A309,OFFSET([2]characters!$A$1,0,0,COUNTA([2]characters!$A:$A),MATCH(B$1,[2]characters!$1:$1,0)-MATCH($A$1,[2]characters!$1:$1,0)+1),MATCH(B$1,[2]characters!$1:$1,0)-MATCH($A$1,[2]characters!$1:$1,0)+1,FALSE)</f>
        <v>アーケロン</v>
      </c>
      <c r="C309" s="77" t="str">
        <f ca="1">VLOOKUP($A309,OFFSET([2]characters!$A$1,0,0,COUNTA([2]characters!$A:$A),MATCH(C$1,[2]characters!$1:$1,0)-MATCH($A$1,[2]characters!$1:$1,0)+1),MATCH(C$1,[2]characters!$1:$1,0)-MATCH($A$1,[2]characters!$1:$1,0)+1,FALSE)</f>
        <v>イベント:深海生物01</v>
      </c>
      <c r="D309" s="77" t="str">
        <f ca="1">VLOOKUP($A309,OFFSET([2]characters!$A$1,0,0,COUNTA([2]characters!$A:$A),MATCH(D$1,[2]characters!$1:$1,0)-MATCH($A$1,[2]characters!$1:$1,0)+1),MATCH(D$1,[2]characters!$1:$1,0)-MATCH($A$1,[2]characters!$1:$1,0)+1,FALSE)</f>
        <v>アバター</v>
      </c>
      <c r="E309" s="77" t="str">
        <f ca="1">VLOOKUP($A309,OFFSET([2]characters!$A$1,0,0,COUNTA([2]characters!$A:$A),MATCH(E$1,[2]characters!$1:$1,0)-MATCH($A$1,[2]characters!$1:$1,0)+1),MATCH(E$1,[2]characters!$1:$1,0)-MATCH($A$1,[2]characters!$1:$1,0)+1,FALSE)</f>
        <v>可愛い</v>
      </c>
      <c r="F309" s="77" t="str">
        <f ca="1">VLOOKUP($A309,OFFSET([2]characters!$A$1,0,0,COUNTA([2]characters!$A:$A),MATCH(F$1,[2]characters!$1:$1,0)-MATCH($A$1,[2]characters!$1:$1,0)+1),MATCH(F$1,[2]characters!$1:$1,0)-MATCH($A$1,[2]characters!$1:$1,0)+1,FALSE)</f>
        <v>女性</v>
      </c>
      <c r="G309" s="77">
        <f ca="1">VLOOKUP($A309,OFFSET([2]characters!$A$1,0,0,COUNTA([2]characters!$A:$A),MATCH(G$1,[2]characters!$1:$1,0)-MATCH($A$1,[2]characters!$1:$1,0)+1),MATCH(G$1,[2]characters!$1:$1,0)-MATCH($A$1,[2]characters!$1:$1,0)+1,FALSE)</f>
        <v>4</v>
      </c>
      <c r="H309" s="77" t="str">
        <f ca="1">VLOOKUP($A309,OFFSET([2]characters!$A$1,0,0,COUNTA([2]characters!$A:$A),MATCH(H$1,[2]characters!$1:$1,0)-MATCH($A$1,[2]characters!$1:$1,0)+1),MATCH(H$1,[2]characters!$1:$1,0)-MATCH($A$1,[2]characters!$1:$1,0)+1,FALSE)</f>
        <v>Drop2N</v>
      </c>
      <c r="I309" s="77" t="str">
        <f ca="1">VLOOKUP($A309,OFFSET([2]characters!$A$1,0,0,COUNTA([2]characters!$A:$A),MATCH(I$1,[2]characters!$1:$1,0)-MATCH($A$1,[2]characters!$1:$1,0)+1),MATCH(I$1,[2]characters!$1:$1,0)-MATCH($A$1,[2]characters!$1:$1,0)+1,FALSE)</f>
        <v>green</v>
      </c>
      <c r="J309" s="14">
        <f ca="1">VLOOKUP(I309,[2]属性!$A:$E,2,FALSE)</f>
        <v>1.02</v>
      </c>
      <c r="K309" s="14">
        <f ca="1">VLOOKUP(I309,[2]属性!$A:$E,3,FALSE)</f>
        <v>0.98</v>
      </c>
      <c r="L309" s="14">
        <f ca="1">VLOOKUP(I309,[2]属性!$A:$E,4,FALSE)</f>
        <v>1</v>
      </c>
      <c r="M309" s="14">
        <f ca="1">VLOOKUP(I309,[2]属性!$A:$E,5,FALSE)</f>
        <v>1</v>
      </c>
      <c r="N309" s="14">
        <f ca="1">INDEX(コスト!$A$1:$I$20,MATCH(H309,コスト!$A$1:$A$20,FALSE),MATCH(G309,コスト!$A$1:$I$1,FALSE))</f>
        <v>17</v>
      </c>
      <c r="O309" s="14">
        <f ca="1">INDEX(レベル!$A$1:$I$21,MATCH(H309,レベル!$A$1:$A$21,FALSE),MATCH(G309,レベル!$A$1:$I$1,FALSE))</f>
        <v>60</v>
      </c>
      <c r="P309" s="63">
        <f t="shared" ca="1" si="35"/>
        <v>60</v>
      </c>
      <c r="Q309" s="77" t="str">
        <f ca="1">VLOOKUP($A309,OFFSET([2]characters!$A$1,0,0,COUNTA([2]characters!$A:$A),MATCH(Q$1,[2]characters!$1:$1,0)-MATCH($A$1,[2]characters!$1:$1,0)+1),MATCH(Q$1,[2]characters!$1:$1,0)-MATCH($A$1,[2]characters!$1:$1,0)+1,FALSE)</f>
        <v>hp</v>
      </c>
      <c r="R309" s="8" t="str">
        <f ca="1">VLOOKUP(Q309,[2]character_type_i18n!$A:$H,3,FALSE)</f>
        <v>体力タイプ</v>
      </c>
      <c r="S309" s="14">
        <f ca="1">VLOOKUP(Q309,[2]character_type_i18n!$A:$H,4,FALSE)</f>
        <v>1.45</v>
      </c>
      <c r="T309" s="14">
        <f ca="1">VLOOKUP(Q309,[2]character_type_i18n!$A:$H,5,FALSE)</f>
        <v>0.85</v>
      </c>
      <c r="U309" s="14">
        <f ca="1">VLOOKUP(Q309,[2]character_type_i18n!$A:$H,6,FALSE)</f>
        <v>1</v>
      </c>
      <c r="V309" s="14">
        <f ca="1">VLOOKUP(Q309,[2]character_type_i18n!$A:$H,7,FALSE)</f>
        <v>0.7</v>
      </c>
      <c r="W309" s="77" t="str">
        <f ca="1">VLOOKUP($A309,OFFSET([2]characters!$A$1,0,0,COUNTA([2]characters!$A:$A),MATCH(W$1,[2]characters!$1:$1,0)-MATCH($A$1,[2]characters!$1:$1,0)+1),MATCH(W$1,[2]characters!$1:$1,0)-MATCH($A$1,[2]characters!$1:$1,0)+1,FALSE)</f>
        <v>animal</v>
      </c>
      <c r="X309" s="8" t="str">
        <f ca="1">VLOOKUP(W309,[2]character_tribe_i18n!$A:$H,3,FALSE)</f>
        <v>アニマル</v>
      </c>
      <c r="Y309" s="77" t="str">
        <f ca="1">VLOOKUP($A309,OFFSET([2]characters!$A$1,0,0,COUNTA([2]characters!$A:$A),MATCH(Y$1,[2]characters!$1:$1,0)-MATCH($A$1,[2]characters!$1:$1,0)+1),MATCH(Y$1,[2]characters!$1:$1,0)-MATCH($A$1,[2]characters!$1:$1,0)+1,FALSE)</f>
        <v>none</v>
      </c>
      <c r="Z309" s="8" t="str">
        <f ca="1">VLOOKUP(Y309,[2]character_tribe_i18n!$A:$H,3,FALSE)</f>
        <v>種族なし</v>
      </c>
      <c r="AA309" s="14">
        <f ca="1">VLOOKUP(W309,[2]character_tribe_i18n!$A:$H,4,FALSE)</f>
        <v>1</v>
      </c>
      <c r="AB309" s="14">
        <f ca="1">VLOOKUP(W309,[2]character_tribe_i18n!$A:$H,5,FALSE)</f>
        <v>1.1000000000000001</v>
      </c>
      <c r="AC309" s="14">
        <f ca="1">VLOOKUP(W309,[2]character_tribe_i18n!$A:$H,6,FALSE)</f>
        <v>1</v>
      </c>
      <c r="AD309" s="14">
        <f ca="1">VLOOKUP(W309,[2]character_tribe_i18n!$A:$H,7,FALSE)</f>
        <v>0.9</v>
      </c>
      <c r="AE309" s="12">
        <v>309</v>
      </c>
      <c r="AF309" s="85" t="str">
        <f ca="1">IF(AE309="NULL","",VLOOKUP($AE309,OFFSET([2]characters!$A$1,0,0,COUNTA([2]characters!$A:$A),MATCH(AF$1,[2]characters!$1:$1,0)-MATCH($A$1,[2]characters!$1:$1,0)+1),MATCH(AF$1,[2]characters!$1:$1,0)-MATCH($A$1,[2]characters!$1:$1,0)+1,FALSE))</f>
        <v>古の博学 アーケロン</v>
      </c>
      <c r="AG309" s="8">
        <f t="shared" ca="1" si="30"/>
        <v>308</v>
      </c>
      <c r="AH309" s="85" t="str">
        <f ca="1">VLOOKUP($AG309,OFFSET([2]characters!$A$1,0,0,COUNTA([2]characters!$A:$A),MATCH(AH$1,[2]characters!$1:$1,0)-MATCH($A$1,[2]characters!$1:$1,0)+1),MATCH(AH$1,[2]characters!$1:$1,0)-MATCH($A$1,[2]characters!$1:$1,0)+1,FALSE)</f>
        <v>アーケロン</v>
      </c>
      <c r="AI309" s="14">
        <f ca="1">IF(AE309="NULL","NULL",VLOOKUP(G309,ビット!$A$2:$B$7,2))</f>
        <v>50000</v>
      </c>
      <c r="AJ309" s="9">
        <v>2</v>
      </c>
      <c r="AK309" s="10" t="str">
        <f t="shared" si="31"/>
        <v>普通</v>
      </c>
      <c r="AL309" s="14" t="str">
        <f ca="1">INDEX(経験値!$A$1:$I$20,MATCH(H309,経験値!$A$1:$A$20,FALSE),MATCH(G309,経験値!$A$1:$I$1,FALSE))</f>
        <v>required_exp_200</v>
      </c>
      <c r="AM309" s="11">
        <f ca="1">VLOOKUP(G309,経験値!$A$27:$B$31,2)</f>
        <v>3400</v>
      </c>
      <c r="AN309" s="21">
        <f ca="1">VLOOKUP(G309,ビット!$G$2:$H$7,2)</f>
        <v>600</v>
      </c>
      <c r="AO309" s="98" t="s">
        <v>186</v>
      </c>
      <c r="AP309" s="4">
        <v>530009</v>
      </c>
      <c r="AQ309" s="77" t="e">
        <f ca="1">VLOOKUP($AP309,OFFSET([1]unit_skills!$A$1,0,0,COUNTA([1]unit_skills!$A:$A),MATCH("name",[1]unit_skills!$1:$1,0)-MATCH($AP$1,[1]unit_skills!$1:$1,0)+1),MATCH("name",[1]unit_skills!$1:$1,0)-MATCH($AP$1,[1]unit_skills!$1:$1,0)+1,FALSE)</f>
        <v>#VALUE!</v>
      </c>
      <c r="AR309" s="77" t="e">
        <f ca="1">VLOOKUP($AP309,OFFSET([1]unit_skills!$A$1,0,0,COUNTA([1]unit_skills!$A:$A),MATCH("comment",[1]unit_skills!$1:$1,0)-MATCH($AP$1,[1]unit_skills!$1:$1,0)+1),MATCH("comment",[1]unit_skills!$1:$1,0)-MATCH($AP$1,[1]unit_skills!$1:$1,0)+1,FALSE)</f>
        <v>#VALUE!</v>
      </c>
      <c r="AS309" s="77" t="e">
        <f ca="1">VLOOKUP($AP309,OFFSET([1]unit_skills!$A$1,0,0,COUNTA([1]unit_skills!$A:$A),MATCH(AS$1,[1]unit_skills!$1:$1,0)-MATCH($AP$1,[1]unit_skills!$1:$1,0)+1),MATCH(AS$1,[1]unit_skills!$1:$1,0)-MATCH($AP$1,[1]unit_skills!$1:$1,0)+1,FALSE)</f>
        <v>#VALUE!</v>
      </c>
      <c r="AT309" s="53">
        <v>193103</v>
      </c>
      <c r="AU309" s="77" t="e">
        <f ca="1">VLOOKUP($AT309,OFFSET([1]crash_skills!$A$1,0,0,COUNTA([1]crash_skills!$A:$A),MATCH("name",[1]crash_skills!$1:$1,0)-MATCH($AT$1,[1]crash_skills!$1:$1,0)+1),MATCH("name",[1]crash_skills!$1:$1,0)-MATCH($AT$1,[1]crash_skills!$1:$1,0)+1,FALSE)</f>
        <v>#VALUE!</v>
      </c>
      <c r="AV309" s="77" t="e">
        <f ca="1">VLOOKUP($AT309,OFFSET([1]crash_skills!$A$1,0,0,COUNTA([1]crash_skills!$A:$A),MATCH("comment",[1]crash_skills!$1:$1,0)-MATCH($AT$1,[1]crash_skills!$1:$1,0)+1),MATCH("comment",[1]crash_skills!$1:$1,0)-MATCH($AT$1,[1]crash_skills!$1:$1,0)+1,FALSE)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09" s="77" t="e">
        <f ca="1">VLOOKUP($AT309,OFFSET([1]crash_skills!$A$1,0,0,COUNTA([1]crash_skills!$A:$A),MATCH(AW$1,[1]crash_skills!$1:$1,0)-MATCH($AT$1,[1]crash_skills!$1:$1,0)+1),MATCH(AW$1,[1]crash_skills!$1:$1,0)-MATCH($AT$1,[1]crash_skills!$1:$1,0)+1,FALSE)</f>
        <v>#VALUE!</v>
      </c>
      <c r="AX309" s="81">
        <f ca="1">VLOOKUP($A309,OFFSET([2]characters!$A$1,0,0,COUNTA([2]characters!$A:$A),MATCH(AX$1,[2]characters!$1:$1,0)-MATCH($A$1,[2]characters!$1:$1,0)+1),MATCH(AX$1,[2]characters!$1:$1,0)-MATCH($A$1,[2]characters!$1:$1,0)+1,FALSE)</f>
        <v>3</v>
      </c>
      <c r="AY309" s="19">
        <v>1</v>
      </c>
      <c r="AZ309" s="19">
        <v>1</v>
      </c>
      <c r="BA309" s="19">
        <v>0</v>
      </c>
      <c r="BB309" s="19">
        <v>1</v>
      </c>
      <c r="BC309" s="14">
        <f ca="1">INDEX('RC6SV'!$A$1:$G$20,MATCH(H309,'RC6SV'!$A$1:$A$20,FALSE),MATCH(G309,'RC6SV'!$A$1:$G$1,FALSE))</f>
        <v>5800</v>
      </c>
      <c r="BD309" s="63">
        <f t="shared" ca="1" si="32"/>
        <v>5800</v>
      </c>
      <c r="BE309" s="14">
        <f t="shared" ca="1" si="33"/>
        <v>0</v>
      </c>
      <c r="BF309" s="14">
        <f t="shared" ca="1" si="34"/>
        <v>1</v>
      </c>
      <c r="BG309" s="20">
        <f ca="1">IF($BE309&lt;=0,ROUND(BK309*0.5,0), ROUND($BE309*S309*AA309*J309*AY309*0.8*[2]ステータス!$B$2,0))</f>
        <v>2145</v>
      </c>
      <c r="BH309" s="20">
        <f ca="1">IF($BE309&lt;=0,ROUND(BL309*0.5,0), ROUND($BE309*T309*AB309*K309*AZ309*0.8*[2]ステータス!$C$2,0))</f>
        <v>797</v>
      </c>
      <c r="BI309" s="20">
        <f ca="1">IF($BE309&lt;=0,ROUND(BM309*0.5,0), ROUND($BE309*U309*AC309*L309*BA309*0.8*[2]ステータス!$D$2,0))</f>
        <v>0</v>
      </c>
      <c r="BJ309" s="20">
        <f ca="1">IF($BE309&lt;=0,ROUND(BN309*0.5,0), ROUND($BE309*V309*AD309*M309*BB309*0.8*[2]ステータス!$E$2,0))</f>
        <v>457</v>
      </c>
      <c r="BK309" s="14">
        <f ca="1">ROUND(BD309*S309*AA309*J309*AY309*[2]ステータス!$B$2,0)</f>
        <v>4289</v>
      </c>
      <c r="BL309" s="14">
        <f ca="1">ROUND(BD309*T309*AB309*K309*AZ309*[2]ステータス!$C$2,0)</f>
        <v>1594</v>
      </c>
      <c r="BM309" s="14">
        <f ca="1">ROUND(BD309*U309*AC309*L309*BA309*[2]ステータス!$D$2,0)</f>
        <v>0</v>
      </c>
      <c r="BN309" s="14">
        <f ca="1">ROUND(BD309*V309*AD309*M309*BB309*[2]ステータス!$E$2,0)</f>
        <v>914</v>
      </c>
      <c r="BO309" s="13">
        <v>0</v>
      </c>
      <c r="BP309" s="13">
        <v>1</v>
      </c>
      <c r="BQ309" s="13" t="s">
        <v>102</v>
      </c>
      <c r="BR309" s="13">
        <f ca="1">VLOOKUP(H309,ghosts_label!$A$2:$B$19,2,FALSE)</f>
        <v>1</v>
      </c>
    </row>
    <row r="310" spans="1:70" ht="21" customHeight="1" x14ac:dyDescent="0.15">
      <c r="A310" s="14">
        <f t="shared" ca="1" si="29"/>
        <v>309</v>
      </c>
      <c r="B310" s="77" t="str">
        <f ca="1">VLOOKUP($A310,OFFSET([2]characters!$A$1,0,0,COUNTA([2]characters!$A:$A),MATCH(B$1,[2]characters!$1:$1,0)-MATCH($A$1,[2]characters!$1:$1,0)+1),MATCH(B$1,[2]characters!$1:$1,0)-MATCH($A$1,[2]characters!$1:$1,0)+1,FALSE)</f>
        <v>古の博学 アーケロン</v>
      </c>
      <c r="C310" s="77" t="str">
        <f ca="1">VLOOKUP($A310,OFFSET([2]characters!$A$1,0,0,COUNTA([2]characters!$A:$A),MATCH(C$1,[2]characters!$1:$1,0)-MATCH($A$1,[2]characters!$1:$1,0)+1),MATCH(C$1,[2]characters!$1:$1,0)-MATCH($A$1,[2]characters!$1:$1,0)+1,FALSE)</f>
        <v>イベント:深海生物01</v>
      </c>
      <c r="D310" s="77" t="str">
        <f ca="1">VLOOKUP($A310,OFFSET([2]characters!$A$1,0,0,COUNTA([2]characters!$A:$A),MATCH(D$1,[2]characters!$1:$1,0)-MATCH($A$1,[2]characters!$1:$1,0)+1),MATCH(D$1,[2]characters!$1:$1,0)-MATCH($A$1,[2]characters!$1:$1,0)+1,FALSE)</f>
        <v>アバター</v>
      </c>
      <c r="E310" s="77" t="str">
        <f ca="1">VLOOKUP($A310,OFFSET([2]characters!$A$1,0,0,COUNTA([2]characters!$A:$A),MATCH(E$1,[2]characters!$1:$1,0)-MATCH($A$1,[2]characters!$1:$1,0)+1),MATCH(E$1,[2]characters!$1:$1,0)-MATCH($A$1,[2]characters!$1:$1,0)+1,FALSE)</f>
        <v>可愛い</v>
      </c>
      <c r="F310" s="77" t="str">
        <f ca="1">VLOOKUP($A310,OFFSET([2]characters!$A$1,0,0,COUNTA([2]characters!$A:$A),MATCH(F$1,[2]characters!$1:$1,0)-MATCH($A$1,[2]characters!$1:$1,0)+1),MATCH(F$1,[2]characters!$1:$1,0)-MATCH($A$1,[2]characters!$1:$1,0)+1,FALSE)</f>
        <v>女性</v>
      </c>
      <c r="G310" s="77">
        <f ca="1">VLOOKUP($A310,OFFSET([2]characters!$A$1,0,0,COUNTA([2]characters!$A:$A),MATCH(G$1,[2]characters!$1:$1,0)-MATCH($A$1,[2]characters!$1:$1,0)+1),MATCH(G$1,[2]characters!$1:$1,0)-MATCH($A$1,[2]characters!$1:$1,0)+1,FALSE)</f>
        <v>5</v>
      </c>
      <c r="H310" s="77" t="str">
        <f ca="1">VLOOKUP($A310,OFFSET([2]characters!$A$1,0,0,COUNTA([2]characters!$A:$A),MATCH(H$1,[2]characters!$1:$1,0)-MATCH($A$1,[2]characters!$1:$1,0)+1),MATCH(H$1,[2]characters!$1:$1,0)-MATCH($A$1,[2]characters!$1:$1,0)+1,FALSE)</f>
        <v>Drop2N</v>
      </c>
      <c r="I310" s="77" t="str">
        <f ca="1">VLOOKUP($A310,OFFSET([2]characters!$A$1,0,0,COUNTA([2]characters!$A:$A),MATCH(I$1,[2]characters!$1:$1,0)-MATCH($A$1,[2]characters!$1:$1,0)+1),MATCH(I$1,[2]characters!$1:$1,0)-MATCH($A$1,[2]characters!$1:$1,0)+1,FALSE)</f>
        <v>green</v>
      </c>
      <c r="J310" s="14">
        <f ca="1">VLOOKUP(I310,[2]属性!$A:$E,2,FALSE)</f>
        <v>1.02</v>
      </c>
      <c r="K310" s="14">
        <f ca="1">VLOOKUP(I310,[2]属性!$A:$E,3,FALSE)</f>
        <v>0.98</v>
      </c>
      <c r="L310" s="14">
        <f ca="1">VLOOKUP(I310,[2]属性!$A:$E,4,FALSE)</f>
        <v>1</v>
      </c>
      <c r="M310" s="14">
        <f ca="1">VLOOKUP(I310,[2]属性!$A:$E,5,FALSE)</f>
        <v>1</v>
      </c>
      <c r="N310" s="14">
        <f ca="1">INDEX(コスト!$A$1:$I$20,MATCH(H310,コスト!$A$1:$A$20,FALSE),MATCH(G310,コスト!$A$1:$I$1,FALSE))</f>
        <v>26</v>
      </c>
      <c r="O310" s="14">
        <f ca="1">INDEX(レベル!$A$1:$I$21,MATCH(H310,レベル!$A$1:$A$21,FALSE),MATCH(G310,レベル!$A$1:$I$1,FALSE))</f>
        <v>80</v>
      </c>
      <c r="P310" s="63">
        <f t="shared" ca="1" si="35"/>
        <v>75</v>
      </c>
      <c r="Q310" s="77" t="str">
        <f ca="1">VLOOKUP($A310,OFFSET([2]characters!$A$1,0,0,COUNTA([2]characters!$A:$A),MATCH(Q$1,[2]characters!$1:$1,0)-MATCH($A$1,[2]characters!$1:$1,0)+1),MATCH(Q$1,[2]characters!$1:$1,0)-MATCH($A$1,[2]characters!$1:$1,0)+1,FALSE)</f>
        <v>hp</v>
      </c>
      <c r="R310" s="8" t="str">
        <f ca="1">VLOOKUP(Q310,[2]character_type_i18n!$A:$H,3,FALSE)</f>
        <v>体力タイプ</v>
      </c>
      <c r="S310" s="14">
        <f ca="1">VLOOKUP(Q310,[2]character_type_i18n!$A:$H,4,FALSE)</f>
        <v>1.45</v>
      </c>
      <c r="T310" s="14">
        <f ca="1">VLOOKUP(Q310,[2]character_type_i18n!$A:$H,5,FALSE)</f>
        <v>0.85</v>
      </c>
      <c r="U310" s="14">
        <f ca="1">VLOOKUP(Q310,[2]character_type_i18n!$A:$H,6,FALSE)</f>
        <v>1</v>
      </c>
      <c r="V310" s="14">
        <f ca="1">VLOOKUP(Q310,[2]character_type_i18n!$A:$H,7,FALSE)</f>
        <v>0.7</v>
      </c>
      <c r="W310" s="77" t="str">
        <f ca="1">VLOOKUP($A310,OFFSET([2]characters!$A$1,0,0,COUNTA([2]characters!$A:$A),MATCH(W$1,[2]characters!$1:$1,0)-MATCH($A$1,[2]characters!$1:$1,0)+1),MATCH(W$1,[2]characters!$1:$1,0)-MATCH($A$1,[2]characters!$1:$1,0)+1,FALSE)</f>
        <v>animal</v>
      </c>
      <c r="X310" s="8" t="str">
        <f ca="1">VLOOKUP(W310,[2]character_tribe_i18n!$A:$H,3,FALSE)</f>
        <v>アニマル</v>
      </c>
      <c r="Y310" s="77" t="str">
        <f ca="1">VLOOKUP($A310,OFFSET([2]characters!$A$1,0,0,COUNTA([2]characters!$A:$A),MATCH(Y$1,[2]characters!$1:$1,0)-MATCH($A$1,[2]characters!$1:$1,0)+1),MATCH(Y$1,[2]characters!$1:$1,0)-MATCH($A$1,[2]characters!$1:$1,0)+1,FALSE)</f>
        <v>none</v>
      </c>
      <c r="Z310" s="8" t="str">
        <f ca="1">VLOOKUP(Y310,[2]character_tribe_i18n!$A:$H,3,FALSE)</f>
        <v>種族なし</v>
      </c>
      <c r="AA310" s="14">
        <f ca="1">VLOOKUP(W310,[2]character_tribe_i18n!$A:$H,4,FALSE)</f>
        <v>1</v>
      </c>
      <c r="AB310" s="14">
        <f ca="1">VLOOKUP(W310,[2]character_tribe_i18n!$A:$H,5,FALSE)</f>
        <v>1.1000000000000001</v>
      </c>
      <c r="AC310" s="14">
        <f ca="1">VLOOKUP(W310,[2]character_tribe_i18n!$A:$H,6,FALSE)</f>
        <v>1</v>
      </c>
      <c r="AD310" s="14">
        <f ca="1">VLOOKUP(W310,[2]character_tribe_i18n!$A:$H,7,FALSE)</f>
        <v>0.9</v>
      </c>
      <c r="AE310" s="12" t="s">
        <v>102</v>
      </c>
      <c r="AF310" s="85" t="str">
        <f ca="1">IF(AE310="NULL","",VLOOKUP($AE310,OFFSET([2]characters!$A$1,0,0,COUNTA([2]characters!$A:$A),MATCH(AF$1,[2]characters!$1:$1,0)-MATCH($A$1,[2]characters!$1:$1,0)+1),MATCH(AF$1,[2]characters!$1:$1,0)-MATCH($A$1,[2]characters!$1:$1,0)+1,FALSE))</f>
        <v/>
      </c>
      <c r="AG310" s="8">
        <f t="shared" ca="1" si="30"/>
        <v>308</v>
      </c>
      <c r="AH310" s="85" t="str">
        <f ca="1">VLOOKUP($AG310,OFFSET([2]characters!$A$1,0,0,COUNTA([2]characters!$A:$A),MATCH(AH$1,[2]characters!$1:$1,0)-MATCH($A$1,[2]characters!$1:$1,0)+1),MATCH(AH$1,[2]characters!$1:$1,0)-MATCH($A$1,[2]characters!$1:$1,0)+1,FALSE)</f>
        <v>アーケロン</v>
      </c>
      <c r="AI310" s="14" t="str">
        <f>IF(AE310="NULL","NULL",VLOOKUP(G310,ビット!$A$2:$B$7,2))</f>
        <v>NULL</v>
      </c>
      <c r="AJ310" s="9">
        <v>2</v>
      </c>
      <c r="AK310" s="10" t="str">
        <f t="shared" si="31"/>
        <v>普通</v>
      </c>
      <c r="AL310" s="14" t="str">
        <f ca="1">INDEX(経験値!$A$1:$I$20,MATCH(H310,経験値!$A$1:$A$20,FALSE),MATCH(G310,経験値!$A$1:$I$1,FALSE))</f>
        <v>required_exp_200</v>
      </c>
      <c r="AM310" s="11">
        <f ca="1">VLOOKUP(G310,経験値!$A$27:$B$31,2)</f>
        <v>6400</v>
      </c>
      <c r="AN310" s="21">
        <f ca="1">VLOOKUP(G310,ビット!$G$2:$H$7,2)</f>
        <v>900</v>
      </c>
      <c r="AO310" s="98" t="s">
        <v>186</v>
      </c>
      <c r="AP310" s="4">
        <v>530009</v>
      </c>
      <c r="AQ310" s="77" t="e">
        <f ca="1">VLOOKUP($AP310,OFFSET([1]unit_skills!$A$1,0,0,COUNTA([1]unit_skills!$A:$A),MATCH("name",[1]unit_skills!$1:$1,0)-MATCH($AP$1,[1]unit_skills!$1:$1,0)+1),MATCH("name",[1]unit_skills!$1:$1,0)-MATCH($AP$1,[1]unit_skills!$1:$1,0)+1,FALSE)</f>
        <v>#VALUE!</v>
      </c>
      <c r="AR310" s="77" t="e">
        <f ca="1">VLOOKUP($AP310,OFFSET([1]unit_skills!$A$1,0,0,COUNTA([1]unit_skills!$A:$A),MATCH("comment",[1]unit_skills!$1:$1,0)-MATCH($AP$1,[1]unit_skills!$1:$1,0)+1),MATCH("comment",[1]unit_skills!$1:$1,0)-MATCH($AP$1,[1]unit_skills!$1:$1,0)+1,FALSE)</f>
        <v>#VALUE!</v>
      </c>
      <c r="AS310" s="77" t="e">
        <f ca="1">VLOOKUP($AP310,OFFSET([1]unit_skills!$A$1,0,0,COUNTA([1]unit_skills!$A:$A),MATCH(AS$1,[1]unit_skills!$1:$1,0)-MATCH($AP$1,[1]unit_skills!$1:$1,0)+1),MATCH(AS$1,[1]unit_skills!$1:$1,0)-MATCH($AP$1,[1]unit_skills!$1:$1,0)+1,FALSE)</f>
        <v>#VALUE!</v>
      </c>
      <c r="AT310" s="53">
        <v>193102</v>
      </c>
      <c r="AU310" s="77" t="e">
        <f ca="1">VLOOKUP($AT310,OFFSET([1]crash_skills!$A$1,0,0,COUNTA([1]crash_skills!$A:$A),MATCH("name",[1]crash_skills!$1:$1,0)-MATCH($AT$1,[1]crash_skills!$1:$1,0)+1),MATCH("name",[1]crash_skills!$1:$1,0)-MATCH($AT$1,[1]crash_skills!$1:$1,0)+1,FALSE)</f>
        <v>#VALUE!</v>
      </c>
      <c r="AV310" s="77" t="e">
        <f ca="1">VLOOKUP($AT310,OFFSET([1]crash_skills!$A$1,0,0,COUNTA([1]crash_skills!$A:$A),MATCH("comment",[1]crash_skills!$1:$1,0)-MATCH($AT$1,[1]crash_skills!$1:$1,0)+1),MATCH("comment",[1]crash_skills!$1:$1,0)-MATCH($AT$1,[1]crash_skills!$1:$1,0)+1,FALSE)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10" s="77" t="e">
        <f ca="1">VLOOKUP($AT310,OFFSET([1]crash_skills!$A$1,0,0,COUNTA([1]crash_skills!$A:$A),MATCH(AW$1,[1]crash_skills!$1:$1,0)-MATCH($AT$1,[1]crash_skills!$1:$1,0)+1),MATCH(AW$1,[1]crash_skills!$1:$1,0)-MATCH($AT$1,[1]crash_skills!$1:$1,0)+1,FALSE)</f>
        <v>#VALUE!</v>
      </c>
      <c r="AX310" s="81">
        <f ca="1">VLOOKUP($A310,OFFSET([2]characters!$A$1,0,0,COUNTA([2]characters!$A:$A),MATCH(AX$1,[2]characters!$1:$1,0)-MATCH($A$1,[2]characters!$1:$1,0)+1),MATCH(AX$1,[2]characters!$1:$1,0)-MATCH($A$1,[2]characters!$1:$1,0)+1,FALSE)</f>
        <v>3</v>
      </c>
      <c r="AY310" s="19">
        <v>1</v>
      </c>
      <c r="AZ310" s="19">
        <v>1</v>
      </c>
      <c r="BA310" s="19">
        <v>0</v>
      </c>
      <c r="BB310" s="19">
        <v>1</v>
      </c>
      <c r="BC310" s="14">
        <f ca="1">INDEX('RC6SV'!$A$1:$G$20,MATCH(H310,'RC6SV'!$A$1:$A$20,FALSE),MATCH(G310,'RC6SV'!$A$1:$G$1,FALSE))</f>
        <v>7600</v>
      </c>
      <c r="BD310" s="63">
        <f t="shared" ca="1" si="32"/>
        <v>7600</v>
      </c>
      <c r="BE310" s="14">
        <f t="shared" ca="1" si="33"/>
        <v>5800</v>
      </c>
      <c r="BF310" s="14">
        <f t="shared" ca="1" si="34"/>
        <v>1</v>
      </c>
      <c r="BG310" s="20">
        <f ca="1">IF($BE310&lt;=0,ROUND(BK310*0.5,0), ROUND($BE310*S310*AA310*J310*AY310*0.8*[2]ステータス!$B$2,0))</f>
        <v>3431</v>
      </c>
      <c r="BH310" s="20">
        <f ca="1">IF($BE310&lt;=0,ROUND(BL310*0.5,0), ROUND($BE310*T310*AB310*K310*AZ310*0.8*[2]ステータス!$C$2,0))</f>
        <v>1275</v>
      </c>
      <c r="BI310" s="20">
        <f ca="1">IF($BE310&lt;=0,ROUND(BM310*0.5,0), ROUND($BE310*U310*AC310*L310*BA310*0.8*[2]ステータス!$D$2,0))</f>
        <v>0</v>
      </c>
      <c r="BJ310" s="20">
        <f ca="1">IF($BE310&lt;=0,ROUND(BN310*0.5,0), ROUND($BE310*V310*AD310*M310*BB310*0.8*[2]ステータス!$E$2,0))</f>
        <v>731</v>
      </c>
      <c r="BK310" s="14">
        <f ca="1">ROUND(BD310*S310*AA310*J310*AY310*[2]ステータス!$B$2,0)</f>
        <v>5620</v>
      </c>
      <c r="BL310" s="14">
        <f ca="1">ROUND(BD310*T310*AB310*K310*AZ310*[2]ステータス!$C$2,0)</f>
        <v>2089</v>
      </c>
      <c r="BM310" s="14">
        <f ca="1">ROUND(BD310*U310*AC310*L310*BA310*[2]ステータス!$D$2,0)</f>
        <v>0</v>
      </c>
      <c r="BN310" s="14">
        <f ca="1">ROUND(BD310*V310*AD310*M310*BB310*[2]ステータス!$E$2,0)</f>
        <v>1197</v>
      </c>
      <c r="BO310" s="13">
        <v>0</v>
      </c>
      <c r="BP310" s="13">
        <v>1</v>
      </c>
      <c r="BQ310" s="13" t="s">
        <v>102</v>
      </c>
      <c r="BR310" s="13">
        <f ca="1">VLOOKUP(H310,ghosts_label!$A$2:$B$19,2,FALSE)</f>
        <v>1</v>
      </c>
    </row>
    <row r="311" spans="1:70" ht="21" customHeight="1" x14ac:dyDescent="0.15">
      <c r="A311" s="14">
        <f t="shared" ca="1" si="29"/>
        <v>310</v>
      </c>
      <c r="B311" s="77" t="str">
        <f ca="1">VLOOKUP($A311,OFFSET([2]characters!$A$1,0,0,COUNTA([2]characters!$A:$A),MATCH(B$1,[2]characters!$1:$1,0)-MATCH($A$1,[2]characters!$1:$1,0)+1),MATCH(B$1,[2]characters!$1:$1,0)-MATCH($A$1,[2]characters!$1:$1,0)+1,FALSE)</f>
        <v>リードシクティス</v>
      </c>
      <c r="C311" s="77" t="str">
        <f ca="1">VLOOKUP($A311,OFFSET([2]characters!$A$1,0,0,COUNTA([2]characters!$A:$A),MATCH(C$1,[2]characters!$1:$1,0)-MATCH($A$1,[2]characters!$1:$1,0)+1),MATCH(C$1,[2]characters!$1:$1,0)-MATCH($A$1,[2]characters!$1:$1,0)+1,FALSE)</f>
        <v>イベント:深海生物01</v>
      </c>
      <c r="D311" s="77" t="str">
        <f ca="1">VLOOKUP($A311,OFFSET([2]characters!$A$1,0,0,COUNTA([2]characters!$A:$A),MATCH(D$1,[2]characters!$1:$1,0)-MATCH($A$1,[2]characters!$1:$1,0)+1),MATCH(D$1,[2]characters!$1:$1,0)-MATCH($A$1,[2]characters!$1:$1,0)+1,FALSE)</f>
        <v>アバター</v>
      </c>
      <c r="E311" s="77" t="str">
        <f ca="1">VLOOKUP($A311,OFFSET([2]characters!$A$1,0,0,COUNTA([2]characters!$A:$A),MATCH(E$1,[2]characters!$1:$1,0)-MATCH($A$1,[2]characters!$1:$1,0)+1),MATCH(E$1,[2]characters!$1:$1,0)-MATCH($A$1,[2]characters!$1:$1,0)+1,FALSE)</f>
        <v>美しい</v>
      </c>
      <c r="F311" s="77" t="str">
        <f ca="1">VLOOKUP($A311,OFFSET([2]characters!$A$1,0,0,COUNTA([2]characters!$A:$A),MATCH(F$1,[2]characters!$1:$1,0)-MATCH($A$1,[2]characters!$1:$1,0)+1),MATCH(F$1,[2]characters!$1:$1,0)-MATCH($A$1,[2]characters!$1:$1,0)+1,FALSE)</f>
        <v>女性</v>
      </c>
      <c r="G311" s="77">
        <f ca="1">VLOOKUP($A311,OFFSET([2]characters!$A$1,0,0,COUNTA([2]characters!$A:$A),MATCH(G$1,[2]characters!$1:$1,0)-MATCH($A$1,[2]characters!$1:$1,0)+1),MATCH(G$1,[2]characters!$1:$1,0)-MATCH($A$1,[2]characters!$1:$1,0)+1,FALSE)</f>
        <v>4</v>
      </c>
      <c r="H311" s="77" t="str">
        <f ca="1">VLOOKUP($A311,OFFSET([2]characters!$A$1,0,0,COUNTA([2]characters!$A:$A),MATCH(H$1,[2]characters!$1:$1,0)-MATCH($A$1,[2]characters!$1:$1,0)+1),MATCH(H$1,[2]characters!$1:$1,0)-MATCH($A$1,[2]characters!$1:$1,0)+1,FALSE)</f>
        <v>Drop2N</v>
      </c>
      <c r="I311" s="77" t="str">
        <f ca="1">VLOOKUP($A311,OFFSET([2]characters!$A$1,0,0,COUNTA([2]characters!$A:$A),MATCH(I$1,[2]characters!$1:$1,0)-MATCH($A$1,[2]characters!$1:$1,0)+1),MATCH(I$1,[2]characters!$1:$1,0)-MATCH($A$1,[2]characters!$1:$1,0)+1,FALSE)</f>
        <v>blue</v>
      </c>
      <c r="J311" s="14">
        <f ca="1">VLOOKUP(I311,[2]属性!$A:$E,2,FALSE)</f>
        <v>1</v>
      </c>
      <c r="K311" s="14">
        <f ca="1">VLOOKUP(I311,[2]属性!$A:$E,3,FALSE)</f>
        <v>0.98</v>
      </c>
      <c r="L311" s="14">
        <f ca="1">VLOOKUP(I311,[2]属性!$A:$E,4,FALSE)</f>
        <v>1</v>
      </c>
      <c r="M311" s="14">
        <f ca="1">VLOOKUP(I311,[2]属性!$A:$E,5,FALSE)</f>
        <v>1.02</v>
      </c>
      <c r="N311" s="14">
        <f ca="1">INDEX(コスト!$A$1:$I$20,MATCH(H311,コスト!$A$1:$A$20,FALSE),MATCH(G311,コスト!$A$1:$I$1,FALSE))</f>
        <v>17</v>
      </c>
      <c r="O311" s="14">
        <f ca="1">INDEX(レベル!$A$1:$I$21,MATCH(H311,レベル!$A$1:$A$21,FALSE),MATCH(G311,レベル!$A$1:$I$1,FALSE))</f>
        <v>60</v>
      </c>
      <c r="P311" s="63">
        <f t="shared" ca="1" si="35"/>
        <v>60</v>
      </c>
      <c r="Q311" s="77" t="str">
        <f ca="1">VLOOKUP($A311,OFFSET([2]characters!$A$1,0,0,COUNTA([2]characters!$A:$A),MATCH(Q$1,[2]characters!$1:$1,0)-MATCH($A$1,[2]characters!$1:$1,0)+1),MATCH(Q$1,[2]characters!$1:$1,0)-MATCH($A$1,[2]characters!$1:$1,0)+1,FALSE)</f>
        <v>heal</v>
      </c>
      <c r="R311" s="8" t="str">
        <f ca="1">VLOOKUP(Q311,[2]character_type_i18n!$A:$H,3,FALSE)</f>
        <v>回復タイプ</v>
      </c>
      <c r="S311" s="14">
        <f ca="1">VLOOKUP(Q311,[2]character_type_i18n!$A:$H,4,FALSE)</f>
        <v>0.8</v>
      </c>
      <c r="T311" s="14">
        <f ca="1">VLOOKUP(Q311,[2]character_type_i18n!$A:$H,5,FALSE)</f>
        <v>0.78</v>
      </c>
      <c r="U311" s="14">
        <f ca="1">VLOOKUP(Q311,[2]character_type_i18n!$A:$H,6,FALSE)</f>
        <v>1</v>
      </c>
      <c r="V311" s="14">
        <f ca="1">VLOOKUP(Q311,[2]character_type_i18n!$A:$H,7,FALSE)</f>
        <v>1.42</v>
      </c>
      <c r="W311" s="77" t="str">
        <f ca="1">VLOOKUP($A311,OFFSET([2]characters!$A$1,0,0,COUNTA([2]characters!$A:$A),MATCH(W$1,[2]characters!$1:$1,0)-MATCH($A$1,[2]characters!$1:$1,0)+1),MATCH(W$1,[2]characters!$1:$1,0)-MATCH($A$1,[2]characters!$1:$1,0)+1,FALSE)</f>
        <v>animal</v>
      </c>
      <c r="X311" s="8" t="str">
        <f ca="1">VLOOKUP(W311,[2]character_tribe_i18n!$A:$H,3,FALSE)</f>
        <v>アニマル</v>
      </c>
      <c r="Y311" s="77" t="str">
        <f ca="1">VLOOKUP($A311,OFFSET([2]characters!$A$1,0,0,COUNTA([2]characters!$A:$A),MATCH(Y$1,[2]characters!$1:$1,0)-MATCH($A$1,[2]characters!$1:$1,0)+1),MATCH(Y$1,[2]characters!$1:$1,0)-MATCH($A$1,[2]characters!$1:$1,0)+1,FALSE)</f>
        <v>none</v>
      </c>
      <c r="Z311" s="8" t="str">
        <f ca="1">VLOOKUP(Y311,[2]character_tribe_i18n!$A:$H,3,FALSE)</f>
        <v>種族なし</v>
      </c>
      <c r="AA311" s="14">
        <f ca="1">VLOOKUP(W311,[2]character_tribe_i18n!$A:$H,4,FALSE)</f>
        <v>1</v>
      </c>
      <c r="AB311" s="14">
        <f ca="1">VLOOKUP(W311,[2]character_tribe_i18n!$A:$H,5,FALSE)</f>
        <v>1.1000000000000001</v>
      </c>
      <c r="AC311" s="14">
        <f ca="1">VLOOKUP(W311,[2]character_tribe_i18n!$A:$H,6,FALSE)</f>
        <v>1</v>
      </c>
      <c r="AD311" s="14">
        <f ca="1">VLOOKUP(W311,[2]character_tribe_i18n!$A:$H,7,FALSE)</f>
        <v>0.9</v>
      </c>
      <c r="AE311" s="12">
        <v>311</v>
      </c>
      <c r="AF311" s="85" t="str">
        <f ca="1">IF(AE311="NULL","",VLOOKUP($AE311,OFFSET([2]characters!$A$1,0,0,COUNTA([2]characters!$A:$A),MATCH(AF$1,[2]characters!$1:$1,0)-MATCH($A$1,[2]characters!$1:$1,0)+1),MATCH(AF$1,[2]characters!$1:$1,0)-MATCH($A$1,[2]characters!$1:$1,0)+1,FALSE))</f>
        <v>古の暴食 リードシクティス</v>
      </c>
      <c r="AG311" s="8">
        <f t="shared" ca="1" si="30"/>
        <v>310</v>
      </c>
      <c r="AH311" s="85" t="str">
        <f ca="1">VLOOKUP($AG311,OFFSET([2]characters!$A$1,0,0,COUNTA([2]characters!$A:$A),MATCH(AH$1,[2]characters!$1:$1,0)-MATCH($A$1,[2]characters!$1:$1,0)+1),MATCH(AH$1,[2]characters!$1:$1,0)-MATCH($A$1,[2]characters!$1:$1,0)+1,FALSE)</f>
        <v>リードシクティス</v>
      </c>
      <c r="AI311" s="14">
        <f ca="1">IF(AE311="NULL","NULL",VLOOKUP(G311,ビット!$A$2:$B$7,2))</f>
        <v>50000</v>
      </c>
      <c r="AJ311" s="9">
        <v>2</v>
      </c>
      <c r="AK311" s="10" t="str">
        <f t="shared" si="31"/>
        <v>普通</v>
      </c>
      <c r="AL311" s="14" t="str">
        <f ca="1">INDEX(経験値!$A$1:$I$20,MATCH(H311,経験値!$A$1:$A$20,FALSE),MATCH(G311,経験値!$A$1:$I$1,FALSE))</f>
        <v>required_exp_200</v>
      </c>
      <c r="AM311" s="11">
        <f ca="1">VLOOKUP(G311,経験値!$A$27:$B$31,2)</f>
        <v>3400</v>
      </c>
      <c r="AN311" s="21">
        <f ca="1">VLOOKUP(G311,ビット!$G$2:$H$7,2)</f>
        <v>600</v>
      </c>
      <c r="AO311" s="98" t="s">
        <v>178</v>
      </c>
      <c r="AP311" s="158">
        <v>633005</v>
      </c>
      <c r="AQ311" s="77" t="e">
        <f ca="1">VLOOKUP($AP311,OFFSET([1]unit_skills!$A$1,0,0,COUNTA([1]unit_skills!$A:$A),MATCH("name",[1]unit_skills!$1:$1,0)-MATCH($AP$1,[1]unit_skills!$1:$1,0)+1),MATCH("name",[1]unit_skills!$1:$1,0)-MATCH($AP$1,[1]unit_skills!$1:$1,0)+1,FALSE)</f>
        <v>#VALUE!</v>
      </c>
      <c r="AR311" s="77" t="e">
        <f ca="1">VLOOKUP($AP311,OFFSET([1]unit_skills!$A$1,0,0,COUNTA([1]unit_skills!$A:$A),MATCH("comment",[1]unit_skills!$1:$1,0)-MATCH($AP$1,[1]unit_skills!$1:$1,0)+1),MATCH("comment",[1]unit_skills!$1:$1,0)-MATCH($AP$1,[1]unit_skills!$1:$1,0)+1,FALSE)</f>
        <v>#VALUE!</v>
      </c>
      <c r="AS311" s="77" t="e">
        <f ca="1">VLOOKUP($AP311,OFFSET([1]unit_skills!$A$1,0,0,COUNTA([1]unit_skills!$A:$A),MATCH(AS$1,[1]unit_skills!$1:$1,0)-MATCH($AP$1,[1]unit_skills!$1:$1,0)+1),MATCH(AS$1,[1]unit_skills!$1:$1,0)-MATCH($AP$1,[1]unit_skills!$1:$1,0)+1,FALSE)</f>
        <v>#VALUE!</v>
      </c>
      <c r="AT311" s="53">
        <v>173207</v>
      </c>
      <c r="AU311" s="77" t="e">
        <f ca="1">VLOOKUP($AT311,OFFSET([1]crash_skills!$A$1,0,0,COUNTA([1]crash_skills!$A:$A),MATCH("name",[1]crash_skills!$1:$1,0)-MATCH($AT$1,[1]crash_skills!$1:$1,0)+1),MATCH("name",[1]crash_skills!$1:$1,0)-MATCH($AT$1,[1]crash_skills!$1:$1,0)+1,FALSE)</f>
        <v>#VALUE!</v>
      </c>
      <c r="AV311" s="77" t="e">
        <f ca="1">VLOOKUP($AT311,OFFSET([1]crash_skills!$A$1,0,0,COUNTA([1]crash_skills!$A:$A),MATCH("comment",[1]crash_skills!$1:$1,0)-MATCH($AT$1,[1]crash_skills!$1:$1,0)+1),MATCH("comment",[1]crash_skills!$1:$1,0)-MATCH($AT$1,[1]crash_skills!$1:$1,0)+1,FALSE)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11" s="77" t="e">
        <f ca="1">VLOOKUP($AT311,OFFSET([1]crash_skills!$A$1,0,0,COUNTA([1]crash_skills!$A:$A),MATCH(AW$1,[1]crash_skills!$1:$1,0)-MATCH($AT$1,[1]crash_skills!$1:$1,0)+1),MATCH(AW$1,[1]crash_skills!$1:$1,0)-MATCH($AT$1,[1]crash_skills!$1:$1,0)+1,FALSE)</f>
        <v>#VALUE!</v>
      </c>
      <c r="AX311" s="81">
        <f ca="1">VLOOKUP($A311,OFFSET([2]characters!$A$1,0,0,COUNTA([2]characters!$A:$A),MATCH(AX$1,[2]characters!$1:$1,0)-MATCH($A$1,[2]characters!$1:$1,0)+1),MATCH(AX$1,[2]characters!$1:$1,0)-MATCH($A$1,[2]characters!$1:$1,0)+1,FALSE)</f>
        <v>3</v>
      </c>
      <c r="AY311" s="19">
        <v>1</v>
      </c>
      <c r="AZ311" s="19">
        <v>1</v>
      </c>
      <c r="BA311" s="19">
        <v>0</v>
      </c>
      <c r="BB311" s="19">
        <v>1</v>
      </c>
      <c r="BC311" s="14">
        <f ca="1">INDEX('RC6SV'!$A$1:$G$20,MATCH(H311,'RC6SV'!$A$1:$A$20,FALSE),MATCH(G311,'RC6SV'!$A$1:$G$1,FALSE))</f>
        <v>5800</v>
      </c>
      <c r="BD311" s="63">
        <f t="shared" ca="1" si="32"/>
        <v>5800</v>
      </c>
      <c r="BE311" s="14">
        <f t="shared" ca="1" si="33"/>
        <v>0</v>
      </c>
      <c r="BF311" s="14">
        <f t="shared" ca="1" si="34"/>
        <v>1</v>
      </c>
      <c r="BG311" s="20">
        <f ca="1">IF($BE311&lt;=0,ROUND(BK311*0.5,0), ROUND($BE311*S311*AA311*J311*AY311*0.8*[2]ステータス!$B$2,0))</f>
        <v>1160</v>
      </c>
      <c r="BH311" s="20">
        <f ca="1">IF($BE311&lt;=0,ROUND(BL311*0.5,0), ROUND($BE311*T311*AB311*K311*AZ311*0.8*[2]ステータス!$C$2,0))</f>
        <v>732</v>
      </c>
      <c r="BI311" s="20">
        <f ca="1">IF($BE311&lt;=0,ROUND(BM311*0.5,0), ROUND($BE311*U311*AC311*L311*BA311*0.8*[2]ステータス!$D$2,0))</f>
        <v>0</v>
      </c>
      <c r="BJ311" s="20">
        <f ca="1">IF($BE311&lt;=0,ROUND(BN311*0.5,0), ROUND($BE311*V311*AD311*M311*BB311*0.8*[2]ステータス!$E$2,0))</f>
        <v>945</v>
      </c>
      <c r="BK311" s="14">
        <f ca="1">ROUND(BD311*S311*AA311*J311*AY311*[2]ステータス!$B$2,0)</f>
        <v>2320</v>
      </c>
      <c r="BL311" s="14">
        <f ca="1">ROUND(BD311*T311*AB311*K311*AZ311*[2]ステータス!$C$2,0)</f>
        <v>1463</v>
      </c>
      <c r="BM311" s="14">
        <f ca="1">ROUND(BD311*U311*AC311*L311*BA311*[2]ステータス!$D$2,0)</f>
        <v>0</v>
      </c>
      <c r="BN311" s="14">
        <f ca="1">ROUND(BD311*V311*AD311*M311*BB311*[2]ステータス!$E$2,0)</f>
        <v>1890</v>
      </c>
      <c r="BO311" s="13">
        <v>0</v>
      </c>
      <c r="BP311" s="13">
        <v>1</v>
      </c>
      <c r="BQ311" s="13" t="s">
        <v>102</v>
      </c>
      <c r="BR311" s="13">
        <f ca="1">VLOOKUP(H311,ghosts_label!$A$2:$B$19,2,FALSE)</f>
        <v>1</v>
      </c>
    </row>
    <row r="312" spans="1:70" ht="21" customHeight="1" x14ac:dyDescent="0.15">
      <c r="A312" s="14">
        <f t="shared" ca="1" si="29"/>
        <v>311</v>
      </c>
      <c r="B312" s="77" t="str">
        <f ca="1">VLOOKUP($A312,OFFSET([2]characters!$A$1,0,0,COUNTA([2]characters!$A:$A),MATCH(B$1,[2]characters!$1:$1,0)-MATCH($A$1,[2]characters!$1:$1,0)+1),MATCH(B$1,[2]characters!$1:$1,0)-MATCH($A$1,[2]characters!$1:$1,0)+1,FALSE)</f>
        <v>古の暴食 リードシクティス</v>
      </c>
      <c r="C312" s="77" t="str">
        <f ca="1">VLOOKUP($A312,OFFSET([2]characters!$A$1,0,0,COUNTA([2]characters!$A:$A),MATCH(C$1,[2]characters!$1:$1,0)-MATCH($A$1,[2]characters!$1:$1,0)+1),MATCH(C$1,[2]characters!$1:$1,0)-MATCH($A$1,[2]characters!$1:$1,0)+1,FALSE)</f>
        <v>イベント:深海生物01</v>
      </c>
      <c r="D312" s="77" t="str">
        <f ca="1">VLOOKUP($A312,OFFSET([2]characters!$A$1,0,0,COUNTA([2]characters!$A:$A),MATCH(D$1,[2]characters!$1:$1,0)-MATCH($A$1,[2]characters!$1:$1,0)+1),MATCH(D$1,[2]characters!$1:$1,0)-MATCH($A$1,[2]characters!$1:$1,0)+1,FALSE)</f>
        <v>アバター</v>
      </c>
      <c r="E312" s="77" t="str">
        <f ca="1">VLOOKUP($A312,OFFSET([2]characters!$A$1,0,0,COUNTA([2]characters!$A:$A),MATCH(E$1,[2]characters!$1:$1,0)-MATCH($A$1,[2]characters!$1:$1,0)+1),MATCH(E$1,[2]characters!$1:$1,0)-MATCH($A$1,[2]characters!$1:$1,0)+1,FALSE)</f>
        <v>美しい</v>
      </c>
      <c r="F312" s="77" t="str">
        <f ca="1">VLOOKUP($A312,OFFSET([2]characters!$A$1,0,0,COUNTA([2]characters!$A:$A),MATCH(F$1,[2]characters!$1:$1,0)-MATCH($A$1,[2]characters!$1:$1,0)+1),MATCH(F$1,[2]characters!$1:$1,0)-MATCH($A$1,[2]characters!$1:$1,0)+1,FALSE)</f>
        <v>女性</v>
      </c>
      <c r="G312" s="77">
        <f ca="1">VLOOKUP($A312,OFFSET([2]characters!$A$1,0,0,COUNTA([2]characters!$A:$A),MATCH(G$1,[2]characters!$1:$1,0)-MATCH($A$1,[2]characters!$1:$1,0)+1),MATCH(G$1,[2]characters!$1:$1,0)-MATCH($A$1,[2]characters!$1:$1,0)+1,FALSE)</f>
        <v>5</v>
      </c>
      <c r="H312" s="77" t="str">
        <f ca="1">VLOOKUP($A312,OFFSET([2]characters!$A$1,0,0,COUNTA([2]characters!$A:$A),MATCH(H$1,[2]characters!$1:$1,0)-MATCH($A$1,[2]characters!$1:$1,0)+1),MATCH(H$1,[2]characters!$1:$1,0)-MATCH($A$1,[2]characters!$1:$1,0)+1,FALSE)</f>
        <v>Drop2N</v>
      </c>
      <c r="I312" s="77" t="str">
        <f ca="1">VLOOKUP($A312,OFFSET([2]characters!$A$1,0,0,COUNTA([2]characters!$A:$A),MATCH(I$1,[2]characters!$1:$1,0)-MATCH($A$1,[2]characters!$1:$1,0)+1),MATCH(I$1,[2]characters!$1:$1,0)-MATCH($A$1,[2]characters!$1:$1,0)+1,FALSE)</f>
        <v>blue</v>
      </c>
      <c r="J312" s="14">
        <f ca="1">VLOOKUP(I312,[2]属性!$A:$E,2,FALSE)</f>
        <v>1</v>
      </c>
      <c r="K312" s="14">
        <f ca="1">VLOOKUP(I312,[2]属性!$A:$E,3,FALSE)</f>
        <v>0.98</v>
      </c>
      <c r="L312" s="14">
        <f ca="1">VLOOKUP(I312,[2]属性!$A:$E,4,FALSE)</f>
        <v>1</v>
      </c>
      <c r="M312" s="14">
        <f ca="1">VLOOKUP(I312,[2]属性!$A:$E,5,FALSE)</f>
        <v>1.02</v>
      </c>
      <c r="N312" s="14">
        <f ca="1">INDEX(コスト!$A$1:$I$20,MATCH(H312,コスト!$A$1:$A$20,FALSE),MATCH(G312,コスト!$A$1:$I$1,FALSE))</f>
        <v>26</v>
      </c>
      <c r="O312" s="14">
        <f ca="1">INDEX(レベル!$A$1:$I$21,MATCH(H312,レベル!$A$1:$A$21,FALSE),MATCH(G312,レベル!$A$1:$I$1,FALSE))</f>
        <v>80</v>
      </c>
      <c r="P312" s="63">
        <f t="shared" ca="1" si="35"/>
        <v>75</v>
      </c>
      <c r="Q312" s="77" t="str">
        <f ca="1">VLOOKUP($A312,OFFSET([2]characters!$A$1,0,0,COUNTA([2]characters!$A:$A),MATCH(Q$1,[2]characters!$1:$1,0)-MATCH($A$1,[2]characters!$1:$1,0)+1),MATCH(Q$1,[2]characters!$1:$1,0)-MATCH($A$1,[2]characters!$1:$1,0)+1,FALSE)</f>
        <v>heal</v>
      </c>
      <c r="R312" s="8" t="str">
        <f ca="1">VLOOKUP(Q312,[2]character_type_i18n!$A:$H,3,FALSE)</f>
        <v>回復タイプ</v>
      </c>
      <c r="S312" s="14">
        <f ca="1">VLOOKUP(Q312,[2]character_type_i18n!$A:$H,4,FALSE)</f>
        <v>0.8</v>
      </c>
      <c r="T312" s="14">
        <f ca="1">VLOOKUP(Q312,[2]character_type_i18n!$A:$H,5,FALSE)</f>
        <v>0.78</v>
      </c>
      <c r="U312" s="14">
        <f ca="1">VLOOKUP(Q312,[2]character_type_i18n!$A:$H,6,FALSE)</f>
        <v>1</v>
      </c>
      <c r="V312" s="14">
        <f ca="1">VLOOKUP(Q312,[2]character_type_i18n!$A:$H,7,FALSE)</f>
        <v>1.42</v>
      </c>
      <c r="W312" s="77" t="str">
        <f ca="1">VLOOKUP($A312,OFFSET([2]characters!$A$1,0,0,COUNTA([2]characters!$A:$A),MATCH(W$1,[2]characters!$1:$1,0)-MATCH($A$1,[2]characters!$1:$1,0)+1),MATCH(W$1,[2]characters!$1:$1,0)-MATCH($A$1,[2]characters!$1:$1,0)+1,FALSE)</f>
        <v>animal</v>
      </c>
      <c r="X312" s="8" t="str">
        <f ca="1">VLOOKUP(W312,[2]character_tribe_i18n!$A:$H,3,FALSE)</f>
        <v>アニマル</v>
      </c>
      <c r="Y312" s="77" t="str">
        <f ca="1">VLOOKUP($A312,OFFSET([2]characters!$A$1,0,0,COUNTA([2]characters!$A:$A),MATCH(Y$1,[2]characters!$1:$1,0)-MATCH($A$1,[2]characters!$1:$1,0)+1),MATCH(Y$1,[2]characters!$1:$1,0)-MATCH($A$1,[2]characters!$1:$1,0)+1,FALSE)</f>
        <v>none</v>
      </c>
      <c r="Z312" s="8" t="str">
        <f ca="1">VLOOKUP(Y312,[2]character_tribe_i18n!$A:$H,3,FALSE)</f>
        <v>種族なし</v>
      </c>
      <c r="AA312" s="14">
        <f ca="1">VLOOKUP(W312,[2]character_tribe_i18n!$A:$H,4,FALSE)</f>
        <v>1</v>
      </c>
      <c r="AB312" s="14">
        <f ca="1">VLOOKUP(W312,[2]character_tribe_i18n!$A:$H,5,FALSE)</f>
        <v>1.1000000000000001</v>
      </c>
      <c r="AC312" s="14">
        <f ca="1">VLOOKUP(W312,[2]character_tribe_i18n!$A:$H,6,FALSE)</f>
        <v>1</v>
      </c>
      <c r="AD312" s="14">
        <f ca="1">VLOOKUP(W312,[2]character_tribe_i18n!$A:$H,7,FALSE)</f>
        <v>0.9</v>
      </c>
      <c r="AE312" s="12" t="s">
        <v>102</v>
      </c>
      <c r="AF312" s="85" t="str">
        <f ca="1">IF(AE312="NULL","",VLOOKUP($AE312,OFFSET([2]characters!$A$1,0,0,COUNTA([2]characters!$A:$A),MATCH(AF$1,[2]characters!$1:$1,0)-MATCH($A$1,[2]characters!$1:$1,0)+1),MATCH(AF$1,[2]characters!$1:$1,0)-MATCH($A$1,[2]characters!$1:$1,0)+1,FALSE))</f>
        <v/>
      </c>
      <c r="AG312" s="8">
        <f t="shared" ca="1" si="30"/>
        <v>310</v>
      </c>
      <c r="AH312" s="85" t="str">
        <f ca="1">VLOOKUP($AG312,OFFSET([2]characters!$A$1,0,0,COUNTA([2]characters!$A:$A),MATCH(AH$1,[2]characters!$1:$1,0)-MATCH($A$1,[2]characters!$1:$1,0)+1),MATCH(AH$1,[2]characters!$1:$1,0)-MATCH($A$1,[2]characters!$1:$1,0)+1,FALSE)</f>
        <v>リードシクティス</v>
      </c>
      <c r="AI312" s="14" t="str">
        <f>IF(AE312="NULL","NULL",VLOOKUP(G312,ビット!$A$2:$B$7,2))</f>
        <v>NULL</v>
      </c>
      <c r="AJ312" s="9">
        <v>2</v>
      </c>
      <c r="AK312" s="10" t="str">
        <f t="shared" si="31"/>
        <v>普通</v>
      </c>
      <c r="AL312" s="14" t="str">
        <f ca="1">INDEX(経験値!$A$1:$I$20,MATCH(H312,経験値!$A$1:$A$20,FALSE),MATCH(G312,経験値!$A$1:$I$1,FALSE))</f>
        <v>required_exp_200</v>
      </c>
      <c r="AM312" s="11">
        <f ca="1">VLOOKUP(G312,経験値!$A$27:$B$31,2)</f>
        <v>6400</v>
      </c>
      <c r="AN312" s="21">
        <f ca="1">VLOOKUP(G312,ビット!$G$2:$H$7,2)</f>
        <v>900</v>
      </c>
      <c r="AO312" s="98" t="s">
        <v>178</v>
      </c>
      <c r="AP312" s="158">
        <v>633005</v>
      </c>
      <c r="AQ312" s="77" t="e">
        <f ca="1">VLOOKUP($AP312,OFFSET([1]unit_skills!$A$1,0,0,COUNTA([1]unit_skills!$A:$A),MATCH("name",[1]unit_skills!$1:$1,0)-MATCH($AP$1,[1]unit_skills!$1:$1,0)+1),MATCH("name",[1]unit_skills!$1:$1,0)-MATCH($AP$1,[1]unit_skills!$1:$1,0)+1,FALSE)</f>
        <v>#VALUE!</v>
      </c>
      <c r="AR312" s="77" t="e">
        <f ca="1">VLOOKUP($AP312,OFFSET([1]unit_skills!$A$1,0,0,COUNTA([1]unit_skills!$A:$A),MATCH("comment",[1]unit_skills!$1:$1,0)-MATCH($AP$1,[1]unit_skills!$1:$1,0)+1),MATCH("comment",[1]unit_skills!$1:$1,0)-MATCH($AP$1,[1]unit_skills!$1:$1,0)+1,FALSE)</f>
        <v>#VALUE!</v>
      </c>
      <c r="AS312" s="77" t="e">
        <f ca="1">VLOOKUP($AP312,OFFSET([1]unit_skills!$A$1,0,0,COUNTA([1]unit_skills!$A:$A),MATCH(AS$1,[1]unit_skills!$1:$1,0)-MATCH($AP$1,[1]unit_skills!$1:$1,0)+1),MATCH(AS$1,[1]unit_skills!$1:$1,0)-MATCH($AP$1,[1]unit_skills!$1:$1,0)+1,FALSE)</f>
        <v>#VALUE!</v>
      </c>
      <c r="AT312" s="53">
        <v>173207</v>
      </c>
      <c r="AU312" s="77" t="e">
        <f ca="1">VLOOKUP($AT312,OFFSET([1]crash_skills!$A$1,0,0,COUNTA([1]crash_skills!$A:$A),MATCH("name",[1]crash_skills!$1:$1,0)-MATCH($AT$1,[1]crash_skills!$1:$1,0)+1),MATCH("name",[1]crash_skills!$1:$1,0)-MATCH($AT$1,[1]crash_skills!$1:$1,0)+1,FALSE)</f>
        <v>#VALUE!</v>
      </c>
      <c r="AV312" s="77" t="e">
        <f ca="1">VLOOKUP($AT312,OFFSET([1]crash_skills!$A$1,0,0,COUNTA([1]crash_skills!$A:$A),MATCH("comment",[1]crash_skills!$1:$1,0)-MATCH($AT$1,[1]crash_skills!$1:$1,0)+1),MATCH("comment",[1]crash_skills!$1:$1,0)-MATCH($AT$1,[1]crash_skills!$1:$1,0)+1,FALSE)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12" s="77" t="e">
        <f ca="1">VLOOKUP($AT312,OFFSET([1]crash_skills!$A$1,0,0,COUNTA([1]crash_skills!$A:$A),MATCH(AW$1,[1]crash_skills!$1:$1,0)-MATCH($AT$1,[1]crash_skills!$1:$1,0)+1),MATCH(AW$1,[1]crash_skills!$1:$1,0)-MATCH($AT$1,[1]crash_skills!$1:$1,0)+1,FALSE)</f>
        <v>#VALUE!</v>
      </c>
      <c r="AX312" s="81">
        <f ca="1">VLOOKUP($A312,OFFSET([2]characters!$A$1,0,0,COUNTA([2]characters!$A:$A),MATCH(AX$1,[2]characters!$1:$1,0)-MATCH($A$1,[2]characters!$1:$1,0)+1),MATCH(AX$1,[2]characters!$1:$1,0)-MATCH($A$1,[2]characters!$1:$1,0)+1,FALSE)</f>
        <v>3</v>
      </c>
      <c r="AY312" s="19">
        <v>1</v>
      </c>
      <c r="AZ312" s="19">
        <v>1</v>
      </c>
      <c r="BA312" s="19">
        <v>0</v>
      </c>
      <c r="BB312" s="19">
        <v>1</v>
      </c>
      <c r="BC312" s="14">
        <f ca="1">INDEX('RC6SV'!$A$1:$G$20,MATCH(H312,'RC6SV'!$A$1:$A$20,FALSE),MATCH(G312,'RC6SV'!$A$1:$G$1,FALSE))</f>
        <v>7600</v>
      </c>
      <c r="BD312" s="63">
        <f t="shared" ca="1" si="32"/>
        <v>7600</v>
      </c>
      <c r="BE312" s="14">
        <f t="shared" ca="1" si="33"/>
        <v>5800</v>
      </c>
      <c r="BF312" s="14">
        <f t="shared" ca="1" si="34"/>
        <v>1</v>
      </c>
      <c r="BG312" s="20">
        <f ca="1">IF($BE312&lt;=0,ROUND(BK312*0.5,0), ROUND($BE312*S312*AA312*J312*AY312*0.8*[2]ステータス!$B$2,0))</f>
        <v>1856</v>
      </c>
      <c r="BH312" s="20">
        <f ca="1">IF($BE312&lt;=0,ROUND(BL312*0.5,0), ROUND($BE312*T312*AB312*K312*AZ312*0.8*[2]ステータス!$C$2,0))</f>
        <v>1170</v>
      </c>
      <c r="BI312" s="20">
        <f ca="1">IF($BE312&lt;=0,ROUND(BM312*0.5,0), ROUND($BE312*U312*AC312*L312*BA312*0.8*[2]ステータス!$D$2,0))</f>
        <v>0</v>
      </c>
      <c r="BJ312" s="20">
        <f ca="1">IF($BE312&lt;=0,ROUND(BN312*0.5,0), ROUND($BE312*V312*AD312*M312*BB312*0.8*[2]ステータス!$E$2,0))</f>
        <v>1512</v>
      </c>
      <c r="BK312" s="14">
        <f ca="1">ROUND(BD312*S312*AA312*J312*AY312*[2]ステータス!$B$2,0)</f>
        <v>3040</v>
      </c>
      <c r="BL312" s="14">
        <f ca="1">ROUND(BD312*T312*AB312*K312*AZ312*[2]ステータス!$C$2,0)</f>
        <v>1917</v>
      </c>
      <c r="BM312" s="14">
        <f ca="1">ROUND(BD312*U312*AC312*L312*BA312*[2]ステータス!$D$2,0)</f>
        <v>0</v>
      </c>
      <c r="BN312" s="14">
        <f ca="1">ROUND(BD312*V312*AD312*M312*BB312*[2]ステータス!$E$2,0)</f>
        <v>2477</v>
      </c>
      <c r="BO312" s="13">
        <v>0</v>
      </c>
      <c r="BP312" s="13">
        <v>1</v>
      </c>
      <c r="BQ312" s="13" t="s">
        <v>102</v>
      </c>
      <c r="BR312" s="13">
        <f ca="1">VLOOKUP(H312,ghosts_label!$A$2:$B$19,2,FALSE)</f>
        <v>1</v>
      </c>
    </row>
    <row r="313" spans="1:70" ht="21" customHeight="1" x14ac:dyDescent="0.15">
      <c r="A313" s="14">
        <f t="shared" ca="1" si="29"/>
        <v>312</v>
      </c>
      <c r="B313" s="77" t="str">
        <f ca="1">VLOOKUP($A313,OFFSET([2]characters!$A$1,0,0,COUNTA([2]characters!$A:$A),MATCH(B$1,[2]characters!$1:$1,0)-MATCH($A$1,[2]characters!$1:$1,0)+1),MATCH(B$1,[2]characters!$1:$1,0)-MATCH($A$1,[2]characters!$1:$1,0)+1,FALSE)</f>
        <v>アノマロカリス</v>
      </c>
      <c r="C313" s="77" t="str">
        <f ca="1">VLOOKUP($A313,OFFSET([2]characters!$A$1,0,0,COUNTA([2]characters!$A:$A),MATCH(C$1,[2]characters!$1:$1,0)-MATCH($A$1,[2]characters!$1:$1,0)+1),MATCH(C$1,[2]characters!$1:$1,0)-MATCH($A$1,[2]characters!$1:$1,0)+1,FALSE)</f>
        <v>イベント:深海生物01</v>
      </c>
      <c r="D313" s="77" t="str">
        <f ca="1">VLOOKUP($A313,OFFSET([2]characters!$A$1,0,0,COUNTA([2]characters!$A:$A),MATCH(D$1,[2]characters!$1:$1,0)-MATCH($A$1,[2]characters!$1:$1,0)+1),MATCH(D$1,[2]characters!$1:$1,0)-MATCH($A$1,[2]characters!$1:$1,0)+1,FALSE)</f>
        <v>アバター</v>
      </c>
      <c r="E313" s="77" t="str">
        <f ca="1">VLOOKUP($A313,OFFSET([2]characters!$A$1,0,0,COUNTA([2]characters!$A:$A),MATCH(E$1,[2]characters!$1:$1,0)-MATCH($A$1,[2]characters!$1:$1,0)+1),MATCH(E$1,[2]characters!$1:$1,0)-MATCH($A$1,[2]characters!$1:$1,0)+1,FALSE)</f>
        <v>可愛い</v>
      </c>
      <c r="F313" s="77" t="str">
        <f ca="1">VLOOKUP($A313,OFFSET([2]characters!$A$1,0,0,COUNTA([2]characters!$A:$A),MATCH(F$1,[2]characters!$1:$1,0)-MATCH($A$1,[2]characters!$1:$1,0)+1),MATCH(F$1,[2]characters!$1:$1,0)-MATCH($A$1,[2]characters!$1:$1,0)+1,FALSE)</f>
        <v>女性</v>
      </c>
      <c r="G313" s="77">
        <f ca="1">VLOOKUP($A313,OFFSET([2]characters!$A$1,0,0,COUNTA([2]characters!$A:$A),MATCH(G$1,[2]characters!$1:$1,0)-MATCH($A$1,[2]characters!$1:$1,0)+1),MATCH(G$1,[2]characters!$1:$1,0)-MATCH($A$1,[2]characters!$1:$1,0)+1,FALSE)</f>
        <v>4</v>
      </c>
      <c r="H313" s="77" t="str">
        <f ca="1">VLOOKUP($A313,OFFSET([2]characters!$A$1,0,0,COUNTA([2]characters!$A:$A),MATCH(H$1,[2]characters!$1:$1,0)-MATCH($A$1,[2]characters!$1:$1,0)+1),MATCH(H$1,[2]characters!$1:$1,0)-MATCH($A$1,[2]characters!$1:$1,0)+1,FALSE)</f>
        <v>Drop2N</v>
      </c>
      <c r="I313" s="77" t="str">
        <f ca="1">VLOOKUP($A313,OFFSET([2]characters!$A$1,0,0,COUNTA([2]characters!$A:$A),MATCH(I$1,[2]characters!$1:$1,0)-MATCH($A$1,[2]characters!$1:$1,0)+1),MATCH(I$1,[2]characters!$1:$1,0)-MATCH($A$1,[2]characters!$1:$1,0)+1,FALSE)</f>
        <v>yellow</v>
      </c>
      <c r="J313" s="14">
        <f ca="1">VLOOKUP(I313,[2]属性!$A:$E,2,FALSE)</f>
        <v>0.98</v>
      </c>
      <c r="K313" s="14">
        <f ca="1">VLOOKUP(I313,[2]属性!$A:$E,3,FALSE)</f>
        <v>1.01</v>
      </c>
      <c r="L313" s="14">
        <f ca="1">VLOOKUP(I313,[2]属性!$A:$E,4,FALSE)</f>
        <v>1</v>
      </c>
      <c r="M313" s="14">
        <f ca="1">VLOOKUP(I313,[2]属性!$A:$E,5,FALSE)</f>
        <v>1.01</v>
      </c>
      <c r="N313" s="14">
        <f ca="1">INDEX(コスト!$A$1:$I$20,MATCH(H313,コスト!$A$1:$A$20,FALSE),MATCH(G313,コスト!$A$1:$I$1,FALSE))</f>
        <v>17</v>
      </c>
      <c r="O313" s="14">
        <f ca="1">INDEX(レベル!$A$1:$I$21,MATCH(H313,レベル!$A$1:$A$21,FALSE),MATCH(G313,レベル!$A$1:$I$1,FALSE))</f>
        <v>60</v>
      </c>
      <c r="P313" s="63">
        <f t="shared" ca="1" si="35"/>
        <v>60</v>
      </c>
      <c r="Q313" s="77" t="str">
        <f ca="1">VLOOKUP($A313,OFFSET([2]characters!$A$1,0,0,COUNTA([2]characters!$A:$A),MATCH(Q$1,[2]characters!$1:$1,0)-MATCH($A$1,[2]characters!$1:$1,0)+1),MATCH(Q$1,[2]characters!$1:$1,0)-MATCH($A$1,[2]characters!$1:$1,0)+1,FALSE)</f>
        <v>balance</v>
      </c>
      <c r="R313" s="8" t="str">
        <f ca="1">VLOOKUP(Q313,[2]character_type_i18n!$A:$H,3,FALSE)</f>
        <v>バランスタイプ</v>
      </c>
      <c r="S313" s="14">
        <f ca="1">VLOOKUP(Q313,[2]character_type_i18n!$A:$H,4,FALSE)</f>
        <v>1</v>
      </c>
      <c r="T313" s="14">
        <f ca="1">VLOOKUP(Q313,[2]character_type_i18n!$A:$H,5,FALSE)</f>
        <v>1</v>
      </c>
      <c r="U313" s="14">
        <f ca="1">VLOOKUP(Q313,[2]character_type_i18n!$A:$H,6,FALSE)</f>
        <v>1</v>
      </c>
      <c r="V313" s="14">
        <f ca="1">VLOOKUP(Q313,[2]character_type_i18n!$A:$H,7,FALSE)</f>
        <v>1</v>
      </c>
      <c r="W313" s="77" t="str">
        <f ca="1">VLOOKUP($A313,OFFSET([2]characters!$A$1,0,0,COUNTA([2]characters!$A:$A),MATCH(W$1,[2]characters!$1:$1,0)-MATCH($A$1,[2]characters!$1:$1,0)+1),MATCH(W$1,[2]characters!$1:$1,0)-MATCH($A$1,[2]characters!$1:$1,0)+1,FALSE)</f>
        <v>animal</v>
      </c>
      <c r="X313" s="8" t="str">
        <f ca="1">VLOOKUP(W313,[2]character_tribe_i18n!$A:$H,3,FALSE)</f>
        <v>アニマル</v>
      </c>
      <c r="Y313" s="77" t="str">
        <f ca="1">VLOOKUP($A313,OFFSET([2]characters!$A$1,0,0,COUNTA([2]characters!$A:$A),MATCH(Y$1,[2]characters!$1:$1,0)-MATCH($A$1,[2]characters!$1:$1,0)+1),MATCH(Y$1,[2]characters!$1:$1,0)-MATCH($A$1,[2]characters!$1:$1,0)+1,FALSE)</f>
        <v>none</v>
      </c>
      <c r="Z313" s="8" t="str">
        <f ca="1">VLOOKUP(Y313,[2]character_tribe_i18n!$A:$H,3,FALSE)</f>
        <v>種族なし</v>
      </c>
      <c r="AA313" s="14">
        <f ca="1">VLOOKUP(W313,[2]character_tribe_i18n!$A:$H,4,FALSE)</f>
        <v>1</v>
      </c>
      <c r="AB313" s="14">
        <f ca="1">VLOOKUP(W313,[2]character_tribe_i18n!$A:$H,5,FALSE)</f>
        <v>1.1000000000000001</v>
      </c>
      <c r="AC313" s="14">
        <f ca="1">VLOOKUP(W313,[2]character_tribe_i18n!$A:$H,6,FALSE)</f>
        <v>1</v>
      </c>
      <c r="AD313" s="14">
        <f ca="1">VLOOKUP(W313,[2]character_tribe_i18n!$A:$H,7,FALSE)</f>
        <v>0.9</v>
      </c>
      <c r="AE313" s="12">
        <v>313</v>
      </c>
      <c r="AF313" s="85" t="str">
        <f ca="1">IF(AE313="NULL","",VLOOKUP($AE313,OFFSET([2]characters!$A$1,0,0,COUNTA([2]characters!$A:$A),MATCH(AF$1,[2]characters!$1:$1,0)-MATCH($A$1,[2]characters!$1:$1,0)+1),MATCH(AF$1,[2]characters!$1:$1,0)-MATCH($A$1,[2]characters!$1:$1,0)+1,FALSE))</f>
        <v>古の先鋭 アノマロカリス</v>
      </c>
      <c r="AG313" s="8">
        <f t="shared" ca="1" si="30"/>
        <v>312</v>
      </c>
      <c r="AH313" s="85" t="str">
        <f ca="1">VLOOKUP($AG313,OFFSET([2]characters!$A$1,0,0,COUNTA([2]characters!$A:$A),MATCH(AH$1,[2]characters!$1:$1,0)-MATCH($A$1,[2]characters!$1:$1,0)+1),MATCH(AH$1,[2]characters!$1:$1,0)-MATCH($A$1,[2]characters!$1:$1,0)+1,FALSE)</f>
        <v>アノマロカリス</v>
      </c>
      <c r="AI313" s="14">
        <f ca="1">IF(AE313="NULL","NULL",VLOOKUP(G313,ビット!$A$2:$B$7,2))</f>
        <v>50000</v>
      </c>
      <c r="AJ313" s="9">
        <v>2</v>
      </c>
      <c r="AK313" s="10" t="str">
        <f t="shared" si="31"/>
        <v>普通</v>
      </c>
      <c r="AL313" s="14" t="str">
        <f ca="1">INDEX(経験値!$A$1:$I$20,MATCH(H313,経験値!$A$1:$A$20,FALSE),MATCH(G313,経験値!$A$1:$I$1,FALSE))</f>
        <v>required_exp_200</v>
      </c>
      <c r="AM313" s="11">
        <f ca="1">VLOOKUP(G313,経験値!$A$27:$B$31,2)</f>
        <v>3400</v>
      </c>
      <c r="AN313" s="21">
        <f ca="1">VLOOKUP(G313,ビット!$G$2:$H$7,2)</f>
        <v>600</v>
      </c>
      <c r="AO313" s="98" t="s">
        <v>178</v>
      </c>
      <c r="AP313" s="4">
        <v>535004</v>
      </c>
      <c r="AQ313" s="77" t="e">
        <f ca="1">VLOOKUP($AP313,OFFSET([1]unit_skills!$A$1,0,0,COUNTA([1]unit_skills!$A:$A),MATCH("name",[1]unit_skills!$1:$1,0)-MATCH($AP$1,[1]unit_skills!$1:$1,0)+1),MATCH("name",[1]unit_skills!$1:$1,0)-MATCH($AP$1,[1]unit_skills!$1:$1,0)+1,FALSE)</f>
        <v>#VALUE!</v>
      </c>
      <c r="AR313" s="77" t="e">
        <f ca="1">VLOOKUP($AP313,OFFSET([1]unit_skills!$A$1,0,0,COUNTA([1]unit_skills!$A:$A),MATCH("comment",[1]unit_skills!$1:$1,0)-MATCH($AP$1,[1]unit_skills!$1:$1,0)+1),MATCH("comment",[1]unit_skills!$1:$1,0)-MATCH($AP$1,[1]unit_skills!$1:$1,0)+1,FALSE)</f>
        <v>#VALUE!</v>
      </c>
      <c r="AS313" s="77" t="e">
        <f ca="1">VLOOKUP($AP313,OFFSET([1]unit_skills!$A$1,0,0,COUNTA([1]unit_skills!$A:$A),MATCH(AS$1,[1]unit_skills!$1:$1,0)-MATCH($AP$1,[1]unit_skills!$1:$1,0)+1),MATCH(AS$1,[1]unit_skills!$1:$1,0)-MATCH($AP$1,[1]unit_skills!$1:$1,0)+1,FALSE)</f>
        <v>#VALUE!</v>
      </c>
      <c r="AT313" s="158">
        <v>184202</v>
      </c>
      <c r="AU313" s="77" t="e">
        <f ca="1">VLOOKUP($AT313,OFFSET([1]crash_skills!$A$1,0,0,COUNTA([1]crash_skills!$A:$A),MATCH("name",[1]crash_skills!$1:$1,0)-MATCH($AT$1,[1]crash_skills!$1:$1,0)+1),MATCH("name",[1]crash_skills!$1:$1,0)-MATCH($AT$1,[1]crash_skills!$1:$1,0)+1,FALSE)</f>
        <v>#VALUE!</v>
      </c>
      <c r="AV313" s="77" t="e">
        <f ca="1">VLOOKUP($AT313,OFFSET([1]crash_skills!$A$1,0,0,COUNTA([1]crash_skills!$A:$A),MATCH("comment",[1]crash_skills!$1:$1,0)-MATCH($AT$1,[1]crash_skills!$1:$1,0)+1),MATCH("comment",[1]crash_skills!$1:$1,0)-MATCH($AT$1,[1]crash_skills!$1:$1,0)+1,FALSE)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13" s="77" t="e">
        <f ca="1">VLOOKUP($AT313,OFFSET([1]crash_skills!$A$1,0,0,COUNTA([1]crash_skills!$A:$A),MATCH(AW$1,[1]crash_skills!$1:$1,0)-MATCH($AT$1,[1]crash_skills!$1:$1,0)+1),MATCH(AW$1,[1]crash_skills!$1:$1,0)-MATCH($AT$1,[1]crash_skills!$1:$1,0)+1,FALSE)</f>
        <v>#VALUE!</v>
      </c>
      <c r="AX313" s="81">
        <f ca="1">VLOOKUP($A313,OFFSET([2]characters!$A$1,0,0,COUNTA([2]characters!$A:$A),MATCH(AX$1,[2]characters!$1:$1,0)-MATCH($A$1,[2]characters!$1:$1,0)+1),MATCH(AX$1,[2]characters!$1:$1,0)-MATCH($A$1,[2]characters!$1:$1,0)+1,FALSE)</f>
        <v>3</v>
      </c>
      <c r="AY313" s="19">
        <v>1</v>
      </c>
      <c r="AZ313" s="19">
        <v>1</v>
      </c>
      <c r="BA313" s="19">
        <v>0</v>
      </c>
      <c r="BB313" s="19">
        <v>1</v>
      </c>
      <c r="BC313" s="14">
        <f ca="1">INDEX('RC6SV'!$A$1:$G$20,MATCH(H313,'RC6SV'!$A$1:$A$20,FALSE),MATCH(G313,'RC6SV'!$A$1:$G$1,FALSE))</f>
        <v>5800</v>
      </c>
      <c r="BD313" s="63">
        <f t="shared" ca="1" si="32"/>
        <v>5800</v>
      </c>
      <c r="BE313" s="14">
        <f t="shared" ca="1" si="33"/>
        <v>0</v>
      </c>
      <c r="BF313" s="14">
        <f t="shared" ca="1" si="34"/>
        <v>1</v>
      </c>
      <c r="BG313" s="20">
        <f ca="1">IF($BE313&lt;=0,ROUND(BK313*0.5,0), ROUND($BE313*S313*AA313*J313*AY313*0.8*[2]ステータス!$B$2,0))</f>
        <v>1421</v>
      </c>
      <c r="BH313" s="20">
        <f ca="1">IF($BE313&lt;=0,ROUND(BL313*0.5,0), ROUND($BE313*T313*AB313*K313*AZ313*0.8*[2]ステータス!$C$2,0))</f>
        <v>967</v>
      </c>
      <c r="BI313" s="20">
        <f ca="1">IF($BE313&lt;=0,ROUND(BM313*0.5,0), ROUND($BE313*U313*AC313*L313*BA313*0.8*[2]ステータス!$D$2,0))</f>
        <v>0</v>
      </c>
      <c r="BJ313" s="20">
        <f ca="1">IF($BE313&lt;=0,ROUND(BN313*0.5,0), ROUND($BE313*V313*AD313*M313*BB313*0.8*[2]ステータス!$E$2,0))</f>
        <v>659</v>
      </c>
      <c r="BK313" s="14">
        <f ca="1">ROUND(BD313*S313*AA313*J313*AY313*[2]ステータス!$B$2,0)</f>
        <v>2842</v>
      </c>
      <c r="BL313" s="14">
        <f ca="1">ROUND(BD313*T313*AB313*K313*AZ313*[2]ステータス!$C$2,0)</f>
        <v>1933</v>
      </c>
      <c r="BM313" s="14">
        <f ca="1">ROUND(BD313*U313*AC313*L313*BA313*[2]ステータス!$D$2,0)</f>
        <v>0</v>
      </c>
      <c r="BN313" s="14">
        <f ca="1">ROUND(BD313*V313*AD313*M313*BB313*[2]ステータス!$E$2,0)</f>
        <v>1318</v>
      </c>
      <c r="BO313" s="13">
        <v>0</v>
      </c>
      <c r="BP313" s="13">
        <v>1</v>
      </c>
      <c r="BQ313" s="13" t="s">
        <v>102</v>
      </c>
      <c r="BR313" s="13">
        <f ca="1">VLOOKUP(H313,ghosts_label!$A$2:$B$19,2,FALSE)</f>
        <v>1</v>
      </c>
    </row>
    <row r="314" spans="1:70" ht="21" customHeight="1" x14ac:dyDescent="0.15">
      <c r="A314" s="14">
        <f t="shared" ca="1" si="29"/>
        <v>313</v>
      </c>
      <c r="B314" s="77" t="str">
        <f ca="1">VLOOKUP($A314,OFFSET([2]characters!$A$1,0,0,COUNTA([2]characters!$A:$A),MATCH(B$1,[2]characters!$1:$1,0)-MATCH($A$1,[2]characters!$1:$1,0)+1),MATCH(B$1,[2]characters!$1:$1,0)-MATCH($A$1,[2]characters!$1:$1,0)+1,FALSE)</f>
        <v>古の先鋭 アノマロカリス</v>
      </c>
      <c r="C314" s="77" t="str">
        <f ca="1">VLOOKUP($A314,OFFSET([2]characters!$A$1,0,0,COUNTA([2]characters!$A:$A),MATCH(C$1,[2]characters!$1:$1,0)-MATCH($A$1,[2]characters!$1:$1,0)+1),MATCH(C$1,[2]characters!$1:$1,0)-MATCH($A$1,[2]characters!$1:$1,0)+1,FALSE)</f>
        <v>イベント:深海生物01</v>
      </c>
      <c r="D314" s="77" t="str">
        <f ca="1">VLOOKUP($A314,OFFSET([2]characters!$A$1,0,0,COUNTA([2]characters!$A:$A),MATCH(D$1,[2]characters!$1:$1,0)-MATCH($A$1,[2]characters!$1:$1,0)+1),MATCH(D$1,[2]characters!$1:$1,0)-MATCH($A$1,[2]characters!$1:$1,0)+1,FALSE)</f>
        <v>アバター</v>
      </c>
      <c r="E314" s="77" t="str">
        <f ca="1">VLOOKUP($A314,OFFSET([2]characters!$A$1,0,0,COUNTA([2]characters!$A:$A),MATCH(E$1,[2]characters!$1:$1,0)-MATCH($A$1,[2]characters!$1:$1,0)+1),MATCH(E$1,[2]characters!$1:$1,0)-MATCH($A$1,[2]characters!$1:$1,0)+1,FALSE)</f>
        <v>可愛い</v>
      </c>
      <c r="F314" s="77" t="str">
        <f ca="1">VLOOKUP($A314,OFFSET([2]characters!$A$1,0,0,COUNTA([2]characters!$A:$A),MATCH(F$1,[2]characters!$1:$1,0)-MATCH($A$1,[2]characters!$1:$1,0)+1),MATCH(F$1,[2]characters!$1:$1,0)-MATCH($A$1,[2]characters!$1:$1,0)+1,FALSE)</f>
        <v>女性</v>
      </c>
      <c r="G314" s="77">
        <f ca="1">VLOOKUP($A314,OFFSET([2]characters!$A$1,0,0,COUNTA([2]characters!$A:$A),MATCH(G$1,[2]characters!$1:$1,0)-MATCH($A$1,[2]characters!$1:$1,0)+1),MATCH(G$1,[2]characters!$1:$1,0)-MATCH($A$1,[2]characters!$1:$1,0)+1,FALSE)</f>
        <v>5</v>
      </c>
      <c r="H314" s="77" t="str">
        <f ca="1">VLOOKUP($A314,OFFSET([2]characters!$A$1,0,0,COUNTA([2]characters!$A:$A),MATCH(H$1,[2]characters!$1:$1,0)-MATCH($A$1,[2]characters!$1:$1,0)+1),MATCH(H$1,[2]characters!$1:$1,0)-MATCH($A$1,[2]characters!$1:$1,0)+1,FALSE)</f>
        <v>Drop2N</v>
      </c>
      <c r="I314" s="77" t="str">
        <f ca="1">VLOOKUP($A314,OFFSET([2]characters!$A$1,0,0,COUNTA([2]characters!$A:$A),MATCH(I$1,[2]characters!$1:$1,0)-MATCH($A$1,[2]characters!$1:$1,0)+1),MATCH(I$1,[2]characters!$1:$1,0)-MATCH($A$1,[2]characters!$1:$1,0)+1,FALSE)</f>
        <v>yellow</v>
      </c>
      <c r="J314" s="14">
        <f ca="1">VLOOKUP(I314,[2]属性!$A:$E,2,FALSE)</f>
        <v>0.98</v>
      </c>
      <c r="K314" s="14">
        <f ca="1">VLOOKUP(I314,[2]属性!$A:$E,3,FALSE)</f>
        <v>1.01</v>
      </c>
      <c r="L314" s="14">
        <f ca="1">VLOOKUP(I314,[2]属性!$A:$E,4,FALSE)</f>
        <v>1</v>
      </c>
      <c r="M314" s="14">
        <f ca="1">VLOOKUP(I314,[2]属性!$A:$E,5,FALSE)</f>
        <v>1.01</v>
      </c>
      <c r="N314" s="14">
        <f ca="1">INDEX(コスト!$A$1:$I$20,MATCH(H314,コスト!$A$1:$A$20,FALSE),MATCH(G314,コスト!$A$1:$I$1,FALSE))</f>
        <v>26</v>
      </c>
      <c r="O314" s="14">
        <f ca="1">INDEX(レベル!$A$1:$I$21,MATCH(H314,レベル!$A$1:$A$21,FALSE),MATCH(G314,レベル!$A$1:$I$1,FALSE))</f>
        <v>80</v>
      </c>
      <c r="P314" s="63">
        <f t="shared" ca="1" si="35"/>
        <v>75</v>
      </c>
      <c r="Q314" s="77" t="str">
        <f ca="1">VLOOKUP($A314,OFFSET([2]characters!$A$1,0,0,COUNTA([2]characters!$A:$A),MATCH(Q$1,[2]characters!$1:$1,0)-MATCH($A$1,[2]characters!$1:$1,0)+1),MATCH(Q$1,[2]characters!$1:$1,0)-MATCH($A$1,[2]characters!$1:$1,0)+1,FALSE)</f>
        <v>balance</v>
      </c>
      <c r="R314" s="8" t="str">
        <f ca="1">VLOOKUP(Q314,[2]character_type_i18n!$A:$H,3,FALSE)</f>
        <v>バランスタイプ</v>
      </c>
      <c r="S314" s="14">
        <f ca="1">VLOOKUP(Q314,[2]character_type_i18n!$A:$H,4,FALSE)</f>
        <v>1</v>
      </c>
      <c r="T314" s="14">
        <f ca="1">VLOOKUP(Q314,[2]character_type_i18n!$A:$H,5,FALSE)</f>
        <v>1</v>
      </c>
      <c r="U314" s="14">
        <f ca="1">VLOOKUP(Q314,[2]character_type_i18n!$A:$H,6,FALSE)</f>
        <v>1</v>
      </c>
      <c r="V314" s="14">
        <f ca="1">VLOOKUP(Q314,[2]character_type_i18n!$A:$H,7,FALSE)</f>
        <v>1</v>
      </c>
      <c r="W314" s="77" t="str">
        <f ca="1">VLOOKUP($A314,OFFSET([2]characters!$A$1,0,0,COUNTA([2]characters!$A:$A),MATCH(W$1,[2]characters!$1:$1,0)-MATCH($A$1,[2]characters!$1:$1,0)+1),MATCH(W$1,[2]characters!$1:$1,0)-MATCH($A$1,[2]characters!$1:$1,0)+1,FALSE)</f>
        <v>animal</v>
      </c>
      <c r="X314" s="8" t="str">
        <f ca="1">VLOOKUP(W314,[2]character_tribe_i18n!$A:$H,3,FALSE)</f>
        <v>アニマル</v>
      </c>
      <c r="Y314" s="77" t="str">
        <f ca="1">VLOOKUP($A314,OFFSET([2]characters!$A$1,0,0,COUNTA([2]characters!$A:$A),MATCH(Y$1,[2]characters!$1:$1,0)-MATCH($A$1,[2]characters!$1:$1,0)+1),MATCH(Y$1,[2]characters!$1:$1,0)-MATCH($A$1,[2]characters!$1:$1,0)+1,FALSE)</f>
        <v>none</v>
      </c>
      <c r="Z314" s="8" t="str">
        <f ca="1">VLOOKUP(Y314,[2]character_tribe_i18n!$A:$H,3,FALSE)</f>
        <v>種族なし</v>
      </c>
      <c r="AA314" s="14">
        <f ca="1">VLOOKUP(W314,[2]character_tribe_i18n!$A:$H,4,FALSE)</f>
        <v>1</v>
      </c>
      <c r="AB314" s="14">
        <f ca="1">VLOOKUP(W314,[2]character_tribe_i18n!$A:$H,5,FALSE)</f>
        <v>1.1000000000000001</v>
      </c>
      <c r="AC314" s="14">
        <f ca="1">VLOOKUP(W314,[2]character_tribe_i18n!$A:$H,6,FALSE)</f>
        <v>1</v>
      </c>
      <c r="AD314" s="14">
        <f ca="1">VLOOKUP(W314,[2]character_tribe_i18n!$A:$H,7,FALSE)</f>
        <v>0.9</v>
      </c>
      <c r="AE314" s="12" t="s">
        <v>102</v>
      </c>
      <c r="AF314" s="85" t="str">
        <f ca="1">IF(AE314="NULL","",VLOOKUP($AE314,OFFSET([2]characters!$A$1,0,0,COUNTA([2]characters!$A:$A),MATCH(AF$1,[2]characters!$1:$1,0)-MATCH($A$1,[2]characters!$1:$1,0)+1),MATCH(AF$1,[2]characters!$1:$1,0)-MATCH($A$1,[2]characters!$1:$1,0)+1,FALSE))</f>
        <v/>
      </c>
      <c r="AG314" s="8">
        <f t="shared" ca="1" si="30"/>
        <v>312</v>
      </c>
      <c r="AH314" s="85" t="str">
        <f ca="1">VLOOKUP($AG314,OFFSET([2]characters!$A$1,0,0,COUNTA([2]characters!$A:$A),MATCH(AH$1,[2]characters!$1:$1,0)-MATCH($A$1,[2]characters!$1:$1,0)+1),MATCH(AH$1,[2]characters!$1:$1,0)-MATCH($A$1,[2]characters!$1:$1,0)+1,FALSE)</f>
        <v>アノマロカリス</v>
      </c>
      <c r="AI314" s="14" t="str">
        <f>IF(AE314="NULL","NULL",VLOOKUP(G314,ビット!$A$2:$B$7,2))</f>
        <v>NULL</v>
      </c>
      <c r="AJ314" s="9">
        <v>2</v>
      </c>
      <c r="AK314" s="10" t="str">
        <f t="shared" si="31"/>
        <v>普通</v>
      </c>
      <c r="AL314" s="14" t="str">
        <f ca="1">INDEX(経験値!$A$1:$I$20,MATCH(H314,経験値!$A$1:$A$20,FALSE),MATCH(G314,経験値!$A$1:$I$1,FALSE))</f>
        <v>required_exp_200</v>
      </c>
      <c r="AM314" s="11">
        <f ca="1">VLOOKUP(G314,経験値!$A$27:$B$31,2)</f>
        <v>6400</v>
      </c>
      <c r="AN314" s="21">
        <f ca="1">VLOOKUP(G314,ビット!$G$2:$H$7,2)</f>
        <v>900</v>
      </c>
      <c r="AO314" s="98" t="s">
        <v>178</v>
      </c>
      <c r="AP314" s="4">
        <v>535004</v>
      </c>
      <c r="AQ314" s="77" t="e">
        <f ca="1">VLOOKUP($AP314,OFFSET([1]unit_skills!$A$1,0,0,COUNTA([1]unit_skills!$A:$A),MATCH("name",[1]unit_skills!$1:$1,0)-MATCH($AP$1,[1]unit_skills!$1:$1,0)+1),MATCH("name",[1]unit_skills!$1:$1,0)-MATCH($AP$1,[1]unit_skills!$1:$1,0)+1,FALSE)</f>
        <v>#VALUE!</v>
      </c>
      <c r="AR314" s="77" t="e">
        <f ca="1">VLOOKUP($AP314,OFFSET([1]unit_skills!$A$1,0,0,COUNTA([1]unit_skills!$A:$A),MATCH("comment",[1]unit_skills!$1:$1,0)-MATCH($AP$1,[1]unit_skills!$1:$1,0)+1),MATCH("comment",[1]unit_skills!$1:$1,0)-MATCH($AP$1,[1]unit_skills!$1:$1,0)+1,FALSE)</f>
        <v>#VALUE!</v>
      </c>
      <c r="AS314" s="77" t="e">
        <f ca="1">VLOOKUP($AP314,OFFSET([1]unit_skills!$A$1,0,0,COUNTA([1]unit_skills!$A:$A),MATCH(AS$1,[1]unit_skills!$1:$1,0)-MATCH($AP$1,[1]unit_skills!$1:$1,0)+1),MATCH(AS$1,[1]unit_skills!$1:$1,0)-MATCH($AP$1,[1]unit_skills!$1:$1,0)+1,FALSE)</f>
        <v>#VALUE!</v>
      </c>
      <c r="AT314" s="53">
        <v>184208</v>
      </c>
      <c r="AU314" s="77" t="e">
        <f ca="1">VLOOKUP($AT314,OFFSET([1]crash_skills!$A$1,0,0,COUNTA([1]crash_skills!$A:$A),MATCH("name",[1]crash_skills!$1:$1,0)-MATCH($AT$1,[1]crash_skills!$1:$1,0)+1),MATCH("name",[1]crash_skills!$1:$1,0)-MATCH($AT$1,[1]crash_skills!$1:$1,0)+1,FALSE)</f>
        <v>#VALUE!</v>
      </c>
      <c r="AV314" s="77" t="e">
        <f ca="1">VLOOKUP($AT314,OFFSET([1]crash_skills!$A$1,0,0,COUNTA([1]crash_skills!$A:$A),MATCH("comment",[1]crash_skills!$1:$1,0)-MATCH($AT$1,[1]crash_skills!$1:$1,0)+1),MATCH("comment",[1]crash_skills!$1:$1,0)-MATCH($AT$1,[1]crash_skills!$1:$1,0)+1,FALSE)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14" s="77" t="e">
        <f ca="1">VLOOKUP($AT314,OFFSET([1]crash_skills!$A$1,0,0,COUNTA([1]crash_skills!$A:$A),MATCH(AW$1,[1]crash_skills!$1:$1,0)-MATCH($AT$1,[1]crash_skills!$1:$1,0)+1),MATCH(AW$1,[1]crash_skills!$1:$1,0)-MATCH($AT$1,[1]crash_skills!$1:$1,0)+1,FALSE)</f>
        <v>#VALUE!</v>
      </c>
      <c r="AX314" s="81">
        <f ca="1">VLOOKUP($A314,OFFSET([2]characters!$A$1,0,0,COUNTA([2]characters!$A:$A),MATCH(AX$1,[2]characters!$1:$1,0)-MATCH($A$1,[2]characters!$1:$1,0)+1),MATCH(AX$1,[2]characters!$1:$1,0)-MATCH($A$1,[2]characters!$1:$1,0)+1,FALSE)</f>
        <v>3</v>
      </c>
      <c r="AY314" s="19">
        <v>1</v>
      </c>
      <c r="AZ314" s="19">
        <v>1</v>
      </c>
      <c r="BA314" s="19">
        <v>0</v>
      </c>
      <c r="BB314" s="19">
        <v>1</v>
      </c>
      <c r="BC314" s="14">
        <f ca="1">INDEX('RC6SV'!$A$1:$G$20,MATCH(H314,'RC6SV'!$A$1:$A$20,FALSE),MATCH(G314,'RC6SV'!$A$1:$G$1,FALSE))</f>
        <v>7600</v>
      </c>
      <c r="BD314" s="63">
        <f t="shared" ca="1" si="32"/>
        <v>7600</v>
      </c>
      <c r="BE314" s="14">
        <f t="shared" ca="1" si="33"/>
        <v>5800</v>
      </c>
      <c r="BF314" s="14">
        <f t="shared" ca="1" si="34"/>
        <v>1</v>
      </c>
      <c r="BG314" s="20">
        <f ca="1">IF($BE314&lt;=0,ROUND(BK314*0.5,0), ROUND($BE314*S314*AA314*J314*AY314*0.8*[2]ステータス!$B$2,0))</f>
        <v>2274</v>
      </c>
      <c r="BH314" s="20">
        <f ca="1">IF($BE314&lt;=0,ROUND(BL314*0.5,0), ROUND($BE314*T314*AB314*K314*AZ314*0.8*[2]ステータス!$C$2,0))</f>
        <v>1547</v>
      </c>
      <c r="BI314" s="20">
        <f ca="1">IF($BE314&lt;=0,ROUND(BM314*0.5,0), ROUND($BE314*U314*AC314*L314*BA314*0.8*[2]ステータス!$D$2,0))</f>
        <v>0</v>
      </c>
      <c r="BJ314" s="20">
        <f ca="1">IF($BE314&lt;=0,ROUND(BN314*0.5,0), ROUND($BE314*V314*AD314*M314*BB314*0.8*[2]ステータス!$E$2,0))</f>
        <v>1054</v>
      </c>
      <c r="BK314" s="14">
        <f ca="1">ROUND(BD314*S314*AA314*J314*AY314*[2]ステータス!$B$2,0)</f>
        <v>3724</v>
      </c>
      <c r="BL314" s="14">
        <f ca="1">ROUND(BD314*T314*AB314*K314*AZ314*[2]ステータス!$C$2,0)</f>
        <v>2533</v>
      </c>
      <c r="BM314" s="14">
        <f ca="1">ROUND(BD314*U314*AC314*L314*BA314*[2]ステータス!$D$2,0)</f>
        <v>0</v>
      </c>
      <c r="BN314" s="14">
        <f ca="1">ROUND(BD314*V314*AD314*M314*BB314*[2]ステータス!$E$2,0)</f>
        <v>1727</v>
      </c>
      <c r="BO314" s="13">
        <v>0</v>
      </c>
      <c r="BP314" s="13">
        <v>1</v>
      </c>
      <c r="BQ314" s="13" t="s">
        <v>102</v>
      </c>
      <c r="BR314" s="13">
        <f ca="1">VLOOKUP(H314,ghosts_label!$A$2:$B$19,2,FALSE)</f>
        <v>1</v>
      </c>
    </row>
    <row r="315" spans="1:70" ht="21" customHeight="1" x14ac:dyDescent="0.15">
      <c r="A315" s="14">
        <f t="shared" ca="1" si="29"/>
        <v>314</v>
      </c>
      <c r="B315" s="77" t="str">
        <f ca="1">VLOOKUP($A315,OFFSET([2]characters!$A$1,0,0,COUNTA([2]characters!$A:$A),MATCH(B$1,[2]characters!$1:$1,0)-MATCH($A$1,[2]characters!$1:$1,0)+1),MATCH(B$1,[2]characters!$1:$1,0)-MATCH($A$1,[2]characters!$1:$1,0)+1,FALSE)</f>
        <v>ジャンヌ</v>
      </c>
      <c r="C315" s="77" t="str">
        <f ca="1">VLOOKUP($A315,OFFSET([2]characters!$A$1,0,0,COUNTA([2]characters!$A:$A),MATCH(C$1,[2]characters!$1:$1,0)-MATCH($A$1,[2]characters!$1:$1,0)+1),MATCH(C$1,[2]characters!$1:$1,0)-MATCH($A$1,[2]characters!$1:$1,0)+1,FALSE)</f>
        <v>イベント:ウィザード</v>
      </c>
      <c r="D315" s="77" t="str">
        <f ca="1">VLOOKUP($A315,OFFSET([2]characters!$A$1,0,0,COUNTA([2]characters!$A:$A),MATCH(D$1,[2]characters!$1:$1,0)-MATCH($A$1,[2]characters!$1:$1,0)+1),MATCH(D$1,[2]characters!$1:$1,0)-MATCH($A$1,[2]characters!$1:$1,0)+1,FALSE)</f>
        <v>守護者</v>
      </c>
      <c r="E315" s="77" t="str">
        <f ca="1">VLOOKUP($A315,OFFSET([2]characters!$A$1,0,0,COUNTA([2]characters!$A:$A),MATCH(E$1,[2]characters!$1:$1,0)-MATCH($A$1,[2]characters!$1:$1,0)+1),MATCH(E$1,[2]characters!$1:$1,0)-MATCH($A$1,[2]characters!$1:$1,0)+1,FALSE)</f>
        <v>美しい</v>
      </c>
      <c r="F315" s="77" t="str">
        <f ca="1">VLOOKUP($A315,OFFSET([2]characters!$A$1,0,0,COUNTA([2]characters!$A:$A),MATCH(F$1,[2]characters!$1:$1,0)-MATCH($A$1,[2]characters!$1:$1,0)+1),MATCH(F$1,[2]characters!$1:$1,0)-MATCH($A$1,[2]characters!$1:$1,0)+1,FALSE)</f>
        <v>女性</v>
      </c>
      <c r="G315" s="77">
        <f ca="1">VLOOKUP($A315,OFFSET([2]characters!$A$1,0,0,COUNTA([2]characters!$A:$A),MATCH(G$1,[2]characters!$1:$1,0)-MATCH($A$1,[2]characters!$1:$1,0)+1),MATCH(G$1,[2]characters!$1:$1,0)-MATCH($A$1,[2]characters!$1:$1,0)+1,FALSE)</f>
        <v>4</v>
      </c>
      <c r="H315" s="77" t="str">
        <f ca="1">VLOOKUP($A315,OFFSET([2]characters!$A$1,0,0,COUNTA([2]characters!$A:$A),MATCH(H$1,[2]characters!$1:$1,0)-MATCH($A$1,[2]characters!$1:$1,0)+1),MATCH(H$1,[2]characters!$1:$1,0)-MATCH($A$1,[2]characters!$1:$1,0)+1,FALSE)</f>
        <v>DropWizS</v>
      </c>
      <c r="I315" s="77" t="str">
        <f ca="1">VLOOKUP($A315,OFFSET([2]characters!$A$1,0,0,COUNTA([2]characters!$A:$A),MATCH(I$1,[2]characters!$1:$1,0)-MATCH($A$1,[2]characters!$1:$1,0)+1),MATCH(I$1,[2]characters!$1:$1,0)-MATCH($A$1,[2]characters!$1:$1,0)+1,FALSE)</f>
        <v>blue</v>
      </c>
      <c r="J315" s="14">
        <f ca="1">VLOOKUP(I315,[2]属性!$A:$E,2,FALSE)</f>
        <v>1</v>
      </c>
      <c r="K315" s="14">
        <f ca="1">VLOOKUP(I315,[2]属性!$A:$E,3,FALSE)</f>
        <v>0.98</v>
      </c>
      <c r="L315" s="14">
        <f ca="1">VLOOKUP(I315,[2]属性!$A:$E,4,FALSE)</f>
        <v>1</v>
      </c>
      <c r="M315" s="14">
        <f ca="1">VLOOKUP(I315,[2]属性!$A:$E,5,FALSE)</f>
        <v>1.02</v>
      </c>
      <c r="N315" s="14">
        <f ca="1">INDEX(コスト!$A$1:$I$20,MATCH(H315,コスト!$A$1:$A$20,FALSE),MATCH(G315,コスト!$A$1:$I$1,FALSE))</f>
        <v>20</v>
      </c>
      <c r="O315" s="14">
        <f ca="1">INDEX(レベル!$A$1:$I$21,MATCH(H315,レベル!$A$1:$A$21,FALSE),MATCH(G315,レベル!$A$1:$I$1,FALSE))</f>
        <v>60</v>
      </c>
      <c r="P315" s="63">
        <f t="shared" ca="1" si="35"/>
        <v>60</v>
      </c>
      <c r="Q315" s="77" t="str">
        <f ca="1">VLOOKUP($A315,OFFSET([2]characters!$A$1,0,0,COUNTA([2]characters!$A:$A),MATCH(Q$1,[2]characters!$1:$1,0)-MATCH($A$1,[2]characters!$1:$1,0)+1),MATCH(Q$1,[2]characters!$1:$1,0)-MATCH($A$1,[2]characters!$1:$1,0)+1,FALSE)</f>
        <v>heal</v>
      </c>
      <c r="R315" s="8" t="str">
        <f ca="1">VLOOKUP(Q315,[2]character_type_i18n!$A:$H,3,FALSE)</f>
        <v>回復タイプ</v>
      </c>
      <c r="S315" s="14">
        <f ca="1">VLOOKUP(Q315,[2]character_type_i18n!$A:$H,4,FALSE)</f>
        <v>0.8</v>
      </c>
      <c r="T315" s="14">
        <f ca="1">VLOOKUP(Q315,[2]character_type_i18n!$A:$H,5,FALSE)</f>
        <v>0.78</v>
      </c>
      <c r="U315" s="14">
        <f ca="1">VLOOKUP(Q315,[2]character_type_i18n!$A:$H,6,FALSE)</f>
        <v>1</v>
      </c>
      <c r="V315" s="14">
        <f ca="1">VLOOKUP(Q315,[2]character_type_i18n!$A:$H,7,FALSE)</f>
        <v>1.42</v>
      </c>
      <c r="W315" s="77" t="str">
        <f ca="1">VLOOKUP($A315,OFFSET([2]characters!$A$1,0,0,COUNTA([2]characters!$A:$A),MATCH(W$1,[2]characters!$1:$1,0)-MATCH($A$1,[2]characters!$1:$1,0)+1),MATCH(W$1,[2]characters!$1:$1,0)-MATCH($A$1,[2]characters!$1:$1,0)+1,FALSE)</f>
        <v>human</v>
      </c>
      <c r="X315" s="8" t="str">
        <f ca="1">VLOOKUP(W315,[2]character_tribe_i18n!$A:$H,3,FALSE)</f>
        <v>ヒューマン</v>
      </c>
      <c r="Y315" s="77" t="str">
        <f ca="1">VLOOKUP($A315,OFFSET([2]characters!$A$1,0,0,COUNTA([2]characters!$A:$A),MATCH(Y$1,[2]characters!$1:$1,0)-MATCH($A$1,[2]characters!$1:$1,0)+1),MATCH(Y$1,[2]characters!$1:$1,0)-MATCH($A$1,[2]characters!$1:$1,0)+1,FALSE)</f>
        <v>none</v>
      </c>
      <c r="Z315" s="8" t="str">
        <f ca="1">VLOOKUP(Y315,[2]character_tribe_i18n!$A:$H,3,FALSE)</f>
        <v>種族なし</v>
      </c>
      <c r="AA315" s="14">
        <f ca="1">VLOOKUP(W315,[2]character_tribe_i18n!$A:$H,4,FALSE)</f>
        <v>0.94</v>
      </c>
      <c r="AB315" s="14">
        <f ca="1">VLOOKUP(W315,[2]character_tribe_i18n!$A:$H,5,FALSE)</f>
        <v>0.99</v>
      </c>
      <c r="AC315" s="14">
        <f ca="1">VLOOKUP(W315,[2]character_tribe_i18n!$A:$H,6,FALSE)</f>
        <v>1</v>
      </c>
      <c r="AD315" s="14">
        <f ca="1">VLOOKUP(W315,[2]character_tribe_i18n!$A:$H,7,FALSE)</f>
        <v>1.07</v>
      </c>
      <c r="AE315" s="12">
        <v>315</v>
      </c>
      <c r="AF315" s="85" t="str">
        <f ca="1">IF(AE315="NULL","",VLOOKUP($AE315,OFFSET([2]characters!$A$1,0,0,COUNTA([2]characters!$A:$A),MATCH(AF$1,[2]characters!$1:$1,0)-MATCH($A$1,[2]characters!$1:$1,0)+1),MATCH(AF$1,[2]characters!$1:$1,0)-MATCH($A$1,[2]characters!$1:$1,0)+1,FALSE))</f>
        <v>鉄馬駆る聖女 ジャンヌ</v>
      </c>
      <c r="AG315" s="8">
        <f t="shared" ca="1" si="30"/>
        <v>314</v>
      </c>
      <c r="AH315" s="85" t="str">
        <f ca="1">VLOOKUP($AG315,OFFSET([2]characters!$A$1,0,0,COUNTA([2]characters!$A:$A),MATCH(AH$1,[2]characters!$1:$1,0)-MATCH($A$1,[2]characters!$1:$1,0)+1),MATCH(AH$1,[2]characters!$1:$1,0)-MATCH($A$1,[2]characters!$1:$1,0)+1,FALSE)</f>
        <v>ジャンヌ</v>
      </c>
      <c r="AI315" s="14">
        <f ca="1">IF(AE315="NULL","NULL",VLOOKUP(G315,ビット!$A$2:$B$7,2))</f>
        <v>50000</v>
      </c>
      <c r="AJ315" s="9">
        <v>2</v>
      </c>
      <c r="AK315" s="10" t="str">
        <f t="shared" si="31"/>
        <v>普通</v>
      </c>
      <c r="AL315" s="14" t="str">
        <f ca="1">INDEX(経験値!$A$1:$I$20,MATCH(H315,経験値!$A$1:$A$20,FALSE),MATCH(G315,経験値!$A$1:$I$1,FALSE))</f>
        <v>required_exp_200</v>
      </c>
      <c r="AM315" s="11">
        <f ca="1">VLOOKUP(G315,経験値!$A$27:$B$31,2)</f>
        <v>3400</v>
      </c>
      <c r="AN315" s="21">
        <f ca="1">VLOOKUP(G315,ビット!$G$2:$H$7,2)</f>
        <v>600</v>
      </c>
      <c r="AO315" s="98"/>
      <c r="AP315" s="4">
        <v>170002</v>
      </c>
      <c r="AQ315" s="77" t="e">
        <f ca="1">VLOOKUP($AP315,OFFSET([1]unit_skills!$A$1,0,0,COUNTA([1]unit_skills!$A:$A),MATCH("name",[1]unit_skills!$1:$1,0)-MATCH($AP$1,[1]unit_skills!$1:$1,0)+1),MATCH("name",[1]unit_skills!$1:$1,0)-MATCH($AP$1,[1]unit_skills!$1:$1,0)+1,FALSE)</f>
        <v>#VALUE!</v>
      </c>
      <c r="AR315" s="77" t="e">
        <f ca="1">VLOOKUP($AP315,OFFSET([1]unit_skills!$A$1,0,0,COUNTA([1]unit_skills!$A:$A),MATCH("comment",[1]unit_skills!$1:$1,0)-MATCH($AP$1,[1]unit_skills!$1:$1,0)+1),MATCH("comment",[1]unit_skills!$1:$1,0)-MATCH($AP$1,[1]unit_skills!$1:$1,0)+1,FALSE)</f>
        <v>#VALUE!</v>
      </c>
      <c r="AS315" s="77" t="e">
        <f ca="1">VLOOKUP($AP315,OFFSET([1]unit_skills!$A$1,0,0,COUNTA([1]unit_skills!$A:$A),MATCH(AS$1,[1]unit_skills!$1:$1,0)-MATCH($AP$1,[1]unit_skills!$1:$1,0)+1),MATCH(AS$1,[1]unit_skills!$1:$1,0)-MATCH($AP$1,[1]unit_skills!$1:$1,0)+1,FALSE)</f>
        <v>#VALUE!</v>
      </c>
      <c r="AT315" s="53">
        <v>233003</v>
      </c>
      <c r="AU315" s="77" t="e">
        <f ca="1">VLOOKUP($AT315,OFFSET([1]crash_skills!$A$1,0,0,COUNTA([1]crash_skills!$A:$A),MATCH("name",[1]crash_skills!$1:$1,0)-MATCH($AT$1,[1]crash_skills!$1:$1,0)+1),MATCH("name",[1]crash_skills!$1:$1,0)-MATCH($AT$1,[1]crash_skills!$1:$1,0)+1,FALSE)</f>
        <v>#VALUE!</v>
      </c>
      <c r="AV315" s="77" t="e">
        <f ca="1">VLOOKUP($AT315,OFFSET([1]crash_skills!$A$1,0,0,COUNTA([1]crash_skills!$A:$A),MATCH("comment",[1]crash_skills!$1:$1,0)-MATCH($AT$1,[1]crash_skills!$1:$1,0)+1),MATCH("comment",[1]crash_skills!$1:$1,0)-MATCH($AT$1,[1]crash_skills!$1:$1,0)+1,FALSE)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15" s="77" t="e">
        <f ca="1">VLOOKUP($AT315,OFFSET([1]crash_skills!$A$1,0,0,COUNTA([1]crash_skills!$A:$A),MATCH(AW$1,[1]crash_skills!$1:$1,0)-MATCH($AT$1,[1]crash_skills!$1:$1,0)+1),MATCH(AW$1,[1]crash_skills!$1:$1,0)-MATCH($AT$1,[1]crash_skills!$1:$1,0)+1,FALSE)</f>
        <v>#VALUE!</v>
      </c>
      <c r="AX315" s="81">
        <f ca="1">VLOOKUP($A315,OFFSET([2]characters!$A$1,0,0,COUNTA([2]characters!$A:$A),MATCH(AX$1,[2]characters!$1:$1,0)-MATCH($A$1,[2]characters!$1:$1,0)+1),MATCH(AX$1,[2]characters!$1:$1,0)-MATCH($A$1,[2]characters!$1:$1,0)+1,FALSE)</f>
        <v>3</v>
      </c>
      <c r="AY315" s="19">
        <v>1</v>
      </c>
      <c r="AZ315" s="19">
        <v>1</v>
      </c>
      <c r="BA315" s="19">
        <v>0</v>
      </c>
      <c r="BB315" s="19">
        <v>1</v>
      </c>
      <c r="BC315" s="14">
        <f ca="1">INDEX('RC6SV'!$A$1:$G$20,MATCH(H315,'RC6SV'!$A$1:$A$20,FALSE),MATCH(G315,'RC6SV'!$A$1:$G$1,FALSE))</f>
        <v>7000</v>
      </c>
      <c r="BD315" s="63">
        <f t="shared" ca="1" si="32"/>
        <v>7000</v>
      </c>
      <c r="BE315" s="14">
        <f t="shared" ca="1" si="33"/>
        <v>0</v>
      </c>
      <c r="BF315" s="14">
        <f t="shared" ca="1" si="34"/>
        <v>1</v>
      </c>
      <c r="BG315" s="20">
        <f ca="1">IF($BE315&lt;=0,ROUND(BK315*0.5,0), ROUND($BE315*S315*AA315*J315*AY315*0.8*[2]ステータス!$B$2,0))</f>
        <v>1316</v>
      </c>
      <c r="BH315" s="20">
        <f ca="1">IF($BE315&lt;=0,ROUND(BL315*0.5,0), ROUND($BE315*T315*AB315*K315*AZ315*0.8*[2]ステータス!$C$2,0))</f>
        <v>795</v>
      </c>
      <c r="BI315" s="20">
        <f ca="1">IF($BE315&lt;=0,ROUND(BM315*0.5,0), ROUND($BE315*U315*AC315*L315*BA315*0.8*[2]ステータス!$D$2,0))</f>
        <v>0</v>
      </c>
      <c r="BJ315" s="20">
        <f ca="1">IF($BE315&lt;=0,ROUND(BN315*0.5,0), ROUND($BE315*V315*AD315*M315*BB315*0.8*[2]ステータス!$E$2,0))</f>
        <v>1356</v>
      </c>
      <c r="BK315" s="14">
        <f ca="1">ROUND(BD315*S315*AA315*J315*AY315*[2]ステータス!$B$2,0)</f>
        <v>2632</v>
      </c>
      <c r="BL315" s="14">
        <f ca="1">ROUND(BD315*T315*AB315*K315*AZ315*[2]ステータス!$C$2,0)</f>
        <v>1589</v>
      </c>
      <c r="BM315" s="14">
        <f ca="1">ROUND(BD315*U315*AC315*L315*BA315*[2]ステータス!$D$2,0)</f>
        <v>0</v>
      </c>
      <c r="BN315" s="14">
        <f ca="1">ROUND(BD315*V315*AD315*M315*BB315*[2]ステータス!$E$2,0)</f>
        <v>2712</v>
      </c>
      <c r="BO315" s="13">
        <v>0</v>
      </c>
      <c r="BP315" s="13">
        <v>1</v>
      </c>
      <c r="BQ315" s="13" t="s">
        <v>102</v>
      </c>
      <c r="BR315" s="13">
        <f ca="1">VLOOKUP(H315,ghosts_label!$A$2:$B$19,2,FALSE)</f>
        <v>1</v>
      </c>
    </row>
    <row r="316" spans="1:70" ht="21" customHeight="1" x14ac:dyDescent="0.15">
      <c r="A316" s="14">
        <f t="shared" ca="1" si="29"/>
        <v>315</v>
      </c>
      <c r="B316" s="77" t="str">
        <f ca="1">VLOOKUP($A316,OFFSET([2]characters!$A$1,0,0,COUNTA([2]characters!$A:$A),MATCH(B$1,[2]characters!$1:$1,0)-MATCH($A$1,[2]characters!$1:$1,0)+1),MATCH(B$1,[2]characters!$1:$1,0)-MATCH($A$1,[2]characters!$1:$1,0)+1,FALSE)</f>
        <v>鉄馬駆る聖女 ジャンヌ</v>
      </c>
      <c r="C316" s="77" t="str">
        <f ca="1">VLOOKUP($A316,OFFSET([2]characters!$A$1,0,0,COUNTA([2]characters!$A:$A),MATCH(C$1,[2]characters!$1:$1,0)-MATCH($A$1,[2]characters!$1:$1,0)+1),MATCH(C$1,[2]characters!$1:$1,0)-MATCH($A$1,[2]characters!$1:$1,0)+1,FALSE)</f>
        <v>イベント:ウィザード</v>
      </c>
      <c r="D316" s="77" t="str">
        <f ca="1">VLOOKUP($A316,OFFSET([2]characters!$A$1,0,0,COUNTA([2]characters!$A:$A),MATCH(D$1,[2]characters!$1:$1,0)-MATCH($A$1,[2]characters!$1:$1,0)+1),MATCH(D$1,[2]characters!$1:$1,0)-MATCH($A$1,[2]characters!$1:$1,0)+1,FALSE)</f>
        <v>守護者</v>
      </c>
      <c r="E316" s="77" t="str">
        <f ca="1">VLOOKUP($A316,OFFSET([2]characters!$A$1,0,0,COUNTA([2]characters!$A:$A),MATCH(E$1,[2]characters!$1:$1,0)-MATCH($A$1,[2]characters!$1:$1,0)+1),MATCH(E$1,[2]characters!$1:$1,0)-MATCH($A$1,[2]characters!$1:$1,0)+1,FALSE)</f>
        <v>美しい</v>
      </c>
      <c r="F316" s="77" t="str">
        <f ca="1">VLOOKUP($A316,OFFSET([2]characters!$A$1,0,0,COUNTA([2]characters!$A:$A),MATCH(F$1,[2]characters!$1:$1,0)-MATCH($A$1,[2]characters!$1:$1,0)+1),MATCH(F$1,[2]characters!$1:$1,0)-MATCH($A$1,[2]characters!$1:$1,0)+1,FALSE)</f>
        <v>女性</v>
      </c>
      <c r="G316" s="77">
        <f ca="1">VLOOKUP($A316,OFFSET([2]characters!$A$1,0,0,COUNTA([2]characters!$A:$A),MATCH(G$1,[2]characters!$1:$1,0)-MATCH($A$1,[2]characters!$1:$1,0)+1),MATCH(G$1,[2]characters!$1:$1,0)-MATCH($A$1,[2]characters!$1:$1,0)+1,FALSE)</f>
        <v>5</v>
      </c>
      <c r="H316" s="77" t="str">
        <f ca="1">VLOOKUP($A316,OFFSET([2]characters!$A$1,0,0,COUNTA([2]characters!$A:$A),MATCH(H$1,[2]characters!$1:$1,0)-MATCH($A$1,[2]characters!$1:$1,0)+1),MATCH(H$1,[2]characters!$1:$1,0)-MATCH($A$1,[2]characters!$1:$1,0)+1,FALSE)</f>
        <v>DropWizS</v>
      </c>
      <c r="I316" s="77" t="str">
        <f ca="1">VLOOKUP($A316,OFFSET([2]characters!$A$1,0,0,COUNTA([2]characters!$A:$A),MATCH(I$1,[2]characters!$1:$1,0)-MATCH($A$1,[2]characters!$1:$1,0)+1),MATCH(I$1,[2]characters!$1:$1,0)-MATCH($A$1,[2]characters!$1:$1,0)+1,FALSE)</f>
        <v>blue</v>
      </c>
      <c r="J316" s="14">
        <f ca="1">VLOOKUP(I316,[2]属性!$A:$E,2,FALSE)</f>
        <v>1</v>
      </c>
      <c r="K316" s="14">
        <f ca="1">VLOOKUP(I316,[2]属性!$A:$E,3,FALSE)</f>
        <v>0.98</v>
      </c>
      <c r="L316" s="14">
        <f ca="1">VLOOKUP(I316,[2]属性!$A:$E,4,FALSE)</f>
        <v>1</v>
      </c>
      <c r="M316" s="14">
        <f ca="1">VLOOKUP(I316,[2]属性!$A:$E,5,FALSE)</f>
        <v>1.02</v>
      </c>
      <c r="N316" s="14">
        <f ca="1">INDEX(コスト!$A$1:$I$20,MATCH(H316,コスト!$A$1:$A$20,FALSE),MATCH(G316,コスト!$A$1:$I$1,FALSE))</f>
        <v>30</v>
      </c>
      <c r="O316" s="14">
        <f ca="1">INDEX(レベル!$A$1:$I$21,MATCH(H316,レベル!$A$1:$A$21,FALSE),MATCH(G316,レベル!$A$1:$I$1,FALSE))</f>
        <v>80</v>
      </c>
      <c r="P316" s="63">
        <f t="shared" ca="1" si="35"/>
        <v>75</v>
      </c>
      <c r="Q316" s="77" t="str">
        <f ca="1">VLOOKUP($A316,OFFSET([2]characters!$A$1,0,0,COUNTA([2]characters!$A:$A),MATCH(Q$1,[2]characters!$1:$1,0)-MATCH($A$1,[2]characters!$1:$1,0)+1),MATCH(Q$1,[2]characters!$1:$1,0)-MATCH($A$1,[2]characters!$1:$1,0)+1,FALSE)</f>
        <v>heal</v>
      </c>
      <c r="R316" s="8" t="str">
        <f ca="1">VLOOKUP(Q316,[2]character_type_i18n!$A:$H,3,FALSE)</f>
        <v>回復タイプ</v>
      </c>
      <c r="S316" s="14">
        <f ca="1">VLOOKUP(Q316,[2]character_type_i18n!$A:$H,4,FALSE)</f>
        <v>0.8</v>
      </c>
      <c r="T316" s="14">
        <f ca="1">VLOOKUP(Q316,[2]character_type_i18n!$A:$H,5,FALSE)</f>
        <v>0.78</v>
      </c>
      <c r="U316" s="14">
        <f ca="1">VLOOKUP(Q316,[2]character_type_i18n!$A:$H,6,FALSE)</f>
        <v>1</v>
      </c>
      <c r="V316" s="14">
        <f ca="1">VLOOKUP(Q316,[2]character_type_i18n!$A:$H,7,FALSE)</f>
        <v>1.42</v>
      </c>
      <c r="W316" s="77" t="str">
        <f ca="1">VLOOKUP($A316,OFFSET([2]characters!$A$1,0,0,COUNTA([2]characters!$A:$A),MATCH(W$1,[2]characters!$1:$1,0)-MATCH($A$1,[2]characters!$1:$1,0)+1),MATCH(W$1,[2]characters!$1:$1,0)-MATCH($A$1,[2]characters!$1:$1,0)+1,FALSE)</f>
        <v>human</v>
      </c>
      <c r="X316" s="8" t="str">
        <f ca="1">VLOOKUP(W316,[2]character_tribe_i18n!$A:$H,3,FALSE)</f>
        <v>ヒューマン</v>
      </c>
      <c r="Y316" s="77" t="str">
        <f ca="1">VLOOKUP($A316,OFFSET([2]characters!$A$1,0,0,COUNTA([2]characters!$A:$A),MATCH(Y$1,[2]characters!$1:$1,0)-MATCH($A$1,[2]characters!$1:$1,0)+1),MATCH(Y$1,[2]characters!$1:$1,0)-MATCH($A$1,[2]characters!$1:$1,0)+1,FALSE)</f>
        <v>none</v>
      </c>
      <c r="Z316" s="8" t="str">
        <f ca="1">VLOOKUP(Y316,[2]character_tribe_i18n!$A:$H,3,FALSE)</f>
        <v>種族なし</v>
      </c>
      <c r="AA316" s="14">
        <f ca="1">VLOOKUP(W316,[2]character_tribe_i18n!$A:$H,4,FALSE)</f>
        <v>0.94</v>
      </c>
      <c r="AB316" s="14">
        <f ca="1">VLOOKUP(W316,[2]character_tribe_i18n!$A:$H,5,FALSE)</f>
        <v>0.99</v>
      </c>
      <c r="AC316" s="14">
        <f ca="1">VLOOKUP(W316,[2]character_tribe_i18n!$A:$H,6,FALSE)</f>
        <v>1</v>
      </c>
      <c r="AD316" s="14">
        <f ca="1">VLOOKUP(W316,[2]character_tribe_i18n!$A:$H,7,FALSE)</f>
        <v>1.07</v>
      </c>
      <c r="AE316" s="12">
        <v>814</v>
      </c>
      <c r="AF316" s="85" t="str">
        <f ca="1">IF(AE316="NULL","",VLOOKUP($AE316,OFFSET([2]characters!$A$1,0,0,COUNTA([2]characters!$A:$A),MATCH(AF$1,[2]characters!$1:$1,0)-MATCH($A$1,[2]characters!$1:$1,0)+1),MATCH(AF$1,[2]characters!$1:$1,0)-MATCH($A$1,[2]characters!$1:$1,0)+1,FALSE))</f>
        <v>戦場疾駆の鋼蹄 ジャンヌ</v>
      </c>
      <c r="AG316" s="8">
        <f t="shared" ca="1" si="30"/>
        <v>314</v>
      </c>
      <c r="AH316" s="85" t="str">
        <f ca="1">VLOOKUP($AG316,OFFSET([2]characters!$A$1,0,0,COUNTA([2]characters!$A:$A),MATCH(AH$1,[2]characters!$1:$1,0)-MATCH($A$1,[2]characters!$1:$1,0)+1),MATCH(AH$1,[2]characters!$1:$1,0)-MATCH($A$1,[2]characters!$1:$1,0)+1,FALSE)</f>
        <v>ジャンヌ</v>
      </c>
      <c r="AI316" s="14">
        <f ca="1">IF(AE316="NULL","NULL",VLOOKUP(G316,ビット!$A$2:$B$7,2))</f>
        <v>200000</v>
      </c>
      <c r="AJ316" s="9">
        <v>2</v>
      </c>
      <c r="AK316" s="10" t="str">
        <f t="shared" si="31"/>
        <v>普通</v>
      </c>
      <c r="AL316" s="14" t="str">
        <f ca="1">INDEX(経験値!$A$1:$I$20,MATCH(H316,経験値!$A$1:$A$20,FALSE),MATCH(G316,経験値!$A$1:$I$1,FALSE))</f>
        <v>required_exp_200</v>
      </c>
      <c r="AM316" s="11">
        <f ca="1">VLOOKUP(G316,経験値!$A$27:$B$31,2)</f>
        <v>6400</v>
      </c>
      <c r="AN316" s="21">
        <f ca="1">VLOOKUP(G316,ビット!$G$2:$H$7,2)</f>
        <v>900</v>
      </c>
      <c r="AO316" s="98"/>
      <c r="AP316" s="4">
        <v>170002</v>
      </c>
      <c r="AQ316" s="77" t="e">
        <f ca="1">VLOOKUP($AP316,OFFSET([1]unit_skills!$A$1,0,0,COUNTA([1]unit_skills!$A:$A),MATCH("name",[1]unit_skills!$1:$1,0)-MATCH($AP$1,[1]unit_skills!$1:$1,0)+1),MATCH("name",[1]unit_skills!$1:$1,0)-MATCH($AP$1,[1]unit_skills!$1:$1,0)+1,FALSE)</f>
        <v>#VALUE!</v>
      </c>
      <c r="AR316" s="77" t="e">
        <f ca="1">VLOOKUP($AP316,OFFSET([1]unit_skills!$A$1,0,0,COUNTA([1]unit_skills!$A:$A),MATCH("comment",[1]unit_skills!$1:$1,0)-MATCH($AP$1,[1]unit_skills!$1:$1,0)+1),MATCH("comment",[1]unit_skills!$1:$1,0)-MATCH($AP$1,[1]unit_skills!$1:$1,0)+1,FALSE)</f>
        <v>#VALUE!</v>
      </c>
      <c r="AS316" s="77" t="e">
        <f ca="1">VLOOKUP($AP316,OFFSET([1]unit_skills!$A$1,0,0,COUNTA([1]unit_skills!$A:$A),MATCH(AS$1,[1]unit_skills!$1:$1,0)-MATCH($AP$1,[1]unit_skills!$1:$1,0)+1),MATCH(AS$1,[1]unit_skills!$1:$1,0)-MATCH($AP$1,[1]unit_skills!$1:$1,0)+1,FALSE)</f>
        <v>#VALUE!</v>
      </c>
      <c r="AT316" s="53">
        <v>233003</v>
      </c>
      <c r="AU316" s="77" t="e">
        <f ca="1">VLOOKUP($AT316,OFFSET([1]crash_skills!$A$1,0,0,COUNTA([1]crash_skills!$A:$A),MATCH("name",[1]crash_skills!$1:$1,0)-MATCH($AT$1,[1]crash_skills!$1:$1,0)+1),MATCH("name",[1]crash_skills!$1:$1,0)-MATCH($AT$1,[1]crash_skills!$1:$1,0)+1,FALSE)</f>
        <v>#VALUE!</v>
      </c>
      <c r="AV316" s="77" t="e">
        <f ca="1">VLOOKUP($AT316,OFFSET([1]crash_skills!$A$1,0,0,COUNTA([1]crash_skills!$A:$A),MATCH("comment",[1]crash_skills!$1:$1,0)-MATCH($AT$1,[1]crash_skills!$1:$1,0)+1),MATCH("comment",[1]crash_skills!$1:$1,0)-MATCH($AT$1,[1]crash_skills!$1:$1,0)+1,FALSE)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16" s="77" t="e">
        <f ca="1">VLOOKUP($AT316,OFFSET([1]crash_skills!$A$1,0,0,COUNTA([1]crash_skills!$A:$A),MATCH(AW$1,[1]crash_skills!$1:$1,0)-MATCH($AT$1,[1]crash_skills!$1:$1,0)+1),MATCH(AW$1,[1]crash_skills!$1:$1,0)-MATCH($AT$1,[1]crash_skills!$1:$1,0)+1,FALSE)</f>
        <v>#VALUE!</v>
      </c>
      <c r="AX316" s="81">
        <f ca="1">VLOOKUP($A316,OFFSET([2]characters!$A$1,0,0,COUNTA([2]characters!$A:$A),MATCH(AX$1,[2]characters!$1:$1,0)-MATCH($A$1,[2]characters!$1:$1,0)+1),MATCH(AX$1,[2]characters!$1:$1,0)-MATCH($A$1,[2]characters!$1:$1,0)+1,FALSE)</f>
        <v>3</v>
      </c>
      <c r="AY316" s="19">
        <v>1.02</v>
      </c>
      <c r="AZ316" s="19">
        <v>1.2130000000000001</v>
      </c>
      <c r="BA316" s="19">
        <v>0</v>
      </c>
      <c r="BB316" s="19">
        <v>1.262</v>
      </c>
      <c r="BC316" s="14">
        <f ca="1">INDEX('RC6SV'!$A$1:$G$20,MATCH(H316,'RC6SV'!$A$1:$A$20,FALSE),MATCH(G316,'RC6SV'!$A$1:$G$1,FALSE))</f>
        <v>9000</v>
      </c>
      <c r="BD316" s="63">
        <f t="shared" ca="1" si="32"/>
        <v>9000</v>
      </c>
      <c r="BE316" s="14">
        <f t="shared" ca="1" si="33"/>
        <v>7000</v>
      </c>
      <c r="BF316" s="14">
        <f t="shared" ca="1" si="34"/>
        <v>1</v>
      </c>
      <c r="BG316" s="20">
        <f ca="1">IF($BE316&lt;=0,ROUND(BK316*0.5,0), ROUND($BE316*S316*AA316*J316*AY316*0.8*[2]ステータス!$B$2,0))</f>
        <v>2148</v>
      </c>
      <c r="BH316" s="20">
        <f ca="1">IF($BE316&lt;=0,ROUND(BL316*0.5,0), ROUND($BE316*T316*AB316*K316*AZ316*0.8*[2]ステータス!$C$2,0))</f>
        <v>1542</v>
      </c>
      <c r="BI316" s="20">
        <f ca="1">IF($BE316&lt;=0,ROUND(BM316*0.5,0), ROUND($BE316*U316*AC316*L316*BA316*0.8*[2]ステータス!$D$2,0))</f>
        <v>0</v>
      </c>
      <c r="BJ316" s="20">
        <f ca="1">IF($BE316&lt;=0,ROUND(BN316*0.5,0), ROUND($BE316*V316*AD316*M316*BB316*0.8*[2]ステータス!$E$2,0))</f>
        <v>2738</v>
      </c>
      <c r="BK316" s="14">
        <f ca="1">ROUND(BD316*S316*AA316*J316*AY316*[2]ステータス!$B$2,0)</f>
        <v>3452</v>
      </c>
      <c r="BL316" s="14">
        <f ca="1">ROUND(BD316*T316*AB316*K316*AZ316*[2]ステータス!$C$2,0)</f>
        <v>2478</v>
      </c>
      <c r="BM316" s="14">
        <f ca="1">ROUND(BD316*U316*AC316*L316*BA316*[2]ステータス!$D$2,0)</f>
        <v>0</v>
      </c>
      <c r="BN316" s="14">
        <f ca="1">ROUND(BD316*V316*AD316*M316*BB316*[2]ステータス!$E$2,0)</f>
        <v>4401</v>
      </c>
      <c r="BO316" s="13">
        <v>0</v>
      </c>
      <c r="BP316" s="13">
        <v>1</v>
      </c>
      <c r="BQ316" s="13" t="s">
        <v>102</v>
      </c>
      <c r="BR316" s="13">
        <f ca="1">VLOOKUP(H316,ghosts_label!$A$2:$B$19,2,FALSE)</f>
        <v>1</v>
      </c>
    </row>
    <row r="317" spans="1:70" ht="21" customHeight="1" x14ac:dyDescent="0.15">
      <c r="A317" s="14">
        <f t="shared" ca="1" si="29"/>
        <v>316</v>
      </c>
      <c r="B317" s="77" t="str">
        <f ca="1">VLOOKUP($A317,OFFSET([2]characters!$A$1,0,0,COUNTA([2]characters!$A:$A),MATCH(B$1,[2]characters!$1:$1,0)-MATCH($A$1,[2]characters!$1:$1,0)+1),MATCH(B$1,[2]characters!$1:$1,0)-MATCH($A$1,[2]characters!$1:$1,0)+1,FALSE)</f>
        <v>テスラ</v>
      </c>
      <c r="C317" s="77" t="str">
        <f ca="1">VLOOKUP($A317,OFFSET([2]characters!$A$1,0,0,COUNTA([2]characters!$A:$A),MATCH(C$1,[2]characters!$1:$1,0)-MATCH($A$1,[2]characters!$1:$1,0)+1),MATCH(C$1,[2]characters!$1:$1,0)-MATCH($A$1,[2]characters!$1:$1,0)+1,FALSE)</f>
        <v>チャレンジタワー</v>
      </c>
      <c r="D317" s="77" t="str">
        <f ca="1">VLOOKUP($A317,OFFSET([2]characters!$A$1,0,0,COUNTA([2]characters!$A:$A),MATCH(D$1,[2]characters!$1:$1,0)-MATCH($A$1,[2]characters!$1:$1,0)+1),MATCH(D$1,[2]characters!$1:$1,0)-MATCH($A$1,[2]characters!$1:$1,0)+1,FALSE)</f>
        <v>守護者</v>
      </c>
      <c r="E317" s="77" t="str">
        <f ca="1">VLOOKUP($A317,OFFSET([2]characters!$A$1,0,0,COUNTA([2]characters!$A:$A),MATCH(E$1,[2]characters!$1:$1,0)-MATCH($A$1,[2]characters!$1:$1,0)+1),MATCH(E$1,[2]characters!$1:$1,0)-MATCH($A$1,[2]characters!$1:$1,0)+1,FALSE)</f>
        <v>可愛い</v>
      </c>
      <c r="F317" s="77" t="str">
        <f ca="1">VLOOKUP($A317,OFFSET([2]characters!$A$1,0,0,COUNTA([2]characters!$A:$A),MATCH(F$1,[2]characters!$1:$1,0)-MATCH($A$1,[2]characters!$1:$1,0)+1),MATCH(F$1,[2]characters!$1:$1,0)-MATCH($A$1,[2]characters!$1:$1,0)+1,FALSE)</f>
        <v>女性</v>
      </c>
      <c r="G317" s="77">
        <f ca="1">VLOOKUP($A317,OFFSET([2]characters!$A$1,0,0,COUNTA([2]characters!$A:$A),MATCH(G$1,[2]characters!$1:$1,0)-MATCH($A$1,[2]characters!$1:$1,0)+1),MATCH(G$1,[2]characters!$1:$1,0)-MATCH($A$1,[2]characters!$1:$1,0)+1,FALSE)</f>
        <v>4</v>
      </c>
      <c r="H317" s="77" t="str">
        <f ca="1">VLOOKUP($A317,OFFSET([2]characters!$A$1,0,0,COUNTA([2]characters!$A:$A),MATCH(H$1,[2]characters!$1:$1,0)-MATCH($A$1,[2]characters!$1:$1,0)+1),MATCH(H$1,[2]characters!$1:$1,0)-MATCH($A$1,[2]characters!$1:$1,0)+1,FALSE)</f>
        <v>DropWizN</v>
      </c>
      <c r="I317" s="77" t="str">
        <f ca="1">VLOOKUP($A317,OFFSET([2]characters!$A$1,0,0,COUNTA([2]characters!$A:$A),MATCH(I$1,[2]characters!$1:$1,0)-MATCH($A$1,[2]characters!$1:$1,0)+1),MATCH(I$1,[2]characters!$1:$1,0)-MATCH($A$1,[2]characters!$1:$1,0)+1,FALSE)</f>
        <v>yellow</v>
      </c>
      <c r="J317" s="14">
        <f ca="1">VLOOKUP(I317,[2]属性!$A:$E,2,FALSE)</f>
        <v>0.98</v>
      </c>
      <c r="K317" s="14">
        <f ca="1">VLOOKUP(I317,[2]属性!$A:$E,3,FALSE)</f>
        <v>1.01</v>
      </c>
      <c r="L317" s="14">
        <f ca="1">VLOOKUP(I317,[2]属性!$A:$E,4,FALSE)</f>
        <v>1</v>
      </c>
      <c r="M317" s="14">
        <f ca="1">VLOOKUP(I317,[2]属性!$A:$E,5,FALSE)</f>
        <v>1.01</v>
      </c>
      <c r="N317" s="14">
        <f ca="1">INDEX(コスト!$A$1:$I$20,MATCH(H317,コスト!$A$1:$A$20,FALSE),MATCH(G317,コスト!$A$1:$I$1,FALSE))</f>
        <v>18</v>
      </c>
      <c r="O317" s="14">
        <f ca="1">INDEX(レベル!$A$1:$I$21,MATCH(H317,レベル!$A$1:$A$21,FALSE),MATCH(G317,レベル!$A$1:$I$1,FALSE))</f>
        <v>60</v>
      </c>
      <c r="P317" s="63">
        <f t="shared" ca="1" si="35"/>
        <v>60</v>
      </c>
      <c r="Q317" s="77" t="str">
        <f ca="1">VLOOKUP($A317,OFFSET([2]characters!$A$1,0,0,COUNTA([2]characters!$A:$A),MATCH(Q$1,[2]characters!$1:$1,0)-MATCH($A$1,[2]characters!$1:$1,0)+1),MATCH(Q$1,[2]characters!$1:$1,0)-MATCH($A$1,[2]characters!$1:$1,0)+1,FALSE)</f>
        <v>balance</v>
      </c>
      <c r="R317" s="8" t="str">
        <f ca="1">VLOOKUP(Q317,[2]character_type_i18n!$A:$H,3,FALSE)</f>
        <v>バランスタイプ</v>
      </c>
      <c r="S317" s="14">
        <f ca="1">VLOOKUP(Q317,[2]character_type_i18n!$A:$H,4,FALSE)</f>
        <v>1</v>
      </c>
      <c r="T317" s="14">
        <f ca="1">VLOOKUP(Q317,[2]character_type_i18n!$A:$H,5,FALSE)</f>
        <v>1</v>
      </c>
      <c r="U317" s="14">
        <f ca="1">VLOOKUP(Q317,[2]character_type_i18n!$A:$H,6,FALSE)</f>
        <v>1</v>
      </c>
      <c r="V317" s="14">
        <f ca="1">VLOOKUP(Q317,[2]character_type_i18n!$A:$H,7,FALSE)</f>
        <v>1</v>
      </c>
      <c r="W317" s="77" t="str">
        <f ca="1">VLOOKUP($A317,OFFSET([2]characters!$A$1,0,0,COUNTA([2]characters!$A:$A),MATCH(W$1,[2]characters!$1:$1,0)-MATCH($A$1,[2]characters!$1:$1,0)+1),MATCH(W$1,[2]characters!$1:$1,0)-MATCH($A$1,[2]characters!$1:$1,0)+1,FALSE)</f>
        <v>human</v>
      </c>
      <c r="X317" s="8" t="str">
        <f ca="1">VLOOKUP(W317,[2]character_tribe_i18n!$A:$H,3,FALSE)</f>
        <v>ヒューマン</v>
      </c>
      <c r="Y317" s="77" t="str">
        <f ca="1">VLOOKUP($A317,OFFSET([2]characters!$A$1,0,0,COUNTA([2]characters!$A:$A),MATCH(Y$1,[2]characters!$1:$1,0)-MATCH($A$1,[2]characters!$1:$1,0)+1),MATCH(Y$1,[2]characters!$1:$1,0)-MATCH($A$1,[2]characters!$1:$1,0)+1,FALSE)</f>
        <v>none</v>
      </c>
      <c r="Z317" s="8" t="str">
        <f ca="1">VLOOKUP(Y317,[2]character_tribe_i18n!$A:$H,3,FALSE)</f>
        <v>種族なし</v>
      </c>
      <c r="AA317" s="14">
        <f ca="1">VLOOKUP(W317,[2]character_tribe_i18n!$A:$H,4,FALSE)</f>
        <v>0.94</v>
      </c>
      <c r="AB317" s="14">
        <f ca="1">VLOOKUP(W317,[2]character_tribe_i18n!$A:$H,5,FALSE)</f>
        <v>0.99</v>
      </c>
      <c r="AC317" s="14">
        <f ca="1">VLOOKUP(W317,[2]character_tribe_i18n!$A:$H,6,FALSE)</f>
        <v>1</v>
      </c>
      <c r="AD317" s="14">
        <f ca="1">VLOOKUP(W317,[2]character_tribe_i18n!$A:$H,7,FALSE)</f>
        <v>1.07</v>
      </c>
      <c r="AE317" s="12">
        <v>317</v>
      </c>
      <c r="AF317" s="85" t="str">
        <f ca="1">IF(AE317="NULL","",VLOOKUP($AE317,OFFSET([2]characters!$A$1,0,0,COUNTA([2]characters!$A:$A),MATCH(AF$1,[2]characters!$1:$1,0)-MATCH($A$1,[2]characters!$1:$1,0)+1),MATCH(AF$1,[2]characters!$1:$1,0)-MATCH($A$1,[2]characters!$1:$1,0)+1,FALSE))</f>
        <v>異能の電気師 テスラ</v>
      </c>
      <c r="AG317" s="8">
        <f t="shared" ca="1" si="30"/>
        <v>316</v>
      </c>
      <c r="AH317" s="85" t="str">
        <f ca="1">VLOOKUP($AG317,OFFSET([2]characters!$A$1,0,0,COUNTA([2]characters!$A:$A),MATCH(AH$1,[2]characters!$1:$1,0)-MATCH($A$1,[2]characters!$1:$1,0)+1),MATCH(AH$1,[2]characters!$1:$1,0)-MATCH($A$1,[2]characters!$1:$1,0)+1,FALSE)</f>
        <v>テスラ</v>
      </c>
      <c r="AI317" s="14">
        <f ca="1">IF(AE317="NULL","NULL",VLOOKUP(G317,ビット!$A$2:$B$7,2))</f>
        <v>50000</v>
      </c>
      <c r="AJ317" s="9">
        <v>2</v>
      </c>
      <c r="AK317" s="10" t="str">
        <f t="shared" si="31"/>
        <v>普通</v>
      </c>
      <c r="AL317" s="14" t="str">
        <f ca="1">INDEX(経験値!$A$1:$I$20,MATCH(H317,経験値!$A$1:$A$20,FALSE),MATCH(G317,経験値!$A$1:$I$1,FALSE))</f>
        <v>required_exp_200</v>
      </c>
      <c r="AM317" s="11">
        <f ca="1">VLOOKUP(G317,経験値!$A$27:$B$31,2)</f>
        <v>3400</v>
      </c>
      <c r="AN317" s="21">
        <f ca="1">VLOOKUP(G317,ビット!$G$2:$H$7,2)</f>
        <v>600</v>
      </c>
      <c r="AO317" s="98"/>
      <c r="AP317" s="97">
        <v>535001</v>
      </c>
      <c r="AQ317" s="77" t="e">
        <f ca="1">VLOOKUP($AP317,OFFSET([1]unit_skills!$A$1,0,0,COUNTA([1]unit_skills!$A:$A),MATCH("name",[1]unit_skills!$1:$1,0)-MATCH($AP$1,[1]unit_skills!$1:$1,0)+1),MATCH("name",[1]unit_skills!$1:$1,0)-MATCH($AP$1,[1]unit_skills!$1:$1,0)+1,FALSE)</f>
        <v>#VALUE!</v>
      </c>
      <c r="AR317" s="77" t="e">
        <f ca="1">VLOOKUP($AP317,OFFSET([1]unit_skills!$A$1,0,0,COUNTA([1]unit_skills!$A:$A),MATCH("comment",[1]unit_skills!$1:$1,0)-MATCH($AP$1,[1]unit_skills!$1:$1,0)+1),MATCH("comment",[1]unit_skills!$1:$1,0)-MATCH($AP$1,[1]unit_skills!$1:$1,0)+1,FALSE)</f>
        <v>#VALUE!</v>
      </c>
      <c r="AS317" s="77" t="e">
        <f ca="1">VLOOKUP($AP317,OFFSET([1]unit_skills!$A$1,0,0,COUNTA([1]unit_skills!$A:$A),MATCH(AS$1,[1]unit_skills!$1:$1,0)-MATCH($AP$1,[1]unit_skills!$1:$1,0)+1),MATCH(AS$1,[1]unit_skills!$1:$1,0)-MATCH($AP$1,[1]unit_skills!$1:$1,0)+1,FALSE)</f>
        <v>#VALUE!</v>
      </c>
      <c r="AT317" s="97">
        <v>114014</v>
      </c>
      <c r="AU317" s="77" t="e">
        <f ca="1">VLOOKUP($AT317,OFFSET([1]crash_skills!$A$1,0,0,COUNTA([1]crash_skills!$A:$A),MATCH("name",[1]crash_skills!$1:$1,0)-MATCH($AT$1,[1]crash_skills!$1:$1,0)+1),MATCH("name",[1]crash_skills!$1:$1,0)-MATCH($AT$1,[1]crash_skills!$1:$1,0)+1,FALSE)</f>
        <v>#VALUE!</v>
      </c>
      <c r="AV317" s="77" t="e">
        <f ca="1">VLOOKUP($AT317,OFFSET([1]crash_skills!$A$1,0,0,COUNTA([1]crash_skills!$A:$A),MATCH("comment",[1]crash_skills!$1:$1,0)-MATCH($AT$1,[1]crash_skills!$1:$1,0)+1),MATCH("comment",[1]crash_skills!$1:$1,0)-MATCH($AT$1,[1]crash_skills!$1:$1,0)+1,FALSE)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17" s="77" t="e">
        <f ca="1">VLOOKUP($AT317,OFFSET([1]crash_skills!$A$1,0,0,COUNTA([1]crash_skills!$A:$A),MATCH(AW$1,[1]crash_skills!$1:$1,0)-MATCH($AT$1,[1]crash_skills!$1:$1,0)+1),MATCH(AW$1,[1]crash_skills!$1:$1,0)-MATCH($AT$1,[1]crash_skills!$1:$1,0)+1,FALSE)</f>
        <v>#VALUE!</v>
      </c>
      <c r="AX317" s="81">
        <f ca="1">VLOOKUP($A317,OFFSET([2]characters!$A$1,0,0,COUNTA([2]characters!$A:$A),MATCH(AX$1,[2]characters!$1:$1,0)-MATCH($A$1,[2]characters!$1:$1,0)+1),MATCH(AX$1,[2]characters!$1:$1,0)-MATCH($A$1,[2]characters!$1:$1,0)+1,FALSE)</f>
        <v>3</v>
      </c>
      <c r="AY317" s="19">
        <v>0.9</v>
      </c>
      <c r="AZ317" s="19">
        <v>0.9</v>
      </c>
      <c r="BA317" s="19">
        <v>0</v>
      </c>
      <c r="BB317" s="19">
        <v>0.9</v>
      </c>
      <c r="BC317" s="14">
        <f ca="1">INDEX('RC6SV'!$A$1:$G$20,MATCH(H317,'RC6SV'!$A$1:$A$20,FALSE),MATCH(G317,'RC6SV'!$A$1:$G$1,FALSE))</f>
        <v>6700</v>
      </c>
      <c r="BD317" s="63">
        <f t="shared" ca="1" si="32"/>
        <v>6700</v>
      </c>
      <c r="BE317" s="14">
        <f t="shared" ca="1" si="33"/>
        <v>0</v>
      </c>
      <c r="BF317" s="14">
        <f t="shared" ca="1" si="34"/>
        <v>1</v>
      </c>
      <c r="BG317" s="20">
        <f ca="1">IF($BE317&lt;=0,ROUND(BK317*0.5,0), ROUND($BE317*S317*AA317*J317*AY317*0.8*[2]ステータス!$B$2,0))</f>
        <v>1389</v>
      </c>
      <c r="BH317" s="20">
        <f ca="1">IF($BE317&lt;=0,ROUND(BL317*0.5,0), ROUND($BE317*T317*AB317*K317*AZ317*0.8*[2]ステータス!$C$2,0))</f>
        <v>905</v>
      </c>
      <c r="BI317" s="20">
        <f ca="1">IF($BE317&lt;=0,ROUND(BM317*0.5,0), ROUND($BE317*U317*AC317*L317*BA317*0.8*[2]ステータス!$D$2,0))</f>
        <v>0</v>
      </c>
      <c r="BJ317" s="20">
        <f ca="1">IF($BE317&lt;=0,ROUND(BN317*0.5,0), ROUND($BE317*V317*AD317*M317*BB317*0.8*[2]ステータス!$E$2,0))</f>
        <v>815</v>
      </c>
      <c r="BK317" s="14">
        <f ca="1">ROUND(BD317*S317*AA317*J317*AY317*[2]ステータス!$B$2,0)</f>
        <v>2777</v>
      </c>
      <c r="BL317" s="14">
        <f ca="1">ROUND(BD317*T317*AB317*K317*AZ317*[2]ステータス!$C$2,0)</f>
        <v>1809</v>
      </c>
      <c r="BM317" s="14">
        <f ca="1">ROUND(BD317*U317*AC317*L317*BA317*[2]ステータス!$D$2,0)</f>
        <v>0</v>
      </c>
      <c r="BN317" s="14">
        <f ca="1">ROUND(BD317*V317*AD317*M317*BB317*[2]ステータス!$E$2,0)</f>
        <v>1629</v>
      </c>
      <c r="BO317" s="13">
        <v>0</v>
      </c>
      <c r="BP317" s="13">
        <v>1</v>
      </c>
      <c r="BQ317" s="49" t="s">
        <v>102</v>
      </c>
      <c r="BR317" s="13">
        <f ca="1">VLOOKUP(H317,ghosts_label!$A$2:$B$19,2,FALSE)</f>
        <v>1</v>
      </c>
    </row>
    <row r="318" spans="1:70" ht="21" customHeight="1" x14ac:dyDescent="0.15">
      <c r="A318" s="14">
        <f t="shared" ca="1" si="29"/>
        <v>317</v>
      </c>
      <c r="B318" s="77" t="str">
        <f ca="1">VLOOKUP($A318,OFFSET([2]characters!$A$1,0,0,COUNTA([2]characters!$A:$A),MATCH(B$1,[2]characters!$1:$1,0)-MATCH($A$1,[2]characters!$1:$1,0)+1),MATCH(B$1,[2]characters!$1:$1,0)-MATCH($A$1,[2]characters!$1:$1,0)+1,FALSE)</f>
        <v>異能の電気師 テスラ</v>
      </c>
      <c r="C318" s="77" t="str">
        <f ca="1">VLOOKUP($A318,OFFSET([2]characters!$A$1,0,0,COUNTA([2]characters!$A:$A),MATCH(C$1,[2]characters!$1:$1,0)-MATCH($A$1,[2]characters!$1:$1,0)+1),MATCH(C$1,[2]characters!$1:$1,0)-MATCH($A$1,[2]characters!$1:$1,0)+1,FALSE)</f>
        <v>チャレンジタワー</v>
      </c>
      <c r="D318" s="77" t="str">
        <f ca="1">VLOOKUP($A318,OFFSET([2]characters!$A$1,0,0,COUNTA([2]characters!$A:$A),MATCH(D$1,[2]characters!$1:$1,0)-MATCH($A$1,[2]characters!$1:$1,0)+1),MATCH(D$1,[2]characters!$1:$1,0)-MATCH($A$1,[2]characters!$1:$1,0)+1,FALSE)</f>
        <v>守護者</v>
      </c>
      <c r="E318" s="77" t="str">
        <f ca="1">VLOOKUP($A318,OFFSET([2]characters!$A$1,0,0,COUNTA([2]characters!$A:$A),MATCH(E$1,[2]characters!$1:$1,0)-MATCH($A$1,[2]characters!$1:$1,0)+1),MATCH(E$1,[2]characters!$1:$1,0)-MATCH($A$1,[2]characters!$1:$1,0)+1,FALSE)</f>
        <v>可愛い</v>
      </c>
      <c r="F318" s="77" t="str">
        <f ca="1">VLOOKUP($A318,OFFSET([2]characters!$A$1,0,0,COUNTA([2]characters!$A:$A),MATCH(F$1,[2]characters!$1:$1,0)-MATCH($A$1,[2]characters!$1:$1,0)+1),MATCH(F$1,[2]characters!$1:$1,0)-MATCH($A$1,[2]characters!$1:$1,0)+1,FALSE)</f>
        <v>女性</v>
      </c>
      <c r="G318" s="77">
        <f ca="1">VLOOKUP($A318,OFFSET([2]characters!$A$1,0,0,COUNTA([2]characters!$A:$A),MATCH(G$1,[2]characters!$1:$1,0)-MATCH($A$1,[2]characters!$1:$1,0)+1),MATCH(G$1,[2]characters!$1:$1,0)-MATCH($A$1,[2]characters!$1:$1,0)+1,FALSE)</f>
        <v>5</v>
      </c>
      <c r="H318" s="77" t="str">
        <f ca="1">VLOOKUP($A318,OFFSET([2]characters!$A$1,0,0,COUNTA([2]characters!$A:$A),MATCH(H$1,[2]characters!$1:$1,0)-MATCH($A$1,[2]characters!$1:$1,0)+1),MATCH(H$1,[2]characters!$1:$1,0)-MATCH($A$1,[2]characters!$1:$1,0)+1,FALSE)</f>
        <v>DropWizN</v>
      </c>
      <c r="I318" s="77" t="str">
        <f ca="1">VLOOKUP($A318,OFFSET([2]characters!$A$1,0,0,COUNTA([2]characters!$A:$A),MATCH(I$1,[2]characters!$1:$1,0)-MATCH($A$1,[2]characters!$1:$1,0)+1),MATCH(I$1,[2]characters!$1:$1,0)-MATCH($A$1,[2]characters!$1:$1,0)+1,FALSE)</f>
        <v>yellow</v>
      </c>
      <c r="J318" s="14">
        <f ca="1">VLOOKUP(I318,[2]属性!$A:$E,2,FALSE)</f>
        <v>0.98</v>
      </c>
      <c r="K318" s="14">
        <f ca="1">VLOOKUP(I318,[2]属性!$A:$E,3,FALSE)</f>
        <v>1.01</v>
      </c>
      <c r="L318" s="14">
        <f ca="1">VLOOKUP(I318,[2]属性!$A:$E,4,FALSE)</f>
        <v>1</v>
      </c>
      <c r="M318" s="14">
        <f ca="1">VLOOKUP(I318,[2]属性!$A:$E,5,FALSE)</f>
        <v>1.01</v>
      </c>
      <c r="N318" s="14">
        <f ca="1">INDEX(コスト!$A$1:$I$20,MATCH(H318,コスト!$A$1:$A$20,FALSE),MATCH(G318,コスト!$A$1:$I$1,FALSE))</f>
        <v>28</v>
      </c>
      <c r="O318" s="14">
        <f ca="1">INDEX(レベル!$A$1:$I$21,MATCH(H318,レベル!$A$1:$A$21,FALSE),MATCH(G318,レベル!$A$1:$I$1,FALSE))</f>
        <v>80</v>
      </c>
      <c r="P318" s="63">
        <f t="shared" ca="1" si="35"/>
        <v>75</v>
      </c>
      <c r="Q318" s="77" t="str">
        <f ca="1">VLOOKUP($A318,OFFSET([2]characters!$A$1,0,0,COUNTA([2]characters!$A:$A),MATCH(Q$1,[2]characters!$1:$1,0)-MATCH($A$1,[2]characters!$1:$1,0)+1),MATCH(Q$1,[2]characters!$1:$1,0)-MATCH($A$1,[2]characters!$1:$1,0)+1,FALSE)</f>
        <v>balance</v>
      </c>
      <c r="R318" s="8" t="str">
        <f ca="1">VLOOKUP(Q318,[2]character_type_i18n!$A:$H,3,FALSE)</f>
        <v>バランスタイプ</v>
      </c>
      <c r="S318" s="14">
        <f ca="1">VLOOKUP(Q318,[2]character_type_i18n!$A:$H,4,FALSE)</f>
        <v>1</v>
      </c>
      <c r="T318" s="14">
        <f ca="1">VLOOKUP(Q318,[2]character_type_i18n!$A:$H,5,FALSE)</f>
        <v>1</v>
      </c>
      <c r="U318" s="14">
        <f ca="1">VLOOKUP(Q318,[2]character_type_i18n!$A:$H,6,FALSE)</f>
        <v>1</v>
      </c>
      <c r="V318" s="14">
        <f ca="1">VLOOKUP(Q318,[2]character_type_i18n!$A:$H,7,FALSE)</f>
        <v>1</v>
      </c>
      <c r="W318" s="77" t="str">
        <f ca="1">VLOOKUP($A318,OFFSET([2]characters!$A$1,0,0,COUNTA([2]characters!$A:$A),MATCH(W$1,[2]characters!$1:$1,0)-MATCH($A$1,[2]characters!$1:$1,0)+1),MATCH(W$1,[2]characters!$1:$1,0)-MATCH($A$1,[2]characters!$1:$1,0)+1,FALSE)</f>
        <v>human</v>
      </c>
      <c r="X318" s="8" t="str">
        <f ca="1">VLOOKUP(W318,[2]character_tribe_i18n!$A:$H,3,FALSE)</f>
        <v>ヒューマン</v>
      </c>
      <c r="Y318" s="77" t="str">
        <f ca="1">VLOOKUP($A318,OFFSET([2]characters!$A$1,0,0,COUNTA([2]characters!$A:$A),MATCH(Y$1,[2]characters!$1:$1,0)-MATCH($A$1,[2]characters!$1:$1,0)+1),MATCH(Y$1,[2]characters!$1:$1,0)-MATCH($A$1,[2]characters!$1:$1,0)+1,FALSE)</f>
        <v>none</v>
      </c>
      <c r="Z318" s="8" t="str">
        <f ca="1">VLOOKUP(Y318,[2]character_tribe_i18n!$A:$H,3,FALSE)</f>
        <v>種族なし</v>
      </c>
      <c r="AA318" s="14">
        <f ca="1">VLOOKUP(W318,[2]character_tribe_i18n!$A:$H,4,FALSE)</f>
        <v>0.94</v>
      </c>
      <c r="AB318" s="14">
        <f ca="1">VLOOKUP(W318,[2]character_tribe_i18n!$A:$H,5,FALSE)</f>
        <v>0.99</v>
      </c>
      <c r="AC318" s="14">
        <f ca="1">VLOOKUP(W318,[2]character_tribe_i18n!$A:$H,6,FALSE)</f>
        <v>1</v>
      </c>
      <c r="AD318" s="14">
        <f ca="1">VLOOKUP(W318,[2]character_tribe_i18n!$A:$H,7,FALSE)</f>
        <v>1.07</v>
      </c>
      <c r="AE318" s="12" t="s">
        <v>102</v>
      </c>
      <c r="AF318" s="85" t="str">
        <f ca="1">IF(AE318="NULL","",VLOOKUP($AE318,OFFSET([2]characters!$A$1,0,0,COUNTA([2]characters!$A:$A),MATCH(AF$1,[2]characters!$1:$1,0)-MATCH($A$1,[2]characters!$1:$1,0)+1),MATCH(AF$1,[2]characters!$1:$1,0)-MATCH($A$1,[2]characters!$1:$1,0)+1,FALSE))</f>
        <v/>
      </c>
      <c r="AG318" s="8">
        <f t="shared" ca="1" si="30"/>
        <v>316</v>
      </c>
      <c r="AH318" s="85" t="str">
        <f ca="1">VLOOKUP($AG318,OFFSET([2]characters!$A$1,0,0,COUNTA([2]characters!$A:$A),MATCH(AH$1,[2]characters!$1:$1,0)-MATCH($A$1,[2]characters!$1:$1,0)+1),MATCH(AH$1,[2]characters!$1:$1,0)-MATCH($A$1,[2]characters!$1:$1,0)+1,FALSE)</f>
        <v>テスラ</v>
      </c>
      <c r="AI318" s="14" t="str">
        <f>IF(AE318="NULL","NULL",VLOOKUP(G318,ビット!$A$2:$B$7,2))</f>
        <v>NULL</v>
      </c>
      <c r="AJ318" s="9">
        <v>2</v>
      </c>
      <c r="AK318" s="10" t="str">
        <f t="shared" si="31"/>
        <v>普通</v>
      </c>
      <c r="AL318" s="14" t="str">
        <f ca="1">INDEX(経験値!$A$1:$I$20,MATCH(H318,経験値!$A$1:$A$20,FALSE),MATCH(G318,経験値!$A$1:$I$1,FALSE))</f>
        <v>required_exp_200</v>
      </c>
      <c r="AM318" s="11">
        <f ca="1">VLOOKUP(G318,経験値!$A$27:$B$31,2)</f>
        <v>6400</v>
      </c>
      <c r="AN318" s="21">
        <f ca="1">VLOOKUP(G318,ビット!$G$2:$H$7,2)</f>
        <v>900</v>
      </c>
      <c r="AO318" s="98"/>
      <c r="AP318" s="97">
        <v>535002</v>
      </c>
      <c r="AQ318" s="77" t="e">
        <f ca="1">VLOOKUP($AP318,OFFSET([1]unit_skills!$A$1,0,0,COUNTA([1]unit_skills!$A:$A),MATCH("name",[1]unit_skills!$1:$1,0)-MATCH($AP$1,[1]unit_skills!$1:$1,0)+1),MATCH("name",[1]unit_skills!$1:$1,0)-MATCH($AP$1,[1]unit_skills!$1:$1,0)+1,FALSE)</f>
        <v>#VALUE!</v>
      </c>
      <c r="AR318" s="77" t="e">
        <f ca="1">VLOOKUP($AP318,OFFSET([1]unit_skills!$A$1,0,0,COUNTA([1]unit_skills!$A:$A),MATCH("comment",[1]unit_skills!$1:$1,0)-MATCH($AP$1,[1]unit_skills!$1:$1,0)+1),MATCH("comment",[1]unit_skills!$1:$1,0)-MATCH($AP$1,[1]unit_skills!$1:$1,0)+1,FALSE)</f>
        <v>#VALUE!</v>
      </c>
      <c r="AS318" s="77" t="e">
        <f ca="1">VLOOKUP($AP318,OFFSET([1]unit_skills!$A$1,0,0,COUNTA([1]unit_skills!$A:$A),MATCH(AS$1,[1]unit_skills!$1:$1,0)-MATCH($AP$1,[1]unit_skills!$1:$1,0)+1),MATCH(AS$1,[1]unit_skills!$1:$1,0)-MATCH($AP$1,[1]unit_skills!$1:$1,0)+1,FALSE)</f>
        <v>#VALUE!</v>
      </c>
      <c r="AT318" s="97">
        <v>114015</v>
      </c>
      <c r="AU318" s="77" t="e">
        <f ca="1">VLOOKUP($AT318,OFFSET([1]crash_skills!$A$1,0,0,COUNTA([1]crash_skills!$A:$A),MATCH("name",[1]crash_skills!$1:$1,0)-MATCH($AT$1,[1]crash_skills!$1:$1,0)+1),MATCH("name",[1]crash_skills!$1:$1,0)-MATCH($AT$1,[1]crash_skills!$1:$1,0)+1,FALSE)</f>
        <v>#VALUE!</v>
      </c>
      <c r="AV318" s="77" t="e">
        <f ca="1">VLOOKUP($AT318,OFFSET([1]crash_skills!$A$1,0,0,COUNTA([1]crash_skills!$A:$A),MATCH("comment",[1]crash_skills!$1:$1,0)-MATCH($AT$1,[1]crash_skills!$1:$1,0)+1),MATCH("comment",[1]crash_skills!$1:$1,0)-MATCH($AT$1,[1]crash_skills!$1:$1,0)+1,FALSE)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18" s="77" t="e">
        <f ca="1">VLOOKUP($AT318,OFFSET([1]crash_skills!$A$1,0,0,COUNTA([1]crash_skills!$A:$A),MATCH(AW$1,[1]crash_skills!$1:$1,0)-MATCH($AT$1,[1]crash_skills!$1:$1,0)+1),MATCH(AW$1,[1]crash_skills!$1:$1,0)-MATCH($AT$1,[1]crash_skills!$1:$1,0)+1,FALSE)</f>
        <v>#VALUE!</v>
      </c>
      <c r="AX318" s="81">
        <f ca="1">VLOOKUP($A318,OFFSET([2]characters!$A$1,0,0,COUNTA([2]characters!$A:$A),MATCH(AX$1,[2]characters!$1:$1,0)-MATCH($A$1,[2]characters!$1:$1,0)+1),MATCH(AX$1,[2]characters!$1:$1,0)-MATCH($A$1,[2]characters!$1:$1,0)+1,FALSE)</f>
        <v>3</v>
      </c>
      <c r="AY318" s="19">
        <v>0.9</v>
      </c>
      <c r="AZ318" s="19">
        <v>0.9</v>
      </c>
      <c r="BA318" s="19">
        <v>0</v>
      </c>
      <c r="BB318" s="19">
        <v>0.9</v>
      </c>
      <c r="BC318" s="14">
        <f ca="1">INDEX('RC6SV'!$A$1:$G$20,MATCH(H318,'RC6SV'!$A$1:$A$20,FALSE),MATCH(G318,'RC6SV'!$A$1:$G$1,FALSE))</f>
        <v>8500</v>
      </c>
      <c r="BD318" s="63">
        <f t="shared" ca="1" si="32"/>
        <v>8500</v>
      </c>
      <c r="BE318" s="14">
        <f t="shared" ca="1" si="33"/>
        <v>6700</v>
      </c>
      <c r="BF318" s="14">
        <f t="shared" ca="1" si="34"/>
        <v>1</v>
      </c>
      <c r="BG318" s="20">
        <f ca="1">IF($BE318&lt;=0,ROUND(BK318*0.5,0), ROUND($BE318*S318*AA318*J318*AY318*0.8*[2]ステータス!$B$2,0))</f>
        <v>2222</v>
      </c>
      <c r="BH318" s="20">
        <f ca="1">IF($BE318&lt;=0,ROUND(BL318*0.5,0), ROUND($BE318*T318*AB318*K318*AZ318*0.8*[2]ステータス!$C$2,0))</f>
        <v>1447</v>
      </c>
      <c r="BI318" s="20">
        <f ca="1">IF($BE318&lt;=0,ROUND(BM318*0.5,0), ROUND($BE318*U318*AC318*L318*BA318*0.8*[2]ステータス!$D$2,0))</f>
        <v>0</v>
      </c>
      <c r="BJ318" s="20">
        <f ca="1">IF($BE318&lt;=0,ROUND(BN318*0.5,0), ROUND($BE318*V318*AD318*M318*BB318*0.8*[2]ステータス!$E$2,0))</f>
        <v>1303</v>
      </c>
      <c r="BK318" s="14">
        <f ca="1">ROUND(BD318*S318*AA318*J318*AY318*[2]ステータス!$B$2,0)</f>
        <v>3524</v>
      </c>
      <c r="BL318" s="14">
        <f ca="1">ROUND(BD318*T318*AB318*K318*AZ318*[2]ステータス!$C$2,0)</f>
        <v>2295</v>
      </c>
      <c r="BM318" s="14">
        <f ca="1">ROUND(BD318*U318*AC318*L318*BA318*[2]ステータス!$D$2,0)</f>
        <v>0</v>
      </c>
      <c r="BN318" s="14">
        <f ca="1">ROUND(BD318*V318*AD318*M318*BB318*[2]ステータス!$E$2,0)</f>
        <v>2067</v>
      </c>
      <c r="BO318" s="13">
        <v>0</v>
      </c>
      <c r="BP318" s="13">
        <v>1</v>
      </c>
      <c r="BQ318" s="49" t="s">
        <v>102</v>
      </c>
      <c r="BR318" s="13">
        <f ca="1">VLOOKUP(H318,ghosts_label!$A$2:$B$19,2,FALSE)</f>
        <v>1</v>
      </c>
    </row>
    <row r="319" spans="1:70" ht="21" customHeight="1" x14ac:dyDescent="0.15">
      <c r="A319" s="14">
        <f t="shared" ca="1" si="29"/>
        <v>318</v>
      </c>
      <c r="B319" s="77" t="str">
        <f ca="1">VLOOKUP($A319,OFFSET([2]characters!$A$1,0,0,COUNTA([2]characters!$A:$A),MATCH(B$1,[2]characters!$1:$1,0)-MATCH($A$1,[2]characters!$1:$1,0)+1),MATCH(B$1,[2]characters!$1:$1,0)-MATCH($A$1,[2]characters!$1:$1,0)+1,FALSE)</f>
        <v>シャルル</v>
      </c>
      <c r="C319" s="77" t="str">
        <f ca="1">VLOOKUP($A319,OFFSET([2]characters!$A$1,0,0,COUNTA([2]characters!$A:$A),MATCH(C$1,[2]characters!$1:$1,0)-MATCH($A$1,[2]characters!$1:$1,0)+1),MATCH(C$1,[2]characters!$1:$1,0)-MATCH($A$1,[2]characters!$1:$1,0)+1,FALSE)</f>
        <v>チャレンジタワー</v>
      </c>
      <c r="D319" s="77" t="str">
        <f ca="1">VLOOKUP($A319,OFFSET([2]characters!$A$1,0,0,COUNTA([2]characters!$A:$A),MATCH(D$1,[2]characters!$1:$1,0)-MATCH($A$1,[2]characters!$1:$1,0)+1),MATCH(D$1,[2]characters!$1:$1,0)-MATCH($A$1,[2]characters!$1:$1,0)+1,FALSE)</f>
        <v>守護者</v>
      </c>
      <c r="E319" s="77" t="str">
        <f ca="1">VLOOKUP($A319,OFFSET([2]characters!$A$1,0,0,COUNTA([2]characters!$A:$A),MATCH(E$1,[2]characters!$1:$1,0)-MATCH($A$1,[2]characters!$1:$1,0)+1),MATCH(E$1,[2]characters!$1:$1,0)-MATCH($A$1,[2]characters!$1:$1,0)+1,FALSE)</f>
        <v>美しい</v>
      </c>
      <c r="F319" s="77" t="str">
        <f ca="1">VLOOKUP($A319,OFFSET([2]characters!$A$1,0,0,COUNTA([2]characters!$A:$A),MATCH(F$1,[2]characters!$1:$1,0)-MATCH($A$1,[2]characters!$1:$1,0)+1),MATCH(F$1,[2]characters!$1:$1,0)-MATCH($A$1,[2]characters!$1:$1,0)+1,FALSE)</f>
        <v>女性</v>
      </c>
      <c r="G319" s="77">
        <f ca="1">VLOOKUP($A319,OFFSET([2]characters!$A$1,0,0,COUNTA([2]characters!$A:$A),MATCH(G$1,[2]characters!$1:$1,0)-MATCH($A$1,[2]characters!$1:$1,0)+1),MATCH(G$1,[2]characters!$1:$1,0)-MATCH($A$1,[2]characters!$1:$1,0)+1,FALSE)</f>
        <v>4</v>
      </c>
      <c r="H319" s="77" t="str">
        <f ca="1">VLOOKUP($A319,OFFSET([2]characters!$A$1,0,0,COUNTA([2]characters!$A:$A),MATCH(H$1,[2]characters!$1:$1,0)-MATCH($A$1,[2]characters!$1:$1,0)+1),MATCH(H$1,[2]characters!$1:$1,0)-MATCH($A$1,[2]characters!$1:$1,0)+1,FALSE)</f>
        <v>DropWizN</v>
      </c>
      <c r="I319" s="77" t="str">
        <f ca="1">VLOOKUP($A319,OFFSET([2]characters!$A$1,0,0,COUNTA([2]characters!$A:$A),MATCH(I$1,[2]characters!$1:$1,0)-MATCH($A$1,[2]characters!$1:$1,0)+1),MATCH(I$1,[2]characters!$1:$1,0)-MATCH($A$1,[2]characters!$1:$1,0)+1,FALSE)</f>
        <v>blue</v>
      </c>
      <c r="J319" s="14">
        <f ca="1">VLOOKUP(I319,[2]属性!$A:$E,2,FALSE)</f>
        <v>1</v>
      </c>
      <c r="K319" s="14">
        <f ca="1">VLOOKUP(I319,[2]属性!$A:$E,3,FALSE)</f>
        <v>0.98</v>
      </c>
      <c r="L319" s="14">
        <f ca="1">VLOOKUP(I319,[2]属性!$A:$E,4,FALSE)</f>
        <v>1</v>
      </c>
      <c r="M319" s="14">
        <f ca="1">VLOOKUP(I319,[2]属性!$A:$E,5,FALSE)</f>
        <v>1.02</v>
      </c>
      <c r="N319" s="14">
        <f ca="1">INDEX(コスト!$A$1:$I$20,MATCH(H319,コスト!$A$1:$A$20,FALSE),MATCH(G319,コスト!$A$1:$I$1,FALSE))</f>
        <v>18</v>
      </c>
      <c r="O319" s="14">
        <f ca="1">INDEX(レベル!$A$1:$I$21,MATCH(H319,レベル!$A$1:$A$21,FALSE),MATCH(G319,レベル!$A$1:$I$1,FALSE))</f>
        <v>60</v>
      </c>
      <c r="P319" s="63">
        <f t="shared" ca="1" si="35"/>
        <v>60</v>
      </c>
      <c r="Q319" s="77" t="str">
        <f ca="1">VLOOKUP($A319,OFFSET([2]characters!$A$1,0,0,COUNTA([2]characters!$A:$A),MATCH(Q$1,[2]characters!$1:$1,0)-MATCH($A$1,[2]characters!$1:$1,0)+1),MATCH(Q$1,[2]characters!$1:$1,0)-MATCH($A$1,[2]characters!$1:$1,0)+1,FALSE)</f>
        <v>heal</v>
      </c>
      <c r="R319" s="8" t="str">
        <f ca="1">VLOOKUP(Q319,[2]character_type_i18n!$A:$H,3,FALSE)</f>
        <v>回復タイプ</v>
      </c>
      <c r="S319" s="14">
        <f ca="1">VLOOKUP(Q319,[2]character_type_i18n!$A:$H,4,FALSE)</f>
        <v>0.8</v>
      </c>
      <c r="T319" s="14">
        <f ca="1">VLOOKUP(Q319,[2]character_type_i18n!$A:$H,5,FALSE)</f>
        <v>0.78</v>
      </c>
      <c r="U319" s="14">
        <f ca="1">VLOOKUP(Q319,[2]character_type_i18n!$A:$H,6,FALSE)</f>
        <v>1</v>
      </c>
      <c r="V319" s="14">
        <f ca="1">VLOOKUP(Q319,[2]character_type_i18n!$A:$H,7,FALSE)</f>
        <v>1.42</v>
      </c>
      <c r="W319" s="77" t="str">
        <f ca="1">VLOOKUP($A319,OFFSET([2]characters!$A$1,0,0,COUNTA([2]characters!$A:$A),MATCH(W$1,[2]characters!$1:$1,0)-MATCH($A$1,[2]characters!$1:$1,0)+1),MATCH(W$1,[2]characters!$1:$1,0)-MATCH($A$1,[2]characters!$1:$1,0)+1,FALSE)</f>
        <v>human</v>
      </c>
      <c r="X319" s="8" t="str">
        <f ca="1">VLOOKUP(W319,[2]character_tribe_i18n!$A:$H,3,FALSE)</f>
        <v>ヒューマン</v>
      </c>
      <c r="Y319" s="77" t="str">
        <f ca="1">VLOOKUP($A319,OFFSET([2]characters!$A$1,0,0,COUNTA([2]characters!$A:$A),MATCH(Y$1,[2]characters!$1:$1,0)-MATCH($A$1,[2]characters!$1:$1,0)+1),MATCH(Y$1,[2]characters!$1:$1,0)-MATCH($A$1,[2]characters!$1:$1,0)+1,FALSE)</f>
        <v>none</v>
      </c>
      <c r="Z319" s="8" t="str">
        <f ca="1">VLOOKUP(Y319,[2]character_tribe_i18n!$A:$H,3,FALSE)</f>
        <v>種族なし</v>
      </c>
      <c r="AA319" s="14">
        <f ca="1">VLOOKUP(W319,[2]character_tribe_i18n!$A:$H,4,FALSE)</f>
        <v>0.94</v>
      </c>
      <c r="AB319" s="14">
        <f ca="1">VLOOKUP(W319,[2]character_tribe_i18n!$A:$H,5,FALSE)</f>
        <v>0.99</v>
      </c>
      <c r="AC319" s="14">
        <f ca="1">VLOOKUP(W319,[2]character_tribe_i18n!$A:$H,6,FALSE)</f>
        <v>1</v>
      </c>
      <c r="AD319" s="14">
        <f ca="1">VLOOKUP(W319,[2]character_tribe_i18n!$A:$H,7,FALSE)</f>
        <v>1.07</v>
      </c>
      <c r="AE319" s="12">
        <v>319</v>
      </c>
      <c r="AF319" s="85" t="str">
        <f ca="1">IF(AE319="NULL","",VLOOKUP($AE319,OFFSET([2]characters!$A$1,0,0,COUNTA([2]characters!$A:$A),MATCH(AF$1,[2]characters!$1:$1,0)-MATCH($A$1,[2]characters!$1:$1,0)+1),MATCH(AF$1,[2]characters!$1:$1,0)-MATCH($A$1,[2]characters!$1:$1,0)+1,FALSE))</f>
        <v>夢想の学士 シャルル</v>
      </c>
      <c r="AG319" s="8">
        <f t="shared" ca="1" si="30"/>
        <v>318</v>
      </c>
      <c r="AH319" s="85" t="str">
        <f ca="1">VLOOKUP($AG319,OFFSET([2]characters!$A$1,0,0,COUNTA([2]characters!$A:$A),MATCH(AH$1,[2]characters!$1:$1,0)-MATCH($A$1,[2]characters!$1:$1,0)+1),MATCH(AH$1,[2]characters!$1:$1,0)-MATCH($A$1,[2]characters!$1:$1,0)+1,FALSE)</f>
        <v>シャルル</v>
      </c>
      <c r="AI319" s="14">
        <f ca="1">IF(AE319="NULL","NULL",VLOOKUP(G319,ビット!$A$2:$B$7,2))</f>
        <v>50000</v>
      </c>
      <c r="AJ319" s="9">
        <v>2</v>
      </c>
      <c r="AK319" s="10" t="str">
        <f t="shared" si="31"/>
        <v>普通</v>
      </c>
      <c r="AL319" s="14" t="str">
        <f ca="1">INDEX(経験値!$A$1:$I$20,MATCH(H319,経験値!$A$1:$A$20,FALSE),MATCH(G319,経験値!$A$1:$I$1,FALSE))</f>
        <v>required_exp_200</v>
      </c>
      <c r="AM319" s="11">
        <f ca="1">VLOOKUP(G319,経験値!$A$27:$B$31,2)</f>
        <v>3400</v>
      </c>
      <c r="AN319" s="21">
        <f ca="1">VLOOKUP(G319,ビット!$G$2:$H$7,2)</f>
        <v>600</v>
      </c>
      <c r="AO319" s="98"/>
      <c r="AP319" s="97">
        <v>930003</v>
      </c>
      <c r="AQ319" s="77" t="e">
        <f ca="1">VLOOKUP($AP319,OFFSET([1]unit_skills!$A$1,0,0,COUNTA([1]unit_skills!$A:$A),MATCH("name",[1]unit_skills!$1:$1,0)-MATCH($AP$1,[1]unit_skills!$1:$1,0)+1),MATCH("name",[1]unit_skills!$1:$1,0)-MATCH($AP$1,[1]unit_skills!$1:$1,0)+1,FALSE)</f>
        <v>#VALUE!</v>
      </c>
      <c r="AR319" s="77" t="e">
        <f ca="1">VLOOKUP($AP319,OFFSET([1]unit_skills!$A$1,0,0,COUNTA([1]unit_skills!$A:$A),MATCH("comment",[1]unit_skills!$1:$1,0)-MATCH($AP$1,[1]unit_skills!$1:$1,0)+1),MATCH("comment",[1]unit_skills!$1:$1,0)-MATCH($AP$1,[1]unit_skills!$1:$1,0)+1,FALSE)</f>
        <v>#VALUE!</v>
      </c>
      <c r="AS319" s="77" t="e">
        <f ca="1">VLOOKUP($AP319,OFFSET([1]unit_skills!$A$1,0,0,COUNTA([1]unit_skills!$A:$A),MATCH(AS$1,[1]unit_skills!$1:$1,0)-MATCH($AP$1,[1]unit_skills!$1:$1,0)+1),MATCH(AS$1,[1]unit_skills!$1:$1,0)-MATCH($AP$1,[1]unit_skills!$1:$1,0)+1,FALSE)</f>
        <v>#VALUE!</v>
      </c>
      <c r="AT319" s="97">
        <v>123011</v>
      </c>
      <c r="AU319" s="77" t="e">
        <f ca="1">VLOOKUP($AT319,OFFSET([1]crash_skills!$A$1,0,0,COUNTA([1]crash_skills!$A:$A),MATCH("name",[1]crash_skills!$1:$1,0)-MATCH($AT$1,[1]crash_skills!$1:$1,0)+1),MATCH("name",[1]crash_skills!$1:$1,0)-MATCH($AT$1,[1]crash_skills!$1:$1,0)+1,FALSE)</f>
        <v>#VALUE!</v>
      </c>
      <c r="AV319" s="77" t="e">
        <f ca="1">VLOOKUP($AT319,OFFSET([1]crash_skills!$A$1,0,0,COUNTA([1]crash_skills!$A:$A),MATCH("comment",[1]crash_skills!$1:$1,0)-MATCH($AT$1,[1]crash_skills!$1:$1,0)+1),MATCH("comment",[1]crash_skills!$1:$1,0)-MATCH($AT$1,[1]crash_skills!$1:$1,0)+1,FALSE)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19" s="77" t="e">
        <f ca="1">VLOOKUP($AT319,OFFSET([1]crash_skills!$A$1,0,0,COUNTA([1]crash_skills!$A:$A),MATCH(AW$1,[1]crash_skills!$1:$1,0)-MATCH($AT$1,[1]crash_skills!$1:$1,0)+1),MATCH(AW$1,[1]crash_skills!$1:$1,0)-MATCH($AT$1,[1]crash_skills!$1:$1,0)+1,FALSE)</f>
        <v>#VALUE!</v>
      </c>
      <c r="AX319" s="81">
        <f ca="1">VLOOKUP($A319,OFFSET([2]characters!$A$1,0,0,COUNTA([2]characters!$A:$A),MATCH(AX$1,[2]characters!$1:$1,0)-MATCH($A$1,[2]characters!$1:$1,0)+1),MATCH(AX$1,[2]characters!$1:$1,0)-MATCH($A$1,[2]characters!$1:$1,0)+1,FALSE)</f>
        <v>3</v>
      </c>
      <c r="AY319" s="184">
        <v>1</v>
      </c>
      <c r="AZ319" s="184">
        <v>0.7</v>
      </c>
      <c r="BA319" s="184">
        <v>0</v>
      </c>
      <c r="BB319" s="184">
        <v>1</v>
      </c>
      <c r="BC319" s="14">
        <f ca="1">INDEX('RC6SV'!$A$1:$G$20,MATCH(H319,'RC6SV'!$A$1:$A$20,FALSE),MATCH(G319,'RC6SV'!$A$1:$G$1,FALSE))</f>
        <v>6700</v>
      </c>
      <c r="BD319" s="63">
        <f t="shared" ca="1" si="32"/>
        <v>6700</v>
      </c>
      <c r="BE319" s="14">
        <f t="shared" ca="1" si="33"/>
        <v>0</v>
      </c>
      <c r="BF319" s="14">
        <f t="shared" ca="1" si="34"/>
        <v>1</v>
      </c>
      <c r="BG319" s="20">
        <f ca="1">IF($BE319&lt;=0,ROUND(BK319*0.5,0), ROUND($BE319*S319*AA319*J319*AY319*0.8*[2]ステータス!$B$2,0))</f>
        <v>1260</v>
      </c>
      <c r="BH319" s="20">
        <f ca="1">IF($BE319&lt;=0,ROUND(BL319*0.5,0), ROUND($BE319*T319*AB319*K319*AZ319*0.8*[2]ステータス!$C$2,0))</f>
        <v>533</v>
      </c>
      <c r="BI319" s="20">
        <f ca="1">IF($BE319&lt;=0,ROUND(BM319*0.5,0), ROUND($BE319*U319*AC319*L319*BA319*0.8*[2]ステータス!$D$2,0))</f>
        <v>0</v>
      </c>
      <c r="BJ319" s="20">
        <f ca="1">IF($BE319&lt;=0,ROUND(BN319*0.5,0), ROUND($BE319*V319*AD319*M319*BB319*0.8*[2]ステータス!$E$2,0))</f>
        <v>1298</v>
      </c>
      <c r="BK319" s="14">
        <f ca="1">ROUND(BD319*S319*AA319*J319*AY319*[2]ステータス!$B$2,0)</f>
        <v>2519</v>
      </c>
      <c r="BL319" s="14">
        <f ca="1">ROUND(BD319*T319*AB319*K319*AZ319*[2]ステータス!$C$2,0)</f>
        <v>1065</v>
      </c>
      <c r="BM319" s="14">
        <f ca="1">ROUND(BD319*U319*AC319*L319*BA319*[2]ステータス!$D$2,0)</f>
        <v>0</v>
      </c>
      <c r="BN319" s="14">
        <f ca="1">ROUND(BD319*V319*AD319*M319*BB319*[2]ステータス!$E$2,0)</f>
        <v>2596</v>
      </c>
      <c r="BO319" s="13">
        <v>0</v>
      </c>
      <c r="BP319" s="13">
        <v>1</v>
      </c>
      <c r="BQ319" s="49" t="s">
        <v>102</v>
      </c>
      <c r="BR319" s="13">
        <f ca="1">VLOOKUP(H319,ghosts_label!$A$2:$B$19,2,FALSE)</f>
        <v>1</v>
      </c>
    </row>
    <row r="320" spans="1:70" ht="21" customHeight="1" x14ac:dyDescent="0.15">
      <c r="A320" s="14">
        <f t="shared" ca="1" si="29"/>
        <v>319</v>
      </c>
      <c r="B320" s="77" t="str">
        <f ca="1">VLOOKUP($A320,OFFSET([2]characters!$A$1,0,0,COUNTA([2]characters!$A:$A),MATCH(B$1,[2]characters!$1:$1,0)-MATCH($A$1,[2]characters!$1:$1,0)+1),MATCH(B$1,[2]characters!$1:$1,0)-MATCH($A$1,[2]characters!$1:$1,0)+1,FALSE)</f>
        <v>夢想の学士 シャルル</v>
      </c>
      <c r="C320" s="77" t="str">
        <f ca="1">VLOOKUP($A320,OFFSET([2]characters!$A$1,0,0,COUNTA([2]characters!$A:$A),MATCH(C$1,[2]characters!$1:$1,0)-MATCH($A$1,[2]characters!$1:$1,0)+1),MATCH(C$1,[2]characters!$1:$1,0)-MATCH($A$1,[2]characters!$1:$1,0)+1,FALSE)</f>
        <v>チャレンジタワー</v>
      </c>
      <c r="D320" s="77" t="str">
        <f ca="1">VLOOKUP($A320,OFFSET([2]characters!$A$1,0,0,COUNTA([2]characters!$A:$A),MATCH(D$1,[2]characters!$1:$1,0)-MATCH($A$1,[2]characters!$1:$1,0)+1),MATCH(D$1,[2]characters!$1:$1,0)-MATCH($A$1,[2]characters!$1:$1,0)+1,FALSE)</f>
        <v>守護者</v>
      </c>
      <c r="E320" s="77" t="str">
        <f ca="1">VLOOKUP($A320,OFFSET([2]characters!$A$1,0,0,COUNTA([2]characters!$A:$A),MATCH(E$1,[2]characters!$1:$1,0)-MATCH($A$1,[2]characters!$1:$1,0)+1),MATCH(E$1,[2]characters!$1:$1,0)-MATCH($A$1,[2]characters!$1:$1,0)+1,FALSE)</f>
        <v>美しい</v>
      </c>
      <c r="F320" s="77" t="str">
        <f ca="1">VLOOKUP($A320,OFFSET([2]characters!$A$1,0,0,COUNTA([2]characters!$A:$A),MATCH(F$1,[2]characters!$1:$1,0)-MATCH($A$1,[2]characters!$1:$1,0)+1),MATCH(F$1,[2]characters!$1:$1,0)-MATCH($A$1,[2]characters!$1:$1,0)+1,FALSE)</f>
        <v>女性</v>
      </c>
      <c r="G320" s="77">
        <f ca="1">VLOOKUP($A320,OFFSET([2]characters!$A$1,0,0,COUNTA([2]characters!$A:$A),MATCH(G$1,[2]characters!$1:$1,0)-MATCH($A$1,[2]characters!$1:$1,0)+1),MATCH(G$1,[2]characters!$1:$1,0)-MATCH($A$1,[2]characters!$1:$1,0)+1,FALSE)</f>
        <v>5</v>
      </c>
      <c r="H320" s="77" t="str">
        <f ca="1">VLOOKUP($A320,OFFSET([2]characters!$A$1,0,0,COUNTA([2]characters!$A:$A),MATCH(H$1,[2]characters!$1:$1,0)-MATCH($A$1,[2]characters!$1:$1,0)+1),MATCH(H$1,[2]characters!$1:$1,0)-MATCH($A$1,[2]characters!$1:$1,0)+1,FALSE)</f>
        <v>DropWizN</v>
      </c>
      <c r="I320" s="77" t="str">
        <f ca="1">VLOOKUP($A320,OFFSET([2]characters!$A$1,0,0,COUNTA([2]characters!$A:$A),MATCH(I$1,[2]characters!$1:$1,0)-MATCH($A$1,[2]characters!$1:$1,0)+1),MATCH(I$1,[2]characters!$1:$1,0)-MATCH($A$1,[2]characters!$1:$1,0)+1,FALSE)</f>
        <v>blue</v>
      </c>
      <c r="J320" s="14">
        <f ca="1">VLOOKUP(I320,[2]属性!$A:$E,2,FALSE)</f>
        <v>1</v>
      </c>
      <c r="K320" s="14">
        <f ca="1">VLOOKUP(I320,[2]属性!$A:$E,3,FALSE)</f>
        <v>0.98</v>
      </c>
      <c r="L320" s="14">
        <f ca="1">VLOOKUP(I320,[2]属性!$A:$E,4,FALSE)</f>
        <v>1</v>
      </c>
      <c r="M320" s="14">
        <f ca="1">VLOOKUP(I320,[2]属性!$A:$E,5,FALSE)</f>
        <v>1.02</v>
      </c>
      <c r="N320" s="14">
        <f ca="1">INDEX(コスト!$A$1:$I$20,MATCH(H320,コスト!$A$1:$A$20,FALSE),MATCH(G320,コスト!$A$1:$I$1,FALSE))</f>
        <v>28</v>
      </c>
      <c r="O320" s="14">
        <f ca="1">INDEX(レベル!$A$1:$I$21,MATCH(H320,レベル!$A$1:$A$21,FALSE),MATCH(G320,レベル!$A$1:$I$1,FALSE))</f>
        <v>80</v>
      </c>
      <c r="P320" s="63">
        <f t="shared" ca="1" si="35"/>
        <v>75</v>
      </c>
      <c r="Q320" s="77" t="str">
        <f ca="1">VLOOKUP($A320,OFFSET([2]characters!$A$1,0,0,COUNTA([2]characters!$A:$A),MATCH(Q$1,[2]characters!$1:$1,0)-MATCH($A$1,[2]characters!$1:$1,0)+1),MATCH(Q$1,[2]characters!$1:$1,0)-MATCH($A$1,[2]characters!$1:$1,0)+1,FALSE)</f>
        <v>heal</v>
      </c>
      <c r="R320" s="8" t="str">
        <f ca="1">VLOOKUP(Q320,[2]character_type_i18n!$A:$H,3,FALSE)</f>
        <v>回復タイプ</v>
      </c>
      <c r="S320" s="14">
        <f ca="1">VLOOKUP(Q320,[2]character_type_i18n!$A:$H,4,FALSE)</f>
        <v>0.8</v>
      </c>
      <c r="T320" s="14">
        <f ca="1">VLOOKUP(Q320,[2]character_type_i18n!$A:$H,5,FALSE)</f>
        <v>0.78</v>
      </c>
      <c r="U320" s="14">
        <f ca="1">VLOOKUP(Q320,[2]character_type_i18n!$A:$H,6,FALSE)</f>
        <v>1</v>
      </c>
      <c r="V320" s="14">
        <f ca="1">VLOOKUP(Q320,[2]character_type_i18n!$A:$H,7,FALSE)</f>
        <v>1.42</v>
      </c>
      <c r="W320" s="77" t="str">
        <f ca="1">VLOOKUP($A320,OFFSET([2]characters!$A$1,0,0,COUNTA([2]characters!$A:$A),MATCH(W$1,[2]characters!$1:$1,0)-MATCH($A$1,[2]characters!$1:$1,0)+1),MATCH(W$1,[2]characters!$1:$1,0)-MATCH($A$1,[2]characters!$1:$1,0)+1,FALSE)</f>
        <v>human</v>
      </c>
      <c r="X320" s="8" t="str">
        <f ca="1">VLOOKUP(W320,[2]character_tribe_i18n!$A:$H,3,FALSE)</f>
        <v>ヒューマン</v>
      </c>
      <c r="Y320" s="77" t="str">
        <f ca="1">VLOOKUP($A320,OFFSET([2]characters!$A$1,0,0,COUNTA([2]characters!$A:$A),MATCH(Y$1,[2]characters!$1:$1,0)-MATCH($A$1,[2]characters!$1:$1,0)+1),MATCH(Y$1,[2]characters!$1:$1,0)-MATCH($A$1,[2]characters!$1:$1,0)+1,FALSE)</f>
        <v>none</v>
      </c>
      <c r="Z320" s="8" t="str">
        <f ca="1">VLOOKUP(Y320,[2]character_tribe_i18n!$A:$H,3,FALSE)</f>
        <v>種族なし</v>
      </c>
      <c r="AA320" s="14">
        <f ca="1">VLOOKUP(W320,[2]character_tribe_i18n!$A:$H,4,FALSE)</f>
        <v>0.94</v>
      </c>
      <c r="AB320" s="14">
        <f ca="1">VLOOKUP(W320,[2]character_tribe_i18n!$A:$H,5,FALSE)</f>
        <v>0.99</v>
      </c>
      <c r="AC320" s="14">
        <f ca="1">VLOOKUP(W320,[2]character_tribe_i18n!$A:$H,6,FALSE)</f>
        <v>1</v>
      </c>
      <c r="AD320" s="14">
        <f ca="1">VLOOKUP(W320,[2]character_tribe_i18n!$A:$H,7,FALSE)</f>
        <v>1.07</v>
      </c>
      <c r="AE320" s="12" t="s">
        <v>102</v>
      </c>
      <c r="AF320" s="85" t="str">
        <f ca="1">IF(AE320="NULL","",VLOOKUP($AE320,OFFSET([2]characters!$A$1,0,0,COUNTA([2]characters!$A:$A),MATCH(AF$1,[2]characters!$1:$1,0)-MATCH($A$1,[2]characters!$1:$1,0)+1),MATCH(AF$1,[2]characters!$1:$1,0)-MATCH($A$1,[2]characters!$1:$1,0)+1,FALSE))</f>
        <v/>
      </c>
      <c r="AG320" s="8">
        <f t="shared" ca="1" si="30"/>
        <v>318</v>
      </c>
      <c r="AH320" s="85" t="str">
        <f ca="1">VLOOKUP($AG320,OFFSET([2]characters!$A$1,0,0,COUNTA([2]characters!$A:$A),MATCH(AH$1,[2]characters!$1:$1,0)-MATCH($A$1,[2]characters!$1:$1,0)+1),MATCH(AH$1,[2]characters!$1:$1,0)-MATCH($A$1,[2]characters!$1:$1,0)+1,FALSE)</f>
        <v>シャルル</v>
      </c>
      <c r="AI320" s="14" t="str">
        <f>IF(AE320="NULL","NULL",VLOOKUP(G320,ビット!$A$2:$B$7,2))</f>
        <v>NULL</v>
      </c>
      <c r="AJ320" s="9">
        <v>2</v>
      </c>
      <c r="AK320" s="10" t="str">
        <f t="shared" si="31"/>
        <v>普通</v>
      </c>
      <c r="AL320" s="14" t="str">
        <f ca="1">INDEX(経験値!$A$1:$I$20,MATCH(H320,経験値!$A$1:$A$20,FALSE),MATCH(G320,経験値!$A$1:$I$1,FALSE))</f>
        <v>required_exp_200</v>
      </c>
      <c r="AM320" s="11">
        <f ca="1">VLOOKUP(G320,経験値!$A$27:$B$31,2)</f>
        <v>6400</v>
      </c>
      <c r="AN320" s="21">
        <f ca="1">VLOOKUP(G320,ビット!$G$2:$H$7,2)</f>
        <v>900</v>
      </c>
      <c r="AO320" s="98"/>
      <c r="AP320" s="97">
        <v>930004</v>
      </c>
      <c r="AQ320" s="77" t="e">
        <f ca="1">VLOOKUP($AP320,OFFSET([1]unit_skills!$A$1,0,0,COUNTA([1]unit_skills!$A:$A),MATCH("name",[1]unit_skills!$1:$1,0)-MATCH($AP$1,[1]unit_skills!$1:$1,0)+1),MATCH("name",[1]unit_skills!$1:$1,0)-MATCH($AP$1,[1]unit_skills!$1:$1,0)+1,FALSE)</f>
        <v>#VALUE!</v>
      </c>
      <c r="AR320" s="77" t="e">
        <f ca="1">VLOOKUP($AP320,OFFSET([1]unit_skills!$A$1,0,0,COUNTA([1]unit_skills!$A:$A),MATCH("comment",[1]unit_skills!$1:$1,0)-MATCH($AP$1,[1]unit_skills!$1:$1,0)+1),MATCH("comment",[1]unit_skills!$1:$1,0)-MATCH($AP$1,[1]unit_skills!$1:$1,0)+1,FALSE)</f>
        <v>#VALUE!</v>
      </c>
      <c r="AS320" s="77" t="e">
        <f ca="1">VLOOKUP($AP320,OFFSET([1]unit_skills!$A$1,0,0,COUNTA([1]unit_skills!$A:$A),MATCH(AS$1,[1]unit_skills!$1:$1,0)-MATCH($AP$1,[1]unit_skills!$1:$1,0)+1),MATCH(AS$1,[1]unit_skills!$1:$1,0)-MATCH($AP$1,[1]unit_skills!$1:$1,0)+1,FALSE)</f>
        <v>#VALUE!</v>
      </c>
      <c r="AT320" s="97">
        <v>123012</v>
      </c>
      <c r="AU320" s="77" t="e">
        <f ca="1">VLOOKUP($AT320,OFFSET([1]crash_skills!$A$1,0,0,COUNTA([1]crash_skills!$A:$A),MATCH("name",[1]crash_skills!$1:$1,0)-MATCH($AT$1,[1]crash_skills!$1:$1,0)+1),MATCH("name",[1]crash_skills!$1:$1,0)-MATCH($AT$1,[1]crash_skills!$1:$1,0)+1,FALSE)</f>
        <v>#VALUE!</v>
      </c>
      <c r="AV320" s="77" t="e">
        <f ca="1">VLOOKUP($AT320,OFFSET([1]crash_skills!$A$1,0,0,COUNTA([1]crash_skills!$A:$A),MATCH("comment",[1]crash_skills!$1:$1,0)-MATCH($AT$1,[1]crash_skills!$1:$1,0)+1),MATCH("comment",[1]crash_skills!$1:$1,0)-MATCH($AT$1,[1]crash_skills!$1:$1,0)+1,FALSE)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20" s="77" t="e">
        <f ca="1">VLOOKUP($AT320,OFFSET([1]crash_skills!$A$1,0,0,COUNTA([1]crash_skills!$A:$A),MATCH(AW$1,[1]crash_skills!$1:$1,0)-MATCH($AT$1,[1]crash_skills!$1:$1,0)+1),MATCH(AW$1,[1]crash_skills!$1:$1,0)-MATCH($AT$1,[1]crash_skills!$1:$1,0)+1,FALSE)</f>
        <v>#VALUE!</v>
      </c>
      <c r="AX320" s="81">
        <f ca="1">VLOOKUP($A320,OFFSET([2]characters!$A$1,0,0,COUNTA([2]characters!$A:$A),MATCH(AX$1,[2]characters!$1:$1,0)-MATCH($A$1,[2]characters!$1:$1,0)+1),MATCH(AX$1,[2]characters!$1:$1,0)-MATCH($A$1,[2]characters!$1:$1,0)+1,FALSE)</f>
        <v>3</v>
      </c>
      <c r="AY320" s="184">
        <v>1</v>
      </c>
      <c r="AZ320" s="184">
        <v>0.7</v>
      </c>
      <c r="BA320" s="184">
        <v>0</v>
      </c>
      <c r="BB320" s="184">
        <v>1</v>
      </c>
      <c r="BC320" s="14">
        <f ca="1">INDEX('RC6SV'!$A$1:$G$20,MATCH(H320,'RC6SV'!$A$1:$A$20,FALSE),MATCH(G320,'RC6SV'!$A$1:$G$1,FALSE))</f>
        <v>8500</v>
      </c>
      <c r="BD320" s="63">
        <f t="shared" ca="1" si="32"/>
        <v>8500</v>
      </c>
      <c r="BE320" s="14">
        <f t="shared" ca="1" si="33"/>
        <v>6700</v>
      </c>
      <c r="BF320" s="14">
        <f t="shared" ca="1" si="34"/>
        <v>1</v>
      </c>
      <c r="BG320" s="20">
        <f ca="1">IF($BE320&lt;=0,ROUND(BK320*0.5,0), ROUND($BE320*S320*AA320*J320*AY320*0.8*[2]ステータス!$B$2,0))</f>
        <v>2015</v>
      </c>
      <c r="BH320" s="20">
        <f ca="1">IF($BE320&lt;=0,ROUND(BL320*0.5,0), ROUND($BE320*T320*AB320*K320*AZ320*0.8*[2]ステータス!$C$2,0))</f>
        <v>852</v>
      </c>
      <c r="BI320" s="20">
        <f ca="1">IF($BE320&lt;=0,ROUND(BM320*0.5,0), ROUND($BE320*U320*AC320*L320*BA320*0.8*[2]ステータス!$D$2,0))</f>
        <v>0</v>
      </c>
      <c r="BJ320" s="20">
        <f ca="1">IF($BE320&lt;=0,ROUND(BN320*0.5,0), ROUND($BE320*V320*AD320*M320*BB320*0.8*[2]ステータス!$E$2,0))</f>
        <v>2077</v>
      </c>
      <c r="BK320" s="14">
        <f ca="1">ROUND(BD320*S320*AA320*J320*AY320*[2]ステータス!$B$2,0)</f>
        <v>3196</v>
      </c>
      <c r="BL320" s="14">
        <f ca="1">ROUND(BD320*T320*AB320*K320*AZ320*[2]ステータス!$C$2,0)</f>
        <v>1351</v>
      </c>
      <c r="BM320" s="14">
        <f ca="1">ROUND(BD320*U320*AC320*L320*BA320*[2]ステータス!$D$2,0)</f>
        <v>0</v>
      </c>
      <c r="BN320" s="14">
        <f ca="1">ROUND(BD320*V320*AD320*M320*BB320*[2]ステータス!$E$2,0)</f>
        <v>3293</v>
      </c>
      <c r="BO320" s="13">
        <v>0</v>
      </c>
      <c r="BP320" s="13">
        <v>1</v>
      </c>
      <c r="BQ320" s="49" t="s">
        <v>102</v>
      </c>
      <c r="BR320" s="13">
        <f ca="1">VLOOKUP(H320,ghosts_label!$A$2:$B$19,2,FALSE)</f>
        <v>1</v>
      </c>
    </row>
    <row r="321" spans="1:70" ht="21" customHeight="1" x14ac:dyDescent="0.15">
      <c r="A321" s="14">
        <f t="shared" ca="1" si="29"/>
        <v>320</v>
      </c>
      <c r="B321" s="77" t="str">
        <f ca="1">VLOOKUP($A321,OFFSET([2]characters!$A$1,0,0,COUNTA([2]characters!$A:$A),MATCH(B$1,[2]characters!$1:$1,0)-MATCH($A$1,[2]characters!$1:$1,0)+1),MATCH(B$1,[2]characters!$1:$1,0)-MATCH($A$1,[2]characters!$1:$1,0)+1,FALSE)</f>
        <v>烈志士 近藤勇</v>
      </c>
      <c r="C321" s="77" t="str">
        <f ca="1">VLOOKUP($A321,OFFSET([2]characters!$A$1,0,0,COUNTA([2]characters!$A:$A),MATCH(C$1,[2]characters!$1:$1,0)-MATCH($A$1,[2]characters!$1:$1,0)+1),MATCH(C$1,[2]characters!$1:$1,0)-MATCH($A$1,[2]characters!$1:$1,0)+1,FALSE)</f>
        <v>ガチャ:幕末01</v>
      </c>
      <c r="D321" s="77" t="str">
        <f ca="1">VLOOKUP($A321,OFFSET([2]characters!$A$1,0,0,COUNTA([2]characters!$A:$A),MATCH(D$1,[2]characters!$1:$1,0)-MATCH($A$1,[2]characters!$1:$1,0)+1),MATCH(D$1,[2]characters!$1:$1,0)-MATCH($A$1,[2]characters!$1:$1,0)+1,FALSE)</f>
        <v>破界者</v>
      </c>
      <c r="E321" s="77" t="str">
        <f ca="1">VLOOKUP($A321,OFFSET([2]characters!$A$1,0,0,COUNTA([2]characters!$A:$A),MATCH(E$1,[2]characters!$1:$1,0)-MATCH($A$1,[2]characters!$1:$1,0)+1),MATCH(E$1,[2]characters!$1:$1,0)-MATCH($A$1,[2]characters!$1:$1,0)+1,FALSE)</f>
        <v>格好いい</v>
      </c>
      <c r="F321" s="77" t="str">
        <f ca="1">VLOOKUP($A321,OFFSET([2]characters!$A$1,0,0,COUNTA([2]characters!$A:$A),MATCH(F$1,[2]characters!$1:$1,0)-MATCH($A$1,[2]characters!$1:$1,0)+1),MATCH(F$1,[2]characters!$1:$1,0)-MATCH($A$1,[2]characters!$1:$1,0)+1,FALSE)</f>
        <v>男性</v>
      </c>
      <c r="G321" s="77">
        <f ca="1">VLOOKUP($A321,OFFSET([2]characters!$A$1,0,0,COUNTA([2]characters!$A:$A),MATCH(G$1,[2]characters!$1:$1,0)-MATCH($A$1,[2]characters!$1:$1,0)+1),MATCH(G$1,[2]characters!$1:$1,0)-MATCH($A$1,[2]characters!$1:$1,0)+1,FALSE)</f>
        <v>4</v>
      </c>
      <c r="H321" s="77" t="str">
        <f ca="1">VLOOKUP($A321,OFFSET([2]characters!$A$1,0,0,COUNTA([2]characters!$A:$A),MATCH(H$1,[2]characters!$1:$1,0)-MATCH($A$1,[2]characters!$1:$1,0)+1),MATCH(H$1,[2]characters!$1:$1,0)-MATCH($A$1,[2]characters!$1:$1,0)+1,FALSE)</f>
        <v>PremiumSS</v>
      </c>
      <c r="I321" s="77" t="str">
        <f ca="1">VLOOKUP($A321,OFFSET([2]characters!$A$1,0,0,COUNTA([2]characters!$A:$A),MATCH(I$1,[2]characters!$1:$1,0)-MATCH($A$1,[2]characters!$1:$1,0)+1),MATCH(I$1,[2]characters!$1:$1,0)-MATCH($A$1,[2]characters!$1:$1,0)+1,FALSE)</f>
        <v>red</v>
      </c>
      <c r="J321" s="14">
        <f ca="1">VLOOKUP(I321,[2]属性!$A:$E,2,FALSE)</f>
        <v>1</v>
      </c>
      <c r="K321" s="14">
        <f ca="1">VLOOKUP(I321,[2]属性!$A:$E,3,FALSE)</f>
        <v>1.02</v>
      </c>
      <c r="L321" s="14">
        <f ca="1">VLOOKUP(I321,[2]属性!$A:$E,4,FALSE)</f>
        <v>1</v>
      </c>
      <c r="M321" s="14">
        <f ca="1">VLOOKUP(I321,[2]属性!$A:$E,5,FALSE)</f>
        <v>0.98</v>
      </c>
      <c r="N321" s="14">
        <f ca="1">INDEX(コスト!$A$1:$I$20,MATCH(H321,コスト!$A$1:$A$20,FALSE),MATCH(G321,コスト!$A$1:$I$1,FALSE))</f>
        <v>25</v>
      </c>
      <c r="O321" s="14">
        <f ca="1">INDEX(レベル!$A$1:$I$21,MATCH(H321,レベル!$A$1:$A$21,FALSE),MATCH(G321,レベル!$A$1:$I$1,FALSE))</f>
        <v>60</v>
      </c>
      <c r="P321" s="63">
        <f t="shared" ca="1" si="35"/>
        <v>60</v>
      </c>
      <c r="Q321" s="77" t="str">
        <f ca="1">VLOOKUP($A321,OFFSET([2]characters!$A$1,0,0,COUNTA([2]characters!$A:$A),MATCH(Q$1,[2]characters!$1:$1,0)-MATCH($A$1,[2]characters!$1:$1,0)+1),MATCH(Q$1,[2]characters!$1:$1,0)-MATCH($A$1,[2]characters!$1:$1,0)+1,FALSE)</f>
        <v>hp</v>
      </c>
      <c r="R321" s="8" t="str">
        <f ca="1">VLOOKUP(Q321,[2]character_type_i18n!$A:$H,3,FALSE)</f>
        <v>体力タイプ</v>
      </c>
      <c r="S321" s="14">
        <f ca="1">VLOOKUP(Q321,[2]character_type_i18n!$A:$H,4,FALSE)</f>
        <v>1.45</v>
      </c>
      <c r="T321" s="14">
        <f ca="1">VLOOKUP(Q321,[2]character_type_i18n!$A:$H,5,FALSE)</f>
        <v>0.85</v>
      </c>
      <c r="U321" s="14">
        <f ca="1">VLOOKUP(Q321,[2]character_type_i18n!$A:$H,6,FALSE)</f>
        <v>1</v>
      </c>
      <c r="V321" s="14">
        <f ca="1">VLOOKUP(Q321,[2]character_type_i18n!$A:$H,7,FALSE)</f>
        <v>0.7</v>
      </c>
      <c r="W321" s="77" t="str">
        <f ca="1">VLOOKUP($A321,OFFSET([2]characters!$A$1,0,0,COUNTA([2]characters!$A:$A),MATCH(W$1,[2]characters!$1:$1,0)-MATCH($A$1,[2]characters!$1:$1,0)+1),MATCH(W$1,[2]characters!$1:$1,0)-MATCH($A$1,[2]characters!$1:$1,0)+1,FALSE)</f>
        <v>human</v>
      </c>
      <c r="X321" s="8" t="str">
        <f ca="1">VLOOKUP(W321,[2]character_tribe_i18n!$A:$H,3,FALSE)</f>
        <v>ヒューマン</v>
      </c>
      <c r="Y321" s="77" t="str">
        <f ca="1">VLOOKUP($A321,OFFSET([2]characters!$A$1,0,0,COUNTA([2]characters!$A:$A),MATCH(Y$1,[2]characters!$1:$1,0)-MATCH($A$1,[2]characters!$1:$1,0)+1),MATCH(Y$1,[2]characters!$1:$1,0)-MATCH($A$1,[2]characters!$1:$1,0)+1,FALSE)</f>
        <v>none</v>
      </c>
      <c r="Z321" s="8" t="str">
        <f ca="1">VLOOKUP(Y321,[2]character_tribe_i18n!$A:$H,3,FALSE)</f>
        <v>種族なし</v>
      </c>
      <c r="AA321" s="14">
        <f ca="1">VLOOKUP(W321,[2]character_tribe_i18n!$A:$H,4,FALSE)</f>
        <v>0.94</v>
      </c>
      <c r="AB321" s="14">
        <f ca="1">VLOOKUP(W321,[2]character_tribe_i18n!$A:$H,5,FALSE)</f>
        <v>0.99</v>
      </c>
      <c r="AC321" s="14">
        <f ca="1">VLOOKUP(W321,[2]character_tribe_i18n!$A:$H,6,FALSE)</f>
        <v>1</v>
      </c>
      <c r="AD321" s="14">
        <f ca="1">VLOOKUP(W321,[2]character_tribe_i18n!$A:$H,7,FALSE)</f>
        <v>1.07</v>
      </c>
      <c r="AE321" s="12">
        <v>321</v>
      </c>
      <c r="AF321" s="85" t="str">
        <f ca="1">IF(AE321="NULL","",VLOOKUP($AE321,OFFSET([2]characters!$A$1,0,0,COUNTA([2]characters!$A:$A),MATCH(AF$1,[2]characters!$1:$1,0)-MATCH($A$1,[2]characters!$1:$1,0)+1),MATCH(AF$1,[2]characters!$1:$1,0)-MATCH($A$1,[2]characters!$1:$1,0)+1,FALSE))</f>
        <v>巌鉄の烈志士 近藤勇</v>
      </c>
      <c r="AG321" s="8">
        <f t="shared" ca="1" si="30"/>
        <v>320</v>
      </c>
      <c r="AH321" s="85" t="str">
        <f ca="1">VLOOKUP($AG321,OFFSET([2]characters!$A$1,0,0,COUNTA([2]characters!$A:$A),MATCH(AH$1,[2]characters!$1:$1,0)-MATCH($A$1,[2]characters!$1:$1,0)+1),MATCH(AH$1,[2]characters!$1:$1,0)-MATCH($A$1,[2]characters!$1:$1,0)+1,FALSE)</f>
        <v>烈志士 近藤勇</v>
      </c>
      <c r="AI321" s="14">
        <f ca="1">IF(AE321="NULL","NULL",VLOOKUP(G321,ビット!$A$2:$B$7,2))</f>
        <v>50000</v>
      </c>
      <c r="AJ321" s="9">
        <v>2</v>
      </c>
      <c r="AK321" s="10" t="str">
        <f t="shared" si="31"/>
        <v>普通</v>
      </c>
      <c r="AL321" s="14" t="str">
        <f ca="1">INDEX(経験値!$A$1:$I$20,MATCH(H321,経験値!$A$1:$A$20,FALSE),MATCH(G321,経験値!$A$1:$I$1,FALSE))</f>
        <v>required_exp_200</v>
      </c>
      <c r="AM321" s="11">
        <f ca="1">VLOOKUP(G321,経験値!$A$27:$B$31,2)</f>
        <v>3400</v>
      </c>
      <c r="AN321" s="21">
        <f ca="1">VLOOKUP(G321,ビット!$G$2:$H$7,2)</f>
        <v>600</v>
      </c>
      <c r="AO321" s="98"/>
      <c r="AP321" s="4">
        <v>540014</v>
      </c>
      <c r="AQ321" s="77" t="e">
        <f ca="1">VLOOKUP($AP321,OFFSET([1]unit_skills!$A$1,0,0,COUNTA([1]unit_skills!$A:$A),MATCH("name",[1]unit_skills!$1:$1,0)-MATCH($AP$1,[1]unit_skills!$1:$1,0)+1),MATCH("name",[1]unit_skills!$1:$1,0)-MATCH($AP$1,[1]unit_skills!$1:$1,0)+1,FALSE)</f>
        <v>#VALUE!</v>
      </c>
      <c r="AR321" s="77" t="e">
        <f ca="1">VLOOKUP($AP321,OFFSET([1]unit_skills!$A$1,0,0,COUNTA([1]unit_skills!$A:$A),MATCH("comment",[1]unit_skills!$1:$1,0)-MATCH($AP$1,[1]unit_skills!$1:$1,0)+1),MATCH("comment",[1]unit_skills!$1:$1,0)-MATCH($AP$1,[1]unit_skills!$1:$1,0)+1,FALSE)</f>
        <v>#VALUE!</v>
      </c>
      <c r="AS321" s="77" t="e">
        <f ca="1">VLOOKUP($AP321,OFFSET([1]unit_skills!$A$1,0,0,COUNTA([1]unit_skills!$A:$A),MATCH(AS$1,[1]unit_skills!$1:$1,0)-MATCH($AP$1,[1]unit_skills!$1:$1,0)+1),MATCH(AS$1,[1]unit_skills!$1:$1,0)-MATCH($AP$1,[1]unit_skills!$1:$1,0)+1,FALSE)</f>
        <v>#VALUE!</v>
      </c>
      <c r="AT321" s="53">
        <v>111114</v>
      </c>
      <c r="AU321" s="77" t="e">
        <f ca="1">VLOOKUP($AT321,OFFSET([1]crash_skills!$A$1,0,0,COUNTA([1]crash_skills!$A:$A),MATCH("name",[1]crash_skills!$1:$1,0)-MATCH($AT$1,[1]crash_skills!$1:$1,0)+1),MATCH("name",[1]crash_skills!$1:$1,0)-MATCH($AT$1,[1]crash_skills!$1:$1,0)+1,FALSE)</f>
        <v>#VALUE!</v>
      </c>
      <c r="AV321" s="77" t="e">
        <f ca="1">VLOOKUP($AT321,OFFSET([1]crash_skills!$A$1,0,0,COUNTA([1]crash_skills!$A:$A),MATCH("comment",[1]crash_skills!$1:$1,0)-MATCH($AT$1,[1]crash_skills!$1:$1,0)+1),MATCH("comment",[1]crash_skills!$1:$1,0)-MATCH($AT$1,[1]crash_skills!$1:$1,0)+1,FALSE)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21" s="77" t="e">
        <f ca="1">VLOOKUP($AT321,OFFSET([1]crash_skills!$A$1,0,0,COUNTA([1]crash_skills!$A:$A),MATCH(AW$1,[1]crash_skills!$1:$1,0)-MATCH($AT$1,[1]crash_skills!$1:$1,0)+1),MATCH(AW$1,[1]crash_skills!$1:$1,0)-MATCH($AT$1,[1]crash_skills!$1:$1,0)+1,FALSE)</f>
        <v>#VALUE!</v>
      </c>
      <c r="AX321" s="81">
        <f ca="1">VLOOKUP($A321,OFFSET([2]characters!$A$1,0,0,COUNTA([2]characters!$A:$A),MATCH(AX$1,[2]characters!$1:$1,0)-MATCH($A$1,[2]characters!$1:$1,0)+1),MATCH(AX$1,[2]characters!$1:$1,0)-MATCH($A$1,[2]characters!$1:$1,0)+1,FALSE)</f>
        <v>3</v>
      </c>
      <c r="AY321" s="19">
        <v>1.25</v>
      </c>
      <c r="AZ321" s="19">
        <v>1</v>
      </c>
      <c r="BA321" s="19">
        <v>0</v>
      </c>
      <c r="BB321" s="19">
        <v>0.6</v>
      </c>
      <c r="BC321" s="14">
        <f ca="1">INDEX('RC6SV'!$A$1:$G$20,MATCH(H321,'RC6SV'!$A$1:$A$20,FALSE),MATCH(G321,'RC6SV'!$A$1:$G$1,FALSE))</f>
        <v>7500</v>
      </c>
      <c r="BD321" s="63">
        <f t="shared" ca="1" si="32"/>
        <v>7500</v>
      </c>
      <c r="BE321" s="14">
        <f t="shared" ca="1" si="33"/>
        <v>0</v>
      </c>
      <c r="BF321" s="14">
        <f t="shared" ca="1" si="34"/>
        <v>1</v>
      </c>
      <c r="BG321" s="20">
        <f ca="1">IF($BE321&lt;=0,ROUND(BK321*0.5,0), ROUND($BE321*S321*AA321*J321*AY321*0.8*[2]ステータス!$B$2,0))</f>
        <v>3195</v>
      </c>
      <c r="BH321" s="20">
        <f ca="1">IF($BE321&lt;=0,ROUND(BL321*0.5,0), ROUND($BE321*T321*AB321*K321*AZ321*0.8*[2]ステータス!$C$2,0))</f>
        <v>966</v>
      </c>
      <c r="BI321" s="20">
        <f ca="1">IF($BE321&lt;=0,ROUND(BM321*0.5,0), ROUND($BE321*U321*AC321*L321*BA321*0.8*[2]ステータス!$D$2,0))</f>
        <v>0</v>
      </c>
      <c r="BJ321" s="20">
        <f ca="1">IF($BE321&lt;=0,ROUND(BN321*0.5,0), ROUND($BE321*V321*AD321*M321*BB321*0.8*[2]ステータス!$E$2,0))</f>
        <v>413</v>
      </c>
      <c r="BK321" s="14">
        <f ca="1">ROUND(BD321*S321*AA321*J321*AY321*[2]ステータス!$B$2,0)</f>
        <v>6389</v>
      </c>
      <c r="BL321" s="14">
        <f ca="1">ROUND(BD321*T321*AB321*K321*AZ321*[2]ステータス!$C$2,0)</f>
        <v>1931</v>
      </c>
      <c r="BM321" s="14">
        <f ca="1">ROUND(BD321*U321*AC321*L321*BA321*[2]ステータス!$D$2,0)</f>
        <v>0</v>
      </c>
      <c r="BN321" s="14">
        <f ca="1">ROUND(BD321*V321*AD321*M321*BB321*[2]ステータス!$E$2,0)</f>
        <v>826</v>
      </c>
      <c r="BO321" s="13">
        <v>0</v>
      </c>
      <c r="BP321" s="13">
        <v>1</v>
      </c>
      <c r="BQ321" s="49" t="s">
        <v>102</v>
      </c>
      <c r="BR321" s="13">
        <f ca="1">VLOOKUP(H321,ghosts_label!$A$2:$B$19,2,FALSE)</f>
        <v>5500</v>
      </c>
    </row>
    <row r="322" spans="1:70" ht="21" customHeight="1" x14ac:dyDescent="0.15">
      <c r="A322" s="14">
        <f t="shared" ref="A322:A385" ca="1" si="36">INDIRECT(ADDRESS(ROW(),COLUMN(),1,TRUE,"[CharacterMasterData.xlsm]characters"))</f>
        <v>321</v>
      </c>
      <c r="B322" s="77" t="str">
        <f ca="1">VLOOKUP($A322,OFFSET([2]characters!$A$1,0,0,COUNTA([2]characters!$A:$A),MATCH(B$1,[2]characters!$1:$1,0)-MATCH($A$1,[2]characters!$1:$1,0)+1),MATCH(B$1,[2]characters!$1:$1,0)-MATCH($A$1,[2]characters!$1:$1,0)+1,FALSE)</f>
        <v>巌鉄の烈志士 近藤勇</v>
      </c>
      <c r="C322" s="77" t="str">
        <f ca="1">VLOOKUP($A322,OFFSET([2]characters!$A$1,0,0,COUNTA([2]characters!$A:$A),MATCH(C$1,[2]characters!$1:$1,0)-MATCH($A$1,[2]characters!$1:$1,0)+1),MATCH(C$1,[2]characters!$1:$1,0)-MATCH($A$1,[2]characters!$1:$1,0)+1,FALSE)</f>
        <v>ガチャ:幕末01</v>
      </c>
      <c r="D322" s="77" t="str">
        <f ca="1">VLOOKUP($A322,OFFSET([2]characters!$A$1,0,0,COUNTA([2]characters!$A:$A),MATCH(D$1,[2]characters!$1:$1,0)-MATCH($A$1,[2]characters!$1:$1,0)+1),MATCH(D$1,[2]characters!$1:$1,0)-MATCH($A$1,[2]characters!$1:$1,0)+1,FALSE)</f>
        <v>破界者</v>
      </c>
      <c r="E322" s="77" t="str">
        <f ca="1">VLOOKUP($A322,OFFSET([2]characters!$A$1,0,0,COUNTA([2]characters!$A:$A),MATCH(E$1,[2]characters!$1:$1,0)-MATCH($A$1,[2]characters!$1:$1,0)+1),MATCH(E$1,[2]characters!$1:$1,0)-MATCH($A$1,[2]characters!$1:$1,0)+1,FALSE)</f>
        <v>格好いい</v>
      </c>
      <c r="F322" s="77" t="str">
        <f ca="1">VLOOKUP($A322,OFFSET([2]characters!$A$1,0,0,COUNTA([2]characters!$A:$A),MATCH(F$1,[2]characters!$1:$1,0)-MATCH($A$1,[2]characters!$1:$1,0)+1),MATCH(F$1,[2]characters!$1:$1,0)-MATCH($A$1,[2]characters!$1:$1,0)+1,FALSE)</f>
        <v>男性</v>
      </c>
      <c r="G322" s="77">
        <f ca="1">VLOOKUP($A322,OFFSET([2]characters!$A$1,0,0,COUNTA([2]characters!$A:$A),MATCH(G$1,[2]characters!$1:$1,0)-MATCH($A$1,[2]characters!$1:$1,0)+1),MATCH(G$1,[2]characters!$1:$1,0)-MATCH($A$1,[2]characters!$1:$1,0)+1,FALSE)</f>
        <v>5</v>
      </c>
      <c r="H322" s="77" t="str">
        <f ca="1">VLOOKUP($A322,OFFSET([2]characters!$A$1,0,0,COUNTA([2]characters!$A:$A),MATCH(H$1,[2]characters!$1:$1,0)-MATCH($A$1,[2]characters!$1:$1,0)+1),MATCH(H$1,[2]characters!$1:$1,0)-MATCH($A$1,[2]characters!$1:$1,0)+1,FALSE)</f>
        <v>PremiumSS</v>
      </c>
      <c r="I322" s="77" t="str">
        <f ca="1">VLOOKUP($A322,OFFSET([2]characters!$A$1,0,0,COUNTA([2]characters!$A:$A),MATCH(I$1,[2]characters!$1:$1,0)-MATCH($A$1,[2]characters!$1:$1,0)+1),MATCH(I$1,[2]characters!$1:$1,0)-MATCH($A$1,[2]characters!$1:$1,0)+1,FALSE)</f>
        <v>red</v>
      </c>
      <c r="J322" s="14">
        <f ca="1">VLOOKUP(I322,[2]属性!$A:$E,2,FALSE)</f>
        <v>1</v>
      </c>
      <c r="K322" s="14">
        <f ca="1">VLOOKUP(I322,[2]属性!$A:$E,3,FALSE)</f>
        <v>1.02</v>
      </c>
      <c r="L322" s="14">
        <f ca="1">VLOOKUP(I322,[2]属性!$A:$E,4,FALSE)</f>
        <v>1</v>
      </c>
      <c r="M322" s="14">
        <f ca="1">VLOOKUP(I322,[2]属性!$A:$E,5,FALSE)</f>
        <v>0.98</v>
      </c>
      <c r="N322" s="14">
        <f ca="1">INDEX(コスト!$A$1:$I$20,MATCH(H322,コスト!$A$1:$A$20,FALSE),MATCH(G322,コスト!$A$1:$I$1,FALSE))</f>
        <v>35</v>
      </c>
      <c r="O322" s="14">
        <f ca="1">INDEX(レベル!$A$1:$I$21,MATCH(H322,レベル!$A$1:$A$21,FALSE),MATCH(G322,レベル!$A$1:$I$1,FALSE))</f>
        <v>80</v>
      </c>
      <c r="P322" s="63">
        <f t="shared" ca="1" si="35"/>
        <v>75</v>
      </c>
      <c r="Q322" s="77" t="str">
        <f ca="1">VLOOKUP($A322,OFFSET([2]characters!$A$1,0,0,COUNTA([2]characters!$A:$A),MATCH(Q$1,[2]characters!$1:$1,0)-MATCH($A$1,[2]characters!$1:$1,0)+1),MATCH(Q$1,[2]characters!$1:$1,0)-MATCH($A$1,[2]characters!$1:$1,0)+1,FALSE)</f>
        <v>hp</v>
      </c>
      <c r="R322" s="8" t="str">
        <f ca="1">VLOOKUP(Q322,[2]character_type_i18n!$A:$H,3,FALSE)</f>
        <v>体力タイプ</v>
      </c>
      <c r="S322" s="14">
        <f ca="1">VLOOKUP(Q322,[2]character_type_i18n!$A:$H,4,FALSE)</f>
        <v>1.45</v>
      </c>
      <c r="T322" s="14">
        <f ca="1">VLOOKUP(Q322,[2]character_type_i18n!$A:$H,5,FALSE)</f>
        <v>0.85</v>
      </c>
      <c r="U322" s="14">
        <f ca="1">VLOOKUP(Q322,[2]character_type_i18n!$A:$H,6,FALSE)</f>
        <v>1</v>
      </c>
      <c r="V322" s="14">
        <f ca="1">VLOOKUP(Q322,[2]character_type_i18n!$A:$H,7,FALSE)</f>
        <v>0.7</v>
      </c>
      <c r="W322" s="77" t="str">
        <f ca="1">VLOOKUP($A322,OFFSET([2]characters!$A$1,0,0,COUNTA([2]characters!$A:$A),MATCH(W$1,[2]characters!$1:$1,0)-MATCH($A$1,[2]characters!$1:$1,0)+1),MATCH(W$1,[2]characters!$1:$1,0)-MATCH($A$1,[2]characters!$1:$1,0)+1,FALSE)</f>
        <v>human</v>
      </c>
      <c r="X322" s="8" t="str">
        <f ca="1">VLOOKUP(W322,[2]character_tribe_i18n!$A:$H,3,FALSE)</f>
        <v>ヒューマン</v>
      </c>
      <c r="Y322" s="77" t="str">
        <f ca="1">VLOOKUP($A322,OFFSET([2]characters!$A$1,0,0,COUNTA([2]characters!$A:$A),MATCH(Y$1,[2]characters!$1:$1,0)-MATCH($A$1,[2]characters!$1:$1,0)+1),MATCH(Y$1,[2]characters!$1:$1,0)-MATCH($A$1,[2]characters!$1:$1,0)+1,FALSE)</f>
        <v>none</v>
      </c>
      <c r="Z322" s="8" t="str">
        <f ca="1">VLOOKUP(Y322,[2]character_tribe_i18n!$A:$H,3,FALSE)</f>
        <v>種族なし</v>
      </c>
      <c r="AA322" s="14">
        <f ca="1">VLOOKUP(W322,[2]character_tribe_i18n!$A:$H,4,FALSE)</f>
        <v>0.94</v>
      </c>
      <c r="AB322" s="14">
        <f ca="1">VLOOKUP(W322,[2]character_tribe_i18n!$A:$H,5,FALSE)</f>
        <v>0.99</v>
      </c>
      <c r="AC322" s="14">
        <f ca="1">VLOOKUP(W322,[2]character_tribe_i18n!$A:$H,6,FALSE)</f>
        <v>1</v>
      </c>
      <c r="AD322" s="14">
        <f ca="1">VLOOKUP(W322,[2]character_tribe_i18n!$A:$H,7,FALSE)</f>
        <v>1.07</v>
      </c>
      <c r="AE322" s="12">
        <v>838</v>
      </c>
      <c r="AF322" s="85" t="str">
        <f ca="1">IF(AE322="NULL","",VLOOKUP($AE322,OFFSET([2]characters!$A$1,0,0,COUNTA([2]characters!$A:$A),MATCH(AF$1,[2]characters!$1:$1,0)-MATCH($A$1,[2]characters!$1:$1,0)+1),MATCH(AF$1,[2]characters!$1:$1,0)-MATCH($A$1,[2]characters!$1:$1,0)+1,FALSE))</f>
        <v>巌鋼の爆烈志士 近藤勇</v>
      </c>
      <c r="AG322" s="8">
        <f t="shared" ref="AG322:AG385" ca="1" si="37">IF(ISNA(MATCH(A322,AE:AE,0)),A322,INDIRECT(ADDRESS(MATCH(A322,AE:AE,0),COLUMN())))</f>
        <v>320</v>
      </c>
      <c r="AH322" s="85" t="str">
        <f ca="1">VLOOKUP($AG322,OFFSET([2]characters!$A$1,0,0,COUNTA([2]characters!$A:$A),MATCH(AH$1,[2]characters!$1:$1,0)-MATCH($A$1,[2]characters!$1:$1,0)+1),MATCH(AH$1,[2]characters!$1:$1,0)-MATCH($A$1,[2]characters!$1:$1,0)+1,FALSE)</f>
        <v>烈志士 近藤勇</v>
      </c>
      <c r="AI322" s="14">
        <f ca="1">IF(AE322="NULL","NULL",VLOOKUP(G322,ビット!$A$2:$B$7,2))</f>
        <v>200000</v>
      </c>
      <c r="AJ322" s="9">
        <v>2</v>
      </c>
      <c r="AK322" s="10" t="str">
        <f t="shared" ref="AK322:AK348" si="38">IF(AJ322=1,"早熟",IF(AJ322=2,"普通",IF(AJ322=3,"晩成","")))</f>
        <v>普通</v>
      </c>
      <c r="AL322" s="14" t="str">
        <f ca="1">INDEX(経験値!$A$1:$I$20,MATCH(H322,経験値!$A$1:$A$20,FALSE),MATCH(G322,経験値!$A$1:$I$1,FALSE))</f>
        <v>required_exp_200</v>
      </c>
      <c r="AM322" s="11">
        <f ca="1">VLOOKUP(G322,経験値!$A$27:$B$31,2)</f>
        <v>6400</v>
      </c>
      <c r="AN322" s="21">
        <f ca="1">VLOOKUP(G322,ビット!$G$2:$H$7,2)</f>
        <v>900</v>
      </c>
      <c r="AO322" s="98"/>
      <c r="AP322" s="4">
        <v>540014</v>
      </c>
      <c r="AQ322" s="77" t="e">
        <f ca="1">VLOOKUP($AP322,OFFSET([1]unit_skills!$A$1,0,0,COUNTA([1]unit_skills!$A:$A),MATCH("name",[1]unit_skills!$1:$1,0)-MATCH($AP$1,[1]unit_skills!$1:$1,0)+1),MATCH("name",[1]unit_skills!$1:$1,0)-MATCH($AP$1,[1]unit_skills!$1:$1,0)+1,FALSE)</f>
        <v>#VALUE!</v>
      </c>
      <c r="AR322" s="77" t="e">
        <f ca="1">VLOOKUP($AP322,OFFSET([1]unit_skills!$A$1,0,0,COUNTA([1]unit_skills!$A:$A),MATCH("comment",[1]unit_skills!$1:$1,0)-MATCH($AP$1,[1]unit_skills!$1:$1,0)+1),MATCH("comment",[1]unit_skills!$1:$1,0)-MATCH($AP$1,[1]unit_skills!$1:$1,0)+1,FALSE)</f>
        <v>#VALUE!</v>
      </c>
      <c r="AS322" s="77" t="e">
        <f ca="1">VLOOKUP($AP322,OFFSET([1]unit_skills!$A$1,0,0,COUNTA([1]unit_skills!$A:$A),MATCH(AS$1,[1]unit_skills!$1:$1,0)-MATCH($AP$1,[1]unit_skills!$1:$1,0)+1),MATCH(AS$1,[1]unit_skills!$1:$1,0)-MATCH($AP$1,[1]unit_skills!$1:$1,0)+1,FALSE)</f>
        <v>#VALUE!</v>
      </c>
      <c r="AT322" s="53">
        <v>111115</v>
      </c>
      <c r="AU322" s="77" t="e">
        <f ca="1">VLOOKUP($AT322,OFFSET([1]crash_skills!$A$1,0,0,COUNTA([1]crash_skills!$A:$A),MATCH("name",[1]crash_skills!$1:$1,0)-MATCH($AT$1,[1]crash_skills!$1:$1,0)+1),MATCH("name",[1]crash_skills!$1:$1,0)-MATCH($AT$1,[1]crash_skills!$1:$1,0)+1,FALSE)</f>
        <v>#VALUE!</v>
      </c>
      <c r="AV322" s="77" t="e">
        <f ca="1">VLOOKUP($AT322,OFFSET([1]crash_skills!$A$1,0,0,COUNTA([1]crash_skills!$A:$A),MATCH("comment",[1]crash_skills!$1:$1,0)-MATCH($AT$1,[1]crash_skills!$1:$1,0)+1),MATCH("comment",[1]crash_skills!$1:$1,0)-MATCH($AT$1,[1]crash_skills!$1:$1,0)+1,FALSE)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22" s="77" t="e">
        <f ca="1">VLOOKUP($AT322,OFFSET([1]crash_skills!$A$1,0,0,COUNTA([1]crash_skills!$A:$A),MATCH(AW$1,[1]crash_skills!$1:$1,0)-MATCH($AT$1,[1]crash_skills!$1:$1,0)+1),MATCH(AW$1,[1]crash_skills!$1:$1,0)-MATCH($AT$1,[1]crash_skills!$1:$1,0)+1,FALSE)</f>
        <v>#VALUE!</v>
      </c>
      <c r="AX322" s="81">
        <f ca="1">VLOOKUP($A322,OFFSET([2]characters!$A$1,0,0,COUNTA([2]characters!$A:$A),MATCH(AX$1,[2]characters!$1:$1,0)-MATCH($A$1,[2]characters!$1:$1,0)+1),MATCH(AX$1,[2]characters!$1:$1,0)-MATCH($A$1,[2]characters!$1:$1,0)+1,FALSE)</f>
        <v>3</v>
      </c>
      <c r="AY322" s="19">
        <v>1.25</v>
      </c>
      <c r="AZ322" s="19">
        <v>1</v>
      </c>
      <c r="BA322" s="19">
        <v>0</v>
      </c>
      <c r="BB322" s="19">
        <v>0.6</v>
      </c>
      <c r="BC322" s="14">
        <f ca="1">INDEX('RC6SV'!$A$1:$G$20,MATCH(H322,'RC6SV'!$A$1:$A$20,FALSE),MATCH(G322,'RC6SV'!$A$1:$G$1,FALSE))</f>
        <v>9500</v>
      </c>
      <c r="BD322" s="63">
        <f t="shared" ref="BD322:BD370" ca="1" si="39">ROUND(BC322*IF(AJ322=1,0.95,IF(AJ322=2,1,IF(AJ322,1.05,0))),0)</f>
        <v>9500</v>
      </c>
      <c r="BE322" s="14">
        <f t="shared" ref="BE322:BE385" ca="1" si="40">ROUND(IFERROR(INDIRECT(ADDRESS(MATCH($A322,$AE:$AE,0),MATCH($BC$1,$1:$1,0))),0),0)</f>
        <v>7500</v>
      </c>
      <c r="BF322" s="14">
        <f t="shared" ref="BF322:BF385" ca="1" si="41">ROUND(IFERROR(INDIRECT(ADDRESS(MATCH($A322,$AE:$AE,0),10)),INDIRECT(ADDRESS(MATCH($A322,$A:$A,0),10))),0)</f>
        <v>1</v>
      </c>
      <c r="BG322" s="20">
        <f ca="1">IF($BE322&lt;=0,ROUND(BK322*0.5,0), ROUND($BE322*S322*AA322*J322*AY322*0.8*[2]ステータス!$B$2,0))</f>
        <v>5111</v>
      </c>
      <c r="BH322" s="20">
        <f ca="1">IF($BE322&lt;=0,ROUND(BL322*0.5,0), ROUND($BE322*T322*AB322*K322*AZ322*0.8*[2]ステータス!$C$2,0))</f>
        <v>1545</v>
      </c>
      <c r="BI322" s="20">
        <f ca="1">IF($BE322&lt;=0,ROUND(BM322*0.5,0), ROUND($BE322*U322*AC322*L322*BA322*0.8*[2]ステータス!$D$2,0))</f>
        <v>0</v>
      </c>
      <c r="BJ322" s="20">
        <f ca="1">IF($BE322&lt;=0,ROUND(BN322*0.5,0), ROUND($BE322*V322*AD322*M322*BB322*0.8*[2]ステータス!$E$2,0))</f>
        <v>661</v>
      </c>
      <c r="BK322" s="14">
        <f ca="1">ROUND(BD322*S322*AA322*J322*AY322*[2]ステータス!$B$2,0)</f>
        <v>8093</v>
      </c>
      <c r="BL322" s="14">
        <f ca="1">ROUND(BD322*T322*AB322*K322*AZ322*[2]ステータス!$C$2,0)</f>
        <v>2446</v>
      </c>
      <c r="BM322" s="14">
        <f ca="1">ROUND(BD322*U322*AC322*L322*BA322*[2]ステータス!$D$2,0)</f>
        <v>0</v>
      </c>
      <c r="BN322" s="14">
        <f ca="1">ROUND(BD322*V322*AD322*M322*BB322*[2]ステータス!$E$2,0)</f>
        <v>1046</v>
      </c>
      <c r="BO322" s="13">
        <v>0</v>
      </c>
      <c r="BP322" s="13">
        <v>1</v>
      </c>
      <c r="BQ322" s="49" t="s">
        <v>102</v>
      </c>
      <c r="BR322" s="13">
        <f ca="1">VLOOKUP(H322,ghosts_label!$A$2:$B$19,2,FALSE)</f>
        <v>5500</v>
      </c>
    </row>
    <row r="323" spans="1:70" ht="21" customHeight="1" x14ac:dyDescent="0.15">
      <c r="A323" s="14">
        <f t="shared" ca="1" si="36"/>
        <v>322</v>
      </c>
      <c r="B323" s="77" t="str">
        <f ca="1">VLOOKUP($A323,OFFSET([2]characters!$A$1,0,0,COUNTA([2]characters!$A:$A),MATCH(B$1,[2]characters!$1:$1,0)-MATCH($A$1,[2]characters!$1:$1,0)+1),MATCH(B$1,[2]characters!$1:$1,0)-MATCH($A$1,[2]characters!$1:$1,0)+1,FALSE)</f>
        <v>愛志士 土方歳三</v>
      </c>
      <c r="C323" s="77" t="str">
        <f ca="1">VLOOKUP($A323,OFFSET([2]characters!$A$1,0,0,COUNTA([2]characters!$A:$A),MATCH(C$1,[2]characters!$1:$1,0)-MATCH($A$1,[2]characters!$1:$1,0)+1),MATCH(C$1,[2]characters!$1:$1,0)-MATCH($A$1,[2]characters!$1:$1,0)+1,FALSE)</f>
        <v>ガチャ:幕末01</v>
      </c>
      <c r="D323" s="77" t="str">
        <f ca="1">VLOOKUP($A323,OFFSET([2]characters!$A$1,0,0,COUNTA([2]characters!$A:$A),MATCH(D$1,[2]characters!$1:$1,0)-MATCH($A$1,[2]characters!$1:$1,0)+1),MATCH(D$1,[2]characters!$1:$1,0)-MATCH($A$1,[2]characters!$1:$1,0)+1,FALSE)</f>
        <v>破界者</v>
      </c>
      <c r="E323" s="77" t="str">
        <f ca="1">VLOOKUP($A323,OFFSET([2]characters!$A$1,0,0,COUNTA([2]characters!$A:$A),MATCH(E$1,[2]characters!$1:$1,0)-MATCH($A$1,[2]characters!$1:$1,0)+1),MATCH(E$1,[2]characters!$1:$1,0)-MATCH($A$1,[2]characters!$1:$1,0)+1,FALSE)</f>
        <v>美しい</v>
      </c>
      <c r="F323" s="77" t="str">
        <f ca="1">VLOOKUP($A323,OFFSET([2]characters!$A$1,0,0,COUNTA([2]characters!$A:$A),MATCH(F$1,[2]characters!$1:$1,0)-MATCH($A$1,[2]characters!$1:$1,0)+1),MATCH(F$1,[2]characters!$1:$1,0)-MATCH($A$1,[2]characters!$1:$1,0)+1,FALSE)</f>
        <v>女性</v>
      </c>
      <c r="G323" s="77">
        <f ca="1">VLOOKUP($A323,OFFSET([2]characters!$A$1,0,0,COUNTA([2]characters!$A:$A),MATCH(G$1,[2]characters!$1:$1,0)-MATCH($A$1,[2]characters!$1:$1,0)+1),MATCH(G$1,[2]characters!$1:$1,0)-MATCH($A$1,[2]characters!$1:$1,0)+1,FALSE)</f>
        <v>4</v>
      </c>
      <c r="H323" s="77" t="str">
        <f ca="1">VLOOKUP($A323,OFFSET([2]characters!$A$1,0,0,COUNTA([2]characters!$A:$A),MATCH(H$1,[2]characters!$1:$1,0)-MATCH($A$1,[2]characters!$1:$1,0)+1),MATCH(H$1,[2]characters!$1:$1,0)-MATCH($A$1,[2]characters!$1:$1,0)+1,FALSE)</f>
        <v>PremiumSS</v>
      </c>
      <c r="I323" s="77" t="str">
        <f ca="1">VLOOKUP($A323,OFFSET([2]characters!$A$1,0,0,COUNTA([2]characters!$A:$A),MATCH(I$1,[2]characters!$1:$1,0)-MATCH($A$1,[2]characters!$1:$1,0)+1),MATCH(I$1,[2]characters!$1:$1,0)-MATCH($A$1,[2]characters!$1:$1,0)+1,FALSE)</f>
        <v>green</v>
      </c>
      <c r="J323" s="14">
        <f ca="1">VLOOKUP(I323,[2]属性!$A:$E,2,FALSE)</f>
        <v>1.02</v>
      </c>
      <c r="K323" s="14">
        <f ca="1">VLOOKUP(I323,[2]属性!$A:$E,3,FALSE)</f>
        <v>0.98</v>
      </c>
      <c r="L323" s="14">
        <f ca="1">VLOOKUP(I323,[2]属性!$A:$E,4,FALSE)</f>
        <v>1</v>
      </c>
      <c r="M323" s="14">
        <f ca="1">VLOOKUP(I323,[2]属性!$A:$E,5,FALSE)</f>
        <v>1</v>
      </c>
      <c r="N323" s="14">
        <f ca="1">INDEX(コスト!$A$1:$I$20,MATCH(H323,コスト!$A$1:$A$20,FALSE),MATCH(G323,コスト!$A$1:$I$1,FALSE))</f>
        <v>25</v>
      </c>
      <c r="O323" s="14">
        <f ca="1">INDEX(レベル!$A$1:$I$21,MATCH(H323,レベル!$A$1:$A$21,FALSE),MATCH(G323,レベル!$A$1:$I$1,FALSE))</f>
        <v>60</v>
      </c>
      <c r="P323" s="63">
        <f t="shared" ref="P323:P386" ca="1" si="42">G323*15</f>
        <v>60</v>
      </c>
      <c r="Q323" s="77" t="str">
        <f ca="1">VLOOKUP($A323,OFFSET([2]characters!$A$1,0,0,COUNTA([2]characters!$A:$A),MATCH(Q$1,[2]characters!$1:$1,0)-MATCH($A$1,[2]characters!$1:$1,0)+1),MATCH(Q$1,[2]characters!$1:$1,0)-MATCH($A$1,[2]characters!$1:$1,0)+1,FALSE)</f>
        <v>attack</v>
      </c>
      <c r="R323" s="8" t="str">
        <f ca="1">VLOOKUP(Q323,[2]character_type_i18n!$A:$H,3,FALSE)</f>
        <v>攻撃タイプ</v>
      </c>
      <c r="S323" s="14">
        <f ca="1">VLOOKUP(Q323,[2]character_type_i18n!$A:$H,4,FALSE)</f>
        <v>1</v>
      </c>
      <c r="T323" s="14">
        <f ca="1">VLOOKUP(Q323,[2]character_type_i18n!$A:$H,5,FALSE)</f>
        <v>1.33</v>
      </c>
      <c r="U323" s="14">
        <f ca="1">VLOOKUP(Q323,[2]character_type_i18n!$A:$H,6,FALSE)</f>
        <v>1</v>
      </c>
      <c r="V323" s="14">
        <f ca="1">VLOOKUP(Q323,[2]character_type_i18n!$A:$H,7,FALSE)</f>
        <v>0.67</v>
      </c>
      <c r="W323" s="77" t="str">
        <f ca="1">VLOOKUP($A323,OFFSET([2]characters!$A$1,0,0,COUNTA([2]characters!$A:$A),MATCH(W$1,[2]characters!$1:$1,0)-MATCH($A$1,[2]characters!$1:$1,0)+1),MATCH(W$1,[2]characters!$1:$1,0)-MATCH($A$1,[2]characters!$1:$1,0)+1,FALSE)</f>
        <v>human</v>
      </c>
      <c r="X323" s="8" t="str">
        <f ca="1">VLOOKUP(W323,[2]character_tribe_i18n!$A:$H,3,FALSE)</f>
        <v>ヒューマン</v>
      </c>
      <c r="Y323" s="77" t="str">
        <f ca="1">VLOOKUP($A323,OFFSET([2]characters!$A$1,0,0,COUNTA([2]characters!$A:$A),MATCH(Y$1,[2]characters!$1:$1,0)-MATCH($A$1,[2]characters!$1:$1,0)+1),MATCH(Y$1,[2]characters!$1:$1,0)-MATCH($A$1,[2]characters!$1:$1,0)+1,FALSE)</f>
        <v>none</v>
      </c>
      <c r="Z323" s="8" t="str">
        <f ca="1">VLOOKUP(Y323,[2]character_tribe_i18n!$A:$H,3,FALSE)</f>
        <v>種族なし</v>
      </c>
      <c r="AA323" s="14">
        <f ca="1">VLOOKUP(W323,[2]character_tribe_i18n!$A:$H,4,FALSE)</f>
        <v>0.94</v>
      </c>
      <c r="AB323" s="14">
        <f ca="1">VLOOKUP(W323,[2]character_tribe_i18n!$A:$H,5,FALSE)</f>
        <v>0.99</v>
      </c>
      <c r="AC323" s="14">
        <f ca="1">VLOOKUP(W323,[2]character_tribe_i18n!$A:$H,6,FALSE)</f>
        <v>1</v>
      </c>
      <c r="AD323" s="14">
        <f ca="1">VLOOKUP(W323,[2]character_tribe_i18n!$A:$H,7,FALSE)</f>
        <v>1.07</v>
      </c>
      <c r="AE323" s="12">
        <v>323</v>
      </c>
      <c r="AF323" s="85" t="str">
        <f ca="1">IF(AE323="NULL","",VLOOKUP($AE323,OFFSET([2]characters!$A$1,0,0,COUNTA([2]characters!$A:$A),MATCH(AF$1,[2]characters!$1:$1,0)-MATCH($A$1,[2]characters!$1:$1,0)+1),MATCH(AF$1,[2]characters!$1:$1,0)-MATCH($A$1,[2]characters!$1:$1,0)+1,FALSE))</f>
        <v>流麗の愛志士 土方歳三</v>
      </c>
      <c r="AG323" s="8">
        <f t="shared" ca="1" si="37"/>
        <v>322</v>
      </c>
      <c r="AH323" s="85" t="str">
        <f ca="1">VLOOKUP($AG323,OFFSET([2]characters!$A$1,0,0,COUNTA([2]characters!$A:$A),MATCH(AH$1,[2]characters!$1:$1,0)-MATCH($A$1,[2]characters!$1:$1,0)+1),MATCH(AH$1,[2]characters!$1:$1,0)-MATCH($A$1,[2]characters!$1:$1,0)+1,FALSE)</f>
        <v>愛志士 土方歳三</v>
      </c>
      <c r="AI323" s="14">
        <f ca="1">IF(AE323="NULL","NULL",VLOOKUP(G323,ビット!$A$2:$B$7,2))</f>
        <v>50000</v>
      </c>
      <c r="AJ323" s="9">
        <v>2</v>
      </c>
      <c r="AK323" s="10" t="str">
        <f t="shared" si="38"/>
        <v>普通</v>
      </c>
      <c r="AL323" s="14" t="str">
        <f ca="1">INDEX(経験値!$A$1:$I$20,MATCH(H323,経験値!$A$1:$A$20,FALSE),MATCH(G323,経験値!$A$1:$I$1,FALSE))</f>
        <v>required_exp_200</v>
      </c>
      <c r="AM323" s="11">
        <f ca="1">VLOOKUP(G323,経験値!$A$27:$B$31,2)</f>
        <v>3400</v>
      </c>
      <c r="AN323" s="21">
        <f ca="1">VLOOKUP(G323,ビット!$G$2:$H$7,2)</f>
        <v>600</v>
      </c>
      <c r="AO323" s="98"/>
      <c r="AP323" s="4">
        <v>124008</v>
      </c>
      <c r="AQ323" s="77" t="e">
        <f ca="1">VLOOKUP($AP323,OFFSET([1]unit_skills!$A$1,0,0,COUNTA([1]unit_skills!$A:$A),MATCH("name",[1]unit_skills!$1:$1,0)-MATCH($AP$1,[1]unit_skills!$1:$1,0)+1),MATCH("name",[1]unit_skills!$1:$1,0)-MATCH($AP$1,[1]unit_skills!$1:$1,0)+1,FALSE)</f>
        <v>#VALUE!</v>
      </c>
      <c r="AR323" s="77" t="e">
        <f ca="1">VLOOKUP($AP323,OFFSET([1]unit_skills!$A$1,0,0,COUNTA([1]unit_skills!$A:$A),MATCH("comment",[1]unit_skills!$1:$1,0)-MATCH($AP$1,[1]unit_skills!$1:$1,0)+1),MATCH("comment",[1]unit_skills!$1:$1,0)-MATCH($AP$1,[1]unit_skills!$1:$1,0)+1,FALSE)</f>
        <v>#VALUE!</v>
      </c>
      <c r="AS323" s="77" t="e">
        <f ca="1">VLOOKUP($AP323,OFFSET([1]unit_skills!$A$1,0,0,COUNTA([1]unit_skills!$A:$A),MATCH(AS$1,[1]unit_skills!$1:$1,0)-MATCH($AP$1,[1]unit_skills!$1:$1,0)+1),MATCH(AS$1,[1]unit_skills!$1:$1,0)-MATCH($AP$1,[1]unit_skills!$1:$1,0)+1,FALSE)</f>
        <v>#VALUE!</v>
      </c>
      <c r="AT323" s="53">
        <v>182907</v>
      </c>
      <c r="AU323" s="77" t="e">
        <f ca="1">VLOOKUP($AT323,OFFSET([1]crash_skills!$A$1,0,0,COUNTA([1]crash_skills!$A:$A),MATCH("name",[1]crash_skills!$1:$1,0)-MATCH($AT$1,[1]crash_skills!$1:$1,0)+1),MATCH("name",[1]crash_skills!$1:$1,0)-MATCH($AT$1,[1]crash_skills!$1:$1,0)+1,FALSE)</f>
        <v>#VALUE!</v>
      </c>
      <c r="AV323" s="77" t="e">
        <f ca="1">VLOOKUP($AT323,OFFSET([1]crash_skills!$A$1,0,0,COUNTA([1]crash_skills!$A:$A),MATCH("comment",[1]crash_skills!$1:$1,0)-MATCH($AT$1,[1]crash_skills!$1:$1,0)+1),MATCH("comment",[1]crash_skills!$1:$1,0)-MATCH($AT$1,[1]crash_skills!$1:$1,0)+1,FALSE)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23" s="77" t="e">
        <f ca="1">VLOOKUP($AT323,OFFSET([1]crash_skills!$A$1,0,0,COUNTA([1]crash_skills!$A:$A),MATCH(AW$1,[1]crash_skills!$1:$1,0)-MATCH($AT$1,[1]crash_skills!$1:$1,0)+1),MATCH(AW$1,[1]crash_skills!$1:$1,0)-MATCH($AT$1,[1]crash_skills!$1:$1,0)+1,FALSE)</f>
        <v>#VALUE!</v>
      </c>
      <c r="AX323" s="81">
        <f ca="1">VLOOKUP($A323,OFFSET([2]characters!$A$1,0,0,COUNTA([2]characters!$A:$A),MATCH(AX$1,[2]characters!$1:$1,0)-MATCH($A$1,[2]characters!$1:$1,0)+1),MATCH(AX$1,[2]characters!$1:$1,0)-MATCH($A$1,[2]characters!$1:$1,0)+1,FALSE)</f>
        <v>3</v>
      </c>
      <c r="AY323" s="19">
        <v>1</v>
      </c>
      <c r="AZ323" s="19">
        <v>1.1000000000000001</v>
      </c>
      <c r="BA323" s="19">
        <v>0</v>
      </c>
      <c r="BB323" s="19">
        <v>0.88</v>
      </c>
      <c r="BC323" s="14">
        <f ca="1">INDEX('RC6SV'!$A$1:$G$20,MATCH(H323,'RC6SV'!$A$1:$A$20,FALSE),MATCH(G323,'RC6SV'!$A$1:$G$1,FALSE))</f>
        <v>7500</v>
      </c>
      <c r="BD323" s="63">
        <f t="shared" ca="1" si="39"/>
        <v>7500</v>
      </c>
      <c r="BE323" s="14">
        <f t="shared" ca="1" si="40"/>
        <v>0</v>
      </c>
      <c r="BF323" s="14">
        <f t="shared" ca="1" si="41"/>
        <v>1</v>
      </c>
      <c r="BG323" s="20">
        <f ca="1">IF($BE323&lt;=0,ROUND(BK323*0.5,0), ROUND($BE323*S323*AA323*J323*AY323*0.8*[2]ステータス!$B$2,0))</f>
        <v>1798</v>
      </c>
      <c r="BH323" s="20">
        <f ca="1">IF($BE323&lt;=0,ROUND(BL323*0.5,0), ROUND($BE323*T323*AB323*K323*AZ323*0.8*[2]ステータス!$C$2,0))</f>
        <v>1597</v>
      </c>
      <c r="BI323" s="20">
        <f ca="1">IF($BE323&lt;=0,ROUND(BM323*0.5,0), ROUND($BE323*U323*AC323*L323*BA323*0.8*[2]ステータス!$D$2,0))</f>
        <v>0</v>
      </c>
      <c r="BJ323" s="20">
        <f ca="1">IF($BE323&lt;=0,ROUND(BN323*0.5,0), ROUND($BE323*V323*AD323*M323*BB323*0.8*[2]ステータス!$E$2,0))</f>
        <v>592</v>
      </c>
      <c r="BK323" s="14">
        <f ca="1">ROUND(BD323*S323*AA323*J323*AY323*[2]ステータス!$B$2,0)</f>
        <v>3596</v>
      </c>
      <c r="BL323" s="14">
        <f ca="1">ROUND(BD323*T323*AB323*K323*AZ323*[2]ステータス!$C$2,0)</f>
        <v>3194</v>
      </c>
      <c r="BM323" s="14">
        <f ca="1">ROUND(BD323*U323*AC323*L323*BA323*[2]ステータス!$D$2,0)</f>
        <v>0</v>
      </c>
      <c r="BN323" s="14">
        <f ca="1">ROUND(BD323*V323*AD323*M323*BB323*[2]ステータス!$E$2,0)</f>
        <v>1183</v>
      </c>
      <c r="BO323" s="13">
        <v>0</v>
      </c>
      <c r="BP323" s="13">
        <v>1</v>
      </c>
      <c r="BQ323" s="49" t="s">
        <v>102</v>
      </c>
      <c r="BR323" s="13">
        <f ca="1">VLOOKUP(H323,ghosts_label!$A$2:$B$19,2,FALSE)</f>
        <v>5500</v>
      </c>
    </row>
    <row r="324" spans="1:70" ht="21" customHeight="1" x14ac:dyDescent="0.15">
      <c r="A324" s="14">
        <f t="shared" ca="1" si="36"/>
        <v>323</v>
      </c>
      <c r="B324" s="77" t="str">
        <f ca="1">VLOOKUP($A324,OFFSET([2]characters!$A$1,0,0,COUNTA([2]characters!$A:$A),MATCH(B$1,[2]characters!$1:$1,0)-MATCH($A$1,[2]characters!$1:$1,0)+1),MATCH(B$1,[2]characters!$1:$1,0)-MATCH($A$1,[2]characters!$1:$1,0)+1,FALSE)</f>
        <v>流麗の愛志士 土方歳三</v>
      </c>
      <c r="C324" s="77" t="str">
        <f ca="1">VLOOKUP($A324,OFFSET([2]characters!$A$1,0,0,COUNTA([2]characters!$A:$A),MATCH(C$1,[2]characters!$1:$1,0)-MATCH($A$1,[2]characters!$1:$1,0)+1),MATCH(C$1,[2]characters!$1:$1,0)-MATCH($A$1,[2]characters!$1:$1,0)+1,FALSE)</f>
        <v>ガチャ:幕末01</v>
      </c>
      <c r="D324" s="77" t="str">
        <f ca="1">VLOOKUP($A324,OFFSET([2]characters!$A$1,0,0,COUNTA([2]characters!$A:$A),MATCH(D$1,[2]characters!$1:$1,0)-MATCH($A$1,[2]characters!$1:$1,0)+1),MATCH(D$1,[2]characters!$1:$1,0)-MATCH($A$1,[2]characters!$1:$1,0)+1,FALSE)</f>
        <v>破界者</v>
      </c>
      <c r="E324" s="77" t="str">
        <f ca="1">VLOOKUP($A324,OFFSET([2]characters!$A$1,0,0,COUNTA([2]characters!$A:$A),MATCH(E$1,[2]characters!$1:$1,0)-MATCH($A$1,[2]characters!$1:$1,0)+1),MATCH(E$1,[2]characters!$1:$1,0)-MATCH($A$1,[2]characters!$1:$1,0)+1,FALSE)</f>
        <v>美しい</v>
      </c>
      <c r="F324" s="77" t="str">
        <f ca="1">VLOOKUP($A324,OFFSET([2]characters!$A$1,0,0,COUNTA([2]characters!$A:$A),MATCH(F$1,[2]characters!$1:$1,0)-MATCH($A$1,[2]characters!$1:$1,0)+1),MATCH(F$1,[2]characters!$1:$1,0)-MATCH($A$1,[2]characters!$1:$1,0)+1,FALSE)</f>
        <v>女性</v>
      </c>
      <c r="G324" s="77">
        <f ca="1">VLOOKUP($A324,OFFSET([2]characters!$A$1,0,0,COUNTA([2]characters!$A:$A),MATCH(G$1,[2]characters!$1:$1,0)-MATCH($A$1,[2]characters!$1:$1,0)+1),MATCH(G$1,[2]characters!$1:$1,0)-MATCH($A$1,[2]characters!$1:$1,0)+1,FALSE)</f>
        <v>5</v>
      </c>
      <c r="H324" s="77" t="str">
        <f ca="1">VLOOKUP($A324,OFFSET([2]characters!$A$1,0,0,COUNTA([2]characters!$A:$A),MATCH(H$1,[2]characters!$1:$1,0)-MATCH($A$1,[2]characters!$1:$1,0)+1),MATCH(H$1,[2]characters!$1:$1,0)-MATCH($A$1,[2]characters!$1:$1,0)+1,FALSE)</f>
        <v>PremiumSS</v>
      </c>
      <c r="I324" s="77" t="str">
        <f ca="1">VLOOKUP($A324,OFFSET([2]characters!$A$1,0,0,COUNTA([2]characters!$A:$A),MATCH(I$1,[2]characters!$1:$1,0)-MATCH($A$1,[2]characters!$1:$1,0)+1),MATCH(I$1,[2]characters!$1:$1,0)-MATCH($A$1,[2]characters!$1:$1,0)+1,FALSE)</f>
        <v>green</v>
      </c>
      <c r="J324" s="14">
        <f ca="1">VLOOKUP(I324,[2]属性!$A:$E,2,FALSE)</f>
        <v>1.02</v>
      </c>
      <c r="K324" s="14">
        <f ca="1">VLOOKUP(I324,[2]属性!$A:$E,3,FALSE)</f>
        <v>0.98</v>
      </c>
      <c r="L324" s="14">
        <f ca="1">VLOOKUP(I324,[2]属性!$A:$E,4,FALSE)</f>
        <v>1</v>
      </c>
      <c r="M324" s="14">
        <f ca="1">VLOOKUP(I324,[2]属性!$A:$E,5,FALSE)</f>
        <v>1</v>
      </c>
      <c r="N324" s="14">
        <f ca="1">INDEX(コスト!$A$1:$I$20,MATCH(H324,コスト!$A$1:$A$20,FALSE),MATCH(G324,コスト!$A$1:$I$1,FALSE))</f>
        <v>35</v>
      </c>
      <c r="O324" s="14">
        <f ca="1">INDEX(レベル!$A$1:$I$21,MATCH(H324,レベル!$A$1:$A$21,FALSE),MATCH(G324,レベル!$A$1:$I$1,FALSE))</f>
        <v>80</v>
      </c>
      <c r="P324" s="63">
        <f t="shared" ca="1" si="42"/>
        <v>75</v>
      </c>
      <c r="Q324" s="77" t="str">
        <f ca="1">VLOOKUP($A324,OFFSET([2]characters!$A$1,0,0,COUNTA([2]characters!$A:$A),MATCH(Q$1,[2]characters!$1:$1,0)-MATCH($A$1,[2]characters!$1:$1,0)+1),MATCH(Q$1,[2]characters!$1:$1,0)-MATCH($A$1,[2]characters!$1:$1,0)+1,FALSE)</f>
        <v>attack</v>
      </c>
      <c r="R324" s="8" t="str">
        <f ca="1">VLOOKUP(Q324,[2]character_type_i18n!$A:$H,3,FALSE)</f>
        <v>攻撃タイプ</v>
      </c>
      <c r="S324" s="14">
        <f ca="1">VLOOKUP(Q324,[2]character_type_i18n!$A:$H,4,FALSE)</f>
        <v>1</v>
      </c>
      <c r="T324" s="14">
        <f ca="1">VLOOKUP(Q324,[2]character_type_i18n!$A:$H,5,FALSE)</f>
        <v>1.33</v>
      </c>
      <c r="U324" s="14">
        <f ca="1">VLOOKUP(Q324,[2]character_type_i18n!$A:$H,6,FALSE)</f>
        <v>1</v>
      </c>
      <c r="V324" s="14">
        <f ca="1">VLOOKUP(Q324,[2]character_type_i18n!$A:$H,7,FALSE)</f>
        <v>0.67</v>
      </c>
      <c r="W324" s="77" t="str">
        <f ca="1">VLOOKUP($A324,OFFSET([2]characters!$A$1,0,0,COUNTA([2]characters!$A:$A),MATCH(W$1,[2]characters!$1:$1,0)-MATCH($A$1,[2]characters!$1:$1,0)+1),MATCH(W$1,[2]characters!$1:$1,0)-MATCH($A$1,[2]characters!$1:$1,0)+1,FALSE)</f>
        <v>human</v>
      </c>
      <c r="X324" s="8" t="str">
        <f ca="1">VLOOKUP(W324,[2]character_tribe_i18n!$A:$H,3,FALSE)</f>
        <v>ヒューマン</v>
      </c>
      <c r="Y324" s="77" t="str">
        <f ca="1">VLOOKUP($A324,OFFSET([2]characters!$A$1,0,0,COUNTA([2]characters!$A:$A),MATCH(Y$1,[2]characters!$1:$1,0)-MATCH($A$1,[2]characters!$1:$1,0)+1),MATCH(Y$1,[2]characters!$1:$1,0)-MATCH($A$1,[2]characters!$1:$1,0)+1,FALSE)</f>
        <v>none</v>
      </c>
      <c r="Z324" s="8" t="str">
        <f ca="1">VLOOKUP(Y324,[2]character_tribe_i18n!$A:$H,3,FALSE)</f>
        <v>種族なし</v>
      </c>
      <c r="AA324" s="14">
        <f ca="1">VLOOKUP(W324,[2]character_tribe_i18n!$A:$H,4,FALSE)</f>
        <v>0.94</v>
      </c>
      <c r="AB324" s="14">
        <f ca="1">VLOOKUP(W324,[2]character_tribe_i18n!$A:$H,5,FALSE)</f>
        <v>0.99</v>
      </c>
      <c r="AC324" s="14">
        <f ca="1">VLOOKUP(W324,[2]character_tribe_i18n!$A:$H,6,FALSE)</f>
        <v>1</v>
      </c>
      <c r="AD324" s="14">
        <f ca="1">VLOOKUP(W324,[2]character_tribe_i18n!$A:$H,7,FALSE)</f>
        <v>1.07</v>
      </c>
      <c r="AE324" s="12" t="s">
        <v>232</v>
      </c>
      <c r="AF324" s="85" t="str">
        <f ca="1">IF(AE324="NULL","",VLOOKUP($AE324,OFFSET([2]characters!$A$1,0,0,COUNTA([2]characters!$A:$A),MATCH(AF$1,[2]characters!$1:$1,0)-MATCH($A$1,[2]characters!$1:$1,0)+1),MATCH(AF$1,[2]characters!$1:$1,0)-MATCH($A$1,[2]characters!$1:$1,0)+1,FALSE))</f>
        <v/>
      </c>
      <c r="AG324" s="8">
        <f t="shared" ca="1" si="37"/>
        <v>322</v>
      </c>
      <c r="AH324" s="85" t="str">
        <f ca="1">VLOOKUP($AG324,OFFSET([2]characters!$A$1,0,0,COUNTA([2]characters!$A:$A),MATCH(AH$1,[2]characters!$1:$1,0)-MATCH($A$1,[2]characters!$1:$1,0)+1),MATCH(AH$1,[2]characters!$1:$1,0)-MATCH($A$1,[2]characters!$1:$1,0)+1,FALSE)</f>
        <v>愛志士 土方歳三</v>
      </c>
      <c r="AI324" s="14" t="str">
        <f>IF(AE324="NULL","NULL",VLOOKUP(G324,ビット!$A$2:$B$7,2))</f>
        <v>NULL</v>
      </c>
      <c r="AJ324" s="9">
        <v>2</v>
      </c>
      <c r="AK324" s="10" t="str">
        <f t="shared" si="38"/>
        <v>普通</v>
      </c>
      <c r="AL324" s="14" t="str">
        <f ca="1">INDEX(経験値!$A$1:$I$20,MATCH(H324,経験値!$A$1:$A$20,FALSE),MATCH(G324,経験値!$A$1:$I$1,FALSE))</f>
        <v>required_exp_200</v>
      </c>
      <c r="AM324" s="11">
        <f ca="1">VLOOKUP(G324,経験値!$A$27:$B$31,2)</f>
        <v>6400</v>
      </c>
      <c r="AN324" s="21">
        <f ca="1">VLOOKUP(G324,ビット!$G$2:$H$7,2)</f>
        <v>900</v>
      </c>
      <c r="AO324" s="98"/>
      <c r="AP324" s="4">
        <v>124009</v>
      </c>
      <c r="AQ324" s="77" t="e">
        <f ca="1">VLOOKUP($AP324,OFFSET([1]unit_skills!$A$1,0,0,COUNTA([1]unit_skills!$A:$A),MATCH("name",[1]unit_skills!$1:$1,0)-MATCH($AP$1,[1]unit_skills!$1:$1,0)+1),MATCH("name",[1]unit_skills!$1:$1,0)-MATCH($AP$1,[1]unit_skills!$1:$1,0)+1,FALSE)</f>
        <v>#VALUE!</v>
      </c>
      <c r="AR324" s="77" t="e">
        <f ca="1">VLOOKUP($AP324,OFFSET([1]unit_skills!$A$1,0,0,COUNTA([1]unit_skills!$A:$A),MATCH("comment",[1]unit_skills!$1:$1,0)-MATCH($AP$1,[1]unit_skills!$1:$1,0)+1),MATCH("comment",[1]unit_skills!$1:$1,0)-MATCH($AP$1,[1]unit_skills!$1:$1,0)+1,FALSE)</f>
        <v>#VALUE!</v>
      </c>
      <c r="AS324" s="77" t="e">
        <f ca="1">VLOOKUP($AP324,OFFSET([1]unit_skills!$A$1,0,0,COUNTA([1]unit_skills!$A:$A),MATCH(AS$1,[1]unit_skills!$1:$1,0)-MATCH($AP$1,[1]unit_skills!$1:$1,0)+1),MATCH(AS$1,[1]unit_skills!$1:$1,0)-MATCH($AP$1,[1]unit_skills!$1:$1,0)+1,FALSE)</f>
        <v>#VALUE!</v>
      </c>
      <c r="AT324" s="53">
        <v>182908</v>
      </c>
      <c r="AU324" s="77" t="e">
        <f ca="1">VLOOKUP($AT324,OFFSET([1]crash_skills!$A$1,0,0,COUNTA([1]crash_skills!$A:$A),MATCH("name",[1]crash_skills!$1:$1,0)-MATCH($AT$1,[1]crash_skills!$1:$1,0)+1),MATCH("name",[1]crash_skills!$1:$1,0)-MATCH($AT$1,[1]crash_skills!$1:$1,0)+1,FALSE)</f>
        <v>#VALUE!</v>
      </c>
      <c r="AV324" s="77" t="e">
        <f ca="1">VLOOKUP($AT324,OFFSET([1]crash_skills!$A$1,0,0,COUNTA([1]crash_skills!$A:$A),MATCH("comment",[1]crash_skills!$1:$1,0)-MATCH($AT$1,[1]crash_skills!$1:$1,0)+1),MATCH("comment",[1]crash_skills!$1:$1,0)-MATCH($AT$1,[1]crash_skills!$1:$1,0)+1,FALSE)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24" s="77" t="e">
        <f ca="1">VLOOKUP($AT324,OFFSET([1]crash_skills!$A$1,0,0,COUNTA([1]crash_skills!$A:$A),MATCH(AW$1,[1]crash_skills!$1:$1,0)-MATCH($AT$1,[1]crash_skills!$1:$1,0)+1),MATCH(AW$1,[1]crash_skills!$1:$1,0)-MATCH($AT$1,[1]crash_skills!$1:$1,0)+1,FALSE)</f>
        <v>#VALUE!</v>
      </c>
      <c r="AX324" s="81">
        <f ca="1">VLOOKUP($A324,OFFSET([2]characters!$A$1,0,0,COUNTA([2]characters!$A:$A),MATCH(AX$1,[2]characters!$1:$1,0)-MATCH($A$1,[2]characters!$1:$1,0)+1),MATCH(AX$1,[2]characters!$1:$1,0)-MATCH($A$1,[2]characters!$1:$1,0)+1,FALSE)</f>
        <v>3</v>
      </c>
      <c r="AY324" s="19">
        <v>1</v>
      </c>
      <c r="AZ324" s="19">
        <v>1.1000000000000001</v>
      </c>
      <c r="BA324" s="19">
        <v>0</v>
      </c>
      <c r="BB324" s="19">
        <v>0.88</v>
      </c>
      <c r="BC324" s="14">
        <f ca="1">INDEX('RC6SV'!$A$1:$G$20,MATCH(H324,'RC6SV'!$A$1:$A$20,FALSE),MATCH(G324,'RC6SV'!$A$1:$G$1,FALSE))</f>
        <v>9500</v>
      </c>
      <c r="BD324" s="63">
        <f t="shared" ca="1" si="39"/>
        <v>9500</v>
      </c>
      <c r="BE324" s="14">
        <f t="shared" ca="1" si="40"/>
        <v>7500</v>
      </c>
      <c r="BF324" s="14">
        <f t="shared" ca="1" si="41"/>
        <v>1</v>
      </c>
      <c r="BG324" s="20">
        <f ca="1">IF($BE324&lt;=0,ROUND(BK324*0.5,0), ROUND($BE324*S324*AA324*J324*AY324*0.8*[2]ステータス!$B$2,0))</f>
        <v>2876</v>
      </c>
      <c r="BH324" s="20">
        <f ca="1">IF($BE324&lt;=0,ROUND(BL324*0.5,0), ROUND($BE324*T324*AB324*K324*AZ324*0.8*[2]ステータス!$C$2,0))</f>
        <v>2555</v>
      </c>
      <c r="BI324" s="20">
        <f ca="1">IF($BE324&lt;=0,ROUND(BM324*0.5,0), ROUND($BE324*U324*AC324*L324*BA324*0.8*[2]ステータス!$D$2,0))</f>
        <v>0</v>
      </c>
      <c r="BJ324" s="20">
        <f ca="1">IF($BE324&lt;=0,ROUND(BN324*0.5,0), ROUND($BE324*V324*AD324*M324*BB324*0.8*[2]ステータス!$E$2,0))</f>
        <v>946</v>
      </c>
      <c r="BK324" s="14">
        <f ca="1">ROUND(BD324*S324*AA324*J324*AY324*[2]ステータス!$B$2,0)</f>
        <v>4554</v>
      </c>
      <c r="BL324" s="14">
        <f ca="1">ROUND(BD324*T324*AB324*K324*AZ324*[2]ステータス!$C$2,0)</f>
        <v>4045</v>
      </c>
      <c r="BM324" s="14">
        <f ca="1">ROUND(BD324*U324*AC324*L324*BA324*[2]ステータス!$D$2,0)</f>
        <v>0</v>
      </c>
      <c r="BN324" s="14">
        <f ca="1">ROUND(BD324*V324*AD324*M324*BB324*[2]ステータス!$E$2,0)</f>
        <v>1498</v>
      </c>
      <c r="BO324" s="13">
        <v>0</v>
      </c>
      <c r="BP324" s="13">
        <v>1</v>
      </c>
      <c r="BQ324" s="49" t="s">
        <v>102</v>
      </c>
      <c r="BR324" s="13">
        <f ca="1">VLOOKUP(H324,ghosts_label!$A$2:$B$19,2,FALSE)</f>
        <v>5500</v>
      </c>
    </row>
    <row r="325" spans="1:70" ht="21" customHeight="1" x14ac:dyDescent="0.15">
      <c r="A325" s="14">
        <f t="shared" ca="1" si="36"/>
        <v>324</v>
      </c>
      <c r="B325" s="77" t="str">
        <f ca="1">VLOOKUP($A325,OFFSET([2]characters!$A$1,0,0,COUNTA([2]characters!$A:$A),MATCH(B$1,[2]characters!$1:$1,0)-MATCH($A$1,[2]characters!$1:$1,0)+1),MATCH(B$1,[2]characters!$1:$1,0)-MATCH($A$1,[2]characters!$1:$1,0)+1,FALSE)</f>
        <v>凛志士 沖田総司</v>
      </c>
      <c r="C325" s="77" t="str">
        <f ca="1">VLOOKUP($A325,OFFSET([2]characters!$A$1,0,0,COUNTA([2]characters!$A:$A),MATCH(C$1,[2]characters!$1:$1,0)-MATCH($A$1,[2]characters!$1:$1,0)+1),MATCH(C$1,[2]characters!$1:$1,0)-MATCH($A$1,[2]characters!$1:$1,0)+1,FALSE)</f>
        <v>ガチャ:幕末01</v>
      </c>
      <c r="D325" s="77" t="str">
        <f ca="1">VLOOKUP($A325,OFFSET([2]characters!$A$1,0,0,COUNTA([2]characters!$A:$A),MATCH(D$1,[2]characters!$1:$1,0)-MATCH($A$1,[2]characters!$1:$1,0)+1),MATCH(D$1,[2]characters!$1:$1,0)-MATCH($A$1,[2]characters!$1:$1,0)+1,FALSE)</f>
        <v>破界者</v>
      </c>
      <c r="E325" s="77" t="str">
        <f ca="1">VLOOKUP($A325,OFFSET([2]characters!$A$1,0,0,COUNTA([2]characters!$A:$A),MATCH(E$1,[2]characters!$1:$1,0)-MATCH($A$1,[2]characters!$1:$1,0)+1),MATCH(E$1,[2]characters!$1:$1,0)-MATCH($A$1,[2]characters!$1:$1,0)+1,FALSE)</f>
        <v>可愛い</v>
      </c>
      <c r="F325" s="77" t="str">
        <f ca="1">VLOOKUP($A325,OFFSET([2]characters!$A$1,0,0,COUNTA([2]characters!$A:$A),MATCH(F$1,[2]characters!$1:$1,0)-MATCH($A$1,[2]characters!$1:$1,0)+1),MATCH(F$1,[2]characters!$1:$1,0)-MATCH($A$1,[2]characters!$1:$1,0)+1,FALSE)</f>
        <v>女性</v>
      </c>
      <c r="G325" s="77">
        <f ca="1">VLOOKUP($A325,OFFSET([2]characters!$A$1,0,0,COUNTA([2]characters!$A:$A),MATCH(G$1,[2]characters!$1:$1,0)-MATCH($A$1,[2]characters!$1:$1,0)+1),MATCH(G$1,[2]characters!$1:$1,0)-MATCH($A$1,[2]characters!$1:$1,0)+1,FALSE)</f>
        <v>4</v>
      </c>
      <c r="H325" s="77" t="str">
        <f ca="1">VLOOKUP($A325,OFFSET([2]characters!$A$1,0,0,COUNTA([2]characters!$A:$A),MATCH(H$1,[2]characters!$1:$1,0)-MATCH($A$1,[2]characters!$1:$1,0)+1),MATCH(H$1,[2]characters!$1:$1,0)-MATCH($A$1,[2]characters!$1:$1,0)+1,FALSE)</f>
        <v>PremiumSS</v>
      </c>
      <c r="I325" s="77" t="str">
        <f ca="1">VLOOKUP($A325,OFFSET([2]characters!$A$1,0,0,COUNTA([2]characters!$A:$A),MATCH(I$1,[2]characters!$1:$1,0)-MATCH($A$1,[2]characters!$1:$1,0)+1),MATCH(I$1,[2]characters!$1:$1,0)-MATCH($A$1,[2]characters!$1:$1,0)+1,FALSE)</f>
        <v>blue</v>
      </c>
      <c r="J325" s="14">
        <f ca="1">VLOOKUP(I325,[2]属性!$A:$E,2,FALSE)</f>
        <v>1</v>
      </c>
      <c r="K325" s="14">
        <f ca="1">VLOOKUP(I325,[2]属性!$A:$E,3,FALSE)</f>
        <v>0.98</v>
      </c>
      <c r="L325" s="14">
        <f ca="1">VLOOKUP(I325,[2]属性!$A:$E,4,FALSE)</f>
        <v>1</v>
      </c>
      <c r="M325" s="14">
        <f ca="1">VLOOKUP(I325,[2]属性!$A:$E,5,FALSE)</f>
        <v>1.02</v>
      </c>
      <c r="N325" s="14">
        <f ca="1">INDEX(コスト!$A$1:$I$20,MATCH(H325,コスト!$A$1:$A$20,FALSE),MATCH(G325,コスト!$A$1:$I$1,FALSE))</f>
        <v>25</v>
      </c>
      <c r="O325" s="14">
        <f ca="1">INDEX(レベル!$A$1:$I$21,MATCH(H325,レベル!$A$1:$A$21,FALSE),MATCH(G325,レベル!$A$1:$I$1,FALSE))</f>
        <v>60</v>
      </c>
      <c r="P325" s="63">
        <f t="shared" ca="1" si="42"/>
        <v>60</v>
      </c>
      <c r="Q325" s="77" t="str">
        <f ca="1">VLOOKUP($A325,OFFSET([2]characters!$A$1,0,0,COUNTA([2]characters!$A:$A),MATCH(Q$1,[2]characters!$1:$1,0)-MATCH($A$1,[2]characters!$1:$1,0)+1),MATCH(Q$1,[2]characters!$1:$1,0)-MATCH($A$1,[2]characters!$1:$1,0)+1,FALSE)</f>
        <v>balance</v>
      </c>
      <c r="R325" s="8" t="str">
        <f ca="1">VLOOKUP(Q325,[2]character_type_i18n!$A:$H,3,FALSE)</f>
        <v>バランスタイプ</v>
      </c>
      <c r="S325" s="14">
        <f ca="1">VLOOKUP(Q325,[2]character_type_i18n!$A:$H,4,FALSE)</f>
        <v>1</v>
      </c>
      <c r="T325" s="14">
        <f ca="1">VLOOKUP(Q325,[2]character_type_i18n!$A:$H,5,FALSE)</f>
        <v>1</v>
      </c>
      <c r="U325" s="14">
        <f ca="1">VLOOKUP(Q325,[2]character_type_i18n!$A:$H,6,FALSE)</f>
        <v>1</v>
      </c>
      <c r="V325" s="14">
        <f ca="1">VLOOKUP(Q325,[2]character_type_i18n!$A:$H,7,FALSE)</f>
        <v>1</v>
      </c>
      <c r="W325" s="77" t="str">
        <f ca="1">VLOOKUP($A325,OFFSET([2]characters!$A$1,0,0,COUNTA([2]characters!$A:$A),MATCH(W$1,[2]characters!$1:$1,0)-MATCH($A$1,[2]characters!$1:$1,0)+1),MATCH(W$1,[2]characters!$1:$1,0)-MATCH($A$1,[2]characters!$1:$1,0)+1,FALSE)</f>
        <v>human</v>
      </c>
      <c r="X325" s="8" t="str">
        <f ca="1">VLOOKUP(W325,[2]character_tribe_i18n!$A:$H,3,FALSE)</f>
        <v>ヒューマン</v>
      </c>
      <c r="Y325" s="77" t="str">
        <f ca="1">VLOOKUP($A325,OFFSET([2]characters!$A$1,0,0,COUNTA([2]characters!$A:$A),MATCH(Y$1,[2]characters!$1:$1,0)-MATCH($A$1,[2]characters!$1:$1,0)+1),MATCH(Y$1,[2]characters!$1:$1,0)-MATCH($A$1,[2]characters!$1:$1,0)+1,FALSE)</f>
        <v>none</v>
      </c>
      <c r="Z325" s="8" t="str">
        <f ca="1">VLOOKUP(Y325,[2]character_tribe_i18n!$A:$H,3,FALSE)</f>
        <v>種族なし</v>
      </c>
      <c r="AA325" s="14">
        <f ca="1">VLOOKUP(W325,[2]character_tribe_i18n!$A:$H,4,FALSE)</f>
        <v>0.94</v>
      </c>
      <c r="AB325" s="14">
        <f ca="1">VLOOKUP(W325,[2]character_tribe_i18n!$A:$H,5,FALSE)</f>
        <v>0.99</v>
      </c>
      <c r="AC325" s="14">
        <f ca="1">VLOOKUP(W325,[2]character_tribe_i18n!$A:$H,6,FALSE)</f>
        <v>1</v>
      </c>
      <c r="AD325" s="14">
        <f ca="1">VLOOKUP(W325,[2]character_tribe_i18n!$A:$H,7,FALSE)</f>
        <v>1.07</v>
      </c>
      <c r="AE325" s="12">
        <v>325</v>
      </c>
      <c r="AF325" s="85" t="str">
        <f ca="1">IF(AE325="NULL","",VLOOKUP($AE325,OFFSET([2]characters!$A$1,0,0,COUNTA([2]characters!$A:$A),MATCH(AF$1,[2]characters!$1:$1,0)-MATCH($A$1,[2]characters!$1:$1,0)+1),MATCH(AF$1,[2]characters!$1:$1,0)-MATCH($A$1,[2]characters!$1:$1,0)+1,FALSE))</f>
        <v>天賦の凛志士 沖田総司</v>
      </c>
      <c r="AG325" s="8">
        <f t="shared" ca="1" si="37"/>
        <v>324</v>
      </c>
      <c r="AH325" s="85" t="str">
        <f ca="1">VLOOKUP($AG325,OFFSET([2]characters!$A$1,0,0,COUNTA([2]characters!$A:$A),MATCH(AH$1,[2]characters!$1:$1,0)-MATCH($A$1,[2]characters!$1:$1,0)+1),MATCH(AH$1,[2]characters!$1:$1,0)-MATCH($A$1,[2]characters!$1:$1,0)+1,FALSE)</f>
        <v>凛志士 沖田総司</v>
      </c>
      <c r="AI325" s="14">
        <f ca="1">IF(AE325="NULL","NULL",VLOOKUP(G325,ビット!$A$2:$B$7,2))</f>
        <v>50000</v>
      </c>
      <c r="AJ325" s="9">
        <v>2</v>
      </c>
      <c r="AK325" s="10" t="str">
        <f t="shared" si="38"/>
        <v>普通</v>
      </c>
      <c r="AL325" s="14" t="str">
        <f ca="1">INDEX(経験値!$A$1:$I$20,MATCH(H325,経験値!$A$1:$A$20,FALSE),MATCH(G325,経験値!$A$1:$I$1,FALSE))</f>
        <v>required_exp_200</v>
      </c>
      <c r="AM325" s="11">
        <f ca="1">VLOOKUP(G325,経験値!$A$27:$B$31,2)</f>
        <v>3400</v>
      </c>
      <c r="AN325" s="21">
        <f ca="1">VLOOKUP(G325,ビット!$G$2:$H$7,2)</f>
        <v>600</v>
      </c>
      <c r="AO325" s="98"/>
      <c r="AP325" s="97">
        <v>222005</v>
      </c>
      <c r="AQ325" s="77" t="e">
        <f ca="1">VLOOKUP($AP325,OFFSET([1]unit_skills!$A$1,0,0,COUNTA([1]unit_skills!$A:$A),MATCH("name",[1]unit_skills!$1:$1,0)-MATCH($AP$1,[1]unit_skills!$1:$1,0)+1),MATCH("name",[1]unit_skills!$1:$1,0)-MATCH($AP$1,[1]unit_skills!$1:$1,0)+1,FALSE)</f>
        <v>#VALUE!</v>
      </c>
      <c r="AR325" s="77" t="e">
        <f ca="1">VLOOKUP($AP325,OFFSET([1]unit_skills!$A$1,0,0,COUNTA([1]unit_skills!$A:$A),MATCH("comment",[1]unit_skills!$1:$1,0)-MATCH($AP$1,[1]unit_skills!$1:$1,0)+1),MATCH("comment",[1]unit_skills!$1:$1,0)-MATCH($AP$1,[1]unit_skills!$1:$1,0)+1,FALSE)</f>
        <v>#VALUE!</v>
      </c>
      <c r="AS325" s="77" t="e">
        <f ca="1">VLOOKUP($AP325,OFFSET([1]unit_skills!$A$1,0,0,COUNTA([1]unit_skills!$A:$A),MATCH(AS$1,[1]unit_skills!$1:$1,0)-MATCH($AP$1,[1]unit_skills!$1:$1,0)+1),MATCH(AS$1,[1]unit_skills!$1:$1,0)-MATCH($AP$1,[1]unit_skills!$1:$1,0)+1,FALSE)</f>
        <v>#VALUE!</v>
      </c>
      <c r="AT325" s="53">
        <v>192108</v>
      </c>
      <c r="AU325" s="77" t="e">
        <f ca="1">VLOOKUP($AT325,OFFSET([1]crash_skills!$A$1,0,0,COUNTA([1]crash_skills!$A:$A),MATCH("name",[1]crash_skills!$1:$1,0)-MATCH($AT$1,[1]crash_skills!$1:$1,0)+1),MATCH("name",[1]crash_skills!$1:$1,0)-MATCH($AT$1,[1]crash_skills!$1:$1,0)+1,FALSE)</f>
        <v>#VALUE!</v>
      </c>
      <c r="AV325" s="77" t="e">
        <f ca="1">VLOOKUP($AT325,OFFSET([1]crash_skills!$A$1,0,0,COUNTA([1]crash_skills!$A:$A),MATCH("comment",[1]crash_skills!$1:$1,0)-MATCH($AT$1,[1]crash_skills!$1:$1,0)+1),MATCH("comment",[1]crash_skills!$1:$1,0)-MATCH($AT$1,[1]crash_skills!$1:$1,0)+1,FALSE)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25" s="77" t="e">
        <f ca="1">VLOOKUP($AT325,OFFSET([1]crash_skills!$A$1,0,0,COUNTA([1]crash_skills!$A:$A),MATCH(AW$1,[1]crash_skills!$1:$1,0)-MATCH($AT$1,[1]crash_skills!$1:$1,0)+1),MATCH(AW$1,[1]crash_skills!$1:$1,0)-MATCH($AT$1,[1]crash_skills!$1:$1,0)+1,FALSE)</f>
        <v>#VALUE!</v>
      </c>
      <c r="AX325" s="81">
        <f ca="1">VLOOKUP($A325,OFFSET([2]characters!$A$1,0,0,COUNTA([2]characters!$A:$A),MATCH(AX$1,[2]characters!$1:$1,0)-MATCH($A$1,[2]characters!$1:$1,0)+1),MATCH(AX$1,[2]characters!$1:$1,0)-MATCH($A$1,[2]characters!$1:$1,0)+1,FALSE)</f>
        <v>3</v>
      </c>
      <c r="AY325" s="19">
        <v>1</v>
      </c>
      <c r="AZ325" s="19">
        <v>1</v>
      </c>
      <c r="BA325" s="19">
        <v>0</v>
      </c>
      <c r="BB325" s="19">
        <v>1</v>
      </c>
      <c r="BC325" s="14">
        <f ca="1">INDEX('RC6SV'!$A$1:$G$20,MATCH(H325,'RC6SV'!$A$1:$A$20,FALSE),MATCH(G325,'RC6SV'!$A$1:$G$1,FALSE))</f>
        <v>7500</v>
      </c>
      <c r="BD325" s="63">
        <f t="shared" ca="1" si="39"/>
        <v>7500</v>
      </c>
      <c r="BE325" s="14">
        <f t="shared" ca="1" si="40"/>
        <v>0</v>
      </c>
      <c r="BF325" s="14">
        <f t="shared" ca="1" si="41"/>
        <v>1</v>
      </c>
      <c r="BG325" s="20">
        <f ca="1">IF($BE325&lt;=0,ROUND(BK325*0.5,0), ROUND($BE325*S325*AA325*J325*AY325*0.8*[2]ステータス!$B$2,0))</f>
        <v>1763</v>
      </c>
      <c r="BH325" s="20">
        <f ca="1">IF($BE325&lt;=0,ROUND(BL325*0.5,0), ROUND($BE325*T325*AB325*K325*AZ325*0.8*[2]ステータス!$C$2,0))</f>
        <v>1092</v>
      </c>
      <c r="BI325" s="20">
        <f ca="1">IF($BE325&lt;=0,ROUND(BM325*0.5,0), ROUND($BE325*U325*AC325*L325*BA325*0.8*[2]ステータス!$D$2,0))</f>
        <v>0</v>
      </c>
      <c r="BJ325" s="20">
        <f ca="1">IF($BE325&lt;=0,ROUND(BN325*0.5,0), ROUND($BE325*V325*AD325*M325*BB325*0.8*[2]ステータス!$E$2,0))</f>
        <v>1023</v>
      </c>
      <c r="BK325" s="14">
        <f ca="1">ROUND(BD325*S325*AA325*J325*AY325*[2]ステータス!$B$2,0)</f>
        <v>3525</v>
      </c>
      <c r="BL325" s="14">
        <f ca="1">ROUND(BD325*T325*AB325*K325*AZ325*[2]ステータス!$C$2,0)</f>
        <v>2183</v>
      </c>
      <c r="BM325" s="14">
        <f ca="1">ROUND(BD325*U325*AC325*L325*BA325*[2]ステータス!$D$2,0)</f>
        <v>0</v>
      </c>
      <c r="BN325" s="14">
        <f ca="1">ROUND(BD325*V325*AD325*M325*BB325*[2]ステータス!$E$2,0)</f>
        <v>2046</v>
      </c>
      <c r="BO325" s="13">
        <v>0</v>
      </c>
      <c r="BP325" s="13">
        <v>1</v>
      </c>
      <c r="BQ325" s="49" t="s">
        <v>102</v>
      </c>
      <c r="BR325" s="13">
        <f ca="1">VLOOKUP(H325,ghosts_label!$A$2:$B$19,2,FALSE)</f>
        <v>5500</v>
      </c>
    </row>
    <row r="326" spans="1:70" ht="21" customHeight="1" x14ac:dyDescent="0.15">
      <c r="A326" s="14">
        <f t="shared" ca="1" si="36"/>
        <v>325</v>
      </c>
      <c r="B326" s="77" t="str">
        <f ca="1">VLOOKUP($A326,OFFSET([2]characters!$A$1,0,0,COUNTA([2]characters!$A:$A),MATCH(B$1,[2]characters!$1:$1,0)-MATCH($A$1,[2]characters!$1:$1,0)+1),MATCH(B$1,[2]characters!$1:$1,0)-MATCH($A$1,[2]characters!$1:$1,0)+1,FALSE)</f>
        <v>天賦の凛志士 沖田総司</v>
      </c>
      <c r="C326" s="77" t="str">
        <f ca="1">VLOOKUP($A326,OFFSET([2]characters!$A$1,0,0,COUNTA([2]characters!$A:$A),MATCH(C$1,[2]characters!$1:$1,0)-MATCH($A$1,[2]characters!$1:$1,0)+1),MATCH(C$1,[2]characters!$1:$1,0)-MATCH($A$1,[2]characters!$1:$1,0)+1,FALSE)</f>
        <v>ガチャ:幕末01</v>
      </c>
      <c r="D326" s="77" t="str">
        <f ca="1">VLOOKUP($A326,OFFSET([2]characters!$A$1,0,0,COUNTA([2]characters!$A:$A),MATCH(D$1,[2]characters!$1:$1,0)-MATCH($A$1,[2]characters!$1:$1,0)+1),MATCH(D$1,[2]characters!$1:$1,0)-MATCH($A$1,[2]characters!$1:$1,0)+1,FALSE)</f>
        <v>破界者</v>
      </c>
      <c r="E326" s="77" t="str">
        <f ca="1">VLOOKUP($A326,OFFSET([2]characters!$A$1,0,0,COUNTA([2]characters!$A:$A),MATCH(E$1,[2]characters!$1:$1,0)-MATCH($A$1,[2]characters!$1:$1,0)+1),MATCH(E$1,[2]characters!$1:$1,0)-MATCH($A$1,[2]characters!$1:$1,0)+1,FALSE)</f>
        <v>可愛い</v>
      </c>
      <c r="F326" s="77" t="str">
        <f ca="1">VLOOKUP($A326,OFFSET([2]characters!$A$1,0,0,COUNTA([2]characters!$A:$A),MATCH(F$1,[2]characters!$1:$1,0)-MATCH($A$1,[2]characters!$1:$1,0)+1),MATCH(F$1,[2]characters!$1:$1,0)-MATCH($A$1,[2]characters!$1:$1,0)+1,FALSE)</f>
        <v>女性</v>
      </c>
      <c r="G326" s="77">
        <f ca="1">VLOOKUP($A326,OFFSET([2]characters!$A$1,0,0,COUNTA([2]characters!$A:$A),MATCH(G$1,[2]characters!$1:$1,0)-MATCH($A$1,[2]characters!$1:$1,0)+1),MATCH(G$1,[2]characters!$1:$1,0)-MATCH($A$1,[2]characters!$1:$1,0)+1,FALSE)</f>
        <v>5</v>
      </c>
      <c r="H326" s="77" t="str">
        <f ca="1">VLOOKUP($A326,OFFSET([2]characters!$A$1,0,0,COUNTA([2]characters!$A:$A),MATCH(H$1,[2]characters!$1:$1,0)-MATCH($A$1,[2]characters!$1:$1,0)+1),MATCH(H$1,[2]characters!$1:$1,0)-MATCH($A$1,[2]characters!$1:$1,0)+1,FALSE)</f>
        <v>PremiumSS</v>
      </c>
      <c r="I326" s="77" t="str">
        <f ca="1">VLOOKUP($A326,OFFSET([2]characters!$A$1,0,0,COUNTA([2]characters!$A:$A),MATCH(I$1,[2]characters!$1:$1,0)-MATCH($A$1,[2]characters!$1:$1,0)+1),MATCH(I$1,[2]characters!$1:$1,0)-MATCH($A$1,[2]characters!$1:$1,0)+1,FALSE)</f>
        <v>blue</v>
      </c>
      <c r="J326" s="14">
        <f ca="1">VLOOKUP(I326,[2]属性!$A:$E,2,FALSE)</f>
        <v>1</v>
      </c>
      <c r="K326" s="14">
        <f ca="1">VLOOKUP(I326,[2]属性!$A:$E,3,FALSE)</f>
        <v>0.98</v>
      </c>
      <c r="L326" s="14">
        <f ca="1">VLOOKUP(I326,[2]属性!$A:$E,4,FALSE)</f>
        <v>1</v>
      </c>
      <c r="M326" s="14">
        <f ca="1">VLOOKUP(I326,[2]属性!$A:$E,5,FALSE)</f>
        <v>1.02</v>
      </c>
      <c r="N326" s="14">
        <f ca="1">INDEX(コスト!$A$1:$I$20,MATCH(H326,コスト!$A$1:$A$20,FALSE),MATCH(G326,コスト!$A$1:$I$1,FALSE))</f>
        <v>35</v>
      </c>
      <c r="O326" s="14">
        <f ca="1">INDEX(レベル!$A$1:$I$21,MATCH(H326,レベル!$A$1:$A$21,FALSE),MATCH(G326,レベル!$A$1:$I$1,FALSE))</f>
        <v>80</v>
      </c>
      <c r="P326" s="63">
        <f t="shared" ca="1" si="42"/>
        <v>75</v>
      </c>
      <c r="Q326" s="77" t="str">
        <f ca="1">VLOOKUP($A326,OFFSET([2]characters!$A$1,0,0,COUNTA([2]characters!$A:$A),MATCH(Q$1,[2]characters!$1:$1,0)-MATCH($A$1,[2]characters!$1:$1,0)+1),MATCH(Q$1,[2]characters!$1:$1,0)-MATCH($A$1,[2]characters!$1:$1,0)+1,FALSE)</f>
        <v>balance</v>
      </c>
      <c r="R326" s="8" t="str">
        <f ca="1">VLOOKUP(Q326,[2]character_type_i18n!$A:$H,3,FALSE)</f>
        <v>バランスタイプ</v>
      </c>
      <c r="S326" s="14">
        <f ca="1">VLOOKUP(Q326,[2]character_type_i18n!$A:$H,4,FALSE)</f>
        <v>1</v>
      </c>
      <c r="T326" s="14">
        <f ca="1">VLOOKUP(Q326,[2]character_type_i18n!$A:$H,5,FALSE)</f>
        <v>1</v>
      </c>
      <c r="U326" s="14">
        <f ca="1">VLOOKUP(Q326,[2]character_type_i18n!$A:$H,6,FALSE)</f>
        <v>1</v>
      </c>
      <c r="V326" s="14">
        <f ca="1">VLOOKUP(Q326,[2]character_type_i18n!$A:$H,7,FALSE)</f>
        <v>1</v>
      </c>
      <c r="W326" s="77" t="str">
        <f ca="1">VLOOKUP($A326,OFFSET([2]characters!$A$1,0,0,COUNTA([2]characters!$A:$A),MATCH(W$1,[2]characters!$1:$1,0)-MATCH($A$1,[2]characters!$1:$1,0)+1),MATCH(W$1,[2]characters!$1:$1,0)-MATCH($A$1,[2]characters!$1:$1,0)+1,FALSE)</f>
        <v>human</v>
      </c>
      <c r="X326" s="8" t="str">
        <f ca="1">VLOOKUP(W326,[2]character_tribe_i18n!$A:$H,3,FALSE)</f>
        <v>ヒューマン</v>
      </c>
      <c r="Y326" s="77" t="str">
        <f ca="1">VLOOKUP($A326,OFFSET([2]characters!$A$1,0,0,COUNTA([2]characters!$A:$A),MATCH(Y$1,[2]characters!$1:$1,0)-MATCH($A$1,[2]characters!$1:$1,0)+1),MATCH(Y$1,[2]characters!$1:$1,0)-MATCH($A$1,[2]characters!$1:$1,0)+1,FALSE)</f>
        <v>none</v>
      </c>
      <c r="Z326" s="8" t="str">
        <f ca="1">VLOOKUP(Y326,[2]character_tribe_i18n!$A:$H,3,FALSE)</f>
        <v>種族なし</v>
      </c>
      <c r="AA326" s="14">
        <f ca="1">VLOOKUP(W326,[2]character_tribe_i18n!$A:$H,4,FALSE)</f>
        <v>0.94</v>
      </c>
      <c r="AB326" s="14">
        <f ca="1">VLOOKUP(W326,[2]character_tribe_i18n!$A:$H,5,FALSE)</f>
        <v>0.99</v>
      </c>
      <c r="AC326" s="14">
        <f ca="1">VLOOKUP(W326,[2]character_tribe_i18n!$A:$H,6,FALSE)</f>
        <v>1</v>
      </c>
      <c r="AD326" s="14">
        <f ca="1">VLOOKUP(W326,[2]character_tribe_i18n!$A:$H,7,FALSE)</f>
        <v>1.07</v>
      </c>
      <c r="AE326" s="12">
        <v>809</v>
      </c>
      <c r="AF326" s="85" t="str">
        <f ca="1">IF(AE326="NULL","",VLOOKUP($AE326,OFFSET([2]characters!$A$1,0,0,COUNTA([2]characters!$A:$A),MATCH(AF$1,[2]characters!$1:$1,0)-MATCH($A$1,[2]characters!$1:$1,0)+1),MATCH(AF$1,[2]characters!$1:$1,0)-MATCH($A$1,[2]characters!$1:$1,0)+1,FALSE))</f>
        <v>天然理心の激凛 沖田総司</v>
      </c>
      <c r="AG326" s="8">
        <f t="shared" ca="1" si="37"/>
        <v>324</v>
      </c>
      <c r="AH326" s="85" t="str">
        <f ca="1">VLOOKUP($AG326,OFFSET([2]characters!$A$1,0,0,COUNTA([2]characters!$A:$A),MATCH(AH$1,[2]characters!$1:$1,0)-MATCH($A$1,[2]characters!$1:$1,0)+1),MATCH(AH$1,[2]characters!$1:$1,0)-MATCH($A$1,[2]characters!$1:$1,0)+1,FALSE)</f>
        <v>凛志士 沖田総司</v>
      </c>
      <c r="AI326" s="14">
        <f ca="1">IF(AE326="NULL","NULL",VLOOKUP(G326,ビット!$A$2:$B$7,2))</f>
        <v>200000</v>
      </c>
      <c r="AJ326" s="9">
        <v>2</v>
      </c>
      <c r="AK326" s="10" t="str">
        <f t="shared" si="38"/>
        <v>普通</v>
      </c>
      <c r="AL326" s="14" t="str">
        <f ca="1">INDEX(経験値!$A$1:$I$20,MATCH(H326,経験値!$A$1:$A$20,FALSE),MATCH(G326,経験値!$A$1:$I$1,FALSE))</f>
        <v>required_exp_200</v>
      </c>
      <c r="AM326" s="11">
        <f ca="1">VLOOKUP(G326,経験値!$A$27:$B$31,2)</f>
        <v>6400</v>
      </c>
      <c r="AN326" s="21">
        <f ca="1">VLOOKUP(G326,ビット!$G$2:$H$7,2)</f>
        <v>900</v>
      </c>
      <c r="AO326" s="98"/>
      <c r="AP326" s="97">
        <v>222006</v>
      </c>
      <c r="AQ326" s="77" t="e">
        <f ca="1">VLOOKUP($AP326,OFFSET([1]unit_skills!$A$1,0,0,COUNTA([1]unit_skills!$A:$A),MATCH("name",[1]unit_skills!$1:$1,0)-MATCH($AP$1,[1]unit_skills!$1:$1,0)+1),MATCH("name",[1]unit_skills!$1:$1,0)-MATCH($AP$1,[1]unit_skills!$1:$1,0)+1,FALSE)</f>
        <v>#VALUE!</v>
      </c>
      <c r="AR326" s="77" t="e">
        <f ca="1">VLOOKUP($AP326,OFFSET([1]unit_skills!$A$1,0,0,COUNTA([1]unit_skills!$A:$A),MATCH("comment",[1]unit_skills!$1:$1,0)-MATCH($AP$1,[1]unit_skills!$1:$1,0)+1),MATCH("comment",[1]unit_skills!$1:$1,0)-MATCH($AP$1,[1]unit_skills!$1:$1,0)+1,FALSE)</f>
        <v>#VALUE!</v>
      </c>
      <c r="AS326" s="77" t="e">
        <f ca="1">VLOOKUP($AP326,OFFSET([1]unit_skills!$A$1,0,0,COUNTA([1]unit_skills!$A:$A),MATCH(AS$1,[1]unit_skills!$1:$1,0)-MATCH($AP$1,[1]unit_skills!$1:$1,0)+1),MATCH(AS$1,[1]unit_skills!$1:$1,0)-MATCH($AP$1,[1]unit_skills!$1:$1,0)+1,FALSE)</f>
        <v>#VALUE!</v>
      </c>
      <c r="AT326" s="53">
        <v>192109</v>
      </c>
      <c r="AU326" s="77" t="e">
        <f ca="1">VLOOKUP($AT326,OFFSET([1]crash_skills!$A$1,0,0,COUNTA([1]crash_skills!$A:$A),MATCH("name",[1]crash_skills!$1:$1,0)-MATCH($AT$1,[1]crash_skills!$1:$1,0)+1),MATCH("name",[1]crash_skills!$1:$1,0)-MATCH($AT$1,[1]crash_skills!$1:$1,0)+1,FALSE)</f>
        <v>#VALUE!</v>
      </c>
      <c r="AV326" s="77" t="e">
        <f ca="1">VLOOKUP($AT326,OFFSET([1]crash_skills!$A$1,0,0,COUNTA([1]crash_skills!$A:$A),MATCH("comment",[1]crash_skills!$1:$1,0)-MATCH($AT$1,[1]crash_skills!$1:$1,0)+1),MATCH("comment",[1]crash_skills!$1:$1,0)-MATCH($AT$1,[1]crash_skills!$1:$1,0)+1,FALSE)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26" s="77" t="e">
        <f ca="1">VLOOKUP($AT326,OFFSET([1]crash_skills!$A$1,0,0,COUNTA([1]crash_skills!$A:$A),MATCH(AW$1,[1]crash_skills!$1:$1,0)-MATCH($AT$1,[1]crash_skills!$1:$1,0)+1),MATCH(AW$1,[1]crash_skills!$1:$1,0)-MATCH($AT$1,[1]crash_skills!$1:$1,0)+1,FALSE)</f>
        <v>#VALUE!</v>
      </c>
      <c r="AX326" s="81">
        <f ca="1">VLOOKUP($A326,OFFSET([2]characters!$A$1,0,0,COUNTA([2]characters!$A:$A),MATCH(AX$1,[2]characters!$1:$1,0)-MATCH($A$1,[2]characters!$1:$1,0)+1),MATCH(AX$1,[2]characters!$1:$1,0)-MATCH($A$1,[2]characters!$1:$1,0)+1,FALSE)</f>
        <v>3</v>
      </c>
      <c r="AY326" s="19">
        <v>0.9</v>
      </c>
      <c r="AZ326" s="19">
        <v>1.1000000000000001</v>
      </c>
      <c r="BA326" s="19">
        <v>0</v>
      </c>
      <c r="BB326" s="19">
        <v>1</v>
      </c>
      <c r="BC326" s="14">
        <f ca="1">INDEX('RC6SV'!$A$1:$G$20,MATCH(H326,'RC6SV'!$A$1:$A$20,FALSE),MATCH(G326,'RC6SV'!$A$1:$G$1,FALSE))</f>
        <v>9500</v>
      </c>
      <c r="BD326" s="63">
        <f t="shared" ca="1" si="39"/>
        <v>9500</v>
      </c>
      <c r="BE326" s="14">
        <f t="shared" ca="1" si="40"/>
        <v>7500</v>
      </c>
      <c r="BF326" s="14">
        <f t="shared" ca="1" si="41"/>
        <v>1</v>
      </c>
      <c r="BG326" s="20">
        <f ca="1">IF($BE326&lt;=0,ROUND(BK326*0.5,0), ROUND($BE326*S326*AA326*J326*AY326*0.8*[2]ステータス!$B$2,0))</f>
        <v>2538</v>
      </c>
      <c r="BH326" s="20">
        <f ca="1">IF($BE326&lt;=0,ROUND(BL326*0.5,0), ROUND($BE326*T326*AB326*K326*AZ326*0.8*[2]ステータス!$C$2,0))</f>
        <v>1921</v>
      </c>
      <c r="BI326" s="20">
        <f ca="1">IF($BE326&lt;=0,ROUND(BM326*0.5,0), ROUND($BE326*U326*AC326*L326*BA326*0.8*[2]ステータス!$D$2,0))</f>
        <v>0</v>
      </c>
      <c r="BJ326" s="20">
        <f ca="1">IF($BE326&lt;=0,ROUND(BN326*0.5,0), ROUND($BE326*V326*AD326*M326*BB326*0.8*[2]ステータス!$E$2,0))</f>
        <v>1637</v>
      </c>
      <c r="BK326" s="14">
        <f ca="1">ROUND(BD326*S326*AA326*J326*AY326*[2]ステータス!$B$2,0)</f>
        <v>4019</v>
      </c>
      <c r="BL326" s="14">
        <f ca="1">ROUND(BD326*T326*AB326*K326*AZ326*[2]ステータス!$C$2,0)</f>
        <v>3042</v>
      </c>
      <c r="BM326" s="14">
        <f ca="1">ROUND(BD326*U326*AC326*L326*BA326*[2]ステータス!$D$2,0)</f>
        <v>0</v>
      </c>
      <c r="BN326" s="14">
        <f ca="1">ROUND(BD326*V326*AD326*M326*BB326*[2]ステータス!$E$2,0)</f>
        <v>2592</v>
      </c>
      <c r="BO326" s="13">
        <v>0</v>
      </c>
      <c r="BP326" s="13">
        <v>1</v>
      </c>
      <c r="BQ326" s="49" t="s">
        <v>102</v>
      </c>
      <c r="BR326" s="13">
        <f ca="1">VLOOKUP(H326,ghosts_label!$A$2:$B$19,2,FALSE)</f>
        <v>5500</v>
      </c>
    </row>
    <row r="327" spans="1:70" ht="21" customHeight="1" x14ac:dyDescent="0.15">
      <c r="A327" s="14">
        <f t="shared" ca="1" si="36"/>
        <v>326</v>
      </c>
      <c r="B327" s="77" t="str">
        <f ca="1">VLOOKUP($A327,OFFSET([2]characters!$A$1,0,0,COUNTA([2]characters!$A:$A),MATCH(B$1,[2]characters!$1:$1,0)-MATCH($A$1,[2]characters!$1:$1,0)+1),MATCH(B$1,[2]characters!$1:$1,0)-MATCH($A$1,[2]characters!$1:$1,0)+1,FALSE)</f>
        <v>妖志士 斎藤一</v>
      </c>
      <c r="C327" s="77" t="str">
        <f ca="1">VLOOKUP($A327,OFFSET([2]characters!$A$1,0,0,COUNTA([2]characters!$A:$A),MATCH(C$1,[2]characters!$1:$1,0)-MATCH($A$1,[2]characters!$1:$1,0)+1),MATCH(C$1,[2]characters!$1:$1,0)-MATCH($A$1,[2]characters!$1:$1,0)+1,FALSE)</f>
        <v>ガチャ:幕末01</v>
      </c>
      <c r="D327" s="77" t="str">
        <f ca="1">VLOOKUP($A327,OFFSET([2]characters!$A$1,0,0,COUNTA([2]characters!$A:$A),MATCH(D$1,[2]characters!$1:$1,0)-MATCH($A$1,[2]characters!$1:$1,0)+1),MATCH(D$1,[2]characters!$1:$1,0)-MATCH($A$1,[2]characters!$1:$1,0)+1,FALSE)</f>
        <v>破界者</v>
      </c>
      <c r="E327" s="77" t="str">
        <f ca="1">VLOOKUP($A327,OFFSET([2]characters!$A$1,0,0,COUNTA([2]characters!$A:$A),MATCH(E$1,[2]characters!$1:$1,0)-MATCH($A$1,[2]characters!$1:$1,0)+1),MATCH(E$1,[2]characters!$1:$1,0)-MATCH($A$1,[2]characters!$1:$1,0)+1,FALSE)</f>
        <v>美しい</v>
      </c>
      <c r="F327" s="77" t="str">
        <f ca="1">VLOOKUP($A327,OFFSET([2]characters!$A$1,0,0,COUNTA([2]characters!$A:$A),MATCH(F$1,[2]characters!$1:$1,0)-MATCH($A$1,[2]characters!$1:$1,0)+1),MATCH(F$1,[2]characters!$1:$1,0)-MATCH($A$1,[2]characters!$1:$1,0)+1,FALSE)</f>
        <v>女性</v>
      </c>
      <c r="G327" s="77">
        <f ca="1">VLOOKUP($A327,OFFSET([2]characters!$A$1,0,0,COUNTA([2]characters!$A:$A),MATCH(G$1,[2]characters!$1:$1,0)-MATCH($A$1,[2]characters!$1:$1,0)+1),MATCH(G$1,[2]characters!$1:$1,0)-MATCH($A$1,[2]characters!$1:$1,0)+1,FALSE)</f>
        <v>4</v>
      </c>
      <c r="H327" s="77" t="str">
        <f ca="1">VLOOKUP($A327,OFFSET([2]characters!$A$1,0,0,COUNTA([2]characters!$A:$A),MATCH(H$1,[2]characters!$1:$1,0)-MATCH($A$1,[2]characters!$1:$1,0)+1),MATCH(H$1,[2]characters!$1:$1,0)-MATCH($A$1,[2]characters!$1:$1,0)+1,FALSE)</f>
        <v>PremiumSS</v>
      </c>
      <c r="I327" s="77" t="str">
        <f ca="1">VLOOKUP($A327,OFFSET([2]characters!$A$1,0,0,COUNTA([2]characters!$A:$A),MATCH(I$1,[2]characters!$1:$1,0)-MATCH($A$1,[2]characters!$1:$1,0)+1),MATCH(I$1,[2]characters!$1:$1,0)-MATCH($A$1,[2]characters!$1:$1,0)+1,FALSE)</f>
        <v>yellow</v>
      </c>
      <c r="J327" s="14">
        <f ca="1">VLOOKUP(I327,[2]属性!$A:$E,2,FALSE)</f>
        <v>0.98</v>
      </c>
      <c r="K327" s="14">
        <f ca="1">VLOOKUP(I327,[2]属性!$A:$E,3,FALSE)</f>
        <v>1.01</v>
      </c>
      <c r="L327" s="14">
        <f ca="1">VLOOKUP(I327,[2]属性!$A:$E,4,FALSE)</f>
        <v>1</v>
      </c>
      <c r="M327" s="14">
        <f ca="1">VLOOKUP(I327,[2]属性!$A:$E,5,FALSE)</f>
        <v>1.01</v>
      </c>
      <c r="N327" s="14">
        <f ca="1">INDEX(コスト!$A$1:$I$20,MATCH(H327,コスト!$A$1:$A$20,FALSE),MATCH(G327,コスト!$A$1:$I$1,FALSE))</f>
        <v>25</v>
      </c>
      <c r="O327" s="14">
        <f ca="1">INDEX(レベル!$A$1:$I$21,MATCH(H327,レベル!$A$1:$A$21,FALSE),MATCH(G327,レベル!$A$1:$I$1,FALSE))</f>
        <v>60</v>
      </c>
      <c r="P327" s="63">
        <f t="shared" ca="1" si="42"/>
        <v>60</v>
      </c>
      <c r="Q327" s="77" t="str">
        <f ca="1">VLOOKUP($A327,OFFSET([2]characters!$A$1,0,0,COUNTA([2]characters!$A:$A),MATCH(Q$1,[2]characters!$1:$1,0)-MATCH($A$1,[2]characters!$1:$1,0)+1),MATCH(Q$1,[2]characters!$1:$1,0)-MATCH($A$1,[2]characters!$1:$1,0)+1,FALSE)</f>
        <v>technical</v>
      </c>
      <c r="R327" s="8" t="str">
        <f ca="1">VLOOKUP(Q327,[2]character_type_i18n!$A:$H,3,FALSE)</f>
        <v>テクニカルタイプ</v>
      </c>
      <c r="S327" s="14">
        <f ca="1">VLOOKUP(Q327,[2]character_type_i18n!$A:$H,4,FALSE)</f>
        <v>0.9</v>
      </c>
      <c r="T327" s="14">
        <f ca="1">VLOOKUP(Q327,[2]character_type_i18n!$A:$H,5,FALSE)</f>
        <v>0.9</v>
      </c>
      <c r="U327" s="14">
        <f ca="1">VLOOKUP(Q327,[2]character_type_i18n!$A:$H,6,FALSE)</f>
        <v>1</v>
      </c>
      <c r="V327" s="14">
        <f ca="1">VLOOKUP(Q327,[2]character_type_i18n!$A:$H,7,FALSE)</f>
        <v>0.9</v>
      </c>
      <c r="W327" s="77" t="str">
        <f ca="1">VLOOKUP($A327,OFFSET([2]characters!$A$1,0,0,COUNTA([2]characters!$A:$A),MATCH(W$1,[2]characters!$1:$1,0)-MATCH($A$1,[2]characters!$1:$1,0)+1),MATCH(W$1,[2]characters!$1:$1,0)-MATCH($A$1,[2]characters!$1:$1,0)+1,FALSE)</f>
        <v>human</v>
      </c>
      <c r="X327" s="8" t="str">
        <f ca="1">VLOOKUP(W327,[2]character_tribe_i18n!$A:$H,3,FALSE)</f>
        <v>ヒューマン</v>
      </c>
      <c r="Y327" s="77" t="str">
        <f ca="1">VLOOKUP($A327,OFFSET([2]characters!$A$1,0,0,COUNTA([2]characters!$A:$A),MATCH(Y$1,[2]characters!$1:$1,0)-MATCH($A$1,[2]characters!$1:$1,0)+1),MATCH(Y$1,[2]characters!$1:$1,0)-MATCH($A$1,[2]characters!$1:$1,0)+1,FALSE)</f>
        <v>none</v>
      </c>
      <c r="Z327" s="8" t="str">
        <f ca="1">VLOOKUP(Y327,[2]character_tribe_i18n!$A:$H,3,FALSE)</f>
        <v>種族なし</v>
      </c>
      <c r="AA327" s="14">
        <f ca="1">VLOOKUP(W327,[2]character_tribe_i18n!$A:$H,4,FALSE)</f>
        <v>0.94</v>
      </c>
      <c r="AB327" s="14">
        <f ca="1">VLOOKUP(W327,[2]character_tribe_i18n!$A:$H,5,FALSE)</f>
        <v>0.99</v>
      </c>
      <c r="AC327" s="14">
        <f ca="1">VLOOKUP(W327,[2]character_tribe_i18n!$A:$H,6,FALSE)</f>
        <v>1</v>
      </c>
      <c r="AD327" s="14">
        <f ca="1">VLOOKUP(W327,[2]character_tribe_i18n!$A:$H,7,FALSE)</f>
        <v>1.07</v>
      </c>
      <c r="AE327" s="12">
        <v>327</v>
      </c>
      <c r="AF327" s="85" t="str">
        <f ca="1">IF(AE327="NULL","",VLOOKUP($AE327,OFFSET([2]characters!$A$1,0,0,COUNTA([2]characters!$A:$A),MATCH(AF$1,[2]characters!$1:$1,0)-MATCH($A$1,[2]characters!$1:$1,0)+1),MATCH(AF$1,[2]characters!$1:$1,0)-MATCH($A$1,[2]characters!$1:$1,0)+1,FALSE))</f>
        <v>千殺の妖志士 斎藤一</v>
      </c>
      <c r="AG327" s="8">
        <f t="shared" ca="1" si="37"/>
        <v>326</v>
      </c>
      <c r="AH327" s="85" t="str">
        <f ca="1">VLOOKUP($AG327,OFFSET([2]characters!$A$1,0,0,COUNTA([2]characters!$A:$A),MATCH(AH$1,[2]characters!$1:$1,0)-MATCH($A$1,[2]characters!$1:$1,0)+1),MATCH(AH$1,[2]characters!$1:$1,0)-MATCH($A$1,[2]characters!$1:$1,0)+1,FALSE)</f>
        <v>妖志士 斎藤一</v>
      </c>
      <c r="AI327" s="14">
        <f ca="1">IF(AE327="NULL","NULL",VLOOKUP(G327,ビット!$A$2:$B$7,2))</f>
        <v>50000</v>
      </c>
      <c r="AJ327" s="9">
        <v>2</v>
      </c>
      <c r="AK327" s="10" t="str">
        <f t="shared" si="38"/>
        <v>普通</v>
      </c>
      <c r="AL327" s="14" t="str">
        <f ca="1">INDEX(経験値!$A$1:$I$20,MATCH(H327,経験値!$A$1:$A$20,FALSE),MATCH(G327,経験値!$A$1:$I$1,FALSE))</f>
        <v>required_exp_200</v>
      </c>
      <c r="AM327" s="11">
        <f ca="1">VLOOKUP(G327,経験値!$A$27:$B$31,2)</f>
        <v>3400</v>
      </c>
      <c r="AN327" s="21">
        <f ca="1">VLOOKUP(G327,ビット!$G$2:$H$7,2)</f>
        <v>600</v>
      </c>
      <c r="AO327" s="98"/>
      <c r="AP327" s="158">
        <v>514003</v>
      </c>
      <c r="AQ327" s="77" t="e">
        <f ca="1">VLOOKUP($AP327,OFFSET([1]unit_skills!$A$1,0,0,COUNTA([1]unit_skills!$A:$A),MATCH("name",[1]unit_skills!$1:$1,0)-MATCH($AP$1,[1]unit_skills!$1:$1,0)+1),MATCH("name",[1]unit_skills!$1:$1,0)-MATCH($AP$1,[1]unit_skills!$1:$1,0)+1,FALSE)</f>
        <v>#VALUE!</v>
      </c>
      <c r="AR327" s="77" t="e">
        <f ca="1">VLOOKUP($AP327,OFFSET([1]unit_skills!$A$1,0,0,COUNTA([1]unit_skills!$A:$A),MATCH("comment",[1]unit_skills!$1:$1,0)-MATCH($AP$1,[1]unit_skills!$1:$1,0)+1),MATCH("comment",[1]unit_skills!$1:$1,0)-MATCH($AP$1,[1]unit_skills!$1:$1,0)+1,FALSE)</f>
        <v>#VALUE!</v>
      </c>
      <c r="AS327" s="77" t="e">
        <f ca="1">VLOOKUP($AP327,OFFSET([1]unit_skills!$A$1,0,0,COUNTA([1]unit_skills!$A:$A),MATCH(AS$1,[1]unit_skills!$1:$1,0)-MATCH($AP$1,[1]unit_skills!$1:$1,0)+1),MATCH(AS$1,[1]unit_skills!$1:$1,0)-MATCH($AP$1,[1]unit_skills!$1:$1,0)+1,FALSE)</f>
        <v>#VALUE!</v>
      </c>
      <c r="AT327" s="158">
        <v>204209</v>
      </c>
      <c r="AU327" s="77" t="e">
        <f ca="1">VLOOKUP($AT327,OFFSET([1]crash_skills!$A$1,0,0,COUNTA([1]crash_skills!$A:$A),MATCH("name",[1]crash_skills!$1:$1,0)-MATCH($AT$1,[1]crash_skills!$1:$1,0)+1),MATCH("name",[1]crash_skills!$1:$1,0)-MATCH($AT$1,[1]crash_skills!$1:$1,0)+1,FALSE)</f>
        <v>#VALUE!</v>
      </c>
      <c r="AV327" s="77" t="e">
        <f ca="1">VLOOKUP($AT327,OFFSET([1]crash_skills!$A$1,0,0,COUNTA([1]crash_skills!$A:$A),MATCH("comment",[1]crash_skills!$1:$1,0)-MATCH($AT$1,[1]crash_skills!$1:$1,0)+1),MATCH("comment",[1]crash_skills!$1:$1,0)-MATCH($AT$1,[1]crash_skills!$1:$1,0)+1,FALSE)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27" s="77" t="e">
        <f ca="1">VLOOKUP($AT327,OFFSET([1]crash_skills!$A$1,0,0,COUNTA([1]crash_skills!$A:$A),MATCH(AW$1,[1]crash_skills!$1:$1,0)-MATCH($AT$1,[1]crash_skills!$1:$1,0)+1),MATCH(AW$1,[1]crash_skills!$1:$1,0)-MATCH($AT$1,[1]crash_skills!$1:$1,0)+1,FALSE)</f>
        <v>#VALUE!</v>
      </c>
      <c r="AX327" s="81">
        <f ca="1">VLOOKUP($A327,OFFSET([2]characters!$A$1,0,0,COUNTA([2]characters!$A:$A),MATCH(AX$1,[2]characters!$1:$1,0)-MATCH($A$1,[2]characters!$1:$1,0)+1),MATCH(AX$1,[2]characters!$1:$1,0)-MATCH($A$1,[2]characters!$1:$1,0)+1,FALSE)</f>
        <v>3</v>
      </c>
      <c r="AY327" s="19">
        <v>1</v>
      </c>
      <c r="AZ327" s="19">
        <v>1</v>
      </c>
      <c r="BA327" s="19">
        <v>0</v>
      </c>
      <c r="BB327" s="19">
        <v>1</v>
      </c>
      <c r="BC327" s="14">
        <f ca="1">INDEX('RC6SV'!$A$1:$G$20,MATCH(H327,'RC6SV'!$A$1:$A$20,FALSE),MATCH(G327,'RC6SV'!$A$1:$G$1,FALSE))</f>
        <v>7500</v>
      </c>
      <c r="BD327" s="63">
        <f t="shared" ca="1" si="39"/>
        <v>7500</v>
      </c>
      <c r="BE327" s="14">
        <f t="shared" ca="1" si="40"/>
        <v>0</v>
      </c>
      <c r="BF327" s="14">
        <f t="shared" ca="1" si="41"/>
        <v>1</v>
      </c>
      <c r="BG327" s="20">
        <f ca="1">IF($BE327&lt;=0,ROUND(BK327*0.5,0), ROUND($BE327*S327*AA327*J327*AY327*0.8*[2]ステータス!$B$2,0))</f>
        <v>1555</v>
      </c>
      <c r="BH327" s="20">
        <f ca="1">IF($BE327&lt;=0,ROUND(BL327*0.5,0), ROUND($BE327*T327*AB327*K327*AZ327*0.8*[2]ステータス!$C$2,0))</f>
        <v>1013</v>
      </c>
      <c r="BI327" s="20">
        <f ca="1">IF($BE327&lt;=0,ROUND(BM327*0.5,0), ROUND($BE327*U327*AC327*L327*BA327*0.8*[2]ステータス!$D$2,0))</f>
        <v>0</v>
      </c>
      <c r="BJ327" s="20">
        <f ca="1">IF($BE327&lt;=0,ROUND(BN327*0.5,0), ROUND($BE327*V327*AD327*M327*BB327*0.8*[2]ステータス!$E$2,0))</f>
        <v>912</v>
      </c>
      <c r="BK327" s="14">
        <f ca="1">ROUND(BD327*S327*AA327*J327*AY327*[2]ステータス!$B$2,0)</f>
        <v>3109</v>
      </c>
      <c r="BL327" s="14">
        <f ca="1">ROUND(BD327*T327*AB327*K327*AZ327*[2]ステータス!$C$2,0)</f>
        <v>2025</v>
      </c>
      <c r="BM327" s="14">
        <f ca="1">ROUND(BD327*U327*AC327*L327*BA327*[2]ステータス!$D$2,0)</f>
        <v>0</v>
      </c>
      <c r="BN327" s="14">
        <f ca="1">ROUND(BD327*V327*AD327*M327*BB327*[2]ステータス!$E$2,0)</f>
        <v>1824</v>
      </c>
      <c r="BO327" s="13">
        <v>0</v>
      </c>
      <c r="BP327" s="13">
        <v>1</v>
      </c>
      <c r="BQ327" s="49" t="s">
        <v>102</v>
      </c>
      <c r="BR327" s="13">
        <f ca="1">VLOOKUP(H327,ghosts_label!$A$2:$B$19,2,FALSE)</f>
        <v>5500</v>
      </c>
    </row>
    <row r="328" spans="1:70" ht="21" customHeight="1" x14ac:dyDescent="0.15">
      <c r="A328" s="14">
        <f t="shared" ca="1" si="36"/>
        <v>327</v>
      </c>
      <c r="B328" s="77" t="str">
        <f ca="1">VLOOKUP($A328,OFFSET([2]characters!$A$1,0,0,COUNTA([2]characters!$A:$A),MATCH(B$1,[2]characters!$1:$1,0)-MATCH($A$1,[2]characters!$1:$1,0)+1),MATCH(B$1,[2]characters!$1:$1,0)-MATCH($A$1,[2]characters!$1:$1,0)+1,FALSE)</f>
        <v>千殺の妖志士 斎藤一</v>
      </c>
      <c r="C328" s="77" t="str">
        <f ca="1">VLOOKUP($A328,OFFSET([2]characters!$A$1,0,0,COUNTA([2]characters!$A:$A),MATCH(C$1,[2]characters!$1:$1,0)-MATCH($A$1,[2]characters!$1:$1,0)+1),MATCH(C$1,[2]characters!$1:$1,0)-MATCH($A$1,[2]characters!$1:$1,0)+1,FALSE)</f>
        <v>ガチャ:幕末01</v>
      </c>
      <c r="D328" s="77" t="str">
        <f ca="1">VLOOKUP($A328,OFFSET([2]characters!$A$1,0,0,COUNTA([2]characters!$A:$A),MATCH(D$1,[2]characters!$1:$1,0)-MATCH($A$1,[2]characters!$1:$1,0)+1),MATCH(D$1,[2]characters!$1:$1,0)-MATCH($A$1,[2]characters!$1:$1,0)+1,FALSE)</f>
        <v>破界者</v>
      </c>
      <c r="E328" s="77" t="str">
        <f ca="1">VLOOKUP($A328,OFFSET([2]characters!$A$1,0,0,COUNTA([2]characters!$A:$A),MATCH(E$1,[2]characters!$1:$1,0)-MATCH($A$1,[2]characters!$1:$1,0)+1),MATCH(E$1,[2]characters!$1:$1,0)-MATCH($A$1,[2]characters!$1:$1,0)+1,FALSE)</f>
        <v>美しい</v>
      </c>
      <c r="F328" s="77" t="str">
        <f ca="1">VLOOKUP($A328,OFFSET([2]characters!$A$1,0,0,COUNTA([2]characters!$A:$A),MATCH(F$1,[2]characters!$1:$1,0)-MATCH($A$1,[2]characters!$1:$1,0)+1),MATCH(F$1,[2]characters!$1:$1,0)-MATCH($A$1,[2]characters!$1:$1,0)+1,FALSE)</f>
        <v>女性</v>
      </c>
      <c r="G328" s="77">
        <f ca="1">VLOOKUP($A328,OFFSET([2]characters!$A$1,0,0,COUNTA([2]characters!$A:$A),MATCH(G$1,[2]characters!$1:$1,0)-MATCH($A$1,[2]characters!$1:$1,0)+1),MATCH(G$1,[2]characters!$1:$1,0)-MATCH($A$1,[2]characters!$1:$1,0)+1,FALSE)</f>
        <v>5</v>
      </c>
      <c r="H328" s="77" t="str">
        <f ca="1">VLOOKUP($A328,OFFSET([2]characters!$A$1,0,0,COUNTA([2]characters!$A:$A),MATCH(H$1,[2]characters!$1:$1,0)-MATCH($A$1,[2]characters!$1:$1,0)+1),MATCH(H$1,[2]characters!$1:$1,0)-MATCH($A$1,[2]characters!$1:$1,0)+1,FALSE)</f>
        <v>PremiumSS</v>
      </c>
      <c r="I328" s="77" t="str">
        <f ca="1">VLOOKUP($A328,OFFSET([2]characters!$A$1,0,0,COUNTA([2]characters!$A:$A),MATCH(I$1,[2]characters!$1:$1,0)-MATCH($A$1,[2]characters!$1:$1,0)+1),MATCH(I$1,[2]characters!$1:$1,0)-MATCH($A$1,[2]characters!$1:$1,0)+1,FALSE)</f>
        <v>yellow</v>
      </c>
      <c r="J328" s="14">
        <f ca="1">VLOOKUP(I328,[2]属性!$A:$E,2,FALSE)</f>
        <v>0.98</v>
      </c>
      <c r="K328" s="14">
        <f ca="1">VLOOKUP(I328,[2]属性!$A:$E,3,FALSE)</f>
        <v>1.01</v>
      </c>
      <c r="L328" s="14">
        <f ca="1">VLOOKUP(I328,[2]属性!$A:$E,4,FALSE)</f>
        <v>1</v>
      </c>
      <c r="M328" s="14">
        <f ca="1">VLOOKUP(I328,[2]属性!$A:$E,5,FALSE)</f>
        <v>1.01</v>
      </c>
      <c r="N328" s="14">
        <f ca="1">INDEX(コスト!$A$1:$I$20,MATCH(H328,コスト!$A$1:$A$20,FALSE),MATCH(G328,コスト!$A$1:$I$1,FALSE))</f>
        <v>35</v>
      </c>
      <c r="O328" s="14">
        <f ca="1">INDEX(レベル!$A$1:$I$21,MATCH(H328,レベル!$A$1:$A$21,FALSE),MATCH(G328,レベル!$A$1:$I$1,FALSE))</f>
        <v>80</v>
      </c>
      <c r="P328" s="63">
        <f t="shared" ca="1" si="42"/>
        <v>75</v>
      </c>
      <c r="Q328" s="77" t="str">
        <f ca="1">VLOOKUP($A328,OFFSET([2]characters!$A$1,0,0,COUNTA([2]characters!$A:$A),MATCH(Q$1,[2]characters!$1:$1,0)-MATCH($A$1,[2]characters!$1:$1,0)+1),MATCH(Q$1,[2]characters!$1:$1,0)-MATCH($A$1,[2]characters!$1:$1,0)+1,FALSE)</f>
        <v>technical</v>
      </c>
      <c r="R328" s="8" t="str">
        <f ca="1">VLOOKUP(Q328,[2]character_type_i18n!$A:$H,3,FALSE)</f>
        <v>テクニカルタイプ</v>
      </c>
      <c r="S328" s="14">
        <f ca="1">VLOOKUP(Q328,[2]character_type_i18n!$A:$H,4,FALSE)</f>
        <v>0.9</v>
      </c>
      <c r="T328" s="14">
        <f ca="1">VLOOKUP(Q328,[2]character_type_i18n!$A:$H,5,FALSE)</f>
        <v>0.9</v>
      </c>
      <c r="U328" s="14">
        <f ca="1">VLOOKUP(Q328,[2]character_type_i18n!$A:$H,6,FALSE)</f>
        <v>1</v>
      </c>
      <c r="V328" s="14">
        <f ca="1">VLOOKUP(Q328,[2]character_type_i18n!$A:$H,7,FALSE)</f>
        <v>0.9</v>
      </c>
      <c r="W328" s="77" t="str">
        <f ca="1">VLOOKUP($A328,OFFSET([2]characters!$A$1,0,0,COUNTA([2]characters!$A:$A),MATCH(W$1,[2]characters!$1:$1,0)-MATCH($A$1,[2]characters!$1:$1,0)+1),MATCH(W$1,[2]characters!$1:$1,0)-MATCH($A$1,[2]characters!$1:$1,0)+1,FALSE)</f>
        <v>human</v>
      </c>
      <c r="X328" s="8" t="str">
        <f ca="1">VLOOKUP(W328,[2]character_tribe_i18n!$A:$H,3,FALSE)</f>
        <v>ヒューマン</v>
      </c>
      <c r="Y328" s="77" t="str">
        <f ca="1">VLOOKUP($A328,OFFSET([2]characters!$A$1,0,0,COUNTA([2]characters!$A:$A),MATCH(Y$1,[2]characters!$1:$1,0)-MATCH($A$1,[2]characters!$1:$1,0)+1),MATCH(Y$1,[2]characters!$1:$1,0)-MATCH($A$1,[2]characters!$1:$1,0)+1,FALSE)</f>
        <v>none</v>
      </c>
      <c r="Z328" s="8" t="str">
        <f ca="1">VLOOKUP(Y328,[2]character_tribe_i18n!$A:$H,3,FALSE)</f>
        <v>種族なし</v>
      </c>
      <c r="AA328" s="14">
        <f ca="1">VLOOKUP(W328,[2]character_tribe_i18n!$A:$H,4,FALSE)</f>
        <v>0.94</v>
      </c>
      <c r="AB328" s="14">
        <f ca="1">VLOOKUP(W328,[2]character_tribe_i18n!$A:$H,5,FALSE)</f>
        <v>0.99</v>
      </c>
      <c r="AC328" s="14">
        <f ca="1">VLOOKUP(W328,[2]character_tribe_i18n!$A:$H,6,FALSE)</f>
        <v>1</v>
      </c>
      <c r="AD328" s="14">
        <f ca="1">VLOOKUP(W328,[2]character_tribe_i18n!$A:$H,7,FALSE)</f>
        <v>1.07</v>
      </c>
      <c r="AE328" s="12" t="s">
        <v>233</v>
      </c>
      <c r="AF328" s="85" t="str">
        <f ca="1">IF(AE328="NULL","",VLOOKUP($AE328,OFFSET([2]characters!$A$1,0,0,COUNTA([2]characters!$A:$A),MATCH(AF$1,[2]characters!$1:$1,0)-MATCH($A$1,[2]characters!$1:$1,0)+1),MATCH(AF$1,[2]characters!$1:$1,0)-MATCH($A$1,[2]characters!$1:$1,0)+1,FALSE))</f>
        <v/>
      </c>
      <c r="AG328" s="8">
        <f t="shared" ca="1" si="37"/>
        <v>326</v>
      </c>
      <c r="AH328" s="85" t="str">
        <f ca="1">VLOOKUP($AG328,OFFSET([2]characters!$A$1,0,0,COUNTA([2]characters!$A:$A),MATCH(AH$1,[2]characters!$1:$1,0)-MATCH($A$1,[2]characters!$1:$1,0)+1),MATCH(AH$1,[2]characters!$1:$1,0)-MATCH($A$1,[2]characters!$1:$1,0)+1,FALSE)</f>
        <v>妖志士 斎藤一</v>
      </c>
      <c r="AI328" s="14" t="str">
        <f>IF(AE328="NULL","NULL",VLOOKUP(G328,ビット!$A$2:$B$7,2))</f>
        <v>NULL</v>
      </c>
      <c r="AJ328" s="9">
        <v>2</v>
      </c>
      <c r="AK328" s="10" t="str">
        <f t="shared" si="38"/>
        <v>普通</v>
      </c>
      <c r="AL328" s="14" t="str">
        <f ca="1">INDEX(経験値!$A$1:$I$20,MATCH(H328,経験値!$A$1:$A$20,FALSE),MATCH(G328,経験値!$A$1:$I$1,FALSE))</f>
        <v>required_exp_200</v>
      </c>
      <c r="AM328" s="11">
        <f ca="1">VLOOKUP(G328,経験値!$A$27:$B$31,2)</f>
        <v>6400</v>
      </c>
      <c r="AN328" s="21">
        <f ca="1">VLOOKUP(G328,ビット!$G$2:$H$7,2)</f>
        <v>900</v>
      </c>
      <c r="AO328" s="98"/>
      <c r="AP328" s="158">
        <v>514003</v>
      </c>
      <c r="AQ328" s="77" t="e">
        <f ca="1">VLOOKUP($AP328,OFFSET([1]unit_skills!$A$1,0,0,COUNTA([1]unit_skills!$A:$A),MATCH("name",[1]unit_skills!$1:$1,0)-MATCH($AP$1,[1]unit_skills!$1:$1,0)+1),MATCH("name",[1]unit_skills!$1:$1,0)-MATCH($AP$1,[1]unit_skills!$1:$1,0)+1,FALSE)</f>
        <v>#VALUE!</v>
      </c>
      <c r="AR328" s="77" t="e">
        <f ca="1">VLOOKUP($AP328,OFFSET([1]unit_skills!$A$1,0,0,COUNTA([1]unit_skills!$A:$A),MATCH("comment",[1]unit_skills!$1:$1,0)-MATCH($AP$1,[1]unit_skills!$1:$1,0)+1),MATCH("comment",[1]unit_skills!$1:$1,0)-MATCH($AP$1,[1]unit_skills!$1:$1,0)+1,FALSE)</f>
        <v>#VALUE!</v>
      </c>
      <c r="AS328" s="77" t="e">
        <f ca="1">VLOOKUP($AP328,OFFSET([1]unit_skills!$A$1,0,0,COUNTA([1]unit_skills!$A:$A),MATCH(AS$1,[1]unit_skills!$1:$1,0)-MATCH($AP$1,[1]unit_skills!$1:$1,0)+1),MATCH(AS$1,[1]unit_skills!$1:$1,0)-MATCH($AP$1,[1]unit_skills!$1:$1,0)+1,FALSE)</f>
        <v>#VALUE!</v>
      </c>
      <c r="AT328" s="158">
        <v>204210</v>
      </c>
      <c r="AU328" s="77" t="e">
        <f ca="1">VLOOKUP($AT328,OFFSET([1]crash_skills!$A$1,0,0,COUNTA([1]crash_skills!$A:$A),MATCH("name",[1]crash_skills!$1:$1,0)-MATCH($AT$1,[1]crash_skills!$1:$1,0)+1),MATCH("name",[1]crash_skills!$1:$1,0)-MATCH($AT$1,[1]crash_skills!$1:$1,0)+1,FALSE)</f>
        <v>#VALUE!</v>
      </c>
      <c r="AV328" s="77" t="e">
        <f ca="1">VLOOKUP($AT328,OFFSET([1]crash_skills!$A$1,0,0,COUNTA([1]crash_skills!$A:$A),MATCH("comment",[1]crash_skills!$1:$1,0)-MATCH($AT$1,[1]crash_skills!$1:$1,0)+1),MATCH("comment",[1]crash_skills!$1:$1,0)-MATCH($AT$1,[1]crash_skills!$1:$1,0)+1,FALSE)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28" s="77" t="e">
        <f ca="1">VLOOKUP($AT328,OFFSET([1]crash_skills!$A$1,0,0,COUNTA([1]crash_skills!$A:$A),MATCH(AW$1,[1]crash_skills!$1:$1,0)-MATCH($AT$1,[1]crash_skills!$1:$1,0)+1),MATCH(AW$1,[1]crash_skills!$1:$1,0)-MATCH($AT$1,[1]crash_skills!$1:$1,0)+1,FALSE)</f>
        <v>#VALUE!</v>
      </c>
      <c r="AX328" s="81">
        <f ca="1">VLOOKUP($A328,OFFSET([2]characters!$A$1,0,0,COUNTA([2]characters!$A:$A),MATCH(AX$1,[2]characters!$1:$1,0)-MATCH($A$1,[2]characters!$1:$1,0)+1),MATCH(AX$1,[2]characters!$1:$1,0)-MATCH($A$1,[2]characters!$1:$1,0)+1,FALSE)</f>
        <v>3</v>
      </c>
      <c r="AY328" s="19">
        <v>1</v>
      </c>
      <c r="AZ328" s="19">
        <v>1</v>
      </c>
      <c r="BA328" s="19">
        <v>0</v>
      </c>
      <c r="BB328" s="19">
        <v>1</v>
      </c>
      <c r="BC328" s="14">
        <f ca="1">INDEX('RC6SV'!$A$1:$G$20,MATCH(H328,'RC6SV'!$A$1:$A$20,FALSE),MATCH(G328,'RC6SV'!$A$1:$G$1,FALSE))</f>
        <v>9500</v>
      </c>
      <c r="BD328" s="63">
        <f t="shared" ca="1" si="39"/>
        <v>9500</v>
      </c>
      <c r="BE328" s="14">
        <f t="shared" ca="1" si="40"/>
        <v>7500</v>
      </c>
      <c r="BF328" s="14">
        <f t="shared" ca="1" si="41"/>
        <v>1</v>
      </c>
      <c r="BG328" s="20">
        <f ca="1">IF($BE328&lt;=0,ROUND(BK328*0.5,0), ROUND($BE328*S328*AA328*J328*AY328*0.8*[2]ステータス!$B$2,0))</f>
        <v>2487</v>
      </c>
      <c r="BH328" s="20">
        <f ca="1">IF($BE328&lt;=0,ROUND(BL328*0.5,0), ROUND($BE328*T328*AB328*K328*AZ328*0.8*[2]ステータス!$C$2,0))</f>
        <v>1620</v>
      </c>
      <c r="BI328" s="20">
        <f ca="1">IF($BE328&lt;=0,ROUND(BM328*0.5,0), ROUND($BE328*U328*AC328*L328*BA328*0.8*[2]ステータス!$D$2,0))</f>
        <v>0</v>
      </c>
      <c r="BJ328" s="20">
        <f ca="1">IF($BE328&lt;=0,ROUND(BN328*0.5,0), ROUND($BE328*V328*AD328*M328*BB328*0.8*[2]ステータス!$E$2,0))</f>
        <v>1459</v>
      </c>
      <c r="BK328" s="14">
        <f ca="1">ROUND(BD328*S328*AA328*J328*AY328*[2]ステータス!$B$2,0)</f>
        <v>3938</v>
      </c>
      <c r="BL328" s="14">
        <f ca="1">ROUND(BD328*T328*AB328*K328*AZ328*[2]ステータス!$C$2,0)</f>
        <v>2565</v>
      </c>
      <c r="BM328" s="14">
        <f ca="1">ROUND(BD328*U328*AC328*L328*BA328*[2]ステータス!$D$2,0)</f>
        <v>0</v>
      </c>
      <c r="BN328" s="14">
        <f ca="1">ROUND(BD328*V328*AD328*M328*BB328*[2]ステータス!$E$2,0)</f>
        <v>2310</v>
      </c>
      <c r="BO328" s="13">
        <v>0</v>
      </c>
      <c r="BP328" s="13">
        <v>1</v>
      </c>
      <c r="BQ328" s="49" t="s">
        <v>102</v>
      </c>
      <c r="BR328" s="13">
        <f ca="1">VLOOKUP(H328,ghosts_label!$A$2:$B$19,2,FALSE)</f>
        <v>5500</v>
      </c>
    </row>
    <row r="329" spans="1:70" ht="21" customHeight="1" x14ac:dyDescent="0.15">
      <c r="A329" s="14">
        <f t="shared" ca="1" si="36"/>
        <v>328</v>
      </c>
      <c r="B329" s="77" t="str">
        <f ca="1">VLOOKUP($A329,OFFSET([2]characters!$A$1,0,0,COUNTA([2]characters!$A:$A),MATCH(B$1,[2]characters!$1:$1,0)-MATCH($A$1,[2]characters!$1:$1,0)+1),MATCH(B$1,[2]characters!$1:$1,0)-MATCH($A$1,[2]characters!$1:$1,0)+1,FALSE)</f>
        <v>麒麟クエストアイコンシルエット</v>
      </c>
      <c r="C329" s="77" t="str">
        <f ca="1">VLOOKUP($A329,OFFSET([2]characters!$A$1,0,0,COUNTA([2]characters!$A:$A),MATCH(C$1,[2]characters!$1:$1,0)-MATCH($A$1,[2]characters!$1:$1,0)+1),MATCH(C$1,[2]characters!$1:$1,0)-MATCH($A$1,[2]characters!$1:$1,0)+1,FALSE)</f>
        <v>未定</v>
      </c>
      <c r="D329" s="77">
        <f ca="1">VLOOKUP($A329,OFFSET([2]characters!$A$1,0,0,COUNTA([2]characters!$A:$A),MATCH(D$1,[2]characters!$1:$1,0)-MATCH($A$1,[2]characters!$1:$1,0)+1),MATCH(D$1,[2]characters!$1:$1,0)-MATCH($A$1,[2]characters!$1:$1,0)+1,FALSE)</f>
        <v>0</v>
      </c>
      <c r="E329" s="77">
        <f ca="1">VLOOKUP($A329,OFFSET([2]characters!$A$1,0,0,COUNTA([2]characters!$A:$A),MATCH(E$1,[2]characters!$1:$1,0)-MATCH($A$1,[2]characters!$1:$1,0)+1),MATCH(E$1,[2]characters!$1:$1,0)-MATCH($A$1,[2]characters!$1:$1,0)+1,FALSE)</f>
        <v>0</v>
      </c>
      <c r="F329" s="77">
        <f ca="1">VLOOKUP($A329,OFFSET([2]characters!$A$1,0,0,COUNTA([2]characters!$A:$A),MATCH(F$1,[2]characters!$1:$1,0)-MATCH($A$1,[2]characters!$1:$1,0)+1),MATCH(F$1,[2]characters!$1:$1,0)-MATCH($A$1,[2]characters!$1:$1,0)+1,FALSE)</f>
        <v>0</v>
      </c>
      <c r="G329" s="77">
        <f ca="1">VLOOKUP($A329,OFFSET([2]characters!$A$1,0,0,COUNTA([2]characters!$A:$A),MATCH(G$1,[2]characters!$1:$1,0)-MATCH($A$1,[2]characters!$1:$1,0)+1),MATCH(G$1,[2]characters!$1:$1,0)-MATCH($A$1,[2]characters!$1:$1,0)+1,FALSE)</f>
        <v>4</v>
      </c>
      <c r="H329" s="77" t="str">
        <f ca="1">VLOOKUP($A329,OFFSET([2]characters!$A$1,0,0,COUNTA([2]characters!$A:$A),MATCH(H$1,[2]characters!$1:$1,0)-MATCH($A$1,[2]characters!$1:$1,0)+1),MATCH(H$1,[2]characters!$1:$1,0)-MATCH($A$1,[2]characters!$1:$1,0)+1,FALSE)</f>
        <v>PremiumS</v>
      </c>
      <c r="I329" s="77" t="str">
        <f ca="1">VLOOKUP($A329,OFFSET([2]characters!$A$1,0,0,COUNTA([2]characters!$A:$A),MATCH(I$1,[2]characters!$1:$1,0)-MATCH($A$1,[2]characters!$1:$1,0)+1),MATCH(I$1,[2]characters!$1:$1,0)-MATCH($A$1,[2]characters!$1:$1,0)+1,FALSE)</f>
        <v>yellow</v>
      </c>
      <c r="J329" s="14">
        <f ca="1">VLOOKUP(I329,[2]属性!$A:$E,2,FALSE)</f>
        <v>0.98</v>
      </c>
      <c r="K329" s="14">
        <f ca="1">VLOOKUP(I329,[2]属性!$A:$E,3,FALSE)</f>
        <v>1.01</v>
      </c>
      <c r="L329" s="14">
        <f ca="1">VLOOKUP(I329,[2]属性!$A:$E,4,FALSE)</f>
        <v>1</v>
      </c>
      <c r="M329" s="14">
        <f ca="1">VLOOKUP(I329,[2]属性!$A:$E,5,FALSE)</f>
        <v>1.01</v>
      </c>
      <c r="N329" s="14">
        <f ca="1">INDEX(コスト!$A$1:$I$20,MATCH(H329,コスト!$A$1:$A$20,FALSE),MATCH(G329,コスト!$A$1:$I$1,FALSE))</f>
        <v>20</v>
      </c>
      <c r="O329" s="14">
        <f ca="1">INDEX(レベル!$A$1:$I$21,MATCH(H329,レベル!$A$1:$A$21,FALSE),MATCH(G329,レベル!$A$1:$I$1,FALSE))</f>
        <v>60</v>
      </c>
      <c r="P329" s="63">
        <f t="shared" ca="1" si="42"/>
        <v>60</v>
      </c>
      <c r="Q329" s="77" t="str">
        <f ca="1">VLOOKUP($A329,OFFSET([2]characters!$A$1,0,0,COUNTA([2]characters!$A:$A),MATCH(Q$1,[2]characters!$1:$1,0)-MATCH($A$1,[2]characters!$1:$1,0)+1),MATCH(Q$1,[2]characters!$1:$1,0)-MATCH($A$1,[2]characters!$1:$1,0)+1,FALSE)</f>
        <v>none</v>
      </c>
      <c r="R329" s="8" t="str">
        <f ca="1">VLOOKUP(Q329,[2]character_type_i18n!$A:$H,3,FALSE)</f>
        <v>タイプなし</v>
      </c>
      <c r="S329" s="14">
        <f ca="1">VLOOKUP(Q329,[2]character_type_i18n!$A:$H,4,FALSE)</f>
        <v>0</v>
      </c>
      <c r="T329" s="14">
        <f ca="1">VLOOKUP(Q329,[2]character_type_i18n!$A:$H,5,FALSE)</f>
        <v>0</v>
      </c>
      <c r="U329" s="14">
        <f ca="1">VLOOKUP(Q329,[2]character_type_i18n!$A:$H,6,FALSE)</f>
        <v>0</v>
      </c>
      <c r="V329" s="14">
        <f ca="1">VLOOKUP(Q329,[2]character_type_i18n!$A:$H,7,FALSE)</f>
        <v>0</v>
      </c>
      <c r="W329" s="77" t="str">
        <f ca="1">VLOOKUP($A329,OFFSET([2]characters!$A$1,0,0,COUNTA([2]characters!$A:$A),MATCH(W$1,[2]characters!$1:$1,0)-MATCH($A$1,[2]characters!$1:$1,0)+1),MATCH(W$1,[2]characters!$1:$1,0)-MATCH($A$1,[2]characters!$1:$1,0)+1,FALSE)</f>
        <v>human</v>
      </c>
      <c r="X329" s="8" t="str">
        <f ca="1">VLOOKUP(W329,[2]character_tribe_i18n!$A:$H,3,FALSE)</f>
        <v>ヒューマン</v>
      </c>
      <c r="Y329" s="77" t="str">
        <f ca="1">VLOOKUP($A329,OFFSET([2]characters!$A$1,0,0,COUNTA([2]characters!$A:$A),MATCH(Y$1,[2]characters!$1:$1,0)-MATCH($A$1,[2]characters!$1:$1,0)+1),MATCH(Y$1,[2]characters!$1:$1,0)-MATCH($A$1,[2]characters!$1:$1,0)+1,FALSE)</f>
        <v>none</v>
      </c>
      <c r="Z329" s="8" t="str">
        <f ca="1">VLOOKUP(Y329,[2]character_tribe_i18n!$A:$H,3,FALSE)</f>
        <v>種族なし</v>
      </c>
      <c r="AA329" s="14">
        <f ca="1">VLOOKUP(W329,[2]character_tribe_i18n!$A:$H,4,FALSE)</f>
        <v>0.94</v>
      </c>
      <c r="AB329" s="14">
        <f ca="1">VLOOKUP(W329,[2]character_tribe_i18n!$A:$H,5,FALSE)</f>
        <v>0.99</v>
      </c>
      <c r="AC329" s="14">
        <f ca="1">VLOOKUP(W329,[2]character_tribe_i18n!$A:$H,6,FALSE)</f>
        <v>1</v>
      </c>
      <c r="AD329" s="14">
        <f ca="1">VLOOKUP(W329,[2]character_tribe_i18n!$A:$H,7,FALSE)</f>
        <v>1.07</v>
      </c>
      <c r="AE329" s="12">
        <v>329</v>
      </c>
      <c r="AF329" s="85" t="str">
        <f ca="1">IF(AE329="NULL","",VLOOKUP($AE329,OFFSET([2]characters!$A$1,0,0,COUNTA([2]characters!$A:$A),MATCH(AF$1,[2]characters!$1:$1,0)-MATCH($A$1,[2]characters!$1:$1,0)+1),MATCH(AF$1,[2]characters!$1:$1,0)-MATCH($A$1,[2]characters!$1:$1,0)+1,FALSE))</f>
        <v>麒麟クエストアイコンシルエット</v>
      </c>
      <c r="AG329" s="8">
        <f t="shared" ca="1" si="37"/>
        <v>328</v>
      </c>
      <c r="AH329" s="85" t="str">
        <f ca="1">VLOOKUP($AG329,OFFSET([2]characters!$A$1,0,0,COUNTA([2]characters!$A:$A),MATCH(AH$1,[2]characters!$1:$1,0)-MATCH($A$1,[2]characters!$1:$1,0)+1),MATCH(AH$1,[2]characters!$1:$1,0)-MATCH($A$1,[2]characters!$1:$1,0)+1,FALSE)</f>
        <v>麒麟クエストアイコンシルエット</v>
      </c>
      <c r="AI329" s="14">
        <f ca="1">IF(AE329="NULL","NULL",VLOOKUP(G329,ビット!$A$2:$B$7,2))</f>
        <v>50000</v>
      </c>
      <c r="AJ329" s="9">
        <v>2</v>
      </c>
      <c r="AK329" s="10" t="str">
        <f t="shared" si="38"/>
        <v>普通</v>
      </c>
      <c r="AL329" s="14" t="str">
        <f ca="1">INDEX(経験値!$A$1:$I$20,MATCH(H329,経験値!$A$1:$A$20,FALSE),MATCH(G329,経験値!$A$1:$I$1,FALSE))</f>
        <v>required_exp_200</v>
      </c>
      <c r="AM329" s="11">
        <f ca="1">VLOOKUP(G329,経験値!$A$27:$B$31,2)</f>
        <v>3400</v>
      </c>
      <c r="AN329" s="21">
        <f ca="1">VLOOKUP(G329,ビット!$G$2:$H$7,2)</f>
        <v>600</v>
      </c>
      <c r="AO329" s="98"/>
      <c r="AP329" s="158">
        <v>0</v>
      </c>
      <c r="AQ329" s="77" t="e">
        <f ca="1">VLOOKUP($AP329,OFFSET([1]unit_skills!$A$1,0,0,COUNTA([1]unit_skills!$A:$A),MATCH("name",[1]unit_skills!$1:$1,0)-MATCH($AP$1,[1]unit_skills!$1:$1,0)+1),MATCH("name",[1]unit_skills!$1:$1,0)-MATCH($AP$1,[1]unit_skills!$1:$1,0)+1,FALSE)</f>
        <v>#VALUE!</v>
      </c>
      <c r="AR329" s="77" t="e">
        <f ca="1">VLOOKUP($AP329,OFFSET([1]unit_skills!$A$1,0,0,COUNTA([1]unit_skills!$A:$A),MATCH("comment",[1]unit_skills!$1:$1,0)-MATCH($AP$1,[1]unit_skills!$1:$1,0)+1),MATCH("comment",[1]unit_skills!$1:$1,0)-MATCH($AP$1,[1]unit_skills!$1:$1,0)+1,FALSE)</f>
        <v>#VALUE!</v>
      </c>
      <c r="AS329" s="77" t="e">
        <f ca="1">VLOOKUP($AP329,OFFSET([1]unit_skills!$A$1,0,0,COUNTA([1]unit_skills!$A:$A),MATCH(AS$1,[1]unit_skills!$1:$1,0)-MATCH($AP$1,[1]unit_skills!$1:$1,0)+1),MATCH(AS$1,[1]unit_skills!$1:$1,0)-MATCH($AP$1,[1]unit_skills!$1:$1,0)+1,FALSE)</f>
        <v>#VALUE!</v>
      </c>
      <c r="AT329" s="158">
        <v>0</v>
      </c>
      <c r="AU329" s="77" t="e">
        <f ca="1">VLOOKUP($AT329,OFFSET([1]crash_skills!$A$1,0,0,COUNTA([1]crash_skills!$A:$A),MATCH("name",[1]crash_skills!$1:$1,0)-MATCH($AT$1,[1]crash_skills!$1:$1,0)+1),MATCH("name",[1]crash_skills!$1:$1,0)-MATCH($AT$1,[1]crash_skills!$1:$1,0)+1,FALSE)</f>
        <v>#VALUE!</v>
      </c>
      <c r="AV329" s="77" t="e">
        <f ca="1">VLOOKUP($AT329,OFFSET([1]crash_skills!$A$1,0,0,COUNTA([1]crash_skills!$A:$A),MATCH("comment",[1]crash_skills!$1:$1,0)-MATCH($AT$1,[1]crash_skills!$1:$1,0)+1),MATCH("comment",[1]crash_skills!$1:$1,0)-MATCH($AT$1,[1]crash_skills!$1:$1,0)+1,FALSE)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29" s="77" t="e">
        <f ca="1">VLOOKUP($AT329,OFFSET([1]crash_skills!$A$1,0,0,COUNTA([1]crash_skills!$A:$A),MATCH(AW$1,[1]crash_skills!$1:$1,0)-MATCH($AT$1,[1]crash_skills!$1:$1,0)+1),MATCH(AW$1,[1]crash_skills!$1:$1,0)-MATCH($AT$1,[1]crash_skills!$1:$1,0)+1,FALSE)</f>
        <v>#VALUE!</v>
      </c>
      <c r="AX329" s="81">
        <f ca="1">VLOOKUP($A329,OFFSET([2]characters!$A$1,0,0,COUNTA([2]characters!$A:$A),MATCH(AX$1,[2]characters!$1:$1,0)-MATCH($A$1,[2]characters!$1:$1,0)+1),MATCH(AX$1,[2]characters!$1:$1,0)-MATCH($A$1,[2]characters!$1:$1,0)+1,FALSE)</f>
        <v>3</v>
      </c>
      <c r="AY329" s="19">
        <v>1</v>
      </c>
      <c r="AZ329" s="19">
        <v>1</v>
      </c>
      <c r="BA329" s="19">
        <v>0</v>
      </c>
      <c r="BB329" s="19">
        <v>1</v>
      </c>
      <c r="BC329" s="14">
        <f ca="1">INDEX('RC6SV'!$A$1:$G$20,MATCH(H329,'RC6SV'!$A$1:$A$20,FALSE),MATCH(G329,'RC6SV'!$A$1:$G$1,FALSE))</f>
        <v>7000</v>
      </c>
      <c r="BD329" s="63">
        <f t="shared" ca="1" si="39"/>
        <v>7000</v>
      </c>
      <c r="BE329" s="14">
        <f t="shared" ca="1" si="40"/>
        <v>0</v>
      </c>
      <c r="BF329" s="14">
        <f t="shared" ca="1" si="41"/>
        <v>1</v>
      </c>
      <c r="BG329" s="20">
        <f ca="1">IF($BE329&lt;=0,ROUND(BK329*0.5,0), ROUND($BE329*S329*AA329*J329*AY329*0.8*[2]ステータス!$B$2,0))</f>
        <v>0</v>
      </c>
      <c r="BH329" s="20">
        <f ca="1">IF($BE329&lt;=0,ROUND(BL329*0.5,0), ROUND($BE329*T329*AB329*K329*AZ329*0.8*[2]ステータス!$C$2,0))</f>
        <v>0</v>
      </c>
      <c r="BI329" s="20">
        <f ca="1">IF($BE329&lt;=0,ROUND(BM329*0.5,0), ROUND($BE329*U329*AC329*L329*BA329*0.8*[2]ステータス!$D$2,0))</f>
        <v>0</v>
      </c>
      <c r="BJ329" s="20">
        <f ca="1">IF($BE329&lt;=0,ROUND(BN329*0.5,0), ROUND($BE329*V329*AD329*M329*BB329*0.8*[2]ステータス!$E$2,0))</f>
        <v>0</v>
      </c>
      <c r="BK329" s="14">
        <f ca="1">ROUND(BD329*S329*AA329*J329*AY329*[2]ステータス!$B$2,0)</f>
        <v>0</v>
      </c>
      <c r="BL329" s="14">
        <f ca="1">ROUND(BD329*T329*AB329*K329*AZ329*[2]ステータス!$C$2,0)</f>
        <v>0</v>
      </c>
      <c r="BM329" s="14">
        <f ca="1">ROUND(BD329*U329*AC329*L329*BA329*[2]ステータス!$D$2,0)</f>
        <v>0</v>
      </c>
      <c r="BN329" s="14">
        <f ca="1">ROUND(BD329*V329*AD329*M329*BB329*[2]ステータス!$E$2,0)</f>
        <v>0</v>
      </c>
      <c r="BO329" s="13">
        <v>0</v>
      </c>
      <c r="BP329" s="13">
        <v>1</v>
      </c>
      <c r="BQ329" s="49" t="s">
        <v>102</v>
      </c>
      <c r="BR329" s="13">
        <f ca="1">VLOOKUP(H329,ghosts_label!$A$2:$B$19,2,FALSE)</f>
        <v>700</v>
      </c>
    </row>
    <row r="330" spans="1:70" ht="21" customHeight="1" x14ac:dyDescent="0.15">
      <c r="A330" s="14">
        <f t="shared" ca="1" si="36"/>
        <v>329</v>
      </c>
      <c r="B330" s="77" t="str">
        <f ca="1">VLOOKUP($A330,OFFSET([2]characters!$A$1,0,0,COUNTA([2]characters!$A:$A),MATCH(B$1,[2]characters!$1:$1,0)-MATCH($A$1,[2]characters!$1:$1,0)+1),MATCH(B$1,[2]characters!$1:$1,0)-MATCH($A$1,[2]characters!$1:$1,0)+1,FALSE)</f>
        <v>麒麟クエストアイコンシルエット</v>
      </c>
      <c r="C330" s="77" t="str">
        <f ca="1">VLOOKUP($A330,OFFSET([2]characters!$A$1,0,0,COUNTA([2]characters!$A:$A),MATCH(C$1,[2]characters!$1:$1,0)-MATCH($A$1,[2]characters!$1:$1,0)+1),MATCH(C$1,[2]characters!$1:$1,0)-MATCH($A$1,[2]characters!$1:$1,0)+1,FALSE)</f>
        <v>未定</v>
      </c>
      <c r="D330" s="77">
        <f ca="1">VLOOKUP($A330,OFFSET([2]characters!$A$1,0,0,COUNTA([2]characters!$A:$A),MATCH(D$1,[2]characters!$1:$1,0)-MATCH($A$1,[2]characters!$1:$1,0)+1),MATCH(D$1,[2]characters!$1:$1,0)-MATCH($A$1,[2]characters!$1:$1,0)+1,FALSE)</f>
        <v>0</v>
      </c>
      <c r="E330" s="77">
        <f ca="1">VLOOKUP($A330,OFFSET([2]characters!$A$1,0,0,COUNTA([2]characters!$A:$A),MATCH(E$1,[2]characters!$1:$1,0)-MATCH($A$1,[2]characters!$1:$1,0)+1),MATCH(E$1,[2]characters!$1:$1,0)-MATCH($A$1,[2]characters!$1:$1,0)+1,FALSE)</f>
        <v>0</v>
      </c>
      <c r="F330" s="77">
        <f ca="1">VLOOKUP($A330,OFFSET([2]characters!$A$1,0,0,COUNTA([2]characters!$A:$A),MATCH(F$1,[2]characters!$1:$1,0)-MATCH($A$1,[2]characters!$1:$1,0)+1),MATCH(F$1,[2]characters!$1:$1,0)-MATCH($A$1,[2]characters!$1:$1,0)+1,FALSE)</f>
        <v>0</v>
      </c>
      <c r="G330" s="77">
        <f ca="1">VLOOKUP($A330,OFFSET([2]characters!$A$1,0,0,COUNTA([2]characters!$A:$A),MATCH(G$1,[2]characters!$1:$1,0)-MATCH($A$1,[2]characters!$1:$1,0)+1),MATCH(G$1,[2]characters!$1:$1,0)-MATCH($A$1,[2]characters!$1:$1,0)+1,FALSE)</f>
        <v>5</v>
      </c>
      <c r="H330" s="77" t="str">
        <f ca="1">VLOOKUP($A330,OFFSET([2]characters!$A$1,0,0,COUNTA([2]characters!$A:$A),MATCH(H$1,[2]characters!$1:$1,0)-MATCH($A$1,[2]characters!$1:$1,0)+1),MATCH(H$1,[2]characters!$1:$1,0)-MATCH($A$1,[2]characters!$1:$1,0)+1,FALSE)</f>
        <v>PremiumS</v>
      </c>
      <c r="I330" s="77" t="str">
        <f ca="1">VLOOKUP($A330,OFFSET([2]characters!$A$1,0,0,COUNTA([2]characters!$A:$A),MATCH(I$1,[2]characters!$1:$1,0)-MATCH($A$1,[2]characters!$1:$1,0)+1),MATCH(I$1,[2]characters!$1:$1,0)-MATCH($A$1,[2]characters!$1:$1,0)+1,FALSE)</f>
        <v>yellow</v>
      </c>
      <c r="J330" s="14">
        <f ca="1">VLOOKUP(I330,[2]属性!$A:$E,2,FALSE)</f>
        <v>0.98</v>
      </c>
      <c r="K330" s="14">
        <f ca="1">VLOOKUP(I330,[2]属性!$A:$E,3,FALSE)</f>
        <v>1.01</v>
      </c>
      <c r="L330" s="14">
        <f ca="1">VLOOKUP(I330,[2]属性!$A:$E,4,FALSE)</f>
        <v>1</v>
      </c>
      <c r="M330" s="14">
        <f ca="1">VLOOKUP(I330,[2]属性!$A:$E,5,FALSE)</f>
        <v>1.01</v>
      </c>
      <c r="N330" s="14">
        <f ca="1">INDEX(コスト!$A$1:$I$20,MATCH(H330,コスト!$A$1:$A$20,FALSE),MATCH(G330,コスト!$A$1:$I$1,FALSE))</f>
        <v>30</v>
      </c>
      <c r="O330" s="14">
        <f ca="1">INDEX(レベル!$A$1:$I$21,MATCH(H330,レベル!$A$1:$A$21,FALSE),MATCH(G330,レベル!$A$1:$I$1,FALSE))</f>
        <v>80</v>
      </c>
      <c r="P330" s="63">
        <f t="shared" ca="1" si="42"/>
        <v>75</v>
      </c>
      <c r="Q330" s="77" t="str">
        <f ca="1">VLOOKUP($A330,OFFSET([2]characters!$A$1,0,0,COUNTA([2]characters!$A:$A),MATCH(Q$1,[2]characters!$1:$1,0)-MATCH($A$1,[2]characters!$1:$1,0)+1),MATCH(Q$1,[2]characters!$1:$1,0)-MATCH($A$1,[2]characters!$1:$1,0)+1,FALSE)</f>
        <v>none</v>
      </c>
      <c r="R330" s="8" t="str">
        <f ca="1">VLOOKUP(Q330,[2]character_type_i18n!$A:$H,3,FALSE)</f>
        <v>タイプなし</v>
      </c>
      <c r="S330" s="14">
        <f ca="1">VLOOKUP(Q330,[2]character_type_i18n!$A:$H,4,FALSE)</f>
        <v>0</v>
      </c>
      <c r="T330" s="14">
        <f ca="1">VLOOKUP(Q330,[2]character_type_i18n!$A:$H,5,FALSE)</f>
        <v>0</v>
      </c>
      <c r="U330" s="14">
        <f ca="1">VLOOKUP(Q330,[2]character_type_i18n!$A:$H,6,FALSE)</f>
        <v>0</v>
      </c>
      <c r="V330" s="14">
        <f ca="1">VLOOKUP(Q330,[2]character_type_i18n!$A:$H,7,FALSE)</f>
        <v>0</v>
      </c>
      <c r="W330" s="77" t="str">
        <f ca="1">VLOOKUP($A330,OFFSET([2]characters!$A$1,0,0,COUNTA([2]characters!$A:$A),MATCH(W$1,[2]characters!$1:$1,0)-MATCH($A$1,[2]characters!$1:$1,0)+1),MATCH(W$1,[2]characters!$1:$1,0)-MATCH($A$1,[2]characters!$1:$1,0)+1,FALSE)</f>
        <v>human</v>
      </c>
      <c r="X330" s="8" t="str">
        <f ca="1">VLOOKUP(W330,[2]character_tribe_i18n!$A:$H,3,FALSE)</f>
        <v>ヒューマン</v>
      </c>
      <c r="Y330" s="77" t="str">
        <f ca="1">VLOOKUP($A330,OFFSET([2]characters!$A$1,0,0,COUNTA([2]characters!$A:$A),MATCH(Y$1,[2]characters!$1:$1,0)-MATCH($A$1,[2]characters!$1:$1,0)+1),MATCH(Y$1,[2]characters!$1:$1,0)-MATCH($A$1,[2]characters!$1:$1,0)+1,FALSE)</f>
        <v>none</v>
      </c>
      <c r="Z330" s="8" t="str">
        <f ca="1">VLOOKUP(Y330,[2]character_tribe_i18n!$A:$H,3,FALSE)</f>
        <v>種族なし</v>
      </c>
      <c r="AA330" s="14">
        <f ca="1">VLOOKUP(W330,[2]character_tribe_i18n!$A:$H,4,FALSE)</f>
        <v>0.94</v>
      </c>
      <c r="AB330" s="14">
        <f ca="1">VLOOKUP(W330,[2]character_tribe_i18n!$A:$H,5,FALSE)</f>
        <v>0.99</v>
      </c>
      <c r="AC330" s="14">
        <f ca="1">VLOOKUP(W330,[2]character_tribe_i18n!$A:$H,6,FALSE)</f>
        <v>1</v>
      </c>
      <c r="AD330" s="14">
        <f ca="1">VLOOKUP(W330,[2]character_tribe_i18n!$A:$H,7,FALSE)</f>
        <v>1.07</v>
      </c>
      <c r="AE330" s="12" t="s">
        <v>234</v>
      </c>
      <c r="AF330" s="85" t="str">
        <f ca="1">IF(AE330="NULL","",VLOOKUP($AE330,OFFSET([2]characters!$A$1,0,0,COUNTA([2]characters!$A:$A),MATCH(AF$1,[2]characters!$1:$1,0)-MATCH($A$1,[2]characters!$1:$1,0)+1),MATCH(AF$1,[2]characters!$1:$1,0)-MATCH($A$1,[2]characters!$1:$1,0)+1,FALSE))</f>
        <v/>
      </c>
      <c r="AG330" s="8">
        <f t="shared" ca="1" si="37"/>
        <v>328</v>
      </c>
      <c r="AH330" s="85" t="str">
        <f ca="1">VLOOKUP($AG330,OFFSET([2]characters!$A$1,0,0,COUNTA([2]characters!$A:$A),MATCH(AH$1,[2]characters!$1:$1,0)-MATCH($A$1,[2]characters!$1:$1,0)+1),MATCH(AH$1,[2]characters!$1:$1,0)-MATCH($A$1,[2]characters!$1:$1,0)+1,FALSE)</f>
        <v>麒麟クエストアイコンシルエット</v>
      </c>
      <c r="AI330" s="14" t="str">
        <f>IF(AE330="NULL","NULL",VLOOKUP(G330,ビット!$A$2:$B$7,2))</f>
        <v>NULL</v>
      </c>
      <c r="AJ330" s="9">
        <v>2</v>
      </c>
      <c r="AK330" s="10" t="str">
        <f t="shared" si="38"/>
        <v>普通</v>
      </c>
      <c r="AL330" s="14" t="str">
        <f ca="1">INDEX(経験値!$A$1:$I$20,MATCH(H330,経験値!$A$1:$A$20,FALSE),MATCH(G330,経験値!$A$1:$I$1,FALSE))</f>
        <v>required_exp_200</v>
      </c>
      <c r="AM330" s="11">
        <f ca="1">VLOOKUP(G330,経験値!$A$27:$B$31,2)</f>
        <v>6400</v>
      </c>
      <c r="AN330" s="21">
        <f ca="1">VLOOKUP(G330,ビット!$G$2:$H$7,2)</f>
        <v>900</v>
      </c>
      <c r="AO330" s="98"/>
      <c r="AP330" s="4">
        <v>0</v>
      </c>
      <c r="AQ330" s="77" t="e">
        <f ca="1">VLOOKUP($AP330,OFFSET([1]unit_skills!$A$1,0,0,COUNTA([1]unit_skills!$A:$A),MATCH("name",[1]unit_skills!$1:$1,0)-MATCH($AP$1,[1]unit_skills!$1:$1,0)+1),MATCH("name",[1]unit_skills!$1:$1,0)-MATCH($AP$1,[1]unit_skills!$1:$1,0)+1,FALSE)</f>
        <v>#VALUE!</v>
      </c>
      <c r="AR330" s="77" t="e">
        <f ca="1">VLOOKUP($AP330,OFFSET([1]unit_skills!$A$1,0,0,COUNTA([1]unit_skills!$A:$A),MATCH("comment",[1]unit_skills!$1:$1,0)-MATCH($AP$1,[1]unit_skills!$1:$1,0)+1),MATCH("comment",[1]unit_skills!$1:$1,0)-MATCH($AP$1,[1]unit_skills!$1:$1,0)+1,FALSE)</f>
        <v>#VALUE!</v>
      </c>
      <c r="AS330" s="77" t="e">
        <f ca="1">VLOOKUP($AP330,OFFSET([1]unit_skills!$A$1,0,0,COUNTA([1]unit_skills!$A:$A),MATCH(AS$1,[1]unit_skills!$1:$1,0)-MATCH($AP$1,[1]unit_skills!$1:$1,0)+1),MATCH(AS$1,[1]unit_skills!$1:$1,0)-MATCH($AP$1,[1]unit_skills!$1:$1,0)+1,FALSE)</f>
        <v>#VALUE!</v>
      </c>
      <c r="AT330" s="158">
        <v>0</v>
      </c>
      <c r="AU330" s="77" t="e">
        <f ca="1">VLOOKUP($AT330,OFFSET([1]crash_skills!$A$1,0,0,COUNTA([1]crash_skills!$A:$A),MATCH("name",[1]crash_skills!$1:$1,0)-MATCH($AT$1,[1]crash_skills!$1:$1,0)+1),MATCH("name",[1]crash_skills!$1:$1,0)-MATCH($AT$1,[1]crash_skills!$1:$1,0)+1,FALSE)</f>
        <v>#VALUE!</v>
      </c>
      <c r="AV330" s="77" t="e">
        <f ca="1">VLOOKUP($AT330,OFFSET([1]crash_skills!$A$1,0,0,COUNTA([1]crash_skills!$A:$A),MATCH("comment",[1]crash_skills!$1:$1,0)-MATCH($AT$1,[1]crash_skills!$1:$1,0)+1),MATCH("comment",[1]crash_skills!$1:$1,0)-MATCH($AT$1,[1]crash_skills!$1:$1,0)+1,FALSE)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30" s="77" t="e">
        <f ca="1">VLOOKUP($AT330,OFFSET([1]crash_skills!$A$1,0,0,COUNTA([1]crash_skills!$A:$A),MATCH(AW$1,[1]crash_skills!$1:$1,0)-MATCH($AT$1,[1]crash_skills!$1:$1,0)+1),MATCH(AW$1,[1]crash_skills!$1:$1,0)-MATCH($AT$1,[1]crash_skills!$1:$1,0)+1,FALSE)</f>
        <v>#VALUE!</v>
      </c>
      <c r="AX330" s="81">
        <f ca="1">VLOOKUP($A330,OFFSET([2]characters!$A$1,0,0,COUNTA([2]characters!$A:$A),MATCH(AX$1,[2]characters!$1:$1,0)-MATCH($A$1,[2]characters!$1:$1,0)+1),MATCH(AX$1,[2]characters!$1:$1,0)-MATCH($A$1,[2]characters!$1:$1,0)+1,FALSE)</f>
        <v>1</v>
      </c>
      <c r="AY330" s="19">
        <v>1</v>
      </c>
      <c r="AZ330" s="19">
        <v>1</v>
      </c>
      <c r="BA330" s="19">
        <v>0</v>
      </c>
      <c r="BB330" s="19">
        <v>1</v>
      </c>
      <c r="BC330" s="14">
        <f ca="1">INDEX('RC6SV'!$A$1:$G$20,MATCH(H330,'RC6SV'!$A$1:$A$20,FALSE),MATCH(G330,'RC6SV'!$A$1:$G$1,FALSE))</f>
        <v>9000</v>
      </c>
      <c r="BD330" s="63">
        <f t="shared" ca="1" si="39"/>
        <v>9000</v>
      </c>
      <c r="BE330" s="14">
        <f t="shared" ca="1" si="40"/>
        <v>7000</v>
      </c>
      <c r="BF330" s="14">
        <f t="shared" ca="1" si="41"/>
        <v>1</v>
      </c>
      <c r="BG330" s="20">
        <f ca="1">IF($BE330&lt;=0,ROUND(BK330*0.5,0), ROUND($BE330*S330*AA330*J330*AY330*0.8*[2]ステータス!$B$2,0))</f>
        <v>0</v>
      </c>
      <c r="BH330" s="20">
        <f ca="1">IF($BE330&lt;=0,ROUND(BL330*0.5,0), ROUND($BE330*T330*AB330*K330*AZ330*0.8*[2]ステータス!$C$2,0))</f>
        <v>0</v>
      </c>
      <c r="BI330" s="20">
        <f ca="1">IF($BE330&lt;=0,ROUND(BM330*0.5,0), ROUND($BE330*U330*AC330*L330*BA330*0.8*[2]ステータス!$D$2,0))</f>
        <v>0</v>
      </c>
      <c r="BJ330" s="20">
        <f ca="1">IF($BE330&lt;=0,ROUND(BN330*0.5,0), ROUND($BE330*V330*AD330*M330*BB330*0.8*[2]ステータス!$E$2,0))</f>
        <v>0</v>
      </c>
      <c r="BK330" s="14">
        <f ca="1">ROUND(BD330*S330*AA330*J330*AY330*[2]ステータス!$B$2,0)</f>
        <v>0</v>
      </c>
      <c r="BL330" s="14">
        <f ca="1">ROUND(BD330*T330*AB330*K330*AZ330*[2]ステータス!$C$2,0)</f>
        <v>0</v>
      </c>
      <c r="BM330" s="14">
        <f ca="1">ROUND(BD330*U330*AC330*L330*BA330*[2]ステータス!$D$2,0)</f>
        <v>0</v>
      </c>
      <c r="BN330" s="14">
        <f ca="1">ROUND(BD330*V330*AD330*M330*BB330*[2]ステータス!$E$2,0)</f>
        <v>0</v>
      </c>
      <c r="BO330" s="13">
        <v>0</v>
      </c>
      <c r="BP330" s="13">
        <v>1</v>
      </c>
      <c r="BQ330" s="49" t="s">
        <v>102</v>
      </c>
      <c r="BR330" s="13">
        <f ca="1">VLOOKUP(H330,ghosts_label!$A$2:$B$19,2,FALSE)</f>
        <v>700</v>
      </c>
    </row>
    <row r="331" spans="1:70" ht="21" customHeight="1" x14ac:dyDescent="0.15">
      <c r="A331" s="14">
        <f t="shared" ca="1" si="36"/>
        <v>330</v>
      </c>
      <c r="B331" s="77" t="str">
        <f ca="1">VLOOKUP($A331,OFFSET([2]characters!$A$1,0,0,COUNTA([2]characters!$A:$A),MATCH(B$1,[2]characters!$1:$1,0)-MATCH($A$1,[2]characters!$1:$1,0)+1),MATCH(B$1,[2]characters!$1:$1,0)-MATCH($A$1,[2]characters!$1:$1,0)+1,FALSE)</f>
        <v>Usagi-chan</v>
      </c>
      <c r="C331" s="77" t="str">
        <f ca="1">VLOOKUP($A331,OFFSET([2]characters!$A$1,0,0,COUNTA([2]characters!$A:$A),MATCH(C$1,[2]characters!$1:$1,0)-MATCH($A$1,[2]characters!$1:$1,0)+1),MATCH(C$1,[2]characters!$1:$1,0)-MATCH($A$1,[2]characters!$1:$1,0)+1,FALSE)</f>
        <v>未定</v>
      </c>
      <c r="D331" s="77">
        <f ca="1">VLOOKUP($A331,OFFSET([2]characters!$A$1,0,0,COUNTA([2]characters!$A:$A),MATCH(D$1,[2]characters!$1:$1,0)-MATCH($A$1,[2]characters!$1:$1,0)+1),MATCH(D$1,[2]characters!$1:$1,0)-MATCH($A$1,[2]characters!$1:$1,0)+1,FALSE)</f>
        <v>0</v>
      </c>
      <c r="E331" s="77">
        <f ca="1">VLOOKUP($A331,OFFSET([2]characters!$A$1,0,0,COUNTA([2]characters!$A:$A),MATCH(E$1,[2]characters!$1:$1,0)-MATCH($A$1,[2]characters!$1:$1,0)+1),MATCH(E$1,[2]characters!$1:$1,0)-MATCH($A$1,[2]characters!$1:$1,0)+1,FALSE)</f>
        <v>0</v>
      </c>
      <c r="F331" s="77">
        <f ca="1">VLOOKUP($A331,OFFSET([2]characters!$A$1,0,0,COUNTA([2]characters!$A:$A),MATCH(F$1,[2]characters!$1:$1,0)-MATCH($A$1,[2]characters!$1:$1,0)+1),MATCH(F$1,[2]characters!$1:$1,0)-MATCH($A$1,[2]characters!$1:$1,0)+1,FALSE)</f>
        <v>0</v>
      </c>
      <c r="G331" s="77">
        <f ca="1">VLOOKUP($A331,OFFSET([2]characters!$A$1,0,0,COUNTA([2]characters!$A:$A),MATCH(G$1,[2]characters!$1:$1,0)-MATCH($A$1,[2]characters!$1:$1,0)+1),MATCH(G$1,[2]characters!$1:$1,0)-MATCH($A$1,[2]characters!$1:$1,0)+1,FALSE)</f>
        <v>4</v>
      </c>
      <c r="H331" s="77" t="str">
        <f ca="1">VLOOKUP($A331,OFFSET([2]characters!$A$1,0,0,COUNTA([2]characters!$A:$A),MATCH(H$1,[2]characters!$1:$1,0)-MATCH($A$1,[2]characters!$1:$1,0)+1),MATCH(H$1,[2]characters!$1:$1,0)-MATCH($A$1,[2]characters!$1:$1,0)+1,FALSE)</f>
        <v>DropWizSSS</v>
      </c>
      <c r="I331" s="77" t="str">
        <f ca="1">VLOOKUP($A331,OFFSET([2]characters!$A$1,0,0,COUNTA([2]characters!$A:$A),MATCH(I$1,[2]characters!$1:$1,0)-MATCH($A$1,[2]characters!$1:$1,0)+1),MATCH(I$1,[2]characters!$1:$1,0)-MATCH($A$1,[2]characters!$1:$1,0)+1,FALSE)</f>
        <v>blue</v>
      </c>
      <c r="J331" s="14">
        <f ca="1">VLOOKUP(I331,[2]属性!$A:$E,2,FALSE)</f>
        <v>1</v>
      </c>
      <c r="K331" s="14">
        <f ca="1">VLOOKUP(I331,[2]属性!$A:$E,3,FALSE)</f>
        <v>0.98</v>
      </c>
      <c r="L331" s="14">
        <f ca="1">VLOOKUP(I331,[2]属性!$A:$E,4,FALSE)</f>
        <v>1</v>
      </c>
      <c r="M331" s="14">
        <f ca="1">VLOOKUP(I331,[2]属性!$A:$E,5,FALSE)</f>
        <v>1.02</v>
      </c>
      <c r="N331" s="14">
        <f ca="1">INDEX(コスト!$A$1:$I$20,MATCH(H331,コスト!$A$1:$A$20,FALSE),MATCH(G331,コスト!$A$1:$I$1,FALSE))</f>
        <v>30</v>
      </c>
      <c r="O331" s="14">
        <f ca="1">INDEX(レベル!$A$1:$I$21,MATCH(H331,レベル!$A$1:$A$21,FALSE),MATCH(G331,レベル!$A$1:$I$1,FALSE))</f>
        <v>60</v>
      </c>
      <c r="P331" s="63">
        <f t="shared" ca="1" si="42"/>
        <v>60</v>
      </c>
      <c r="Q331" s="77" t="str">
        <f ca="1">VLOOKUP($A331,OFFSET([2]characters!$A$1,0,0,COUNTA([2]characters!$A:$A),MATCH(Q$1,[2]characters!$1:$1,0)-MATCH($A$1,[2]characters!$1:$1,0)+1),MATCH(Q$1,[2]characters!$1:$1,0)-MATCH($A$1,[2]characters!$1:$1,0)+1,FALSE)</f>
        <v>balance</v>
      </c>
      <c r="R331" s="8" t="str">
        <f ca="1">VLOOKUP(Q331,[2]character_type_i18n!$A:$H,3,FALSE)</f>
        <v>バランスタイプ</v>
      </c>
      <c r="S331" s="14">
        <f ca="1">VLOOKUP(Q331,[2]character_type_i18n!$A:$H,4,FALSE)</f>
        <v>1</v>
      </c>
      <c r="T331" s="14">
        <f ca="1">VLOOKUP(Q331,[2]character_type_i18n!$A:$H,5,FALSE)</f>
        <v>1</v>
      </c>
      <c r="U331" s="14">
        <f ca="1">VLOOKUP(Q331,[2]character_type_i18n!$A:$H,6,FALSE)</f>
        <v>1</v>
      </c>
      <c r="V331" s="14">
        <f ca="1">VLOOKUP(Q331,[2]character_type_i18n!$A:$H,7,FALSE)</f>
        <v>1</v>
      </c>
      <c r="W331" s="77" t="str">
        <f ca="1">VLOOKUP($A331,OFFSET([2]characters!$A$1,0,0,COUNTA([2]characters!$A:$A),MATCH(W$1,[2]characters!$1:$1,0)-MATCH($A$1,[2]characters!$1:$1,0)+1),MATCH(W$1,[2]characters!$1:$1,0)-MATCH($A$1,[2]characters!$1:$1,0)+1,FALSE)</f>
        <v>machine</v>
      </c>
      <c r="X331" s="8" t="str">
        <f ca="1">VLOOKUP(W331,[2]character_tribe_i18n!$A:$H,3,FALSE)</f>
        <v>マシン</v>
      </c>
      <c r="Y331" s="77" t="str">
        <f ca="1">VLOOKUP($A331,OFFSET([2]characters!$A$1,0,0,COUNTA([2]characters!$A:$A),MATCH(Y$1,[2]characters!$1:$1,0)-MATCH($A$1,[2]characters!$1:$1,0)+1),MATCH(Y$1,[2]characters!$1:$1,0)-MATCH($A$1,[2]characters!$1:$1,0)+1,FALSE)</f>
        <v>god</v>
      </c>
      <c r="Z331" s="8" t="str">
        <f ca="1">VLOOKUP(Y331,[2]character_tribe_i18n!$A:$H,3,FALSE)</f>
        <v>ゴッド</v>
      </c>
      <c r="AA331" s="14">
        <f ca="1">VLOOKUP(W331,[2]character_tribe_i18n!$A:$H,4,FALSE)</f>
        <v>1</v>
      </c>
      <c r="AB331" s="14">
        <f ca="1">VLOOKUP(W331,[2]character_tribe_i18n!$A:$H,5,FALSE)</f>
        <v>1</v>
      </c>
      <c r="AC331" s="14">
        <f ca="1">VLOOKUP(W331,[2]character_tribe_i18n!$A:$H,6,FALSE)</f>
        <v>1</v>
      </c>
      <c r="AD331" s="14">
        <f ca="1">VLOOKUP(W331,[2]character_tribe_i18n!$A:$H,7,FALSE)</f>
        <v>1</v>
      </c>
      <c r="AE331" s="12">
        <v>331</v>
      </c>
      <c r="AF331" s="85" t="str">
        <f ca="1">IF(AE331="NULL","",VLOOKUP($AE331,OFFSET([2]characters!$A$1,0,0,COUNTA([2]characters!$A:$A),MATCH(AF$1,[2]characters!$1:$1,0)-MATCH($A$1,[2]characters!$1:$1,0)+1),MATCH(AF$1,[2]characters!$1:$1,0)-MATCH($A$1,[2]characters!$1:$1,0)+1,FALSE))</f>
        <v>オーディンクエストアイコンシルエット</v>
      </c>
      <c r="AG331" s="8">
        <f t="shared" ca="1" si="37"/>
        <v>330</v>
      </c>
      <c r="AH331" s="85" t="str">
        <f ca="1">VLOOKUP($AG331,OFFSET([2]characters!$A$1,0,0,COUNTA([2]characters!$A:$A),MATCH(AH$1,[2]characters!$1:$1,0)-MATCH($A$1,[2]characters!$1:$1,0)+1),MATCH(AH$1,[2]characters!$1:$1,0)-MATCH($A$1,[2]characters!$1:$1,0)+1,FALSE)</f>
        <v>Usagi-chan</v>
      </c>
      <c r="AI331" s="14">
        <f ca="1">IF(AE331="NULL","NULL",VLOOKUP(G331,ビット!$A$2:$B$7,2))</f>
        <v>50000</v>
      </c>
      <c r="AJ331" s="9">
        <v>2</v>
      </c>
      <c r="AK331" s="10" t="str">
        <f t="shared" si="38"/>
        <v>普通</v>
      </c>
      <c r="AL331" s="14" t="str">
        <f ca="1">INDEX(経験値!$A$1:$I$20,MATCH(H331,経験値!$A$1:$A$20,FALSE),MATCH(G331,経験値!$A$1:$I$1,FALSE))</f>
        <v>required_exp_250</v>
      </c>
      <c r="AM331" s="11">
        <f ca="1">VLOOKUP(G331,経験値!$A$27:$B$31,2)</f>
        <v>3400</v>
      </c>
      <c r="AN331" s="21">
        <f ca="1">VLOOKUP(G331,ビット!$G$2:$H$7,2)</f>
        <v>600</v>
      </c>
      <c r="AO331" s="98"/>
      <c r="AP331" s="4">
        <v>0</v>
      </c>
      <c r="AQ331" s="77" t="e">
        <f ca="1">VLOOKUP($AP331,OFFSET([1]unit_skills!$A$1,0,0,COUNTA([1]unit_skills!$A:$A),MATCH("name",[1]unit_skills!$1:$1,0)-MATCH($AP$1,[1]unit_skills!$1:$1,0)+1),MATCH("name",[1]unit_skills!$1:$1,0)-MATCH($AP$1,[1]unit_skills!$1:$1,0)+1,FALSE)</f>
        <v>#VALUE!</v>
      </c>
      <c r="AR331" s="77" t="e">
        <f ca="1">VLOOKUP($AP331,OFFSET([1]unit_skills!$A$1,0,0,COUNTA([1]unit_skills!$A:$A),MATCH("comment",[1]unit_skills!$1:$1,0)-MATCH($AP$1,[1]unit_skills!$1:$1,0)+1),MATCH("comment",[1]unit_skills!$1:$1,0)-MATCH($AP$1,[1]unit_skills!$1:$1,0)+1,FALSE)</f>
        <v>#VALUE!</v>
      </c>
      <c r="AS331" s="77" t="e">
        <f ca="1">VLOOKUP($AP331,OFFSET([1]unit_skills!$A$1,0,0,COUNTA([1]unit_skills!$A:$A),MATCH(AS$1,[1]unit_skills!$1:$1,0)-MATCH($AP$1,[1]unit_skills!$1:$1,0)+1),MATCH(AS$1,[1]unit_skills!$1:$1,0)-MATCH($AP$1,[1]unit_skills!$1:$1,0)+1,FALSE)</f>
        <v>#VALUE!</v>
      </c>
      <c r="AT331" s="158">
        <v>0</v>
      </c>
      <c r="AU331" s="77" t="e">
        <f ca="1">VLOOKUP($AT331,OFFSET([1]crash_skills!$A$1,0,0,COUNTA([1]crash_skills!$A:$A),MATCH("name",[1]crash_skills!$1:$1,0)-MATCH($AT$1,[1]crash_skills!$1:$1,0)+1),MATCH("name",[1]crash_skills!$1:$1,0)-MATCH($AT$1,[1]crash_skills!$1:$1,0)+1,FALSE)</f>
        <v>#VALUE!</v>
      </c>
      <c r="AV331" s="77" t="e">
        <f ca="1">VLOOKUP($AT331,OFFSET([1]crash_skills!$A$1,0,0,COUNTA([1]crash_skills!$A:$A),MATCH("comment",[1]crash_skills!$1:$1,0)-MATCH($AT$1,[1]crash_skills!$1:$1,0)+1),MATCH("comment",[1]crash_skills!$1:$1,0)-MATCH($AT$1,[1]crash_skills!$1:$1,0)+1,FALSE)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31" s="77" t="e">
        <f ca="1">VLOOKUP($AT331,OFFSET([1]crash_skills!$A$1,0,0,COUNTA([1]crash_skills!$A:$A),MATCH(AW$1,[1]crash_skills!$1:$1,0)-MATCH($AT$1,[1]crash_skills!$1:$1,0)+1),MATCH(AW$1,[1]crash_skills!$1:$1,0)-MATCH($AT$1,[1]crash_skills!$1:$1,0)+1,FALSE)</f>
        <v>#VALUE!</v>
      </c>
      <c r="AX331" s="81">
        <f ca="1">VLOOKUP($A331,OFFSET([2]characters!$A$1,0,0,COUNTA([2]characters!$A:$A),MATCH(AX$1,[2]characters!$1:$1,0)-MATCH($A$1,[2]characters!$1:$1,0)+1),MATCH(AX$1,[2]characters!$1:$1,0)-MATCH($A$1,[2]characters!$1:$1,0)+1,FALSE)</f>
        <v>3</v>
      </c>
      <c r="AY331" s="19">
        <v>1</v>
      </c>
      <c r="AZ331" s="19">
        <v>1</v>
      </c>
      <c r="BA331" s="19">
        <v>0</v>
      </c>
      <c r="BB331" s="19">
        <v>1</v>
      </c>
      <c r="BC331" s="14">
        <f ca="1">INDEX('RC6SV'!$A$1:$G$20,MATCH(H331,'RC6SV'!$A$1:$A$20,FALSE),MATCH(G331,'RC6SV'!$A$1:$G$1,FALSE))</f>
        <v>8000</v>
      </c>
      <c r="BD331" s="63">
        <f t="shared" ca="1" si="39"/>
        <v>8000</v>
      </c>
      <c r="BE331" s="14">
        <f t="shared" ca="1" si="40"/>
        <v>0</v>
      </c>
      <c r="BF331" s="14">
        <f t="shared" ca="1" si="41"/>
        <v>1</v>
      </c>
      <c r="BG331" s="20">
        <f ca="1">IF($BE331&lt;=0,ROUND(BK331*0.5,0), ROUND($BE331*S331*AA331*J331*AY331*0.8*[2]ステータス!$B$2,0))</f>
        <v>2000</v>
      </c>
      <c r="BH331" s="20">
        <f ca="1">IF($BE331&lt;=0,ROUND(BL331*0.5,0), ROUND($BE331*T331*AB331*K331*AZ331*0.8*[2]ステータス!$C$2,0))</f>
        <v>1176</v>
      </c>
      <c r="BI331" s="20">
        <f ca="1">IF($BE331&lt;=0,ROUND(BM331*0.5,0), ROUND($BE331*U331*AC331*L331*BA331*0.8*[2]ステータス!$D$2,0))</f>
        <v>0</v>
      </c>
      <c r="BJ331" s="20">
        <f ca="1">IF($BE331&lt;=0,ROUND(BN331*0.5,0), ROUND($BE331*V331*AD331*M331*BB331*0.8*[2]ステータス!$E$2,0))</f>
        <v>1020</v>
      </c>
      <c r="BK331" s="14">
        <f ca="1">ROUND(BD331*S331*AA331*J331*AY331*[2]ステータス!$B$2,0)</f>
        <v>4000</v>
      </c>
      <c r="BL331" s="14">
        <f ca="1">ROUND(BD331*T331*AB331*K331*AZ331*[2]ステータス!$C$2,0)</f>
        <v>2352</v>
      </c>
      <c r="BM331" s="14">
        <f ca="1">ROUND(BD331*U331*AC331*L331*BA331*[2]ステータス!$D$2,0)</f>
        <v>0</v>
      </c>
      <c r="BN331" s="14">
        <f ca="1">ROUND(BD331*V331*AD331*M331*BB331*[2]ステータス!$E$2,0)</f>
        <v>2040</v>
      </c>
      <c r="BO331" s="13">
        <v>0</v>
      </c>
      <c r="BP331" s="13">
        <v>1</v>
      </c>
      <c r="BQ331" s="49" t="s">
        <v>102</v>
      </c>
      <c r="BR331" s="13">
        <f ca="1">VLOOKUP(H331,ghosts_label!$A$2:$B$19,2,FALSE)</f>
        <v>1</v>
      </c>
    </row>
    <row r="332" spans="1:70" ht="21" customHeight="1" x14ac:dyDescent="0.15">
      <c r="A332" s="14">
        <f t="shared" ca="1" si="36"/>
        <v>331</v>
      </c>
      <c r="B332" s="77" t="str">
        <f ca="1">VLOOKUP($A332,OFFSET([2]characters!$A$1,0,0,COUNTA([2]characters!$A:$A),MATCH(B$1,[2]characters!$1:$1,0)-MATCH($A$1,[2]characters!$1:$1,0)+1),MATCH(B$1,[2]characters!$1:$1,0)-MATCH($A$1,[2]characters!$1:$1,0)+1,FALSE)</f>
        <v>オーディンクエストアイコンシルエット</v>
      </c>
      <c r="C332" s="77" t="str">
        <f ca="1">VLOOKUP($A332,OFFSET([2]characters!$A$1,0,0,COUNTA([2]characters!$A:$A),MATCH(C$1,[2]characters!$1:$1,0)-MATCH($A$1,[2]characters!$1:$1,0)+1),MATCH(C$1,[2]characters!$1:$1,0)-MATCH($A$1,[2]characters!$1:$1,0)+1,FALSE)</f>
        <v>未定</v>
      </c>
      <c r="D332" s="77">
        <f ca="1">VLOOKUP($A332,OFFSET([2]characters!$A$1,0,0,COUNTA([2]characters!$A:$A),MATCH(D$1,[2]characters!$1:$1,0)-MATCH($A$1,[2]characters!$1:$1,0)+1),MATCH(D$1,[2]characters!$1:$1,0)-MATCH($A$1,[2]characters!$1:$1,0)+1,FALSE)</f>
        <v>0</v>
      </c>
      <c r="E332" s="77">
        <f ca="1">VLOOKUP($A332,OFFSET([2]characters!$A$1,0,0,COUNTA([2]characters!$A:$A),MATCH(E$1,[2]characters!$1:$1,0)-MATCH($A$1,[2]characters!$1:$1,0)+1),MATCH(E$1,[2]characters!$1:$1,0)-MATCH($A$1,[2]characters!$1:$1,0)+1,FALSE)</f>
        <v>0</v>
      </c>
      <c r="F332" s="77">
        <f ca="1">VLOOKUP($A332,OFFSET([2]characters!$A$1,0,0,COUNTA([2]characters!$A:$A),MATCH(F$1,[2]characters!$1:$1,0)-MATCH($A$1,[2]characters!$1:$1,0)+1),MATCH(F$1,[2]characters!$1:$1,0)-MATCH($A$1,[2]characters!$1:$1,0)+1,FALSE)</f>
        <v>0</v>
      </c>
      <c r="G332" s="77">
        <f ca="1">VLOOKUP($A332,OFFSET([2]characters!$A$1,0,0,COUNTA([2]characters!$A:$A),MATCH(G$1,[2]characters!$1:$1,0)-MATCH($A$1,[2]characters!$1:$1,0)+1),MATCH(G$1,[2]characters!$1:$1,0)-MATCH($A$1,[2]characters!$1:$1,0)+1,FALSE)</f>
        <v>5</v>
      </c>
      <c r="H332" s="77" t="str">
        <f ca="1">VLOOKUP($A332,OFFSET([2]characters!$A$1,0,0,COUNTA([2]characters!$A:$A),MATCH(H$1,[2]characters!$1:$1,0)-MATCH($A$1,[2]characters!$1:$1,0)+1),MATCH(H$1,[2]characters!$1:$1,0)-MATCH($A$1,[2]characters!$1:$1,0)+1,FALSE)</f>
        <v>DropWizSSS</v>
      </c>
      <c r="I332" s="77" t="str">
        <f ca="1">VLOOKUP($A332,OFFSET([2]characters!$A$1,0,0,COUNTA([2]characters!$A:$A),MATCH(I$1,[2]characters!$1:$1,0)-MATCH($A$1,[2]characters!$1:$1,0)+1),MATCH(I$1,[2]characters!$1:$1,0)-MATCH($A$1,[2]characters!$1:$1,0)+1,FALSE)</f>
        <v>blue</v>
      </c>
      <c r="J332" s="14">
        <f ca="1">VLOOKUP(I332,[2]属性!$A:$E,2,FALSE)</f>
        <v>1</v>
      </c>
      <c r="K332" s="14">
        <f ca="1">VLOOKUP(I332,[2]属性!$A:$E,3,FALSE)</f>
        <v>0.98</v>
      </c>
      <c r="L332" s="14">
        <f ca="1">VLOOKUP(I332,[2]属性!$A:$E,4,FALSE)</f>
        <v>1</v>
      </c>
      <c r="M332" s="14">
        <f ca="1">VLOOKUP(I332,[2]属性!$A:$E,5,FALSE)</f>
        <v>1.02</v>
      </c>
      <c r="N332" s="14">
        <f ca="1">INDEX(コスト!$A$1:$I$20,MATCH(H332,コスト!$A$1:$A$20,FALSE),MATCH(G332,コスト!$A$1:$I$1,FALSE))</f>
        <v>40</v>
      </c>
      <c r="O332" s="14">
        <f ca="1">INDEX(レベル!$A$1:$I$21,MATCH(H332,レベル!$A$1:$A$21,FALSE),MATCH(G332,レベル!$A$1:$I$1,FALSE))</f>
        <v>80</v>
      </c>
      <c r="P332" s="63">
        <f t="shared" ca="1" si="42"/>
        <v>75</v>
      </c>
      <c r="Q332" s="77" t="str">
        <f ca="1">VLOOKUP($A332,OFFSET([2]characters!$A$1,0,0,COUNTA([2]characters!$A:$A),MATCH(Q$1,[2]characters!$1:$1,0)-MATCH($A$1,[2]characters!$1:$1,0)+1),MATCH(Q$1,[2]characters!$1:$1,0)-MATCH($A$1,[2]characters!$1:$1,0)+1,FALSE)</f>
        <v>none</v>
      </c>
      <c r="R332" s="8" t="str">
        <f ca="1">VLOOKUP(Q332,[2]character_type_i18n!$A:$H,3,FALSE)</f>
        <v>タイプなし</v>
      </c>
      <c r="S332" s="14">
        <f ca="1">VLOOKUP(Q332,[2]character_type_i18n!$A:$H,4,FALSE)</f>
        <v>0</v>
      </c>
      <c r="T332" s="14">
        <f ca="1">VLOOKUP(Q332,[2]character_type_i18n!$A:$H,5,FALSE)</f>
        <v>0</v>
      </c>
      <c r="U332" s="14">
        <f ca="1">VLOOKUP(Q332,[2]character_type_i18n!$A:$H,6,FALSE)</f>
        <v>0</v>
      </c>
      <c r="V332" s="14">
        <f ca="1">VLOOKUP(Q332,[2]character_type_i18n!$A:$H,7,FALSE)</f>
        <v>0</v>
      </c>
      <c r="W332" s="77" t="str">
        <f ca="1">VLOOKUP($A332,OFFSET([2]characters!$A$1,0,0,COUNTA([2]characters!$A:$A),MATCH(W$1,[2]characters!$1:$1,0)-MATCH($A$1,[2]characters!$1:$1,0)+1),MATCH(W$1,[2]characters!$1:$1,0)-MATCH($A$1,[2]characters!$1:$1,0)+1,FALSE)</f>
        <v>unknown</v>
      </c>
      <c r="X332" s="8" t="str">
        <f ca="1">VLOOKUP(W332,[2]character_tribe_i18n!$A:$H,3,FALSE)</f>
        <v>Unknown</v>
      </c>
      <c r="Y332" s="77" t="str">
        <f ca="1">VLOOKUP($A332,OFFSET([2]characters!$A$1,0,0,COUNTA([2]characters!$A:$A),MATCH(Y$1,[2]characters!$1:$1,0)-MATCH($A$1,[2]characters!$1:$1,0)+1),MATCH(Y$1,[2]characters!$1:$1,0)-MATCH($A$1,[2]characters!$1:$1,0)+1,FALSE)</f>
        <v>none</v>
      </c>
      <c r="Z332" s="8" t="str">
        <f ca="1">VLOOKUP(Y332,[2]character_tribe_i18n!$A:$H,3,FALSE)</f>
        <v>種族なし</v>
      </c>
      <c r="AA332" s="14">
        <f ca="1">VLOOKUP(W332,[2]character_tribe_i18n!$A:$H,4,FALSE)</f>
        <v>1</v>
      </c>
      <c r="AB332" s="14">
        <f ca="1">VLOOKUP(W332,[2]character_tribe_i18n!$A:$H,5,FALSE)</f>
        <v>1</v>
      </c>
      <c r="AC332" s="14">
        <f ca="1">VLOOKUP(W332,[2]character_tribe_i18n!$A:$H,6,FALSE)</f>
        <v>1</v>
      </c>
      <c r="AD332" s="14">
        <f ca="1">VLOOKUP(W332,[2]character_tribe_i18n!$A:$H,7,FALSE)</f>
        <v>1</v>
      </c>
      <c r="AE332" s="12" t="s">
        <v>102</v>
      </c>
      <c r="AF332" s="85" t="str">
        <f ca="1">IF(AE332="NULL","",VLOOKUP($AE332,OFFSET([2]characters!$A$1,0,0,COUNTA([2]characters!$A:$A),MATCH(AF$1,[2]characters!$1:$1,0)-MATCH($A$1,[2]characters!$1:$1,0)+1),MATCH(AF$1,[2]characters!$1:$1,0)-MATCH($A$1,[2]characters!$1:$1,0)+1,FALSE))</f>
        <v/>
      </c>
      <c r="AG332" s="8">
        <f t="shared" ca="1" si="37"/>
        <v>330</v>
      </c>
      <c r="AH332" s="85" t="str">
        <f ca="1">VLOOKUP($AG332,OFFSET([2]characters!$A$1,0,0,COUNTA([2]characters!$A:$A),MATCH(AH$1,[2]characters!$1:$1,0)-MATCH($A$1,[2]characters!$1:$1,0)+1),MATCH(AH$1,[2]characters!$1:$1,0)-MATCH($A$1,[2]characters!$1:$1,0)+1,FALSE)</f>
        <v>Usagi-chan</v>
      </c>
      <c r="AI332" s="14" t="str">
        <f>IF(AE332="NULL","NULL",VLOOKUP(G332,ビット!$A$2:$B$7,2))</f>
        <v>NULL</v>
      </c>
      <c r="AJ332" s="9">
        <v>2</v>
      </c>
      <c r="AK332" s="10" t="str">
        <f t="shared" si="38"/>
        <v>普通</v>
      </c>
      <c r="AL332" s="14" t="str">
        <f ca="1">INDEX(経験値!$A$1:$I$20,MATCH(H332,経験値!$A$1:$A$20,FALSE),MATCH(G332,経験値!$A$1:$I$1,FALSE))</f>
        <v>required_exp_250</v>
      </c>
      <c r="AM332" s="11">
        <f ca="1">VLOOKUP(G332,経験値!$A$27:$B$31,2)</f>
        <v>6400</v>
      </c>
      <c r="AN332" s="21">
        <f ca="1">VLOOKUP(G332,ビット!$G$2:$H$7,2)</f>
        <v>900</v>
      </c>
      <c r="AO332" s="98"/>
      <c r="AP332" s="4">
        <v>0</v>
      </c>
      <c r="AQ332" s="77" t="e">
        <f ca="1">VLOOKUP($AP332,OFFSET([1]unit_skills!$A$1,0,0,COUNTA([1]unit_skills!$A:$A),MATCH("name",[1]unit_skills!$1:$1,0)-MATCH($AP$1,[1]unit_skills!$1:$1,0)+1),MATCH("name",[1]unit_skills!$1:$1,0)-MATCH($AP$1,[1]unit_skills!$1:$1,0)+1,FALSE)</f>
        <v>#VALUE!</v>
      </c>
      <c r="AR332" s="77" t="e">
        <f ca="1">VLOOKUP($AP332,OFFSET([1]unit_skills!$A$1,0,0,COUNTA([1]unit_skills!$A:$A),MATCH("comment",[1]unit_skills!$1:$1,0)-MATCH($AP$1,[1]unit_skills!$1:$1,0)+1),MATCH("comment",[1]unit_skills!$1:$1,0)-MATCH($AP$1,[1]unit_skills!$1:$1,0)+1,FALSE)</f>
        <v>#VALUE!</v>
      </c>
      <c r="AS332" s="77" t="e">
        <f ca="1">VLOOKUP($AP332,OFFSET([1]unit_skills!$A$1,0,0,COUNTA([1]unit_skills!$A:$A),MATCH(AS$1,[1]unit_skills!$1:$1,0)-MATCH($AP$1,[1]unit_skills!$1:$1,0)+1),MATCH(AS$1,[1]unit_skills!$1:$1,0)-MATCH($AP$1,[1]unit_skills!$1:$1,0)+1,FALSE)</f>
        <v>#VALUE!</v>
      </c>
      <c r="AT332" s="53">
        <v>0</v>
      </c>
      <c r="AU332" s="77" t="e">
        <f ca="1">VLOOKUP($AT332,OFFSET([1]crash_skills!$A$1,0,0,COUNTA([1]crash_skills!$A:$A),MATCH("name",[1]crash_skills!$1:$1,0)-MATCH($AT$1,[1]crash_skills!$1:$1,0)+1),MATCH("name",[1]crash_skills!$1:$1,0)-MATCH($AT$1,[1]crash_skills!$1:$1,0)+1,FALSE)</f>
        <v>#VALUE!</v>
      </c>
      <c r="AV332" s="77" t="e">
        <f ca="1">VLOOKUP($AT332,OFFSET([1]crash_skills!$A$1,0,0,COUNTA([1]crash_skills!$A:$A),MATCH("comment",[1]crash_skills!$1:$1,0)-MATCH($AT$1,[1]crash_skills!$1:$1,0)+1),MATCH("comment",[1]crash_skills!$1:$1,0)-MATCH($AT$1,[1]crash_skills!$1:$1,0)+1,FALSE)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32" s="77" t="e">
        <f ca="1">VLOOKUP($AT332,OFFSET([1]crash_skills!$A$1,0,0,COUNTA([1]crash_skills!$A:$A),MATCH(AW$1,[1]crash_skills!$1:$1,0)-MATCH($AT$1,[1]crash_skills!$1:$1,0)+1),MATCH(AW$1,[1]crash_skills!$1:$1,0)-MATCH($AT$1,[1]crash_skills!$1:$1,0)+1,FALSE)</f>
        <v>#VALUE!</v>
      </c>
      <c r="AX332" s="81">
        <f ca="1">VLOOKUP($A332,OFFSET([2]characters!$A$1,0,0,COUNTA([2]characters!$A:$A),MATCH(AX$1,[2]characters!$1:$1,0)-MATCH($A$1,[2]characters!$1:$1,0)+1),MATCH(AX$1,[2]characters!$1:$1,0)-MATCH($A$1,[2]characters!$1:$1,0)+1,FALSE)</f>
        <v>3</v>
      </c>
      <c r="AY332" s="19">
        <v>1</v>
      </c>
      <c r="AZ332" s="19">
        <v>1</v>
      </c>
      <c r="BA332" s="19">
        <v>0</v>
      </c>
      <c r="BB332" s="19">
        <v>1</v>
      </c>
      <c r="BC332" s="14">
        <f ca="1">INDEX('RC6SV'!$A$1:$G$20,MATCH(H332,'RC6SV'!$A$1:$A$20,FALSE),MATCH(G332,'RC6SV'!$A$1:$G$1,FALSE))</f>
        <v>10000</v>
      </c>
      <c r="BD332" s="63">
        <f t="shared" ca="1" si="39"/>
        <v>10000</v>
      </c>
      <c r="BE332" s="14">
        <f t="shared" ca="1" si="40"/>
        <v>8000</v>
      </c>
      <c r="BF332" s="14">
        <f t="shared" ca="1" si="41"/>
        <v>1</v>
      </c>
      <c r="BG332" s="20">
        <f ca="1">IF($BE332&lt;=0,ROUND(BK332*0.5,0), ROUND($BE332*S332*AA332*J332*AY332*0.8*[2]ステータス!$B$2,0))</f>
        <v>0</v>
      </c>
      <c r="BH332" s="20">
        <f ca="1">IF($BE332&lt;=0,ROUND(BL332*0.5,0), ROUND($BE332*T332*AB332*K332*AZ332*0.8*[2]ステータス!$C$2,0))</f>
        <v>0</v>
      </c>
      <c r="BI332" s="20">
        <f ca="1">IF($BE332&lt;=0,ROUND(BM332*0.5,0), ROUND($BE332*U332*AC332*L332*BA332*0.8*[2]ステータス!$D$2,0))</f>
        <v>0</v>
      </c>
      <c r="BJ332" s="20">
        <f ca="1">IF($BE332&lt;=0,ROUND(BN332*0.5,0), ROUND($BE332*V332*AD332*M332*BB332*0.8*[2]ステータス!$E$2,0))</f>
        <v>0</v>
      </c>
      <c r="BK332" s="14">
        <f ca="1">ROUND(BD332*S332*AA332*J332*AY332*[2]ステータス!$B$2,0)</f>
        <v>0</v>
      </c>
      <c r="BL332" s="14">
        <f ca="1">ROUND(BD332*T332*AB332*K332*AZ332*[2]ステータス!$C$2,0)</f>
        <v>0</v>
      </c>
      <c r="BM332" s="14">
        <f ca="1">ROUND(BD332*U332*AC332*L332*BA332*[2]ステータス!$D$2,0)</f>
        <v>0</v>
      </c>
      <c r="BN332" s="14">
        <f ca="1">ROUND(BD332*V332*AD332*M332*BB332*[2]ステータス!$E$2,0)</f>
        <v>0</v>
      </c>
      <c r="BO332" s="13">
        <v>0</v>
      </c>
      <c r="BP332" s="13">
        <v>1</v>
      </c>
      <c r="BQ332" s="49" t="s">
        <v>102</v>
      </c>
      <c r="BR332" s="13">
        <f ca="1">VLOOKUP(H332,ghosts_label!$A$2:$B$19,2,FALSE)</f>
        <v>1</v>
      </c>
    </row>
    <row r="333" spans="1:70" ht="21" customHeight="1" x14ac:dyDescent="0.15">
      <c r="A333" s="14">
        <f t="shared" ca="1" si="36"/>
        <v>332</v>
      </c>
      <c r="B333" s="77" t="str">
        <f ca="1">VLOOKUP($A333,OFFSET([2]characters!$A$1,0,0,COUNTA([2]characters!$A:$A),MATCH(B$1,[2]characters!$1:$1,0)-MATCH($A$1,[2]characters!$1:$1,0)+1),MATCH(B$1,[2]characters!$1:$1,0)-MATCH($A$1,[2]characters!$1:$1,0)+1,FALSE)</f>
        <v>炎のメタルピヨピヨ</v>
      </c>
      <c r="C333" s="77" t="str">
        <f ca="1">VLOOKUP($A333,OFFSET([2]characters!$A$1,0,0,COUNTA([2]characters!$A:$A),MATCH(C$1,[2]characters!$1:$1,0)-MATCH($A$1,[2]characters!$1:$1,0)+1),MATCH(C$1,[2]characters!$1:$1,0)-MATCH($A$1,[2]characters!$1:$1,0)+1,FALSE)</f>
        <v>強化素材R3　赤</v>
      </c>
      <c r="D333" s="77" t="str">
        <f ca="1">VLOOKUP($A333,OFFSET([2]characters!$A$1,0,0,COUNTA([2]characters!$A:$A),MATCH(D$1,[2]characters!$1:$1,0)-MATCH($A$1,[2]characters!$1:$1,0)+1),MATCH(D$1,[2]characters!$1:$1,0)-MATCH($A$1,[2]characters!$1:$1,0)+1,FALSE)</f>
        <v>アリス</v>
      </c>
      <c r="E333" s="77" t="str">
        <f ca="1">VLOOKUP($A333,OFFSET([2]characters!$A$1,0,0,COUNTA([2]characters!$A:$A),MATCH(E$1,[2]characters!$1:$1,0)-MATCH($A$1,[2]characters!$1:$1,0)+1),MATCH(E$1,[2]characters!$1:$1,0)-MATCH($A$1,[2]characters!$1:$1,0)+1,FALSE)</f>
        <v>世界観</v>
      </c>
      <c r="F333" s="77" t="str">
        <f ca="1">VLOOKUP($A333,OFFSET([2]characters!$A$1,0,0,COUNTA([2]characters!$A:$A),MATCH(F$1,[2]characters!$1:$1,0)-MATCH($A$1,[2]characters!$1:$1,0)+1),MATCH(F$1,[2]characters!$1:$1,0)-MATCH($A$1,[2]characters!$1:$1,0)+1,FALSE)</f>
        <v>不明</v>
      </c>
      <c r="G333" s="77">
        <f ca="1">VLOOKUP($A333,OFFSET([2]characters!$A$1,0,0,COUNTA([2]characters!$A:$A),MATCH(G$1,[2]characters!$1:$1,0)-MATCH($A$1,[2]characters!$1:$1,0)+1),MATCH(G$1,[2]characters!$1:$1,0)-MATCH($A$1,[2]characters!$1:$1,0)+1,FALSE)</f>
        <v>3</v>
      </c>
      <c r="H333" s="77" t="str">
        <f ca="1">VLOOKUP($A333,OFFSET([2]characters!$A$1,0,0,COUNTA([2]characters!$A:$A),MATCH(H$1,[2]characters!$1:$1,0)-MATCH($A$1,[2]characters!$1:$1,0)+1),MATCH(H$1,[2]characters!$1:$1,0)-MATCH($A$1,[2]characters!$1:$1,0)+1,FALSE)</f>
        <v>Material</v>
      </c>
      <c r="I333" s="77" t="str">
        <f ca="1">VLOOKUP($A333,OFFSET([2]characters!$A$1,0,0,COUNTA([2]characters!$A:$A),MATCH(I$1,[2]characters!$1:$1,0)-MATCH($A$1,[2]characters!$1:$1,0)+1),MATCH(I$1,[2]characters!$1:$1,0)-MATCH($A$1,[2]characters!$1:$1,0)+1,FALSE)</f>
        <v>red</v>
      </c>
      <c r="J333" s="14">
        <f ca="1">VLOOKUP(I333,[2]属性!$A:$E,2,FALSE)</f>
        <v>1</v>
      </c>
      <c r="K333" s="14">
        <f ca="1">VLOOKUP(I333,[2]属性!$A:$E,3,FALSE)</f>
        <v>1.02</v>
      </c>
      <c r="L333" s="14">
        <f ca="1">VLOOKUP(I333,[2]属性!$A:$E,4,FALSE)</f>
        <v>1</v>
      </c>
      <c r="M333" s="14">
        <f ca="1">VLOOKUP(I333,[2]属性!$A:$E,5,FALSE)</f>
        <v>0.98</v>
      </c>
      <c r="N333" s="14">
        <f ca="1">INDEX(コスト!$A$1:$I$20,MATCH(H333,コスト!$A$1:$A$20,FALSE),MATCH(G333,コスト!$A$1:$I$1,FALSE))</f>
        <v>99</v>
      </c>
      <c r="O333" s="14">
        <f ca="1">INDEX(レベル!$A$1:$I$21,MATCH(H333,レベル!$A$1:$A$21,FALSE),MATCH(G333,レベル!$A$1:$I$1,FALSE))</f>
        <v>1</v>
      </c>
      <c r="P333" s="203">
        <v>1</v>
      </c>
      <c r="Q333" s="77" t="str">
        <f ca="1">VLOOKUP($A333,OFFSET([2]characters!$A$1,0,0,COUNTA([2]characters!$A:$A),MATCH(Q$1,[2]characters!$1:$1,0)-MATCH($A$1,[2]characters!$1:$1,0)+1),MATCH(Q$1,[2]characters!$1:$1,0)-MATCH($A$1,[2]characters!$1:$1,0)+1,FALSE)</f>
        <v>exp</v>
      </c>
      <c r="R333" s="8" t="str">
        <f ca="1">VLOOKUP(Q333,[2]character_type_i18n!$A:$H,3,FALSE)</f>
        <v>強化素材タイプ</v>
      </c>
      <c r="S333" s="14">
        <f ca="1">VLOOKUP(Q333,[2]character_type_i18n!$A:$H,4,FALSE)</f>
        <v>0.1</v>
      </c>
      <c r="T333" s="14">
        <f ca="1">VLOOKUP(Q333,[2]character_type_i18n!$A:$H,5,FALSE)</f>
        <v>0.05</v>
      </c>
      <c r="U333" s="14">
        <f ca="1">VLOOKUP(Q333,[2]character_type_i18n!$A:$H,6,FALSE)</f>
        <v>1</v>
      </c>
      <c r="V333" s="14">
        <f ca="1">VLOOKUP(Q333,[2]character_type_i18n!$A:$H,7,FALSE)</f>
        <v>0.05</v>
      </c>
      <c r="W333" s="77" t="str">
        <f ca="1">VLOOKUP($A333,OFFSET([2]characters!$A$1,0,0,COUNTA([2]characters!$A:$A),MATCH(W$1,[2]characters!$1:$1,0)-MATCH($A$1,[2]characters!$1:$1,0)+1),MATCH(W$1,[2]characters!$1:$1,0)-MATCH($A$1,[2]characters!$1:$1,0)+1,FALSE)</f>
        <v>unknown</v>
      </c>
      <c r="X333" s="8" t="str">
        <f ca="1">VLOOKUP(W333,[2]character_tribe_i18n!$A:$H,3,FALSE)</f>
        <v>Unknown</v>
      </c>
      <c r="Y333" s="77" t="str">
        <f ca="1">VLOOKUP($A333,OFFSET([2]characters!$A$1,0,0,COUNTA([2]characters!$A:$A),MATCH(Y$1,[2]characters!$1:$1,0)-MATCH($A$1,[2]characters!$1:$1,0)+1),MATCH(Y$1,[2]characters!$1:$1,0)-MATCH($A$1,[2]characters!$1:$1,0)+1,FALSE)</f>
        <v>none</v>
      </c>
      <c r="Z333" s="8" t="str">
        <f ca="1">VLOOKUP(Y333,[2]character_tribe_i18n!$A:$H,3,FALSE)</f>
        <v>種族なし</v>
      </c>
      <c r="AA333" s="14">
        <f ca="1">VLOOKUP(W333,[2]character_tribe_i18n!$A:$H,4,FALSE)</f>
        <v>1</v>
      </c>
      <c r="AB333" s="14">
        <f ca="1">VLOOKUP(W333,[2]character_tribe_i18n!$A:$H,5,FALSE)</f>
        <v>1</v>
      </c>
      <c r="AC333" s="14">
        <f ca="1">VLOOKUP(W333,[2]character_tribe_i18n!$A:$H,6,FALSE)</f>
        <v>1</v>
      </c>
      <c r="AD333" s="14">
        <f ca="1">VLOOKUP(W333,[2]character_tribe_i18n!$A:$H,7,FALSE)</f>
        <v>1</v>
      </c>
      <c r="AE333" s="12">
        <v>333</v>
      </c>
      <c r="AF333" s="85" t="str">
        <f ca="1">IF(AE333="NULL","",VLOOKUP($AE333,OFFSET([2]characters!$A$1,0,0,COUNTA([2]characters!$A:$A),MATCH(AF$1,[2]characters!$1:$1,0)-MATCH($A$1,[2]characters!$1:$1,0)+1),MATCH(AF$1,[2]characters!$1:$1,0)-MATCH($A$1,[2]characters!$1:$1,0)+1,FALSE))</f>
        <v>炎のメタルチック</v>
      </c>
      <c r="AG333" s="8">
        <f t="shared" ca="1" si="37"/>
        <v>332</v>
      </c>
      <c r="AH333" s="85" t="str">
        <f ca="1">VLOOKUP($AG333,OFFSET([2]characters!$A$1,0,0,COUNTA([2]characters!$A:$A),MATCH(AH$1,[2]characters!$1:$1,0)-MATCH($A$1,[2]characters!$1:$1,0)+1),MATCH(AH$1,[2]characters!$1:$1,0)-MATCH($A$1,[2]characters!$1:$1,0)+1,FALSE)</f>
        <v>炎のメタルピヨピヨ</v>
      </c>
      <c r="AI333" s="14">
        <v>2000</v>
      </c>
      <c r="AJ333" s="9">
        <v>3</v>
      </c>
      <c r="AK333" s="10" t="str">
        <f t="shared" si="38"/>
        <v>晩成</v>
      </c>
      <c r="AL333" s="14" t="str">
        <f ca="1">INDEX(経験値!$A$1:$I$20,MATCH(H333,経験値!$A$1:$A$20,FALSE),MATCH(G333,経験値!$A$1:$I$1,FALSE))</f>
        <v>NULL</v>
      </c>
      <c r="AM333" s="11">
        <v>1500</v>
      </c>
      <c r="AN333" s="21">
        <f ca="1">VLOOKUP(G333,ビット!$G$2:$H$7,2)</f>
        <v>300</v>
      </c>
      <c r="AO333" s="57"/>
      <c r="AP333" s="101">
        <v>990001</v>
      </c>
      <c r="AQ333" s="77" t="e">
        <f ca="1">VLOOKUP($AP333,OFFSET([1]unit_skills!$A$1,0,0,COUNTA([1]unit_skills!$A:$A),MATCH("name",[1]unit_skills!$1:$1,0)-MATCH($AP$1,[1]unit_skills!$1:$1,0)+1),MATCH("name",[1]unit_skills!$1:$1,0)-MATCH($AP$1,[1]unit_skills!$1:$1,0)+1,FALSE)</f>
        <v>#VALUE!</v>
      </c>
      <c r="AR333" s="77" t="e">
        <f ca="1">VLOOKUP($AP333,OFFSET([1]unit_skills!$A$1,0,0,COUNTA([1]unit_skills!$A:$A),MATCH("comment",[1]unit_skills!$1:$1,0)-MATCH($AP$1,[1]unit_skills!$1:$1,0)+1),MATCH("comment",[1]unit_skills!$1:$1,0)-MATCH($AP$1,[1]unit_skills!$1:$1,0)+1,FALSE)</f>
        <v>#VALUE!</v>
      </c>
      <c r="AS333" s="77" t="e">
        <f ca="1">VLOOKUP($AP333,OFFSET([1]unit_skills!$A$1,0,0,COUNTA([1]unit_skills!$A:$A),MATCH(AS$1,[1]unit_skills!$1:$1,0)-MATCH($AP$1,[1]unit_skills!$1:$1,0)+1),MATCH(AS$1,[1]unit_skills!$1:$1,0)-MATCH($AP$1,[1]unit_skills!$1:$1,0)+1,FALSE)</f>
        <v>#VALUE!</v>
      </c>
      <c r="AT333" s="53">
        <v>0</v>
      </c>
      <c r="AU333" s="77" t="e">
        <f ca="1">VLOOKUP($AT333,OFFSET([1]crash_skills!$A$1,0,0,COUNTA([1]crash_skills!$A:$A),MATCH("name",[1]crash_skills!$1:$1,0)-MATCH($AT$1,[1]crash_skills!$1:$1,0)+1),MATCH("name",[1]crash_skills!$1:$1,0)-MATCH($AT$1,[1]crash_skills!$1:$1,0)+1,FALSE)</f>
        <v>#VALUE!</v>
      </c>
      <c r="AV333" s="77" t="e">
        <f ca="1">VLOOKUP($AT333,OFFSET([1]crash_skills!$A$1,0,0,COUNTA([1]crash_skills!$A:$A),MATCH("comment",[1]crash_skills!$1:$1,0)-MATCH($AT$1,[1]crash_skills!$1:$1,0)+1),MATCH("comment",[1]crash_skills!$1:$1,0)-MATCH($AT$1,[1]crash_skills!$1:$1,0)+1,FALSE)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33" s="77" t="e">
        <f ca="1">VLOOKUP($AT333,OFFSET([1]crash_skills!$A$1,0,0,COUNTA([1]crash_skills!$A:$A),MATCH(AW$1,[1]crash_skills!$1:$1,0)-MATCH($AT$1,[1]crash_skills!$1:$1,0)+1),MATCH(AW$1,[1]crash_skills!$1:$1,0)-MATCH($AT$1,[1]crash_skills!$1:$1,0)+1,FALSE)</f>
        <v>#VALUE!</v>
      </c>
      <c r="AX333" s="81">
        <f ca="1">VLOOKUP($A333,OFFSET([2]characters!$A$1,0,0,COUNTA([2]characters!$A:$A),MATCH(AX$1,[2]characters!$1:$1,0)-MATCH($A$1,[2]characters!$1:$1,0)+1),MATCH(AX$1,[2]characters!$1:$1,0)-MATCH($A$1,[2]characters!$1:$1,0)+1,FALSE)</f>
        <v>3</v>
      </c>
      <c r="AY333" s="19">
        <v>1</v>
      </c>
      <c r="AZ333" s="19">
        <v>1</v>
      </c>
      <c r="BA333" s="19">
        <v>0</v>
      </c>
      <c r="BB333" s="19">
        <v>1</v>
      </c>
      <c r="BC333" s="14">
        <f ca="1">INDEX('RC6SV'!$A$1:$G$20,MATCH(H333,'RC6SV'!$A$1:$A$20,FALSE),MATCH(G333,'RC6SV'!$A$1:$G$1,FALSE))</f>
        <v>1000</v>
      </c>
      <c r="BD333" s="63">
        <f t="shared" ca="1" si="39"/>
        <v>1050</v>
      </c>
      <c r="BE333" s="14">
        <f t="shared" ca="1" si="40"/>
        <v>0</v>
      </c>
      <c r="BF333" s="14">
        <f t="shared" ca="1" si="41"/>
        <v>1</v>
      </c>
      <c r="BG333" s="20">
        <f ca="1">IF($BE333&lt;=0,ROUND(BK333*0.5,0), ROUND($BE333*S333*AA333*J333*AY333*0.8*[2]ステータス!$B$2,0))</f>
        <v>27</v>
      </c>
      <c r="BH333" s="20">
        <f ca="1">IF($BE333&lt;=0,ROUND(BL333*0.5,0), ROUND($BE333*T333*AB333*K333*AZ333*0.8*[2]ステータス!$C$2,0))</f>
        <v>8</v>
      </c>
      <c r="BI333" s="20">
        <f ca="1">IF($BE333&lt;=0,ROUND(BM333*0.5,0), ROUND($BE333*U333*AC333*L333*BA333*0.8*[2]ステータス!$D$2,0))</f>
        <v>0</v>
      </c>
      <c r="BJ333" s="20">
        <f ca="1">IF($BE333&lt;=0,ROUND(BN333*0.5,0), ROUND($BE333*V333*AD333*M333*BB333*0.8*[2]ステータス!$E$2,0))</f>
        <v>7</v>
      </c>
      <c r="BK333" s="14">
        <f ca="1">ROUND(BD333*S333*AA333*J333*AY333*[2]ステータス!$B$2,0)</f>
        <v>53</v>
      </c>
      <c r="BL333" s="14">
        <f ca="1">ROUND(BD333*T333*AB333*K333*AZ333*[2]ステータス!$C$2,0)</f>
        <v>16</v>
      </c>
      <c r="BM333" s="14">
        <f ca="1">ROUND(BD333*U333*AC333*L333*BA333*[2]ステータス!$D$2,0)</f>
        <v>0</v>
      </c>
      <c r="BN333" s="14">
        <f ca="1">ROUND(BD333*V333*AD333*M333*BB333*[2]ステータス!$E$2,0)</f>
        <v>13</v>
      </c>
      <c r="BO333" s="13">
        <v>0</v>
      </c>
      <c r="BP333" s="13">
        <v>1</v>
      </c>
      <c r="BQ333" s="49" t="s">
        <v>102</v>
      </c>
      <c r="BR333" s="13">
        <f ca="1">VLOOKUP(H333,ghosts_label!$A$2:$B$19,2,FALSE)</f>
        <v>0</v>
      </c>
    </row>
    <row r="334" spans="1:70" ht="21" customHeight="1" x14ac:dyDescent="0.15">
      <c r="A334" s="14">
        <f t="shared" ca="1" si="36"/>
        <v>333</v>
      </c>
      <c r="B334" s="77" t="str">
        <f ca="1">VLOOKUP($A334,OFFSET([2]characters!$A$1,0,0,COUNTA([2]characters!$A:$A),MATCH(B$1,[2]characters!$1:$1,0)-MATCH($A$1,[2]characters!$1:$1,0)+1),MATCH(B$1,[2]characters!$1:$1,0)-MATCH($A$1,[2]characters!$1:$1,0)+1,FALSE)</f>
        <v>炎のメタルチック</v>
      </c>
      <c r="C334" s="77" t="str">
        <f ca="1">VLOOKUP($A334,OFFSET([2]characters!$A$1,0,0,COUNTA([2]characters!$A:$A),MATCH(C$1,[2]characters!$1:$1,0)-MATCH($A$1,[2]characters!$1:$1,0)+1),MATCH(C$1,[2]characters!$1:$1,0)-MATCH($A$1,[2]characters!$1:$1,0)+1,FALSE)</f>
        <v>強化素材R4　赤</v>
      </c>
      <c r="D334" s="77" t="str">
        <f ca="1">VLOOKUP($A334,OFFSET([2]characters!$A$1,0,0,COUNTA([2]characters!$A:$A),MATCH(D$1,[2]characters!$1:$1,0)-MATCH($A$1,[2]characters!$1:$1,0)+1),MATCH(D$1,[2]characters!$1:$1,0)-MATCH($A$1,[2]characters!$1:$1,0)+1,FALSE)</f>
        <v>アリス</v>
      </c>
      <c r="E334" s="77" t="str">
        <f ca="1">VLOOKUP($A334,OFFSET([2]characters!$A$1,0,0,COUNTA([2]characters!$A:$A),MATCH(E$1,[2]characters!$1:$1,0)-MATCH($A$1,[2]characters!$1:$1,0)+1),MATCH(E$1,[2]characters!$1:$1,0)-MATCH($A$1,[2]characters!$1:$1,0)+1,FALSE)</f>
        <v>世界観</v>
      </c>
      <c r="F334" s="77" t="str">
        <f ca="1">VLOOKUP($A334,OFFSET([2]characters!$A$1,0,0,COUNTA([2]characters!$A:$A),MATCH(F$1,[2]characters!$1:$1,0)-MATCH($A$1,[2]characters!$1:$1,0)+1),MATCH(F$1,[2]characters!$1:$1,0)-MATCH($A$1,[2]characters!$1:$1,0)+1,FALSE)</f>
        <v>不明</v>
      </c>
      <c r="G334" s="77">
        <f ca="1">VLOOKUP($A334,OFFSET([2]characters!$A$1,0,0,COUNTA([2]characters!$A:$A),MATCH(G$1,[2]characters!$1:$1,0)-MATCH($A$1,[2]characters!$1:$1,0)+1),MATCH(G$1,[2]characters!$1:$1,0)-MATCH($A$1,[2]characters!$1:$1,0)+1,FALSE)</f>
        <v>4</v>
      </c>
      <c r="H334" s="77" t="str">
        <f ca="1">VLOOKUP($A334,OFFSET([2]characters!$A$1,0,0,COUNTA([2]characters!$A:$A),MATCH(H$1,[2]characters!$1:$1,0)-MATCH($A$1,[2]characters!$1:$1,0)+1),MATCH(H$1,[2]characters!$1:$1,0)-MATCH($A$1,[2]characters!$1:$1,0)+1,FALSE)</f>
        <v>Material</v>
      </c>
      <c r="I334" s="77" t="str">
        <f ca="1">VLOOKUP($A334,OFFSET([2]characters!$A$1,0,0,COUNTA([2]characters!$A:$A),MATCH(I$1,[2]characters!$1:$1,0)-MATCH($A$1,[2]characters!$1:$1,0)+1),MATCH(I$1,[2]characters!$1:$1,0)-MATCH($A$1,[2]characters!$1:$1,0)+1,FALSE)</f>
        <v>red</v>
      </c>
      <c r="J334" s="14">
        <f ca="1">VLOOKUP(I334,[2]属性!$A:$E,2,FALSE)</f>
        <v>1</v>
      </c>
      <c r="K334" s="14">
        <f ca="1">VLOOKUP(I334,[2]属性!$A:$E,3,FALSE)</f>
        <v>1.02</v>
      </c>
      <c r="L334" s="14">
        <f ca="1">VLOOKUP(I334,[2]属性!$A:$E,4,FALSE)</f>
        <v>1</v>
      </c>
      <c r="M334" s="14">
        <f ca="1">VLOOKUP(I334,[2]属性!$A:$E,5,FALSE)</f>
        <v>0.98</v>
      </c>
      <c r="N334" s="14">
        <f ca="1">INDEX(コスト!$A$1:$I$20,MATCH(H334,コスト!$A$1:$A$20,FALSE),MATCH(G334,コスト!$A$1:$I$1,FALSE))</f>
        <v>99</v>
      </c>
      <c r="O334" s="14">
        <f ca="1">INDEX(レベル!$A$1:$I$21,MATCH(H334,レベル!$A$1:$A$21,FALSE),MATCH(G334,レベル!$A$1:$I$1,FALSE))</f>
        <v>1</v>
      </c>
      <c r="P334" s="203">
        <v>1</v>
      </c>
      <c r="Q334" s="77" t="str">
        <f ca="1">VLOOKUP($A334,OFFSET([2]characters!$A$1,0,0,COUNTA([2]characters!$A:$A),MATCH(Q$1,[2]characters!$1:$1,0)-MATCH($A$1,[2]characters!$1:$1,0)+1),MATCH(Q$1,[2]characters!$1:$1,0)-MATCH($A$1,[2]characters!$1:$1,0)+1,FALSE)</f>
        <v>exp</v>
      </c>
      <c r="R334" s="8" t="str">
        <f ca="1">VLOOKUP(Q334,[2]character_type_i18n!$A:$H,3,FALSE)</f>
        <v>強化素材タイプ</v>
      </c>
      <c r="S334" s="14">
        <f ca="1">VLOOKUP(Q334,[2]character_type_i18n!$A:$H,4,FALSE)</f>
        <v>0.1</v>
      </c>
      <c r="T334" s="14">
        <f ca="1">VLOOKUP(Q334,[2]character_type_i18n!$A:$H,5,FALSE)</f>
        <v>0.05</v>
      </c>
      <c r="U334" s="14">
        <f ca="1">VLOOKUP(Q334,[2]character_type_i18n!$A:$H,6,FALSE)</f>
        <v>1</v>
      </c>
      <c r="V334" s="14">
        <f ca="1">VLOOKUP(Q334,[2]character_type_i18n!$A:$H,7,FALSE)</f>
        <v>0.05</v>
      </c>
      <c r="W334" s="77" t="str">
        <f ca="1">VLOOKUP($A334,OFFSET([2]characters!$A$1,0,0,COUNTA([2]characters!$A:$A),MATCH(W$1,[2]characters!$1:$1,0)-MATCH($A$1,[2]characters!$1:$1,0)+1),MATCH(W$1,[2]characters!$1:$1,0)-MATCH($A$1,[2]characters!$1:$1,0)+1,FALSE)</f>
        <v>unknown</v>
      </c>
      <c r="X334" s="8" t="str">
        <f ca="1">VLOOKUP(W334,[2]character_tribe_i18n!$A:$H,3,FALSE)</f>
        <v>Unknown</v>
      </c>
      <c r="Y334" s="77" t="str">
        <f ca="1">VLOOKUP($A334,OFFSET([2]characters!$A$1,0,0,COUNTA([2]characters!$A:$A),MATCH(Y$1,[2]characters!$1:$1,0)-MATCH($A$1,[2]characters!$1:$1,0)+1),MATCH(Y$1,[2]characters!$1:$1,0)-MATCH($A$1,[2]characters!$1:$1,0)+1,FALSE)</f>
        <v>none</v>
      </c>
      <c r="Z334" s="8" t="str">
        <f ca="1">VLOOKUP(Y334,[2]character_tribe_i18n!$A:$H,3,FALSE)</f>
        <v>種族なし</v>
      </c>
      <c r="AA334" s="14">
        <f ca="1">VLOOKUP(W334,[2]character_tribe_i18n!$A:$H,4,FALSE)</f>
        <v>1</v>
      </c>
      <c r="AB334" s="14">
        <f ca="1">VLOOKUP(W334,[2]character_tribe_i18n!$A:$H,5,FALSE)</f>
        <v>1</v>
      </c>
      <c r="AC334" s="14">
        <f ca="1">VLOOKUP(W334,[2]character_tribe_i18n!$A:$H,6,FALSE)</f>
        <v>1</v>
      </c>
      <c r="AD334" s="14">
        <f ca="1">VLOOKUP(W334,[2]character_tribe_i18n!$A:$H,7,FALSE)</f>
        <v>1</v>
      </c>
      <c r="AE334" s="12">
        <v>334</v>
      </c>
      <c r="AF334" s="85" t="str">
        <f ca="1">IF(AE334="NULL","",VLOOKUP($AE334,OFFSET([2]characters!$A$1,0,0,COUNTA([2]characters!$A:$A),MATCH(AF$1,[2]characters!$1:$1,0)-MATCH($A$1,[2]characters!$1:$1,0)+1),MATCH(AF$1,[2]characters!$1:$1,0)-MATCH($A$1,[2]characters!$1:$1,0)+1,FALSE))</f>
        <v>炎のメタルダック</v>
      </c>
      <c r="AG334" s="8">
        <f t="shared" ca="1" si="37"/>
        <v>332</v>
      </c>
      <c r="AH334" s="85" t="str">
        <f ca="1">VLOOKUP($AG334,OFFSET([2]characters!$A$1,0,0,COUNTA([2]characters!$A:$A),MATCH(AH$1,[2]characters!$1:$1,0)-MATCH($A$1,[2]characters!$1:$1,0)+1),MATCH(AH$1,[2]characters!$1:$1,0)-MATCH($A$1,[2]characters!$1:$1,0)+1,FALSE)</f>
        <v>炎のメタルピヨピヨ</v>
      </c>
      <c r="AI334" s="14">
        <v>5000</v>
      </c>
      <c r="AJ334" s="9">
        <v>3</v>
      </c>
      <c r="AK334" s="10" t="str">
        <f t="shared" si="38"/>
        <v>晩成</v>
      </c>
      <c r="AL334" s="14" t="str">
        <f ca="1">INDEX(経験値!$A$1:$I$20,MATCH(H334,経験値!$A$1:$A$20,FALSE),MATCH(G334,経験値!$A$1:$I$1,FALSE))</f>
        <v>NULL</v>
      </c>
      <c r="AM334" s="11">
        <v>5000</v>
      </c>
      <c r="AN334" s="21">
        <f ca="1">VLOOKUP(G334,ビット!$G$2:$H$7,2)</f>
        <v>600</v>
      </c>
      <c r="AO334" s="57"/>
      <c r="AP334" s="101">
        <v>990002</v>
      </c>
      <c r="AQ334" s="77" t="e">
        <f ca="1">VLOOKUP($AP334,OFFSET([1]unit_skills!$A$1,0,0,COUNTA([1]unit_skills!$A:$A),MATCH("name",[1]unit_skills!$1:$1,0)-MATCH($AP$1,[1]unit_skills!$1:$1,0)+1),MATCH("name",[1]unit_skills!$1:$1,0)-MATCH($AP$1,[1]unit_skills!$1:$1,0)+1,FALSE)</f>
        <v>#VALUE!</v>
      </c>
      <c r="AR334" s="77" t="e">
        <f ca="1">VLOOKUP($AP334,OFFSET([1]unit_skills!$A$1,0,0,COUNTA([1]unit_skills!$A:$A),MATCH("comment",[1]unit_skills!$1:$1,0)-MATCH($AP$1,[1]unit_skills!$1:$1,0)+1),MATCH("comment",[1]unit_skills!$1:$1,0)-MATCH($AP$1,[1]unit_skills!$1:$1,0)+1,FALSE)</f>
        <v>#VALUE!</v>
      </c>
      <c r="AS334" s="77" t="e">
        <f ca="1">VLOOKUP($AP334,OFFSET([1]unit_skills!$A$1,0,0,COUNTA([1]unit_skills!$A:$A),MATCH(AS$1,[1]unit_skills!$1:$1,0)-MATCH($AP$1,[1]unit_skills!$1:$1,0)+1),MATCH(AS$1,[1]unit_skills!$1:$1,0)-MATCH($AP$1,[1]unit_skills!$1:$1,0)+1,FALSE)</f>
        <v>#VALUE!</v>
      </c>
      <c r="AT334" s="53">
        <v>0</v>
      </c>
      <c r="AU334" s="77" t="e">
        <f ca="1">VLOOKUP($AT334,OFFSET([1]crash_skills!$A$1,0,0,COUNTA([1]crash_skills!$A:$A),MATCH("name",[1]crash_skills!$1:$1,0)-MATCH($AT$1,[1]crash_skills!$1:$1,0)+1),MATCH("name",[1]crash_skills!$1:$1,0)-MATCH($AT$1,[1]crash_skills!$1:$1,0)+1,FALSE)</f>
        <v>#VALUE!</v>
      </c>
      <c r="AV334" s="77" t="e">
        <f ca="1">VLOOKUP($AT334,OFFSET([1]crash_skills!$A$1,0,0,COUNTA([1]crash_skills!$A:$A),MATCH("comment",[1]crash_skills!$1:$1,0)-MATCH($AT$1,[1]crash_skills!$1:$1,0)+1),MATCH("comment",[1]crash_skills!$1:$1,0)-MATCH($AT$1,[1]crash_skills!$1:$1,0)+1,FALSE)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34" s="77" t="e">
        <f ca="1">VLOOKUP($AT334,OFFSET([1]crash_skills!$A$1,0,0,COUNTA([1]crash_skills!$A:$A),MATCH(AW$1,[1]crash_skills!$1:$1,0)-MATCH($AT$1,[1]crash_skills!$1:$1,0)+1),MATCH(AW$1,[1]crash_skills!$1:$1,0)-MATCH($AT$1,[1]crash_skills!$1:$1,0)+1,FALSE)</f>
        <v>#VALUE!</v>
      </c>
      <c r="AX334" s="81">
        <f ca="1">VLOOKUP($A334,OFFSET([2]characters!$A$1,0,0,COUNTA([2]characters!$A:$A),MATCH(AX$1,[2]characters!$1:$1,0)-MATCH($A$1,[2]characters!$1:$1,0)+1),MATCH(AX$1,[2]characters!$1:$1,0)-MATCH($A$1,[2]characters!$1:$1,0)+1,FALSE)</f>
        <v>3</v>
      </c>
      <c r="AY334" s="19">
        <v>1</v>
      </c>
      <c r="AZ334" s="19">
        <v>1</v>
      </c>
      <c r="BA334" s="19">
        <v>0</v>
      </c>
      <c r="BB334" s="19">
        <v>1</v>
      </c>
      <c r="BC334" s="14">
        <f ca="1">INDEX('RC6SV'!$A$1:$G$20,MATCH(H334,'RC6SV'!$A$1:$A$20,FALSE),MATCH(G334,'RC6SV'!$A$1:$G$1,FALSE))</f>
        <v>1000</v>
      </c>
      <c r="BD334" s="63">
        <f t="shared" ca="1" si="39"/>
        <v>1050</v>
      </c>
      <c r="BE334" s="14">
        <f t="shared" ca="1" si="40"/>
        <v>1000</v>
      </c>
      <c r="BF334" s="14">
        <f t="shared" ca="1" si="41"/>
        <v>1</v>
      </c>
      <c r="BG334" s="20">
        <f ca="1">IF($BE334&lt;=0,ROUND(BK334*0.5,0), ROUND($BE334*S334*AA334*J334*AY334*0.8*[2]ステータス!$B$2,0))</f>
        <v>40</v>
      </c>
      <c r="BH334" s="20">
        <f ca="1">IF($BE334&lt;=0,ROUND(BL334*0.5,0), ROUND($BE334*T334*AB334*K334*AZ334*0.8*[2]ステータス!$C$2,0))</f>
        <v>12</v>
      </c>
      <c r="BI334" s="20">
        <f ca="1">IF($BE334&lt;=0,ROUND(BM334*0.5,0), ROUND($BE334*U334*AC334*L334*BA334*0.8*[2]ステータス!$D$2,0))</f>
        <v>0</v>
      </c>
      <c r="BJ334" s="20">
        <f ca="1">IF($BE334&lt;=0,ROUND(BN334*0.5,0), ROUND($BE334*V334*AD334*M334*BB334*0.8*[2]ステータス!$E$2,0))</f>
        <v>10</v>
      </c>
      <c r="BK334" s="14">
        <f ca="1">ROUND(BD334*S334*AA334*J334*AY334*[2]ステータス!$B$2,0)</f>
        <v>53</v>
      </c>
      <c r="BL334" s="14">
        <f ca="1">ROUND(BD334*T334*AB334*K334*AZ334*[2]ステータス!$C$2,0)</f>
        <v>16</v>
      </c>
      <c r="BM334" s="14">
        <f ca="1">ROUND(BD334*U334*AC334*L334*BA334*[2]ステータス!$D$2,0)</f>
        <v>0</v>
      </c>
      <c r="BN334" s="14">
        <f ca="1">ROUND(BD334*V334*AD334*M334*BB334*[2]ステータス!$E$2,0)</f>
        <v>13</v>
      </c>
      <c r="BO334" s="13">
        <v>0</v>
      </c>
      <c r="BP334" s="13">
        <v>1</v>
      </c>
      <c r="BQ334" s="49" t="s">
        <v>102</v>
      </c>
      <c r="BR334" s="13">
        <f ca="1">VLOOKUP(H334,ghosts_label!$A$2:$B$19,2,FALSE)</f>
        <v>0</v>
      </c>
    </row>
    <row r="335" spans="1:70" ht="21" customHeight="1" x14ac:dyDescent="0.15">
      <c r="A335" s="14">
        <f t="shared" ca="1" si="36"/>
        <v>334</v>
      </c>
      <c r="B335" s="77" t="str">
        <f ca="1">VLOOKUP($A335,OFFSET([2]characters!$A$1,0,0,COUNTA([2]characters!$A:$A),MATCH(B$1,[2]characters!$1:$1,0)-MATCH($A$1,[2]characters!$1:$1,0)+1),MATCH(B$1,[2]characters!$1:$1,0)-MATCH($A$1,[2]characters!$1:$1,0)+1,FALSE)</f>
        <v>炎のメタルダック</v>
      </c>
      <c r="C335" s="77" t="str">
        <f ca="1">VLOOKUP($A335,OFFSET([2]characters!$A$1,0,0,COUNTA([2]characters!$A:$A),MATCH(C$1,[2]characters!$1:$1,0)-MATCH($A$1,[2]characters!$1:$1,0)+1),MATCH(C$1,[2]characters!$1:$1,0)-MATCH($A$1,[2]characters!$1:$1,0)+1,FALSE)</f>
        <v>強化素材R5　赤</v>
      </c>
      <c r="D335" s="77" t="str">
        <f ca="1">VLOOKUP($A335,OFFSET([2]characters!$A$1,0,0,COUNTA([2]characters!$A:$A),MATCH(D$1,[2]characters!$1:$1,0)-MATCH($A$1,[2]characters!$1:$1,0)+1),MATCH(D$1,[2]characters!$1:$1,0)-MATCH($A$1,[2]characters!$1:$1,0)+1,FALSE)</f>
        <v>アリス</v>
      </c>
      <c r="E335" s="77" t="str">
        <f ca="1">VLOOKUP($A335,OFFSET([2]characters!$A$1,0,0,COUNTA([2]characters!$A:$A),MATCH(E$1,[2]characters!$1:$1,0)-MATCH($A$1,[2]characters!$1:$1,0)+1),MATCH(E$1,[2]characters!$1:$1,0)-MATCH($A$1,[2]characters!$1:$1,0)+1,FALSE)</f>
        <v>世界観</v>
      </c>
      <c r="F335" s="77" t="str">
        <f ca="1">VLOOKUP($A335,OFFSET([2]characters!$A$1,0,0,COUNTA([2]characters!$A:$A),MATCH(F$1,[2]characters!$1:$1,0)-MATCH($A$1,[2]characters!$1:$1,0)+1),MATCH(F$1,[2]characters!$1:$1,0)-MATCH($A$1,[2]characters!$1:$1,0)+1,FALSE)</f>
        <v>不明</v>
      </c>
      <c r="G335" s="77">
        <f ca="1">VLOOKUP($A335,OFFSET([2]characters!$A$1,0,0,COUNTA([2]characters!$A:$A),MATCH(G$1,[2]characters!$1:$1,0)-MATCH($A$1,[2]characters!$1:$1,0)+1),MATCH(G$1,[2]characters!$1:$1,0)-MATCH($A$1,[2]characters!$1:$1,0)+1,FALSE)</f>
        <v>5</v>
      </c>
      <c r="H335" s="77" t="str">
        <f ca="1">VLOOKUP($A335,OFFSET([2]characters!$A$1,0,0,COUNTA([2]characters!$A:$A),MATCH(H$1,[2]characters!$1:$1,0)-MATCH($A$1,[2]characters!$1:$1,0)+1),MATCH(H$1,[2]characters!$1:$1,0)-MATCH($A$1,[2]characters!$1:$1,0)+1,FALSE)</f>
        <v>Material</v>
      </c>
      <c r="I335" s="77" t="str">
        <f ca="1">VLOOKUP($A335,OFFSET([2]characters!$A$1,0,0,COUNTA([2]characters!$A:$A),MATCH(I$1,[2]characters!$1:$1,0)-MATCH($A$1,[2]characters!$1:$1,0)+1),MATCH(I$1,[2]characters!$1:$1,0)-MATCH($A$1,[2]characters!$1:$1,0)+1,FALSE)</f>
        <v>red</v>
      </c>
      <c r="J335" s="14">
        <f ca="1">VLOOKUP(I335,[2]属性!$A:$E,2,FALSE)</f>
        <v>1</v>
      </c>
      <c r="K335" s="14">
        <f ca="1">VLOOKUP(I335,[2]属性!$A:$E,3,FALSE)</f>
        <v>1.02</v>
      </c>
      <c r="L335" s="14">
        <f ca="1">VLOOKUP(I335,[2]属性!$A:$E,4,FALSE)</f>
        <v>1</v>
      </c>
      <c r="M335" s="14">
        <f ca="1">VLOOKUP(I335,[2]属性!$A:$E,5,FALSE)</f>
        <v>0.98</v>
      </c>
      <c r="N335" s="14">
        <f ca="1">INDEX(コスト!$A$1:$I$20,MATCH(H335,コスト!$A$1:$A$20,FALSE),MATCH(G335,コスト!$A$1:$I$1,FALSE))</f>
        <v>99</v>
      </c>
      <c r="O335" s="14">
        <f ca="1">INDEX(レベル!$A$1:$I$21,MATCH(H335,レベル!$A$1:$A$21,FALSE),MATCH(G335,レベル!$A$1:$I$1,FALSE))</f>
        <v>1</v>
      </c>
      <c r="P335" s="203">
        <v>1</v>
      </c>
      <c r="Q335" s="77" t="str">
        <f ca="1">VLOOKUP($A335,OFFSET([2]characters!$A$1,0,0,COUNTA([2]characters!$A:$A),MATCH(Q$1,[2]characters!$1:$1,0)-MATCH($A$1,[2]characters!$1:$1,0)+1),MATCH(Q$1,[2]characters!$1:$1,0)-MATCH($A$1,[2]characters!$1:$1,0)+1,FALSE)</f>
        <v>exp</v>
      </c>
      <c r="R335" s="8" t="str">
        <f ca="1">VLOOKUP(Q335,[2]character_type_i18n!$A:$H,3,FALSE)</f>
        <v>強化素材タイプ</v>
      </c>
      <c r="S335" s="14">
        <f ca="1">VLOOKUP(Q335,[2]character_type_i18n!$A:$H,4,FALSE)</f>
        <v>0.1</v>
      </c>
      <c r="T335" s="14">
        <f ca="1">VLOOKUP(Q335,[2]character_type_i18n!$A:$H,5,FALSE)</f>
        <v>0.05</v>
      </c>
      <c r="U335" s="14">
        <f ca="1">VLOOKUP(Q335,[2]character_type_i18n!$A:$H,6,FALSE)</f>
        <v>1</v>
      </c>
      <c r="V335" s="14">
        <f ca="1">VLOOKUP(Q335,[2]character_type_i18n!$A:$H,7,FALSE)</f>
        <v>0.05</v>
      </c>
      <c r="W335" s="77" t="str">
        <f ca="1">VLOOKUP($A335,OFFSET([2]characters!$A$1,0,0,COUNTA([2]characters!$A:$A),MATCH(W$1,[2]characters!$1:$1,0)-MATCH($A$1,[2]characters!$1:$1,0)+1),MATCH(W$1,[2]characters!$1:$1,0)-MATCH($A$1,[2]characters!$1:$1,0)+1,FALSE)</f>
        <v>unknown</v>
      </c>
      <c r="X335" s="8" t="str">
        <f ca="1">VLOOKUP(W335,[2]character_tribe_i18n!$A:$H,3,FALSE)</f>
        <v>Unknown</v>
      </c>
      <c r="Y335" s="77" t="str">
        <f ca="1">VLOOKUP($A335,OFFSET([2]characters!$A$1,0,0,COUNTA([2]characters!$A:$A),MATCH(Y$1,[2]characters!$1:$1,0)-MATCH($A$1,[2]characters!$1:$1,0)+1),MATCH(Y$1,[2]characters!$1:$1,0)-MATCH($A$1,[2]characters!$1:$1,0)+1,FALSE)</f>
        <v>none</v>
      </c>
      <c r="Z335" s="8" t="str">
        <f ca="1">VLOOKUP(Y335,[2]character_tribe_i18n!$A:$H,3,FALSE)</f>
        <v>種族なし</v>
      </c>
      <c r="AA335" s="14">
        <f ca="1">VLOOKUP(W335,[2]character_tribe_i18n!$A:$H,4,FALSE)</f>
        <v>1</v>
      </c>
      <c r="AB335" s="14">
        <f ca="1">VLOOKUP(W335,[2]character_tribe_i18n!$A:$H,5,FALSE)</f>
        <v>1</v>
      </c>
      <c r="AC335" s="14">
        <f ca="1">VLOOKUP(W335,[2]character_tribe_i18n!$A:$H,6,FALSE)</f>
        <v>1</v>
      </c>
      <c r="AD335" s="14">
        <f ca="1">VLOOKUP(W335,[2]character_tribe_i18n!$A:$H,7,FALSE)</f>
        <v>1</v>
      </c>
      <c r="AE335" s="12" t="s">
        <v>102</v>
      </c>
      <c r="AF335" s="85" t="str">
        <f ca="1">IF(AE335="NULL","",VLOOKUP($AE335,OFFSET([2]characters!$A$1,0,0,COUNTA([2]characters!$A:$A),MATCH(AF$1,[2]characters!$1:$1,0)-MATCH($A$1,[2]characters!$1:$1,0)+1),MATCH(AF$1,[2]characters!$1:$1,0)-MATCH($A$1,[2]characters!$1:$1,0)+1,FALSE))</f>
        <v/>
      </c>
      <c r="AG335" s="8">
        <f t="shared" ca="1" si="37"/>
        <v>332</v>
      </c>
      <c r="AH335" s="85" t="str">
        <f ca="1">VLOOKUP($AG335,OFFSET([2]characters!$A$1,0,0,COUNTA([2]characters!$A:$A),MATCH(AH$1,[2]characters!$1:$1,0)-MATCH($A$1,[2]characters!$1:$1,0)+1),MATCH(AH$1,[2]characters!$1:$1,0)-MATCH($A$1,[2]characters!$1:$1,0)+1,FALSE)</f>
        <v>炎のメタルピヨピヨ</v>
      </c>
      <c r="AI335" s="14" t="str">
        <f>IF(AE335="NULL","NULL",VLOOKUP(G335,ビット!$A$2:$B$7,2))</f>
        <v>NULL</v>
      </c>
      <c r="AJ335" s="9">
        <v>3</v>
      </c>
      <c r="AK335" s="10" t="str">
        <f t="shared" si="38"/>
        <v>晩成</v>
      </c>
      <c r="AL335" s="14" t="str">
        <f ca="1">INDEX(経験値!$A$1:$I$20,MATCH(H335,経験値!$A$1:$A$20,FALSE),MATCH(G335,経験値!$A$1:$I$1,FALSE))</f>
        <v>NULL</v>
      </c>
      <c r="AM335" s="11">
        <v>20000</v>
      </c>
      <c r="AN335" s="21">
        <f ca="1">VLOOKUP(G335,ビット!$G$2:$H$7,2)</f>
        <v>900</v>
      </c>
      <c r="AO335" s="57"/>
      <c r="AP335" s="101">
        <v>990003</v>
      </c>
      <c r="AQ335" s="77" t="e">
        <f ca="1">VLOOKUP($AP335,OFFSET([1]unit_skills!$A$1,0,0,COUNTA([1]unit_skills!$A:$A),MATCH("name",[1]unit_skills!$1:$1,0)-MATCH($AP$1,[1]unit_skills!$1:$1,0)+1),MATCH("name",[1]unit_skills!$1:$1,0)-MATCH($AP$1,[1]unit_skills!$1:$1,0)+1,FALSE)</f>
        <v>#VALUE!</v>
      </c>
      <c r="AR335" s="77" t="e">
        <f ca="1">VLOOKUP($AP335,OFFSET([1]unit_skills!$A$1,0,0,COUNTA([1]unit_skills!$A:$A),MATCH("comment",[1]unit_skills!$1:$1,0)-MATCH($AP$1,[1]unit_skills!$1:$1,0)+1),MATCH("comment",[1]unit_skills!$1:$1,0)-MATCH($AP$1,[1]unit_skills!$1:$1,0)+1,FALSE)</f>
        <v>#VALUE!</v>
      </c>
      <c r="AS335" s="77" t="e">
        <f ca="1">VLOOKUP($AP335,OFFSET([1]unit_skills!$A$1,0,0,COUNTA([1]unit_skills!$A:$A),MATCH(AS$1,[1]unit_skills!$1:$1,0)-MATCH($AP$1,[1]unit_skills!$1:$1,0)+1),MATCH(AS$1,[1]unit_skills!$1:$1,0)-MATCH($AP$1,[1]unit_skills!$1:$1,0)+1,FALSE)</f>
        <v>#VALUE!</v>
      </c>
      <c r="AT335" s="53">
        <v>0</v>
      </c>
      <c r="AU335" s="77" t="e">
        <f ca="1">VLOOKUP($AT335,OFFSET([1]crash_skills!$A$1,0,0,COUNTA([1]crash_skills!$A:$A),MATCH("name",[1]crash_skills!$1:$1,0)-MATCH($AT$1,[1]crash_skills!$1:$1,0)+1),MATCH("name",[1]crash_skills!$1:$1,0)-MATCH($AT$1,[1]crash_skills!$1:$1,0)+1,FALSE)</f>
        <v>#VALUE!</v>
      </c>
      <c r="AV335" s="77" t="e">
        <f ca="1">VLOOKUP($AT335,OFFSET([1]crash_skills!$A$1,0,0,COUNTA([1]crash_skills!$A:$A),MATCH("comment",[1]crash_skills!$1:$1,0)-MATCH($AT$1,[1]crash_skills!$1:$1,0)+1),MATCH("comment",[1]crash_skills!$1:$1,0)-MATCH($AT$1,[1]crash_skills!$1:$1,0)+1,FALSE)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35" s="77" t="e">
        <f ca="1">VLOOKUP($AT335,OFFSET([1]crash_skills!$A$1,0,0,COUNTA([1]crash_skills!$A:$A),MATCH(AW$1,[1]crash_skills!$1:$1,0)-MATCH($AT$1,[1]crash_skills!$1:$1,0)+1),MATCH(AW$1,[1]crash_skills!$1:$1,0)-MATCH($AT$1,[1]crash_skills!$1:$1,0)+1,FALSE)</f>
        <v>#VALUE!</v>
      </c>
      <c r="AX335" s="81">
        <f ca="1">VLOOKUP($A335,OFFSET([2]characters!$A$1,0,0,COUNTA([2]characters!$A:$A),MATCH(AX$1,[2]characters!$1:$1,0)-MATCH($A$1,[2]characters!$1:$1,0)+1),MATCH(AX$1,[2]characters!$1:$1,0)-MATCH($A$1,[2]characters!$1:$1,0)+1,FALSE)</f>
        <v>3</v>
      </c>
      <c r="AY335" s="19">
        <v>1</v>
      </c>
      <c r="AZ335" s="19">
        <v>1</v>
      </c>
      <c r="BA335" s="19">
        <v>0</v>
      </c>
      <c r="BB335" s="19">
        <v>1</v>
      </c>
      <c r="BC335" s="14">
        <f ca="1">INDEX('RC6SV'!$A$1:$G$20,MATCH(H335,'RC6SV'!$A$1:$A$20,FALSE),MATCH(G335,'RC6SV'!$A$1:$G$1,FALSE))</f>
        <v>1000</v>
      </c>
      <c r="BD335" s="63">
        <f t="shared" ca="1" si="39"/>
        <v>1050</v>
      </c>
      <c r="BE335" s="14">
        <f t="shared" ca="1" si="40"/>
        <v>1000</v>
      </c>
      <c r="BF335" s="14">
        <f t="shared" ca="1" si="41"/>
        <v>1</v>
      </c>
      <c r="BG335" s="20">
        <f ca="1">IF($BE335&lt;=0,ROUND(BK335*0.5,0), ROUND($BE335*S335*AA335*J335*AY335*0.8*[2]ステータス!$B$2,0))</f>
        <v>40</v>
      </c>
      <c r="BH335" s="20">
        <f ca="1">IF($BE335&lt;=0,ROUND(BL335*0.5,0), ROUND($BE335*T335*AB335*K335*AZ335*0.8*[2]ステータス!$C$2,0))</f>
        <v>12</v>
      </c>
      <c r="BI335" s="20">
        <f ca="1">IF($BE335&lt;=0,ROUND(BM335*0.5,0), ROUND($BE335*U335*AC335*L335*BA335*0.8*[2]ステータス!$D$2,0))</f>
        <v>0</v>
      </c>
      <c r="BJ335" s="20">
        <f ca="1">IF($BE335&lt;=0,ROUND(BN335*0.5,0), ROUND($BE335*V335*AD335*M335*BB335*0.8*[2]ステータス!$E$2,0))</f>
        <v>10</v>
      </c>
      <c r="BK335" s="14">
        <f ca="1">ROUND(BD335*S335*AA335*J335*AY335*[2]ステータス!$B$2,0)</f>
        <v>53</v>
      </c>
      <c r="BL335" s="14">
        <f ca="1">ROUND(BD335*T335*AB335*K335*AZ335*[2]ステータス!$C$2,0)</f>
        <v>16</v>
      </c>
      <c r="BM335" s="14">
        <f ca="1">ROUND(BD335*U335*AC335*L335*BA335*[2]ステータス!$D$2,0)</f>
        <v>0</v>
      </c>
      <c r="BN335" s="14">
        <f ca="1">ROUND(BD335*V335*AD335*M335*BB335*[2]ステータス!$E$2,0)</f>
        <v>13</v>
      </c>
      <c r="BO335" s="13">
        <v>0</v>
      </c>
      <c r="BP335" s="13">
        <v>1</v>
      </c>
      <c r="BQ335" s="49" t="s">
        <v>102</v>
      </c>
      <c r="BR335" s="13">
        <f ca="1">VLOOKUP(H335,ghosts_label!$A$2:$B$19,2,FALSE)</f>
        <v>0</v>
      </c>
    </row>
    <row r="336" spans="1:70" ht="21" customHeight="1" x14ac:dyDescent="0.15">
      <c r="A336" s="14">
        <f t="shared" ca="1" si="36"/>
        <v>335</v>
      </c>
      <c r="B336" s="77" t="str">
        <f ca="1">VLOOKUP($A336,OFFSET([2]characters!$A$1,0,0,COUNTA([2]characters!$A:$A),MATCH(B$1,[2]characters!$1:$1,0)-MATCH($A$1,[2]characters!$1:$1,0)+1),MATCH(B$1,[2]characters!$1:$1,0)-MATCH($A$1,[2]characters!$1:$1,0)+1,FALSE)</f>
        <v>炎のメタルジェントル</v>
      </c>
      <c r="C336" s="77" t="str">
        <f ca="1">VLOOKUP($A336,OFFSET([2]characters!$A$1,0,0,COUNTA([2]characters!$A:$A),MATCH(C$1,[2]characters!$1:$1,0)-MATCH($A$1,[2]characters!$1:$1,0)+1),MATCH(C$1,[2]characters!$1:$1,0)-MATCH($A$1,[2]characters!$1:$1,0)+1,FALSE)</f>
        <v>強化素材R6　赤</v>
      </c>
      <c r="D336" s="77" t="str">
        <f ca="1">VLOOKUP($A336,OFFSET([2]characters!$A$1,0,0,COUNTA([2]characters!$A:$A),MATCH(D$1,[2]characters!$1:$1,0)-MATCH($A$1,[2]characters!$1:$1,0)+1),MATCH(D$1,[2]characters!$1:$1,0)-MATCH($A$1,[2]characters!$1:$1,0)+1,FALSE)</f>
        <v>アリス</v>
      </c>
      <c r="E336" s="77" t="str">
        <f ca="1">VLOOKUP($A336,OFFSET([2]characters!$A$1,0,0,COUNTA([2]characters!$A:$A),MATCH(E$1,[2]characters!$1:$1,0)-MATCH($A$1,[2]characters!$1:$1,0)+1),MATCH(E$1,[2]characters!$1:$1,0)-MATCH($A$1,[2]characters!$1:$1,0)+1,FALSE)</f>
        <v>世界観</v>
      </c>
      <c r="F336" s="77" t="str">
        <f ca="1">VLOOKUP($A336,OFFSET([2]characters!$A$1,0,0,COUNTA([2]characters!$A:$A),MATCH(F$1,[2]characters!$1:$1,0)-MATCH($A$1,[2]characters!$1:$1,0)+1),MATCH(F$1,[2]characters!$1:$1,0)-MATCH($A$1,[2]characters!$1:$1,0)+1,FALSE)</f>
        <v>不明</v>
      </c>
      <c r="G336" s="77">
        <f ca="1">VLOOKUP($A336,OFFSET([2]characters!$A$1,0,0,COUNTA([2]characters!$A:$A),MATCH(G$1,[2]characters!$1:$1,0)-MATCH($A$1,[2]characters!$1:$1,0)+1),MATCH(G$1,[2]characters!$1:$1,0)-MATCH($A$1,[2]characters!$1:$1,0)+1,FALSE)</f>
        <v>6</v>
      </c>
      <c r="H336" s="77" t="str">
        <f ca="1">VLOOKUP($A336,OFFSET([2]characters!$A$1,0,0,COUNTA([2]characters!$A:$A),MATCH(H$1,[2]characters!$1:$1,0)-MATCH($A$1,[2]characters!$1:$1,0)+1),MATCH(H$1,[2]characters!$1:$1,0)-MATCH($A$1,[2]characters!$1:$1,0)+1,FALSE)</f>
        <v>Material</v>
      </c>
      <c r="I336" s="77" t="str">
        <f ca="1">VLOOKUP($A336,OFFSET([2]characters!$A$1,0,0,COUNTA([2]characters!$A:$A),MATCH(I$1,[2]characters!$1:$1,0)-MATCH($A$1,[2]characters!$1:$1,0)+1),MATCH(I$1,[2]characters!$1:$1,0)-MATCH($A$1,[2]characters!$1:$1,0)+1,FALSE)</f>
        <v>red</v>
      </c>
      <c r="J336" s="14">
        <f ca="1">VLOOKUP(I336,[2]属性!$A:$E,2,FALSE)</f>
        <v>1</v>
      </c>
      <c r="K336" s="14">
        <f ca="1">VLOOKUP(I336,[2]属性!$A:$E,3,FALSE)</f>
        <v>1.02</v>
      </c>
      <c r="L336" s="14">
        <f ca="1">VLOOKUP(I336,[2]属性!$A:$E,4,FALSE)</f>
        <v>1</v>
      </c>
      <c r="M336" s="14">
        <f ca="1">VLOOKUP(I336,[2]属性!$A:$E,5,FALSE)</f>
        <v>0.98</v>
      </c>
      <c r="N336" s="14">
        <f ca="1">INDEX(コスト!$A$1:$I$20,MATCH(H336,コスト!$A$1:$A$20,FALSE),MATCH(G336,コスト!$A$1:$I$1,FALSE))</f>
        <v>99</v>
      </c>
      <c r="O336" s="14">
        <f ca="1">INDEX(レベル!$A$1:$I$21,MATCH(H336,レベル!$A$1:$A$21,FALSE),MATCH(G336,レベル!$A$1:$I$1,FALSE))</f>
        <v>1</v>
      </c>
      <c r="P336" s="203">
        <v>1</v>
      </c>
      <c r="Q336" s="77" t="str">
        <f ca="1">VLOOKUP($A336,OFFSET([2]characters!$A$1,0,0,COUNTA([2]characters!$A:$A),MATCH(Q$1,[2]characters!$1:$1,0)-MATCH($A$1,[2]characters!$1:$1,0)+1),MATCH(Q$1,[2]characters!$1:$1,0)-MATCH($A$1,[2]characters!$1:$1,0)+1,FALSE)</f>
        <v>exp</v>
      </c>
      <c r="R336" s="8" t="str">
        <f ca="1">VLOOKUP(Q336,[2]character_type_i18n!$A:$H,3,FALSE)</f>
        <v>強化素材タイプ</v>
      </c>
      <c r="S336" s="14">
        <f ca="1">VLOOKUP(Q336,[2]character_type_i18n!$A:$H,4,FALSE)</f>
        <v>0.1</v>
      </c>
      <c r="T336" s="14">
        <f ca="1">VLOOKUP(Q336,[2]character_type_i18n!$A:$H,5,FALSE)</f>
        <v>0.05</v>
      </c>
      <c r="U336" s="14">
        <f ca="1">VLOOKUP(Q336,[2]character_type_i18n!$A:$H,6,FALSE)</f>
        <v>1</v>
      </c>
      <c r="V336" s="14">
        <f ca="1">VLOOKUP(Q336,[2]character_type_i18n!$A:$H,7,FALSE)</f>
        <v>0.05</v>
      </c>
      <c r="W336" s="77" t="str">
        <f ca="1">VLOOKUP($A336,OFFSET([2]characters!$A$1,0,0,COUNTA([2]characters!$A:$A),MATCH(W$1,[2]characters!$1:$1,0)-MATCH($A$1,[2]characters!$1:$1,0)+1),MATCH(W$1,[2]characters!$1:$1,0)-MATCH($A$1,[2]characters!$1:$1,0)+1,FALSE)</f>
        <v>unknown</v>
      </c>
      <c r="X336" s="8" t="str">
        <f ca="1">VLOOKUP(W336,[2]character_tribe_i18n!$A:$H,3,FALSE)</f>
        <v>Unknown</v>
      </c>
      <c r="Y336" s="77" t="str">
        <f ca="1">VLOOKUP($A336,OFFSET([2]characters!$A$1,0,0,COUNTA([2]characters!$A:$A),MATCH(Y$1,[2]characters!$1:$1,0)-MATCH($A$1,[2]characters!$1:$1,0)+1),MATCH(Y$1,[2]characters!$1:$1,0)-MATCH($A$1,[2]characters!$1:$1,0)+1,FALSE)</f>
        <v>none</v>
      </c>
      <c r="Z336" s="8" t="str">
        <f ca="1">VLOOKUP(Y336,[2]character_tribe_i18n!$A:$H,3,FALSE)</f>
        <v>種族なし</v>
      </c>
      <c r="AA336" s="14">
        <f ca="1">VLOOKUP(W336,[2]character_tribe_i18n!$A:$H,4,FALSE)</f>
        <v>1</v>
      </c>
      <c r="AB336" s="14">
        <f ca="1">VLOOKUP(W336,[2]character_tribe_i18n!$A:$H,5,FALSE)</f>
        <v>1</v>
      </c>
      <c r="AC336" s="14">
        <f ca="1">VLOOKUP(W336,[2]character_tribe_i18n!$A:$H,6,FALSE)</f>
        <v>1</v>
      </c>
      <c r="AD336" s="14">
        <f ca="1">VLOOKUP(W336,[2]character_tribe_i18n!$A:$H,7,FALSE)</f>
        <v>1</v>
      </c>
      <c r="AE336" s="12" t="s">
        <v>102</v>
      </c>
      <c r="AF336" s="85" t="str">
        <f ca="1">IF(AE336="NULL","",VLOOKUP($AE336,OFFSET([2]characters!$A$1,0,0,COUNTA([2]characters!$A:$A),MATCH(AF$1,[2]characters!$1:$1,0)-MATCH($A$1,[2]characters!$1:$1,0)+1),MATCH(AF$1,[2]characters!$1:$1,0)-MATCH($A$1,[2]characters!$1:$1,0)+1,FALSE))</f>
        <v/>
      </c>
      <c r="AG336" s="8">
        <f t="shared" ca="1" si="37"/>
        <v>335</v>
      </c>
      <c r="AH336" s="85" t="str">
        <f ca="1">VLOOKUP($AG336,OFFSET([2]characters!$A$1,0,0,COUNTA([2]characters!$A:$A),MATCH(AH$1,[2]characters!$1:$1,0)-MATCH($A$1,[2]characters!$1:$1,0)+1),MATCH(AH$1,[2]characters!$1:$1,0)-MATCH($A$1,[2]characters!$1:$1,0)+1,FALSE)</f>
        <v>炎のメタルジェントル</v>
      </c>
      <c r="AI336" s="14" t="str">
        <f>IF(AE336="NULL","NULL",VLOOKUP(G336,ビット!$A$2:$B$7,2))</f>
        <v>NULL</v>
      </c>
      <c r="AJ336" s="9">
        <v>3</v>
      </c>
      <c r="AK336" s="10" t="str">
        <f t="shared" si="38"/>
        <v>晩成</v>
      </c>
      <c r="AL336" s="14" t="str">
        <f ca="1">INDEX(経験値!$A$1:$I$20,MATCH(H336,経験値!$A$1:$A$20,FALSE),MATCH(G336,経験値!$A$1:$I$1,FALSE))</f>
        <v>NULL</v>
      </c>
      <c r="AM336" s="11">
        <v>65000</v>
      </c>
      <c r="AN336" s="21">
        <f ca="1">VLOOKUP(G336,ビット!$G$2:$H$7,2)</f>
        <v>900</v>
      </c>
      <c r="AO336" s="57"/>
      <c r="AP336" s="101">
        <v>990004</v>
      </c>
      <c r="AQ336" s="77" t="e">
        <f ca="1">VLOOKUP($AP336,OFFSET([1]unit_skills!$A$1,0,0,COUNTA([1]unit_skills!$A:$A),MATCH("name",[1]unit_skills!$1:$1,0)-MATCH($AP$1,[1]unit_skills!$1:$1,0)+1),MATCH("name",[1]unit_skills!$1:$1,0)-MATCH($AP$1,[1]unit_skills!$1:$1,0)+1,FALSE)</f>
        <v>#VALUE!</v>
      </c>
      <c r="AR336" s="77" t="e">
        <f ca="1">VLOOKUP($AP336,OFFSET([1]unit_skills!$A$1,0,0,COUNTA([1]unit_skills!$A:$A),MATCH("comment",[1]unit_skills!$1:$1,0)-MATCH($AP$1,[1]unit_skills!$1:$1,0)+1),MATCH("comment",[1]unit_skills!$1:$1,0)-MATCH($AP$1,[1]unit_skills!$1:$1,0)+1,FALSE)</f>
        <v>#VALUE!</v>
      </c>
      <c r="AS336" s="77" t="e">
        <f ca="1">VLOOKUP($AP336,OFFSET([1]unit_skills!$A$1,0,0,COUNTA([1]unit_skills!$A:$A),MATCH(AS$1,[1]unit_skills!$1:$1,0)-MATCH($AP$1,[1]unit_skills!$1:$1,0)+1),MATCH(AS$1,[1]unit_skills!$1:$1,0)-MATCH($AP$1,[1]unit_skills!$1:$1,0)+1,FALSE)</f>
        <v>#VALUE!</v>
      </c>
      <c r="AT336" s="53">
        <v>0</v>
      </c>
      <c r="AU336" s="77" t="e">
        <f ca="1">VLOOKUP($AT336,OFFSET([1]crash_skills!$A$1,0,0,COUNTA([1]crash_skills!$A:$A),MATCH("name",[1]crash_skills!$1:$1,0)-MATCH($AT$1,[1]crash_skills!$1:$1,0)+1),MATCH("name",[1]crash_skills!$1:$1,0)-MATCH($AT$1,[1]crash_skills!$1:$1,0)+1,FALSE)</f>
        <v>#VALUE!</v>
      </c>
      <c r="AV336" s="77" t="e">
        <f ca="1">VLOOKUP($AT336,OFFSET([1]crash_skills!$A$1,0,0,COUNTA([1]crash_skills!$A:$A),MATCH("comment",[1]crash_skills!$1:$1,0)-MATCH($AT$1,[1]crash_skills!$1:$1,0)+1),MATCH("comment",[1]crash_skills!$1:$1,0)-MATCH($AT$1,[1]crash_skills!$1:$1,0)+1,FALSE)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36" s="77" t="e">
        <f ca="1">VLOOKUP($AT336,OFFSET([1]crash_skills!$A$1,0,0,COUNTA([1]crash_skills!$A:$A),MATCH(AW$1,[1]crash_skills!$1:$1,0)-MATCH($AT$1,[1]crash_skills!$1:$1,0)+1),MATCH(AW$1,[1]crash_skills!$1:$1,0)-MATCH($AT$1,[1]crash_skills!$1:$1,0)+1,FALSE)</f>
        <v>#VALUE!</v>
      </c>
      <c r="AX336" s="81">
        <f ca="1">VLOOKUP($A336,OFFSET([2]characters!$A$1,0,0,COUNTA([2]characters!$A:$A),MATCH(AX$1,[2]characters!$1:$1,0)-MATCH($A$1,[2]characters!$1:$1,0)+1),MATCH(AX$1,[2]characters!$1:$1,0)-MATCH($A$1,[2]characters!$1:$1,0)+1,FALSE)</f>
        <v>3</v>
      </c>
      <c r="AY336" s="19">
        <v>1</v>
      </c>
      <c r="AZ336" s="19">
        <v>1</v>
      </c>
      <c r="BA336" s="19">
        <v>0</v>
      </c>
      <c r="BB336" s="19">
        <v>1</v>
      </c>
      <c r="BC336" s="14">
        <f ca="1">INDEX('RC6SV'!$A$1:$G$20,MATCH(H336,'RC6SV'!$A$1:$A$20,FALSE),MATCH(G336,'RC6SV'!$A$1:$G$1,FALSE))</f>
        <v>1000</v>
      </c>
      <c r="BD336" s="63">
        <f t="shared" ca="1" si="39"/>
        <v>1050</v>
      </c>
      <c r="BE336" s="14">
        <f t="shared" ca="1" si="40"/>
        <v>0</v>
      </c>
      <c r="BF336" s="14">
        <f t="shared" ca="1" si="41"/>
        <v>1</v>
      </c>
      <c r="BG336" s="20">
        <f ca="1">IF($BE336&lt;=0,ROUND(BK336*0.5,0), ROUND($BE336*S336*AA336*J336*AY336*0.8*[2]ステータス!$B$2,0))</f>
        <v>27</v>
      </c>
      <c r="BH336" s="20">
        <f ca="1">IF($BE336&lt;=0,ROUND(BL336*0.5,0), ROUND($BE336*T336*AB336*K336*AZ336*0.8*[2]ステータス!$C$2,0))</f>
        <v>8</v>
      </c>
      <c r="BI336" s="20">
        <f ca="1">IF($BE336&lt;=0,ROUND(BM336*0.5,0), ROUND($BE336*U336*AC336*L336*BA336*0.8*[2]ステータス!$D$2,0))</f>
        <v>0</v>
      </c>
      <c r="BJ336" s="20">
        <f ca="1">IF($BE336&lt;=0,ROUND(BN336*0.5,0), ROUND($BE336*V336*AD336*M336*BB336*0.8*[2]ステータス!$E$2,0))</f>
        <v>7</v>
      </c>
      <c r="BK336" s="14">
        <f ca="1">ROUND(BD336*S336*AA336*J336*AY336*[2]ステータス!$B$2,0)</f>
        <v>53</v>
      </c>
      <c r="BL336" s="14">
        <f ca="1">ROUND(BD336*T336*AB336*K336*AZ336*[2]ステータス!$C$2,0)</f>
        <v>16</v>
      </c>
      <c r="BM336" s="14">
        <f ca="1">ROUND(BD336*U336*AC336*L336*BA336*[2]ステータス!$D$2,0)</f>
        <v>0</v>
      </c>
      <c r="BN336" s="14">
        <f ca="1">ROUND(BD336*V336*AD336*M336*BB336*[2]ステータス!$E$2,0)</f>
        <v>13</v>
      </c>
      <c r="BO336" s="13">
        <v>0</v>
      </c>
      <c r="BP336" s="13">
        <v>1</v>
      </c>
      <c r="BQ336" s="49" t="s">
        <v>102</v>
      </c>
      <c r="BR336" s="13">
        <f ca="1">VLOOKUP(H336,ghosts_label!$A$2:$B$19,2,FALSE)</f>
        <v>0</v>
      </c>
    </row>
    <row r="337" spans="1:70" ht="21" customHeight="1" x14ac:dyDescent="0.15">
      <c r="A337" s="14">
        <f t="shared" ca="1" si="36"/>
        <v>336</v>
      </c>
      <c r="B337" s="77" t="str">
        <f ca="1">VLOOKUP($A337,OFFSET([2]characters!$A$1,0,0,COUNTA([2]characters!$A:$A),MATCH(B$1,[2]characters!$1:$1,0)-MATCH($A$1,[2]characters!$1:$1,0)+1),MATCH(B$1,[2]characters!$1:$1,0)-MATCH($A$1,[2]characters!$1:$1,0)+1,FALSE)</f>
        <v>森のメタルピヨピヨ</v>
      </c>
      <c r="C337" s="77" t="str">
        <f ca="1">VLOOKUP($A337,OFFSET([2]characters!$A$1,0,0,COUNTA([2]characters!$A:$A),MATCH(C$1,[2]characters!$1:$1,0)-MATCH($A$1,[2]characters!$1:$1,0)+1),MATCH(C$1,[2]characters!$1:$1,0)-MATCH($A$1,[2]characters!$1:$1,0)+1,FALSE)</f>
        <v>強化素材R3　緑</v>
      </c>
      <c r="D337" s="77" t="str">
        <f ca="1">VLOOKUP($A337,OFFSET([2]characters!$A$1,0,0,COUNTA([2]characters!$A:$A),MATCH(D$1,[2]characters!$1:$1,0)-MATCH($A$1,[2]characters!$1:$1,0)+1),MATCH(D$1,[2]characters!$1:$1,0)-MATCH($A$1,[2]characters!$1:$1,0)+1,FALSE)</f>
        <v>アリス</v>
      </c>
      <c r="E337" s="77" t="str">
        <f ca="1">VLOOKUP($A337,OFFSET([2]characters!$A$1,0,0,COUNTA([2]characters!$A:$A),MATCH(E$1,[2]characters!$1:$1,0)-MATCH($A$1,[2]characters!$1:$1,0)+1),MATCH(E$1,[2]characters!$1:$1,0)-MATCH($A$1,[2]characters!$1:$1,0)+1,FALSE)</f>
        <v>世界観</v>
      </c>
      <c r="F337" s="77" t="str">
        <f ca="1">VLOOKUP($A337,OFFSET([2]characters!$A$1,0,0,COUNTA([2]characters!$A:$A),MATCH(F$1,[2]characters!$1:$1,0)-MATCH($A$1,[2]characters!$1:$1,0)+1),MATCH(F$1,[2]characters!$1:$1,0)-MATCH($A$1,[2]characters!$1:$1,0)+1,FALSE)</f>
        <v>不明</v>
      </c>
      <c r="G337" s="77">
        <f ca="1">VLOOKUP($A337,OFFSET([2]characters!$A$1,0,0,COUNTA([2]characters!$A:$A),MATCH(G$1,[2]characters!$1:$1,0)-MATCH($A$1,[2]characters!$1:$1,0)+1),MATCH(G$1,[2]characters!$1:$1,0)-MATCH($A$1,[2]characters!$1:$1,0)+1,FALSE)</f>
        <v>3</v>
      </c>
      <c r="H337" s="77" t="str">
        <f ca="1">VLOOKUP($A337,OFFSET([2]characters!$A$1,0,0,COUNTA([2]characters!$A:$A),MATCH(H$1,[2]characters!$1:$1,0)-MATCH($A$1,[2]characters!$1:$1,0)+1),MATCH(H$1,[2]characters!$1:$1,0)-MATCH($A$1,[2]characters!$1:$1,0)+1,FALSE)</f>
        <v>Material</v>
      </c>
      <c r="I337" s="77" t="str">
        <f ca="1">VLOOKUP($A337,OFFSET([2]characters!$A$1,0,0,COUNTA([2]characters!$A:$A),MATCH(I$1,[2]characters!$1:$1,0)-MATCH($A$1,[2]characters!$1:$1,0)+1),MATCH(I$1,[2]characters!$1:$1,0)-MATCH($A$1,[2]characters!$1:$1,0)+1,FALSE)</f>
        <v>green</v>
      </c>
      <c r="J337" s="14">
        <f ca="1">VLOOKUP(I337,[2]属性!$A:$E,2,FALSE)</f>
        <v>1.02</v>
      </c>
      <c r="K337" s="14">
        <f ca="1">VLOOKUP(I337,[2]属性!$A:$E,3,FALSE)</f>
        <v>0.98</v>
      </c>
      <c r="L337" s="14">
        <f ca="1">VLOOKUP(I337,[2]属性!$A:$E,4,FALSE)</f>
        <v>1</v>
      </c>
      <c r="M337" s="14">
        <f ca="1">VLOOKUP(I337,[2]属性!$A:$E,5,FALSE)</f>
        <v>1</v>
      </c>
      <c r="N337" s="14">
        <f ca="1">INDEX(コスト!$A$1:$I$20,MATCH(H337,コスト!$A$1:$A$20,FALSE),MATCH(G337,コスト!$A$1:$I$1,FALSE))</f>
        <v>99</v>
      </c>
      <c r="O337" s="14">
        <f ca="1">INDEX(レベル!$A$1:$I$21,MATCH(H337,レベル!$A$1:$A$21,FALSE),MATCH(G337,レベル!$A$1:$I$1,FALSE))</f>
        <v>1</v>
      </c>
      <c r="P337" s="203">
        <v>1</v>
      </c>
      <c r="Q337" s="77" t="str">
        <f ca="1">VLOOKUP($A337,OFFSET([2]characters!$A$1,0,0,COUNTA([2]characters!$A:$A),MATCH(Q$1,[2]characters!$1:$1,0)-MATCH($A$1,[2]characters!$1:$1,0)+1),MATCH(Q$1,[2]characters!$1:$1,0)-MATCH($A$1,[2]characters!$1:$1,0)+1,FALSE)</f>
        <v>exp</v>
      </c>
      <c r="R337" s="8" t="str">
        <f ca="1">VLOOKUP(Q337,[2]character_type_i18n!$A:$H,3,FALSE)</f>
        <v>強化素材タイプ</v>
      </c>
      <c r="S337" s="14">
        <f ca="1">VLOOKUP(Q337,[2]character_type_i18n!$A:$H,4,FALSE)</f>
        <v>0.1</v>
      </c>
      <c r="T337" s="14">
        <f ca="1">VLOOKUP(Q337,[2]character_type_i18n!$A:$H,5,FALSE)</f>
        <v>0.05</v>
      </c>
      <c r="U337" s="14">
        <f ca="1">VLOOKUP(Q337,[2]character_type_i18n!$A:$H,6,FALSE)</f>
        <v>1</v>
      </c>
      <c r="V337" s="14">
        <f ca="1">VLOOKUP(Q337,[2]character_type_i18n!$A:$H,7,FALSE)</f>
        <v>0.05</v>
      </c>
      <c r="W337" s="77" t="str">
        <f ca="1">VLOOKUP($A337,OFFSET([2]characters!$A$1,0,0,COUNTA([2]characters!$A:$A),MATCH(W$1,[2]characters!$1:$1,0)-MATCH($A$1,[2]characters!$1:$1,0)+1),MATCH(W$1,[2]characters!$1:$1,0)-MATCH($A$1,[2]characters!$1:$1,0)+1,FALSE)</f>
        <v>unknown</v>
      </c>
      <c r="X337" s="8" t="str">
        <f ca="1">VLOOKUP(W337,[2]character_tribe_i18n!$A:$H,3,FALSE)</f>
        <v>Unknown</v>
      </c>
      <c r="Y337" s="77" t="str">
        <f ca="1">VLOOKUP($A337,OFFSET([2]characters!$A$1,0,0,COUNTA([2]characters!$A:$A),MATCH(Y$1,[2]characters!$1:$1,0)-MATCH($A$1,[2]characters!$1:$1,0)+1),MATCH(Y$1,[2]characters!$1:$1,0)-MATCH($A$1,[2]characters!$1:$1,0)+1,FALSE)</f>
        <v>none</v>
      </c>
      <c r="Z337" s="8" t="str">
        <f ca="1">VLOOKUP(Y337,[2]character_tribe_i18n!$A:$H,3,FALSE)</f>
        <v>種族なし</v>
      </c>
      <c r="AA337" s="14">
        <f ca="1">VLOOKUP(W337,[2]character_tribe_i18n!$A:$H,4,FALSE)</f>
        <v>1</v>
      </c>
      <c r="AB337" s="14">
        <f ca="1">VLOOKUP(W337,[2]character_tribe_i18n!$A:$H,5,FALSE)</f>
        <v>1</v>
      </c>
      <c r="AC337" s="14">
        <f ca="1">VLOOKUP(W337,[2]character_tribe_i18n!$A:$H,6,FALSE)</f>
        <v>1</v>
      </c>
      <c r="AD337" s="14">
        <f ca="1">VLOOKUP(W337,[2]character_tribe_i18n!$A:$H,7,FALSE)</f>
        <v>1</v>
      </c>
      <c r="AE337" s="12">
        <v>337</v>
      </c>
      <c r="AF337" s="85" t="str">
        <f ca="1">IF(AE337="NULL","",VLOOKUP($AE337,OFFSET([2]characters!$A$1,0,0,COUNTA([2]characters!$A:$A),MATCH(AF$1,[2]characters!$1:$1,0)-MATCH($A$1,[2]characters!$1:$1,0)+1),MATCH(AF$1,[2]characters!$1:$1,0)-MATCH($A$1,[2]characters!$1:$1,0)+1,FALSE))</f>
        <v>森のメタルチック</v>
      </c>
      <c r="AG337" s="8">
        <f t="shared" ca="1" si="37"/>
        <v>336</v>
      </c>
      <c r="AH337" s="85" t="str">
        <f ca="1">VLOOKUP($AG337,OFFSET([2]characters!$A$1,0,0,COUNTA([2]characters!$A:$A),MATCH(AH$1,[2]characters!$1:$1,0)-MATCH($A$1,[2]characters!$1:$1,0)+1),MATCH(AH$1,[2]characters!$1:$1,0)-MATCH($A$1,[2]characters!$1:$1,0)+1,FALSE)</f>
        <v>森のメタルピヨピヨ</v>
      </c>
      <c r="AI337" s="14">
        <v>2000</v>
      </c>
      <c r="AJ337" s="9">
        <v>3</v>
      </c>
      <c r="AK337" s="10" t="str">
        <f t="shared" si="38"/>
        <v>晩成</v>
      </c>
      <c r="AL337" s="14" t="str">
        <f ca="1">INDEX(経験値!$A$1:$I$20,MATCH(H337,経験値!$A$1:$A$20,FALSE),MATCH(G337,経験値!$A$1:$I$1,FALSE))</f>
        <v>NULL</v>
      </c>
      <c r="AM337" s="11">
        <v>1500</v>
      </c>
      <c r="AN337" s="21">
        <f ca="1">VLOOKUP(G337,ビット!$G$2:$H$7,2)</f>
        <v>300</v>
      </c>
      <c r="AO337" s="57"/>
      <c r="AP337" s="101">
        <v>990001</v>
      </c>
      <c r="AQ337" s="77" t="e">
        <f ca="1">VLOOKUP($AP337,OFFSET([1]unit_skills!$A$1,0,0,COUNTA([1]unit_skills!$A:$A),MATCH("name",[1]unit_skills!$1:$1,0)-MATCH($AP$1,[1]unit_skills!$1:$1,0)+1),MATCH("name",[1]unit_skills!$1:$1,0)-MATCH($AP$1,[1]unit_skills!$1:$1,0)+1,FALSE)</f>
        <v>#VALUE!</v>
      </c>
      <c r="AR337" s="77" t="e">
        <f ca="1">VLOOKUP($AP337,OFFSET([1]unit_skills!$A$1,0,0,COUNTA([1]unit_skills!$A:$A),MATCH("comment",[1]unit_skills!$1:$1,0)-MATCH($AP$1,[1]unit_skills!$1:$1,0)+1),MATCH("comment",[1]unit_skills!$1:$1,0)-MATCH($AP$1,[1]unit_skills!$1:$1,0)+1,FALSE)</f>
        <v>#VALUE!</v>
      </c>
      <c r="AS337" s="77" t="e">
        <f ca="1">VLOOKUP($AP337,OFFSET([1]unit_skills!$A$1,0,0,COUNTA([1]unit_skills!$A:$A),MATCH(AS$1,[1]unit_skills!$1:$1,0)-MATCH($AP$1,[1]unit_skills!$1:$1,0)+1),MATCH(AS$1,[1]unit_skills!$1:$1,0)-MATCH($AP$1,[1]unit_skills!$1:$1,0)+1,FALSE)</f>
        <v>#VALUE!</v>
      </c>
      <c r="AT337" s="53">
        <v>0</v>
      </c>
      <c r="AU337" s="77" t="e">
        <f ca="1">VLOOKUP($AT337,OFFSET([1]crash_skills!$A$1,0,0,COUNTA([1]crash_skills!$A:$A),MATCH("name",[1]crash_skills!$1:$1,0)-MATCH($AT$1,[1]crash_skills!$1:$1,0)+1),MATCH("name",[1]crash_skills!$1:$1,0)-MATCH($AT$1,[1]crash_skills!$1:$1,0)+1,FALSE)</f>
        <v>#VALUE!</v>
      </c>
      <c r="AV337" s="77" t="e">
        <f ca="1">VLOOKUP($AT337,OFFSET([1]crash_skills!$A$1,0,0,COUNTA([1]crash_skills!$A:$A),MATCH("comment",[1]crash_skills!$1:$1,0)-MATCH($AT$1,[1]crash_skills!$1:$1,0)+1),MATCH("comment",[1]crash_skills!$1:$1,0)-MATCH($AT$1,[1]crash_skills!$1:$1,0)+1,FALSE)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37" s="77" t="e">
        <f ca="1">VLOOKUP($AT337,OFFSET([1]crash_skills!$A$1,0,0,COUNTA([1]crash_skills!$A:$A),MATCH(AW$1,[1]crash_skills!$1:$1,0)-MATCH($AT$1,[1]crash_skills!$1:$1,0)+1),MATCH(AW$1,[1]crash_skills!$1:$1,0)-MATCH($AT$1,[1]crash_skills!$1:$1,0)+1,FALSE)</f>
        <v>#VALUE!</v>
      </c>
      <c r="AX337" s="81">
        <f ca="1">VLOOKUP($A337,OFFSET([2]characters!$A$1,0,0,COUNTA([2]characters!$A:$A),MATCH(AX$1,[2]characters!$1:$1,0)-MATCH($A$1,[2]characters!$1:$1,0)+1),MATCH(AX$1,[2]characters!$1:$1,0)-MATCH($A$1,[2]characters!$1:$1,0)+1,FALSE)</f>
        <v>3</v>
      </c>
      <c r="AY337" s="19">
        <v>1</v>
      </c>
      <c r="AZ337" s="19">
        <v>1</v>
      </c>
      <c r="BA337" s="19">
        <v>0</v>
      </c>
      <c r="BB337" s="19">
        <v>1</v>
      </c>
      <c r="BC337" s="14">
        <f ca="1">INDEX('RC6SV'!$A$1:$G$20,MATCH(H337,'RC6SV'!$A$1:$A$20,FALSE),MATCH(G337,'RC6SV'!$A$1:$G$1,FALSE))</f>
        <v>1000</v>
      </c>
      <c r="BD337" s="63">
        <f t="shared" ca="1" si="39"/>
        <v>1050</v>
      </c>
      <c r="BE337" s="14">
        <f t="shared" ca="1" si="40"/>
        <v>0</v>
      </c>
      <c r="BF337" s="14">
        <f t="shared" ca="1" si="41"/>
        <v>1</v>
      </c>
      <c r="BG337" s="20">
        <f ca="1">IF($BE337&lt;=0,ROUND(BK337*0.5,0), ROUND($BE337*S337*AA337*J337*AY337*0.8*[2]ステータス!$B$2,0))</f>
        <v>27</v>
      </c>
      <c r="BH337" s="20">
        <f ca="1">IF($BE337&lt;=0,ROUND(BL337*0.5,0), ROUND($BE337*T337*AB337*K337*AZ337*0.8*[2]ステータス!$C$2,0))</f>
        <v>8</v>
      </c>
      <c r="BI337" s="20">
        <f ca="1">IF($BE337&lt;=0,ROUND(BM337*0.5,0), ROUND($BE337*U337*AC337*L337*BA337*0.8*[2]ステータス!$D$2,0))</f>
        <v>0</v>
      </c>
      <c r="BJ337" s="20">
        <f ca="1">IF($BE337&lt;=0,ROUND(BN337*0.5,0), ROUND($BE337*V337*AD337*M337*BB337*0.8*[2]ステータス!$E$2,0))</f>
        <v>7</v>
      </c>
      <c r="BK337" s="14">
        <f ca="1">ROUND(BD337*S337*AA337*J337*AY337*[2]ステータス!$B$2,0)</f>
        <v>54</v>
      </c>
      <c r="BL337" s="14">
        <f ca="1">ROUND(BD337*T337*AB337*K337*AZ337*[2]ステータス!$C$2,0)</f>
        <v>15</v>
      </c>
      <c r="BM337" s="14">
        <f ca="1">ROUND(BD337*U337*AC337*L337*BA337*[2]ステータス!$D$2,0)</f>
        <v>0</v>
      </c>
      <c r="BN337" s="14">
        <f ca="1">ROUND(BD337*V337*AD337*M337*BB337*[2]ステータス!$E$2,0)</f>
        <v>13</v>
      </c>
      <c r="BO337" s="13">
        <v>0</v>
      </c>
      <c r="BP337" s="13">
        <v>1</v>
      </c>
      <c r="BQ337" s="49" t="s">
        <v>102</v>
      </c>
      <c r="BR337" s="13">
        <f ca="1">VLOOKUP(H337,ghosts_label!$A$2:$B$19,2,FALSE)</f>
        <v>0</v>
      </c>
    </row>
    <row r="338" spans="1:70" ht="21" customHeight="1" x14ac:dyDescent="0.15">
      <c r="A338" s="14">
        <f t="shared" ca="1" si="36"/>
        <v>337</v>
      </c>
      <c r="B338" s="77" t="str">
        <f ca="1">VLOOKUP($A338,OFFSET([2]characters!$A$1,0,0,COUNTA([2]characters!$A:$A),MATCH(B$1,[2]characters!$1:$1,0)-MATCH($A$1,[2]characters!$1:$1,0)+1),MATCH(B$1,[2]characters!$1:$1,0)-MATCH($A$1,[2]characters!$1:$1,0)+1,FALSE)</f>
        <v>森のメタルチック</v>
      </c>
      <c r="C338" s="77" t="str">
        <f ca="1">VLOOKUP($A338,OFFSET([2]characters!$A$1,0,0,COUNTA([2]characters!$A:$A),MATCH(C$1,[2]characters!$1:$1,0)-MATCH($A$1,[2]characters!$1:$1,0)+1),MATCH(C$1,[2]characters!$1:$1,0)-MATCH($A$1,[2]characters!$1:$1,0)+1,FALSE)</f>
        <v>強化素材R4　緑</v>
      </c>
      <c r="D338" s="77" t="str">
        <f ca="1">VLOOKUP($A338,OFFSET([2]characters!$A$1,0,0,COUNTA([2]characters!$A:$A),MATCH(D$1,[2]characters!$1:$1,0)-MATCH($A$1,[2]characters!$1:$1,0)+1),MATCH(D$1,[2]characters!$1:$1,0)-MATCH($A$1,[2]characters!$1:$1,0)+1,FALSE)</f>
        <v>アリス</v>
      </c>
      <c r="E338" s="77" t="str">
        <f ca="1">VLOOKUP($A338,OFFSET([2]characters!$A$1,0,0,COUNTA([2]characters!$A:$A),MATCH(E$1,[2]characters!$1:$1,0)-MATCH($A$1,[2]characters!$1:$1,0)+1),MATCH(E$1,[2]characters!$1:$1,0)-MATCH($A$1,[2]characters!$1:$1,0)+1,FALSE)</f>
        <v>世界観</v>
      </c>
      <c r="F338" s="77" t="str">
        <f ca="1">VLOOKUP($A338,OFFSET([2]characters!$A$1,0,0,COUNTA([2]characters!$A:$A),MATCH(F$1,[2]characters!$1:$1,0)-MATCH($A$1,[2]characters!$1:$1,0)+1),MATCH(F$1,[2]characters!$1:$1,0)-MATCH($A$1,[2]characters!$1:$1,0)+1,FALSE)</f>
        <v>不明</v>
      </c>
      <c r="G338" s="77">
        <f ca="1">VLOOKUP($A338,OFFSET([2]characters!$A$1,0,0,COUNTA([2]characters!$A:$A),MATCH(G$1,[2]characters!$1:$1,0)-MATCH($A$1,[2]characters!$1:$1,0)+1),MATCH(G$1,[2]characters!$1:$1,0)-MATCH($A$1,[2]characters!$1:$1,0)+1,FALSE)</f>
        <v>4</v>
      </c>
      <c r="H338" s="77" t="str">
        <f ca="1">VLOOKUP($A338,OFFSET([2]characters!$A$1,0,0,COUNTA([2]characters!$A:$A),MATCH(H$1,[2]characters!$1:$1,0)-MATCH($A$1,[2]characters!$1:$1,0)+1),MATCH(H$1,[2]characters!$1:$1,0)-MATCH($A$1,[2]characters!$1:$1,0)+1,FALSE)</f>
        <v>Material</v>
      </c>
      <c r="I338" s="77" t="str">
        <f ca="1">VLOOKUP($A338,OFFSET([2]characters!$A$1,0,0,COUNTA([2]characters!$A:$A),MATCH(I$1,[2]characters!$1:$1,0)-MATCH($A$1,[2]characters!$1:$1,0)+1),MATCH(I$1,[2]characters!$1:$1,0)-MATCH($A$1,[2]characters!$1:$1,0)+1,FALSE)</f>
        <v>green</v>
      </c>
      <c r="J338" s="14">
        <f ca="1">VLOOKUP(I338,[2]属性!$A:$E,2,FALSE)</f>
        <v>1.02</v>
      </c>
      <c r="K338" s="14">
        <f ca="1">VLOOKUP(I338,[2]属性!$A:$E,3,FALSE)</f>
        <v>0.98</v>
      </c>
      <c r="L338" s="14">
        <f ca="1">VLOOKUP(I338,[2]属性!$A:$E,4,FALSE)</f>
        <v>1</v>
      </c>
      <c r="M338" s="14">
        <f ca="1">VLOOKUP(I338,[2]属性!$A:$E,5,FALSE)</f>
        <v>1</v>
      </c>
      <c r="N338" s="14">
        <f ca="1">INDEX(コスト!$A$1:$I$20,MATCH(H338,コスト!$A$1:$A$20,FALSE),MATCH(G338,コスト!$A$1:$I$1,FALSE))</f>
        <v>99</v>
      </c>
      <c r="O338" s="14">
        <f ca="1">INDEX(レベル!$A$1:$I$21,MATCH(H338,レベル!$A$1:$A$21,FALSE),MATCH(G338,レベル!$A$1:$I$1,FALSE))</f>
        <v>1</v>
      </c>
      <c r="P338" s="203">
        <v>1</v>
      </c>
      <c r="Q338" s="77" t="str">
        <f ca="1">VLOOKUP($A338,OFFSET([2]characters!$A$1,0,0,COUNTA([2]characters!$A:$A),MATCH(Q$1,[2]characters!$1:$1,0)-MATCH($A$1,[2]characters!$1:$1,0)+1),MATCH(Q$1,[2]characters!$1:$1,0)-MATCH($A$1,[2]characters!$1:$1,0)+1,FALSE)</f>
        <v>exp</v>
      </c>
      <c r="R338" s="8" t="str">
        <f ca="1">VLOOKUP(Q338,[2]character_type_i18n!$A:$H,3,FALSE)</f>
        <v>強化素材タイプ</v>
      </c>
      <c r="S338" s="14">
        <f ca="1">VLOOKUP(Q338,[2]character_type_i18n!$A:$H,4,FALSE)</f>
        <v>0.1</v>
      </c>
      <c r="T338" s="14">
        <f ca="1">VLOOKUP(Q338,[2]character_type_i18n!$A:$H,5,FALSE)</f>
        <v>0.05</v>
      </c>
      <c r="U338" s="14">
        <f ca="1">VLOOKUP(Q338,[2]character_type_i18n!$A:$H,6,FALSE)</f>
        <v>1</v>
      </c>
      <c r="V338" s="14">
        <f ca="1">VLOOKUP(Q338,[2]character_type_i18n!$A:$H,7,FALSE)</f>
        <v>0.05</v>
      </c>
      <c r="W338" s="77" t="str">
        <f ca="1">VLOOKUP($A338,OFFSET([2]characters!$A$1,0,0,COUNTA([2]characters!$A:$A),MATCH(W$1,[2]characters!$1:$1,0)-MATCH($A$1,[2]characters!$1:$1,0)+1),MATCH(W$1,[2]characters!$1:$1,0)-MATCH($A$1,[2]characters!$1:$1,0)+1,FALSE)</f>
        <v>unknown</v>
      </c>
      <c r="X338" s="8" t="str">
        <f ca="1">VLOOKUP(W338,[2]character_tribe_i18n!$A:$H,3,FALSE)</f>
        <v>Unknown</v>
      </c>
      <c r="Y338" s="77" t="str">
        <f ca="1">VLOOKUP($A338,OFFSET([2]characters!$A$1,0,0,COUNTA([2]characters!$A:$A),MATCH(Y$1,[2]characters!$1:$1,0)-MATCH($A$1,[2]characters!$1:$1,0)+1),MATCH(Y$1,[2]characters!$1:$1,0)-MATCH($A$1,[2]characters!$1:$1,0)+1,FALSE)</f>
        <v>none</v>
      </c>
      <c r="Z338" s="8" t="str">
        <f ca="1">VLOOKUP(Y338,[2]character_tribe_i18n!$A:$H,3,FALSE)</f>
        <v>種族なし</v>
      </c>
      <c r="AA338" s="14">
        <f ca="1">VLOOKUP(W338,[2]character_tribe_i18n!$A:$H,4,FALSE)</f>
        <v>1</v>
      </c>
      <c r="AB338" s="14">
        <f ca="1">VLOOKUP(W338,[2]character_tribe_i18n!$A:$H,5,FALSE)</f>
        <v>1</v>
      </c>
      <c r="AC338" s="14">
        <f ca="1">VLOOKUP(W338,[2]character_tribe_i18n!$A:$H,6,FALSE)</f>
        <v>1</v>
      </c>
      <c r="AD338" s="14">
        <f ca="1">VLOOKUP(W338,[2]character_tribe_i18n!$A:$H,7,FALSE)</f>
        <v>1</v>
      </c>
      <c r="AE338" s="12">
        <v>338</v>
      </c>
      <c r="AF338" s="85" t="str">
        <f ca="1">IF(AE338="NULL","",VLOOKUP($AE338,OFFSET([2]characters!$A$1,0,0,COUNTA([2]characters!$A:$A),MATCH(AF$1,[2]characters!$1:$1,0)-MATCH($A$1,[2]characters!$1:$1,0)+1),MATCH(AF$1,[2]characters!$1:$1,0)-MATCH($A$1,[2]characters!$1:$1,0)+1,FALSE))</f>
        <v>森のメタルダック</v>
      </c>
      <c r="AG338" s="8">
        <f t="shared" ca="1" si="37"/>
        <v>336</v>
      </c>
      <c r="AH338" s="85" t="str">
        <f ca="1">VLOOKUP($AG338,OFFSET([2]characters!$A$1,0,0,COUNTA([2]characters!$A:$A),MATCH(AH$1,[2]characters!$1:$1,0)-MATCH($A$1,[2]characters!$1:$1,0)+1),MATCH(AH$1,[2]characters!$1:$1,0)-MATCH($A$1,[2]characters!$1:$1,0)+1,FALSE)</f>
        <v>森のメタルピヨピヨ</v>
      </c>
      <c r="AI338" s="14">
        <v>5000</v>
      </c>
      <c r="AJ338" s="9">
        <v>3</v>
      </c>
      <c r="AK338" s="10" t="str">
        <f t="shared" si="38"/>
        <v>晩成</v>
      </c>
      <c r="AL338" s="14" t="str">
        <f ca="1">INDEX(経験値!$A$1:$I$20,MATCH(H338,経験値!$A$1:$A$20,FALSE),MATCH(G338,経験値!$A$1:$I$1,FALSE))</f>
        <v>NULL</v>
      </c>
      <c r="AM338" s="11">
        <v>5000</v>
      </c>
      <c r="AN338" s="21">
        <f ca="1">VLOOKUP(G338,ビット!$G$2:$H$7,2)</f>
        <v>600</v>
      </c>
      <c r="AO338" s="57"/>
      <c r="AP338" s="101">
        <v>990002</v>
      </c>
      <c r="AQ338" s="77" t="e">
        <f ca="1">VLOOKUP($AP338,OFFSET([1]unit_skills!$A$1,0,0,COUNTA([1]unit_skills!$A:$A),MATCH("name",[1]unit_skills!$1:$1,0)-MATCH($AP$1,[1]unit_skills!$1:$1,0)+1),MATCH("name",[1]unit_skills!$1:$1,0)-MATCH($AP$1,[1]unit_skills!$1:$1,0)+1,FALSE)</f>
        <v>#VALUE!</v>
      </c>
      <c r="AR338" s="77" t="e">
        <f ca="1">VLOOKUP($AP338,OFFSET([1]unit_skills!$A$1,0,0,COUNTA([1]unit_skills!$A:$A),MATCH("comment",[1]unit_skills!$1:$1,0)-MATCH($AP$1,[1]unit_skills!$1:$1,0)+1),MATCH("comment",[1]unit_skills!$1:$1,0)-MATCH($AP$1,[1]unit_skills!$1:$1,0)+1,FALSE)</f>
        <v>#VALUE!</v>
      </c>
      <c r="AS338" s="77" t="e">
        <f ca="1">VLOOKUP($AP338,OFFSET([1]unit_skills!$A$1,0,0,COUNTA([1]unit_skills!$A:$A),MATCH(AS$1,[1]unit_skills!$1:$1,0)-MATCH($AP$1,[1]unit_skills!$1:$1,0)+1),MATCH(AS$1,[1]unit_skills!$1:$1,0)-MATCH($AP$1,[1]unit_skills!$1:$1,0)+1,FALSE)</f>
        <v>#VALUE!</v>
      </c>
      <c r="AT338" s="53">
        <v>0</v>
      </c>
      <c r="AU338" s="77" t="e">
        <f ca="1">VLOOKUP($AT338,OFFSET([1]crash_skills!$A$1,0,0,COUNTA([1]crash_skills!$A:$A),MATCH("name",[1]crash_skills!$1:$1,0)-MATCH($AT$1,[1]crash_skills!$1:$1,0)+1),MATCH("name",[1]crash_skills!$1:$1,0)-MATCH($AT$1,[1]crash_skills!$1:$1,0)+1,FALSE)</f>
        <v>#VALUE!</v>
      </c>
      <c r="AV338" s="77" t="e">
        <f ca="1">VLOOKUP($AT338,OFFSET([1]crash_skills!$A$1,0,0,COUNTA([1]crash_skills!$A:$A),MATCH("comment",[1]crash_skills!$1:$1,0)-MATCH($AT$1,[1]crash_skills!$1:$1,0)+1),MATCH("comment",[1]crash_skills!$1:$1,0)-MATCH($AT$1,[1]crash_skills!$1:$1,0)+1,FALSE)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38" s="77" t="e">
        <f ca="1">VLOOKUP($AT338,OFFSET([1]crash_skills!$A$1,0,0,COUNTA([1]crash_skills!$A:$A),MATCH(AW$1,[1]crash_skills!$1:$1,0)-MATCH($AT$1,[1]crash_skills!$1:$1,0)+1),MATCH(AW$1,[1]crash_skills!$1:$1,0)-MATCH($AT$1,[1]crash_skills!$1:$1,0)+1,FALSE)</f>
        <v>#VALUE!</v>
      </c>
      <c r="AX338" s="81">
        <f ca="1">VLOOKUP($A338,OFFSET([2]characters!$A$1,0,0,COUNTA([2]characters!$A:$A),MATCH(AX$1,[2]characters!$1:$1,0)-MATCH($A$1,[2]characters!$1:$1,0)+1),MATCH(AX$1,[2]characters!$1:$1,0)-MATCH($A$1,[2]characters!$1:$1,0)+1,FALSE)</f>
        <v>3</v>
      </c>
      <c r="AY338" s="19">
        <v>1</v>
      </c>
      <c r="AZ338" s="19">
        <v>1</v>
      </c>
      <c r="BA338" s="19">
        <v>0</v>
      </c>
      <c r="BB338" s="19">
        <v>1</v>
      </c>
      <c r="BC338" s="14">
        <f ca="1">INDEX('RC6SV'!$A$1:$G$20,MATCH(H338,'RC6SV'!$A$1:$A$20,FALSE),MATCH(G338,'RC6SV'!$A$1:$G$1,FALSE))</f>
        <v>1000</v>
      </c>
      <c r="BD338" s="63">
        <f t="shared" ca="1" si="39"/>
        <v>1050</v>
      </c>
      <c r="BE338" s="14">
        <f t="shared" ca="1" si="40"/>
        <v>1000</v>
      </c>
      <c r="BF338" s="14">
        <f t="shared" ca="1" si="41"/>
        <v>1</v>
      </c>
      <c r="BG338" s="20">
        <f ca="1">IF($BE338&lt;=0,ROUND(BK338*0.5,0), ROUND($BE338*S338*AA338*J338*AY338*0.8*[2]ステータス!$B$2,0))</f>
        <v>41</v>
      </c>
      <c r="BH338" s="20">
        <f ca="1">IF($BE338&lt;=0,ROUND(BL338*0.5,0), ROUND($BE338*T338*AB338*K338*AZ338*0.8*[2]ステータス!$C$2,0))</f>
        <v>12</v>
      </c>
      <c r="BI338" s="20">
        <f ca="1">IF($BE338&lt;=0,ROUND(BM338*0.5,0), ROUND($BE338*U338*AC338*L338*BA338*0.8*[2]ステータス!$D$2,0))</f>
        <v>0</v>
      </c>
      <c r="BJ338" s="20">
        <f ca="1">IF($BE338&lt;=0,ROUND(BN338*0.5,0), ROUND($BE338*V338*AD338*M338*BB338*0.8*[2]ステータス!$E$2,0))</f>
        <v>10</v>
      </c>
      <c r="BK338" s="14">
        <f ca="1">ROUND(BD338*S338*AA338*J338*AY338*[2]ステータス!$B$2,0)</f>
        <v>54</v>
      </c>
      <c r="BL338" s="14">
        <f ca="1">ROUND(BD338*T338*AB338*K338*AZ338*[2]ステータス!$C$2,0)</f>
        <v>15</v>
      </c>
      <c r="BM338" s="14">
        <f ca="1">ROUND(BD338*U338*AC338*L338*BA338*[2]ステータス!$D$2,0)</f>
        <v>0</v>
      </c>
      <c r="BN338" s="14">
        <f ca="1">ROUND(BD338*V338*AD338*M338*BB338*[2]ステータス!$E$2,0)</f>
        <v>13</v>
      </c>
      <c r="BO338" s="13">
        <v>0</v>
      </c>
      <c r="BP338" s="13">
        <v>1</v>
      </c>
      <c r="BQ338" s="49" t="s">
        <v>102</v>
      </c>
      <c r="BR338" s="13">
        <f ca="1">VLOOKUP(H338,ghosts_label!$A$2:$B$19,2,FALSE)</f>
        <v>0</v>
      </c>
    </row>
    <row r="339" spans="1:70" ht="21" customHeight="1" x14ac:dyDescent="0.15">
      <c r="A339" s="14">
        <f t="shared" ca="1" si="36"/>
        <v>338</v>
      </c>
      <c r="B339" s="77" t="str">
        <f ca="1">VLOOKUP($A339,OFFSET([2]characters!$A$1,0,0,COUNTA([2]characters!$A:$A),MATCH(B$1,[2]characters!$1:$1,0)-MATCH($A$1,[2]characters!$1:$1,0)+1),MATCH(B$1,[2]characters!$1:$1,0)-MATCH($A$1,[2]characters!$1:$1,0)+1,FALSE)</f>
        <v>森のメタルダック</v>
      </c>
      <c r="C339" s="77" t="str">
        <f ca="1">VLOOKUP($A339,OFFSET([2]characters!$A$1,0,0,COUNTA([2]characters!$A:$A),MATCH(C$1,[2]characters!$1:$1,0)-MATCH($A$1,[2]characters!$1:$1,0)+1),MATCH(C$1,[2]characters!$1:$1,0)-MATCH($A$1,[2]characters!$1:$1,0)+1,FALSE)</f>
        <v>強化素材R5　緑</v>
      </c>
      <c r="D339" s="77" t="str">
        <f ca="1">VLOOKUP($A339,OFFSET([2]characters!$A$1,0,0,COUNTA([2]characters!$A:$A),MATCH(D$1,[2]characters!$1:$1,0)-MATCH($A$1,[2]characters!$1:$1,0)+1),MATCH(D$1,[2]characters!$1:$1,0)-MATCH($A$1,[2]characters!$1:$1,0)+1,FALSE)</f>
        <v>アリス</v>
      </c>
      <c r="E339" s="77" t="str">
        <f ca="1">VLOOKUP($A339,OFFSET([2]characters!$A$1,0,0,COUNTA([2]characters!$A:$A),MATCH(E$1,[2]characters!$1:$1,0)-MATCH($A$1,[2]characters!$1:$1,0)+1),MATCH(E$1,[2]characters!$1:$1,0)-MATCH($A$1,[2]characters!$1:$1,0)+1,FALSE)</f>
        <v>世界観</v>
      </c>
      <c r="F339" s="77" t="str">
        <f ca="1">VLOOKUP($A339,OFFSET([2]characters!$A$1,0,0,COUNTA([2]characters!$A:$A),MATCH(F$1,[2]characters!$1:$1,0)-MATCH($A$1,[2]characters!$1:$1,0)+1),MATCH(F$1,[2]characters!$1:$1,0)-MATCH($A$1,[2]characters!$1:$1,0)+1,FALSE)</f>
        <v>不明</v>
      </c>
      <c r="G339" s="77">
        <f ca="1">VLOOKUP($A339,OFFSET([2]characters!$A$1,0,0,COUNTA([2]characters!$A:$A),MATCH(G$1,[2]characters!$1:$1,0)-MATCH($A$1,[2]characters!$1:$1,0)+1),MATCH(G$1,[2]characters!$1:$1,0)-MATCH($A$1,[2]characters!$1:$1,0)+1,FALSE)</f>
        <v>5</v>
      </c>
      <c r="H339" s="77" t="str">
        <f ca="1">VLOOKUP($A339,OFFSET([2]characters!$A$1,0,0,COUNTA([2]characters!$A:$A),MATCH(H$1,[2]characters!$1:$1,0)-MATCH($A$1,[2]characters!$1:$1,0)+1),MATCH(H$1,[2]characters!$1:$1,0)-MATCH($A$1,[2]characters!$1:$1,0)+1,FALSE)</f>
        <v>Material</v>
      </c>
      <c r="I339" s="77" t="str">
        <f ca="1">VLOOKUP($A339,OFFSET([2]characters!$A$1,0,0,COUNTA([2]characters!$A:$A),MATCH(I$1,[2]characters!$1:$1,0)-MATCH($A$1,[2]characters!$1:$1,0)+1),MATCH(I$1,[2]characters!$1:$1,0)-MATCH($A$1,[2]characters!$1:$1,0)+1,FALSE)</f>
        <v>green</v>
      </c>
      <c r="J339" s="14">
        <f ca="1">VLOOKUP(I339,[2]属性!$A:$E,2,FALSE)</f>
        <v>1.02</v>
      </c>
      <c r="K339" s="14">
        <f ca="1">VLOOKUP(I339,[2]属性!$A:$E,3,FALSE)</f>
        <v>0.98</v>
      </c>
      <c r="L339" s="14">
        <f ca="1">VLOOKUP(I339,[2]属性!$A:$E,4,FALSE)</f>
        <v>1</v>
      </c>
      <c r="M339" s="14">
        <f ca="1">VLOOKUP(I339,[2]属性!$A:$E,5,FALSE)</f>
        <v>1</v>
      </c>
      <c r="N339" s="14">
        <f ca="1">INDEX(コスト!$A$1:$I$20,MATCH(H339,コスト!$A$1:$A$20,FALSE),MATCH(G339,コスト!$A$1:$I$1,FALSE))</f>
        <v>99</v>
      </c>
      <c r="O339" s="14">
        <f ca="1">INDEX(レベル!$A$1:$I$21,MATCH(H339,レベル!$A$1:$A$21,FALSE),MATCH(G339,レベル!$A$1:$I$1,FALSE))</f>
        <v>1</v>
      </c>
      <c r="P339" s="203">
        <v>1</v>
      </c>
      <c r="Q339" s="77" t="str">
        <f ca="1">VLOOKUP($A339,OFFSET([2]characters!$A$1,0,0,COUNTA([2]characters!$A:$A),MATCH(Q$1,[2]characters!$1:$1,0)-MATCH($A$1,[2]characters!$1:$1,0)+1),MATCH(Q$1,[2]characters!$1:$1,0)-MATCH($A$1,[2]characters!$1:$1,0)+1,FALSE)</f>
        <v>exp</v>
      </c>
      <c r="R339" s="8" t="str">
        <f ca="1">VLOOKUP(Q339,[2]character_type_i18n!$A:$H,3,FALSE)</f>
        <v>強化素材タイプ</v>
      </c>
      <c r="S339" s="14">
        <f ca="1">VLOOKUP(Q339,[2]character_type_i18n!$A:$H,4,FALSE)</f>
        <v>0.1</v>
      </c>
      <c r="T339" s="14">
        <f ca="1">VLOOKUP(Q339,[2]character_type_i18n!$A:$H,5,FALSE)</f>
        <v>0.05</v>
      </c>
      <c r="U339" s="14">
        <f ca="1">VLOOKUP(Q339,[2]character_type_i18n!$A:$H,6,FALSE)</f>
        <v>1</v>
      </c>
      <c r="V339" s="14">
        <f ca="1">VLOOKUP(Q339,[2]character_type_i18n!$A:$H,7,FALSE)</f>
        <v>0.05</v>
      </c>
      <c r="W339" s="77" t="str">
        <f ca="1">VLOOKUP($A339,OFFSET([2]characters!$A$1,0,0,COUNTA([2]characters!$A:$A),MATCH(W$1,[2]characters!$1:$1,0)-MATCH($A$1,[2]characters!$1:$1,0)+1),MATCH(W$1,[2]characters!$1:$1,0)-MATCH($A$1,[2]characters!$1:$1,0)+1,FALSE)</f>
        <v>unknown</v>
      </c>
      <c r="X339" s="8" t="str">
        <f ca="1">VLOOKUP(W339,[2]character_tribe_i18n!$A:$H,3,FALSE)</f>
        <v>Unknown</v>
      </c>
      <c r="Y339" s="77" t="str">
        <f ca="1">VLOOKUP($A339,OFFSET([2]characters!$A$1,0,0,COUNTA([2]characters!$A:$A),MATCH(Y$1,[2]characters!$1:$1,0)-MATCH($A$1,[2]characters!$1:$1,0)+1),MATCH(Y$1,[2]characters!$1:$1,0)-MATCH($A$1,[2]characters!$1:$1,0)+1,FALSE)</f>
        <v>none</v>
      </c>
      <c r="Z339" s="8" t="str">
        <f ca="1">VLOOKUP(Y339,[2]character_tribe_i18n!$A:$H,3,FALSE)</f>
        <v>種族なし</v>
      </c>
      <c r="AA339" s="14">
        <f ca="1">VLOOKUP(W339,[2]character_tribe_i18n!$A:$H,4,FALSE)</f>
        <v>1</v>
      </c>
      <c r="AB339" s="14">
        <f ca="1">VLOOKUP(W339,[2]character_tribe_i18n!$A:$H,5,FALSE)</f>
        <v>1</v>
      </c>
      <c r="AC339" s="14">
        <f ca="1">VLOOKUP(W339,[2]character_tribe_i18n!$A:$H,6,FALSE)</f>
        <v>1</v>
      </c>
      <c r="AD339" s="14">
        <f ca="1">VLOOKUP(W339,[2]character_tribe_i18n!$A:$H,7,FALSE)</f>
        <v>1</v>
      </c>
      <c r="AE339" s="12" t="s">
        <v>102</v>
      </c>
      <c r="AF339" s="85" t="str">
        <f ca="1">IF(AE339="NULL","",VLOOKUP($AE339,OFFSET([2]characters!$A$1,0,0,COUNTA([2]characters!$A:$A),MATCH(AF$1,[2]characters!$1:$1,0)-MATCH($A$1,[2]characters!$1:$1,0)+1),MATCH(AF$1,[2]characters!$1:$1,0)-MATCH($A$1,[2]characters!$1:$1,0)+1,FALSE))</f>
        <v/>
      </c>
      <c r="AG339" s="8">
        <f t="shared" ca="1" si="37"/>
        <v>336</v>
      </c>
      <c r="AH339" s="85" t="str">
        <f ca="1">VLOOKUP($AG339,OFFSET([2]characters!$A$1,0,0,COUNTA([2]characters!$A:$A),MATCH(AH$1,[2]characters!$1:$1,0)-MATCH($A$1,[2]characters!$1:$1,0)+1),MATCH(AH$1,[2]characters!$1:$1,0)-MATCH($A$1,[2]characters!$1:$1,0)+1,FALSE)</f>
        <v>森のメタルピヨピヨ</v>
      </c>
      <c r="AI339" s="14" t="str">
        <f>IF(AE339="NULL","NULL",VLOOKUP(G339,ビット!$A$2:$B$7,2))</f>
        <v>NULL</v>
      </c>
      <c r="AJ339" s="9">
        <v>3</v>
      </c>
      <c r="AK339" s="10" t="str">
        <f t="shared" si="38"/>
        <v>晩成</v>
      </c>
      <c r="AL339" s="14" t="str">
        <f ca="1">INDEX(経験値!$A$1:$I$20,MATCH(H339,経験値!$A$1:$A$20,FALSE),MATCH(G339,経験値!$A$1:$I$1,FALSE))</f>
        <v>NULL</v>
      </c>
      <c r="AM339" s="11">
        <v>20000</v>
      </c>
      <c r="AN339" s="21">
        <f ca="1">VLOOKUP(G339,ビット!$G$2:$H$7,2)</f>
        <v>900</v>
      </c>
      <c r="AO339" s="57"/>
      <c r="AP339" s="101">
        <v>990003</v>
      </c>
      <c r="AQ339" s="77" t="e">
        <f ca="1">VLOOKUP($AP339,OFFSET([1]unit_skills!$A$1,0,0,COUNTA([1]unit_skills!$A:$A),MATCH("name",[1]unit_skills!$1:$1,0)-MATCH($AP$1,[1]unit_skills!$1:$1,0)+1),MATCH("name",[1]unit_skills!$1:$1,0)-MATCH($AP$1,[1]unit_skills!$1:$1,0)+1,FALSE)</f>
        <v>#VALUE!</v>
      </c>
      <c r="AR339" s="77" t="e">
        <f ca="1">VLOOKUP($AP339,OFFSET([1]unit_skills!$A$1,0,0,COUNTA([1]unit_skills!$A:$A),MATCH("comment",[1]unit_skills!$1:$1,0)-MATCH($AP$1,[1]unit_skills!$1:$1,0)+1),MATCH("comment",[1]unit_skills!$1:$1,0)-MATCH($AP$1,[1]unit_skills!$1:$1,0)+1,FALSE)</f>
        <v>#VALUE!</v>
      </c>
      <c r="AS339" s="77" t="e">
        <f ca="1">VLOOKUP($AP339,OFFSET([1]unit_skills!$A$1,0,0,COUNTA([1]unit_skills!$A:$A),MATCH(AS$1,[1]unit_skills!$1:$1,0)-MATCH($AP$1,[1]unit_skills!$1:$1,0)+1),MATCH(AS$1,[1]unit_skills!$1:$1,0)-MATCH($AP$1,[1]unit_skills!$1:$1,0)+1,FALSE)</f>
        <v>#VALUE!</v>
      </c>
      <c r="AT339" s="53">
        <v>0</v>
      </c>
      <c r="AU339" s="77" t="e">
        <f ca="1">VLOOKUP($AT339,OFFSET([1]crash_skills!$A$1,0,0,COUNTA([1]crash_skills!$A:$A),MATCH("name",[1]crash_skills!$1:$1,0)-MATCH($AT$1,[1]crash_skills!$1:$1,0)+1),MATCH("name",[1]crash_skills!$1:$1,0)-MATCH($AT$1,[1]crash_skills!$1:$1,0)+1,FALSE)</f>
        <v>#VALUE!</v>
      </c>
      <c r="AV339" s="77" t="e">
        <f ca="1">VLOOKUP($AT339,OFFSET([1]crash_skills!$A$1,0,0,COUNTA([1]crash_skills!$A:$A),MATCH("comment",[1]crash_skills!$1:$1,0)-MATCH($AT$1,[1]crash_skills!$1:$1,0)+1),MATCH("comment",[1]crash_skills!$1:$1,0)-MATCH($AT$1,[1]crash_skills!$1:$1,0)+1,FALSE)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39" s="77" t="e">
        <f ca="1">VLOOKUP($AT339,OFFSET([1]crash_skills!$A$1,0,0,COUNTA([1]crash_skills!$A:$A),MATCH(AW$1,[1]crash_skills!$1:$1,0)-MATCH($AT$1,[1]crash_skills!$1:$1,0)+1),MATCH(AW$1,[1]crash_skills!$1:$1,0)-MATCH($AT$1,[1]crash_skills!$1:$1,0)+1,FALSE)</f>
        <v>#VALUE!</v>
      </c>
      <c r="AX339" s="81">
        <f ca="1">VLOOKUP($A339,OFFSET([2]characters!$A$1,0,0,COUNTA([2]characters!$A:$A),MATCH(AX$1,[2]characters!$1:$1,0)-MATCH($A$1,[2]characters!$1:$1,0)+1),MATCH(AX$1,[2]characters!$1:$1,0)-MATCH($A$1,[2]characters!$1:$1,0)+1,FALSE)</f>
        <v>3</v>
      </c>
      <c r="AY339" s="19">
        <v>1</v>
      </c>
      <c r="AZ339" s="19">
        <v>1</v>
      </c>
      <c r="BA339" s="19">
        <v>0</v>
      </c>
      <c r="BB339" s="19">
        <v>1</v>
      </c>
      <c r="BC339" s="14">
        <f ca="1">INDEX('RC6SV'!$A$1:$G$20,MATCH(H339,'RC6SV'!$A$1:$A$20,FALSE),MATCH(G339,'RC6SV'!$A$1:$G$1,FALSE))</f>
        <v>1000</v>
      </c>
      <c r="BD339" s="63">
        <f t="shared" ca="1" si="39"/>
        <v>1050</v>
      </c>
      <c r="BE339" s="14">
        <f t="shared" ca="1" si="40"/>
        <v>1000</v>
      </c>
      <c r="BF339" s="14">
        <f t="shared" ca="1" si="41"/>
        <v>1</v>
      </c>
      <c r="BG339" s="20">
        <f ca="1">IF($BE339&lt;=0,ROUND(BK339*0.5,0), ROUND($BE339*S339*AA339*J339*AY339*0.8*[2]ステータス!$B$2,0))</f>
        <v>41</v>
      </c>
      <c r="BH339" s="20">
        <f ca="1">IF($BE339&lt;=0,ROUND(BL339*0.5,0), ROUND($BE339*T339*AB339*K339*AZ339*0.8*[2]ステータス!$C$2,0))</f>
        <v>12</v>
      </c>
      <c r="BI339" s="20">
        <f ca="1">IF($BE339&lt;=0,ROUND(BM339*0.5,0), ROUND($BE339*U339*AC339*L339*BA339*0.8*[2]ステータス!$D$2,0))</f>
        <v>0</v>
      </c>
      <c r="BJ339" s="20">
        <f ca="1">IF($BE339&lt;=0,ROUND(BN339*0.5,0), ROUND($BE339*V339*AD339*M339*BB339*0.8*[2]ステータス!$E$2,0))</f>
        <v>10</v>
      </c>
      <c r="BK339" s="14">
        <f ca="1">ROUND(BD339*S339*AA339*J339*AY339*[2]ステータス!$B$2,0)</f>
        <v>54</v>
      </c>
      <c r="BL339" s="14">
        <f ca="1">ROUND(BD339*T339*AB339*K339*AZ339*[2]ステータス!$C$2,0)</f>
        <v>15</v>
      </c>
      <c r="BM339" s="14">
        <f ca="1">ROUND(BD339*U339*AC339*L339*BA339*[2]ステータス!$D$2,0)</f>
        <v>0</v>
      </c>
      <c r="BN339" s="14">
        <f ca="1">ROUND(BD339*V339*AD339*M339*BB339*[2]ステータス!$E$2,0)</f>
        <v>13</v>
      </c>
      <c r="BO339" s="13">
        <v>0</v>
      </c>
      <c r="BP339" s="13">
        <v>1</v>
      </c>
      <c r="BQ339" s="49" t="s">
        <v>102</v>
      </c>
      <c r="BR339" s="13">
        <f ca="1">VLOOKUP(H339,ghosts_label!$A$2:$B$19,2,FALSE)</f>
        <v>0</v>
      </c>
    </row>
    <row r="340" spans="1:70" ht="21" customHeight="1" x14ac:dyDescent="0.15">
      <c r="A340" s="14">
        <f t="shared" ca="1" si="36"/>
        <v>339</v>
      </c>
      <c r="B340" s="77" t="str">
        <f ca="1">VLOOKUP($A340,OFFSET([2]characters!$A$1,0,0,COUNTA([2]characters!$A:$A),MATCH(B$1,[2]characters!$1:$1,0)-MATCH($A$1,[2]characters!$1:$1,0)+1),MATCH(B$1,[2]characters!$1:$1,0)-MATCH($A$1,[2]characters!$1:$1,0)+1,FALSE)</f>
        <v>森のメタルジェントル</v>
      </c>
      <c r="C340" s="77" t="str">
        <f ca="1">VLOOKUP($A340,OFFSET([2]characters!$A$1,0,0,COUNTA([2]characters!$A:$A),MATCH(C$1,[2]characters!$1:$1,0)-MATCH($A$1,[2]characters!$1:$1,0)+1),MATCH(C$1,[2]characters!$1:$1,0)-MATCH($A$1,[2]characters!$1:$1,0)+1,FALSE)</f>
        <v>強化素材R6　緑</v>
      </c>
      <c r="D340" s="77" t="str">
        <f ca="1">VLOOKUP($A340,OFFSET([2]characters!$A$1,0,0,COUNTA([2]characters!$A:$A),MATCH(D$1,[2]characters!$1:$1,0)-MATCH($A$1,[2]characters!$1:$1,0)+1),MATCH(D$1,[2]characters!$1:$1,0)-MATCH($A$1,[2]characters!$1:$1,0)+1,FALSE)</f>
        <v>アリス</v>
      </c>
      <c r="E340" s="77" t="str">
        <f ca="1">VLOOKUP($A340,OFFSET([2]characters!$A$1,0,0,COUNTA([2]characters!$A:$A),MATCH(E$1,[2]characters!$1:$1,0)-MATCH($A$1,[2]characters!$1:$1,0)+1),MATCH(E$1,[2]characters!$1:$1,0)-MATCH($A$1,[2]characters!$1:$1,0)+1,FALSE)</f>
        <v>世界観</v>
      </c>
      <c r="F340" s="77" t="str">
        <f ca="1">VLOOKUP($A340,OFFSET([2]characters!$A$1,0,0,COUNTA([2]characters!$A:$A),MATCH(F$1,[2]characters!$1:$1,0)-MATCH($A$1,[2]characters!$1:$1,0)+1),MATCH(F$1,[2]characters!$1:$1,0)-MATCH($A$1,[2]characters!$1:$1,0)+1,FALSE)</f>
        <v>不明</v>
      </c>
      <c r="G340" s="77">
        <f ca="1">VLOOKUP($A340,OFFSET([2]characters!$A$1,0,0,COUNTA([2]characters!$A:$A),MATCH(G$1,[2]characters!$1:$1,0)-MATCH($A$1,[2]characters!$1:$1,0)+1),MATCH(G$1,[2]characters!$1:$1,0)-MATCH($A$1,[2]characters!$1:$1,0)+1,FALSE)</f>
        <v>6</v>
      </c>
      <c r="H340" s="77" t="str">
        <f ca="1">VLOOKUP($A340,OFFSET([2]characters!$A$1,0,0,COUNTA([2]characters!$A:$A),MATCH(H$1,[2]characters!$1:$1,0)-MATCH($A$1,[2]characters!$1:$1,0)+1),MATCH(H$1,[2]characters!$1:$1,0)-MATCH($A$1,[2]characters!$1:$1,0)+1,FALSE)</f>
        <v>Material</v>
      </c>
      <c r="I340" s="77" t="str">
        <f ca="1">VLOOKUP($A340,OFFSET([2]characters!$A$1,0,0,COUNTA([2]characters!$A:$A),MATCH(I$1,[2]characters!$1:$1,0)-MATCH($A$1,[2]characters!$1:$1,0)+1),MATCH(I$1,[2]characters!$1:$1,0)-MATCH($A$1,[2]characters!$1:$1,0)+1,FALSE)</f>
        <v>green</v>
      </c>
      <c r="J340" s="14">
        <f ca="1">VLOOKUP(I340,[2]属性!$A:$E,2,FALSE)</f>
        <v>1.02</v>
      </c>
      <c r="K340" s="14">
        <f ca="1">VLOOKUP(I340,[2]属性!$A:$E,3,FALSE)</f>
        <v>0.98</v>
      </c>
      <c r="L340" s="14">
        <f ca="1">VLOOKUP(I340,[2]属性!$A:$E,4,FALSE)</f>
        <v>1</v>
      </c>
      <c r="M340" s="14">
        <f ca="1">VLOOKUP(I340,[2]属性!$A:$E,5,FALSE)</f>
        <v>1</v>
      </c>
      <c r="N340" s="14">
        <f ca="1">INDEX(コスト!$A$1:$I$20,MATCH(H340,コスト!$A$1:$A$20,FALSE),MATCH(G340,コスト!$A$1:$I$1,FALSE))</f>
        <v>99</v>
      </c>
      <c r="O340" s="14">
        <f ca="1">INDEX(レベル!$A$1:$I$21,MATCH(H340,レベル!$A$1:$A$21,FALSE),MATCH(G340,レベル!$A$1:$I$1,FALSE))</f>
        <v>1</v>
      </c>
      <c r="P340" s="203">
        <v>1</v>
      </c>
      <c r="Q340" s="77" t="str">
        <f ca="1">VLOOKUP($A340,OFFSET([2]characters!$A$1,0,0,COUNTA([2]characters!$A:$A),MATCH(Q$1,[2]characters!$1:$1,0)-MATCH($A$1,[2]characters!$1:$1,0)+1),MATCH(Q$1,[2]characters!$1:$1,0)-MATCH($A$1,[2]characters!$1:$1,0)+1,FALSE)</f>
        <v>exp</v>
      </c>
      <c r="R340" s="8" t="str">
        <f ca="1">VLOOKUP(Q340,[2]character_type_i18n!$A:$H,3,FALSE)</f>
        <v>強化素材タイプ</v>
      </c>
      <c r="S340" s="14">
        <f ca="1">VLOOKUP(Q340,[2]character_type_i18n!$A:$H,4,FALSE)</f>
        <v>0.1</v>
      </c>
      <c r="T340" s="14">
        <f ca="1">VLOOKUP(Q340,[2]character_type_i18n!$A:$H,5,FALSE)</f>
        <v>0.05</v>
      </c>
      <c r="U340" s="14">
        <f ca="1">VLOOKUP(Q340,[2]character_type_i18n!$A:$H,6,FALSE)</f>
        <v>1</v>
      </c>
      <c r="V340" s="14">
        <f ca="1">VLOOKUP(Q340,[2]character_type_i18n!$A:$H,7,FALSE)</f>
        <v>0.05</v>
      </c>
      <c r="W340" s="77" t="str">
        <f ca="1">VLOOKUP($A340,OFFSET([2]characters!$A$1,0,0,COUNTA([2]characters!$A:$A),MATCH(W$1,[2]characters!$1:$1,0)-MATCH($A$1,[2]characters!$1:$1,0)+1),MATCH(W$1,[2]characters!$1:$1,0)-MATCH($A$1,[2]characters!$1:$1,0)+1,FALSE)</f>
        <v>unknown</v>
      </c>
      <c r="X340" s="8" t="str">
        <f ca="1">VLOOKUP(W340,[2]character_tribe_i18n!$A:$H,3,FALSE)</f>
        <v>Unknown</v>
      </c>
      <c r="Y340" s="77" t="str">
        <f ca="1">VLOOKUP($A340,OFFSET([2]characters!$A$1,0,0,COUNTA([2]characters!$A:$A),MATCH(Y$1,[2]characters!$1:$1,0)-MATCH($A$1,[2]characters!$1:$1,0)+1),MATCH(Y$1,[2]characters!$1:$1,0)-MATCH($A$1,[2]characters!$1:$1,0)+1,FALSE)</f>
        <v>none</v>
      </c>
      <c r="Z340" s="8" t="str">
        <f ca="1">VLOOKUP(Y340,[2]character_tribe_i18n!$A:$H,3,FALSE)</f>
        <v>種族なし</v>
      </c>
      <c r="AA340" s="14">
        <f ca="1">VLOOKUP(W340,[2]character_tribe_i18n!$A:$H,4,FALSE)</f>
        <v>1</v>
      </c>
      <c r="AB340" s="14">
        <f ca="1">VLOOKUP(W340,[2]character_tribe_i18n!$A:$H,5,FALSE)</f>
        <v>1</v>
      </c>
      <c r="AC340" s="14">
        <f ca="1">VLOOKUP(W340,[2]character_tribe_i18n!$A:$H,6,FALSE)</f>
        <v>1</v>
      </c>
      <c r="AD340" s="14">
        <f ca="1">VLOOKUP(W340,[2]character_tribe_i18n!$A:$H,7,FALSE)</f>
        <v>1</v>
      </c>
      <c r="AE340" s="12" t="s">
        <v>102</v>
      </c>
      <c r="AF340" s="85" t="str">
        <f ca="1">IF(AE340="NULL","",VLOOKUP($AE340,OFFSET([2]characters!$A$1,0,0,COUNTA([2]characters!$A:$A),MATCH(AF$1,[2]characters!$1:$1,0)-MATCH($A$1,[2]characters!$1:$1,0)+1),MATCH(AF$1,[2]characters!$1:$1,0)-MATCH($A$1,[2]characters!$1:$1,0)+1,FALSE))</f>
        <v/>
      </c>
      <c r="AG340" s="8">
        <f t="shared" ca="1" si="37"/>
        <v>339</v>
      </c>
      <c r="AH340" s="85" t="str">
        <f ca="1">VLOOKUP($AG340,OFFSET([2]characters!$A$1,0,0,COUNTA([2]characters!$A:$A),MATCH(AH$1,[2]characters!$1:$1,0)-MATCH($A$1,[2]characters!$1:$1,0)+1),MATCH(AH$1,[2]characters!$1:$1,0)-MATCH($A$1,[2]characters!$1:$1,0)+1,FALSE)</f>
        <v>森のメタルジェントル</v>
      </c>
      <c r="AI340" s="14" t="str">
        <f>IF(AE340="NULL","NULL",VLOOKUP(G340,ビット!$A$2:$B$7,2))</f>
        <v>NULL</v>
      </c>
      <c r="AJ340" s="9">
        <v>3</v>
      </c>
      <c r="AK340" s="10" t="str">
        <f t="shared" si="38"/>
        <v>晩成</v>
      </c>
      <c r="AL340" s="14" t="str">
        <f ca="1">INDEX(経験値!$A$1:$I$20,MATCH(H340,経験値!$A$1:$A$20,FALSE),MATCH(G340,経験値!$A$1:$I$1,FALSE))</f>
        <v>NULL</v>
      </c>
      <c r="AM340" s="11">
        <v>65000</v>
      </c>
      <c r="AN340" s="21">
        <f ca="1">VLOOKUP(G340,ビット!$G$2:$H$7,2)</f>
        <v>900</v>
      </c>
      <c r="AO340" s="57"/>
      <c r="AP340" s="101">
        <v>990004</v>
      </c>
      <c r="AQ340" s="77" t="e">
        <f ca="1">VLOOKUP($AP340,OFFSET([1]unit_skills!$A$1,0,0,COUNTA([1]unit_skills!$A:$A),MATCH("name",[1]unit_skills!$1:$1,0)-MATCH($AP$1,[1]unit_skills!$1:$1,0)+1),MATCH("name",[1]unit_skills!$1:$1,0)-MATCH($AP$1,[1]unit_skills!$1:$1,0)+1,FALSE)</f>
        <v>#VALUE!</v>
      </c>
      <c r="AR340" s="77" t="e">
        <f ca="1">VLOOKUP($AP340,OFFSET([1]unit_skills!$A$1,0,0,COUNTA([1]unit_skills!$A:$A),MATCH("comment",[1]unit_skills!$1:$1,0)-MATCH($AP$1,[1]unit_skills!$1:$1,0)+1),MATCH("comment",[1]unit_skills!$1:$1,0)-MATCH($AP$1,[1]unit_skills!$1:$1,0)+1,FALSE)</f>
        <v>#VALUE!</v>
      </c>
      <c r="AS340" s="77" t="e">
        <f ca="1">VLOOKUP($AP340,OFFSET([1]unit_skills!$A$1,0,0,COUNTA([1]unit_skills!$A:$A),MATCH(AS$1,[1]unit_skills!$1:$1,0)-MATCH($AP$1,[1]unit_skills!$1:$1,0)+1),MATCH(AS$1,[1]unit_skills!$1:$1,0)-MATCH($AP$1,[1]unit_skills!$1:$1,0)+1,FALSE)</f>
        <v>#VALUE!</v>
      </c>
      <c r="AT340" s="53">
        <v>0</v>
      </c>
      <c r="AU340" s="77" t="e">
        <f ca="1">VLOOKUP($AT340,OFFSET([1]crash_skills!$A$1,0,0,COUNTA([1]crash_skills!$A:$A),MATCH("name",[1]crash_skills!$1:$1,0)-MATCH($AT$1,[1]crash_skills!$1:$1,0)+1),MATCH("name",[1]crash_skills!$1:$1,0)-MATCH($AT$1,[1]crash_skills!$1:$1,0)+1,FALSE)</f>
        <v>#VALUE!</v>
      </c>
      <c r="AV340" s="77" t="e">
        <f ca="1">VLOOKUP($AT340,OFFSET([1]crash_skills!$A$1,0,0,COUNTA([1]crash_skills!$A:$A),MATCH("comment",[1]crash_skills!$1:$1,0)-MATCH($AT$1,[1]crash_skills!$1:$1,0)+1),MATCH("comment",[1]crash_skills!$1:$1,0)-MATCH($AT$1,[1]crash_skills!$1:$1,0)+1,FALSE)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40" s="77" t="e">
        <f ca="1">VLOOKUP($AT340,OFFSET([1]crash_skills!$A$1,0,0,COUNTA([1]crash_skills!$A:$A),MATCH(AW$1,[1]crash_skills!$1:$1,0)-MATCH($AT$1,[1]crash_skills!$1:$1,0)+1),MATCH(AW$1,[1]crash_skills!$1:$1,0)-MATCH($AT$1,[1]crash_skills!$1:$1,0)+1,FALSE)</f>
        <v>#VALUE!</v>
      </c>
      <c r="AX340" s="81">
        <f ca="1">VLOOKUP($A340,OFFSET([2]characters!$A$1,0,0,COUNTA([2]characters!$A:$A),MATCH(AX$1,[2]characters!$1:$1,0)-MATCH($A$1,[2]characters!$1:$1,0)+1),MATCH(AX$1,[2]characters!$1:$1,0)-MATCH($A$1,[2]characters!$1:$1,0)+1,FALSE)</f>
        <v>3</v>
      </c>
      <c r="AY340" s="19">
        <v>1</v>
      </c>
      <c r="AZ340" s="19">
        <v>1</v>
      </c>
      <c r="BA340" s="19">
        <v>0</v>
      </c>
      <c r="BB340" s="19">
        <v>1</v>
      </c>
      <c r="BC340" s="14">
        <f ca="1">INDEX('RC6SV'!$A$1:$G$20,MATCH(H340,'RC6SV'!$A$1:$A$20,FALSE),MATCH(G340,'RC6SV'!$A$1:$G$1,FALSE))</f>
        <v>1000</v>
      </c>
      <c r="BD340" s="63">
        <f t="shared" ca="1" si="39"/>
        <v>1050</v>
      </c>
      <c r="BE340" s="14">
        <f t="shared" ca="1" si="40"/>
        <v>0</v>
      </c>
      <c r="BF340" s="14">
        <f t="shared" ca="1" si="41"/>
        <v>1</v>
      </c>
      <c r="BG340" s="20">
        <f ca="1">IF($BE340&lt;=0,ROUND(BK340*0.5,0), ROUND($BE340*S340*AA340*J340*AY340*0.8*[2]ステータス!$B$2,0))</f>
        <v>27</v>
      </c>
      <c r="BH340" s="20">
        <f ca="1">IF($BE340&lt;=0,ROUND(BL340*0.5,0), ROUND($BE340*T340*AB340*K340*AZ340*0.8*[2]ステータス!$C$2,0))</f>
        <v>8</v>
      </c>
      <c r="BI340" s="20">
        <f ca="1">IF($BE340&lt;=0,ROUND(BM340*0.5,0), ROUND($BE340*U340*AC340*L340*BA340*0.8*[2]ステータス!$D$2,0))</f>
        <v>0</v>
      </c>
      <c r="BJ340" s="20">
        <f ca="1">IF($BE340&lt;=0,ROUND(BN340*0.5,0), ROUND($BE340*V340*AD340*M340*BB340*0.8*[2]ステータス!$E$2,0))</f>
        <v>7</v>
      </c>
      <c r="BK340" s="14">
        <f ca="1">ROUND(BD340*S340*AA340*J340*AY340*[2]ステータス!$B$2,0)</f>
        <v>54</v>
      </c>
      <c r="BL340" s="14">
        <f ca="1">ROUND(BD340*T340*AB340*K340*AZ340*[2]ステータス!$C$2,0)</f>
        <v>15</v>
      </c>
      <c r="BM340" s="14">
        <f ca="1">ROUND(BD340*U340*AC340*L340*BA340*[2]ステータス!$D$2,0)</f>
        <v>0</v>
      </c>
      <c r="BN340" s="14">
        <f ca="1">ROUND(BD340*V340*AD340*M340*BB340*[2]ステータス!$E$2,0)</f>
        <v>13</v>
      </c>
      <c r="BO340" s="13">
        <v>0</v>
      </c>
      <c r="BP340" s="13">
        <v>1</v>
      </c>
      <c r="BQ340" s="49" t="s">
        <v>102</v>
      </c>
      <c r="BR340" s="13">
        <f ca="1">VLOOKUP(H340,ghosts_label!$A$2:$B$19,2,FALSE)</f>
        <v>0</v>
      </c>
    </row>
    <row r="341" spans="1:70" ht="21" customHeight="1" x14ac:dyDescent="0.15">
      <c r="A341" s="14">
        <f t="shared" ca="1" si="36"/>
        <v>340</v>
      </c>
      <c r="B341" s="77" t="str">
        <f ca="1">VLOOKUP($A341,OFFSET([2]characters!$A$1,0,0,COUNTA([2]characters!$A:$A),MATCH(B$1,[2]characters!$1:$1,0)-MATCH($A$1,[2]characters!$1:$1,0)+1),MATCH(B$1,[2]characters!$1:$1,0)-MATCH($A$1,[2]characters!$1:$1,0)+1,FALSE)</f>
        <v>水のメタルピヨピヨ</v>
      </c>
      <c r="C341" s="77" t="str">
        <f ca="1">VLOOKUP($A341,OFFSET([2]characters!$A$1,0,0,COUNTA([2]characters!$A:$A),MATCH(C$1,[2]characters!$1:$1,0)-MATCH($A$1,[2]characters!$1:$1,0)+1),MATCH(C$1,[2]characters!$1:$1,0)-MATCH($A$1,[2]characters!$1:$1,0)+1,FALSE)</f>
        <v>強化素材R3　青</v>
      </c>
      <c r="D341" s="77" t="str">
        <f ca="1">VLOOKUP($A341,OFFSET([2]characters!$A$1,0,0,COUNTA([2]characters!$A:$A),MATCH(D$1,[2]characters!$1:$1,0)-MATCH($A$1,[2]characters!$1:$1,0)+1),MATCH(D$1,[2]characters!$1:$1,0)-MATCH($A$1,[2]characters!$1:$1,0)+1,FALSE)</f>
        <v>アリス</v>
      </c>
      <c r="E341" s="77" t="str">
        <f ca="1">VLOOKUP($A341,OFFSET([2]characters!$A$1,0,0,COUNTA([2]characters!$A:$A),MATCH(E$1,[2]characters!$1:$1,0)-MATCH($A$1,[2]characters!$1:$1,0)+1),MATCH(E$1,[2]characters!$1:$1,0)-MATCH($A$1,[2]characters!$1:$1,0)+1,FALSE)</f>
        <v>世界観</v>
      </c>
      <c r="F341" s="77" t="str">
        <f ca="1">VLOOKUP($A341,OFFSET([2]characters!$A$1,0,0,COUNTA([2]characters!$A:$A),MATCH(F$1,[2]characters!$1:$1,0)-MATCH($A$1,[2]characters!$1:$1,0)+1),MATCH(F$1,[2]characters!$1:$1,0)-MATCH($A$1,[2]characters!$1:$1,0)+1,FALSE)</f>
        <v>不明</v>
      </c>
      <c r="G341" s="77">
        <f ca="1">VLOOKUP($A341,OFFSET([2]characters!$A$1,0,0,COUNTA([2]characters!$A:$A),MATCH(G$1,[2]characters!$1:$1,0)-MATCH($A$1,[2]characters!$1:$1,0)+1),MATCH(G$1,[2]characters!$1:$1,0)-MATCH($A$1,[2]characters!$1:$1,0)+1,FALSE)</f>
        <v>3</v>
      </c>
      <c r="H341" s="77" t="str">
        <f ca="1">VLOOKUP($A341,OFFSET([2]characters!$A$1,0,0,COUNTA([2]characters!$A:$A),MATCH(H$1,[2]characters!$1:$1,0)-MATCH($A$1,[2]characters!$1:$1,0)+1),MATCH(H$1,[2]characters!$1:$1,0)-MATCH($A$1,[2]characters!$1:$1,0)+1,FALSE)</f>
        <v>Material</v>
      </c>
      <c r="I341" s="77" t="str">
        <f ca="1">VLOOKUP($A341,OFFSET([2]characters!$A$1,0,0,COUNTA([2]characters!$A:$A),MATCH(I$1,[2]characters!$1:$1,0)-MATCH($A$1,[2]characters!$1:$1,0)+1),MATCH(I$1,[2]characters!$1:$1,0)-MATCH($A$1,[2]characters!$1:$1,0)+1,FALSE)</f>
        <v>blue</v>
      </c>
      <c r="J341" s="14">
        <f ca="1">VLOOKUP(I341,[2]属性!$A:$E,2,FALSE)</f>
        <v>1</v>
      </c>
      <c r="K341" s="14">
        <f ca="1">VLOOKUP(I341,[2]属性!$A:$E,3,FALSE)</f>
        <v>0.98</v>
      </c>
      <c r="L341" s="14">
        <f ca="1">VLOOKUP(I341,[2]属性!$A:$E,4,FALSE)</f>
        <v>1</v>
      </c>
      <c r="M341" s="14">
        <f ca="1">VLOOKUP(I341,[2]属性!$A:$E,5,FALSE)</f>
        <v>1.02</v>
      </c>
      <c r="N341" s="14">
        <f ca="1">INDEX(コスト!$A$1:$I$20,MATCH(H341,コスト!$A$1:$A$20,FALSE),MATCH(G341,コスト!$A$1:$I$1,FALSE))</f>
        <v>99</v>
      </c>
      <c r="O341" s="14">
        <f ca="1">INDEX(レベル!$A$1:$I$21,MATCH(H341,レベル!$A$1:$A$21,FALSE),MATCH(G341,レベル!$A$1:$I$1,FALSE))</f>
        <v>1</v>
      </c>
      <c r="P341" s="203">
        <v>1</v>
      </c>
      <c r="Q341" s="77" t="str">
        <f ca="1">VLOOKUP($A341,OFFSET([2]characters!$A$1,0,0,COUNTA([2]characters!$A:$A),MATCH(Q$1,[2]characters!$1:$1,0)-MATCH($A$1,[2]characters!$1:$1,0)+1),MATCH(Q$1,[2]characters!$1:$1,0)-MATCH($A$1,[2]characters!$1:$1,0)+1,FALSE)</f>
        <v>exp</v>
      </c>
      <c r="R341" s="8" t="str">
        <f ca="1">VLOOKUP(Q341,[2]character_type_i18n!$A:$H,3,FALSE)</f>
        <v>強化素材タイプ</v>
      </c>
      <c r="S341" s="14">
        <f ca="1">VLOOKUP(Q341,[2]character_type_i18n!$A:$H,4,FALSE)</f>
        <v>0.1</v>
      </c>
      <c r="T341" s="14">
        <f ca="1">VLOOKUP(Q341,[2]character_type_i18n!$A:$H,5,FALSE)</f>
        <v>0.05</v>
      </c>
      <c r="U341" s="14">
        <f ca="1">VLOOKUP(Q341,[2]character_type_i18n!$A:$H,6,FALSE)</f>
        <v>1</v>
      </c>
      <c r="V341" s="14">
        <f ca="1">VLOOKUP(Q341,[2]character_type_i18n!$A:$H,7,FALSE)</f>
        <v>0.05</v>
      </c>
      <c r="W341" s="77" t="str">
        <f ca="1">VLOOKUP($A341,OFFSET([2]characters!$A$1,0,0,COUNTA([2]characters!$A:$A),MATCH(W$1,[2]characters!$1:$1,0)-MATCH($A$1,[2]characters!$1:$1,0)+1),MATCH(W$1,[2]characters!$1:$1,0)-MATCH($A$1,[2]characters!$1:$1,0)+1,FALSE)</f>
        <v>unknown</v>
      </c>
      <c r="X341" s="8" t="str">
        <f ca="1">VLOOKUP(W341,[2]character_tribe_i18n!$A:$H,3,FALSE)</f>
        <v>Unknown</v>
      </c>
      <c r="Y341" s="77" t="str">
        <f ca="1">VLOOKUP($A341,OFFSET([2]characters!$A$1,0,0,COUNTA([2]characters!$A:$A),MATCH(Y$1,[2]characters!$1:$1,0)-MATCH($A$1,[2]characters!$1:$1,0)+1),MATCH(Y$1,[2]characters!$1:$1,0)-MATCH($A$1,[2]characters!$1:$1,0)+1,FALSE)</f>
        <v>none</v>
      </c>
      <c r="Z341" s="8" t="str">
        <f ca="1">VLOOKUP(Y341,[2]character_tribe_i18n!$A:$H,3,FALSE)</f>
        <v>種族なし</v>
      </c>
      <c r="AA341" s="14">
        <f ca="1">VLOOKUP(W341,[2]character_tribe_i18n!$A:$H,4,FALSE)</f>
        <v>1</v>
      </c>
      <c r="AB341" s="14">
        <f ca="1">VLOOKUP(W341,[2]character_tribe_i18n!$A:$H,5,FALSE)</f>
        <v>1</v>
      </c>
      <c r="AC341" s="14">
        <f ca="1">VLOOKUP(W341,[2]character_tribe_i18n!$A:$H,6,FALSE)</f>
        <v>1</v>
      </c>
      <c r="AD341" s="14">
        <f ca="1">VLOOKUP(W341,[2]character_tribe_i18n!$A:$H,7,FALSE)</f>
        <v>1</v>
      </c>
      <c r="AE341" s="12">
        <v>341</v>
      </c>
      <c r="AF341" s="85" t="str">
        <f ca="1">IF(AE341="NULL","",VLOOKUP($AE341,OFFSET([2]characters!$A$1,0,0,COUNTA([2]characters!$A:$A),MATCH(AF$1,[2]characters!$1:$1,0)-MATCH($A$1,[2]characters!$1:$1,0)+1),MATCH(AF$1,[2]characters!$1:$1,0)-MATCH($A$1,[2]characters!$1:$1,0)+1,FALSE))</f>
        <v>水のメタルチック</v>
      </c>
      <c r="AG341" s="8">
        <f t="shared" ca="1" si="37"/>
        <v>340</v>
      </c>
      <c r="AH341" s="85" t="str">
        <f ca="1">VLOOKUP($AG341,OFFSET([2]characters!$A$1,0,0,COUNTA([2]characters!$A:$A),MATCH(AH$1,[2]characters!$1:$1,0)-MATCH($A$1,[2]characters!$1:$1,0)+1),MATCH(AH$1,[2]characters!$1:$1,0)-MATCH($A$1,[2]characters!$1:$1,0)+1,FALSE)</f>
        <v>水のメタルピヨピヨ</v>
      </c>
      <c r="AI341" s="14">
        <v>2000</v>
      </c>
      <c r="AJ341" s="9">
        <v>3</v>
      </c>
      <c r="AK341" s="10" t="str">
        <f t="shared" si="38"/>
        <v>晩成</v>
      </c>
      <c r="AL341" s="14" t="str">
        <f ca="1">INDEX(経験値!$A$1:$I$20,MATCH(H341,経験値!$A$1:$A$20,FALSE),MATCH(G341,経験値!$A$1:$I$1,FALSE))</f>
        <v>NULL</v>
      </c>
      <c r="AM341" s="11">
        <v>1500</v>
      </c>
      <c r="AN341" s="21">
        <f ca="1">VLOOKUP(G341,ビット!$G$2:$H$7,2)</f>
        <v>300</v>
      </c>
      <c r="AO341" s="57"/>
      <c r="AP341" s="101">
        <v>990001</v>
      </c>
      <c r="AQ341" s="77" t="e">
        <f ca="1">VLOOKUP($AP341,OFFSET([1]unit_skills!$A$1,0,0,COUNTA([1]unit_skills!$A:$A),MATCH("name",[1]unit_skills!$1:$1,0)-MATCH($AP$1,[1]unit_skills!$1:$1,0)+1),MATCH("name",[1]unit_skills!$1:$1,0)-MATCH($AP$1,[1]unit_skills!$1:$1,0)+1,FALSE)</f>
        <v>#VALUE!</v>
      </c>
      <c r="AR341" s="77" t="e">
        <f ca="1">VLOOKUP($AP341,OFFSET([1]unit_skills!$A$1,0,0,COUNTA([1]unit_skills!$A:$A),MATCH("comment",[1]unit_skills!$1:$1,0)-MATCH($AP$1,[1]unit_skills!$1:$1,0)+1),MATCH("comment",[1]unit_skills!$1:$1,0)-MATCH($AP$1,[1]unit_skills!$1:$1,0)+1,FALSE)</f>
        <v>#VALUE!</v>
      </c>
      <c r="AS341" s="77" t="e">
        <f ca="1">VLOOKUP($AP341,OFFSET([1]unit_skills!$A$1,0,0,COUNTA([1]unit_skills!$A:$A),MATCH(AS$1,[1]unit_skills!$1:$1,0)-MATCH($AP$1,[1]unit_skills!$1:$1,0)+1),MATCH(AS$1,[1]unit_skills!$1:$1,0)-MATCH($AP$1,[1]unit_skills!$1:$1,0)+1,FALSE)</f>
        <v>#VALUE!</v>
      </c>
      <c r="AT341" s="53">
        <v>0</v>
      </c>
      <c r="AU341" s="77" t="e">
        <f ca="1">VLOOKUP($AT341,OFFSET([1]crash_skills!$A$1,0,0,COUNTA([1]crash_skills!$A:$A),MATCH("name",[1]crash_skills!$1:$1,0)-MATCH($AT$1,[1]crash_skills!$1:$1,0)+1),MATCH("name",[1]crash_skills!$1:$1,0)-MATCH($AT$1,[1]crash_skills!$1:$1,0)+1,FALSE)</f>
        <v>#VALUE!</v>
      </c>
      <c r="AV341" s="77" t="e">
        <f ca="1">VLOOKUP($AT341,OFFSET([1]crash_skills!$A$1,0,0,COUNTA([1]crash_skills!$A:$A),MATCH("comment",[1]crash_skills!$1:$1,0)-MATCH($AT$1,[1]crash_skills!$1:$1,0)+1),MATCH("comment",[1]crash_skills!$1:$1,0)-MATCH($AT$1,[1]crash_skills!$1:$1,0)+1,FALSE)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41" s="77" t="e">
        <f ca="1">VLOOKUP($AT341,OFFSET([1]crash_skills!$A$1,0,0,COUNTA([1]crash_skills!$A:$A),MATCH(AW$1,[1]crash_skills!$1:$1,0)-MATCH($AT$1,[1]crash_skills!$1:$1,0)+1),MATCH(AW$1,[1]crash_skills!$1:$1,0)-MATCH($AT$1,[1]crash_skills!$1:$1,0)+1,FALSE)</f>
        <v>#VALUE!</v>
      </c>
      <c r="AX341" s="81">
        <f ca="1">VLOOKUP($A341,OFFSET([2]characters!$A$1,0,0,COUNTA([2]characters!$A:$A),MATCH(AX$1,[2]characters!$1:$1,0)-MATCH($A$1,[2]characters!$1:$1,0)+1),MATCH(AX$1,[2]characters!$1:$1,0)-MATCH($A$1,[2]characters!$1:$1,0)+1,FALSE)</f>
        <v>3</v>
      </c>
      <c r="AY341" s="19">
        <v>1</v>
      </c>
      <c r="AZ341" s="19">
        <v>1</v>
      </c>
      <c r="BA341" s="19">
        <v>0</v>
      </c>
      <c r="BB341" s="19">
        <v>1</v>
      </c>
      <c r="BC341" s="14">
        <f ca="1">INDEX('RC6SV'!$A$1:$G$20,MATCH(H341,'RC6SV'!$A$1:$A$20,FALSE),MATCH(G341,'RC6SV'!$A$1:$G$1,FALSE))</f>
        <v>1000</v>
      </c>
      <c r="BD341" s="63">
        <f t="shared" ca="1" si="39"/>
        <v>1050</v>
      </c>
      <c r="BE341" s="14">
        <f t="shared" ca="1" si="40"/>
        <v>0</v>
      </c>
      <c r="BF341" s="14">
        <f t="shared" ca="1" si="41"/>
        <v>1</v>
      </c>
      <c r="BG341" s="20">
        <f ca="1">IF($BE341&lt;=0,ROUND(BK341*0.5,0), ROUND($BE341*S341*AA341*J341*AY341*0.8*[2]ステータス!$B$2,0))</f>
        <v>27</v>
      </c>
      <c r="BH341" s="20">
        <f ca="1">IF($BE341&lt;=0,ROUND(BL341*0.5,0), ROUND($BE341*T341*AB341*K341*AZ341*0.8*[2]ステータス!$C$2,0))</f>
        <v>8</v>
      </c>
      <c r="BI341" s="20">
        <f ca="1">IF($BE341&lt;=0,ROUND(BM341*0.5,0), ROUND($BE341*U341*AC341*L341*BA341*0.8*[2]ステータス!$D$2,0))</f>
        <v>0</v>
      </c>
      <c r="BJ341" s="20">
        <f ca="1">IF($BE341&lt;=0,ROUND(BN341*0.5,0), ROUND($BE341*V341*AD341*M341*BB341*0.8*[2]ステータス!$E$2,0))</f>
        <v>7</v>
      </c>
      <c r="BK341" s="14">
        <f ca="1">ROUND(BD341*S341*AA341*J341*AY341*[2]ステータス!$B$2,0)</f>
        <v>53</v>
      </c>
      <c r="BL341" s="14">
        <f ca="1">ROUND(BD341*T341*AB341*K341*AZ341*[2]ステータス!$C$2,0)</f>
        <v>15</v>
      </c>
      <c r="BM341" s="14">
        <f ca="1">ROUND(BD341*U341*AC341*L341*BA341*[2]ステータス!$D$2,0)</f>
        <v>0</v>
      </c>
      <c r="BN341" s="14">
        <f ca="1">ROUND(BD341*V341*AD341*M341*BB341*[2]ステータス!$E$2,0)</f>
        <v>13</v>
      </c>
      <c r="BO341" s="13">
        <v>0</v>
      </c>
      <c r="BP341" s="13">
        <v>1</v>
      </c>
      <c r="BQ341" s="49" t="s">
        <v>102</v>
      </c>
      <c r="BR341" s="13">
        <f ca="1">VLOOKUP(H341,ghosts_label!$A$2:$B$19,2,FALSE)</f>
        <v>0</v>
      </c>
    </row>
    <row r="342" spans="1:70" ht="21" customHeight="1" x14ac:dyDescent="0.15">
      <c r="A342" s="14">
        <f t="shared" ca="1" si="36"/>
        <v>341</v>
      </c>
      <c r="B342" s="77" t="str">
        <f ca="1">VLOOKUP($A342,OFFSET([2]characters!$A$1,0,0,COUNTA([2]characters!$A:$A),MATCH(B$1,[2]characters!$1:$1,0)-MATCH($A$1,[2]characters!$1:$1,0)+1),MATCH(B$1,[2]characters!$1:$1,0)-MATCH($A$1,[2]characters!$1:$1,0)+1,FALSE)</f>
        <v>水のメタルチック</v>
      </c>
      <c r="C342" s="77" t="str">
        <f ca="1">VLOOKUP($A342,OFFSET([2]characters!$A$1,0,0,COUNTA([2]characters!$A:$A),MATCH(C$1,[2]characters!$1:$1,0)-MATCH($A$1,[2]characters!$1:$1,0)+1),MATCH(C$1,[2]characters!$1:$1,0)-MATCH($A$1,[2]characters!$1:$1,0)+1,FALSE)</f>
        <v>強化素材R4　青</v>
      </c>
      <c r="D342" s="77" t="str">
        <f ca="1">VLOOKUP($A342,OFFSET([2]characters!$A$1,0,0,COUNTA([2]characters!$A:$A),MATCH(D$1,[2]characters!$1:$1,0)-MATCH($A$1,[2]characters!$1:$1,0)+1),MATCH(D$1,[2]characters!$1:$1,0)-MATCH($A$1,[2]characters!$1:$1,0)+1,FALSE)</f>
        <v>アリス</v>
      </c>
      <c r="E342" s="77" t="str">
        <f ca="1">VLOOKUP($A342,OFFSET([2]characters!$A$1,0,0,COUNTA([2]characters!$A:$A),MATCH(E$1,[2]characters!$1:$1,0)-MATCH($A$1,[2]characters!$1:$1,0)+1),MATCH(E$1,[2]characters!$1:$1,0)-MATCH($A$1,[2]characters!$1:$1,0)+1,FALSE)</f>
        <v>世界観</v>
      </c>
      <c r="F342" s="77" t="str">
        <f ca="1">VLOOKUP($A342,OFFSET([2]characters!$A$1,0,0,COUNTA([2]characters!$A:$A),MATCH(F$1,[2]characters!$1:$1,0)-MATCH($A$1,[2]characters!$1:$1,0)+1),MATCH(F$1,[2]characters!$1:$1,0)-MATCH($A$1,[2]characters!$1:$1,0)+1,FALSE)</f>
        <v>不明</v>
      </c>
      <c r="G342" s="77">
        <f ca="1">VLOOKUP($A342,OFFSET([2]characters!$A$1,0,0,COUNTA([2]characters!$A:$A),MATCH(G$1,[2]characters!$1:$1,0)-MATCH($A$1,[2]characters!$1:$1,0)+1),MATCH(G$1,[2]characters!$1:$1,0)-MATCH($A$1,[2]characters!$1:$1,0)+1,FALSE)</f>
        <v>4</v>
      </c>
      <c r="H342" s="77" t="str">
        <f ca="1">VLOOKUP($A342,OFFSET([2]characters!$A$1,0,0,COUNTA([2]characters!$A:$A),MATCH(H$1,[2]characters!$1:$1,0)-MATCH($A$1,[2]characters!$1:$1,0)+1),MATCH(H$1,[2]characters!$1:$1,0)-MATCH($A$1,[2]characters!$1:$1,0)+1,FALSE)</f>
        <v>Material</v>
      </c>
      <c r="I342" s="77" t="str">
        <f ca="1">VLOOKUP($A342,OFFSET([2]characters!$A$1,0,0,COUNTA([2]characters!$A:$A),MATCH(I$1,[2]characters!$1:$1,0)-MATCH($A$1,[2]characters!$1:$1,0)+1),MATCH(I$1,[2]characters!$1:$1,0)-MATCH($A$1,[2]characters!$1:$1,0)+1,FALSE)</f>
        <v>blue</v>
      </c>
      <c r="J342" s="14">
        <f ca="1">VLOOKUP(I342,[2]属性!$A:$E,2,FALSE)</f>
        <v>1</v>
      </c>
      <c r="K342" s="14">
        <f ca="1">VLOOKUP(I342,[2]属性!$A:$E,3,FALSE)</f>
        <v>0.98</v>
      </c>
      <c r="L342" s="14">
        <f ca="1">VLOOKUP(I342,[2]属性!$A:$E,4,FALSE)</f>
        <v>1</v>
      </c>
      <c r="M342" s="14">
        <f ca="1">VLOOKUP(I342,[2]属性!$A:$E,5,FALSE)</f>
        <v>1.02</v>
      </c>
      <c r="N342" s="14">
        <f ca="1">INDEX(コスト!$A$1:$I$20,MATCH(H342,コスト!$A$1:$A$20,FALSE),MATCH(G342,コスト!$A$1:$I$1,FALSE))</f>
        <v>99</v>
      </c>
      <c r="O342" s="14">
        <f ca="1">INDEX(レベル!$A$1:$I$21,MATCH(H342,レベル!$A$1:$A$21,FALSE),MATCH(G342,レベル!$A$1:$I$1,FALSE))</f>
        <v>1</v>
      </c>
      <c r="P342" s="203">
        <v>1</v>
      </c>
      <c r="Q342" s="77" t="str">
        <f ca="1">VLOOKUP($A342,OFFSET([2]characters!$A$1,0,0,COUNTA([2]characters!$A:$A),MATCH(Q$1,[2]characters!$1:$1,0)-MATCH($A$1,[2]characters!$1:$1,0)+1),MATCH(Q$1,[2]characters!$1:$1,0)-MATCH($A$1,[2]characters!$1:$1,0)+1,FALSE)</f>
        <v>exp</v>
      </c>
      <c r="R342" s="8" t="str">
        <f ca="1">VLOOKUP(Q342,[2]character_type_i18n!$A:$H,3,FALSE)</f>
        <v>強化素材タイプ</v>
      </c>
      <c r="S342" s="14">
        <f ca="1">VLOOKUP(Q342,[2]character_type_i18n!$A:$H,4,FALSE)</f>
        <v>0.1</v>
      </c>
      <c r="T342" s="14">
        <f ca="1">VLOOKUP(Q342,[2]character_type_i18n!$A:$H,5,FALSE)</f>
        <v>0.05</v>
      </c>
      <c r="U342" s="14">
        <f ca="1">VLOOKUP(Q342,[2]character_type_i18n!$A:$H,6,FALSE)</f>
        <v>1</v>
      </c>
      <c r="V342" s="14">
        <f ca="1">VLOOKUP(Q342,[2]character_type_i18n!$A:$H,7,FALSE)</f>
        <v>0.05</v>
      </c>
      <c r="W342" s="77" t="str">
        <f ca="1">VLOOKUP($A342,OFFSET([2]characters!$A$1,0,0,COUNTA([2]characters!$A:$A),MATCH(W$1,[2]characters!$1:$1,0)-MATCH($A$1,[2]characters!$1:$1,0)+1),MATCH(W$1,[2]characters!$1:$1,0)-MATCH($A$1,[2]characters!$1:$1,0)+1,FALSE)</f>
        <v>unknown</v>
      </c>
      <c r="X342" s="8" t="str">
        <f ca="1">VLOOKUP(W342,[2]character_tribe_i18n!$A:$H,3,FALSE)</f>
        <v>Unknown</v>
      </c>
      <c r="Y342" s="77" t="str">
        <f ca="1">VLOOKUP($A342,OFFSET([2]characters!$A$1,0,0,COUNTA([2]characters!$A:$A),MATCH(Y$1,[2]characters!$1:$1,0)-MATCH($A$1,[2]characters!$1:$1,0)+1),MATCH(Y$1,[2]characters!$1:$1,0)-MATCH($A$1,[2]characters!$1:$1,0)+1,FALSE)</f>
        <v>none</v>
      </c>
      <c r="Z342" s="8" t="str">
        <f ca="1">VLOOKUP(Y342,[2]character_tribe_i18n!$A:$H,3,FALSE)</f>
        <v>種族なし</v>
      </c>
      <c r="AA342" s="14">
        <f ca="1">VLOOKUP(W342,[2]character_tribe_i18n!$A:$H,4,FALSE)</f>
        <v>1</v>
      </c>
      <c r="AB342" s="14">
        <f ca="1">VLOOKUP(W342,[2]character_tribe_i18n!$A:$H,5,FALSE)</f>
        <v>1</v>
      </c>
      <c r="AC342" s="14">
        <f ca="1">VLOOKUP(W342,[2]character_tribe_i18n!$A:$H,6,FALSE)</f>
        <v>1</v>
      </c>
      <c r="AD342" s="14">
        <f ca="1">VLOOKUP(W342,[2]character_tribe_i18n!$A:$H,7,FALSE)</f>
        <v>1</v>
      </c>
      <c r="AE342" s="12">
        <v>342</v>
      </c>
      <c r="AF342" s="85" t="str">
        <f ca="1">IF(AE342="NULL","",VLOOKUP($AE342,OFFSET([2]characters!$A$1,0,0,COUNTA([2]characters!$A:$A),MATCH(AF$1,[2]characters!$1:$1,0)-MATCH($A$1,[2]characters!$1:$1,0)+1),MATCH(AF$1,[2]characters!$1:$1,0)-MATCH($A$1,[2]characters!$1:$1,0)+1,FALSE))</f>
        <v>水のメタルダック</v>
      </c>
      <c r="AG342" s="8">
        <f t="shared" ca="1" si="37"/>
        <v>340</v>
      </c>
      <c r="AH342" s="85" t="str">
        <f ca="1">VLOOKUP($AG342,OFFSET([2]characters!$A$1,0,0,COUNTA([2]characters!$A:$A),MATCH(AH$1,[2]characters!$1:$1,0)-MATCH($A$1,[2]characters!$1:$1,0)+1),MATCH(AH$1,[2]characters!$1:$1,0)-MATCH($A$1,[2]characters!$1:$1,0)+1,FALSE)</f>
        <v>水のメタルピヨピヨ</v>
      </c>
      <c r="AI342" s="14">
        <v>5000</v>
      </c>
      <c r="AJ342" s="9">
        <v>3</v>
      </c>
      <c r="AK342" s="10" t="str">
        <f t="shared" si="38"/>
        <v>晩成</v>
      </c>
      <c r="AL342" s="14" t="str">
        <f ca="1">INDEX(経験値!$A$1:$I$20,MATCH(H342,経験値!$A$1:$A$20,FALSE),MATCH(G342,経験値!$A$1:$I$1,FALSE))</f>
        <v>NULL</v>
      </c>
      <c r="AM342" s="11">
        <v>5000</v>
      </c>
      <c r="AN342" s="21">
        <f ca="1">VLOOKUP(G342,ビット!$G$2:$H$7,2)</f>
        <v>600</v>
      </c>
      <c r="AO342" s="57"/>
      <c r="AP342" s="101">
        <v>990002</v>
      </c>
      <c r="AQ342" s="77" t="e">
        <f ca="1">VLOOKUP($AP342,OFFSET([1]unit_skills!$A$1,0,0,COUNTA([1]unit_skills!$A:$A),MATCH("name",[1]unit_skills!$1:$1,0)-MATCH($AP$1,[1]unit_skills!$1:$1,0)+1),MATCH("name",[1]unit_skills!$1:$1,0)-MATCH($AP$1,[1]unit_skills!$1:$1,0)+1,FALSE)</f>
        <v>#VALUE!</v>
      </c>
      <c r="AR342" s="77" t="e">
        <f ca="1">VLOOKUP($AP342,OFFSET([1]unit_skills!$A$1,0,0,COUNTA([1]unit_skills!$A:$A),MATCH("comment",[1]unit_skills!$1:$1,0)-MATCH($AP$1,[1]unit_skills!$1:$1,0)+1),MATCH("comment",[1]unit_skills!$1:$1,0)-MATCH($AP$1,[1]unit_skills!$1:$1,0)+1,FALSE)</f>
        <v>#VALUE!</v>
      </c>
      <c r="AS342" s="77" t="e">
        <f ca="1">VLOOKUP($AP342,OFFSET([1]unit_skills!$A$1,0,0,COUNTA([1]unit_skills!$A:$A),MATCH(AS$1,[1]unit_skills!$1:$1,0)-MATCH($AP$1,[1]unit_skills!$1:$1,0)+1),MATCH(AS$1,[1]unit_skills!$1:$1,0)-MATCH($AP$1,[1]unit_skills!$1:$1,0)+1,FALSE)</f>
        <v>#VALUE!</v>
      </c>
      <c r="AT342" s="53">
        <v>0</v>
      </c>
      <c r="AU342" s="77" t="e">
        <f ca="1">VLOOKUP($AT342,OFFSET([1]crash_skills!$A$1,0,0,COUNTA([1]crash_skills!$A:$A),MATCH("name",[1]crash_skills!$1:$1,0)-MATCH($AT$1,[1]crash_skills!$1:$1,0)+1),MATCH("name",[1]crash_skills!$1:$1,0)-MATCH($AT$1,[1]crash_skills!$1:$1,0)+1,FALSE)</f>
        <v>#VALUE!</v>
      </c>
      <c r="AV342" s="77" t="e">
        <f ca="1">VLOOKUP($AT342,OFFSET([1]crash_skills!$A$1,0,0,COUNTA([1]crash_skills!$A:$A),MATCH("comment",[1]crash_skills!$1:$1,0)-MATCH($AT$1,[1]crash_skills!$1:$1,0)+1),MATCH("comment",[1]crash_skills!$1:$1,0)-MATCH($AT$1,[1]crash_skills!$1:$1,0)+1,FALSE)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42" s="77" t="e">
        <f ca="1">VLOOKUP($AT342,OFFSET([1]crash_skills!$A$1,0,0,COUNTA([1]crash_skills!$A:$A),MATCH(AW$1,[1]crash_skills!$1:$1,0)-MATCH($AT$1,[1]crash_skills!$1:$1,0)+1),MATCH(AW$1,[1]crash_skills!$1:$1,0)-MATCH($AT$1,[1]crash_skills!$1:$1,0)+1,FALSE)</f>
        <v>#VALUE!</v>
      </c>
      <c r="AX342" s="81">
        <f ca="1">VLOOKUP($A342,OFFSET([2]characters!$A$1,0,0,COUNTA([2]characters!$A:$A),MATCH(AX$1,[2]characters!$1:$1,0)-MATCH($A$1,[2]characters!$1:$1,0)+1),MATCH(AX$1,[2]characters!$1:$1,0)-MATCH($A$1,[2]characters!$1:$1,0)+1,FALSE)</f>
        <v>3</v>
      </c>
      <c r="AY342" s="19">
        <v>1</v>
      </c>
      <c r="AZ342" s="19">
        <v>1</v>
      </c>
      <c r="BA342" s="19">
        <v>0</v>
      </c>
      <c r="BB342" s="19">
        <v>1</v>
      </c>
      <c r="BC342" s="14">
        <f ca="1">INDEX('RC6SV'!$A$1:$G$20,MATCH(H342,'RC6SV'!$A$1:$A$20,FALSE),MATCH(G342,'RC6SV'!$A$1:$G$1,FALSE))</f>
        <v>1000</v>
      </c>
      <c r="BD342" s="63">
        <f t="shared" ca="1" si="39"/>
        <v>1050</v>
      </c>
      <c r="BE342" s="14">
        <f t="shared" ca="1" si="40"/>
        <v>1000</v>
      </c>
      <c r="BF342" s="14">
        <f t="shared" ca="1" si="41"/>
        <v>1</v>
      </c>
      <c r="BG342" s="20">
        <f ca="1">IF($BE342&lt;=0,ROUND(BK342*0.5,0), ROUND($BE342*S342*AA342*J342*AY342*0.8*[2]ステータス!$B$2,0))</f>
        <v>40</v>
      </c>
      <c r="BH342" s="20">
        <f ca="1">IF($BE342&lt;=0,ROUND(BL342*0.5,0), ROUND($BE342*T342*AB342*K342*AZ342*0.8*[2]ステータス!$C$2,0))</f>
        <v>12</v>
      </c>
      <c r="BI342" s="20">
        <f ca="1">IF($BE342&lt;=0,ROUND(BM342*0.5,0), ROUND($BE342*U342*AC342*L342*BA342*0.8*[2]ステータス!$D$2,0))</f>
        <v>0</v>
      </c>
      <c r="BJ342" s="20">
        <f ca="1">IF($BE342&lt;=0,ROUND(BN342*0.5,0), ROUND($BE342*V342*AD342*M342*BB342*0.8*[2]ステータス!$E$2,0))</f>
        <v>10</v>
      </c>
      <c r="BK342" s="14">
        <f ca="1">ROUND(BD342*S342*AA342*J342*AY342*[2]ステータス!$B$2,0)</f>
        <v>53</v>
      </c>
      <c r="BL342" s="14">
        <f ca="1">ROUND(BD342*T342*AB342*K342*AZ342*[2]ステータス!$C$2,0)</f>
        <v>15</v>
      </c>
      <c r="BM342" s="14">
        <f ca="1">ROUND(BD342*U342*AC342*L342*BA342*[2]ステータス!$D$2,0)</f>
        <v>0</v>
      </c>
      <c r="BN342" s="14">
        <f ca="1">ROUND(BD342*V342*AD342*M342*BB342*[2]ステータス!$E$2,0)</f>
        <v>13</v>
      </c>
      <c r="BO342" s="13">
        <v>0</v>
      </c>
      <c r="BP342" s="13">
        <v>1</v>
      </c>
      <c r="BQ342" s="49" t="s">
        <v>102</v>
      </c>
      <c r="BR342" s="13">
        <f ca="1">VLOOKUP(H342,ghosts_label!$A$2:$B$19,2,FALSE)</f>
        <v>0</v>
      </c>
    </row>
    <row r="343" spans="1:70" ht="21" customHeight="1" x14ac:dyDescent="0.15">
      <c r="A343" s="14">
        <f t="shared" ca="1" si="36"/>
        <v>342</v>
      </c>
      <c r="B343" s="77" t="str">
        <f ca="1">VLOOKUP($A343,OFFSET([2]characters!$A$1,0,0,COUNTA([2]characters!$A:$A),MATCH(B$1,[2]characters!$1:$1,0)-MATCH($A$1,[2]characters!$1:$1,0)+1),MATCH(B$1,[2]characters!$1:$1,0)-MATCH($A$1,[2]characters!$1:$1,0)+1,FALSE)</f>
        <v>水のメタルダック</v>
      </c>
      <c r="C343" s="77" t="str">
        <f ca="1">VLOOKUP($A343,OFFSET([2]characters!$A$1,0,0,COUNTA([2]characters!$A:$A),MATCH(C$1,[2]characters!$1:$1,0)-MATCH($A$1,[2]characters!$1:$1,0)+1),MATCH(C$1,[2]characters!$1:$1,0)-MATCH($A$1,[2]characters!$1:$1,0)+1,FALSE)</f>
        <v>強化素材R5　青</v>
      </c>
      <c r="D343" s="77" t="str">
        <f ca="1">VLOOKUP($A343,OFFSET([2]characters!$A$1,0,0,COUNTA([2]characters!$A:$A),MATCH(D$1,[2]characters!$1:$1,0)-MATCH($A$1,[2]characters!$1:$1,0)+1),MATCH(D$1,[2]characters!$1:$1,0)-MATCH($A$1,[2]characters!$1:$1,0)+1,FALSE)</f>
        <v>アリス</v>
      </c>
      <c r="E343" s="77" t="str">
        <f ca="1">VLOOKUP($A343,OFFSET([2]characters!$A$1,0,0,COUNTA([2]characters!$A:$A),MATCH(E$1,[2]characters!$1:$1,0)-MATCH($A$1,[2]characters!$1:$1,0)+1),MATCH(E$1,[2]characters!$1:$1,0)-MATCH($A$1,[2]characters!$1:$1,0)+1,FALSE)</f>
        <v>世界観</v>
      </c>
      <c r="F343" s="77" t="str">
        <f ca="1">VLOOKUP($A343,OFFSET([2]characters!$A$1,0,0,COUNTA([2]characters!$A:$A),MATCH(F$1,[2]characters!$1:$1,0)-MATCH($A$1,[2]characters!$1:$1,0)+1),MATCH(F$1,[2]characters!$1:$1,0)-MATCH($A$1,[2]characters!$1:$1,0)+1,FALSE)</f>
        <v>不明</v>
      </c>
      <c r="G343" s="77">
        <f ca="1">VLOOKUP($A343,OFFSET([2]characters!$A$1,0,0,COUNTA([2]characters!$A:$A),MATCH(G$1,[2]characters!$1:$1,0)-MATCH($A$1,[2]characters!$1:$1,0)+1),MATCH(G$1,[2]characters!$1:$1,0)-MATCH($A$1,[2]characters!$1:$1,0)+1,FALSE)</f>
        <v>5</v>
      </c>
      <c r="H343" s="77" t="str">
        <f ca="1">VLOOKUP($A343,OFFSET([2]characters!$A$1,0,0,COUNTA([2]characters!$A:$A),MATCH(H$1,[2]characters!$1:$1,0)-MATCH($A$1,[2]characters!$1:$1,0)+1),MATCH(H$1,[2]characters!$1:$1,0)-MATCH($A$1,[2]characters!$1:$1,0)+1,FALSE)</f>
        <v>Material</v>
      </c>
      <c r="I343" s="77" t="str">
        <f ca="1">VLOOKUP($A343,OFFSET([2]characters!$A$1,0,0,COUNTA([2]characters!$A:$A),MATCH(I$1,[2]characters!$1:$1,0)-MATCH($A$1,[2]characters!$1:$1,0)+1),MATCH(I$1,[2]characters!$1:$1,0)-MATCH($A$1,[2]characters!$1:$1,0)+1,FALSE)</f>
        <v>blue</v>
      </c>
      <c r="J343" s="14">
        <f ca="1">VLOOKUP(I343,[2]属性!$A:$E,2,FALSE)</f>
        <v>1</v>
      </c>
      <c r="K343" s="14">
        <f ca="1">VLOOKUP(I343,[2]属性!$A:$E,3,FALSE)</f>
        <v>0.98</v>
      </c>
      <c r="L343" s="14">
        <f ca="1">VLOOKUP(I343,[2]属性!$A:$E,4,FALSE)</f>
        <v>1</v>
      </c>
      <c r="M343" s="14">
        <f ca="1">VLOOKUP(I343,[2]属性!$A:$E,5,FALSE)</f>
        <v>1.02</v>
      </c>
      <c r="N343" s="14">
        <f ca="1">INDEX(コスト!$A$1:$I$20,MATCH(H343,コスト!$A$1:$A$20,FALSE),MATCH(G343,コスト!$A$1:$I$1,FALSE))</f>
        <v>99</v>
      </c>
      <c r="O343" s="14">
        <f ca="1">INDEX(レベル!$A$1:$I$21,MATCH(H343,レベル!$A$1:$A$21,FALSE),MATCH(G343,レベル!$A$1:$I$1,FALSE))</f>
        <v>1</v>
      </c>
      <c r="P343" s="203">
        <v>1</v>
      </c>
      <c r="Q343" s="77" t="str">
        <f ca="1">VLOOKUP($A343,OFFSET([2]characters!$A$1,0,0,COUNTA([2]characters!$A:$A),MATCH(Q$1,[2]characters!$1:$1,0)-MATCH($A$1,[2]characters!$1:$1,0)+1),MATCH(Q$1,[2]characters!$1:$1,0)-MATCH($A$1,[2]characters!$1:$1,0)+1,FALSE)</f>
        <v>exp</v>
      </c>
      <c r="R343" s="8" t="str">
        <f ca="1">VLOOKUP(Q343,[2]character_type_i18n!$A:$H,3,FALSE)</f>
        <v>強化素材タイプ</v>
      </c>
      <c r="S343" s="14">
        <f ca="1">VLOOKUP(Q343,[2]character_type_i18n!$A:$H,4,FALSE)</f>
        <v>0.1</v>
      </c>
      <c r="T343" s="14">
        <f ca="1">VLOOKUP(Q343,[2]character_type_i18n!$A:$H,5,FALSE)</f>
        <v>0.05</v>
      </c>
      <c r="U343" s="14">
        <f ca="1">VLOOKUP(Q343,[2]character_type_i18n!$A:$H,6,FALSE)</f>
        <v>1</v>
      </c>
      <c r="V343" s="14">
        <f ca="1">VLOOKUP(Q343,[2]character_type_i18n!$A:$H,7,FALSE)</f>
        <v>0.05</v>
      </c>
      <c r="W343" s="77" t="str">
        <f ca="1">VLOOKUP($A343,OFFSET([2]characters!$A$1,0,0,COUNTA([2]characters!$A:$A),MATCH(W$1,[2]characters!$1:$1,0)-MATCH($A$1,[2]characters!$1:$1,0)+1),MATCH(W$1,[2]characters!$1:$1,0)-MATCH($A$1,[2]characters!$1:$1,0)+1,FALSE)</f>
        <v>unknown</v>
      </c>
      <c r="X343" s="8" t="str">
        <f ca="1">VLOOKUP(W343,[2]character_tribe_i18n!$A:$H,3,FALSE)</f>
        <v>Unknown</v>
      </c>
      <c r="Y343" s="77" t="str">
        <f ca="1">VLOOKUP($A343,OFFSET([2]characters!$A$1,0,0,COUNTA([2]characters!$A:$A),MATCH(Y$1,[2]characters!$1:$1,0)-MATCH($A$1,[2]characters!$1:$1,0)+1),MATCH(Y$1,[2]characters!$1:$1,0)-MATCH($A$1,[2]characters!$1:$1,0)+1,FALSE)</f>
        <v>none</v>
      </c>
      <c r="Z343" s="8" t="str">
        <f ca="1">VLOOKUP(Y343,[2]character_tribe_i18n!$A:$H,3,FALSE)</f>
        <v>種族なし</v>
      </c>
      <c r="AA343" s="14">
        <f ca="1">VLOOKUP(W343,[2]character_tribe_i18n!$A:$H,4,FALSE)</f>
        <v>1</v>
      </c>
      <c r="AB343" s="14">
        <f ca="1">VLOOKUP(W343,[2]character_tribe_i18n!$A:$H,5,FALSE)</f>
        <v>1</v>
      </c>
      <c r="AC343" s="14">
        <f ca="1">VLOOKUP(W343,[2]character_tribe_i18n!$A:$H,6,FALSE)</f>
        <v>1</v>
      </c>
      <c r="AD343" s="14">
        <f ca="1">VLOOKUP(W343,[2]character_tribe_i18n!$A:$H,7,FALSE)</f>
        <v>1</v>
      </c>
      <c r="AE343" s="12" t="s">
        <v>102</v>
      </c>
      <c r="AF343" s="85" t="str">
        <f ca="1">IF(AE343="NULL","",VLOOKUP($AE343,OFFSET([2]characters!$A$1,0,0,COUNTA([2]characters!$A:$A),MATCH(AF$1,[2]characters!$1:$1,0)-MATCH($A$1,[2]characters!$1:$1,0)+1),MATCH(AF$1,[2]characters!$1:$1,0)-MATCH($A$1,[2]characters!$1:$1,0)+1,FALSE))</f>
        <v/>
      </c>
      <c r="AG343" s="8">
        <f t="shared" ca="1" si="37"/>
        <v>340</v>
      </c>
      <c r="AH343" s="85" t="str">
        <f ca="1">VLOOKUP($AG343,OFFSET([2]characters!$A$1,0,0,COUNTA([2]characters!$A:$A),MATCH(AH$1,[2]characters!$1:$1,0)-MATCH($A$1,[2]characters!$1:$1,0)+1),MATCH(AH$1,[2]characters!$1:$1,0)-MATCH($A$1,[2]characters!$1:$1,0)+1,FALSE)</f>
        <v>水のメタルピヨピヨ</v>
      </c>
      <c r="AI343" s="14" t="str">
        <f>IF(AE343="NULL","NULL",VLOOKUP(G343,ビット!$A$2:$B$7,2))</f>
        <v>NULL</v>
      </c>
      <c r="AJ343" s="9">
        <v>3</v>
      </c>
      <c r="AK343" s="10" t="str">
        <f t="shared" si="38"/>
        <v>晩成</v>
      </c>
      <c r="AL343" s="14" t="str">
        <f ca="1">INDEX(経験値!$A$1:$I$20,MATCH(H343,経験値!$A$1:$A$20,FALSE),MATCH(G343,経験値!$A$1:$I$1,FALSE))</f>
        <v>NULL</v>
      </c>
      <c r="AM343" s="11">
        <v>20000</v>
      </c>
      <c r="AN343" s="21">
        <f ca="1">VLOOKUP(G343,ビット!$G$2:$H$7,2)</f>
        <v>900</v>
      </c>
      <c r="AO343" s="57"/>
      <c r="AP343" s="101">
        <v>990003</v>
      </c>
      <c r="AQ343" s="77" t="e">
        <f ca="1">VLOOKUP($AP343,OFFSET([1]unit_skills!$A$1,0,0,COUNTA([1]unit_skills!$A:$A),MATCH("name",[1]unit_skills!$1:$1,0)-MATCH($AP$1,[1]unit_skills!$1:$1,0)+1),MATCH("name",[1]unit_skills!$1:$1,0)-MATCH($AP$1,[1]unit_skills!$1:$1,0)+1,FALSE)</f>
        <v>#VALUE!</v>
      </c>
      <c r="AR343" s="77" t="e">
        <f ca="1">VLOOKUP($AP343,OFFSET([1]unit_skills!$A$1,0,0,COUNTA([1]unit_skills!$A:$A),MATCH("comment",[1]unit_skills!$1:$1,0)-MATCH($AP$1,[1]unit_skills!$1:$1,0)+1),MATCH("comment",[1]unit_skills!$1:$1,0)-MATCH($AP$1,[1]unit_skills!$1:$1,0)+1,FALSE)</f>
        <v>#VALUE!</v>
      </c>
      <c r="AS343" s="77" t="e">
        <f ca="1">VLOOKUP($AP343,OFFSET([1]unit_skills!$A$1,0,0,COUNTA([1]unit_skills!$A:$A),MATCH(AS$1,[1]unit_skills!$1:$1,0)-MATCH($AP$1,[1]unit_skills!$1:$1,0)+1),MATCH(AS$1,[1]unit_skills!$1:$1,0)-MATCH($AP$1,[1]unit_skills!$1:$1,0)+1,FALSE)</f>
        <v>#VALUE!</v>
      </c>
      <c r="AT343" s="53">
        <v>0</v>
      </c>
      <c r="AU343" s="77" t="e">
        <f ca="1">VLOOKUP($AT343,OFFSET([1]crash_skills!$A$1,0,0,COUNTA([1]crash_skills!$A:$A),MATCH("name",[1]crash_skills!$1:$1,0)-MATCH($AT$1,[1]crash_skills!$1:$1,0)+1),MATCH("name",[1]crash_skills!$1:$1,0)-MATCH($AT$1,[1]crash_skills!$1:$1,0)+1,FALSE)</f>
        <v>#VALUE!</v>
      </c>
      <c r="AV343" s="77" t="e">
        <f ca="1">VLOOKUP($AT343,OFFSET([1]crash_skills!$A$1,0,0,COUNTA([1]crash_skills!$A:$A),MATCH("comment",[1]crash_skills!$1:$1,0)-MATCH($AT$1,[1]crash_skills!$1:$1,0)+1),MATCH("comment",[1]crash_skills!$1:$1,0)-MATCH($AT$1,[1]crash_skills!$1:$1,0)+1,FALSE)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43" s="77" t="e">
        <f ca="1">VLOOKUP($AT343,OFFSET([1]crash_skills!$A$1,0,0,COUNTA([1]crash_skills!$A:$A),MATCH(AW$1,[1]crash_skills!$1:$1,0)-MATCH($AT$1,[1]crash_skills!$1:$1,0)+1),MATCH(AW$1,[1]crash_skills!$1:$1,0)-MATCH($AT$1,[1]crash_skills!$1:$1,0)+1,FALSE)</f>
        <v>#VALUE!</v>
      </c>
      <c r="AX343" s="81">
        <f ca="1">VLOOKUP($A343,OFFSET([2]characters!$A$1,0,0,COUNTA([2]characters!$A:$A),MATCH(AX$1,[2]characters!$1:$1,0)-MATCH($A$1,[2]characters!$1:$1,0)+1),MATCH(AX$1,[2]characters!$1:$1,0)-MATCH($A$1,[2]characters!$1:$1,0)+1,FALSE)</f>
        <v>3</v>
      </c>
      <c r="AY343" s="19">
        <v>1</v>
      </c>
      <c r="AZ343" s="19">
        <v>1</v>
      </c>
      <c r="BA343" s="19">
        <v>0</v>
      </c>
      <c r="BB343" s="19">
        <v>1</v>
      </c>
      <c r="BC343" s="14">
        <f ca="1">INDEX('RC6SV'!$A$1:$G$20,MATCH(H343,'RC6SV'!$A$1:$A$20,FALSE),MATCH(G343,'RC6SV'!$A$1:$G$1,FALSE))</f>
        <v>1000</v>
      </c>
      <c r="BD343" s="63">
        <f t="shared" ca="1" si="39"/>
        <v>1050</v>
      </c>
      <c r="BE343" s="14">
        <f t="shared" ca="1" si="40"/>
        <v>1000</v>
      </c>
      <c r="BF343" s="14">
        <f t="shared" ca="1" si="41"/>
        <v>1</v>
      </c>
      <c r="BG343" s="20">
        <f ca="1">IF($BE343&lt;=0,ROUND(BK343*0.5,0), ROUND($BE343*S343*AA343*J343*AY343*0.8*[2]ステータス!$B$2,0))</f>
        <v>40</v>
      </c>
      <c r="BH343" s="20">
        <f ca="1">IF($BE343&lt;=0,ROUND(BL343*0.5,0), ROUND($BE343*T343*AB343*K343*AZ343*0.8*[2]ステータス!$C$2,0))</f>
        <v>12</v>
      </c>
      <c r="BI343" s="20">
        <f ca="1">IF($BE343&lt;=0,ROUND(BM343*0.5,0), ROUND($BE343*U343*AC343*L343*BA343*0.8*[2]ステータス!$D$2,0))</f>
        <v>0</v>
      </c>
      <c r="BJ343" s="20">
        <f ca="1">IF($BE343&lt;=0,ROUND(BN343*0.5,0), ROUND($BE343*V343*AD343*M343*BB343*0.8*[2]ステータス!$E$2,0))</f>
        <v>10</v>
      </c>
      <c r="BK343" s="14">
        <f ca="1">ROUND(BD343*S343*AA343*J343*AY343*[2]ステータス!$B$2,0)</f>
        <v>53</v>
      </c>
      <c r="BL343" s="14">
        <f ca="1">ROUND(BD343*T343*AB343*K343*AZ343*[2]ステータス!$C$2,0)</f>
        <v>15</v>
      </c>
      <c r="BM343" s="14">
        <f ca="1">ROUND(BD343*U343*AC343*L343*BA343*[2]ステータス!$D$2,0)</f>
        <v>0</v>
      </c>
      <c r="BN343" s="14">
        <f ca="1">ROUND(BD343*V343*AD343*M343*BB343*[2]ステータス!$E$2,0)</f>
        <v>13</v>
      </c>
      <c r="BO343" s="13">
        <v>0</v>
      </c>
      <c r="BP343" s="13">
        <v>1</v>
      </c>
      <c r="BQ343" s="49" t="s">
        <v>102</v>
      </c>
      <c r="BR343" s="13">
        <f ca="1">VLOOKUP(H343,ghosts_label!$A$2:$B$19,2,FALSE)</f>
        <v>0</v>
      </c>
    </row>
    <row r="344" spans="1:70" ht="21" customHeight="1" x14ac:dyDescent="0.15">
      <c r="A344" s="14">
        <f t="shared" ca="1" si="36"/>
        <v>343</v>
      </c>
      <c r="B344" s="77" t="str">
        <f ca="1">VLOOKUP($A344,OFFSET([2]characters!$A$1,0,0,COUNTA([2]characters!$A:$A),MATCH(B$1,[2]characters!$1:$1,0)-MATCH($A$1,[2]characters!$1:$1,0)+1),MATCH(B$1,[2]characters!$1:$1,0)-MATCH($A$1,[2]characters!$1:$1,0)+1,FALSE)</f>
        <v>水のメタルジェントル</v>
      </c>
      <c r="C344" s="77" t="str">
        <f ca="1">VLOOKUP($A344,OFFSET([2]characters!$A$1,0,0,COUNTA([2]characters!$A:$A),MATCH(C$1,[2]characters!$1:$1,0)-MATCH($A$1,[2]characters!$1:$1,0)+1),MATCH(C$1,[2]characters!$1:$1,0)-MATCH($A$1,[2]characters!$1:$1,0)+1,FALSE)</f>
        <v>強化素材R6　青</v>
      </c>
      <c r="D344" s="77" t="str">
        <f ca="1">VLOOKUP($A344,OFFSET([2]characters!$A$1,0,0,COUNTA([2]characters!$A:$A),MATCH(D$1,[2]characters!$1:$1,0)-MATCH($A$1,[2]characters!$1:$1,0)+1),MATCH(D$1,[2]characters!$1:$1,0)-MATCH($A$1,[2]characters!$1:$1,0)+1,FALSE)</f>
        <v>アリス</v>
      </c>
      <c r="E344" s="77" t="str">
        <f ca="1">VLOOKUP($A344,OFFSET([2]characters!$A$1,0,0,COUNTA([2]characters!$A:$A),MATCH(E$1,[2]characters!$1:$1,0)-MATCH($A$1,[2]characters!$1:$1,0)+1),MATCH(E$1,[2]characters!$1:$1,0)-MATCH($A$1,[2]characters!$1:$1,0)+1,FALSE)</f>
        <v>世界観</v>
      </c>
      <c r="F344" s="77" t="str">
        <f ca="1">VLOOKUP($A344,OFFSET([2]characters!$A$1,0,0,COUNTA([2]characters!$A:$A),MATCH(F$1,[2]characters!$1:$1,0)-MATCH($A$1,[2]characters!$1:$1,0)+1),MATCH(F$1,[2]characters!$1:$1,0)-MATCH($A$1,[2]characters!$1:$1,0)+1,FALSE)</f>
        <v>不明</v>
      </c>
      <c r="G344" s="77">
        <f ca="1">VLOOKUP($A344,OFFSET([2]characters!$A$1,0,0,COUNTA([2]characters!$A:$A),MATCH(G$1,[2]characters!$1:$1,0)-MATCH($A$1,[2]characters!$1:$1,0)+1),MATCH(G$1,[2]characters!$1:$1,0)-MATCH($A$1,[2]characters!$1:$1,0)+1,FALSE)</f>
        <v>6</v>
      </c>
      <c r="H344" s="77" t="str">
        <f ca="1">VLOOKUP($A344,OFFSET([2]characters!$A$1,0,0,COUNTA([2]characters!$A:$A),MATCH(H$1,[2]characters!$1:$1,0)-MATCH($A$1,[2]characters!$1:$1,0)+1),MATCH(H$1,[2]characters!$1:$1,0)-MATCH($A$1,[2]characters!$1:$1,0)+1,FALSE)</f>
        <v>Material</v>
      </c>
      <c r="I344" s="77" t="str">
        <f ca="1">VLOOKUP($A344,OFFSET([2]characters!$A$1,0,0,COUNTA([2]characters!$A:$A),MATCH(I$1,[2]characters!$1:$1,0)-MATCH($A$1,[2]characters!$1:$1,0)+1),MATCH(I$1,[2]characters!$1:$1,0)-MATCH($A$1,[2]characters!$1:$1,0)+1,FALSE)</f>
        <v>blue</v>
      </c>
      <c r="J344" s="14">
        <f ca="1">VLOOKUP(I344,[2]属性!$A:$E,2,FALSE)</f>
        <v>1</v>
      </c>
      <c r="K344" s="14">
        <f ca="1">VLOOKUP(I344,[2]属性!$A:$E,3,FALSE)</f>
        <v>0.98</v>
      </c>
      <c r="L344" s="14">
        <f ca="1">VLOOKUP(I344,[2]属性!$A:$E,4,FALSE)</f>
        <v>1</v>
      </c>
      <c r="M344" s="14">
        <f ca="1">VLOOKUP(I344,[2]属性!$A:$E,5,FALSE)</f>
        <v>1.02</v>
      </c>
      <c r="N344" s="14">
        <f ca="1">INDEX(コスト!$A$1:$I$20,MATCH(H344,コスト!$A$1:$A$20,FALSE),MATCH(G344,コスト!$A$1:$I$1,FALSE))</f>
        <v>99</v>
      </c>
      <c r="O344" s="14">
        <f ca="1">INDEX(レベル!$A$1:$I$21,MATCH(H344,レベル!$A$1:$A$21,FALSE),MATCH(G344,レベル!$A$1:$I$1,FALSE))</f>
        <v>1</v>
      </c>
      <c r="P344" s="203">
        <v>1</v>
      </c>
      <c r="Q344" s="77" t="str">
        <f ca="1">VLOOKUP($A344,OFFSET([2]characters!$A$1,0,0,COUNTA([2]characters!$A:$A),MATCH(Q$1,[2]characters!$1:$1,0)-MATCH($A$1,[2]characters!$1:$1,0)+1),MATCH(Q$1,[2]characters!$1:$1,0)-MATCH($A$1,[2]characters!$1:$1,0)+1,FALSE)</f>
        <v>exp</v>
      </c>
      <c r="R344" s="8" t="str">
        <f ca="1">VLOOKUP(Q344,[2]character_type_i18n!$A:$H,3,FALSE)</f>
        <v>強化素材タイプ</v>
      </c>
      <c r="S344" s="14">
        <f ca="1">VLOOKUP(Q344,[2]character_type_i18n!$A:$H,4,FALSE)</f>
        <v>0.1</v>
      </c>
      <c r="T344" s="14">
        <f ca="1">VLOOKUP(Q344,[2]character_type_i18n!$A:$H,5,FALSE)</f>
        <v>0.05</v>
      </c>
      <c r="U344" s="14">
        <f ca="1">VLOOKUP(Q344,[2]character_type_i18n!$A:$H,6,FALSE)</f>
        <v>1</v>
      </c>
      <c r="V344" s="14">
        <f ca="1">VLOOKUP(Q344,[2]character_type_i18n!$A:$H,7,FALSE)</f>
        <v>0.05</v>
      </c>
      <c r="W344" s="77" t="str">
        <f ca="1">VLOOKUP($A344,OFFSET([2]characters!$A$1,0,0,COUNTA([2]characters!$A:$A),MATCH(W$1,[2]characters!$1:$1,0)-MATCH($A$1,[2]characters!$1:$1,0)+1),MATCH(W$1,[2]characters!$1:$1,0)-MATCH($A$1,[2]characters!$1:$1,0)+1,FALSE)</f>
        <v>unknown</v>
      </c>
      <c r="X344" s="8" t="str">
        <f ca="1">VLOOKUP(W344,[2]character_tribe_i18n!$A:$H,3,FALSE)</f>
        <v>Unknown</v>
      </c>
      <c r="Y344" s="77" t="str">
        <f ca="1">VLOOKUP($A344,OFFSET([2]characters!$A$1,0,0,COUNTA([2]characters!$A:$A),MATCH(Y$1,[2]characters!$1:$1,0)-MATCH($A$1,[2]characters!$1:$1,0)+1),MATCH(Y$1,[2]characters!$1:$1,0)-MATCH($A$1,[2]characters!$1:$1,0)+1,FALSE)</f>
        <v>none</v>
      </c>
      <c r="Z344" s="8" t="str">
        <f ca="1">VLOOKUP(Y344,[2]character_tribe_i18n!$A:$H,3,FALSE)</f>
        <v>種族なし</v>
      </c>
      <c r="AA344" s="14">
        <f ca="1">VLOOKUP(W344,[2]character_tribe_i18n!$A:$H,4,FALSE)</f>
        <v>1</v>
      </c>
      <c r="AB344" s="14">
        <f ca="1">VLOOKUP(W344,[2]character_tribe_i18n!$A:$H,5,FALSE)</f>
        <v>1</v>
      </c>
      <c r="AC344" s="14">
        <f ca="1">VLOOKUP(W344,[2]character_tribe_i18n!$A:$H,6,FALSE)</f>
        <v>1</v>
      </c>
      <c r="AD344" s="14">
        <f ca="1">VLOOKUP(W344,[2]character_tribe_i18n!$A:$H,7,FALSE)</f>
        <v>1</v>
      </c>
      <c r="AE344" s="12" t="s">
        <v>102</v>
      </c>
      <c r="AF344" s="85" t="str">
        <f ca="1">IF(AE344="NULL","",VLOOKUP($AE344,OFFSET([2]characters!$A$1,0,0,COUNTA([2]characters!$A:$A),MATCH(AF$1,[2]characters!$1:$1,0)-MATCH($A$1,[2]characters!$1:$1,0)+1),MATCH(AF$1,[2]characters!$1:$1,0)-MATCH($A$1,[2]characters!$1:$1,0)+1,FALSE))</f>
        <v/>
      </c>
      <c r="AG344" s="8">
        <f t="shared" ca="1" si="37"/>
        <v>343</v>
      </c>
      <c r="AH344" s="85" t="str">
        <f ca="1">VLOOKUP($AG344,OFFSET([2]characters!$A$1,0,0,COUNTA([2]characters!$A:$A),MATCH(AH$1,[2]characters!$1:$1,0)-MATCH($A$1,[2]characters!$1:$1,0)+1),MATCH(AH$1,[2]characters!$1:$1,0)-MATCH($A$1,[2]characters!$1:$1,0)+1,FALSE)</f>
        <v>水のメタルジェントル</v>
      </c>
      <c r="AI344" s="14" t="str">
        <f>IF(AE344="NULL","NULL",VLOOKUP(G344,ビット!$A$2:$B$7,2))</f>
        <v>NULL</v>
      </c>
      <c r="AJ344" s="9">
        <v>3</v>
      </c>
      <c r="AK344" s="10" t="str">
        <f t="shared" si="38"/>
        <v>晩成</v>
      </c>
      <c r="AL344" s="14" t="str">
        <f ca="1">INDEX(経験値!$A$1:$I$20,MATCH(H344,経験値!$A$1:$A$20,FALSE),MATCH(G344,経験値!$A$1:$I$1,FALSE))</f>
        <v>NULL</v>
      </c>
      <c r="AM344" s="11">
        <v>65000</v>
      </c>
      <c r="AN344" s="21">
        <f ca="1">VLOOKUP(G344,ビット!$G$2:$H$7,2)</f>
        <v>900</v>
      </c>
      <c r="AO344" s="57"/>
      <c r="AP344" s="101">
        <v>990004</v>
      </c>
      <c r="AQ344" s="77" t="e">
        <f ca="1">VLOOKUP($AP344,OFFSET([1]unit_skills!$A$1,0,0,COUNTA([1]unit_skills!$A:$A),MATCH("name",[1]unit_skills!$1:$1,0)-MATCH($AP$1,[1]unit_skills!$1:$1,0)+1),MATCH("name",[1]unit_skills!$1:$1,0)-MATCH($AP$1,[1]unit_skills!$1:$1,0)+1,FALSE)</f>
        <v>#VALUE!</v>
      </c>
      <c r="AR344" s="77" t="e">
        <f ca="1">VLOOKUP($AP344,OFFSET([1]unit_skills!$A$1,0,0,COUNTA([1]unit_skills!$A:$A),MATCH("comment",[1]unit_skills!$1:$1,0)-MATCH($AP$1,[1]unit_skills!$1:$1,0)+1),MATCH("comment",[1]unit_skills!$1:$1,0)-MATCH($AP$1,[1]unit_skills!$1:$1,0)+1,FALSE)</f>
        <v>#VALUE!</v>
      </c>
      <c r="AS344" s="77" t="e">
        <f ca="1">VLOOKUP($AP344,OFFSET([1]unit_skills!$A$1,0,0,COUNTA([1]unit_skills!$A:$A),MATCH(AS$1,[1]unit_skills!$1:$1,0)-MATCH($AP$1,[1]unit_skills!$1:$1,0)+1),MATCH(AS$1,[1]unit_skills!$1:$1,0)-MATCH($AP$1,[1]unit_skills!$1:$1,0)+1,FALSE)</f>
        <v>#VALUE!</v>
      </c>
      <c r="AT344" s="53">
        <v>0</v>
      </c>
      <c r="AU344" s="77" t="e">
        <f ca="1">VLOOKUP($AT344,OFFSET([1]crash_skills!$A$1,0,0,COUNTA([1]crash_skills!$A:$A),MATCH("name",[1]crash_skills!$1:$1,0)-MATCH($AT$1,[1]crash_skills!$1:$1,0)+1),MATCH("name",[1]crash_skills!$1:$1,0)-MATCH($AT$1,[1]crash_skills!$1:$1,0)+1,FALSE)</f>
        <v>#VALUE!</v>
      </c>
      <c r="AV344" s="77" t="e">
        <f ca="1">VLOOKUP($AT344,OFFSET([1]crash_skills!$A$1,0,0,COUNTA([1]crash_skills!$A:$A),MATCH("comment",[1]crash_skills!$1:$1,0)-MATCH($AT$1,[1]crash_skills!$1:$1,0)+1),MATCH("comment",[1]crash_skills!$1:$1,0)-MATCH($AT$1,[1]crash_skills!$1:$1,0)+1,FALSE)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44" s="77" t="e">
        <f ca="1">VLOOKUP($AT344,OFFSET([1]crash_skills!$A$1,0,0,COUNTA([1]crash_skills!$A:$A),MATCH(AW$1,[1]crash_skills!$1:$1,0)-MATCH($AT$1,[1]crash_skills!$1:$1,0)+1),MATCH(AW$1,[1]crash_skills!$1:$1,0)-MATCH($AT$1,[1]crash_skills!$1:$1,0)+1,FALSE)</f>
        <v>#VALUE!</v>
      </c>
      <c r="AX344" s="81">
        <f ca="1">VLOOKUP($A344,OFFSET([2]characters!$A$1,0,0,COUNTA([2]characters!$A:$A),MATCH(AX$1,[2]characters!$1:$1,0)-MATCH($A$1,[2]characters!$1:$1,0)+1),MATCH(AX$1,[2]characters!$1:$1,0)-MATCH($A$1,[2]characters!$1:$1,0)+1,FALSE)</f>
        <v>3</v>
      </c>
      <c r="AY344" s="19">
        <v>1</v>
      </c>
      <c r="AZ344" s="19">
        <v>1</v>
      </c>
      <c r="BA344" s="19">
        <v>0</v>
      </c>
      <c r="BB344" s="19">
        <v>1</v>
      </c>
      <c r="BC344" s="14">
        <f ca="1">INDEX('RC6SV'!$A$1:$G$20,MATCH(H344,'RC6SV'!$A$1:$A$20,FALSE),MATCH(G344,'RC6SV'!$A$1:$G$1,FALSE))</f>
        <v>1000</v>
      </c>
      <c r="BD344" s="63">
        <f t="shared" ca="1" si="39"/>
        <v>1050</v>
      </c>
      <c r="BE344" s="14">
        <f t="shared" ca="1" si="40"/>
        <v>0</v>
      </c>
      <c r="BF344" s="14">
        <f t="shared" ca="1" si="41"/>
        <v>1</v>
      </c>
      <c r="BG344" s="20">
        <f ca="1">IF($BE344&lt;=0,ROUND(BK344*0.5,0), ROUND($BE344*S344*AA344*J344*AY344*0.8*[2]ステータス!$B$2,0))</f>
        <v>27</v>
      </c>
      <c r="BH344" s="20">
        <f ca="1">IF($BE344&lt;=0,ROUND(BL344*0.5,0), ROUND($BE344*T344*AB344*K344*AZ344*0.8*[2]ステータス!$C$2,0))</f>
        <v>8</v>
      </c>
      <c r="BI344" s="20">
        <f ca="1">IF($BE344&lt;=0,ROUND(BM344*0.5,0), ROUND($BE344*U344*AC344*L344*BA344*0.8*[2]ステータス!$D$2,0))</f>
        <v>0</v>
      </c>
      <c r="BJ344" s="20">
        <f ca="1">IF($BE344&lt;=0,ROUND(BN344*0.5,0), ROUND($BE344*V344*AD344*M344*BB344*0.8*[2]ステータス!$E$2,0))</f>
        <v>7</v>
      </c>
      <c r="BK344" s="14">
        <f ca="1">ROUND(BD344*S344*AA344*J344*AY344*[2]ステータス!$B$2,0)</f>
        <v>53</v>
      </c>
      <c r="BL344" s="14">
        <f ca="1">ROUND(BD344*T344*AB344*K344*AZ344*[2]ステータス!$C$2,0)</f>
        <v>15</v>
      </c>
      <c r="BM344" s="14">
        <f ca="1">ROUND(BD344*U344*AC344*L344*BA344*[2]ステータス!$D$2,0)</f>
        <v>0</v>
      </c>
      <c r="BN344" s="14">
        <f ca="1">ROUND(BD344*V344*AD344*M344*BB344*[2]ステータス!$E$2,0)</f>
        <v>13</v>
      </c>
      <c r="BO344" s="13">
        <v>0</v>
      </c>
      <c r="BP344" s="13">
        <v>1</v>
      </c>
      <c r="BQ344" s="49" t="s">
        <v>102</v>
      </c>
      <c r="BR344" s="13">
        <f ca="1">VLOOKUP(H344,ghosts_label!$A$2:$B$19,2,FALSE)</f>
        <v>0</v>
      </c>
    </row>
    <row r="345" spans="1:70" ht="21" customHeight="1" x14ac:dyDescent="0.15">
      <c r="A345" s="14">
        <f t="shared" ca="1" si="36"/>
        <v>344</v>
      </c>
      <c r="B345" s="77" t="str">
        <f ca="1">VLOOKUP($A345,OFFSET([2]characters!$A$1,0,0,COUNTA([2]characters!$A:$A),MATCH(B$1,[2]characters!$1:$1,0)-MATCH($A$1,[2]characters!$1:$1,0)+1),MATCH(B$1,[2]characters!$1:$1,0)-MATCH($A$1,[2]characters!$1:$1,0)+1,FALSE)</f>
        <v>雷のメタルピヨピヨ</v>
      </c>
      <c r="C345" s="77" t="str">
        <f ca="1">VLOOKUP($A345,OFFSET([2]characters!$A$1,0,0,COUNTA([2]characters!$A:$A),MATCH(C$1,[2]characters!$1:$1,0)-MATCH($A$1,[2]characters!$1:$1,0)+1),MATCH(C$1,[2]characters!$1:$1,0)-MATCH($A$1,[2]characters!$1:$1,0)+1,FALSE)</f>
        <v>強化素材R3　黄</v>
      </c>
      <c r="D345" s="77" t="str">
        <f ca="1">VLOOKUP($A345,OFFSET([2]characters!$A$1,0,0,COUNTA([2]characters!$A:$A),MATCH(D$1,[2]characters!$1:$1,0)-MATCH($A$1,[2]characters!$1:$1,0)+1),MATCH(D$1,[2]characters!$1:$1,0)-MATCH($A$1,[2]characters!$1:$1,0)+1,FALSE)</f>
        <v>アリス</v>
      </c>
      <c r="E345" s="77" t="str">
        <f ca="1">VLOOKUP($A345,OFFSET([2]characters!$A$1,0,0,COUNTA([2]characters!$A:$A),MATCH(E$1,[2]characters!$1:$1,0)-MATCH($A$1,[2]characters!$1:$1,0)+1),MATCH(E$1,[2]characters!$1:$1,0)-MATCH($A$1,[2]characters!$1:$1,0)+1,FALSE)</f>
        <v>世界観</v>
      </c>
      <c r="F345" s="77" t="str">
        <f ca="1">VLOOKUP($A345,OFFSET([2]characters!$A$1,0,0,COUNTA([2]characters!$A:$A),MATCH(F$1,[2]characters!$1:$1,0)-MATCH($A$1,[2]characters!$1:$1,0)+1),MATCH(F$1,[2]characters!$1:$1,0)-MATCH($A$1,[2]characters!$1:$1,0)+1,FALSE)</f>
        <v>不明</v>
      </c>
      <c r="G345" s="77">
        <f ca="1">VLOOKUP($A345,OFFSET([2]characters!$A$1,0,0,COUNTA([2]characters!$A:$A),MATCH(G$1,[2]characters!$1:$1,0)-MATCH($A$1,[2]characters!$1:$1,0)+1),MATCH(G$1,[2]characters!$1:$1,0)-MATCH($A$1,[2]characters!$1:$1,0)+1,FALSE)</f>
        <v>3</v>
      </c>
      <c r="H345" s="77" t="str">
        <f ca="1">VLOOKUP($A345,OFFSET([2]characters!$A$1,0,0,COUNTA([2]characters!$A:$A),MATCH(H$1,[2]characters!$1:$1,0)-MATCH($A$1,[2]characters!$1:$1,0)+1),MATCH(H$1,[2]characters!$1:$1,0)-MATCH($A$1,[2]characters!$1:$1,0)+1,FALSE)</f>
        <v>Material</v>
      </c>
      <c r="I345" s="77" t="str">
        <f ca="1">VLOOKUP($A345,OFFSET([2]characters!$A$1,0,0,COUNTA([2]characters!$A:$A),MATCH(I$1,[2]characters!$1:$1,0)-MATCH($A$1,[2]characters!$1:$1,0)+1),MATCH(I$1,[2]characters!$1:$1,0)-MATCH($A$1,[2]characters!$1:$1,0)+1,FALSE)</f>
        <v>yellow</v>
      </c>
      <c r="J345" s="14">
        <f ca="1">VLOOKUP(I345,[2]属性!$A:$E,2,FALSE)</f>
        <v>0.98</v>
      </c>
      <c r="K345" s="14">
        <f ca="1">VLOOKUP(I345,[2]属性!$A:$E,3,FALSE)</f>
        <v>1.01</v>
      </c>
      <c r="L345" s="14">
        <f ca="1">VLOOKUP(I345,[2]属性!$A:$E,4,FALSE)</f>
        <v>1</v>
      </c>
      <c r="M345" s="14">
        <f ca="1">VLOOKUP(I345,[2]属性!$A:$E,5,FALSE)</f>
        <v>1.01</v>
      </c>
      <c r="N345" s="14">
        <f ca="1">INDEX(コスト!$A$1:$I$20,MATCH(H345,コスト!$A$1:$A$20,FALSE),MATCH(G345,コスト!$A$1:$I$1,FALSE))</f>
        <v>99</v>
      </c>
      <c r="O345" s="14">
        <f ca="1">INDEX(レベル!$A$1:$I$21,MATCH(H345,レベル!$A$1:$A$21,FALSE),MATCH(G345,レベル!$A$1:$I$1,FALSE))</f>
        <v>1</v>
      </c>
      <c r="P345" s="203">
        <v>1</v>
      </c>
      <c r="Q345" s="77" t="str">
        <f ca="1">VLOOKUP($A345,OFFSET([2]characters!$A$1,0,0,COUNTA([2]characters!$A:$A),MATCH(Q$1,[2]characters!$1:$1,0)-MATCH($A$1,[2]characters!$1:$1,0)+1),MATCH(Q$1,[2]characters!$1:$1,0)-MATCH($A$1,[2]characters!$1:$1,0)+1,FALSE)</f>
        <v>exp</v>
      </c>
      <c r="R345" s="8" t="str">
        <f ca="1">VLOOKUP(Q345,[2]character_type_i18n!$A:$H,3,FALSE)</f>
        <v>強化素材タイプ</v>
      </c>
      <c r="S345" s="14">
        <f ca="1">VLOOKUP(Q345,[2]character_type_i18n!$A:$H,4,FALSE)</f>
        <v>0.1</v>
      </c>
      <c r="T345" s="14">
        <f ca="1">VLOOKUP(Q345,[2]character_type_i18n!$A:$H,5,FALSE)</f>
        <v>0.05</v>
      </c>
      <c r="U345" s="14">
        <f ca="1">VLOOKUP(Q345,[2]character_type_i18n!$A:$H,6,FALSE)</f>
        <v>1</v>
      </c>
      <c r="V345" s="14">
        <f ca="1">VLOOKUP(Q345,[2]character_type_i18n!$A:$H,7,FALSE)</f>
        <v>0.05</v>
      </c>
      <c r="W345" s="77" t="str">
        <f ca="1">VLOOKUP($A345,OFFSET([2]characters!$A$1,0,0,COUNTA([2]characters!$A:$A),MATCH(W$1,[2]characters!$1:$1,0)-MATCH($A$1,[2]characters!$1:$1,0)+1),MATCH(W$1,[2]characters!$1:$1,0)-MATCH($A$1,[2]characters!$1:$1,0)+1,FALSE)</f>
        <v>unknown</v>
      </c>
      <c r="X345" s="8" t="str">
        <f ca="1">VLOOKUP(W345,[2]character_tribe_i18n!$A:$H,3,FALSE)</f>
        <v>Unknown</v>
      </c>
      <c r="Y345" s="77" t="str">
        <f ca="1">VLOOKUP($A345,OFFSET([2]characters!$A$1,0,0,COUNTA([2]characters!$A:$A),MATCH(Y$1,[2]characters!$1:$1,0)-MATCH($A$1,[2]characters!$1:$1,0)+1),MATCH(Y$1,[2]characters!$1:$1,0)-MATCH($A$1,[2]characters!$1:$1,0)+1,FALSE)</f>
        <v>none</v>
      </c>
      <c r="Z345" s="8" t="str">
        <f ca="1">VLOOKUP(Y345,[2]character_tribe_i18n!$A:$H,3,FALSE)</f>
        <v>種族なし</v>
      </c>
      <c r="AA345" s="14">
        <f ca="1">VLOOKUP(W345,[2]character_tribe_i18n!$A:$H,4,FALSE)</f>
        <v>1</v>
      </c>
      <c r="AB345" s="14">
        <f ca="1">VLOOKUP(W345,[2]character_tribe_i18n!$A:$H,5,FALSE)</f>
        <v>1</v>
      </c>
      <c r="AC345" s="14">
        <f ca="1">VLOOKUP(W345,[2]character_tribe_i18n!$A:$H,6,FALSE)</f>
        <v>1</v>
      </c>
      <c r="AD345" s="14">
        <f ca="1">VLOOKUP(W345,[2]character_tribe_i18n!$A:$H,7,FALSE)</f>
        <v>1</v>
      </c>
      <c r="AE345" s="12">
        <v>345</v>
      </c>
      <c r="AF345" s="85" t="str">
        <f ca="1">IF(AE345="NULL","",VLOOKUP($AE345,OFFSET([2]characters!$A$1,0,0,COUNTA([2]characters!$A:$A),MATCH(AF$1,[2]characters!$1:$1,0)-MATCH($A$1,[2]characters!$1:$1,0)+1),MATCH(AF$1,[2]characters!$1:$1,0)-MATCH($A$1,[2]characters!$1:$1,0)+1,FALSE))</f>
        <v>雷のメタルチック</v>
      </c>
      <c r="AG345" s="8">
        <f t="shared" ca="1" si="37"/>
        <v>344</v>
      </c>
      <c r="AH345" s="85" t="str">
        <f ca="1">VLOOKUP($AG345,OFFSET([2]characters!$A$1,0,0,COUNTA([2]characters!$A:$A),MATCH(AH$1,[2]characters!$1:$1,0)-MATCH($A$1,[2]characters!$1:$1,0)+1),MATCH(AH$1,[2]characters!$1:$1,0)-MATCH($A$1,[2]characters!$1:$1,0)+1,FALSE)</f>
        <v>雷のメタルピヨピヨ</v>
      </c>
      <c r="AI345" s="14">
        <v>2000</v>
      </c>
      <c r="AJ345" s="9">
        <v>3</v>
      </c>
      <c r="AK345" s="10" t="str">
        <f t="shared" si="38"/>
        <v>晩成</v>
      </c>
      <c r="AL345" s="14" t="str">
        <f ca="1">INDEX(経験値!$A$1:$I$20,MATCH(H345,経験値!$A$1:$A$20,FALSE),MATCH(G345,経験値!$A$1:$I$1,FALSE))</f>
        <v>NULL</v>
      </c>
      <c r="AM345" s="11">
        <v>1500</v>
      </c>
      <c r="AN345" s="21">
        <f ca="1">VLOOKUP(G345,ビット!$G$2:$H$7,2)</f>
        <v>300</v>
      </c>
      <c r="AO345" s="57"/>
      <c r="AP345" s="101">
        <v>990001</v>
      </c>
      <c r="AQ345" s="77" t="e">
        <f ca="1">VLOOKUP($AP345,OFFSET([1]unit_skills!$A$1,0,0,COUNTA([1]unit_skills!$A:$A),MATCH("name",[1]unit_skills!$1:$1,0)-MATCH($AP$1,[1]unit_skills!$1:$1,0)+1),MATCH("name",[1]unit_skills!$1:$1,0)-MATCH($AP$1,[1]unit_skills!$1:$1,0)+1,FALSE)</f>
        <v>#VALUE!</v>
      </c>
      <c r="AR345" s="77" t="e">
        <f ca="1">VLOOKUP($AP345,OFFSET([1]unit_skills!$A$1,0,0,COUNTA([1]unit_skills!$A:$A),MATCH("comment",[1]unit_skills!$1:$1,0)-MATCH($AP$1,[1]unit_skills!$1:$1,0)+1),MATCH("comment",[1]unit_skills!$1:$1,0)-MATCH($AP$1,[1]unit_skills!$1:$1,0)+1,FALSE)</f>
        <v>#VALUE!</v>
      </c>
      <c r="AS345" s="77" t="e">
        <f ca="1">VLOOKUP($AP345,OFFSET([1]unit_skills!$A$1,0,0,COUNTA([1]unit_skills!$A:$A),MATCH(AS$1,[1]unit_skills!$1:$1,0)-MATCH($AP$1,[1]unit_skills!$1:$1,0)+1),MATCH(AS$1,[1]unit_skills!$1:$1,0)-MATCH($AP$1,[1]unit_skills!$1:$1,0)+1,FALSE)</f>
        <v>#VALUE!</v>
      </c>
      <c r="AT345" s="53">
        <v>0</v>
      </c>
      <c r="AU345" s="77" t="e">
        <f ca="1">VLOOKUP($AT345,OFFSET([1]crash_skills!$A$1,0,0,COUNTA([1]crash_skills!$A:$A),MATCH("name",[1]crash_skills!$1:$1,0)-MATCH($AT$1,[1]crash_skills!$1:$1,0)+1),MATCH("name",[1]crash_skills!$1:$1,0)-MATCH($AT$1,[1]crash_skills!$1:$1,0)+1,FALSE)</f>
        <v>#VALUE!</v>
      </c>
      <c r="AV345" s="77" t="e">
        <f ca="1">VLOOKUP($AT345,OFFSET([1]crash_skills!$A$1,0,0,COUNTA([1]crash_skills!$A:$A),MATCH("comment",[1]crash_skills!$1:$1,0)-MATCH($AT$1,[1]crash_skills!$1:$1,0)+1),MATCH("comment",[1]crash_skills!$1:$1,0)-MATCH($AT$1,[1]crash_skills!$1:$1,0)+1,FALSE)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45" s="77" t="e">
        <f ca="1">VLOOKUP($AT345,OFFSET([1]crash_skills!$A$1,0,0,COUNTA([1]crash_skills!$A:$A),MATCH(AW$1,[1]crash_skills!$1:$1,0)-MATCH($AT$1,[1]crash_skills!$1:$1,0)+1),MATCH(AW$1,[1]crash_skills!$1:$1,0)-MATCH($AT$1,[1]crash_skills!$1:$1,0)+1,FALSE)</f>
        <v>#VALUE!</v>
      </c>
      <c r="AX345" s="81">
        <f ca="1">VLOOKUP($A345,OFFSET([2]characters!$A$1,0,0,COUNTA([2]characters!$A:$A),MATCH(AX$1,[2]characters!$1:$1,0)-MATCH($A$1,[2]characters!$1:$1,0)+1),MATCH(AX$1,[2]characters!$1:$1,0)-MATCH($A$1,[2]characters!$1:$1,0)+1,FALSE)</f>
        <v>3</v>
      </c>
      <c r="AY345" s="19">
        <v>1</v>
      </c>
      <c r="AZ345" s="19">
        <v>1</v>
      </c>
      <c r="BA345" s="19">
        <v>0</v>
      </c>
      <c r="BB345" s="19">
        <v>1</v>
      </c>
      <c r="BC345" s="14">
        <f ca="1">INDEX('RC6SV'!$A$1:$G$20,MATCH(H345,'RC6SV'!$A$1:$A$20,FALSE),MATCH(G345,'RC6SV'!$A$1:$G$1,FALSE))</f>
        <v>1000</v>
      </c>
      <c r="BD345" s="63">
        <f t="shared" ca="1" si="39"/>
        <v>1050</v>
      </c>
      <c r="BE345" s="14">
        <f t="shared" ca="1" si="40"/>
        <v>0</v>
      </c>
      <c r="BF345" s="14">
        <f t="shared" ca="1" si="41"/>
        <v>1</v>
      </c>
      <c r="BG345" s="20">
        <f ca="1">IF($BE345&lt;=0,ROUND(BK345*0.5,0), ROUND($BE345*S345*AA345*J345*AY345*0.8*[2]ステータス!$B$2,0))</f>
        <v>26</v>
      </c>
      <c r="BH345" s="20">
        <f ca="1">IF($BE345&lt;=0,ROUND(BL345*0.5,0), ROUND($BE345*T345*AB345*K345*AZ345*0.8*[2]ステータス!$C$2,0))</f>
        <v>8</v>
      </c>
      <c r="BI345" s="20">
        <f ca="1">IF($BE345&lt;=0,ROUND(BM345*0.5,0), ROUND($BE345*U345*AC345*L345*BA345*0.8*[2]ステータス!$D$2,0))</f>
        <v>0</v>
      </c>
      <c r="BJ345" s="20">
        <f ca="1">IF($BE345&lt;=0,ROUND(BN345*0.5,0), ROUND($BE345*V345*AD345*M345*BB345*0.8*[2]ステータス!$E$2,0))</f>
        <v>7</v>
      </c>
      <c r="BK345" s="14">
        <f ca="1">ROUND(BD345*S345*AA345*J345*AY345*[2]ステータス!$B$2,0)</f>
        <v>51</v>
      </c>
      <c r="BL345" s="14">
        <f ca="1">ROUND(BD345*T345*AB345*K345*AZ345*[2]ステータス!$C$2,0)</f>
        <v>16</v>
      </c>
      <c r="BM345" s="14">
        <f ca="1">ROUND(BD345*U345*AC345*L345*BA345*[2]ステータス!$D$2,0)</f>
        <v>0</v>
      </c>
      <c r="BN345" s="14">
        <f ca="1">ROUND(BD345*V345*AD345*M345*BB345*[2]ステータス!$E$2,0)</f>
        <v>13</v>
      </c>
      <c r="BO345" s="13">
        <v>0</v>
      </c>
      <c r="BP345" s="13">
        <v>1</v>
      </c>
      <c r="BQ345" s="49" t="s">
        <v>102</v>
      </c>
      <c r="BR345" s="13">
        <f ca="1">VLOOKUP(H345,ghosts_label!$A$2:$B$19,2,FALSE)</f>
        <v>0</v>
      </c>
    </row>
    <row r="346" spans="1:70" ht="21" customHeight="1" x14ac:dyDescent="0.15">
      <c r="A346" s="14">
        <f t="shared" ca="1" si="36"/>
        <v>345</v>
      </c>
      <c r="B346" s="77" t="str">
        <f ca="1">VLOOKUP($A346,OFFSET([2]characters!$A$1,0,0,COUNTA([2]characters!$A:$A),MATCH(B$1,[2]characters!$1:$1,0)-MATCH($A$1,[2]characters!$1:$1,0)+1),MATCH(B$1,[2]characters!$1:$1,0)-MATCH($A$1,[2]characters!$1:$1,0)+1,FALSE)</f>
        <v>雷のメタルチック</v>
      </c>
      <c r="C346" s="77" t="str">
        <f ca="1">VLOOKUP($A346,OFFSET([2]characters!$A$1,0,0,COUNTA([2]characters!$A:$A),MATCH(C$1,[2]characters!$1:$1,0)-MATCH($A$1,[2]characters!$1:$1,0)+1),MATCH(C$1,[2]characters!$1:$1,0)-MATCH($A$1,[2]characters!$1:$1,0)+1,FALSE)</f>
        <v>強化素材R4　黄</v>
      </c>
      <c r="D346" s="77" t="str">
        <f ca="1">VLOOKUP($A346,OFFSET([2]characters!$A$1,0,0,COUNTA([2]characters!$A:$A),MATCH(D$1,[2]characters!$1:$1,0)-MATCH($A$1,[2]characters!$1:$1,0)+1),MATCH(D$1,[2]characters!$1:$1,0)-MATCH($A$1,[2]characters!$1:$1,0)+1,FALSE)</f>
        <v>アリス</v>
      </c>
      <c r="E346" s="77" t="str">
        <f ca="1">VLOOKUP($A346,OFFSET([2]characters!$A$1,0,0,COUNTA([2]characters!$A:$A),MATCH(E$1,[2]characters!$1:$1,0)-MATCH($A$1,[2]characters!$1:$1,0)+1),MATCH(E$1,[2]characters!$1:$1,0)-MATCH($A$1,[2]characters!$1:$1,0)+1,FALSE)</f>
        <v>世界観</v>
      </c>
      <c r="F346" s="77" t="str">
        <f ca="1">VLOOKUP($A346,OFFSET([2]characters!$A$1,0,0,COUNTA([2]characters!$A:$A),MATCH(F$1,[2]characters!$1:$1,0)-MATCH($A$1,[2]characters!$1:$1,0)+1),MATCH(F$1,[2]characters!$1:$1,0)-MATCH($A$1,[2]characters!$1:$1,0)+1,FALSE)</f>
        <v>不明</v>
      </c>
      <c r="G346" s="77">
        <f ca="1">VLOOKUP($A346,OFFSET([2]characters!$A$1,0,0,COUNTA([2]characters!$A:$A),MATCH(G$1,[2]characters!$1:$1,0)-MATCH($A$1,[2]characters!$1:$1,0)+1),MATCH(G$1,[2]characters!$1:$1,0)-MATCH($A$1,[2]characters!$1:$1,0)+1,FALSE)</f>
        <v>4</v>
      </c>
      <c r="H346" s="77" t="str">
        <f ca="1">VLOOKUP($A346,OFFSET([2]characters!$A$1,0,0,COUNTA([2]characters!$A:$A),MATCH(H$1,[2]characters!$1:$1,0)-MATCH($A$1,[2]characters!$1:$1,0)+1),MATCH(H$1,[2]characters!$1:$1,0)-MATCH($A$1,[2]characters!$1:$1,0)+1,FALSE)</f>
        <v>Material</v>
      </c>
      <c r="I346" s="77" t="str">
        <f ca="1">VLOOKUP($A346,OFFSET([2]characters!$A$1,0,0,COUNTA([2]characters!$A:$A),MATCH(I$1,[2]characters!$1:$1,0)-MATCH($A$1,[2]characters!$1:$1,0)+1),MATCH(I$1,[2]characters!$1:$1,0)-MATCH($A$1,[2]characters!$1:$1,0)+1,FALSE)</f>
        <v>yellow</v>
      </c>
      <c r="J346" s="14">
        <f ca="1">VLOOKUP(I346,[2]属性!$A:$E,2,FALSE)</f>
        <v>0.98</v>
      </c>
      <c r="K346" s="14">
        <f ca="1">VLOOKUP(I346,[2]属性!$A:$E,3,FALSE)</f>
        <v>1.01</v>
      </c>
      <c r="L346" s="14">
        <f ca="1">VLOOKUP(I346,[2]属性!$A:$E,4,FALSE)</f>
        <v>1</v>
      </c>
      <c r="M346" s="14">
        <f ca="1">VLOOKUP(I346,[2]属性!$A:$E,5,FALSE)</f>
        <v>1.01</v>
      </c>
      <c r="N346" s="14">
        <f ca="1">INDEX(コスト!$A$1:$I$20,MATCH(H346,コスト!$A$1:$A$20,FALSE),MATCH(G346,コスト!$A$1:$I$1,FALSE))</f>
        <v>99</v>
      </c>
      <c r="O346" s="14">
        <f ca="1">INDEX(レベル!$A$1:$I$21,MATCH(H346,レベル!$A$1:$A$21,FALSE),MATCH(G346,レベル!$A$1:$I$1,FALSE))</f>
        <v>1</v>
      </c>
      <c r="P346" s="203">
        <v>1</v>
      </c>
      <c r="Q346" s="77" t="str">
        <f ca="1">VLOOKUP($A346,OFFSET([2]characters!$A$1,0,0,COUNTA([2]characters!$A:$A),MATCH(Q$1,[2]characters!$1:$1,0)-MATCH($A$1,[2]characters!$1:$1,0)+1),MATCH(Q$1,[2]characters!$1:$1,0)-MATCH($A$1,[2]characters!$1:$1,0)+1,FALSE)</f>
        <v>exp</v>
      </c>
      <c r="R346" s="8" t="str">
        <f ca="1">VLOOKUP(Q346,[2]character_type_i18n!$A:$H,3,FALSE)</f>
        <v>強化素材タイプ</v>
      </c>
      <c r="S346" s="14">
        <f ca="1">VLOOKUP(Q346,[2]character_type_i18n!$A:$H,4,FALSE)</f>
        <v>0.1</v>
      </c>
      <c r="T346" s="14">
        <f ca="1">VLOOKUP(Q346,[2]character_type_i18n!$A:$H,5,FALSE)</f>
        <v>0.05</v>
      </c>
      <c r="U346" s="14">
        <f ca="1">VLOOKUP(Q346,[2]character_type_i18n!$A:$H,6,FALSE)</f>
        <v>1</v>
      </c>
      <c r="V346" s="14">
        <f ca="1">VLOOKUP(Q346,[2]character_type_i18n!$A:$H,7,FALSE)</f>
        <v>0.05</v>
      </c>
      <c r="W346" s="77" t="str">
        <f ca="1">VLOOKUP($A346,OFFSET([2]characters!$A$1,0,0,COUNTA([2]characters!$A:$A),MATCH(W$1,[2]characters!$1:$1,0)-MATCH($A$1,[2]characters!$1:$1,0)+1),MATCH(W$1,[2]characters!$1:$1,0)-MATCH($A$1,[2]characters!$1:$1,0)+1,FALSE)</f>
        <v>unknown</v>
      </c>
      <c r="X346" s="8" t="str">
        <f ca="1">VLOOKUP(W346,[2]character_tribe_i18n!$A:$H,3,FALSE)</f>
        <v>Unknown</v>
      </c>
      <c r="Y346" s="77" t="str">
        <f ca="1">VLOOKUP($A346,OFFSET([2]characters!$A$1,0,0,COUNTA([2]characters!$A:$A),MATCH(Y$1,[2]characters!$1:$1,0)-MATCH($A$1,[2]characters!$1:$1,0)+1),MATCH(Y$1,[2]characters!$1:$1,0)-MATCH($A$1,[2]characters!$1:$1,0)+1,FALSE)</f>
        <v>none</v>
      </c>
      <c r="Z346" s="8" t="str">
        <f ca="1">VLOOKUP(Y346,[2]character_tribe_i18n!$A:$H,3,FALSE)</f>
        <v>種族なし</v>
      </c>
      <c r="AA346" s="14">
        <f ca="1">VLOOKUP(W346,[2]character_tribe_i18n!$A:$H,4,FALSE)</f>
        <v>1</v>
      </c>
      <c r="AB346" s="14">
        <f ca="1">VLOOKUP(W346,[2]character_tribe_i18n!$A:$H,5,FALSE)</f>
        <v>1</v>
      </c>
      <c r="AC346" s="14">
        <f ca="1">VLOOKUP(W346,[2]character_tribe_i18n!$A:$H,6,FALSE)</f>
        <v>1</v>
      </c>
      <c r="AD346" s="14">
        <f ca="1">VLOOKUP(W346,[2]character_tribe_i18n!$A:$H,7,FALSE)</f>
        <v>1</v>
      </c>
      <c r="AE346" s="12">
        <v>346</v>
      </c>
      <c r="AF346" s="85" t="str">
        <f ca="1">IF(AE346="NULL","",VLOOKUP($AE346,OFFSET([2]characters!$A$1,0,0,COUNTA([2]characters!$A:$A),MATCH(AF$1,[2]characters!$1:$1,0)-MATCH($A$1,[2]characters!$1:$1,0)+1),MATCH(AF$1,[2]characters!$1:$1,0)-MATCH($A$1,[2]characters!$1:$1,0)+1,FALSE))</f>
        <v>雷のメタルダック</v>
      </c>
      <c r="AG346" s="8">
        <f t="shared" ca="1" si="37"/>
        <v>344</v>
      </c>
      <c r="AH346" s="85" t="str">
        <f ca="1">VLOOKUP($AG346,OFFSET([2]characters!$A$1,0,0,COUNTA([2]characters!$A:$A),MATCH(AH$1,[2]characters!$1:$1,0)-MATCH($A$1,[2]characters!$1:$1,0)+1),MATCH(AH$1,[2]characters!$1:$1,0)-MATCH($A$1,[2]characters!$1:$1,0)+1,FALSE)</f>
        <v>雷のメタルピヨピヨ</v>
      </c>
      <c r="AI346" s="14">
        <v>5000</v>
      </c>
      <c r="AJ346" s="9">
        <v>3</v>
      </c>
      <c r="AK346" s="10" t="str">
        <f t="shared" si="38"/>
        <v>晩成</v>
      </c>
      <c r="AL346" s="14" t="str">
        <f ca="1">INDEX(経験値!$A$1:$I$20,MATCH(H346,経験値!$A$1:$A$20,FALSE),MATCH(G346,経験値!$A$1:$I$1,FALSE))</f>
        <v>NULL</v>
      </c>
      <c r="AM346" s="11">
        <v>5000</v>
      </c>
      <c r="AN346" s="21">
        <f ca="1">VLOOKUP(G346,ビット!$G$2:$H$7,2)</f>
        <v>600</v>
      </c>
      <c r="AO346" s="57"/>
      <c r="AP346" s="101">
        <v>990002</v>
      </c>
      <c r="AQ346" s="77" t="e">
        <f ca="1">VLOOKUP($AP346,OFFSET([1]unit_skills!$A$1,0,0,COUNTA([1]unit_skills!$A:$A),MATCH("name",[1]unit_skills!$1:$1,0)-MATCH($AP$1,[1]unit_skills!$1:$1,0)+1),MATCH("name",[1]unit_skills!$1:$1,0)-MATCH($AP$1,[1]unit_skills!$1:$1,0)+1,FALSE)</f>
        <v>#VALUE!</v>
      </c>
      <c r="AR346" s="77" t="e">
        <f ca="1">VLOOKUP($AP346,OFFSET([1]unit_skills!$A$1,0,0,COUNTA([1]unit_skills!$A:$A),MATCH("comment",[1]unit_skills!$1:$1,0)-MATCH($AP$1,[1]unit_skills!$1:$1,0)+1),MATCH("comment",[1]unit_skills!$1:$1,0)-MATCH($AP$1,[1]unit_skills!$1:$1,0)+1,FALSE)</f>
        <v>#VALUE!</v>
      </c>
      <c r="AS346" s="77" t="e">
        <f ca="1">VLOOKUP($AP346,OFFSET([1]unit_skills!$A$1,0,0,COUNTA([1]unit_skills!$A:$A),MATCH(AS$1,[1]unit_skills!$1:$1,0)-MATCH($AP$1,[1]unit_skills!$1:$1,0)+1),MATCH(AS$1,[1]unit_skills!$1:$1,0)-MATCH($AP$1,[1]unit_skills!$1:$1,0)+1,FALSE)</f>
        <v>#VALUE!</v>
      </c>
      <c r="AT346" s="53">
        <v>0</v>
      </c>
      <c r="AU346" s="77" t="e">
        <f ca="1">VLOOKUP($AT346,OFFSET([1]crash_skills!$A$1,0,0,COUNTA([1]crash_skills!$A:$A),MATCH("name",[1]crash_skills!$1:$1,0)-MATCH($AT$1,[1]crash_skills!$1:$1,0)+1),MATCH("name",[1]crash_skills!$1:$1,0)-MATCH($AT$1,[1]crash_skills!$1:$1,0)+1,FALSE)</f>
        <v>#VALUE!</v>
      </c>
      <c r="AV346" s="77" t="e">
        <f ca="1">VLOOKUP($AT346,OFFSET([1]crash_skills!$A$1,0,0,COUNTA([1]crash_skills!$A:$A),MATCH("comment",[1]crash_skills!$1:$1,0)-MATCH($AT$1,[1]crash_skills!$1:$1,0)+1),MATCH("comment",[1]crash_skills!$1:$1,0)-MATCH($AT$1,[1]crash_skills!$1:$1,0)+1,FALSE)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46" s="77" t="e">
        <f ca="1">VLOOKUP($AT346,OFFSET([1]crash_skills!$A$1,0,0,COUNTA([1]crash_skills!$A:$A),MATCH(AW$1,[1]crash_skills!$1:$1,0)-MATCH($AT$1,[1]crash_skills!$1:$1,0)+1),MATCH(AW$1,[1]crash_skills!$1:$1,0)-MATCH($AT$1,[1]crash_skills!$1:$1,0)+1,FALSE)</f>
        <v>#VALUE!</v>
      </c>
      <c r="AX346" s="81">
        <f ca="1">VLOOKUP($A346,OFFSET([2]characters!$A$1,0,0,COUNTA([2]characters!$A:$A),MATCH(AX$1,[2]characters!$1:$1,0)-MATCH($A$1,[2]characters!$1:$1,0)+1),MATCH(AX$1,[2]characters!$1:$1,0)-MATCH($A$1,[2]characters!$1:$1,0)+1,FALSE)</f>
        <v>3</v>
      </c>
      <c r="AY346" s="19">
        <v>1</v>
      </c>
      <c r="AZ346" s="19">
        <v>1</v>
      </c>
      <c r="BA346" s="19">
        <v>0</v>
      </c>
      <c r="BB346" s="19">
        <v>1</v>
      </c>
      <c r="BC346" s="14">
        <f ca="1">INDEX('RC6SV'!$A$1:$G$20,MATCH(H346,'RC6SV'!$A$1:$A$20,FALSE),MATCH(G346,'RC6SV'!$A$1:$G$1,FALSE))</f>
        <v>1000</v>
      </c>
      <c r="BD346" s="63">
        <f t="shared" ca="1" si="39"/>
        <v>1050</v>
      </c>
      <c r="BE346" s="14">
        <f t="shared" ca="1" si="40"/>
        <v>1000</v>
      </c>
      <c r="BF346" s="14">
        <f t="shared" ca="1" si="41"/>
        <v>1</v>
      </c>
      <c r="BG346" s="20">
        <f ca="1">IF($BE346&lt;=0,ROUND(BK346*0.5,0), ROUND($BE346*S346*AA346*J346*AY346*0.8*[2]ステータス!$B$2,0))</f>
        <v>39</v>
      </c>
      <c r="BH346" s="20">
        <f ca="1">IF($BE346&lt;=0,ROUND(BL346*0.5,0), ROUND($BE346*T346*AB346*K346*AZ346*0.8*[2]ステータス!$C$2,0))</f>
        <v>12</v>
      </c>
      <c r="BI346" s="20">
        <f ca="1">IF($BE346&lt;=0,ROUND(BM346*0.5,0), ROUND($BE346*U346*AC346*L346*BA346*0.8*[2]ステータス!$D$2,0))</f>
        <v>0</v>
      </c>
      <c r="BJ346" s="20">
        <f ca="1">IF($BE346&lt;=0,ROUND(BN346*0.5,0), ROUND($BE346*V346*AD346*M346*BB346*0.8*[2]ステータス!$E$2,0))</f>
        <v>10</v>
      </c>
      <c r="BK346" s="14">
        <f ca="1">ROUND(BD346*S346*AA346*J346*AY346*[2]ステータス!$B$2,0)</f>
        <v>51</v>
      </c>
      <c r="BL346" s="14">
        <f ca="1">ROUND(BD346*T346*AB346*K346*AZ346*[2]ステータス!$C$2,0)</f>
        <v>16</v>
      </c>
      <c r="BM346" s="14">
        <f ca="1">ROUND(BD346*U346*AC346*L346*BA346*[2]ステータス!$D$2,0)</f>
        <v>0</v>
      </c>
      <c r="BN346" s="14">
        <f ca="1">ROUND(BD346*V346*AD346*M346*BB346*[2]ステータス!$E$2,0)</f>
        <v>13</v>
      </c>
      <c r="BO346" s="13">
        <v>0</v>
      </c>
      <c r="BP346" s="13">
        <v>1</v>
      </c>
      <c r="BQ346" s="49" t="s">
        <v>102</v>
      </c>
      <c r="BR346" s="13">
        <f ca="1">VLOOKUP(H346,ghosts_label!$A$2:$B$19,2,FALSE)</f>
        <v>0</v>
      </c>
    </row>
    <row r="347" spans="1:70" ht="21" customHeight="1" x14ac:dyDescent="0.15">
      <c r="A347" s="14">
        <f t="shared" ca="1" si="36"/>
        <v>346</v>
      </c>
      <c r="B347" s="77" t="str">
        <f ca="1">VLOOKUP($A347,OFFSET([2]characters!$A$1,0,0,COUNTA([2]characters!$A:$A),MATCH(B$1,[2]characters!$1:$1,0)-MATCH($A$1,[2]characters!$1:$1,0)+1),MATCH(B$1,[2]characters!$1:$1,0)-MATCH($A$1,[2]characters!$1:$1,0)+1,FALSE)</f>
        <v>雷のメタルダック</v>
      </c>
      <c r="C347" s="77" t="str">
        <f ca="1">VLOOKUP($A347,OFFSET([2]characters!$A$1,0,0,COUNTA([2]characters!$A:$A),MATCH(C$1,[2]characters!$1:$1,0)-MATCH($A$1,[2]characters!$1:$1,0)+1),MATCH(C$1,[2]characters!$1:$1,0)-MATCH($A$1,[2]characters!$1:$1,0)+1,FALSE)</f>
        <v>強化素材R5　黄</v>
      </c>
      <c r="D347" s="77" t="str">
        <f ca="1">VLOOKUP($A347,OFFSET([2]characters!$A$1,0,0,COUNTA([2]characters!$A:$A),MATCH(D$1,[2]characters!$1:$1,0)-MATCH($A$1,[2]characters!$1:$1,0)+1),MATCH(D$1,[2]characters!$1:$1,0)-MATCH($A$1,[2]characters!$1:$1,0)+1,FALSE)</f>
        <v>アリス</v>
      </c>
      <c r="E347" s="77" t="str">
        <f ca="1">VLOOKUP($A347,OFFSET([2]characters!$A$1,0,0,COUNTA([2]characters!$A:$A),MATCH(E$1,[2]characters!$1:$1,0)-MATCH($A$1,[2]characters!$1:$1,0)+1),MATCH(E$1,[2]characters!$1:$1,0)-MATCH($A$1,[2]characters!$1:$1,0)+1,FALSE)</f>
        <v>世界観</v>
      </c>
      <c r="F347" s="77" t="str">
        <f ca="1">VLOOKUP($A347,OFFSET([2]characters!$A$1,0,0,COUNTA([2]characters!$A:$A),MATCH(F$1,[2]characters!$1:$1,0)-MATCH($A$1,[2]characters!$1:$1,0)+1),MATCH(F$1,[2]characters!$1:$1,0)-MATCH($A$1,[2]characters!$1:$1,0)+1,FALSE)</f>
        <v>不明</v>
      </c>
      <c r="G347" s="77">
        <f ca="1">VLOOKUP($A347,OFFSET([2]characters!$A$1,0,0,COUNTA([2]characters!$A:$A),MATCH(G$1,[2]characters!$1:$1,0)-MATCH($A$1,[2]characters!$1:$1,0)+1),MATCH(G$1,[2]characters!$1:$1,0)-MATCH($A$1,[2]characters!$1:$1,0)+1,FALSE)</f>
        <v>5</v>
      </c>
      <c r="H347" s="77" t="str">
        <f ca="1">VLOOKUP($A347,OFFSET([2]characters!$A$1,0,0,COUNTA([2]characters!$A:$A),MATCH(H$1,[2]characters!$1:$1,0)-MATCH($A$1,[2]characters!$1:$1,0)+1),MATCH(H$1,[2]characters!$1:$1,0)-MATCH($A$1,[2]characters!$1:$1,0)+1,FALSE)</f>
        <v>Material</v>
      </c>
      <c r="I347" s="77" t="str">
        <f ca="1">VLOOKUP($A347,OFFSET([2]characters!$A$1,0,0,COUNTA([2]characters!$A:$A),MATCH(I$1,[2]characters!$1:$1,0)-MATCH($A$1,[2]characters!$1:$1,0)+1),MATCH(I$1,[2]characters!$1:$1,0)-MATCH($A$1,[2]characters!$1:$1,0)+1,FALSE)</f>
        <v>yellow</v>
      </c>
      <c r="J347" s="14">
        <f ca="1">VLOOKUP(I347,[2]属性!$A:$E,2,FALSE)</f>
        <v>0.98</v>
      </c>
      <c r="K347" s="14">
        <f ca="1">VLOOKUP(I347,[2]属性!$A:$E,3,FALSE)</f>
        <v>1.01</v>
      </c>
      <c r="L347" s="14">
        <f ca="1">VLOOKUP(I347,[2]属性!$A:$E,4,FALSE)</f>
        <v>1</v>
      </c>
      <c r="M347" s="14">
        <f ca="1">VLOOKUP(I347,[2]属性!$A:$E,5,FALSE)</f>
        <v>1.01</v>
      </c>
      <c r="N347" s="14">
        <f ca="1">INDEX(コスト!$A$1:$I$20,MATCH(H347,コスト!$A$1:$A$20,FALSE),MATCH(G347,コスト!$A$1:$I$1,FALSE))</f>
        <v>99</v>
      </c>
      <c r="O347" s="14">
        <f ca="1">INDEX(レベル!$A$1:$I$21,MATCH(H347,レベル!$A$1:$A$21,FALSE),MATCH(G347,レベル!$A$1:$I$1,FALSE))</f>
        <v>1</v>
      </c>
      <c r="P347" s="203">
        <v>1</v>
      </c>
      <c r="Q347" s="77" t="str">
        <f ca="1">VLOOKUP($A347,OFFSET([2]characters!$A$1,0,0,COUNTA([2]characters!$A:$A),MATCH(Q$1,[2]characters!$1:$1,0)-MATCH($A$1,[2]characters!$1:$1,0)+1),MATCH(Q$1,[2]characters!$1:$1,0)-MATCH($A$1,[2]characters!$1:$1,0)+1,FALSE)</f>
        <v>exp</v>
      </c>
      <c r="R347" s="8" t="str">
        <f ca="1">VLOOKUP(Q347,[2]character_type_i18n!$A:$H,3,FALSE)</f>
        <v>強化素材タイプ</v>
      </c>
      <c r="S347" s="14">
        <f ca="1">VLOOKUP(Q347,[2]character_type_i18n!$A:$H,4,FALSE)</f>
        <v>0.1</v>
      </c>
      <c r="T347" s="14">
        <f ca="1">VLOOKUP(Q347,[2]character_type_i18n!$A:$H,5,FALSE)</f>
        <v>0.05</v>
      </c>
      <c r="U347" s="14">
        <f ca="1">VLOOKUP(Q347,[2]character_type_i18n!$A:$H,6,FALSE)</f>
        <v>1</v>
      </c>
      <c r="V347" s="14">
        <f ca="1">VLOOKUP(Q347,[2]character_type_i18n!$A:$H,7,FALSE)</f>
        <v>0.05</v>
      </c>
      <c r="W347" s="77" t="str">
        <f ca="1">VLOOKUP($A347,OFFSET([2]characters!$A$1,0,0,COUNTA([2]characters!$A:$A),MATCH(W$1,[2]characters!$1:$1,0)-MATCH($A$1,[2]characters!$1:$1,0)+1),MATCH(W$1,[2]characters!$1:$1,0)-MATCH($A$1,[2]characters!$1:$1,0)+1,FALSE)</f>
        <v>unknown</v>
      </c>
      <c r="X347" s="8" t="str">
        <f ca="1">VLOOKUP(W347,[2]character_tribe_i18n!$A:$H,3,FALSE)</f>
        <v>Unknown</v>
      </c>
      <c r="Y347" s="77" t="str">
        <f ca="1">VLOOKUP($A347,OFFSET([2]characters!$A$1,0,0,COUNTA([2]characters!$A:$A),MATCH(Y$1,[2]characters!$1:$1,0)-MATCH($A$1,[2]characters!$1:$1,0)+1),MATCH(Y$1,[2]characters!$1:$1,0)-MATCH($A$1,[2]characters!$1:$1,0)+1,FALSE)</f>
        <v>none</v>
      </c>
      <c r="Z347" s="8" t="str">
        <f ca="1">VLOOKUP(Y347,[2]character_tribe_i18n!$A:$H,3,FALSE)</f>
        <v>種族なし</v>
      </c>
      <c r="AA347" s="14">
        <f ca="1">VLOOKUP(W347,[2]character_tribe_i18n!$A:$H,4,FALSE)</f>
        <v>1</v>
      </c>
      <c r="AB347" s="14">
        <f ca="1">VLOOKUP(W347,[2]character_tribe_i18n!$A:$H,5,FALSE)</f>
        <v>1</v>
      </c>
      <c r="AC347" s="14">
        <f ca="1">VLOOKUP(W347,[2]character_tribe_i18n!$A:$H,6,FALSE)</f>
        <v>1</v>
      </c>
      <c r="AD347" s="14">
        <f ca="1">VLOOKUP(W347,[2]character_tribe_i18n!$A:$H,7,FALSE)</f>
        <v>1</v>
      </c>
      <c r="AE347" s="12" t="s">
        <v>102</v>
      </c>
      <c r="AF347" s="85" t="str">
        <f ca="1">IF(AE347="NULL","",VLOOKUP($AE347,OFFSET([2]characters!$A$1,0,0,COUNTA([2]characters!$A:$A),MATCH(AF$1,[2]characters!$1:$1,0)-MATCH($A$1,[2]characters!$1:$1,0)+1),MATCH(AF$1,[2]characters!$1:$1,0)-MATCH($A$1,[2]characters!$1:$1,0)+1,FALSE))</f>
        <v/>
      </c>
      <c r="AG347" s="8">
        <f t="shared" ca="1" si="37"/>
        <v>344</v>
      </c>
      <c r="AH347" s="85" t="str">
        <f ca="1">VLOOKUP($AG347,OFFSET([2]characters!$A$1,0,0,COUNTA([2]characters!$A:$A),MATCH(AH$1,[2]characters!$1:$1,0)-MATCH($A$1,[2]characters!$1:$1,0)+1),MATCH(AH$1,[2]characters!$1:$1,0)-MATCH($A$1,[2]characters!$1:$1,0)+1,FALSE)</f>
        <v>雷のメタルピヨピヨ</v>
      </c>
      <c r="AI347" s="14" t="str">
        <f>IF(AE347="NULL","NULL",VLOOKUP(G347,ビット!$A$2:$B$7,2))</f>
        <v>NULL</v>
      </c>
      <c r="AJ347" s="9">
        <v>3</v>
      </c>
      <c r="AK347" s="10" t="str">
        <f t="shared" si="38"/>
        <v>晩成</v>
      </c>
      <c r="AL347" s="14" t="str">
        <f ca="1">INDEX(経験値!$A$1:$I$20,MATCH(H347,経験値!$A$1:$A$20,FALSE),MATCH(G347,経験値!$A$1:$I$1,FALSE))</f>
        <v>NULL</v>
      </c>
      <c r="AM347" s="11">
        <v>20000</v>
      </c>
      <c r="AN347" s="21">
        <f ca="1">VLOOKUP(G347,ビット!$G$2:$H$7,2)</f>
        <v>900</v>
      </c>
      <c r="AO347" s="57"/>
      <c r="AP347" s="101">
        <v>990003</v>
      </c>
      <c r="AQ347" s="77" t="e">
        <f ca="1">VLOOKUP($AP347,OFFSET([1]unit_skills!$A$1,0,0,COUNTA([1]unit_skills!$A:$A),MATCH("name",[1]unit_skills!$1:$1,0)-MATCH($AP$1,[1]unit_skills!$1:$1,0)+1),MATCH("name",[1]unit_skills!$1:$1,0)-MATCH($AP$1,[1]unit_skills!$1:$1,0)+1,FALSE)</f>
        <v>#VALUE!</v>
      </c>
      <c r="AR347" s="77" t="e">
        <f ca="1">VLOOKUP($AP347,OFFSET([1]unit_skills!$A$1,0,0,COUNTA([1]unit_skills!$A:$A),MATCH("comment",[1]unit_skills!$1:$1,0)-MATCH($AP$1,[1]unit_skills!$1:$1,0)+1),MATCH("comment",[1]unit_skills!$1:$1,0)-MATCH($AP$1,[1]unit_skills!$1:$1,0)+1,FALSE)</f>
        <v>#VALUE!</v>
      </c>
      <c r="AS347" s="77" t="e">
        <f ca="1">VLOOKUP($AP347,OFFSET([1]unit_skills!$A$1,0,0,COUNTA([1]unit_skills!$A:$A),MATCH(AS$1,[1]unit_skills!$1:$1,0)-MATCH($AP$1,[1]unit_skills!$1:$1,0)+1),MATCH(AS$1,[1]unit_skills!$1:$1,0)-MATCH($AP$1,[1]unit_skills!$1:$1,0)+1,FALSE)</f>
        <v>#VALUE!</v>
      </c>
      <c r="AT347" s="53">
        <v>0</v>
      </c>
      <c r="AU347" s="77" t="e">
        <f ca="1">VLOOKUP($AT347,OFFSET([1]crash_skills!$A$1,0,0,COUNTA([1]crash_skills!$A:$A),MATCH("name",[1]crash_skills!$1:$1,0)-MATCH($AT$1,[1]crash_skills!$1:$1,0)+1),MATCH("name",[1]crash_skills!$1:$1,0)-MATCH($AT$1,[1]crash_skills!$1:$1,0)+1,FALSE)</f>
        <v>#VALUE!</v>
      </c>
      <c r="AV347" s="77" t="e">
        <f ca="1">VLOOKUP($AT347,OFFSET([1]crash_skills!$A$1,0,0,COUNTA([1]crash_skills!$A:$A),MATCH("comment",[1]crash_skills!$1:$1,0)-MATCH($AT$1,[1]crash_skills!$1:$1,0)+1),MATCH("comment",[1]crash_skills!$1:$1,0)-MATCH($AT$1,[1]crash_skills!$1:$1,0)+1,FALSE)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47" s="77" t="e">
        <f ca="1">VLOOKUP($AT347,OFFSET([1]crash_skills!$A$1,0,0,COUNTA([1]crash_skills!$A:$A),MATCH(AW$1,[1]crash_skills!$1:$1,0)-MATCH($AT$1,[1]crash_skills!$1:$1,0)+1),MATCH(AW$1,[1]crash_skills!$1:$1,0)-MATCH($AT$1,[1]crash_skills!$1:$1,0)+1,FALSE)</f>
        <v>#VALUE!</v>
      </c>
      <c r="AX347" s="81">
        <f ca="1">VLOOKUP($A347,OFFSET([2]characters!$A$1,0,0,COUNTA([2]characters!$A:$A),MATCH(AX$1,[2]characters!$1:$1,0)-MATCH($A$1,[2]characters!$1:$1,0)+1),MATCH(AX$1,[2]characters!$1:$1,0)-MATCH($A$1,[2]characters!$1:$1,0)+1,FALSE)</f>
        <v>3</v>
      </c>
      <c r="AY347" s="19">
        <v>1</v>
      </c>
      <c r="AZ347" s="19">
        <v>1</v>
      </c>
      <c r="BA347" s="19">
        <v>0</v>
      </c>
      <c r="BB347" s="19">
        <v>1</v>
      </c>
      <c r="BC347" s="14">
        <f ca="1">INDEX('RC6SV'!$A$1:$G$20,MATCH(H347,'RC6SV'!$A$1:$A$20,FALSE),MATCH(G347,'RC6SV'!$A$1:$G$1,FALSE))</f>
        <v>1000</v>
      </c>
      <c r="BD347" s="63">
        <f t="shared" ca="1" si="39"/>
        <v>1050</v>
      </c>
      <c r="BE347" s="14">
        <f t="shared" ca="1" si="40"/>
        <v>1000</v>
      </c>
      <c r="BF347" s="14">
        <f t="shared" ca="1" si="41"/>
        <v>1</v>
      </c>
      <c r="BG347" s="20">
        <f ca="1">IF($BE347&lt;=0,ROUND(BK347*0.5,0), ROUND($BE347*S347*AA347*J347*AY347*0.8*[2]ステータス!$B$2,0))</f>
        <v>39</v>
      </c>
      <c r="BH347" s="20">
        <f ca="1">IF($BE347&lt;=0,ROUND(BL347*0.5,0), ROUND($BE347*T347*AB347*K347*AZ347*0.8*[2]ステータス!$C$2,0))</f>
        <v>12</v>
      </c>
      <c r="BI347" s="20">
        <f ca="1">IF($BE347&lt;=0,ROUND(BM347*0.5,0), ROUND($BE347*U347*AC347*L347*BA347*0.8*[2]ステータス!$D$2,0))</f>
        <v>0</v>
      </c>
      <c r="BJ347" s="20">
        <f ca="1">IF($BE347&lt;=0,ROUND(BN347*0.5,0), ROUND($BE347*V347*AD347*M347*BB347*0.8*[2]ステータス!$E$2,0))</f>
        <v>10</v>
      </c>
      <c r="BK347" s="14">
        <f ca="1">ROUND(BD347*S347*AA347*J347*AY347*[2]ステータス!$B$2,0)</f>
        <v>51</v>
      </c>
      <c r="BL347" s="14">
        <f ca="1">ROUND(BD347*T347*AB347*K347*AZ347*[2]ステータス!$C$2,0)</f>
        <v>16</v>
      </c>
      <c r="BM347" s="14">
        <f ca="1">ROUND(BD347*U347*AC347*L347*BA347*[2]ステータス!$D$2,0)</f>
        <v>0</v>
      </c>
      <c r="BN347" s="14">
        <f ca="1">ROUND(BD347*V347*AD347*M347*BB347*[2]ステータス!$E$2,0)</f>
        <v>13</v>
      </c>
      <c r="BO347" s="13">
        <v>0</v>
      </c>
      <c r="BP347" s="13">
        <v>1</v>
      </c>
      <c r="BQ347" s="49" t="s">
        <v>102</v>
      </c>
      <c r="BR347" s="13">
        <f ca="1">VLOOKUP(H347,ghosts_label!$A$2:$B$19,2,FALSE)</f>
        <v>0</v>
      </c>
    </row>
    <row r="348" spans="1:70" ht="21" customHeight="1" x14ac:dyDescent="0.15">
      <c r="A348" s="14">
        <f t="shared" ca="1" si="36"/>
        <v>347</v>
      </c>
      <c r="B348" s="77" t="str">
        <f ca="1">VLOOKUP($A348,OFFSET([2]characters!$A$1,0,0,COUNTA([2]characters!$A:$A),MATCH(B$1,[2]characters!$1:$1,0)-MATCH($A$1,[2]characters!$1:$1,0)+1),MATCH(B$1,[2]characters!$1:$1,0)-MATCH($A$1,[2]characters!$1:$1,0)+1,FALSE)</f>
        <v>雷のメタルジェントル</v>
      </c>
      <c r="C348" s="77" t="str">
        <f ca="1">VLOOKUP($A348,OFFSET([2]characters!$A$1,0,0,COUNTA([2]characters!$A:$A),MATCH(C$1,[2]characters!$1:$1,0)-MATCH($A$1,[2]characters!$1:$1,0)+1),MATCH(C$1,[2]characters!$1:$1,0)-MATCH($A$1,[2]characters!$1:$1,0)+1,FALSE)</f>
        <v>強化素材R6　黄</v>
      </c>
      <c r="D348" s="77" t="str">
        <f ca="1">VLOOKUP($A348,OFFSET([2]characters!$A$1,0,0,COUNTA([2]characters!$A:$A),MATCH(D$1,[2]characters!$1:$1,0)-MATCH($A$1,[2]characters!$1:$1,0)+1),MATCH(D$1,[2]characters!$1:$1,0)-MATCH($A$1,[2]characters!$1:$1,0)+1,FALSE)</f>
        <v>アリス</v>
      </c>
      <c r="E348" s="77" t="str">
        <f ca="1">VLOOKUP($A348,OFFSET([2]characters!$A$1,0,0,COUNTA([2]characters!$A:$A),MATCH(E$1,[2]characters!$1:$1,0)-MATCH($A$1,[2]characters!$1:$1,0)+1),MATCH(E$1,[2]characters!$1:$1,0)-MATCH($A$1,[2]characters!$1:$1,0)+1,FALSE)</f>
        <v>世界観</v>
      </c>
      <c r="F348" s="77" t="str">
        <f ca="1">VLOOKUP($A348,OFFSET([2]characters!$A$1,0,0,COUNTA([2]characters!$A:$A),MATCH(F$1,[2]characters!$1:$1,0)-MATCH($A$1,[2]characters!$1:$1,0)+1),MATCH(F$1,[2]characters!$1:$1,0)-MATCH($A$1,[2]characters!$1:$1,0)+1,FALSE)</f>
        <v>不明</v>
      </c>
      <c r="G348" s="77">
        <f ca="1">VLOOKUP($A348,OFFSET([2]characters!$A$1,0,0,COUNTA([2]characters!$A:$A),MATCH(G$1,[2]characters!$1:$1,0)-MATCH($A$1,[2]characters!$1:$1,0)+1),MATCH(G$1,[2]characters!$1:$1,0)-MATCH($A$1,[2]characters!$1:$1,0)+1,FALSE)</f>
        <v>6</v>
      </c>
      <c r="H348" s="77" t="str">
        <f ca="1">VLOOKUP($A348,OFFSET([2]characters!$A$1,0,0,COUNTA([2]characters!$A:$A),MATCH(H$1,[2]characters!$1:$1,0)-MATCH($A$1,[2]characters!$1:$1,0)+1),MATCH(H$1,[2]characters!$1:$1,0)-MATCH($A$1,[2]characters!$1:$1,0)+1,FALSE)</f>
        <v>Material</v>
      </c>
      <c r="I348" s="77" t="str">
        <f ca="1">VLOOKUP($A348,OFFSET([2]characters!$A$1,0,0,COUNTA([2]characters!$A:$A),MATCH(I$1,[2]characters!$1:$1,0)-MATCH($A$1,[2]characters!$1:$1,0)+1),MATCH(I$1,[2]characters!$1:$1,0)-MATCH($A$1,[2]characters!$1:$1,0)+1,FALSE)</f>
        <v>yellow</v>
      </c>
      <c r="J348" s="14">
        <f ca="1">VLOOKUP(I348,[2]属性!$A:$E,2,FALSE)</f>
        <v>0.98</v>
      </c>
      <c r="K348" s="14">
        <f ca="1">VLOOKUP(I348,[2]属性!$A:$E,3,FALSE)</f>
        <v>1.01</v>
      </c>
      <c r="L348" s="14">
        <f ca="1">VLOOKUP(I348,[2]属性!$A:$E,4,FALSE)</f>
        <v>1</v>
      </c>
      <c r="M348" s="14">
        <f ca="1">VLOOKUP(I348,[2]属性!$A:$E,5,FALSE)</f>
        <v>1.01</v>
      </c>
      <c r="N348" s="14">
        <f ca="1">INDEX(コスト!$A$1:$I$20,MATCH(H348,コスト!$A$1:$A$20,FALSE),MATCH(G348,コスト!$A$1:$I$1,FALSE))</f>
        <v>99</v>
      </c>
      <c r="O348" s="14">
        <f ca="1">INDEX(レベル!$A$1:$I$21,MATCH(H348,レベル!$A$1:$A$21,FALSE),MATCH(G348,レベル!$A$1:$I$1,FALSE))</f>
        <v>1</v>
      </c>
      <c r="P348" s="203">
        <v>1</v>
      </c>
      <c r="Q348" s="77" t="str">
        <f ca="1">VLOOKUP($A348,OFFSET([2]characters!$A$1,0,0,COUNTA([2]characters!$A:$A),MATCH(Q$1,[2]characters!$1:$1,0)-MATCH($A$1,[2]characters!$1:$1,0)+1),MATCH(Q$1,[2]characters!$1:$1,0)-MATCH($A$1,[2]characters!$1:$1,0)+1,FALSE)</f>
        <v>exp</v>
      </c>
      <c r="R348" s="8" t="str">
        <f ca="1">VLOOKUP(Q348,[2]character_type_i18n!$A:$H,3,FALSE)</f>
        <v>強化素材タイプ</v>
      </c>
      <c r="S348" s="14">
        <f ca="1">VLOOKUP(Q348,[2]character_type_i18n!$A:$H,4,FALSE)</f>
        <v>0.1</v>
      </c>
      <c r="T348" s="14">
        <f ca="1">VLOOKUP(Q348,[2]character_type_i18n!$A:$H,5,FALSE)</f>
        <v>0.05</v>
      </c>
      <c r="U348" s="14">
        <f ca="1">VLOOKUP(Q348,[2]character_type_i18n!$A:$H,6,FALSE)</f>
        <v>1</v>
      </c>
      <c r="V348" s="14">
        <f ca="1">VLOOKUP(Q348,[2]character_type_i18n!$A:$H,7,FALSE)</f>
        <v>0.05</v>
      </c>
      <c r="W348" s="77" t="str">
        <f ca="1">VLOOKUP($A348,OFFSET([2]characters!$A$1,0,0,COUNTA([2]characters!$A:$A),MATCH(W$1,[2]characters!$1:$1,0)-MATCH($A$1,[2]characters!$1:$1,0)+1),MATCH(W$1,[2]characters!$1:$1,0)-MATCH($A$1,[2]characters!$1:$1,0)+1,FALSE)</f>
        <v>unknown</v>
      </c>
      <c r="X348" s="8" t="str">
        <f ca="1">VLOOKUP(W348,[2]character_tribe_i18n!$A:$H,3,FALSE)</f>
        <v>Unknown</v>
      </c>
      <c r="Y348" s="77" t="str">
        <f ca="1">VLOOKUP($A348,OFFSET([2]characters!$A$1,0,0,COUNTA([2]characters!$A:$A),MATCH(Y$1,[2]characters!$1:$1,0)-MATCH($A$1,[2]characters!$1:$1,0)+1),MATCH(Y$1,[2]characters!$1:$1,0)-MATCH($A$1,[2]characters!$1:$1,0)+1,FALSE)</f>
        <v>none</v>
      </c>
      <c r="Z348" s="8" t="str">
        <f ca="1">VLOOKUP(Y348,[2]character_tribe_i18n!$A:$H,3,FALSE)</f>
        <v>種族なし</v>
      </c>
      <c r="AA348" s="14">
        <f ca="1">VLOOKUP(W348,[2]character_tribe_i18n!$A:$H,4,FALSE)</f>
        <v>1</v>
      </c>
      <c r="AB348" s="14">
        <f ca="1">VLOOKUP(W348,[2]character_tribe_i18n!$A:$H,5,FALSE)</f>
        <v>1</v>
      </c>
      <c r="AC348" s="14">
        <f ca="1">VLOOKUP(W348,[2]character_tribe_i18n!$A:$H,6,FALSE)</f>
        <v>1</v>
      </c>
      <c r="AD348" s="14">
        <f ca="1">VLOOKUP(W348,[2]character_tribe_i18n!$A:$H,7,FALSE)</f>
        <v>1</v>
      </c>
      <c r="AE348" s="12" t="s">
        <v>102</v>
      </c>
      <c r="AF348" s="85" t="str">
        <f ca="1">IF(AE348="NULL","",VLOOKUP($AE348,OFFSET([2]characters!$A$1,0,0,COUNTA([2]characters!$A:$A),MATCH(AF$1,[2]characters!$1:$1,0)-MATCH($A$1,[2]characters!$1:$1,0)+1),MATCH(AF$1,[2]characters!$1:$1,0)-MATCH($A$1,[2]characters!$1:$1,0)+1,FALSE))</f>
        <v/>
      </c>
      <c r="AG348" s="8">
        <f t="shared" ca="1" si="37"/>
        <v>347</v>
      </c>
      <c r="AH348" s="85" t="str">
        <f ca="1">VLOOKUP($AG348,OFFSET([2]characters!$A$1,0,0,COUNTA([2]characters!$A:$A),MATCH(AH$1,[2]characters!$1:$1,0)-MATCH($A$1,[2]characters!$1:$1,0)+1),MATCH(AH$1,[2]characters!$1:$1,0)-MATCH($A$1,[2]characters!$1:$1,0)+1,FALSE)</f>
        <v>雷のメタルジェントル</v>
      </c>
      <c r="AI348" s="14" t="str">
        <f>IF(AE348="NULL","NULL",VLOOKUP(G348,ビット!$A$2:$B$7,2))</f>
        <v>NULL</v>
      </c>
      <c r="AJ348" s="9">
        <v>3</v>
      </c>
      <c r="AK348" s="10" t="str">
        <f t="shared" si="38"/>
        <v>晩成</v>
      </c>
      <c r="AL348" s="14" t="str">
        <f ca="1">INDEX(経験値!$A$1:$I$20,MATCH(H348,経験値!$A$1:$A$20,FALSE),MATCH(G348,経験値!$A$1:$I$1,FALSE))</f>
        <v>NULL</v>
      </c>
      <c r="AM348" s="11">
        <v>65000</v>
      </c>
      <c r="AN348" s="21">
        <f ca="1">VLOOKUP(G348,ビット!$G$2:$H$7,2)</f>
        <v>900</v>
      </c>
      <c r="AO348" s="57"/>
      <c r="AP348" s="101">
        <v>990004</v>
      </c>
      <c r="AQ348" s="77" t="e">
        <f ca="1">VLOOKUP($AP348,OFFSET([1]unit_skills!$A$1,0,0,COUNTA([1]unit_skills!$A:$A),MATCH("name",[1]unit_skills!$1:$1,0)-MATCH($AP$1,[1]unit_skills!$1:$1,0)+1),MATCH("name",[1]unit_skills!$1:$1,0)-MATCH($AP$1,[1]unit_skills!$1:$1,0)+1,FALSE)</f>
        <v>#VALUE!</v>
      </c>
      <c r="AR348" s="77" t="e">
        <f ca="1">VLOOKUP($AP348,OFFSET([1]unit_skills!$A$1,0,0,COUNTA([1]unit_skills!$A:$A),MATCH("comment",[1]unit_skills!$1:$1,0)-MATCH($AP$1,[1]unit_skills!$1:$1,0)+1),MATCH("comment",[1]unit_skills!$1:$1,0)-MATCH($AP$1,[1]unit_skills!$1:$1,0)+1,FALSE)</f>
        <v>#VALUE!</v>
      </c>
      <c r="AS348" s="77" t="e">
        <f ca="1">VLOOKUP($AP348,OFFSET([1]unit_skills!$A$1,0,0,COUNTA([1]unit_skills!$A:$A),MATCH(AS$1,[1]unit_skills!$1:$1,0)-MATCH($AP$1,[1]unit_skills!$1:$1,0)+1),MATCH(AS$1,[1]unit_skills!$1:$1,0)-MATCH($AP$1,[1]unit_skills!$1:$1,0)+1,FALSE)</f>
        <v>#VALUE!</v>
      </c>
      <c r="AT348" s="53">
        <v>0</v>
      </c>
      <c r="AU348" s="77" t="e">
        <f ca="1">VLOOKUP($AT348,OFFSET([1]crash_skills!$A$1,0,0,COUNTA([1]crash_skills!$A:$A),MATCH("name",[1]crash_skills!$1:$1,0)-MATCH($AT$1,[1]crash_skills!$1:$1,0)+1),MATCH("name",[1]crash_skills!$1:$1,0)-MATCH($AT$1,[1]crash_skills!$1:$1,0)+1,FALSE)</f>
        <v>#VALUE!</v>
      </c>
      <c r="AV348" s="77" t="e">
        <f ca="1">VLOOKUP($AT348,OFFSET([1]crash_skills!$A$1,0,0,COUNTA([1]crash_skills!$A:$A),MATCH("comment",[1]crash_skills!$1:$1,0)-MATCH($AT$1,[1]crash_skills!$1:$1,0)+1),MATCH("comment",[1]crash_skills!$1:$1,0)-MATCH($AT$1,[1]crash_skills!$1:$1,0)+1,FALSE)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48" s="77" t="e">
        <f ca="1">VLOOKUP($AT348,OFFSET([1]crash_skills!$A$1,0,0,COUNTA([1]crash_skills!$A:$A),MATCH(AW$1,[1]crash_skills!$1:$1,0)-MATCH($AT$1,[1]crash_skills!$1:$1,0)+1),MATCH(AW$1,[1]crash_skills!$1:$1,0)-MATCH($AT$1,[1]crash_skills!$1:$1,0)+1,FALSE)</f>
        <v>#VALUE!</v>
      </c>
      <c r="AX348" s="81">
        <f ca="1">VLOOKUP($A348,OFFSET([2]characters!$A$1,0,0,COUNTA([2]characters!$A:$A),MATCH(AX$1,[2]characters!$1:$1,0)-MATCH($A$1,[2]characters!$1:$1,0)+1),MATCH(AX$1,[2]characters!$1:$1,0)-MATCH($A$1,[2]characters!$1:$1,0)+1,FALSE)</f>
        <v>3</v>
      </c>
      <c r="AY348" s="19">
        <v>1</v>
      </c>
      <c r="AZ348" s="19">
        <v>1</v>
      </c>
      <c r="BA348" s="19">
        <v>0</v>
      </c>
      <c r="BB348" s="19">
        <v>1</v>
      </c>
      <c r="BC348" s="14">
        <f ca="1">INDEX('RC6SV'!$A$1:$G$20,MATCH(H348,'RC6SV'!$A$1:$A$20,FALSE),MATCH(G348,'RC6SV'!$A$1:$G$1,FALSE))</f>
        <v>1000</v>
      </c>
      <c r="BD348" s="63">
        <f t="shared" ca="1" si="39"/>
        <v>1050</v>
      </c>
      <c r="BE348" s="14">
        <f t="shared" ca="1" si="40"/>
        <v>0</v>
      </c>
      <c r="BF348" s="14">
        <f t="shared" ca="1" si="41"/>
        <v>1</v>
      </c>
      <c r="BG348" s="20">
        <f ca="1">IF($BE348&lt;=0,ROUND(BK348*0.5,0), ROUND($BE348*S348*AA348*J348*AY348*0.8*[2]ステータス!$B$2,0))</f>
        <v>26</v>
      </c>
      <c r="BH348" s="20">
        <f ca="1">IF($BE348&lt;=0,ROUND(BL348*0.5,0), ROUND($BE348*T348*AB348*K348*AZ348*0.8*[2]ステータス!$C$2,0))</f>
        <v>8</v>
      </c>
      <c r="BI348" s="20">
        <f ca="1">IF($BE348&lt;=0,ROUND(BM348*0.5,0), ROUND($BE348*U348*AC348*L348*BA348*0.8*[2]ステータス!$D$2,0))</f>
        <v>0</v>
      </c>
      <c r="BJ348" s="20">
        <f ca="1">IF($BE348&lt;=0,ROUND(BN348*0.5,0), ROUND($BE348*V348*AD348*M348*BB348*0.8*[2]ステータス!$E$2,0))</f>
        <v>7</v>
      </c>
      <c r="BK348" s="14">
        <f ca="1">ROUND(BD348*S348*AA348*J348*AY348*[2]ステータス!$B$2,0)</f>
        <v>51</v>
      </c>
      <c r="BL348" s="14">
        <f ca="1">ROUND(BD348*T348*AB348*K348*AZ348*[2]ステータス!$C$2,0)</f>
        <v>16</v>
      </c>
      <c r="BM348" s="14">
        <f ca="1">ROUND(BD348*U348*AC348*L348*BA348*[2]ステータス!$D$2,0)</f>
        <v>0</v>
      </c>
      <c r="BN348" s="14">
        <f ca="1">ROUND(BD348*V348*AD348*M348*BB348*[2]ステータス!$E$2,0)</f>
        <v>13</v>
      </c>
      <c r="BO348" s="13">
        <v>0</v>
      </c>
      <c r="BP348" s="13">
        <v>1</v>
      </c>
      <c r="BQ348" s="49" t="s">
        <v>102</v>
      </c>
      <c r="BR348" s="13">
        <f ca="1">VLOOKUP(H348,ghosts_label!$A$2:$B$19,2,FALSE)</f>
        <v>0</v>
      </c>
    </row>
    <row r="349" spans="1:70" ht="21" customHeight="1" x14ac:dyDescent="0.15">
      <c r="A349" s="14">
        <f t="shared" ca="1" si="36"/>
        <v>348</v>
      </c>
      <c r="B349" s="77" t="str">
        <f ca="1">VLOOKUP($A349,OFFSET([2]characters!$A$1,0,0,COUNTA([2]characters!$A:$A),MATCH(B$1,[2]characters!$1:$1,0)-MATCH($A$1,[2]characters!$1:$1,0)+1),MATCH(B$1,[2]characters!$1:$1,0)-MATCH($A$1,[2]characters!$1:$1,0)+1,FALSE)</f>
        <v>炎のケロケロ</v>
      </c>
      <c r="C349" s="77" t="str">
        <f ca="1">VLOOKUP($A349,OFFSET([2]characters!$A$1,0,0,COUNTA([2]characters!$A:$A),MATCH(C$1,[2]characters!$1:$1,0)-MATCH($A$1,[2]characters!$1:$1,0)+1),MATCH(C$1,[2]characters!$1:$1,0)-MATCH($A$1,[2]characters!$1:$1,0)+1,FALSE)</f>
        <v>強化素材R2　赤</v>
      </c>
      <c r="D349" s="77" t="str">
        <f ca="1">VLOOKUP($A349,OFFSET([2]characters!$A$1,0,0,COUNTA([2]characters!$A:$A),MATCH(D$1,[2]characters!$1:$1,0)-MATCH($A$1,[2]characters!$1:$1,0)+1),MATCH(D$1,[2]characters!$1:$1,0)-MATCH($A$1,[2]characters!$1:$1,0)+1,FALSE)</f>
        <v>アリス</v>
      </c>
      <c r="E349" s="77" t="str">
        <f ca="1">VLOOKUP($A349,OFFSET([2]characters!$A$1,0,0,COUNTA([2]characters!$A:$A),MATCH(E$1,[2]characters!$1:$1,0)-MATCH($A$1,[2]characters!$1:$1,0)+1),MATCH(E$1,[2]characters!$1:$1,0)-MATCH($A$1,[2]characters!$1:$1,0)+1,FALSE)</f>
        <v>世界観</v>
      </c>
      <c r="F349" s="77" t="str">
        <f ca="1">VLOOKUP($A349,OFFSET([2]characters!$A$1,0,0,COUNTA([2]characters!$A:$A),MATCH(F$1,[2]characters!$1:$1,0)-MATCH($A$1,[2]characters!$1:$1,0)+1),MATCH(F$1,[2]characters!$1:$1,0)-MATCH($A$1,[2]characters!$1:$1,0)+1,FALSE)</f>
        <v>不明</v>
      </c>
      <c r="G349" s="77">
        <f ca="1">VLOOKUP($A349,OFFSET([2]characters!$A$1,0,0,COUNTA([2]characters!$A:$A),MATCH(G$1,[2]characters!$1:$1,0)-MATCH($A$1,[2]characters!$1:$1,0)+1),MATCH(G$1,[2]characters!$1:$1,0)-MATCH($A$1,[2]characters!$1:$1,0)+1,FALSE)</f>
        <v>5</v>
      </c>
      <c r="H349" s="77" t="str">
        <f ca="1">VLOOKUP($A349,OFFSET([2]characters!$A$1,0,0,COUNTA([2]characters!$A:$A),MATCH(H$1,[2]characters!$1:$1,0)-MATCH($A$1,[2]characters!$1:$1,0)+1),MATCH(H$1,[2]characters!$1:$1,0)-MATCH($A$1,[2]characters!$1:$1,0)+1,FALSE)</f>
        <v>Material</v>
      </c>
      <c r="I349" s="77" t="str">
        <f ca="1">VLOOKUP($A349,OFFSET([2]characters!$A$1,0,0,COUNTA([2]characters!$A:$A),MATCH(I$1,[2]characters!$1:$1,0)-MATCH($A$1,[2]characters!$1:$1,0)+1),MATCH(I$1,[2]characters!$1:$1,0)-MATCH($A$1,[2]characters!$1:$1,0)+1,FALSE)</f>
        <v>red</v>
      </c>
      <c r="J349" s="14">
        <f ca="1">VLOOKUP(I349,[2]属性!$A:$E,2,FALSE)</f>
        <v>1</v>
      </c>
      <c r="K349" s="14">
        <f ca="1">VLOOKUP(I349,[2]属性!$A:$E,3,FALSE)</f>
        <v>1.02</v>
      </c>
      <c r="L349" s="14">
        <f ca="1">VLOOKUP(I349,[2]属性!$A:$E,4,FALSE)</f>
        <v>1</v>
      </c>
      <c r="M349" s="14">
        <f ca="1">VLOOKUP(I349,[2]属性!$A:$E,5,FALSE)</f>
        <v>0.98</v>
      </c>
      <c r="N349" s="14">
        <f ca="1">INDEX(コスト!$A$1:$I$20,MATCH(H349,コスト!$A$1:$A$20,FALSE),MATCH(G349,コスト!$A$1:$I$1,FALSE))</f>
        <v>99</v>
      </c>
      <c r="O349" s="104">
        <v>10</v>
      </c>
      <c r="P349" s="203">
        <v>10</v>
      </c>
      <c r="Q349" s="77" t="str">
        <f ca="1">VLOOKUP($A349,OFFSET([2]characters!$A$1,0,0,COUNTA([2]characters!$A:$A),MATCH(Q$1,[2]characters!$1:$1,0)-MATCH($A$1,[2]characters!$1:$1,0)+1),MATCH(Q$1,[2]characters!$1:$1,0)-MATCH($A$1,[2]characters!$1:$1,0)+1,FALSE)</f>
        <v>exp</v>
      </c>
      <c r="R349" s="8" t="str">
        <f ca="1">VLOOKUP(Q349,[2]character_type_i18n!$A:$H,3,FALSE)</f>
        <v>強化素材タイプ</v>
      </c>
      <c r="S349" s="14">
        <f ca="1">VLOOKUP(Q349,[2]character_type_i18n!$A:$H,4,FALSE)</f>
        <v>0.1</v>
      </c>
      <c r="T349" s="14">
        <f ca="1">VLOOKUP(Q349,[2]character_type_i18n!$A:$H,5,FALSE)</f>
        <v>0.05</v>
      </c>
      <c r="U349" s="14">
        <f ca="1">VLOOKUP(Q349,[2]character_type_i18n!$A:$H,6,FALSE)</f>
        <v>1</v>
      </c>
      <c r="V349" s="14">
        <f ca="1">VLOOKUP(Q349,[2]character_type_i18n!$A:$H,7,FALSE)</f>
        <v>0.05</v>
      </c>
      <c r="W349" s="77" t="str">
        <f ca="1">VLOOKUP($A349,OFFSET([2]characters!$A$1,0,0,COUNTA([2]characters!$A:$A),MATCH(W$1,[2]characters!$1:$1,0)-MATCH($A$1,[2]characters!$1:$1,0)+1),MATCH(W$1,[2]characters!$1:$1,0)-MATCH($A$1,[2]characters!$1:$1,0)+1,FALSE)</f>
        <v>unknown</v>
      </c>
      <c r="X349" s="8" t="str">
        <f ca="1">VLOOKUP(W349,[2]character_tribe_i18n!$A:$H,3,FALSE)</f>
        <v>Unknown</v>
      </c>
      <c r="Y349" s="77" t="str">
        <f ca="1">VLOOKUP($A349,OFFSET([2]characters!$A$1,0,0,COUNTA([2]characters!$A:$A),MATCH(Y$1,[2]characters!$1:$1,0)-MATCH($A$1,[2]characters!$1:$1,0)+1),MATCH(Y$1,[2]characters!$1:$1,0)-MATCH($A$1,[2]characters!$1:$1,0)+1,FALSE)</f>
        <v>none</v>
      </c>
      <c r="Z349" s="8" t="str">
        <f ca="1">VLOOKUP(Y349,[2]character_tribe_i18n!$A:$H,3,FALSE)</f>
        <v>種族なし</v>
      </c>
      <c r="AA349" s="14">
        <f ca="1">VLOOKUP(W349,[2]character_tribe_i18n!$A:$H,4,FALSE)</f>
        <v>1</v>
      </c>
      <c r="AB349" s="14">
        <f ca="1">VLOOKUP(W349,[2]character_tribe_i18n!$A:$H,5,FALSE)</f>
        <v>1</v>
      </c>
      <c r="AC349" s="14">
        <f ca="1">VLOOKUP(W349,[2]character_tribe_i18n!$A:$H,6,FALSE)</f>
        <v>1</v>
      </c>
      <c r="AD349" s="14">
        <f ca="1">VLOOKUP(W349,[2]character_tribe_i18n!$A:$H,7,FALSE)</f>
        <v>1</v>
      </c>
      <c r="AE349" s="12">
        <v>349</v>
      </c>
      <c r="AF349" s="85" t="str">
        <f ca="1">IF(AE349="NULL","",VLOOKUP($AE349,OFFSET([2]characters!$A$1,0,0,COUNTA([2]characters!$A:$A),MATCH(AF$1,[2]characters!$1:$1,0)-MATCH($A$1,[2]characters!$1:$1,0)+1),MATCH(AF$1,[2]characters!$1:$1,0)-MATCH($A$1,[2]characters!$1:$1,0)+1,FALSE))</f>
        <v>炎のメタルフロッグ</v>
      </c>
      <c r="AG349" s="8">
        <f t="shared" ca="1" si="37"/>
        <v>348</v>
      </c>
      <c r="AH349" s="85" t="str">
        <f ca="1">VLOOKUP($AG349,OFFSET([2]characters!$A$1,0,0,COUNTA([2]characters!$A:$A),MATCH(AH$1,[2]characters!$1:$1,0)-MATCH($A$1,[2]characters!$1:$1,0)+1),MATCH(AH$1,[2]characters!$1:$1,0)-MATCH($A$1,[2]characters!$1:$1,0)+1,FALSE)</f>
        <v>炎のケロケロ</v>
      </c>
      <c r="AI349" s="104">
        <v>10000</v>
      </c>
      <c r="AJ349" s="9">
        <v>2</v>
      </c>
      <c r="AK349" s="10" t="str">
        <f t="shared" ref="AK349:AK368" si="43">IF(AJ349=1,"早熟",IF(AJ349=2,"普通",IF(AJ349=3,"晩成","")))</f>
        <v>普通</v>
      </c>
      <c r="AL349" s="104" t="s">
        <v>237</v>
      </c>
      <c r="AM349" s="11">
        <v>1000</v>
      </c>
      <c r="AN349" s="21">
        <f ca="1">VLOOKUP(G349,ビット!$G$2:$H$7,2)</f>
        <v>900</v>
      </c>
      <c r="AO349" s="57"/>
      <c r="AP349" s="101">
        <v>990019</v>
      </c>
      <c r="AQ349" s="77" t="e">
        <f ca="1">VLOOKUP($AP349,OFFSET([1]unit_skills!$A$1,0,0,COUNTA([1]unit_skills!$A:$A),MATCH("name",[1]unit_skills!$1:$1,0)-MATCH($AP$1,[1]unit_skills!$1:$1,0)+1),MATCH("name",[1]unit_skills!$1:$1,0)-MATCH($AP$1,[1]unit_skills!$1:$1,0)+1,FALSE)</f>
        <v>#VALUE!</v>
      </c>
      <c r="AR349" s="77" t="e">
        <f ca="1">VLOOKUP($AP349,OFFSET([1]unit_skills!$A$1,0,0,COUNTA([1]unit_skills!$A:$A),MATCH("comment",[1]unit_skills!$1:$1,0)-MATCH($AP$1,[1]unit_skills!$1:$1,0)+1),MATCH("comment",[1]unit_skills!$1:$1,0)-MATCH($AP$1,[1]unit_skills!$1:$1,0)+1,FALSE)</f>
        <v>#VALUE!</v>
      </c>
      <c r="AS349" s="77" t="e">
        <f ca="1">VLOOKUP($AP349,OFFSET([1]unit_skills!$A$1,0,0,COUNTA([1]unit_skills!$A:$A),MATCH(AS$1,[1]unit_skills!$1:$1,0)-MATCH($AP$1,[1]unit_skills!$1:$1,0)+1),MATCH(AS$1,[1]unit_skills!$1:$1,0)-MATCH($AP$1,[1]unit_skills!$1:$1,0)+1,FALSE)</f>
        <v>#VALUE!</v>
      </c>
      <c r="AT349" s="53">
        <v>0</v>
      </c>
      <c r="AU349" s="77" t="e">
        <f ca="1">VLOOKUP($AT349,OFFSET([1]crash_skills!$A$1,0,0,COUNTA([1]crash_skills!$A:$A),MATCH("name",[1]crash_skills!$1:$1,0)-MATCH($AT$1,[1]crash_skills!$1:$1,0)+1),MATCH("name",[1]crash_skills!$1:$1,0)-MATCH($AT$1,[1]crash_skills!$1:$1,0)+1,FALSE)</f>
        <v>#VALUE!</v>
      </c>
      <c r="AV349" s="77" t="e">
        <f ca="1">VLOOKUP($AT349,OFFSET([1]crash_skills!$A$1,0,0,COUNTA([1]crash_skills!$A:$A),MATCH("comment",[1]crash_skills!$1:$1,0)-MATCH($AT$1,[1]crash_skills!$1:$1,0)+1),MATCH("comment",[1]crash_skills!$1:$1,0)-MATCH($AT$1,[1]crash_skills!$1:$1,0)+1,FALSE)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49" s="77" t="e">
        <f ca="1">VLOOKUP($AT349,OFFSET([1]crash_skills!$A$1,0,0,COUNTA([1]crash_skills!$A:$A),MATCH(AW$1,[1]crash_skills!$1:$1,0)-MATCH($AT$1,[1]crash_skills!$1:$1,0)+1),MATCH(AW$1,[1]crash_skills!$1:$1,0)-MATCH($AT$1,[1]crash_skills!$1:$1,0)+1,FALSE)</f>
        <v>#VALUE!</v>
      </c>
      <c r="AX349" s="81">
        <f ca="1">VLOOKUP($A349,OFFSET([2]characters!$A$1,0,0,COUNTA([2]characters!$A:$A),MATCH(AX$1,[2]characters!$1:$1,0)-MATCH($A$1,[2]characters!$1:$1,0)+1),MATCH(AX$1,[2]characters!$1:$1,0)-MATCH($A$1,[2]characters!$1:$1,0)+1,FALSE)</f>
        <v>3</v>
      </c>
      <c r="AY349" s="19">
        <v>1</v>
      </c>
      <c r="AZ349" s="19">
        <v>1</v>
      </c>
      <c r="BA349" s="19">
        <v>0</v>
      </c>
      <c r="BB349" s="19">
        <v>1</v>
      </c>
      <c r="BC349" s="14">
        <f ca="1">INDEX('RC6SV'!$A$1:$G$20,MATCH(H349,'RC6SV'!$A$1:$A$20,FALSE),MATCH(G349,'RC6SV'!$A$1:$G$1,FALSE))</f>
        <v>1000</v>
      </c>
      <c r="BD349" s="63">
        <f t="shared" ca="1" si="39"/>
        <v>1000</v>
      </c>
      <c r="BE349" s="14">
        <f t="shared" ca="1" si="40"/>
        <v>0</v>
      </c>
      <c r="BF349" s="14">
        <f t="shared" ca="1" si="41"/>
        <v>1</v>
      </c>
      <c r="BG349" s="20">
        <f ca="1">IF($BE349&lt;=0,ROUND(BK349*0.5,0), ROUND($BE349*S349*AA349*J349*AY349*0.8*[2]ステータス!$B$2,0))</f>
        <v>25</v>
      </c>
      <c r="BH349" s="20">
        <f ca="1">IF($BE349&lt;=0,ROUND(BL349*0.5,0), ROUND($BE349*T349*AB349*K349*AZ349*0.8*[2]ステータス!$C$2,0))</f>
        <v>8</v>
      </c>
      <c r="BI349" s="20">
        <f ca="1">IF($BE349&lt;=0,ROUND(BM349*0.5,0), ROUND($BE349*U349*AC349*L349*BA349*0.8*[2]ステータス!$D$2,0))</f>
        <v>0</v>
      </c>
      <c r="BJ349" s="20">
        <f ca="1">IF($BE349&lt;=0,ROUND(BN349*0.5,0), ROUND($BE349*V349*AD349*M349*BB349*0.8*[2]ステータス!$E$2,0))</f>
        <v>6</v>
      </c>
      <c r="BK349" s="14">
        <f ca="1">ROUND(BD349*S349*AA349*J349*AY349*[2]ステータス!$B$2,0)</f>
        <v>50</v>
      </c>
      <c r="BL349" s="14">
        <f ca="1">ROUND(BD349*T349*AB349*K349*AZ349*[2]ステータス!$C$2,0)</f>
        <v>15</v>
      </c>
      <c r="BM349" s="14">
        <f ca="1">ROUND(BD349*U349*AC349*L349*BA349*[2]ステータス!$D$2,0)</f>
        <v>0</v>
      </c>
      <c r="BN349" s="14">
        <f ca="1">ROUND(BD349*V349*AD349*M349*BB349*[2]ステータス!$E$2,0)</f>
        <v>12</v>
      </c>
      <c r="BO349" s="13">
        <v>0</v>
      </c>
      <c r="BP349" s="13">
        <v>1</v>
      </c>
      <c r="BQ349" s="49" t="s">
        <v>102</v>
      </c>
      <c r="BR349" s="13">
        <f ca="1">VLOOKUP(H349,ghosts_label!$A$2:$B$19,2,FALSE)</f>
        <v>0</v>
      </c>
    </row>
    <row r="350" spans="1:70" ht="21" customHeight="1" x14ac:dyDescent="0.15">
      <c r="A350" s="14">
        <f t="shared" ca="1" si="36"/>
        <v>349</v>
      </c>
      <c r="B350" s="77" t="str">
        <f ca="1">VLOOKUP($A350,OFFSET([2]characters!$A$1,0,0,COUNTA([2]characters!$A:$A),MATCH(B$1,[2]characters!$1:$1,0)-MATCH($A$1,[2]characters!$1:$1,0)+1),MATCH(B$1,[2]characters!$1:$1,0)-MATCH($A$1,[2]characters!$1:$1,0)+1,FALSE)</f>
        <v>炎のメタルフロッグ</v>
      </c>
      <c r="C350" s="77" t="str">
        <f ca="1">VLOOKUP($A350,OFFSET([2]characters!$A$1,0,0,COUNTA([2]characters!$A:$A),MATCH(C$1,[2]characters!$1:$1,0)-MATCH($A$1,[2]characters!$1:$1,0)+1),MATCH(C$1,[2]characters!$1:$1,0)-MATCH($A$1,[2]characters!$1:$1,0)+1,FALSE)</f>
        <v>強化素材R4　赤</v>
      </c>
      <c r="D350" s="77" t="str">
        <f ca="1">VLOOKUP($A350,OFFSET([2]characters!$A$1,0,0,COUNTA([2]characters!$A:$A),MATCH(D$1,[2]characters!$1:$1,0)-MATCH($A$1,[2]characters!$1:$1,0)+1),MATCH(D$1,[2]characters!$1:$1,0)-MATCH($A$1,[2]characters!$1:$1,0)+1,FALSE)</f>
        <v>アリス</v>
      </c>
      <c r="E350" s="77" t="str">
        <f ca="1">VLOOKUP($A350,OFFSET([2]characters!$A$1,0,0,COUNTA([2]characters!$A:$A),MATCH(E$1,[2]characters!$1:$1,0)-MATCH($A$1,[2]characters!$1:$1,0)+1),MATCH(E$1,[2]characters!$1:$1,0)-MATCH($A$1,[2]characters!$1:$1,0)+1,FALSE)</f>
        <v>世界観</v>
      </c>
      <c r="F350" s="77" t="str">
        <f ca="1">VLOOKUP($A350,OFFSET([2]characters!$A$1,0,0,COUNTA([2]characters!$A:$A),MATCH(F$1,[2]characters!$1:$1,0)-MATCH($A$1,[2]characters!$1:$1,0)+1),MATCH(F$1,[2]characters!$1:$1,0)-MATCH($A$1,[2]characters!$1:$1,0)+1,FALSE)</f>
        <v>不明</v>
      </c>
      <c r="G350" s="77">
        <f ca="1">VLOOKUP($A350,OFFSET([2]characters!$A$1,0,0,COUNTA([2]characters!$A:$A),MATCH(G$1,[2]characters!$1:$1,0)-MATCH($A$1,[2]characters!$1:$1,0)+1),MATCH(G$1,[2]characters!$1:$1,0)-MATCH($A$1,[2]characters!$1:$1,0)+1,FALSE)</f>
        <v>6</v>
      </c>
      <c r="H350" s="77" t="str">
        <f ca="1">VLOOKUP($A350,OFFSET([2]characters!$A$1,0,0,COUNTA([2]characters!$A:$A),MATCH(H$1,[2]characters!$1:$1,0)-MATCH($A$1,[2]characters!$1:$1,0)+1),MATCH(H$1,[2]characters!$1:$1,0)-MATCH($A$1,[2]characters!$1:$1,0)+1,FALSE)</f>
        <v>Material</v>
      </c>
      <c r="I350" s="77" t="str">
        <f ca="1">VLOOKUP($A350,OFFSET([2]characters!$A$1,0,0,COUNTA([2]characters!$A:$A),MATCH(I$1,[2]characters!$1:$1,0)-MATCH($A$1,[2]characters!$1:$1,0)+1),MATCH(I$1,[2]characters!$1:$1,0)-MATCH($A$1,[2]characters!$1:$1,0)+1,FALSE)</f>
        <v>red</v>
      </c>
      <c r="J350" s="14">
        <f ca="1">VLOOKUP(I350,[2]属性!$A:$E,2,FALSE)</f>
        <v>1</v>
      </c>
      <c r="K350" s="14">
        <f ca="1">VLOOKUP(I350,[2]属性!$A:$E,3,FALSE)</f>
        <v>1.02</v>
      </c>
      <c r="L350" s="14">
        <f ca="1">VLOOKUP(I350,[2]属性!$A:$E,4,FALSE)</f>
        <v>1</v>
      </c>
      <c r="M350" s="14">
        <f ca="1">VLOOKUP(I350,[2]属性!$A:$E,5,FALSE)</f>
        <v>0.98</v>
      </c>
      <c r="N350" s="14">
        <f ca="1">INDEX(コスト!$A$1:$I$20,MATCH(H350,コスト!$A$1:$A$20,FALSE),MATCH(G350,コスト!$A$1:$I$1,FALSE))</f>
        <v>99</v>
      </c>
      <c r="O350" s="14">
        <f ca="1">INDEX(レベル!$A$1:$I$21,MATCH(H350,レベル!$A$1:$A$21,FALSE),MATCH(G350,レベル!$A$1:$I$1,FALSE))</f>
        <v>1</v>
      </c>
      <c r="P350" s="203">
        <v>10</v>
      </c>
      <c r="Q350" s="77" t="str">
        <f ca="1">VLOOKUP($A350,OFFSET([2]characters!$A$1,0,0,COUNTA([2]characters!$A:$A),MATCH(Q$1,[2]characters!$1:$1,0)-MATCH($A$1,[2]characters!$1:$1,0)+1),MATCH(Q$1,[2]characters!$1:$1,0)-MATCH($A$1,[2]characters!$1:$1,0)+1,FALSE)</f>
        <v>exp</v>
      </c>
      <c r="R350" s="8" t="str">
        <f ca="1">VLOOKUP(Q350,[2]character_type_i18n!$A:$H,3,FALSE)</f>
        <v>強化素材タイプ</v>
      </c>
      <c r="S350" s="14">
        <f ca="1">VLOOKUP(Q350,[2]character_type_i18n!$A:$H,4,FALSE)</f>
        <v>0.1</v>
      </c>
      <c r="T350" s="14">
        <f ca="1">VLOOKUP(Q350,[2]character_type_i18n!$A:$H,5,FALSE)</f>
        <v>0.05</v>
      </c>
      <c r="U350" s="14">
        <f ca="1">VLOOKUP(Q350,[2]character_type_i18n!$A:$H,6,FALSE)</f>
        <v>1</v>
      </c>
      <c r="V350" s="14">
        <f ca="1">VLOOKUP(Q350,[2]character_type_i18n!$A:$H,7,FALSE)</f>
        <v>0.05</v>
      </c>
      <c r="W350" s="77" t="str">
        <f ca="1">VLOOKUP($A350,OFFSET([2]characters!$A$1,0,0,COUNTA([2]characters!$A:$A),MATCH(W$1,[2]characters!$1:$1,0)-MATCH($A$1,[2]characters!$1:$1,0)+1),MATCH(W$1,[2]characters!$1:$1,0)-MATCH($A$1,[2]characters!$1:$1,0)+1,FALSE)</f>
        <v>unknown</v>
      </c>
      <c r="X350" s="8" t="str">
        <f ca="1">VLOOKUP(W350,[2]character_tribe_i18n!$A:$H,3,FALSE)</f>
        <v>Unknown</v>
      </c>
      <c r="Y350" s="77" t="str">
        <f ca="1">VLOOKUP($A350,OFFSET([2]characters!$A$1,0,0,COUNTA([2]characters!$A:$A),MATCH(Y$1,[2]characters!$1:$1,0)-MATCH($A$1,[2]characters!$1:$1,0)+1),MATCH(Y$1,[2]characters!$1:$1,0)-MATCH($A$1,[2]characters!$1:$1,0)+1,FALSE)</f>
        <v>none</v>
      </c>
      <c r="Z350" s="8" t="str">
        <f ca="1">VLOOKUP(Y350,[2]character_tribe_i18n!$A:$H,3,FALSE)</f>
        <v>種族なし</v>
      </c>
      <c r="AA350" s="14">
        <f ca="1">VLOOKUP(W350,[2]character_tribe_i18n!$A:$H,4,FALSE)</f>
        <v>1</v>
      </c>
      <c r="AB350" s="14">
        <f ca="1">VLOOKUP(W350,[2]character_tribe_i18n!$A:$H,5,FALSE)</f>
        <v>1</v>
      </c>
      <c r="AC350" s="14">
        <f ca="1">VLOOKUP(W350,[2]character_tribe_i18n!$A:$H,6,FALSE)</f>
        <v>1</v>
      </c>
      <c r="AD350" s="14">
        <f ca="1">VLOOKUP(W350,[2]character_tribe_i18n!$A:$H,7,FALSE)</f>
        <v>1</v>
      </c>
      <c r="AE350" s="12" t="s">
        <v>102</v>
      </c>
      <c r="AF350" s="85" t="str">
        <f ca="1">IF(AE350="NULL","",VLOOKUP($AE350,OFFSET([2]characters!$A$1,0,0,COUNTA([2]characters!$A:$A),MATCH(AF$1,[2]characters!$1:$1,0)-MATCH($A$1,[2]characters!$1:$1,0)+1),MATCH(AF$1,[2]characters!$1:$1,0)-MATCH($A$1,[2]characters!$1:$1,0)+1,FALSE))</f>
        <v/>
      </c>
      <c r="AG350" s="8">
        <f t="shared" ca="1" si="37"/>
        <v>348</v>
      </c>
      <c r="AH350" s="85" t="str">
        <f ca="1">VLOOKUP($AG350,OFFSET([2]characters!$A$1,0,0,COUNTA([2]characters!$A:$A),MATCH(AH$1,[2]characters!$1:$1,0)-MATCH($A$1,[2]characters!$1:$1,0)+1),MATCH(AH$1,[2]characters!$1:$1,0)-MATCH($A$1,[2]characters!$1:$1,0)+1,FALSE)</f>
        <v>炎のケロケロ</v>
      </c>
      <c r="AI350" s="14" t="str">
        <f>IF(AE350="NULL","NULL",VLOOKUP(G350,ビット!$A$2:$B$7,2))</f>
        <v>NULL</v>
      </c>
      <c r="AJ350" s="9">
        <v>2</v>
      </c>
      <c r="AK350" s="10" t="str">
        <f t="shared" si="43"/>
        <v>普通</v>
      </c>
      <c r="AL350" s="14" t="str">
        <f ca="1">INDEX(経験値!$A$1:$I$20,MATCH(H350,経験値!$A$1:$A$20,FALSE),MATCH(G350,経験値!$A$1:$I$1,FALSE))</f>
        <v>NULL</v>
      </c>
      <c r="AM350" s="185">
        <v>100000</v>
      </c>
      <c r="AN350" s="21">
        <f ca="1">VLOOKUP(G350,ビット!$G$2:$H$7,2)</f>
        <v>900</v>
      </c>
      <c r="AO350" s="57"/>
      <c r="AP350" s="101">
        <v>990004</v>
      </c>
      <c r="AQ350" s="77" t="e">
        <f ca="1">VLOOKUP($AP350,OFFSET([1]unit_skills!$A$1,0,0,COUNTA([1]unit_skills!$A:$A),MATCH("name",[1]unit_skills!$1:$1,0)-MATCH($AP$1,[1]unit_skills!$1:$1,0)+1),MATCH("name",[1]unit_skills!$1:$1,0)-MATCH($AP$1,[1]unit_skills!$1:$1,0)+1,FALSE)</f>
        <v>#VALUE!</v>
      </c>
      <c r="AR350" s="77" t="e">
        <f ca="1">VLOOKUP($AP350,OFFSET([1]unit_skills!$A$1,0,0,COUNTA([1]unit_skills!$A:$A),MATCH("comment",[1]unit_skills!$1:$1,0)-MATCH($AP$1,[1]unit_skills!$1:$1,0)+1),MATCH("comment",[1]unit_skills!$1:$1,0)-MATCH($AP$1,[1]unit_skills!$1:$1,0)+1,FALSE)</f>
        <v>#VALUE!</v>
      </c>
      <c r="AS350" s="77" t="e">
        <f ca="1">VLOOKUP($AP350,OFFSET([1]unit_skills!$A$1,0,0,COUNTA([1]unit_skills!$A:$A),MATCH(AS$1,[1]unit_skills!$1:$1,0)-MATCH($AP$1,[1]unit_skills!$1:$1,0)+1),MATCH(AS$1,[1]unit_skills!$1:$1,0)-MATCH($AP$1,[1]unit_skills!$1:$1,0)+1,FALSE)</f>
        <v>#VALUE!</v>
      </c>
      <c r="AT350" s="53">
        <v>0</v>
      </c>
      <c r="AU350" s="77" t="e">
        <f ca="1">VLOOKUP($AT350,OFFSET([1]crash_skills!$A$1,0,0,COUNTA([1]crash_skills!$A:$A),MATCH("name",[1]crash_skills!$1:$1,0)-MATCH($AT$1,[1]crash_skills!$1:$1,0)+1),MATCH("name",[1]crash_skills!$1:$1,0)-MATCH($AT$1,[1]crash_skills!$1:$1,0)+1,FALSE)</f>
        <v>#VALUE!</v>
      </c>
      <c r="AV350" s="77" t="e">
        <f ca="1">VLOOKUP($AT350,OFFSET([1]crash_skills!$A$1,0,0,COUNTA([1]crash_skills!$A:$A),MATCH("comment",[1]crash_skills!$1:$1,0)-MATCH($AT$1,[1]crash_skills!$1:$1,0)+1),MATCH("comment",[1]crash_skills!$1:$1,0)-MATCH($AT$1,[1]crash_skills!$1:$1,0)+1,FALSE)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50" s="77" t="e">
        <f ca="1">VLOOKUP($AT350,OFFSET([1]crash_skills!$A$1,0,0,COUNTA([1]crash_skills!$A:$A),MATCH(AW$1,[1]crash_skills!$1:$1,0)-MATCH($AT$1,[1]crash_skills!$1:$1,0)+1),MATCH(AW$1,[1]crash_skills!$1:$1,0)-MATCH($AT$1,[1]crash_skills!$1:$1,0)+1,FALSE)</f>
        <v>#VALUE!</v>
      </c>
      <c r="AX350" s="81">
        <f ca="1">VLOOKUP($A350,OFFSET([2]characters!$A$1,0,0,COUNTA([2]characters!$A:$A),MATCH(AX$1,[2]characters!$1:$1,0)-MATCH($A$1,[2]characters!$1:$1,0)+1),MATCH(AX$1,[2]characters!$1:$1,0)-MATCH($A$1,[2]characters!$1:$1,0)+1,FALSE)</f>
        <v>3</v>
      </c>
      <c r="AY350" s="19">
        <v>1</v>
      </c>
      <c r="AZ350" s="19">
        <v>1</v>
      </c>
      <c r="BA350" s="19">
        <v>0</v>
      </c>
      <c r="BB350" s="19">
        <v>1</v>
      </c>
      <c r="BC350" s="14">
        <f ca="1">INDEX('RC6SV'!$A$1:$G$20,MATCH(H350,'RC6SV'!$A$1:$A$20,FALSE),MATCH(G350,'RC6SV'!$A$1:$G$1,FALSE))</f>
        <v>1000</v>
      </c>
      <c r="BD350" s="63">
        <f t="shared" ca="1" si="39"/>
        <v>1000</v>
      </c>
      <c r="BE350" s="14">
        <f t="shared" ca="1" si="40"/>
        <v>1000</v>
      </c>
      <c r="BF350" s="14">
        <f t="shared" ca="1" si="41"/>
        <v>1</v>
      </c>
      <c r="BG350" s="20">
        <f ca="1">IF($BE350&lt;=0,ROUND(BK350*0.5,0), ROUND($BE350*S350*AA350*J350*AY350*0.8*[2]ステータス!$B$2,0))</f>
        <v>40</v>
      </c>
      <c r="BH350" s="20">
        <f ca="1">IF($BE350&lt;=0,ROUND(BL350*0.5,0), ROUND($BE350*T350*AB350*K350*AZ350*0.8*[2]ステータス!$C$2,0))</f>
        <v>12</v>
      </c>
      <c r="BI350" s="20">
        <f ca="1">IF($BE350&lt;=0,ROUND(BM350*0.5,0), ROUND($BE350*U350*AC350*L350*BA350*0.8*[2]ステータス!$D$2,0))</f>
        <v>0</v>
      </c>
      <c r="BJ350" s="20">
        <f ca="1">IF($BE350&lt;=0,ROUND(BN350*0.5,0), ROUND($BE350*V350*AD350*M350*BB350*0.8*[2]ステータス!$E$2,0))</f>
        <v>10</v>
      </c>
      <c r="BK350" s="14">
        <f ca="1">ROUND(BD350*S350*AA350*J350*AY350*[2]ステータス!$B$2,0)</f>
        <v>50</v>
      </c>
      <c r="BL350" s="14">
        <f ca="1">ROUND(BD350*T350*AB350*K350*AZ350*[2]ステータス!$C$2,0)</f>
        <v>15</v>
      </c>
      <c r="BM350" s="14">
        <f ca="1">ROUND(BD350*U350*AC350*L350*BA350*[2]ステータス!$D$2,0)</f>
        <v>0</v>
      </c>
      <c r="BN350" s="14">
        <f ca="1">ROUND(BD350*V350*AD350*M350*BB350*[2]ステータス!$E$2,0)</f>
        <v>12</v>
      </c>
      <c r="BO350" s="13">
        <v>0</v>
      </c>
      <c r="BP350" s="13">
        <v>1</v>
      </c>
      <c r="BQ350" s="49" t="s">
        <v>102</v>
      </c>
      <c r="BR350" s="13">
        <f ca="1">VLOOKUP(H350,ghosts_label!$A$2:$B$19,2,FALSE)</f>
        <v>0</v>
      </c>
    </row>
    <row r="351" spans="1:70" ht="21" customHeight="1" x14ac:dyDescent="0.15">
      <c r="A351" s="14">
        <f t="shared" ca="1" si="36"/>
        <v>350</v>
      </c>
      <c r="B351" s="77" t="str">
        <f ca="1">VLOOKUP($A351,OFFSET([2]characters!$A$1,0,0,COUNTA([2]characters!$A:$A),MATCH(B$1,[2]characters!$1:$1,0)-MATCH($A$1,[2]characters!$1:$1,0)+1),MATCH(B$1,[2]characters!$1:$1,0)-MATCH($A$1,[2]characters!$1:$1,0)+1,FALSE)</f>
        <v>森のケロケロ</v>
      </c>
      <c r="C351" s="77" t="str">
        <f ca="1">VLOOKUP($A351,OFFSET([2]characters!$A$1,0,0,COUNTA([2]characters!$A:$A),MATCH(C$1,[2]characters!$1:$1,0)-MATCH($A$1,[2]characters!$1:$1,0)+1),MATCH(C$1,[2]characters!$1:$1,0)-MATCH($A$1,[2]characters!$1:$1,0)+1,FALSE)</f>
        <v>強化素材R2　緑</v>
      </c>
      <c r="D351" s="77" t="str">
        <f ca="1">VLOOKUP($A351,OFFSET([2]characters!$A$1,0,0,COUNTA([2]characters!$A:$A),MATCH(D$1,[2]characters!$1:$1,0)-MATCH($A$1,[2]characters!$1:$1,0)+1),MATCH(D$1,[2]characters!$1:$1,0)-MATCH($A$1,[2]characters!$1:$1,0)+1,FALSE)</f>
        <v>アリス</v>
      </c>
      <c r="E351" s="77" t="str">
        <f ca="1">VLOOKUP($A351,OFFSET([2]characters!$A$1,0,0,COUNTA([2]characters!$A:$A),MATCH(E$1,[2]characters!$1:$1,0)-MATCH($A$1,[2]characters!$1:$1,0)+1),MATCH(E$1,[2]characters!$1:$1,0)-MATCH($A$1,[2]characters!$1:$1,0)+1,FALSE)</f>
        <v>世界観</v>
      </c>
      <c r="F351" s="77" t="str">
        <f ca="1">VLOOKUP($A351,OFFSET([2]characters!$A$1,0,0,COUNTA([2]characters!$A:$A),MATCH(F$1,[2]characters!$1:$1,0)-MATCH($A$1,[2]characters!$1:$1,0)+1),MATCH(F$1,[2]characters!$1:$1,0)-MATCH($A$1,[2]characters!$1:$1,0)+1,FALSE)</f>
        <v>不明</v>
      </c>
      <c r="G351" s="77">
        <f ca="1">VLOOKUP($A351,OFFSET([2]characters!$A$1,0,0,COUNTA([2]characters!$A:$A),MATCH(G$1,[2]characters!$1:$1,0)-MATCH($A$1,[2]characters!$1:$1,0)+1),MATCH(G$1,[2]characters!$1:$1,0)-MATCH($A$1,[2]characters!$1:$1,0)+1,FALSE)</f>
        <v>5</v>
      </c>
      <c r="H351" s="77" t="str">
        <f ca="1">VLOOKUP($A351,OFFSET([2]characters!$A$1,0,0,COUNTA([2]characters!$A:$A),MATCH(H$1,[2]characters!$1:$1,0)-MATCH($A$1,[2]characters!$1:$1,0)+1),MATCH(H$1,[2]characters!$1:$1,0)-MATCH($A$1,[2]characters!$1:$1,0)+1,FALSE)</f>
        <v>Material</v>
      </c>
      <c r="I351" s="77" t="str">
        <f ca="1">VLOOKUP($A351,OFFSET([2]characters!$A$1,0,0,COUNTA([2]characters!$A:$A),MATCH(I$1,[2]characters!$1:$1,0)-MATCH($A$1,[2]characters!$1:$1,0)+1),MATCH(I$1,[2]characters!$1:$1,0)-MATCH($A$1,[2]characters!$1:$1,0)+1,FALSE)</f>
        <v>green</v>
      </c>
      <c r="J351" s="14">
        <f ca="1">VLOOKUP(I351,[2]属性!$A:$E,2,FALSE)</f>
        <v>1.02</v>
      </c>
      <c r="K351" s="14">
        <f ca="1">VLOOKUP(I351,[2]属性!$A:$E,3,FALSE)</f>
        <v>0.98</v>
      </c>
      <c r="L351" s="14">
        <f ca="1">VLOOKUP(I351,[2]属性!$A:$E,4,FALSE)</f>
        <v>1</v>
      </c>
      <c r="M351" s="14">
        <f ca="1">VLOOKUP(I351,[2]属性!$A:$E,5,FALSE)</f>
        <v>1</v>
      </c>
      <c r="N351" s="14">
        <f ca="1">INDEX(コスト!$A$1:$I$20,MATCH(H351,コスト!$A$1:$A$20,FALSE),MATCH(G351,コスト!$A$1:$I$1,FALSE))</f>
        <v>99</v>
      </c>
      <c r="O351" s="104">
        <v>10</v>
      </c>
      <c r="P351" s="203">
        <v>10</v>
      </c>
      <c r="Q351" s="77" t="str">
        <f ca="1">VLOOKUP($A351,OFFSET([2]characters!$A$1,0,0,COUNTA([2]characters!$A:$A),MATCH(Q$1,[2]characters!$1:$1,0)-MATCH($A$1,[2]characters!$1:$1,0)+1),MATCH(Q$1,[2]characters!$1:$1,0)-MATCH($A$1,[2]characters!$1:$1,0)+1,FALSE)</f>
        <v>exp</v>
      </c>
      <c r="R351" s="8" t="str">
        <f ca="1">VLOOKUP(Q351,[2]character_type_i18n!$A:$H,3,FALSE)</f>
        <v>強化素材タイプ</v>
      </c>
      <c r="S351" s="14">
        <f ca="1">VLOOKUP(Q351,[2]character_type_i18n!$A:$H,4,FALSE)</f>
        <v>0.1</v>
      </c>
      <c r="T351" s="14">
        <f ca="1">VLOOKUP(Q351,[2]character_type_i18n!$A:$H,5,FALSE)</f>
        <v>0.05</v>
      </c>
      <c r="U351" s="14">
        <f ca="1">VLOOKUP(Q351,[2]character_type_i18n!$A:$H,6,FALSE)</f>
        <v>1</v>
      </c>
      <c r="V351" s="14">
        <f ca="1">VLOOKUP(Q351,[2]character_type_i18n!$A:$H,7,FALSE)</f>
        <v>0.05</v>
      </c>
      <c r="W351" s="77" t="str">
        <f ca="1">VLOOKUP($A351,OFFSET([2]characters!$A$1,0,0,COUNTA([2]characters!$A:$A),MATCH(W$1,[2]characters!$1:$1,0)-MATCH($A$1,[2]characters!$1:$1,0)+1),MATCH(W$1,[2]characters!$1:$1,0)-MATCH($A$1,[2]characters!$1:$1,0)+1,FALSE)</f>
        <v>unknown</v>
      </c>
      <c r="X351" s="8" t="str">
        <f ca="1">VLOOKUP(W351,[2]character_tribe_i18n!$A:$H,3,FALSE)</f>
        <v>Unknown</v>
      </c>
      <c r="Y351" s="77" t="str">
        <f ca="1">VLOOKUP($A351,OFFSET([2]characters!$A$1,0,0,COUNTA([2]characters!$A:$A),MATCH(Y$1,[2]characters!$1:$1,0)-MATCH($A$1,[2]characters!$1:$1,0)+1),MATCH(Y$1,[2]characters!$1:$1,0)-MATCH($A$1,[2]characters!$1:$1,0)+1,FALSE)</f>
        <v>none</v>
      </c>
      <c r="Z351" s="8" t="str">
        <f ca="1">VLOOKUP(Y351,[2]character_tribe_i18n!$A:$H,3,FALSE)</f>
        <v>種族なし</v>
      </c>
      <c r="AA351" s="14">
        <f ca="1">VLOOKUP(W351,[2]character_tribe_i18n!$A:$H,4,FALSE)</f>
        <v>1</v>
      </c>
      <c r="AB351" s="14">
        <f ca="1">VLOOKUP(W351,[2]character_tribe_i18n!$A:$H,5,FALSE)</f>
        <v>1</v>
      </c>
      <c r="AC351" s="14">
        <f ca="1">VLOOKUP(W351,[2]character_tribe_i18n!$A:$H,6,FALSE)</f>
        <v>1</v>
      </c>
      <c r="AD351" s="14">
        <f ca="1">VLOOKUP(W351,[2]character_tribe_i18n!$A:$H,7,FALSE)</f>
        <v>1</v>
      </c>
      <c r="AE351" s="12">
        <v>351</v>
      </c>
      <c r="AF351" s="85" t="str">
        <f ca="1">IF(AE351="NULL","",VLOOKUP($AE351,OFFSET([2]characters!$A$1,0,0,COUNTA([2]characters!$A:$A),MATCH(AF$1,[2]characters!$1:$1,0)-MATCH($A$1,[2]characters!$1:$1,0)+1),MATCH(AF$1,[2]characters!$1:$1,0)-MATCH($A$1,[2]characters!$1:$1,0)+1,FALSE))</f>
        <v>森のメタルフロッグ</v>
      </c>
      <c r="AG351" s="8">
        <f t="shared" ca="1" si="37"/>
        <v>350</v>
      </c>
      <c r="AH351" s="85" t="str">
        <f ca="1">VLOOKUP($AG351,OFFSET([2]characters!$A$1,0,0,COUNTA([2]characters!$A:$A),MATCH(AH$1,[2]characters!$1:$1,0)-MATCH($A$1,[2]characters!$1:$1,0)+1),MATCH(AH$1,[2]characters!$1:$1,0)-MATCH($A$1,[2]characters!$1:$1,0)+1,FALSE)</f>
        <v>森のケロケロ</v>
      </c>
      <c r="AI351" s="104">
        <v>10000</v>
      </c>
      <c r="AJ351" s="9">
        <v>2</v>
      </c>
      <c r="AK351" s="10" t="str">
        <f t="shared" si="43"/>
        <v>普通</v>
      </c>
      <c r="AL351" s="104" t="s">
        <v>237</v>
      </c>
      <c r="AM351" s="11">
        <v>1000</v>
      </c>
      <c r="AN351" s="21">
        <f ca="1">VLOOKUP(G351,ビット!$G$2:$H$7,2)</f>
        <v>900</v>
      </c>
      <c r="AO351" s="57"/>
      <c r="AP351" s="101">
        <v>990019</v>
      </c>
      <c r="AQ351" s="77" t="e">
        <f ca="1">VLOOKUP($AP351,OFFSET([1]unit_skills!$A$1,0,0,COUNTA([1]unit_skills!$A:$A),MATCH("name",[1]unit_skills!$1:$1,0)-MATCH($AP$1,[1]unit_skills!$1:$1,0)+1),MATCH("name",[1]unit_skills!$1:$1,0)-MATCH($AP$1,[1]unit_skills!$1:$1,0)+1,FALSE)</f>
        <v>#VALUE!</v>
      </c>
      <c r="AR351" s="77" t="e">
        <f ca="1">VLOOKUP($AP351,OFFSET([1]unit_skills!$A$1,0,0,COUNTA([1]unit_skills!$A:$A),MATCH("comment",[1]unit_skills!$1:$1,0)-MATCH($AP$1,[1]unit_skills!$1:$1,0)+1),MATCH("comment",[1]unit_skills!$1:$1,0)-MATCH($AP$1,[1]unit_skills!$1:$1,0)+1,FALSE)</f>
        <v>#VALUE!</v>
      </c>
      <c r="AS351" s="77" t="e">
        <f ca="1">VLOOKUP($AP351,OFFSET([1]unit_skills!$A$1,0,0,COUNTA([1]unit_skills!$A:$A),MATCH(AS$1,[1]unit_skills!$1:$1,0)-MATCH($AP$1,[1]unit_skills!$1:$1,0)+1),MATCH(AS$1,[1]unit_skills!$1:$1,0)-MATCH($AP$1,[1]unit_skills!$1:$1,0)+1,FALSE)</f>
        <v>#VALUE!</v>
      </c>
      <c r="AT351" s="53">
        <v>0</v>
      </c>
      <c r="AU351" s="77" t="e">
        <f ca="1">VLOOKUP($AT351,OFFSET([1]crash_skills!$A$1,0,0,COUNTA([1]crash_skills!$A:$A),MATCH("name",[1]crash_skills!$1:$1,0)-MATCH($AT$1,[1]crash_skills!$1:$1,0)+1),MATCH("name",[1]crash_skills!$1:$1,0)-MATCH($AT$1,[1]crash_skills!$1:$1,0)+1,FALSE)</f>
        <v>#VALUE!</v>
      </c>
      <c r="AV351" s="77" t="e">
        <f ca="1">VLOOKUP($AT351,OFFSET([1]crash_skills!$A$1,0,0,COUNTA([1]crash_skills!$A:$A),MATCH("comment",[1]crash_skills!$1:$1,0)-MATCH($AT$1,[1]crash_skills!$1:$1,0)+1),MATCH("comment",[1]crash_skills!$1:$1,0)-MATCH($AT$1,[1]crash_skills!$1:$1,0)+1,FALSE)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51" s="77" t="e">
        <f ca="1">VLOOKUP($AT351,OFFSET([1]crash_skills!$A$1,0,0,COUNTA([1]crash_skills!$A:$A),MATCH(AW$1,[1]crash_skills!$1:$1,0)-MATCH($AT$1,[1]crash_skills!$1:$1,0)+1),MATCH(AW$1,[1]crash_skills!$1:$1,0)-MATCH($AT$1,[1]crash_skills!$1:$1,0)+1,FALSE)</f>
        <v>#VALUE!</v>
      </c>
      <c r="AX351" s="81">
        <f ca="1">VLOOKUP($A351,OFFSET([2]characters!$A$1,0,0,COUNTA([2]characters!$A:$A),MATCH(AX$1,[2]characters!$1:$1,0)-MATCH($A$1,[2]characters!$1:$1,0)+1),MATCH(AX$1,[2]characters!$1:$1,0)-MATCH($A$1,[2]characters!$1:$1,0)+1,FALSE)</f>
        <v>3</v>
      </c>
      <c r="AY351" s="19">
        <v>1</v>
      </c>
      <c r="AZ351" s="19">
        <v>1</v>
      </c>
      <c r="BA351" s="19">
        <v>0</v>
      </c>
      <c r="BB351" s="19">
        <v>1</v>
      </c>
      <c r="BC351" s="14">
        <f ca="1">INDEX('RC6SV'!$A$1:$G$20,MATCH(H351,'RC6SV'!$A$1:$A$20,FALSE),MATCH(G351,'RC6SV'!$A$1:$G$1,FALSE))</f>
        <v>1000</v>
      </c>
      <c r="BD351" s="63">
        <f t="shared" ca="1" si="39"/>
        <v>1000</v>
      </c>
      <c r="BE351" s="14">
        <f t="shared" ca="1" si="40"/>
        <v>0</v>
      </c>
      <c r="BF351" s="14">
        <f t="shared" ca="1" si="41"/>
        <v>1</v>
      </c>
      <c r="BG351" s="20">
        <f ca="1">IF($BE351&lt;=0,ROUND(BK351*0.5,0), ROUND($BE351*S351*AA351*J351*AY351*0.8*[2]ステータス!$B$2,0))</f>
        <v>26</v>
      </c>
      <c r="BH351" s="20">
        <f ca="1">IF($BE351&lt;=0,ROUND(BL351*0.5,0), ROUND($BE351*T351*AB351*K351*AZ351*0.8*[2]ステータス!$C$2,0))</f>
        <v>8</v>
      </c>
      <c r="BI351" s="20">
        <f ca="1">IF($BE351&lt;=0,ROUND(BM351*0.5,0), ROUND($BE351*U351*AC351*L351*BA351*0.8*[2]ステータス!$D$2,0))</f>
        <v>0</v>
      </c>
      <c r="BJ351" s="20">
        <f ca="1">IF($BE351&lt;=0,ROUND(BN351*0.5,0), ROUND($BE351*V351*AD351*M351*BB351*0.8*[2]ステータス!$E$2,0))</f>
        <v>7</v>
      </c>
      <c r="BK351" s="14">
        <f ca="1">ROUND(BD351*S351*AA351*J351*AY351*[2]ステータス!$B$2,0)</f>
        <v>51</v>
      </c>
      <c r="BL351" s="14">
        <f ca="1">ROUND(BD351*T351*AB351*K351*AZ351*[2]ステータス!$C$2,0)</f>
        <v>15</v>
      </c>
      <c r="BM351" s="14">
        <f ca="1">ROUND(BD351*U351*AC351*L351*BA351*[2]ステータス!$D$2,0)</f>
        <v>0</v>
      </c>
      <c r="BN351" s="14">
        <f ca="1">ROUND(BD351*V351*AD351*M351*BB351*[2]ステータス!$E$2,0)</f>
        <v>13</v>
      </c>
      <c r="BO351" s="13">
        <v>0</v>
      </c>
      <c r="BP351" s="13">
        <v>1</v>
      </c>
      <c r="BQ351" s="49" t="s">
        <v>102</v>
      </c>
      <c r="BR351" s="13">
        <f ca="1">VLOOKUP(H351,ghosts_label!$A$2:$B$19,2,FALSE)</f>
        <v>0</v>
      </c>
    </row>
    <row r="352" spans="1:70" ht="21" customHeight="1" x14ac:dyDescent="0.15">
      <c r="A352" s="14">
        <f t="shared" ca="1" si="36"/>
        <v>351</v>
      </c>
      <c r="B352" s="77" t="str">
        <f ca="1">VLOOKUP($A352,OFFSET([2]characters!$A$1,0,0,COUNTA([2]characters!$A:$A),MATCH(B$1,[2]characters!$1:$1,0)-MATCH($A$1,[2]characters!$1:$1,0)+1),MATCH(B$1,[2]characters!$1:$1,0)-MATCH($A$1,[2]characters!$1:$1,0)+1,FALSE)</f>
        <v>森のメタルフロッグ</v>
      </c>
      <c r="C352" s="77" t="str">
        <f ca="1">VLOOKUP($A352,OFFSET([2]characters!$A$1,0,0,COUNTA([2]characters!$A:$A),MATCH(C$1,[2]characters!$1:$1,0)-MATCH($A$1,[2]characters!$1:$1,0)+1),MATCH(C$1,[2]characters!$1:$1,0)-MATCH($A$1,[2]characters!$1:$1,0)+1,FALSE)</f>
        <v>強化素材R4　緑</v>
      </c>
      <c r="D352" s="77" t="str">
        <f ca="1">VLOOKUP($A352,OFFSET([2]characters!$A$1,0,0,COUNTA([2]characters!$A:$A),MATCH(D$1,[2]characters!$1:$1,0)-MATCH($A$1,[2]characters!$1:$1,0)+1),MATCH(D$1,[2]characters!$1:$1,0)-MATCH($A$1,[2]characters!$1:$1,0)+1,FALSE)</f>
        <v>アリス</v>
      </c>
      <c r="E352" s="77" t="str">
        <f ca="1">VLOOKUP($A352,OFFSET([2]characters!$A$1,0,0,COUNTA([2]characters!$A:$A),MATCH(E$1,[2]characters!$1:$1,0)-MATCH($A$1,[2]characters!$1:$1,0)+1),MATCH(E$1,[2]characters!$1:$1,0)-MATCH($A$1,[2]characters!$1:$1,0)+1,FALSE)</f>
        <v>世界観</v>
      </c>
      <c r="F352" s="77" t="str">
        <f ca="1">VLOOKUP($A352,OFFSET([2]characters!$A$1,0,0,COUNTA([2]characters!$A:$A),MATCH(F$1,[2]characters!$1:$1,0)-MATCH($A$1,[2]characters!$1:$1,0)+1),MATCH(F$1,[2]characters!$1:$1,0)-MATCH($A$1,[2]characters!$1:$1,0)+1,FALSE)</f>
        <v>不明</v>
      </c>
      <c r="G352" s="77">
        <f ca="1">VLOOKUP($A352,OFFSET([2]characters!$A$1,0,0,COUNTA([2]characters!$A:$A),MATCH(G$1,[2]characters!$1:$1,0)-MATCH($A$1,[2]characters!$1:$1,0)+1),MATCH(G$1,[2]characters!$1:$1,0)-MATCH($A$1,[2]characters!$1:$1,0)+1,FALSE)</f>
        <v>6</v>
      </c>
      <c r="H352" s="77" t="str">
        <f ca="1">VLOOKUP($A352,OFFSET([2]characters!$A$1,0,0,COUNTA([2]characters!$A:$A),MATCH(H$1,[2]characters!$1:$1,0)-MATCH($A$1,[2]characters!$1:$1,0)+1),MATCH(H$1,[2]characters!$1:$1,0)-MATCH($A$1,[2]characters!$1:$1,0)+1,FALSE)</f>
        <v>Material</v>
      </c>
      <c r="I352" s="77" t="str">
        <f ca="1">VLOOKUP($A352,OFFSET([2]characters!$A$1,0,0,COUNTA([2]characters!$A:$A),MATCH(I$1,[2]characters!$1:$1,0)-MATCH($A$1,[2]characters!$1:$1,0)+1),MATCH(I$1,[2]characters!$1:$1,0)-MATCH($A$1,[2]characters!$1:$1,0)+1,FALSE)</f>
        <v>green</v>
      </c>
      <c r="J352" s="14">
        <f ca="1">VLOOKUP(I352,[2]属性!$A:$E,2,FALSE)</f>
        <v>1.02</v>
      </c>
      <c r="K352" s="14">
        <f ca="1">VLOOKUP(I352,[2]属性!$A:$E,3,FALSE)</f>
        <v>0.98</v>
      </c>
      <c r="L352" s="14">
        <f ca="1">VLOOKUP(I352,[2]属性!$A:$E,4,FALSE)</f>
        <v>1</v>
      </c>
      <c r="M352" s="14">
        <f ca="1">VLOOKUP(I352,[2]属性!$A:$E,5,FALSE)</f>
        <v>1</v>
      </c>
      <c r="N352" s="14">
        <f ca="1">INDEX(コスト!$A$1:$I$20,MATCH(H352,コスト!$A$1:$A$20,FALSE),MATCH(G352,コスト!$A$1:$I$1,FALSE))</f>
        <v>99</v>
      </c>
      <c r="O352" s="14">
        <f ca="1">INDEX(レベル!$A$1:$I$21,MATCH(H352,レベル!$A$1:$A$21,FALSE),MATCH(G352,レベル!$A$1:$I$1,FALSE))</f>
        <v>1</v>
      </c>
      <c r="P352" s="203">
        <v>10</v>
      </c>
      <c r="Q352" s="77" t="str">
        <f ca="1">VLOOKUP($A352,OFFSET([2]characters!$A$1,0,0,COUNTA([2]characters!$A:$A),MATCH(Q$1,[2]characters!$1:$1,0)-MATCH($A$1,[2]characters!$1:$1,0)+1),MATCH(Q$1,[2]characters!$1:$1,0)-MATCH($A$1,[2]characters!$1:$1,0)+1,FALSE)</f>
        <v>exp</v>
      </c>
      <c r="R352" s="8" t="str">
        <f ca="1">VLOOKUP(Q352,[2]character_type_i18n!$A:$H,3,FALSE)</f>
        <v>強化素材タイプ</v>
      </c>
      <c r="S352" s="14">
        <f ca="1">VLOOKUP(Q352,[2]character_type_i18n!$A:$H,4,FALSE)</f>
        <v>0.1</v>
      </c>
      <c r="T352" s="14">
        <f ca="1">VLOOKUP(Q352,[2]character_type_i18n!$A:$H,5,FALSE)</f>
        <v>0.05</v>
      </c>
      <c r="U352" s="14">
        <f ca="1">VLOOKUP(Q352,[2]character_type_i18n!$A:$H,6,FALSE)</f>
        <v>1</v>
      </c>
      <c r="V352" s="14">
        <f ca="1">VLOOKUP(Q352,[2]character_type_i18n!$A:$H,7,FALSE)</f>
        <v>0.05</v>
      </c>
      <c r="W352" s="77" t="str">
        <f ca="1">VLOOKUP($A352,OFFSET([2]characters!$A$1,0,0,COUNTA([2]characters!$A:$A),MATCH(W$1,[2]characters!$1:$1,0)-MATCH($A$1,[2]characters!$1:$1,0)+1),MATCH(W$1,[2]characters!$1:$1,0)-MATCH($A$1,[2]characters!$1:$1,0)+1,FALSE)</f>
        <v>unknown</v>
      </c>
      <c r="X352" s="8" t="str">
        <f ca="1">VLOOKUP(W352,[2]character_tribe_i18n!$A:$H,3,FALSE)</f>
        <v>Unknown</v>
      </c>
      <c r="Y352" s="77" t="str">
        <f ca="1">VLOOKUP($A352,OFFSET([2]characters!$A$1,0,0,COUNTA([2]characters!$A:$A),MATCH(Y$1,[2]characters!$1:$1,0)-MATCH($A$1,[2]characters!$1:$1,0)+1),MATCH(Y$1,[2]characters!$1:$1,0)-MATCH($A$1,[2]characters!$1:$1,0)+1,FALSE)</f>
        <v>none</v>
      </c>
      <c r="Z352" s="8" t="str">
        <f ca="1">VLOOKUP(Y352,[2]character_tribe_i18n!$A:$H,3,FALSE)</f>
        <v>種族なし</v>
      </c>
      <c r="AA352" s="14">
        <f ca="1">VLOOKUP(W352,[2]character_tribe_i18n!$A:$H,4,FALSE)</f>
        <v>1</v>
      </c>
      <c r="AB352" s="14">
        <f ca="1">VLOOKUP(W352,[2]character_tribe_i18n!$A:$H,5,FALSE)</f>
        <v>1</v>
      </c>
      <c r="AC352" s="14">
        <f ca="1">VLOOKUP(W352,[2]character_tribe_i18n!$A:$H,6,FALSE)</f>
        <v>1</v>
      </c>
      <c r="AD352" s="14">
        <f ca="1">VLOOKUP(W352,[2]character_tribe_i18n!$A:$H,7,FALSE)</f>
        <v>1</v>
      </c>
      <c r="AE352" s="12" t="s">
        <v>102</v>
      </c>
      <c r="AF352" s="85" t="str">
        <f ca="1">IF(AE352="NULL","",VLOOKUP($AE352,OFFSET([2]characters!$A$1,0,0,COUNTA([2]characters!$A:$A),MATCH(AF$1,[2]characters!$1:$1,0)-MATCH($A$1,[2]characters!$1:$1,0)+1),MATCH(AF$1,[2]characters!$1:$1,0)-MATCH($A$1,[2]characters!$1:$1,0)+1,FALSE))</f>
        <v/>
      </c>
      <c r="AG352" s="8">
        <f t="shared" ca="1" si="37"/>
        <v>350</v>
      </c>
      <c r="AH352" s="85" t="str">
        <f ca="1">VLOOKUP($AG352,OFFSET([2]characters!$A$1,0,0,COUNTA([2]characters!$A:$A),MATCH(AH$1,[2]characters!$1:$1,0)-MATCH($A$1,[2]characters!$1:$1,0)+1),MATCH(AH$1,[2]characters!$1:$1,0)-MATCH($A$1,[2]characters!$1:$1,0)+1,FALSE)</f>
        <v>森のケロケロ</v>
      </c>
      <c r="AI352" s="14" t="str">
        <f>IF(AE352="NULL","NULL",VLOOKUP(G352,ビット!$A$2:$B$7,2))</f>
        <v>NULL</v>
      </c>
      <c r="AJ352" s="9">
        <v>2</v>
      </c>
      <c r="AK352" s="10" t="str">
        <f t="shared" si="43"/>
        <v>普通</v>
      </c>
      <c r="AL352" s="14" t="str">
        <f ca="1">INDEX(経験値!$A$1:$I$20,MATCH(H352,経験値!$A$1:$A$20,FALSE),MATCH(G352,経験値!$A$1:$I$1,FALSE))</f>
        <v>NULL</v>
      </c>
      <c r="AM352" s="185">
        <v>100000</v>
      </c>
      <c r="AN352" s="21">
        <f ca="1">VLOOKUP(G352,ビット!$G$2:$H$7,2)</f>
        <v>900</v>
      </c>
      <c r="AO352" s="57"/>
      <c r="AP352" s="101">
        <v>990004</v>
      </c>
      <c r="AQ352" s="77" t="e">
        <f ca="1">VLOOKUP($AP352,OFFSET([1]unit_skills!$A$1,0,0,COUNTA([1]unit_skills!$A:$A),MATCH("name",[1]unit_skills!$1:$1,0)-MATCH($AP$1,[1]unit_skills!$1:$1,0)+1),MATCH("name",[1]unit_skills!$1:$1,0)-MATCH($AP$1,[1]unit_skills!$1:$1,0)+1,FALSE)</f>
        <v>#VALUE!</v>
      </c>
      <c r="AR352" s="77" t="e">
        <f ca="1">VLOOKUP($AP352,OFFSET([1]unit_skills!$A$1,0,0,COUNTA([1]unit_skills!$A:$A),MATCH("comment",[1]unit_skills!$1:$1,0)-MATCH($AP$1,[1]unit_skills!$1:$1,0)+1),MATCH("comment",[1]unit_skills!$1:$1,0)-MATCH($AP$1,[1]unit_skills!$1:$1,0)+1,FALSE)</f>
        <v>#VALUE!</v>
      </c>
      <c r="AS352" s="77" t="e">
        <f ca="1">VLOOKUP($AP352,OFFSET([1]unit_skills!$A$1,0,0,COUNTA([1]unit_skills!$A:$A),MATCH(AS$1,[1]unit_skills!$1:$1,0)-MATCH($AP$1,[1]unit_skills!$1:$1,0)+1),MATCH(AS$1,[1]unit_skills!$1:$1,0)-MATCH($AP$1,[1]unit_skills!$1:$1,0)+1,FALSE)</f>
        <v>#VALUE!</v>
      </c>
      <c r="AT352" s="53">
        <v>0</v>
      </c>
      <c r="AU352" s="77" t="e">
        <f ca="1">VLOOKUP($AT352,OFFSET([1]crash_skills!$A$1,0,0,COUNTA([1]crash_skills!$A:$A),MATCH("name",[1]crash_skills!$1:$1,0)-MATCH($AT$1,[1]crash_skills!$1:$1,0)+1),MATCH("name",[1]crash_skills!$1:$1,0)-MATCH($AT$1,[1]crash_skills!$1:$1,0)+1,FALSE)</f>
        <v>#VALUE!</v>
      </c>
      <c r="AV352" s="77" t="e">
        <f ca="1">VLOOKUP($AT352,OFFSET([1]crash_skills!$A$1,0,0,COUNTA([1]crash_skills!$A:$A),MATCH("comment",[1]crash_skills!$1:$1,0)-MATCH($AT$1,[1]crash_skills!$1:$1,0)+1),MATCH("comment",[1]crash_skills!$1:$1,0)-MATCH($AT$1,[1]crash_skills!$1:$1,0)+1,FALSE)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52" s="77" t="e">
        <f ca="1">VLOOKUP($AT352,OFFSET([1]crash_skills!$A$1,0,0,COUNTA([1]crash_skills!$A:$A),MATCH(AW$1,[1]crash_skills!$1:$1,0)-MATCH($AT$1,[1]crash_skills!$1:$1,0)+1),MATCH(AW$1,[1]crash_skills!$1:$1,0)-MATCH($AT$1,[1]crash_skills!$1:$1,0)+1,FALSE)</f>
        <v>#VALUE!</v>
      </c>
      <c r="AX352" s="81">
        <f ca="1">VLOOKUP($A352,OFFSET([2]characters!$A$1,0,0,COUNTA([2]characters!$A:$A),MATCH(AX$1,[2]characters!$1:$1,0)-MATCH($A$1,[2]characters!$1:$1,0)+1),MATCH(AX$1,[2]characters!$1:$1,0)-MATCH($A$1,[2]characters!$1:$1,0)+1,FALSE)</f>
        <v>3</v>
      </c>
      <c r="AY352" s="19">
        <v>1</v>
      </c>
      <c r="AZ352" s="19">
        <v>1</v>
      </c>
      <c r="BA352" s="19">
        <v>0</v>
      </c>
      <c r="BB352" s="19">
        <v>1</v>
      </c>
      <c r="BC352" s="14">
        <f ca="1">INDEX('RC6SV'!$A$1:$G$20,MATCH(H352,'RC6SV'!$A$1:$A$20,FALSE),MATCH(G352,'RC6SV'!$A$1:$G$1,FALSE))</f>
        <v>1000</v>
      </c>
      <c r="BD352" s="63">
        <f t="shared" ca="1" si="39"/>
        <v>1000</v>
      </c>
      <c r="BE352" s="14">
        <f t="shared" ca="1" si="40"/>
        <v>1000</v>
      </c>
      <c r="BF352" s="14">
        <f t="shared" ca="1" si="41"/>
        <v>1</v>
      </c>
      <c r="BG352" s="20">
        <f ca="1">IF($BE352&lt;=0,ROUND(BK352*0.5,0), ROUND($BE352*S352*AA352*J352*AY352*0.8*[2]ステータス!$B$2,0))</f>
        <v>41</v>
      </c>
      <c r="BH352" s="20">
        <f ca="1">IF($BE352&lt;=0,ROUND(BL352*0.5,0), ROUND($BE352*T352*AB352*K352*AZ352*0.8*[2]ステータス!$C$2,0))</f>
        <v>12</v>
      </c>
      <c r="BI352" s="20">
        <f ca="1">IF($BE352&lt;=0,ROUND(BM352*0.5,0), ROUND($BE352*U352*AC352*L352*BA352*0.8*[2]ステータス!$D$2,0))</f>
        <v>0</v>
      </c>
      <c r="BJ352" s="20">
        <f ca="1">IF($BE352&lt;=0,ROUND(BN352*0.5,0), ROUND($BE352*V352*AD352*M352*BB352*0.8*[2]ステータス!$E$2,0))</f>
        <v>10</v>
      </c>
      <c r="BK352" s="14">
        <f ca="1">ROUND(BD352*S352*AA352*J352*AY352*[2]ステータス!$B$2,0)</f>
        <v>51</v>
      </c>
      <c r="BL352" s="14">
        <f ca="1">ROUND(BD352*T352*AB352*K352*AZ352*[2]ステータス!$C$2,0)</f>
        <v>15</v>
      </c>
      <c r="BM352" s="14">
        <f ca="1">ROUND(BD352*U352*AC352*L352*BA352*[2]ステータス!$D$2,0)</f>
        <v>0</v>
      </c>
      <c r="BN352" s="14">
        <f ca="1">ROUND(BD352*V352*AD352*M352*BB352*[2]ステータス!$E$2,0)</f>
        <v>13</v>
      </c>
      <c r="BO352" s="13">
        <v>0</v>
      </c>
      <c r="BP352" s="13">
        <v>1</v>
      </c>
      <c r="BQ352" s="49" t="s">
        <v>102</v>
      </c>
      <c r="BR352" s="13">
        <f ca="1">VLOOKUP(H352,ghosts_label!$A$2:$B$19,2,FALSE)</f>
        <v>0</v>
      </c>
    </row>
    <row r="353" spans="1:70" ht="21" customHeight="1" x14ac:dyDescent="0.15">
      <c r="A353" s="14">
        <f t="shared" ca="1" si="36"/>
        <v>352</v>
      </c>
      <c r="B353" s="77" t="str">
        <f ca="1">VLOOKUP($A353,OFFSET([2]characters!$A$1,0,0,COUNTA([2]characters!$A:$A),MATCH(B$1,[2]characters!$1:$1,0)-MATCH($A$1,[2]characters!$1:$1,0)+1),MATCH(B$1,[2]characters!$1:$1,0)-MATCH($A$1,[2]characters!$1:$1,0)+1,FALSE)</f>
        <v>水のケロケロ</v>
      </c>
      <c r="C353" s="77" t="str">
        <f ca="1">VLOOKUP($A353,OFFSET([2]characters!$A$1,0,0,COUNTA([2]characters!$A:$A),MATCH(C$1,[2]characters!$1:$1,0)-MATCH($A$1,[2]characters!$1:$1,0)+1),MATCH(C$1,[2]characters!$1:$1,0)-MATCH($A$1,[2]characters!$1:$1,0)+1,FALSE)</f>
        <v>強化素材R2　青</v>
      </c>
      <c r="D353" s="77" t="str">
        <f ca="1">VLOOKUP($A353,OFFSET([2]characters!$A$1,0,0,COUNTA([2]characters!$A:$A),MATCH(D$1,[2]characters!$1:$1,0)-MATCH($A$1,[2]characters!$1:$1,0)+1),MATCH(D$1,[2]characters!$1:$1,0)-MATCH($A$1,[2]characters!$1:$1,0)+1,FALSE)</f>
        <v>アリス</v>
      </c>
      <c r="E353" s="77" t="str">
        <f ca="1">VLOOKUP($A353,OFFSET([2]characters!$A$1,0,0,COUNTA([2]characters!$A:$A),MATCH(E$1,[2]characters!$1:$1,0)-MATCH($A$1,[2]characters!$1:$1,0)+1),MATCH(E$1,[2]characters!$1:$1,0)-MATCH($A$1,[2]characters!$1:$1,0)+1,FALSE)</f>
        <v>世界観</v>
      </c>
      <c r="F353" s="77" t="str">
        <f ca="1">VLOOKUP($A353,OFFSET([2]characters!$A$1,0,0,COUNTA([2]characters!$A:$A),MATCH(F$1,[2]characters!$1:$1,0)-MATCH($A$1,[2]characters!$1:$1,0)+1),MATCH(F$1,[2]characters!$1:$1,0)-MATCH($A$1,[2]characters!$1:$1,0)+1,FALSE)</f>
        <v>不明</v>
      </c>
      <c r="G353" s="77">
        <f ca="1">VLOOKUP($A353,OFFSET([2]characters!$A$1,0,0,COUNTA([2]characters!$A:$A),MATCH(G$1,[2]characters!$1:$1,0)-MATCH($A$1,[2]characters!$1:$1,0)+1),MATCH(G$1,[2]characters!$1:$1,0)-MATCH($A$1,[2]characters!$1:$1,0)+1,FALSE)</f>
        <v>5</v>
      </c>
      <c r="H353" s="77" t="str">
        <f ca="1">VLOOKUP($A353,OFFSET([2]characters!$A$1,0,0,COUNTA([2]characters!$A:$A),MATCH(H$1,[2]characters!$1:$1,0)-MATCH($A$1,[2]characters!$1:$1,0)+1),MATCH(H$1,[2]characters!$1:$1,0)-MATCH($A$1,[2]characters!$1:$1,0)+1,FALSE)</f>
        <v>Material</v>
      </c>
      <c r="I353" s="77" t="str">
        <f ca="1">VLOOKUP($A353,OFFSET([2]characters!$A$1,0,0,COUNTA([2]characters!$A:$A),MATCH(I$1,[2]characters!$1:$1,0)-MATCH($A$1,[2]characters!$1:$1,0)+1),MATCH(I$1,[2]characters!$1:$1,0)-MATCH($A$1,[2]characters!$1:$1,0)+1,FALSE)</f>
        <v>blue</v>
      </c>
      <c r="J353" s="14">
        <f ca="1">VLOOKUP(I353,[2]属性!$A:$E,2,FALSE)</f>
        <v>1</v>
      </c>
      <c r="K353" s="14">
        <f ca="1">VLOOKUP(I353,[2]属性!$A:$E,3,FALSE)</f>
        <v>0.98</v>
      </c>
      <c r="L353" s="14">
        <f ca="1">VLOOKUP(I353,[2]属性!$A:$E,4,FALSE)</f>
        <v>1</v>
      </c>
      <c r="M353" s="14">
        <f ca="1">VLOOKUP(I353,[2]属性!$A:$E,5,FALSE)</f>
        <v>1.02</v>
      </c>
      <c r="N353" s="14">
        <f ca="1">INDEX(コスト!$A$1:$I$20,MATCH(H353,コスト!$A$1:$A$20,FALSE),MATCH(G353,コスト!$A$1:$I$1,FALSE))</f>
        <v>99</v>
      </c>
      <c r="O353" s="104">
        <v>10</v>
      </c>
      <c r="P353" s="203">
        <v>10</v>
      </c>
      <c r="Q353" s="77" t="str">
        <f ca="1">VLOOKUP($A353,OFFSET([2]characters!$A$1,0,0,COUNTA([2]characters!$A:$A),MATCH(Q$1,[2]characters!$1:$1,0)-MATCH($A$1,[2]characters!$1:$1,0)+1),MATCH(Q$1,[2]characters!$1:$1,0)-MATCH($A$1,[2]characters!$1:$1,0)+1,FALSE)</f>
        <v>exp</v>
      </c>
      <c r="R353" s="8" t="str">
        <f ca="1">VLOOKUP(Q353,[2]character_type_i18n!$A:$H,3,FALSE)</f>
        <v>強化素材タイプ</v>
      </c>
      <c r="S353" s="14">
        <f ca="1">VLOOKUP(Q353,[2]character_type_i18n!$A:$H,4,FALSE)</f>
        <v>0.1</v>
      </c>
      <c r="T353" s="14">
        <f ca="1">VLOOKUP(Q353,[2]character_type_i18n!$A:$H,5,FALSE)</f>
        <v>0.05</v>
      </c>
      <c r="U353" s="14">
        <f ca="1">VLOOKUP(Q353,[2]character_type_i18n!$A:$H,6,FALSE)</f>
        <v>1</v>
      </c>
      <c r="V353" s="14">
        <f ca="1">VLOOKUP(Q353,[2]character_type_i18n!$A:$H,7,FALSE)</f>
        <v>0.05</v>
      </c>
      <c r="W353" s="77" t="str">
        <f ca="1">VLOOKUP($A353,OFFSET([2]characters!$A$1,0,0,COUNTA([2]characters!$A:$A),MATCH(W$1,[2]characters!$1:$1,0)-MATCH($A$1,[2]characters!$1:$1,0)+1),MATCH(W$1,[2]characters!$1:$1,0)-MATCH($A$1,[2]characters!$1:$1,0)+1,FALSE)</f>
        <v>unknown</v>
      </c>
      <c r="X353" s="8" t="str">
        <f ca="1">VLOOKUP(W353,[2]character_tribe_i18n!$A:$H,3,FALSE)</f>
        <v>Unknown</v>
      </c>
      <c r="Y353" s="77" t="str">
        <f ca="1">VLOOKUP($A353,OFFSET([2]characters!$A$1,0,0,COUNTA([2]characters!$A:$A),MATCH(Y$1,[2]characters!$1:$1,0)-MATCH($A$1,[2]characters!$1:$1,0)+1),MATCH(Y$1,[2]characters!$1:$1,0)-MATCH($A$1,[2]characters!$1:$1,0)+1,FALSE)</f>
        <v>none</v>
      </c>
      <c r="Z353" s="8" t="str">
        <f ca="1">VLOOKUP(Y353,[2]character_tribe_i18n!$A:$H,3,FALSE)</f>
        <v>種族なし</v>
      </c>
      <c r="AA353" s="14">
        <f ca="1">VLOOKUP(W353,[2]character_tribe_i18n!$A:$H,4,FALSE)</f>
        <v>1</v>
      </c>
      <c r="AB353" s="14">
        <f ca="1">VLOOKUP(W353,[2]character_tribe_i18n!$A:$H,5,FALSE)</f>
        <v>1</v>
      </c>
      <c r="AC353" s="14">
        <f ca="1">VLOOKUP(W353,[2]character_tribe_i18n!$A:$H,6,FALSE)</f>
        <v>1</v>
      </c>
      <c r="AD353" s="14">
        <f ca="1">VLOOKUP(W353,[2]character_tribe_i18n!$A:$H,7,FALSE)</f>
        <v>1</v>
      </c>
      <c r="AE353" s="12">
        <v>353</v>
      </c>
      <c r="AF353" s="85" t="str">
        <f ca="1">IF(AE353="NULL","",VLOOKUP($AE353,OFFSET([2]characters!$A$1,0,0,COUNTA([2]characters!$A:$A),MATCH(AF$1,[2]characters!$1:$1,0)-MATCH($A$1,[2]characters!$1:$1,0)+1),MATCH(AF$1,[2]characters!$1:$1,0)-MATCH($A$1,[2]characters!$1:$1,0)+1,FALSE))</f>
        <v>水のメタルフロッグ</v>
      </c>
      <c r="AG353" s="8">
        <f t="shared" ca="1" si="37"/>
        <v>352</v>
      </c>
      <c r="AH353" s="85" t="str">
        <f ca="1">VLOOKUP($AG353,OFFSET([2]characters!$A$1,0,0,COUNTA([2]characters!$A:$A),MATCH(AH$1,[2]characters!$1:$1,0)-MATCH($A$1,[2]characters!$1:$1,0)+1),MATCH(AH$1,[2]characters!$1:$1,0)-MATCH($A$1,[2]characters!$1:$1,0)+1,FALSE)</f>
        <v>水のケロケロ</v>
      </c>
      <c r="AI353" s="104">
        <v>10000</v>
      </c>
      <c r="AJ353" s="9">
        <v>2</v>
      </c>
      <c r="AK353" s="10" t="str">
        <f t="shared" si="43"/>
        <v>普通</v>
      </c>
      <c r="AL353" s="104" t="s">
        <v>237</v>
      </c>
      <c r="AM353" s="11">
        <v>1000</v>
      </c>
      <c r="AN353" s="21">
        <f ca="1">VLOOKUP(G353,ビット!$G$2:$H$7,2)</f>
        <v>900</v>
      </c>
      <c r="AO353" s="57"/>
      <c r="AP353" s="101">
        <v>990019</v>
      </c>
      <c r="AQ353" s="77" t="e">
        <f ca="1">VLOOKUP($AP353,OFFSET([1]unit_skills!$A$1,0,0,COUNTA([1]unit_skills!$A:$A),MATCH("name",[1]unit_skills!$1:$1,0)-MATCH($AP$1,[1]unit_skills!$1:$1,0)+1),MATCH("name",[1]unit_skills!$1:$1,0)-MATCH($AP$1,[1]unit_skills!$1:$1,0)+1,FALSE)</f>
        <v>#VALUE!</v>
      </c>
      <c r="AR353" s="77" t="e">
        <f ca="1">VLOOKUP($AP353,OFFSET([1]unit_skills!$A$1,0,0,COUNTA([1]unit_skills!$A:$A),MATCH("comment",[1]unit_skills!$1:$1,0)-MATCH($AP$1,[1]unit_skills!$1:$1,0)+1),MATCH("comment",[1]unit_skills!$1:$1,0)-MATCH($AP$1,[1]unit_skills!$1:$1,0)+1,FALSE)</f>
        <v>#VALUE!</v>
      </c>
      <c r="AS353" s="77" t="e">
        <f ca="1">VLOOKUP($AP353,OFFSET([1]unit_skills!$A$1,0,0,COUNTA([1]unit_skills!$A:$A),MATCH(AS$1,[1]unit_skills!$1:$1,0)-MATCH($AP$1,[1]unit_skills!$1:$1,0)+1),MATCH(AS$1,[1]unit_skills!$1:$1,0)-MATCH($AP$1,[1]unit_skills!$1:$1,0)+1,FALSE)</f>
        <v>#VALUE!</v>
      </c>
      <c r="AT353" s="53">
        <v>0</v>
      </c>
      <c r="AU353" s="77" t="e">
        <f ca="1">VLOOKUP($AT353,OFFSET([1]crash_skills!$A$1,0,0,COUNTA([1]crash_skills!$A:$A),MATCH("name",[1]crash_skills!$1:$1,0)-MATCH($AT$1,[1]crash_skills!$1:$1,0)+1),MATCH("name",[1]crash_skills!$1:$1,0)-MATCH($AT$1,[1]crash_skills!$1:$1,0)+1,FALSE)</f>
        <v>#VALUE!</v>
      </c>
      <c r="AV353" s="77" t="e">
        <f ca="1">VLOOKUP($AT353,OFFSET([1]crash_skills!$A$1,0,0,COUNTA([1]crash_skills!$A:$A),MATCH("comment",[1]crash_skills!$1:$1,0)-MATCH($AT$1,[1]crash_skills!$1:$1,0)+1),MATCH("comment",[1]crash_skills!$1:$1,0)-MATCH($AT$1,[1]crash_skills!$1:$1,0)+1,FALSE)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53" s="77" t="e">
        <f ca="1">VLOOKUP($AT353,OFFSET([1]crash_skills!$A$1,0,0,COUNTA([1]crash_skills!$A:$A),MATCH(AW$1,[1]crash_skills!$1:$1,0)-MATCH($AT$1,[1]crash_skills!$1:$1,0)+1),MATCH(AW$1,[1]crash_skills!$1:$1,0)-MATCH($AT$1,[1]crash_skills!$1:$1,0)+1,FALSE)</f>
        <v>#VALUE!</v>
      </c>
      <c r="AX353" s="81">
        <f ca="1">VLOOKUP($A353,OFFSET([2]characters!$A$1,0,0,COUNTA([2]characters!$A:$A),MATCH(AX$1,[2]characters!$1:$1,0)-MATCH($A$1,[2]characters!$1:$1,0)+1),MATCH(AX$1,[2]characters!$1:$1,0)-MATCH($A$1,[2]characters!$1:$1,0)+1,FALSE)</f>
        <v>3</v>
      </c>
      <c r="AY353" s="19">
        <v>1</v>
      </c>
      <c r="AZ353" s="19">
        <v>1</v>
      </c>
      <c r="BA353" s="19">
        <v>0</v>
      </c>
      <c r="BB353" s="19">
        <v>1</v>
      </c>
      <c r="BC353" s="14">
        <f ca="1">INDEX('RC6SV'!$A$1:$G$20,MATCH(H353,'RC6SV'!$A$1:$A$20,FALSE),MATCH(G353,'RC6SV'!$A$1:$G$1,FALSE))</f>
        <v>1000</v>
      </c>
      <c r="BD353" s="63">
        <f t="shared" ca="1" si="39"/>
        <v>1000</v>
      </c>
      <c r="BE353" s="14">
        <f t="shared" ca="1" si="40"/>
        <v>0</v>
      </c>
      <c r="BF353" s="14">
        <f t="shared" ca="1" si="41"/>
        <v>1</v>
      </c>
      <c r="BG353" s="20">
        <f ca="1">IF($BE353&lt;=0,ROUND(BK353*0.5,0), ROUND($BE353*S353*AA353*J353*AY353*0.8*[2]ステータス!$B$2,0))</f>
        <v>25</v>
      </c>
      <c r="BH353" s="20">
        <f ca="1">IF($BE353&lt;=0,ROUND(BL353*0.5,0), ROUND($BE353*T353*AB353*K353*AZ353*0.8*[2]ステータス!$C$2,0))</f>
        <v>8</v>
      </c>
      <c r="BI353" s="20">
        <f ca="1">IF($BE353&lt;=0,ROUND(BM353*0.5,0), ROUND($BE353*U353*AC353*L353*BA353*0.8*[2]ステータス!$D$2,0))</f>
        <v>0</v>
      </c>
      <c r="BJ353" s="20">
        <f ca="1">IF($BE353&lt;=0,ROUND(BN353*0.5,0), ROUND($BE353*V353*AD353*M353*BB353*0.8*[2]ステータス!$E$2,0))</f>
        <v>7</v>
      </c>
      <c r="BK353" s="14">
        <f ca="1">ROUND(BD353*S353*AA353*J353*AY353*[2]ステータス!$B$2,0)</f>
        <v>50</v>
      </c>
      <c r="BL353" s="14">
        <f ca="1">ROUND(BD353*T353*AB353*K353*AZ353*[2]ステータス!$C$2,0)</f>
        <v>15</v>
      </c>
      <c r="BM353" s="14">
        <f ca="1">ROUND(BD353*U353*AC353*L353*BA353*[2]ステータス!$D$2,0)</f>
        <v>0</v>
      </c>
      <c r="BN353" s="14">
        <f ca="1">ROUND(BD353*V353*AD353*M353*BB353*[2]ステータス!$E$2,0)</f>
        <v>13</v>
      </c>
      <c r="BO353" s="13">
        <v>0</v>
      </c>
      <c r="BP353" s="13">
        <v>1</v>
      </c>
      <c r="BQ353" s="49" t="s">
        <v>102</v>
      </c>
      <c r="BR353" s="13">
        <f ca="1">VLOOKUP(H353,ghosts_label!$A$2:$B$19,2,FALSE)</f>
        <v>0</v>
      </c>
    </row>
    <row r="354" spans="1:70" ht="21" customHeight="1" x14ac:dyDescent="0.15">
      <c r="A354" s="14">
        <f t="shared" ca="1" si="36"/>
        <v>353</v>
      </c>
      <c r="B354" s="77" t="str">
        <f ca="1">VLOOKUP($A354,OFFSET([2]characters!$A$1,0,0,COUNTA([2]characters!$A:$A),MATCH(B$1,[2]characters!$1:$1,0)-MATCH($A$1,[2]characters!$1:$1,0)+1),MATCH(B$1,[2]characters!$1:$1,0)-MATCH($A$1,[2]characters!$1:$1,0)+1,FALSE)</f>
        <v>水のメタルフロッグ</v>
      </c>
      <c r="C354" s="77" t="str">
        <f ca="1">VLOOKUP($A354,OFFSET([2]characters!$A$1,0,0,COUNTA([2]characters!$A:$A),MATCH(C$1,[2]characters!$1:$1,0)-MATCH($A$1,[2]characters!$1:$1,0)+1),MATCH(C$1,[2]characters!$1:$1,0)-MATCH($A$1,[2]characters!$1:$1,0)+1,FALSE)</f>
        <v>強化素材R4　青</v>
      </c>
      <c r="D354" s="77" t="str">
        <f ca="1">VLOOKUP($A354,OFFSET([2]characters!$A$1,0,0,COUNTA([2]characters!$A:$A),MATCH(D$1,[2]characters!$1:$1,0)-MATCH($A$1,[2]characters!$1:$1,0)+1),MATCH(D$1,[2]characters!$1:$1,0)-MATCH($A$1,[2]characters!$1:$1,0)+1,FALSE)</f>
        <v>アリス</v>
      </c>
      <c r="E354" s="77" t="str">
        <f ca="1">VLOOKUP($A354,OFFSET([2]characters!$A$1,0,0,COUNTA([2]characters!$A:$A),MATCH(E$1,[2]characters!$1:$1,0)-MATCH($A$1,[2]characters!$1:$1,0)+1),MATCH(E$1,[2]characters!$1:$1,0)-MATCH($A$1,[2]characters!$1:$1,0)+1,FALSE)</f>
        <v>世界観</v>
      </c>
      <c r="F354" s="77" t="str">
        <f ca="1">VLOOKUP($A354,OFFSET([2]characters!$A$1,0,0,COUNTA([2]characters!$A:$A),MATCH(F$1,[2]characters!$1:$1,0)-MATCH($A$1,[2]characters!$1:$1,0)+1),MATCH(F$1,[2]characters!$1:$1,0)-MATCH($A$1,[2]characters!$1:$1,0)+1,FALSE)</f>
        <v>不明</v>
      </c>
      <c r="G354" s="77">
        <f ca="1">VLOOKUP($A354,OFFSET([2]characters!$A$1,0,0,COUNTA([2]characters!$A:$A),MATCH(G$1,[2]characters!$1:$1,0)-MATCH($A$1,[2]characters!$1:$1,0)+1),MATCH(G$1,[2]characters!$1:$1,0)-MATCH($A$1,[2]characters!$1:$1,0)+1,FALSE)</f>
        <v>6</v>
      </c>
      <c r="H354" s="77" t="str">
        <f ca="1">VLOOKUP($A354,OFFSET([2]characters!$A$1,0,0,COUNTA([2]characters!$A:$A),MATCH(H$1,[2]characters!$1:$1,0)-MATCH($A$1,[2]characters!$1:$1,0)+1),MATCH(H$1,[2]characters!$1:$1,0)-MATCH($A$1,[2]characters!$1:$1,0)+1,FALSE)</f>
        <v>Material</v>
      </c>
      <c r="I354" s="77" t="str">
        <f ca="1">VLOOKUP($A354,OFFSET([2]characters!$A$1,0,0,COUNTA([2]characters!$A:$A),MATCH(I$1,[2]characters!$1:$1,0)-MATCH($A$1,[2]characters!$1:$1,0)+1),MATCH(I$1,[2]characters!$1:$1,0)-MATCH($A$1,[2]characters!$1:$1,0)+1,FALSE)</f>
        <v>blue</v>
      </c>
      <c r="J354" s="14">
        <f ca="1">VLOOKUP(I354,[2]属性!$A:$E,2,FALSE)</f>
        <v>1</v>
      </c>
      <c r="K354" s="14">
        <f ca="1">VLOOKUP(I354,[2]属性!$A:$E,3,FALSE)</f>
        <v>0.98</v>
      </c>
      <c r="L354" s="14">
        <f ca="1">VLOOKUP(I354,[2]属性!$A:$E,4,FALSE)</f>
        <v>1</v>
      </c>
      <c r="M354" s="14">
        <f ca="1">VLOOKUP(I354,[2]属性!$A:$E,5,FALSE)</f>
        <v>1.02</v>
      </c>
      <c r="N354" s="14">
        <f ca="1">INDEX(コスト!$A$1:$I$20,MATCH(H354,コスト!$A$1:$A$20,FALSE),MATCH(G354,コスト!$A$1:$I$1,FALSE))</f>
        <v>99</v>
      </c>
      <c r="O354" s="14">
        <f ca="1">INDEX(レベル!$A$1:$I$21,MATCH(H354,レベル!$A$1:$A$21,FALSE),MATCH(G354,レベル!$A$1:$I$1,FALSE))</f>
        <v>1</v>
      </c>
      <c r="P354" s="203">
        <v>10</v>
      </c>
      <c r="Q354" s="77" t="str">
        <f ca="1">VLOOKUP($A354,OFFSET([2]characters!$A$1,0,0,COUNTA([2]characters!$A:$A),MATCH(Q$1,[2]characters!$1:$1,0)-MATCH($A$1,[2]characters!$1:$1,0)+1),MATCH(Q$1,[2]characters!$1:$1,0)-MATCH($A$1,[2]characters!$1:$1,0)+1,FALSE)</f>
        <v>exp</v>
      </c>
      <c r="R354" s="8" t="str">
        <f ca="1">VLOOKUP(Q354,[2]character_type_i18n!$A:$H,3,FALSE)</f>
        <v>強化素材タイプ</v>
      </c>
      <c r="S354" s="14">
        <f ca="1">VLOOKUP(Q354,[2]character_type_i18n!$A:$H,4,FALSE)</f>
        <v>0.1</v>
      </c>
      <c r="T354" s="14">
        <f ca="1">VLOOKUP(Q354,[2]character_type_i18n!$A:$H,5,FALSE)</f>
        <v>0.05</v>
      </c>
      <c r="U354" s="14">
        <f ca="1">VLOOKUP(Q354,[2]character_type_i18n!$A:$H,6,FALSE)</f>
        <v>1</v>
      </c>
      <c r="V354" s="14">
        <f ca="1">VLOOKUP(Q354,[2]character_type_i18n!$A:$H,7,FALSE)</f>
        <v>0.05</v>
      </c>
      <c r="W354" s="77" t="str">
        <f ca="1">VLOOKUP($A354,OFFSET([2]characters!$A$1,0,0,COUNTA([2]characters!$A:$A),MATCH(W$1,[2]characters!$1:$1,0)-MATCH($A$1,[2]characters!$1:$1,0)+1),MATCH(W$1,[2]characters!$1:$1,0)-MATCH($A$1,[2]characters!$1:$1,0)+1,FALSE)</f>
        <v>unknown</v>
      </c>
      <c r="X354" s="8" t="str">
        <f ca="1">VLOOKUP(W354,[2]character_tribe_i18n!$A:$H,3,FALSE)</f>
        <v>Unknown</v>
      </c>
      <c r="Y354" s="77" t="str">
        <f ca="1">VLOOKUP($A354,OFFSET([2]characters!$A$1,0,0,COUNTA([2]characters!$A:$A),MATCH(Y$1,[2]characters!$1:$1,0)-MATCH($A$1,[2]characters!$1:$1,0)+1),MATCH(Y$1,[2]characters!$1:$1,0)-MATCH($A$1,[2]characters!$1:$1,0)+1,FALSE)</f>
        <v>none</v>
      </c>
      <c r="Z354" s="8" t="str">
        <f ca="1">VLOOKUP(Y354,[2]character_tribe_i18n!$A:$H,3,FALSE)</f>
        <v>種族なし</v>
      </c>
      <c r="AA354" s="14">
        <f ca="1">VLOOKUP(W354,[2]character_tribe_i18n!$A:$H,4,FALSE)</f>
        <v>1</v>
      </c>
      <c r="AB354" s="14">
        <f ca="1">VLOOKUP(W354,[2]character_tribe_i18n!$A:$H,5,FALSE)</f>
        <v>1</v>
      </c>
      <c r="AC354" s="14">
        <f ca="1">VLOOKUP(W354,[2]character_tribe_i18n!$A:$H,6,FALSE)</f>
        <v>1</v>
      </c>
      <c r="AD354" s="14">
        <f ca="1">VLOOKUP(W354,[2]character_tribe_i18n!$A:$H,7,FALSE)</f>
        <v>1</v>
      </c>
      <c r="AE354" s="12" t="s">
        <v>102</v>
      </c>
      <c r="AF354" s="85" t="str">
        <f ca="1">IF(AE354="NULL","",VLOOKUP($AE354,OFFSET([2]characters!$A$1,0,0,COUNTA([2]characters!$A:$A),MATCH(AF$1,[2]characters!$1:$1,0)-MATCH($A$1,[2]characters!$1:$1,0)+1),MATCH(AF$1,[2]characters!$1:$1,0)-MATCH($A$1,[2]characters!$1:$1,0)+1,FALSE))</f>
        <v/>
      </c>
      <c r="AG354" s="8">
        <f t="shared" ca="1" si="37"/>
        <v>352</v>
      </c>
      <c r="AH354" s="85" t="str">
        <f ca="1">VLOOKUP($AG354,OFFSET([2]characters!$A$1,0,0,COUNTA([2]characters!$A:$A),MATCH(AH$1,[2]characters!$1:$1,0)-MATCH($A$1,[2]characters!$1:$1,0)+1),MATCH(AH$1,[2]characters!$1:$1,0)-MATCH($A$1,[2]characters!$1:$1,0)+1,FALSE)</f>
        <v>水のケロケロ</v>
      </c>
      <c r="AI354" s="14" t="str">
        <f>IF(AE354="NULL","NULL",VLOOKUP(G354,ビット!$A$2:$B$7,2))</f>
        <v>NULL</v>
      </c>
      <c r="AJ354" s="9">
        <v>2</v>
      </c>
      <c r="AK354" s="10" t="str">
        <f>IF(AJ354=1,"早熟",IF(AJ354=2,"普通",IF(AJ354=3,"晩成","")))</f>
        <v>普通</v>
      </c>
      <c r="AL354" s="14" t="str">
        <f ca="1">INDEX(経験値!$A$1:$I$20,MATCH(H354,経験値!$A$1:$A$20,FALSE),MATCH(G354,経験値!$A$1:$I$1,FALSE))</f>
        <v>NULL</v>
      </c>
      <c r="AM354" s="185">
        <v>100000</v>
      </c>
      <c r="AN354" s="21">
        <f ca="1">VLOOKUP(G354,ビット!$G$2:$H$7,2)</f>
        <v>900</v>
      </c>
      <c r="AO354" s="57"/>
      <c r="AP354" s="101">
        <v>990004</v>
      </c>
      <c r="AQ354" s="77" t="e">
        <f ca="1">VLOOKUP($AP354,OFFSET([1]unit_skills!$A$1,0,0,COUNTA([1]unit_skills!$A:$A),MATCH("name",[1]unit_skills!$1:$1,0)-MATCH($AP$1,[1]unit_skills!$1:$1,0)+1),MATCH("name",[1]unit_skills!$1:$1,0)-MATCH($AP$1,[1]unit_skills!$1:$1,0)+1,FALSE)</f>
        <v>#VALUE!</v>
      </c>
      <c r="AR354" s="77" t="e">
        <f ca="1">VLOOKUP($AP354,OFFSET([1]unit_skills!$A$1,0,0,COUNTA([1]unit_skills!$A:$A),MATCH("comment",[1]unit_skills!$1:$1,0)-MATCH($AP$1,[1]unit_skills!$1:$1,0)+1),MATCH("comment",[1]unit_skills!$1:$1,0)-MATCH($AP$1,[1]unit_skills!$1:$1,0)+1,FALSE)</f>
        <v>#VALUE!</v>
      </c>
      <c r="AS354" s="77" t="e">
        <f ca="1">VLOOKUP($AP354,OFFSET([1]unit_skills!$A$1,0,0,COUNTA([1]unit_skills!$A:$A),MATCH(AS$1,[1]unit_skills!$1:$1,0)-MATCH($AP$1,[1]unit_skills!$1:$1,0)+1),MATCH(AS$1,[1]unit_skills!$1:$1,0)-MATCH($AP$1,[1]unit_skills!$1:$1,0)+1,FALSE)</f>
        <v>#VALUE!</v>
      </c>
      <c r="AT354" s="53">
        <v>0</v>
      </c>
      <c r="AU354" s="77" t="e">
        <f ca="1">VLOOKUP($AT354,OFFSET([1]crash_skills!$A$1,0,0,COUNTA([1]crash_skills!$A:$A),MATCH("name",[1]crash_skills!$1:$1,0)-MATCH($AT$1,[1]crash_skills!$1:$1,0)+1),MATCH("name",[1]crash_skills!$1:$1,0)-MATCH($AT$1,[1]crash_skills!$1:$1,0)+1,FALSE)</f>
        <v>#VALUE!</v>
      </c>
      <c r="AV354" s="77" t="e">
        <f ca="1">VLOOKUP($AT354,OFFSET([1]crash_skills!$A$1,0,0,COUNTA([1]crash_skills!$A:$A),MATCH("comment",[1]crash_skills!$1:$1,0)-MATCH($AT$1,[1]crash_skills!$1:$1,0)+1),MATCH("comment",[1]crash_skills!$1:$1,0)-MATCH($AT$1,[1]crash_skills!$1:$1,0)+1,FALSE)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54" s="77" t="e">
        <f ca="1">VLOOKUP($AT354,OFFSET([1]crash_skills!$A$1,0,0,COUNTA([1]crash_skills!$A:$A),MATCH(AW$1,[1]crash_skills!$1:$1,0)-MATCH($AT$1,[1]crash_skills!$1:$1,0)+1),MATCH(AW$1,[1]crash_skills!$1:$1,0)-MATCH($AT$1,[1]crash_skills!$1:$1,0)+1,FALSE)</f>
        <v>#VALUE!</v>
      </c>
      <c r="AX354" s="81">
        <f ca="1">VLOOKUP($A354,OFFSET([2]characters!$A$1,0,0,COUNTA([2]characters!$A:$A),MATCH(AX$1,[2]characters!$1:$1,0)-MATCH($A$1,[2]characters!$1:$1,0)+1),MATCH(AX$1,[2]characters!$1:$1,0)-MATCH($A$1,[2]characters!$1:$1,0)+1,FALSE)</f>
        <v>3</v>
      </c>
      <c r="AY354" s="19">
        <v>1</v>
      </c>
      <c r="AZ354" s="19">
        <v>1</v>
      </c>
      <c r="BA354" s="19">
        <v>0</v>
      </c>
      <c r="BB354" s="19">
        <v>1</v>
      </c>
      <c r="BC354" s="14">
        <f ca="1">INDEX('RC6SV'!$A$1:$G$20,MATCH(H354,'RC6SV'!$A$1:$A$20,FALSE),MATCH(G354,'RC6SV'!$A$1:$G$1,FALSE))</f>
        <v>1000</v>
      </c>
      <c r="BD354" s="63">
        <f t="shared" ca="1" si="39"/>
        <v>1000</v>
      </c>
      <c r="BE354" s="14">
        <f t="shared" ca="1" si="40"/>
        <v>1000</v>
      </c>
      <c r="BF354" s="14">
        <f t="shared" ca="1" si="41"/>
        <v>1</v>
      </c>
      <c r="BG354" s="20">
        <f ca="1">IF($BE354&lt;=0,ROUND(BK354*0.5,0), ROUND($BE354*S354*AA354*J354*AY354*0.8*[2]ステータス!$B$2,0))</f>
        <v>40</v>
      </c>
      <c r="BH354" s="20">
        <f ca="1">IF($BE354&lt;=0,ROUND(BL354*0.5,0), ROUND($BE354*T354*AB354*K354*AZ354*0.8*[2]ステータス!$C$2,0))</f>
        <v>12</v>
      </c>
      <c r="BI354" s="20">
        <f ca="1">IF($BE354&lt;=0,ROUND(BM354*0.5,0), ROUND($BE354*U354*AC354*L354*BA354*0.8*[2]ステータス!$D$2,0))</f>
        <v>0</v>
      </c>
      <c r="BJ354" s="20">
        <f ca="1">IF($BE354&lt;=0,ROUND(BN354*0.5,0), ROUND($BE354*V354*AD354*M354*BB354*0.8*[2]ステータス!$E$2,0))</f>
        <v>10</v>
      </c>
      <c r="BK354" s="14">
        <f ca="1">ROUND(BD354*S354*AA354*J354*AY354*[2]ステータス!$B$2,0)</f>
        <v>50</v>
      </c>
      <c r="BL354" s="14">
        <f ca="1">ROUND(BD354*T354*AB354*K354*AZ354*[2]ステータス!$C$2,0)</f>
        <v>15</v>
      </c>
      <c r="BM354" s="14">
        <f ca="1">ROUND(BD354*U354*AC354*L354*BA354*[2]ステータス!$D$2,0)</f>
        <v>0</v>
      </c>
      <c r="BN354" s="14">
        <f ca="1">ROUND(BD354*V354*AD354*M354*BB354*[2]ステータス!$E$2,0)</f>
        <v>13</v>
      </c>
      <c r="BO354" s="13">
        <v>0</v>
      </c>
      <c r="BP354" s="13">
        <v>1</v>
      </c>
      <c r="BQ354" s="49" t="s">
        <v>102</v>
      </c>
      <c r="BR354" s="13">
        <f ca="1">VLOOKUP(H354,ghosts_label!$A$2:$B$19,2,FALSE)</f>
        <v>0</v>
      </c>
    </row>
    <row r="355" spans="1:70" ht="21" customHeight="1" x14ac:dyDescent="0.15">
      <c r="A355" s="14">
        <f t="shared" ca="1" si="36"/>
        <v>354</v>
      </c>
      <c r="B355" s="77" t="str">
        <f ca="1">VLOOKUP($A355,OFFSET([2]characters!$A$1,0,0,COUNTA([2]characters!$A:$A),MATCH(B$1,[2]characters!$1:$1,0)-MATCH($A$1,[2]characters!$1:$1,0)+1),MATCH(B$1,[2]characters!$1:$1,0)-MATCH($A$1,[2]characters!$1:$1,0)+1,FALSE)</f>
        <v>雷のケロケロ</v>
      </c>
      <c r="C355" s="77" t="str">
        <f ca="1">VLOOKUP($A355,OFFSET([2]characters!$A$1,0,0,COUNTA([2]characters!$A:$A),MATCH(C$1,[2]characters!$1:$1,0)-MATCH($A$1,[2]characters!$1:$1,0)+1),MATCH(C$1,[2]characters!$1:$1,0)-MATCH($A$1,[2]characters!$1:$1,0)+1,FALSE)</f>
        <v>強化素材R2　黄</v>
      </c>
      <c r="D355" s="77" t="str">
        <f ca="1">VLOOKUP($A355,OFFSET([2]characters!$A$1,0,0,COUNTA([2]characters!$A:$A),MATCH(D$1,[2]characters!$1:$1,0)-MATCH($A$1,[2]characters!$1:$1,0)+1),MATCH(D$1,[2]characters!$1:$1,0)-MATCH($A$1,[2]characters!$1:$1,0)+1,FALSE)</f>
        <v>アリス</v>
      </c>
      <c r="E355" s="77" t="str">
        <f ca="1">VLOOKUP($A355,OFFSET([2]characters!$A$1,0,0,COUNTA([2]characters!$A:$A),MATCH(E$1,[2]characters!$1:$1,0)-MATCH($A$1,[2]characters!$1:$1,0)+1),MATCH(E$1,[2]characters!$1:$1,0)-MATCH($A$1,[2]characters!$1:$1,0)+1,FALSE)</f>
        <v>世界観</v>
      </c>
      <c r="F355" s="77" t="str">
        <f ca="1">VLOOKUP($A355,OFFSET([2]characters!$A$1,0,0,COUNTA([2]characters!$A:$A),MATCH(F$1,[2]characters!$1:$1,0)-MATCH($A$1,[2]characters!$1:$1,0)+1),MATCH(F$1,[2]characters!$1:$1,0)-MATCH($A$1,[2]characters!$1:$1,0)+1,FALSE)</f>
        <v>不明</v>
      </c>
      <c r="G355" s="77">
        <f ca="1">VLOOKUP($A355,OFFSET([2]characters!$A$1,0,0,COUNTA([2]characters!$A:$A),MATCH(G$1,[2]characters!$1:$1,0)-MATCH($A$1,[2]characters!$1:$1,0)+1),MATCH(G$1,[2]characters!$1:$1,0)-MATCH($A$1,[2]characters!$1:$1,0)+1,FALSE)</f>
        <v>5</v>
      </c>
      <c r="H355" s="77" t="str">
        <f ca="1">VLOOKUP($A355,OFFSET([2]characters!$A$1,0,0,COUNTA([2]characters!$A:$A),MATCH(H$1,[2]characters!$1:$1,0)-MATCH($A$1,[2]characters!$1:$1,0)+1),MATCH(H$1,[2]characters!$1:$1,0)-MATCH($A$1,[2]characters!$1:$1,0)+1,FALSE)</f>
        <v>Material</v>
      </c>
      <c r="I355" s="77" t="str">
        <f ca="1">VLOOKUP($A355,OFFSET([2]characters!$A$1,0,0,COUNTA([2]characters!$A:$A),MATCH(I$1,[2]characters!$1:$1,0)-MATCH($A$1,[2]characters!$1:$1,0)+1),MATCH(I$1,[2]characters!$1:$1,0)-MATCH($A$1,[2]characters!$1:$1,0)+1,FALSE)</f>
        <v>yellow</v>
      </c>
      <c r="J355" s="14">
        <f ca="1">VLOOKUP(I355,[2]属性!$A:$E,2,FALSE)</f>
        <v>0.98</v>
      </c>
      <c r="K355" s="14">
        <f ca="1">VLOOKUP(I355,[2]属性!$A:$E,3,FALSE)</f>
        <v>1.01</v>
      </c>
      <c r="L355" s="14">
        <f ca="1">VLOOKUP(I355,[2]属性!$A:$E,4,FALSE)</f>
        <v>1</v>
      </c>
      <c r="M355" s="14">
        <f ca="1">VLOOKUP(I355,[2]属性!$A:$E,5,FALSE)</f>
        <v>1.01</v>
      </c>
      <c r="N355" s="14">
        <f ca="1">INDEX(コスト!$A$1:$I$20,MATCH(H355,コスト!$A$1:$A$20,FALSE),MATCH(G355,コスト!$A$1:$I$1,FALSE))</f>
        <v>99</v>
      </c>
      <c r="O355" s="104">
        <v>10</v>
      </c>
      <c r="P355" s="203">
        <v>10</v>
      </c>
      <c r="Q355" s="77" t="str">
        <f ca="1">VLOOKUP($A355,OFFSET([2]characters!$A$1,0,0,COUNTA([2]characters!$A:$A),MATCH(Q$1,[2]characters!$1:$1,0)-MATCH($A$1,[2]characters!$1:$1,0)+1),MATCH(Q$1,[2]characters!$1:$1,0)-MATCH($A$1,[2]characters!$1:$1,0)+1,FALSE)</f>
        <v>exp</v>
      </c>
      <c r="R355" s="8" t="str">
        <f ca="1">VLOOKUP(Q355,[2]character_type_i18n!$A:$H,3,FALSE)</f>
        <v>強化素材タイプ</v>
      </c>
      <c r="S355" s="14">
        <f ca="1">VLOOKUP(Q355,[2]character_type_i18n!$A:$H,4,FALSE)</f>
        <v>0.1</v>
      </c>
      <c r="T355" s="14">
        <f ca="1">VLOOKUP(Q355,[2]character_type_i18n!$A:$H,5,FALSE)</f>
        <v>0.05</v>
      </c>
      <c r="U355" s="14">
        <f ca="1">VLOOKUP(Q355,[2]character_type_i18n!$A:$H,6,FALSE)</f>
        <v>1</v>
      </c>
      <c r="V355" s="14">
        <f ca="1">VLOOKUP(Q355,[2]character_type_i18n!$A:$H,7,FALSE)</f>
        <v>0.05</v>
      </c>
      <c r="W355" s="77" t="str">
        <f ca="1">VLOOKUP($A355,OFFSET([2]characters!$A$1,0,0,COUNTA([2]characters!$A:$A),MATCH(W$1,[2]characters!$1:$1,0)-MATCH($A$1,[2]characters!$1:$1,0)+1),MATCH(W$1,[2]characters!$1:$1,0)-MATCH($A$1,[2]characters!$1:$1,0)+1,FALSE)</f>
        <v>unknown</v>
      </c>
      <c r="X355" s="8" t="str">
        <f ca="1">VLOOKUP(W355,[2]character_tribe_i18n!$A:$H,3,FALSE)</f>
        <v>Unknown</v>
      </c>
      <c r="Y355" s="77" t="str">
        <f ca="1">VLOOKUP($A355,OFFSET([2]characters!$A$1,0,0,COUNTA([2]characters!$A:$A),MATCH(Y$1,[2]characters!$1:$1,0)-MATCH($A$1,[2]characters!$1:$1,0)+1),MATCH(Y$1,[2]characters!$1:$1,0)-MATCH($A$1,[2]characters!$1:$1,0)+1,FALSE)</f>
        <v>none</v>
      </c>
      <c r="Z355" s="8" t="str">
        <f ca="1">VLOOKUP(Y355,[2]character_tribe_i18n!$A:$H,3,FALSE)</f>
        <v>種族なし</v>
      </c>
      <c r="AA355" s="14">
        <f ca="1">VLOOKUP(W355,[2]character_tribe_i18n!$A:$H,4,FALSE)</f>
        <v>1</v>
      </c>
      <c r="AB355" s="14">
        <f ca="1">VLOOKUP(W355,[2]character_tribe_i18n!$A:$H,5,FALSE)</f>
        <v>1</v>
      </c>
      <c r="AC355" s="14">
        <f ca="1">VLOOKUP(W355,[2]character_tribe_i18n!$A:$H,6,FALSE)</f>
        <v>1</v>
      </c>
      <c r="AD355" s="14">
        <f ca="1">VLOOKUP(W355,[2]character_tribe_i18n!$A:$H,7,FALSE)</f>
        <v>1</v>
      </c>
      <c r="AE355" s="12">
        <v>355</v>
      </c>
      <c r="AF355" s="85" t="str">
        <f ca="1">IF(AE355="NULL","",VLOOKUP($AE355,OFFSET([2]characters!$A$1,0,0,COUNTA([2]characters!$A:$A),MATCH(AF$1,[2]characters!$1:$1,0)-MATCH($A$1,[2]characters!$1:$1,0)+1),MATCH(AF$1,[2]characters!$1:$1,0)-MATCH($A$1,[2]characters!$1:$1,0)+1,FALSE))</f>
        <v>雷のメタルフロッグ</v>
      </c>
      <c r="AG355" s="8">
        <f t="shared" ca="1" si="37"/>
        <v>354</v>
      </c>
      <c r="AH355" s="85" t="str">
        <f ca="1">VLOOKUP($AG355,OFFSET([2]characters!$A$1,0,0,COUNTA([2]characters!$A:$A),MATCH(AH$1,[2]characters!$1:$1,0)-MATCH($A$1,[2]characters!$1:$1,0)+1),MATCH(AH$1,[2]characters!$1:$1,0)-MATCH($A$1,[2]characters!$1:$1,0)+1,FALSE)</f>
        <v>雷のケロケロ</v>
      </c>
      <c r="AI355" s="104">
        <v>10000</v>
      </c>
      <c r="AJ355" s="9">
        <v>2</v>
      </c>
      <c r="AK355" s="10" t="str">
        <f t="shared" si="43"/>
        <v>普通</v>
      </c>
      <c r="AL355" s="104" t="s">
        <v>237</v>
      </c>
      <c r="AM355" s="11">
        <v>1000</v>
      </c>
      <c r="AN355" s="21">
        <f ca="1">VLOOKUP(G355,ビット!$G$2:$H$7,2)</f>
        <v>900</v>
      </c>
      <c r="AO355" s="57"/>
      <c r="AP355" s="101">
        <v>990019</v>
      </c>
      <c r="AQ355" s="77" t="e">
        <f ca="1">VLOOKUP($AP355,OFFSET([1]unit_skills!$A$1,0,0,COUNTA([1]unit_skills!$A:$A),MATCH("name",[1]unit_skills!$1:$1,0)-MATCH($AP$1,[1]unit_skills!$1:$1,0)+1),MATCH("name",[1]unit_skills!$1:$1,0)-MATCH($AP$1,[1]unit_skills!$1:$1,0)+1,FALSE)</f>
        <v>#VALUE!</v>
      </c>
      <c r="AR355" s="77" t="e">
        <f ca="1">VLOOKUP($AP355,OFFSET([1]unit_skills!$A$1,0,0,COUNTA([1]unit_skills!$A:$A),MATCH("comment",[1]unit_skills!$1:$1,0)-MATCH($AP$1,[1]unit_skills!$1:$1,0)+1),MATCH("comment",[1]unit_skills!$1:$1,0)-MATCH($AP$1,[1]unit_skills!$1:$1,0)+1,FALSE)</f>
        <v>#VALUE!</v>
      </c>
      <c r="AS355" s="77" t="e">
        <f ca="1">VLOOKUP($AP355,OFFSET([1]unit_skills!$A$1,0,0,COUNTA([1]unit_skills!$A:$A),MATCH(AS$1,[1]unit_skills!$1:$1,0)-MATCH($AP$1,[1]unit_skills!$1:$1,0)+1),MATCH(AS$1,[1]unit_skills!$1:$1,0)-MATCH($AP$1,[1]unit_skills!$1:$1,0)+1,FALSE)</f>
        <v>#VALUE!</v>
      </c>
      <c r="AT355" s="53">
        <v>0</v>
      </c>
      <c r="AU355" s="77" t="e">
        <f ca="1">VLOOKUP($AT355,OFFSET([1]crash_skills!$A$1,0,0,COUNTA([1]crash_skills!$A:$A),MATCH("name",[1]crash_skills!$1:$1,0)-MATCH($AT$1,[1]crash_skills!$1:$1,0)+1),MATCH("name",[1]crash_skills!$1:$1,0)-MATCH($AT$1,[1]crash_skills!$1:$1,0)+1,FALSE)</f>
        <v>#VALUE!</v>
      </c>
      <c r="AV355" s="77" t="e">
        <f ca="1">VLOOKUP($AT355,OFFSET([1]crash_skills!$A$1,0,0,COUNTA([1]crash_skills!$A:$A),MATCH("comment",[1]crash_skills!$1:$1,0)-MATCH($AT$1,[1]crash_skills!$1:$1,0)+1),MATCH("comment",[1]crash_skills!$1:$1,0)-MATCH($AT$1,[1]crash_skills!$1:$1,0)+1,FALSE)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55" s="77" t="e">
        <f ca="1">VLOOKUP($AT355,OFFSET([1]crash_skills!$A$1,0,0,COUNTA([1]crash_skills!$A:$A),MATCH(AW$1,[1]crash_skills!$1:$1,0)-MATCH($AT$1,[1]crash_skills!$1:$1,0)+1),MATCH(AW$1,[1]crash_skills!$1:$1,0)-MATCH($AT$1,[1]crash_skills!$1:$1,0)+1,FALSE)</f>
        <v>#VALUE!</v>
      </c>
      <c r="AX355" s="81">
        <f ca="1">VLOOKUP($A355,OFFSET([2]characters!$A$1,0,0,COUNTA([2]characters!$A:$A),MATCH(AX$1,[2]characters!$1:$1,0)-MATCH($A$1,[2]characters!$1:$1,0)+1),MATCH(AX$1,[2]characters!$1:$1,0)-MATCH($A$1,[2]characters!$1:$1,0)+1,FALSE)</f>
        <v>3</v>
      </c>
      <c r="AY355" s="19">
        <v>1</v>
      </c>
      <c r="AZ355" s="19">
        <v>1</v>
      </c>
      <c r="BA355" s="19">
        <v>0</v>
      </c>
      <c r="BB355" s="19">
        <v>1</v>
      </c>
      <c r="BC355" s="14">
        <f ca="1">INDEX('RC6SV'!$A$1:$G$20,MATCH(H355,'RC6SV'!$A$1:$A$20,FALSE),MATCH(G355,'RC6SV'!$A$1:$G$1,FALSE))</f>
        <v>1000</v>
      </c>
      <c r="BD355" s="63">
        <f t="shared" ca="1" si="39"/>
        <v>1000</v>
      </c>
      <c r="BE355" s="14">
        <f t="shared" ca="1" si="40"/>
        <v>0</v>
      </c>
      <c r="BF355" s="14">
        <f t="shared" ca="1" si="41"/>
        <v>1</v>
      </c>
      <c r="BG355" s="20">
        <f ca="1">IF($BE355&lt;=0,ROUND(BK355*0.5,0), ROUND($BE355*S355*AA355*J355*AY355*0.8*[2]ステータス!$B$2,0))</f>
        <v>25</v>
      </c>
      <c r="BH355" s="20">
        <f ca="1">IF($BE355&lt;=0,ROUND(BL355*0.5,0), ROUND($BE355*T355*AB355*K355*AZ355*0.8*[2]ステータス!$C$2,0))</f>
        <v>8</v>
      </c>
      <c r="BI355" s="20">
        <f ca="1">IF($BE355&lt;=0,ROUND(BM355*0.5,0), ROUND($BE355*U355*AC355*L355*BA355*0.8*[2]ステータス!$D$2,0))</f>
        <v>0</v>
      </c>
      <c r="BJ355" s="20">
        <f ca="1">IF($BE355&lt;=0,ROUND(BN355*0.5,0), ROUND($BE355*V355*AD355*M355*BB355*0.8*[2]ステータス!$E$2,0))</f>
        <v>7</v>
      </c>
      <c r="BK355" s="14">
        <f ca="1">ROUND(BD355*S355*AA355*J355*AY355*[2]ステータス!$B$2,0)</f>
        <v>49</v>
      </c>
      <c r="BL355" s="14">
        <f ca="1">ROUND(BD355*T355*AB355*K355*AZ355*[2]ステータス!$C$2,0)</f>
        <v>15</v>
      </c>
      <c r="BM355" s="14">
        <f ca="1">ROUND(BD355*U355*AC355*L355*BA355*[2]ステータス!$D$2,0)</f>
        <v>0</v>
      </c>
      <c r="BN355" s="14">
        <f ca="1">ROUND(BD355*V355*AD355*M355*BB355*[2]ステータス!$E$2,0)</f>
        <v>13</v>
      </c>
      <c r="BO355" s="13">
        <v>0</v>
      </c>
      <c r="BP355" s="13">
        <v>1</v>
      </c>
      <c r="BQ355" s="49" t="s">
        <v>102</v>
      </c>
      <c r="BR355" s="13">
        <f ca="1">VLOOKUP(H355,ghosts_label!$A$2:$B$19,2,FALSE)</f>
        <v>0</v>
      </c>
    </row>
    <row r="356" spans="1:70" ht="21" customHeight="1" x14ac:dyDescent="0.15">
      <c r="A356" s="14">
        <f t="shared" ca="1" si="36"/>
        <v>355</v>
      </c>
      <c r="B356" s="77" t="str">
        <f ca="1">VLOOKUP($A356,OFFSET([2]characters!$A$1,0,0,COUNTA([2]characters!$A:$A),MATCH(B$1,[2]characters!$1:$1,0)-MATCH($A$1,[2]characters!$1:$1,0)+1),MATCH(B$1,[2]characters!$1:$1,0)-MATCH($A$1,[2]characters!$1:$1,0)+1,FALSE)</f>
        <v>雷のメタルフロッグ</v>
      </c>
      <c r="C356" s="77" t="str">
        <f ca="1">VLOOKUP($A356,OFFSET([2]characters!$A$1,0,0,COUNTA([2]characters!$A:$A),MATCH(C$1,[2]characters!$1:$1,0)-MATCH($A$1,[2]characters!$1:$1,0)+1),MATCH(C$1,[2]characters!$1:$1,0)-MATCH($A$1,[2]characters!$1:$1,0)+1,FALSE)</f>
        <v>強化素材R4　黄</v>
      </c>
      <c r="D356" s="77" t="str">
        <f ca="1">VLOOKUP($A356,OFFSET([2]characters!$A$1,0,0,COUNTA([2]characters!$A:$A),MATCH(D$1,[2]characters!$1:$1,0)-MATCH($A$1,[2]characters!$1:$1,0)+1),MATCH(D$1,[2]characters!$1:$1,0)-MATCH($A$1,[2]characters!$1:$1,0)+1,FALSE)</f>
        <v>アリス</v>
      </c>
      <c r="E356" s="77" t="str">
        <f ca="1">VLOOKUP($A356,OFFSET([2]characters!$A$1,0,0,COUNTA([2]characters!$A:$A),MATCH(E$1,[2]characters!$1:$1,0)-MATCH($A$1,[2]characters!$1:$1,0)+1),MATCH(E$1,[2]characters!$1:$1,0)-MATCH($A$1,[2]characters!$1:$1,0)+1,FALSE)</f>
        <v>世界観</v>
      </c>
      <c r="F356" s="77" t="str">
        <f ca="1">VLOOKUP($A356,OFFSET([2]characters!$A$1,0,0,COUNTA([2]characters!$A:$A),MATCH(F$1,[2]characters!$1:$1,0)-MATCH($A$1,[2]characters!$1:$1,0)+1),MATCH(F$1,[2]characters!$1:$1,0)-MATCH($A$1,[2]characters!$1:$1,0)+1,FALSE)</f>
        <v>不明</v>
      </c>
      <c r="G356" s="77">
        <f ca="1">VLOOKUP($A356,OFFSET([2]characters!$A$1,0,0,COUNTA([2]characters!$A:$A),MATCH(G$1,[2]characters!$1:$1,0)-MATCH($A$1,[2]characters!$1:$1,0)+1),MATCH(G$1,[2]characters!$1:$1,0)-MATCH($A$1,[2]characters!$1:$1,0)+1,FALSE)</f>
        <v>6</v>
      </c>
      <c r="H356" s="77" t="str">
        <f ca="1">VLOOKUP($A356,OFFSET([2]characters!$A$1,0,0,COUNTA([2]characters!$A:$A),MATCH(H$1,[2]characters!$1:$1,0)-MATCH($A$1,[2]characters!$1:$1,0)+1),MATCH(H$1,[2]characters!$1:$1,0)-MATCH($A$1,[2]characters!$1:$1,0)+1,FALSE)</f>
        <v>Material</v>
      </c>
      <c r="I356" s="77" t="str">
        <f ca="1">VLOOKUP($A356,OFFSET([2]characters!$A$1,0,0,COUNTA([2]characters!$A:$A),MATCH(I$1,[2]characters!$1:$1,0)-MATCH($A$1,[2]characters!$1:$1,0)+1),MATCH(I$1,[2]characters!$1:$1,0)-MATCH($A$1,[2]characters!$1:$1,0)+1,FALSE)</f>
        <v>yellow</v>
      </c>
      <c r="J356" s="14">
        <f ca="1">VLOOKUP(I356,[2]属性!$A:$E,2,FALSE)</f>
        <v>0.98</v>
      </c>
      <c r="K356" s="14">
        <f ca="1">VLOOKUP(I356,[2]属性!$A:$E,3,FALSE)</f>
        <v>1.01</v>
      </c>
      <c r="L356" s="14">
        <f ca="1">VLOOKUP(I356,[2]属性!$A:$E,4,FALSE)</f>
        <v>1</v>
      </c>
      <c r="M356" s="14">
        <f ca="1">VLOOKUP(I356,[2]属性!$A:$E,5,FALSE)</f>
        <v>1.01</v>
      </c>
      <c r="N356" s="14">
        <f ca="1">INDEX(コスト!$A$1:$I$20,MATCH(H356,コスト!$A$1:$A$20,FALSE),MATCH(G356,コスト!$A$1:$I$1,FALSE))</f>
        <v>99</v>
      </c>
      <c r="O356" s="14">
        <f ca="1">INDEX(レベル!$A$1:$I$21,MATCH(H356,レベル!$A$1:$A$21,FALSE),MATCH(G356,レベル!$A$1:$I$1,FALSE))</f>
        <v>1</v>
      </c>
      <c r="P356" s="203">
        <v>10</v>
      </c>
      <c r="Q356" s="77" t="str">
        <f ca="1">VLOOKUP($A356,OFFSET([2]characters!$A$1,0,0,COUNTA([2]characters!$A:$A),MATCH(Q$1,[2]characters!$1:$1,0)-MATCH($A$1,[2]characters!$1:$1,0)+1),MATCH(Q$1,[2]characters!$1:$1,0)-MATCH($A$1,[2]characters!$1:$1,0)+1,FALSE)</f>
        <v>exp</v>
      </c>
      <c r="R356" s="8" t="str">
        <f ca="1">VLOOKUP(Q356,[2]character_type_i18n!$A:$H,3,FALSE)</f>
        <v>強化素材タイプ</v>
      </c>
      <c r="S356" s="14">
        <f ca="1">VLOOKUP(Q356,[2]character_type_i18n!$A:$H,4,FALSE)</f>
        <v>0.1</v>
      </c>
      <c r="T356" s="14">
        <f ca="1">VLOOKUP(Q356,[2]character_type_i18n!$A:$H,5,FALSE)</f>
        <v>0.05</v>
      </c>
      <c r="U356" s="14">
        <f ca="1">VLOOKUP(Q356,[2]character_type_i18n!$A:$H,6,FALSE)</f>
        <v>1</v>
      </c>
      <c r="V356" s="14">
        <f ca="1">VLOOKUP(Q356,[2]character_type_i18n!$A:$H,7,FALSE)</f>
        <v>0.05</v>
      </c>
      <c r="W356" s="77" t="str">
        <f ca="1">VLOOKUP($A356,OFFSET([2]characters!$A$1,0,0,COUNTA([2]characters!$A:$A),MATCH(W$1,[2]characters!$1:$1,0)-MATCH($A$1,[2]characters!$1:$1,0)+1),MATCH(W$1,[2]characters!$1:$1,0)-MATCH($A$1,[2]characters!$1:$1,0)+1,FALSE)</f>
        <v>unknown</v>
      </c>
      <c r="X356" s="8" t="str">
        <f ca="1">VLOOKUP(W356,[2]character_tribe_i18n!$A:$H,3,FALSE)</f>
        <v>Unknown</v>
      </c>
      <c r="Y356" s="77" t="str">
        <f ca="1">VLOOKUP($A356,OFFSET([2]characters!$A$1,0,0,COUNTA([2]characters!$A:$A),MATCH(Y$1,[2]characters!$1:$1,0)-MATCH($A$1,[2]characters!$1:$1,0)+1),MATCH(Y$1,[2]characters!$1:$1,0)-MATCH($A$1,[2]characters!$1:$1,0)+1,FALSE)</f>
        <v>none</v>
      </c>
      <c r="Z356" s="8" t="str">
        <f ca="1">VLOOKUP(Y356,[2]character_tribe_i18n!$A:$H,3,FALSE)</f>
        <v>種族なし</v>
      </c>
      <c r="AA356" s="14">
        <f ca="1">VLOOKUP(W356,[2]character_tribe_i18n!$A:$H,4,FALSE)</f>
        <v>1</v>
      </c>
      <c r="AB356" s="14">
        <f ca="1">VLOOKUP(W356,[2]character_tribe_i18n!$A:$H,5,FALSE)</f>
        <v>1</v>
      </c>
      <c r="AC356" s="14">
        <f ca="1">VLOOKUP(W356,[2]character_tribe_i18n!$A:$H,6,FALSE)</f>
        <v>1</v>
      </c>
      <c r="AD356" s="14">
        <f ca="1">VLOOKUP(W356,[2]character_tribe_i18n!$A:$H,7,FALSE)</f>
        <v>1</v>
      </c>
      <c r="AE356" s="12" t="s">
        <v>102</v>
      </c>
      <c r="AF356" s="85" t="str">
        <f ca="1">IF(AE356="NULL","",VLOOKUP($AE356,OFFSET([2]characters!$A$1,0,0,COUNTA([2]characters!$A:$A),MATCH(AF$1,[2]characters!$1:$1,0)-MATCH($A$1,[2]characters!$1:$1,0)+1),MATCH(AF$1,[2]characters!$1:$1,0)-MATCH($A$1,[2]characters!$1:$1,0)+1,FALSE))</f>
        <v/>
      </c>
      <c r="AG356" s="8">
        <f t="shared" ca="1" si="37"/>
        <v>354</v>
      </c>
      <c r="AH356" s="85" t="str">
        <f ca="1">VLOOKUP($AG356,OFFSET([2]characters!$A$1,0,0,COUNTA([2]characters!$A:$A),MATCH(AH$1,[2]characters!$1:$1,0)-MATCH($A$1,[2]characters!$1:$1,0)+1),MATCH(AH$1,[2]characters!$1:$1,0)-MATCH($A$1,[2]characters!$1:$1,0)+1,FALSE)</f>
        <v>雷のケロケロ</v>
      </c>
      <c r="AI356" s="14" t="str">
        <f>IF(AE356="NULL","NULL",VLOOKUP(G356,ビット!$A$2:$B$7,2))</f>
        <v>NULL</v>
      </c>
      <c r="AJ356" s="9">
        <v>2</v>
      </c>
      <c r="AK356" s="10" t="str">
        <f t="shared" si="43"/>
        <v>普通</v>
      </c>
      <c r="AL356" s="14" t="str">
        <f ca="1">INDEX(経験値!$A$1:$I$20,MATCH(H356,経験値!$A$1:$A$20,FALSE),MATCH(G356,経験値!$A$1:$I$1,FALSE))</f>
        <v>NULL</v>
      </c>
      <c r="AM356" s="185">
        <v>100000</v>
      </c>
      <c r="AN356" s="21">
        <f ca="1">VLOOKUP(G356,ビット!$G$2:$H$7,2)</f>
        <v>900</v>
      </c>
      <c r="AO356" s="57"/>
      <c r="AP356" s="101">
        <v>990004</v>
      </c>
      <c r="AQ356" s="77" t="e">
        <f ca="1">VLOOKUP($AP356,OFFSET([1]unit_skills!$A$1,0,0,COUNTA([1]unit_skills!$A:$A),MATCH("name",[1]unit_skills!$1:$1,0)-MATCH($AP$1,[1]unit_skills!$1:$1,0)+1),MATCH("name",[1]unit_skills!$1:$1,0)-MATCH($AP$1,[1]unit_skills!$1:$1,0)+1,FALSE)</f>
        <v>#VALUE!</v>
      </c>
      <c r="AR356" s="77" t="e">
        <f ca="1">VLOOKUP($AP356,OFFSET([1]unit_skills!$A$1,0,0,COUNTA([1]unit_skills!$A:$A),MATCH("comment",[1]unit_skills!$1:$1,0)-MATCH($AP$1,[1]unit_skills!$1:$1,0)+1),MATCH("comment",[1]unit_skills!$1:$1,0)-MATCH($AP$1,[1]unit_skills!$1:$1,0)+1,FALSE)</f>
        <v>#VALUE!</v>
      </c>
      <c r="AS356" s="77" t="e">
        <f ca="1">VLOOKUP($AP356,OFFSET([1]unit_skills!$A$1,0,0,COUNTA([1]unit_skills!$A:$A),MATCH(AS$1,[1]unit_skills!$1:$1,0)-MATCH($AP$1,[1]unit_skills!$1:$1,0)+1),MATCH(AS$1,[1]unit_skills!$1:$1,0)-MATCH($AP$1,[1]unit_skills!$1:$1,0)+1,FALSE)</f>
        <v>#VALUE!</v>
      </c>
      <c r="AT356" s="53">
        <v>0</v>
      </c>
      <c r="AU356" s="77" t="e">
        <f ca="1">VLOOKUP($AT356,OFFSET([1]crash_skills!$A$1,0,0,COUNTA([1]crash_skills!$A:$A),MATCH("name",[1]crash_skills!$1:$1,0)-MATCH($AT$1,[1]crash_skills!$1:$1,0)+1),MATCH("name",[1]crash_skills!$1:$1,0)-MATCH($AT$1,[1]crash_skills!$1:$1,0)+1,FALSE)</f>
        <v>#VALUE!</v>
      </c>
      <c r="AV356" s="77" t="e">
        <f ca="1">VLOOKUP($AT356,OFFSET([1]crash_skills!$A$1,0,0,COUNTA([1]crash_skills!$A:$A),MATCH("comment",[1]crash_skills!$1:$1,0)-MATCH($AT$1,[1]crash_skills!$1:$1,0)+1),MATCH("comment",[1]crash_skills!$1:$1,0)-MATCH($AT$1,[1]crash_skills!$1:$1,0)+1,FALSE)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56" s="77" t="e">
        <f ca="1">VLOOKUP($AT356,OFFSET([1]crash_skills!$A$1,0,0,COUNTA([1]crash_skills!$A:$A),MATCH(AW$1,[1]crash_skills!$1:$1,0)-MATCH($AT$1,[1]crash_skills!$1:$1,0)+1),MATCH(AW$1,[1]crash_skills!$1:$1,0)-MATCH($AT$1,[1]crash_skills!$1:$1,0)+1,FALSE)</f>
        <v>#VALUE!</v>
      </c>
      <c r="AX356" s="81">
        <f ca="1">VLOOKUP($A356,OFFSET([2]characters!$A$1,0,0,COUNTA([2]characters!$A:$A),MATCH(AX$1,[2]characters!$1:$1,0)-MATCH($A$1,[2]characters!$1:$1,0)+1),MATCH(AX$1,[2]characters!$1:$1,0)-MATCH($A$1,[2]characters!$1:$1,0)+1,FALSE)</f>
        <v>3</v>
      </c>
      <c r="AY356" s="19">
        <v>1</v>
      </c>
      <c r="AZ356" s="19">
        <v>1</v>
      </c>
      <c r="BA356" s="19">
        <v>0</v>
      </c>
      <c r="BB356" s="19">
        <v>1</v>
      </c>
      <c r="BC356" s="14">
        <f ca="1">INDEX('RC6SV'!$A$1:$G$20,MATCH(H356,'RC6SV'!$A$1:$A$20,FALSE),MATCH(G356,'RC6SV'!$A$1:$G$1,FALSE))</f>
        <v>1000</v>
      </c>
      <c r="BD356" s="63">
        <f t="shared" ca="1" si="39"/>
        <v>1000</v>
      </c>
      <c r="BE356" s="14">
        <f t="shared" ca="1" si="40"/>
        <v>1000</v>
      </c>
      <c r="BF356" s="14">
        <f t="shared" ca="1" si="41"/>
        <v>1</v>
      </c>
      <c r="BG356" s="20">
        <f ca="1">IF($BE356&lt;=0,ROUND(BK356*0.5,0), ROUND($BE356*S356*AA356*J356*AY356*0.8*[2]ステータス!$B$2,0))</f>
        <v>39</v>
      </c>
      <c r="BH356" s="20">
        <f ca="1">IF($BE356&lt;=0,ROUND(BL356*0.5,0), ROUND($BE356*T356*AB356*K356*AZ356*0.8*[2]ステータス!$C$2,0))</f>
        <v>12</v>
      </c>
      <c r="BI356" s="20">
        <f ca="1">IF($BE356&lt;=0,ROUND(BM356*0.5,0), ROUND($BE356*U356*AC356*L356*BA356*0.8*[2]ステータス!$D$2,0))</f>
        <v>0</v>
      </c>
      <c r="BJ356" s="20">
        <f ca="1">IF($BE356&lt;=0,ROUND(BN356*0.5,0), ROUND($BE356*V356*AD356*M356*BB356*0.8*[2]ステータス!$E$2,0))</f>
        <v>10</v>
      </c>
      <c r="BK356" s="14">
        <f ca="1">ROUND(BD356*S356*AA356*J356*AY356*[2]ステータス!$B$2,0)</f>
        <v>49</v>
      </c>
      <c r="BL356" s="14">
        <f ca="1">ROUND(BD356*T356*AB356*K356*AZ356*[2]ステータス!$C$2,0)</f>
        <v>15</v>
      </c>
      <c r="BM356" s="14">
        <f ca="1">ROUND(BD356*U356*AC356*L356*BA356*[2]ステータス!$D$2,0)</f>
        <v>0</v>
      </c>
      <c r="BN356" s="14">
        <f ca="1">ROUND(BD356*V356*AD356*M356*BB356*[2]ステータス!$E$2,0)</f>
        <v>13</v>
      </c>
      <c r="BO356" s="13">
        <v>0</v>
      </c>
      <c r="BP356" s="13">
        <v>1</v>
      </c>
      <c r="BQ356" s="49" t="s">
        <v>102</v>
      </c>
      <c r="BR356" s="13">
        <f ca="1">VLOOKUP(H356,ghosts_label!$A$2:$B$19,2,FALSE)</f>
        <v>0</v>
      </c>
    </row>
    <row r="357" spans="1:70" ht="21" customHeight="1" x14ac:dyDescent="0.15">
      <c r="A357" s="14">
        <f t="shared" ca="1" si="36"/>
        <v>356</v>
      </c>
      <c r="B357" s="77" t="str">
        <f ca="1">VLOOKUP($A357,OFFSET([2]characters!$A$1,0,0,COUNTA([2]characters!$A:$A),MATCH(B$1,[2]characters!$1:$1,0)-MATCH($A$1,[2]characters!$1:$1,0)+1),MATCH(B$1,[2]characters!$1:$1,0)-MATCH($A$1,[2]characters!$1:$1,0)+1,FALSE)</f>
        <v>炎上のドードー</v>
      </c>
      <c r="C357" s="77" t="str">
        <f ca="1">VLOOKUP($A357,OFFSET([2]characters!$A$1,0,0,COUNTA([2]characters!$A:$A),MATCH(C$1,[2]characters!$1:$1,0)-MATCH($A$1,[2]characters!$1:$1,0)+1),MATCH(C$1,[2]characters!$1:$1,0)-MATCH($A$1,[2]characters!$1:$1,0)+1,FALSE)</f>
        <v>強化素材R5 赤</v>
      </c>
      <c r="D357" s="77">
        <f ca="1">VLOOKUP($A357,OFFSET([2]characters!$A$1,0,0,COUNTA([2]characters!$A:$A),MATCH(D$1,[2]characters!$1:$1,0)-MATCH($A$1,[2]characters!$1:$1,0)+1),MATCH(D$1,[2]characters!$1:$1,0)-MATCH($A$1,[2]characters!$1:$1,0)+1,FALSE)</f>
        <v>0</v>
      </c>
      <c r="E357" s="77" t="str">
        <f ca="1">VLOOKUP($A357,OFFSET([2]characters!$A$1,0,0,COUNTA([2]characters!$A:$A),MATCH(E$1,[2]characters!$1:$1,0)-MATCH($A$1,[2]characters!$1:$1,0)+1),MATCH(E$1,[2]characters!$1:$1,0)-MATCH($A$1,[2]characters!$1:$1,0)+1,FALSE)</f>
        <v>世界観</v>
      </c>
      <c r="F357" s="77" t="str">
        <f ca="1">VLOOKUP($A357,OFFSET([2]characters!$A$1,0,0,COUNTA([2]characters!$A:$A),MATCH(F$1,[2]characters!$1:$1,0)-MATCH($A$1,[2]characters!$1:$1,0)+1),MATCH(F$1,[2]characters!$1:$1,0)-MATCH($A$1,[2]characters!$1:$1,0)+1,FALSE)</f>
        <v>不明</v>
      </c>
      <c r="G357" s="77">
        <f ca="1">VLOOKUP($A357,OFFSET([2]characters!$A$1,0,0,COUNTA([2]characters!$A:$A),MATCH(G$1,[2]characters!$1:$1,0)-MATCH($A$1,[2]characters!$1:$1,0)+1),MATCH(G$1,[2]characters!$1:$1,0)-MATCH($A$1,[2]characters!$1:$1,0)+1,FALSE)</f>
        <v>5</v>
      </c>
      <c r="H357" s="77" t="str">
        <f ca="1">VLOOKUP($A357,OFFSET([2]characters!$A$1,0,0,COUNTA([2]characters!$A:$A),MATCH(H$1,[2]characters!$1:$1,0)-MATCH($A$1,[2]characters!$1:$1,0)+1),MATCH(H$1,[2]characters!$1:$1,0)-MATCH($A$1,[2]characters!$1:$1,0)+1,FALSE)</f>
        <v>Material</v>
      </c>
      <c r="I357" s="77" t="str">
        <f ca="1">VLOOKUP($A357,OFFSET([2]characters!$A$1,0,0,COUNTA([2]characters!$A:$A),MATCH(I$1,[2]characters!$1:$1,0)-MATCH($A$1,[2]characters!$1:$1,0)+1),MATCH(I$1,[2]characters!$1:$1,0)-MATCH($A$1,[2]characters!$1:$1,0)+1,FALSE)</f>
        <v>red</v>
      </c>
      <c r="J357" s="14">
        <f ca="1">VLOOKUP(I357,[2]属性!$A:$E,2,FALSE)</f>
        <v>1</v>
      </c>
      <c r="K357" s="14">
        <f ca="1">VLOOKUP(I357,[2]属性!$A:$E,3,FALSE)</f>
        <v>1.02</v>
      </c>
      <c r="L357" s="14">
        <f ca="1">VLOOKUP(I357,[2]属性!$A:$E,4,FALSE)</f>
        <v>1</v>
      </c>
      <c r="M357" s="14">
        <f ca="1">VLOOKUP(I357,[2]属性!$A:$E,5,FALSE)</f>
        <v>0.98</v>
      </c>
      <c r="N357" s="14">
        <f ca="1">INDEX(コスト!$A$1:$I$20,MATCH(H357,コスト!$A$1:$A$20,FALSE),MATCH(G357,コスト!$A$1:$I$1,FALSE))</f>
        <v>99</v>
      </c>
      <c r="O357" s="14">
        <f ca="1">INDEX(レベル!$A$1:$I$21,MATCH(H357,レベル!$A$1:$A$21,FALSE),MATCH(G357,レベル!$A$1:$I$1,FALSE))</f>
        <v>1</v>
      </c>
      <c r="P357" s="63">
        <f t="shared" ca="1" si="42"/>
        <v>75</v>
      </c>
      <c r="Q357" s="77" t="str">
        <f ca="1">VLOOKUP($A357,OFFSET([2]characters!$A$1,0,0,COUNTA([2]characters!$A:$A),MATCH(Q$1,[2]characters!$1:$1,0)-MATCH($A$1,[2]characters!$1:$1,0)+1),MATCH(Q$1,[2]characters!$1:$1,0)-MATCH($A$1,[2]characters!$1:$1,0)+1,FALSE)</f>
        <v>evolution</v>
      </c>
      <c r="R357" s="8" t="str">
        <f ca="1">VLOOKUP(Q357,[2]character_type_i18n!$A:$H,3,FALSE)</f>
        <v>覚醒素材タイプ</v>
      </c>
      <c r="S357" s="14">
        <f ca="1">VLOOKUP(Q357,[2]character_type_i18n!$A:$H,4,FALSE)</f>
        <v>0.1</v>
      </c>
      <c r="T357" s="14">
        <f ca="1">VLOOKUP(Q357,[2]character_type_i18n!$A:$H,5,FALSE)</f>
        <v>0.05</v>
      </c>
      <c r="U357" s="14">
        <f ca="1">VLOOKUP(Q357,[2]character_type_i18n!$A:$H,6,FALSE)</f>
        <v>1</v>
      </c>
      <c r="V357" s="14">
        <f ca="1">VLOOKUP(Q357,[2]character_type_i18n!$A:$H,7,FALSE)</f>
        <v>0.05</v>
      </c>
      <c r="W357" s="77" t="str">
        <f ca="1">VLOOKUP($A357,OFFSET([2]characters!$A$1,0,0,COUNTA([2]characters!$A:$A),MATCH(W$1,[2]characters!$1:$1,0)-MATCH($A$1,[2]characters!$1:$1,0)+1),MATCH(W$1,[2]characters!$1:$1,0)-MATCH($A$1,[2]characters!$1:$1,0)+1,FALSE)</f>
        <v>unknown</v>
      </c>
      <c r="X357" s="8" t="str">
        <f ca="1">VLOOKUP(W357,[2]character_tribe_i18n!$A:$H,3,FALSE)</f>
        <v>Unknown</v>
      </c>
      <c r="Y357" s="77" t="str">
        <f ca="1">VLOOKUP($A357,OFFSET([2]characters!$A$1,0,0,COUNTA([2]characters!$A:$A),MATCH(Y$1,[2]characters!$1:$1,0)-MATCH($A$1,[2]characters!$1:$1,0)+1),MATCH(Y$1,[2]characters!$1:$1,0)-MATCH($A$1,[2]characters!$1:$1,0)+1,FALSE)</f>
        <v>none</v>
      </c>
      <c r="Z357" s="8" t="str">
        <f ca="1">VLOOKUP(Y357,[2]character_tribe_i18n!$A:$H,3,FALSE)</f>
        <v>種族なし</v>
      </c>
      <c r="AA357" s="14">
        <f ca="1">VLOOKUP(W357,[2]character_tribe_i18n!$A:$H,4,FALSE)</f>
        <v>1</v>
      </c>
      <c r="AB357" s="14">
        <f ca="1">VLOOKUP(W357,[2]character_tribe_i18n!$A:$H,5,FALSE)</f>
        <v>1</v>
      </c>
      <c r="AC357" s="14">
        <f ca="1">VLOOKUP(W357,[2]character_tribe_i18n!$A:$H,6,FALSE)</f>
        <v>1</v>
      </c>
      <c r="AD357" s="14">
        <f ca="1">VLOOKUP(W357,[2]character_tribe_i18n!$A:$H,7,FALSE)</f>
        <v>1</v>
      </c>
      <c r="AE357" s="12" t="s">
        <v>102</v>
      </c>
      <c r="AF357" s="85" t="str">
        <f ca="1">IF(AE357="NULL","",VLOOKUP($AE357,OFFSET([2]characters!$A$1,0,0,COUNTA([2]characters!$A:$A),MATCH(AF$1,[2]characters!$1:$1,0)-MATCH($A$1,[2]characters!$1:$1,0)+1),MATCH(AF$1,[2]characters!$1:$1,0)-MATCH($A$1,[2]characters!$1:$1,0)+1,FALSE))</f>
        <v/>
      </c>
      <c r="AG357" s="8">
        <f t="shared" ca="1" si="37"/>
        <v>356</v>
      </c>
      <c r="AH357" s="85" t="str">
        <f ca="1">VLOOKUP($AG357,OFFSET([2]characters!$A$1,0,0,COUNTA([2]characters!$A:$A),MATCH(AH$1,[2]characters!$1:$1,0)-MATCH($A$1,[2]characters!$1:$1,0)+1),MATCH(AH$1,[2]characters!$1:$1,0)-MATCH($A$1,[2]characters!$1:$1,0)+1,FALSE)</f>
        <v>炎上のドードー</v>
      </c>
      <c r="AI357" s="14" t="str">
        <f>IF(AE357="NULL","NULL",VLOOKUP(G357,ビット!$A$2:$B$7,2))</f>
        <v>NULL</v>
      </c>
      <c r="AJ357" s="9">
        <v>2</v>
      </c>
      <c r="AK357" s="10" t="str">
        <f t="shared" si="43"/>
        <v>普通</v>
      </c>
      <c r="AL357" s="14" t="str">
        <f ca="1">INDEX(経験値!$A$1:$I$20,MATCH(H357,経験値!$A$1:$A$20,FALSE),MATCH(G357,経験値!$A$1:$I$1,FALSE))</f>
        <v>NULL</v>
      </c>
      <c r="AM357" s="11">
        <f ca="1">VLOOKUP(G357,経験値!$A$27:$B$31,2)</f>
        <v>6400</v>
      </c>
      <c r="AN357" s="21">
        <f ca="1">VLOOKUP(G357,ビット!$G$2:$H$7,2)</f>
        <v>900</v>
      </c>
      <c r="AO357" s="57"/>
      <c r="AP357" s="97">
        <v>990014</v>
      </c>
      <c r="AQ357" s="77" t="e">
        <f ca="1">VLOOKUP($AP357,OFFSET([1]unit_skills!$A$1,0,0,COUNTA([1]unit_skills!$A:$A),MATCH("name",[1]unit_skills!$1:$1,0)-MATCH($AP$1,[1]unit_skills!$1:$1,0)+1),MATCH("name",[1]unit_skills!$1:$1,0)-MATCH($AP$1,[1]unit_skills!$1:$1,0)+1,FALSE)</f>
        <v>#VALUE!</v>
      </c>
      <c r="AR357" s="77" t="e">
        <f ca="1">VLOOKUP($AP357,OFFSET([1]unit_skills!$A$1,0,0,COUNTA([1]unit_skills!$A:$A),MATCH("comment",[1]unit_skills!$1:$1,0)-MATCH($AP$1,[1]unit_skills!$1:$1,0)+1),MATCH("comment",[1]unit_skills!$1:$1,0)-MATCH($AP$1,[1]unit_skills!$1:$1,0)+1,FALSE)</f>
        <v>#VALUE!</v>
      </c>
      <c r="AS357" s="77" t="e">
        <f ca="1">VLOOKUP($AP357,OFFSET([1]unit_skills!$A$1,0,0,COUNTA([1]unit_skills!$A:$A),MATCH(AS$1,[1]unit_skills!$1:$1,0)-MATCH($AP$1,[1]unit_skills!$1:$1,0)+1),MATCH(AS$1,[1]unit_skills!$1:$1,0)-MATCH($AP$1,[1]unit_skills!$1:$1,0)+1,FALSE)</f>
        <v>#VALUE!</v>
      </c>
      <c r="AT357" s="53">
        <v>0</v>
      </c>
      <c r="AU357" s="77" t="e">
        <f ca="1">VLOOKUP($AT357,OFFSET([1]crash_skills!$A$1,0,0,COUNTA([1]crash_skills!$A:$A),MATCH("name",[1]crash_skills!$1:$1,0)-MATCH($AT$1,[1]crash_skills!$1:$1,0)+1),MATCH("name",[1]crash_skills!$1:$1,0)-MATCH($AT$1,[1]crash_skills!$1:$1,0)+1,FALSE)</f>
        <v>#VALUE!</v>
      </c>
      <c r="AV357" s="77" t="e">
        <f ca="1">VLOOKUP($AT357,OFFSET([1]crash_skills!$A$1,0,0,COUNTA([1]crash_skills!$A:$A),MATCH("comment",[1]crash_skills!$1:$1,0)-MATCH($AT$1,[1]crash_skills!$1:$1,0)+1),MATCH("comment",[1]crash_skills!$1:$1,0)-MATCH($AT$1,[1]crash_skills!$1:$1,0)+1,FALSE)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57" s="77" t="e">
        <f ca="1">VLOOKUP($AT357,OFFSET([1]crash_skills!$A$1,0,0,COUNTA([1]crash_skills!$A:$A),MATCH(AW$1,[1]crash_skills!$1:$1,0)-MATCH($AT$1,[1]crash_skills!$1:$1,0)+1),MATCH(AW$1,[1]crash_skills!$1:$1,0)-MATCH($AT$1,[1]crash_skills!$1:$1,0)+1,FALSE)</f>
        <v>#VALUE!</v>
      </c>
      <c r="AX357" s="81">
        <f ca="1">VLOOKUP($A357,OFFSET([2]characters!$A$1,0,0,COUNTA([2]characters!$A:$A),MATCH(AX$1,[2]characters!$1:$1,0)-MATCH($A$1,[2]characters!$1:$1,0)+1),MATCH(AX$1,[2]characters!$1:$1,0)-MATCH($A$1,[2]characters!$1:$1,0)+1,FALSE)</f>
        <v>3</v>
      </c>
      <c r="AY357" s="19">
        <v>1</v>
      </c>
      <c r="AZ357" s="19">
        <v>1</v>
      </c>
      <c r="BA357" s="19">
        <v>0</v>
      </c>
      <c r="BB357" s="19">
        <v>1</v>
      </c>
      <c r="BC357" s="14">
        <f ca="1">INDEX('RC6SV'!$A$1:$G$20,MATCH(H357,'RC6SV'!$A$1:$A$20,FALSE),MATCH(G357,'RC6SV'!$A$1:$G$1,FALSE))</f>
        <v>1000</v>
      </c>
      <c r="BD357" s="63">
        <f t="shared" ca="1" si="39"/>
        <v>1000</v>
      </c>
      <c r="BE357" s="14">
        <f t="shared" ca="1" si="40"/>
        <v>0</v>
      </c>
      <c r="BF357" s="14">
        <f t="shared" ca="1" si="41"/>
        <v>1</v>
      </c>
      <c r="BG357" s="20">
        <f ca="1">IF($BE357&lt;=0,ROUND(BK357*0.5,0), ROUND($BE357*S357*AA357*J357*AY357*0.8*[2]ステータス!$B$2,0))</f>
        <v>25</v>
      </c>
      <c r="BH357" s="20">
        <f ca="1">IF($BE357&lt;=0,ROUND(BL357*0.5,0), ROUND($BE357*T357*AB357*K357*AZ357*0.8*[2]ステータス!$C$2,0))</f>
        <v>8</v>
      </c>
      <c r="BI357" s="20">
        <f ca="1">IF($BE357&lt;=0,ROUND(BM357*0.5,0), ROUND($BE357*U357*AC357*L357*BA357*0.8*[2]ステータス!$D$2,0))</f>
        <v>0</v>
      </c>
      <c r="BJ357" s="20">
        <f ca="1">IF($BE357&lt;=0,ROUND(BN357*0.5,0), ROUND($BE357*V357*AD357*M357*BB357*0.8*[2]ステータス!$E$2,0))</f>
        <v>6</v>
      </c>
      <c r="BK357" s="14">
        <f ca="1">ROUND(BD357*S357*AA357*J357*AY357*[2]ステータス!$B$2,0)</f>
        <v>50</v>
      </c>
      <c r="BL357" s="14">
        <f ca="1">ROUND(BD357*T357*AB357*K357*AZ357*[2]ステータス!$C$2,0)</f>
        <v>15</v>
      </c>
      <c r="BM357" s="14">
        <f ca="1">ROUND(BD357*U357*AC357*L357*BA357*[2]ステータス!$D$2,0)</f>
        <v>0</v>
      </c>
      <c r="BN357" s="14">
        <f ca="1">ROUND(BD357*V357*AD357*M357*BB357*[2]ステータス!$E$2,0)</f>
        <v>12</v>
      </c>
      <c r="BO357" s="13">
        <v>0</v>
      </c>
      <c r="BP357" s="13">
        <v>1</v>
      </c>
      <c r="BQ357" s="49" t="s">
        <v>102</v>
      </c>
      <c r="BR357" s="13">
        <f ca="1">VLOOKUP(H357,ghosts_label!$A$2:$B$19,2,FALSE)</f>
        <v>0</v>
      </c>
    </row>
    <row r="358" spans="1:70" ht="21" customHeight="1" x14ac:dyDescent="0.15">
      <c r="A358" s="14">
        <f t="shared" ca="1" si="36"/>
        <v>357</v>
      </c>
      <c r="B358" s="77" t="str">
        <f ca="1">VLOOKUP($A358,OFFSET([2]characters!$A$1,0,0,COUNTA([2]characters!$A:$A),MATCH(B$1,[2]characters!$1:$1,0)-MATCH($A$1,[2]characters!$1:$1,0)+1),MATCH(B$1,[2]characters!$1:$1,0)-MATCH($A$1,[2]characters!$1:$1,0)+1,FALSE)</f>
        <v>千風のグリフォン</v>
      </c>
      <c r="C358" s="77" t="str">
        <f ca="1">VLOOKUP($A358,OFFSET([2]characters!$A$1,0,0,COUNTA([2]characters!$A:$A),MATCH(C$1,[2]characters!$1:$1,0)-MATCH($A$1,[2]characters!$1:$1,0)+1),MATCH(C$1,[2]characters!$1:$1,0)-MATCH($A$1,[2]characters!$1:$1,0)+1,FALSE)</f>
        <v>強化素材R5 緑</v>
      </c>
      <c r="D358" s="77">
        <f ca="1">VLOOKUP($A358,OFFSET([2]characters!$A$1,0,0,COUNTA([2]characters!$A:$A),MATCH(D$1,[2]characters!$1:$1,0)-MATCH($A$1,[2]characters!$1:$1,0)+1),MATCH(D$1,[2]characters!$1:$1,0)-MATCH($A$1,[2]characters!$1:$1,0)+1,FALSE)</f>
        <v>0</v>
      </c>
      <c r="E358" s="77" t="str">
        <f ca="1">VLOOKUP($A358,OFFSET([2]characters!$A$1,0,0,COUNTA([2]characters!$A:$A),MATCH(E$1,[2]characters!$1:$1,0)-MATCH($A$1,[2]characters!$1:$1,0)+1),MATCH(E$1,[2]characters!$1:$1,0)-MATCH($A$1,[2]characters!$1:$1,0)+1,FALSE)</f>
        <v>世界観</v>
      </c>
      <c r="F358" s="77" t="str">
        <f ca="1">VLOOKUP($A358,OFFSET([2]characters!$A$1,0,0,COUNTA([2]characters!$A:$A),MATCH(F$1,[2]characters!$1:$1,0)-MATCH($A$1,[2]characters!$1:$1,0)+1),MATCH(F$1,[2]characters!$1:$1,0)-MATCH($A$1,[2]characters!$1:$1,0)+1,FALSE)</f>
        <v>不明</v>
      </c>
      <c r="G358" s="77">
        <f ca="1">VLOOKUP($A358,OFFSET([2]characters!$A$1,0,0,COUNTA([2]characters!$A:$A),MATCH(G$1,[2]characters!$1:$1,0)-MATCH($A$1,[2]characters!$1:$1,0)+1),MATCH(G$1,[2]characters!$1:$1,0)-MATCH($A$1,[2]characters!$1:$1,0)+1,FALSE)</f>
        <v>5</v>
      </c>
      <c r="H358" s="77" t="str">
        <f ca="1">VLOOKUP($A358,OFFSET([2]characters!$A$1,0,0,COUNTA([2]characters!$A:$A),MATCH(H$1,[2]characters!$1:$1,0)-MATCH($A$1,[2]characters!$1:$1,0)+1),MATCH(H$1,[2]characters!$1:$1,0)-MATCH($A$1,[2]characters!$1:$1,0)+1,FALSE)</f>
        <v>Material</v>
      </c>
      <c r="I358" s="77" t="str">
        <f ca="1">VLOOKUP($A358,OFFSET([2]characters!$A$1,0,0,COUNTA([2]characters!$A:$A),MATCH(I$1,[2]characters!$1:$1,0)-MATCH($A$1,[2]characters!$1:$1,0)+1),MATCH(I$1,[2]characters!$1:$1,0)-MATCH($A$1,[2]characters!$1:$1,0)+1,FALSE)</f>
        <v>green</v>
      </c>
      <c r="J358" s="14">
        <f ca="1">VLOOKUP(I358,[2]属性!$A:$E,2,FALSE)</f>
        <v>1.02</v>
      </c>
      <c r="K358" s="14">
        <f ca="1">VLOOKUP(I358,[2]属性!$A:$E,3,FALSE)</f>
        <v>0.98</v>
      </c>
      <c r="L358" s="14">
        <f ca="1">VLOOKUP(I358,[2]属性!$A:$E,4,FALSE)</f>
        <v>1</v>
      </c>
      <c r="M358" s="14">
        <f ca="1">VLOOKUP(I358,[2]属性!$A:$E,5,FALSE)</f>
        <v>1</v>
      </c>
      <c r="N358" s="14">
        <f ca="1">INDEX(コスト!$A$1:$I$20,MATCH(H358,コスト!$A$1:$A$20,FALSE),MATCH(G358,コスト!$A$1:$I$1,FALSE))</f>
        <v>99</v>
      </c>
      <c r="O358" s="14">
        <f ca="1">INDEX(レベル!$A$1:$I$21,MATCH(H358,レベル!$A$1:$A$21,FALSE),MATCH(G358,レベル!$A$1:$I$1,FALSE))</f>
        <v>1</v>
      </c>
      <c r="P358" s="63">
        <f t="shared" ca="1" si="42"/>
        <v>75</v>
      </c>
      <c r="Q358" s="77" t="str">
        <f ca="1">VLOOKUP($A358,OFFSET([2]characters!$A$1,0,0,COUNTA([2]characters!$A:$A),MATCH(Q$1,[2]characters!$1:$1,0)-MATCH($A$1,[2]characters!$1:$1,0)+1),MATCH(Q$1,[2]characters!$1:$1,0)-MATCH($A$1,[2]characters!$1:$1,0)+1,FALSE)</f>
        <v>evolution</v>
      </c>
      <c r="R358" s="8" t="str">
        <f ca="1">VLOOKUP(Q358,[2]character_type_i18n!$A:$H,3,FALSE)</f>
        <v>覚醒素材タイプ</v>
      </c>
      <c r="S358" s="14">
        <f ca="1">VLOOKUP(Q358,[2]character_type_i18n!$A:$H,4,FALSE)</f>
        <v>0.1</v>
      </c>
      <c r="T358" s="14">
        <f ca="1">VLOOKUP(Q358,[2]character_type_i18n!$A:$H,5,FALSE)</f>
        <v>0.05</v>
      </c>
      <c r="U358" s="14">
        <f ca="1">VLOOKUP(Q358,[2]character_type_i18n!$A:$H,6,FALSE)</f>
        <v>1</v>
      </c>
      <c r="V358" s="14">
        <f ca="1">VLOOKUP(Q358,[2]character_type_i18n!$A:$H,7,FALSE)</f>
        <v>0.05</v>
      </c>
      <c r="W358" s="77" t="str">
        <f ca="1">VLOOKUP($A358,OFFSET([2]characters!$A$1,0,0,COUNTA([2]characters!$A:$A),MATCH(W$1,[2]characters!$1:$1,0)-MATCH($A$1,[2]characters!$1:$1,0)+1),MATCH(W$1,[2]characters!$1:$1,0)-MATCH($A$1,[2]characters!$1:$1,0)+1,FALSE)</f>
        <v>unknown</v>
      </c>
      <c r="X358" s="8" t="str">
        <f ca="1">VLOOKUP(W358,[2]character_tribe_i18n!$A:$H,3,FALSE)</f>
        <v>Unknown</v>
      </c>
      <c r="Y358" s="77" t="str">
        <f ca="1">VLOOKUP($A358,OFFSET([2]characters!$A$1,0,0,COUNTA([2]characters!$A:$A),MATCH(Y$1,[2]characters!$1:$1,0)-MATCH($A$1,[2]characters!$1:$1,0)+1),MATCH(Y$1,[2]characters!$1:$1,0)-MATCH($A$1,[2]characters!$1:$1,0)+1,FALSE)</f>
        <v>none</v>
      </c>
      <c r="Z358" s="8" t="str">
        <f ca="1">VLOOKUP(Y358,[2]character_tribe_i18n!$A:$H,3,FALSE)</f>
        <v>種族なし</v>
      </c>
      <c r="AA358" s="14">
        <f ca="1">VLOOKUP(W358,[2]character_tribe_i18n!$A:$H,4,FALSE)</f>
        <v>1</v>
      </c>
      <c r="AB358" s="14">
        <f ca="1">VLOOKUP(W358,[2]character_tribe_i18n!$A:$H,5,FALSE)</f>
        <v>1</v>
      </c>
      <c r="AC358" s="14">
        <f ca="1">VLOOKUP(W358,[2]character_tribe_i18n!$A:$H,6,FALSE)</f>
        <v>1</v>
      </c>
      <c r="AD358" s="14">
        <f ca="1">VLOOKUP(W358,[2]character_tribe_i18n!$A:$H,7,FALSE)</f>
        <v>1</v>
      </c>
      <c r="AE358" s="12" t="s">
        <v>102</v>
      </c>
      <c r="AF358" s="85" t="str">
        <f ca="1">IF(AE358="NULL","",VLOOKUP($AE358,OFFSET([2]characters!$A$1,0,0,COUNTA([2]characters!$A:$A),MATCH(AF$1,[2]characters!$1:$1,0)-MATCH($A$1,[2]characters!$1:$1,0)+1),MATCH(AF$1,[2]characters!$1:$1,0)-MATCH($A$1,[2]characters!$1:$1,0)+1,FALSE))</f>
        <v/>
      </c>
      <c r="AG358" s="8">
        <f t="shared" ca="1" si="37"/>
        <v>357</v>
      </c>
      <c r="AH358" s="85" t="str">
        <f ca="1">VLOOKUP($AG358,OFFSET([2]characters!$A$1,0,0,COUNTA([2]characters!$A:$A),MATCH(AH$1,[2]characters!$1:$1,0)-MATCH($A$1,[2]characters!$1:$1,0)+1),MATCH(AH$1,[2]characters!$1:$1,0)-MATCH($A$1,[2]characters!$1:$1,0)+1,FALSE)</f>
        <v>千風のグリフォン</v>
      </c>
      <c r="AI358" s="14" t="str">
        <f>IF(AE358="NULL","NULL",VLOOKUP(G358,ビット!$A$2:$B$7,2))</f>
        <v>NULL</v>
      </c>
      <c r="AJ358" s="9">
        <v>2</v>
      </c>
      <c r="AK358" s="10" t="str">
        <f t="shared" si="43"/>
        <v>普通</v>
      </c>
      <c r="AL358" s="14" t="str">
        <f ca="1">INDEX(経験値!$A$1:$I$20,MATCH(H358,経験値!$A$1:$A$20,FALSE),MATCH(G358,経験値!$A$1:$I$1,FALSE))</f>
        <v>NULL</v>
      </c>
      <c r="AM358" s="11">
        <f ca="1">VLOOKUP(G358,経験値!$A$27:$B$31,2)</f>
        <v>6400</v>
      </c>
      <c r="AN358" s="21">
        <f ca="1">VLOOKUP(G358,ビット!$G$2:$H$7,2)</f>
        <v>900</v>
      </c>
      <c r="AO358" s="57"/>
      <c r="AP358" s="97">
        <v>990014</v>
      </c>
      <c r="AQ358" s="77" t="e">
        <f ca="1">VLOOKUP($AP358,OFFSET([1]unit_skills!$A$1,0,0,COUNTA([1]unit_skills!$A:$A),MATCH("name",[1]unit_skills!$1:$1,0)-MATCH($AP$1,[1]unit_skills!$1:$1,0)+1),MATCH("name",[1]unit_skills!$1:$1,0)-MATCH($AP$1,[1]unit_skills!$1:$1,0)+1,FALSE)</f>
        <v>#VALUE!</v>
      </c>
      <c r="AR358" s="77" t="e">
        <f ca="1">VLOOKUP($AP358,OFFSET([1]unit_skills!$A$1,0,0,COUNTA([1]unit_skills!$A:$A),MATCH("comment",[1]unit_skills!$1:$1,0)-MATCH($AP$1,[1]unit_skills!$1:$1,0)+1),MATCH("comment",[1]unit_skills!$1:$1,0)-MATCH($AP$1,[1]unit_skills!$1:$1,0)+1,FALSE)</f>
        <v>#VALUE!</v>
      </c>
      <c r="AS358" s="77" t="e">
        <f ca="1">VLOOKUP($AP358,OFFSET([1]unit_skills!$A$1,0,0,COUNTA([1]unit_skills!$A:$A),MATCH(AS$1,[1]unit_skills!$1:$1,0)-MATCH($AP$1,[1]unit_skills!$1:$1,0)+1),MATCH(AS$1,[1]unit_skills!$1:$1,0)-MATCH($AP$1,[1]unit_skills!$1:$1,0)+1,FALSE)</f>
        <v>#VALUE!</v>
      </c>
      <c r="AT358" s="53">
        <v>0</v>
      </c>
      <c r="AU358" s="77" t="e">
        <f ca="1">VLOOKUP($AT358,OFFSET([1]crash_skills!$A$1,0,0,COUNTA([1]crash_skills!$A:$A),MATCH("name",[1]crash_skills!$1:$1,0)-MATCH($AT$1,[1]crash_skills!$1:$1,0)+1),MATCH("name",[1]crash_skills!$1:$1,0)-MATCH($AT$1,[1]crash_skills!$1:$1,0)+1,FALSE)</f>
        <v>#VALUE!</v>
      </c>
      <c r="AV358" s="77" t="e">
        <f ca="1">VLOOKUP($AT358,OFFSET([1]crash_skills!$A$1,0,0,COUNTA([1]crash_skills!$A:$A),MATCH("comment",[1]crash_skills!$1:$1,0)-MATCH($AT$1,[1]crash_skills!$1:$1,0)+1),MATCH("comment",[1]crash_skills!$1:$1,0)-MATCH($AT$1,[1]crash_skills!$1:$1,0)+1,FALSE)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58" s="77" t="e">
        <f ca="1">VLOOKUP($AT358,OFFSET([1]crash_skills!$A$1,0,0,COUNTA([1]crash_skills!$A:$A),MATCH(AW$1,[1]crash_skills!$1:$1,0)-MATCH($AT$1,[1]crash_skills!$1:$1,0)+1),MATCH(AW$1,[1]crash_skills!$1:$1,0)-MATCH($AT$1,[1]crash_skills!$1:$1,0)+1,FALSE)</f>
        <v>#VALUE!</v>
      </c>
      <c r="AX358" s="81">
        <f ca="1">VLOOKUP($A358,OFFSET([2]characters!$A$1,0,0,COUNTA([2]characters!$A:$A),MATCH(AX$1,[2]characters!$1:$1,0)-MATCH($A$1,[2]characters!$1:$1,0)+1),MATCH(AX$1,[2]characters!$1:$1,0)-MATCH($A$1,[2]characters!$1:$1,0)+1,FALSE)</f>
        <v>3</v>
      </c>
      <c r="AY358" s="19">
        <v>1</v>
      </c>
      <c r="AZ358" s="19">
        <v>1</v>
      </c>
      <c r="BA358" s="19">
        <v>0</v>
      </c>
      <c r="BB358" s="19">
        <v>1</v>
      </c>
      <c r="BC358" s="14">
        <f ca="1">INDEX('RC6SV'!$A$1:$G$20,MATCH(H358,'RC6SV'!$A$1:$A$20,FALSE),MATCH(G358,'RC6SV'!$A$1:$G$1,FALSE))</f>
        <v>1000</v>
      </c>
      <c r="BD358" s="63">
        <f t="shared" ca="1" si="39"/>
        <v>1000</v>
      </c>
      <c r="BE358" s="14">
        <f t="shared" ca="1" si="40"/>
        <v>0</v>
      </c>
      <c r="BF358" s="14">
        <f t="shared" ca="1" si="41"/>
        <v>1</v>
      </c>
      <c r="BG358" s="20">
        <f ca="1">IF($BE358&lt;=0,ROUND(BK358*0.5,0), ROUND($BE358*S358*AA358*J358*AY358*0.8*[2]ステータス!$B$2,0))</f>
        <v>26</v>
      </c>
      <c r="BH358" s="20">
        <f ca="1">IF($BE358&lt;=0,ROUND(BL358*0.5,0), ROUND($BE358*T358*AB358*K358*AZ358*0.8*[2]ステータス!$C$2,0))</f>
        <v>8</v>
      </c>
      <c r="BI358" s="20">
        <f ca="1">IF($BE358&lt;=0,ROUND(BM358*0.5,0), ROUND($BE358*U358*AC358*L358*BA358*0.8*[2]ステータス!$D$2,0))</f>
        <v>0</v>
      </c>
      <c r="BJ358" s="20">
        <f ca="1">IF($BE358&lt;=0,ROUND(BN358*0.5,0), ROUND($BE358*V358*AD358*M358*BB358*0.8*[2]ステータス!$E$2,0))</f>
        <v>7</v>
      </c>
      <c r="BK358" s="14">
        <f ca="1">ROUND(BD358*S358*AA358*J358*AY358*[2]ステータス!$B$2,0)</f>
        <v>51</v>
      </c>
      <c r="BL358" s="14">
        <f ca="1">ROUND(BD358*T358*AB358*K358*AZ358*[2]ステータス!$C$2,0)</f>
        <v>15</v>
      </c>
      <c r="BM358" s="14">
        <f ca="1">ROUND(BD358*U358*AC358*L358*BA358*[2]ステータス!$D$2,0)</f>
        <v>0</v>
      </c>
      <c r="BN358" s="14">
        <f ca="1">ROUND(BD358*V358*AD358*M358*BB358*[2]ステータス!$E$2,0)</f>
        <v>13</v>
      </c>
      <c r="BO358" s="13">
        <v>0</v>
      </c>
      <c r="BP358" s="13">
        <v>1</v>
      </c>
      <c r="BQ358" s="49" t="s">
        <v>102</v>
      </c>
      <c r="BR358" s="13">
        <f ca="1">VLOOKUP(H358,ghosts_label!$A$2:$B$19,2,FALSE)</f>
        <v>0</v>
      </c>
    </row>
    <row r="359" spans="1:70" ht="21" customHeight="1" x14ac:dyDescent="0.15">
      <c r="A359" s="14">
        <f t="shared" ca="1" si="36"/>
        <v>358</v>
      </c>
      <c r="B359" s="77" t="str">
        <f ca="1">VLOOKUP($A359,OFFSET([2]characters!$A$1,0,0,COUNTA([2]characters!$A:$A),MATCH(B$1,[2]characters!$1:$1,0)-MATCH($A$1,[2]characters!$1:$1,0)+1),MATCH(B$1,[2]characters!$1:$1,0)-MATCH($A$1,[2]characters!$1:$1,0)+1,FALSE)</f>
        <v>深淵の代用ウミガメ</v>
      </c>
      <c r="C359" s="77" t="str">
        <f ca="1">VLOOKUP($A359,OFFSET([2]characters!$A$1,0,0,COUNTA([2]characters!$A:$A),MATCH(C$1,[2]characters!$1:$1,0)-MATCH($A$1,[2]characters!$1:$1,0)+1),MATCH(C$1,[2]characters!$1:$1,0)-MATCH($A$1,[2]characters!$1:$1,0)+1,FALSE)</f>
        <v>強化素材R5 青</v>
      </c>
      <c r="D359" s="77">
        <f ca="1">VLOOKUP($A359,OFFSET([2]characters!$A$1,0,0,COUNTA([2]characters!$A:$A),MATCH(D$1,[2]characters!$1:$1,0)-MATCH($A$1,[2]characters!$1:$1,0)+1),MATCH(D$1,[2]characters!$1:$1,0)-MATCH($A$1,[2]characters!$1:$1,0)+1,FALSE)</f>
        <v>0</v>
      </c>
      <c r="E359" s="77" t="str">
        <f ca="1">VLOOKUP($A359,OFFSET([2]characters!$A$1,0,0,COUNTA([2]characters!$A:$A),MATCH(E$1,[2]characters!$1:$1,0)-MATCH($A$1,[2]characters!$1:$1,0)+1),MATCH(E$1,[2]characters!$1:$1,0)-MATCH($A$1,[2]characters!$1:$1,0)+1,FALSE)</f>
        <v>世界観</v>
      </c>
      <c r="F359" s="77" t="str">
        <f ca="1">VLOOKUP($A359,OFFSET([2]characters!$A$1,0,0,COUNTA([2]characters!$A:$A),MATCH(F$1,[2]characters!$1:$1,0)-MATCH($A$1,[2]characters!$1:$1,0)+1),MATCH(F$1,[2]characters!$1:$1,0)-MATCH($A$1,[2]characters!$1:$1,0)+1,FALSE)</f>
        <v>不明</v>
      </c>
      <c r="G359" s="77">
        <f ca="1">VLOOKUP($A359,OFFSET([2]characters!$A$1,0,0,COUNTA([2]characters!$A:$A),MATCH(G$1,[2]characters!$1:$1,0)-MATCH($A$1,[2]characters!$1:$1,0)+1),MATCH(G$1,[2]characters!$1:$1,0)-MATCH($A$1,[2]characters!$1:$1,0)+1,FALSE)</f>
        <v>5</v>
      </c>
      <c r="H359" s="77" t="str">
        <f ca="1">VLOOKUP($A359,OFFSET([2]characters!$A$1,0,0,COUNTA([2]characters!$A:$A),MATCH(H$1,[2]characters!$1:$1,0)-MATCH($A$1,[2]characters!$1:$1,0)+1),MATCH(H$1,[2]characters!$1:$1,0)-MATCH($A$1,[2]characters!$1:$1,0)+1,FALSE)</f>
        <v>Material</v>
      </c>
      <c r="I359" s="77" t="str">
        <f ca="1">VLOOKUP($A359,OFFSET([2]characters!$A$1,0,0,COUNTA([2]characters!$A:$A),MATCH(I$1,[2]characters!$1:$1,0)-MATCH($A$1,[2]characters!$1:$1,0)+1),MATCH(I$1,[2]characters!$1:$1,0)-MATCH($A$1,[2]characters!$1:$1,0)+1,FALSE)</f>
        <v>blue</v>
      </c>
      <c r="J359" s="14">
        <f ca="1">VLOOKUP(I359,[2]属性!$A:$E,2,FALSE)</f>
        <v>1</v>
      </c>
      <c r="K359" s="14">
        <f ca="1">VLOOKUP(I359,[2]属性!$A:$E,3,FALSE)</f>
        <v>0.98</v>
      </c>
      <c r="L359" s="14">
        <f ca="1">VLOOKUP(I359,[2]属性!$A:$E,4,FALSE)</f>
        <v>1</v>
      </c>
      <c r="M359" s="14">
        <f ca="1">VLOOKUP(I359,[2]属性!$A:$E,5,FALSE)</f>
        <v>1.02</v>
      </c>
      <c r="N359" s="14">
        <f ca="1">INDEX(コスト!$A$1:$I$20,MATCH(H359,コスト!$A$1:$A$20,FALSE),MATCH(G359,コスト!$A$1:$I$1,FALSE))</f>
        <v>99</v>
      </c>
      <c r="O359" s="14">
        <f ca="1">INDEX(レベル!$A$1:$I$21,MATCH(H359,レベル!$A$1:$A$21,FALSE),MATCH(G359,レベル!$A$1:$I$1,FALSE))</f>
        <v>1</v>
      </c>
      <c r="P359" s="63">
        <f t="shared" ca="1" si="42"/>
        <v>75</v>
      </c>
      <c r="Q359" s="77" t="str">
        <f ca="1">VLOOKUP($A359,OFFSET([2]characters!$A$1,0,0,COUNTA([2]characters!$A:$A),MATCH(Q$1,[2]characters!$1:$1,0)-MATCH($A$1,[2]characters!$1:$1,0)+1),MATCH(Q$1,[2]characters!$1:$1,0)-MATCH($A$1,[2]characters!$1:$1,0)+1,FALSE)</f>
        <v>evolution</v>
      </c>
      <c r="R359" s="8" t="str">
        <f ca="1">VLOOKUP(Q359,[2]character_type_i18n!$A:$H,3,FALSE)</f>
        <v>覚醒素材タイプ</v>
      </c>
      <c r="S359" s="14">
        <f ca="1">VLOOKUP(Q359,[2]character_type_i18n!$A:$H,4,FALSE)</f>
        <v>0.1</v>
      </c>
      <c r="T359" s="14">
        <f ca="1">VLOOKUP(Q359,[2]character_type_i18n!$A:$H,5,FALSE)</f>
        <v>0.05</v>
      </c>
      <c r="U359" s="14">
        <f ca="1">VLOOKUP(Q359,[2]character_type_i18n!$A:$H,6,FALSE)</f>
        <v>1</v>
      </c>
      <c r="V359" s="14">
        <f ca="1">VLOOKUP(Q359,[2]character_type_i18n!$A:$H,7,FALSE)</f>
        <v>0.05</v>
      </c>
      <c r="W359" s="77" t="str">
        <f ca="1">VLOOKUP($A359,OFFSET([2]characters!$A$1,0,0,COUNTA([2]characters!$A:$A),MATCH(W$1,[2]characters!$1:$1,0)-MATCH($A$1,[2]characters!$1:$1,0)+1),MATCH(W$1,[2]characters!$1:$1,0)-MATCH($A$1,[2]characters!$1:$1,0)+1,FALSE)</f>
        <v>unknown</v>
      </c>
      <c r="X359" s="8" t="str">
        <f ca="1">VLOOKUP(W359,[2]character_tribe_i18n!$A:$H,3,FALSE)</f>
        <v>Unknown</v>
      </c>
      <c r="Y359" s="77" t="str">
        <f ca="1">VLOOKUP($A359,OFFSET([2]characters!$A$1,0,0,COUNTA([2]characters!$A:$A),MATCH(Y$1,[2]characters!$1:$1,0)-MATCH($A$1,[2]characters!$1:$1,0)+1),MATCH(Y$1,[2]characters!$1:$1,0)-MATCH($A$1,[2]characters!$1:$1,0)+1,FALSE)</f>
        <v>none</v>
      </c>
      <c r="Z359" s="8" t="str">
        <f ca="1">VLOOKUP(Y359,[2]character_tribe_i18n!$A:$H,3,FALSE)</f>
        <v>種族なし</v>
      </c>
      <c r="AA359" s="14">
        <f ca="1">VLOOKUP(W359,[2]character_tribe_i18n!$A:$H,4,FALSE)</f>
        <v>1</v>
      </c>
      <c r="AB359" s="14">
        <f ca="1">VLOOKUP(W359,[2]character_tribe_i18n!$A:$H,5,FALSE)</f>
        <v>1</v>
      </c>
      <c r="AC359" s="14">
        <f ca="1">VLOOKUP(W359,[2]character_tribe_i18n!$A:$H,6,FALSE)</f>
        <v>1</v>
      </c>
      <c r="AD359" s="14">
        <f ca="1">VLOOKUP(W359,[2]character_tribe_i18n!$A:$H,7,FALSE)</f>
        <v>1</v>
      </c>
      <c r="AE359" s="12" t="s">
        <v>102</v>
      </c>
      <c r="AF359" s="85" t="str">
        <f ca="1">IF(AE359="NULL","",VLOOKUP($AE359,OFFSET([2]characters!$A$1,0,0,COUNTA([2]characters!$A:$A),MATCH(AF$1,[2]characters!$1:$1,0)-MATCH($A$1,[2]characters!$1:$1,0)+1),MATCH(AF$1,[2]characters!$1:$1,0)-MATCH($A$1,[2]characters!$1:$1,0)+1,FALSE))</f>
        <v/>
      </c>
      <c r="AG359" s="8">
        <f t="shared" ca="1" si="37"/>
        <v>358</v>
      </c>
      <c r="AH359" s="85" t="str">
        <f ca="1">VLOOKUP($AG359,OFFSET([2]characters!$A$1,0,0,COUNTA([2]characters!$A:$A),MATCH(AH$1,[2]characters!$1:$1,0)-MATCH($A$1,[2]characters!$1:$1,0)+1),MATCH(AH$1,[2]characters!$1:$1,0)-MATCH($A$1,[2]characters!$1:$1,0)+1,FALSE)</f>
        <v>深淵の代用ウミガメ</v>
      </c>
      <c r="AI359" s="14" t="str">
        <f>IF(AE359="NULL","NULL",VLOOKUP(G359,ビット!$A$2:$B$7,2))</f>
        <v>NULL</v>
      </c>
      <c r="AJ359" s="9">
        <v>2</v>
      </c>
      <c r="AK359" s="10" t="str">
        <f t="shared" si="43"/>
        <v>普通</v>
      </c>
      <c r="AL359" s="14" t="str">
        <f ca="1">INDEX(経験値!$A$1:$I$20,MATCH(H359,経験値!$A$1:$A$20,FALSE),MATCH(G359,経験値!$A$1:$I$1,FALSE))</f>
        <v>NULL</v>
      </c>
      <c r="AM359" s="11">
        <f ca="1">VLOOKUP(G359,経験値!$A$27:$B$31,2)</f>
        <v>6400</v>
      </c>
      <c r="AN359" s="21">
        <f ca="1">VLOOKUP(G359,ビット!$G$2:$H$7,2)</f>
        <v>900</v>
      </c>
      <c r="AO359" s="57"/>
      <c r="AP359" s="97">
        <v>990014</v>
      </c>
      <c r="AQ359" s="77" t="e">
        <f ca="1">VLOOKUP($AP359,OFFSET([1]unit_skills!$A$1,0,0,COUNTA([1]unit_skills!$A:$A),MATCH("name",[1]unit_skills!$1:$1,0)-MATCH($AP$1,[1]unit_skills!$1:$1,0)+1),MATCH("name",[1]unit_skills!$1:$1,0)-MATCH($AP$1,[1]unit_skills!$1:$1,0)+1,FALSE)</f>
        <v>#VALUE!</v>
      </c>
      <c r="AR359" s="77" t="e">
        <f ca="1">VLOOKUP($AP359,OFFSET([1]unit_skills!$A$1,0,0,COUNTA([1]unit_skills!$A:$A),MATCH("comment",[1]unit_skills!$1:$1,0)-MATCH($AP$1,[1]unit_skills!$1:$1,0)+1),MATCH("comment",[1]unit_skills!$1:$1,0)-MATCH($AP$1,[1]unit_skills!$1:$1,0)+1,FALSE)</f>
        <v>#VALUE!</v>
      </c>
      <c r="AS359" s="77" t="e">
        <f ca="1">VLOOKUP($AP359,OFFSET([1]unit_skills!$A$1,0,0,COUNTA([1]unit_skills!$A:$A),MATCH(AS$1,[1]unit_skills!$1:$1,0)-MATCH($AP$1,[1]unit_skills!$1:$1,0)+1),MATCH(AS$1,[1]unit_skills!$1:$1,0)-MATCH($AP$1,[1]unit_skills!$1:$1,0)+1,FALSE)</f>
        <v>#VALUE!</v>
      </c>
      <c r="AT359" s="53">
        <v>0</v>
      </c>
      <c r="AU359" s="77" t="e">
        <f ca="1">VLOOKUP($AT359,OFFSET([1]crash_skills!$A$1,0,0,COUNTA([1]crash_skills!$A:$A),MATCH("name",[1]crash_skills!$1:$1,0)-MATCH($AT$1,[1]crash_skills!$1:$1,0)+1),MATCH("name",[1]crash_skills!$1:$1,0)-MATCH($AT$1,[1]crash_skills!$1:$1,0)+1,FALSE)</f>
        <v>#VALUE!</v>
      </c>
      <c r="AV359" s="77" t="e">
        <f ca="1">VLOOKUP($AT359,OFFSET([1]crash_skills!$A$1,0,0,COUNTA([1]crash_skills!$A:$A),MATCH("comment",[1]crash_skills!$1:$1,0)-MATCH($AT$1,[1]crash_skills!$1:$1,0)+1),MATCH("comment",[1]crash_skills!$1:$1,0)-MATCH($AT$1,[1]crash_skills!$1:$1,0)+1,FALSE)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59" s="77" t="e">
        <f ca="1">VLOOKUP($AT359,OFFSET([1]crash_skills!$A$1,0,0,COUNTA([1]crash_skills!$A:$A),MATCH(AW$1,[1]crash_skills!$1:$1,0)-MATCH($AT$1,[1]crash_skills!$1:$1,0)+1),MATCH(AW$1,[1]crash_skills!$1:$1,0)-MATCH($AT$1,[1]crash_skills!$1:$1,0)+1,FALSE)</f>
        <v>#VALUE!</v>
      </c>
      <c r="AX359" s="81">
        <f ca="1">VLOOKUP($A359,OFFSET([2]characters!$A$1,0,0,COUNTA([2]characters!$A:$A),MATCH(AX$1,[2]characters!$1:$1,0)-MATCH($A$1,[2]characters!$1:$1,0)+1),MATCH(AX$1,[2]characters!$1:$1,0)-MATCH($A$1,[2]characters!$1:$1,0)+1,FALSE)</f>
        <v>3</v>
      </c>
      <c r="AY359" s="19">
        <v>1</v>
      </c>
      <c r="AZ359" s="19">
        <v>1</v>
      </c>
      <c r="BA359" s="19">
        <v>0</v>
      </c>
      <c r="BB359" s="19">
        <v>1</v>
      </c>
      <c r="BC359" s="14">
        <f ca="1">INDEX('RC6SV'!$A$1:$G$20,MATCH(H359,'RC6SV'!$A$1:$A$20,FALSE),MATCH(G359,'RC6SV'!$A$1:$G$1,FALSE))</f>
        <v>1000</v>
      </c>
      <c r="BD359" s="63">
        <f t="shared" ca="1" si="39"/>
        <v>1000</v>
      </c>
      <c r="BE359" s="14">
        <f t="shared" ca="1" si="40"/>
        <v>0</v>
      </c>
      <c r="BF359" s="14">
        <f t="shared" ca="1" si="41"/>
        <v>1</v>
      </c>
      <c r="BG359" s="20">
        <f ca="1">IF($BE359&lt;=0,ROUND(BK359*0.5,0), ROUND($BE359*S359*AA359*J359*AY359*0.8*[2]ステータス!$B$2,0))</f>
        <v>25</v>
      </c>
      <c r="BH359" s="20">
        <f ca="1">IF($BE359&lt;=0,ROUND(BL359*0.5,0), ROUND($BE359*T359*AB359*K359*AZ359*0.8*[2]ステータス!$C$2,0))</f>
        <v>8</v>
      </c>
      <c r="BI359" s="20">
        <f ca="1">IF($BE359&lt;=0,ROUND(BM359*0.5,0), ROUND($BE359*U359*AC359*L359*BA359*0.8*[2]ステータス!$D$2,0))</f>
        <v>0</v>
      </c>
      <c r="BJ359" s="20">
        <f ca="1">IF($BE359&lt;=0,ROUND(BN359*0.5,0), ROUND($BE359*V359*AD359*M359*BB359*0.8*[2]ステータス!$E$2,0))</f>
        <v>7</v>
      </c>
      <c r="BK359" s="14">
        <f ca="1">ROUND(BD359*S359*AA359*J359*AY359*[2]ステータス!$B$2,0)</f>
        <v>50</v>
      </c>
      <c r="BL359" s="14">
        <f ca="1">ROUND(BD359*T359*AB359*K359*AZ359*[2]ステータス!$C$2,0)</f>
        <v>15</v>
      </c>
      <c r="BM359" s="14">
        <f ca="1">ROUND(BD359*U359*AC359*L359*BA359*[2]ステータス!$D$2,0)</f>
        <v>0</v>
      </c>
      <c r="BN359" s="14">
        <f ca="1">ROUND(BD359*V359*AD359*M359*BB359*[2]ステータス!$E$2,0)</f>
        <v>13</v>
      </c>
      <c r="BO359" s="13">
        <v>0</v>
      </c>
      <c r="BP359" s="13">
        <v>1</v>
      </c>
      <c r="BQ359" s="49" t="s">
        <v>102</v>
      </c>
      <c r="BR359" s="13">
        <f ca="1">VLOOKUP(H359,ghosts_label!$A$2:$B$19,2,FALSE)</f>
        <v>0</v>
      </c>
    </row>
    <row r="360" spans="1:70" ht="21" customHeight="1" x14ac:dyDescent="0.15">
      <c r="A360" s="14">
        <f t="shared" ca="1" si="36"/>
        <v>359</v>
      </c>
      <c r="B360" s="77" t="str">
        <f ca="1">VLOOKUP($A360,OFFSET([2]characters!$A$1,0,0,COUNTA([2]characters!$A:$A),MATCH(B$1,[2]characters!$1:$1,0)-MATCH($A$1,[2]characters!$1:$1,0)+1),MATCH(B$1,[2]characters!$1:$1,0)-MATCH($A$1,[2]characters!$1:$1,0)+1,FALSE)</f>
        <v>醒電の眠りネズミ</v>
      </c>
      <c r="C360" s="77" t="str">
        <f ca="1">VLOOKUP($A360,OFFSET([2]characters!$A$1,0,0,COUNTA([2]characters!$A:$A),MATCH(C$1,[2]characters!$1:$1,0)-MATCH($A$1,[2]characters!$1:$1,0)+1),MATCH(C$1,[2]characters!$1:$1,0)-MATCH($A$1,[2]characters!$1:$1,0)+1,FALSE)</f>
        <v>強化素材R5 黄</v>
      </c>
      <c r="D360" s="77">
        <f ca="1">VLOOKUP($A360,OFFSET([2]characters!$A$1,0,0,COUNTA([2]characters!$A:$A),MATCH(D$1,[2]characters!$1:$1,0)-MATCH($A$1,[2]characters!$1:$1,0)+1),MATCH(D$1,[2]characters!$1:$1,0)-MATCH($A$1,[2]characters!$1:$1,0)+1,FALSE)</f>
        <v>0</v>
      </c>
      <c r="E360" s="77" t="str">
        <f ca="1">VLOOKUP($A360,OFFSET([2]characters!$A$1,0,0,COUNTA([2]characters!$A:$A),MATCH(E$1,[2]characters!$1:$1,0)-MATCH($A$1,[2]characters!$1:$1,0)+1),MATCH(E$1,[2]characters!$1:$1,0)-MATCH($A$1,[2]characters!$1:$1,0)+1,FALSE)</f>
        <v>世界観</v>
      </c>
      <c r="F360" s="77" t="str">
        <f ca="1">VLOOKUP($A360,OFFSET([2]characters!$A$1,0,0,COUNTA([2]characters!$A:$A),MATCH(F$1,[2]characters!$1:$1,0)-MATCH($A$1,[2]characters!$1:$1,0)+1),MATCH(F$1,[2]characters!$1:$1,0)-MATCH($A$1,[2]characters!$1:$1,0)+1,FALSE)</f>
        <v>不明</v>
      </c>
      <c r="G360" s="77">
        <f ca="1">VLOOKUP($A360,OFFSET([2]characters!$A$1,0,0,COUNTA([2]characters!$A:$A),MATCH(G$1,[2]characters!$1:$1,0)-MATCH($A$1,[2]characters!$1:$1,0)+1),MATCH(G$1,[2]characters!$1:$1,0)-MATCH($A$1,[2]characters!$1:$1,0)+1,FALSE)</f>
        <v>5</v>
      </c>
      <c r="H360" s="77" t="str">
        <f ca="1">VLOOKUP($A360,OFFSET([2]characters!$A$1,0,0,COUNTA([2]characters!$A:$A),MATCH(H$1,[2]characters!$1:$1,0)-MATCH($A$1,[2]characters!$1:$1,0)+1),MATCH(H$1,[2]characters!$1:$1,0)-MATCH($A$1,[2]characters!$1:$1,0)+1,FALSE)</f>
        <v>Material</v>
      </c>
      <c r="I360" s="77" t="str">
        <f ca="1">VLOOKUP($A360,OFFSET([2]characters!$A$1,0,0,COUNTA([2]characters!$A:$A),MATCH(I$1,[2]characters!$1:$1,0)-MATCH($A$1,[2]characters!$1:$1,0)+1),MATCH(I$1,[2]characters!$1:$1,0)-MATCH($A$1,[2]characters!$1:$1,0)+1,FALSE)</f>
        <v>yellow</v>
      </c>
      <c r="J360" s="14">
        <f ca="1">VLOOKUP(I360,[2]属性!$A:$E,2,FALSE)</f>
        <v>0.98</v>
      </c>
      <c r="K360" s="14">
        <f ca="1">VLOOKUP(I360,[2]属性!$A:$E,3,FALSE)</f>
        <v>1.01</v>
      </c>
      <c r="L360" s="14">
        <f ca="1">VLOOKUP(I360,[2]属性!$A:$E,4,FALSE)</f>
        <v>1</v>
      </c>
      <c r="M360" s="14">
        <f ca="1">VLOOKUP(I360,[2]属性!$A:$E,5,FALSE)</f>
        <v>1.01</v>
      </c>
      <c r="N360" s="14">
        <f ca="1">INDEX(コスト!$A$1:$I$20,MATCH(H360,コスト!$A$1:$A$20,FALSE),MATCH(G360,コスト!$A$1:$I$1,FALSE))</f>
        <v>99</v>
      </c>
      <c r="O360" s="14">
        <f ca="1">INDEX(レベル!$A$1:$I$21,MATCH(H360,レベル!$A$1:$A$21,FALSE),MATCH(G360,レベル!$A$1:$I$1,FALSE))</f>
        <v>1</v>
      </c>
      <c r="P360" s="63">
        <f t="shared" ca="1" si="42"/>
        <v>75</v>
      </c>
      <c r="Q360" s="77" t="str">
        <f ca="1">VLOOKUP($A360,OFFSET([2]characters!$A$1,0,0,COUNTA([2]characters!$A:$A),MATCH(Q$1,[2]characters!$1:$1,0)-MATCH($A$1,[2]characters!$1:$1,0)+1),MATCH(Q$1,[2]characters!$1:$1,0)-MATCH($A$1,[2]characters!$1:$1,0)+1,FALSE)</f>
        <v>evolution</v>
      </c>
      <c r="R360" s="8" t="str">
        <f ca="1">VLOOKUP(Q360,[2]character_type_i18n!$A:$H,3,FALSE)</f>
        <v>覚醒素材タイプ</v>
      </c>
      <c r="S360" s="14">
        <f ca="1">VLOOKUP(Q360,[2]character_type_i18n!$A:$H,4,FALSE)</f>
        <v>0.1</v>
      </c>
      <c r="T360" s="14">
        <f ca="1">VLOOKUP(Q360,[2]character_type_i18n!$A:$H,5,FALSE)</f>
        <v>0.05</v>
      </c>
      <c r="U360" s="14">
        <f ca="1">VLOOKUP(Q360,[2]character_type_i18n!$A:$H,6,FALSE)</f>
        <v>1</v>
      </c>
      <c r="V360" s="14">
        <f ca="1">VLOOKUP(Q360,[2]character_type_i18n!$A:$H,7,FALSE)</f>
        <v>0.05</v>
      </c>
      <c r="W360" s="77" t="str">
        <f ca="1">VLOOKUP($A360,OFFSET([2]characters!$A$1,0,0,COUNTA([2]characters!$A:$A),MATCH(W$1,[2]characters!$1:$1,0)-MATCH($A$1,[2]characters!$1:$1,0)+1),MATCH(W$1,[2]characters!$1:$1,0)-MATCH($A$1,[2]characters!$1:$1,0)+1,FALSE)</f>
        <v>unknown</v>
      </c>
      <c r="X360" s="8" t="str">
        <f ca="1">VLOOKUP(W360,[2]character_tribe_i18n!$A:$H,3,FALSE)</f>
        <v>Unknown</v>
      </c>
      <c r="Y360" s="77" t="str">
        <f ca="1">VLOOKUP($A360,OFFSET([2]characters!$A$1,0,0,COUNTA([2]characters!$A:$A),MATCH(Y$1,[2]characters!$1:$1,0)-MATCH($A$1,[2]characters!$1:$1,0)+1),MATCH(Y$1,[2]characters!$1:$1,0)-MATCH($A$1,[2]characters!$1:$1,0)+1,FALSE)</f>
        <v>none</v>
      </c>
      <c r="Z360" s="8" t="str">
        <f ca="1">VLOOKUP(Y360,[2]character_tribe_i18n!$A:$H,3,FALSE)</f>
        <v>種族なし</v>
      </c>
      <c r="AA360" s="14">
        <f ca="1">VLOOKUP(W360,[2]character_tribe_i18n!$A:$H,4,FALSE)</f>
        <v>1</v>
      </c>
      <c r="AB360" s="14">
        <f ca="1">VLOOKUP(W360,[2]character_tribe_i18n!$A:$H,5,FALSE)</f>
        <v>1</v>
      </c>
      <c r="AC360" s="14">
        <f ca="1">VLOOKUP(W360,[2]character_tribe_i18n!$A:$H,6,FALSE)</f>
        <v>1</v>
      </c>
      <c r="AD360" s="14">
        <f ca="1">VLOOKUP(W360,[2]character_tribe_i18n!$A:$H,7,FALSE)</f>
        <v>1</v>
      </c>
      <c r="AE360" s="12" t="s">
        <v>102</v>
      </c>
      <c r="AF360" s="85" t="str">
        <f ca="1">IF(AE360="NULL","",VLOOKUP($AE360,OFFSET([2]characters!$A$1,0,0,COUNTA([2]characters!$A:$A),MATCH(AF$1,[2]characters!$1:$1,0)-MATCH($A$1,[2]characters!$1:$1,0)+1),MATCH(AF$1,[2]characters!$1:$1,0)-MATCH($A$1,[2]characters!$1:$1,0)+1,FALSE))</f>
        <v/>
      </c>
      <c r="AG360" s="8">
        <f t="shared" ca="1" si="37"/>
        <v>359</v>
      </c>
      <c r="AH360" s="85" t="str">
        <f ca="1">VLOOKUP($AG360,OFFSET([2]characters!$A$1,0,0,COUNTA([2]characters!$A:$A),MATCH(AH$1,[2]characters!$1:$1,0)-MATCH($A$1,[2]characters!$1:$1,0)+1),MATCH(AH$1,[2]characters!$1:$1,0)-MATCH($A$1,[2]characters!$1:$1,0)+1,FALSE)</f>
        <v>醒電の眠りネズミ</v>
      </c>
      <c r="AI360" s="14" t="str">
        <f>IF(AE360="NULL","NULL",VLOOKUP(G360,ビット!$A$2:$B$7,2))</f>
        <v>NULL</v>
      </c>
      <c r="AJ360" s="9">
        <v>2</v>
      </c>
      <c r="AK360" s="10" t="str">
        <f t="shared" si="43"/>
        <v>普通</v>
      </c>
      <c r="AL360" s="14" t="str">
        <f ca="1">INDEX(経験値!$A$1:$I$20,MATCH(H360,経験値!$A$1:$A$20,FALSE),MATCH(G360,経験値!$A$1:$I$1,FALSE))</f>
        <v>NULL</v>
      </c>
      <c r="AM360" s="11">
        <f ca="1">VLOOKUP(G360,経験値!$A$27:$B$31,2)</f>
        <v>6400</v>
      </c>
      <c r="AN360" s="21">
        <f ca="1">VLOOKUP(G360,ビット!$G$2:$H$7,2)</f>
        <v>900</v>
      </c>
      <c r="AO360" s="57"/>
      <c r="AP360" s="97">
        <v>990014</v>
      </c>
      <c r="AQ360" s="77" t="e">
        <f ca="1">VLOOKUP($AP360,OFFSET([1]unit_skills!$A$1,0,0,COUNTA([1]unit_skills!$A:$A),MATCH("name",[1]unit_skills!$1:$1,0)-MATCH($AP$1,[1]unit_skills!$1:$1,0)+1),MATCH("name",[1]unit_skills!$1:$1,0)-MATCH($AP$1,[1]unit_skills!$1:$1,0)+1,FALSE)</f>
        <v>#VALUE!</v>
      </c>
      <c r="AR360" s="77" t="e">
        <f ca="1">VLOOKUP($AP360,OFFSET([1]unit_skills!$A$1,0,0,COUNTA([1]unit_skills!$A:$A),MATCH("comment",[1]unit_skills!$1:$1,0)-MATCH($AP$1,[1]unit_skills!$1:$1,0)+1),MATCH("comment",[1]unit_skills!$1:$1,0)-MATCH($AP$1,[1]unit_skills!$1:$1,0)+1,FALSE)</f>
        <v>#VALUE!</v>
      </c>
      <c r="AS360" s="77" t="e">
        <f ca="1">VLOOKUP($AP360,OFFSET([1]unit_skills!$A$1,0,0,COUNTA([1]unit_skills!$A:$A),MATCH(AS$1,[1]unit_skills!$1:$1,0)-MATCH($AP$1,[1]unit_skills!$1:$1,0)+1),MATCH(AS$1,[1]unit_skills!$1:$1,0)-MATCH($AP$1,[1]unit_skills!$1:$1,0)+1,FALSE)</f>
        <v>#VALUE!</v>
      </c>
      <c r="AT360" s="53">
        <v>0</v>
      </c>
      <c r="AU360" s="77" t="e">
        <f ca="1">VLOOKUP($AT360,OFFSET([1]crash_skills!$A$1,0,0,COUNTA([1]crash_skills!$A:$A),MATCH("name",[1]crash_skills!$1:$1,0)-MATCH($AT$1,[1]crash_skills!$1:$1,0)+1),MATCH("name",[1]crash_skills!$1:$1,0)-MATCH($AT$1,[1]crash_skills!$1:$1,0)+1,FALSE)</f>
        <v>#VALUE!</v>
      </c>
      <c r="AV360" s="77" t="e">
        <f ca="1">VLOOKUP($AT360,OFFSET([1]crash_skills!$A$1,0,0,COUNTA([1]crash_skills!$A:$A),MATCH("comment",[1]crash_skills!$1:$1,0)-MATCH($AT$1,[1]crash_skills!$1:$1,0)+1),MATCH("comment",[1]crash_skills!$1:$1,0)-MATCH($AT$1,[1]crash_skills!$1:$1,0)+1,FALSE)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60" s="77" t="e">
        <f ca="1">VLOOKUP($AT360,OFFSET([1]crash_skills!$A$1,0,0,COUNTA([1]crash_skills!$A:$A),MATCH(AW$1,[1]crash_skills!$1:$1,0)-MATCH($AT$1,[1]crash_skills!$1:$1,0)+1),MATCH(AW$1,[1]crash_skills!$1:$1,0)-MATCH($AT$1,[1]crash_skills!$1:$1,0)+1,FALSE)</f>
        <v>#VALUE!</v>
      </c>
      <c r="AX360" s="81">
        <f ca="1">VLOOKUP($A360,OFFSET([2]characters!$A$1,0,0,COUNTA([2]characters!$A:$A),MATCH(AX$1,[2]characters!$1:$1,0)-MATCH($A$1,[2]characters!$1:$1,0)+1),MATCH(AX$1,[2]characters!$1:$1,0)-MATCH($A$1,[2]characters!$1:$1,0)+1,FALSE)</f>
        <v>3</v>
      </c>
      <c r="AY360" s="19">
        <v>1</v>
      </c>
      <c r="AZ360" s="19">
        <v>1</v>
      </c>
      <c r="BA360" s="19">
        <v>0</v>
      </c>
      <c r="BB360" s="19">
        <v>1</v>
      </c>
      <c r="BC360" s="14">
        <f ca="1">INDEX('RC6SV'!$A$1:$G$20,MATCH(H360,'RC6SV'!$A$1:$A$20,FALSE),MATCH(G360,'RC6SV'!$A$1:$G$1,FALSE))</f>
        <v>1000</v>
      </c>
      <c r="BD360" s="63">
        <f t="shared" ca="1" si="39"/>
        <v>1000</v>
      </c>
      <c r="BE360" s="14">
        <f t="shared" ca="1" si="40"/>
        <v>0</v>
      </c>
      <c r="BF360" s="14">
        <f t="shared" ca="1" si="41"/>
        <v>1</v>
      </c>
      <c r="BG360" s="20">
        <f ca="1">IF($BE360&lt;=0,ROUND(BK360*0.5,0), ROUND($BE360*S360*AA360*J360*AY360*0.8*[2]ステータス!$B$2,0))</f>
        <v>25</v>
      </c>
      <c r="BH360" s="20">
        <f ca="1">IF($BE360&lt;=0,ROUND(BL360*0.5,0), ROUND($BE360*T360*AB360*K360*AZ360*0.8*[2]ステータス!$C$2,0))</f>
        <v>8</v>
      </c>
      <c r="BI360" s="20">
        <f ca="1">IF($BE360&lt;=0,ROUND(BM360*0.5,0), ROUND($BE360*U360*AC360*L360*BA360*0.8*[2]ステータス!$D$2,0))</f>
        <v>0</v>
      </c>
      <c r="BJ360" s="20">
        <f ca="1">IF($BE360&lt;=0,ROUND(BN360*0.5,0), ROUND($BE360*V360*AD360*M360*BB360*0.8*[2]ステータス!$E$2,0))</f>
        <v>7</v>
      </c>
      <c r="BK360" s="14">
        <f ca="1">ROUND(BD360*S360*AA360*J360*AY360*[2]ステータス!$B$2,0)</f>
        <v>49</v>
      </c>
      <c r="BL360" s="14">
        <f ca="1">ROUND(BD360*T360*AB360*K360*AZ360*[2]ステータス!$C$2,0)</f>
        <v>15</v>
      </c>
      <c r="BM360" s="14">
        <f ca="1">ROUND(BD360*U360*AC360*L360*BA360*[2]ステータス!$D$2,0)</f>
        <v>0</v>
      </c>
      <c r="BN360" s="14">
        <f ca="1">ROUND(BD360*V360*AD360*M360*BB360*[2]ステータス!$E$2,0)</f>
        <v>13</v>
      </c>
      <c r="BO360" s="13">
        <v>0</v>
      </c>
      <c r="BP360" s="13">
        <v>1</v>
      </c>
      <c r="BQ360" s="49" t="s">
        <v>102</v>
      </c>
      <c r="BR360" s="13">
        <f ca="1">VLOOKUP(H360,ghosts_label!$A$2:$B$19,2,FALSE)</f>
        <v>0</v>
      </c>
    </row>
    <row r="361" spans="1:70" ht="21" customHeight="1" x14ac:dyDescent="0.15">
      <c r="A361" s="14">
        <f t="shared" ca="1" si="36"/>
        <v>360</v>
      </c>
      <c r="B361" s="77" t="str">
        <f ca="1">VLOOKUP($A361,OFFSET([2]characters!$A$1,0,0,COUNTA([2]characters!$A:$A),MATCH(B$1,[2]characters!$1:$1,0)-MATCH($A$1,[2]characters!$1:$1,0)+1),MATCH(B$1,[2]characters!$1:$1,0)-MATCH($A$1,[2]characters!$1:$1,0)+1,FALSE)</f>
        <v>ガンテツ</v>
      </c>
      <c r="C361" s="77" t="str">
        <f ca="1">VLOOKUP($A361,OFFSET([2]characters!$A$1,0,0,COUNTA([2]characters!$A:$A),MATCH(C$1,[2]characters!$1:$1,0)-MATCH($A$1,[2]characters!$1:$1,0)+1),MATCH(C$1,[2]characters!$1:$1,0)-MATCH($A$1,[2]characters!$1:$1,0)+1,FALSE)</f>
        <v>ノーマルクエスト</v>
      </c>
      <c r="D361" s="77" t="str">
        <f ca="1">VLOOKUP($A361,OFFSET([2]characters!$A$1,0,0,COUNTA([2]characters!$A:$A),MATCH(D$1,[2]characters!$1:$1,0)-MATCH($A$1,[2]characters!$1:$1,0)+1),MATCH(D$1,[2]characters!$1:$1,0)-MATCH($A$1,[2]characters!$1:$1,0)+1,FALSE)</f>
        <v>アバター</v>
      </c>
      <c r="E361" s="77" t="str">
        <f ca="1">VLOOKUP($A361,OFFSET([2]characters!$A$1,0,0,COUNTA([2]characters!$A:$A),MATCH(E$1,[2]characters!$1:$1,0)-MATCH($A$1,[2]characters!$1:$1,0)+1),MATCH(E$1,[2]characters!$1:$1,0)-MATCH($A$1,[2]characters!$1:$1,0)+1,FALSE)</f>
        <v>世界観</v>
      </c>
      <c r="F361" s="77" t="str">
        <f ca="1">VLOOKUP($A361,OFFSET([2]characters!$A$1,0,0,COUNTA([2]characters!$A:$A),MATCH(F$1,[2]characters!$1:$1,0)-MATCH($A$1,[2]characters!$1:$1,0)+1),MATCH(F$1,[2]characters!$1:$1,0)-MATCH($A$1,[2]characters!$1:$1,0)+1,FALSE)</f>
        <v>不明</v>
      </c>
      <c r="G361" s="77">
        <f ca="1">VLOOKUP($A361,OFFSET([2]characters!$A$1,0,0,COUNTA([2]characters!$A:$A),MATCH(G$1,[2]characters!$1:$1,0)-MATCH($A$1,[2]characters!$1:$1,0)+1),MATCH(G$1,[2]characters!$1:$1,0)-MATCH($A$1,[2]characters!$1:$1,0)+1,FALSE)</f>
        <v>2</v>
      </c>
      <c r="H361" s="77" t="str">
        <f ca="1">VLOOKUP($A361,OFFSET([2]characters!$A$1,0,0,COUNTA([2]characters!$A:$A),MATCH(H$1,[2]characters!$1:$1,0)-MATCH($A$1,[2]characters!$1:$1,0)+1),MATCH(H$1,[2]characters!$1:$1,0)-MATCH($A$1,[2]characters!$1:$1,0)+1,FALSE)</f>
        <v>Drop1S</v>
      </c>
      <c r="I361" s="77" t="str">
        <f ca="1">VLOOKUP($A361,OFFSET([2]characters!$A$1,0,0,COUNTA([2]characters!$A:$A),MATCH(I$1,[2]characters!$1:$1,0)-MATCH($A$1,[2]characters!$1:$1,0)+1),MATCH(I$1,[2]characters!$1:$1,0)-MATCH($A$1,[2]characters!$1:$1,0)+1,FALSE)</f>
        <v>red</v>
      </c>
      <c r="J361" s="14">
        <f ca="1">VLOOKUP(I361,[2]属性!$A:$E,2,FALSE)</f>
        <v>1</v>
      </c>
      <c r="K361" s="14">
        <f ca="1">VLOOKUP(I361,[2]属性!$A:$E,3,FALSE)</f>
        <v>1.02</v>
      </c>
      <c r="L361" s="14">
        <f ca="1">VLOOKUP(I361,[2]属性!$A:$E,4,FALSE)</f>
        <v>1</v>
      </c>
      <c r="M361" s="14">
        <f ca="1">VLOOKUP(I361,[2]属性!$A:$E,5,FALSE)</f>
        <v>0.98</v>
      </c>
      <c r="N361" s="14">
        <f ca="1">INDEX(コスト!$A$1:$I$20,MATCH(H361,コスト!$A$1:$A$20,FALSE),MATCH(G361,コスト!$A$1:$I$1,FALSE))</f>
        <v>4</v>
      </c>
      <c r="O361" s="14">
        <f ca="1">INDEX(レベル!$A$1:$I$21,MATCH(H361,レベル!$A$1:$A$21,FALSE),MATCH(G361,レベル!$A$1:$I$1,FALSE))</f>
        <v>30</v>
      </c>
      <c r="P361" s="63">
        <f t="shared" ca="1" si="42"/>
        <v>30</v>
      </c>
      <c r="Q361" s="77" t="str">
        <f ca="1">VLOOKUP($A361,OFFSET([2]characters!$A$1,0,0,COUNTA([2]characters!$A:$A),MATCH(Q$1,[2]characters!$1:$1,0)-MATCH($A$1,[2]characters!$1:$1,0)+1),MATCH(Q$1,[2]characters!$1:$1,0)-MATCH($A$1,[2]characters!$1:$1,0)+1,FALSE)</f>
        <v>hp</v>
      </c>
      <c r="R361" s="8" t="str">
        <f ca="1">VLOOKUP(Q361,[2]character_type_i18n!$A:$H,3,FALSE)</f>
        <v>体力タイプ</v>
      </c>
      <c r="S361" s="14">
        <f ca="1">VLOOKUP(Q361,[2]character_type_i18n!$A:$H,4,FALSE)</f>
        <v>1.45</v>
      </c>
      <c r="T361" s="14">
        <f ca="1">VLOOKUP(Q361,[2]character_type_i18n!$A:$H,5,FALSE)</f>
        <v>0.85</v>
      </c>
      <c r="U361" s="14">
        <f ca="1">VLOOKUP(Q361,[2]character_type_i18n!$A:$H,6,FALSE)</f>
        <v>1</v>
      </c>
      <c r="V361" s="14">
        <f ca="1">VLOOKUP(Q361,[2]character_type_i18n!$A:$H,7,FALSE)</f>
        <v>0.7</v>
      </c>
      <c r="W361" s="77" t="str">
        <f ca="1">VLOOKUP($A361,OFFSET([2]characters!$A$1,0,0,COUNTA([2]characters!$A:$A),MATCH(W$1,[2]characters!$1:$1,0)-MATCH($A$1,[2]characters!$1:$1,0)+1),MATCH(W$1,[2]characters!$1:$1,0)-MATCH($A$1,[2]characters!$1:$1,0)+1,FALSE)</f>
        <v>animal</v>
      </c>
      <c r="X361" s="8" t="str">
        <f ca="1">VLOOKUP(W361,[2]character_tribe_i18n!$A:$H,3,FALSE)</f>
        <v>アニマル</v>
      </c>
      <c r="Y361" s="77" t="str">
        <f ca="1">VLOOKUP($A361,OFFSET([2]characters!$A$1,0,0,COUNTA([2]characters!$A:$A),MATCH(Y$1,[2]characters!$1:$1,0)-MATCH($A$1,[2]characters!$1:$1,0)+1),MATCH(Y$1,[2]characters!$1:$1,0)-MATCH($A$1,[2]characters!$1:$1,0)+1,FALSE)</f>
        <v>none</v>
      </c>
      <c r="Z361" s="8" t="str">
        <f ca="1">VLOOKUP(Y361,[2]character_tribe_i18n!$A:$H,3,FALSE)</f>
        <v>種族なし</v>
      </c>
      <c r="AA361" s="14">
        <f ca="1">VLOOKUP(W361,[2]character_tribe_i18n!$A:$H,4,FALSE)</f>
        <v>1</v>
      </c>
      <c r="AB361" s="14">
        <f ca="1">VLOOKUP(W361,[2]character_tribe_i18n!$A:$H,5,FALSE)</f>
        <v>1.1000000000000001</v>
      </c>
      <c r="AC361" s="14">
        <f ca="1">VLOOKUP(W361,[2]character_tribe_i18n!$A:$H,6,FALSE)</f>
        <v>1</v>
      </c>
      <c r="AD361" s="14">
        <f ca="1">VLOOKUP(W361,[2]character_tribe_i18n!$A:$H,7,FALSE)</f>
        <v>0.9</v>
      </c>
      <c r="AE361" s="12">
        <v>361</v>
      </c>
      <c r="AF361" s="85" t="str">
        <f ca="1">IF(AE361="NULL","",VLOOKUP($AE361,OFFSET([2]characters!$A$1,0,0,COUNTA([2]characters!$A:$A),MATCH(AF$1,[2]characters!$1:$1,0)-MATCH($A$1,[2]characters!$1:$1,0)+1),MATCH(AF$1,[2]characters!$1:$1,0)-MATCH($A$1,[2]characters!$1:$1,0)+1,FALSE))</f>
        <v>灼熱の鉄板 ガンテツ</v>
      </c>
      <c r="AG361" s="8">
        <f t="shared" ca="1" si="37"/>
        <v>360</v>
      </c>
      <c r="AH361" s="85" t="str">
        <f ca="1">VLOOKUP($AG361,OFFSET([2]characters!$A$1,0,0,COUNTA([2]characters!$A:$A),MATCH(AH$1,[2]characters!$1:$1,0)-MATCH($A$1,[2]characters!$1:$1,0)+1),MATCH(AH$1,[2]characters!$1:$1,0)-MATCH($A$1,[2]characters!$1:$1,0)+1,FALSE)</f>
        <v>ガンテツ</v>
      </c>
      <c r="AI361" s="14">
        <f ca="1">IF(AE361="NULL","NULL",VLOOKUP(G361,ビット!$A$2:$B$7,2))</f>
        <v>10000</v>
      </c>
      <c r="AJ361" s="9">
        <v>2</v>
      </c>
      <c r="AK361" s="10" t="str">
        <f t="shared" si="43"/>
        <v>普通</v>
      </c>
      <c r="AL361" s="14" t="str">
        <f ca="1">INDEX(経験値!$A$1:$I$20,MATCH(H361,経験値!$A$1:$A$20,FALSE),MATCH(G361,経験値!$A$1:$I$1,FALSE))</f>
        <v>required_exp_150</v>
      </c>
      <c r="AM361" s="11">
        <f ca="1">VLOOKUP(G361,経験値!$A$27:$B$31,2)</f>
        <v>600</v>
      </c>
      <c r="AN361" s="21">
        <f ca="1">VLOOKUP(G361,ビット!$G$2:$H$7,2)</f>
        <v>150</v>
      </c>
      <c r="AO361" s="57"/>
      <c r="AP361" s="101">
        <v>222013</v>
      </c>
      <c r="AQ361" s="77" t="e">
        <f ca="1">VLOOKUP($AP361,OFFSET([1]unit_skills!$A$1,0,0,COUNTA([1]unit_skills!$A:$A),MATCH("name",[1]unit_skills!$1:$1,0)-MATCH($AP$1,[1]unit_skills!$1:$1,0)+1),MATCH("name",[1]unit_skills!$1:$1,0)-MATCH($AP$1,[1]unit_skills!$1:$1,0)+1,FALSE)</f>
        <v>#VALUE!</v>
      </c>
      <c r="AR361" s="77" t="e">
        <f ca="1">VLOOKUP($AP361,OFFSET([1]unit_skills!$A$1,0,0,COUNTA([1]unit_skills!$A:$A),MATCH("comment",[1]unit_skills!$1:$1,0)-MATCH($AP$1,[1]unit_skills!$1:$1,0)+1),MATCH("comment",[1]unit_skills!$1:$1,0)-MATCH($AP$1,[1]unit_skills!$1:$1,0)+1,FALSE)</f>
        <v>#VALUE!</v>
      </c>
      <c r="AS361" s="77" t="e">
        <f ca="1">VLOOKUP($AP361,OFFSET([1]unit_skills!$A$1,0,0,COUNTA([1]unit_skills!$A:$A),MATCH(AS$1,[1]unit_skills!$1:$1,0)-MATCH($AP$1,[1]unit_skills!$1:$1,0)+1),MATCH(AS$1,[1]unit_skills!$1:$1,0)-MATCH($AP$1,[1]unit_skills!$1:$1,0)+1,FALSE)</f>
        <v>#VALUE!</v>
      </c>
      <c r="AT361" s="53">
        <v>151009</v>
      </c>
      <c r="AU361" s="77" t="e">
        <f ca="1">VLOOKUP($AT361,OFFSET([1]crash_skills!$A$1,0,0,COUNTA([1]crash_skills!$A:$A),MATCH("name",[1]crash_skills!$1:$1,0)-MATCH($AT$1,[1]crash_skills!$1:$1,0)+1),MATCH("name",[1]crash_skills!$1:$1,0)-MATCH($AT$1,[1]crash_skills!$1:$1,0)+1,FALSE)</f>
        <v>#VALUE!</v>
      </c>
      <c r="AV361" s="77" t="e">
        <f ca="1">VLOOKUP($AT361,OFFSET([1]crash_skills!$A$1,0,0,COUNTA([1]crash_skills!$A:$A),MATCH("comment",[1]crash_skills!$1:$1,0)-MATCH($AT$1,[1]crash_skills!$1:$1,0)+1),MATCH("comment",[1]crash_skills!$1:$1,0)-MATCH($AT$1,[1]crash_skills!$1:$1,0)+1,FALSE)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61" s="77" t="e">
        <f ca="1">VLOOKUP($AT361,OFFSET([1]crash_skills!$A$1,0,0,COUNTA([1]crash_skills!$A:$A),MATCH(AW$1,[1]crash_skills!$1:$1,0)-MATCH($AT$1,[1]crash_skills!$1:$1,0)+1),MATCH(AW$1,[1]crash_skills!$1:$1,0)-MATCH($AT$1,[1]crash_skills!$1:$1,0)+1,FALSE)</f>
        <v>#VALUE!</v>
      </c>
      <c r="AX361" s="81">
        <f ca="1">VLOOKUP($A361,OFFSET([2]characters!$A$1,0,0,COUNTA([2]characters!$A:$A),MATCH(AX$1,[2]characters!$1:$1,0)-MATCH($A$1,[2]characters!$1:$1,0)+1),MATCH(AX$1,[2]characters!$1:$1,0)-MATCH($A$1,[2]characters!$1:$1,0)+1,FALSE)</f>
        <v>3</v>
      </c>
      <c r="AY361" s="19">
        <v>1</v>
      </c>
      <c r="AZ361" s="19">
        <v>1</v>
      </c>
      <c r="BA361" s="19">
        <v>0</v>
      </c>
      <c r="BB361" s="19">
        <v>1</v>
      </c>
      <c r="BC361" s="14">
        <f ca="1">INDEX('RC6SV'!$A$1:$G$20,MATCH(H361,'RC6SV'!$A$1:$A$20,FALSE),MATCH(G361,'RC6SV'!$A$1:$G$1,FALSE))</f>
        <v>3000</v>
      </c>
      <c r="BD361" s="63">
        <f t="shared" ca="1" si="39"/>
        <v>3000</v>
      </c>
      <c r="BE361" s="14">
        <f t="shared" ca="1" si="40"/>
        <v>0</v>
      </c>
      <c r="BF361" s="14">
        <f t="shared" ca="1" si="41"/>
        <v>1</v>
      </c>
      <c r="BG361" s="20">
        <f ca="1">IF($BE361&lt;=0,ROUND(BK361*0.5,0), ROUND($BE361*S361*AA361*J361*AY361*0.8*[2]ステータス!$B$2,0))</f>
        <v>1088</v>
      </c>
      <c r="BH361" s="20">
        <f ca="1">IF($BE361&lt;=0,ROUND(BL361*0.5,0), ROUND($BE361*T361*AB361*K361*AZ361*0.8*[2]ステータス!$C$2,0))</f>
        <v>429</v>
      </c>
      <c r="BI361" s="20">
        <f ca="1">IF($BE361&lt;=0,ROUND(BM361*0.5,0), ROUND($BE361*U361*AC361*L361*BA361*0.8*[2]ステータス!$D$2,0))</f>
        <v>0</v>
      </c>
      <c r="BJ361" s="20">
        <f ca="1">IF($BE361&lt;=0,ROUND(BN361*0.5,0), ROUND($BE361*V361*AD361*M361*BB361*0.8*[2]ステータス!$E$2,0))</f>
        <v>232</v>
      </c>
      <c r="BK361" s="14">
        <f ca="1">ROUND(BD361*S361*AA361*J361*AY361*[2]ステータス!$B$2,0)</f>
        <v>2175</v>
      </c>
      <c r="BL361" s="14">
        <f ca="1">ROUND(BD361*T361*AB361*K361*AZ361*[2]ステータス!$C$2,0)</f>
        <v>858</v>
      </c>
      <c r="BM361" s="14">
        <f ca="1">ROUND(BD361*U361*AC361*L361*BA361*[2]ステータス!$D$2,0)</f>
        <v>0</v>
      </c>
      <c r="BN361" s="14">
        <f ca="1">ROUND(BD361*V361*AD361*M361*BB361*[2]ステータス!$E$2,0)</f>
        <v>463</v>
      </c>
      <c r="BO361" s="13">
        <v>0</v>
      </c>
      <c r="BP361" s="13">
        <v>1</v>
      </c>
      <c r="BQ361" s="49" t="s">
        <v>102</v>
      </c>
      <c r="BR361" s="13">
        <f ca="1">VLOOKUP(H361,ghosts_label!$A$2:$B$19,2,FALSE)</f>
        <v>1</v>
      </c>
    </row>
    <row r="362" spans="1:70" ht="21" customHeight="1" x14ac:dyDescent="0.15">
      <c r="A362" s="14">
        <f t="shared" ca="1" si="36"/>
        <v>361</v>
      </c>
      <c r="B362" s="77" t="str">
        <f ca="1">VLOOKUP($A362,OFFSET([2]characters!$A$1,0,0,COUNTA([2]characters!$A:$A),MATCH(B$1,[2]characters!$1:$1,0)-MATCH($A$1,[2]characters!$1:$1,0)+1),MATCH(B$1,[2]characters!$1:$1,0)-MATCH($A$1,[2]characters!$1:$1,0)+1,FALSE)</f>
        <v>灼熱の鉄板 ガンテツ</v>
      </c>
      <c r="C362" s="77" t="str">
        <f ca="1">VLOOKUP($A362,OFFSET([2]characters!$A$1,0,0,COUNTA([2]characters!$A:$A),MATCH(C$1,[2]characters!$1:$1,0)-MATCH($A$1,[2]characters!$1:$1,0)+1),MATCH(C$1,[2]characters!$1:$1,0)-MATCH($A$1,[2]characters!$1:$1,0)+1,FALSE)</f>
        <v>ノーマルクエスト</v>
      </c>
      <c r="D362" s="77" t="str">
        <f ca="1">VLOOKUP($A362,OFFSET([2]characters!$A$1,0,0,COUNTA([2]characters!$A:$A),MATCH(D$1,[2]characters!$1:$1,0)-MATCH($A$1,[2]characters!$1:$1,0)+1),MATCH(D$1,[2]characters!$1:$1,0)-MATCH($A$1,[2]characters!$1:$1,0)+1,FALSE)</f>
        <v>アバター</v>
      </c>
      <c r="E362" s="77" t="str">
        <f ca="1">VLOOKUP($A362,OFFSET([2]characters!$A$1,0,0,COUNTA([2]characters!$A:$A),MATCH(E$1,[2]characters!$1:$1,0)-MATCH($A$1,[2]characters!$1:$1,0)+1),MATCH(E$1,[2]characters!$1:$1,0)-MATCH($A$1,[2]characters!$1:$1,0)+1,FALSE)</f>
        <v>世界観</v>
      </c>
      <c r="F362" s="77" t="str">
        <f ca="1">VLOOKUP($A362,OFFSET([2]characters!$A$1,0,0,COUNTA([2]characters!$A:$A),MATCH(F$1,[2]characters!$1:$1,0)-MATCH($A$1,[2]characters!$1:$1,0)+1),MATCH(F$1,[2]characters!$1:$1,0)-MATCH($A$1,[2]characters!$1:$1,0)+1,FALSE)</f>
        <v>不明</v>
      </c>
      <c r="G362" s="77">
        <f ca="1">VLOOKUP($A362,OFFSET([2]characters!$A$1,0,0,COUNTA([2]characters!$A:$A),MATCH(G$1,[2]characters!$1:$1,0)-MATCH($A$1,[2]characters!$1:$1,0)+1),MATCH(G$1,[2]characters!$1:$1,0)-MATCH($A$1,[2]characters!$1:$1,0)+1,FALSE)</f>
        <v>3</v>
      </c>
      <c r="H362" s="77" t="str">
        <f ca="1">VLOOKUP($A362,OFFSET([2]characters!$A$1,0,0,COUNTA([2]characters!$A:$A),MATCH(H$1,[2]characters!$1:$1,0)-MATCH($A$1,[2]characters!$1:$1,0)+1),MATCH(H$1,[2]characters!$1:$1,0)-MATCH($A$1,[2]characters!$1:$1,0)+1,FALSE)</f>
        <v>Drop1S</v>
      </c>
      <c r="I362" s="77" t="str">
        <f ca="1">VLOOKUP($A362,OFFSET([2]characters!$A$1,0,0,COUNTA([2]characters!$A:$A),MATCH(I$1,[2]characters!$1:$1,0)-MATCH($A$1,[2]characters!$1:$1,0)+1),MATCH(I$1,[2]characters!$1:$1,0)-MATCH($A$1,[2]characters!$1:$1,0)+1,FALSE)</f>
        <v>red</v>
      </c>
      <c r="J362" s="14">
        <f ca="1">VLOOKUP(I362,[2]属性!$A:$E,2,FALSE)</f>
        <v>1</v>
      </c>
      <c r="K362" s="14">
        <f ca="1">VLOOKUP(I362,[2]属性!$A:$E,3,FALSE)</f>
        <v>1.02</v>
      </c>
      <c r="L362" s="14">
        <f ca="1">VLOOKUP(I362,[2]属性!$A:$E,4,FALSE)</f>
        <v>1</v>
      </c>
      <c r="M362" s="14">
        <f ca="1">VLOOKUP(I362,[2]属性!$A:$E,5,FALSE)</f>
        <v>0.98</v>
      </c>
      <c r="N362" s="14">
        <f ca="1">INDEX(コスト!$A$1:$I$20,MATCH(H362,コスト!$A$1:$A$20,FALSE),MATCH(G362,コスト!$A$1:$I$1,FALSE))</f>
        <v>6</v>
      </c>
      <c r="O362" s="14">
        <f ca="1">INDEX(レベル!$A$1:$I$21,MATCH(H362,レベル!$A$1:$A$21,FALSE),MATCH(G362,レベル!$A$1:$I$1,FALSE))</f>
        <v>40</v>
      </c>
      <c r="P362" s="63">
        <f t="shared" ca="1" si="42"/>
        <v>45</v>
      </c>
      <c r="Q362" s="77" t="str">
        <f ca="1">VLOOKUP($A362,OFFSET([2]characters!$A$1,0,0,COUNTA([2]characters!$A:$A),MATCH(Q$1,[2]characters!$1:$1,0)-MATCH($A$1,[2]characters!$1:$1,0)+1),MATCH(Q$1,[2]characters!$1:$1,0)-MATCH($A$1,[2]characters!$1:$1,0)+1,FALSE)</f>
        <v>hp</v>
      </c>
      <c r="R362" s="8" t="str">
        <f ca="1">VLOOKUP(Q362,[2]character_type_i18n!$A:$H,3,FALSE)</f>
        <v>体力タイプ</v>
      </c>
      <c r="S362" s="14">
        <f ca="1">VLOOKUP(Q362,[2]character_type_i18n!$A:$H,4,FALSE)</f>
        <v>1.45</v>
      </c>
      <c r="T362" s="14">
        <f ca="1">VLOOKUP(Q362,[2]character_type_i18n!$A:$H,5,FALSE)</f>
        <v>0.85</v>
      </c>
      <c r="U362" s="14">
        <f ca="1">VLOOKUP(Q362,[2]character_type_i18n!$A:$H,6,FALSE)</f>
        <v>1</v>
      </c>
      <c r="V362" s="14">
        <f ca="1">VLOOKUP(Q362,[2]character_type_i18n!$A:$H,7,FALSE)</f>
        <v>0.7</v>
      </c>
      <c r="W362" s="77" t="str">
        <f ca="1">VLOOKUP($A362,OFFSET([2]characters!$A$1,0,0,COUNTA([2]characters!$A:$A),MATCH(W$1,[2]characters!$1:$1,0)-MATCH($A$1,[2]characters!$1:$1,0)+1),MATCH(W$1,[2]characters!$1:$1,0)-MATCH($A$1,[2]characters!$1:$1,0)+1,FALSE)</f>
        <v>animal</v>
      </c>
      <c r="X362" s="8" t="str">
        <f ca="1">VLOOKUP(W362,[2]character_tribe_i18n!$A:$H,3,FALSE)</f>
        <v>アニマル</v>
      </c>
      <c r="Y362" s="77" t="str">
        <f ca="1">VLOOKUP($A362,OFFSET([2]characters!$A$1,0,0,COUNTA([2]characters!$A:$A),MATCH(Y$1,[2]characters!$1:$1,0)-MATCH($A$1,[2]characters!$1:$1,0)+1),MATCH(Y$1,[2]characters!$1:$1,0)-MATCH($A$1,[2]characters!$1:$1,0)+1,FALSE)</f>
        <v>none</v>
      </c>
      <c r="Z362" s="8" t="str">
        <f ca="1">VLOOKUP(Y362,[2]character_tribe_i18n!$A:$H,3,FALSE)</f>
        <v>種族なし</v>
      </c>
      <c r="AA362" s="14">
        <f ca="1">VLOOKUP(W362,[2]character_tribe_i18n!$A:$H,4,FALSE)</f>
        <v>1</v>
      </c>
      <c r="AB362" s="14">
        <f ca="1">VLOOKUP(W362,[2]character_tribe_i18n!$A:$H,5,FALSE)</f>
        <v>1.1000000000000001</v>
      </c>
      <c r="AC362" s="14">
        <f ca="1">VLOOKUP(W362,[2]character_tribe_i18n!$A:$H,6,FALSE)</f>
        <v>1</v>
      </c>
      <c r="AD362" s="14">
        <f ca="1">VLOOKUP(W362,[2]character_tribe_i18n!$A:$H,7,FALSE)</f>
        <v>0.9</v>
      </c>
      <c r="AE362" s="12" t="s">
        <v>102</v>
      </c>
      <c r="AF362" s="85" t="str">
        <f ca="1">IF(AE362="NULL","",VLOOKUP($AE362,OFFSET([2]characters!$A$1,0,0,COUNTA([2]characters!$A:$A),MATCH(AF$1,[2]characters!$1:$1,0)-MATCH($A$1,[2]characters!$1:$1,0)+1),MATCH(AF$1,[2]characters!$1:$1,0)-MATCH($A$1,[2]characters!$1:$1,0)+1,FALSE))</f>
        <v/>
      </c>
      <c r="AG362" s="8">
        <f t="shared" ca="1" si="37"/>
        <v>360</v>
      </c>
      <c r="AH362" s="85" t="str">
        <f ca="1">VLOOKUP($AG362,OFFSET([2]characters!$A$1,0,0,COUNTA([2]characters!$A:$A),MATCH(AH$1,[2]characters!$1:$1,0)-MATCH($A$1,[2]characters!$1:$1,0)+1),MATCH(AH$1,[2]characters!$1:$1,0)-MATCH($A$1,[2]characters!$1:$1,0)+1,FALSE)</f>
        <v>ガンテツ</v>
      </c>
      <c r="AI362" s="14" t="str">
        <f>IF(AE362="NULL","NULL",VLOOKUP(G362,ビット!$A$2:$B$7,2))</f>
        <v>NULL</v>
      </c>
      <c r="AJ362" s="9">
        <v>2</v>
      </c>
      <c r="AK362" s="10" t="str">
        <f t="shared" si="43"/>
        <v>普通</v>
      </c>
      <c r="AL362" s="14" t="str">
        <f ca="1">INDEX(経験値!$A$1:$I$20,MATCH(H362,経験値!$A$1:$A$20,FALSE),MATCH(G362,経験値!$A$1:$I$1,FALSE))</f>
        <v>required_exp_150</v>
      </c>
      <c r="AM362" s="11">
        <f ca="1">VLOOKUP(G362,経験値!$A$27:$B$31,2)</f>
        <v>1500</v>
      </c>
      <c r="AN362" s="21">
        <f ca="1">VLOOKUP(G362,ビット!$G$2:$H$7,2)</f>
        <v>300</v>
      </c>
      <c r="AO362" s="57"/>
      <c r="AP362" s="101">
        <v>222014</v>
      </c>
      <c r="AQ362" s="77" t="e">
        <f ca="1">VLOOKUP($AP362,OFFSET([1]unit_skills!$A$1,0,0,COUNTA([1]unit_skills!$A:$A),MATCH("name",[1]unit_skills!$1:$1,0)-MATCH($AP$1,[1]unit_skills!$1:$1,0)+1),MATCH("name",[1]unit_skills!$1:$1,0)-MATCH($AP$1,[1]unit_skills!$1:$1,0)+1,FALSE)</f>
        <v>#VALUE!</v>
      </c>
      <c r="AR362" s="77" t="e">
        <f ca="1">VLOOKUP($AP362,OFFSET([1]unit_skills!$A$1,0,0,COUNTA([1]unit_skills!$A:$A),MATCH("comment",[1]unit_skills!$1:$1,0)-MATCH($AP$1,[1]unit_skills!$1:$1,0)+1),MATCH("comment",[1]unit_skills!$1:$1,0)-MATCH($AP$1,[1]unit_skills!$1:$1,0)+1,FALSE)</f>
        <v>#VALUE!</v>
      </c>
      <c r="AS362" s="77" t="e">
        <f ca="1">VLOOKUP($AP362,OFFSET([1]unit_skills!$A$1,0,0,COUNTA([1]unit_skills!$A:$A),MATCH(AS$1,[1]unit_skills!$1:$1,0)-MATCH($AP$1,[1]unit_skills!$1:$1,0)+1),MATCH(AS$1,[1]unit_skills!$1:$1,0)-MATCH($AP$1,[1]unit_skills!$1:$1,0)+1,FALSE)</f>
        <v>#VALUE!</v>
      </c>
      <c r="AT362" s="53">
        <v>151010</v>
      </c>
      <c r="AU362" s="77" t="e">
        <f ca="1">VLOOKUP($AT362,OFFSET([1]crash_skills!$A$1,0,0,COUNTA([1]crash_skills!$A:$A),MATCH("name",[1]crash_skills!$1:$1,0)-MATCH($AT$1,[1]crash_skills!$1:$1,0)+1),MATCH("name",[1]crash_skills!$1:$1,0)-MATCH($AT$1,[1]crash_skills!$1:$1,0)+1,FALSE)</f>
        <v>#VALUE!</v>
      </c>
      <c r="AV362" s="77" t="e">
        <f ca="1">VLOOKUP($AT362,OFFSET([1]crash_skills!$A$1,0,0,COUNTA([1]crash_skills!$A:$A),MATCH("comment",[1]crash_skills!$1:$1,0)-MATCH($AT$1,[1]crash_skills!$1:$1,0)+1),MATCH("comment",[1]crash_skills!$1:$1,0)-MATCH($AT$1,[1]crash_skills!$1:$1,0)+1,FALSE)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62" s="77" t="e">
        <f ca="1">VLOOKUP($AT362,OFFSET([1]crash_skills!$A$1,0,0,COUNTA([1]crash_skills!$A:$A),MATCH(AW$1,[1]crash_skills!$1:$1,0)-MATCH($AT$1,[1]crash_skills!$1:$1,0)+1),MATCH(AW$1,[1]crash_skills!$1:$1,0)-MATCH($AT$1,[1]crash_skills!$1:$1,0)+1,FALSE)</f>
        <v>#VALUE!</v>
      </c>
      <c r="AX362" s="81">
        <f ca="1">VLOOKUP($A362,OFFSET([2]characters!$A$1,0,0,COUNTA([2]characters!$A:$A),MATCH(AX$1,[2]characters!$1:$1,0)-MATCH($A$1,[2]characters!$1:$1,0)+1),MATCH(AX$1,[2]characters!$1:$1,0)-MATCH($A$1,[2]characters!$1:$1,0)+1,FALSE)</f>
        <v>3</v>
      </c>
      <c r="AY362" s="19">
        <v>1</v>
      </c>
      <c r="AZ362" s="19">
        <v>1</v>
      </c>
      <c r="BA362" s="19">
        <v>0</v>
      </c>
      <c r="BB362" s="19">
        <v>1</v>
      </c>
      <c r="BC362" s="14">
        <f ca="1">INDEX('RC6SV'!$A$1:$G$20,MATCH(H362,'RC6SV'!$A$1:$A$20,FALSE),MATCH(G362,'RC6SV'!$A$1:$G$1,FALSE))</f>
        <v>4200</v>
      </c>
      <c r="BD362" s="63">
        <f t="shared" ca="1" si="39"/>
        <v>4200</v>
      </c>
      <c r="BE362" s="14">
        <f t="shared" ca="1" si="40"/>
        <v>3000</v>
      </c>
      <c r="BF362" s="14">
        <f t="shared" ca="1" si="41"/>
        <v>1</v>
      </c>
      <c r="BG362" s="20">
        <f ca="1">IF($BE362&lt;=0,ROUND(BK362*0.5,0), ROUND($BE362*S362*AA362*J362*AY362*0.8*[2]ステータス!$B$2,0))</f>
        <v>1740</v>
      </c>
      <c r="BH362" s="20">
        <f ca="1">IF($BE362&lt;=0,ROUND(BL362*0.5,0), ROUND($BE362*T362*AB362*K362*AZ362*0.8*[2]ステータス!$C$2,0))</f>
        <v>687</v>
      </c>
      <c r="BI362" s="20">
        <f ca="1">IF($BE362&lt;=0,ROUND(BM362*0.5,0), ROUND($BE362*U362*AC362*L362*BA362*0.8*[2]ステータス!$D$2,0))</f>
        <v>0</v>
      </c>
      <c r="BJ362" s="20">
        <f ca="1">IF($BE362&lt;=0,ROUND(BN362*0.5,0), ROUND($BE362*V362*AD362*M362*BB362*0.8*[2]ステータス!$E$2,0))</f>
        <v>370</v>
      </c>
      <c r="BK362" s="14">
        <f ca="1">ROUND(BD362*S362*AA362*J362*AY362*[2]ステータス!$B$2,0)</f>
        <v>3045</v>
      </c>
      <c r="BL362" s="14">
        <f ca="1">ROUND(BD362*T362*AB362*K362*AZ362*[2]ステータス!$C$2,0)</f>
        <v>1202</v>
      </c>
      <c r="BM362" s="14">
        <f ca="1">ROUND(BD362*U362*AC362*L362*BA362*[2]ステータス!$D$2,0)</f>
        <v>0</v>
      </c>
      <c r="BN362" s="14">
        <f ca="1">ROUND(BD362*V362*AD362*M362*BB362*[2]ステータス!$E$2,0)</f>
        <v>648</v>
      </c>
      <c r="BO362" s="13">
        <v>0</v>
      </c>
      <c r="BP362" s="13">
        <v>1</v>
      </c>
      <c r="BQ362" s="49" t="s">
        <v>102</v>
      </c>
      <c r="BR362" s="13">
        <f ca="1">VLOOKUP(H362,ghosts_label!$A$2:$B$19,2,FALSE)</f>
        <v>1</v>
      </c>
    </row>
    <row r="363" spans="1:70" ht="21" customHeight="1" x14ac:dyDescent="0.15">
      <c r="A363" s="14">
        <f t="shared" ca="1" si="36"/>
        <v>362</v>
      </c>
      <c r="B363" s="77" t="str">
        <f ca="1">VLOOKUP($A363,OFFSET([2]characters!$A$1,0,0,COUNTA([2]characters!$A:$A),MATCH(B$1,[2]characters!$1:$1,0)-MATCH($A$1,[2]characters!$1:$1,0)+1),MATCH(B$1,[2]characters!$1:$1,0)-MATCH($A$1,[2]characters!$1:$1,0)+1,FALSE)</f>
        <v>ゆらら</v>
      </c>
      <c r="C363" s="77" t="str">
        <f ca="1">VLOOKUP($A363,OFFSET([2]characters!$A$1,0,0,COUNTA([2]characters!$A:$A),MATCH(C$1,[2]characters!$1:$1,0)-MATCH($A$1,[2]characters!$1:$1,0)+1),MATCH(C$1,[2]characters!$1:$1,0)-MATCH($A$1,[2]characters!$1:$1,0)+1,FALSE)</f>
        <v>ノーマルクエスト</v>
      </c>
      <c r="D363" s="77" t="str">
        <f ca="1">VLOOKUP($A363,OFFSET([2]characters!$A$1,0,0,COUNTA([2]characters!$A:$A),MATCH(D$1,[2]characters!$1:$1,0)-MATCH($A$1,[2]characters!$1:$1,0)+1),MATCH(D$1,[2]characters!$1:$1,0)-MATCH($A$1,[2]characters!$1:$1,0)+1,FALSE)</f>
        <v>アバター</v>
      </c>
      <c r="E363" s="77" t="str">
        <f ca="1">VLOOKUP($A363,OFFSET([2]characters!$A$1,0,0,COUNTA([2]characters!$A:$A),MATCH(E$1,[2]characters!$1:$1,0)-MATCH($A$1,[2]characters!$1:$1,0)+1),MATCH(E$1,[2]characters!$1:$1,0)-MATCH($A$1,[2]characters!$1:$1,0)+1,FALSE)</f>
        <v>世界観</v>
      </c>
      <c r="F363" s="77" t="str">
        <f ca="1">VLOOKUP($A363,OFFSET([2]characters!$A$1,0,0,COUNTA([2]characters!$A:$A),MATCH(F$1,[2]characters!$1:$1,0)-MATCH($A$1,[2]characters!$1:$1,0)+1),MATCH(F$1,[2]characters!$1:$1,0)-MATCH($A$1,[2]characters!$1:$1,0)+1,FALSE)</f>
        <v>不明</v>
      </c>
      <c r="G363" s="77">
        <f ca="1">VLOOKUP($A363,OFFSET([2]characters!$A$1,0,0,COUNTA([2]characters!$A:$A),MATCH(G$1,[2]characters!$1:$1,0)-MATCH($A$1,[2]characters!$1:$1,0)+1),MATCH(G$1,[2]characters!$1:$1,0)-MATCH($A$1,[2]characters!$1:$1,0)+1,FALSE)</f>
        <v>2</v>
      </c>
      <c r="H363" s="77" t="str">
        <f ca="1">VLOOKUP($A363,OFFSET([2]characters!$A$1,0,0,COUNTA([2]characters!$A:$A),MATCH(H$1,[2]characters!$1:$1,0)-MATCH($A$1,[2]characters!$1:$1,0)+1),MATCH(H$1,[2]characters!$1:$1,0)-MATCH($A$1,[2]characters!$1:$1,0)+1,FALSE)</f>
        <v>Drop1S</v>
      </c>
      <c r="I363" s="77" t="str">
        <f ca="1">VLOOKUP($A363,OFFSET([2]characters!$A$1,0,0,COUNTA([2]characters!$A:$A),MATCH(I$1,[2]characters!$1:$1,0)-MATCH($A$1,[2]characters!$1:$1,0)+1),MATCH(I$1,[2]characters!$1:$1,0)-MATCH($A$1,[2]characters!$1:$1,0)+1,FALSE)</f>
        <v>green</v>
      </c>
      <c r="J363" s="14">
        <f ca="1">VLOOKUP(I363,[2]属性!$A:$E,2,FALSE)</f>
        <v>1.02</v>
      </c>
      <c r="K363" s="14">
        <f ca="1">VLOOKUP(I363,[2]属性!$A:$E,3,FALSE)</f>
        <v>0.98</v>
      </c>
      <c r="L363" s="14">
        <f ca="1">VLOOKUP(I363,[2]属性!$A:$E,4,FALSE)</f>
        <v>1</v>
      </c>
      <c r="M363" s="14">
        <f ca="1">VLOOKUP(I363,[2]属性!$A:$E,5,FALSE)</f>
        <v>1</v>
      </c>
      <c r="N363" s="14">
        <f ca="1">INDEX(コスト!$A$1:$I$20,MATCH(H363,コスト!$A$1:$A$20,FALSE),MATCH(G363,コスト!$A$1:$I$1,FALSE))</f>
        <v>4</v>
      </c>
      <c r="O363" s="14">
        <f ca="1">INDEX(レベル!$A$1:$I$21,MATCH(H363,レベル!$A$1:$A$21,FALSE),MATCH(G363,レベル!$A$1:$I$1,FALSE))</f>
        <v>30</v>
      </c>
      <c r="P363" s="63">
        <f t="shared" ca="1" si="42"/>
        <v>30</v>
      </c>
      <c r="Q363" s="77" t="str">
        <f ca="1">VLOOKUP($A363,OFFSET([2]characters!$A$1,0,0,COUNTA([2]characters!$A:$A),MATCH(Q$1,[2]characters!$1:$1,0)-MATCH($A$1,[2]characters!$1:$1,0)+1),MATCH(Q$1,[2]characters!$1:$1,0)-MATCH($A$1,[2]characters!$1:$1,0)+1,FALSE)</f>
        <v>technical</v>
      </c>
      <c r="R363" s="8" t="str">
        <f ca="1">VLOOKUP(Q363,[2]character_type_i18n!$A:$H,3,FALSE)</f>
        <v>テクニカルタイプ</v>
      </c>
      <c r="S363" s="14">
        <f ca="1">VLOOKUP(Q363,[2]character_type_i18n!$A:$H,4,FALSE)</f>
        <v>0.9</v>
      </c>
      <c r="T363" s="14">
        <f ca="1">VLOOKUP(Q363,[2]character_type_i18n!$A:$H,5,FALSE)</f>
        <v>0.9</v>
      </c>
      <c r="U363" s="14">
        <f ca="1">VLOOKUP(Q363,[2]character_type_i18n!$A:$H,6,FALSE)</f>
        <v>1</v>
      </c>
      <c r="V363" s="14">
        <f ca="1">VLOOKUP(Q363,[2]character_type_i18n!$A:$H,7,FALSE)</f>
        <v>0.9</v>
      </c>
      <c r="W363" s="77" t="str">
        <f ca="1">VLOOKUP($A363,OFFSET([2]characters!$A$1,0,0,COUNTA([2]characters!$A:$A),MATCH(W$1,[2]characters!$1:$1,0)-MATCH($A$1,[2]characters!$1:$1,0)+1),MATCH(W$1,[2]characters!$1:$1,0)-MATCH($A$1,[2]characters!$1:$1,0)+1,FALSE)</f>
        <v>animal</v>
      </c>
      <c r="X363" s="8" t="str">
        <f ca="1">VLOOKUP(W363,[2]character_tribe_i18n!$A:$H,3,FALSE)</f>
        <v>アニマル</v>
      </c>
      <c r="Y363" s="77" t="str">
        <f ca="1">VLOOKUP($A363,OFFSET([2]characters!$A$1,0,0,COUNTA([2]characters!$A:$A),MATCH(Y$1,[2]characters!$1:$1,0)-MATCH($A$1,[2]characters!$1:$1,0)+1),MATCH(Y$1,[2]characters!$1:$1,0)-MATCH($A$1,[2]characters!$1:$1,0)+1,FALSE)</f>
        <v>human</v>
      </c>
      <c r="Z363" s="8" t="str">
        <f ca="1">VLOOKUP(Y363,[2]character_tribe_i18n!$A:$H,3,FALSE)</f>
        <v>ヒューマン</v>
      </c>
      <c r="AA363" s="14">
        <f ca="1">VLOOKUP(W363,[2]character_tribe_i18n!$A:$H,4,FALSE)</f>
        <v>1</v>
      </c>
      <c r="AB363" s="14">
        <f ca="1">VLOOKUP(W363,[2]character_tribe_i18n!$A:$H,5,FALSE)</f>
        <v>1.1000000000000001</v>
      </c>
      <c r="AC363" s="14">
        <f ca="1">VLOOKUP(W363,[2]character_tribe_i18n!$A:$H,6,FALSE)</f>
        <v>1</v>
      </c>
      <c r="AD363" s="14">
        <f ca="1">VLOOKUP(W363,[2]character_tribe_i18n!$A:$H,7,FALSE)</f>
        <v>0.9</v>
      </c>
      <c r="AE363" s="12">
        <v>363</v>
      </c>
      <c r="AF363" s="85" t="str">
        <f ca="1">IF(AE363="NULL","",VLOOKUP($AE363,OFFSET([2]characters!$A$1,0,0,COUNTA([2]characters!$A:$A),MATCH(AF$1,[2]characters!$1:$1,0)-MATCH($A$1,[2]characters!$1:$1,0)+1),MATCH(AF$1,[2]characters!$1:$1,0)-MATCH($A$1,[2]characters!$1:$1,0)+1,FALSE))</f>
        <v>花咲く幼精 ゆらら</v>
      </c>
      <c r="AG363" s="8">
        <f t="shared" ca="1" si="37"/>
        <v>362</v>
      </c>
      <c r="AH363" s="85" t="str">
        <f ca="1">VLOOKUP($AG363,OFFSET([2]characters!$A$1,0,0,COUNTA([2]characters!$A:$A),MATCH(AH$1,[2]characters!$1:$1,0)-MATCH($A$1,[2]characters!$1:$1,0)+1),MATCH(AH$1,[2]characters!$1:$1,0)-MATCH($A$1,[2]characters!$1:$1,0)+1,FALSE)</f>
        <v>ゆらら</v>
      </c>
      <c r="AI363" s="14">
        <f ca="1">IF(AE363="NULL","NULL",VLOOKUP(G363,ビット!$A$2:$B$7,2))</f>
        <v>10000</v>
      </c>
      <c r="AJ363" s="9">
        <v>2</v>
      </c>
      <c r="AK363" s="10" t="str">
        <f t="shared" si="43"/>
        <v>普通</v>
      </c>
      <c r="AL363" s="14" t="str">
        <f ca="1">INDEX(経験値!$A$1:$I$20,MATCH(H363,経験値!$A$1:$A$20,FALSE),MATCH(G363,経験値!$A$1:$I$1,FALSE))</f>
        <v>required_exp_150</v>
      </c>
      <c r="AM363" s="11">
        <f ca="1">VLOOKUP(G363,経験値!$A$27:$B$31,2)</f>
        <v>600</v>
      </c>
      <c r="AN363" s="21">
        <f ca="1">VLOOKUP(G363,ビット!$G$2:$H$7,2)</f>
        <v>150</v>
      </c>
      <c r="AO363" s="57"/>
      <c r="AP363" s="101">
        <v>222015</v>
      </c>
      <c r="AQ363" s="77" t="e">
        <f ca="1">VLOOKUP($AP363,OFFSET([1]unit_skills!$A$1,0,0,COUNTA([1]unit_skills!$A:$A),MATCH("name",[1]unit_skills!$1:$1,0)-MATCH($AP$1,[1]unit_skills!$1:$1,0)+1),MATCH("name",[1]unit_skills!$1:$1,0)-MATCH($AP$1,[1]unit_skills!$1:$1,0)+1,FALSE)</f>
        <v>#VALUE!</v>
      </c>
      <c r="AR363" s="77" t="e">
        <f ca="1">VLOOKUP($AP363,OFFSET([1]unit_skills!$A$1,0,0,COUNTA([1]unit_skills!$A:$A),MATCH("comment",[1]unit_skills!$1:$1,0)-MATCH($AP$1,[1]unit_skills!$1:$1,0)+1),MATCH("comment",[1]unit_skills!$1:$1,0)-MATCH($AP$1,[1]unit_skills!$1:$1,0)+1,FALSE)</f>
        <v>#VALUE!</v>
      </c>
      <c r="AS363" s="77" t="e">
        <f ca="1">VLOOKUP($AP363,OFFSET([1]unit_skills!$A$1,0,0,COUNTA([1]unit_skills!$A:$A),MATCH(AS$1,[1]unit_skills!$1:$1,0)-MATCH($AP$1,[1]unit_skills!$1:$1,0)+1),MATCH(AS$1,[1]unit_skills!$1:$1,0)-MATCH($AP$1,[1]unit_skills!$1:$1,0)+1,FALSE)</f>
        <v>#VALUE!</v>
      </c>
      <c r="AT363" s="53">
        <v>193100</v>
      </c>
      <c r="AU363" s="77" t="e">
        <f ca="1">VLOOKUP($AT363,OFFSET([1]crash_skills!$A$1,0,0,COUNTA([1]crash_skills!$A:$A),MATCH("name",[1]crash_skills!$1:$1,0)-MATCH($AT$1,[1]crash_skills!$1:$1,0)+1),MATCH("name",[1]crash_skills!$1:$1,0)-MATCH($AT$1,[1]crash_skills!$1:$1,0)+1,FALSE)</f>
        <v>#VALUE!</v>
      </c>
      <c r="AV363" s="77" t="e">
        <f ca="1">VLOOKUP($AT363,OFFSET([1]crash_skills!$A$1,0,0,COUNTA([1]crash_skills!$A:$A),MATCH("comment",[1]crash_skills!$1:$1,0)-MATCH($AT$1,[1]crash_skills!$1:$1,0)+1),MATCH("comment",[1]crash_skills!$1:$1,0)-MATCH($AT$1,[1]crash_skills!$1:$1,0)+1,FALSE)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63" s="77" t="e">
        <f ca="1">VLOOKUP($AT363,OFFSET([1]crash_skills!$A$1,0,0,COUNTA([1]crash_skills!$A:$A),MATCH(AW$1,[1]crash_skills!$1:$1,0)-MATCH($AT$1,[1]crash_skills!$1:$1,0)+1),MATCH(AW$1,[1]crash_skills!$1:$1,0)-MATCH($AT$1,[1]crash_skills!$1:$1,0)+1,FALSE)</f>
        <v>#VALUE!</v>
      </c>
      <c r="AX363" s="81">
        <f ca="1">VLOOKUP($A363,OFFSET([2]characters!$A$1,0,0,COUNTA([2]characters!$A:$A),MATCH(AX$1,[2]characters!$1:$1,0)-MATCH($A$1,[2]characters!$1:$1,0)+1),MATCH(AX$1,[2]characters!$1:$1,0)-MATCH($A$1,[2]characters!$1:$1,0)+1,FALSE)</f>
        <v>3</v>
      </c>
      <c r="AY363" s="19">
        <v>1</v>
      </c>
      <c r="AZ363" s="19">
        <v>1</v>
      </c>
      <c r="BA363" s="19">
        <v>0</v>
      </c>
      <c r="BB363" s="19">
        <v>1</v>
      </c>
      <c r="BC363" s="14">
        <f ca="1">INDEX('RC6SV'!$A$1:$G$20,MATCH(H363,'RC6SV'!$A$1:$A$20,FALSE),MATCH(G363,'RC6SV'!$A$1:$G$1,FALSE))</f>
        <v>3000</v>
      </c>
      <c r="BD363" s="63">
        <f t="shared" ca="1" si="39"/>
        <v>3000</v>
      </c>
      <c r="BE363" s="14">
        <f t="shared" ca="1" si="40"/>
        <v>0</v>
      </c>
      <c r="BF363" s="14">
        <f t="shared" ca="1" si="41"/>
        <v>1</v>
      </c>
      <c r="BG363" s="20">
        <f ca="1">IF($BE363&lt;=0,ROUND(BK363*0.5,0), ROUND($BE363*S363*AA363*J363*AY363*0.8*[2]ステータス!$B$2,0))</f>
        <v>689</v>
      </c>
      <c r="BH363" s="20">
        <f ca="1">IF($BE363&lt;=0,ROUND(BL363*0.5,0), ROUND($BE363*T363*AB363*K363*AZ363*0.8*[2]ステータス!$C$2,0))</f>
        <v>437</v>
      </c>
      <c r="BI363" s="20">
        <f ca="1">IF($BE363&lt;=0,ROUND(BM363*0.5,0), ROUND($BE363*U363*AC363*L363*BA363*0.8*[2]ステータス!$D$2,0))</f>
        <v>0</v>
      </c>
      <c r="BJ363" s="20">
        <f ca="1">IF($BE363&lt;=0,ROUND(BN363*0.5,0), ROUND($BE363*V363*AD363*M363*BB363*0.8*[2]ステータス!$E$2,0))</f>
        <v>304</v>
      </c>
      <c r="BK363" s="14">
        <f ca="1">ROUND(BD363*S363*AA363*J363*AY363*[2]ステータス!$B$2,0)</f>
        <v>1377</v>
      </c>
      <c r="BL363" s="14">
        <f ca="1">ROUND(BD363*T363*AB363*K363*AZ363*[2]ステータス!$C$2,0)</f>
        <v>873</v>
      </c>
      <c r="BM363" s="14">
        <f ca="1">ROUND(BD363*U363*AC363*L363*BA363*[2]ステータス!$D$2,0)</f>
        <v>0</v>
      </c>
      <c r="BN363" s="14">
        <f ca="1">ROUND(BD363*V363*AD363*M363*BB363*[2]ステータス!$E$2,0)</f>
        <v>608</v>
      </c>
      <c r="BO363" s="13">
        <v>0</v>
      </c>
      <c r="BP363" s="13">
        <v>1</v>
      </c>
      <c r="BQ363" s="49" t="s">
        <v>102</v>
      </c>
      <c r="BR363" s="13">
        <f ca="1">VLOOKUP(H363,ghosts_label!$A$2:$B$19,2,FALSE)</f>
        <v>1</v>
      </c>
    </row>
    <row r="364" spans="1:70" ht="21" customHeight="1" x14ac:dyDescent="0.15">
      <c r="A364" s="14">
        <f t="shared" ca="1" si="36"/>
        <v>363</v>
      </c>
      <c r="B364" s="77" t="str">
        <f ca="1">VLOOKUP($A364,OFFSET([2]characters!$A$1,0,0,COUNTA([2]characters!$A:$A),MATCH(B$1,[2]characters!$1:$1,0)-MATCH($A$1,[2]characters!$1:$1,0)+1),MATCH(B$1,[2]characters!$1:$1,0)-MATCH($A$1,[2]characters!$1:$1,0)+1,FALSE)</f>
        <v>花咲く幼精 ゆらら</v>
      </c>
      <c r="C364" s="77" t="str">
        <f ca="1">VLOOKUP($A364,OFFSET([2]characters!$A$1,0,0,COUNTA([2]characters!$A:$A),MATCH(C$1,[2]characters!$1:$1,0)-MATCH($A$1,[2]characters!$1:$1,0)+1),MATCH(C$1,[2]characters!$1:$1,0)-MATCH($A$1,[2]characters!$1:$1,0)+1,FALSE)</f>
        <v>ノーマルクエスト</v>
      </c>
      <c r="D364" s="77" t="str">
        <f ca="1">VLOOKUP($A364,OFFSET([2]characters!$A$1,0,0,COUNTA([2]characters!$A:$A),MATCH(D$1,[2]characters!$1:$1,0)-MATCH($A$1,[2]characters!$1:$1,0)+1),MATCH(D$1,[2]characters!$1:$1,0)-MATCH($A$1,[2]characters!$1:$1,0)+1,FALSE)</f>
        <v>アバター</v>
      </c>
      <c r="E364" s="77" t="str">
        <f ca="1">VLOOKUP($A364,OFFSET([2]characters!$A$1,0,0,COUNTA([2]characters!$A:$A),MATCH(E$1,[2]characters!$1:$1,0)-MATCH($A$1,[2]characters!$1:$1,0)+1),MATCH(E$1,[2]characters!$1:$1,0)-MATCH($A$1,[2]characters!$1:$1,0)+1,FALSE)</f>
        <v>世界観</v>
      </c>
      <c r="F364" s="77" t="str">
        <f ca="1">VLOOKUP($A364,OFFSET([2]characters!$A$1,0,0,COUNTA([2]characters!$A:$A),MATCH(F$1,[2]characters!$1:$1,0)-MATCH($A$1,[2]characters!$1:$1,0)+1),MATCH(F$1,[2]characters!$1:$1,0)-MATCH($A$1,[2]characters!$1:$1,0)+1,FALSE)</f>
        <v>不明</v>
      </c>
      <c r="G364" s="77">
        <f ca="1">VLOOKUP($A364,OFFSET([2]characters!$A$1,0,0,COUNTA([2]characters!$A:$A),MATCH(G$1,[2]characters!$1:$1,0)-MATCH($A$1,[2]characters!$1:$1,0)+1),MATCH(G$1,[2]characters!$1:$1,0)-MATCH($A$1,[2]characters!$1:$1,0)+1,FALSE)</f>
        <v>3</v>
      </c>
      <c r="H364" s="77" t="str">
        <f ca="1">VLOOKUP($A364,OFFSET([2]characters!$A$1,0,0,COUNTA([2]characters!$A:$A),MATCH(H$1,[2]characters!$1:$1,0)-MATCH($A$1,[2]characters!$1:$1,0)+1),MATCH(H$1,[2]characters!$1:$1,0)-MATCH($A$1,[2]characters!$1:$1,0)+1,FALSE)</f>
        <v>Drop1S</v>
      </c>
      <c r="I364" s="77" t="str">
        <f ca="1">VLOOKUP($A364,OFFSET([2]characters!$A$1,0,0,COUNTA([2]characters!$A:$A),MATCH(I$1,[2]characters!$1:$1,0)-MATCH($A$1,[2]characters!$1:$1,0)+1),MATCH(I$1,[2]characters!$1:$1,0)-MATCH($A$1,[2]characters!$1:$1,0)+1,FALSE)</f>
        <v>green</v>
      </c>
      <c r="J364" s="14">
        <f ca="1">VLOOKUP(I364,[2]属性!$A:$E,2,FALSE)</f>
        <v>1.02</v>
      </c>
      <c r="K364" s="14">
        <f ca="1">VLOOKUP(I364,[2]属性!$A:$E,3,FALSE)</f>
        <v>0.98</v>
      </c>
      <c r="L364" s="14">
        <f ca="1">VLOOKUP(I364,[2]属性!$A:$E,4,FALSE)</f>
        <v>1</v>
      </c>
      <c r="M364" s="14">
        <f ca="1">VLOOKUP(I364,[2]属性!$A:$E,5,FALSE)</f>
        <v>1</v>
      </c>
      <c r="N364" s="14">
        <f ca="1">INDEX(コスト!$A$1:$I$20,MATCH(H364,コスト!$A$1:$A$20,FALSE),MATCH(G364,コスト!$A$1:$I$1,FALSE))</f>
        <v>6</v>
      </c>
      <c r="O364" s="14">
        <f ca="1">INDEX(レベル!$A$1:$I$21,MATCH(H364,レベル!$A$1:$A$21,FALSE),MATCH(G364,レベル!$A$1:$I$1,FALSE))</f>
        <v>40</v>
      </c>
      <c r="P364" s="63">
        <f t="shared" ca="1" si="42"/>
        <v>45</v>
      </c>
      <c r="Q364" s="77" t="str">
        <f ca="1">VLOOKUP($A364,OFFSET([2]characters!$A$1,0,0,COUNTA([2]characters!$A:$A),MATCH(Q$1,[2]characters!$1:$1,0)-MATCH($A$1,[2]characters!$1:$1,0)+1),MATCH(Q$1,[2]characters!$1:$1,0)-MATCH($A$1,[2]characters!$1:$1,0)+1,FALSE)</f>
        <v>technical</v>
      </c>
      <c r="R364" s="8" t="str">
        <f ca="1">VLOOKUP(Q364,[2]character_type_i18n!$A:$H,3,FALSE)</f>
        <v>テクニカルタイプ</v>
      </c>
      <c r="S364" s="14">
        <f ca="1">VLOOKUP(Q364,[2]character_type_i18n!$A:$H,4,FALSE)</f>
        <v>0.9</v>
      </c>
      <c r="T364" s="14">
        <f ca="1">VLOOKUP(Q364,[2]character_type_i18n!$A:$H,5,FALSE)</f>
        <v>0.9</v>
      </c>
      <c r="U364" s="14">
        <f ca="1">VLOOKUP(Q364,[2]character_type_i18n!$A:$H,6,FALSE)</f>
        <v>1</v>
      </c>
      <c r="V364" s="14">
        <f ca="1">VLOOKUP(Q364,[2]character_type_i18n!$A:$H,7,FALSE)</f>
        <v>0.9</v>
      </c>
      <c r="W364" s="77" t="str">
        <f ca="1">VLOOKUP($A364,OFFSET([2]characters!$A$1,0,0,COUNTA([2]characters!$A:$A),MATCH(W$1,[2]characters!$1:$1,0)-MATCH($A$1,[2]characters!$1:$1,0)+1),MATCH(W$1,[2]characters!$1:$1,0)-MATCH($A$1,[2]characters!$1:$1,0)+1,FALSE)</f>
        <v>animal</v>
      </c>
      <c r="X364" s="8" t="str">
        <f ca="1">VLOOKUP(W364,[2]character_tribe_i18n!$A:$H,3,FALSE)</f>
        <v>アニマル</v>
      </c>
      <c r="Y364" s="77" t="str">
        <f ca="1">VLOOKUP($A364,OFFSET([2]characters!$A$1,0,0,COUNTA([2]characters!$A:$A),MATCH(Y$1,[2]characters!$1:$1,0)-MATCH($A$1,[2]characters!$1:$1,0)+1),MATCH(Y$1,[2]characters!$1:$1,0)-MATCH($A$1,[2]characters!$1:$1,0)+1,FALSE)</f>
        <v>human</v>
      </c>
      <c r="Z364" s="8" t="str">
        <f ca="1">VLOOKUP(Y364,[2]character_tribe_i18n!$A:$H,3,FALSE)</f>
        <v>ヒューマン</v>
      </c>
      <c r="AA364" s="14">
        <f ca="1">VLOOKUP(W364,[2]character_tribe_i18n!$A:$H,4,FALSE)</f>
        <v>1</v>
      </c>
      <c r="AB364" s="14">
        <f ca="1">VLOOKUP(W364,[2]character_tribe_i18n!$A:$H,5,FALSE)</f>
        <v>1.1000000000000001</v>
      </c>
      <c r="AC364" s="14">
        <f ca="1">VLOOKUP(W364,[2]character_tribe_i18n!$A:$H,6,FALSE)</f>
        <v>1</v>
      </c>
      <c r="AD364" s="14">
        <f ca="1">VLOOKUP(W364,[2]character_tribe_i18n!$A:$H,7,FALSE)</f>
        <v>0.9</v>
      </c>
      <c r="AE364" s="12" t="s">
        <v>102</v>
      </c>
      <c r="AF364" s="85" t="str">
        <f ca="1">IF(AE364="NULL","",VLOOKUP($AE364,OFFSET([2]characters!$A$1,0,0,COUNTA([2]characters!$A:$A),MATCH(AF$1,[2]characters!$1:$1,0)-MATCH($A$1,[2]characters!$1:$1,0)+1),MATCH(AF$1,[2]characters!$1:$1,0)-MATCH($A$1,[2]characters!$1:$1,0)+1,FALSE))</f>
        <v/>
      </c>
      <c r="AG364" s="8">
        <f t="shared" ca="1" si="37"/>
        <v>362</v>
      </c>
      <c r="AH364" s="85" t="str">
        <f ca="1">VLOOKUP($AG364,OFFSET([2]characters!$A$1,0,0,COUNTA([2]characters!$A:$A),MATCH(AH$1,[2]characters!$1:$1,0)-MATCH($A$1,[2]characters!$1:$1,0)+1),MATCH(AH$1,[2]characters!$1:$1,0)-MATCH($A$1,[2]characters!$1:$1,0)+1,FALSE)</f>
        <v>ゆらら</v>
      </c>
      <c r="AI364" s="14" t="str">
        <f>IF(AE364="NULL","NULL",VLOOKUP(G364,ビット!$A$2:$B$7,2))</f>
        <v>NULL</v>
      </c>
      <c r="AJ364" s="9">
        <v>2</v>
      </c>
      <c r="AK364" s="10" t="str">
        <f t="shared" si="43"/>
        <v>普通</v>
      </c>
      <c r="AL364" s="14" t="str">
        <f ca="1">INDEX(経験値!$A$1:$I$20,MATCH(H364,経験値!$A$1:$A$20,FALSE),MATCH(G364,経験値!$A$1:$I$1,FALSE))</f>
        <v>required_exp_150</v>
      </c>
      <c r="AM364" s="11">
        <f ca="1">VLOOKUP(G364,経験値!$A$27:$B$31,2)</f>
        <v>1500</v>
      </c>
      <c r="AN364" s="21">
        <f ca="1">VLOOKUP(G364,ビット!$G$2:$H$7,2)</f>
        <v>300</v>
      </c>
      <c r="AO364" s="57"/>
      <c r="AP364" s="101">
        <v>222016</v>
      </c>
      <c r="AQ364" s="77" t="e">
        <f ca="1">VLOOKUP($AP364,OFFSET([1]unit_skills!$A$1,0,0,COUNTA([1]unit_skills!$A:$A),MATCH("name",[1]unit_skills!$1:$1,0)-MATCH($AP$1,[1]unit_skills!$1:$1,0)+1),MATCH("name",[1]unit_skills!$1:$1,0)-MATCH($AP$1,[1]unit_skills!$1:$1,0)+1,FALSE)</f>
        <v>#VALUE!</v>
      </c>
      <c r="AR364" s="77" t="e">
        <f ca="1">VLOOKUP($AP364,OFFSET([1]unit_skills!$A$1,0,0,COUNTA([1]unit_skills!$A:$A),MATCH("comment",[1]unit_skills!$1:$1,0)-MATCH($AP$1,[1]unit_skills!$1:$1,0)+1),MATCH("comment",[1]unit_skills!$1:$1,0)-MATCH($AP$1,[1]unit_skills!$1:$1,0)+1,FALSE)</f>
        <v>#VALUE!</v>
      </c>
      <c r="AS364" s="77" t="e">
        <f ca="1">VLOOKUP($AP364,OFFSET([1]unit_skills!$A$1,0,0,COUNTA([1]unit_skills!$A:$A),MATCH(AS$1,[1]unit_skills!$1:$1,0)-MATCH($AP$1,[1]unit_skills!$1:$1,0)+1),MATCH(AS$1,[1]unit_skills!$1:$1,0)-MATCH($AP$1,[1]unit_skills!$1:$1,0)+1,FALSE)</f>
        <v>#VALUE!</v>
      </c>
      <c r="AT364" s="53">
        <v>193101</v>
      </c>
      <c r="AU364" s="77" t="e">
        <f ca="1">VLOOKUP($AT364,OFFSET([1]crash_skills!$A$1,0,0,COUNTA([1]crash_skills!$A:$A),MATCH("name",[1]crash_skills!$1:$1,0)-MATCH($AT$1,[1]crash_skills!$1:$1,0)+1),MATCH("name",[1]crash_skills!$1:$1,0)-MATCH($AT$1,[1]crash_skills!$1:$1,0)+1,FALSE)</f>
        <v>#VALUE!</v>
      </c>
      <c r="AV364" s="77" t="e">
        <f ca="1">VLOOKUP($AT364,OFFSET([1]crash_skills!$A$1,0,0,COUNTA([1]crash_skills!$A:$A),MATCH("comment",[1]crash_skills!$1:$1,0)-MATCH($AT$1,[1]crash_skills!$1:$1,0)+1),MATCH("comment",[1]crash_skills!$1:$1,0)-MATCH($AT$1,[1]crash_skills!$1:$1,0)+1,FALSE)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64" s="77" t="e">
        <f ca="1">VLOOKUP($AT364,OFFSET([1]crash_skills!$A$1,0,0,COUNTA([1]crash_skills!$A:$A),MATCH(AW$1,[1]crash_skills!$1:$1,0)-MATCH($AT$1,[1]crash_skills!$1:$1,0)+1),MATCH(AW$1,[1]crash_skills!$1:$1,0)-MATCH($AT$1,[1]crash_skills!$1:$1,0)+1,FALSE)</f>
        <v>#VALUE!</v>
      </c>
      <c r="AX364" s="81">
        <f ca="1">VLOOKUP($A364,OFFSET([2]characters!$A$1,0,0,COUNTA([2]characters!$A:$A),MATCH(AX$1,[2]characters!$1:$1,0)-MATCH($A$1,[2]characters!$1:$1,0)+1),MATCH(AX$1,[2]characters!$1:$1,0)-MATCH($A$1,[2]characters!$1:$1,0)+1,FALSE)</f>
        <v>3</v>
      </c>
      <c r="AY364" s="19">
        <v>1</v>
      </c>
      <c r="AZ364" s="19">
        <v>1</v>
      </c>
      <c r="BA364" s="19">
        <v>0</v>
      </c>
      <c r="BB364" s="19">
        <v>1</v>
      </c>
      <c r="BC364" s="14">
        <f ca="1">INDEX('RC6SV'!$A$1:$G$20,MATCH(H364,'RC6SV'!$A$1:$A$20,FALSE),MATCH(G364,'RC6SV'!$A$1:$G$1,FALSE))</f>
        <v>4200</v>
      </c>
      <c r="BD364" s="63">
        <f t="shared" ca="1" si="39"/>
        <v>4200</v>
      </c>
      <c r="BE364" s="14">
        <f t="shared" ca="1" si="40"/>
        <v>3000</v>
      </c>
      <c r="BF364" s="14">
        <f t="shared" ca="1" si="41"/>
        <v>1</v>
      </c>
      <c r="BG364" s="20">
        <f ca="1">IF($BE364&lt;=0,ROUND(BK364*0.5,0), ROUND($BE364*S364*AA364*J364*AY364*0.8*[2]ステータス!$B$2,0))</f>
        <v>1102</v>
      </c>
      <c r="BH364" s="20">
        <f ca="1">IF($BE364&lt;=0,ROUND(BL364*0.5,0), ROUND($BE364*T364*AB364*K364*AZ364*0.8*[2]ステータス!$C$2,0))</f>
        <v>699</v>
      </c>
      <c r="BI364" s="20">
        <f ca="1">IF($BE364&lt;=0,ROUND(BM364*0.5,0), ROUND($BE364*U364*AC364*L364*BA364*0.8*[2]ステータス!$D$2,0))</f>
        <v>0</v>
      </c>
      <c r="BJ364" s="20">
        <f ca="1">IF($BE364&lt;=0,ROUND(BN364*0.5,0), ROUND($BE364*V364*AD364*M364*BB364*0.8*[2]ステータス!$E$2,0))</f>
        <v>486</v>
      </c>
      <c r="BK364" s="14">
        <f ca="1">ROUND(BD364*S364*AA364*J364*AY364*[2]ステータス!$B$2,0)</f>
        <v>1928</v>
      </c>
      <c r="BL364" s="14">
        <f ca="1">ROUND(BD364*T364*AB364*K364*AZ364*[2]ステータス!$C$2,0)</f>
        <v>1222</v>
      </c>
      <c r="BM364" s="14">
        <f ca="1">ROUND(BD364*U364*AC364*L364*BA364*[2]ステータス!$D$2,0)</f>
        <v>0</v>
      </c>
      <c r="BN364" s="14">
        <f ca="1">ROUND(BD364*V364*AD364*M364*BB364*[2]ステータス!$E$2,0)</f>
        <v>851</v>
      </c>
      <c r="BO364" s="13">
        <v>0</v>
      </c>
      <c r="BP364" s="13">
        <v>1</v>
      </c>
      <c r="BQ364" s="49" t="s">
        <v>102</v>
      </c>
      <c r="BR364" s="13">
        <f ca="1">VLOOKUP(H364,ghosts_label!$A$2:$B$19,2,FALSE)</f>
        <v>1</v>
      </c>
    </row>
    <row r="365" spans="1:70" ht="21" customHeight="1" x14ac:dyDescent="0.15">
      <c r="A365" s="14">
        <f t="shared" ca="1" si="36"/>
        <v>364</v>
      </c>
      <c r="B365" s="77" t="str">
        <f ca="1">VLOOKUP($A365,OFFSET([2]characters!$A$1,0,0,COUNTA([2]characters!$A:$A),MATCH(B$1,[2]characters!$1:$1,0)-MATCH($A$1,[2]characters!$1:$1,0)+1),MATCH(B$1,[2]characters!$1:$1,0)-MATCH($A$1,[2]characters!$1:$1,0)+1,FALSE)</f>
        <v>ノエル</v>
      </c>
      <c r="C365" s="77" t="str">
        <f ca="1">VLOOKUP($A365,OFFSET([2]characters!$A$1,0,0,COUNTA([2]characters!$A:$A),MATCH(C$1,[2]characters!$1:$1,0)-MATCH($A$1,[2]characters!$1:$1,0)+1),MATCH(C$1,[2]characters!$1:$1,0)-MATCH($A$1,[2]characters!$1:$1,0)+1,FALSE)</f>
        <v>ノーマルクエスト</v>
      </c>
      <c r="D365" s="77" t="str">
        <f ca="1">VLOOKUP($A365,OFFSET([2]characters!$A$1,0,0,COUNTA([2]characters!$A:$A),MATCH(D$1,[2]characters!$1:$1,0)-MATCH($A$1,[2]characters!$1:$1,0)+1),MATCH(D$1,[2]characters!$1:$1,0)-MATCH($A$1,[2]characters!$1:$1,0)+1,FALSE)</f>
        <v>アバター</v>
      </c>
      <c r="E365" s="77" t="str">
        <f ca="1">VLOOKUP($A365,OFFSET([2]characters!$A$1,0,0,COUNTA([2]characters!$A:$A),MATCH(E$1,[2]characters!$1:$1,0)-MATCH($A$1,[2]characters!$1:$1,0)+1),MATCH(E$1,[2]characters!$1:$1,0)-MATCH($A$1,[2]characters!$1:$1,0)+1,FALSE)</f>
        <v>世界観</v>
      </c>
      <c r="F365" s="77" t="str">
        <f ca="1">VLOOKUP($A365,OFFSET([2]characters!$A$1,0,0,COUNTA([2]characters!$A:$A),MATCH(F$1,[2]characters!$1:$1,0)-MATCH($A$1,[2]characters!$1:$1,0)+1),MATCH(F$1,[2]characters!$1:$1,0)-MATCH($A$1,[2]characters!$1:$1,0)+1,FALSE)</f>
        <v>不明</v>
      </c>
      <c r="G365" s="77">
        <f ca="1">VLOOKUP($A365,OFFSET([2]characters!$A$1,0,0,COUNTA([2]characters!$A:$A),MATCH(G$1,[2]characters!$1:$1,0)-MATCH($A$1,[2]characters!$1:$1,0)+1),MATCH(G$1,[2]characters!$1:$1,0)-MATCH($A$1,[2]characters!$1:$1,0)+1,FALSE)</f>
        <v>2</v>
      </c>
      <c r="H365" s="77" t="str">
        <f ca="1">VLOOKUP($A365,OFFSET([2]characters!$A$1,0,0,COUNTA([2]characters!$A:$A),MATCH(H$1,[2]characters!$1:$1,0)-MATCH($A$1,[2]characters!$1:$1,0)+1),MATCH(H$1,[2]characters!$1:$1,0)-MATCH($A$1,[2]characters!$1:$1,0)+1,FALSE)</f>
        <v>Drop1S</v>
      </c>
      <c r="I365" s="77" t="str">
        <f ca="1">VLOOKUP($A365,OFFSET([2]characters!$A$1,0,0,COUNTA([2]characters!$A:$A),MATCH(I$1,[2]characters!$1:$1,0)-MATCH($A$1,[2]characters!$1:$1,0)+1),MATCH(I$1,[2]characters!$1:$1,0)-MATCH($A$1,[2]characters!$1:$1,0)+1,FALSE)</f>
        <v>blue</v>
      </c>
      <c r="J365" s="14">
        <f ca="1">VLOOKUP(I365,[2]属性!$A:$E,2,FALSE)</f>
        <v>1</v>
      </c>
      <c r="K365" s="14">
        <f ca="1">VLOOKUP(I365,[2]属性!$A:$E,3,FALSE)</f>
        <v>0.98</v>
      </c>
      <c r="L365" s="14">
        <f ca="1">VLOOKUP(I365,[2]属性!$A:$E,4,FALSE)</f>
        <v>1</v>
      </c>
      <c r="M365" s="14">
        <f ca="1">VLOOKUP(I365,[2]属性!$A:$E,5,FALSE)</f>
        <v>1.02</v>
      </c>
      <c r="N365" s="14">
        <f ca="1">INDEX(コスト!$A$1:$I$20,MATCH(H365,コスト!$A$1:$A$20,FALSE),MATCH(G365,コスト!$A$1:$I$1,FALSE))</f>
        <v>4</v>
      </c>
      <c r="O365" s="14">
        <f ca="1">INDEX(レベル!$A$1:$I$21,MATCH(H365,レベル!$A$1:$A$21,FALSE),MATCH(G365,レベル!$A$1:$I$1,FALSE))</f>
        <v>30</v>
      </c>
      <c r="P365" s="63">
        <f t="shared" ca="1" si="42"/>
        <v>30</v>
      </c>
      <c r="Q365" s="77" t="str">
        <f ca="1">VLOOKUP($A365,OFFSET([2]characters!$A$1,0,0,COUNTA([2]characters!$A:$A),MATCH(Q$1,[2]characters!$1:$1,0)-MATCH($A$1,[2]characters!$1:$1,0)+1),MATCH(Q$1,[2]characters!$1:$1,0)-MATCH($A$1,[2]characters!$1:$1,0)+1,FALSE)</f>
        <v>attack</v>
      </c>
      <c r="R365" s="8" t="str">
        <f ca="1">VLOOKUP(Q365,[2]character_type_i18n!$A:$H,3,FALSE)</f>
        <v>攻撃タイプ</v>
      </c>
      <c r="S365" s="14">
        <f ca="1">VLOOKUP(Q365,[2]character_type_i18n!$A:$H,4,FALSE)</f>
        <v>1</v>
      </c>
      <c r="T365" s="14">
        <f ca="1">VLOOKUP(Q365,[2]character_type_i18n!$A:$H,5,FALSE)</f>
        <v>1.33</v>
      </c>
      <c r="U365" s="14">
        <f ca="1">VLOOKUP(Q365,[2]character_type_i18n!$A:$H,6,FALSE)</f>
        <v>1</v>
      </c>
      <c r="V365" s="14">
        <f ca="1">VLOOKUP(Q365,[2]character_type_i18n!$A:$H,7,FALSE)</f>
        <v>0.67</v>
      </c>
      <c r="W365" s="77" t="str">
        <f ca="1">VLOOKUP($A365,OFFSET([2]characters!$A$1,0,0,COUNTA([2]characters!$A:$A),MATCH(W$1,[2]characters!$1:$1,0)-MATCH($A$1,[2]characters!$1:$1,0)+1),MATCH(W$1,[2]characters!$1:$1,0)-MATCH($A$1,[2]characters!$1:$1,0)+1,FALSE)</f>
        <v>animal</v>
      </c>
      <c r="X365" s="8" t="str">
        <f ca="1">VLOOKUP(W365,[2]character_tribe_i18n!$A:$H,3,FALSE)</f>
        <v>アニマル</v>
      </c>
      <c r="Y365" s="77" t="str">
        <f ca="1">VLOOKUP($A365,OFFSET([2]characters!$A$1,0,0,COUNTA([2]characters!$A:$A),MATCH(Y$1,[2]characters!$1:$1,0)-MATCH($A$1,[2]characters!$1:$1,0)+1),MATCH(Y$1,[2]characters!$1:$1,0)-MATCH($A$1,[2]characters!$1:$1,0)+1,FALSE)</f>
        <v>none</v>
      </c>
      <c r="Z365" s="8" t="str">
        <f ca="1">VLOOKUP(Y365,[2]character_tribe_i18n!$A:$H,3,FALSE)</f>
        <v>種族なし</v>
      </c>
      <c r="AA365" s="14">
        <f ca="1">VLOOKUP(W365,[2]character_tribe_i18n!$A:$H,4,FALSE)</f>
        <v>1</v>
      </c>
      <c r="AB365" s="14">
        <f ca="1">VLOOKUP(W365,[2]character_tribe_i18n!$A:$H,5,FALSE)</f>
        <v>1.1000000000000001</v>
      </c>
      <c r="AC365" s="14">
        <f ca="1">VLOOKUP(W365,[2]character_tribe_i18n!$A:$H,6,FALSE)</f>
        <v>1</v>
      </c>
      <c r="AD365" s="14">
        <f ca="1">VLOOKUP(W365,[2]character_tribe_i18n!$A:$H,7,FALSE)</f>
        <v>0.9</v>
      </c>
      <c r="AE365" s="12">
        <v>365</v>
      </c>
      <c r="AF365" s="85" t="str">
        <f ca="1">IF(AE365="NULL","",VLOOKUP($AE365,OFFSET([2]characters!$A$1,0,0,COUNTA([2]characters!$A:$A),MATCH(AF$1,[2]characters!$1:$1,0)-MATCH($A$1,[2]characters!$1:$1,0)+1),MATCH(AF$1,[2]characters!$1:$1,0)-MATCH($A$1,[2]characters!$1:$1,0)+1,FALSE))</f>
        <v>惨劇の人形 ノエル</v>
      </c>
      <c r="AG365" s="8">
        <f t="shared" ca="1" si="37"/>
        <v>364</v>
      </c>
      <c r="AH365" s="85" t="str">
        <f ca="1">VLOOKUP($AG365,OFFSET([2]characters!$A$1,0,0,COUNTA([2]characters!$A:$A),MATCH(AH$1,[2]characters!$1:$1,0)-MATCH($A$1,[2]characters!$1:$1,0)+1),MATCH(AH$1,[2]characters!$1:$1,0)-MATCH($A$1,[2]characters!$1:$1,0)+1,FALSE)</f>
        <v>ノエル</v>
      </c>
      <c r="AI365" s="14">
        <f ca="1">IF(AE365="NULL","NULL",VLOOKUP(G365,ビット!$A$2:$B$7,2))</f>
        <v>10000</v>
      </c>
      <c r="AJ365" s="9">
        <v>2</v>
      </c>
      <c r="AK365" s="10" t="str">
        <f t="shared" si="43"/>
        <v>普通</v>
      </c>
      <c r="AL365" s="14" t="str">
        <f ca="1">INDEX(経験値!$A$1:$I$20,MATCH(H365,経験値!$A$1:$A$20,FALSE),MATCH(G365,経験値!$A$1:$I$1,FALSE))</f>
        <v>required_exp_150</v>
      </c>
      <c r="AM365" s="11">
        <f ca="1">VLOOKUP(G365,経験値!$A$27:$B$31,2)</f>
        <v>600</v>
      </c>
      <c r="AN365" s="21">
        <f ca="1">VLOOKUP(G365,ビット!$G$2:$H$7,2)</f>
        <v>150</v>
      </c>
      <c r="AO365" s="57"/>
      <c r="AP365" s="101">
        <v>514005</v>
      </c>
      <c r="AQ365" s="77" t="e">
        <f ca="1">VLOOKUP($AP365,OFFSET([1]unit_skills!$A$1,0,0,COUNTA([1]unit_skills!$A:$A),MATCH("name",[1]unit_skills!$1:$1,0)-MATCH($AP$1,[1]unit_skills!$1:$1,0)+1),MATCH("name",[1]unit_skills!$1:$1,0)-MATCH($AP$1,[1]unit_skills!$1:$1,0)+1,FALSE)</f>
        <v>#VALUE!</v>
      </c>
      <c r="AR365" s="77" t="e">
        <f ca="1">VLOOKUP($AP365,OFFSET([1]unit_skills!$A$1,0,0,COUNTA([1]unit_skills!$A:$A),MATCH("comment",[1]unit_skills!$1:$1,0)-MATCH($AP$1,[1]unit_skills!$1:$1,0)+1),MATCH("comment",[1]unit_skills!$1:$1,0)-MATCH($AP$1,[1]unit_skills!$1:$1,0)+1,FALSE)</f>
        <v>#VALUE!</v>
      </c>
      <c r="AS365" s="77" t="e">
        <f ca="1">VLOOKUP($AP365,OFFSET([1]unit_skills!$A$1,0,0,COUNTA([1]unit_skills!$A:$A),MATCH(AS$1,[1]unit_skills!$1:$1,0)-MATCH($AP$1,[1]unit_skills!$1:$1,0)+1),MATCH(AS$1,[1]unit_skills!$1:$1,0)-MATCH($AP$1,[1]unit_skills!$1:$1,0)+1,FALSE)</f>
        <v>#VALUE!</v>
      </c>
      <c r="AT365" s="53">
        <v>213005</v>
      </c>
      <c r="AU365" s="77" t="e">
        <f ca="1">VLOOKUP($AT365,OFFSET([1]crash_skills!$A$1,0,0,COUNTA([1]crash_skills!$A:$A),MATCH("name",[1]crash_skills!$1:$1,0)-MATCH($AT$1,[1]crash_skills!$1:$1,0)+1),MATCH("name",[1]crash_skills!$1:$1,0)-MATCH($AT$1,[1]crash_skills!$1:$1,0)+1,FALSE)</f>
        <v>#VALUE!</v>
      </c>
      <c r="AV365" s="77" t="e">
        <f ca="1">VLOOKUP($AT365,OFFSET([1]crash_skills!$A$1,0,0,COUNTA([1]crash_skills!$A:$A),MATCH("comment",[1]crash_skills!$1:$1,0)-MATCH($AT$1,[1]crash_skills!$1:$1,0)+1),MATCH("comment",[1]crash_skills!$1:$1,0)-MATCH($AT$1,[1]crash_skills!$1:$1,0)+1,FALSE)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65" s="77" t="e">
        <f ca="1">VLOOKUP($AT365,OFFSET([1]crash_skills!$A$1,0,0,COUNTA([1]crash_skills!$A:$A),MATCH(AW$1,[1]crash_skills!$1:$1,0)-MATCH($AT$1,[1]crash_skills!$1:$1,0)+1),MATCH(AW$1,[1]crash_skills!$1:$1,0)-MATCH($AT$1,[1]crash_skills!$1:$1,0)+1,FALSE)</f>
        <v>#VALUE!</v>
      </c>
      <c r="AX365" s="81">
        <f ca="1">VLOOKUP($A365,OFFSET([2]characters!$A$1,0,0,COUNTA([2]characters!$A:$A),MATCH(AX$1,[2]characters!$1:$1,0)-MATCH($A$1,[2]characters!$1:$1,0)+1),MATCH(AX$1,[2]characters!$1:$1,0)-MATCH($A$1,[2]characters!$1:$1,0)+1,FALSE)</f>
        <v>3</v>
      </c>
      <c r="AY365" s="19">
        <v>1</v>
      </c>
      <c r="AZ365" s="19">
        <v>1</v>
      </c>
      <c r="BA365" s="19">
        <v>0</v>
      </c>
      <c r="BB365" s="19">
        <v>1</v>
      </c>
      <c r="BC365" s="14">
        <f ca="1">INDEX('RC6SV'!$A$1:$G$20,MATCH(H365,'RC6SV'!$A$1:$A$20,FALSE),MATCH(G365,'RC6SV'!$A$1:$G$1,FALSE))</f>
        <v>3000</v>
      </c>
      <c r="BD365" s="63">
        <f t="shared" ca="1" si="39"/>
        <v>3000</v>
      </c>
      <c r="BE365" s="14">
        <f t="shared" ca="1" si="40"/>
        <v>0</v>
      </c>
      <c r="BF365" s="14">
        <f t="shared" ca="1" si="41"/>
        <v>1</v>
      </c>
      <c r="BG365" s="20">
        <f ca="1">IF($BE365&lt;=0,ROUND(BK365*0.5,0), ROUND($BE365*S365*AA365*J365*AY365*0.8*[2]ステータス!$B$2,0))</f>
        <v>750</v>
      </c>
      <c r="BH365" s="20">
        <f ca="1">IF($BE365&lt;=0,ROUND(BL365*0.5,0), ROUND($BE365*T365*AB365*K365*AZ365*0.8*[2]ステータス!$C$2,0))</f>
        <v>645</v>
      </c>
      <c r="BI365" s="20">
        <f ca="1">IF($BE365&lt;=0,ROUND(BM365*0.5,0), ROUND($BE365*U365*AC365*L365*BA365*0.8*[2]ステータス!$D$2,0))</f>
        <v>0</v>
      </c>
      <c r="BJ365" s="20">
        <f ca="1">IF($BE365&lt;=0,ROUND(BN365*0.5,0), ROUND($BE365*V365*AD365*M365*BB365*0.8*[2]ステータス!$E$2,0))</f>
        <v>231</v>
      </c>
      <c r="BK365" s="14">
        <f ca="1">ROUND(BD365*S365*AA365*J365*AY365*[2]ステータス!$B$2,0)</f>
        <v>1500</v>
      </c>
      <c r="BL365" s="14">
        <f ca="1">ROUND(BD365*T365*AB365*K365*AZ365*[2]ステータス!$C$2,0)</f>
        <v>1290</v>
      </c>
      <c r="BM365" s="14">
        <f ca="1">ROUND(BD365*U365*AC365*L365*BA365*[2]ステータス!$D$2,0)</f>
        <v>0</v>
      </c>
      <c r="BN365" s="14">
        <f ca="1">ROUND(BD365*V365*AD365*M365*BB365*[2]ステータス!$E$2,0)</f>
        <v>461</v>
      </c>
      <c r="BO365" s="13">
        <v>0</v>
      </c>
      <c r="BP365" s="13">
        <v>1</v>
      </c>
      <c r="BQ365" s="49" t="s">
        <v>102</v>
      </c>
      <c r="BR365" s="13">
        <f ca="1">VLOOKUP(H365,ghosts_label!$A$2:$B$19,2,FALSE)</f>
        <v>1</v>
      </c>
    </row>
    <row r="366" spans="1:70" ht="21" customHeight="1" x14ac:dyDescent="0.15">
      <c r="A366" s="14">
        <f t="shared" ca="1" si="36"/>
        <v>365</v>
      </c>
      <c r="B366" s="77" t="str">
        <f ca="1">VLOOKUP($A366,OFFSET([2]characters!$A$1,0,0,COUNTA([2]characters!$A:$A),MATCH(B$1,[2]characters!$1:$1,0)-MATCH($A$1,[2]characters!$1:$1,0)+1),MATCH(B$1,[2]characters!$1:$1,0)-MATCH($A$1,[2]characters!$1:$1,0)+1,FALSE)</f>
        <v>惨劇の人形 ノエル</v>
      </c>
      <c r="C366" s="77" t="str">
        <f ca="1">VLOOKUP($A366,OFFSET([2]characters!$A$1,0,0,COUNTA([2]characters!$A:$A),MATCH(C$1,[2]characters!$1:$1,0)-MATCH($A$1,[2]characters!$1:$1,0)+1),MATCH(C$1,[2]characters!$1:$1,0)-MATCH($A$1,[2]characters!$1:$1,0)+1,FALSE)</f>
        <v>ノーマルクエスト</v>
      </c>
      <c r="D366" s="77" t="str">
        <f ca="1">VLOOKUP($A366,OFFSET([2]characters!$A$1,0,0,COUNTA([2]characters!$A:$A),MATCH(D$1,[2]characters!$1:$1,0)-MATCH($A$1,[2]characters!$1:$1,0)+1),MATCH(D$1,[2]characters!$1:$1,0)-MATCH($A$1,[2]characters!$1:$1,0)+1,FALSE)</f>
        <v>アバター</v>
      </c>
      <c r="E366" s="77" t="str">
        <f ca="1">VLOOKUP($A366,OFFSET([2]characters!$A$1,0,0,COUNTA([2]characters!$A:$A),MATCH(E$1,[2]characters!$1:$1,0)-MATCH($A$1,[2]characters!$1:$1,0)+1),MATCH(E$1,[2]characters!$1:$1,0)-MATCH($A$1,[2]characters!$1:$1,0)+1,FALSE)</f>
        <v>世界観</v>
      </c>
      <c r="F366" s="77" t="str">
        <f ca="1">VLOOKUP($A366,OFFSET([2]characters!$A$1,0,0,COUNTA([2]characters!$A:$A),MATCH(F$1,[2]characters!$1:$1,0)-MATCH($A$1,[2]characters!$1:$1,0)+1),MATCH(F$1,[2]characters!$1:$1,0)-MATCH($A$1,[2]characters!$1:$1,0)+1,FALSE)</f>
        <v>不明</v>
      </c>
      <c r="G366" s="77">
        <f ca="1">VLOOKUP($A366,OFFSET([2]characters!$A$1,0,0,COUNTA([2]characters!$A:$A),MATCH(G$1,[2]characters!$1:$1,0)-MATCH($A$1,[2]characters!$1:$1,0)+1),MATCH(G$1,[2]characters!$1:$1,0)-MATCH($A$1,[2]characters!$1:$1,0)+1,FALSE)</f>
        <v>3</v>
      </c>
      <c r="H366" s="77" t="str">
        <f ca="1">VLOOKUP($A366,OFFSET([2]characters!$A$1,0,0,COUNTA([2]characters!$A:$A),MATCH(H$1,[2]characters!$1:$1,0)-MATCH($A$1,[2]characters!$1:$1,0)+1),MATCH(H$1,[2]characters!$1:$1,0)-MATCH($A$1,[2]characters!$1:$1,0)+1,FALSE)</f>
        <v>Drop1S</v>
      </c>
      <c r="I366" s="77" t="str">
        <f ca="1">VLOOKUP($A366,OFFSET([2]characters!$A$1,0,0,COUNTA([2]characters!$A:$A),MATCH(I$1,[2]characters!$1:$1,0)-MATCH($A$1,[2]characters!$1:$1,0)+1),MATCH(I$1,[2]characters!$1:$1,0)-MATCH($A$1,[2]characters!$1:$1,0)+1,FALSE)</f>
        <v>blue</v>
      </c>
      <c r="J366" s="14">
        <f ca="1">VLOOKUP(I366,[2]属性!$A:$E,2,FALSE)</f>
        <v>1</v>
      </c>
      <c r="K366" s="14">
        <f ca="1">VLOOKUP(I366,[2]属性!$A:$E,3,FALSE)</f>
        <v>0.98</v>
      </c>
      <c r="L366" s="14">
        <f ca="1">VLOOKUP(I366,[2]属性!$A:$E,4,FALSE)</f>
        <v>1</v>
      </c>
      <c r="M366" s="14">
        <f ca="1">VLOOKUP(I366,[2]属性!$A:$E,5,FALSE)</f>
        <v>1.02</v>
      </c>
      <c r="N366" s="14">
        <f ca="1">INDEX(コスト!$A$1:$I$20,MATCH(H366,コスト!$A$1:$A$20,FALSE),MATCH(G366,コスト!$A$1:$I$1,FALSE))</f>
        <v>6</v>
      </c>
      <c r="O366" s="14">
        <f ca="1">INDEX(レベル!$A$1:$I$21,MATCH(H366,レベル!$A$1:$A$21,FALSE),MATCH(G366,レベル!$A$1:$I$1,FALSE))</f>
        <v>40</v>
      </c>
      <c r="P366" s="63">
        <f t="shared" ca="1" si="42"/>
        <v>45</v>
      </c>
      <c r="Q366" s="77" t="str">
        <f ca="1">VLOOKUP($A366,OFFSET([2]characters!$A$1,0,0,COUNTA([2]characters!$A:$A),MATCH(Q$1,[2]characters!$1:$1,0)-MATCH($A$1,[2]characters!$1:$1,0)+1),MATCH(Q$1,[2]characters!$1:$1,0)-MATCH($A$1,[2]characters!$1:$1,0)+1,FALSE)</f>
        <v>attack</v>
      </c>
      <c r="R366" s="8" t="str">
        <f ca="1">VLOOKUP(Q366,[2]character_type_i18n!$A:$H,3,FALSE)</f>
        <v>攻撃タイプ</v>
      </c>
      <c r="S366" s="14">
        <f ca="1">VLOOKUP(Q366,[2]character_type_i18n!$A:$H,4,FALSE)</f>
        <v>1</v>
      </c>
      <c r="T366" s="14">
        <f ca="1">VLOOKUP(Q366,[2]character_type_i18n!$A:$H,5,FALSE)</f>
        <v>1.33</v>
      </c>
      <c r="U366" s="14">
        <f ca="1">VLOOKUP(Q366,[2]character_type_i18n!$A:$H,6,FALSE)</f>
        <v>1</v>
      </c>
      <c r="V366" s="14">
        <f ca="1">VLOOKUP(Q366,[2]character_type_i18n!$A:$H,7,FALSE)</f>
        <v>0.67</v>
      </c>
      <c r="W366" s="77" t="str">
        <f ca="1">VLOOKUP($A366,OFFSET([2]characters!$A$1,0,0,COUNTA([2]characters!$A:$A),MATCH(W$1,[2]characters!$1:$1,0)-MATCH($A$1,[2]characters!$1:$1,0)+1),MATCH(W$1,[2]characters!$1:$1,0)-MATCH($A$1,[2]characters!$1:$1,0)+1,FALSE)</f>
        <v>animal</v>
      </c>
      <c r="X366" s="8" t="str">
        <f ca="1">VLOOKUP(W366,[2]character_tribe_i18n!$A:$H,3,FALSE)</f>
        <v>アニマル</v>
      </c>
      <c r="Y366" s="77" t="str">
        <f ca="1">VLOOKUP($A366,OFFSET([2]characters!$A$1,0,0,COUNTA([2]characters!$A:$A),MATCH(Y$1,[2]characters!$1:$1,0)-MATCH($A$1,[2]characters!$1:$1,0)+1),MATCH(Y$1,[2]characters!$1:$1,0)-MATCH($A$1,[2]characters!$1:$1,0)+1,FALSE)</f>
        <v>none</v>
      </c>
      <c r="Z366" s="8" t="str">
        <f ca="1">VLOOKUP(Y366,[2]character_tribe_i18n!$A:$H,3,FALSE)</f>
        <v>種族なし</v>
      </c>
      <c r="AA366" s="14">
        <f ca="1">VLOOKUP(W366,[2]character_tribe_i18n!$A:$H,4,FALSE)</f>
        <v>1</v>
      </c>
      <c r="AB366" s="14">
        <f ca="1">VLOOKUP(W366,[2]character_tribe_i18n!$A:$H,5,FALSE)</f>
        <v>1.1000000000000001</v>
      </c>
      <c r="AC366" s="14">
        <f ca="1">VLOOKUP(W366,[2]character_tribe_i18n!$A:$H,6,FALSE)</f>
        <v>1</v>
      </c>
      <c r="AD366" s="14">
        <f ca="1">VLOOKUP(W366,[2]character_tribe_i18n!$A:$H,7,FALSE)</f>
        <v>0.9</v>
      </c>
      <c r="AE366" s="12" t="s">
        <v>102</v>
      </c>
      <c r="AF366" s="85" t="str">
        <f ca="1">IF(AE366="NULL","",VLOOKUP($AE366,OFFSET([2]characters!$A$1,0,0,COUNTA([2]characters!$A:$A),MATCH(AF$1,[2]characters!$1:$1,0)-MATCH($A$1,[2]characters!$1:$1,0)+1),MATCH(AF$1,[2]characters!$1:$1,0)-MATCH($A$1,[2]characters!$1:$1,0)+1,FALSE))</f>
        <v/>
      </c>
      <c r="AG366" s="8">
        <f t="shared" ca="1" si="37"/>
        <v>364</v>
      </c>
      <c r="AH366" s="85" t="str">
        <f ca="1">VLOOKUP($AG366,OFFSET([2]characters!$A$1,0,0,COUNTA([2]characters!$A:$A),MATCH(AH$1,[2]characters!$1:$1,0)-MATCH($A$1,[2]characters!$1:$1,0)+1),MATCH(AH$1,[2]characters!$1:$1,0)-MATCH($A$1,[2]characters!$1:$1,0)+1,FALSE)</f>
        <v>ノエル</v>
      </c>
      <c r="AI366" s="14" t="str">
        <f>IF(AE366="NULL","NULL",VLOOKUP(G366,ビット!$A$2:$B$7,2))</f>
        <v>NULL</v>
      </c>
      <c r="AJ366" s="9">
        <v>2</v>
      </c>
      <c r="AK366" s="10" t="str">
        <f t="shared" si="43"/>
        <v>普通</v>
      </c>
      <c r="AL366" s="14" t="str">
        <f ca="1">INDEX(経験値!$A$1:$I$20,MATCH(H366,経験値!$A$1:$A$20,FALSE),MATCH(G366,経験値!$A$1:$I$1,FALSE))</f>
        <v>required_exp_150</v>
      </c>
      <c r="AM366" s="11">
        <f ca="1">VLOOKUP(G366,経験値!$A$27:$B$31,2)</f>
        <v>1500</v>
      </c>
      <c r="AN366" s="21">
        <f ca="1">VLOOKUP(G366,ビット!$G$2:$H$7,2)</f>
        <v>300</v>
      </c>
      <c r="AO366" s="57"/>
      <c r="AP366" s="101">
        <v>514005</v>
      </c>
      <c r="AQ366" s="77" t="e">
        <f ca="1">VLOOKUP($AP366,OFFSET([1]unit_skills!$A$1,0,0,COUNTA([1]unit_skills!$A:$A),MATCH("name",[1]unit_skills!$1:$1,0)-MATCH($AP$1,[1]unit_skills!$1:$1,0)+1),MATCH("name",[1]unit_skills!$1:$1,0)-MATCH($AP$1,[1]unit_skills!$1:$1,0)+1,FALSE)</f>
        <v>#VALUE!</v>
      </c>
      <c r="AR366" s="77" t="e">
        <f ca="1">VLOOKUP($AP366,OFFSET([1]unit_skills!$A$1,0,0,COUNTA([1]unit_skills!$A:$A),MATCH("comment",[1]unit_skills!$1:$1,0)-MATCH($AP$1,[1]unit_skills!$1:$1,0)+1),MATCH("comment",[1]unit_skills!$1:$1,0)-MATCH($AP$1,[1]unit_skills!$1:$1,0)+1,FALSE)</f>
        <v>#VALUE!</v>
      </c>
      <c r="AS366" s="77" t="e">
        <f ca="1">VLOOKUP($AP366,OFFSET([1]unit_skills!$A$1,0,0,COUNTA([1]unit_skills!$A:$A),MATCH(AS$1,[1]unit_skills!$1:$1,0)-MATCH($AP$1,[1]unit_skills!$1:$1,0)+1),MATCH(AS$1,[1]unit_skills!$1:$1,0)-MATCH($AP$1,[1]unit_skills!$1:$1,0)+1,FALSE)</f>
        <v>#VALUE!</v>
      </c>
      <c r="AT366" s="53">
        <v>213006</v>
      </c>
      <c r="AU366" s="77" t="e">
        <f ca="1">VLOOKUP($AT366,OFFSET([1]crash_skills!$A$1,0,0,COUNTA([1]crash_skills!$A:$A),MATCH("name",[1]crash_skills!$1:$1,0)-MATCH($AT$1,[1]crash_skills!$1:$1,0)+1),MATCH("name",[1]crash_skills!$1:$1,0)-MATCH($AT$1,[1]crash_skills!$1:$1,0)+1,FALSE)</f>
        <v>#VALUE!</v>
      </c>
      <c r="AV366" s="77" t="e">
        <f ca="1">VLOOKUP($AT366,OFFSET([1]crash_skills!$A$1,0,0,COUNTA([1]crash_skills!$A:$A),MATCH("comment",[1]crash_skills!$1:$1,0)-MATCH($AT$1,[1]crash_skills!$1:$1,0)+1),MATCH("comment",[1]crash_skills!$1:$1,0)-MATCH($AT$1,[1]crash_skills!$1:$1,0)+1,FALSE)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66" s="77" t="e">
        <f ca="1">VLOOKUP($AT366,OFFSET([1]crash_skills!$A$1,0,0,COUNTA([1]crash_skills!$A:$A),MATCH(AW$1,[1]crash_skills!$1:$1,0)-MATCH($AT$1,[1]crash_skills!$1:$1,0)+1),MATCH(AW$1,[1]crash_skills!$1:$1,0)-MATCH($AT$1,[1]crash_skills!$1:$1,0)+1,FALSE)</f>
        <v>#VALUE!</v>
      </c>
      <c r="AX366" s="81">
        <f ca="1">VLOOKUP($A366,OFFSET([2]characters!$A$1,0,0,COUNTA([2]characters!$A:$A),MATCH(AX$1,[2]characters!$1:$1,0)-MATCH($A$1,[2]characters!$1:$1,0)+1),MATCH(AX$1,[2]characters!$1:$1,0)-MATCH($A$1,[2]characters!$1:$1,0)+1,FALSE)</f>
        <v>3</v>
      </c>
      <c r="AY366" s="19">
        <v>1</v>
      </c>
      <c r="AZ366" s="19">
        <v>1</v>
      </c>
      <c r="BA366" s="19">
        <v>0</v>
      </c>
      <c r="BB366" s="19">
        <v>1</v>
      </c>
      <c r="BC366" s="14">
        <f ca="1">INDEX('RC6SV'!$A$1:$G$20,MATCH(H366,'RC6SV'!$A$1:$A$20,FALSE),MATCH(G366,'RC6SV'!$A$1:$G$1,FALSE))</f>
        <v>4200</v>
      </c>
      <c r="BD366" s="63">
        <f t="shared" ca="1" si="39"/>
        <v>4200</v>
      </c>
      <c r="BE366" s="14">
        <f t="shared" ca="1" si="40"/>
        <v>3000</v>
      </c>
      <c r="BF366" s="14">
        <f t="shared" ca="1" si="41"/>
        <v>1</v>
      </c>
      <c r="BG366" s="20">
        <f ca="1">IF($BE366&lt;=0,ROUND(BK366*0.5,0), ROUND($BE366*S366*AA366*J366*AY366*0.8*[2]ステータス!$B$2,0))</f>
        <v>1200</v>
      </c>
      <c r="BH366" s="20">
        <f ca="1">IF($BE366&lt;=0,ROUND(BL366*0.5,0), ROUND($BE366*T366*AB366*K366*AZ366*0.8*[2]ステータス!$C$2,0))</f>
        <v>1032</v>
      </c>
      <c r="BI366" s="20">
        <f ca="1">IF($BE366&lt;=0,ROUND(BM366*0.5,0), ROUND($BE366*U366*AC366*L366*BA366*0.8*[2]ステータス!$D$2,0))</f>
        <v>0</v>
      </c>
      <c r="BJ366" s="20">
        <f ca="1">IF($BE366&lt;=0,ROUND(BN366*0.5,0), ROUND($BE366*V366*AD366*M366*BB366*0.8*[2]ステータス!$E$2,0))</f>
        <v>369</v>
      </c>
      <c r="BK366" s="14">
        <f ca="1">ROUND(BD366*S366*AA366*J366*AY366*[2]ステータス!$B$2,0)</f>
        <v>2100</v>
      </c>
      <c r="BL366" s="14">
        <f ca="1">ROUND(BD366*T366*AB366*K366*AZ366*[2]ステータス!$C$2,0)</f>
        <v>1807</v>
      </c>
      <c r="BM366" s="14">
        <f ca="1">ROUND(BD366*U366*AC366*L366*BA366*[2]ステータス!$D$2,0)</f>
        <v>0</v>
      </c>
      <c r="BN366" s="14">
        <f ca="1">ROUND(BD366*V366*AD366*M366*BB366*[2]ステータス!$E$2,0)</f>
        <v>646</v>
      </c>
      <c r="BO366" s="13">
        <v>0</v>
      </c>
      <c r="BP366" s="13">
        <v>1</v>
      </c>
      <c r="BQ366" s="49" t="s">
        <v>102</v>
      </c>
      <c r="BR366" s="13">
        <f ca="1">VLOOKUP(H366,ghosts_label!$A$2:$B$19,2,FALSE)</f>
        <v>1</v>
      </c>
    </row>
    <row r="367" spans="1:70" ht="21" customHeight="1" x14ac:dyDescent="0.15">
      <c r="A367" s="14">
        <f t="shared" ca="1" si="36"/>
        <v>366</v>
      </c>
      <c r="B367" s="77" t="str">
        <f ca="1">VLOOKUP($A367,OFFSET([2]characters!$A$1,0,0,COUNTA([2]characters!$A:$A),MATCH(B$1,[2]characters!$1:$1,0)-MATCH($A$1,[2]characters!$1:$1,0)+1),MATCH(B$1,[2]characters!$1:$1,0)-MATCH($A$1,[2]characters!$1:$1,0)+1,FALSE)</f>
        <v>トト</v>
      </c>
      <c r="C367" s="77" t="str">
        <f ca="1">VLOOKUP($A367,OFFSET([2]characters!$A$1,0,0,COUNTA([2]characters!$A:$A),MATCH(C$1,[2]characters!$1:$1,0)-MATCH($A$1,[2]characters!$1:$1,0)+1),MATCH(C$1,[2]characters!$1:$1,0)-MATCH($A$1,[2]characters!$1:$1,0)+1,FALSE)</f>
        <v>ノーマルクエスト</v>
      </c>
      <c r="D367" s="77" t="str">
        <f ca="1">VLOOKUP($A367,OFFSET([2]characters!$A$1,0,0,COUNTA([2]characters!$A:$A),MATCH(D$1,[2]characters!$1:$1,0)-MATCH($A$1,[2]characters!$1:$1,0)+1),MATCH(D$1,[2]characters!$1:$1,0)-MATCH($A$1,[2]characters!$1:$1,0)+1,FALSE)</f>
        <v>アバター</v>
      </c>
      <c r="E367" s="77" t="str">
        <f ca="1">VLOOKUP($A367,OFFSET([2]characters!$A$1,0,0,COUNTA([2]characters!$A:$A),MATCH(E$1,[2]characters!$1:$1,0)-MATCH($A$1,[2]characters!$1:$1,0)+1),MATCH(E$1,[2]characters!$1:$1,0)-MATCH($A$1,[2]characters!$1:$1,0)+1,FALSE)</f>
        <v>世界観</v>
      </c>
      <c r="F367" s="77" t="str">
        <f ca="1">VLOOKUP($A367,OFFSET([2]characters!$A$1,0,0,COUNTA([2]characters!$A:$A),MATCH(F$1,[2]characters!$1:$1,0)-MATCH($A$1,[2]characters!$1:$1,0)+1),MATCH(F$1,[2]characters!$1:$1,0)-MATCH($A$1,[2]characters!$1:$1,0)+1,FALSE)</f>
        <v>不明</v>
      </c>
      <c r="G367" s="77">
        <f ca="1">VLOOKUP($A367,OFFSET([2]characters!$A$1,0,0,COUNTA([2]characters!$A:$A),MATCH(G$1,[2]characters!$1:$1,0)-MATCH($A$1,[2]characters!$1:$1,0)+1),MATCH(G$1,[2]characters!$1:$1,0)-MATCH($A$1,[2]characters!$1:$1,0)+1,FALSE)</f>
        <v>2</v>
      </c>
      <c r="H367" s="77" t="str">
        <f ca="1">VLOOKUP($A367,OFFSET([2]characters!$A$1,0,0,COUNTA([2]characters!$A:$A),MATCH(H$1,[2]characters!$1:$1,0)-MATCH($A$1,[2]characters!$1:$1,0)+1),MATCH(H$1,[2]characters!$1:$1,0)-MATCH($A$1,[2]characters!$1:$1,0)+1,FALSE)</f>
        <v>Drop1S</v>
      </c>
      <c r="I367" s="77" t="str">
        <f ca="1">VLOOKUP($A367,OFFSET([2]characters!$A$1,0,0,COUNTA([2]characters!$A:$A),MATCH(I$1,[2]characters!$1:$1,0)-MATCH($A$1,[2]characters!$1:$1,0)+1),MATCH(I$1,[2]characters!$1:$1,0)-MATCH($A$1,[2]characters!$1:$1,0)+1,FALSE)</f>
        <v>yellow</v>
      </c>
      <c r="J367" s="14">
        <f ca="1">VLOOKUP(I367,[2]属性!$A:$E,2,FALSE)</f>
        <v>0.98</v>
      </c>
      <c r="K367" s="14">
        <f ca="1">VLOOKUP(I367,[2]属性!$A:$E,3,FALSE)</f>
        <v>1.01</v>
      </c>
      <c r="L367" s="14">
        <f ca="1">VLOOKUP(I367,[2]属性!$A:$E,4,FALSE)</f>
        <v>1</v>
      </c>
      <c r="M367" s="14">
        <f ca="1">VLOOKUP(I367,[2]属性!$A:$E,5,FALSE)</f>
        <v>1.01</v>
      </c>
      <c r="N367" s="14">
        <f ca="1">INDEX(コスト!$A$1:$I$20,MATCH(H367,コスト!$A$1:$A$20,FALSE),MATCH(G367,コスト!$A$1:$I$1,FALSE))</f>
        <v>4</v>
      </c>
      <c r="O367" s="14">
        <f ca="1">INDEX(レベル!$A$1:$I$21,MATCH(H367,レベル!$A$1:$A$21,FALSE),MATCH(G367,レベル!$A$1:$I$1,FALSE))</f>
        <v>30</v>
      </c>
      <c r="P367" s="63">
        <f t="shared" ca="1" si="42"/>
        <v>30</v>
      </c>
      <c r="Q367" s="77" t="str">
        <f ca="1">VLOOKUP($A367,OFFSET([2]characters!$A$1,0,0,COUNTA([2]characters!$A:$A),MATCH(Q$1,[2]characters!$1:$1,0)-MATCH($A$1,[2]characters!$1:$1,0)+1),MATCH(Q$1,[2]characters!$1:$1,0)-MATCH($A$1,[2]characters!$1:$1,0)+1,FALSE)</f>
        <v>balance</v>
      </c>
      <c r="R367" s="8" t="str">
        <f ca="1">VLOOKUP(Q367,[2]character_type_i18n!$A:$H,3,FALSE)</f>
        <v>バランスタイプ</v>
      </c>
      <c r="S367" s="14">
        <f ca="1">VLOOKUP(Q367,[2]character_type_i18n!$A:$H,4,FALSE)</f>
        <v>1</v>
      </c>
      <c r="T367" s="14">
        <f ca="1">VLOOKUP(Q367,[2]character_type_i18n!$A:$H,5,FALSE)</f>
        <v>1</v>
      </c>
      <c r="U367" s="14">
        <f ca="1">VLOOKUP(Q367,[2]character_type_i18n!$A:$H,6,FALSE)</f>
        <v>1</v>
      </c>
      <c r="V367" s="14">
        <f ca="1">VLOOKUP(Q367,[2]character_type_i18n!$A:$H,7,FALSE)</f>
        <v>1</v>
      </c>
      <c r="W367" s="77" t="str">
        <f ca="1">VLOOKUP($A367,OFFSET([2]characters!$A$1,0,0,COUNTA([2]characters!$A:$A),MATCH(W$1,[2]characters!$1:$1,0)-MATCH($A$1,[2]characters!$1:$1,0)+1),MATCH(W$1,[2]characters!$1:$1,0)-MATCH($A$1,[2]characters!$1:$1,0)+1,FALSE)</f>
        <v>animal</v>
      </c>
      <c r="X367" s="8" t="str">
        <f ca="1">VLOOKUP(W367,[2]character_tribe_i18n!$A:$H,3,FALSE)</f>
        <v>アニマル</v>
      </c>
      <c r="Y367" s="77" t="str">
        <f ca="1">VLOOKUP($A367,OFFSET([2]characters!$A$1,0,0,COUNTA([2]characters!$A:$A),MATCH(Y$1,[2]characters!$1:$1,0)-MATCH($A$1,[2]characters!$1:$1,0)+1),MATCH(Y$1,[2]characters!$1:$1,0)-MATCH($A$1,[2]characters!$1:$1,0)+1,FALSE)</f>
        <v>none</v>
      </c>
      <c r="Z367" s="8" t="str">
        <f ca="1">VLOOKUP(Y367,[2]character_tribe_i18n!$A:$H,3,FALSE)</f>
        <v>種族なし</v>
      </c>
      <c r="AA367" s="14">
        <f ca="1">VLOOKUP(W367,[2]character_tribe_i18n!$A:$H,4,FALSE)</f>
        <v>1</v>
      </c>
      <c r="AB367" s="14">
        <f ca="1">VLOOKUP(W367,[2]character_tribe_i18n!$A:$H,5,FALSE)</f>
        <v>1.1000000000000001</v>
      </c>
      <c r="AC367" s="14">
        <f ca="1">VLOOKUP(W367,[2]character_tribe_i18n!$A:$H,6,FALSE)</f>
        <v>1</v>
      </c>
      <c r="AD367" s="14">
        <f ca="1">VLOOKUP(W367,[2]character_tribe_i18n!$A:$H,7,FALSE)</f>
        <v>0.9</v>
      </c>
      <c r="AE367" s="12">
        <v>367</v>
      </c>
      <c r="AF367" s="85" t="str">
        <f ca="1">IF(AE367="NULL","",VLOOKUP($AE367,OFFSET([2]characters!$A$1,0,0,COUNTA([2]characters!$A:$A),MATCH(AF$1,[2]characters!$1:$1,0)-MATCH($A$1,[2]characters!$1:$1,0)+1),MATCH(AF$1,[2]characters!$1:$1,0)-MATCH($A$1,[2]characters!$1:$1,0)+1,FALSE))</f>
        <v>爆進の小兵 トト</v>
      </c>
      <c r="AG367" s="8">
        <f t="shared" ca="1" si="37"/>
        <v>366</v>
      </c>
      <c r="AH367" s="85" t="str">
        <f ca="1">VLOOKUP($AG367,OFFSET([2]characters!$A$1,0,0,COUNTA([2]characters!$A:$A),MATCH(AH$1,[2]characters!$1:$1,0)-MATCH($A$1,[2]characters!$1:$1,0)+1),MATCH(AH$1,[2]characters!$1:$1,0)-MATCH($A$1,[2]characters!$1:$1,0)+1,FALSE)</f>
        <v>トト</v>
      </c>
      <c r="AI367" s="14">
        <f ca="1">IF(AE367="NULL","NULL",VLOOKUP(G367,ビット!$A$2:$B$7,2))</f>
        <v>10000</v>
      </c>
      <c r="AJ367" s="9">
        <v>2</v>
      </c>
      <c r="AK367" s="10" t="str">
        <f t="shared" si="43"/>
        <v>普通</v>
      </c>
      <c r="AL367" s="14" t="str">
        <f ca="1">INDEX(経験値!$A$1:$I$20,MATCH(H367,経験値!$A$1:$A$20,FALSE),MATCH(G367,経験値!$A$1:$I$1,FALSE))</f>
        <v>required_exp_150</v>
      </c>
      <c r="AM367" s="11">
        <f ca="1">VLOOKUP(G367,経験値!$A$27:$B$31,2)</f>
        <v>600</v>
      </c>
      <c r="AN367" s="21">
        <f ca="1">VLOOKUP(G367,ビット!$G$2:$H$7,2)</f>
        <v>150</v>
      </c>
      <c r="AO367" s="57"/>
      <c r="AP367" s="101">
        <v>535003</v>
      </c>
      <c r="AQ367" s="77" t="e">
        <f ca="1">VLOOKUP($AP367,OFFSET([1]unit_skills!$A$1,0,0,COUNTA([1]unit_skills!$A:$A),MATCH("name",[1]unit_skills!$1:$1,0)-MATCH($AP$1,[1]unit_skills!$1:$1,0)+1),MATCH("name",[1]unit_skills!$1:$1,0)-MATCH($AP$1,[1]unit_skills!$1:$1,0)+1,FALSE)</f>
        <v>#VALUE!</v>
      </c>
      <c r="AR367" s="77" t="e">
        <f ca="1">VLOOKUP($AP367,OFFSET([1]unit_skills!$A$1,0,0,COUNTA([1]unit_skills!$A:$A),MATCH("comment",[1]unit_skills!$1:$1,0)-MATCH($AP$1,[1]unit_skills!$1:$1,0)+1),MATCH("comment",[1]unit_skills!$1:$1,0)-MATCH($AP$1,[1]unit_skills!$1:$1,0)+1,FALSE)</f>
        <v>#VALUE!</v>
      </c>
      <c r="AS367" s="77" t="e">
        <f ca="1">VLOOKUP($AP367,OFFSET([1]unit_skills!$A$1,0,0,COUNTA([1]unit_skills!$A:$A),MATCH(AS$1,[1]unit_skills!$1:$1,0)-MATCH($AP$1,[1]unit_skills!$1:$1,0)+1),MATCH(AS$1,[1]unit_skills!$1:$1,0)-MATCH($AP$1,[1]unit_skills!$1:$1,0)+1,FALSE)</f>
        <v>#VALUE!</v>
      </c>
      <c r="AT367" s="53">
        <v>114017</v>
      </c>
      <c r="AU367" s="77" t="e">
        <f ca="1">VLOOKUP($AT367,OFFSET([1]crash_skills!$A$1,0,0,COUNTA([1]crash_skills!$A:$A),MATCH("name",[1]crash_skills!$1:$1,0)-MATCH($AT$1,[1]crash_skills!$1:$1,0)+1),MATCH("name",[1]crash_skills!$1:$1,0)-MATCH($AT$1,[1]crash_skills!$1:$1,0)+1,FALSE)</f>
        <v>#VALUE!</v>
      </c>
      <c r="AV367" s="77" t="e">
        <f ca="1">VLOOKUP($AT367,OFFSET([1]crash_skills!$A$1,0,0,COUNTA([1]crash_skills!$A:$A),MATCH("comment",[1]crash_skills!$1:$1,0)-MATCH($AT$1,[1]crash_skills!$1:$1,0)+1),MATCH("comment",[1]crash_skills!$1:$1,0)-MATCH($AT$1,[1]crash_skills!$1:$1,0)+1,FALSE)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67" s="77" t="e">
        <f ca="1">VLOOKUP($AT367,OFFSET([1]crash_skills!$A$1,0,0,COUNTA([1]crash_skills!$A:$A),MATCH(AW$1,[1]crash_skills!$1:$1,0)-MATCH($AT$1,[1]crash_skills!$1:$1,0)+1),MATCH(AW$1,[1]crash_skills!$1:$1,0)-MATCH($AT$1,[1]crash_skills!$1:$1,0)+1,FALSE)</f>
        <v>#VALUE!</v>
      </c>
      <c r="AX367" s="81">
        <f ca="1">VLOOKUP($A367,OFFSET([2]characters!$A$1,0,0,COUNTA([2]characters!$A:$A),MATCH(AX$1,[2]characters!$1:$1,0)-MATCH($A$1,[2]characters!$1:$1,0)+1),MATCH(AX$1,[2]characters!$1:$1,0)-MATCH($A$1,[2]characters!$1:$1,0)+1,FALSE)</f>
        <v>3</v>
      </c>
      <c r="AY367" s="19">
        <v>1</v>
      </c>
      <c r="AZ367" s="19">
        <v>1</v>
      </c>
      <c r="BA367" s="19">
        <v>0</v>
      </c>
      <c r="BB367" s="19">
        <v>1</v>
      </c>
      <c r="BC367" s="14">
        <f ca="1">INDEX('RC6SV'!$A$1:$G$20,MATCH(H367,'RC6SV'!$A$1:$A$20,FALSE),MATCH(G367,'RC6SV'!$A$1:$G$1,FALSE))</f>
        <v>3000</v>
      </c>
      <c r="BD367" s="63">
        <f t="shared" ca="1" si="39"/>
        <v>3000</v>
      </c>
      <c r="BE367" s="14">
        <f t="shared" ca="1" si="40"/>
        <v>0</v>
      </c>
      <c r="BF367" s="14">
        <f t="shared" ca="1" si="41"/>
        <v>1</v>
      </c>
      <c r="BG367" s="20">
        <f ca="1">IF($BE367&lt;=0,ROUND(BK367*0.5,0), ROUND($BE367*S367*AA367*J367*AY367*0.8*[2]ステータス!$B$2,0))</f>
        <v>735</v>
      </c>
      <c r="BH367" s="20">
        <f ca="1">IF($BE367&lt;=0,ROUND(BL367*0.5,0), ROUND($BE367*T367*AB367*K367*AZ367*0.8*[2]ステータス!$C$2,0))</f>
        <v>500</v>
      </c>
      <c r="BI367" s="20">
        <f ca="1">IF($BE367&lt;=0,ROUND(BM367*0.5,0), ROUND($BE367*U367*AC367*L367*BA367*0.8*[2]ステータス!$D$2,0))</f>
        <v>0</v>
      </c>
      <c r="BJ367" s="20">
        <f ca="1">IF($BE367&lt;=0,ROUND(BN367*0.5,0), ROUND($BE367*V367*AD367*M367*BB367*0.8*[2]ステータス!$E$2,0))</f>
        <v>341</v>
      </c>
      <c r="BK367" s="14">
        <f ca="1">ROUND(BD367*S367*AA367*J367*AY367*[2]ステータス!$B$2,0)</f>
        <v>1470</v>
      </c>
      <c r="BL367" s="14">
        <f ca="1">ROUND(BD367*T367*AB367*K367*AZ367*[2]ステータス!$C$2,0)</f>
        <v>1000</v>
      </c>
      <c r="BM367" s="14">
        <f ca="1">ROUND(BD367*U367*AC367*L367*BA367*[2]ステータス!$D$2,0)</f>
        <v>0</v>
      </c>
      <c r="BN367" s="14">
        <f ca="1">ROUND(BD367*V367*AD367*M367*BB367*[2]ステータス!$E$2,0)</f>
        <v>682</v>
      </c>
      <c r="BO367" s="13">
        <v>0</v>
      </c>
      <c r="BP367" s="13">
        <v>1</v>
      </c>
      <c r="BQ367" s="49" t="s">
        <v>102</v>
      </c>
      <c r="BR367" s="13">
        <f ca="1">VLOOKUP(H367,ghosts_label!$A$2:$B$19,2,FALSE)</f>
        <v>1</v>
      </c>
    </row>
    <row r="368" spans="1:70" ht="21" customHeight="1" x14ac:dyDescent="0.15">
      <c r="A368" s="14">
        <f t="shared" ca="1" si="36"/>
        <v>367</v>
      </c>
      <c r="B368" s="77" t="str">
        <f ca="1">VLOOKUP($A368,OFFSET([2]characters!$A$1,0,0,COUNTA([2]characters!$A:$A),MATCH(B$1,[2]characters!$1:$1,0)-MATCH($A$1,[2]characters!$1:$1,0)+1),MATCH(B$1,[2]characters!$1:$1,0)-MATCH($A$1,[2]characters!$1:$1,0)+1,FALSE)</f>
        <v>爆進の小兵 トト</v>
      </c>
      <c r="C368" s="77" t="str">
        <f ca="1">VLOOKUP($A368,OFFSET([2]characters!$A$1,0,0,COUNTA([2]characters!$A:$A),MATCH(C$1,[2]characters!$1:$1,0)-MATCH($A$1,[2]characters!$1:$1,0)+1),MATCH(C$1,[2]characters!$1:$1,0)-MATCH($A$1,[2]characters!$1:$1,0)+1,FALSE)</f>
        <v>ノーマルクエスト</v>
      </c>
      <c r="D368" s="77" t="str">
        <f ca="1">VLOOKUP($A368,OFFSET([2]characters!$A$1,0,0,COUNTA([2]characters!$A:$A),MATCH(D$1,[2]characters!$1:$1,0)-MATCH($A$1,[2]characters!$1:$1,0)+1),MATCH(D$1,[2]characters!$1:$1,0)-MATCH($A$1,[2]characters!$1:$1,0)+1,FALSE)</f>
        <v>アバター</v>
      </c>
      <c r="E368" s="77" t="str">
        <f ca="1">VLOOKUP($A368,OFFSET([2]characters!$A$1,0,0,COUNTA([2]characters!$A:$A),MATCH(E$1,[2]characters!$1:$1,0)-MATCH($A$1,[2]characters!$1:$1,0)+1),MATCH(E$1,[2]characters!$1:$1,0)-MATCH($A$1,[2]characters!$1:$1,0)+1,FALSE)</f>
        <v>世界観</v>
      </c>
      <c r="F368" s="77" t="str">
        <f ca="1">VLOOKUP($A368,OFFSET([2]characters!$A$1,0,0,COUNTA([2]characters!$A:$A),MATCH(F$1,[2]characters!$1:$1,0)-MATCH($A$1,[2]characters!$1:$1,0)+1),MATCH(F$1,[2]characters!$1:$1,0)-MATCH($A$1,[2]characters!$1:$1,0)+1,FALSE)</f>
        <v>不明</v>
      </c>
      <c r="G368" s="77">
        <f ca="1">VLOOKUP($A368,OFFSET([2]characters!$A$1,0,0,COUNTA([2]characters!$A:$A),MATCH(G$1,[2]characters!$1:$1,0)-MATCH($A$1,[2]characters!$1:$1,0)+1),MATCH(G$1,[2]characters!$1:$1,0)-MATCH($A$1,[2]characters!$1:$1,0)+1,FALSE)</f>
        <v>3</v>
      </c>
      <c r="H368" s="77" t="str">
        <f ca="1">VLOOKUP($A368,OFFSET([2]characters!$A$1,0,0,COUNTA([2]characters!$A:$A),MATCH(H$1,[2]characters!$1:$1,0)-MATCH($A$1,[2]characters!$1:$1,0)+1),MATCH(H$1,[2]characters!$1:$1,0)-MATCH($A$1,[2]characters!$1:$1,0)+1,FALSE)</f>
        <v>Drop1S</v>
      </c>
      <c r="I368" s="77" t="str">
        <f ca="1">VLOOKUP($A368,OFFSET([2]characters!$A$1,0,0,COUNTA([2]characters!$A:$A),MATCH(I$1,[2]characters!$1:$1,0)-MATCH($A$1,[2]characters!$1:$1,0)+1),MATCH(I$1,[2]characters!$1:$1,0)-MATCH($A$1,[2]characters!$1:$1,0)+1,FALSE)</f>
        <v>yellow</v>
      </c>
      <c r="J368" s="14">
        <f ca="1">VLOOKUP(I368,[2]属性!$A:$E,2,FALSE)</f>
        <v>0.98</v>
      </c>
      <c r="K368" s="14">
        <f ca="1">VLOOKUP(I368,[2]属性!$A:$E,3,FALSE)</f>
        <v>1.01</v>
      </c>
      <c r="L368" s="14">
        <f ca="1">VLOOKUP(I368,[2]属性!$A:$E,4,FALSE)</f>
        <v>1</v>
      </c>
      <c r="M368" s="14">
        <f ca="1">VLOOKUP(I368,[2]属性!$A:$E,5,FALSE)</f>
        <v>1.01</v>
      </c>
      <c r="N368" s="14">
        <f ca="1">INDEX(コスト!$A$1:$I$20,MATCH(H368,コスト!$A$1:$A$20,FALSE),MATCH(G368,コスト!$A$1:$I$1,FALSE))</f>
        <v>6</v>
      </c>
      <c r="O368" s="14">
        <f ca="1">INDEX(レベル!$A$1:$I$21,MATCH(H368,レベル!$A$1:$A$21,FALSE),MATCH(G368,レベル!$A$1:$I$1,FALSE))</f>
        <v>40</v>
      </c>
      <c r="P368" s="63">
        <f t="shared" ca="1" si="42"/>
        <v>45</v>
      </c>
      <c r="Q368" s="77" t="str">
        <f ca="1">VLOOKUP($A368,OFFSET([2]characters!$A$1,0,0,COUNTA([2]characters!$A:$A),MATCH(Q$1,[2]characters!$1:$1,0)-MATCH($A$1,[2]characters!$1:$1,0)+1),MATCH(Q$1,[2]characters!$1:$1,0)-MATCH($A$1,[2]characters!$1:$1,0)+1,FALSE)</f>
        <v>balance</v>
      </c>
      <c r="R368" s="8" t="str">
        <f ca="1">VLOOKUP(Q368,[2]character_type_i18n!$A:$H,3,FALSE)</f>
        <v>バランスタイプ</v>
      </c>
      <c r="S368" s="14">
        <f ca="1">VLOOKUP(Q368,[2]character_type_i18n!$A:$H,4,FALSE)</f>
        <v>1</v>
      </c>
      <c r="T368" s="14">
        <f ca="1">VLOOKUP(Q368,[2]character_type_i18n!$A:$H,5,FALSE)</f>
        <v>1</v>
      </c>
      <c r="U368" s="14">
        <f ca="1">VLOOKUP(Q368,[2]character_type_i18n!$A:$H,6,FALSE)</f>
        <v>1</v>
      </c>
      <c r="V368" s="14">
        <f ca="1">VLOOKUP(Q368,[2]character_type_i18n!$A:$H,7,FALSE)</f>
        <v>1</v>
      </c>
      <c r="W368" s="77" t="str">
        <f ca="1">VLOOKUP($A368,OFFSET([2]characters!$A$1,0,0,COUNTA([2]characters!$A:$A),MATCH(W$1,[2]characters!$1:$1,0)-MATCH($A$1,[2]characters!$1:$1,0)+1),MATCH(W$1,[2]characters!$1:$1,0)-MATCH($A$1,[2]characters!$1:$1,0)+1,FALSE)</f>
        <v>animal</v>
      </c>
      <c r="X368" s="8" t="str">
        <f ca="1">VLOOKUP(W368,[2]character_tribe_i18n!$A:$H,3,FALSE)</f>
        <v>アニマル</v>
      </c>
      <c r="Y368" s="77" t="str">
        <f ca="1">VLOOKUP($A368,OFFSET([2]characters!$A$1,0,0,COUNTA([2]characters!$A:$A),MATCH(Y$1,[2]characters!$1:$1,0)-MATCH($A$1,[2]characters!$1:$1,0)+1),MATCH(Y$1,[2]characters!$1:$1,0)-MATCH($A$1,[2]characters!$1:$1,0)+1,FALSE)</f>
        <v>none</v>
      </c>
      <c r="Z368" s="8" t="str">
        <f ca="1">VLOOKUP(Y368,[2]character_tribe_i18n!$A:$H,3,FALSE)</f>
        <v>種族なし</v>
      </c>
      <c r="AA368" s="14">
        <f ca="1">VLOOKUP(W368,[2]character_tribe_i18n!$A:$H,4,FALSE)</f>
        <v>1</v>
      </c>
      <c r="AB368" s="14">
        <f ca="1">VLOOKUP(W368,[2]character_tribe_i18n!$A:$H,5,FALSE)</f>
        <v>1.1000000000000001</v>
      </c>
      <c r="AC368" s="14">
        <f ca="1">VLOOKUP(W368,[2]character_tribe_i18n!$A:$H,6,FALSE)</f>
        <v>1</v>
      </c>
      <c r="AD368" s="14">
        <f ca="1">VLOOKUP(W368,[2]character_tribe_i18n!$A:$H,7,FALSE)</f>
        <v>0.9</v>
      </c>
      <c r="AE368" s="12" t="s">
        <v>102</v>
      </c>
      <c r="AF368" s="85" t="str">
        <f ca="1">IF(AE368="NULL","",VLOOKUP($AE368,OFFSET([2]characters!$A$1,0,0,COUNTA([2]characters!$A:$A),MATCH(AF$1,[2]characters!$1:$1,0)-MATCH($A$1,[2]characters!$1:$1,0)+1),MATCH(AF$1,[2]characters!$1:$1,0)-MATCH($A$1,[2]characters!$1:$1,0)+1,FALSE))</f>
        <v/>
      </c>
      <c r="AG368" s="8">
        <f t="shared" ca="1" si="37"/>
        <v>366</v>
      </c>
      <c r="AH368" s="85" t="str">
        <f ca="1">VLOOKUP($AG368,OFFSET([2]characters!$A$1,0,0,COUNTA([2]characters!$A:$A),MATCH(AH$1,[2]characters!$1:$1,0)-MATCH($A$1,[2]characters!$1:$1,0)+1),MATCH(AH$1,[2]characters!$1:$1,0)-MATCH($A$1,[2]characters!$1:$1,0)+1,FALSE)</f>
        <v>トト</v>
      </c>
      <c r="AI368" s="14" t="str">
        <f>IF(AE368="NULL","NULL",VLOOKUP(G368,ビット!$A$2:$B$7,2))</f>
        <v>NULL</v>
      </c>
      <c r="AJ368" s="9">
        <v>2</v>
      </c>
      <c r="AK368" s="10" t="str">
        <f t="shared" si="43"/>
        <v>普通</v>
      </c>
      <c r="AL368" s="14" t="str">
        <f ca="1">INDEX(経験値!$A$1:$I$20,MATCH(H368,経験値!$A$1:$A$20,FALSE),MATCH(G368,経験値!$A$1:$I$1,FALSE))</f>
        <v>required_exp_150</v>
      </c>
      <c r="AM368" s="11">
        <f ca="1">VLOOKUP(G368,経験値!$A$27:$B$31,2)</f>
        <v>1500</v>
      </c>
      <c r="AN368" s="21">
        <f ca="1">VLOOKUP(G368,ビット!$G$2:$H$7,2)</f>
        <v>300</v>
      </c>
      <c r="AO368" s="57"/>
      <c r="AP368" s="101">
        <v>535003</v>
      </c>
      <c r="AQ368" s="77" t="e">
        <f ca="1">VLOOKUP($AP368,OFFSET([1]unit_skills!$A$1,0,0,COUNTA([1]unit_skills!$A:$A),MATCH("name",[1]unit_skills!$1:$1,0)-MATCH($AP$1,[1]unit_skills!$1:$1,0)+1),MATCH("name",[1]unit_skills!$1:$1,0)-MATCH($AP$1,[1]unit_skills!$1:$1,0)+1,FALSE)</f>
        <v>#VALUE!</v>
      </c>
      <c r="AR368" s="77" t="e">
        <f ca="1">VLOOKUP($AP368,OFFSET([1]unit_skills!$A$1,0,0,COUNTA([1]unit_skills!$A:$A),MATCH("comment",[1]unit_skills!$1:$1,0)-MATCH($AP$1,[1]unit_skills!$1:$1,0)+1),MATCH("comment",[1]unit_skills!$1:$1,0)-MATCH($AP$1,[1]unit_skills!$1:$1,0)+1,FALSE)</f>
        <v>#VALUE!</v>
      </c>
      <c r="AS368" s="77" t="e">
        <f ca="1">VLOOKUP($AP368,OFFSET([1]unit_skills!$A$1,0,0,COUNTA([1]unit_skills!$A:$A),MATCH(AS$1,[1]unit_skills!$1:$1,0)-MATCH($AP$1,[1]unit_skills!$1:$1,0)+1),MATCH(AS$1,[1]unit_skills!$1:$1,0)-MATCH($AP$1,[1]unit_skills!$1:$1,0)+1,FALSE)</f>
        <v>#VALUE!</v>
      </c>
      <c r="AT368" s="53">
        <v>114018</v>
      </c>
      <c r="AU368" s="77" t="e">
        <f ca="1">VLOOKUP($AT368,OFFSET([1]crash_skills!$A$1,0,0,COUNTA([1]crash_skills!$A:$A),MATCH("name",[1]crash_skills!$1:$1,0)-MATCH($AT$1,[1]crash_skills!$1:$1,0)+1),MATCH("name",[1]crash_skills!$1:$1,0)-MATCH($AT$1,[1]crash_skills!$1:$1,0)+1,FALSE)</f>
        <v>#VALUE!</v>
      </c>
      <c r="AV368" s="77" t="e">
        <f ca="1">VLOOKUP($AT368,OFFSET([1]crash_skills!$A$1,0,0,COUNTA([1]crash_skills!$A:$A),MATCH("comment",[1]crash_skills!$1:$1,0)-MATCH($AT$1,[1]crash_skills!$1:$1,0)+1),MATCH("comment",[1]crash_skills!$1:$1,0)-MATCH($AT$1,[1]crash_skills!$1:$1,0)+1,FALSE)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68" s="77" t="e">
        <f ca="1">VLOOKUP($AT368,OFFSET([1]crash_skills!$A$1,0,0,COUNTA([1]crash_skills!$A:$A),MATCH(AW$1,[1]crash_skills!$1:$1,0)-MATCH($AT$1,[1]crash_skills!$1:$1,0)+1),MATCH(AW$1,[1]crash_skills!$1:$1,0)-MATCH($AT$1,[1]crash_skills!$1:$1,0)+1,FALSE)</f>
        <v>#VALUE!</v>
      </c>
      <c r="AX368" s="81">
        <f ca="1">VLOOKUP($A368,OFFSET([2]characters!$A$1,0,0,COUNTA([2]characters!$A:$A),MATCH(AX$1,[2]characters!$1:$1,0)-MATCH($A$1,[2]characters!$1:$1,0)+1),MATCH(AX$1,[2]characters!$1:$1,0)-MATCH($A$1,[2]characters!$1:$1,0)+1,FALSE)</f>
        <v>3</v>
      </c>
      <c r="AY368" s="19">
        <v>1</v>
      </c>
      <c r="AZ368" s="19">
        <v>1</v>
      </c>
      <c r="BA368" s="19">
        <v>0</v>
      </c>
      <c r="BB368" s="19">
        <v>1</v>
      </c>
      <c r="BC368" s="14">
        <f ca="1">INDEX('RC6SV'!$A$1:$G$20,MATCH(H368,'RC6SV'!$A$1:$A$20,FALSE),MATCH(G368,'RC6SV'!$A$1:$G$1,FALSE))</f>
        <v>4200</v>
      </c>
      <c r="BD368" s="63">
        <f t="shared" ca="1" si="39"/>
        <v>4200</v>
      </c>
      <c r="BE368" s="14">
        <f t="shared" ca="1" si="40"/>
        <v>3000</v>
      </c>
      <c r="BF368" s="14">
        <f t="shared" ca="1" si="41"/>
        <v>1</v>
      </c>
      <c r="BG368" s="20">
        <f ca="1">IF($BE368&lt;=0,ROUND(BK368*0.5,0), ROUND($BE368*S368*AA368*J368*AY368*0.8*[2]ステータス!$B$2,0))</f>
        <v>1176</v>
      </c>
      <c r="BH368" s="20">
        <f ca="1">IF($BE368&lt;=0,ROUND(BL368*0.5,0), ROUND($BE368*T368*AB368*K368*AZ368*0.8*[2]ステータス!$C$2,0))</f>
        <v>800</v>
      </c>
      <c r="BI368" s="20">
        <f ca="1">IF($BE368&lt;=0,ROUND(BM368*0.5,0), ROUND($BE368*U368*AC368*L368*BA368*0.8*[2]ステータス!$D$2,0))</f>
        <v>0</v>
      </c>
      <c r="BJ368" s="20">
        <f ca="1">IF($BE368&lt;=0,ROUND(BN368*0.5,0), ROUND($BE368*V368*AD368*M368*BB368*0.8*[2]ステータス!$E$2,0))</f>
        <v>545</v>
      </c>
      <c r="BK368" s="14">
        <f ca="1">ROUND(BD368*S368*AA368*J368*AY368*[2]ステータス!$B$2,0)</f>
        <v>2058</v>
      </c>
      <c r="BL368" s="14">
        <f ca="1">ROUND(BD368*T368*AB368*K368*AZ368*[2]ステータス!$C$2,0)</f>
        <v>1400</v>
      </c>
      <c r="BM368" s="14">
        <f ca="1">ROUND(BD368*U368*AC368*L368*BA368*[2]ステータス!$D$2,0)</f>
        <v>0</v>
      </c>
      <c r="BN368" s="14">
        <f ca="1">ROUND(BD368*V368*AD368*M368*BB368*[2]ステータス!$E$2,0)</f>
        <v>954</v>
      </c>
      <c r="BO368" s="13">
        <v>0</v>
      </c>
      <c r="BP368" s="13">
        <v>1</v>
      </c>
      <c r="BQ368" s="49" t="s">
        <v>102</v>
      </c>
      <c r="BR368" s="13">
        <f ca="1">VLOOKUP(H368,ghosts_label!$A$2:$B$19,2,FALSE)</f>
        <v>1</v>
      </c>
    </row>
    <row r="369" spans="1:70" ht="21" customHeight="1" x14ac:dyDescent="0.15">
      <c r="A369" s="14">
        <f t="shared" ca="1" si="36"/>
        <v>368</v>
      </c>
      <c r="B369" s="77" t="str">
        <f ca="1">VLOOKUP($A369,OFFSET([2]characters!$A$1,0,0,COUNTA([2]characters!$A:$A),MATCH(B$1,[2]characters!$1:$1,0)-MATCH($A$1,[2]characters!$1:$1,0)+1),MATCH(B$1,[2]characters!$1:$1,0)-MATCH($A$1,[2]characters!$1:$1,0)+1,FALSE)</f>
        <v>ボイル</v>
      </c>
      <c r="C369" s="77" t="str">
        <f ca="1">VLOOKUP($A369,OFFSET([2]characters!$A$1,0,0,COUNTA([2]characters!$A:$A),MATCH(C$1,[2]characters!$1:$1,0)-MATCH($A$1,[2]characters!$1:$1,0)+1),MATCH(C$1,[2]characters!$1:$1,0)-MATCH($A$1,[2]characters!$1:$1,0)+1,FALSE)</f>
        <v>チャレンジタワー</v>
      </c>
      <c r="D369" s="77" t="str">
        <f ca="1">VLOOKUP($A369,OFFSET([2]characters!$A$1,0,0,COUNTA([2]characters!$A:$A),MATCH(D$1,[2]characters!$1:$1,0)-MATCH($A$1,[2]characters!$1:$1,0)+1),MATCH(D$1,[2]characters!$1:$1,0)-MATCH($A$1,[2]characters!$1:$1,0)+1,FALSE)</f>
        <v>守護者</v>
      </c>
      <c r="E369" s="77" t="str">
        <f ca="1">VLOOKUP($A369,OFFSET([2]characters!$A$1,0,0,COUNTA([2]characters!$A:$A),MATCH(E$1,[2]characters!$1:$1,0)-MATCH($A$1,[2]characters!$1:$1,0)+1),MATCH(E$1,[2]characters!$1:$1,0)-MATCH($A$1,[2]characters!$1:$1,0)+1,FALSE)</f>
        <v>美しい</v>
      </c>
      <c r="F369" s="77" t="str">
        <f ca="1">VLOOKUP($A369,OFFSET([2]characters!$A$1,0,0,COUNTA([2]characters!$A:$A),MATCH(F$1,[2]characters!$1:$1,0)-MATCH($A$1,[2]characters!$1:$1,0)+1),MATCH(F$1,[2]characters!$1:$1,0)-MATCH($A$1,[2]characters!$1:$1,0)+1,FALSE)</f>
        <v>女性</v>
      </c>
      <c r="G369" s="77">
        <f ca="1">VLOOKUP($A369,OFFSET([2]characters!$A$1,0,0,COUNTA([2]characters!$A:$A),MATCH(G$1,[2]characters!$1:$1,0)-MATCH($A$1,[2]characters!$1:$1,0)+1),MATCH(G$1,[2]characters!$1:$1,0)-MATCH($A$1,[2]characters!$1:$1,0)+1,FALSE)</f>
        <v>4</v>
      </c>
      <c r="H369" s="77" t="str">
        <f ca="1">VLOOKUP($A369,OFFSET([2]characters!$A$1,0,0,COUNTA([2]characters!$A:$A),MATCH(H$1,[2]characters!$1:$1,0)-MATCH($A$1,[2]characters!$1:$1,0)+1),MATCH(H$1,[2]characters!$1:$1,0)-MATCH($A$1,[2]characters!$1:$1,0)+1,FALSE)</f>
        <v>DropWizN</v>
      </c>
      <c r="I369" s="77" t="str">
        <f ca="1">VLOOKUP($A369,OFFSET([2]characters!$A$1,0,0,COUNTA([2]characters!$A:$A),MATCH(I$1,[2]characters!$1:$1,0)-MATCH($A$1,[2]characters!$1:$1,0)+1),MATCH(I$1,[2]characters!$1:$1,0)-MATCH($A$1,[2]characters!$1:$1,0)+1,FALSE)</f>
        <v>red</v>
      </c>
      <c r="J369" s="14">
        <f ca="1">VLOOKUP(I369,[2]属性!$A:$E,2,FALSE)</f>
        <v>1</v>
      </c>
      <c r="K369" s="14">
        <f ca="1">VLOOKUP(I369,[2]属性!$A:$E,3,FALSE)</f>
        <v>1.02</v>
      </c>
      <c r="L369" s="14">
        <f ca="1">VLOOKUP(I369,[2]属性!$A:$E,4,FALSE)</f>
        <v>1</v>
      </c>
      <c r="M369" s="14">
        <f ca="1">VLOOKUP(I369,[2]属性!$A:$E,5,FALSE)</f>
        <v>0.98</v>
      </c>
      <c r="N369" s="14">
        <f ca="1">INDEX(コスト!$A$1:$I$20,MATCH(H369,コスト!$A$1:$A$20,FALSE),MATCH(G369,コスト!$A$1:$I$1,FALSE))</f>
        <v>18</v>
      </c>
      <c r="O369" s="14">
        <f ca="1">INDEX(レベル!$A$1:$I$21,MATCH(H369,レベル!$A$1:$A$21,FALSE),MATCH(G369,レベル!$A$1:$I$1,FALSE))</f>
        <v>60</v>
      </c>
      <c r="P369" s="63">
        <f t="shared" ca="1" si="42"/>
        <v>60</v>
      </c>
      <c r="Q369" s="77" t="str">
        <f ca="1">VLOOKUP($A369,OFFSET([2]characters!$A$1,0,0,COUNTA([2]characters!$A:$A),MATCH(Q$1,[2]characters!$1:$1,0)-MATCH($A$1,[2]characters!$1:$1,0)+1),MATCH(Q$1,[2]characters!$1:$1,0)-MATCH($A$1,[2]characters!$1:$1,0)+1,FALSE)</f>
        <v>technical</v>
      </c>
      <c r="R369" s="8" t="str">
        <f ca="1">VLOOKUP(Q369,[2]character_type_i18n!$A:$H,3,FALSE)</f>
        <v>テクニカルタイプ</v>
      </c>
      <c r="S369" s="14">
        <f ca="1">VLOOKUP(Q369,[2]character_type_i18n!$A:$H,4,FALSE)</f>
        <v>0.9</v>
      </c>
      <c r="T369" s="14">
        <f ca="1">VLOOKUP(Q369,[2]character_type_i18n!$A:$H,5,FALSE)</f>
        <v>0.9</v>
      </c>
      <c r="U369" s="14">
        <f ca="1">VLOOKUP(Q369,[2]character_type_i18n!$A:$H,6,FALSE)</f>
        <v>1</v>
      </c>
      <c r="V369" s="14">
        <f ca="1">VLOOKUP(Q369,[2]character_type_i18n!$A:$H,7,FALSE)</f>
        <v>0.9</v>
      </c>
      <c r="W369" s="77" t="str">
        <f ca="1">VLOOKUP($A369,OFFSET([2]characters!$A$1,0,0,COUNTA([2]characters!$A:$A),MATCH(W$1,[2]characters!$1:$1,0)-MATCH($A$1,[2]characters!$1:$1,0)+1),MATCH(W$1,[2]characters!$1:$1,0)-MATCH($A$1,[2]characters!$1:$1,0)+1,FALSE)</f>
        <v>human</v>
      </c>
      <c r="X369" s="8" t="str">
        <f ca="1">VLOOKUP(W369,[2]character_tribe_i18n!$A:$H,3,FALSE)</f>
        <v>ヒューマン</v>
      </c>
      <c r="Y369" s="77" t="str">
        <f ca="1">VLOOKUP($A369,OFFSET([2]characters!$A$1,0,0,COUNTA([2]characters!$A:$A),MATCH(Y$1,[2]characters!$1:$1,0)-MATCH($A$1,[2]characters!$1:$1,0)+1),MATCH(Y$1,[2]characters!$1:$1,0)-MATCH($A$1,[2]characters!$1:$1,0)+1,FALSE)</f>
        <v>machine</v>
      </c>
      <c r="Z369" s="8" t="str">
        <f ca="1">VLOOKUP(Y369,[2]character_tribe_i18n!$A:$H,3,FALSE)</f>
        <v>マシン</v>
      </c>
      <c r="AA369" s="14">
        <f ca="1">VLOOKUP(W369,[2]character_tribe_i18n!$A:$H,4,FALSE)</f>
        <v>0.94</v>
      </c>
      <c r="AB369" s="14">
        <f ca="1">VLOOKUP(W369,[2]character_tribe_i18n!$A:$H,5,FALSE)</f>
        <v>0.99</v>
      </c>
      <c r="AC369" s="14">
        <f ca="1">VLOOKUP(W369,[2]character_tribe_i18n!$A:$H,6,FALSE)</f>
        <v>1</v>
      </c>
      <c r="AD369" s="14">
        <f ca="1">VLOOKUP(W369,[2]character_tribe_i18n!$A:$H,7,FALSE)</f>
        <v>1.07</v>
      </c>
      <c r="AE369" s="12">
        <v>369</v>
      </c>
      <c r="AF369" s="85" t="str">
        <f ca="1">IF(AE369="NULL","",VLOOKUP($AE369,OFFSET([2]characters!$A$1,0,0,COUNTA([2]characters!$A:$A),MATCH(AF$1,[2]characters!$1:$1,0)-MATCH($A$1,[2]characters!$1:$1,0)+1),MATCH(AF$1,[2]characters!$1:$1,0)-MATCH($A$1,[2]characters!$1:$1,0)+1,FALSE))</f>
        <v>赫熱の重腕 ボイル</v>
      </c>
      <c r="AG369" s="8">
        <f t="shared" ca="1" si="37"/>
        <v>368</v>
      </c>
      <c r="AH369" s="85" t="str">
        <f ca="1">VLOOKUP($AG369,OFFSET([2]characters!$A$1,0,0,COUNTA([2]characters!$A:$A),MATCH(AH$1,[2]characters!$1:$1,0)-MATCH($A$1,[2]characters!$1:$1,0)+1),MATCH(AH$1,[2]characters!$1:$1,0)-MATCH($A$1,[2]characters!$1:$1,0)+1,FALSE)</f>
        <v>ボイル</v>
      </c>
      <c r="AI369" s="14">
        <f ca="1">IF(AE369="NULL","NULL",VLOOKUP(G369,ビット!$A$2:$B$7,2))</f>
        <v>50000</v>
      </c>
      <c r="AJ369" s="9">
        <v>2</v>
      </c>
      <c r="AK369" s="10" t="str">
        <f t="shared" ref="AK369:AK370" si="44">IF(AJ369=1,"早熟",IF(AJ369=2,"普通",IF(AJ369=3,"晩成","")))</f>
        <v>普通</v>
      </c>
      <c r="AL369" s="14" t="str">
        <f ca="1">INDEX(経験値!$A$1:$I$20,MATCH(H369,経験値!$A$1:$A$20,FALSE),MATCH(G369,経験値!$A$1:$I$1,FALSE))</f>
        <v>required_exp_200</v>
      </c>
      <c r="AM369" s="11">
        <f ca="1">VLOOKUP(G369,経験値!$A$27:$B$31,2)</f>
        <v>3400</v>
      </c>
      <c r="AN369" s="21">
        <f ca="1">VLOOKUP(G369,ビット!$G$2:$H$7,2)</f>
        <v>600</v>
      </c>
      <c r="AO369" s="57"/>
      <c r="AP369" s="101">
        <v>222011</v>
      </c>
      <c r="AQ369" s="77" t="e">
        <f ca="1">VLOOKUP($AP369,OFFSET([1]unit_skills!$A$1,0,0,COUNTA([1]unit_skills!$A:$A),MATCH("name",[1]unit_skills!$1:$1,0)-MATCH($AP$1,[1]unit_skills!$1:$1,0)+1),MATCH("name",[1]unit_skills!$1:$1,0)-MATCH($AP$1,[1]unit_skills!$1:$1,0)+1,FALSE)</f>
        <v>#VALUE!</v>
      </c>
      <c r="AR369" s="77" t="e">
        <f ca="1">VLOOKUP($AP369,OFFSET([1]unit_skills!$A$1,0,0,COUNTA([1]unit_skills!$A:$A),MATCH("comment",[1]unit_skills!$1:$1,0)-MATCH($AP$1,[1]unit_skills!$1:$1,0)+1),MATCH("comment",[1]unit_skills!$1:$1,0)-MATCH($AP$1,[1]unit_skills!$1:$1,0)+1,FALSE)</f>
        <v>#VALUE!</v>
      </c>
      <c r="AS369" s="77" t="e">
        <f ca="1">VLOOKUP($AP369,OFFSET([1]unit_skills!$A$1,0,0,COUNTA([1]unit_skills!$A:$A),MATCH(AS$1,[1]unit_skills!$1:$1,0)-MATCH($AP$1,[1]unit_skills!$1:$1,0)+1),MATCH(AS$1,[1]unit_skills!$1:$1,0)-MATCH($AP$1,[1]unit_skills!$1:$1,0)+1,FALSE)</f>
        <v>#VALUE!</v>
      </c>
      <c r="AT369" s="53">
        <v>131309</v>
      </c>
      <c r="AU369" s="77" t="e">
        <f ca="1">VLOOKUP($AT369,OFFSET([1]crash_skills!$A$1,0,0,COUNTA([1]crash_skills!$A:$A),MATCH("name",[1]crash_skills!$1:$1,0)-MATCH($AT$1,[1]crash_skills!$1:$1,0)+1),MATCH("name",[1]crash_skills!$1:$1,0)-MATCH($AT$1,[1]crash_skills!$1:$1,0)+1,FALSE)</f>
        <v>#VALUE!</v>
      </c>
      <c r="AV369" s="77" t="e">
        <f ca="1">VLOOKUP($AT369,OFFSET([1]crash_skills!$A$1,0,0,COUNTA([1]crash_skills!$A:$A),MATCH("comment",[1]crash_skills!$1:$1,0)-MATCH($AT$1,[1]crash_skills!$1:$1,0)+1),MATCH("comment",[1]crash_skills!$1:$1,0)-MATCH($AT$1,[1]crash_skills!$1:$1,0)+1,FALSE)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69" s="77" t="e">
        <f ca="1">VLOOKUP($AT369,OFFSET([1]crash_skills!$A$1,0,0,COUNTA([1]crash_skills!$A:$A),MATCH(AW$1,[1]crash_skills!$1:$1,0)-MATCH($AT$1,[1]crash_skills!$1:$1,0)+1),MATCH(AW$1,[1]crash_skills!$1:$1,0)-MATCH($AT$1,[1]crash_skills!$1:$1,0)+1,FALSE)</f>
        <v>#VALUE!</v>
      </c>
      <c r="AX369" s="81">
        <f ca="1">VLOOKUP($A369,OFFSET([2]characters!$A$1,0,0,COUNTA([2]characters!$A:$A),MATCH(AX$1,[2]characters!$1:$1,0)-MATCH($A$1,[2]characters!$1:$1,0)+1),MATCH(AX$1,[2]characters!$1:$1,0)-MATCH($A$1,[2]characters!$1:$1,0)+1,FALSE)</f>
        <v>3</v>
      </c>
      <c r="AY369" s="19">
        <v>0.8</v>
      </c>
      <c r="AZ369" s="19">
        <v>1</v>
      </c>
      <c r="BA369" s="19">
        <v>0</v>
      </c>
      <c r="BB369" s="19">
        <v>0.9</v>
      </c>
      <c r="BC369" s="14">
        <f ca="1">INDEX('RC6SV'!$A$1:$G$20,MATCH(H369,'RC6SV'!$A$1:$A$20,FALSE),MATCH(G369,'RC6SV'!$A$1:$G$1,FALSE))</f>
        <v>6700</v>
      </c>
      <c r="BD369" s="63">
        <f t="shared" ca="1" si="39"/>
        <v>6700</v>
      </c>
      <c r="BE369" s="14">
        <f t="shared" ca="1" si="40"/>
        <v>0</v>
      </c>
      <c r="BF369" s="14">
        <f t="shared" ca="1" si="41"/>
        <v>1</v>
      </c>
      <c r="BG369" s="20">
        <f ca="1">IF($BE369&lt;=0,ROUND(BK369*0.5,0), ROUND($BE369*S369*AA369*J369*AY369*0.8*[2]ステータス!$B$2,0))</f>
        <v>1134</v>
      </c>
      <c r="BH369" s="20">
        <f ca="1">IF($BE369&lt;=0,ROUND(BL369*0.5,0), ROUND($BE369*T369*AB369*K369*AZ369*0.8*[2]ステータス!$C$2,0))</f>
        <v>914</v>
      </c>
      <c r="BI369" s="20">
        <f ca="1">IF($BE369&lt;=0,ROUND(BM369*0.5,0), ROUND($BE369*U369*AC369*L369*BA369*0.8*[2]ステータス!$D$2,0))</f>
        <v>0</v>
      </c>
      <c r="BJ369" s="20">
        <f ca="1">IF($BE369&lt;=0,ROUND(BN369*0.5,0), ROUND($BE369*V369*AD369*M369*BB369*0.8*[2]ステータス!$E$2,0))</f>
        <v>712</v>
      </c>
      <c r="BK369" s="14">
        <f ca="1">ROUND(BD369*S369*AA369*J369*AY369*[2]ステータス!$B$2,0)</f>
        <v>2267</v>
      </c>
      <c r="BL369" s="14">
        <f ca="1">ROUND(BD369*T369*AB369*K369*AZ369*[2]ステータス!$C$2,0)</f>
        <v>1827</v>
      </c>
      <c r="BM369" s="14">
        <f ca="1">ROUND(BD369*U369*AC369*L369*BA369*[2]ステータス!$D$2,0)</f>
        <v>0</v>
      </c>
      <c r="BN369" s="14">
        <f ca="1">ROUND(BD369*V369*AD369*M369*BB369*[2]ステータス!$E$2,0)</f>
        <v>1423</v>
      </c>
      <c r="BO369" s="13">
        <v>0</v>
      </c>
      <c r="BP369" s="13">
        <v>1</v>
      </c>
      <c r="BQ369" s="49" t="s">
        <v>102</v>
      </c>
      <c r="BR369" s="13">
        <f ca="1">VLOOKUP(H369,ghosts_label!$A$2:$B$19,2,FALSE)</f>
        <v>1</v>
      </c>
    </row>
    <row r="370" spans="1:70" ht="21" customHeight="1" x14ac:dyDescent="0.15">
      <c r="A370" s="14">
        <f t="shared" ca="1" si="36"/>
        <v>369</v>
      </c>
      <c r="B370" s="77" t="str">
        <f ca="1">VLOOKUP($A370,OFFSET([2]characters!$A$1,0,0,COUNTA([2]characters!$A:$A),MATCH(B$1,[2]characters!$1:$1,0)-MATCH($A$1,[2]characters!$1:$1,0)+1),MATCH(B$1,[2]characters!$1:$1,0)-MATCH($A$1,[2]characters!$1:$1,0)+1,FALSE)</f>
        <v>赫熱の重腕 ボイル</v>
      </c>
      <c r="C370" s="77" t="str">
        <f ca="1">VLOOKUP($A370,OFFSET([2]characters!$A$1,0,0,COUNTA([2]characters!$A:$A),MATCH(C$1,[2]characters!$1:$1,0)-MATCH($A$1,[2]characters!$1:$1,0)+1),MATCH(C$1,[2]characters!$1:$1,0)-MATCH($A$1,[2]characters!$1:$1,0)+1,FALSE)</f>
        <v>チャレンジタワー</v>
      </c>
      <c r="D370" s="77" t="str">
        <f ca="1">VLOOKUP($A370,OFFSET([2]characters!$A$1,0,0,COUNTA([2]characters!$A:$A),MATCH(D$1,[2]characters!$1:$1,0)-MATCH($A$1,[2]characters!$1:$1,0)+1),MATCH(D$1,[2]characters!$1:$1,0)-MATCH($A$1,[2]characters!$1:$1,0)+1,FALSE)</f>
        <v>守護者</v>
      </c>
      <c r="E370" s="77" t="str">
        <f ca="1">VLOOKUP($A370,OFFSET([2]characters!$A$1,0,0,COUNTA([2]characters!$A:$A),MATCH(E$1,[2]characters!$1:$1,0)-MATCH($A$1,[2]characters!$1:$1,0)+1),MATCH(E$1,[2]characters!$1:$1,0)-MATCH($A$1,[2]characters!$1:$1,0)+1,FALSE)</f>
        <v>美しい</v>
      </c>
      <c r="F370" s="77" t="str">
        <f ca="1">VLOOKUP($A370,OFFSET([2]characters!$A$1,0,0,COUNTA([2]characters!$A:$A),MATCH(F$1,[2]characters!$1:$1,0)-MATCH($A$1,[2]characters!$1:$1,0)+1),MATCH(F$1,[2]characters!$1:$1,0)-MATCH($A$1,[2]characters!$1:$1,0)+1,FALSE)</f>
        <v>女性</v>
      </c>
      <c r="G370" s="77">
        <f ca="1">VLOOKUP($A370,OFFSET([2]characters!$A$1,0,0,COUNTA([2]characters!$A:$A),MATCH(G$1,[2]characters!$1:$1,0)-MATCH($A$1,[2]characters!$1:$1,0)+1),MATCH(G$1,[2]characters!$1:$1,0)-MATCH($A$1,[2]characters!$1:$1,0)+1,FALSE)</f>
        <v>5</v>
      </c>
      <c r="H370" s="77" t="str">
        <f ca="1">VLOOKUP($A370,OFFSET([2]characters!$A$1,0,0,COUNTA([2]characters!$A:$A),MATCH(H$1,[2]characters!$1:$1,0)-MATCH($A$1,[2]characters!$1:$1,0)+1),MATCH(H$1,[2]characters!$1:$1,0)-MATCH($A$1,[2]characters!$1:$1,0)+1,FALSE)</f>
        <v>DropWizN</v>
      </c>
      <c r="I370" s="77" t="str">
        <f ca="1">VLOOKUP($A370,OFFSET([2]characters!$A$1,0,0,COUNTA([2]characters!$A:$A),MATCH(I$1,[2]characters!$1:$1,0)-MATCH($A$1,[2]characters!$1:$1,0)+1),MATCH(I$1,[2]characters!$1:$1,0)-MATCH($A$1,[2]characters!$1:$1,0)+1,FALSE)</f>
        <v>red</v>
      </c>
      <c r="J370" s="14">
        <f ca="1">VLOOKUP(I370,[2]属性!$A:$E,2,FALSE)</f>
        <v>1</v>
      </c>
      <c r="K370" s="14">
        <f ca="1">VLOOKUP(I370,[2]属性!$A:$E,3,FALSE)</f>
        <v>1.02</v>
      </c>
      <c r="L370" s="14">
        <f ca="1">VLOOKUP(I370,[2]属性!$A:$E,4,FALSE)</f>
        <v>1</v>
      </c>
      <c r="M370" s="14">
        <f ca="1">VLOOKUP(I370,[2]属性!$A:$E,5,FALSE)</f>
        <v>0.98</v>
      </c>
      <c r="N370" s="14">
        <f ca="1">INDEX(コスト!$A$1:$I$20,MATCH(H370,コスト!$A$1:$A$20,FALSE),MATCH(G370,コスト!$A$1:$I$1,FALSE))</f>
        <v>28</v>
      </c>
      <c r="O370" s="14">
        <f ca="1">INDEX(レベル!$A$1:$I$21,MATCH(H370,レベル!$A$1:$A$21,FALSE),MATCH(G370,レベル!$A$1:$I$1,FALSE))</f>
        <v>80</v>
      </c>
      <c r="P370" s="63">
        <f t="shared" ca="1" si="42"/>
        <v>75</v>
      </c>
      <c r="Q370" s="77" t="str">
        <f ca="1">VLOOKUP($A370,OFFSET([2]characters!$A$1,0,0,COUNTA([2]characters!$A:$A),MATCH(Q$1,[2]characters!$1:$1,0)-MATCH($A$1,[2]characters!$1:$1,0)+1),MATCH(Q$1,[2]characters!$1:$1,0)-MATCH($A$1,[2]characters!$1:$1,0)+1,FALSE)</f>
        <v>technical</v>
      </c>
      <c r="R370" s="8" t="str">
        <f ca="1">VLOOKUP(Q370,[2]character_type_i18n!$A:$H,3,FALSE)</f>
        <v>テクニカルタイプ</v>
      </c>
      <c r="S370" s="14">
        <f ca="1">VLOOKUP(Q370,[2]character_type_i18n!$A:$H,4,FALSE)</f>
        <v>0.9</v>
      </c>
      <c r="T370" s="14">
        <f ca="1">VLOOKUP(Q370,[2]character_type_i18n!$A:$H,5,FALSE)</f>
        <v>0.9</v>
      </c>
      <c r="U370" s="14">
        <f ca="1">VLOOKUP(Q370,[2]character_type_i18n!$A:$H,6,FALSE)</f>
        <v>1</v>
      </c>
      <c r="V370" s="14">
        <f ca="1">VLOOKUP(Q370,[2]character_type_i18n!$A:$H,7,FALSE)</f>
        <v>0.9</v>
      </c>
      <c r="W370" s="77" t="str">
        <f ca="1">VLOOKUP($A370,OFFSET([2]characters!$A$1,0,0,COUNTA([2]characters!$A:$A),MATCH(W$1,[2]characters!$1:$1,0)-MATCH($A$1,[2]characters!$1:$1,0)+1),MATCH(W$1,[2]characters!$1:$1,0)-MATCH($A$1,[2]characters!$1:$1,0)+1,FALSE)</f>
        <v>human</v>
      </c>
      <c r="X370" s="8" t="str">
        <f ca="1">VLOOKUP(W370,[2]character_tribe_i18n!$A:$H,3,FALSE)</f>
        <v>ヒューマン</v>
      </c>
      <c r="Y370" s="77" t="str">
        <f ca="1">VLOOKUP($A370,OFFSET([2]characters!$A$1,0,0,COUNTA([2]characters!$A:$A),MATCH(Y$1,[2]characters!$1:$1,0)-MATCH($A$1,[2]characters!$1:$1,0)+1),MATCH(Y$1,[2]characters!$1:$1,0)-MATCH($A$1,[2]characters!$1:$1,0)+1,FALSE)</f>
        <v>machine</v>
      </c>
      <c r="Z370" s="8" t="str">
        <f ca="1">VLOOKUP(Y370,[2]character_tribe_i18n!$A:$H,3,FALSE)</f>
        <v>マシン</v>
      </c>
      <c r="AA370" s="14">
        <f ca="1">VLOOKUP(W370,[2]character_tribe_i18n!$A:$H,4,FALSE)</f>
        <v>0.94</v>
      </c>
      <c r="AB370" s="14">
        <f ca="1">VLOOKUP(W370,[2]character_tribe_i18n!$A:$H,5,FALSE)</f>
        <v>0.99</v>
      </c>
      <c r="AC370" s="14">
        <f ca="1">VLOOKUP(W370,[2]character_tribe_i18n!$A:$H,6,FALSE)</f>
        <v>1</v>
      </c>
      <c r="AD370" s="14">
        <f ca="1">VLOOKUP(W370,[2]character_tribe_i18n!$A:$H,7,FALSE)</f>
        <v>1.07</v>
      </c>
      <c r="AE370" s="12" t="s">
        <v>260</v>
      </c>
      <c r="AF370" s="85" t="str">
        <f ca="1">IF(AE370="NULL","",VLOOKUP($AE370,OFFSET([2]characters!$A$1,0,0,COUNTA([2]characters!$A:$A),MATCH(AF$1,[2]characters!$1:$1,0)-MATCH($A$1,[2]characters!$1:$1,0)+1),MATCH(AF$1,[2]characters!$1:$1,0)-MATCH($A$1,[2]characters!$1:$1,0)+1,FALSE))</f>
        <v/>
      </c>
      <c r="AG370" s="8">
        <f t="shared" ca="1" si="37"/>
        <v>368</v>
      </c>
      <c r="AH370" s="85" t="str">
        <f ca="1">VLOOKUP($AG370,OFFSET([2]characters!$A$1,0,0,COUNTA([2]characters!$A:$A),MATCH(AH$1,[2]characters!$1:$1,0)-MATCH($A$1,[2]characters!$1:$1,0)+1),MATCH(AH$1,[2]characters!$1:$1,0)-MATCH($A$1,[2]characters!$1:$1,0)+1,FALSE)</f>
        <v>ボイル</v>
      </c>
      <c r="AI370" s="14" t="str">
        <f>IF(AE370="NULL","NULL",VLOOKUP(G370,ビット!$A$2:$B$7,2))</f>
        <v>NULL</v>
      </c>
      <c r="AJ370" s="9">
        <v>2</v>
      </c>
      <c r="AK370" s="10" t="str">
        <f t="shared" si="44"/>
        <v>普通</v>
      </c>
      <c r="AL370" s="14" t="str">
        <f ca="1">INDEX(経験値!$A$1:$I$20,MATCH(H370,経験値!$A$1:$A$20,FALSE),MATCH(G370,経験値!$A$1:$I$1,FALSE))</f>
        <v>required_exp_200</v>
      </c>
      <c r="AM370" s="11">
        <f ca="1">VLOOKUP(G370,経験値!$A$27:$B$31,2)</f>
        <v>6400</v>
      </c>
      <c r="AN370" s="21">
        <f ca="1">VLOOKUP(G370,ビット!$G$2:$H$7,2)</f>
        <v>900</v>
      </c>
      <c r="AO370" s="57"/>
      <c r="AP370" s="101">
        <v>222012</v>
      </c>
      <c r="AQ370" s="77" t="e">
        <f ca="1">VLOOKUP($AP370,OFFSET([1]unit_skills!$A$1,0,0,COUNTA([1]unit_skills!$A:$A),MATCH("name",[1]unit_skills!$1:$1,0)-MATCH($AP$1,[1]unit_skills!$1:$1,0)+1),MATCH("name",[1]unit_skills!$1:$1,0)-MATCH($AP$1,[1]unit_skills!$1:$1,0)+1,FALSE)</f>
        <v>#VALUE!</v>
      </c>
      <c r="AR370" s="77" t="e">
        <f ca="1">VLOOKUP($AP370,OFFSET([1]unit_skills!$A$1,0,0,COUNTA([1]unit_skills!$A:$A),MATCH("comment",[1]unit_skills!$1:$1,0)-MATCH($AP$1,[1]unit_skills!$1:$1,0)+1),MATCH("comment",[1]unit_skills!$1:$1,0)-MATCH($AP$1,[1]unit_skills!$1:$1,0)+1,FALSE)</f>
        <v>#VALUE!</v>
      </c>
      <c r="AS370" s="77" t="e">
        <f ca="1">VLOOKUP($AP370,OFFSET([1]unit_skills!$A$1,0,0,COUNTA([1]unit_skills!$A:$A),MATCH(AS$1,[1]unit_skills!$1:$1,0)-MATCH($AP$1,[1]unit_skills!$1:$1,0)+1),MATCH(AS$1,[1]unit_skills!$1:$1,0)-MATCH($AP$1,[1]unit_skills!$1:$1,0)+1,FALSE)</f>
        <v>#VALUE!</v>
      </c>
      <c r="AT370" s="53">
        <v>131310</v>
      </c>
      <c r="AU370" s="77" t="e">
        <f ca="1">VLOOKUP($AT370,OFFSET([1]crash_skills!$A$1,0,0,COUNTA([1]crash_skills!$A:$A),MATCH("name",[1]crash_skills!$1:$1,0)-MATCH($AT$1,[1]crash_skills!$1:$1,0)+1),MATCH("name",[1]crash_skills!$1:$1,0)-MATCH($AT$1,[1]crash_skills!$1:$1,0)+1,FALSE)</f>
        <v>#VALUE!</v>
      </c>
      <c r="AV370" s="77" t="e">
        <f ca="1">VLOOKUP($AT370,OFFSET([1]crash_skills!$A$1,0,0,COUNTA([1]crash_skills!$A:$A),MATCH("comment",[1]crash_skills!$1:$1,0)-MATCH($AT$1,[1]crash_skills!$1:$1,0)+1),MATCH("comment",[1]crash_skills!$1:$1,0)-MATCH($AT$1,[1]crash_skills!$1:$1,0)+1,FALSE)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70" s="77" t="e">
        <f ca="1">VLOOKUP($AT370,OFFSET([1]crash_skills!$A$1,0,0,COUNTA([1]crash_skills!$A:$A),MATCH(AW$1,[1]crash_skills!$1:$1,0)-MATCH($AT$1,[1]crash_skills!$1:$1,0)+1),MATCH(AW$1,[1]crash_skills!$1:$1,0)-MATCH($AT$1,[1]crash_skills!$1:$1,0)+1,FALSE)</f>
        <v>#VALUE!</v>
      </c>
      <c r="AX370" s="81">
        <f ca="1">VLOOKUP($A370,OFFSET([2]characters!$A$1,0,0,COUNTA([2]characters!$A:$A),MATCH(AX$1,[2]characters!$1:$1,0)-MATCH($A$1,[2]characters!$1:$1,0)+1),MATCH(AX$1,[2]characters!$1:$1,0)-MATCH($A$1,[2]characters!$1:$1,0)+1,FALSE)</f>
        <v>3</v>
      </c>
      <c r="AY370" s="19">
        <v>0.8</v>
      </c>
      <c r="AZ370" s="19">
        <v>1</v>
      </c>
      <c r="BA370" s="19">
        <v>0</v>
      </c>
      <c r="BB370" s="19">
        <v>0.9</v>
      </c>
      <c r="BC370" s="14">
        <f ca="1">INDEX('RC6SV'!$A$1:$G$20,MATCH(H370,'RC6SV'!$A$1:$A$20,FALSE),MATCH(G370,'RC6SV'!$A$1:$G$1,FALSE))</f>
        <v>8500</v>
      </c>
      <c r="BD370" s="63">
        <f t="shared" ca="1" si="39"/>
        <v>8500</v>
      </c>
      <c r="BE370" s="14">
        <f t="shared" ca="1" si="40"/>
        <v>6700</v>
      </c>
      <c r="BF370" s="14">
        <f t="shared" ca="1" si="41"/>
        <v>1</v>
      </c>
      <c r="BG370" s="20">
        <f ca="1">IF($BE370&lt;=0,ROUND(BK370*0.5,0), ROUND($BE370*S370*AA370*J370*AY370*0.8*[2]ステータス!$B$2,0))</f>
        <v>1814</v>
      </c>
      <c r="BH370" s="20">
        <f ca="1">IF($BE370&lt;=0,ROUND(BL370*0.5,0), ROUND($BE370*T370*AB370*K370*AZ370*0.8*[2]ステータス!$C$2,0))</f>
        <v>1461</v>
      </c>
      <c r="BI370" s="20">
        <f ca="1">IF($BE370&lt;=0,ROUND(BM370*0.5,0), ROUND($BE370*U370*AC370*L370*BA370*0.8*[2]ステータス!$D$2,0))</f>
        <v>0</v>
      </c>
      <c r="BJ370" s="20">
        <f ca="1">IF($BE370&lt;=0,ROUND(BN370*0.5,0), ROUND($BE370*V370*AD370*M370*BB370*0.8*[2]ステータス!$E$2,0))</f>
        <v>1138</v>
      </c>
      <c r="BK370" s="14">
        <f ca="1">ROUND(BD370*S370*AA370*J370*AY370*[2]ステータス!$B$2,0)</f>
        <v>2876</v>
      </c>
      <c r="BL370" s="14">
        <f ca="1">ROUND(BD370*T370*AB370*K370*AZ370*[2]ステータス!$C$2,0)</f>
        <v>2317</v>
      </c>
      <c r="BM370" s="14">
        <f ca="1">ROUND(BD370*U370*AC370*L370*BA370*[2]ステータス!$D$2,0)</f>
        <v>0</v>
      </c>
      <c r="BN370" s="14">
        <f ca="1">ROUND(BD370*V370*AD370*M370*BB370*[2]ステータス!$E$2,0)</f>
        <v>1805</v>
      </c>
      <c r="BO370" s="13">
        <v>0</v>
      </c>
      <c r="BP370" s="13">
        <v>1</v>
      </c>
      <c r="BQ370" s="49" t="s">
        <v>102</v>
      </c>
      <c r="BR370" s="13">
        <f ca="1">VLOOKUP(H370,ghosts_label!$A$2:$B$19,2,FALSE)</f>
        <v>1</v>
      </c>
    </row>
    <row r="371" spans="1:70" ht="21" customHeight="1" x14ac:dyDescent="0.15">
      <c r="A371" s="14">
        <f t="shared" ca="1" si="36"/>
        <v>370</v>
      </c>
      <c r="B371" s="77" t="str">
        <f ca="1">VLOOKUP($A371,OFFSET([2]characters!$A$1,0,0,COUNTA([2]characters!$A:$A),MATCH(B$1,[2]characters!$1:$1,0)-MATCH($A$1,[2]characters!$1:$1,0)+1),MATCH(B$1,[2]characters!$1:$1,0)-MATCH($A$1,[2]characters!$1:$1,0)+1,FALSE)</f>
        <v>タイチ</v>
      </c>
      <c r="C371" s="77" t="str">
        <f ca="1">VLOOKUP($A371,OFFSET([2]characters!$A$1,0,0,COUNTA([2]characters!$A:$A),MATCH(C$1,[2]characters!$1:$1,0)-MATCH($A$1,[2]characters!$1:$1,0)+1),MATCH(C$1,[2]characters!$1:$1,0)-MATCH($A$1,[2]characters!$1:$1,0)+1,FALSE)</f>
        <v>ノーマルクエスト</v>
      </c>
      <c r="D371" s="77" t="str">
        <f ca="1">VLOOKUP($A371,OFFSET([2]characters!$A$1,0,0,COUNTA([2]characters!$A:$A),MATCH(D$1,[2]characters!$1:$1,0)-MATCH($A$1,[2]characters!$1:$1,0)+1),MATCH(D$1,[2]characters!$1:$1,0)-MATCH($A$1,[2]characters!$1:$1,0)+1,FALSE)</f>
        <v>守護者</v>
      </c>
      <c r="E371" s="77" t="str">
        <f ca="1">VLOOKUP($A371,OFFSET([2]characters!$A$1,0,0,COUNTA([2]characters!$A:$A),MATCH(E$1,[2]characters!$1:$1,0)-MATCH($A$1,[2]characters!$1:$1,0)+1),MATCH(E$1,[2]characters!$1:$1,0)-MATCH($A$1,[2]characters!$1:$1,0)+1,FALSE)</f>
        <v>美しい</v>
      </c>
      <c r="F371" s="77" t="str">
        <f ca="1">VLOOKUP($A371,OFFSET([2]characters!$A$1,0,0,COUNTA([2]characters!$A:$A),MATCH(F$1,[2]characters!$1:$1,0)-MATCH($A$1,[2]characters!$1:$1,0)+1),MATCH(F$1,[2]characters!$1:$1,0)-MATCH($A$1,[2]characters!$1:$1,0)+1,FALSE)</f>
        <v>不明</v>
      </c>
      <c r="G371" s="77">
        <f ca="1">VLOOKUP($A371,OFFSET([2]characters!$A$1,0,0,COUNTA([2]characters!$A:$A),MATCH(G$1,[2]characters!$1:$1,0)-MATCH($A$1,[2]characters!$1:$1,0)+1),MATCH(G$1,[2]characters!$1:$1,0)-MATCH($A$1,[2]characters!$1:$1,0)+1,FALSE)</f>
        <v>2</v>
      </c>
      <c r="H371" s="77" t="str">
        <f ca="1">VLOOKUP($A371,OFFSET([2]characters!$A$1,0,0,COUNTA([2]characters!$A:$A),MATCH(H$1,[2]characters!$1:$1,0)-MATCH($A$1,[2]characters!$1:$1,0)+1),MATCH(H$1,[2]characters!$1:$1,0)-MATCH($A$1,[2]characters!$1:$1,0)+1,FALSE)</f>
        <v>Drop1S</v>
      </c>
      <c r="I371" s="77" t="str">
        <f ca="1">VLOOKUP($A371,OFFSET([2]characters!$A$1,0,0,COUNTA([2]characters!$A:$A),MATCH(I$1,[2]characters!$1:$1,0)-MATCH($A$1,[2]characters!$1:$1,0)+1),MATCH(I$1,[2]characters!$1:$1,0)-MATCH($A$1,[2]characters!$1:$1,0)+1,FALSE)</f>
        <v>red</v>
      </c>
      <c r="J371" s="14">
        <f ca="1">VLOOKUP(I371,[2]属性!$A:$E,2,FALSE)</f>
        <v>1</v>
      </c>
      <c r="K371" s="14">
        <f ca="1">VLOOKUP(I371,[2]属性!$A:$E,3,FALSE)</f>
        <v>1.02</v>
      </c>
      <c r="L371" s="14">
        <f ca="1">VLOOKUP(I371,[2]属性!$A:$E,4,FALSE)</f>
        <v>1</v>
      </c>
      <c r="M371" s="14">
        <f ca="1">VLOOKUP(I371,[2]属性!$A:$E,5,FALSE)</f>
        <v>0.98</v>
      </c>
      <c r="N371" s="14">
        <f ca="1">INDEX(コスト!$A$1:$I$20,MATCH(H371,コスト!$A$1:$A$20,FALSE),MATCH(G371,コスト!$A$1:$I$1,FALSE))</f>
        <v>4</v>
      </c>
      <c r="O371" s="14">
        <f ca="1">INDEX(レベル!$A$1:$I$21,MATCH(H371,レベル!$A$1:$A$21,FALSE),MATCH(G371,レベル!$A$1:$I$1,FALSE))</f>
        <v>30</v>
      </c>
      <c r="P371" s="63">
        <f t="shared" ca="1" si="42"/>
        <v>30</v>
      </c>
      <c r="Q371" s="77" t="str">
        <f ca="1">VLOOKUP($A371,OFFSET([2]characters!$A$1,0,0,COUNTA([2]characters!$A:$A),MATCH(Q$1,[2]characters!$1:$1,0)-MATCH($A$1,[2]characters!$1:$1,0)+1),MATCH(Q$1,[2]characters!$1:$1,0)-MATCH($A$1,[2]characters!$1:$1,0)+1,FALSE)</f>
        <v>attack</v>
      </c>
      <c r="R371" s="8" t="str">
        <f ca="1">VLOOKUP(Q371,[2]character_type_i18n!$A:$H,3,FALSE)</f>
        <v>攻撃タイプ</v>
      </c>
      <c r="S371" s="14">
        <f ca="1">VLOOKUP(Q371,[2]character_type_i18n!$A:$H,4,FALSE)</f>
        <v>1</v>
      </c>
      <c r="T371" s="14">
        <f ca="1">VLOOKUP(Q371,[2]character_type_i18n!$A:$H,5,FALSE)</f>
        <v>1.33</v>
      </c>
      <c r="U371" s="14">
        <f ca="1">VLOOKUP(Q371,[2]character_type_i18n!$A:$H,6,FALSE)</f>
        <v>1</v>
      </c>
      <c r="V371" s="14">
        <f ca="1">VLOOKUP(Q371,[2]character_type_i18n!$A:$H,7,FALSE)</f>
        <v>0.67</v>
      </c>
      <c r="W371" s="77" t="str">
        <f ca="1">VLOOKUP($A371,OFFSET([2]characters!$A$1,0,0,COUNTA([2]characters!$A:$A),MATCH(W$1,[2]characters!$1:$1,0)-MATCH($A$1,[2]characters!$1:$1,0)+1),MATCH(W$1,[2]characters!$1:$1,0)-MATCH($A$1,[2]characters!$1:$1,0)+1,FALSE)</f>
        <v>unknown</v>
      </c>
      <c r="X371" s="8" t="str">
        <f ca="1">VLOOKUP(W371,[2]character_tribe_i18n!$A:$H,3,FALSE)</f>
        <v>Unknown</v>
      </c>
      <c r="Y371" s="77" t="str">
        <f ca="1">VLOOKUP($A371,OFFSET([2]characters!$A$1,0,0,COUNTA([2]characters!$A:$A),MATCH(Y$1,[2]characters!$1:$1,0)-MATCH($A$1,[2]characters!$1:$1,0)+1),MATCH(Y$1,[2]characters!$1:$1,0)-MATCH($A$1,[2]characters!$1:$1,0)+1,FALSE)</f>
        <v>none</v>
      </c>
      <c r="Z371" s="8" t="str">
        <f ca="1">VLOOKUP(Y371,[2]character_tribe_i18n!$A:$H,3,FALSE)</f>
        <v>種族なし</v>
      </c>
      <c r="AA371" s="14">
        <f ca="1">VLOOKUP(W371,[2]character_tribe_i18n!$A:$H,4,FALSE)</f>
        <v>1</v>
      </c>
      <c r="AB371" s="14">
        <f ca="1">VLOOKUP(W371,[2]character_tribe_i18n!$A:$H,5,FALSE)</f>
        <v>1</v>
      </c>
      <c r="AC371" s="14">
        <f ca="1">VLOOKUP(W371,[2]character_tribe_i18n!$A:$H,6,FALSE)</f>
        <v>1</v>
      </c>
      <c r="AD371" s="14">
        <f ca="1">VLOOKUP(W371,[2]character_tribe_i18n!$A:$H,7,FALSE)</f>
        <v>1</v>
      </c>
      <c r="AE371" s="12">
        <v>371</v>
      </c>
      <c r="AF371" s="85" t="str">
        <f ca="1">IF(AE371="NULL","",VLOOKUP($AE371,OFFSET([2]characters!$A$1,0,0,COUNTA([2]characters!$A:$A),MATCH(AF$1,[2]characters!$1:$1,0)-MATCH($A$1,[2]characters!$1:$1,0)+1),MATCH(AF$1,[2]characters!$1:$1,0)-MATCH($A$1,[2]characters!$1:$1,0)+1,FALSE))</f>
        <v>行灯達磨 タイチ</v>
      </c>
      <c r="AG371" s="8">
        <f t="shared" ca="1" si="37"/>
        <v>370</v>
      </c>
      <c r="AH371" s="85" t="str">
        <f ca="1">VLOOKUP($AG371,OFFSET([2]characters!$A$1,0,0,COUNTA([2]characters!$A:$A),MATCH(AH$1,[2]characters!$1:$1,0)-MATCH($A$1,[2]characters!$1:$1,0)+1),MATCH(AH$1,[2]characters!$1:$1,0)-MATCH($A$1,[2]characters!$1:$1,0)+1,FALSE)</f>
        <v>タイチ</v>
      </c>
      <c r="AI371" s="14">
        <f ca="1">IF(AE371="NULL","NULL",VLOOKUP(G371,ビット!$A$2:$B$7,2))</f>
        <v>10000</v>
      </c>
      <c r="AJ371" s="9">
        <v>2</v>
      </c>
      <c r="AK371" s="10" t="str">
        <f t="shared" ref="AK371:AK377" si="45">IF(AJ371=1,"早熟",IF(AJ371=2,"普通",IF(AJ371=3,"晩成","")))</f>
        <v>普通</v>
      </c>
      <c r="AL371" s="14" t="str">
        <f ca="1">INDEX(経験値!$A$1:$I$20,MATCH(H371,経験値!$A$1:$A$20,FALSE),MATCH(G371,経験値!$A$1:$I$1,FALSE))</f>
        <v>required_exp_150</v>
      </c>
      <c r="AM371" s="11">
        <f ca="1">VLOOKUP(G371,経験値!$A$27:$B$31,2)</f>
        <v>600</v>
      </c>
      <c r="AN371" s="21">
        <f ca="1">VLOOKUP(G371,ビット!$G$2:$H$7,2)</f>
        <v>150</v>
      </c>
      <c r="AO371" s="57"/>
      <c r="AP371" s="101">
        <f ca="1">A371</f>
        <v>370</v>
      </c>
      <c r="AQ371" s="77" t="e">
        <f ca="1">VLOOKUP($AP371,OFFSET([1]unit_skills!$A$1,0,0,COUNTA([1]unit_skills!$A:$A),MATCH("name",[1]unit_skills!$1:$1,0)-MATCH($AP$1,[1]unit_skills!$1:$1,0)+1),MATCH("name",[1]unit_skills!$1:$1,0)-MATCH($AP$1,[1]unit_skills!$1:$1,0)+1,FALSE)</f>
        <v>#VALUE!</v>
      </c>
      <c r="AR371" s="77" t="e">
        <f ca="1">VLOOKUP($AP371,OFFSET([1]unit_skills!$A$1,0,0,COUNTA([1]unit_skills!$A:$A),MATCH("comment",[1]unit_skills!$1:$1,0)-MATCH($AP$1,[1]unit_skills!$1:$1,0)+1),MATCH("comment",[1]unit_skills!$1:$1,0)-MATCH($AP$1,[1]unit_skills!$1:$1,0)+1,FALSE)</f>
        <v>#VALUE!</v>
      </c>
      <c r="AS371" s="77" t="e">
        <f ca="1">VLOOKUP($AP371,OFFSET([1]unit_skills!$A$1,0,0,COUNTA([1]unit_skills!$A:$A),MATCH(AS$1,[1]unit_skills!$1:$1,0)-MATCH($AP$1,[1]unit_skills!$1:$1,0)+1),MATCH(AS$1,[1]unit_skills!$1:$1,0)-MATCH($AP$1,[1]unit_skills!$1:$1,0)+1,FALSE)</f>
        <v>#VALUE!</v>
      </c>
      <c r="AT371" s="53">
        <f ca="1">A371</f>
        <v>370</v>
      </c>
      <c r="AU371" s="77" t="e">
        <f ca="1">VLOOKUP($AT371,OFFSET([1]crash_skills!$A$1,0,0,COUNTA([1]crash_skills!$A:$A),MATCH("name",[1]crash_skills!$1:$1,0)-MATCH($AT$1,[1]crash_skills!$1:$1,0)+1),MATCH("name",[1]crash_skills!$1:$1,0)-MATCH($AT$1,[1]crash_skills!$1:$1,0)+1,FALSE)</f>
        <v>#VALUE!</v>
      </c>
      <c r="AV371" s="77" t="e">
        <f ca="1">VLOOKUP($AT371,OFFSET([1]crash_skills!$A$1,0,0,COUNTA([1]crash_skills!$A:$A),MATCH("comment",[1]crash_skills!$1:$1,0)-MATCH($AT$1,[1]crash_skills!$1:$1,0)+1),MATCH("comment",[1]crash_skills!$1:$1,0)-MATCH($AT$1,[1]crash_skills!$1:$1,0)+1,FALSE)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71" s="77" t="e">
        <f ca="1">VLOOKUP($AT371,OFFSET([1]crash_skills!$A$1,0,0,COUNTA([1]crash_skills!$A:$A),MATCH(AW$1,[1]crash_skills!$1:$1,0)-MATCH($AT$1,[1]crash_skills!$1:$1,0)+1),MATCH(AW$1,[1]crash_skills!$1:$1,0)-MATCH($AT$1,[1]crash_skills!$1:$1,0)+1,FALSE)</f>
        <v>#VALUE!</v>
      </c>
      <c r="AX371" s="81">
        <f ca="1">VLOOKUP($A371,OFFSET([2]characters!$A$1,0,0,COUNTA([2]characters!$A:$A),MATCH(AX$1,[2]characters!$1:$1,0)-MATCH($A$1,[2]characters!$1:$1,0)+1),MATCH(AX$1,[2]characters!$1:$1,0)-MATCH($A$1,[2]characters!$1:$1,0)+1,FALSE)</f>
        <v>3</v>
      </c>
      <c r="AY371" s="19">
        <v>1</v>
      </c>
      <c r="AZ371" s="19">
        <v>1</v>
      </c>
      <c r="BA371" s="19">
        <v>0</v>
      </c>
      <c r="BB371" s="19">
        <v>1</v>
      </c>
      <c r="BC371" s="14">
        <f ca="1">INDEX('RC6SV'!$A$1:$G$20,MATCH(H371,'RC6SV'!$A$1:$A$20,FALSE),MATCH(G371,'RC6SV'!$A$1:$G$1,FALSE))</f>
        <v>3000</v>
      </c>
      <c r="BD371" s="63">
        <f t="shared" ref="BD371:BD377" ca="1" si="46">ROUND(BC371*IF(AJ371=1,0.95,IF(AJ371=2,1,IF(AJ371,1.05,0))),0)</f>
        <v>3000</v>
      </c>
      <c r="BE371" s="14">
        <f t="shared" ca="1" si="40"/>
        <v>0</v>
      </c>
      <c r="BF371" s="14">
        <f t="shared" ca="1" si="41"/>
        <v>1</v>
      </c>
      <c r="BG371" s="20">
        <f ca="1">IF($BE371&lt;=0,ROUND(BK371*0.5,0), ROUND($BE371*S371*AA371*J371*AY371*0.8*[2]ステータス!$B$2,0))</f>
        <v>750</v>
      </c>
      <c r="BH371" s="20">
        <f ca="1">IF($BE371&lt;=0,ROUND(BL371*0.5,0), ROUND($BE371*T371*AB371*K371*AZ371*0.8*[2]ステータス!$C$2,0))</f>
        <v>611</v>
      </c>
      <c r="BI371" s="20">
        <f ca="1">IF($BE371&lt;=0,ROUND(BM371*0.5,0), ROUND($BE371*U371*AC371*L371*BA371*0.8*[2]ステータス!$D$2,0))</f>
        <v>0</v>
      </c>
      <c r="BJ371" s="20">
        <f ca="1">IF($BE371&lt;=0,ROUND(BN371*0.5,0), ROUND($BE371*V371*AD371*M371*BB371*0.8*[2]ステータス!$E$2,0))</f>
        <v>246</v>
      </c>
      <c r="BK371" s="14">
        <f ca="1">ROUND(BD371*S371*AA371*J371*AY371*[2]ステータス!$B$2,0)</f>
        <v>1500</v>
      </c>
      <c r="BL371" s="14">
        <f ca="1">ROUND(BD371*T371*AB371*K371*AZ371*[2]ステータス!$C$2,0)</f>
        <v>1221</v>
      </c>
      <c r="BM371" s="14">
        <f ca="1">ROUND(BD371*U371*AC371*L371*BA371*[2]ステータス!$D$2,0)</f>
        <v>0</v>
      </c>
      <c r="BN371" s="14">
        <f ca="1">ROUND(BD371*V371*AD371*M371*BB371*[2]ステータス!$E$2,0)</f>
        <v>492</v>
      </c>
      <c r="BO371" s="13">
        <v>0</v>
      </c>
      <c r="BP371" s="13">
        <v>1</v>
      </c>
      <c r="BQ371" s="49" t="s">
        <v>102</v>
      </c>
      <c r="BR371" s="13">
        <f ca="1">VLOOKUP(H371,ghosts_label!$A$2:$B$19,2,FALSE)</f>
        <v>1</v>
      </c>
    </row>
    <row r="372" spans="1:70" ht="21" customHeight="1" x14ac:dyDescent="0.15">
      <c r="A372" s="14">
        <f t="shared" ca="1" si="36"/>
        <v>371</v>
      </c>
      <c r="B372" s="77" t="str">
        <f ca="1">VLOOKUP($A372,OFFSET([2]characters!$A$1,0,0,COUNTA([2]characters!$A:$A),MATCH(B$1,[2]characters!$1:$1,0)-MATCH($A$1,[2]characters!$1:$1,0)+1),MATCH(B$1,[2]characters!$1:$1,0)-MATCH($A$1,[2]characters!$1:$1,0)+1,FALSE)</f>
        <v>行灯達磨 タイチ</v>
      </c>
      <c r="C372" s="77" t="str">
        <f ca="1">VLOOKUP($A372,OFFSET([2]characters!$A$1,0,0,COUNTA([2]characters!$A:$A),MATCH(C$1,[2]characters!$1:$1,0)-MATCH($A$1,[2]characters!$1:$1,0)+1),MATCH(C$1,[2]characters!$1:$1,0)-MATCH($A$1,[2]characters!$1:$1,0)+1,FALSE)</f>
        <v>ノーマルクエスト</v>
      </c>
      <c r="D372" s="77" t="str">
        <f ca="1">VLOOKUP($A372,OFFSET([2]characters!$A$1,0,0,COUNTA([2]characters!$A:$A),MATCH(D$1,[2]characters!$1:$1,0)-MATCH($A$1,[2]characters!$1:$1,0)+1),MATCH(D$1,[2]characters!$1:$1,0)-MATCH($A$1,[2]characters!$1:$1,0)+1,FALSE)</f>
        <v>守護者</v>
      </c>
      <c r="E372" s="77" t="str">
        <f ca="1">VLOOKUP($A372,OFFSET([2]characters!$A$1,0,0,COUNTA([2]characters!$A:$A),MATCH(E$1,[2]characters!$1:$1,0)-MATCH($A$1,[2]characters!$1:$1,0)+1),MATCH(E$1,[2]characters!$1:$1,0)-MATCH($A$1,[2]characters!$1:$1,0)+1,FALSE)</f>
        <v>美しい</v>
      </c>
      <c r="F372" s="77" t="str">
        <f ca="1">VLOOKUP($A372,OFFSET([2]characters!$A$1,0,0,COUNTA([2]characters!$A:$A),MATCH(F$1,[2]characters!$1:$1,0)-MATCH($A$1,[2]characters!$1:$1,0)+1),MATCH(F$1,[2]characters!$1:$1,0)-MATCH($A$1,[2]characters!$1:$1,0)+1,FALSE)</f>
        <v>不明</v>
      </c>
      <c r="G372" s="77">
        <f ca="1">VLOOKUP($A372,OFFSET([2]characters!$A$1,0,0,COUNTA([2]characters!$A:$A),MATCH(G$1,[2]characters!$1:$1,0)-MATCH($A$1,[2]characters!$1:$1,0)+1),MATCH(G$1,[2]characters!$1:$1,0)-MATCH($A$1,[2]characters!$1:$1,0)+1,FALSE)</f>
        <v>3</v>
      </c>
      <c r="H372" s="77" t="str">
        <f ca="1">VLOOKUP($A372,OFFSET([2]characters!$A$1,0,0,COUNTA([2]characters!$A:$A),MATCH(H$1,[2]characters!$1:$1,0)-MATCH($A$1,[2]characters!$1:$1,0)+1),MATCH(H$1,[2]characters!$1:$1,0)-MATCH($A$1,[2]characters!$1:$1,0)+1,FALSE)</f>
        <v>Drop1S</v>
      </c>
      <c r="I372" s="77" t="str">
        <f ca="1">VLOOKUP($A372,OFFSET([2]characters!$A$1,0,0,COUNTA([2]characters!$A:$A),MATCH(I$1,[2]characters!$1:$1,0)-MATCH($A$1,[2]characters!$1:$1,0)+1),MATCH(I$1,[2]characters!$1:$1,0)-MATCH($A$1,[2]characters!$1:$1,0)+1,FALSE)</f>
        <v>red</v>
      </c>
      <c r="J372" s="14">
        <f ca="1">VLOOKUP(I372,[2]属性!$A:$E,2,FALSE)</f>
        <v>1</v>
      </c>
      <c r="K372" s="14">
        <f ca="1">VLOOKUP(I372,[2]属性!$A:$E,3,FALSE)</f>
        <v>1.02</v>
      </c>
      <c r="L372" s="14">
        <f ca="1">VLOOKUP(I372,[2]属性!$A:$E,4,FALSE)</f>
        <v>1</v>
      </c>
      <c r="M372" s="14">
        <f ca="1">VLOOKUP(I372,[2]属性!$A:$E,5,FALSE)</f>
        <v>0.98</v>
      </c>
      <c r="N372" s="14">
        <f ca="1">INDEX(コスト!$A$1:$I$20,MATCH(H372,コスト!$A$1:$A$20,FALSE),MATCH(G372,コスト!$A$1:$I$1,FALSE))</f>
        <v>6</v>
      </c>
      <c r="O372" s="14">
        <f ca="1">INDEX(レベル!$A$1:$I$21,MATCH(H372,レベル!$A$1:$A$21,FALSE),MATCH(G372,レベル!$A$1:$I$1,FALSE))</f>
        <v>40</v>
      </c>
      <c r="P372" s="63">
        <f t="shared" ca="1" si="42"/>
        <v>45</v>
      </c>
      <c r="Q372" s="77" t="str">
        <f ca="1">VLOOKUP($A372,OFFSET([2]characters!$A$1,0,0,COUNTA([2]characters!$A:$A),MATCH(Q$1,[2]characters!$1:$1,0)-MATCH($A$1,[2]characters!$1:$1,0)+1),MATCH(Q$1,[2]characters!$1:$1,0)-MATCH($A$1,[2]characters!$1:$1,0)+1,FALSE)</f>
        <v>attack</v>
      </c>
      <c r="R372" s="8" t="str">
        <f ca="1">VLOOKUP(Q372,[2]character_type_i18n!$A:$H,3,FALSE)</f>
        <v>攻撃タイプ</v>
      </c>
      <c r="S372" s="14">
        <f ca="1">VLOOKUP(Q372,[2]character_type_i18n!$A:$H,4,FALSE)</f>
        <v>1</v>
      </c>
      <c r="T372" s="14">
        <f ca="1">VLOOKUP(Q372,[2]character_type_i18n!$A:$H,5,FALSE)</f>
        <v>1.33</v>
      </c>
      <c r="U372" s="14">
        <f ca="1">VLOOKUP(Q372,[2]character_type_i18n!$A:$H,6,FALSE)</f>
        <v>1</v>
      </c>
      <c r="V372" s="14">
        <f ca="1">VLOOKUP(Q372,[2]character_type_i18n!$A:$H,7,FALSE)</f>
        <v>0.67</v>
      </c>
      <c r="W372" s="77" t="str">
        <f ca="1">VLOOKUP($A372,OFFSET([2]characters!$A$1,0,0,COUNTA([2]characters!$A:$A),MATCH(W$1,[2]characters!$1:$1,0)-MATCH($A$1,[2]characters!$1:$1,0)+1),MATCH(W$1,[2]characters!$1:$1,0)-MATCH($A$1,[2]characters!$1:$1,0)+1,FALSE)</f>
        <v>unknown</v>
      </c>
      <c r="X372" s="8" t="str">
        <f ca="1">VLOOKUP(W372,[2]character_tribe_i18n!$A:$H,3,FALSE)</f>
        <v>Unknown</v>
      </c>
      <c r="Y372" s="77" t="str">
        <f ca="1">VLOOKUP($A372,OFFSET([2]characters!$A$1,0,0,COUNTA([2]characters!$A:$A),MATCH(Y$1,[2]characters!$1:$1,0)-MATCH($A$1,[2]characters!$1:$1,0)+1),MATCH(Y$1,[2]characters!$1:$1,0)-MATCH($A$1,[2]characters!$1:$1,0)+1,FALSE)</f>
        <v>none</v>
      </c>
      <c r="Z372" s="8" t="str">
        <f ca="1">VLOOKUP(Y372,[2]character_tribe_i18n!$A:$H,3,FALSE)</f>
        <v>種族なし</v>
      </c>
      <c r="AA372" s="14">
        <f ca="1">VLOOKUP(W372,[2]character_tribe_i18n!$A:$H,4,FALSE)</f>
        <v>1</v>
      </c>
      <c r="AB372" s="14">
        <f ca="1">VLOOKUP(W372,[2]character_tribe_i18n!$A:$H,5,FALSE)</f>
        <v>1</v>
      </c>
      <c r="AC372" s="14">
        <f ca="1">VLOOKUP(W372,[2]character_tribe_i18n!$A:$H,6,FALSE)</f>
        <v>1</v>
      </c>
      <c r="AD372" s="14">
        <f ca="1">VLOOKUP(W372,[2]character_tribe_i18n!$A:$H,7,FALSE)</f>
        <v>1</v>
      </c>
      <c r="AE372" s="12" t="s">
        <v>102</v>
      </c>
      <c r="AF372" s="85" t="str">
        <f ca="1">IF(AE372="NULL","",VLOOKUP($AE372,OFFSET([2]characters!$A$1,0,0,COUNTA([2]characters!$A:$A),MATCH(AF$1,[2]characters!$1:$1,0)-MATCH($A$1,[2]characters!$1:$1,0)+1),MATCH(AF$1,[2]characters!$1:$1,0)-MATCH($A$1,[2]characters!$1:$1,0)+1,FALSE))</f>
        <v/>
      </c>
      <c r="AG372" s="8">
        <f t="shared" ca="1" si="37"/>
        <v>370</v>
      </c>
      <c r="AH372" s="85" t="str">
        <f ca="1">VLOOKUP($AG372,OFFSET([2]characters!$A$1,0,0,COUNTA([2]characters!$A:$A),MATCH(AH$1,[2]characters!$1:$1,0)-MATCH($A$1,[2]characters!$1:$1,0)+1),MATCH(AH$1,[2]characters!$1:$1,0)-MATCH($A$1,[2]characters!$1:$1,0)+1,FALSE)</f>
        <v>タイチ</v>
      </c>
      <c r="AI372" s="14" t="str">
        <f>IF(AE372="NULL","NULL",VLOOKUP(G372,ビット!$A$2:$B$7,2))</f>
        <v>NULL</v>
      </c>
      <c r="AJ372" s="9">
        <v>2</v>
      </c>
      <c r="AK372" s="10" t="str">
        <f t="shared" si="45"/>
        <v>普通</v>
      </c>
      <c r="AL372" s="14" t="str">
        <f ca="1">INDEX(経験値!$A$1:$I$20,MATCH(H372,経験値!$A$1:$A$20,FALSE),MATCH(G372,経験値!$A$1:$I$1,FALSE))</f>
        <v>required_exp_150</v>
      </c>
      <c r="AM372" s="11">
        <f ca="1">VLOOKUP(G372,経験値!$A$27:$B$31,2)</f>
        <v>1500</v>
      </c>
      <c r="AN372" s="21">
        <f ca="1">VLOOKUP(G372,ビット!$G$2:$H$7,2)</f>
        <v>300</v>
      </c>
      <c r="AO372" s="57"/>
      <c r="AP372" s="101">
        <f t="shared" ref="AP372:AP376" ca="1" si="47">A372</f>
        <v>371</v>
      </c>
      <c r="AQ372" s="77" t="e">
        <f ca="1">VLOOKUP($AP372,OFFSET([1]unit_skills!$A$1,0,0,COUNTA([1]unit_skills!$A:$A),MATCH("name",[1]unit_skills!$1:$1,0)-MATCH($AP$1,[1]unit_skills!$1:$1,0)+1),MATCH("name",[1]unit_skills!$1:$1,0)-MATCH($AP$1,[1]unit_skills!$1:$1,0)+1,FALSE)</f>
        <v>#VALUE!</v>
      </c>
      <c r="AR372" s="77" t="e">
        <f ca="1">VLOOKUP($AP372,OFFSET([1]unit_skills!$A$1,0,0,COUNTA([1]unit_skills!$A:$A),MATCH("comment",[1]unit_skills!$1:$1,0)-MATCH($AP$1,[1]unit_skills!$1:$1,0)+1),MATCH("comment",[1]unit_skills!$1:$1,0)-MATCH($AP$1,[1]unit_skills!$1:$1,0)+1,FALSE)</f>
        <v>#VALUE!</v>
      </c>
      <c r="AS372" s="77" t="e">
        <f ca="1">VLOOKUP($AP372,OFFSET([1]unit_skills!$A$1,0,0,COUNTA([1]unit_skills!$A:$A),MATCH(AS$1,[1]unit_skills!$1:$1,0)-MATCH($AP$1,[1]unit_skills!$1:$1,0)+1),MATCH(AS$1,[1]unit_skills!$1:$1,0)-MATCH($AP$1,[1]unit_skills!$1:$1,0)+1,FALSE)</f>
        <v>#VALUE!</v>
      </c>
      <c r="AT372" s="53">
        <f t="shared" ref="AT372:AT376" ca="1" si="48">A372</f>
        <v>371</v>
      </c>
      <c r="AU372" s="77" t="e">
        <f ca="1">VLOOKUP($AT372,OFFSET([1]crash_skills!$A$1,0,0,COUNTA([1]crash_skills!$A:$A),MATCH("name",[1]crash_skills!$1:$1,0)-MATCH($AT$1,[1]crash_skills!$1:$1,0)+1),MATCH("name",[1]crash_skills!$1:$1,0)-MATCH($AT$1,[1]crash_skills!$1:$1,0)+1,FALSE)</f>
        <v>#VALUE!</v>
      </c>
      <c r="AV372" s="77" t="e">
        <f ca="1">VLOOKUP($AT372,OFFSET([1]crash_skills!$A$1,0,0,COUNTA([1]crash_skills!$A:$A),MATCH("comment",[1]crash_skills!$1:$1,0)-MATCH($AT$1,[1]crash_skills!$1:$1,0)+1),MATCH("comment",[1]crash_skills!$1:$1,0)-MATCH($AT$1,[1]crash_skills!$1:$1,0)+1,FALSE)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72" s="77" t="e">
        <f ca="1">VLOOKUP($AT372,OFFSET([1]crash_skills!$A$1,0,0,COUNTA([1]crash_skills!$A:$A),MATCH(AW$1,[1]crash_skills!$1:$1,0)-MATCH($AT$1,[1]crash_skills!$1:$1,0)+1),MATCH(AW$1,[1]crash_skills!$1:$1,0)-MATCH($AT$1,[1]crash_skills!$1:$1,0)+1,FALSE)</f>
        <v>#VALUE!</v>
      </c>
      <c r="AX372" s="81">
        <f ca="1">VLOOKUP($A372,OFFSET([2]characters!$A$1,0,0,COUNTA([2]characters!$A:$A),MATCH(AX$1,[2]characters!$1:$1,0)-MATCH($A$1,[2]characters!$1:$1,0)+1),MATCH(AX$1,[2]characters!$1:$1,0)-MATCH($A$1,[2]characters!$1:$1,0)+1,FALSE)</f>
        <v>3</v>
      </c>
      <c r="AY372" s="19">
        <v>1</v>
      </c>
      <c r="AZ372" s="19">
        <v>1</v>
      </c>
      <c r="BA372" s="19">
        <v>0</v>
      </c>
      <c r="BB372" s="19">
        <v>1</v>
      </c>
      <c r="BC372" s="14">
        <f ca="1">INDEX('RC6SV'!$A$1:$G$20,MATCH(H372,'RC6SV'!$A$1:$A$20,FALSE),MATCH(G372,'RC6SV'!$A$1:$G$1,FALSE))</f>
        <v>4200</v>
      </c>
      <c r="BD372" s="63">
        <f t="shared" ca="1" si="46"/>
        <v>4200</v>
      </c>
      <c r="BE372" s="14">
        <f t="shared" ca="1" si="40"/>
        <v>3000</v>
      </c>
      <c r="BF372" s="14">
        <f t="shared" ca="1" si="41"/>
        <v>1</v>
      </c>
      <c r="BG372" s="20">
        <f ca="1">IF($BE372&lt;=0,ROUND(BK372*0.5,0), ROUND($BE372*S372*AA372*J372*AY372*0.8*[2]ステータス!$B$2,0))</f>
        <v>1200</v>
      </c>
      <c r="BH372" s="20">
        <f ca="1">IF($BE372&lt;=0,ROUND(BL372*0.5,0), ROUND($BE372*T372*AB372*K372*AZ372*0.8*[2]ステータス!$C$2,0))</f>
        <v>977</v>
      </c>
      <c r="BI372" s="20">
        <f ca="1">IF($BE372&lt;=0,ROUND(BM372*0.5,0), ROUND($BE372*U372*AC372*L372*BA372*0.8*[2]ステータス!$D$2,0))</f>
        <v>0</v>
      </c>
      <c r="BJ372" s="20">
        <f ca="1">IF($BE372&lt;=0,ROUND(BN372*0.5,0), ROUND($BE372*V372*AD372*M372*BB372*0.8*[2]ステータス!$E$2,0))</f>
        <v>394</v>
      </c>
      <c r="BK372" s="14">
        <f ca="1">ROUND(BD372*S372*AA372*J372*AY372*[2]ステータス!$B$2,0)</f>
        <v>2100</v>
      </c>
      <c r="BL372" s="14">
        <f ca="1">ROUND(BD372*T372*AB372*K372*AZ372*[2]ステータス!$C$2,0)</f>
        <v>1709</v>
      </c>
      <c r="BM372" s="14">
        <f ca="1">ROUND(BD372*U372*AC372*L372*BA372*[2]ステータス!$D$2,0)</f>
        <v>0</v>
      </c>
      <c r="BN372" s="14">
        <f ca="1">ROUND(BD372*V372*AD372*M372*BB372*[2]ステータス!$E$2,0)</f>
        <v>689</v>
      </c>
      <c r="BO372" s="13">
        <v>0</v>
      </c>
      <c r="BP372" s="13">
        <v>1</v>
      </c>
      <c r="BQ372" s="49" t="s">
        <v>102</v>
      </c>
      <c r="BR372" s="13">
        <f ca="1">VLOOKUP(H372,ghosts_label!$A$2:$B$19,2,FALSE)</f>
        <v>1</v>
      </c>
    </row>
    <row r="373" spans="1:70" ht="21" customHeight="1" x14ac:dyDescent="0.15">
      <c r="A373" s="14">
        <f t="shared" ca="1" si="36"/>
        <v>372</v>
      </c>
      <c r="B373" s="77" t="str">
        <f ca="1">VLOOKUP($A373,OFFSET([2]characters!$A$1,0,0,COUNTA([2]characters!$A:$A),MATCH(B$1,[2]characters!$1:$1,0)-MATCH($A$1,[2]characters!$1:$1,0)+1),MATCH(B$1,[2]characters!$1:$1,0)-MATCH($A$1,[2]characters!$1:$1,0)+1,FALSE)</f>
        <v>バショー</v>
      </c>
      <c r="C373" s="77" t="str">
        <f ca="1">VLOOKUP($A373,OFFSET([2]characters!$A$1,0,0,COUNTA([2]characters!$A:$A),MATCH(C$1,[2]characters!$1:$1,0)-MATCH($A$1,[2]characters!$1:$1,0)+1),MATCH(C$1,[2]characters!$1:$1,0)-MATCH($A$1,[2]characters!$1:$1,0)+1,FALSE)</f>
        <v>ノーマルクエスト</v>
      </c>
      <c r="D373" s="77" t="str">
        <f ca="1">VLOOKUP($A373,OFFSET([2]characters!$A$1,0,0,COUNTA([2]characters!$A:$A),MATCH(D$1,[2]characters!$1:$1,0)-MATCH($A$1,[2]characters!$1:$1,0)+1),MATCH(D$1,[2]characters!$1:$1,0)-MATCH($A$1,[2]characters!$1:$1,0)+1,FALSE)</f>
        <v>守護者</v>
      </c>
      <c r="E373" s="77" t="str">
        <f ca="1">VLOOKUP($A373,OFFSET([2]characters!$A$1,0,0,COUNTA([2]characters!$A:$A),MATCH(E$1,[2]characters!$1:$1,0)-MATCH($A$1,[2]characters!$1:$1,0)+1),MATCH(E$1,[2]characters!$1:$1,0)-MATCH($A$1,[2]characters!$1:$1,0)+1,FALSE)</f>
        <v>美しい</v>
      </c>
      <c r="F373" s="77" t="str">
        <f ca="1">VLOOKUP($A373,OFFSET([2]characters!$A$1,0,0,COUNTA([2]characters!$A:$A),MATCH(F$1,[2]characters!$1:$1,0)-MATCH($A$1,[2]characters!$1:$1,0)+1),MATCH(F$1,[2]characters!$1:$1,0)-MATCH($A$1,[2]characters!$1:$1,0)+1,FALSE)</f>
        <v>不明</v>
      </c>
      <c r="G373" s="77">
        <f ca="1">VLOOKUP($A373,OFFSET([2]characters!$A$1,0,0,COUNTA([2]characters!$A:$A),MATCH(G$1,[2]characters!$1:$1,0)-MATCH($A$1,[2]characters!$1:$1,0)+1),MATCH(G$1,[2]characters!$1:$1,0)-MATCH($A$1,[2]characters!$1:$1,0)+1,FALSE)</f>
        <v>2</v>
      </c>
      <c r="H373" s="77" t="str">
        <f ca="1">VLOOKUP($A373,OFFSET([2]characters!$A$1,0,0,COUNTA([2]characters!$A:$A),MATCH(H$1,[2]characters!$1:$1,0)-MATCH($A$1,[2]characters!$1:$1,0)+1),MATCH(H$1,[2]characters!$1:$1,0)-MATCH($A$1,[2]characters!$1:$1,0)+1,FALSE)</f>
        <v>Drop1S</v>
      </c>
      <c r="I373" s="77" t="str">
        <f ca="1">VLOOKUP($A373,OFFSET([2]characters!$A$1,0,0,COUNTA([2]characters!$A:$A),MATCH(I$1,[2]characters!$1:$1,0)-MATCH($A$1,[2]characters!$1:$1,0)+1),MATCH(I$1,[2]characters!$1:$1,0)-MATCH($A$1,[2]characters!$1:$1,0)+1,FALSE)</f>
        <v>green</v>
      </c>
      <c r="J373" s="14">
        <f ca="1">VLOOKUP(I373,[2]属性!$A:$E,2,FALSE)</f>
        <v>1.02</v>
      </c>
      <c r="K373" s="14">
        <f ca="1">VLOOKUP(I373,[2]属性!$A:$E,3,FALSE)</f>
        <v>0.98</v>
      </c>
      <c r="L373" s="14">
        <f ca="1">VLOOKUP(I373,[2]属性!$A:$E,4,FALSE)</f>
        <v>1</v>
      </c>
      <c r="M373" s="14">
        <f ca="1">VLOOKUP(I373,[2]属性!$A:$E,5,FALSE)</f>
        <v>1</v>
      </c>
      <c r="N373" s="14">
        <f ca="1">INDEX(コスト!$A$1:$I$20,MATCH(H373,コスト!$A$1:$A$20,FALSE),MATCH(G373,コスト!$A$1:$I$1,FALSE))</f>
        <v>4</v>
      </c>
      <c r="O373" s="14">
        <f ca="1">INDEX(レベル!$A$1:$I$21,MATCH(H373,レベル!$A$1:$A$21,FALSE),MATCH(G373,レベル!$A$1:$I$1,FALSE))</f>
        <v>30</v>
      </c>
      <c r="P373" s="63">
        <f t="shared" ca="1" si="42"/>
        <v>30</v>
      </c>
      <c r="Q373" s="77" t="str">
        <f ca="1">VLOOKUP($A373,OFFSET([2]characters!$A$1,0,0,COUNTA([2]characters!$A:$A),MATCH(Q$1,[2]characters!$1:$1,0)-MATCH($A$1,[2]characters!$1:$1,0)+1),MATCH(Q$1,[2]characters!$1:$1,0)-MATCH($A$1,[2]characters!$1:$1,0)+1,FALSE)</f>
        <v>balance</v>
      </c>
      <c r="R373" s="8" t="str">
        <f ca="1">VLOOKUP(Q373,[2]character_type_i18n!$A:$H,3,FALSE)</f>
        <v>バランスタイプ</v>
      </c>
      <c r="S373" s="14">
        <f ca="1">VLOOKUP(Q373,[2]character_type_i18n!$A:$H,4,FALSE)</f>
        <v>1</v>
      </c>
      <c r="T373" s="14">
        <f ca="1">VLOOKUP(Q373,[2]character_type_i18n!$A:$H,5,FALSE)</f>
        <v>1</v>
      </c>
      <c r="U373" s="14">
        <f ca="1">VLOOKUP(Q373,[2]character_type_i18n!$A:$H,6,FALSE)</f>
        <v>1</v>
      </c>
      <c r="V373" s="14">
        <f ca="1">VLOOKUP(Q373,[2]character_type_i18n!$A:$H,7,FALSE)</f>
        <v>1</v>
      </c>
      <c r="W373" s="77" t="str">
        <f ca="1">VLOOKUP($A373,OFFSET([2]characters!$A$1,0,0,COUNTA([2]characters!$A:$A),MATCH(W$1,[2]characters!$1:$1,0)-MATCH($A$1,[2]characters!$1:$1,0)+1),MATCH(W$1,[2]characters!$1:$1,0)-MATCH($A$1,[2]characters!$1:$1,0)+1,FALSE)</f>
        <v>unknown</v>
      </c>
      <c r="X373" s="8" t="str">
        <f ca="1">VLOOKUP(W373,[2]character_tribe_i18n!$A:$H,3,FALSE)</f>
        <v>Unknown</v>
      </c>
      <c r="Y373" s="77" t="str">
        <f ca="1">VLOOKUP($A373,OFFSET([2]characters!$A$1,0,0,COUNTA([2]characters!$A:$A),MATCH(Y$1,[2]characters!$1:$1,0)-MATCH($A$1,[2]characters!$1:$1,0)+1),MATCH(Y$1,[2]characters!$1:$1,0)-MATCH($A$1,[2]characters!$1:$1,0)+1,FALSE)</f>
        <v>none</v>
      </c>
      <c r="Z373" s="8" t="str">
        <f ca="1">VLOOKUP(Y373,[2]character_tribe_i18n!$A:$H,3,FALSE)</f>
        <v>種族なし</v>
      </c>
      <c r="AA373" s="14">
        <f ca="1">VLOOKUP(W373,[2]character_tribe_i18n!$A:$H,4,FALSE)</f>
        <v>1</v>
      </c>
      <c r="AB373" s="14">
        <f ca="1">VLOOKUP(W373,[2]character_tribe_i18n!$A:$H,5,FALSE)</f>
        <v>1</v>
      </c>
      <c r="AC373" s="14">
        <f ca="1">VLOOKUP(W373,[2]character_tribe_i18n!$A:$H,6,FALSE)</f>
        <v>1</v>
      </c>
      <c r="AD373" s="14">
        <f ca="1">VLOOKUP(W373,[2]character_tribe_i18n!$A:$H,7,FALSE)</f>
        <v>1</v>
      </c>
      <c r="AE373" s="12">
        <v>373</v>
      </c>
      <c r="AF373" s="85" t="str">
        <f ca="1">IF(AE373="NULL","",VLOOKUP($AE373,OFFSET([2]characters!$A$1,0,0,COUNTA([2]characters!$A:$A),MATCH(AF$1,[2]characters!$1:$1,0)-MATCH($A$1,[2]characters!$1:$1,0)+1),MATCH(AF$1,[2]characters!$1:$1,0)-MATCH($A$1,[2]characters!$1:$1,0)+1,FALSE))</f>
        <v>夢幻俳聖 バショー</v>
      </c>
      <c r="AG373" s="8">
        <f t="shared" ca="1" si="37"/>
        <v>372</v>
      </c>
      <c r="AH373" s="85" t="str">
        <f ca="1">VLOOKUP($AG373,OFFSET([2]characters!$A$1,0,0,COUNTA([2]characters!$A:$A),MATCH(AH$1,[2]characters!$1:$1,0)-MATCH($A$1,[2]characters!$1:$1,0)+1),MATCH(AH$1,[2]characters!$1:$1,0)-MATCH($A$1,[2]characters!$1:$1,0)+1,FALSE)</f>
        <v>バショー</v>
      </c>
      <c r="AI373" s="14">
        <f ca="1">IF(AE373="NULL","NULL",VLOOKUP(G373,ビット!$A$2:$B$7,2))</f>
        <v>10000</v>
      </c>
      <c r="AJ373" s="9">
        <v>2</v>
      </c>
      <c r="AK373" s="10" t="str">
        <f t="shared" si="45"/>
        <v>普通</v>
      </c>
      <c r="AL373" s="14" t="str">
        <f ca="1">INDEX(経験値!$A$1:$I$20,MATCH(H373,経験値!$A$1:$A$20,FALSE),MATCH(G373,経験値!$A$1:$I$1,FALSE))</f>
        <v>required_exp_150</v>
      </c>
      <c r="AM373" s="11">
        <f ca="1">VLOOKUP(G373,経験値!$A$27:$B$31,2)</f>
        <v>600</v>
      </c>
      <c r="AN373" s="21">
        <f ca="1">VLOOKUP(G373,ビット!$G$2:$H$7,2)</f>
        <v>150</v>
      </c>
      <c r="AO373" s="57"/>
      <c r="AP373" s="101">
        <f t="shared" ca="1" si="47"/>
        <v>372</v>
      </c>
      <c r="AQ373" s="77" t="e">
        <f ca="1">VLOOKUP($AP373,OFFSET([1]unit_skills!$A$1,0,0,COUNTA([1]unit_skills!$A:$A),MATCH("name",[1]unit_skills!$1:$1,0)-MATCH($AP$1,[1]unit_skills!$1:$1,0)+1),MATCH("name",[1]unit_skills!$1:$1,0)-MATCH($AP$1,[1]unit_skills!$1:$1,0)+1,FALSE)</f>
        <v>#VALUE!</v>
      </c>
      <c r="AR373" s="77" t="e">
        <f ca="1">VLOOKUP($AP373,OFFSET([1]unit_skills!$A$1,0,0,COUNTA([1]unit_skills!$A:$A),MATCH("comment",[1]unit_skills!$1:$1,0)-MATCH($AP$1,[1]unit_skills!$1:$1,0)+1),MATCH("comment",[1]unit_skills!$1:$1,0)-MATCH($AP$1,[1]unit_skills!$1:$1,0)+1,FALSE)</f>
        <v>#VALUE!</v>
      </c>
      <c r="AS373" s="77" t="e">
        <f ca="1">VLOOKUP($AP373,OFFSET([1]unit_skills!$A$1,0,0,COUNTA([1]unit_skills!$A:$A),MATCH(AS$1,[1]unit_skills!$1:$1,0)-MATCH($AP$1,[1]unit_skills!$1:$1,0)+1),MATCH(AS$1,[1]unit_skills!$1:$1,0)-MATCH($AP$1,[1]unit_skills!$1:$1,0)+1,FALSE)</f>
        <v>#VALUE!</v>
      </c>
      <c r="AT373" s="53">
        <f t="shared" ca="1" si="48"/>
        <v>372</v>
      </c>
      <c r="AU373" s="77" t="e">
        <f ca="1">VLOOKUP($AT373,OFFSET([1]crash_skills!$A$1,0,0,COUNTA([1]crash_skills!$A:$A),MATCH("name",[1]crash_skills!$1:$1,0)-MATCH($AT$1,[1]crash_skills!$1:$1,0)+1),MATCH("name",[1]crash_skills!$1:$1,0)-MATCH($AT$1,[1]crash_skills!$1:$1,0)+1,FALSE)</f>
        <v>#VALUE!</v>
      </c>
      <c r="AV373" s="77" t="e">
        <f ca="1">VLOOKUP($AT373,OFFSET([1]crash_skills!$A$1,0,0,COUNTA([1]crash_skills!$A:$A),MATCH("comment",[1]crash_skills!$1:$1,0)-MATCH($AT$1,[1]crash_skills!$1:$1,0)+1),MATCH("comment",[1]crash_skills!$1:$1,0)-MATCH($AT$1,[1]crash_skills!$1:$1,0)+1,FALSE)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73" s="77" t="e">
        <f ca="1">VLOOKUP($AT373,OFFSET([1]crash_skills!$A$1,0,0,COUNTA([1]crash_skills!$A:$A),MATCH(AW$1,[1]crash_skills!$1:$1,0)-MATCH($AT$1,[1]crash_skills!$1:$1,0)+1),MATCH(AW$1,[1]crash_skills!$1:$1,0)-MATCH($AT$1,[1]crash_skills!$1:$1,0)+1,FALSE)</f>
        <v>#VALUE!</v>
      </c>
      <c r="AX373" s="81">
        <f ca="1">VLOOKUP($A373,OFFSET([2]characters!$A$1,0,0,COUNTA([2]characters!$A:$A),MATCH(AX$1,[2]characters!$1:$1,0)-MATCH($A$1,[2]characters!$1:$1,0)+1),MATCH(AX$1,[2]characters!$1:$1,0)-MATCH($A$1,[2]characters!$1:$1,0)+1,FALSE)</f>
        <v>3</v>
      </c>
      <c r="AY373" s="19">
        <v>1</v>
      </c>
      <c r="AZ373" s="19">
        <v>1</v>
      </c>
      <c r="BA373" s="19">
        <v>0</v>
      </c>
      <c r="BB373" s="19">
        <v>1</v>
      </c>
      <c r="BC373" s="14">
        <f ca="1">INDEX('RC6SV'!$A$1:$G$20,MATCH(H373,'RC6SV'!$A$1:$A$20,FALSE),MATCH(G373,'RC6SV'!$A$1:$G$1,FALSE))</f>
        <v>3000</v>
      </c>
      <c r="BD373" s="63">
        <f t="shared" ca="1" si="46"/>
        <v>3000</v>
      </c>
      <c r="BE373" s="14">
        <f t="shared" ca="1" si="40"/>
        <v>0</v>
      </c>
      <c r="BF373" s="14">
        <f t="shared" ca="1" si="41"/>
        <v>1</v>
      </c>
      <c r="BG373" s="20">
        <f ca="1">IF($BE373&lt;=0,ROUND(BK373*0.5,0), ROUND($BE373*S373*AA373*J373*AY373*0.8*[2]ステータス!$B$2,0))</f>
        <v>765</v>
      </c>
      <c r="BH373" s="20">
        <f ca="1">IF($BE373&lt;=0,ROUND(BL373*0.5,0), ROUND($BE373*T373*AB373*K373*AZ373*0.8*[2]ステータス!$C$2,0))</f>
        <v>441</v>
      </c>
      <c r="BI373" s="20">
        <f ca="1">IF($BE373&lt;=0,ROUND(BM373*0.5,0), ROUND($BE373*U373*AC373*L373*BA373*0.8*[2]ステータス!$D$2,0))</f>
        <v>0</v>
      </c>
      <c r="BJ373" s="20">
        <f ca="1">IF($BE373&lt;=0,ROUND(BN373*0.5,0), ROUND($BE373*V373*AD373*M373*BB373*0.8*[2]ステータス!$E$2,0))</f>
        <v>375</v>
      </c>
      <c r="BK373" s="14">
        <f ca="1">ROUND(BD373*S373*AA373*J373*AY373*[2]ステータス!$B$2,0)</f>
        <v>1530</v>
      </c>
      <c r="BL373" s="14">
        <f ca="1">ROUND(BD373*T373*AB373*K373*AZ373*[2]ステータス!$C$2,0)</f>
        <v>882</v>
      </c>
      <c r="BM373" s="14">
        <f ca="1">ROUND(BD373*U373*AC373*L373*BA373*[2]ステータス!$D$2,0)</f>
        <v>0</v>
      </c>
      <c r="BN373" s="14">
        <f ca="1">ROUND(BD373*V373*AD373*M373*BB373*[2]ステータス!$E$2,0)</f>
        <v>750</v>
      </c>
      <c r="BO373" s="13">
        <v>0</v>
      </c>
      <c r="BP373" s="13">
        <v>1</v>
      </c>
      <c r="BQ373" s="49" t="s">
        <v>102</v>
      </c>
      <c r="BR373" s="13">
        <f ca="1">VLOOKUP(H373,ghosts_label!$A$2:$B$19,2,FALSE)</f>
        <v>1</v>
      </c>
    </row>
    <row r="374" spans="1:70" ht="21" customHeight="1" x14ac:dyDescent="0.15">
      <c r="A374" s="14">
        <f t="shared" ca="1" si="36"/>
        <v>373</v>
      </c>
      <c r="B374" s="77" t="str">
        <f ca="1">VLOOKUP($A374,OFFSET([2]characters!$A$1,0,0,COUNTA([2]characters!$A:$A),MATCH(B$1,[2]characters!$1:$1,0)-MATCH($A$1,[2]characters!$1:$1,0)+1),MATCH(B$1,[2]characters!$1:$1,0)-MATCH($A$1,[2]characters!$1:$1,0)+1,FALSE)</f>
        <v>夢幻俳聖 バショー</v>
      </c>
      <c r="C374" s="77" t="str">
        <f ca="1">VLOOKUP($A374,OFFSET([2]characters!$A$1,0,0,COUNTA([2]characters!$A:$A),MATCH(C$1,[2]characters!$1:$1,0)-MATCH($A$1,[2]characters!$1:$1,0)+1),MATCH(C$1,[2]characters!$1:$1,0)-MATCH($A$1,[2]characters!$1:$1,0)+1,FALSE)</f>
        <v>ノーマルクエスト</v>
      </c>
      <c r="D374" s="77" t="str">
        <f ca="1">VLOOKUP($A374,OFFSET([2]characters!$A$1,0,0,COUNTA([2]characters!$A:$A),MATCH(D$1,[2]characters!$1:$1,0)-MATCH($A$1,[2]characters!$1:$1,0)+1),MATCH(D$1,[2]characters!$1:$1,0)-MATCH($A$1,[2]characters!$1:$1,0)+1,FALSE)</f>
        <v>守護者</v>
      </c>
      <c r="E374" s="77" t="str">
        <f ca="1">VLOOKUP($A374,OFFSET([2]characters!$A$1,0,0,COUNTA([2]characters!$A:$A),MATCH(E$1,[2]characters!$1:$1,0)-MATCH($A$1,[2]characters!$1:$1,0)+1),MATCH(E$1,[2]characters!$1:$1,0)-MATCH($A$1,[2]characters!$1:$1,0)+1,FALSE)</f>
        <v>美しい</v>
      </c>
      <c r="F374" s="77" t="str">
        <f ca="1">VLOOKUP($A374,OFFSET([2]characters!$A$1,0,0,COUNTA([2]characters!$A:$A),MATCH(F$1,[2]characters!$1:$1,0)-MATCH($A$1,[2]characters!$1:$1,0)+1),MATCH(F$1,[2]characters!$1:$1,0)-MATCH($A$1,[2]characters!$1:$1,0)+1,FALSE)</f>
        <v>不明</v>
      </c>
      <c r="G374" s="77">
        <f ca="1">VLOOKUP($A374,OFFSET([2]characters!$A$1,0,0,COUNTA([2]characters!$A:$A),MATCH(G$1,[2]characters!$1:$1,0)-MATCH($A$1,[2]characters!$1:$1,0)+1),MATCH(G$1,[2]characters!$1:$1,0)-MATCH($A$1,[2]characters!$1:$1,0)+1,FALSE)</f>
        <v>3</v>
      </c>
      <c r="H374" s="77" t="str">
        <f ca="1">VLOOKUP($A374,OFFSET([2]characters!$A$1,0,0,COUNTA([2]characters!$A:$A),MATCH(H$1,[2]characters!$1:$1,0)-MATCH($A$1,[2]characters!$1:$1,0)+1),MATCH(H$1,[2]characters!$1:$1,0)-MATCH($A$1,[2]characters!$1:$1,0)+1,FALSE)</f>
        <v>Drop1S</v>
      </c>
      <c r="I374" s="77" t="str">
        <f ca="1">VLOOKUP($A374,OFFSET([2]characters!$A$1,0,0,COUNTA([2]characters!$A:$A),MATCH(I$1,[2]characters!$1:$1,0)-MATCH($A$1,[2]characters!$1:$1,0)+1),MATCH(I$1,[2]characters!$1:$1,0)-MATCH($A$1,[2]characters!$1:$1,0)+1,FALSE)</f>
        <v>green</v>
      </c>
      <c r="J374" s="14">
        <f ca="1">VLOOKUP(I374,[2]属性!$A:$E,2,FALSE)</f>
        <v>1.02</v>
      </c>
      <c r="K374" s="14">
        <f ca="1">VLOOKUP(I374,[2]属性!$A:$E,3,FALSE)</f>
        <v>0.98</v>
      </c>
      <c r="L374" s="14">
        <f ca="1">VLOOKUP(I374,[2]属性!$A:$E,4,FALSE)</f>
        <v>1</v>
      </c>
      <c r="M374" s="14">
        <f ca="1">VLOOKUP(I374,[2]属性!$A:$E,5,FALSE)</f>
        <v>1</v>
      </c>
      <c r="N374" s="14">
        <f ca="1">INDEX(コスト!$A$1:$I$20,MATCH(H374,コスト!$A$1:$A$20,FALSE),MATCH(G374,コスト!$A$1:$I$1,FALSE))</f>
        <v>6</v>
      </c>
      <c r="O374" s="14">
        <f ca="1">INDEX(レベル!$A$1:$I$21,MATCH(H374,レベル!$A$1:$A$21,FALSE),MATCH(G374,レベル!$A$1:$I$1,FALSE))</f>
        <v>40</v>
      </c>
      <c r="P374" s="63">
        <f t="shared" ca="1" si="42"/>
        <v>45</v>
      </c>
      <c r="Q374" s="77" t="str">
        <f ca="1">VLOOKUP($A374,OFFSET([2]characters!$A$1,0,0,COUNTA([2]characters!$A:$A),MATCH(Q$1,[2]characters!$1:$1,0)-MATCH($A$1,[2]characters!$1:$1,0)+1),MATCH(Q$1,[2]characters!$1:$1,0)-MATCH($A$1,[2]characters!$1:$1,0)+1,FALSE)</f>
        <v>balance</v>
      </c>
      <c r="R374" s="8" t="str">
        <f ca="1">VLOOKUP(Q374,[2]character_type_i18n!$A:$H,3,FALSE)</f>
        <v>バランスタイプ</v>
      </c>
      <c r="S374" s="14">
        <f ca="1">VLOOKUP(Q374,[2]character_type_i18n!$A:$H,4,FALSE)</f>
        <v>1</v>
      </c>
      <c r="T374" s="14">
        <f ca="1">VLOOKUP(Q374,[2]character_type_i18n!$A:$H,5,FALSE)</f>
        <v>1</v>
      </c>
      <c r="U374" s="14">
        <f ca="1">VLOOKUP(Q374,[2]character_type_i18n!$A:$H,6,FALSE)</f>
        <v>1</v>
      </c>
      <c r="V374" s="14">
        <f ca="1">VLOOKUP(Q374,[2]character_type_i18n!$A:$H,7,FALSE)</f>
        <v>1</v>
      </c>
      <c r="W374" s="77" t="str">
        <f ca="1">VLOOKUP($A374,OFFSET([2]characters!$A$1,0,0,COUNTA([2]characters!$A:$A),MATCH(W$1,[2]characters!$1:$1,0)-MATCH($A$1,[2]characters!$1:$1,0)+1),MATCH(W$1,[2]characters!$1:$1,0)-MATCH($A$1,[2]characters!$1:$1,0)+1,FALSE)</f>
        <v>unknown</v>
      </c>
      <c r="X374" s="8" t="str">
        <f ca="1">VLOOKUP(W374,[2]character_tribe_i18n!$A:$H,3,FALSE)</f>
        <v>Unknown</v>
      </c>
      <c r="Y374" s="77" t="str">
        <f ca="1">VLOOKUP($A374,OFFSET([2]characters!$A$1,0,0,COUNTA([2]characters!$A:$A),MATCH(Y$1,[2]characters!$1:$1,0)-MATCH($A$1,[2]characters!$1:$1,0)+1),MATCH(Y$1,[2]characters!$1:$1,0)-MATCH($A$1,[2]characters!$1:$1,0)+1,FALSE)</f>
        <v>none</v>
      </c>
      <c r="Z374" s="8" t="str">
        <f ca="1">VLOOKUP(Y374,[2]character_tribe_i18n!$A:$H,3,FALSE)</f>
        <v>種族なし</v>
      </c>
      <c r="AA374" s="14">
        <f ca="1">VLOOKUP(W374,[2]character_tribe_i18n!$A:$H,4,FALSE)</f>
        <v>1</v>
      </c>
      <c r="AB374" s="14">
        <f ca="1">VLOOKUP(W374,[2]character_tribe_i18n!$A:$H,5,FALSE)</f>
        <v>1</v>
      </c>
      <c r="AC374" s="14">
        <f ca="1">VLOOKUP(W374,[2]character_tribe_i18n!$A:$H,6,FALSE)</f>
        <v>1</v>
      </c>
      <c r="AD374" s="14">
        <f ca="1">VLOOKUP(W374,[2]character_tribe_i18n!$A:$H,7,FALSE)</f>
        <v>1</v>
      </c>
      <c r="AE374" s="12" t="s">
        <v>102</v>
      </c>
      <c r="AF374" s="85" t="str">
        <f ca="1">IF(AE374="NULL","",VLOOKUP($AE374,OFFSET([2]characters!$A$1,0,0,COUNTA([2]characters!$A:$A),MATCH(AF$1,[2]characters!$1:$1,0)-MATCH($A$1,[2]characters!$1:$1,0)+1),MATCH(AF$1,[2]characters!$1:$1,0)-MATCH($A$1,[2]characters!$1:$1,0)+1,FALSE))</f>
        <v/>
      </c>
      <c r="AG374" s="8">
        <f t="shared" ca="1" si="37"/>
        <v>372</v>
      </c>
      <c r="AH374" s="85" t="str">
        <f ca="1">VLOOKUP($AG374,OFFSET([2]characters!$A$1,0,0,COUNTA([2]characters!$A:$A),MATCH(AH$1,[2]characters!$1:$1,0)-MATCH($A$1,[2]characters!$1:$1,0)+1),MATCH(AH$1,[2]characters!$1:$1,0)-MATCH($A$1,[2]characters!$1:$1,0)+1,FALSE)</f>
        <v>バショー</v>
      </c>
      <c r="AI374" s="14" t="str">
        <f>IF(AE374="NULL","NULL",VLOOKUP(G374,ビット!$A$2:$B$7,2))</f>
        <v>NULL</v>
      </c>
      <c r="AJ374" s="9">
        <v>2</v>
      </c>
      <c r="AK374" s="10" t="str">
        <f t="shared" si="45"/>
        <v>普通</v>
      </c>
      <c r="AL374" s="14" t="str">
        <f ca="1">INDEX(経験値!$A$1:$I$20,MATCH(H374,経験値!$A$1:$A$20,FALSE),MATCH(G374,経験値!$A$1:$I$1,FALSE))</f>
        <v>required_exp_150</v>
      </c>
      <c r="AM374" s="11">
        <f ca="1">VLOOKUP(G374,経験値!$A$27:$B$31,2)</f>
        <v>1500</v>
      </c>
      <c r="AN374" s="21">
        <f ca="1">VLOOKUP(G374,ビット!$G$2:$H$7,2)</f>
        <v>300</v>
      </c>
      <c r="AO374" s="57"/>
      <c r="AP374" s="101">
        <f t="shared" ca="1" si="47"/>
        <v>373</v>
      </c>
      <c r="AQ374" s="77" t="e">
        <f ca="1">VLOOKUP($AP374,OFFSET([1]unit_skills!$A$1,0,0,COUNTA([1]unit_skills!$A:$A),MATCH("name",[1]unit_skills!$1:$1,0)-MATCH($AP$1,[1]unit_skills!$1:$1,0)+1),MATCH("name",[1]unit_skills!$1:$1,0)-MATCH($AP$1,[1]unit_skills!$1:$1,0)+1,FALSE)</f>
        <v>#VALUE!</v>
      </c>
      <c r="AR374" s="77" t="e">
        <f ca="1">VLOOKUP($AP374,OFFSET([1]unit_skills!$A$1,0,0,COUNTA([1]unit_skills!$A:$A),MATCH("comment",[1]unit_skills!$1:$1,0)-MATCH($AP$1,[1]unit_skills!$1:$1,0)+1),MATCH("comment",[1]unit_skills!$1:$1,0)-MATCH($AP$1,[1]unit_skills!$1:$1,0)+1,FALSE)</f>
        <v>#VALUE!</v>
      </c>
      <c r="AS374" s="77" t="e">
        <f ca="1">VLOOKUP($AP374,OFFSET([1]unit_skills!$A$1,0,0,COUNTA([1]unit_skills!$A:$A),MATCH(AS$1,[1]unit_skills!$1:$1,0)-MATCH($AP$1,[1]unit_skills!$1:$1,0)+1),MATCH(AS$1,[1]unit_skills!$1:$1,0)-MATCH($AP$1,[1]unit_skills!$1:$1,0)+1,FALSE)</f>
        <v>#VALUE!</v>
      </c>
      <c r="AT374" s="53">
        <f t="shared" ca="1" si="48"/>
        <v>373</v>
      </c>
      <c r="AU374" s="77" t="e">
        <f ca="1">VLOOKUP($AT374,OFFSET([1]crash_skills!$A$1,0,0,COUNTA([1]crash_skills!$A:$A),MATCH("name",[1]crash_skills!$1:$1,0)-MATCH($AT$1,[1]crash_skills!$1:$1,0)+1),MATCH("name",[1]crash_skills!$1:$1,0)-MATCH($AT$1,[1]crash_skills!$1:$1,0)+1,FALSE)</f>
        <v>#VALUE!</v>
      </c>
      <c r="AV374" s="77" t="e">
        <f ca="1">VLOOKUP($AT374,OFFSET([1]crash_skills!$A$1,0,0,COUNTA([1]crash_skills!$A:$A),MATCH("comment",[1]crash_skills!$1:$1,0)-MATCH($AT$1,[1]crash_skills!$1:$1,0)+1),MATCH("comment",[1]crash_skills!$1:$1,0)-MATCH($AT$1,[1]crash_skills!$1:$1,0)+1,FALSE)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74" s="77" t="e">
        <f ca="1">VLOOKUP($AT374,OFFSET([1]crash_skills!$A$1,0,0,COUNTA([1]crash_skills!$A:$A),MATCH(AW$1,[1]crash_skills!$1:$1,0)-MATCH($AT$1,[1]crash_skills!$1:$1,0)+1),MATCH(AW$1,[1]crash_skills!$1:$1,0)-MATCH($AT$1,[1]crash_skills!$1:$1,0)+1,FALSE)</f>
        <v>#VALUE!</v>
      </c>
      <c r="AX374" s="81">
        <f ca="1">VLOOKUP($A374,OFFSET([2]characters!$A$1,0,0,COUNTA([2]characters!$A:$A),MATCH(AX$1,[2]characters!$1:$1,0)-MATCH($A$1,[2]characters!$1:$1,0)+1),MATCH(AX$1,[2]characters!$1:$1,0)-MATCH($A$1,[2]characters!$1:$1,0)+1,FALSE)</f>
        <v>3</v>
      </c>
      <c r="AY374" s="19">
        <v>1</v>
      </c>
      <c r="AZ374" s="19">
        <v>1</v>
      </c>
      <c r="BA374" s="19">
        <v>0</v>
      </c>
      <c r="BB374" s="19">
        <v>1</v>
      </c>
      <c r="BC374" s="14">
        <f ca="1">INDEX('RC6SV'!$A$1:$G$20,MATCH(H374,'RC6SV'!$A$1:$A$20,FALSE),MATCH(G374,'RC6SV'!$A$1:$G$1,FALSE))</f>
        <v>4200</v>
      </c>
      <c r="BD374" s="63">
        <f t="shared" ca="1" si="46"/>
        <v>4200</v>
      </c>
      <c r="BE374" s="14">
        <f t="shared" ca="1" si="40"/>
        <v>3000</v>
      </c>
      <c r="BF374" s="14">
        <f t="shared" ca="1" si="41"/>
        <v>1</v>
      </c>
      <c r="BG374" s="20">
        <f ca="1">IF($BE374&lt;=0,ROUND(BK374*0.5,0), ROUND($BE374*S374*AA374*J374*AY374*0.8*[2]ステータス!$B$2,0))</f>
        <v>1224</v>
      </c>
      <c r="BH374" s="20">
        <f ca="1">IF($BE374&lt;=0,ROUND(BL374*0.5,0), ROUND($BE374*T374*AB374*K374*AZ374*0.8*[2]ステータス!$C$2,0))</f>
        <v>706</v>
      </c>
      <c r="BI374" s="20">
        <f ca="1">IF($BE374&lt;=0,ROUND(BM374*0.5,0), ROUND($BE374*U374*AC374*L374*BA374*0.8*[2]ステータス!$D$2,0))</f>
        <v>0</v>
      </c>
      <c r="BJ374" s="20">
        <f ca="1">IF($BE374&lt;=0,ROUND(BN374*0.5,0), ROUND($BE374*V374*AD374*M374*BB374*0.8*[2]ステータス!$E$2,0))</f>
        <v>600</v>
      </c>
      <c r="BK374" s="14">
        <f ca="1">ROUND(BD374*S374*AA374*J374*AY374*[2]ステータス!$B$2,0)</f>
        <v>2142</v>
      </c>
      <c r="BL374" s="14">
        <f ca="1">ROUND(BD374*T374*AB374*K374*AZ374*[2]ステータス!$C$2,0)</f>
        <v>1235</v>
      </c>
      <c r="BM374" s="14">
        <f ca="1">ROUND(BD374*U374*AC374*L374*BA374*[2]ステータス!$D$2,0)</f>
        <v>0</v>
      </c>
      <c r="BN374" s="14">
        <f ca="1">ROUND(BD374*V374*AD374*M374*BB374*[2]ステータス!$E$2,0)</f>
        <v>1050</v>
      </c>
      <c r="BO374" s="13">
        <v>0</v>
      </c>
      <c r="BP374" s="13">
        <v>1</v>
      </c>
      <c r="BQ374" s="49" t="s">
        <v>102</v>
      </c>
      <c r="BR374" s="13">
        <f ca="1">VLOOKUP(H374,ghosts_label!$A$2:$B$19,2,FALSE)</f>
        <v>1</v>
      </c>
    </row>
    <row r="375" spans="1:70" ht="21" customHeight="1" x14ac:dyDescent="0.15">
      <c r="A375" s="14">
        <f t="shared" ca="1" si="36"/>
        <v>374</v>
      </c>
      <c r="B375" s="77" t="str">
        <f ca="1">VLOOKUP($A375,OFFSET([2]characters!$A$1,0,0,COUNTA([2]characters!$A:$A),MATCH(B$1,[2]characters!$1:$1,0)-MATCH($A$1,[2]characters!$1:$1,0)+1),MATCH(B$1,[2]characters!$1:$1,0)-MATCH($A$1,[2]characters!$1:$1,0)+1,FALSE)</f>
        <v>影丸</v>
      </c>
      <c r="C375" s="77" t="str">
        <f ca="1">VLOOKUP($A375,OFFSET([2]characters!$A$1,0,0,COUNTA([2]characters!$A:$A),MATCH(C$1,[2]characters!$1:$1,0)-MATCH($A$1,[2]characters!$1:$1,0)+1),MATCH(C$1,[2]characters!$1:$1,0)-MATCH($A$1,[2]characters!$1:$1,0)+1,FALSE)</f>
        <v>ノーマルクエスト</v>
      </c>
      <c r="D375" s="77" t="str">
        <f ca="1">VLOOKUP($A375,OFFSET([2]characters!$A$1,0,0,COUNTA([2]characters!$A:$A),MATCH(D$1,[2]characters!$1:$1,0)-MATCH($A$1,[2]characters!$1:$1,0)+1),MATCH(D$1,[2]characters!$1:$1,0)-MATCH($A$1,[2]characters!$1:$1,0)+1,FALSE)</f>
        <v>守護者</v>
      </c>
      <c r="E375" s="77" t="str">
        <f ca="1">VLOOKUP($A375,OFFSET([2]characters!$A$1,0,0,COUNTA([2]characters!$A:$A),MATCH(E$1,[2]characters!$1:$1,0)-MATCH($A$1,[2]characters!$1:$1,0)+1),MATCH(E$1,[2]characters!$1:$1,0)-MATCH($A$1,[2]characters!$1:$1,0)+1,FALSE)</f>
        <v>美しい</v>
      </c>
      <c r="F375" s="77" t="str">
        <f ca="1">VLOOKUP($A375,OFFSET([2]characters!$A$1,0,0,COUNTA([2]characters!$A:$A),MATCH(F$1,[2]characters!$1:$1,0)-MATCH($A$1,[2]characters!$1:$1,0)+1),MATCH(F$1,[2]characters!$1:$1,0)-MATCH($A$1,[2]characters!$1:$1,0)+1,FALSE)</f>
        <v>不明</v>
      </c>
      <c r="G375" s="77">
        <f ca="1">VLOOKUP($A375,OFFSET([2]characters!$A$1,0,0,COUNTA([2]characters!$A:$A),MATCH(G$1,[2]characters!$1:$1,0)-MATCH($A$1,[2]characters!$1:$1,0)+1),MATCH(G$1,[2]characters!$1:$1,0)-MATCH($A$1,[2]characters!$1:$1,0)+1,FALSE)</f>
        <v>2</v>
      </c>
      <c r="H375" s="77" t="str">
        <f ca="1">VLOOKUP($A375,OFFSET([2]characters!$A$1,0,0,COUNTA([2]characters!$A:$A),MATCH(H$1,[2]characters!$1:$1,0)-MATCH($A$1,[2]characters!$1:$1,0)+1),MATCH(H$1,[2]characters!$1:$1,0)-MATCH($A$1,[2]characters!$1:$1,0)+1,FALSE)</f>
        <v>Drop1S</v>
      </c>
      <c r="I375" s="77" t="str">
        <f ca="1">VLOOKUP($A375,OFFSET([2]characters!$A$1,0,0,COUNTA([2]characters!$A:$A),MATCH(I$1,[2]characters!$1:$1,0)-MATCH($A$1,[2]characters!$1:$1,0)+1),MATCH(I$1,[2]characters!$1:$1,0)-MATCH($A$1,[2]characters!$1:$1,0)+1,FALSE)</f>
        <v>blue</v>
      </c>
      <c r="J375" s="14">
        <f ca="1">VLOOKUP(I375,[2]属性!$A:$E,2,FALSE)</f>
        <v>1</v>
      </c>
      <c r="K375" s="14">
        <f ca="1">VLOOKUP(I375,[2]属性!$A:$E,3,FALSE)</f>
        <v>0.98</v>
      </c>
      <c r="L375" s="14">
        <f ca="1">VLOOKUP(I375,[2]属性!$A:$E,4,FALSE)</f>
        <v>1</v>
      </c>
      <c r="M375" s="14">
        <f ca="1">VLOOKUP(I375,[2]属性!$A:$E,5,FALSE)</f>
        <v>1.02</v>
      </c>
      <c r="N375" s="14">
        <f ca="1">INDEX(コスト!$A$1:$I$20,MATCH(H375,コスト!$A$1:$A$20,FALSE),MATCH(G375,コスト!$A$1:$I$1,FALSE))</f>
        <v>4</v>
      </c>
      <c r="O375" s="14">
        <f ca="1">INDEX(レベル!$A$1:$I$21,MATCH(H375,レベル!$A$1:$A$21,FALSE),MATCH(G375,レベル!$A$1:$I$1,FALSE))</f>
        <v>30</v>
      </c>
      <c r="P375" s="63">
        <f t="shared" ca="1" si="42"/>
        <v>30</v>
      </c>
      <c r="Q375" s="77" t="str">
        <f ca="1">VLOOKUP($A375,OFFSET([2]characters!$A$1,0,0,COUNTA([2]characters!$A:$A),MATCH(Q$1,[2]characters!$1:$1,0)-MATCH($A$1,[2]characters!$1:$1,0)+1),MATCH(Q$1,[2]characters!$1:$1,0)-MATCH($A$1,[2]characters!$1:$1,0)+1,FALSE)</f>
        <v>technical</v>
      </c>
      <c r="R375" s="8" t="str">
        <f ca="1">VLOOKUP(Q375,[2]character_type_i18n!$A:$H,3,FALSE)</f>
        <v>テクニカルタイプ</v>
      </c>
      <c r="S375" s="14">
        <f ca="1">VLOOKUP(Q375,[2]character_type_i18n!$A:$H,4,FALSE)</f>
        <v>0.9</v>
      </c>
      <c r="T375" s="14">
        <f ca="1">VLOOKUP(Q375,[2]character_type_i18n!$A:$H,5,FALSE)</f>
        <v>0.9</v>
      </c>
      <c r="U375" s="14">
        <f ca="1">VLOOKUP(Q375,[2]character_type_i18n!$A:$H,6,FALSE)</f>
        <v>1</v>
      </c>
      <c r="V375" s="14">
        <f ca="1">VLOOKUP(Q375,[2]character_type_i18n!$A:$H,7,FALSE)</f>
        <v>0.9</v>
      </c>
      <c r="W375" s="77" t="str">
        <f ca="1">VLOOKUP($A375,OFFSET([2]characters!$A$1,0,0,COUNTA([2]characters!$A:$A),MATCH(W$1,[2]characters!$1:$1,0)-MATCH($A$1,[2]characters!$1:$1,0)+1),MATCH(W$1,[2]characters!$1:$1,0)-MATCH($A$1,[2]characters!$1:$1,0)+1,FALSE)</f>
        <v>animal</v>
      </c>
      <c r="X375" s="8" t="str">
        <f ca="1">VLOOKUP(W375,[2]character_tribe_i18n!$A:$H,3,FALSE)</f>
        <v>アニマル</v>
      </c>
      <c r="Y375" s="77" t="str">
        <f ca="1">VLOOKUP($A375,OFFSET([2]characters!$A$1,0,0,COUNTA([2]characters!$A:$A),MATCH(Y$1,[2]characters!$1:$1,0)-MATCH($A$1,[2]characters!$1:$1,0)+1),MATCH(Y$1,[2]characters!$1:$1,0)-MATCH($A$1,[2]characters!$1:$1,0)+1,FALSE)</f>
        <v>none</v>
      </c>
      <c r="Z375" s="8" t="str">
        <f ca="1">VLOOKUP(Y375,[2]character_tribe_i18n!$A:$H,3,FALSE)</f>
        <v>種族なし</v>
      </c>
      <c r="AA375" s="14">
        <f ca="1">VLOOKUP(W375,[2]character_tribe_i18n!$A:$H,4,FALSE)</f>
        <v>1</v>
      </c>
      <c r="AB375" s="14">
        <f ca="1">VLOOKUP(W375,[2]character_tribe_i18n!$A:$H,5,FALSE)</f>
        <v>1.1000000000000001</v>
      </c>
      <c r="AC375" s="14">
        <f ca="1">VLOOKUP(W375,[2]character_tribe_i18n!$A:$H,6,FALSE)</f>
        <v>1</v>
      </c>
      <c r="AD375" s="14">
        <f ca="1">VLOOKUP(W375,[2]character_tribe_i18n!$A:$H,7,FALSE)</f>
        <v>0.9</v>
      </c>
      <c r="AE375" s="12">
        <v>375</v>
      </c>
      <c r="AF375" s="85" t="str">
        <f ca="1">IF(AE375="NULL","",VLOOKUP($AE375,OFFSET([2]characters!$A$1,0,0,COUNTA([2]characters!$A:$A),MATCH(AF$1,[2]characters!$1:$1,0)-MATCH($A$1,[2]characters!$1:$1,0)+1),MATCH(AF$1,[2]characters!$1:$1,0)-MATCH($A$1,[2]characters!$1:$1,0)+1,FALSE))</f>
        <v>蒼術兎忍 影丸</v>
      </c>
      <c r="AG375" s="8">
        <f t="shared" ca="1" si="37"/>
        <v>374</v>
      </c>
      <c r="AH375" s="85" t="str">
        <f ca="1">VLOOKUP($AG375,OFFSET([2]characters!$A$1,0,0,COUNTA([2]characters!$A:$A),MATCH(AH$1,[2]characters!$1:$1,0)-MATCH($A$1,[2]characters!$1:$1,0)+1),MATCH(AH$1,[2]characters!$1:$1,0)-MATCH($A$1,[2]characters!$1:$1,0)+1,FALSE)</f>
        <v>影丸</v>
      </c>
      <c r="AI375" s="14">
        <f ca="1">IF(AE375="NULL","NULL",VLOOKUP(G375,ビット!$A$2:$B$7,2))</f>
        <v>10000</v>
      </c>
      <c r="AJ375" s="9">
        <v>2</v>
      </c>
      <c r="AK375" s="10" t="str">
        <f t="shared" si="45"/>
        <v>普通</v>
      </c>
      <c r="AL375" s="14" t="str">
        <f ca="1">INDEX(経験値!$A$1:$I$20,MATCH(H375,経験値!$A$1:$A$20,FALSE),MATCH(G375,経験値!$A$1:$I$1,FALSE))</f>
        <v>required_exp_150</v>
      </c>
      <c r="AM375" s="11">
        <f ca="1">VLOOKUP(G375,経験値!$A$27:$B$31,2)</f>
        <v>600</v>
      </c>
      <c r="AN375" s="21">
        <f ca="1">VLOOKUP(G375,ビット!$G$2:$H$7,2)</f>
        <v>150</v>
      </c>
      <c r="AO375" s="57"/>
      <c r="AP375" s="101">
        <f t="shared" ca="1" si="47"/>
        <v>374</v>
      </c>
      <c r="AQ375" s="77" t="e">
        <f ca="1">VLOOKUP($AP375,OFFSET([1]unit_skills!$A$1,0,0,COUNTA([1]unit_skills!$A:$A),MATCH("name",[1]unit_skills!$1:$1,0)-MATCH($AP$1,[1]unit_skills!$1:$1,0)+1),MATCH("name",[1]unit_skills!$1:$1,0)-MATCH($AP$1,[1]unit_skills!$1:$1,0)+1,FALSE)</f>
        <v>#VALUE!</v>
      </c>
      <c r="AR375" s="77" t="e">
        <f ca="1">VLOOKUP($AP375,OFFSET([1]unit_skills!$A$1,0,0,COUNTA([1]unit_skills!$A:$A),MATCH("comment",[1]unit_skills!$1:$1,0)-MATCH($AP$1,[1]unit_skills!$1:$1,0)+1),MATCH("comment",[1]unit_skills!$1:$1,0)-MATCH($AP$1,[1]unit_skills!$1:$1,0)+1,FALSE)</f>
        <v>#VALUE!</v>
      </c>
      <c r="AS375" s="77" t="e">
        <f ca="1">VLOOKUP($AP375,OFFSET([1]unit_skills!$A$1,0,0,COUNTA([1]unit_skills!$A:$A),MATCH(AS$1,[1]unit_skills!$1:$1,0)-MATCH($AP$1,[1]unit_skills!$1:$1,0)+1),MATCH(AS$1,[1]unit_skills!$1:$1,0)-MATCH($AP$1,[1]unit_skills!$1:$1,0)+1,FALSE)</f>
        <v>#VALUE!</v>
      </c>
      <c r="AT375" s="53">
        <f t="shared" ca="1" si="48"/>
        <v>374</v>
      </c>
      <c r="AU375" s="77" t="e">
        <f ca="1">VLOOKUP($AT375,OFFSET([1]crash_skills!$A$1,0,0,COUNTA([1]crash_skills!$A:$A),MATCH("name",[1]crash_skills!$1:$1,0)-MATCH($AT$1,[1]crash_skills!$1:$1,0)+1),MATCH("name",[1]crash_skills!$1:$1,0)-MATCH($AT$1,[1]crash_skills!$1:$1,0)+1,FALSE)</f>
        <v>#VALUE!</v>
      </c>
      <c r="AV375" s="77" t="e">
        <f ca="1">VLOOKUP($AT375,OFFSET([1]crash_skills!$A$1,0,0,COUNTA([1]crash_skills!$A:$A),MATCH("comment",[1]crash_skills!$1:$1,0)-MATCH($AT$1,[1]crash_skills!$1:$1,0)+1),MATCH("comment",[1]crash_skills!$1:$1,0)-MATCH($AT$1,[1]crash_skills!$1:$1,0)+1,FALSE)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75" s="77" t="e">
        <f ca="1">VLOOKUP($AT375,OFFSET([1]crash_skills!$A$1,0,0,COUNTA([1]crash_skills!$A:$A),MATCH(AW$1,[1]crash_skills!$1:$1,0)-MATCH($AT$1,[1]crash_skills!$1:$1,0)+1),MATCH(AW$1,[1]crash_skills!$1:$1,0)-MATCH($AT$1,[1]crash_skills!$1:$1,0)+1,FALSE)</f>
        <v>#VALUE!</v>
      </c>
      <c r="AX375" s="81">
        <f ca="1">VLOOKUP($A375,OFFSET([2]characters!$A$1,0,0,COUNTA([2]characters!$A:$A),MATCH(AX$1,[2]characters!$1:$1,0)-MATCH($A$1,[2]characters!$1:$1,0)+1),MATCH(AX$1,[2]characters!$1:$1,0)-MATCH($A$1,[2]characters!$1:$1,0)+1,FALSE)</f>
        <v>3</v>
      </c>
      <c r="AY375" s="19">
        <v>1</v>
      </c>
      <c r="AZ375" s="19">
        <v>1</v>
      </c>
      <c r="BA375" s="19">
        <v>0</v>
      </c>
      <c r="BB375" s="19">
        <v>1</v>
      </c>
      <c r="BC375" s="14">
        <f ca="1">INDEX('RC6SV'!$A$1:$G$20,MATCH(H375,'RC6SV'!$A$1:$A$20,FALSE),MATCH(G375,'RC6SV'!$A$1:$G$1,FALSE))</f>
        <v>3000</v>
      </c>
      <c r="BD375" s="63">
        <f t="shared" ca="1" si="46"/>
        <v>3000</v>
      </c>
      <c r="BE375" s="14">
        <f t="shared" ca="1" si="40"/>
        <v>0</v>
      </c>
      <c r="BF375" s="14">
        <f t="shared" ca="1" si="41"/>
        <v>1</v>
      </c>
      <c r="BG375" s="20">
        <f ca="1">IF($BE375&lt;=0,ROUND(BK375*0.5,0), ROUND($BE375*S375*AA375*J375*AY375*0.8*[2]ステータス!$B$2,0))</f>
        <v>675</v>
      </c>
      <c r="BH375" s="20">
        <f ca="1">IF($BE375&lt;=0,ROUND(BL375*0.5,0), ROUND($BE375*T375*AB375*K375*AZ375*0.8*[2]ステータス!$C$2,0))</f>
        <v>437</v>
      </c>
      <c r="BI375" s="20">
        <f ca="1">IF($BE375&lt;=0,ROUND(BM375*0.5,0), ROUND($BE375*U375*AC375*L375*BA375*0.8*[2]ステータス!$D$2,0))</f>
        <v>0</v>
      </c>
      <c r="BJ375" s="20">
        <f ca="1">IF($BE375&lt;=0,ROUND(BN375*0.5,0), ROUND($BE375*V375*AD375*M375*BB375*0.8*[2]ステータス!$E$2,0))</f>
        <v>310</v>
      </c>
      <c r="BK375" s="14">
        <f ca="1">ROUND(BD375*S375*AA375*J375*AY375*[2]ステータス!$B$2,0)</f>
        <v>1350</v>
      </c>
      <c r="BL375" s="14">
        <f ca="1">ROUND(BD375*T375*AB375*K375*AZ375*[2]ステータス!$C$2,0)</f>
        <v>873</v>
      </c>
      <c r="BM375" s="14">
        <f ca="1">ROUND(BD375*U375*AC375*L375*BA375*[2]ステータス!$D$2,0)</f>
        <v>0</v>
      </c>
      <c r="BN375" s="14">
        <f ca="1">ROUND(BD375*V375*AD375*M375*BB375*[2]ステータス!$E$2,0)</f>
        <v>620</v>
      </c>
      <c r="BO375" s="13">
        <v>0</v>
      </c>
      <c r="BP375" s="13">
        <v>1</v>
      </c>
      <c r="BQ375" s="49" t="s">
        <v>102</v>
      </c>
      <c r="BR375" s="13">
        <f ca="1">VLOOKUP(H375,ghosts_label!$A$2:$B$19,2,FALSE)</f>
        <v>1</v>
      </c>
    </row>
    <row r="376" spans="1:70" ht="21" customHeight="1" x14ac:dyDescent="0.15">
      <c r="A376" s="14">
        <f t="shared" ca="1" si="36"/>
        <v>375</v>
      </c>
      <c r="B376" s="77" t="str">
        <f ca="1">VLOOKUP($A376,OFFSET([2]characters!$A$1,0,0,COUNTA([2]characters!$A:$A),MATCH(B$1,[2]characters!$1:$1,0)-MATCH($A$1,[2]characters!$1:$1,0)+1),MATCH(B$1,[2]characters!$1:$1,0)-MATCH($A$1,[2]characters!$1:$1,0)+1,FALSE)</f>
        <v>蒼術兎忍 影丸</v>
      </c>
      <c r="C376" s="77" t="str">
        <f ca="1">VLOOKUP($A376,OFFSET([2]characters!$A$1,0,0,COUNTA([2]characters!$A:$A),MATCH(C$1,[2]characters!$1:$1,0)-MATCH($A$1,[2]characters!$1:$1,0)+1),MATCH(C$1,[2]characters!$1:$1,0)-MATCH($A$1,[2]characters!$1:$1,0)+1,FALSE)</f>
        <v>ノーマルクエスト</v>
      </c>
      <c r="D376" s="77" t="str">
        <f ca="1">VLOOKUP($A376,OFFSET([2]characters!$A$1,0,0,COUNTA([2]characters!$A:$A),MATCH(D$1,[2]characters!$1:$1,0)-MATCH($A$1,[2]characters!$1:$1,0)+1),MATCH(D$1,[2]characters!$1:$1,0)-MATCH($A$1,[2]characters!$1:$1,0)+1,FALSE)</f>
        <v>守護者</v>
      </c>
      <c r="E376" s="77" t="str">
        <f ca="1">VLOOKUP($A376,OFFSET([2]characters!$A$1,0,0,COUNTA([2]characters!$A:$A),MATCH(E$1,[2]characters!$1:$1,0)-MATCH($A$1,[2]characters!$1:$1,0)+1),MATCH(E$1,[2]characters!$1:$1,0)-MATCH($A$1,[2]characters!$1:$1,0)+1,FALSE)</f>
        <v>美しい</v>
      </c>
      <c r="F376" s="77" t="str">
        <f ca="1">VLOOKUP($A376,OFFSET([2]characters!$A$1,0,0,COUNTA([2]characters!$A:$A),MATCH(F$1,[2]characters!$1:$1,0)-MATCH($A$1,[2]characters!$1:$1,0)+1),MATCH(F$1,[2]characters!$1:$1,0)-MATCH($A$1,[2]characters!$1:$1,0)+1,FALSE)</f>
        <v>不明</v>
      </c>
      <c r="G376" s="77">
        <f ca="1">VLOOKUP($A376,OFFSET([2]characters!$A$1,0,0,COUNTA([2]characters!$A:$A),MATCH(G$1,[2]characters!$1:$1,0)-MATCH($A$1,[2]characters!$1:$1,0)+1),MATCH(G$1,[2]characters!$1:$1,0)-MATCH($A$1,[2]characters!$1:$1,0)+1,FALSE)</f>
        <v>3</v>
      </c>
      <c r="H376" s="77" t="str">
        <f ca="1">VLOOKUP($A376,OFFSET([2]characters!$A$1,0,0,COUNTA([2]characters!$A:$A),MATCH(H$1,[2]characters!$1:$1,0)-MATCH($A$1,[2]characters!$1:$1,0)+1),MATCH(H$1,[2]characters!$1:$1,0)-MATCH($A$1,[2]characters!$1:$1,0)+1,FALSE)</f>
        <v>Drop1S</v>
      </c>
      <c r="I376" s="77" t="str">
        <f ca="1">VLOOKUP($A376,OFFSET([2]characters!$A$1,0,0,COUNTA([2]characters!$A:$A),MATCH(I$1,[2]characters!$1:$1,0)-MATCH($A$1,[2]characters!$1:$1,0)+1),MATCH(I$1,[2]characters!$1:$1,0)-MATCH($A$1,[2]characters!$1:$1,0)+1,FALSE)</f>
        <v>blue</v>
      </c>
      <c r="J376" s="14">
        <f ca="1">VLOOKUP(I376,[2]属性!$A:$E,2,FALSE)</f>
        <v>1</v>
      </c>
      <c r="K376" s="14">
        <f ca="1">VLOOKUP(I376,[2]属性!$A:$E,3,FALSE)</f>
        <v>0.98</v>
      </c>
      <c r="L376" s="14">
        <f ca="1">VLOOKUP(I376,[2]属性!$A:$E,4,FALSE)</f>
        <v>1</v>
      </c>
      <c r="M376" s="14">
        <f ca="1">VLOOKUP(I376,[2]属性!$A:$E,5,FALSE)</f>
        <v>1.02</v>
      </c>
      <c r="N376" s="14">
        <f ca="1">INDEX(コスト!$A$1:$I$20,MATCH(H376,コスト!$A$1:$A$20,FALSE),MATCH(G376,コスト!$A$1:$I$1,FALSE))</f>
        <v>6</v>
      </c>
      <c r="O376" s="14">
        <f ca="1">INDEX(レベル!$A$1:$I$21,MATCH(H376,レベル!$A$1:$A$21,FALSE),MATCH(G376,レベル!$A$1:$I$1,FALSE))</f>
        <v>40</v>
      </c>
      <c r="P376" s="63">
        <f t="shared" ca="1" si="42"/>
        <v>45</v>
      </c>
      <c r="Q376" s="77" t="str">
        <f ca="1">VLOOKUP($A376,OFFSET([2]characters!$A$1,0,0,COUNTA([2]characters!$A:$A),MATCH(Q$1,[2]characters!$1:$1,0)-MATCH($A$1,[2]characters!$1:$1,0)+1),MATCH(Q$1,[2]characters!$1:$1,0)-MATCH($A$1,[2]characters!$1:$1,0)+1,FALSE)</f>
        <v>technical</v>
      </c>
      <c r="R376" s="8" t="str">
        <f ca="1">VLOOKUP(Q376,[2]character_type_i18n!$A:$H,3,FALSE)</f>
        <v>テクニカルタイプ</v>
      </c>
      <c r="S376" s="14">
        <f ca="1">VLOOKUP(Q376,[2]character_type_i18n!$A:$H,4,FALSE)</f>
        <v>0.9</v>
      </c>
      <c r="T376" s="14">
        <f ca="1">VLOOKUP(Q376,[2]character_type_i18n!$A:$H,5,FALSE)</f>
        <v>0.9</v>
      </c>
      <c r="U376" s="14">
        <f ca="1">VLOOKUP(Q376,[2]character_type_i18n!$A:$H,6,FALSE)</f>
        <v>1</v>
      </c>
      <c r="V376" s="14">
        <f ca="1">VLOOKUP(Q376,[2]character_type_i18n!$A:$H,7,FALSE)</f>
        <v>0.9</v>
      </c>
      <c r="W376" s="77" t="str">
        <f ca="1">VLOOKUP($A376,OFFSET([2]characters!$A$1,0,0,COUNTA([2]characters!$A:$A),MATCH(W$1,[2]characters!$1:$1,0)-MATCH($A$1,[2]characters!$1:$1,0)+1),MATCH(W$1,[2]characters!$1:$1,0)-MATCH($A$1,[2]characters!$1:$1,0)+1,FALSE)</f>
        <v>animal</v>
      </c>
      <c r="X376" s="8" t="str">
        <f ca="1">VLOOKUP(W376,[2]character_tribe_i18n!$A:$H,3,FALSE)</f>
        <v>アニマル</v>
      </c>
      <c r="Y376" s="77" t="str">
        <f ca="1">VLOOKUP($A376,OFFSET([2]characters!$A$1,0,0,COUNTA([2]characters!$A:$A),MATCH(Y$1,[2]characters!$1:$1,0)-MATCH($A$1,[2]characters!$1:$1,0)+1),MATCH(Y$1,[2]characters!$1:$1,0)-MATCH($A$1,[2]characters!$1:$1,0)+1,FALSE)</f>
        <v>none</v>
      </c>
      <c r="Z376" s="8" t="str">
        <f ca="1">VLOOKUP(Y376,[2]character_tribe_i18n!$A:$H,3,FALSE)</f>
        <v>種族なし</v>
      </c>
      <c r="AA376" s="14">
        <f ca="1">VLOOKUP(W376,[2]character_tribe_i18n!$A:$H,4,FALSE)</f>
        <v>1</v>
      </c>
      <c r="AB376" s="14">
        <f ca="1">VLOOKUP(W376,[2]character_tribe_i18n!$A:$H,5,FALSE)</f>
        <v>1.1000000000000001</v>
      </c>
      <c r="AC376" s="14">
        <f ca="1">VLOOKUP(W376,[2]character_tribe_i18n!$A:$H,6,FALSE)</f>
        <v>1</v>
      </c>
      <c r="AD376" s="14">
        <f ca="1">VLOOKUP(W376,[2]character_tribe_i18n!$A:$H,7,FALSE)</f>
        <v>0.9</v>
      </c>
      <c r="AE376" s="12" t="s">
        <v>102</v>
      </c>
      <c r="AF376" s="85" t="str">
        <f ca="1">IF(AE376="NULL","",VLOOKUP($AE376,OFFSET([2]characters!$A$1,0,0,COUNTA([2]characters!$A:$A),MATCH(AF$1,[2]characters!$1:$1,0)-MATCH($A$1,[2]characters!$1:$1,0)+1),MATCH(AF$1,[2]characters!$1:$1,0)-MATCH($A$1,[2]characters!$1:$1,0)+1,FALSE))</f>
        <v/>
      </c>
      <c r="AG376" s="8">
        <f t="shared" ca="1" si="37"/>
        <v>374</v>
      </c>
      <c r="AH376" s="85" t="str">
        <f ca="1">VLOOKUP($AG376,OFFSET([2]characters!$A$1,0,0,COUNTA([2]characters!$A:$A),MATCH(AH$1,[2]characters!$1:$1,0)-MATCH($A$1,[2]characters!$1:$1,0)+1),MATCH(AH$1,[2]characters!$1:$1,0)-MATCH($A$1,[2]characters!$1:$1,0)+1,FALSE)</f>
        <v>影丸</v>
      </c>
      <c r="AI376" s="14" t="str">
        <f>IF(AE376="NULL","NULL",VLOOKUP(G376,ビット!$A$2:$B$7,2))</f>
        <v>NULL</v>
      </c>
      <c r="AJ376" s="9">
        <v>2</v>
      </c>
      <c r="AK376" s="10" t="str">
        <f t="shared" si="45"/>
        <v>普通</v>
      </c>
      <c r="AL376" s="14" t="str">
        <f ca="1">INDEX(経験値!$A$1:$I$20,MATCH(H376,経験値!$A$1:$A$20,FALSE),MATCH(G376,経験値!$A$1:$I$1,FALSE))</f>
        <v>required_exp_150</v>
      </c>
      <c r="AM376" s="11">
        <f ca="1">VLOOKUP(G376,経験値!$A$27:$B$31,2)</f>
        <v>1500</v>
      </c>
      <c r="AN376" s="21">
        <f ca="1">VLOOKUP(G376,ビット!$G$2:$H$7,2)</f>
        <v>300</v>
      </c>
      <c r="AO376" s="57"/>
      <c r="AP376" s="101">
        <f t="shared" ca="1" si="47"/>
        <v>375</v>
      </c>
      <c r="AQ376" s="77" t="e">
        <f ca="1">VLOOKUP($AP376,OFFSET([1]unit_skills!$A$1,0,0,COUNTA([1]unit_skills!$A:$A),MATCH("name",[1]unit_skills!$1:$1,0)-MATCH($AP$1,[1]unit_skills!$1:$1,0)+1),MATCH("name",[1]unit_skills!$1:$1,0)-MATCH($AP$1,[1]unit_skills!$1:$1,0)+1,FALSE)</f>
        <v>#VALUE!</v>
      </c>
      <c r="AR376" s="77" t="e">
        <f ca="1">VLOOKUP($AP376,OFFSET([1]unit_skills!$A$1,0,0,COUNTA([1]unit_skills!$A:$A),MATCH("comment",[1]unit_skills!$1:$1,0)-MATCH($AP$1,[1]unit_skills!$1:$1,0)+1),MATCH("comment",[1]unit_skills!$1:$1,0)-MATCH($AP$1,[1]unit_skills!$1:$1,0)+1,FALSE)</f>
        <v>#VALUE!</v>
      </c>
      <c r="AS376" s="77" t="e">
        <f ca="1">VLOOKUP($AP376,OFFSET([1]unit_skills!$A$1,0,0,COUNTA([1]unit_skills!$A:$A),MATCH(AS$1,[1]unit_skills!$1:$1,0)-MATCH($AP$1,[1]unit_skills!$1:$1,0)+1),MATCH(AS$1,[1]unit_skills!$1:$1,0)-MATCH($AP$1,[1]unit_skills!$1:$1,0)+1,FALSE)</f>
        <v>#VALUE!</v>
      </c>
      <c r="AT376" s="53">
        <f t="shared" ca="1" si="48"/>
        <v>375</v>
      </c>
      <c r="AU376" s="77" t="e">
        <f ca="1">VLOOKUP($AT376,OFFSET([1]crash_skills!$A$1,0,0,COUNTA([1]crash_skills!$A:$A),MATCH("name",[1]crash_skills!$1:$1,0)-MATCH($AT$1,[1]crash_skills!$1:$1,0)+1),MATCH("name",[1]crash_skills!$1:$1,0)-MATCH($AT$1,[1]crash_skills!$1:$1,0)+1,FALSE)</f>
        <v>#VALUE!</v>
      </c>
      <c r="AV376" s="77" t="e">
        <f ca="1">VLOOKUP($AT376,OFFSET([1]crash_skills!$A$1,0,0,COUNTA([1]crash_skills!$A:$A),MATCH("comment",[1]crash_skills!$1:$1,0)-MATCH($AT$1,[1]crash_skills!$1:$1,0)+1),MATCH("comment",[1]crash_skills!$1:$1,0)-MATCH($AT$1,[1]crash_skills!$1:$1,0)+1,FALSE)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76" s="77" t="e">
        <f ca="1">VLOOKUP($AT376,OFFSET([1]crash_skills!$A$1,0,0,COUNTA([1]crash_skills!$A:$A),MATCH(AW$1,[1]crash_skills!$1:$1,0)-MATCH($AT$1,[1]crash_skills!$1:$1,0)+1),MATCH(AW$1,[1]crash_skills!$1:$1,0)-MATCH($AT$1,[1]crash_skills!$1:$1,0)+1,FALSE)</f>
        <v>#VALUE!</v>
      </c>
      <c r="AX376" s="81">
        <f ca="1">VLOOKUP($A376,OFFSET([2]characters!$A$1,0,0,COUNTA([2]characters!$A:$A),MATCH(AX$1,[2]characters!$1:$1,0)-MATCH($A$1,[2]characters!$1:$1,0)+1),MATCH(AX$1,[2]characters!$1:$1,0)-MATCH($A$1,[2]characters!$1:$1,0)+1,FALSE)</f>
        <v>3</v>
      </c>
      <c r="AY376" s="19">
        <v>1</v>
      </c>
      <c r="AZ376" s="19">
        <v>1</v>
      </c>
      <c r="BA376" s="19">
        <v>0</v>
      </c>
      <c r="BB376" s="19">
        <v>1</v>
      </c>
      <c r="BC376" s="14">
        <f ca="1">INDEX('RC6SV'!$A$1:$G$20,MATCH(H376,'RC6SV'!$A$1:$A$20,FALSE),MATCH(G376,'RC6SV'!$A$1:$G$1,FALSE))</f>
        <v>4200</v>
      </c>
      <c r="BD376" s="63">
        <f t="shared" ca="1" si="46"/>
        <v>4200</v>
      </c>
      <c r="BE376" s="14">
        <f t="shared" ca="1" si="40"/>
        <v>3000</v>
      </c>
      <c r="BF376" s="14">
        <f t="shared" ca="1" si="41"/>
        <v>1</v>
      </c>
      <c r="BG376" s="20">
        <f ca="1">IF($BE376&lt;=0,ROUND(BK376*0.5,0), ROUND($BE376*S376*AA376*J376*AY376*0.8*[2]ステータス!$B$2,0))</f>
        <v>1080</v>
      </c>
      <c r="BH376" s="20">
        <f ca="1">IF($BE376&lt;=0,ROUND(BL376*0.5,0), ROUND($BE376*T376*AB376*K376*AZ376*0.8*[2]ステータス!$C$2,0))</f>
        <v>699</v>
      </c>
      <c r="BI376" s="20">
        <f ca="1">IF($BE376&lt;=0,ROUND(BM376*0.5,0), ROUND($BE376*U376*AC376*L376*BA376*0.8*[2]ステータス!$D$2,0))</f>
        <v>0</v>
      </c>
      <c r="BJ376" s="20">
        <f ca="1">IF($BE376&lt;=0,ROUND(BN376*0.5,0), ROUND($BE376*V376*AD376*M376*BB376*0.8*[2]ステータス!$E$2,0))</f>
        <v>496</v>
      </c>
      <c r="BK376" s="14">
        <f ca="1">ROUND(BD376*S376*AA376*J376*AY376*[2]ステータス!$B$2,0)</f>
        <v>1890</v>
      </c>
      <c r="BL376" s="14">
        <f ca="1">ROUND(BD376*T376*AB376*K376*AZ376*[2]ステータス!$C$2,0)</f>
        <v>1222</v>
      </c>
      <c r="BM376" s="14">
        <f ca="1">ROUND(BD376*U376*AC376*L376*BA376*[2]ステータス!$D$2,0)</f>
        <v>0</v>
      </c>
      <c r="BN376" s="14">
        <f ca="1">ROUND(BD376*V376*AD376*M376*BB376*[2]ステータス!$E$2,0)</f>
        <v>868</v>
      </c>
      <c r="BO376" s="13">
        <v>0</v>
      </c>
      <c r="BP376" s="13">
        <v>1</v>
      </c>
      <c r="BQ376" s="49" t="s">
        <v>102</v>
      </c>
      <c r="BR376" s="13">
        <f ca="1">VLOOKUP(H376,ghosts_label!$A$2:$B$19,2,FALSE)</f>
        <v>1</v>
      </c>
    </row>
    <row r="377" spans="1:70" ht="21" customHeight="1" x14ac:dyDescent="0.15">
      <c r="A377" s="14">
        <f t="shared" ca="1" si="36"/>
        <v>376</v>
      </c>
      <c r="B377" s="77" t="str">
        <f ca="1">VLOOKUP($A377,OFFSET([2]characters!$A$1,0,0,COUNTA([2]characters!$A:$A),MATCH(B$1,[2]characters!$1:$1,0)-MATCH($A$1,[2]characters!$1:$1,0)+1),MATCH(B$1,[2]characters!$1:$1,0)-MATCH($A$1,[2]characters!$1:$1,0)+1,FALSE)</f>
        <v>勘兵衛</v>
      </c>
      <c r="C377" s="77" t="str">
        <f ca="1">VLOOKUP($A377,OFFSET([2]characters!$A$1,0,0,COUNTA([2]characters!$A:$A),MATCH(C$1,[2]characters!$1:$1,0)-MATCH($A$1,[2]characters!$1:$1,0)+1),MATCH(C$1,[2]characters!$1:$1,0)-MATCH($A$1,[2]characters!$1:$1,0)+1,FALSE)</f>
        <v>イベント:お正月2016</v>
      </c>
      <c r="D377" s="77" t="str">
        <f ca="1">VLOOKUP($A377,OFFSET([2]characters!$A$1,0,0,COUNTA([2]characters!$A:$A),MATCH(D$1,[2]characters!$1:$1,0)-MATCH($A$1,[2]characters!$1:$1,0)+1),MATCH(D$1,[2]characters!$1:$1,0)-MATCH($A$1,[2]characters!$1:$1,0)+1,FALSE)</f>
        <v>守護者</v>
      </c>
      <c r="E377" s="77" t="str">
        <f ca="1">VLOOKUP($A377,OFFSET([2]characters!$A$1,0,0,COUNTA([2]characters!$A:$A),MATCH(E$1,[2]characters!$1:$1,0)-MATCH($A$1,[2]characters!$1:$1,0)+1),MATCH(E$1,[2]characters!$1:$1,0)-MATCH($A$1,[2]characters!$1:$1,0)+1,FALSE)</f>
        <v>美しい</v>
      </c>
      <c r="F377" s="77" t="str">
        <f ca="1">VLOOKUP($A377,OFFSET([2]characters!$A$1,0,0,COUNTA([2]characters!$A:$A),MATCH(F$1,[2]characters!$1:$1,0)-MATCH($A$1,[2]characters!$1:$1,0)+1),MATCH(F$1,[2]characters!$1:$1,0)-MATCH($A$1,[2]characters!$1:$1,0)+1,FALSE)</f>
        <v>不明</v>
      </c>
      <c r="G377" s="77">
        <f ca="1">VLOOKUP($A377,OFFSET([2]characters!$A$1,0,0,COUNTA([2]characters!$A:$A),MATCH(G$1,[2]characters!$1:$1,0)-MATCH($A$1,[2]characters!$1:$1,0)+1),MATCH(G$1,[2]characters!$1:$1,0)-MATCH($A$1,[2]characters!$1:$1,0)+1,FALSE)</f>
        <v>3</v>
      </c>
      <c r="H377" s="77" t="str">
        <f ca="1">VLOOKUP($A377,OFFSET([2]characters!$A$1,0,0,COUNTA([2]characters!$A:$A),MATCH(H$1,[2]characters!$1:$1,0)-MATCH($A$1,[2]characters!$1:$1,0)+1),MATCH(H$1,[2]characters!$1:$1,0)-MATCH($A$1,[2]characters!$1:$1,0)+1,FALSE)</f>
        <v>Drop1S</v>
      </c>
      <c r="I377" s="77" t="str">
        <f ca="1">VLOOKUP($A377,OFFSET([2]characters!$A$1,0,0,COUNTA([2]characters!$A:$A),MATCH(I$1,[2]characters!$1:$1,0)-MATCH($A$1,[2]characters!$1:$1,0)+1),MATCH(I$1,[2]characters!$1:$1,0)-MATCH($A$1,[2]characters!$1:$1,0)+1,FALSE)</f>
        <v>yellow</v>
      </c>
      <c r="J377" s="14">
        <f ca="1">VLOOKUP(I377,[2]属性!$A:$E,2,FALSE)</f>
        <v>0.98</v>
      </c>
      <c r="K377" s="14">
        <f ca="1">VLOOKUP(I377,[2]属性!$A:$E,3,FALSE)</f>
        <v>1.01</v>
      </c>
      <c r="L377" s="14">
        <f ca="1">VLOOKUP(I377,[2]属性!$A:$E,4,FALSE)</f>
        <v>1</v>
      </c>
      <c r="M377" s="14">
        <f ca="1">VLOOKUP(I377,[2]属性!$A:$E,5,FALSE)</f>
        <v>1.01</v>
      </c>
      <c r="N377" s="14">
        <f ca="1">INDEX(コスト!$A$1:$I$20,MATCH(H377,コスト!$A$1:$A$20,FALSE),MATCH(G377,コスト!$A$1:$I$1,FALSE))</f>
        <v>6</v>
      </c>
      <c r="O377" s="14">
        <f ca="1">INDEX(レベル!$A$1:$I$21,MATCH(H377,レベル!$A$1:$A$21,FALSE),MATCH(G377,レベル!$A$1:$I$1,FALSE))</f>
        <v>40</v>
      </c>
      <c r="P377" s="63">
        <f t="shared" ca="1" si="42"/>
        <v>45</v>
      </c>
      <c r="Q377" s="77" t="str">
        <f ca="1">VLOOKUP($A377,OFFSET([2]characters!$A$1,0,0,COUNTA([2]characters!$A:$A),MATCH(Q$1,[2]characters!$1:$1,0)-MATCH($A$1,[2]characters!$1:$1,0)+1),MATCH(Q$1,[2]characters!$1:$1,0)-MATCH($A$1,[2]characters!$1:$1,0)+1,FALSE)</f>
        <v>technical</v>
      </c>
      <c r="R377" s="8" t="str">
        <f ca="1">VLOOKUP(Q377,[2]character_type_i18n!$A:$H,3,FALSE)</f>
        <v>テクニカルタイプ</v>
      </c>
      <c r="S377" s="14">
        <f ca="1">VLOOKUP(Q377,[2]character_type_i18n!$A:$H,4,FALSE)</f>
        <v>0.9</v>
      </c>
      <c r="T377" s="14">
        <f ca="1">VLOOKUP(Q377,[2]character_type_i18n!$A:$H,5,FALSE)</f>
        <v>0.9</v>
      </c>
      <c r="U377" s="14">
        <f ca="1">VLOOKUP(Q377,[2]character_type_i18n!$A:$H,6,FALSE)</f>
        <v>1</v>
      </c>
      <c r="V377" s="14">
        <f ca="1">VLOOKUP(Q377,[2]character_type_i18n!$A:$H,7,FALSE)</f>
        <v>0.9</v>
      </c>
      <c r="W377" s="77" t="str">
        <f ca="1">VLOOKUP($A377,OFFSET([2]characters!$A$1,0,0,COUNTA([2]characters!$A:$A),MATCH(W$1,[2]characters!$1:$1,0)-MATCH($A$1,[2]characters!$1:$1,0)+1),MATCH(W$1,[2]characters!$1:$1,0)-MATCH($A$1,[2]characters!$1:$1,0)+1,FALSE)</f>
        <v>animal</v>
      </c>
      <c r="X377" s="8" t="str">
        <f ca="1">VLOOKUP(W377,[2]character_tribe_i18n!$A:$H,3,FALSE)</f>
        <v>アニマル</v>
      </c>
      <c r="Y377" s="77" t="str">
        <f ca="1">VLOOKUP($A377,OFFSET([2]characters!$A$1,0,0,COUNTA([2]characters!$A:$A),MATCH(Y$1,[2]characters!$1:$1,0)-MATCH($A$1,[2]characters!$1:$1,0)+1),MATCH(Y$1,[2]characters!$1:$1,0)-MATCH($A$1,[2]characters!$1:$1,0)+1,FALSE)</f>
        <v>none</v>
      </c>
      <c r="Z377" s="8" t="str">
        <f ca="1">VLOOKUP(Y377,[2]character_tribe_i18n!$A:$H,3,FALSE)</f>
        <v>種族なし</v>
      </c>
      <c r="AA377" s="14">
        <f ca="1">VLOOKUP(W377,[2]character_tribe_i18n!$A:$H,4,FALSE)</f>
        <v>1</v>
      </c>
      <c r="AB377" s="14">
        <f ca="1">VLOOKUP(W377,[2]character_tribe_i18n!$A:$H,5,FALSE)</f>
        <v>1.1000000000000001</v>
      </c>
      <c r="AC377" s="14">
        <f ca="1">VLOOKUP(W377,[2]character_tribe_i18n!$A:$H,6,FALSE)</f>
        <v>1</v>
      </c>
      <c r="AD377" s="14">
        <f ca="1">VLOOKUP(W377,[2]character_tribe_i18n!$A:$H,7,FALSE)</f>
        <v>0.9</v>
      </c>
      <c r="AE377" s="12">
        <v>377</v>
      </c>
      <c r="AF377" s="85" t="str">
        <f ca="1">IF(AE377="NULL","",VLOOKUP($AE377,OFFSET([2]characters!$A$1,0,0,COUNTA([2]characters!$A:$A),MATCH(AF$1,[2]characters!$1:$1,0)-MATCH($A$1,[2]characters!$1:$1,0)+1),MATCH(AF$1,[2]characters!$1:$1,0)-MATCH($A$1,[2]characters!$1:$1,0)+1,FALSE))</f>
        <v>光明鹿剣 勘兵衛</v>
      </c>
      <c r="AG377" s="8">
        <f t="shared" ca="1" si="37"/>
        <v>376</v>
      </c>
      <c r="AH377" s="85" t="str">
        <f ca="1">VLOOKUP($AG377,OFFSET([2]characters!$A$1,0,0,COUNTA([2]characters!$A:$A),MATCH(AH$1,[2]characters!$1:$1,0)-MATCH($A$1,[2]characters!$1:$1,0)+1),MATCH(AH$1,[2]characters!$1:$1,0)-MATCH($A$1,[2]characters!$1:$1,0)+1,FALSE)</f>
        <v>勘兵衛</v>
      </c>
      <c r="AI377" s="14">
        <f ca="1">IF(AE377="NULL","NULL",VLOOKUP(G377,ビット!$A$2:$B$7,2))</f>
        <v>20000</v>
      </c>
      <c r="AJ377" s="9">
        <v>2</v>
      </c>
      <c r="AK377" s="10" t="str">
        <f t="shared" si="45"/>
        <v>普通</v>
      </c>
      <c r="AL377" s="14" t="str">
        <f ca="1">INDEX(経験値!$A$1:$I$20,MATCH(H377,経験値!$A$1:$A$20,FALSE),MATCH(G377,経験値!$A$1:$I$1,FALSE))</f>
        <v>required_exp_150</v>
      </c>
      <c r="AM377" s="11">
        <f ca="1">VLOOKUP(G377,経験値!$A$27:$B$31,2)</f>
        <v>1500</v>
      </c>
      <c r="AN377" s="21">
        <f ca="1">VLOOKUP(G377,ビット!$G$2:$H$7,2)</f>
        <v>300</v>
      </c>
      <c r="AO377" s="57"/>
      <c r="AP377" s="97">
        <v>540006</v>
      </c>
      <c r="AQ377" s="77" t="e">
        <f ca="1">VLOOKUP($AP377,OFFSET([1]unit_skills!$A$1,0,0,COUNTA([1]unit_skills!$A:$A),MATCH("name",[1]unit_skills!$1:$1,0)-MATCH($AP$1,[1]unit_skills!$1:$1,0)+1),MATCH("name",[1]unit_skills!$1:$1,0)-MATCH($AP$1,[1]unit_skills!$1:$1,0)+1,FALSE)</f>
        <v>#VALUE!</v>
      </c>
      <c r="AR377" s="77" t="e">
        <f ca="1">VLOOKUP($AP377,OFFSET([1]unit_skills!$A$1,0,0,COUNTA([1]unit_skills!$A:$A),MATCH("comment",[1]unit_skills!$1:$1,0)-MATCH($AP$1,[1]unit_skills!$1:$1,0)+1),MATCH("comment",[1]unit_skills!$1:$1,0)-MATCH($AP$1,[1]unit_skills!$1:$1,0)+1,FALSE)</f>
        <v>#VALUE!</v>
      </c>
      <c r="AS377" s="77" t="e">
        <f ca="1">VLOOKUP($AP377,OFFSET([1]unit_skills!$A$1,0,0,COUNTA([1]unit_skills!$A:$A),MATCH(AS$1,[1]unit_skills!$1:$1,0)-MATCH($AP$1,[1]unit_skills!$1:$1,0)+1),MATCH(AS$1,[1]unit_skills!$1:$1,0)-MATCH($AP$1,[1]unit_skills!$1:$1,0)+1,FALSE)</f>
        <v>#VALUE!</v>
      </c>
      <c r="AT377" s="158">
        <v>184509</v>
      </c>
      <c r="AU377" s="77" t="e">
        <f ca="1">VLOOKUP($AT377,OFFSET([1]crash_skills!$A$1,0,0,COUNTA([1]crash_skills!$A:$A),MATCH("name",[1]crash_skills!$1:$1,0)-MATCH($AT$1,[1]crash_skills!$1:$1,0)+1),MATCH("name",[1]crash_skills!$1:$1,0)-MATCH($AT$1,[1]crash_skills!$1:$1,0)+1,FALSE)</f>
        <v>#VALUE!</v>
      </c>
      <c r="AV377" s="77" t="e">
        <f ca="1">VLOOKUP($AT377,OFFSET([1]crash_skills!$A$1,0,0,COUNTA([1]crash_skills!$A:$A),MATCH("comment",[1]crash_skills!$1:$1,0)-MATCH($AT$1,[1]crash_skills!$1:$1,0)+1),MATCH("comment",[1]crash_skills!$1:$1,0)-MATCH($AT$1,[1]crash_skills!$1:$1,0)+1,FALSE)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77" s="77" t="e">
        <f ca="1">VLOOKUP($AT377,OFFSET([1]crash_skills!$A$1,0,0,COUNTA([1]crash_skills!$A:$A),MATCH(AW$1,[1]crash_skills!$1:$1,0)-MATCH($AT$1,[1]crash_skills!$1:$1,0)+1),MATCH(AW$1,[1]crash_skills!$1:$1,0)-MATCH($AT$1,[1]crash_skills!$1:$1,0)+1,FALSE)</f>
        <v>#VALUE!</v>
      </c>
      <c r="AX377" s="81">
        <f ca="1">VLOOKUP($A377,OFFSET([2]characters!$A$1,0,0,COUNTA([2]characters!$A:$A),MATCH(AX$1,[2]characters!$1:$1,0)-MATCH($A$1,[2]characters!$1:$1,0)+1),MATCH(AX$1,[2]characters!$1:$1,0)-MATCH($A$1,[2]characters!$1:$1,0)+1,FALSE)</f>
        <v>3</v>
      </c>
      <c r="AY377" s="19">
        <v>0.8</v>
      </c>
      <c r="AZ377" s="19">
        <v>1.6</v>
      </c>
      <c r="BA377" s="19">
        <v>0</v>
      </c>
      <c r="BB377" s="19">
        <v>1</v>
      </c>
      <c r="BC377" s="14">
        <f ca="1">INDEX('RC6SV'!$A$1:$G$20,MATCH(H377,'RC6SV'!$A$1:$A$20,FALSE),MATCH(G377,'RC6SV'!$A$1:$G$1,FALSE))</f>
        <v>4200</v>
      </c>
      <c r="BD377" s="63">
        <f t="shared" ca="1" si="46"/>
        <v>4200</v>
      </c>
      <c r="BE377" s="14">
        <f t="shared" ca="1" si="40"/>
        <v>0</v>
      </c>
      <c r="BF377" s="14">
        <f t="shared" ca="1" si="41"/>
        <v>1</v>
      </c>
      <c r="BG377" s="20">
        <f ca="1">IF($BE377&lt;=0,ROUND(BK377*0.5,0), ROUND($BE377*S377*AA377*J377*AY377*0.8*[2]ステータス!$B$2,0))</f>
        <v>741</v>
      </c>
      <c r="BH377" s="20">
        <f ca="1">IF($BE377&lt;=0,ROUND(BL377*0.5,0), ROUND($BE377*T377*AB377*K377*AZ377*0.8*[2]ステータス!$C$2,0))</f>
        <v>1008</v>
      </c>
      <c r="BI377" s="20">
        <f ca="1">IF($BE377&lt;=0,ROUND(BM377*0.5,0), ROUND($BE377*U377*AC377*L377*BA377*0.8*[2]ステータス!$D$2,0))</f>
        <v>0</v>
      </c>
      <c r="BJ377" s="20">
        <f ca="1">IF($BE377&lt;=0,ROUND(BN377*0.5,0), ROUND($BE377*V377*AD377*M377*BB377*0.8*[2]ステータス!$E$2,0))</f>
        <v>430</v>
      </c>
      <c r="BK377" s="14">
        <f ca="1">ROUND(BD377*S377*AA377*J377*AY377*[2]ステータス!$B$2,0)</f>
        <v>1482</v>
      </c>
      <c r="BL377" s="14">
        <f ca="1">ROUND(BD377*T377*AB377*K377*AZ377*[2]ステータス!$C$2,0)</f>
        <v>2016</v>
      </c>
      <c r="BM377" s="14">
        <f ca="1">ROUND(BD377*U377*AC377*L377*BA377*[2]ステータス!$D$2,0)</f>
        <v>0</v>
      </c>
      <c r="BN377" s="14">
        <f ca="1">ROUND(BD377*V377*AD377*M377*BB377*[2]ステータス!$E$2,0)</f>
        <v>859</v>
      </c>
      <c r="BO377" s="13">
        <v>0</v>
      </c>
      <c r="BP377" s="13">
        <v>1</v>
      </c>
      <c r="BQ377" s="49" t="s">
        <v>102</v>
      </c>
      <c r="BR377" s="13">
        <f ca="1">VLOOKUP(H377,ghosts_label!$A$2:$B$19,2,FALSE)</f>
        <v>1</v>
      </c>
    </row>
    <row r="378" spans="1:70" ht="21" customHeight="1" x14ac:dyDescent="0.15">
      <c r="A378" s="14">
        <f t="shared" ca="1" si="36"/>
        <v>377</v>
      </c>
      <c r="B378" s="77" t="str">
        <f ca="1">VLOOKUP($A378,OFFSET([2]characters!$A$1,0,0,COUNTA([2]characters!$A:$A),MATCH(B$1,[2]characters!$1:$1,0)-MATCH($A$1,[2]characters!$1:$1,0)+1),MATCH(B$1,[2]characters!$1:$1,0)-MATCH($A$1,[2]characters!$1:$1,0)+1,FALSE)</f>
        <v>光明鹿剣 勘兵衛</v>
      </c>
      <c r="C378" s="77" t="str">
        <f ca="1">VLOOKUP($A378,OFFSET([2]characters!$A$1,0,0,COUNTA([2]characters!$A:$A),MATCH(C$1,[2]characters!$1:$1,0)-MATCH($A$1,[2]characters!$1:$1,0)+1),MATCH(C$1,[2]characters!$1:$1,0)-MATCH($A$1,[2]characters!$1:$1,0)+1,FALSE)</f>
        <v>イベント:お正月2016</v>
      </c>
      <c r="D378" s="77" t="str">
        <f ca="1">VLOOKUP($A378,OFFSET([2]characters!$A$1,0,0,COUNTA([2]characters!$A:$A),MATCH(D$1,[2]characters!$1:$1,0)-MATCH($A$1,[2]characters!$1:$1,0)+1),MATCH(D$1,[2]characters!$1:$1,0)-MATCH($A$1,[2]characters!$1:$1,0)+1,FALSE)</f>
        <v>守護者</v>
      </c>
      <c r="E378" s="77" t="str">
        <f ca="1">VLOOKUP($A378,OFFSET([2]characters!$A$1,0,0,COUNTA([2]characters!$A:$A),MATCH(E$1,[2]characters!$1:$1,0)-MATCH($A$1,[2]characters!$1:$1,0)+1),MATCH(E$1,[2]characters!$1:$1,0)-MATCH($A$1,[2]characters!$1:$1,0)+1,FALSE)</f>
        <v>美しい</v>
      </c>
      <c r="F378" s="77" t="str">
        <f ca="1">VLOOKUP($A378,OFFSET([2]characters!$A$1,0,0,COUNTA([2]characters!$A:$A),MATCH(F$1,[2]characters!$1:$1,0)-MATCH($A$1,[2]characters!$1:$1,0)+1),MATCH(F$1,[2]characters!$1:$1,0)-MATCH($A$1,[2]characters!$1:$1,0)+1,FALSE)</f>
        <v>不明</v>
      </c>
      <c r="G378" s="77">
        <f ca="1">VLOOKUP($A378,OFFSET([2]characters!$A$1,0,0,COUNTA([2]characters!$A:$A),MATCH(G$1,[2]characters!$1:$1,0)-MATCH($A$1,[2]characters!$1:$1,0)+1),MATCH(G$1,[2]characters!$1:$1,0)-MATCH($A$1,[2]characters!$1:$1,0)+1,FALSE)</f>
        <v>4</v>
      </c>
      <c r="H378" s="77" t="str">
        <f ca="1">VLOOKUP($A378,OFFSET([2]characters!$A$1,0,0,COUNTA([2]characters!$A:$A),MATCH(H$1,[2]characters!$1:$1,0)-MATCH($A$1,[2]characters!$1:$1,0)+1),MATCH(H$1,[2]characters!$1:$1,0)-MATCH($A$1,[2]characters!$1:$1,0)+1,FALSE)</f>
        <v>Drop1S</v>
      </c>
      <c r="I378" s="77" t="str">
        <f ca="1">VLOOKUP($A378,OFFSET([2]characters!$A$1,0,0,COUNTA([2]characters!$A:$A),MATCH(I$1,[2]characters!$1:$1,0)-MATCH($A$1,[2]characters!$1:$1,0)+1),MATCH(I$1,[2]characters!$1:$1,0)-MATCH($A$1,[2]characters!$1:$1,0)+1,FALSE)</f>
        <v>yellow</v>
      </c>
      <c r="J378" s="14">
        <f ca="1">VLOOKUP(I378,[2]属性!$A:$E,2,FALSE)</f>
        <v>0.98</v>
      </c>
      <c r="K378" s="14">
        <f ca="1">VLOOKUP(I378,[2]属性!$A:$E,3,FALSE)</f>
        <v>1.01</v>
      </c>
      <c r="L378" s="14">
        <f ca="1">VLOOKUP(I378,[2]属性!$A:$E,4,FALSE)</f>
        <v>1</v>
      </c>
      <c r="M378" s="14">
        <f ca="1">VLOOKUP(I378,[2]属性!$A:$E,5,FALSE)</f>
        <v>1.01</v>
      </c>
      <c r="N378" s="14">
        <f ca="1">INDEX(コスト!$A$1:$I$20,MATCH(H378,コスト!$A$1:$A$20,FALSE),MATCH(G378,コスト!$A$1:$I$1,FALSE))</f>
        <v>14</v>
      </c>
      <c r="O378" s="14">
        <f ca="1">INDEX(レベル!$A$1:$I$21,MATCH(H378,レベル!$A$1:$A$21,FALSE),MATCH(G378,レベル!$A$1:$I$1,FALSE))</f>
        <v>60</v>
      </c>
      <c r="P378" s="63">
        <f t="shared" ca="1" si="42"/>
        <v>60</v>
      </c>
      <c r="Q378" s="77" t="str">
        <f ca="1">VLOOKUP($A378,OFFSET([2]characters!$A$1,0,0,COUNTA([2]characters!$A:$A),MATCH(Q$1,[2]characters!$1:$1,0)-MATCH($A$1,[2]characters!$1:$1,0)+1),MATCH(Q$1,[2]characters!$1:$1,0)-MATCH($A$1,[2]characters!$1:$1,0)+1,FALSE)</f>
        <v>technical</v>
      </c>
      <c r="R378" s="8" t="str">
        <f ca="1">VLOOKUP(Q378,[2]character_type_i18n!$A:$H,3,FALSE)</f>
        <v>テクニカルタイプ</v>
      </c>
      <c r="S378" s="14">
        <f ca="1">VLOOKUP(Q378,[2]character_type_i18n!$A:$H,4,FALSE)</f>
        <v>0.9</v>
      </c>
      <c r="T378" s="14">
        <f ca="1">VLOOKUP(Q378,[2]character_type_i18n!$A:$H,5,FALSE)</f>
        <v>0.9</v>
      </c>
      <c r="U378" s="14">
        <f ca="1">VLOOKUP(Q378,[2]character_type_i18n!$A:$H,6,FALSE)</f>
        <v>1</v>
      </c>
      <c r="V378" s="14">
        <f ca="1">VLOOKUP(Q378,[2]character_type_i18n!$A:$H,7,FALSE)</f>
        <v>0.9</v>
      </c>
      <c r="W378" s="77" t="str">
        <f ca="1">VLOOKUP($A378,OFFSET([2]characters!$A$1,0,0,COUNTA([2]characters!$A:$A),MATCH(W$1,[2]characters!$1:$1,0)-MATCH($A$1,[2]characters!$1:$1,0)+1),MATCH(W$1,[2]characters!$1:$1,0)-MATCH($A$1,[2]characters!$1:$1,0)+1,FALSE)</f>
        <v>animal</v>
      </c>
      <c r="X378" s="8" t="str">
        <f ca="1">VLOOKUP(W378,[2]character_tribe_i18n!$A:$H,3,FALSE)</f>
        <v>アニマル</v>
      </c>
      <c r="Y378" s="77" t="str">
        <f ca="1">VLOOKUP($A378,OFFSET([2]characters!$A$1,0,0,COUNTA([2]characters!$A:$A),MATCH(Y$1,[2]characters!$1:$1,0)-MATCH($A$1,[2]characters!$1:$1,0)+1),MATCH(Y$1,[2]characters!$1:$1,0)-MATCH($A$1,[2]characters!$1:$1,0)+1,FALSE)</f>
        <v>none</v>
      </c>
      <c r="Z378" s="8" t="str">
        <f ca="1">VLOOKUP(Y378,[2]character_tribe_i18n!$A:$H,3,FALSE)</f>
        <v>種族なし</v>
      </c>
      <c r="AA378" s="14">
        <f ca="1">VLOOKUP(W378,[2]character_tribe_i18n!$A:$H,4,FALSE)</f>
        <v>1</v>
      </c>
      <c r="AB378" s="14">
        <f ca="1">VLOOKUP(W378,[2]character_tribe_i18n!$A:$H,5,FALSE)</f>
        <v>1.1000000000000001</v>
      </c>
      <c r="AC378" s="14">
        <f ca="1">VLOOKUP(W378,[2]character_tribe_i18n!$A:$H,6,FALSE)</f>
        <v>1</v>
      </c>
      <c r="AD378" s="14">
        <f ca="1">VLOOKUP(W378,[2]character_tribe_i18n!$A:$H,7,FALSE)</f>
        <v>0.9</v>
      </c>
      <c r="AE378" s="12" t="s">
        <v>102</v>
      </c>
      <c r="AF378" s="85" t="str">
        <f ca="1">IF(AE378="NULL","",VLOOKUP($AE378,OFFSET([2]characters!$A$1,0,0,COUNTA([2]characters!$A:$A),MATCH(AF$1,[2]characters!$1:$1,0)-MATCH($A$1,[2]characters!$1:$1,0)+1),MATCH(AF$1,[2]characters!$1:$1,0)-MATCH($A$1,[2]characters!$1:$1,0)+1,FALSE))</f>
        <v/>
      </c>
      <c r="AG378" s="8">
        <f t="shared" ca="1" si="37"/>
        <v>376</v>
      </c>
      <c r="AH378" s="85" t="str">
        <f ca="1">VLOOKUP($AG378,OFFSET([2]characters!$A$1,0,0,COUNTA([2]characters!$A:$A),MATCH(AH$1,[2]characters!$1:$1,0)-MATCH($A$1,[2]characters!$1:$1,0)+1),MATCH(AH$1,[2]characters!$1:$1,0)-MATCH($A$1,[2]characters!$1:$1,0)+1,FALSE)</f>
        <v>勘兵衛</v>
      </c>
      <c r="AI378" s="14" t="str">
        <f>IF(AE378="NULL","NULL",VLOOKUP(G378,ビット!$A$2:$B$7,2))</f>
        <v>NULL</v>
      </c>
      <c r="AJ378" s="9">
        <v>2</v>
      </c>
      <c r="AK378" s="10" t="str">
        <f t="shared" ref="AK378:AK386" si="49">IF(AJ378=1,"早熟",IF(AJ378=2,"普通",IF(AJ378=3,"晩成","")))</f>
        <v>普通</v>
      </c>
      <c r="AL378" s="14" t="str">
        <f ca="1">INDEX(経験値!$A$1:$I$20,MATCH(H378,経験値!$A$1:$A$20,FALSE),MATCH(G378,経験値!$A$1:$I$1,FALSE))</f>
        <v>required_exp_150</v>
      </c>
      <c r="AM378" s="11">
        <f ca="1">VLOOKUP(G378,経験値!$A$27:$B$31,2)</f>
        <v>3400</v>
      </c>
      <c r="AN378" s="21">
        <f ca="1">VLOOKUP(G378,ビット!$G$2:$H$7,2)</f>
        <v>600</v>
      </c>
      <c r="AO378" s="57"/>
      <c r="AP378" s="97">
        <v>540006</v>
      </c>
      <c r="AQ378" s="77" t="e">
        <f ca="1">VLOOKUP($AP378,OFFSET([1]unit_skills!$A$1,0,0,COUNTA([1]unit_skills!$A:$A),MATCH("name",[1]unit_skills!$1:$1,0)-MATCH($AP$1,[1]unit_skills!$1:$1,0)+1),MATCH("name",[1]unit_skills!$1:$1,0)-MATCH($AP$1,[1]unit_skills!$1:$1,0)+1,FALSE)</f>
        <v>#VALUE!</v>
      </c>
      <c r="AR378" s="77" t="e">
        <f ca="1">VLOOKUP($AP378,OFFSET([1]unit_skills!$A$1,0,0,COUNTA([1]unit_skills!$A:$A),MATCH("comment",[1]unit_skills!$1:$1,0)-MATCH($AP$1,[1]unit_skills!$1:$1,0)+1),MATCH("comment",[1]unit_skills!$1:$1,0)-MATCH($AP$1,[1]unit_skills!$1:$1,0)+1,FALSE)</f>
        <v>#VALUE!</v>
      </c>
      <c r="AS378" s="77" t="e">
        <f ca="1">VLOOKUP($AP378,OFFSET([1]unit_skills!$A$1,0,0,COUNTA([1]unit_skills!$A:$A),MATCH(AS$1,[1]unit_skills!$1:$1,0)-MATCH($AP$1,[1]unit_skills!$1:$1,0)+1),MATCH(AS$1,[1]unit_skills!$1:$1,0)-MATCH($AP$1,[1]unit_skills!$1:$1,0)+1,FALSE)</f>
        <v>#VALUE!</v>
      </c>
      <c r="AT378" s="158">
        <v>184509</v>
      </c>
      <c r="AU378" s="77" t="e">
        <f ca="1">VLOOKUP($AT378,OFFSET([1]crash_skills!$A$1,0,0,COUNTA([1]crash_skills!$A:$A),MATCH("name",[1]crash_skills!$1:$1,0)-MATCH($AT$1,[1]crash_skills!$1:$1,0)+1),MATCH("name",[1]crash_skills!$1:$1,0)-MATCH($AT$1,[1]crash_skills!$1:$1,0)+1,FALSE)</f>
        <v>#VALUE!</v>
      </c>
      <c r="AV378" s="77" t="e">
        <f ca="1">VLOOKUP($AT378,OFFSET([1]crash_skills!$A$1,0,0,COUNTA([1]crash_skills!$A:$A),MATCH("comment",[1]crash_skills!$1:$1,0)-MATCH($AT$1,[1]crash_skills!$1:$1,0)+1),MATCH("comment",[1]crash_skills!$1:$1,0)-MATCH($AT$1,[1]crash_skills!$1:$1,0)+1,FALSE)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78" s="77" t="e">
        <f ca="1">VLOOKUP($AT378,OFFSET([1]crash_skills!$A$1,0,0,COUNTA([1]crash_skills!$A:$A),MATCH(AW$1,[1]crash_skills!$1:$1,0)-MATCH($AT$1,[1]crash_skills!$1:$1,0)+1),MATCH(AW$1,[1]crash_skills!$1:$1,0)-MATCH($AT$1,[1]crash_skills!$1:$1,0)+1,FALSE)</f>
        <v>#VALUE!</v>
      </c>
      <c r="AX378" s="81">
        <f ca="1">VLOOKUP($A378,OFFSET([2]characters!$A$1,0,0,COUNTA([2]characters!$A:$A),MATCH(AX$1,[2]characters!$1:$1,0)-MATCH($A$1,[2]characters!$1:$1,0)+1),MATCH(AX$1,[2]characters!$1:$1,0)-MATCH($A$1,[2]characters!$1:$1,0)+1,FALSE)</f>
        <v>3</v>
      </c>
      <c r="AY378" s="19">
        <v>0.8</v>
      </c>
      <c r="AZ378" s="19">
        <v>1.86</v>
      </c>
      <c r="BA378" s="19">
        <v>0</v>
      </c>
      <c r="BB378" s="19">
        <v>0.9</v>
      </c>
      <c r="BC378" s="14">
        <f ca="1">INDEX('RC6SV'!$A$1:$G$20,MATCH(H378,'RC6SV'!$A$1:$A$20,FALSE),MATCH(G378,'RC6SV'!$A$1:$G$1,FALSE))</f>
        <v>5400</v>
      </c>
      <c r="BD378" s="63">
        <f t="shared" ref="BD378:BD386" ca="1" si="50">ROUND(BC378*IF(AJ378=1,0.95,IF(AJ378=2,1,IF(AJ378,1.05,0))),0)</f>
        <v>5400</v>
      </c>
      <c r="BE378" s="14">
        <f t="shared" ca="1" si="40"/>
        <v>4200</v>
      </c>
      <c r="BF378" s="14">
        <f t="shared" ca="1" si="41"/>
        <v>1</v>
      </c>
      <c r="BG378" s="20">
        <f ca="1">IF($BE378&lt;=0,ROUND(BK378*0.5,0), ROUND($BE378*S378*AA378*J378*AY378*0.8*[2]ステータス!$B$2,0))</f>
        <v>1185</v>
      </c>
      <c r="BH378" s="20">
        <f ca="1">IF($BE378&lt;=0,ROUND(BL378*0.5,0), ROUND($BE378*T378*AB378*K378*AZ378*0.8*[2]ステータス!$C$2,0))</f>
        <v>1875</v>
      </c>
      <c r="BI378" s="20">
        <f ca="1">IF($BE378&lt;=0,ROUND(BM378*0.5,0), ROUND($BE378*U378*AC378*L378*BA378*0.8*[2]ステータス!$D$2,0))</f>
        <v>0</v>
      </c>
      <c r="BJ378" s="20">
        <f ca="1">IF($BE378&lt;=0,ROUND(BN378*0.5,0), ROUND($BE378*V378*AD378*M378*BB378*0.8*[2]ステータス!$E$2,0))</f>
        <v>618</v>
      </c>
      <c r="BK378" s="14">
        <f ca="1">ROUND(BD378*S378*AA378*J378*AY378*[2]ステータス!$B$2,0)</f>
        <v>1905</v>
      </c>
      <c r="BL378" s="14">
        <f ca="1">ROUND(BD378*T378*AB378*K378*AZ378*[2]ステータス!$C$2,0)</f>
        <v>3013</v>
      </c>
      <c r="BM378" s="14">
        <f ca="1">ROUND(BD378*U378*AC378*L378*BA378*[2]ステータス!$D$2,0)</f>
        <v>0</v>
      </c>
      <c r="BN378" s="14">
        <f ca="1">ROUND(BD378*V378*AD378*M378*BB378*[2]ステータス!$E$2,0)</f>
        <v>994</v>
      </c>
      <c r="BO378" s="13">
        <v>0</v>
      </c>
      <c r="BP378" s="13">
        <v>1</v>
      </c>
      <c r="BQ378" s="49" t="s">
        <v>102</v>
      </c>
      <c r="BR378" s="13">
        <f ca="1">VLOOKUP(H378,ghosts_label!$A$2:$B$19,2,FALSE)</f>
        <v>1</v>
      </c>
    </row>
    <row r="379" spans="1:70" ht="21" customHeight="1" x14ac:dyDescent="0.15">
      <c r="A379" s="14">
        <f t="shared" ca="1" si="36"/>
        <v>378</v>
      </c>
      <c r="B379" s="77" t="str">
        <f ca="1">VLOOKUP($A379,OFFSET([2]characters!$A$1,0,0,COUNTA([2]characters!$A:$A),MATCH(B$1,[2]characters!$1:$1,0)-MATCH($A$1,[2]characters!$1:$1,0)+1),MATCH(B$1,[2]characters!$1:$1,0)-MATCH($A$1,[2]characters!$1:$1,0)+1,FALSE)</f>
        <v>オイラー</v>
      </c>
      <c r="C379" s="77" t="str">
        <f ca="1">VLOOKUP($A379,OFFSET([2]characters!$A$1,0,0,COUNTA([2]characters!$A:$A),MATCH(C$1,[2]characters!$1:$1,0)-MATCH($A$1,[2]characters!$1:$1,0)+1),MATCH(C$1,[2]characters!$1:$1,0)-MATCH($A$1,[2]characters!$1:$1,0)+1,FALSE)</f>
        <v>ガチャ:フィーバーフェス01</v>
      </c>
      <c r="D379" s="77" t="str">
        <f ca="1">VLOOKUP($A379,OFFSET([2]characters!$A$1,0,0,COUNTA([2]characters!$A:$A),MATCH(D$1,[2]characters!$1:$1,0)-MATCH($A$1,[2]characters!$1:$1,0)+1),MATCH(D$1,[2]characters!$1:$1,0)-MATCH($A$1,[2]characters!$1:$1,0)+1,FALSE)</f>
        <v>守護者</v>
      </c>
      <c r="E379" s="77" t="str">
        <f ca="1">VLOOKUP($A379,OFFSET([2]characters!$A$1,0,0,COUNTA([2]characters!$A:$A),MATCH(E$1,[2]characters!$1:$1,0)-MATCH($A$1,[2]characters!$1:$1,0)+1),MATCH(E$1,[2]characters!$1:$1,0)-MATCH($A$1,[2]characters!$1:$1,0)+1,FALSE)</f>
        <v>美しい</v>
      </c>
      <c r="F379" s="77" t="str">
        <f ca="1">VLOOKUP($A379,OFFSET([2]characters!$A$1,0,0,COUNTA([2]characters!$A:$A),MATCH(F$1,[2]characters!$1:$1,0)-MATCH($A$1,[2]characters!$1:$1,0)+1),MATCH(F$1,[2]characters!$1:$1,0)-MATCH($A$1,[2]characters!$1:$1,0)+1,FALSE)</f>
        <v>女性</v>
      </c>
      <c r="G379" s="77">
        <f ca="1">VLOOKUP($A379,OFFSET([2]characters!$A$1,0,0,COUNTA([2]characters!$A:$A),MATCH(G$1,[2]characters!$1:$1,0)-MATCH($A$1,[2]characters!$1:$1,0)+1),MATCH(G$1,[2]characters!$1:$1,0)-MATCH($A$1,[2]characters!$1:$1,0)+1,FALSE)</f>
        <v>4</v>
      </c>
      <c r="H379" s="77" t="str">
        <f ca="1">VLOOKUP($A379,OFFSET([2]characters!$A$1,0,0,COUNTA([2]characters!$A:$A),MATCH(H$1,[2]characters!$1:$1,0)-MATCH($A$1,[2]characters!$1:$1,0)+1),MATCH(H$1,[2]characters!$1:$1,0)-MATCH($A$1,[2]characters!$1:$1,0)+1,FALSE)</f>
        <v>PremiumSSS</v>
      </c>
      <c r="I379" s="77" t="str">
        <f ca="1">VLOOKUP($A379,OFFSET([2]characters!$A$1,0,0,COUNTA([2]characters!$A:$A),MATCH(I$1,[2]characters!$1:$1,0)-MATCH($A$1,[2]characters!$1:$1,0)+1),MATCH(I$1,[2]characters!$1:$1,0)-MATCH($A$1,[2]characters!$1:$1,0)+1,FALSE)</f>
        <v>green</v>
      </c>
      <c r="J379" s="14">
        <f ca="1">VLOOKUP(I379,[2]属性!$A:$E,2,FALSE)</f>
        <v>1.02</v>
      </c>
      <c r="K379" s="14">
        <f ca="1">VLOOKUP(I379,[2]属性!$A:$E,3,FALSE)</f>
        <v>0.98</v>
      </c>
      <c r="L379" s="14">
        <f ca="1">VLOOKUP(I379,[2]属性!$A:$E,4,FALSE)</f>
        <v>1</v>
      </c>
      <c r="M379" s="14">
        <f ca="1">VLOOKUP(I379,[2]属性!$A:$E,5,FALSE)</f>
        <v>1</v>
      </c>
      <c r="N379" s="14">
        <f ca="1">INDEX(コスト!$A$1:$I$20,MATCH(H379,コスト!$A$1:$A$20,FALSE),MATCH(G379,コスト!$A$1:$I$1,FALSE))</f>
        <v>30</v>
      </c>
      <c r="O379" s="14">
        <f ca="1">INDEX(レベル!$A$1:$I$21,MATCH(H379,レベル!$A$1:$A$21,FALSE),MATCH(G379,レベル!$A$1:$I$1,FALSE))</f>
        <v>60</v>
      </c>
      <c r="P379" s="63">
        <f t="shared" ca="1" si="42"/>
        <v>60</v>
      </c>
      <c r="Q379" s="77" t="str">
        <f ca="1">VLOOKUP($A379,OFFSET([2]characters!$A$1,0,0,COUNTA([2]characters!$A:$A),MATCH(Q$1,[2]characters!$1:$1,0)-MATCH($A$1,[2]characters!$1:$1,0)+1),MATCH(Q$1,[2]characters!$1:$1,0)-MATCH($A$1,[2]characters!$1:$1,0)+1,FALSE)</f>
        <v>balance</v>
      </c>
      <c r="R379" s="8" t="str">
        <f ca="1">VLOOKUP(Q379,[2]character_type_i18n!$A:$H,3,FALSE)</f>
        <v>バランスタイプ</v>
      </c>
      <c r="S379" s="14">
        <f ca="1">VLOOKUP(Q379,[2]character_type_i18n!$A:$H,4,FALSE)</f>
        <v>1</v>
      </c>
      <c r="T379" s="14">
        <f ca="1">VLOOKUP(Q379,[2]character_type_i18n!$A:$H,5,FALSE)</f>
        <v>1</v>
      </c>
      <c r="U379" s="14">
        <f ca="1">VLOOKUP(Q379,[2]character_type_i18n!$A:$H,6,FALSE)</f>
        <v>1</v>
      </c>
      <c r="V379" s="14">
        <f ca="1">VLOOKUP(Q379,[2]character_type_i18n!$A:$H,7,FALSE)</f>
        <v>1</v>
      </c>
      <c r="W379" s="77" t="str">
        <f ca="1">VLOOKUP($A379,OFFSET([2]characters!$A$1,0,0,COUNTA([2]characters!$A:$A),MATCH(W$1,[2]characters!$1:$1,0)-MATCH($A$1,[2]characters!$1:$1,0)+1),MATCH(W$1,[2]characters!$1:$1,0)-MATCH($A$1,[2]characters!$1:$1,0)+1,FALSE)</f>
        <v>human</v>
      </c>
      <c r="X379" s="8" t="str">
        <f ca="1">VLOOKUP(W379,[2]character_tribe_i18n!$A:$H,3,FALSE)</f>
        <v>ヒューマン</v>
      </c>
      <c r="Y379" s="77" t="str">
        <f ca="1">VLOOKUP($A379,OFFSET([2]characters!$A$1,0,0,COUNTA([2]characters!$A:$A),MATCH(Y$1,[2]characters!$1:$1,0)-MATCH($A$1,[2]characters!$1:$1,0)+1),MATCH(Y$1,[2]characters!$1:$1,0)-MATCH($A$1,[2]characters!$1:$1,0)+1,FALSE)</f>
        <v>none</v>
      </c>
      <c r="Z379" s="8" t="str">
        <f ca="1">VLOOKUP(Y379,[2]character_tribe_i18n!$A:$H,3,FALSE)</f>
        <v>種族なし</v>
      </c>
      <c r="AA379" s="14">
        <f ca="1">VLOOKUP(W379,[2]character_tribe_i18n!$A:$H,4,FALSE)</f>
        <v>0.94</v>
      </c>
      <c r="AB379" s="14">
        <f ca="1">VLOOKUP(W379,[2]character_tribe_i18n!$A:$H,5,FALSE)</f>
        <v>0.99</v>
      </c>
      <c r="AC379" s="14">
        <f ca="1">VLOOKUP(W379,[2]character_tribe_i18n!$A:$H,6,FALSE)</f>
        <v>1</v>
      </c>
      <c r="AD379" s="14">
        <f ca="1">VLOOKUP(W379,[2]character_tribe_i18n!$A:$H,7,FALSE)</f>
        <v>1.07</v>
      </c>
      <c r="AE379" s="12">
        <v>379</v>
      </c>
      <c r="AF379" s="85" t="str">
        <f ca="1">IF(AE379="NULL","",VLOOKUP($AE379,OFFSET([2]characters!$A$1,0,0,COUNTA([2]characters!$A:$A),MATCH(AF$1,[2]characters!$1:$1,0)-MATCH($A$1,[2]characters!$1:$1,0)+1),MATCH(AF$1,[2]characters!$1:$1,0)-MATCH($A$1,[2]characters!$1:$1,0)+1,FALSE))</f>
        <v>幾何の機刃 オイラー</v>
      </c>
      <c r="AG379" s="8">
        <f t="shared" ca="1" si="37"/>
        <v>378</v>
      </c>
      <c r="AH379" s="85" t="str">
        <f ca="1">VLOOKUP($AG379,OFFSET([2]characters!$A$1,0,0,COUNTA([2]characters!$A:$A),MATCH(AH$1,[2]characters!$1:$1,0)-MATCH($A$1,[2]characters!$1:$1,0)+1),MATCH(AH$1,[2]characters!$1:$1,0)-MATCH($A$1,[2]characters!$1:$1,0)+1,FALSE)</f>
        <v>オイラー</v>
      </c>
      <c r="AI379" s="14">
        <f ca="1">IF(AE379="NULL","NULL",VLOOKUP(G379,ビット!$A$2:$B$7,2))</f>
        <v>50000</v>
      </c>
      <c r="AJ379" s="9">
        <v>2</v>
      </c>
      <c r="AK379" s="10" t="str">
        <f t="shared" si="49"/>
        <v>普通</v>
      </c>
      <c r="AL379" s="14" t="str">
        <f ca="1">INDEX(経験値!$A$1:$I$20,MATCH(H379,経験値!$A$1:$A$20,FALSE),MATCH(G379,経験値!$A$1:$I$1,FALSE))</f>
        <v>required_exp_250</v>
      </c>
      <c r="AM379" s="11">
        <f ca="1">VLOOKUP(G379,経験値!$A$27:$B$31,2)</f>
        <v>3400</v>
      </c>
      <c r="AN379" s="21">
        <f ca="1">VLOOKUP(G379,ビット!$G$2:$H$7,2)</f>
        <v>600</v>
      </c>
      <c r="AO379" s="57"/>
      <c r="AP379" s="101">
        <v>514006</v>
      </c>
      <c r="AQ379" s="77" t="e">
        <f ca="1">VLOOKUP($AP379,OFFSET([1]unit_skills!$A$1,0,0,COUNTA([1]unit_skills!$A:$A),MATCH("name",[1]unit_skills!$1:$1,0)-MATCH($AP$1,[1]unit_skills!$1:$1,0)+1),MATCH("name",[1]unit_skills!$1:$1,0)-MATCH($AP$1,[1]unit_skills!$1:$1,0)+1,FALSE)</f>
        <v>#VALUE!</v>
      </c>
      <c r="AR379" s="77" t="e">
        <f ca="1">VLOOKUP($AP379,OFFSET([1]unit_skills!$A$1,0,0,COUNTA([1]unit_skills!$A:$A),MATCH("comment",[1]unit_skills!$1:$1,0)-MATCH($AP$1,[1]unit_skills!$1:$1,0)+1),MATCH("comment",[1]unit_skills!$1:$1,0)-MATCH($AP$1,[1]unit_skills!$1:$1,0)+1,FALSE)</f>
        <v>#VALUE!</v>
      </c>
      <c r="AS379" s="77" t="e">
        <f ca="1">VLOOKUP($AP379,OFFSET([1]unit_skills!$A$1,0,0,COUNTA([1]unit_skills!$A:$A),MATCH(AS$1,[1]unit_skills!$1:$1,0)-MATCH($AP$1,[1]unit_skills!$1:$1,0)+1),MATCH(AS$1,[1]unit_skills!$1:$1,0)-MATCH($AP$1,[1]unit_skills!$1:$1,0)+1,FALSE)</f>
        <v>#VALUE!</v>
      </c>
      <c r="AT379" s="97">
        <v>122013</v>
      </c>
      <c r="AU379" s="77" t="e">
        <f ca="1">VLOOKUP($AT379,OFFSET([1]crash_skills!$A$1,0,0,COUNTA([1]crash_skills!$A:$A),MATCH("name",[1]crash_skills!$1:$1,0)-MATCH($AT$1,[1]crash_skills!$1:$1,0)+1),MATCH("name",[1]crash_skills!$1:$1,0)-MATCH($AT$1,[1]crash_skills!$1:$1,0)+1,FALSE)</f>
        <v>#VALUE!</v>
      </c>
      <c r="AV379" s="77" t="e">
        <f ca="1">VLOOKUP($AT379,OFFSET([1]crash_skills!$A$1,0,0,COUNTA([1]crash_skills!$A:$A),MATCH("comment",[1]crash_skills!$1:$1,0)-MATCH($AT$1,[1]crash_skills!$1:$1,0)+1),MATCH("comment",[1]crash_skills!$1:$1,0)-MATCH($AT$1,[1]crash_skills!$1:$1,0)+1,FALSE)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79" s="77" t="e">
        <f ca="1">VLOOKUP($AT379,OFFSET([1]crash_skills!$A$1,0,0,COUNTA([1]crash_skills!$A:$A),MATCH(AW$1,[1]crash_skills!$1:$1,0)-MATCH($AT$1,[1]crash_skills!$1:$1,0)+1),MATCH(AW$1,[1]crash_skills!$1:$1,0)-MATCH($AT$1,[1]crash_skills!$1:$1,0)+1,FALSE)</f>
        <v>#VALUE!</v>
      </c>
      <c r="AX379" s="81">
        <f ca="1">VLOOKUP($A379,OFFSET([2]characters!$A$1,0,0,COUNTA([2]characters!$A:$A),MATCH(AX$1,[2]characters!$1:$1,0)-MATCH($A$1,[2]characters!$1:$1,0)+1),MATCH(AX$1,[2]characters!$1:$1,0)-MATCH($A$1,[2]characters!$1:$1,0)+1,FALSE)</f>
        <v>3</v>
      </c>
      <c r="AY379" s="19">
        <v>1</v>
      </c>
      <c r="AZ379" s="19">
        <v>1</v>
      </c>
      <c r="BA379" s="19">
        <v>0</v>
      </c>
      <c r="BB379" s="19">
        <v>1</v>
      </c>
      <c r="BC379" s="14">
        <f ca="1">INDEX('RC6SV'!$A$1:$G$20,MATCH(H379,'RC6SV'!$A$1:$A$20,FALSE),MATCH(G379,'RC6SV'!$A$1:$G$1,FALSE))</f>
        <v>8000</v>
      </c>
      <c r="BD379" s="63">
        <f t="shared" ca="1" si="50"/>
        <v>8000</v>
      </c>
      <c r="BE379" s="14">
        <f t="shared" ca="1" si="40"/>
        <v>0</v>
      </c>
      <c r="BF379" s="14">
        <f t="shared" ca="1" si="41"/>
        <v>1</v>
      </c>
      <c r="BG379" s="20">
        <f ca="1">IF($BE379&lt;=0,ROUND(BK379*0.5,0), ROUND($BE379*S379*AA379*J379*AY379*0.8*[2]ステータス!$B$2,0))</f>
        <v>1918</v>
      </c>
      <c r="BH379" s="20">
        <f ca="1">IF($BE379&lt;=0,ROUND(BL379*0.5,0), ROUND($BE379*T379*AB379*K379*AZ379*0.8*[2]ステータス!$C$2,0))</f>
        <v>1164</v>
      </c>
      <c r="BI379" s="20">
        <f ca="1">IF($BE379&lt;=0,ROUND(BM379*0.5,0), ROUND($BE379*U379*AC379*L379*BA379*0.8*[2]ステータス!$D$2,0))</f>
        <v>0</v>
      </c>
      <c r="BJ379" s="20">
        <f ca="1">IF($BE379&lt;=0,ROUND(BN379*0.5,0), ROUND($BE379*V379*AD379*M379*BB379*0.8*[2]ステータス!$E$2,0))</f>
        <v>1070</v>
      </c>
      <c r="BK379" s="14">
        <f ca="1">ROUND(BD379*S379*AA379*J379*AY379*[2]ステータス!$B$2,0)</f>
        <v>3835</v>
      </c>
      <c r="BL379" s="14">
        <f ca="1">ROUND(BD379*T379*AB379*K379*AZ379*[2]ステータス!$C$2,0)</f>
        <v>2328</v>
      </c>
      <c r="BM379" s="14">
        <f ca="1">ROUND(BD379*U379*AC379*L379*BA379*[2]ステータス!$D$2,0)</f>
        <v>0</v>
      </c>
      <c r="BN379" s="14">
        <f ca="1">ROUND(BD379*V379*AD379*M379*BB379*[2]ステータス!$E$2,0)</f>
        <v>2140</v>
      </c>
      <c r="BO379" s="13">
        <v>0</v>
      </c>
      <c r="BP379" s="13">
        <v>1</v>
      </c>
      <c r="BQ379" s="49" t="s">
        <v>102</v>
      </c>
      <c r="BR379" s="13">
        <f ca="1">VLOOKUP(H379,ghosts_label!$A$2:$B$19,2,FALSE)</f>
        <v>30000</v>
      </c>
    </row>
    <row r="380" spans="1:70" ht="21" customHeight="1" x14ac:dyDescent="0.15">
      <c r="A380" s="14">
        <f t="shared" ca="1" si="36"/>
        <v>379</v>
      </c>
      <c r="B380" s="77" t="str">
        <f ca="1">VLOOKUP($A380,OFFSET([2]characters!$A$1,0,0,COUNTA([2]characters!$A:$A),MATCH(B$1,[2]characters!$1:$1,0)-MATCH($A$1,[2]characters!$1:$1,0)+1),MATCH(B$1,[2]characters!$1:$1,0)-MATCH($A$1,[2]characters!$1:$1,0)+1,FALSE)</f>
        <v>幾何の機刃 オイラー</v>
      </c>
      <c r="C380" s="77" t="str">
        <f ca="1">VLOOKUP($A380,OFFSET([2]characters!$A$1,0,0,COUNTA([2]characters!$A:$A),MATCH(C$1,[2]characters!$1:$1,0)-MATCH($A$1,[2]characters!$1:$1,0)+1),MATCH(C$1,[2]characters!$1:$1,0)-MATCH($A$1,[2]characters!$1:$1,0)+1,FALSE)</f>
        <v>ガチャ:フィーバーフェス01</v>
      </c>
      <c r="D380" s="77" t="str">
        <f ca="1">VLOOKUP($A380,OFFSET([2]characters!$A$1,0,0,COUNTA([2]characters!$A:$A),MATCH(D$1,[2]characters!$1:$1,0)-MATCH($A$1,[2]characters!$1:$1,0)+1),MATCH(D$1,[2]characters!$1:$1,0)-MATCH($A$1,[2]characters!$1:$1,0)+1,FALSE)</f>
        <v>守護者</v>
      </c>
      <c r="E380" s="77" t="str">
        <f ca="1">VLOOKUP($A380,OFFSET([2]characters!$A$1,0,0,COUNTA([2]characters!$A:$A),MATCH(E$1,[2]characters!$1:$1,0)-MATCH($A$1,[2]characters!$1:$1,0)+1),MATCH(E$1,[2]characters!$1:$1,0)-MATCH($A$1,[2]characters!$1:$1,0)+1,FALSE)</f>
        <v>美しい</v>
      </c>
      <c r="F380" s="77" t="str">
        <f ca="1">VLOOKUP($A380,OFFSET([2]characters!$A$1,0,0,COUNTA([2]characters!$A:$A),MATCH(F$1,[2]characters!$1:$1,0)-MATCH($A$1,[2]characters!$1:$1,0)+1),MATCH(F$1,[2]characters!$1:$1,0)-MATCH($A$1,[2]characters!$1:$1,0)+1,FALSE)</f>
        <v>女性</v>
      </c>
      <c r="G380" s="77">
        <f ca="1">VLOOKUP($A380,OFFSET([2]characters!$A$1,0,0,COUNTA([2]characters!$A:$A),MATCH(G$1,[2]characters!$1:$1,0)-MATCH($A$1,[2]characters!$1:$1,0)+1),MATCH(G$1,[2]characters!$1:$1,0)-MATCH($A$1,[2]characters!$1:$1,0)+1,FALSE)</f>
        <v>5</v>
      </c>
      <c r="H380" s="77" t="str">
        <f ca="1">VLOOKUP($A380,OFFSET([2]characters!$A$1,0,0,COUNTA([2]characters!$A:$A),MATCH(H$1,[2]characters!$1:$1,0)-MATCH($A$1,[2]characters!$1:$1,0)+1),MATCH(H$1,[2]characters!$1:$1,0)-MATCH($A$1,[2]characters!$1:$1,0)+1,FALSE)</f>
        <v>PremiumSSS</v>
      </c>
      <c r="I380" s="77" t="str">
        <f ca="1">VLOOKUP($A380,OFFSET([2]characters!$A$1,0,0,COUNTA([2]characters!$A:$A),MATCH(I$1,[2]characters!$1:$1,0)-MATCH($A$1,[2]characters!$1:$1,0)+1),MATCH(I$1,[2]characters!$1:$1,0)-MATCH($A$1,[2]characters!$1:$1,0)+1,FALSE)</f>
        <v>green</v>
      </c>
      <c r="J380" s="14">
        <f ca="1">VLOOKUP(I380,[2]属性!$A:$E,2,FALSE)</f>
        <v>1.02</v>
      </c>
      <c r="K380" s="14">
        <f ca="1">VLOOKUP(I380,[2]属性!$A:$E,3,FALSE)</f>
        <v>0.98</v>
      </c>
      <c r="L380" s="14">
        <f ca="1">VLOOKUP(I380,[2]属性!$A:$E,4,FALSE)</f>
        <v>1</v>
      </c>
      <c r="M380" s="14">
        <f ca="1">VLOOKUP(I380,[2]属性!$A:$E,5,FALSE)</f>
        <v>1</v>
      </c>
      <c r="N380" s="14">
        <f ca="1">INDEX(コスト!$A$1:$I$20,MATCH(H380,コスト!$A$1:$A$20,FALSE),MATCH(G380,コスト!$A$1:$I$1,FALSE))</f>
        <v>40</v>
      </c>
      <c r="O380" s="14">
        <f ca="1">INDEX(レベル!$A$1:$I$21,MATCH(H380,レベル!$A$1:$A$21,FALSE),MATCH(G380,レベル!$A$1:$I$1,FALSE))</f>
        <v>80</v>
      </c>
      <c r="P380" s="63">
        <f t="shared" ca="1" si="42"/>
        <v>75</v>
      </c>
      <c r="Q380" s="77" t="str">
        <f ca="1">VLOOKUP($A380,OFFSET([2]characters!$A$1,0,0,COUNTA([2]characters!$A:$A),MATCH(Q$1,[2]characters!$1:$1,0)-MATCH($A$1,[2]characters!$1:$1,0)+1),MATCH(Q$1,[2]characters!$1:$1,0)-MATCH($A$1,[2]characters!$1:$1,0)+1,FALSE)</f>
        <v>balance</v>
      </c>
      <c r="R380" s="8" t="str">
        <f ca="1">VLOOKUP(Q380,[2]character_type_i18n!$A:$H,3,FALSE)</f>
        <v>バランスタイプ</v>
      </c>
      <c r="S380" s="14">
        <f ca="1">VLOOKUP(Q380,[2]character_type_i18n!$A:$H,4,FALSE)</f>
        <v>1</v>
      </c>
      <c r="T380" s="14">
        <f ca="1">VLOOKUP(Q380,[2]character_type_i18n!$A:$H,5,FALSE)</f>
        <v>1</v>
      </c>
      <c r="U380" s="14">
        <f ca="1">VLOOKUP(Q380,[2]character_type_i18n!$A:$H,6,FALSE)</f>
        <v>1</v>
      </c>
      <c r="V380" s="14">
        <f ca="1">VLOOKUP(Q380,[2]character_type_i18n!$A:$H,7,FALSE)</f>
        <v>1</v>
      </c>
      <c r="W380" s="77" t="str">
        <f ca="1">VLOOKUP($A380,OFFSET([2]characters!$A$1,0,0,COUNTA([2]characters!$A:$A),MATCH(W$1,[2]characters!$1:$1,0)-MATCH($A$1,[2]characters!$1:$1,0)+1),MATCH(W$1,[2]characters!$1:$1,0)-MATCH($A$1,[2]characters!$1:$1,0)+1,FALSE)</f>
        <v>human</v>
      </c>
      <c r="X380" s="8" t="str">
        <f ca="1">VLOOKUP(W380,[2]character_tribe_i18n!$A:$H,3,FALSE)</f>
        <v>ヒューマン</v>
      </c>
      <c r="Y380" s="77" t="str">
        <f ca="1">VLOOKUP($A380,OFFSET([2]characters!$A$1,0,0,COUNTA([2]characters!$A:$A),MATCH(Y$1,[2]characters!$1:$1,0)-MATCH($A$1,[2]characters!$1:$1,0)+1),MATCH(Y$1,[2]characters!$1:$1,0)-MATCH($A$1,[2]characters!$1:$1,0)+1,FALSE)</f>
        <v>none</v>
      </c>
      <c r="Z380" s="8" t="str">
        <f ca="1">VLOOKUP(Y380,[2]character_tribe_i18n!$A:$H,3,FALSE)</f>
        <v>種族なし</v>
      </c>
      <c r="AA380" s="14">
        <f ca="1">VLOOKUP(W380,[2]character_tribe_i18n!$A:$H,4,FALSE)</f>
        <v>0.94</v>
      </c>
      <c r="AB380" s="14">
        <f ca="1">VLOOKUP(W380,[2]character_tribe_i18n!$A:$H,5,FALSE)</f>
        <v>0.99</v>
      </c>
      <c r="AC380" s="14">
        <f ca="1">VLOOKUP(W380,[2]character_tribe_i18n!$A:$H,6,FALSE)</f>
        <v>1</v>
      </c>
      <c r="AD380" s="14">
        <f ca="1">VLOOKUP(W380,[2]character_tribe_i18n!$A:$H,7,FALSE)</f>
        <v>1.07</v>
      </c>
      <c r="AE380" s="12">
        <v>798</v>
      </c>
      <c r="AF380" s="85" t="str">
        <f ca="1">IF(AE380="NULL","",VLOOKUP($AE380,OFFSET([2]characters!$A$1,0,0,COUNTA([2]characters!$A:$A),MATCH(AF$1,[2]characters!$1:$1,0)-MATCH($A$1,[2]characters!$1:$1,0)+1),MATCH(AF$1,[2]characters!$1:$1,0)-MATCH($A$1,[2]characters!$1:$1,0)+1,FALSE))</f>
        <v>煌式の大機刃 オイラー</v>
      </c>
      <c r="AG380" s="8">
        <f t="shared" ca="1" si="37"/>
        <v>378</v>
      </c>
      <c r="AH380" s="85" t="str">
        <f ca="1">VLOOKUP($AG380,OFFSET([2]characters!$A$1,0,0,COUNTA([2]characters!$A:$A),MATCH(AH$1,[2]characters!$1:$1,0)-MATCH($A$1,[2]characters!$1:$1,0)+1),MATCH(AH$1,[2]characters!$1:$1,0)-MATCH($A$1,[2]characters!$1:$1,0)+1,FALSE)</f>
        <v>オイラー</v>
      </c>
      <c r="AI380" s="14">
        <f ca="1">IF(AE380="NULL","NULL",VLOOKUP(G380,ビット!$A$2:$B$7,2))</f>
        <v>200000</v>
      </c>
      <c r="AJ380" s="9">
        <v>2</v>
      </c>
      <c r="AK380" s="10" t="str">
        <f t="shared" si="49"/>
        <v>普通</v>
      </c>
      <c r="AL380" s="14" t="str">
        <f ca="1">INDEX(経験値!$A$1:$I$20,MATCH(H380,経験値!$A$1:$A$20,FALSE),MATCH(G380,経験値!$A$1:$I$1,FALSE))</f>
        <v>required_exp_250</v>
      </c>
      <c r="AM380" s="11">
        <f ca="1">VLOOKUP(G380,経験値!$A$27:$B$31,2)</f>
        <v>6400</v>
      </c>
      <c r="AN380" s="21">
        <f ca="1">VLOOKUP(G380,ビット!$G$2:$H$7,2)</f>
        <v>900</v>
      </c>
      <c r="AO380" s="57"/>
      <c r="AP380" s="101">
        <v>514006</v>
      </c>
      <c r="AQ380" s="77" t="e">
        <f ca="1">VLOOKUP($AP380,OFFSET([1]unit_skills!$A$1,0,0,COUNTA([1]unit_skills!$A:$A),MATCH("name",[1]unit_skills!$1:$1,0)-MATCH($AP$1,[1]unit_skills!$1:$1,0)+1),MATCH("name",[1]unit_skills!$1:$1,0)-MATCH($AP$1,[1]unit_skills!$1:$1,0)+1,FALSE)</f>
        <v>#VALUE!</v>
      </c>
      <c r="AR380" s="77" t="e">
        <f ca="1">VLOOKUP($AP380,OFFSET([1]unit_skills!$A$1,0,0,COUNTA([1]unit_skills!$A:$A),MATCH("comment",[1]unit_skills!$1:$1,0)-MATCH($AP$1,[1]unit_skills!$1:$1,0)+1),MATCH("comment",[1]unit_skills!$1:$1,0)-MATCH($AP$1,[1]unit_skills!$1:$1,0)+1,FALSE)</f>
        <v>#VALUE!</v>
      </c>
      <c r="AS380" s="77" t="e">
        <f ca="1">VLOOKUP($AP380,OFFSET([1]unit_skills!$A$1,0,0,COUNTA([1]unit_skills!$A:$A),MATCH(AS$1,[1]unit_skills!$1:$1,0)-MATCH($AP$1,[1]unit_skills!$1:$1,0)+1),MATCH(AS$1,[1]unit_skills!$1:$1,0)-MATCH($AP$1,[1]unit_skills!$1:$1,0)+1,FALSE)</f>
        <v>#VALUE!</v>
      </c>
      <c r="AT380" s="97">
        <v>122013</v>
      </c>
      <c r="AU380" s="77" t="e">
        <f ca="1">VLOOKUP($AT380,OFFSET([1]crash_skills!$A$1,0,0,COUNTA([1]crash_skills!$A:$A),MATCH("name",[1]crash_skills!$1:$1,0)-MATCH($AT$1,[1]crash_skills!$1:$1,0)+1),MATCH("name",[1]crash_skills!$1:$1,0)-MATCH($AT$1,[1]crash_skills!$1:$1,0)+1,FALSE)</f>
        <v>#VALUE!</v>
      </c>
      <c r="AV380" s="77" t="e">
        <f ca="1">VLOOKUP($AT380,OFFSET([1]crash_skills!$A$1,0,0,COUNTA([1]crash_skills!$A:$A),MATCH("comment",[1]crash_skills!$1:$1,0)-MATCH($AT$1,[1]crash_skills!$1:$1,0)+1),MATCH("comment",[1]crash_skills!$1:$1,0)-MATCH($AT$1,[1]crash_skills!$1:$1,0)+1,FALSE)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80" s="77" t="e">
        <f ca="1">VLOOKUP($AT380,OFFSET([1]crash_skills!$A$1,0,0,COUNTA([1]crash_skills!$A:$A),MATCH(AW$1,[1]crash_skills!$1:$1,0)-MATCH($AT$1,[1]crash_skills!$1:$1,0)+1),MATCH(AW$1,[1]crash_skills!$1:$1,0)-MATCH($AT$1,[1]crash_skills!$1:$1,0)+1,FALSE)</f>
        <v>#VALUE!</v>
      </c>
      <c r="AX380" s="81">
        <f ca="1">VLOOKUP($A380,OFFSET([2]characters!$A$1,0,0,COUNTA([2]characters!$A:$A),MATCH(AX$1,[2]characters!$1:$1,0)-MATCH($A$1,[2]characters!$1:$1,0)+1),MATCH(AX$1,[2]characters!$1:$1,0)-MATCH($A$1,[2]characters!$1:$1,0)+1,FALSE)</f>
        <v>3</v>
      </c>
      <c r="AY380" s="19">
        <v>1.1000000000000001</v>
      </c>
      <c r="AZ380" s="19">
        <v>1.22</v>
      </c>
      <c r="BA380" s="19">
        <v>0</v>
      </c>
      <c r="BB380" s="19">
        <v>1.2</v>
      </c>
      <c r="BC380" s="14">
        <f ca="1">INDEX('RC6SV'!$A$1:$G$20,MATCH(H380,'RC6SV'!$A$1:$A$20,FALSE),MATCH(G380,'RC6SV'!$A$1:$G$1,FALSE))</f>
        <v>10000</v>
      </c>
      <c r="BD380" s="63">
        <f t="shared" ca="1" si="50"/>
        <v>10000</v>
      </c>
      <c r="BE380" s="14">
        <f t="shared" ca="1" si="40"/>
        <v>8000</v>
      </c>
      <c r="BF380" s="14">
        <f t="shared" ca="1" si="41"/>
        <v>1</v>
      </c>
      <c r="BG380" s="20">
        <f ca="1">IF($BE380&lt;=0,ROUND(BK380*0.5,0), ROUND($BE380*S380*AA380*J380*AY380*0.8*[2]ステータス!$B$2,0))</f>
        <v>3375</v>
      </c>
      <c r="BH380" s="20">
        <f ca="1">IF($BE380&lt;=0,ROUND(BL380*0.5,0), ROUND($BE380*T380*AB380*K380*AZ380*0.8*[2]ステータス!$C$2,0))</f>
        <v>2273</v>
      </c>
      <c r="BI380" s="20">
        <f ca="1">IF($BE380&lt;=0,ROUND(BM380*0.5,0), ROUND($BE380*U380*AC380*L380*BA380*0.8*[2]ステータス!$D$2,0))</f>
        <v>0</v>
      </c>
      <c r="BJ380" s="20">
        <f ca="1">IF($BE380&lt;=0,ROUND(BN380*0.5,0), ROUND($BE380*V380*AD380*M380*BB380*0.8*[2]ステータス!$E$2,0))</f>
        <v>2054</v>
      </c>
      <c r="BK380" s="14">
        <f ca="1">ROUND(BD380*S380*AA380*J380*AY380*[2]ステータス!$B$2,0)</f>
        <v>5273</v>
      </c>
      <c r="BL380" s="14">
        <f ca="1">ROUND(BD380*T380*AB380*K380*AZ380*[2]ステータス!$C$2,0)</f>
        <v>3551</v>
      </c>
      <c r="BM380" s="14">
        <f ca="1">ROUND(BD380*U380*AC380*L380*BA380*[2]ステータス!$D$2,0)</f>
        <v>0</v>
      </c>
      <c r="BN380" s="14">
        <f ca="1">ROUND(BD380*V380*AD380*M380*BB380*[2]ステータス!$E$2,0)</f>
        <v>3210</v>
      </c>
      <c r="BO380" s="13">
        <v>0</v>
      </c>
      <c r="BP380" s="13">
        <v>1</v>
      </c>
      <c r="BQ380" s="49" t="s">
        <v>102</v>
      </c>
      <c r="BR380" s="13">
        <f ca="1">VLOOKUP(H380,ghosts_label!$A$2:$B$19,2,FALSE)</f>
        <v>30000</v>
      </c>
    </row>
    <row r="381" spans="1:70" ht="21" customHeight="1" x14ac:dyDescent="0.15">
      <c r="A381" s="14">
        <f t="shared" ca="1" si="36"/>
        <v>380</v>
      </c>
      <c r="B381" s="77" t="str">
        <f ca="1">VLOOKUP($A381,OFFSET([2]characters!$A$1,0,0,COUNTA([2]characters!$A:$A),MATCH(B$1,[2]characters!$1:$1,0)-MATCH($A$1,[2]characters!$1:$1,0)+1),MATCH(B$1,[2]characters!$1:$1,0)-MATCH($A$1,[2]characters!$1:$1,0)+1,FALSE)</f>
        <v>バハムート</v>
      </c>
      <c r="C381" s="77" t="str">
        <f ca="1">VLOOKUP($A381,OFFSET([2]characters!$A$1,0,0,COUNTA([2]characters!$A:$A),MATCH(C$1,[2]characters!$1:$1,0)-MATCH($A$1,[2]characters!$1:$1,0)+1),MATCH(C$1,[2]characters!$1:$1,0)-MATCH($A$1,[2]characters!$1:$1,0)+1,FALSE)</f>
        <v>ガチャ:魔獣シリーズ01</v>
      </c>
      <c r="D381" s="77">
        <f ca="1">VLOOKUP($A381,OFFSET([2]characters!$A$1,0,0,COUNTA([2]characters!$A:$A),MATCH(D$1,[2]characters!$1:$1,0)-MATCH($A$1,[2]characters!$1:$1,0)+1),MATCH(D$1,[2]characters!$1:$1,0)-MATCH($A$1,[2]characters!$1:$1,0)+1,FALSE)</f>
        <v>0</v>
      </c>
      <c r="E381" s="77">
        <f ca="1">VLOOKUP($A381,OFFSET([2]characters!$A$1,0,0,COUNTA([2]characters!$A:$A),MATCH(E$1,[2]characters!$1:$1,0)-MATCH($A$1,[2]characters!$1:$1,0)+1),MATCH(E$1,[2]characters!$1:$1,0)-MATCH($A$1,[2]characters!$1:$1,0)+1,FALSE)</f>
        <v>0</v>
      </c>
      <c r="F381" s="77" t="str">
        <f ca="1">VLOOKUP($A381,OFFSET([2]characters!$A$1,0,0,COUNTA([2]characters!$A:$A),MATCH(F$1,[2]characters!$1:$1,0)-MATCH($A$1,[2]characters!$1:$1,0)+1),MATCH(F$1,[2]characters!$1:$1,0)-MATCH($A$1,[2]characters!$1:$1,0)+1,FALSE)</f>
        <v>女性</v>
      </c>
      <c r="G381" s="77">
        <f ca="1">VLOOKUP($A381,OFFSET([2]characters!$A$1,0,0,COUNTA([2]characters!$A:$A),MATCH(G$1,[2]characters!$1:$1,0)-MATCH($A$1,[2]characters!$1:$1,0)+1),MATCH(G$1,[2]characters!$1:$1,0)-MATCH($A$1,[2]characters!$1:$1,0)+1,FALSE)</f>
        <v>3</v>
      </c>
      <c r="H381" s="77" t="str">
        <f ca="1">VLOOKUP($A381,OFFSET([2]characters!$A$1,0,0,COUNTA([2]characters!$A:$A),MATCH(H$1,[2]characters!$1:$1,0)-MATCH($A$1,[2]characters!$1:$1,0)+1),MATCH(H$1,[2]characters!$1:$1,0)-MATCH($A$1,[2]characters!$1:$1,0)+1,FALSE)</f>
        <v>PremiumS</v>
      </c>
      <c r="I381" s="77" t="str">
        <f ca="1">VLOOKUP($A381,OFFSET([2]characters!$A$1,0,0,COUNTA([2]characters!$A:$A),MATCH(I$1,[2]characters!$1:$1,0)-MATCH($A$1,[2]characters!$1:$1,0)+1),MATCH(I$1,[2]characters!$1:$1,0)-MATCH($A$1,[2]characters!$1:$1,0)+1,FALSE)</f>
        <v>red</v>
      </c>
      <c r="J381" s="14">
        <f ca="1">VLOOKUP(I381,[2]属性!$A:$E,2,FALSE)</f>
        <v>1</v>
      </c>
      <c r="K381" s="14">
        <f ca="1">VLOOKUP(I381,[2]属性!$A:$E,3,FALSE)</f>
        <v>1.02</v>
      </c>
      <c r="L381" s="14">
        <f ca="1">VLOOKUP(I381,[2]属性!$A:$E,4,FALSE)</f>
        <v>1</v>
      </c>
      <c r="M381" s="14">
        <f ca="1">VLOOKUP(I381,[2]属性!$A:$E,5,FALSE)</f>
        <v>0.98</v>
      </c>
      <c r="N381" s="14">
        <f ca="1">INDEX(コスト!$A$1:$I$20,MATCH(H381,コスト!$A$1:$A$20,FALSE),MATCH(G381,コスト!$A$1:$I$1,FALSE))</f>
        <v>10</v>
      </c>
      <c r="O381" s="14">
        <f ca="1">INDEX(レベル!$A$1:$I$21,MATCH(H381,レベル!$A$1:$A$21,FALSE),MATCH(G381,レベル!$A$1:$I$1,FALSE))</f>
        <v>40</v>
      </c>
      <c r="P381" s="63">
        <f t="shared" ca="1" si="42"/>
        <v>45</v>
      </c>
      <c r="Q381" s="77" t="str">
        <f ca="1">VLOOKUP($A381,OFFSET([2]characters!$A$1,0,0,COUNTA([2]characters!$A:$A),MATCH(Q$1,[2]characters!$1:$1,0)-MATCH($A$1,[2]characters!$1:$1,0)+1),MATCH(Q$1,[2]characters!$1:$1,0)-MATCH($A$1,[2]characters!$1:$1,0)+1,FALSE)</f>
        <v>technical</v>
      </c>
      <c r="R381" s="8" t="str">
        <f ca="1">VLOOKUP(Q381,[2]character_type_i18n!$A:$H,3,FALSE)</f>
        <v>テクニカルタイプ</v>
      </c>
      <c r="S381" s="14">
        <f ca="1">VLOOKUP(Q381,[2]character_type_i18n!$A:$H,4,FALSE)</f>
        <v>0.9</v>
      </c>
      <c r="T381" s="14">
        <f ca="1">VLOOKUP(Q381,[2]character_type_i18n!$A:$H,5,FALSE)</f>
        <v>0.9</v>
      </c>
      <c r="U381" s="14">
        <f ca="1">VLOOKUP(Q381,[2]character_type_i18n!$A:$H,6,FALSE)</f>
        <v>1</v>
      </c>
      <c r="V381" s="14">
        <f ca="1">VLOOKUP(Q381,[2]character_type_i18n!$A:$H,7,FALSE)</f>
        <v>0.9</v>
      </c>
      <c r="W381" s="77" t="str">
        <f ca="1">VLOOKUP($A381,OFFSET([2]characters!$A$1,0,0,COUNTA([2]characters!$A:$A),MATCH(W$1,[2]characters!$1:$1,0)-MATCH($A$1,[2]characters!$1:$1,0)+1),MATCH(W$1,[2]characters!$1:$1,0)-MATCH($A$1,[2]characters!$1:$1,0)+1,FALSE)</f>
        <v>dragon</v>
      </c>
      <c r="X381" s="8" t="str">
        <f ca="1">VLOOKUP(W381,[2]character_tribe_i18n!$A:$H,3,FALSE)</f>
        <v>ドラゴン</v>
      </c>
      <c r="Y381" s="77" t="str">
        <f ca="1">VLOOKUP($A381,OFFSET([2]characters!$A$1,0,0,COUNTA([2]characters!$A:$A),MATCH(Y$1,[2]characters!$1:$1,0)-MATCH($A$1,[2]characters!$1:$1,0)+1),MATCH(Y$1,[2]characters!$1:$1,0)-MATCH($A$1,[2]characters!$1:$1,0)+1,FALSE)</f>
        <v>none</v>
      </c>
      <c r="Z381" s="8" t="str">
        <f ca="1">VLOOKUP(Y381,[2]character_tribe_i18n!$A:$H,3,FALSE)</f>
        <v>種族なし</v>
      </c>
      <c r="AA381" s="14">
        <f ca="1">VLOOKUP(W381,[2]character_tribe_i18n!$A:$H,4,FALSE)</f>
        <v>1.1499999999999999</v>
      </c>
      <c r="AB381" s="14">
        <f ca="1">VLOOKUP(W381,[2]character_tribe_i18n!$A:$H,5,FALSE)</f>
        <v>1.1000000000000001</v>
      </c>
      <c r="AC381" s="14">
        <f ca="1">VLOOKUP(W381,[2]character_tribe_i18n!$A:$H,6,FALSE)</f>
        <v>1</v>
      </c>
      <c r="AD381" s="14">
        <f ca="1">VLOOKUP(W381,[2]character_tribe_i18n!$A:$H,7,FALSE)</f>
        <v>0.75</v>
      </c>
      <c r="AE381" s="12">
        <v>381</v>
      </c>
      <c r="AF381" s="85" t="str">
        <f ca="1">IF(AE381="NULL","",VLOOKUP($AE381,OFFSET([2]characters!$A$1,0,0,COUNTA([2]characters!$A:$A),MATCH(AF$1,[2]characters!$1:$1,0)-MATCH($A$1,[2]characters!$1:$1,0)+1),MATCH(AF$1,[2]characters!$1:$1,0)-MATCH($A$1,[2]characters!$1:$1,0)+1,FALSE))</f>
        <v>肉食の恋火 バハムート</v>
      </c>
      <c r="AG381" s="8">
        <f t="shared" ca="1" si="37"/>
        <v>380</v>
      </c>
      <c r="AH381" s="85" t="str">
        <f ca="1">VLOOKUP($AG381,OFFSET([2]characters!$A$1,0,0,COUNTA([2]characters!$A:$A),MATCH(AH$1,[2]characters!$1:$1,0)-MATCH($A$1,[2]characters!$1:$1,0)+1),MATCH(AH$1,[2]characters!$1:$1,0)-MATCH($A$1,[2]characters!$1:$1,0)+1,FALSE)</f>
        <v>バハムート</v>
      </c>
      <c r="AI381" s="14">
        <f ca="1">IF(AE381="NULL","NULL",VLOOKUP(G381,ビット!$A$2:$B$7,2))</f>
        <v>20000</v>
      </c>
      <c r="AJ381" s="9">
        <v>2</v>
      </c>
      <c r="AK381" s="10" t="str">
        <f t="shared" si="49"/>
        <v>普通</v>
      </c>
      <c r="AL381" s="14" t="str">
        <f ca="1">INDEX(経験値!$A$1:$I$20,MATCH(H381,経験値!$A$1:$A$20,FALSE),MATCH(G381,経験値!$A$1:$I$1,FALSE))</f>
        <v>required_exp_200</v>
      </c>
      <c r="AM381" s="11">
        <f ca="1">VLOOKUP(G381,経験値!$A$27:$B$31,2)</f>
        <v>1500</v>
      </c>
      <c r="AN381" s="21">
        <f ca="1">VLOOKUP(G381,ビット!$G$2:$H$7,2)</f>
        <v>300</v>
      </c>
      <c r="AO381" s="57"/>
      <c r="AP381" s="101">
        <v>550004</v>
      </c>
      <c r="AQ381" s="77" t="e">
        <f ca="1">VLOOKUP($AP381,OFFSET([1]unit_skills!$A$1,0,0,COUNTA([1]unit_skills!$A:$A),MATCH("name",[1]unit_skills!$1:$1,0)-MATCH($AP$1,[1]unit_skills!$1:$1,0)+1),MATCH("name",[1]unit_skills!$1:$1,0)-MATCH($AP$1,[1]unit_skills!$1:$1,0)+1,FALSE)</f>
        <v>#VALUE!</v>
      </c>
      <c r="AR381" s="77" t="e">
        <f ca="1">VLOOKUP($AP381,OFFSET([1]unit_skills!$A$1,0,0,COUNTA([1]unit_skills!$A:$A),MATCH("comment",[1]unit_skills!$1:$1,0)-MATCH($AP$1,[1]unit_skills!$1:$1,0)+1),MATCH("comment",[1]unit_skills!$1:$1,0)-MATCH($AP$1,[1]unit_skills!$1:$1,0)+1,FALSE)</f>
        <v>#VALUE!</v>
      </c>
      <c r="AS381" s="77" t="e">
        <f ca="1">VLOOKUP($AP381,OFFSET([1]unit_skills!$A$1,0,0,COUNTA([1]unit_skills!$A:$A),MATCH(AS$1,[1]unit_skills!$1:$1,0)-MATCH($AP$1,[1]unit_skills!$1:$1,0)+1),MATCH(AS$1,[1]unit_skills!$1:$1,0)-MATCH($AP$1,[1]unit_skills!$1:$1,0)+1,FALSE)</f>
        <v>#VALUE!</v>
      </c>
      <c r="AT381" s="158">
        <v>171109</v>
      </c>
      <c r="AU381" s="77" t="e">
        <f ca="1">VLOOKUP($AT381,OFFSET([1]crash_skills!$A$1,0,0,COUNTA([1]crash_skills!$A:$A),MATCH("name",[1]crash_skills!$1:$1,0)-MATCH($AT$1,[1]crash_skills!$1:$1,0)+1),MATCH("name",[1]crash_skills!$1:$1,0)-MATCH($AT$1,[1]crash_skills!$1:$1,0)+1,FALSE)</f>
        <v>#VALUE!</v>
      </c>
      <c r="AV381" s="77" t="e">
        <f ca="1">VLOOKUP($AT381,OFFSET([1]crash_skills!$A$1,0,0,COUNTA([1]crash_skills!$A:$A),MATCH("comment",[1]crash_skills!$1:$1,0)-MATCH($AT$1,[1]crash_skills!$1:$1,0)+1),MATCH("comment",[1]crash_skills!$1:$1,0)-MATCH($AT$1,[1]crash_skills!$1:$1,0)+1,FALSE)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81" s="77" t="e">
        <f ca="1">VLOOKUP($AT381,OFFSET([1]crash_skills!$A$1,0,0,COUNTA([1]crash_skills!$A:$A),MATCH(AW$1,[1]crash_skills!$1:$1,0)-MATCH($AT$1,[1]crash_skills!$1:$1,0)+1),MATCH(AW$1,[1]crash_skills!$1:$1,0)-MATCH($AT$1,[1]crash_skills!$1:$1,0)+1,FALSE)</f>
        <v>#VALUE!</v>
      </c>
      <c r="AX381" s="81">
        <f ca="1">VLOOKUP($A381,OFFSET([2]characters!$A$1,0,0,COUNTA([2]characters!$A:$A),MATCH(AX$1,[2]characters!$1:$1,0)-MATCH($A$1,[2]characters!$1:$1,0)+1),MATCH(AX$1,[2]characters!$1:$1,0)-MATCH($A$1,[2]characters!$1:$1,0)+1,FALSE)</f>
        <v>3</v>
      </c>
      <c r="AY381" s="139">
        <v>0.9</v>
      </c>
      <c r="AZ381" s="139">
        <v>1.1000000000000001</v>
      </c>
      <c r="BA381" s="139">
        <v>0</v>
      </c>
      <c r="BB381" s="139">
        <v>1</v>
      </c>
      <c r="BC381" s="14">
        <f ca="1">INDEX('RC6SV'!$A$1:$G$20,MATCH(H381,'RC6SV'!$A$1:$A$20,FALSE),MATCH(G381,'RC6SV'!$A$1:$G$1,FALSE))</f>
        <v>5000</v>
      </c>
      <c r="BD381" s="63">
        <f t="shared" ca="1" si="50"/>
        <v>5000</v>
      </c>
      <c r="BE381" s="14">
        <f t="shared" ca="1" si="40"/>
        <v>0</v>
      </c>
      <c r="BF381" s="14">
        <f t="shared" ca="1" si="41"/>
        <v>1</v>
      </c>
      <c r="BG381" s="20">
        <f ca="1">IF($BE381&lt;=0,ROUND(BK381*0.5,0), ROUND($BE381*S381*AA381*J381*AY381*0.8*[2]ステータス!$B$2,0))</f>
        <v>1165</v>
      </c>
      <c r="BH381" s="20">
        <f ca="1">IF($BE381&lt;=0,ROUND(BL381*0.5,0), ROUND($BE381*T381*AB381*K381*AZ381*0.8*[2]ステータス!$C$2,0))</f>
        <v>833</v>
      </c>
      <c r="BI381" s="20">
        <f ca="1">IF($BE381&lt;=0,ROUND(BM381*0.5,0), ROUND($BE381*U381*AC381*L381*BA381*0.8*[2]ステータス!$D$2,0))</f>
        <v>0</v>
      </c>
      <c r="BJ381" s="20">
        <f ca="1">IF($BE381&lt;=0,ROUND(BN381*0.5,0), ROUND($BE381*V381*AD381*M381*BB381*0.8*[2]ステータス!$E$2,0))</f>
        <v>414</v>
      </c>
      <c r="BK381" s="14">
        <f ca="1">ROUND(BD381*S381*AA381*J381*AY381*[2]ステータス!$B$2,0)</f>
        <v>2329</v>
      </c>
      <c r="BL381" s="14">
        <f ca="1">ROUND(BD381*T381*AB381*K381*AZ381*[2]ステータス!$C$2,0)</f>
        <v>1666</v>
      </c>
      <c r="BM381" s="14">
        <f ca="1">ROUND(BD381*U381*AC381*L381*BA381*[2]ステータス!$D$2,0)</f>
        <v>0</v>
      </c>
      <c r="BN381" s="14">
        <f ca="1">ROUND(BD381*V381*AD381*M381*BB381*[2]ステータス!$E$2,0)</f>
        <v>827</v>
      </c>
      <c r="BO381" s="13">
        <v>0</v>
      </c>
      <c r="BP381" s="13">
        <v>1</v>
      </c>
      <c r="BQ381" s="49" t="s">
        <v>102</v>
      </c>
      <c r="BR381" s="13">
        <f ca="1">VLOOKUP(H381,ghosts_label!$A$2:$B$19,2,FALSE)</f>
        <v>700</v>
      </c>
    </row>
    <row r="382" spans="1:70" ht="21" customHeight="1" x14ac:dyDescent="0.15">
      <c r="A382" s="14">
        <f t="shared" ca="1" si="36"/>
        <v>381</v>
      </c>
      <c r="B382" s="77" t="str">
        <f ca="1">VLOOKUP($A382,OFFSET([2]characters!$A$1,0,0,COUNTA([2]characters!$A:$A),MATCH(B$1,[2]characters!$1:$1,0)-MATCH($A$1,[2]characters!$1:$1,0)+1),MATCH(B$1,[2]characters!$1:$1,0)-MATCH($A$1,[2]characters!$1:$1,0)+1,FALSE)</f>
        <v>肉食の恋火 バハムート</v>
      </c>
      <c r="C382" s="77" t="str">
        <f ca="1">VLOOKUP($A382,OFFSET([2]characters!$A$1,0,0,COUNTA([2]characters!$A:$A),MATCH(C$1,[2]characters!$1:$1,0)-MATCH($A$1,[2]characters!$1:$1,0)+1),MATCH(C$1,[2]characters!$1:$1,0)-MATCH($A$1,[2]characters!$1:$1,0)+1,FALSE)</f>
        <v>ガチャ:魔獣シリーズ01</v>
      </c>
      <c r="D382" s="77" t="str">
        <f ca="1">VLOOKUP($A382,OFFSET([2]characters!$A$1,0,0,COUNTA([2]characters!$A:$A),MATCH(D$1,[2]characters!$1:$1,0)-MATCH($A$1,[2]characters!$1:$1,0)+1),MATCH(D$1,[2]characters!$1:$1,0)-MATCH($A$1,[2]characters!$1:$1,0)+1,FALSE)</f>
        <v>守護者</v>
      </c>
      <c r="E382" s="77" t="str">
        <f ca="1">VLOOKUP($A382,OFFSET([2]characters!$A$1,0,0,COUNTA([2]characters!$A:$A),MATCH(E$1,[2]characters!$1:$1,0)-MATCH($A$1,[2]characters!$1:$1,0)+1),MATCH(E$1,[2]characters!$1:$1,0)-MATCH($A$1,[2]characters!$1:$1,0)+1,FALSE)</f>
        <v>美しい</v>
      </c>
      <c r="F382" s="77" t="str">
        <f ca="1">VLOOKUP($A382,OFFSET([2]characters!$A$1,0,0,COUNTA([2]characters!$A:$A),MATCH(F$1,[2]characters!$1:$1,0)-MATCH($A$1,[2]characters!$1:$1,0)+1),MATCH(F$1,[2]characters!$1:$1,0)-MATCH($A$1,[2]characters!$1:$1,0)+1,FALSE)</f>
        <v>女性</v>
      </c>
      <c r="G382" s="77">
        <f ca="1">VLOOKUP($A382,OFFSET([2]characters!$A$1,0,0,COUNTA([2]characters!$A:$A),MATCH(G$1,[2]characters!$1:$1,0)-MATCH($A$1,[2]characters!$1:$1,0)+1),MATCH(G$1,[2]characters!$1:$1,0)-MATCH($A$1,[2]characters!$1:$1,0)+1,FALSE)</f>
        <v>4</v>
      </c>
      <c r="H382" s="77" t="str">
        <f ca="1">VLOOKUP($A382,OFFSET([2]characters!$A$1,0,0,COUNTA([2]characters!$A:$A),MATCH(H$1,[2]characters!$1:$1,0)-MATCH($A$1,[2]characters!$1:$1,0)+1),MATCH(H$1,[2]characters!$1:$1,0)-MATCH($A$1,[2]characters!$1:$1,0)+1,FALSE)</f>
        <v>PremiumS</v>
      </c>
      <c r="I382" s="77" t="str">
        <f ca="1">VLOOKUP($A382,OFFSET([2]characters!$A$1,0,0,COUNTA([2]characters!$A:$A),MATCH(I$1,[2]characters!$1:$1,0)-MATCH($A$1,[2]characters!$1:$1,0)+1),MATCH(I$1,[2]characters!$1:$1,0)-MATCH($A$1,[2]characters!$1:$1,0)+1,FALSE)</f>
        <v>red</v>
      </c>
      <c r="J382" s="14">
        <f ca="1">VLOOKUP(I382,[2]属性!$A:$E,2,FALSE)</f>
        <v>1</v>
      </c>
      <c r="K382" s="14">
        <f ca="1">VLOOKUP(I382,[2]属性!$A:$E,3,FALSE)</f>
        <v>1.02</v>
      </c>
      <c r="L382" s="14">
        <f ca="1">VLOOKUP(I382,[2]属性!$A:$E,4,FALSE)</f>
        <v>1</v>
      </c>
      <c r="M382" s="14">
        <f ca="1">VLOOKUP(I382,[2]属性!$A:$E,5,FALSE)</f>
        <v>0.98</v>
      </c>
      <c r="N382" s="14">
        <f ca="1">INDEX(コスト!$A$1:$I$20,MATCH(H382,コスト!$A$1:$A$20,FALSE),MATCH(G382,コスト!$A$1:$I$1,FALSE))</f>
        <v>20</v>
      </c>
      <c r="O382" s="14">
        <f ca="1">INDEX(レベル!$A$1:$I$21,MATCH(H382,レベル!$A$1:$A$21,FALSE),MATCH(G382,レベル!$A$1:$I$1,FALSE))</f>
        <v>60</v>
      </c>
      <c r="P382" s="63">
        <f t="shared" ca="1" si="42"/>
        <v>60</v>
      </c>
      <c r="Q382" s="77" t="str">
        <f ca="1">VLOOKUP($A382,OFFSET([2]characters!$A$1,0,0,COUNTA([2]characters!$A:$A),MATCH(Q$1,[2]characters!$1:$1,0)-MATCH($A$1,[2]characters!$1:$1,0)+1),MATCH(Q$1,[2]characters!$1:$1,0)-MATCH($A$1,[2]characters!$1:$1,0)+1,FALSE)</f>
        <v>technical</v>
      </c>
      <c r="R382" s="8" t="str">
        <f ca="1">VLOOKUP(Q382,[2]character_type_i18n!$A:$H,3,FALSE)</f>
        <v>テクニカルタイプ</v>
      </c>
      <c r="S382" s="14">
        <f ca="1">VLOOKUP(Q382,[2]character_type_i18n!$A:$H,4,FALSE)</f>
        <v>0.9</v>
      </c>
      <c r="T382" s="14">
        <f ca="1">VLOOKUP(Q382,[2]character_type_i18n!$A:$H,5,FALSE)</f>
        <v>0.9</v>
      </c>
      <c r="U382" s="14">
        <f ca="1">VLOOKUP(Q382,[2]character_type_i18n!$A:$H,6,FALSE)</f>
        <v>1</v>
      </c>
      <c r="V382" s="14">
        <f ca="1">VLOOKUP(Q382,[2]character_type_i18n!$A:$H,7,FALSE)</f>
        <v>0.9</v>
      </c>
      <c r="W382" s="77" t="str">
        <f ca="1">VLOOKUP($A382,OFFSET([2]characters!$A$1,0,0,COUNTA([2]characters!$A:$A),MATCH(W$1,[2]characters!$1:$1,0)-MATCH($A$1,[2]characters!$1:$1,0)+1),MATCH(W$1,[2]characters!$1:$1,0)-MATCH($A$1,[2]characters!$1:$1,0)+1,FALSE)</f>
        <v>dragon</v>
      </c>
      <c r="X382" s="8" t="str">
        <f ca="1">VLOOKUP(W382,[2]character_tribe_i18n!$A:$H,3,FALSE)</f>
        <v>ドラゴン</v>
      </c>
      <c r="Y382" s="77" t="str">
        <f ca="1">VLOOKUP($A382,OFFSET([2]characters!$A$1,0,0,COUNTA([2]characters!$A:$A),MATCH(Y$1,[2]characters!$1:$1,0)-MATCH($A$1,[2]characters!$1:$1,0)+1),MATCH(Y$1,[2]characters!$1:$1,0)-MATCH($A$1,[2]characters!$1:$1,0)+1,FALSE)</f>
        <v>none</v>
      </c>
      <c r="Z382" s="8" t="str">
        <f ca="1">VLOOKUP(Y382,[2]character_tribe_i18n!$A:$H,3,FALSE)</f>
        <v>種族なし</v>
      </c>
      <c r="AA382" s="14">
        <f ca="1">VLOOKUP(W382,[2]character_tribe_i18n!$A:$H,4,FALSE)</f>
        <v>1.1499999999999999</v>
      </c>
      <c r="AB382" s="14">
        <f ca="1">VLOOKUP(W382,[2]character_tribe_i18n!$A:$H,5,FALSE)</f>
        <v>1.1000000000000001</v>
      </c>
      <c r="AC382" s="14">
        <f ca="1">VLOOKUP(W382,[2]character_tribe_i18n!$A:$H,6,FALSE)</f>
        <v>1</v>
      </c>
      <c r="AD382" s="14">
        <f ca="1">VLOOKUP(W382,[2]character_tribe_i18n!$A:$H,7,FALSE)</f>
        <v>0.75</v>
      </c>
      <c r="AE382" s="12">
        <v>382</v>
      </c>
      <c r="AF382" s="85" t="str">
        <f ca="1">IF(AE382="NULL","",VLOOKUP($AE382,OFFSET([2]characters!$A$1,0,0,COUNTA([2]characters!$A:$A),MATCH(AF$1,[2]characters!$1:$1,0)-MATCH($A$1,[2]characters!$1:$1,0)+1),MATCH(AF$1,[2]characters!$1:$1,0)-MATCH($A$1,[2]characters!$1:$1,0)+1,FALSE))</f>
        <v>激情の愛炎 バハムート</v>
      </c>
      <c r="AG382" s="8">
        <f t="shared" ca="1" si="37"/>
        <v>380</v>
      </c>
      <c r="AH382" s="85" t="str">
        <f ca="1">VLOOKUP($AG382,OFFSET([2]characters!$A$1,0,0,COUNTA([2]characters!$A:$A),MATCH(AH$1,[2]characters!$1:$1,0)-MATCH($A$1,[2]characters!$1:$1,0)+1),MATCH(AH$1,[2]characters!$1:$1,0)-MATCH($A$1,[2]characters!$1:$1,0)+1,FALSE)</f>
        <v>バハムート</v>
      </c>
      <c r="AI382" s="14">
        <f ca="1">IF(AE382="NULL","NULL",VLOOKUP(G382,ビット!$A$2:$B$7,2))</f>
        <v>50000</v>
      </c>
      <c r="AJ382" s="9">
        <v>2</v>
      </c>
      <c r="AK382" s="10" t="str">
        <f t="shared" si="49"/>
        <v>普通</v>
      </c>
      <c r="AL382" s="14" t="str">
        <f ca="1">INDEX(経験値!$A$1:$I$20,MATCH(H382,経験値!$A$1:$A$20,FALSE),MATCH(G382,経験値!$A$1:$I$1,FALSE))</f>
        <v>required_exp_200</v>
      </c>
      <c r="AM382" s="11">
        <f ca="1">VLOOKUP(G382,経験値!$A$27:$B$31,2)</f>
        <v>3400</v>
      </c>
      <c r="AN382" s="21">
        <f ca="1">VLOOKUP(G382,ビット!$G$2:$H$7,2)</f>
        <v>600</v>
      </c>
      <c r="AO382" s="57"/>
      <c r="AP382" s="101">
        <v>550004</v>
      </c>
      <c r="AQ382" s="77" t="e">
        <f ca="1">VLOOKUP($AP382,OFFSET([1]unit_skills!$A$1,0,0,COUNTA([1]unit_skills!$A:$A),MATCH("name",[1]unit_skills!$1:$1,0)-MATCH($AP$1,[1]unit_skills!$1:$1,0)+1),MATCH("name",[1]unit_skills!$1:$1,0)-MATCH($AP$1,[1]unit_skills!$1:$1,0)+1,FALSE)</f>
        <v>#VALUE!</v>
      </c>
      <c r="AR382" s="77" t="e">
        <f ca="1">VLOOKUP($AP382,OFFSET([1]unit_skills!$A$1,0,0,COUNTA([1]unit_skills!$A:$A),MATCH("comment",[1]unit_skills!$1:$1,0)-MATCH($AP$1,[1]unit_skills!$1:$1,0)+1),MATCH("comment",[1]unit_skills!$1:$1,0)-MATCH($AP$1,[1]unit_skills!$1:$1,0)+1,FALSE)</f>
        <v>#VALUE!</v>
      </c>
      <c r="AS382" s="77" t="e">
        <f ca="1">VLOOKUP($AP382,OFFSET([1]unit_skills!$A$1,0,0,COUNTA([1]unit_skills!$A:$A),MATCH(AS$1,[1]unit_skills!$1:$1,0)-MATCH($AP$1,[1]unit_skills!$1:$1,0)+1),MATCH(AS$1,[1]unit_skills!$1:$1,0)-MATCH($AP$1,[1]unit_skills!$1:$1,0)+1,FALSE)</f>
        <v>#VALUE!</v>
      </c>
      <c r="AT382" s="158">
        <v>171109</v>
      </c>
      <c r="AU382" s="77" t="e">
        <f ca="1">VLOOKUP($AT382,OFFSET([1]crash_skills!$A$1,0,0,COUNTA([1]crash_skills!$A:$A),MATCH("name",[1]crash_skills!$1:$1,0)-MATCH($AT$1,[1]crash_skills!$1:$1,0)+1),MATCH("name",[1]crash_skills!$1:$1,0)-MATCH($AT$1,[1]crash_skills!$1:$1,0)+1,FALSE)</f>
        <v>#VALUE!</v>
      </c>
      <c r="AV382" s="77" t="e">
        <f ca="1">VLOOKUP($AT382,OFFSET([1]crash_skills!$A$1,0,0,COUNTA([1]crash_skills!$A:$A),MATCH("comment",[1]crash_skills!$1:$1,0)-MATCH($AT$1,[1]crash_skills!$1:$1,0)+1),MATCH("comment",[1]crash_skills!$1:$1,0)-MATCH($AT$1,[1]crash_skills!$1:$1,0)+1,FALSE)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82" s="77" t="e">
        <f ca="1">VLOOKUP($AT382,OFFSET([1]crash_skills!$A$1,0,0,COUNTA([1]crash_skills!$A:$A),MATCH(AW$1,[1]crash_skills!$1:$1,0)-MATCH($AT$1,[1]crash_skills!$1:$1,0)+1),MATCH(AW$1,[1]crash_skills!$1:$1,0)-MATCH($AT$1,[1]crash_skills!$1:$1,0)+1,FALSE)</f>
        <v>#VALUE!</v>
      </c>
      <c r="AX382" s="81">
        <f ca="1">VLOOKUP($A382,OFFSET([2]characters!$A$1,0,0,COUNTA([2]characters!$A:$A),MATCH(AX$1,[2]characters!$1:$1,0)-MATCH($A$1,[2]characters!$1:$1,0)+1),MATCH(AX$1,[2]characters!$1:$1,0)-MATCH($A$1,[2]characters!$1:$1,0)+1,FALSE)</f>
        <v>3</v>
      </c>
      <c r="AY382" s="139">
        <v>0.9</v>
      </c>
      <c r="AZ382" s="139">
        <v>1.1000000000000001</v>
      </c>
      <c r="BA382" s="139">
        <v>0</v>
      </c>
      <c r="BB382" s="139">
        <v>1</v>
      </c>
      <c r="BC382" s="14">
        <f ca="1">INDEX('RC6SV'!$A$1:$G$20,MATCH(H382,'RC6SV'!$A$1:$A$20,FALSE),MATCH(G382,'RC6SV'!$A$1:$G$1,FALSE))</f>
        <v>7000</v>
      </c>
      <c r="BD382" s="63">
        <f t="shared" ca="1" si="50"/>
        <v>7000</v>
      </c>
      <c r="BE382" s="14">
        <f t="shared" ca="1" si="40"/>
        <v>5000</v>
      </c>
      <c r="BF382" s="14">
        <f t="shared" ca="1" si="41"/>
        <v>1</v>
      </c>
      <c r="BG382" s="20">
        <f ca="1">IF($BE382&lt;=0,ROUND(BK382*0.5,0), ROUND($BE382*S382*AA382*J382*AY382*0.8*[2]ステータス!$B$2,0))</f>
        <v>1863</v>
      </c>
      <c r="BH382" s="20">
        <f ca="1">IF($BE382&lt;=0,ROUND(BL382*0.5,0), ROUND($BE382*T382*AB382*K382*AZ382*0.8*[2]ステータス!$C$2,0))</f>
        <v>1333</v>
      </c>
      <c r="BI382" s="20">
        <f ca="1">IF($BE382&lt;=0,ROUND(BM382*0.5,0), ROUND($BE382*U382*AC382*L382*BA382*0.8*[2]ステータス!$D$2,0))</f>
        <v>0</v>
      </c>
      <c r="BJ382" s="20">
        <f ca="1">IF($BE382&lt;=0,ROUND(BN382*0.5,0), ROUND($BE382*V382*AD382*M382*BB382*0.8*[2]ステータス!$E$2,0))</f>
        <v>662</v>
      </c>
      <c r="BK382" s="14">
        <f ca="1">ROUND(BD382*S382*AA382*J382*AY382*[2]ステータス!$B$2,0)</f>
        <v>3260</v>
      </c>
      <c r="BL382" s="14">
        <f ca="1">ROUND(BD382*T382*AB382*K382*AZ382*[2]ステータス!$C$2,0)</f>
        <v>2333</v>
      </c>
      <c r="BM382" s="14">
        <f ca="1">ROUND(BD382*U382*AC382*L382*BA382*[2]ステータス!$D$2,0)</f>
        <v>0</v>
      </c>
      <c r="BN382" s="14">
        <f ca="1">ROUND(BD382*V382*AD382*M382*BB382*[2]ステータス!$E$2,0)</f>
        <v>1158</v>
      </c>
      <c r="BO382" s="13">
        <v>0</v>
      </c>
      <c r="BP382" s="13">
        <v>1</v>
      </c>
      <c r="BQ382" s="49" t="s">
        <v>102</v>
      </c>
      <c r="BR382" s="13">
        <f ca="1">VLOOKUP(H382,ghosts_label!$A$2:$B$19,2,FALSE)</f>
        <v>700</v>
      </c>
    </row>
    <row r="383" spans="1:70" ht="21" customHeight="1" x14ac:dyDescent="0.15">
      <c r="A383" s="14">
        <f t="shared" ca="1" si="36"/>
        <v>382</v>
      </c>
      <c r="B383" s="77" t="str">
        <f ca="1">VLOOKUP($A383,OFFSET([2]characters!$A$1,0,0,COUNTA([2]characters!$A:$A),MATCH(B$1,[2]characters!$1:$1,0)-MATCH($A$1,[2]characters!$1:$1,0)+1),MATCH(B$1,[2]characters!$1:$1,0)-MATCH($A$1,[2]characters!$1:$1,0)+1,FALSE)</f>
        <v>激情の愛炎 バハムート</v>
      </c>
      <c r="C383" s="77" t="str">
        <f ca="1">VLOOKUP($A383,OFFSET([2]characters!$A$1,0,0,COUNTA([2]characters!$A:$A),MATCH(C$1,[2]characters!$1:$1,0)-MATCH($A$1,[2]characters!$1:$1,0)+1),MATCH(C$1,[2]characters!$1:$1,0)-MATCH($A$1,[2]characters!$1:$1,0)+1,FALSE)</f>
        <v>ガチャ:魔獣シリーズ01</v>
      </c>
      <c r="D383" s="77" t="str">
        <f ca="1">VLOOKUP($A383,OFFSET([2]characters!$A$1,0,0,COUNTA([2]characters!$A:$A),MATCH(D$1,[2]characters!$1:$1,0)-MATCH($A$1,[2]characters!$1:$1,0)+1),MATCH(D$1,[2]characters!$1:$1,0)-MATCH($A$1,[2]characters!$1:$1,0)+1,FALSE)</f>
        <v>守護者</v>
      </c>
      <c r="E383" s="77" t="str">
        <f ca="1">VLOOKUP($A383,OFFSET([2]characters!$A$1,0,0,COUNTA([2]characters!$A:$A),MATCH(E$1,[2]characters!$1:$1,0)-MATCH($A$1,[2]characters!$1:$1,0)+1),MATCH(E$1,[2]characters!$1:$1,0)-MATCH($A$1,[2]characters!$1:$1,0)+1,FALSE)</f>
        <v>美しい</v>
      </c>
      <c r="F383" s="77" t="str">
        <f ca="1">VLOOKUP($A383,OFFSET([2]characters!$A$1,0,0,COUNTA([2]characters!$A:$A),MATCH(F$1,[2]characters!$1:$1,0)-MATCH($A$1,[2]characters!$1:$1,0)+1),MATCH(F$1,[2]characters!$1:$1,0)-MATCH($A$1,[2]characters!$1:$1,0)+1,FALSE)</f>
        <v>女性</v>
      </c>
      <c r="G383" s="77">
        <f ca="1">VLOOKUP($A383,OFFSET([2]characters!$A$1,0,0,COUNTA([2]characters!$A:$A),MATCH(G$1,[2]characters!$1:$1,0)-MATCH($A$1,[2]characters!$1:$1,0)+1),MATCH(G$1,[2]characters!$1:$1,0)-MATCH($A$1,[2]characters!$1:$1,0)+1,FALSE)</f>
        <v>5</v>
      </c>
      <c r="H383" s="77" t="str">
        <f ca="1">VLOOKUP($A383,OFFSET([2]characters!$A$1,0,0,COUNTA([2]characters!$A:$A),MATCH(H$1,[2]characters!$1:$1,0)-MATCH($A$1,[2]characters!$1:$1,0)+1),MATCH(H$1,[2]characters!$1:$1,0)-MATCH($A$1,[2]characters!$1:$1,0)+1,FALSE)</f>
        <v>PremiumS</v>
      </c>
      <c r="I383" s="77" t="str">
        <f ca="1">VLOOKUP($A383,OFFSET([2]characters!$A$1,0,0,COUNTA([2]characters!$A:$A),MATCH(I$1,[2]characters!$1:$1,0)-MATCH($A$1,[2]characters!$1:$1,0)+1),MATCH(I$1,[2]characters!$1:$1,0)-MATCH($A$1,[2]characters!$1:$1,0)+1,FALSE)</f>
        <v>red</v>
      </c>
      <c r="J383" s="14">
        <f ca="1">VLOOKUP(I383,[2]属性!$A:$E,2,FALSE)</f>
        <v>1</v>
      </c>
      <c r="K383" s="14">
        <f ca="1">VLOOKUP(I383,[2]属性!$A:$E,3,FALSE)</f>
        <v>1.02</v>
      </c>
      <c r="L383" s="14">
        <f ca="1">VLOOKUP(I383,[2]属性!$A:$E,4,FALSE)</f>
        <v>1</v>
      </c>
      <c r="M383" s="14">
        <f ca="1">VLOOKUP(I383,[2]属性!$A:$E,5,FALSE)</f>
        <v>0.98</v>
      </c>
      <c r="N383" s="14">
        <f ca="1">INDEX(コスト!$A$1:$I$20,MATCH(H383,コスト!$A$1:$A$20,FALSE),MATCH(G383,コスト!$A$1:$I$1,FALSE))</f>
        <v>30</v>
      </c>
      <c r="O383" s="14">
        <f ca="1">INDEX(レベル!$A$1:$I$21,MATCH(H383,レベル!$A$1:$A$21,FALSE),MATCH(G383,レベル!$A$1:$I$1,FALSE))</f>
        <v>80</v>
      </c>
      <c r="P383" s="63">
        <f t="shared" ca="1" si="42"/>
        <v>75</v>
      </c>
      <c r="Q383" s="77" t="str">
        <f ca="1">VLOOKUP($A383,OFFSET([2]characters!$A$1,0,0,COUNTA([2]characters!$A:$A),MATCH(Q$1,[2]characters!$1:$1,0)-MATCH($A$1,[2]characters!$1:$1,0)+1),MATCH(Q$1,[2]characters!$1:$1,0)-MATCH($A$1,[2]characters!$1:$1,0)+1,FALSE)</f>
        <v>technical</v>
      </c>
      <c r="R383" s="8" t="str">
        <f ca="1">VLOOKUP(Q383,[2]character_type_i18n!$A:$H,3,FALSE)</f>
        <v>テクニカルタイプ</v>
      </c>
      <c r="S383" s="14">
        <f ca="1">VLOOKUP(Q383,[2]character_type_i18n!$A:$H,4,FALSE)</f>
        <v>0.9</v>
      </c>
      <c r="T383" s="14">
        <f ca="1">VLOOKUP(Q383,[2]character_type_i18n!$A:$H,5,FALSE)</f>
        <v>0.9</v>
      </c>
      <c r="U383" s="14">
        <f ca="1">VLOOKUP(Q383,[2]character_type_i18n!$A:$H,6,FALSE)</f>
        <v>1</v>
      </c>
      <c r="V383" s="14">
        <f ca="1">VLOOKUP(Q383,[2]character_type_i18n!$A:$H,7,FALSE)</f>
        <v>0.9</v>
      </c>
      <c r="W383" s="77" t="str">
        <f ca="1">VLOOKUP($A383,OFFSET([2]characters!$A$1,0,0,COUNTA([2]characters!$A:$A),MATCH(W$1,[2]characters!$1:$1,0)-MATCH($A$1,[2]characters!$1:$1,0)+1),MATCH(W$1,[2]characters!$1:$1,0)-MATCH($A$1,[2]characters!$1:$1,0)+1,FALSE)</f>
        <v>dragon</v>
      </c>
      <c r="X383" s="8" t="str">
        <f ca="1">VLOOKUP(W383,[2]character_tribe_i18n!$A:$H,3,FALSE)</f>
        <v>ドラゴン</v>
      </c>
      <c r="Y383" s="77" t="str">
        <f ca="1">VLOOKUP($A383,OFFSET([2]characters!$A$1,0,0,COUNTA([2]characters!$A:$A),MATCH(Y$1,[2]characters!$1:$1,0)-MATCH($A$1,[2]characters!$1:$1,0)+1),MATCH(Y$1,[2]characters!$1:$1,0)-MATCH($A$1,[2]characters!$1:$1,0)+1,FALSE)</f>
        <v>none</v>
      </c>
      <c r="Z383" s="8" t="str">
        <f ca="1">VLOOKUP(Y383,[2]character_tribe_i18n!$A:$H,3,FALSE)</f>
        <v>種族なし</v>
      </c>
      <c r="AA383" s="14">
        <f ca="1">VLOOKUP(W383,[2]character_tribe_i18n!$A:$H,4,FALSE)</f>
        <v>1.1499999999999999</v>
      </c>
      <c r="AB383" s="14">
        <f ca="1">VLOOKUP(W383,[2]character_tribe_i18n!$A:$H,5,FALSE)</f>
        <v>1.1000000000000001</v>
      </c>
      <c r="AC383" s="14">
        <f ca="1">VLOOKUP(W383,[2]character_tribe_i18n!$A:$H,6,FALSE)</f>
        <v>1</v>
      </c>
      <c r="AD383" s="14">
        <f ca="1">VLOOKUP(W383,[2]character_tribe_i18n!$A:$H,7,FALSE)</f>
        <v>0.75</v>
      </c>
      <c r="AE383" s="12" t="s">
        <v>235</v>
      </c>
      <c r="AF383" s="85" t="str">
        <f ca="1">IF(AE383="NULL","",VLOOKUP($AE383,OFFSET([2]characters!$A$1,0,0,COUNTA([2]characters!$A:$A),MATCH(AF$1,[2]characters!$1:$1,0)-MATCH($A$1,[2]characters!$1:$1,0)+1),MATCH(AF$1,[2]characters!$1:$1,0)-MATCH($A$1,[2]characters!$1:$1,0)+1,FALSE))</f>
        <v/>
      </c>
      <c r="AG383" s="8">
        <f t="shared" ca="1" si="37"/>
        <v>380</v>
      </c>
      <c r="AH383" s="85" t="str">
        <f ca="1">VLOOKUP($AG383,OFFSET([2]characters!$A$1,0,0,COUNTA([2]characters!$A:$A),MATCH(AH$1,[2]characters!$1:$1,0)-MATCH($A$1,[2]characters!$1:$1,0)+1),MATCH(AH$1,[2]characters!$1:$1,0)-MATCH($A$1,[2]characters!$1:$1,0)+1,FALSE)</f>
        <v>バハムート</v>
      </c>
      <c r="AI383" s="14" t="str">
        <f>IF(AE383="NULL","NULL",VLOOKUP(G383,ビット!$A$2:$B$7,2))</f>
        <v>NULL</v>
      </c>
      <c r="AJ383" s="9">
        <v>2</v>
      </c>
      <c r="AK383" s="10" t="str">
        <f t="shared" si="49"/>
        <v>普通</v>
      </c>
      <c r="AL383" s="14" t="str">
        <f ca="1">INDEX(経験値!$A$1:$I$20,MATCH(H383,経験値!$A$1:$A$20,FALSE),MATCH(G383,経験値!$A$1:$I$1,FALSE))</f>
        <v>required_exp_200</v>
      </c>
      <c r="AM383" s="11">
        <f ca="1">VLOOKUP(G383,経験値!$A$27:$B$31,2)</f>
        <v>6400</v>
      </c>
      <c r="AN383" s="21">
        <f ca="1">VLOOKUP(G383,ビット!$G$2:$H$7,2)</f>
        <v>900</v>
      </c>
      <c r="AO383" s="57"/>
      <c r="AP383" s="101">
        <v>550004</v>
      </c>
      <c r="AQ383" s="77" t="e">
        <f ca="1">VLOOKUP($AP383,OFFSET([1]unit_skills!$A$1,0,0,COUNTA([1]unit_skills!$A:$A),MATCH("name",[1]unit_skills!$1:$1,0)-MATCH($AP$1,[1]unit_skills!$1:$1,0)+1),MATCH("name",[1]unit_skills!$1:$1,0)-MATCH($AP$1,[1]unit_skills!$1:$1,0)+1,FALSE)</f>
        <v>#VALUE!</v>
      </c>
      <c r="AR383" s="77" t="e">
        <f ca="1">VLOOKUP($AP383,OFFSET([1]unit_skills!$A$1,0,0,COUNTA([1]unit_skills!$A:$A),MATCH("comment",[1]unit_skills!$1:$1,0)-MATCH($AP$1,[1]unit_skills!$1:$1,0)+1),MATCH("comment",[1]unit_skills!$1:$1,0)-MATCH($AP$1,[1]unit_skills!$1:$1,0)+1,FALSE)</f>
        <v>#VALUE!</v>
      </c>
      <c r="AS383" s="77" t="e">
        <f ca="1">VLOOKUP($AP383,OFFSET([1]unit_skills!$A$1,0,0,COUNTA([1]unit_skills!$A:$A),MATCH(AS$1,[1]unit_skills!$1:$1,0)-MATCH($AP$1,[1]unit_skills!$1:$1,0)+1),MATCH(AS$1,[1]unit_skills!$1:$1,0)-MATCH($AP$1,[1]unit_skills!$1:$1,0)+1,FALSE)</f>
        <v>#VALUE!</v>
      </c>
      <c r="AT383" s="158">
        <v>171110</v>
      </c>
      <c r="AU383" s="77" t="e">
        <f ca="1">VLOOKUP($AT383,OFFSET([1]crash_skills!$A$1,0,0,COUNTA([1]crash_skills!$A:$A),MATCH("name",[1]crash_skills!$1:$1,0)-MATCH($AT$1,[1]crash_skills!$1:$1,0)+1),MATCH("name",[1]crash_skills!$1:$1,0)-MATCH($AT$1,[1]crash_skills!$1:$1,0)+1,FALSE)</f>
        <v>#VALUE!</v>
      </c>
      <c r="AV383" s="77" t="e">
        <f ca="1">VLOOKUP($AT383,OFFSET([1]crash_skills!$A$1,0,0,COUNTA([1]crash_skills!$A:$A),MATCH("comment",[1]crash_skills!$1:$1,0)-MATCH($AT$1,[1]crash_skills!$1:$1,0)+1),MATCH("comment",[1]crash_skills!$1:$1,0)-MATCH($AT$1,[1]crash_skills!$1:$1,0)+1,FALSE)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83" s="77" t="e">
        <f ca="1">VLOOKUP($AT383,OFFSET([1]crash_skills!$A$1,0,0,COUNTA([1]crash_skills!$A:$A),MATCH(AW$1,[1]crash_skills!$1:$1,0)-MATCH($AT$1,[1]crash_skills!$1:$1,0)+1),MATCH(AW$1,[1]crash_skills!$1:$1,0)-MATCH($AT$1,[1]crash_skills!$1:$1,0)+1,FALSE)</f>
        <v>#VALUE!</v>
      </c>
      <c r="AX383" s="81">
        <f ca="1">VLOOKUP($A383,OFFSET([2]characters!$A$1,0,0,COUNTA([2]characters!$A:$A),MATCH(AX$1,[2]characters!$1:$1,0)-MATCH($A$1,[2]characters!$1:$1,0)+1),MATCH(AX$1,[2]characters!$1:$1,0)-MATCH($A$1,[2]characters!$1:$1,0)+1,FALSE)</f>
        <v>3</v>
      </c>
      <c r="AY383" s="139">
        <v>0.9</v>
      </c>
      <c r="AZ383" s="139">
        <v>1.1000000000000001</v>
      </c>
      <c r="BA383" s="139">
        <v>0</v>
      </c>
      <c r="BB383" s="139">
        <v>1</v>
      </c>
      <c r="BC383" s="14">
        <f ca="1">INDEX('RC6SV'!$A$1:$G$20,MATCH(H383,'RC6SV'!$A$1:$A$20,FALSE),MATCH(G383,'RC6SV'!$A$1:$G$1,FALSE))</f>
        <v>9000</v>
      </c>
      <c r="BD383" s="63">
        <f t="shared" ca="1" si="50"/>
        <v>9000</v>
      </c>
      <c r="BE383" s="14">
        <f t="shared" ca="1" si="40"/>
        <v>7000</v>
      </c>
      <c r="BF383" s="14">
        <f t="shared" ca="1" si="41"/>
        <v>1</v>
      </c>
      <c r="BG383" s="20">
        <f ca="1">IF($BE383&lt;=0,ROUND(BK383*0.5,0), ROUND($BE383*S383*AA383*J383*AY383*0.8*[2]ステータス!$B$2,0))</f>
        <v>2608</v>
      </c>
      <c r="BH383" s="20">
        <f ca="1">IF($BE383&lt;=0,ROUND(BL383*0.5,0), ROUND($BE383*T383*AB383*K383*AZ383*0.8*[2]ステータス!$C$2,0))</f>
        <v>1866</v>
      </c>
      <c r="BI383" s="20">
        <f ca="1">IF($BE383&lt;=0,ROUND(BM383*0.5,0), ROUND($BE383*U383*AC383*L383*BA383*0.8*[2]ステータス!$D$2,0))</f>
        <v>0</v>
      </c>
      <c r="BJ383" s="20">
        <f ca="1">IF($BE383&lt;=0,ROUND(BN383*0.5,0), ROUND($BE383*V383*AD383*M383*BB383*0.8*[2]ステータス!$E$2,0))</f>
        <v>926</v>
      </c>
      <c r="BK383" s="14">
        <f ca="1">ROUND(BD383*S383*AA383*J383*AY383*[2]ステータス!$B$2,0)</f>
        <v>4192</v>
      </c>
      <c r="BL383" s="14">
        <f ca="1">ROUND(BD383*T383*AB383*K383*AZ383*[2]ステータス!$C$2,0)</f>
        <v>2999</v>
      </c>
      <c r="BM383" s="14">
        <f ca="1">ROUND(BD383*U383*AC383*L383*BA383*[2]ステータス!$D$2,0)</f>
        <v>0</v>
      </c>
      <c r="BN383" s="14">
        <f ca="1">ROUND(BD383*V383*AD383*M383*BB383*[2]ステータス!$E$2,0)</f>
        <v>1488</v>
      </c>
      <c r="BO383" s="13">
        <v>0</v>
      </c>
      <c r="BP383" s="13">
        <v>1</v>
      </c>
      <c r="BQ383" s="49" t="s">
        <v>102</v>
      </c>
      <c r="BR383" s="13">
        <f ca="1">VLOOKUP(H383,ghosts_label!$A$2:$B$19,2,FALSE)</f>
        <v>700</v>
      </c>
    </row>
    <row r="384" spans="1:70" ht="21" customHeight="1" x14ac:dyDescent="0.15">
      <c r="A384" s="14">
        <f t="shared" ca="1" si="36"/>
        <v>383</v>
      </c>
      <c r="B384" s="77" t="str">
        <f ca="1">VLOOKUP($A384,OFFSET([2]characters!$A$1,0,0,COUNTA([2]characters!$A:$A),MATCH(B$1,[2]characters!$1:$1,0)-MATCH($A$1,[2]characters!$1:$1,0)+1),MATCH(B$1,[2]characters!$1:$1,0)-MATCH($A$1,[2]characters!$1:$1,0)+1,FALSE)</f>
        <v>酒宴の蟒蛇 ヤマタノオロチ</v>
      </c>
      <c r="C384" s="77" t="str">
        <f ca="1">VLOOKUP($A384,OFFSET([2]characters!$A$1,0,0,COUNTA([2]characters!$A:$A),MATCH(C$1,[2]characters!$1:$1,0)-MATCH($A$1,[2]characters!$1:$1,0)+1),MATCH(C$1,[2]characters!$1:$1,0)-MATCH($A$1,[2]characters!$1:$1,0)+1,FALSE)</f>
        <v>ガチャ:魔獣シリーズ01</v>
      </c>
      <c r="D384" s="77" t="str">
        <f ca="1">VLOOKUP($A384,OFFSET([2]characters!$A$1,0,0,COUNTA([2]characters!$A:$A),MATCH(D$1,[2]characters!$1:$1,0)-MATCH($A$1,[2]characters!$1:$1,0)+1),MATCH(D$1,[2]characters!$1:$1,0)-MATCH($A$1,[2]characters!$1:$1,0)+1,FALSE)</f>
        <v>守護者</v>
      </c>
      <c r="E384" s="77" t="str">
        <f ca="1">VLOOKUP($A384,OFFSET([2]characters!$A$1,0,0,COUNTA([2]characters!$A:$A),MATCH(E$1,[2]characters!$1:$1,0)-MATCH($A$1,[2]characters!$1:$1,0)+1),MATCH(E$1,[2]characters!$1:$1,0)-MATCH($A$1,[2]characters!$1:$1,0)+1,FALSE)</f>
        <v>美しい</v>
      </c>
      <c r="F384" s="77" t="str">
        <f ca="1">VLOOKUP($A384,OFFSET([2]characters!$A$1,0,0,COUNTA([2]characters!$A:$A),MATCH(F$1,[2]characters!$1:$1,0)-MATCH($A$1,[2]characters!$1:$1,0)+1),MATCH(F$1,[2]characters!$1:$1,0)-MATCH($A$1,[2]characters!$1:$1,0)+1,FALSE)</f>
        <v>女性</v>
      </c>
      <c r="G384" s="77">
        <f ca="1">VLOOKUP($A384,OFFSET([2]characters!$A$1,0,0,COUNTA([2]characters!$A:$A),MATCH(G$1,[2]characters!$1:$1,0)-MATCH($A$1,[2]characters!$1:$1,0)+1),MATCH(G$1,[2]characters!$1:$1,0)-MATCH($A$1,[2]characters!$1:$1,0)+1,FALSE)</f>
        <v>4</v>
      </c>
      <c r="H384" s="77" t="str">
        <f ca="1">VLOOKUP($A384,OFFSET([2]characters!$A$1,0,0,COUNTA([2]characters!$A:$A),MATCH(H$1,[2]characters!$1:$1,0)-MATCH($A$1,[2]characters!$1:$1,0)+1),MATCH(H$1,[2]characters!$1:$1,0)-MATCH($A$1,[2]characters!$1:$1,0)+1,FALSE)</f>
        <v>PremiumSS</v>
      </c>
      <c r="I384" s="77" t="str">
        <f ca="1">VLOOKUP($A384,OFFSET([2]characters!$A$1,0,0,COUNTA([2]characters!$A:$A),MATCH(I$1,[2]characters!$1:$1,0)-MATCH($A$1,[2]characters!$1:$1,0)+1),MATCH(I$1,[2]characters!$1:$1,0)-MATCH($A$1,[2]characters!$1:$1,0)+1,FALSE)</f>
        <v>green</v>
      </c>
      <c r="J384" s="14">
        <f ca="1">VLOOKUP(I384,[2]属性!$A:$E,2,FALSE)</f>
        <v>1.02</v>
      </c>
      <c r="K384" s="14">
        <f ca="1">VLOOKUP(I384,[2]属性!$A:$E,3,FALSE)</f>
        <v>0.98</v>
      </c>
      <c r="L384" s="14">
        <f ca="1">VLOOKUP(I384,[2]属性!$A:$E,4,FALSE)</f>
        <v>1</v>
      </c>
      <c r="M384" s="14">
        <f ca="1">VLOOKUP(I384,[2]属性!$A:$E,5,FALSE)</f>
        <v>1</v>
      </c>
      <c r="N384" s="14">
        <f ca="1">INDEX(コスト!$A$1:$I$20,MATCH(H384,コスト!$A$1:$A$20,FALSE),MATCH(G384,コスト!$A$1:$I$1,FALSE))</f>
        <v>25</v>
      </c>
      <c r="O384" s="14">
        <f ca="1">INDEX(レベル!$A$1:$I$21,MATCH(H384,レベル!$A$1:$A$21,FALSE),MATCH(G384,レベル!$A$1:$I$1,FALSE))</f>
        <v>60</v>
      </c>
      <c r="P384" s="63">
        <f t="shared" ca="1" si="42"/>
        <v>60</v>
      </c>
      <c r="Q384" s="77" t="str">
        <f ca="1">VLOOKUP($A384,OFFSET([2]characters!$A$1,0,0,COUNTA([2]characters!$A:$A),MATCH(Q$1,[2]characters!$1:$1,0)-MATCH($A$1,[2]characters!$1:$1,0)+1),MATCH(Q$1,[2]characters!$1:$1,0)-MATCH($A$1,[2]characters!$1:$1,0)+1,FALSE)</f>
        <v>hp</v>
      </c>
      <c r="R384" s="8" t="str">
        <f ca="1">VLOOKUP(Q384,[2]character_type_i18n!$A:$H,3,FALSE)</f>
        <v>体力タイプ</v>
      </c>
      <c r="S384" s="14">
        <f ca="1">VLOOKUP(Q384,[2]character_type_i18n!$A:$H,4,FALSE)</f>
        <v>1.45</v>
      </c>
      <c r="T384" s="14">
        <f ca="1">VLOOKUP(Q384,[2]character_type_i18n!$A:$H,5,FALSE)</f>
        <v>0.85</v>
      </c>
      <c r="U384" s="14">
        <f ca="1">VLOOKUP(Q384,[2]character_type_i18n!$A:$H,6,FALSE)</f>
        <v>1</v>
      </c>
      <c r="V384" s="14">
        <f ca="1">VLOOKUP(Q384,[2]character_type_i18n!$A:$H,7,FALSE)</f>
        <v>0.7</v>
      </c>
      <c r="W384" s="77" t="str">
        <f ca="1">VLOOKUP($A384,OFFSET([2]characters!$A$1,0,0,COUNTA([2]characters!$A:$A),MATCH(W$1,[2]characters!$1:$1,0)-MATCH($A$1,[2]characters!$1:$1,0)+1),MATCH(W$1,[2]characters!$1:$1,0)-MATCH($A$1,[2]characters!$1:$1,0)+1,FALSE)</f>
        <v>dragon</v>
      </c>
      <c r="X384" s="8" t="str">
        <f ca="1">VLOOKUP(W384,[2]character_tribe_i18n!$A:$H,3,FALSE)</f>
        <v>ドラゴン</v>
      </c>
      <c r="Y384" s="77" t="str">
        <f ca="1">VLOOKUP($A384,OFFSET([2]characters!$A$1,0,0,COUNTA([2]characters!$A:$A),MATCH(Y$1,[2]characters!$1:$1,0)-MATCH($A$1,[2]characters!$1:$1,0)+1),MATCH(Y$1,[2]characters!$1:$1,0)-MATCH($A$1,[2]characters!$1:$1,0)+1,FALSE)</f>
        <v>none</v>
      </c>
      <c r="Z384" s="8" t="str">
        <f ca="1">VLOOKUP(Y384,[2]character_tribe_i18n!$A:$H,3,FALSE)</f>
        <v>種族なし</v>
      </c>
      <c r="AA384" s="14">
        <f ca="1">VLOOKUP(W384,[2]character_tribe_i18n!$A:$H,4,FALSE)</f>
        <v>1.1499999999999999</v>
      </c>
      <c r="AB384" s="14">
        <f ca="1">VLOOKUP(W384,[2]character_tribe_i18n!$A:$H,5,FALSE)</f>
        <v>1.1000000000000001</v>
      </c>
      <c r="AC384" s="14">
        <f ca="1">VLOOKUP(W384,[2]character_tribe_i18n!$A:$H,6,FALSE)</f>
        <v>1</v>
      </c>
      <c r="AD384" s="14">
        <f ca="1">VLOOKUP(W384,[2]character_tribe_i18n!$A:$H,7,FALSE)</f>
        <v>0.75</v>
      </c>
      <c r="AE384" s="12">
        <v>384</v>
      </c>
      <c r="AF384" s="85" t="str">
        <f ca="1">IF(AE384="NULL","",VLOOKUP($AE384,OFFSET([2]characters!$A$1,0,0,COUNTA([2]characters!$A:$A),MATCH(AF$1,[2]characters!$1:$1,0)-MATCH($A$1,[2]characters!$1:$1,0)+1),MATCH(AF$1,[2]characters!$1:$1,0)-MATCH($A$1,[2]characters!$1:$1,0)+1,FALSE))</f>
        <v>破国の呑龍 ヤマタノオロチ</v>
      </c>
      <c r="AG384" s="8">
        <f t="shared" ca="1" si="37"/>
        <v>383</v>
      </c>
      <c r="AH384" s="85" t="str">
        <f ca="1">VLOOKUP($AG384,OFFSET([2]characters!$A$1,0,0,COUNTA([2]characters!$A:$A),MATCH(AH$1,[2]characters!$1:$1,0)-MATCH($A$1,[2]characters!$1:$1,0)+1),MATCH(AH$1,[2]characters!$1:$1,0)-MATCH($A$1,[2]characters!$1:$1,0)+1,FALSE)</f>
        <v>酒宴の蟒蛇 ヤマタノオロチ</v>
      </c>
      <c r="AI384" s="14">
        <f ca="1">IF(AE384="NULL","NULL",VLOOKUP(G384,ビット!$A$2:$B$7,2))</f>
        <v>50000</v>
      </c>
      <c r="AJ384" s="9">
        <v>2</v>
      </c>
      <c r="AK384" s="10" t="str">
        <f t="shared" si="49"/>
        <v>普通</v>
      </c>
      <c r="AL384" s="14" t="str">
        <f ca="1">INDEX(経験値!$A$1:$I$20,MATCH(H384,経験値!$A$1:$A$20,FALSE),MATCH(G384,経験値!$A$1:$I$1,FALSE))</f>
        <v>required_exp_200</v>
      </c>
      <c r="AM384" s="11">
        <f ca="1">VLOOKUP(G384,経験値!$A$27:$B$31,2)</f>
        <v>3400</v>
      </c>
      <c r="AN384" s="21">
        <f ca="1">VLOOKUP(G384,ビット!$G$2:$H$7,2)</f>
        <v>600</v>
      </c>
      <c r="AO384" s="57"/>
      <c r="AP384" s="101">
        <v>530008</v>
      </c>
      <c r="AQ384" s="77" t="e">
        <f ca="1">VLOOKUP($AP384,OFFSET([1]unit_skills!$A$1,0,0,COUNTA([1]unit_skills!$A:$A),MATCH("name",[1]unit_skills!$1:$1,0)-MATCH($AP$1,[1]unit_skills!$1:$1,0)+1),MATCH("name",[1]unit_skills!$1:$1,0)-MATCH($AP$1,[1]unit_skills!$1:$1,0)+1,FALSE)</f>
        <v>#VALUE!</v>
      </c>
      <c r="AR384" s="77" t="e">
        <f ca="1">VLOOKUP($AP384,OFFSET([1]unit_skills!$A$1,0,0,COUNTA([1]unit_skills!$A:$A),MATCH("comment",[1]unit_skills!$1:$1,0)-MATCH($AP$1,[1]unit_skills!$1:$1,0)+1),MATCH("comment",[1]unit_skills!$1:$1,0)-MATCH($AP$1,[1]unit_skills!$1:$1,0)+1,FALSE)</f>
        <v>#VALUE!</v>
      </c>
      <c r="AS384" s="77" t="e">
        <f ca="1">VLOOKUP($AP384,OFFSET([1]unit_skills!$A$1,0,0,COUNTA([1]unit_skills!$A:$A),MATCH(AS$1,[1]unit_skills!$1:$1,0)-MATCH($AP$1,[1]unit_skills!$1:$1,0)+1),MATCH(AS$1,[1]unit_skills!$1:$1,0)-MATCH($AP$1,[1]unit_skills!$1:$1,0)+1,FALSE)</f>
        <v>#VALUE!</v>
      </c>
      <c r="AT384" s="53">
        <v>300019</v>
      </c>
      <c r="AU384" s="77" t="e">
        <f ca="1">VLOOKUP($AT384,OFFSET([1]crash_skills!$A$1,0,0,COUNTA([1]crash_skills!$A:$A),MATCH("name",[1]crash_skills!$1:$1,0)-MATCH($AT$1,[1]crash_skills!$1:$1,0)+1),MATCH("name",[1]crash_skills!$1:$1,0)-MATCH($AT$1,[1]crash_skills!$1:$1,0)+1,FALSE)</f>
        <v>#VALUE!</v>
      </c>
      <c r="AV384" s="77" t="e">
        <f ca="1">VLOOKUP($AT384,OFFSET([1]crash_skills!$A$1,0,0,COUNTA([1]crash_skills!$A:$A),MATCH("comment",[1]crash_skills!$1:$1,0)-MATCH($AT$1,[1]crash_skills!$1:$1,0)+1),MATCH("comment",[1]crash_skills!$1:$1,0)-MATCH($AT$1,[1]crash_skills!$1:$1,0)+1,FALSE)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84" s="77" t="e">
        <f ca="1">VLOOKUP($AT384,OFFSET([1]crash_skills!$A$1,0,0,COUNTA([1]crash_skills!$A:$A),MATCH(AW$1,[1]crash_skills!$1:$1,0)-MATCH($AT$1,[1]crash_skills!$1:$1,0)+1),MATCH(AW$1,[1]crash_skills!$1:$1,0)-MATCH($AT$1,[1]crash_skills!$1:$1,0)+1,FALSE)</f>
        <v>#VALUE!</v>
      </c>
      <c r="AX384" s="81">
        <f ca="1">VLOOKUP($A384,OFFSET([2]characters!$A$1,0,0,COUNTA([2]characters!$A:$A),MATCH(AX$1,[2]characters!$1:$1,0)-MATCH($A$1,[2]characters!$1:$1,0)+1),MATCH(AX$1,[2]characters!$1:$1,0)-MATCH($A$1,[2]characters!$1:$1,0)+1,FALSE)</f>
        <v>3</v>
      </c>
      <c r="AY384" s="139">
        <v>0.95</v>
      </c>
      <c r="AZ384" s="139">
        <v>1.05</v>
      </c>
      <c r="BA384" s="139">
        <v>0</v>
      </c>
      <c r="BB384" s="139">
        <v>1</v>
      </c>
      <c r="BC384" s="14">
        <f ca="1">INDEX('RC6SV'!$A$1:$G$20,MATCH(H384,'RC6SV'!$A$1:$A$20,FALSE),MATCH(G384,'RC6SV'!$A$1:$G$1,FALSE))</f>
        <v>7500</v>
      </c>
      <c r="BD384" s="63">
        <f t="shared" ca="1" si="50"/>
        <v>7500</v>
      </c>
      <c r="BE384" s="14">
        <f t="shared" ca="1" si="40"/>
        <v>0</v>
      </c>
      <c r="BF384" s="14">
        <f t="shared" ca="1" si="41"/>
        <v>1</v>
      </c>
      <c r="BG384" s="20">
        <f ca="1">IF($BE384&lt;=0,ROUND(BK384*0.5,0), ROUND($BE384*S384*AA384*J384*AY384*0.8*[2]ステータス!$B$2,0))</f>
        <v>3030</v>
      </c>
      <c r="BH384" s="20">
        <f ca="1">IF($BE384&lt;=0,ROUND(BL384*0.5,0), ROUND($BE384*T384*AB384*K384*AZ384*0.8*[2]ステータス!$C$2,0))</f>
        <v>1083</v>
      </c>
      <c r="BI384" s="20">
        <f ca="1">IF($BE384&lt;=0,ROUND(BM384*0.5,0), ROUND($BE384*U384*AC384*L384*BA384*0.8*[2]ステータス!$D$2,0))</f>
        <v>0</v>
      </c>
      <c r="BJ384" s="20">
        <f ca="1">IF($BE384&lt;=0,ROUND(BN384*0.5,0), ROUND($BE384*V384*AD384*M384*BB384*0.8*[2]ステータス!$E$2,0))</f>
        <v>492</v>
      </c>
      <c r="BK384" s="14">
        <f ca="1">ROUND(BD384*S384*AA384*J384*AY384*[2]ステータス!$B$2,0)</f>
        <v>6059</v>
      </c>
      <c r="BL384" s="14">
        <f ca="1">ROUND(BD384*T384*AB384*K384*AZ384*[2]ステータス!$C$2,0)</f>
        <v>2165</v>
      </c>
      <c r="BM384" s="14">
        <f ca="1">ROUND(BD384*U384*AC384*L384*BA384*[2]ステータス!$D$2,0)</f>
        <v>0</v>
      </c>
      <c r="BN384" s="14">
        <f ca="1">ROUND(BD384*V384*AD384*M384*BB384*[2]ステータス!$E$2,0)</f>
        <v>984</v>
      </c>
      <c r="BO384" s="13">
        <v>0</v>
      </c>
      <c r="BP384" s="13">
        <v>1</v>
      </c>
      <c r="BQ384" s="49" t="s">
        <v>102</v>
      </c>
      <c r="BR384" s="13">
        <f ca="1">VLOOKUP(H384,ghosts_label!$A$2:$B$19,2,FALSE)</f>
        <v>5500</v>
      </c>
    </row>
    <row r="385" spans="1:70" ht="21" customHeight="1" x14ac:dyDescent="0.15">
      <c r="A385" s="14">
        <f t="shared" ca="1" si="36"/>
        <v>384</v>
      </c>
      <c r="B385" s="77" t="str">
        <f ca="1">VLOOKUP($A385,OFFSET([2]characters!$A$1,0,0,COUNTA([2]characters!$A:$A),MATCH(B$1,[2]characters!$1:$1,0)-MATCH($A$1,[2]characters!$1:$1,0)+1),MATCH(B$1,[2]characters!$1:$1,0)-MATCH($A$1,[2]characters!$1:$1,0)+1,FALSE)</f>
        <v>破国の呑龍 ヤマタノオロチ</v>
      </c>
      <c r="C385" s="77" t="str">
        <f ca="1">VLOOKUP($A385,OFFSET([2]characters!$A$1,0,0,COUNTA([2]characters!$A:$A),MATCH(C$1,[2]characters!$1:$1,0)-MATCH($A$1,[2]characters!$1:$1,0)+1),MATCH(C$1,[2]characters!$1:$1,0)-MATCH($A$1,[2]characters!$1:$1,0)+1,FALSE)</f>
        <v>ガチャ:魔獣シリーズ01</v>
      </c>
      <c r="D385" s="77" t="str">
        <f ca="1">VLOOKUP($A385,OFFSET([2]characters!$A$1,0,0,COUNTA([2]characters!$A:$A),MATCH(D$1,[2]characters!$1:$1,0)-MATCH($A$1,[2]characters!$1:$1,0)+1),MATCH(D$1,[2]characters!$1:$1,0)-MATCH($A$1,[2]characters!$1:$1,0)+1,FALSE)</f>
        <v>守護者</v>
      </c>
      <c r="E385" s="77" t="str">
        <f ca="1">VLOOKUP($A385,OFFSET([2]characters!$A$1,0,0,COUNTA([2]characters!$A:$A),MATCH(E$1,[2]characters!$1:$1,0)-MATCH($A$1,[2]characters!$1:$1,0)+1),MATCH(E$1,[2]characters!$1:$1,0)-MATCH($A$1,[2]characters!$1:$1,0)+1,FALSE)</f>
        <v>美しい</v>
      </c>
      <c r="F385" s="77" t="str">
        <f ca="1">VLOOKUP($A385,OFFSET([2]characters!$A$1,0,0,COUNTA([2]characters!$A:$A),MATCH(F$1,[2]characters!$1:$1,0)-MATCH($A$1,[2]characters!$1:$1,0)+1),MATCH(F$1,[2]characters!$1:$1,0)-MATCH($A$1,[2]characters!$1:$1,0)+1,FALSE)</f>
        <v>女性</v>
      </c>
      <c r="G385" s="77">
        <f ca="1">VLOOKUP($A385,OFFSET([2]characters!$A$1,0,0,COUNTA([2]characters!$A:$A),MATCH(G$1,[2]characters!$1:$1,0)-MATCH($A$1,[2]characters!$1:$1,0)+1),MATCH(G$1,[2]characters!$1:$1,0)-MATCH($A$1,[2]characters!$1:$1,0)+1,FALSE)</f>
        <v>5</v>
      </c>
      <c r="H385" s="77" t="str">
        <f ca="1">VLOOKUP($A385,OFFSET([2]characters!$A$1,0,0,COUNTA([2]characters!$A:$A),MATCH(H$1,[2]characters!$1:$1,0)-MATCH($A$1,[2]characters!$1:$1,0)+1),MATCH(H$1,[2]characters!$1:$1,0)-MATCH($A$1,[2]characters!$1:$1,0)+1,FALSE)</f>
        <v>PremiumSS</v>
      </c>
      <c r="I385" s="77" t="str">
        <f ca="1">VLOOKUP($A385,OFFSET([2]characters!$A$1,0,0,COUNTA([2]characters!$A:$A),MATCH(I$1,[2]characters!$1:$1,0)-MATCH($A$1,[2]characters!$1:$1,0)+1),MATCH(I$1,[2]characters!$1:$1,0)-MATCH($A$1,[2]characters!$1:$1,0)+1,FALSE)</f>
        <v>green</v>
      </c>
      <c r="J385" s="14">
        <f ca="1">VLOOKUP(I385,[2]属性!$A:$E,2,FALSE)</f>
        <v>1.02</v>
      </c>
      <c r="K385" s="14">
        <f ca="1">VLOOKUP(I385,[2]属性!$A:$E,3,FALSE)</f>
        <v>0.98</v>
      </c>
      <c r="L385" s="14">
        <f ca="1">VLOOKUP(I385,[2]属性!$A:$E,4,FALSE)</f>
        <v>1</v>
      </c>
      <c r="M385" s="14">
        <f ca="1">VLOOKUP(I385,[2]属性!$A:$E,5,FALSE)</f>
        <v>1</v>
      </c>
      <c r="N385" s="14">
        <f ca="1">INDEX(コスト!$A$1:$I$20,MATCH(H385,コスト!$A$1:$A$20,FALSE),MATCH(G385,コスト!$A$1:$I$1,FALSE))</f>
        <v>35</v>
      </c>
      <c r="O385" s="14">
        <f ca="1">INDEX(レベル!$A$1:$I$21,MATCH(H385,レベル!$A$1:$A$21,FALSE),MATCH(G385,レベル!$A$1:$I$1,FALSE))</f>
        <v>80</v>
      </c>
      <c r="P385" s="63">
        <f t="shared" ca="1" si="42"/>
        <v>75</v>
      </c>
      <c r="Q385" s="77" t="str">
        <f ca="1">VLOOKUP($A385,OFFSET([2]characters!$A$1,0,0,COUNTA([2]characters!$A:$A),MATCH(Q$1,[2]characters!$1:$1,0)-MATCH($A$1,[2]characters!$1:$1,0)+1),MATCH(Q$1,[2]characters!$1:$1,0)-MATCH($A$1,[2]characters!$1:$1,0)+1,FALSE)</f>
        <v>hp</v>
      </c>
      <c r="R385" s="8" t="str">
        <f ca="1">VLOOKUP(Q385,[2]character_type_i18n!$A:$H,3,FALSE)</f>
        <v>体力タイプ</v>
      </c>
      <c r="S385" s="14">
        <f ca="1">VLOOKUP(Q385,[2]character_type_i18n!$A:$H,4,FALSE)</f>
        <v>1.45</v>
      </c>
      <c r="T385" s="14">
        <f ca="1">VLOOKUP(Q385,[2]character_type_i18n!$A:$H,5,FALSE)</f>
        <v>0.85</v>
      </c>
      <c r="U385" s="14">
        <f ca="1">VLOOKUP(Q385,[2]character_type_i18n!$A:$H,6,FALSE)</f>
        <v>1</v>
      </c>
      <c r="V385" s="14">
        <f ca="1">VLOOKUP(Q385,[2]character_type_i18n!$A:$H,7,FALSE)</f>
        <v>0.7</v>
      </c>
      <c r="W385" s="77" t="str">
        <f ca="1">VLOOKUP($A385,OFFSET([2]characters!$A$1,0,0,COUNTA([2]characters!$A:$A),MATCH(W$1,[2]characters!$1:$1,0)-MATCH($A$1,[2]characters!$1:$1,0)+1),MATCH(W$1,[2]characters!$1:$1,0)-MATCH($A$1,[2]characters!$1:$1,0)+1,FALSE)</f>
        <v>dragon</v>
      </c>
      <c r="X385" s="8" t="str">
        <f ca="1">VLOOKUP(W385,[2]character_tribe_i18n!$A:$H,3,FALSE)</f>
        <v>ドラゴン</v>
      </c>
      <c r="Y385" s="77" t="str">
        <f ca="1">VLOOKUP($A385,OFFSET([2]characters!$A$1,0,0,COUNTA([2]characters!$A:$A),MATCH(Y$1,[2]characters!$1:$1,0)-MATCH($A$1,[2]characters!$1:$1,0)+1),MATCH(Y$1,[2]characters!$1:$1,0)-MATCH($A$1,[2]characters!$1:$1,0)+1,FALSE)</f>
        <v>none</v>
      </c>
      <c r="Z385" s="8" t="str">
        <f ca="1">VLOOKUP(Y385,[2]character_tribe_i18n!$A:$H,3,FALSE)</f>
        <v>種族なし</v>
      </c>
      <c r="AA385" s="14">
        <f ca="1">VLOOKUP(W385,[2]character_tribe_i18n!$A:$H,4,FALSE)</f>
        <v>1.1499999999999999</v>
      </c>
      <c r="AB385" s="14">
        <f ca="1">VLOOKUP(W385,[2]character_tribe_i18n!$A:$H,5,FALSE)</f>
        <v>1.1000000000000001</v>
      </c>
      <c r="AC385" s="14">
        <f ca="1">VLOOKUP(W385,[2]character_tribe_i18n!$A:$H,6,FALSE)</f>
        <v>1</v>
      </c>
      <c r="AD385" s="14">
        <f ca="1">VLOOKUP(W385,[2]character_tribe_i18n!$A:$H,7,FALSE)</f>
        <v>0.75</v>
      </c>
      <c r="AE385" s="183" t="s">
        <v>102</v>
      </c>
      <c r="AF385" s="85" t="str">
        <f ca="1">IF(AE385="NULL","",VLOOKUP($AE385,OFFSET([2]characters!$A$1,0,0,COUNTA([2]characters!$A:$A),MATCH(AF$1,[2]characters!$1:$1,0)-MATCH($A$1,[2]characters!$1:$1,0)+1),MATCH(AF$1,[2]characters!$1:$1,0)-MATCH($A$1,[2]characters!$1:$1,0)+1,FALSE))</f>
        <v/>
      </c>
      <c r="AG385" s="8">
        <f t="shared" ca="1" si="37"/>
        <v>383</v>
      </c>
      <c r="AH385" s="85" t="str">
        <f ca="1">VLOOKUP($AG385,OFFSET([2]characters!$A$1,0,0,COUNTA([2]characters!$A:$A),MATCH(AH$1,[2]characters!$1:$1,0)-MATCH($A$1,[2]characters!$1:$1,0)+1),MATCH(AH$1,[2]characters!$1:$1,0)-MATCH($A$1,[2]characters!$1:$1,0)+1,FALSE)</f>
        <v>酒宴の蟒蛇 ヤマタノオロチ</v>
      </c>
      <c r="AI385" s="14" t="str">
        <f>IF(AE385="NULL","NULL",VLOOKUP(G385,ビット!$A$2:$B$7,2))</f>
        <v>NULL</v>
      </c>
      <c r="AJ385" s="9">
        <v>2</v>
      </c>
      <c r="AK385" s="10" t="str">
        <f t="shared" si="49"/>
        <v>普通</v>
      </c>
      <c r="AL385" s="14" t="str">
        <f ca="1">INDEX(経験値!$A$1:$I$20,MATCH(H385,経験値!$A$1:$A$20,FALSE),MATCH(G385,経験値!$A$1:$I$1,FALSE))</f>
        <v>required_exp_200</v>
      </c>
      <c r="AM385" s="11">
        <f ca="1">VLOOKUP(G385,経験値!$A$27:$B$31,2)</f>
        <v>6400</v>
      </c>
      <c r="AN385" s="21">
        <f ca="1">VLOOKUP(G385,ビット!$G$2:$H$7,2)</f>
        <v>900</v>
      </c>
      <c r="AO385" s="57"/>
      <c r="AP385" s="101">
        <v>530008</v>
      </c>
      <c r="AQ385" s="77" t="e">
        <f ca="1">VLOOKUP($AP385,OFFSET([1]unit_skills!$A$1,0,0,COUNTA([1]unit_skills!$A:$A),MATCH("name",[1]unit_skills!$1:$1,0)-MATCH($AP$1,[1]unit_skills!$1:$1,0)+1),MATCH("name",[1]unit_skills!$1:$1,0)-MATCH($AP$1,[1]unit_skills!$1:$1,0)+1,FALSE)</f>
        <v>#VALUE!</v>
      </c>
      <c r="AR385" s="77" t="e">
        <f ca="1">VLOOKUP($AP385,OFFSET([1]unit_skills!$A$1,0,0,COUNTA([1]unit_skills!$A:$A),MATCH("comment",[1]unit_skills!$1:$1,0)-MATCH($AP$1,[1]unit_skills!$1:$1,0)+1),MATCH("comment",[1]unit_skills!$1:$1,0)-MATCH($AP$1,[1]unit_skills!$1:$1,0)+1,FALSE)</f>
        <v>#VALUE!</v>
      </c>
      <c r="AS385" s="77" t="e">
        <f ca="1">VLOOKUP($AP385,OFFSET([1]unit_skills!$A$1,0,0,COUNTA([1]unit_skills!$A:$A),MATCH(AS$1,[1]unit_skills!$1:$1,0)-MATCH($AP$1,[1]unit_skills!$1:$1,0)+1),MATCH(AS$1,[1]unit_skills!$1:$1,0)-MATCH($AP$1,[1]unit_skills!$1:$1,0)+1,FALSE)</f>
        <v>#VALUE!</v>
      </c>
      <c r="AT385" s="53">
        <v>300020</v>
      </c>
      <c r="AU385" s="77" t="e">
        <f ca="1">VLOOKUP($AT385,OFFSET([1]crash_skills!$A$1,0,0,COUNTA([1]crash_skills!$A:$A),MATCH("name",[1]crash_skills!$1:$1,0)-MATCH($AT$1,[1]crash_skills!$1:$1,0)+1),MATCH("name",[1]crash_skills!$1:$1,0)-MATCH($AT$1,[1]crash_skills!$1:$1,0)+1,FALSE)</f>
        <v>#VALUE!</v>
      </c>
      <c r="AV385" s="77" t="e">
        <f ca="1">VLOOKUP($AT385,OFFSET([1]crash_skills!$A$1,0,0,COUNTA([1]crash_skills!$A:$A),MATCH("comment",[1]crash_skills!$1:$1,0)-MATCH($AT$1,[1]crash_skills!$1:$1,0)+1),MATCH("comment",[1]crash_skills!$1:$1,0)-MATCH($AT$1,[1]crash_skills!$1:$1,0)+1,FALSE)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85" s="77" t="e">
        <f ca="1">VLOOKUP($AT385,OFFSET([1]crash_skills!$A$1,0,0,COUNTA([1]crash_skills!$A:$A),MATCH(AW$1,[1]crash_skills!$1:$1,0)-MATCH($AT$1,[1]crash_skills!$1:$1,0)+1),MATCH(AW$1,[1]crash_skills!$1:$1,0)-MATCH($AT$1,[1]crash_skills!$1:$1,0)+1,FALSE)</f>
        <v>#VALUE!</v>
      </c>
      <c r="AX385" s="81">
        <f ca="1">VLOOKUP($A385,OFFSET([2]characters!$A$1,0,0,COUNTA([2]characters!$A:$A),MATCH(AX$1,[2]characters!$1:$1,0)-MATCH($A$1,[2]characters!$1:$1,0)+1),MATCH(AX$1,[2]characters!$1:$1,0)-MATCH($A$1,[2]characters!$1:$1,0)+1,FALSE)</f>
        <v>3</v>
      </c>
      <c r="AY385" s="139">
        <v>0.95</v>
      </c>
      <c r="AZ385" s="139">
        <v>1.05</v>
      </c>
      <c r="BA385" s="139">
        <v>0</v>
      </c>
      <c r="BB385" s="139">
        <v>1</v>
      </c>
      <c r="BC385" s="14">
        <f ca="1">INDEX('RC6SV'!$A$1:$G$20,MATCH(H385,'RC6SV'!$A$1:$A$20,FALSE),MATCH(G385,'RC6SV'!$A$1:$G$1,FALSE))</f>
        <v>9500</v>
      </c>
      <c r="BD385" s="63">
        <f t="shared" ca="1" si="50"/>
        <v>9500</v>
      </c>
      <c r="BE385" s="14">
        <f t="shared" ca="1" si="40"/>
        <v>7500</v>
      </c>
      <c r="BF385" s="14">
        <f t="shared" ca="1" si="41"/>
        <v>1</v>
      </c>
      <c r="BG385" s="20">
        <f ca="1">IF($BE385&lt;=0,ROUND(BK385*0.5,0), ROUND($BE385*S385*AA385*J385*AY385*0.8*[2]ステータス!$B$2,0))</f>
        <v>4847</v>
      </c>
      <c r="BH385" s="20">
        <f ca="1">IF($BE385&lt;=0,ROUND(BL385*0.5,0), ROUND($BE385*T385*AB385*K385*AZ385*0.8*[2]ステータス!$C$2,0))</f>
        <v>1732</v>
      </c>
      <c r="BI385" s="20">
        <f ca="1">IF($BE385&lt;=0,ROUND(BM385*0.5,0), ROUND($BE385*U385*AC385*L385*BA385*0.8*[2]ステータス!$D$2,0))</f>
        <v>0</v>
      </c>
      <c r="BJ385" s="20">
        <f ca="1">IF($BE385&lt;=0,ROUND(BN385*0.5,0), ROUND($BE385*V385*AD385*M385*BB385*0.8*[2]ステータス!$E$2,0))</f>
        <v>788</v>
      </c>
      <c r="BK385" s="14">
        <f ca="1">ROUND(BD385*S385*AA385*J385*AY385*[2]ステータス!$B$2,0)</f>
        <v>7675</v>
      </c>
      <c r="BL385" s="14">
        <f ca="1">ROUND(BD385*T385*AB385*K385*AZ385*[2]ステータス!$C$2,0)</f>
        <v>2742</v>
      </c>
      <c r="BM385" s="14">
        <f ca="1">ROUND(BD385*U385*AC385*L385*BA385*[2]ステータス!$D$2,0)</f>
        <v>0</v>
      </c>
      <c r="BN385" s="14">
        <f ca="1">ROUND(BD385*V385*AD385*M385*BB385*[2]ステータス!$E$2,0)</f>
        <v>1247</v>
      </c>
      <c r="BO385" s="13">
        <v>0</v>
      </c>
      <c r="BP385" s="13">
        <v>1</v>
      </c>
      <c r="BQ385" s="49" t="s">
        <v>102</v>
      </c>
      <c r="BR385" s="13">
        <f ca="1">VLOOKUP(H385,ghosts_label!$A$2:$B$19,2,FALSE)</f>
        <v>5500</v>
      </c>
    </row>
    <row r="386" spans="1:70" ht="21" customHeight="1" x14ac:dyDescent="0.15">
      <c r="A386" s="14">
        <f t="shared" ref="A386:A410" ca="1" si="51">INDIRECT(ADDRESS(ROW(),COLUMN(),1,TRUE,"[CharacterMasterData.xlsm]characters"))</f>
        <v>385</v>
      </c>
      <c r="B386" s="77" t="str">
        <f ca="1">VLOOKUP($A386,OFFSET([2]characters!$A$1,0,0,COUNTA([2]characters!$A:$A),MATCH(B$1,[2]characters!$1:$1,0)-MATCH($A$1,[2]characters!$1:$1,0)+1),MATCH(B$1,[2]characters!$1:$1,0)-MATCH($A$1,[2]characters!$1:$1,0)+1,FALSE)</f>
        <v>波烈の出奔 リヴァイアサン</v>
      </c>
      <c r="C386" s="77" t="str">
        <f ca="1">VLOOKUP($A386,OFFSET([2]characters!$A$1,0,0,COUNTA([2]characters!$A:$A),MATCH(C$1,[2]characters!$1:$1,0)-MATCH($A$1,[2]characters!$1:$1,0)+1),MATCH(C$1,[2]characters!$1:$1,0)-MATCH($A$1,[2]characters!$1:$1,0)+1,FALSE)</f>
        <v>ガチャ:魔獣シリーズ01</v>
      </c>
      <c r="D386" s="77" t="str">
        <f ca="1">VLOOKUP($A386,OFFSET([2]characters!$A$1,0,0,COUNTA([2]characters!$A:$A),MATCH(D$1,[2]characters!$1:$1,0)-MATCH($A$1,[2]characters!$1:$1,0)+1),MATCH(D$1,[2]characters!$1:$1,0)-MATCH($A$1,[2]characters!$1:$1,0)+1,FALSE)</f>
        <v>守護者</v>
      </c>
      <c r="E386" s="77" t="str">
        <f ca="1">VLOOKUP($A386,OFFSET([2]characters!$A$1,0,0,COUNTA([2]characters!$A:$A),MATCH(E$1,[2]characters!$1:$1,0)-MATCH($A$1,[2]characters!$1:$1,0)+1),MATCH(E$1,[2]characters!$1:$1,0)-MATCH($A$1,[2]characters!$1:$1,0)+1,FALSE)</f>
        <v>美しい</v>
      </c>
      <c r="F386" s="77" t="str">
        <f ca="1">VLOOKUP($A386,OFFSET([2]characters!$A$1,0,0,COUNTA([2]characters!$A:$A),MATCH(F$1,[2]characters!$1:$1,0)-MATCH($A$1,[2]characters!$1:$1,0)+1),MATCH(F$1,[2]characters!$1:$1,0)-MATCH($A$1,[2]characters!$1:$1,0)+1,FALSE)</f>
        <v>女性</v>
      </c>
      <c r="G386" s="77">
        <f ca="1">VLOOKUP($A386,OFFSET([2]characters!$A$1,0,0,COUNTA([2]characters!$A:$A),MATCH(G$1,[2]characters!$1:$1,0)-MATCH($A$1,[2]characters!$1:$1,0)+1),MATCH(G$1,[2]characters!$1:$1,0)-MATCH($A$1,[2]characters!$1:$1,0)+1,FALSE)</f>
        <v>4</v>
      </c>
      <c r="H386" s="77" t="str">
        <f ca="1">VLOOKUP($A386,OFFSET([2]characters!$A$1,0,0,COUNTA([2]characters!$A:$A),MATCH(H$1,[2]characters!$1:$1,0)-MATCH($A$1,[2]characters!$1:$1,0)+1),MATCH(H$1,[2]characters!$1:$1,0)-MATCH($A$1,[2]characters!$1:$1,0)+1,FALSE)</f>
        <v>PremiumSS</v>
      </c>
      <c r="I386" s="77" t="str">
        <f ca="1">VLOOKUP($A386,OFFSET([2]characters!$A$1,0,0,COUNTA([2]characters!$A:$A),MATCH(I$1,[2]characters!$1:$1,0)-MATCH($A$1,[2]characters!$1:$1,0)+1),MATCH(I$1,[2]characters!$1:$1,0)-MATCH($A$1,[2]characters!$1:$1,0)+1,FALSE)</f>
        <v>blue</v>
      </c>
      <c r="J386" s="14">
        <f ca="1">VLOOKUP(I386,[2]属性!$A:$E,2,FALSE)</f>
        <v>1</v>
      </c>
      <c r="K386" s="14">
        <f ca="1">VLOOKUP(I386,[2]属性!$A:$E,3,FALSE)</f>
        <v>0.98</v>
      </c>
      <c r="L386" s="14">
        <f ca="1">VLOOKUP(I386,[2]属性!$A:$E,4,FALSE)</f>
        <v>1</v>
      </c>
      <c r="M386" s="14">
        <f ca="1">VLOOKUP(I386,[2]属性!$A:$E,5,FALSE)</f>
        <v>1.02</v>
      </c>
      <c r="N386" s="14">
        <f ca="1">INDEX(コスト!$A$1:$I$20,MATCH(H386,コスト!$A$1:$A$20,FALSE),MATCH(G386,コスト!$A$1:$I$1,FALSE))</f>
        <v>25</v>
      </c>
      <c r="O386" s="14">
        <f ca="1">INDEX(レベル!$A$1:$I$21,MATCH(H386,レベル!$A$1:$A$21,FALSE),MATCH(G386,レベル!$A$1:$I$1,FALSE))</f>
        <v>60</v>
      </c>
      <c r="P386" s="63">
        <f t="shared" ca="1" si="42"/>
        <v>60</v>
      </c>
      <c r="Q386" s="77" t="str">
        <f ca="1">VLOOKUP($A386,OFFSET([2]characters!$A$1,0,0,COUNTA([2]characters!$A:$A),MATCH(Q$1,[2]characters!$1:$1,0)-MATCH($A$1,[2]characters!$1:$1,0)+1),MATCH(Q$1,[2]characters!$1:$1,0)-MATCH($A$1,[2]characters!$1:$1,0)+1,FALSE)</f>
        <v>balance</v>
      </c>
      <c r="R386" s="8" t="str">
        <f ca="1">VLOOKUP(Q386,[2]character_type_i18n!$A:$H,3,FALSE)</f>
        <v>バランスタイプ</v>
      </c>
      <c r="S386" s="14">
        <f ca="1">VLOOKUP(Q386,[2]character_type_i18n!$A:$H,4,FALSE)</f>
        <v>1</v>
      </c>
      <c r="T386" s="14">
        <f ca="1">VLOOKUP(Q386,[2]character_type_i18n!$A:$H,5,FALSE)</f>
        <v>1</v>
      </c>
      <c r="U386" s="14">
        <f ca="1">VLOOKUP(Q386,[2]character_type_i18n!$A:$H,6,FALSE)</f>
        <v>1</v>
      </c>
      <c r="V386" s="14">
        <f ca="1">VLOOKUP(Q386,[2]character_type_i18n!$A:$H,7,FALSE)</f>
        <v>1</v>
      </c>
      <c r="W386" s="77" t="str">
        <f ca="1">VLOOKUP($A386,OFFSET([2]characters!$A$1,0,0,COUNTA([2]characters!$A:$A),MATCH(W$1,[2]characters!$1:$1,0)-MATCH($A$1,[2]characters!$1:$1,0)+1),MATCH(W$1,[2]characters!$1:$1,0)-MATCH($A$1,[2]characters!$1:$1,0)+1,FALSE)</f>
        <v>dragon</v>
      </c>
      <c r="X386" s="8" t="str">
        <f ca="1">VLOOKUP(W386,[2]character_tribe_i18n!$A:$H,3,FALSE)</f>
        <v>ドラゴン</v>
      </c>
      <c r="Y386" s="77" t="str">
        <f ca="1">VLOOKUP($A386,OFFSET([2]characters!$A$1,0,0,COUNTA([2]characters!$A:$A),MATCH(Y$1,[2]characters!$1:$1,0)-MATCH($A$1,[2]characters!$1:$1,0)+1),MATCH(Y$1,[2]characters!$1:$1,0)-MATCH($A$1,[2]characters!$1:$1,0)+1,FALSE)</f>
        <v>none</v>
      </c>
      <c r="Z386" s="8" t="str">
        <f ca="1">VLOOKUP(Y386,[2]character_tribe_i18n!$A:$H,3,FALSE)</f>
        <v>種族なし</v>
      </c>
      <c r="AA386" s="14">
        <f ca="1">VLOOKUP(W386,[2]character_tribe_i18n!$A:$H,4,FALSE)</f>
        <v>1.1499999999999999</v>
      </c>
      <c r="AB386" s="14">
        <f ca="1">VLOOKUP(W386,[2]character_tribe_i18n!$A:$H,5,FALSE)</f>
        <v>1.1000000000000001</v>
      </c>
      <c r="AC386" s="14">
        <f ca="1">VLOOKUP(W386,[2]character_tribe_i18n!$A:$H,6,FALSE)</f>
        <v>1</v>
      </c>
      <c r="AD386" s="14">
        <f ca="1">VLOOKUP(W386,[2]character_tribe_i18n!$A:$H,7,FALSE)</f>
        <v>0.75</v>
      </c>
      <c r="AE386" s="12">
        <v>386</v>
      </c>
      <c r="AF386" s="85" t="str">
        <f ca="1">IF(AE386="NULL","",VLOOKUP($AE386,OFFSET([2]characters!$A$1,0,0,COUNTA([2]characters!$A:$A),MATCH(AF$1,[2]characters!$1:$1,0)-MATCH($A$1,[2]characters!$1:$1,0)+1),MATCH(AF$1,[2]characters!$1:$1,0)-MATCH($A$1,[2]characters!$1:$1,0)+1,FALSE))</f>
        <v>氾乱の海龍 リヴァイアサン</v>
      </c>
      <c r="AG386" s="8">
        <f t="shared" ref="AG386:AG438" ca="1" si="52">IF(ISNA(MATCH(A386,AE:AE,0)),A386,INDIRECT(ADDRESS(MATCH(A386,AE:AE,0),COLUMN())))</f>
        <v>385</v>
      </c>
      <c r="AH386" s="85" t="str">
        <f ca="1">VLOOKUP($AG386,OFFSET([2]characters!$A$1,0,0,COUNTA([2]characters!$A:$A),MATCH(AH$1,[2]characters!$1:$1,0)-MATCH($A$1,[2]characters!$1:$1,0)+1),MATCH(AH$1,[2]characters!$1:$1,0)-MATCH($A$1,[2]characters!$1:$1,0)+1,FALSE)</f>
        <v>波烈の出奔 リヴァイアサン</v>
      </c>
      <c r="AI386" s="14">
        <f ca="1">IF(AE386="NULL","NULL",VLOOKUP(G386,ビット!$A$2:$B$7,2))</f>
        <v>50000</v>
      </c>
      <c r="AJ386" s="9">
        <v>2</v>
      </c>
      <c r="AK386" s="10" t="str">
        <f t="shared" si="49"/>
        <v>普通</v>
      </c>
      <c r="AL386" s="14" t="str">
        <f ca="1">INDEX(経験値!$A$1:$I$20,MATCH(H386,経験値!$A$1:$A$20,FALSE),MATCH(G386,経験値!$A$1:$I$1,FALSE))</f>
        <v>required_exp_200</v>
      </c>
      <c r="AM386" s="11">
        <f ca="1">VLOOKUP(G386,経験値!$A$27:$B$31,2)</f>
        <v>3400</v>
      </c>
      <c r="AN386" s="21">
        <f ca="1">VLOOKUP(G386,ビット!$G$2:$H$7,2)</f>
        <v>600</v>
      </c>
      <c r="AO386" s="57"/>
      <c r="AP386" s="101">
        <v>540015</v>
      </c>
      <c r="AQ386" s="77" t="e">
        <f ca="1">VLOOKUP($AP386,OFFSET([1]unit_skills!$A$1,0,0,COUNTA([1]unit_skills!$A:$A),MATCH("name",[1]unit_skills!$1:$1,0)-MATCH($AP$1,[1]unit_skills!$1:$1,0)+1),MATCH("name",[1]unit_skills!$1:$1,0)-MATCH($AP$1,[1]unit_skills!$1:$1,0)+1,FALSE)</f>
        <v>#VALUE!</v>
      </c>
      <c r="AR386" s="77" t="e">
        <f ca="1">VLOOKUP($AP386,OFFSET([1]unit_skills!$A$1,0,0,COUNTA([1]unit_skills!$A:$A),MATCH("comment",[1]unit_skills!$1:$1,0)-MATCH($AP$1,[1]unit_skills!$1:$1,0)+1),MATCH("comment",[1]unit_skills!$1:$1,0)-MATCH($AP$1,[1]unit_skills!$1:$1,0)+1,FALSE)</f>
        <v>#VALUE!</v>
      </c>
      <c r="AS386" s="77" t="e">
        <f ca="1">VLOOKUP($AP386,OFFSET([1]unit_skills!$A$1,0,0,COUNTA([1]unit_skills!$A:$A),MATCH(AS$1,[1]unit_skills!$1:$1,0)-MATCH($AP$1,[1]unit_skills!$1:$1,0)+1),MATCH(AS$1,[1]unit_skills!$1:$1,0)-MATCH($AP$1,[1]unit_skills!$1:$1,0)+1,FALSE)</f>
        <v>#VALUE!</v>
      </c>
      <c r="AT386" s="53">
        <v>123013</v>
      </c>
      <c r="AU386" s="77" t="e">
        <f ca="1">VLOOKUP($AT386,OFFSET([1]crash_skills!$A$1,0,0,COUNTA([1]crash_skills!$A:$A),MATCH("name",[1]crash_skills!$1:$1,0)-MATCH($AT$1,[1]crash_skills!$1:$1,0)+1),MATCH("name",[1]crash_skills!$1:$1,0)-MATCH($AT$1,[1]crash_skills!$1:$1,0)+1,FALSE)</f>
        <v>#VALUE!</v>
      </c>
      <c r="AV386" s="77" t="e">
        <f ca="1">VLOOKUP($AT386,OFFSET([1]crash_skills!$A$1,0,0,COUNTA([1]crash_skills!$A:$A),MATCH("comment",[1]crash_skills!$1:$1,0)-MATCH($AT$1,[1]crash_skills!$1:$1,0)+1),MATCH("comment",[1]crash_skills!$1:$1,0)-MATCH($AT$1,[1]crash_skills!$1:$1,0)+1,FALSE)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86" s="77" t="e">
        <f ca="1">VLOOKUP($AT386,OFFSET([1]crash_skills!$A$1,0,0,COUNTA([1]crash_skills!$A:$A),MATCH(AW$1,[1]crash_skills!$1:$1,0)-MATCH($AT$1,[1]crash_skills!$1:$1,0)+1),MATCH(AW$1,[1]crash_skills!$1:$1,0)-MATCH($AT$1,[1]crash_skills!$1:$1,0)+1,FALSE)</f>
        <v>#VALUE!</v>
      </c>
      <c r="AX386" s="81">
        <f ca="1">VLOOKUP($A386,OFFSET([2]characters!$A$1,0,0,COUNTA([2]characters!$A:$A),MATCH(AX$1,[2]characters!$1:$1,0)-MATCH($A$1,[2]characters!$1:$1,0)+1),MATCH(AX$1,[2]characters!$1:$1,0)-MATCH($A$1,[2]characters!$1:$1,0)+1,FALSE)</f>
        <v>3</v>
      </c>
      <c r="AY386" s="139">
        <v>0.85</v>
      </c>
      <c r="AZ386" s="139">
        <v>1.25</v>
      </c>
      <c r="BA386" s="139">
        <v>0</v>
      </c>
      <c r="BB386" s="139">
        <v>1</v>
      </c>
      <c r="BC386" s="14">
        <f ca="1">INDEX('RC6SV'!$A$1:$G$20,MATCH(H386,'RC6SV'!$A$1:$A$20,FALSE),MATCH(G386,'RC6SV'!$A$1:$G$1,FALSE))</f>
        <v>7500</v>
      </c>
      <c r="BD386" s="63">
        <f t="shared" ca="1" si="50"/>
        <v>7500</v>
      </c>
      <c r="BE386" s="14">
        <f t="shared" ref="BE386:BE438" ca="1" si="53">ROUND(IFERROR(INDIRECT(ADDRESS(MATCH($A386,$AE:$AE,0),MATCH($BC$1,$1:$1,0))),0),0)</f>
        <v>0</v>
      </c>
      <c r="BF386" s="14">
        <f t="shared" ref="BF386:BF438" ca="1" si="54">ROUND(IFERROR(INDIRECT(ADDRESS(MATCH($A386,$AE:$AE,0),10)),INDIRECT(ADDRESS(MATCH($A386,$A:$A,0),10))),0)</f>
        <v>1</v>
      </c>
      <c r="BG386" s="20">
        <f ca="1">IF($BE386&lt;=0,ROUND(BK386*0.5,0), ROUND($BE386*S386*AA386*J386*AY386*0.8*[2]ステータス!$B$2,0))</f>
        <v>1833</v>
      </c>
      <c r="BH386" s="20">
        <f ca="1">IF($BE386&lt;=0,ROUND(BL386*0.5,0), ROUND($BE386*T386*AB386*K386*AZ386*0.8*[2]ステータス!$C$2,0))</f>
        <v>1516</v>
      </c>
      <c r="BI386" s="20">
        <f ca="1">IF($BE386&lt;=0,ROUND(BM386*0.5,0), ROUND($BE386*U386*AC386*L386*BA386*0.8*[2]ステータス!$D$2,0))</f>
        <v>0</v>
      </c>
      <c r="BJ386" s="20">
        <f ca="1">IF($BE386&lt;=0,ROUND(BN386*0.5,0), ROUND($BE386*V386*AD386*M386*BB386*0.8*[2]ステータス!$E$2,0))</f>
        <v>717</v>
      </c>
      <c r="BK386" s="14">
        <f ca="1">ROUND(BD386*S386*AA386*J386*AY386*[2]ステータス!$B$2,0)</f>
        <v>3666</v>
      </c>
      <c r="BL386" s="14">
        <f ca="1">ROUND(BD386*T386*AB386*K386*AZ386*[2]ステータス!$C$2,0)</f>
        <v>3032</v>
      </c>
      <c r="BM386" s="14">
        <f ca="1">ROUND(BD386*U386*AC386*L386*BA386*[2]ステータス!$D$2,0)</f>
        <v>0</v>
      </c>
      <c r="BN386" s="14">
        <f ca="1">ROUND(BD386*V386*AD386*M386*BB386*[2]ステータス!$E$2,0)</f>
        <v>1434</v>
      </c>
      <c r="BO386" s="13">
        <v>0</v>
      </c>
      <c r="BP386" s="13">
        <v>1</v>
      </c>
      <c r="BQ386" s="49" t="s">
        <v>102</v>
      </c>
      <c r="BR386" s="13">
        <f ca="1">VLOOKUP(H386,ghosts_label!$A$2:$B$19,2,FALSE)</f>
        <v>5500</v>
      </c>
    </row>
    <row r="387" spans="1:70" ht="21" customHeight="1" x14ac:dyDescent="0.15">
      <c r="A387" s="14">
        <f t="shared" ca="1" si="51"/>
        <v>386</v>
      </c>
      <c r="B387" s="77" t="str">
        <f ca="1">VLOOKUP($A387,OFFSET([2]characters!$A$1,0,0,COUNTA([2]characters!$A:$A),MATCH(B$1,[2]characters!$1:$1,0)-MATCH($A$1,[2]characters!$1:$1,0)+1),MATCH(B$1,[2]characters!$1:$1,0)-MATCH($A$1,[2]characters!$1:$1,0)+1,FALSE)</f>
        <v>氾乱の海龍 リヴァイアサン</v>
      </c>
      <c r="C387" s="77" t="str">
        <f ca="1">VLOOKUP($A387,OFFSET([2]characters!$A$1,0,0,COUNTA([2]characters!$A:$A),MATCH(C$1,[2]characters!$1:$1,0)-MATCH($A$1,[2]characters!$1:$1,0)+1),MATCH(C$1,[2]characters!$1:$1,0)-MATCH($A$1,[2]characters!$1:$1,0)+1,FALSE)</f>
        <v>ガチャ:魔獣シリーズ01</v>
      </c>
      <c r="D387" s="77" t="str">
        <f ca="1">VLOOKUP($A387,OFFSET([2]characters!$A$1,0,0,COUNTA([2]characters!$A:$A),MATCH(D$1,[2]characters!$1:$1,0)-MATCH($A$1,[2]characters!$1:$1,0)+1),MATCH(D$1,[2]characters!$1:$1,0)-MATCH($A$1,[2]characters!$1:$1,0)+1,FALSE)</f>
        <v>守護者</v>
      </c>
      <c r="E387" s="77" t="str">
        <f ca="1">VLOOKUP($A387,OFFSET([2]characters!$A$1,0,0,COUNTA([2]characters!$A:$A),MATCH(E$1,[2]characters!$1:$1,0)-MATCH($A$1,[2]characters!$1:$1,0)+1),MATCH(E$1,[2]characters!$1:$1,0)-MATCH($A$1,[2]characters!$1:$1,0)+1,FALSE)</f>
        <v>美しい</v>
      </c>
      <c r="F387" s="77" t="str">
        <f ca="1">VLOOKUP($A387,OFFSET([2]characters!$A$1,0,0,COUNTA([2]characters!$A:$A),MATCH(F$1,[2]characters!$1:$1,0)-MATCH($A$1,[2]characters!$1:$1,0)+1),MATCH(F$1,[2]characters!$1:$1,0)-MATCH($A$1,[2]characters!$1:$1,0)+1,FALSE)</f>
        <v>女性</v>
      </c>
      <c r="G387" s="77">
        <f ca="1">VLOOKUP($A387,OFFSET([2]characters!$A$1,0,0,COUNTA([2]characters!$A:$A),MATCH(G$1,[2]characters!$1:$1,0)-MATCH($A$1,[2]characters!$1:$1,0)+1),MATCH(G$1,[2]characters!$1:$1,0)-MATCH($A$1,[2]characters!$1:$1,0)+1,FALSE)</f>
        <v>5</v>
      </c>
      <c r="H387" s="77" t="str">
        <f ca="1">VLOOKUP($A387,OFFSET([2]characters!$A$1,0,0,COUNTA([2]characters!$A:$A),MATCH(H$1,[2]characters!$1:$1,0)-MATCH($A$1,[2]characters!$1:$1,0)+1),MATCH(H$1,[2]characters!$1:$1,0)-MATCH($A$1,[2]characters!$1:$1,0)+1,FALSE)</f>
        <v>PremiumSS</v>
      </c>
      <c r="I387" s="77" t="str">
        <f ca="1">VLOOKUP($A387,OFFSET([2]characters!$A$1,0,0,COUNTA([2]characters!$A:$A),MATCH(I$1,[2]characters!$1:$1,0)-MATCH($A$1,[2]characters!$1:$1,0)+1),MATCH(I$1,[2]characters!$1:$1,0)-MATCH($A$1,[2]characters!$1:$1,0)+1,FALSE)</f>
        <v>blue</v>
      </c>
      <c r="J387" s="14">
        <f ca="1">VLOOKUP(I387,[2]属性!$A:$E,2,FALSE)</f>
        <v>1</v>
      </c>
      <c r="K387" s="14">
        <f ca="1">VLOOKUP(I387,[2]属性!$A:$E,3,FALSE)</f>
        <v>0.98</v>
      </c>
      <c r="L387" s="14">
        <f ca="1">VLOOKUP(I387,[2]属性!$A:$E,4,FALSE)</f>
        <v>1</v>
      </c>
      <c r="M387" s="14">
        <f ca="1">VLOOKUP(I387,[2]属性!$A:$E,5,FALSE)</f>
        <v>1.02</v>
      </c>
      <c r="N387" s="14">
        <f ca="1">INDEX(コスト!$A$1:$I$20,MATCH(H387,コスト!$A$1:$A$20,FALSE),MATCH(G387,コスト!$A$1:$I$1,FALSE))</f>
        <v>35</v>
      </c>
      <c r="O387" s="14">
        <f ca="1">INDEX(レベル!$A$1:$I$21,MATCH(H387,レベル!$A$1:$A$21,FALSE),MATCH(G387,レベル!$A$1:$I$1,FALSE))</f>
        <v>80</v>
      </c>
      <c r="P387" s="63">
        <f t="shared" ref="P387:P400" ca="1" si="55">G387*15</f>
        <v>75</v>
      </c>
      <c r="Q387" s="77" t="str">
        <f ca="1">VLOOKUP($A387,OFFSET([2]characters!$A$1,0,0,COUNTA([2]characters!$A:$A),MATCH(Q$1,[2]characters!$1:$1,0)-MATCH($A$1,[2]characters!$1:$1,0)+1),MATCH(Q$1,[2]characters!$1:$1,0)-MATCH($A$1,[2]characters!$1:$1,0)+1,FALSE)</f>
        <v>balance</v>
      </c>
      <c r="R387" s="8" t="str">
        <f ca="1">VLOOKUP(Q387,[2]character_type_i18n!$A:$H,3,FALSE)</f>
        <v>バランスタイプ</v>
      </c>
      <c r="S387" s="14">
        <f ca="1">VLOOKUP(Q387,[2]character_type_i18n!$A:$H,4,FALSE)</f>
        <v>1</v>
      </c>
      <c r="T387" s="14">
        <f ca="1">VLOOKUP(Q387,[2]character_type_i18n!$A:$H,5,FALSE)</f>
        <v>1</v>
      </c>
      <c r="U387" s="14">
        <f ca="1">VLOOKUP(Q387,[2]character_type_i18n!$A:$H,6,FALSE)</f>
        <v>1</v>
      </c>
      <c r="V387" s="14">
        <f ca="1">VLOOKUP(Q387,[2]character_type_i18n!$A:$H,7,FALSE)</f>
        <v>1</v>
      </c>
      <c r="W387" s="77" t="str">
        <f ca="1">VLOOKUP($A387,OFFSET([2]characters!$A$1,0,0,COUNTA([2]characters!$A:$A),MATCH(W$1,[2]characters!$1:$1,0)-MATCH($A$1,[2]characters!$1:$1,0)+1),MATCH(W$1,[2]characters!$1:$1,0)-MATCH($A$1,[2]characters!$1:$1,0)+1,FALSE)</f>
        <v>dragon</v>
      </c>
      <c r="X387" s="8" t="str">
        <f ca="1">VLOOKUP(W387,[2]character_tribe_i18n!$A:$H,3,FALSE)</f>
        <v>ドラゴン</v>
      </c>
      <c r="Y387" s="77" t="str">
        <f ca="1">VLOOKUP($A387,OFFSET([2]characters!$A$1,0,0,COUNTA([2]characters!$A:$A),MATCH(Y$1,[2]characters!$1:$1,0)-MATCH($A$1,[2]characters!$1:$1,0)+1),MATCH(Y$1,[2]characters!$1:$1,0)-MATCH($A$1,[2]characters!$1:$1,0)+1,FALSE)</f>
        <v>none</v>
      </c>
      <c r="Z387" s="8" t="str">
        <f ca="1">VLOOKUP(Y387,[2]character_tribe_i18n!$A:$H,3,FALSE)</f>
        <v>種族なし</v>
      </c>
      <c r="AA387" s="14">
        <f ca="1">VLOOKUP(W387,[2]character_tribe_i18n!$A:$H,4,FALSE)</f>
        <v>1.1499999999999999</v>
      </c>
      <c r="AB387" s="14">
        <f ca="1">VLOOKUP(W387,[2]character_tribe_i18n!$A:$H,5,FALSE)</f>
        <v>1.1000000000000001</v>
      </c>
      <c r="AC387" s="14">
        <f ca="1">VLOOKUP(W387,[2]character_tribe_i18n!$A:$H,6,FALSE)</f>
        <v>1</v>
      </c>
      <c r="AD387" s="14">
        <f ca="1">VLOOKUP(W387,[2]character_tribe_i18n!$A:$H,7,FALSE)</f>
        <v>0.75</v>
      </c>
      <c r="AE387" s="183" t="s">
        <v>102</v>
      </c>
      <c r="AF387" s="85" t="str">
        <f ca="1">IF(AE387="NULL","",VLOOKUP($AE387,OFFSET([2]characters!$A$1,0,0,COUNTA([2]characters!$A:$A),MATCH(AF$1,[2]characters!$1:$1,0)-MATCH($A$1,[2]characters!$1:$1,0)+1),MATCH(AF$1,[2]characters!$1:$1,0)-MATCH($A$1,[2]characters!$1:$1,0)+1,FALSE))</f>
        <v/>
      </c>
      <c r="AG387" s="8">
        <f t="shared" ca="1" si="52"/>
        <v>385</v>
      </c>
      <c r="AH387" s="85" t="str">
        <f ca="1">VLOOKUP($AG387,OFFSET([2]characters!$A$1,0,0,COUNTA([2]characters!$A:$A),MATCH(AH$1,[2]characters!$1:$1,0)-MATCH($A$1,[2]characters!$1:$1,0)+1),MATCH(AH$1,[2]characters!$1:$1,0)-MATCH($A$1,[2]characters!$1:$1,0)+1,FALSE)</f>
        <v>波烈の出奔 リヴァイアサン</v>
      </c>
      <c r="AI387" s="14" t="str">
        <f>IF(AE387="NULL","NULL",VLOOKUP(G387,ビット!$A$2:$B$7,2))</f>
        <v>NULL</v>
      </c>
      <c r="AJ387" s="9">
        <v>2</v>
      </c>
      <c r="AK387" s="10" t="str">
        <f t="shared" ref="AK387:AK388" si="56">IF(AJ387=1,"早熟",IF(AJ387=2,"普通",IF(AJ387=3,"晩成","")))</f>
        <v>普通</v>
      </c>
      <c r="AL387" s="14" t="str">
        <f ca="1">INDEX(経験値!$A$1:$I$20,MATCH(H387,経験値!$A$1:$A$20,FALSE),MATCH(G387,経験値!$A$1:$I$1,FALSE))</f>
        <v>required_exp_200</v>
      </c>
      <c r="AM387" s="11">
        <f ca="1">VLOOKUP(G387,経験値!$A$27:$B$31,2)</f>
        <v>6400</v>
      </c>
      <c r="AN387" s="21">
        <f ca="1">VLOOKUP(G387,ビット!$G$2:$H$7,2)</f>
        <v>900</v>
      </c>
      <c r="AO387" s="57"/>
      <c r="AP387" s="101">
        <v>540015</v>
      </c>
      <c r="AQ387" s="77" t="e">
        <f ca="1">VLOOKUP($AP387,OFFSET([1]unit_skills!$A$1,0,0,COUNTA([1]unit_skills!$A:$A),MATCH("name",[1]unit_skills!$1:$1,0)-MATCH($AP$1,[1]unit_skills!$1:$1,0)+1),MATCH("name",[1]unit_skills!$1:$1,0)-MATCH($AP$1,[1]unit_skills!$1:$1,0)+1,FALSE)</f>
        <v>#VALUE!</v>
      </c>
      <c r="AR387" s="77" t="e">
        <f ca="1">VLOOKUP($AP387,OFFSET([1]unit_skills!$A$1,0,0,COUNTA([1]unit_skills!$A:$A),MATCH("comment",[1]unit_skills!$1:$1,0)-MATCH($AP$1,[1]unit_skills!$1:$1,0)+1),MATCH("comment",[1]unit_skills!$1:$1,0)-MATCH($AP$1,[1]unit_skills!$1:$1,0)+1,FALSE)</f>
        <v>#VALUE!</v>
      </c>
      <c r="AS387" s="77" t="e">
        <f ca="1">VLOOKUP($AP387,OFFSET([1]unit_skills!$A$1,0,0,COUNTA([1]unit_skills!$A:$A),MATCH(AS$1,[1]unit_skills!$1:$1,0)-MATCH($AP$1,[1]unit_skills!$1:$1,0)+1),MATCH(AS$1,[1]unit_skills!$1:$1,0)-MATCH($AP$1,[1]unit_skills!$1:$1,0)+1,FALSE)</f>
        <v>#VALUE!</v>
      </c>
      <c r="AT387" s="53">
        <v>123014</v>
      </c>
      <c r="AU387" s="77" t="e">
        <f ca="1">VLOOKUP($AT387,OFFSET([1]crash_skills!$A$1,0,0,COUNTA([1]crash_skills!$A:$A),MATCH("name",[1]crash_skills!$1:$1,0)-MATCH($AT$1,[1]crash_skills!$1:$1,0)+1),MATCH("name",[1]crash_skills!$1:$1,0)-MATCH($AT$1,[1]crash_skills!$1:$1,0)+1,FALSE)</f>
        <v>#VALUE!</v>
      </c>
      <c r="AV387" s="77" t="e">
        <f ca="1">VLOOKUP($AT387,OFFSET([1]crash_skills!$A$1,0,0,COUNTA([1]crash_skills!$A:$A),MATCH("comment",[1]crash_skills!$1:$1,0)-MATCH($AT$1,[1]crash_skills!$1:$1,0)+1),MATCH("comment",[1]crash_skills!$1:$1,0)-MATCH($AT$1,[1]crash_skills!$1:$1,0)+1,FALSE)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87" s="77" t="e">
        <f ca="1">VLOOKUP($AT387,OFFSET([1]crash_skills!$A$1,0,0,COUNTA([1]crash_skills!$A:$A),MATCH(AW$1,[1]crash_skills!$1:$1,0)-MATCH($AT$1,[1]crash_skills!$1:$1,0)+1),MATCH(AW$1,[1]crash_skills!$1:$1,0)-MATCH($AT$1,[1]crash_skills!$1:$1,0)+1,FALSE)</f>
        <v>#VALUE!</v>
      </c>
      <c r="AX387" s="81">
        <f ca="1">VLOOKUP($A387,OFFSET([2]characters!$A$1,0,0,COUNTA([2]characters!$A:$A),MATCH(AX$1,[2]characters!$1:$1,0)-MATCH($A$1,[2]characters!$1:$1,0)+1),MATCH(AX$1,[2]characters!$1:$1,0)-MATCH($A$1,[2]characters!$1:$1,0)+1,FALSE)</f>
        <v>3</v>
      </c>
      <c r="AY387" s="139">
        <v>0.85</v>
      </c>
      <c r="AZ387" s="139">
        <v>1.25</v>
      </c>
      <c r="BA387" s="139">
        <v>0</v>
      </c>
      <c r="BB387" s="139">
        <v>1</v>
      </c>
      <c r="BC387" s="14">
        <f ca="1">INDEX('RC6SV'!$A$1:$G$20,MATCH(H387,'RC6SV'!$A$1:$A$20,FALSE),MATCH(G387,'RC6SV'!$A$1:$G$1,FALSE))</f>
        <v>9500</v>
      </c>
      <c r="BD387" s="63">
        <f t="shared" ref="BD387:BD388" ca="1" si="57">ROUND(BC387*IF(AJ387=1,0.95,IF(AJ387=2,1,IF(AJ387,1.05,0))),0)</f>
        <v>9500</v>
      </c>
      <c r="BE387" s="14">
        <f t="shared" ca="1" si="53"/>
        <v>7500</v>
      </c>
      <c r="BF387" s="14">
        <f t="shared" ca="1" si="54"/>
        <v>1</v>
      </c>
      <c r="BG387" s="20">
        <f ca="1">IF($BE387&lt;=0,ROUND(BK387*0.5,0), ROUND($BE387*S387*AA387*J387*AY387*0.8*[2]ステータス!$B$2,0))</f>
        <v>2933</v>
      </c>
      <c r="BH387" s="20">
        <f ca="1">IF($BE387&lt;=0,ROUND(BL387*0.5,0), ROUND($BE387*T387*AB387*K387*AZ387*0.8*[2]ステータス!$C$2,0))</f>
        <v>2426</v>
      </c>
      <c r="BI387" s="20">
        <f ca="1">IF($BE387&lt;=0,ROUND(BM387*0.5,0), ROUND($BE387*U387*AC387*L387*BA387*0.8*[2]ステータス!$D$2,0))</f>
        <v>0</v>
      </c>
      <c r="BJ387" s="20">
        <f ca="1">IF($BE387&lt;=0,ROUND(BN387*0.5,0), ROUND($BE387*V387*AD387*M387*BB387*0.8*[2]ステータス!$E$2,0))</f>
        <v>1148</v>
      </c>
      <c r="BK387" s="14">
        <f ca="1">ROUND(BD387*S387*AA387*J387*AY387*[2]ステータス!$B$2,0)</f>
        <v>4643</v>
      </c>
      <c r="BL387" s="14">
        <f ca="1">ROUND(BD387*T387*AB387*K387*AZ387*[2]ステータス!$C$2,0)</f>
        <v>3840</v>
      </c>
      <c r="BM387" s="14">
        <f ca="1">ROUND(BD387*U387*AC387*L387*BA387*[2]ステータス!$D$2,0)</f>
        <v>0</v>
      </c>
      <c r="BN387" s="14">
        <f ca="1">ROUND(BD387*V387*AD387*M387*BB387*[2]ステータス!$E$2,0)</f>
        <v>1817</v>
      </c>
      <c r="BO387" s="13">
        <v>0</v>
      </c>
      <c r="BP387" s="13">
        <v>1</v>
      </c>
      <c r="BQ387" s="49" t="s">
        <v>102</v>
      </c>
      <c r="BR387" s="13">
        <f ca="1">VLOOKUP(H387,ghosts_label!$A$2:$B$19,2,FALSE)</f>
        <v>5500</v>
      </c>
    </row>
    <row r="388" spans="1:70" ht="21" customHeight="1" x14ac:dyDescent="0.15">
      <c r="A388" s="14">
        <f t="shared" ca="1" si="51"/>
        <v>387</v>
      </c>
      <c r="B388" s="77" t="str">
        <f ca="1">VLOOKUP($A388,OFFSET([2]characters!$A$1,0,0,COUNTA([2]characters!$A:$A),MATCH(B$1,[2]characters!$1:$1,0)-MATCH($A$1,[2]characters!$1:$1,0)+1),MATCH(B$1,[2]characters!$1:$1,0)-MATCH($A$1,[2]characters!$1:$1,0)+1,FALSE)</f>
        <v>スフィンクス</v>
      </c>
      <c r="C388" s="77" t="str">
        <f ca="1">VLOOKUP($A388,OFFSET([2]characters!$A$1,0,0,COUNTA([2]characters!$A:$A),MATCH(C$1,[2]characters!$1:$1,0)-MATCH($A$1,[2]characters!$1:$1,0)+1),MATCH(C$1,[2]characters!$1:$1,0)-MATCH($A$1,[2]characters!$1:$1,0)+1,FALSE)</f>
        <v>ガチャ:魔獣シリーズ01</v>
      </c>
      <c r="D388" s="77">
        <f ca="1">VLOOKUP($A388,OFFSET([2]characters!$A$1,0,0,COUNTA([2]characters!$A:$A),MATCH(D$1,[2]characters!$1:$1,0)-MATCH($A$1,[2]characters!$1:$1,0)+1),MATCH(D$1,[2]characters!$1:$1,0)-MATCH($A$1,[2]characters!$1:$1,0)+1,FALSE)</f>
        <v>0</v>
      </c>
      <c r="E388" s="77">
        <f ca="1">VLOOKUP($A388,OFFSET([2]characters!$A$1,0,0,COUNTA([2]characters!$A:$A),MATCH(E$1,[2]characters!$1:$1,0)-MATCH($A$1,[2]characters!$1:$1,0)+1),MATCH(E$1,[2]characters!$1:$1,0)-MATCH($A$1,[2]characters!$1:$1,0)+1,FALSE)</f>
        <v>0</v>
      </c>
      <c r="F388" s="77" t="str">
        <f ca="1">VLOOKUP($A388,OFFSET([2]characters!$A$1,0,0,COUNTA([2]characters!$A:$A),MATCH(F$1,[2]characters!$1:$1,0)-MATCH($A$1,[2]characters!$1:$1,0)+1),MATCH(F$1,[2]characters!$1:$1,0)-MATCH($A$1,[2]characters!$1:$1,0)+1,FALSE)</f>
        <v>女性</v>
      </c>
      <c r="G388" s="77">
        <f ca="1">VLOOKUP($A388,OFFSET([2]characters!$A$1,0,0,COUNTA([2]characters!$A:$A),MATCH(G$1,[2]characters!$1:$1,0)-MATCH($A$1,[2]characters!$1:$1,0)+1),MATCH(G$1,[2]characters!$1:$1,0)-MATCH($A$1,[2]characters!$1:$1,0)+1,FALSE)</f>
        <v>3</v>
      </c>
      <c r="H388" s="77" t="str">
        <f ca="1">VLOOKUP($A388,OFFSET([2]characters!$A$1,0,0,COUNTA([2]characters!$A:$A),MATCH(H$1,[2]characters!$1:$1,0)-MATCH($A$1,[2]characters!$1:$1,0)+1),MATCH(H$1,[2]characters!$1:$1,0)-MATCH($A$1,[2]characters!$1:$1,0)+1,FALSE)</f>
        <v>PremiumS</v>
      </c>
      <c r="I388" s="77" t="str">
        <f ca="1">VLOOKUP($A388,OFFSET([2]characters!$A$1,0,0,COUNTA([2]characters!$A:$A),MATCH(I$1,[2]characters!$1:$1,0)-MATCH($A$1,[2]characters!$1:$1,0)+1),MATCH(I$1,[2]characters!$1:$1,0)-MATCH($A$1,[2]characters!$1:$1,0)+1,FALSE)</f>
        <v>yellow</v>
      </c>
      <c r="J388" s="14">
        <f ca="1">VLOOKUP(I388,[2]属性!$A:$E,2,FALSE)</f>
        <v>0.98</v>
      </c>
      <c r="K388" s="14">
        <f ca="1">VLOOKUP(I388,[2]属性!$A:$E,3,FALSE)</f>
        <v>1.01</v>
      </c>
      <c r="L388" s="14">
        <f ca="1">VLOOKUP(I388,[2]属性!$A:$E,4,FALSE)</f>
        <v>1</v>
      </c>
      <c r="M388" s="14">
        <f ca="1">VLOOKUP(I388,[2]属性!$A:$E,5,FALSE)</f>
        <v>1.01</v>
      </c>
      <c r="N388" s="14">
        <f ca="1">INDEX(コスト!$A$1:$I$20,MATCH(H388,コスト!$A$1:$A$20,FALSE),MATCH(G388,コスト!$A$1:$I$1,FALSE))</f>
        <v>10</v>
      </c>
      <c r="O388" s="14">
        <f ca="1">INDEX(レベル!$A$1:$I$21,MATCH(H388,レベル!$A$1:$A$21,FALSE),MATCH(G388,レベル!$A$1:$I$1,FALSE))</f>
        <v>40</v>
      </c>
      <c r="P388" s="63">
        <f t="shared" ca="1" si="55"/>
        <v>45</v>
      </c>
      <c r="Q388" s="77" t="str">
        <f ca="1">VLOOKUP($A388,OFFSET([2]characters!$A$1,0,0,COUNTA([2]characters!$A:$A),MATCH(Q$1,[2]characters!$1:$1,0)-MATCH($A$1,[2]characters!$1:$1,0)+1),MATCH(Q$1,[2]characters!$1:$1,0)-MATCH($A$1,[2]characters!$1:$1,0)+1,FALSE)</f>
        <v>heal</v>
      </c>
      <c r="R388" s="8" t="str">
        <f ca="1">VLOOKUP(Q388,[2]character_type_i18n!$A:$H,3,FALSE)</f>
        <v>回復タイプ</v>
      </c>
      <c r="S388" s="14">
        <f ca="1">VLOOKUP(Q388,[2]character_type_i18n!$A:$H,4,FALSE)</f>
        <v>0.8</v>
      </c>
      <c r="T388" s="14">
        <f ca="1">VLOOKUP(Q388,[2]character_type_i18n!$A:$H,5,FALSE)</f>
        <v>0.78</v>
      </c>
      <c r="U388" s="14">
        <f ca="1">VLOOKUP(Q388,[2]character_type_i18n!$A:$H,6,FALSE)</f>
        <v>1</v>
      </c>
      <c r="V388" s="14">
        <f ca="1">VLOOKUP(Q388,[2]character_type_i18n!$A:$H,7,FALSE)</f>
        <v>1.42</v>
      </c>
      <c r="W388" s="77" t="str">
        <f ca="1">VLOOKUP($A388,OFFSET([2]characters!$A$1,0,0,COUNTA([2]characters!$A:$A),MATCH(W$1,[2]characters!$1:$1,0)-MATCH($A$1,[2]characters!$1:$1,0)+1),MATCH(W$1,[2]characters!$1:$1,0)-MATCH($A$1,[2]characters!$1:$1,0)+1,FALSE)</f>
        <v>animal</v>
      </c>
      <c r="X388" s="8" t="str">
        <f ca="1">VLOOKUP(W388,[2]character_tribe_i18n!$A:$H,3,FALSE)</f>
        <v>アニマル</v>
      </c>
      <c r="Y388" s="77" t="str">
        <f ca="1">VLOOKUP($A388,OFFSET([2]characters!$A$1,0,0,COUNTA([2]characters!$A:$A),MATCH(Y$1,[2]characters!$1:$1,0)-MATCH($A$1,[2]characters!$1:$1,0)+1),MATCH(Y$1,[2]characters!$1:$1,0)-MATCH($A$1,[2]characters!$1:$1,0)+1,FALSE)</f>
        <v>none</v>
      </c>
      <c r="Z388" s="8" t="str">
        <f ca="1">VLOOKUP(Y388,[2]character_tribe_i18n!$A:$H,3,FALSE)</f>
        <v>種族なし</v>
      </c>
      <c r="AA388" s="14">
        <f ca="1">VLOOKUP(W388,[2]character_tribe_i18n!$A:$H,4,FALSE)</f>
        <v>1</v>
      </c>
      <c r="AB388" s="14">
        <f ca="1">VLOOKUP(W388,[2]character_tribe_i18n!$A:$H,5,FALSE)</f>
        <v>1.1000000000000001</v>
      </c>
      <c r="AC388" s="14">
        <f ca="1">VLOOKUP(W388,[2]character_tribe_i18n!$A:$H,6,FALSE)</f>
        <v>1</v>
      </c>
      <c r="AD388" s="14">
        <f ca="1">VLOOKUP(W388,[2]character_tribe_i18n!$A:$H,7,FALSE)</f>
        <v>0.9</v>
      </c>
      <c r="AE388" s="12">
        <v>388</v>
      </c>
      <c r="AF388" s="85" t="str">
        <f ca="1">IF(AE388="NULL","",VLOOKUP($AE388,OFFSET([2]characters!$A$1,0,0,COUNTA([2]characters!$A:$A),MATCH(AF$1,[2]characters!$1:$1,0)-MATCH($A$1,[2]characters!$1:$1,0)+1),MATCH(AF$1,[2]characters!$1:$1,0)-MATCH($A$1,[2]characters!$1:$1,0)+1,FALSE))</f>
        <v>神円の恋姫 スフィンクス</v>
      </c>
      <c r="AG388" s="8">
        <f t="shared" ca="1" si="52"/>
        <v>387</v>
      </c>
      <c r="AH388" s="85" t="str">
        <f ca="1">VLOOKUP($AG388,OFFSET([2]characters!$A$1,0,0,COUNTA([2]characters!$A:$A),MATCH(AH$1,[2]characters!$1:$1,0)-MATCH($A$1,[2]characters!$1:$1,0)+1),MATCH(AH$1,[2]characters!$1:$1,0)-MATCH($A$1,[2]characters!$1:$1,0)+1,FALSE)</f>
        <v>スフィンクス</v>
      </c>
      <c r="AI388" s="14">
        <f ca="1">IF(AE388="NULL","NULL",VLOOKUP(G388,ビット!$A$2:$B$7,2))</f>
        <v>20000</v>
      </c>
      <c r="AJ388" s="9">
        <v>2</v>
      </c>
      <c r="AK388" s="10" t="str">
        <f t="shared" si="56"/>
        <v>普通</v>
      </c>
      <c r="AL388" s="14" t="str">
        <f ca="1">INDEX(経験値!$A$1:$I$20,MATCH(H388,経験値!$A$1:$A$20,FALSE),MATCH(G388,経験値!$A$1:$I$1,FALSE))</f>
        <v>required_exp_200</v>
      </c>
      <c r="AM388" s="11">
        <f ca="1">VLOOKUP(G388,経験値!$A$27:$B$31,2)</f>
        <v>1500</v>
      </c>
      <c r="AN388" s="21">
        <f ca="1">VLOOKUP(G388,ビット!$G$2:$H$7,2)</f>
        <v>300</v>
      </c>
      <c r="AO388" s="57"/>
      <c r="AP388" s="101">
        <v>714004</v>
      </c>
      <c r="AQ388" s="77" t="e">
        <f ca="1">VLOOKUP($AP388,OFFSET([1]unit_skills!$A$1,0,0,COUNTA([1]unit_skills!$A:$A),MATCH("name",[1]unit_skills!$1:$1,0)-MATCH($AP$1,[1]unit_skills!$1:$1,0)+1),MATCH("name",[1]unit_skills!$1:$1,0)-MATCH($AP$1,[1]unit_skills!$1:$1,0)+1,FALSE)</f>
        <v>#VALUE!</v>
      </c>
      <c r="AR388" s="77" t="e">
        <f ca="1">VLOOKUP($AP388,OFFSET([1]unit_skills!$A$1,0,0,COUNTA([1]unit_skills!$A:$A),MATCH("comment",[1]unit_skills!$1:$1,0)-MATCH($AP$1,[1]unit_skills!$1:$1,0)+1),MATCH("comment",[1]unit_skills!$1:$1,0)-MATCH($AP$1,[1]unit_skills!$1:$1,0)+1,FALSE)</f>
        <v>#VALUE!</v>
      </c>
      <c r="AS388" s="77" t="e">
        <f ca="1">VLOOKUP($AP388,OFFSET([1]unit_skills!$A$1,0,0,COUNTA([1]unit_skills!$A:$A),MATCH(AS$1,[1]unit_skills!$1:$1,0)-MATCH($AP$1,[1]unit_skills!$1:$1,0)+1),MATCH(AS$1,[1]unit_skills!$1:$1,0)-MATCH($AP$1,[1]unit_skills!$1:$1,0)+1,FALSE)</f>
        <v>#VALUE!</v>
      </c>
      <c r="AT388" s="53">
        <v>500003</v>
      </c>
      <c r="AU388" s="77" t="e">
        <f ca="1">VLOOKUP($AT388,OFFSET([1]crash_skills!$A$1,0,0,COUNTA([1]crash_skills!$A:$A),MATCH("name",[1]crash_skills!$1:$1,0)-MATCH($AT$1,[1]crash_skills!$1:$1,0)+1),MATCH("name",[1]crash_skills!$1:$1,0)-MATCH($AT$1,[1]crash_skills!$1:$1,0)+1,FALSE)</f>
        <v>#VALUE!</v>
      </c>
      <c r="AV388" s="77" t="e">
        <f ca="1">VLOOKUP($AT388,OFFSET([1]crash_skills!$A$1,0,0,COUNTA([1]crash_skills!$A:$A),MATCH("comment",[1]crash_skills!$1:$1,0)-MATCH($AT$1,[1]crash_skills!$1:$1,0)+1),MATCH("comment",[1]crash_skills!$1:$1,0)-MATCH($AT$1,[1]crash_skills!$1:$1,0)+1,FALSE)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88" s="77" t="e">
        <f ca="1">VLOOKUP($AT388,OFFSET([1]crash_skills!$A$1,0,0,COUNTA([1]crash_skills!$A:$A),MATCH(AW$1,[1]crash_skills!$1:$1,0)-MATCH($AT$1,[1]crash_skills!$1:$1,0)+1),MATCH(AW$1,[1]crash_skills!$1:$1,0)-MATCH($AT$1,[1]crash_skills!$1:$1,0)+1,FALSE)</f>
        <v>#VALUE!</v>
      </c>
      <c r="AX388" s="81">
        <f ca="1">VLOOKUP($A388,OFFSET([2]characters!$A$1,0,0,COUNTA([2]characters!$A:$A),MATCH(AX$1,[2]characters!$1:$1,0)-MATCH($A$1,[2]characters!$1:$1,0)+1),MATCH(AX$1,[2]characters!$1:$1,0)-MATCH($A$1,[2]characters!$1:$1,0)+1,FALSE)</f>
        <v>3</v>
      </c>
      <c r="AY388" s="139">
        <v>0.8</v>
      </c>
      <c r="AZ388" s="139">
        <v>0.8</v>
      </c>
      <c r="BA388" s="139">
        <v>0</v>
      </c>
      <c r="BB388" s="139">
        <v>1.2</v>
      </c>
      <c r="BC388" s="14">
        <f ca="1">INDEX('RC6SV'!$A$1:$G$20,MATCH(H388,'RC6SV'!$A$1:$A$20,FALSE),MATCH(G388,'RC6SV'!$A$1:$G$1,FALSE))</f>
        <v>5000</v>
      </c>
      <c r="BD388" s="63">
        <f t="shared" ca="1" si="57"/>
        <v>5000</v>
      </c>
      <c r="BE388" s="14">
        <f t="shared" ca="1" si="53"/>
        <v>0</v>
      </c>
      <c r="BF388" s="14">
        <f t="shared" ca="1" si="54"/>
        <v>1</v>
      </c>
      <c r="BG388" s="20">
        <f ca="1">IF($BE388&lt;=0,ROUND(BK388*0.5,0), ROUND($BE388*S388*AA388*J388*AY388*0.8*[2]ステータス!$B$2,0))</f>
        <v>784</v>
      </c>
      <c r="BH388" s="20">
        <f ca="1">IF($BE388&lt;=0,ROUND(BL388*0.5,0), ROUND($BE388*T388*AB388*K388*AZ388*0.8*[2]ステータス!$C$2,0))</f>
        <v>520</v>
      </c>
      <c r="BI388" s="20">
        <f ca="1">IF($BE388&lt;=0,ROUND(BM388*0.5,0), ROUND($BE388*U388*AC388*L388*BA388*0.8*[2]ステータス!$D$2,0))</f>
        <v>0</v>
      </c>
      <c r="BJ388" s="20">
        <f ca="1">IF($BE388&lt;=0,ROUND(BN388*0.5,0), ROUND($BE388*V388*AD388*M388*BB388*0.8*[2]ステータス!$E$2,0))</f>
        <v>968</v>
      </c>
      <c r="BK388" s="14">
        <f ca="1">ROUND(BD388*S388*AA388*J388*AY388*[2]ステータス!$B$2,0)</f>
        <v>1568</v>
      </c>
      <c r="BL388" s="14">
        <f ca="1">ROUND(BD388*T388*AB388*K388*AZ388*[2]ステータス!$C$2,0)</f>
        <v>1040</v>
      </c>
      <c r="BM388" s="14">
        <f ca="1">ROUND(BD388*U388*AC388*L388*BA388*[2]ステータス!$D$2,0)</f>
        <v>0</v>
      </c>
      <c r="BN388" s="14">
        <f ca="1">ROUND(BD388*V388*AD388*M388*BB388*[2]ステータス!$E$2,0)</f>
        <v>1936</v>
      </c>
      <c r="BO388" s="13">
        <v>0</v>
      </c>
      <c r="BP388" s="13">
        <v>1</v>
      </c>
      <c r="BQ388" s="49" t="s">
        <v>102</v>
      </c>
      <c r="BR388" s="13">
        <f ca="1">VLOOKUP(H388,ghosts_label!$A$2:$B$19,2,FALSE)</f>
        <v>700</v>
      </c>
    </row>
    <row r="389" spans="1:70" ht="21" customHeight="1" x14ac:dyDescent="0.15">
      <c r="A389" s="14">
        <f t="shared" ca="1" si="51"/>
        <v>388</v>
      </c>
      <c r="B389" s="77" t="str">
        <f ca="1">VLOOKUP($A389,OFFSET([2]characters!$A$1,0,0,COUNTA([2]characters!$A:$A),MATCH(B$1,[2]characters!$1:$1,0)-MATCH($A$1,[2]characters!$1:$1,0)+1),MATCH(B$1,[2]characters!$1:$1,0)-MATCH($A$1,[2]characters!$1:$1,0)+1,FALSE)</f>
        <v>神円の恋姫 スフィンクス</v>
      </c>
      <c r="C389" s="77" t="str">
        <f ca="1">VLOOKUP($A389,OFFSET([2]characters!$A$1,0,0,COUNTA([2]characters!$A:$A),MATCH(C$1,[2]characters!$1:$1,0)-MATCH($A$1,[2]characters!$1:$1,0)+1),MATCH(C$1,[2]characters!$1:$1,0)-MATCH($A$1,[2]characters!$1:$1,0)+1,FALSE)</f>
        <v>ガチャ:魔獣シリーズ01</v>
      </c>
      <c r="D389" s="77" t="str">
        <f ca="1">VLOOKUP($A389,OFFSET([2]characters!$A$1,0,0,COUNTA([2]characters!$A:$A),MATCH(D$1,[2]characters!$1:$1,0)-MATCH($A$1,[2]characters!$1:$1,0)+1),MATCH(D$1,[2]characters!$1:$1,0)-MATCH($A$1,[2]characters!$1:$1,0)+1,FALSE)</f>
        <v>執行者</v>
      </c>
      <c r="E389" s="77" t="str">
        <f ca="1">VLOOKUP($A389,OFFSET([2]characters!$A$1,0,0,COUNTA([2]characters!$A:$A),MATCH(E$1,[2]characters!$1:$1,0)-MATCH($A$1,[2]characters!$1:$1,0)+1),MATCH(E$1,[2]characters!$1:$1,0)-MATCH($A$1,[2]characters!$1:$1,0)+1,FALSE)</f>
        <v>格好いい</v>
      </c>
      <c r="F389" s="77" t="str">
        <f ca="1">VLOOKUP($A389,OFFSET([2]characters!$A$1,0,0,COUNTA([2]characters!$A:$A),MATCH(F$1,[2]characters!$1:$1,0)-MATCH($A$1,[2]characters!$1:$1,0)+1),MATCH(F$1,[2]characters!$1:$1,0)-MATCH($A$1,[2]characters!$1:$1,0)+1,FALSE)</f>
        <v>女性</v>
      </c>
      <c r="G389" s="77">
        <f ca="1">VLOOKUP($A389,OFFSET([2]characters!$A$1,0,0,COUNTA([2]characters!$A:$A),MATCH(G$1,[2]characters!$1:$1,0)-MATCH($A$1,[2]characters!$1:$1,0)+1),MATCH(G$1,[2]characters!$1:$1,0)-MATCH($A$1,[2]characters!$1:$1,0)+1,FALSE)</f>
        <v>4</v>
      </c>
      <c r="H389" s="77" t="str">
        <f ca="1">VLOOKUP($A389,OFFSET([2]characters!$A$1,0,0,COUNTA([2]characters!$A:$A),MATCH(H$1,[2]characters!$1:$1,0)-MATCH($A$1,[2]characters!$1:$1,0)+1),MATCH(H$1,[2]characters!$1:$1,0)-MATCH($A$1,[2]characters!$1:$1,0)+1,FALSE)</f>
        <v>PremiumS</v>
      </c>
      <c r="I389" s="77" t="str">
        <f ca="1">VLOOKUP($A389,OFFSET([2]characters!$A$1,0,0,COUNTA([2]characters!$A:$A),MATCH(I$1,[2]characters!$1:$1,0)-MATCH($A$1,[2]characters!$1:$1,0)+1),MATCH(I$1,[2]characters!$1:$1,0)-MATCH($A$1,[2]characters!$1:$1,0)+1,FALSE)</f>
        <v>yellow</v>
      </c>
      <c r="J389" s="14">
        <f ca="1">VLOOKUP(I389,[2]属性!$A:$E,2,FALSE)</f>
        <v>0.98</v>
      </c>
      <c r="K389" s="14">
        <f ca="1">VLOOKUP(I389,[2]属性!$A:$E,3,FALSE)</f>
        <v>1.01</v>
      </c>
      <c r="L389" s="14">
        <f ca="1">VLOOKUP(I389,[2]属性!$A:$E,4,FALSE)</f>
        <v>1</v>
      </c>
      <c r="M389" s="14">
        <f ca="1">VLOOKUP(I389,[2]属性!$A:$E,5,FALSE)</f>
        <v>1.01</v>
      </c>
      <c r="N389" s="14">
        <f ca="1">INDEX(コスト!$A$1:$I$20,MATCH(H389,コスト!$A$1:$A$20,FALSE),MATCH(G389,コスト!$A$1:$I$1,FALSE))</f>
        <v>20</v>
      </c>
      <c r="O389" s="14">
        <f ca="1">INDEX(レベル!$A$1:$I$21,MATCH(H389,レベル!$A$1:$A$21,FALSE),MATCH(G389,レベル!$A$1:$I$1,FALSE))</f>
        <v>60</v>
      </c>
      <c r="P389" s="63">
        <f t="shared" ca="1" si="55"/>
        <v>60</v>
      </c>
      <c r="Q389" s="77" t="str">
        <f ca="1">VLOOKUP($A389,OFFSET([2]characters!$A$1,0,0,COUNTA([2]characters!$A:$A),MATCH(Q$1,[2]characters!$1:$1,0)-MATCH($A$1,[2]characters!$1:$1,0)+1),MATCH(Q$1,[2]characters!$1:$1,0)-MATCH($A$1,[2]characters!$1:$1,0)+1,FALSE)</f>
        <v>heal</v>
      </c>
      <c r="R389" s="8" t="str">
        <f ca="1">VLOOKUP(Q389,[2]character_type_i18n!$A:$H,3,FALSE)</f>
        <v>回復タイプ</v>
      </c>
      <c r="S389" s="14">
        <f ca="1">VLOOKUP(Q389,[2]character_type_i18n!$A:$H,4,FALSE)</f>
        <v>0.8</v>
      </c>
      <c r="T389" s="14">
        <f ca="1">VLOOKUP(Q389,[2]character_type_i18n!$A:$H,5,FALSE)</f>
        <v>0.78</v>
      </c>
      <c r="U389" s="14">
        <f ca="1">VLOOKUP(Q389,[2]character_type_i18n!$A:$H,6,FALSE)</f>
        <v>1</v>
      </c>
      <c r="V389" s="14">
        <f ca="1">VLOOKUP(Q389,[2]character_type_i18n!$A:$H,7,FALSE)</f>
        <v>1.42</v>
      </c>
      <c r="W389" s="77" t="str">
        <f ca="1">VLOOKUP($A389,OFFSET([2]characters!$A$1,0,0,COUNTA([2]characters!$A:$A),MATCH(W$1,[2]characters!$1:$1,0)-MATCH($A$1,[2]characters!$1:$1,0)+1),MATCH(W$1,[2]characters!$1:$1,0)-MATCH($A$1,[2]characters!$1:$1,0)+1,FALSE)</f>
        <v>animal</v>
      </c>
      <c r="X389" s="8" t="str">
        <f ca="1">VLOOKUP(W389,[2]character_tribe_i18n!$A:$H,3,FALSE)</f>
        <v>アニマル</v>
      </c>
      <c r="Y389" s="77" t="str">
        <f ca="1">VLOOKUP($A389,OFFSET([2]characters!$A$1,0,0,COUNTA([2]characters!$A:$A),MATCH(Y$1,[2]characters!$1:$1,0)-MATCH($A$1,[2]characters!$1:$1,0)+1),MATCH(Y$1,[2]characters!$1:$1,0)-MATCH($A$1,[2]characters!$1:$1,0)+1,FALSE)</f>
        <v>none</v>
      </c>
      <c r="Z389" s="8" t="str">
        <f ca="1">VLOOKUP(Y389,[2]character_tribe_i18n!$A:$H,3,FALSE)</f>
        <v>種族なし</v>
      </c>
      <c r="AA389" s="14">
        <f ca="1">VLOOKUP(W389,[2]character_tribe_i18n!$A:$H,4,FALSE)</f>
        <v>1</v>
      </c>
      <c r="AB389" s="14">
        <f ca="1">VLOOKUP(W389,[2]character_tribe_i18n!$A:$H,5,FALSE)</f>
        <v>1.1000000000000001</v>
      </c>
      <c r="AC389" s="14">
        <f ca="1">VLOOKUP(W389,[2]character_tribe_i18n!$A:$H,6,FALSE)</f>
        <v>1</v>
      </c>
      <c r="AD389" s="14">
        <f ca="1">VLOOKUP(W389,[2]character_tribe_i18n!$A:$H,7,FALSE)</f>
        <v>0.9</v>
      </c>
      <c r="AE389" s="12">
        <v>389</v>
      </c>
      <c r="AF389" s="85" t="str">
        <f ca="1">IF(AE389="NULL","",VLOOKUP($AE389,OFFSET([2]characters!$A$1,0,0,COUNTA([2]characters!$A:$A),MATCH(AF$1,[2]characters!$1:$1,0)-MATCH($A$1,[2]characters!$1:$1,0)+1),MATCH(AF$1,[2]characters!$1:$1,0)-MATCH($A$1,[2]characters!$1:$1,0)+1,FALSE))</f>
        <v>操神の愛姫 スフィンクス</v>
      </c>
      <c r="AG389" s="8">
        <f t="shared" ca="1" si="52"/>
        <v>387</v>
      </c>
      <c r="AH389" s="85" t="str">
        <f ca="1">VLOOKUP($AG389,OFFSET([2]characters!$A$1,0,0,COUNTA([2]characters!$A:$A),MATCH(AH$1,[2]characters!$1:$1,0)-MATCH($A$1,[2]characters!$1:$1,0)+1),MATCH(AH$1,[2]characters!$1:$1,0)-MATCH($A$1,[2]characters!$1:$1,0)+1,FALSE)</f>
        <v>スフィンクス</v>
      </c>
      <c r="AI389" s="14">
        <f ca="1">IF(AE389="NULL","NULL",VLOOKUP(G389,ビット!$A$2:$B$7,2))</f>
        <v>50000</v>
      </c>
      <c r="AJ389" s="9">
        <v>2</v>
      </c>
      <c r="AK389" s="10" t="str">
        <f t="shared" ref="AK389:AK390" si="58">IF(AJ389=1,"早熟",IF(AJ389=2,"普通",IF(AJ389=3,"晩成","")))</f>
        <v>普通</v>
      </c>
      <c r="AL389" s="14" t="str">
        <f ca="1">INDEX(経験値!$A$1:$I$20,MATCH(H389,経験値!$A$1:$A$20,FALSE),MATCH(G389,経験値!$A$1:$I$1,FALSE))</f>
        <v>required_exp_200</v>
      </c>
      <c r="AM389" s="11">
        <f ca="1">VLOOKUP(G389,経験値!$A$27:$B$31,2)</f>
        <v>3400</v>
      </c>
      <c r="AN389" s="21">
        <f ca="1">VLOOKUP(G389,ビット!$G$2:$H$7,2)</f>
        <v>600</v>
      </c>
      <c r="AO389" s="57"/>
      <c r="AP389" s="101">
        <v>714004</v>
      </c>
      <c r="AQ389" s="77" t="e">
        <f ca="1">VLOOKUP($AP389,OFFSET([1]unit_skills!$A$1,0,0,COUNTA([1]unit_skills!$A:$A),MATCH("name",[1]unit_skills!$1:$1,0)-MATCH($AP$1,[1]unit_skills!$1:$1,0)+1),MATCH("name",[1]unit_skills!$1:$1,0)-MATCH($AP$1,[1]unit_skills!$1:$1,0)+1,FALSE)</f>
        <v>#VALUE!</v>
      </c>
      <c r="AR389" s="77" t="e">
        <f ca="1">VLOOKUP($AP389,OFFSET([1]unit_skills!$A$1,0,0,COUNTA([1]unit_skills!$A:$A),MATCH("comment",[1]unit_skills!$1:$1,0)-MATCH($AP$1,[1]unit_skills!$1:$1,0)+1),MATCH("comment",[1]unit_skills!$1:$1,0)-MATCH($AP$1,[1]unit_skills!$1:$1,0)+1,FALSE)</f>
        <v>#VALUE!</v>
      </c>
      <c r="AS389" s="77" t="e">
        <f ca="1">VLOOKUP($AP389,OFFSET([1]unit_skills!$A$1,0,0,COUNTA([1]unit_skills!$A:$A),MATCH(AS$1,[1]unit_skills!$1:$1,0)-MATCH($AP$1,[1]unit_skills!$1:$1,0)+1),MATCH(AS$1,[1]unit_skills!$1:$1,0)-MATCH($AP$1,[1]unit_skills!$1:$1,0)+1,FALSE)</f>
        <v>#VALUE!</v>
      </c>
      <c r="AT389" s="53">
        <v>500003</v>
      </c>
      <c r="AU389" s="77" t="e">
        <f ca="1">VLOOKUP($AT389,OFFSET([1]crash_skills!$A$1,0,0,COUNTA([1]crash_skills!$A:$A),MATCH("name",[1]crash_skills!$1:$1,0)-MATCH($AT$1,[1]crash_skills!$1:$1,0)+1),MATCH("name",[1]crash_skills!$1:$1,0)-MATCH($AT$1,[1]crash_skills!$1:$1,0)+1,FALSE)</f>
        <v>#VALUE!</v>
      </c>
      <c r="AV389" s="77" t="e">
        <f ca="1">VLOOKUP($AT389,OFFSET([1]crash_skills!$A$1,0,0,COUNTA([1]crash_skills!$A:$A),MATCH("comment",[1]crash_skills!$1:$1,0)-MATCH($AT$1,[1]crash_skills!$1:$1,0)+1),MATCH("comment",[1]crash_skills!$1:$1,0)-MATCH($AT$1,[1]crash_skills!$1:$1,0)+1,FALSE)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89" s="77" t="e">
        <f ca="1">VLOOKUP($AT389,OFFSET([1]crash_skills!$A$1,0,0,COUNTA([1]crash_skills!$A:$A),MATCH(AW$1,[1]crash_skills!$1:$1,0)-MATCH($AT$1,[1]crash_skills!$1:$1,0)+1),MATCH(AW$1,[1]crash_skills!$1:$1,0)-MATCH($AT$1,[1]crash_skills!$1:$1,0)+1,FALSE)</f>
        <v>#VALUE!</v>
      </c>
      <c r="AX389" s="81">
        <f ca="1">VLOOKUP($A389,OFFSET([2]characters!$A$1,0,0,COUNTA([2]characters!$A:$A),MATCH(AX$1,[2]characters!$1:$1,0)-MATCH($A$1,[2]characters!$1:$1,0)+1),MATCH(AX$1,[2]characters!$1:$1,0)-MATCH($A$1,[2]characters!$1:$1,0)+1,FALSE)</f>
        <v>3</v>
      </c>
      <c r="AY389" s="139">
        <v>0.8</v>
      </c>
      <c r="AZ389" s="139">
        <v>0.8</v>
      </c>
      <c r="BA389" s="139">
        <v>0</v>
      </c>
      <c r="BB389" s="139">
        <v>1.2</v>
      </c>
      <c r="BC389" s="14">
        <f ca="1">INDEX('RC6SV'!$A$1:$G$20,MATCH(H389,'RC6SV'!$A$1:$A$20,FALSE),MATCH(G389,'RC6SV'!$A$1:$G$1,FALSE))</f>
        <v>7000</v>
      </c>
      <c r="BD389" s="63">
        <f t="shared" ref="BD389:BD390" ca="1" si="59">ROUND(BC389*IF(AJ389=1,0.95,IF(AJ389=2,1,IF(AJ389,1.05,0))),0)</f>
        <v>7000</v>
      </c>
      <c r="BE389" s="14">
        <f t="shared" ca="1" si="53"/>
        <v>5000</v>
      </c>
      <c r="BF389" s="14">
        <f t="shared" ca="1" si="54"/>
        <v>1</v>
      </c>
      <c r="BG389" s="20">
        <f ca="1">IF($BE389&lt;=0,ROUND(BK389*0.5,0), ROUND($BE389*S389*AA389*J389*AY389*0.8*[2]ステータス!$B$2,0))</f>
        <v>1254</v>
      </c>
      <c r="BH389" s="20">
        <f ca="1">IF($BE389&lt;=0,ROUND(BL389*0.5,0), ROUND($BE389*T389*AB389*K389*AZ389*0.8*[2]ステータス!$C$2,0))</f>
        <v>832</v>
      </c>
      <c r="BI389" s="20">
        <f ca="1">IF($BE389&lt;=0,ROUND(BM389*0.5,0), ROUND($BE389*U389*AC389*L389*BA389*0.8*[2]ステータス!$D$2,0))</f>
        <v>0</v>
      </c>
      <c r="BJ389" s="20">
        <f ca="1">IF($BE389&lt;=0,ROUND(BN389*0.5,0), ROUND($BE389*V389*AD389*M389*BB389*0.8*[2]ステータス!$E$2,0))</f>
        <v>1549</v>
      </c>
      <c r="BK389" s="14">
        <f ca="1">ROUND(BD389*S389*AA389*J389*AY389*[2]ステータス!$B$2,0)</f>
        <v>2195</v>
      </c>
      <c r="BL389" s="14">
        <f ca="1">ROUND(BD389*T389*AB389*K389*AZ389*[2]ステータス!$C$2,0)</f>
        <v>1456</v>
      </c>
      <c r="BM389" s="14">
        <f ca="1">ROUND(BD389*U389*AC389*L389*BA389*[2]ステータス!$D$2,0)</f>
        <v>0</v>
      </c>
      <c r="BN389" s="14">
        <f ca="1">ROUND(BD389*V389*AD389*M389*BB389*[2]ステータス!$E$2,0)</f>
        <v>2711</v>
      </c>
      <c r="BO389" s="13">
        <v>0</v>
      </c>
      <c r="BP389" s="13">
        <v>1</v>
      </c>
      <c r="BQ389" s="49" t="s">
        <v>102</v>
      </c>
      <c r="BR389" s="13">
        <f ca="1">VLOOKUP(H389,ghosts_label!$A$2:$B$19,2,FALSE)</f>
        <v>700</v>
      </c>
    </row>
    <row r="390" spans="1:70" ht="21" customHeight="1" x14ac:dyDescent="0.15">
      <c r="A390" s="14">
        <f t="shared" ca="1" si="51"/>
        <v>389</v>
      </c>
      <c r="B390" s="77" t="str">
        <f ca="1">VLOOKUP($A390,OFFSET([2]characters!$A$1,0,0,COUNTA([2]characters!$A:$A),MATCH(B$1,[2]characters!$1:$1,0)-MATCH($A$1,[2]characters!$1:$1,0)+1),MATCH(B$1,[2]characters!$1:$1,0)-MATCH($A$1,[2]characters!$1:$1,0)+1,FALSE)</f>
        <v>操神の愛姫 スフィンクス</v>
      </c>
      <c r="C390" s="77" t="str">
        <f ca="1">VLOOKUP($A390,OFFSET([2]characters!$A$1,0,0,COUNTA([2]characters!$A:$A),MATCH(C$1,[2]characters!$1:$1,0)-MATCH($A$1,[2]characters!$1:$1,0)+1),MATCH(C$1,[2]characters!$1:$1,0)-MATCH($A$1,[2]characters!$1:$1,0)+1,FALSE)</f>
        <v>ガチャ:魔獣シリーズ01</v>
      </c>
      <c r="D390" s="77" t="str">
        <f ca="1">VLOOKUP($A390,OFFSET([2]characters!$A$1,0,0,COUNTA([2]characters!$A:$A),MATCH(D$1,[2]characters!$1:$1,0)-MATCH($A$1,[2]characters!$1:$1,0)+1),MATCH(D$1,[2]characters!$1:$1,0)-MATCH($A$1,[2]characters!$1:$1,0)+1,FALSE)</f>
        <v>執行者</v>
      </c>
      <c r="E390" s="77" t="str">
        <f ca="1">VLOOKUP($A390,OFFSET([2]characters!$A$1,0,0,COUNTA([2]characters!$A:$A),MATCH(E$1,[2]characters!$1:$1,0)-MATCH($A$1,[2]characters!$1:$1,0)+1),MATCH(E$1,[2]characters!$1:$1,0)-MATCH($A$1,[2]characters!$1:$1,0)+1,FALSE)</f>
        <v>格好いい</v>
      </c>
      <c r="F390" s="77" t="str">
        <f ca="1">VLOOKUP($A390,OFFSET([2]characters!$A$1,0,0,COUNTA([2]characters!$A:$A),MATCH(F$1,[2]characters!$1:$1,0)-MATCH($A$1,[2]characters!$1:$1,0)+1),MATCH(F$1,[2]characters!$1:$1,0)-MATCH($A$1,[2]characters!$1:$1,0)+1,FALSE)</f>
        <v>女性</v>
      </c>
      <c r="G390" s="77">
        <f ca="1">VLOOKUP($A390,OFFSET([2]characters!$A$1,0,0,COUNTA([2]characters!$A:$A),MATCH(G$1,[2]characters!$1:$1,0)-MATCH($A$1,[2]characters!$1:$1,0)+1),MATCH(G$1,[2]characters!$1:$1,0)-MATCH($A$1,[2]characters!$1:$1,0)+1,FALSE)</f>
        <v>5</v>
      </c>
      <c r="H390" s="77" t="str">
        <f ca="1">VLOOKUP($A390,OFFSET([2]characters!$A$1,0,0,COUNTA([2]characters!$A:$A),MATCH(H$1,[2]characters!$1:$1,0)-MATCH($A$1,[2]characters!$1:$1,0)+1),MATCH(H$1,[2]characters!$1:$1,0)-MATCH($A$1,[2]characters!$1:$1,0)+1,FALSE)</f>
        <v>PremiumS</v>
      </c>
      <c r="I390" s="77" t="str">
        <f ca="1">VLOOKUP($A390,OFFSET([2]characters!$A$1,0,0,COUNTA([2]characters!$A:$A),MATCH(I$1,[2]characters!$1:$1,0)-MATCH($A$1,[2]characters!$1:$1,0)+1),MATCH(I$1,[2]characters!$1:$1,0)-MATCH($A$1,[2]characters!$1:$1,0)+1,FALSE)</f>
        <v>yellow</v>
      </c>
      <c r="J390" s="14">
        <f ca="1">VLOOKUP(I390,[2]属性!$A:$E,2,FALSE)</f>
        <v>0.98</v>
      </c>
      <c r="K390" s="14">
        <f ca="1">VLOOKUP(I390,[2]属性!$A:$E,3,FALSE)</f>
        <v>1.01</v>
      </c>
      <c r="L390" s="14">
        <f ca="1">VLOOKUP(I390,[2]属性!$A:$E,4,FALSE)</f>
        <v>1</v>
      </c>
      <c r="M390" s="14">
        <f ca="1">VLOOKUP(I390,[2]属性!$A:$E,5,FALSE)</f>
        <v>1.01</v>
      </c>
      <c r="N390" s="14">
        <f ca="1">INDEX(コスト!$A$1:$I$20,MATCH(H390,コスト!$A$1:$A$20,FALSE),MATCH(G390,コスト!$A$1:$I$1,FALSE))</f>
        <v>30</v>
      </c>
      <c r="O390" s="14">
        <f ca="1">INDEX(レベル!$A$1:$I$21,MATCH(H390,レベル!$A$1:$A$21,FALSE),MATCH(G390,レベル!$A$1:$I$1,FALSE))</f>
        <v>80</v>
      </c>
      <c r="P390" s="63">
        <f t="shared" ca="1" si="55"/>
        <v>75</v>
      </c>
      <c r="Q390" s="77" t="str">
        <f ca="1">VLOOKUP($A390,OFFSET([2]characters!$A$1,0,0,COUNTA([2]characters!$A:$A),MATCH(Q$1,[2]characters!$1:$1,0)-MATCH($A$1,[2]characters!$1:$1,0)+1),MATCH(Q$1,[2]characters!$1:$1,0)-MATCH($A$1,[2]characters!$1:$1,0)+1,FALSE)</f>
        <v>heal</v>
      </c>
      <c r="R390" s="8" t="str">
        <f ca="1">VLOOKUP(Q390,[2]character_type_i18n!$A:$H,3,FALSE)</f>
        <v>回復タイプ</v>
      </c>
      <c r="S390" s="14">
        <f ca="1">VLOOKUP(Q390,[2]character_type_i18n!$A:$H,4,FALSE)</f>
        <v>0.8</v>
      </c>
      <c r="T390" s="14">
        <f ca="1">VLOOKUP(Q390,[2]character_type_i18n!$A:$H,5,FALSE)</f>
        <v>0.78</v>
      </c>
      <c r="U390" s="14">
        <f ca="1">VLOOKUP(Q390,[2]character_type_i18n!$A:$H,6,FALSE)</f>
        <v>1</v>
      </c>
      <c r="V390" s="14">
        <f ca="1">VLOOKUP(Q390,[2]character_type_i18n!$A:$H,7,FALSE)</f>
        <v>1.42</v>
      </c>
      <c r="W390" s="77" t="str">
        <f ca="1">VLOOKUP($A390,OFFSET([2]characters!$A$1,0,0,COUNTA([2]characters!$A:$A),MATCH(W$1,[2]characters!$1:$1,0)-MATCH($A$1,[2]characters!$1:$1,0)+1),MATCH(W$1,[2]characters!$1:$1,0)-MATCH($A$1,[2]characters!$1:$1,0)+1,FALSE)</f>
        <v>animal</v>
      </c>
      <c r="X390" s="8" t="str">
        <f ca="1">VLOOKUP(W390,[2]character_tribe_i18n!$A:$H,3,FALSE)</f>
        <v>アニマル</v>
      </c>
      <c r="Y390" s="77" t="str">
        <f ca="1">VLOOKUP($A390,OFFSET([2]characters!$A$1,0,0,COUNTA([2]characters!$A:$A),MATCH(Y$1,[2]characters!$1:$1,0)-MATCH($A$1,[2]characters!$1:$1,0)+1),MATCH(Y$1,[2]characters!$1:$1,0)-MATCH($A$1,[2]characters!$1:$1,0)+1,FALSE)</f>
        <v>none</v>
      </c>
      <c r="Z390" s="8" t="str">
        <f ca="1">VLOOKUP(Y390,[2]character_tribe_i18n!$A:$H,3,FALSE)</f>
        <v>種族なし</v>
      </c>
      <c r="AA390" s="14">
        <f ca="1">VLOOKUP(W390,[2]character_tribe_i18n!$A:$H,4,FALSE)</f>
        <v>1</v>
      </c>
      <c r="AB390" s="14">
        <f ca="1">VLOOKUP(W390,[2]character_tribe_i18n!$A:$H,5,FALSE)</f>
        <v>1.1000000000000001</v>
      </c>
      <c r="AC390" s="14">
        <f ca="1">VLOOKUP(W390,[2]character_tribe_i18n!$A:$H,6,FALSE)</f>
        <v>1</v>
      </c>
      <c r="AD390" s="14">
        <f ca="1">VLOOKUP(W390,[2]character_tribe_i18n!$A:$H,7,FALSE)</f>
        <v>0.9</v>
      </c>
      <c r="AE390" s="12" t="s">
        <v>102</v>
      </c>
      <c r="AF390" s="85" t="str">
        <f ca="1">IF(AE390="NULL","",VLOOKUP($AE390,OFFSET([2]characters!$A$1,0,0,COUNTA([2]characters!$A:$A),MATCH(AF$1,[2]characters!$1:$1,0)-MATCH($A$1,[2]characters!$1:$1,0)+1),MATCH(AF$1,[2]characters!$1:$1,0)-MATCH($A$1,[2]characters!$1:$1,0)+1,FALSE))</f>
        <v/>
      </c>
      <c r="AG390" s="8">
        <f t="shared" ca="1" si="52"/>
        <v>387</v>
      </c>
      <c r="AH390" s="85" t="str">
        <f ca="1">VLOOKUP($AG390,OFFSET([2]characters!$A$1,0,0,COUNTA([2]characters!$A:$A),MATCH(AH$1,[2]characters!$1:$1,0)-MATCH($A$1,[2]characters!$1:$1,0)+1),MATCH(AH$1,[2]characters!$1:$1,0)-MATCH($A$1,[2]characters!$1:$1,0)+1,FALSE)</f>
        <v>スフィンクス</v>
      </c>
      <c r="AI390" s="14" t="str">
        <f>IF(AE390="NULL","NULL",VLOOKUP(G390,ビット!$A$2:$B$7,2))</f>
        <v>NULL</v>
      </c>
      <c r="AJ390" s="9">
        <v>2</v>
      </c>
      <c r="AK390" s="10" t="str">
        <f t="shared" si="58"/>
        <v>普通</v>
      </c>
      <c r="AL390" s="14" t="str">
        <f ca="1">INDEX(経験値!$A$1:$I$20,MATCH(H390,経験値!$A$1:$A$20,FALSE),MATCH(G390,経験値!$A$1:$I$1,FALSE))</f>
        <v>required_exp_200</v>
      </c>
      <c r="AM390" s="11">
        <f ca="1">VLOOKUP(G390,経験値!$A$27:$B$31,2)</f>
        <v>6400</v>
      </c>
      <c r="AN390" s="21">
        <f ca="1">VLOOKUP(G390,ビット!$G$2:$H$7,2)</f>
        <v>900</v>
      </c>
      <c r="AO390" s="57"/>
      <c r="AP390" s="101">
        <v>714004</v>
      </c>
      <c r="AQ390" s="77" t="e">
        <f ca="1">VLOOKUP($AP390,OFFSET([1]unit_skills!$A$1,0,0,COUNTA([1]unit_skills!$A:$A),MATCH("name",[1]unit_skills!$1:$1,0)-MATCH($AP$1,[1]unit_skills!$1:$1,0)+1),MATCH("name",[1]unit_skills!$1:$1,0)-MATCH($AP$1,[1]unit_skills!$1:$1,0)+1,FALSE)</f>
        <v>#VALUE!</v>
      </c>
      <c r="AR390" s="77" t="e">
        <f ca="1">VLOOKUP($AP390,OFFSET([1]unit_skills!$A$1,0,0,COUNTA([1]unit_skills!$A:$A),MATCH("comment",[1]unit_skills!$1:$1,0)-MATCH($AP$1,[1]unit_skills!$1:$1,0)+1),MATCH("comment",[1]unit_skills!$1:$1,0)-MATCH($AP$1,[1]unit_skills!$1:$1,0)+1,FALSE)</f>
        <v>#VALUE!</v>
      </c>
      <c r="AS390" s="77" t="e">
        <f ca="1">VLOOKUP($AP390,OFFSET([1]unit_skills!$A$1,0,0,COUNTA([1]unit_skills!$A:$A),MATCH(AS$1,[1]unit_skills!$1:$1,0)-MATCH($AP$1,[1]unit_skills!$1:$1,0)+1),MATCH(AS$1,[1]unit_skills!$1:$1,0)-MATCH($AP$1,[1]unit_skills!$1:$1,0)+1,FALSE)</f>
        <v>#VALUE!</v>
      </c>
      <c r="AT390" s="53">
        <v>500004</v>
      </c>
      <c r="AU390" s="77" t="e">
        <f ca="1">VLOOKUP($AT390,OFFSET([1]crash_skills!$A$1,0,0,COUNTA([1]crash_skills!$A:$A),MATCH("name",[1]crash_skills!$1:$1,0)-MATCH($AT$1,[1]crash_skills!$1:$1,0)+1),MATCH("name",[1]crash_skills!$1:$1,0)-MATCH($AT$1,[1]crash_skills!$1:$1,0)+1,FALSE)</f>
        <v>#VALUE!</v>
      </c>
      <c r="AV390" s="77" t="e">
        <f ca="1">VLOOKUP($AT390,OFFSET([1]crash_skills!$A$1,0,0,COUNTA([1]crash_skills!$A:$A),MATCH("comment",[1]crash_skills!$1:$1,0)-MATCH($AT$1,[1]crash_skills!$1:$1,0)+1),MATCH("comment",[1]crash_skills!$1:$1,0)-MATCH($AT$1,[1]crash_skills!$1:$1,0)+1,FALSE)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90" s="77" t="e">
        <f ca="1">VLOOKUP($AT390,OFFSET([1]crash_skills!$A$1,0,0,COUNTA([1]crash_skills!$A:$A),MATCH(AW$1,[1]crash_skills!$1:$1,0)-MATCH($AT$1,[1]crash_skills!$1:$1,0)+1),MATCH(AW$1,[1]crash_skills!$1:$1,0)-MATCH($AT$1,[1]crash_skills!$1:$1,0)+1,FALSE)</f>
        <v>#VALUE!</v>
      </c>
      <c r="AX390" s="81">
        <f ca="1">VLOOKUP($A390,OFFSET([2]characters!$A$1,0,0,COUNTA([2]characters!$A:$A),MATCH(AX$1,[2]characters!$1:$1,0)-MATCH($A$1,[2]characters!$1:$1,0)+1),MATCH(AX$1,[2]characters!$1:$1,0)-MATCH($A$1,[2]characters!$1:$1,0)+1,FALSE)</f>
        <v>3</v>
      </c>
      <c r="AY390" s="139">
        <v>0.8</v>
      </c>
      <c r="AZ390" s="139">
        <v>0.8</v>
      </c>
      <c r="BA390" s="139">
        <v>0</v>
      </c>
      <c r="BB390" s="139">
        <v>1.2</v>
      </c>
      <c r="BC390" s="14">
        <f ca="1">INDEX('RC6SV'!$A$1:$G$20,MATCH(H390,'RC6SV'!$A$1:$A$20,FALSE),MATCH(G390,'RC6SV'!$A$1:$G$1,FALSE))</f>
        <v>9000</v>
      </c>
      <c r="BD390" s="63">
        <f t="shared" ca="1" si="59"/>
        <v>9000</v>
      </c>
      <c r="BE390" s="14">
        <f t="shared" ca="1" si="53"/>
        <v>7000</v>
      </c>
      <c r="BF390" s="14">
        <f t="shared" ca="1" si="54"/>
        <v>1</v>
      </c>
      <c r="BG390" s="20">
        <f ca="1">IF($BE390&lt;=0,ROUND(BK390*0.5,0), ROUND($BE390*S390*AA390*J390*AY390*0.8*[2]ステータス!$B$2,0))</f>
        <v>1756</v>
      </c>
      <c r="BH390" s="20">
        <f ca="1">IF($BE390&lt;=0,ROUND(BL390*0.5,0), ROUND($BE390*T390*AB390*K390*AZ390*0.8*[2]ステータス!$C$2,0))</f>
        <v>1165</v>
      </c>
      <c r="BI390" s="20">
        <f ca="1">IF($BE390&lt;=0,ROUND(BM390*0.5,0), ROUND($BE390*U390*AC390*L390*BA390*0.8*[2]ステータス!$D$2,0))</f>
        <v>0</v>
      </c>
      <c r="BJ390" s="20">
        <f ca="1">IF($BE390&lt;=0,ROUND(BN390*0.5,0), ROUND($BE390*V390*AD390*M390*BB390*0.8*[2]ステータス!$E$2,0))</f>
        <v>2169</v>
      </c>
      <c r="BK390" s="14">
        <f ca="1">ROUND(BD390*S390*AA390*J390*AY390*[2]ステータス!$B$2,0)</f>
        <v>2822</v>
      </c>
      <c r="BL390" s="14">
        <f ca="1">ROUND(BD390*T390*AB390*K390*AZ390*[2]ステータス!$C$2,0)</f>
        <v>1872</v>
      </c>
      <c r="BM390" s="14">
        <f ca="1">ROUND(BD390*U390*AC390*L390*BA390*[2]ステータス!$D$2,0)</f>
        <v>0</v>
      </c>
      <c r="BN390" s="14">
        <f ca="1">ROUND(BD390*V390*AD390*M390*BB390*[2]ステータス!$E$2,0)</f>
        <v>3485</v>
      </c>
      <c r="BO390" s="13">
        <v>0</v>
      </c>
      <c r="BP390" s="13">
        <v>1</v>
      </c>
      <c r="BQ390" s="49" t="s">
        <v>102</v>
      </c>
      <c r="BR390" s="13">
        <f ca="1">VLOOKUP(H390,ghosts_label!$A$2:$B$19,2,FALSE)</f>
        <v>700</v>
      </c>
    </row>
    <row r="391" spans="1:70" ht="21" customHeight="1" x14ac:dyDescent="0.15">
      <c r="A391" s="14">
        <f t="shared" ca="1" si="51"/>
        <v>390</v>
      </c>
      <c r="B391" s="77" t="str">
        <f ca="1">VLOOKUP($A391,OFFSET([2]characters!$A$1,0,0,COUNTA([2]characters!$A:$A),MATCH(B$1,[2]characters!$1:$1,0)-MATCH($A$1,[2]characters!$1:$1,0)+1),MATCH(B$1,[2]characters!$1:$1,0)-MATCH($A$1,[2]characters!$1:$1,0)+1,FALSE)</f>
        <v>華環の旅客 親指姫</v>
      </c>
      <c r="C391" s="77" t="str">
        <f ca="1">VLOOKUP($A391,OFFSET([2]characters!$A$1,0,0,COUNTA([2]characters!$A:$A),MATCH(C$1,[2]characters!$1:$1,0)-MATCH($A$1,[2]characters!$1:$1,0)+1),MATCH(C$1,[2]characters!$1:$1,0)-MATCH($A$1,[2]characters!$1:$1,0)+1,FALSE)</f>
        <v>ガチャ:アリスの絵本01</v>
      </c>
      <c r="D391" s="77" t="str">
        <f ca="1">VLOOKUP($A391,OFFSET([2]characters!$A$1,0,0,COUNTA([2]characters!$A:$A),MATCH(D$1,[2]characters!$1:$1,0)-MATCH($A$1,[2]characters!$1:$1,0)+1),MATCH(D$1,[2]characters!$1:$1,0)-MATCH($A$1,[2]characters!$1:$1,0)+1,FALSE)</f>
        <v>執行者</v>
      </c>
      <c r="E391" s="77" t="str">
        <f ca="1">VLOOKUP($A391,OFFSET([2]characters!$A$1,0,0,COUNTA([2]characters!$A:$A),MATCH(E$1,[2]characters!$1:$1,0)-MATCH($A$1,[2]characters!$1:$1,0)+1),MATCH(E$1,[2]characters!$1:$1,0)-MATCH($A$1,[2]characters!$1:$1,0)+1,FALSE)</f>
        <v>格好いい</v>
      </c>
      <c r="F391" s="77" t="str">
        <f ca="1">VLOOKUP($A391,OFFSET([2]characters!$A$1,0,0,COUNTA([2]characters!$A:$A),MATCH(F$1,[2]characters!$1:$1,0)-MATCH($A$1,[2]characters!$1:$1,0)+1),MATCH(F$1,[2]characters!$1:$1,0)-MATCH($A$1,[2]characters!$1:$1,0)+1,FALSE)</f>
        <v>女性</v>
      </c>
      <c r="G391" s="77">
        <f ca="1">VLOOKUP($A391,OFFSET([2]characters!$A$1,0,0,COUNTA([2]characters!$A:$A),MATCH(G$1,[2]characters!$1:$1,0)-MATCH($A$1,[2]characters!$1:$1,0)+1),MATCH(G$1,[2]characters!$1:$1,0)-MATCH($A$1,[2]characters!$1:$1,0)+1,FALSE)</f>
        <v>4</v>
      </c>
      <c r="H391" s="77" t="str">
        <f ca="1">VLOOKUP($A391,OFFSET([2]characters!$A$1,0,0,COUNTA([2]characters!$A:$A),MATCH(H$1,[2]characters!$1:$1,0)-MATCH($A$1,[2]characters!$1:$1,0)+1),MATCH(H$1,[2]characters!$1:$1,0)-MATCH($A$1,[2]characters!$1:$1,0)+1,FALSE)</f>
        <v>PremiumSS</v>
      </c>
      <c r="I391" s="77" t="str">
        <f ca="1">VLOOKUP($A391,OFFSET([2]characters!$A$1,0,0,COUNTA([2]characters!$A:$A),MATCH(I$1,[2]characters!$1:$1,0)-MATCH($A$1,[2]characters!$1:$1,0)+1),MATCH(I$1,[2]characters!$1:$1,0)-MATCH($A$1,[2]characters!$1:$1,0)+1,FALSE)</f>
        <v>red</v>
      </c>
      <c r="J391" s="14">
        <f ca="1">VLOOKUP(I391,[2]属性!$A:$E,2,FALSE)</f>
        <v>1</v>
      </c>
      <c r="K391" s="14">
        <f ca="1">VLOOKUP(I391,[2]属性!$A:$E,3,FALSE)</f>
        <v>1.02</v>
      </c>
      <c r="L391" s="14">
        <f ca="1">VLOOKUP(I391,[2]属性!$A:$E,4,FALSE)</f>
        <v>1</v>
      </c>
      <c r="M391" s="14">
        <f ca="1">VLOOKUP(I391,[2]属性!$A:$E,5,FALSE)</f>
        <v>0.98</v>
      </c>
      <c r="N391" s="14">
        <f ca="1">INDEX(コスト!$A$1:$I$20,MATCH(H391,コスト!$A$1:$A$20,FALSE),MATCH(G391,コスト!$A$1:$I$1,FALSE))</f>
        <v>25</v>
      </c>
      <c r="O391" s="14">
        <f ca="1">INDEX(レベル!$A$1:$I$21,MATCH(H391,レベル!$A$1:$A$21,FALSE),MATCH(G391,レベル!$A$1:$I$1,FALSE))</f>
        <v>60</v>
      </c>
      <c r="P391" s="63">
        <f t="shared" ca="1" si="55"/>
        <v>60</v>
      </c>
      <c r="Q391" s="77" t="str">
        <f ca="1">VLOOKUP($A391,OFFSET([2]characters!$A$1,0,0,COUNTA([2]characters!$A:$A),MATCH(Q$1,[2]characters!$1:$1,0)-MATCH($A$1,[2]characters!$1:$1,0)+1),MATCH(Q$1,[2]characters!$1:$1,0)-MATCH($A$1,[2]characters!$1:$1,0)+1,FALSE)</f>
        <v>heal</v>
      </c>
      <c r="R391" s="8" t="str">
        <f ca="1">VLOOKUP(Q391,[2]character_type_i18n!$A:$H,3,FALSE)</f>
        <v>回復タイプ</v>
      </c>
      <c r="S391" s="14">
        <f ca="1">VLOOKUP(Q391,[2]character_type_i18n!$A:$H,4,FALSE)</f>
        <v>0.8</v>
      </c>
      <c r="T391" s="14">
        <f ca="1">VLOOKUP(Q391,[2]character_type_i18n!$A:$H,5,FALSE)</f>
        <v>0.78</v>
      </c>
      <c r="U391" s="14">
        <f ca="1">VLOOKUP(Q391,[2]character_type_i18n!$A:$H,6,FALSE)</f>
        <v>1</v>
      </c>
      <c r="V391" s="14">
        <f ca="1">VLOOKUP(Q391,[2]character_type_i18n!$A:$H,7,FALSE)</f>
        <v>1.42</v>
      </c>
      <c r="W391" s="77" t="str">
        <f ca="1">VLOOKUP($A391,OFFSET([2]characters!$A$1,0,0,COUNTA([2]characters!$A:$A),MATCH(W$1,[2]characters!$1:$1,0)-MATCH($A$1,[2]characters!$1:$1,0)+1),MATCH(W$1,[2]characters!$1:$1,0)-MATCH($A$1,[2]characters!$1:$1,0)+1,FALSE)</f>
        <v>human</v>
      </c>
      <c r="X391" s="8" t="str">
        <f ca="1">VLOOKUP(W391,[2]character_tribe_i18n!$A:$H,3,FALSE)</f>
        <v>ヒューマン</v>
      </c>
      <c r="Y391" s="77" t="str">
        <f ca="1">VLOOKUP($A391,OFFSET([2]characters!$A$1,0,0,COUNTA([2]characters!$A:$A),MATCH(Y$1,[2]characters!$1:$1,0)-MATCH($A$1,[2]characters!$1:$1,0)+1),MATCH(Y$1,[2]characters!$1:$1,0)-MATCH($A$1,[2]characters!$1:$1,0)+1,FALSE)</f>
        <v>machine</v>
      </c>
      <c r="Z391" s="8" t="str">
        <f ca="1">VLOOKUP(Y391,[2]character_tribe_i18n!$A:$H,3,FALSE)</f>
        <v>マシン</v>
      </c>
      <c r="AA391" s="14">
        <f ca="1">VLOOKUP(W391,[2]character_tribe_i18n!$A:$H,4,FALSE)</f>
        <v>0.94</v>
      </c>
      <c r="AB391" s="14">
        <f ca="1">VLOOKUP(W391,[2]character_tribe_i18n!$A:$H,5,FALSE)</f>
        <v>0.99</v>
      </c>
      <c r="AC391" s="14">
        <f ca="1">VLOOKUP(W391,[2]character_tribe_i18n!$A:$H,6,FALSE)</f>
        <v>1</v>
      </c>
      <c r="AD391" s="14">
        <f ca="1">VLOOKUP(W391,[2]character_tribe_i18n!$A:$H,7,FALSE)</f>
        <v>1.07</v>
      </c>
      <c r="AE391" s="12">
        <v>391</v>
      </c>
      <c r="AF391" s="85" t="str">
        <f ca="1">IF(AE391="NULL","",VLOOKUP($AE391,OFFSET([2]characters!$A$1,0,0,COUNTA([2]characters!$A:$A),MATCH(AF$1,[2]characters!$1:$1,0)-MATCH($A$1,[2]characters!$1:$1,0)+1),MATCH(AF$1,[2]characters!$1:$1,0)-MATCH($A$1,[2]characters!$1:$1,0)+1,FALSE))</f>
        <v>燕翼の旅人 親指姫</v>
      </c>
      <c r="AG391" s="8">
        <f t="shared" ca="1" si="52"/>
        <v>390</v>
      </c>
      <c r="AH391" s="85" t="str">
        <f ca="1">VLOOKUP($AG391,OFFSET([2]characters!$A$1,0,0,COUNTA([2]characters!$A:$A),MATCH(AH$1,[2]characters!$1:$1,0)-MATCH($A$1,[2]characters!$1:$1,0)+1),MATCH(AH$1,[2]characters!$1:$1,0)-MATCH($A$1,[2]characters!$1:$1,0)+1,FALSE)</f>
        <v>華環の旅客 親指姫</v>
      </c>
      <c r="AI391" s="14">
        <f ca="1">IF(AE391="NULL","NULL",VLOOKUP(G391,ビット!$A$2:$B$7,2))</f>
        <v>50000</v>
      </c>
      <c r="AJ391" s="9">
        <v>2</v>
      </c>
      <c r="AK391" s="10" t="str">
        <f t="shared" ref="AK391" si="60">IF(AJ391=1,"早熟",IF(AJ391=2,"普通",IF(AJ391=3,"晩成","")))</f>
        <v>普通</v>
      </c>
      <c r="AL391" s="14" t="str">
        <f ca="1">INDEX(経験値!$A$1:$I$20,MATCH(H391,経験値!$A$1:$A$20,FALSE),MATCH(G391,経験値!$A$1:$I$1,FALSE))</f>
        <v>required_exp_200</v>
      </c>
      <c r="AM391" s="11">
        <f ca="1">VLOOKUP(G391,経験値!$A$27:$B$31,2)</f>
        <v>3400</v>
      </c>
      <c r="AN391" s="21">
        <f ca="1">VLOOKUP(G391,ビット!$G$2:$H$7,2)</f>
        <v>600</v>
      </c>
      <c r="AO391" s="57"/>
      <c r="AP391" s="101">
        <v>221004</v>
      </c>
      <c r="AQ391" s="77" t="e">
        <f ca="1">VLOOKUP($AP391,OFFSET([1]unit_skills!$A$1,0,0,COUNTA([1]unit_skills!$A:$A),MATCH("name",[1]unit_skills!$1:$1,0)-MATCH($AP$1,[1]unit_skills!$1:$1,0)+1),MATCH("name",[1]unit_skills!$1:$1,0)-MATCH($AP$1,[1]unit_skills!$1:$1,0)+1,FALSE)</f>
        <v>#VALUE!</v>
      </c>
      <c r="AR391" s="77" t="e">
        <f ca="1">VLOOKUP($AP391,OFFSET([1]unit_skills!$A$1,0,0,COUNTA([1]unit_skills!$A:$A),MATCH("comment",[1]unit_skills!$1:$1,0)-MATCH($AP$1,[1]unit_skills!$1:$1,0)+1),MATCH("comment",[1]unit_skills!$1:$1,0)-MATCH($AP$1,[1]unit_skills!$1:$1,0)+1,FALSE)</f>
        <v>#VALUE!</v>
      </c>
      <c r="AS391" s="77" t="e">
        <f ca="1">VLOOKUP($AP391,OFFSET([1]unit_skills!$A$1,0,0,COUNTA([1]unit_skills!$A:$A),MATCH(AS$1,[1]unit_skills!$1:$1,0)-MATCH($AP$1,[1]unit_skills!$1:$1,0)+1),MATCH(AS$1,[1]unit_skills!$1:$1,0)-MATCH($AP$1,[1]unit_skills!$1:$1,0)+1,FALSE)</f>
        <v>#VALUE!</v>
      </c>
      <c r="AT391" s="97">
        <v>233001</v>
      </c>
      <c r="AU391" s="77" t="e">
        <f ca="1">VLOOKUP($AT391,OFFSET([1]crash_skills!$A$1,0,0,COUNTA([1]crash_skills!$A:$A),MATCH("name",[1]crash_skills!$1:$1,0)-MATCH($AT$1,[1]crash_skills!$1:$1,0)+1),MATCH("name",[1]crash_skills!$1:$1,0)-MATCH($AT$1,[1]crash_skills!$1:$1,0)+1,FALSE)</f>
        <v>#VALUE!</v>
      </c>
      <c r="AV391" s="77" t="e">
        <f ca="1">VLOOKUP($AT391,OFFSET([1]crash_skills!$A$1,0,0,COUNTA([1]crash_skills!$A:$A),MATCH("comment",[1]crash_skills!$1:$1,0)-MATCH($AT$1,[1]crash_skills!$1:$1,0)+1),MATCH("comment",[1]crash_skills!$1:$1,0)-MATCH($AT$1,[1]crash_skills!$1:$1,0)+1,FALSE)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91" s="77" t="e">
        <f ca="1">VLOOKUP($AT391,OFFSET([1]crash_skills!$A$1,0,0,COUNTA([1]crash_skills!$A:$A),MATCH(AW$1,[1]crash_skills!$1:$1,0)-MATCH($AT$1,[1]crash_skills!$1:$1,0)+1),MATCH(AW$1,[1]crash_skills!$1:$1,0)-MATCH($AT$1,[1]crash_skills!$1:$1,0)+1,FALSE)</f>
        <v>#VALUE!</v>
      </c>
      <c r="AX391" s="81">
        <f ca="1">VLOOKUP($A391,OFFSET([2]characters!$A$1,0,0,COUNTA([2]characters!$A:$A),MATCH(AX$1,[2]characters!$1:$1,0)-MATCH($A$1,[2]characters!$1:$1,0)+1),MATCH(AX$1,[2]characters!$1:$1,0)-MATCH($A$1,[2]characters!$1:$1,0)+1,FALSE)</f>
        <v>3</v>
      </c>
      <c r="AY391" s="139">
        <v>0.89</v>
      </c>
      <c r="AZ391" s="139">
        <v>1</v>
      </c>
      <c r="BA391" s="139">
        <v>0</v>
      </c>
      <c r="BB391" s="139">
        <v>1.1000000000000001</v>
      </c>
      <c r="BC391" s="14">
        <f ca="1">INDEX('RC6SV'!$A$1:$G$20,MATCH(H391,'RC6SV'!$A$1:$A$20,FALSE),MATCH(G391,'RC6SV'!$A$1:$G$1,FALSE))</f>
        <v>7500</v>
      </c>
      <c r="BD391" s="63">
        <f t="shared" ref="BD391" ca="1" si="61">ROUND(BC391*IF(AJ391=1,0.95,IF(AJ391=2,1,IF(AJ391,1.05,0))),0)</f>
        <v>7500</v>
      </c>
      <c r="BE391" s="14">
        <f t="shared" ca="1" si="53"/>
        <v>0</v>
      </c>
      <c r="BF391" s="14">
        <f t="shared" ca="1" si="54"/>
        <v>1</v>
      </c>
      <c r="BG391" s="20">
        <f ca="1">IF($BE391&lt;=0,ROUND(BK391*0.5,0), ROUND($BE391*S391*AA391*J391*AY391*0.8*[2]ステータス!$B$2,0))</f>
        <v>1255</v>
      </c>
      <c r="BH391" s="20">
        <f ca="1">IF($BE391&lt;=0,ROUND(BL391*0.5,0), ROUND($BE391*T391*AB391*K391*AZ391*0.8*[2]ステータス!$C$2,0))</f>
        <v>886</v>
      </c>
      <c r="BI391" s="20">
        <f ca="1">IF($BE391&lt;=0,ROUND(BM391*0.5,0), ROUND($BE391*U391*AC391*L391*BA391*0.8*[2]ステータス!$D$2,0))</f>
        <v>0</v>
      </c>
      <c r="BJ391" s="20">
        <f ca="1">IF($BE391&lt;=0,ROUND(BN391*0.5,0), ROUND($BE391*V391*AD391*M391*BB391*0.8*[2]ステータス!$E$2,0))</f>
        <v>1536</v>
      </c>
      <c r="BK391" s="14">
        <f ca="1">ROUND(BD391*S391*AA391*J391*AY391*[2]ステータス!$B$2,0)</f>
        <v>2510</v>
      </c>
      <c r="BL391" s="14">
        <f ca="1">ROUND(BD391*T391*AB391*K391*AZ391*[2]ステータス!$C$2,0)</f>
        <v>1772</v>
      </c>
      <c r="BM391" s="14">
        <f ca="1">ROUND(BD391*U391*AC391*L391*BA391*[2]ステータス!$D$2,0)</f>
        <v>0</v>
      </c>
      <c r="BN391" s="14">
        <f ca="1">ROUND(BD391*V391*AD391*M391*BB391*[2]ステータス!$E$2,0)</f>
        <v>3071</v>
      </c>
      <c r="BO391" s="13">
        <v>0</v>
      </c>
      <c r="BP391" s="13">
        <v>1</v>
      </c>
      <c r="BQ391" s="49" t="s">
        <v>102</v>
      </c>
      <c r="BR391" s="13">
        <f ca="1">VLOOKUP(H391,ghosts_label!$A$2:$B$19,2,FALSE)</f>
        <v>5500</v>
      </c>
    </row>
    <row r="392" spans="1:70" ht="21" customHeight="1" x14ac:dyDescent="0.15">
      <c r="A392" s="14">
        <f t="shared" ca="1" si="51"/>
        <v>391</v>
      </c>
      <c r="B392" s="77" t="str">
        <f ca="1">VLOOKUP($A392,OFFSET([2]characters!$A$1,0,0,COUNTA([2]characters!$A:$A),MATCH(B$1,[2]characters!$1:$1,0)-MATCH($A$1,[2]characters!$1:$1,0)+1),MATCH(B$1,[2]characters!$1:$1,0)-MATCH($A$1,[2]characters!$1:$1,0)+1,FALSE)</f>
        <v>燕翼の旅人 親指姫</v>
      </c>
      <c r="C392" s="77" t="str">
        <f ca="1">VLOOKUP($A392,OFFSET([2]characters!$A$1,0,0,COUNTA([2]characters!$A:$A),MATCH(C$1,[2]characters!$1:$1,0)-MATCH($A$1,[2]characters!$1:$1,0)+1),MATCH(C$1,[2]characters!$1:$1,0)-MATCH($A$1,[2]characters!$1:$1,0)+1,FALSE)</f>
        <v>ガチャ:アリスの絵本01</v>
      </c>
      <c r="D392" s="77" t="str">
        <f ca="1">VLOOKUP($A392,OFFSET([2]characters!$A$1,0,0,COUNTA([2]characters!$A:$A),MATCH(D$1,[2]characters!$1:$1,0)-MATCH($A$1,[2]characters!$1:$1,0)+1),MATCH(D$1,[2]characters!$1:$1,0)-MATCH($A$1,[2]characters!$1:$1,0)+1,FALSE)</f>
        <v>執行者</v>
      </c>
      <c r="E392" s="77" t="str">
        <f ca="1">VLOOKUP($A392,OFFSET([2]characters!$A$1,0,0,COUNTA([2]characters!$A:$A),MATCH(E$1,[2]characters!$1:$1,0)-MATCH($A$1,[2]characters!$1:$1,0)+1),MATCH(E$1,[2]characters!$1:$1,0)-MATCH($A$1,[2]characters!$1:$1,0)+1,FALSE)</f>
        <v>格好いい</v>
      </c>
      <c r="F392" s="77" t="str">
        <f ca="1">VLOOKUP($A392,OFFSET([2]characters!$A$1,0,0,COUNTA([2]characters!$A:$A),MATCH(F$1,[2]characters!$1:$1,0)-MATCH($A$1,[2]characters!$1:$1,0)+1),MATCH(F$1,[2]characters!$1:$1,0)-MATCH($A$1,[2]characters!$1:$1,0)+1,FALSE)</f>
        <v>女性</v>
      </c>
      <c r="G392" s="77">
        <f ca="1">VLOOKUP($A392,OFFSET([2]characters!$A$1,0,0,COUNTA([2]characters!$A:$A),MATCH(G$1,[2]characters!$1:$1,0)-MATCH($A$1,[2]characters!$1:$1,0)+1),MATCH(G$1,[2]characters!$1:$1,0)-MATCH($A$1,[2]characters!$1:$1,0)+1,FALSE)</f>
        <v>5</v>
      </c>
      <c r="H392" s="77" t="str">
        <f ca="1">VLOOKUP($A392,OFFSET([2]characters!$A$1,0,0,COUNTA([2]characters!$A:$A),MATCH(H$1,[2]characters!$1:$1,0)-MATCH($A$1,[2]characters!$1:$1,0)+1),MATCH(H$1,[2]characters!$1:$1,0)-MATCH($A$1,[2]characters!$1:$1,0)+1,FALSE)</f>
        <v>PremiumSS</v>
      </c>
      <c r="I392" s="77" t="str">
        <f ca="1">VLOOKUP($A392,OFFSET([2]characters!$A$1,0,0,COUNTA([2]characters!$A:$A),MATCH(I$1,[2]characters!$1:$1,0)-MATCH($A$1,[2]characters!$1:$1,0)+1),MATCH(I$1,[2]characters!$1:$1,0)-MATCH($A$1,[2]characters!$1:$1,0)+1,FALSE)</f>
        <v>red</v>
      </c>
      <c r="J392" s="14">
        <f ca="1">VLOOKUP(I392,[2]属性!$A:$E,2,FALSE)</f>
        <v>1</v>
      </c>
      <c r="K392" s="14">
        <f ca="1">VLOOKUP(I392,[2]属性!$A:$E,3,FALSE)</f>
        <v>1.02</v>
      </c>
      <c r="L392" s="14">
        <f ca="1">VLOOKUP(I392,[2]属性!$A:$E,4,FALSE)</f>
        <v>1</v>
      </c>
      <c r="M392" s="14">
        <f ca="1">VLOOKUP(I392,[2]属性!$A:$E,5,FALSE)</f>
        <v>0.98</v>
      </c>
      <c r="N392" s="14">
        <f ca="1">INDEX(コスト!$A$1:$I$20,MATCH(H392,コスト!$A$1:$A$20,FALSE),MATCH(G392,コスト!$A$1:$I$1,FALSE))</f>
        <v>35</v>
      </c>
      <c r="O392" s="14">
        <f ca="1">INDEX(レベル!$A$1:$I$21,MATCH(H392,レベル!$A$1:$A$21,FALSE),MATCH(G392,レベル!$A$1:$I$1,FALSE))</f>
        <v>80</v>
      </c>
      <c r="P392" s="63">
        <f t="shared" ca="1" si="55"/>
        <v>75</v>
      </c>
      <c r="Q392" s="77" t="str">
        <f ca="1">VLOOKUP($A392,OFFSET([2]characters!$A$1,0,0,COUNTA([2]characters!$A:$A),MATCH(Q$1,[2]characters!$1:$1,0)-MATCH($A$1,[2]characters!$1:$1,0)+1),MATCH(Q$1,[2]characters!$1:$1,0)-MATCH($A$1,[2]characters!$1:$1,0)+1,FALSE)</f>
        <v>heal</v>
      </c>
      <c r="R392" s="8" t="str">
        <f ca="1">VLOOKUP(Q392,[2]character_type_i18n!$A:$H,3,FALSE)</f>
        <v>回復タイプ</v>
      </c>
      <c r="S392" s="14">
        <f ca="1">VLOOKUP(Q392,[2]character_type_i18n!$A:$H,4,FALSE)</f>
        <v>0.8</v>
      </c>
      <c r="T392" s="14">
        <f ca="1">VLOOKUP(Q392,[2]character_type_i18n!$A:$H,5,FALSE)</f>
        <v>0.78</v>
      </c>
      <c r="U392" s="14">
        <f ca="1">VLOOKUP(Q392,[2]character_type_i18n!$A:$H,6,FALSE)</f>
        <v>1</v>
      </c>
      <c r="V392" s="14">
        <f ca="1">VLOOKUP(Q392,[2]character_type_i18n!$A:$H,7,FALSE)</f>
        <v>1.42</v>
      </c>
      <c r="W392" s="77" t="str">
        <f ca="1">VLOOKUP($A392,OFFSET([2]characters!$A$1,0,0,COUNTA([2]characters!$A:$A),MATCH(W$1,[2]characters!$1:$1,0)-MATCH($A$1,[2]characters!$1:$1,0)+1),MATCH(W$1,[2]characters!$1:$1,0)-MATCH($A$1,[2]characters!$1:$1,0)+1,FALSE)</f>
        <v>human</v>
      </c>
      <c r="X392" s="8" t="str">
        <f ca="1">VLOOKUP(W392,[2]character_tribe_i18n!$A:$H,3,FALSE)</f>
        <v>ヒューマン</v>
      </c>
      <c r="Y392" s="77" t="str">
        <f ca="1">VLOOKUP($A392,OFFSET([2]characters!$A$1,0,0,COUNTA([2]characters!$A:$A),MATCH(Y$1,[2]characters!$1:$1,0)-MATCH($A$1,[2]characters!$1:$1,0)+1),MATCH(Y$1,[2]characters!$1:$1,0)-MATCH($A$1,[2]characters!$1:$1,0)+1,FALSE)</f>
        <v>machine</v>
      </c>
      <c r="Z392" s="8" t="str">
        <f ca="1">VLOOKUP(Y392,[2]character_tribe_i18n!$A:$H,3,FALSE)</f>
        <v>マシン</v>
      </c>
      <c r="AA392" s="14">
        <f ca="1">VLOOKUP(W392,[2]character_tribe_i18n!$A:$H,4,FALSE)</f>
        <v>0.94</v>
      </c>
      <c r="AB392" s="14">
        <f ca="1">VLOOKUP(W392,[2]character_tribe_i18n!$A:$H,5,FALSE)</f>
        <v>0.99</v>
      </c>
      <c r="AC392" s="14">
        <f ca="1">VLOOKUP(W392,[2]character_tribe_i18n!$A:$H,6,FALSE)</f>
        <v>1</v>
      </c>
      <c r="AD392" s="14">
        <f ca="1">VLOOKUP(W392,[2]character_tribe_i18n!$A:$H,7,FALSE)</f>
        <v>1.07</v>
      </c>
      <c r="AE392" s="12">
        <v>811</v>
      </c>
      <c r="AF392" s="85" t="str">
        <f ca="1">IF(AE392="NULL","",VLOOKUP($AE392,OFFSET([2]characters!$A$1,0,0,COUNTA([2]characters!$A:$A),MATCH(AF$1,[2]characters!$1:$1,0)-MATCH($A$1,[2]characters!$1:$1,0)+1),MATCH(AF$1,[2]characters!$1:$1,0)-MATCH($A$1,[2]characters!$1:$1,0)+1,FALSE))</f>
        <v>咲き誇る旅航者 親指姫</v>
      </c>
      <c r="AG392" s="8">
        <f t="shared" ca="1" si="52"/>
        <v>390</v>
      </c>
      <c r="AH392" s="85" t="str">
        <f ca="1">VLOOKUP($AG392,OFFSET([2]characters!$A$1,0,0,COUNTA([2]characters!$A:$A),MATCH(AH$1,[2]characters!$1:$1,0)-MATCH($A$1,[2]characters!$1:$1,0)+1),MATCH(AH$1,[2]characters!$1:$1,0)-MATCH($A$1,[2]characters!$1:$1,0)+1,FALSE)</f>
        <v>華環の旅客 親指姫</v>
      </c>
      <c r="AI392" s="14">
        <f ca="1">IF(AE392="NULL","NULL",VLOOKUP(G392,ビット!$A$2:$B$7,2))</f>
        <v>200000</v>
      </c>
      <c r="AJ392" s="9">
        <v>2</v>
      </c>
      <c r="AK392" s="10" t="str">
        <f t="shared" ref="AK392:AK399" si="62">IF(AJ392=1,"早熟",IF(AJ392=2,"普通",IF(AJ392=3,"晩成","")))</f>
        <v>普通</v>
      </c>
      <c r="AL392" s="14" t="str">
        <f ca="1">INDEX(経験値!$A$1:$I$20,MATCH(H392,経験値!$A$1:$A$20,FALSE),MATCH(G392,経験値!$A$1:$I$1,FALSE))</f>
        <v>required_exp_200</v>
      </c>
      <c r="AM392" s="11">
        <f ca="1">VLOOKUP(G392,経験値!$A$27:$B$31,2)</f>
        <v>6400</v>
      </c>
      <c r="AN392" s="21">
        <f ca="1">VLOOKUP(G392,ビット!$G$2:$H$7,2)</f>
        <v>900</v>
      </c>
      <c r="AO392" s="57"/>
      <c r="AP392" s="101">
        <v>221004</v>
      </c>
      <c r="AQ392" s="77" t="e">
        <f ca="1">VLOOKUP($AP392,OFFSET([1]unit_skills!$A$1,0,0,COUNTA([1]unit_skills!$A:$A),MATCH("name",[1]unit_skills!$1:$1,0)-MATCH($AP$1,[1]unit_skills!$1:$1,0)+1),MATCH("name",[1]unit_skills!$1:$1,0)-MATCH($AP$1,[1]unit_skills!$1:$1,0)+1,FALSE)</f>
        <v>#VALUE!</v>
      </c>
      <c r="AR392" s="77" t="e">
        <f ca="1">VLOOKUP($AP392,OFFSET([1]unit_skills!$A$1,0,0,COUNTA([1]unit_skills!$A:$A),MATCH("comment",[1]unit_skills!$1:$1,0)-MATCH($AP$1,[1]unit_skills!$1:$1,0)+1),MATCH("comment",[1]unit_skills!$1:$1,0)-MATCH($AP$1,[1]unit_skills!$1:$1,0)+1,FALSE)</f>
        <v>#VALUE!</v>
      </c>
      <c r="AS392" s="77" t="e">
        <f ca="1">VLOOKUP($AP392,OFFSET([1]unit_skills!$A$1,0,0,COUNTA([1]unit_skills!$A:$A),MATCH(AS$1,[1]unit_skills!$1:$1,0)-MATCH($AP$1,[1]unit_skills!$1:$1,0)+1),MATCH(AS$1,[1]unit_skills!$1:$1,0)-MATCH($AP$1,[1]unit_skills!$1:$1,0)+1,FALSE)</f>
        <v>#VALUE!</v>
      </c>
      <c r="AT392" s="97">
        <v>233002</v>
      </c>
      <c r="AU392" s="77" t="e">
        <f ca="1">VLOOKUP($AT392,OFFSET([1]crash_skills!$A$1,0,0,COUNTA([1]crash_skills!$A:$A),MATCH("name",[1]crash_skills!$1:$1,0)-MATCH($AT$1,[1]crash_skills!$1:$1,0)+1),MATCH("name",[1]crash_skills!$1:$1,0)-MATCH($AT$1,[1]crash_skills!$1:$1,0)+1,FALSE)</f>
        <v>#VALUE!</v>
      </c>
      <c r="AV392" s="77" t="e">
        <f ca="1">VLOOKUP($AT392,OFFSET([1]crash_skills!$A$1,0,0,COUNTA([1]crash_skills!$A:$A),MATCH("comment",[1]crash_skills!$1:$1,0)-MATCH($AT$1,[1]crash_skills!$1:$1,0)+1),MATCH("comment",[1]crash_skills!$1:$1,0)-MATCH($AT$1,[1]crash_skills!$1:$1,0)+1,FALSE)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92" s="77" t="e">
        <f ca="1">VLOOKUP($AT392,OFFSET([1]crash_skills!$A$1,0,0,COUNTA([1]crash_skills!$A:$A),MATCH(AW$1,[1]crash_skills!$1:$1,0)-MATCH($AT$1,[1]crash_skills!$1:$1,0)+1),MATCH(AW$1,[1]crash_skills!$1:$1,0)-MATCH($AT$1,[1]crash_skills!$1:$1,0)+1,FALSE)</f>
        <v>#VALUE!</v>
      </c>
      <c r="AX392" s="81">
        <f ca="1">VLOOKUP($A392,OFFSET([2]characters!$A$1,0,0,COUNTA([2]characters!$A:$A),MATCH(AX$1,[2]characters!$1:$1,0)-MATCH($A$1,[2]characters!$1:$1,0)+1),MATCH(AX$1,[2]characters!$1:$1,0)-MATCH($A$1,[2]characters!$1:$1,0)+1,FALSE)</f>
        <v>3</v>
      </c>
      <c r="AY392" s="139">
        <v>0.9</v>
      </c>
      <c r="AZ392" s="139">
        <v>1.1000000000000001</v>
      </c>
      <c r="BA392" s="139">
        <v>0</v>
      </c>
      <c r="BB392" s="139">
        <v>1.1499999999999999</v>
      </c>
      <c r="BC392" s="14">
        <f ca="1">INDEX('RC6SV'!$A$1:$G$20,MATCH(H392,'RC6SV'!$A$1:$A$20,FALSE),MATCH(G392,'RC6SV'!$A$1:$G$1,FALSE))</f>
        <v>9500</v>
      </c>
      <c r="BD392" s="63">
        <f t="shared" ref="BD392:BD400" ca="1" si="63">ROUND(BC392*IF(AJ392=1,0.95,IF(AJ392=2,1,IF(AJ392,1.05,0))),0)</f>
        <v>9500</v>
      </c>
      <c r="BE392" s="14">
        <f t="shared" ca="1" si="53"/>
        <v>7500</v>
      </c>
      <c r="BF392" s="14">
        <f t="shared" ca="1" si="54"/>
        <v>1</v>
      </c>
      <c r="BG392" s="20">
        <f ca="1">IF($BE392&lt;=0,ROUND(BK392*0.5,0), ROUND($BE392*S392*AA392*J392*AY392*0.8*[2]ステータス!$B$2,0))</f>
        <v>2030</v>
      </c>
      <c r="BH392" s="20">
        <f ca="1">IF($BE392&lt;=0,ROUND(BL392*0.5,0), ROUND($BE392*T392*AB392*K392*AZ392*0.8*[2]ステータス!$C$2,0))</f>
        <v>1560</v>
      </c>
      <c r="BI392" s="20">
        <f ca="1">IF($BE392&lt;=0,ROUND(BM392*0.5,0), ROUND($BE392*U392*AC392*L392*BA392*0.8*[2]ステータス!$D$2,0))</f>
        <v>0</v>
      </c>
      <c r="BJ392" s="20">
        <f ca="1">IF($BE392&lt;=0,ROUND(BN392*0.5,0), ROUND($BE392*V392*AD392*M392*BB392*0.8*[2]ステータス!$E$2,0))</f>
        <v>2569</v>
      </c>
      <c r="BK392" s="14">
        <f ca="1">ROUND(BD392*S392*AA392*J392*AY392*[2]ステータス!$B$2,0)</f>
        <v>3215</v>
      </c>
      <c r="BL392" s="14">
        <f ca="1">ROUND(BD392*T392*AB392*K392*AZ392*[2]ステータス!$C$2,0)</f>
        <v>2469</v>
      </c>
      <c r="BM392" s="14">
        <f ca="1">ROUND(BD392*U392*AC392*L392*BA392*[2]ステータス!$D$2,0)</f>
        <v>0</v>
      </c>
      <c r="BN392" s="14">
        <f ca="1">ROUND(BD392*V392*AD392*M392*BB392*[2]ステータス!$E$2,0)</f>
        <v>4067</v>
      </c>
      <c r="BO392" s="13">
        <v>0</v>
      </c>
      <c r="BP392" s="13">
        <v>1</v>
      </c>
      <c r="BQ392" s="49" t="s">
        <v>102</v>
      </c>
      <c r="BR392" s="13">
        <f ca="1">VLOOKUP(H392,ghosts_label!$A$2:$B$19,2,FALSE)</f>
        <v>5500</v>
      </c>
    </row>
    <row r="393" spans="1:70" ht="21" customHeight="1" x14ac:dyDescent="0.15">
      <c r="A393" s="14">
        <f t="shared" ca="1" si="51"/>
        <v>392</v>
      </c>
      <c r="B393" s="77" t="str">
        <f ca="1">VLOOKUP($A393,OFFSET([2]characters!$A$1,0,0,COUNTA([2]characters!$A:$A),MATCH(B$1,[2]characters!$1:$1,0)-MATCH($A$1,[2]characters!$1:$1,0)+1),MATCH(B$1,[2]characters!$1:$1,0)-MATCH($A$1,[2]characters!$1:$1,0)+1,FALSE)</f>
        <v>ピーターパン</v>
      </c>
      <c r="C393" s="77" t="str">
        <f ca="1">VLOOKUP($A393,OFFSET([2]characters!$A$1,0,0,COUNTA([2]characters!$A:$A),MATCH(C$1,[2]characters!$1:$1,0)-MATCH($A$1,[2]characters!$1:$1,0)+1),MATCH(C$1,[2]characters!$1:$1,0)-MATCH($A$1,[2]characters!$1:$1,0)+1,FALSE)</f>
        <v>ガチャ:アリスの絵本01</v>
      </c>
      <c r="D393" s="77" t="str">
        <f ca="1">VLOOKUP($A393,OFFSET([2]characters!$A$1,0,0,COUNTA([2]characters!$A:$A),MATCH(D$1,[2]characters!$1:$1,0)-MATCH($A$1,[2]characters!$1:$1,0)+1),MATCH(D$1,[2]characters!$1:$1,0)-MATCH($A$1,[2]characters!$1:$1,0)+1,FALSE)</f>
        <v>執行者</v>
      </c>
      <c r="E393" s="77" t="str">
        <f ca="1">VLOOKUP($A393,OFFSET([2]characters!$A$1,0,0,COUNTA([2]characters!$A:$A),MATCH(E$1,[2]characters!$1:$1,0)-MATCH($A$1,[2]characters!$1:$1,0)+1),MATCH(E$1,[2]characters!$1:$1,0)-MATCH($A$1,[2]characters!$1:$1,0)+1,FALSE)</f>
        <v>格好いい</v>
      </c>
      <c r="F393" s="77" t="str">
        <f ca="1">VLOOKUP($A393,OFFSET([2]characters!$A$1,0,0,COUNTA([2]characters!$A:$A),MATCH(F$1,[2]characters!$1:$1,0)-MATCH($A$1,[2]characters!$1:$1,0)+1),MATCH(F$1,[2]characters!$1:$1,0)-MATCH($A$1,[2]characters!$1:$1,0)+1,FALSE)</f>
        <v>男性</v>
      </c>
      <c r="G393" s="77">
        <f ca="1">VLOOKUP($A393,OFFSET([2]characters!$A$1,0,0,COUNTA([2]characters!$A:$A),MATCH(G$1,[2]characters!$1:$1,0)-MATCH($A$1,[2]characters!$1:$1,0)+1),MATCH(G$1,[2]characters!$1:$1,0)-MATCH($A$1,[2]characters!$1:$1,0)+1,FALSE)</f>
        <v>3</v>
      </c>
      <c r="H393" s="77" t="str">
        <f ca="1">VLOOKUP($A393,OFFSET([2]characters!$A$1,0,0,COUNTA([2]characters!$A:$A),MATCH(H$1,[2]characters!$1:$1,0)-MATCH($A$1,[2]characters!$1:$1,0)+1),MATCH(H$1,[2]characters!$1:$1,0)-MATCH($A$1,[2]characters!$1:$1,0)+1,FALSE)</f>
        <v>PremiumS</v>
      </c>
      <c r="I393" s="77" t="str">
        <f ca="1">VLOOKUP($A393,OFFSET([2]characters!$A$1,0,0,COUNTA([2]characters!$A:$A),MATCH(I$1,[2]characters!$1:$1,0)-MATCH($A$1,[2]characters!$1:$1,0)+1),MATCH(I$1,[2]characters!$1:$1,0)-MATCH($A$1,[2]characters!$1:$1,0)+1,FALSE)</f>
        <v>green</v>
      </c>
      <c r="J393" s="14">
        <f ca="1">VLOOKUP(I393,[2]属性!$A:$E,2,FALSE)</f>
        <v>1.02</v>
      </c>
      <c r="K393" s="14">
        <f ca="1">VLOOKUP(I393,[2]属性!$A:$E,3,FALSE)</f>
        <v>0.98</v>
      </c>
      <c r="L393" s="14">
        <f ca="1">VLOOKUP(I393,[2]属性!$A:$E,4,FALSE)</f>
        <v>1</v>
      </c>
      <c r="M393" s="14">
        <f ca="1">VLOOKUP(I393,[2]属性!$A:$E,5,FALSE)</f>
        <v>1</v>
      </c>
      <c r="N393" s="14">
        <f ca="1">INDEX(コスト!$A$1:$I$20,MATCH(H393,コスト!$A$1:$A$20,FALSE),MATCH(G393,コスト!$A$1:$I$1,FALSE))</f>
        <v>10</v>
      </c>
      <c r="O393" s="14">
        <f ca="1">INDEX(レベル!$A$1:$I$21,MATCH(H393,レベル!$A$1:$A$21,FALSE),MATCH(G393,レベル!$A$1:$I$1,FALSE))</f>
        <v>40</v>
      </c>
      <c r="P393" s="63">
        <f t="shared" ca="1" si="55"/>
        <v>45</v>
      </c>
      <c r="Q393" s="77" t="str">
        <f ca="1">VLOOKUP($A393,OFFSET([2]characters!$A$1,0,0,COUNTA([2]characters!$A:$A),MATCH(Q$1,[2]characters!$1:$1,0)-MATCH($A$1,[2]characters!$1:$1,0)+1),MATCH(Q$1,[2]characters!$1:$1,0)-MATCH($A$1,[2]characters!$1:$1,0)+1,FALSE)</f>
        <v>attack</v>
      </c>
      <c r="R393" s="8" t="str">
        <f ca="1">VLOOKUP(Q393,[2]character_type_i18n!$A:$H,3,FALSE)</f>
        <v>攻撃タイプ</v>
      </c>
      <c r="S393" s="14">
        <f ca="1">VLOOKUP(Q393,[2]character_type_i18n!$A:$H,4,FALSE)</f>
        <v>1</v>
      </c>
      <c r="T393" s="14">
        <f ca="1">VLOOKUP(Q393,[2]character_type_i18n!$A:$H,5,FALSE)</f>
        <v>1.33</v>
      </c>
      <c r="U393" s="14">
        <f ca="1">VLOOKUP(Q393,[2]character_type_i18n!$A:$H,6,FALSE)</f>
        <v>1</v>
      </c>
      <c r="V393" s="14">
        <f ca="1">VLOOKUP(Q393,[2]character_type_i18n!$A:$H,7,FALSE)</f>
        <v>0.67</v>
      </c>
      <c r="W393" s="77" t="str">
        <f ca="1">VLOOKUP($A393,OFFSET([2]characters!$A$1,0,0,COUNTA([2]characters!$A:$A),MATCH(W$1,[2]characters!$1:$1,0)-MATCH($A$1,[2]characters!$1:$1,0)+1),MATCH(W$1,[2]characters!$1:$1,0)-MATCH($A$1,[2]characters!$1:$1,0)+1,FALSE)</f>
        <v>human</v>
      </c>
      <c r="X393" s="8" t="str">
        <f ca="1">VLOOKUP(W393,[2]character_tribe_i18n!$A:$H,3,FALSE)</f>
        <v>ヒューマン</v>
      </c>
      <c r="Y393" s="77" t="str">
        <f ca="1">VLOOKUP($A393,OFFSET([2]characters!$A$1,0,0,COUNTA([2]characters!$A:$A),MATCH(Y$1,[2]characters!$1:$1,0)-MATCH($A$1,[2]characters!$1:$1,0)+1),MATCH(Y$1,[2]characters!$1:$1,0)-MATCH($A$1,[2]characters!$1:$1,0)+1,FALSE)</f>
        <v>machine</v>
      </c>
      <c r="Z393" s="8" t="str">
        <f ca="1">VLOOKUP(Y393,[2]character_tribe_i18n!$A:$H,3,FALSE)</f>
        <v>マシン</v>
      </c>
      <c r="AA393" s="14">
        <f ca="1">VLOOKUP(W393,[2]character_tribe_i18n!$A:$H,4,FALSE)</f>
        <v>0.94</v>
      </c>
      <c r="AB393" s="14">
        <f ca="1">VLOOKUP(W393,[2]character_tribe_i18n!$A:$H,5,FALSE)</f>
        <v>0.99</v>
      </c>
      <c r="AC393" s="14">
        <f ca="1">VLOOKUP(W393,[2]character_tribe_i18n!$A:$H,6,FALSE)</f>
        <v>1</v>
      </c>
      <c r="AD393" s="14">
        <f ca="1">VLOOKUP(W393,[2]character_tribe_i18n!$A:$H,7,FALSE)</f>
        <v>1.07</v>
      </c>
      <c r="AE393" s="12">
        <v>393</v>
      </c>
      <c r="AF393" s="85" t="str">
        <f ca="1">IF(AE393="NULL","",VLOOKUP($AE393,OFFSET([2]characters!$A$1,0,0,COUNTA([2]characters!$A:$A),MATCH(AF$1,[2]characters!$1:$1,0)-MATCH($A$1,[2]characters!$1:$1,0)+1),MATCH(AF$1,[2]characters!$1:$1,0)-MATCH($A$1,[2]characters!$1:$1,0)+1,FALSE))</f>
        <v>影縫い ピーターパン</v>
      </c>
      <c r="AG393" s="8">
        <f t="shared" ca="1" si="52"/>
        <v>392</v>
      </c>
      <c r="AH393" s="85" t="str">
        <f ca="1">VLOOKUP($AG393,OFFSET([2]characters!$A$1,0,0,COUNTA([2]characters!$A:$A),MATCH(AH$1,[2]characters!$1:$1,0)-MATCH($A$1,[2]characters!$1:$1,0)+1),MATCH(AH$1,[2]characters!$1:$1,0)-MATCH($A$1,[2]characters!$1:$1,0)+1,FALSE)</f>
        <v>ピーターパン</v>
      </c>
      <c r="AI393" s="14">
        <f ca="1">IF(AE393="NULL","NULL",VLOOKUP(G393,ビット!$A$2:$B$7,2))</f>
        <v>20000</v>
      </c>
      <c r="AJ393" s="9">
        <v>2</v>
      </c>
      <c r="AK393" s="10" t="str">
        <f t="shared" si="62"/>
        <v>普通</v>
      </c>
      <c r="AL393" s="14" t="str">
        <f ca="1">INDEX(経験値!$A$1:$I$20,MATCH(H393,経験値!$A$1:$A$20,FALSE),MATCH(G393,経験値!$A$1:$I$1,FALSE))</f>
        <v>required_exp_200</v>
      </c>
      <c r="AM393" s="11">
        <f ca="1">VLOOKUP(G393,経験値!$A$27:$B$31,2)</f>
        <v>1500</v>
      </c>
      <c r="AN393" s="21">
        <f ca="1">VLOOKUP(G393,ビット!$G$2:$H$7,2)</f>
        <v>300</v>
      </c>
      <c r="AO393" s="57"/>
      <c r="AP393" s="101">
        <v>171001</v>
      </c>
      <c r="AQ393" s="77" t="e">
        <f ca="1">VLOOKUP($AP393,OFFSET([1]unit_skills!$A$1,0,0,COUNTA([1]unit_skills!$A:$A),MATCH("name",[1]unit_skills!$1:$1,0)-MATCH($AP$1,[1]unit_skills!$1:$1,0)+1),MATCH("name",[1]unit_skills!$1:$1,0)-MATCH($AP$1,[1]unit_skills!$1:$1,0)+1,FALSE)</f>
        <v>#VALUE!</v>
      </c>
      <c r="AR393" s="77" t="e">
        <f ca="1">VLOOKUP($AP393,OFFSET([1]unit_skills!$A$1,0,0,COUNTA([1]unit_skills!$A:$A),MATCH("comment",[1]unit_skills!$1:$1,0)-MATCH($AP$1,[1]unit_skills!$1:$1,0)+1),MATCH("comment",[1]unit_skills!$1:$1,0)-MATCH($AP$1,[1]unit_skills!$1:$1,0)+1,FALSE)</f>
        <v>#VALUE!</v>
      </c>
      <c r="AS393" s="77" t="e">
        <f ca="1">VLOOKUP($AP393,OFFSET([1]unit_skills!$A$1,0,0,COUNTA([1]unit_skills!$A:$A),MATCH(AS$1,[1]unit_skills!$1:$1,0)-MATCH($AP$1,[1]unit_skills!$1:$1,0)+1),MATCH(AS$1,[1]unit_skills!$1:$1,0)-MATCH($AP$1,[1]unit_skills!$1:$1,0)+1,FALSE)</f>
        <v>#VALUE!</v>
      </c>
      <c r="AT393" s="53">
        <v>310006</v>
      </c>
      <c r="AU393" s="77" t="e">
        <f ca="1">VLOOKUP($AT393,OFFSET([1]crash_skills!$A$1,0,0,COUNTA([1]crash_skills!$A:$A),MATCH("name",[1]crash_skills!$1:$1,0)-MATCH($AT$1,[1]crash_skills!$1:$1,0)+1),MATCH("name",[1]crash_skills!$1:$1,0)-MATCH($AT$1,[1]crash_skills!$1:$1,0)+1,FALSE)</f>
        <v>#VALUE!</v>
      </c>
      <c r="AV393" s="77" t="e">
        <f ca="1">VLOOKUP($AT393,OFFSET([1]crash_skills!$A$1,0,0,COUNTA([1]crash_skills!$A:$A),MATCH("comment",[1]crash_skills!$1:$1,0)-MATCH($AT$1,[1]crash_skills!$1:$1,0)+1),MATCH("comment",[1]crash_skills!$1:$1,0)-MATCH($AT$1,[1]crash_skills!$1:$1,0)+1,FALSE)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93" s="77" t="e">
        <f ca="1">VLOOKUP($AT393,OFFSET([1]crash_skills!$A$1,0,0,COUNTA([1]crash_skills!$A:$A),MATCH(AW$1,[1]crash_skills!$1:$1,0)-MATCH($AT$1,[1]crash_skills!$1:$1,0)+1),MATCH(AW$1,[1]crash_skills!$1:$1,0)-MATCH($AT$1,[1]crash_skills!$1:$1,0)+1,FALSE)</f>
        <v>#VALUE!</v>
      </c>
      <c r="AX393" s="81">
        <f ca="1">VLOOKUP($A393,OFFSET([2]characters!$A$1,0,0,COUNTA([2]characters!$A:$A),MATCH(AX$1,[2]characters!$1:$1,0)-MATCH($A$1,[2]characters!$1:$1,0)+1),MATCH(AX$1,[2]characters!$1:$1,0)-MATCH($A$1,[2]characters!$1:$1,0)+1,FALSE)</f>
        <v>3</v>
      </c>
      <c r="AY393" s="139">
        <v>0.9</v>
      </c>
      <c r="AZ393" s="139">
        <v>1</v>
      </c>
      <c r="BA393" s="139">
        <v>0</v>
      </c>
      <c r="BB393" s="139">
        <v>0.9</v>
      </c>
      <c r="BC393" s="14">
        <f ca="1">INDEX('RC6SV'!$A$1:$G$20,MATCH(H393,'RC6SV'!$A$1:$A$20,FALSE),MATCH(G393,'RC6SV'!$A$1:$G$1,FALSE))</f>
        <v>5000</v>
      </c>
      <c r="BD393" s="63">
        <f t="shared" ca="1" si="63"/>
        <v>5000</v>
      </c>
      <c r="BE393" s="14">
        <f t="shared" ca="1" si="53"/>
        <v>0</v>
      </c>
      <c r="BF393" s="14">
        <f t="shared" ca="1" si="54"/>
        <v>1</v>
      </c>
      <c r="BG393" s="20">
        <f ca="1">IF($BE393&lt;=0,ROUND(BK393*0.5,0), ROUND($BE393*S393*AA393*J393*AY393*0.8*[2]ステータス!$B$2,0))</f>
        <v>1079</v>
      </c>
      <c r="BH393" s="20">
        <f ca="1">IF($BE393&lt;=0,ROUND(BL393*0.5,0), ROUND($BE393*T393*AB393*K393*AZ393*0.8*[2]ステータス!$C$2,0))</f>
        <v>968</v>
      </c>
      <c r="BI393" s="20">
        <f ca="1">IF($BE393&lt;=0,ROUND(BM393*0.5,0), ROUND($BE393*U393*AC393*L393*BA393*0.8*[2]ステータス!$D$2,0))</f>
        <v>0</v>
      </c>
      <c r="BJ393" s="20">
        <f ca="1">IF($BE393&lt;=0,ROUND(BN393*0.5,0), ROUND($BE393*V393*AD393*M393*BB393*0.8*[2]ステータス!$E$2,0))</f>
        <v>404</v>
      </c>
      <c r="BK393" s="14">
        <f ca="1">ROUND(BD393*S393*AA393*J393*AY393*[2]ステータス!$B$2,0)</f>
        <v>2157</v>
      </c>
      <c r="BL393" s="14">
        <f ca="1">ROUND(BD393*T393*AB393*K393*AZ393*[2]ステータス!$C$2,0)</f>
        <v>1936</v>
      </c>
      <c r="BM393" s="14">
        <f ca="1">ROUND(BD393*U393*AC393*L393*BA393*[2]ステータス!$D$2,0)</f>
        <v>0</v>
      </c>
      <c r="BN393" s="14">
        <f ca="1">ROUND(BD393*V393*AD393*M393*BB393*[2]ステータス!$E$2,0)</f>
        <v>807</v>
      </c>
      <c r="BO393" s="13">
        <v>0</v>
      </c>
      <c r="BP393" s="13">
        <v>1</v>
      </c>
      <c r="BQ393" s="49" t="s">
        <v>102</v>
      </c>
      <c r="BR393" s="13">
        <f ca="1">VLOOKUP(H393,ghosts_label!$A$2:$B$19,2,FALSE)</f>
        <v>700</v>
      </c>
    </row>
    <row r="394" spans="1:70" ht="21" customHeight="1" x14ac:dyDescent="0.15">
      <c r="A394" s="14">
        <f t="shared" ca="1" si="51"/>
        <v>393</v>
      </c>
      <c r="B394" s="77" t="str">
        <f ca="1">VLOOKUP($A394,OFFSET([2]characters!$A$1,0,0,COUNTA([2]characters!$A:$A),MATCH(B$1,[2]characters!$1:$1,0)-MATCH($A$1,[2]characters!$1:$1,0)+1),MATCH(B$1,[2]characters!$1:$1,0)-MATCH($A$1,[2]characters!$1:$1,0)+1,FALSE)</f>
        <v>影縫い ピーターパン</v>
      </c>
      <c r="C394" s="77" t="str">
        <f ca="1">VLOOKUP($A394,OFFSET([2]characters!$A$1,0,0,COUNTA([2]characters!$A:$A),MATCH(C$1,[2]characters!$1:$1,0)-MATCH($A$1,[2]characters!$1:$1,0)+1),MATCH(C$1,[2]characters!$1:$1,0)-MATCH($A$1,[2]characters!$1:$1,0)+1,FALSE)</f>
        <v>ガチャ:アリスの絵本01</v>
      </c>
      <c r="D394" s="77" t="str">
        <f ca="1">VLOOKUP($A394,OFFSET([2]characters!$A$1,0,0,COUNTA([2]characters!$A:$A),MATCH(D$1,[2]characters!$1:$1,0)-MATCH($A$1,[2]characters!$1:$1,0)+1),MATCH(D$1,[2]characters!$1:$1,0)-MATCH($A$1,[2]characters!$1:$1,0)+1,FALSE)</f>
        <v>執行者</v>
      </c>
      <c r="E394" s="77" t="str">
        <f ca="1">VLOOKUP($A394,OFFSET([2]characters!$A$1,0,0,COUNTA([2]characters!$A:$A),MATCH(E$1,[2]characters!$1:$1,0)-MATCH($A$1,[2]characters!$1:$1,0)+1),MATCH(E$1,[2]characters!$1:$1,0)-MATCH($A$1,[2]characters!$1:$1,0)+1,FALSE)</f>
        <v>格好いい</v>
      </c>
      <c r="F394" s="77" t="str">
        <f ca="1">VLOOKUP($A394,OFFSET([2]characters!$A$1,0,0,COUNTA([2]characters!$A:$A),MATCH(F$1,[2]characters!$1:$1,0)-MATCH($A$1,[2]characters!$1:$1,0)+1),MATCH(F$1,[2]characters!$1:$1,0)-MATCH($A$1,[2]characters!$1:$1,0)+1,FALSE)</f>
        <v>男性</v>
      </c>
      <c r="G394" s="77">
        <f ca="1">VLOOKUP($A394,OFFSET([2]characters!$A$1,0,0,COUNTA([2]characters!$A:$A),MATCH(G$1,[2]characters!$1:$1,0)-MATCH($A$1,[2]characters!$1:$1,0)+1),MATCH(G$1,[2]characters!$1:$1,0)-MATCH($A$1,[2]characters!$1:$1,0)+1,FALSE)</f>
        <v>4</v>
      </c>
      <c r="H394" s="77" t="str">
        <f ca="1">VLOOKUP($A394,OFFSET([2]characters!$A$1,0,0,COUNTA([2]characters!$A:$A),MATCH(H$1,[2]characters!$1:$1,0)-MATCH($A$1,[2]characters!$1:$1,0)+1),MATCH(H$1,[2]characters!$1:$1,0)-MATCH($A$1,[2]characters!$1:$1,0)+1,FALSE)</f>
        <v>PremiumS</v>
      </c>
      <c r="I394" s="77" t="str">
        <f ca="1">VLOOKUP($A394,OFFSET([2]characters!$A$1,0,0,COUNTA([2]characters!$A:$A),MATCH(I$1,[2]characters!$1:$1,0)-MATCH($A$1,[2]characters!$1:$1,0)+1),MATCH(I$1,[2]characters!$1:$1,0)-MATCH($A$1,[2]characters!$1:$1,0)+1,FALSE)</f>
        <v>green</v>
      </c>
      <c r="J394" s="14">
        <f ca="1">VLOOKUP(I394,[2]属性!$A:$E,2,FALSE)</f>
        <v>1.02</v>
      </c>
      <c r="K394" s="14">
        <f ca="1">VLOOKUP(I394,[2]属性!$A:$E,3,FALSE)</f>
        <v>0.98</v>
      </c>
      <c r="L394" s="14">
        <f ca="1">VLOOKUP(I394,[2]属性!$A:$E,4,FALSE)</f>
        <v>1</v>
      </c>
      <c r="M394" s="14">
        <f ca="1">VLOOKUP(I394,[2]属性!$A:$E,5,FALSE)</f>
        <v>1</v>
      </c>
      <c r="N394" s="14">
        <f ca="1">INDEX(コスト!$A$1:$I$20,MATCH(H394,コスト!$A$1:$A$20,FALSE),MATCH(G394,コスト!$A$1:$I$1,FALSE))</f>
        <v>20</v>
      </c>
      <c r="O394" s="14">
        <f ca="1">INDEX(レベル!$A$1:$I$21,MATCH(H394,レベル!$A$1:$A$21,FALSE),MATCH(G394,レベル!$A$1:$I$1,FALSE))</f>
        <v>60</v>
      </c>
      <c r="P394" s="63">
        <f t="shared" ca="1" si="55"/>
        <v>60</v>
      </c>
      <c r="Q394" s="77" t="str">
        <f ca="1">VLOOKUP($A394,OFFSET([2]characters!$A$1,0,0,COUNTA([2]characters!$A:$A),MATCH(Q$1,[2]characters!$1:$1,0)-MATCH($A$1,[2]characters!$1:$1,0)+1),MATCH(Q$1,[2]characters!$1:$1,0)-MATCH($A$1,[2]characters!$1:$1,0)+1,FALSE)</f>
        <v>attack</v>
      </c>
      <c r="R394" s="8" t="str">
        <f ca="1">VLOOKUP(Q394,[2]character_type_i18n!$A:$H,3,FALSE)</f>
        <v>攻撃タイプ</v>
      </c>
      <c r="S394" s="14">
        <f ca="1">VLOOKUP(Q394,[2]character_type_i18n!$A:$H,4,FALSE)</f>
        <v>1</v>
      </c>
      <c r="T394" s="14">
        <f ca="1">VLOOKUP(Q394,[2]character_type_i18n!$A:$H,5,FALSE)</f>
        <v>1.33</v>
      </c>
      <c r="U394" s="14">
        <f ca="1">VLOOKUP(Q394,[2]character_type_i18n!$A:$H,6,FALSE)</f>
        <v>1</v>
      </c>
      <c r="V394" s="14">
        <f ca="1">VLOOKUP(Q394,[2]character_type_i18n!$A:$H,7,FALSE)</f>
        <v>0.67</v>
      </c>
      <c r="W394" s="77" t="str">
        <f ca="1">VLOOKUP($A394,OFFSET([2]characters!$A$1,0,0,COUNTA([2]characters!$A:$A),MATCH(W$1,[2]characters!$1:$1,0)-MATCH($A$1,[2]characters!$1:$1,0)+1),MATCH(W$1,[2]characters!$1:$1,0)-MATCH($A$1,[2]characters!$1:$1,0)+1,FALSE)</f>
        <v>human</v>
      </c>
      <c r="X394" s="8" t="str">
        <f ca="1">VLOOKUP(W394,[2]character_tribe_i18n!$A:$H,3,FALSE)</f>
        <v>ヒューマン</v>
      </c>
      <c r="Y394" s="77" t="str">
        <f ca="1">VLOOKUP($A394,OFFSET([2]characters!$A$1,0,0,COUNTA([2]characters!$A:$A),MATCH(Y$1,[2]characters!$1:$1,0)-MATCH($A$1,[2]characters!$1:$1,0)+1),MATCH(Y$1,[2]characters!$1:$1,0)-MATCH($A$1,[2]characters!$1:$1,0)+1,FALSE)</f>
        <v>machine</v>
      </c>
      <c r="Z394" s="8" t="str">
        <f ca="1">VLOOKUP(Y394,[2]character_tribe_i18n!$A:$H,3,FALSE)</f>
        <v>マシン</v>
      </c>
      <c r="AA394" s="14">
        <f ca="1">VLOOKUP(W394,[2]character_tribe_i18n!$A:$H,4,FALSE)</f>
        <v>0.94</v>
      </c>
      <c r="AB394" s="14">
        <f ca="1">VLOOKUP(W394,[2]character_tribe_i18n!$A:$H,5,FALSE)</f>
        <v>0.99</v>
      </c>
      <c r="AC394" s="14">
        <f ca="1">VLOOKUP(W394,[2]character_tribe_i18n!$A:$H,6,FALSE)</f>
        <v>1</v>
      </c>
      <c r="AD394" s="14">
        <f ca="1">VLOOKUP(W394,[2]character_tribe_i18n!$A:$H,7,FALSE)</f>
        <v>1.07</v>
      </c>
      <c r="AE394" s="12">
        <v>394</v>
      </c>
      <c r="AF394" s="85" t="str">
        <f ca="1">IF(AE394="NULL","",VLOOKUP($AE394,OFFSET([2]characters!$A$1,0,0,COUNTA([2]characters!$A:$A),MATCH(AF$1,[2]characters!$1:$1,0)-MATCH($A$1,[2]characters!$1:$1,0)+1),MATCH(AF$1,[2]characters!$1:$1,0)-MATCH($A$1,[2]characters!$1:$1,0)+1,FALSE))</f>
        <v>影求の悪童 ピーターパン</v>
      </c>
      <c r="AG394" s="8">
        <f t="shared" ca="1" si="52"/>
        <v>392</v>
      </c>
      <c r="AH394" s="85" t="str">
        <f ca="1">VLOOKUP($AG394,OFFSET([2]characters!$A$1,0,0,COUNTA([2]characters!$A:$A),MATCH(AH$1,[2]characters!$1:$1,0)-MATCH($A$1,[2]characters!$1:$1,0)+1),MATCH(AH$1,[2]characters!$1:$1,0)-MATCH($A$1,[2]characters!$1:$1,0)+1,FALSE)</f>
        <v>ピーターパン</v>
      </c>
      <c r="AI394" s="14">
        <f ca="1">IF(AE394="NULL","NULL",VLOOKUP(G394,ビット!$A$2:$B$7,2))</f>
        <v>50000</v>
      </c>
      <c r="AJ394" s="9">
        <v>2</v>
      </c>
      <c r="AK394" s="10" t="str">
        <f t="shared" si="62"/>
        <v>普通</v>
      </c>
      <c r="AL394" s="14" t="str">
        <f ca="1">INDEX(経験値!$A$1:$I$20,MATCH(H394,経験値!$A$1:$A$20,FALSE),MATCH(G394,経験値!$A$1:$I$1,FALSE))</f>
        <v>required_exp_200</v>
      </c>
      <c r="AM394" s="11">
        <f ca="1">VLOOKUP(G394,経験値!$A$27:$B$31,2)</f>
        <v>3400</v>
      </c>
      <c r="AN394" s="21">
        <f ca="1">VLOOKUP(G394,ビット!$G$2:$H$7,2)</f>
        <v>600</v>
      </c>
      <c r="AO394" s="57"/>
      <c r="AP394" s="101">
        <v>171001</v>
      </c>
      <c r="AQ394" s="77" t="e">
        <f ca="1">VLOOKUP($AP394,OFFSET([1]unit_skills!$A$1,0,0,COUNTA([1]unit_skills!$A:$A),MATCH("name",[1]unit_skills!$1:$1,0)-MATCH($AP$1,[1]unit_skills!$1:$1,0)+1),MATCH("name",[1]unit_skills!$1:$1,0)-MATCH($AP$1,[1]unit_skills!$1:$1,0)+1,FALSE)</f>
        <v>#VALUE!</v>
      </c>
      <c r="AR394" s="77" t="e">
        <f ca="1">VLOOKUP($AP394,OFFSET([1]unit_skills!$A$1,0,0,COUNTA([1]unit_skills!$A:$A),MATCH("comment",[1]unit_skills!$1:$1,0)-MATCH($AP$1,[1]unit_skills!$1:$1,0)+1),MATCH("comment",[1]unit_skills!$1:$1,0)-MATCH($AP$1,[1]unit_skills!$1:$1,0)+1,FALSE)</f>
        <v>#VALUE!</v>
      </c>
      <c r="AS394" s="77" t="e">
        <f ca="1">VLOOKUP($AP394,OFFSET([1]unit_skills!$A$1,0,0,COUNTA([1]unit_skills!$A:$A),MATCH(AS$1,[1]unit_skills!$1:$1,0)-MATCH($AP$1,[1]unit_skills!$1:$1,0)+1),MATCH(AS$1,[1]unit_skills!$1:$1,0)-MATCH($AP$1,[1]unit_skills!$1:$1,0)+1,FALSE)</f>
        <v>#VALUE!</v>
      </c>
      <c r="AT394" s="53">
        <v>310006</v>
      </c>
      <c r="AU394" s="77" t="e">
        <f ca="1">VLOOKUP($AT394,OFFSET([1]crash_skills!$A$1,0,0,COUNTA([1]crash_skills!$A:$A),MATCH("name",[1]crash_skills!$1:$1,0)-MATCH($AT$1,[1]crash_skills!$1:$1,0)+1),MATCH("name",[1]crash_skills!$1:$1,0)-MATCH($AT$1,[1]crash_skills!$1:$1,0)+1,FALSE)</f>
        <v>#VALUE!</v>
      </c>
      <c r="AV394" s="77" t="e">
        <f ca="1">VLOOKUP($AT394,OFFSET([1]crash_skills!$A$1,0,0,COUNTA([1]crash_skills!$A:$A),MATCH("comment",[1]crash_skills!$1:$1,0)-MATCH($AT$1,[1]crash_skills!$1:$1,0)+1),MATCH("comment",[1]crash_skills!$1:$1,0)-MATCH($AT$1,[1]crash_skills!$1:$1,0)+1,FALSE)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94" s="77" t="e">
        <f ca="1">VLOOKUP($AT394,OFFSET([1]crash_skills!$A$1,0,0,COUNTA([1]crash_skills!$A:$A),MATCH(AW$1,[1]crash_skills!$1:$1,0)-MATCH($AT$1,[1]crash_skills!$1:$1,0)+1),MATCH(AW$1,[1]crash_skills!$1:$1,0)-MATCH($AT$1,[1]crash_skills!$1:$1,0)+1,FALSE)</f>
        <v>#VALUE!</v>
      </c>
      <c r="AX394" s="81">
        <f ca="1">VLOOKUP($A394,OFFSET([2]characters!$A$1,0,0,COUNTA([2]characters!$A:$A),MATCH(AX$1,[2]characters!$1:$1,0)-MATCH($A$1,[2]characters!$1:$1,0)+1),MATCH(AX$1,[2]characters!$1:$1,0)-MATCH($A$1,[2]characters!$1:$1,0)+1,FALSE)</f>
        <v>3</v>
      </c>
      <c r="AY394" s="139">
        <v>1</v>
      </c>
      <c r="AZ394" s="139">
        <v>1.02</v>
      </c>
      <c r="BA394" s="139">
        <v>0</v>
      </c>
      <c r="BB394" s="139">
        <v>0.9</v>
      </c>
      <c r="BC394" s="14">
        <f ca="1">INDEX('RC6SV'!$A$1:$G$20,MATCH(H394,'RC6SV'!$A$1:$A$20,FALSE),MATCH(G394,'RC6SV'!$A$1:$G$1,FALSE))</f>
        <v>7000</v>
      </c>
      <c r="BD394" s="63">
        <f t="shared" ca="1" si="63"/>
        <v>7000</v>
      </c>
      <c r="BE394" s="14">
        <f t="shared" ca="1" si="53"/>
        <v>5000</v>
      </c>
      <c r="BF394" s="14">
        <f t="shared" ca="1" si="54"/>
        <v>1</v>
      </c>
      <c r="BG394" s="20">
        <f ca="1">IF($BE394&lt;=0,ROUND(BK394*0.5,0), ROUND($BE394*S394*AA394*J394*AY394*0.8*[2]ステータス!$B$2,0))</f>
        <v>1918</v>
      </c>
      <c r="BH394" s="20">
        <f ca="1">IF($BE394&lt;=0,ROUND(BL394*0.5,0), ROUND($BE394*T394*AB394*K394*AZ394*0.8*[2]ステータス!$C$2,0))</f>
        <v>1579</v>
      </c>
      <c r="BI394" s="20">
        <f ca="1">IF($BE394&lt;=0,ROUND(BM394*0.5,0), ROUND($BE394*U394*AC394*L394*BA394*0.8*[2]ステータス!$D$2,0))</f>
        <v>0</v>
      </c>
      <c r="BJ394" s="20">
        <f ca="1">IF($BE394&lt;=0,ROUND(BN394*0.5,0), ROUND($BE394*V394*AD394*M394*BB394*0.8*[2]ステータス!$E$2,0))</f>
        <v>645</v>
      </c>
      <c r="BK394" s="14">
        <f ca="1">ROUND(BD394*S394*AA394*J394*AY394*[2]ステータス!$B$2,0)</f>
        <v>3356</v>
      </c>
      <c r="BL394" s="14">
        <f ca="1">ROUND(BD394*T394*AB394*K394*AZ394*[2]ステータス!$C$2,0)</f>
        <v>2764</v>
      </c>
      <c r="BM394" s="14">
        <f ca="1">ROUND(BD394*U394*AC394*L394*BA394*[2]ステータス!$D$2,0)</f>
        <v>0</v>
      </c>
      <c r="BN394" s="14">
        <f ca="1">ROUND(BD394*V394*AD394*M394*BB394*[2]ステータス!$E$2,0)</f>
        <v>1129</v>
      </c>
      <c r="BO394" s="13">
        <v>0</v>
      </c>
      <c r="BP394" s="13">
        <v>1</v>
      </c>
      <c r="BQ394" s="49" t="s">
        <v>102</v>
      </c>
      <c r="BR394" s="13">
        <f ca="1">VLOOKUP(H394,ghosts_label!$A$2:$B$19,2,FALSE)</f>
        <v>700</v>
      </c>
    </row>
    <row r="395" spans="1:70" ht="21" customHeight="1" x14ac:dyDescent="0.15">
      <c r="A395" s="14">
        <f t="shared" ca="1" si="51"/>
        <v>394</v>
      </c>
      <c r="B395" s="77" t="str">
        <f ca="1">VLOOKUP($A395,OFFSET([2]characters!$A$1,0,0,COUNTA([2]characters!$A:$A),MATCH(B$1,[2]characters!$1:$1,0)-MATCH($A$1,[2]characters!$1:$1,0)+1),MATCH(B$1,[2]characters!$1:$1,0)-MATCH($A$1,[2]characters!$1:$1,0)+1,FALSE)</f>
        <v>影求の悪童 ピーターパン</v>
      </c>
      <c r="C395" s="77" t="str">
        <f ca="1">VLOOKUP($A395,OFFSET([2]characters!$A$1,0,0,COUNTA([2]characters!$A:$A),MATCH(C$1,[2]characters!$1:$1,0)-MATCH($A$1,[2]characters!$1:$1,0)+1),MATCH(C$1,[2]characters!$1:$1,0)-MATCH($A$1,[2]characters!$1:$1,0)+1,FALSE)</f>
        <v>ガチャ:アリスの絵本01</v>
      </c>
      <c r="D395" s="77" t="str">
        <f ca="1">VLOOKUP($A395,OFFSET([2]characters!$A$1,0,0,COUNTA([2]characters!$A:$A),MATCH(D$1,[2]characters!$1:$1,0)-MATCH($A$1,[2]characters!$1:$1,0)+1),MATCH(D$1,[2]characters!$1:$1,0)-MATCH($A$1,[2]characters!$1:$1,0)+1,FALSE)</f>
        <v>執行者</v>
      </c>
      <c r="E395" s="77" t="str">
        <f ca="1">VLOOKUP($A395,OFFSET([2]characters!$A$1,0,0,COUNTA([2]characters!$A:$A),MATCH(E$1,[2]characters!$1:$1,0)-MATCH($A$1,[2]characters!$1:$1,0)+1),MATCH(E$1,[2]characters!$1:$1,0)-MATCH($A$1,[2]characters!$1:$1,0)+1,FALSE)</f>
        <v>格好いい</v>
      </c>
      <c r="F395" s="77" t="str">
        <f ca="1">VLOOKUP($A395,OFFSET([2]characters!$A$1,0,0,COUNTA([2]characters!$A:$A),MATCH(F$1,[2]characters!$1:$1,0)-MATCH($A$1,[2]characters!$1:$1,0)+1),MATCH(F$1,[2]characters!$1:$1,0)-MATCH($A$1,[2]characters!$1:$1,0)+1,FALSE)</f>
        <v>男性</v>
      </c>
      <c r="G395" s="77">
        <f ca="1">VLOOKUP($A395,OFFSET([2]characters!$A$1,0,0,COUNTA([2]characters!$A:$A),MATCH(G$1,[2]characters!$1:$1,0)-MATCH($A$1,[2]characters!$1:$1,0)+1),MATCH(G$1,[2]characters!$1:$1,0)-MATCH($A$1,[2]characters!$1:$1,0)+1,FALSE)</f>
        <v>5</v>
      </c>
      <c r="H395" s="77" t="str">
        <f ca="1">VLOOKUP($A395,OFFSET([2]characters!$A$1,0,0,COUNTA([2]characters!$A:$A),MATCH(H$1,[2]characters!$1:$1,0)-MATCH($A$1,[2]characters!$1:$1,0)+1),MATCH(H$1,[2]characters!$1:$1,0)-MATCH($A$1,[2]characters!$1:$1,0)+1,FALSE)</f>
        <v>PremiumS</v>
      </c>
      <c r="I395" s="77" t="str">
        <f ca="1">VLOOKUP($A395,OFFSET([2]characters!$A$1,0,0,COUNTA([2]characters!$A:$A),MATCH(I$1,[2]characters!$1:$1,0)-MATCH($A$1,[2]characters!$1:$1,0)+1),MATCH(I$1,[2]characters!$1:$1,0)-MATCH($A$1,[2]characters!$1:$1,0)+1,FALSE)</f>
        <v>green</v>
      </c>
      <c r="J395" s="14">
        <f ca="1">VLOOKUP(I395,[2]属性!$A:$E,2,FALSE)</f>
        <v>1.02</v>
      </c>
      <c r="K395" s="14">
        <f ca="1">VLOOKUP(I395,[2]属性!$A:$E,3,FALSE)</f>
        <v>0.98</v>
      </c>
      <c r="L395" s="14">
        <f ca="1">VLOOKUP(I395,[2]属性!$A:$E,4,FALSE)</f>
        <v>1</v>
      </c>
      <c r="M395" s="14">
        <f ca="1">VLOOKUP(I395,[2]属性!$A:$E,5,FALSE)</f>
        <v>1</v>
      </c>
      <c r="N395" s="14">
        <f ca="1">INDEX(コスト!$A$1:$I$20,MATCH(H395,コスト!$A$1:$A$20,FALSE),MATCH(G395,コスト!$A$1:$I$1,FALSE))</f>
        <v>30</v>
      </c>
      <c r="O395" s="14">
        <f ca="1">INDEX(レベル!$A$1:$I$21,MATCH(H395,レベル!$A$1:$A$21,FALSE),MATCH(G395,レベル!$A$1:$I$1,FALSE))</f>
        <v>80</v>
      </c>
      <c r="P395" s="63">
        <f t="shared" ca="1" si="55"/>
        <v>75</v>
      </c>
      <c r="Q395" s="77" t="str">
        <f ca="1">VLOOKUP($A395,OFFSET([2]characters!$A$1,0,0,COUNTA([2]characters!$A:$A),MATCH(Q$1,[2]characters!$1:$1,0)-MATCH($A$1,[2]characters!$1:$1,0)+1),MATCH(Q$1,[2]characters!$1:$1,0)-MATCH($A$1,[2]characters!$1:$1,0)+1,FALSE)</f>
        <v>attack</v>
      </c>
      <c r="R395" s="8" t="str">
        <f ca="1">VLOOKUP(Q395,[2]character_type_i18n!$A:$H,3,FALSE)</f>
        <v>攻撃タイプ</v>
      </c>
      <c r="S395" s="14">
        <f ca="1">VLOOKUP(Q395,[2]character_type_i18n!$A:$H,4,FALSE)</f>
        <v>1</v>
      </c>
      <c r="T395" s="14">
        <f ca="1">VLOOKUP(Q395,[2]character_type_i18n!$A:$H,5,FALSE)</f>
        <v>1.33</v>
      </c>
      <c r="U395" s="14">
        <f ca="1">VLOOKUP(Q395,[2]character_type_i18n!$A:$H,6,FALSE)</f>
        <v>1</v>
      </c>
      <c r="V395" s="14">
        <f ca="1">VLOOKUP(Q395,[2]character_type_i18n!$A:$H,7,FALSE)</f>
        <v>0.67</v>
      </c>
      <c r="W395" s="77" t="str">
        <f ca="1">VLOOKUP($A395,OFFSET([2]characters!$A$1,0,0,COUNTA([2]characters!$A:$A),MATCH(W$1,[2]characters!$1:$1,0)-MATCH($A$1,[2]characters!$1:$1,0)+1),MATCH(W$1,[2]characters!$1:$1,0)-MATCH($A$1,[2]characters!$1:$1,0)+1,FALSE)</f>
        <v>human</v>
      </c>
      <c r="X395" s="8" t="str">
        <f ca="1">VLOOKUP(W395,[2]character_tribe_i18n!$A:$H,3,FALSE)</f>
        <v>ヒューマン</v>
      </c>
      <c r="Y395" s="77" t="str">
        <f ca="1">VLOOKUP($A395,OFFSET([2]characters!$A$1,0,0,COUNTA([2]characters!$A:$A),MATCH(Y$1,[2]characters!$1:$1,0)-MATCH($A$1,[2]characters!$1:$1,0)+1),MATCH(Y$1,[2]characters!$1:$1,0)-MATCH($A$1,[2]characters!$1:$1,0)+1,FALSE)</f>
        <v>machine</v>
      </c>
      <c r="Z395" s="8" t="str">
        <f ca="1">VLOOKUP(Y395,[2]character_tribe_i18n!$A:$H,3,FALSE)</f>
        <v>マシン</v>
      </c>
      <c r="AA395" s="14">
        <f ca="1">VLOOKUP(W395,[2]character_tribe_i18n!$A:$H,4,FALSE)</f>
        <v>0.94</v>
      </c>
      <c r="AB395" s="14">
        <f ca="1">VLOOKUP(W395,[2]character_tribe_i18n!$A:$H,5,FALSE)</f>
        <v>0.99</v>
      </c>
      <c r="AC395" s="14">
        <f ca="1">VLOOKUP(W395,[2]character_tribe_i18n!$A:$H,6,FALSE)</f>
        <v>1</v>
      </c>
      <c r="AD395" s="14">
        <f ca="1">VLOOKUP(W395,[2]character_tribe_i18n!$A:$H,7,FALSE)</f>
        <v>1.07</v>
      </c>
      <c r="AE395" s="12" t="s">
        <v>236</v>
      </c>
      <c r="AF395" s="85" t="str">
        <f ca="1">IF(AE395="NULL","",VLOOKUP($AE395,OFFSET([2]characters!$A$1,0,0,COUNTA([2]characters!$A:$A),MATCH(AF$1,[2]characters!$1:$1,0)-MATCH($A$1,[2]characters!$1:$1,0)+1),MATCH(AF$1,[2]characters!$1:$1,0)-MATCH($A$1,[2]characters!$1:$1,0)+1,FALSE))</f>
        <v/>
      </c>
      <c r="AG395" s="8">
        <f t="shared" ca="1" si="52"/>
        <v>392</v>
      </c>
      <c r="AH395" s="85" t="str">
        <f ca="1">VLOOKUP($AG395,OFFSET([2]characters!$A$1,0,0,COUNTA([2]characters!$A:$A),MATCH(AH$1,[2]characters!$1:$1,0)-MATCH($A$1,[2]characters!$1:$1,0)+1),MATCH(AH$1,[2]characters!$1:$1,0)-MATCH($A$1,[2]characters!$1:$1,0)+1,FALSE)</f>
        <v>ピーターパン</v>
      </c>
      <c r="AI395" s="14" t="str">
        <f>IF(AE395="NULL","NULL",VLOOKUP(G395,ビット!$A$2:$B$7,2))</f>
        <v>NULL</v>
      </c>
      <c r="AJ395" s="9">
        <v>2</v>
      </c>
      <c r="AK395" s="10" t="str">
        <f t="shared" si="62"/>
        <v>普通</v>
      </c>
      <c r="AL395" s="14" t="str">
        <f ca="1">INDEX(経験値!$A$1:$I$20,MATCH(H395,経験値!$A$1:$A$20,FALSE),MATCH(G395,経験値!$A$1:$I$1,FALSE))</f>
        <v>required_exp_200</v>
      </c>
      <c r="AM395" s="11">
        <f ca="1">VLOOKUP(G395,経験値!$A$27:$B$31,2)</f>
        <v>6400</v>
      </c>
      <c r="AN395" s="21">
        <f ca="1">VLOOKUP(G395,ビット!$G$2:$H$7,2)</f>
        <v>900</v>
      </c>
      <c r="AO395" s="57"/>
      <c r="AP395" s="101">
        <v>171001</v>
      </c>
      <c r="AQ395" s="77" t="e">
        <f ca="1">VLOOKUP($AP395,OFFSET([1]unit_skills!$A$1,0,0,COUNTA([1]unit_skills!$A:$A),MATCH("name",[1]unit_skills!$1:$1,0)-MATCH($AP$1,[1]unit_skills!$1:$1,0)+1),MATCH("name",[1]unit_skills!$1:$1,0)-MATCH($AP$1,[1]unit_skills!$1:$1,0)+1,FALSE)</f>
        <v>#VALUE!</v>
      </c>
      <c r="AR395" s="77" t="e">
        <f ca="1">VLOOKUP($AP395,OFFSET([1]unit_skills!$A$1,0,0,COUNTA([1]unit_skills!$A:$A),MATCH("comment",[1]unit_skills!$1:$1,0)-MATCH($AP$1,[1]unit_skills!$1:$1,0)+1),MATCH("comment",[1]unit_skills!$1:$1,0)-MATCH($AP$1,[1]unit_skills!$1:$1,0)+1,FALSE)</f>
        <v>#VALUE!</v>
      </c>
      <c r="AS395" s="77" t="e">
        <f ca="1">VLOOKUP($AP395,OFFSET([1]unit_skills!$A$1,0,0,COUNTA([1]unit_skills!$A:$A),MATCH(AS$1,[1]unit_skills!$1:$1,0)-MATCH($AP$1,[1]unit_skills!$1:$1,0)+1),MATCH(AS$1,[1]unit_skills!$1:$1,0)-MATCH($AP$1,[1]unit_skills!$1:$1,0)+1,FALSE)</f>
        <v>#VALUE!</v>
      </c>
      <c r="AT395" s="97">
        <v>310007</v>
      </c>
      <c r="AU395" s="77" t="e">
        <f ca="1">VLOOKUP($AT395,OFFSET([1]crash_skills!$A$1,0,0,COUNTA([1]crash_skills!$A:$A),MATCH("name",[1]crash_skills!$1:$1,0)-MATCH($AT$1,[1]crash_skills!$1:$1,0)+1),MATCH("name",[1]crash_skills!$1:$1,0)-MATCH($AT$1,[1]crash_skills!$1:$1,0)+1,FALSE)</f>
        <v>#VALUE!</v>
      </c>
      <c r="AV395" s="77" t="e">
        <f ca="1">VLOOKUP($AT395,OFFSET([1]crash_skills!$A$1,0,0,COUNTA([1]crash_skills!$A:$A),MATCH("comment",[1]crash_skills!$1:$1,0)-MATCH($AT$1,[1]crash_skills!$1:$1,0)+1),MATCH("comment",[1]crash_skills!$1:$1,0)-MATCH($AT$1,[1]crash_skills!$1:$1,0)+1,FALSE)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95" s="77" t="e">
        <f ca="1">VLOOKUP($AT395,OFFSET([1]crash_skills!$A$1,0,0,COUNTA([1]crash_skills!$A:$A),MATCH(AW$1,[1]crash_skills!$1:$1,0)-MATCH($AT$1,[1]crash_skills!$1:$1,0)+1),MATCH(AW$1,[1]crash_skills!$1:$1,0)-MATCH($AT$1,[1]crash_skills!$1:$1,0)+1,FALSE)</f>
        <v>#VALUE!</v>
      </c>
      <c r="AX395" s="81">
        <f ca="1">VLOOKUP($A395,OFFSET([2]characters!$A$1,0,0,COUNTA([2]characters!$A:$A),MATCH(AX$1,[2]characters!$1:$1,0)-MATCH($A$1,[2]characters!$1:$1,0)+1),MATCH(AX$1,[2]characters!$1:$1,0)-MATCH($A$1,[2]characters!$1:$1,0)+1,FALSE)</f>
        <v>3</v>
      </c>
      <c r="AY395" s="139">
        <v>1.05</v>
      </c>
      <c r="AZ395" s="139">
        <v>1.1000000000000001</v>
      </c>
      <c r="BA395" s="139">
        <v>0</v>
      </c>
      <c r="BB395" s="139">
        <v>1.02</v>
      </c>
      <c r="BC395" s="14">
        <f ca="1">INDEX('RC6SV'!$A$1:$G$20,MATCH(H395,'RC6SV'!$A$1:$A$20,FALSE),MATCH(G395,'RC6SV'!$A$1:$G$1,FALSE))</f>
        <v>9000</v>
      </c>
      <c r="BD395" s="63">
        <f t="shared" ca="1" si="63"/>
        <v>9000</v>
      </c>
      <c r="BE395" s="14">
        <f t="shared" ca="1" si="53"/>
        <v>7000</v>
      </c>
      <c r="BF395" s="14">
        <f t="shared" ca="1" si="54"/>
        <v>1</v>
      </c>
      <c r="BG395" s="20">
        <f ca="1">IF($BE395&lt;=0,ROUND(BK395*0.5,0), ROUND($BE395*S395*AA395*J395*AY395*0.8*[2]ステータス!$B$2,0))</f>
        <v>2819</v>
      </c>
      <c r="BH395" s="20">
        <f ca="1">IF($BE395&lt;=0,ROUND(BL395*0.5,0), ROUND($BE395*T395*AB395*K395*AZ395*0.8*[2]ステータス!$C$2,0))</f>
        <v>2385</v>
      </c>
      <c r="BI395" s="20">
        <f ca="1">IF($BE395&lt;=0,ROUND(BM395*0.5,0), ROUND($BE395*U395*AC395*L395*BA395*0.8*[2]ステータス!$D$2,0))</f>
        <v>0</v>
      </c>
      <c r="BJ395" s="20">
        <f ca="1">IF($BE395&lt;=0,ROUND(BN395*0.5,0), ROUND($BE395*V395*AD395*M395*BB395*0.8*[2]ステータス!$E$2,0))</f>
        <v>1024</v>
      </c>
      <c r="BK395" s="14">
        <f ca="1">ROUND(BD395*S395*AA395*J395*AY395*[2]ステータス!$B$2,0)</f>
        <v>4530</v>
      </c>
      <c r="BL395" s="14">
        <f ca="1">ROUND(BD395*T395*AB395*K395*AZ395*[2]ステータス!$C$2,0)</f>
        <v>3832</v>
      </c>
      <c r="BM395" s="14">
        <f ca="1">ROUND(BD395*U395*AC395*L395*BA395*[2]ステータス!$D$2,0)</f>
        <v>0</v>
      </c>
      <c r="BN395" s="14">
        <f ca="1">ROUND(BD395*V395*AD395*M395*BB395*[2]ステータス!$E$2,0)</f>
        <v>1645</v>
      </c>
      <c r="BO395" s="13">
        <v>0</v>
      </c>
      <c r="BP395" s="13">
        <v>1</v>
      </c>
      <c r="BQ395" s="49" t="s">
        <v>102</v>
      </c>
      <c r="BR395" s="13">
        <f ca="1">VLOOKUP(H395,ghosts_label!$A$2:$B$19,2,FALSE)</f>
        <v>700</v>
      </c>
    </row>
    <row r="396" spans="1:70" ht="21" customHeight="1" x14ac:dyDescent="0.15">
      <c r="A396" s="14">
        <f t="shared" ca="1" si="51"/>
        <v>395</v>
      </c>
      <c r="B396" s="77" t="str">
        <f ca="1">VLOOKUP($A396,OFFSET([2]characters!$A$1,0,0,COUNTA([2]characters!$A:$A),MATCH(B$1,[2]characters!$1:$1,0)-MATCH($A$1,[2]characters!$1:$1,0)+1),MATCH(B$1,[2]characters!$1:$1,0)-MATCH($A$1,[2]characters!$1:$1,0)+1,FALSE)</f>
        <v>乙姫</v>
      </c>
      <c r="C396" s="77" t="str">
        <f ca="1">VLOOKUP($A396,OFFSET([2]characters!$A$1,0,0,COUNTA([2]characters!$A:$A),MATCH(C$1,[2]characters!$1:$1,0)-MATCH($A$1,[2]characters!$1:$1,0)+1),MATCH(C$1,[2]characters!$1:$1,0)-MATCH($A$1,[2]characters!$1:$1,0)+1,FALSE)</f>
        <v>ガチャ:アリスの絵本01</v>
      </c>
      <c r="D396" s="77" t="str">
        <f ca="1">VLOOKUP($A396,OFFSET([2]characters!$A$1,0,0,COUNTA([2]characters!$A:$A),MATCH(D$1,[2]characters!$1:$1,0)-MATCH($A$1,[2]characters!$1:$1,0)+1),MATCH(D$1,[2]characters!$1:$1,0)-MATCH($A$1,[2]characters!$1:$1,0)+1,FALSE)</f>
        <v>執行者</v>
      </c>
      <c r="E396" s="77" t="str">
        <f ca="1">VLOOKUP($A396,OFFSET([2]characters!$A$1,0,0,COUNTA([2]characters!$A:$A),MATCH(E$1,[2]characters!$1:$1,0)-MATCH($A$1,[2]characters!$1:$1,0)+1),MATCH(E$1,[2]characters!$1:$1,0)-MATCH($A$1,[2]characters!$1:$1,0)+1,FALSE)</f>
        <v>格好いい</v>
      </c>
      <c r="F396" s="77" t="str">
        <f ca="1">VLOOKUP($A396,OFFSET([2]characters!$A$1,0,0,COUNTA([2]characters!$A:$A),MATCH(F$1,[2]characters!$1:$1,0)-MATCH($A$1,[2]characters!$1:$1,0)+1),MATCH(F$1,[2]characters!$1:$1,0)-MATCH($A$1,[2]characters!$1:$1,0)+1,FALSE)</f>
        <v>女性</v>
      </c>
      <c r="G396" s="77">
        <f ca="1">VLOOKUP($A396,OFFSET([2]characters!$A$1,0,0,COUNTA([2]characters!$A:$A),MATCH(G$1,[2]characters!$1:$1,0)-MATCH($A$1,[2]characters!$1:$1,0)+1),MATCH(G$1,[2]characters!$1:$1,0)-MATCH($A$1,[2]characters!$1:$1,0)+1,FALSE)</f>
        <v>3</v>
      </c>
      <c r="H396" s="77" t="str">
        <f ca="1">VLOOKUP($A396,OFFSET([2]characters!$A$1,0,0,COUNTA([2]characters!$A:$A),MATCH(H$1,[2]characters!$1:$1,0)-MATCH($A$1,[2]characters!$1:$1,0)+1),MATCH(H$1,[2]characters!$1:$1,0)-MATCH($A$1,[2]characters!$1:$1,0)+1,FALSE)</f>
        <v>PremiumS</v>
      </c>
      <c r="I396" s="77" t="str">
        <f ca="1">VLOOKUP($A396,OFFSET([2]characters!$A$1,0,0,COUNTA([2]characters!$A:$A),MATCH(I$1,[2]characters!$1:$1,0)-MATCH($A$1,[2]characters!$1:$1,0)+1),MATCH(I$1,[2]characters!$1:$1,0)-MATCH($A$1,[2]characters!$1:$1,0)+1,FALSE)</f>
        <v>blue</v>
      </c>
      <c r="J396" s="14">
        <f ca="1">VLOOKUP(I396,[2]属性!$A:$E,2,FALSE)</f>
        <v>1</v>
      </c>
      <c r="K396" s="14">
        <f ca="1">VLOOKUP(I396,[2]属性!$A:$E,3,FALSE)</f>
        <v>0.98</v>
      </c>
      <c r="L396" s="14">
        <f ca="1">VLOOKUP(I396,[2]属性!$A:$E,4,FALSE)</f>
        <v>1</v>
      </c>
      <c r="M396" s="14">
        <f ca="1">VLOOKUP(I396,[2]属性!$A:$E,5,FALSE)</f>
        <v>1.02</v>
      </c>
      <c r="N396" s="14">
        <f ca="1">INDEX(コスト!$A$1:$I$20,MATCH(H396,コスト!$A$1:$A$20,FALSE),MATCH(G396,コスト!$A$1:$I$1,FALSE))</f>
        <v>10</v>
      </c>
      <c r="O396" s="14">
        <f ca="1">INDEX(レベル!$A$1:$I$21,MATCH(H396,レベル!$A$1:$A$21,FALSE),MATCH(G396,レベル!$A$1:$I$1,FALSE))</f>
        <v>40</v>
      </c>
      <c r="P396" s="63">
        <f t="shared" ca="1" si="55"/>
        <v>45</v>
      </c>
      <c r="Q396" s="77" t="str">
        <f ca="1">VLOOKUP($A396,OFFSET([2]characters!$A$1,0,0,COUNTA([2]characters!$A:$A),MATCH(Q$1,[2]characters!$1:$1,0)-MATCH($A$1,[2]characters!$1:$1,0)+1),MATCH(Q$1,[2]characters!$1:$1,0)-MATCH($A$1,[2]characters!$1:$1,0)+1,FALSE)</f>
        <v>hp</v>
      </c>
      <c r="R396" s="8" t="str">
        <f ca="1">VLOOKUP(Q396,[2]character_type_i18n!$A:$H,3,FALSE)</f>
        <v>体力タイプ</v>
      </c>
      <c r="S396" s="14">
        <f ca="1">VLOOKUP(Q396,[2]character_type_i18n!$A:$H,4,FALSE)</f>
        <v>1.45</v>
      </c>
      <c r="T396" s="14">
        <f ca="1">VLOOKUP(Q396,[2]character_type_i18n!$A:$H,5,FALSE)</f>
        <v>0.85</v>
      </c>
      <c r="U396" s="14">
        <f ca="1">VLOOKUP(Q396,[2]character_type_i18n!$A:$H,6,FALSE)</f>
        <v>1</v>
      </c>
      <c r="V396" s="14">
        <f ca="1">VLOOKUP(Q396,[2]character_type_i18n!$A:$H,7,FALSE)</f>
        <v>0.7</v>
      </c>
      <c r="W396" s="77" t="str">
        <f ca="1">VLOOKUP($A396,OFFSET([2]characters!$A$1,0,0,COUNTA([2]characters!$A:$A),MATCH(W$1,[2]characters!$1:$1,0)-MATCH($A$1,[2]characters!$1:$1,0)+1),MATCH(W$1,[2]characters!$1:$1,0)-MATCH($A$1,[2]characters!$1:$1,0)+1,FALSE)</f>
        <v>human</v>
      </c>
      <c r="X396" s="8" t="str">
        <f ca="1">VLOOKUP(W396,[2]character_tribe_i18n!$A:$H,3,FALSE)</f>
        <v>ヒューマン</v>
      </c>
      <c r="Y396" s="77" t="str">
        <f ca="1">VLOOKUP($A396,OFFSET([2]characters!$A$1,0,0,COUNTA([2]characters!$A:$A),MATCH(Y$1,[2]characters!$1:$1,0)-MATCH($A$1,[2]characters!$1:$1,0)+1),MATCH(Y$1,[2]characters!$1:$1,0)-MATCH($A$1,[2]characters!$1:$1,0)+1,FALSE)</f>
        <v>machine</v>
      </c>
      <c r="Z396" s="8" t="str">
        <f ca="1">VLOOKUP(Y396,[2]character_tribe_i18n!$A:$H,3,FALSE)</f>
        <v>マシン</v>
      </c>
      <c r="AA396" s="14">
        <f ca="1">VLOOKUP(W396,[2]character_tribe_i18n!$A:$H,4,FALSE)</f>
        <v>0.94</v>
      </c>
      <c r="AB396" s="14">
        <f ca="1">VLOOKUP(W396,[2]character_tribe_i18n!$A:$H,5,FALSE)</f>
        <v>0.99</v>
      </c>
      <c r="AC396" s="14">
        <f ca="1">VLOOKUP(W396,[2]character_tribe_i18n!$A:$H,6,FALSE)</f>
        <v>1</v>
      </c>
      <c r="AD396" s="14">
        <f ca="1">VLOOKUP(W396,[2]character_tribe_i18n!$A:$H,7,FALSE)</f>
        <v>1.07</v>
      </c>
      <c r="AE396" s="12">
        <v>396</v>
      </c>
      <c r="AF396" s="85" t="str">
        <f ca="1">IF(AE396="NULL","",VLOOKUP($AE396,OFFSET([2]characters!$A$1,0,0,COUNTA([2]characters!$A:$A),MATCH(AF$1,[2]characters!$1:$1,0)-MATCH($A$1,[2]characters!$1:$1,0)+1),MATCH(AF$1,[2]characters!$1:$1,0)-MATCH($A$1,[2]characters!$1:$1,0)+1,FALSE))</f>
        <v>竜宮の水雷 乙姫</v>
      </c>
      <c r="AG396" s="8">
        <f t="shared" ca="1" si="52"/>
        <v>395</v>
      </c>
      <c r="AH396" s="85" t="str">
        <f ca="1">VLOOKUP($AG396,OFFSET([2]characters!$A$1,0,0,COUNTA([2]characters!$A:$A),MATCH(AH$1,[2]characters!$1:$1,0)-MATCH($A$1,[2]characters!$1:$1,0)+1),MATCH(AH$1,[2]characters!$1:$1,0)-MATCH($A$1,[2]characters!$1:$1,0)+1,FALSE)</f>
        <v>乙姫</v>
      </c>
      <c r="AI396" s="14">
        <f ca="1">IF(AE396="NULL","NULL",VLOOKUP(G396,ビット!$A$2:$B$7,2))</f>
        <v>20000</v>
      </c>
      <c r="AJ396" s="9">
        <v>2</v>
      </c>
      <c r="AK396" s="10" t="str">
        <f t="shared" si="62"/>
        <v>普通</v>
      </c>
      <c r="AL396" s="14" t="str">
        <f ca="1">INDEX(経験値!$A$1:$I$20,MATCH(H396,経験値!$A$1:$A$20,FALSE),MATCH(G396,経験値!$A$1:$I$1,FALSE))</f>
        <v>required_exp_200</v>
      </c>
      <c r="AM396" s="11">
        <f ca="1">VLOOKUP(G396,経験値!$A$27:$B$31,2)</f>
        <v>1500</v>
      </c>
      <c r="AN396" s="21">
        <f ca="1">VLOOKUP(G396,ビット!$G$2:$H$7,2)</f>
        <v>300</v>
      </c>
      <c r="AO396" s="57"/>
      <c r="AP396" s="101">
        <v>222019</v>
      </c>
      <c r="AQ396" s="77" t="e">
        <f ca="1">VLOOKUP($AP396,OFFSET([1]unit_skills!$A$1,0,0,COUNTA([1]unit_skills!$A:$A),MATCH("name",[1]unit_skills!$1:$1,0)-MATCH($AP$1,[1]unit_skills!$1:$1,0)+1),MATCH("name",[1]unit_skills!$1:$1,0)-MATCH($AP$1,[1]unit_skills!$1:$1,0)+1,FALSE)</f>
        <v>#VALUE!</v>
      </c>
      <c r="AR396" s="77" t="e">
        <f ca="1">VLOOKUP($AP396,OFFSET([1]unit_skills!$A$1,0,0,COUNTA([1]unit_skills!$A:$A),MATCH("comment",[1]unit_skills!$1:$1,0)-MATCH($AP$1,[1]unit_skills!$1:$1,0)+1),MATCH("comment",[1]unit_skills!$1:$1,0)-MATCH($AP$1,[1]unit_skills!$1:$1,0)+1,FALSE)</f>
        <v>#VALUE!</v>
      </c>
      <c r="AS396" s="77" t="e">
        <f ca="1">VLOOKUP($AP396,OFFSET([1]unit_skills!$A$1,0,0,COUNTA([1]unit_skills!$A:$A),MATCH(AS$1,[1]unit_skills!$1:$1,0)-MATCH($AP$1,[1]unit_skills!$1:$1,0)+1),MATCH(AS$1,[1]unit_skills!$1:$1,0)-MATCH($AP$1,[1]unit_skills!$1:$1,0)+1,FALSE)</f>
        <v>#VALUE!</v>
      </c>
      <c r="AT396" s="53">
        <v>191110</v>
      </c>
      <c r="AU396" s="77" t="e">
        <f ca="1">VLOOKUP($AT396,OFFSET([1]crash_skills!$A$1,0,0,COUNTA([1]crash_skills!$A:$A),MATCH("name",[1]crash_skills!$1:$1,0)-MATCH($AT$1,[1]crash_skills!$1:$1,0)+1),MATCH("name",[1]crash_skills!$1:$1,0)-MATCH($AT$1,[1]crash_skills!$1:$1,0)+1,FALSE)</f>
        <v>#VALUE!</v>
      </c>
      <c r="AV396" s="77" t="e">
        <f ca="1">VLOOKUP($AT396,OFFSET([1]crash_skills!$A$1,0,0,COUNTA([1]crash_skills!$A:$A),MATCH("comment",[1]crash_skills!$1:$1,0)-MATCH($AT$1,[1]crash_skills!$1:$1,0)+1),MATCH("comment",[1]crash_skills!$1:$1,0)-MATCH($AT$1,[1]crash_skills!$1:$1,0)+1,FALSE)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96" s="77" t="e">
        <f ca="1">VLOOKUP($AT396,OFFSET([1]crash_skills!$A$1,0,0,COUNTA([1]crash_skills!$A:$A),MATCH(AW$1,[1]crash_skills!$1:$1,0)-MATCH($AT$1,[1]crash_skills!$1:$1,0)+1),MATCH(AW$1,[1]crash_skills!$1:$1,0)-MATCH($AT$1,[1]crash_skills!$1:$1,0)+1,FALSE)</f>
        <v>#VALUE!</v>
      </c>
      <c r="AX396" s="81">
        <f ca="1">VLOOKUP($A396,OFFSET([2]characters!$A$1,0,0,COUNTA([2]characters!$A:$A),MATCH(AX$1,[2]characters!$1:$1,0)-MATCH($A$1,[2]characters!$1:$1,0)+1),MATCH(AX$1,[2]characters!$1:$1,0)-MATCH($A$1,[2]characters!$1:$1,0)+1,FALSE)</f>
        <v>3</v>
      </c>
      <c r="AY396" s="139">
        <v>1</v>
      </c>
      <c r="AZ396" s="139">
        <v>1</v>
      </c>
      <c r="BA396" s="139">
        <v>0</v>
      </c>
      <c r="BB396" s="139">
        <v>0.9</v>
      </c>
      <c r="BC396" s="14">
        <f ca="1">INDEX('RC6SV'!$A$1:$G$20,MATCH(H396,'RC6SV'!$A$1:$A$20,FALSE),MATCH(G396,'RC6SV'!$A$1:$G$1,FALSE))</f>
        <v>5000</v>
      </c>
      <c r="BD396" s="63">
        <f t="shared" ca="1" si="63"/>
        <v>5000</v>
      </c>
      <c r="BE396" s="14">
        <f t="shared" ca="1" si="53"/>
        <v>0</v>
      </c>
      <c r="BF396" s="14">
        <f t="shared" ca="1" si="54"/>
        <v>1</v>
      </c>
      <c r="BG396" s="20">
        <f ca="1">IF($BE396&lt;=0,ROUND(BK396*0.5,0), ROUND($BE396*S396*AA396*J396*AY396*0.8*[2]ステータス!$B$2,0))</f>
        <v>1704</v>
      </c>
      <c r="BH396" s="20">
        <f ca="1">IF($BE396&lt;=0,ROUND(BL396*0.5,0), ROUND($BE396*T396*AB396*K396*AZ396*0.8*[2]ステータス!$C$2,0))</f>
        <v>619</v>
      </c>
      <c r="BI396" s="20">
        <f ca="1">IF($BE396&lt;=0,ROUND(BM396*0.5,0), ROUND($BE396*U396*AC396*L396*BA396*0.8*[2]ステータス!$D$2,0))</f>
        <v>0</v>
      </c>
      <c r="BJ396" s="20">
        <f ca="1">IF($BE396&lt;=0,ROUND(BN396*0.5,0), ROUND($BE396*V396*AD396*M396*BB396*0.8*[2]ステータス!$E$2,0))</f>
        <v>430</v>
      </c>
      <c r="BK396" s="14">
        <f ca="1">ROUND(BD396*S396*AA396*J396*AY396*[2]ステータス!$B$2,0)</f>
        <v>3408</v>
      </c>
      <c r="BL396" s="14">
        <f ca="1">ROUND(BD396*T396*AB396*K396*AZ396*[2]ステータス!$C$2,0)</f>
        <v>1237</v>
      </c>
      <c r="BM396" s="14">
        <f ca="1">ROUND(BD396*U396*AC396*L396*BA396*[2]ステータス!$D$2,0)</f>
        <v>0</v>
      </c>
      <c r="BN396" s="14">
        <f ca="1">ROUND(BD396*V396*AD396*M396*BB396*[2]ステータス!$E$2,0)</f>
        <v>859</v>
      </c>
      <c r="BO396" s="13">
        <v>0</v>
      </c>
      <c r="BP396" s="13">
        <v>1</v>
      </c>
      <c r="BQ396" s="49" t="s">
        <v>102</v>
      </c>
      <c r="BR396" s="13">
        <f ca="1">VLOOKUP(H396,ghosts_label!$A$2:$B$19,2,FALSE)</f>
        <v>700</v>
      </c>
    </row>
    <row r="397" spans="1:70" ht="21" customHeight="1" x14ac:dyDescent="0.15">
      <c r="A397" s="14">
        <f t="shared" ca="1" si="51"/>
        <v>396</v>
      </c>
      <c r="B397" s="77" t="str">
        <f ca="1">VLOOKUP($A397,OFFSET([2]characters!$A$1,0,0,COUNTA([2]characters!$A:$A),MATCH(B$1,[2]characters!$1:$1,0)-MATCH($A$1,[2]characters!$1:$1,0)+1),MATCH(B$1,[2]characters!$1:$1,0)-MATCH($A$1,[2]characters!$1:$1,0)+1,FALSE)</f>
        <v>竜宮の水雷 乙姫</v>
      </c>
      <c r="C397" s="77" t="str">
        <f ca="1">VLOOKUP($A397,OFFSET([2]characters!$A$1,0,0,COUNTA([2]characters!$A:$A),MATCH(C$1,[2]characters!$1:$1,0)-MATCH($A$1,[2]characters!$1:$1,0)+1),MATCH(C$1,[2]characters!$1:$1,0)-MATCH($A$1,[2]characters!$1:$1,0)+1,FALSE)</f>
        <v>ガチャ:アリスの絵本01</v>
      </c>
      <c r="D397" s="77" t="str">
        <f ca="1">VLOOKUP($A397,OFFSET([2]characters!$A$1,0,0,COUNTA([2]characters!$A:$A),MATCH(D$1,[2]characters!$1:$1,0)-MATCH($A$1,[2]characters!$1:$1,0)+1),MATCH(D$1,[2]characters!$1:$1,0)-MATCH($A$1,[2]characters!$1:$1,0)+1,FALSE)</f>
        <v>執行者</v>
      </c>
      <c r="E397" s="77" t="str">
        <f ca="1">VLOOKUP($A397,OFFSET([2]characters!$A$1,0,0,COUNTA([2]characters!$A:$A),MATCH(E$1,[2]characters!$1:$1,0)-MATCH($A$1,[2]characters!$1:$1,0)+1),MATCH(E$1,[2]characters!$1:$1,0)-MATCH($A$1,[2]characters!$1:$1,0)+1,FALSE)</f>
        <v>格好いい</v>
      </c>
      <c r="F397" s="77" t="str">
        <f ca="1">VLOOKUP($A397,OFFSET([2]characters!$A$1,0,0,COUNTA([2]characters!$A:$A),MATCH(F$1,[2]characters!$1:$1,0)-MATCH($A$1,[2]characters!$1:$1,0)+1),MATCH(F$1,[2]characters!$1:$1,0)-MATCH($A$1,[2]characters!$1:$1,0)+1,FALSE)</f>
        <v>女性</v>
      </c>
      <c r="G397" s="77">
        <f ca="1">VLOOKUP($A397,OFFSET([2]characters!$A$1,0,0,COUNTA([2]characters!$A:$A),MATCH(G$1,[2]characters!$1:$1,0)-MATCH($A$1,[2]characters!$1:$1,0)+1),MATCH(G$1,[2]characters!$1:$1,0)-MATCH($A$1,[2]characters!$1:$1,0)+1,FALSE)</f>
        <v>4</v>
      </c>
      <c r="H397" s="77" t="str">
        <f ca="1">VLOOKUP($A397,OFFSET([2]characters!$A$1,0,0,COUNTA([2]characters!$A:$A),MATCH(H$1,[2]characters!$1:$1,0)-MATCH($A$1,[2]characters!$1:$1,0)+1),MATCH(H$1,[2]characters!$1:$1,0)-MATCH($A$1,[2]characters!$1:$1,0)+1,FALSE)</f>
        <v>PremiumS</v>
      </c>
      <c r="I397" s="77" t="str">
        <f ca="1">VLOOKUP($A397,OFFSET([2]characters!$A$1,0,0,COUNTA([2]characters!$A:$A),MATCH(I$1,[2]characters!$1:$1,0)-MATCH($A$1,[2]characters!$1:$1,0)+1),MATCH(I$1,[2]characters!$1:$1,0)-MATCH($A$1,[2]characters!$1:$1,0)+1,FALSE)</f>
        <v>blue</v>
      </c>
      <c r="J397" s="14">
        <f ca="1">VLOOKUP(I397,[2]属性!$A:$E,2,FALSE)</f>
        <v>1</v>
      </c>
      <c r="K397" s="14">
        <f ca="1">VLOOKUP(I397,[2]属性!$A:$E,3,FALSE)</f>
        <v>0.98</v>
      </c>
      <c r="L397" s="14">
        <f ca="1">VLOOKUP(I397,[2]属性!$A:$E,4,FALSE)</f>
        <v>1</v>
      </c>
      <c r="M397" s="14">
        <f ca="1">VLOOKUP(I397,[2]属性!$A:$E,5,FALSE)</f>
        <v>1.02</v>
      </c>
      <c r="N397" s="14">
        <f ca="1">INDEX(コスト!$A$1:$I$20,MATCH(H397,コスト!$A$1:$A$20,FALSE),MATCH(G397,コスト!$A$1:$I$1,FALSE))</f>
        <v>20</v>
      </c>
      <c r="O397" s="14">
        <f ca="1">INDEX(レベル!$A$1:$I$21,MATCH(H397,レベル!$A$1:$A$21,FALSE),MATCH(G397,レベル!$A$1:$I$1,FALSE))</f>
        <v>60</v>
      </c>
      <c r="P397" s="63">
        <f t="shared" ca="1" si="55"/>
        <v>60</v>
      </c>
      <c r="Q397" s="77" t="str">
        <f ca="1">VLOOKUP($A397,OFFSET([2]characters!$A$1,0,0,COUNTA([2]characters!$A:$A),MATCH(Q$1,[2]characters!$1:$1,0)-MATCH($A$1,[2]characters!$1:$1,0)+1),MATCH(Q$1,[2]characters!$1:$1,0)-MATCH($A$1,[2]characters!$1:$1,0)+1,FALSE)</f>
        <v>hp</v>
      </c>
      <c r="R397" s="8" t="str">
        <f ca="1">VLOOKUP(Q397,[2]character_type_i18n!$A:$H,3,FALSE)</f>
        <v>体力タイプ</v>
      </c>
      <c r="S397" s="14">
        <f ca="1">VLOOKUP(Q397,[2]character_type_i18n!$A:$H,4,FALSE)</f>
        <v>1.45</v>
      </c>
      <c r="T397" s="14">
        <f ca="1">VLOOKUP(Q397,[2]character_type_i18n!$A:$H,5,FALSE)</f>
        <v>0.85</v>
      </c>
      <c r="U397" s="14">
        <f ca="1">VLOOKUP(Q397,[2]character_type_i18n!$A:$H,6,FALSE)</f>
        <v>1</v>
      </c>
      <c r="V397" s="14">
        <f ca="1">VLOOKUP(Q397,[2]character_type_i18n!$A:$H,7,FALSE)</f>
        <v>0.7</v>
      </c>
      <c r="W397" s="77" t="str">
        <f ca="1">VLOOKUP($A397,OFFSET([2]characters!$A$1,0,0,COUNTA([2]characters!$A:$A),MATCH(W$1,[2]characters!$1:$1,0)-MATCH($A$1,[2]characters!$1:$1,0)+1),MATCH(W$1,[2]characters!$1:$1,0)-MATCH($A$1,[2]characters!$1:$1,0)+1,FALSE)</f>
        <v>human</v>
      </c>
      <c r="X397" s="8" t="str">
        <f ca="1">VLOOKUP(W397,[2]character_tribe_i18n!$A:$H,3,FALSE)</f>
        <v>ヒューマン</v>
      </c>
      <c r="Y397" s="77" t="str">
        <f ca="1">VLOOKUP($A397,OFFSET([2]characters!$A$1,0,0,COUNTA([2]characters!$A:$A),MATCH(Y$1,[2]characters!$1:$1,0)-MATCH($A$1,[2]characters!$1:$1,0)+1),MATCH(Y$1,[2]characters!$1:$1,0)-MATCH($A$1,[2]characters!$1:$1,0)+1,FALSE)</f>
        <v>machine</v>
      </c>
      <c r="Z397" s="8" t="str">
        <f ca="1">VLOOKUP(Y397,[2]character_tribe_i18n!$A:$H,3,FALSE)</f>
        <v>マシン</v>
      </c>
      <c r="AA397" s="14">
        <f ca="1">VLOOKUP(W397,[2]character_tribe_i18n!$A:$H,4,FALSE)</f>
        <v>0.94</v>
      </c>
      <c r="AB397" s="14">
        <f ca="1">VLOOKUP(W397,[2]character_tribe_i18n!$A:$H,5,FALSE)</f>
        <v>0.99</v>
      </c>
      <c r="AC397" s="14">
        <f ca="1">VLOOKUP(W397,[2]character_tribe_i18n!$A:$H,6,FALSE)</f>
        <v>1</v>
      </c>
      <c r="AD397" s="14">
        <f ca="1">VLOOKUP(W397,[2]character_tribe_i18n!$A:$H,7,FALSE)</f>
        <v>1.07</v>
      </c>
      <c r="AE397" s="12">
        <v>397</v>
      </c>
      <c r="AF397" s="85" t="str">
        <f ca="1">IF(AE397="NULL","",VLOOKUP($AE397,OFFSET([2]characters!$A$1,0,0,COUNTA([2]characters!$A:$A),MATCH(AF$1,[2]characters!$1:$1,0)-MATCH($A$1,[2]characters!$1:$1,0)+1),MATCH(AF$1,[2]characters!$1:$1,0)-MATCH($A$1,[2]characters!$1:$1,0)+1,FALSE))</f>
        <v>禁断の追箱 乙姫</v>
      </c>
      <c r="AG397" s="8">
        <f t="shared" ca="1" si="52"/>
        <v>395</v>
      </c>
      <c r="AH397" s="85" t="str">
        <f ca="1">VLOOKUP($AG397,OFFSET([2]characters!$A$1,0,0,COUNTA([2]characters!$A:$A),MATCH(AH$1,[2]characters!$1:$1,0)-MATCH($A$1,[2]characters!$1:$1,0)+1),MATCH(AH$1,[2]characters!$1:$1,0)-MATCH($A$1,[2]characters!$1:$1,0)+1,FALSE)</f>
        <v>乙姫</v>
      </c>
      <c r="AI397" s="14">
        <f ca="1">IF(AE397="NULL","NULL",VLOOKUP(G397,ビット!$A$2:$B$7,2))</f>
        <v>50000</v>
      </c>
      <c r="AJ397" s="9">
        <v>2</v>
      </c>
      <c r="AK397" s="10" t="str">
        <f t="shared" si="62"/>
        <v>普通</v>
      </c>
      <c r="AL397" s="14" t="str">
        <f ca="1">INDEX(経験値!$A$1:$I$20,MATCH(H397,経験値!$A$1:$A$20,FALSE),MATCH(G397,経験値!$A$1:$I$1,FALSE))</f>
        <v>required_exp_200</v>
      </c>
      <c r="AM397" s="11">
        <f ca="1">VLOOKUP(G397,経験値!$A$27:$B$31,2)</f>
        <v>3400</v>
      </c>
      <c r="AN397" s="21">
        <f ca="1">VLOOKUP(G397,ビット!$G$2:$H$7,2)</f>
        <v>600</v>
      </c>
      <c r="AO397" s="57"/>
      <c r="AP397" s="101">
        <v>222019</v>
      </c>
      <c r="AQ397" s="77" t="e">
        <f ca="1">VLOOKUP($AP397,OFFSET([1]unit_skills!$A$1,0,0,COUNTA([1]unit_skills!$A:$A),MATCH("name",[1]unit_skills!$1:$1,0)-MATCH($AP$1,[1]unit_skills!$1:$1,0)+1),MATCH("name",[1]unit_skills!$1:$1,0)-MATCH($AP$1,[1]unit_skills!$1:$1,0)+1,FALSE)</f>
        <v>#VALUE!</v>
      </c>
      <c r="AR397" s="77" t="e">
        <f ca="1">VLOOKUP($AP397,OFFSET([1]unit_skills!$A$1,0,0,COUNTA([1]unit_skills!$A:$A),MATCH("comment",[1]unit_skills!$1:$1,0)-MATCH($AP$1,[1]unit_skills!$1:$1,0)+1),MATCH("comment",[1]unit_skills!$1:$1,0)-MATCH($AP$1,[1]unit_skills!$1:$1,0)+1,FALSE)</f>
        <v>#VALUE!</v>
      </c>
      <c r="AS397" s="77" t="e">
        <f ca="1">VLOOKUP($AP397,OFFSET([1]unit_skills!$A$1,0,0,COUNTA([1]unit_skills!$A:$A),MATCH(AS$1,[1]unit_skills!$1:$1,0)-MATCH($AP$1,[1]unit_skills!$1:$1,0)+1),MATCH(AS$1,[1]unit_skills!$1:$1,0)-MATCH($AP$1,[1]unit_skills!$1:$1,0)+1,FALSE)</f>
        <v>#VALUE!</v>
      </c>
      <c r="AT397" s="53">
        <v>191110</v>
      </c>
      <c r="AU397" s="77" t="e">
        <f ca="1">VLOOKUP($AT397,OFFSET([1]crash_skills!$A$1,0,0,COUNTA([1]crash_skills!$A:$A),MATCH("name",[1]crash_skills!$1:$1,0)-MATCH($AT$1,[1]crash_skills!$1:$1,0)+1),MATCH("name",[1]crash_skills!$1:$1,0)-MATCH($AT$1,[1]crash_skills!$1:$1,0)+1,FALSE)</f>
        <v>#VALUE!</v>
      </c>
      <c r="AV397" s="77" t="e">
        <f ca="1">VLOOKUP($AT397,OFFSET([1]crash_skills!$A$1,0,0,COUNTA([1]crash_skills!$A:$A),MATCH("comment",[1]crash_skills!$1:$1,0)-MATCH($AT$1,[1]crash_skills!$1:$1,0)+1),MATCH("comment",[1]crash_skills!$1:$1,0)-MATCH($AT$1,[1]crash_skills!$1:$1,0)+1,FALSE)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97" s="77" t="e">
        <f ca="1">VLOOKUP($AT397,OFFSET([1]crash_skills!$A$1,0,0,COUNTA([1]crash_skills!$A:$A),MATCH(AW$1,[1]crash_skills!$1:$1,0)-MATCH($AT$1,[1]crash_skills!$1:$1,0)+1),MATCH(AW$1,[1]crash_skills!$1:$1,0)-MATCH($AT$1,[1]crash_skills!$1:$1,0)+1,FALSE)</f>
        <v>#VALUE!</v>
      </c>
      <c r="AX397" s="81">
        <f ca="1">VLOOKUP($A397,OFFSET([2]characters!$A$1,0,0,COUNTA([2]characters!$A:$A),MATCH(AX$1,[2]characters!$1:$1,0)-MATCH($A$1,[2]characters!$1:$1,0)+1),MATCH(AX$1,[2]characters!$1:$1,0)-MATCH($A$1,[2]characters!$1:$1,0)+1,FALSE)</f>
        <v>3</v>
      </c>
      <c r="AY397" s="139">
        <v>1.1000000000000001</v>
      </c>
      <c r="AZ397" s="139">
        <v>1</v>
      </c>
      <c r="BA397" s="139">
        <v>0</v>
      </c>
      <c r="BB397" s="139">
        <v>0.98</v>
      </c>
      <c r="BC397" s="14">
        <f ca="1">INDEX('RC6SV'!$A$1:$G$20,MATCH(H397,'RC6SV'!$A$1:$A$20,FALSE),MATCH(G397,'RC6SV'!$A$1:$G$1,FALSE))</f>
        <v>7000</v>
      </c>
      <c r="BD397" s="63">
        <f t="shared" ca="1" si="63"/>
        <v>7000</v>
      </c>
      <c r="BE397" s="14">
        <f t="shared" ca="1" si="53"/>
        <v>5000</v>
      </c>
      <c r="BF397" s="14">
        <f t="shared" ca="1" si="54"/>
        <v>1</v>
      </c>
      <c r="BG397" s="20">
        <f ca="1">IF($BE397&lt;=0,ROUND(BK397*0.5,0), ROUND($BE397*S397*AA397*J397*AY397*0.8*[2]ステータス!$B$2,0))</f>
        <v>2999</v>
      </c>
      <c r="BH397" s="20">
        <f ca="1">IF($BE397&lt;=0,ROUND(BL397*0.5,0), ROUND($BE397*T397*AB397*K397*AZ397*0.8*[2]ステータス!$C$2,0))</f>
        <v>990</v>
      </c>
      <c r="BI397" s="20">
        <f ca="1">IF($BE397&lt;=0,ROUND(BM397*0.5,0), ROUND($BE397*U397*AC397*L397*BA397*0.8*[2]ステータス!$D$2,0))</f>
        <v>0</v>
      </c>
      <c r="BJ397" s="20">
        <f ca="1">IF($BE397&lt;=0,ROUND(BN397*0.5,0), ROUND($BE397*V397*AD397*M397*BB397*0.8*[2]ステータス!$E$2,0))</f>
        <v>749</v>
      </c>
      <c r="BK397" s="14">
        <f ca="1">ROUND(BD397*S397*AA397*J397*AY397*[2]ステータス!$B$2,0)</f>
        <v>5248</v>
      </c>
      <c r="BL397" s="14">
        <f ca="1">ROUND(BD397*T397*AB397*K397*AZ397*[2]ステータス!$C$2,0)</f>
        <v>1732</v>
      </c>
      <c r="BM397" s="14">
        <f ca="1">ROUND(BD397*U397*AC397*L397*BA397*[2]ステータス!$D$2,0)</f>
        <v>0</v>
      </c>
      <c r="BN397" s="14">
        <f ca="1">ROUND(BD397*V397*AD397*M397*BB397*[2]ステータス!$E$2,0)</f>
        <v>1310</v>
      </c>
      <c r="BO397" s="13">
        <v>0</v>
      </c>
      <c r="BP397" s="13">
        <v>1</v>
      </c>
      <c r="BQ397" s="49" t="s">
        <v>102</v>
      </c>
      <c r="BR397" s="13">
        <f ca="1">VLOOKUP(H397,ghosts_label!$A$2:$B$19,2,FALSE)</f>
        <v>700</v>
      </c>
    </row>
    <row r="398" spans="1:70" ht="21" customHeight="1" x14ac:dyDescent="0.15">
      <c r="A398" s="14">
        <f t="shared" ca="1" si="51"/>
        <v>397</v>
      </c>
      <c r="B398" s="77" t="str">
        <f ca="1">VLOOKUP($A398,OFFSET([2]characters!$A$1,0,0,COUNTA([2]characters!$A:$A),MATCH(B$1,[2]characters!$1:$1,0)-MATCH($A$1,[2]characters!$1:$1,0)+1),MATCH(B$1,[2]characters!$1:$1,0)-MATCH($A$1,[2]characters!$1:$1,0)+1,FALSE)</f>
        <v>禁断の追箱 乙姫</v>
      </c>
      <c r="C398" s="77" t="str">
        <f ca="1">VLOOKUP($A398,OFFSET([2]characters!$A$1,0,0,COUNTA([2]characters!$A:$A),MATCH(C$1,[2]characters!$1:$1,0)-MATCH($A$1,[2]characters!$1:$1,0)+1),MATCH(C$1,[2]characters!$1:$1,0)-MATCH($A$1,[2]characters!$1:$1,0)+1,FALSE)</f>
        <v>ガチャ:アリスの絵本01</v>
      </c>
      <c r="D398" s="77" t="str">
        <f ca="1">VLOOKUP($A398,OFFSET([2]characters!$A$1,0,0,COUNTA([2]characters!$A:$A),MATCH(D$1,[2]characters!$1:$1,0)-MATCH($A$1,[2]characters!$1:$1,0)+1),MATCH(D$1,[2]characters!$1:$1,0)-MATCH($A$1,[2]characters!$1:$1,0)+1,FALSE)</f>
        <v>執行者</v>
      </c>
      <c r="E398" s="77" t="str">
        <f ca="1">VLOOKUP($A398,OFFSET([2]characters!$A$1,0,0,COUNTA([2]characters!$A:$A),MATCH(E$1,[2]characters!$1:$1,0)-MATCH($A$1,[2]characters!$1:$1,0)+1),MATCH(E$1,[2]characters!$1:$1,0)-MATCH($A$1,[2]characters!$1:$1,0)+1,FALSE)</f>
        <v>格好いい</v>
      </c>
      <c r="F398" s="77" t="str">
        <f ca="1">VLOOKUP($A398,OFFSET([2]characters!$A$1,0,0,COUNTA([2]characters!$A:$A),MATCH(F$1,[2]characters!$1:$1,0)-MATCH($A$1,[2]characters!$1:$1,0)+1),MATCH(F$1,[2]characters!$1:$1,0)-MATCH($A$1,[2]characters!$1:$1,0)+1,FALSE)</f>
        <v>女性</v>
      </c>
      <c r="G398" s="77">
        <f ca="1">VLOOKUP($A398,OFFSET([2]characters!$A$1,0,0,COUNTA([2]characters!$A:$A),MATCH(G$1,[2]characters!$1:$1,0)-MATCH($A$1,[2]characters!$1:$1,0)+1),MATCH(G$1,[2]characters!$1:$1,0)-MATCH($A$1,[2]characters!$1:$1,0)+1,FALSE)</f>
        <v>5</v>
      </c>
      <c r="H398" s="77" t="str">
        <f ca="1">VLOOKUP($A398,OFFSET([2]characters!$A$1,0,0,COUNTA([2]characters!$A:$A),MATCH(H$1,[2]characters!$1:$1,0)-MATCH($A$1,[2]characters!$1:$1,0)+1),MATCH(H$1,[2]characters!$1:$1,0)-MATCH($A$1,[2]characters!$1:$1,0)+1,FALSE)</f>
        <v>PremiumS</v>
      </c>
      <c r="I398" s="77" t="str">
        <f ca="1">VLOOKUP($A398,OFFSET([2]characters!$A$1,0,0,COUNTA([2]characters!$A:$A),MATCH(I$1,[2]characters!$1:$1,0)-MATCH($A$1,[2]characters!$1:$1,0)+1),MATCH(I$1,[2]characters!$1:$1,0)-MATCH($A$1,[2]characters!$1:$1,0)+1,FALSE)</f>
        <v>blue</v>
      </c>
      <c r="J398" s="14">
        <f ca="1">VLOOKUP(I398,[2]属性!$A:$E,2,FALSE)</f>
        <v>1</v>
      </c>
      <c r="K398" s="14">
        <f ca="1">VLOOKUP(I398,[2]属性!$A:$E,3,FALSE)</f>
        <v>0.98</v>
      </c>
      <c r="L398" s="14">
        <f ca="1">VLOOKUP(I398,[2]属性!$A:$E,4,FALSE)</f>
        <v>1</v>
      </c>
      <c r="M398" s="14">
        <f ca="1">VLOOKUP(I398,[2]属性!$A:$E,5,FALSE)</f>
        <v>1.02</v>
      </c>
      <c r="N398" s="14">
        <f ca="1">INDEX(コスト!$A$1:$I$20,MATCH(H398,コスト!$A$1:$A$20,FALSE),MATCH(G398,コスト!$A$1:$I$1,FALSE))</f>
        <v>30</v>
      </c>
      <c r="O398" s="14">
        <f ca="1">INDEX(レベル!$A$1:$I$21,MATCH(H398,レベル!$A$1:$A$21,FALSE),MATCH(G398,レベル!$A$1:$I$1,FALSE))</f>
        <v>80</v>
      </c>
      <c r="P398" s="63">
        <f t="shared" ca="1" si="55"/>
        <v>75</v>
      </c>
      <c r="Q398" s="77" t="str">
        <f ca="1">VLOOKUP($A398,OFFSET([2]characters!$A$1,0,0,COUNTA([2]characters!$A:$A),MATCH(Q$1,[2]characters!$1:$1,0)-MATCH($A$1,[2]characters!$1:$1,0)+1),MATCH(Q$1,[2]characters!$1:$1,0)-MATCH($A$1,[2]characters!$1:$1,0)+1,FALSE)</f>
        <v>hp</v>
      </c>
      <c r="R398" s="8" t="str">
        <f ca="1">VLOOKUP(Q398,[2]character_type_i18n!$A:$H,3,FALSE)</f>
        <v>体力タイプ</v>
      </c>
      <c r="S398" s="14">
        <f ca="1">VLOOKUP(Q398,[2]character_type_i18n!$A:$H,4,FALSE)</f>
        <v>1.45</v>
      </c>
      <c r="T398" s="14">
        <f ca="1">VLOOKUP(Q398,[2]character_type_i18n!$A:$H,5,FALSE)</f>
        <v>0.85</v>
      </c>
      <c r="U398" s="14">
        <f ca="1">VLOOKUP(Q398,[2]character_type_i18n!$A:$H,6,FALSE)</f>
        <v>1</v>
      </c>
      <c r="V398" s="14">
        <f ca="1">VLOOKUP(Q398,[2]character_type_i18n!$A:$H,7,FALSE)</f>
        <v>0.7</v>
      </c>
      <c r="W398" s="77" t="str">
        <f ca="1">VLOOKUP($A398,OFFSET([2]characters!$A$1,0,0,COUNTA([2]characters!$A:$A),MATCH(W$1,[2]characters!$1:$1,0)-MATCH($A$1,[2]characters!$1:$1,0)+1),MATCH(W$1,[2]characters!$1:$1,0)-MATCH($A$1,[2]characters!$1:$1,0)+1,FALSE)</f>
        <v>human</v>
      </c>
      <c r="X398" s="8" t="str">
        <f ca="1">VLOOKUP(W398,[2]character_tribe_i18n!$A:$H,3,FALSE)</f>
        <v>ヒューマン</v>
      </c>
      <c r="Y398" s="77" t="str">
        <f ca="1">VLOOKUP($A398,OFFSET([2]characters!$A$1,0,0,COUNTA([2]characters!$A:$A),MATCH(Y$1,[2]characters!$1:$1,0)-MATCH($A$1,[2]characters!$1:$1,0)+1),MATCH(Y$1,[2]characters!$1:$1,0)-MATCH($A$1,[2]characters!$1:$1,0)+1,FALSE)</f>
        <v>machine</v>
      </c>
      <c r="Z398" s="8" t="str">
        <f ca="1">VLOOKUP(Y398,[2]character_tribe_i18n!$A:$H,3,FALSE)</f>
        <v>マシン</v>
      </c>
      <c r="AA398" s="14">
        <f ca="1">VLOOKUP(W398,[2]character_tribe_i18n!$A:$H,4,FALSE)</f>
        <v>0.94</v>
      </c>
      <c r="AB398" s="14">
        <f ca="1">VLOOKUP(W398,[2]character_tribe_i18n!$A:$H,5,FALSE)</f>
        <v>0.99</v>
      </c>
      <c r="AC398" s="14">
        <f ca="1">VLOOKUP(W398,[2]character_tribe_i18n!$A:$H,6,FALSE)</f>
        <v>1</v>
      </c>
      <c r="AD398" s="14">
        <f ca="1">VLOOKUP(W398,[2]character_tribe_i18n!$A:$H,7,FALSE)</f>
        <v>1.07</v>
      </c>
      <c r="AE398" s="12" t="s">
        <v>236</v>
      </c>
      <c r="AF398" s="85" t="str">
        <f ca="1">IF(AE398="NULL","",VLOOKUP($AE398,OFFSET([2]characters!$A$1,0,0,COUNTA([2]characters!$A:$A),MATCH(AF$1,[2]characters!$1:$1,0)-MATCH($A$1,[2]characters!$1:$1,0)+1),MATCH(AF$1,[2]characters!$1:$1,0)-MATCH($A$1,[2]characters!$1:$1,0)+1,FALSE))</f>
        <v/>
      </c>
      <c r="AG398" s="8">
        <f t="shared" ca="1" si="52"/>
        <v>395</v>
      </c>
      <c r="AH398" s="85" t="str">
        <f ca="1">VLOOKUP($AG398,OFFSET([2]characters!$A$1,0,0,COUNTA([2]characters!$A:$A),MATCH(AH$1,[2]characters!$1:$1,0)-MATCH($A$1,[2]characters!$1:$1,0)+1),MATCH(AH$1,[2]characters!$1:$1,0)-MATCH($A$1,[2]characters!$1:$1,0)+1,FALSE)</f>
        <v>乙姫</v>
      </c>
      <c r="AI398" s="14" t="str">
        <f>IF(AE398="NULL","NULL",VLOOKUP(G398,ビット!$A$2:$B$7,2))</f>
        <v>NULL</v>
      </c>
      <c r="AJ398" s="9">
        <v>2</v>
      </c>
      <c r="AK398" s="10" t="str">
        <f t="shared" si="62"/>
        <v>普通</v>
      </c>
      <c r="AL398" s="14" t="str">
        <f ca="1">INDEX(経験値!$A$1:$I$20,MATCH(H398,経験値!$A$1:$A$20,FALSE),MATCH(G398,経験値!$A$1:$I$1,FALSE))</f>
        <v>required_exp_200</v>
      </c>
      <c r="AM398" s="11">
        <f ca="1">VLOOKUP(G398,経験値!$A$27:$B$31,2)</f>
        <v>6400</v>
      </c>
      <c r="AN398" s="21">
        <f ca="1">VLOOKUP(G398,ビット!$G$2:$H$7,2)</f>
        <v>900</v>
      </c>
      <c r="AO398" s="57"/>
      <c r="AP398" s="101">
        <v>222017</v>
      </c>
      <c r="AQ398" s="77" t="e">
        <f ca="1">VLOOKUP($AP398,OFFSET([1]unit_skills!$A$1,0,0,COUNTA([1]unit_skills!$A:$A),MATCH("name",[1]unit_skills!$1:$1,0)-MATCH($AP$1,[1]unit_skills!$1:$1,0)+1),MATCH("name",[1]unit_skills!$1:$1,0)-MATCH($AP$1,[1]unit_skills!$1:$1,0)+1,FALSE)</f>
        <v>#VALUE!</v>
      </c>
      <c r="AR398" s="77" t="e">
        <f ca="1">VLOOKUP($AP398,OFFSET([1]unit_skills!$A$1,0,0,COUNTA([1]unit_skills!$A:$A),MATCH("comment",[1]unit_skills!$1:$1,0)-MATCH($AP$1,[1]unit_skills!$1:$1,0)+1),MATCH("comment",[1]unit_skills!$1:$1,0)-MATCH($AP$1,[1]unit_skills!$1:$1,0)+1,FALSE)</f>
        <v>#VALUE!</v>
      </c>
      <c r="AS398" s="77" t="e">
        <f ca="1">VLOOKUP($AP398,OFFSET([1]unit_skills!$A$1,0,0,COUNTA([1]unit_skills!$A:$A),MATCH(AS$1,[1]unit_skills!$1:$1,0)-MATCH($AP$1,[1]unit_skills!$1:$1,0)+1),MATCH(AS$1,[1]unit_skills!$1:$1,0)-MATCH($AP$1,[1]unit_skills!$1:$1,0)+1,FALSE)</f>
        <v>#VALUE!</v>
      </c>
      <c r="AT398" s="53">
        <v>191111</v>
      </c>
      <c r="AU398" s="77" t="e">
        <f ca="1">VLOOKUP($AT398,OFFSET([1]crash_skills!$A$1,0,0,COUNTA([1]crash_skills!$A:$A),MATCH("name",[1]crash_skills!$1:$1,0)-MATCH($AT$1,[1]crash_skills!$1:$1,0)+1),MATCH("name",[1]crash_skills!$1:$1,0)-MATCH($AT$1,[1]crash_skills!$1:$1,0)+1,FALSE)</f>
        <v>#VALUE!</v>
      </c>
      <c r="AV398" s="77" t="e">
        <f ca="1">VLOOKUP($AT398,OFFSET([1]crash_skills!$A$1,0,0,COUNTA([1]crash_skills!$A:$A),MATCH("comment",[1]crash_skills!$1:$1,0)-MATCH($AT$1,[1]crash_skills!$1:$1,0)+1),MATCH("comment",[1]crash_skills!$1:$1,0)-MATCH($AT$1,[1]crash_skills!$1:$1,0)+1,FALSE)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98" s="77" t="e">
        <f ca="1">VLOOKUP($AT398,OFFSET([1]crash_skills!$A$1,0,0,COUNTA([1]crash_skills!$A:$A),MATCH(AW$1,[1]crash_skills!$1:$1,0)-MATCH($AT$1,[1]crash_skills!$1:$1,0)+1),MATCH(AW$1,[1]crash_skills!$1:$1,0)-MATCH($AT$1,[1]crash_skills!$1:$1,0)+1,FALSE)</f>
        <v>#VALUE!</v>
      </c>
      <c r="AX398" s="81">
        <f ca="1">VLOOKUP($A398,OFFSET([2]characters!$A$1,0,0,COUNTA([2]characters!$A:$A),MATCH(AX$1,[2]characters!$1:$1,0)-MATCH($A$1,[2]characters!$1:$1,0)+1),MATCH(AX$1,[2]characters!$1:$1,0)-MATCH($A$1,[2]characters!$1:$1,0)+1,FALSE)</f>
        <v>3</v>
      </c>
      <c r="AY398" s="139">
        <v>1.1419999999999999</v>
      </c>
      <c r="AZ398" s="139">
        <v>1</v>
      </c>
      <c r="BA398" s="139">
        <v>0</v>
      </c>
      <c r="BB398" s="139">
        <v>1</v>
      </c>
      <c r="BC398" s="14">
        <f ca="1">INDEX('RC6SV'!$A$1:$G$20,MATCH(H398,'RC6SV'!$A$1:$A$20,FALSE),MATCH(G398,'RC6SV'!$A$1:$G$1,FALSE))</f>
        <v>9000</v>
      </c>
      <c r="BD398" s="63">
        <f t="shared" ca="1" si="63"/>
        <v>9000</v>
      </c>
      <c r="BE398" s="14">
        <f t="shared" ca="1" si="53"/>
        <v>7000</v>
      </c>
      <c r="BF398" s="14">
        <f t="shared" ca="1" si="54"/>
        <v>1</v>
      </c>
      <c r="BG398" s="20">
        <f ca="1">IF($BE398&lt;=0,ROUND(BK398*0.5,0), ROUND($BE398*S398*AA398*J398*AY398*0.8*[2]ステータス!$B$2,0))</f>
        <v>4358</v>
      </c>
      <c r="BH398" s="20">
        <f ca="1">IF($BE398&lt;=0,ROUND(BL398*0.5,0), ROUND($BE398*T398*AB398*K398*AZ398*0.8*[2]ステータス!$C$2,0))</f>
        <v>1385</v>
      </c>
      <c r="BI398" s="20">
        <f ca="1">IF($BE398&lt;=0,ROUND(BM398*0.5,0), ROUND($BE398*U398*AC398*L398*BA398*0.8*[2]ステータス!$D$2,0))</f>
        <v>0</v>
      </c>
      <c r="BJ398" s="20">
        <f ca="1">IF($BE398&lt;=0,ROUND(BN398*0.5,0), ROUND($BE398*V398*AD398*M398*BB398*0.8*[2]ステータス!$E$2,0))</f>
        <v>1070</v>
      </c>
      <c r="BK398" s="14">
        <f ca="1">ROUND(BD398*S398*AA398*J398*AY398*[2]ステータス!$B$2,0)</f>
        <v>7004</v>
      </c>
      <c r="BL398" s="14">
        <f ca="1">ROUND(BD398*T398*AB398*K398*AZ398*[2]ステータス!$C$2,0)</f>
        <v>2227</v>
      </c>
      <c r="BM398" s="14">
        <f ca="1">ROUND(BD398*U398*AC398*L398*BA398*[2]ステータス!$D$2,0)</f>
        <v>0</v>
      </c>
      <c r="BN398" s="14">
        <f ca="1">ROUND(BD398*V398*AD398*M398*BB398*[2]ステータス!$E$2,0)</f>
        <v>1719</v>
      </c>
      <c r="BO398" s="13">
        <v>0</v>
      </c>
      <c r="BP398" s="13">
        <v>1</v>
      </c>
      <c r="BQ398" s="49" t="s">
        <v>102</v>
      </c>
      <c r="BR398" s="13">
        <f ca="1">VLOOKUP(H398,ghosts_label!$A$2:$B$19,2,FALSE)</f>
        <v>700</v>
      </c>
    </row>
    <row r="399" spans="1:70" ht="21" customHeight="1" x14ac:dyDescent="0.15">
      <c r="A399" s="14">
        <f t="shared" ca="1" si="51"/>
        <v>398</v>
      </c>
      <c r="B399" s="77" t="str">
        <f ca="1">VLOOKUP($A399,OFFSET([2]characters!$A$1,0,0,COUNTA([2]characters!$A:$A),MATCH(B$1,[2]characters!$1:$1,0)-MATCH($A$1,[2]characters!$1:$1,0)+1),MATCH(B$1,[2]characters!$1:$1,0)-MATCH($A$1,[2]characters!$1:$1,0)+1,FALSE)</f>
        <v>ヘンゼル＆グレーテル</v>
      </c>
      <c r="C399" s="77" t="str">
        <f ca="1">VLOOKUP($A399,OFFSET([2]characters!$A$1,0,0,COUNTA([2]characters!$A:$A),MATCH(C$1,[2]characters!$1:$1,0)-MATCH($A$1,[2]characters!$1:$1,0)+1),MATCH(C$1,[2]characters!$1:$1,0)-MATCH($A$1,[2]characters!$1:$1,0)+1,FALSE)</f>
        <v>ガチャ:アリスの絵本01</v>
      </c>
      <c r="D399" s="77" t="str">
        <f ca="1">VLOOKUP($A399,OFFSET([2]characters!$A$1,0,0,COUNTA([2]characters!$A:$A),MATCH(D$1,[2]characters!$1:$1,0)-MATCH($A$1,[2]characters!$1:$1,0)+1),MATCH(D$1,[2]characters!$1:$1,0)-MATCH($A$1,[2]characters!$1:$1,0)+1,FALSE)</f>
        <v>執行者</v>
      </c>
      <c r="E399" s="77" t="str">
        <f ca="1">VLOOKUP($A399,OFFSET([2]characters!$A$1,0,0,COUNTA([2]characters!$A:$A),MATCH(E$1,[2]characters!$1:$1,0)-MATCH($A$1,[2]characters!$1:$1,0)+1),MATCH(E$1,[2]characters!$1:$1,0)-MATCH($A$1,[2]characters!$1:$1,0)+1,FALSE)</f>
        <v>格好いい</v>
      </c>
      <c r="F399" s="77" t="str">
        <f ca="1">VLOOKUP($A399,OFFSET([2]characters!$A$1,0,0,COUNTA([2]characters!$A:$A),MATCH(F$1,[2]characters!$1:$1,0)-MATCH($A$1,[2]characters!$1:$1,0)+1),MATCH(F$1,[2]characters!$1:$1,0)-MATCH($A$1,[2]characters!$1:$1,0)+1,FALSE)</f>
        <v>女性</v>
      </c>
      <c r="G399" s="77">
        <f ca="1">VLOOKUP($A399,OFFSET([2]characters!$A$1,0,0,COUNTA([2]characters!$A:$A),MATCH(G$1,[2]characters!$1:$1,0)-MATCH($A$1,[2]characters!$1:$1,0)+1),MATCH(G$1,[2]characters!$1:$1,0)-MATCH($A$1,[2]characters!$1:$1,0)+1,FALSE)</f>
        <v>4</v>
      </c>
      <c r="H399" s="77" t="str">
        <f ca="1">VLOOKUP($A399,OFFSET([2]characters!$A$1,0,0,COUNTA([2]characters!$A:$A),MATCH(H$1,[2]characters!$1:$1,0)-MATCH($A$1,[2]characters!$1:$1,0)+1),MATCH(H$1,[2]characters!$1:$1,0)-MATCH($A$1,[2]characters!$1:$1,0)+1,FALSE)</f>
        <v>PremiumSS</v>
      </c>
      <c r="I399" s="77" t="str">
        <f ca="1">VLOOKUP($A399,OFFSET([2]characters!$A$1,0,0,COUNTA([2]characters!$A:$A),MATCH(I$1,[2]characters!$1:$1,0)-MATCH($A$1,[2]characters!$1:$1,0)+1),MATCH(I$1,[2]characters!$1:$1,0)-MATCH($A$1,[2]characters!$1:$1,0)+1,FALSE)</f>
        <v>yellow</v>
      </c>
      <c r="J399" s="14">
        <f ca="1">VLOOKUP(I399,[2]属性!$A:$E,2,FALSE)</f>
        <v>0.98</v>
      </c>
      <c r="K399" s="14">
        <f ca="1">VLOOKUP(I399,[2]属性!$A:$E,3,FALSE)</f>
        <v>1.01</v>
      </c>
      <c r="L399" s="14">
        <f ca="1">VLOOKUP(I399,[2]属性!$A:$E,4,FALSE)</f>
        <v>1</v>
      </c>
      <c r="M399" s="14">
        <f ca="1">VLOOKUP(I399,[2]属性!$A:$E,5,FALSE)</f>
        <v>1.01</v>
      </c>
      <c r="N399" s="14">
        <f ca="1">INDEX(コスト!$A$1:$I$20,MATCH(H399,コスト!$A$1:$A$20,FALSE),MATCH(G399,コスト!$A$1:$I$1,FALSE))</f>
        <v>25</v>
      </c>
      <c r="O399" s="14">
        <f ca="1">INDEX(レベル!$A$1:$I$21,MATCH(H399,レベル!$A$1:$A$21,FALSE),MATCH(G399,レベル!$A$1:$I$1,FALSE))</f>
        <v>60</v>
      </c>
      <c r="P399" s="63">
        <f t="shared" ca="1" si="55"/>
        <v>60</v>
      </c>
      <c r="Q399" s="77" t="str">
        <f ca="1">VLOOKUP($A399,OFFSET([2]characters!$A$1,0,0,COUNTA([2]characters!$A:$A),MATCH(Q$1,[2]characters!$1:$1,0)-MATCH($A$1,[2]characters!$1:$1,0)+1),MATCH(Q$1,[2]characters!$1:$1,0)-MATCH($A$1,[2]characters!$1:$1,0)+1,FALSE)</f>
        <v>balance</v>
      </c>
      <c r="R399" s="8" t="str">
        <f ca="1">VLOOKUP(Q399,[2]character_type_i18n!$A:$H,3,FALSE)</f>
        <v>バランスタイプ</v>
      </c>
      <c r="S399" s="14">
        <f ca="1">VLOOKUP(Q399,[2]character_type_i18n!$A:$H,4,FALSE)</f>
        <v>1</v>
      </c>
      <c r="T399" s="14">
        <f ca="1">VLOOKUP(Q399,[2]character_type_i18n!$A:$H,5,FALSE)</f>
        <v>1</v>
      </c>
      <c r="U399" s="14">
        <f ca="1">VLOOKUP(Q399,[2]character_type_i18n!$A:$H,6,FALSE)</f>
        <v>1</v>
      </c>
      <c r="V399" s="14">
        <f ca="1">VLOOKUP(Q399,[2]character_type_i18n!$A:$H,7,FALSE)</f>
        <v>1</v>
      </c>
      <c r="W399" s="77" t="str">
        <f ca="1">VLOOKUP($A399,OFFSET([2]characters!$A$1,0,0,COUNTA([2]characters!$A:$A),MATCH(W$1,[2]characters!$1:$1,0)-MATCH($A$1,[2]characters!$1:$1,0)+1),MATCH(W$1,[2]characters!$1:$1,0)-MATCH($A$1,[2]characters!$1:$1,0)+1,FALSE)</f>
        <v>human</v>
      </c>
      <c r="X399" s="8" t="str">
        <f ca="1">VLOOKUP(W399,[2]character_tribe_i18n!$A:$H,3,FALSE)</f>
        <v>ヒューマン</v>
      </c>
      <c r="Y399" s="77" t="str">
        <f ca="1">VLOOKUP($A399,OFFSET([2]characters!$A$1,0,0,COUNTA([2]characters!$A:$A),MATCH(Y$1,[2]characters!$1:$1,0)-MATCH($A$1,[2]characters!$1:$1,0)+1),MATCH(Y$1,[2]characters!$1:$1,0)-MATCH($A$1,[2]characters!$1:$1,0)+1,FALSE)</f>
        <v>machine</v>
      </c>
      <c r="Z399" s="8" t="str">
        <f ca="1">VLOOKUP(Y399,[2]character_tribe_i18n!$A:$H,3,FALSE)</f>
        <v>マシン</v>
      </c>
      <c r="AA399" s="14">
        <f ca="1">VLOOKUP(W399,[2]character_tribe_i18n!$A:$H,4,FALSE)</f>
        <v>0.94</v>
      </c>
      <c r="AB399" s="14">
        <f ca="1">VLOOKUP(W399,[2]character_tribe_i18n!$A:$H,5,FALSE)</f>
        <v>0.99</v>
      </c>
      <c r="AC399" s="14">
        <f ca="1">VLOOKUP(W399,[2]character_tribe_i18n!$A:$H,6,FALSE)</f>
        <v>1</v>
      </c>
      <c r="AD399" s="14">
        <f ca="1">VLOOKUP(W399,[2]character_tribe_i18n!$A:$H,7,FALSE)</f>
        <v>1.07</v>
      </c>
      <c r="AE399" s="12">
        <v>399</v>
      </c>
      <c r="AF399" s="85" t="str">
        <f ca="1">IF(AE399="NULL","",VLOOKUP($AE399,OFFSET([2]characters!$A$1,0,0,COUNTA([2]characters!$A:$A),MATCH(AF$1,[2]characters!$1:$1,0)-MATCH($A$1,[2]characters!$1:$1,0)+1),MATCH(AF$1,[2]characters!$1:$1,0)-MATCH($A$1,[2]characters!$1:$1,0)+1,FALSE))</f>
        <v>信愛の兄妹 ヘンゼル＆グレーテル</v>
      </c>
      <c r="AG399" s="8">
        <f t="shared" ca="1" si="52"/>
        <v>398</v>
      </c>
      <c r="AH399" s="85" t="str">
        <f ca="1">VLOOKUP($AG399,OFFSET([2]characters!$A$1,0,0,COUNTA([2]characters!$A:$A),MATCH(AH$1,[2]characters!$1:$1,0)-MATCH($A$1,[2]characters!$1:$1,0)+1),MATCH(AH$1,[2]characters!$1:$1,0)-MATCH($A$1,[2]characters!$1:$1,0)+1,FALSE)</f>
        <v>ヘンゼル＆グレーテル</v>
      </c>
      <c r="AI399" s="14">
        <f ca="1">IF(AE399="NULL","NULL",VLOOKUP(G399,ビット!$A$2:$B$7,2))</f>
        <v>50000</v>
      </c>
      <c r="AJ399" s="9">
        <v>2</v>
      </c>
      <c r="AK399" s="10" t="str">
        <f t="shared" si="62"/>
        <v>普通</v>
      </c>
      <c r="AL399" s="14" t="str">
        <f ca="1">INDEX(経験値!$A$1:$I$20,MATCH(H399,経験値!$A$1:$A$20,FALSE),MATCH(G399,経験値!$A$1:$I$1,FALSE))</f>
        <v>required_exp_200</v>
      </c>
      <c r="AM399" s="11">
        <f ca="1">VLOOKUP(G399,経験値!$A$27:$B$31,2)</f>
        <v>3400</v>
      </c>
      <c r="AN399" s="21">
        <f ca="1">VLOOKUP(G399,ビット!$G$2:$H$7,2)</f>
        <v>600</v>
      </c>
      <c r="AO399" s="57"/>
      <c r="AP399" s="101">
        <v>822004</v>
      </c>
      <c r="AQ399" s="77" t="e">
        <f ca="1">VLOOKUP($AP399,OFFSET([1]unit_skills!$A$1,0,0,COUNTA([1]unit_skills!$A:$A),MATCH("name",[1]unit_skills!$1:$1,0)-MATCH($AP$1,[1]unit_skills!$1:$1,0)+1),MATCH("name",[1]unit_skills!$1:$1,0)-MATCH($AP$1,[1]unit_skills!$1:$1,0)+1,FALSE)</f>
        <v>#VALUE!</v>
      </c>
      <c r="AR399" s="77" t="e">
        <f ca="1">VLOOKUP($AP399,OFFSET([1]unit_skills!$A$1,0,0,COUNTA([1]unit_skills!$A:$A),MATCH("comment",[1]unit_skills!$1:$1,0)-MATCH($AP$1,[1]unit_skills!$1:$1,0)+1),MATCH("comment",[1]unit_skills!$1:$1,0)-MATCH($AP$1,[1]unit_skills!$1:$1,0)+1,FALSE)</f>
        <v>#VALUE!</v>
      </c>
      <c r="AS399" s="77" t="e">
        <f ca="1">VLOOKUP($AP399,OFFSET([1]unit_skills!$A$1,0,0,COUNTA([1]unit_skills!$A:$A),MATCH(AS$1,[1]unit_skills!$1:$1,0)-MATCH($AP$1,[1]unit_skills!$1:$1,0)+1),MATCH(AS$1,[1]unit_skills!$1:$1,0)-MATCH($AP$1,[1]unit_skills!$1:$1,0)+1,FALSE)</f>
        <v>#VALUE!</v>
      </c>
      <c r="AT399" s="97">
        <v>174102</v>
      </c>
      <c r="AU399" s="77" t="e">
        <f ca="1">VLOOKUP($AT399,OFFSET([1]crash_skills!$A$1,0,0,COUNTA([1]crash_skills!$A:$A),MATCH("name",[1]crash_skills!$1:$1,0)-MATCH($AT$1,[1]crash_skills!$1:$1,0)+1),MATCH("name",[1]crash_skills!$1:$1,0)-MATCH($AT$1,[1]crash_skills!$1:$1,0)+1,FALSE)</f>
        <v>#VALUE!</v>
      </c>
      <c r="AV399" s="77" t="e">
        <f ca="1">VLOOKUP($AT399,OFFSET([1]crash_skills!$A$1,0,0,COUNTA([1]crash_skills!$A:$A),MATCH("comment",[1]crash_skills!$1:$1,0)-MATCH($AT$1,[1]crash_skills!$1:$1,0)+1),MATCH("comment",[1]crash_skills!$1:$1,0)-MATCH($AT$1,[1]crash_skills!$1:$1,0)+1,FALSE)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399" s="77" t="e">
        <f ca="1">VLOOKUP($AT399,OFFSET([1]crash_skills!$A$1,0,0,COUNTA([1]crash_skills!$A:$A),MATCH(AW$1,[1]crash_skills!$1:$1,0)-MATCH($AT$1,[1]crash_skills!$1:$1,0)+1),MATCH(AW$1,[1]crash_skills!$1:$1,0)-MATCH($AT$1,[1]crash_skills!$1:$1,0)+1,FALSE)</f>
        <v>#VALUE!</v>
      </c>
      <c r="AX399" s="81">
        <f ca="1">VLOOKUP($A399,OFFSET([2]characters!$A$1,0,0,COUNTA([2]characters!$A:$A),MATCH(AX$1,[2]characters!$1:$1,0)-MATCH($A$1,[2]characters!$1:$1,0)+1),MATCH(AX$1,[2]characters!$1:$1,0)-MATCH($A$1,[2]characters!$1:$1,0)+1,FALSE)</f>
        <v>3</v>
      </c>
      <c r="AY399" s="139">
        <v>1</v>
      </c>
      <c r="AZ399" s="139">
        <v>1</v>
      </c>
      <c r="BA399" s="139">
        <v>0</v>
      </c>
      <c r="BB399" s="139">
        <v>1</v>
      </c>
      <c r="BC399" s="14">
        <f ca="1">INDEX('RC6SV'!$A$1:$G$20,MATCH(H399,'RC6SV'!$A$1:$A$20,FALSE),MATCH(G399,'RC6SV'!$A$1:$G$1,FALSE))</f>
        <v>7500</v>
      </c>
      <c r="BD399" s="63">
        <f t="shared" ca="1" si="63"/>
        <v>7500</v>
      </c>
      <c r="BE399" s="14">
        <f t="shared" ca="1" si="53"/>
        <v>0</v>
      </c>
      <c r="BF399" s="14">
        <f t="shared" ca="1" si="54"/>
        <v>1</v>
      </c>
      <c r="BG399" s="20">
        <f ca="1">IF($BE399&lt;=0,ROUND(BK399*0.5,0), ROUND($BE399*S399*AA399*J399*AY399*0.8*[2]ステータス!$B$2,0))</f>
        <v>1728</v>
      </c>
      <c r="BH399" s="20">
        <f ca="1">IF($BE399&lt;=0,ROUND(BL399*0.5,0), ROUND($BE399*T399*AB399*K399*AZ399*0.8*[2]ステータス!$C$2,0))</f>
        <v>1125</v>
      </c>
      <c r="BI399" s="20">
        <f ca="1">IF($BE399&lt;=0,ROUND(BM399*0.5,0), ROUND($BE399*U399*AC399*L399*BA399*0.8*[2]ステータス!$D$2,0))</f>
        <v>0</v>
      </c>
      <c r="BJ399" s="20">
        <f ca="1">IF($BE399&lt;=0,ROUND(BN399*0.5,0), ROUND($BE399*V399*AD399*M399*BB399*0.8*[2]ステータス!$E$2,0))</f>
        <v>1013</v>
      </c>
      <c r="BK399" s="14">
        <f ca="1">ROUND(BD399*S399*AA399*J399*AY399*[2]ステータス!$B$2,0)</f>
        <v>3455</v>
      </c>
      <c r="BL399" s="14">
        <f ca="1">ROUND(BD399*T399*AB399*K399*AZ399*[2]ステータス!$C$2,0)</f>
        <v>2250</v>
      </c>
      <c r="BM399" s="14">
        <f ca="1">ROUND(BD399*U399*AC399*L399*BA399*[2]ステータス!$D$2,0)</f>
        <v>0</v>
      </c>
      <c r="BN399" s="14">
        <f ca="1">ROUND(BD399*V399*AD399*M399*BB399*[2]ステータス!$E$2,0)</f>
        <v>2026</v>
      </c>
      <c r="BO399" s="13">
        <v>0</v>
      </c>
      <c r="BP399" s="13">
        <v>1</v>
      </c>
      <c r="BQ399" s="49" t="s">
        <v>102</v>
      </c>
      <c r="BR399" s="13">
        <f ca="1">VLOOKUP(H399,ghosts_label!$A$2:$B$19,2,FALSE)</f>
        <v>5500</v>
      </c>
    </row>
    <row r="400" spans="1:70" ht="21" customHeight="1" x14ac:dyDescent="0.15">
      <c r="A400" s="14">
        <f t="shared" ca="1" si="51"/>
        <v>399</v>
      </c>
      <c r="B400" s="77" t="str">
        <f ca="1">VLOOKUP($A400,OFFSET([2]characters!$A$1,0,0,COUNTA([2]characters!$A:$A),MATCH(B$1,[2]characters!$1:$1,0)-MATCH($A$1,[2]characters!$1:$1,0)+1),MATCH(B$1,[2]characters!$1:$1,0)-MATCH($A$1,[2]characters!$1:$1,0)+1,FALSE)</f>
        <v>信愛の兄妹 ヘンゼル＆グレーテル</v>
      </c>
      <c r="C400" s="77" t="str">
        <f ca="1">VLOOKUP($A400,OFFSET([2]characters!$A$1,0,0,COUNTA([2]characters!$A:$A),MATCH(C$1,[2]characters!$1:$1,0)-MATCH($A$1,[2]characters!$1:$1,0)+1),MATCH(C$1,[2]characters!$1:$1,0)-MATCH($A$1,[2]characters!$1:$1,0)+1,FALSE)</f>
        <v>ガチャ:アリスの絵本01</v>
      </c>
      <c r="D400" s="77" t="str">
        <f ca="1">VLOOKUP($A400,OFFSET([2]characters!$A$1,0,0,COUNTA([2]characters!$A:$A),MATCH(D$1,[2]characters!$1:$1,0)-MATCH($A$1,[2]characters!$1:$1,0)+1),MATCH(D$1,[2]characters!$1:$1,0)-MATCH($A$1,[2]characters!$1:$1,0)+1,FALSE)</f>
        <v>執行者</v>
      </c>
      <c r="E400" s="77" t="str">
        <f ca="1">VLOOKUP($A400,OFFSET([2]characters!$A$1,0,0,COUNTA([2]characters!$A:$A),MATCH(E$1,[2]characters!$1:$1,0)-MATCH($A$1,[2]characters!$1:$1,0)+1),MATCH(E$1,[2]characters!$1:$1,0)-MATCH($A$1,[2]characters!$1:$1,0)+1,FALSE)</f>
        <v>格好いい</v>
      </c>
      <c r="F400" s="77" t="str">
        <f ca="1">VLOOKUP($A400,OFFSET([2]characters!$A$1,0,0,COUNTA([2]characters!$A:$A),MATCH(F$1,[2]characters!$1:$1,0)-MATCH($A$1,[2]characters!$1:$1,0)+1),MATCH(F$1,[2]characters!$1:$1,0)-MATCH($A$1,[2]characters!$1:$1,0)+1,FALSE)</f>
        <v>女性</v>
      </c>
      <c r="G400" s="77">
        <f ca="1">VLOOKUP($A400,OFFSET([2]characters!$A$1,0,0,COUNTA([2]characters!$A:$A),MATCH(G$1,[2]characters!$1:$1,0)-MATCH($A$1,[2]characters!$1:$1,0)+1),MATCH(G$1,[2]characters!$1:$1,0)-MATCH($A$1,[2]characters!$1:$1,0)+1,FALSE)</f>
        <v>5</v>
      </c>
      <c r="H400" s="77" t="str">
        <f ca="1">VLOOKUP($A400,OFFSET([2]characters!$A$1,0,0,COUNTA([2]characters!$A:$A),MATCH(H$1,[2]characters!$1:$1,0)-MATCH($A$1,[2]characters!$1:$1,0)+1),MATCH(H$1,[2]characters!$1:$1,0)-MATCH($A$1,[2]characters!$1:$1,0)+1,FALSE)</f>
        <v>PremiumSS</v>
      </c>
      <c r="I400" s="77" t="str">
        <f ca="1">VLOOKUP($A400,OFFSET([2]characters!$A$1,0,0,COUNTA([2]characters!$A:$A),MATCH(I$1,[2]characters!$1:$1,0)-MATCH($A$1,[2]characters!$1:$1,0)+1),MATCH(I$1,[2]characters!$1:$1,0)-MATCH($A$1,[2]characters!$1:$1,0)+1,FALSE)</f>
        <v>yellow</v>
      </c>
      <c r="J400" s="14">
        <f ca="1">VLOOKUP(I400,[2]属性!$A:$E,2,FALSE)</f>
        <v>0.98</v>
      </c>
      <c r="K400" s="14">
        <f ca="1">VLOOKUP(I400,[2]属性!$A:$E,3,FALSE)</f>
        <v>1.01</v>
      </c>
      <c r="L400" s="14">
        <f ca="1">VLOOKUP(I400,[2]属性!$A:$E,4,FALSE)</f>
        <v>1</v>
      </c>
      <c r="M400" s="14">
        <f ca="1">VLOOKUP(I400,[2]属性!$A:$E,5,FALSE)</f>
        <v>1.01</v>
      </c>
      <c r="N400" s="14">
        <f ca="1">INDEX(コスト!$A$1:$I$20,MATCH(H400,コスト!$A$1:$A$20,FALSE),MATCH(G400,コスト!$A$1:$I$1,FALSE))</f>
        <v>35</v>
      </c>
      <c r="O400" s="14">
        <f ca="1">INDEX(レベル!$A$1:$I$21,MATCH(H400,レベル!$A$1:$A$21,FALSE),MATCH(G400,レベル!$A$1:$I$1,FALSE))</f>
        <v>80</v>
      </c>
      <c r="P400" s="63">
        <f t="shared" ca="1" si="55"/>
        <v>75</v>
      </c>
      <c r="Q400" s="77" t="str">
        <f ca="1">VLOOKUP($A400,OFFSET([2]characters!$A$1,0,0,COUNTA([2]characters!$A:$A),MATCH(Q$1,[2]characters!$1:$1,0)-MATCH($A$1,[2]characters!$1:$1,0)+1),MATCH(Q$1,[2]characters!$1:$1,0)-MATCH($A$1,[2]characters!$1:$1,0)+1,FALSE)</f>
        <v>balance</v>
      </c>
      <c r="R400" s="8" t="str">
        <f ca="1">VLOOKUP(Q400,[2]character_type_i18n!$A:$H,3,FALSE)</f>
        <v>バランスタイプ</v>
      </c>
      <c r="S400" s="14">
        <f ca="1">VLOOKUP(Q400,[2]character_type_i18n!$A:$H,4,FALSE)</f>
        <v>1</v>
      </c>
      <c r="T400" s="14">
        <f ca="1">VLOOKUP(Q400,[2]character_type_i18n!$A:$H,5,FALSE)</f>
        <v>1</v>
      </c>
      <c r="U400" s="14">
        <f ca="1">VLOOKUP(Q400,[2]character_type_i18n!$A:$H,6,FALSE)</f>
        <v>1</v>
      </c>
      <c r="V400" s="14">
        <f ca="1">VLOOKUP(Q400,[2]character_type_i18n!$A:$H,7,FALSE)</f>
        <v>1</v>
      </c>
      <c r="W400" s="77" t="str">
        <f ca="1">VLOOKUP($A400,OFFSET([2]characters!$A$1,0,0,COUNTA([2]characters!$A:$A),MATCH(W$1,[2]characters!$1:$1,0)-MATCH($A$1,[2]characters!$1:$1,0)+1),MATCH(W$1,[2]characters!$1:$1,0)-MATCH($A$1,[2]characters!$1:$1,0)+1,FALSE)</f>
        <v>human</v>
      </c>
      <c r="X400" s="8" t="str">
        <f ca="1">VLOOKUP(W400,[2]character_tribe_i18n!$A:$H,3,FALSE)</f>
        <v>ヒューマン</v>
      </c>
      <c r="Y400" s="77" t="str">
        <f ca="1">VLOOKUP($A400,OFFSET([2]characters!$A$1,0,0,COUNTA([2]characters!$A:$A),MATCH(Y$1,[2]characters!$1:$1,0)-MATCH($A$1,[2]characters!$1:$1,0)+1),MATCH(Y$1,[2]characters!$1:$1,0)-MATCH($A$1,[2]characters!$1:$1,0)+1,FALSE)</f>
        <v>machine</v>
      </c>
      <c r="Z400" s="8" t="str">
        <f ca="1">VLOOKUP(Y400,[2]character_tribe_i18n!$A:$H,3,FALSE)</f>
        <v>マシン</v>
      </c>
      <c r="AA400" s="14">
        <f ca="1">VLOOKUP(W400,[2]character_tribe_i18n!$A:$H,4,FALSE)</f>
        <v>0.94</v>
      </c>
      <c r="AB400" s="14">
        <f ca="1">VLOOKUP(W400,[2]character_tribe_i18n!$A:$H,5,FALSE)</f>
        <v>0.99</v>
      </c>
      <c r="AC400" s="14">
        <f ca="1">VLOOKUP(W400,[2]character_tribe_i18n!$A:$H,6,FALSE)</f>
        <v>1</v>
      </c>
      <c r="AD400" s="14">
        <f ca="1">VLOOKUP(W400,[2]character_tribe_i18n!$A:$H,7,FALSE)</f>
        <v>1.07</v>
      </c>
      <c r="AE400" s="12">
        <v>813</v>
      </c>
      <c r="AF400" s="85" t="str">
        <f ca="1">IF(AE400="NULL","",VLOOKUP($AE400,OFFSET([2]characters!$A$1,0,0,COUNTA([2]characters!$A:$A),MATCH(AF$1,[2]characters!$1:$1,0)-MATCH($A$1,[2]characters!$1:$1,0)+1),MATCH(AF$1,[2]characters!$1:$1,0)-MATCH($A$1,[2]characters!$1:$1,0)+1,FALSE))</f>
        <v>絆の大冒険 ヘンゼル＆グレーテル</v>
      </c>
      <c r="AG400" s="8">
        <f t="shared" ca="1" si="52"/>
        <v>398</v>
      </c>
      <c r="AH400" s="85" t="str">
        <f ca="1">VLOOKUP($AG400,OFFSET([2]characters!$A$1,0,0,COUNTA([2]characters!$A:$A),MATCH(AH$1,[2]characters!$1:$1,0)-MATCH($A$1,[2]characters!$1:$1,0)+1),MATCH(AH$1,[2]characters!$1:$1,0)-MATCH($A$1,[2]characters!$1:$1,0)+1,FALSE)</f>
        <v>ヘンゼル＆グレーテル</v>
      </c>
      <c r="AI400" s="14">
        <f ca="1">IF(AE400="NULL","NULL",VLOOKUP(G400,ビット!$A$2:$B$7,2))</f>
        <v>200000</v>
      </c>
      <c r="AJ400" s="9">
        <v>2</v>
      </c>
      <c r="AK400" s="10" t="str">
        <f>IF(AJ400=1,"早熟",IF(AJ400=2,"普通",IF(AJ400=3,"晩成","")))</f>
        <v>普通</v>
      </c>
      <c r="AL400" s="14" t="str">
        <f ca="1">INDEX(経験値!$A$1:$I$20,MATCH(H400,経験値!$A$1:$A$20,FALSE),MATCH(G400,経験値!$A$1:$I$1,FALSE))</f>
        <v>required_exp_200</v>
      </c>
      <c r="AM400" s="11">
        <f ca="1">VLOOKUP(G400,経験値!$A$27:$B$31,2)</f>
        <v>6400</v>
      </c>
      <c r="AN400" s="21">
        <f ca="1">VLOOKUP(G400,ビット!$G$2:$H$7,2)</f>
        <v>900</v>
      </c>
      <c r="AO400" s="57"/>
      <c r="AP400" s="101">
        <v>822004</v>
      </c>
      <c r="AQ400" s="77" t="e">
        <f ca="1">VLOOKUP($AP400,OFFSET([1]unit_skills!$A$1,0,0,COUNTA([1]unit_skills!$A:$A),MATCH("name",[1]unit_skills!$1:$1,0)-MATCH($AP$1,[1]unit_skills!$1:$1,0)+1),MATCH("name",[1]unit_skills!$1:$1,0)-MATCH($AP$1,[1]unit_skills!$1:$1,0)+1,FALSE)</f>
        <v>#VALUE!</v>
      </c>
      <c r="AR400" s="77" t="e">
        <f ca="1">VLOOKUP($AP400,OFFSET([1]unit_skills!$A$1,0,0,COUNTA([1]unit_skills!$A:$A),MATCH("comment",[1]unit_skills!$1:$1,0)-MATCH($AP$1,[1]unit_skills!$1:$1,0)+1),MATCH("comment",[1]unit_skills!$1:$1,0)-MATCH($AP$1,[1]unit_skills!$1:$1,0)+1,FALSE)</f>
        <v>#VALUE!</v>
      </c>
      <c r="AS400" s="77" t="e">
        <f ca="1">VLOOKUP($AP400,OFFSET([1]unit_skills!$A$1,0,0,COUNTA([1]unit_skills!$A:$A),MATCH(AS$1,[1]unit_skills!$1:$1,0)-MATCH($AP$1,[1]unit_skills!$1:$1,0)+1),MATCH(AS$1,[1]unit_skills!$1:$1,0)-MATCH($AP$1,[1]unit_skills!$1:$1,0)+1,FALSE)</f>
        <v>#VALUE!</v>
      </c>
      <c r="AT400" s="53">
        <v>174107</v>
      </c>
      <c r="AU400" s="77" t="e">
        <f ca="1">VLOOKUP($AT400,OFFSET([1]crash_skills!$A$1,0,0,COUNTA([1]crash_skills!$A:$A),MATCH("name",[1]crash_skills!$1:$1,0)-MATCH($AT$1,[1]crash_skills!$1:$1,0)+1),MATCH("name",[1]crash_skills!$1:$1,0)-MATCH($AT$1,[1]crash_skills!$1:$1,0)+1,FALSE)</f>
        <v>#VALUE!</v>
      </c>
      <c r="AV400" s="77" t="e">
        <f ca="1">VLOOKUP($AT400,OFFSET([1]crash_skills!$A$1,0,0,COUNTA([1]crash_skills!$A:$A),MATCH("comment",[1]crash_skills!$1:$1,0)-MATCH($AT$1,[1]crash_skills!$1:$1,0)+1),MATCH("comment",[1]crash_skills!$1:$1,0)-MATCH($AT$1,[1]crash_skills!$1:$1,0)+1,FALSE)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00" s="77" t="e">
        <f ca="1">VLOOKUP($AT400,OFFSET([1]crash_skills!$A$1,0,0,COUNTA([1]crash_skills!$A:$A),MATCH(AW$1,[1]crash_skills!$1:$1,0)-MATCH($AT$1,[1]crash_skills!$1:$1,0)+1),MATCH(AW$1,[1]crash_skills!$1:$1,0)-MATCH($AT$1,[1]crash_skills!$1:$1,0)+1,FALSE)</f>
        <v>#VALUE!</v>
      </c>
      <c r="AX400" s="81">
        <f ca="1">VLOOKUP($A400,OFFSET([2]characters!$A$1,0,0,COUNTA([2]characters!$A:$A),MATCH(AX$1,[2]characters!$1:$1,0)-MATCH($A$1,[2]characters!$1:$1,0)+1),MATCH(AX$1,[2]characters!$1:$1,0)-MATCH($A$1,[2]characters!$1:$1,0)+1,FALSE)</f>
        <v>3</v>
      </c>
      <c r="AY400" s="139">
        <v>1</v>
      </c>
      <c r="AZ400" s="139">
        <v>1.1299999999999999</v>
      </c>
      <c r="BA400" s="139">
        <v>0</v>
      </c>
      <c r="BB400" s="139">
        <v>1.17</v>
      </c>
      <c r="BC400" s="14">
        <f ca="1">INDEX('RC6SV'!$A$1:$G$20,MATCH(H400,'RC6SV'!$A$1:$A$20,FALSE),MATCH(G400,'RC6SV'!$A$1:$G$1,FALSE))</f>
        <v>9500</v>
      </c>
      <c r="BD400" s="63">
        <f t="shared" ca="1" si="63"/>
        <v>9500</v>
      </c>
      <c r="BE400" s="14">
        <f t="shared" ca="1" si="53"/>
        <v>7500</v>
      </c>
      <c r="BF400" s="14">
        <f t="shared" ca="1" si="54"/>
        <v>1</v>
      </c>
      <c r="BG400" s="20">
        <f ca="1">IF($BE400&lt;=0,ROUND(BK400*0.5,0), ROUND($BE400*S400*AA400*J400*AY400*0.8*[2]ステータス!$B$2,0))</f>
        <v>2764</v>
      </c>
      <c r="BH400" s="20">
        <f ca="1">IF($BE400&lt;=0,ROUND(BL400*0.5,0), ROUND($BE400*T400*AB400*K400*AZ400*0.8*[2]ステータス!$C$2,0))</f>
        <v>2034</v>
      </c>
      <c r="BI400" s="20">
        <f ca="1">IF($BE400&lt;=0,ROUND(BM400*0.5,0), ROUND($BE400*U400*AC400*L400*BA400*0.8*[2]ステータス!$D$2,0))</f>
        <v>0</v>
      </c>
      <c r="BJ400" s="20">
        <f ca="1">IF($BE400&lt;=0,ROUND(BN400*0.5,0), ROUND($BE400*V400*AD400*M400*BB400*0.8*[2]ステータス!$E$2,0))</f>
        <v>1897</v>
      </c>
      <c r="BK400" s="14">
        <f ca="1">ROUND(BD400*S400*AA400*J400*AY400*[2]ステータス!$B$2,0)</f>
        <v>4376</v>
      </c>
      <c r="BL400" s="14">
        <f ca="1">ROUND(BD400*T400*AB400*K400*AZ400*[2]ステータス!$C$2,0)</f>
        <v>3220</v>
      </c>
      <c r="BM400" s="14">
        <f ca="1">ROUND(BD400*U400*AC400*L400*BA400*[2]ステータス!$D$2,0)</f>
        <v>0</v>
      </c>
      <c r="BN400" s="14">
        <f ca="1">ROUND(BD400*V400*AD400*M400*BB400*[2]ステータス!$E$2,0)</f>
        <v>3003</v>
      </c>
      <c r="BO400" s="13">
        <v>0</v>
      </c>
      <c r="BP400" s="13">
        <v>1</v>
      </c>
      <c r="BQ400" s="49" t="s">
        <v>102</v>
      </c>
      <c r="BR400" s="13">
        <f ca="1">VLOOKUP(H400,ghosts_label!$A$2:$B$19,2,FALSE)</f>
        <v>5500</v>
      </c>
    </row>
    <row r="401" spans="1:70" ht="21" customHeight="1" x14ac:dyDescent="0.15">
      <c r="A401" s="14">
        <f t="shared" ca="1" si="51"/>
        <v>400</v>
      </c>
      <c r="B401" s="77" t="str">
        <f ca="1">VLOOKUP($A401,OFFSET([2]characters!$A$1,0,0,COUNTA([2]characters!$A:$A),MATCH(B$1,[2]characters!$1:$1,0)-MATCH($A$1,[2]characters!$1:$1,0)+1),MATCH(B$1,[2]characters!$1:$1,0)-MATCH($A$1,[2]characters!$1:$1,0)+1,FALSE)</f>
        <v>フェンリル</v>
      </c>
      <c r="C401" s="77" t="str">
        <f ca="1">VLOOKUP($A401,OFFSET([2]characters!$A$1,0,0,COUNTA([2]characters!$A:$A),MATCH(C$1,[2]characters!$1:$1,0)-MATCH($A$1,[2]characters!$1:$1,0)+1),MATCH(C$1,[2]characters!$1:$1,0)-MATCH($A$1,[2]characters!$1:$1,0)+1,FALSE)</f>
        <v>ガチャ:魔獣シリーズ02</v>
      </c>
      <c r="D401" s="77" t="str">
        <f ca="1">VLOOKUP($A401,OFFSET([2]characters!$A$1,0,0,COUNTA([2]characters!$A:$A),MATCH(D$1,[2]characters!$1:$1,0)-MATCH($A$1,[2]characters!$1:$1,0)+1),MATCH(D$1,[2]characters!$1:$1,0)-MATCH($A$1,[2]characters!$1:$1,0)+1,FALSE)</f>
        <v>執行者</v>
      </c>
      <c r="E401" s="77" t="str">
        <f ca="1">VLOOKUP($A401,OFFSET([2]characters!$A$1,0,0,COUNTA([2]characters!$A:$A),MATCH(E$1,[2]characters!$1:$1,0)-MATCH($A$1,[2]characters!$1:$1,0)+1),MATCH(E$1,[2]characters!$1:$1,0)-MATCH($A$1,[2]characters!$1:$1,0)+1,FALSE)</f>
        <v>格好いい</v>
      </c>
      <c r="F401" s="77" t="str">
        <f ca="1">VLOOKUP($A401,OFFSET([2]characters!$A$1,0,0,COUNTA([2]characters!$A:$A),MATCH(F$1,[2]characters!$1:$1,0)-MATCH($A$1,[2]characters!$1:$1,0)+1),MATCH(F$1,[2]characters!$1:$1,0)-MATCH($A$1,[2]characters!$1:$1,0)+1,FALSE)</f>
        <v>女性</v>
      </c>
      <c r="G401" s="77">
        <f ca="1">VLOOKUP($A401,OFFSET([2]characters!$A$1,0,0,COUNTA([2]characters!$A:$A),MATCH(G$1,[2]characters!$1:$1,0)-MATCH($A$1,[2]characters!$1:$1,0)+1),MATCH(G$1,[2]characters!$1:$1,0)-MATCH($A$1,[2]characters!$1:$1,0)+1,FALSE)</f>
        <v>3</v>
      </c>
      <c r="H401" s="77" t="str">
        <f ca="1">VLOOKUP($A401,OFFSET([2]characters!$A$1,0,0,COUNTA([2]characters!$A:$A),MATCH(H$1,[2]characters!$1:$1,0)-MATCH($A$1,[2]characters!$1:$1,0)+1),MATCH(H$1,[2]characters!$1:$1,0)-MATCH($A$1,[2]characters!$1:$1,0)+1,FALSE)</f>
        <v>PremiumS</v>
      </c>
      <c r="I401" s="77" t="str">
        <f ca="1">VLOOKUP($A401,OFFSET([2]characters!$A$1,0,0,COUNTA([2]characters!$A:$A),MATCH(I$1,[2]characters!$1:$1,0)-MATCH($A$1,[2]characters!$1:$1,0)+1),MATCH(I$1,[2]characters!$1:$1,0)-MATCH($A$1,[2]characters!$1:$1,0)+1,FALSE)</f>
        <v>red</v>
      </c>
      <c r="J401" s="14">
        <f ca="1">VLOOKUP(I401,[2]属性!$A:$E,2,FALSE)</f>
        <v>1</v>
      </c>
      <c r="K401" s="14">
        <f ca="1">VLOOKUP(I401,[2]属性!$A:$E,3,FALSE)</f>
        <v>1.02</v>
      </c>
      <c r="L401" s="14">
        <f ca="1">VLOOKUP(I401,[2]属性!$A:$E,4,FALSE)</f>
        <v>1</v>
      </c>
      <c r="M401" s="14">
        <f ca="1">VLOOKUP(I401,[2]属性!$A:$E,5,FALSE)</f>
        <v>0.98</v>
      </c>
      <c r="N401" s="14">
        <f ca="1">INDEX(コスト!$A$1:$I$20,MATCH(H401,コスト!$A$1:$A$20,FALSE),MATCH(G401,コスト!$A$1:$I$1,FALSE))</f>
        <v>10</v>
      </c>
      <c r="O401" s="14">
        <f ca="1">INDEX(レベル!$A$1:$I$21,MATCH(H401,レベル!$A$1:$A$21,FALSE),MATCH(G401,レベル!$A$1:$I$1,FALSE))</f>
        <v>40</v>
      </c>
      <c r="P401" s="63">
        <f t="shared" ref="P401:P432" ca="1" si="64">G401*15</f>
        <v>45</v>
      </c>
      <c r="Q401" s="77" t="str">
        <f ca="1">VLOOKUP($A401,OFFSET([2]characters!$A$1,0,0,COUNTA([2]characters!$A:$A),MATCH(Q$1,[2]characters!$1:$1,0)-MATCH($A$1,[2]characters!$1:$1,0)+1),MATCH(Q$1,[2]characters!$1:$1,0)-MATCH($A$1,[2]characters!$1:$1,0)+1,FALSE)</f>
        <v>attack</v>
      </c>
      <c r="R401" s="8" t="str">
        <f ca="1">VLOOKUP(Q401,[2]character_type_i18n!$A:$H,3,FALSE)</f>
        <v>攻撃タイプ</v>
      </c>
      <c r="S401" s="14">
        <f ca="1">VLOOKUP(Q401,[2]character_type_i18n!$A:$H,4,FALSE)</f>
        <v>1</v>
      </c>
      <c r="T401" s="14">
        <f ca="1">VLOOKUP(Q401,[2]character_type_i18n!$A:$H,5,FALSE)</f>
        <v>1.33</v>
      </c>
      <c r="U401" s="14">
        <f ca="1">VLOOKUP(Q401,[2]character_type_i18n!$A:$H,6,FALSE)</f>
        <v>1</v>
      </c>
      <c r="V401" s="14">
        <f ca="1">VLOOKUP(Q401,[2]character_type_i18n!$A:$H,7,FALSE)</f>
        <v>0.67</v>
      </c>
      <c r="W401" s="77" t="str">
        <f ca="1">VLOOKUP($A401,OFFSET([2]characters!$A$1,0,0,COUNTA([2]characters!$A:$A),MATCH(W$1,[2]characters!$1:$1,0)-MATCH($A$1,[2]characters!$1:$1,0)+1),MATCH(W$1,[2]characters!$1:$1,0)-MATCH($A$1,[2]characters!$1:$1,0)+1,FALSE)</f>
        <v>animal</v>
      </c>
      <c r="X401" s="8" t="str">
        <f ca="1">VLOOKUP(W401,[2]character_tribe_i18n!$A:$H,3,FALSE)</f>
        <v>アニマル</v>
      </c>
      <c r="Y401" s="77" t="str">
        <f ca="1">VLOOKUP($A401,OFFSET([2]characters!$A$1,0,0,COUNTA([2]characters!$A:$A),MATCH(Y$1,[2]characters!$1:$1,0)-MATCH($A$1,[2]characters!$1:$1,0)+1),MATCH(Y$1,[2]characters!$1:$1,0)-MATCH($A$1,[2]characters!$1:$1,0)+1,FALSE)</f>
        <v>none</v>
      </c>
      <c r="Z401" s="8" t="str">
        <f ca="1">VLOOKUP(Y401,[2]character_tribe_i18n!$A:$H,3,FALSE)</f>
        <v>種族なし</v>
      </c>
      <c r="AA401" s="14">
        <f ca="1">VLOOKUP(W401,[2]character_tribe_i18n!$A:$H,4,FALSE)</f>
        <v>1</v>
      </c>
      <c r="AB401" s="14">
        <f ca="1">VLOOKUP(W401,[2]character_tribe_i18n!$A:$H,5,FALSE)</f>
        <v>1.1000000000000001</v>
      </c>
      <c r="AC401" s="14">
        <f ca="1">VLOOKUP(W401,[2]character_tribe_i18n!$A:$H,6,FALSE)</f>
        <v>1</v>
      </c>
      <c r="AD401" s="14">
        <f ca="1">VLOOKUP(W401,[2]character_tribe_i18n!$A:$H,7,FALSE)</f>
        <v>0.9</v>
      </c>
      <c r="AE401" s="12">
        <v>401</v>
      </c>
      <c r="AF401" s="85" t="str">
        <f ca="1">IF(AE401="NULL","",VLOOKUP($AE401,OFFSET([2]characters!$A$1,0,0,COUNTA([2]characters!$A:$A),MATCH(AF$1,[2]characters!$1:$1,0)-MATCH($A$1,[2]characters!$1:$1,0)+1),MATCH(AF$1,[2]characters!$1:$1,0)-MATCH($A$1,[2]characters!$1:$1,0)+1,FALSE))</f>
        <v>紅銀の孤狼 フェンリル</v>
      </c>
      <c r="AG401" s="8">
        <f t="shared" ca="1" si="52"/>
        <v>400</v>
      </c>
      <c r="AH401" s="85" t="str">
        <f ca="1">VLOOKUP($AG401,OFFSET([2]characters!$A$1,0,0,COUNTA([2]characters!$A:$A),MATCH(AH$1,[2]characters!$1:$1,0)-MATCH($A$1,[2]characters!$1:$1,0)+1),MATCH(AH$1,[2]characters!$1:$1,0)-MATCH($A$1,[2]characters!$1:$1,0)+1,FALSE)</f>
        <v>フェンリル</v>
      </c>
      <c r="AI401" s="14">
        <f ca="1">IF(AE401="NULL","NULL",VLOOKUP(G401,ビット!$A$2:$B$7,2))</f>
        <v>20000</v>
      </c>
      <c r="AJ401" s="9">
        <v>2</v>
      </c>
      <c r="AK401" s="10" t="str">
        <f t="shared" ref="AK401:AK432" si="65">IF(AJ401=1,"早熟",IF(AJ401=2,"普通",IF(AJ401=3,"晩成","")))</f>
        <v>普通</v>
      </c>
      <c r="AL401" s="14" t="str">
        <f ca="1">INDEX(経験値!$A$1:$I$20,MATCH(H401,経験値!$A$1:$A$20,FALSE),MATCH(G401,経験値!$A$1:$I$1,FALSE))</f>
        <v>required_exp_200</v>
      </c>
      <c r="AM401" s="11">
        <f ca="1">VLOOKUP(G401,経験値!$A$27:$B$31,2)</f>
        <v>1500</v>
      </c>
      <c r="AN401" s="21">
        <f ca="1">VLOOKUP(G401,ビット!$G$2:$H$7,2)</f>
        <v>300</v>
      </c>
      <c r="AO401" s="57"/>
      <c r="AP401" s="97">
        <v>514008</v>
      </c>
      <c r="AQ401" s="77" t="e">
        <f ca="1">VLOOKUP($AP401,OFFSET([1]unit_skills!$A$1,0,0,COUNTA([1]unit_skills!$A:$A),MATCH("name",[1]unit_skills!$1:$1,0)-MATCH($AP$1,[1]unit_skills!$1:$1,0)+1),MATCH("name",[1]unit_skills!$1:$1,0)-MATCH($AP$1,[1]unit_skills!$1:$1,0)+1,FALSE)</f>
        <v>#VALUE!</v>
      </c>
      <c r="AR401" s="77" t="e">
        <f ca="1">VLOOKUP($AP401,OFFSET([1]unit_skills!$A$1,0,0,COUNTA([1]unit_skills!$A:$A),MATCH("comment",[1]unit_skills!$1:$1,0)-MATCH($AP$1,[1]unit_skills!$1:$1,0)+1),MATCH("comment",[1]unit_skills!$1:$1,0)-MATCH($AP$1,[1]unit_skills!$1:$1,0)+1,FALSE)</f>
        <v>#VALUE!</v>
      </c>
      <c r="AS401" s="77" t="e">
        <f ca="1">VLOOKUP($AP401,OFFSET([1]unit_skills!$A$1,0,0,COUNTA([1]unit_skills!$A:$A),MATCH(AS$1,[1]unit_skills!$1:$1,0)-MATCH($AP$1,[1]unit_skills!$1:$1,0)+1),MATCH(AS$1,[1]unit_skills!$1:$1,0)-MATCH($AP$1,[1]unit_skills!$1:$1,0)+1,FALSE)</f>
        <v>#VALUE!</v>
      </c>
      <c r="AT401" s="97">
        <v>171207</v>
      </c>
      <c r="AU401" s="77" t="e">
        <f ca="1">VLOOKUP($AT401,OFFSET([1]crash_skills!$A$1,0,0,COUNTA([1]crash_skills!$A:$A),MATCH("name",[1]crash_skills!$1:$1,0)-MATCH($AT$1,[1]crash_skills!$1:$1,0)+1),MATCH("name",[1]crash_skills!$1:$1,0)-MATCH($AT$1,[1]crash_skills!$1:$1,0)+1,FALSE)</f>
        <v>#VALUE!</v>
      </c>
      <c r="AV401" s="77" t="e">
        <f ca="1">VLOOKUP($AT401,OFFSET([1]crash_skills!$A$1,0,0,COUNTA([1]crash_skills!$A:$A),MATCH("comment",[1]crash_skills!$1:$1,0)-MATCH($AT$1,[1]crash_skills!$1:$1,0)+1),MATCH("comment",[1]crash_skills!$1:$1,0)-MATCH($AT$1,[1]crash_skills!$1:$1,0)+1,FALSE)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01" s="77" t="e">
        <f ca="1">VLOOKUP($AT401,OFFSET([1]crash_skills!$A$1,0,0,COUNTA([1]crash_skills!$A:$A),MATCH(AW$1,[1]crash_skills!$1:$1,0)-MATCH($AT$1,[1]crash_skills!$1:$1,0)+1),MATCH(AW$1,[1]crash_skills!$1:$1,0)-MATCH($AT$1,[1]crash_skills!$1:$1,0)+1,FALSE)</f>
        <v>#VALUE!</v>
      </c>
      <c r="AX401" s="81">
        <f ca="1">VLOOKUP($A401,OFFSET([2]characters!$A$1,0,0,COUNTA([2]characters!$A:$A),MATCH(AX$1,[2]characters!$1:$1,0)-MATCH($A$1,[2]characters!$1:$1,0)+1),MATCH(AX$1,[2]characters!$1:$1,0)-MATCH($A$1,[2]characters!$1:$1,0)+1,FALSE)</f>
        <v>3</v>
      </c>
      <c r="AY401" s="139">
        <v>1.02</v>
      </c>
      <c r="AZ401" s="139">
        <v>0.95</v>
      </c>
      <c r="BA401" s="139">
        <v>0</v>
      </c>
      <c r="BB401" s="139">
        <v>1.03</v>
      </c>
      <c r="BC401" s="14">
        <f ca="1">INDEX('RC6SV'!$A$1:$G$20,MATCH(H401,'RC6SV'!$A$1:$A$20,FALSE),MATCH(G401,'RC6SV'!$A$1:$G$1,FALSE))</f>
        <v>5000</v>
      </c>
      <c r="BD401" s="63">
        <f t="shared" ref="BD401:BD432" ca="1" si="66">ROUND(BC401*IF(AJ401=1,0.95,IF(AJ401=2,1,IF(AJ401,1.05,0))),0)</f>
        <v>5000</v>
      </c>
      <c r="BE401" s="14">
        <f t="shared" ca="1" si="53"/>
        <v>0</v>
      </c>
      <c r="BF401" s="14">
        <f t="shared" ca="1" si="54"/>
        <v>1</v>
      </c>
      <c r="BG401" s="20">
        <f ca="1">IF($BE401&lt;=0,ROUND(BK401*0.5,0), ROUND($BE401*S401*AA401*J401*AY401*0.8*[2]ステータス!$B$2,0))</f>
        <v>1275</v>
      </c>
      <c r="BH401" s="20">
        <f ca="1">IF($BE401&lt;=0,ROUND(BL401*0.5,0), ROUND($BE401*T401*AB401*K401*AZ401*0.8*[2]ステータス!$C$2,0))</f>
        <v>1063</v>
      </c>
      <c r="BI401" s="20">
        <f ca="1">IF($BE401&lt;=0,ROUND(BM401*0.5,0), ROUND($BE401*U401*AC401*L401*BA401*0.8*[2]ステータス!$D$2,0))</f>
        <v>0</v>
      </c>
      <c r="BJ401" s="20">
        <f ca="1">IF($BE401&lt;=0,ROUND(BN401*0.5,0), ROUND($BE401*V401*AD401*M401*BB401*0.8*[2]ステータス!$E$2,0))</f>
        <v>381</v>
      </c>
      <c r="BK401" s="14">
        <f ca="1">ROUND(BD401*S401*AA401*J401*AY401*[2]ステータス!$B$2,0)</f>
        <v>2550</v>
      </c>
      <c r="BL401" s="14">
        <f ca="1">ROUND(BD401*T401*AB401*K401*AZ401*[2]ステータス!$C$2,0)</f>
        <v>2126</v>
      </c>
      <c r="BM401" s="14">
        <f ca="1">ROUND(BD401*U401*AC401*L401*BA401*[2]ステータス!$D$2,0)</f>
        <v>0</v>
      </c>
      <c r="BN401" s="14">
        <f ca="1">ROUND(BD401*V401*AD401*M401*BB401*[2]ステータス!$E$2,0)</f>
        <v>761</v>
      </c>
      <c r="BO401" s="13">
        <v>0</v>
      </c>
      <c r="BP401" s="13">
        <v>1</v>
      </c>
      <c r="BQ401" s="49" t="s">
        <v>102</v>
      </c>
      <c r="BR401" s="13">
        <f ca="1">VLOOKUP(H401,ghosts_label!$A$2:$B$19,2,FALSE)</f>
        <v>700</v>
      </c>
    </row>
    <row r="402" spans="1:70" ht="21" customHeight="1" x14ac:dyDescent="0.15">
      <c r="A402" s="14">
        <f t="shared" ca="1" si="51"/>
        <v>401</v>
      </c>
      <c r="B402" s="77" t="str">
        <f ca="1">VLOOKUP($A402,OFFSET([2]characters!$A$1,0,0,COUNTA([2]characters!$A:$A),MATCH(B$1,[2]characters!$1:$1,0)-MATCH($A$1,[2]characters!$1:$1,0)+1),MATCH(B$1,[2]characters!$1:$1,0)-MATCH($A$1,[2]characters!$1:$1,0)+1,FALSE)</f>
        <v>紅銀の孤狼 フェンリル</v>
      </c>
      <c r="C402" s="77" t="str">
        <f ca="1">VLOOKUP($A402,OFFSET([2]characters!$A$1,0,0,COUNTA([2]characters!$A:$A),MATCH(C$1,[2]characters!$1:$1,0)-MATCH($A$1,[2]characters!$1:$1,0)+1),MATCH(C$1,[2]characters!$1:$1,0)-MATCH($A$1,[2]characters!$1:$1,0)+1,FALSE)</f>
        <v>ガチャ:魔獣シリーズ02</v>
      </c>
      <c r="D402" s="77" t="str">
        <f ca="1">VLOOKUP($A402,OFFSET([2]characters!$A$1,0,0,COUNTA([2]characters!$A:$A),MATCH(D$1,[2]characters!$1:$1,0)-MATCH($A$1,[2]characters!$1:$1,0)+1),MATCH(D$1,[2]characters!$1:$1,0)-MATCH($A$1,[2]characters!$1:$1,0)+1,FALSE)</f>
        <v>執行者</v>
      </c>
      <c r="E402" s="77" t="str">
        <f ca="1">VLOOKUP($A402,OFFSET([2]characters!$A$1,0,0,COUNTA([2]characters!$A:$A),MATCH(E$1,[2]characters!$1:$1,0)-MATCH($A$1,[2]characters!$1:$1,0)+1),MATCH(E$1,[2]characters!$1:$1,0)-MATCH($A$1,[2]characters!$1:$1,0)+1,FALSE)</f>
        <v>格好いい</v>
      </c>
      <c r="F402" s="77" t="str">
        <f ca="1">VLOOKUP($A402,OFFSET([2]characters!$A$1,0,0,COUNTA([2]characters!$A:$A),MATCH(F$1,[2]characters!$1:$1,0)-MATCH($A$1,[2]characters!$1:$1,0)+1),MATCH(F$1,[2]characters!$1:$1,0)-MATCH($A$1,[2]characters!$1:$1,0)+1,FALSE)</f>
        <v>女性</v>
      </c>
      <c r="G402" s="77">
        <f ca="1">VLOOKUP($A402,OFFSET([2]characters!$A$1,0,0,COUNTA([2]characters!$A:$A),MATCH(G$1,[2]characters!$1:$1,0)-MATCH($A$1,[2]characters!$1:$1,0)+1),MATCH(G$1,[2]characters!$1:$1,0)-MATCH($A$1,[2]characters!$1:$1,0)+1,FALSE)</f>
        <v>4</v>
      </c>
      <c r="H402" s="77" t="str">
        <f ca="1">VLOOKUP($A402,OFFSET([2]characters!$A$1,0,0,COUNTA([2]characters!$A:$A),MATCH(H$1,[2]characters!$1:$1,0)-MATCH($A$1,[2]characters!$1:$1,0)+1),MATCH(H$1,[2]characters!$1:$1,0)-MATCH($A$1,[2]characters!$1:$1,0)+1,FALSE)</f>
        <v>PremiumS</v>
      </c>
      <c r="I402" s="77" t="str">
        <f ca="1">VLOOKUP($A402,OFFSET([2]characters!$A$1,0,0,COUNTA([2]characters!$A:$A),MATCH(I$1,[2]characters!$1:$1,0)-MATCH($A$1,[2]characters!$1:$1,0)+1),MATCH(I$1,[2]characters!$1:$1,0)-MATCH($A$1,[2]characters!$1:$1,0)+1,FALSE)</f>
        <v>red</v>
      </c>
      <c r="J402" s="14">
        <f ca="1">VLOOKUP(I402,[2]属性!$A:$E,2,FALSE)</f>
        <v>1</v>
      </c>
      <c r="K402" s="14">
        <f ca="1">VLOOKUP(I402,[2]属性!$A:$E,3,FALSE)</f>
        <v>1.02</v>
      </c>
      <c r="L402" s="14">
        <f ca="1">VLOOKUP(I402,[2]属性!$A:$E,4,FALSE)</f>
        <v>1</v>
      </c>
      <c r="M402" s="14">
        <f ca="1">VLOOKUP(I402,[2]属性!$A:$E,5,FALSE)</f>
        <v>0.98</v>
      </c>
      <c r="N402" s="14">
        <f ca="1">INDEX(コスト!$A$1:$I$20,MATCH(H402,コスト!$A$1:$A$20,FALSE),MATCH(G402,コスト!$A$1:$I$1,FALSE))</f>
        <v>20</v>
      </c>
      <c r="O402" s="14">
        <f ca="1">INDEX(レベル!$A$1:$I$21,MATCH(H402,レベル!$A$1:$A$21,FALSE),MATCH(G402,レベル!$A$1:$I$1,FALSE))</f>
        <v>60</v>
      </c>
      <c r="P402" s="63">
        <f t="shared" ca="1" si="64"/>
        <v>60</v>
      </c>
      <c r="Q402" s="77" t="str">
        <f ca="1">VLOOKUP($A402,OFFSET([2]characters!$A$1,0,0,COUNTA([2]characters!$A:$A),MATCH(Q$1,[2]characters!$1:$1,0)-MATCH($A$1,[2]characters!$1:$1,0)+1),MATCH(Q$1,[2]characters!$1:$1,0)-MATCH($A$1,[2]characters!$1:$1,0)+1,FALSE)</f>
        <v>attack</v>
      </c>
      <c r="R402" s="8" t="str">
        <f ca="1">VLOOKUP(Q402,[2]character_type_i18n!$A:$H,3,FALSE)</f>
        <v>攻撃タイプ</v>
      </c>
      <c r="S402" s="14">
        <f ca="1">VLOOKUP(Q402,[2]character_type_i18n!$A:$H,4,FALSE)</f>
        <v>1</v>
      </c>
      <c r="T402" s="14">
        <f ca="1">VLOOKUP(Q402,[2]character_type_i18n!$A:$H,5,FALSE)</f>
        <v>1.33</v>
      </c>
      <c r="U402" s="14">
        <f ca="1">VLOOKUP(Q402,[2]character_type_i18n!$A:$H,6,FALSE)</f>
        <v>1</v>
      </c>
      <c r="V402" s="14">
        <f ca="1">VLOOKUP(Q402,[2]character_type_i18n!$A:$H,7,FALSE)</f>
        <v>0.67</v>
      </c>
      <c r="W402" s="77" t="str">
        <f ca="1">VLOOKUP($A402,OFFSET([2]characters!$A$1,0,0,COUNTA([2]characters!$A:$A),MATCH(W$1,[2]characters!$1:$1,0)-MATCH($A$1,[2]characters!$1:$1,0)+1),MATCH(W$1,[2]characters!$1:$1,0)-MATCH($A$1,[2]characters!$1:$1,0)+1,FALSE)</f>
        <v>animal</v>
      </c>
      <c r="X402" s="8" t="str">
        <f ca="1">VLOOKUP(W402,[2]character_tribe_i18n!$A:$H,3,FALSE)</f>
        <v>アニマル</v>
      </c>
      <c r="Y402" s="77" t="str">
        <f ca="1">VLOOKUP($A402,OFFSET([2]characters!$A$1,0,0,COUNTA([2]characters!$A:$A),MATCH(Y$1,[2]characters!$1:$1,0)-MATCH($A$1,[2]characters!$1:$1,0)+1),MATCH(Y$1,[2]characters!$1:$1,0)-MATCH($A$1,[2]characters!$1:$1,0)+1,FALSE)</f>
        <v>none</v>
      </c>
      <c r="Z402" s="8" t="str">
        <f ca="1">VLOOKUP(Y402,[2]character_tribe_i18n!$A:$H,3,FALSE)</f>
        <v>種族なし</v>
      </c>
      <c r="AA402" s="14">
        <f ca="1">VLOOKUP(W402,[2]character_tribe_i18n!$A:$H,4,FALSE)</f>
        <v>1</v>
      </c>
      <c r="AB402" s="14">
        <f ca="1">VLOOKUP(W402,[2]character_tribe_i18n!$A:$H,5,FALSE)</f>
        <v>1.1000000000000001</v>
      </c>
      <c r="AC402" s="14">
        <f ca="1">VLOOKUP(W402,[2]character_tribe_i18n!$A:$H,6,FALSE)</f>
        <v>1</v>
      </c>
      <c r="AD402" s="14">
        <f ca="1">VLOOKUP(W402,[2]character_tribe_i18n!$A:$H,7,FALSE)</f>
        <v>0.9</v>
      </c>
      <c r="AE402" s="12">
        <v>402</v>
      </c>
      <c r="AF402" s="85" t="str">
        <f ca="1">IF(AE402="NULL","",VLOOKUP($AE402,OFFSET([2]characters!$A$1,0,0,COUNTA([2]characters!$A:$A),MATCH(AF$1,[2]characters!$1:$1,0)-MATCH($A$1,[2]characters!$1:$1,0)+1),MATCH(AF$1,[2]characters!$1:$1,0)-MATCH($A$1,[2]characters!$1:$1,0)+1,FALSE))</f>
        <v>天災の神狼 フェンリル</v>
      </c>
      <c r="AG402" s="8">
        <f t="shared" ca="1" si="52"/>
        <v>400</v>
      </c>
      <c r="AH402" s="85" t="str">
        <f ca="1">VLOOKUP($AG402,OFFSET([2]characters!$A$1,0,0,COUNTA([2]characters!$A:$A),MATCH(AH$1,[2]characters!$1:$1,0)-MATCH($A$1,[2]characters!$1:$1,0)+1),MATCH(AH$1,[2]characters!$1:$1,0)-MATCH($A$1,[2]characters!$1:$1,0)+1,FALSE)</f>
        <v>フェンリル</v>
      </c>
      <c r="AI402" s="14">
        <f ca="1">IF(AE402="NULL","NULL",VLOOKUP(G402,ビット!$A$2:$B$7,2))</f>
        <v>50000</v>
      </c>
      <c r="AJ402" s="9">
        <v>2</v>
      </c>
      <c r="AK402" s="10" t="str">
        <f t="shared" si="65"/>
        <v>普通</v>
      </c>
      <c r="AL402" s="14" t="str">
        <f ca="1">INDEX(経験値!$A$1:$I$20,MATCH(H402,経験値!$A$1:$A$20,FALSE),MATCH(G402,経験値!$A$1:$I$1,FALSE))</f>
        <v>required_exp_200</v>
      </c>
      <c r="AM402" s="11">
        <f ca="1">VLOOKUP(G402,経験値!$A$27:$B$31,2)</f>
        <v>3400</v>
      </c>
      <c r="AN402" s="21">
        <f ca="1">VLOOKUP(G402,ビット!$G$2:$H$7,2)</f>
        <v>600</v>
      </c>
      <c r="AO402" s="57"/>
      <c r="AP402" s="97">
        <v>514008</v>
      </c>
      <c r="AQ402" s="77" t="e">
        <f ca="1">VLOOKUP($AP402,OFFSET([1]unit_skills!$A$1,0,0,COUNTA([1]unit_skills!$A:$A),MATCH("name",[1]unit_skills!$1:$1,0)-MATCH($AP$1,[1]unit_skills!$1:$1,0)+1),MATCH("name",[1]unit_skills!$1:$1,0)-MATCH($AP$1,[1]unit_skills!$1:$1,0)+1,FALSE)</f>
        <v>#VALUE!</v>
      </c>
      <c r="AR402" s="77" t="e">
        <f ca="1">VLOOKUP($AP402,OFFSET([1]unit_skills!$A$1,0,0,COUNTA([1]unit_skills!$A:$A),MATCH("comment",[1]unit_skills!$1:$1,0)-MATCH($AP$1,[1]unit_skills!$1:$1,0)+1),MATCH("comment",[1]unit_skills!$1:$1,0)-MATCH($AP$1,[1]unit_skills!$1:$1,0)+1,FALSE)</f>
        <v>#VALUE!</v>
      </c>
      <c r="AS402" s="77" t="e">
        <f ca="1">VLOOKUP($AP402,OFFSET([1]unit_skills!$A$1,0,0,COUNTA([1]unit_skills!$A:$A),MATCH(AS$1,[1]unit_skills!$1:$1,0)-MATCH($AP$1,[1]unit_skills!$1:$1,0)+1),MATCH(AS$1,[1]unit_skills!$1:$1,0)-MATCH($AP$1,[1]unit_skills!$1:$1,0)+1,FALSE)</f>
        <v>#VALUE!</v>
      </c>
      <c r="AT402" s="97">
        <v>171207</v>
      </c>
      <c r="AU402" s="77" t="e">
        <f ca="1">VLOOKUP($AT402,OFFSET([1]crash_skills!$A$1,0,0,COUNTA([1]crash_skills!$A:$A),MATCH("name",[1]crash_skills!$1:$1,0)-MATCH($AT$1,[1]crash_skills!$1:$1,0)+1),MATCH("name",[1]crash_skills!$1:$1,0)-MATCH($AT$1,[1]crash_skills!$1:$1,0)+1,FALSE)</f>
        <v>#VALUE!</v>
      </c>
      <c r="AV402" s="77" t="e">
        <f ca="1">VLOOKUP($AT402,OFFSET([1]crash_skills!$A$1,0,0,COUNTA([1]crash_skills!$A:$A),MATCH("comment",[1]crash_skills!$1:$1,0)-MATCH($AT$1,[1]crash_skills!$1:$1,0)+1),MATCH("comment",[1]crash_skills!$1:$1,0)-MATCH($AT$1,[1]crash_skills!$1:$1,0)+1,FALSE)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02" s="77" t="e">
        <f ca="1">VLOOKUP($AT402,OFFSET([1]crash_skills!$A$1,0,0,COUNTA([1]crash_skills!$A:$A),MATCH(AW$1,[1]crash_skills!$1:$1,0)-MATCH($AT$1,[1]crash_skills!$1:$1,0)+1),MATCH(AW$1,[1]crash_skills!$1:$1,0)-MATCH($AT$1,[1]crash_skills!$1:$1,0)+1,FALSE)</f>
        <v>#VALUE!</v>
      </c>
      <c r="AX402" s="81">
        <f ca="1">VLOOKUP($A402,OFFSET([2]characters!$A$1,0,0,COUNTA([2]characters!$A:$A),MATCH(AX$1,[2]characters!$1:$1,0)-MATCH($A$1,[2]characters!$1:$1,0)+1),MATCH(AX$1,[2]characters!$1:$1,0)-MATCH($A$1,[2]characters!$1:$1,0)+1,FALSE)</f>
        <v>3</v>
      </c>
      <c r="AY402" s="139">
        <v>1.02</v>
      </c>
      <c r="AZ402" s="139">
        <v>0.95</v>
      </c>
      <c r="BA402" s="139">
        <v>0</v>
      </c>
      <c r="BB402" s="139">
        <v>1.03</v>
      </c>
      <c r="BC402" s="14">
        <f ca="1">INDEX('RC6SV'!$A$1:$G$20,MATCH(H402,'RC6SV'!$A$1:$A$20,FALSE),MATCH(G402,'RC6SV'!$A$1:$G$1,FALSE))</f>
        <v>7000</v>
      </c>
      <c r="BD402" s="63">
        <f t="shared" ca="1" si="66"/>
        <v>7000</v>
      </c>
      <c r="BE402" s="14">
        <f t="shared" ca="1" si="53"/>
        <v>5000</v>
      </c>
      <c r="BF402" s="14">
        <f t="shared" ca="1" si="54"/>
        <v>1</v>
      </c>
      <c r="BG402" s="20">
        <f ca="1">IF($BE402&lt;=0,ROUND(BK402*0.5,0), ROUND($BE402*S402*AA402*J402*AY402*0.8*[2]ステータス!$B$2,0))</f>
        <v>2040</v>
      </c>
      <c r="BH402" s="20">
        <f ca="1">IF($BE402&lt;=0,ROUND(BL402*0.5,0), ROUND($BE402*T402*AB402*K402*AZ402*0.8*[2]ステータス!$C$2,0))</f>
        <v>1701</v>
      </c>
      <c r="BI402" s="20">
        <f ca="1">IF($BE402&lt;=0,ROUND(BM402*0.5,0), ROUND($BE402*U402*AC402*L402*BA402*0.8*[2]ステータス!$D$2,0))</f>
        <v>0</v>
      </c>
      <c r="BJ402" s="20">
        <f ca="1">IF($BE402&lt;=0,ROUND(BN402*0.5,0), ROUND($BE402*V402*AD402*M402*BB402*0.8*[2]ステータス!$E$2,0))</f>
        <v>609</v>
      </c>
      <c r="BK402" s="14">
        <f ca="1">ROUND(BD402*S402*AA402*J402*AY402*[2]ステータス!$B$2,0)</f>
        <v>3570</v>
      </c>
      <c r="BL402" s="14">
        <f ca="1">ROUND(BD402*T402*AB402*K402*AZ402*[2]ステータス!$C$2,0)</f>
        <v>2977</v>
      </c>
      <c r="BM402" s="14">
        <f ca="1">ROUND(BD402*U402*AC402*L402*BA402*[2]ステータス!$D$2,0)</f>
        <v>0</v>
      </c>
      <c r="BN402" s="14">
        <f ca="1">ROUND(BD402*V402*AD402*M402*BB402*[2]ステータス!$E$2,0)</f>
        <v>1065</v>
      </c>
      <c r="BO402" s="13">
        <v>0</v>
      </c>
      <c r="BP402" s="13">
        <v>1</v>
      </c>
      <c r="BQ402" s="49" t="s">
        <v>102</v>
      </c>
      <c r="BR402" s="13">
        <f ca="1">VLOOKUP(H402,ghosts_label!$A$2:$B$19,2,FALSE)</f>
        <v>700</v>
      </c>
    </row>
    <row r="403" spans="1:70" ht="21" customHeight="1" x14ac:dyDescent="0.15">
      <c r="A403" s="14">
        <f t="shared" ca="1" si="51"/>
        <v>402</v>
      </c>
      <c r="B403" s="77" t="str">
        <f ca="1">VLOOKUP($A403,OFFSET([2]characters!$A$1,0,0,COUNTA([2]characters!$A:$A),MATCH(B$1,[2]characters!$1:$1,0)-MATCH($A$1,[2]characters!$1:$1,0)+1),MATCH(B$1,[2]characters!$1:$1,0)-MATCH($A$1,[2]characters!$1:$1,0)+1,FALSE)</f>
        <v>天災の神狼 フェンリル</v>
      </c>
      <c r="C403" s="77" t="str">
        <f ca="1">VLOOKUP($A403,OFFSET([2]characters!$A$1,0,0,COUNTA([2]characters!$A:$A),MATCH(C$1,[2]characters!$1:$1,0)-MATCH($A$1,[2]characters!$1:$1,0)+1),MATCH(C$1,[2]characters!$1:$1,0)-MATCH($A$1,[2]characters!$1:$1,0)+1,FALSE)</f>
        <v>ガチャ:魔獣シリーズ02</v>
      </c>
      <c r="D403" s="77" t="str">
        <f ca="1">VLOOKUP($A403,OFFSET([2]characters!$A$1,0,0,COUNTA([2]characters!$A:$A),MATCH(D$1,[2]characters!$1:$1,0)-MATCH($A$1,[2]characters!$1:$1,0)+1),MATCH(D$1,[2]characters!$1:$1,0)-MATCH($A$1,[2]characters!$1:$1,0)+1,FALSE)</f>
        <v>執行者</v>
      </c>
      <c r="E403" s="77" t="str">
        <f ca="1">VLOOKUP($A403,OFFSET([2]characters!$A$1,0,0,COUNTA([2]characters!$A:$A),MATCH(E$1,[2]characters!$1:$1,0)-MATCH($A$1,[2]characters!$1:$1,0)+1),MATCH(E$1,[2]characters!$1:$1,0)-MATCH($A$1,[2]characters!$1:$1,0)+1,FALSE)</f>
        <v>格好いい</v>
      </c>
      <c r="F403" s="77" t="str">
        <f ca="1">VLOOKUP($A403,OFFSET([2]characters!$A$1,0,0,COUNTA([2]characters!$A:$A),MATCH(F$1,[2]characters!$1:$1,0)-MATCH($A$1,[2]characters!$1:$1,0)+1),MATCH(F$1,[2]characters!$1:$1,0)-MATCH($A$1,[2]characters!$1:$1,0)+1,FALSE)</f>
        <v>女性</v>
      </c>
      <c r="G403" s="77">
        <f ca="1">VLOOKUP($A403,OFFSET([2]characters!$A$1,0,0,COUNTA([2]characters!$A:$A),MATCH(G$1,[2]characters!$1:$1,0)-MATCH($A$1,[2]characters!$1:$1,0)+1),MATCH(G$1,[2]characters!$1:$1,0)-MATCH($A$1,[2]characters!$1:$1,0)+1,FALSE)</f>
        <v>5</v>
      </c>
      <c r="H403" s="77" t="str">
        <f ca="1">VLOOKUP($A403,OFFSET([2]characters!$A$1,0,0,COUNTA([2]characters!$A:$A),MATCH(H$1,[2]characters!$1:$1,0)-MATCH($A$1,[2]characters!$1:$1,0)+1),MATCH(H$1,[2]characters!$1:$1,0)-MATCH($A$1,[2]characters!$1:$1,0)+1,FALSE)</f>
        <v>PremiumS</v>
      </c>
      <c r="I403" s="77" t="str">
        <f ca="1">VLOOKUP($A403,OFFSET([2]characters!$A$1,0,0,COUNTA([2]characters!$A:$A),MATCH(I$1,[2]characters!$1:$1,0)-MATCH($A$1,[2]characters!$1:$1,0)+1),MATCH(I$1,[2]characters!$1:$1,0)-MATCH($A$1,[2]characters!$1:$1,0)+1,FALSE)</f>
        <v>red</v>
      </c>
      <c r="J403" s="14">
        <f ca="1">VLOOKUP(I403,[2]属性!$A:$E,2,FALSE)</f>
        <v>1</v>
      </c>
      <c r="K403" s="14">
        <f ca="1">VLOOKUP(I403,[2]属性!$A:$E,3,FALSE)</f>
        <v>1.02</v>
      </c>
      <c r="L403" s="14">
        <f ca="1">VLOOKUP(I403,[2]属性!$A:$E,4,FALSE)</f>
        <v>1</v>
      </c>
      <c r="M403" s="14">
        <f ca="1">VLOOKUP(I403,[2]属性!$A:$E,5,FALSE)</f>
        <v>0.98</v>
      </c>
      <c r="N403" s="14">
        <f ca="1">INDEX(コスト!$A$1:$I$20,MATCH(H403,コスト!$A$1:$A$20,FALSE),MATCH(G403,コスト!$A$1:$I$1,FALSE))</f>
        <v>30</v>
      </c>
      <c r="O403" s="14">
        <f ca="1">INDEX(レベル!$A$1:$I$21,MATCH(H403,レベル!$A$1:$A$21,FALSE),MATCH(G403,レベル!$A$1:$I$1,FALSE))</f>
        <v>80</v>
      </c>
      <c r="P403" s="63">
        <f t="shared" ca="1" si="64"/>
        <v>75</v>
      </c>
      <c r="Q403" s="77" t="str">
        <f ca="1">VLOOKUP($A403,OFFSET([2]characters!$A$1,0,0,COUNTA([2]characters!$A:$A),MATCH(Q$1,[2]characters!$1:$1,0)-MATCH($A$1,[2]characters!$1:$1,0)+1),MATCH(Q$1,[2]characters!$1:$1,0)-MATCH($A$1,[2]characters!$1:$1,0)+1,FALSE)</f>
        <v>attack</v>
      </c>
      <c r="R403" s="8" t="str">
        <f ca="1">VLOOKUP(Q403,[2]character_type_i18n!$A:$H,3,FALSE)</f>
        <v>攻撃タイプ</v>
      </c>
      <c r="S403" s="14">
        <f ca="1">VLOOKUP(Q403,[2]character_type_i18n!$A:$H,4,FALSE)</f>
        <v>1</v>
      </c>
      <c r="T403" s="14">
        <f ca="1">VLOOKUP(Q403,[2]character_type_i18n!$A:$H,5,FALSE)</f>
        <v>1.33</v>
      </c>
      <c r="U403" s="14">
        <f ca="1">VLOOKUP(Q403,[2]character_type_i18n!$A:$H,6,FALSE)</f>
        <v>1</v>
      </c>
      <c r="V403" s="14">
        <f ca="1">VLOOKUP(Q403,[2]character_type_i18n!$A:$H,7,FALSE)</f>
        <v>0.67</v>
      </c>
      <c r="W403" s="77" t="str">
        <f ca="1">VLOOKUP($A403,OFFSET([2]characters!$A$1,0,0,COUNTA([2]characters!$A:$A),MATCH(W$1,[2]characters!$1:$1,0)-MATCH($A$1,[2]characters!$1:$1,0)+1),MATCH(W$1,[2]characters!$1:$1,0)-MATCH($A$1,[2]characters!$1:$1,0)+1,FALSE)</f>
        <v>animal</v>
      </c>
      <c r="X403" s="8" t="str">
        <f ca="1">VLOOKUP(W403,[2]character_tribe_i18n!$A:$H,3,FALSE)</f>
        <v>アニマル</v>
      </c>
      <c r="Y403" s="77" t="str">
        <f ca="1">VLOOKUP($A403,OFFSET([2]characters!$A$1,0,0,COUNTA([2]characters!$A:$A),MATCH(Y$1,[2]characters!$1:$1,0)-MATCH($A$1,[2]characters!$1:$1,0)+1),MATCH(Y$1,[2]characters!$1:$1,0)-MATCH($A$1,[2]characters!$1:$1,0)+1,FALSE)</f>
        <v>none</v>
      </c>
      <c r="Z403" s="8" t="str">
        <f ca="1">VLOOKUP(Y403,[2]character_tribe_i18n!$A:$H,3,FALSE)</f>
        <v>種族なし</v>
      </c>
      <c r="AA403" s="14">
        <f ca="1">VLOOKUP(W403,[2]character_tribe_i18n!$A:$H,4,FALSE)</f>
        <v>1</v>
      </c>
      <c r="AB403" s="14">
        <f ca="1">VLOOKUP(W403,[2]character_tribe_i18n!$A:$H,5,FALSE)</f>
        <v>1.1000000000000001</v>
      </c>
      <c r="AC403" s="14">
        <f ca="1">VLOOKUP(W403,[2]character_tribe_i18n!$A:$H,6,FALSE)</f>
        <v>1</v>
      </c>
      <c r="AD403" s="14">
        <f ca="1">VLOOKUP(W403,[2]character_tribe_i18n!$A:$H,7,FALSE)</f>
        <v>0.9</v>
      </c>
      <c r="AE403" s="12" t="s">
        <v>231</v>
      </c>
      <c r="AF403" s="85" t="str">
        <f ca="1">IF(AE403="NULL","",VLOOKUP($AE403,OFFSET([2]characters!$A$1,0,0,COUNTA([2]characters!$A:$A),MATCH(AF$1,[2]characters!$1:$1,0)-MATCH($A$1,[2]characters!$1:$1,0)+1),MATCH(AF$1,[2]characters!$1:$1,0)-MATCH($A$1,[2]characters!$1:$1,0)+1,FALSE))</f>
        <v/>
      </c>
      <c r="AG403" s="8">
        <f t="shared" ca="1" si="52"/>
        <v>400</v>
      </c>
      <c r="AH403" s="85" t="str">
        <f ca="1">VLOOKUP($AG403,OFFSET([2]characters!$A$1,0,0,COUNTA([2]characters!$A:$A),MATCH(AH$1,[2]characters!$1:$1,0)-MATCH($A$1,[2]characters!$1:$1,0)+1),MATCH(AH$1,[2]characters!$1:$1,0)-MATCH($A$1,[2]characters!$1:$1,0)+1,FALSE)</f>
        <v>フェンリル</v>
      </c>
      <c r="AI403" s="14" t="str">
        <f>IF(AE403="NULL","NULL",VLOOKUP(G403,ビット!$A$2:$B$7,2))</f>
        <v>NULL</v>
      </c>
      <c r="AJ403" s="9">
        <v>2</v>
      </c>
      <c r="AK403" s="10" t="str">
        <f t="shared" si="65"/>
        <v>普通</v>
      </c>
      <c r="AL403" s="14" t="str">
        <f ca="1">INDEX(経験値!$A$1:$I$20,MATCH(H403,経験値!$A$1:$A$20,FALSE),MATCH(G403,経験値!$A$1:$I$1,FALSE))</f>
        <v>required_exp_200</v>
      </c>
      <c r="AM403" s="11">
        <f ca="1">VLOOKUP(G403,経験値!$A$27:$B$31,2)</f>
        <v>6400</v>
      </c>
      <c r="AN403" s="21">
        <f ca="1">VLOOKUP(G403,ビット!$G$2:$H$7,2)</f>
        <v>900</v>
      </c>
      <c r="AO403" s="57"/>
      <c r="AP403" s="97">
        <v>514007</v>
      </c>
      <c r="AQ403" s="77" t="e">
        <f ca="1">VLOOKUP($AP403,OFFSET([1]unit_skills!$A$1,0,0,COUNTA([1]unit_skills!$A:$A),MATCH("name",[1]unit_skills!$1:$1,0)-MATCH($AP$1,[1]unit_skills!$1:$1,0)+1),MATCH("name",[1]unit_skills!$1:$1,0)-MATCH($AP$1,[1]unit_skills!$1:$1,0)+1,FALSE)</f>
        <v>#VALUE!</v>
      </c>
      <c r="AR403" s="77" t="e">
        <f ca="1">VLOOKUP($AP403,OFFSET([1]unit_skills!$A$1,0,0,COUNTA([1]unit_skills!$A:$A),MATCH("comment",[1]unit_skills!$1:$1,0)-MATCH($AP$1,[1]unit_skills!$1:$1,0)+1),MATCH("comment",[1]unit_skills!$1:$1,0)-MATCH($AP$1,[1]unit_skills!$1:$1,0)+1,FALSE)</f>
        <v>#VALUE!</v>
      </c>
      <c r="AS403" s="77" t="e">
        <f ca="1">VLOOKUP($AP403,OFFSET([1]unit_skills!$A$1,0,0,COUNTA([1]unit_skills!$A:$A),MATCH(AS$1,[1]unit_skills!$1:$1,0)-MATCH($AP$1,[1]unit_skills!$1:$1,0)+1),MATCH(AS$1,[1]unit_skills!$1:$1,0)-MATCH($AP$1,[1]unit_skills!$1:$1,0)+1,FALSE)</f>
        <v>#VALUE!</v>
      </c>
      <c r="AT403" s="97">
        <v>171208</v>
      </c>
      <c r="AU403" s="77" t="e">
        <f ca="1">VLOOKUP($AT403,OFFSET([1]crash_skills!$A$1,0,0,COUNTA([1]crash_skills!$A:$A),MATCH("name",[1]crash_skills!$1:$1,0)-MATCH($AT$1,[1]crash_skills!$1:$1,0)+1),MATCH("name",[1]crash_skills!$1:$1,0)-MATCH($AT$1,[1]crash_skills!$1:$1,0)+1,FALSE)</f>
        <v>#VALUE!</v>
      </c>
      <c r="AV403" s="77" t="e">
        <f ca="1">VLOOKUP($AT403,OFFSET([1]crash_skills!$A$1,0,0,COUNTA([1]crash_skills!$A:$A),MATCH("comment",[1]crash_skills!$1:$1,0)-MATCH($AT$1,[1]crash_skills!$1:$1,0)+1),MATCH("comment",[1]crash_skills!$1:$1,0)-MATCH($AT$1,[1]crash_skills!$1:$1,0)+1,FALSE)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03" s="77" t="e">
        <f ca="1">VLOOKUP($AT403,OFFSET([1]crash_skills!$A$1,0,0,COUNTA([1]crash_skills!$A:$A),MATCH(AW$1,[1]crash_skills!$1:$1,0)-MATCH($AT$1,[1]crash_skills!$1:$1,0)+1),MATCH(AW$1,[1]crash_skills!$1:$1,0)-MATCH($AT$1,[1]crash_skills!$1:$1,0)+1,FALSE)</f>
        <v>#VALUE!</v>
      </c>
      <c r="AX403" s="81">
        <f ca="1">VLOOKUP($A403,OFFSET([2]characters!$A$1,0,0,COUNTA([2]characters!$A:$A),MATCH(AX$1,[2]characters!$1:$1,0)-MATCH($A$1,[2]characters!$1:$1,0)+1),MATCH(AX$1,[2]characters!$1:$1,0)-MATCH($A$1,[2]characters!$1:$1,0)+1,FALSE)</f>
        <v>3</v>
      </c>
      <c r="AY403" s="139">
        <v>1.02</v>
      </c>
      <c r="AZ403" s="139">
        <v>0.95</v>
      </c>
      <c r="BA403" s="139">
        <v>0</v>
      </c>
      <c r="BB403" s="139">
        <v>1.03</v>
      </c>
      <c r="BC403" s="14">
        <f ca="1">INDEX('RC6SV'!$A$1:$G$20,MATCH(H403,'RC6SV'!$A$1:$A$20,FALSE),MATCH(G403,'RC6SV'!$A$1:$G$1,FALSE))</f>
        <v>9000</v>
      </c>
      <c r="BD403" s="63">
        <f t="shared" ca="1" si="66"/>
        <v>9000</v>
      </c>
      <c r="BE403" s="14">
        <f t="shared" ca="1" si="53"/>
        <v>7000</v>
      </c>
      <c r="BF403" s="14">
        <f t="shared" ca="1" si="54"/>
        <v>1</v>
      </c>
      <c r="BG403" s="20">
        <f ca="1">IF($BE403&lt;=0,ROUND(BK403*0.5,0), ROUND($BE403*S403*AA403*J403*AY403*0.8*[2]ステータス!$B$2,0))</f>
        <v>2856</v>
      </c>
      <c r="BH403" s="20">
        <f ca="1">IF($BE403&lt;=0,ROUND(BL403*0.5,0), ROUND($BE403*T403*AB403*K403*AZ403*0.8*[2]ステータス!$C$2,0))</f>
        <v>2382</v>
      </c>
      <c r="BI403" s="20">
        <f ca="1">IF($BE403&lt;=0,ROUND(BM403*0.5,0), ROUND($BE403*U403*AC403*L403*BA403*0.8*[2]ステータス!$D$2,0))</f>
        <v>0</v>
      </c>
      <c r="BJ403" s="20">
        <f ca="1">IF($BE403&lt;=0,ROUND(BN403*0.5,0), ROUND($BE403*V403*AD403*M403*BB403*0.8*[2]ステータス!$E$2,0))</f>
        <v>852</v>
      </c>
      <c r="BK403" s="14">
        <f ca="1">ROUND(BD403*S403*AA403*J403*AY403*[2]ステータス!$B$2,0)</f>
        <v>4590</v>
      </c>
      <c r="BL403" s="14">
        <f ca="1">ROUND(BD403*T403*AB403*K403*AZ403*[2]ステータス!$C$2,0)</f>
        <v>3828</v>
      </c>
      <c r="BM403" s="14">
        <f ca="1">ROUND(BD403*U403*AC403*L403*BA403*[2]ステータス!$D$2,0)</f>
        <v>0</v>
      </c>
      <c r="BN403" s="14">
        <f ca="1">ROUND(BD403*V403*AD403*M403*BB403*[2]ステータス!$E$2,0)</f>
        <v>1370</v>
      </c>
      <c r="BO403" s="13">
        <v>0</v>
      </c>
      <c r="BP403" s="13">
        <v>1</v>
      </c>
      <c r="BQ403" s="49" t="s">
        <v>102</v>
      </c>
      <c r="BR403" s="13">
        <f ca="1">VLOOKUP(H403,ghosts_label!$A$2:$B$19,2,FALSE)</f>
        <v>700</v>
      </c>
    </row>
    <row r="404" spans="1:70" ht="21" customHeight="1" x14ac:dyDescent="0.15">
      <c r="A404" s="14">
        <f t="shared" ca="1" si="51"/>
        <v>403</v>
      </c>
      <c r="B404" s="77" t="str">
        <f ca="1">VLOOKUP($A404,OFFSET([2]characters!$A$1,0,0,COUNTA([2]characters!$A:$A),MATCH(B$1,[2]characters!$1:$1,0)-MATCH($A$1,[2]characters!$1:$1,0)+1),MATCH(B$1,[2]characters!$1:$1,0)-MATCH($A$1,[2]characters!$1:$1,0)+1,FALSE)</f>
        <v>静撃の翠眼 八咫烏</v>
      </c>
      <c r="C404" s="77" t="str">
        <f ca="1">VLOOKUP($A404,OFFSET([2]characters!$A$1,0,0,COUNTA([2]characters!$A:$A),MATCH(C$1,[2]characters!$1:$1,0)-MATCH($A$1,[2]characters!$1:$1,0)+1),MATCH(C$1,[2]characters!$1:$1,0)-MATCH($A$1,[2]characters!$1:$1,0)+1,FALSE)</f>
        <v>ガチャ:魔獣シリーズ02</v>
      </c>
      <c r="D404" s="77" t="str">
        <f ca="1">VLOOKUP($A404,OFFSET([2]characters!$A$1,0,0,COUNTA([2]characters!$A:$A),MATCH(D$1,[2]characters!$1:$1,0)-MATCH($A$1,[2]characters!$1:$1,0)+1),MATCH(D$1,[2]characters!$1:$1,0)-MATCH($A$1,[2]characters!$1:$1,0)+1,FALSE)</f>
        <v>執行者</v>
      </c>
      <c r="E404" s="77" t="str">
        <f ca="1">VLOOKUP($A404,OFFSET([2]characters!$A$1,0,0,COUNTA([2]characters!$A:$A),MATCH(E$1,[2]characters!$1:$1,0)-MATCH($A$1,[2]characters!$1:$1,0)+1),MATCH(E$1,[2]characters!$1:$1,0)-MATCH($A$1,[2]characters!$1:$1,0)+1,FALSE)</f>
        <v>格好いい</v>
      </c>
      <c r="F404" s="77" t="str">
        <f ca="1">VLOOKUP($A404,OFFSET([2]characters!$A$1,0,0,COUNTA([2]characters!$A:$A),MATCH(F$1,[2]characters!$1:$1,0)-MATCH($A$1,[2]characters!$1:$1,0)+1),MATCH(F$1,[2]characters!$1:$1,0)-MATCH($A$1,[2]characters!$1:$1,0)+1,FALSE)</f>
        <v>女性</v>
      </c>
      <c r="G404" s="77">
        <f ca="1">VLOOKUP($A404,OFFSET([2]characters!$A$1,0,0,COUNTA([2]characters!$A:$A),MATCH(G$1,[2]characters!$1:$1,0)-MATCH($A$1,[2]characters!$1:$1,0)+1),MATCH(G$1,[2]characters!$1:$1,0)-MATCH($A$1,[2]characters!$1:$1,0)+1,FALSE)</f>
        <v>4</v>
      </c>
      <c r="H404" s="77" t="str">
        <f ca="1">VLOOKUP($A404,OFFSET([2]characters!$A$1,0,0,COUNTA([2]characters!$A:$A),MATCH(H$1,[2]characters!$1:$1,0)-MATCH($A$1,[2]characters!$1:$1,0)+1),MATCH(H$1,[2]characters!$1:$1,0)-MATCH($A$1,[2]characters!$1:$1,0)+1,FALSE)</f>
        <v>PremiumSS</v>
      </c>
      <c r="I404" s="77" t="str">
        <f ca="1">VLOOKUP($A404,OFFSET([2]characters!$A$1,0,0,COUNTA([2]characters!$A:$A),MATCH(I$1,[2]characters!$1:$1,0)-MATCH($A$1,[2]characters!$1:$1,0)+1),MATCH(I$1,[2]characters!$1:$1,0)-MATCH($A$1,[2]characters!$1:$1,0)+1,FALSE)</f>
        <v>green</v>
      </c>
      <c r="J404" s="14">
        <f ca="1">VLOOKUP(I404,[2]属性!$A:$E,2,FALSE)</f>
        <v>1.02</v>
      </c>
      <c r="K404" s="14">
        <f ca="1">VLOOKUP(I404,[2]属性!$A:$E,3,FALSE)</f>
        <v>0.98</v>
      </c>
      <c r="L404" s="14">
        <f ca="1">VLOOKUP(I404,[2]属性!$A:$E,4,FALSE)</f>
        <v>1</v>
      </c>
      <c r="M404" s="14">
        <f ca="1">VLOOKUP(I404,[2]属性!$A:$E,5,FALSE)</f>
        <v>1</v>
      </c>
      <c r="N404" s="14">
        <f ca="1">INDEX(コスト!$A$1:$I$20,MATCH(H404,コスト!$A$1:$A$20,FALSE),MATCH(G404,コスト!$A$1:$I$1,FALSE))</f>
        <v>25</v>
      </c>
      <c r="O404" s="14">
        <f ca="1">INDEX(レベル!$A$1:$I$21,MATCH(H404,レベル!$A$1:$A$21,FALSE),MATCH(G404,レベル!$A$1:$I$1,FALSE))</f>
        <v>60</v>
      </c>
      <c r="P404" s="63">
        <f t="shared" ca="1" si="64"/>
        <v>60</v>
      </c>
      <c r="Q404" s="77" t="str">
        <f ca="1">VLOOKUP($A404,OFFSET([2]characters!$A$1,0,0,COUNTA([2]characters!$A:$A),MATCH(Q$1,[2]characters!$1:$1,0)-MATCH($A$1,[2]characters!$1:$1,0)+1),MATCH(Q$1,[2]characters!$1:$1,0)-MATCH($A$1,[2]characters!$1:$1,0)+1,FALSE)</f>
        <v>balance</v>
      </c>
      <c r="R404" s="8" t="str">
        <f ca="1">VLOOKUP(Q404,[2]character_type_i18n!$A:$H,3,FALSE)</f>
        <v>バランスタイプ</v>
      </c>
      <c r="S404" s="14">
        <f ca="1">VLOOKUP(Q404,[2]character_type_i18n!$A:$H,4,FALSE)</f>
        <v>1</v>
      </c>
      <c r="T404" s="14">
        <f ca="1">VLOOKUP(Q404,[2]character_type_i18n!$A:$H,5,FALSE)</f>
        <v>1</v>
      </c>
      <c r="U404" s="14">
        <f ca="1">VLOOKUP(Q404,[2]character_type_i18n!$A:$H,6,FALSE)</f>
        <v>1</v>
      </c>
      <c r="V404" s="14">
        <f ca="1">VLOOKUP(Q404,[2]character_type_i18n!$A:$H,7,FALSE)</f>
        <v>1</v>
      </c>
      <c r="W404" s="77" t="str">
        <f ca="1">VLOOKUP($A404,OFFSET([2]characters!$A$1,0,0,COUNTA([2]characters!$A:$A),MATCH(W$1,[2]characters!$1:$1,0)-MATCH($A$1,[2]characters!$1:$1,0)+1),MATCH(W$1,[2]characters!$1:$1,0)-MATCH($A$1,[2]characters!$1:$1,0)+1,FALSE)</f>
        <v>animal</v>
      </c>
      <c r="X404" s="8" t="str">
        <f ca="1">VLOOKUP(W404,[2]character_tribe_i18n!$A:$H,3,FALSE)</f>
        <v>アニマル</v>
      </c>
      <c r="Y404" s="77" t="str">
        <f ca="1">VLOOKUP($A404,OFFSET([2]characters!$A$1,0,0,COUNTA([2]characters!$A:$A),MATCH(Y$1,[2]characters!$1:$1,0)-MATCH($A$1,[2]characters!$1:$1,0)+1),MATCH(Y$1,[2]characters!$1:$1,0)-MATCH($A$1,[2]characters!$1:$1,0)+1,FALSE)</f>
        <v>none</v>
      </c>
      <c r="Z404" s="8" t="str">
        <f ca="1">VLOOKUP(Y404,[2]character_tribe_i18n!$A:$H,3,FALSE)</f>
        <v>種族なし</v>
      </c>
      <c r="AA404" s="14">
        <f ca="1">VLOOKUP(W404,[2]character_tribe_i18n!$A:$H,4,FALSE)</f>
        <v>1</v>
      </c>
      <c r="AB404" s="14">
        <f ca="1">VLOOKUP(W404,[2]character_tribe_i18n!$A:$H,5,FALSE)</f>
        <v>1.1000000000000001</v>
      </c>
      <c r="AC404" s="14">
        <f ca="1">VLOOKUP(W404,[2]character_tribe_i18n!$A:$H,6,FALSE)</f>
        <v>1</v>
      </c>
      <c r="AD404" s="14">
        <f ca="1">VLOOKUP(W404,[2]character_tribe_i18n!$A:$H,7,FALSE)</f>
        <v>0.9</v>
      </c>
      <c r="AE404" s="12">
        <v>404</v>
      </c>
      <c r="AF404" s="85" t="str">
        <f ca="1">IF(AE404="NULL","",VLOOKUP($AE404,OFFSET([2]characters!$A$1,0,0,COUNTA([2]characters!$A:$A),MATCH(AF$1,[2]characters!$1:$1,0)-MATCH($A$1,[2]characters!$1:$1,0)+1),MATCH(AF$1,[2]characters!$1:$1,0)-MATCH($A$1,[2]characters!$1:$1,0)+1,FALSE))</f>
        <v>空襲の神眼 八咫烏</v>
      </c>
      <c r="AG404" s="8">
        <f t="shared" ca="1" si="52"/>
        <v>403</v>
      </c>
      <c r="AH404" s="85" t="str">
        <f ca="1">VLOOKUP($AG404,OFFSET([2]characters!$A$1,0,0,COUNTA([2]characters!$A:$A),MATCH(AH$1,[2]characters!$1:$1,0)-MATCH($A$1,[2]characters!$1:$1,0)+1),MATCH(AH$1,[2]characters!$1:$1,0)-MATCH($A$1,[2]characters!$1:$1,0)+1,FALSE)</f>
        <v>静撃の翠眼 八咫烏</v>
      </c>
      <c r="AI404" s="14">
        <f ca="1">IF(AE404="NULL","NULL",VLOOKUP(G404,ビット!$A$2:$B$7,2))</f>
        <v>50000</v>
      </c>
      <c r="AJ404" s="9">
        <v>2</v>
      </c>
      <c r="AK404" s="10" t="str">
        <f t="shared" si="65"/>
        <v>普通</v>
      </c>
      <c r="AL404" s="14" t="str">
        <f ca="1">INDEX(経験値!$A$1:$I$20,MATCH(H404,経験値!$A$1:$A$20,FALSE),MATCH(G404,経験値!$A$1:$I$1,FALSE))</f>
        <v>required_exp_200</v>
      </c>
      <c r="AM404" s="11">
        <f ca="1">VLOOKUP(G404,経験値!$A$27:$B$31,2)</f>
        <v>3400</v>
      </c>
      <c r="AN404" s="21">
        <f ca="1">VLOOKUP(G404,ビット!$G$2:$H$7,2)</f>
        <v>600</v>
      </c>
      <c r="AO404" s="57"/>
      <c r="AP404" s="101">
        <v>531001</v>
      </c>
      <c r="AQ404" s="77" t="e">
        <f ca="1">VLOOKUP($AP404,OFFSET([1]unit_skills!$A$1,0,0,COUNTA([1]unit_skills!$A:$A),MATCH("name",[1]unit_skills!$1:$1,0)-MATCH($AP$1,[1]unit_skills!$1:$1,0)+1),MATCH("name",[1]unit_skills!$1:$1,0)-MATCH($AP$1,[1]unit_skills!$1:$1,0)+1,FALSE)</f>
        <v>#VALUE!</v>
      </c>
      <c r="AR404" s="77" t="e">
        <f ca="1">VLOOKUP($AP404,OFFSET([1]unit_skills!$A$1,0,0,COUNTA([1]unit_skills!$A:$A),MATCH("comment",[1]unit_skills!$1:$1,0)-MATCH($AP$1,[1]unit_skills!$1:$1,0)+1),MATCH("comment",[1]unit_skills!$1:$1,0)-MATCH($AP$1,[1]unit_skills!$1:$1,0)+1,FALSE)</f>
        <v>#VALUE!</v>
      </c>
      <c r="AS404" s="77" t="e">
        <f ca="1">VLOOKUP($AP404,OFFSET([1]unit_skills!$A$1,0,0,COUNTA([1]unit_skills!$A:$A),MATCH(AS$1,[1]unit_skills!$1:$1,0)-MATCH($AP$1,[1]unit_skills!$1:$1,0)+1),MATCH(AS$1,[1]unit_skills!$1:$1,0)-MATCH($AP$1,[1]unit_skills!$1:$1,0)+1,FALSE)</f>
        <v>#VALUE!</v>
      </c>
      <c r="AT404" s="53">
        <v>112014</v>
      </c>
      <c r="AU404" s="77" t="e">
        <f ca="1">VLOOKUP($AT404,OFFSET([1]crash_skills!$A$1,0,0,COUNTA([1]crash_skills!$A:$A),MATCH("name",[1]crash_skills!$1:$1,0)-MATCH($AT$1,[1]crash_skills!$1:$1,0)+1),MATCH("name",[1]crash_skills!$1:$1,0)-MATCH($AT$1,[1]crash_skills!$1:$1,0)+1,FALSE)</f>
        <v>#VALUE!</v>
      </c>
      <c r="AV404" s="77" t="e">
        <f ca="1">VLOOKUP($AT404,OFFSET([1]crash_skills!$A$1,0,0,COUNTA([1]crash_skills!$A:$A),MATCH("comment",[1]crash_skills!$1:$1,0)-MATCH($AT$1,[1]crash_skills!$1:$1,0)+1),MATCH("comment",[1]crash_skills!$1:$1,0)-MATCH($AT$1,[1]crash_skills!$1:$1,0)+1,FALSE)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04" s="77" t="e">
        <f ca="1">VLOOKUP($AT404,OFFSET([1]crash_skills!$A$1,0,0,COUNTA([1]crash_skills!$A:$A),MATCH(AW$1,[1]crash_skills!$1:$1,0)-MATCH($AT$1,[1]crash_skills!$1:$1,0)+1),MATCH(AW$1,[1]crash_skills!$1:$1,0)-MATCH($AT$1,[1]crash_skills!$1:$1,0)+1,FALSE)</f>
        <v>#VALUE!</v>
      </c>
      <c r="AX404" s="81">
        <f ca="1">VLOOKUP($A404,OFFSET([2]characters!$A$1,0,0,COUNTA([2]characters!$A:$A),MATCH(AX$1,[2]characters!$1:$1,0)-MATCH($A$1,[2]characters!$1:$1,0)+1),MATCH(AX$1,[2]characters!$1:$1,0)-MATCH($A$1,[2]characters!$1:$1,0)+1,FALSE)</f>
        <v>3</v>
      </c>
      <c r="AY404" s="139">
        <v>1</v>
      </c>
      <c r="AZ404" s="139">
        <v>1</v>
      </c>
      <c r="BA404" s="139">
        <v>0</v>
      </c>
      <c r="BB404" s="139">
        <v>1</v>
      </c>
      <c r="BC404" s="14">
        <f ca="1">INDEX('RC6SV'!$A$1:$G$20,MATCH(H404,'RC6SV'!$A$1:$A$20,FALSE),MATCH(G404,'RC6SV'!$A$1:$G$1,FALSE))</f>
        <v>7500</v>
      </c>
      <c r="BD404" s="63">
        <f t="shared" ca="1" si="66"/>
        <v>7500</v>
      </c>
      <c r="BE404" s="14">
        <f t="shared" ca="1" si="53"/>
        <v>0</v>
      </c>
      <c r="BF404" s="14">
        <f t="shared" ca="1" si="54"/>
        <v>1</v>
      </c>
      <c r="BG404" s="20">
        <f ca="1">IF($BE404&lt;=0,ROUND(BK404*0.5,0), ROUND($BE404*S404*AA404*J404*AY404*0.8*[2]ステータス!$B$2,0))</f>
        <v>1913</v>
      </c>
      <c r="BH404" s="20">
        <f ca="1">IF($BE404&lt;=0,ROUND(BL404*0.5,0), ROUND($BE404*T404*AB404*K404*AZ404*0.8*[2]ステータス!$C$2,0))</f>
        <v>1213</v>
      </c>
      <c r="BI404" s="20">
        <f ca="1">IF($BE404&lt;=0,ROUND(BM404*0.5,0), ROUND($BE404*U404*AC404*L404*BA404*0.8*[2]ステータス!$D$2,0))</f>
        <v>0</v>
      </c>
      <c r="BJ404" s="20">
        <f ca="1">IF($BE404&lt;=0,ROUND(BN404*0.5,0), ROUND($BE404*V404*AD404*M404*BB404*0.8*[2]ステータス!$E$2,0))</f>
        <v>844</v>
      </c>
      <c r="BK404" s="14">
        <f ca="1">ROUND(BD404*S404*AA404*J404*AY404*[2]ステータス!$B$2,0)</f>
        <v>3825</v>
      </c>
      <c r="BL404" s="14">
        <f ca="1">ROUND(BD404*T404*AB404*K404*AZ404*[2]ステータス!$C$2,0)</f>
        <v>2426</v>
      </c>
      <c r="BM404" s="14">
        <f ca="1">ROUND(BD404*U404*AC404*L404*BA404*[2]ステータス!$D$2,0)</f>
        <v>0</v>
      </c>
      <c r="BN404" s="14">
        <f ca="1">ROUND(BD404*V404*AD404*M404*BB404*[2]ステータス!$E$2,0)</f>
        <v>1688</v>
      </c>
      <c r="BO404" s="13">
        <v>0</v>
      </c>
      <c r="BP404" s="13">
        <v>1</v>
      </c>
      <c r="BQ404" s="49" t="s">
        <v>102</v>
      </c>
      <c r="BR404" s="13">
        <f ca="1">VLOOKUP(H404,ghosts_label!$A$2:$B$19,2,FALSE)</f>
        <v>5500</v>
      </c>
    </row>
    <row r="405" spans="1:70" ht="21" customHeight="1" x14ac:dyDescent="0.15">
      <c r="A405" s="14">
        <f t="shared" ca="1" si="51"/>
        <v>404</v>
      </c>
      <c r="B405" s="77" t="str">
        <f ca="1">VLOOKUP($A405,OFFSET([2]characters!$A$1,0,0,COUNTA([2]characters!$A:$A),MATCH(B$1,[2]characters!$1:$1,0)-MATCH($A$1,[2]characters!$1:$1,0)+1),MATCH(B$1,[2]characters!$1:$1,0)-MATCH($A$1,[2]characters!$1:$1,0)+1,FALSE)</f>
        <v>空襲の神眼 八咫烏</v>
      </c>
      <c r="C405" s="77" t="str">
        <f ca="1">VLOOKUP($A405,OFFSET([2]characters!$A$1,0,0,COUNTA([2]characters!$A:$A),MATCH(C$1,[2]characters!$1:$1,0)-MATCH($A$1,[2]characters!$1:$1,0)+1),MATCH(C$1,[2]characters!$1:$1,0)-MATCH($A$1,[2]characters!$1:$1,0)+1,FALSE)</f>
        <v>ガチャ:魔獣シリーズ02</v>
      </c>
      <c r="D405" s="77" t="str">
        <f ca="1">VLOOKUP($A405,OFFSET([2]characters!$A$1,0,0,COUNTA([2]characters!$A:$A),MATCH(D$1,[2]characters!$1:$1,0)-MATCH($A$1,[2]characters!$1:$1,0)+1),MATCH(D$1,[2]characters!$1:$1,0)-MATCH($A$1,[2]characters!$1:$1,0)+1,FALSE)</f>
        <v>執行者</v>
      </c>
      <c r="E405" s="77" t="str">
        <f ca="1">VLOOKUP($A405,OFFSET([2]characters!$A$1,0,0,COUNTA([2]characters!$A:$A),MATCH(E$1,[2]characters!$1:$1,0)-MATCH($A$1,[2]characters!$1:$1,0)+1),MATCH(E$1,[2]characters!$1:$1,0)-MATCH($A$1,[2]characters!$1:$1,0)+1,FALSE)</f>
        <v>格好いい</v>
      </c>
      <c r="F405" s="77" t="str">
        <f ca="1">VLOOKUP($A405,OFFSET([2]characters!$A$1,0,0,COUNTA([2]characters!$A:$A),MATCH(F$1,[2]characters!$1:$1,0)-MATCH($A$1,[2]characters!$1:$1,0)+1),MATCH(F$1,[2]characters!$1:$1,0)-MATCH($A$1,[2]characters!$1:$1,0)+1,FALSE)</f>
        <v>女性</v>
      </c>
      <c r="G405" s="77">
        <f ca="1">VLOOKUP($A405,OFFSET([2]characters!$A$1,0,0,COUNTA([2]characters!$A:$A),MATCH(G$1,[2]characters!$1:$1,0)-MATCH($A$1,[2]characters!$1:$1,0)+1),MATCH(G$1,[2]characters!$1:$1,0)-MATCH($A$1,[2]characters!$1:$1,0)+1,FALSE)</f>
        <v>5</v>
      </c>
      <c r="H405" s="77" t="str">
        <f ca="1">VLOOKUP($A405,OFFSET([2]characters!$A$1,0,0,COUNTA([2]characters!$A:$A),MATCH(H$1,[2]characters!$1:$1,0)-MATCH($A$1,[2]characters!$1:$1,0)+1),MATCH(H$1,[2]characters!$1:$1,0)-MATCH($A$1,[2]characters!$1:$1,0)+1,FALSE)</f>
        <v>PremiumSS</v>
      </c>
      <c r="I405" s="77" t="str">
        <f ca="1">VLOOKUP($A405,OFFSET([2]characters!$A$1,0,0,COUNTA([2]characters!$A:$A),MATCH(I$1,[2]characters!$1:$1,0)-MATCH($A$1,[2]characters!$1:$1,0)+1),MATCH(I$1,[2]characters!$1:$1,0)-MATCH($A$1,[2]characters!$1:$1,0)+1,FALSE)</f>
        <v>green</v>
      </c>
      <c r="J405" s="14">
        <f ca="1">VLOOKUP(I405,[2]属性!$A:$E,2,FALSE)</f>
        <v>1.02</v>
      </c>
      <c r="K405" s="14">
        <f ca="1">VLOOKUP(I405,[2]属性!$A:$E,3,FALSE)</f>
        <v>0.98</v>
      </c>
      <c r="L405" s="14">
        <f ca="1">VLOOKUP(I405,[2]属性!$A:$E,4,FALSE)</f>
        <v>1</v>
      </c>
      <c r="M405" s="14">
        <f ca="1">VLOOKUP(I405,[2]属性!$A:$E,5,FALSE)</f>
        <v>1</v>
      </c>
      <c r="N405" s="14">
        <f ca="1">INDEX(コスト!$A$1:$I$20,MATCH(H405,コスト!$A$1:$A$20,FALSE),MATCH(G405,コスト!$A$1:$I$1,FALSE))</f>
        <v>35</v>
      </c>
      <c r="O405" s="14">
        <f ca="1">INDEX(レベル!$A$1:$I$21,MATCH(H405,レベル!$A$1:$A$21,FALSE),MATCH(G405,レベル!$A$1:$I$1,FALSE))</f>
        <v>80</v>
      </c>
      <c r="P405" s="63">
        <f t="shared" ca="1" si="64"/>
        <v>75</v>
      </c>
      <c r="Q405" s="77" t="str">
        <f ca="1">VLOOKUP($A405,OFFSET([2]characters!$A$1,0,0,COUNTA([2]characters!$A:$A),MATCH(Q$1,[2]characters!$1:$1,0)-MATCH($A$1,[2]characters!$1:$1,0)+1),MATCH(Q$1,[2]characters!$1:$1,0)-MATCH($A$1,[2]characters!$1:$1,0)+1,FALSE)</f>
        <v>balance</v>
      </c>
      <c r="R405" s="8" t="str">
        <f ca="1">VLOOKUP(Q405,[2]character_type_i18n!$A:$H,3,FALSE)</f>
        <v>バランスタイプ</v>
      </c>
      <c r="S405" s="14">
        <f ca="1">VLOOKUP(Q405,[2]character_type_i18n!$A:$H,4,FALSE)</f>
        <v>1</v>
      </c>
      <c r="T405" s="14">
        <f ca="1">VLOOKUP(Q405,[2]character_type_i18n!$A:$H,5,FALSE)</f>
        <v>1</v>
      </c>
      <c r="U405" s="14">
        <f ca="1">VLOOKUP(Q405,[2]character_type_i18n!$A:$H,6,FALSE)</f>
        <v>1</v>
      </c>
      <c r="V405" s="14">
        <f ca="1">VLOOKUP(Q405,[2]character_type_i18n!$A:$H,7,FALSE)</f>
        <v>1</v>
      </c>
      <c r="W405" s="77" t="str">
        <f ca="1">VLOOKUP($A405,OFFSET([2]characters!$A$1,0,0,COUNTA([2]characters!$A:$A),MATCH(W$1,[2]characters!$1:$1,0)-MATCH($A$1,[2]characters!$1:$1,0)+1),MATCH(W$1,[2]characters!$1:$1,0)-MATCH($A$1,[2]characters!$1:$1,0)+1,FALSE)</f>
        <v>animal</v>
      </c>
      <c r="X405" s="8" t="str">
        <f ca="1">VLOOKUP(W405,[2]character_tribe_i18n!$A:$H,3,FALSE)</f>
        <v>アニマル</v>
      </c>
      <c r="Y405" s="77" t="str">
        <f ca="1">VLOOKUP($A405,OFFSET([2]characters!$A$1,0,0,COUNTA([2]characters!$A:$A),MATCH(Y$1,[2]characters!$1:$1,0)-MATCH($A$1,[2]characters!$1:$1,0)+1),MATCH(Y$1,[2]characters!$1:$1,0)-MATCH($A$1,[2]characters!$1:$1,0)+1,FALSE)</f>
        <v>none</v>
      </c>
      <c r="Z405" s="8" t="str">
        <f ca="1">VLOOKUP(Y405,[2]character_tribe_i18n!$A:$H,3,FALSE)</f>
        <v>種族なし</v>
      </c>
      <c r="AA405" s="14">
        <f ca="1">VLOOKUP(W405,[2]character_tribe_i18n!$A:$H,4,FALSE)</f>
        <v>1</v>
      </c>
      <c r="AB405" s="14">
        <f ca="1">VLOOKUP(W405,[2]character_tribe_i18n!$A:$H,5,FALSE)</f>
        <v>1.1000000000000001</v>
      </c>
      <c r="AC405" s="14">
        <f ca="1">VLOOKUP(W405,[2]character_tribe_i18n!$A:$H,6,FALSE)</f>
        <v>1</v>
      </c>
      <c r="AD405" s="14">
        <f ca="1">VLOOKUP(W405,[2]character_tribe_i18n!$A:$H,7,FALSE)</f>
        <v>0.9</v>
      </c>
      <c r="AE405" s="12">
        <v>815</v>
      </c>
      <c r="AF405" s="85" t="str">
        <f ca="1">IF(AE405="NULL","",VLOOKUP($AE405,OFFSET([2]characters!$A$1,0,0,COUNTA([2]characters!$A:$A),MATCH(AF$1,[2]characters!$1:$1,0)-MATCH($A$1,[2]characters!$1:$1,0)+1),MATCH(AF$1,[2]characters!$1:$1,0)-MATCH($A$1,[2]characters!$1:$1,0)+1,FALSE))</f>
        <v>解砲の鴉眼 八咫烏</v>
      </c>
      <c r="AG405" s="8">
        <f t="shared" ca="1" si="52"/>
        <v>403</v>
      </c>
      <c r="AH405" s="85" t="str">
        <f ca="1">VLOOKUP($AG405,OFFSET([2]characters!$A$1,0,0,COUNTA([2]characters!$A:$A),MATCH(AH$1,[2]characters!$1:$1,0)-MATCH($A$1,[2]characters!$1:$1,0)+1),MATCH(AH$1,[2]characters!$1:$1,0)-MATCH($A$1,[2]characters!$1:$1,0)+1,FALSE)</f>
        <v>静撃の翠眼 八咫烏</v>
      </c>
      <c r="AI405" s="14">
        <f ca="1">IF(AE405="NULL","NULL",VLOOKUP(G405,ビット!$A$2:$B$7,2))</f>
        <v>200000</v>
      </c>
      <c r="AJ405" s="9">
        <v>2</v>
      </c>
      <c r="AK405" s="10" t="str">
        <f t="shared" si="65"/>
        <v>普通</v>
      </c>
      <c r="AL405" s="14" t="str">
        <f ca="1">INDEX(経験値!$A$1:$I$20,MATCH(H405,経験値!$A$1:$A$20,FALSE),MATCH(G405,経験値!$A$1:$I$1,FALSE))</f>
        <v>required_exp_200</v>
      </c>
      <c r="AM405" s="11">
        <f ca="1">VLOOKUP(G405,経験値!$A$27:$B$31,2)</f>
        <v>6400</v>
      </c>
      <c r="AN405" s="21">
        <f ca="1">VLOOKUP(G405,ビット!$G$2:$H$7,2)</f>
        <v>900</v>
      </c>
      <c r="AO405" s="57"/>
      <c r="AP405" s="101">
        <v>531001</v>
      </c>
      <c r="AQ405" s="77" t="e">
        <f ca="1">VLOOKUP($AP405,OFFSET([1]unit_skills!$A$1,0,0,COUNTA([1]unit_skills!$A:$A),MATCH("name",[1]unit_skills!$1:$1,0)-MATCH($AP$1,[1]unit_skills!$1:$1,0)+1),MATCH("name",[1]unit_skills!$1:$1,0)-MATCH($AP$1,[1]unit_skills!$1:$1,0)+1,FALSE)</f>
        <v>#VALUE!</v>
      </c>
      <c r="AR405" s="77" t="e">
        <f ca="1">VLOOKUP($AP405,OFFSET([1]unit_skills!$A$1,0,0,COUNTA([1]unit_skills!$A:$A),MATCH("comment",[1]unit_skills!$1:$1,0)-MATCH($AP$1,[1]unit_skills!$1:$1,0)+1),MATCH("comment",[1]unit_skills!$1:$1,0)-MATCH($AP$1,[1]unit_skills!$1:$1,0)+1,FALSE)</f>
        <v>#VALUE!</v>
      </c>
      <c r="AS405" s="77" t="e">
        <f ca="1">VLOOKUP($AP405,OFFSET([1]unit_skills!$A$1,0,0,COUNTA([1]unit_skills!$A:$A),MATCH(AS$1,[1]unit_skills!$1:$1,0)-MATCH($AP$1,[1]unit_skills!$1:$1,0)+1),MATCH(AS$1,[1]unit_skills!$1:$1,0)-MATCH($AP$1,[1]unit_skills!$1:$1,0)+1,FALSE)</f>
        <v>#VALUE!</v>
      </c>
      <c r="AT405" s="53">
        <v>112014</v>
      </c>
      <c r="AU405" s="77" t="e">
        <f ca="1">VLOOKUP($AT405,OFFSET([1]crash_skills!$A$1,0,0,COUNTA([1]crash_skills!$A:$A),MATCH("name",[1]crash_skills!$1:$1,0)-MATCH($AT$1,[1]crash_skills!$1:$1,0)+1),MATCH("name",[1]crash_skills!$1:$1,0)-MATCH($AT$1,[1]crash_skills!$1:$1,0)+1,FALSE)</f>
        <v>#VALUE!</v>
      </c>
      <c r="AV405" s="77" t="e">
        <f ca="1">VLOOKUP($AT405,OFFSET([1]crash_skills!$A$1,0,0,COUNTA([1]crash_skills!$A:$A),MATCH("comment",[1]crash_skills!$1:$1,0)-MATCH($AT$1,[1]crash_skills!$1:$1,0)+1),MATCH("comment",[1]crash_skills!$1:$1,0)-MATCH($AT$1,[1]crash_skills!$1:$1,0)+1,FALSE)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05" s="77" t="e">
        <f ca="1">VLOOKUP($AT405,OFFSET([1]crash_skills!$A$1,0,0,COUNTA([1]crash_skills!$A:$A),MATCH(AW$1,[1]crash_skills!$1:$1,0)-MATCH($AT$1,[1]crash_skills!$1:$1,0)+1),MATCH(AW$1,[1]crash_skills!$1:$1,0)-MATCH($AT$1,[1]crash_skills!$1:$1,0)+1,FALSE)</f>
        <v>#VALUE!</v>
      </c>
      <c r="AX405" s="81">
        <f ca="1">VLOOKUP($A405,OFFSET([2]characters!$A$1,0,0,COUNTA([2]characters!$A:$A),MATCH(AX$1,[2]characters!$1:$1,0)-MATCH($A$1,[2]characters!$1:$1,0)+1),MATCH(AX$1,[2]characters!$1:$1,0)-MATCH($A$1,[2]characters!$1:$1,0)+1,FALSE)</f>
        <v>3</v>
      </c>
      <c r="AY405" s="139">
        <v>1.08</v>
      </c>
      <c r="AZ405" s="139">
        <v>1.18</v>
      </c>
      <c r="BA405" s="139">
        <v>0</v>
      </c>
      <c r="BB405" s="139">
        <v>1.08</v>
      </c>
      <c r="BC405" s="14">
        <f ca="1">INDEX('RC6SV'!$A$1:$G$20,MATCH(H405,'RC6SV'!$A$1:$A$20,FALSE),MATCH(G405,'RC6SV'!$A$1:$G$1,FALSE))</f>
        <v>9500</v>
      </c>
      <c r="BD405" s="63">
        <f t="shared" ca="1" si="66"/>
        <v>9500</v>
      </c>
      <c r="BE405" s="14">
        <f t="shared" ca="1" si="53"/>
        <v>7500</v>
      </c>
      <c r="BF405" s="14">
        <f t="shared" ca="1" si="54"/>
        <v>1</v>
      </c>
      <c r="BG405" s="20">
        <f ca="1">IF($BE405&lt;=0,ROUND(BK405*0.5,0), ROUND($BE405*S405*AA405*J405*AY405*0.8*[2]ステータス!$B$2,0))</f>
        <v>3305</v>
      </c>
      <c r="BH405" s="20">
        <f ca="1">IF($BE405&lt;=0,ROUND(BL405*0.5,0), ROUND($BE405*T405*AB405*K405*AZ405*0.8*[2]ステータス!$C$2,0))</f>
        <v>2290</v>
      </c>
      <c r="BI405" s="20">
        <f ca="1">IF($BE405&lt;=0,ROUND(BM405*0.5,0), ROUND($BE405*U405*AC405*L405*BA405*0.8*[2]ステータス!$D$2,0))</f>
        <v>0</v>
      </c>
      <c r="BJ405" s="20">
        <f ca="1">IF($BE405&lt;=0,ROUND(BN405*0.5,0), ROUND($BE405*V405*AD405*M405*BB405*0.8*[2]ステータス!$E$2,0))</f>
        <v>1458</v>
      </c>
      <c r="BK405" s="14">
        <f ca="1">ROUND(BD405*S405*AA405*J405*AY405*[2]ステータス!$B$2,0)</f>
        <v>5233</v>
      </c>
      <c r="BL405" s="14">
        <f ca="1">ROUND(BD405*T405*AB405*K405*AZ405*[2]ステータス!$C$2,0)</f>
        <v>3625</v>
      </c>
      <c r="BM405" s="14">
        <f ca="1">ROUND(BD405*U405*AC405*L405*BA405*[2]ステータス!$D$2,0)</f>
        <v>0</v>
      </c>
      <c r="BN405" s="14">
        <f ca="1">ROUND(BD405*V405*AD405*M405*BB405*[2]ステータス!$E$2,0)</f>
        <v>2309</v>
      </c>
      <c r="BO405" s="13">
        <v>0</v>
      </c>
      <c r="BP405" s="13">
        <v>1</v>
      </c>
      <c r="BQ405" s="49" t="s">
        <v>102</v>
      </c>
      <c r="BR405" s="13">
        <f ca="1">VLOOKUP(H405,ghosts_label!$A$2:$B$19,2,FALSE)</f>
        <v>5500</v>
      </c>
    </row>
    <row r="406" spans="1:70" ht="21" customHeight="1" x14ac:dyDescent="0.15">
      <c r="A406" s="14">
        <f t="shared" ca="1" si="51"/>
        <v>405</v>
      </c>
      <c r="B406" s="77" t="str">
        <f ca="1">VLOOKUP($A406,OFFSET([2]characters!$A$1,0,0,COUNTA([2]characters!$A:$A),MATCH(B$1,[2]characters!$1:$1,0)-MATCH($A$1,[2]characters!$1:$1,0)+1),MATCH(B$1,[2]characters!$1:$1,0)-MATCH($A$1,[2]characters!$1:$1,0)+1,FALSE)</f>
        <v>エキドナ</v>
      </c>
      <c r="C406" s="77" t="str">
        <f ca="1">VLOOKUP($A406,OFFSET([2]characters!$A$1,0,0,COUNTA([2]characters!$A:$A),MATCH(C$1,[2]characters!$1:$1,0)-MATCH($A$1,[2]characters!$1:$1,0)+1),MATCH(C$1,[2]characters!$1:$1,0)-MATCH($A$1,[2]characters!$1:$1,0)+1,FALSE)</f>
        <v>ガチャ:魔獣シリーズ02</v>
      </c>
      <c r="D406" s="77" t="str">
        <f ca="1">VLOOKUP($A406,OFFSET([2]characters!$A$1,0,0,COUNTA([2]characters!$A:$A),MATCH(D$1,[2]characters!$1:$1,0)-MATCH($A$1,[2]characters!$1:$1,0)+1),MATCH(D$1,[2]characters!$1:$1,0)-MATCH($A$1,[2]characters!$1:$1,0)+1,FALSE)</f>
        <v>執行者</v>
      </c>
      <c r="E406" s="77" t="str">
        <f ca="1">VLOOKUP($A406,OFFSET([2]characters!$A$1,0,0,COUNTA([2]characters!$A:$A),MATCH(E$1,[2]characters!$1:$1,0)-MATCH($A$1,[2]characters!$1:$1,0)+1),MATCH(E$1,[2]characters!$1:$1,0)-MATCH($A$1,[2]characters!$1:$1,0)+1,FALSE)</f>
        <v>格好いい</v>
      </c>
      <c r="F406" s="77" t="str">
        <f ca="1">VLOOKUP($A406,OFFSET([2]characters!$A$1,0,0,COUNTA([2]characters!$A:$A),MATCH(F$1,[2]characters!$1:$1,0)-MATCH($A$1,[2]characters!$1:$1,0)+1),MATCH(F$1,[2]characters!$1:$1,0)-MATCH($A$1,[2]characters!$1:$1,0)+1,FALSE)</f>
        <v>女性</v>
      </c>
      <c r="G406" s="77">
        <f ca="1">VLOOKUP($A406,OFFSET([2]characters!$A$1,0,0,COUNTA([2]characters!$A:$A),MATCH(G$1,[2]characters!$1:$1,0)-MATCH($A$1,[2]characters!$1:$1,0)+1),MATCH(G$1,[2]characters!$1:$1,0)-MATCH($A$1,[2]characters!$1:$1,0)+1,FALSE)</f>
        <v>3</v>
      </c>
      <c r="H406" s="77" t="str">
        <f ca="1">VLOOKUP($A406,OFFSET([2]characters!$A$1,0,0,COUNTA([2]characters!$A:$A),MATCH(H$1,[2]characters!$1:$1,0)-MATCH($A$1,[2]characters!$1:$1,0)+1),MATCH(H$1,[2]characters!$1:$1,0)-MATCH($A$1,[2]characters!$1:$1,0)+1,FALSE)</f>
        <v>PremiumS</v>
      </c>
      <c r="I406" s="77" t="str">
        <f ca="1">VLOOKUP($A406,OFFSET([2]characters!$A$1,0,0,COUNTA([2]characters!$A:$A),MATCH(I$1,[2]characters!$1:$1,0)-MATCH($A$1,[2]characters!$1:$1,0)+1),MATCH(I$1,[2]characters!$1:$1,0)-MATCH($A$1,[2]characters!$1:$1,0)+1,FALSE)</f>
        <v>blue</v>
      </c>
      <c r="J406" s="14">
        <f ca="1">VLOOKUP(I406,[2]属性!$A:$E,2,FALSE)</f>
        <v>1</v>
      </c>
      <c r="K406" s="14">
        <f ca="1">VLOOKUP(I406,[2]属性!$A:$E,3,FALSE)</f>
        <v>0.98</v>
      </c>
      <c r="L406" s="14">
        <f ca="1">VLOOKUP(I406,[2]属性!$A:$E,4,FALSE)</f>
        <v>1</v>
      </c>
      <c r="M406" s="14">
        <f ca="1">VLOOKUP(I406,[2]属性!$A:$E,5,FALSE)</f>
        <v>1.02</v>
      </c>
      <c r="N406" s="14">
        <f ca="1">INDEX(コスト!$A$1:$I$20,MATCH(H406,コスト!$A$1:$A$20,FALSE),MATCH(G406,コスト!$A$1:$I$1,FALSE))</f>
        <v>10</v>
      </c>
      <c r="O406" s="14">
        <f ca="1">INDEX(レベル!$A$1:$I$21,MATCH(H406,レベル!$A$1:$A$21,FALSE),MATCH(G406,レベル!$A$1:$I$1,FALSE))</f>
        <v>40</v>
      </c>
      <c r="P406" s="63">
        <f t="shared" ca="1" si="64"/>
        <v>45</v>
      </c>
      <c r="Q406" s="77" t="str">
        <f ca="1">VLOOKUP($A406,OFFSET([2]characters!$A$1,0,0,COUNTA([2]characters!$A:$A),MATCH(Q$1,[2]characters!$1:$1,0)-MATCH($A$1,[2]characters!$1:$1,0)+1),MATCH(Q$1,[2]characters!$1:$1,0)-MATCH($A$1,[2]characters!$1:$1,0)+1,FALSE)</f>
        <v>technical</v>
      </c>
      <c r="R406" s="8" t="str">
        <f ca="1">VLOOKUP(Q406,[2]character_type_i18n!$A:$H,3,FALSE)</f>
        <v>テクニカルタイプ</v>
      </c>
      <c r="S406" s="14">
        <f ca="1">VLOOKUP(Q406,[2]character_type_i18n!$A:$H,4,FALSE)</f>
        <v>0.9</v>
      </c>
      <c r="T406" s="14">
        <f ca="1">VLOOKUP(Q406,[2]character_type_i18n!$A:$H,5,FALSE)</f>
        <v>0.9</v>
      </c>
      <c r="U406" s="14">
        <f ca="1">VLOOKUP(Q406,[2]character_type_i18n!$A:$H,6,FALSE)</f>
        <v>1</v>
      </c>
      <c r="V406" s="14">
        <f ca="1">VLOOKUP(Q406,[2]character_type_i18n!$A:$H,7,FALSE)</f>
        <v>0.9</v>
      </c>
      <c r="W406" s="77" t="str">
        <f ca="1">VLOOKUP($A406,OFFSET([2]characters!$A$1,0,0,COUNTA([2]characters!$A:$A),MATCH(W$1,[2]characters!$1:$1,0)-MATCH($A$1,[2]characters!$1:$1,0)+1),MATCH(W$1,[2]characters!$1:$1,0)-MATCH($A$1,[2]characters!$1:$1,0)+1,FALSE)</f>
        <v>animal</v>
      </c>
      <c r="X406" s="8" t="str">
        <f ca="1">VLOOKUP(W406,[2]character_tribe_i18n!$A:$H,3,FALSE)</f>
        <v>アニマル</v>
      </c>
      <c r="Y406" s="77" t="str">
        <f ca="1">VLOOKUP($A406,OFFSET([2]characters!$A$1,0,0,COUNTA([2]characters!$A:$A),MATCH(Y$1,[2]characters!$1:$1,0)-MATCH($A$1,[2]characters!$1:$1,0)+1),MATCH(Y$1,[2]characters!$1:$1,0)-MATCH($A$1,[2]characters!$1:$1,0)+1,FALSE)</f>
        <v>none</v>
      </c>
      <c r="Z406" s="8" t="str">
        <f ca="1">VLOOKUP(Y406,[2]character_tribe_i18n!$A:$H,3,FALSE)</f>
        <v>種族なし</v>
      </c>
      <c r="AA406" s="14">
        <f ca="1">VLOOKUP(W406,[2]character_tribe_i18n!$A:$H,4,FALSE)</f>
        <v>1</v>
      </c>
      <c r="AB406" s="14">
        <f ca="1">VLOOKUP(W406,[2]character_tribe_i18n!$A:$H,5,FALSE)</f>
        <v>1.1000000000000001</v>
      </c>
      <c r="AC406" s="14">
        <f ca="1">VLOOKUP(W406,[2]character_tribe_i18n!$A:$H,6,FALSE)</f>
        <v>1</v>
      </c>
      <c r="AD406" s="14">
        <f ca="1">VLOOKUP(W406,[2]character_tribe_i18n!$A:$H,7,FALSE)</f>
        <v>0.9</v>
      </c>
      <c r="AE406" s="12">
        <v>406</v>
      </c>
      <c r="AF406" s="85" t="str">
        <f ca="1">IF(AE406="NULL","",VLOOKUP($AE406,OFFSET([2]characters!$A$1,0,0,COUNTA([2]characters!$A:$A),MATCH(AF$1,[2]characters!$1:$1,0)-MATCH($A$1,[2]characters!$1:$1,0)+1),MATCH(AF$1,[2]characters!$1:$1,0)-MATCH($A$1,[2]characters!$1:$1,0)+1,FALSE))</f>
        <v>美笑の蒼蛇 エキドナ</v>
      </c>
      <c r="AG406" s="8">
        <f t="shared" ca="1" si="52"/>
        <v>405</v>
      </c>
      <c r="AH406" s="85" t="str">
        <f ca="1">VLOOKUP($AG406,OFFSET([2]characters!$A$1,0,0,COUNTA([2]characters!$A:$A),MATCH(AH$1,[2]characters!$1:$1,0)-MATCH($A$1,[2]characters!$1:$1,0)+1),MATCH(AH$1,[2]characters!$1:$1,0)-MATCH($A$1,[2]characters!$1:$1,0)+1,FALSE)</f>
        <v>エキドナ</v>
      </c>
      <c r="AI406" s="14">
        <f ca="1">IF(AE406="NULL","NULL",VLOOKUP(G406,ビット!$A$2:$B$7,2))</f>
        <v>20000</v>
      </c>
      <c r="AJ406" s="9">
        <v>2</v>
      </c>
      <c r="AK406" s="10" t="str">
        <f t="shared" si="65"/>
        <v>普通</v>
      </c>
      <c r="AL406" s="14" t="str">
        <f ca="1">INDEX(経験値!$A$1:$I$20,MATCH(H406,経験値!$A$1:$A$20,FALSE),MATCH(G406,経験値!$A$1:$I$1,FALSE))</f>
        <v>required_exp_200</v>
      </c>
      <c r="AM406" s="11">
        <f ca="1">VLOOKUP(G406,経験値!$A$27:$B$31,2)</f>
        <v>1500</v>
      </c>
      <c r="AN406" s="21">
        <f ca="1">VLOOKUP(G406,ビット!$G$2:$H$7,2)</f>
        <v>300</v>
      </c>
      <c r="AO406" s="57"/>
      <c r="AP406" s="101">
        <v>822005</v>
      </c>
      <c r="AQ406" s="77" t="e">
        <f ca="1">VLOOKUP($AP406,OFFSET([1]unit_skills!$A$1,0,0,COUNTA([1]unit_skills!$A:$A),MATCH("name",[1]unit_skills!$1:$1,0)-MATCH($AP$1,[1]unit_skills!$1:$1,0)+1),MATCH("name",[1]unit_skills!$1:$1,0)-MATCH($AP$1,[1]unit_skills!$1:$1,0)+1,FALSE)</f>
        <v>#VALUE!</v>
      </c>
      <c r="AR406" s="77" t="e">
        <f ca="1">VLOOKUP($AP406,OFFSET([1]unit_skills!$A$1,0,0,COUNTA([1]unit_skills!$A:$A),MATCH("comment",[1]unit_skills!$1:$1,0)-MATCH($AP$1,[1]unit_skills!$1:$1,0)+1),MATCH("comment",[1]unit_skills!$1:$1,0)-MATCH($AP$1,[1]unit_skills!$1:$1,0)+1,FALSE)</f>
        <v>#VALUE!</v>
      </c>
      <c r="AS406" s="77" t="e">
        <f ca="1">VLOOKUP($AP406,OFFSET([1]unit_skills!$A$1,0,0,COUNTA([1]unit_skills!$A:$A),MATCH(AS$1,[1]unit_skills!$1:$1,0)-MATCH($AP$1,[1]unit_skills!$1:$1,0)+1),MATCH(AS$1,[1]unit_skills!$1:$1,0)-MATCH($AP$1,[1]unit_skills!$1:$1,0)+1,FALSE)</f>
        <v>#VALUE!</v>
      </c>
      <c r="AT406" s="97">
        <v>123015</v>
      </c>
      <c r="AU406" s="77" t="e">
        <f ca="1">VLOOKUP($AT406,OFFSET([1]crash_skills!$A$1,0,0,COUNTA([1]crash_skills!$A:$A),MATCH("name",[1]crash_skills!$1:$1,0)-MATCH($AT$1,[1]crash_skills!$1:$1,0)+1),MATCH("name",[1]crash_skills!$1:$1,0)-MATCH($AT$1,[1]crash_skills!$1:$1,0)+1,FALSE)</f>
        <v>#VALUE!</v>
      </c>
      <c r="AV406" s="77" t="e">
        <f ca="1">VLOOKUP($AT406,OFFSET([1]crash_skills!$A$1,0,0,COUNTA([1]crash_skills!$A:$A),MATCH("comment",[1]crash_skills!$1:$1,0)-MATCH($AT$1,[1]crash_skills!$1:$1,0)+1),MATCH("comment",[1]crash_skills!$1:$1,0)-MATCH($AT$1,[1]crash_skills!$1:$1,0)+1,FALSE)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06" s="77" t="e">
        <f ca="1">VLOOKUP($AT406,OFFSET([1]crash_skills!$A$1,0,0,COUNTA([1]crash_skills!$A:$A),MATCH(AW$1,[1]crash_skills!$1:$1,0)-MATCH($AT$1,[1]crash_skills!$1:$1,0)+1),MATCH(AW$1,[1]crash_skills!$1:$1,0)-MATCH($AT$1,[1]crash_skills!$1:$1,0)+1,FALSE)</f>
        <v>#VALUE!</v>
      </c>
      <c r="AX406" s="81">
        <f ca="1">VLOOKUP($A406,OFFSET([2]characters!$A$1,0,0,COUNTA([2]characters!$A:$A),MATCH(AX$1,[2]characters!$1:$1,0)-MATCH($A$1,[2]characters!$1:$1,0)+1),MATCH(AX$1,[2]characters!$1:$1,0)-MATCH($A$1,[2]characters!$1:$1,0)+1,FALSE)</f>
        <v>3</v>
      </c>
      <c r="AY406" s="139">
        <v>1</v>
      </c>
      <c r="AZ406" s="139">
        <v>1</v>
      </c>
      <c r="BA406" s="139">
        <v>0</v>
      </c>
      <c r="BB406" s="139">
        <v>1</v>
      </c>
      <c r="BC406" s="14">
        <f ca="1">INDEX('RC6SV'!$A$1:$G$20,MATCH(H406,'RC6SV'!$A$1:$A$20,FALSE),MATCH(G406,'RC6SV'!$A$1:$G$1,FALSE))</f>
        <v>5000</v>
      </c>
      <c r="BD406" s="63">
        <f t="shared" ca="1" si="66"/>
        <v>5000</v>
      </c>
      <c r="BE406" s="14">
        <f t="shared" ca="1" si="53"/>
        <v>0</v>
      </c>
      <c r="BF406" s="14">
        <f t="shared" ca="1" si="54"/>
        <v>1</v>
      </c>
      <c r="BG406" s="20">
        <f ca="1">IF($BE406&lt;=0,ROUND(BK406*0.5,0), ROUND($BE406*S406*AA406*J406*AY406*0.8*[2]ステータス!$B$2,0))</f>
        <v>1125</v>
      </c>
      <c r="BH406" s="20">
        <f ca="1">IF($BE406&lt;=0,ROUND(BL406*0.5,0), ROUND($BE406*T406*AB406*K406*AZ406*0.8*[2]ステータス!$C$2,0))</f>
        <v>728</v>
      </c>
      <c r="BI406" s="20">
        <f ca="1">IF($BE406&lt;=0,ROUND(BM406*0.5,0), ROUND($BE406*U406*AC406*L406*BA406*0.8*[2]ステータス!$D$2,0))</f>
        <v>0</v>
      </c>
      <c r="BJ406" s="20">
        <f ca="1">IF($BE406&lt;=0,ROUND(BN406*0.5,0), ROUND($BE406*V406*AD406*M406*BB406*0.8*[2]ステータス!$E$2,0))</f>
        <v>517</v>
      </c>
      <c r="BK406" s="14">
        <f ca="1">ROUND(BD406*S406*AA406*J406*AY406*[2]ステータス!$B$2,0)</f>
        <v>2250</v>
      </c>
      <c r="BL406" s="14">
        <f ca="1">ROUND(BD406*T406*AB406*K406*AZ406*[2]ステータス!$C$2,0)</f>
        <v>1455</v>
      </c>
      <c r="BM406" s="14">
        <f ca="1">ROUND(BD406*U406*AC406*L406*BA406*[2]ステータス!$D$2,0)</f>
        <v>0</v>
      </c>
      <c r="BN406" s="14">
        <f ca="1">ROUND(BD406*V406*AD406*M406*BB406*[2]ステータス!$E$2,0)</f>
        <v>1033</v>
      </c>
      <c r="BO406" s="13">
        <v>0</v>
      </c>
      <c r="BP406" s="13">
        <v>1</v>
      </c>
      <c r="BQ406" s="49" t="s">
        <v>102</v>
      </c>
      <c r="BR406" s="13">
        <f ca="1">VLOOKUP(H406,ghosts_label!$A$2:$B$19,2,FALSE)</f>
        <v>700</v>
      </c>
    </row>
    <row r="407" spans="1:70" ht="21" customHeight="1" x14ac:dyDescent="0.15">
      <c r="A407" s="14">
        <f t="shared" ca="1" si="51"/>
        <v>406</v>
      </c>
      <c r="B407" s="77" t="str">
        <f ca="1">VLOOKUP($A407,OFFSET([2]characters!$A$1,0,0,COUNTA([2]characters!$A:$A),MATCH(B$1,[2]characters!$1:$1,0)-MATCH($A$1,[2]characters!$1:$1,0)+1),MATCH(B$1,[2]characters!$1:$1,0)-MATCH($A$1,[2]characters!$1:$1,0)+1,FALSE)</f>
        <v>美笑の蒼蛇 エキドナ</v>
      </c>
      <c r="C407" s="77" t="str">
        <f ca="1">VLOOKUP($A407,OFFSET([2]characters!$A$1,0,0,COUNTA([2]characters!$A:$A),MATCH(C$1,[2]characters!$1:$1,0)-MATCH($A$1,[2]characters!$1:$1,0)+1),MATCH(C$1,[2]characters!$1:$1,0)-MATCH($A$1,[2]characters!$1:$1,0)+1,FALSE)</f>
        <v>ガチャ:魔獣シリーズ02</v>
      </c>
      <c r="D407" s="77" t="str">
        <f ca="1">VLOOKUP($A407,OFFSET([2]characters!$A$1,0,0,COUNTA([2]characters!$A:$A),MATCH(D$1,[2]characters!$1:$1,0)-MATCH($A$1,[2]characters!$1:$1,0)+1),MATCH(D$1,[2]characters!$1:$1,0)-MATCH($A$1,[2]characters!$1:$1,0)+1,FALSE)</f>
        <v>執行者</v>
      </c>
      <c r="E407" s="77" t="str">
        <f ca="1">VLOOKUP($A407,OFFSET([2]characters!$A$1,0,0,COUNTA([2]characters!$A:$A),MATCH(E$1,[2]characters!$1:$1,0)-MATCH($A$1,[2]characters!$1:$1,0)+1),MATCH(E$1,[2]characters!$1:$1,0)-MATCH($A$1,[2]characters!$1:$1,0)+1,FALSE)</f>
        <v>格好いい</v>
      </c>
      <c r="F407" s="77" t="str">
        <f ca="1">VLOOKUP($A407,OFFSET([2]characters!$A$1,0,0,COUNTA([2]characters!$A:$A),MATCH(F$1,[2]characters!$1:$1,0)-MATCH($A$1,[2]characters!$1:$1,0)+1),MATCH(F$1,[2]characters!$1:$1,0)-MATCH($A$1,[2]characters!$1:$1,0)+1,FALSE)</f>
        <v>女性</v>
      </c>
      <c r="G407" s="77">
        <f ca="1">VLOOKUP($A407,OFFSET([2]characters!$A$1,0,0,COUNTA([2]characters!$A:$A),MATCH(G$1,[2]characters!$1:$1,0)-MATCH($A$1,[2]characters!$1:$1,0)+1),MATCH(G$1,[2]characters!$1:$1,0)-MATCH($A$1,[2]characters!$1:$1,0)+1,FALSE)</f>
        <v>4</v>
      </c>
      <c r="H407" s="77" t="str">
        <f ca="1">VLOOKUP($A407,OFFSET([2]characters!$A$1,0,0,COUNTA([2]characters!$A:$A),MATCH(H$1,[2]characters!$1:$1,0)-MATCH($A$1,[2]characters!$1:$1,0)+1),MATCH(H$1,[2]characters!$1:$1,0)-MATCH($A$1,[2]characters!$1:$1,0)+1,FALSE)</f>
        <v>PremiumS</v>
      </c>
      <c r="I407" s="77" t="str">
        <f ca="1">VLOOKUP($A407,OFFSET([2]characters!$A$1,0,0,COUNTA([2]characters!$A:$A),MATCH(I$1,[2]characters!$1:$1,0)-MATCH($A$1,[2]characters!$1:$1,0)+1),MATCH(I$1,[2]characters!$1:$1,0)-MATCH($A$1,[2]characters!$1:$1,0)+1,FALSE)</f>
        <v>blue</v>
      </c>
      <c r="J407" s="14">
        <f ca="1">VLOOKUP(I407,[2]属性!$A:$E,2,FALSE)</f>
        <v>1</v>
      </c>
      <c r="K407" s="14">
        <f ca="1">VLOOKUP(I407,[2]属性!$A:$E,3,FALSE)</f>
        <v>0.98</v>
      </c>
      <c r="L407" s="14">
        <f ca="1">VLOOKUP(I407,[2]属性!$A:$E,4,FALSE)</f>
        <v>1</v>
      </c>
      <c r="M407" s="14">
        <f ca="1">VLOOKUP(I407,[2]属性!$A:$E,5,FALSE)</f>
        <v>1.02</v>
      </c>
      <c r="N407" s="14">
        <f ca="1">INDEX(コスト!$A$1:$I$20,MATCH(H407,コスト!$A$1:$A$20,FALSE),MATCH(G407,コスト!$A$1:$I$1,FALSE))</f>
        <v>20</v>
      </c>
      <c r="O407" s="14">
        <f ca="1">INDEX(レベル!$A$1:$I$21,MATCH(H407,レベル!$A$1:$A$21,FALSE),MATCH(G407,レベル!$A$1:$I$1,FALSE))</f>
        <v>60</v>
      </c>
      <c r="P407" s="63">
        <f t="shared" ca="1" si="64"/>
        <v>60</v>
      </c>
      <c r="Q407" s="77" t="str">
        <f ca="1">VLOOKUP($A407,OFFSET([2]characters!$A$1,0,0,COUNTA([2]characters!$A:$A),MATCH(Q$1,[2]characters!$1:$1,0)-MATCH($A$1,[2]characters!$1:$1,0)+1),MATCH(Q$1,[2]characters!$1:$1,0)-MATCH($A$1,[2]characters!$1:$1,0)+1,FALSE)</f>
        <v>technical</v>
      </c>
      <c r="R407" s="8" t="str">
        <f ca="1">VLOOKUP(Q407,[2]character_type_i18n!$A:$H,3,FALSE)</f>
        <v>テクニカルタイプ</v>
      </c>
      <c r="S407" s="14">
        <f ca="1">VLOOKUP(Q407,[2]character_type_i18n!$A:$H,4,FALSE)</f>
        <v>0.9</v>
      </c>
      <c r="T407" s="14">
        <f ca="1">VLOOKUP(Q407,[2]character_type_i18n!$A:$H,5,FALSE)</f>
        <v>0.9</v>
      </c>
      <c r="U407" s="14">
        <f ca="1">VLOOKUP(Q407,[2]character_type_i18n!$A:$H,6,FALSE)</f>
        <v>1</v>
      </c>
      <c r="V407" s="14">
        <f ca="1">VLOOKUP(Q407,[2]character_type_i18n!$A:$H,7,FALSE)</f>
        <v>0.9</v>
      </c>
      <c r="W407" s="77" t="str">
        <f ca="1">VLOOKUP($A407,OFFSET([2]characters!$A$1,0,0,COUNTA([2]characters!$A:$A),MATCH(W$1,[2]characters!$1:$1,0)-MATCH($A$1,[2]characters!$1:$1,0)+1),MATCH(W$1,[2]characters!$1:$1,0)-MATCH($A$1,[2]characters!$1:$1,0)+1,FALSE)</f>
        <v>animal</v>
      </c>
      <c r="X407" s="8" t="str">
        <f ca="1">VLOOKUP(W407,[2]character_tribe_i18n!$A:$H,3,FALSE)</f>
        <v>アニマル</v>
      </c>
      <c r="Y407" s="77" t="str">
        <f ca="1">VLOOKUP($A407,OFFSET([2]characters!$A$1,0,0,COUNTA([2]characters!$A:$A),MATCH(Y$1,[2]characters!$1:$1,0)-MATCH($A$1,[2]characters!$1:$1,0)+1),MATCH(Y$1,[2]characters!$1:$1,0)-MATCH($A$1,[2]characters!$1:$1,0)+1,FALSE)</f>
        <v>none</v>
      </c>
      <c r="Z407" s="8" t="str">
        <f ca="1">VLOOKUP(Y407,[2]character_tribe_i18n!$A:$H,3,FALSE)</f>
        <v>種族なし</v>
      </c>
      <c r="AA407" s="14">
        <f ca="1">VLOOKUP(W407,[2]character_tribe_i18n!$A:$H,4,FALSE)</f>
        <v>1</v>
      </c>
      <c r="AB407" s="14">
        <f ca="1">VLOOKUP(W407,[2]character_tribe_i18n!$A:$H,5,FALSE)</f>
        <v>1.1000000000000001</v>
      </c>
      <c r="AC407" s="14">
        <f ca="1">VLOOKUP(W407,[2]character_tribe_i18n!$A:$H,6,FALSE)</f>
        <v>1</v>
      </c>
      <c r="AD407" s="14">
        <f ca="1">VLOOKUP(W407,[2]character_tribe_i18n!$A:$H,7,FALSE)</f>
        <v>0.9</v>
      </c>
      <c r="AE407" s="12">
        <v>407</v>
      </c>
      <c r="AF407" s="85" t="str">
        <f ca="1">IF(AE407="NULL","",VLOOKUP($AE407,OFFSET([2]characters!$A$1,0,0,COUNTA([2]characters!$A:$A),MATCH(AF$1,[2]characters!$1:$1,0)-MATCH($A$1,[2]characters!$1:$1,0)+1),MATCH(AF$1,[2]characters!$1:$1,0)-MATCH($A$1,[2]characters!$1:$1,0)+1,FALSE))</f>
        <v>蠱惑の飛刀 エキドナ</v>
      </c>
      <c r="AG407" s="8">
        <f t="shared" ca="1" si="52"/>
        <v>405</v>
      </c>
      <c r="AH407" s="85" t="str">
        <f ca="1">VLOOKUP($AG407,OFFSET([2]characters!$A$1,0,0,COUNTA([2]characters!$A:$A),MATCH(AH$1,[2]characters!$1:$1,0)-MATCH($A$1,[2]characters!$1:$1,0)+1),MATCH(AH$1,[2]characters!$1:$1,0)-MATCH($A$1,[2]characters!$1:$1,0)+1,FALSE)</f>
        <v>エキドナ</v>
      </c>
      <c r="AI407" s="14">
        <f ca="1">IF(AE407="NULL","NULL",VLOOKUP(G407,ビット!$A$2:$B$7,2))</f>
        <v>50000</v>
      </c>
      <c r="AJ407" s="9">
        <v>2</v>
      </c>
      <c r="AK407" s="10" t="str">
        <f t="shared" si="65"/>
        <v>普通</v>
      </c>
      <c r="AL407" s="14" t="str">
        <f ca="1">INDEX(経験値!$A$1:$I$20,MATCH(H407,経験値!$A$1:$A$20,FALSE),MATCH(G407,経験値!$A$1:$I$1,FALSE))</f>
        <v>required_exp_200</v>
      </c>
      <c r="AM407" s="11">
        <f ca="1">VLOOKUP(G407,経験値!$A$27:$B$31,2)</f>
        <v>3400</v>
      </c>
      <c r="AN407" s="21">
        <f ca="1">VLOOKUP(G407,ビット!$G$2:$H$7,2)</f>
        <v>600</v>
      </c>
      <c r="AO407" s="57"/>
      <c r="AP407" s="101">
        <v>822005</v>
      </c>
      <c r="AQ407" s="77" t="e">
        <f ca="1">VLOOKUP($AP407,OFFSET([1]unit_skills!$A$1,0,0,COUNTA([1]unit_skills!$A:$A),MATCH("name",[1]unit_skills!$1:$1,0)-MATCH($AP$1,[1]unit_skills!$1:$1,0)+1),MATCH("name",[1]unit_skills!$1:$1,0)-MATCH($AP$1,[1]unit_skills!$1:$1,0)+1,FALSE)</f>
        <v>#VALUE!</v>
      </c>
      <c r="AR407" s="77" t="e">
        <f ca="1">VLOOKUP($AP407,OFFSET([1]unit_skills!$A$1,0,0,COUNTA([1]unit_skills!$A:$A),MATCH("comment",[1]unit_skills!$1:$1,0)-MATCH($AP$1,[1]unit_skills!$1:$1,0)+1),MATCH("comment",[1]unit_skills!$1:$1,0)-MATCH($AP$1,[1]unit_skills!$1:$1,0)+1,FALSE)</f>
        <v>#VALUE!</v>
      </c>
      <c r="AS407" s="77" t="e">
        <f ca="1">VLOOKUP($AP407,OFFSET([1]unit_skills!$A$1,0,0,COUNTA([1]unit_skills!$A:$A),MATCH(AS$1,[1]unit_skills!$1:$1,0)-MATCH($AP$1,[1]unit_skills!$1:$1,0)+1),MATCH(AS$1,[1]unit_skills!$1:$1,0)-MATCH($AP$1,[1]unit_skills!$1:$1,0)+1,FALSE)</f>
        <v>#VALUE!</v>
      </c>
      <c r="AT407" s="97">
        <v>123015</v>
      </c>
      <c r="AU407" s="77" t="e">
        <f ca="1">VLOOKUP($AT407,OFFSET([1]crash_skills!$A$1,0,0,COUNTA([1]crash_skills!$A:$A),MATCH("name",[1]crash_skills!$1:$1,0)-MATCH($AT$1,[1]crash_skills!$1:$1,0)+1),MATCH("name",[1]crash_skills!$1:$1,0)-MATCH($AT$1,[1]crash_skills!$1:$1,0)+1,FALSE)</f>
        <v>#VALUE!</v>
      </c>
      <c r="AV407" s="77" t="e">
        <f ca="1">VLOOKUP($AT407,OFFSET([1]crash_skills!$A$1,0,0,COUNTA([1]crash_skills!$A:$A),MATCH("comment",[1]crash_skills!$1:$1,0)-MATCH($AT$1,[1]crash_skills!$1:$1,0)+1),MATCH("comment",[1]crash_skills!$1:$1,0)-MATCH($AT$1,[1]crash_skills!$1:$1,0)+1,FALSE)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07" s="77" t="e">
        <f ca="1">VLOOKUP($AT407,OFFSET([1]crash_skills!$A$1,0,0,COUNTA([1]crash_skills!$A:$A),MATCH(AW$1,[1]crash_skills!$1:$1,0)-MATCH($AT$1,[1]crash_skills!$1:$1,0)+1),MATCH(AW$1,[1]crash_skills!$1:$1,0)-MATCH($AT$1,[1]crash_skills!$1:$1,0)+1,FALSE)</f>
        <v>#VALUE!</v>
      </c>
      <c r="AX407" s="81">
        <f ca="1">VLOOKUP($A407,OFFSET([2]characters!$A$1,0,0,COUNTA([2]characters!$A:$A),MATCH(AX$1,[2]characters!$1:$1,0)-MATCH($A$1,[2]characters!$1:$1,0)+1),MATCH(AX$1,[2]characters!$1:$1,0)-MATCH($A$1,[2]characters!$1:$1,0)+1,FALSE)</f>
        <v>3</v>
      </c>
      <c r="AY407" s="139">
        <v>1</v>
      </c>
      <c r="AZ407" s="139">
        <v>1</v>
      </c>
      <c r="BA407" s="139">
        <v>0</v>
      </c>
      <c r="BB407" s="139">
        <v>1</v>
      </c>
      <c r="BC407" s="14">
        <f ca="1">INDEX('RC6SV'!$A$1:$G$20,MATCH(H407,'RC6SV'!$A$1:$A$20,FALSE),MATCH(G407,'RC6SV'!$A$1:$G$1,FALSE))</f>
        <v>7000</v>
      </c>
      <c r="BD407" s="63">
        <f t="shared" ca="1" si="66"/>
        <v>7000</v>
      </c>
      <c r="BE407" s="14">
        <f t="shared" ca="1" si="53"/>
        <v>5000</v>
      </c>
      <c r="BF407" s="14">
        <f t="shared" ca="1" si="54"/>
        <v>1</v>
      </c>
      <c r="BG407" s="20">
        <f ca="1">IF($BE407&lt;=0,ROUND(BK407*0.5,0), ROUND($BE407*S407*AA407*J407*AY407*0.8*[2]ステータス!$B$2,0))</f>
        <v>1800</v>
      </c>
      <c r="BH407" s="20">
        <f ca="1">IF($BE407&lt;=0,ROUND(BL407*0.5,0), ROUND($BE407*T407*AB407*K407*AZ407*0.8*[2]ステータス!$C$2,0))</f>
        <v>1164</v>
      </c>
      <c r="BI407" s="20">
        <f ca="1">IF($BE407&lt;=0,ROUND(BM407*0.5,0), ROUND($BE407*U407*AC407*L407*BA407*0.8*[2]ステータス!$D$2,0))</f>
        <v>0</v>
      </c>
      <c r="BJ407" s="20">
        <f ca="1">IF($BE407&lt;=0,ROUND(BN407*0.5,0), ROUND($BE407*V407*AD407*M407*BB407*0.8*[2]ステータス!$E$2,0))</f>
        <v>826</v>
      </c>
      <c r="BK407" s="14">
        <f ca="1">ROUND(BD407*S407*AA407*J407*AY407*[2]ステータス!$B$2,0)</f>
        <v>3150</v>
      </c>
      <c r="BL407" s="14">
        <f ca="1">ROUND(BD407*T407*AB407*K407*AZ407*[2]ステータス!$C$2,0)</f>
        <v>2037</v>
      </c>
      <c r="BM407" s="14">
        <f ca="1">ROUND(BD407*U407*AC407*L407*BA407*[2]ステータス!$D$2,0)</f>
        <v>0</v>
      </c>
      <c r="BN407" s="14">
        <f ca="1">ROUND(BD407*V407*AD407*M407*BB407*[2]ステータス!$E$2,0)</f>
        <v>1446</v>
      </c>
      <c r="BO407" s="13">
        <v>0</v>
      </c>
      <c r="BP407" s="13">
        <v>1</v>
      </c>
      <c r="BQ407" s="49" t="s">
        <v>102</v>
      </c>
      <c r="BR407" s="13">
        <f ca="1">VLOOKUP(H407,ghosts_label!$A$2:$B$19,2,FALSE)</f>
        <v>700</v>
      </c>
    </row>
    <row r="408" spans="1:70" ht="21" customHeight="1" x14ac:dyDescent="0.15">
      <c r="A408" s="14">
        <f t="shared" ca="1" si="51"/>
        <v>407</v>
      </c>
      <c r="B408" s="77" t="str">
        <f ca="1">VLOOKUP($A408,OFFSET([2]characters!$A$1,0,0,COUNTA([2]characters!$A:$A),MATCH(B$1,[2]characters!$1:$1,0)-MATCH($A$1,[2]characters!$1:$1,0)+1),MATCH(B$1,[2]characters!$1:$1,0)-MATCH($A$1,[2]characters!$1:$1,0)+1,FALSE)</f>
        <v>蠱惑の飛刀 エキドナ</v>
      </c>
      <c r="C408" s="77" t="str">
        <f ca="1">VLOOKUP($A408,OFFSET([2]characters!$A$1,0,0,COUNTA([2]characters!$A:$A),MATCH(C$1,[2]characters!$1:$1,0)-MATCH($A$1,[2]characters!$1:$1,0)+1),MATCH(C$1,[2]characters!$1:$1,0)-MATCH($A$1,[2]characters!$1:$1,0)+1,FALSE)</f>
        <v>ガチャ:魔獣シリーズ02</v>
      </c>
      <c r="D408" s="77" t="str">
        <f ca="1">VLOOKUP($A408,OFFSET([2]characters!$A$1,0,0,COUNTA([2]characters!$A:$A),MATCH(D$1,[2]characters!$1:$1,0)-MATCH($A$1,[2]characters!$1:$1,0)+1),MATCH(D$1,[2]characters!$1:$1,0)-MATCH($A$1,[2]characters!$1:$1,0)+1,FALSE)</f>
        <v>執行者</v>
      </c>
      <c r="E408" s="77" t="str">
        <f ca="1">VLOOKUP($A408,OFFSET([2]characters!$A$1,0,0,COUNTA([2]characters!$A:$A),MATCH(E$1,[2]characters!$1:$1,0)-MATCH($A$1,[2]characters!$1:$1,0)+1),MATCH(E$1,[2]characters!$1:$1,0)-MATCH($A$1,[2]characters!$1:$1,0)+1,FALSE)</f>
        <v>格好いい</v>
      </c>
      <c r="F408" s="77" t="str">
        <f ca="1">VLOOKUP($A408,OFFSET([2]characters!$A$1,0,0,COUNTA([2]characters!$A:$A),MATCH(F$1,[2]characters!$1:$1,0)-MATCH($A$1,[2]characters!$1:$1,0)+1),MATCH(F$1,[2]characters!$1:$1,0)-MATCH($A$1,[2]characters!$1:$1,0)+1,FALSE)</f>
        <v>女性</v>
      </c>
      <c r="G408" s="77">
        <f ca="1">VLOOKUP($A408,OFFSET([2]characters!$A$1,0,0,COUNTA([2]characters!$A:$A),MATCH(G$1,[2]characters!$1:$1,0)-MATCH($A$1,[2]characters!$1:$1,0)+1),MATCH(G$1,[2]characters!$1:$1,0)-MATCH($A$1,[2]characters!$1:$1,0)+1,FALSE)</f>
        <v>5</v>
      </c>
      <c r="H408" s="77" t="str">
        <f ca="1">VLOOKUP($A408,OFFSET([2]characters!$A$1,0,0,COUNTA([2]characters!$A:$A),MATCH(H$1,[2]characters!$1:$1,0)-MATCH($A$1,[2]characters!$1:$1,0)+1),MATCH(H$1,[2]characters!$1:$1,0)-MATCH($A$1,[2]characters!$1:$1,0)+1,FALSE)</f>
        <v>PremiumS</v>
      </c>
      <c r="I408" s="77" t="str">
        <f ca="1">VLOOKUP($A408,OFFSET([2]characters!$A$1,0,0,COUNTA([2]characters!$A:$A),MATCH(I$1,[2]characters!$1:$1,0)-MATCH($A$1,[2]characters!$1:$1,0)+1),MATCH(I$1,[2]characters!$1:$1,0)-MATCH($A$1,[2]characters!$1:$1,0)+1,FALSE)</f>
        <v>blue</v>
      </c>
      <c r="J408" s="14">
        <f ca="1">VLOOKUP(I408,[2]属性!$A:$E,2,FALSE)</f>
        <v>1</v>
      </c>
      <c r="K408" s="14">
        <f ca="1">VLOOKUP(I408,[2]属性!$A:$E,3,FALSE)</f>
        <v>0.98</v>
      </c>
      <c r="L408" s="14">
        <f ca="1">VLOOKUP(I408,[2]属性!$A:$E,4,FALSE)</f>
        <v>1</v>
      </c>
      <c r="M408" s="14">
        <f ca="1">VLOOKUP(I408,[2]属性!$A:$E,5,FALSE)</f>
        <v>1.02</v>
      </c>
      <c r="N408" s="14">
        <f ca="1">INDEX(コスト!$A$1:$I$20,MATCH(H408,コスト!$A$1:$A$20,FALSE),MATCH(G408,コスト!$A$1:$I$1,FALSE))</f>
        <v>30</v>
      </c>
      <c r="O408" s="14">
        <f ca="1">INDEX(レベル!$A$1:$I$21,MATCH(H408,レベル!$A$1:$A$21,FALSE),MATCH(G408,レベル!$A$1:$I$1,FALSE))</f>
        <v>80</v>
      </c>
      <c r="P408" s="63">
        <f t="shared" ca="1" si="64"/>
        <v>75</v>
      </c>
      <c r="Q408" s="77" t="str">
        <f ca="1">VLOOKUP($A408,OFFSET([2]characters!$A$1,0,0,COUNTA([2]characters!$A:$A),MATCH(Q$1,[2]characters!$1:$1,0)-MATCH($A$1,[2]characters!$1:$1,0)+1),MATCH(Q$1,[2]characters!$1:$1,0)-MATCH($A$1,[2]characters!$1:$1,0)+1,FALSE)</f>
        <v>technical</v>
      </c>
      <c r="R408" s="8" t="str">
        <f ca="1">VLOOKUP(Q408,[2]character_type_i18n!$A:$H,3,FALSE)</f>
        <v>テクニカルタイプ</v>
      </c>
      <c r="S408" s="14">
        <f ca="1">VLOOKUP(Q408,[2]character_type_i18n!$A:$H,4,FALSE)</f>
        <v>0.9</v>
      </c>
      <c r="T408" s="14">
        <f ca="1">VLOOKUP(Q408,[2]character_type_i18n!$A:$H,5,FALSE)</f>
        <v>0.9</v>
      </c>
      <c r="U408" s="14">
        <f ca="1">VLOOKUP(Q408,[2]character_type_i18n!$A:$H,6,FALSE)</f>
        <v>1</v>
      </c>
      <c r="V408" s="14">
        <f ca="1">VLOOKUP(Q408,[2]character_type_i18n!$A:$H,7,FALSE)</f>
        <v>0.9</v>
      </c>
      <c r="W408" s="77" t="str">
        <f ca="1">VLOOKUP($A408,OFFSET([2]characters!$A$1,0,0,COUNTA([2]characters!$A:$A),MATCH(W$1,[2]characters!$1:$1,0)-MATCH($A$1,[2]characters!$1:$1,0)+1),MATCH(W$1,[2]characters!$1:$1,0)-MATCH($A$1,[2]characters!$1:$1,0)+1,FALSE)</f>
        <v>animal</v>
      </c>
      <c r="X408" s="8" t="str">
        <f ca="1">VLOOKUP(W408,[2]character_tribe_i18n!$A:$H,3,FALSE)</f>
        <v>アニマル</v>
      </c>
      <c r="Y408" s="77" t="str">
        <f ca="1">VLOOKUP($A408,OFFSET([2]characters!$A$1,0,0,COUNTA([2]characters!$A:$A),MATCH(Y$1,[2]characters!$1:$1,0)-MATCH($A$1,[2]characters!$1:$1,0)+1),MATCH(Y$1,[2]characters!$1:$1,0)-MATCH($A$1,[2]characters!$1:$1,0)+1,FALSE)</f>
        <v>none</v>
      </c>
      <c r="Z408" s="8" t="str">
        <f ca="1">VLOOKUP(Y408,[2]character_tribe_i18n!$A:$H,3,FALSE)</f>
        <v>種族なし</v>
      </c>
      <c r="AA408" s="14">
        <f ca="1">VLOOKUP(W408,[2]character_tribe_i18n!$A:$H,4,FALSE)</f>
        <v>1</v>
      </c>
      <c r="AB408" s="14">
        <f ca="1">VLOOKUP(W408,[2]character_tribe_i18n!$A:$H,5,FALSE)</f>
        <v>1.1000000000000001</v>
      </c>
      <c r="AC408" s="14">
        <f ca="1">VLOOKUP(W408,[2]character_tribe_i18n!$A:$H,6,FALSE)</f>
        <v>1</v>
      </c>
      <c r="AD408" s="14">
        <f ca="1">VLOOKUP(W408,[2]character_tribe_i18n!$A:$H,7,FALSE)</f>
        <v>0.9</v>
      </c>
      <c r="AE408" s="12" t="s">
        <v>231</v>
      </c>
      <c r="AF408" s="85" t="str">
        <f ca="1">IF(AE408="NULL","",VLOOKUP($AE408,OFFSET([2]characters!$A$1,0,0,COUNTA([2]characters!$A:$A),MATCH(AF$1,[2]characters!$1:$1,0)-MATCH($A$1,[2]characters!$1:$1,0)+1),MATCH(AF$1,[2]characters!$1:$1,0)-MATCH($A$1,[2]characters!$1:$1,0)+1,FALSE))</f>
        <v/>
      </c>
      <c r="AG408" s="8">
        <f t="shared" ca="1" si="52"/>
        <v>405</v>
      </c>
      <c r="AH408" s="85" t="str">
        <f ca="1">VLOOKUP($AG408,OFFSET([2]characters!$A$1,0,0,COUNTA([2]characters!$A:$A),MATCH(AH$1,[2]characters!$1:$1,0)-MATCH($A$1,[2]characters!$1:$1,0)+1),MATCH(AH$1,[2]characters!$1:$1,0)-MATCH($A$1,[2]characters!$1:$1,0)+1,FALSE)</f>
        <v>エキドナ</v>
      </c>
      <c r="AI408" s="14" t="str">
        <f>IF(AE408="NULL","NULL",VLOOKUP(G408,ビット!$A$2:$B$7,2))</f>
        <v>NULL</v>
      </c>
      <c r="AJ408" s="9">
        <v>2</v>
      </c>
      <c r="AK408" s="10" t="str">
        <f t="shared" si="65"/>
        <v>普通</v>
      </c>
      <c r="AL408" s="14" t="str">
        <f ca="1">INDEX(経験値!$A$1:$I$20,MATCH(H408,経験値!$A$1:$A$20,FALSE),MATCH(G408,経験値!$A$1:$I$1,FALSE))</f>
        <v>required_exp_200</v>
      </c>
      <c r="AM408" s="11">
        <f ca="1">VLOOKUP(G408,経験値!$A$27:$B$31,2)</f>
        <v>6400</v>
      </c>
      <c r="AN408" s="21">
        <f ca="1">VLOOKUP(G408,ビット!$G$2:$H$7,2)</f>
        <v>900</v>
      </c>
      <c r="AO408" s="57"/>
      <c r="AP408" s="101">
        <v>822005</v>
      </c>
      <c r="AQ408" s="77" t="e">
        <f ca="1">VLOOKUP($AP408,OFFSET([1]unit_skills!$A$1,0,0,COUNTA([1]unit_skills!$A:$A),MATCH("name",[1]unit_skills!$1:$1,0)-MATCH($AP$1,[1]unit_skills!$1:$1,0)+1),MATCH("name",[1]unit_skills!$1:$1,0)-MATCH($AP$1,[1]unit_skills!$1:$1,0)+1,FALSE)</f>
        <v>#VALUE!</v>
      </c>
      <c r="AR408" s="77" t="e">
        <f ca="1">VLOOKUP($AP408,OFFSET([1]unit_skills!$A$1,0,0,COUNTA([1]unit_skills!$A:$A),MATCH("comment",[1]unit_skills!$1:$1,0)-MATCH($AP$1,[1]unit_skills!$1:$1,0)+1),MATCH("comment",[1]unit_skills!$1:$1,0)-MATCH($AP$1,[1]unit_skills!$1:$1,0)+1,FALSE)</f>
        <v>#VALUE!</v>
      </c>
      <c r="AS408" s="77" t="e">
        <f ca="1">VLOOKUP($AP408,OFFSET([1]unit_skills!$A$1,0,0,COUNTA([1]unit_skills!$A:$A),MATCH(AS$1,[1]unit_skills!$1:$1,0)-MATCH($AP$1,[1]unit_skills!$1:$1,0)+1),MATCH(AS$1,[1]unit_skills!$1:$1,0)-MATCH($AP$1,[1]unit_skills!$1:$1,0)+1,FALSE)</f>
        <v>#VALUE!</v>
      </c>
      <c r="AT408" s="97">
        <v>123016</v>
      </c>
      <c r="AU408" s="77" t="e">
        <f ca="1">VLOOKUP($AT408,OFFSET([1]crash_skills!$A$1,0,0,COUNTA([1]crash_skills!$A:$A),MATCH("name",[1]crash_skills!$1:$1,0)-MATCH($AT$1,[1]crash_skills!$1:$1,0)+1),MATCH("name",[1]crash_skills!$1:$1,0)-MATCH($AT$1,[1]crash_skills!$1:$1,0)+1,FALSE)</f>
        <v>#VALUE!</v>
      </c>
      <c r="AV408" s="77" t="e">
        <f ca="1">VLOOKUP($AT408,OFFSET([1]crash_skills!$A$1,0,0,COUNTA([1]crash_skills!$A:$A),MATCH("comment",[1]crash_skills!$1:$1,0)-MATCH($AT$1,[1]crash_skills!$1:$1,0)+1),MATCH("comment",[1]crash_skills!$1:$1,0)-MATCH($AT$1,[1]crash_skills!$1:$1,0)+1,FALSE)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08" s="77" t="e">
        <f ca="1">VLOOKUP($AT408,OFFSET([1]crash_skills!$A$1,0,0,COUNTA([1]crash_skills!$A:$A),MATCH(AW$1,[1]crash_skills!$1:$1,0)-MATCH($AT$1,[1]crash_skills!$1:$1,0)+1),MATCH(AW$1,[1]crash_skills!$1:$1,0)-MATCH($AT$1,[1]crash_skills!$1:$1,0)+1,FALSE)</f>
        <v>#VALUE!</v>
      </c>
      <c r="AX408" s="81">
        <f ca="1">VLOOKUP($A408,OFFSET([2]characters!$A$1,0,0,COUNTA([2]characters!$A:$A),MATCH(AX$1,[2]characters!$1:$1,0)-MATCH($A$1,[2]characters!$1:$1,0)+1),MATCH(AX$1,[2]characters!$1:$1,0)-MATCH($A$1,[2]characters!$1:$1,0)+1,FALSE)</f>
        <v>3</v>
      </c>
      <c r="AY408" s="139">
        <v>1</v>
      </c>
      <c r="AZ408" s="139">
        <v>1</v>
      </c>
      <c r="BA408" s="139">
        <v>0</v>
      </c>
      <c r="BB408" s="139">
        <v>1</v>
      </c>
      <c r="BC408" s="14">
        <f ca="1">INDEX('RC6SV'!$A$1:$G$20,MATCH(H408,'RC6SV'!$A$1:$A$20,FALSE),MATCH(G408,'RC6SV'!$A$1:$G$1,FALSE))</f>
        <v>9000</v>
      </c>
      <c r="BD408" s="63">
        <f t="shared" ca="1" si="66"/>
        <v>9000</v>
      </c>
      <c r="BE408" s="14">
        <f t="shared" ca="1" si="53"/>
        <v>7000</v>
      </c>
      <c r="BF408" s="14">
        <f t="shared" ca="1" si="54"/>
        <v>1</v>
      </c>
      <c r="BG408" s="20">
        <f ca="1">IF($BE408&lt;=0,ROUND(BK408*0.5,0), ROUND($BE408*S408*AA408*J408*AY408*0.8*[2]ステータス!$B$2,0))</f>
        <v>2520</v>
      </c>
      <c r="BH408" s="20">
        <f ca="1">IF($BE408&lt;=0,ROUND(BL408*0.5,0), ROUND($BE408*T408*AB408*K408*AZ408*0.8*[2]ステータス!$C$2,0))</f>
        <v>1630</v>
      </c>
      <c r="BI408" s="20">
        <f ca="1">IF($BE408&lt;=0,ROUND(BM408*0.5,0), ROUND($BE408*U408*AC408*L408*BA408*0.8*[2]ステータス!$D$2,0))</f>
        <v>0</v>
      </c>
      <c r="BJ408" s="20">
        <f ca="1">IF($BE408&lt;=0,ROUND(BN408*0.5,0), ROUND($BE408*V408*AD408*M408*BB408*0.8*[2]ステータス!$E$2,0))</f>
        <v>1157</v>
      </c>
      <c r="BK408" s="14">
        <f ca="1">ROUND(BD408*S408*AA408*J408*AY408*[2]ステータス!$B$2,0)</f>
        <v>4050</v>
      </c>
      <c r="BL408" s="14">
        <f ca="1">ROUND(BD408*T408*AB408*K408*AZ408*[2]ステータス!$C$2,0)</f>
        <v>2620</v>
      </c>
      <c r="BM408" s="14">
        <f ca="1">ROUND(BD408*U408*AC408*L408*BA408*[2]ステータス!$D$2,0)</f>
        <v>0</v>
      </c>
      <c r="BN408" s="14">
        <f ca="1">ROUND(BD408*V408*AD408*M408*BB408*[2]ステータス!$E$2,0)</f>
        <v>1859</v>
      </c>
      <c r="BO408" s="13">
        <v>0</v>
      </c>
      <c r="BP408" s="13">
        <v>1</v>
      </c>
      <c r="BQ408" s="49" t="s">
        <v>102</v>
      </c>
      <c r="BR408" s="13">
        <f ca="1">VLOOKUP(H408,ghosts_label!$A$2:$B$19,2,FALSE)</f>
        <v>700</v>
      </c>
    </row>
    <row r="409" spans="1:70" ht="21" customHeight="1" x14ac:dyDescent="0.15">
      <c r="A409" s="14">
        <f t="shared" ca="1" si="51"/>
        <v>408</v>
      </c>
      <c r="B409" s="77" t="str">
        <f ca="1">VLOOKUP($A409,OFFSET([2]characters!$A$1,0,0,COUNTA([2]characters!$A:$A),MATCH(B$1,[2]characters!$1:$1,0)-MATCH($A$1,[2]characters!$1:$1,0)+1),MATCH(B$1,[2]characters!$1:$1,0)-MATCH($A$1,[2]characters!$1:$1,0)+1,FALSE)</f>
        <v>皇魔 アスタロト</v>
      </c>
      <c r="C409" s="77" t="str">
        <f ca="1">VLOOKUP($A409,OFFSET([2]characters!$A$1,0,0,COUNTA([2]characters!$A:$A),MATCH(C$1,[2]characters!$1:$1,0)-MATCH($A$1,[2]characters!$1:$1,0)+1),MATCH(C$1,[2]characters!$1:$1,0)-MATCH($A$1,[2]characters!$1:$1,0)+1,FALSE)</f>
        <v>ガチャ:魔獣シリーズ02</v>
      </c>
      <c r="D409" s="77" t="str">
        <f ca="1">VLOOKUP($A409,OFFSET([2]characters!$A$1,0,0,COUNTA([2]characters!$A:$A),MATCH(D$1,[2]characters!$1:$1,0)-MATCH($A$1,[2]characters!$1:$1,0)+1),MATCH(D$1,[2]characters!$1:$1,0)-MATCH($A$1,[2]characters!$1:$1,0)+1,FALSE)</f>
        <v>執行者</v>
      </c>
      <c r="E409" s="77" t="str">
        <f ca="1">VLOOKUP($A409,OFFSET([2]characters!$A$1,0,0,COUNTA([2]characters!$A:$A),MATCH(E$1,[2]characters!$1:$1,0)-MATCH($A$1,[2]characters!$1:$1,0)+1),MATCH(E$1,[2]characters!$1:$1,0)-MATCH($A$1,[2]characters!$1:$1,0)+1,FALSE)</f>
        <v>格好いい</v>
      </c>
      <c r="F409" s="77" t="str">
        <f ca="1">VLOOKUP($A409,OFFSET([2]characters!$A$1,0,0,COUNTA([2]characters!$A:$A),MATCH(F$1,[2]characters!$1:$1,0)-MATCH($A$1,[2]characters!$1:$1,0)+1),MATCH(F$1,[2]characters!$1:$1,0)-MATCH($A$1,[2]characters!$1:$1,0)+1,FALSE)</f>
        <v>男性</v>
      </c>
      <c r="G409" s="77">
        <f ca="1">VLOOKUP($A409,OFFSET([2]characters!$A$1,0,0,COUNTA([2]characters!$A:$A),MATCH(G$1,[2]characters!$1:$1,0)-MATCH($A$1,[2]characters!$1:$1,0)+1),MATCH(G$1,[2]characters!$1:$1,0)-MATCH($A$1,[2]characters!$1:$1,0)+1,FALSE)</f>
        <v>4</v>
      </c>
      <c r="H409" s="77" t="str">
        <f ca="1">VLOOKUP($A409,OFFSET([2]characters!$A$1,0,0,COUNTA([2]characters!$A:$A),MATCH(H$1,[2]characters!$1:$1,0)-MATCH($A$1,[2]characters!$1:$1,0)+1),MATCH(H$1,[2]characters!$1:$1,0)-MATCH($A$1,[2]characters!$1:$1,0)+1,FALSE)</f>
        <v>PremiumSS</v>
      </c>
      <c r="I409" s="77" t="str">
        <f ca="1">VLOOKUP($A409,OFFSET([2]characters!$A$1,0,0,COUNTA([2]characters!$A:$A),MATCH(I$1,[2]characters!$1:$1,0)-MATCH($A$1,[2]characters!$1:$1,0)+1),MATCH(I$1,[2]characters!$1:$1,0)-MATCH($A$1,[2]characters!$1:$1,0)+1,FALSE)</f>
        <v>yellow</v>
      </c>
      <c r="J409" s="14">
        <f ca="1">VLOOKUP(I409,[2]属性!$A:$E,2,FALSE)</f>
        <v>0.98</v>
      </c>
      <c r="K409" s="14">
        <f ca="1">VLOOKUP(I409,[2]属性!$A:$E,3,FALSE)</f>
        <v>1.01</v>
      </c>
      <c r="L409" s="14">
        <f ca="1">VLOOKUP(I409,[2]属性!$A:$E,4,FALSE)</f>
        <v>1</v>
      </c>
      <c r="M409" s="14">
        <f ca="1">VLOOKUP(I409,[2]属性!$A:$E,5,FALSE)</f>
        <v>1.01</v>
      </c>
      <c r="N409" s="14">
        <f ca="1">INDEX(コスト!$A$1:$I$20,MATCH(H409,コスト!$A$1:$A$20,FALSE),MATCH(G409,コスト!$A$1:$I$1,FALSE))</f>
        <v>25</v>
      </c>
      <c r="O409" s="14">
        <f ca="1">INDEX(レベル!$A$1:$I$21,MATCH(H409,レベル!$A$1:$A$21,FALSE),MATCH(G409,レベル!$A$1:$I$1,FALSE))</f>
        <v>60</v>
      </c>
      <c r="P409" s="63">
        <f t="shared" ca="1" si="64"/>
        <v>60</v>
      </c>
      <c r="Q409" s="77" t="str">
        <f ca="1">VLOOKUP($A409,OFFSET([2]characters!$A$1,0,0,COUNTA([2]characters!$A:$A),MATCH(Q$1,[2]characters!$1:$1,0)-MATCH($A$1,[2]characters!$1:$1,0)+1),MATCH(Q$1,[2]characters!$1:$1,0)-MATCH($A$1,[2]characters!$1:$1,0)+1,FALSE)</f>
        <v>attack</v>
      </c>
      <c r="R409" s="8" t="str">
        <f ca="1">VLOOKUP(Q409,[2]character_type_i18n!$A:$H,3,FALSE)</f>
        <v>攻撃タイプ</v>
      </c>
      <c r="S409" s="14">
        <f ca="1">VLOOKUP(Q409,[2]character_type_i18n!$A:$H,4,FALSE)</f>
        <v>1</v>
      </c>
      <c r="T409" s="14">
        <f ca="1">VLOOKUP(Q409,[2]character_type_i18n!$A:$H,5,FALSE)</f>
        <v>1.33</v>
      </c>
      <c r="U409" s="14">
        <f ca="1">VLOOKUP(Q409,[2]character_type_i18n!$A:$H,6,FALSE)</f>
        <v>1</v>
      </c>
      <c r="V409" s="14">
        <f ca="1">VLOOKUP(Q409,[2]character_type_i18n!$A:$H,7,FALSE)</f>
        <v>0.67</v>
      </c>
      <c r="W409" s="77" t="str">
        <f ca="1">VLOOKUP($A409,OFFSET([2]characters!$A$1,0,0,COUNTA([2]characters!$A:$A),MATCH(W$1,[2]characters!$1:$1,0)-MATCH($A$1,[2]characters!$1:$1,0)+1),MATCH(W$1,[2]characters!$1:$1,0)-MATCH($A$1,[2]characters!$1:$1,0)+1,FALSE)</f>
        <v>god</v>
      </c>
      <c r="X409" s="8" t="str">
        <f ca="1">VLOOKUP(W409,[2]character_tribe_i18n!$A:$H,3,FALSE)</f>
        <v>ゴッド</v>
      </c>
      <c r="Y409" s="77" t="str">
        <f ca="1">VLOOKUP($A409,OFFSET([2]characters!$A$1,0,0,COUNTA([2]characters!$A:$A),MATCH(Y$1,[2]characters!$1:$1,0)-MATCH($A$1,[2]characters!$1:$1,0)+1),MATCH(Y$1,[2]characters!$1:$1,0)-MATCH($A$1,[2]characters!$1:$1,0)+1,FALSE)</f>
        <v>none</v>
      </c>
      <c r="Z409" s="8" t="str">
        <f ca="1">VLOOKUP(Y409,[2]character_tribe_i18n!$A:$H,3,FALSE)</f>
        <v>種族なし</v>
      </c>
      <c r="AA409" s="14">
        <f ca="1">VLOOKUP(W409,[2]character_tribe_i18n!$A:$H,4,FALSE)</f>
        <v>0.96</v>
      </c>
      <c r="AB409" s="14">
        <f ca="1">VLOOKUP(W409,[2]character_tribe_i18n!$A:$H,5,FALSE)</f>
        <v>1.02</v>
      </c>
      <c r="AC409" s="14">
        <f ca="1">VLOOKUP(W409,[2]character_tribe_i18n!$A:$H,6,FALSE)</f>
        <v>1</v>
      </c>
      <c r="AD409" s="14">
        <f ca="1">VLOOKUP(W409,[2]character_tribe_i18n!$A:$H,7,FALSE)</f>
        <v>1.02</v>
      </c>
      <c r="AE409" s="12">
        <v>409</v>
      </c>
      <c r="AF409" s="85" t="str">
        <f ca="1">IF(AE409="NULL","",VLOOKUP($AE409,OFFSET([2]characters!$A$1,0,0,COUNTA([2]characters!$A:$A),MATCH(AF$1,[2]characters!$1:$1,0)-MATCH($A$1,[2]characters!$1:$1,0)+1),MATCH(AF$1,[2]characters!$1:$1,0)-MATCH($A$1,[2]characters!$1:$1,0)+1,FALSE))</f>
        <v>天眼の皇貴魔 アスタロト</v>
      </c>
      <c r="AG409" s="8">
        <f t="shared" ca="1" si="52"/>
        <v>408</v>
      </c>
      <c r="AH409" s="85" t="str">
        <f ca="1">VLOOKUP($AG409,OFFSET([2]characters!$A$1,0,0,COUNTA([2]characters!$A:$A),MATCH(AH$1,[2]characters!$1:$1,0)-MATCH($A$1,[2]characters!$1:$1,0)+1),MATCH(AH$1,[2]characters!$1:$1,0)-MATCH($A$1,[2]characters!$1:$1,0)+1,FALSE)</f>
        <v>皇魔 アスタロト</v>
      </c>
      <c r="AI409" s="14">
        <f ca="1">IF(AE409="NULL","NULL",VLOOKUP(G409,ビット!$A$2:$B$7,2))</f>
        <v>50000</v>
      </c>
      <c r="AJ409" s="9">
        <v>2</v>
      </c>
      <c r="AK409" s="10" t="str">
        <f t="shared" si="65"/>
        <v>普通</v>
      </c>
      <c r="AL409" s="14" t="str">
        <f ca="1">INDEX(経験値!$A$1:$I$20,MATCH(H409,経験値!$A$1:$A$20,FALSE),MATCH(G409,経験値!$A$1:$I$1,FALSE))</f>
        <v>required_exp_200</v>
      </c>
      <c r="AM409" s="11">
        <f ca="1">VLOOKUP(G409,経験値!$A$27:$B$31,2)</f>
        <v>3400</v>
      </c>
      <c r="AN409" s="21">
        <f ca="1">VLOOKUP(G409,ビット!$G$2:$H$7,2)</f>
        <v>600</v>
      </c>
      <c r="AO409" s="57"/>
      <c r="AP409" s="101">
        <v>150004</v>
      </c>
      <c r="AQ409" s="77" t="e">
        <f ca="1">VLOOKUP($AP409,OFFSET([1]unit_skills!$A$1,0,0,COUNTA([1]unit_skills!$A:$A),MATCH("name",[1]unit_skills!$1:$1,0)-MATCH($AP$1,[1]unit_skills!$1:$1,0)+1),MATCH("name",[1]unit_skills!$1:$1,0)-MATCH($AP$1,[1]unit_skills!$1:$1,0)+1,FALSE)</f>
        <v>#VALUE!</v>
      </c>
      <c r="AR409" s="77" t="e">
        <f ca="1">VLOOKUP($AP409,OFFSET([1]unit_skills!$A$1,0,0,COUNTA([1]unit_skills!$A:$A),MATCH("comment",[1]unit_skills!$1:$1,0)-MATCH($AP$1,[1]unit_skills!$1:$1,0)+1),MATCH("comment",[1]unit_skills!$1:$1,0)-MATCH($AP$1,[1]unit_skills!$1:$1,0)+1,FALSE)</f>
        <v>#VALUE!</v>
      </c>
      <c r="AS409" s="77" t="e">
        <f ca="1">VLOOKUP($AP409,OFFSET([1]unit_skills!$A$1,0,0,COUNTA([1]unit_skills!$A:$A),MATCH(AS$1,[1]unit_skills!$1:$1,0)-MATCH($AP$1,[1]unit_skills!$1:$1,0)+1),MATCH(AS$1,[1]unit_skills!$1:$1,0)-MATCH($AP$1,[1]unit_skills!$1:$1,0)+1,FALSE)</f>
        <v>#VALUE!</v>
      </c>
      <c r="AT409" s="53">
        <v>114019</v>
      </c>
      <c r="AU409" s="77" t="e">
        <f ca="1">VLOOKUP($AT409,OFFSET([1]crash_skills!$A$1,0,0,COUNTA([1]crash_skills!$A:$A),MATCH("name",[1]crash_skills!$1:$1,0)-MATCH($AT$1,[1]crash_skills!$1:$1,0)+1),MATCH("name",[1]crash_skills!$1:$1,0)-MATCH($AT$1,[1]crash_skills!$1:$1,0)+1,FALSE)</f>
        <v>#VALUE!</v>
      </c>
      <c r="AV409" s="77" t="e">
        <f ca="1">VLOOKUP($AT409,OFFSET([1]crash_skills!$A$1,0,0,COUNTA([1]crash_skills!$A:$A),MATCH("comment",[1]crash_skills!$1:$1,0)-MATCH($AT$1,[1]crash_skills!$1:$1,0)+1),MATCH("comment",[1]crash_skills!$1:$1,0)-MATCH($AT$1,[1]crash_skills!$1:$1,0)+1,FALSE)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09" s="77" t="e">
        <f ca="1">VLOOKUP($AT409,OFFSET([1]crash_skills!$A$1,0,0,COUNTA([1]crash_skills!$A:$A),MATCH(AW$1,[1]crash_skills!$1:$1,0)-MATCH($AT$1,[1]crash_skills!$1:$1,0)+1),MATCH(AW$1,[1]crash_skills!$1:$1,0)-MATCH($AT$1,[1]crash_skills!$1:$1,0)+1,FALSE)</f>
        <v>#VALUE!</v>
      </c>
      <c r="AX409" s="81">
        <f ca="1">VLOOKUP($A409,OFFSET([2]characters!$A$1,0,0,COUNTA([2]characters!$A:$A),MATCH(AX$1,[2]characters!$1:$1,0)-MATCH($A$1,[2]characters!$1:$1,0)+1),MATCH(AX$1,[2]characters!$1:$1,0)-MATCH($A$1,[2]characters!$1:$1,0)+1,FALSE)</f>
        <v>3</v>
      </c>
      <c r="AY409" s="139">
        <v>1</v>
      </c>
      <c r="AZ409" s="139">
        <v>1</v>
      </c>
      <c r="BA409" s="139">
        <v>0</v>
      </c>
      <c r="BB409" s="139">
        <v>1</v>
      </c>
      <c r="BC409" s="14">
        <f ca="1">INDEX('RC6SV'!$A$1:$G$20,MATCH(H409,'RC6SV'!$A$1:$A$20,FALSE),MATCH(G409,'RC6SV'!$A$1:$G$1,FALSE))</f>
        <v>7500</v>
      </c>
      <c r="BD409" s="63">
        <f t="shared" ca="1" si="66"/>
        <v>7500</v>
      </c>
      <c r="BE409" s="14">
        <f t="shared" ca="1" si="53"/>
        <v>0</v>
      </c>
      <c r="BF409" s="14">
        <f t="shared" ca="1" si="54"/>
        <v>1</v>
      </c>
      <c r="BG409" s="20">
        <f ca="1">IF($BE409&lt;=0,ROUND(BK409*0.5,0), ROUND($BE409*S409*AA409*J409*AY409*0.8*[2]ステータス!$B$2,0))</f>
        <v>1764</v>
      </c>
      <c r="BH409" s="20">
        <f ca="1">IF($BE409&lt;=0,ROUND(BL409*0.5,0), ROUND($BE409*T409*AB409*K409*AZ409*0.8*[2]ステータス!$C$2,0))</f>
        <v>1542</v>
      </c>
      <c r="BI409" s="20">
        <f ca="1">IF($BE409&lt;=0,ROUND(BM409*0.5,0), ROUND($BE409*U409*AC409*L409*BA409*0.8*[2]ステータス!$D$2,0))</f>
        <v>0</v>
      </c>
      <c r="BJ409" s="20">
        <f ca="1">IF($BE409&lt;=0,ROUND(BN409*0.5,0), ROUND($BE409*V409*AD409*M409*BB409*0.8*[2]ステータス!$E$2,0))</f>
        <v>647</v>
      </c>
      <c r="BK409" s="14">
        <f ca="1">ROUND(BD409*S409*AA409*J409*AY409*[2]ステータス!$B$2,0)</f>
        <v>3528</v>
      </c>
      <c r="BL409" s="14">
        <f ca="1">ROUND(BD409*T409*AB409*K409*AZ409*[2]ステータス!$C$2,0)</f>
        <v>3083</v>
      </c>
      <c r="BM409" s="14">
        <f ca="1">ROUND(BD409*U409*AC409*L409*BA409*[2]ステータス!$D$2,0)</f>
        <v>0</v>
      </c>
      <c r="BN409" s="14">
        <f ca="1">ROUND(BD409*V409*AD409*M409*BB409*[2]ステータス!$E$2,0)</f>
        <v>1294</v>
      </c>
      <c r="BO409" s="13">
        <v>0</v>
      </c>
      <c r="BP409" s="13">
        <v>1</v>
      </c>
      <c r="BQ409" s="49" t="s">
        <v>102</v>
      </c>
      <c r="BR409" s="13">
        <f ca="1">VLOOKUP(H409,ghosts_label!$A$2:$B$19,2,FALSE)</f>
        <v>5500</v>
      </c>
    </row>
    <row r="410" spans="1:70" ht="21" customHeight="1" x14ac:dyDescent="0.15">
      <c r="A410" s="14">
        <f t="shared" ca="1" si="51"/>
        <v>409</v>
      </c>
      <c r="B410" s="77" t="str">
        <f ca="1">VLOOKUP($A410,OFFSET([2]characters!$A$1,0,0,COUNTA([2]characters!$A:$A),MATCH(B$1,[2]characters!$1:$1,0)-MATCH($A$1,[2]characters!$1:$1,0)+1),MATCH(B$1,[2]characters!$1:$1,0)-MATCH($A$1,[2]characters!$1:$1,0)+1,FALSE)</f>
        <v>天眼の皇貴魔 アスタロト</v>
      </c>
      <c r="C410" s="77" t="str">
        <f ca="1">VLOOKUP($A410,OFFSET([2]characters!$A$1,0,0,COUNTA([2]characters!$A:$A),MATCH(C$1,[2]characters!$1:$1,0)-MATCH($A$1,[2]characters!$1:$1,0)+1),MATCH(C$1,[2]characters!$1:$1,0)-MATCH($A$1,[2]characters!$1:$1,0)+1,FALSE)</f>
        <v>ガチャ:魔獣シリーズ02</v>
      </c>
      <c r="D410" s="77" t="str">
        <f ca="1">VLOOKUP($A410,OFFSET([2]characters!$A$1,0,0,COUNTA([2]characters!$A:$A),MATCH(D$1,[2]characters!$1:$1,0)-MATCH($A$1,[2]characters!$1:$1,0)+1),MATCH(D$1,[2]characters!$1:$1,0)-MATCH($A$1,[2]characters!$1:$1,0)+1,FALSE)</f>
        <v>執行者</v>
      </c>
      <c r="E410" s="77" t="str">
        <f ca="1">VLOOKUP($A410,OFFSET([2]characters!$A$1,0,0,COUNTA([2]characters!$A:$A),MATCH(E$1,[2]characters!$1:$1,0)-MATCH($A$1,[2]characters!$1:$1,0)+1),MATCH(E$1,[2]characters!$1:$1,0)-MATCH($A$1,[2]characters!$1:$1,0)+1,FALSE)</f>
        <v>格好いい</v>
      </c>
      <c r="F410" s="77" t="str">
        <f ca="1">VLOOKUP($A410,OFFSET([2]characters!$A$1,0,0,COUNTA([2]characters!$A:$A),MATCH(F$1,[2]characters!$1:$1,0)-MATCH($A$1,[2]characters!$1:$1,0)+1),MATCH(F$1,[2]characters!$1:$1,0)-MATCH($A$1,[2]characters!$1:$1,0)+1,FALSE)</f>
        <v>男性</v>
      </c>
      <c r="G410" s="77">
        <f ca="1">VLOOKUP($A410,OFFSET([2]characters!$A$1,0,0,COUNTA([2]characters!$A:$A),MATCH(G$1,[2]characters!$1:$1,0)-MATCH($A$1,[2]characters!$1:$1,0)+1),MATCH(G$1,[2]characters!$1:$1,0)-MATCH($A$1,[2]characters!$1:$1,0)+1,FALSE)</f>
        <v>5</v>
      </c>
      <c r="H410" s="77" t="str">
        <f ca="1">VLOOKUP($A410,OFFSET([2]characters!$A$1,0,0,COUNTA([2]characters!$A:$A),MATCH(H$1,[2]characters!$1:$1,0)-MATCH($A$1,[2]characters!$1:$1,0)+1),MATCH(H$1,[2]characters!$1:$1,0)-MATCH($A$1,[2]characters!$1:$1,0)+1,FALSE)</f>
        <v>PremiumSS</v>
      </c>
      <c r="I410" s="77" t="str">
        <f ca="1">VLOOKUP($A410,OFFSET([2]characters!$A$1,0,0,COUNTA([2]characters!$A:$A),MATCH(I$1,[2]characters!$1:$1,0)-MATCH($A$1,[2]characters!$1:$1,0)+1),MATCH(I$1,[2]characters!$1:$1,0)-MATCH($A$1,[2]characters!$1:$1,0)+1,FALSE)</f>
        <v>yellow</v>
      </c>
      <c r="J410" s="14">
        <f ca="1">VLOOKUP(I410,[2]属性!$A:$E,2,FALSE)</f>
        <v>0.98</v>
      </c>
      <c r="K410" s="14">
        <f ca="1">VLOOKUP(I410,[2]属性!$A:$E,3,FALSE)</f>
        <v>1.01</v>
      </c>
      <c r="L410" s="14">
        <f ca="1">VLOOKUP(I410,[2]属性!$A:$E,4,FALSE)</f>
        <v>1</v>
      </c>
      <c r="M410" s="14">
        <f ca="1">VLOOKUP(I410,[2]属性!$A:$E,5,FALSE)</f>
        <v>1.01</v>
      </c>
      <c r="N410" s="14">
        <f ca="1">INDEX(コスト!$A$1:$I$20,MATCH(H410,コスト!$A$1:$A$20,FALSE),MATCH(G410,コスト!$A$1:$I$1,FALSE))</f>
        <v>35</v>
      </c>
      <c r="O410" s="14">
        <f ca="1">INDEX(レベル!$A$1:$I$21,MATCH(H410,レベル!$A$1:$A$21,FALSE),MATCH(G410,レベル!$A$1:$I$1,FALSE))</f>
        <v>80</v>
      </c>
      <c r="P410" s="63">
        <f t="shared" ca="1" si="64"/>
        <v>75</v>
      </c>
      <c r="Q410" s="77" t="str">
        <f ca="1">VLOOKUP($A410,OFFSET([2]characters!$A$1,0,0,COUNTA([2]characters!$A:$A),MATCH(Q$1,[2]characters!$1:$1,0)-MATCH($A$1,[2]characters!$1:$1,0)+1),MATCH(Q$1,[2]characters!$1:$1,0)-MATCH($A$1,[2]characters!$1:$1,0)+1,FALSE)</f>
        <v>attack</v>
      </c>
      <c r="R410" s="8" t="str">
        <f ca="1">VLOOKUP(Q410,[2]character_type_i18n!$A:$H,3,FALSE)</f>
        <v>攻撃タイプ</v>
      </c>
      <c r="S410" s="14">
        <f ca="1">VLOOKUP(Q410,[2]character_type_i18n!$A:$H,4,FALSE)</f>
        <v>1</v>
      </c>
      <c r="T410" s="14">
        <f ca="1">VLOOKUP(Q410,[2]character_type_i18n!$A:$H,5,FALSE)</f>
        <v>1.33</v>
      </c>
      <c r="U410" s="14">
        <f ca="1">VLOOKUP(Q410,[2]character_type_i18n!$A:$H,6,FALSE)</f>
        <v>1</v>
      </c>
      <c r="V410" s="14">
        <f ca="1">VLOOKUP(Q410,[2]character_type_i18n!$A:$H,7,FALSE)</f>
        <v>0.67</v>
      </c>
      <c r="W410" s="77" t="str">
        <f ca="1">VLOOKUP($A410,OFFSET([2]characters!$A$1,0,0,COUNTA([2]characters!$A:$A),MATCH(W$1,[2]characters!$1:$1,0)-MATCH($A$1,[2]characters!$1:$1,0)+1),MATCH(W$1,[2]characters!$1:$1,0)-MATCH($A$1,[2]characters!$1:$1,0)+1,FALSE)</f>
        <v>god</v>
      </c>
      <c r="X410" s="8" t="str">
        <f ca="1">VLOOKUP(W410,[2]character_tribe_i18n!$A:$H,3,FALSE)</f>
        <v>ゴッド</v>
      </c>
      <c r="Y410" s="77" t="str">
        <f ca="1">VLOOKUP($A410,OFFSET([2]characters!$A$1,0,0,COUNTA([2]characters!$A:$A),MATCH(Y$1,[2]characters!$1:$1,0)-MATCH($A$1,[2]characters!$1:$1,0)+1),MATCH(Y$1,[2]characters!$1:$1,0)-MATCH($A$1,[2]characters!$1:$1,0)+1,FALSE)</f>
        <v>none</v>
      </c>
      <c r="Z410" s="8" t="str">
        <f ca="1">VLOOKUP(Y410,[2]character_tribe_i18n!$A:$H,3,FALSE)</f>
        <v>種族なし</v>
      </c>
      <c r="AA410" s="14">
        <f ca="1">VLOOKUP(W410,[2]character_tribe_i18n!$A:$H,4,FALSE)</f>
        <v>0.96</v>
      </c>
      <c r="AB410" s="14">
        <f ca="1">VLOOKUP(W410,[2]character_tribe_i18n!$A:$H,5,FALSE)</f>
        <v>1.02</v>
      </c>
      <c r="AC410" s="14">
        <f ca="1">VLOOKUP(W410,[2]character_tribe_i18n!$A:$H,6,FALSE)</f>
        <v>1</v>
      </c>
      <c r="AD410" s="14">
        <f ca="1">VLOOKUP(W410,[2]character_tribe_i18n!$A:$H,7,FALSE)</f>
        <v>1.02</v>
      </c>
      <c r="AE410" s="12" t="s">
        <v>231</v>
      </c>
      <c r="AF410" s="85" t="str">
        <f ca="1">IF(AE410="NULL","",VLOOKUP($AE410,OFFSET([2]characters!$A$1,0,0,COUNTA([2]characters!$A:$A),MATCH(AF$1,[2]characters!$1:$1,0)-MATCH($A$1,[2]characters!$1:$1,0)+1),MATCH(AF$1,[2]characters!$1:$1,0)-MATCH($A$1,[2]characters!$1:$1,0)+1,FALSE))</f>
        <v/>
      </c>
      <c r="AG410" s="8">
        <f t="shared" ca="1" si="52"/>
        <v>408</v>
      </c>
      <c r="AH410" s="85" t="str">
        <f ca="1">VLOOKUP($AG410,OFFSET([2]characters!$A$1,0,0,COUNTA([2]characters!$A:$A),MATCH(AH$1,[2]characters!$1:$1,0)-MATCH($A$1,[2]characters!$1:$1,0)+1),MATCH(AH$1,[2]characters!$1:$1,0)-MATCH($A$1,[2]characters!$1:$1,0)+1,FALSE)</f>
        <v>皇魔 アスタロト</v>
      </c>
      <c r="AI410" s="14" t="str">
        <f>IF(AE410="NULL","NULL",VLOOKUP(G410,ビット!$A$2:$B$7,2))</f>
        <v>NULL</v>
      </c>
      <c r="AJ410" s="9">
        <v>2</v>
      </c>
      <c r="AK410" s="10" t="str">
        <f t="shared" si="65"/>
        <v>普通</v>
      </c>
      <c r="AL410" s="14" t="str">
        <f ca="1">INDEX(経験値!$A$1:$I$20,MATCH(H410,経験値!$A$1:$A$20,FALSE),MATCH(G410,経験値!$A$1:$I$1,FALSE))</f>
        <v>required_exp_200</v>
      </c>
      <c r="AM410" s="11">
        <f ca="1">VLOOKUP(G410,経験値!$A$27:$B$31,2)</f>
        <v>6400</v>
      </c>
      <c r="AN410" s="21">
        <f ca="1">VLOOKUP(G410,ビット!$G$2:$H$7,2)</f>
        <v>900</v>
      </c>
      <c r="AO410" s="57"/>
      <c r="AP410" s="101">
        <v>150005</v>
      </c>
      <c r="AQ410" s="77" t="e">
        <f ca="1">VLOOKUP($AP410,OFFSET([1]unit_skills!$A$1,0,0,COUNTA([1]unit_skills!$A:$A),MATCH("name",[1]unit_skills!$1:$1,0)-MATCH($AP$1,[1]unit_skills!$1:$1,0)+1),MATCH("name",[1]unit_skills!$1:$1,0)-MATCH($AP$1,[1]unit_skills!$1:$1,0)+1,FALSE)</f>
        <v>#VALUE!</v>
      </c>
      <c r="AR410" s="77" t="e">
        <f ca="1">VLOOKUP($AP410,OFFSET([1]unit_skills!$A$1,0,0,COUNTA([1]unit_skills!$A:$A),MATCH("comment",[1]unit_skills!$1:$1,0)-MATCH($AP$1,[1]unit_skills!$1:$1,0)+1),MATCH("comment",[1]unit_skills!$1:$1,0)-MATCH($AP$1,[1]unit_skills!$1:$1,0)+1,FALSE)</f>
        <v>#VALUE!</v>
      </c>
      <c r="AS410" s="77" t="e">
        <f ca="1">VLOOKUP($AP410,OFFSET([1]unit_skills!$A$1,0,0,COUNTA([1]unit_skills!$A:$A),MATCH(AS$1,[1]unit_skills!$1:$1,0)-MATCH($AP$1,[1]unit_skills!$1:$1,0)+1),MATCH(AS$1,[1]unit_skills!$1:$1,0)-MATCH($AP$1,[1]unit_skills!$1:$1,0)+1,FALSE)</f>
        <v>#VALUE!</v>
      </c>
      <c r="AT410" s="53">
        <v>114019</v>
      </c>
      <c r="AU410" s="77" t="e">
        <f ca="1">VLOOKUP($AT410,OFFSET([1]crash_skills!$A$1,0,0,COUNTA([1]crash_skills!$A:$A),MATCH("name",[1]crash_skills!$1:$1,0)-MATCH($AT$1,[1]crash_skills!$1:$1,0)+1),MATCH("name",[1]crash_skills!$1:$1,0)-MATCH($AT$1,[1]crash_skills!$1:$1,0)+1,FALSE)</f>
        <v>#VALUE!</v>
      </c>
      <c r="AV410" s="77" t="e">
        <f ca="1">VLOOKUP($AT410,OFFSET([1]crash_skills!$A$1,0,0,COUNTA([1]crash_skills!$A:$A),MATCH("comment",[1]crash_skills!$1:$1,0)-MATCH($AT$1,[1]crash_skills!$1:$1,0)+1),MATCH("comment",[1]crash_skills!$1:$1,0)-MATCH($AT$1,[1]crash_skills!$1:$1,0)+1,FALSE)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10" s="77" t="e">
        <f ca="1">VLOOKUP($AT410,OFFSET([1]crash_skills!$A$1,0,0,COUNTA([1]crash_skills!$A:$A),MATCH(AW$1,[1]crash_skills!$1:$1,0)-MATCH($AT$1,[1]crash_skills!$1:$1,0)+1),MATCH(AW$1,[1]crash_skills!$1:$1,0)-MATCH($AT$1,[1]crash_skills!$1:$1,0)+1,FALSE)</f>
        <v>#VALUE!</v>
      </c>
      <c r="AX410" s="81">
        <f ca="1">VLOOKUP($A410,OFFSET([2]characters!$A$1,0,0,COUNTA([2]characters!$A:$A),MATCH(AX$1,[2]characters!$1:$1,0)-MATCH($A$1,[2]characters!$1:$1,0)+1),MATCH(AX$1,[2]characters!$1:$1,0)-MATCH($A$1,[2]characters!$1:$1,0)+1,FALSE)</f>
        <v>3</v>
      </c>
      <c r="AY410" s="139">
        <v>1.21</v>
      </c>
      <c r="AZ410" s="139">
        <v>1.026</v>
      </c>
      <c r="BA410" s="139">
        <v>0</v>
      </c>
      <c r="BB410" s="139">
        <v>1.18</v>
      </c>
      <c r="BC410" s="14">
        <f ca="1">INDEX('RC6SV'!$A$1:$G$20,MATCH(H410,'RC6SV'!$A$1:$A$20,FALSE),MATCH(G410,'RC6SV'!$A$1:$G$1,FALSE))</f>
        <v>9500</v>
      </c>
      <c r="BD410" s="63">
        <f t="shared" ca="1" si="66"/>
        <v>9500</v>
      </c>
      <c r="BE410" s="14">
        <f t="shared" ca="1" si="53"/>
        <v>7500</v>
      </c>
      <c r="BF410" s="14">
        <f t="shared" ca="1" si="54"/>
        <v>1</v>
      </c>
      <c r="BG410" s="20">
        <f ca="1">IF($BE410&lt;=0,ROUND(BK410*0.5,0), ROUND($BE410*S410*AA410*J410*AY410*0.8*[2]ステータス!$B$2,0))</f>
        <v>3415</v>
      </c>
      <c r="BH410" s="20">
        <f ca="1">IF($BE410&lt;=0,ROUND(BL410*0.5,0), ROUND($BE410*T410*AB410*K410*AZ410*0.8*[2]ステータス!$C$2,0))</f>
        <v>2530</v>
      </c>
      <c r="BI410" s="20">
        <f ca="1">IF($BE410&lt;=0,ROUND(BM410*0.5,0), ROUND($BE410*U410*AC410*L410*BA410*0.8*[2]ステータス!$D$2,0))</f>
        <v>0</v>
      </c>
      <c r="BJ410" s="20">
        <f ca="1">IF($BE410&lt;=0,ROUND(BN410*0.5,0), ROUND($BE410*V410*AD410*M410*BB410*0.8*[2]ステータス!$E$2,0))</f>
        <v>1222</v>
      </c>
      <c r="BK410" s="14">
        <f ca="1">ROUND(BD410*S410*AA410*J410*AY410*[2]ステータス!$B$2,0)</f>
        <v>5407</v>
      </c>
      <c r="BL410" s="14">
        <f ca="1">ROUND(BD410*T410*AB410*K410*AZ410*[2]ステータス!$C$2,0)</f>
        <v>4007</v>
      </c>
      <c r="BM410" s="14">
        <f ca="1">ROUND(BD410*U410*AC410*L410*BA410*[2]ステータス!$D$2,0)</f>
        <v>0</v>
      </c>
      <c r="BN410" s="14">
        <f ca="1">ROUND(BD410*V410*AD410*M410*BB410*[2]ステータス!$E$2,0)</f>
        <v>1934</v>
      </c>
      <c r="BO410" s="13">
        <v>0</v>
      </c>
      <c r="BP410" s="13">
        <v>1</v>
      </c>
      <c r="BQ410" s="49" t="s">
        <v>102</v>
      </c>
      <c r="BR410" s="13">
        <f ca="1">VLOOKUP(H410,ghosts_label!$A$2:$B$19,2,FALSE)</f>
        <v>5500</v>
      </c>
    </row>
    <row r="411" spans="1:70" ht="21" customHeight="1" x14ac:dyDescent="0.15">
      <c r="A411" s="14">
        <v>418</v>
      </c>
      <c r="B411" s="77" t="str">
        <f ca="1">VLOOKUP($A411,OFFSET([2]characters!$A$1,0,0,COUNTA([2]characters!$A:$A),MATCH(B$1,[2]characters!$1:$1,0)-MATCH($A$1,[2]characters!$1:$1,0)+1),MATCH(B$1,[2]characters!$1:$1,0)-MATCH($A$1,[2]characters!$1:$1,0)+1,FALSE)</f>
        <v>ウラシマ</v>
      </c>
      <c r="C411" s="77" t="str">
        <f ca="1">VLOOKUP($A411,OFFSET([2]characters!$A$1,0,0,COUNTA([2]characters!$A:$A),MATCH(C$1,[2]characters!$1:$1,0)-MATCH($A$1,[2]characters!$1:$1,0)+1),MATCH(C$1,[2]characters!$1:$1,0)-MATCH($A$1,[2]characters!$1:$1,0)+1,FALSE)</f>
        <v>イベント:アリスの絵本02</v>
      </c>
      <c r="D411" s="77" t="str">
        <f ca="1">VLOOKUP($A411,OFFSET([2]characters!$A$1,0,0,COUNTA([2]characters!$A:$A),MATCH(D$1,[2]characters!$1:$1,0)-MATCH($A$1,[2]characters!$1:$1,0)+1),MATCH(D$1,[2]characters!$1:$1,0)-MATCH($A$1,[2]characters!$1:$1,0)+1,FALSE)</f>
        <v>執行者</v>
      </c>
      <c r="E411" s="77" t="str">
        <f ca="1">VLOOKUP($A411,OFFSET([2]characters!$A$1,0,0,COUNTA([2]characters!$A:$A),MATCH(E$1,[2]characters!$1:$1,0)-MATCH($A$1,[2]characters!$1:$1,0)+1),MATCH(E$1,[2]characters!$1:$1,0)-MATCH($A$1,[2]characters!$1:$1,0)+1,FALSE)</f>
        <v>格好いい</v>
      </c>
      <c r="F411" s="77" t="str">
        <f ca="1">VLOOKUP($A411,OFFSET([2]characters!$A$1,0,0,COUNTA([2]characters!$A:$A),MATCH(F$1,[2]characters!$1:$1,0)-MATCH($A$1,[2]characters!$1:$1,0)+1),MATCH(F$1,[2]characters!$1:$1,0)-MATCH($A$1,[2]characters!$1:$1,0)+1,FALSE)</f>
        <v>男性</v>
      </c>
      <c r="G411" s="77">
        <f ca="1">VLOOKUP($A411,OFFSET([2]characters!$A$1,0,0,COUNTA([2]characters!$A:$A),MATCH(G$1,[2]characters!$1:$1,0)-MATCH($A$1,[2]characters!$1:$1,0)+1),MATCH(G$1,[2]characters!$1:$1,0)-MATCH($A$1,[2]characters!$1:$1,0)+1,FALSE)</f>
        <v>4</v>
      </c>
      <c r="H411" s="77" t="str">
        <f ca="1">VLOOKUP($A411,OFFSET([2]characters!$A$1,0,0,COUNTA([2]characters!$A:$A),MATCH(H$1,[2]characters!$1:$1,0)-MATCH($A$1,[2]characters!$1:$1,0)+1),MATCH(H$1,[2]characters!$1:$1,0)-MATCH($A$1,[2]characters!$1:$1,0)+1,FALSE)</f>
        <v>Drop2N</v>
      </c>
      <c r="I411" s="77" t="str">
        <f ca="1">VLOOKUP($A411,OFFSET([2]characters!$A$1,0,0,COUNTA([2]characters!$A:$A),MATCH(I$1,[2]characters!$1:$1,0)-MATCH($A$1,[2]characters!$1:$1,0)+1),MATCH(I$1,[2]characters!$1:$1,0)-MATCH($A$1,[2]characters!$1:$1,0)+1,FALSE)</f>
        <v>red</v>
      </c>
      <c r="J411" s="14">
        <f ca="1">VLOOKUP(I411,[2]属性!$A:$E,2,FALSE)</f>
        <v>1</v>
      </c>
      <c r="K411" s="14">
        <f ca="1">VLOOKUP(I411,[2]属性!$A:$E,3,FALSE)</f>
        <v>1.02</v>
      </c>
      <c r="L411" s="14">
        <f ca="1">VLOOKUP(I411,[2]属性!$A:$E,4,FALSE)</f>
        <v>1</v>
      </c>
      <c r="M411" s="14">
        <f ca="1">VLOOKUP(I411,[2]属性!$A:$E,5,FALSE)</f>
        <v>0.98</v>
      </c>
      <c r="N411" s="14">
        <f ca="1">INDEX(コスト!$A$1:$I$20,MATCH(H411,コスト!$A$1:$A$20,FALSE),MATCH(G411,コスト!$A$1:$I$1,FALSE))</f>
        <v>17</v>
      </c>
      <c r="O411" s="14">
        <f ca="1">INDEX(レベル!$A$1:$I$21,MATCH(H411,レベル!$A$1:$A$21,FALSE),MATCH(G411,レベル!$A$1:$I$1,FALSE))</f>
        <v>60</v>
      </c>
      <c r="P411" s="63">
        <f t="shared" ca="1" si="64"/>
        <v>60</v>
      </c>
      <c r="Q411" s="77" t="str">
        <f ca="1">VLOOKUP($A411,OFFSET([2]characters!$A$1,0,0,COUNTA([2]characters!$A:$A),MATCH(Q$1,[2]characters!$1:$1,0)-MATCH($A$1,[2]characters!$1:$1,0)+1),MATCH(Q$1,[2]characters!$1:$1,0)-MATCH($A$1,[2]characters!$1:$1,0)+1,FALSE)</f>
        <v>hp</v>
      </c>
      <c r="R411" s="8" t="str">
        <f ca="1">VLOOKUP(Q411,[2]character_type_i18n!$A:$H,3,FALSE)</f>
        <v>体力タイプ</v>
      </c>
      <c r="S411" s="14">
        <f ca="1">VLOOKUP(Q411,[2]character_type_i18n!$A:$H,4,FALSE)</f>
        <v>1.45</v>
      </c>
      <c r="T411" s="14">
        <f ca="1">VLOOKUP(Q411,[2]character_type_i18n!$A:$H,5,FALSE)</f>
        <v>0.85</v>
      </c>
      <c r="U411" s="14">
        <f ca="1">VLOOKUP(Q411,[2]character_type_i18n!$A:$H,6,FALSE)</f>
        <v>1</v>
      </c>
      <c r="V411" s="14">
        <f ca="1">VLOOKUP(Q411,[2]character_type_i18n!$A:$H,7,FALSE)</f>
        <v>0.7</v>
      </c>
      <c r="W411" s="77" t="str">
        <f ca="1">VLOOKUP($A411,OFFSET([2]characters!$A$1,0,0,COUNTA([2]characters!$A:$A),MATCH(W$1,[2]characters!$1:$1,0)-MATCH($A$1,[2]characters!$1:$1,0)+1),MATCH(W$1,[2]characters!$1:$1,0)-MATCH($A$1,[2]characters!$1:$1,0)+1,FALSE)</f>
        <v>human</v>
      </c>
      <c r="X411" s="8" t="str">
        <f ca="1">VLOOKUP(W411,[2]character_tribe_i18n!$A:$H,3,FALSE)</f>
        <v>ヒューマン</v>
      </c>
      <c r="Y411" s="77" t="str">
        <f ca="1">VLOOKUP($A411,OFFSET([2]characters!$A$1,0,0,COUNTA([2]characters!$A:$A),MATCH(Y$1,[2]characters!$1:$1,0)-MATCH($A$1,[2]characters!$1:$1,0)+1),MATCH(Y$1,[2]characters!$1:$1,0)-MATCH($A$1,[2]characters!$1:$1,0)+1,FALSE)</f>
        <v>none</v>
      </c>
      <c r="Z411" s="8" t="str">
        <f ca="1">VLOOKUP(Y411,[2]character_tribe_i18n!$A:$H,3,FALSE)</f>
        <v>種族なし</v>
      </c>
      <c r="AA411" s="14">
        <f ca="1">VLOOKUP(W411,[2]character_tribe_i18n!$A:$H,4,FALSE)</f>
        <v>0.94</v>
      </c>
      <c r="AB411" s="14">
        <f ca="1">VLOOKUP(W411,[2]character_tribe_i18n!$A:$H,5,FALSE)</f>
        <v>0.99</v>
      </c>
      <c r="AC411" s="14">
        <f ca="1">VLOOKUP(W411,[2]character_tribe_i18n!$A:$H,6,FALSE)</f>
        <v>1</v>
      </c>
      <c r="AD411" s="14">
        <f ca="1">VLOOKUP(W411,[2]character_tribe_i18n!$A:$H,7,FALSE)</f>
        <v>1.07</v>
      </c>
      <c r="AE411" s="12">
        <v>419</v>
      </c>
      <c r="AF411" s="85" t="str">
        <f ca="1">IF(AE411="NULL","",VLOOKUP($AE411,OFFSET([2]characters!$A$1,0,0,COUNTA([2]characters!$A:$A),MATCH(AF$1,[2]characters!$1:$1,0)-MATCH($A$1,[2]characters!$1:$1,0)+1),MATCH(AF$1,[2]characters!$1:$1,0)-MATCH($A$1,[2]characters!$1:$1,0)+1,FALSE))</f>
        <v>宣戦の解城 ウラシマ</v>
      </c>
      <c r="AG411" s="8">
        <f t="shared" ca="1" si="52"/>
        <v>418</v>
      </c>
      <c r="AH411" s="85" t="str">
        <f ca="1">VLOOKUP($AG411,OFFSET([2]characters!$A$1,0,0,COUNTA([2]characters!$A:$A),MATCH(AH$1,[2]characters!$1:$1,0)-MATCH($A$1,[2]characters!$1:$1,0)+1),MATCH(AH$1,[2]characters!$1:$1,0)-MATCH($A$1,[2]characters!$1:$1,0)+1,FALSE)</f>
        <v>ウラシマ</v>
      </c>
      <c r="AI411" s="14">
        <f ca="1">IF(AE411="NULL","NULL",VLOOKUP(G411,ビット!$A$2:$B$7,2))</f>
        <v>50000</v>
      </c>
      <c r="AJ411" s="9">
        <v>2</v>
      </c>
      <c r="AK411" s="10" t="str">
        <f t="shared" si="65"/>
        <v>普通</v>
      </c>
      <c r="AL411" s="14" t="str">
        <f ca="1">INDEX(経験値!$A$1:$I$20,MATCH(H411,経験値!$A$1:$A$20,FALSE),MATCH(G411,経験値!$A$1:$I$1,FALSE))</f>
        <v>required_exp_200</v>
      </c>
      <c r="AM411" s="11">
        <f ca="1">VLOOKUP(G411,経験値!$A$27:$B$31,2)</f>
        <v>3400</v>
      </c>
      <c r="AN411" s="21">
        <f ca="1">VLOOKUP(G411,ビット!$G$2:$H$7,2)</f>
        <v>600</v>
      </c>
      <c r="AO411" s="57"/>
      <c r="AP411" s="97">
        <v>222020</v>
      </c>
      <c r="AQ411" s="77" t="e">
        <f ca="1">VLOOKUP($AP411,OFFSET([1]unit_skills!$A$1,0,0,COUNTA([1]unit_skills!$A:$A),MATCH("name",[1]unit_skills!$1:$1,0)-MATCH($AP$1,[1]unit_skills!$1:$1,0)+1),MATCH("name",[1]unit_skills!$1:$1,0)-MATCH($AP$1,[1]unit_skills!$1:$1,0)+1,FALSE)</f>
        <v>#VALUE!</v>
      </c>
      <c r="AR411" s="77" t="e">
        <f ca="1">VLOOKUP($AP411,OFFSET([1]unit_skills!$A$1,0,0,COUNTA([1]unit_skills!$A:$A),MATCH("comment",[1]unit_skills!$1:$1,0)-MATCH($AP$1,[1]unit_skills!$1:$1,0)+1),MATCH("comment",[1]unit_skills!$1:$1,0)-MATCH($AP$1,[1]unit_skills!$1:$1,0)+1,FALSE)</f>
        <v>#VALUE!</v>
      </c>
      <c r="AS411" s="77" t="e">
        <f ca="1">VLOOKUP($AP411,OFFSET([1]unit_skills!$A$1,0,0,COUNTA([1]unit_skills!$A:$A),MATCH(AS$1,[1]unit_skills!$1:$1,0)-MATCH($AP$1,[1]unit_skills!$1:$1,0)+1),MATCH(AS$1,[1]unit_skills!$1:$1,0)-MATCH($AP$1,[1]unit_skills!$1:$1,0)+1,FALSE)</f>
        <v>#VALUE!</v>
      </c>
      <c r="AT411" s="158">
        <v>181407</v>
      </c>
      <c r="AU411" s="77" t="e">
        <f ca="1">VLOOKUP($AT411,OFFSET([1]crash_skills!$A$1,0,0,COUNTA([1]crash_skills!$A:$A),MATCH("name",[1]crash_skills!$1:$1,0)-MATCH($AT$1,[1]crash_skills!$1:$1,0)+1),MATCH("name",[1]crash_skills!$1:$1,0)-MATCH($AT$1,[1]crash_skills!$1:$1,0)+1,FALSE)</f>
        <v>#VALUE!</v>
      </c>
      <c r="AV411" s="77" t="e">
        <f ca="1">VLOOKUP($AT411,OFFSET([1]crash_skills!$A$1,0,0,COUNTA([1]crash_skills!$A:$A),MATCH("comment",[1]crash_skills!$1:$1,0)-MATCH($AT$1,[1]crash_skills!$1:$1,0)+1),MATCH("comment",[1]crash_skills!$1:$1,0)-MATCH($AT$1,[1]crash_skills!$1:$1,0)+1,FALSE)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11" s="77" t="e">
        <f ca="1">VLOOKUP($AT411,OFFSET([1]crash_skills!$A$1,0,0,COUNTA([1]crash_skills!$A:$A),MATCH(AW$1,[1]crash_skills!$1:$1,0)-MATCH($AT$1,[1]crash_skills!$1:$1,0)+1),MATCH(AW$1,[1]crash_skills!$1:$1,0)-MATCH($AT$1,[1]crash_skills!$1:$1,0)+1,FALSE)</f>
        <v>#VALUE!</v>
      </c>
      <c r="AX411" s="81">
        <f ca="1">VLOOKUP($A411,OFFSET([2]characters!$A$1,0,0,COUNTA([2]characters!$A:$A),MATCH(AX$1,[2]characters!$1:$1,0)-MATCH($A$1,[2]characters!$1:$1,0)+1),MATCH(AX$1,[2]characters!$1:$1,0)-MATCH($A$1,[2]characters!$1:$1,0)+1,FALSE)</f>
        <v>3</v>
      </c>
      <c r="AY411" s="139">
        <v>1</v>
      </c>
      <c r="AZ411" s="139">
        <v>1.27</v>
      </c>
      <c r="BA411" s="139">
        <v>0</v>
      </c>
      <c r="BB411" s="139">
        <v>1.1000000000000001</v>
      </c>
      <c r="BC411" s="14">
        <f ca="1">INDEX('RC6SV'!$A$1:$G$20,MATCH(H411,'RC6SV'!$A$1:$A$20,FALSE),MATCH(G411,'RC6SV'!$A$1:$G$1,FALSE))</f>
        <v>5800</v>
      </c>
      <c r="BD411" s="63">
        <f t="shared" ca="1" si="66"/>
        <v>5800</v>
      </c>
      <c r="BE411" s="14">
        <f t="shared" ca="1" si="53"/>
        <v>0</v>
      </c>
      <c r="BF411" s="14">
        <f t="shared" ca="1" si="54"/>
        <v>1</v>
      </c>
      <c r="BG411" s="20">
        <f ca="1">IF($BE411&lt;=0,ROUND(BK411*0.5,0), ROUND($BE411*S411*AA411*J411*AY411*0.8*[2]ステータス!$B$2,0))</f>
        <v>1977</v>
      </c>
      <c r="BH411" s="20">
        <f ca="1">IF($BE411&lt;=0,ROUND(BL411*0.5,0), ROUND($BE411*T411*AB411*K411*AZ411*0.8*[2]ステータス!$C$2,0))</f>
        <v>949</v>
      </c>
      <c r="BI411" s="20">
        <f ca="1">IF($BE411&lt;=0,ROUND(BM411*0.5,0), ROUND($BE411*U411*AC411*L411*BA411*0.8*[2]ステータス!$D$2,0))</f>
        <v>0</v>
      </c>
      <c r="BJ411" s="20">
        <f ca="1">IF($BE411&lt;=0,ROUND(BN411*0.5,0), ROUND($BE411*V411*AD411*M411*BB411*0.8*[2]ステータス!$E$2,0))</f>
        <v>586</v>
      </c>
      <c r="BK411" s="14">
        <f ca="1">ROUND(BD411*S411*AA411*J411*AY411*[2]ステータス!$B$2,0)</f>
        <v>3953</v>
      </c>
      <c r="BL411" s="14">
        <f ca="1">ROUND(BD411*T411*AB411*K411*AZ411*[2]ステータス!$C$2,0)</f>
        <v>1897</v>
      </c>
      <c r="BM411" s="14">
        <f ca="1">ROUND(BD411*U411*AC411*L411*BA411*[2]ステータス!$D$2,0)</f>
        <v>0</v>
      </c>
      <c r="BN411" s="14">
        <f ca="1">ROUND(BD411*V411*AD411*M411*BB411*[2]ステータス!$E$2,0)</f>
        <v>1171</v>
      </c>
      <c r="BO411" s="13">
        <v>0</v>
      </c>
      <c r="BP411" s="13">
        <v>1</v>
      </c>
      <c r="BQ411" s="49" t="s">
        <v>102</v>
      </c>
      <c r="BR411" s="13">
        <f ca="1">VLOOKUP(H411,ghosts_label!$A$2:$B$19,2,FALSE)</f>
        <v>1</v>
      </c>
    </row>
    <row r="412" spans="1:70" ht="21" customHeight="1" x14ac:dyDescent="0.15">
      <c r="A412" s="14">
        <v>419</v>
      </c>
      <c r="B412" s="77" t="str">
        <f ca="1">VLOOKUP($A412,OFFSET([2]characters!$A$1,0,0,COUNTA([2]characters!$A:$A),MATCH(B$1,[2]characters!$1:$1,0)-MATCH($A$1,[2]characters!$1:$1,0)+1),MATCH(B$1,[2]characters!$1:$1,0)-MATCH($A$1,[2]characters!$1:$1,0)+1,FALSE)</f>
        <v>宣戦の解城 ウラシマ</v>
      </c>
      <c r="C412" s="77" t="str">
        <f ca="1">VLOOKUP($A412,OFFSET([2]characters!$A$1,0,0,COUNTA([2]characters!$A:$A),MATCH(C$1,[2]characters!$1:$1,0)-MATCH($A$1,[2]characters!$1:$1,0)+1),MATCH(C$1,[2]characters!$1:$1,0)-MATCH($A$1,[2]characters!$1:$1,0)+1,FALSE)</f>
        <v>イベント:アリスの絵本02</v>
      </c>
      <c r="D412" s="77" t="str">
        <f ca="1">VLOOKUP($A412,OFFSET([2]characters!$A$1,0,0,COUNTA([2]characters!$A:$A),MATCH(D$1,[2]characters!$1:$1,0)-MATCH($A$1,[2]characters!$1:$1,0)+1),MATCH(D$1,[2]characters!$1:$1,0)-MATCH($A$1,[2]characters!$1:$1,0)+1,FALSE)</f>
        <v>執行者</v>
      </c>
      <c r="E412" s="77" t="str">
        <f ca="1">VLOOKUP($A412,OFFSET([2]characters!$A$1,0,0,COUNTA([2]characters!$A:$A),MATCH(E$1,[2]characters!$1:$1,0)-MATCH($A$1,[2]characters!$1:$1,0)+1),MATCH(E$1,[2]characters!$1:$1,0)-MATCH($A$1,[2]characters!$1:$1,0)+1,FALSE)</f>
        <v>格好いい</v>
      </c>
      <c r="F412" s="77" t="str">
        <f ca="1">VLOOKUP($A412,OFFSET([2]characters!$A$1,0,0,COUNTA([2]characters!$A:$A),MATCH(F$1,[2]characters!$1:$1,0)-MATCH($A$1,[2]characters!$1:$1,0)+1),MATCH(F$1,[2]characters!$1:$1,0)-MATCH($A$1,[2]characters!$1:$1,0)+1,FALSE)</f>
        <v>男性</v>
      </c>
      <c r="G412" s="77">
        <f ca="1">VLOOKUP($A412,OFFSET([2]characters!$A$1,0,0,COUNTA([2]characters!$A:$A),MATCH(G$1,[2]characters!$1:$1,0)-MATCH($A$1,[2]characters!$1:$1,0)+1),MATCH(G$1,[2]characters!$1:$1,0)-MATCH($A$1,[2]characters!$1:$1,0)+1,FALSE)</f>
        <v>5</v>
      </c>
      <c r="H412" s="77" t="str">
        <f ca="1">VLOOKUP($A412,OFFSET([2]characters!$A$1,0,0,COUNTA([2]characters!$A:$A),MATCH(H$1,[2]characters!$1:$1,0)-MATCH($A$1,[2]characters!$1:$1,0)+1),MATCH(H$1,[2]characters!$1:$1,0)-MATCH($A$1,[2]characters!$1:$1,0)+1,FALSE)</f>
        <v>Drop2N</v>
      </c>
      <c r="I412" s="77" t="str">
        <f ca="1">VLOOKUP($A412,OFFSET([2]characters!$A$1,0,0,COUNTA([2]characters!$A:$A),MATCH(I$1,[2]characters!$1:$1,0)-MATCH($A$1,[2]characters!$1:$1,0)+1),MATCH(I$1,[2]characters!$1:$1,0)-MATCH($A$1,[2]characters!$1:$1,0)+1,FALSE)</f>
        <v>red</v>
      </c>
      <c r="J412" s="14">
        <f ca="1">VLOOKUP(I412,[2]属性!$A:$E,2,FALSE)</f>
        <v>1</v>
      </c>
      <c r="K412" s="14">
        <f ca="1">VLOOKUP(I412,[2]属性!$A:$E,3,FALSE)</f>
        <v>1.02</v>
      </c>
      <c r="L412" s="14">
        <f ca="1">VLOOKUP(I412,[2]属性!$A:$E,4,FALSE)</f>
        <v>1</v>
      </c>
      <c r="M412" s="14">
        <f ca="1">VLOOKUP(I412,[2]属性!$A:$E,5,FALSE)</f>
        <v>0.98</v>
      </c>
      <c r="N412" s="14">
        <f ca="1">INDEX(コスト!$A$1:$I$20,MATCH(H412,コスト!$A$1:$A$20,FALSE),MATCH(G412,コスト!$A$1:$I$1,FALSE))</f>
        <v>26</v>
      </c>
      <c r="O412" s="14">
        <f ca="1">INDEX(レベル!$A$1:$I$21,MATCH(H412,レベル!$A$1:$A$21,FALSE),MATCH(G412,レベル!$A$1:$I$1,FALSE))</f>
        <v>80</v>
      </c>
      <c r="P412" s="63">
        <f t="shared" ca="1" si="64"/>
        <v>75</v>
      </c>
      <c r="Q412" s="77" t="str">
        <f ca="1">VLOOKUP($A412,OFFSET([2]characters!$A$1,0,0,COUNTA([2]characters!$A:$A),MATCH(Q$1,[2]characters!$1:$1,0)-MATCH($A$1,[2]characters!$1:$1,0)+1),MATCH(Q$1,[2]characters!$1:$1,0)-MATCH($A$1,[2]characters!$1:$1,0)+1,FALSE)</f>
        <v>hp</v>
      </c>
      <c r="R412" s="8" t="str">
        <f ca="1">VLOOKUP(Q412,[2]character_type_i18n!$A:$H,3,FALSE)</f>
        <v>体力タイプ</v>
      </c>
      <c r="S412" s="14">
        <f ca="1">VLOOKUP(Q412,[2]character_type_i18n!$A:$H,4,FALSE)</f>
        <v>1.45</v>
      </c>
      <c r="T412" s="14">
        <f ca="1">VLOOKUP(Q412,[2]character_type_i18n!$A:$H,5,FALSE)</f>
        <v>0.85</v>
      </c>
      <c r="U412" s="14">
        <f ca="1">VLOOKUP(Q412,[2]character_type_i18n!$A:$H,6,FALSE)</f>
        <v>1</v>
      </c>
      <c r="V412" s="14">
        <f ca="1">VLOOKUP(Q412,[2]character_type_i18n!$A:$H,7,FALSE)</f>
        <v>0.7</v>
      </c>
      <c r="W412" s="77" t="str">
        <f ca="1">VLOOKUP($A412,OFFSET([2]characters!$A$1,0,0,COUNTA([2]characters!$A:$A),MATCH(W$1,[2]characters!$1:$1,0)-MATCH($A$1,[2]characters!$1:$1,0)+1),MATCH(W$1,[2]characters!$1:$1,0)-MATCH($A$1,[2]characters!$1:$1,0)+1,FALSE)</f>
        <v>human</v>
      </c>
      <c r="X412" s="8" t="str">
        <f ca="1">VLOOKUP(W412,[2]character_tribe_i18n!$A:$H,3,FALSE)</f>
        <v>ヒューマン</v>
      </c>
      <c r="Y412" s="77" t="str">
        <f ca="1">VLOOKUP($A412,OFFSET([2]characters!$A$1,0,0,COUNTA([2]characters!$A:$A),MATCH(Y$1,[2]characters!$1:$1,0)-MATCH($A$1,[2]characters!$1:$1,0)+1),MATCH(Y$1,[2]characters!$1:$1,0)-MATCH($A$1,[2]characters!$1:$1,0)+1,FALSE)</f>
        <v>none</v>
      </c>
      <c r="Z412" s="8" t="str">
        <f ca="1">VLOOKUP(Y412,[2]character_tribe_i18n!$A:$H,3,FALSE)</f>
        <v>種族なし</v>
      </c>
      <c r="AA412" s="14">
        <f ca="1">VLOOKUP(W412,[2]character_tribe_i18n!$A:$H,4,FALSE)</f>
        <v>0.94</v>
      </c>
      <c r="AB412" s="14">
        <f ca="1">VLOOKUP(W412,[2]character_tribe_i18n!$A:$H,5,FALSE)</f>
        <v>0.99</v>
      </c>
      <c r="AC412" s="14">
        <f ca="1">VLOOKUP(W412,[2]character_tribe_i18n!$A:$H,6,FALSE)</f>
        <v>1</v>
      </c>
      <c r="AD412" s="14">
        <f ca="1">VLOOKUP(W412,[2]character_tribe_i18n!$A:$H,7,FALSE)</f>
        <v>1.07</v>
      </c>
      <c r="AE412" s="12" t="s">
        <v>231</v>
      </c>
      <c r="AF412" s="85" t="str">
        <f ca="1">IF(AE412="NULL","",VLOOKUP($AE412,OFFSET([2]characters!$A$1,0,0,COUNTA([2]characters!$A:$A),MATCH(AF$1,[2]characters!$1:$1,0)-MATCH($A$1,[2]characters!$1:$1,0)+1),MATCH(AF$1,[2]characters!$1:$1,0)-MATCH($A$1,[2]characters!$1:$1,0)+1,FALSE))</f>
        <v/>
      </c>
      <c r="AG412" s="8">
        <f t="shared" ca="1" si="52"/>
        <v>418</v>
      </c>
      <c r="AH412" s="85" t="str">
        <f ca="1">VLOOKUP($AG412,OFFSET([2]characters!$A$1,0,0,COUNTA([2]characters!$A:$A),MATCH(AH$1,[2]characters!$1:$1,0)-MATCH($A$1,[2]characters!$1:$1,0)+1),MATCH(AH$1,[2]characters!$1:$1,0)-MATCH($A$1,[2]characters!$1:$1,0)+1,FALSE)</f>
        <v>ウラシマ</v>
      </c>
      <c r="AI412" s="14" t="str">
        <f>IF(AE412="NULL","NULL",VLOOKUP(G412,ビット!$A$2:$B$7,2))</f>
        <v>NULL</v>
      </c>
      <c r="AJ412" s="9">
        <v>2</v>
      </c>
      <c r="AK412" s="10" t="str">
        <f t="shared" si="65"/>
        <v>普通</v>
      </c>
      <c r="AL412" s="14" t="str">
        <f ca="1">INDEX(経験値!$A$1:$I$20,MATCH(H412,経験値!$A$1:$A$20,FALSE),MATCH(G412,経験値!$A$1:$I$1,FALSE))</f>
        <v>required_exp_200</v>
      </c>
      <c r="AM412" s="11">
        <f ca="1">VLOOKUP(G412,経験値!$A$27:$B$31,2)</f>
        <v>6400</v>
      </c>
      <c r="AN412" s="21">
        <f ca="1">VLOOKUP(G412,ビット!$G$2:$H$7,2)</f>
        <v>900</v>
      </c>
      <c r="AO412" s="57"/>
      <c r="AP412" s="97">
        <v>222020</v>
      </c>
      <c r="AQ412" s="77" t="e">
        <f ca="1">VLOOKUP($AP412,OFFSET([1]unit_skills!$A$1,0,0,COUNTA([1]unit_skills!$A:$A),MATCH("name",[1]unit_skills!$1:$1,0)-MATCH($AP$1,[1]unit_skills!$1:$1,0)+1),MATCH("name",[1]unit_skills!$1:$1,0)-MATCH($AP$1,[1]unit_skills!$1:$1,0)+1,FALSE)</f>
        <v>#VALUE!</v>
      </c>
      <c r="AR412" s="77" t="e">
        <f ca="1">VLOOKUP($AP412,OFFSET([1]unit_skills!$A$1,0,0,COUNTA([1]unit_skills!$A:$A),MATCH("comment",[1]unit_skills!$1:$1,0)-MATCH($AP$1,[1]unit_skills!$1:$1,0)+1),MATCH("comment",[1]unit_skills!$1:$1,0)-MATCH($AP$1,[1]unit_skills!$1:$1,0)+1,FALSE)</f>
        <v>#VALUE!</v>
      </c>
      <c r="AS412" s="77" t="e">
        <f ca="1">VLOOKUP($AP412,OFFSET([1]unit_skills!$A$1,0,0,COUNTA([1]unit_skills!$A:$A),MATCH(AS$1,[1]unit_skills!$1:$1,0)-MATCH($AP$1,[1]unit_skills!$1:$1,0)+1),MATCH(AS$1,[1]unit_skills!$1:$1,0)-MATCH($AP$1,[1]unit_skills!$1:$1,0)+1,FALSE)</f>
        <v>#VALUE!</v>
      </c>
      <c r="AT412" s="158">
        <v>181408</v>
      </c>
      <c r="AU412" s="77" t="e">
        <f ca="1">VLOOKUP($AT412,OFFSET([1]crash_skills!$A$1,0,0,COUNTA([1]crash_skills!$A:$A),MATCH("name",[1]crash_skills!$1:$1,0)-MATCH($AT$1,[1]crash_skills!$1:$1,0)+1),MATCH("name",[1]crash_skills!$1:$1,0)-MATCH($AT$1,[1]crash_skills!$1:$1,0)+1,FALSE)</f>
        <v>#VALUE!</v>
      </c>
      <c r="AV412" s="77" t="e">
        <f ca="1">VLOOKUP($AT412,OFFSET([1]crash_skills!$A$1,0,0,COUNTA([1]crash_skills!$A:$A),MATCH("comment",[1]crash_skills!$1:$1,0)-MATCH($AT$1,[1]crash_skills!$1:$1,0)+1),MATCH("comment",[1]crash_skills!$1:$1,0)-MATCH($AT$1,[1]crash_skills!$1:$1,0)+1,FALSE)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12" s="77" t="e">
        <f ca="1">VLOOKUP($AT412,OFFSET([1]crash_skills!$A$1,0,0,COUNTA([1]crash_skills!$A:$A),MATCH(AW$1,[1]crash_skills!$1:$1,0)-MATCH($AT$1,[1]crash_skills!$1:$1,0)+1),MATCH(AW$1,[1]crash_skills!$1:$1,0)-MATCH($AT$1,[1]crash_skills!$1:$1,0)+1,FALSE)</f>
        <v>#VALUE!</v>
      </c>
      <c r="AX412" s="81">
        <f ca="1">VLOOKUP($A412,OFFSET([2]characters!$A$1,0,0,COUNTA([2]characters!$A:$A),MATCH(AX$1,[2]characters!$1:$1,0)-MATCH($A$1,[2]characters!$1:$1,0)+1),MATCH(AX$1,[2]characters!$1:$1,0)-MATCH($A$1,[2]characters!$1:$1,0)+1,FALSE)</f>
        <v>3</v>
      </c>
      <c r="AY412" s="139">
        <v>1</v>
      </c>
      <c r="AZ412" s="139">
        <v>1.27</v>
      </c>
      <c r="BA412" s="139">
        <v>0</v>
      </c>
      <c r="BB412" s="139">
        <v>1.1000000000000001</v>
      </c>
      <c r="BC412" s="14">
        <f ca="1">INDEX('RC6SV'!$A$1:$G$20,MATCH(H412,'RC6SV'!$A$1:$A$20,FALSE),MATCH(G412,'RC6SV'!$A$1:$G$1,FALSE))</f>
        <v>7600</v>
      </c>
      <c r="BD412" s="63">
        <f t="shared" ca="1" si="66"/>
        <v>7600</v>
      </c>
      <c r="BE412" s="14">
        <f t="shared" ca="1" si="53"/>
        <v>5800</v>
      </c>
      <c r="BF412" s="14">
        <f t="shared" ca="1" si="54"/>
        <v>1</v>
      </c>
      <c r="BG412" s="20">
        <f ca="1">IF($BE412&lt;=0,ROUND(BK412*0.5,0), ROUND($BE412*S412*AA412*J412*AY412*0.8*[2]ステータス!$B$2,0))</f>
        <v>3162</v>
      </c>
      <c r="BH412" s="20">
        <f ca="1">IF($BE412&lt;=0,ROUND(BL412*0.5,0), ROUND($BE412*T412*AB412*K412*AZ412*0.8*[2]ステータス!$C$2,0))</f>
        <v>1517</v>
      </c>
      <c r="BI412" s="20">
        <f ca="1">IF($BE412&lt;=0,ROUND(BM412*0.5,0), ROUND($BE412*U412*AC412*L412*BA412*0.8*[2]ステータス!$D$2,0))</f>
        <v>0</v>
      </c>
      <c r="BJ412" s="20">
        <f ca="1">IF($BE412&lt;=0,ROUND(BN412*0.5,0), ROUND($BE412*V412*AD412*M412*BB412*0.8*[2]ステータス!$E$2,0))</f>
        <v>937</v>
      </c>
      <c r="BK412" s="14">
        <f ca="1">ROUND(BD412*S412*AA412*J412*AY412*[2]ステータス!$B$2,0)</f>
        <v>5179</v>
      </c>
      <c r="BL412" s="14">
        <f ca="1">ROUND(BD412*T412*AB412*K412*AZ412*[2]ステータス!$C$2,0)</f>
        <v>2485</v>
      </c>
      <c r="BM412" s="14">
        <f ca="1">ROUND(BD412*U412*AC412*L412*BA412*[2]ステータス!$D$2,0)</f>
        <v>0</v>
      </c>
      <c r="BN412" s="14">
        <f ca="1">ROUND(BD412*V412*AD412*M412*BB412*[2]ステータス!$E$2,0)</f>
        <v>1534</v>
      </c>
      <c r="BO412" s="13">
        <v>0</v>
      </c>
      <c r="BP412" s="13">
        <v>1</v>
      </c>
      <c r="BQ412" s="49" t="s">
        <v>102</v>
      </c>
      <c r="BR412" s="13">
        <f ca="1">VLOOKUP(H412,ghosts_label!$A$2:$B$19,2,FALSE)</f>
        <v>1</v>
      </c>
    </row>
    <row r="413" spans="1:70" ht="21" customHeight="1" x14ac:dyDescent="0.15">
      <c r="A413" s="14">
        <v>420</v>
      </c>
      <c r="B413" s="77" t="str">
        <f ca="1">VLOOKUP($A413,OFFSET([2]characters!$A$1,0,0,COUNTA([2]characters!$A:$A),MATCH(B$1,[2]characters!$1:$1,0)-MATCH($A$1,[2]characters!$1:$1,0)+1),MATCH(B$1,[2]characters!$1:$1,0)-MATCH($A$1,[2]characters!$1:$1,0)+1,FALSE)</f>
        <v>カエデ</v>
      </c>
      <c r="C413" s="77" t="str">
        <f ca="1">VLOOKUP($A413,OFFSET([2]characters!$A$1,0,0,COUNTA([2]characters!$A:$A),MATCH(C$1,[2]characters!$1:$1,0)-MATCH($A$1,[2]characters!$1:$1,0)+1),MATCH(C$1,[2]characters!$1:$1,0)-MATCH($A$1,[2]characters!$1:$1,0)+1,FALSE)</f>
        <v>イベント:アリスの絵本02</v>
      </c>
      <c r="D413" s="77" t="str">
        <f ca="1">VLOOKUP($A413,OFFSET([2]characters!$A$1,0,0,COUNTA([2]characters!$A:$A),MATCH(D$1,[2]characters!$1:$1,0)-MATCH($A$1,[2]characters!$1:$1,0)+1),MATCH(D$1,[2]characters!$1:$1,0)-MATCH($A$1,[2]characters!$1:$1,0)+1,FALSE)</f>
        <v>執行者</v>
      </c>
      <c r="E413" s="77" t="str">
        <f ca="1">VLOOKUP($A413,OFFSET([2]characters!$A$1,0,0,COUNTA([2]characters!$A:$A),MATCH(E$1,[2]characters!$1:$1,0)-MATCH($A$1,[2]characters!$1:$1,0)+1),MATCH(E$1,[2]characters!$1:$1,0)-MATCH($A$1,[2]characters!$1:$1,0)+1,FALSE)</f>
        <v>格好いい</v>
      </c>
      <c r="F413" s="77" t="str">
        <f ca="1">VLOOKUP($A413,OFFSET([2]characters!$A$1,0,0,COUNTA([2]characters!$A:$A),MATCH(F$1,[2]characters!$1:$1,0)-MATCH($A$1,[2]characters!$1:$1,0)+1),MATCH(F$1,[2]characters!$1:$1,0)-MATCH($A$1,[2]characters!$1:$1,0)+1,FALSE)</f>
        <v>男性</v>
      </c>
      <c r="G413" s="77">
        <f ca="1">VLOOKUP($A413,OFFSET([2]characters!$A$1,0,0,COUNTA([2]characters!$A:$A),MATCH(G$1,[2]characters!$1:$1,0)-MATCH($A$1,[2]characters!$1:$1,0)+1),MATCH(G$1,[2]characters!$1:$1,0)-MATCH($A$1,[2]characters!$1:$1,0)+1,FALSE)</f>
        <v>4</v>
      </c>
      <c r="H413" s="77" t="str">
        <f ca="1">VLOOKUP($A413,OFFSET([2]characters!$A$1,0,0,COUNTA([2]characters!$A:$A),MATCH(H$1,[2]characters!$1:$1,0)-MATCH($A$1,[2]characters!$1:$1,0)+1),MATCH(H$1,[2]characters!$1:$1,0)-MATCH($A$1,[2]characters!$1:$1,0)+1,FALSE)</f>
        <v>Drop2N</v>
      </c>
      <c r="I413" s="77" t="str">
        <f ca="1">VLOOKUP($A413,OFFSET([2]characters!$A$1,0,0,COUNTA([2]characters!$A:$A),MATCH(I$1,[2]characters!$1:$1,0)-MATCH($A$1,[2]characters!$1:$1,0)+1),MATCH(I$1,[2]characters!$1:$1,0)-MATCH($A$1,[2]characters!$1:$1,0)+1,FALSE)</f>
        <v>green</v>
      </c>
      <c r="J413" s="14">
        <f ca="1">VLOOKUP(I413,[2]属性!$A:$E,2,FALSE)</f>
        <v>1.02</v>
      </c>
      <c r="K413" s="14">
        <f ca="1">VLOOKUP(I413,[2]属性!$A:$E,3,FALSE)</f>
        <v>0.98</v>
      </c>
      <c r="L413" s="14">
        <f ca="1">VLOOKUP(I413,[2]属性!$A:$E,4,FALSE)</f>
        <v>1</v>
      </c>
      <c r="M413" s="14">
        <f ca="1">VLOOKUP(I413,[2]属性!$A:$E,5,FALSE)</f>
        <v>1</v>
      </c>
      <c r="N413" s="14">
        <f ca="1">INDEX(コスト!$A$1:$I$20,MATCH(H413,コスト!$A$1:$A$20,FALSE),MATCH(G413,コスト!$A$1:$I$1,FALSE))</f>
        <v>17</v>
      </c>
      <c r="O413" s="14">
        <f ca="1">INDEX(レベル!$A$1:$I$21,MATCH(H413,レベル!$A$1:$A$21,FALSE),MATCH(G413,レベル!$A$1:$I$1,FALSE))</f>
        <v>60</v>
      </c>
      <c r="P413" s="63">
        <f t="shared" ca="1" si="64"/>
        <v>60</v>
      </c>
      <c r="Q413" s="77" t="str">
        <f ca="1">VLOOKUP($A413,OFFSET([2]characters!$A$1,0,0,COUNTA([2]characters!$A:$A),MATCH(Q$1,[2]characters!$1:$1,0)-MATCH($A$1,[2]characters!$1:$1,0)+1),MATCH(Q$1,[2]characters!$1:$1,0)-MATCH($A$1,[2]characters!$1:$1,0)+1,FALSE)</f>
        <v>heal</v>
      </c>
      <c r="R413" s="8" t="str">
        <f ca="1">VLOOKUP(Q413,[2]character_type_i18n!$A:$H,3,FALSE)</f>
        <v>回復タイプ</v>
      </c>
      <c r="S413" s="14">
        <f ca="1">VLOOKUP(Q413,[2]character_type_i18n!$A:$H,4,FALSE)</f>
        <v>0.8</v>
      </c>
      <c r="T413" s="14">
        <f ca="1">VLOOKUP(Q413,[2]character_type_i18n!$A:$H,5,FALSE)</f>
        <v>0.78</v>
      </c>
      <c r="U413" s="14">
        <f ca="1">VLOOKUP(Q413,[2]character_type_i18n!$A:$H,6,FALSE)</f>
        <v>1</v>
      </c>
      <c r="V413" s="14">
        <f ca="1">VLOOKUP(Q413,[2]character_type_i18n!$A:$H,7,FALSE)</f>
        <v>1.42</v>
      </c>
      <c r="W413" s="77" t="str">
        <f ca="1">VLOOKUP($A413,OFFSET([2]characters!$A$1,0,0,COUNTA([2]characters!$A:$A),MATCH(W$1,[2]characters!$1:$1,0)-MATCH($A$1,[2]characters!$1:$1,0)+1),MATCH(W$1,[2]characters!$1:$1,0)-MATCH($A$1,[2]characters!$1:$1,0)+1,FALSE)</f>
        <v>human</v>
      </c>
      <c r="X413" s="8" t="str">
        <f ca="1">VLOOKUP(W413,[2]character_tribe_i18n!$A:$H,3,FALSE)</f>
        <v>ヒューマン</v>
      </c>
      <c r="Y413" s="77" t="str">
        <f ca="1">VLOOKUP($A413,OFFSET([2]characters!$A$1,0,0,COUNTA([2]characters!$A:$A),MATCH(Y$1,[2]characters!$1:$1,0)-MATCH($A$1,[2]characters!$1:$1,0)+1),MATCH(Y$1,[2]characters!$1:$1,0)-MATCH($A$1,[2]characters!$1:$1,0)+1,FALSE)</f>
        <v>none</v>
      </c>
      <c r="Z413" s="8" t="str">
        <f ca="1">VLOOKUP(Y413,[2]character_tribe_i18n!$A:$H,3,FALSE)</f>
        <v>種族なし</v>
      </c>
      <c r="AA413" s="14">
        <f ca="1">VLOOKUP(W413,[2]character_tribe_i18n!$A:$H,4,FALSE)</f>
        <v>0.94</v>
      </c>
      <c r="AB413" s="14">
        <f ca="1">VLOOKUP(W413,[2]character_tribe_i18n!$A:$H,5,FALSE)</f>
        <v>0.99</v>
      </c>
      <c r="AC413" s="14">
        <f ca="1">VLOOKUP(W413,[2]character_tribe_i18n!$A:$H,6,FALSE)</f>
        <v>1</v>
      </c>
      <c r="AD413" s="14">
        <f ca="1">VLOOKUP(W413,[2]character_tribe_i18n!$A:$H,7,FALSE)</f>
        <v>1.07</v>
      </c>
      <c r="AE413" s="12">
        <v>421</v>
      </c>
      <c r="AF413" s="85" t="str">
        <f ca="1">IF(AE413="NULL","",VLOOKUP($AE413,OFFSET([2]characters!$A$1,0,0,COUNTA([2]characters!$A:$A),MATCH(AF$1,[2]characters!$1:$1,0)-MATCH($A$1,[2]characters!$1:$1,0)+1),MATCH(AF$1,[2]characters!$1:$1,0)-MATCH($A$1,[2]characters!$1:$1,0)+1,FALSE))</f>
        <v>反親の彩壁 カエデ</v>
      </c>
      <c r="AG413" s="8">
        <f t="shared" ca="1" si="52"/>
        <v>420</v>
      </c>
      <c r="AH413" s="85" t="str">
        <f ca="1">VLOOKUP($AG413,OFFSET([2]characters!$A$1,0,0,COUNTA([2]characters!$A:$A),MATCH(AH$1,[2]characters!$1:$1,0)-MATCH($A$1,[2]characters!$1:$1,0)+1),MATCH(AH$1,[2]characters!$1:$1,0)-MATCH($A$1,[2]characters!$1:$1,0)+1,FALSE)</f>
        <v>カエデ</v>
      </c>
      <c r="AI413" s="14">
        <f ca="1">IF(AE413="NULL","NULL",VLOOKUP(G413,ビット!$A$2:$B$7,2))</f>
        <v>50000</v>
      </c>
      <c r="AJ413" s="9">
        <v>2</v>
      </c>
      <c r="AK413" s="10" t="str">
        <f t="shared" si="65"/>
        <v>普通</v>
      </c>
      <c r="AL413" s="14" t="str">
        <f ca="1">INDEX(経験値!$A$1:$I$20,MATCH(H413,経験値!$A$1:$A$20,FALSE),MATCH(G413,経験値!$A$1:$I$1,FALSE))</f>
        <v>required_exp_200</v>
      </c>
      <c r="AM413" s="11">
        <f ca="1">VLOOKUP(G413,経験値!$A$27:$B$31,2)</f>
        <v>3400</v>
      </c>
      <c r="AN413" s="21">
        <f ca="1">VLOOKUP(G413,ビット!$G$2:$H$7,2)</f>
        <v>600</v>
      </c>
      <c r="AO413" s="57"/>
      <c r="AP413" s="97">
        <v>512001</v>
      </c>
      <c r="AQ413" s="77" t="e">
        <f ca="1">VLOOKUP($AP413,OFFSET([1]unit_skills!$A$1,0,0,COUNTA([1]unit_skills!$A:$A),MATCH("name",[1]unit_skills!$1:$1,0)-MATCH($AP$1,[1]unit_skills!$1:$1,0)+1),MATCH("name",[1]unit_skills!$1:$1,0)-MATCH($AP$1,[1]unit_skills!$1:$1,0)+1,FALSE)</f>
        <v>#VALUE!</v>
      </c>
      <c r="AR413" s="77" t="e">
        <f ca="1">VLOOKUP($AP413,OFFSET([1]unit_skills!$A$1,0,0,COUNTA([1]unit_skills!$A:$A),MATCH("comment",[1]unit_skills!$1:$1,0)-MATCH($AP$1,[1]unit_skills!$1:$1,0)+1),MATCH("comment",[1]unit_skills!$1:$1,0)-MATCH($AP$1,[1]unit_skills!$1:$1,0)+1,FALSE)</f>
        <v>#VALUE!</v>
      </c>
      <c r="AS413" s="77" t="e">
        <f ca="1">VLOOKUP($AP413,OFFSET([1]unit_skills!$A$1,0,0,COUNTA([1]unit_skills!$A:$A),MATCH(AS$1,[1]unit_skills!$1:$1,0)-MATCH($AP$1,[1]unit_skills!$1:$1,0)+1),MATCH(AS$1,[1]unit_skills!$1:$1,0)-MATCH($AP$1,[1]unit_skills!$1:$1,0)+1,FALSE)</f>
        <v>#VALUE!</v>
      </c>
      <c r="AT413" s="53">
        <v>233004</v>
      </c>
      <c r="AU413" s="77" t="e">
        <f ca="1">VLOOKUP($AT413,OFFSET([1]crash_skills!$A$1,0,0,COUNTA([1]crash_skills!$A:$A),MATCH("name",[1]crash_skills!$1:$1,0)-MATCH($AT$1,[1]crash_skills!$1:$1,0)+1),MATCH("name",[1]crash_skills!$1:$1,0)-MATCH($AT$1,[1]crash_skills!$1:$1,0)+1,FALSE)</f>
        <v>#VALUE!</v>
      </c>
      <c r="AV413" s="77" t="e">
        <f ca="1">VLOOKUP($AT413,OFFSET([1]crash_skills!$A$1,0,0,COUNTA([1]crash_skills!$A:$A),MATCH("comment",[1]crash_skills!$1:$1,0)-MATCH($AT$1,[1]crash_skills!$1:$1,0)+1),MATCH("comment",[1]crash_skills!$1:$1,0)-MATCH($AT$1,[1]crash_skills!$1:$1,0)+1,FALSE)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13" s="77" t="e">
        <f ca="1">VLOOKUP($AT413,OFFSET([1]crash_skills!$A$1,0,0,COUNTA([1]crash_skills!$A:$A),MATCH(AW$1,[1]crash_skills!$1:$1,0)-MATCH($AT$1,[1]crash_skills!$1:$1,0)+1),MATCH(AW$1,[1]crash_skills!$1:$1,0)-MATCH($AT$1,[1]crash_skills!$1:$1,0)+1,FALSE)</f>
        <v>#VALUE!</v>
      </c>
      <c r="AX413" s="81">
        <f ca="1">VLOOKUP($A413,OFFSET([2]characters!$A$1,0,0,COUNTA([2]characters!$A:$A),MATCH(AX$1,[2]characters!$1:$1,0)-MATCH($A$1,[2]characters!$1:$1,0)+1),MATCH(AX$1,[2]characters!$1:$1,0)-MATCH($A$1,[2]characters!$1:$1,0)+1,FALSE)</f>
        <v>3</v>
      </c>
      <c r="AY413" s="139">
        <v>1</v>
      </c>
      <c r="AZ413" s="139">
        <v>1</v>
      </c>
      <c r="BA413" s="139">
        <v>0</v>
      </c>
      <c r="BB413" s="139">
        <v>1</v>
      </c>
      <c r="BC413" s="14">
        <f ca="1">INDEX('RC6SV'!$A$1:$G$20,MATCH(H413,'RC6SV'!$A$1:$A$20,FALSE),MATCH(G413,'RC6SV'!$A$1:$G$1,FALSE))</f>
        <v>5800</v>
      </c>
      <c r="BD413" s="63">
        <f t="shared" ca="1" si="66"/>
        <v>5800</v>
      </c>
      <c r="BE413" s="14">
        <f t="shared" ca="1" si="53"/>
        <v>0</v>
      </c>
      <c r="BF413" s="14">
        <f t="shared" ca="1" si="54"/>
        <v>1</v>
      </c>
      <c r="BG413" s="20">
        <f ca="1">IF($BE413&lt;=0,ROUND(BK413*0.5,0), ROUND($BE413*S413*AA413*J413*AY413*0.8*[2]ステータス!$B$2,0))</f>
        <v>1112</v>
      </c>
      <c r="BH413" s="20">
        <f ca="1">IF($BE413&lt;=0,ROUND(BL413*0.5,0), ROUND($BE413*T413*AB413*K413*AZ413*0.8*[2]ステータス!$C$2,0))</f>
        <v>659</v>
      </c>
      <c r="BI413" s="20">
        <f ca="1">IF($BE413&lt;=0,ROUND(BM413*0.5,0), ROUND($BE413*U413*AC413*L413*BA413*0.8*[2]ステータス!$D$2,0))</f>
        <v>0</v>
      </c>
      <c r="BJ413" s="20">
        <f ca="1">IF($BE413&lt;=0,ROUND(BN413*0.5,0), ROUND($BE413*V413*AD413*M413*BB413*0.8*[2]ステータス!$E$2,0))</f>
        <v>1102</v>
      </c>
      <c r="BK413" s="14">
        <f ca="1">ROUND(BD413*S413*AA413*J413*AY413*[2]ステータス!$B$2,0)</f>
        <v>2224</v>
      </c>
      <c r="BL413" s="14">
        <f ca="1">ROUND(BD413*T413*AB413*K413*AZ413*[2]ステータス!$C$2,0)</f>
        <v>1317</v>
      </c>
      <c r="BM413" s="14">
        <f ca="1">ROUND(BD413*U413*AC413*L413*BA413*[2]ステータス!$D$2,0)</f>
        <v>0</v>
      </c>
      <c r="BN413" s="14">
        <f ca="1">ROUND(BD413*V413*AD413*M413*BB413*[2]ステータス!$E$2,0)</f>
        <v>2203</v>
      </c>
      <c r="BO413" s="13">
        <v>0</v>
      </c>
      <c r="BP413" s="13">
        <v>1</v>
      </c>
      <c r="BQ413" s="49" t="s">
        <v>102</v>
      </c>
      <c r="BR413" s="13">
        <f ca="1">VLOOKUP(H413,ghosts_label!$A$2:$B$19,2,FALSE)</f>
        <v>1</v>
      </c>
    </row>
    <row r="414" spans="1:70" ht="21" customHeight="1" x14ac:dyDescent="0.15">
      <c r="A414" s="14">
        <v>421</v>
      </c>
      <c r="B414" s="77" t="str">
        <f ca="1">VLOOKUP($A414,OFFSET([2]characters!$A$1,0,0,COUNTA([2]characters!$A:$A),MATCH(B$1,[2]characters!$1:$1,0)-MATCH($A$1,[2]characters!$1:$1,0)+1),MATCH(B$1,[2]characters!$1:$1,0)-MATCH($A$1,[2]characters!$1:$1,0)+1,FALSE)</f>
        <v>反親の彩壁 カエデ</v>
      </c>
      <c r="C414" s="77" t="str">
        <f ca="1">VLOOKUP($A414,OFFSET([2]characters!$A$1,0,0,COUNTA([2]characters!$A:$A),MATCH(C$1,[2]characters!$1:$1,0)-MATCH($A$1,[2]characters!$1:$1,0)+1),MATCH(C$1,[2]characters!$1:$1,0)-MATCH($A$1,[2]characters!$1:$1,0)+1,FALSE)</f>
        <v>イベント:アリスの絵本02</v>
      </c>
      <c r="D414" s="77" t="str">
        <f ca="1">VLOOKUP($A414,OFFSET([2]characters!$A$1,0,0,COUNTA([2]characters!$A:$A),MATCH(D$1,[2]characters!$1:$1,0)-MATCH($A$1,[2]characters!$1:$1,0)+1),MATCH(D$1,[2]characters!$1:$1,0)-MATCH($A$1,[2]characters!$1:$1,0)+1,FALSE)</f>
        <v>執行者</v>
      </c>
      <c r="E414" s="77" t="str">
        <f ca="1">VLOOKUP($A414,OFFSET([2]characters!$A$1,0,0,COUNTA([2]characters!$A:$A),MATCH(E$1,[2]characters!$1:$1,0)-MATCH($A$1,[2]characters!$1:$1,0)+1),MATCH(E$1,[2]characters!$1:$1,0)-MATCH($A$1,[2]characters!$1:$1,0)+1,FALSE)</f>
        <v>格好いい</v>
      </c>
      <c r="F414" s="77" t="str">
        <f ca="1">VLOOKUP($A414,OFFSET([2]characters!$A$1,0,0,COUNTA([2]characters!$A:$A),MATCH(F$1,[2]characters!$1:$1,0)-MATCH($A$1,[2]characters!$1:$1,0)+1),MATCH(F$1,[2]characters!$1:$1,0)-MATCH($A$1,[2]characters!$1:$1,0)+1,FALSE)</f>
        <v>男性</v>
      </c>
      <c r="G414" s="77">
        <f ca="1">VLOOKUP($A414,OFFSET([2]characters!$A$1,0,0,COUNTA([2]characters!$A:$A),MATCH(G$1,[2]characters!$1:$1,0)-MATCH($A$1,[2]characters!$1:$1,0)+1),MATCH(G$1,[2]characters!$1:$1,0)-MATCH($A$1,[2]characters!$1:$1,0)+1,FALSE)</f>
        <v>5</v>
      </c>
      <c r="H414" s="77" t="str">
        <f ca="1">VLOOKUP($A414,OFFSET([2]characters!$A$1,0,0,COUNTA([2]characters!$A:$A),MATCH(H$1,[2]characters!$1:$1,0)-MATCH($A$1,[2]characters!$1:$1,0)+1),MATCH(H$1,[2]characters!$1:$1,0)-MATCH($A$1,[2]characters!$1:$1,0)+1,FALSE)</f>
        <v>Drop2N</v>
      </c>
      <c r="I414" s="77" t="str">
        <f ca="1">VLOOKUP($A414,OFFSET([2]characters!$A$1,0,0,COUNTA([2]characters!$A:$A),MATCH(I$1,[2]characters!$1:$1,0)-MATCH($A$1,[2]characters!$1:$1,0)+1),MATCH(I$1,[2]characters!$1:$1,0)-MATCH($A$1,[2]characters!$1:$1,0)+1,FALSE)</f>
        <v>green</v>
      </c>
      <c r="J414" s="14">
        <f ca="1">VLOOKUP(I414,[2]属性!$A:$E,2,FALSE)</f>
        <v>1.02</v>
      </c>
      <c r="K414" s="14">
        <f ca="1">VLOOKUP(I414,[2]属性!$A:$E,3,FALSE)</f>
        <v>0.98</v>
      </c>
      <c r="L414" s="14">
        <f ca="1">VLOOKUP(I414,[2]属性!$A:$E,4,FALSE)</f>
        <v>1</v>
      </c>
      <c r="M414" s="14">
        <f ca="1">VLOOKUP(I414,[2]属性!$A:$E,5,FALSE)</f>
        <v>1</v>
      </c>
      <c r="N414" s="14">
        <f ca="1">INDEX(コスト!$A$1:$I$20,MATCH(H414,コスト!$A$1:$A$20,FALSE),MATCH(G414,コスト!$A$1:$I$1,FALSE))</f>
        <v>26</v>
      </c>
      <c r="O414" s="14">
        <f ca="1">INDEX(レベル!$A$1:$I$21,MATCH(H414,レベル!$A$1:$A$21,FALSE),MATCH(G414,レベル!$A$1:$I$1,FALSE))</f>
        <v>80</v>
      </c>
      <c r="P414" s="63">
        <f t="shared" ca="1" si="64"/>
        <v>75</v>
      </c>
      <c r="Q414" s="77" t="str">
        <f ca="1">VLOOKUP($A414,OFFSET([2]characters!$A$1,0,0,COUNTA([2]characters!$A:$A),MATCH(Q$1,[2]characters!$1:$1,0)-MATCH($A$1,[2]characters!$1:$1,0)+1),MATCH(Q$1,[2]characters!$1:$1,0)-MATCH($A$1,[2]characters!$1:$1,0)+1,FALSE)</f>
        <v>heal</v>
      </c>
      <c r="R414" s="8" t="str">
        <f ca="1">VLOOKUP(Q414,[2]character_type_i18n!$A:$H,3,FALSE)</f>
        <v>回復タイプ</v>
      </c>
      <c r="S414" s="14">
        <f ca="1">VLOOKUP(Q414,[2]character_type_i18n!$A:$H,4,FALSE)</f>
        <v>0.8</v>
      </c>
      <c r="T414" s="14">
        <f ca="1">VLOOKUP(Q414,[2]character_type_i18n!$A:$H,5,FALSE)</f>
        <v>0.78</v>
      </c>
      <c r="U414" s="14">
        <f ca="1">VLOOKUP(Q414,[2]character_type_i18n!$A:$H,6,FALSE)</f>
        <v>1</v>
      </c>
      <c r="V414" s="14">
        <f ca="1">VLOOKUP(Q414,[2]character_type_i18n!$A:$H,7,FALSE)</f>
        <v>1.42</v>
      </c>
      <c r="W414" s="77" t="str">
        <f ca="1">VLOOKUP($A414,OFFSET([2]characters!$A$1,0,0,COUNTA([2]characters!$A:$A),MATCH(W$1,[2]characters!$1:$1,0)-MATCH($A$1,[2]characters!$1:$1,0)+1),MATCH(W$1,[2]characters!$1:$1,0)-MATCH($A$1,[2]characters!$1:$1,0)+1,FALSE)</f>
        <v>human</v>
      </c>
      <c r="X414" s="8" t="str">
        <f ca="1">VLOOKUP(W414,[2]character_tribe_i18n!$A:$H,3,FALSE)</f>
        <v>ヒューマン</v>
      </c>
      <c r="Y414" s="77" t="str">
        <f ca="1">VLOOKUP($A414,OFFSET([2]characters!$A$1,0,0,COUNTA([2]characters!$A:$A),MATCH(Y$1,[2]characters!$1:$1,0)-MATCH($A$1,[2]characters!$1:$1,0)+1),MATCH(Y$1,[2]characters!$1:$1,0)-MATCH($A$1,[2]characters!$1:$1,0)+1,FALSE)</f>
        <v>none</v>
      </c>
      <c r="Z414" s="8" t="str">
        <f ca="1">VLOOKUP(Y414,[2]character_tribe_i18n!$A:$H,3,FALSE)</f>
        <v>種族なし</v>
      </c>
      <c r="AA414" s="14">
        <f ca="1">VLOOKUP(W414,[2]character_tribe_i18n!$A:$H,4,FALSE)</f>
        <v>0.94</v>
      </c>
      <c r="AB414" s="14">
        <f ca="1">VLOOKUP(W414,[2]character_tribe_i18n!$A:$H,5,FALSE)</f>
        <v>0.99</v>
      </c>
      <c r="AC414" s="14">
        <f ca="1">VLOOKUP(W414,[2]character_tribe_i18n!$A:$H,6,FALSE)</f>
        <v>1</v>
      </c>
      <c r="AD414" s="14">
        <f ca="1">VLOOKUP(W414,[2]character_tribe_i18n!$A:$H,7,FALSE)</f>
        <v>1.07</v>
      </c>
      <c r="AE414" s="12" t="s">
        <v>231</v>
      </c>
      <c r="AF414" s="85" t="str">
        <f ca="1">IF(AE414="NULL","",VLOOKUP($AE414,OFFSET([2]characters!$A$1,0,0,COUNTA([2]characters!$A:$A),MATCH(AF$1,[2]characters!$1:$1,0)-MATCH($A$1,[2]characters!$1:$1,0)+1),MATCH(AF$1,[2]characters!$1:$1,0)-MATCH($A$1,[2]characters!$1:$1,0)+1,FALSE))</f>
        <v/>
      </c>
      <c r="AG414" s="8">
        <f t="shared" ca="1" si="52"/>
        <v>420</v>
      </c>
      <c r="AH414" s="85" t="str">
        <f ca="1">VLOOKUP($AG414,OFFSET([2]characters!$A$1,0,0,COUNTA([2]characters!$A:$A),MATCH(AH$1,[2]characters!$1:$1,0)-MATCH($A$1,[2]characters!$1:$1,0)+1),MATCH(AH$1,[2]characters!$1:$1,0)-MATCH($A$1,[2]characters!$1:$1,0)+1,FALSE)</f>
        <v>カエデ</v>
      </c>
      <c r="AI414" s="14" t="str">
        <f>IF(AE414="NULL","NULL",VLOOKUP(G414,ビット!$A$2:$B$7,2))</f>
        <v>NULL</v>
      </c>
      <c r="AJ414" s="9">
        <v>2</v>
      </c>
      <c r="AK414" s="10" t="str">
        <f t="shared" si="65"/>
        <v>普通</v>
      </c>
      <c r="AL414" s="14" t="str">
        <f ca="1">INDEX(経験値!$A$1:$I$20,MATCH(H414,経験値!$A$1:$A$20,FALSE),MATCH(G414,経験値!$A$1:$I$1,FALSE))</f>
        <v>required_exp_200</v>
      </c>
      <c r="AM414" s="11">
        <f ca="1">VLOOKUP(G414,経験値!$A$27:$B$31,2)</f>
        <v>6400</v>
      </c>
      <c r="AN414" s="21">
        <f ca="1">VLOOKUP(G414,ビット!$G$2:$H$7,2)</f>
        <v>900</v>
      </c>
      <c r="AO414" s="57"/>
      <c r="AP414" s="97">
        <v>512001</v>
      </c>
      <c r="AQ414" s="77" t="e">
        <f ca="1">VLOOKUP($AP414,OFFSET([1]unit_skills!$A$1,0,0,COUNTA([1]unit_skills!$A:$A),MATCH("name",[1]unit_skills!$1:$1,0)-MATCH($AP$1,[1]unit_skills!$1:$1,0)+1),MATCH("name",[1]unit_skills!$1:$1,0)-MATCH($AP$1,[1]unit_skills!$1:$1,0)+1,FALSE)</f>
        <v>#VALUE!</v>
      </c>
      <c r="AR414" s="77" t="e">
        <f ca="1">VLOOKUP($AP414,OFFSET([1]unit_skills!$A$1,0,0,COUNTA([1]unit_skills!$A:$A),MATCH("comment",[1]unit_skills!$1:$1,0)-MATCH($AP$1,[1]unit_skills!$1:$1,0)+1),MATCH("comment",[1]unit_skills!$1:$1,0)-MATCH($AP$1,[1]unit_skills!$1:$1,0)+1,FALSE)</f>
        <v>#VALUE!</v>
      </c>
      <c r="AS414" s="77" t="e">
        <f ca="1">VLOOKUP($AP414,OFFSET([1]unit_skills!$A$1,0,0,COUNTA([1]unit_skills!$A:$A),MATCH(AS$1,[1]unit_skills!$1:$1,0)-MATCH($AP$1,[1]unit_skills!$1:$1,0)+1),MATCH(AS$1,[1]unit_skills!$1:$1,0)-MATCH($AP$1,[1]unit_skills!$1:$1,0)+1,FALSE)</f>
        <v>#VALUE!</v>
      </c>
      <c r="AT414" s="53">
        <v>233004</v>
      </c>
      <c r="AU414" s="77" t="e">
        <f ca="1">VLOOKUP($AT414,OFFSET([1]crash_skills!$A$1,0,0,COUNTA([1]crash_skills!$A:$A),MATCH("name",[1]crash_skills!$1:$1,0)-MATCH($AT$1,[1]crash_skills!$1:$1,0)+1),MATCH("name",[1]crash_skills!$1:$1,0)-MATCH($AT$1,[1]crash_skills!$1:$1,0)+1,FALSE)</f>
        <v>#VALUE!</v>
      </c>
      <c r="AV414" s="77" t="e">
        <f ca="1">VLOOKUP($AT414,OFFSET([1]crash_skills!$A$1,0,0,COUNTA([1]crash_skills!$A:$A),MATCH("comment",[1]crash_skills!$1:$1,0)-MATCH($AT$1,[1]crash_skills!$1:$1,0)+1),MATCH("comment",[1]crash_skills!$1:$1,0)-MATCH($AT$1,[1]crash_skills!$1:$1,0)+1,FALSE)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14" s="77" t="e">
        <f ca="1">VLOOKUP($AT414,OFFSET([1]crash_skills!$A$1,0,0,COUNTA([1]crash_skills!$A:$A),MATCH(AW$1,[1]crash_skills!$1:$1,0)-MATCH($AT$1,[1]crash_skills!$1:$1,0)+1),MATCH(AW$1,[1]crash_skills!$1:$1,0)-MATCH($AT$1,[1]crash_skills!$1:$1,0)+1,FALSE)</f>
        <v>#VALUE!</v>
      </c>
      <c r="AX414" s="81">
        <f ca="1">VLOOKUP($A414,OFFSET([2]characters!$A$1,0,0,COUNTA([2]characters!$A:$A),MATCH(AX$1,[2]characters!$1:$1,0)-MATCH($A$1,[2]characters!$1:$1,0)+1),MATCH(AX$1,[2]characters!$1:$1,0)-MATCH($A$1,[2]characters!$1:$1,0)+1,FALSE)</f>
        <v>3</v>
      </c>
      <c r="AY414" s="139">
        <v>1.1000000000000001</v>
      </c>
      <c r="AZ414" s="139">
        <v>1</v>
      </c>
      <c r="BA414" s="139">
        <v>0</v>
      </c>
      <c r="BB414" s="139">
        <v>1.18</v>
      </c>
      <c r="BC414" s="14">
        <f ca="1">INDEX('RC6SV'!$A$1:$G$20,MATCH(H414,'RC6SV'!$A$1:$A$20,FALSE),MATCH(G414,'RC6SV'!$A$1:$G$1,FALSE))</f>
        <v>7600</v>
      </c>
      <c r="BD414" s="63">
        <f t="shared" ca="1" si="66"/>
        <v>7600</v>
      </c>
      <c r="BE414" s="14">
        <f t="shared" ca="1" si="53"/>
        <v>5800</v>
      </c>
      <c r="BF414" s="14">
        <f t="shared" ca="1" si="54"/>
        <v>1</v>
      </c>
      <c r="BG414" s="20">
        <f ca="1">IF($BE414&lt;=0,ROUND(BK414*0.5,0), ROUND($BE414*S414*AA414*J414*AY414*0.8*[2]ステータス!$B$2,0))</f>
        <v>1957</v>
      </c>
      <c r="BH414" s="20">
        <f ca="1">IF($BE414&lt;=0,ROUND(BL414*0.5,0), ROUND($BE414*T414*AB414*K414*AZ414*0.8*[2]ステータス!$C$2,0))</f>
        <v>1053</v>
      </c>
      <c r="BI414" s="20">
        <f ca="1">IF($BE414&lt;=0,ROUND(BM414*0.5,0), ROUND($BE414*U414*AC414*L414*BA414*0.8*[2]ステータス!$D$2,0))</f>
        <v>0</v>
      </c>
      <c r="BJ414" s="20">
        <f ca="1">IF($BE414&lt;=0,ROUND(BN414*0.5,0), ROUND($BE414*V414*AD414*M414*BB414*0.8*[2]ステータス!$E$2,0))</f>
        <v>2080</v>
      </c>
      <c r="BK414" s="14">
        <f ca="1">ROUND(BD414*S414*AA414*J414*AY414*[2]ステータス!$B$2,0)</f>
        <v>3206</v>
      </c>
      <c r="BL414" s="14">
        <f ca="1">ROUND(BD414*T414*AB414*K414*AZ414*[2]ステータス!$C$2,0)</f>
        <v>1725</v>
      </c>
      <c r="BM414" s="14">
        <f ca="1">ROUND(BD414*U414*AC414*L414*BA414*[2]ステータス!$D$2,0)</f>
        <v>0</v>
      </c>
      <c r="BN414" s="14">
        <f ca="1">ROUND(BD414*V414*AD414*M414*BB414*[2]ステータス!$E$2,0)</f>
        <v>3406</v>
      </c>
      <c r="BO414" s="13">
        <v>0</v>
      </c>
      <c r="BP414" s="13">
        <v>1</v>
      </c>
      <c r="BQ414" s="49" t="s">
        <v>102</v>
      </c>
      <c r="BR414" s="13">
        <f ca="1">VLOOKUP(H414,ghosts_label!$A$2:$B$19,2,FALSE)</f>
        <v>1</v>
      </c>
    </row>
    <row r="415" spans="1:70" ht="21" customHeight="1" x14ac:dyDescent="0.15">
      <c r="A415" s="14">
        <v>422</v>
      </c>
      <c r="B415" s="77" t="str">
        <f ca="1">VLOOKUP($A415,OFFSET([2]characters!$A$1,0,0,COUNTA([2]characters!$A:$A),MATCH(B$1,[2]characters!$1:$1,0)-MATCH($A$1,[2]characters!$1:$1,0)+1),MATCH(B$1,[2]characters!$1:$1,0)-MATCH($A$1,[2]characters!$1:$1,0)+1,FALSE)</f>
        <v>シュガフル</v>
      </c>
      <c r="C415" s="77" t="str">
        <f ca="1">VLOOKUP($A415,OFFSET([2]characters!$A$1,0,0,COUNTA([2]characters!$A:$A),MATCH(C$1,[2]characters!$1:$1,0)-MATCH($A$1,[2]characters!$1:$1,0)+1),MATCH(C$1,[2]characters!$1:$1,0)-MATCH($A$1,[2]characters!$1:$1,0)+1,FALSE)</f>
        <v>イベント:アリスの絵本02</v>
      </c>
      <c r="D415" s="77" t="str">
        <f ca="1">VLOOKUP($A415,OFFSET([2]characters!$A$1,0,0,COUNTA([2]characters!$A:$A),MATCH(D$1,[2]characters!$1:$1,0)-MATCH($A$1,[2]characters!$1:$1,0)+1),MATCH(D$1,[2]characters!$1:$1,0)-MATCH($A$1,[2]characters!$1:$1,0)+1,FALSE)</f>
        <v>執行者</v>
      </c>
      <c r="E415" s="77" t="str">
        <f ca="1">VLOOKUP($A415,OFFSET([2]characters!$A$1,0,0,COUNTA([2]characters!$A:$A),MATCH(E$1,[2]characters!$1:$1,0)-MATCH($A$1,[2]characters!$1:$1,0)+1),MATCH(E$1,[2]characters!$1:$1,0)-MATCH($A$1,[2]characters!$1:$1,0)+1,FALSE)</f>
        <v>格好いい</v>
      </c>
      <c r="F415" s="77" t="str">
        <f ca="1">VLOOKUP($A415,OFFSET([2]characters!$A$1,0,0,COUNTA([2]characters!$A:$A),MATCH(F$1,[2]characters!$1:$1,0)-MATCH($A$1,[2]characters!$1:$1,0)+1),MATCH(F$1,[2]characters!$1:$1,0)-MATCH($A$1,[2]characters!$1:$1,0)+1,FALSE)</f>
        <v>女性</v>
      </c>
      <c r="G415" s="77">
        <f ca="1">VLOOKUP($A415,OFFSET([2]characters!$A$1,0,0,COUNTA([2]characters!$A:$A),MATCH(G$1,[2]characters!$1:$1,0)-MATCH($A$1,[2]characters!$1:$1,0)+1),MATCH(G$1,[2]characters!$1:$1,0)-MATCH($A$1,[2]characters!$1:$1,0)+1,FALSE)</f>
        <v>4</v>
      </c>
      <c r="H415" s="77" t="str">
        <f ca="1">VLOOKUP($A415,OFFSET([2]characters!$A$1,0,0,COUNTA([2]characters!$A:$A),MATCH(H$1,[2]characters!$1:$1,0)-MATCH($A$1,[2]characters!$1:$1,0)+1),MATCH(H$1,[2]characters!$1:$1,0)-MATCH($A$1,[2]characters!$1:$1,0)+1,FALSE)</f>
        <v>Drop2N</v>
      </c>
      <c r="I415" s="77" t="str">
        <f ca="1">VLOOKUP($A415,OFFSET([2]characters!$A$1,0,0,COUNTA([2]characters!$A:$A),MATCH(I$1,[2]characters!$1:$1,0)-MATCH($A$1,[2]characters!$1:$1,0)+1),MATCH(I$1,[2]characters!$1:$1,0)-MATCH($A$1,[2]characters!$1:$1,0)+1,FALSE)</f>
        <v>blue</v>
      </c>
      <c r="J415" s="14">
        <f ca="1">VLOOKUP(I415,[2]属性!$A:$E,2,FALSE)</f>
        <v>1</v>
      </c>
      <c r="K415" s="14">
        <f ca="1">VLOOKUP(I415,[2]属性!$A:$E,3,FALSE)</f>
        <v>0.98</v>
      </c>
      <c r="L415" s="14">
        <f ca="1">VLOOKUP(I415,[2]属性!$A:$E,4,FALSE)</f>
        <v>1</v>
      </c>
      <c r="M415" s="14">
        <f ca="1">VLOOKUP(I415,[2]属性!$A:$E,5,FALSE)</f>
        <v>1.02</v>
      </c>
      <c r="N415" s="14">
        <f ca="1">INDEX(コスト!$A$1:$I$20,MATCH(H415,コスト!$A$1:$A$20,FALSE),MATCH(G415,コスト!$A$1:$I$1,FALSE))</f>
        <v>17</v>
      </c>
      <c r="O415" s="14">
        <f ca="1">INDEX(レベル!$A$1:$I$21,MATCH(H415,レベル!$A$1:$A$21,FALSE),MATCH(G415,レベル!$A$1:$I$1,FALSE))</f>
        <v>60</v>
      </c>
      <c r="P415" s="63">
        <f t="shared" ca="1" si="64"/>
        <v>60</v>
      </c>
      <c r="Q415" s="77" t="str">
        <f ca="1">VLOOKUP($A415,OFFSET([2]characters!$A$1,0,0,COUNTA([2]characters!$A:$A),MATCH(Q$1,[2]characters!$1:$1,0)-MATCH($A$1,[2]characters!$1:$1,0)+1),MATCH(Q$1,[2]characters!$1:$1,0)-MATCH($A$1,[2]characters!$1:$1,0)+1,FALSE)</f>
        <v>balance</v>
      </c>
      <c r="R415" s="8" t="str">
        <f ca="1">VLOOKUP(Q415,[2]character_type_i18n!$A:$H,3,FALSE)</f>
        <v>バランスタイプ</v>
      </c>
      <c r="S415" s="14">
        <f ca="1">VLOOKUP(Q415,[2]character_type_i18n!$A:$H,4,FALSE)</f>
        <v>1</v>
      </c>
      <c r="T415" s="14">
        <f ca="1">VLOOKUP(Q415,[2]character_type_i18n!$A:$H,5,FALSE)</f>
        <v>1</v>
      </c>
      <c r="U415" s="14">
        <f ca="1">VLOOKUP(Q415,[2]character_type_i18n!$A:$H,6,FALSE)</f>
        <v>1</v>
      </c>
      <c r="V415" s="14">
        <f ca="1">VLOOKUP(Q415,[2]character_type_i18n!$A:$H,7,FALSE)</f>
        <v>1</v>
      </c>
      <c r="W415" s="77" t="str">
        <f ca="1">VLOOKUP($A415,OFFSET([2]characters!$A$1,0,0,COUNTA([2]characters!$A:$A),MATCH(W$1,[2]characters!$1:$1,0)-MATCH($A$1,[2]characters!$1:$1,0)+1),MATCH(W$1,[2]characters!$1:$1,0)-MATCH($A$1,[2]characters!$1:$1,0)+1,FALSE)</f>
        <v>human</v>
      </c>
      <c r="X415" s="8" t="str">
        <f ca="1">VLOOKUP(W415,[2]character_tribe_i18n!$A:$H,3,FALSE)</f>
        <v>ヒューマン</v>
      </c>
      <c r="Y415" s="77" t="str">
        <f ca="1">VLOOKUP($A415,OFFSET([2]characters!$A$1,0,0,COUNTA([2]characters!$A:$A),MATCH(Y$1,[2]characters!$1:$1,0)-MATCH($A$1,[2]characters!$1:$1,0)+1),MATCH(Y$1,[2]characters!$1:$1,0)-MATCH($A$1,[2]characters!$1:$1,0)+1,FALSE)</f>
        <v>none</v>
      </c>
      <c r="Z415" s="8" t="str">
        <f ca="1">VLOOKUP(Y415,[2]character_tribe_i18n!$A:$H,3,FALSE)</f>
        <v>種族なし</v>
      </c>
      <c r="AA415" s="14">
        <f ca="1">VLOOKUP(W415,[2]character_tribe_i18n!$A:$H,4,FALSE)</f>
        <v>0.94</v>
      </c>
      <c r="AB415" s="14">
        <f ca="1">VLOOKUP(W415,[2]character_tribe_i18n!$A:$H,5,FALSE)</f>
        <v>0.99</v>
      </c>
      <c r="AC415" s="14">
        <f ca="1">VLOOKUP(W415,[2]character_tribe_i18n!$A:$H,6,FALSE)</f>
        <v>1</v>
      </c>
      <c r="AD415" s="14">
        <f ca="1">VLOOKUP(W415,[2]character_tribe_i18n!$A:$H,7,FALSE)</f>
        <v>1.07</v>
      </c>
      <c r="AE415" s="12">
        <v>423</v>
      </c>
      <c r="AF415" s="85" t="str">
        <f ca="1">IF(AE415="NULL","",VLOOKUP($AE415,OFFSET([2]characters!$A$1,0,0,COUNTA([2]characters!$A:$A),MATCH(AF$1,[2]characters!$1:$1,0)-MATCH($A$1,[2]characters!$1:$1,0)+1),MATCH(AF$1,[2]characters!$1:$1,0)-MATCH($A$1,[2]characters!$1:$1,0)+1,FALSE))</f>
        <v>甘罠の魔女 シュガフル</v>
      </c>
      <c r="AG415" s="8">
        <f t="shared" ca="1" si="52"/>
        <v>422</v>
      </c>
      <c r="AH415" s="85" t="str">
        <f ca="1">VLOOKUP($AG415,OFFSET([2]characters!$A$1,0,0,COUNTA([2]characters!$A:$A),MATCH(AH$1,[2]characters!$1:$1,0)-MATCH($A$1,[2]characters!$1:$1,0)+1),MATCH(AH$1,[2]characters!$1:$1,0)-MATCH($A$1,[2]characters!$1:$1,0)+1,FALSE)</f>
        <v>シュガフル</v>
      </c>
      <c r="AI415" s="14">
        <f ca="1">IF(AE415="NULL","NULL",VLOOKUP(G415,ビット!$A$2:$B$7,2))</f>
        <v>50000</v>
      </c>
      <c r="AJ415" s="9">
        <v>2</v>
      </c>
      <c r="AK415" s="10" t="str">
        <f t="shared" si="65"/>
        <v>普通</v>
      </c>
      <c r="AL415" s="14" t="str">
        <f ca="1">INDEX(経験値!$A$1:$I$20,MATCH(H415,経験値!$A$1:$A$20,FALSE),MATCH(G415,経験値!$A$1:$I$1,FALSE))</f>
        <v>required_exp_200</v>
      </c>
      <c r="AM415" s="11">
        <f ca="1">VLOOKUP(G415,経験値!$A$27:$B$31,2)</f>
        <v>3400</v>
      </c>
      <c r="AN415" s="21">
        <f ca="1">VLOOKUP(G415,ビット!$G$2:$H$7,2)</f>
        <v>600</v>
      </c>
      <c r="AO415" s="57"/>
      <c r="AP415" s="101">
        <v>513001</v>
      </c>
      <c r="AQ415" s="77" t="e">
        <f ca="1">VLOOKUP($AP415,OFFSET([1]unit_skills!$A$1,0,0,COUNTA([1]unit_skills!$A:$A),MATCH("name",[1]unit_skills!$1:$1,0)-MATCH($AP$1,[1]unit_skills!$1:$1,0)+1),MATCH("name",[1]unit_skills!$1:$1,0)-MATCH($AP$1,[1]unit_skills!$1:$1,0)+1,FALSE)</f>
        <v>#VALUE!</v>
      </c>
      <c r="AR415" s="77" t="e">
        <f ca="1">VLOOKUP($AP415,OFFSET([1]unit_skills!$A$1,0,0,COUNTA([1]unit_skills!$A:$A),MATCH("comment",[1]unit_skills!$1:$1,0)-MATCH($AP$1,[1]unit_skills!$1:$1,0)+1),MATCH("comment",[1]unit_skills!$1:$1,0)-MATCH($AP$1,[1]unit_skills!$1:$1,0)+1,FALSE)</f>
        <v>#VALUE!</v>
      </c>
      <c r="AS415" s="77" t="e">
        <f ca="1">VLOOKUP($AP415,OFFSET([1]unit_skills!$A$1,0,0,COUNTA([1]unit_skills!$A:$A),MATCH(AS$1,[1]unit_skills!$1:$1,0)-MATCH($AP$1,[1]unit_skills!$1:$1,0)+1),MATCH(AS$1,[1]unit_skills!$1:$1,0)-MATCH($AP$1,[1]unit_skills!$1:$1,0)+1,FALSE)</f>
        <v>#VALUE!</v>
      </c>
      <c r="AT415" s="53">
        <v>173108</v>
      </c>
      <c r="AU415" s="77" t="e">
        <f ca="1">VLOOKUP($AT415,OFFSET([1]crash_skills!$A$1,0,0,COUNTA([1]crash_skills!$A:$A),MATCH("name",[1]crash_skills!$1:$1,0)-MATCH($AT$1,[1]crash_skills!$1:$1,0)+1),MATCH("name",[1]crash_skills!$1:$1,0)-MATCH($AT$1,[1]crash_skills!$1:$1,0)+1,FALSE)</f>
        <v>#VALUE!</v>
      </c>
      <c r="AV415" s="77" t="e">
        <f ca="1">VLOOKUP($AT415,OFFSET([1]crash_skills!$A$1,0,0,COUNTA([1]crash_skills!$A:$A),MATCH("comment",[1]crash_skills!$1:$1,0)-MATCH($AT$1,[1]crash_skills!$1:$1,0)+1),MATCH("comment",[1]crash_skills!$1:$1,0)-MATCH($AT$1,[1]crash_skills!$1:$1,0)+1,FALSE)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15" s="77" t="e">
        <f ca="1">VLOOKUP($AT415,OFFSET([1]crash_skills!$A$1,0,0,COUNTA([1]crash_skills!$A:$A),MATCH(AW$1,[1]crash_skills!$1:$1,0)-MATCH($AT$1,[1]crash_skills!$1:$1,0)+1),MATCH(AW$1,[1]crash_skills!$1:$1,0)-MATCH($AT$1,[1]crash_skills!$1:$1,0)+1,FALSE)</f>
        <v>#VALUE!</v>
      </c>
      <c r="AX415" s="81">
        <f ca="1">VLOOKUP($A415,OFFSET([2]characters!$A$1,0,0,COUNTA([2]characters!$A:$A),MATCH(AX$1,[2]characters!$1:$1,0)-MATCH($A$1,[2]characters!$1:$1,0)+1),MATCH(AX$1,[2]characters!$1:$1,0)-MATCH($A$1,[2]characters!$1:$1,0)+1,FALSE)</f>
        <v>3</v>
      </c>
      <c r="AY415" s="139">
        <v>1</v>
      </c>
      <c r="AZ415" s="139">
        <v>1</v>
      </c>
      <c r="BA415" s="139">
        <v>0</v>
      </c>
      <c r="BB415" s="139">
        <v>1</v>
      </c>
      <c r="BC415" s="14">
        <f ca="1">INDEX('RC6SV'!$A$1:$G$20,MATCH(H415,'RC6SV'!$A$1:$A$20,FALSE),MATCH(G415,'RC6SV'!$A$1:$G$1,FALSE))</f>
        <v>5800</v>
      </c>
      <c r="BD415" s="63">
        <f t="shared" ca="1" si="66"/>
        <v>5800</v>
      </c>
      <c r="BE415" s="14">
        <f t="shared" ca="1" si="53"/>
        <v>0</v>
      </c>
      <c r="BF415" s="14">
        <f t="shared" ca="1" si="54"/>
        <v>1</v>
      </c>
      <c r="BG415" s="20">
        <f ca="1">IF($BE415&lt;=0,ROUND(BK415*0.5,0), ROUND($BE415*S415*AA415*J415*AY415*0.8*[2]ステータス!$B$2,0))</f>
        <v>1363</v>
      </c>
      <c r="BH415" s="20">
        <f ca="1">IF($BE415&lt;=0,ROUND(BL415*0.5,0), ROUND($BE415*T415*AB415*K415*AZ415*0.8*[2]ステータス!$C$2,0))</f>
        <v>844</v>
      </c>
      <c r="BI415" s="20">
        <f ca="1">IF($BE415&lt;=0,ROUND(BM415*0.5,0), ROUND($BE415*U415*AC415*L415*BA415*0.8*[2]ステータス!$D$2,0))</f>
        <v>0</v>
      </c>
      <c r="BJ415" s="20">
        <f ca="1">IF($BE415&lt;=0,ROUND(BN415*0.5,0), ROUND($BE415*V415*AD415*M415*BB415*0.8*[2]ステータス!$E$2,0))</f>
        <v>792</v>
      </c>
      <c r="BK415" s="14">
        <f ca="1">ROUND(BD415*S415*AA415*J415*AY415*[2]ステータス!$B$2,0)</f>
        <v>2726</v>
      </c>
      <c r="BL415" s="14">
        <f ca="1">ROUND(BD415*T415*AB415*K415*AZ415*[2]ステータス!$C$2,0)</f>
        <v>1688</v>
      </c>
      <c r="BM415" s="14">
        <f ca="1">ROUND(BD415*U415*AC415*L415*BA415*[2]ステータス!$D$2,0)</f>
        <v>0</v>
      </c>
      <c r="BN415" s="14">
        <f ca="1">ROUND(BD415*V415*AD415*M415*BB415*[2]ステータス!$E$2,0)</f>
        <v>1583</v>
      </c>
      <c r="BO415" s="13">
        <v>0</v>
      </c>
      <c r="BP415" s="13">
        <v>1</v>
      </c>
      <c r="BQ415" s="49" t="s">
        <v>102</v>
      </c>
      <c r="BR415" s="13">
        <f ca="1">VLOOKUP(H415,ghosts_label!$A$2:$B$19,2,FALSE)</f>
        <v>1</v>
      </c>
    </row>
    <row r="416" spans="1:70" ht="21" customHeight="1" x14ac:dyDescent="0.15">
      <c r="A416" s="14">
        <v>423</v>
      </c>
      <c r="B416" s="77" t="str">
        <f ca="1">VLOOKUP($A416,OFFSET([2]characters!$A$1,0,0,COUNTA([2]characters!$A:$A),MATCH(B$1,[2]characters!$1:$1,0)-MATCH($A$1,[2]characters!$1:$1,0)+1),MATCH(B$1,[2]characters!$1:$1,0)-MATCH($A$1,[2]characters!$1:$1,0)+1,FALSE)</f>
        <v>甘罠の魔女 シュガフル</v>
      </c>
      <c r="C416" s="77" t="str">
        <f ca="1">VLOOKUP($A416,OFFSET([2]characters!$A$1,0,0,COUNTA([2]characters!$A:$A),MATCH(C$1,[2]characters!$1:$1,0)-MATCH($A$1,[2]characters!$1:$1,0)+1),MATCH(C$1,[2]characters!$1:$1,0)-MATCH($A$1,[2]characters!$1:$1,0)+1,FALSE)</f>
        <v>イベント:アリスの絵本02</v>
      </c>
      <c r="D416" s="77" t="str">
        <f ca="1">VLOOKUP($A416,OFFSET([2]characters!$A$1,0,0,COUNTA([2]characters!$A:$A),MATCH(D$1,[2]characters!$1:$1,0)-MATCH($A$1,[2]characters!$1:$1,0)+1),MATCH(D$1,[2]characters!$1:$1,0)-MATCH($A$1,[2]characters!$1:$1,0)+1,FALSE)</f>
        <v>執行者</v>
      </c>
      <c r="E416" s="77" t="str">
        <f ca="1">VLOOKUP($A416,OFFSET([2]characters!$A$1,0,0,COUNTA([2]characters!$A:$A),MATCH(E$1,[2]characters!$1:$1,0)-MATCH($A$1,[2]characters!$1:$1,0)+1),MATCH(E$1,[2]characters!$1:$1,0)-MATCH($A$1,[2]characters!$1:$1,0)+1,FALSE)</f>
        <v>格好いい</v>
      </c>
      <c r="F416" s="77" t="str">
        <f ca="1">VLOOKUP($A416,OFFSET([2]characters!$A$1,0,0,COUNTA([2]characters!$A:$A),MATCH(F$1,[2]characters!$1:$1,0)-MATCH($A$1,[2]characters!$1:$1,0)+1),MATCH(F$1,[2]characters!$1:$1,0)-MATCH($A$1,[2]characters!$1:$1,0)+1,FALSE)</f>
        <v>女性</v>
      </c>
      <c r="G416" s="77">
        <f ca="1">VLOOKUP($A416,OFFSET([2]characters!$A$1,0,0,COUNTA([2]characters!$A:$A),MATCH(G$1,[2]characters!$1:$1,0)-MATCH($A$1,[2]characters!$1:$1,0)+1),MATCH(G$1,[2]characters!$1:$1,0)-MATCH($A$1,[2]characters!$1:$1,0)+1,FALSE)</f>
        <v>5</v>
      </c>
      <c r="H416" s="77" t="str">
        <f ca="1">VLOOKUP($A416,OFFSET([2]characters!$A$1,0,0,COUNTA([2]characters!$A:$A),MATCH(H$1,[2]characters!$1:$1,0)-MATCH($A$1,[2]characters!$1:$1,0)+1),MATCH(H$1,[2]characters!$1:$1,0)-MATCH($A$1,[2]characters!$1:$1,0)+1,FALSE)</f>
        <v>Drop2N</v>
      </c>
      <c r="I416" s="77" t="str">
        <f ca="1">VLOOKUP($A416,OFFSET([2]characters!$A$1,0,0,COUNTA([2]characters!$A:$A),MATCH(I$1,[2]characters!$1:$1,0)-MATCH($A$1,[2]characters!$1:$1,0)+1),MATCH(I$1,[2]characters!$1:$1,0)-MATCH($A$1,[2]characters!$1:$1,0)+1,FALSE)</f>
        <v>blue</v>
      </c>
      <c r="J416" s="14">
        <f ca="1">VLOOKUP(I416,[2]属性!$A:$E,2,FALSE)</f>
        <v>1</v>
      </c>
      <c r="K416" s="14">
        <f ca="1">VLOOKUP(I416,[2]属性!$A:$E,3,FALSE)</f>
        <v>0.98</v>
      </c>
      <c r="L416" s="14">
        <f ca="1">VLOOKUP(I416,[2]属性!$A:$E,4,FALSE)</f>
        <v>1</v>
      </c>
      <c r="M416" s="14">
        <f ca="1">VLOOKUP(I416,[2]属性!$A:$E,5,FALSE)</f>
        <v>1.02</v>
      </c>
      <c r="N416" s="14">
        <f ca="1">INDEX(コスト!$A$1:$I$20,MATCH(H416,コスト!$A$1:$A$20,FALSE),MATCH(G416,コスト!$A$1:$I$1,FALSE))</f>
        <v>26</v>
      </c>
      <c r="O416" s="14">
        <f ca="1">INDEX(レベル!$A$1:$I$21,MATCH(H416,レベル!$A$1:$A$21,FALSE),MATCH(G416,レベル!$A$1:$I$1,FALSE))</f>
        <v>80</v>
      </c>
      <c r="P416" s="63">
        <f t="shared" ca="1" si="64"/>
        <v>75</v>
      </c>
      <c r="Q416" s="77" t="str">
        <f ca="1">VLOOKUP($A416,OFFSET([2]characters!$A$1,0,0,COUNTA([2]characters!$A:$A),MATCH(Q$1,[2]characters!$1:$1,0)-MATCH($A$1,[2]characters!$1:$1,0)+1),MATCH(Q$1,[2]characters!$1:$1,0)-MATCH($A$1,[2]characters!$1:$1,0)+1,FALSE)</f>
        <v>balance</v>
      </c>
      <c r="R416" s="8" t="str">
        <f ca="1">VLOOKUP(Q416,[2]character_type_i18n!$A:$H,3,FALSE)</f>
        <v>バランスタイプ</v>
      </c>
      <c r="S416" s="14">
        <f ca="1">VLOOKUP(Q416,[2]character_type_i18n!$A:$H,4,FALSE)</f>
        <v>1</v>
      </c>
      <c r="T416" s="14">
        <f ca="1">VLOOKUP(Q416,[2]character_type_i18n!$A:$H,5,FALSE)</f>
        <v>1</v>
      </c>
      <c r="U416" s="14">
        <f ca="1">VLOOKUP(Q416,[2]character_type_i18n!$A:$H,6,FALSE)</f>
        <v>1</v>
      </c>
      <c r="V416" s="14">
        <f ca="1">VLOOKUP(Q416,[2]character_type_i18n!$A:$H,7,FALSE)</f>
        <v>1</v>
      </c>
      <c r="W416" s="77" t="str">
        <f ca="1">VLOOKUP($A416,OFFSET([2]characters!$A$1,0,0,COUNTA([2]characters!$A:$A),MATCH(W$1,[2]characters!$1:$1,0)-MATCH($A$1,[2]characters!$1:$1,0)+1),MATCH(W$1,[2]characters!$1:$1,0)-MATCH($A$1,[2]characters!$1:$1,0)+1,FALSE)</f>
        <v>human</v>
      </c>
      <c r="X416" s="8" t="str">
        <f ca="1">VLOOKUP(W416,[2]character_tribe_i18n!$A:$H,3,FALSE)</f>
        <v>ヒューマン</v>
      </c>
      <c r="Y416" s="77" t="str">
        <f ca="1">VLOOKUP($A416,OFFSET([2]characters!$A$1,0,0,COUNTA([2]characters!$A:$A),MATCH(Y$1,[2]characters!$1:$1,0)-MATCH($A$1,[2]characters!$1:$1,0)+1),MATCH(Y$1,[2]characters!$1:$1,0)-MATCH($A$1,[2]characters!$1:$1,0)+1,FALSE)</f>
        <v>none</v>
      </c>
      <c r="Z416" s="8" t="str">
        <f ca="1">VLOOKUP(Y416,[2]character_tribe_i18n!$A:$H,3,FALSE)</f>
        <v>種族なし</v>
      </c>
      <c r="AA416" s="14">
        <f ca="1">VLOOKUP(W416,[2]character_tribe_i18n!$A:$H,4,FALSE)</f>
        <v>0.94</v>
      </c>
      <c r="AB416" s="14">
        <f ca="1">VLOOKUP(W416,[2]character_tribe_i18n!$A:$H,5,FALSE)</f>
        <v>0.99</v>
      </c>
      <c r="AC416" s="14">
        <f ca="1">VLOOKUP(W416,[2]character_tribe_i18n!$A:$H,6,FALSE)</f>
        <v>1</v>
      </c>
      <c r="AD416" s="14">
        <f ca="1">VLOOKUP(W416,[2]character_tribe_i18n!$A:$H,7,FALSE)</f>
        <v>1.07</v>
      </c>
      <c r="AE416" s="12" t="s">
        <v>231</v>
      </c>
      <c r="AF416" s="85" t="str">
        <f ca="1">IF(AE416="NULL","",VLOOKUP($AE416,OFFSET([2]characters!$A$1,0,0,COUNTA([2]characters!$A:$A),MATCH(AF$1,[2]characters!$1:$1,0)-MATCH($A$1,[2]characters!$1:$1,0)+1),MATCH(AF$1,[2]characters!$1:$1,0)-MATCH($A$1,[2]characters!$1:$1,0)+1,FALSE))</f>
        <v/>
      </c>
      <c r="AG416" s="8">
        <f t="shared" ca="1" si="52"/>
        <v>422</v>
      </c>
      <c r="AH416" s="85" t="str">
        <f ca="1">VLOOKUP($AG416,OFFSET([2]characters!$A$1,0,0,COUNTA([2]characters!$A:$A),MATCH(AH$1,[2]characters!$1:$1,0)-MATCH($A$1,[2]characters!$1:$1,0)+1),MATCH(AH$1,[2]characters!$1:$1,0)-MATCH($A$1,[2]characters!$1:$1,0)+1,FALSE)</f>
        <v>シュガフル</v>
      </c>
      <c r="AI416" s="14" t="str">
        <f>IF(AE416="NULL","NULL",VLOOKUP(G416,ビット!$A$2:$B$7,2))</f>
        <v>NULL</v>
      </c>
      <c r="AJ416" s="9">
        <v>2</v>
      </c>
      <c r="AK416" s="10" t="str">
        <f t="shared" si="65"/>
        <v>普通</v>
      </c>
      <c r="AL416" s="14" t="str">
        <f ca="1">INDEX(経験値!$A$1:$I$20,MATCH(H416,経験値!$A$1:$A$20,FALSE),MATCH(G416,経験値!$A$1:$I$1,FALSE))</f>
        <v>required_exp_200</v>
      </c>
      <c r="AM416" s="11">
        <f ca="1">VLOOKUP(G416,経験値!$A$27:$B$31,2)</f>
        <v>6400</v>
      </c>
      <c r="AN416" s="21">
        <f ca="1">VLOOKUP(G416,ビット!$G$2:$H$7,2)</f>
        <v>900</v>
      </c>
      <c r="AO416" s="57"/>
      <c r="AP416" s="101">
        <v>513001</v>
      </c>
      <c r="AQ416" s="77" t="e">
        <f ca="1">VLOOKUP($AP416,OFFSET([1]unit_skills!$A$1,0,0,COUNTA([1]unit_skills!$A:$A),MATCH("name",[1]unit_skills!$1:$1,0)-MATCH($AP$1,[1]unit_skills!$1:$1,0)+1),MATCH("name",[1]unit_skills!$1:$1,0)-MATCH($AP$1,[1]unit_skills!$1:$1,0)+1,FALSE)</f>
        <v>#VALUE!</v>
      </c>
      <c r="AR416" s="77" t="e">
        <f ca="1">VLOOKUP($AP416,OFFSET([1]unit_skills!$A$1,0,0,COUNTA([1]unit_skills!$A:$A),MATCH("comment",[1]unit_skills!$1:$1,0)-MATCH($AP$1,[1]unit_skills!$1:$1,0)+1),MATCH("comment",[1]unit_skills!$1:$1,0)-MATCH($AP$1,[1]unit_skills!$1:$1,0)+1,FALSE)</f>
        <v>#VALUE!</v>
      </c>
      <c r="AS416" s="77" t="e">
        <f ca="1">VLOOKUP($AP416,OFFSET([1]unit_skills!$A$1,0,0,COUNTA([1]unit_skills!$A:$A),MATCH(AS$1,[1]unit_skills!$1:$1,0)-MATCH($AP$1,[1]unit_skills!$1:$1,0)+1),MATCH(AS$1,[1]unit_skills!$1:$1,0)-MATCH($AP$1,[1]unit_skills!$1:$1,0)+1,FALSE)</f>
        <v>#VALUE!</v>
      </c>
      <c r="AT416" s="53">
        <v>173109</v>
      </c>
      <c r="AU416" s="77" t="e">
        <f ca="1">VLOOKUP($AT416,OFFSET([1]crash_skills!$A$1,0,0,COUNTA([1]crash_skills!$A:$A),MATCH("name",[1]crash_skills!$1:$1,0)-MATCH($AT$1,[1]crash_skills!$1:$1,0)+1),MATCH("name",[1]crash_skills!$1:$1,0)-MATCH($AT$1,[1]crash_skills!$1:$1,0)+1,FALSE)</f>
        <v>#VALUE!</v>
      </c>
      <c r="AV416" s="77" t="e">
        <f ca="1">VLOOKUP($AT416,OFFSET([1]crash_skills!$A$1,0,0,COUNTA([1]crash_skills!$A:$A),MATCH("comment",[1]crash_skills!$1:$1,0)-MATCH($AT$1,[1]crash_skills!$1:$1,0)+1),MATCH("comment",[1]crash_skills!$1:$1,0)-MATCH($AT$1,[1]crash_skills!$1:$1,0)+1,FALSE)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16" s="77" t="e">
        <f ca="1">VLOOKUP($AT416,OFFSET([1]crash_skills!$A$1,0,0,COUNTA([1]crash_skills!$A:$A),MATCH(AW$1,[1]crash_skills!$1:$1,0)-MATCH($AT$1,[1]crash_skills!$1:$1,0)+1),MATCH(AW$1,[1]crash_skills!$1:$1,0)-MATCH($AT$1,[1]crash_skills!$1:$1,0)+1,FALSE)</f>
        <v>#VALUE!</v>
      </c>
      <c r="AX416" s="81">
        <f ca="1">VLOOKUP($A416,OFFSET([2]characters!$A$1,0,0,COUNTA([2]characters!$A:$A),MATCH(AX$1,[2]characters!$1:$1,0)-MATCH($A$1,[2]characters!$1:$1,0)+1),MATCH(AX$1,[2]characters!$1:$1,0)-MATCH($A$1,[2]characters!$1:$1,0)+1,FALSE)</f>
        <v>3</v>
      </c>
      <c r="AY416" s="139">
        <v>1.1200000000000001</v>
      </c>
      <c r="AZ416" s="139">
        <v>1.1319999999999999</v>
      </c>
      <c r="BA416" s="139">
        <v>0</v>
      </c>
      <c r="BB416" s="139">
        <v>1.1000000000000001</v>
      </c>
      <c r="BC416" s="14">
        <f ca="1">INDEX('RC6SV'!$A$1:$G$20,MATCH(H416,'RC6SV'!$A$1:$A$20,FALSE),MATCH(G416,'RC6SV'!$A$1:$G$1,FALSE))</f>
        <v>7600</v>
      </c>
      <c r="BD416" s="63">
        <f t="shared" ca="1" si="66"/>
        <v>7600</v>
      </c>
      <c r="BE416" s="14">
        <f t="shared" ca="1" si="53"/>
        <v>5800</v>
      </c>
      <c r="BF416" s="14">
        <f t="shared" ca="1" si="54"/>
        <v>1</v>
      </c>
      <c r="BG416" s="20">
        <f ca="1">IF($BE416&lt;=0,ROUND(BK416*0.5,0), ROUND($BE416*S416*AA416*J416*AY416*0.8*[2]ステータス!$B$2,0))</f>
        <v>2442</v>
      </c>
      <c r="BH416" s="20">
        <f ca="1">IF($BE416&lt;=0,ROUND(BL416*0.5,0), ROUND($BE416*T416*AB416*K416*AZ416*0.8*[2]ステータス!$C$2,0))</f>
        <v>1529</v>
      </c>
      <c r="BI416" s="20">
        <f ca="1">IF($BE416&lt;=0,ROUND(BM416*0.5,0), ROUND($BE416*U416*AC416*L416*BA416*0.8*[2]ステータス!$D$2,0))</f>
        <v>0</v>
      </c>
      <c r="BJ416" s="20">
        <f ca="1">IF($BE416&lt;=0,ROUND(BN416*0.5,0), ROUND($BE416*V416*AD416*M416*BB416*0.8*[2]ステータス!$E$2,0))</f>
        <v>1393</v>
      </c>
      <c r="BK416" s="14">
        <f ca="1">ROUND(BD416*S416*AA416*J416*AY416*[2]ステータス!$B$2,0)</f>
        <v>4001</v>
      </c>
      <c r="BL416" s="14">
        <f ca="1">ROUND(BD416*T416*AB416*K416*AZ416*[2]ステータス!$C$2,0)</f>
        <v>2504</v>
      </c>
      <c r="BM416" s="14">
        <f ca="1">ROUND(BD416*U416*AC416*L416*BA416*[2]ステータス!$D$2,0)</f>
        <v>0</v>
      </c>
      <c r="BN416" s="14">
        <f ca="1">ROUND(BD416*V416*AD416*M416*BB416*[2]ステータス!$E$2,0)</f>
        <v>2281</v>
      </c>
      <c r="BO416" s="13">
        <v>0</v>
      </c>
      <c r="BP416" s="13">
        <v>1</v>
      </c>
      <c r="BQ416" s="49" t="s">
        <v>102</v>
      </c>
      <c r="BR416" s="13">
        <f ca="1">VLOOKUP(H416,ghosts_label!$A$2:$B$19,2,FALSE)</f>
        <v>1</v>
      </c>
    </row>
    <row r="417" spans="1:70" ht="21" customHeight="1" x14ac:dyDescent="0.15">
      <c r="A417" s="14">
        <v>424</v>
      </c>
      <c r="B417" s="77" t="str">
        <f ca="1">VLOOKUP($A417,OFFSET([2]characters!$A$1,0,0,COUNTA([2]characters!$A:$A),MATCH(B$1,[2]characters!$1:$1,0)-MATCH($A$1,[2]characters!$1:$1,0)+1),MATCH(B$1,[2]characters!$1:$1,0)-MATCH($A$1,[2]characters!$1:$1,0)+1,FALSE)</f>
        <v>フック</v>
      </c>
      <c r="C417" s="77" t="str">
        <f ca="1">VLOOKUP($A417,OFFSET([2]characters!$A$1,0,0,COUNTA([2]characters!$A:$A),MATCH(C$1,[2]characters!$1:$1,0)-MATCH($A$1,[2]characters!$1:$1,0)+1),MATCH(C$1,[2]characters!$1:$1,0)-MATCH($A$1,[2]characters!$1:$1,0)+1,FALSE)</f>
        <v>イベント:アリスの絵本02</v>
      </c>
      <c r="D417" s="77" t="str">
        <f ca="1">VLOOKUP($A417,OFFSET([2]characters!$A$1,0,0,COUNTA([2]characters!$A:$A),MATCH(D$1,[2]characters!$1:$1,0)-MATCH($A$1,[2]characters!$1:$1,0)+1),MATCH(D$1,[2]characters!$1:$1,0)-MATCH($A$1,[2]characters!$1:$1,0)+1,FALSE)</f>
        <v>執行者</v>
      </c>
      <c r="E417" s="77" t="str">
        <f ca="1">VLOOKUP($A417,OFFSET([2]characters!$A$1,0,0,COUNTA([2]characters!$A:$A),MATCH(E$1,[2]characters!$1:$1,0)-MATCH($A$1,[2]characters!$1:$1,0)+1),MATCH(E$1,[2]characters!$1:$1,0)-MATCH($A$1,[2]characters!$1:$1,0)+1,FALSE)</f>
        <v>格好いい</v>
      </c>
      <c r="F417" s="77" t="str">
        <f ca="1">VLOOKUP($A417,OFFSET([2]characters!$A$1,0,0,COUNTA([2]characters!$A:$A),MATCH(F$1,[2]characters!$1:$1,0)-MATCH($A$1,[2]characters!$1:$1,0)+1),MATCH(F$1,[2]characters!$1:$1,0)-MATCH($A$1,[2]characters!$1:$1,0)+1,FALSE)</f>
        <v>女性</v>
      </c>
      <c r="G417" s="77">
        <f ca="1">VLOOKUP($A417,OFFSET([2]characters!$A$1,0,0,COUNTA([2]characters!$A:$A),MATCH(G$1,[2]characters!$1:$1,0)-MATCH($A$1,[2]characters!$1:$1,0)+1),MATCH(G$1,[2]characters!$1:$1,0)-MATCH($A$1,[2]characters!$1:$1,0)+1,FALSE)</f>
        <v>4</v>
      </c>
      <c r="H417" s="77" t="str">
        <f ca="1">VLOOKUP($A417,OFFSET([2]characters!$A$1,0,0,COUNTA([2]characters!$A:$A),MATCH(H$1,[2]characters!$1:$1,0)-MATCH($A$1,[2]characters!$1:$1,0)+1),MATCH(H$1,[2]characters!$1:$1,0)-MATCH($A$1,[2]characters!$1:$1,0)+1,FALSE)</f>
        <v>Drop2N</v>
      </c>
      <c r="I417" s="77" t="str">
        <f ca="1">VLOOKUP($A417,OFFSET([2]characters!$A$1,0,0,COUNTA([2]characters!$A:$A),MATCH(I$1,[2]characters!$1:$1,0)-MATCH($A$1,[2]characters!$1:$1,0)+1),MATCH(I$1,[2]characters!$1:$1,0)-MATCH($A$1,[2]characters!$1:$1,0)+1,FALSE)</f>
        <v>yellow</v>
      </c>
      <c r="J417" s="14">
        <f ca="1">VLOOKUP(I417,[2]属性!$A:$E,2,FALSE)</f>
        <v>0.98</v>
      </c>
      <c r="K417" s="14">
        <f ca="1">VLOOKUP(I417,[2]属性!$A:$E,3,FALSE)</f>
        <v>1.01</v>
      </c>
      <c r="L417" s="14">
        <f ca="1">VLOOKUP(I417,[2]属性!$A:$E,4,FALSE)</f>
        <v>1</v>
      </c>
      <c r="M417" s="14">
        <f ca="1">VLOOKUP(I417,[2]属性!$A:$E,5,FALSE)</f>
        <v>1.01</v>
      </c>
      <c r="N417" s="14">
        <f ca="1">INDEX(コスト!$A$1:$I$20,MATCH(H417,コスト!$A$1:$A$20,FALSE),MATCH(G417,コスト!$A$1:$I$1,FALSE))</f>
        <v>17</v>
      </c>
      <c r="O417" s="14">
        <f ca="1">INDEX(レベル!$A$1:$I$21,MATCH(H417,レベル!$A$1:$A$21,FALSE),MATCH(G417,レベル!$A$1:$I$1,FALSE))</f>
        <v>60</v>
      </c>
      <c r="P417" s="63">
        <f t="shared" ca="1" si="64"/>
        <v>60</v>
      </c>
      <c r="Q417" s="77" t="str">
        <f ca="1">VLOOKUP($A417,OFFSET([2]characters!$A$1,0,0,COUNTA([2]characters!$A:$A),MATCH(Q$1,[2]characters!$1:$1,0)-MATCH($A$1,[2]characters!$1:$1,0)+1),MATCH(Q$1,[2]characters!$1:$1,0)-MATCH($A$1,[2]characters!$1:$1,0)+1,FALSE)</f>
        <v>attack</v>
      </c>
      <c r="R417" s="8" t="str">
        <f ca="1">VLOOKUP(Q417,[2]character_type_i18n!$A:$H,3,FALSE)</f>
        <v>攻撃タイプ</v>
      </c>
      <c r="S417" s="14">
        <f ca="1">VLOOKUP(Q417,[2]character_type_i18n!$A:$H,4,FALSE)</f>
        <v>1</v>
      </c>
      <c r="T417" s="14">
        <f ca="1">VLOOKUP(Q417,[2]character_type_i18n!$A:$H,5,FALSE)</f>
        <v>1.33</v>
      </c>
      <c r="U417" s="14">
        <f ca="1">VLOOKUP(Q417,[2]character_type_i18n!$A:$H,6,FALSE)</f>
        <v>1</v>
      </c>
      <c r="V417" s="14">
        <f ca="1">VLOOKUP(Q417,[2]character_type_i18n!$A:$H,7,FALSE)</f>
        <v>0.67</v>
      </c>
      <c r="W417" s="77" t="str">
        <f ca="1">VLOOKUP($A417,OFFSET([2]characters!$A$1,0,0,COUNTA([2]characters!$A:$A),MATCH(W$1,[2]characters!$1:$1,0)-MATCH($A$1,[2]characters!$1:$1,0)+1),MATCH(W$1,[2]characters!$1:$1,0)-MATCH($A$1,[2]characters!$1:$1,0)+1,FALSE)</f>
        <v>human</v>
      </c>
      <c r="X417" s="8" t="str">
        <f ca="1">VLOOKUP(W417,[2]character_tribe_i18n!$A:$H,3,FALSE)</f>
        <v>ヒューマン</v>
      </c>
      <c r="Y417" s="77" t="str">
        <f ca="1">VLOOKUP($A417,OFFSET([2]characters!$A$1,0,0,COUNTA([2]characters!$A:$A),MATCH(Y$1,[2]characters!$1:$1,0)-MATCH($A$1,[2]characters!$1:$1,0)+1),MATCH(Y$1,[2]characters!$1:$1,0)-MATCH($A$1,[2]characters!$1:$1,0)+1,FALSE)</f>
        <v>none</v>
      </c>
      <c r="Z417" s="8" t="str">
        <f ca="1">VLOOKUP(Y417,[2]character_tribe_i18n!$A:$H,3,FALSE)</f>
        <v>種族なし</v>
      </c>
      <c r="AA417" s="14">
        <f ca="1">VLOOKUP(W417,[2]character_tribe_i18n!$A:$H,4,FALSE)</f>
        <v>0.94</v>
      </c>
      <c r="AB417" s="14">
        <f ca="1">VLOOKUP(W417,[2]character_tribe_i18n!$A:$H,5,FALSE)</f>
        <v>0.99</v>
      </c>
      <c r="AC417" s="14">
        <f ca="1">VLOOKUP(W417,[2]character_tribe_i18n!$A:$H,6,FALSE)</f>
        <v>1</v>
      </c>
      <c r="AD417" s="14">
        <f ca="1">VLOOKUP(W417,[2]character_tribe_i18n!$A:$H,7,FALSE)</f>
        <v>1.07</v>
      </c>
      <c r="AE417" s="12">
        <v>425</v>
      </c>
      <c r="AF417" s="85" t="str">
        <f ca="1">IF(AE417="NULL","",VLOOKUP($AE417,OFFSET([2]characters!$A$1,0,0,COUNTA([2]characters!$A:$A),MATCH(AF$1,[2]characters!$1:$1,0)-MATCH($A$1,[2]characters!$1:$1,0)+1),MATCH(AF$1,[2]characters!$1:$1,0)-MATCH($A$1,[2]characters!$1:$1,0)+1,FALSE))</f>
        <v>怒髪の海賊 フック</v>
      </c>
      <c r="AG417" s="8">
        <f t="shared" ca="1" si="52"/>
        <v>424</v>
      </c>
      <c r="AH417" s="85" t="str">
        <f ca="1">VLOOKUP($AG417,OFFSET([2]characters!$A$1,0,0,COUNTA([2]characters!$A:$A),MATCH(AH$1,[2]characters!$1:$1,0)-MATCH($A$1,[2]characters!$1:$1,0)+1),MATCH(AH$1,[2]characters!$1:$1,0)-MATCH($A$1,[2]characters!$1:$1,0)+1,FALSE)</f>
        <v>フック</v>
      </c>
      <c r="AI417" s="14">
        <f ca="1">IF(AE417="NULL","NULL",VLOOKUP(G417,ビット!$A$2:$B$7,2))</f>
        <v>50000</v>
      </c>
      <c r="AJ417" s="9">
        <v>2</v>
      </c>
      <c r="AK417" s="10" t="str">
        <f t="shared" si="65"/>
        <v>普通</v>
      </c>
      <c r="AL417" s="14" t="str">
        <f ca="1">INDEX(経験値!$A$1:$I$20,MATCH(H417,経験値!$A$1:$A$20,FALSE),MATCH(G417,経験値!$A$1:$I$1,FALSE))</f>
        <v>required_exp_200</v>
      </c>
      <c r="AM417" s="11">
        <f ca="1">VLOOKUP(G417,経験値!$A$27:$B$31,2)</f>
        <v>3400</v>
      </c>
      <c r="AN417" s="21">
        <f ca="1">VLOOKUP(G417,ビット!$G$2:$H$7,2)</f>
        <v>600</v>
      </c>
      <c r="AO417" s="57"/>
      <c r="AP417" s="101">
        <v>134004</v>
      </c>
      <c r="AQ417" s="77" t="e">
        <f ca="1">VLOOKUP($AP417,OFFSET([1]unit_skills!$A$1,0,0,COUNTA([1]unit_skills!$A:$A),MATCH("name",[1]unit_skills!$1:$1,0)-MATCH($AP$1,[1]unit_skills!$1:$1,0)+1),MATCH("name",[1]unit_skills!$1:$1,0)-MATCH($AP$1,[1]unit_skills!$1:$1,0)+1,FALSE)</f>
        <v>#VALUE!</v>
      </c>
      <c r="AR417" s="77" t="e">
        <f ca="1">VLOOKUP($AP417,OFFSET([1]unit_skills!$A$1,0,0,COUNTA([1]unit_skills!$A:$A),MATCH("comment",[1]unit_skills!$1:$1,0)-MATCH($AP$1,[1]unit_skills!$1:$1,0)+1),MATCH("comment",[1]unit_skills!$1:$1,0)-MATCH($AP$1,[1]unit_skills!$1:$1,0)+1,FALSE)</f>
        <v>#VALUE!</v>
      </c>
      <c r="AS417" s="77" t="e">
        <f ca="1">VLOOKUP($AP417,OFFSET([1]unit_skills!$A$1,0,0,COUNTA([1]unit_skills!$A:$A),MATCH(AS$1,[1]unit_skills!$1:$1,0)-MATCH($AP$1,[1]unit_skills!$1:$1,0)+1),MATCH(AS$1,[1]unit_skills!$1:$1,0)-MATCH($AP$1,[1]unit_skills!$1:$1,0)+1,FALSE)</f>
        <v>#VALUE!</v>
      </c>
      <c r="AT417" s="53">
        <v>184904</v>
      </c>
      <c r="AU417" s="77" t="e">
        <f ca="1">VLOOKUP($AT417,OFFSET([1]crash_skills!$A$1,0,0,COUNTA([1]crash_skills!$A:$A),MATCH("name",[1]crash_skills!$1:$1,0)-MATCH($AT$1,[1]crash_skills!$1:$1,0)+1),MATCH("name",[1]crash_skills!$1:$1,0)-MATCH($AT$1,[1]crash_skills!$1:$1,0)+1,FALSE)</f>
        <v>#VALUE!</v>
      </c>
      <c r="AV417" s="77" t="e">
        <f ca="1">VLOOKUP($AT417,OFFSET([1]crash_skills!$A$1,0,0,COUNTA([1]crash_skills!$A:$A),MATCH("comment",[1]crash_skills!$1:$1,0)-MATCH($AT$1,[1]crash_skills!$1:$1,0)+1),MATCH("comment",[1]crash_skills!$1:$1,0)-MATCH($AT$1,[1]crash_skills!$1:$1,0)+1,FALSE)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17" s="77" t="e">
        <f ca="1">VLOOKUP($AT417,OFFSET([1]crash_skills!$A$1,0,0,COUNTA([1]crash_skills!$A:$A),MATCH(AW$1,[1]crash_skills!$1:$1,0)-MATCH($AT$1,[1]crash_skills!$1:$1,0)+1),MATCH(AW$1,[1]crash_skills!$1:$1,0)-MATCH($AT$1,[1]crash_skills!$1:$1,0)+1,FALSE)</f>
        <v>#VALUE!</v>
      </c>
      <c r="AX417" s="81">
        <f ca="1">VLOOKUP($A417,OFFSET([2]characters!$A$1,0,0,COUNTA([2]characters!$A:$A),MATCH(AX$1,[2]characters!$1:$1,0)-MATCH($A$1,[2]characters!$1:$1,0)+1),MATCH(AX$1,[2]characters!$1:$1,0)-MATCH($A$1,[2]characters!$1:$1,0)+1,FALSE)</f>
        <v>3</v>
      </c>
      <c r="AY417" s="139">
        <v>1</v>
      </c>
      <c r="AZ417" s="139">
        <v>1</v>
      </c>
      <c r="BA417" s="139">
        <v>0</v>
      </c>
      <c r="BB417" s="139">
        <v>1</v>
      </c>
      <c r="BC417" s="14">
        <f ca="1">INDEX('RC6SV'!$A$1:$G$20,MATCH(H417,'RC6SV'!$A$1:$A$20,FALSE),MATCH(G417,'RC6SV'!$A$1:$G$1,FALSE))</f>
        <v>5800</v>
      </c>
      <c r="BD417" s="63">
        <f t="shared" ca="1" si="66"/>
        <v>5800</v>
      </c>
      <c r="BE417" s="14">
        <f t="shared" ca="1" si="53"/>
        <v>0</v>
      </c>
      <c r="BF417" s="14">
        <f t="shared" ca="1" si="54"/>
        <v>1</v>
      </c>
      <c r="BG417" s="20">
        <f ca="1">IF($BE417&lt;=0,ROUND(BK417*0.5,0), ROUND($BE417*S417*AA417*J417*AY417*0.8*[2]ステータス!$B$2,0))</f>
        <v>1336</v>
      </c>
      <c r="BH417" s="20">
        <f ca="1">IF($BE417&lt;=0,ROUND(BL417*0.5,0), ROUND($BE417*T417*AB417*K417*AZ417*0.8*[2]ステータス!$C$2,0))</f>
        <v>1157</v>
      </c>
      <c r="BI417" s="20">
        <f ca="1">IF($BE417&lt;=0,ROUND(BM417*0.5,0), ROUND($BE417*U417*AC417*L417*BA417*0.8*[2]ステータス!$D$2,0))</f>
        <v>0</v>
      </c>
      <c r="BJ417" s="20">
        <f ca="1">IF($BE417&lt;=0,ROUND(BN417*0.5,0), ROUND($BE417*V417*AD417*M417*BB417*0.8*[2]ステータス!$E$2,0))</f>
        <v>525</v>
      </c>
      <c r="BK417" s="14">
        <f ca="1">ROUND(BD417*S417*AA417*J417*AY417*[2]ステータス!$B$2,0)</f>
        <v>2671</v>
      </c>
      <c r="BL417" s="14">
        <f ca="1">ROUND(BD417*T417*AB417*K417*AZ417*[2]ステータス!$C$2,0)</f>
        <v>2314</v>
      </c>
      <c r="BM417" s="14">
        <f ca="1">ROUND(BD417*U417*AC417*L417*BA417*[2]ステータス!$D$2,0)</f>
        <v>0</v>
      </c>
      <c r="BN417" s="14">
        <f ca="1">ROUND(BD417*V417*AD417*M417*BB417*[2]ステータス!$E$2,0)</f>
        <v>1050</v>
      </c>
      <c r="BO417" s="13">
        <v>0</v>
      </c>
      <c r="BP417" s="13">
        <v>1</v>
      </c>
      <c r="BQ417" s="49" t="s">
        <v>102</v>
      </c>
      <c r="BR417" s="13">
        <f ca="1">VLOOKUP(H417,ghosts_label!$A$2:$B$19,2,FALSE)</f>
        <v>1</v>
      </c>
    </row>
    <row r="418" spans="1:70" ht="21" customHeight="1" x14ac:dyDescent="0.15">
      <c r="A418" s="14">
        <v>425</v>
      </c>
      <c r="B418" s="77" t="str">
        <f ca="1">VLOOKUP($A418,OFFSET([2]characters!$A$1,0,0,COUNTA([2]characters!$A:$A),MATCH(B$1,[2]characters!$1:$1,0)-MATCH($A$1,[2]characters!$1:$1,0)+1),MATCH(B$1,[2]characters!$1:$1,0)-MATCH($A$1,[2]characters!$1:$1,0)+1,FALSE)</f>
        <v>怒髪の海賊 フック</v>
      </c>
      <c r="C418" s="77" t="str">
        <f ca="1">VLOOKUP($A418,OFFSET([2]characters!$A$1,0,0,COUNTA([2]characters!$A:$A),MATCH(C$1,[2]characters!$1:$1,0)-MATCH($A$1,[2]characters!$1:$1,0)+1),MATCH(C$1,[2]characters!$1:$1,0)-MATCH($A$1,[2]characters!$1:$1,0)+1,FALSE)</f>
        <v>イベント:アリスの絵本02</v>
      </c>
      <c r="D418" s="77" t="str">
        <f ca="1">VLOOKUP($A418,OFFSET([2]characters!$A$1,0,0,COUNTA([2]characters!$A:$A),MATCH(D$1,[2]characters!$1:$1,0)-MATCH($A$1,[2]characters!$1:$1,0)+1),MATCH(D$1,[2]characters!$1:$1,0)-MATCH($A$1,[2]characters!$1:$1,0)+1,FALSE)</f>
        <v>執行者</v>
      </c>
      <c r="E418" s="77" t="str">
        <f ca="1">VLOOKUP($A418,OFFSET([2]characters!$A$1,0,0,COUNTA([2]characters!$A:$A),MATCH(E$1,[2]characters!$1:$1,0)-MATCH($A$1,[2]characters!$1:$1,0)+1),MATCH(E$1,[2]characters!$1:$1,0)-MATCH($A$1,[2]characters!$1:$1,0)+1,FALSE)</f>
        <v>格好いい</v>
      </c>
      <c r="F418" s="77" t="str">
        <f ca="1">VLOOKUP($A418,OFFSET([2]characters!$A$1,0,0,COUNTA([2]characters!$A:$A),MATCH(F$1,[2]characters!$1:$1,0)-MATCH($A$1,[2]characters!$1:$1,0)+1),MATCH(F$1,[2]characters!$1:$1,0)-MATCH($A$1,[2]characters!$1:$1,0)+1,FALSE)</f>
        <v>女性</v>
      </c>
      <c r="G418" s="77">
        <f ca="1">VLOOKUP($A418,OFFSET([2]characters!$A$1,0,0,COUNTA([2]characters!$A:$A),MATCH(G$1,[2]characters!$1:$1,0)-MATCH($A$1,[2]characters!$1:$1,0)+1),MATCH(G$1,[2]characters!$1:$1,0)-MATCH($A$1,[2]characters!$1:$1,0)+1,FALSE)</f>
        <v>5</v>
      </c>
      <c r="H418" s="77" t="str">
        <f ca="1">VLOOKUP($A418,OFFSET([2]characters!$A$1,0,0,COUNTA([2]characters!$A:$A),MATCH(H$1,[2]characters!$1:$1,0)-MATCH($A$1,[2]characters!$1:$1,0)+1),MATCH(H$1,[2]characters!$1:$1,0)-MATCH($A$1,[2]characters!$1:$1,0)+1,FALSE)</f>
        <v>Drop2N</v>
      </c>
      <c r="I418" s="77" t="str">
        <f ca="1">VLOOKUP($A418,OFFSET([2]characters!$A$1,0,0,COUNTA([2]characters!$A:$A),MATCH(I$1,[2]characters!$1:$1,0)-MATCH($A$1,[2]characters!$1:$1,0)+1),MATCH(I$1,[2]characters!$1:$1,0)-MATCH($A$1,[2]characters!$1:$1,0)+1,FALSE)</f>
        <v>yellow</v>
      </c>
      <c r="J418" s="14">
        <f ca="1">VLOOKUP(I418,[2]属性!$A:$E,2,FALSE)</f>
        <v>0.98</v>
      </c>
      <c r="K418" s="14">
        <f ca="1">VLOOKUP(I418,[2]属性!$A:$E,3,FALSE)</f>
        <v>1.01</v>
      </c>
      <c r="L418" s="14">
        <f ca="1">VLOOKUP(I418,[2]属性!$A:$E,4,FALSE)</f>
        <v>1</v>
      </c>
      <c r="M418" s="14">
        <f ca="1">VLOOKUP(I418,[2]属性!$A:$E,5,FALSE)</f>
        <v>1.01</v>
      </c>
      <c r="N418" s="14">
        <f ca="1">INDEX(コスト!$A$1:$I$20,MATCH(H418,コスト!$A$1:$A$20,FALSE),MATCH(G418,コスト!$A$1:$I$1,FALSE))</f>
        <v>26</v>
      </c>
      <c r="O418" s="14">
        <f ca="1">INDEX(レベル!$A$1:$I$21,MATCH(H418,レベル!$A$1:$A$21,FALSE),MATCH(G418,レベル!$A$1:$I$1,FALSE))</f>
        <v>80</v>
      </c>
      <c r="P418" s="63">
        <f t="shared" ca="1" si="64"/>
        <v>75</v>
      </c>
      <c r="Q418" s="77" t="str">
        <f ca="1">VLOOKUP($A418,OFFSET([2]characters!$A$1,0,0,COUNTA([2]characters!$A:$A),MATCH(Q$1,[2]characters!$1:$1,0)-MATCH($A$1,[2]characters!$1:$1,0)+1),MATCH(Q$1,[2]characters!$1:$1,0)-MATCH($A$1,[2]characters!$1:$1,0)+1,FALSE)</f>
        <v>attack</v>
      </c>
      <c r="R418" s="8" t="str">
        <f ca="1">VLOOKUP(Q418,[2]character_type_i18n!$A:$H,3,FALSE)</f>
        <v>攻撃タイプ</v>
      </c>
      <c r="S418" s="14">
        <f ca="1">VLOOKUP(Q418,[2]character_type_i18n!$A:$H,4,FALSE)</f>
        <v>1</v>
      </c>
      <c r="T418" s="14">
        <f ca="1">VLOOKUP(Q418,[2]character_type_i18n!$A:$H,5,FALSE)</f>
        <v>1.33</v>
      </c>
      <c r="U418" s="14">
        <f ca="1">VLOOKUP(Q418,[2]character_type_i18n!$A:$H,6,FALSE)</f>
        <v>1</v>
      </c>
      <c r="V418" s="14">
        <f ca="1">VLOOKUP(Q418,[2]character_type_i18n!$A:$H,7,FALSE)</f>
        <v>0.67</v>
      </c>
      <c r="W418" s="77" t="str">
        <f ca="1">VLOOKUP($A418,OFFSET([2]characters!$A$1,0,0,COUNTA([2]characters!$A:$A),MATCH(W$1,[2]characters!$1:$1,0)-MATCH($A$1,[2]characters!$1:$1,0)+1),MATCH(W$1,[2]characters!$1:$1,0)-MATCH($A$1,[2]characters!$1:$1,0)+1,FALSE)</f>
        <v>human</v>
      </c>
      <c r="X418" s="8" t="str">
        <f ca="1">VLOOKUP(W418,[2]character_tribe_i18n!$A:$H,3,FALSE)</f>
        <v>ヒューマン</v>
      </c>
      <c r="Y418" s="77" t="str">
        <f ca="1">VLOOKUP($A418,OFFSET([2]characters!$A$1,0,0,COUNTA([2]characters!$A:$A),MATCH(Y$1,[2]characters!$1:$1,0)-MATCH($A$1,[2]characters!$1:$1,0)+1),MATCH(Y$1,[2]characters!$1:$1,0)-MATCH($A$1,[2]characters!$1:$1,0)+1,FALSE)</f>
        <v>none</v>
      </c>
      <c r="Z418" s="8" t="str">
        <f ca="1">VLOOKUP(Y418,[2]character_tribe_i18n!$A:$H,3,FALSE)</f>
        <v>種族なし</v>
      </c>
      <c r="AA418" s="14">
        <f ca="1">VLOOKUP(W418,[2]character_tribe_i18n!$A:$H,4,FALSE)</f>
        <v>0.94</v>
      </c>
      <c r="AB418" s="14">
        <f ca="1">VLOOKUP(W418,[2]character_tribe_i18n!$A:$H,5,FALSE)</f>
        <v>0.99</v>
      </c>
      <c r="AC418" s="14">
        <f ca="1">VLOOKUP(W418,[2]character_tribe_i18n!$A:$H,6,FALSE)</f>
        <v>1</v>
      </c>
      <c r="AD418" s="14">
        <f ca="1">VLOOKUP(W418,[2]character_tribe_i18n!$A:$H,7,FALSE)</f>
        <v>1.07</v>
      </c>
      <c r="AE418" s="12" t="s">
        <v>231</v>
      </c>
      <c r="AF418" s="85" t="str">
        <f ca="1">IF(AE418="NULL","",VLOOKUP($AE418,OFFSET([2]characters!$A$1,0,0,COUNTA([2]characters!$A:$A),MATCH(AF$1,[2]characters!$1:$1,0)-MATCH($A$1,[2]characters!$1:$1,0)+1),MATCH(AF$1,[2]characters!$1:$1,0)-MATCH($A$1,[2]characters!$1:$1,0)+1,FALSE))</f>
        <v/>
      </c>
      <c r="AG418" s="8">
        <f t="shared" ca="1" si="52"/>
        <v>424</v>
      </c>
      <c r="AH418" s="85" t="str">
        <f ca="1">VLOOKUP($AG418,OFFSET([2]characters!$A$1,0,0,COUNTA([2]characters!$A:$A),MATCH(AH$1,[2]characters!$1:$1,0)-MATCH($A$1,[2]characters!$1:$1,0)+1),MATCH(AH$1,[2]characters!$1:$1,0)-MATCH($A$1,[2]characters!$1:$1,0)+1,FALSE)</f>
        <v>フック</v>
      </c>
      <c r="AI418" s="14" t="str">
        <f>IF(AE418="NULL","NULL",VLOOKUP(G418,ビット!$A$2:$B$7,2))</f>
        <v>NULL</v>
      </c>
      <c r="AJ418" s="9">
        <v>2</v>
      </c>
      <c r="AK418" s="10" t="str">
        <f t="shared" si="65"/>
        <v>普通</v>
      </c>
      <c r="AL418" s="14" t="str">
        <f ca="1">INDEX(経験値!$A$1:$I$20,MATCH(H418,経験値!$A$1:$A$20,FALSE),MATCH(G418,経験値!$A$1:$I$1,FALSE))</f>
        <v>required_exp_200</v>
      </c>
      <c r="AM418" s="11">
        <f ca="1">VLOOKUP(G418,経験値!$A$27:$B$31,2)</f>
        <v>6400</v>
      </c>
      <c r="AN418" s="21">
        <f ca="1">VLOOKUP(G418,ビット!$G$2:$H$7,2)</f>
        <v>900</v>
      </c>
      <c r="AO418" s="57"/>
      <c r="AP418" s="101">
        <v>134004</v>
      </c>
      <c r="AQ418" s="77" t="e">
        <f ca="1">VLOOKUP($AP418,OFFSET([1]unit_skills!$A$1,0,0,COUNTA([1]unit_skills!$A:$A),MATCH("name",[1]unit_skills!$1:$1,0)-MATCH($AP$1,[1]unit_skills!$1:$1,0)+1),MATCH("name",[1]unit_skills!$1:$1,0)-MATCH($AP$1,[1]unit_skills!$1:$1,0)+1,FALSE)</f>
        <v>#VALUE!</v>
      </c>
      <c r="AR418" s="77" t="e">
        <f ca="1">VLOOKUP($AP418,OFFSET([1]unit_skills!$A$1,0,0,COUNTA([1]unit_skills!$A:$A),MATCH("comment",[1]unit_skills!$1:$1,0)-MATCH($AP$1,[1]unit_skills!$1:$1,0)+1),MATCH("comment",[1]unit_skills!$1:$1,0)-MATCH($AP$1,[1]unit_skills!$1:$1,0)+1,FALSE)</f>
        <v>#VALUE!</v>
      </c>
      <c r="AS418" s="77" t="e">
        <f ca="1">VLOOKUP($AP418,OFFSET([1]unit_skills!$A$1,0,0,COUNTA([1]unit_skills!$A:$A),MATCH(AS$1,[1]unit_skills!$1:$1,0)-MATCH($AP$1,[1]unit_skills!$1:$1,0)+1),MATCH(AS$1,[1]unit_skills!$1:$1,0)-MATCH($AP$1,[1]unit_skills!$1:$1,0)+1,FALSE)</f>
        <v>#VALUE!</v>
      </c>
      <c r="AT418" s="53">
        <v>184904</v>
      </c>
      <c r="AU418" s="77" t="e">
        <f ca="1">VLOOKUP($AT418,OFFSET([1]crash_skills!$A$1,0,0,COUNTA([1]crash_skills!$A:$A),MATCH("name",[1]crash_skills!$1:$1,0)-MATCH($AT$1,[1]crash_skills!$1:$1,0)+1),MATCH("name",[1]crash_skills!$1:$1,0)-MATCH($AT$1,[1]crash_skills!$1:$1,0)+1,FALSE)</f>
        <v>#VALUE!</v>
      </c>
      <c r="AV418" s="77" t="e">
        <f ca="1">VLOOKUP($AT418,OFFSET([1]crash_skills!$A$1,0,0,COUNTA([1]crash_skills!$A:$A),MATCH("comment",[1]crash_skills!$1:$1,0)-MATCH($AT$1,[1]crash_skills!$1:$1,0)+1),MATCH("comment",[1]crash_skills!$1:$1,0)-MATCH($AT$1,[1]crash_skills!$1:$1,0)+1,FALSE)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18" s="77" t="e">
        <f ca="1">VLOOKUP($AT418,OFFSET([1]crash_skills!$A$1,0,0,COUNTA([1]crash_skills!$A:$A),MATCH(AW$1,[1]crash_skills!$1:$1,0)-MATCH($AT$1,[1]crash_skills!$1:$1,0)+1),MATCH(AW$1,[1]crash_skills!$1:$1,0)-MATCH($AT$1,[1]crash_skills!$1:$1,0)+1,FALSE)</f>
        <v>#VALUE!</v>
      </c>
      <c r="AX418" s="81">
        <f ca="1">VLOOKUP($A418,OFFSET([2]characters!$A$1,0,0,COUNTA([2]characters!$A:$A),MATCH(AX$1,[2]characters!$1:$1,0)-MATCH($A$1,[2]characters!$1:$1,0)+1),MATCH(AX$1,[2]characters!$1:$1,0)-MATCH($A$1,[2]characters!$1:$1,0)+1,FALSE)</f>
        <v>3</v>
      </c>
      <c r="AY418" s="139">
        <v>1</v>
      </c>
      <c r="AZ418" s="139">
        <v>1.1299999999999999</v>
      </c>
      <c r="BA418" s="139">
        <v>0</v>
      </c>
      <c r="BB418" s="139">
        <v>0.8</v>
      </c>
      <c r="BC418" s="14">
        <f ca="1">INDEX('RC6SV'!$A$1:$G$20,MATCH(H418,'RC6SV'!$A$1:$A$20,FALSE),MATCH(G418,'RC6SV'!$A$1:$G$1,FALSE))</f>
        <v>7600</v>
      </c>
      <c r="BD418" s="63">
        <f t="shared" ca="1" si="66"/>
        <v>7600</v>
      </c>
      <c r="BE418" s="14">
        <f t="shared" ca="1" si="53"/>
        <v>5800</v>
      </c>
      <c r="BF418" s="14">
        <f t="shared" ca="1" si="54"/>
        <v>1</v>
      </c>
      <c r="BG418" s="20">
        <f ca="1">IF($BE418&lt;=0,ROUND(BK418*0.5,0), ROUND($BE418*S418*AA418*J418*AY418*0.8*[2]ステータス!$B$2,0))</f>
        <v>2137</v>
      </c>
      <c r="BH418" s="20">
        <f ca="1">IF($BE418&lt;=0,ROUND(BL418*0.5,0), ROUND($BE418*T418*AB418*K418*AZ418*0.8*[2]ステータス!$C$2,0))</f>
        <v>2092</v>
      </c>
      <c r="BI418" s="20">
        <f ca="1">IF($BE418&lt;=0,ROUND(BM418*0.5,0), ROUND($BE418*U418*AC418*L418*BA418*0.8*[2]ステータス!$D$2,0))</f>
        <v>0</v>
      </c>
      <c r="BJ418" s="20">
        <f ca="1">IF($BE418&lt;=0,ROUND(BN418*0.5,0), ROUND($BE418*V418*AD418*M418*BB418*0.8*[2]ステータス!$E$2,0))</f>
        <v>672</v>
      </c>
      <c r="BK418" s="14">
        <f ca="1">ROUND(BD418*S418*AA418*J418*AY418*[2]ステータス!$B$2,0)</f>
        <v>3501</v>
      </c>
      <c r="BL418" s="14">
        <f ca="1">ROUND(BD418*T418*AB418*K418*AZ418*[2]ステータス!$C$2,0)</f>
        <v>3426</v>
      </c>
      <c r="BM418" s="14">
        <f ca="1">ROUND(BD418*U418*AC418*L418*BA418*[2]ステータス!$D$2,0)</f>
        <v>0</v>
      </c>
      <c r="BN418" s="14">
        <f ca="1">ROUND(BD418*V418*AD418*M418*BB418*[2]ステータス!$E$2,0)</f>
        <v>1101</v>
      </c>
      <c r="BO418" s="13">
        <v>0</v>
      </c>
      <c r="BP418" s="13">
        <v>1</v>
      </c>
      <c r="BQ418" s="49" t="s">
        <v>102</v>
      </c>
      <c r="BR418" s="13">
        <f ca="1">VLOOKUP(H418,ghosts_label!$A$2:$B$19,2,FALSE)</f>
        <v>1</v>
      </c>
    </row>
    <row r="419" spans="1:70" ht="21" customHeight="1" x14ac:dyDescent="0.15">
      <c r="A419" s="14">
        <v>426</v>
      </c>
      <c r="B419" s="77" t="str">
        <f ca="1">VLOOKUP($A419,OFFSET([2]characters!$A$1,0,0,COUNTA([2]characters!$A:$A),MATCH(B$1,[2]characters!$1:$1,0)-MATCH($A$1,[2]characters!$1:$1,0)+1),MATCH(B$1,[2]characters!$1:$1,0)-MATCH($A$1,[2]characters!$1:$1,0)+1,FALSE)</f>
        <v>宮本武蔵</v>
      </c>
      <c r="C419" s="77" t="str">
        <f ca="1">VLOOKUP($A419,OFFSET([2]characters!$A$1,0,0,COUNTA([2]characters!$A:$A),MATCH(C$1,[2]characters!$1:$1,0)-MATCH($A$1,[2]characters!$1:$1,0)+1),MATCH(C$1,[2]characters!$1:$1,0)-MATCH($A$1,[2]characters!$1:$1,0)+1,FALSE)</f>
        <v>イベント:ウィザード</v>
      </c>
      <c r="D419" s="77" t="str">
        <f ca="1">VLOOKUP($A419,OFFSET([2]characters!$A$1,0,0,COUNTA([2]characters!$A:$A),MATCH(D$1,[2]characters!$1:$1,0)-MATCH($A$1,[2]characters!$1:$1,0)+1),MATCH(D$1,[2]characters!$1:$1,0)-MATCH($A$1,[2]characters!$1:$1,0)+1,FALSE)</f>
        <v>執行者</v>
      </c>
      <c r="E419" s="77" t="str">
        <f ca="1">VLOOKUP($A419,OFFSET([2]characters!$A$1,0,0,COUNTA([2]characters!$A:$A),MATCH(E$1,[2]characters!$1:$1,0)-MATCH($A$1,[2]characters!$1:$1,0)+1),MATCH(E$1,[2]characters!$1:$1,0)-MATCH($A$1,[2]characters!$1:$1,0)+1,FALSE)</f>
        <v>格好いい</v>
      </c>
      <c r="F419" s="77" t="str">
        <f ca="1">VLOOKUP($A419,OFFSET([2]characters!$A$1,0,0,COUNTA([2]characters!$A:$A),MATCH(F$1,[2]characters!$1:$1,0)-MATCH($A$1,[2]characters!$1:$1,0)+1),MATCH(F$1,[2]characters!$1:$1,0)-MATCH($A$1,[2]characters!$1:$1,0)+1,FALSE)</f>
        <v>男性</v>
      </c>
      <c r="G419" s="77">
        <f ca="1">VLOOKUP($A419,OFFSET([2]characters!$A$1,0,0,COUNTA([2]characters!$A:$A),MATCH(G$1,[2]characters!$1:$1,0)-MATCH($A$1,[2]characters!$1:$1,0)+1),MATCH(G$1,[2]characters!$1:$1,0)-MATCH($A$1,[2]characters!$1:$1,0)+1,FALSE)</f>
        <v>4</v>
      </c>
      <c r="H419" s="77" t="str">
        <f ca="1">VLOOKUP($A419,OFFSET([2]characters!$A$1,0,0,COUNTA([2]characters!$A:$A),MATCH(H$1,[2]characters!$1:$1,0)-MATCH($A$1,[2]characters!$1:$1,0)+1),MATCH(H$1,[2]characters!$1:$1,0)-MATCH($A$1,[2]characters!$1:$1,0)+1,FALSE)</f>
        <v>DropWizS</v>
      </c>
      <c r="I419" s="77" t="str">
        <f ca="1">VLOOKUP($A419,OFFSET([2]characters!$A$1,0,0,COUNTA([2]characters!$A:$A),MATCH(I$1,[2]characters!$1:$1,0)-MATCH($A$1,[2]characters!$1:$1,0)+1),MATCH(I$1,[2]characters!$1:$1,0)-MATCH($A$1,[2]characters!$1:$1,0)+1,FALSE)</f>
        <v>yellow</v>
      </c>
      <c r="J419" s="14">
        <f ca="1">VLOOKUP(I419,[2]属性!$A:$E,2,FALSE)</f>
        <v>0.98</v>
      </c>
      <c r="K419" s="14">
        <f ca="1">VLOOKUP(I419,[2]属性!$A:$E,3,FALSE)</f>
        <v>1.01</v>
      </c>
      <c r="L419" s="14">
        <f ca="1">VLOOKUP(I419,[2]属性!$A:$E,4,FALSE)</f>
        <v>1</v>
      </c>
      <c r="M419" s="14">
        <f ca="1">VLOOKUP(I419,[2]属性!$A:$E,5,FALSE)</f>
        <v>1.01</v>
      </c>
      <c r="N419" s="14">
        <f ca="1">INDEX(コスト!$A$1:$I$20,MATCH(H419,コスト!$A$1:$A$20,FALSE),MATCH(G419,コスト!$A$1:$I$1,FALSE))</f>
        <v>20</v>
      </c>
      <c r="O419" s="14">
        <f ca="1">INDEX(レベル!$A$1:$I$21,MATCH(H419,レベル!$A$1:$A$21,FALSE),MATCH(G419,レベル!$A$1:$I$1,FALSE))</f>
        <v>60</v>
      </c>
      <c r="P419" s="63">
        <f t="shared" ca="1" si="64"/>
        <v>60</v>
      </c>
      <c r="Q419" s="77" t="str">
        <f ca="1">VLOOKUP($A419,OFFSET([2]characters!$A$1,0,0,COUNTA([2]characters!$A:$A),MATCH(Q$1,[2]characters!$1:$1,0)-MATCH($A$1,[2]characters!$1:$1,0)+1),MATCH(Q$1,[2]characters!$1:$1,0)-MATCH($A$1,[2]characters!$1:$1,0)+1,FALSE)</f>
        <v>attack</v>
      </c>
      <c r="R419" s="8" t="str">
        <f ca="1">VLOOKUP(Q419,[2]character_type_i18n!$A:$H,3,FALSE)</f>
        <v>攻撃タイプ</v>
      </c>
      <c r="S419" s="14">
        <f ca="1">VLOOKUP(Q419,[2]character_type_i18n!$A:$H,4,FALSE)</f>
        <v>1</v>
      </c>
      <c r="T419" s="14">
        <f ca="1">VLOOKUP(Q419,[2]character_type_i18n!$A:$H,5,FALSE)</f>
        <v>1.33</v>
      </c>
      <c r="U419" s="14">
        <f ca="1">VLOOKUP(Q419,[2]character_type_i18n!$A:$H,6,FALSE)</f>
        <v>1</v>
      </c>
      <c r="V419" s="14">
        <f ca="1">VLOOKUP(Q419,[2]character_type_i18n!$A:$H,7,FALSE)</f>
        <v>0.67</v>
      </c>
      <c r="W419" s="77" t="str">
        <f ca="1">VLOOKUP($A419,OFFSET([2]characters!$A$1,0,0,COUNTA([2]characters!$A:$A),MATCH(W$1,[2]characters!$1:$1,0)-MATCH($A$1,[2]characters!$1:$1,0)+1),MATCH(W$1,[2]characters!$1:$1,0)-MATCH($A$1,[2]characters!$1:$1,0)+1,FALSE)</f>
        <v>human</v>
      </c>
      <c r="X419" s="8" t="str">
        <f ca="1">VLOOKUP(W419,[2]character_tribe_i18n!$A:$H,3,FALSE)</f>
        <v>ヒューマン</v>
      </c>
      <c r="Y419" s="77" t="str">
        <f ca="1">VLOOKUP($A419,OFFSET([2]characters!$A$1,0,0,COUNTA([2]characters!$A:$A),MATCH(Y$1,[2]characters!$1:$1,0)-MATCH($A$1,[2]characters!$1:$1,0)+1),MATCH(Y$1,[2]characters!$1:$1,0)-MATCH($A$1,[2]characters!$1:$1,0)+1,FALSE)</f>
        <v>none</v>
      </c>
      <c r="Z419" s="8" t="str">
        <f ca="1">VLOOKUP(Y419,[2]character_tribe_i18n!$A:$H,3,FALSE)</f>
        <v>種族なし</v>
      </c>
      <c r="AA419" s="14">
        <f ca="1">VLOOKUP(W419,[2]character_tribe_i18n!$A:$H,4,FALSE)</f>
        <v>0.94</v>
      </c>
      <c r="AB419" s="14">
        <f ca="1">VLOOKUP(W419,[2]character_tribe_i18n!$A:$H,5,FALSE)</f>
        <v>0.99</v>
      </c>
      <c r="AC419" s="14">
        <f ca="1">VLOOKUP(W419,[2]character_tribe_i18n!$A:$H,6,FALSE)</f>
        <v>1</v>
      </c>
      <c r="AD419" s="14">
        <f ca="1">VLOOKUP(W419,[2]character_tribe_i18n!$A:$H,7,FALSE)</f>
        <v>1.07</v>
      </c>
      <c r="AE419" s="12">
        <v>427</v>
      </c>
      <c r="AF419" s="85" t="str">
        <f ca="1">IF(AE419="NULL","",VLOOKUP($AE419,OFFSET([2]characters!$A$1,0,0,COUNTA([2]characters!$A:$A),MATCH(AF$1,[2]characters!$1:$1,0)-MATCH($A$1,[2]characters!$1:$1,0)+1),MATCH(AF$1,[2]characters!$1:$1,0)-MATCH($A$1,[2]characters!$1:$1,0)+1,FALSE))</f>
        <v>極・剣豪 宮本武蔵</v>
      </c>
      <c r="AG419" s="8">
        <f t="shared" ca="1" si="52"/>
        <v>426</v>
      </c>
      <c r="AH419" s="85" t="str">
        <f ca="1">VLOOKUP($AG419,OFFSET([2]characters!$A$1,0,0,COUNTA([2]characters!$A:$A),MATCH(AH$1,[2]characters!$1:$1,0)-MATCH($A$1,[2]characters!$1:$1,0)+1),MATCH(AH$1,[2]characters!$1:$1,0)-MATCH($A$1,[2]characters!$1:$1,0)+1,FALSE)</f>
        <v>宮本武蔵</v>
      </c>
      <c r="AI419" s="14">
        <f ca="1">IF(AE419="NULL","NULL",VLOOKUP(G419,ビット!$A$2:$B$7,2))</f>
        <v>50000</v>
      </c>
      <c r="AJ419" s="9">
        <v>2</v>
      </c>
      <c r="AK419" s="10" t="str">
        <f t="shared" si="65"/>
        <v>普通</v>
      </c>
      <c r="AL419" s="14" t="str">
        <f ca="1">INDEX(経験値!$A$1:$I$20,MATCH(H419,経験値!$A$1:$A$20,FALSE),MATCH(G419,経験値!$A$1:$I$1,FALSE))</f>
        <v>required_exp_200</v>
      </c>
      <c r="AM419" s="11">
        <f ca="1">VLOOKUP(G419,経験値!$A$27:$B$31,2)</f>
        <v>3400</v>
      </c>
      <c r="AN419" s="21">
        <f ca="1">VLOOKUP(G419,ビット!$G$2:$H$7,2)</f>
        <v>600</v>
      </c>
      <c r="AO419" s="57"/>
      <c r="AP419" s="101">
        <v>822006</v>
      </c>
      <c r="AQ419" s="77" t="e">
        <f ca="1">VLOOKUP($AP419,OFFSET([1]unit_skills!$A$1,0,0,COUNTA([1]unit_skills!$A:$A),MATCH("name",[1]unit_skills!$1:$1,0)-MATCH($AP$1,[1]unit_skills!$1:$1,0)+1),MATCH("name",[1]unit_skills!$1:$1,0)-MATCH($AP$1,[1]unit_skills!$1:$1,0)+1,FALSE)</f>
        <v>#VALUE!</v>
      </c>
      <c r="AR419" s="77" t="e">
        <f ca="1">VLOOKUP($AP419,OFFSET([1]unit_skills!$A$1,0,0,COUNTA([1]unit_skills!$A:$A),MATCH("comment",[1]unit_skills!$1:$1,0)-MATCH($AP$1,[1]unit_skills!$1:$1,0)+1),MATCH("comment",[1]unit_skills!$1:$1,0)-MATCH($AP$1,[1]unit_skills!$1:$1,0)+1,FALSE)</f>
        <v>#VALUE!</v>
      </c>
      <c r="AS419" s="77" t="e">
        <f ca="1">VLOOKUP($AP419,OFFSET([1]unit_skills!$A$1,0,0,COUNTA([1]unit_skills!$A:$A),MATCH(AS$1,[1]unit_skills!$1:$1,0)-MATCH($AP$1,[1]unit_skills!$1:$1,0)+1),MATCH(AS$1,[1]unit_skills!$1:$1,0)-MATCH($AP$1,[1]unit_skills!$1:$1,0)+1,FALSE)</f>
        <v>#VALUE!</v>
      </c>
      <c r="AT419" s="53">
        <v>184107</v>
      </c>
      <c r="AU419" s="77" t="e">
        <f ca="1">VLOOKUP($AT419,OFFSET([1]crash_skills!$A$1,0,0,COUNTA([1]crash_skills!$A:$A),MATCH("name",[1]crash_skills!$1:$1,0)-MATCH($AT$1,[1]crash_skills!$1:$1,0)+1),MATCH("name",[1]crash_skills!$1:$1,0)-MATCH($AT$1,[1]crash_skills!$1:$1,0)+1,FALSE)</f>
        <v>#VALUE!</v>
      </c>
      <c r="AV419" s="77" t="e">
        <f ca="1">VLOOKUP($AT419,OFFSET([1]crash_skills!$A$1,0,0,COUNTA([1]crash_skills!$A:$A),MATCH("comment",[1]crash_skills!$1:$1,0)-MATCH($AT$1,[1]crash_skills!$1:$1,0)+1),MATCH("comment",[1]crash_skills!$1:$1,0)-MATCH($AT$1,[1]crash_skills!$1:$1,0)+1,FALSE)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19" s="77" t="e">
        <f ca="1">VLOOKUP($AT419,OFFSET([1]crash_skills!$A$1,0,0,COUNTA([1]crash_skills!$A:$A),MATCH(AW$1,[1]crash_skills!$1:$1,0)-MATCH($AT$1,[1]crash_skills!$1:$1,0)+1),MATCH(AW$1,[1]crash_skills!$1:$1,0)-MATCH($AT$1,[1]crash_skills!$1:$1,0)+1,FALSE)</f>
        <v>#VALUE!</v>
      </c>
      <c r="AX419" s="81">
        <f ca="1">VLOOKUP($A419,OFFSET([2]characters!$A$1,0,0,COUNTA([2]characters!$A:$A),MATCH(AX$1,[2]characters!$1:$1,0)-MATCH($A$1,[2]characters!$1:$1,0)+1),MATCH(AX$1,[2]characters!$1:$1,0)-MATCH($A$1,[2]characters!$1:$1,0)+1,FALSE)</f>
        <v>3</v>
      </c>
      <c r="AY419" s="139">
        <v>1</v>
      </c>
      <c r="AZ419" s="139">
        <v>1</v>
      </c>
      <c r="BA419" s="139">
        <v>0</v>
      </c>
      <c r="BB419" s="139">
        <v>1</v>
      </c>
      <c r="BC419" s="14">
        <f ca="1">INDEX('RC6SV'!$A$1:$G$20,MATCH(H419,'RC6SV'!$A$1:$A$20,FALSE),MATCH(G419,'RC6SV'!$A$1:$G$1,FALSE))</f>
        <v>7000</v>
      </c>
      <c r="BD419" s="63">
        <f t="shared" ca="1" si="66"/>
        <v>7000</v>
      </c>
      <c r="BE419" s="14">
        <f t="shared" ca="1" si="53"/>
        <v>0</v>
      </c>
      <c r="BF419" s="14">
        <f t="shared" ca="1" si="54"/>
        <v>1</v>
      </c>
      <c r="BG419" s="20">
        <f ca="1">IF($BE419&lt;=0,ROUND(BK419*0.5,0), ROUND($BE419*S419*AA419*J419*AY419*0.8*[2]ステータス!$B$2,0))</f>
        <v>1612</v>
      </c>
      <c r="BH419" s="20">
        <f ca="1">IF($BE419&lt;=0,ROUND(BL419*0.5,0), ROUND($BE419*T419*AB419*K419*AZ419*0.8*[2]ステータス!$C$2,0))</f>
        <v>1397</v>
      </c>
      <c r="BI419" s="20">
        <f ca="1">IF($BE419&lt;=0,ROUND(BM419*0.5,0), ROUND($BE419*U419*AC419*L419*BA419*0.8*[2]ステータス!$D$2,0))</f>
        <v>0</v>
      </c>
      <c r="BJ419" s="20">
        <f ca="1">IF($BE419&lt;=0,ROUND(BN419*0.5,0), ROUND($BE419*V419*AD419*M419*BB419*0.8*[2]ステータス!$E$2,0))</f>
        <v>634</v>
      </c>
      <c r="BK419" s="14">
        <f ca="1">ROUND(BD419*S419*AA419*J419*AY419*[2]ステータス!$B$2,0)</f>
        <v>3224</v>
      </c>
      <c r="BL419" s="14">
        <f ca="1">ROUND(BD419*T419*AB419*K419*AZ419*[2]ステータス!$C$2,0)</f>
        <v>2793</v>
      </c>
      <c r="BM419" s="14">
        <f ca="1">ROUND(BD419*U419*AC419*L419*BA419*[2]ステータス!$D$2,0)</f>
        <v>0</v>
      </c>
      <c r="BN419" s="14">
        <f ca="1">ROUND(BD419*V419*AD419*M419*BB419*[2]ステータス!$E$2,0)</f>
        <v>1267</v>
      </c>
      <c r="BO419" s="13">
        <v>0</v>
      </c>
      <c r="BP419" s="13">
        <v>1</v>
      </c>
      <c r="BQ419" s="49" t="s">
        <v>102</v>
      </c>
      <c r="BR419" s="13">
        <f ca="1">VLOOKUP(H419,ghosts_label!$A$2:$B$19,2,FALSE)</f>
        <v>1</v>
      </c>
    </row>
    <row r="420" spans="1:70" ht="21" customHeight="1" x14ac:dyDescent="0.15">
      <c r="A420" s="14">
        <v>427</v>
      </c>
      <c r="B420" s="77" t="str">
        <f ca="1">VLOOKUP($A420,OFFSET([2]characters!$A$1,0,0,COUNTA([2]characters!$A:$A),MATCH(B$1,[2]characters!$1:$1,0)-MATCH($A$1,[2]characters!$1:$1,0)+1),MATCH(B$1,[2]characters!$1:$1,0)-MATCH($A$1,[2]characters!$1:$1,0)+1,FALSE)</f>
        <v>極・剣豪 宮本武蔵</v>
      </c>
      <c r="C420" s="77" t="str">
        <f ca="1">VLOOKUP($A420,OFFSET([2]characters!$A$1,0,0,COUNTA([2]characters!$A:$A),MATCH(C$1,[2]characters!$1:$1,0)-MATCH($A$1,[2]characters!$1:$1,0)+1),MATCH(C$1,[2]characters!$1:$1,0)-MATCH($A$1,[2]characters!$1:$1,0)+1,FALSE)</f>
        <v>イベント:ウィザード</v>
      </c>
      <c r="D420" s="77" t="str">
        <f ca="1">VLOOKUP($A420,OFFSET([2]characters!$A$1,0,0,COUNTA([2]characters!$A:$A),MATCH(D$1,[2]characters!$1:$1,0)-MATCH($A$1,[2]characters!$1:$1,0)+1),MATCH(D$1,[2]characters!$1:$1,0)-MATCH($A$1,[2]characters!$1:$1,0)+1,FALSE)</f>
        <v>執行者</v>
      </c>
      <c r="E420" s="77" t="str">
        <f ca="1">VLOOKUP($A420,OFFSET([2]characters!$A$1,0,0,COUNTA([2]characters!$A:$A),MATCH(E$1,[2]characters!$1:$1,0)-MATCH($A$1,[2]characters!$1:$1,0)+1),MATCH(E$1,[2]characters!$1:$1,0)-MATCH($A$1,[2]characters!$1:$1,0)+1,FALSE)</f>
        <v>格好いい</v>
      </c>
      <c r="F420" s="77" t="str">
        <f ca="1">VLOOKUP($A420,OFFSET([2]characters!$A$1,0,0,COUNTA([2]characters!$A:$A),MATCH(F$1,[2]characters!$1:$1,0)-MATCH($A$1,[2]characters!$1:$1,0)+1),MATCH(F$1,[2]characters!$1:$1,0)-MATCH($A$1,[2]characters!$1:$1,0)+1,FALSE)</f>
        <v>男性</v>
      </c>
      <c r="G420" s="77">
        <f ca="1">VLOOKUP($A420,OFFSET([2]characters!$A$1,0,0,COUNTA([2]characters!$A:$A),MATCH(G$1,[2]characters!$1:$1,0)-MATCH($A$1,[2]characters!$1:$1,0)+1),MATCH(G$1,[2]characters!$1:$1,0)-MATCH($A$1,[2]characters!$1:$1,0)+1,FALSE)</f>
        <v>5</v>
      </c>
      <c r="H420" s="77" t="str">
        <f ca="1">VLOOKUP($A420,OFFSET([2]characters!$A$1,0,0,COUNTA([2]characters!$A:$A),MATCH(H$1,[2]characters!$1:$1,0)-MATCH($A$1,[2]characters!$1:$1,0)+1),MATCH(H$1,[2]characters!$1:$1,0)-MATCH($A$1,[2]characters!$1:$1,0)+1,FALSE)</f>
        <v>DropWizS</v>
      </c>
      <c r="I420" s="77" t="str">
        <f ca="1">VLOOKUP($A420,OFFSET([2]characters!$A$1,0,0,COUNTA([2]characters!$A:$A),MATCH(I$1,[2]characters!$1:$1,0)-MATCH($A$1,[2]characters!$1:$1,0)+1),MATCH(I$1,[2]characters!$1:$1,0)-MATCH($A$1,[2]characters!$1:$1,0)+1,FALSE)</f>
        <v>yellow</v>
      </c>
      <c r="J420" s="14">
        <f ca="1">VLOOKUP(I420,[2]属性!$A:$E,2,FALSE)</f>
        <v>0.98</v>
      </c>
      <c r="K420" s="14">
        <f ca="1">VLOOKUP(I420,[2]属性!$A:$E,3,FALSE)</f>
        <v>1.01</v>
      </c>
      <c r="L420" s="14">
        <f ca="1">VLOOKUP(I420,[2]属性!$A:$E,4,FALSE)</f>
        <v>1</v>
      </c>
      <c r="M420" s="14">
        <f ca="1">VLOOKUP(I420,[2]属性!$A:$E,5,FALSE)</f>
        <v>1.01</v>
      </c>
      <c r="N420" s="14">
        <f ca="1">INDEX(コスト!$A$1:$I$20,MATCH(H420,コスト!$A$1:$A$20,FALSE),MATCH(G420,コスト!$A$1:$I$1,FALSE))</f>
        <v>30</v>
      </c>
      <c r="O420" s="14">
        <f ca="1">INDEX(レベル!$A$1:$I$21,MATCH(H420,レベル!$A$1:$A$21,FALSE),MATCH(G420,レベル!$A$1:$I$1,FALSE))</f>
        <v>80</v>
      </c>
      <c r="P420" s="63">
        <f t="shared" ca="1" si="64"/>
        <v>75</v>
      </c>
      <c r="Q420" s="77" t="str">
        <f ca="1">VLOOKUP($A420,OFFSET([2]characters!$A$1,0,0,COUNTA([2]characters!$A:$A),MATCH(Q$1,[2]characters!$1:$1,0)-MATCH($A$1,[2]characters!$1:$1,0)+1),MATCH(Q$1,[2]characters!$1:$1,0)-MATCH($A$1,[2]characters!$1:$1,0)+1,FALSE)</f>
        <v>attack</v>
      </c>
      <c r="R420" s="8" t="str">
        <f ca="1">VLOOKUP(Q420,[2]character_type_i18n!$A:$H,3,FALSE)</f>
        <v>攻撃タイプ</v>
      </c>
      <c r="S420" s="14">
        <f ca="1">VLOOKUP(Q420,[2]character_type_i18n!$A:$H,4,FALSE)</f>
        <v>1</v>
      </c>
      <c r="T420" s="14">
        <f ca="1">VLOOKUP(Q420,[2]character_type_i18n!$A:$H,5,FALSE)</f>
        <v>1.33</v>
      </c>
      <c r="U420" s="14">
        <f ca="1">VLOOKUP(Q420,[2]character_type_i18n!$A:$H,6,FALSE)</f>
        <v>1</v>
      </c>
      <c r="V420" s="14">
        <f ca="1">VLOOKUP(Q420,[2]character_type_i18n!$A:$H,7,FALSE)</f>
        <v>0.67</v>
      </c>
      <c r="W420" s="77" t="str">
        <f ca="1">VLOOKUP($A420,OFFSET([2]characters!$A$1,0,0,COUNTA([2]characters!$A:$A),MATCH(W$1,[2]characters!$1:$1,0)-MATCH($A$1,[2]characters!$1:$1,0)+1),MATCH(W$1,[2]characters!$1:$1,0)-MATCH($A$1,[2]characters!$1:$1,0)+1,FALSE)</f>
        <v>human</v>
      </c>
      <c r="X420" s="8" t="str">
        <f ca="1">VLOOKUP(W420,[2]character_tribe_i18n!$A:$H,3,FALSE)</f>
        <v>ヒューマン</v>
      </c>
      <c r="Y420" s="77" t="str">
        <f ca="1">VLOOKUP($A420,OFFSET([2]characters!$A$1,0,0,COUNTA([2]characters!$A:$A),MATCH(Y$1,[2]characters!$1:$1,0)-MATCH($A$1,[2]characters!$1:$1,0)+1),MATCH(Y$1,[2]characters!$1:$1,0)-MATCH($A$1,[2]characters!$1:$1,0)+1,FALSE)</f>
        <v>none</v>
      </c>
      <c r="Z420" s="8" t="str">
        <f ca="1">VLOOKUP(Y420,[2]character_tribe_i18n!$A:$H,3,FALSE)</f>
        <v>種族なし</v>
      </c>
      <c r="AA420" s="14">
        <f ca="1">VLOOKUP(W420,[2]character_tribe_i18n!$A:$H,4,FALSE)</f>
        <v>0.94</v>
      </c>
      <c r="AB420" s="14">
        <f ca="1">VLOOKUP(W420,[2]character_tribe_i18n!$A:$H,5,FALSE)</f>
        <v>0.99</v>
      </c>
      <c r="AC420" s="14">
        <f ca="1">VLOOKUP(W420,[2]character_tribe_i18n!$A:$H,6,FALSE)</f>
        <v>1</v>
      </c>
      <c r="AD420" s="14">
        <f ca="1">VLOOKUP(W420,[2]character_tribe_i18n!$A:$H,7,FALSE)</f>
        <v>1.07</v>
      </c>
      <c r="AE420" s="12">
        <v>816</v>
      </c>
      <c r="AF420" s="85" t="str">
        <f ca="1">IF(AE420="NULL","",VLOOKUP($AE420,OFFSET([2]characters!$A$1,0,0,COUNTA([2]characters!$A:$A),MATCH(AF$1,[2]characters!$1:$1,0)-MATCH($A$1,[2]characters!$1:$1,0)+1),MATCH(AF$1,[2]characters!$1:$1,0)-MATCH($A$1,[2]characters!$1:$1,0)+1,FALSE))</f>
        <v>極・二天一流 宮本武蔵</v>
      </c>
      <c r="AG420" s="8">
        <f t="shared" ca="1" si="52"/>
        <v>426</v>
      </c>
      <c r="AH420" s="85" t="str">
        <f ca="1">VLOOKUP($AG420,OFFSET([2]characters!$A$1,0,0,COUNTA([2]characters!$A:$A),MATCH(AH$1,[2]characters!$1:$1,0)-MATCH($A$1,[2]characters!$1:$1,0)+1),MATCH(AH$1,[2]characters!$1:$1,0)-MATCH($A$1,[2]characters!$1:$1,0)+1,FALSE)</f>
        <v>宮本武蔵</v>
      </c>
      <c r="AI420" s="14">
        <f ca="1">IF(AE420="NULL","NULL",VLOOKUP(G420,ビット!$A$2:$B$7,2))</f>
        <v>200000</v>
      </c>
      <c r="AJ420" s="9">
        <v>2</v>
      </c>
      <c r="AK420" s="10" t="str">
        <f t="shared" si="65"/>
        <v>普通</v>
      </c>
      <c r="AL420" s="14" t="str">
        <f ca="1">INDEX(経験値!$A$1:$I$20,MATCH(H420,経験値!$A$1:$A$20,FALSE),MATCH(G420,経験値!$A$1:$I$1,FALSE))</f>
        <v>required_exp_200</v>
      </c>
      <c r="AM420" s="11">
        <f ca="1">VLOOKUP(G420,経験値!$A$27:$B$31,2)</f>
        <v>6400</v>
      </c>
      <c r="AN420" s="21">
        <f ca="1">VLOOKUP(G420,ビット!$G$2:$H$7,2)</f>
        <v>900</v>
      </c>
      <c r="AO420" s="57"/>
      <c r="AP420" s="101">
        <v>822006</v>
      </c>
      <c r="AQ420" s="77" t="e">
        <f ca="1">VLOOKUP($AP420,OFFSET([1]unit_skills!$A$1,0,0,COUNTA([1]unit_skills!$A:$A),MATCH("name",[1]unit_skills!$1:$1,0)-MATCH($AP$1,[1]unit_skills!$1:$1,0)+1),MATCH("name",[1]unit_skills!$1:$1,0)-MATCH($AP$1,[1]unit_skills!$1:$1,0)+1,FALSE)</f>
        <v>#VALUE!</v>
      </c>
      <c r="AR420" s="77" t="e">
        <f ca="1">VLOOKUP($AP420,OFFSET([1]unit_skills!$A$1,0,0,COUNTA([1]unit_skills!$A:$A),MATCH("comment",[1]unit_skills!$1:$1,0)-MATCH($AP$1,[1]unit_skills!$1:$1,0)+1),MATCH("comment",[1]unit_skills!$1:$1,0)-MATCH($AP$1,[1]unit_skills!$1:$1,0)+1,FALSE)</f>
        <v>#VALUE!</v>
      </c>
      <c r="AS420" s="77" t="e">
        <f ca="1">VLOOKUP($AP420,OFFSET([1]unit_skills!$A$1,0,0,COUNTA([1]unit_skills!$A:$A),MATCH(AS$1,[1]unit_skills!$1:$1,0)-MATCH($AP$1,[1]unit_skills!$1:$1,0)+1),MATCH(AS$1,[1]unit_skills!$1:$1,0)-MATCH($AP$1,[1]unit_skills!$1:$1,0)+1,FALSE)</f>
        <v>#VALUE!</v>
      </c>
      <c r="AT420" s="53">
        <v>184107</v>
      </c>
      <c r="AU420" s="77" t="e">
        <f ca="1">VLOOKUP($AT420,OFFSET([1]crash_skills!$A$1,0,0,COUNTA([1]crash_skills!$A:$A),MATCH("name",[1]crash_skills!$1:$1,0)-MATCH($AT$1,[1]crash_skills!$1:$1,0)+1),MATCH("name",[1]crash_skills!$1:$1,0)-MATCH($AT$1,[1]crash_skills!$1:$1,0)+1,FALSE)</f>
        <v>#VALUE!</v>
      </c>
      <c r="AV420" s="77" t="e">
        <f ca="1">VLOOKUP($AT420,OFFSET([1]crash_skills!$A$1,0,0,COUNTA([1]crash_skills!$A:$A),MATCH("comment",[1]crash_skills!$1:$1,0)-MATCH($AT$1,[1]crash_skills!$1:$1,0)+1),MATCH("comment",[1]crash_skills!$1:$1,0)-MATCH($AT$1,[1]crash_skills!$1:$1,0)+1,FALSE)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20" s="77" t="e">
        <f ca="1">VLOOKUP($AT420,OFFSET([1]crash_skills!$A$1,0,0,COUNTA([1]crash_skills!$A:$A),MATCH(AW$1,[1]crash_skills!$1:$1,0)-MATCH($AT$1,[1]crash_skills!$1:$1,0)+1),MATCH(AW$1,[1]crash_skills!$1:$1,0)-MATCH($AT$1,[1]crash_skills!$1:$1,0)+1,FALSE)</f>
        <v>#VALUE!</v>
      </c>
      <c r="AX420" s="81">
        <f ca="1">VLOOKUP($A420,OFFSET([2]characters!$A$1,0,0,COUNTA([2]characters!$A:$A),MATCH(AX$1,[2]characters!$1:$1,0)-MATCH($A$1,[2]characters!$1:$1,0)+1),MATCH(AX$1,[2]characters!$1:$1,0)-MATCH($A$1,[2]characters!$1:$1,0)+1,FALSE)</f>
        <v>3</v>
      </c>
      <c r="AY420" s="139">
        <v>1.1000000000000001</v>
      </c>
      <c r="AZ420" s="139">
        <v>1.08</v>
      </c>
      <c r="BA420" s="139">
        <v>0</v>
      </c>
      <c r="BB420" s="139">
        <v>1.1000000000000001</v>
      </c>
      <c r="BC420" s="14">
        <f ca="1">INDEX('RC6SV'!$A$1:$G$20,MATCH(H420,'RC6SV'!$A$1:$A$20,FALSE),MATCH(G420,'RC6SV'!$A$1:$G$1,FALSE))</f>
        <v>9000</v>
      </c>
      <c r="BD420" s="63">
        <f t="shared" ca="1" si="66"/>
        <v>9000</v>
      </c>
      <c r="BE420" s="14">
        <f t="shared" ca="1" si="53"/>
        <v>7000</v>
      </c>
      <c r="BF420" s="14">
        <f t="shared" ca="1" si="54"/>
        <v>1</v>
      </c>
      <c r="BG420" s="20">
        <f ca="1">IF($BE420&lt;=0,ROUND(BK420*0.5,0), ROUND($BE420*S420*AA420*J420*AY420*0.8*[2]ステータス!$B$2,0))</f>
        <v>2837</v>
      </c>
      <c r="BH420" s="20">
        <f ca="1">IF($BE420&lt;=0,ROUND(BL420*0.5,0), ROUND($BE420*T420*AB420*K420*AZ420*0.8*[2]ステータス!$C$2,0))</f>
        <v>2413</v>
      </c>
      <c r="BI420" s="20">
        <f ca="1">IF($BE420&lt;=0,ROUND(BM420*0.5,0), ROUND($BE420*U420*AC420*L420*BA420*0.8*[2]ステータス!$D$2,0))</f>
        <v>0</v>
      </c>
      <c r="BJ420" s="20">
        <f ca="1">IF($BE420&lt;=0,ROUND(BN420*0.5,0), ROUND($BE420*V420*AD420*M420*BB420*0.8*[2]ステータス!$E$2,0))</f>
        <v>1115</v>
      </c>
      <c r="BK420" s="14">
        <f ca="1">ROUND(BD420*S420*AA420*J420*AY420*[2]ステータス!$B$2,0)</f>
        <v>4560</v>
      </c>
      <c r="BL420" s="14">
        <f ca="1">ROUND(BD420*T420*AB420*K420*AZ420*[2]ステータス!$C$2,0)</f>
        <v>3878</v>
      </c>
      <c r="BM420" s="14">
        <f ca="1">ROUND(BD420*U420*AC420*L420*BA420*[2]ステータス!$D$2,0)</f>
        <v>0</v>
      </c>
      <c r="BN420" s="14">
        <f ca="1">ROUND(BD420*V420*AD420*M420*BB420*[2]ステータス!$E$2,0)</f>
        <v>1792</v>
      </c>
      <c r="BO420" s="13">
        <v>0</v>
      </c>
      <c r="BP420" s="13">
        <v>1</v>
      </c>
      <c r="BQ420" s="49" t="s">
        <v>102</v>
      </c>
      <c r="BR420" s="13">
        <f ca="1">VLOOKUP(H420,ghosts_label!$A$2:$B$19,2,FALSE)</f>
        <v>1</v>
      </c>
    </row>
    <row r="421" spans="1:70" ht="21" customHeight="1" x14ac:dyDescent="0.15">
      <c r="A421" s="14">
        <v>432</v>
      </c>
      <c r="B421" s="77" t="str">
        <f ca="1">VLOOKUP($A421,OFFSET([2]characters!$A$1,0,0,COUNTA([2]characters!$A:$A),MATCH(B$1,[2]characters!$1:$1,0)-MATCH($A$1,[2]characters!$1:$1,0)+1),MATCH(B$1,[2]characters!$1:$1,0)-MATCH($A$1,[2]characters!$1:$1,0)+1,FALSE)</f>
        <v>麒麟</v>
      </c>
      <c r="C421" s="77" t="str">
        <f ca="1">VLOOKUP($A421,OFFSET([2]characters!$A$1,0,0,COUNTA([2]characters!$A:$A),MATCH(C$1,[2]characters!$1:$1,0)-MATCH($A$1,[2]characters!$1:$1,0)+1),MATCH(C$1,[2]characters!$1:$1,0)-MATCH($A$1,[2]characters!$1:$1,0)+1,FALSE)</f>
        <v>イベント:超ウィザード</v>
      </c>
      <c r="D421" s="77" t="str">
        <f ca="1">VLOOKUP($A421,OFFSET([2]characters!$A$1,0,0,COUNTA([2]characters!$A:$A),MATCH(D$1,[2]characters!$1:$1,0)-MATCH($A$1,[2]characters!$1:$1,0)+1),MATCH(D$1,[2]characters!$1:$1,0)-MATCH($A$1,[2]characters!$1:$1,0)+1,FALSE)</f>
        <v>執行者</v>
      </c>
      <c r="E421" s="77" t="str">
        <f ca="1">VLOOKUP($A421,OFFSET([2]characters!$A$1,0,0,COUNTA([2]characters!$A:$A),MATCH(E$1,[2]characters!$1:$1,0)-MATCH($A$1,[2]characters!$1:$1,0)+1),MATCH(E$1,[2]characters!$1:$1,0)-MATCH($A$1,[2]characters!$1:$1,0)+1,FALSE)</f>
        <v>格好いい</v>
      </c>
      <c r="F421" s="77" t="str">
        <f ca="1">VLOOKUP($A421,OFFSET([2]characters!$A$1,0,0,COUNTA([2]characters!$A:$A),MATCH(F$1,[2]characters!$1:$1,0)-MATCH($A$1,[2]characters!$1:$1,0)+1),MATCH(F$1,[2]characters!$1:$1,0)-MATCH($A$1,[2]characters!$1:$1,0)+1,FALSE)</f>
        <v>女性</v>
      </c>
      <c r="G421" s="77">
        <f ca="1">VLOOKUP($A421,OFFSET([2]characters!$A$1,0,0,COUNTA([2]characters!$A:$A),MATCH(G$1,[2]characters!$1:$1,0)-MATCH($A$1,[2]characters!$1:$1,0)+1),MATCH(G$1,[2]characters!$1:$1,0)-MATCH($A$1,[2]characters!$1:$1,0)+1,FALSE)</f>
        <v>4</v>
      </c>
      <c r="H421" s="77" t="str">
        <f ca="1">VLOOKUP($A421,OFFSET([2]characters!$A$1,0,0,COUNTA([2]characters!$A:$A),MATCH(H$1,[2]characters!$1:$1,0)-MATCH($A$1,[2]characters!$1:$1,0)+1),MATCH(H$1,[2]characters!$1:$1,0)-MATCH($A$1,[2]characters!$1:$1,0)+1,FALSE)</f>
        <v>DropWizSS</v>
      </c>
      <c r="I421" s="77" t="str">
        <f ca="1">VLOOKUP($A421,OFFSET([2]characters!$A$1,0,0,COUNTA([2]characters!$A:$A),MATCH(I$1,[2]characters!$1:$1,0)-MATCH($A$1,[2]characters!$1:$1,0)+1),MATCH(I$1,[2]characters!$1:$1,0)-MATCH($A$1,[2]characters!$1:$1,0)+1,FALSE)</f>
        <v>yellow</v>
      </c>
      <c r="J421" s="14">
        <f ca="1">VLOOKUP(I421,[2]属性!$A:$E,2,FALSE)</f>
        <v>0.98</v>
      </c>
      <c r="K421" s="14">
        <f ca="1">VLOOKUP(I421,[2]属性!$A:$E,3,FALSE)</f>
        <v>1.01</v>
      </c>
      <c r="L421" s="14">
        <f ca="1">VLOOKUP(I421,[2]属性!$A:$E,4,FALSE)</f>
        <v>1</v>
      </c>
      <c r="M421" s="14">
        <f ca="1">VLOOKUP(I421,[2]属性!$A:$E,5,FALSE)</f>
        <v>1.01</v>
      </c>
      <c r="N421" s="14">
        <f ca="1">INDEX(コスト!$A$1:$I$20,MATCH(H421,コスト!$A$1:$A$20,FALSE),MATCH(G421,コスト!$A$1:$I$1,FALSE))</f>
        <v>25</v>
      </c>
      <c r="O421" s="14">
        <f ca="1">INDEX(レベル!$A$1:$I$21,MATCH(H421,レベル!$A$1:$A$21,FALSE),MATCH(G421,レベル!$A$1:$I$1,FALSE))</f>
        <v>60</v>
      </c>
      <c r="P421" s="63">
        <f t="shared" ca="1" si="64"/>
        <v>60</v>
      </c>
      <c r="Q421" s="77" t="str">
        <f ca="1">VLOOKUP($A421,OFFSET([2]characters!$A$1,0,0,COUNTA([2]characters!$A:$A),MATCH(Q$1,[2]characters!$1:$1,0)-MATCH($A$1,[2]characters!$1:$1,0)+1),MATCH(Q$1,[2]characters!$1:$1,0)-MATCH($A$1,[2]characters!$1:$1,0)+1,FALSE)</f>
        <v>balance</v>
      </c>
      <c r="R421" s="8" t="str">
        <f ca="1">VLOOKUP(Q421,[2]character_type_i18n!$A:$H,3,FALSE)</f>
        <v>バランスタイプ</v>
      </c>
      <c r="S421" s="14">
        <f ca="1">VLOOKUP(Q421,[2]character_type_i18n!$A:$H,4,FALSE)</f>
        <v>1</v>
      </c>
      <c r="T421" s="14">
        <f ca="1">VLOOKUP(Q421,[2]character_type_i18n!$A:$H,5,FALSE)</f>
        <v>1</v>
      </c>
      <c r="U421" s="14">
        <f ca="1">VLOOKUP(Q421,[2]character_type_i18n!$A:$H,6,FALSE)</f>
        <v>1</v>
      </c>
      <c r="V421" s="14">
        <f ca="1">VLOOKUP(Q421,[2]character_type_i18n!$A:$H,7,FALSE)</f>
        <v>1</v>
      </c>
      <c r="W421" s="77" t="str">
        <f ca="1">VLOOKUP($A421,OFFSET([2]characters!$A$1,0,0,COUNTA([2]characters!$A:$A),MATCH(W$1,[2]characters!$1:$1,0)-MATCH($A$1,[2]characters!$1:$1,0)+1),MATCH(W$1,[2]characters!$1:$1,0)-MATCH($A$1,[2]characters!$1:$1,0)+1,FALSE)</f>
        <v>god</v>
      </c>
      <c r="X421" s="8" t="str">
        <f ca="1">VLOOKUP(W421,[2]character_tribe_i18n!$A:$H,3,FALSE)</f>
        <v>ゴッド</v>
      </c>
      <c r="Y421" s="77" t="str">
        <f ca="1">VLOOKUP($A421,OFFSET([2]characters!$A$1,0,0,COUNTA([2]characters!$A:$A),MATCH(Y$1,[2]characters!$1:$1,0)-MATCH($A$1,[2]characters!$1:$1,0)+1),MATCH(Y$1,[2]characters!$1:$1,0)-MATCH($A$1,[2]characters!$1:$1,0)+1,FALSE)</f>
        <v>none</v>
      </c>
      <c r="Z421" s="8" t="str">
        <f ca="1">VLOOKUP(Y421,[2]character_tribe_i18n!$A:$H,3,FALSE)</f>
        <v>種族なし</v>
      </c>
      <c r="AA421" s="14">
        <f ca="1">VLOOKUP(W421,[2]character_tribe_i18n!$A:$H,4,FALSE)</f>
        <v>0.96</v>
      </c>
      <c r="AB421" s="14">
        <f ca="1">VLOOKUP(W421,[2]character_tribe_i18n!$A:$H,5,FALSE)</f>
        <v>1.02</v>
      </c>
      <c r="AC421" s="14">
        <f ca="1">VLOOKUP(W421,[2]character_tribe_i18n!$A:$H,6,FALSE)</f>
        <v>1</v>
      </c>
      <c r="AD421" s="14">
        <f ca="1">VLOOKUP(W421,[2]character_tribe_i18n!$A:$H,7,FALSE)</f>
        <v>1.02</v>
      </c>
      <c r="AE421" s="12">
        <v>433</v>
      </c>
      <c r="AF421" s="85" t="str">
        <f ca="1">IF(AE421="NULL","",VLOOKUP($AE421,OFFSET([2]characters!$A$1,0,0,COUNTA([2]characters!$A:$A),MATCH(AF$1,[2]characters!$1:$1,0)-MATCH($A$1,[2]characters!$1:$1,0)+1),MATCH(AF$1,[2]characters!$1:$1,0)-MATCH($A$1,[2]characters!$1:$1,0)+1,FALSE))</f>
        <v>世稀の現獣 麒麟</v>
      </c>
      <c r="AG421" s="8">
        <f t="shared" ca="1" si="52"/>
        <v>432</v>
      </c>
      <c r="AH421" s="85" t="str">
        <f ca="1">VLOOKUP($AG421,OFFSET([2]characters!$A$1,0,0,COUNTA([2]characters!$A:$A),MATCH(AH$1,[2]characters!$1:$1,0)-MATCH($A$1,[2]characters!$1:$1,0)+1),MATCH(AH$1,[2]characters!$1:$1,0)-MATCH($A$1,[2]characters!$1:$1,0)+1,FALSE)</f>
        <v>麒麟</v>
      </c>
      <c r="AI421" s="14">
        <f ca="1">IF(AE421="NULL","NULL",VLOOKUP(G421,ビット!$A$2:$B$7,2))</f>
        <v>50000</v>
      </c>
      <c r="AJ421" s="9">
        <v>2</v>
      </c>
      <c r="AK421" s="10" t="str">
        <f t="shared" si="65"/>
        <v>普通</v>
      </c>
      <c r="AL421" s="14" t="str">
        <f ca="1">INDEX(経験値!$A$1:$I$20,MATCH(H421,経験値!$A$1:$A$20,FALSE),MATCH(G421,経験値!$A$1:$I$1,FALSE))</f>
        <v>required_exp_200</v>
      </c>
      <c r="AM421" s="11">
        <f ca="1">VLOOKUP(G421,経験値!$A$27:$B$31,2)</f>
        <v>3400</v>
      </c>
      <c r="AN421" s="21">
        <f ca="1">VLOOKUP(G421,ビット!$G$2:$H$7,2)</f>
        <v>600</v>
      </c>
      <c r="AO421" s="57"/>
      <c r="AP421" s="101">
        <v>170003</v>
      </c>
      <c r="AQ421" s="77" t="e">
        <f ca="1">VLOOKUP($AP421,OFFSET([1]unit_skills!$A$1,0,0,COUNTA([1]unit_skills!$A:$A),MATCH("name",[1]unit_skills!$1:$1,0)-MATCH($AP$1,[1]unit_skills!$1:$1,0)+1),MATCH("name",[1]unit_skills!$1:$1,0)-MATCH($AP$1,[1]unit_skills!$1:$1,0)+1,FALSE)</f>
        <v>#VALUE!</v>
      </c>
      <c r="AR421" s="77" t="e">
        <f ca="1">VLOOKUP($AP421,OFFSET([1]unit_skills!$A$1,0,0,COUNTA([1]unit_skills!$A:$A),MATCH("comment",[1]unit_skills!$1:$1,0)-MATCH($AP$1,[1]unit_skills!$1:$1,0)+1),MATCH("comment",[1]unit_skills!$1:$1,0)-MATCH($AP$1,[1]unit_skills!$1:$1,0)+1,FALSE)</f>
        <v>#VALUE!</v>
      </c>
      <c r="AS421" s="77" t="e">
        <f ca="1">VLOOKUP($AP421,OFFSET([1]unit_skills!$A$1,0,0,COUNTA([1]unit_skills!$A:$A),MATCH(AS$1,[1]unit_skills!$1:$1,0)-MATCH($AP$1,[1]unit_skills!$1:$1,0)+1),MATCH(AS$1,[1]unit_skills!$1:$1,0)-MATCH($AP$1,[1]unit_skills!$1:$1,0)+1,FALSE)</f>
        <v>#VALUE!</v>
      </c>
      <c r="AT421" s="158">
        <v>184507</v>
      </c>
      <c r="AU421" s="77" t="e">
        <f ca="1">VLOOKUP($AT421,OFFSET([1]crash_skills!$A$1,0,0,COUNTA([1]crash_skills!$A:$A),MATCH("name",[1]crash_skills!$1:$1,0)-MATCH($AT$1,[1]crash_skills!$1:$1,0)+1),MATCH("name",[1]crash_skills!$1:$1,0)-MATCH($AT$1,[1]crash_skills!$1:$1,0)+1,FALSE)</f>
        <v>#VALUE!</v>
      </c>
      <c r="AV421" s="77" t="e">
        <f ca="1">VLOOKUP($AT421,OFFSET([1]crash_skills!$A$1,0,0,COUNTA([1]crash_skills!$A:$A),MATCH("comment",[1]crash_skills!$1:$1,0)-MATCH($AT$1,[1]crash_skills!$1:$1,0)+1),MATCH("comment",[1]crash_skills!$1:$1,0)-MATCH($AT$1,[1]crash_skills!$1:$1,0)+1,FALSE)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21" s="77" t="e">
        <f ca="1">VLOOKUP($AT421,OFFSET([1]crash_skills!$A$1,0,0,COUNTA([1]crash_skills!$A:$A),MATCH(AW$1,[1]crash_skills!$1:$1,0)-MATCH($AT$1,[1]crash_skills!$1:$1,0)+1),MATCH(AW$1,[1]crash_skills!$1:$1,0)-MATCH($AT$1,[1]crash_skills!$1:$1,0)+1,FALSE)</f>
        <v>#VALUE!</v>
      </c>
      <c r="AX421" s="81">
        <f ca="1">VLOOKUP($A421,OFFSET([2]characters!$A$1,0,0,COUNTA([2]characters!$A:$A),MATCH(AX$1,[2]characters!$1:$1,0)-MATCH($A$1,[2]characters!$1:$1,0)+1),MATCH(AX$1,[2]characters!$1:$1,0)-MATCH($A$1,[2]characters!$1:$1,0)+1,FALSE)</f>
        <v>3</v>
      </c>
      <c r="AY421" s="139">
        <v>1</v>
      </c>
      <c r="AZ421" s="139">
        <v>1</v>
      </c>
      <c r="BA421" s="139">
        <v>0</v>
      </c>
      <c r="BB421" s="139">
        <v>1</v>
      </c>
      <c r="BC421" s="14">
        <f ca="1">INDEX('RC6SV'!$A$1:$G$20,MATCH(H421,'RC6SV'!$A$1:$A$20,FALSE),MATCH(G421,'RC6SV'!$A$1:$G$1,FALSE))</f>
        <v>7500</v>
      </c>
      <c r="BD421" s="63">
        <f t="shared" ca="1" si="66"/>
        <v>7500</v>
      </c>
      <c r="BE421" s="14">
        <f t="shared" ca="1" si="53"/>
        <v>0</v>
      </c>
      <c r="BF421" s="14">
        <f t="shared" ca="1" si="54"/>
        <v>1</v>
      </c>
      <c r="BG421" s="20">
        <f ca="1">IF($BE421&lt;=0,ROUND(BK421*0.5,0), ROUND($BE421*S421*AA421*J421*AY421*0.8*[2]ステータス!$B$2,0))</f>
        <v>1764</v>
      </c>
      <c r="BH421" s="20">
        <f ca="1">IF($BE421&lt;=0,ROUND(BL421*0.5,0), ROUND($BE421*T421*AB421*K421*AZ421*0.8*[2]ステータス!$C$2,0))</f>
        <v>1159</v>
      </c>
      <c r="BI421" s="20">
        <f ca="1">IF($BE421&lt;=0,ROUND(BM421*0.5,0), ROUND($BE421*U421*AC421*L421*BA421*0.8*[2]ステータス!$D$2,0))</f>
        <v>0</v>
      </c>
      <c r="BJ421" s="20">
        <f ca="1">IF($BE421&lt;=0,ROUND(BN421*0.5,0), ROUND($BE421*V421*AD421*M421*BB421*0.8*[2]ステータス!$E$2,0))</f>
        <v>966</v>
      </c>
      <c r="BK421" s="14">
        <f ca="1">ROUND(BD421*S421*AA421*J421*AY421*[2]ステータス!$B$2,0)</f>
        <v>3528</v>
      </c>
      <c r="BL421" s="14">
        <f ca="1">ROUND(BD421*T421*AB421*K421*AZ421*[2]ステータス!$C$2,0)</f>
        <v>2318</v>
      </c>
      <c r="BM421" s="14">
        <f ca="1">ROUND(BD421*U421*AC421*L421*BA421*[2]ステータス!$D$2,0)</f>
        <v>0</v>
      </c>
      <c r="BN421" s="14">
        <f ca="1">ROUND(BD421*V421*AD421*M421*BB421*[2]ステータス!$E$2,0)</f>
        <v>1932</v>
      </c>
      <c r="BO421" s="13">
        <v>0</v>
      </c>
      <c r="BP421" s="13">
        <v>1</v>
      </c>
      <c r="BQ421" s="49" t="s">
        <v>102</v>
      </c>
      <c r="BR421" s="13">
        <f ca="1">VLOOKUP(H421,ghosts_label!$A$2:$B$19,2,FALSE)</f>
        <v>1</v>
      </c>
    </row>
    <row r="422" spans="1:70" ht="21" customHeight="1" x14ac:dyDescent="0.15">
      <c r="A422" s="14">
        <v>433</v>
      </c>
      <c r="B422" s="77" t="str">
        <f ca="1">VLOOKUP($A422,OFFSET([2]characters!$A$1,0,0,COUNTA([2]characters!$A:$A),MATCH(B$1,[2]characters!$1:$1,0)-MATCH($A$1,[2]characters!$1:$1,0)+1),MATCH(B$1,[2]characters!$1:$1,0)-MATCH($A$1,[2]characters!$1:$1,0)+1,FALSE)</f>
        <v>世稀の現獣 麒麟</v>
      </c>
      <c r="C422" s="77" t="str">
        <f ca="1">VLOOKUP($A422,OFFSET([2]characters!$A$1,0,0,COUNTA([2]characters!$A:$A),MATCH(C$1,[2]characters!$1:$1,0)-MATCH($A$1,[2]characters!$1:$1,0)+1),MATCH(C$1,[2]characters!$1:$1,0)-MATCH($A$1,[2]characters!$1:$1,0)+1,FALSE)</f>
        <v>イベント:超ウィザード</v>
      </c>
      <c r="D422" s="77" t="str">
        <f ca="1">VLOOKUP($A422,OFFSET([2]characters!$A$1,0,0,COUNTA([2]characters!$A:$A),MATCH(D$1,[2]characters!$1:$1,0)-MATCH($A$1,[2]characters!$1:$1,0)+1),MATCH(D$1,[2]characters!$1:$1,0)-MATCH($A$1,[2]characters!$1:$1,0)+1,FALSE)</f>
        <v>執行者</v>
      </c>
      <c r="E422" s="77" t="str">
        <f ca="1">VLOOKUP($A422,OFFSET([2]characters!$A$1,0,0,COUNTA([2]characters!$A:$A),MATCH(E$1,[2]characters!$1:$1,0)-MATCH($A$1,[2]characters!$1:$1,0)+1),MATCH(E$1,[2]characters!$1:$1,0)-MATCH($A$1,[2]characters!$1:$1,0)+1,FALSE)</f>
        <v>格好いい</v>
      </c>
      <c r="F422" s="77" t="str">
        <f ca="1">VLOOKUP($A422,OFFSET([2]characters!$A$1,0,0,COUNTA([2]characters!$A:$A),MATCH(F$1,[2]characters!$1:$1,0)-MATCH($A$1,[2]characters!$1:$1,0)+1),MATCH(F$1,[2]characters!$1:$1,0)-MATCH($A$1,[2]characters!$1:$1,0)+1,FALSE)</f>
        <v>女性</v>
      </c>
      <c r="G422" s="77">
        <f ca="1">VLOOKUP($A422,OFFSET([2]characters!$A$1,0,0,COUNTA([2]characters!$A:$A),MATCH(G$1,[2]characters!$1:$1,0)-MATCH($A$1,[2]characters!$1:$1,0)+1),MATCH(G$1,[2]characters!$1:$1,0)-MATCH($A$1,[2]characters!$1:$1,0)+1,FALSE)</f>
        <v>5</v>
      </c>
      <c r="H422" s="77" t="str">
        <f ca="1">VLOOKUP($A422,OFFSET([2]characters!$A$1,0,0,COUNTA([2]characters!$A:$A),MATCH(H$1,[2]characters!$1:$1,0)-MATCH($A$1,[2]characters!$1:$1,0)+1),MATCH(H$1,[2]characters!$1:$1,0)-MATCH($A$1,[2]characters!$1:$1,0)+1,FALSE)</f>
        <v>DropWizSS</v>
      </c>
      <c r="I422" s="77" t="str">
        <f ca="1">VLOOKUP($A422,OFFSET([2]characters!$A$1,0,0,COUNTA([2]characters!$A:$A),MATCH(I$1,[2]characters!$1:$1,0)-MATCH($A$1,[2]characters!$1:$1,0)+1),MATCH(I$1,[2]characters!$1:$1,0)-MATCH($A$1,[2]characters!$1:$1,0)+1,FALSE)</f>
        <v>yellow</v>
      </c>
      <c r="J422" s="14">
        <f ca="1">VLOOKUP(I422,[2]属性!$A:$E,2,FALSE)</f>
        <v>0.98</v>
      </c>
      <c r="K422" s="14">
        <f ca="1">VLOOKUP(I422,[2]属性!$A:$E,3,FALSE)</f>
        <v>1.01</v>
      </c>
      <c r="L422" s="14">
        <f ca="1">VLOOKUP(I422,[2]属性!$A:$E,4,FALSE)</f>
        <v>1</v>
      </c>
      <c r="M422" s="14">
        <f ca="1">VLOOKUP(I422,[2]属性!$A:$E,5,FALSE)</f>
        <v>1.01</v>
      </c>
      <c r="N422" s="14">
        <f ca="1">INDEX(コスト!$A$1:$I$20,MATCH(H422,コスト!$A$1:$A$20,FALSE),MATCH(G422,コスト!$A$1:$I$1,FALSE))</f>
        <v>35</v>
      </c>
      <c r="O422" s="14">
        <f ca="1">INDEX(レベル!$A$1:$I$21,MATCH(H422,レベル!$A$1:$A$21,FALSE),MATCH(G422,レベル!$A$1:$I$1,FALSE))</f>
        <v>80</v>
      </c>
      <c r="P422" s="63">
        <f t="shared" ca="1" si="64"/>
        <v>75</v>
      </c>
      <c r="Q422" s="77" t="str">
        <f ca="1">VLOOKUP($A422,OFFSET([2]characters!$A$1,0,0,COUNTA([2]characters!$A:$A),MATCH(Q$1,[2]characters!$1:$1,0)-MATCH($A$1,[2]characters!$1:$1,0)+1),MATCH(Q$1,[2]characters!$1:$1,0)-MATCH($A$1,[2]characters!$1:$1,0)+1,FALSE)</f>
        <v>balance</v>
      </c>
      <c r="R422" s="8" t="str">
        <f ca="1">VLOOKUP(Q422,[2]character_type_i18n!$A:$H,3,FALSE)</f>
        <v>バランスタイプ</v>
      </c>
      <c r="S422" s="14">
        <f ca="1">VLOOKUP(Q422,[2]character_type_i18n!$A:$H,4,FALSE)</f>
        <v>1</v>
      </c>
      <c r="T422" s="14">
        <f ca="1">VLOOKUP(Q422,[2]character_type_i18n!$A:$H,5,FALSE)</f>
        <v>1</v>
      </c>
      <c r="U422" s="14">
        <f ca="1">VLOOKUP(Q422,[2]character_type_i18n!$A:$H,6,FALSE)</f>
        <v>1</v>
      </c>
      <c r="V422" s="14">
        <f ca="1">VLOOKUP(Q422,[2]character_type_i18n!$A:$H,7,FALSE)</f>
        <v>1</v>
      </c>
      <c r="W422" s="77" t="str">
        <f ca="1">VLOOKUP($A422,OFFSET([2]characters!$A$1,0,0,COUNTA([2]characters!$A:$A),MATCH(W$1,[2]characters!$1:$1,0)-MATCH($A$1,[2]characters!$1:$1,0)+1),MATCH(W$1,[2]characters!$1:$1,0)-MATCH($A$1,[2]characters!$1:$1,0)+1,FALSE)</f>
        <v>god</v>
      </c>
      <c r="X422" s="8" t="str">
        <f ca="1">VLOOKUP(W422,[2]character_tribe_i18n!$A:$H,3,FALSE)</f>
        <v>ゴッド</v>
      </c>
      <c r="Y422" s="77" t="str">
        <f ca="1">VLOOKUP($A422,OFFSET([2]characters!$A$1,0,0,COUNTA([2]characters!$A:$A),MATCH(Y$1,[2]characters!$1:$1,0)-MATCH($A$1,[2]characters!$1:$1,0)+1),MATCH(Y$1,[2]characters!$1:$1,0)-MATCH($A$1,[2]characters!$1:$1,0)+1,FALSE)</f>
        <v>none</v>
      </c>
      <c r="Z422" s="8" t="str">
        <f ca="1">VLOOKUP(Y422,[2]character_tribe_i18n!$A:$H,3,FALSE)</f>
        <v>種族なし</v>
      </c>
      <c r="AA422" s="14">
        <f ca="1">VLOOKUP(W422,[2]character_tribe_i18n!$A:$H,4,FALSE)</f>
        <v>0.96</v>
      </c>
      <c r="AB422" s="14">
        <f ca="1">VLOOKUP(W422,[2]character_tribe_i18n!$A:$H,5,FALSE)</f>
        <v>1.02</v>
      </c>
      <c r="AC422" s="14">
        <f ca="1">VLOOKUP(W422,[2]character_tribe_i18n!$A:$H,6,FALSE)</f>
        <v>1</v>
      </c>
      <c r="AD422" s="14">
        <f ca="1">VLOOKUP(W422,[2]character_tribe_i18n!$A:$H,7,FALSE)</f>
        <v>1.02</v>
      </c>
      <c r="AE422" s="12">
        <v>802</v>
      </c>
      <c r="AF422" s="85" t="str">
        <f ca="1">IF(AE422="NULL","",VLOOKUP($AE422,OFFSET([2]characters!$A$1,0,0,COUNTA([2]characters!$A:$A),MATCH(AF$1,[2]characters!$1:$1,0)-MATCH($A$1,[2]characters!$1:$1,0)+1),MATCH(AF$1,[2]characters!$1:$1,0)-MATCH($A$1,[2]characters!$1:$1,0)+1,FALSE))</f>
        <v>四聖結終の超獣 麒麟</v>
      </c>
      <c r="AG422" s="8">
        <f t="shared" ca="1" si="52"/>
        <v>432</v>
      </c>
      <c r="AH422" s="85" t="str">
        <f ca="1">VLOOKUP($AG422,OFFSET([2]characters!$A$1,0,0,COUNTA([2]characters!$A:$A),MATCH(AH$1,[2]characters!$1:$1,0)-MATCH($A$1,[2]characters!$1:$1,0)+1),MATCH(AH$1,[2]characters!$1:$1,0)-MATCH($A$1,[2]characters!$1:$1,0)+1,FALSE)</f>
        <v>麒麟</v>
      </c>
      <c r="AI422" s="14">
        <f ca="1">IF(AE422="NULL","NULL",VLOOKUP(G422,ビット!$A$2:$B$7,2))</f>
        <v>200000</v>
      </c>
      <c r="AJ422" s="9">
        <v>2</v>
      </c>
      <c r="AK422" s="10" t="str">
        <f t="shared" si="65"/>
        <v>普通</v>
      </c>
      <c r="AL422" s="14" t="str">
        <f ca="1">INDEX(経験値!$A$1:$I$20,MATCH(H422,経験値!$A$1:$A$20,FALSE),MATCH(G422,経験値!$A$1:$I$1,FALSE))</f>
        <v>required_exp_200</v>
      </c>
      <c r="AM422" s="11">
        <f ca="1">VLOOKUP(G422,経験値!$A$27:$B$31,2)</f>
        <v>6400</v>
      </c>
      <c r="AN422" s="21">
        <f ca="1">VLOOKUP(G422,ビット!$G$2:$H$7,2)</f>
        <v>900</v>
      </c>
      <c r="AO422" s="57"/>
      <c r="AP422" s="101">
        <v>170004</v>
      </c>
      <c r="AQ422" s="77" t="e">
        <f ca="1">VLOOKUP($AP422,OFFSET([1]unit_skills!$A$1,0,0,COUNTA([1]unit_skills!$A:$A),MATCH("name",[1]unit_skills!$1:$1,0)-MATCH($AP$1,[1]unit_skills!$1:$1,0)+1),MATCH("name",[1]unit_skills!$1:$1,0)-MATCH($AP$1,[1]unit_skills!$1:$1,0)+1,FALSE)</f>
        <v>#VALUE!</v>
      </c>
      <c r="AR422" s="77" t="e">
        <f ca="1">VLOOKUP($AP422,OFFSET([1]unit_skills!$A$1,0,0,COUNTA([1]unit_skills!$A:$A),MATCH("comment",[1]unit_skills!$1:$1,0)-MATCH($AP$1,[1]unit_skills!$1:$1,0)+1),MATCH("comment",[1]unit_skills!$1:$1,0)-MATCH($AP$1,[1]unit_skills!$1:$1,0)+1,FALSE)</f>
        <v>#VALUE!</v>
      </c>
      <c r="AS422" s="77" t="e">
        <f ca="1">VLOOKUP($AP422,OFFSET([1]unit_skills!$A$1,0,0,COUNTA([1]unit_skills!$A:$A),MATCH(AS$1,[1]unit_skills!$1:$1,0)-MATCH($AP$1,[1]unit_skills!$1:$1,0)+1),MATCH(AS$1,[1]unit_skills!$1:$1,0)-MATCH($AP$1,[1]unit_skills!$1:$1,0)+1,FALSE)</f>
        <v>#VALUE!</v>
      </c>
      <c r="AT422" s="158">
        <v>184508</v>
      </c>
      <c r="AU422" s="77" t="e">
        <f ca="1">VLOOKUP($AT422,OFFSET([1]crash_skills!$A$1,0,0,COUNTA([1]crash_skills!$A:$A),MATCH("name",[1]crash_skills!$1:$1,0)-MATCH($AT$1,[1]crash_skills!$1:$1,0)+1),MATCH("name",[1]crash_skills!$1:$1,0)-MATCH($AT$1,[1]crash_skills!$1:$1,0)+1,FALSE)</f>
        <v>#VALUE!</v>
      </c>
      <c r="AV422" s="77" t="e">
        <f ca="1">VLOOKUP($AT422,OFFSET([1]crash_skills!$A$1,0,0,COUNTA([1]crash_skills!$A:$A),MATCH("comment",[1]crash_skills!$1:$1,0)-MATCH($AT$1,[1]crash_skills!$1:$1,0)+1),MATCH("comment",[1]crash_skills!$1:$1,0)-MATCH($AT$1,[1]crash_skills!$1:$1,0)+1,FALSE)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22" s="77" t="e">
        <f ca="1">VLOOKUP($AT422,OFFSET([1]crash_skills!$A$1,0,0,COUNTA([1]crash_skills!$A:$A),MATCH(AW$1,[1]crash_skills!$1:$1,0)-MATCH($AT$1,[1]crash_skills!$1:$1,0)+1),MATCH(AW$1,[1]crash_skills!$1:$1,0)-MATCH($AT$1,[1]crash_skills!$1:$1,0)+1,FALSE)</f>
        <v>#VALUE!</v>
      </c>
      <c r="AX422" s="81">
        <f ca="1">VLOOKUP($A422,OFFSET([2]characters!$A$1,0,0,COUNTA([2]characters!$A:$A),MATCH(AX$1,[2]characters!$1:$1,0)-MATCH($A$1,[2]characters!$1:$1,0)+1),MATCH(AX$1,[2]characters!$1:$1,0)-MATCH($A$1,[2]characters!$1:$1,0)+1,FALSE)</f>
        <v>3</v>
      </c>
      <c r="AY422" s="139">
        <v>1.05</v>
      </c>
      <c r="AZ422" s="139">
        <v>1.2</v>
      </c>
      <c r="BA422" s="139">
        <v>0</v>
      </c>
      <c r="BB422" s="139">
        <v>1.08</v>
      </c>
      <c r="BC422" s="14">
        <f ca="1">INDEX('RC6SV'!$A$1:$G$20,MATCH(H422,'RC6SV'!$A$1:$A$20,FALSE),MATCH(G422,'RC6SV'!$A$1:$G$1,FALSE))</f>
        <v>9500</v>
      </c>
      <c r="BD422" s="63">
        <f t="shared" ca="1" si="66"/>
        <v>9500</v>
      </c>
      <c r="BE422" s="14">
        <f t="shared" ca="1" si="53"/>
        <v>7500</v>
      </c>
      <c r="BF422" s="14">
        <f t="shared" ca="1" si="54"/>
        <v>1</v>
      </c>
      <c r="BG422" s="20">
        <f ca="1">IF($BE422&lt;=0,ROUND(BK422*0.5,0), ROUND($BE422*S422*AA422*J422*AY422*0.8*[2]ステータス!$B$2,0))</f>
        <v>2964</v>
      </c>
      <c r="BH422" s="20">
        <f ca="1">IF($BE422&lt;=0,ROUND(BL422*0.5,0), ROUND($BE422*T422*AB422*K422*AZ422*0.8*[2]ステータス!$C$2,0))</f>
        <v>2225</v>
      </c>
      <c r="BI422" s="20">
        <f ca="1">IF($BE422&lt;=0,ROUND(BM422*0.5,0), ROUND($BE422*U422*AC422*L422*BA422*0.8*[2]ステータス!$D$2,0))</f>
        <v>0</v>
      </c>
      <c r="BJ422" s="20">
        <f ca="1">IF($BE422&lt;=0,ROUND(BN422*0.5,0), ROUND($BE422*V422*AD422*M422*BB422*0.8*[2]ステータス!$E$2,0))</f>
        <v>1669</v>
      </c>
      <c r="BK422" s="14">
        <f ca="1">ROUND(BD422*S422*AA422*J422*AY422*[2]ステータス!$B$2,0)</f>
        <v>4692</v>
      </c>
      <c r="BL422" s="14">
        <f ca="1">ROUND(BD422*T422*AB422*K422*AZ422*[2]ステータス!$C$2,0)</f>
        <v>3523</v>
      </c>
      <c r="BM422" s="14">
        <f ca="1">ROUND(BD422*U422*AC422*L422*BA422*[2]ステータス!$D$2,0)</f>
        <v>0</v>
      </c>
      <c r="BN422" s="14">
        <f ca="1">ROUND(BD422*V422*AD422*M422*BB422*[2]ステータス!$E$2,0)</f>
        <v>2642</v>
      </c>
      <c r="BO422" s="13">
        <v>0</v>
      </c>
      <c r="BP422" s="13">
        <v>1</v>
      </c>
      <c r="BQ422" s="49" t="s">
        <v>102</v>
      </c>
      <c r="BR422" s="13">
        <f ca="1">VLOOKUP(H422,ghosts_label!$A$2:$B$19,2,FALSE)</f>
        <v>1</v>
      </c>
    </row>
    <row r="423" spans="1:70" ht="21" customHeight="1" x14ac:dyDescent="0.15">
      <c r="A423" s="14">
        <v>434</v>
      </c>
      <c r="B423" s="77" t="str">
        <f ca="1">VLOOKUP($A423,OFFSET([2]characters!$A$1,0,0,COUNTA([2]characters!$A:$A),MATCH(B$1,[2]characters!$1:$1,0)-MATCH($A$1,[2]characters!$1:$1,0)+1),MATCH(B$1,[2]characters!$1:$1,0)-MATCH($A$1,[2]characters!$1:$1,0)+1,FALSE)</f>
        <v>D.R.T.H.</v>
      </c>
      <c r="C423" s="77" t="str">
        <f ca="1">VLOOKUP($A423,OFFSET([2]characters!$A$1,0,0,COUNTA([2]characters!$A:$A),MATCH(C$1,[2]characters!$1:$1,0)-MATCH($A$1,[2]characters!$1:$1,0)+1),MATCH(C$1,[2]characters!$1:$1,0)-MATCH($A$1,[2]characters!$1:$1,0)+1,FALSE)</f>
        <v>ガチャ:オズ01</v>
      </c>
      <c r="D423" s="77" t="str">
        <f ca="1">VLOOKUP($A423,OFFSET([2]characters!$A$1,0,0,COUNTA([2]characters!$A:$A),MATCH(D$1,[2]characters!$1:$1,0)-MATCH($A$1,[2]characters!$1:$1,0)+1),MATCH(D$1,[2]characters!$1:$1,0)-MATCH($A$1,[2]characters!$1:$1,0)+1,FALSE)</f>
        <v>執行者</v>
      </c>
      <c r="E423" s="77" t="str">
        <f ca="1">VLOOKUP($A423,OFFSET([2]characters!$A$1,0,0,COUNTA([2]characters!$A:$A),MATCH(E$1,[2]characters!$1:$1,0)-MATCH($A$1,[2]characters!$1:$1,0)+1),MATCH(E$1,[2]characters!$1:$1,0)-MATCH($A$1,[2]characters!$1:$1,0)+1,FALSE)</f>
        <v>格好いい</v>
      </c>
      <c r="F423" s="77" t="str">
        <f ca="1">VLOOKUP($A423,OFFSET([2]characters!$A$1,0,0,COUNTA([2]characters!$A:$A),MATCH(F$1,[2]characters!$1:$1,0)-MATCH($A$1,[2]characters!$1:$1,0)+1),MATCH(F$1,[2]characters!$1:$1,0)-MATCH($A$1,[2]characters!$1:$1,0)+1,FALSE)</f>
        <v>女性</v>
      </c>
      <c r="G423" s="77">
        <f ca="1">VLOOKUP($A423,OFFSET([2]characters!$A$1,0,0,COUNTA([2]characters!$A:$A),MATCH(G$1,[2]characters!$1:$1,0)-MATCH($A$1,[2]characters!$1:$1,0)+1),MATCH(G$1,[2]characters!$1:$1,0)-MATCH($A$1,[2]characters!$1:$1,0)+1,FALSE)</f>
        <v>4</v>
      </c>
      <c r="H423" s="77" t="str">
        <f ca="1">VLOOKUP($A423,OFFSET([2]characters!$A$1,0,0,COUNTA([2]characters!$A:$A),MATCH(H$1,[2]characters!$1:$1,0)-MATCH($A$1,[2]characters!$1:$1,0)+1),MATCH(H$1,[2]characters!$1:$1,0)-MATCH($A$1,[2]characters!$1:$1,0)+1,FALSE)</f>
        <v>PremiumSS</v>
      </c>
      <c r="I423" s="77" t="str">
        <f ca="1">VLOOKUP($A423,OFFSET([2]characters!$A$1,0,0,COUNTA([2]characters!$A:$A),MATCH(I$1,[2]characters!$1:$1,0)-MATCH($A$1,[2]characters!$1:$1,0)+1),MATCH(I$1,[2]characters!$1:$1,0)-MATCH($A$1,[2]characters!$1:$1,0)+1,FALSE)</f>
        <v>red</v>
      </c>
      <c r="J423" s="14">
        <f ca="1">VLOOKUP(I423,[2]属性!$A:$E,2,FALSE)</f>
        <v>1</v>
      </c>
      <c r="K423" s="14">
        <f ca="1">VLOOKUP(I423,[2]属性!$A:$E,3,FALSE)</f>
        <v>1.02</v>
      </c>
      <c r="L423" s="14">
        <f ca="1">VLOOKUP(I423,[2]属性!$A:$E,4,FALSE)</f>
        <v>1</v>
      </c>
      <c r="M423" s="14">
        <f ca="1">VLOOKUP(I423,[2]属性!$A:$E,5,FALSE)</f>
        <v>0.98</v>
      </c>
      <c r="N423" s="14">
        <f ca="1">INDEX(コスト!$A$1:$I$20,MATCH(H423,コスト!$A$1:$A$20,FALSE),MATCH(G423,コスト!$A$1:$I$1,FALSE))</f>
        <v>25</v>
      </c>
      <c r="O423" s="14">
        <f ca="1">INDEX(レベル!$A$1:$I$21,MATCH(H423,レベル!$A$1:$A$21,FALSE),MATCH(G423,レベル!$A$1:$I$1,FALSE))</f>
        <v>60</v>
      </c>
      <c r="P423" s="63">
        <f t="shared" ca="1" si="64"/>
        <v>60</v>
      </c>
      <c r="Q423" s="77" t="str">
        <f ca="1">VLOOKUP($A423,OFFSET([2]characters!$A$1,0,0,COUNTA([2]characters!$A:$A),MATCH(Q$1,[2]characters!$1:$1,0)-MATCH($A$1,[2]characters!$1:$1,0)+1),MATCH(Q$1,[2]characters!$1:$1,0)-MATCH($A$1,[2]characters!$1:$1,0)+1,FALSE)</f>
        <v>balance</v>
      </c>
      <c r="R423" s="8" t="str">
        <f ca="1">VLOOKUP(Q423,[2]character_type_i18n!$A:$H,3,FALSE)</f>
        <v>バランスタイプ</v>
      </c>
      <c r="S423" s="14">
        <f ca="1">VLOOKUP(Q423,[2]character_type_i18n!$A:$H,4,FALSE)</f>
        <v>1</v>
      </c>
      <c r="T423" s="14">
        <f ca="1">VLOOKUP(Q423,[2]character_type_i18n!$A:$H,5,FALSE)</f>
        <v>1</v>
      </c>
      <c r="U423" s="14">
        <f ca="1">VLOOKUP(Q423,[2]character_type_i18n!$A:$H,6,FALSE)</f>
        <v>1</v>
      </c>
      <c r="V423" s="14">
        <f ca="1">VLOOKUP(Q423,[2]character_type_i18n!$A:$H,7,FALSE)</f>
        <v>1</v>
      </c>
      <c r="W423" s="77" t="str">
        <f ca="1">VLOOKUP($A423,OFFSET([2]characters!$A$1,0,0,COUNTA([2]characters!$A:$A),MATCH(W$1,[2]characters!$1:$1,0)-MATCH($A$1,[2]characters!$1:$1,0)+1),MATCH(W$1,[2]characters!$1:$1,0)-MATCH($A$1,[2]characters!$1:$1,0)+1,FALSE)</f>
        <v>human</v>
      </c>
      <c r="X423" s="8" t="str">
        <f ca="1">VLOOKUP(W423,[2]character_tribe_i18n!$A:$H,3,FALSE)</f>
        <v>ヒューマン</v>
      </c>
      <c r="Y423" s="77" t="str">
        <f ca="1">VLOOKUP($A423,OFFSET([2]characters!$A$1,0,0,COUNTA([2]characters!$A:$A),MATCH(Y$1,[2]characters!$1:$1,0)-MATCH($A$1,[2]characters!$1:$1,0)+1),MATCH(Y$1,[2]characters!$1:$1,0)-MATCH($A$1,[2]characters!$1:$1,0)+1,FALSE)</f>
        <v>none</v>
      </c>
      <c r="Z423" s="8" t="str">
        <f ca="1">VLOOKUP(Y423,[2]character_tribe_i18n!$A:$H,3,FALSE)</f>
        <v>種族なし</v>
      </c>
      <c r="AA423" s="14">
        <f ca="1">VLOOKUP(W423,[2]character_tribe_i18n!$A:$H,4,FALSE)</f>
        <v>0.94</v>
      </c>
      <c r="AB423" s="14">
        <f ca="1">VLOOKUP(W423,[2]character_tribe_i18n!$A:$H,5,FALSE)</f>
        <v>0.99</v>
      </c>
      <c r="AC423" s="14">
        <f ca="1">VLOOKUP(W423,[2]character_tribe_i18n!$A:$H,6,FALSE)</f>
        <v>1</v>
      </c>
      <c r="AD423" s="14">
        <f ca="1">VLOOKUP(W423,[2]character_tribe_i18n!$A:$H,7,FALSE)</f>
        <v>1.07</v>
      </c>
      <c r="AE423" s="12">
        <v>435</v>
      </c>
      <c r="AF423" s="85" t="str">
        <f ca="1">IF(AE423="NULL","",VLOOKUP($AE423,OFFSET([2]characters!$A$1,0,0,COUNTA([2]characters!$A:$A),MATCH(AF$1,[2]characters!$1:$1,0)-MATCH($A$1,[2]characters!$1:$1,0)+1),MATCH(AF$1,[2]characters!$1:$1,0)-MATCH($A$1,[2]characters!$1:$1,0)+1,FALSE))</f>
        <v>曝弾の密偵 D.R.T.H.</v>
      </c>
      <c r="AG423" s="8">
        <f t="shared" ca="1" si="52"/>
        <v>434</v>
      </c>
      <c r="AH423" s="85" t="str">
        <f ca="1">VLOOKUP($AG423,OFFSET([2]characters!$A$1,0,0,COUNTA([2]characters!$A:$A),MATCH(AH$1,[2]characters!$1:$1,0)-MATCH($A$1,[2]characters!$1:$1,0)+1),MATCH(AH$1,[2]characters!$1:$1,0)-MATCH($A$1,[2]characters!$1:$1,0)+1,FALSE)</f>
        <v>D.R.T.H.</v>
      </c>
      <c r="AI423" s="14">
        <f ca="1">IF(AE423="NULL","NULL",VLOOKUP(G423,ビット!$A$2:$B$7,2))</f>
        <v>50000</v>
      </c>
      <c r="AJ423" s="9">
        <v>2</v>
      </c>
      <c r="AK423" s="10" t="str">
        <f t="shared" si="65"/>
        <v>普通</v>
      </c>
      <c r="AL423" s="14" t="str">
        <f ca="1">INDEX(経験値!$A$1:$I$20,MATCH(H423,経験値!$A$1:$A$20,FALSE),MATCH(G423,経験値!$A$1:$I$1,FALSE))</f>
        <v>required_exp_200</v>
      </c>
      <c r="AM423" s="11">
        <f ca="1">VLOOKUP(G423,経験値!$A$27:$B$31,2)</f>
        <v>3400</v>
      </c>
      <c r="AN423" s="21">
        <f ca="1">VLOOKUP(G423,ビット!$G$2:$H$7,2)</f>
        <v>600</v>
      </c>
      <c r="AO423" s="57"/>
      <c r="AP423" s="97">
        <v>514009</v>
      </c>
      <c r="AQ423" s="77" t="e">
        <f ca="1">VLOOKUP($AP423,OFFSET([1]unit_skills!$A$1,0,0,COUNTA([1]unit_skills!$A:$A),MATCH("name",[1]unit_skills!$1:$1,0)-MATCH($AP$1,[1]unit_skills!$1:$1,0)+1),MATCH("name",[1]unit_skills!$1:$1,0)-MATCH($AP$1,[1]unit_skills!$1:$1,0)+1,FALSE)</f>
        <v>#VALUE!</v>
      </c>
      <c r="AR423" s="77" t="e">
        <f ca="1">VLOOKUP($AP423,OFFSET([1]unit_skills!$A$1,0,0,COUNTA([1]unit_skills!$A:$A),MATCH("comment",[1]unit_skills!$1:$1,0)-MATCH($AP$1,[1]unit_skills!$1:$1,0)+1),MATCH("comment",[1]unit_skills!$1:$1,0)-MATCH($AP$1,[1]unit_skills!$1:$1,0)+1,FALSE)</f>
        <v>#VALUE!</v>
      </c>
      <c r="AS423" s="77" t="e">
        <f ca="1">VLOOKUP($AP423,OFFSET([1]unit_skills!$A$1,0,0,COUNTA([1]unit_skills!$A:$A),MATCH(AS$1,[1]unit_skills!$1:$1,0)-MATCH($AP$1,[1]unit_skills!$1:$1,0)+1),MATCH(AS$1,[1]unit_skills!$1:$1,0)-MATCH($AP$1,[1]unit_skills!$1:$1,0)+1,FALSE)</f>
        <v>#VALUE!</v>
      </c>
      <c r="AT423" s="158">
        <v>171111</v>
      </c>
      <c r="AU423" s="77" t="e">
        <f ca="1">VLOOKUP($AT423,OFFSET([1]crash_skills!$A$1,0,0,COUNTA([1]crash_skills!$A:$A),MATCH("name",[1]crash_skills!$1:$1,0)-MATCH($AT$1,[1]crash_skills!$1:$1,0)+1),MATCH("name",[1]crash_skills!$1:$1,0)-MATCH($AT$1,[1]crash_skills!$1:$1,0)+1,FALSE)</f>
        <v>#VALUE!</v>
      </c>
      <c r="AV423" s="77" t="e">
        <f ca="1">VLOOKUP($AT423,OFFSET([1]crash_skills!$A$1,0,0,COUNTA([1]crash_skills!$A:$A),MATCH("comment",[1]crash_skills!$1:$1,0)-MATCH($AT$1,[1]crash_skills!$1:$1,0)+1),MATCH("comment",[1]crash_skills!$1:$1,0)-MATCH($AT$1,[1]crash_skills!$1:$1,0)+1,FALSE)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23" s="77" t="e">
        <f ca="1">VLOOKUP($AT423,OFFSET([1]crash_skills!$A$1,0,0,COUNTA([1]crash_skills!$A:$A),MATCH(AW$1,[1]crash_skills!$1:$1,0)-MATCH($AT$1,[1]crash_skills!$1:$1,0)+1),MATCH(AW$1,[1]crash_skills!$1:$1,0)-MATCH($AT$1,[1]crash_skills!$1:$1,0)+1,FALSE)</f>
        <v>#VALUE!</v>
      </c>
      <c r="AX423" s="81">
        <f ca="1">VLOOKUP($A423,OFFSET([2]characters!$A$1,0,0,COUNTA([2]characters!$A:$A),MATCH(AX$1,[2]characters!$1:$1,0)-MATCH($A$1,[2]characters!$1:$1,0)+1),MATCH(AX$1,[2]characters!$1:$1,0)-MATCH($A$1,[2]characters!$1:$1,0)+1,FALSE)</f>
        <v>3</v>
      </c>
      <c r="AY423" s="139">
        <v>1.05</v>
      </c>
      <c r="AZ423" s="139">
        <v>1.1200000000000001</v>
      </c>
      <c r="BA423" s="139">
        <v>0</v>
      </c>
      <c r="BB423" s="139">
        <v>1.1399999999999999</v>
      </c>
      <c r="BC423" s="14">
        <f ca="1">INDEX('RC6SV'!$A$1:$G$20,MATCH(H423,'RC6SV'!$A$1:$A$20,FALSE),MATCH(G423,'RC6SV'!$A$1:$G$1,FALSE))</f>
        <v>7500</v>
      </c>
      <c r="BD423" s="63">
        <f t="shared" ca="1" si="66"/>
        <v>7500</v>
      </c>
      <c r="BE423" s="14">
        <f t="shared" ca="1" si="53"/>
        <v>0</v>
      </c>
      <c r="BF423" s="14">
        <f t="shared" ca="1" si="54"/>
        <v>1</v>
      </c>
      <c r="BG423" s="20">
        <f ca="1">IF($BE423&lt;=0,ROUND(BK423*0.5,0), ROUND($BE423*S423*AA423*J423*AY423*0.8*[2]ステータス!$B$2,0))</f>
        <v>1851</v>
      </c>
      <c r="BH423" s="20">
        <f ca="1">IF($BE423&lt;=0,ROUND(BL423*0.5,0), ROUND($BE423*T423*AB423*K423*AZ423*0.8*[2]ステータス!$C$2,0))</f>
        <v>1273</v>
      </c>
      <c r="BI423" s="20">
        <f ca="1">IF($BE423&lt;=0,ROUND(BM423*0.5,0), ROUND($BE423*U423*AC423*L423*BA423*0.8*[2]ステータス!$D$2,0))</f>
        <v>0</v>
      </c>
      <c r="BJ423" s="20">
        <f ca="1">IF($BE423&lt;=0,ROUND(BN423*0.5,0), ROUND($BE423*V423*AD423*M423*BB423*0.8*[2]ステータス!$E$2,0))</f>
        <v>1121</v>
      </c>
      <c r="BK423" s="14">
        <f ca="1">ROUND(BD423*S423*AA423*J423*AY423*[2]ステータス!$B$2,0)</f>
        <v>3701</v>
      </c>
      <c r="BL423" s="14">
        <f ca="1">ROUND(BD423*T423*AB423*K423*AZ423*[2]ステータス!$C$2,0)</f>
        <v>2545</v>
      </c>
      <c r="BM423" s="14">
        <f ca="1">ROUND(BD423*U423*AC423*L423*BA423*[2]ステータス!$D$2,0)</f>
        <v>0</v>
      </c>
      <c r="BN423" s="14">
        <f ca="1">ROUND(BD423*V423*AD423*M423*BB423*[2]ステータス!$E$2,0)</f>
        <v>2241</v>
      </c>
      <c r="BO423" s="13">
        <v>0</v>
      </c>
      <c r="BP423" s="13">
        <v>1</v>
      </c>
      <c r="BQ423" s="49" t="s">
        <v>102</v>
      </c>
      <c r="BR423" s="13">
        <f ca="1">VLOOKUP(H423,ghosts_label!$A$2:$B$19,2,FALSE)</f>
        <v>5500</v>
      </c>
    </row>
    <row r="424" spans="1:70" ht="21" customHeight="1" x14ac:dyDescent="0.15">
      <c r="A424" s="14">
        <v>435</v>
      </c>
      <c r="B424" s="77" t="str">
        <f ca="1">VLOOKUP($A424,OFFSET([2]characters!$A$1,0,0,COUNTA([2]characters!$A:$A),MATCH(B$1,[2]characters!$1:$1,0)-MATCH($A$1,[2]characters!$1:$1,0)+1),MATCH(B$1,[2]characters!$1:$1,0)-MATCH($A$1,[2]characters!$1:$1,0)+1,FALSE)</f>
        <v>曝弾の密偵 D.R.T.H.</v>
      </c>
      <c r="C424" s="77" t="str">
        <f ca="1">VLOOKUP($A424,OFFSET([2]characters!$A$1,0,0,COUNTA([2]characters!$A:$A),MATCH(C$1,[2]characters!$1:$1,0)-MATCH($A$1,[2]characters!$1:$1,0)+1),MATCH(C$1,[2]characters!$1:$1,0)-MATCH($A$1,[2]characters!$1:$1,0)+1,FALSE)</f>
        <v>ガチャ:オズ01</v>
      </c>
      <c r="D424" s="77" t="str">
        <f ca="1">VLOOKUP($A424,OFFSET([2]characters!$A$1,0,0,COUNTA([2]characters!$A:$A),MATCH(D$1,[2]characters!$1:$1,0)-MATCH($A$1,[2]characters!$1:$1,0)+1),MATCH(D$1,[2]characters!$1:$1,0)-MATCH($A$1,[2]characters!$1:$1,0)+1,FALSE)</f>
        <v>執行者</v>
      </c>
      <c r="E424" s="77" t="str">
        <f ca="1">VLOOKUP($A424,OFFSET([2]characters!$A$1,0,0,COUNTA([2]characters!$A:$A),MATCH(E$1,[2]characters!$1:$1,0)-MATCH($A$1,[2]characters!$1:$1,0)+1),MATCH(E$1,[2]characters!$1:$1,0)-MATCH($A$1,[2]characters!$1:$1,0)+1,FALSE)</f>
        <v>格好いい</v>
      </c>
      <c r="F424" s="77" t="str">
        <f ca="1">VLOOKUP($A424,OFFSET([2]characters!$A$1,0,0,COUNTA([2]characters!$A:$A),MATCH(F$1,[2]characters!$1:$1,0)-MATCH($A$1,[2]characters!$1:$1,0)+1),MATCH(F$1,[2]characters!$1:$1,0)-MATCH($A$1,[2]characters!$1:$1,0)+1,FALSE)</f>
        <v>女性</v>
      </c>
      <c r="G424" s="77">
        <f ca="1">VLOOKUP($A424,OFFSET([2]characters!$A$1,0,0,COUNTA([2]characters!$A:$A),MATCH(G$1,[2]characters!$1:$1,0)-MATCH($A$1,[2]characters!$1:$1,0)+1),MATCH(G$1,[2]characters!$1:$1,0)-MATCH($A$1,[2]characters!$1:$1,0)+1,FALSE)</f>
        <v>5</v>
      </c>
      <c r="H424" s="77" t="str">
        <f ca="1">VLOOKUP($A424,OFFSET([2]characters!$A$1,0,0,COUNTA([2]characters!$A:$A),MATCH(H$1,[2]characters!$1:$1,0)-MATCH($A$1,[2]characters!$1:$1,0)+1),MATCH(H$1,[2]characters!$1:$1,0)-MATCH($A$1,[2]characters!$1:$1,0)+1,FALSE)</f>
        <v>PremiumSS</v>
      </c>
      <c r="I424" s="77" t="str">
        <f ca="1">VLOOKUP($A424,OFFSET([2]characters!$A$1,0,0,COUNTA([2]characters!$A:$A),MATCH(I$1,[2]characters!$1:$1,0)-MATCH($A$1,[2]characters!$1:$1,0)+1),MATCH(I$1,[2]characters!$1:$1,0)-MATCH($A$1,[2]characters!$1:$1,0)+1,FALSE)</f>
        <v>red</v>
      </c>
      <c r="J424" s="14">
        <f ca="1">VLOOKUP(I424,[2]属性!$A:$E,2,FALSE)</f>
        <v>1</v>
      </c>
      <c r="K424" s="14">
        <f ca="1">VLOOKUP(I424,[2]属性!$A:$E,3,FALSE)</f>
        <v>1.02</v>
      </c>
      <c r="L424" s="14">
        <f ca="1">VLOOKUP(I424,[2]属性!$A:$E,4,FALSE)</f>
        <v>1</v>
      </c>
      <c r="M424" s="14">
        <f ca="1">VLOOKUP(I424,[2]属性!$A:$E,5,FALSE)</f>
        <v>0.98</v>
      </c>
      <c r="N424" s="14">
        <f ca="1">INDEX(コスト!$A$1:$I$20,MATCH(H424,コスト!$A$1:$A$20,FALSE),MATCH(G424,コスト!$A$1:$I$1,FALSE))</f>
        <v>35</v>
      </c>
      <c r="O424" s="14">
        <f ca="1">INDEX(レベル!$A$1:$I$21,MATCH(H424,レベル!$A$1:$A$21,FALSE),MATCH(G424,レベル!$A$1:$I$1,FALSE))</f>
        <v>80</v>
      </c>
      <c r="P424" s="63">
        <f t="shared" ca="1" si="64"/>
        <v>75</v>
      </c>
      <c r="Q424" s="77" t="str">
        <f ca="1">VLOOKUP($A424,OFFSET([2]characters!$A$1,0,0,COUNTA([2]characters!$A:$A),MATCH(Q$1,[2]characters!$1:$1,0)-MATCH($A$1,[2]characters!$1:$1,0)+1),MATCH(Q$1,[2]characters!$1:$1,0)-MATCH($A$1,[2]characters!$1:$1,0)+1,FALSE)</f>
        <v>balance</v>
      </c>
      <c r="R424" s="8" t="str">
        <f ca="1">VLOOKUP(Q424,[2]character_type_i18n!$A:$H,3,FALSE)</f>
        <v>バランスタイプ</v>
      </c>
      <c r="S424" s="14">
        <f ca="1">VLOOKUP(Q424,[2]character_type_i18n!$A:$H,4,FALSE)</f>
        <v>1</v>
      </c>
      <c r="T424" s="14">
        <f ca="1">VLOOKUP(Q424,[2]character_type_i18n!$A:$H,5,FALSE)</f>
        <v>1</v>
      </c>
      <c r="U424" s="14">
        <f ca="1">VLOOKUP(Q424,[2]character_type_i18n!$A:$H,6,FALSE)</f>
        <v>1</v>
      </c>
      <c r="V424" s="14">
        <f ca="1">VLOOKUP(Q424,[2]character_type_i18n!$A:$H,7,FALSE)</f>
        <v>1</v>
      </c>
      <c r="W424" s="77" t="str">
        <f ca="1">VLOOKUP($A424,OFFSET([2]characters!$A$1,0,0,COUNTA([2]characters!$A:$A),MATCH(W$1,[2]characters!$1:$1,0)-MATCH($A$1,[2]characters!$1:$1,0)+1),MATCH(W$1,[2]characters!$1:$1,0)-MATCH($A$1,[2]characters!$1:$1,0)+1,FALSE)</f>
        <v>human</v>
      </c>
      <c r="X424" s="8" t="str">
        <f ca="1">VLOOKUP(W424,[2]character_tribe_i18n!$A:$H,3,FALSE)</f>
        <v>ヒューマン</v>
      </c>
      <c r="Y424" s="77" t="str">
        <f ca="1">VLOOKUP($A424,OFFSET([2]characters!$A$1,0,0,COUNTA([2]characters!$A:$A),MATCH(Y$1,[2]characters!$1:$1,0)-MATCH($A$1,[2]characters!$1:$1,0)+1),MATCH(Y$1,[2]characters!$1:$1,0)-MATCH($A$1,[2]characters!$1:$1,0)+1,FALSE)</f>
        <v>none</v>
      </c>
      <c r="Z424" s="8" t="str">
        <f ca="1">VLOOKUP(Y424,[2]character_tribe_i18n!$A:$H,3,FALSE)</f>
        <v>種族なし</v>
      </c>
      <c r="AA424" s="14">
        <f ca="1">VLOOKUP(W424,[2]character_tribe_i18n!$A:$H,4,FALSE)</f>
        <v>0.94</v>
      </c>
      <c r="AB424" s="14">
        <f ca="1">VLOOKUP(W424,[2]character_tribe_i18n!$A:$H,5,FALSE)</f>
        <v>0.99</v>
      </c>
      <c r="AC424" s="14">
        <f ca="1">VLOOKUP(W424,[2]character_tribe_i18n!$A:$H,6,FALSE)</f>
        <v>1</v>
      </c>
      <c r="AD424" s="14">
        <f ca="1">VLOOKUP(W424,[2]character_tribe_i18n!$A:$H,7,FALSE)</f>
        <v>1.07</v>
      </c>
      <c r="AE424" s="12">
        <v>817</v>
      </c>
      <c r="AF424" s="85" t="str">
        <f ca="1">IF(AE424="NULL","",VLOOKUP($AE424,OFFSET([2]characters!$A$1,0,0,COUNTA([2]characters!$A:$A),MATCH(AF$1,[2]characters!$1:$1,0)-MATCH($A$1,[2]characters!$1:$1,0)+1),MATCH(AF$1,[2]characters!$1:$1,0)-MATCH($A$1,[2]characters!$1:$1,0)+1,FALSE))</f>
        <v>決戦の抗弾 D.R.T.H.</v>
      </c>
      <c r="AG424" s="8">
        <f t="shared" ca="1" si="52"/>
        <v>434</v>
      </c>
      <c r="AH424" s="85" t="str">
        <f ca="1">VLOOKUP($AG424,OFFSET([2]characters!$A$1,0,0,COUNTA([2]characters!$A:$A),MATCH(AH$1,[2]characters!$1:$1,0)-MATCH($A$1,[2]characters!$1:$1,0)+1),MATCH(AH$1,[2]characters!$1:$1,0)-MATCH($A$1,[2]characters!$1:$1,0)+1,FALSE)</f>
        <v>D.R.T.H.</v>
      </c>
      <c r="AI424" s="14">
        <f ca="1">IF(AE424="NULL","NULL",VLOOKUP(G424,ビット!$A$2:$B$7,2))</f>
        <v>200000</v>
      </c>
      <c r="AJ424" s="9">
        <v>2</v>
      </c>
      <c r="AK424" s="10" t="str">
        <f t="shared" si="65"/>
        <v>普通</v>
      </c>
      <c r="AL424" s="14" t="str">
        <f ca="1">INDEX(経験値!$A$1:$I$20,MATCH(H424,経験値!$A$1:$A$20,FALSE),MATCH(G424,経験値!$A$1:$I$1,FALSE))</f>
        <v>required_exp_200</v>
      </c>
      <c r="AM424" s="11">
        <f ca="1">VLOOKUP(G424,経験値!$A$27:$B$31,2)</f>
        <v>6400</v>
      </c>
      <c r="AN424" s="21">
        <f ca="1">VLOOKUP(G424,ビット!$G$2:$H$7,2)</f>
        <v>900</v>
      </c>
      <c r="AO424" s="57"/>
      <c r="AP424" s="97">
        <v>514009</v>
      </c>
      <c r="AQ424" s="77" t="e">
        <f ca="1">VLOOKUP($AP424,OFFSET([1]unit_skills!$A$1,0,0,COUNTA([1]unit_skills!$A:$A),MATCH("name",[1]unit_skills!$1:$1,0)-MATCH($AP$1,[1]unit_skills!$1:$1,0)+1),MATCH("name",[1]unit_skills!$1:$1,0)-MATCH($AP$1,[1]unit_skills!$1:$1,0)+1,FALSE)</f>
        <v>#VALUE!</v>
      </c>
      <c r="AR424" s="77" t="e">
        <f ca="1">VLOOKUP($AP424,OFFSET([1]unit_skills!$A$1,0,0,COUNTA([1]unit_skills!$A:$A),MATCH("comment",[1]unit_skills!$1:$1,0)-MATCH($AP$1,[1]unit_skills!$1:$1,0)+1),MATCH("comment",[1]unit_skills!$1:$1,0)-MATCH($AP$1,[1]unit_skills!$1:$1,0)+1,FALSE)</f>
        <v>#VALUE!</v>
      </c>
      <c r="AS424" s="77" t="e">
        <f ca="1">VLOOKUP($AP424,OFFSET([1]unit_skills!$A$1,0,0,COUNTA([1]unit_skills!$A:$A),MATCH(AS$1,[1]unit_skills!$1:$1,0)-MATCH($AP$1,[1]unit_skills!$1:$1,0)+1),MATCH(AS$1,[1]unit_skills!$1:$1,0)-MATCH($AP$1,[1]unit_skills!$1:$1,0)+1,FALSE)</f>
        <v>#VALUE!</v>
      </c>
      <c r="AT424" s="158">
        <v>171111</v>
      </c>
      <c r="AU424" s="77" t="e">
        <f ca="1">VLOOKUP($AT424,OFFSET([1]crash_skills!$A$1,0,0,COUNTA([1]crash_skills!$A:$A),MATCH("name",[1]crash_skills!$1:$1,0)-MATCH($AT$1,[1]crash_skills!$1:$1,0)+1),MATCH("name",[1]crash_skills!$1:$1,0)-MATCH($AT$1,[1]crash_skills!$1:$1,0)+1,FALSE)</f>
        <v>#VALUE!</v>
      </c>
      <c r="AV424" s="77" t="e">
        <f ca="1">VLOOKUP($AT424,OFFSET([1]crash_skills!$A$1,0,0,COUNTA([1]crash_skills!$A:$A),MATCH("comment",[1]crash_skills!$1:$1,0)-MATCH($AT$1,[1]crash_skills!$1:$1,0)+1),MATCH("comment",[1]crash_skills!$1:$1,0)-MATCH($AT$1,[1]crash_skills!$1:$1,0)+1,FALSE)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24" s="77" t="e">
        <f ca="1">VLOOKUP($AT424,OFFSET([1]crash_skills!$A$1,0,0,COUNTA([1]crash_skills!$A:$A),MATCH(AW$1,[1]crash_skills!$1:$1,0)-MATCH($AT$1,[1]crash_skills!$1:$1,0)+1),MATCH(AW$1,[1]crash_skills!$1:$1,0)-MATCH($AT$1,[1]crash_skills!$1:$1,0)+1,FALSE)</f>
        <v>#VALUE!</v>
      </c>
      <c r="AX424" s="81">
        <f ca="1">VLOOKUP($A424,OFFSET([2]characters!$A$1,0,0,COUNTA([2]characters!$A:$A),MATCH(AX$1,[2]characters!$1:$1,0)-MATCH($A$1,[2]characters!$1:$1,0)+1),MATCH(AX$1,[2]characters!$1:$1,0)-MATCH($A$1,[2]characters!$1:$1,0)+1,FALSE)</f>
        <v>3</v>
      </c>
      <c r="AY424" s="139">
        <v>1.06</v>
      </c>
      <c r="AZ424" s="139">
        <v>1.1499999999999999</v>
      </c>
      <c r="BA424" s="139">
        <v>0</v>
      </c>
      <c r="BB424" s="139">
        <v>1.17</v>
      </c>
      <c r="BC424" s="14">
        <f ca="1">INDEX('RC6SV'!$A$1:$G$20,MATCH(H424,'RC6SV'!$A$1:$A$20,FALSE),MATCH(G424,'RC6SV'!$A$1:$G$1,FALSE))</f>
        <v>9500</v>
      </c>
      <c r="BD424" s="63">
        <f t="shared" ca="1" si="66"/>
        <v>9500</v>
      </c>
      <c r="BE424" s="14">
        <f t="shared" ca="1" si="53"/>
        <v>7500</v>
      </c>
      <c r="BF424" s="14">
        <f t="shared" ca="1" si="54"/>
        <v>1</v>
      </c>
      <c r="BG424" s="20">
        <f ca="1">IF($BE424&lt;=0,ROUND(BK424*0.5,0), ROUND($BE424*S424*AA424*J424*AY424*0.8*[2]ステータス!$B$2,0))</f>
        <v>2989</v>
      </c>
      <c r="BH424" s="20">
        <f ca="1">IF($BE424&lt;=0,ROUND(BL424*0.5,0), ROUND($BE424*T424*AB424*K424*AZ424*0.8*[2]ステータス!$C$2,0))</f>
        <v>2090</v>
      </c>
      <c r="BI424" s="20">
        <f ca="1">IF($BE424&lt;=0,ROUND(BM424*0.5,0), ROUND($BE424*U424*AC424*L424*BA424*0.8*[2]ステータス!$D$2,0))</f>
        <v>0</v>
      </c>
      <c r="BJ424" s="20">
        <f ca="1">IF($BE424&lt;=0,ROUND(BN424*0.5,0), ROUND($BE424*V424*AD424*M424*BB424*0.8*[2]ステータス!$E$2,0))</f>
        <v>1840</v>
      </c>
      <c r="BK424" s="14">
        <f ca="1">ROUND(BD424*S424*AA424*J424*AY424*[2]ステータス!$B$2,0)</f>
        <v>4733</v>
      </c>
      <c r="BL424" s="14">
        <f ca="1">ROUND(BD424*T424*AB424*K424*AZ424*[2]ステータス!$C$2,0)</f>
        <v>3310</v>
      </c>
      <c r="BM424" s="14">
        <f ca="1">ROUND(BD424*U424*AC424*L424*BA424*[2]ステータス!$D$2,0)</f>
        <v>0</v>
      </c>
      <c r="BN424" s="14">
        <f ca="1">ROUND(BD424*V424*AD424*M424*BB424*[2]ステータス!$E$2,0)</f>
        <v>2914</v>
      </c>
      <c r="BO424" s="13">
        <v>0</v>
      </c>
      <c r="BP424" s="13">
        <v>1</v>
      </c>
      <c r="BQ424" s="49" t="s">
        <v>102</v>
      </c>
      <c r="BR424" s="13">
        <f ca="1">VLOOKUP(H424,ghosts_label!$A$2:$B$19,2,FALSE)</f>
        <v>5500</v>
      </c>
    </row>
    <row r="425" spans="1:70" ht="21" customHeight="1" x14ac:dyDescent="0.15">
      <c r="A425" s="14">
        <v>436</v>
      </c>
      <c r="B425" s="77" t="str">
        <f ca="1">VLOOKUP($A425,OFFSET([2]characters!$A$1,0,0,COUNTA([2]characters!$A:$A),MATCH(B$1,[2]characters!$1:$1,0)-MATCH($A$1,[2]characters!$1:$1,0)+1),MATCH(B$1,[2]characters!$1:$1,0)-MATCH($A$1,[2]characters!$1:$1,0)+1,FALSE)</f>
        <v>カカシ</v>
      </c>
      <c r="C425" s="77" t="str">
        <f ca="1">VLOOKUP($A425,OFFSET([2]characters!$A$1,0,0,COUNTA([2]characters!$A:$A),MATCH(C$1,[2]characters!$1:$1,0)-MATCH($A$1,[2]characters!$1:$1,0)+1),MATCH(C$1,[2]characters!$1:$1,0)-MATCH($A$1,[2]characters!$1:$1,0)+1,FALSE)</f>
        <v>ガチャ:オズ01</v>
      </c>
      <c r="D425" s="77" t="str">
        <f ca="1">VLOOKUP($A425,OFFSET([2]characters!$A$1,0,0,COUNTA([2]characters!$A:$A),MATCH(D$1,[2]characters!$1:$1,0)-MATCH($A$1,[2]characters!$1:$1,0)+1),MATCH(D$1,[2]characters!$1:$1,0)-MATCH($A$1,[2]characters!$1:$1,0)+1,FALSE)</f>
        <v>執行者</v>
      </c>
      <c r="E425" s="77" t="str">
        <f ca="1">VLOOKUP($A425,OFFSET([2]characters!$A$1,0,0,COUNTA([2]characters!$A:$A),MATCH(E$1,[2]characters!$1:$1,0)-MATCH($A$1,[2]characters!$1:$1,0)+1),MATCH(E$1,[2]characters!$1:$1,0)-MATCH($A$1,[2]characters!$1:$1,0)+1,FALSE)</f>
        <v>格好いい</v>
      </c>
      <c r="F425" s="77" t="str">
        <f ca="1">VLOOKUP($A425,OFFSET([2]characters!$A$1,0,0,COUNTA([2]characters!$A:$A),MATCH(F$1,[2]characters!$1:$1,0)-MATCH($A$1,[2]characters!$1:$1,0)+1),MATCH(F$1,[2]characters!$1:$1,0)-MATCH($A$1,[2]characters!$1:$1,0)+1,FALSE)</f>
        <v>男性</v>
      </c>
      <c r="G425" s="77">
        <f ca="1">VLOOKUP($A425,OFFSET([2]characters!$A$1,0,0,COUNTA([2]characters!$A:$A),MATCH(G$1,[2]characters!$1:$1,0)-MATCH($A$1,[2]characters!$1:$1,0)+1),MATCH(G$1,[2]characters!$1:$1,0)-MATCH($A$1,[2]characters!$1:$1,0)+1,FALSE)</f>
        <v>3</v>
      </c>
      <c r="H425" s="77" t="str">
        <f ca="1">VLOOKUP($A425,OFFSET([2]characters!$A$1,0,0,COUNTA([2]characters!$A:$A),MATCH(H$1,[2]characters!$1:$1,0)-MATCH($A$1,[2]characters!$1:$1,0)+1),MATCH(H$1,[2]characters!$1:$1,0)-MATCH($A$1,[2]characters!$1:$1,0)+1,FALSE)</f>
        <v>PremiumS</v>
      </c>
      <c r="I425" s="77" t="str">
        <f ca="1">VLOOKUP($A425,OFFSET([2]characters!$A$1,0,0,COUNTA([2]characters!$A:$A),MATCH(I$1,[2]characters!$1:$1,0)-MATCH($A$1,[2]characters!$1:$1,0)+1),MATCH(I$1,[2]characters!$1:$1,0)-MATCH($A$1,[2]characters!$1:$1,0)+1,FALSE)</f>
        <v>green</v>
      </c>
      <c r="J425" s="14">
        <f ca="1">VLOOKUP(I425,[2]属性!$A:$E,2,FALSE)</f>
        <v>1.02</v>
      </c>
      <c r="K425" s="14">
        <f ca="1">VLOOKUP(I425,[2]属性!$A:$E,3,FALSE)</f>
        <v>0.98</v>
      </c>
      <c r="L425" s="14">
        <f ca="1">VLOOKUP(I425,[2]属性!$A:$E,4,FALSE)</f>
        <v>1</v>
      </c>
      <c r="M425" s="14">
        <f ca="1">VLOOKUP(I425,[2]属性!$A:$E,5,FALSE)</f>
        <v>1</v>
      </c>
      <c r="N425" s="14">
        <f ca="1">INDEX(コスト!$A$1:$I$20,MATCH(H425,コスト!$A$1:$A$20,FALSE),MATCH(G425,コスト!$A$1:$I$1,FALSE))</f>
        <v>10</v>
      </c>
      <c r="O425" s="14">
        <f ca="1">INDEX(レベル!$A$1:$I$21,MATCH(H425,レベル!$A$1:$A$21,FALSE),MATCH(G425,レベル!$A$1:$I$1,FALSE))</f>
        <v>40</v>
      </c>
      <c r="P425" s="63">
        <f t="shared" ca="1" si="64"/>
        <v>45</v>
      </c>
      <c r="Q425" s="77" t="str">
        <f ca="1">VLOOKUP($A425,OFFSET([2]characters!$A$1,0,0,COUNTA([2]characters!$A:$A),MATCH(Q$1,[2]characters!$1:$1,0)-MATCH($A$1,[2]characters!$1:$1,0)+1),MATCH(Q$1,[2]characters!$1:$1,0)-MATCH($A$1,[2]characters!$1:$1,0)+1,FALSE)</f>
        <v>technical</v>
      </c>
      <c r="R425" s="8" t="str">
        <f ca="1">VLOOKUP(Q425,[2]character_type_i18n!$A:$H,3,FALSE)</f>
        <v>テクニカルタイプ</v>
      </c>
      <c r="S425" s="14">
        <f ca="1">VLOOKUP(Q425,[2]character_type_i18n!$A:$H,4,FALSE)</f>
        <v>0.9</v>
      </c>
      <c r="T425" s="14">
        <f ca="1">VLOOKUP(Q425,[2]character_type_i18n!$A:$H,5,FALSE)</f>
        <v>0.9</v>
      </c>
      <c r="U425" s="14">
        <f ca="1">VLOOKUP(Q425,[2]character_type_i18n!$A:$H,6,FALSE)</f>
        <v>1</v>
      </c>
      <c r="V425" s="14">
        <f ca="1">VLOOKUP(Q425,[2]character_type_i18n!$A:$H,7,FALSE)</f>
        <v>0.9</v>
      </c>
      <c r="W425" s="77" t="str">
        <f ca="1">VLOOKUP($A425,OFFSET([2]characters!$A$1,0,0,COUNTA([2]characters!$A:$A),MATCH(W$1,[2]characters!$1:$1,0)-MATCH($A$1,[2]characters!$1:$1,0)+1),MATCH(W$1,[2]characters!$1:$1,0)-MATCH($A$1,[2]characters!$1:$1,0)+1,FALSE)</f>
        <v>human</v>
      </c>
      <c r="X425" s="8" t="str">
        <f ca="1">VLOOKUP(W425,[2]character_tribe_i18n!$A:$H,3,FALSE)</f>
        <v>ヒューマン</v>
      </c>
      <c r="Y425" s="77" t="str">
        <f ca="1">VLOOKUP($A425,OFFSET([2]characters!$A$1,0,0,COUNTA([2]characters!$A:$A),MATCH(Y$1,[2]characters!$1:$1,0)-MATCH($A$1,[2]characters!$1:$1,0)+1),MATCH(Y$1,[2]characters!$1:$1,0)-MATCH($A$1,[2]characters!$1:$1,0)+1,FALSE)</f>
        <v>machine</v>
      </c>
      <c r="Z425" s="8" t="str">
        <f ca="1">VLOOKUP(Y425,[2]character_tribe_i18n!$A:$H,3,FALSE)</f>
        <v>マシン</v>
      </c>
      <c r="AA425" s="14">
        <f ca="1">VLOOKUP(W425,[2]character_tribe_i18n!$A:$H,4,FALSE)</f>
        <v>0.94</v>
      </c>
      <c r="AB425" s="14">
        <f ca="1">VLOOKUP(W425,[2]character_tribe_i18n!$A:$H,5,FALSE)</f>
        <v>0.99</v>
      </c>
      <c r="AC425" s="14">
        <f ca="1">VLOOKUP(W425,[2]character_tribe_i18n!$A:$H,6,FALSE)</f>
        <v>1</v>
      </c>
      <c r="AD425" s="14">
        <f ca="1">VLOOKUP(W425,[2]character_tribe_i18n!$A:$H,7,FALSE)</f>
        <v>1.07</v>
      </c>
      <c r="AE425" s="12">
        <v>437</v>
      </c>
      <c r="AF425" s="85" t="str">
        <f ca="1">IF(AE425="NULL","",VLOOKUP($AE425,OFFSET([2]characters!$A$1,0,0,COUNTA([2]characters!$A:$A),MATCH(AF$1,[2]characters!$1:$1,0)-MATCH($A$1,[2]characters!$1:$1,0)+1),MATCH(AF$1,[2]characters!$1:$1,0)-MATCH($A$1,[2]characters!$1:$1,0)+1,FALSE))</f>
        <v>忘却者 カカシ</v>
      </c>
      <c r="AG425" s="8">
        <f t="shared" ca="1" si="52"/>
        <v>436</v>
      </c>
      <c r="AH425" s="85" t="str">
        <f ca="1">VLOOKUP($AG425,OFFSET([2]characters!$A$1,0,0,COUNTA([2]characters!$A:$A),MATCH(AH$1,[2]characters!$1:$1,0)-MATCH($A$1,[2]characters!$1:$1,0)+1),MATCH(AH$1,[2]characters!$1:$1,0)-MATCH($A$1,[2]characters!$1:$1,0)+1,FALSE)</f>
        <v>カカシ</v>
      </c>
      <c r="AI425" s="14">
        <f ca="1">IF(AE425="NULL","NULL",VLOOKUP(G425,ビット!$A$2:$B$7,2))</f>
        <v>20000</v>
      </c>
      <c r="AJ425" s="9">
        <v>2</v>
      </c>
      <c r="AK425" s="10" t="str">
        <f t="shared" si="65"/>
        <v>普通</v>
      </c>
      <c r="AL425" s="14" t="str">
        <f ca="1">INDEX(経験値!$A$1:$I$20,MATCH(H425,経験値!$A$1:$A$20,FALSE),MATCH(G425,経験値!$A$1:$I$1,FALSE))</f>
        <v>required_exp_200</v>
      </c>
      <c r="AM425" s="11">
        <f ca="1">VLOOKUP(G425,経験値!$A$27:$B$31,2)</f>
        <v>1500</v>
      </c>
      <c r="AN425" s="21">
        <f ca="1">VLOOKUP(G425,ビット!$G$2:$H$7,2)</f>
        <v>300</v>
      </c>
      <c r="AO425" s="57"/>
      <c r="AP425" s="97">
        <v>550005</v>
      </c>
      <c r="AQ425" s="77" t="e">
        <f ca="1">VLOOKUP($AP425,OFFSET([1]unit_skills!$A$1,0,0,COUNTA([1]unit_skills!$A:$A),MATCH("name",[1]unit_skills!$1:$1,0)-MATCH($AP$1,[1]unit_skills!$1:$1,0)+1),MATCH("name",[1]unit_skills!$1:$1,0)-MATCH($AP$1,[1]unit_skills!$1:$1,0)+1,FALSE)</f>
        <v>#VALUE!</v>
      </c>
      <c r="AR425" s="77" t="e">
        <f ca="1">VLOOKUP($AP425,OFFSET([1]unit_skills!$A$1,0,0,COUNTA([1]unit_skills!$A:$A),MATCH("comment",[1]unit_skills!$1:$1,0)-MATCH($AP$1,[1]unit_skills!$1:$1,0)+1),MATCH("comment",[1]unit_skills!$1:$1,0)-MATCH($AP$1,[1]unit_skills!$1:$1,0)+1,FALSE)</f>
        <v>#VALUE!</v>
      </c>
      <c r="AS425" s="77" t="e">
        <f ca="1">VLOOKUP($AP425,OFFSET([1]unit_skills!$A$1,0,0,COUNTA([1]unit_skills!$A:$A),MATCH(AS$1,[1]unit_skills!$1:$1,0)-MATCH($AP$1,[1]unit_skills!$1:$1,0)+1),MATCH(AS$1,[1]unit_skills!$1:$1,0)-MATCH($AP$1,[1]unit_skills!$1:$1,0)+1,FALSE)</f>
        <v>#VALUE!</v>
      </c>
      <c r="AT425" s="97">
        <v>152008</v>
      </c>
      <c r="AU425" s="77" t="e">
        <f ca="1">VLOOKUP($AT425,OFFSET([1]crash_skills!$A$1,0,0,COUNTA([1]crash_skills!$A:$A),MATCH("name",[1]crash_skills!$1:$1,0)-MATCH($AT$1,[1]crash_skills!$1:$1,0)+1),MATCH("name",[1]crash_skills!$1:$1,0)-MATCH($AT$1,[1]crash_skills!$1:$1,0)+1,FALSE)</f>
        <v>#VALUE!</v>
      </c>
      <c r="AV425" s="77" t="e">
        <f ca="1">VLOOKUP($AT425,OFFSET([1]crash_skills!$A$1,0,0,COUNTA([1]crash_skills!$A:$A),MATCH("comment",[1]crash_skills!$1:$1,0)-MATCH($AT$1,[1]crash_skills!$1:$1,0)+1),MATCH("comment",[1]crash_skills!$1:$1,0)-MATCH($AT$1,[1]crash_skills!$1:$1,0)+1,FALSE)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25" s="77" t="e">
        <f ca="1">VLOOKUP($AT425,OFFSET([1]crash_skills!$A$1,0,0,COUNTA([1]crash_skills!$A:$A),MATCH(AW$1,[1]crash_skills!$1:$1,0)-MATCH($AT$1,[1]crash_skills!$1:$1,0)+1),MATCH(AW$1,[1]crash_skills!$1:$1,0)-MATCH($AT$1,[1]crash_skills!$1:$1,0)+1,FALSE)</f>
        <v>#VALUE!</v>
      </c>
      <c r="AX425" s="81">
        <f ca="1">VLOOKUP($A425,OFFSET([2]characters!$A$1,0,0,COUNTA([2]characters!$A:$A),MATCH(AX$1,[2]characters!$1:$1,0)-MATCH($A$1,[2]characters!$1:$1,0)+1),MATCH(AX$1,[2]characters!$1:$1,0)-MATCH($A$1,[2]characters!$1:$1,0)+1,FALSE)</f>
        <v>3</v>
      </c>
      <c r="AY425" s="139">
        <v>1</v>
      </c>
      <c r="AZ425" s="139">
        <v>1.1000000000000001</v>
      </c>
      <c r="BA425" s="139">
        <v>0</v>
      </c>
      <c r="BB425" s="139">
        <v>1</v>
      </c>
      <c r="BC425" s="14">
        <f ca="1">INDEX('RC6SV'!$A$1:$G$20,MATCH(H425,'RC6SV'!$A$1:$A$20,FALSE),MATCH(G425,'RC6SV'!$A$1:$G$1,FALSE))</f>
        <v>5000</v>
      </c>
      <c r="BD425" s="63">
        <f t="shared" ca="1" si="66"/>
        <v>5000</v>
      </c>
      <c r="BE425" s="14">
        <f t="shared" ca="1" si="53"/>
        <v>0</v>
      </c>
      <c r="BF425" s="14">
        <f t="shared" ca="1" si="54"/>
        <v>1</v>
      </c>
      <c r="BG425" s="20">
        <f ca="1">IF($BE425&lt;=0,ROUND(BK425*0.5,0), ROUND($BE425*S425*AA425*J425*AY425*0.8*[2]ステータス!$B$2,0))</f>
        <v>1079</v>
      </c>
      <c r="BH425" s="20">
        <f ca="1">IF($BE425&lt;=0,ROUND(BL425*0.5,0), ROUND($BE425*T425*AB425*K425*AZ425*0.8*[2]ステータス!$C$2,0))</f>
        <v>721</v>
      </c>
      <c r="BI425" s="20">
        <f ca="1">IF($BE425&lt;=0,ROUND(BM425*0.5,0), ROUND($BE425*U425*AC425*L425*BA425*0.8*[2]ステータス!$D$2,0))</f>
        <v>0</v>
      </c>
      <c r="BJ425" s="20">
        <f ca="1">IF($BE425&lt;=0,ROUND(BN425*0.5,0), ROUND($BE425*V425*AD425*M425*BB425*0.8*[2]ステータス!$E$2,0))</f>
        <v>602</v>
      </c>
      <c r="BK425" s="14">
        <f ca="1">ROUND(BD425*S425*AA425*J425*AY425*[2]ステータス!$B$2,0)</f>
        <v>2157</v>
      </c>
      <c r="BL425" s="14">
        <f ca="1">ROUND(BD425*T425*AB425*K425*AZ425*[2]ステータス!$C$2,0)</f>
        <v>1441</v>
      </c>
      <c r="BM425" s="14">
        <f ca="1">ROUND(BD425*U425*AC425*L425*BA425*[2]ステータス!$D$2,0)</f>
        <v>0</v>
      </c>
      <c r="BN425" s="14">
        <f ca="1">ROUND(BD425*V425*AD425*M425*BB425*[2]ステータス!$E$2,0)</f>
        <v>1204</v>
      </c>
      <c r="BO425" s="13">
        <v>0</v>
      </c>
      <c r="BP425" s="13">
        <v>1</v>
      </c>
      <c r="BQ425" s="49" t="s">
        <v>102</v>
      </c>
      <c r="BR425" s="13">
        <f ca="1">VLOOKUP(H425,ghosts_label!$A$2:$B$19,2,FALSE)</f>
        <v>700</v>
      </c>
    </row>
    <row r="426" spans="1:70" ht="21" customHeight="1" x14ac:dyDescent="0.15">
      <c r="A426" s="14">
        <v>437</v>
      </c>
      <c r="B426" s="77" t="str">
        <f ca="1">VLOOKUP($A426,OFFSET([2]characters!$A$1,0,0,COUNTA([2]characters!$A:$A),MATCH(B$1,[2]characters!$1:$1,0)-MATCH($A$1,[2]characters!$1:$1,0)+1),MATCH(B$1,[2]characters!$1:$1,0)-MATCH($A$1,[2]characters!$1:$1,0)+1,FALSE)</f>
        <v>忘却者 カカシ</v>
      </c>
      <c r="C426" s="77" t="str">
        <f ca="1">VLOOKUP($A426,OFFSET([2]characters!$A$1,0,0,COUNTA([2]characters!$A:$A),MATCH(C$1,[2]characters!$1:$1,0)-MATCH($A$1,[2]characters!$1:$1,0)+1),MATCH(C$1,[2]characters!$1:$1,0)-MATCH($A$1,[2]characters!$1:$1,0)+1,FALSE)</f>
        <v>ガチャ:オズ01</v>
      </c>
      <c r="D426" s="77" t="str">
        <f ca="1">VLOOKUP($A426,OFFSET([2]characters!$A$1,0,0,COUNTA([2]characters!$A:$A),MATCH(D$1,[2]characters!$1:$1,0)-MATCH($A$1,[2]characters!$1:$1,0)+1),MATCH(D$1,[2]characters!$1:$1,0)-MATCH($A$1,[2]characters!$1:$1,0)+1,FALSE)</f>
        <v>執行者</v>
      </c>
      <c r="E426" s="77" t="str">
        <f ca="1">VLOOKUP($A426,OFFSET([2]characters!$A$1,0,0,COUNTA([2]characters!$A:$A),MATCH(E$1,[2]characters!$1:$1,0)-MATCH($A$1,[2]characters!$1:$1,0)+1),MATCH(E$1,[2]characters!$1:$1,0)-MATCH($A$1,[2]characters!$1:$1,0)+1,FALSE)</f>
        <v>格好いい</v>
      </c>
      <c r="F426" s="77" t="str">
        <f ca="1">VLOOKUP($A426,OFFSET([2]characters!$A$1,0,0,COUNTA([2]characters!$A:$A),MATCH(F$1,[2]characters!$1:$1,0)-MATCH($A$1,[2]characters!$1:$1,0)+1),MATCH(F$1,[2]characters!$1:$1,0)-MATCH($A$1,[2]characters!$1:$1,0)+1,FALSE)</f>
        <v>男性</v>
      </c>
      <c r="G426" s="77">
        <f ca="1">VLOOKUP($A426,OFFSET([2]characters!$A$1,0,0,COUNTA([2]characters!$A:$A),MATCH(G$1,[2]characters!$1:$1,0)-MATCH($A$1,[2]characters!$1:$1,0)+1),MATCH(G$1,[2]characters!$1:$1,0)-MATCH($A$1,[2]characters!$1:$1,0)+1,FALSE)</f>
        <v>4</v>
      </c>
      <c r="H426" s="77" t="str">
        <f ca="1">VLOOKUP($A426,OFFSET([2]characters!$A$1,0,0,COUNTA([2]characters!$A:$A),MATCH(H$1,[2]characters!$1:$1,0)-MATCH($A$1,[2]characters!$1:$1,0)+1),MATCH(H$1,[2]characters!$1:$1,0)-MATCH($A$1,[2]characters!$1:$1,0)+1,FALSE)</f>
        <v>PremiumS</v>
      </c>
      <c r="I426" s="77" t="str">
        <f ca="1">VLOOKUP($A426,OFFSET([2]characters!$A$1,0,0,COUNTA([2]characters!$A:$A),MATCH(I$1,[2]characters!$1:$1,0)-MATCH($A$1,[2]characters!$1:$1,0)+1),MATCH(I$1,[2]characters!$1:$1,0)-MATCH($A$1,[2]characters!$1:$1,0)+1,FALSE)</f>
        <v>green</v>
      </c>
      <c r="J426" s="14">
        <f ca="1">VLOOKUP(I426,[2]属性!$A:$E,2,FALSE)</f>
        <v>1.02</v>
      </c>
      <c r="K426" s="14">
        <f ca="1">VLOOKUP(I426,[2]属性!$A:$E,3,FALSE)</f>
        <v>0.98</v>
      </c>
      <c r="L426" s="14">
        <f ca="1">VLOOKUP(I426,[2]属性!$A:$E,4,FALSE)</f>
        <v>1</v>
      </c>
      <c r="M426" s="14">
        <f ca="1">VLOOKUP(I426,[2]属性!$A:$E,5,FALSE)</f>
        <v>1</v>
      </c>
      <c r="N426" s="14">
        <f ca="1">INDEX(コスト!$A$1:$I$20,MATCH(H426,コスト!$A$1:$A$20,FALSE),MATCH(G426,コスト!$A$1:$I$1,FALSE))</f>
        <v>20</v>
      </c>
      <c r="O426" s="14">
        <f ca="1">INDEX(レベル!$A$1:$I$21,MATCH(H426,レベル!$A$1:$A$21,FALSE),MATCH(G426,レベル!$A$1:$I$1,FALSE))</f>
        <v>60</v>
      </c>
      <c r="P426" s="63">
        <f t="shared" ca="1" si="64"/>
        <v>60</v>
      </c>
      <c r="Q426" s="77" t="str">
        <f ca="1">VLOOKUP($A426,OFFSET([2]characters!$A$1,0,0,COUNTA([2]characters!$A:$A),MATCH(Q$1,[2]characters!$1:$1,0)-MATCH($A$1,[2]characters!$1:$1,0)+1),MATCH(Q$1,[2]characters!$1:$1,0)-MATCH($A$1,[2]characters!$1:$1,0)+1,FALSE)</f>
        <v>technical</v>
      </c>
      <c r="R426" s="8" t="str">
        <f ca="1">VLOOKUP(Q426,[2]character_type_i18n!$A:$H,3,FALSE)</f>
        <v>テクニカルタイプ</v>
      </c>
      <c r="S426" s="14">
        <f ca="1">VLOOKUP(Q426,[2]character_type_i18n!$A:$H,4,FALSE)</f>
        <v>0.9</v>
      </c>
      <c r="T426" s="14">
        <f ca="1">VLOOKUP(Q426,[2]character_type_i18n!$A:$H,5,FALSE)</f>
        <v>0.9</v>
      </c>
      <c r="U426" s="14">
        <f ca="1">VLOOKUP(Q426,[2]character_type_i18n!$A:$H,6,FALSE)</f>
        <v>1</v>
      </c>
      <c r="V426" s="14">
        <f ca="1">VLOOKUP(Q426,[2]character_type_i18n!$A:$H,7,FALSE)</f>
        <v>0.9</v>
      </c>
      <c r="W426" s="77" t="str">
        <f ca="1">VLOOKUP($A426,OFFSET([2]characters!$A$1,0,0,COUNTA([2]characters!$A:$A),MATCH(W$1,[2]characters!$1:$1,0)-MATCH($A$1,[2]characters!$1:$1,0)+1),MATCH(W$1,[2]characters!$1:$1,0)-MATCH($A$1,[2]characters!$1:$1,0)+1,FALSE)</f>
        <v>human</v>
      </c>
      <c r="X426" s="8" t="str">
        <f ca="1">VLOOKUP(W426,[2]character_tribe_i18n!$A:$H,3,FALSE)</f>
        <v>ヒューマン</v>
      </c>
      <c r="Y426" s="77" t="str">
        <f ca="1">VLOOKUP($A426,OFFSET([2]characters!$A$1,0,0,COUNTA([2]characters!$A:$A),MATCH(Y$1,[2]characters!$1:$1,0)-MATCH($A$1,[2]characters!$1:$1,0)+1),MATCH(Y$1,[2]characters!$1:$1,0)-MATCH($A$1,[2]characters!$1:$1,0)+1,FALSE)</f>
        <v>machine</v>
      </c>
      <c r="Z426" s="8" t="str">
        <f ca="1">VLOOKUP(Y426,[2]character_tribe_i18n!$A:$H,3,FALSE)</f>
        <v>マシン</v>
      </c>
      <c r="AA426" s="14">
        <f ca="1">VLOOKUP(W426,[2]character_tribe_i18n!$A:$H,4,FALSE)</f>
        <v>0.94</v>
      </c>
      <c r="AB426" s="14">
        <f ca="1">VLOOKUP(W426,[2]character_tribe_i18n!$A:$H,5,FALSE)</f>
        <v>0.99</v>
      </c>
      <c r="AC426" s="14">
        <f ca="1">VLOOKUP(W426,[2]character_tribe_i18n!$A:$H,6,FALSE)</f>
        <v>1</v>
      </c>
      <c r="AD426" s="14">
        <f ca="1">VLOOKUP(W426,[2]character_tribe_i18n!$A:$H,7,FALSE)</f>
        <v>1.07</v>
      </c>
      <c r="AE426" s="12">
        <v>438</v>
      </c>
      <c r="AF426" s="85" t="str">
        <f ca="1">IF(AE426="NULL","",VLOOKUP($AE426,OFFSET([2]characters!$A$1,0,0,COUNTA([2]characters!$A:$A),MATCH(AF$1,[2]characters!$1:$1,0)-MATCH($A$1,[2]characters!$1:$1,0)+1),MATCH(AF$1,[2]characters!$1:$1,0)-MATCH($A$1,[2]characters!$1:$1,0)+1,FALSE))</f>
        <v>記憶の奪還 カカシ</v>
      </c>
      <c r="AG426" s="8">
        <f t="shared" ca="1" si="52"/>
        <v>436</v>
      </c>
      <c r="AH426" s="85" t="str">
        <f ca="1">VLOOKUP($AG426,OFFSET([2]characters!$A$1,0,0,COUNTA([2]characters!$A:$A),MATCH(AH$1,[2]characters!$1:$1,0)-MATCH($A$1,[2]characters!$1:$1,0)+1),MATCH(AH$1,[2]characters!$1:$1,0)-MATCH($A$1,[2]characters!$1:$1,0)+1,FALSE)</f>
        <v>カカシ</v>
      </c>
      <c r="AI426" s="14">
        <f ca="1">IF(AE426="NULL","NULL",VLOOKUP(G426,ビット!$A$2:$B$7,2))</f>
        <v>50000</v>
      </c>
      <c r="AJ426" s="9">
        <v>2</v>
      </c>
      <c r="AK426" s="10" t="str">
        <f t="shared" si="65"/>
        <v>普通</v>
      </c>
      <c r="AL426" s="14" t="str">
        <f ca="1">INDEX(経験値!$A$1:$I$20,MATCH(H426,経験値!$A$1:$A$20,FALSE),MATCH(G426,経験値!$A$1:$I$1,FALSE))</f>
        <v>required_exp_200</v>
      </c>
      <c r="AM426" s="11">
        <f ca="1">VLOOKUP(G426,経験値!$A$27:$B$31,2)</f>
        <v>3400</v>
      </c>
      <c r="AN426" s="21">
        <f ca="1">VLOOKUP(G426,ビット!$G$2:$H$7,2)</f>
        <v>600</v>
      </c>
      <c r="AO426" s="57"/>
      <c r="AP426" s="97">
        <v>550005</v>
      </c>
      <c r="AQ426" s="77" t="e">
        <f ca="1">VLOOKUP($AP426,OFFSET([1]unit_skills!$A$1,0,0,COUNTA([1]unit_skills!$A:$A),MATCH("name",[1]unit_skills!$1:$1,0)-MATCH($AP$1,[1]unit_skills!$1:$1,0)+1),MATCH("name",[1]unit_skills!$1:$1,0)-MATCH($AP$1,[1]unit_skills!$1:$1,0)+1,FALSE)</f>
        <v>#VALUE!</v>
      </c>
      <c r="AR426" s="77" t="e">
        <f ca="1">VLOOKUP($AP426,OFFSET([1]unit_skills!$A$1,0,0,COUNTA([1]unit_skills!$A:$A),MATCH("comment",[1]unit_skills!$1:$1,0)-MATCH($AP$1,[1]unit_skills!$1:$1,0)+1),MATCH("comment",[1]unit_skills!$1:$1,0)-MATCH($AP$1,[1]unit_skills!$1:$1,0)+1,FALSE)</f>
        <v>#VALUE!</v>
      </c>
      <c r="AS426" s="77" t="e">
        <f ca="1">VLOOKUP($AP426,OFFSET([1]unit_skills!$A$1,0,0,COUNTA([1]unit_skills!$A:$A),MATCH(AS$1,[1]unit_skills!$1:$1,0)-MATCH($AP$1,[1]unit_skills!$1:$1,0)+1),MATCH(AS$1,[1]unit_skills!$1:$1,0)-MATCH($AP$1,[1]unit_skills!$1:$1,0)+1,FALSE)</f>
        <v>#VALUE!</v>
      </c>
      <c r="AT426" s="97">
        <v>152008</v>
      </c>
      <c r="AU426" s="77" t="e">
        <f ca="1">VLOOKUP($AT426,OFFSET([1]crash_skills!$A$1,0,0,COUNTA([1]crash_skills!$A:$A),MATCH("name",[1]crash_skills!$1:$1,0)-MATCH($AT$1,[1]crash_skills!$1:$1,0)+1),MATCH("name",[1]crash_skills!$1:$1,0)-MATCH($AT$1,[1]crash_skills!$1:$1,0)+1,FALSE)</f>
        <v>#VALUE!</v>
      </c>
      <c r="AV426" s="77" t="e">
        <f ca="1">VLOOKUP($AT426,OFFSET([1]crash_skills!$A$1,0,0,COUNTA([1]crash_skills!$A:$A),MATCH("comment",[1]crash_skills!$1:$1,0)-MATCH($AT$1,[1]crash_skills!$1:$1,0)+1),MATCH("comment",[1]crash_skills!$1:$1,0)-MATCH($AT$1,[1]crash_skills!$1:$1,0)+1,FALSE)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26" s="77" t="e">
        <f ca="1">VLOOKUP($AT426,OFFSET([1]crash_skills!$A$1,0,0,COUNTA([1]crash_skills!$A:$A),MATCH(AW$1,[1]crash_skills!$1:$1,0)-MATCH($AT$1,[1]crash_skills!$1:$1,0)+1),MATCH(AW$1,[1]crash_skills!$1:$1,0)-MATCH($AT$1,[1]crash_skills!$1:$1,0)+1,FALSE)</f>
        <v>#VALUE!</v>
      </c>
      <c r="AX426" s="81">
        <f ca="1">VLOOKUP($A426,OFFSET([2]characters!$A$1,0,0,COUNTA([2]characters!$A:$A),MATCH(AX$1,[2]characters!$1:$1,0)-MATCH($A$1,[2]characters!$1:$1,0)+1),MATCH(AX$1,[2]characters!$1:$1,0)-MATCH($A$1,[2]characters!$1:$1,0)+1,FALSE)</f>
        <v>3</v>
      </c>
      <c r="AY426" s="139">
        <v>1</v>
      </c>
      <c r="AZ426" s="139">
        <v>1.1000000000000001</v>
      </c>
      <c r="BA426" s="139">
        <v>0</v>
      </c>
      <c r="BB426" s="139">
        <v>1</v>
      </c>
      <c r="BC426" s="14">
        <f ca="1">INDEX('RC6SV'!$A$1:$G$20,MATCH(H426,'RC6SV'!$A$1:$A$20,FALSE),MATCH(G426,'RC6SV'!$A$1:$G$1,FALSE))</f>
        <v>7000</v>
      </c>
      <c r="BD426" s="63">
        <f t="shared" ca="1" si="66"/>
        <v>7000</v>
      </c>
      <c r="BE426" s="14">
        <f t="shared" ca="1" si="53"/>
        <v>5000</v>
      </c>
      <c r="BF426" s="14">
        <f t="shared" ca="1" si="54"/>
        <v>1</v>
      </c>
      <c r="BG426" s="20">
        <f ca="1">IF($BE426&lt;=0,ROUND(BK426*0.5,0), ROUND($BE426*S426*AA426*J426*AY426*0.8*[2]ステータス!$B$2,0))</f>
        <v>1726</v>
      </c>
      <c r="BH426" s="20">
        <f ca="1">IF($BE426&lt;=0,ROUND(BL426*0.5,0), ROUND($BE426*T426*AB426*K426*AZ426*0.8*[2]ステータス!$C$2,0))</f>
        <v>1153</v>
      </c>
      <c r="BI426" s="20">
        <f ca="1">IF($BE426&lt;=0,ROUND(BM426*0.5,0), ROUND($BE426*U426*AC426*L426*BA426*0.8*[2]ステータス!$D$2,0))</f>
        <v>0</v>
      </c>
      <c r="BJ426" s="20">
        <f ca="1">IF($BE426&lt;=0,ROUND(BN426*0.5,0), ROUND($BE426*V426*AD426*M426*BB426*0.8*[2]ステータス!$E$2,0))</f>
        <v>963</v>
      </c>
      <c r="BK426" s="14">
        <f ca="1">ROUND(BD426*S426*AA426*J426*AY426*[2]ステータス!$B$2,0)</f>
        <v>3020</v>
      </c>
      <c r="BL426" s="14">
        <f ca="1">ROUND(BD426*T426*AB426*K426*AZ426*[2]ステータス!$C$2,0)</f>
        <v>2017</v>
      </c>
      <c r="BM426" s="14">
        <f ca="1">ROUND(BD426*U426*AC426*L426*BA426*[2]ステータス!$D$2,0)</f>
        <v>0</v>
      </c>
      <c r="BN426" s="14">
        <f ca="1">ROUND(BD426*V426*AD426*M426*BB426*[2]ステータス!$E$2,0)</f>
        <v>1685</v>
      </c>
      <c r="BO426" s="13">
        <v>0</v>
      </c>
      <c r="BP426" s="13">
        <v>1</v>
      </c>
      <c r="BQ426" s="49" t="s">
        <v>102</v>
      </c>
      <c r="BR426" s="13">
        <f ca="1">VLOOKUP(H426,ghosts_label!$A$2:$B$19,2,FALSE)</f>
        <v>700</v>
      </c>
    </row>
    <row r="427" spans="1:70" ht="21" customHeight="1" x14ac:dyDescent="0.15">
      <c r="A427" s="14">
        <v>438</v>
      </c>
      <c r="B427" s="77" t="str">
        <f ca="1">VLOOKUP($A427,OFFSET([2]characters!$A$1,0,0,COUNTA([2]characters!$A:$A),MATCH(B$1,[2]characters!$1:$1,0)-MATCH($A$1,[2]characters!$1:$1,0)+1),MATCH(B$1,[2]characters!$1:$1,0)-MATCH($A$1,[2]characters!$1:$1,0)+1,FALSE)</f>
        <v>記憶の奪還 カカシ</v>
      </c>
      <c r="C427" s="77" t="str">
        <f ca="1">VLOOKUP($A427,OFFSET([2]characters!$A$1,0,0,COUNTA([2]characters!$A:$A),MATCH(C$1,[2]characters!$1:$1,0)-MATCH($A$1,[2]characters!$1:$1,0)+1),MATCH(C$1,[2]characters!$1:$1,0)-MATCH($A$1,[2]characters!$1:$1,0)+1,FALSE)</f>
        <v>ガチャ:オズ01</v>
      </c>
      <c r="D427" s="77" t="str">
        <f ca="1">VLOOKUP($A427,OFFSET([2]characters!$A$1,0,0,COUNTA([2]characters!$A:$A),MATCH(D$1,[2]characters!$1:$1,0)-MATCH($A$1,[2]characters!$1:$1,0)+1),MATCH(D$1,[2]characters!$1:$1,0)-MATCH($A$1,[2]characters!$1:$1,0)+1,FALSE)</f>
        <v>執行者</v>
      </c>
      <c r="E427" s="77" t="str">
        <f ca="1">VLOOKUP($A427,OFFSET([2]characters!$A$1,0,0,COUNTA([2]characters!$A:$A),MATCH(E$1,[2]characters!$1:$1,0)-MATCH($A$1,[2]characters!$1:$1,0)+1),MATCH(E$1,[2]characters!$1:$1,0)-MATCH($A$1,[2]characters!$1:$1,0)+1,FALSE)</f>
        <v>格好いい</v>
      </c>
      <c r="F427" s="77" t="str">
        <f ca="1">VLOOKUP($A427,OFFSET([2]characters!$A$1,0,0,COUNTA([2]characters!$A:$A),MATCH(F$1,[2]characters!$1:$1,0)-MATCH($A$1,[2]characters!$1:$1,0)+1),MATCH(F$1,[2]characters!$1:$1,0)-MATCH($A$1,[2]characters!$1:$1,0)+1,FALSE)</f>
        <v>男性</v>
      </c>
      <c r="G427" s="77">
        <f ca="1">VLOOKUP($A427,OFFSET([2]characters!$A$1,0,0,COUNTA([2]characters!$A:$A),MATCH(G$1,[2]characters!$1:$1,0)-MATCH($A$1,[2]characters!$1:$1,0)+1),MATCH(G$1,[2]characters!$1:$1,0)-MATCH($A$1,[2]characters!$1:$1,0)+1,FALSE)</f>
        <v>5</v>
      </c>
      <c r="H427" s="77" t="str">
        <f ca="1">VLOOKUP($A427,OFFSET([2]characters!$A$1,0,0,COUNTA([2]characters!$A:$A),MATCH(H$1,[2]characters!$1:$1,0)-MATCH($A$1,[2]characters!$1:$1,0)+1),MATCH(H$1,[2]characters!$1:$1,0)-MATCH($A$1,[2]characters!$1:$1,0)+1,FALSE)</f>
        <v>PremiumS</v>
      </c>
      <c r="I427" s="77" t="str">
        <f ca="1">VLOOKUP($A427,OFFSET([2]characters!$A$1,0,0,COUNTA([2]characters!$A:$A),MATCH(I$1,[2]characters!$1:$1,0)-MATCH($A$1,[2]characters!$1:$1,0)+1),MATCH(I$1,[2]characters!$1:$1,0)-MATCH($A$1,[2]characters!$1:$1,0)+1,FALSE)</f>
        <v>green</v>
      </c>
      <c r="J427" s="14">
        <f ca="1">VLOOKUP(I427,[2]属性!$A:$E,2,FALSE)</f>
        <v>1.02</v>
      </c>
      <c r="K427" s="14">
        <f ca="1">VLOOKUP(I427,[2]属性!$A:$E,3,FALSE)</f>
        <v>0.98</v>
      </c>
      <c r="L427" s="14">
        <f ca="1">VLOOKUP(I427,[2]属性!$A:$E,4,FALSE)</f>
        <v>1</v>
      </c>
      <c r="M427" s="14">
        <f ca="1">VLOOKUP(I427,[2]属性!$A:$E,5,FALSE)</f>
        <v>1</v>
      </c>
      <c r="N427" s="14">
        <f ca="1">INDEX(コスト!$A$1:$I$20,MATCH(H427,コスト!$A$1:$A$20,FALSE),MATCH(G427,コスト!$A$1:$I$1,FALSE))</f>
        <v>30</v>
      </c>
      <c r="O427" s="14">
        <f ca="1">INDEX(レベル!$A$1:$I$21,MATCH(H427,レベル!$A$1:$A$21,FALSE),MATCH(G427,レベル!$A$1:$I$1,FALSE))</f>
        <v>80</v>
      </c>
      <c r="P427" s="63">
        <f t="shared" ca="1" si="64"/>
        <v>75</v>
      </c>
      <c r="Q427" s="77" t="str">
        <f ca="1">VLOOKUP($A427,OFFSET([2]characters!$A$1,0,0,COUNTA([2]characters!$A:$A),MATCH(Q$1,[2]characters!$1:$1,0)-MATCH($A$1,[2]characters!$1:$1,0)+1),MATCH(Q$1,[2]characters!$1:$1,0)-MATCH($A$1,[2]characters!$1:$1,0)+1,FALSE)</f>
        <v>technical</v>
      </c>
      <c r="R427" s="8" t="str">
        <f ca="1">VLOOKUP(Q427,[2]character_type_i18n!$A:$H,3,FALSE)</f>
        <v>テクニカルタイプ</v>
      </c>
      <c r="S427" s="14">
        <f ca="1">VLOOKUP(Q427,[2]character_type_i18n!$A:$H,4,FALSE)</f>
        <v>0.9</v>
      </c>
      <c r="T427" s="14">
        <f ca="1">VLOOKUP(Q427,[2]character_type_i18n!$A:$H,5,FALSE)</f>
        <v>0.9</v>
      </c>
      <c r="U427" s="14">
        <f ca="1">VLOOKUP(Q427,[2]character_type_i18n!$A:$H,6,FALSE)</f>
        <v>1</v>
      </c>
      <c r="V427" s="14">
        <f ca="1">VLOOKUP(Q427,[2]character_type_i18n!$A:$H,7,FALSE)</f>
        <v>0.9</v>
      </c>
      <c r="W427" s="77" t="str">
        <f ca="1">VLOOKUP($A427,OFFSET([2]characters!$A$1,0,0,COUNTA([2]characters!$A:$A),MATCH(W$1,[2]characters!$1:$1,0)-MATCH($A$1,[2]characters!$1:$1,0)+1),MATCH(W$1,[2]characters!$1:$1,0)-MATCH($A$1,[2]characters!$1:$1,0)+1,FALSE)</f>
        <v>human</v>
      </c>
      <c r="X427" s="8" t="str">
        <f ca="1">VLOOKUP(W427,[2]character_tribe_i18n!$A:$H,3,FALSE)</f>
        <v>ヒューマン</v>
      </c>
      <c r="Y427" s="77" t="str">
        <f ca="1">VLOOKUP($A427,OFFSET([2]characters!$A$1,0,0,COUNTA([2]characters!$A:$A),MATCH(Y$1,[2]characters!$1:$1,0)-MATCH($A$1,[2]characters!$1:$1,0)+1),MATCH(Y$1,[2]characters!$1:$1,0)-MATCH($A$1,[2]characters!$1:$1,0)+1,FALSE)</f>
        <v>machine</v>
      </c>
      <c r="Z427" s="8" t="str">
        <f ca="1">VLOOKUP(Y427,[2]character_tribe_i18n!$A:$H,3,FALSE)</f>
        <v>マシン</v>
      </c>
      <c r="AA427" s="14">
        <f ca="1">VLOOKUP(W427,[2]character_tribe_i18n!$A:$H,4,FALSE)</f>
        <v>0.94</v>
      </c>
      <c r="AB427" s="14">
        <f ca="1">VLOOKUP(W427,[2]character_tribe_i18n!$A:$H,5,FALSE)</f>
        <v>0.99</v>
      </c>
      <c r="AC427" s="14">
        <f ca="1">VLOOKUP(W427,[2]character_tribe_i18n!$A:$H,6,FALSE)</f>
        <v>1</v>
      </c>
      <c r="AD427" s="14">
        <f ca="1">VLOOKUP(W427,[2]character_tribe_i18n!$A:$H,7,FALSE)</f>
        <v>1.07</v>
      </c>
      <c r="AE427" s="12" t="s">
        <v>231</v>
      </c>
      <c r="AF427" s="85" t="str">
        <f ca="1">IF(AE427="NULL","",VLOOKUP($AE427,OFFSET([2]characters!$A$1,0,0,COUNTA([2]characters!$A:$A),MATCH(AF$1,[2]characters!$1:$1,0)-MATCH($A$1,[2]characters!$1:$1,0)+1),MATCH(AF$1,[2]characters!$1:$1,0)-MATCH($A$1,[2]characters!$1:$1,0)+1,FALSE))</f>
        <v/>
      </c>
      <c r="AG427" s="8">
        <f t="shared" ca="1" si="52"/>
        <v>436</v>
      </c>
      <c r="AH427" s="85" t="str">
        <f ca="1">VLOOKUP($AG427,OFFSET([2]characters!$A$1,0,0,COUNTA([2]characters!$A:$A),MATCH(AH$1,[2]characters!$1:$1,0)-MATCH($A$1,[2]characters!$1:$1,0)+1),MATCH(AH$1,[2]characters!$1:$1,0)-MATCH($A$1,[2]characters!$1:$1,0)+1,FALSE)</f>
        <v>カカシ</v>
      </c>
      <c r="AI427" s="14" t="str">
        <f>IF(AE427="NULL","NULL",VLOOKUP(G427,ビット!$A$2:$B$7,2))</f>
        <v>NULL</v>
      </c>
      <c r="AJ427" s="9">
        <v>2</v>
      </c>
      <c r="AK427" s="10" t="str">
        <f t="shared" si="65"/>
        <v>普通</v>
      </c>
      <c r="AL427" s="14" t="str">
        <f ca="1">INDEX(経験値!$A$1:$I$20,MATCH(H427,経験値!$A$1:$A$20,FALSE),MATCH(G427,経験値!$A$1:$I$1,FALSE))</f>
        <v>required_exp_200</v>
      </c>
      <c r="AM427" s="11">
        <f ca="1">VLOOKUP(G427,経験値!$A$27:$B$31,2)</f>
        <v>6400</v>
      </c>
      <c r="AN427" s="21">
        <f ca="1">VLOOKUP(G427,ビット!$G$2:$H$7,2)</f>
        <v>900</v>
      </c>
      <c r="AO427" s="57"/>
      <c r="AP427" s="97">
        <v>550006</v>
      </c>
      <c r="AQ427" s="77" t="e">
        <f ca="1">VLOOKUP($AP427,OFFSET([1]unit_skills!$A$1,0,0,COUNTA([1]unit_skills!$A:$A),MATCH("name",[1]unit_skills!$1:$1,0)-MATCH($AP$1,[1]unit_skills!$1:$1,0)+1),MATCH("name",[1]unit_skills!$1:$1,0)-MATCH($AP$1,[1]unit_skills!$1:$1,0)+1,FALSE)</f>
        <v>#VALUE!</v>
      </c>
      <c r="AR427" s="77" t="e">
        <f ca="1">VLOOKUP($AP427,OFFSET([1]unit_skills!$A$1,0,0,COUNTA([1]unit_skills!$A:$A),MATCH("comment",[1]unit_skills!$1:$1,0)-MATCH($AP$1,[1]unit_skills!$1:$1,0)+1),MATCH("comment",[1]unit_skills!$1:$1,0)-MATCH($AP$1,[1]unit_skills!$1:$1,0)+1,FALSE)</f>
        <v>#VALUE!</v>
      </c>
      <c r="AS427" s="77" t="e">
        <f ca="1">VLOOKUP($AP427,OFFSET([1]unit_skills!$A$1,0,0,COUNTA([1]unit_skills!$A:$A),MATCH(AS$1,[1]unit_skills!$1:$1,0)-MATCH($AP$1,[1]unit_skills!$1:$1,0)+1),MATCH(AS$1,[1]unit_skills!$1:$1,0)-MATCH($AP$1,[1]unit_skills!$1:$1,0)+1,FALSE)</f>
        <v>#VALUE!</v>
      </c>
      <c r="AT427" s="97">
        <v>152009</v>
      </c>
      <c r="AU427" s="77" t="e">
        <f ca="1">VLOOKUP($AT427,OFFSET([1]crash_skills!$A$1,0,0,COUNTA([1]crash_skills!$A:$A),MATCH("name",[1]crash_skills!$1:$1,0)-MATCH($AT$1,[1]crash_skills!$1:$1,0)+1),MATCH("name",[1]crash_skills!$1:$1,0)-MATCH($AT$1,[1]crash_skills!$1:$1,0)+1,FALSE)</f>
        <v>#VALUE!</v>
      </c>
      <c r="AV427" s="77" t="e">
        <f ca="1">VLOOKUP($AT427,OFFSET([1]crash_skills!$A$1,0,0,COUNTA([1]crash_skills!$A:$A),MATCH("comment",[1]crash_skills!$1:$1,0)-MATCH($AT$1,[1]crash_skills!$1:$1,0)+1),MATCH("comment",[1]crash_skills!$1:$1,0)-MATCH($AT$1,[1]crash_skills!$1:$1,0)+1,FALSE)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27" s="77" t="e">
        <f ca="1">VLOOKUP($AT427,OFFSET([1]crash_skills!$A$1,0,0,COUNTA([1]crash_skills!$A:$A),MATCH(AW$1,[1]crash_skills!$1:$1,0)-MATCH($AT$1,[1]crash_skills!$1:$1,0)+1),MATCH(AW$1,[1]crash_skills!$1:$1,0)-MATCH($AT$1,[1]crash_skills!$1:$1,0)+1,FALSE)</f>
        <v>#VALUE!</v>
      </c>
      <c r="AX427" s="81">
        <f ca="1">VLOOKUP($A427,OFFSET([2]characters!$A$1,0,0,COUNTA([2]characters!$A:$A),MATCH(AX$1,[2]characters!$1:$1,0)-MATCH($A$1,[2]characters!$1:$1,0)+1),MATCH(AX$1,[2]characters!$1:$1,0)-MATCH($A$1,[2]characters!$1:$1,0)+1,FALSE)</f>
        <v>3</v>
      </c>
      <c r="AY427" s="139">
        <v>1.05</v>
      </c>
      <c r="AZ427" s="139">
        <v>1.1000000000000001</v>
      </c>
      <c r="BA427" s="139">
        <v>0</v>
      </c>
      <c r="BB427" s="139">
        <v>1.02</v>
      </c>
      <c r="BC427" s="14">
        <f ca="1">INDEX('RC6SV'!$A$1:$G$20,MATCH(H427,'RC6SV'!$A$1:$A$20,FALSE),MATCH(G427,'RC6SV'!$A$1:$G$1,FALSE))</f>
        <v>9000</v>
      </c>
      <c r="BD427" s="63">
        <f t="shared" ca="1" si="66"/>
        <v>9000</v>
      </c>
      <c r="BE427" s="14">
        <f t="shared" ca="1" si="53"/>
        <v>7000</v>
      </c>
      <c r="BF427" s="14">
        <f t="shared" ca="1" si="54"/>
        <v>1</v>
      </c>
      <c r="BG427" s="20">
        <f ca="1">IF($BE427&lt;=0,ROUND(BK427*0.5,0), ROUND($BE427*S427*AA427*J427*AY427*0.8*[2]ステータス!$B$2,0))</f>
        <v>2537</v>
      </c>
      <c r="BH427" s="20">
        <f ca="1">IF($BE427&lt;=0,ROUND(BL427*0.5,0), ROUND($BE427*T427*AB427*K427*AZ427*0.8*[2]ステータス!$C$2,0))</f>
        <v>1614</v>
      </c>
      <c r="BI427" s="20">
        <f ca="1">IF($BE427&lt;=0,ROUND(BM427*0.5,0), ROUND($BE427*U427*AC427*L427*BA427*0.8*[2]ステータス!$D$2,0))</f>
        <v>0</v>
      </c>
      <c r="BJ427" s="20">
        <f ca="1">IF($BE427&lt;=0,ROUND(BN427*0.5,0), ROUND($BE427*V427*AD427*M427*BB427*0.8*[2]ステータス!$E$2,0))</f>
        <v>1375</v>
      </c>
      <c r="BK427" s="14">
        <f ca="1">ROUND(BD427*S427*AA427*J427*AY427*[2]ステータス!$B$2,0)</f>
        <v>4077</v>
      </c>
      <c r="BL427" s="14">
        <f ca="1">ROUND(BD427*T427*AB427*K427*AZ427*[2]ステータス!$C$2,0)</f>
        <v>2593</v>
      </c>
      <c r="BM427" s="14">
        <f ca="1">ROUND(BD427*U427*AC427*L427*BA427*[2]ステータス!$D$2,0)</f>
        <v>0</v>
      </c>
      <c r="BN427" s="14">
        <f ca="1">ROUND(BD427*V427*AD427*M427*BB427*[2]ステータス!$E$2,0)</f>
        <v>2210</v>
      </c>
      <c r="BO427" s="13">
        <v>0</v>
      </c>
      <c r="BP427" s="13">
        <v>1</v>
      </c>
      <c r="BQ427" s="49" t="s">
        <v>102</v>
      </c>
      <c r="BR427" s="13">
        <f ca="1">VLOOKUP(H427,ghosts_label!$A$2:$B$19,2,FALSE)</f>
        <v>700</v>
      </c>
    </row>
    <row r="428" spans="1:70" ht="21" customHeight="1" x14ac:dyDescent="0.15">
      <c r="A428" s="14">
        <v>439</v>
      </c>
      <c r="B428" s="77" t="str">
        <f ca="1">VLOOKUP($A428,OFFSET([2]characters!$A$1,0,0,COUNTA([2]characters!$A:$A),MATCH(B$1,[2]characters!$1:$1,0)-MATCH($A$1,[2]characters!$1:$1,0)+1),MATCH(B$1,[2]characters!$1:$1,0)-MATCH($A$1,[2]characters!$1:$1,0)+1,FALSE)</f>
        <v>ブリキロガー</v>
      </c>
      <c r="C428" s="77" t="str">
        <f ca="1">VLOOKUP($A428,OFFSET([2]characters!$A$1,0,0,COUNTA([2]characters!$A:$A),MATCH(C$1,[2]characters!$1:$1,0)-MATCH($A$1,[2]characters!$1:$1,0)+1),MATCH(C$1,[2]characters!$1:$1,0)-MATCH($A$1,[2]characters!$1:$1,0)+1,FALSE)</f>
        <v>ガチャ:オズ01</v>
      </c>
      <c r="D428" s="77" t="str">
        <f ca="1">VLOOKUP($A428,OFFSET([2]characters!$A$1,0,0,COUNTA([2]characters!$A:$A),MATCH(D$1,[2]characters!$1:$1,0)-MATCH($A$1,[2]characters!$1:$1,0)+1),MATCH(D$1,[2]characters!$1:$1,0)-MATCH($A$1,[2]characters!$1:$1,0)+1,FALSE)</f>
        <v>執行者</v>
      </c>
      <c r="E428" s="77" t="str">
        <f ca="1">VLOOKUP($A428,OFFSET([2]characters!$A$1,0,0,COUNTA([2]characters!$A:$A),MATCH(E$1,[2]characters!$1:$1,0)-MATCH($A$1,[2]characters!$1:$1,0)+1),MATCH(E$1,[2]characters!$1:$1,0)-MATCH($A$1,[2]characters!$1:$1,0)+1,FALSE)</f>
        <v>格好いい</v>
      </c>
      <c r="F428" s="77" t="str">
        <f ca="1">VLOOKUP($A428,OFFSET([2]characters!$A$1,0,0,COUNTA([2]characters!$A:$A),MATCH(F$1,[2]characters!$1:$1,0)-MATCH($A$1,[2]characters!$1:$1,0)+1),MATCH(F$1,[2]characters!$1:$1,0)-MATCH($A$1,[2]characters!$1:$1,0)+1,FALSE)</f>
        <v>不明</v>
      </c>
      <c r="G428" s="77">
        <f ca="1">VLOOKUP($A428,OFFSET([2]characters!$A$1,0,0,COUNTA([2]characters!$A:$A),MATCH(G$1,[2]characters!$1:$1,0)-MATCH($A$1,[2]characters!$1:$1,0)+1),MATCH(G$1,[2]characters!$1:$1,0)-MATCH($A$1,[2]characters!$1:$1,0)+1,FALSE)</f>
        <v>3</v>
      </c>
      <c r="H428" s="77" t="str">
        <f ca="1">VLOOKUP($A428,OFFSET([2]characters!$A$1,0,0,COUNTA([2]characters!$A:$A),MATCH(H$1,[2]characters!$1:$1,0)-MATCH($A$1,[2]characters!$1:$1,0)+1),MATCH(H$1,[2]characters!$1:$1,0)-MATCH($A$1,[2]characters!$1:$1,0)+1,FALSE)</f>
        <v>PremiumS</v>
      </c>
      <c r="I428" s="77" t="str">
        <f ca="1">VLOOKUP($A428,OFFSET([2]characters!$A$1,0,0,COUNTA([2]characters!$A:$A),MATCH(I$1,[2]characters!$1:$1,0)-MATCH($A$1,[2]characters!$1:$1,0)+1),MATCH(I$1,[2]characters!$1:$1,0)-MATCH($A$1,[2]characters!$1:$1,0)+1,FALSE)</f>
        <v>blue</v>
      </c>
      <c r="J428" s="14">
        <f ca="1">VLOOKUP(I428,[2]属性!$A:$E,2,FALSE)</f>
        <v>1</v>
      </c>
      <c r="K428" s="14">
        <f ca="1">VLOOKUP(I428,[2]属性!$A:$E,3,FALSE)</f>
        <v>0.98</v>
      </c>
      <c r="L428" s="14">
        <f ca="1">VLOOKUP(I428,[2]属性!$A:$E,4,FALSE)</f>
        <v>1</v>
      </c>
      <c r="M428" s="14">
        <f ca="1">VLOOKUP(I428,[2]属性!$A:$E,5,FALSE)</f>
        <v>1.02</v>
      </c>
      <c r="N428" s="14">
        <f ca="1">INDEX(コスト!$A$1:$I$20,MATCH(H428,コスト!$A$1:$A$20,FALSE),MATCH(G428,コスト!$A$1:$I$1,FALSE))</f>
        <v>10</v>
      </c>
      <c r="O428" s="14">
        <f ca="1">INDEX(レベル!$A$1:$I$21,MATCH(H428,レベル!$A$1:$A$21,FALSE),MATCH(G428,レベル!$A$1:$I$1,FALSE))</f>
        <v>40</v>
      </c>
      <c r="P428" s="63">
        <f t="shared" ca="1" si="64"/>
        <v>45</v>
      </c>
      <c r="Q428" s="77" t="str">
        <f ca="1">VLOOKUP($A428,OFFSET([2]characters!$A$1,0,0,COUNTA([2]characters!$A:$A),MATCH(Q$1,[2]characters!$1:$1,0)-MATCH($A$1,[2]characters!$1:$1,0)+1),MATCH(Q$1,[2]characters!$1:$1,0)-MATCH($A$1,[2]characters!$1:$1,0)+1,FALSE)</f>
        <v>attack</v>
      </c>
      <c r="R428" s="8" t="str">
        <f ca="1">VLOOKUP(Q428,[2]character_type_i18n!$A:$H,3,FALSE)</f>
        <v>攻撃タイプ</v>
      </c>
      <c r="S428" s="14">
        <f ca="1">VLOOKUP(Q428,[2]character_type_i18n!$A:$H,4,FALSE)</f>
        <v>1</v>
      </c>
      <c r="T428" s="14">
        <f ca="1">VLOOKUP(Q428,[2]character_type_i18n!$A:$H,5,FALSE)</f>
        <v>1.33</v>
      </c>
      <c r="U428" s="14">
        <f ca="1">VLOOKUP(Q428,[2]character_type_i18n!$A:$H,6,FALSE)</f>
        <v>1</v>
      </c>
      <c r="V428" s="14">
        <f ca="1">VLOOKUP(Q428,[2]character_type_i18n!$A:$H,7,FALSE)</f>
        <v>0.67</v>
      </c>
      <c r="W428" s="77" t="str">
        <f ca="1">VLOOKUP($A428,OFFSET([2]characters!$A$1,0,0,COUNTA([2]characters!$A:$A),MATCH(W$1,[2]characters!$1:$1,0)-MATCH($A$1,[2]characters!$1:$1,0)+1),MATCH(W$1,[2]characters!$1:$1,0)-MATCH($A$1,[2]characters!$1:$1,0)+1,FALSE)</f>
        <v>machine</v>
      </c>
      <c r="X428" s="8" t="str">
        <f ca="1">VLOOKUP(W428,[2]character_tribe_i18n!$A:$H,3,FALSE)</f>
        <v>マシン</v>
      </c>
      <c r="Y428" s="77" t="str">
        <f ca="1">VLOOKUP($A428,OFFSET([2]characters!$A$1,0,0,COUNTA([2]characters!$A:$A),MATCH(Y$1,[2]characters!$1:$1,0)-MATCH($A$1,[2]characters!$1:$1,0)+1),MATCH(Y$1,[2]characters!$1:$1,0)-MATCH($A$1,[2]characters!$1:$1,0)+1,FALSE)</f>
        <v>none</v>
      </c>
      <c r="Z428" s="8" t="str">
        <f ca="1">VLOOKUP(Y428,[2]character_tribe_i18n!$A:$H,3,FALSE)</f>
        <v>種族なし</v>
      </c>
      <c r="AA428" s="14">
        <f ca="1">VLOOKUP(W428,[2]character_tribe_i18n!$A:$H,4,FALSE)</f>
        <v>1</v>
      </c>
      <c r="AB428" s="14">
        <f ca="1">VLOOKUP(W428,[2]character_tribe_i18n!$A:$H,5,FALSE)</f>
        <v>1</v>
      </c>
      <c r="AC428" s="14">
        <f ca="1">VLOOKUP(W428,[2]character_tribe_i18n!$A:$H,6,FALSE)</f>
        <v>1</v>
      </c>
      <c r="AD428" s="14">
        <f ca="1">VLOOKUP(W428,[2]character_tribe_i18n!$A:$H,7,FALSE)</f>
        <v>1</v>
      </c>
      <c r="AE428" s="12">
        <v>440</v>
      </c>
      <c r="AF428" s="85" t="str">
        <f ca="1">IF(AE428="NULL","",VLOOKUP($AE428,OFFSET([2]characters!$A$1,0,0,COUNTA([2]characters!$A:$A),MATCH(AF$1,[2]characters!$1:$1,0)-MATCH($A$1,[2]characters!$1:$1,0)+1),MATCH(AF$1,[2]characters!$1:$1,0)-MATCH($A$1,[2]characters!$1:$1,0)+1,FALSE))</f>
        <v>改良型 ブリキロガー</v>
      </c>
      <c r="AG428" s="8">
        <f t="shared" ca="1" si="52"/>
        <v>439</v>
      </c>
      <c r="AH428" s="85" t="str">
        <f ca="1">VLOOKUP($AG428,OFFSET([2]characters!$A$1,0,0,COUNTA([2]characters!$A:$A),MATCH(AH$1,[2]characters!$1:$1,0)-MATCH($A$1,[2]characters!$1:$1,0)+1),MATCH(AH$1,[2]characters!$1:$1,0)-MATCH($A$1,[2]characters!$1:$1,0)+1,FALSE)</f>
        <v>ブリキロガー</v>
      </c>
      <c r="AI428" s="14">
        <f ca="1">IF(AE428="NULL","NULL",VLOOKUP(G428,ビット!$A$2:$B$7,2))</f>
        <v>20000</v>
      </c>
      <c r="AJ428" s="9">
        <v>2</v>
      </c>
      <c r="AK428" s="10" t="str">
        <f t="shared" si="65"/>
        <v>普通</v>
      </c>
      <c r="AL428" s="14" t="str">
        <f ca="1">INDEX(経験値!$A$1:$I$20,MATCH(H428,経験値!$A$1:$A$20,FALSE),MATCH(G428,経験値!$A$1:$I$1,FALSE))</f>
        <v>required_exp_200</v>
      </c>
      <c r="AM428" s="11">
        <f ca="1">VLOOKUP(G428,経験値!$A$27:$B$31,2)</f>
        <v>1500</v>
      </c>
      <c r="AN428" s="21">
        <f ca="1">VLOOKUP(G428,ビット!$G$2:$H$7,2)</f>
        <v>300</v>
      </c>
      <c r="AO428" s="57"/>
      <c r="AP428" s="97">
        <v>113009</v>
      </c>
      <c r="AQ428" s="77" t="e">
        <f ca="1">VLOOKUP($AP428,OFFSET([1]unit_skills!$A$1,0,0,COUNTA([1]unit_skills!$A:$A),MATCH("name",[1]unit_skills!$1:$1,0)-MATCH($AP$1,[1]unit_skills!$1:$1,0)+1),MATCH("name",[1]unit_skills!$1:$1,0)-MATCH($AP$1,[1]unit_skills!$1:$1,0)+1,FALSE)</f>
        <v>#VALUE!</v>
      </c>
      <c r="AR428" s="77" t="e">
        <f ca="1">VLOOKUP($AP428,OFFSET([1]unit_skills!$A$1,0,0,COUNTA([1]unit_skills!$A:$A),MATCH("comment",[1]unit_skills!$1:$1,0)-MATCH($AP$1,[1]unit_skills!$1:$1,0)+1),MATCH("comment",[1]unit_skills!$1:$1,0)-MATCH($AP$1,[1]unit_skills!$1:$1,0)+1,FALSE)</f>
        <v>#VALUE!</v>
      </c>
      <c r="AS428" s="77" t="e">
        <f ca="1">VLOOKUP($AP428,OFFSET([1]unit_skills!$A$1,0,0,COUNTA([1]unit_skills!$A:$A),MATCH(AS$1,[1]unit_skills!$1:$1,0)-MATCH($AP$1,[1]unit_skills!$1:$1,0)+1),MATCH(AS$1,[1]unit_skills!$1:$1,0)-MATCH($AP$1,[1]unit_skills!$1:$1,0)+1,FALSE)</f>
        <v>#VALUE!</v>
      </c>
      <c r="AT428" s="97">
        <v>191112</v>
      </c>
      <c r="AU428" s="77" t="e">
        <f ca="1">VLOOKUP($AT428,OFFSET([1]crash_skills!$A$1,0,0,COUNTA([1]crash_skills!$A:$A),MATCH("name",[1]crash_skills!$1:$1,0)-MATCH($AT$1,[1]crash_skills!$1:$1,0)+1),MATCH("name",[1]crash_skills!$1:$1,0)-MATCH($AT$1,[1]crash_skills!$1:$1,0)+1,FALSE)</f>
        <v>#VALUE!</v>
      </c>
      <c r="AV428" s="77" t="e">
        <f ca="1">VLOOKUP($AT428,OFFSET([1]crash_skills!$A$1,0,0,COUNTA([1]crash_skills!$A:$A),MATCH("comment",[1]crash_skills!$1:$1,0)-MATCH($AT$1,[1]crash_skills!$1:$1,0)+1),MATCH("comment",[1]crash_skills!$1:$1,0)-MATCH($AT$1,[1]crash_skills!$1:$1,0)+1,FALSE)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28" s="77" t="e">
        <f ca="1">VLOOKUP($AT428,OFFSET([1]crash_skills!$A$1,0,0,COUNTA([1]crash_skills!$A:$A),MATCH(AW$1,[1]crash_skills!$1:$1,0)-MATCH($AT$1,[1]crash_skills!$1:$1,0)+1),MATCH(AW$1,[1]crash_skills!$1:$1,0)-MATCH($AT$1,[1]crash_skills!$1:$1,0)+1,FALSE)</f>
        <v>#VALUE!</v>
      </c>
      <c r="AX428" s="81">
        <f ca="1">VLOOKUP($A428,OFFSET([2]characters!$A$1,0,0,COUNTA([2]characters!$A:$A),MATCH(AX$1,[2]characters!$1:$1,0)-MATCH($A$1,[2]characters!$1:$1,0)+1),MATCH(AX$1,[2]characters!$1:$1,0)-MATCH($A$1,[2]characters!$1:$1,0)+1,FALSE)</f>
        <v>3</v>
      </c>
      <c r="AY428" s="139">
        <v>1.1000000000000001</v>
      </c>
      <c r="AZ428" s="139">
        <v>1.05</v>
      </c>
      <c r="BA428" s="139">
        <v>0</v>
      </c>
      <c r="BB428" s="139">
        <v>0.7</v>
      </c>
      <c r="BC428" s="14">
        <f ca="1">INDEX('RC6SV'!$A$1:$G$20,MATCH(H428,'RC6SV'!$A$1:$A$20,FALSE),MATCH(G428,'RC6SV'!$A$1:$G$1,FALSE))</f>
        <v>5000</v>
      </c>
      <c r="BD428" s="63">
        <f t="shared" ca="1" si="66"/>
        <v>5000</v>
      </c>
      <c r="BE428" s="14">
        <f t="shared" ca="1" si="53"/>
        <v>0</v>
      </c>
      <c r="BF428" s="14">
        <f t="shared" ca="1" si="54"/>
        <v>1</v>
      </c>
      <c r="BG428" s="20">
        <f ca="1">IF($BE428&lt;=0,ROUND(BK428*0.5,0), ROUND($BE428*S428*AA428*J428*AY428*0.8*[2]ステータス!$B$2,0))</f>
        <v>1375</v>
      </c>
      <c r="BH428" s="20">
        <f ca="1">IF($BE428&lt;=0,ROUND(BL428*0.5,0), ROUND($BE428*T428*AB428*K428*AZ428*0.8*[2]ステータス!$C$2,0))</f>
        <v>1027</v>
      </c>
      <c r="BI428" s="20">
        <f ca="1">IF($BE428&lt;=0,ROUND(BM428*0.5,0), ROUND($BE428*U428*AC428*L428*BA428*0.8*[2]ステータス!$D$2,0))</f>
        <v>0</v>
      </c>
      <c r="BJ428" s="20">
        <f ca="1">IF($BE428&lt;=0,ROUND(BN428*0.5,0), ROUND($BE428*V428*AD428*M428*BB428*0.8*[2]ステータス!$E$2,0))</f>
        <v>299</v>
      </c>
      <c r="BK428" s="14">
        <f ca="1">ROUND(BD428*S428*AA428*J428*AY428*[2]ステータス!$B$2,0)</f>
        <v>2750</v>
      </c>
      <c r="BL428" s="14">
        <f ca="1">ROUND(BD428*T428*AB428*K428*AZ428*[2]ステータス!$C$2,0)</f>
        <v>2053</v>
      </c>
      <c r="BM428" s="14">
        <f ca="1">ROUND(BD428*U428*AC428*L428*BA428*[2]ステータス!$D$2,0)</f>
        <v>0</v>
      </c>
      <c r="BN428" s="14">
        <f ca="1">ROUND(BD428*V428*AD428*M428*BB428*[2]ステータス!$E$2,0)</f>
        <v>598</v>
      </c>
      <c r="BO428" s="13">
        <v>0</v>
      </c>
      <c r="BP428" s="13">
        <v>1</v>
      </c>
      <c r="BQ428" s="49" t="s">
        <v>102</v>
      </c>
      <c r="BR428" s="13">
        <f ca="1">VLOOKUP(H428,ghosts_label!$A$2:$B$19,2,FALSE)</f>
        <v>700</v>
      </c>
    </row>
    <row r="429" spans="1:70" ht="21" customHeight="1" x14ac:dyDescent="0.15">
      <c r="A429" s="14">
        <v>440</v>
      </c>
      <c r="B429" s="77" t="str">
        <f ca="1">VLOOKUP($A429,OFFSET([2]characters!$A$1,0,0,COUNTA([2]characters!$A:$A),MATCH(B$1,[2]characters!$1:$1,0)-MATCH($A$1,[2]characters!$1:$1,0)+1),MATCH(B$1,[2]characters!$1:$1,0)-MATCH($A$1,[2]characters!$1:$1,0)+1,FALSE)</f>
        <v>改良型 ブリキロガー</v>
      </c>
      <c r="C429" s="77" t="str">
        <f ca="1">VLOOKUP($A429,OFFSET([2]characters!$A$1,0,0,COUNTA([2]characters!$A:$A),MATCH(C$1,[2]characters!$1:$1,0)-MATCH($A$1,[2]characters!$1:$1,0)+1),MATCH(C$1,[2]characters!$1:$1,0)-MATCH($A$1,[2]characters!$1:$1,0)+1,FALSE)</f>
        <v>ガチャ:オズ01</v>
      </c>
      <c r="D429" s="77" t="str">
        <f ca="1">VLOOKUP($A429,OFFSET([2]characters!$A$1,0,0,COUNTA([2]characters!$A:$A),MATCH(D$1,[2]characters!$1:$1,0)-MATCH($A$1,[2]characters!$1:$1,0)+1),MATCH(D$1,[2]characters!$1:$1,0)-MATCH($A$1,[2]characters!$1:$1,0)+1,FALSE)</f>
        <v>執行者</v>
      </c>
      <c r="E429" s="77" t="str">
        <f ca="1">VLOOKUP($A429,OFFSET([2]characters!$A$1,0,0,COUNTA([2]characters!$A:$A),MATCH(E$1,[2]characters!$1:$1,0)-MATCH($A$1,[2]characters!$1:$1,0)+1),MATCH(E$1,[2]characters!$1:$1,0)-MATCH($A$1,[2]characters!$1:$1,0)+1,FALSE)</f>
        <v>格好いい</v>
      </c>
      <c r="F429" s="77" t="str">
        <f ca="1">VLOOKUP($A429,OFFSET([2]characters!$A$1,0,0,COUNTA([2]characters!$A:$A),MATCH(F$1,[2]characters!$1:$1,0)-MATCH($A$1,[2]characters!$1:$1,0)+1),MATCH(F$1,[2]characters!$1:$1,0)-MATCH($A$1,[2]characters!$1:$1,0)+1,FALSE)</f>
        <v>不明</v>
      </c>
      <c r="G429" s="77">
        <f ca="1">VLOOKUP($A429,OFFSET([2]characters!$A$1,0,0,COUNTA([2]characters!$A:$A),MATCH(G$1,[2]characters!$1:$1,0)-MATCH($A$1,[2]characters!$1:$1,0)+1),MATCH(G$1,[2]characters!$1:$1,0)-MATCH($A$1,[2]characters!$1:$1,0)+1,FALSE)</f>
        <v>4</v>
      </c>
      <c r="H429" s="77" t="str">
        <f ca="1">VLOOKUP($A429,OFFSET([2]characters!$A$1,0,0,COUNTA([2]characters!$A:$A),MATCH(H$1,[2]characters!$1:$1,0)-MATCH($A$1,[2]characters!$1:$1,0)+1),MATCH(H$1,[2]characters!$1:$1,0)-MATCH($A$1,[2]characters!$1:$1,0)+1,FALSE)</f>
        <v>PremiumS</v>
      </c>
      <c r="I429" s="77" t="str">
        <f ca="1">VLOOKUP($A429,OFFSET([2]characters!$A$1,0,0,COUNTA([2]characters!$A:$A),MATCH(I$1,[2]characters!$1:$1,0)-MATCH($A$1,[2]characters!$1:$1,0)+1),MATCH(I$1,[2]characters!$1:$1,0)-MATCH($A$1,[2]characters!$1:$1,0)+1,FALSE)</f>
        <v>blue</v>
      </c>
      <c r="J429" s="14">
        <f ca="1">VLOOKUP(I429,[2]属性!$A:$E,2,FALSE)</f>
        <v>1</v>
      </c>
      <c r="K429" s="14">
        <f ca="1">VLOOKUP(I429,[2]属性!$A:$E,3,FALSE)</f>
        <v>0.98</v>
      </c>
      <c r="L429" s="14">
        <f ca="1">VLOOKUP(I429,[2]属性!$A:$E,4,FALSE)</f>
        <v>1</v>
      </c>
      <c r="M429" s="14">
        <f ca="1">VLOOKUP(I429,[2]属性!$A:$E,5,FALSE)</f>
        <v>1.02</v>
      </c>
      <c r="N429" s="14">
        <f ca="1">INDEX(コスト!$A$1:$I$20,MATCH(H429,コスト!$A$1:$A$20,FALSE),MATCH(G429,コスト!$A$1:$I$1,FALSE))</f>
        <v>20</v>
      </c>
      <c r="O429" s="14">
        <f ca="1">INDEX(レベル!$A$1:$I$21,MATCH(H429,レベル!$A$1:$A$21,FALSE),MATCH(G429,レベル!$A$1:$I$1,FALSE))</f>
        <v>60</v>
      </c>
      <c r="P429" s="63">
        <f t="shared" ca="1" si="64"/>
        <v>60</v>
      </c>
      <c r="Q429" s="77" t="str">
        <f ca="1">VLOOKUP($A429,OFFSET([2]characters!$A$1,0,0,COUNTA([2]characters!$A:$A),MATCH(Q$1,[2]characters!$1:$1,0)-MATCH($A$1,[2]characters!$1:$1,0)+1),MATCH(Q$1,[2]characters!$1:$1,0)-MATCH($A$1,[2]characters!$1:$1,0)+1,FALSE)</f>
        <v>attack</v>
      </c>
      <c r="R429" s="8" t="str">
        <f ca="1">VLOOKUP(Q429,[2]character_type_i18n!$A:$H,3,FALSE)</f>
        <v>攻撃タイプ</v>
      </c>
      <c r="S429" s="14">
        <f ca="1">VLOOKUP(Q429,[2]character_type_i18n!$A:$H,4,FALSE)</f>
        <v>1</v>
      </c>
      <c r="T429" s="14">
        <f ca="1">VLOOKUP(Q429,[2]character_type_i18n!$A:$H,5,FALSE)</f>
        <v>1.33</v>
      </c>
      <c r="U429" s="14">
        <f ca="1">VLOOKUP(Q429,[2]character_type_i18n!$A:$H,6,FALSE)</f>
        <v>1</v>
      </c>
      <c r="V429" s="14">
        <f ca="1">VLOOKUP(Q429,[2]character_type_i18n!$A:$H,7,FALSE)</f>
        <v>0.67</v>
      </c>
      <c r="W429" s="77" t="str">
        <f ca="1">VLOOKUP($A429,OFFSET([2]characters!$A$1,0,0,COUNTA([2]characters!$A:$A),MATCH(W$1,[2]characters!$1:$1,0)-MATCH($A$1,[2]characters!$1:$1,0)+1),MATCH(W$1,[2]characters!$1:$1,0)-MATCH($A$1,[2]characters!$1:$1,0)+1,FALSE)</f>
        <v>machine</v>
      </c>
      <c r="X429" s="8" t="str">
        <f ca="1">VLOOKUP(W429,[2]character_tribe_i18n!$A:$H,3,FALSE)</f>
        <v>マシン</v>
      </c>
      <c r="Y429" s="77" t="str">
        <f ca="1">VLOOKUP($A429,OFFSET([2]characters!$A$1,0,0,COUNTA([2]characters!$A:$A),MATCH(Y$1,[2]characters!$1:$1,0)-MATCH($A$1,[2]characters!$1:$1,0)+1),MATCH(Y$1,[2]characters!$1:$1,0)-MATCH($A$1,[2]characters!$1:$1,0)+1,FALSE)</f>
        <v>none</v>
      </c>
      <c r="Z429" s="8" t="str">
        <f ca="1">VLOOKUP(Y429,[2]character_tribe_i18n!$A:$H,3,FALSE)</f>
        <v>種族なし</v>
      </c>
      <c r="AA429" s="14">
        <f ca="1">VLOOKUP(W429,[2]character_tribe_i18n!$A:$H,4,FALSE)</f>
        <v>1</v>
      </c>
      <c r="AB429" s="14">
        <f ca="1">VLOOKUP(W429,[2]character_tribe_i18n!$A:$H,5,FALSE)</f>
        <v>1</v>
      </c>
      <c r="AC429" s="14">
        <f ca="1">VLOOKUP(W429,[2]character_tribe_i18n!$A:$H,6,FALSE)</f>
        <v>1</v>
      </c>
      <c r="AD429" s="14">
        <f ca="1">VLOOKUP(W429,[2]character_tribe_i18n!$A:$H,7,FALSE)</f>
        <v>1</v>
      </c>
      <c r="AE429" s="12">
        <v>441</v>
      </c>
      <c r="AF429" s="85" t="str">
        <f ca="1">IF(AE429="NULL","",VLOOKUP($AE429,OFFSET([2]characters!$A$1,0,0,COUNTA([2]characters!$A:$A),MATCH(AF$1,[2]characters!$1:$1,0)-MATCH($A$1,[2]characters!$1:$1,0)+1),MATCH(AF$1,[2]characters!$1:$1,0)-MATCH($A$1,[2]characters!$1:$1,0)+1,FALSE))</f>
        <v>求心の錻装 ブリキロガー</v>
      </c>
      <c r="AG429" s="8">
        <f t="shared" ca="1" si="52"/>
        <v>439</v>
      </c>
      <c r="AH429" s="85" t="str">
        <f ca="1">VLOOKUP($AG429,OFFSET([2]characters!$A$1,0,0,COUNTA([2]characters!$A:$A),MATCH(AH$1,[2]characters!$1:$1,0)-MATCH($A$1,[2]characters!$1:$1,0)+1),MATCH(AH$1,[2]characters!$1:$1,0)-MATCH($A$1,[2]characters!$1:$1,0)+1,FALSE)</f>
        <v>ブリキロガー</v>
      </c>
      <c r="AI429" s="14">
        <f ca="1">IF(AE429="NULL","NULL",VLOOKUP(G429,ビット!$A$2:$B$7,2))</f>
        <v>50000</v>
      </c>
      <c r="AJ429" s="9">
        <v>2</v>
      </c>
      <c r="AK429" s="10" t="str">
        <f t="shared" si="65"/>
        <v>普通</v>
      </c>
      <c r="AL429" s="14" t="str">
        <f ca="1">INDEX(経験値!$A$1:$I$20,MATCH(H429,経験値!$A$1:$A$20,FALSE),MATCH(G429,経験値!$A$1:$I$1,FALSE))</f>
        <v>required_exp_200</v>
      </c>
      <c r="AM429" s="11">
        <f ca="1">VLOOKUP(G429,経験値!$A$27:$B$31,2)</f>
        <v>3400</v>
      </c>
      <c r="AN429" s="21">
        <f ca="1">VLOOKUP(G429,ビット!$G$2:$H$7,2)</f>
        <v>600</v>
      </c>
      <c r="AO429" s="57"/>
      <c r="AP429" s="97">
        <v>113009</v>
      </c>
      <c r="AQ429" s="77" t="e">
        <f ca="1">VLOOKUP($AP429,OFFSET([1]unit_skills!$A$1,0,0,COUNTA([1]unit_skills!$A:$A),MATCH("name",[1]unit_skills!$1:$1,0)-MATCH($AP$1,[1]unit_skills!$1:$1,0)+1),MATCH("name",[1]unit_skills!$1:$1,0)-MATCH($AP$1,[1]unit_skills!$1:$1,0)+1,FALSE)</f>
        <v>#VALUE!</v>
      </c>
      <c r="AR429" s="77" t="e">
        <f ca="1">VLOOKUP($AP429,OFFSET([1]unit_skills!$A$1,0,0,COUNTA([1]unit_skills!$A:$A),MATCH("comment",[1]unit_skills!$1:$1,0)-MATCH($AP$1,[1]unit_skills!$1:$1,0)+1),MATCH("comment",[1]unit_skills!$1:$1,0)-MATCH($AP$1,[1]unit_skills!$1:$1,0)+1,FALSE)</f>
        <v>#VALUE!</v>
      </c>
      <c r="AS429" s="77" t="e">
        <f ca="1">VLOOKUP($AP429,OFFSET([1]unit_skills!$A$1,0,0,COUNTA([1]unit_skills!$A:$A),MATCH(AS$1,[1]unit_skills!$1:$1,0)-MATCH($AP$1,[1]unit_skills!$1:$1,0)+1),MATCH(AS$1,[1]unit_skills!$1:$1,0)-MATCH($AP$1,[1]unit_skills!$1:$1,0)+1,FALSE)</f>
        <v>#VALUE!</v>
      </c>
      <c r="AT429" s="97">
        <v>191112</v>
      </c>
      <c r="AU429" s="77" t="e">
        <f ca="1">VLOOKUP($AT429,OFFSET([1]crash_skills!$A$1,0,0,COUNTA([1]crash_skills!$A:$A),MATCH("name",[1]crash_skills!$1:$1,0)-MATCH($AT$1,[1]crash_skills!$1:$1,0)+1),MATCH("name",[1]crash_skills!$1:$1,0)-MATCH($AT$1,[1]crash_skills!$1:$1,0)+1,FALSE)</f>
        <v>#VALUE!</v>
      </c>
      <c r="AV429" s="77" t="e">
        <f ca="1">VLOOKUP($AT429,OFFSET([1]crash_skills!$A$1,0,0,COUNTA([1]crash_skills!$A:$A),MATCH("comment",[1]crash_skills!$1:$1,0)-MATCH($AT$1,[1]crash_skills!$1:$1,0)+1),MATCH("comment",[1]crash_skills!$1:$1,0)-MATCH($AT$1,[1]crash_skills!$1:$1,0)+1,FALSE)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29" s="77" t="e">
        <f ca="1">VLOOKUP($AT429,OFFSET([1]crash_skills!$A$1,0,0,COUNTA([1]crash_skills!$A:$A),MATCH(AW$1,[1]crash_skills!$1:$1,0)-MATCH($AT$1,[1]crash_skills!$1:$1,0)+1),MATCH(AW$1,[1]crash_skills!$1:$1,0)-MATCH($AT$1,[1]crash_skills!$1:$1,0)+1,FALSE)</f>
        <v>#VALUE!</v>
      </c>
      <c r="AX429" s="81">
        <f ca="1">VLOOKUP($A429,OFFSET([2]characters!$A$1,0,0,COUNTA([2]characters!$A:$A),MATCH(AX$1,[2]characters!$1:$1,0)-MATCH($A$1,[2]characters!$1:$1,0)+1),MATCH(AX$1,[2]characters!$1:$1,0)-MATCH($A$1,[2]characters!$1:$1,0)+1,FALSE)</f>
        <v>3</v>
      </c>
      <c r="AY429" s="139">
        <v>1.1000000000000001</v>
      </c>
      <c r="AZ429" s="139">
        <v>1.05</v>
      </c>
      <c r="BA429" s="139">
        <v>0</v>
      </c>
      <c r="BB429" s="139">
        <v>0.7</v>
      </c>
      <c r="BC429" s="14">
        <f ca="1">INDEX('RC6SV'!$A$1:$G$20,MATCH(H429,'RC6SV'!$A$1:$A$20,FALSE),MATCH(G429,'RC6SV'!$A$1:$G$1,FALSE))</f>
        <v>7000</v>
      </c>
      <c r="BD429" s="63">
        <f t="shared" ca="1" si="66"/>
        <v>7000</v>
      </c>
      <c r="BE429" s="14">
        <f t="shared" ca="1" si="53"/>
        <v>5000</v>
      </c>
      <c r="BF429" s="14">
        <f t="shared" ca="1" si="54"/>
        <v>1</v>
      </c>
      <c r="BG429" s="20">
        <f ca="1">IF($BE429&lt;=0,ROUND(BK429*0.5,0), ROUND($BE429*S429*AA429*J429*AY429*0.8*[2]ステータス!$B$2,0))</f>
        <v>2200</v>
      </c>
      <c r="BH429" s="20">
        <f ca="1">IF($BE429&lt;=0,ROUND(BL429*0.5,0), ROUND($BE429*T429*AB429*K429*AZ429*0.8*[2]ステータス!$C$2,0))</f>
        <v>1642</v>
      </c>
      <c r="BI429" s="20">
        <f ca="1">IF($BE429&lt;=0,ROUND(BM429*0.5,0), ROUND($BE429*U429*AC429*L429*BA429*0.8*[2]ステータス!$D$2,0))</f>
        <v>0</v>
      </c>
      <c r="BJ429" s="20">
        <f ca="1">IF($BE429&lt;=0,ROUND(BN429*0.5,0), ROUND($BE429*V429*AD429*M429*BB429*0.8*[2]ステータス!$E$2,0))</f>
        <v>478</v>
      </c>
      <c r="BK429" s="14">
        <f ca="1">ROUND(BD429*S429*AA429*J429*AY429*[2]ステータス!$B$2,0)</f>
        <v>3850</v>
      </c>
      <c r="BL429" s="14">
        <f ca="1">ROUND(BD429*T429*AB429*K429*AZ429*[2]ステータス!$C$2,0)</f>
        <v>2874</v>
      </c>
      <c r="BM429" s="14">
        <f ca="1">ROUND(BD429*U429*AC429*L429*BA429*[2]ステータス!$D$2,0)</f>
        <v>0</v>
      </c>
      <c r="BN429" s="14">
        <f ca="1">ROUND(BD429*V429*AD429*M429*BB429*[2]ステータス!$E$2,0)</f>
        <v>837</v>
      </c>
      <c r="BO429" s="13">
        <v>0</v>
      </c>
      <c r="BP429" s="13">
        <v>1</v>
      </c>
      <c r="BQ429" s="49" t="s">
        <v>102</v>
      </c>
      <c r="BR429" s="13">
        <f ca="1">VLOOKUP(H429,ghosts_label!$A$2:$B$19,2,FALSE)</f>
        <v>700</v>
      </c>
    </row>
    <row r="430" spans="1:70" ht="21" customHeight="1" x14ac:dyDescent="0.15">
      <c r="A430" s="14">
        <v>441</v>
      </c>
      <c r="B430" s="77" t="str">
        <f ca="1">VLOOKUP($A430,OFFSET([2]characters!$A$1,0,0,COUNTA([2]characters!$A:$A),MATCH(B$1,[2]characters!$1:$1,0)-MATCH($A$1,[2]characters!$1:$1,0)+1),MATCH(B$1,[2]characters!$1:$1,0)-MATCH($A$1,[2]characters!$1:$1,0)+1,FALSE)</f>
        <v>求心の錻装 ブリキロガー</v>
      </c>
      <c r="C430" s="77" t="str">
        <f ca="1">VLOOKUP($A430,OFFSET([2]characters!$A$1,0,0,COUNTA([2]characters!$A:$A),MATCH(C$1,[2]characters!$1:$1,0)-MATCH($A$1,[2]characters!$1:$1,0)+1),MATCH(C$1,[2]characters!$1:$1,0)-MATCH($A$1,[2]characters!$1:$1,0)+1,FALSE)</f>
        <v>ガチャ:オズ01</v>
      </c>
      <c r="D430" s="77" t="str">
        <f ca="1">VLOOKUP($A430,OFFSET([2]characters!$A$1,0,0,COUNTA([2]characters!$A:$A),MATCH(D$1,[2]characters!$1:$1,0)-MATCH($A$1,[2]characters!$1:$1,0)+1),MATCH(D$1,[2]characters!$1:$1,0)-MATCH($A$1,[2]characters!$1:$1,0)+1,FALSE)</f>
        <v>執行者</v>
      </c>
      <c r="E430" s="77" t="str">
        <f ca="1">VLOOKUP($A430,OFFSET([2]characters!$A$1,0,0,COUNTA([2]characters!$A:$A),MATCH(E$1,[2]characters!$1:$1,0)-MATCH($A$1,[2]characters!$1:$1,0)+1),MATCH(E$1,[2]characters!$1:$1,0)-MATCH($A$1,[2]characters!$1:$1,0)+1,FALSE)</f>
        <v>格好いい</v>
      </c>
      <c r="F430" s="77" t="str">
        <f ca="1">VLOOKUP($A430,OFFSET([2]characters!$A$1,0,0,COUNTA([2]characters!$A:$A),MATCH(F$1,[2]characters!$1:$1,0)-MATCH($A$1,[2]characters!$1:$1,0)+1),MATCH(F$1,[2]characters!$1:$1,0)-MATCH($A$1,[2]characters!$1:$1,0)+1,FALSE)</f>
        <v>不明</v>
      </c>
      <c r="G430" s="77">
        <f ca="1">VLOOKUP($A430,OFFSET([2]characters!$A$1,0,0,COUNTA([2]characters!$A:$A),MATCH(G$1,[2]characters!$1:$1,0)-MATCH($A$1,[2]characters!$1:$1,0)+1),MATCH(G$1,[2]characters!$1:$1,0)-MATCH($A$1,[2]characters!$1:$1,0)+1,FALSE)</f>
        <v>5</v>
      </c>
      <c r="H430" s="77" t="str">
        <f ca="1">VLOOKUP($A430,OFFSET([2]characters!$A$1,0,0,COUNTA([2]characters!$A:$A),MATCH(H$1,[2]characters!$1:$1,0)-MATCH($A$1,[2]characters!$1:$1,0)+1),MATCH(H$1,[2]characters!$1:$1,0)-MATCH($A$1,[2]characters!$1:$1,0)+1,FALSE)</f>
        <v>PremiumS</v>
      </c>
      <c r="I430" s="77" t="str">
        <f ca="1">VLOOKUP($A430,OFFSET([2]characters!$A$1,0,0,COUNTA([2]characters!$A:$A),MATCH(I$1,[2]characters!$1:$1,0)-MATCH($A$1,[2]characters!$1:$1,0)+1),MATCH(I$1,[2]characters!$1:$1,0)-MATCH($A$1,[2]characters!$1:$1,0)+1,FALSE)</f>
        <v>blue</v>
      </c>
      <c r="J430" s="14">
        <f ca="1">VLOOKUP(I430,[2]属性!$A:$E,2,FALSE)</f>
        <v>1</v>
      </c>
      <c r="K430" s="14">
        <f ca="1">VLOOKUP(I430,[2]属性!$A:$E,3,FALSE)</f>
        <v>0.98</v>
      </c>
      <c r="L430" s="14">
        <f ca="1">VLOOKUP(I430,[2]属性!$A:$E,4,FALSE)</f>
        <v>1</v>
      </c>
      <c r="M430" s="14">
        <f ca="1">VLOOKUP(I430,[2]属性!$A:$E,5,FALSE)</f>
        <v>1.02</v>
      </c>
      <c r="N430" s="14">
        <f ca="1">INDEX(コスト!$A$1:$I$20,MATCH(H430,コスト!$A$1:$A$20,FALSE),MATCH(G430,コスト!$A$1:$I$1,FALSE))</f>
        <v>30</v>
      </c>
      <c r="O430" s="14">
        <f ca="1">INDEX(レベル!$A$1:$I$21,MATCH(H430,レベル!$A$1:$A$21,FALSE),MATCH(G430,レベル!$A$1:$I$1,FALSE))</f>
        <v>80</v>
      </c>
      <c r="P430" s="63">
        <f t="shared" ca="1" si="64"/>
        <v>75</v>
      </c>
      <c r="Q430" s="77" t="str">
        <f ca="1">VLOOKUP($A430,OFFSET([2]characters!$A$1,0,0,COUNTA([2]characters!$A:$A),MATCH(Q$1,[2]characters!$1:$1,0)-MATCH($A$1,[2]characters!$1:$1,0)+1),MATCH(Q$1,[2]characters!$1:$1,0)-MATCH($A$1,[2]characters!$1:$1,0)+1,FALSE)</f>
        <v>attack</v>
      </c>
      <c r="R430" s="8" t="str">
        <f ca="1">VLOOKUP(Q430,[2]character_type_i18n!$A:$H,3,FALSE)</f>
        <v>攻撃タイプ</v>
      </c>
      <c r="S430" s="14">
        <f ca="1">VLOOKUP(Q430,[2]character_type_i18n!$A:$H,4,FALSE)</f>
        <v>1</v>
      </c>
      <c r="T430" s="14">
        <f ca="1">VLOOKUP(Q430,[2]character_type_i18n!$A:$H,5,FALSE)</f>
        <v>1.33</v>
      </c>
      <c r="U430" s="14">
        <f ca="1">VLOOKUP(Q430,[2]character_type_i18n!$A:$H,6,FALSE)</f>
        <v>1</v>
      </c>
      <c r="V430" s="14">
        <f ca="1">VLOOKUP(Q430,[2]character_type_i18n!$A:$H,7,FALSE)</f>
        <v>0.67</v>
      </c>
      <c r="W430" s="77" t="str">
        <f ca="1">VLOOKUP($A430,OFFSET([2]characters!$A$1,0,0,COUNTA([2]characters!$A:$A),MATCH(W$1,[2]characters!$1:$1,0)-MATCH($A$1,[2]characters!$1:$1,0)+1),MATCH(W$1,[2]characters!$1:$1,0)-MATCH($A$1,[2]characters!$1:$1,0)+1,FALSE)</f>
        <v>machine</v>
      </c>
      <c r="X430" s="8" t="str">
        <f ca="1">VLOOKUP(W430,[2]character_tribe_i18n!$A:$H,3,FALSE)</f>
        <v>マシン</v>
      </c>
      <c r="Y430" s="77" t="str">
        <f ca="1">VLOOKUP($A430,OFFSET([2]characters!$A$1,0,0,COUNTA([2]characters!$A:$A),MATCH(Y$1,[2]characters!$1:$1,0)-MATCH($A$1,[2]characters!$1:$1,0)+1),MATCH(Y$1,[2]characters!$1:$1,0)-MATCH($A$1,[2]characters!$1:$1,0)+1,FALSE)</f>
        <v>none</v>
      </c>
      <c r="Z430" s="8" t="str">
        <f ca="1">VLOOKUP(Y430,[2]character_tribe_i18n!$A:$H,3,FALSE)</f>
        <v>種族なし</v>
      </c>
      <c r="AA430" s="14">
        <f ca="1">VLOOKUP(W430,[2]character_tribe_i18n!$A:$H,4,FALSE)</f>
        <v>1</v>
      </c>
      <c r="AB430" s="14">
        <f ca="1">VLOOKUP(W430,[2]character_tribe_i18n!$A:$H,5,FALSE)</f>
        <v>1</v>
      </c>
      <c r="AC430" s="14">
        <f ca="1">VLOOKUP(W430,[2]character_tribe_i18n!$A:$H,6,FALSE)</f>
        <v>1</v>
      </c>
      <c r="AD430" s="14">
        <f ca="1">VLOOKUP(W430,[2]character_tribe_i18n!$A:$H,7,FALSE)</f>
        <v>1</v>
      </c>
      <c r="AE430" s="12" t="s">
        <v>231</v>
      </c>
      <c r="AF430" s="85" t="str">
        <f ca="1">IF(AE430="NULL","",VLOOKUP($AE430,OFFSET([2]characters!$A$1,0,0,COUNTA([2]characters!$A:$A),MATCH(AF$1,[2]characters!$1:$1,0)-MATCH($A$1,[2]characters!$1:$1,0)+1),MATCH(AF$1,[2]characters!$1:$1,0)-MATCH($A$1,[2]characters!$1:$1,0)+1,FALSE))</f>
        <v/>
      </c>
      <c r="AG430" s="8">
        <f t="shared" ca="1" si="52"/>
        <v>439</v>
      </c>
      <c r="AH430" s="85" t="str">
        <f ca="1">VLOOKUP($AG430,OFFSET([2]characters!$A$1,0,0,COUNTA([2]characters!$A:$A),MATCH(AH$1,[2]characters!$1:$1,0)-MATCH($A$1,[2]characters!$1:$1,0)+1),MATCH(AH$1,[2]characters!$1:$1,0)-MATCH($A$1,[2]characters!$1:$1,0)+1,FALSE)</f>
        <v>ブリキロガー</v>
      </c>
      <c r="AI430" s="14" t="str">
        <f>IF(AE430="NULL","NULL",VLOOKUP(G430,ビット!$A$2:$B$7,2))</f>
        <v>NULL</v>
      </c>
      <c r="AJ430" s="9">
        <v>2</v>
      </c>
      <c r="AK430" s="10" t="str">
        <f t="shared" si="65"/>
        <v>普通</v>
      </c>
      <c r="AL430" s="14" t="str">
        <f ca="1">INDEX(経験値!$A$1:$I$20,MATCH(H430,経験値!$A$1:$A$20,FALSE),MATCH(G430,経験値!$A$1:$I$1,FALSE))</f>
        <v>required_exp_200</v>
      </c>
      <c r="AM430" s="11">
        <f ca="1">VLOOKUP(G430,経験値!$A$27:$B$31,2)</f>
        <v>6400</v>
      </c>
      <c r="AN430" s="21">
        <f ca="1">VLOOKUP(G430,ビット!$G$2:$H$7,2)</f>
        <v>900</v>
      </c>
      <c r="AO430" s="57"/>
      <c r="AP430" s="97">
        <v>113008</v>
      </c>
      <c r="AQ430" s="77" t="e">
        <f ca="1">VLOOKUP($AP430,OFFSET([1]unit_skills!$A$1,0,0,COUNTA([1]unit_skills!$A:$A),MATCH("name",[1]unit_skills!$1:$1,0)-MATCH($AP$1,[1]unit_skills!$1:$1,0)+1),MATCH("name",[1]unit_skills!$1:$1,0)-MATCH($AP$1,[1]unit_skills!$1:$1,0)+1,FALSE)</f>
        <v>#VALUE!</v>
      </c>
      <c r="AR430" s="77" t="e">
        <f ca="1">VLOOKUP($AP430,OFFSET([1]unit_skills!$A$1,0,0,COUNTA([1]unit_skills!$A:$A),MATCH("comment",[1]unit_skills!$1:$1,0)-MATCH($AP$1,[1]unit_skills!$1:$1,0)+1),MATCH("comment",[1]unit_skills!$1:$1,0)-MATCH($AP$1,[1]unit_skills!$1:$1,0)+1,FALSE)</f>
        <v>#VALUE!</v>
      </c>
      <c r="AS430" s="77" t="e">
        <f ca="1">VLOOKUP($AP430,OFFSET([1]unit_skills!$A$1,0,0,COUNTA([1]unit_skills!$A:$A),MATCH(AS$1,[1]unit_skills!$1:$1,0)-MATCH($AP$1,[1]unit_skills!$1:$1,0)+1),MATCH(AS$1,[1]unit_skills!$1:$1,0)-MATCH($AP$1,[1]unit_skills!$1:$1,0)+1,FALSE)</f>
        <v>#VALUE!</v>
      </c>
      <c r="AT430" s="97">
        <v>191112</v>
      </c>
      <c r="AU430" s="77" t="e">
        <f ca="1">VLOOKUP($AT430,OFFSET([1]crash_skills!$A$1,0,0,COUNTA([1]crash_skills!$A:$A),MATCH("name",[1]crash_skills!$1:$1,0)-MATCH($AT$1,[1]crash_skills!$1:$1,0)+1),MATCH("name",[1]crash_skills!$1:$1,0)-MATCH($AT$1,[1]crash_skills!$1:$1,0)+1,FALSE)</f>
        <v>#VALUE!</v>
      </c>
      <c r="AV430" s="77" t="e">
        <f ca="1">VLOOKUP($AT430,OFFSET([1]crash_skills!$A$1,0,0,COUNTA([1]crash_skills!$A:$A),MATCH("comment",[1]crash_skills!$1:$1,0)-MATCH($AT$1,[1]crash_skills!$1:$1,0)+1),MATCH("comment",[1]crash_skills!$1:$1,0)-MATCH($AT$1,[1]crash_skills!$1:$1,0)+1,FALSE)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30" s="77" t="e">
        <f ca="1">VLOOKUP($AT430,OFFSET([1]crash_skills!$A$1,0,0,COUNTA([1]crash_skills!$A:$A),MATCH(AW$1,[1]crash_skills!$1:$1,0)-MATCH($AT$1,[1]crash_skills!$1:$1,0)+1),MATCH(AW$1,[1]crash_skills!$1:$1,0)-MATCH($AT$1,[1]crash_skills!$1:$1,0)+1,FALSE)</f>
        <v>#VALUE!</v>
      </c>
      <c r="AX430" s="81">
        <f ca="1">VLOOKUP($A430,OFFSET([2]characters!$A$1,0,0,COUNTA([2]characters!$A:$A),MATCH(AX$1,[2]characters!$1:$1,0)-MATCH($A$1,[2]characters!$1:$1,0)+1),MATCH(AX$1,[2]characters!$1:$1,0)-MATCH($A$1,[2]characters!$1:$1,0)+1,FALSE)</f>
        <v>3</v>
      </c>
      <c r="AY430" s="139">
        <v>1.1000000000000001</v>
      </c>
      <c r="AZ430" s="139">
        <v>1</v>
      </c>
      <c r="BA430" s="139">
        <v>0</v>
      </c>
      <c r="BB430" s="139">
        <v>0.7</v>
      </c>
      <c r="BC430" s="14">
        <f ca="1">INDEX('RC6SV'!$A$1:$G$20,MATCH(H430,'RC6SV'!$A$1:$A$20,FALSE),MATCH(G430,'RC6SV'!$A$1:$G$1,FALSE))</f>
        <v>9000</v>
      </c>
      <c r="BD430" s="63">
        <f t="shared" ca="1" si="66"/>
        <v>9000</v>
      </c>
      <c r="BE430" s="14">
        <f t="shared" ca="1" si="53"/>
        <v>7000</v>
      </c>
      <c r="BF430" s="14">
        <f t="shared" ca="1" si="54"/>
        <v>1</v>
      </c>
      <c r="BG430" s="20">
        <f ca="1">IF($BE430&lt;=0,ROUND(BK430*0.5,0), ROUND($BE430*S430*AA430*J430*AY430*0.8*[2]ステータス!$B$2,0))</f>
        <v>3080</v>
      </c>
      <c r="BH430" s="20">
        <f ca="1">IF($BE430&lt;=0,ROUND(BL430*0.5,0), ROUND($BE430*T430*AB430*K430*AZ430*0.8*[2]ステータス!$C$2,0))</f>
        <v>2190</v>
      </c>
      <c r="BI430" s="20">
        <f ca="1">IF($BE430&lt;=0,ROUND(BM430*0.5,0), ROUND($BE430*U430*AC430*L430*BA430*0.8*[2]ステータス!$D$2,0))</f>
        <v>0</v>
      </c>
      <c r="BJ430" s="20">
        <f ca="1">IF($BE430&lt;=0,ROUND(BN430*0.5,0), ROUND($BE430*V430*AD430*M430*BB430*0.8*[2]ステータス!$E$2,0))</f>
        <v>670</v>
      </c>
      <c r="BK430" s="14">
        <f ca="1">ROUND(BD430*S430*AA430*J430*AY430*[2]ステータス!$B$2,0)</f>
        <v>4950</v>
      </c>
      <c r="BL430" s="14">
        <f ca="1">ROUND(BD430*T430*AB430*K430*AZ430*[2]ステータス!$C$2,0)</f>
        <v>3519</v>
      </c>
      <c r="BM430" s="14">
        <f ca="1">ROUND(BD430*U430*AC430*L430*BA430*[2]ステータス!$D$2,0)</f>
        <v>0</v>
      </c>
      <c r="BN430" s="14">
        <f ca="1">ROUND(BD430*V430*AD430*M430*BB430*[2]ステータス!$E$2,0)</f>
        <v>1076</v>
      </c>
      <c r="BO430" s="13">
        <v>0</v>
      </c>
      <c r="BP430" s="13">
        <v>1</v>
      </c>
      <c r="BQ430" s="49" t="s">
        <v>102</v>
      </c>
      <c r="BR430" s="13">
        <f ca="1">VLOOKUP(H430,ghosts_label!$A$2:$B$19,2,FALSE)</f>
        <v>700</v>
      </c>
    </row>
    <row r="431" spans="1:70" ht="21" customHeight="1" x14ac:dyDescent="0.15">
      <c r="A431" s="14">
        <v>442</v>
      </c>
      <c r="B431" s="77" t="str">
        <f ca="1">VLOOKUP($A431,OFFSET([2]characters!$A$1,0,0,COUNTA([2]characters!$A:$A),MATCH(B$1,[2]characters!$1:$1,0)-MATCH($A$1,[2]characters!$1:$1,0)+1),MATCH(B$1,[2]characters!$1:$1,0)-MATCH($A$1,[2]characters!$1:$1,0)+1,FALSE)</f>
        <v>ブレイブリー・ライオン</v>
      </c>
      <c r="C431" s="77" t="str">
        <f ca="1">VLOOKUP($A431,OFFSET([2]characters!$A$1,0,0,COUNTA([2]characters!$A:$A),MATCH(C$1,[2]characters!$1:$1,0)-MATCH($A$1,[2]characters!$1:$1,0)+1),MATCH(C$1,[2]characters!$1:$1,0)-MATCH($A$1,[2]characters!$1:$1,0)+1,FALSE)</f>
        <v>ガチャ:オズ01</v>
      </c>
      <c r="D431" s="77" t="str">
        <f ca="1">VLOOKUP($A431,OFFSET([2]characters!$A$1,0,0,COUNTA([2]characters!$A:$A),MATCH(D$1,[2]characters!$1:$1,0)-MATCH($A$1,[2]characters!$1:$1,0)+1),MATCH(D$1,[2]characters!$1:$1,0)-MATCH($A$1,[2]characters!$1:$1,0)+1,FALSE)</f>
        <v>執行者</v>
      </c>
      <c r="E431" s="77" t="str">
        <f ca="1">VLOOKUP($A431,OFFSET([2]characters!$A$1,0,0,COUNTA([2]characters!$A:$A),MATCH(E$1,[2]characters!$1:$1,0)-MATCH($A$1,[2]characters!$1:$1,0)+1),MATCH(E$1,[2]characters!$1:$1,0)-MATCH($A$1,[2]characters!$1:$1,0)+1,FALSE)</f>
        <v>格好いい</v>
      </c>
      <c r="F431" s="77" t="str">
        <f ca="1">VLOOKUP($A431,OFFSET([2]characters!$A$1,0,0,COUNTA([2]characters!$A:$A),MATCH(F$1,[2]characters!$1:$1,0)-MATCH($A$1,[2]characters!$1:$1,0)+1),MATCH(F$1,[2]characters!$1:$1,0)-MATCH($A$1,[2]characters!$1:$1,0)+1,FALSE)</f>
        <v>不明</v>
      </c>
      <c r="G431" s="77">
        <f ca="1">VLOOKUP($A431,OFFSET([2]characters!$A$1,0,0,COUNTA([2]characters!$A:$A),MATCH(G$1,[2]characters!$1:$1,0)-MATCH($A$1,[2]characters!$1:$1,0)+1),MATCH(G$1,[2]characters!$1:$1,0)-MATCH($A$1,[2]characters!$1:$1,0)+1,FALSE)</f>
        <v>4</v>
      </c>
      <c r="H431" s="77" t="str">
        <f ca="1">VLOOKUP($A431,OFFSET([2]characters!$A$1,0,0,COUNTA([2]characters!$A:$A),MATCH(H$1,[2]characters!$1:$1,0)-MATCH($A$1,[2]characters!$1:$1,0)+1),MATCH(H$1,[2]characters!$1:$1,0)-MATCH($A$1,[2]characters!$1:$1,0)+1,FALSE)</f>
        <v>PremiumSS</v>
      </c>
      <c r="I431" s="77" t="str">
        <f ca="1">VLOOKUP($A431,OFFSET([2]characters!$A$1,0,0,COUNTA([2]characters!$A:$A),MATCH(I$1,[2]characters!$1:$1,0)-MATCH($A$1,[2]characters!$1:$1,0)+1),MATCH(I$1,[2]characters!$1:$1,0)-MATCH($A$1,[2]characters!$1:$1,0)+1,FALSE)</f>
        <v>yellow</v>
      </c>
      <c r="J431" s="14">
        <f ca="1">VLOOKUP(I431,[2]属性!$A:$E,2,FALSE)</f>
        <v>0.98</v>
      </c>
      <c r="K431" s="14">
        <f ca="1">VLOOKUP(I431,[2]属性!$A:$E,3,FALSE)</f>
        <v>1.01</v>
      </c>
      <c r="L431" s="14">
        <f ca="1">VLOOKUP(I431,[2]属性!$A:$E,4,FALSE)</f>
        <v>1</v>
      </c>
      <c r="M431" s="14">
        <f ca="1">VLOOKUP(I431,[2]属性!$A:$E,5,FALSE)</f>
        <v>1.01</v>
      </c>
      <c r="N431" s="14">
        <f ca="1">INDEX(コスト!$A$1:$I$20,MATCH(H431,コスト!$A$1:$A$20,FALSE),MATCH(G431,コスト!$A$1:$I$1,FALSE))</f>
        <v>25</v>
      </c>
      <c r="O431" s="14">
        <f ca="1">INDEX(レベル!$A$1:$I$21,MATCH(H431,レベル!$A$1:$A$21,FALSE),MATCH(G431,レベル!$A$1:$I$1,FALSE))</f>
        <v>60</v>
      </c>
      <c r="P431" s="63">
        <f t="shared" ca="1" si="64"/>
        <v>60</v>
      </c>
      <c r="Q431" s="77" t="str">
        <f ca="1">VLOOKUP($A431,OFFSET([2]characters!$A$1,0,0,COUNTA([2]characters!$A:$A),MATCH(Q$1,[2]characters!$1:$1,0)-MATCH($A$1,[2]characters!$1:$1,0)+1),MATCH(Q$1,[2]characters!$1:$1,0)-MATCH($A$1,[2]characters!$1:$1,0)+1,FALSE)</f>
        <v>hp</v>
      </c>
      <c r="R431" s="8" t="str">
        <f ca="1">VLOOKUP(Q431,[2]character_type_i18n!$A:$H,3,FALSE)</f>
        <v>体力タイプ</v>
      </c>
      <c r="S431" s="14">
        <f ca="1">VLOOKUP(Q431,[2]character_type_i18n!$A:$H,4,FALSE)</f>
        <v>1.45</v>
      </c>
      <c r="T431" s="14">
        <f ca="1">VLOOKUP(Q431,[2]character_type_i18n!$A:$H,5,FALSE)</f>
        <v>0.85</v>
      </c>
      <c r="U431" s="14">
        <f ca="1">VLOOKUP(Q431,[2]character_type_i18n!$A:$H,6,FALSE)</f>
        <v>1</v>
      </c>
      <c r="V431" s="14">
        <f ca="1">VLOOKUP(Q431,[2]character_type_i18n!$A:$H,7,FALSE)</f>
        <v>0.7</v>
      </c>
      <c r="W431" s="77" t="str">
        <f ca="1">VLOOKUP($A431,OFFSET([2]characters!$A$1,0,0,COUNTA([2]characters!$A:$A),MATCH(W$1,[2]characters!$1:$1,0)-MATCH($A$1,[2]characters!$1:$1,0)+1),MATCH(W$1,[2]characters!$1:$1,0)-MATCH($A$1,[2]characters!$1:$1,0)+1,FALSE)</f>
        <v>animal</v>
      </c>
      <c r="X431" s="8" t="str">
        <f ca="1">VLOOKUP(W431,[2]character_tribe_i18n!$A:$H,3,FALSE)</f>
        <v>アニマル</v>
      </c>
      <c r="Y431" s="77" t="str">
        <f ca="1">VLOOKUP($A431,OFFSET([2]characters!$A$1,0,0,COUNTA([2]characters!$A:$A),MATCH(Y$1,[2]characters!$1:$1,0)-MATCH($A$1,[2]characters!$1:$1,0)+1),MATCH(Y$1,[2]characters!$1:$1,0)-MATCH($A$1,[2]characters!$1:$1,0)+1,FALSE)</f>
        <v>none</v>
      </c>
      <c r="Z431" s="8" t="str">
        <f ca="1">VLOOKUP(Y431,[2]character_tribe_i18n!$A:$H,3,FALSE)</f>
        <v>種族なし</v>
      </c>
      <c r="AA431" s="14">
        <f ca="1">VLOOKUP(W431,[2]character_tribe_i18n!$A:$H,4,FALSE)</f>
        <v>1</v>
      </c>
      <c r="AB431" s="14">
        <f ca="1">VLOOKUP(W431,[2]character_tribe_i18n!$A:$H,5,FALSE)</f>
        <v>1.1000000000000001</v>
      </c>
      <c r="AC431" s="14">
        <f ca="1">VLOOKUP(W431,[2]character_tribe_i18n!$A:$H,6,FALSE)</f>
        <v>1</v>
      </c>
      <c r="AD431" s="14">
        <f ca="1">VLOOKUP(W431,[2]character_tribe_i18n!$A:$H,7,FALSE)</f>
        <v>0.9</v>
      </c>
      <c r="AE431" s="12">
        <v>443</v>
      </c>
      <c r="AF431" s="85" t="str">
        <f ca="1">IF(AE431="NULL","",VLOOKUP($AE431,OFFSET([2]characters!$A$1,0,0,COUNTA([2]characters!$A:$A),MATCH(AF$1,[2]characters!$1:$1,0)-MATCH($A$1,[2]characters!$1:$1,0)+1),MATCH(AF$1,[2]characters!$1:$1,0)-MATCH($A$1,[2]characters!$1:$1,0)+1,FALSE))</f>
        <v>勇機結集 ブレイブリー・ライオン</v>
      </c>
      <c r="AG431" s="8">
        <f t="shared" ca="1" si="52"/>
        <v>442</v>
      </c>
      <c r="AH431" s="85" t="str">
        <f ca="1">VLOOKUP($AG431,OFFSET([2]characters!$A$1,0,0,COUNTA([2]characters!$A:$A),MATCH(AH$1,[2]characters!$1:$1,0)-MATCH($A$1,[2]characters!$1:$1,0)+1),MATCH(AH$1,[2]characters!$1:$1,0)-MATCH($A$1,[2]characters!$1:$1,0)+1,FALSE)</f>
        <v>ブレイブリー・ライオン</v>
      </c>
      <c r="AI431" s="14">
        <f ca="1">IF(AE431="NULL","NULL",VLOOKUP(G431,ビット!$A$2:$B$7,2))</f>
        <v>50000</v>
      </c>
      <c r="AJ431" s="9">
        <v>2</v>
      </c>
      <c r="AK431" s="10" t="str">
        <f t="shared" si="65"/>
        <v>普通</v>
      </c>
      <c r="AL431" s="14" t="str">
        <f ca="1">INDEX(経験値!$A$1:$I$20,MATCH(H431,経験値!$A$1:$A$20,FALSE),MATCH(G431,経験値!$A$1:$I$1,FALSE))</f>
        <v>required_exp_200</v>
      </c>
      <c r="AM431" s="11">
        <f ca="1">VLOOKUP(G431,経験値!$A$27:$B$31,2)</f>
        <v>3400</v>
      </c>
      <c r="AN431" s="21">
        <f ca="1">VLOOKUP(G431,ビット!$G$2:$H$7,2)</f>
        <v>600</v>
      </c>
      <c r="AO431" s="57"/>
      <c r="AP431" s="97">
        <v>314029</v>
      </c>
      <c r="AQ431" s="77" t="e">
        <f ca="1">VLOOKUP($AP431,OFFSET([1]unit_skills!$A$1,0,0,COUNTA([1]unit_skills!$A:$A),MATCH("name",[1]unit_skills!$1:$1,0)-MATCH($AP$1,[1]unit_skills!$1:$1,0)+1),MATCH("name",[1]unit_skills!$1:$1,0)-MATCH($AP$1,[1]unit_skills!$1:$1,0)+1,FALSE)</f>
        <v>#VALUE!</v>
      </c>
      <c r="AR431" s="77" t="e">
        <f ca="1">VLOOKUP($AP431,OFFSET([1]unit_skills!$A$1,0,0,COUNTA([1]unit_skills!$A:$A),MATCH("comment",[1]unit_skills!$1:$1,0)-MATCH($AP$1,[1]unit_skills!$1:$1,0)+1),MATCH("comment",[1]unit_skills!$1:$1,0)-MATCH($AP$1,[1]unit_skills!$1:$1,0)+1,FALSE)</f>
        <v>#VALUE!</v>
      </c>
      <c r="AS431" s="77" t="e">
        <f ca="1">VLOOKUP($AP431,OFFSET([1]unit_skills!$A$1,0,0,COUNTA([1]unit_skills!$A:$A),MATCH(AS$1,[1]unit_skills!$1:$1,0)-MATCH($AP$1,[1]unit_skills!$1:$1,0)+1),MATCH(AS$1,[1]unit_skills!$1:$1,0)-MATCH($AP$1,[1]unit_skills!$1:$1,0)+1,FALSE)</f>
        <v>#VALUE!</v>
      </c>
      <c r="AT431" s="97">
        <v>184108</v>
      </c>
      <c r="AU431" s="77" t="e">
        <f ca="1">VLOOKUP($AT431,OFFSET([1]crash_skills!$A$1,0,0,COUNTA([1]crash_skills!$A:$A),MATCH("name",[1]crash_skills!$1:$1,0)-MATCH($AT$1,[1]crash_skills!$1:$1,0)+1),MATCH("name",[1]crash_skills!$1:$1,0)-MATCH($AT$1,[1]crash_skills!$1:$1,0)+1,FALSE)</f>
        <v>#VALUE!</v>
      </c>
      <c r="AV431" s="77" t="e">
        <f ca="1">VLOOKUP($AT431,OFFSET([1]crash_skills!$A$1,0,0,COUNTA([1]crash_skills!$A:$A),MATCH("comment",[1]crash_skills!$1:$1,0)-MATCH($AT$1,[1]crash_skills!$1:$1,0)+1),MATCH("comment",[1]crash_skills!$1:$1,0)-MATCH($AT$1,[1]crash_skills!$1:$1,0)+1,FALSE)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31" s="77" t="e">
        <f ca="1">VLOOKUP($AT431,OFFSET([1]crash_skills!$A$1,0,0,COUNTA([1]crash_skills!$A:$A),MATCH(AW$1,[1]crash_skills!$1:$1,0)-MATCH($AT$1,[1]crash_skills!$1:$1,0)+1),MATCH(AW$1,[1]crash_skills!$1:$1,0)-MATCH($AT$1,[1]crash_skills!$1:$1,0)+1,FALSE)</f>
        <v>#VALUE!</v>
      </c>
      <c r="AX431" s="81">
        <f ca="1">VLOOKUP($A431,OFFSET([2]characters!$A$1,0,0,COUNTA([2]characters!$A:$A),MATCH(AX$1,[2]characters!$1:$1,0)-MATCH($A$1,[2]characters!$1:$1,0)+1),MATCH(AX$1,[2]characters!$1:$1,0)-MATCH($A$1,[2]characters!$1:$1,0)+1,FALSE)</f>
        <v>3</v>
      </c>
      <c r="AY431" s="139">
        <v>1</v>
      </c>
      <c r="AZ431" s="139">
        <v>1.17</v>
      </c>
      <c r="BA431" s="139">
        <v>0</v>
      </c>
      <c r="BB431" s="139">
        <v>0.8</v>
      </c>
      <c r="BC431" s="14">
        <f ca="1">INDEX('RC6SV'!$A$1:$G$20,MATCH(H431,'RC6SV'!$A$1:$A$20,FALSE),MATCH(G431,'RC6SV'!$A$1:$G$1,FALSE))</f>
        <v>7500</v>
      </c>
      <c r="BD431" s="63">
        <f t="shared" ca="1" si="66"/>
        <v>7500</v>
      </c>
      <c r="BE431" s="14">
        <f t="shared" ca="1" si="53"/>
        <v>0</v>
      </c>
      <c r="BF431" s="14">
        <f t="shared" ca="1" si="54"/>
        <v>1</v>
      </c>
      <c r="BG431" s="20">
        <f ca="1">IF($BE431&lt;=0,ROUND(BK431*0.5,0), ROUND($BE431*S431*AA431*J431*AY431*0.8*[2]ステータス!$B$2,0))</f>
        <v>2665</v>
      </c>
      <c r="BH431" s="20">
        <f ca="1">IF($BE431&lt;=0,ROUND(BL431*0.5,0), ROUND($BE431*T431*AB431*K431*AZ431*0.8*[2]ステータス!$C$2,0))</f>
        <v>1243</v>
      </c>
      <c r="BI431" s="20">
        <f ca="1">IF($BE431&lt;=0,ROUND(BM431*0.5,0), ROUND($BE431*U431*AC431*L431*BA431*0.8*[2]ステータス!$D$2,0))</f>
        <v>0</v>
      </c>
      <c r="BJ431" s="20">
        <f ca="1">IF($BE431&lt;=0,ROUND(BN431*0.5,0), ROUND($BE431*V431*AD431*M431*BB431*0.8*[2]ステータス!$E$2,0))</f>
        <v>477</v>
      </c>
      <c r="BK431" s="14">
        <f ca="1">ROUND(BD431*S431*AA431*J431*AY431*[2]ステータス!$B$2,0)</f>
        <v>5329</v>
      </c>
      <c r="BL431" s="14">
        <f ca="1">ROUND(BD431*T431*AB431*K431*AZ431*[2]ステータス!$C$2,0)</f>
        <v>2486</v>
      </c>
      <c r="BM431" s="14">
        <f ca="1">ROUND(BD431*U431*AC431*L431*BA431*[2]ステータス!$D$2,0)</f>
        <v>0</v>
      </c>
      <c r="BN431" s="14">
        <f ca="1">ROUND(BD431*V431*AD431*M431*BB431*[2]ステータス!$E$2,0)</f>
        <v>954</v>
      </c>
      <c r="BO431" s="13">
        <v>0</v>
      </c>
      <c r="BP431" s="13">
        <v>1</v>
      </c>
      <c r="BQ431" s="49" t="s">
        <v>102</v>
      </c>
      <c r="BR431" s="13">
        <f ca="1">VLOOKUP(H431,ghosts_label!$A$2:$B$19,2,FALSE)</f>
        <v>5500</v>
      </c>
    </row>
    <row r="432" spans="1:70" ht="21" customHeight="1" x14ac:dyDescent="0.15">
      <c r="A432" s="14">
        <v>443</v>
      </c>
      <c r="B432" s="77" t="str">
        <f ca="1">VLOOKUP($A432,OFFSET([2]characters!$A$1,0,0,COUNTA([2]characters!$A:$A),MATCH(B$1,[2]characters!$1:$1,0)-MATCH($A$1,[2]characters!$1:$1,0)+1),MATCH(B$1,[2]characters!$1:$1,0)-MATCH($A$1,[2]characters!$1:$1,0)+1,FALSE)</f>
        <v>勇機結集 ブレイブリー・ライオン</v>
      </c>
      <c r="C432" s="77" t="str">
        <f ca="1">VLOOKUP($A432,OFFSET([2]characters!$A$1,0,0,COUNTA([2]characters!$A:$A),MATCH(C$1,[2]characters!$1:$1,0)-MATCH($A$1,[2]characters!$1:$1,0)+1),MATCH(C$1,[2]characters!$1:$1,0)-MATCH($A$1,[2]characters!$1:$1,0)+1,FALSE)</f>
        <v>ガチャ:オズ01</v>
      </c>
      <c r="D432" s="77" t="str">
        <f ca="1">VLOOKUP($A432,OFFSET([2]characters!$A$1,0,0,COUNTA([2]characters!$A:$A),MATCH(D$1,[2]characters!$1:$1,0)-MATCH($A$1,[2]characters!$1:$1,0)+1),MATCH(D$1,[2]characters!$1:$1,0)-MATCH($A$1,[2]characters!$1:$1,0)+1,FALSE)</f>
        <v>執行者</v>
      </c>
      <c r="E432" s="77" t="str">
        <f ca="1">VLOOKUP($A432,OFFSET([2]characters!$A$1,0,0,COUNTA([2]characters!$A:$A),MATCH(E$1,[2]characters!$1:$1,0)-MATCH($A$1,[2]characters!$1:$1,0)+1),MATCH(E$1,[2]characters!$1:$1,0)-MATCH($A$1,[2]characters!$1:$1,0)+1,FALSE)</f>
        <v>格好いい</v>
      </c>
      <c r="F432" s="77" t="str">
        <f ca="1">VLOOKUP($A432,OFFSET([2]characters!$A$1,0,0,COUNTA([2]characters!$A:$A),MATCH(F$1,[2]characters!$1:$1,0)-MATCH($A$1,[2]characters!$1:$1,0)+1),MATCH(F$1,[2]characters!$1:$1,0)-MATCH($A$1,[2]characters!$1:$1,0)+1,FALSE)</f>
        <v>不明</v>
      </c>
      <c r="G432" s="77">
        <f ca="1">VLOOKUP($A432,OFFSET([2]characters!$A$1,0,0,COUNTA([2]characters!$A:$A),MATCH(G$1,[2]characters!$1:$1,0)-MATCH($A$1,[2]characters!$1:$1,0)+1),MATCH(G$1,[2]characters!$1:$1,0)-MATCH($A$1,[2]characters!$1:$1,0)+1,FALSE)</f>
        <v>5</v>
      </c>
      <c r="H432" s="77" t="str">
        <f ca="1">VLOOKUP($A432,OFFSET([2]characters!$A$1,0,0,COUNTA([2]characters!$A:$A),MATCH(H$1,[2]characters!$1:$1,0)-MATCH($A$1,[2]characters!$1:$1,0)+1),MATCH(H$1,[2]characters!$1:$1,0)-MATCH($A$1,[2]characters!$1:$1,0)+1,FALSE)</f>
        <v>PremiumSS</v>
      </c>
      <c r="I432" s="77" t="str">
        <f ca="1">VLOOKUP($A432,OFFSET([2]characters!$A$1,0,0,COUNTA([2]characters!$A:$A),MATCH(I$1,[2]characters!$1:$1,0)-MATCH($A$1,[2]characters!$1:$1,0)+1),MATCH(I$1,[2]characters!$1:$1,0)-MATCH($A$1,[2]characters!$1:$1,0)+1,FALSE)</f>
        <v>yellow</v>
      </c>
      <c r="J432" s="14">
        <f ca="1">VLOOKUP(I432,[2]属性!$A:$E,2,FALSE)</f>
        <v>0.98</v>
      </c>
      <c r="K432" s="14">
        <f ca="1">VLOOKUP(I432,[2]属性!$A:$E,3,FALSE)</f>
        <v>1.01</v>
      </c>
      <c r="L432" s="14">
        <f ca="1">VLOOKUP(I432,[2]属性!$A:$E,4,FALSE)</f>
        <v>1</v>
      </c>
      <c r="M432" s="14">
        <f ca="1">VLOOKUP(I432,[2]属性!$A:$E,5,FALSE)</f>
        <v>1.01</v>
      </c>
      <c r="N432" s="14">
        <f ca="1">INDEX(コスト!$A$1:$I$20,MATCH(H432,コスト!$A$1:$A$20,FALSE),MATCH(G432,コスト!$A$1:$I$1,FALSE))</f>
        <v>35</v>
      </c>
      <c r="O432" s="14">
        <f ca="1">INDEX(レベル!$A$1:$I$21,MATCH(H432,レベル!$A$1:$A$21,FALSE),MATCH(G432,レベル!$A$1:$I$1,FALSE))</f>
        <v>80</v>
      </c>
      <c r="P432" s="63">
        <f t="shared" ca="1" si="64"/>
        <v>75</v>
      </c>
      <c r="Q432" s="77" t="str">
        <f ca="1">VLOOKUP($A432,OFFSET([2]characters!$A$1,0,0,COUNTA([2]characters!$A:$A),MATCH(Q$1,[2]characters!$1:$1,0)-MATCH($A$1,[2]characters!$1:$1,0)+1),MATCH(Q$1,[2]characters!$1:$1,0)-MATCH($A$1,[2]characters!$1:$1,0)+1,FALSE)</f>
        <v>hp</v>
      </c>
      <c r="R432" s="8" t="str">
        <f ca="1">VLOOKUP(Q432,[2]character_type_i18n!$A:$H,3,FALSE)</f>
        <v>体力タイプ</v>
      </c>
      <c r="S432" s="14">
        <f ca="1">VLOOKUP(Q432,[2]character_type_i18n!$A:$H,4,FALSE)</f>
        <v>1.45</v>
      </c>
      <c r="T432" s="14">
        <f ca="1">VLOOKUP(Q432,[2]character_type_i18n!$A:$H,5,FALSE)</f>
        <v>0.85</v>
      </c>
      <c r="U432" s="14">
        <f ca="1">VLOOKUP(Q432,[2]character_type_i18n!$A:$H,6,FALSE)</f>
        <v>1</v>
      </c>
      <c r="V432" s="14">
        <f ca="1">VLOOKUP(Q432,[2]character_type_i18n!$A:$H,7,FALSE)</f>
        <v>0.7</v>
      </c>
      <c r="W432" s="77" t="str">
        <f ca="1">VLOOKUP($A432,OFFSET([2]characters!$A$1,0,0,COUNTA([2]characters!$A:$A),MATCH(W$1,[2]characters!$1:$1,0)-MATCH($A$1,[2]characters!$1:$1,0)+1),MATCH(W$1,[2]characters!$1:$1,0)-MATCH($A$1,[2]characters!$1:$1,0)+1,FALSE)</f>
        <v>animal</v>
      </c>
      <c r="X432" s="8" t="str">
        <f ca="1">VLOOKUP(W432,[2]character_tribe_i18n!$A:$H,3,FALSE)</f>
        <v>アニマル</v>
      </c>
      <c r="Y432" s="77" t="str">
        <f ca="1">VLOOKUP($A432,OFFSET([2]characters!$A$1,0,0,COUNTA([2]characters!$A:$A),MATCH(Y$1,[2]characters!$1:$1,0)-MATCH($A$1,[2]characters!$1:$1,0)+1),MATCH(Y$1,[2]characters!$1:$1,0)-MATCH($A$1,[2]characters!$1:$1,0)+1,FALSE)</f>
        <v>none</v>
      </c>
      <c r="Z432" s="8" t="str">
        <f ca="1">VLOOKUP(Y432,[2]character_tribe_i18n!$A:$H,3,FALSE)</f>
        <v>種族なし</v>
      </c>
      <c r="AA432" s="14">
        <f ca="1">VLOOKUP(W432,[2]character_tribe_i18n!$A:$H,4,FALSE)</f>
        <v>1</v>
      </c>
      <c r="AB432" s="14">
        <f ca="1">VLOOKUP(W432,[2]character_tribe_i18n!$A:$H,5,FALSE)</f>
        <v>1.1000000000000001</v>
      </c>
      <c r="AC432" s="14">
        <f ca="1">VLOOKUP(W432,[2]character_tribe_i18n!$A:$H,6,FALSE)</f>
        <v>1</v>
      </c>
      <c r="AD432" s="14">
        <f ca="1">VLOOKUP(W432,[2]character_tribe_i18n!$A:$H,7,FALSE)</f>
        <v>0.9</v>
      </c>
      <c r="AE432" s="12" t="s">
        <v>231</v>
      </c>
      <c r="AF432" s="85" t="str">
        <f ca="1">IF(AE432="NULL","",VLOOKUP($AE432,OFFSET([2]characters!$A$1,0,0,COUNTA([2]characters!$A:$A),MATCH(AF$1,[2]characters!$1:$1,0)-MATCH($A$1,[2]characters!$1:$1,0)+1),MATCH(AF$1,[2]characters!$1:$1,0)-MATCH($A$1,[2]characters!$1:$1,0)+1,FALSE))</f>
        <v/>
      </c>
      <c r="AG432" s="8">
        <f t="shared" ca="1" si="52"/>
        <v>442</v>
      </c>
      <c r="AH432" s="85" t="str">
        <f ca="1">VLOOKUP($AG432,OFFSET([2]characters!$A$1,0,0,COUNTA([2]characters!$A:$A),MATCH(AH$1,[2]characters!$1:$1,0)-MATCH($A$1,[2]characters!$1:$1,0)+1),MATCH(AH$1,[2]characters!$1:$1,0)-MATCH($A$1,[2]characters!$1:$1,0)+1,FALSE)</f>
        <v>ブレイブリー・ライオン</v>
      </c>
      <c r="AI432" s="14" t="str">
        <f>IF(AE432="NULL","NULL",VLOOKUP(G432,ビット!$A$2:$B$7,2))</f>
        <v>NULL</v>
      </c>
      <c r="AJ432" s="9">
        <v>2</v>
      </c>
      <c r="AK432" s="10" t="str">
        <f t="shared" si="65"/>
        <v>普通</v>
      </c>
      <c r="AL432" s="14" t="str">
        <f ca="1">INDEX(経験値!$A$1:$I$20,MATCH(H432,経験値!$A$1:$A$20,FALSE),MATCH(G432,経験値!$A$1:$I$1,FALSE))</f>
        <v>required_exp_200</v>
      </c>
      <c r="AM432" s="11">
        <f ca="1">VLOOKUP(G432,経験値!$A$27:$B$31,2)</f>
        <v>6400</v>
      </c>
      <c r="AN432" s="21">
        <f ca="1">VLOOKUP(G432,ビット!$G$2:$H$7,2)</f>
        <v>900</v>
      </c>
      <c r="AO432" s="57"/>
      <c r="AP432" s="97">
        <v>314029</v>
      </c>
      <c r="AQ432" s="77" t="e">
        <f ca="1">VLOOKUP($AP432,OFFSET([1]unit_skills!$A$1,0,0,COUNTA([1]unit_skills!$A:$A),MATCH("name",[1]unit_skills!$1:$1,0)-MATCH($AP$1,[1]unit_skills!$1:$1,0)+1),MATCH("name",[1]unit_skills!$1:$1,0)-MATCH($AP$1,[1]unit_skills!$1:$1,0)+1,FALSE)</f>
        <v>#VALUE!</v>
      </c>
      <c r="AR432" s="77" t="e">
        <f ca="1">VLOOKUP($AP432,OFFSET([1]unit_skills!$A$1,0,0,COUNTA([1]unit_skills!$A:$A),MATCH("comment",[1]unit_skills!$1:$1,0)-MATCH($AP$1,[1]unit_skills!$1:$1,0)+1),MATCH("comment",[1]unit_skills!$1:$1,0)-MATCH($AP$1,[1]unit_skills!$1:$1,0)+1,FALSE)</f>
        <v>#VALUE!</v>
      </c>
      <c r="AS432" s="77" t="e">
        <f ca="1">VLOOKUP($AP432,OFFSET([1]unit_skills!$A$1,0,0,COUNTA([1]unit_skills!$A:$A),MATCH(AS$1,[1]unit_skills!$1:$1,0)-MATCH($AP$1,[1]unit_skills!$1:$1,0)+1),MATCH(AS$1,[1]unit_skills!$1:$1,0)-MATCH($AP$1,[1]unit_skills!$1:$1,0)+1,FALSE)</f>
        <v>#VALUE!</v>
      </c>
      <c r="AT432" s="158">
        <v>184109</v>
      </c>
      <c r="AU432" s="77" t="e">
        <f ca="1">VLOOKUP($AT432,OFFSET([1]crash_skills!$A$1,0,0,COUNTA([1]crash_skills!$A:$A),MATCH("name",[1]crash_skills!$1:$1,0)-MATCH($AT$1,[1]crash_skills!$1:$1,0)+1),MATCH("name",[1]crash_skills!$1:$1,0)-MATCH($AT$1,[1]crash_skills!$1:$1,0)+1,FALSE)</f>
        <v>#VALUE!</v>
      </c>
      <c r="AV432" s="77" t="e">
        <f ca="1">VLOOKUP($AT432,OFFSET([1]crash_skills!$A$1,0,0,COUNTA([1]crash_skills!$A:$A),MATCH("comment",[1]crash_skills!$1:$1,0)-MATCH($AT$1,[1]crash_skills!$1:$1,0)+1),MATCH("comment",[1]crash_skills!$1:$1,0)-MATCH($AT$1,[1]crash_skills!$1:$1,0)+1,FALSE)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32" s="77" t="e">
        <f ca="1">VLOOKUP($AT432,OFFSET([1]crash_skills!$A$1,0,0,COUNTA([1]crash_skills!$A:$A),MATCH(AW$1,[1]crash_skills!$1:$1,0)-MATCH($AT$1,[1]crash_skills!$1:$1,0)+1),MATCH(AW$1,[1]crash_skills!$1:$1,0)-MATCH($AT$1,[1]crash_skills!$1:$1,0)+1,FALSE)</f>
        <v>#VALUE!</v>
      </c>
      <c r="AX432" s="81">
        <f ca="1">VLOOKUP($A432,OFFSET([2]characters!$A$1,0,0,COUNTA([2]characters!$A:$A),MATCH(AX$1,[2]characters!$1:$1,0)-MATCH($A$1,[2]characters!$1:$1,0)+1),MATCH(AX$1,[2]characters!$1:$1,0)-MATCH($A$1,[2]characters!$1:$1,0)+1,FALSE)</f>
        <v>3</v>
      </c>
      <c r="AY432" s="139">
        <v>1</v>
      </c>
      <c r="AZ432" s="139">
        <v>1.17</v>
      </c>
      <c r="BA432" s="139">
        <v>0</v>
      </c>
      <c r="BB432" s="139">
        <v>0.8</v>
      </c>
      <c r="BC432" s="14">
        <f ca="1">INDEX('RC6SV'!$A$1:$G$20,MATCH(H432,'RC6SV'!$A$1:$A$20,FALSE),MATCH(G432,'RC6SV'!$A$1:$G$1,FALSE))</f>
        <v>9500</v>
      </c>
      <c r="BD432" s="63">
        <f t="shared" ca="1" si="66"/>
        <v>9500</v>
      </c>
      <c r="BE432" s="14">
        <f t="shared" ca="1" si="53"/>
        <v>7500</v>
      </c>
      <c r="BF432" s="14">
        <f t="shared" ca="1" si="54"/>
        <v>1</v>
      </c>
      <c r="BG432" s="20">
        <f ca="1">IF($BE432&lt;=0,ROUND(BK432*0.5,0), ROUND($BE432*S432*AA432*J432*AY432*0.8*[2]ステータス!$B$2,0))</f>
        <v>4263</v>
      </c>
      <c r="BH432" s="20">
        <f ca="1">IF($BE432&lt;=0,ROUND(BL432*0.5,0), ROUND($BE432*T432*AB432*K432*AZ432*0.8*[2]ステータス!$C$2,0))</f>
        <v>1989</v>
      </c>
      <c r="BI432" s="20">
        <f ca="1">IF($BE432&lt;=0,ROUND(BM432*0.5,0), ROUND($BE432*U432*AC432*L432*BA432*0.8*[2]ステータス!$D$2,0))</f>
        <v>0</v>
      </c>
      <c r="BJ432" s="20">
        <f ca="1">IF($BE432&lt;=0,ROUND(BN432*0.5,0), ROUND($BE432*V432*AD432*M432*BB432*0.8*[2]ステータス!$E$2,0))</f>
        <v>764</v>
      </c>
      <c r="BK432" s="14">
        <f ca="1">ROUND(BD432*S432*AA432*J432*AY432*[2]ステータス!$B$2,0)</f>
        <v>6750</v>
      </c>
      <c r="BL432" s="14">
        <f ca="1">ROUND(BD432*T432*AB432*K432*AZ432*[2]ステータス!$C$2,0)</f>
        <v>3149</v>
      </c>
      <c r="BM432" s="14">
        <f ca="1">ROUND(BD432*U432*AC432*L432*BA432*[2]ステータス!$D$2,0)</f>
        <v>0</v>
      </c>
      <c r="BN432" s="14">
        <f ca="1">ROUND(BD432*V432*AD432*M432*BB432*[2]ステータス!$E$2,0)</f>
        <v>1209</v>
      </c>
      <c r="BO432" s="13">
        <v>0</v>
      </c>
      <c r="BP432" s="13">
        <v>1</v>
      </c>
      <c r="BQ432" s="49" t="s">
        <v>102</v>
      </c>
      <c r="BR432" s="13">
        <f ca="1">VLOOKUP(H432,ghosts_label!$A$2:$B$19,2,FALSE)</f>
        <v>5500</v>
      </c>
    </row>
    <row r="433" spans="1:70" ht="21" customHeight="1" x14ac:dyDescent="0.15">
      <c r="A433" s="14">
        <v>451</v>
      </c>
      <c r="B433" s="77" t="str">
        <f ca="1">VLOOKUP($A433,OFFSET([2]characters!$A$1,0,0,COUNTA([2]characters!$A:$A),MATCH(B$1,[2]characters!$1:$1,0)-MATCH($A$1,[2]characters!$1:$1,0)+1),MATCH(B$1,[2]characters!$1:$1,0)-MATCH($A$1,[2]characters!$1:$1,0)+1,FALSE)</f>
        <v>シルエットオーディン2</v>
      </c>
      <c r="C433" s="77" t="str">
        <f ca="1">VLOOKUP($A433,OFFSET([2]characters!$A$1,0,0,COUNTA([2]characters!$A:$A),MATCH(C$1,[2]characters!$1:$1,0)-MATCH($A$1,[2]characters!$1:$1,0)+1),MATCH(C$1,[2]characters!$1:$1,0)-MATCH($A$1,[2]characters!$1:$1,0)+1,FALSE)</f>
        <v>未定</v>
      </c>
      <c r="D433" s="77" t="str">
        <f ca="1">VLOOKUP($A433,OFFSET([2]characters!$A$1,0,0,COUNTA([2]characters!$A:$A),MATCH(D$1,[2]characters!$1:$1,0)-MATCH($A$1,[2]characters!$1:$1,0)+1),MATCH(D$1,[2]characters!$1:$1,0)-MATCH($A$1,[2]characters!$1:$1,0)+1,FALSE)</f>
        <v>執行者</v>
      </c>
      <c r="E433" s="77" t="str">
        <f ca="1">VLOOKUP($A433,OFFSET([2]characters!$A$1,0,0,COUNTA([2]characters!$A:$A),MATCH(E$1,[2]characters!$1:$1,0)-MATCH($A$1,[2]characters!$1:$1,0)+1),MATCH(E$1,[2]characters!$1:$1,0)-MATCH($A$1,[2]characters!$1:$1,0)+1,FALSE)</f>
        <v>格好いい</v>
      </c>
      <c r="F433" s="77" t="str">
        <f ca="1">VLOOKUP($A433,OFFSET([2]characters!$A$1,0,0,COUNTA([2]characters!$A:$A),MATCH(F$1,[2]characters!$1:$1,0)-MATCH($A$1,[2]characters!$1:$1,0)+1),MATCH(F$1,[2]characters!$1:$1,0)-MATCH($A$1,[2]characters!$1:$1,0)+1,FALSE)</f>
        <v>不明</v>
      </c>
      <c r="G433" s="77">
        <f ca="1">VLOOKUP($A433,OFFSET([2]characters!$A$1,0,0,COUNTA([2]characters!$A:$A),MATCH(G$1,[2]characters!$1:$1,0)-MATCH($A$1,[2]characters!$1:$1,0)+1),MATCH(G$1,[2]characters!$1:$1,0)-MATCH($A$1,[2]characters!$1:$1,0)+1,FALSE)</f>
        <v>5</v>
      </c>
      <c r="H433" s="77" t="str">
        <f ca="1">VLOOKUP($A433,OFFSET([2]characters!$A$1,0,0,COUNTA([2]characters!$A:$A),MATCH(H$1,[2]characters!$1:$1,0)-MATCH($A$1,[2]characters!$1:$1,0)+1),MATCH(H$1,[2]characters!$1:$1,0)-MATCH($A$1,[2]characters!$1:$1,0)+1,FALSE)</f>
        <v>DropWizN</v>
      </c>
      <c r="I433" s="77" t="str">
        <f ca="1">VLOOKUP($A433,OFFSET([2]characters!$A$1,0,0,COUNTA([2]characters!$A:$A),MATCH(I$1,[2]characters!$1:$1,0)-MATCH($A$1,[2]characters!$1:$1,0)+1),MATCH(I$1,[2]characters!$1:$1,0)-MATCH($A$1,[2]characters!$1:$1,0)+1,FALSE)</f>
        <v>blue</v>
      </c>
      <c r="J433" s="14">
        <f ca="1">VLOOKUP(I433,[2]属性!$A:$E,2,FALSE)</f>
        <v>1</v>
      </c>
      <c r="K433" s="14">
        <f ca="1">VLOOKUP(I433,[2]属性!$A:$E,3,FALSE)</f>
        <v>0.98</v>
      </c>
      <c r="L433" s="14">
        <f ca="1">VLOOKUP(I433,[2]属性!$A:$E,4,FALSE)</f>
        <v>1</v>
      </c>
      <c r="M433" s="14">
        <f ca="1">VLOOKUP(I433,[2]属性!$A:$E,5,FALSE)</f>
        <v>1.02</v>
      </c>
      <c r="N433" s="14">
        <f ca="1">INDEX(コスト!$A$1:$I$20,MATCH(H433,コスト!$A$1:$A$20,FALSE),MATCH(G433,コスト!$A$1:$I$1,FALSE))</f>
        <v>28</v>
      </c>
      <c r="O433" s="14">
        <f ca="1">INDEX(レベル!$A$1:$I$21,MATCH(H433,レベル!$A$1:$A$21,FALSE),MATCH(G433,レベル!$A$1:$I$1,FALSE))</f>
        <v>80</v>
      </c>
      <c r="P433" s="63">
        <f t="shared" ref="P433:P435" ca="1" si="67">G433*15</f>
        <v>75</v>
      </c>
      <c r="Q433" s="77" t="str">
        <f ca="1">VLOOKUP($A433,OFFSET([2]characters!$A$1,0,0,COUNTA([2]characters!$A:$A),MATCH(Q$1,[2]characters!$1:$1,0)-MATCH($A$1,[2]characters!$1:$1,0)+1),MATCH(Q$1,[2]characters!$1:$1,0)-MATCH($A$1,[2]characters!$1:$1,0)+1,FALSE)</f>
        <v>balance</v>
      </c>
      <c r="R433" s="8" t="str">
        <f ca="1">VLOOKUP(Q433,[2]character_type_i18n!$A:$H,3,FALSE)</f>
        <v>バランスタイプ</v>
      </c>
      <c r="S433" s="14">
        <f ca="1">VLOOKUP(Q433,[2]character_type_i18n!$A:$H,4,FALSE)</f>
        <v>1</v>
      </c>
      <c r="T433" s="14">
        <f ca="1">VLOOKUP(Q433,[2]character_type_i18n!$A:$H,5,FALSE)</f>
        <v>1</v>
      </c>
      <c r="U433" s="14">
        <f ca="1">VLOOKUP(Q433,[2]character_type_i18n!$A:$H,6,FALSE)</f>
        <v>1</v>
      </c>
      <c r="V433" s="14">
        <f ca="1">VLOOKUP(Q433,[2]character_type_i18n!$A:$H,7,FALSE)</f>
        <v>1</v>
      </c>
      <c r="W433" s="77" t="str">
        <f ca="1">VLOOKUP($A433,OFFSET([2]characters!$A$1,0,0,COUNTA([2]characters!$A:$A),MATCH(W$1,[2]characters!$1:$1,0)-MATCH($A$1,[2]characters!$1:$1,0)+1),MATCH(W$1,[2]characters!$1:$1,0)-MATCH($A$1,[2]characters!$1:$1,0)+1,FALSE)</f>
        <v>human</v>
      </c>
      <c r="X433" s="8" t="str">
        <f ca="1">VLOOKUP(W433,[2]character_tribe_i18n!$A:$H,3,FALSE)</f>
        <v>ヒューマン</v>
      </c>
      <c r="Y433" s="77" t="str">
        <f ca="1">VLOOKUP($A433,OFFSET([2]characters!$A$1,0,0,COUNTA([2]characters!$A:$A),MATCH(Y$1,[2]characters!$1:$1,0)-MATCH($A$1,[2]characters!$1:$1,0)+1),MATCH(Y$1,[2]characters!$1:$1,0)-MATCH($A$1,[2]characters!$1:$1,0)+1,FALSE)</f>
        <v>none</v>
      </c>
      <c r="Z433" s="8" t="str">
        <f ca="1">VLOOKUP(Y433,[2]character_tribe_i18n!$A:$H,3,FALSE)</f>
        <v>種族なし</v>
      </c>
      <c r="AA433" s="14">
        <f ca="1">VLOOKUP(W433,[2]character_tribe_i18n!$A:$H,4,FALSE)</f>
        <v>0.94</v>
      </c>
      <c r="AB433" s="14">
        <f ca="1">VLOOKUP(W433,[2]character_tribe_i18n!$A:$H,5,FALSE)</f>
        <v>0.99</v>
      </c>
      <c r="AC433" s="14">
        <f ca="1">VLOOKUP(W433,[2]character_tribe_i18n!$A:$H,6,FALSE)</f>
        <v>1</v>
      </c>
      <c r="AD433" s="14">
        <f ca="1">VLOOKUP(W433,[2]character_tribe_i18n!$A:$H,7,FALSE)</f>
        <v>1.07</v>
      </c>
      <c r="AE433" s="12" t="s">
        <v>287</v>
      </c>
      <c r="AF433" s="85" t="str">
        <f ca="1">IF(AE433="NULL","",VLOOKUP($AE433,OFFSET([2]characters!$A$1,0,0,COUNTA([2]characters!$A:$A),MATCH(AF$1,[2]characters!$1:$1,0)-MATCH($A$1,[2]characters!$1:$1,0)+1),MATCH(AF$1,[2]characters!$1:$1,0)-MATCH($A$1,[2]characters!$1:$1,0)+1,FALSE))</f>
        <v/>
      </c>
      <c r="AG433" s="8">
        <f t="shared" ca="1" si="52"/>
        <v>451</v>
      </c>
      <c r="AH433" s="85" t="str">
        <f ca="1">VLOOKUP($AG433,OFFSET([2]characters!$A$1,0,0,COUNTA([2]characters!$A:$A),MATCH(AH$1,[2]characters!$1:$1,0)-MATCH($A$1,[2]characters!$1:$1,0)+1),MATCH(AH$1,[2]characters!$1:$1,0)-MATCH($A$1,[2]characters!$1:$1,0)+1,FALSE)</f>
        <v>シルエットオーディン2</v>
      </c>
      <c r="AI433" s="14" t="str">
        <f>IF(AE433="NULL","NULL",VLOOKUP(G433,ビット!$A$2:$B$7,2))</f>
        <v>NULL</v>
      </c>
      <c r="AJ433" s="9">
        <v>2</v>
      </c>
      <c r="AK433" s="10" t="str">
        <f t="shared" ref="AK433" si="68">IF(AJ433=1,"早熟",IF(AJ433=2,"普通",IF(AJ433=3,"晩成","")))</f>
        <v>普通</v>
      </c>
      <c r="AL433" s="14" t="str">
        <f ca="1">INDEX(経験値!$A$1:$I$20,MATCH(H433,経験値!$A$1:$A$20,FALSE),MATCH(G433,経験値!$A$1:$I$1,FALSE))</f>
        <v>required_exp_200</v>
      </c>
      <c r="AM433" s="11">
        <f ca="1">VLOOKUP(G433,経験値!$A$27:$B$31,2)</f>
        <v>6400</v>
      </c>
      <c r="AN433" s="21">
        <f ca="1">VLOOKUP(G433,ビット!$G$2:$H$7,2)</f>
        <v>900</v>
      </c>
      <c r="AO433" s="57"/>
      <c r="AP433" s="97">
        <v>0</v>
      </c>
      <c r="AQ433" s="77" t="e">
        <f ca="1">VLOOKUP($AP433,OFFSET([1]unit_skills!$A$1,0,0,COUNTA([1]unit_skills!$A:$A),MATCH("name",[1]unit_skills!$1:$1,0)-MATCH($AP$1,[1]unit_skills!$1:$1,0)+1),MATCH("name",[1]unit_skills!$1:$1,0)-MATCH($AP$1,[1]unit_skills!$1:$1,0)+1,FALSE)</f>
        <v>#VALUE!</v>
      </c>
      <c r="AR433" s="77" t="e">
        <f ca="1">VLOOKUP($AP433,OFFSET([1]unit_skills!$A$1,0,0,COUNTA([1]unit_skills!$A:$A),MATCH("comment",[1]unit_skills!$1:$1,0)-MATCH($AP$1,[1]unit_skills!$1:$1,0)+1),MATCH("comment",[1]unit_skills!$1:$1,0)-MATCH($AP$1,[1]unit_skills!$1:$1,0)+1,FALSE)</f>
        <v>#VALUE!</v>
      </c>
      <c r="AS433" s="77" t="e">
        <f ca="1">VLOOKUP($AP433,OFFSET([1]unit_skills!$A$1,0,0,COUNTA([1]unit_skills!$A:$A),MATCH(AS$1,[1]unit_skills!$1:$1,0)-MATCH($AP$1,[1]unit_skills!$1:$1,0)+1),MATCH(AS$1,[1]unit_skills!$1:$1,0)-MATCH($AP$1,[1]unit_skills!$1:$1,0)+1,FALSE)</f>
        <v>#VALUE!</v>
      </c>
      <c r="AT433" s="97">
        <v>0</v>
      </c>
      <c r="AU433" s="77" t="e">
        <f ca="1">VLOOKUP($AT433,OFFSET([1]crash_skills!$A$1,0,0,COUNTA([1]crash_skills!$A:$A),MATCH("name",[1]crash_skills!$1:$1,0)-MATCH($AT$1,[1]crash_skills!$1:$1,0)+1),MATCH("name",[1]crash_skills!$1:$1,0)-MATCH($AT$1,[1]crash_skills!$1:$1,0)+1,FALSE)</f>
        <v>#VALUE!</v>
      </c>
      <c r="AV433" s="77" t="e">
        <f ca="1">VLOOKUP($AT433,OFFSET([1]crash_skills!$A$1,0,0,COUNTA([1]crash_skills!$A:$A),MATCH("comment",[1]crash_skills!$1:$1,0)-MATCH($AT$1,[1]crash_skills!$1:$1,0)+1),MATCH("comment",[1]crash_skills!$1:$1,0)-MATCH($AT$1,[1]crash_skills!$1:$1,0)+1,FALSE)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33" s="77" t="e">
        <f ca="1">VLOOKUP($AT433,OFFSET([1]crash_skills!$A$1,0,0,COUNTA([1]crash_skills!$A:$A),MATCH(AW$1,[1]crash_skills!$1:$1,0)-MATCH($AT$1,[1]crash_skills!$1:$1,0)+1),MATCH(AW$1,[1]crash_skills!$1:$1,0)-MATCH($AT$1,[1]crash_skills!$1:$1,0)+1,FALSE)</f>
        <v>#VALUE!</v>
      </c>
      <c r="AX433" s="81">
        <f ca="1">VLOOKUP($A433,OFFSET([2]characters!$A$1,0,0,COUNTA([2]characters!$A:$A),MATCH(AX$1,[2]characters!$1:$1,0)-MATCH($A$1,[2]characters!$1:$1,0)+1),MATCH(AX$1,[2]characters!$1:$1,0)-MATCH($A$1,[2]characters!$1:$1,0)+1,FALSE)</f>
        <v>3</v>
      </c>
      <c r="AY433" s="139">
        <v>1</v>
      </c>
      <c r="AZ433" s="139">
        <v>1.17</v>
      </c>
      <c r="BA433" s="139">
        <v>0</v>
      </c>
      <c r="BB433" s="139">
        <v>0.8</v>
      </c>
      <c r="BC433" s="14">
        <f ca="1">INDEX('RC6SV'!$A$1:$G$20,MATCH(H433,'RC6SV'!$A$1:$A$20,FALSE),MATCH(G433,'RC6SV'!$A$1:$G$1,FALSE))</f>
        <v>8500</v>
      </c>
      <c r="BD433" s="63">
        <f t="shared" ref="BD433" ca="1" si="69">ROUND(BC433*IF(AJ433=1,0.95,IF(AJ433=2,1,IF(AJ433,1.05,0))),0)</f>
        <v>8500</v>
      </c>
      <c r="BE433" s="14">
        <f t="shared" ca="1" si="53"/>
        <v>0</v>
      </c>
      <c r="BF433" s="14">
        <f t="shared" ca="1" si="54"/>
        <v>1</v>
      </c>
      <c r="BG433" s="20">
        <f ca="1">IF($BE433&lt;=0,ROUND(BK433*0.5,0), ROUND($BE433*S433*AA433*J433*AY433*0.8*[2]ステータス!$B$2,0))</f>
        <v>1998</v>
      </c>
      <c r="BH433" s="20">
        <f ca="1">IF($BE433&lt;=0,ROUND(BL433*0.5,0), ROUND($BE433*T433*AB433*K433*AZ433*0.8*[2]ステータス!$C$2,0))</f>
        <v>1448</v>
      </c>
      <c r="BI433" s="20">
        <f ca="1">IF($BE433&lt;=0,ROUND(BM433*0.5,0), ROUND($BE433*U433*AC433*L433*BA433*0.8*[2]ステータス!$D$2,0))</f>
        <v>0</v>
      </c>
      <c r="BJ433" s="20">
        <f ca="1">IF($BE433&lt;=0,ROUND(BN433*0.5,0), ROUND($BE433*V433*AD433*M433*BB433*0.8*[2]ステータス!$E$2,0))</f>
        <v>928</v>
      </c>
      <c r="BK433" s="14">
        <f ca="1">ROUND(BD433*S433*AA433*J433*AY433*[2]ステータス!$B$2,0)</f>
        <v>3995</v>
      </c>
      <c r="BL433" s="14">
        <f ca="1">ROUND(BD433*T433*AB433*K433*AZ433*[2]ステータス!$C$2,0)</f>
        <v>2895</v>
      </c>
      <c r="BM433" s="14">
        <f ca="1">ROUND(BD433*U433*AC433*L433*BA433*[2]ステータス!$D$2,0)</f>
        <v>0</v>
      </c>
      <c r="BN433" s="14">
        <f ca="1">ROUND(BD433*V433*AD433*M433*BB433*[2]ステータス!$E$2,0)</f>
        <v>1855</v>
      </c>
      <c r="BO433" s="13">
        <v>0</v>
      </c>
      <c r="BP433" s="13">
        <v>1</v>
      </c>
      <c r="BQ433" s="49" t="s">
        <v>102</v>
      </c>
      <c r="BR433" s="13">
        <f ca="1">VLOOKUP(H433,ghosts_label!$A$2:$B$19,2,FALSE)</f>
        <v>1</v>
      </c>
    </row>
    <row r="434" spans="1:70" ht="21" customHeight="1" x14ac:dyDescent="0.15">
      <c r="A434" s="14">
        <v>524</v>
      </c>
      <c r="B434" s="77" t="str">
        <f ca="1">VLOOKUP($A434,OFFSET([2]characters!$A$1,0,0,COUNTA([2]characters!$A:$A),MATCH(B$1,[2]characters!$1:$1,0)-MATCH($A$1,[2]characters!$1:$1,0)+1),MATCH(B$1,[2]characters!$1:$1,0)-MATCH($A$1,[2]characters!$1:$1,0)+1,FALSE)</f>
        <v>あけおめダック</v>
      </c>
      <c r="C434" s="77" t="str">
        <f ca="1">VLOOKUP($A434,OFFSET([2]characters!$A$1,0,0,COUNTA([2]characters!$A:$A),MATCH(C$1,[2]characters!$1:$1,0)-MATCH($A$1,[2]characters!$1:$1,0)+1),MATCH(C$1,[2]characters!$1:$1,0)-MATCH($A$1,[2]characters!$1:$1,0)+1,FALSE)</f>
        <v>イベント:お正月2016</v>
      </c>
      <c r="D434" s="77" t="str">
        <f ca="1">VLOOKUP($A434,OFFSET([2]characters!$A$1,0,0,COUNTA([2]characters!$A:$A),MATCH(D$1,[2]characters!$1:$1,0)-MATCH($A$1,[2]characters!$1:$1,0)+1),MATCH(D$1,[2]characters!$1:$1,0)-MATCH($A$1,[2]characters!$1:$1,0)+1,FALSE)</f>
        <v>執行者</v>
      </c>
      <c r="E434" s="77" t="str">
        <f ca="1">VLOOKUP($A434,OFFSET([2]characters!$A$1,0,0,COUNTA([2]characters!$A:$A),MATCH(E$1,[2]characters!$1:$1,0)-MATCH($A$1,[2]characters!$1:$1,0)+1),MATCH(E$1,[2]characters!$1:$1,0)-MATCH($A$1,[2]characters!$1:$1,0)+1,FALSE)</f>
        <v>格好いい</v>
      </c>
      <c r="F434" s="77" t="str">
        <f ca="1">VLOOKUP($A434,OFFSET([2]characters!$A$1,0,0,COUNTA([2]characters!$A:$A),MATCH(F$1,[2]characters!$1:$1,0)-MATCH($A$1,[2]characters!$1:$1,0)+1),MATCH(F$1,[2]characters!$1:$1,0)-MATCH($A$1,[2]characters!$1:$1,0)+1,FALSE)</f>
        <v>不明</v>
      </c>
      <c r="G434" s="77">
        <f ca="1">VLOOKUP($A434,OFFSET([2]characters!$A$1,0,0,COUNTA([2]characters!$A:$A),MATCH(G$1,[2]characters!$1:$1,0)-MATCH($A$1,[2]characters!$1:$1,0)+1),MATCH(G$1,[2]characters!$1:$1,0)-MATCH($A$1,[2]characters!$1:$1,0)+1,FALSE)</f>
        <v>6</v>
      </c>
      <c r="H434" s="77" t="str">
        <f ca="1">VLOOKUP($A434,OFFSET([2]characters!$A$1,0,0,COUNTA([2]characters!$A:$A),MATCH(H$1,[2]characters!$1:$1,0)-MATCH($A$1,[2]characters!$1:$1,0)+1),MATCH(H$1,[2]characters!$1:$1,0)-MATCH($A$1,[2]characters!$1:$1,0)+1,FALSE)</f>
        <v>Material</v>
      </c>
      <c r="I434" s="77" t="str">
        <f ca="1">VLOOKUP($A434,OFFSET([2]characters!$A$1,0,0,COUNTA([2]characters!$A:$A),MATCH(I$1,[2]characters!$1:$1,0)-MATCH($A$1,[2]characters!$1:$1,0)+1),MATCH(I$1,[2]characters!$1:$1,0)-MATCH($A$1,[2]characters!$1:$1,0)+1,FALSE)</f>
        <v>yellow</v>
      </c>
      <c r="J434" s="14">
        <f ca="1">VLOOKUP(I434,[2]属性!$A:$E,2,FALSE)</f>
        <v>0.98</v>
      </c>
      <c r="K434" s="14">
        <f ca="1">VLOOKUP(I434,[2]属性!$A:$E,3,FALSE)</f>
        <v>1.01</v>
      </c>
      <c r="L434" s="14">
        <f ca="1">VLOOKUP(I434,[2]属性!$A:$E,4,FALSE)</f>
        <v>1</v>
      </c>
      <c r="M434" s="14">
        <f ca="1">VLOOKUP(I434,[2]属性!$A:$E,5,FALSE)</f>
        <v>1.01</v>
      </c>
      <c r="N434" s="14">
        <f ca="1">INDEX(コスト!$A$1:$I$20,MATCH(H434,コスト!$A$1:$A$20,FALSE),MATCH(G434,コスト!$A$1:$I$1,FALSE))</f>
        <v>99</v>
      </c>
      <c r="O434" s="14">
        <f ca="1">INDEX(レベル!$A$1:$I$21,MATCH(H434,レベル!$A$1:$A$21,FALSE),MATCH(G434,レベル!$A$1:$I$1,FALSE))</f>
        <v>1</v>
      </c>
      <c r="P434" s="203">
        <v>1</v>
      </c>
      <c r="Q434" s="77" t="str">
        <f ca="1">VLOOKUP($A434,OFFSET([2]characters!$A$1,0,0,COUNTA([2]characters!$A:$A),MATCH(Q$1,[2]characters!$1:$1,0)-MATCH($A$1,[2]characters!$1:$1,0)+1),MATCH(Q$1,[2]characters!$1:$1,0)-MATCH($A$1,[2]characters!$1:$1,0)+1,FALSE)</f>
        <v>coin</v>
      </c>
      <c r="R434" s="8" t="str">
        <f ca="1">VLOOKUP(Q434,[2]character_type_i18n!$A:$H,3,FALSE)</f>
        <v>コインタイプ</v>
      </c>
      <c r="S434" s="14">
        <f ca="1">VLOOKUP(Q434,[2]character_type_i18n!$A:$H,4,FALSE)</f>
        <v>0.1</v>
      </c>
      <c r="T434" s="14">
        <f ca="1">VLOOKUP(Q434,[2]character_type_i18n!$A:$H,5,FALSE)</f>
        <v>0.05</v>
      </c>
      <c r="U434" s="14">
        <f ca="1">VLOOKUP(Q434,[2]character_type_i18n!$A:$H,6,FALSE)</f>
        <v>1</v>
      </c>
      <c r="V434" s="14">
        <f ca="1">VLOOKUP(Q434,[2]character_type_i18n!$A:$H,7,FALSE)</f>
        <v>0.05</v>
      </c>
      <c r="W434" s="77" t="str">
        <f ca="1">VLOOKUP($A434,OFFSET([2]characters!$A$1,0,0,COUNTA([2]characters!$A:$A),MATCH(W$1,[2]characters!$1:$1,0)-MATCH($A$1,[2]characters!$1:$1,0)+1),MATCH(W$1,[2]characters!$1:$1,0)-MATCH($A$1,[2]characters!$1:$1,0)+1,FALSE)</f>
        <v>unknown</v>
      </c>
      <c r="X434" s="8" t="str">
        <f ca="1">VLOOKUP(W434,[2]character_tribe_i18n!$A:$H,3,FALSE)</f>
        <v>Unknown</v>
      </c>
      <c r="Y434" s="77" t="str">
        <f ca="1">VLOOKUP($A434,OFFSET([2]characters!$A$1,0,0,COUNTA([2]characters!$A:$A),MATCH(Y$1,[2]characters!$1:$1,0)-MATCH($A$1,[2]characters!$1:$1,0)+1),MATCH(Y$1,[2]characters!$1:$1,0)-MATCH($A$1,[2]characters!$1:$1,0)+1,FALSE)</f>
        <v>none</v>
      </c>
      <c r="Z434" s="8" t="str">
        <f ca="1">VLOOKUP(Y434,[2]character_tribe_i18n!$A:$H,3,FALSE)</f>
        <v>種族なし</v>
      </c>
      <c r="AA434" s="14">
        <f ca="1">VLOOKUP(W434,[2]character_tribe_i18n!$A:$H,4,FALSE)</f>
        <v>1</v>
      </c>
      <c r="AB434" s="14">
        <f ca="1">VLOOKUP(W434,[2]character_tribe_i18n!$A:$H,5,FALSE)</f>
        <v>1</v>
      </c>
      <c r="AC434" s="14">
        <f ca="1">VLOOKUP(W434,[2]character_tribe_i18n!$A:$H,6,FALSE)</f>
        <v>1</v>
      </c>
      <c r="AD434" s="14">
        <f ca="1">VLOOKUP(W434,[2]character_tribe_i18n!$A:$H,7,FALSE)</f>
        <v>1</v>
      </c>
      <c r="AE434" s="12" t="s">
        <v>274</v>
      </c>
      <c r="AF434" s="85" t="str">
        <f ca="1">IF(AE434="NULL","",VLOOKUP($AE434,OFFSET([2]characters!$A$1,0,0,COUNTA([2]characters!$A:$A),MATCH(AF$1,[2]characters!$1:$1,0)-MATCH($A$1,[2]characters!$1:$1,0)+1),MATCH(AF$1,[2]characters!$1:$1,0)-MATCH($A$1,[2]characters!$1:$1,0)+1,FALSE))</f>
        <v/>
      </c>
      <c r="AG434" s="8">
        <f t="shared" ca="1" si="52"/>
        <v>524</v>
      </c>
      <c r="AH434" s="85" t="str">
        <f ca="1">VLOOKUP($AG434,OFFSET([2]characters!$A$1,0,0,COUNTA([2]characters!$A:$A),MATCH(AH$1,[2]characters!$1:$1,0)-MATCH($A$1,[2]characters!$1:$1,0)+1),MATCH(AH$1,[2]characters!$1:$1,0)-MATCH($A$1,[2]characters!$1:$1,0)+1,FALSE)</f>
        <v>あけおめダック</v>
      </c>
      <c r="AI434" s="14" t="str">
        <f>IF(AE434="NULL","NULL",VLOOKUP(G434,ビット!$A$2:$B$7,2))</f>
        <v>NULL</v>
      </c>
      <c r="AJ434" s="9">
        <v>2</v>
      </c>
      <c r="AK434" s="10" t="str">
        <f t="shared" ref="AK434" si="70">IF(AJ434=1,"早熟",IF(AJ434=2,"普通",IF(AJ434=3,"晩成","")))</f>
        <v>普通</v>
      </c>
      <c r="AL434" s="14" t="str">
        <f ca="1">INDEX(経験値!$A$1:$I$20,MATCH(H434,経験値!$A$1:$A$20,FALSE),MATCH(G434,経験値!$A$1:$I$1,FALSE))</f>
        <v>NULL</v>
      </c>
      <c r="AM434" s="11">
        <f ca="1">VLOOKUP(G434,経験値!$A$27:$B$31,2)</f>
        <v>6400</v>
      </c>
      <c r="AN434" s="57">
        <v>1000000</v>
      </c>
      <c r="AO434" s="57"/>
      <c r="AP434" s="101">
        <v>990021</v>
      </c>
      <c r="AQ434" s="77" t="e">
        <f ca="1">VLOOKUP($AP434,OFFSET([1]unit_skills!$A$1,0,0,COUNTA([1]unit_skills!$A:$A),MATCH("name",[1]unit_skills!$1:$1,0)-MATCH($AP$1,[1]unit_skills!$1:$1,0)+1),MATCH("name",[1]unit_skills!$1:$1,0)-MATCH($AP$1,[1]unit_skills!$1:$1,0)+1,FALSE)</f>
        <v>#VALUE!</v>
      </c>
      <c r="AR434" s="77" t="e">
        <f ca="1">VLOOKUP($AP434,OFFSET([1]unit_skills!$A$1,0,0,COUNTA([1]unit_skills!$A:$A),MATCH("comment",[1]unit_skills!$1:$1,0)-MATCH($AP$1,[1]unit_skills!$1:$1,0)+1),MATCH("comment",[1]unit_skills!$1:$1,0)-MATCH($AP$1,[1]unit_skills!$1:$1,0)+1,FALSE)</f>
        <v>#VALUE!</v>
      </c>
      <c r="AS434" s="77" t="e">
        <f ca="1">VLOOKUP($AP434,OFFSET([1]unit_skills!$A$1,0,0,COUNTA([1]unit_skills!$A:$A),MATCH(AS$1,[1]unit_skills!$1:$1,0)-MATCH($AP$1,[1]unit_skills!$1:$1,0)+1),MATCH(AS$1,[1]unit_skills!$1:$1,0)-MATCH($AP$1,[1]unit_skills!$1:$1,0)+1,FALSE)</f>
        <v>#VALUE!</v>
      </c>
      <c r="AT434" s="158">
        <v>2016</v>
      </c>
      <c r="AU434" s="77" t="e">
        <f ca="1">VLOOKUP($AT434,OFFSET([1]crash_skills!$A$1,0,0,COUNTA([1]crash_skills!$A:$A),MATCH("name",[1]crash_skills!$1:$1,0)-MATCH($AT$1,[1]crash_skills!$1:$1,0)+1),MATCH("name",[1]crash_skills!$1:$1,0)-MATCH($AT$1,[1]crash_skills!$1:$1,0)+1,FALSE)</f>
        <v>#VALUE!</v>
      </c>
      <c r="AV434" s="77" t="e">
        <f ca="1">VLOOKUP($AT434,OFFSET([1]crash_skills!$A$1,0,0,COUNTA([1]crash_skills!$A:$A),MATCH("comment",[1]crash_skills!$1:$1,0)-MATCH($AT$1,[1]crash_skills!$1:$1,0)+1),MATCH("comment",[1]crash_skills!$1:$1,0)-MATCH($AT$1,[1]crash_skills!$1:$1,0)+1,FALSE)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34" s="77" t="e">
        <f ca="1">VLOOKUP($AT434,OFFSET([1]crash_skills!$A$1,0,0,COUNTA([1]crash_skills!$A:$A),MATCH(AW$1,[1]crash_skills!$1:$1,0)-MATCH($AT$1,[1]crash_skills!$1:$1,0)+1),MATCH(AW$1,[1]crash_skills!$1:$1,0)-MATCH($AT$1,[1]crash_skills!$1:$1,0)+1,FALSE)</f>
        <v>#VALUE!</v>
      </c>
      <c r="AX434" s="81">
        <f ca="1">VLOOKUP($A434,OFFSET([2]characters!$A$1,0,0,COUNTA([2]characters!$A:$A),MATCH(AX$1,[2]characters!$1:$1,0)-MATCH($A$1,[2]characters!$1:$1,0)+1),MATCH(AX$1,[2]characters!$1:$1,0)-MATCH($A$1,[2]characters!$1:$1,0)+1,FALSE)</f>
        <v>3</v>
      </c>
      <c r="AY434" s="139">
        <v>1</v>
      </c>
      <c r="AZ434" s="139">
        <v>1</v>
      </c>
      <c r="BA434" s="139">
        <v>0</v>
      </c>
      <c r="BB434" s="139">
        <v>1</v>
      </c>
      <c r="BC434" s="14">
        <f ca="1">INDEX('RC6SV'!$A$1:$G$20,MATCH(H434,'RC6SV'!$A$1:$A$20,FALSE),MATCH(G434,'RC6SV'!$A$1:$G$1,FALSE))</f>
        <v>1000</v>
      </c>
      <c r="BD434" s="63">
        <f t="shared" ref="BD434" ca="1" si="71">ROUND(BC434*IF(AJ434=1,0.95,IF(AJ434=2,1,IF(AJ434,1.05,0))),0)</f>
        <v>1000</v>
      </c>
      <c r="BE434" s="14">
        <f t="shared" ca="1" si="53"/>
        <v>0</v>
      </c>
      <c r="BF434" s="14">
        <f t="shared" ca="1" si="54"/>
        <v>1</v>
      </c>
      <c r="BG434" s="138">
        <v>16</v>
      </c>
      <c r="BH434" s="138">
        <v>16</v>
      </c>
      <c r="BI434" s="20">
        <f ca="1">IF($BE434&lt;=0,ROUND(BM434*0.5,0), ROUND($BE434*U434*AC434*L434*BA434*0.8*[2]ステータス!$D$2,0))</f>
        <v>0</v>
      </c>
      <c r="BJ434" s="138">
        <v>16</v>
      </c>
      <c r="BK434" s="138">
        <v>16</v>
      </c>
      <c r="BL434" s="138">
        <v>16</v>
      </c>
      <c r="BM434" s="14">
        <f ca="1">ROUND(BD434*U434*AC434*L434*BA434*[2]ステータス!$D$2,0)</f>
        <v>0</v>
      </c>
      <c r="BN434" s="138">
        <v>16</v>
      </c>
      <c r="BO434" s="13">
        <v>0</v>
      </c>
      <c r="BP434" s="13">
        <v>1</v>
      </c>
      <c r="BQ434" s="13" t="s">
        <v>102</v>
      </c>
      <c r="BR434" s="13">
        <f ca="1">VLOOKUP(H434,ghosts_label!$A$2:$B$19,2,FALSE)</f>
        <v>0</v>
      </c>
    </row>
    <row r="435" spans="1:70" ht="21" customHeight="1" x14ac:dyDescent="0.15">
      <c r="A435" s="14">
        <v>412</v>
      </c>
      <c r="B435" s="77" t="str">
        <f ca="1">VLOOKUP($A435,OFFSET([2]characters!$A$1,0,0,COUNTA([2]characters!$A:$A),MATCH(B$1,[2]characters!$1:$1,0)-MATCH($A$1,[2]characters!$1:$1,0)+1),MATCH(B$1,[2]characters!$1:$1,0)-MATCH($A$1,[2]characters!$1:$1,0)+1,FALSE)</f>
        <v>コウネン</v>
      </c>
      <c r="C435" s="77" t="str">
        <f ca="1">VLOOKUP($A435,OFFSET([2]characters!$A$1,0,0,COUNTA([2]characters!$A:$A),MATCH(C$1,[2]characters!$1:$1,0)-MATCH($A$1,[2]characters!$1:$1,0)+1),MATCH(C$1,[2]characters!$1:$1,0)-MATCH($A$1,[2]characters!$1:$1,0)+1,FALSE)</f>
        <v>ノーマルクエスト</v>
      </c>
      <c r="D435" s="77" t="str">
        <f ca="1">VLOOKUP($A435,OFFSET([2]characters!$A$1,0,0,COUNTA([2]characters!$A:$A),MATCH(D$1,[2]characters!$1:$1,0)-MATCH($A$1,[2]characters!$1:$1,0)+1),MATCH(D$1,[2]characters!$1:$1,0)-MATCH($A$1,[2]characters!$1:$1,0)+1,FALSE)</f>
        <v>執行者</v>
      </c>
      <c r="E435" s="77" t="str">
        <f ca="1">VLOOKUP($A435,OFFSET([2]characters!$A$1,0,0,COUNTA([2]characters!$A:$A),MATCH(E$1,[2]characters!$1:$1,0)-MATCH($A$1,[2]characters!$1:$1,0)+1),MATCH(E$1,[2]characters!$1:$1,0)-MATCH($A$1,[2]characters!$1:$1,0)+1,FALSE)</f>
        <v>格好いい</v>
      </c>
      <c r="F435" s="77" t="str">
        <f ca="1">VLOOKUP($A435,OFFSET([2]characters!$A$1,0,0,COUNTA([2]characters!$A:$A),MATCH(F$1,[2]characters!$1:$1,0)-MATCH($A$1,[2]characters!$1:$1,0)+1),MATCH(F$1,[2]characters!$1:$1,0)-MATCH($A$1,[2]characters!$1:$1,0)+1,FALSE)</f>
        <v>不明</v>
      </c>
      <c r="G435" s="77">
        <f ca="1">VLOOKUP($A435,OFFSET([2]characters!$A$1,0,0,COUNTA([2]characters!$A:$A),MATCH(G$1,[2]characters!$1:$1,0)-MATCH($A$1,[2]characters!$1:$1,0)+1),MATCH(G$1,[2]characters!$1:$1,0)-MATCH($A$1,[2]characters!$1:$1,0)+1,FALSE)</f>
        <v>2</v>
      </c>
      <c r="H435" s="77" t="str">
        <f ca="1">VLOOKUP($A435,OFFSET([2]characters!$A$1,0,0,COUNTA([2]characters!$A:$A),MATCH(H$1,[2]characters!$1:$1,0)-MATCH($A$1,[2]characters!$1:$1,0)+1),MATCH(H$1,[2]characters!$1:$1,0)-MATCH($A$1,[2]characters!$1:$1,0)+1,FALSE)</f>
        <v>Drop1S</v>
      </c>
      <c r="I435" s="77" t="str">
        <f ca="1">VLOOKUP($A435,OFFSET([2]characters!$A$1,0,0,COUNTA([2]characters!$A:$A),MATCH(I$1,[2]characters!$1:$1,0)-MATCH($A$1,[2]characters!$1:$1,0)+1),MATCH(I$1,[2]characters!$1:$1,0)-MATCH($A$1,[2]characters!$1:$1,0)+1,FALSE)</f>
        <v>yellow</v>
      </c>
      <c r="J435" s="14">
        <f ca="1">VLOOKUP(I435,[2]属性!$A:$E,2,FALSE)</f>
        <v>0.98</v>
      </c>
      <c r="K435" s="14">
        <f ca="1">VLOOKUP(I435,[2]属性!$A:$E,3,FALSE)</f>
        <v>1.01</v>
      </c>
      <c r="L435" s="14">
        <f ca="1">VLOOKUP(I435,[2]属性!$A:$E,4,FALSE)</f>
        <v>1</v>
      </c>
      <c r="M435" s="14">
        <f ca="1">VLOOKUP(I435,[2]属性!$A:$E,5,FALSE)</f>
        <v>1.01</v>
      </c>
      <c r="N435" s="14">
        <f ca="1">INDEX(コスト!$A$1:$I$20,MATCH(H435,コスト!$A$1:$A$20,FALSE),MATCH(G435,コスト!$A$1:$I$1,FALSE))</f>
        <v>4</v>
      </c>
      <c r="O435" s="14">
        <f ca="1">INDEX(レベル!$A$1:$I$21,MATCH(H435,レベル!$A$1:$A$21,FALSE),MATCH(G435,レベル!$A$1:$I$1,FALSE))</f>
        <v>30</v>
      </c>
      <c r="P435" s="63">
        <f t="shared" ca="1" si="67"/>
        <v>30</v>
      </c>
      <c r="Q435" s="77" t="str">
        <f ca="1">VLOOKUP($A435,OFFSET([2]characters!$A$1,0,0,COUNTA([2]characters!$A:$A),MATCH(Q$1,[2]characters!$1:$1,0)-MATCH($A$1,[2]characters!$1:$1,0)+1),MATCH(Q$1,[2]characters!$1:$1,0)-MATCH($A$1,[2]characters!$1:$1,0)+1,FALSE)</f>
        <v>heal</v>
      </c>
      <c r="R435" s="8" t="str">
        <f ca="1">VLOOKUP(Q435,[2]character_type_i18n!$A:$H,3,FALSE)</f>
        <v>回復タイプ</v>
      </c>
      <c r="S435" s="14">
        <f ca="1">VLOOKUP(Q435,[2]character_type_i18n!$A:$H,4,FALSE)</f>
        <v>0.8</v>
      </c>
      <c r="T435" s="14">
        <f ca="1">VLOOKUP(Q435,[2]character_type_i18n!$A:$H,5,FALSE)</f>
        <v>0.78</v>
      </c>
      <c r="U435" s="14">
        <f ca="1">VLOOKUP(Q435,[2]character_type_i18n!$A:$H,6,FALSE)</f>
        <v>1</v>
      </c>
      <c r="V435" s="14">
        <f ca="1">VLOOKUP(Q435,[2]character_type_i18n!$A:$H,7,FALSE)</f>
        <v>1.42</v>
      </c>
      <c r="W435" s="77" t="str">
        <f ca="1">VLOOKUP($A435,OFFSET([2]characters!$A$1,0,0,COUNTA([2]characters!$A:$A),MATCH(W$1,[2]characters!$1:$1,0)-MATCH($A$1,[2]characters!$1:$1,0)+1),MATCH(W$1,[2]characters!$1:$1,0)-MATCH($A$1,[2]characters!$1:$1,0)+1,FALSE)</f>
        <v>unknown</v>
      </c>
      <c r="X435" s="8" t="str">
        <f ca="1">VLOOKUP(W435,[2]character_tribe_i18n!$A:$H,3,FALSE)</f>
        <v>Unknown</v>
      </c>
      <c r="Y435" s="77" t="str">
        <f ca="1">VLOOKUP($A435,OFFSET([2]characters!$A$1,0,0,COUNTA([2]characters!$A:$A),MATCH(Y$1,[2]characters!$1:$1,0)-MATCH($A$1,[2]characters!$1:$1,0)+1),MATCH(Y$1,[2]characters!$1:$1,0)-MATCH($A$1,[2]characters!$1:$1,0)+1,FALSE)</f>
        <v>none</v>
      </c>
      <c r="Z435" s="8" t="str">
        <f ca="1">VLOOKUP(Y435,[2]character_tribe_i18n!$A:$H,3,FALSE)</f>
        <v>種族なし</v>
      </c>
      <c r="AA435" s="14">
        <f ca="1">VLOOKUP(W435,[2]character_tribe_i18n!$A:$H,4,FALSE)</f>
        <v>1</v>
      </c>
      <c r="AB435" s="14">
        <f ca="1">VLOOKUP(W435,[2]character_tribe_i18n!$A:$H,5,FALSE)</f>
        <v>1</v>
      </c>
      <c r="AC435" s="14">
        <f ca="1">VLOOKUP(W435,[2]character_tribe_i18n!$A:$H,6,FALSE)</f>
        <v>1</v>
      </c>
      <c r="AD435" s="14">
        <f ca="1">VLOOKUP(W435,[2]character_tribe_i18n!$A:$H,7,FALSE)</f>
        <v>1</v>
      </c>
      <c r="AE435" s="12">
        <v>413</v>
      </c>
      <c r="AF435" s="85" t="str">
        <f ca="1">IF(AE435="NULL","",VLOOKUP($AE435,OFFSET([2]characters!$A$1,0,0,COUNTA([2]characters!$A:$A),MATCH(AF$1,[2]characters!$1:$1,0)-MATCH($A$1,[2]characters!$1:$1,0)+1),MATCH(AF$1,[2]characters!$1:$1,0)-MATCH($A$1,[2]characters!$1:$1,0)+1,FALSE))</f>
        <v>狂騒地蔵 コウネン</v>
      </c>
      <c r="AG435" s="8">
        <f t="shared" ca="1" si="52"/>
        <v>412</v>
      </c>
      <c r="AH435" s="85" t="str">
        <f ca="1">VLOOKUP($AG435,OFFSET([2]characters!$A$1,0,0,COUNTA([2]characters!$A:$A),MATCH(AH$1,[2]characters!$1:$1,0)-MATCH($A$1,[2]characters!$1:$1,0)+1),MATCH(AH$1,[2]characters!$1:$1,0)-MATCH($A$1,[2]characters!$1:$1,0)+1,FALSE)</f>
        <v>コウネン</v>
      </c>
      <c r="AI435" s="14">
        <f ca="1">IF(AE435="NULL","NULL",VLOOKUP(G435,ビット!$A$2:$B$7,2))</f>
        <v>10000</v>
      </c>
      <c r="AJ435" s="9">
        <v>2</v>
      </c>
      <c r="AK435" s="10" t="str">
        <f t="shared" ref="AK435" si="72">IF(AJ435=1,"早熟",IF(AJ435=2,"普通",IF(AJ435=3,"晩成","")))</f>
        <v>普通</v>
      </c>
      <c r="AL435" s="14" t="str">
        <f ca="1">INDEX(経験値!$A$1:$I$20,MATCH(H435,経験値!$A$1:$A$20,FALSE),MATCH(G435,経験値!$A$1:$I$1,FALSE))</f>
        <v>required_exp_150</v>
      </c>
      <c r="AM435" s="11">
        <f ca="1">VLOOKUP(G435,経験値!$A$27:$B$31,2)</f>
        <v>600</v>
      </c>
      <c r="AN435" s="21">
        <f ca="1">VLOOKUP(G435,ビット!$G$2:$H$7,2)</f>
        <v>150</v>
      </c>
      <c r="AO435" s="57"/>
      <c r="AP435" s="101">
        <f>A435</f>
        <v>412</v>
      </c>
      <c r="AQ435" s="77" t="e">
        <f ca="1">VLOOKUP($AP435,OFFSET([1]unit_skills!$A$1,0,0,COUNTA([1]unit_skills!$A:$A),MATCH("name",[1]unit_skills!$1:$1,0)-MATCH($AP$1,[1]unit_skills!$1:$1,0)+1),MATCH("name",[1]unit_skills!$1:$1,0)-MATCH($AP$1,[1]unit_skills!$1:$1,0)+1,FALSE)</f>
        <v>#VALUE!</v>
      </c>
      <c r="AR435" s="77" t="e">
        <f ca="1">VLOOKUP($AP435,OFFSET([1]unit_skills!$A$1,0,0,COUNTA([1]unit_skills!$A:$A),MATCH("comment",[1]unit_skills!$1:$1,0)-MATCH($AP$1,[1]unit_skills!$1:$1,0)+1),MATCH("comment",[1]unit_skills!$1:$1,0)-MATCH($AP$1,[1]unit_skills!$1:$1,0)+1,FALSE)</f>
        <v>#VALUE!</v>
      </c>
      <c r="AS435" s="77" t="e">
        <f ca="1">VLOOKUP($AP435,OFFSET([1]unit_skills!$A$1,0,0,COUNTA([1]unit_skills!$A:$A),MATCH(AS$1,[1]unit_skills!$1:$1,0)-MATCH($AP$1,[1]unit_skills!$1:$1,0)+1),MATCH(AS$1,[1]unit_skills!$1:$1,0)-MATCH($AP$1,[1]unit_skills!$1:$1,0)+1,FALSE)</f>
        <v>#VALUE!</v>
      </c>
      <c r="AT435" s="158">
        <f>A435</f>
        <v>412</v>
      </c>
      <c r="AU435" s="77" t="e">
        <f ca="1">VLOOKUP($AT435,OFFSET([1]crash_skills!$A$1,0,0,COUNTA([1]crash_skills!$A:$A),MATCH("name",[1]crash_skills!$1:$1,0)-MATCH($AT$1,[1]crash_skills!$1:$1,0)+1),MATCH("name",[1]crash_skills!$1:$1,0)-MATCH($AT$1,[1]crash_skills!$1:$1,0)+1,FALSE)</f>
        <v>#VALUE!</v>
      </c>
      <c r="AV435" s="77" t="e">
        <f ca="1">VLOOKUP($AT435,OFFSET([1]crash_skills!$A$1,0,0,COUNTA([1]crash_skills!$A:$A),MATCH("comment",[1]crash_skills!$1:$1,0)-MATCH($AT$1,[1]crash_skills!$1:$1,0)+1),MATCH("comment",[1]crash_skills!$1:$1,0)-MATCH($AT$1,[1]crash_skills!$1:$1,0)+1,FALSE)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35" s="77" t="e">
        <f ca="1">VLOOKUP($AT435,OFFSET([1]crash_skills!$A$1,0,0,COUNTA([1]crash_skills!$A:$A),MATCH(AW$1,[1]crash_skills!$1:$1,0)-MATCH($AT$1,[1]crash_skills!$1:$1,0)+1),MATCH(AW$1,[1]crash_skills!$1:$1,0)-MATCH($AT$1,[1]crash_skills!$1:$1,0)+1,FALSE)</f>
        <v>#VALUE!</v>
      </c>
      <c r="AX435" s="81">
        <f ca="1">VLOOKUP($A435,OFFSET([2]characters!$A$1,0,0,COUNTA([2]characters!$A:$A),MATCH(AX$1,[2]characters!$1:$1,0)-MATCH($A$1,[2]characters!$1:$1,0)+1),MATCH(AX$1,[2]characters!$1:$1,0)-MATCH($A$1,[2]characters!$1:$1,0)+1,FALSE)</f>
        <v>3</v>
      </c>
      <c r="AY435" s="139">
        <v>1</v>
      </c>
      <c r="AZ435" s="139">
        <v>1</v>
      </c>
      <c r="BA435" s="139">
        <v>0</v>
      </c>
      <c r="BB435" s="139">
        <v>1</v>
      </c>
      <c r="BC435" s="14">
        <f ca="1">INDEX('RC6SV'!$A$1:$G$20,MATCH(H435,'RC6SV'!$A$1:$A$20,FALSE),MATCH(G435,'RC6SV'!$A$1:$G$1,FALSE))</f>
        <v>3000</v>
      </c>
      <c r="BD435" s="63">
        <f t="shared" ref="BD435" ca="1" si="73">ROUND(BC435*IF(AJ435=1,0.95,IF(AJ435=2,1,IF(AJ435,1.05,0))),0)</f>
        <v>3000</v>
      </c>
      <c r="BE435" s="14">
        <f t="shared" ca="1" si="53"/>
        <v>0</v>
      </c>
      <c r="BF435" s="14">
        <f t="shared" ca="1" si="54"/>
        <v>1</v>
      </c>
      <c r="BG435" s="20">
        <f ca="1">IF($BE435&lt;=0,ROUND(BK435*0.5,0), ROUND($BE435*S435*AA435*J435*AY435*0.8*[2]ステータス!$B$2,0))</f>
        <v>588</v>
      </c>
      <c r="BH435" s="20">
        <f ca="1">IF($BE435&lt;=0,ROUND(BL435*0.5,0), ROUND($BE435*T435*AB435*K435*AZ435*0.8*[2]ステータス!$C$2,0))</f>
        <v>355</v>
      </c>
      <c r="BI435" s="20">
        <f ca="1">IF($BE435&lt;=0,ROUND(BM435*0.5,0), ROUND($BE435*U435*AC435*L435*BA435*0.8*[2]ステータス!$D$2,0))</f>
        <v>0</v>
      </c>
      <c r="BJ435" s="20">
        <f ca="1">IF($BE435&lt;=0,ROUND(BN435*0.5,0), ROUND($BE435*V435*AD435*M435*BB435*0.8*[2]ステータス!$E$2,0))</f>
        <v>538</v>
      </c>
      <c r="BK435" s="14">
        <f ca="1">ROUND(BD435*S435*AA435*J435*AY435*[2]ステータス!$B$2,0)</f>
        <v>1176</v>
      </c>
      <c r="BL435" s="14">
        <f ca="1">ROUND(BD435*T435*AB435*K435*AZ435*[2]ステータス!$C$2,0)</f>
        <v>709</v>
      </c>
      <c r="BM435" s="14">
        <f ca="1">ROUND(BD435*U435*AC435*L435*BA435*[2]ステータス!$D$2,0)</f>
        <v>0</v>
      </c>
      <c r="BN435" s="14">
        <f ca="1">ROUND(BD435*V435*AD435*M435*BB435*[2]ステータス!$E$2,0)</f>
        <v>1076</v>
      </c>
      <c r="BO435" s="13">
        <v>0</v>
      </c>
      <c r="BP435" s="13">
        <v>1</v>
      </c>
      <c r="BQ435" s="13" t="s">
        <v>102</v>
      </c>
      <c r="BR435" s="13">
        <f ca="1">VLOOKUP(H435,ghosts_label!$A$2:$B$19,2,FALSE)</f>
        <v>1</v>
      </c>
    </row>
    <row r="436" spans="1:70" ht="21" customHeight="1" x14ac:dyDescent="0.15">
      <c r="A436" s="14">
        <v>413</v>
      </c>
      <c r="B436" s="77" t="str">
        <f ca="1">VLOOKUP($A436,OFFSET([2]characters!$A$1,0,0,COUNTA([2]characters!$A:$A),MATCH(B$1,[2]characters!$1:$1,0)-MATCH($A$1,[2]characters!$1:$1,0)+1),MATCH(B$1,[2]characters!$1:$1,0)-MATCH($A$1,[2]characters!$1:$1,0)+1,FALSE)</f>
        <v>狂騒地蔵 コウネン</v>
      </c>
      <c r="C436" s="77" t="str">
        <f ca="1">VLOOKUP($A436,OFFSET([2]characters!$A$1,0,0,COUNTA([2]characters!$A:$A),MATCH(C$1,[2]characters!$1:$1,0)-MATCH($A$1,[2]characters!$1:$1,0)+1),MATCH(C$1,[2]characters!$1:$1,0)-MATCH($A$1,[2]characters!$1:$1,0)+1,FALSE)</f>
        <v>ノーマルクエスト</v>
      </c>
      <c r="D436" s="77" t="str">
        <f ca="1">VLOOKUP($A436,OFFSET([2]characters!$A$1,0,0,COUNTA([2]characters!$A:$A),MATCH(D$1,[2]characters!$1:$1,0)-MATCH($A$1,[2]characters!$1:$1,0)+1),MATCH(D$1,[2]characters!$1:$1,0)-MATCH($A$1,[2]characters!$1:$1,0)+1,FALSE)</f>
        <v>執行者</v>
      </c>
      <c r="E436" s="77" t="str">
        <f ca="1">VLOOKUP($A436,OFFSET([2]characters!$A$1,0,0,COUNTA([2]characters!$A:$A),MATCH(E$1,[2]characters!$1:$1,0)-MATCH($A$1,[2]characters!$1:$1,0)+1),MATCH(E$1,[2]characters!$1:$1,0)-MATCH($A$1,[2]characters!$1:$1,0)+1,FALSE)</f>
        <v>格好いい</v>
      </c>
      <c r="F436" s="77" t="str">
        <f ca="1">VLOOKUP($A436,OFFSET([2]characters!$A$1,0,0,COUNTA([2]characters!$A:$A),MATCH(F$1,[2]characters!$1:$1,0)-MATCH($A$1,[2]characters!$1:$1,0)+1),MATCH(F$1,[2]characters!$1:$1,0)-MATCH($A$1,[2]characters!$1:$1,0)+1,FALSE)</f>
        <v>不明</v>
      </c>
      <c r="G436" s="77">
        <f ca="1">VLOOKUP($A436,OFFSET([2]characters!$A$1,0,0,COUNTA([2]characters!$A:$A),MATCH(G$1,[2]characters!$1:$1,0)-MATCH($A$1,[2]characters!$1:$1,0)+1),MATCH(G$1,[2]characters!$1:$1,0)-MATCH($A$1,[2]characters!$1:$1,0)+1,FALSE)</f>
        <v>3</v>
      </c>
      <c r="H436" s="77" t="str">
        <f ca="1">VLOOKUP($A436,OFFSET([2]characters!$A$1,0,0,COUNTA([2]characters!$A:$A),MATCH(H$1,[2]characters!$1:$1,0)-MATCH($A$1,[2]characters!$1:$1,0)+1),MATCH(H$1,[2]characters!$1:$1,0)-MATCH($A$1,[2]characters!$1:$1,0)+1,FALSE)</f>
        <v>Drop1S</v>
      </c>
      <c r="I436" s="77" t="str">
        <f ca="1">VLOOKUP($A436,OFFSET([2]characters!$A$1,0,0,COUNTA([2]characters!$A:$A),MATCH(I$1,[2]characters!$1:$1,0)-MATCH($A$1,[2]characters!$1:$1,0)+1),MATCH(I$1,[2]characters!$1:$1,0)-MATCH($A$1,[2]characters!$1:$1,0)+1,FALSE)</f>
        <v>yellow</v>
      </c>
      <c r="J436" s="14">
        <f ca="1">VLOOKUP(I436,[2]属性!$A:$E,2,FALSE)</f>
        <v>0.98</v>
      </c>
      <c r="K436" s="14">
        <f ca="1">VLOOKUP(I436,[2]属性!$A:$E,3,FALSE)</f>
        <v>1.01</v>
      </c>
      <c r="L436" s="14">
        <f ca="1">VLOOKUP(I436,[2]属性!$A:$E,4,FALSE)</f>
        <v>1</v>
      </c>
      <c r="M436" s="14">
        <f ca="1">VLOOKUP(I436,[2]属性!$A:$E,5,FALSE)</f>
        <v>1.01</v>
      </c>
      <c r="N436" s="14">
        <f ca="1">INDEX(コスト!$A$1:$I$20,MATCH(H436,コスト!$A$1:$A$20,FALSE),MATCH(G436,コスト!$A$1:$I$1,FALSE))</f>
        <v>6</v>
      </c>
      <c r="O436" s="14">
        <f ca="1">INDEX(レベル!$A$1:$I$21,MATCH(H436,レベル!$A$1:$A$21,FALSE),MATCH(G436,レベル!$A$1:$I$1,FALSE))</f>
        <v>40</v>
      </c>
      <c r="P436" s="63">
        <f t="shared" ref="P436" ca="1" si="74">G436*15</f>
        <v>45</v>
      </c>
      <c r="Q436" s="77" t="str">
        <f ca="1">VLOOKUP($A436,OFFSET([2]characters!$A$1,0,0,COUNTA([2]characters!$A:$A),MATCH(Q$1,[2]characters!$1:$1,0)-MATCH($A$1,[2]characters!$1:$1,0)+1),MATCH(Q$1,[2]characters!$1:$1,0)-MATCH($A$1,[2]characters!$1:$1,0)+1,FALSE)</f>
        <v>heal</v>
      </c>
      <c r="R436" s="8" t="str">
        <f ca="1">VLOOKUP(Q436,[2]character_type_i18n!$A:$H,3,FALSE)</f>
        <v>回復タイプ</v>
      </c>
      <c r="S436" s="14">
        <f ca="1">VLOOKUP(Q436,[2]character_type_i18n!$A:$H,4,FALSE)</f>
        <v>0.8</v>
      </c>
      <c r="T436" s="14">
        <f ca="1">VLOOKUP(Q436,[2]character_type_i18n!$A:$H,5,FALSE)</f>
        <v>0.78</v>
      </c>
      <c r="U436" s="14">
        <f ca="1">VLOOKUP(Q436,[2]character_type_i18n!$A:$H,6,FALSE)</f>
        <v>1</v>
      </c>
      <c r="V436" s="14">
        <f ca="1">VLOOKUP(Q436,[2]character_type_i18n!$A:$H,7,FALSE)</f>
        <v>1.42</v>
      </c>
      <c r="W436" s="77" t="str">
        <f ca="1">VLOOKUP($A436,OFFSET([2]characters!$A$1,0,0,COUNTA([2]characters!$A:$A),MATCH(W$1,[2]characters!$1:$1,0)-MATCH($A$1,[2]characters!$1:$1,0)+1),MATCH(W$1,[2]characters!$1:$1,0)-MATCH($A$1,[2]characters!$1:$1,0)+1,FALSE)</f>
        <v>unknown</v>
      </c>
      <c r="X436" s="8" t="str">
        <f ca="1">VLOOKUP(W436,[2]character_tribe_i18n!$A:$H,3,FALSE)</f>
        <v>Unknown</v>
      </c>
      <c r="Y436" s="77" t="str">
        <f ca="1">VLOOKUP($A436,OFFSET([2]characters!$A$1,0,0,COUNTA([2]characters!$A:$A),MATCH(Y$1,[2]characters!$1:$1,0)-MATCH($A$1,[2]characters!$1:$1,0)+1),MATCH(Y$1,[2]characters!$1:$1,0)-MATCH($A$1,[2]characters!$1:$1,0)+1,FALSE)</f>
        <v>none</v>
      </c>
      <c r="Z436" s="8" t="str">
        <f ca="1">VLOOKUP(Y436,[2]character_tribe_i18n!$A:$H,3,FALSE)</f>
        <v>種族なし</v>
      </c>
      <c r="AA436" s="14">
        <f ca="1">VLOOKUP(W436,[2]character_tribe_i18n!$A:$H,4,FALSE)</f>
        <v>1</v>
      </c>
      <c r="AB436" s="14">
        <f ca="1">VLOOKUP(W436,[2]character_tribe_i18n!$A:$H,5,FALSE)</f>
        <v>1</v>
      </c>
      <c r="AC436" s="14">
        <f ca="1">VLOOKUP(W436,[2]character_tribe_i18n!$A:$H,6,FALSE)</f>
        <v>1</v>
      </c>
      <c r="AD436" s="14">
        <f ca="1">VLOOKUP(W436,[2]character_tribe_i18n!$A:$H,7,FALSE)</f>
        <v>1</v>
      </c>
      <c r="AE436" s="12" t="s">
        <v>114</v>
      </c>
      <c r="AF436" s="85" t="str">
        <f ca="1">IF(AE436="NULL","",VLOOKUP($AE436,OFFSET([2]characters!$A$1,0,0,COUNTA([2]characters!$A:$A),MATCH(AF$1,[2]characters!$1:$1,0)-MATCH($A$1,[2]characters!$1:$1,0)+1),MATCH(AF$1,[2]characters!$1:$1,0)-MATCH($A$1,[2]characters!$1:$1,0)+1,FALSE))</f>
        <v/>
      </c>
      <c r="AG436" s="8">
        <f t="shared" ca="1" si="52"/>
        <v>412</v>
      </c>
      <c r="AH436" s="85" t="str">
        <f ca="1">VLOOKUP($AG436,OFFSET([2]characters!$A$1,0,0,COUNTA([2]characters!$A:$A),MATCH(AH$1,[2]characters!$1:$1,0)-MATCH($A$1,[2]characters!$1:$1,0)+1),MATCH(AH$1,[2]characters!$1:$1,0)-MATCH($A$1,[2]characters!$1:$1,0)+1,FALSE)</f>
        <v>コウネン</v>
      </c>
      <c r="AI436" s="14" t="str">
        <f>IF(AE436="NULL","NULL",VLOOKUP(G436,ビット!$A$2:$B$7,2))</f>
        <v>NULL</v>
      </c>
      <c r="AJ436" s="9">
        <v>2</v>
      </c>
      <c r="AK436" s="10" t="str">
        <f t="shared" ref="AK436" si="75">IF(AJ436=1,"早熟",IF(AJ436=2,"普通",IF(AJ436=3,"晩成","")))</f>
        <v>普通</v>
      </c>
      <c r="AL436" s="14" t="str">
        <f ca="1">INDEX(経験値!$A$1:$I$20,MATCH(H436,経験値!$A$1:$A$20,FALSE),MATCH(G436,経験値!$A$1:$I$1,FALSE))</f>
        <v>required_exp_150</v>
      </c>
      <c r="AM436" s="11">
        <f ca="1">VLOOKUP(G436,経験値!$A$27:$B$31,2)</f>
        <v>1500</v>
      </c>
      <c r="AN436" s="21">
        <f ca="1">VLOOKUP(G436,ビット!$G$2:$H$7,2)</f>
        <v>300</v>
      </c>
      <c r="AO436" s="57"/>
      <c r="AP436" s="101">
        <f t="shared" ref="AP436:AP437" si="76">A436</f>
        <v>413</v>
      </c>
      <c r="AQ436" s="77" t="e">
        <f ca="1">VLOOKUP($AP436,OFFSET([1]unit_skills!$A$1,0,0,COUNTA([1]unit_skills!$A:$A),MATCH("name",[1]unit_skills!$1:$1,0)-MATCH($AP$1,[1]unit_skills!$1:$1,0)+1),MATCH("name",[1]unit_skills!$1:$1,0)-MATCH($AP$1,[1]unit_skills!$1:$1,0)+1,FALSE)</f>
        <v>#VALUE!</v>
      </c>
      <c r="AR436" s="77" t="e">
        <f ca="1">VLOOKUP($AP436,OFFSET([1]unit_skills!$A$1,0,0,COUNTA([1]unit_skills!$A:$A),MATCH("comment",[1]unit_skills!$1:$1,0)-MATCH($AP$1,[1]unit_skills!$1:$1,0)+1),MATCH("comment",[1]unit_skills!$1:$1,0)-MATCH($AP$1,[1]unit_skills!$1:$1,0)+1,FALSE)</f>
        <v>#VALUE!</v>
      </c>
      <c r="AS436" s="77" t="e">
        <f ca="1">VLOOKUP($AP436,OFFSET([1]unit_skills!$A$1,0,0,COUNTA([1]unit_skills!$A:$A),MATCH(AS$1,[1]unit_skills!$1:$1,0)-MATCH($AP$1,[1]unit_skills!$1:$1,0)+1),MATCH(AS$1,[1]unit_skills!$1:$1,0)-MATCH($AP$1,[1]unit_skills!$1:$1,0)+1,FALSE)</f>
        <v>#VALUE!</v>
      </c>
      <c r="AT436" s="158">
        <f>A436</f>
        <v>413</v>
      </c>
      <c r="AU436" s="77" t="e">
        <f ca="1">VLOOKUP($AT436,OFFSET([1]crash_skills!$A$1,0,0,COUNTA([1]crash_skills!$A:$A),MATCH("name",[1]crash_skills!$1:$1,0)-MATCH($AT$1,[1]crash_skills!$1:$1,0)+1),MATCH("name",[1]crash_skills!$1:$1,0)-MATCH($AT$1,[1]crash_skills!$1:$1,0)+1,FALSE)</f>
        <v>#VALUE!</v>
      </c>
      <c r="AV436" s="77" t="e">
        <f ca="1">VLOOKUP($AT436,OFFSET([1]crash_skills!$A$1,0,0,COUNTA([1]crash_skills!$A:$A),MATCH("comment",[1]crash_skills!$1:$1,0)-MATCH($AT$1,[1]crash_skills!$1:$1,0)+1),MATCH("comment",[1]crash_skills!$1:$1,0)-MATCH($AT$1,[1]crash_skills!$1:$1,0)+1,FALSE)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36" s="77" t="e">
        <f ca="1">VLOOKUP($AT436,OFFSET([1]crash_skills!$A$1,0,0,COUNTA([1]crash_skills!$A:$A),MATCH(AW$1,[1]crash_skills!$1:$1,0)-MATCH($AT$1,[1]crash_skills!$1:$1,0)+1),MATCH(AW$1,[1]crash_skills!$1:$1,0)-MATCH($AT$1,[1]crash_skills!$1:$1,0)+1,FALSE)</f>
        <v>#VALUE!</v>
      </c>
      <c r="AX436" s="81">
        <f ca="1">VLOOKUP($A436,OFFSET([2]characters!$A$1,0,0,COUNTA([2]characters!$A:$A),MATCH(AX$1,[2]characters!$1:$1,0)-MATCH($A$1,[2]characters!$1:$1,0)+1),MATCH(AX$1,[2]characters!$1:$1,0)-MATCH($A$1,[2]characters!$1:$1,0)+1,FALSE)</f>
        <v>3</v>
      </c>
      <c r="AY436" s="139">
        <v>1</v>
      </c>
      <c r="AZ436" s="139">
        <v>1</v>
      </c>
      <c r="BA436" s="139">
        <v>0</v>
      </c>
      <c r="BB436" s="139">
        <v>1</v>
      </c>
      <c r="BC436" s="14">
        <f ca="1">INDEX('RC6SV'!$A$1:$G$20,MATCH(H436,'RC6SV'!$A$1:$A$20,FALSE),MATCH(G436,'RC6SV'!$A$1:$G$1,FALSE))</f>
        <v>4200</v>
      </c>
      <c r="BD436" s="63">
        <f t="shared" ref="BD436" ca="1" si="77">ROUND(BC436*IF(AJ436=1,0.95,IF(AJ436=2,1,IF(AJ436,1.05,0))),0)</f>
        <v>4200</v>
      </c>
      <c r="BE436" s="14">
        <f t="shared" ca="1" si="53"/>
        <v>3000</v>
      </c>
      <c r="BF436" s="14">
        <f t="shared" ca="1" si="54"/>
        <v>1</v>
      </c>
      <c r="BG436" s="20">
        <f ca="1">IF($BE436&lt;=0,ROUND(BK436*0.5,0), ROUND($BE436*S436*AA436*J436*AY436*0.8*[2]ステータス!$B$2,0))</f>
        <v>941</v>
      </c>
      <c r="BH436" s="20">
        <f ca="1">IF($BE436&lt;=0,ROUND(BL436*0.5,0), ROUND($BE436*T436*AB436*K436*AZ436*0.8*[2]ステータス!$C$2,0))</f>
        <v>567</v>
      </c>
      <c r="BI436" s="20">
        <f ca="1">IF($BE436&lt;=0,ROUND(BM436*0.5,0), ROUND($BE436*U436*AC436*L436*BA436*0.8*[2]ステータス!$D$2,0))</f>
        <v>0</v>
      </c>
      <c r="BJ436" s="20">
        <f ca="1">IF($BE436&lt;=0,ROUND(BN436*0.5,0), ROUND($BE436*V436*AD436*M436*BB436*0.8*[2]ステータス!$E$2,0))</f>
        <v>861</v>
      </c>
      <c r="BK436" s="14">
        <f ca="1">ROUND(BD436*S436*AA436*J436*AY436*[2]ステータス!$B$2,0)</f>
        <v>1646</v>
      </c>
      <c r="BL436" s="14">
        <f ca="1">ROUND(BD436*T436*AB436*K436*AZ436*[2]ステータス!$C$2,0)</f>
        <v>993</v>
      </c>
      <c r="BM436" s="14">
        <f ca="1">ROUND(BD436*U436*AC436*L436*BA436*[2]ステータス!$D$2,0)</f>
        <v>0</v>
      </c>
      <c r="BN436" s="14">
        <f ca="1">ROUND(BD436*V436*AD436*M436*BB436*[2]ステータス!$E$2,0)</f>
        <v>1506</v>
      </c>
      <c r="BO436" s="13">
        <v>0</v>
      </c>
      <c r="BP436" s="13">
        <v>1</v>
      </c>
      <c r="BQ436" s="13" t="s">
        <v>102</v>
      </c>
      <c r="BR436" s="13">
        <f ca="1">VLOOKUP(H436,ghosts_label!$A$2:$B$19,2,FALSE)</f>
        <v>1</v>
      </c>
    </row>
    <row r="437" spans="1:70" ht="21" customHeight="1" x14ac:dyDescent="0.15">
      <c r="A437" s="14">
        <v>837</v>
      </c>
      <c r="B437" s="77" t="str">
        <f ca="1">VLOOKUP($A437,OFFSET([2]characters!$A$1,0,0,COUNTA([2]characters!$A:$A),MATCH(B$1,[2]characters!$1:$1,0)-MATCH($A$1,[2]characters!$1:$1,0)+1),MATCH(B$1,[2]characters!$1:$1,0)-MATCH($A$1,[2]characters!$1:$1,0)+1,FALSE)</f>
        <v>リトルハンプティ</v>
      </c>
      <c r="C437" s="77" t="str">
        <f ca="1">VLOOKUP($A437,OFFSET([2]characters!$A$1,0,0,COUNTA([2]characters!$A:$A),MATCH(C$1,[2]characters!$1:$1,0)-MATCH($A$1,[2]characters!$1:$1,0)+1),MATCH(C$1,[2]characters!$1:$1,0)-MATCH($A$1,[2]characters!$1:$1,0)+1,FALSE)</f>
        <v>各属性相性良3・黄・R455</v>
      </c>
      <c r="D437" s="77" t="str">
        <f ca="1">VLOOKUP($A437,OFFSET([2]characters!$A$1,0,0,COUNTA([2]characters!$A:$A),MATCH(D$1,[2]characters!$1:$1,0)-MATCH($A$1,[2]characters!$1:$1,0)+1),MATCH(D$1,[2]characters!$1:$1,0)-MATCH($A$1,[2]characters!$1:$1,0)+1,FALSE)</f>
        <v>執行者</v>
      </c>
      <c r="E437" s="77" t="str">
        <f ca="1">VLOOKUP($A437,OFFSET([2]characters!$A$1,0,0,COUNTA([2]characters!$A:$A),MATCH(E$1,[2]characters!$1:$1,0)-MATCH($A$1,[2]characters!$1:$1,0)+1),MATCH(E$1,[2]characters!$1:$1,0)-MATCH($A$1,[2]characters!$1:$1,0)+1,FALSE)</f>
        <v>格好いい</v>
      </c>
      <c r="F437" s="77" t="str">
        <f ca="1">VLOOKUP($A437,OFFSET([2]characters!$A$1,0,0,COUNTA([2]characters!$A:$A),MATCH(F$1,[2]characters!$1:$1,0)-MATCH($A$1,[2]characters!$1:$1,0)+1),MATCH(F$1,[2]characters!$1:$1,0)-MATCH($A$1,[2]characters!$1:$1,0)+1,FALSE)</f>
        <v>男性</v>
      </c>
      <c r="G437" s="77">
        <f ca="1">VLOOKUP($A437,OFFSET([2]characters!$A$1,0,0,COUNTA([2]characters!$A:$A),MATCH(G$1,[2]characters!$1:$1,0)-MATCH($A$1,[2]characters!$1:$1,0)+1),MATCH(G$1,[2]characters!$1:$1,0)-MATCH($A$1,[2]characters!$1:$1,0)+1,FALSE)</f>
        <v>6</v>
      </c>
      <c r="H437" s="77" t="str">
        <f ca="1">VLOOKUP($A437,OFFSET([2]characters!$A$1,0,0,COUNTA([2]characters!$A:$A),MATCH(H$1,[2]characters!$1:$1,0)-MATCH($A$1,[2]characters!$1:$1,0)+1),MATCH(H$1,[2]characters!$1:$1,0)-MATCH($A$1,[2]characters!$1:$1,0)+1,FALSE)</f>
        <v>Material</v>
      </c>
      <c r="I437" s="77" t="str">
        <f ca="1">VLOOKUP($A437,OFFSET([2]characters!$A$1,0,0,COUNTA([2]characters!$A:$A),MATCH(I$1,[2]characters!$1:$1,0)-MATCH($A$1,[2]characters!$1:$1,0)+1),MATCH(I$1,[2]characters!$1:$1,0)-MATCH($A$1,[2]characters!$1:$1,0)+1,FALSE)</f>
        <v>yellow</v>
      </c>
      <c r="J437" s="14">
        <f ca="1">VLOOKUP(I437,[2]属性!$A:$E,2,FALSE)</f>
        <v>0.98</v>
      </c>
      <c r="K437" s="14">
        <f ca="1">VLOOKUP(I437,[2]属性!$A:$E,3,FALSE)</f>
        <v>1.01</v>
      </c>
      <c r="L437" s="14">
        <f ca="1">VLOOKUP(I437,[2]属性!$A:$E,4,FALSE)</f>
        <v>1</v>
      </c>
      <c r="M437" s="14">
        <f ca="1">VLOOKUP(I437,[2]属性!$A:$E,5,FALSE)</f>
        <v>1.01</v>
      </c>
      <c r="N437" s="14">
        <f ca="1">INDEX(コスト!$A$1:$I$20,MATCH(H437,コスト!$A$1:$A$20,FALSE),MATCH(G437,コスト!$A$1:$I$1,FALSE))</f>
        <v>99</v>
      </c>
      <c r="O437" s="14">
        <f ca="1">INDEX(レベル!$A$1:$I$21,MATCH(H437,レベル!$A$1:$A$21,FALSE),MATCH(G437,レベル!$A$1:$I$1,FALSE))</f>
        <v>1</v>
      </c>
      <c r="P437" s="63">
        <v>1</v>
      </c>
      <c r="Q437" s="77" t="str">
        <f ca="1">VLOOKUP($A437,OFFSET([2]characters!$A$1,0,0,COUNTA([2]characters!$A:$A),MATCH(Q$1,[2]characters!$1:$1,0)-MATCH($A$1,[2]characters!$1:$1,0)+1),MATCH(Q$1,[2]characters!$1:$1,0)-MATCH($A$1,[2]characters!$1:$1,0)+1,FALSE)</f>
        <v>evolution</v>
      </c>
      <c r="R437" s="8" t="str">
        <f ca="1">VLOOKUP(Q437,[2]character_type_i18n!$A:$H,3,FALSE)</f>
        <v>覚醒素材タイプ</v>
      </c>
      <c r="S437" s="14">
        <f ca="1">VLOOKUP(Q437,[2]character_type_i18n!$A:$H,4,FALSE)</f>
        <v>0.1</v>
      </c>
      <c r="T437" s="14">
        <f ca="1">VLOOKUP(Q437,[2]character_type_i18n!$A:$H,5,FALSE)</f>
        <v>0.05</v>
      </c>
      <c r="U437" s="14">
        <f ca="1">VLOOKUP(Q437,[2]character_type_i18n!$A:$H,6,FALSE)</f>
        <v>1</v>
      </c>
      <c r="V437" s="14">
        <f ca="1">VLOOKUP(Q437,[2]character_type_i18n!$A:$H,7,FALSE)</f>
        <v>0.05</v>
      </c>
      <c r="W437" s="77" t="str">
        <f ca="1">VLOOKUP($A437,OFFSET([2]characters!$A$1,0,0,COUNTA([2]characters!$A:$A),MATCH(W$1,[2]characters!$1:$1,0)-MATCH($A$1,[2]characters!$1:$1,0)+1),MATCH(W$1,[2]characters!$1:$1,0)-MATCH($A$1,[2]characters!$1:$1,0)+1,FALSE)</f>
        <v>unknown</v>
      </c>
      <c r="X437" s="8" t="str">
        <f ca="1">VLOOKUP(W437,[2]character_tribe_i18n!$A:$H,3,FALSE)</f>
        <v>Unknown</v>
      </c>
      <c r="Y437" s="77" t="str">
        <f ca="1">VLOOKUP($A437,OFFSET([2]characters!$A$1,0,0,COUNTA([2]characters!$A:$A),MATCH(Y$1,[2]characters!$1:$1,0)-MATCH($A$1,[2]characters!$1:$1,0)+1),MATCH(Y$1,[2]characters!$1:$1,0)-MATCH($A$1,[2]characters!$1:$1,0)+1,FALSE)</f>
        <v>none</v>
      </c>
      <c r="Z437" s="8" t="str">
        <f ca="1">VLOOKUP(Y437,[2]character_tribe_i18n!$A:$H,3,FALSE)</f>
        <v>種族なし</v>
      </c>
      <c r="AA437" s="14">
        <f ca="1">VLOOKUP(W437,[2]character_tribe_i18n!$A:$H,4,FALSE)</f>
        <v>1</v>
      </c>
      <c r="AB437" s="14">
        <f ca="1">VLOOKUP(W437,[2]character_tribe_i18n!$A:$H,5,FALSE)</f>
        <v>1</v>
      </c>
      <c r="AC437" s="14">
        <f ca="1">VLOOKUP(W437,[2]character_tribe_i18n!$A:$H,6,FALSE)</f>
        <v>1</v>
      </c>
      <c r="AD437" s="14">
        <f ca="1">VLOOKUP(W437,[2]character_tribe_i18n!$A:$H,7,FALSE)</f>
        <v>1</v>
      </c>
      <c r="AE437" s="12" t="s">
        <v>114</v>
      </c>
      <c r="AF437" s="85" t="str">
        <f ca="1">IF(AE437="NULL","",VLOOKUP($AE437,OFFSET([2]characters!$A$1,0,0,COUNTA([2]characters!$A:$A),MATCH(AF$1,[2]characters!$1:$1,0)-MATCH($A$1,[2]characters!$1:$1,0)+1),MATCH(AF$1,[2]characters!$1:$1,0)-MATCH($A$1,[2]characters!$1:$1,0)+1,FALSE))</f>
        <v/>
      </c>
      <c r="AG437" s="8">
        <f t="shared" ca="1" si="52"/>
        <v>837</v>
      </c>
      <c r="AH437" s="85" t="str">
        <f ca="1">VLOOKUP($AG437,OFFSET([2]characters!$A$1,0,0,COUNTA([2]characters!$A:$A),MATCH(AH$1,[2]characters!$1:$1,0)-MATCH($A$1,[2]characters!$1:$1,0)+1),MATCH(AH$1,[2]characters!$1:$1,0)-MATCH($A$1,[2]characters!$1:$1,0)+1,FALSE)</f>
        <v>リトルハンプティ</v>
      </c>
      <c r="AI437" s="14" t="str">
        <f>IF(AE437="NULL","NULL",VLOOKUP(G437,ビット!$A$2:$B$7,2))</f>
        <v>NULL</v>
      </c>
      <c r="AJ437" s="9">
        <v>2</v>
      </c>
      <c r="AK437" s="10" t="str">
        <f t="shared" ref="AK437" si="78">IF(AJ437=1,"早熟",IF(AJ437=2,"普通",IF(AJ437=3,"晩成","")))</f>
        <v>普通</v>
      </c>
      <c r="AL437" s="14" t="str">
        <f ca="1">INDEX(経験値!$A$1:$I$20,MATCH(H437,経験値!$A$1:$A$20,FALSE),MATCH(G437,経験値!$A$1:$I$1,FALSE))</f>
        <v>NULL</v>
      </c>
      <c r="AM437" s="11">
        <f ca="1">VLOOKUP(G437,経験値!$A$27:$B$31,2)</f>
        <v>6400</v>
      </c>
      <c r="AN437" s="21">
        <f ca="1">VLOOKUP(G437,ビット!$G$2:$H$7,2)</f>
        <v>900</v>
      </c>
      <c r="AO437" s="57"/>
      <c r="AP437" s="101">
        <f t="shared" si="76"/>
        <v>837</v>
      </c>
      <c r="AQ437" s="77" t="e">
        <f ca="1">VLOOKUP($AP437,OFFSET([1]unit_skills!$A$1,0,0,COUNTA([1]unit_skills!$A:$A),MATCH("name",[1]unit_skills!$1:$1,0)-MATCH($AP$1,[1]unit_skills!$1:$1,0)+1),MATCH("name",[1]unit_skills!$1:$1,0)-MATCH($AP$1,[1]unit_skills!$1:$1,0)+1,FALSE)</f>
        <v>#VALUE!</v>
      </c>
      <c r="AR437" s="77" t="e">
        <f ca="1">VLOOKUP($AP437,OFFSET([1]unit_skills!$A$1,0,0,COUNTA([1]unit_skills!$A:$A),MATCH("comment",[1]unit_skills!$1:$1,0)-MATCH($AP$1,[1]unit_skills!$1:$1,0)+1),MATCH("comment",[1]unit_skills!$1:$1,0)-MATCH($AP$1,[1]unit_skills!$1:$1,0)+1,FALSE)</f>
        <v>#VALUE!</v>
      </c>
      <c r="AS437" s="77" t="e">
        <f ca="1">VLOOKUP($AP437,OFFSET([1]unit_skills!$A$1,0,0,COUNTA([1]unit_skills!$A:$A),MATCH(AS$1,[1]unit_skills!$1:$1,0)-MATCH($AP$1,[1]unit_skills!$1:$1,0)+1),MATCH(AS$1,[1]unit_skills!$1:$1,0)-MATCH($AP$1,[1]unit_skills!$1:$1,0)+1,FALSE)</f>
        <v>#VALUE!</v>
      </c>
      <c r="AT437" s="158">
        <v>0</v>
      </c>
      <c r="AU437" s="77" t="e">
        <f ca="1">VLOOKUP($AT437,OFFSET([1]crash_skills!$A$1,0,0,COUNTA([1]crash_skills!$A:$A),MATCH("name",[1]crash_skills!$1:$1,0)-MATCH($AT$1,[1]crash_skills!$1:$1,0)+1),MATCH("name",[1]crash_skills!$1:$1,0)-MATCH($AT$1,[1]crash_skills!$1:$1,0)+1,FALSE)</f>
        <v>#VALUE!</v>
      </c>
      <c r="AV437" s="77" t="e">
        <f ca="1">VLOOKUP($AT437,OFFSET([1]crash_skills!$A$1,0,0,COUNTA([1]crash_skills!$A:$A),MATCH("comment",[1]crash_skills!$1:$1,0)-MATCH($AT$1,[1]crash_skills!$1:$1,0)+1),MATCH("comment",[1]crash_skills!$1:$1,0)-MATCH($AT$1,[1]crash_skills!$1:$1,0)+1,FALSE)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37" s="77" t="e">
        <f ca="1">VLOOKUP($AT437,OFFSET([1]crash_skills!$A$1,0,0,COUNTA([1]crash_skills!$A:$A),MATCH(AW$1,[1]crash_skills!$1:$1,0)-MATCH($AT$1,[1]crash_skills!$1:$1,0)+1),MATCH(AW$1,[1]crash_skills!$1:$1,0)-MATCH($AT$1,[1]crash_skills!$1:$1,0)+1,FALSE)</f>
        <v>#VALUE!</v>
      </c>
      <c r="AX437" s="81">
        <f ca="1">VLOOKUP($A437,OFFSET([2]characters!$A$1,0,0,COUNTA([2]characters!$A:$A),MATCH(AX$1,[2]characters!$1:$1,0)-MATCH($A$1,[2]characters!$1:$1,0)+1),MATCH(AX$1,[2]characters!$1:$1,0)-MATCH($A$1,[2]characters!$1:$1,0)+1,FALSE)</f>
        <v>3</v>
      </c>
      <c r="AY437" s="139">
        <v>1</v>
      </c>
      <c r="AZ437" s="139">
        <v>1</v>
      </c>
      <c r="BA437" s="139">
        <v>0</v>
      </c>
      <c r="BB437" s="139">
        <v>1</v>
      </c>
      <c r="BC437" s="14">
        <f ca="1">INDEX('RC6SV'!$A$1:$G$20,MATCH(H437,'RC6SV'!$A$1:$A$20,FALSE),MATCH(G437,'RC6SV'!$A$1:$G$1,FALSE))</f>
        <v>1000</v>
      </c>
      <c r="BD437" s="63">
        <f t="shared" ref="BD437" ca="1" si="79">ROUND(BC437*IF(AJ437=1,0.95,IF(AJ437=2,1,IF(AJ437,1.05,0))),0)</f>
        <v>1000</v>
      </c>
      <c r="BE437" s="14">
        <f t="shared" ca="1" si="53"/>
        <v>0</v>
      </c>
      <c r="BF437" s="14">
        <f t="shared" ca="1" si="54"/>
        <v>1</v>
      </c>
      <c r="BG437" s="20">
        <f ca="1">IF($BE437&lt;=0,ROUND(BK437*0.5,0), ROUND($BE437*S437*AA437*J437*AY437*0.8*[2]ステータス!$B$2,0))</f>
        <v>25</v>
      </c>
      <c r="BH437" s="20">
        <f ca="1">IF($BE437&lt;=0,ROUND(BL437*0.5,0), ROUND($BE437*T437*AB437*K437*AZ437*0.8*[2]ステータス!$C$2,0))</f>
        <v>8</v>
      </c>
      <c r="BI437" s="20">
        <f ca="1">IF($BE437&lt;=0,ROUND(BM437*0.5,0), ROUND($BE437*U437*AC437*L437*BA437*0.8*[2]ステータス!$D$2,0))</f>
        <v>0</v>
      </c>
      <c r="BJ437" s="20">
        <f ca="1">IF($BE437&lt;=0,ROUND(BN437*0.5,0), ROUND($BE437*V437*AD437*M437*BB437*0.8*[2]ステータス!$E$2,0))</f>
        <v>7</v>
      </c>
      <c r="BK437" s="14">
        <f ca="1">ROUND(BD437*S437*AA437*J437*AY437*[2]ステータス!$B$2,0)</f>
        <v>49</v>
      </c>
      <c r="BL437" s="14">
        <f ca="1">ROUND(BD437*T437*AB437*K437*AZ437*[2]ステータス!$C$2,0)</f>
        <v>15</v>
      </c>
      <c r="BM437" s="14">
        <f ca="1">ROUND(BD437*U437*AC437*L437*BA437*[2]ステータス!$D$2,0)</f>
        <v>0</v>
      </c>
      <c r="BN437" s="14">
        <f ca="1">ROUND(BD437*V437*AD437*M437*BB437*[2]ステータス!$E$2,0)</f>
        <v>13</v>
      </c>
      <c r="BO437" s="13">
        <v>0</v>
      </c>
      <c r="BP437" s="13">
        <v>1</v>
      </c>
      <c r="BQ437" s="13" t="s">
        <v>102</v>
      </c>
      <c r="BR437" s="13">
        <f ca="1">VLOOKUP(H437,ghosts_label!$A$2:$B$19,2,FALSE)</f>
        <v>0</v>
      </c>
    </row>
    <row r="438" spans="1:70" ht="21" customHeight="1" x14ac:dyDescent="0.15">
      <c r="A438" s="14">
        <v>976</v>
      </c>
      <c r="B438" s="77" t="str">
        <f ca="1">VLOOKUP($A438,OFFSET([2]characters!$A$1,0,0,COUNTA([2]characters!$A:$A),MATCH(B$1,[2]characters!$1:$1,0)-MATCH($A$1,[2]characters!$1:$1,0)+1),MATCH(B$1,[2]characters!$1:$1,0)-MATCH($A$1,[2]characters!$1:$1,0)+1,FALSE)</f>
        <v>ウザリーマン</v>
      </c>
      <c r="C438" s="77" t="str">
        <f ca="1">VLOOKUP($A438,OFFSET([2]characters!$A$1,0,0,COUNTA([2]characters!$A:$A),MATCH(C$1,[2]characters!$1:$1,0)-MATCH($A$1,[2]characters!$1:$1,0)+1),MATCH(C$1,[2]characters!$1:$1,0)-MATCH($A$1,[2]characters!$1:$1,0)+1,FALSE)</f>
        <v>各属性相性良3・黄・R483</v>
      </c>
      <c r="D438" s="77" t="str">
        <f ca="1">VLOOKUP($A438,OFFSET([2]characters!$A$1,0,0,COUNTA([2]characters!$A:$A),MATCH(D$1,[2]characters!$1:$1,0)-MATCH($A$1,[2]characters!$1:$1,0)+1),MATCH(D$1,[2]characters!$1:$1,0)-MATCH($A$1,[2]characters!$1:$1,0)+1,FALSE)</f>
        <v>執行者</v>
      </c>
      <c r="E438" s="77" t="str">
        <f ca="1">VLOOKUP($A438,OFFSET([2]characters!$A$1,0,0,COUNTA([2]characters!$A:$A),MATCH(E$1,[2]characters!$1:$1,0)-MATCH($A$1,[2]characters!$1:$1,0)+1),MATCH(E$1,[2]characters!$1:$1,0)-MATCH($A$1,[2]characters!$1:$1,0)+1,FALSE)</f>
        <v>格好いい</v>
      </c>
      <c r="F438" s="77" t="str">
        <f ca="1">VLOOKUP($A438,OFFSET([2]characters!$A$1,0,0,COUNTA([2]characters!$A:$A),MATCH(F$1,[2]characters!$1:$1,0)-MATCH($A$1,[2]characters!$1:$1,0)+1),MATCH(F$1,[2]characters!$1:$1,0)-MATCH($A$1,[2]characters!$1:$1,0)+1,FALSE)</f>
        <v>男性</v>
      </c>
      <c r="G438" s="77">
        <f ca="1">VLOOKUP($A438,OFFSET([2]characters!$A$1,0,0,COUNTA([2]characters!$A:$A),MATCH(G$1,[2]characters!$1:$1,0)-MATCH($A$1,[2]characters!$1:$1,0)+1),MATCH(G$1,[2]characters!$1:$1,0)-MATCH($A$1,[2]characters!$1:$1,0)+1,FALSE)</f>
        <v>3</v>
      </c>
      <c r="H438" s="77" t="str">
        <f ca="1">VLOOKUP($A438,OFFSET([2]characters!$A$1,0,0,COUNTA([2]characters!$A:$A),MATCH(H$1,[2]characters!$1:$1,0)-MATCH($A$1,[2]characters!$1:$1,0)+1),MATCH(H$1,[2]characters!$1:$1,0)-MATCH($A$1,[2]characters!$1:$1,0)+1,FALSE)</f>
        <v>Drop2N</v>
      </c>
      <c r="I438" s="77" t="str">
        <f ca="1">VLOOKUP($A438,OFFSET([2]characters!$A$1,0,0,COUNTA([2]characters!$A:$A),MATCH(I$1,[2]characters!$1:$1,0)-MATCH($A$1,[2]characters!$1:$1,0)+1),MATCH(I$1,[2]characters!$1:$1,0)-MATCH($A$1,[2]characters!$1:$1,0)+1,FALSE)</f>
        <v>red</v>
      </c>
      <c r="J438" s="14">
        <f ca="1">VLOOKUP(I438,[2]属性!$A:$E,2,FALSE)</f>
        <v>1</v>
      </c>
      <c r="K438" s="14">
        <f ca="1">VLOOKUP(I438,[2]属性!$A:$E,3,FALSE)</f>
        <v>1.02</v>
      </c>
      <c r="L438" s="14">
        <f ca="1">VLOOKUP(I438,[2]属性!$A:$E,4,FALSE)</f>
        <v>1</v>
      </c>
      <c r="M438" s="14">
        <f ca="1">VLOOKUP(I438,[2]属性!$A:$E,5,FALSE)</f>
        <v>0.98</v>
      </c>
      <c r="N438" s="14">
        <f ca="1">INDEX(コスト!$A$1:$I$20,MATCH(H438,コスト!$A$1:$A$20,FALSE),MATCH(G438,コスト!$A$1:$I$1,FALSE))</f>
        <v>8</v>
      </c>
      <c r="O438" s="14">
        <f ca="1">INDEX(レベル!$A$1:$I$21,MATCH(H438,レベル!$A$1:$A$21,FALSE),MATCH(G438,レベル!$A$1:$I$1,FALSE))</f>
        <v>40</v>
      </c>
      <c r="P438" s="63">
        <v>1</v>
      </c>
      <c r="Q438" s="77" t="str">
        <f ca="1">VLOOKUP($A438,OFFSET([2]characters!$A$1,0,0,COUNTA([2]characters!$A:$A),MATCH(Q$1,[2]characters!$1:$1,0)-MATCH($A$1,[2]characters!$1:$1,0)+1),MATCH(Q$1,[2]characters!$1:$1,0)-MATCH($A$1,[2]characters!$1:$1,0)+1,FALSE)</f>
        <v>technical</v>
      </c>
      <c r="R438" s="8" t="str">
        <f ca="1">VLOOKUP(Q438,[2]character_type_i18n!$A:$H,3,FALSE)</f>
        <v>テクニカルタイプ</v>
      </c>
      <c r="S438" s="14">
        <f ca="1">VLOOKUP(Q438,[2]character_type_i18n!$A:$H,4,FALSE)</f>
        <v>0.9</v>
      </c>
      <c r="T438" s="14">
        <f ca="1">VLOOKUP(Q438,[2]character_type_i18n!$A:$H,5,FALSE)</f>
        <v>0.9</v>
      </c>
      <c r="U438" s="14">
        <f ca="1">VLOOKUP(Q438,[2]character_type_i18n!$A:$H,6,FALSE)</f>
        <v>1</v>
      </c>
      <c r="V438" s="14">
        <f ca="1">VLOOKUP(Q438,[2]character_type_i18n!$A:$H,7,FALSE)</f>
        <v>0.9</v>
      </c>
      <c r="W438" s="77" t="str">
        <f ca="1">VLOOKUP($A438,OFFSET([2]characters!$A$1,0,0,COUNTA([2]characters!$A:$A),MATCH(W$1,[2]characters!$1:$1,0)-MATCH($A$1,[2]characters!$1:$1,0)+1),MATCH(W$1,[2]characters!$1:$1,0)-MATCH($A$1,[2]characters!$1:$1,0)+1,FALSE)</f>
        <v>unknown</v>
      </c>
      <c r="X438" s="8" t="str">
        <f ca="1">VLOOKUP(W438,[2]character_tribe_i18n!$A:$H,3,FALSE)</f>
        <v>Unknown</v>
      </c>
      <c r="Y438" s="77" t="str">
        <f ca="1">VLOOKUP($A438,OFFSET([2]characters!$A$1,0,0,COUNTA([2]characters!$A:$A),MATCH(Y$1,[2]characters!$1:$1,0)-MATCH($A$1,[2]characters!$1:$1,0)+1),MATCH(Y$1,[2]characters!$1:$1,0)-MATCH($A$1,[2]characters!$1:$1,0)+1,FALSE)</f>
        <v>human</v>
      </c>
      <c r="Z438" s="8" t="str">
        <f ca="1">VLOOKUP(Y438,[2]character_tribe_i18n!$A:$H,3,FALSE)</f>
        <v>ヒューマン</v>
      </c>
      <c r="AA438" s="14">
        <f ca="1">VLOOKUP(W438,[2]character_tribe_i18n!$A:$H,4,FALSE)</f>
        <v>1</v>
      </c>
      <c r="AB438" s="14">
        <f ca="1">VLOOKUP(W438,[2]character_tribe_i18n!$A:$H,5,FALSE)</f>
        <v>1</v>
      </c>
      <c r="AC438" s="14">
        <f ca="1">VLOOKUP(W438,[2]character_tribe_i18n!$A:$H,6,FALSE)</f>
        <v>1</v>
      </c>
      <c r="AD438" s="14">
        <f ca="1">VLOOKUP(W438,[2]character_tribe_i18n!$A:$H,7,FALSE)</f>
        <v>1</v>
      </c>
      <c r="AE438" s="12" t="s">
        <v>114</v>
      </c>
      <c r="AF438" s="85" t="str">
        <f ca="1">IF(AE438="NULL","",VLOOKUP($AE438,OFFSET([2]characters!$A$1,0,0,COUNTA([2]characters!$A:$A),MATCH(AF$1,[2]characters!$1:$1,0)-MATCH($A$1,[2]characters!$1:$1,0)+1),MATCH(AF$1,[2]characters!$1:$1,0)-MATCH($A$1,[2]characters!$1:$1,0)+1,FALSE))</f>
        <v/>
      </c>
      <c r="AG438" s="8">
        <f t="shared" ca="1" si="52"/>
        <v>976</v>
      </c>
      <c r="AH438" s="85" t="str">
        <f ca="1">VLOOKUP($AG438,OFFSET([2]characters!$A$1,0,0,COUNTA([2]characters!$A:$A),MATCH(AH$1,[2]characters!$1:$1,0)-MATCH($A$1,[2]characters!$1:$1,0)+1),MATCH(AH$1,[2]characters!$1:$1,0)-MATCH($A$1,[2]characters!$1:$1,0)+1,FALSE)</f>
        <v>ウザリーマン</v>
      </c>
      <c r="AI438" s="14" t="str">
        <f>IF(AE438="NULL","NULL",VLOOKUP(G438,ビット!$A$2:$B$7,2))</f>
        <v>NULL</v>
      </c>
      <c r="AJ438" s="9">
        <v>2</v>
      </c>
      <c r="AK438" s="10" t="str">
        <f t="shared" ref="AK438" si="80">IF(AJ438=1,"早熟",IF(AJ438=2,"普通",IF(AJ438=3,"晩成","")))</f>
        <v>普通</v>
      </c>
      <c r="AL438" s="14" t="str">
        <f ca="1">INDEX(経験値!$A$1:$I$20,MATCH(H438,経験値!$A$1:$A$20,FALSE),MATCH(G438,経験値!$A$1:$I$1,FALSE))</f>
        <v>required_exp_200</v>
      </c>
      <c r="AM438" s="11">
        <f ca="1">VLOOKUP(G438,経験値!$A$27:$B$31,2)</f>
        <v>1500</v>
      </c>
      <c r="AN438" s="21">
        <f ca="1">VLOOKUP(G438,ビット!$G$2:$H$7,2)</f>
        <v>300</v>
      </c>
      <c r="AO438" s="57"/>
      <c r="AP438" s="101">
        <v>0</v>
      </c>
      <c r="AQ438" s="77" t="e">
        <f ca="1">VLOOKUP($AP438,OFFSET([1]unit_skills!$A$1,0,0,COUNTA([1]unit_skills!$A:$A),MATCH("name",[1]unit_skills!$1:$1,0)-MATCH($AP$1,[1]unit_skills!$1:$1,0)+1),MATCH("name",[1]unit_skills!$1:$1,0)-MATCH($AP$1,[1]unit_skills!$1:$1,0)+1,FALSE)</f>
        <v>#VALUE!</v>
      </c>
      <c r="AR438" s="77" t="e">
        <f ca="1">VLOOKUP($AP438,OFFSET([1]unit_skills!$A$1,0,0,COUNTA([1]unit_skills!$A:$A),MATCH("comment",[1]unit_skills!$1:$1,0)-MATCH($AP$1,[1]unit_skills!$1:$1,0)+1),MATCH("comment",[1]unit_skills!$1:$1,0)-MATCH($AP$1,[1]unit_skills!$1:$1,0)+1,FALSE)</f>
        <v>#VALUE!</v>
      </c>
      <c r="AS438" s="77" t="e">
        <f ca="1">VLOOKUP($AP438,OFFSET([1]unit_skills!$A$1,0,0,COUNTA([1]unit_skills!$A:$A),MATCH(AS$1,[1]unit_skills!$1:$1,0)-MATCH($AP$1,[1]unit_skills!$1:$1,0)+1),MATCH(AS$1,[1]unit_skills!$1:$1,0)-MATCH($AP$1,[1]unit_skills!$1:$1,0)+1,FALSE)</f>
        <v>#VALUE!</v>
      </c>
      <c r="AT438" s="158">
        <v>0</v>
      </c>
      <c r="AU438" s="77" t="e">
        <f ca="1">VLOOKUP($AT438,OFFSET([1]crash_skills!$A$1,0,0,COUNTA([1]crash_skills!$A:$A),MATCH("name",[1]crash_skills!$1:$1,0)-MATCH($AT$1,[1]crash_skills!$1:$1,0)+1),MATCH("name",[1]crash_skills!$1:$1,0)-MATCH($AT$1,[1]crash_skills!$1:$1,0)+1,FALSE)</f>
        <v>#VALUE!</v>
      </c>
      <c r="AV438" s="77" t="e">
        <f ca="1">VLOOKUP($AT438,OFFSET([1]crash_skills!$A$1,0,0,COUNTA([1]crash_skills!$A:$A),MATCH("comment",[1]crash_skills!$1:$1,0)-MATCH($AT$1,[1]crash_skills!$1:$1,0)+1),MATCH("comment",[1]crash_skills!$1:$1,0)-MATCH($AT$1,[1]crash_skills!$1:$1,0)+1,FALSE)</f>
        <v>#VALUE!</v>
      </c>
      <c r="AW438" s="77" t="e">
        <f ca="1">VLOOKUP($AT438,OFFSET([1]crash_skills!$A$1,0,0,COUNTA([1]crash_skills!$A:$A),MATCH(AW$1,[1]crash_skills!$1:$1,0)-MATCH($AT$1,[1]crash_skills!$1:$1,0)+1),MATCH(AW$1,[1]crash_skills!$1:$1,0)-MATCH($AT$1,[1]crash_skills!$1:$1,0)+1,FALSE)</f>
        <v>#VALUE!</v>
      </c>
      <c r="AX438" s="81">
        <f ca="1">VLOOKUP($A438,OFFSET([2]characters!$A$1,0,0,COUNTA([2]characters!$A:$A),MATCH(AX$1,[2]characters!$1:$1,0)-MATCH($A$1,[2]characters!$1:$1,0)+1),MATCH(AX$1,[2]characters!$1:$1,0)-MATCH($A$1,[2]characters!$1:$1,0)+1,FALSE)</f>
        <v>3</v>
      </c>
      <c r="AY438" s="139">
        <v>1</v>
      </c>
      <c r="AZ438" s="139">
        <v>1</v>
      </c>
      <c r="BA438" s="139">
        <v>0</v>
      </c>
      <c r="BB438" s="139">
        <v>1</v>
      </c>
      <c r="BC438" s="14">
        <f ca="1">INDEX('RC6SV'!$A$1:$G$20,MATCH(H438,'RC6SV'!$A$1:$A$20,FALSE),MATCH(G438,'RC6SV'!$A$1:$G$1,FALSE))</f>
        <v>4600</v>
      </c>
      <c r="BD438" s="63">
        <f t="shared" ref="BD438" ca="1" si="81">ROUND(BC438*IF(AJ438=1,0.95,IF(AJ438=2,1,IF(AJ438,1.05,0))),0)</f>
        <v>4600</v>
      </c>
      <c r="BE438" s="14">
        <f t="shared" ca="1" si="53"/>
        <v>0</v>
      </c>
      <c r="BF438" s="14">
        <f t="shared" ca="1" si="54"/>
        <v>1</v>
      </c>
      <c r="BG438" s="20">
        <f ca="1">IF($BE438&lt;=0,ROUND(BK438*0.5,0), ROUND($BE438*S438*AA438*J438*AY438*0.8*[2]ステータス!$B$2,0))</f>
        <v>1035</v>
      </c>
      <c r="BH438" s="20">
        <f ca="1">IF($BE438&lt;=0,ROUND(BL438*0.5,0), ROUND($BE438*T438*AB438*K438*AZ438*0.8*[2]ステータス!$C$2,0))</f>
        <v>634</v>
      </c>
      <c r="BI438" s="20">
        <f ca="1">IF($BE438&lt;=0,ROUND(BM438*0.5,0), ROUND($BE438*U438*AC438*L438*BA438*0.8*[2]ステータス!$D$2,0))</f>
        <v>0</v>
      </c>
      <c r="BJ438" s="20">
        <f ca="1">IF($BE438&lt;=0,ROUND(BN438*0.5,0), ROUND($BE438*V438*AD438*M438*BB438*0.8*[2]ステータス!$E$2,0))</f>
        <v>507</v>
      </c>
      <c r="BK438" s="14">
        <f ca="1">ROUND(BD438*S438*AA438*J438*AY438*[2]ステータス!$B$2,0)</f>
        <v>2070</v>
      </c>
      <c r="BL438" s="14">
        <f ca="1">ROUND(BD438*T438*AB438*K438*AZ438*[2]ステータス!$C$2,0)</f>
        <v>1267</v>
      </c>
      <c r="BM438" s="14">
        <f ca="1">ROUND(BD438*U438*AC438*L438*BA438*[2]ステータス!$D$2,0)</f>
        <v>0</v>
      </c>
      <c r="BN438" s="14">
        <f ca="1">ROUND(BD438*V438*AD438*M438*BB438*[2]ステータス!$E$2,0)</f>
        <v>1014</v>
      </c>
      <c r="BO438" s="13">
        <v>0</v>
      </c>
      <c r="BP438" s="13">
        <v>1</v>
      </c>
      <c r="BQ438" s="13" t="s">
        <v>102</v>
      </c>
      <c r="BR438" s="13">
        <f ca="1">VLOOKUP(H438,ghosts_label!$A$2:$B$19,2,FALSE)</f>
        <v>1</v>
      </c>
    </row>
  </sheetData>
  <autoFilter ref="A1:BQ438"/>
  <phoneticPr fontId="10"/>
  <conditionalFormatting sqref="BO1">
    <cfRule type="cellIs" dxfId="23" priority="120" stopIfTrue="1" operator="equal">
      <formula>1</formula>
    </cfRule>
  </conditionalFormatting>
  <conditionalFormatting sqref="BQ1">
    <cfRule type="cellIs" dxfId="22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540"/>
  <sheetViews>
    <sheetView showGridLines="0" workbookViewId="0">
      <pane ySplit="1" topLeftCell="A511" activePane="bottomLeft" state="frozen"/>
      <selection pane="bottomLeft" activeCell="A440" sqref="A440:XFD440"/>
    </sheetView>
  </sheetViews>
  <sheetFormatPr baseColWidth="12" defaultColWidth="13" defaultRowHeight="15" x14ac:dyDescent="0.15"/>
  <cols>
    <col min="1" max="1" width="11.5" style="96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96" t="s">
        <v>175</v>
      </c>
      <c r="B1" s="54" t="s">
        <v>83</v>
      </c>
      <c r="C1" s="30" t="s">
        <v>89</v>
      </c>
      <c r="D1" s="30" t="s">
        <v>91</v>
      </c>
      <c r="E1" s="30" t="s">
        <v>92</v>
      </c>
      <c r="F1" s="55" t="s">
        <v>81</v>
      </c>
      <c r="G1" s="30" t="s">
        <v>90</v>
      </c>
      <c r="H1" s="29" t="s">
        <v>82</v>
      </c>
      <c r="I1" s="201" t="s">
        <v>262</v>
      </c>
    </row>
    <row r="2" spans="1:9" ht="21" customHeight="1" x14ac:dyDescent="0.15">
      <c r="A2" s="96" t="str">
        <f t="shared" ref="A2:A65" si="0">B2&amp;"_"&amp;F2</f>
        <v>1_101</v>
      </c>
      <c r="B2" s="56">
        <v>1</v>
      </c>
      <c r="C2" s="31" t="str">
        <f ca="1">VLOOKUP($B2,OFFSET(units!$A$1,0,0,COUNTA(units!$A:$A),MATCH(C$1,units!$1:$1,0)-COLUMN(INDIRECT("character_id"))+1),MATCH(C$1,units!$1:$1,0)-COLUMN(INDIRECT("character_id"))+1,FALSE)</f>
        <v>ジェリー</v>
      </c>
      <c r="D2" s="31">
        <f ca="1">VLOOKUP($B2,OFFSET(units!$A$1,0,0,COUNTA(units!$A:$A),MATCH(D$1,units!$1:$1,0)-COLUMN(INDIRECT("character_id"))+1),MATCH(D$1,units!$1:$1,0)-COLUMN(INDIRECT("character_id"))+1,FALSE)</f>
        <v>1</v>
      </c>
      <c r="E2" s="31" t="str">
        <f ca="1">VLOOKUP($B2,OFFSET(units!$A$1,0,0,COUNTA(units!$A:$A),MATCH(E$1,units!$1:$1,0)-COLUMN(INDIRECT("character_id"))+1),MATCH(E$1,units!$1:$1,0)-COLUMN(INDIRECT("character_id"))+1,FALSE)</f>
        <v>Drop1T</v>
      </c>
      <c r="F2" s="56">
        <v>101</v>
      </c>
      <c r="G2" s="31" t="str">
        <f ca="1">VLOOKUP($F2,OFFSET(units!$A$1,0,0,COUNTA(units!$A:$A),MATCH(G$1,units!$1:$1,0)-COLUMN(INDIRECT("character_id"))+1),MATCH(G$1,units!$1:$1,0)-COLUMN(INDIRECT("character_id"))+1,FALSE)</f>
        <v>レッドチェシャ</v>
      </c>
      <c r="H2" s="26">
        <v>1</v>
      </c>
      <c r="I2" s="202">
        <v>1</v>
      </c>
    </row>
    <row r="3" spans="1:9" ht="21" customHeight="1" x14ac:dyDescent="0.15">
      <c r="A3" s="96" t="str">
        <f t="shared" si="0"/>
        <v>3_105</v>
      </c>
      <c r="B3" s="56">
        <v>3</v>
      </c>
      <c r="C3" s="31" t="str">
        <f ca="1">VLOOKUP($B3,OFFSET(units!$A$1,0,0,COUNTA(units!$A:$A),MATCH(C$1,units!$1:$1,0)-COLUMN(INDIRECT("character_id"))+1),MATCH(C$1,units!$1:$1,0)-COLUMN(INDIRECT("character_id"))+1,FALSE)</f>
        <v>エージェント ジョー</v>
      </c>
      <c r="D3" s="31">
        <f ca="1">VLOOKUP($B3,OFFSET(units!$A$1,0,0,COUNTA(units!$A:$A),MATCH(D$1,units!$1:$1,0)-COLUMN(INDIRECT("character_id"))+1),MATCH(D$1,units!$1:$1,0)-COLUMN(INDIRECT("character_id"))+1,FALSE)</f>
        <v>1</v>
      </c>
      <c r="E3" s="31" t="str">
        <f ca="1">VLOOKUP($B3,OFFSET(units!$A$1,0,0,COUNTA(units!$A:$A),MATCH(E$1,units!$1:$1,0)-COLUMN(INDIRECT("character_id"))+1),MATCH(E$1,units!$1:$1,0)-COLUMN(INDIRECT("character_id"))+1,FALSE)</f>
        <v>Drop1T</v>
      </c>
      <c r="F3" s="56">
        <v>105</v>
      </c>
      <c r="G3" s="31" t="str">
        <f ca="1">VLOOKUP($F3,OFFSET(units!$A$1,0,0,COUNTA(units!$A:$A),MATCH(G$1,units!$1:$1,0)-COLUMN(INDIRECT("character_id"))+1),MATCH(G$1,units!$1:$1,0)-COLUMN(INDIRECT("character_id"))+1,FALSE)</f>
        <v>グリーンチェシャ</v>
      </c>
      <c r="H3" s="26">
        <v>1</v>
      </c>
      <c r="I3" s="202">
        <v>1</v>
      </c>
    </row>
    <row r="4" spans="1:9" ht="21" customHeight="1" x14ac:dyDescent="0.15">
      <c r="A4" s="96" t="str">
        <f t="shared" si="0"/>
        <v>5_109</v>
      </c>
      <c r="B4" s="56">
        <v>5</v>
      </c>
      <c r="C4" s="31" t="str">
        <f ca="1">VLOOKUP($B4,OFFSET(units!$A$1,0,0,COUNTA(units!$A:$A),MATCH(C$1,units!$1:$1,0)-COLUMN(INDIRECT("character_id"))+1),MATCH(C$1,units!$1:$1,0)-COLUMN(INDIRECT("character_id"))+1,FALSE)</f>
        <v>パトドッグ ポチ</v>
      </c>
      <c r="D4" s="31">
        <f ca="1">VLOOKUP($B4,OFFSET(units!$A$1,0,0,COUNTA(units!$A:$A),MATCH(D$1,units!$1:$1,0)-COLUMN(INDIRECT("character_id"))+1),MATCH(D$1,units!$1:$1,0)-COLUMN(INDIRECT("character_id"))+1,FALSE)</f>
        <v>1</v>
      </c>
      <c r="E4" s="31" t="str">
        <f ca="1">VLOOKUP($B4,OFFSET(units!$A$1,0,0,COUNTA(units!$A:$A),MATCH(E$1,units!$1:$1,0)-COLUMN(INDIRECT("character_id"))+1),MATCH(E$1,units!$1:$1,0)-COLUMN(INDIRECT("character_id"))+1,FALSE)</f>
        <v>Drop1T</v>
      </c>
      <c r="F4" s="56">
        <v>109</v>
      </c>
      <c r="G4" s="31" t="str">
        <f ca="1">VLOOKUP($F4,OFFSET(units!$A$1,0,0,COUNTA(units!$A:$A),MATCH(G$1,units!$1:$1,0)-COLUMN(INDIRECT("character_id"))+1),MATCH(G$1,units!$1:$1,0)-COLUMN(INDIRECT("character_id"))+1,FALSE)</f>
        <v>ブルーチェシャ</v>
      </c>
      <c r="H4" s="26">
        <v>1</v>
      </c>
      <c r="I4" s="202">
        <v>1</v>
      </c>
    </row>
    <row r="5" spans="1:9" ht="21" customHeight="1" x14ac:dyDescent="0.15">
      <c r="A5" s="96" t="str">
        <f t="shared" si="0"/>
        <v>7_113</v>
      </c>
      <c r="B5" s="56">
        <v>7</v>
      </c>
      <c r="C5" s="31" t="str">
        <f ca="1">VLOOKUP($B5,OFFSET(units!$A$1,0,0,COUNTA(units!$A:$A),MATCH(C$1,units!$1:$1,0)-COLUMN(INDIRECT("character_id"))+1),MATCH(C$1,units!$1:$1,0)-COLUMN(INDIRECT("character_id"))+1,FALSE)</f>
        <v>エレキポット</v>
      </c>
      <c r="D5" s="31">
        <f ca="1">VLOOKUP($B5,OFFSET(units!$A$1,0,0,COUNTA(units!$A:$A),MATCH(D$1,units!$1:$1,0)-COLUMN(INDIRECT("character_id"))+1),MATCH(D$1,units!$1:$1,0)-COLUMN(INDIRECT("character_id"))+1,FALSE)</f>
        <v>1</v>
      </c>
      <c r="E5" s="31" t="str">
        <f ca="1">VLOOKUP($B5,OFFSET(units!$A$1,0,0,COUNTA(units!$A:$A),MATCH(E$1,units!$1:$1,0)-COLUMN(INDIRECT("character_id"))+1),MATCH(E$1,units!$1:$1,0)-COLUMN(INDIRECT("character_id"))+1,FALSE)</f>
        <v>Drop1T</v>
      </c>
      <c r="F5" s="56">
        <v>113</v>
      </c>
      <c r="G5" s="31" t="str">
        <f ca="1">VLOOKUP($F5,OFFSET(units!$A$1,0,0,COUNTA(units!$A:$A),MATCH(G$1,units!$1:$1,0)-COLUMN(INDIRECT("character_id"))+1),MATCH(G$1,units!$1:$1,0)-COLUMN(INDIRECT("character_id"))+1,FALSE)</f>
        <v>イエローチェシャ</v>
      </c>
      <c r="H5" s="26">
        <v>1</v>
      </c>
      <c r="I5" s="202">
        <v>1</v>
      </c>
    </row>
    <row r="6" spans="1:9" ht="21" customHeight="1" x14ac:dyDescent="0.15">
      <c r="A6" s="96" t="str">
        <f t="shared" si="0"/>
        <v>9_101</v>
      </c>
      <c r="B6" s="56">
        <v>9</v>
      </c>
      <c r="C6" s="31" t="str">
        <f ca="1">VLOOKUP($B6,OFFSET(units!$A$1,0,0,COUNTA(units!$A:$A),MATCH(C$1,units!$1:$1,0)-COLUMN(INDIRECT("character_id"))+1),MATCH(C$1,units!$1:$1,0)-COLUMN(INDIRECT("character_id"))+1,FALSE)</f>
        <v>ブレット</v>
      </c>
      <c r="D6" s="31">
        <f ca="1">VLOOKUP($B6,OFFSET(units!$A$1,0,0,COUNTA(units!$A:$A),MATCH(D$1,units!$1:$1,0)-COLUMN(INDIRECT("character_id"))+1),MATCH(D$1,units!$1:$1,0)-COLUMN(INDIRECT("character_id"))+1,FALSE)</f>
        <v>1</v>
      </c>
      <c r="E6" s="31" t="str">
        <f ca="1">VLOOKUP($B6,OFFSET(units!$A$1,0,0,COUNTA(units!$A:$A),MATCH(E$1,units!$1:$1,0)-COLUMN(INDIRECT("character_id"))+1),MATCH(E$1,units!$1:$1,0)-COLUMN(INDIRECT("character_id"))+1,FALSE)</f>
        <v>Drop1W</v>
      </c>
      <c r="F6" s="56">
        <v>101</v>
      </c>
      <c r="G6" s="31" t="str">
        <f ca="1">VLOOKUP($F6,OFFSET(units!$A$1,0,0,COUNTA(units!$A:$A),MATCH(G$1,units!$1:$1,0)-COLUMN(INDIRECT("character_id"))+1),MATCH(G$1,units!$1:$1,0)-COLUMN(INDIRECT("character_id"))+1,FALSE)</f>
        <v>レッドチェシャ</v>
      </c>
      <c r="H6" s="26">
        <v>2</v>
      </c>
      <c r="I6" s="202">
        <v>1</v>
      </c>
    </row>
    <row r="7" spans="1:9" ht="21" customHeight="1" x14ac:dyDescent="0.15">
      <c r="A7" s="96" t="str">
        <f t="shared" si="0"/>
        <v>11_105</v>
      </c>
      <c r="B7" s="56">
        <v>11</v>
      </c>
      <c r="C7" s="31" t="str">
        <f ca="1">VLOOKUP($B7,OFFSET(units!$A$1,0,0,COUNTA(units!$A:$A),MATCH(C$1,units!$1:$1,0)-COLUMN(INDIRECT("character_id"))+1),MATCH(C$1,units!$1:$1,0)-COLUMN(INDIRECT("character_id"))+1,FALSE)</f>
        <v>マグリット</v>
      </c>
      <c r="D7" s="31">
        <f ca="1">VLOOKUP($B7,OFFSET(units!$A$1,0,0,COUNTA(units!$A:$A),MATCH(D$1,units!$1:$1,0)-COLUMN(INDIRECT("character_id"))+1),MATCH(D$1,units!$1:$1,0)-COLUMN(INDIRECT("character_id"))+1,FALSE)</f>
        <v>1</v>
      </c>
      <c r="E7" s="31" t="str">
        <f ca="1">VLOOKUP($B7,OFFSET(units!$A$1,0,0,COUNTA(units!$A:$A),MATCH(E$1,units!$1:$1,0)-COLUMN(INDIRECT("character_id"))+1),MATCH(E$1,units!$1:$1,0)-COLUMN(INDIRECT("character_id"))+1,FALSE)</f>
        <v>Drop1W</v>
      </c>
      <c r="F7" s="56">
        <v>105</v>
      </c>
      <c r="G7" s="31" t="str">
        <f ca="1">VLOOKUP($F7,OFFSET(units!$A$1,0,0,COUNTA(units!$A:$A),MATCH(G$1,units!$1:$1,0)-COLUMN(INDIRECT("character_id"))+1),MATCH(G$1,units!$1:$1,0)-COLUMN(INDIRECT("character_id"))+1,FALSE)</f>
        <v>グリーンチェシャ</v>
      </c>
      <c r="H7" s="26">
        <v>2</v>
      </c>
      <c r="I7" s="202">
        <v>1</v>
      </c>
    </row>
    <row r="8" spans="1:9" ht="21" customHeight="1" x14ac:dyDescent="0.15">
      <c r="A8" s="96" t="str">
        <f t="shared" si="0"/>
        <v>13_113</v>
      </c>
      <c r="B8" s="56">
        <v>13</v>
      </c>
      <c r="C8" s="31" t="str">
        <f ca="1">VLOOKUP($B8,OFFSET(units!$A$1,0,0,COUNTA(units!$A:$A),MATCH(C$1,units!$1:$1,0)-COLUMN(INDIRECT("character_id"))+1),MATCH(C$1,units!$1:$1,0)-COLUMN(INDIRECT("character_id"))+1,FALSE)</f>
        <v>ミミ</v>
      </c>
      <c r="D8" s="31">
        <f ca="1">VLOOKUP($B8,OFFSET(units!$A$1,0,0,COUNTA(units!$A:$A),MATCH(D$1,units!$1:$1,0)-COLUMN(INDIRECT("character_id"))+1),MATCH(D$1,units!$1:$1,0)-COLUMN(INDIRECT("character_id"))+1,FALSE)</f>
        <v>1</v>
      </c>
      <c r="E8" s="31" t="str">
        <f ca="1">VLOOKUP($B8,OFFSET(units!$A$1,0,0,COUNTA(units!$A:$A),MATCH(E$1,units!$1:$1,0)-COLUMN(INDIRECT("character_id"))+1),MATCH(E$1,units!$1:$1,0)-COLUMN(INDIRECT("character_id"))+1,FALSE)</f>
        <v>Drop1W</v>
      </c>
      <c r="F8" s="56">
        <v>113</v>
      </c>
      <c r="G8" s="31" t="str">
        <f ca="1">VLOOKUP($F8,OFFSET(units!$A$1,0,0,COUNTA(units!$A:$A),MATCH(G$1,units!$1:$1,0)-COLUMN(INDIRECT("character_id"))+1),MATCH(G$1,units!$1:$1,0)-COLUMN(INDIRECT("character_id"))+1,FALSE)</f>
        <v>イエローチェシャ</v>
      </c>
      <c r="H8" s="26">
        <v>2</v>
      </c>
      <c r="I8" s="202">
        <v>1</v>
      </c>
    </row>
    <row r="9" spans="1:9" ht="21" customHeight="1" x14ac:dyDescent="0.15">
      <c r="A9" s="96" t="str">
        <f t="shared" si="0"/>
        <v>15_101</v>
      </c>
      <c r="B9" s="56">
        <v>15</v>
      </c>
      <c r="C9" s="31" t="str">
        <f ca="1">VLOOKUP($B9,OFFSET(units!$A$1,0,0,COUNTA(units!$A:$A),MATCH(C$1,units!$1:$1,0)-COLUMN(INDIRECT("character_id"))+1),MATCH(C$1,units!$1:$1,0)-COLUMN(INDIRECT("character_id"))+1,FALSE)</f>
        <v>アカネ</v>
      </c>
      <c r="D9" s="31">
        <f ca="1">VLOOKUP($B9,OFFSET(units!$A$1,0,0,COUNTA(units!$A:$A),MATCH(D$1,units!$1:$1,0)-COLUMN(INDIRECT("character_id"))+1),MATCH(D$1,units!$1:$1,0)-COLUMN(INDIRECT("character_id"))+1,FALSE)</f>
        <v>1</v>
      </c>
      <c r="E9" s="31" t="str">
        <f ca="1">VLOOKUP($B9,OFFSET(units!$A$1,0,0,COUNTA(units!$A:$A),MATCH(E$1,units!$1:$1,0)-COLUMN(INDIRECT("character_id"))+1),MATCH(E$1,units!$1:$1,0)-COLUMN(INDIRECT("character_id"))+1,FALSE)</f>
        <v>Drop1W</v>
      </c>
      <c r="F9" s="56">
        <v>101</v>
      </c>
      <c r="G9" s="31" t="str">
        <f ca="1">VLOOKUP($F9,OFFSET(units!$A$1,0,0,COUNTA(units!$A:$A),MATCH(G$1,units!$1:$1,0)-COLUMN(INDIRECT("character_id"))+1),MATCH(G$1,units!$1:$1,0)-COLUMN(INDIRECT("character_id"))+1,FALSE)</f>
        <v>レッドチェシャ</v>
      </c>
      <c r="H9" s="26">
        <v>2</v>
      </c>
      <c r="I9" s="202">
        <v>1</v>
      </c>
    </row>
    <row r="10" spans="1:9" ht="21" customHeight="1" x14ac:dyDescent="0.15">
      <c r="A10" s="96" t="str">
        <f t="shared" si="0"/>
        <v>17_109</v>
      </c>
      <c r="B10" s="56">
        <v>17</v>
      </c>
      <c r="C10" s="31" t="str">
        <f ca="1">VLOOKUP($B10,OFFSET(units!$A$1,0,0,COUNTA(units!$A:$A),MATCH(C$1,units!$1:$1,0)-COLUMN(INDIRECT("character_id"))+1),MATCH(C$1,units!$1:$1,0)-COLUMN(INDIRECT("character_id"))+1,FALSE)</f>
        <v>リム</v>
      </c>
      <c r="D10" s="31">
        <f ca="1">VLOOKUP($B10,OFFSET(units!$A$1,0,0,COUNTA(units!$A:$A),MATCH(D$1,units!$1:$1,0)-COLUMN(INDIRECT("character_id"))+1),MATCH(D$1,units!$1:$1,0)-COLUMN(INDIRECT("character_id"))+1,FALSE)</f>
        <v>1</v>
      </c>
      <c r="E10" s="31" t="str">
        <f ca="1">VLOOKUP($B10,OFFSET(units!$A$1,0,0,COUNTA(units!$A:$A),MATCH(E$1,units!$1:$1,0)-COLUMN(INDIRECT("character_id"))+1),MATCH(E$1,units!$1:$1,0)-COLUMN(INDIRECT("character_id"))+1,FALSE)</f>
        <v>Drop1W</v>
      </c>
      <c r="F10" s="56">
        <v>109</v>
      </c>
      <c r="G10" s="31" t="str">
        <f ca="1">VLOOKUP($F10,OFFSET(units!$A$1,0,0,COUNTA(units!$A:$A),MATCH(G$1,units!$1:$1,0)-COLUMN(INDIRECT("character_id"))+1),MATCH(G$1,units!$1:$1,0)-COLUMN(INDIRECT("character_id"))+1,FALSE)</f>
        <v>ブルーチェシャ</v>
      </c>
      <c r="H10" s="26">
        <v>2</v>
      </c>
      <c r="I10" s="202">
        <v>1</v>
      </c>
    </row>
    <row r="11" spans="1:9" ht="21" customHeight="1" x14ac:dyDescent="0.15">
      <c r="A11" s="96" t="str">
        <f t="shared" si="0"/>
        <v>19_113</v>
      </c>
      <c r="B11" s="56">
        <v>19</v>
      </c>
      <c r="C11" s="31" t="str">
        <f ca="1">VLOOKUP($B11,OFFSET(units!$A$1,0,0,COUNTA(units!$A:$A),MATCH(C$1,units!$1:$1,0)-COLUMN(INDIRECT("character_id"))+1),MATCH(C$1,units!$1:$1,0)-COLUMN(INDIRECT("character_id"))+1,FALSE)</f>
        <v>ティンク</v>
      </c>
      <c r="D11" s="31">
        <f ca="1">VLOOKUP($B11,OFFSET(units!$A$1,0,0,COUNTA(units!$A:$A),MATCH(D$1,units!$1:$1,0)-COLUMN(INDIRECT("character_id"))+1),MATCH(D$1,units!$1:$1,0)-COLUMN(INDIRECT("character_id"))+1,FALSE)</f>
        <v>1</v>
      </c>
      <c r="E11" s="31" t="str">
        <f ca="1">VLOOKUP($B11,OFFSET(units!$A$1,0,0,COUNTA(units!$A:$A),MATCH(E$1,units!$1:$1,0)-COLUMN(INDIRECT("character_id"))+1),MATCH(E$1,units!$1:$1,0)-COLUMN(INDIRECT("character_id"))+1,FALSE)</f>
        <v>Drop1W</v>
      </c>
      <c r="F11" s="56">
        <v>113</v>
      </c>
      <c r="G11" s="31" t="str">
        <f ca="1">VLOOKUP($F11,OFFSET(units!$A$1,0,0,COUNTA(units!$A:$A),MATCH(G$1,units!$1:$1,0)-COLUMN(INDIRECT("character_id"))+1),MATCH(G$1,units!$1:$1,0)-COLUMN(INDIRECT("character_id"))+1,FALSE)</f>
        <v>イエローチェシャ</v>
      </c>
      <c r="H11" s="26">
        <v>2</v>
      </c>
      <c r="I11" s="202">
        <v>1</v>
      </c>
    </row>
    <row r="12" spans="1:9" ht="21" customHeight="1" x14ac:dyDescent="0.15">
      <c r="A12" s="96" t="str">
        <f t="shared" si="0"/>
        <v>21_101</v>
      </c>
      <c r="B12" s="56">
        <v>21</v>
      </c>
      <c r="C12" s="31" t="str">
        <f ca="1">VLOOKUP($B12,OFFSET(units!$A$1,0,0,COUNTA(units!$A:$A),MATCH(C$1,units!$1:$1,0)-COLUMN(INDIRECT("character_id"))+1),MATCH(C$1,units!$1:$1,0)-COLUMN(INDIRECT("character_id"))+1,FALSE)</f>
        <v>ヴェロキー</v>
      </c>
      <c r="D12" s="31">
        <f ca="1">VLOOKUP($B12,OFFSET(units!$A$1,0,0,COUNTA(units!$A:$A),MATCH(D$1,units!$1:$1,0)-COLUMN(INDIRECT("character_id"))+1),MATCH(D$1,units!$1:$1,0)-COLUMN(INDIRECT("character_id"))+1,FALSE)</f>
        <v>1</v>
      </c>
      <c r="E12" s="31" t="str">
        <f ca="1">VLOOKUP($B12,OFFSET(units!$A$1,0,0,COUNTA(units!$A:$A),MATCH(E$1,units!$1:$1,0)-COLUMN(INDIRECT("character_id"))+1),MATCH(E$1,units!$1:$1,0)-COLUMN(INDIRECT("character_id"))+1,FALSE)</f>
        <v>Drop1N</v>
      </c>
      <c r="F12" s="56">
        <v>101</v>
      </c>
      <c r="G12" s="31" t="str">
        <f ca="1">VLOOKUP($F12,OFFSET(units!$A$1,0,0,COUNTA(units!$A:$A),MATCH(G$1,units!$1:$1,0)-COLUMN(INDIRECT("character_id"))+1),MATCH(G$1,units!$1:$1,0)-COLUMN(INDIRECT("character_id"))+1,FALSE)</f>
        <v>レッドチェシャ</v>
      </c>
      <c r="H12" s="26">
        <v>2</v>
      </c>
      <c r="I12" s="202">
        <v>1</v>
      </c>
    </row>
    <row r="13" spans="1:9" ht="21" customHeight="1" x14ac:dyDescent="0.15">
      <c r="A13" s="96" t="str">
        <f t="shared" si="0"/>
        <v>23_105</v>
      </c>
      <c r="B13" s="56">
        <v>23</v>
      </c>
      <c r="C13" s="31" t="str">
        <f ca="1">VLOOKUP($B13,OFFSET(units!$A$1,0,0,COUNTA(units!$A:$A),MATCH(C$1,units!$1:$1,0)-COLUMN(INDIRECT("character_id"))+1),MATCH(C$1,units!$1:$1,0)-COLUMN(INDIRECT("character_id"))+1,FALSE)</f>
        <v>ミール</v>
      </c>
      <c r="D13" s="31">
        <f ca="1">VLOOKUP($B13,OFFSET(units!$A$1,0,0,COUNTA(units!$A:$A),MATCH(D$1,units!$1:$1,0)-COLUMN(INDIRECT("character_id"))+1),MATCH(D$1,units!$1:$1,0)-COLUMN(INDIRECT("character_id"))+1,FALSE)</f>
        <v>1</v>
      </c>
      <c r="E13" s="31" t="str">
        <f ca="1">VLOOKUP($B13,OFFSET(units!$A$1,0,0,COUNTA(units!$A:$A),MATCH(E$1,units!$1:$1,0)-COLUMN(INDIRECT("character_id"))+1),MATCH(E$1,units!$1:$1,0)-COLUMN(INDIRECT("character_id"))+1,FALSE)</f>
        <v>Drop1N</v>
      </c>
      <c r="F13" s="56">
        <v>105</v>
      </c>
      <c r="G13" s="31" t="str">
        <f ca="1">VLOOKUP($F13,OFFSET(units!$A$1,0,0,COUNTA(units!$A:$A),MATCH(G$1,units!$1:$1,0)-COLUMN(INDIRECT("character_id"))+1),MATCH(G$1,units!$1:$1,0)-COLUMN(INDIRECT("character_id"))+1,FALSE)</f>
        <v>グリーンチェシャ</v>
      </c>
      <c r="H13" s="26">
        <v>2</v>
      </c>
      <c r="I13" s="202">
        <v>1</v>
      </c>
    </row>
    <row r="14" spans="1:9" ht="21" customHeight="1" x14ac:dyDescent="0.15">
      <c r="A14" s="96" t="str">
        <f t="shared" si="0"/>
        <v>25_109</v>
      </c>
      <c r="B14" s="56">
        <v>25</v>
      </c>
      <c r="C14" s="31" t="str">
        <f ca="1">VLOOKUP($B14,OFFSET(units!$A$1,0,0,COUNTA(units!$A:$A),MATCH(C$1,units!$1:$1,0)-COLUMN(INDIRECT("character_id"))+1),MATCH(C$1,units!$1:$1,0)-COLUMN(INDIRECT("character_id"))+1,FALSE)</f>
        <v>ハチ</v>
      </c>
      <c r="D14" s="31">
        <f ca="1">VLOOKUP($B14,OFFSET(units!$A$1,0,0,COUNTA(units!$A:$A),MATCH(D$1,units!$1:$1,0)-COLUMN(INDIRECT("character_id"))+1),MATCH(D$1,units!$1:$1,0)-COLUMN(INDIRECT("character_id"))+1,FALSE)</f>
        <v>1</v>
      </c>
      <c r="E14" s="31" t="str">
        <f ca="1">VLOOKUP($B14,OFFSET(units!$A$1,0,0,COUNTA(units!$A:$A),MATCH(E$1,units!$1:$1,0)-COLUMN(INDIRECT("character_id"))+1),MATCH(E$1,units!$1:$1,0)-COLUMN(INDIRECT("character_id"))+1,FALSE)</f>
        <v>Drop1N</v>
      </c>
      <c r="F14" s="56">
        <v>109</v>
      </c>
      <c r="G14" s="31" t="str">
        <f ca="1">VLOOKUP($F14,OFFSET(units!$A$1,0,0,COUNTA(units!$A:$A),MATCH(G$1,units!$1:$1,0)-COLUMN(INDIRECT("character_id"))+1),MATCH(G$1,units!$1:$1,0)-COLUMN(INDIRECT("character_id"))+1,FALSE)</f>
        <v>ブルーチェシャ</v>
      </c>
      <c r="H14" s="26">
        <v>2</v>
      </c>
      <c r="I14" s="202">
        <v>1</v>
      </c>
    </row>
    <row r="15" spans="1:9" ht="21" customHeight="1" x14ac:dyDescent="0.15">
      <c r="A15" s="96" t="str">
        <f t="shared" si="0"/>
        <v>27_105</v>
      </c>
      <c r="B15" s="56">
        <v>27</v>
      </c>
      <c r="C15" s="31" t="str">
        <f ca="1">VLOOKUP($B15,OFFSET(units!$A$1,0,0,COUNTA(units!$A:$A),MATCH(C$1,units!$1:$1,0)-COLUMN(INDIRECT("character_id"))+1),MATCH(C$1,units!$1:$1,0)-COLUMN(INDIRECT("character_id"))+1,FALSE)</f>
        <v>パトライン</v>
      </c>
      <c r="D15" s="31">
        <f ca="1">VLOOKUP($B15,OFFSET(units!$A$1,0,0,COUNTA(units!$A:$A),MATCH(D$1,units!$1:$1,0)-COLUMN(INDIRECT("character_id"))+1),MATCH(D$1,units!$1:$1,0)-COLUMN(INDIRECT("character_id"))+1,FALSE)</f>
        <v>1</v>
      </c>
      <c r="E15" s="31" t="str">
        <f ca="1">VLOOKUP($B15,OFFSET(units!$A$1,0,0,COUNTA(units!$A:$A),MATCH(E$1,units!$1:$1,0)-COLUMN(INDIRECT("character_id"))+1),MATCH(E$1,units!$1:$1,0)-COLUMN(INDIRECT("character_id"))+1,FALSE)</f>
        <v>Drop1N</v>
      </c>
      <c r="F15" s="56">
        <v>105</v>
      </c>
      <c r="G15" s="31" t="str">
        <f ca="1">VLOOKUP($F15,OFFSET(units!$A$1,0,0,COUNTA(units!$A:$A),MATCH(G$1,units!$1:$1,0)-COLUMN(INDIRECT("character_id"))+1),MATCH(G$1,units!$1:$1,0)-COLUMN(INDIRECT("character_id"))+1,FALSE)</f>
        <v>グリーンチェシャ</v>
      </c>
      <c r="H15" s="26">
        <v>2</v>
      </c>
      <c r="I15" s="202">
        <v>1</v>
      </c>
    </row>
    <row r="16" spans="1:9" ht="21" customHeight="1" x14ac:dyDescent="0.15">
      <c r="A16" s="96" t="str">
        <f t="shared" si="0"/>
        <v>29_109</v>
      </c>
      <c r="B16" s="56">
        <v>29</v>
      </c>
      <c r="C16" s="31" t="str">
        <f ca="1">VLOOKUP($B16,OFFSET(units!$A$1,0,0,COUNTA(units!$A:$A),MATCH(C$1,units!$1:$1,0)-COLUMN(INDIRECT("character_id"))+1),MATCH(C$1,units!$1:$1,0)-COLUMN(INDIRECT("character_id"))+1,FALSE)</f>
        <v>スケアクロウ</v>
      </c>
      <c r="D16" s="31">
        <f ca="1">VLOOKUP($B16,OFFSET(units!$A$1,0,0,COUNTA(units!$A:$A),MATCH(D$1,units!$1:$1,0)-COLUMN(INDIRECT("character_id"))+1),MATCH(D$1,units!$1:$1,0)-COLUMN(INDIRECT("character_id"))+1,FALSE)</f>
        <v>1</v>
      </c>
      <c r="E16" s="31" t="str">
        <f ca="1">VLOOKUP($B16,OFFSET(units!$A$1,0,0,COUNTA(units!$A:$A),MATCH(E$1,units!$1:$1,0)-COLUMN(INDIRECT("character_id"))+1),MATCH(E$1,units!$1:$1,0)-COLUMN(INDIRECT("character_id"))+1,FALSE)</f>
        <v>Drop1N</v>
      </c>
      <c r="F16" s="56">
        <v>109</v>
      </c>
      <c r="G16" s="31" t="str">
        <f ca="1">VLOOKUP($F16,OFFSET(units!$A$1,0,0,COUNTA(units!$A:$A),MATCH(G$1,units!$1:$1,0)-COLUMN(INDIRECT("character_id"))+1),MATCH(G$1,units!$1:$1,0)-COLUMN(INDIRECT("character_id"))+1,FALSE)</f>
        <v>ブルーチェシャ</v>
      </c>
      <c r="H16" s="26">
        <v>2</v>
      </c>
      <c r="I16" s="202">
        <v>1</v>
      </c>
    </row>
    <row r="17" spans="1:9" ht="21" customHeight="1" x14ac:dyDescent="0.15">
      <c r="A17" s="96" t="str">
        <f t="shared" si="0"/>
        <v>31_113</v>
      </c>
      <c r="B17" s="56">
        <v>31</v>
      </c>
      <c r="C17" s="31" t="str">
        <f ca="1">VLOOKUP($B17,OFFSET(units!$A$1,0,0,COUNTA(units!$A:$A),MATCH(C$1,units!$1:$1,0)-COLUMN(INDIRECT("character_id"))+1),MATCH(C$1,units!$1:$1,0)-COLUMN(INDIRECT("character_id"))+1,FALSE)</f>
        <v>マービー</v>
      </c>
      <c r="D17" s="31">
        <f ca="1">VLOOKUP($B17,OFFSET(units!$A$1,0,0,COUNTA(units!$A:$A),MATCH(D$1,units!$1:$1,0)-COLUMN(INDIRECT("character_id"))+1),MATCH(D$1,units!$1:$1,0)-COLUMN(INDIRECT("character_id"))+1,FALSE)</f>
        <v>1</v>
      </c>
      <c r="E17" s="31" t="str">
        <f ca="1">VLOOKUP($B17,OFFSET(units!$A$1,0,0,COUNTA(units!$A:$A),MATCH(E$1,units!$1:$1,0)-COLUMN(INDIRECT("character_id"))+1),MATCH(E$1,units!$1:$1,0)-COLUMN(INDIRECT("character_id"))+1,FALSE)</f>
        <v>Drop1N</v>
      </c>
      <c r="F17" s="56">
        <v>113</v>
      </c>
      <c r="G17" s="31" t="str">
        <f ca="1">VLOOKUP($F17,OFFSET(units!$A$1,0,0,COUNTA(units!$A:$A),MATCH(G$1,units!$1:$1,0)-COLUMN(INDIRECT("character_id"))+1),MATCH(G$1,units!$1:$1,0)-COLUMN(INDIRECT("character_id"))+1,FALSE)</f>
        <v>イエローチェシャ</v>
      </c>
      <c r="H17" s="26">
        <v>2</v>
      </c>
      <c r="I17" s="202">
        <v>1</v>
      </c>
    </row>
    <row r="18" spans="1:9" ht="21" customHeight="1" x14ac:dyDescent="0.15">
      <c r="A18" s="96" t="str">
        <f t="shared" si="0"/>
        <v>33_102</v>
      </c>
      <c r="B18" s="56">
        <v>33</v>
      </c>
      <c r="C18" s="31" t="str">
        <f ca="1">VLOOKUP($B18,OFFSET(units!$A$1,0,0,COUNTA(units!$A:$A),MATCH(C$1,units!$1:$1,0)-COLUMN(INDIRECT("character_id"))+1),MATCH(C$1,units!$1:$1,0)-COLUMN(INDIRECT("character_id"))+1,FALSE)</f>
        <v>ゴクウ</v>
      </c>
      <c r="D18" s="31">
        <f ca="1">VLOOKUP($B18,OFFSET(units!$A$1,0,0,COUNTA(units!$A:$A),MATCH(D$1,units!$1:$1,0)-COLUMN(INDIRECT("character_id"))+1),MATCH(D$1,units!$1:$1,0)-COLUMN(INDIRECT("character_id"))+1,FALSE)</f>
        <v>2</v>
      </c>
      <c r="E18" s="31" t="str">
        <f ca="1">VLOOKUP($B18,OFFSET(units!$A$1,0,0,COUNTA(units!$A:$A),MATCH(E$1,units!$1:$1,0)-COLUMN(INDIRECT("character_id"))+1),MATCH(E$1,units!$1:$1,0)-COLUMN(INDIRECT("character_id"))+1,FALSE)</f>
        <v>Drop1S</v>
      </c>
      <c r="F18" s="56">
        <v>102</v>
      </c>
      <c r="G18" s="31" t="str">
        <f ca="1">VLOOKUP($F18,OFFSET(units!$A$1,0,0,COUNTA(units!$A:$A),MATCH(G$1,units!$1:$1,0)-COLUMN(INDIRECT("character_id"))+1),MATCH(G$1,units!$1:$1,0)-COLUMN(INDIRECT("character_id"))+1,FALSE)</f>
        <v>レッドラビット</v>
      </c>
      <c r="H18" s="26">
        <v>2</v>
      </c>
      <c r="I18" s="202">
        <v>1</v>
      </c>
    </row>
    <row r="19" spans="1:9" ht="21" customHeight="1" x14ac:dyDescent="0.15">
      <c r="A19" s="96" t="str">
        <f t="shared" si="0"/>
        <v>33_101</v>
      </c>
      <c r="B19" s="56">
        <v>33</v>
      </c>
      <c r="C19" s="31" t="str">
        <f ca="1">VLOOKUP($B19,OFFSET(units!$A$1,0,0,COUNTA(units!$A:$A),MATCH(C$1,units!$1:$1,0)-COLUMN(INDIRECT("character_id"))+1),MATCH(C$1,units!$1:$1,0)-COLUMN(INDIRECT("character_id"))+1,FALSE)</f>
        <v>ゴクウ</v>
      </c>
      <c r="D19" s="31">
        <f ca="1">VLOOKUP($B19,OFFSET(units!$A$1,0,0,COUNTA(units!$A:$A),MATCH(D$1,units!$1:$1,0)-COLUMN(INDIRECT("character_id"))+1),MATCH(D$1,units!$1:$1,0)-COLUMN(INDIRECT("character_id"))+1,FALSE)</f>
        <v>2</v>
      </c>
      <c r="E19" s="31" t="str">
        <f ca="1">VLOOKUP($B19,OFFSET(units!$A$1,0,0,COUNTA(units!$A:$A),MATCH(E$1,units!$1:$1,0)-COLUMN(INDIRECT("character_id"))+1),MATCH(E$1,units!$1:$1,0)-COLUMN(INDIRECT("character_id"))+1,FALSE)</f>
        <v>Drop1S</v>
      </c>
      <c r="F19" s="56">
        <v>101</v>
      </c>
      <c r="G19" s="31" t="str">
        <f ca="1">VLOOKUP($F19,OFFSET(units!$A$1,0,0,COUNTA(units!$A:$A),MATCH(G$1,units!$1:$1,0)-COLUMN(INDIRECT("character_id"))+1),MATCH(G$1,units!$1:$1,0)-COLUMN(INDIRECT("character_id"))+1,FALSE)</f>
        <v>レッドチェシャ</v>
      </c>
      <c r="H19" s="26">
        <v>1</v>
      </c>
      <c r="I19" s="202">
        <v>1</v>
      </c>
    </row>
    <row r="20" spans="1:9" ht="21" customHeight="1" x14ac:dyDescent="0.15">
      <c r="A20" s="96" t="str">
        <f t="shared" si="0"/>
        <v>35_106</v>
      </c>
      <c r="B20" s="56">
        <v>35</v>
      </c>
      <c r="C20" s="31" t="str">
        <f ca="1">VLOOKUP($B20,OFFSET(units!$A$1,0,0,COUNTA(units!$A:$A),MATCH(C$1,units!$1:$1,0)-COLUMN(INDIRECT("character_id"))+1),MATCH(C$1,units!$1:$1,0)-COLUMN(INDIRECT("character_id"))+1,FALSE)</f>
        <v>F2</v>
      </c>
      <c r="D20" s="31">
        <f ca="1">VLOOKUP($B20,OFFSET(units!$A$1,0,0,COUNTA(units!$A:$A),MATCH(D$1,units!$1:$1,0)-COLUMN(INDIRECT("character_id"))+1),MATCH(D$1,units!$1:$1,0)-COLUMN(INDIRECT("character_id"))+1,FALSE)</f>
        <v>2</v>
      </c>
      <c r="E20" s="31" t="str">
        <f ca="1">VLOOKUP($B20,OFFSET(units!$A$1,0,0,COUNTA(units!$A:$A),MATCH(E$1,units!$1:$1,0)-COLUMN(INDIRECT("character_id"))+1),MATCH(E$1,units!$1:$1,0)-COLUMN(INDIRECT("character_id"))+1,FALSE)</f>
        <v>Drop1S</v>
      </c>
      <c r="F20" s="56">
        <v>106</v>
      </c>
      <c r="G20" s="31" t="str">
        <f ca="1">VLOOKUP($F20,OFFSET(units!$A$1,0,0,COUNTA(units!$A:$A),MATCH(G$1,units!$1:$1,0)-COLUMN(INDIRECT("character_id"))+1),MATCH(G$1,units!$1:$1,0)-COLUMN(INDIRECT("character_id"))+1,FALSE)</f>
        <v>グリーンラビット</v>
      </c>
      <c r="H20" s="26">
        <v>2</v>
      </c>
      <c r="I20" s="202">
        <v>1</v>
      </c>
    </row>
    <row r="21" spans="1:9" ht="21" customHeight="1" x14ac:dyDescent="0.15">
      <c r="A21" s="96" t="str">
        <f t="shared" si="0"/>
        <v>35_105</v>
      </c>
      <c r="B21" s="56">
        <v>35</v>
      </c>
      <c r="C21" s="31" t="str">
        <f ca="1">VLOOKUP($B21,OFFSET(units!$A$1,0,0,COUNTA(units!$A:$A),MATCH(C$1,units!$1:$1,0)-COLUMN(INDIRECT("character_id"))+1),MATCH(C$1,units!$1:$1,0)-COLUMN(INDIRECT("character_id"))+1,FALSE)</f>
        <v>F2</v>
      </c>
      <c r="D21" s="31">
        <f ca="1">VLOOKUP($B21,OFFSET(units!$A$1,0,0,COUNTA(units!$A:$A),MATCH(D$1,units!$1:$1,0)-COLUMN(INDIRECT("character_id"))+1),MATCH(D$1,units!$1:$1,0)-COLUMN(INDIRECT("character_id"))+1,FALSE)</f>
        <v>2</v>
      </c>
      <c r="E21" s="31" t="str">
        <f ca="1">VLOOKUP($B21,OFFSET(units!$A$1,0,0,COUNTA(units!$A:$A),MATCH(E$1,units!$1:$1,0)-COLUMN(INDIRECT("character_id"))+1),MATCH(E$1,units!$1:$1,0)-COLUMN(INDIRECT("character_id"))+1,FALSE)</f>
        <v>Drop1S</v>
      </c>
      <c r="F21" s="56">
        <v>105</v>
      </c>
      <c r="G21" s="31" t="str">
        <f ca="1">VLOOKUP($F21,OFFSET(units!$A$1,0,0,COUNTA(units!$A:$A),MATCH(G$1,units!$1:$1,0)-COLUMN(INDIRECT("character_id"))+1),MATCH(G$1,units!$1:$1,0)-COLUMN(INDIRECT("character_id"))+1,FALSE)</f>
        <v>グリーンチェシャ</v>
      </c>
      <c r="H21" s="26">
        <v>1</v>
      </c>
      <c r="I21" s="202">
        <v>1</v>
      </c>
    </row>
    <row r="22" spans="1:9" ht="21" customHeight="1" x14ac:dyDescent="0.15">
      <c r="A22" s="96" t="str">
        <f t="shared" si="0"/>
        <v>37_110</v>
      </c>
      <c r="B22" s="56">
        <v>37</v>
      </c>
      <c r="C22" s="31" t="str">
        <f ca="1">VLOOKUP($B22,OFFSET(units!$A$1,0,0,COUNTA(units!$A:$A),MATCH(C$1,units!$1:$1,0)-COLUMN(INDIRECT("character_id"))+1),MATCH(C$1,units!$1:$1,0)-COLUMN(INDIRECT("character_id"))+1,FALSE)</f>
        <v>ガイル</v>
      </c>
      <c r="D22" s="31">
        <f ca="1">VLOOKUP($B22,OFFSET(units!$A$1,0,0,COUNTA(units!$A:$A),MATCH(D$1,units!$1:$1,0)-COLUMN(INDIRECT("character_id"))+1),MATCH(D$1,units!$1:$1,0)-COLUMN(INDIRECT("character_id"))+1,FALSE)</f>
        <v>2</v>
      </c>
      <c r="E22" s="31" t="str">
        <f ca="1">VLOOKUP($B22,OFFSET(units!$A$1,0,0,COUNTA(units!$A:$A),MATCH(E$1,units!$1:$1,0)-COLUMN(INDIRECT("character_id"))+1),MATCH(E$1,units!$1:$1,0)-COLUMN(INDIRECT("character_id"))+1,FALSE)</f>
        <v>Drop1S</v>
      </c>
      <c r="F22" s="56">
        <v>110</v>
      </c>
      <c r="G22" s="31" t="str">
        <f ca="1">VLOOKUP($F22,OFFSET(units!$A$1,0,0,COUNTA(units!$A:$A),MATCH(G$1,units!$1:$1,0)-COLUMN(INDIRECT("character_id"))+1),MATCH(G$1,units!$1:$1,0)-COLUMN(INDIRECT("character_id"))+1,FALSE)</f>
        <v>ブルーラビット</v>
      </c>
      <c r="H22" s="26">
        <v>2</v>
      </c>
      <c r="I22" s="202">
        <v>1</v>
      </c>
    </row>
    <row r="23" spans="1:9" ht="21" customHeight="1" x14ac:dyDescent="0.15">
      <c r="A23" s="96" t="str">
        <f t="shared" si="0"/>
        <v>37_109</v>
      </c>
      <c r="B23" s="56">
        <v>37</v>
      </c>
      <c r="C23" s="31" t="str">
        <f ca="1">VLOOKUP($B23,OFFSET(units!$A$1,0,0,COUNTA(units!$A:$A),MATCH(C$1,units!$1:$1,0)-COLUMN(INDIRECT("character_id"))+1),MATCH(C$1,units!$1:$1,0)-COLUMN(INDIRECT("character_id"))+1,FALSE)</f>
        <v>ガイル</v>
      </c>
      <c r="D23" s="31">
        <f ca="1">VLOOKUP($B23,OFFSET(units!$A$1,0,0,COUNTA(units!$A:$A),MATCH(D$1,units!$1:$1,0)-COLUMN(INDIRECT("character_id"))+1),MATCH(D$1,units!$1:$1,0)-COLUMN(INDIRECT("character_id"))+1,FALSE)</f>
        <v>2</v>
      </c>
      <c r="E23" s="31" t="str">
        <f ca="1">VLOOKUP($B23,OFFSET(units!$A$1,0,0,COUNTA(units!$A:$A),MATCH(E$1,units!$1:$1,0)-COLUMN(INDIRECT("character_id"))+1),MATCH(E$1,units!$1:$1,0)-COLUMN(INDIRECT("character_id"))+1,FALSE)</f>
        <v>Drop1S</v>
      </c>
      <c r="F23" s="56">
        <v>109</v>
      </c>
      <c r="G23" s="31" t="str">
        <f ca="1">VLOOKUP($F23,OFFSET(units!$A$1,0,0,COUNTA(units!$A:$A),MATCH(G$1,units!$1:$1,0)-COLUMN(INDIRECT("character_id"))+1),MATCH(G$1,units!$1:$1,0)-COLUMN(INDIRECT("character_id"))+1,FALSE)</f>
        <v>ブルーチェシャ</v>
      </c>
      <c r="H23" s="26">
        <v>1</v>
      </c>
      <c r="I23" s="202">
        <v>1</v>
      </c>
    </row>
    <row r="24" spans="1:9" ht="21" customHeight="1" x14ac:dyDescent="0.15">
      <c r="A24" s="96" t="str">
        <f t="shared" si="0"/>
        <v>39_114</v>
      </c>
      <c r="B24" s="56">
        <v>39</v>
      </c>
      <c r="C24" s="31" t="str">
        <f ca="1">VLOOKUP($B24,OFFSET(units!$A$1,0,0,COUNTA(units!$A:$A),MATCH(C$1,units!$1:$1,0)-COLUMN(INDIRECT("character_id"))+1),MATCH(C$1,units!$1:$1,0)-COLUMN(INDIRECT("character_id"))+1,FALSE)</f>
        <v>マーロン</v>
      </c>
      <c r="D24" s="31">
        <f ca="1">VLOOKUP($B24,OFFSET(units!$A$1,0,0,COUNTA(units!$A:$A),MATCH(D$1,units!$1:$1,0)-COLUMN(INDIRECT("character_id"))+1),MATCH(D$1,units!$1:$1,0)-COLUMN(INDIRECT("character_id"))+1,FALSE)</f>
        <v>2</v>
      </c>
      <c r="E24" s="31" t="str">
        <f ca="1">VLOOKUP($B24,OFFSET(units!$A$1,0,0,COUNTA(units!$A:$A),MATCH(E$1,units!$1:$1,0)-COLUMN(INDIRECT("character_id"))+1),MATCH(E$1,units!$1:$1,0)-COLUMN(INDIRECT("character_id"))+1,FALSE)</f>
        <v>Drop1S</v>
      </c>
      <c r="F24" s="56">
        <v>114</v>
      </c>
      <c r="G24" s="31" t="str">
        <f ca="1">VLOOKUP($F24,OFFSET(units!$A$1,0,0,COUNTA(units!$A:$A),MATCH(G$1,units!$1:$1,0)-COLUMN(INDIRECT("character_id"))+1),MATCH(G$1,units!$1:$1,0)-COLUMN(INDIRECT("character_id"))+1,FALSE)</f>
        <v>イエローラビット</v>
      </c>
      <c r="H24" s="26">
        <v>2</v>
      </c>
      <c r="I24" s="202">
        <v>1</v>
      </c>
    </row>
    <row r="25" spans="1:9" ht="21" customHeight="1" x14ac:dyDescent="0.15">
      <c r="A25" s="96" t="str">
        <f t="shared" si="0"/>
        <v>39_113</v>
      </c>
      <c r="B25" s="56">
        <v>39</v>
      </c>
      <c r="C25" s="31" t="str">
        <f ca="1">VLOOKUP($B25,OFFSET(units!$A$1,0,0,COUNTA(units!$A:$A),MATCH(C$1,units!$1:$1,0)-COLUMN(INDIRECT("character_id"))+1),MATCH(C$1,units!$1:$1,0)-COLUMN(INDIRECT("character_id"))+1,FALSE)</f>
        <v>マーロン</v>
      </c>
      <c r="D25" s="31">
        <f ca="1">VLOOKUP($B25,OFFSET(units!$A$1,0,0,COUNTA(units!$A:$A),MATCH(D$1,units!$1:$1,0)-COLUMN(INDIRECT("character_id"))+1),MATCH(D$1,units!$1:$1,0)-COLUMN(INDIRECT("character_id"))+1,FALSE)</f>
        <v>2</v>
      </c>
      <c r="E25" s="31" t="str">
        <f ca="1">VLOOKUP($B25,OFFSET(units!$A$1,0,0,COUNTA(units!$A:$A),MATCH(E$1,units!$1:$1,0)-COLUMN(INDIRECT("character_id"))+1),MATCH(E$1,units!$1:$1,0)-COLUMN(INDIRECT("character_id"))+1,FALSE)</f>
        <v>Drop1S</v>
      </c>
      <c r="F25" s="56">
        <v>113</v>
      </c>
      <c r="G25" s="31" t="str">
        <f ca="1">VLOOKUP($F25,OFFSET(units!$A$1,0,0,COUNTA(units!$A:$A),MATCH(G$1,units!$1:$1,0)-COLUMN(INDIRECT("character_id"))+1),MATCH(G$1,units!$1:$1,0)-COLUMN(INDIRECT("character_id"))+1,FALSE)</f>
        <v>イエローチェシャ</v>
      </c>
      <c r="H25" s="26">
        <v>1</v>
      </c>
      <c r="I25" s="202">
        <v>1</v>
      </c>
    </row>
    <row r="26" spans="1:9" ht="21" customHeight="1" x14ac:dyDescent="0.15">
      <c r="A26" s="96" t="str">
        <f t="shared" si="0"/>
        <v>41_102</v>
      </c>
      <c r="B26" s="56">
        <v>41</v>
      </c>
      <c r="C26" s="31" t="str">
        <f ca="1">VLOOKUP($B26,OFFSET(units!$A$1,0,0,COUNTA(units!$A:$A),MATCH(C$1,units!$1:$1,0)-COLUMN(INDIRECT("character_id"))+1),MATCH(C$1,units!$1:$1,0)-COLUMN(INDIRECT("character_id"))+1,FALSE)</f>
        <v>ヒュウガ</v>
      </c>
      <c r="D26" s="31">
        <f ca="1">VLOOKUP($B26,OFFSET(units!$A$1,0,0,COUNTA(units!$A:$A),MATCH(D$1,units!$1:$1,0)-COLUMN(INDIRECT("character_id"))+1),MATCH(D$1,units!$1:$1,0)-COLUMN(INDIRECT("character_id"))+1,FALSE)</f>
        <v>2</v>
      </c>
      <c r="E26" s="31" t="str">
        <f ca="1">VLOOKUP($B26,OFFSET(units!$A$1,0,0,COUNTA(units!$A:$A),MATCH(E$1,units!$1:$1,0)-COLUMN(INDIRECT("character_id"))+1),MATCH(E$1,units!$1:$1,0)-COLUMN(INDIRECT("character_id"))+1,FALSE)</f>
        <v>Drop1N</v>
      </c>
      <c r="F26" s="56">
        <v>102</v>
      </c>
      <c r="G26" s="31" t="str">
        <f ca="1">VLOOKUP($F26,OFFSET(units!$A$1,0,0,COUNTA(units!$A:$A),MATCH(G$1,units!$1:$1,0)-COLUMN(INDIRECT("character_id"))+1),MATCH(G$1,units!$1:$1,0)-COLUMN(INDIRECT("character_id"))+1,FALSE)</f>
        <v>レッドラビット</v>
      </c>
      <c r="H26" s="26">
        <v>1</v>
      </c>
      <c r="I26" s="202">
        <v>1</v>
      </c>
    </row>
    <row r="27" spans="1:9" ht="21" customHeight="1" x14ac:dyDescent="0.15">
      <c r="A27" s="96" t="str">
        <f t="shared" si="0"/>
        <v>41_101</v>
      </c>
      <c r="B27" s="56">
        <v>41</v>
      </c>
      <c r="C27" s="31" t="str">
        <f ca="1">VLOOKUP($B27,OFFSET(units!$A$1,0,0,COUNTA(units!$A:$A),MATCH(C$1,units!$1:$1,0)-COLUMN(INDIRECT("character_id"))+1),MATCH(C$1,units!$1:$1,0)-COLUMN(INDIRECT("character_id"))+1,FALSE)</f>
        <v>ヒュウガ</v>
      </c>
      <c r="D27" s="31">
        <f ca="1">VLOOKUP($B27,OFFSET(units!$A$1,0,0,COUNTA(units!$A:$A),MATCH(D$1,units!$1:$1,0)-COLUMN(INDIRECT("character_id"))+1),MATCH(D$1,units!$1:$1,0)-COLUMN(INDIRECT("character_id"))+1,FALSE)</f>
        <v>2</v>
      </c>
      <c r="E27" s="31" t="str">
        <f ca="1">VLOOKUP($B27,OFFSET(units!$A$1,0,0,COUNTA(units!$A:$A),MATCH(E$1,units!$1:$1,0)-COLUMN(INDIRECT("character_id"))+1),MATCH(E$1,units!$1:$1,0)-COLUMN(INDIRECT("character_id"))+1,FALSE)</f>
        <v>Drop1N</v>
      </c>
      <c r="F27" s="56">
        <v>101</v>
      </c>
      <c r="G27" s="31" t="str">
        <f ca="1">VLOOKUP($F27,OFFSET(units!$A$1,0,0,COUNTA(units!$A:$A),MATCH(G$1,units!$1:$1,0)-COLUMN(INDIRECT("character_id"))+1),MATCH(G$1,units!$1:$1,0)-COLUMN(INDIRECT("character_id"))+1,FALSE)</f>
        <v>レッドチェシャ</v>
      </c>
      <c r="H27" s="26">
        <v>2</v>
      </c>
      <c r="I27" s="202">
        <v>1</v>
      </c>
    </row>
    <row r="28" spans="1:9" ht="21" customHeight="1" x14ac:dyDescent="0.15">
      <c r="A28" s="96" t="str">
        <f t="shared" si="0"/>
        <v>43_106</v>
      </c>
      <c r="B28" s="56">
        <v>43</v>
      </c>
      <c r="C28" s="31" t="str">
        <f ca="1">VLOOKUP($B28,OFFSET(units!$A$1,0,0,COUNTA(units!$A:$A),MATCH(C$1,units!$1:$1,0)-COLUMN(INDIRECT("character_id"))+1),MATCH(C$1,units!$1:$1,0)-COLUMN(INDIRECT("character_id"))+1,FALSE)</f>
        <v>ムゥ</v>
      </c>
      <c r="D28" s="31">
        <f ca="1">VLOOKUP($B28,OFFSET(units!$A$1,0,0,COUNTA(units!$A:$A),MATCH(D$1,units!$1:$1,0)-COLUMN(INDIRECT("character_id"))+1),MATCH(D$1,units!$1:$1,0)-COLUMN(INDIRECT("character_id"))+1,FALSE)</f>
        <v>2</v>
      </c>
      <c r="E28" s="31" t="str">
        <f ca="1">VLOOKUP($B28,OFFSET(units!$A$1,0,0,COUNTA(units!$A:$A),MATCH(E$1,units!$1:$1,0)-COLUMN(INDIRECT("character_id"))+1),MATCH(E$1,units!$1:$1,0)-COLUMN(INDIRECT("character_id"))+1,FALSE)</f>
        <v>Drop1N</v>
      </c>
      <c r="F28" s="56">
        <v>106</v>
      </c>
      <c r="G28" s="31" t="str">
        <f ca="1">VLOOKUP($F28,OFFSET(units!$A$1,0,0,COUNTA(units!$A:$A),MATCH(G$1,units!$1:$1,0)-COLUMN(INDIRECT("character_id"))+1),MATCH(G$1,units!$1:$1,0)-COLUMN(INDIRECT("character_id"))+1,FALSE)</f>
        <v>グリーンラビット</v>
      </c>
      <c r="H28" s="26">
        <v>1</v>
      </c>
      <c r="I28" s="202">
        <v>1</v>
      </c>
    </row>
    <row r="29" spans="1:9" ht="21" customHeight="1" x14ac:dyDescent="0.15">
      <c r="A29" s="96" t="str">
        <f t="shared" si="0"/>
        <v>43_105</v>
      </c>
      <c r="B29" s="56">
        <v>43</v>
      </c>
      <c r="C29" s="31" t="str">
        <f ca="1">VLOOKUP($B29,OFFSET(units!$A$1,0,0,COUNTA(units!$A:$A),MATCH(C$1,units!$1:$1,0)-COLUMN(INDIRECT("character_id"))+1),MATCH(C$1,units!$1:$1,0)-COLUMN(INDIRECT("character_id"))+1,FALSE)</f>
        <v>ムゥ</v>
      </c>
      <c r="D29" s="31">
        <f ca="1">VLOOKUP($B29,OFFSET(units!$A$1,0,0,COUNTA(units!$A:$A),MATCH(D$1,units!$1:$1,0)-COLUMN(INDIRECT("character_id"))+1),MATCH(D$1,units!$1:$1,0)-COLUMN(INDIRECT("character_id"))+1,FALSE)</f>
        <v>2</v>
      </c>
      <c r="E29" s="31" t="str">
        <f ca="1">VLOOKUP($B29,OFFSET(units!$A$1,0,0,COUNTA(units!$A:$A),MATCH(E$1,units!$1:$1,0)-COLUMN(INDIRECT("character_id"))+1),MATCH(E$1,units!$1:$1,0)-COLUMN(INDIRECT("character_id"))+1,FALSE)</f>
        <v>Drop1N</v>
      </c>
      <c r="F29" s="56">
        <v>105</v>
      </c>
      <c r="G29" s="31" t="str">
        <f ca="1">VLOOKUP($F29,OFFSET(units!$A$1,0,0,COUNTA(units!$A:$A),MATCH(G$1,units!$1:$1,0)-COLUMN(INDIRECT("character_id"))+1),MATCH(G$1,units!$1:$1,0)-COLUMN(INDIRECT("character_id"))+1,FALSE)</f>
        <v>グリーンチェシャ</v>
      </c>
      <c r="H29" s="26">
        <v>2</v>
      </c>
      <c r="I29" s="202">
        <v>1</v>
      </c>
    </row>
    <row r="30" spans="1:9" ht="21" customHeight="1" x14ac:dyDescent="0.15">
      <c r="A30" s="96" t="str">
        <f t="shared" si="0"/>
        <v>45_110</v>
      </c>
      <c r="B30" s="56">
        <v>45</v>
      </c>
      <c r="C30" s="31" t="str">
        <f ca="1">VLOOKUP($B30,OFFSET(units!$A$1,0,0,COUNTA(units!$A:$A),MATCH(C$1,units!$1:$1,0)-COLUMN(INDIRECT("character_id"))+1),MATCH(C$1,units!$1:$1,0)-COLUMN(INDIRECT("character_id"))+1,FALSE)</f>
        <v>ショウイン</v>
      </c>
      <c r="D30" s="31">
        <f ca="1">VLOOKUP($B30,OFFSET(units!$A$1,0,0,COUNTA(units!$A:$A),MATCH(D$1,units!$1:$1,0)-COLUMN(INDIRECT("character_id"))+1),MATCH(D$1,units!$1:$1,0)-COLUMN(INDIRECT("character_id"))+1,FALSE)</f>
        <v>2</v>
      </c>
      <c r="E30" s="31" t="str">
        <f ca="1">VLOOKUP($B30,OFFSET(units!$A$1,0,0,COUNTA(units!$A:$A),MATCH(E$1,units!$1:$1,0)-COLUMN(INDIRECT("character_id"))+1),MATCH(E$1,units!$1:$1,0)-COLUMN(INDIRECT("character_id"))+1,FALSE)</f>
        <v>Drop1N</v>
      </c>
      <c r="F30" s="56">
        <v>110</v>
      </c>
      <c r="G30" s="31" t="str">
        <f ca="1">VLOOKUP($F30,OFFSET(units!$A$1,0,0,COUNTA(units!$A:$A),MATCH(G$1,units!$1:$1,0)-COLUMN(INDIRECT("character_id"))+1),MATCH(G$1,units!$1:$1,0)-COLUMN(INDIRECT("character_id"))+1,FALSE)</f>
        <v>ブルーラビット</v>
      </c>
      <c r="H30" s="26">
        <v>1</v>
      </c>
      <c r="I30" s="202">
        <v>1</v>
      </c>
    </row>
    <row r="31" spans="1:9" ht="21" customHeight="1" x14ac:dyDescent="0.15">
      <c r="A31" s="96" t="str">
        <f t="shared" si="0"/>
        <v>45_109</v>
      </c>
      <c r="B31" s="56">
        <v>45</v>
      </c>
      <c r="C31" s="31" t="str">
        <f ca="1">VLOOKUP($B31,OFFSET(units!$A$1,0,0,COUNTA(units!$A:$A),MATCH(C$1,units!$1:$1,0)-COLUMN(INDIRECT("character_id"))+1),MATCH(C$1,units!$1:$1,0)-COLUMN(INDIRECT("character_id"))+1,FALSE)</f>
        <v>ショウイン</v>
      </c>
      <c r="D31" s="31">
        <f ca="1">VLOOKUP($B31,OFFSET(units!$A$1,0,0,COUNTA(units!$A:$A),MATCH(D$1,units!$1:$1,0)-COLUMN(INDIRECT("character_id"))+1),MATCH(D$1,units!$1:$1,0)-COLUMN(INDIRECT("character_id"))+1,FALSE)</f>
        <v>2</v>
      </c>
      <c r="E31" s="31" t="str">
        <f ca="1">VLOOKUP($B31,OFFSET(units!$A$1,0,0,COUNTA(units!$A:$A),MATCH(E$1,units!$1:$1,0)-COLUMN(INDIRECT("character_id"))+1),MATCH(E$1,units!$1:$1,0)-COLUMN(INDIRECT("character_id"))+1,FALSE)</f>
        <v>Drop1N</v>
      </c>
      <c r="F31" s="56">
        <v>109</v>
      </c>
      <c r="G31" s="31" t="str">
        <f ca="1">VLOOKUP($F31,OFFSET(units!$A$1,0,0,COUNTA(units!$A:$A),MATCH(G$1,units!$1:$1,0)-COLUMN(INDIRECT("character_id"))+1),MATCH(G$1,units!$1:$1,0)-COLUMN(INDIRECT("character_id"))+1,FALSE)</f>
        <v>ブルーチェシャ</v>
      </c>
      <c r="H31" s="26">
        <v>2</v>
      </c>
      <c r="I31" s="202">
        <v>1</v>
      </c>
    </row>
    <row r="32" spans="1:9" ht="21" customHeight="1" x14ac:dyDescent="0.15">
      <c r="A32" s="96" t="str">
        <f t="shared" si="0"/>
        <v>47_114</v>
      </c>
      <c r="B32" s="56">
        <v>47</v>
      </c>
      <c r="C32" s="31" t="str">
        <f ca="1">VLOOKUP($B32,OFFSET(units!$A$1,0,0,COUNTA(units!$A:$A),MATCH(C$1,units!$1:$1,0)-COLUMN(INDIRECT("character_id"))+1),MATCH(C$1,units!$1:$1,0)-COLUMN(INDIRECT("character_id"))+1,FALSE)</f>
        <v>ヒロ</v>
      </c>
      <c r="D32" s="31">
        <f ca="1">VLOOKUP($B32,OFFSET(units!$A$1,0,0,COUNTA(units!$A:$A),MATCH(D$1,units!$1:$1,0)-COLUMN(INDIRECT("character_id"))+1),MATCH(D$1,units!$1:$1,0)-COLUMN(INDIRECT("character_id"))+1,FALSE)</f>
        <v>2</v>
      </c>
      <c r="E32" s="31" t="str">
        <f ca="1">VLOOKUP($B32,OFFSET(units!$A$1,0,0,COUNTA(units!$A:$A),MATCH(E$1,units!$1:$1,0)-COLUMN(INDIRECT("character_id"))+1),MATCH(E$1,units!$1:$1,0)-COLUMN(INDIRECT("character_id"))+1,FALSE)</f>
        <v>Drop1N</v>
      </c>
      <c r="F32" s="56">
        <v>114</v>
      </c>
      <c r="G32" s="31" t="str">
        <f ca="1">VLOOKUP($F32,OFFSET(units!$A$1,0,0,COUNTA(units!$A:$A),MATCH(G$1,units!$1:$1,0)-COLUMN(INDIRECT("character_id"))+1),MATCH(G$1,units!$1:$1,0)-COLUMN(INDIRECT("character_id"))+1,FALSE)</f>
        <v>イエローラビット</v>
      </c>
      <c r="H32" s="26">
        <v>1</v>
      </c>
      <c r="I32" s="202">
        <v>1</v>
      </c>
    </row>
    <row r="33" spans="1:9" ht="21" customHeight="1" x14ac:dyDescent="0.15">
      <c r="A33" s="96" t="str">
        <f t="shared" si="0"/>
        <v>47_113</v>
      </c>
      <c r="B33" s="56">
        <v>47</v>
      </c>
      <c r="C33" s="31" t="str">
        <f ca="1">VLOOKUP($B33,OFFSET(units!$A$1,0,0,COUNTA(units!$A:$A),MATCH(C$1,units!$1:$1,0)-COLUMN(INDIRECT("character_id"))+1),MATCH(C$1,units!$1:$1,0)-COLUMN(INDIRECT("character_id"))+1,FALSE)</f>
        <v>ヒロ</v>
      </c>
      <c r="D33" s="31">
        <f ca="1">VLOOKUP($B33,OFFSET(units!$A$1,0,0,COUNTA(units!$A:$A),MATCH(D$1,units!$1:$1,0)-COLUMN(INDIRECT("character_id"))+1),MATCH(D$1,units!$1:$1,0)-COLUMN(INDIRECT("character_id"))+1,FALSE)</f>
        <v>2</v>
      </c>
      <c r="E33" s="31" t="str">
        <f ca="1">VLOOKUP($B33,OFFSET(units!$A$1,0,0,COUNTA(units!$A:$A),MATCH(E$1,units!$1:$1,0)-COLUMN(INDIRECT("character_id"))+1),MATCH(E$1,units!$1:$1,0)-COLUMN(INDIRECT("character_id"))+1,FALSE)</f>
        <v>Drop1N</v>
      </c>
      <c r="F33" s="56">
        <v>113</v>
      </c>
      <c r="G33" s="31" t="str">
        <f ca="1">VLOOKUP($F33,OFFSET(units!$A$1,0,0,COUNTA(units!$A:$A),MATCH(G$1,units!$1:$1,0)-COLUMN(INDIRECT("character_id"))+1),MATCH(G$1,units!$1:$1,0)-COLUMN(INDIRECT("character_id"))+1,FALSE)</f>
        <v>イエローチェシャ</v>
      </c>
      <c r="H33" s="26">
        <v>2</v>
      </c>
      <c r="I33" s="202">
        <v>1</v>
      </c>
    </row>
    <row r="34" spans="1:9" ht="21" customHeight="1" x14ac:dyDescent="0.15">
      <c r="A34" s="96" t="str">
        <f t="shared" si="0"/>
        <v>49_102</v>
      </c>
      <c r="B34" s="56">
        <v>49</v>
      </c>
      <c r="C34" s="31" t="str">
        <f ca="1">VLOOKUP($B34,OFFSET(units!$A$1,0,0,COUNTA(units!$A:$A),MATCH(C$1,units!$1:$1,0)-COLUMN(INDIRECT("character_id"))+1),MATCH(C$1,units!$1:$1,0)-COLUMN(INDIRECT("character_id"))+1,FALSE)</f>
        <v>ヨシタカ</v>
      </c>
      <c r="D34" s="31">
        <f ca="1">VLOOKUP($B34,OFFSET(units!$A$1,0,0,COUNTA(units!$A:$A),MATCH(D$1,units!$1:$1,0)-COLUMN(INDIRECT("character_id"))+1),MATCH(D$1,units!$1:$1,0)-COLUMN(INDIRECT("character_id"))+1,FALSE)</f>
        <v>2</v>
      </c>
      <c r="E34" s="31" t="str">
        <f ca="1">VLOOKUP($B34,OFFSET(units!$A$1,0,0,COUNTA(units!$A:$A),MATCH(E$1,units!$1:$1,0)-COLUMN(INDIRECT("character_id"))+1),MATCH(E$1,units!$1:$1,0)-COLUMN(INDIRECT("character_id"))+1,FALSE)</f>
        <v>Drop1N</v>
      </c>
      <c r="F34" s="56">
        <v>102</v>
      </c>
      <c r="G34" s="31" t="str">
        <f ca="1">VLOOKUP($F34,OFFSET(units!$A$1,0,0,COUNTA(units!$A:$A),MATCH(G$1,units!$1:$1,0)-COLUMN(INDIRECT("character_id"))+1),MATCH(G$1,units!$1:$1,0)-COLUMN(INDIRECT("character_id"))+1,FALSE)</f>
        <v>レッドラビット</v>
      </c>
      <c r="H34" s="26">
        <v>1</v>
      </c>
      <c r="I34" s="202">
        <v>1</v>
      </c>
    </row>
    <row r="35" spans="1:9" ht="21" customHeight="1" x14ac:dyDescent="0.15">
      <c r="A35" s="96" t="str">
        <f t="shared" si="0"/>
        <v>49_101</v>
      </c>
      <c r="B35" s="56">
        <v>49</v>
      </c>
      <c r="C35" s="31" t="str">
        <f ca="1">VLOOKUP($B35,OFFSET(units!$A$1,0,0,COUNTA(units!$A:$A),MATCH(C$1,units!$1:$1,0)-COLUMN(INDIRECT("character_id"))+1),MATCH(C$1,units!$1:$1,0)-COLUMN(INDIRECT("character_id"))+1,FALSE)</f>
        <v>ヨシタカ</v>
      </c>
      <c r="D35" s="31">
        <f ca="1">VLOOKUP($B35,OFFSET(units!$A$1,0,0,COUNTA(units!$A:$A),MATCH(D$1,units!$1:$1,0)-COLUMN(INDIRECT("character_id"))+1),MATCH(D$1,units!$1:$1,0)-COLUMN(INDIRECT("character_id"))+1,FALSE)</f>
        <v>2</v>
      </c>
      <c r="E35" s="31" t="str">
        <f ca="1">VLOOKUP($B35,OFFSET(units!$A$1,0,0,COUNTA(units!$A:$A),MATCH(E$1,units!$1:$1,0)-COLUMN(INDIRECT("character_id"))+1),MATCH(E$1,units!$1:$1,0)-COLUMN(INDIRECT("character_id"))+1,FALSE)</f>
        <v>Drop1N</v>
      </c>
      <c r="F35" s="56">
        <v>101</v>
      </c>
      <c r="G35" s="31" t="str">
        <f ca="1">VLOOKUP($F35,OFFSET(units!$A$1,0,0,COUNTA(units!$A:$A),MATCH(G$1,units!$1:$1,0)-COLUMN(INDIRECT("character_id"))+1),MATCH(G$1,units!$1:$1,0)-COLUMN(INDIRECT("character_id"))+1,FALSE)</f>
        <v>レッドチェシャ</v>
      </c>
      <c r="H35" s="26">
        <v>2</v>
      </c>
      <c r="I35" s="202">
        <v>1</v>
      </c>
    </row>
    <row r="36" spans="1:9" ht="21" customHeight="1" x14ac:dyDescent="0.15">
      <c r="A36" s="96" t="str">
        <f t="shared" si="0"/>
        <v>51_106</v>
      </c>
      <c r="B36" s="56">
        <v>51</v>
      </c>
      <c r="C36" s="31" t="str">
        <f ca="1">VLOOKUP($B36,OFFSET(units!$A$1,0,0,COUNTA(units!$A:$A),MATCH(C$1,units!$1:$1,0)-COLUMN(INDIRECT("character_id"))+1),MATCH(C$1,units!$1:$1,0)-COLUMN(INDIRECT("character_id"))+1,FALSE)</f>
        <v>マイ</v>
      </c>
      <c r="D36" s="31">
        <f ca="1">VLOOKUP($B36,OFFSET(units!$A$1,0,0,COUNTA(units!$A:$A),MATCH(D$1,units!$1:$1,0)-COLUMN(INDIRECT("character_id"))+1),MATCH(D$1,units!$1:$1,0)-COLUMN(INDIRECT("character_id"))+1,FALSE)</f>
        <v>2</v>
      </c>
      <c r="E36" s="31" t="str">
        <f ca="1">VLOOKUP($B36,OFFSET(units!$A$1,0,0,COUNTA(units!$A:$A),MATCH(E$1,units!$1:$1,0)-COLUMN(INDIRECT("character_id"))+1),MATCH(E$1,units!$1:$1,0)-COLUMN(INDIRECT("character_id"))+1,FALSE)</f>
        <v>Drop1N</v>
      </c>
      <c r="F36" s="56">
        <v>106</v>
      </c>
      <c r="G36" s="31" t="str">
        <f ca="1">VLOOKUP($F36,OFFSET(units!$A$1,0,0,COUNTA(units!$A:$A),MATCH(G$1,units!$1:$1,0)-COLUMN(INDIRECT("character_id"))+1),MATCH(G$1,units!$1:$1,0)-COLUMN(INDIRECT("character_id"))+1,FALSE)</f>
        <v>グリーンラビット</v>
      </c>
      <c r="H36" s="26">
        <v>1</v>
      </c>
      <c r="I36" s="202">
        <v>1</v>
      </c>
    </row>
    <row r="37" spans="1:9" ht="21" customHeight="1" x14ac:dyDescent="0.15">
      <c r="A37" s="96" t="str">
        <f t="shared" si="0"/>
        <v>51_105</v>
      </c>
      <c r="B37" s="56">
        <v>51</v>
      </c>
      <c r="C37" s="31" t="str">
        <f ca="1">VLOOKUP($B37,OFFSET(units!$A$1,0,0,COUNTA(units!$A:$A),MATCH(C$1,units!$1:$1,0)-COLUMN(INDIRECT("character_id"))+1),MATCH(C$1,units!$1:$1,0)-COLUMN(INDIRECT("character_id"))+1,FALSE)</f>
        <v>マイ</v>
      </c>
      <c r="D37" s="31">
        <f ca="1">VLOOKUP($B37,OFFSET(units!$A$1,0,0,COUNTA(units!$A:$A),MATCH(D$1,units!$1:$1,0)-COLUMN(INDIRECT("character_id"))+1),MATCH(D$1,units!$1:$1,0)-COLUMN(INDIRECT("character_id"))+1,FALSE)</f>
        <v>2</v>
      </c>
      <c r="E37" s="31" t="str">
        <f ca="1">VLOOKUP($B37,OFFSET(units!$A$1,0,0,COUNTA(units!$A:$A),MATCH(E$1,units!$1:$1,0)-COLUMN(INDIRECT("character_id"))+1),MATCH(E$1,units!$1:$1,0)-COLUMN(INDIRECT("character_id"))+1,FALSE)</f>
        <v>Drop1N</v>
      </c>
      <c r="F37" s="56">
        <v>105</v>
      </c>
      <c r="G37" s="31" t="str">
        <f ca="1">VLOOKUP($F37,OFFSET(units!$A$1,0,0,COUNTA(units!$A:$A),MATCH(G$1,units!$1:$1,0)-COLUMN(INDIRECT("character_id"))+1),MATCH(G$1,units!$1:$1,0)-COLUMN(INDIRECT("character_id"))+1,FALSE)</f>
        <v>グリーンチェシャ</v>
      </c>
      <c r="H37" s="26">
        <v>2</v>
      </c>
      <c r="I37" s="202">
        <v>1</v>
      </c>
    </row>
    <row r="38" spans="1:9" ht="21" customHeight="1" x14ac:dyDescent="0.15">
      <c r="A38" s="96" t="str">
        <f t="shared" si="0"/>
        <v>53_110</v>
      </c>
      <c r="B38" s="56">
        <v>53</v>
      </c>
      <c r="C38" s="31" t="str">
        <f ca="1">VLOOKUP($B38,OFFSET(units!$A$1,0,0,COUNTA(units!$A:$A),MATCH(C$1,units!$1:$1,0)-COLUMN(INDIRECT("character_id"))+1),MATCH(C$1,units!$1:$1,0)-COLUMN(INDIRECT("character_id"))+1,FALSE)</f>
        <v>ケンジ</v>
      </c>
      <c r="D38" s="31">
        <f ca="1">VLOOKUP($B38,OFFSET(units!$A$1,0,0,COUNTA(units!$A:$A),MATCH(D$1,units!$1:$1,0)-COLUMN(INDIRECT("character_id"))+1),MATCH(D$1,units!$1:$1,0)-COLUMN(INDIRECT("character_id"))+1,FALSE)</f>
        <v>2</v>
      </c>
      <c r="E38" s="31" t="str">
        <f ca="1">VLOOKUP($B38,OFFSET(units!$A$1,0,0,COUNTA(units!$A:$A),MATCH(E$1,units!$1:$1,0)-COLUMN(INDIRECT("character_id"))+1),MATCH(E$1,units!$1:$1,0)-COLUMN(INDIRECT("character_id"))+1,FALSE)</f>
        <v>Drop1N</v>
      </c>
      <c r="F38" s="56">
        <v>110</v>
      </c>
      <c r="G38" s="31" t="str">
        <f ca="1">VLOOKUP($F38,OFFSET(units!$A$1,0,0,COUNTA(units!$A:$A),MATCH(G$1,units!$1:$1,0)-COLUMN(INDIRECT("character_id"))+1),MATCH(G$1,units!$1:$1,0)-COLUMN(INDIRECT("character_id"))+1,FALSE)</f>
        <v>ブルーラビット</v>
      </c>
      <c r="H38" s="26">
        <v>1</v>
      </c>
      <c r="I38" s="202">
        <v>1</v>
      </c>
    </row>
    <row r="39" spans="1:9" ht="21" customHeight="1" x14ac:dyDescent="0.15">
      <c r="A39" s="96" t="str">
        <f t="shared" si="0"/>
        <v>53_109</v>
      </c>
      <c r="B39" s="56">
        <v>53</v>
      </c>
      <c r="C39" s="31" t="str">
        <f ca="1">VLOOKUP($B39,OFFSET(units!$A$1,0,0,COUNTA(units!$A:$A),MATCH(C$1,units!$1:$1,0)-COLUMN(INDIRECT("character_id"))+1),MATCH(C$1,units!$1:$1,0)-COLUMN(INDIRECT("character_id"))+1,FALSE)</f>
        <v>ケンジ</v>
      </c>
      <c r="D39" s="31">
        <f ca="1">VLOOKUP($B39,OFFSET(units!$A$1,0,0,COUNTA(units!$A:$A),MATCH(D$1,units!$1:$1,0)-COLUMN(INDIRECT("character_id"))+1),MATCH(D$1,units!$1:$1,0)-COLUMN(INDIRECT("character_id"))+1,FALSE)</f>
        <v>2</v>
      </c>
      <c r="E39" s="31" t="str">
        <f ca="1">VLOOKUP($B39,OFFSET(units!$A$1,0,0,COUNTA(units!$A:$A),MATCH(E$1,units!$1:$1,0)-COLUMN(INDIRECT("character_id"))+1),MATCH(E$1,units!$1:$1,0)-COLUMN(INDIRECT("character_id"))+1,FALSE)</f>
        <v>Drop1N</v>
      </c>
      <c r="F39" s="56">
        <v>109</v>
      </c>
      <c r="G39" s="31" t="str">
        <f ca="1">VLOOKUP($F39,OFFSET(units!$A$1,0,0,COUNTA(units!$A:$A),MATCH(G$1,units!$1:$1,0)-COLUMN(INDIRECT("character_id"))+1),MATCH(G$1,units!$1:$1,0)-COLUMN(INDIRECT("character_id"))+1,FALSE)</f>
        <v>ブルーチェシャ</v>
      </c>
      <c r="H39" s="26">
        <v>2</v>
      </c>
      <c r="I39" s="202">
        <v>1</v>
      </c>
    </row>
    <row r="40" spans="1:9" ht="21" customHeight="1" x14ac:dyDescent="0.15">
      <c r="A40" s="96" t="str">
        <f t="shared" si="0"/>
        <v>55_114</v>
      </c>
      <c r="B40" s="56">
        <v>55</v>
      </c>
      <c r="C40" s="31" t="str">
        <f ca="1">VLOOKUP($B40,OFFSET(units!$A$1,0,0,COUNTA(units!$A:$A),MATCH(C$1,units!$1:$1,0)-COLUMN(INDIRECT("character_id"))+1),MATCH(C$1,units!$1:$1,0)-COLUMN(INDIRECT("character_id"))+1,FALSE)</f>
        <v>マミコ</v>
      </c>
      <c r="D40" s="31">
        <f ca="1">VLOOKUP($B40,OFFSET(units!$A$1,0,0,COUNTA(units!$A:$A),MATCH(D$1,units!$1:$1,0)-COLUMN(INDIRECT("character_id"))+1),MATCH(D$1,units!$1:$1,0)-COLUMN(INDIRECT("character_id"))+1,FALSE)</f>
        <v>2</v>
      </c>
      <c r="E40" s="31" t="str">
        <f ca="1">VLOOKUP($B40,OFFSET(units!$A$1,0,0,COUNTA(units!$A:$A),MATCH(E$1,units!$1:$1,0)-COLUMN(INDIRECT("character_id"))+1),MATCH(E$1,units!$1:$1,0)-COLUMN(INDIRECT("character_id"))+1,FALSE)</f>
        <v>Drop1N</v>
      </c>
      <c r="F40" s="56">
        <v>114</v>
      </c>
      <c r="G40" s="31" t="str">
        <f ca="1">VLOOKUP($F40,OFFSET(units!$A$1,0,0,COUNTA(units!$A:$A),MATCH(G$1,units!$1:$1,0)-COLUMN(INDIRECT("character_id"))+1),MATCH(G$1,units!$1:$1,0)-COLUMN(INDIRECT("character_id"))+1,FALSE)</f>
        <v>イエローラビット</v>
      </c>
      <c r="H40" s="26">
        <v>1</v>
      </c>
      <c r="I40" s="202">
        <v>1</v>
      </c>
    </row>
    <row r="41" spans="1:9" ht="21" customHeight="1" x14ac:dyDescent="0.15">
      <c r="A41" s="96" t="str">
        <f t="shared" si="0"/>
        <v>55_113</v>
      </c>
      <c r="B41" s="56">
        <v>55</v>
      </c>
      <c r="C41" s="31" t="str">
        <f ca="1">VLOOKUP($B41,OFFSET(units!$A$1,0,0,COUNTA(units!$A:$A),MATCH(C$1,units!$1:$1,0)-COLUMN(INDIRECT("character_id"))+1),MATCH(C$1,units!$1:$1,0)-COLUMN(INDIRECT("character_id"))+1,FALSE)</f>
        <v>マミコ</v>
      </c>
      <c r="D41" s="31">
        <f ca="1">VLOOKUP($B41,OFFSET(units!$A$1,0,0,COUNTA(units!$A:$A),MATCH(D$1,units!$1:$1,0)-COLUMN(INDIRECT("character_id"))+1),MATCH(D$1,units!$1:$1,0)-COLUMN(INDIRECT("character_id"))+1,FALSE)</f>
        <v>2</v>
      </c>
      <c r="E41" s="31" t="str">
        <f ca="1">VLOOKUP($B41,OFFSET(units!$A$1,0,0,COUNTA(units!$A:$A),MATCH(E$1,units!$1:$1,0)-COLUMN(INDIRECT("character_id"))+1),MATCH(E$1,units!$1:$1,0)-COLUMN(INDIRECT("character_id"))+1,FALSE)</f>
        <v>Drop1N</v>
      </c>
      <c r="F41" s="56">
        <v>113</v>
      </c>
      <c r="G41" s="31" t="str">
        <f ca="1">VLOOKUP($F41,OFFSET(units!$A$1,0,0,COUNTA(units!$A:$A),MATCH(G$1,units!$1:$1,0)-COLUMN(INDIRECT("character_id"))+1),MATCH(G$1,units!$1:$1,0)-COLUMN(INDIRECT("character_id"))+1,FALSE)</f>
        <v>イエローチェシャ</v>
      </c>
      <c r="H41" s="26">
        <v>2</v>
      </c>
      <c r="I41" s="202">
        <v>1</v>
      </c>
    </row>
    <row r="42" spans="1:9" ht="21" customHeight="1" x14ac:dyDescent="0.15">
      <c r="A42" s="96" t="str">
        <f t="shared" si="0"/>
        <v>57_102</v>
      </c>
      <c r="B42" s="56">
        <v>57</v>
      </c>
      <c r="C42" s="31" t="str">
        <f ca="1">VLOOKUP($B42,OFFSET(units!$A$1,0,0,COUNTA(units!$A:$A),MATCH(C$1,units!$1:$1,0)-COLUMN(INDIRECT("character_id"))+1),MATCH(C$1,units!$1:$1,0)-COLUMN(INDIRECT("character_id"))+1,FALSE)</f>
        <v>チェン・リー</v>
      </c>
      <c r="D42" s="31">
        <f ca="1">VLOOKUP($B42,OFFSET(units!$A$1,0,0,COUNTA(units!$A:$A),MATCH(D$1,units!$1:$1,0)-COLUMN(INDIRECT("character_id"))+1),MATCH(D$1,units!$1:$1,0)-COLUMN(INDIRECT("character_id"))+1,FALSE)</f>
        <v>2</v>
      </c>
      <c r="E42" s="31" t="str">
        <f ca="1">VLOOKUP($B42,OFFSET(units!$A$1,0,0,COUNTA(units!$A:$A),MATCH(E$1,units!$1:$1,0)-COLUMN(INDIRECT("character_id"))+1),MATCH(E$1,units!$1:$1,0)-COLUMN(INDIRECT("character_id"))+1,FALSE)</f>
        <v>Drop1N</v>
      </c>
      <c r="F42" s="56">
        <v>102</v>
      </c>
      <c r="G42" s="31" t="str">
        <f ca="1">VLOOKUP($F42,OFFSET(units!$A$1,0,0,COUNTA(units!$A:$A),MATCH(G$1,units!$1:$1,0)-COLUMN(INDIRECT("character_id"))+1),MATCH(G$1,units!$1:$1,0)-COLUMN(INDIRECT("character_id"))+1,FALSE)</f>
        <v>レッドラビット</v>
      </c>
      <c r="H42" s="26">
        <v>1</v>
      </c>
      <c r="I42" s="202">
        <v>1</v>
      </c>
    </row>
    <row r="43" spans="1:9" ht="21" customHeight="1" x14ac:dyDescent="0.15">
      <c r="A43" s="96" t="str">
        <f t="shared" si="0"/>
        <v>57_101</v>
      </c>
      <c r="B43" s="56">
        <v>57</v>
      </c>
      <c r="C43" s="31" t="str">
        <f ca="1">VLOOKUP($B43,OFFSET(units!$A$1,0,0,COUNTA(units!$A:$A),MATCH(C$1,units!$1:$1,0)-COLUMN(INDIRECT("character_id"))+1),MATCH(C$1,units!$1:$1,0)-COLUMN(INDIRECT("character_id"))+1,FALSE)</f>
        <v>チェン・リー</v>
      </c>
      <c r="D43" s="31">
        <f ca="1">VLOOKUP($B43,OFFSET(units!$A$1,0,0,COUNTA(units!$A:$A),MATCH(D$1,units!$1:$1,0)-COLUMN(INDIRECT("character_id"))+1),MATCH(D$1,units!$1:$1,0)-COLUMN(INDIRECT("character_id"))+1,FALSE)</f>
        <v>2</v>
      </c>
      <c r="E43" s="31" t="str">
        <f ca="1">VLOOKUP($B43,OFFSET(units!$A$1,0,0,COUNTA(units!$A:$A),MATCH(E$1,units!$1:$1,0)-COLUMN(INDIRECT("character_id"))+1),MATCH(E$1,units!$1:$1,0)-COLUMN(INDIRECT("character_id"))+1,FALSE)</f>
        <v>Drop1N</v>
      </c>
      <c r="F43" s="56">
        <v>101</v>
      </c>
      <c r="G43" s="31" t="str">
        <f ca="1">VLOOKUP($F43,OFFSET(units!$A$1,0,0,COUNTA(units!$A:$A),MATCH(G$1,units!$1:$1,0)-COLUMN(INDIRECT("character_id"))+1),MATCH(G$1,units!$1:$1,0)-COLUMN(INDIRECT("character_id"))+1,FALSE)</f>
        <v>レッドチェシャ</v>
      </c>
      <c r="H43" s="26">
        <v>2</v>
      </c>
      <c r="I43" s="202">
        <v>1</v>
      </c>
    </row>
    <row r="44" spans="1:9" ht="21" customHeight="1" x14ac:dyDescent="0.15">
      <c r="A44" s="96" t="str">
        <f t="shared" si="0"/>
        <v>59_106</v>
      </c>
      <c r="B44" s="56">
        <v>59</v>
      </c>
      <c r="C44" s="31" t="str">
        <f ca="1">VLOOKUP($B44,OFFSET(units!$A$1,0,0,COUNTA(units!$A:$A),MATCH(C$1,units!$1:$1,0)-COLUMN(INDIRECT("character_id"))+1),MATCH(C$1,units!$1:$1,0)-COLUMN(INDIRECT("character_id"))+1,FALSE)</f>
        <v>マーチ</v>
      </c>
      <c r="D44" s="31">
        <f ca="1">VLOOKUP($B44,OFFSET(units!$A$1,0,0,COUNTA(units!$A:$A),MATCH(D$1,units!$1:$1,0)-COLUMN(INDIRECT("character_id"))+1),MATCH(D$1,units!$1:$1,0)-COLUMN(INDIRECT("character_id"))+1,FALSE)</f>
        <v>2</v>
      </c>
      <c r="E44" s="31" t="str">
        <f ca="1">VLOOKUP($B44,OFFSET(units!$A$1,0,0,COUNTA(units!$A:$A),MATCH(E$1,units!$1:$1,0)-COLUMN(INDIRECT("character_id"))+1),MATCH(E$1,units!$1:$1,0)-COLUMN(INDIRECT("character_id"))+1,FALSE)</f>
        <v>Drop1N</v>
      </c>
      <c r="F44" s="56">
        <v>106</v>
      </c>
      <c r="G44" s="31" t="str">
        <f ca="1">VLOOKUP($F44,OFFSET(units!$A$1,0,0,COUNTA(units!$A:$A),MATCH(G$1,units!$1:$1,0)-COLUMN(INDIRECT("character_id"))+1),MATCH(G$1,units!$1:$1,0)-COLUMN(INDIRECT("character_id"))+1,FALSE)</f>
        <v>グリーンラビット</v>
      </c>
      <c r="H44" s="26">
        <v>1</v>
      </c>
      <c r="I44" s="202">
        <v>1</v>
      </c>
    </row>
    <row r="45" spans="1:9" ht="21" customHeight="1" x14ac:dyDescent="0.15">
      <c r="A45" s="96" t="str">
        <f t="shared" si="0"/>
        <v>59_105</v>
      </c>
      <c r="B45" s="56">
        <v>59</v>
      </c>
      <c r="C45" s="31" t="str">
        <f ca="1">VLOOKUP($B45,OFFSET(units!$A$1,0,0,COUNTA(units!$A:$A),MATCH(C$1,units!$1:$1,0)-COLUMN(INDIRECT("character_id"))+1),MATCH(C$1,units!$1:$1,0)-COLUMN(INDIRECT("character_id"))+1,FALSE)</f>
        <v>マーチ</v>
      </c>
      <c r="D45" s="31">
        <f ca="1">VLOOKUP($B45,OFFSET(units!$A$1,0,0,COUNTA(units!$A:$A),MATCH(D$1,units!$1:$1,0)-COLUMN(INDIRECT("character_id"))+1),MATCH(D$1,units!$1:$1,0)-COLUMN(INDIRECT("character_id"))+1,FALSE)</f>
        <v>2</v>
      </c>
      <c r="E45" s="31" t="str">
        <f ca="1">VLOOKUP($B45,OFFSET(units!$A$1,0,0,COUNTA(units!$A:$A),MATCH(E$1,units!$1:$1,0)-COLUMN(INDIRECT("character_id"))+1),MATCH(E$1,units!$1:$1,0)-COLUMN(INDIRECT("character_id"))+1,FALSE)</f>
        <v>Drop1N</v>
      </c>
      <c r="F45" s="56">
        <v>105</v>
      </c>
      <c r="G45" s="31" t="str">
        <f ca="1">VLOOKUP($F45,OFFSET(units!$A$1,0,0,COUNTA(units!$A:$A),MATCH(G$1,units!$1:$1,0)-COLUMN(INDIRECT("character_id"))+1),MATCH(G$1,units!$1:$1,0)-COLUMN(INDIRECT("character_id"))+1,FALSE)</f>
        <v>グリーンチェシャ</v>
      </c>
      <c r="H45" s="26">
        <v>2</v>
      </c>
      <c r="I45" s="202">
        <v>1</v>
      </c>
    </row>
    <row r="46" spans="1:9" ht="21" customHeight="1" x14ac:dyDescent="0.15">
      <c r="A46" s="96" t="str">
        <f t="shared" si="0"/>
        <v>61_110</v>
      </c>
      <c r="B46" s="56">
        <v>61</v>
      </c>
      <c r="C46" s="31" t="str">
        <f ca="1">VLOOKUP($B46,OFFSET(units!$A$1,0,0,COUNTA(units!$A:$A),MATCH(C$1,units!$1:$1,0)-COLUMN(INDIRECT("character_id"))+1),MATCH(C$1,units!$1:$1,0)-COLUMN(INDIRECT("character_id"))+1,FALSE)</f>
        <v>クロウ</v>
      </c>
      <c r="D46" s="31">
        <f ca="1">VLOOKUP($B46,OFFSET(units!$A$1,0,0,COUNTA(units!$A:$A),MATCH(D$1,units!$1:$1,0)-COLUMN(INDIRECT("character_id"))+1),MATCH(D$1,units!$1:$1,0)-COLUMN(INDIRECT("character_id"))+1,FALSE)</f>
        <v>2</v>
      </c>
      <c r="E46" s="31" t="str">
        <f ca="1">VLOOKUP($B46,OFFSET(units!$A$1,0,0,COUNTA(units!$A:$A),MATCH(E$1,units!$1:$1,0)-COLUMN(INDIRECT("character_id"))+1),MATCH(E$1,units!$1:$1,0)-COLUMN(INDIRECT("character_id"))+1,FALSE)</f>
        <v>Drop1N</v>
      </c>
      <c r="F46" s="56">
        <v>110</v>
      </c>
      <c r="G46" s="31" t="str">
        <f ca="1">VLOOKUP($F46,OFFSET(units!$A$1,0,0,COUNTA(units!$A:$A),MATCH(G$1,units!$1:$1,0)-COLUMN(INDIRECT("character_id"))+1),MATCH(G$1,units!$1:$1,0)-COLUMN(INDIRECT("character_id"))+1,FALSE)</f>
        <v>ブルーラビット</v>
      </c>
      <c r="H46" s="26">
        <v>1</v>
      </c>
      <c r="I46" s="202">
        <v>1</v>
      </c>
    </row>
    <row r="47" spans="1:9" ht="21" customHeight="1" x14ac:dyDescent="0.15">
      <c r="A47" s="96" t="str">
        <f t="shared" si="0"/>
        <v>61_109</v>
      </c>
      <c r="B47" s="56">
        <v>61</v>
      </c>
      <c r="C47" s="31" t="str">
        <f ca="1">VLOOKUP($B47,OFFSET(units!$A$1,0,0,COUNTA(units!$A:$A),MATCH(C$1,units!$1:$1,0)-COLUMN(INDIRECT("character_id"))+1),MATCH(C$1,units!$1:$1,0)-COLUMN(INDIRECT("character_id"))+1,FALSE)</f>
        <v>クロウ</v>
      </c>
      <c r="D47" s="31">
        <f ca="1">VLOOKUP($B47,OFFSET(units!$A$1,0,0,COUNTA(units!$A:$A),MATCH(D$1,units!$1:$1,0)-COLUMN(INDIRECT("character_id"))+1),MATCH(D$1,units!$1:$1,0)-COLUMN(INDIRECT("character_id"))+1,FALSE)</f>
        <v>2</v>
      </c>
      <c r="E47" s="31" t="str">
        <f ca="1">VLOOKUP($B47,OFFSET(units!$A$1,0,0,COUNTA(units!$A:$A),MATCH(E$1,units!$1:$1,0)-COLUMN(INDIRECT("character_id"))+1),MATCH(E$1,units!$1:$1,0)-COLUMN(INDIRECT("character_id"))+1,FALSE)</f>
        <v>Drop1N</v>
      </c>
      <c r="F47" s="56">
        <v>109</v>
      </c>
      <c r="G47" s="31" t="str">
        <f ca="1">VLOOKUP($F47,OFFSET(units!$A$1,0,0,COUNTA(units!$A:$A),MATCH(G$1,units!$1:$1,0)-COLUMN(INDIRECT("character_id"))+1),MATCH(G$1,units!$1:$1,0)-COLUMN(INDIRECT("character_id"))+1,FALSE)</f>
        <v>ブルーチェシャ</v>
      </c>
      <c r="H47" s="26">
        <v>2</v>
      </c>
      <c r="I47" s="202">
        <v>1</v>
      </c>
    </row>
    <row r="48" spans="1:9" ht="21" customHeight="1" x14ac:dyDescent="0.15">
      <c r="A48" s="96" t="str">
        <f t="shared" si="0"/>
        <v>63_114</v>
      </c>
      <c r="B48" s="56">
        <v>63</v>
      </c>
      <c r="C48" s="31" t="str">
        <f ca="1">VLOOKUP($B48,OFFSET(units!$A$1,0,0,COUNTA(units!$A:$A),MATCH(C$1,units!$1:$1,0)-COLUMN(INDIRECT("character_id"))+1),MATCH(C$1,units!$1:$1,0)-COLUMN(INDIRECT("character_id"))+1,FALSE)</f>
        <v>トニー</v>
      </c>
      <c r="D48" s="31">
        <f ca="1">VLOOKUP($B48,OFFSET(units!$A$1,0,0,COUNTA(units!$A:$A),MATCH(D$1,units!$1:$1,0)-COLUMN(INDIRECT("character_id"))+1),MATCH(D$1,units!$1:$1,0)-COLUMN(INDIRECT("character_id"))+1,FALSE)</f>
        <v>2</v>
      </c>
      <c r="E48" s="31" t="str">
        <f ca="1">VLOOKUP($B48,OFFSET(units!$A$1,0,0,COUNTA(units!$A:$A),MATCH(E$1,units!$1:$1,0)-COLUMN(INDIRECT("character_id"))+1),MATCH(E$1,units!$1:$1,0)-COLUMN(INDIRECT("character_id"))+1,FALSE)</f>
        <v>Drop1N</v>
      </c>
      <c r="F48" s="56">
        <v>114</v>
      </c>
      <c r="G48" s="31" t="str">
        <f ca="1">VLOOKUP($F48,OFFSET(units!$A$1,0,0,COUNTA(units!$A:$A),MATCH(G$1,units!$1:$1,0)-COLUMN(INDIRECT("character_id"))+1),MATCH(G$1,units!$1:$1,0)-COLUMN(INDIRECT("character_id"))+1,FALSE)</f>
        <v>イエローラビット</v>
      </c>
      <c r="H48" s="26">
        <v>1</v>
      </c>
      <c r="I48" s="202">
        <v>1</v>
      </c>
    </row>
    <row r="49" spans="1:9" ht="21" customHeight="1" x14ac:dyDescent="0.15">
      <c r="A49" s="96" t="str">
        <f t="shared" si="0"/>
        <v>63_113</v>
      </c>
      <c r="B49" s="56">
        <v>63</v>
      </c>
      <c r="C49" s="31" t="str">
        <f ca="1">VLOOKUP($B49,OFFSET(units!$A$1,0,0,COUNTA(units!$A:$A),MATCH(C$1,units!$1:$1,0)-COLUMN(INDIRECT("character_id"))+1),MATCH(C$1,units!$1:$1,0)-COLUMN(INDIRECT("character_id"))+1,FALSE)</f>
        <v>トニー</v>
      </c>
      <c r="D49" s="31">
        <f ca="1">VLOOKUP($B49,OFFSET(units!$A$1,0,0,COUNTA(units!$A:$A),MATCH(D$1,units!$1:$1,0)-COLUMN(INDIRECT("character_id"))+1),MATCH(D$1,units!$1:$1,0)-COLUMN(INDIRECT("character_id"))+1,FALSE)</f>
        <v>2</v>
      </c>
      <c r="E49" s="31" t="str">
        <f ca="1">VLOOKUP($B49,OFFSET(units!$A$1,0,0,COUNTA(units!$A:$A),MATCH(E$1,units!$1:$1,0)-COLUMN(INDIRECT("character_id"))+1),MATCH(E$1,units!$1:$1,0)-COLUMN(INDIRECT("character_id"))+1,FALSE)</f>
        <v>Drop1N</v>
      </c>
      <c r="F49" s="56">
        <v>113</v>
      </c>
      <c r="G49" s="31" t="str">
        <f ca="1">VLOOKUP($F49,OFFSET(units!$A$1,0,0,COUNTA(units!$A:$A),MATCH(G$1,units!$1:$1,0)-COLUMN(INDIRECT("character_id"))+1),MATCH(G$1,units!$1:$1,0)-COLUMN(INDIRECT("character_id"))+1,FALSE)</f>
        <v>イエローチェシャ</v>
      </c>
      <c r="H49" s="26">
        <v>2</v>
      </c>
      <c r="I49" s="202">
        <v>1</v>
      </c>
    </row>
    <row r="50" spans="1:9" ht="21" customHeight="1" x14ac:dyDescent="0.15">
      <c r="A50" s="96" t="str">
        <f t="shared" si="0"/>
        <v>65_102</v>
      </c>
      <c r="B50" s="56">
        <v>65</v>
      </c>
      <c r="C50" s="31" t="str">
        <f ca="1">VLOOKUP($B50,OFFSET(units!$A$1,0,0,COUNTA(units!$A:$A),MATCH(C$1,units!$1:$1,0)-COLUMN(INDIRECT("character_id"))+1),MATCH(C$1,units!$1:$1,0)-COLUMN(INDIRECT("character_id"))+1,FALSE)</f>
        <v>ファイアフォックス</v>
      </c>
      <c r="D50" s="31">
        <f ca="1">VLOOKUP($B50,OFFSET(units!$A$1,0,0,COUNTA(units!$A:$A),MATCH(D$1,units!$1:$1,0)-COLUMN(INDIRECT("character_id"))+1),MATCH(D$1,units!$1:$1,0)-COLUMN(INDIRECT("character_id"))+1,FALSE)</f>
        <v>2</v>
      </c>
      <c r="E50" s="31" t="str">
        <f ca="1">VLOOKUP($B50,OFFSET(units!$A$1,0,0,COUNTA(units!$A:$A),MATCH(E$1,units!$1:$1,0)-COLUMN(INDIRECT("character_id"))+1),MATCH(E$1,units!$1:$1,0)-COLUMN(INDIRECT("character_id"))+1,FALSE)</f>
        <v>Drop1S</v>
      </c>
      <c r="F50" s="56">
        <v>102</v>
      </c>
      <c r="G50" s="31" t="str">
        <f ca="1">VLOOKUP($F50,OFFSET(units!$A$1,0,0,COUNTA(units!$A:$A),MATCH(G$1,units!$1:$1,0)-COLUMN(INDIRECT("character_id"))+1),MATCH(G$1,units!$1:$1,0)-COLUMN(INDIRECT("character_id"))+1,FALSE)</f>
        <v>レッドラビット</v>
      </c>
      <c r="H50" s="26">
        <v>2</v>
      </c>
      <c r="I50" s="202">
        <v>1</v>
      </c>
    </row>
    <row r="51" spans="1:9" ht="21" customHeight="1" x14ac:dyDescent="0.15">
      <c r="A51" s="96" t="str">
        <f t="shared" si="0"/>
        <v>65_101</v>
      </c>
      <c r="B51" s="56">
        <v>65</v>
      </c>
      <c r="C51" s="31" t="str">
        <f ca="1">VLOOKUP($B51,OFFSET(units!$A$1,0,0,COUNTA(units!$A:$A),MATCH(C$1,units!$1:$1,0)-COLUMN(INDIRECT("character_id"))+1),MATCH(C$1,units!$1:$1,0)-COLUMN(INDIRECT("character_id"))+1,FALSE)</f>
        <v>ファイアフォックス</v>
      </c>
      <c r="D51" s="31">
        <f ca="1">VLOOKUP($B51,OFFSET(units!$A$1,0,0,COUNTA(units!$A:$A),MATCH(D$1,units!$1:$1,0)-COLUMN(INDIRECT("character_id"))+1),MATCH(D$1,units!$1:$1,0)-COLUMN(INDIRECT("character_id"))+1,FALSE)</f>
        <v>2</v>
      </c>
      <c r="E51" s="31" t="str">
        <f ca="1">VLOOKUP($B51,OFFSET(units!$A$1,0,0,COUNTA(units!$A:$A),MATCH(E$1,units!$1:$1,0)-COLUMN(INDIRECT("character_id"))+1),MATCH(E$1,units!$1:$1,0)-COLUMN(INDIRECT("character_id"))+1,FALSE)</f>
        <v>Drop1S</v>
      </c>
      <c r="F51" s="56">
        <v>101</v>
      </c>
      <c r="G51" s="31" t="str">
        <f ca="1">VLOOKUP($F51,OFFSET(units!$A$1,0,0,COUNTA(units!$A:$A),MATCH(G$1,units!$1:$1,0)-COLUMN(INDIRECT("character_id"))+1),MATCH(G$1,units!$1:$1,0)-COLUMN(INDIRECT("character_id"))+1,FALSE)</f>
        <v>レッドチェシャ</v>
      </c>
      <c r="H51" s="26">
        <v>1</v>
      </c>
      <c r="I51" s="202">
        <v>1</v>
      </c>
    </row>
    <row r="52" spans="1:9" ht="21" customHeight="1" x14ac:dyDescent="0.15">
      <c r="A52" s="96" t="str">
        <f t="shared" si="0"/>
        <v>66_103</v>
      </c>
      <c r="B52" s="56">
        <v>66</v>
      </c>
      <c r="C52" s="31" t="str">
        <f ca="1">VLOOKUP($B52,OFFSET(units!$A$1,0,0,COUNTA(units!$A:$A),MATCH(C$1,units!$1:$1,0)-COLUMN(INDIRECT("character_id"))+1),MATCH(C$1,units!$1:$1,0)-COLUMN(INDIRECT("character_id"))+1,FALSE)</f>
        <v>探索者 ファイアフォックス</v>
      </c>
      <c r="D52" s="31">
        <f ca="1">VLOOKUP($B52,OFFSET(units!$A$1,0,0,COUNTA(units!$A:$A),MATCH(D$1,units!$1:$1,0)-COLUMN(INDIRECT("character_id"))+1),MATCH(D$1,units!$1:$1,0)-COLUMN(INDIRECT("character_id"))+1,FALSE)</f>
        <v>3</v>
      </c>
      <c r="E52" s="31" t="str">
        <f ca="1">VLOOKUP($B52,OFFSET(units!$A$1,0,0,COUNTA(units!$A:$A),MATCH(E$1,units!$1:$1,0)-COLUMN(INDIRECT("character_id"))+1),MATCH(E$1,units!$1:$1,0)-COLUMN(INDIRECT("character_id"))+1,FALSE)</f>
        <v>Drop1S</v>
      </c>
      <c r="F52" s="56">
        <v>103</v>
      </c>
      <c r="G52" s="31" t="str">
        <f ca="1">VLOOKUP($F52,OFFSET(units!$A$1,0,0,COUNTA(units!$A:$A),MATCH(G$1,units!$1:$1,0)-COLUMN(INDIRECT("character_id"))+1),MATCH(G$1,units!$1:$1,0)-COLUMN(INDIRECT("character_id"))+1,FALSE)</f>
        <v>レッドキャタップ</v>
      </c>
      <c r="H52" s="26">
        <v>1</v>
      </c>
      <c r="I52" s="202">
        <v>1</v>
      </c>
    </row>
    <row r="53" spans="1:9" ht="21" customHeight="1" x14ac:dyDescent="0.15">
      <c r="A53" s="96" t="str">
        <f t="shared" si="0"/>
        <v>66_101</v>
      </c>
      <c r="B53" s="56">
        <v>66</v>
      </c>
      <c r="C53" s="31" t="str">
        <f ca="1">VLOOKUP($B53,OFFSET(units!$A$1,0,0,COUNTA(units!$A:$A),MATCH(C$1,units!$1:$1,0)-COLUMN(INDIRECT("character_id"))+1),MATCH(C$1,units!$1:$1,0)-COLUMN(INDIRECT("character_id"))+1,FALSE)</f>
        <v>探索者 ファイアフォックス</v>
      </c>
      <c r="D53" s="31">
        <f ca="1">VLOOKUP($B53,OFFSET(units!$A$1,0,0,COUNTA(units!$A:$A),MATCH(D$1,units!$1:$1,0)-COLUMN(INDIRECT("character_id"))+1),MATCH(D$1,units!$1:$1,0)-COLUMN(INDIRECT("character_id"))+1,FALSE)</f>
        <v>3</v>
      </c>
      <c r="E53" s="31" t="str">
        <f ca="1">VLOOKUP($B53,OFFSET(units!$A$1,0,0,COUNTA(units!$A:$A),MATCH(E$1,units!$1:$1,0)-COLUMN(INDIRECT("character_id"))+1),MATCH(E$1,units!$1:$1,0)-COLUMN(INDIRECT("character_id"))+1,FALSE)</f>
        <v>Drop1S</v>
      </c>
      <c r="F53" s="56">
        <v>101</v>
      </c>
      <c r="G53" s="31" t="str">
        <f ca="1">VLOOKUP($F53,OFFSET(units!$A$1,0,0,COUNTA(units!$A:$A),MATCH(G$1,units!$1:$1,0)-COLUMN(INDIRECT("character_id"))+1),MATCH(G$1,units!$1:$1,0)-COLUMN(INDIRECT("character_id"))+1,FALSE)</f>
        <v>レッドチェシャ</v>
      </c>
      <c r="H53" s="26">
        <v>2</v>
      </c>
      <c r="I53" s="202">
        <v>1</v>
      </c>
    </row>
    <row r="54" spans="1:9" ht="21" customHeight="1" x14ac:dyDescent="0.15">
      <c r="A54" s="96" t="str">
        <f t="shared" si="0"/>
        <v>68_106</v>
      </c>
      <c r="B54" s="56">
        <v>68</v>
      </c>
      <c r="C54" s="31" t="str">
        <f ca="1">VLOOKUP($B54,OFFSET(units!$A$1,0,0,COUNTA(units!$A:$A),MATCH(C$1,units!$1:$1,0)-COLUMN(INDIRECT("character_id"))+1),MATCH(C$1,units!$1:$1,0)-COLUMN(INDIRECT("character_id"))+1,FALSE)</f>
        <v>ストール</v>
      </c>
      <c r="D54" s="31">
        <f ca="1">VLOOKUP($B54,OFFSET(units!$A$1,0,0,COUNTA(units!$A:$A),MATCH(D$1,units!$1:$1,0)-COLUMN(INDIRECT("character_id"))+1),MATCH(D$1,units!$1:$1,0)-COLUMN(INDIRECT("character_id"))+1,FALSE)</f>
        <v>2</v>
      </c>
      <c r="E54" s="31" t="str">
        <f ca="1">VLOOKUP($B54,OFFSET(units!$A$1,0,0,COUNTA(units!$A:$A),MATCH(E$1,units!$1:$1,0)-COLUMN(INDIRECT("character_id"))+1),MATCH(E$1,units!$1:$1,0)-COLUMN(INDIRECT("character_id"))+1,FALSE)</f>
        <v>Drop1S</v>
      </c>
      <c r="F54" s="56">
        <v>106</v>
      </c>
      <c r="G54" s="31" t="str">
        <f ca="1">VLOOKUP($F54,OFFSET(units!$A$1,0,0,COUNTA(units!$A:$A),MATCH(G$1,units!$1:$1,0)-COLUMN(INDIRECT("character_id"))+1),MATCH(G$1,units!$1:$1,0)-COLUMN(INDIRECT("character_id"))+1,FALSE)</f>
        <v>グリーンラビット</v>
      </c>
      <c r="H54" s="26">
        <v>2</v>
      </c>
      <c r="I54" s="202">
        <v>1</v>
      </c>
    </row>
    <row r="55" spans="1:9" ht="21" customHeight="1" x14ac:dyDescent="0.15">
      <c r="A55" s="96" t="str">
        <f t="shared" si="0"/>
        <v>68_105</v>
      </c>
      <c r="B55" s="56">
        <v>68</v>
      </c>
      <c r="C55" s="31" t="str">
        <f ca="1">VLOOKUP($B55,OFFSET(units!$A$1,0,0,COUNTA(units!$A:$A),MATCH(C$1,units!$1:$1,0)-COLUMN(INDIRECT("character_id"))+1),MATCH(C$1,units!$1:$1,0)-COLUMN(INDIRECT("character_id"))+1,FALSE)</f>
        <v>ストール</v>
      </c>
      <c r="D55" s="31">
        <f ca="1">VLOOKUP($B55,OFFSET(units!$A$1,0,0,COUNTA(units!$A:$A),MATCH(D$1,units!$1:$1,0)-COLUMN(INDIRECT("character_id"))+1),MATCH(D$1,units!$1:$1,0)-COLUMN(INDIRECT("character_id"))+1,FALSE)</f>
        <v>2</v>
      </c>
      <c r="E55" s="31" t="str">
        <f ca="1">VLOOKUP($B55,OFFSET(units!$A$1,0,0,COUNTA(units!$A:$A),MATCH(E$1,units!$1:$1,0)-COLUMN(INDIRECT("character_id"))+1),MATCH(E$1,units!$1:$1,0)-COLUMN(INDIRECT("character_id"))+1,FALSE)</f>
        <v>Drop1S</v>
      </c>
      <c r="F55" s="56">
        <v>105</v>
      </c>
      <c r="G55" s="31" t="str">
        <f ca="1">VLOOKUP($F55,OFFSET(units!$A$1,0,0,COUNTA(units!$A:$A),MATCH(G$1,units!$1:$1,0)-COLUMN(INDIRECT("character_id"))+1),MATCH(G$1,units!$1:$1,0)-COLUMN(INDIRECT("character_id"))+1,FALSE)</f>
        <v>グリーンチェシャ</v>
      </c>
      <c r="H55" s="26">
        <v>1</v>
      </c>
      <c r="I55" s="202">
        <v>1</v>
      </c>
    </row>
    <row r="56" spans="1:9" ht="21" customHeight="1" x14ac:dyDescent="0.15">
      <c r="A56" s="96" t="str">
        <f t="shared" si="0"/>
        <v>69_107</v>
      </c>
      <c r="B56" s="56">
        <v>69</v>
      </c>
      <c r="C56" s="31" t="str">
        <f ca="1">VLOOKUP($B56,OFFSET(units!$A$1,0,0,COUNTA(units!$A:$A),MATCH(C$1,units!$1:$1,0)-COLUMN(INDIRECT("character_id"))+1),MATCH(C$1,units!$1:$1,0)-COLUMN(INDIRECT("character_id"))+1,FALSE)</f>
        <v>思想家 ストール</v>
      </c>
      <c r="D56" s="31">
        <f ca="1">VLOOKUP($B56,OFFSET(units!$A$1,0,0,COUNTA(units!$A:$A),MATCH(D$1,units!$1:$1,0)-COLUMN(INDIRECT("character_id"))+1),MATCH(D$1,units!$1:$1,0)-COLUMN(INDIRECT("character_id"))+1,FALSE)</f>
        <v>3</v>
      </c>
      <c r="E56" s="31" t="str">
        <f ca="1">VLOOKUP($B56,OFFSET(units!$A$1,0,0,COUNTA(units!$A:$A),MATCH(E$1,units!$1:$1,0)-COLUMN(INDIRECT("character_id"))+1),MATCH(E$1,units!$1:$1,0)-COLUMN(INDIRECT("character_id"))+1,FALSE)</f>
        <v>Drop1S</v>
      </c>
      <c r="F56" s="56">
        <v>107</v>
      </c>
      <c r="G56" s="31" t="str">
        <f ca="1">VLOOKUP($F56,OFFSET(units!$A$1,0,0,COUNTA(units!$A:$A),MATCH(G$1,units!$1:$1,0)-COLUMN(INDIRECT("character_id"))+1),MATCH(G$1,units!$1:$1,0)-COLUMN(INDIRECT("character_id"))+1,FALSE)</f>
        <v>グリーンキャタップ</v>
      </c>
      <c r="H56" s="26">
        <v>1</v>
      </c>
      <c r="I56" s="202">
        <v>1</v>
      </c>
    </row>
    <row r="57" spans="1:9" ht="21" customHeight="1" x14ac:dyDescent="0.15">
      <c r="A57" s="96" t="str">
        <f t="shared" si="0"/>
        <v>69_105</v>
      </c>
      <c r="B57" s="56">
        <v>69</v>
      </c>
      <c r="C57" s="31" t="str">
        <f ca="1">VLOOKUP($B57,OFFSET(units!$A$1,0,0,COUNTA(units!$A:$A),MATCH(C$1,units!$1:$1,0)-COLUMN(INDIRECT("character_id"))+1),MATCH(C$1,units!$1:$1,0)-COLUMN(INDIRECT("character_id"))+1,FALSE)</f>
        <v>思想家 ストール</v>
      </c>
      <c r="D57" s="31">
        <f ca="1">VLOOKUP($B57,OFFSET(units!$A$1,0,0,COUNTA(units!$A:$A),MATCH(D$1,units!$1:$1,0)-COLUMN(INDIRECT("character_id"))+1),MATCH(D$1,units!$1:$1,0)-COLUMN(INDIRECT("character_id"))+1,FALSE)</f>
        <v>3</v>
      </c>
      <c r="E57" s="31" t="str">
        <f ca="1">VLOOKUP($B57,OFFSET(units!$A$1,0,0,COUNTA(units!$A:$A),MATCH(E$1,units!$1:$1,0)-COLUMN(INDIRECT("character_id"))+1),MATCH(E$1,units!$1:$1,0)-COLUMN(INDIRECT("character_id"))+1,FALSE)</f>
        <v>Drop1S</v>
      </c>
      <c r="F57" s="56">
        <v>105</v>
      </c>
      <c r="G57" s="31" t="str">
        <f ca="1">VLOOKUP($F57,OFFSET(units!$A$1,0,0,COUNTA(units!$A:$A),MATCH(G$1,units!$1:$1,0)-COLUMN(INDIRECT("character_id"))+1),MATCH(G$1,units!$1:$1,0)-COLUMN(INDIRECT("character_id"))+1,FALSE)</f>
        <v>グリーンチェシャ</v>
      </c>
      <c r="H57" s="26">
        <v>2</v>
      </c>
      <c r="I57" s="202">
        <v>1</v>
      </c>
    </row>
    <row r="58" spans="1:9" ht="21" customHeight="1" x14ac:dyDescent="0.15">
      <c r="A58" s="96" t="str">
        <f t="shared" si="0"/>
        <v>71_110</v>
      </c>
      <c r="B58" s="56">
        <v>71</v>
      </c>
      <c r="C58" s="31" t="str">
        <f ca="1">VLOOKUP($B58,OFFSET(units!$A$1,0,0,COUNTA(units!$A:$A),MATCH(C$1,units!$1:$1,0)-COLUMN(INDIRECT("character_id"))+1),MATCH(C$1,units!$1:$1,0)-COLUMN(INDIRECT("character_id"))+1,FALSE)</f>
        <v>ダックス</v>
      </c>
      <c r="D58" s="31">
        <f ca="1">VLOOKUP($B58,OFFSET(units!$A$1,0,0,COUNTA(units!$A:$A),MATCH(D$1,units!$1:$1,0)-COLUMN(INDIRECT("character_id"))+1),MATCH(D$1,units!$1:$1,0)-COLUMN(INDIRECT("character_id"))+1,FALSE)</f>
        <v>2</v>
      </c>
      <c r="E58" s="31" t="str">
        <f ca="1">VLOOKUP($B58,OFFSET(units!$A$1,0,0,COUNTA(units!$A:$A),MATCH(E$1,units!$1:$1,0)-COLUMN(INDIRECT("character_id"))+1),MATCH(E$1,units!$1:$1,0)-COLUMN(INDIRECT("character_id"))+1,FALSE)</f>
        <v>Drop1S</v>
      </c>
      <c r="F58" s="56">
        <v>110</v>
      </c>
      <c r="G58" s="31" t="str">
        <f ca="1">VLOOKUP($F58,OFFSET(units!$A$1,0,0,COUNTA(units!$A:$A),MATCH(G$1,units!$1:$1,0)-COLUMN(INDIRECT("character_id"))+1),MATCH(G$1,units!$1:$1,0)-COLUMN(INDIRECT("character_id"))+1,FALSE)</f>
        <v>ブルーラビット</v>
      </c>
      <c r="H58" s="26">
        <v>2</v>
      </c>
      <c r="I58" s="202">
        <v>1</v>
      </c>
    </row>
    <row r="59" spans="1:9" ht="21" customHeight="1" x14ac:dyDescent="0.15">
      <c r="A59" s="96" t="str">
        <f t="shared" si="0"/>
        <v>71_109</v>
      </c>
      <c r="B59" s="56">
        <v>71</v>
      </c>
      <c r="C59" s="31" t="str">
        <f ca="1">VLOOKUP($B59,OFFSET(units!$A$1,0,0,COUNTA(units!$A:$A),MATCH(C$1,units!$1:$1,0)-COLUMN(INDIRECT("character_id"))+1),MATCH(C$1,units!$1:$1,0)-COLUMN(INDIRECT("character_id"))+1,FALSE)</f>
        <v>ダックス</v>
      </c>
      <c r="D59" s="31">
        <f ca="1">VLOOKUP($B59,OFFSET(units!$A$1,0,0,COUNTA(units!$A:$A),MATCH(D$1,units!$1:$1,0)-COLUMN(INDIRECT("character_id"))+1),MATCH(D$1,units!$1:$1,0)-COLUMN(INDIRECT("character_id"))+1,FALSE)</f>
        <v>2</v>
      </c>
      <c r="E59" s="31" t="str">
        <f ca="1">VLOOKUP($B59,OFFSET(units!$A$1,0,0,COUNTA(units!$A:$A),MATCH(E$1,units!$1:$1,0)-COLUMN(INDIRECT("character_id"))+1),MATCH(E$1,units!$1:$1,0)-COLUMN(INDIRECT("character_id"))+1,FALSE)</f>
        <v>Drop1S</v>
      </c>
      <c r="F59" s="56">
        <v>109</v>
      </c>
      <c r="G59" s="31" t="str">
        <f ca="1">VLOOKUP($F59,OFFSET(units!$A$1,0,0,COUNTA(units!$A:$A),MATCH(G$1,units!$1:$1,0)-COLUMN(INDIRECT("character_id"))+1),MATCH(G$1,units!$1:$1,0)-COLUMN(INDIRECT("character_id"))+1,FALSE)</f>
        <v>ブルーチェシャ</v>
      </c>
      <c r="H59" s="26">
        <v>1</v>
      </c>
      <c r="I59" s="202">
        <v>1</v>
      </c>
    </row>
    <row r="60" spans="1:9" ht="21" customHeight="1" x14ac:dyDescent="0.15">
      <c r="A60" s="96" t="str">
        <f t="shared" si="0"/>
        <v>72_111</v>
      </c>
      <c r="B60" s="56">
        <v>72</v>
      </c>
      <c r="C60" s="31" t="str">
        <f ca="1">VLOOKUP($B60,OFFSET(units!$A$1,0,0,COUNTA(units!$A:$A),MATCH(C$1,units!$1:$1,0)-COLUMN(INDIRECT("character_id"))+1),MATCH(C$1,units!$1:$1,0)-COLUMN(INDIRECT("character_id"))+1,FALSE)</f>
        <v>探求者 ダックス</v>
      </c>
      <c r="D60" s="31">
        <f ca="1">VLOOKUP($B60,OFFSET(units!$A$1,0,0,COUNTA(units!$A:$A),MATCH(D$1,units!$1:$1,0)-COLUMN(INDIRECT("character_id"))+1),MATCH(D$1,units!$1:$1,0)-COLUMN(INDIRECT("character_id"))+1,FALSE)</f>
        <v>3</v>
      </c>
      <c r="E60" s="31" t="str">
        <f ca="1">VLOOKUP($B60,OFFSET(units!$A$1,0,0,COUNTA(units!$A:$A),MATCH(E$1,units!$1:$1,0)-COLUMN(INDIRECT("character_id"))+1),MATCH(E$1,units!$1:$1,0)-COLUMN(INDIRECT("character_id"))+1,FALSE)</f>
        <v>Drop1S</v>
      </c>
      <c r="F60" s="56">
        <v>111</v>
      </c>
      <c r="G60" s="31" t="str">
        <f ca="1">VLOOKUP($F60,OFFSET(units!$A$1,0,0,COUNTA(units!$A:$A),MATCH(G$1,units!$1:$1,0)-COLUMN(INDIRECT("character_id"))+1),MATCH(G$1,units!$1:$1,0)-COLUMN(INDIRECT("character_id"))+1,FALSE)</f>
        <v>ブルーキャタップ</v>
      </c>
      <c r="H60" s="26">
        <v>1</v>
      </c>
      <c r="I60" s="202">
        <v>1</v>
      </c>
    </row>
    <row r="61" spans="1:9" ht="21" customHeight="1" x14ac:dyDescent="0.15">
      <c r="A61" s="96" t="str">
        <f t="shared" si="0"/>
        <v>72_109</v>
      </c>
      <c r="B61" s="56">
        <v>72</v>
      </c>
      <c r="C61" s="31" t="str">
        <f ca="1">VLOOKUP($B61,OFFSET(units!$A$1,0,0,COUNTA(units!$A:$A),MATCH(C$1,units!$1:$1,0)-COLUMN(INDIRECT("character_id"))+1),MATCH(C$1,units!$1:$1,0)-COLUMN(INDIRECT("character_id"))+1,FALSE)</f>
        <v>探求者 ダックス</v>
      </c>
      <c r="D61" s="31">
        <f ca="1">VLOOKUP($B61,OFFSET(units!$A$1,0,0,COUNTA(units!$A:$A),MATCH(D$1,units!$1:$1,0)-COLUMN(INDIRECT("character_id"))+1),MATCH(D$1,units!$1:$1,0)-COLUMN(INDIRECT("character_id"))+1,FALSE)</f>
        <v>3</v>
      </c>
      <c r="E61" s="31" t="str">
        <f ca="1">VLOOKUP($B61,OFFSET(units!$A$1,0,0,COUNTA(units!$A:$A),MATCH(E$1,units!$1:$1,0)-COLUMN(INDIRECT("character_id"))+1),MATCH(E$1,units!$1:$1,0)-COLUMN(INDIRECT("character_id"))+1,FALSE)</f>
        <v>Drop1S</v>
      </c>
      <c r="F61" s="56">
        <v>109</v>
      </c>
      <c r="G61" s="31" t="str">
        <f ca="1">VLOOKUP($F61,OFFSET(units!$A$1,0,0,COUNTA(units!$A:$A),MATCH(G$1,units!$1:$1,0)-COLUMN(INDIRECT("character_id"))+1),MATCH(G$1,units!$1:$1,0)-COLUMN(INDIRECT("character_id"))+1,FALSE)</f>
        <v>ブルーチェシャ</v>
      </c>
      <c r="H61" s="26">
        <v>2</v>
      </c>
      <c r="I61" s="202">
        <v>1</v>
      </c>
    </row>
    <row r="62" spans="1:9" ht="21" customHeight="1" x14ac:dyDescent="0.15">
      <c r="A62" s="96" t="str">
        <f t="shared" si="0"/>
        <v>74_114</v>
      </c>
      <c r="B62" s="56">
        <v>74</v>
      </c>
      <c r="C62" s="31" t="str">
        <f ca="1">VLOOKUP($B62,OFFSET(units!$A$1,0,0,COUNTA(units!$A:$A),MATCH(C$1,units!$1:$1,0)-COLUMN(INDIRECT("character_id"))+1),MATCH(C$1,units!$1:$1,0)-COLUMN(INDIRECT("character_id"))+1,FALSE)</f>
        <v>サンダーバード</v>
      </c>
      <c r="D62" s="31">
        <f ca="1">VLOOKUP($B62,OFFSET(units!$A$1,0,0,COUNTA(units!$A:$A),MATCH(D$1,units!$1:$1,0)-COLUMN(INDIRECT("character_id"))+1),MATCH(D$1,units!$1:$1,0)-COLUMN(INDIRECT("character_id"))+1,FALSE)</f>
        <v>2</v>
      </c>
      <c r="E62" s="31" t="str">
        <f ca="1">VLOOKUP($B62,OFFSET(units!$A$1,0,0,COUNTA(units!$A:$A),MATCH(E$1,units!$1:$1,0)-COLUMN(INDIRECT("character_id"))+1),MATCH(E$1,units!$1:$1,0)-COLUMN(INDIRECT("character_id"))+1,FALSE)</f>
        <v>Drop1S</v>
      </c>
      <c r="F62" s="56">
        <v>114</v>
      </c>
      <c r="G62" s="31" t="str">
        <f ca="1">VLOOKUP($F62,OFFSET(units!$A$1,0,0,COUNTA(units!$A:$A),MATCH(G$1,units!$1:$1,0)-COLUMN(INDIRECT("character_id"))+1),MATCH(G$1,units!$1:$1,0)-COLUMN(INDIRECT("character_id"))+1,FALSE)</f>
        <v>イエローラビット</v>
      </c>
      <c r="H62" s="26">
        <v>2</v>
      </c>
      <c r="I62" s="202">
        <v>1</v>
      </c>
    </row>
    <row r="63" spans="1:9" ht="21" customHeight="1" x14ac:dyDescent="0.15">
      <c r="A63" s="96" t="str">
        <f t="shared" si="0"/>
        <v>74_113</v>
      </c>
      <c r="B63" s="56">
        <v>74</v>
      </c>
      <c r="C63" s="31" t="str">
        <f ca="1">VLOOKUP($B63,OFFSET(units!$A$1,0,0,COUNTA(units!$A:$A),MATCH(C$1,units!$1:$1,0)-COLUMN(INDIRECT("character_id"))+1),MATCH(C$1,units!$1:$1,0)-COLUMN(INDIRECT("character_id"))+1,FALSE)</f>
        <v>サンダーバード</v>
      </c>
      <c r="D63" s="31">
        <f ca="1">VLOOKUP($B63,OFFSET(units!$A$1,0,0,COUNTA(units!$A:$A),MATCH(D$1,units!$1:$1,0)-COLUMN(INDIRECT("character_id"))+1),MATCH(D$1,units!$1:$1,0)-COLUMN(INDIRECT("character_id"))+1,FALSE)</f>
        <v>2</v>
      </c>
      <c r="E63" s="31" t="str">
        <f ca="1">VLOOKUP($B63,OFFSET(units!$A$1,0,0,COUNTA(units!$A:$A),MATCH(E$1,units!$1:$1,0)-COLUMN(INDIRECT("character_id"))+1),MATCH(E$1,units!$1:$1,0)-COLUMN(INDIRECT("character_id"))+1,FALSE)</f>
        <v>Drop1S</v>
      </c>
      <c r="F63" s="56">
        <v>113</v>
      </c>
      <c r="G63" s="31" t="str">
        <f ca="1">VLOOKUP($F63,OFFSET(units!$A$1,0,0,COUNTA(units!$A:$A),MATCH(G$1,units!$1:$1,0)-COLUMN(INDIRECT("character_id"))+1),MATCH(G$1,units!$1:$1,0)-COLUMN(INDIRECT("character_id"))+1,FALSE)</f>
        <v>イエローチェシャ</v>
      </c>
      <c r="H63" s="26">
        <v>1</v>
      </c>
      <c r="I63" s="202">
        <v>1</v>
      </c>
    </row>
    <row r="64" spans="1:9" ht="21" customHeight="1" x14ac:dyDescent="0.15">
      <c r="A64" s="96" t="str">
        <f t="shared" si="0"/>
        <v>75_115</v>
      </c>
      <c r="B64" s="56">
        <v>75</v>
      </c>
      <c r="C64" s="31" t="str">
        <f ca="1">VLOOKUP($B64,OFFSET(units!$A$1,0,0,COUNTA(units!$A:$A),MATCH(C$1,units!$1:$1,0)-COLUMN(INDIRECT("character_id"))+1),MATCH(C$1,units!$1:$1,0)-COLUMN(INDIRECT("character_id"))+1,FALSE)</f>
        <v>伝令者 サンダーバード</v>
      </c>
      <c r="D64" s="31">
        <f ca="1">VLOOKUP($B64,OFFSET(units!$A$1,0,0,COUNTA(units!$A:$A),MATCH(D$1,units!$1:$1,0)-COLUMN(INDIRECT("character_id"))+1),MATCH(D$1,units!$1:$1,0)-COLUMN(INDIRECT("character_id"))+1,FALSE)</f>
        <v>3</v>
      </c>
      <c r="E64" s="31" t="str">
        <f ca="1">VLOOKUP($B64,OFFSET(units!$A$1,0,0,COUNTA(units!$A:$A),MATCH(E$1,units!$1:$1,0)-COLUMN(INDIRECT("character_id"))+1),MATCH(E$1,units!$1:$1,0)-COLUMN(INDIRECT("character_id"))+1,FALSE)</f>
        <v>Drop1S</v>
      </c>
      <c r="F64" s="56">
        <v>115</v>
      </c>
      <c r="G64" s="31" t="str">
        <f ca="1">VLOOKUP($F64,OFFSET(units!$A$1,0,0,COUNTA(units!$A:$A),MATCH(G$1,units!$1:$1,0)-COLUMN(INDIRECT("character_id"))+1),MATCH(G$1,units!$1:$1,0)-COLUMN(INDIRECT("character_id"))+1,FALSE)</f>
        <v>イエローキャタップ</v>
      </c>
      <c r="H64" s="26">
        <v>1</v>
      </c>
      <c r="I64" s="202">
        <v>1</v>
      </c>
    </row>
    <row r="65" spans="1:9" ht="21" customHeight="1" x14ac:dyDescent="0.15">
      <c r="A65" s="96" t="str">
        <f t="shared" si="0"/>
        <v>75_113</v>
      </c>
      <c r="B65" s="56">
        <v>75</v>
      </c>
      <c r="C65" s="31" t="str">
        <f ca="1">VLOOKUP($B65,OFFSET(units!$A$1,0,0,COUNTA(units!$A:$A),MATCH(C$1,units!$1:$1,0)-COLUMN(INDIRECT("character_id"))+1),MATCH(C$1,units!$1:$1,0)-COLUMN(INDIRECT("character_id"))+1,FALSE)</f>
        <v>伝令者 サンダーバード</v>
      </c>
      <c r="D65" s="31">
        <f ca="1">VLOOKUP($B65,OFFSET(units!$A$1,0,0,COUNTA(units!$A:$A),MATCH(D$1,units!$1:$1,0)-COLUMN(INDIRECT("character_id"))+1),MATCH(D$1,units!$1:$1,0)-COLUMN(INDIRECT("character_id"))+1,FALSE)</f>
        <v>3</v>
      </c>
      <c r="E65" s="31" t="str">
        <f ca="1">VLOOKUP($B65,OFFSET(units!$A$1,0,0,COUNTA(units!$A:$A),MATCH(E$1,units!$1:$1,0)-COLUMN(INDIRECT("character_id"))+1),MATCH(E$1,units!$1:$1,0)-COLUMN(INDIRECT("character_id"))+1,FALSE)</f>
        <v>Drop1S</v>
      </c>
      <c r="F65" s="56">
        <v>113</v>
      </c>
      <c r="G65" s="31" t="str">
        <f ca="1">VLOOKUP($F65,OFFSET(units!$A$1,0,0,COUNTA(units!$A:$A),MATCH(G$1,units!$1:$1,0)-COLUMN(INDIRECT("character_id"))+1),MATCH(G$1,units!$1:$1,0)-COLUMN(INDIRECT("character_id"))+1,FALSE)</f>
        <v>イエローチェシャ</v>
      </c>
      <c r="H65" s="26">
        <v>2</v>
      </c>
      <c r="I65" s="202">
        <v>1</v>
      </c>
    </row>
    <row r="66" spans="1:9" ht="21" customHeight="1" x14ac:dyDescent="0.15">
      <c r="A66" s="96" t="str">
        <f t="shared" ref="A66:A129" si="1">B66&amp;"_"&amp;F66</f>
        <v>77_103</v>
      </c>
      <c r="B66" s="56">
        <v>77</v>
      </c>
      <c r="C66" s="31" t="str">
        <f ca="1">VLOOKUP($B66,OFFSET(units!$A$1,0,0,COUNTA(units!$A:$A),MATCH(C$1,units!$1:$1,0)-COLUMN(INDIRECT("character_id"))+1),MATCH(C$1,units!$1:$1,0)-COLUMN(INDIRECT("character_id"))+1,FALSE)</f>
        <v>潜伏型メリッサ</v>
      </c>
      <c r="D66" s="31">
        <f ca="1">VLOOKUP($B66,OFFSET(units!$A$1,0,0,COUNTA(units!$A:$A),MATCH(D$1,units!$1:$1,0)-COLUMN(INDIRECT("character_id"))+1),MATCH(D$1,units!$1:$1,0)-COLUMN(INDIRECT("character_id"))+1,FALSE)</f>
        <v>3</v>
      </c>
      <c r="E66" s="31" t="str">
        <f ca="1">VLOOKUP($B66,OFFSET(units!$A$1,0,0,COUNTA(units!$A:$A),MATCH(E$1,units!$1:$1,0)-COLUMN(INDIRECT("character_id"))+1),MATCH(E$1,units!$1:$1,0)-COLUMN(INDIRECT("character_id"))+1,FALSE)</f>
        <v>DropWizW</v>
      </c>
      <c r="F66" s="56">
        <v>103</v>
      </c>
      <c r="G66" s="31" t="str">
        <f ca="1">VLOOKUP($F66,OFFSET(units!$A$1,0,0,COUNTA(units!$A:$A),MATCH(G$1,units!$1:$1,0)-COLUMN(INDIRECT("character_id"))+1),MATCH(G$1,units!$1:$1,0)-COLUMN(INDIRECT("character_id"))+1,FALSE)</f>
        <v>レッドキャタップ</v>
      </c>
      <c r="H66" s="26">
        <v>1</v>
      </c>
      <c r="I66" s="202">
        <v>1</v>
      </c>
    </row>
    <row r="67" spans="1:9" ht="21" customHeight="1" x14ac:dyDescent="0.15">
      <c r="A67" s="96" t="str">
        <f t="shared" si="1"/>
        <v>77_102</v>
      </c>
      <c r="B67" s="56">
        <v>77</v>
      </c>
      <c r="C67" s="31" t="str">
        <f ca="1">VLOOKUP($B67,OFFSET(units!$A$1,0,0,COUNTA(units!$A:$A),MATCH(C$1,units!$1:$1,0)-COLUMN(INDIRECT("character_id"))+1),MATCH(C$1,units!$1:$1,0)-COLUMN(INDIRECT("character_id"))+1,FALSE)</f>
        <v>潜伏型メリッサ</v>
      </c>
      <c r="D67" s="31">
        <f ca="1">VLOOKUP($B67,OFFSET(units!$A$1,0,0,COUNTA(units!$A:$A),MATCH(D$1,units!$1:$1,0)-COLUMN(INDIRECT("character_id"))+1),MATCH(D$1,units!$1:$1,0)-COLUMN(INDIRECT("character_id"))+1,FALSE)</f>
        <v>3</v>
      </c>
      <c r="E67" s="31" t="str">
        <f ca="1">VLOOKUP($B67,OFFSET(units!$A$1,0,0,COUNTA(units!$A:$A),MATCH(E$1,units!$1:$1,0)-COLUMN(INDIRECT("character_id"))+1),MATCH(E$1,units!$1:$1,0)-COLUMN(INDIRECT("character_id"))+1,FALSE)</f>
        <v>DropWizW</v>
      </c>
      <c r="F67" s="56">
        <v>102</v>
      </c>
      <c r="G67" s="31" t="str">
        <f ca="1">VLOOKUP($F67,OFFSET(units!$A$1,0,0,COUNTA(units!$A:$A),MATCH(G$1,units!$1:$1,0)-COLUMN(INDIRECT("character_id"))+1),MATCH(G$1,units!$1:$1,0)-COLUMN(INDIRECT("character_id"))+1,FALSE)</f>
        <v>レッドラビット</v>
      </c>
      <c r="H67" s="26">
        <v>1</v>
      </c>
      <c r="I67" s="202">
        <v>1</v>
      </c>
    </row>
    <row r="68" spans="1:9" ht="21" customHeight="1" x14ac:dyDescent="0.15">
      <c r="A68" s="96" t="str">
        <f t="shared" si="1"/>
        <v>77_101</v>
      </c>
      <c r="B68" s="56">
        <v>77</v>
      </c>
      <c r="C68" s="31" t="str">
        <f ca="1">VLOOKUP($B68,OFFSET(units!$A$1,0,0,COUNTA(units!$A:$A),MATCH(C$1,units!$1:$1,0)-COLUMN(INDIRECT("character_id"))+1),MATCH(C$1,units!$1:$1,0)-COLUMN(INDIRECT("character_id"))+1,FALSE)</f>
        <v>潜伏型メリッサ</v>
      </c>
      <c r="D68" s="31">
        <f ca="1">VLOOKUP($B68,OFFSET(units!$A$1,0,0,COUNTA(units!$A:$A),MATCH(D$1,units!$1:$1,0)-COLUMN(INDIRECT("character_id"))+1),MATCH(D$1,units!$1:$1,0)-COLUMN(INDIRECT("character_id"))+1,FALSE)</f>
        <v>3</v>
      </c>
      <c r="E68" s="31" t="str">
        <f ca="1">VLOOKUP($B68,OFFSET(units!$A$1,0,0,COUNTA(units!$A:$A),MATCH(E$1,units!$1:$1,0)-COLUMN(INDIRECT("character_id"))+1),MATCH(E$1,units!$1:$1,0)-COLUMN(INDIRECT("character_id"))+1,FALSE)</f>
        <v>DropWizW</v>
      </c>
      <c r="F68" s="56">
        <v>101</v>
      </c>
      <c r="G68" s="31" t="str">
        <f ca="1">VLOOKUP($F68,OFFSET(units!$A$1,0,0,COUNTA(units!$A:$A),MATCH(G$1,units!$1:$1,0)-COLUMN(INDIRECT("character_id"))+1),MATCH(G$1,units!$1:$1,0)-COLUMN(INDIRECT("character_id"))+1,FALSE)</f>
        <v>レッドチェシャ</v>
      </c>
      <c r="H68" s="26">
        <v>3</v>
      </c>
      <c r="I68" s="202">
        <v>1</v>
      </c>
    </row>
    <row r="69" spans="1:9" ht="21" customHeight="1" x14ac:dyDescent="0.15">
      <c r="A69" s="96" t="str">
        <f t="shared" si="1"/>
        <v>79_107</v>
      </c>
      <c r="B69" s="56">
        <v>79</v>
      </c>
      <c r="C69" s="31" t="str">
        <f ca="1">VLOOKUP($B69,OFFSET(units!$A$1,0,0,COUNTA(units!$A:$A),MATCH(C$1,units!$1:$1,0)-COLUMN(INDIRECT("character_id"))+1),MATCH(C$1,units!$1:$1,0)-COLUMN(INDIRECT("character_id"))+1,FALSE)</f>
        <v>ハッピー100</v>
      </c>
      <c r="D69" s="31">
        <f ca="1">VLOOKUP($B69,OFFSET(units!$A$1,0,0,COUNTA(units!$A:$A),MATCH(D$1,units!$1:$1,0)-COLUMN(INDIRECT("character_id"))+1),MATCH(D$1,units!$1:$1,0)-COLUMN(INDIRECT("character_id"))+1,FALSE)</f>
        <v>3</v>
      </c>
      <c r="E69" s="31" t="str">
        <f ca="1">VLOOKUP($B69,OFFSET(units!$A$1,0,0,COUNTA(units!$A:$A),MATCH(E$1,units!$1:$1,0)-COLUMN(INDIRECT("character_id"))+1),MATCH(E$1,units!$1:$1,0)-COLUMN(INDIRECT("character_id"))+1,FALSE)</f>
        <v>DropWizW</v>
      </c>
      <c r="F69" s="56">
        <v>107</v>
      </c>
      <c r="G69" s="31" t="str">
        <f ca="1">VLOOKUP($F69,OFFSET(units!$A$1,0,0,COUNTA(units!$A:$A),MATCH(G$1,units!$1:$1,0)-COLUMN(INDIRECT("character_id"))+1),MATCH(G$1,units!$1:$1,0)-COLUMN(INDIRECT("character_id"))+1,FALSE)</f>
        <v>グリーンキャタップ</v>
      </c>
      <c r="H69" s="26">
        <v>1</v>
      </c>
      <c r="I69" s="202">
        <v>1</v>
      </c>
    </row>
    <row r="70" spans="1:9" ht="21" customHeight="1" x14ac:dyDescent="0.15">
      <c r="A70" s="96" t="str">
        <f t="shared" si="1"/>
        <v>81_111</v>
      </c>
      <c r="B70" s="56">
        <v>81</v>
      </c>
      <c r="C70" s="31" t="str">
        <f ca="1">VLOOKUP($B70,OFFSET(units!$A$1,0,0,COUNTA(units!$A:$A),MATCH(C$1,units!$1:$1,0)-COLUMN(INDIRECT("character_id"))+1),MATCH(C$1,units!$1:$1,0)-COLUMN(INDIRECT("character_id"))+1,FALSE)</f>
        <v>増幅型モリス</v>
      </c>
      <c r="D70" s="31">
        <f ca="1">VLOOKUP($B70,OFFSET(units!$A$1,0,0,COUNTA(units!$A:$A),MATCH(D$1,units!$1:$1,0)-COLUMN(INDIRECT("character_id"))+1),MATCH(D$1,units!$1:$1,0)-COLUMN(INDIRECT("character_id"))+1,FALSE)</f>
        <v>3</v>
      </c>
      <c r="E70" s="31" t="str">
        <f ca="1">VLOOKUP($B70,OFFSET(units!$A$1,0,0,COUNTA(units!$A:$A),MATCH(E$1,units!$1:$1,0)-COLUMN(INDIRECT("character_id"))+1),MATCH(E$1,units!$1:$1,0)-COLUMN(INDIRECT("character_id"))+1,FALSE)</f>
        <v>DropWizW</v>
      </c>
      <c r="F70" s="56">
        <v>111</v>
      </c>
      <c r="G70" s="31" t="str">
        <f ca="1">VLOOKUP($F70,OFFSET(units!$A$1,0,0,COUNTA(units!$A:$A),MATCH(G$1,units!$1:$1,0)-COLUMN(INDIRECT("character_id"))+1),MATCH(G$1,units!$1:$1,0)-COLUMN(INDIRECT("character_id"))+1,FALSE)</f>
        <v>ブルーキャタップ</v>
      </c>
      <c r="H70" s="26">
        <v>1</v>
      </c>
      <c r="I70" s="202">
        <v>1</v>
      </c>
    </row>
    <row r="71" spans="1:9" ht="21" customHeight="1" x14ac:dyDescent="0.15">
      <c r="A71" s="96" t="str">
        <f t="shared" si="1"/>
        <v>81_110</v>
      </c>
      <c r="B71" s="56">
        <v>81</v>
      </c>
      <c r="C71" s="31" t="str">
        <f ca="1">VLOOKUP($B71,OFFSET(units!$A$1,0,0,COUNTA(units!$A:$A),MATCH(C$1,units!$1:$1,0)-COLUMN(INDIRECT("character_id"))+1),MATCH(C$1,units!$1:$1,0)-COLUMN(INDIRECT("character_id"))+1,FALSE)</f>
        <v>増幅型モリス</v>
      </c>
      <c r="D71" s="31">
        <f ca="1">VLOOKUP($B71,OFFSET(units!$A$1,0,0,COUNTA(units!$A:$A),MATCH(D$1,units!$1:$1,0)-COLUMN(INDIRECT("character_id"))+1),MATCH(D$1,units!$1:$1,0)-COLUMN(INDIRECT("character_id"))+1,FALSE)</f>
        <v>3</v>
      </c>
      <c r="E71" s="31" t="str">
        <f ca="1">VLOOKUP($B71,OFFSET(units!$A$1,0,0,COUNTA(units!$A:$A),MATCH(E$1,units!$1:$1,0)-COLUMN(INDIRECT("character_id"))+1),MATCH(E$1,units!$1:$1,0)-COLUMN(INDIRECT("character_id"))+1,FALSE)</f>
        <v>DropWizW</v>
      </c>
      <c r="F71" s="56">
        <v>110</v>
      </c>
      <c r="G71" s="31" t="str">
        <f ca="1">VLOOKUP($F71,OFFSET(units!$A$1,0,0,COUNTA(units!$A:$A),MATCH(G$1,units!$1:$1,0)-COLUMN(INDIRECT("character_id"))+1),MATCH(G$1,units!$1:$1,0)-COLUMN(INDIRECT("character_id"))+1,FALSE)</f>
        <v>ブルーラビット</v>
      </c>
      <c r="H71" s="26">
        <v>1</v>
      </c>
      <c r="I71" s="202">
        <v>1</v>
      </c>
    </row>
    <row r="72" spans="1:9" ht="21" customHeight="1" x14ac:dyDescent="0.15">
      <c r="A72" s="96" t="str">
        <f t="shared" si="1"/>
        <v>81_109</v>
      </c>
      <c r="B72" s="56">
        <v>81</v>
      </c>
      <c r="C72" s="31" t="str">
        <f ca="1">VLOOKUP($B72,OFFSET(units!$A$1,0,0,COUNTA(units!$A:$A),MATCH(C$1,units!$1:$1,0)-COLUMN(INDIRECT("character_id"))+1),MATCH(C$1,units!$1:$1,0)-COLUMN(INDIRECT("character_id"))+1,FALSE)</f>
        <v>増幅型モリス</v>
      </c>
      <c r="D72" s="31">
        <f ca="1">VLOOKUP($B72,OFFSET(units!$A$1,0,0,COUNTA(units!$A:$A),MATCH(D$1,units!$1:$1,0)-COLUMN(INDIRECT("character_id"))+1),MATCH(D$1,units!$1:$1,0)-COLUMN(INDIRECT("character_id"))+1,FALSE)</f>
        <v>3</v>
      </c>
      <c r="E72" s="31" t="str">
        <f ca="1">VLOOKUP($B72,OFFSET(units!$A$1,0,0,COUNTA(units!$A:$A),MATCH(E$1,units!$1:$1,0)-COLUMN(INDIRECT("character_id"))+1),MATCH(E$1,units!$1:$1,0)-COLUMN(INDIRECT("character_id"))+1,FALSE)</f>
        <v>DropWizW</v>
      </c>
      <c r="F72" s="56">
        <v>109</v>
      </c>
      <c r="G72" s="31" t="str">
        <f ca="1">VLOOKUP($F72,OFFSET(units!$A$1,0,0,COUNTA(units!$A:$A),MATCH(G$1,units!$1:$1,0)-COLUMN(INDIRECT("character_id"))+1),MATCH(G$1,units!$1:$1,0)-COLUMN(INDIRECT("character_id"))+1,FALSE)</f>
        <v>ブルーチェシャ</v>
      </c>
      <c r="H72" s="26">
        <v>3</v>
      </c>
      <c r="I72" s="202">
        <v>1</v>
      </c>
    </row>
    <row r="73" spans="1:9" ht="21" customHeight="1" x14ac:dyDescent="0.15">
      <c r="A73" s="96" t="str">
        <f t="shared" si="1"/>
        <v>83_115</v>
      </c>
      <c r="B73" s="56">
        <v>83</v>
      </c>
      <c r="C73" s="31" t="str">
        <f ca="1">VLOOKUP($B73,OFFSET(units!$A$1,0,0,COUNTA(units!$A:$A),MATCH(C$1,units!$1:$1,0)-COLUMN(INDIRECT("character_id"))+1),MATCH(C$1,units!$1:$1,0)-COLUMN(INDIRECT("character_id"))+1,FALSE)</f>
        <v>拡散性ニムダ</v>
      </c>
      <c r="D73" s="31">
        <f ca="1">VLOOKUP($B73,OFFSET(units!$A$1,0,0,COUNTA(units!$A:$A),MATCH(D$1,units!$1:$1,0)-COLUMN(INDIRECT("character_id"))+1),MATCH(D$1,units!$1:$1,0)-COLUMN(INDIRECT("character_id"))+1,FALSE)</f>
        <v>3</v>
      </c>
      <c r="E73" s="31" t="str">
        <f ca="1">VLOOKUP($B73,OFFSET(units!$A$1,0,0,COUNTA(units!$A:$A),MATCH(E$1,units!$1:$1,0)-COLUMN(INDIRECT("character_id"))+1),MATCH(E$1,units!$1:$1,0)-COLUMN(INDIRECT("character_id"))+1,FALSE)</f>
        <v>DropWizW</v>
      </c>
      <c r="F73" s="56">
        <v>115</v>
      </c>
      <c r="G73" s="31" t="str">
        <f ca="1">VLOOKUP($F73,OFFSET(units!$A$1,0,0,COUNTA(units!$A:$A),MATCH(G$1,units!$1:$1,0)-COLUMN(INDIRECT("character_id"))+1),MATCH(G$1,units!$1:$1,0)-COLUMN(INDIRECT("character_id"))+1,FALSE)</f>
        <v>イエローキャタップ</v>
      </c>
      <c r="H73" s="26">
        <v>1</v>
      </c>
      <c r="I73" s="202">
        <v>1</v>
      </c>
    </row>
    <row r="74" spans="1:9" ht="21" customHeight="1" x14ac:dyDescent="0.15">
      <c r="A74" s="96" t="str">
        <f t="shared" si="1"/>
        <v>83_114</v>
      </c>
      <c r="B74" s="56">
        <v>83</v>
      </c>
      <c r="C74" s="31" t="str">
        <f ca="1">VLOOKUP($B74,OFFSET(units!$A$1,0,0,COUNTA(units!$A:$A),MATCH(C$1,units!$1:$1,0)-COLUMN(INDIRECT("character_id"))+1),MATCH(C$1,units!$1:$1,0)-COLUMN(INDIRECT("character_id"))+1,FALSE)</f>
        <v>拡散性ニムダ</v>
      </c>
      <c r="D74" s="31">
        <f ca="1">VLOOKUP($B74,OFFSET(units!$A$1,0,0,COUNTA(units!$A:$A),MATCH(D$1,units!$1:$1,0)-COLUMN(INDIRECT("character_id"))+1),MATCH(D$1,units!$1:$1,0)-COLUMN(INDIRECT("character_id"))+1,FALSE)</f>
        <v>3</v>
      </c>
      <c r="E74" s="31" t="str">
        <f ca="1">VLOOKUP($B74,OFFSET(units!$A$1,0,0,COUNTA(units!$A:$A),MATCH(E$1,units!$1:$1,0)-COLUMN(INDIRECT("character_id"))+1),MATCH(E$1,units!$1:$1,0)-COLUMN(INDIRECT("character_id"))+1,FALSE)</f>
        <v>DropWizW</v>
      </c>
      <c r="F74" s="56">
        <v>114</v>
      </c>
      <c r="G74" s="31" t="str">
        <f ca="1">VLOOKUP($F74,OFFSET(units!$A$1,0,0,COUNTA(units!$A:$A),MATCH(G$1,units!$1:$1,0)-COLUMN(INDIRECT("character_id"))+1),MATCH(G$1,units!$1:$1,0)-COLUMN(INDIRECT("character_id"))+1,FALSE)</f>
        <v>イエローラビット</v>
      </c>
      <c r="H74" s="26">
        <v>1</v>
      </c>
      <c r="I74" s="202">
        <v>1</v>
      </c>
    </row>
    <row r="75" spans="1:9" ht="21" customHeight="1" x14ac:dyDescent="0.15">
      <c r="A75" s="96" t="str">
        <f t="shared" si="1"/>
        <v>83_113</v>
      </c>
      <c r="B75" s="56">
        <v>83</v>
      </c>
      <c r="C75" s="31" t="str">
        <f ca="1">VLOOKUP($B75,OFFSET(units!$A$1,0,0,COUNTA(units!$A:$A),MATCH(C$1,units!$1:$1,0)-COLUMN(INDIRECT("character_id"))+1),MATCH(C$1,units!$1:$1,0)-COLUMN(INDIRECT("character_id"))+1,FALSE)</f>
        <v>拡散性ニムダ</v>
      </c>
      <c r="D75" s="31">
        <f ca="1">VLOOKUP($B75,OFFSET(units!$A$1,0,0,COUNTA(units!$A:$A),MATCH(D$1,units!$1:$1,0)-COLUMN(INDIRECT("character_id"))+1),MATCH(D$1,units!$1:$1,0)-COLUMN(INDIRECT("character_id"))+1,FALSE)</f>
        <v>3</v>
      </c>
      <c r="E75" s="31" t="str">
        <f ca="1">VLOOKUP($B75,OFFSET(units!$A$1,0,0,COUNTA(units!$A:$A),MATCH(E$1,units!$1:$1,0)-COLUMN(INDIRECT("character_id"))+1),MATCH(E$1,units!$1:$1,0)-COLUMN(INDIRECT("character_id"))+1,FALSE)</f>
        <v>DropWizW</v>
      </c>
      <c r="F75" s="56">
        <v>113</v>
      </c>
      <c r="G75" s="31" t="str">
        <f ca="1">VLOOKUP($F75,OFFSET(units!$A$1,0,0,COUNTA(units!$A:$A),MATCH(G$1,units!$1:$1,0)-COLUMN(INDIRECT("character_id"))+1),MATCH(G$1,units!$1:$1,0)-COLUMN(INDIRECT("character_id"))+1,FALSE)</f>
        <v>イエローチェシャ</v>
      </c>
      <c r="H75" s="26">
        <v>3</v>
      </c>
      <c r="I75" s="202">
        <v>1</v>
      </c>
    </row>
    <row r="76" spans="1:9" ht="21" customHeight="1" x14ac:dyDescent="0.15">
      <c r="A76" s="96" t="str">
        <f t="shared" si="1"/>
        <v>85_103</v>
      </c>
      <c r="B76" s="56">
        <v>85</v>
      </c>
      <c r="C76" s="31" t="str">
        <f ca="1">VLOOKUP($B76,OFFSET(units!$A$1,0,0,COUNTA(units!$A:$A),MATCH(C$1,units!$1:$1,0)-COLUMN(INDIRECT("character_id"))+1),MATCH(C$1,units!$1:$1,0)-COLUMN(INDIRECT("character_id"))+1,FALSE)</f>
        <v>朱雀</v>
      </c>
      <c r="D76" s="31">
        <f ca="1">VLOOKUP($B76,OFFSET(units!$A$1,0,0,COUNTA(units!$A:$A),MATCH(D$1,units!$1:$1,0)-COLUMN(INDIRECT("character_id"))+1),MATCH(D$1,units!$1:$1,0)-COLUMN(INDIRECT("character_id"))+1,FALSE)</f>
        <v>3</v>
      </c>
      <c r="E76" s="31" t="str">
        <f ca="1">VLOOKUP($B76,OFFSET(units!$A$1,0,0,COUNTA(units!$A:$A),MATCH(E$1,units!$1:$1,0)-COLUMN(INDIRECT("character_id"))+1),MATCH(E$1,units!$1:$1,0)-COLUMN(INDIRECT("character_id"))+1,FALSE)</f>
        <v>Drop2N</v>
      </c>
      <c r="F76" s="56">
        <v>103</v>
      </c>
      <c r="G76" s="31" t="str">
        <f ca="1">VLOOKUP($F76,OFFSET(units!$A$1,0,0,COUNTA(units!$A:$A),MATCH(G$1,units!$1:$1,0)-COLUMN(INDIRECT("character_id"))+1),MATCH(G$1,units!$1:$1,0)-COLUMN(INDIRECT("character_id"))+1,FALSE)</f>
        <v>レッドキャタップ</v>
      </c>
      <c r="H76" s="26">
        <v>2</v>
      </c>
      <c r="I76" s="202">
        <v>1</v>
      </c>
    </row>
    <row r="77" spans="1:9" ht="21" customHeight="1" x14ac:dyDescent="0.15">
      <c r="A77" s="96" t="str">
        <f t="shared" si="1"/>
        <v>85_102</v>
      </c>
      <c r="B77" s="56">
        <v>85</v>
      </c>
      <c r="C77" s="31" t="str">
        <f ca="1">VLOOKUP($B77,OFFSET(units!$A$1,0,0,COUNTA(units!$A:$A),MATCH(C$1,units!$1:$1,0)-COLUMN(INDIRECT("character_id"))+1),MATCH(C$1,units!$1:$1,0)-COLUMN(INDIRECT("character_id"))+1,FALSE)</f>
        <v>朱雀</v>
      </c>
      <c r="D77" s="31">
        <f ca="1">VLOOKUP($B77,OFFSET(units!$A$1,0,0,COUNTA(units!$A:$A),MATCH(D$1,units!$1:$1,0)-COLUMN(INDIRECT("character_id"))+1),MATCH(D$1,units!$1:$1,0)-COLUMN(INDIRECT("character_id"))+1,FALSE)</f>
        <v>3</v>
      </c>
      <c r="E77" s="31" t="str">
        <f ca="1">VLOOKUP($B77,OFFSET(units!$A$1,0,0,COUNTA(units!$A:$A),MATCH(E$1,units!$1:$1,0)-COLUMN(INDIRECT("character_id"))+1),MATCH(E$1,units!$1:$1,0)-COLUMN(INDIRECT("character_id"))+1,FALSE)</f>
        <v>Drop2N</v>
      </c>
      <c r="F77" s="56">
        <v>102</v>
      </c>
      <c r="G77" s="31" t="str">
        <f ca="1">VLOOKUP($F77,OFFSET(units!$A$1,0,0,COUNTA(units!$A:$A),MATCH(G$1,units!$1:$1,0)-COLUMN(INDIRECT("character_id"))+1),MATCH(G$1,units!$1:$1,0)-COLUMN(INDIRECT("character_id"))+1,FALSE)</f>
        <v>レッドラビット</v>
      </c>
      <c r="H77" s="26">
        <v>1</v>
      </c>
      <c r="I77" s="202">
        <v>1</v>
      </c>
    </row>
    <row r="78" spans="1:9" ht="21" customHeight="1" x14ac:dyDescent="0.15">
      <c r="A78" s="96" t="str">
        <f t="shared" si="1"/>
        <v>85_101</v>
      </c>
      <c r="B78" s="56">
        <v>85</v>
      </c>
      <c r="C78" s="31" t="str">
        <f ca="1">VLOOKUP($B78,OFFSET(units!$A$1,0,0,COUNTA(units!$A:$A),MATCH(C$1,units!$1:$1,0)-COLUMN(INDIRECT("character_id"))+1),MATCH(C$1,units!$1:$1,0)-COLUMN(INDIRECT("character_id"))+1,FALSE)</f>
        <v>朱雀</v>
      </c>
      <c r="D78" s="31">
        <f ca="1">VLOOKUP($B78,OFFSET(units!$A$1,0,0,COUNTA(units!$A:$A),MATCH(D$1,units!$1:$1,0)-COLUMN(INDIRECT("character_id"))+1),MATCH(D$1,units!$1:$1,0)-COLUMN(INDIRECT("character_id"))+1,FALSE)</f>
        <v>3</v>
      </c>
      <c r="E78" s="31" t="str">
        <f ca="1">VLOOKUP($B78,OFFSET(units!$A$1,0,0,COUNTA(units!$A:$A),MATCH(E$1,units!$1:$1,0)-COLUMN(INDIRECT("character_id"))+1),MATCH(E$1,units!$1:$1,0)-COLUMN(INDIRECT("character_id"))+1,FALSE)</f>
        <v>Drop2N</v>
      </c>
      <c r="F78" s="56">
        <v>101</v>
      </c>
      <c r="G78" s="31" t="str">
        <f ca="1">VLOOKUP($F78,OFFSET(units!$A$1,0,0,COUNTA(units!$A:$A),MATCH(G$1,units!$1:$1,0)-COLUMN(INDIRECT("character_id"))+1),MATCH(G$1,units!$1:$1,0)-COLUMN(INDIRECT("character_id"))+1,FALSE)</f>
        <v>レッドチェシャ</v>
      </c>
      <c r="H78" s="26">
        <v>2</v>
      </c>
      <c r="I78" s="202">
        <v>1</v>
      </c>
    </row>
    <row r="79" spans="1:9" ht="21" customHeight="1" x14ac:dyDescent="0.15">
      <c r="A79" s="96" t="str">
        <f t="shared" si="1"/>
        <v>86_104</v>
      </c>
      <c r="B79" s="56">
        <v>86</v>
      </c>
      <c r="C79" s="31" t="str">
        <f ca="1">VLOOKUP($B79,OFFSET(units!$A$1,0,0,COUNTA(units!$A:$A),MATCH(C$1,units!$1:$1,0)-COLUMN(INDIRECT("character_id"))+1),MATCH(C$1,units!$1:$1,0)-COLUMN(INDIRECT("character_id"))+1,FALSE)</f>
        <v>守護者 朱雀</v>
      </c>
      <c r="D79" s="31">
        <f ca="1">VLOOKUP($B79,OFFSET(units!$A$1,0,0,COUNTA(units!$A:$A),MATCH(D$1,units!$1:$1,0)-COLUMN(INDIRECT("character_id"))+1),MATCH(D$1,units!$1:$1,0)-COLUMN(INDIRECT("character_id"))+1,FALSE)</f>
        <v>4</v>
      </c>
      <c r="E79" s="31" t="str">
        <f ca="1">VLOOKUP($B79,OFFSET(units!$A$1,0,0,COUNTA(units!$A:$A),MATCH(E$1,units!$1:$1,0)-COLUMN(INDIRECT("character_id"))+1),MATCH(E$1,units!$1:$1,0)-COLUMN(INDIRECT("character_id"))+1,FALSE)</f>
        <v>Drop2N</v>
      </c>
      <c r="F79" s="56">
        <v>104</v>
      </c>
      <c r="G79" s="31" t="str">
        <f ca="1">VLOOKUP($F79,OFFSET(units!$A$1,0,0,COUNTA(units!$A:$A),MATCH(G$1,units!$1:$1,0)-COLUMN(INDIRECT("character_id"))+1),MATCH(G$1,units!$1:$1,0)-COLUMN(INDIRECT("character_id"))+1,FALSE)</f>
        <v>炎のマッドハッター</v>
      </c>
      <c r="H79" s="26">
        <v>1</v>
      </c>
      <c r="I79" s="202">
        <v>1</v>
      </c>
    </row>
    <row r="80" spans="1:9" ht="21" customHeight="1" x14ac:dyDescent="0.15">
      <c r="A80" s="96" t="str">
        <f t="shared" si="1"/>
        <v>86_102</v>
      </c>
      <c r="B80" s="56">
        <v>86</v>
      </c>
      <c r="C80" s="31" t="str">
        <f ca="1">VLOOKUP($B80,OFFSET(units!$A$1,0,0,COUNTA(units!$A:$A),MATCH(C$1,units!$1:$1,0)-COLUMN(INDIRECT("character_id"))+1),MATCH(C$1,units!$1:$1,0)-COLUMN(INDIRECT("character_id"))+1,FALSE)</f>
        <v>守護者 朱雀</v>
      </c>
      <c r="D80" s="31">
        <f ca="1">VLOOKUP($B80,OFFSET(units!$A$1,0,0,COUNTA(units!$A:$A),MATCH(D$1,units!$1:$1,0)-COLUMN(INDIRECT("character_id"))+1),MATCH(D$1,units!$1:$1,0)-COLUMN(INDIRECT("character_id"))+1,FALSE)</f>
        <v>4</v>
      </c>
      <c r="E80" s="31" t="str">
        <f ca="1">VLOOKUP($B80,OFFSET(units!$A$1,0,0,COUNTA(units!$A:$A),MATCH(E$1,units!$1:$1,0)-COLUMN(INDIRECT("character_id"))+1),MATCH(E$1,units!$1:$1,0)-COLUMN(INDIRECT("character_id"))+1,FALSE)</f>
        <v>Drop2N</v>
      </c>
      <c r="F80" s="56">
        <v>102</v>
      </c>
      <c r="G80" s="31" t="str">
        <f ca="1">VLOOKUP($F80,OFFSET(units!$A$1,0,0,COUNTA(units!$A:$A),MATCH(G$1,units!$1:$1,0)-COLUMN(INDIRECT("character_id"))+1),MATCH(G$1,units!$1:$1,0)-COLUMN(INDIRECT("character_id"))+1,FALSE)</f>
        <v>レッドラビット</v>
      </c>
      <c r="H80" s="26">
        <v>4</v>
      </c>
      <c r="I80" s="202">
        <v>1</v>
      </c>
    </row>
    <row r="81" spans="1:9" ht="21" customHeight="1" x14ac:dyDescent="0.15">
      <c r="A81" s="96" t="str">
        <f t="shared" si="1"/>
        <v>88_107</v>
      </c>
      <c r="B81" s="56">
        <v>88</v>
      </c>
      <c r="C81" s="31" t="str">
        <f ca="1">VLOOKUP($B81,OFFSET(units!$A$1,0,0,COUNTA(units!$A:$A),MATCH(C$1,units!$1:$1,0)-COLUMN(INDIRECT("character_id"))+1),MATCH(C$1,units!$1:$1,0)-COLUMN(INDIRECT("character_id"))+1,FALSE)</f>
        <v>玄武</v>
      </c>
      <c r="D81" s="31">
        <f ca="1">VLOOKUP($B81,OFFSET(units!$A$1,0,0,COUNTA(units!$A:$A),MATCH(D$1,units!$1:$1,0)-COLUMN(INDIRECT("character_id"))+1),MATCH(D$1,units!$1:$1,0)-COLUMN(INDIRECT("character_id"))+1,FALSE)</f>
        <v>3</v>
      </c>
      <c r="E81" s="31" t="str">
        <f ca="1">VLOOKUP($B81,OFFSET(units!$A$1,0,0,COUNTA(units!$A:$A),MATCH(E$1,units!$1:$1,0)-COLUMN(INDIRECT("character_id"))+1),MATCH(E$1,units!$1:$1,0)-COLUMN(INDIRECT("character_id"))+1,FALSE)</f>
        <v>Drop2N</v>
      </c>
      <c r="F81" s="56">
        <v>107</v>
      </c>
      <c r="G81" s="31" t="str">
        <f ca="1">VLOOKUP($F81,OFFSET(units!$A$1,0,0,COUNTA(units!$A:$A),MATCH(G$1,units!$1:$1,0)-COLUMN(INDIRECT("character_id"))+1),MATCH(G$1,units!$1:$1,0)-COLUMN(INDIRECT("character_id"))+1,FALSE)</f>
        <v>グリーンキャタップ</v>
      </c>
      <c r="H81" s="26">
        <v>2</v>
      </c>
      <c r="I81" s="202">
        <v>1</v>
      </c>
    </row>
    <row r="82" spans="1:9" ht="21" customHeight="1" x14ac:dyDescent="0.15">
      <c r="A82" s="96" t="str">
        <f t="shared" si="1"/>
        <v>88_106</v>
      </c>
      <c r="B82" s="56">
        <v>88</v>
      </c>
      <c r="C82" s="31" t="str">
        <f ca="1">VLOOKUP($B82,OFFSET(units!$A$1,0,0,COUNTA(units!$A:$A),MATCH(C$1,units!$1:$1,0)-COLUMN(INDIRECT("character_id"))+1),MATCH(C$1,units!$1:$1,0)-COLUMN(INDIRECT("character_id"))+1,FALSE)</f>
        <v>玄武</v>
      </c>
      <c r="D82" s="31">
        <f ca="1">VLOOKUP($B82,OFFSET(units!$A$1,0,0,COUNTA(units!$A:$A),MATCH(D$1,units!$1:$1,0)-COLUMN(INDIRECT("character_id"))+1),MATCH(D$1,units!$1:$1,0)-COLUMN(INDIRECT("character_id"))+1,FALSE)</f>
        <v>3</v>
      </c>
      <c r="E82" s="31" t="str">
        <f ca="1">VLOOKUP($B82,OFFSET(units!$A$1,0,0,COUNTA(units!$A:$A),MATCH(E$1,units!$1:$1,0)-COLUMN(INDIRECT("character_id"))+1),MATCH(E$1,units!$1:$1,0)-COLUMN(INDIRECT("character_id"))+1,FALSE)</f>
        <v>Drop2N</v>
      </c>
      <c r="F82" s="56">
        <v>106</v>
      </c>
      <c r="G82" s="31" t="str">
        <f ca="1">VLOOKUP($F82,OFFSET(units!$A$1,0,0,COUNTA(units!$A:$A),MATCH(G$1,units!$1:$1,0)-COLUMN(INDIRECT("character_id"))+1),MATCH(G$1,units!$1:$1,0)-COLUMN(INDIRECT("character_id"))+1,FALSE)</f>
        <v>グリーンラビット</v>
      </c>
      <c r="H82" s="26">
        <v>1</v>
      </c>
      <c r="I82" s="202">
        <v>1</v>
      </c>
    </row>
    <row r="83" spans="1:9" ht="21" customHeight="1" x14ac:dyDescent="0.15">
      <c r="A83" s="96" t="str">
        <f t="shared" si="1"/>
        <v>88_105</v>
      </c>
      <c r="B83" s="56">
        <v>88</v>
      </c>
      <c r="C83" s="31" t="str">
        <f ca="1">VLOOKUP($B83,OFFSET(units!$A$1,0,0,COUNTA(units!$A:$A),MATCH(C$1,units!$1:$1,0)-COLUMN(INDIRECT("character_id"))+1),MATCH(C$1,units!$1:$1,0)-COLUMN(INDIRECT("character_id"))+1,FALSE)</f>
        <v>玄武</v>
      </c>
      <c r="D83" s="31">
        <f ca="1">VLOOKUP($B83,OFFSET(units!$A$1,0,0,COUNTA(units!$A:$A),MATCH(D$1,units!$1:$1,0)-COLUMN(INDIRECT("character_id"))+1),MATCH(D$1,units!$1:$1,0)-COLUMN(INDIRECT("character_id"))+1,FALSE)</f>
        <v>3</v>
      </c>
      <c r="E83" s="31" t="str">
        <f ca="1">VLOOKUP($B83,OFFSET(units!$A$1,0,0,COUNTA(units!$A:$A),MATCH(E$1,units!$1:$1,0)-COLUMN(INDIRECT("character_id"))+1),MATCH(E$1,units!$1:$1,0)-COLUMN(INDIRECT("character_id"))+1,FALSE)</f>
        <v>Drop2N</v>
      </c>
      <c r="F83" s="56">
        <v>105</v>
      </c>
      <c r="G83" s="31" t="str">
        <f ca="1">VLOOKUP($F83,OFFSET(units!$A$1,0,0,COUNTA(units!$A:$A),MATCH(G$1,units!$1:$1,0)-COLUMN(INDIRECT("character_id"))+1),MATCH(G$1,units!$1:$1,0)-COLUMN(INDIRECT("character_id"))+1,FALSE)</f>
        <v>グリーンチェシャ</v>
      </c>
      <c r="H83" s="26">
        <v>2</v>
      </c>
      <c r="I83" s="202">
        <v>1</v>
      </c>
    </row>
    <row r="84" spans="1:9" ht="21" customHeight="1" x14ac:dyDescent="0.15">
      <c r="A84" s="96" t="str">
        <f t="shared" si="1"/>
        <v>89_108</v>
      </c>
      <c r="B84" s="56">
        <v>89</v>
      </c>
      <c r="C84" s="31" t="str">
        <f ca="1">VLOOKUP($B84,OFFSET(units!$A$1,0,0,COUNTA(units!$A:$A),MATCH(C$1,units!$1:$1,0)-COLUMN(INDIRECT("character_id"))+1),MATCH(C$1,units!$1:$1,0)-COLUMN(INDIRECT("character_id"))+1,FALSE)</f>
        <v>守護者 玄武</v>
      </c>
      <c r="D84" s="31">
        <f ca="1">VLOOKUP($B84,OFFSET(units!$A$1,0,0,COUNTA(units!$A:$A),MATCH(D$1,units!$1:$1,0)-COLUMN(INDIRECT("character_id"))+1),MATCH(D$1,units!$1:$1,0)-COLUMN(INDIRECT("character_id"))+1,FALSE)</f>
        <v>4</v>
      </c>
      <c r="E84" s="31" t="str">
        <f ca="1">VLOOKUP($B84,OFFSET(units!$A$1,0,0,COUNTA(units!$A:$A),MATCH(E$1,units!$1:$1,0)-COLUMN(INDIRECT("character_id"))+1),MATCH(E$1,units!$1:$1,0)-COLUMN(INDIRECT("character_id"))+1,FALSE)</f>
        <v>Drop2N</v>
      </c>
      <c r="F84" s="56">
        <v>108</v>
      </c>
      <c r="G84" s="31" t="str">
        <f ca="1">VLOOKUP($F84,OFFSET(units!$A$1,0,0,COUNTA(units!$A:$A),MATCH(G$1,units!$1:$1,0)-COLUMN(INDIRECT("character_id"))+1),MATCH(G$1,units!$1:$1,0)-COLUMN(INDIRECT("character_id"))+1,FALSE)</f>
        <v>森のマッドハッター</v>
      </c>
      <c r="H84" s="26">
        <v>1</v>
      </c>
      <c r="I84" s="202">
        <v>1</v>
      </c>
    </row>
    <row r="85" spans="1:9" ht="21" customHeight="1" x14ac:dyDescent="0.15">
      <c r="A85" s="96" t="str">
        <f t="shared" si="1"/>
        <v>89_106</v>
      </c>
      <c r="B85" s="56">
        <v>89</v>
      </c>
      <c r="C85" s="31" t="str">
        <f ca="1">VLOOKUP($B85,OFFSET(units!$A$1,0,0,COUNTA(units!$A:$A),MATCH(C$1,units!$1:$1,0)-COLUMN(INDIRECT("character_id"))+1),MATCH(C$1,units!$1:$1,0)-COLUMN(INDIRECT("character_id"))+1,FALSE)</f>
        <v>守護者 玄武</v>
      </c>
      <c r="D85" s="31">
        <f ca="1">VLOOKUP($B85,OFFSET(units!$A$1,0,0,COUNTA(units!$A:$A),MATCH(D$1,units!$1:$1,0)-COLUMN(INDIRECT("character_id"))+1),MATCH(D$1,units!$1:$1,0)-COLUMN(INDIRECT("character_id"))+1,FALSE)</f>
        <v>4</v>
      </c>
      <c r="E85" s="31" t="str">
        <f ca="1">VLOOKUP($B85,OFFSET(units!$A$1,0,0,COUNTA(units!$A:$A),MATCH(E$1,units!$1:$1,0)-COLUMN(INDIRECT("character_id"))+1),MATCH(E$1,units!$1:$1,0)-COLUMN(INDIRECT("character_id"))+1,FALSE)</f>
        <v>Drop2N</v>
      </c>
      <c r="F85" s="56">
        <v>106</v>
      </c>
      <c r="G85" s="31" t="str">
        <f ca="1">VLOOKUP($F85,OFFSET(units!$A$1,0,0,COUNTA(units!$A:$A),MATCH(G$1,units!$1:$1,0)-COLUMN(INDIRECT("character_id"))+1),MATCH(G$1,units!$1:$1,0)-COLUMN(INDIRECT("character_id"))+1,FALSE)</f>
        <v>グリーンラビット</v>
      </c>
      <c r="H85" s="26">
        <v>4</v>
      </c>
      <c r="I85" s="202">
        <v>1</v>
      </c>
    </row>
    <row r="86" spans="1:9" ht="21" customHeight="1" x14ac:dyDescent="0.15">
      <c r="A86" s="96" t="str">
        <f t="shared" si="1"/>
        <v>91_111</v>
      </c>
      <c r="B86" s="56">
        <v>91</v>
      </c>
      <c r="C86" s="31" t="str">
        <f ca="1">VLOOKUP($B86,OFFSET(units!$A$1,0,0,COUNTA(units!$A:$A),MATCH(C$1,units!$1:$1,0)-COLUMN(INDIRECT("character_id"))+1),MATCH(C$1,units!$1:$1,0)-COLUMN(INDIRECT("character_id"))+1,FALSE)</f>
        <v>青龍</v>
      </c>
      <c r="D86" s="31">
        <f ca="1">VLOOKUP($B86,OFFSET(units!$A$1,0,0,COUNTA(units!$A:$A),MATCH(D$1,units!$1:$1,0)-COLUMN(INDIRECT("character_id"))+1),MATCH(D$1,units!$1:$1,0)-COLUMN(INDIRECT("character_id"))+1,FALSE)</f>
        <v>3</v>
      </c>
      <c r="E86" s="31" t="str">
        <f ca="1">VLOOKUP($B86,OFFSET(units!$A$1,0,0,COUNTA(units!$A:$A),MATCH(E$1,units!$1:$1,0)-COLUMN(INDIRECT("character_id"))+1),MATCH(E$1,units!$1:$1,0)-COLUMN(INDIRECT("character_id"))+1,FALSE)</f>
        <v>Drop2N</v>
      </c>
      <c r="F86" s="56">
        <v>111</v>
      </c>
      <c r="G86" s="31" t="str">
        <f ca="1">VLOOKUP($F86,OFFSET(units!$A$1,0,0,COUNTA(units!$A:$A),MATCH(G$1,units!$1:$1,0)-COLUMN(INDIRECT("character_id"))+1),MATCH(G$1,units!$1:$1,0)-COLUMN(INDIRECT("character_id"))+1,FALSE)</f>
        <v>ブルーキャタップ</v>
      </c>
      <c r="H86" s="26">
        <v>2</v>
      </c>
      <c r="I86" s="202">
        <v>1</v>
      </c>
    </row>
    <row r="87" spans="1:9" ht="21" customHeight="1" x14ac:dyDescent="0.15">
      <c r="A87" s="96" t="str">
        <f t="shared" si="1"/>
        <v>91_110</v>
      </c>
      <c r="B87" s="56">
        <v>91</v>
      </c>
      <c r="C87" s="31" t="str">
        <f ca="1">VLOOKUP($B87,OFFSET(units!$A$1,0,0,COUNTA(units!$A:$A),MATCH(C$1,units!$1:$1,0)-COLUMN(INDIRECT("character_id"))+1),MATCH(C$1,units!$1:$1,0)-COLUMN(INDIRECT("character_id"))+1,FALSE)</f>
        <v>青龍</v>
      </c>
      <c r="D87" s="31">
        <f ca="1">VLOOKUP($B87,OFFSET(units!$A$1,0,0,COUNTA(units!$A:$A),MATCH(D$1,units!$1:$1,0)-COLUMN(INDIRECT("character_id"))+1),MATCH(D$1,units!$1:$1,0)-COLUMN(INDIRECT("character_id"))+1,FALSE)</f>
        <v>3</v>
      </c>
      <c r="E87" s="31" t="str">
        <f ca="1">VLOOKUP($B87,OFFSET(units!$A$1,0,0,COUNTA(units!$A:$A),MATCH(E$1,units!$1:$1,0)-COLUMN(INDIRECT("character_id"))+1),MATCH(E$1,units!$1:$1,0)-COLUMN(INDIRECT("character_id"))+1,FALSE)</f>
        <v>Drop2N</v>
      </c>
      <c r="F87" s="56">
        <v>110</v>
      </c>
      <c r="G87" s="31" t="str">
        <f ca="1">VLOOKUP($F87,OFFSET(units!$A$1,0,0,COUNTA(units!$A:$A),MATCH(G$1,units!$1:$1,0)-COLUMN(INDIRECT("character_id"))+1),MATCH(G$1,units!$1:$1,0)-COLUMN(INDIRECT("character_id"))+1,FALSE)</f>
        <v>ブルーラビット</v>
      </c>
      <c r="H87" s="26">
        <v>1</v>
      </c>
      <c r="I87" s="202">
        <v>1</v>
      </c>
    </row>
    <row r="88" spans="1:9" ht="21" customHeight="1" x14ac:dyDescent="0.15">
      <c r="A88" s="96" t="str">
        <f t="shared" si="1"/>
        <v>91_109</v>
      </c>
      <c r="B88" s="56">
        <v>91</v>
      </c>
      <c r="C88" s="31" t="str">
        <f ca="1">VLOOKUP($B88,OFFSET(units!$A$1,0,0,COUNTA(units!$A:$A),MATCH(C$1,units!$1:$1,0)-COLUMN(INDIRECT("character_id"))+1),MATCH(C$1,units!$1:$1,0)-COLUMN(INDIRECT("character_id"))+1,FALSE)</f>
        <v>青龍</v>
      </c>
      <c r="D88" s="31">
        <f ca="1">VLOOKUP($B88,OFFSET(units!$A$1,0,0,COUNTA(units!$A:$A),MATCH(D$1,units!$1:$1,0)-COLUMN(INDIRECT("character_id"))+1),MATCH(D$1,units!$1:$1,0)-COLUMN(INDIRECT("character_id"))+1,FALSE)</f>
        <v>3</v>
      </c>
      <c r="E88" s="31" t="str">
        <f ca="1">VLOOKUP($B88,OFFSET(units!$A$1,0,0,COUNTA(units!$A:$A),MATCH(E$1,units!$1:$1,0)-COLUMN(INDIRECT("character_id"))+1),MATCH(E$1,units!$1:$1,0)-COLUMN(INDIRECT("character_id"))+1,FALSE)</f>
        <v>Drop2N</v>
      </c>
      <c r="F88" s="56">
        <v>109</v>
      </c>
      <c r="G88" s="31" t="str">
        <f ca="1">VLOOKUP($F88,OFFSET(units!$A$1,0,0,COUNTA(units!$A:$A),MATCH(G$1,units!$1:$1,0)-COLUMN(INDIRECT("character_id"))+1),MATCH(G$1,units!$1:$1,0)-COLUMN(INDIRECT("character_id"))+1,FALSE)</f>
        <v>ブルーチェシャ</v>
      </c>
      <c r="H88" s="26">
        <v>2</v>
      </c>
      <c r="I88" s="202">
        <v>1</v>
      </c>
    </row>
    <row r="89" spans="1:9" ht="21" customHeight="1" x14ac:dyDescent="0.15">
      <c r="A89" s="96" t="str">
        <f t="shared" si="1"/>
        <v>92_112</v>
      </c>
      <c r="B89" s="56">
        <v>92</v>
      </c>
      <c r="C89" s="31" t="str">
        <f ca="1">VLOOKUP($B89,OFFSET(units!$A$1,0,0,COUNTA(units!$A:$A),MATCH(C$1,units!$1:$1,0)-COLUMN(INDIRECT("character_id"))+1),MATCH(C$1,units!$1:$1,0)-COLUMN(INDIRECT("character_id"))+1,FALSE)</f>
        <v>守護者 青龍</v>
      </c>
      <c r="D89" s="31">
        <f ca="1">VLOOKUP($B89,OFFSET(units!$A$1,0,0,COUNTA(units!$A:$A),MATCH(D$1,units!$1:$1,0)-COLUMN(INDIRECT("character_id"))+1),MATCH(D$1,units!$1:$1,0)-COLUMN(INDIRECT("character_id"))+1,FALSE)</f>
        <v>4</v>
      </c>
      <c r="E89" s="31" t="str">
        <f ca="1">VLOOKUP($B89,OFFSET(units!$A$1,0,0,COUNTA(units!$A:$A),MATCH(E$1,units!$1:$1,0)-COLUMN(INDIRECT("character_id"))+1),MATCH(E$1,units!$1:$1,0)-COLUMN(INDIRECT("character_id"))+1,FALSE)</f>
        <v>Drop2N</v>
      </c>
      <c r="F89" s="56">
        <v>112</v>
      </c>
      <c r="G89" s="31" t="str">
        <f ca="1">VLOOKUP($F89,OFFSET(units!$A$1,0,0,COUNTA(units!$A:$A),MATCH(G$1,units!$1:$1,0)-COLUMN(INDIRECT("character_id"))+1),MATCH(G$1,units!$1:$1,0)-COLUMN(INDIRECT("character_id"))+1,FALSE)</f>
        <v>水のマッドハッター</v>
      </c>
      <c r="H89" s="26">
        <v>1</v>
      </c>
      <c r="I89" s="202">
        <v>1</v>
      </c>
    </row>
    <row r="90" spans="1:9" ht="21" customHeight="1" x14ac:dyDescent="0.15">
      <c r="A90" s="96" t="str">
        <f t="shared" si="1"/>
        <v>92_110</v>
      </c>
      <c r="B90" s="56">
        <v>92</v>
      </c>
      <c r="C90" s="31" t="str">
        <f ca="1">VLOOKUP($B90,OFFSET(units!$A$1,0,0,COUNTA(units!$A:$A),MATCH(C$1,units!$1:$1,0)-COLUMN(INDIRECT("character_id"))+1),MATCH(C$1,units!$1:$1,0)-COLUMN(INDIRECT("character_id"))+1,FALSE)</f>
        <v>守護者 青龍</v>
      </c>
      <c r="D90" s="31">
        <f ca="1">VLOOKUP($B90,OFFSET(units!$A$1,0,0,COUNTA(units!$A:$A),MATCH(D$1,units!$1:$1,0)-COLUMN(INDIRECT("character_id"))+1),MATCH(D$1,units!$1:$1,0)-COLUMN(INDIRECT("character_id"))+1,FALSE)</f>
        <v>4</v>
      </c>
      <c r="E90" s="31" t="str">
        <f ca="1">VLOOKUP($B90,OFFSET(units!$A$1,0,0,COUNTA(units!$A:$A),MATCH(E$1,units!$1:$1,0)-COLUMN(INDIRECT("character_id"))+1),MATCH(E$1,units!$1:$1,0)-COLUMN(INDIRECT("character_id"))+1,FALSE)</f>
        <v>Drop2N</v>
      </c>
      <c r="F90" s="56">
        <v>110</v>
      </c>
      <c r="G90" s="31" t="str">
        <f ca="1">VLOOKUP($F90,OFFSET(units!$A$1,0,0,COUNTA(units!$A:$A),MATCH(G$1,units!$1:$1,0)-COLUMN(INDIRECT("character_id"))+1),MATCH(G$1,units!$1:$1,0)-COLUMN(INDIRECT("character_id"))+1,FALSE)</f>
        <v>ブルーラビット</v>
      </c>
      <c r="H90" s="26">
        <v>4</v>
      </c>
      <c r="I90" s="202">
        <v>1</v>
      </c>
    </row>
    <row r="91" spans="1:9" ht="21" customHeight="1" x14ac:dyDescent="0.15">
      <c r="A91" s="96" t="str">
        <f t="shared" si="1"/>
        <v>94_115</v>
      </c>
      <c r="B91" s="56">
        <v>94</v>
      </c>
      <c r="C91" s="31" t="str">
        <f ca="1">VLOOKUP($B91,OFFSET(units!$A$1,0,0,COUNTA(units!$A:$A),MATCH(C$1,units!$1:$1,0)-COLUMN(INDIRECT("character_id"))+1),MATCH(C$1,units!$1:$1,0)-COLUMN(INDIRECT("character_id"))+1,FALSE)</f>
        <v>白虎</v>
      </c>
      <c r="D91" s="31">
        <f ca="1">VLOOKUP($B91,OFFSET(units!$A$1,0,0,COUNTA(units!$A:$A),MATCH(D$1,units!$1:$1,0)-COLUMN(INDIRECT("character_id"))+1),MATCH(D$1,units!$1:$1,0)-COLUMN(INDIRECT("character_id"))+1,FALSE)</f>
        <v>3</v>
      </c>
      <c r="E91" s="31" t="str">
        <f ca="1">VLOOKUP($B91,OFFSET(units!$A$1,0,0,COUNTA(units!$A:$A),MATCH(E$1,units!$1:$1,0)-COLUMN(INDIRECT("character_id"))+1),MATCH(E$1,units!$1:$1,0)-COLUMN(INDIRECT("character_id"))+1,FALSE)</f>
        <v>Drop2N</v>
      </c>
      <c r="F91" s="56">
        <v>115</v>
      </c>
      <c r="G91" s="31" t="str">
        <f ca="1">VLOOKUP($F91,OFFSET(units!$A$1,0,0,COUNTA(units!$A:$A),MATCH(G$1,units!$1:$1,0)-COLUMN(INDIRECT("character_id"))+1),MATCH(G$1,units!$1:$1,0)-COLUMN(INDIRECT("character_id"))+1,FALSE)</f>
        <v>イエローキャタップ</v>
      </c>
      <c r="H91" s="26">
        <v>2</v>
      </c>
      <c r="I91" s="202">
        <v>1</v>
      </c>
    </row>
    <row r="92" spans="1:9" ht="21" customHeight="1" x14ac:dyDescent="0.15">
      <c r="A92" s="96" t="str">
        <f t="shared" si="1"/>
        <v>94_114</v>
      </c>
      <c r="B92" s="56">
        <v>94</v>
      </c>
      <c r="C92" s="31" t="str">
        <f ca="1">VLOOKUP($B92,OFFSET(units!$A$1,0,0,COUNTA(units!$A:$A),MATCH(C$1,units!$1:$1,0)-COLUMN(INDIRECT("character_id"))+1),MATCH(C$1,units!$1:$1,0)-COLUMN(INDIRECT("character_id"))+1,FALSE)</f>
        <v>白虎</v>
      </c>
      <c r="D92" s="31">
        <f ca="1">VLOOKUP($B92,OFFSET(units!$A$1,0,0,COUNTA(units!$A:$A),MATCH(D$1,units!$1:$1,0)-COLUMN(INDIRECT("character_id"))+1),MATCH(D$1,units!$1:$1,0)-COLUMN(INDIRECT("character_id"))+1,FALSE)</f>
        <v>3</v>
      </c>
      <c r="E92" s="31" t="str">
        <f ca="1">VLOOKUP($B92,OFFSET(units!$A$1,0,0,COUNTA(units!$A:$A),MATCH(E$1,units!$1:$1,0)-COLUMN(INDIRECT("character_id"))+1),MATCH(E$1,units!$1:$1,0)-COLUMN(INDIRECT("character_id"))+1,FALSE)</f>
        <v>Drop2N</v>
      </c>
      <c r="F92" s="56">
        <v>114</v>
      </c>
      <c r="G92" s="31" t="str">
        <f ca="1">VLOOKUP($F92,OFFSET(units!$A$1,0,0,COUNTA(units!$A:$A),MATCH(G$1,units!$1:$1,0)-COLUMN(INDIRECT("character_id"))+1),MATCH(G$1,units!$1:$1,0)-COLUMN(INDIRECT("character_id"))+1,FALSE)</f>
        <v>イエローラビット</v>
      </c>
      <c r="H92" s="26">
        <v>1</v>
      </c>
      <c r="I92" s="202">
        <v>1</v>
      </c>
    </row>
    <row r="93" spans="1:9" ht="21" customHeight="1" x14ac:dyDescent="0.15">
      <c r="A93" s="96" t="str">
        <f t="shared" si="1"/>
        <v>94_113</v>
      </c>
      <c r="B93" s="56">
        <v>94</v>
      </c>
      <c r="C93" s="31" t="str">
        <f ca="1">VLOOKUP($B93,OFFSET(units!$A$1,0,0,COUNTA(units!$A:$A),MATCH(C$1,units!$1:$1,0)-COLUMN(INDIRECT("character_id"))+1),MATCH(C$1,units!$1:$1,0)-COLUMN(INDIRECT("character_id"))+1,FALSE)</f>
        <v>白虎</v>
      </c>
      <c r="D93" s="31">
        <f ca="1">VLOOKUP($B93,OFFSET(units!$A$1,0,0,COUNTA(units!$A:$A),MATCH(D$1,units!$1:$1,0)-COLUMN(INDIRECT("character_id"))+1),MATCH(D$1,units!$1:$1,0)-COLUMN(INDIRECT("character_id"))+1,FALSE)</f>
        <v>3</v>
      </c>
      <c r="E93" s="31" t="str">
        <f ca="1">VLOOKUP($B93,OFFSET(units!$A$1,0,0,COUNTA(units!$A:$A),MATCH(E$1,units!$1:$1,0)-COLUMN(INDIRECT("character_id"))+1),MATCH(E$1,units!$1:$1,0)-COLUMN(INDIRECT("character_id"))+1,FALSE)</f>
        <v>Drop2N</v>
      </c>
      <c r="F93" s="56">
        <v>113</v>
      </c>
      <c r="G93" s="31" t="str">
        <f ca="1">VLOOKUP($F93,OFFSET(units!$A$1,0,0,COUNTA(units!$A:$A),MATCH(G$1,units!$1:$1,0)-COLUMN(INDIRECT("character_id"))+1),MATCH(G$1,units!$1:$1,0)-COLUMN(INDIRECT("character_id"))+1,FALSE)</f>
        <v>イエローチェシャ</v>
      </c>
      <c r="H93" s="26">
        <v>2</v>
      </c>
      <c r="I93" s="202">
        <v>1</v>
      </c>
    </row>
    <row r="94" spans="1:9" ht="21" customHeight="1" x14ac:dyDescent="0.15">
      <c r="A94" s="96" t="str">
        <f t="shared" si="1"/>
        <v>95_116</v>
      </c>
      <c r="B94" s="56">
        <v>95</v>
      </c>
      <c r="C94" s="31" t="str">
        <f ca="1">VLOOKUP($B94,OFFSET(units!$A$1,0,0,COUNTA(units!$A:$A),MATCH(C$1,units!$1:$1,0)-COLUMN(INDIRECT("character_id"))+1),MATCH(C$1,units!$1:$1,0)-COLUMN(INDIRECT("character_id"))+1,FALSE)</f>
        <v>守護者 白虎</v>
      </c>
      <c r="D94" s="31">
        <f ca="1">VLOOKUP($B94,OFFSET(units!$A$1,0,0,COUNTA(units!$A:$A),MATCH(D$1,units!$1:$1,0)-COLUMN(INDIRECT("character_id"))+1),MATCH(D$1,units!$1:$1,0)-COLUMN(INDIRECT("character_id"))+1,FALSE)</f>
        <v>4</v>
      </c>
      <c r="E94" s="31" t="str">
        <f ca="1">VLOOKUP($B94,OFFSET(units!$A$1,0,0,COUNTA(units!$A:$A),MATCH(E$1,units!$1:$1,0)-COLUMN(INDIRECT("character_id"))+1),MATCH(E$1,units!$1:$1,0)-COLUMN(INDIRECT("character_id"))+1,FALSE)</f>
        <v>Drop2N</v>
      </c>
      <c r="F94" s="56">
        <v>116</v>
      </c>
      <c r="G94" s="31" t="str">
        <f ca="1">VLOOKUP($F94,OFFSET(units!$A$1,0,0,COUNTA(units!$A:$A),MATCH(G$1,units!$1:$1,0)-COLUMN(INDIRECT("character_id"))+1),MATCH(G$1,units!$1:$1,0)-COLUMN(INDIRECT("character_id"))+1,FALSE)</f>
        <v>雷のマッドハッター</v>
      </c>
      <c r="H94" s="26">
        <v>1</v>
      </c>
      <c r="I94" s="202">
        <v>1</v>
      </c>
    </row>
    <row r="95" spans="1:9" ht="21" customHeight="1" x14ac:dyDescent="0.15">
      <c r="A95" s="96" t="str">
        <f t="shared" si="1"/>
        <v>95_114</v>
      </c>
      <c r="B95" s="56">
        <v>95</v>
      </c>
      <c r="C95" s="31" t="str">
        <f ca="1">VLOOKUP($B95,OFFSET(units!$A$1,0,0,COUNTA(units!$A:$A),MATCH(C$1,units!$1:$1,0)-COLUMN(INDIRECT("character_id"))+1),MATCH(C$1,units!$1:$1,0)-COLUMN(INDIRECT("character_id"))+1,FALSE)</f>
        <v>守護者 白虎</v>
      </c>
      <c r="D95" s="31">
        <f ca="1">VLOOKUP($B95,OFFSET(units!$A$1,0,0,COUNTA(units!$A:$A),MATCH(D$1,units!$1:$1,0)-COLUMN(INDIRECT("character_id"))+1),MATCH(D$1,units!$1:$1,0)-COLUMN(INDIRECT("character_id"))+1,FALSE)</f>
        <v>4</v>
      </c>
      <c r="E95" s="31" t="str">
        <f ca="1">VLOOKUP($B95,OFFSET(units!$A$1,0,0,COUNTA(units!$A:$A),MATCH(E$1,units!$1:$1,0)-COLUMN(INDIRECT("character_id"))+1),MATCH(E$1,units!$1:$1,0)-COLUMN(INDIRECT("character_id"))+1,FALSE)</f>
        <v>Drop2N</v>
      </c>
      <c r="F95" s="56">
        <v>114</v>
      </c>
      <c r="G95" s="31" t="str">
        <f ca="1">VLOOKUP($F95,OFFSET(units!$A$1,0,0,COUNTA(units!$A:$A),MATCH(G$1,units!$1:$1,0)-COLUMN(INDIRECT("character_id"))+1),MATCH(G$1,units!$1:$1,0)-COLUMN(INDIRECT("character_id"))+1,FALSE)</f>
        <v>イエローラビット</v>
      </c>
      <c r="H95" s="26">
        <v>4</v>
      </c>
      <c r="I95" s="202">
        <v>1</v>
      </c>
    </row>
    <row r="96" spans="1:9" ht="21" customHeight="1" x14ac:dyDescent="0.15">
      <c r="A96" s="96" t="str">
        <f t="shared" si="1"/>
        <v>126_103</v>
      </c>
      <c r="B96" s="56">
        <v>126</v>
      </c>
      <c r="C96" s="31" t="str">
        <f ca="1">VLOOKUP($B96,OFFSET(units!$A$1,0,0,COUNTA(units!$A:$A),MATCH(C$1,units!$1:$1,0)-COLUMN(INDIRECT("character_id"))+1),MATCH(C$1,units!$1:$1,0)-COLUMN(INDIRECT("character_id"))+1,FALSE)</f>
        <v>骨器使い ユノ</v>
      </c>
      <c r="D96" s="31">
        <f ca="1">VLOOKUP($B96,OFFSET(units!$A$1,0,0,COUNTA(units!$A:$A),MATCH(D$1,units!$1:$1,0)-COLUMN(INDIRECT("character_id"))+1),MATCH(D$1,units!$1:$1,0)-COLUMN(INDIRECT("character_id"))+1,FALSE)</f>
        <v>3</v>
      </c>
      <c r="E96" s="31" t="str">
        <f ca="1">VLOOKUP($B96,OFFSET(units!$A$1,0,0,COUNTA(units!$A:$A),MATCH(E$1,units!$1:$1,0)-COLUMN(INDIRECT("character_id"))+1),MATCH(E$1,units!$1:$1,0)-COLUMN(INDIRECT("character_id"))+1,FALSE)</f>
        <v>PremiumW</v>
      </c>
      <c r="F96" s="56">
        <v>103</v>
      </c>
      <c r="G96" s="31" t="str">
        <f ca="1">VLOOKUP($F96,OFFSET(units!$A$1,0,0,COUNTA(units!$A:$A),MATCH(G$1,units!$1:$1,0)-COLUMN(INDIRECT("character_id"))+1),MATCH(G$1,units!$1:$1,0)-COLUMN(INDIRECT("character_id"))+1,FALSE)</f>
        <v>レッドキャタップ</v>
      </c>
      <c r="H96" s="26">
        <v>1</v>
      </c>
      <c r="I96" s="202">
        <v>1</v>
      </c>
    </row>
    <row r="97" spans="1:9" ht="21" customHeight="1" x14ac:dyDescent="0.15">
      <c r="A97" s="96" t="str">
        <f t="shared" si="1"/>
        <v>126_102</v>
      </c>
      <c r="B97" s="56">
        <v>126</v>
      </c>
      <c r="C97" s="31" t="str">
        <f ca="1">VLOOKUP($B97,OFFSET(units!$A$1,0,0,COUNTA(units!$A:$A),MATCH(C$1,units!$1:$1,0)-COLUMN(INDIRECT("character_id"))+1),MATCH(C$1,units!$1:$1,0)-COLUMN(INDIRECT("character_id"))+1,FALSE)</f>
        <v>骨器使い ユノ</v>
      </c>
      <c r="D97" s="31">
        <f ca="1">VLOOKUP($B97,OFFSET(units!$A$1,0,0,COUNTA(units!$A:$A),MATCH(D$1,units!$1:$1,0)-COLUMN(INDIRECT("character_id"))+1),MATCH(D$1,units!$1:$1,0)-COLUMN(INDIRECT("character_id"))+1,FALSE)</f>
        <v>3</v>
      </c>
      <c r="E97" s="31" t="str">
        <f ca="1">VLOOKUP($B97,OFFSET(units!$A$1,0,0,COUNTA(units!$A:$A),MATCH(E$1,units!$1:$1,0)-COLUMN(INDIRECT("character_id"))+1),MATCH(E$1,units!$1:$1,0)-COLUMN(INDIRECT("character_id"))+1,FALSE)</f>
        <v>PremiumW</v>
      </c>
      <c r="F97" s="56">
        <v>102</v>
      </c>
      <c r="G97" s="31" t="str">
        <f ca="1">VLOOKUP($F97,OFFSET(units!$A$1,0,0,COUNTA(units!$A:$A),MATCH(G$1,units!$1:$1,0)-COLUMN(INDIRECT("character_id"))+1),MATCH(G$1,units!$1:$1,0)-COLUMN(INDIRECT("character_id"))+1,FALSE)</f>
        <v>レッドラビット</v>
      </c>
      <c r="H97" s="26">
        <v>3</v>
      </c>
      <c r="I97" s="202">
        <v>1</v>
      </c>
    </row>
    <row r="98" spans="1:9" ht="21" customHeight="1" x14ac:dyDescent="0.15">
      <c r="A98" s="96" t="str">
        <f t="shared" si="1"/>
        <v>128_107</v>
      </c>
      <c r="B98" s="56">
        <v>128</v>
      </c>
      <c r="C98" s="31" t="str">
        <f ca="1">VLOOKUP($B98,OFFSET(units!$A$1,0,0,COUNTA(units!$A:$A),MATCH(C$1,units!$1:$1,0)-COLUMN(INDIRECT("character_id"))+1),MATCH(C$1,units!$1:$1,0)-COLUMN(INDIRECT("character_id"))+1,FALSE)</f>
        <v>野生児 アマラ</v>
      </c>
      <c r="D98" s="31">
        <f ca="1">VLOOKUP($B98,OFFSET(units!$A$1,0,0,COUNTA(units!$A:$A),MATCH(D$1,units!$1:$1,0)-COLUMN(INDIRECT("character_id"))+1),MATCH(D$1,units!$1:$1,0)-COLUMN(INDIRECT("character_id"))+1,FALSE)</f>
        <v>3</v>
      </c>
      <c r="E98" s="31" t="str">
        <f ca="1">VLOOKUP($B98,OFFSET(units!$A$1,0,0,COUNTA(units!$A:$A),MATCH(E$1,units!$1:$1,0)-COLUMN(INDIRECT("character_id"))+1),MATCH(E$1,units!$1:$1,0)-COLUMN(INDIRECT("character_id"))+1,FALSE)</f>
        <v>PremiumW</v>
      </c>
      <c r="F98" s="56">
        <v>107</v>
      </c>
      <c r="G98" s="31" t="str">
        <f ca="1">VLOOKUP($F98,OFFSET(units!$A$1,0,0,COUNTA(units!$A:$A),MATCH(G$1,units!$1:$1,0)-COLUMN(INDIRECT("character_id"))+1),MATCH(G$1,units!$1:$1,0)-COLUMN(INDIRECT("character_id"))+1,FALSE)</f>
        <v>グリーンキャタップ</v>
      </c>
      <c r="H98" s="26">
        <v>1</v>
      </c>
      <c r="I98" s="202">
        <v>1</v>
      </c>
    </row>
    <row r="99" spans="1:9" ht="21" customHeight="1" x14ac:dyDescent="0.15">
      <c r="A99" s="96" t="str">
        <f t="shared" si="1"/>
        <v>128_106</v>
      </c>
      <c r="B99" s="56">
        <v>128</v>
      </c>
      <c r="C99" s="31" t="str">
        <f ca="1">VLOOKUP($B99,OFFSET(units!$A$1,0,0,COUNTA(units!$A:$A),MATCH(C$1,units!$1:$1,0)-COLUMN(INDIRECT("character_id"))+1),MATCH(C$1,units!$1:$1,0)-COLUMN(INDIRECT("character_id"))+1,FALSE)</f>
        <v>野生児 アマラ</v>
      </c>
      <c r="D99" s="31">
        <f ca="1">VLOOKUP($B99,OFFSET(units!$A$1,0,0,COUNTA(units!$A:$A),MATCH(D$1,units!$1:$1,0)-COLUMN(INDIRECT("character_id"))+1),MATCH(D$1,units!$1:$1,0)-COLUMN(INDIRECT("character_id"))+1,FALSE)</f>
        <v>3</v>
      </c>
      <c r="E99" s="31" t="str">
        <f ca="1">VLOOKUP($B99,OFFSET(units!$A$1,0,0,COUNTA(units!$A:$A),MATCH(E$1,units!$1:$1,0)-COLUMN(INDIRECT("character_id"))+1),MATCH(E$1,units!$1:$1,0)-COLUMN(INDIRECT("character_id"))+1,FALSE)</f>
        <v>PremiumW</v>
      </c>
      <c r="F99" s="56">
        <v>106</v>
      </c>
      <c r="G99" s="31" t="str">
        <f ca="1">VLOOKUP($F99,OFFSET(units!$A$1,0,0,COUNTA(units!$A:$A),MATCH(G$1,units!$1:$1,0)-COLUMN(INDIRECT("character_id"))+1),MATCH(G$1,units!$1:$1,0)-COLUMN(INDIRECT("character_id"))+1,FALSE)</f>
        <v>グリーンラビット</v>
      </c>
      <c r="H99" s="26">
        <v>3</v>
      </c>
      <c r="I99" s="202">
        <v>1</v>
      </c>
    </row>
    <row r="100" spans="1:9" ht="21" customHeight="1" x14ac:dyDescent="0.15">
      <c r="A100" s="96" t="str">
        <f t="shared" si="1"/>
        <v>130_111</v>
      </c>
      <c r="B100" s="56">
        <v>130</v>
      </c>
      <c r="C100" s="31" t="str">
        <f ca="1">VLOOKUP($B100,OFFSET(units!$A$1,0,0,COUNTA(units!$A:$A),MATCH(C$1,units!$1:$1,0)-COLUMN(INDIRECT("character_id"))+1),MATCH(C$1,units!$1:$1,0)-COLUMN(INDIRECT("character_id"))+1,FALSE)</f>
        <v>狼男 ローレンス</v>
      </c>
      <c r="D100" s="31">
        <f ca="1">VLOOKUP($B100,OFFSET(units!$A$1,0,0,COUNTA(units!$A:$A),MATCH(D$1,units!$1:$1,0)-COLUMN(INDIRECT("character_id"))+1),MATCH(D$1,units!$1:$1,0)-COLUMN(INDIRECT("character_id"))+1,FALSE)</f>
        <v>3</v>
      </c>
      <c r="E100" s="31" t="str">
        <f ca="1">VLOOKUP($B100,OFFSET(units!$A$1,0,0,COUNTA(units!$A:$A),MATCH(E$1,units!$1:$1,0)-COLUMN(INDIRECT("character_id"))+1),MATCH(E$1,units!$1:$1,0)-COLUMN(INDIRECT("character_id"))+1,FALSE)</f>
        <v>PremiumW</v>
      </c>
      <c r="F100" s="56">
        <v>111</v>
      </c>
      <c r="G100" s="31" t="str">
        <f ca="1">VLOOKUP($F100,OFFSET(units!$A$1,0,0,COUNTA(units!$A:$A),MATCH(G$1,units!$1:$1,0)-COLUMN(INDIRECT("character_id"))+1),MATCH(G$1,units!$1:$1,0)-COLUMN(INDIRECT("character_id"))+1,FALSE)</f>
        <v>ブルーキャタップ</v>
      </c>
      <c r="H100" s="26">
        <v>1</v>
      </c>
      <c r="I100" s="202">
        <v>1</v>
      </c>
    </row>
    <row r="101" spans="1:9" ht="21" customHeight="1" x14ac:dyDescent="0.15">
      <c r="A101" s="96" t="str">
        <f t="shared" si="1"/>
        <v>130_110</v>
      </c>
      <c r="B101" s="56">
        <v>130</v>
      </c>
      <c r="C101" s="31" t="str">
        <f ca="1">VLOOKUP($B101,OFFSET(units!$A$1,0,0,COUNTA(units!$A:$A),MATCH(C$1,units!$1:$1,0)-COLUMN(INDIRECT("character_id"))+1),MATCH(C$1,units!$1:$1,0)-COLUMN(INDIRECT("character_id"))+1,FALSE)</f>
        <v>狼男 ローレンス</v>
      </c>
      <c r="D101" s="31">
        <f ca="1">VLOOKUP($B101,OFFSET(units!$A$1,0,0,COUNTA(units!$A:$A),MATCH(D$1,units!$1:$1,0)-COLUMN(INDIRECT("character_id"))+1),MATCH(D$1,units!$1:$1,0)-COLUMN(INDIRECT("character_id"))+1,FALSE)</f>
        <v>3</v>
      </c>
      <c r="E101" s="31" t="str">
        <f ca="1">VLOOKUP($B101,OFFSET(units!$A$1,0,0,COUNTA(units!$A:$A),MATCH(E$1,units!$1:$1,0)-COLUMN(INDIRECT("character_id"))+1),MATCH(E$1,units!$1:$1,0)-COLUMN(INDIRECT("character_id"))+1,FALSE)</f>
        <v>PremiumW</v>
      </c>
      <c r="F101" s="56">
        <v>110</v>
      </c>
      <c r="G101" s="31" t="str">
        <f ca="1">VLOOKUP($F101,OFFSET(units!$A$1,0,0,COUNTA(units!$A:$A),MATCH(G$1,units!$1:$1,0)-COLUMN(INDIRECT("character_id"))+1),MATCH(G$1,units!$1:$1,0)-COLUMN(INDIRECT("character_id"))+1,FALSE)</f>
        <v>ブルーラビット</v>
      </c>
      <c r="H101" s="26">
        <v>3</v>
      </c>
      <c r="I101" s="202">
        <v>1</v>
      </c>
    </row>
    <row r="102" spans="1:9" ht="21" customHeight="1" x14ac:dyDescent="0.15">
      <c r="A102" s="96" t="str">
        <f t="shared" si="1"/>
        <v>132_115</v>
      </c>
      <c r="B102" s="56">
        <v>132</v>
      </c>
      <c r="C102" s="31" t="str">
        <f ca="1">VLOOKUP($B102,OFFSET(units!$A$1,0,0,COUNTA(units!$A:$A),MATCH(C$1,units!$1:$1,0)-COLUMN(INDIRECT("character_id"))+1),MATCH(C$1,units!$1:$1,0)-COLUMN(INDIRECT("character_id"))+1,FALSE)</f>
        <v>鳥人ハヤト</v>
      </c>
      <c r="D102" s="31">
        <f ca="1">VLOOKUP($B102,OFFSET(units!$A$1,0,0,COUNTA(units!$A:$A),MATCH(D$1,units!$1:$1,0)-COLUMN(INDIRECT("character_id"))+1),MATCH(D$1,units!$1:$1,0)-COLUMN(INDIRECT("character_id"))+1,FALSE)</f>
        <v>3</v>
      </c>
      <c r="E102" s="31" t="str">
        <f ca="1">VLOOKUP($B102,OFFSET(units!$A$1,0,0,COUNTA(units!$A:$A),MATCH(E$1,units!$1:$1,0)-COLUMN(INDIRECT("character_id"))+1),MATCH(E$1,units!$1:$1,0)-COLUMN(INDIRECT("character_id"))+1,FALSE)</f>
        <v>PremiumW</v>
      </c>
      <c r="F102" s="56">
        <v>115</v>
      </c>
      <c r="G102" s="31" t="str">
        <f ca="1">VLOOKUP($F102,OFFSET(units!$A$1,0,0,COUNTA(units!$A:$A),MATCH(G$1,units!$1:$1,0)-COLUMN(INDIRECT("character_id"))+1),MATCH(G$1,units!$1:$1,0)-COLUMN(INDIRECT("character_id"))+1,FALSE)</f>
        <v>イエローキャタップ</v>
      </c>
      <c r="H102" s="26">
        <v>1</v>
      </c>
      <c r="I102" s="202">
        <v>1</v>
      </c>
    </row>
    <row r="103" spans="1:9" ht="21" customHeight="1" x14ac:dyDescent="0.15">
      <c r="A103" s="96" t="str">
        <f t="shared" si="1"/>
        <v>132_114</v>
      </c>
      <c r="B103" s="56">
        <v>132</v>
      </c>
      <c r="C103" s="31" t="str">
        <f ca="1">VLOOKUP($B103,OFFSET(units!$A$1,0,0,COUNTA(units!$A:$A),MATCH(C$1,units!$1:$1,0)-COLUMN(INDIRECT("character_id"))+1),MATCH(C$1,units!$1:$1,0)-COLUMN(INDIRECT("character_id"))+1,FALSE)</f>
        <v>鳥人ハヤト</v>
      </c>
      <c r="D103" s="31">
        <f ca="1">VLOOKUP($B103,OFFSET(units!$A$1,0,0,COUNTA(units!$A:$A),MATCH(D$1,units!$1:$1,0)-COLUMN(INDIRECT("character_id"))+1),MATCH(D$1,units!$1:$1,0)-COLUMN(INDIRECT("character_id"))+1,FALSE)</f>
        <v>3</v>
      </c>
      <c r="E103" s="31" t="str">
        <f ca="1">VLOOKUP($B103,OFFSET(units!$A$1,0,0,COUNTA(units!$A:$A),MATCH(E$1,units!$1:$1,0)-COLUMN(INDIRECT("character_id"))+1),MATCH(E$1,units!$1:$1,0)-COLUMN(INDIRECT("character_id"))+1,FALSE)</f>
        <v>PremiumW</v>
      </c>
      <c r="F103" s="56">
        <v>114</v>
      </c>
      <c r="G103" s="31" t="str">
        <f ca="1">VLOOKUP($F103,OFFSET(units!$A$1,0,0,COUNTA(units!$A:$A),MATCH(G$1,units!$1:$1,0)-COLUMN(INDIRECT("character_id"))+1),MATCH(G$1,units!$1:$1,0)-COLUMN(INDIRECT("character_id"))+1,FALSE)</f>
        <v>イエローラビット</v>
      </c>
      <c r="H103" s="26">
        <v>3</v>
      </c>
      <c r="I103" s="202">
        <v>1</v>
      </c>
    </row>
    <row r="104" spans="1:9" ht="21" customHeight="1" x14ac:dyDescent="0.15">
      <c r="A104" s="96" t="str">
        <f t="shared" si="1"/>
        <v>134_103</v>
      </c>
      <c r="B104" s="56">
        <v>134</v>
      </c>
      <c r="C104" s="31" t="str">
        <f ca="1">VLOOKUP($B104,OFFSET(units!$A$1,0,0,COUNTA(units!$A:$A),MATCH(C$1,units!$1:$1,0)-COLUMN(INDIRECT("character_id"))+1),MATCH(C$1,units!$1:$1,0)-COLUMN(INDIRECT("character_id"))+1,FALSE)</f>
        <v>妖炎の夕霧</v>
      </c>
      <c r="D104" s="31">
        <f ca="1">VLOOKUP($B104,OFFSET(units!$A$1,0,0,COUNTA(units!$A:$A),MATCH(D$1,units!$1:$1,0)-COLUMN(INDIRECT("character_id"))+1),MATCH(D$1,units!$1:$1,0)-COLUMN(INDIRECT("character_id"))+1,FALSE)</f>
        <v>3</v>
      </c>
      <c r="E104" s="31" t="str">
        <f ca="1">VLOOKUP($B104,OFFSET(units!$A$1,0,0,COUNTA(units!$A:$A),MATCH(E$1,units!$1:$1,0)-COLUMN(INDIRECT("character_id"))+1),MATCH(E$1,units!$1:$1,0)-COLUMN(INDIRECT("character_id"))+1,FALSE)</f>
        <v>PremiumW</v>
      </c>
      <c r="F104" s="56">
        <v>103</v>
      </c>
      <c r="G104" s="31" t="str">
        <f ca="1">VLOOKUP($F104,OFFSET(units!$A$1,0,0,COUNTA(units!$A:$A),MATCH(G$1,units!$1:$1,0)-COLUMN(INDIRECT("character_id"))+1),MATCH(G$1,units!$1:$1,0)-COLUMN(INDIRECT("character_id"))+1,FALSE)</f>
        <v>レッドキャタップ</v>
      </c>
      <c r="H104" s="26">
        <v>1</v>
      </c>
      <c r="I104" s="202">
        <v>1</v>
      </c>
    </row>
    <row r="105" spans="1:9" ht="21" customHeight="1" x14ac:dyDescent="0.15">
      <c r="A105" s="96" t="str">
        <f t="shared" si="1"/>
        <v>134_102</v>
      </c>
      <c r="B105" s="56">
        <v>134</v>
      </c>
      <c r="C105" s="31" t="str">
        <f ca="1">VLOOKUP($B105,OFFSET(units!$A$1,0,0,COUNTA(units!$A:$A),MATCH(C$1,units!$1:$1,0)-COLUMN(INDIRECT("character_id"))+1),MATCH(C$1,units!$1:$1,0)-COLUMN(INDIRECT("character_id"))+1,FALSE)</f>
        <v>妖炎の夕霧</v>
      </c>
      <c r="D105" s="31">
        <f ca="1">VLOOKUP($B105,OFFSET(units!$A$1,0,0,COUNTA(units!$A:$A),MATCH(D$1,units!$1:$1,0)-COLUMN(INDIRECT("character_id"))+1),MATCH(D$1,units!$1:$1,0)-COLUMN(INDIRECT("character_id"))+1,FALSE)</f>
        <v>3</v>
      </c>
      <c r="E105" s="31" t="str">
        <f ca="1">VLOOKUP($B105,OFFSET(units!$A$1,0,0,COUNTA(units!$A:$A),MATCH(E$1,units!$1:$1,0)-COLUMN(INDIRECT("character_id"))+1),MATCH(E$1,units!$1:$1,0)-COLUMN(INDIRECT("character_id"))+1,FALSE)</f>
        <v>PremiumW</v>
      </c>
      <c r="F105" s="56">
        <v>102</v>
      </c>
      <c r="G105" s="31" t="str">
        <f ca="1">VLOOKUP($F105,OFFSET(units!$A$1,0,0,COUNTA(units!$A:$A),MATCH(G$1,units!$1:$1,0)-COLUMN(INDIRECT("character_id"))+1),MATCH(G$1,units!$1:$1,0)-COLUMN(INDIRECT("character_id"))+1,FALSE)</f>
        <v>レッドラビット</v>
      </c>
      <c r="H105" s="26">
        <v>1</v>
      </c>
      <c r="I105" s="202">
        <v>1</v>
      </c>
    </row>
    <row r="106" spans="1:9" ht="21" customHeight="1" x14ac:dyDescent="0.15">
      <c r="A106" s="96" t="str">
        <f t="shared" si="1"/>
        <v>134_101</v>
      </c>
      <c r="B106" s="56">
        <v>134</v>
      </c>
      <c r="C106" s="31" t="str">
        <f ca="1">VLOOKUP($B106,OFFSET(units!$A$1,0,0,COUNTA(units!$A:$A),MATCH(C$1,units!$1:$1,0)-COLUMN(INDIRECT("character_id"))+1),MATCH(C$1,units!$1:$1,0)-COLUMN(INDIRECT("character_id"))+1,FALSE)</f>
        <v>妖炎の夕霧</v>
      </c>
      <c r="D106" s="31">
        <f ca="1">VLOOKUP($B106,OFFSET(units!$A$1,0,0,COUNTA(units!$A:$A),MATCH(D$1,units!$1:$1,0)-COLUMN(INDIRECT("character_id"))+1),MATCH(D$1,units!$1:$1,0)-COLUMN(INDIRECT("character_id"))+1,FALSE)</f>
        <v>3</v>
      </c>
      <c r="E106" s="31" t="str">
        <f ca="1">VLOOKUP($B106,OFFSET(units!$A$1,0,0,COUNTA(units!$A:$A),MATCH(E$1,units!$1:$1,0)-COLUMN(INDIRECT("character_id"))+1),MATCH(E$1,units!$1:$1,0)-COLUMN(INDIRECT("character_id"))+1,FALSE)</f>
        <v>PremiumW</v>
      </c>
      <c r="F106" s="56">
        <v>101</v>
      </c>
      <c r="G106" s="31" t="str">
        <f ca="1">VLOOKUP($F106,OFFSET(units!$A$1,0,0,COUNTA(units!$A:$A),MATCH(G$1,units!$1:$1,0)-COLUMN(INDIRECT("character_id"))+1),MATCH(G$1,units!$1:$1,0)-COLUMN(INDIRECT("character_id"))+1,FALSE)</f>
        <v>レッドチェシャ</v>
      </c>
      <c r="H106" s="26">
        <v>3</v>
      </c>
      <c r="I106" s="202">
        <v>1</v>
      </c>
    </row>
    <row r="107" spans="1:9" ht="21" customHeight="1" x14ac:dyDescent="0.15">
      <c r="A107" s="96" t="str">
        <f t="shared" si="1"/>
        <v>136_107</v>
      </c>
      <c r="B107" s="56">
        <v>136</v>
      </c>
      <c r="C107" s="31" t="str">
        <f ca="1">VLOOKUP($B107,OFFSET(units!$A$1,0,0,COUNTA(units!$A:$A),MATCH(C$1,units!$1:$1,0)-COLUMN(INDIRECT("character_id"))+1),MATCH(C$1,units!$1:$1,0)-COLUMN(INDIRECT("character_id"))+1,FALSE)</f>
        <v>お針子チハヤ</v>
      </c>
      <c r="D107" s="31">
        <f ca="1">VLOOKUP($B107,OFFSET(units!$A$1,0,0,COUNTA(units!$A:$A),MATCH(D$1,units!$1:$1,0)-COLUMN(INDIRECT("character_id"))+1),MATCH(D$1,units!$1:$1,0)-COLUMN(INDIRECT("character_id"))+1,FALSE)</f>
        <v>3</v>
      </c>
      <c r="E107" s="31" t="str">
        <f ca="1">VLOOKUP($B107,OFFSET(units!$A$1,0,0,COUNTA(units!$A:$A),MATCH(E$1,units!$1:$1,0)-COLUMN(INDIRECT("character_id"))+1),MATCH(E$1,units!$1:$1,0)-COLUMN(INDIRECT("character_id"))+1,FALSE)</f>
        <v>PremiumW</v>
      </c>
      <c r="F107" s="56">
        <v>107</v>
      </c>
      <c r="G107" s="31" t="str">
        <f ca="1">VLOOKUP($F107,OFFSET(units!$A$1,0,0,COUNTA(units!$A:$A),MATCH(G$1,units!$1:$1,0)-COLUMN(INDIRECT("character_id"))+1),MATCH(G$1,units!$1:$1,0)-COLUMN(INDIRECT("character_id"))+1,FALSE)</f>
        <v>グリーンキャタップ</v>
      </c>
      <c r="H107" s="26">
        <v>1</v>
      </c>
      <c r="I107" s="202">
        <v>1</v>
      </c>
    </row>
    <row r="108" spans="1:9" ht="21" customHeight="1" x14ac:dyDescent="0.15">
      <c r="A108" s="96" t="str">
        <f t="shared" si="1"/>
        <v>136_106</v>
      </c>
      <c r="B108" s="56">
        <v>136</v>
      </c>
      <c r="C108" s="31" t="str">
        <f ca="1">VLOOKUP($B108,OFFSET(units!$A$1,0,0,COUNTA(units!$A:$A),MATCH(C$1,units!$1:$1,0)-COLUMN(INDIRECT("character_id"))+1),MATCH(C$1,units!$1:$1,0)-COLUMN(INDIRECT("character_id"))+1,FALSE)</f>
        <v>お針子チハヤ</v>
      </c>
      <c r="D108" s="31">
        <f ca="1">VLOOKUP($B108,OFFSET(units!$A$1,0,0,COUNTA(units!$A:$A),MATCH(D$1,units!$1:$1,0)-COLUMN(INDIRECT("character_id"))+1),MATCH(D$1,units!$1:$1,0)-COLUMN(INDIRECT("character_id"))+1,FALSE)</f>
        <v>3</v>
      </c>
      <c r="E108" s="31" t="str">
        <f ca="1">VLOOKUP($B108,OFFSET(units!$A$1,0,0,COUNTA(units!$A:$A),MATCH(E$1,units!$1:$1,0)-COLUMN(INDIRECT("character_id"))+1),MATCH(E$1,units!$1:$1,0)-COLUMN(INDIRECT("character_id"))+1,FALSE)</f>
        <v>PremiumW</v>
      </c>
      <c r="F108" s="56">
        <v>106</v>
      </c>
      <c r="G108" s="31" t="str">
        <f ca="1">VLOOKUP($F108,OFFSET(units!$A$1,0,0,COUNTA(units!$A:$A),MATCH(G$1,units!$1:$1,0)-COLUMN(INDIRECT("character_id"))+1),MATCH(G$1,units!$1:$1,0)-COLUMN(INDIRECT("character_id"))+1,FALSE)</f>
        <v>グリーンラビット</v>
      </c>
      <c r="H108" s="26">
        <v>1</v>
      </c>
      <c r="I108" s="202">
        <v>1</v>
      </c>
    </row>
    <row r="109" spans="1:9" ht="21" customHeight="1" x14ac:dyDescent="0.15">
      <c r="A109" s="96" t="str">
        <f t="shared" si="1"/>
        <v>136_105</v>
      </c>
      <c r="B109" s="56">
        <v>136</v>
      </c>
      <c r="C109" s="31" t="str">
        <f ca="1">VLOOKUP($B109,OFFSET(units!$A$1,0,0,COUNTA(units!$A:$A),MATCH(C$1,units!$1:$1,0)-COLUMN(INDIRECT("character_id"))+1),MATCH(C$1,units!$1:$1,0)-COLUMN(INDIRECT("character_id"))+1,FALSE)</f>
        <v>お針子チハヤ</v>
      </c>
      <c r="D109" s="31">
        <f ca="1">VLOOKUP($B109,OFFSET(units!$A$1,0,0,COUNTA(units!$A:$A),MATCH(D$1,units!$1:$1,0)-COLUMN(INDIRECT("character_id"))+1),MATCH(D$1,units!$1:$1,0)-COLUMN(INDIRECT("character_id"))+1,FALSE)</f>
        <v>3</v>
      </c>
      <c r="E109" s="31" t="str">
        <f ca="1">VLOOKUP($B109,OFFSET(units!$A$1,0,0,COUNTA(units!$A:$A),MATCH(E$1,units!$1:$1,0)-COLUMN(INDIRECT("character_id"))+1),MATCH(E$1,units!$1:$1,0)-COLUMN(INDIRECT("character_id"))+1,FALSE)</f>
        <v>PremiumW</v>
      </c>
      <c r="F109" s="56">
        <v>105</v>
      </c>
      <c r="G109" s="31" t="str">
        <f ca="1">VLOOKUP($F109,OFFSET(units!$A$1,0,0,COUNTA(units!$A:$A),MATCH(G$1,units!$1:$1,0)-COLUMN(INDIRECT("character_id"))+1),MATCH(G$1,units!$1:$1,0)-COLUMN(INDIRECT("character_id"))+1,FALSE)</f>
        <v>グリーンチェシャ</v>
      </c>
      <c r="H109" s="26">
        <v>3</v>
      </c>
      <c r="I109" s="202">
        <v>1</v>
      </c>
    </row>
    <row r="110" spans="1:9" ht="21" customHeight="1" x14ac:dyDescent="0.15">
      <c r="A110" s="96" t="str">
        <f t="shared" si="1"/>
        <v>138_111</v>
      </c>
      <c r="B110" s="56">
        <v>138</v>
      </c>
      <c r="C110" s="31" t="str">
        <f ca="1">VLOOKUP($B110,OFFSET(units!$A$1,0,0,COUNTA(units!$A:$A),MATCH(C$1,units!$1:$1,0)-COLUMN(INDIRECT("character_id"))+1),MATCH(C$1,units!$1:$1,0)-COLUMN(INDIRECT("character_id"))+1,FALSE)</f>
        <v>蒼薙のトモエ</v>
      </c>
      <c r="D110" s="31">
        <f ca="1">VLOOKUP($B110,OFFSET(units!$A$1,0,0,COUNTA(units!$A:$A),MATCH(D$1,units!$1:$1,0)-COLUMN(INDIRECT("character_id"))+1),MATCH(D$1,units!$1:$1,0)-COLUMN(INDIRECT("character_id"))+1,FALSE)</f>
        <v>3</v>
      </c>
      <c r="E110" s="31" t="str">
        <f ca="1">VLOOKUP($B110,OFFSET(units!$A$1,0,0,COUNTA(units!$A:$A),MATCH(E$1,units!$1:$1,0)-COLUMN(INDIRECT("character_id"))+1),MATCH(E$1,units!$1:$1,0)-COLUMN(INDIRECT("character_id"))+1,FALSE)</f>
        <v>PremiumW</v>
      </c>
      <c r="F110" s="56">
        <v>111</v>
      </c>
      <c r="G110" s="31" t="str">
        <f ca="1">VLOOKUP($F110,OFFSET(units!$A$1,0,0,COUNTA(units!$A:$A),MATCH(G$1,units!$1:$1,0)-COLUMN(INDIRECT("character_id"))+1),MATCH(G$1,units!$1:$1,0)-COLUMN(INDIRECT("character_id"))+1,FALSE)</f>
        <v>ブルーキャタップ</v>
      </c>
      <c r="H110" s="26">
        <v>1</v>
      </c>
      <c r="I110" s="202">
        <v>1</v>
      </c>
    </row>
    <row r="111" spans="1:9" ht="21" customHeight="1" x14ac:dyDescent="0.15">
      <c r="A111" s="96" t="str">
        <f t="shared" si="1"/>
        <v>138_110</v>
      </c>
      <c r="B111" s="56">
        <v>138</v>
      </c>
      <c r="C111" s="31" t="str">
        <f ca="1">VLOOKUP($B111,OFFSET(units!$A$1,0,0,COUNTA(units!$A:$A),MATCH(C$1,units!$1:$1,0)-COLUMN(INDIRECT("character_id"))+1),MATCH(C$1,units!$1:$1,0)-COLUMN(INDIRECT("character_id"))+1,FALSE)</f>
        <v>蒼薙のトモエ</v>
      </c>
      <c r="D111" s="31">
        <f ca="1">VLOOKUP($B111,OFFSET(units!$A$1,0,0,COUNTA(units!$A:$A),MATCH(D$1,units!$1:$1,0)-COLUMN(INDIRECT("character_id"))+1),MATCH(D$1,units!$1:$1,0)-COLUMN(INDIRECT("character_id"))+1,FALSE)</f>
        <v>3</v>
      </c>
      <c r="E111" s="31" t="str">
        <f ca="1">VLOOKUP($B111,OFFSET(units!$A$1,0,0,COUNTA(units!$A:$A),MATCH(E$1,units!$1:$1,0)-COLUMN(INDIRECT("character_id"))+1),MATCH(E$1,units!$1:$1,0)-COLUMN(INDIRECT("character_id"))+1,FALSE)</f>
        <v>PremiumW</v>
      </c>
      <c r="F111" s="56">
        <v>110</v>
      </c>
      <c r="G111" s="31" t="str">
        <f ca="1">VLOOKUP($F111,OFFSET(units!$A$1,0,0,COUNTA(units!$A:$A),MATCH(G$1,units!$1:$1,0)-COLUMN(INDIRECT("character_id"))+1),MATCH(G$1,units!$1:$1,0)-COLUMN(INDIRECT("character_id"))+1,FALSE)</f>
        <v>ブルーラビット</v>
      </c>
      <c r="H111" s="26">
        <v>1</v>
      </c>
      <c r="I111" s="202">
        <v>1</v>
      </c>
    </row>
    <row r="112" spans="1:9" ht="21" customHeight="1" x14ac:dyDescent="0.15">
      <c r="A112" s="96" t="str">
        <f t="shared" si="1"/>
        <v>138_109</v>
      </c>
      <c r="B112" s="56">
        <v>138</v>
      </c>
      <c r="C112" s="31" t="str">
        <f ca="1">VLOOKUP($B112,OFFSET(units!$A$1,0,0,COUNTA(units!$A:$A),MATCH(C$1,units!$1:$1,0)-COLUMN(INDIRECT("character_id"))+1),MATCH(C$1,units!$1:$1,0)-COLUMN(INDIRECT("character_id"))+1,FALSE)</f>
        <v>蒼薙のトモエ</v>
      </c>
      <c r="D112" s="31">
        <f ca="1">VLOOKUP($B112,OFFSET(units!$A$1,0,0,COUNTA(units!$A:$A),MATCH(D$1,units!$1:$1,0)-COLUMN(INDIRECT("character_id"))+1),MATCH(D$1,units!$1:$1,0)-COLUMN(INDIRECT("character_id"))+1,FALSE)</f>
        <v>3</v>
      </c>
      <c r="E112" s="31" t="str">
        <f ca="1">VLOOKUP($B112,OFFSET(units!$A$1,0,0,COUNTA(units!$A:$A),MATCH(E$1,units!$1:$1,0)-COLUMN(INDIRECT("character_id"))+1),MATCH(E$1,units!$1:$1,0)-COLUMN(INDIRECT("character_id"))+1,FALSE)</f>
        <v>PremiumW</v>
      </c>
      <c r="F112" s="56">
        <v>109</v>
      </c>
      <c r="G112" s="31" t="str">
        <f ca="1">VLOOKUP($F112,OFFSET(units!$A$1,0,0,COUNTA(units!$A:$A),MATCH(G$1,units!$1:$1,0)-COLUMN(INDIRECT("character_id"))+1),MATCH(G$1,units!$1:$1,0)-COLUMN(INDIRECT("character_id"))+1,FALSE)</f>
        <v>ブルーチェシャ</v>
      </c>
      <c r="H112" s="26">
        <v>3</v>
      </c>
      <c r="I112" s="202">
        <v>1</v>
      </c>
    </row>
    <row r="113" spans="1:9" ht="21" customHeight="1" x14ac:dyDescent="0.15">
      <c r="A113" s="96" t="str">
        <f t="shared" si="1"/>
        <v>140_115</v>
      </c>
      <c r="B113" s="56">
        <v>140</v>
      </c>
      <c r="C113" s="31" t="str">
        <f ca="1">VLOOKUP($B113,OFFSET(units!$A$1,0,0,COUNTA(units!$A:$A),MATCH(C$1,units!$1:$1,0)-COLUMN(INDIRECT("character_id"))+1),MATCH(C$1,units!$1:$1,0)-COLUMN(INDIRECT("character_id"))+1,FALSE)</f>
        <v>秋祭のタマモ</v>
      </c>
      <c r="D113" s="31">
        <f ca="1">VLOOKUP($B113,OFFSET(units!$A$1,0,0,COUNTA(units!$A:$A),MATCH(D$1,units!$1:$1,0)-COLUMN(INDIRECT("character_id"))+1),MATCH(D$1,units!$1:$1,0)-COLUMN(INDIRECT("character_id"))+1,FALSE)</f>
        <v>3</v>
      </c>
      <c r="E113" s="31" t="str">
        <f ca="1">VLOOKUP($B113,OFFSET(units!$A$1,0,0,COUNTA(units!$A:$A),MATCH(E$1,units!$1:$1,0)-COLUMN(INDIRECT("character_id"))+1),MATCH(E$1,units!$1:$1,0)-COLUMN(INDIRECT("character_id"))+1,FALSE)</f>
        <v>PremiumW</v>
      </c>
      <c r="F113" s="56">
        <v>115</v>
      </c>
      <c r="G113" s="31" t="str">
        <f ca="1">VLOOKUP($F113,OFFSET(units!$A$1,0,0,COUNTA(units!$A:$A),MATCH(G$1,units!$1:$1,0)-COLUMN(INDIRECT("character_id"))+1),MATCH(G$1,units!$1:$1,0)-COLUMN(INDIRECT("character_id"))+1,FALSE)</f>
        <v>イエローキャタップ</v>
      </c>
      <c r="H113" s="26">
        <v>1</v>
      </c>
      <c r="I113" s="202">
        <v>1</v>
      </c>
    </row>
    <row r="114" spans="1:9" ht="21" customHeight="1" x14ac:dyDescent="0.15">
      <c r="A114" s="96" t="str">
        <f t="shared" si="1"/>
        <v>140_114</v>
      </c>
      <c r="B114" s="56">
        <v>140</v>
      </c>
      <c r="C114" s="31" t="str">
        <f ca="1">VLOOKUP($B114,OFFSET(units!$A$1,0,0,COUNTA(units!$A:$A),MATCH(C$1,units!$1:$1,0)-COLUMN(INDIRECT("character_id"))+1),MATCH(C$1,units!$1:$1,0)-COLUMN(INDIRECT("character_id"))+1,FALSE)</f>
        <v>秋祭のタマモ</v>
      </c>
      <c r="D114" s="31">
        <f ca="1">VLOOKUP($B114,OFFSET(units!$A$1,0,0,COUNTA(units!$A:$A),MATCH(D$1,units!$1:$1,0)-COLUMN(INDIRECT("character_id"))+1),MATCH(D$1,units!$1:$1,0)-COLUMN(INDIRECT("character_id"))+1,FALSE)</f>
        <v>3</v>
      </c>
      <c r="E114" s="31" t="str">
        <f ca="1">VLOOKUP($B114,OFFSET(units!$A$1,0,0,COUNTA(units!$A:$A),MATCH(E$1,units!$1:$1,0)-COLUMN(INDIRECT("character_id"))+1),MATCH(E$1,units!$1:$1,0)-COLUMN(INDIRECT("character_id"))+1,FALSE)</f>
        <v>PremiumW</v>
      </c>
      <c r="F114" s="56">
        <v>114</v>
      </c>
      <c r="G114" s="31" t="str">
        <f ca="1">VLOOKUP($F114,OFFSET(units!$A$1,0,0,COUNTA(units!$A:$A),MATCH(G$1,units!$1:$1,0)-COLUMN(INDIRECT("character_id"))+1),MATCH(G$1,units!$1:$1,0)-COLUMN(INDIRECT("character_id"))+1,FALSE)</f>
        <v>イエローラビット</v>
      </c>
      <c r="H114" s="26">
        <v>1</v>
      </c>
      <c r="I114" s="202">
        <v>1</v>
      </c>
    </row>
    <row r="115" spans="1:9" ht="21" customHeight="1" x14ac:dyDescent="0.15">
      <c r="A115" s="96" t="str">
        <f t="shared" si="1"/>
        <v>140_113</v>
      </c>
      <c r="B115" s="56">
        <v>140</v>
      </c>
      <c r="C115" s="31" t="str">
        <f ca="1">VLOOKUP($B115,OFFSET(units!$A$1,0,0,COUNTA(units!$A:$A),MATCH(C$1,units!$1:$1,0)-COLUMN(INDIRECT("character_id"))+1),MATCH(C$1,units!$1:$1,0)-COLUMN(INDIRECT("character_id"))+1,FALSE)</f>
        <v>秋祭のタマモ</v>
      </c>
      <c r="D115" s="31">
        <f ca="1">VLOOKUP($B115,OFFSET(units!$A$1,0,0,COUNTA(units!$A:$A),MATCH(D$1,units!$1:$1,0)-COLUMN(INDIRECT("character_id"))+1),MATCH(D$1,units!$1:$1,0)-COLUMN(INDIRECT("character_id"))+1,FALSE)</f>
        <v>3</v>
      </c>
      <c r="E115" s="31" t="str">
        <f ca="1">VLOOKUP($B115,OFFSET(units!$A$1,0,0,COUNTA(units!$A:$A),MATCH(E$1,units!$1:$1,0)-COLUMN(INDIRECT("character_id"))+1),MATCH(E$1,units!$1:$1,0)-COLUMN(INDIRECT("character_id"))+1,FALSE)</f>
        <v>PremiumW</v>
      </c>
      <c r="F115" s="56">
        <v>113</v>
      </c>
      <c r="G115" s="31" t="str">
        <f ca="1">VLOOKUP($F115,OFFSET(units!$A$1,0,0,COUNTA(units!$A:$A),MATCH(G$1,units!$1:$1,0)-COLUMN(INDIRECT("character_id"))+1),MATCH(G$1,units!$1:$1,0)-COLUMN(INDIRECT("character_id"))+1,FALSE)</f>
        <v>イエローチェシャ</v>
      </c>
      <c r="H115" s="26">
        <v>3</v>
      </c>
      <c r="I115" s="202">
        <v>1</v>
      </c>
    </row>
    <row r="116" spans="1:9" ht="21" customHeight="1" x14ac:dyDescent="0.15">
      <c r="A116" s="96" t="str">
        <f t="shared" si="1"/>
        <v>142_103</v>
      </c>
      <c r="B116" s="56">
        <v>142</v>
      </c>
      <c r="C116" s="31" t="str">
        <f ca="1">VLOOKUP($B116,OFFSET(units!$A$1,0,0,COUNTA(units!$A:$A),MATCH(C$1,units!$1:$1,0)-COLUMN(INDIRECT("character_id"))+1),MATCH(C$1,units!$1:$1,0)-COLUMN(INDIRECT("character_id"))+1,FALSE)</f>
        <v>赤ずきん</v>
      </c>
      <c r="D116" s="31">
        <f ca="1">VLOOKUP($B116,OFFSET(units!$A$1,0,0,COUNTA(units!$A:$A),MATCH(D$1,units!$1:$1,0)-COLUMN(INDIRECT("character_id"))+1),MATCH(D$1,units!$1:$1,0)-COLUMN(INDIRECT("character_id"))+1,FALSE)</f>
        <v>3</v>
      </c>
      <c r="E116" s="31" t="str">
        <f ca="1">VLOOKUP($B116,OFFSET(units!$A$1,0,0,COUNTA(units!$A:$A),MATCH(E$1,units!$1:$1,0)-COLUMN(INDIRECT("character_id"))+1),MATCH(E$1,units!$1:$1,0)-COLUMN(INDIRECT("character_id"))+1,FALSE)</f>
        <v>PremiumW</v>
      </c>
      <c r="F116" s="56">
        <v>103</v>
      </c>
      <c r="G116" s="31" t="str">
        <f ca="1">VLOOKUP($F116,OFFSET(units!$A$1,0,0,COUNTA(units!$A:$A),MATCH(G$1,units!$1:$1,0)-COLUMN(INDIRECT("character_id"))+1),MATCH(G$1,units!$1:$1,0)-COLUMN(INDIRECT("character_id"))+1,FALSE)</f>
        <v>レッドキャタップ</v>
      </c>
      <c r="H116" s="26">
        <v>1</v>
      </c>
      <c r="I116" s="202">
        <v>1</v>
      </c>
    </row>
    <row r="117" spans="1:9" ht="21" customHeight="1" x14ac:dyDescent="0.15">
      <c r="A117" s="96" t="str">
        <f t="shared" si="1"/>
        <v>142_102</v>
      </c>
      <c r="B117" s="56">
        <v>142</v>
      </c>
      <c r="C117" s="31" t="str">
        <f ca="1">VLOOKUP($B117,OFFSET(units!$A$1,0,0,COUNTA(units!$A:$A),MATCH(C$1,units!$1:$1,0)-COLUMN(INDIRECT("character_id"))+1),MATCH(C$1,units!$1:$1,0)-COLUMN(INDIRECT("character_id"))+1,FALSE)</f>
        <v>赤ずきん</v>
      </c>
      <c r="D117" s="31">
        <f ca="1">VLOOKUP($B117,OFFSET(units!$A$1,0,0,COUNTA(units!$A:$A),MATCH(D$1,units!$1:$1,0)-COLUMN(INDIRECT("character_id"))+1),MATCH(D$1,units!$1:$1,0)-COLUMN(INDIRECT("character_id"))+1,FALSE)</f>
        <v>3</v>
      </c>
      <c r="E117" s="31" t="str">
        <f ca="1">VLOOKUP($B117,OFFSET(units!$A$1,0,0,COUNTA(units!$A:$A),MATCH(E$1,units!$1:$1,0)-COLUMN(INDIRECT("character_id"))+1),MATCH(E$1,units!$1:$1,0)-COLUMN(INDIRECT("character_id"))+1,FALSE)</f>
        <v>PremiumW</v>
      </c>
      <c r="F117" s="56">
        <v>102</v>
      </c>
      <c r="G117" s="31" t="str">
        <f ca="1">VLOOKUP($F117,OFFSET(units!$A$1,0,0,COUNTA(units!$A:$A),MATCH(G$1,units!$1:$1,0)-COLUMN(INDIRECT("character_id"))+1),MATCH(G$1,units!$1:$1,0)-COLUMN(INDIRECT("character_id"))+1,FALSE)</f>
        <v>レッドラビット</v>
      </c>
      <c r="H117" s="26">
        <v>3</v>
      </c>
      <c r="I117" s="202">
        <v>1</v>
      </c>
    </row>
    <row r="118" spans="1:9" ht="21" customHeight="1" x14ac:dyDescent="0.15">
      <c r="A118" s="96" t="str">
        <f t="shared" si="1"/>
        <v>144_107</v>
      </c>
      <c r="B118" s="56">
        <v>144</v>
      </c>
      <c r="C118" s="31" t="str">
        <f ca="1">VLOOKUP($B118,OFFSET(units!$A$1,0,0,COUNTA(units!$A:$A),MATCH(C$1,units!$1:$1,0)-COLUMN(INDIRECT("character_id"))+1),MATCH(C$1,units!$1:$1,0)-COLUMN(INDIRECT("character_id"))+1,FALSE)</f>
        <v>かぐや</v>
      </c>
      <c r="D118" s="31">
        <f ca="1">VLOOKUP($B118,OFFSET(units!$A$1,0,0,COUNTA(units!$A:$A),MATCH(D$1,units!$1:$1,0)-COLUMN(INDIRECT("character_id"))+1),MATCH(D$1,units!$1:$1,0)-COLUMN(INDIRECT("character_id"))+1,FALSE)</f>
        <v>3</v>
      </c>
      <c r="E118" s="31" t="str">
        <f ca="1">VLOOKUP($B118,OFFSET(units!$A$1,0,0,COUNTA(units!$A:$A),MATCH(E$1,units!$1:$1,0)-COLUMN(INDIRECT("character_id"))+1),MATCH(E$1,units!$1:$1,0)-COLUMN(INDIRECT("character_id"))+1,FALSE)</f>
        <v>PremiumW</v>
      </c>
      <c r="F118" s="56">
        <v>107</v>
      </c>
      <c r="G118" s="31" t="str">
        <f ca="1">VLOOKUP($F118,OFFSET(units!$A$1,0,0,COUNTA(units!$A:$A),MATCH(G$1,units!$1:$1,0)-COLUMN(INDIRECT("character_id"))+1),MATCH(G$1,units!$1:$1,0)-COLUMN(INDIRECT("character_id"))+1,FALSE)</f>
        <v>グリーンキャタップ</v>
      </c>
      <c r="H118" s="26">
        <v>1</v>
      </c>
      <c r="I118" s="202">
        <v>1</v>
      </c>
    </row>
    <row r="119" spans="1:9" ht="21" customHeight="1" x14ac:dyDescent="0.15">
      <c r="A119" s="96" t="str">
        <f t="shared" si="1"/>
        <v>144_106</v>
      </c>
      <c r="B119" s="56">
        <v>144</v>
      </c>
      <c r="C119" s="31" t="str">
        <f ca="1">VLOOKUP($B119,OFFSET(units!$A$1,0,0,COUNTA(units!$A:$A),MATCH(C$1,units!$1:$1,0)-COLUMN(INDIRECT("character_id"))+1),MATCH(C$1,units!$1:$1,0)-COLUMN(INDIRECT("character_id"))+1,FALSE)</f>
        <v>かぐや</v>
      </c>
      <c r="D119" s="31">
        <f ca="1">VLOOKUP($B119,OFFSET(units!$A$1,0,0,COUNTA(units!$A:$A),MATCH(D$1,units!$1:$1,0)-COLUMN(INDIRECT("character_id"))+1),MATCH(D$1,units!$1:$1,0)-COLUMN(INDIRECT("character_id"))+1,FALSE)</f>
        <v>3</v>
      </c>
      <c r="E119" s="31" t="str">
        <f ca="1">VLOOKUP($B119,OFFSET(units!$A$1,0,0,COUNTA(units!$A:$A),MATCH(E$1,units!$1:$1,0)-COLUMN(INDIRECT("character_id"))+1),MATCH(E$1,units!$1:$1,0)-COLUMN(INDIRECT("character_id"))+1,FALSE)</f>
        <v>PremiumW</v>
      </c>
      <c r="F119" s="56">
        <v>106</v>
      </c>
      <c r="G119" s="31" t="str">
        <f ca="1">VLOOKUP($F119,OFFSET(units!$A$1,0,0,COUNTA(units!$A:$A),MATCH(G$1,units!$1:$1,0)-COLUMN(INDIRECT("character_id"))+1),MATCH(G$1,units!$1:$1,0)-COLUMN(INDIRECT("character_id"))+1,FALSE)</f>
        <v>グリーンラビット</v>
      </c>
      <c r="H119" s="26">
        <v>3</v>
      </c>
      <c r="I119" s="202">
        <v>1</v>
      </c>
    </row>
    <row r="120" spans="1:9" ht="21" customHeight="1" x14ac:dyDescent="0.15">
      <c r="A120" s="96" t="str">
        <f t="shared" si="1"/>
        <v>146_111</v>
      </c>
      <c r="B120" s="56">
        <v>146</v>
      </c>
      <c r="C120" s="31" t="str">
        <f ca="1">VLOOKUP($B120,OFFSET(units!$A$1,0,0,COUNTA(units!$A:$A),MATCH(C$1,units!$1:$1,0)-COLUMN(INDIRECT("character_id"))+1),MATCH(C$1,units!$1:$1,0)-COLUMN(INDIRECT("character_id"))+1,FALSE)</f>
        <v>マーメイド</v>
      </c>
      <c r="D120" s="31">
        <f ca="1">VLOOKUP($B120,OFFSET(units!$A$1,0,0,COUNTA(units!$A:$A),MATCH(D$1,units!$1:$1,0)-COLUMN(INDIRECT("character_id"))+1),MATCH(D$1,units!$1:$1,0)-COLUMN(INDIRECT("character_id"))+1,FALSE)</f>
        <v>3</v>
      </c>
      <c r="E120" s="31" t="str">
        <f ca="1">VLOOKUP($B120,OFFSET(units!$A$1,0,0,COUNTA(units!$A:$A),MATCH(E$1,units!$1:$1,0)-COLUMN(INDIRECT("character_id"))+1),MATCH(E$1,units!$1:$1,0)-COLUMN(INDIRECT("character_id"))+1,FALSE)</f>
        <v>PremiumW</v>
      </c>
      <c r="F120" s="56">
        <v>111</v>
      </c>
      <c r="G120" s="31" t="str">
        <f ca="1">VLOOKUP($F120,OFFSET(units!$A$1,0,0,COUNTA(units!$A:$A),MATCH(G$1,units!$1:$1,0)-COLUMN(INDIRECT("character_id"))+1),MATCH(G$1,units!$1:$1,0)-COLUMN(INDIRECT("character_id"))+1,FALSE)</f>
        <v>ブルーキャタップ</v>
      </c>
      <c r="H120" s="26">
        <v>1</v>
      </c>
      <c r="I120" s="202">
        <v>1</v>
      </c>
    </row>
    <row r="121" spans="1:9" ht="21" customHeight="1" x14ac:dyDescent="0.15">
      <c r="A121" s="96" t="str">
        <f t="shared" si="1"/>
        <v>146_110</v>
      </c>
      <c r="B121" s="56">
        <v>146</v>
      </c>
      <c r="C121" s="31" t="str">
        <f ca="1">VLOOKUP($B121,OFFSET(units!$A$1,0,0,COUNTA(units!$A:$A),MATCH(C$1,units!$1:$1,0)-COLUMN(INDIRECT("character_id"))+1),MATCH(C$1,units!$1:$1,0)-COLUMN(INDIRECT("character_id"))+1,FALSE)</f>
        <v>マーメイド</v>
      </c>
      <c r="D121" s="31">
        <f ca="1">VLOOKUP($B121,OFFSET(units!$A$1,0,0,COUNTA(units!$A:$A),MATCH(D$1,units!$1:$1,0)-COLUMN(INDIRECT("character_id"))+1),MATCH(D$1,units!$1:$1,0)-COLUMN(INDIRECT("character_id"))+1,FALSE)</f>
        <v>3</v>
      </c>
      <c r="E121" s="31" t="str">
        <f ca="1">VLOOKUP($B121,OFFSET(units!$A$1,0,0,COUNTA(units!$A:$A),MATCH(E$1,units!$1:$1,0)-COLUMN(INDIRECT("character_id"))+1),MATCH(E$1,units!$1:$1,0)-COLUMN(INDIRECT("character_id"))+1,FALSE)</f>
        <v>PremiumW</v>
      </c>
      <c r="F121" s="56">
        <v>110</v>
      </c>
      <c r="G121" s="31" t="str">
        <f ca="1">VLOOKUP($F121,OFFSET(units!$A$1,0,0,COUNTA(units!$A:$A),MATCH(G$1,units!$1:$1,0)-COLUMN(INDIRECT("character_id"))+1),MATCH(G$1,units!$1:$1,0)-COLUMN(INDIRECT("character_id"))+1,FALSE)</f>
        <v>ブルーラビット</v>
      </c>
      <c r="H121" s="26">
        <v>3</v>
      </c>
      <c r="I121" s="202">
        <v>1</v>
      </c>
    </row>
    <row r="122" spans="1:9" ht="21" customHeight="1" x14ac:dyDescent="0.15">
      <c r="A122" s="96" t="str">
        <f t="shared" si="1"/>
        <v>148_115</v>
      </c>
      <c r="B122" s="56">
        <v>148</v>
      </c>
      <c r="C122" s="31" t="str">
        <f ca="1">VLOOKUP($B122,OFFSET(units!$A$1,0,0,COUNTA(units!$A:$A),MATCH(C$1,units!$1:$1,0)-COLUMN(INDIRECT("character_id"))+1),MATCH(C$1,units!$1:$1,0)-COLUMN(INDIRECT("character_id"))+1,FALSE)</f>
        <v>シンデレラ</v>
      </c>
      <c r="D122" s="31">
        <f ca="1">VLOOKUP($B122,OFFSET(units!$A$1,0,0,COUNTA(units!$A:$A),MATCH(D$1,units!$1:$1,0)-COLUMN(INDIRECT("character_id"))+1),MATCH(D$1,units!$1:$1,0)-COLUMN(INDIRECT("character_id"))+1,FALSE)</f>
        <v>3</v>
      </c>
      <c r="E122" s="31" t="str">
        <f ca="1">VLOOKUP($B122,OFFSET(units!$A$1,0,0,COUNTA(units!$A:$A),MATCH(E$1,units!$1:$1,0)-COLUMN(INDIRECT("character_id"))+1),MATCH(E$1,units!$1:$1,0)-COLUMN(INDIRECT("character_id"))+1,FALSE)</f>
        <v>PremiumW</v>
      </c>
      <c r="F122" s="56">
        <v>115</v>
      </c>
      <c r="G122" s="31" t="str">
        <f ca="1">VLOOKUP($F122,OFFSET(units!$A$1,0,0,COUNTA(units!$A:$A),MATCH(G$1,units!$1:$1,0)-COLUMN(INDIRECT("character_id"))+1),MATCH(G$1,units!$1:$1,0)-COLUMN(INDIRECT("character_id"))+1,FALSE)</f>
        <v>イエローキャタップ</v>
      </c>
      <c r="H122" s="26">
        <v>1</v>
      </c>
      <c r="I122" s="202">
        <v>1</v>
      </c>
    </row>
    <row r="123" spans="1:9" ht="21" customHeight="1" x14ac:dyDescent="0.15">
      <c r="A123" s="96" t="str">
        <f t="shared" si="1"/>
        <v>148_114</v>
      </c>
      <c r="B123" s="56">
        <v>148</v>
      </c>
      <c r="C123" s="31" t="str">
        <f ca="1">VLOOKUP($B123,OFFSET(units!$A$1,0,0,COUNTA(units!$A:$A),MATCH(C$1,units!$1:$1,0)-COLUMN(INDIRECT("character_id"))+1),MATCH(C$1,units!$1:$1,0)-COLUMN(INDIRECT("character_id"))+1,FALSE)</f>
        <v>シンデレラ</v>
      </c>
      <c r="D123" s="31">
        <f ca="1">VLOOKUP($B123,OFFSET(units!$A$1,0,0,COUNTA(units!$A:$A),MATCH(D$1,units!$1:$1,0)-COLUMN(INDIRECT("character_id"))+1),MATCH(D$1,units!$1:$1,0)-COLUMN(INDIRECT("character_id"))+1,FALSE)</f>
        <v>3</v>
      </c>
      <c r="E123" s="31" t="str">
        <f ca="1">VLOOKUP($B123,OFFSET(units!$A$1,0,0,COUNTA(units!$A:$A),MATCH(E$1,units!$1:$1,0)-COLUMN(INDIRECT("character_id"))+1),MATCH(E$1,units!$1:$1,0)-COLUMN(INDIRECT("character_id"))+1,FALSE)</f>
        <v>PremiumW</v>
      </c>
      <c r="F123" s="56">
        <v>114</v>
      </c>
      <c r="G123" s="31" t="str">
        <f ca="1">VLOOKUP($F123,OFFSET(units!$A$1,0,0,COUNTA(units!$A:$A),MATCH(G$1,units!$1:$1,0)-COLUMN(INDIRECT("character_id"))+1),MATCH(G$1,units!$1:$1,0)-COLUMN(INDIRECT("character_id"))+1,FALSE)</f>
        <v>イエローラビット</v>
      </c>
      <c r="H123" s="26">
        <v>3</v>
      </c>
      <c r="I123" s="202">
        <v>1</v>
      </c>
    </row>
    <row r="124" spans="1:9" ht="21" customHeight="1" x14ac:dyDescent="0.15">
      <c r="A124" s="96" t="str">
        <f t="shared" si="1"/>
        <v>150_103</v>
      </c>
      <c r="B124" s="56">
        <v>150</v>
      </c>
      <c r="C124" s="31" t="str">
        <f ca="1">VLOOKUP($B124,OFFSET(units!$A$1,0,0,COUNTA(units!$A:$A),MATCH(C$1,units!$1:$1,0)-COLUMN(INDIRECT("character_id"))+1),MATCH(C$1,units!$1:$1,0)-COLUMN(INDIRECT("character_id"))+1,FALSE)</f>
        <v>ポイズンマスターサキ</v>
      </c>
      <c r="D124" s="31">
        <f ca="1">VLOOKUP($B124,OFFSET(units!$A$1,0,0,COUNTA(units!$A:$A),MATCH(D$1,units!$1:$1,0)-COLUMN(INDIRECT("character_id"))+1),MATCH(D$1,units!$1:$1,0)-COLUMN(INDIRECT("character_id"))+1,FALSE)</f>
        <v>3</v>
      </c>
      <c r="E124" s="31" t="str">
        <f ca="1">VLOOKUP($B124,OFFSET(units!$A$1,0,0,COUNTA(units!$A:$A),MATCH(E$1,units!$1:$1,0)-COLUMN(INDIRECT("character_id"))+1),MATCH(E$1,units!$1:$1,0)-COLUMN(INDIRECT("character_id"))+1,FALSE)</f>
        <v>PremiumW</v>
      </c>
      <c r="F124" s="56">
        <v>103</v>
      </c>
      <c r="G124" s="31" t="str">
        <f ca="1">VLOOKUP($F124,OFFSET(units!$A$1,0,0,COUNTA(units!$A:$A),MATCH(G$1,units!$1:$1,0)-COLUMN(INDIRECT("character_id"))+1),MATCH(G$1,units!$1:$1,0)-COLUMN(INDIRECT("character_id"))+1,FALSE)</f>
        <v>レッドキャタップ</v>
      </c>
      <c r="H124" s="26">
        <v>1</v>
      </c>
      <c r="I124" s="202">
        <v>1</v>
      </c>
    </row>
    <row r="125" spans="1:9" ht="21" customHeight="1" x14ac:dyDescent="0.15">
      <c r="A125" s="96" t="str">
        <f t="shared" si="1"/>
        <v>150_102</v>
      </c>
      <c r="B125" s="56">
        <v>150</v>
      </c>
      <c r="C125" s="31" t="str">
        <f ca="1">VLOOKUP($B125,OFFSET(units!$A$1,0,0,COUNTA(units!$A:$A),MATCH(C$1,units!$1:$1,0)-COLUMN(INDIRECT("character_id"))+1),MATCH(C$1,units!$1:$1,0)-COLUMN(INDIRECT("character_id"))+1,FALSE)</f>
        <v>ポイズンマスターサキ</v>
      </c>
      <c r="D125" s="31">
        <f ca="1">VLOOKUP($B125,OFFSET(units!$A$1,0,0,COUNTA(units!$A:$A),MATCH(D$1,units!$1:$1,0)-COLUMN(INDIRECT("character_id"))+1),MATCH(D$1,units!$1:$1,0)-COLUMN(INDIRECT("character_id"))+1,FALSE)</f>
        <v>3</v>
      </c>
      <c r="E125" s="31" t="str">
        <f ca="1">VLOOKUP($B125,OFFSET(units!$A$1,0,0,COUNTA(units!$A:$A),MATCH(E$1,units!$1:$1,0)-COLUMN(INDIRECT("character_id"))+1),MATCH(E$1,units!$1:$1,0)-COLUMN(INDIRECT("character_id"))+1,FALSE)</f>
        <v>PremiumW</v>
      </c>
      <c r="F125" s="56">
        <v>102</v>
      </c>
      <c r="G125" s="31" t="str">
        <f ca="1">VLOOKUP($F125,OFFSET(units!$A$1,0,0,COUNTA(units!$A:$A),MATCH(G$1,units!$1:$1,0)-COLUMN(INDIRECT("character_id"))+1),MATCH(G$1,units!$1:$1,0)-COLUMN(INDIRECT("character_id"))+1,FALSE)</f>
        <v>レッドラビット</v>
      </c>
      <c r="H125" s="26">
        <v>1</v>
      </c>
      <c r="I125" s="202">
        <v>1</v>
      </c>
    </row>
    <row r="126" spans="1:9" ht="21" customHeight="1" x14ac:dyDescent="0.15">
      <c r="A126" s="96" t="str">
        <f t="shared" si="1"/>
        <v>150_101</v>
      </c>
      <c r="B126" s="56">
        <v>150</v>
      </c>
      <c r="C126" s="31" t="str">
        <f ca="1">VLOOKUP($B126,OFFSET(units!$A$1,0,0,COUNTA(units!$A:$A),MATCH(C$1,units!$1:$1,0)-COLUMN(INDIRECT("character_id"))+1),MATCH(C$1,units!$1:$1,0)-COLUMN(INDIRECT("character_id"))+1,FALSE)</f>
        <v>ポイズンマスターサキ</v>
      </c>
      <c r="D126" s="31">
        <f ca="1">VLOOKUP($B126,OFFSET(units!$A$1,0,0,COUNTA(units!$A:$A),MATCH(D$1,units!$1:$1,0)-COLUMN(INDIRECT("character_id"))+1),MATCH(D$1,units!$1:$1,0)-COLUMN(INDIRECT("character_id"))+1,FALSE)</f>
        <v>3</v>
      </c>
      <c r="E126" s="31" t="str">
        <f ca="1">VLOOKUP($B126,OFFSET(units!$A$1,0,0,COUNTA(units!$A:$A),MATCH(E$1,units!$1:$1,0)-COLUMN(INDIRECT("character_id"))+1),MATCH(E$1,units!$1:$1,0)-COLUMN(INDIRECT("character_id"))+1,FALSE)</f>
        <v>PremiumW</v>
      </c>
      <c r="F126" s="56">
        <v>101</v>
      </c>
      <c r="G126" s="31" t="str">
        <f ca="1">VLOOKUP($F126,OFFSET(units!$A$1,0,0,COUNTA(units!$A:$A),MATCH(G$1,units!$1:$1,0)-COLUMN(INDIRECT("character_id"))+1),MATCH(G$1,units!$1:$1,0)-COLUMN(INDIRECT("character_id"))+1,FALSE)</f>
        <v>レッドチェシャ</v>
      </c>
      <c r="H126" s="26">
        <v>3</v>
      </c>
      <c r="I126" s="202">
        <v>1</v>
      </c>
    </row>
    <row r="127" spans="1:9" ht="21" customHeight="1" x14ac:dyDescent="0.15">
      <c r="A127" s="96" t="str">
        <f t="shared" si="1"/>
        <v>152_107</v>
      </c>
      <c r="B127" s="56">
        <v>152</v>
      </c>
      <c r="C127" s="31" t="str">
        <f ca="1">VLOOKUP($B127,OFFSET(units!$A$1,0,0,COUNTA(units!$A:$A),MATCH(C$1,units!$1:$1,0)-COLUMN(INDIRECT("character_id"))+1),MATCH(C$1,units!$1:$1,0)-COLUMN(INDIRECT("character_id"))+1,FALSE)</f>
        <v>功夫少女ランラン</v>
      </c>
      <c r="D127" s="31">
        <f ca="1">VLOOKUP($B127,OFFSET(units!$A$1,0,0,COUNTA(units!$A:$A),MATCH(D$1,units!$1:$1,0)-COLUMN(INDIRECT("character_id"))+1),MATCH(D$1,units!$1:$1,0)-COLUMN(INDIRECT("character_id"))+1,FALSE)</f>
        <v>3</v>
      </c>
      <c r="E127" s="31" t="str">
        <f ca="1">VLOOKUP($B127,OFFSET(units!$A$1,0,0,COUNTA(units!$A:$A),MATCH(E$1,units!$1:$1,0)-COLUMN(INDIRECT("character_id"))+1),MATCH(E$1,units!$1:$1,0)-COLUMN(INDIRECT("character_id"))+1,FALSE)</f>
        <v>PremiumW</v>
      </c>
      <c r="F127" s="56">
        <v>107</v>
      </c>
      <c r="G127" s="31" t="str">
        <f ca="1">VLOOKUP($F127,OFFSET(units!$A$1,0,0,COUNTA(units!$A:$A),MATCH(G$1,units!$1:$1,0)-COLUMN(INDIRECT("character_id"))+1),MATCH(G$1,units!$1:$1,0)-COLUMN(INDIRECT("character_id"))+1,FALSE)</f>
        <v>グリーンキャタップ</v>
      </c>
      <c r="H127" s="26">
        <v>1</v>
      </c>
      <c r="I127" s="202">
        <v>1</v>
      </c>
    </row>
    <row r="128" spans="1:9" ht="21" customHeight="1" x14ac:dyDescent="0.15">
      <c r="A128" s="96" t="str">
        <f t="shared" si="1"/>
        <v>152_106</v>
      </c>
      <c r="B128" s="56">
        <v>152</v>
      </c>
      <c r="C128" s="31" t="str">
        <f ca="1">VLOOKUP($B128,OFFSET(units!$A$1,0,0,COUNTA(units!$A:$A),MATCH(C$1,units!$1:$1,0)-COLUMN(INDIRECT("character_id"))+1),MATCH(C$1,units!$1:$1,0)-COLUMN(INDIRECT("character_id"))+1,FALSE)</f>
        <v>功夫少女ランラン</v>
      </c>
      <c r="D128" s="31">
        <f ca="1">VLOOKUP($B128,OFFSET(units!$A$1,0,0,COUNTA(units!$A:$A),MATCH(D$1,units!$1:$1,0)-COLUMN(INDIRECT("character_id"))+1),MATCH(D$1,units!$1:$1,0)-COLUMN(INDIRECT("character_id"))+1,FALSE)</f>
        <v>3</v>
      </c>
      <c r="E128" s="31" t="str">
        <f ca="1">VLOOKUP($B128,OFFSET(units!$A$1,0,0,COUNTA(units!$A:$A),MATCH(E$1,units!$1:$1,0)-COLUMN(INDIRECT("character_id"))+1),MATCH(E$1,units!$1:$1,0)-COLUMN(INDIRECT("character_id"))+1,FALSE)</f>
        <v>PremiumW</v>
      </c>
      <c r="F128" s="56">
        <v>106</v>
      </c>
      <c r="G128" s="31" t="str">
        <f ca="1">VLOOKUP($F128,OFFSET(units!$A$1,0,0,COUNTA(units!$A:$A),MATCH(G$1,units!$1:$1,0)-COLUMN(INDIRECT("character_id"))+1),MATCH(G$1,units!$1:$1,0)-COLUMN(INDIRECT("character_id"))+1,FALSE)</f>
        <v>グリーンラビット</v>
      </c>
      <c r="H128" s="26">
        <v>1</v>
      </c>
      <c r="I128" s="202">
        <v>1</v>
      </c>
    </row>
    <row r="129" spans="1:9" ht="21" customHeight="1" x14ac:dyDescent="0.15">
      <c r="A129" s="96" t="str">
        <f t="shared" si="1"/>
        <v>152_105</v>
      </c>
      <c r="B129" s="56">
        <v>152</v>
      </c>
      <c r="C129" s="31" t="str">
        <f ca="1">VLOOKUP($B129,OFFSET(units!$A$1,0,0,COUNTA(units!$A:$A),MATCH(C$1,units!$1:$1,0)-COLUMN(INDIRECT("character_id"))+1),MATCH(C$1,units!$1:$1,0)-COLUMN(INDIRECT("character_id"))+1,FALSE)</f>
        <v>功夫少女ランラン</v>
      </c>
      <c r="D129" s="31">
        <f ca="1">VLOOKUP($B129,OFFSET(units!$A$1,0,0,COUNTA(units!$A:$A),MATCH(D$1,units!$1:$1,0)-COLUMN(INDIRECT("character_id"))+1),MATCH(D$1,units!$1:$1,0)-COLUMN(INDIRECT("character_id"))+1,FALSE)</f>
        <v>3</v>
      </c>
      <c r="E129" s="31" t="str">
        <f ca="1">VLOOKUP($B129,OFFSET(units!$A$1,0,0,COUNTA(units!$A:$A),MATCH(E$1,units!$1:$1,0)-COLUMN(INDIRECT("character_id"))+1),MATCH(E$1,units!$1:$1,0)-COLUMN(INDIRECT("character_id"))+1,FALSE)</f>
        <v>PremiumW</v>
      </c>
      <c r="F129" s="56">
        <v>105</v>
      </c>
      <c r="G129" s="31" t="str">
        <f ca="1">VLOOKUP($F129,OFFSET(units!$A$1,0,0,COUNTA(units!$A:$A),MATCH(G$1,units!$1:$1,0)-COLUMN(INDIRECT("character_id"))+1),MATCH(G$1,units!$1:$1,0)-COLUMN(INDIRECT("character_id"))+1,FALSE)</f>
        <v>グリーンチェシャ</v>
      </c>
      <c r="H129" s="26">
        <v>3</v>
      </c>
      <c r="I129" s="202">
        <v>1</v>
      </c>
    </row>
    <row r="130" spans="1:9" ht="21" customHeight="1" x14ac:dyDescent="0.15">
      <c r="A130" s="96" t="str">
        <f t="shared" ref="A130:A193" si="2">B130&amp;"_"&amp;F130</f>
        <v>154_111</v>
      </c>
      <c r="B130" s="56">
        <v>154</v>
      </c>
      <c r="C130" s="31" t="str">
        <f ca="1">VLOOKUP($B130,OFFSET(units!$A$1,0,0,COUNTA(units!$A:$A),MATCH(C$1,units!$1:$1,0)-COLUMN(INDIRECT("character_id"))+1),MATCH(C$1,units!$1:$1,0)-COLUMN(INDIRECT("character_id"))+1,FALSE)</f>
        <v>始末屋 ハンナ</v>
      </c>
      <c r="D130" s="31">
        <f ca="1">VLOOKUP($B130,OFFSET(units!$A$1,0,0,COUNTA(units!$A:$A),MATCH(D$1,units!$1:$1,0)-COLUMN(INDIRECT("character_id"))+1),MATCH(D$1,units!$1:$1,0)-COLUMN(INDIRECT("character_id"))+1,FALSE)</f>
        <v>3</v>
      </c>
      <c r="E130" s="31" t="str">
        <f ca="1">VLOOKUP($B130,OFFSET(units!$A$1,0,0,COUNTA(units!$A:$A),MATCH(E$1,units!$1:$1,0)-COLUMN(INDIRECT("character_id"))+1),MATCH(E$1,units!$1:$1,0)-COLUMN(INDIRECT("character_id"))+1,FALSE)</f>
        <v>PremiumW</v>
      </c>
      <c r="F130" s="56">
        <v>111</v>
      </c>
      <c r="G130" s="31" t="str">
        <f ca="1">VLOOKUP($F130,OFFSET(units!$A$1,0,0,COUNTA(units!$A:$A),MATCH(G$1,units!$1:$1,0)-COLUMN(INDIRECT("character_id"))+1),MATCH(G$1,units!$1:$1,0)-COLUMN(INDIRECT("character_id"))+1,FALSE)</f>
        <v>ブルーキャタップ</v>
      </c>
      <c r="H130" s="26">
        <v>1</v>
      </c>
      <c r="I130" s="202">
        <v>1</v>
      </c>
    </row>
    <row r="131" spans="1:9" ht="21" customHeight="1" x14ac:dyDescent="0.15">
      <c r="A131" s="96" t="str">
        <f t="shared" si="2"/>
        <v>154_110</v>
      </c>
      <c r="B131" s="56">
        <v>154</v>
      </c>
      <c r="C131" s="31" t="str">
        <f ca="1">VLOOKUP($B131,OFFSET(units!$A$1,0,0,COUNTA(units!$A:$A),MATCH(C$1,units!$1:$1,0)-COLUMN(INDIRECT("character_id"))+1),MATCH(C$1,units!$1:$1,0)-COLUMN(INDIRECT("character_id"))+1,FALSE)</f>
        <v>始末屋 ハンナ</v>
      </c>
      <c r="D131" s="31">
        <f ca="1">VLOOKUP($B131,OFFSET(units!$A$1,0,0,COUNTA(units!$A:$A),MATCH(D$1,units!$1:$1,0)-COLUMN(INDIRECT("character_id"))+1),MATCH(D$1,units!$1:$1,0)-COLUMN(INDIRECT("character_id"))+1,FALSE)</f>
        <v>3</v>
      </c>
      <c r="E131" s="31" t="str">
        <f ca="1">VLOOKUP($B131,OFFSET(units!$A$1,0,0,COUNTA(units!$A:$A),MATCH(E$1,units!$1:$1,0)-COLUMN(INDIRECT("character_id"))+1),MATCH(E$1,units!$1:$1,0)-COLUMN(INDIRECT("character_id"))+1,FALSE)</f>
        <v>PremiumW</v>
      </c>
      <c r="F131" s="56">
        <v>110</v>
      </c>
      <c r="G131" s="31" t="str">
        <f ca="1">VLOOKUP($F131,OFFSET(units!$A$1,0,0,COUNTA(units!$A:$A),MATCH(G$1,units!$1:$1,0)-COLUMN(INDIRECT("character_id"))+1),MATCH(G$1,units!$1:$1,0)-COLUMN(INDIRECT("character_id"))+1,FALSE)</f>
        <v>ブルーラビット</v>
      </c>
      <c r="H131" s="26">
        <v>1</v>
      </c>
      <c r="I131" s="202">
        <v>1</v>
      </c>
    </row>
    <row r="132" spans="1:9" ht="21" customHeight="1" x14ac:dyDescent="0.15">
      <c r="A132" s="96" t="str">
        <f t="shared" si="2"/>
        <v>154_109</v>
      </c>
      <c r="B132" s="56">
        <v>154</v>
      </c>
      <c r="C132" s="31" t="str">
        <f ca="1">VLOOKUP($B132,OFFSET(units!$A$1,0,0,COUNTA(units!$A:$A),MATCH(C$1,units!$1:$1,0)-COLUMN(INDIRECT("character_id"))+1),MATCH(C$1,units!$1:$1,0)-COLUMN(INDIRECT("character_id"))+1,FALSE)</f>
        <v>始末屋 ハンナ</v>
      </c>
      <c r="D132" s="31">
        <f ca="1">VLOOKUP($B132,OFFSET(units!$A$1,0,0,COUNTA(units!$A:$A),MATCH(D$1,units!$1:$1,0)-COLUMN(INDIRECT("character_id"))+1),MATCH(D$1,units!$1:$1,0)-COLUMN(INDIRECT("character_id"))+1,FALSE)</f>
        <v>3</v>
      </c>
      <c r="E132" s="31" t="str">
        <f ca="1">VLOOKUP($B132,OFFSET(units!$A$1,0,0,COUNTA(units!$A:$A),MATCH(E$1,units!$1:$1,0)-COLUMN(INDIRECT("character_id"))+1),MATCH(E$1,units!$1:$1,0)-COLUMN(INDIRECT("character_id"))+1,FALSE)</f>
        <v>PremiumW</v>
      </c>
      <c r="F132" s="56">
        <v>109</v>
      </c>
      <c r="G132" s="31" t="str">
        <f ca="1">VLOOKUP($F132,OFFSET(units!$A$1,0,0,COUNTA(units!$A:$A),MATCH(G$1,units!$1:$1,0)-COLUMN(INDIRECT("character_id"))+1),MATCH(G$1,units!$1:$1,0)-COLUMN(INDIRECT("character_id"))+1,FALSE)</f>
        <v>ブルーチェシャ</v>
      </c>
      <c r="H132" s="26">
        <v>3</v>
      </c>
      <c r="I132" s="202">
        <v>1</v>
      </c>
    </row>
    <row r="133" spans="1:9" ht="21" customHeight="1" x14ac:dyDescent="0.15">
      <c r="A133" s="96" t="str">
        <f t="shared" si="2"/>
        <v>156_115</v>
      </c>
      <c r="B133" s="56">
        <v>156</v>
      </c>
      <c r="C133" s="31" t="str">
        <f ca="1">VLOOKUP($B133,OFFSET(units!$A$1,0,0,COUNTA(units!$A:$A),MATCH(C$1,units!$1:$1,0)-COLUMN(INDIRECT("character_id"))+1),MATCH(C$1,units!$1:$1,0)-COLUMN(INDIRECT("character_id"))+1,FALSE)</f>
        <v>踊り子 エレナ</v>
      </c>
      <c r="D133" s="31">
        <f ca="1">VLOOKUP($B133,OFFSET(units!$A$1,0,0,COUNTA(units!$A:$A),MATCH(D$1,units!$1:$1,0)-COLUMN(INDIRECT("character_id"))+1),MATCH(D$1,units!$1:$1,0)-COLUMN(INDIRECT("character_id"))+1,FALSE)</f>
        <v>3</v>
      </c>
      <c r="E133" s="31" t="str">
        <f ca="1">VLOOKUP($B133,OFFSET(units!$A$1,0,0,COUNTA(units!$A:$A),MATCH(E$1,units!$1:$1,0)-COLUMN(INDIRECT("character_id"))+1),MATCH(E$1,units!$1:$1,0)-COLUMN(INDIRECT("character_id"))+1,FALSE)</f>
        <v>PremiumW</v>
      </c>
      <c r="F133" s="56">
        <v>115</v>
      </c>
      <c r="G133" s="31" t="str">
        <f ca="1">VLOOKUP($F133,OFFSET(units!$A$1,0,0,COUNTA(units!$A:$A),MATCH(G$1,units!$1:$1,0)-COLUMN(INDIRECT("character_id"))+1),MATCH(G$1,units!$1:$1,0)-COLUMN(INDIRECT("character_id"))+1,FALSE)</f>
        <v>イエローキャタップ</v>
      </c>
      <c r="H133" s="26">
        <v>1</v>
      </c>
      <c r="I133" s="202">
        <v>1</v>
      </c>
    </row>
    <row r="134" spans="1:9" ht="21" customHeight="1" x14ac:dyDescent="0.15">
      <c r="A134" s="96" t="str">
        <f t="shared" si="2"/>
        <v>156_114</v>
      </c>
      <c r="B134" s="56">
        <v>156</v>
      </c>
      <c r="C134" s="31" t="str">
        <f ca="1">VLOOKUP($B134,OFFSET(units!$A$1,0,0,COUNTA(units!$A:$A),MATCH(C$1,units!$1:$1,0)-COLUMN(INDIRECT("character_id"))+1),MATCH(C$1,units!$1:$1,0)-COLUMN(INDIRECT("character_id"))+1,FALSE)</f>
        <v>踊り子 エレナ</v>
      </c>
      <c r="D134" s="31">
        <f ca="1">VLOOKUP($B134,OFFSET(units!$A$1,0,0,COUNTA(units!$A:$A),MATCH(D$1,units!$1:$1,0)-COLUMN(INDIRECT("character_id"))+1),MATCH(D$1,units!$1:$1,0)-COLUMN(INDIRECT("character_id"))+1,FALSE)</f>
        <v>3</v>
      </c>
      <c r="E134" s="31" t="str">
        <f ca="1">VLOOKUP($B134,OFFSET(units!$A$1,0,0,COUNTA(units!$A:$A),MATCH(E$1,units!$1:$1,0)-COLUMN(INDIRECT("character_id"))+1),MATCH(E$1,units!$1:$1,0)-COLUMN(INDIRECT("character_id"))+1,FALSE)</f>
        <v>PremiumW</v>
      </c>
      <c r="F134" s="56">
        <v>114</v>
      </c>
      <c r="G134" s="31" t="str">
        <f ca="1">VLOOKUP($F134,OFFSET(units!$A$1,0,0,COUNTA(units!$A:$A),MATCH(G$1,units!$1:$1,0)-COLUMN(INDIRECT("character_id"))+1),MATCH(G$1,units!$1:$1,0)-COLUMN(INDIRECT("character_id"))+1,FALSE)</f>
        <v>イエローラビット</v>
      </c>
      <c r="H134" s="26">
        <v>1</v>
      </c>
      <c r="I134" s="202">
        <v>1</v>
      </c>
    </row>
    <row r="135" spans="1:9" ht="21" customHeight="1" x14ac:dyDescent="0.15">
      <c r="A135" s="96" t="str">
        <f t="shared" si="2"/>
        <v>156_113</v>
      </c>
      <c r="B135" s="56">
        <v>156</v>
      </c>
      <c r="C135" s="31" t="str">
        <f ca="1">VLOOKUP($B135,OFFSET(units!$A$1,0,0,COUNTA(units!$A:$A),MATCH(C$1,units!$1:$1,0)-COLUMN(INDIRECT("character_id"))+1),MATCH(C$1,units!$1:$1,0)-COLUMN(INDIRECT("character_id"))+1,FALSE)</f>
        <v>踊り子 エレナ</v>
      </c>
      <c r="D135" s="31">
        <f ca="1">VLOOKUP($B135,OFFSET(units!$A$1,0,0,COUNTA(units!$A:$A),MATCH(D$1,units!$1:$1,0)-COLUMN(INDIRECT("character_id"))+1),MATCH(D$1,units!$1:$1,0)-COLUMN(INDIRECT("character_id"))+1,FALSE)</f>
        <v>3</v>
      </c>
      <c r="E135" s="31" t="str">
        <f ca="1">VLOOKUP($B135,OFFSET(units!$A$1,0,0,COUNTA(units!$A:$A),MATCH(E$1,units!$1:$1,0)-COLUMN(INDIRECT("character_id"))+1),MATCH(E$1,units!$1:$1,0)-COLUMN(INDIRECT("character_id"))+1,FALSE)</f>
        <v>PremiumW</v>
      </c>
      <c r="F135" s="56">
        <v>113</v>
      </c>
      <c r="G135" s="31" t="str">
        <f ca="1">VLOOKUP($F135,OFFSET(units!$A$1,0,0,COUNTA(units!$A:$A),MATCH(G$1,units!$1:$1,0)-COLUMN(INDIRECT("character_id"))+1),MATCH(G$1,units!$1:$1,0)-COLUMN(INDIRECT("character_id"))+1,FALSE)</f>
        <v>イエローチェシャ</v>
      </c>
      <c r="H135" s="26">
        <v>3</v>
      </c>
      <c r="I135" s="202">
        <v>1</v>
      </c>
    </row>
    <row r="136" spans="1:9" ht="21" customHeight="1" x14ac:dyDescent="0.15">
      <c r="A136" s="96" t="str">
        <f t="shared" si="2"/>
        <v>158_103</v>
      </c>
      <c r="B136" s="56">
        <v>158</v>
      </c>
      <c r="C136" s="31" t="str">
        <f ca="1">VLOOKUP($B136,OFFSET(units!$A$1,0,0,COUNTA(units!$A:$A),MATCH(C$1,units!$1:$1,0)-COLUMN(INDIRECT("character_id"))+1),MATCH(C$1,units!$1:$1,0)-COLUMN(INDIRECT("character_id"))+1,FALSE)</f>
        <v>シスター シャルロッテ</v>
      </c>
      <c r="D136" s="31">
        <f ca="1">VLOOKUP($B136,OFFSET(units!$A$1,0,0,COUNTA(units!$A:$A),MATCH(D$1,units!$1:$1,0)-COLUMN(INDIRECT("character_id"))+1),MATCH(D$1,units!$1:$1,0)-COLUMN(INDIRECT("character_id"))+1,FALSE)</f>
        <v>3</v>
      </c>
      <c r="E136" s="31" t="str">
        <f ca="1">VLOOKUP($B136,OFFSET(units!$A$1,0,0,COUNTA(units!$A:$A),MATCH(E$1,units!$1:$1,0)-COLUMN(INDIRECT("character_id"))+1),MATCH(E$1,units!$1:$1,0)-COLUMN(INDIRECT("character_id"))+1,FALSE)</f>
        <v>PremiumW</v>
      </c>
      <c r="F136" s="56">
        <v>103</v>
      </c>
      <c r="G136" s="31" t="str">
        <f ca="1">VLOOKUP($F136,OFFSET(units!$A$1,0,0,COUNTA(units!$A:$A),MATCH(G$1,units!$1:$1,0)-COLUMN(INDIRECT("character_id"))+1),MATCH(G$1,units!$1:$1,0)-COLUMN(INDIRECT("character_id"))+1,FALSE)</f>
        <v>レッドキャタップ</v>
      </c>
      <c r="H136" s="26">
        <v>1</v>
      </c>
      <c r="I136" s="202">
        <v>1</v>
      </c>
    </row>
    <row r="137" spans="1:9" ht="21" customHeight="1" x14ac:dyDescent="0.15">
      <c r="A137" s="96" t="str">
        <f t="shared" si="2"/>
        <v>158_102</v>
      </c>
      <c r="B137" s="56">
        <v>158</v>
      </c>
      <c r="C137" s="31" t="str">
        <f ca="1">VLOOKUP($B137,OFFSET(units!$A$1,0,0,COUNTA(units!$A:$A),MATCH(C$1,units!$1:$1,0)-COLUMN(INDIRECT("character_id"))+1),MATCH(C$1,units!$1:$1,0)-COLUMN(INDIRECT("character_id"))+1,FALSE)</f>
        <v>シスター シャルロッテ</v>
      </c>
      <c r="D137" s="31">
        <f ca="1">VLOOKUP($B137,OFFSET(units!$A$1,0,0,COUNTA(units!$A:$A),MATCH(D$1,units!$1:$1,0)-COLUMN(INDIRECT("character_id"))+1),MATCH(D$1,units!$1:$1,0)-COLUMN(INDIRECT("character_id"))+1,FALSE)</f>
        <v>3</v>
      </c>
      <c r="E137" s="31" t="str">
        <f ca="1">VLOOKUP($B137,OFFSET(units!$A$1,0,0,COUNTA(units!$A:$A),MATCH(E$1,units!$1:$1,0)-COLUMN(INDIRECT("character_id"))+1),MATCH(E$1,units!$1:$1,0)-COLUMN(INDIRECT("character_id"))+1,FALSE)</f>
        <v>PremiumW</v>
      </c>
      <c r="F137" s="56">
        <v>102</v>
      </c>
      <c r="G137" s="31" t="str">
        <f ca="1">VLOOKUP($F137,OFFSET(units!$A$1,0,0,COUNTA(units!$A:$A),MATCH(G$1,units!$1:$1,0)-COLUMN(INDIRECT("character_id"))+1),MATCH(G$1,units!$1:$1,0)-COLUMN(INDIRECT("character_id"))+1,FALSE)</f>
        <v>レッドラビット</v>
      </c>
      <c r="H137" s="26">
        <v>3</v>
      </c>
      <c r="I137" s="202">
        <v>1</v>
      </c>
    </row>
    <row r="138" spans="1:9" ht="21" customHeight="1" x14ac:dyDescent="0.15">
      <c r="A138" s="96" t="str">
        <f t="shared" si="2"/>
        <v>160_107</v>
      </c>
      <c r="B138" s="56">
        <v>160</v>
      </c>
      <c r="C138" s="31" t="str">
        <f ca="1">VLOOKUP($B138,OFFSET(units!$A$1,0,0,COUNTA(units!$A:$A),MATCH(C$1,units!$1:$1,0)-COLUMN(INDIRECT("character_id"))+1),MATCH(C$1,units!$1:$1,0)-COLUMN(INDIRECT("character_id"))+1,FALSE)</f>
        <v>反逆者 クリエ</v>
      </c>
      <c r="D138" s="31">
        <f ca="1">VLOOKUP($B138,OFFSET(units!$A$1,0,0,COUNTA(units!$A:$A),MATCH(D$1,units!$1:$1,0)-COLUMN(INDIRECT("character_id"))+1),MATCH(D$1,units!$1:$1,0)-COLUMN(INDIRECT("character_id"))+1,FALSE)</f>
        <v>3</v>
      </c>
      <c r="E138" s="31" t="str">
        <f ca="1">VLOOKUP($B138,OFFSET(units!$A$1,0,0,COUNTA(units!$A:$A),MATCH(E$1,units!$1:$1,0)-COLUMN(INDIRECT("character_id"))+1),MATCH(E$1,units!$1:$1,0)-COLUMN(INDIRECT("character_id"))+1,FALSE)</f>
        <v>PremiumW</v>
      </c>
      <c r="F138" s="56">
        <v>107</v>
      </c>
      <c r="G138" s="31" t="str">
        <f ca="1">VLOOKUP($F138,OFFSET(units!$A$1,0,0,COUNTA(units!$A:$A),MATCH(G$1,units!$1:$1,0)-COLUMN(INDIRECT("character_id"))+1),MATCH(G$1,units!$1:$1,0)-COLUMN(INDIRECT("character_id"))+1,FALSE)</f>
        <v>グリーンキャタップ</v>
      </c>
      <c r="H138" s="26">
        <v>1</v>
      </c>
      <c r="I138" s="202">
        <v>1</v>
      </c>
    </row>
    <row r="139" spans="1:9" ht="21" customHeight="1" x14ac:dyDescent="0.15">
      <c r="A139" s="96" t="str">
        <f t="shared" si="2"/>
        <v>160_106</v>
      </c>
      <c r="B139" s="56">
        <v>160</v>
      </c>
      <c r="C139" s="31" t="str">
        <f ca="1">VLOOKUP($B139,OFFSET(units!$A$1,0,0,COUNTA(units!$A:$A),MATCH(C$1,units!$1:$1,0)-COLUMN(INDIRECT("character_id"))+1),MATCH(C$1,units!$1:$1,0)-COLUMN(INDIRECT("character_id"))+1,FALSE)</f>
        <v>反逆者 クリエ</v>
      </c>
      <c r="D139" s="31">
        <f ca="1">VLOOKUP($B139,OFFSET(units!$A$1,0,0,COUNTA(units!$A:$A),MATCH(D$1,units!$1:$1,0)-COLUMN(INDIRECT("character_id"))+1),MATCH(D$1,units!$1:$1,0)-COLUMN(INDIRECT("character_id"))+1,FALSE)</f>
        <v>3</v>
      </c>
      <c r="E139" s="31" t="str">
        <f ca="1">VLOOKUP($B139,OFFSET(units!$A$1,0,0,COUNTA(units!$A:$A),MATCH(E$1,units!$1:$1,0)-COLUMN(INDIRECT("character_id"))+1),MATCH(E$1,units!$1:$1,0)-COLUMN(INDIRECT("character_id"))+1,FALSE)</f>
        <v>PremiumW</v>
      </c>
      <c r="F139" s="56">
        <v>106</v>
      </c>
      <c r="G139" s="31" t="str">
        <f ca="1">VLOOKUP($F139,OFFSET(units!$A$1,0,0,COUNTA(units!$A:$A),MATCH(G$1,units!$1:$1,0)-COLUMN(INDIRECT("character_id"))+1),MATCH(G$1,units!$1:$1,0)-COLUMN(INDIRECT("character_id"))+1,FALSE)</f>
        <v>グリーンラビット</v>
      </c>
      <c r="H139" s="26">
        <v>3</v>
      </c>
      <c r="I139" s="202">
        <v>1</v>
      </c>
    </row>
    <row r="140" spans="1:9" ht="21" customHeight="1" x14ac:dyDescent="0.15">
      <c r="A140" s="96" t="str">
        <f t="shared" si="2"/>
        <v>162_111</v>
      </c>
      <c r="B140" s="56">
        <v>162</v>
      </c>
      <c r="C140" s="31" t="str">
        <f ca="1">VLOOKUP($B140,OFFSET(units!$A$1,0,0,COUNTA(units!$A:$A),MATCH(C$1,units!$1:$1,0)-COLUMN(INDIRECT("character_id"))+1),MATCH(C$1,units!$1:$1,0)-COLUMN(INDIRECT("character_id"))+1,FALSE)</f>
        <v>狂女 クララ</v>
      </c>
      <c r="D140" s="31">
        <f ca="1">VLOOKUP($B140,OFFSET(units!$A$1,0,0,COUNTA(units!$A:$A),MATCH(D$1,units!$1:$1,0)-COLUMN(INDIRECT("character_id"))+1),MATCH(D$1,units!$1:$1,0)-COLUMN(INDIRECT("character_id"))+1,FALSE)</f>
        <v>3</v>
      </c>
      <c r="E140" s="31" t="str">
        <f ca="1">VLOOKUP($B140,OFFSET(units!$A$1,0,0,COUNTA(units!$A:$A),MATCH(E$1,units!$1:$1,0)-COLUMN(INDIRECT("character_id"))+1),MATCH(E$1,units!$1:$1,0)-COLUMN(INDIRECT("character_id"))+1,FALSE)</f>
        <v>PremiumW</v>
      </c>
      <c r="F140" s="56">
        <v>111</v>
      </c>
      <c r="G140" s="31" t="str">
        <f ca="1">VLOOKUP($F140,OFFSET(units!$A$1,0,0,COUNTA(units!$A:$A),MATCH(G$1,units!$1:$1,0)-COLUMN(INDIRECT("character_id"))+1),MATCH(G$1,units!$1:$1,0)-COLUMN(INDIRECT("character_id"))+1,FALSE)</f>
        <v>ブルーキャタップ</v>
      </c>
      <c r="H140" s="26">
        <v>1</v>
      </c>
      <c r="I140" s="202">
        <v>1</v>
      </c>
    </row>
    <row r="141" spans="1:9" ht="21" customHeight="1" x14ac:dyDescent="0.15">
      <c r="A141" s="96" t="str">
        <f t="shared" si="2"/>
        <v>162_110</v>
      </c>
      <c r="B141" s="56">
        <v>162</v>
      </c>
      <c r="C141" s="31" t="str">
        <f ca="1">VLOOKUP($B141,OFFSET(units!$A$1,0,0,COUNTA(units!$A:$A),MATCH(C$1,units!$1:$1,0)-COLUMN(INDIRECT("character_id"))+1),MATCH(C$1,units!$1:$1,0)-COLUMN(INDIRECT("character_id"))+1,FALSE)</f>
        <v>狂女 クララ</v>
      </c>
      <c r="D141" s="31">
        <f ca="1">VLOOKUP($B141,OFFSET(units!$A$1,0,0,COUNTA(units!$A:$A),MATCH(D$1,units!$1:$1,0)-COLUMN(INDIRECT("character_id"))+1),MATCH(D$1,units!$1:$1,0)-COLUMN(INDIRECT("character_id"))+1,FALSE)</f>
        <v>3</v>
      </c>
      <c r="E141" s="31" t="str">
        <f ca="1">VLOOKUP($B141,OFFSET(units!$A$1,0,0,COUNTA(units!$A:$A),MATCH(E$1,units!$1:$1,0)-COLUMN(INDIRECT("character_id"))+1),MATCH(E$1,units!$1:$1,0)-COLUMN(INDIRECT("character_id"))+1,FALSE)</f>
        <v>PremiumW</v>
      </c>
      <c r="F141" s="56">
        <v>110</v>
      </c>
      <c r="G141" s="31" t="str">
        <f ca="1">VLOOKUP($F141,OFFSET(units!$A$1,0,0,COUNTA(units!$A:$A),MATCH(G$1,units!$1:$1,0)-COLUMN(INDIRECT("character_id"))+1),MATCH(G$1,units!$1:$1,0)-COLUMN(INDIRECT("character_id"))+1,FALSE)</f>
        <v>ブルーラビット</v>
      </c>
      <c r="H141" s="26">
        <v>3</v>
      </c>
      <c r="I141" s="202">
        <v>1</v>
      </c>
    </row>
    <row r="142" spans="1:9" ht="21" customHeight="1" x14ac:dyDescent="0.15">
      <c r="A142" s="96" t="str">
        <f t="shared" si="2"/>
        <v>164_115</v>
      </c>
      <c r="B142" s="56">
        <v>164</v>
      </c>
      <c r="C142" s="31" t="str">
        <f ca="1">VLOOKUP($B142,OFFSET(units!$A$1,0,0,COUNTA(units!$A:$A),MATCH(C$1,units!$1:$1,0)-COLUMN(INDIRECT("character_id"))+1),MATCH(C$1,units!$1:$1,0)-COLUMN(INDIRECT("character_id"))+1,FALSE)</f>
        <v>イブとトモダチ</v>
      </c>
      <c r="D142" s="31">
        <f ca="1">VLOOKUP($B142,OFFSET(units!$A$1,0,0,COUNTA(units!$A:$A),MATCH(D$1,units!$1:$1,0)-COLUMN(INDIRECT("character_id"))+1),MATCH(D$1,units!$1:$1,0)-COLUMN(INDIRECT("character_id"))+1,FALSE)</f>
        <v>3</v>
      </c>
      <c r="E142" s="31" t="str">
        <f ca="1">VLOOKUP($B142,OFFSET(units!$A$1,0,0,COUNTA(units!$A:$A),MATCH(E$1,units!$1:$1,0)-COLUMN(INDIRECT("character_id"))+1),MATCH(E$1,units!$1:$1,0)-COLUMN(INDIRECT("character_id"))+1,FALSE)</f>
        <v>PremiumW</v>
      </c>
      <c r="F142" s="56">
        <v>115</v>
      </c>
      <c r="G142" s="31" t="str">
        <f ca="1">VLOOKUP($F142,OFFSET(units!$A$1,0,0,COUNTA(units!$A:$A),MATCH(G$1,units!$1:$1,0)-COLUMN(INDIRECT("character_id"))+1),MATCH(G$1,units!$1:$1,0)-COLUMN(INDIRECT("character_id"))+1,FALSE)</f>
        <v>イエローキャタップ</v>
      </c>
      <c r="H142" s="26">
        <v>1</v>
      </c>
      <c r="I142" s="202">
        <v>1</v>
      </c>
    </row>
    <row r="143" spans="1:9" ht="21" customHeight="1" x14ac:dyDescent="0.15">
      <c r="A143" s="96" t="str">
        <f t="shared" si="2"/>
        <v>164_114</v>
      </c>
      <c r="B143" s="56">
        <v>164</v>
      </c>
      <c r="C143" s="31" t="str">
        <f ca="1">VLOOKUP($B143,OFFSET(units!$A$1,0,0,COUNTA(units!$A:$A),MATCH(C$1,units!$1:$1,0)-COLUMN(INDIRECT("character_id"))+1),MATCH(C$1,units!$1:$1,0)-COLUMN(INDIRECT("character_id"))+1,FALSE)</f>
        <v>イブとトモダチ</v>
      </c>
      <c r="D143" s="31">
        <f ca="1">VLOOKUP($B143,OFFSET(units!$A$1,0,0,COUNTA(units!$A:$A),MATCH(D$1,units!$1:$1,0)-COLUMN(INDIRECT("character_id"))+1),MATCH(D$1,units!$1:$1,0)-COLUMN(INDIRECT("character_id"))+1,FALSE)</f>
        <v>3</v>
      </c>
      <c r="E143" s="31" t="str">
        <f ca="1">VLOOKUP($B143,OFFSET(units!$A$1,0,0,COUNTA(units!$A:$A),MATCH(E$1,units!$1:$1,0)-COLUMN(INDIRECT("character_id"))+1),MATCH(E$1,units!$1:$1,0)-COLUMN(INDIRECT("character_id"))+1,FALSE)</f>
        <v>PremiumW</v>
      </c>
      <c r="F143" s="56">
        <v>114</v>
      </c>
      <c r="G143" s="31" t="str">
        <f ca="1">VLOOKUP($F143,OFFSET(units!$A$1,0,0,COUNTA(units!$A:$A),MATCH(G$1,units!$1:$1,0)-COLUMN(INDIRECT("character_id"))+1),MATCH(G$1,units!$1:$1,0)-COLUMN(INDIRECT("character_id"))+1,FALSE)</f>
        <v>イエローラビット</v>
      </c>
      <c r="H143" s="26">
        <v>3</v>
      </c>
      <c r="I143" s="202">
        <v>1</v>
      </c>
    </row>
    <row r="144" spans="1:9" ht="21" customHeight="1" x14ac:dyDescent="0.15">
      <c r="A144" s="96" t="str">
        <f t="shared" si="2"/>
        <v>166_103</v>
      </c>
      <c r="B144" s="56">
        <v>166</v>
      </c>
      <c r="C144" s="31" t="str">
        <f ca="1">VLOOKUP($B144,OFFSET(units!$A$1,0,0,COUNTA(units!$A:$A),MATCH(C$1,units!$1:$1,0)-COLUMN(INDIRECT("character_id"))+1),MATCH(C$1,units!$1:$1,0)-COLUMN(INDIRECT("character_id"))+1,FALSE)</f>
        <v>ベリアル</v>
      </c>
      <c r="D144" s="31">
        <f ca="1">VLOOKUP($B144,OFFSET(units!$A$1,0,0,COUNTA(units!$A:$A),MATCH(D$1,units!$1:$1,0)-COLUMN(INDIRECT("character_id"))+1),MATCH(D$1,units!$1:$1,0)-COLUMN(INDIRECT("character_id"))+1,FALSE)</f>
        <v>3</v>
      </c>
      <c r="E144" s="31" t="str">
        <f ca="1">VLOOKUP($B144,OFFSET(units!$A$1,0,0,COUNTA(units!$A:$A),MATCH(E$1,units!$1:$1,0)-COLUMN(INDIRECT("character_id"))+1),MATCH(E$1,units!$1:$1,0)-COLUMN(INDIRECT("character_id"))+1,FALSE)</f>
        <v>PremiumN</v>
      </c>
      <c r="F144" s="56">
        <v>103</v>
      </c>
      <c r="G144" s="31" t="str">
        <f ca="1">VLOOKUP($F144,OFFSET(units!$A$1,0,0,COUNTA(units!$A:$A),MATCH(G$1,units!$1:$1,0)-COLUMN(INDIRECT("character_id"))+1),MATCH(G$1,units!$1:$1,0)-COLUMN(INDIRECT("character_id"))+1,FALSE)</f>
        <v>レッドキャタップ</v>
      </c>
      <c r="H144" s="26">
        <v>2</v>
      </c>
      <c r="I144" s="202">
        <v>1</v>
      </c>
    </row>
    <row r="145" spans="1:9" ht="21" customHeight="1" x14ac:dyDescent="0.15">
      <c r="A145" s="96" t="str">
        <f t="shared" si="2"/>
        <v>166_102</v>
      </c>
      <c r="B145" s="56">
        <v>166</v>
      </c>
      <c r="C145" s="31" t="str">
        <f ca="1">VLOOKUP($B145,OFFSET(units!$A$1,0,0,COUNTA(units!$A:$A),MATCH(C$1,units!$1:$1,0)-COLUMN(INDIRECT("character_id"))+1),MATCH(C$1,units!$1:$1,0)-COLUMN(INDIRECT("character_id"))+1,FALSE)</f>
        <v>ベリアル</v>
      </c>
      <c r="D145" s="31">
        <f ca="1">VLOOKUP($B145,OFFSET(units!$A$1,0,0,COUNTA(units!$A:$A),MATCH(D$1,units!$1:$1,0)-COLUMN(INDIRECT("character_id"))+1),MATCH(D$1,units!$1:$1,0)-COLUMN(INDIRECT("character_id"))+1,FALSE)</f>
        <v>3</v>
      </c>
      <c r="E145" s="31" t="str">
        <f ca="1">VLOOKUP($B145,OFFSET(units!$A$1,0,0,COUNTA(units!$A:$A),MATCH(E$1,units!$1:$1,0)-COLUMN(INDIRECT("character_id"))+1),MATCH(E$1,units!$1:$1,0)-COLUMN(INDIRECT("character_id"))+1,FALSE)</f>
        <v>PremiumN</v>
      </c>
      <c r="F145" s="56">
        <v>102</v>
      </c>
      <c r="G145" s="31" t="str">
        <f ca="1">VLOOKUP($F145,OFFSET(units!$A$1,0,0,COUNTA(units!$A:$A),MATCH(G$1,units!$1:$1,0)-COLUMN(INDIRECT("character_id"))+1),MATCH(G$1,units!$1:$1,0)-COLUMN(INDIRECT("character_id"))+1,FALSE)</f>
        <v>レッドラビット</v>
      </c>
      <c r="H145" s="26">
        <v>2</v>
      </c>
      <c r="I145" s="202">
        <v>1</v>
      </c>
    </row>
    <row r="146" spans="1:9" ht="21" customHeight="1" x14ac:dyDescent="0.15">
      <c r="A146" s="96" t="str">
        <f t="shared" si="2"/>
        <v>167_104</v>
      </c>
      <c r="B146" s="56">
        <v>167</v>
      </c>
      <c r="C146" s="31" t="str">
        <f ca="1">VLOOKUP($B146,OFFSET(units!$A$1,0,0,COUNTA(units!$A:$A),MATCH(C$1,units!$1:$1,0)-COLUMN(INDIRECT("character_id"))+1),MATCH(C$1,units!$1:$1,0)-COLUMN(INDIRECT("character_id"))+1,FALSE)</f>
        <v>逆徒 ベリアル</v>
      </c>
      <c r="D146" s="31">
        <f ca="1">VLOOKUP($B146,OFFSET(units!$A$1,0,0,COUNTA(units!$A:$A),MATCH(D$1,units!$1:$1,0)-COLUMN(INDIRECT("character_id"))+1),MATCH(D$1,units!$1:$1,0)-COLUMN(INDIRECT("character_id"))+1,FALSE)</f>
        <v>4</v>
      </c>
      <c r="E146" s="31" t="str">
        <f ca="1">VLOOKUP($B146,OFFSET(units!$A$1,0,0,COUNTA(units!$A:$A),MATCH(E$1,units!$1:$1,0)-COLUMN(INDIRECT("character_id"))+1),MATCH(E$1,units!$1:$1,0)-COLUMN(INDIRECT("character_id"))+1,FALSE)</f>
        <v>PremiumN</v>
      </c>
      <c r="F146" s="56">
        <v>104</v>
      </c>
      <c r="G146" s="31" t="str">
        <f ca="1">VLOOKUP($F146,OFFSET(units!$A$1,0,0,COUNTA(units!$A:$A),MATCH(G$1,units!$1:$1,0)-COLUMN(INDIRECT("character_id"))+1),MATCH(G$1,units!$1:$1,0)-COLUMN(INDIRECT("character_id"))+1,FALSE)</f>
        <v>炎のマッドハッター</v>
      </c>
      <c r="H146" s="26">
        <v>1</v>
      </c>
      <c r="I146" s="202">
        <v>1</v>
      </c>
    </row>
    <row r="147" spans="1:9" ht="21" customHeight="1" x14ac:dyDescent="0.15">
      <c r="A147" s="96" t="str">
        <f t="shared" si="2"/>
        <v>167_103</v>
      </c>
      <c r="B147" s="56">
        <v>167</v>
      </c>
      <c r="C147" s="31" t="str">
        <f ca="1">VLOOKUP($B147,OFFSET(units!$A$1,0,0,COUNTA(units!$A:$A),MATCH(C$1,units!$1:$1,0)-COLUMN(INDIRECT("character_id"))+1),MATCH(C$1,units!$1:$1,0)-COLUMN(INDIRECT("character_id"))+1,FALSE)</f>
        <v>逆徒 ベリアル</v>
      </c>
      <c r="D147" s="31">
        <f ca="1">VLOOKUP($B147,OFFSET(units!$A$1,0,0,COUNTA(units!$A:$A),MATCH(D$1,units!$1:$1,0)-COLUMN(INDIRECT("character_id"))+1),MATCH(D$1,units!$1:$1,0)-COLUMN(INDIRECT("character_id"))+1,FALSE)</f>
        <v>4</v>
      </c>
      <c r="E147" s="31" t="str">
        <f ca="1">VLOOKUP($B147,OFFSET(units!$A$1,0,0,COUNTA(units!$A:$A),MATCH(E$1,units!$1:$1,0)-COLUMN(INDIRECT("character_id"))+1),MATCH(E$1,units!$1:$1,0)-COLUMN(INDIRECT("character_id"))+1,FALSE)</f>
        <v>PremiumN</v>
      </c>
      <c r="F147" s="56">
        <v>103</v>
      </c>
      <c r="G147" s="31" t="str">
        <f ca="1">VLOOKUP($F147,OFFSET(units!$A$1,0,0,COUNTA(units!$A:$A),MATCH(G$1,units!$1:$1,0)-COLUMN(INDIRECT("character_id"))+1),MATCH(G$1,units!$1:$1,0)-COLUMN(INDIRECT("character_id"))+1,FALSE)</f>
        <v>レッドキャタップ</v>
      </c>
      <c r="H147" s="26">
        <v>1</v>
      </c>
      <c r="I147" s="202">
        <v>1</v>
      </c>
    </row>
    <row r="148" spans="1:9" ht="21" customHeight="1" x14ac:dyDescent="0.15">
      <c r="A148" s="96" t="str">
        <f t="shared" si="2"/>
        <v>167_102</v>
      </c>
      <c r="B148" s="56">
        <v>167</v>
      </c>
      <c r="C148" s="31" t="str">
        <f ca="1">VLOOKUP($B148,OFFSET(units!$A$1,0,0,COUNTA(units!$A:$A),MATCH(C$1,units!$1:$1,0)-COLUMN(INDIRECT("character_id"))+1),MATCH(C$1,units!$1:$1,0)-COLUMN(INDIRECT("character_id"))+1,FALSE)</f>
        <v>逆徒 ベリアル</v>
      </c>
      <c r="D148" s="31">
        <f ca="1">VLOOKUP($B148,OFFSET(units!$A$1,0,0,COUNTA(units!$A:$A),MATCH(D$1,units!$1:$1,0)-COLUMN(INDIRECT("character_id"))+1),MATCH(D$1,units!$1:$1,0)-COLUMN(INDIRECT("character_id"))+1,FALSE)</f>
        <v>4</v>
      </c>
      <c r="E148" s="31" t="str">
        <f ca="1">VLOOKUP($B148,OFFSET(units!$A$1,0,0,COUNTA(units!$A:$A),MATCH(E$1,units!$1:$1,0)-COLUMN(INDIRECT("character_id"))+1),MATCH(E$1,units!$1:$1,0)-COLUMN(INDIRECT("character_id"))+1,FALSE)</f>
        <v>PremiumN</v>
      </c>
      <c r="F148" s="56">
        <v>102</v>
      </c>
      <c r="G148" s="31" t="str">
        <f ca="1">VLOOKUP($F148,OFFSET(units!$A$1,0,0,COUNTA(units!$A:$A),MATCH(G$1,units!$1:$1,0)-COLUMN(INDIRECT("character_id"))+1),MATCH(G$1,units!$1:$1,0)-COLUMN(INDIRECT("character_id"))+1,FALSE)</f>
        <v>レッドラビット</v>
      </c>
      <c r="H148" s="26">
        <v>3</v>
      </c>
      <c r="I148" s="202">
        <v>1</v>
      </c>
    </row>
    <row r="149" spans="1:9" ht="21" customHeight="1" x14ac:dyDescent="0.15">
      <c r="A149" s="96" t="str">
        <f t="shared" si="2"/>
        <v>169_107</v>
      </c>
      <c r="B149" s="56">
        <v>169</v>
      </c>
      <c r="C149" s="31" t="str">
        <f ca="1">VLOOKUP($B149,OFFSET(units!$A$1,0,0,COUNTA(units!$A:$A),MATCH(C$1,units!$1:$1,0)-COLUMN(INDIRECT("character_id"))+1),MATCH(C$1,units!$1:$1,0)-COLUMN(INDIRECT("character_id"))+1,FALSE)</f>
        <v>オセ</v>
      </c>
      <c r="D149" s="31">
        <f ca="1">VLOOKUP($B149,OFFSET(units!$A$1,0,0,COUNTA(units!$A:$A),MATCH(D$1,units!$1:$1,0)-COLUMN(INDIRECT("character_id"))+1),MATCH(D$1,units!$1:$1,0)-COLUMN(INDIRECT("character_id"))+1,FALSE)</f>
        <v>3</v>
      </c>
      <c r="E149" s="31" t="str">
        <f ca="1">VLOOKUP($B149,OFFSET(units!$A$1,0,0,COUNTA(units!$A:$A),MATCH(E$1,units!$1:$1,0)-COLUMN(INDIRECT("character_id"))+1),MATCH(E$1,units!$1:$1,0)-COLUMN(INDIRECT("character_id"))+1,FALSE)</f>
        <v>PremiumN</v>
      </c>
      <c r="F149" s="56">
        <v>107</v>
      </c>
      <c r="G149" s="31" t="str">
        <f ca="1">VLOOKUP($F149,OFFSET(units!$A$1,0,0,COUNTA(units!$A:$A),MATCH(G$1,units!$1:$1,0)-COLUMN(INDIRECT("character_id"))+1),MATCH(G$1,units!$1:$1,0)-COLUMN(INDIRECT("character_id"))+1,FALSE)</f>
        <v>グリーンキャタップ</v>
      </c>
      <c r="H149" s="26">
        <v>2</v>
      </c>
      <c r="I149" s="202">
        <v>1</v>
      </c>
    </row>
    <row r="150" spans="1:9" ht="21" customHeight="1" x14ac:dyDescent="0.15">
      <c r="A150" s="96" t="str">
        <f t="shared" si="2"/>
        <v>169_106</v>
      </c>
      <c r="B150" s="56">
        <v>169</v>
      </c>
      <c r="C150" s="31" t="str">
        <f ca="1">VLOOKUP($B150,OFFSET(units!$A$1,0,0,COUNTA(units!$A:$A),MATCH(C$1,units!$1:$1,0)-COLUMN(INDIRECT("character_id"))+1),MATCH(C$1,units!$1:$1,0)-COLUMN(INDIRECT("character_id"))+1,FALSE)</f>
        <v>オセ</v>
      </c>
      <c r="D150" s="31">
        <f ca="1">VLOOKUP($B150,OFFSET(units!$A$1,0,0,COUNTA(units!$A:$A),MATCH(D$1,units!$1:$1,0)-COLUMN(INDIRECT("character_id"))+1),MATCH(D$1,units!$1:$1,0)-COLUMN(INDIRECT("character_id"))+1,FALSE)</f>
        <v>3</v>
      </c>
      <c r="E150" s="31" t="str">
        <f ca="1">VLOOKUP($B150,OFFSET(units!$A$1,0,0,COUNTA(units!$A:$A),MATCH(E$1,units!$1:$1,0)-COLUMN(INDIRECT("character_id"))+1),MATCH(E$1,units!$1:$1,0)-COLUMN(INDIRECT("character_id"))+1,FALSE)</f>
        <v>PremiumN</v>
      </c>
      <c r="F150" s="56">
        <v>106</v>
      </c>
      <c r="G150" s="31" t="str">
        <f ca="1">VLOOKUP($F150,OFFSET(units!$A$1,0,0,COUNTA(units!$A:$A),MATCH(G$1,units!$1:$1,0)-COLUMN(INDIRECT("character_id"))+1),MATCH(G$1,units!$1:$1,0)-COLUMN(INDIRECT("character_id"))+1,FALSE)</f>
        <v>グリーンラビット</v>
      </c>
      <c r="H150" s="26">
        <v>2</v>
      </c>
      <c r="I150" s="202">
        <v>1</v>
      </c>
    </row>
    <row r="151" spans="1:9" ht="21" customHeight="1" x14ac:dyDescent="0.15">
      <c r="A151" s="96" t="str">
        <f t="shared" si="2"/>
        <v>170_108</v>
      </c>
      <c r="B151" s="56">
        <v>170</v>
      </c>
      <c r="C151" s="31" t="str">
        <f ca="1">VLOOKUP($B151,OFFSET(units!$A$1,0,0,COUNTA(units!$A:$A),MATCH(C$1,units!$1:$1,0)-COLUMN(INDIRECT("character_id"))+1),MATCH(C$1,units!$1:$1,0)-COLUMN(INDIRECT("character_id"))+1,FALSE)</f>
        <v>識徒 オセ</v>
      </c>
      <c r="D151" s="31">
        <f ca="1">VLOOKUP($B151,OFFSET(units!$A$1,0,0,COUNTA(units!$A:$A),MATCH(D$1,units!$1:$1,0)-COLUMN(INDIRECT("character_id"))+1),MATCH(D$1,units!$1:$1,0)-COLUMN(INDIRECT("character_id"))+1,FALSE)</f>
        <v>4</v>
      </c>
      <c r="E151" s="31" t="str">
        <f ca="1">VLOOKUP($B151,OFFSET(units!$A$1,0,0,COUNTA(units!$A:$A),MATCH(E$1,units!$1:$1,0)-COLUMN(INDIRECT("character_id"))+1),MATCH(E$1,units!$1:$1,0)-COLUMN(INDIRECT("character_id"))+1,FALSE)</f>
        <v>PremiumN</v>
      </c>
      <c r="F151" s="56">
        <v>108</v>
      </c>
      <c r="G151" s="31" t="str">
        <f ca="1">VLOOKUP($F151,OFFSET(units!$A$1,0,0,COUNTA(units!$A:$A),MATCH(G$1,units!$1:$1,0)-COLUMN(INDIRECT("character_id"))+1),MATCH(G$1,units!$1:$1,0)-COLUMN(INDIRECT("character_id"))+1,FALSE)</f>
        <v>森のマッドハッター</v>
      </c>
      <c r="H151" s="26">
        <v>1</v>
      </c>
      <c r="I151" s="202">
        <v>1</v>
      </c>
    </row>
    <row r="152" spans="1:9" ht="21" customHeight="1" x14ac:dyDescent="0.15">
      <c r="A152" s="96" t="str">
        <f t="shared" si="2"/>
        <v>170_107</v>
      </c>
      <c r="B152" s="56">
        <v>170</v>
      </c>
      <c r="C152" s="31" t="str">
        <f ca="1">VLOOKUP($B152,OFFSET(units!$A$1,0,0,COUNTA(units!$A:$A),MATCH(C$1,units!$1:$1,0)-COLUMN(INDIRECT("character_id"))+1),MATCH(C$1,units!$1:$1,0)-COLUMN(INDIRECT("character_id"))+1,FALSE)</f>
        <v>識徒 オセ</v>
      </c>
      <c r="D152" s="31">
        <f ca="1">VLOOKUP($B152,OFFSET(units!$A$1,0,0,COUNTA(units!$A:$A),MATCH(D$1,units!$1:$1,0)-COLUMN(INDIRECT("character_id"))+1),MATCH(D$1,units!$1:$1,0)-COLUMN(INDIRECT("character_id"))+1,FALSE)</f>
        <v>4</v>
      </c>
      <c r="E152" s="31" t="str">
        <f ca="1">VLOOKUP($B152,OFFSET(units!$A$1,0,0,COUNTA(units!$A:$A),MATCH(E$1,units!$1:$1,0)-COLUMN(INDIRECT("character_id"))+1),MATCH(E$1,units!$1:$1,0)-COLUMN(INDIRECT("character_id"))+1,FALSE)</f>
        <v>PremiumN</v>
      </c>
      <c r="F152" s="56">
        <v>107</v>
      </c>
      <c r="G152" s="31" t="str">
        <f ca="1">VLOOKUP($F152,OFFSET(units!$A$1,0,0,COUNTA(units!$A:$A),MATCH(G$1,units!$1:$1,0)-COLUMN(INDIRECT("character_id"))+1),MATCH(G$1,units!$1:$1,0)-COLUMN(INDIRECT("character_id"))+1,FALSE)</f>
        <v>グリーンキャタップ</v>
      </c>
      <c r="H152" s="26">
        <v>1</v>
      </c>
      <c r="I152" s="202">
        <v>1</v>
      </c>
    </row>
    <row r="153" spans="1:9" ht="21" customHeight="1" x14ac:dyDescent="0.15">
      <c r="A153" s="96" t="str">
        <f t="shared" si="2"/>
        <v>170_106</v>
      </c>
      <c r="B153" s="56">
        <v>170</v>
      </c>
      <c r="C153" s="31" t="str">
        <f ca="1">VLOOKUP($B153,OFFSET(units!$A$1,0,0,COUNTA(units!$A:$A),MATCH(C$1,units!$1:$1,0)-COLUMN(INDIRECT("character_id"))+1),MATCH(C$1,units!$1:$1,0)-COLUMN(INDIRECT("character_id"))+1,FALSE)</f>
        <v>識徒 オセ</v>
      </c>
      <c r="D153" s="31">
        <f ca="1">VLOOKUP($B153,OFFSET(units!$A$1,0,0,COUNTA(units!$A:$A),MATCH(D$1,units!$1:$1,0)-COLUMN(INDIRECT("character_id"))+1),MATCH(D$1,units!$1:$1,0)-COLUMN(INDIRECT("character_id"))+1,FALSE)</f>
        <v>4</v>
      </c>
      <c r="E153" s="31" t="str">
        <f ca="1">VLOOKUP($B153,OFFSET(units!$A$1,0,0,COUNTA(units!$A:$A),MATCH(E$1,units!$1:$1,0)-COLUMN(INDIRECT("character_id"))+1),MATCH(E$1,units!$1:$1,0)-COLUMN(INDIRECT("character_id"))+1,FALSE)</f>
        <v>PremiumN</v>
      </c>
      <c r="F153" s="56">
        <v>106</v>
      </c>
      <c r="G153" s="31" t="str">
        <f ca="1">VLOOKUP($F153,OFFSET(units!$A$1,0,0,COUNTA(units!$A:$A),MATCH(G$1,units!$1:$1,0)-COLUMN(INDIRECT("character_id"))+1),MATCH(G$1,units!$1:$1,0)-COLUMN(INDIRECT("character_id"))+1,FALSE)</f>
        <v>グリーンラビット</v>
      </c>
      <c r="H153" s="26">
        <v>3</v>
      </c>
      <c r="I153" s="202">
        <v>1</v>
      </c>
    </row>
    <row r="154" spans="1:9" ht="21" customHeight="1" x14ac:dyDescent="0.15">
      <c r="A154" s="96" t="str">
        <f t="shared" si="2"/>
        <v>172_111</v>
      </c>
      <c r="B154" s="56">
        <v>172</v>
      </c>
      <c r="C154" s="31" t="str">
        <f ca="1">VLOOKUP($B154,OFFSET(units!$A$1,0,0,COUNTA(units!$A:$A),MATCH(C$1,units!$1:$1,0)-COLUMN(INDIRECT("character_id"))+1),MATCH(C$1,units!$1:$1,0)-COLUMN(INDIRECT("character_id"))+1,FALSE)</f>
        <v>フォルネウス</v>
      </c>
      <c r="D154" s="31">
        <f ca="1">VLOOKUP($B154,OFFSET(units!$A$1,0,0,COUNTA(units!$A:$A),MATCH(D$1,units!$1:$1,0)-COLUMN(INDIRECT("character_id"))+1),MATCH(D$1,units!$1:$1,0)-COLUMN(INDIRECT("character_id"))+1,FALSE)</f>
        <v>3</v>
      </c>
      <c r="E154" s="31" t="str">
        <f ca="1">VLOOKUP($B154,OFFSET(units!$A$1,0,0,COUNTA(units!$A:$A),MATCH(E$1,units!$1:$1,0)-COLUMN(INDIRECT("character_id"))+1),MATCH(E$1,units!$1:$1,0)-COLUMN(INDIRECT("character_id"))+1,FALSE)</f>
        <v>PremiumN</v>
      </c>
      <c r="F154" s="56">
        <v>111</v>
      </c>
      <c r="G154" s="31" t="str">
        <f ca="1">VLOOKUP($F154,OFFSET(units!$A$1,0,0,COUNTA(units!$A:$A),MATCH(G$1,units!$1:$1,0)-COLUMN(INDIRECT("character_id"))+1),MATCH(G$1,units!$1:$1,0)-COLUMN(INDIRECT("character_id"))+1,FALSE)</f>
        <v>ブルーキャタップ</v>
      </c>
      <c r="H154" s="26">
        <v>2</v>
      </c>
      <c r="I154" s="202">
        <v>1</v>
      </c>
    </row>
    <row r="155" spans="1:9" ht="21" customHeight="1" x14ac:dyDescent="0.15">
      <c r="A155" s="96" t="str">
        <f t="shared" si="2"/>
        <v>172_110</v>
      </c>
      <c r="B155" s="56">
        <v>172</v>
      </c>
      <c r="C155" s="31" t="str">
        <f ca="1">VLOOKUP($B155,OFFSET(units!$A$1,0,0,COUNTA(units!$A:$A),MATCH(C$1,units!$1:$1,0)-COLUMN(INDIRECT("character_id"))+1),MATCH(C$1,units!$1:$1,0)-COLUMN(INDIRECT("character_id"))+1,FALSE)</f>
        <v>フォルネウス</v>
      </c>
      <c r="D155" s="31">
        <f ca="1">VLOOKUP($B155,OFFSET(units!$A$1,0,0,COUNTA(units!$A:$A),MATCH(D$1,units!$1:$1,0)-COLUMN(INDIRECT("character_id"))+1),MATCH(D$1,units!$1:$1,0)-COLUMN(INDIRECT("character_id"))+1,FALSE)</f>
        <v>3</v>
      </c>
      <c r="E155" s="31" t="str">
        <f ca="1">VLOOKUP($B155,OFFSET(units!$A$1,0,0,COUNTA(units!$A:$A),MATCH(E$1,units!$1:$1,0)-COLUMN(INDIRECT("character_id"))+1),MATCH(E$1,units!$1:$1,0)-COLUMN(INDIRECT("character_id"))+1,FALSE)</f>
        <v>PremiumN</v>
      </c>
      <c r="F155" s="56">
        <v>110</v>
      </c>
      <c r="G155" s="31" t="str">
        <f ca="1">VLOOKUP($F155,OFFSET(units!$A$1,0,0,COUNTA(units!$A:$A),MATCH(G$1,units!$1:$1,0)-COLUMN(INDIRECT("character_id"))+1),MATCH(G$1,units!$1:$1,0)-COLUMN(INDIRECT("character_id"))+1,FALSE)</f>
        <v>ブルーラビット</v>
      </c>
      <c r="H155" s="26">
        <v>2</v>
      </c>
      <c r="I155" s="202">
        <v>1</v>
      </c>
    </row>
    <row r="156" spans="1:9" ht="21" customHeight="1" x14ac:dyDescent="0.15">
      <c r="A156" s="96" t="str">
        <f t="shared" si="2"/>
        <v>173_112</v>
      </c>
      <c r="B156" s="56">
        <v>173</v>
      </c>
      <c r="C156" s="31" t="str">
        <f ca="1">VLOOKUP($B156,OFFSET(units!$A$1,0,0,COUNTA(units!$A:$A),MATCH(C$1,units!$1:$1,0)-COLUMN(INDIRECT("character_id"))+1),MATCH(C$1,units!$1:$1,0)-COLUMN(INDIRECT("character_id"))+1,FALSE)</f>
        <v>公爵 フォルネウス</v>
      </c>
      <c r="D156" s="31">
        <f ca="1">VLOOKUP($B156,OFFSET(units!$A$1,0,0,COUNTA(units!$A:$A),MATCH(D$1,units!$1:$1,0)-COLUMN(INDIRECT("character_id"))+1),MATCH(D$1,units!$1:$1,0)-COLUMN(INDIRECT("character_id"))+1,FALSE)</f>
        <v>4</v>
      </c>
      <c r="E156" s="31" t="str">
        <f ca="1">VLOOKUP($B156,OFFSET(units!$A$1,0,0,COUNTA(units!$A:$A),MATCH(E$1,units!$1:$1,0)-COLUMN(INDIRECT("character_id"))+1),MATCH(E$1,units!$1:$1,0)-COLUMN(INDIRECT("character_id"))+1,FALSE)</f>
        <v>PremiumN</v>
      </c>
      <c r="F156" s="56">
        <v>112</v>
      </c>
      <c r="G156" s="31" t="str">
        <f ca="1">VLOOKUP($F156,OFFSET(units!$A$1,0,0,COUNTA(units!$A:$A),MATCH(G$1,units!$1:$1,0)-COLUMN(INDIRECT("character_id"))+1),MATCH(G$1,units!$1:$1,0)-COLUMN(INDIRECT("character_id"))+1,FALSE)</f>
        <v>水のマッドハッター</v>
      </c>
      <c r="H156" s="26">
        <v>1</v>
      </c>
      <c r="I156" s="202">
        <v>1</v>
      </c>
    </row>
    <row r="157" spans="1:9" ht="21" customHeight="1" x14ac:dyDescent="0.15">
      <c r="A157" s="96" t="str">
        <f t="shared" si="2"/>
        <v>173_111</v>
      </c>
      <c r="B157" s="56">
        <v>173</v>
      </c>
      <c r="C157" s="31" t="str">
        <f ca="1">VLOOKUP($B157,OFFSET(units!$A$1,0,0,COUNTA(units!$A:$A),MATCH(C$1,units!$1:$1,0)-COLUMN(INDIRECT("character_id"))+1),MATCH(C$1,units!$1:$1,0)-COLUMN(INDIRECT("character_id"))+1,FALSE)</f>
        <v>公爵 フォルネウス</v>
      </c>
      <c r="D157" s="31">
        <f ca="1">VLOOKUP($B157,OFFSET(units!$A$1,0,0,COUNTA(units!$A:$A),MATCH(D$1,units!$1:$1,0)-COLUMN(INDIRECT("character_id"))+1),MATCH(D$1,units!$1:$1,0)-COLUMN(INDIRECT("character_id"))+1,FALSE)</f>
        <v>4</v>
      </c>
      <c r="E157" s="31" t="str">
        <f ca="1">VLOOKUP($B157,OFFSET(units!$A$1,0,0,COUNTA(units!$A:$A),MATCH(E$1,units!$1:$1,0)-COLUMN(INDIRECT("character_id"))+1),MATCH(E$1,units!$1:$1,0)-COLUMN(INDIRECT("character_id"))+1,FALSE)</f>
        <v>PremiumN</v>
      </c>
      <c r="F157" s="56">
        <v>111</v>
      </c>
      <c r="G157" s="31" t="str">
        <f ca="1">VLOOKUP($F157,OFFSET(units!$A$1,0,0,COUNTA(units!$A:$A),MATCH(G$1,units!$1:$1,0)-COLUMN(INDIRECT("character_id"))+1),MATCH(G$1,units!$1:$1,0)-COLUMN(INDIRECT("character_id"))+1,FALSE)</f>
        <v>ブルーキャタップ</v>
      </c>
      <c r="H157" s="26">
        <v>1</v>
      </c>
      <c r="I157" s="202">
        <v>1</v>
      </c>
    </row>
    <row r="158" spans="1:9" ht="21" customHeight="1" x14ac:dyDescent="0.15">
      <c r="A158" s="96" t="str">
        <f t="shared" si="2"/>
        <v>173_110</v>
      </c>
      <c r="B158" s="56">
        <v>173</v>
      </c>
      <c r="C158" s="31" t="str">
        <f ca="1">VLOOKUP($B158,OFFSET(units!$A$1,0,0,COUNTA(units!$A:$A),MATCH(C$1,units!$1:$1,0)-COLUMN(INDIRECT("character_id"))+1),MATCH(C$1,units!$1:$1,0)-COLUMN(INDIRECT("character_id"))+1,FALSE)</f>
        <v>公爵 フォルネウス</v>
      </c>
      <c r="D158" s="31">
        <f ca="1">VLOOKUP($B158,OFFSET(units!$A$1,0,0,COUNTA(units!$A:$A),MATCH(D$1,units!$1:$1,0)-COLUMN(INDIRECT("character_id"))+1),MATCH(D$1,units!$1:$1,0)-COLUMN(INDIRECT("character_id"))+1,FALSE)</f>
        <v>4</v>
      </c>
      <c r="E158" s="31" t="str">
        <f ca="1">VLOOKUP($B158,OFFSET(units!$A$1,0,0,COUNTA(units!$A:$A),MATCH(E$1,units!$1:$1,0)-COLUMN(INDIRECT("character_id"))+1),MATCH(E$1,units!$1:$1,0)-COLUMN(INDIRECT("character_id"))+1,FALSE)</f>
        <v>PremiumN</v>
      </c>
      <c r="F158" s="56">
        <v>110</v>
      </c>
      <c r="G158" s="31" t="str">
        <f ca="1">VLOOKUP($F158,OFFSET(units!$A$1,0,0,COUNTA(units!$A:$A),MATCH(G$1,units!$1:$1,0)-COLUMN(INDIRECT("character_id"))+1),MATCH(G$1,units!$1:$1,0)-COLUMN(INDIRECT("character_id"))+1,FALSE)</f>
        <v>ブルーラビット</v>
      </c>
      <c r="H158" s="26">
        <v>3</v>
      </c>
      <c r="I158" s="202">
        <v>1</v>
      </c>
    </row>
    <row r="159" spans="1:9" ht="21" customHeight="1" x14ac:dyDescent="0.15">
      <c r="A159" s="96" t="str">
        <f t="shared" si="2"/>
        <v>175_115</v>
      </c>
      <c r="B159" s="56">
        <v>175</v>
      </c>
      <c r="C159" s="31" t="str">
        <f ca="1">VLOOKUP($B159,OFFSET(units!$A$1,0,0,COUNTA(units!$A:$A),MATCH(C$1,units!$1:$1,0)-COLUMN(INDIRECT("character_id"))+1),MATCH(C$1,units!$1:$1,0)-COLUMN(INDIRECT("character_id"))+1,FALSE)</f>
        <v>バフォメット</v>
      </c>
      <c r="D159" s="31">
        <f ca="1">VLOOKUP($B159,OFFSET(units!$A$1,0,0,COUNTA(units!$A:$A),MATCH(D$1,units!$1:$1,0)-COLUMN(INDIRECT("character_id"))+1),MATCH(D$1,units!$1:$1,0)-COLUMN(INDIRECT("character_id"))+1,FALSE)</f>
        <v>3</v>
      </c>
      <c r="E159" s="31" t="str">
        <f ca="1">VLOOKUP($B159,OFFSET(units!$A$1,0,0,COUNTA(units!$A:$A),MATCH(E$1,units!$1:$1,0)-COLUMN(INDIRECT("character_id"))+1),MATCH(E$1,units!$1:$1,0)-COLUMN(INDIRECT("character_id"))+1,FALSE)</f>
        <v>PremiumN</v>
      </c>
      <c r="F159" s="56">
        <v>115</v>
      </c>
      <c r="G159" s="31" t="str">
        <f ca="1">VLOOKUP($F159,OFFSET(units!$A$1,0,0,COUNTA(units!$A:$A),MATCH(G$1,units!$1:$1,0)-COLUMN(INDIRECT("character_id"))+1),MATCH(G$1,units!$1:$1,0)-COLUMN(INDIRECT("character_id"))+1,FALSE)</f>
        <v>イエローキャタップ</v>
      </c>
      <c r="H159" s="26">
        <v>2</v>
      </c>
      <c r="I159" s="202">
        <v>1</v>
      </c>
    </row>
    <row r="160" spans="1:9" ht="21" customHeight="1" x14ac:dyDescent="0.15">
      <c r="A160" s="96" t="str">
        <f t="shared" si="2"/>
        <v>175_114</v>
      </c>
      <c r="B160" s="56">
        <v>175</v>
      </c>
      <c r="C160" s="31" t="str">
        <f ca="1">VLOOKUP($B160,OFFSET(units!$A$1,0,0,COUNTA(units!$A:$A),MATCH(C$1,units!$1:$1,0)-COLUMN(INDIRECT("character_id"))+1),MATCH(C$1,units!$1:$1,0)-COLUMN(INDIRECT("character_id"))+1,FALSE)</f>
        <v>バフォメット</v>
      </c>
      <c r="D160" s="31">
        <f ca="1">VLOOKUP($B160,OFFSET(units!$A$1,0,0,COUNTA(units!$A:$A),MATCH(D$1,units!$1:$1,0)-COLUMN(INDIRECT("character_id"))+1),MATCH(D$1,units!$1:$1,0)-COLUMN(INDIRECT("character_id"))+1,FALSE)</f>
        <v>3</v>
      </c>
      <c r="E160" s="31" t="str">
        <f ca="1">VLOOKUP($B160,OFFSET(units!$A$1,0,0,COUNTA(units!$A:$A),MATCH(E$1,units!$1:$1,0)-COLUMN(INDIRECT("character_id"))+1),MATCH(E$1,units!$1:$1,0)-COLUMN(INDIRECT("character_id"))+1,FALSE)</f>
        <v>PremiumN</v>
      </c>
      <c r="F160" s="56">
        <v>114</v>
      </c>
      <c r="G160" s="31" t="str">
        <f ca="1">VLOOKUP($F160,OFFSET(units!$A$1,0,0,COUNTA(units!$A:$A),MATCH(G$1,units!$1:$1,0)-COLUMN(INDIRECT("character_id"))+1),MATCH(G$1,units!$1:$1,0)-COLUMN(INDIRECT("character_id"))+1,FALSE)</f>
        <v>イエローラビット</v>
      </c>
      <c r="H160" s="26">
        <v>2</v>
      </c>
      <c r="I160" s="202">
        <v>1</v>
      </c>
    </row>
    <row r="161" spans="1:9" ht="21" customHeight="1" x14ac:dyDescent="0.15">
      <c r="A161" s="96" t="str">
        <f t="shared" si="2"/>
        <v>176_116</v>
      </c>
      <c r="B161" s="56">
        <v>176</v>
      </c>
      <c r="C161" s="31" t="str">
        <f ca="1">VLOOKUP($B161,OFFSET(units!$A$1,0,0,COUNTA(units!$A:$A),MATCH(C$1,units!$1:$1,0)-COLUMN(INDIRECT("character_id"))+1),MATCH(C$1,units!$1:$1,0)-COLUMN(INDIRECT("character_id"))+1,FALSE)</f>
        <v>異教徒 バフォメット</v>
      </c>
      <c r="D161" s="31">
        <f ca="1">VLOOKUP($B161,OFFSET(units!$A$1,0,0,COUNTA(units!$A:$A),MATCH(D$1,units!$1:$1,0)-COLUMN(INDIRECT("character_id"))+1),MATCH(D$1,units!$1:$1,0)-COLUMN(INDIRECT("character_id"))+1,FALSE)</f>
        <v>4</v>
      </c>
      <c r="E161" s="31" t="str">
        <f ca="1">VLOOKUP($B161,OFFSET(units!$A$1,0,0,COUNTA(units!$A:$A),MATCH(E$1,units!$1:$1,0)-COLUMN(INDIRECT("character_id"))+1),MATCH(E$1,units!$1:$1,0)-COLUMN(INDIRECT("character_id"))+1,FALSE)</f>
        <v>PremiumN</v>
      </c>
      <c r="F161" s="56">
        <v>116</v>
      </c>
      <c r="G161" s="31" t="str">
        <f ca="1">VLOOKUP($F161,OFFSET(units!$A$1,0,0,COUNTA(units!$A:$A),MATCH(G$1,units!$1:$1,0)-COLUMN(INDIRECT("character_id"))+1),MATCH(G$1,units!$1:$1,0)-COLUMN(INDIRECT("character_id"))+1,FALSE)</f>
        <v>雷のマッドハッター</v>
      </c>
      <c r="H161" s="26">
        <v>1</v>
      </c>
      <c r="I161" s="202">
        <v>1</v>
      </c>
    </row>
    <row r="162" spans="1:9" ht="21" customHeight="1" x14ac:dyDescent="0.15">
      <c r="A162" s="96" t="str">
        <f t="shared" si="2"/>
        <v>176_115</v>
      </c>
      <c r="B162" s="56">
        <v>176</v>
      </c>
      <c r="C162" s="31" t="str">
        <f ca="1">VLOOKUP($B162,OFFSET(units!$A$1,0,0,COUNTA(units!$A:$A),MATCH(C$1,units!$1:$1,0)-COLUMN(INDIRECT("character_id"))+1),MATCH(C$1,units!$1:$1,0)-COLUMN(INDIRECT("character_id"))+1,FALSE)</f>
        <v>異教徒 バフォメット</v>
      </c>
      <c r="D162" s="31">
        <f ca="1">VLOOKUP($B162,OFFSET(units!$A$1,0,0,COUNTA(units!$A:$A),MATCH(D$1,units!$1:$1,0)-COLUMN(INDIRECT("character_id"))+1),MATCH(D$1,units!$1:$1,0)-COLUMN(INDIRECT("character_id"))+1,FALSE)</f>
        <v>4</v>
      </c>
      <c r="E162" s="31" t="str">
        <f ca="1">VLOOKUP($B162,OFFSET(units!$A$1,0,0,COUNTA(units!$A:$A),MATCH(E$1,units!$1:$1,0)-COLUMN(INDIRECT("character_id"))+1),MATCH(E$1,units!$1:$1,0)-COLUMN(INDIRECT("character_id"))+1,FALSE)</f>
        <v>PremiumN</v>
      </c>
      <c r="F162" s="56">
        <v>115</v>
      </c>
      <c r="G162" s="31" t="str">
        <f ca="1">VLOOKUP($F162,OFFSET(units!$A$1,0,0,COUNTA(units!$A:$A),MATCH(G$1,units!$1:$1,0)-COLUMN(INDIRECT("character_id"))+1),MATCH(G$1,units!$1:$1,0)-COLUMN(INDIRECT("character_id"))+1,FALSE)</f>
        <v>イエローキャタップ</v>
      </c>
      <c r="H162" s="26">
        <v>1</v>
      </c>
      <c r="I162" s="202">
        <v>1</v>
      </c>
    </row>
    <row r="163" spans="1:9" ht="21" customHeight="1" x14ac:dyDescent="0.15">
      <c r="A163" s="96" t="str">
        <f t="shared" si="2"/>
        <v>176_114</v>
      </c>
      <c r="B163" s="56">
        <v>176</v>
      </c>
      <c r="C163" s="31" t="str">
        <f ca="1">VLOOKUP($B163,OFFSET(units!$A$1,0,0,COUNTA(units!$A:$A),MATCH(C$1,units!$1:$1,0)-COLUMN(INDIRECT("character_id"))+1),MATCH(C$1,units!$1:$1,0)-COLUMN(INDIRECT("character_id"))+1,FALSE)</f>
        <v>異教徒 バフォメット</v>
      </c>
      <c r="D163" s="31">
        <f ca="1">VLOOKUP($B163,OFFSET(units!$A$1,0,0,COUNTA(units!$A:$A),MATCH(D$1,units!$1:$1,0)-COLUMN(INDIRECT("character_id"))+1),MATCH(D$1,units!$1:$1,0)-COLUMN(INDIRECT("character_id"))+1,FALSE)</f>
        <v>4</v>
      </c>
      <c r="E163" s="31" t="str">
        <f ca="1">VLOOKUP($B163,OFFSET(units!$A$1,0,0,COUNTA(units!$A:$A),MATCH(E$1,units!$1:$1,0)-COLUMN(INDIRECT("character_id"))+1),MATCH(E$1,units!$1:$1,0)-COLUMN(INDIRECT("character_id"))+1,FALSE)</f>
        <v>PremiumN</v>
      </c>
      <c r="F163" s="56">
        <v>114</v>
      </c>
      <c r="G163" s="31" t="str">
        <f ca="1">VLOOKUP($F163,OFFSET(units!$A$1,0,0,COUNTA(units!$A:$A),MATCH(G$1,units!$1:$1,0)-COLUMN(INDIRECT("character_id"))+1),MATCH(G$1,units!$1:$1,0)-COLUMN(INDIRECT("character_id"))+1,FALSE)</f>
        <v>イエローラビット</v>
      </c>
      <c r="H163" s="26">
        <v>3</v>
      </c>
      <c r="I163" s="202">
        <v>1</v>
      </c>
    </row>
    <row r="164" spans="1:9" ht="21" customHeight="1" x14ac:dyDescent="0.15">
      <c r="A164" s="96" t="str">
        <f t="shared" si="2"/>
        <v>178_103</v>
      </c>
      <c r="B164" s="56">
        <v>178</v>
      </c>
      <c r="C164" s="31" t="str">
        <f ca="1">VLOOKUP($B164,OFFSET(units!$A$1,0,0,COUNTA(units!$A:$A),MATCH(C$1,units!$1:$1,0)-COLUMN(INDIRECT("character_id"))+1),MATCH(C$1,units!$1:$1,0)-COLUMN(INDIRECT("character_id"))+1,FALSE)</f>
        <v>ケルベロス</v>
      </c>
      <c r="D164" s="31">
        <f ca="1">VLOOKUP($B164,OFFSET(units!$A$1,0,0,COUNTA(units!$A:$A),MATCH(D$1,units!$1:$1,0)-COLUMN(INDIRECT("character_id"))+1),MATCH(D$1,units!$1:$1,0)-COLUMN(INDIRECT("character_id"))+1,FALSE)</f>
        <v>3</v>
      </c>
      <c r="E164" s="31" t="str">
        <f ca="1">VLOOKUP($B164,OFFSET(units!$A$1,0,0,COUNTA(units!$A:$A),MATCH(E$1,units!$1:$1,0)-COLUMN(INDIRECT("character_id"))+1),MATCH(E$1,units!$1:$1,0)-COLUMN(INDIRECT("character_id"))+1,FALSE)</f>
        <v>PremiumN</v>
      </c>
      <c r="F164" s="56">
        <v>103</v>
      </c>
      <c r="G164" s="31" t="str">
        <f ca="1">VLOOKUP($F164,OFFSET(units!$A$1,0,0,COUNTA(units!$A:$A),MATCH(G$1,units!$1:$1,0)-COLUMN(INDIRECT("character_id"))+1),MATCH(G$1,units!$1:$1,0)-COLUMN(INDIRECT("character_id"))+1,FALSE)</f>
        <v>レッドキャタップ</v>
      </c>
      <c r="H164" s="26">
        <v>2</v>
      </c>
      <c r="I164" s="202">
        <v>1</v>
      </c>
    </row>
    <row r="165" spans="1:9" ht="21" customHeight="1" x14ac:dyDescent="0.15">
      <c r="A165" s="96" t="str">
        <f t="shared" si="2"/>
        <v>178_102</v>
      </c>
      <c r="B165" s="56">
        <v>178</v>
      </c>
      <c r="C165" s="31" t="str">
        <f ca="1">VLOOKUP($B165,OFFSET(units!$A$1,0,0,COUNTA(units!$A:$A),MATCH(C$1,units!$1:$1,0)-COLUMN(INDIRECT("character_id"))+1),MATCH(C$1,units!$1:$1,0)-COLUMN(INDIRECT("character_id"))+1,FALSE)</f>
        <v>ケルベロス</v>
      </c>
      <c r="D165" s="31">
        <f ca="1">VLOOKUP($B165,OFFSET(units!$A$1,0,0,COUNTA(units!$A:$A),MATCH(D$1,units!$1:$1,0)-COLUMN(INDIRECT("character_id"))+1),MATCH(D$1,units!$1:$1,0)-COLUMN(INDIRECT("character_id"))+1,FALSE)</f>
        <v>3</v>
      </c>
      <c r="E165" s="31" t="str">
        <f ca="1">VLOOKUP($B165,OFFSET(units!$A$1,0,0,COUNTA(units!$A:$A),MATCH(E$1,units!$1:$1,0)-COLUMN(INDIRECT("character_id"))+1),MATCH(E$1,units!$1:$1,0)-COLUMN(INDIRECT("character_id"))+1,FALSE)</f>
        <v>PremiumN</v>
      </c>
      <c r="F165" s="56">
        <v>102</v>
      </c>
      <c r="G165" s="31" t="str">
        <f ca="1">VLOOKUP($F165,OFFSET(units!$A$1,0,0,COUNTA(units!$A:$A),MATCH(G$1,units!$1:$1,0)-COLUMN(INDIRECT("character_id"))+1),MATCH(G$1,units!$1:$1,0)-COLUMN(INDIRECT("character_id"))+1,FALSE)</f>
        <v>レッドラビット</v>
      </c>
      <c r="H165" s="26">
        <v>1</v>
      </c>
      <c r="I165" s="202">
        <v>1</v>
      </c>
    </row>
    <row r="166" spans="1:9" ht="21" customHeight="1" x14ac:dyDescent="0.15">
      <c r="A166" s="96" t="str">
        <f t="shared" si="2"/>
        <v>178_101</v>
      </c>
      <c r="B166" s="56">
        <v>178</v>
      </c>
      <c r="C166" s="31" t="str">
        <f ca="1">VLOOKUP($B166,OFFSET(units!$A$1,0,0,COUNTA(units!$A:$A),MATCH(C$1,units!$1:$1,0)-COLUMN(INDIRECT("character_id"))+1),MATCH(C$1,units!$1:$1,0)-COLUMN(INDIRECT("character_id"))+1,FALSE)</f>
        <v>ケルベロス</v>
      </c>
      <c r="D166" s="31">
        <f ca="1">VLOOKUP($B166,OFFSET(units!$A$1,0,0,COUNTA(units!$A:$A),MATCH(D$1,units!$1:$1,0)-COLUMN(INDIRECT("character_id"))+1),MATCH(D$1,units!$1:$1,0)-COLUMN(INDIRECT("character_id"))+1,FALSE)</f>
        <v>3</v>
      </c>
      <c r="E166" s="31" t="str">
        <f ca="1">VLOOKUP($B166,OFFSET(units!$A$1,0,0,COUNTA(units!$A:$A),MATCH(E$1,units!$1:$1,0)-COLUMN(INDIRECT("character_id"))+1),MATCH(E$1,units!$1:$1,0)-COLUMN(INDIRECT("character_id"))+1,FALSE)</f>
        <v>PremiumN</v>
      </c>
      <c r="F166" s="56">
        <v>101</v>
      </c>
      <c r="G166" s="31" t="str">
        <f ca="1">VLOOKUP($F166,OFFSET(units!$A$1,0,0,COUNTA(units!$A:$A),MATCH(G$1,units!$1:$1,0)-COLUMN(INDIRECT("character_id"))+1),MATCH(G$1,units!$1:$1,0)-COLUMN(INDIRECT("character_id"))+1,FALSE)</f>
        <v>レッドチェシャ</v>
      </c>
      <c r="H166" s="26">
        <v>2</v>
      </c>
      <c r="I166" s="202">
        <v>1</v>
      </c>
    </row>
    <row r="167" spans="1:9" ht="21" customHeight="1" x14ac:dyDescent="0.15">
      <c r="A167" s="96" t="str">
        <f t="shared" si="2"/>
        <v>179_104</v>
      </c>
      <c r="B167" s="56">
        <v>179</v>
      </c>
      <c r="C167" s="31" t="str">
        <f ca="1">VLOOKUP($B167,OFFSET(units!$A$1,0,0,COUNTA(units!$A:$A),MATCH(C$1,units!$1:$1,0)-COLUMN(INDIRECT("character_id"))+1),MATCH(C$1,units!$1:$1,0)-COLUMN(INDIRECT("character_id"))+1,FALSE)</f>
        <v>番犬 ケルベロス</v>
      </c>
      <c r="D167" s="31">
        <f ca="1">VLOOKUP($B167,OFFSET(units!$A$1,0,0,COUNTA(units!$A:$A),MATCH(D$1,units!$1:$1,0)-COLUMN(INDIRECT("character_id"))+1),MATCH(D$1,units!$1:$1,0)-COLUMN(INDIRECT("character_id"))+1,FALSE)</f>
        <v>4</v>
      </c>
      <c r="E167" s="31" t="str">
        <f ca="1">VLOOKUP($B167,OFFSET(units!$A$1,0,0,COUNTA(units!$A:$A),MATCH(E$1,units!$1:$1,0)-COLUMN(INDIRECT("character_id"))+1),MATCH(E$1,units!$1:$1,0)-COLUMN(INDIRECT("character_id"))+1,FALSE)</f>
        <v>PremiumN</v>
      </c>
      <c r="F167" s="56">
        <v>104</v>
      </c>
      <c r="G167" s="31" t="str">
        <f ca="1">VLOOKUP($F167,OFFSET(units!$A$1,0,0,COUNTA(units!$A:$A),MATCH(G$1,units!$1:$1,0)-COLUMN(INDIRECT("character_id"))+1),MATCH(G$1,units!$1:$1,0)-COLUMN(INDIRECT("character_id"))+1,FALSE)</f>
        <v>炎のマッドハッター</v>
      </c>
      <c r="H167" s="26">
        <v>1</v>
      </c>
      <c r="I167" s="202">
        <v>1</v>
      </c>
    </row>
    <row r="168" spans="1:9" ht="21" customHeight="1" x14ac:dyDescent="0.15">
      <c r="A168" s="96" t="str">
        <f t="shared" si="2"/>
        <v>179_102</v>
      </c>
      <c r="B168" s="56">
        <v>179</v>
      </c>
      <c r="C168" s="31" t="str">
        <f ca="1">VLOOKUP($B168,OFFSET(units!$A$1,0,0,COUNTA(units!$A:$A),MATCH(C$1,units!$1:$1,0)-COLUMN(INDIRECT("character_id"))+1),MATCH(C$1,units!$1:$1,0)-COLUMN(INDIRECT("character_id"))+1,FALSE)</f>
        <v>番犬 ケルベロス</v>
      </c>
      <c r="D168" s="31">
        <f ca="1">VLOOKUP($B168,OFFSET(units!$A$1,0,0,COUNTA(units!$A:$A),MATCH(D$1,units!$1:$1,0)-COLUMN(INDIRECT("character_id"))+1),MATCH(D$1,units!$1:$1,0)-COLUMN(INDIRECT("character_id"))+1,FALSE)</f>
        <v>4</v>
      </c>
      <c r="E168" s="31" t="str">
        <f ca="1">VLOOKUP($B168,OFFSET(units!$A$1,0,0,COUNTA(units!$A:$A),MATCH(E$1,units!$1:$1,0)-COLUMN(INDIRECT("character_id"))+1),MATCH(E$1,units!$1:$1,0)-COLUMN(INDIRECT("character_id"))+1,FALSE)</f>
        <v>PremiumN</v>
      </c>
      <c r="F168" s="56">
        <v>102</v>
      </c>
      <c r="G168" s="31" t="str">
        <f ca="1">VLOOKUP($F168,OFFSET(units!$A$1,0,0,COUNTA(units!$A:$A),MATCH(G$1,units!$1:$1,0)-COLUMN(INDIRECT("character_id"))+1),MATCH(G$1,units!$1:$1,0)-COLUMN(INDIRECT("character_id"))+1,FALSE)</f>
        <v>レッドラビット</v>
      </c>
      <c r="H168" s="26">
        <v>4</v>
      </c>
      <c r="I168" s="202">
        <v>1</v>
      </c>
    </row>
    <row r="169" spans="1:9" ht="21" customHeight="1" x14ac:dyDescent="0.15">
      <c r="A169" s="96" t="str">
        <f t="shared" si="2"/>
        <v>181_107</v>
      </c>
      <c r="B169" s="56">
        <v>181</v>
      </c>
      <c r="C169" s="31" t="str">
        <f ca="1">VLOOKUP($B169,OFFSET(units!$A$1,0,0,COUNTA(units!$A:$A),MATCH(C$1,units!$1:$1,0)-COLUMN(INDIRECT("character_id"))+1),MATCH(C$1,units!$1:$1,0)-COLUMN(INDIRECT("character_id"))+1,FALSE)</f>
        <v>ベヒモス</v>
      </c>
      <c r="D169" s="31">
        <f ca="1">VLOOKUP($B169,OFFSET(units!$A$1,0,0,COUNTA(units!$A:$A),MATCH(D$1,units!$1:$1,0)-COLUMN(INDIRECT("character_id"))+1),MATCH(D$1,units!$1:$1,0)-COLUMN(INDIRECT("character_id"))+1,FALSE)</f>
        <v>3</v>
      </c>
      <c r="E169" s="31" t="str">
        <f ca="1">VLOOKUP($B169,OFFSET(units!$A$1,0,0,COUNTA(units!$A:$A),MATCH(E$1,units!$1:$1,0)-COLUMN(INDIRECT("character_id"))+1),MATCH(E$1,units!$1:$1,0)-COLUMN(INDIRECT("character_id"))+1,FALSE)</f>
        <v>PremiumN</v>
      </c>
      <c r="F169" s="56">
        <v>107</v>
      </c>
      <c r="G169" s="31" t="str">
        <f ca="1">VLOOKUP($F169,OFFSET(units!$A$1,0,0,COUNTA(units!$A:$A),MATCH(G$1,units!$1:$1,0)-COLUMN(INDIRECT("character_id"))+1),MATCH(G$1,units!$1:$1,0)-COLUMN(INDIRECT("character_id"))+1,FALSE)</f>
        <v>グリーンキャタップ</v>
      </c>
      <c r="H169" s="26">
        <v>2</v>
      </c>
      <c r="I169" s="202">
        <v>1</v>
      </c>
    </row>
    <row r="170" spans="1:9" ht="21" customHeight="1" x14ac:dyDescent="0.15">
      <c r="A170" s="96" t="str">
        <f t="shared" si="2"/>
        <v>181_106</v>
      </c>
      <c r="B170" s="56">
        <v>181</v>
      </c>
      <c r="C170" s="31" t="str">
        <f ca="1">VLOOKUP($B170,OFFSET(units!$A$1,0,0,COUNTA(units!$A:$A),MATCH(C$1,units!$1:$1,0)-COLUMN(INDIRECT("character_id"))+1),MATCH(C$1,units!$1:$1,0)-COLUMN(INDIRECT("character_id"))+1,FALSE)</f>
        <v>ベヒモス</v>
      </c>
      <c r="D170" s="31">
        <f ca="1">VLOOKUP($B170,OFFSET(units!$A$1,0,0,COUNTA(units!$A:$A),MATCH(D$1,units!$1:$1,0)-COLUMN(INDIRECT("character_id"))+1),MATCH(D$1,units!$1:$1,0)-COLUMN(INDIRECT("character_id"))+1,FALSE)</f>
        <v>3</v>
      </c>
      <c r="E170" s="31" t="str">
        <f ca="1">VLOOKUP($B170,OFFSET(units!$A$1,0,0,COUNTA(units!$A:$A),MATCH(E$1,units!$1:$1,0)-COLUMN(INDIRECT("character_id"))+1),MATCH(E$1,units!$1:$1,0)-COLUMN(INDIRECT("character_id"))+1,FALSE)</f>
        <v>PremiumN</v>
      </c>
      <c r="F170" s="56">
        <v>106</v>
      </c>
      <c r="G170" s="31" t="str">
        <f ca="1">VLOOKUP($F170,OFFSET(units!$A$1,0,0,COUNTA(units!$A:$A),MATCH(G$1,units!$1:$1,0)-COLUMN(INDIRECT("character_id"))+1),MATCH(G$1,units!$1:$1,0)-COLUMN(INDIRECT("character_id"))+1,FALSE)</f>
        <v>グリーンラビット</v>
      </c>
      <c r="H170" s="26">
        <v>1</v>
      </c>
      <c r="I170" s="202">
        <v>1</v>
      </c>
    </row>
    <row r="171" spans="1:9" ht="21" customHeight="1" x14ac:dyDescent="0.15">
      <c r="A171" s="96" t="str">
        <f t="shared" si="2"/>
        <v>181_105</v>
      </c>
      <c r="B171" s="56">
        <v>181</v>
      </c>
      <c r="C171" s="31" t="str">
        <f ca="1">VLOOKUP($B171,OFFSET(units!$A$1,0,0,COUNTA(units!$A:$A),MATCH(C$1,units!$1:$1,0)-COLUMN(INDIRECT("character_id"))+1),MATCH(C$1,units!$1:$1,0)-COLUMN(INDIRECT("character_id"))+1,FALSE)</f>
        <v>ベヒモス</v>
      </c>
      <c r="D171" s="31">
        <f ca="1">VLOOKUP($B171,OFFSET(units!$A$1,0,0,COUNTA(units!$A:$A),MATCH(D$1,units!$1:$1,0)-COLUMN(INDIRECT("character_id"))+1),MATCH(D$1,units!$1:$1,0)-COLUMN(INDIRECT("character_id"))+1,FALSE)</f>
        <v>3</v>
      </c>
      <c r="E171" s="31" t="str">
        <f ca="1">VLOOKUP($B171,OFFSET(units!$A$1,0,0,COUNTA(units!$A:$A),MATCH(E$1,units!$1:$1,0)-COLUMN(INDIRECT("character_id"))+1),MATCH(E$1,units!$1:$1,0)-COLUMN(INDIRECT("character_id"))+1,FALSE)</f>
        <v>PremiumN</v>
      </c>
      <c r="F171" s="56">
        <v>105</v>
      </c>
      <c r="G171" s="31" t="str">
        <f ca="1">VLOOKUP($F171,OFFSET(units!$A$1,0,0,COUNTA(units!$A:$A),MATCH(G$1,units!$1:$1,0)-COLUMN(INDIRECT("character_id"))+1),MATCH(G$1,units!$1:$1,0)-COLUMN(INDIRECT("character_id"))+1,FALSE)</f>
        <v>グリーンチェシャ</v>
      </c>
      <c r="H171" s="26">
        <v>2</v>
      </c>
      <c r="I171" s="202">
        <v>1</v>
      </c>
    </row>
    <row r="172" spans="1:9" ht="21" customHeight="1" x14ac:dyDescent="0.15">
      <c r="A172" s="96" t="str">
        <f t="shared" si="2"/>
        <v>182_108</v>
      </c>
      <c r="B172" s="56">
        <v>182</v>
      </c>
      <c r="C172" s="31" t="str">
        <f ca="1">VLOOKUP($B172,OFFSET(units!$A$1,0,0,COUNTA(units!$A:$A),MATCH(C$1,units!$1:$1,0)-COLUMN(INDIRECT("character_id"))+1),MATCH(C$1,units!$1:$1,0)-COLUMN(INDIRECT("character_id"))+1,FALSE)</f>
        <v>放蕩者 ベヒモス</v>
      </c>
      <c r="D172" s="31">
        <f ca="1">VLOOKUP($B172,OFFSET(units!$A$1,0,0,COUNTA(units!$A:$A),MATCH(D$1,units!$1:$1,0)-COLUMN(INDIRECT("character_id"))+1),MATCH(D$1,units!$1:$1,0)-COLUMN(INDIRECT("character_id"))+1,FALSE)</f>
        <v>4</v>
      </c>
      <c r="E172" s="31" t="str">
        <f ca="1">VLOOKUP($B172,OFFSET(units!$A$1,0,0,COUNTA(units!$A:$A),MATCH(E$1,units!$1:$1,0)-COLUMN(INDIRECT("character_id"))+1),MATCH(E$1,units!$1:$1,0)-COLUMN(INDIRECT("character_id"))+1,FALSE)</f>
        <v>PremiumN</v>
      </c>
      <c r="F172" s="56">
        <v>108</v>
      </c>
      <c r="G172" s="31" t="str">
        <f ca="1">VLOOKUP($F172,OFFSET(units!$A$1,0,0,COUNTA(units!$A:$A),MATCH(G$1,units!$1:$1,0)-COLUMN(INDIRECT("character_id"))+1),MATCH(G$1,units!$1:$1,0)-COLUMN(INDIRECT("character_id"))+1,FALSE)</f>
        <v>森のマッドハッター</v>
      </c>
      <c r="H172" s="26">
        <v>1</v>
      </c>
      <c r="I172" s="202">
        <v>1</v>
      </c>
    </row>
    <row r="173" spans="1:9" ht="21" customHeight="1" x14ac:dyDescent="0.15">
      <c r="A173" s="96" t="str">
        <f t="shared" si="2"/>
        <v>182_106</v>
      </c>
      <c r="B173" s="56">
        <v>182</v>
      </c>
      <c r="C173" s="31" t="str">
        <f ca="1">VLOOKUP($B173,OFFSET(units!$A$1,0,0,COUNTA(units!$A:$A),MATCH(C$1,units!$1:$1,0)-COLUMN(INDIRECT("character_id"))+1),MATCH(C$1,units!$1:$1,0)-COLUMN(INDIRECT("character_id"))+1,FALSE)</f>
        <v>放蕩者 ベヒモス</v>
      </c>
      <c r="D173" s="31">
        <f ca="1">VLOOKUP($B173,OFFSET(units!$A$1,0,0,COUNTA(units!$A:$A),MATCH(D$1,units!$1:$1,0)-COLUMN(INDIRECT("character_id"))+1),MATCH(D$1,units!$1:$1,0)-COLUMN(INDIRECT("character_id"))+1,FALSE)</f>
        <v>4</v>
      </c>
      <c r="E173" s="31" t="str">
        <f ca="1">VLOOKUP($B173,OFFSET(units!$A$1,0,0,COUNTA(units!$A:$A),MATCH(E$1,units!$1:$1,0)-COLUMN(INDIRECT("character_id"))+1),MATCH(E$1,units!$1:$1,0)-COLUMN(INDIRECT("character_id"))+1,FALSE)</f>
        <v>PremiumN</v>
      </c>
      <c r="F173" s="56">
        <v>106</v>
      </c>
      <c r="G173" s="31" t="str">
        <f ca="1">VLOOKUP($F173,OFFSET(units!$A$1,0,0,COUNTA(units!$A:$A),MATCH(G$1,units!$1:$1,0)-COLUMN(INDIRECT("character_id"))+1),MATCH(G$1,units!$1:$1,0)-COLUMN(INDIRECT("character_id"))+1,FALSE)</f>
        <v>グリーンラビット</v>
      </c>
      <c r="H173" s="26">
        <v>4</v>
      </c>
      <c r="I173" s="202">
        <v>1</v>
      </c>
    </row>
    <row r="174" spans="1:9" ht="21" customHeight="1" x14ac:dyDescent="0.15">
      <c r="A174" s="96" t="str">
        <f t="shared" si="2"/>
        <v>184_111</v>
      </c>
      <c r="B174" s="56">
        <v>184</v>
      </c>
      <c r="C174" s="31" t="str">
        <f ca="1">VLOOKUP($B174,OFFSET(units!$A$1,0,0,COUNTA(units!$A:$A),MATCH(C$1,units!$1:$1,0)-COLUMN(INDIRECT("character_id"))+1),MATCH(C$1,units!$1:$1,0)-COLUMN(INDIRECT("character_id"))+1,FALSE)</f>
        <v>クラーケン</v>
      </c>
      <c r="D174" s="31">
        <f ca="1">VLOOKUP($B174,OFFSET(units!$A$1,0,0,COUNTA(units!$A:$A),MATCH(D$1,units!$1:$1,0)-COLUMN(INDIRECT("character_id"))+1),MATCH(D$1,units!$1:$1,0)-COLUMN(INDIRECT("character_id"))+1,FALSE)</f>
        <v>3</v>
      </c>
      <c r="E174" s="31" t="str">
        <f ca="1">VLOOKUP($B174,OFFSET(units!$A$1,0,0,COUNTA(units!$A:$A),MATCH(E$1,units!$1:$1,0)-COLUMN(INDIRECT("character_id"))+1),MATCH(E$1,units!$1:$1,0)-COLUMN(INDIRECT("character_id"))+1,FALSE)</f>
        <v>PremiumN</v>
      </c>
      <c r="F174" s="56">
        <v>111</v>
      </c>
      <c r="G174" s="31" t="str">
        <f ca="1">VLOOKUP($F174,OFFSET(units!$A$1,0,0,COUNTA(units!$A:$A),MATCH(G$1,units!$1:$1,0)-COLUMN(INDIRECT("character_id"))+1),MATCH(G$1,units!$1:$1,0)-COLUMN(INDIRECT("character_id"))+1,FALSE)</f>
        <v>ブルーキャタップ</v>
      </c>
      <c r="H174" s="26">
        <v>2</v>
      </c>
      <c r="I174" s="202">
        <v>1</v>
      </c>
    </row>
    <row r="175" spans="1:9" ht="21" customHeight="1" x14ac:dyDescent="0.15">
      <c r="A175" s="96" t="str">
        <f t="shared" si="2"/>
        <v>184_110</v>
      </c>
      <c r="B175" s="56">
        <v>184</v>
      </c>
      <c r="C175" s="31" t="str">
        <f ca="1">VLOOKUP($B175,OFFSET(units!$A$1,0,0,COUNTA(units!$A:$A),MATCH(C$1,units!$1:$1,0)-COLUMN(INDIRECT("character_id"))+1),MATCH(C$1,units!$1:$1,0)-COLUMN(INDIRECT("character_id"))+1,FALSE)</f>
        <v>クラーケン</v>
      </c>
      <c r="D175" s="31">
        <f ca="1">VLOOKUP($B175,OFFSET(units!$A$1,0,0,COUNTA(units!$A:$A),MATCH(D$1,units!$1:$1,0)-COLUMN(INDIRECT("character_id"))+1),MATCH(D$1,units!$1:$1,0)-COLUMN(INDIRECT("character_id"))+1,FALSE)</f>
        <v>3</v>
      </c>
      <c r="E175" s="31" t="str">
        <f ca="1">VLOOKUP($B175,OFFSET(units!$A$1,0,0,COUNTA(units!$A:$A),MATCH(E$1,units!$1:$1,0)-COLUMN(INDIRECT("character_id"))+1),MATCH(E$1,units!$1:$1,0)-COLUMN(INDIRECT("character_id"))+1,FALSE)</f>
        <v>PremiumN</v>
      </c>
      <c r="F175" s="56">
        <v>110</v>
      </c>
      <c r="G175" s="31" t="str">
        <f ca="1">VLOOKUP($F175,OFFSET(units!$A$1,0,0,COUNTA(units!$A:$A),MATCH(G$1,units!$1:$1,0)-COLUMN(INDIRECT("character_id"))+1),MATCH(G$1,units!$1:$1,0)-COLUMN(INDIRECT("character_id"))+1,FALSE)</f>
        <v>ブルーラビット</v>
      </c>
      <c r="H175" s="26">
        <v>1</v>
      </c>
      <c r="I175" s="202">
        <v>1</v>
      </c>
    </row>
    <row r="176" spans="1:9" ht="21" customHeight="1" x14ac:dyDescent="0.15">
      <c r="A176" s="96" t="str">
        <f t="shared" si="2"/>
        <v>184_109</v>
      </c>
      <c r="B176" s="56">
        <v>184</v>
      </c>
      <c r="C176" s="31" t="str">
        <f ca="1">VLOOKUP($B176,OFFSET(units!$A$1,0,0,COUNTA(units!$A:$A),MATCH(C$1,units!$1:$1,0)-COLUMN(INDIRECT("character_id"))+1),MATCH(C$1,units!$1:$1,0)-COLUMN(INDIRECT("character_id"))+1,FALSE)</f>
        <v>クラーケン</v>
      </c>
      <c r="D176" s="31">
        <f ca="1">VLOOKUP($B176,OFFSET(units!$A$1,0,0,COUNTA(units!$A:$A),MATCH(D$1,units!$1:$1,0)-COLUMN(INDIRECT("character_id"))+1),MATCH(D$1,units!$1:$1,0)-COLUMN(INDIRECT("character_id"))+1,FALSE)</f>
        <v>3</v>
      </c>
      <c r="E176" s="31" t="str">
        <f ca="1">VLOOKUP($B176,OFFSET(units!$A$1,0,0,COUNTA(units!$A:$A),MATCH(E$1,units!$1:$1,0)-COLUMN(INDIRECT("character_id"))+1),MATCH(E$1,units!$1:$1,0)-COLUMN(INDIRECT("character_id"))+1,FALSE)</f>
        <v>PremiumN</v>
      </c>
      <c r="F176" s="56">
        <v>109</v>
      </c>
      <c r="G176" s="31" t="str">
        <f ca="1">VLOOKUP($F176,OFFSET(units!$A$1,0,0,COUNTA(units!$A:$A),MATCH(G$1,units!$1:$1,0)-COLUMN(INDIRECT("character_id"))+1),MATCH(G$1,units!$1:$1,0)-COLUMN(INDIRECT("character_id"))+1,FALSE)</f>
        <v>ブルーチェシャ</v>
      </c>
      <c r="H176" s="26">
        <v>2</v>
      </c>
      <c r="I176" s="202">
        <v>1</v>
      </c>
    </row>
    <row r="177" spans="1:9" ht="21" customHeight="1" x14ac:dyDescent="0.15">
      <c r="A177" s="96" t="str">
        <f t="shared" si="2"/>
        <v>185_112</v>
      </c>
      <c r="B177" s="56">
        <v>185</v>
      </c>
      <c r="C177" s="31" t="str">
        <f ca="1">VLOOKUP($B177,OFFSET(units!$A$1,0,0,COUNTA(units!$A:$A),MATCH(C$1,units!$1:$1,0)-COLUMN(INDIRECT("character_id"))+1),MATCH(C$1,units!$1:$1,0)-COLUMN(INDIRECT("character_id"))+1,FALSE)</f>
        <v>海姫 クラーケン</v>
      </c>
      <c r="D177" s="31">
        <f ca="1">VLOOKUP($B177,OFFSET(units!$A$1,0,0,COUNTA(units!$A:$A),MATCH(D$1,units!$1:$1,0)-COLUMN(INDIRECT("character_id"))+1),MATCH(D$1,units!$1:$1,0)-COLUMN(INDIRECT("character_id"))+1,FALSE)</f>
        <v>4</v>
      </c>
      <c r="E177" s="31" t="str">
        <f ca="1">VLOOKUP($B177,OFFSET(units!$A$1,0,0,COUNTA(units!$A:$A),MATCH(E$1,units!$1:$1,0)-COLUMN(INDIRECT("character_id"))+1),MATCH(E$1,units!$1:$1,0)-COLUMN(INDIRECT("character_id"))+1,FALSE)</f>
        <v>PremiumN</v>
      </c>
      <c r="F177" s="56">
        <v>112</v>
      </c>
      <c r="G177" s="31" t="str">
        <f ca="1">VLOOKUP($F177,OFFSET(units!$A$1,0,0,COUNTA(units!$A:$A),MATCH(G$1,units!$1:$1,0)-COLUMN(INDIRECT("character_id"))+1),MATCH(G$1,units!$1:$1,0)-COLUMN(INDIRECT("character_id"))+1,FALSE)</f>
        <v>水のマッドハッター</v>
      </c>
      <c r="H177" s="26">
        <v>1</v>
      </c>
      <c r="I177" s="202">
        <v>1</v>
      </c>
    </row>
    <row r="178" spans="1:9" ht="21" customHeight="1" x14ac:dyDescent="0.15">
      <c r="A178" s="96" t="str">
        <f t="shared" si="2"/>
        <v>185_110</v>
      </c>
      <c r="B178" s="56">
        <v>185</v>
      </c>
      <c r="C178" s="31" t="str">
        <f ca="1">VLOOKUP($B178,OFFSET(units!$A$1,0,0,COUNTA(units!$A:$A),MATCH(C$1,units!$1:$1,0)-COLUMN(INDIRECT("character_id"))+1),MATCH(C$1,units!$1:$1,0)-COLUMN(INDIRECT("character_id"))+1,FALSE)</f>
        <v>海姫 クラーケン</v>
      </c>
      <c r="D178" s="31">
        <f ca="1">VLOOKUP($B178,OFFSET(units!$A$1,0,0,COUNTA(units!$A:$A),MATCH(D$1,units!$1:$1,0)-COLUMN(INDIRECT("character_id"))+1),MATCH(D$1,units!$1:$1,0)-COLUMN(INDIRECT("character_id"))+1,FALSE)</f>
        <v>4</v>
      </c>
      <c r="E178" s="31" t="str">
        <f ca="1">VLOOKUP($B178,OFFSET(units!$A$1,0,0,COUNTA(units!$A:$A),MATCH(E$1,units!$1:$1,0)-COLUMN(INDIRECT("character_id"))+1),MATCH(E$1,units!$1:$1,0)-COLUMN(INDIRECT("character_id"))+1,FALSE)</f>
        <v>PremiumN</v>
      </c>
      <c r="F178" s="56">
        <v>110</v>
      </c>
      <c r="G178" s="31" t="str">
        <f ca="1">VLOOKUP($F178,OFFSET(units!$A$1,0,0,COUNTA(units!$A:$A),MATCH(G$1,units!$1:$1,0)-COLUMN(INDIRECT("character_id"))+1),MATCH(G$1,units!$1:$1,0)-COLUMN(INDIRECT("character_id"))+1,FALSE)</f>
        <v>ブルーラビット</v>
      </c>
      <c r="H178" s="26">
        <v>4</v>
      </c>
      <c r="I178" s="202">
        <v>1</v>
      </c>
    </row>
    <row r="179" spans="1:9" ht="21" customHeight="1" x14ac:dyDescent="0.15">
      <c r="A179" s="96" t="str">
        <f t="shared" si="2"/>
        <v>187_115</v>
      </c>
      <c r="B179" s="56">
        <v>187</v>
      </c>
      <c r="C179" s="31" t="str">
        <f ca="1">VLOOKUP($B179,OFFSET(units!$A$1,0,0,COUNTA(units!$A:$A),MATCH(C$1,units!$1:$1,0)-COLUMN(INDIRECT("character_id"))+1),MATCH(C$1,units!$1:$1,0)-COLUMN(INDIRECT("character_id"))+1,FALSE)</f>
        <v>ホルス</v>
      </c>
      <c r="D179" s="31">
        <f ca="1">VLOOKUP($B179,OFFSET(units!$A$1,0,0,COUNTA(units!$A:$A),MATCH(D$1,units!$1:$1,0)-COLUMN(INDIRECT("character_id"))+1),MATCH(D$1,units!$1:$1,0)-COLUMN(INDIRECT("character_id"))+1,FALSE)</f>
        <v>3</v>
      </c>
      <c r="E179" s="31" t="str">
        <f ca="1">VLOOKUP($B179,OFFSET(units!$A$1,0,0,COUNTA(units!$A:$A),MATCH(E$1,units!$1:$1,0)-COLUMN(INDIRECT("character_id"))+1),MATCH(E$1,units!$1:$1,0)-COLUMN(INDIRECT("character_id"))+1,FALSE)</f>
        <v>PremiumN</v>
      </c>
      <c r="F179" s="56">
        <v>115</v>
      </c>
      <c r="G179" s="31" t="str">
        <f ca="1">VLOOKUP($F179,OFFSET(units!$A$1,0,0,COUNTA(units!$A:$A),MATCH(G$1,units!$1:$1,0)-COLUMN(INDIRECT("character_id"))+1),MATCH(G$1,units!$1:$1,0)-COLUMN(INDIRECT("character_id"))+1,FALSE)</f>
        <v>イエローキャタップ</v>
      </c>
      <c r="H179" s="26">
        <v>2</v>
      </c>
      <c r="I179" s="202">
        <v>1</v>
      </c>
    </row>
    <row r="180" spans="1:9" ht="21" customHeight="1" x14ac:dyDescent="0.15">
      <c r="A180" s="96" t="str">
        <f t="shared" si="2"/>
        <v>187_114</v>
      </c>
      <c r="B180" s="56">
        <v>187</v>
      </c>
      <c r="C180" s="31" t="str">
        <f ca="1">VLOOKUP($B180,OFFSET(units!$A$1,0,0,COUNTA(units!$A:$A),MATCH(C$1,units!$1:$1,0)-COLUMN(INDIRECT("character_id"))+1),MATCH(C$1,units!$1:$1,0)-COLUMN(INDIRECT("character_id"))+1,FALSE)</f>
        <v>ホルス</v>
      </c>
      <c r="D180" s="31">
        <f ca="1">VLOOKUP($B180,OFFSET(units!$A$1,0,0,COUNTA(units!$A:$A),MATCH(D$1,units!$1:$1,0)-COLUMN(INDIRECT("character_id"))+1),MATCH(D$1,units!$1:$1,0)-COLUMN(INDIRECT("character_id"))+1,FALSE)</f>
        <v>3</v>
      </c>
      <c r="E180" s="31" t="str">
        <f ca="1">VLOOKUP($B180,OFFSET(units!$A$1,0,0,COUNTA(units!$A:$A),MATCH(E$1,units!$1:$1,0)-COLUMN(INDIRECT("character_id"))+1),MATCH(E$1,units!$1:$1,0)-COLUMN(INDIRECT("character_id"))+1,FALSE)</f>
        <v>PremiumN</v>
      </c>
      <c r="F180" s="56">
        <v>114</v>
      </c>
      <c r="G180" s="31" t="str">
        <f ca="1">VLOOKUP($F180,OFFSET(units!$A$1,0,0,COUNTA(units!$A:$A),MATCH(G$1,units!$1:$1,0)-COLUMN(INDIRECT("character_id"))+1),MATCH(G$1,units!$1:$1,0)-COLUMN(INDIRECT("character_id"))+1,FALSE)</f>
        <v>イエローラビット</v>
      </c>
      <c r="H180" s="26">
        <v>1</v>
      </c>
      <c r="I180" s="202">
        <v>1</v>
      </c>
    </row>
    <row r="181" spans="1:9" ht="21" customHeight="1" x14ac:dyDescent="0.15">
      <c r="A181" s="96" t="str">
        <f t="shared" si="2"/>
        <v>187_113</v>
      </c>
      <c r="B181" s="56">
        <v>187</v>
      </c>
      <c r="C181" s="31" t="str">
        <f ca="1">VLOOKUP($B181,OFFSET(units!$A$1,0,0,COUNTA(units!$A:$A),MATCH(C$1,units!$1:$1,0)-COLUMN(INDIRECT("character_id"))+1),MATCH(C$1,units!$1:$1,0)-COLUMN(INDIRECT("character_id"))+1,FALSE)</f>
        <v>ホルス</v>
      </c>
      <c r="D181" s="31">
        <f ca="1">VLOOKUP($B181,OFFSET(units!$A$1,0,0,COUNTA(units!$A:$A),MATCH(D$1,units!$1:$1,0)-COLUMN(INDIRECT("character_id"))+1),MATCH(D$1,units!$1:$1,0)-COLUMN(INDIRECT("character_id"))+1,FALSE)</f>
        <v>3</v>
      </c>
      <c r="E181" s="31" t="str">
        <f ca="1">VLOOKUP($B181,OFFSET(units!$A$1,0,0,COUNTA(units!$A:$A),MATCH(E$1,units!$1:$1,0)-COLUMN(INDIRECT("character_id"))+1),MATCH(E$1,units!$1:$1,0)-COLUMN(INDIRECT("character_id"))+1,FALSE)</f>
        <v>PremiumN</v>
      </c>
      <c r="F181" s="56">
        <v>113</v>
      </c>
      <c r="G181" s="31" t="str">
        <f ca="1">VLOOKUP($F181,OFFSET(units!$A$1,0,0,COUNTA(units!$A:$A),MATCH(G$1,units!$1:$1,0)-COLUMN(INDIRECT("character_id"))+1),MATCH(G$1,units!$1:$1,0)-COLUMN(INDIRECT("character_id"))+1,FALSE)</f>
        <v>イエローチェシャ</v>
      </c>
      <c r="H181" s="26">
        <v>2</v>
      </c>
      <c r="I181" s="202">
        <v>1</v>
      </c>
    </row>
    <row r="182" spans="1:9" ht="21" customHeight="1" x14ac:dyDescent="0.15">
      <c r="A182" s="96" t="str">
        <f t="shared" si="2"/>
        <v>188_116</v>
      </c>
      <c r="B182" s="56">
        <v>188</v>
      </c>
      <c r="C182" s="31" t="str">
        <f ca="1">VLOOKUP($B182,OFFSET(units!$A$1,0,0,COUNTA(units!$A:$A),MATCH(C$1,units!$1:$1,0)-COLUMN(INDIRECT("character_id"))+1),MATCH(C$1,units!$1:$1,0)-COLUMN(INDIRECT("character_id"))+1,FALSE)</f>
        <v>猛禽 ホルス</v>
      </c>
      <c r="D182" s="31">
        <f ca="1">VLOOKUP($B182,OFFSET(units!$A$1,0,0,COUNTA(units!$A:$A),MATCH(D$1,units!$1:$1,0)-COLUMN(INDIRECT("character_id"))+1),MATCH(D$1,units!$1:$1,0)-COLUMN(INDIRECT("character_id"))+1,FALSE)</f>
        <v>4</v>
      </c>
      <c r="E182" s="31" t="str">
        <f ca="1">VLOOKUP($B182,OFFSET(units!$A$1,0,0,COUNTA(units!$A:$A),MATCH(E$1,units!$1:$1,0)-COLUMN(INDIRECT("character_id"))+1),MATCH(E$1,units!$1:$1,0)-COLUMN(INDIRECT("character_id"))+1,FALSE)</f>
        <v>PremiumN</v>
      </c>
      <c r="F182" s="56">
        <v>116</v>
      </c>
      <c r="G182" s="31" t="str">
        <f ca="1">VLOOKUP($F182,OFFSET(units!$A$1,0,0,COUNTA(units!$A:$A),MATCH(G$1,units!$1:$1,0)-COLUMN(INDIRECT("character_id"))+1),MATCH(G$1,units!$1:$1,0)-COLUMN(INDIRECT("character_id"))+1,FALSE)</f>
        <v>雷のマッドハッター</v>
      </c>
      <c r="H182" s="26">
        <v>1</v>
      </c>
      <c r="I182" s="202">
        <v>1</v>
      </c>
    </row>
    <row r="183" spans="1:9" ht="21" customHeight="1" x14ac:dyDescent="0.15">
      <c r="A183" s="96" t="str">
        <f t="shared" si="2"/>
        <v>188_114</v>
      </c>
      <c r="B183" s="56">
        <v>188</v>
      </c>
      <c r="C183" s="31" t="str">
        <f ca="1">VLOOKUP($B183,OFFSET(units!$A$1,0,0,COUNTA(units!$A:$A),MATCH(C$1,units!$1:$1,0)-COLUMN(INDIRECT("character_id"))+1),MATCH(C$1,units!$1:$1,0)-COLUMN(INDIRECT("character_id"))+1,FALSE)</f>
        <v>猛禽 ホルス</v>
      </c>
      <c r="D183" s="31">
        <f ca="1">VLOOKUP($B183,OFFSET(units!$A$1,0,0,COUNTA(units!$A:$A),MATCH(D$1,units!$1:$1,0)-COLUMN(INDIRECT("character_id"))+1),MATCH(D$1,units!$1:$1,0)-COLUMN(INDIRECT("character_id"))+1,FALSE)</f>
        <v>4</v>
      </c>
      <c r="E183" s="31" t="str">
        <f ca="1">VLOOKUP($B183,OFFSET(units!$A$1,0,0,COUNTA(units!$A:$A),MATCH(E$1,units!$1:$1,0)-COLUMN(INDIRECT("character_id"))+1),MATCH(E$1,units!$1:$1,0)-COLUMN(INDIRECT("character_id"))+1,FALSE)</f>
        <v>PremiumN</v>
      </c>
      <c r="F183" s="56">
        <v>114</v>
      </c>
      <c r="G183" s="31" t="str">
        <f ca="1">VLOOKUP($F183,OFFSET(units!$A$1,0,0,COUNTA(units!$A:$A),MATCH(G$1,units!$1:$1,0)-COLUMN(INDIRECT("character_id"))+1),MATCH(G$1,units!$1:$1,0)-COLUMN(INDIRECT("character_id"))+1,FALSE)</f>
        <v>イエローラビット</v>
      </c>
      <c r="H183" s="26">
        <v>4</v>
      </c>
      <c r="I183" s="202">
        <v>1</v>
      </c>
    </row>
    <row r="184" spans="1:9" ht="21" customHeight="1" x14ac:dyDescent="0.15">
      <c r="A184" s="96" t="str">
        <f t="shared" si="2"/>
        <v>190_103</v>
      </c>
      <c r="B184" s="56">
        <v>190</v>
      </c>
      <c r="C184" s="31" t="str">
        <f ca="1">VLOOKUP($B184,OFFSET(units!$A$1,0,0,COUNTA(units!$A:$A),MATCH(C$1,units!$1:$1,0)-COLUMN(INDIRECT("character_id"))+1),MATCH(C$1,units!$1:$1,0)-COLUMN(INDIRECT("character_id"))+1,FALSE)</f>
        <v>卑弥呼</v>
      </c>
      <c r="D184" s="31">
        <f ca="1">VLOOKUP($B184,OFFSET(units!$A$1,0,0,COUNTA(units!$A:$A),MATCH(D$1,units!$1:$1,0)-COLUMN(INDIRECT("character_id"))+1),MATCH(D$1,units!$1:$1,0)-COLUMN(INDIRECT("character_id"))+1,FALSE)</f>
        <v>3</v>
      </c>
      <c r="E184" s="31" t="str">
        <f ca="1">VLOOKUP($B184,OFFSET(units!$A$1,0,0,COUNTA(units!$A:$A),MATCH(E$1,units!$1:$1,0)-COLUMN(INDIRECT("character_id"))+1),MATCH(E$1,units!$1:$1,0)-COLUMN(INDIRECT("character_id"))+1,FALSE)</f>
        <v>PremiumN</v>
      </c>
      <c r="F184" s="56">
        <v>103</v>
      </c>
      <c r="G184" s="31" t="str">
        <f ca="1">VLOOKUP($F184,OFFSET(units!$A$1,0,0,COUNTA(units!$A:$A),MATCH(G$1,units!$1:$1,0)-COLUMN(INDIRECT("character_id"))+1),MATCH(G$1,units!$1:$1,0)-COLUMN(INDIRECT("character_id"))+1,FALSE)</f>
        <v>レッドキャタップ</v>
      </c>
      <c r="H184" s="26">
        <v>2</v>
      </c>
      <c r="I184" s="202">
        <v>1</v>
      </c>
    </row>
    <row r="185" spans="1:9" ht="21" customHeight="1" x14ac:dyDescent="0.15">
      <c r="A185" s="96" t="str">
        <f t="shared" si="2"/>
        <v>190_102</v>
      </c>
      <c r="B185" s="56">
        <v>190</v>
      </c>
      <c r="C185" s="31" t="str">
        <f ca="1">VLOOKUP($B185,OFFSET(units!$A$1,0,0,COUNTA(units!$A:$A),MATCH(C$1,units!$1:$1,0)-COLUMN(INDIRECT("character_id"))+1),MATCH(C$1,units!$1:$1,0)-COLUMN(INDIRECT("character_id"))+1,FALSE)</f>
        <v>卑弥呼</v>
      </c>
      <c r="D185" s="31">
        <f ca="1">VLOOKUP($B185,OFFSET(units!$A$1,0,0,COUNTA(units!$A:$A),MATCH(D$1,units!$1:$1,0)-COLUMN(INDIRECT("character_id"))+1),MATCH(D$1,units!$1:$1,0)-COLUMN(INDIRECT("character_id"))+1,FALSE)</f>
        <v>3</v>
      </c>
      <c r="E185" s="31" t="str">
        <f ca="1">VLOOKUP($B185,OFFSET(units!$A$1,0,0,COUNTA(units!$A:$A),MATCH(E$1,units!$1:$1,0)-COLUMN(INDIRECT("character_id"))+1),MATCH(E$1,units!$1:$1,0)-COLUMN(INDIRECT("character_id"))+1,FALSE)</f>
        <v>PremiumN</v>
      </c>
      <c r="F185" s="56">
        <v>102</v>
      </c>
      <c r="G185" s="31" t="str">
        <f ca="1">VLOOKUP($F185,OFFSET(units!$A$1,0,0,COUNTA(units!$A:$A),MATCH(G$1,units!$1:$1,0)-COLUMN(INDIRECT("character_id"))+1),MATCH(G$1,units!$1:$1,0)-COLUMN(INDIRECT("character_id"))+1,FALSE)</f>
        <v>レッドラビット</v>
      </c>
      <c r="H185" s="26">
        <v>2</v>
      </c>
      <c r="I185" s="202">
        <v>1</v>
      </c>
    </row>
    <row r="186" spans="1:9" ht="21" customHeight="1" x14ac:dyDescent="0.15">
      <c r="A186" s="96" t="str">
        <f t="shared" si="2"/>
        <v>191_104</v>
      </c>
      <c r="B186" s="56">
        <v>191</v>
      </c>
      <c r="C186" s="31" t="str">
        <f ca="1">VLOOKUP($B186,OFFSET(units!$A$1,0,0,COUNTA(units!$A:$A),MATCH(C$1,units!$1:$1,0)-COLUMN(INDIRECT("character_id"))+1),MATCH(C$1,units!$1:$1,0)-COLUMN(INDIRECT("character_id"))+1,FALSE)</f>
        <v>始祖 卑弥呼</v>
      </c>
      <c r="D186" s="31">
        <f ca="1">VLOOKUP($B186,OFFSET(units!$A$1,0,0,COUNTA(units!$A:$A),MATCH(D$1,units!$1:$1,0)-COLUMN(INDIRECT("character_id"))+1),MATCH(D$1,units!$1:$1,0)-COLUMN(INDIRECT("character_id"))+1,FALSE)</f>
        <v>4</v>
      </c>
      <c r="E186" s="31" t="str">
        <f ca="1">VLOOKUP($B186,OFFSET(units!$A$1,0,0,COUNTA(units!$A:$A),MATCH(E$1,units!$1:$1,0)-COLUMN(INDIRECT("character_id"))+1),MATCH(E$1,units!$1:$1,0)-COLUMN(INDIRECT("character_id"))+1,FALSE)</f>
        <v>PremiumN</v>
      </c>
      <c r="F186" s="56">
        <v>104</v>
      </c>
      <c r="G186" s="31" t="str">
        <f ca="1">VLOOKUP($F186,OFFSET(units!$A$1,0,0,COUNTA(units!$A:$A),MATCH(G$1,units!$1:$1,0)-COLUMN(INDIRECT("character_id"))+1),MATCH(G$1,units!$1:$1,0)-COLUMN(INDIRECT("character_id"))+1,FALSE)</f>
        <v>炎のマッドハッター</v>
      </c>
      <c r="H186" s="26">
        <v>1</v>
      </c>
      <c r="I186" s="202">
        <v>1</v>
      </c>
    </row>
    <row r="187" spans="1:9" ht="21" customHeight="1" x14ac:dyDescent="0.15">
      <c r="A187" s="96" t="str">
        <f t="shared" si="2"/>
        <v>191_103</v>
      </c>
      <c r="B187" s="56">
        <v>191</v>
      </c>
      <c r="C187" s="31" t="str">
        <f ca="1">VLOOKUP($B187,OFFSET(units!$A$1,0,0,COUNTA(units!$A:$A),MATCH(C$1,units!$1:$1,0)-COLUMN(INDIRECT("character_id"))+1),MATCH(C$1,units!$1:$1,0)-COLUMN(INDIRECT("character_id"))+1,FALSE)</f>
        <v>始祖 卑弥呼</v>
      </c>
      <c r="D187" s="31">
        <f ca="1">VLOOKUP($B187,OFFSET(units!$A$1,0,0,COUNTA(units!$A:$A),MATCH(D$1,units!$1:$1,0)-COLUMN(INDIRECT("character_id"))+1),MATCH(D$1,units!$1:$1,0)-COLUMN(INDIRECT("character_id"))+1,FALSE)</f>
        <v>4</v>
      </c>
      <c r="E187" s="31" t="str">
        <f ca="1">VLOOKUP($B187,OFFSET(units!$A$1,0,0,COUNTA(units!$A:$A),MATCH(E$1,units!$1:$1,0)-COLUMN(INDIRECT("character_id"))+1),MATCH(E$1,units!$1:$1,0)-COLUMN(INDIRECT("character_id"))+1,FALSE)</f>
        <v>PremiumN</v>
      </c>
      <c r="F187" s="56">
        <v>103</v>
      </c>
      <c r="G187" s="31" t="str">
        <f ca="1">VLOOKUP($F187,OFFSET(units!$A$1,0,0,COUNTA(units!$A:$A),MATCH(G$1,units!$1:$1,0)-COLUMN(INDIRECT("character_id"))+1),MATCH(G$1,units!$1:$1,0)-COLUMN(INDIRECT("character_id"))+1,FALSE)</f>
        <v>レッドキャタップ</v>
      </c>
      <c r="H187" s="26">
        <v>1</v>
      </c>
      <c r="I187" s="202">
        <v>1</v>
      </c>
    </row>
    <row r="188" spans="1:9" ht="21" customHeight="1" x14ac:dyDescent="0.15">
      <c r="A188" s="96" t="str">
        <f t="shared" si="2"/>
        <v>191_102</v>
      </c>
      <c r="B188" s="56">
        <v>191</v>
      </c>
      <c r="C188" s="31" t="str">
        <f ca="1">VLOOKUP($B188,OFFSET(units!$A$1,0,0,COUNTA(units!$A:$A),MATCH(C$1,units!$1:$1,0)-COLUMN(INDIRECT("character_id"))+1),MATCH(C$1,units!$1:$1,0)-COLUMN(INDIRECT("character_id"))+1,FALSE)</f>
        <v>始祖 卑弥呼</v>
      </c>
      <c r="D188" s="31">
        <f ca="1">VLOOKUP($B188,OFFSET(units!$A$1,0,0,COUNTA(units!$A:$A),MATCH(D$1,units!$1:$1,0)-COLUMN(INDIRECT("character_id"))+1),MATCH(D$1,units!$1:$1,0)-COLUMN(INDIRECT("character_id"))+1,FALSE)</f>
        <v>4</v>
      </c>
      <c r="E188" s="31" t="str">
        <f ca="1">VLOOKUP($B188,OFFSET(units!$A$1,0,0,COUNTA(units!$A:$A),MATCH(E$1,units!$1:$1,0)-COLUMN(INDIRECT("character_id"))+1),MATCH(E$1,units!$1:$1,0)-COLUMN(INDIRECT("character_id"))+1,FALSE)</f>
        <v>PremiumN</v>
      </c>
      <c r="F188" s="56">
        <v>102</v>
      </c>
      <c r="G188" s="31" t="str">
        <f ca="1">VLOOKUP($F188,OFFSET(units!$A$1,0,0,COUNTA(units!$A:$A),MATCH(G$1,units!$1:$1,0)-COLUMN(INDIRECT("character_id"))+1),MATCH(G$1,units!$1:$1,0)-COLUMN(INDIRECT("character_id"))+1,FALSE)</f>
        <v>レッドラビット</v>
      </c>
      <c r="H188" s="26">
        <v>3</v>
      </c>
      <c r="I188" s="202">
        <v>1</v>
      </c>
    </row>
    <row r="189" spans="1:9" ht="21" customHeight="1" x14ac:dyDescent="0.15">
      <c r="A189" s="96" t="str">
        <f t="shared" si="2"/>
        <v>193_107</v>
      </c>
      <c r="B189" s="56">
        <v>193</v>
      </c>
      <c r="C189" s="31" t="str">
        <f ca="1">VLOOKUP($B189,OFFSET(units!$A$1,0,0,COUNTA(units!$A:$A),MATCH(C$1,units!$1:$1,0)-COLUMN(INDIRECT("character_id"))+1),MATCH(C$1,units!$1:$1,0)-COLUMN(INDIRECT("character_id"))+1,FALSE)</f>
        <v>ロビンフッド</v>
      </c>
      <c r="D189" s="31">
        <f ca="1">VLOOKUP($B189,OFFSET(units!$A$1,0,0,COUNTA(units!$A:$A),MATCH(D$1,units!$1:$1,0)-COLUMN(INDIRECT("character_id"))+1),MATCH(D$1,units!$1:$1,0)-COLUMN(INDIRECT("character_id"))+1,FALSE)</f>
        <v>3</v>
      </c>
      <c r="E189" s="31" t="str">
        <f ca="1">VLOOKUP($B189,OFFSET(units!$A$1,0,0,COUNTA(units!$A:$A),MATCH(E$1,units!$1:$1,0)-COLUMN(INDIRECT("character_id"))+1),MATCH(E$1,units!$1:$1,0)-COLUMN(INDIRECT("character_id"))+1,FALSE)</f>
        <v>PremiumN</v>
      </c>
      <c r="F189" s="56">
        <v>107</v>
      </c>
      <c r="G189" s="31" t="str">
        <f ca="1">VLOOKUP($F189,OFFSET(units!$A$1,0,0,COUNTA(units!$A:$A),MATCH(G$1,units!$1:$1,0)-COLUMN(INDIRECT("character_id"))+1),MATCH(G$1,units!$1:$1,0)-COLUMN(INDIRECT("character_id"))+1,FALSE)</f>
        <v>グリーンキャタップ</v>
      </c>
      <c r="H189" s="26">
        <v>2</v>
      </c>
      <c r="I189" s="202">
        <v>1</v>
      </c>
    </row>
    <row r="190" spans="1:9" ht="21" customHeight="1" x14ac:dyDescent="0.15">
      <c r="A190" s="96" t="str">
        <f t="shared" si="2"/>
        <v>193_106</v>
      </c>
      <c r="B190" s="56">
        <v>193</v>
      </c>
      <c r="C190" s="31" t="str">
        <f ca="1">VLOOKUP($B190,OFFSET(units!$A$1,0,0,COUNTA(units!$A:$A),MATCH(C$1,units!$1:$1,0)-COLUMN(INDIRECT("character_id"))+1),MATCH(C$1,units!$1:$1,0)-COLUMN(INDIRECT("character_id"))+1,FALSE)</f>
        <v>ロビンフッド</v>
      </c>
      <c r="D190" s="31">
        <f ca="1">VLOOKUP($B190,OFFSET(units!$A$1,0,0,COUNTA(units!$A:$A),MATCH(D$1,units!$1:$1,0)-COLUMN(INDIRECT("character_id"))+1),MATCH(D$1,units!$1:$1,0)-COLUMN(INDIRECT("character_id"))+1,FALSE)</f>
        <v>3</v>
      </c>
      <c r="E190" s="31" t="str">
        <f ca="1">VLOOKUP($B190,OFFSET(units!$A$1,0,0,COUNTA(units!$A:$A),MATCH(E$1,units!$1:$1,0)-COLUMN(INDIRECT("character_id"))+1),MATCH(E$1,units!$1:$1,0)-COLUMN(INDIRECT("character_id"))+1,FALSE)</f>
        <v>PremiumN</v>
      </c>
      <c r="F190" s="56">
        <v>106</v>
      </c>
      <c r="G190" s="31" t="str">
        <f ca="1">VLOOKUP($F190,OFFSET(units!$A$1,0,0,COUNTA(units!$A:$A),MATCH(G$1,units!$1:$1,0)-COLUMN(INDIRECT("character_id"))+1),MATCH(G$1,units!$1:$1,0)-COLUMN(INDIRECT("character_id"))+1,FALSE)</f>
        <v>グリーンラビット</v>
      </c>
      <c r="H190" s="26">
        <v>2</v>
      </c>
      <c r="I190" s="202">
        <v>1</v>
      </c>
    </row>
    <row r="191" spans="1:9" ht="21" customHeight="1" x14ac:dyDescent="0.15">
      <c r="A191" s="96" t="str">
        <f t="shared" si="2"/>
        <v>194_108</v>
      </c>
      <c r="B191" s="56">
        <v>194</v>
      </c>
      <c r="C191" s="31" t="str">
        <f ca="1">VLOOKUP($B191,OFFSET(units!$A$1,0,0,COUNTA(units!$A:$A),MATCH(C$1,units!$1:$1,0)-COLUMN(INDIRECT("character_id"))+1),MATCH(C$1,units!$1:$1,0)-COLUMN(INDIRECT("character_id"))+1,FALSE)</f>
        <v>スナイパー ロビンフッド</v>
      </c>
      <c r="D191" s="31">
        <f ca="1">VLOOKUP($B191,OFFSET(units!$A$1,0,0,COUNTA(units!$A:$A),MATCH(D$1,units!$1:$1,0)-COLUMN(INDIRECT("character_id"))+1),MATCH(D$1,units!$1:$1,0)-COLUMN(INDIRECT("character_id"))+1,FALSE)</f>
        <v>4</v>
      </c>
      <c r="E191" s="31" t="str">
        <f ca="1">VLOOKUP($B191,OFFSET(units!$A$1,0,0,COUNTA(units!$A:$A),MATCH(E$1,units!$1:$1,0)-COLUMN(INDIRECT("character_id"))+1),MATCH(E$1,units!$1:$1,0)-COLUMN(INDIRECT("character_id"))+1,FALSE)</f>
        <v>PremiumN</v>
      </c>
      <c r="F191" s="56">
        <v>108</v>
      </c>
      <c r="G191" s="31" t="str">
        <f ca="1">VLOOKUP($F191,OFFSET(units!$A$1,0,0,COUNTA(units!$A:$A),MATCH(G$1,units!$1:$1,0)-COLUMN(INDIRECT("character_id"))+1),MATCH(G$1,units!$1:$1,0)-COLUMN(INDIRECT("character_id"))+1,FALSE)</f>
        <v>森のマッドハッター</v>
      </c>
      <c r="H191" s="26">
        <v>1</v>
      </c>
      <c r="I191" s="202">
        <v>1</v>
      </c>
    </row>
    <row r="192" spans="1:9" ht="21" customHeight="1" x14ac:dyDescent="0.15">
      <c r="A192" s="96" t="str">
        <f t="shared" si="2"/>
        <v>194_107</v>
      </c>
      <c r="B192" s="56">
        <v>194</v>
      </c>
      <c r="C192" s="31" t="str">
        <f ca="1">VLOOKUP($B192,OFFSET(units!$A$1,0,0,COUNTA(units!$A:$A),MATCH(C$1,units!$1:$1,0)-COLUMN(INDIRECT("character_id"))+1),MATCH(C$1,units!$1:$1,0)-COLUMN(INDIRECT("character_id"))+1,FALSE)</f>
        <v>スナイパー ロビンフッド</v>
      </c>
      <c r="D192" s="31">
        <f ca="1">VLOOKUP($B192,OFFSET(units!$A$1,0,0,COUNTA(units!$A:$A),MATCH(D$1,units!$1:$1,0)-COLUMN(INDIRECT("character_id"))+1),MATCH(D$1,units!$1:$1,0)-COLUMN(INDIRECT("character_id"))+1,FALSE)</f>
        <v>4</v>
      </c>
      <c r="E192" s="31" t="str">
        <f ca="1">VLOOKUP($B192,OFFSET(units!$A$1,0,0,COUNTA(units!$A:$A),MATCH(E$1,units!$1:$1,0)-COLUMN(INDIRECT("character_id"))+1),MATCH(E$1,units!$1:$1,0)-COLUMN(INDIRECT("character_id"))+1,FALSE)</f>
        <v>PremiumN</v>
      </c>
      <c r="F192" s="56">
        <v>107</v>
      </c>
      <c r="G192" s="31" t="str">
        <f ca="1">VLOOKUP($F192,OFFSET(units!$A$1,0,0,COUNTA(units!$A:$A),MATCH(G$1,units!$1:$1,0)-COLUMN(INDIRECT("character_id"))+1),MATCH(G$1,units!$1:$1,0)-COLUMN(INDIRECT("character_id"))+1,FALSE)</f>
        <v>グリーンキャタップ</v>
      </c>
      <c r="H192" s="26">
        <v>1</v>
      </c>
      <c r="I192" s="202">
        <v>1</v>
      </c>
    </row>
    <row r="193" spans="1:9" ht="21" customHeight="1" x14ac:dyDescent="0.15">
      <c r="A193" s="96" t="str">
        <f t="shared" si="2"/>
        <v>194_106</v>
      </c>
      <c r="B193" s="56">
        <v>194</v>
      </c>
      <c r="C193" s="31" t="str">
        <f ca="1">VLOOKUP($B193,OFFSET(units!$A$1,0,0,COUNTA(units!$A:$A),MATCH(C$1,units!$1:$1,0)-COLUMN(INDIRECT("character_id"))+1),MATCH(C$1,units!$1:$1,0)-COLUMN(INDIRECT("character_id"))+1,FALSE)</f>
        <v>スナイパー ロビンフッド</v>
      </c>
      <c r="D193" s="31">
        <f ca="1">VLOOKUP($B193,OFFSET(units!$A$1,0,0,COUNTA(units!$A:$A),MATCH(D$1,units!$1:$1,0)-COLUMN(INDIRECT("character_id"))+1),MATCH(D$1,units!$1:$1,0)-COLUMN(INDIRECT("character_id"))+1,FALSE)</f>
        <v>4</v>
      </c>
      <c r="E193" s="31" t="str">
        <f ca="1">VLOOKUP($B193,OFFSET(units!$A$1,0,0,COUNTA(units!$A:$A),MATCH(E$1,units!$1:$1,0)-COLUMN(INDIRECT("character_id"))+1),MATCH(E$1,units!$1:$1,0)-COLUMN(INDIRECT("character_id"))+1,FALSE)</f>
        <v>PremiumN</v>
      </c>
      <c r="F193" s="56">
        <v>106</v>
      </c>
      <c r="G193" s="31" t="str">
        <f ca="1">VLOOKUP($F193,OFFSET(units!$A$1,0,0,COUNTA(units!$A:$A),MATCH(G$1,units!$1:$1,0)-COLUMN(INDIRECT("character_id"))+1),MATCH(G$1,units!$1:$1,0)-COLUMN(INDIRECT("character_id"))+1,FALSE)</f>
        <v>グリーンラビット</v>
      </c>
      <c r="H193" s="26">
        <v>3</v>
      </c>
      <c r="I193" s="202">
        <v>1</v>
      </c>
    </row>
    <row r="194" spans="1:9" ht="21" customHeight="1" x14ac:dyDescent="0.15">
      <c r="A194" s="96" t="str">
        <f t="shared" ref="A194:A257" si="3">B194&amp;"_"&amp;F194</f>
        <v>196_115</v>
      </c>
      <c r="B194" s="56">
        <v>196</v>
      </c>
      <c r="C194" s="31" t="str">
        <f ca="1">VLOOKUP($B194,OFFSET(units!$A$1,0,0,COUNTA(units!$A:$A),MATCH(C$1,units!$1:$1,0)-COLUMN(INDIRECT("character_id"))+1),MATCH(C$1,units!$1:$1,0)-COLUMN(INDIRECT("character_id"))+1,FALSE)</f>
        <v>アキレス</v>
      </c>
      <c r="D194" s="31">
        <f ca="1">VLOOKUP($B194,OFFSET(units!$A$1,0,0,COUNTA(units!$A:$A),MATCH(D$1,units!$1:$1,0)-COLUMN(INDIRECT("character_id"))+1),MATCH(D$1,units!$1:$1,0)-COLUMN(INDIRECT("character_id"))+1,FALSE)</f>
        <v>3</v>
      </c>
      <c r="E194" s="31" t="str">
        <f ca="1">VLOOKUP($B194,OFFSET(units!$A$1,0,0,COUNTA(units!$A:$A),MATCH(E$1,units!$1:$1,0)-COLUMN(INDIRECT("character_id"))+1),MATCH(E$1,units!$1:$1,0)-COLUMN(INDIRECT("character_id"))+1,FALSE)</f>
        <v>PremiumN</v>
      </c>
      <c r="F194" s="56">
        <v>115</v>
      </c>
      <c r="G194" s="31" t="str">
        <f ca="1">VLOOKUP($F194,OFFSET(units!$A$1,0,0,COUNTA(units!$A:$A),MATCH(G$1,units!$1:$1,0)-COLUMN(INDIRECT("character_id"))+1),MATCH(G$1,units!$1:$1,0)-COLUMN(INDIRECT("character_id"))+1,FALSE)</f>
        <v>イエローキャタップ</v>
      </c>
      <c r="H194" s="26">
        <v>2</v>
      </c>
      <c r="I194" s="202">
        <v>1</v>
      </c>
    </row>
    <row r="195" spans="1:9" ht="21" customHeight="1" x14ac:dyDescent="0.15">
      <c r="A195" s="96" t="str">
        <f t="shared" si="3"/>
        <v>196_114</v>
      </c>
      <c r="B195" s="56">
        <v>196</v>
      </c>
      <c r="C195" s="31" t="str">
        <f ca="1">VLOOKUP($B195,OFFSET(units!$A$1,0,0,COUNTA(units!$A:$A),MATCH(C$1,units!$1:$1,0)-COLUMN(INDIRECT("character_id"))+1),MATCH(C$1,units!$1:$1,0)-COLUMN(INDIRECT("character_id"))+1,FALSE)</f>
        <v>アキレス</v>
      </c>
      <c r="D195" s="31">
        <f ca="1">VLOOKUP($B195,OFFSET(units!$A$1,0,0,COUNTA(units!$A:$A),MATCH(D$1,units!$1:$1,0)-COLUMN(INDIRECT("character_id"))+1),MATCH(D$1,units!$1:$1,0)-COLUMN(INDIRECT("character_id"))+1,FALSE)</f>
        <v>3</v>
      </c>
      <c r="E195" s="31" t="str">
        <f ca="1">VLOOKUP($B195,OFFSET(units!$A$1,0,0,COUNTA(units!$A:$A),MATCH(E$1,units!$1:$1,0)-COLUMN(INDIRECT("character_id"))+1),MATCH(E$1,units!$1:$1,0)-COLUMN(INDIRECT("character_id"))+1,FALSE)</f>
        <v>PremiumN</v>
      </c>
      <c r="F195" s="56">
        <v>114</v>
      </c>
      <c r="G195" s="31" t="str">
        <f ca="1">VLOOKUP($F195,OFFSET(units!$A$1,0,0,COUNTA(units!$A:$A),MATCH(G$1,units!$1:$1,0)-COLUMN(INDIRECT("character_id"))+1),MATCH(G$1,units!$1:$1,0)-COLUMN(INDIRECT("character_id"))+1,FALSE)</f>
        <v>イエローラビット</v>
      </c>
      <c r="H195" s="26">
        <v>2</v>
      </c>
      <c r="I195" s="202">
        <v>1</v>
      </c>
    </row>
    <row r="196" spans="1:9" ht="21" customHeight="1" x14ac:dyDescent="0.15">
      <c r="A196" s="96" t="str">
        <f t="shared" si="3"/>
        <v>197_116</v>
      </c>
      <c r="B196" s="56">
        <v>197</v>
      </c>
      <c r="C196" s="31" t="str">
        <f ca="1">VLOOKUP($B196,OFFSET(units!$A$1,0,0,COUNTA(units!$A:$A),MATCH(C$1,units!$1:$1,0)-COLUMN(INDIRECT("character_id"))+1),MATCH(C$1,units!$1:$1,0)-COLUMN(INDIRECT("character_id"))+1,FALSE)</f>
        <v>鉄腕 アキレス</v>
      </c>
      <c r="D196" s="31">
        <f ca="1">VLOOKUP($B196,OFFSET(units!$A$1,0,0,COUNTA(units!$A:$A),MATCH(D$1,units!$1:$1,0)-COLUMN(INDIRECT("character_id"))+1),MATCH(D$1,units!$1:$1,0)-COLUMN(INDIRECT("character_id"))+1,FALSE)</f>
        <v>4</v>
      </c>
      <c r="E196" s="31" t="str">
        <f ca="1">VLOOKUP($B196,OFFSET(units!$A$1,0,0,COUNTA(units!$A:$A),MATCH(E$1,units!$1:$1,0)-COLUMN(INDIRECT("character_id"))+1),MATCH(E$1,units!$1:$1,0)-COLUMN(INDIRECT("character_id"))+1,FALSE)</f>
        <v>PremiumN</v>
      </c>
      <c r="F196" s="56">
        <v>116</v>
      </c>
      <c r="G196" s="31" t="str">
        <f ca="1">VLOOKUP($F196,OFFSET(units!$A$1,0,0,COUNTA(units!$A:$A),MATCH(G$1,units!$1:$1,0)-COLUMN(INDIRECT("character_id"))+1),MATCH(G$1,units!$1:$1,0)-COLUMN(INDIRECT("character_id"))+1,FALSE)</f>
        <v>雷のマッドハッター</v>
      </c>
      <c r="H196" s="26">
        <v>1</v>
      </c>
      <c r="I196" s="202">
        <v>1</v>
      </c>
    </row>
    <row r="197" spans="1:9" ht="21" customHeight="1" x14ac:dyDescent="0.15">
      <c r="A197" s="96" t="str">
        <f t="shared" si="3"/>
        <v>197_115</v>
      </c>
      <c r="B197" s="56">
        <v>197</v>
      </c>
      <c r="C197" s="31" t="str">
        <f ca="1">VLOOKUP($B197,OFFSET(units!$A$1,0,0,COUNTA(units!$A:$A),MATCH(C$1,units!$1:$1,0)-COLUMN(INDIRECT("character_id"))+1),MATCH(C$1,units!$1:$1,0)-COLUMN(INDIRECT("character_id"))+1,FALSE)</f>
        <v>鉄腕 アキレス</v>
      </c>
      <c r="D197" s="31">
        <f ca="1">VLOOKUP($B197,OFFSET(units!$A$1,0,0,COUNTA(units!$A:$A),MATCH(D$1,units!$1:$1,0)-COLUMN(INDIRECT("character_id"))+1),MATCH(D$1,units!$1:$1,0)-COLUMN(INDIRECT("character_id"))+1,FALSE)</f>
        <v>4</v>
      </c>
      <c r="E197" s="31" t="str">
        <f ca="1">VLOOKUP($B197,OFFSET(units!$A$1,0,0,COUNTA(units!$A:$A),MATCH(E$1,units!$1:$1,0)-COLUMN(INDIRECT("character_id"))+1),MATCH(E$1,units!$1:$1,0)-COLUMN(INDIRECT("character_id"))+1,FALSE)</f>
        <v>PremiumN</v>
      </c>
      <c r="F197" s="56">
        <v>115</v>
      </c>
      <c r="G197" s="31" t="str">
        <f ca="1">VLOOKUP($F197,OFFSET(units!$A$1,0,0,COUNTA(units!$A:$A),MATCH(G$1,units!$1:$1,0)-COLUMN(INDIRECT("character_id"))+1),MATCH(G$1,units!$1:$1,0)-COLUMN(INDIRECT("character_id"))+1,FALSE)</f>
        <v>イエローキャタップ</v>
      </c>
      <c r="H197" s="26">
        <v>1</v>
      </c>
      <c r="I197" s="202">
        <v>1</v>
      </c>
    </row>
    <row r="198" spans="1:9" ht="21" customHeight="1" x14ac:dyDescent="0.15">
      <c r="A198" s="96" t="str">
        <f t="shared" si="3"/>
        <v>197_114</v>
      </c>
      <c r="B198" s="56">
        <v>197</v>
      </c>
      <c r="C198" s="31" t="str">
        <f ca="1">VLOOKUP($B198,OFFSET(units!$A$1,0,0,COUNTA(units!$A:$A),MATCH(C$1,units!$1:$1,0)-COLUMN(INDIRECT("character_id"))+1),MATCH(C$1,units!$1:$1,0)-COLUMN(INDIRECT("character_id"))+1,FALSE)</f>
        <v>鉄腕 アキレス</v>
      </c>
      <c r="D198" s="31">
        <f ca="1">VLOOKUP($B198,OFFSET(units!$A$1,0,0,COUNTA(units!$A:$A),MATCH(D$1,units!$1:$1,0)-COLUMN(INDIRECT("character_id"))+1),MATCH(D$1,units!$1:$1,0)-COLUMN(INDIRECT("character_id"))+1,FALSE)</f>
        <v>4</v>
      </c>
      <c r="E198" s="31" t="str">
        <f ca="1">VLOOKUP($B198,OFFSET(units!$A$1,0,0,COUNTA(units!$A:$A),MATCH(E$1,units!$1:$1,0)-COLUMN(INDIRECT("character_id"))+1),MATCH(E$1,units!$1:$1,0)-COLUMN(INDIRECT("character_id"))+1,FALSE)</f>
        <v>PremiumN</v>
      </c>
      <c r="F198" s="56">
        <v>114</v>
      </c>
      <c r="G198" s="31" t="str">
        <f ca="1">VLOOKUP($F198,OFFSET(units!$A$1,0,0,COUNTA(units!$A:$A),MATCH(G$1,units!$1:$1,0)-COLUMN(INDIRECT("character_id"))+1),MATCH(G$1,units!$1:$1,0)-COLUMN(INDIRECT("character_id"))+1,FALSE)</f>
        <v>イエローラビット</v>
      </c>
      <c r="H198" s="26">
        <v>3</v>
      </c>
      <c r="I198" s="202">
        <v>1</v>
      </c>
    </row>
    <row r="199" spans="1:9" ht="21" customHeight="1" x14ac:dyDescent="0.15">
      <c r="A199" s="96" t="str">
        <f t="shared" si="3"/>
        <v>199_111</v>
      </c>
      <c r="B199" s="56">
        <v>199</v>
      </c>
      <c r="C199" s="31" t="str">
        <f ca="1">VLOOKUP($B199,OFFSET(units!$A$1,0,0,COUNTA(units!$A:$A),MATCH(C$1,units!$1:$1,0)-COLUMN(INDIRECT("character_id"))+1),MATCH(C$1,units!$1:$1,0)-COLUMN(INDIRECT("character_id"))+1,FALSE)</f>
        <v>ジークフリート</v>
      </c>
      <c r="D199" s="31">
        <f ca="1">VLOOKUP($B199,OFFSET(units!$A$1,0,0,COUNTA(units!$A:$A),MATCH(D$1,units!$1:$1,0)-COLUMN(INDIRECT("character_id"))+1),MATCH(D$1,units!$1:$1,0)-COLUMN(INDIRECT("character_id"))+1,FALSE)</f>
        <v>3</v>
      </c>
      <c r="E199" s="31" t="str">
        <f ca="1">VLOOKUP($B199,OFFSET(units!$A$1,0,0,COUNTA(units!$A:$A),MATCH(E$1,units!$1:$1,0)-COLUMN(INDIRECT("character_id"))+1),MATCH(E$1,units!$1:$1,0)-COLUMN(INDIRECT("character_id"))+1,FALSE)</f>
        <v>PremiumN</v>
      </c>
      <c r="F199" s="56">
        <v>111</v>
      </c>
      <c r="G199" s="31" t="str">
        <f ca="1">VLOOKUP($F199,OFFSET(units!$A$1,0,0,COUNTA(units!$A:$A),MATCH(G$1,units!$1:$1,0)-COLUMN(INDIRECT("character_id"))+1),MATCH(G$1,units!$1:$1,0)-COLUMN(INDIRECT("character_id"))+1,FALSE)</f>
        <v>ブルーキャタップ</v>
      </c>
      <c r="H199" s="26">
        <v>2</v>
      </c>
      <c r="I199" s="202">
        <v>1</v>
      </c>
    </row>
    <row r="200" spans="1:9" ht="21" customHeight="1" x14ac:dyDescent="0.15">
      <c r="A200" s="96" t="str">
        <f t="shared" si="3"/>
        <v>199_110</v>
      </c>
      <c r="B200" s="56">
        <v>199</v>
      </c>
      <c r="C200" s="31" t="str">
        <f ca="1">VLOOKUP($B200,OFFSET(units!$A$1,0,0,COUNTA(units!$A:$A),MATCH(C$1,units!$1:$1,0)-COLUMN(INDIRECT("character_id"))+1),MATCH(C$1,units!$1:$1,0)-COLUMN(INDIRECT("character_id"))+1,FALSE)</f>
        <v>ジークフリート</v>
      </c>
      <c r="D200" s="31">
        <f ca="1">VLOOKUP($B200,OFFSET(units!$A$1,0,0,COUNTA(units!$A:$A),MATCH(D$1,units!$1:$1,0)-COLUMN(INDIRECT("character_id"))+1),MATCH(D$1,units!$1:$1,0)-COLUMN(INDIRECT("character_id"))+1,FALSE)</f>
        <v>3</v>
      </c>
      <c r="E200" s="31" t="str">
        <f ca="1">VLOOKUP($B200,OFFSET(units!$A$1,0,0,COUNTA(units!$A:$A),MATCH(E$1,units!$1:$1,0)-COLUMN(INDIRECT("character_id"))+1),MATCH(E$1,units!$1:$1,0)-COLUMN(INDIRECT("character_id"))+1,FALSE)</f>
        <v>PremiumN</v>
      </c>
      <c r="F200" s="56">
        <v>110</v>
      </c>
      <c r="G200" s="31" t="str">
        <f ca="1">VLOOKUP($F200,OFFSET(units!$A$1,0,0,COUNTA(units!$A:$A),MATCH(G$1,units!$1:$1,0)-COLUMN(INDIRECT("character_id"))+1),MATCH(G$1,units!$1:$1,0)-COLUMN(INDIRECT("character_id"))+1,FALSE)</f>
        <v>ブルーラビット</v>
      </c>
      <c r="H200" s="26">
        <v>2</v>
      </c>
      <c r="I200" s="202">
        <v>1</v>
      </c>
    </row>
    <row r="201" spans="1:9" ht="21" customHeight="1" x14ac:dyDescent="0.15">
      <c r="A201" s="96" t="str">
        <f t="shared" si="3"/>
        <v>200_112</v>
      </c>
      <c r="B201" s="56">
        <v>200</v>
      </c>
      <c r="C201" s="31" t="str">
        <f ca="1">VLOOKUP($B201,OFFSET(units!$A$1,0,0,COUNTA(units!$A:$A),MATCH(C$1,units!$1:$1,0)-COLUMN(INDIRECT("character_id"))+1),MATCH(C$1,units!$1:$1,0)-COLUMN(INDIRECT("character_id"))+1,FALSE)</f>
        <v>大剣士 ジークフリート</v>
      </c>
      <c r="D201" s="31">
        <f ca="1">VLOOKUP($B201,OFFSET(units!$A$1,0,0,COUNTA(units!$A:$A),MATCH(D$1,units!$1:$1,0)-COLUMN(INDIRECT("character_id"))+1),MATCH(D$1,units!$1:$1,0)-COLUMN(INDIRECT("character_id"))+1,FALSE)</f>
        <v>4</v>
      </c>
      <c r="E201" s="31" t="str">
        <f ca="1">VLOOKUP($B201,OFFSET(units!$A$1,0,0,COUNTA(units!$A:$A),MATCH(E$1,units!$1:$1,0)-COLUMN(INDIRECT("character_id"))+1),MATCH(E$1,units!$1:$1,0)-COLUMN(INDIRECT("character_id"))+1,FALSE)</f>
        <v>PremiumN</v>
      </c>
      <c r="F201" s="56">
        <v>112</v>
      </c>
      <c r="G201" s="31" t="str">
        <f ca="1">VLOOKUP($F201,OFFSET(units!$A$1,0,0,COUNTA(units!$A:$A),MATCH(G$1,units!$1:$1,0)-COLUMN(INDIRECT("character_id"))+1),MATCH(G$1,units!$1:$1,0)-COLUMN(INDIRECT("character_id"))+1,FALSE)</f>
        <v>水のマッドハッター</v>
      </c>
      <c r="H201" s="26">
        <v>1</v>
      </c>
      <c r="I201" s="202">
        <v>1</v>
      </c>
    </row>
    <row r="202" spans="1:9" ht="21" customHeight="1" x14ac:dyDescent="0.15">
      <c r="A202" s="96" t="str">
        <f t="shared" si="3"/>
        <v>200_111</v>
      </c>
      <c r="B202" s="56">
        <v>200</v>
      </c>
      <c r="C202" s="31" t="str">
        <f ca="1">VLOOKUP($B202,OFFSET(units!$A$1,0,0,COUNTA(units!$A:$A),MATCH(C$1,units!$1:$1,0)-COLUMN(INDIRECT("character_id"))+1),MATCH(C$1,units!$1:$1,0)-COLUMN(INDIRECT("character_id"))+1,FALSE)</f>
        <v>大剣士 ジークフリート</v>
      </c>
      <c r="D202" s="31">
        <f ca="1">VLOOKUP($B202,OFFSET(units!$A$1,0,0,COUNTA(units!$A:$A),MATCH(D$1,units!$1:$1,0)-COLUMN(INDIRECT("character_id"))+1),MATCH(D$1,units!$1:$1,0)-COLUMN(INDIRECT("character_id"))+1,FALSE)</f>
        <v>4</v>
      </c>
      <c r="E202" s="31" t="str">
        <f ca="1">VLOOKUP($B202,OFFSET(units!$A$1,0,0,COUNTA(units!$A:$A),MATCH(E$1,units!$1:$1,0)-COLUMN(INDIRECT("character_id"))+1),MATCH(E$1,units!$1:$1,0)-COLUMN(INDIRECT("character_id"))+1,FALSE)</f>
        <v>PremiumN</v>
      </c>
      <c r="F202" s="56">
        <v>111</v>
      </c>
      <c r="G202" s="31" t="str">
        <f ca="1">VLOOKUP($F202,OFFSET(units!$A$1,0,0,COUNTA(units!$A:$A),MATCH(G$1,units!$1:$1,0)-COLUMN(INDIRECT("character_id"))+1),MATCH(G$1,units!$1:$1,0)-COLUMN(INDIRECT("character_id"))+1,FALSE)</f>
        <v>ブルーキャタップ</v>
      </c>
      <c r="H202" s="26">
        <v>1</v>
      </c>
      <c r="I202" s="202">
        <v>1</v>
      </c>
    </row>
    <row r="203" spans="1:9" ht="21" customHeight="1" x14ac:dyDescent="0.15">
      <c r="A203" s="96" t="str">
        <f t="shared" si="3"/>
        <v>200_110</v>
      </c>
      <c r="B203" s="56">
        <v>200</v>
      </c>
      <c r="C203" s="31" t="str">
        <f ca="1">VLOOKUP($B203,OFFSET(units!$A$1,0,0,COUNTA(units!$A:$A),MATCH(C$1,units!$1:$1,0)-COLUMN(INDIRECT("character_id"))+1),MATCH(C$1,units!$1:$1,0)-COLUMN(INDIRECT("character_id"))+1,FALSE)</f>
        <v>大剣士 ジークフリート</v>
      </c>
      <c r="D203" s="31">
        <f ca="1">VLOOKUP($B203,OFFSET(units!$A$1,0,0,COUNTA(units!$A:$A),MATCH(D$1,units!$1:$1,0)-COLUMN(INDIRECT("character_id"))+1),MATCH(D$1,units!$1:$1,0)-COLUMN(INDIRECT("character_id"))+1,FALSE)</f>
        <v>4</v>
      </c>
      <c r="E203" s="31" t="str">
        <f ca="1">VLOOKUP($B203,OFFSET(units!$A$1,0,0,COUNTA(units!$A:$A),MATCH(E$1,units!$1:$1,0)-COLUMN(INDIRECT("character_id"))+1),MATCH(E$1,units!$1:$1,0)-COLUMN(INDIRECT("character_id"))+1,FALSE)</f>
        <v>PremiumN</v>
      </c>
      <c r="F203" s="56">
        <v>110</v>
      </c>
      <c r="G203" s="31" t="str">
        <f ca="1">VLOOKUP($F203,OFFSET(units!$A$1,0,0,COUNTA(units!$A:$A),MATCH(G$1,units!$1:$1,0)-COLUMN(INDIRECT("character_id"))+1),MATCH(G$1,units!$1:$1,0)-COLUMN(INDIRECT("character_id"))+1,FALSE)</f>
        <v>ブルーラビット</v>
      </c>
      <c r="H203" s="26">
        <v>3</v>
      </c>
      <c r="I203" s="202">
        <v>1</v>
      </c>
    </row>
    <row r="204" spans="1:9" ht="21" customHeight="1" x14ac:dyDescent="0.15">
      <c r="A204" s="96" t="str">
        <f t="shared" si="3"/>
        <v>202_103</v>
      </c>
      <c r="B204" s="56">
        <v>202</v>
      </c>
      <c r="C204" s="31" t="str">
        <f ca="1">VLOOKUP($B204,OFFSET(units!$A$1,0,0,COUNTA(units!$A:$A),MATCH(C$1,units!$1:$1,0)-COLUMN(INDIRECT("character_id"))+1),MATCH(C$1,units!$1:$1,0)-COLUMN(INDIRECT("character_id"))+1,FALSE)</f>
        <v>プロメテウス</v>
      </c>
      <c r="D204" s="31">
        <f ca="1">VLOOKUP($B204,OFFSET(units!$A$1,0,0,COUNTA(units!$A:$A),MATCH(D$1,units!$1:$1,0)-COLUMN(INDIRECT("character_id"))+1),MATCH(D$1,units!$1:$1,0)-COLUMN(INDIRECT("character_id"))+1,FALSE)</f>
        <v>3</v>
      </c>
      <c r="E204" s="31" t="str">
        <f ca="1">VLOOKUP($B204,OFFSET(units!$A$1,0,0,COUNTA(units!$A:$A),MATCH(E$1,units!$1:$1,0)-COLUMN(INDIRECT("character_id"))+1),MATCH(E$1,units!$1:$1,0)-COLUMN(INDIRECT("character_id"))+1,FALSE)</f>
        <v>PremiumN</v>
      </c>
      <c r="F204" s="56">
        <v>103</v>
      </c>
      <c r="G204" s="31" t="str">
        <f ca="1">VLOOKUP($F204,OFFSET(units!$A$1,0,0,COUNTA(units!$A:$A),MATCH(G$1,units!$1:$1,0)-COLUMN(INDIRECT("character_id"))+1),MATCH(G$1,units!$1:$1,0)-COLUMN(INDIRECT("character_id"))+1,FALSE)</f>
        <v>レッドキャタップ</v>
      </c>
      <c r="H204" s="26">
        <v>2</v>
      </c>
      <c r="I204" s="202">
        <v>1</v>
      </c>
    </row>
    <row r="205" spans="1:9" ht="21" customHeight="1" x14ac:dyDescent="0.15">
      <c r="A205" s="96" t="str">
        <f t="shared" si="3"/>
        <v>202_102</v>
      </c>
      <c r="B205" s="56">
        <v>202</v>
      </c>
      <c r="C205" s="31" t="str">
        <f ca="1">VLOOKUP($B205,OFFSET(units!$A$1,0,0,COUNTA(units!$A:$A),MATCH(C$1,units!$1:$1,0)-COLUMN(INDIRECT("character_id"))+1),MATCH(C$1,units!$1:$1,0)-COLUMN(INDIRECT("character_id"))+1,FALSE)</f>
        <v>プロメテウス</v>
      </c>
      <c r="D205" s="31">
        <f ca="1">VLOOKUP($B205,OFFSET(units!$A$1,0,0,COUNTA(units!$A:$A),MATCH(D$1,units!$1:$1,0)-COLUMN(INDIRECT("character_id"))+1),MATCH(D$1,units!$1:$1,0)-COLUMN(INDIRECT("character_id"))+1,FALSE)</f>
        <v>3</v>
      </c>
      <c r="E205" s="31" t="str">
        <f ca="1">VLOOKUP($B205,OFFSET(units!$A$1,0,0,COUNTA(units!$A:$A),MATCH(E$1,units!$1:$1,0)-COLUMN(INDIRECT("character_id"))+1),MATCH(E$1,units!$1:$1,0)-COLUMN(INDIRECT("character_id"))+1,FALSE)</f>
        <v>PremiumN</v>
      </c>
      <c r="F205" s="56">
        <v>102</v>
      </c>
      <c r="G205" s="31" t="str">
        <f ca="1">VLOOKUP($F205,OFFSET(units!$A$1,0,0,COUNTA(units!$A:$A),MATCH(G$1,units!$1:$1,0)-COLUMN(INDIRECT("character_id"))+1),MATCH(G$1,units!$1:$1,0)-COLUMN(INDIRECT("character_id"))+1,FALSE)</f>
        <v>レッドラビット</v>
      </c>
      <c r="H205" s="26">
        <v>1</v>
      </c>
      <c r="I205" s="202">
        <v>1</v>
      </c>
    </row>
    <row r="206" spans="1:9" ht="21" customHeight="1" x14ac:dyDescent="0.15">
      <c r="A206" s="96" t="str">
        <f t="shared" si="3"/>
        <v>202_101</v>
      </c>
      <c r="B206" s="56">
        <v>202</v>
      </c>
      <c r="C206" s="31" t="str">
        <f ca="1">VLOOKUP($B206,OFFSET(units!$A$1,0,0,COUNTA(units!$A:$A),MATCH(C$1,units!$1:$1,0)-COLUMN(INDIRECT("character_id"))+1),MATCH(C$1,units!$1:$1,0)-COLUMN(INDIRECT("character_id"))+1,FALSE)</f>
        <v>プロメテウス</v>
      </c>
      <c r="D206" s="31">
        <f ca="1">VLOOKUP($B206,OFFSET(units!$A$1,0,0,COUNTA(units!$A:$A),MATCH(D$1,units!$1:$1,0)-COLUMN(INDIRECT("character_id"))+1),MATCH(D$1,units!$1:$1,0)-COLUMN(INDIRECT("character_id"))+1,FALSE)</f>
        <v>3</v>
      </c>
      <c r="E206" s="31" t="str">
        <f ca="1">VLOOKUP($B206,OFFSET(units!$A$1,0,0,COUNTA(units!$A:$A),MATCH(E$1,units!$1:$1,0)-COLUMN(INDIRECT("character_id"))+1),MATCH(E$1,units!$1:$1,0)-COLUMN(INDIRECT("character_id"))+1,FALSE)</f>
        <v>PremiumN</v>
      </c>
      <c r="F206" s="56">
        <v>101</v>
      </c>
      <c r="G206" s="31" t="str">
        <f ca="1">VLOOKUP($F206,OFFSET(units!$A$1,0,0,COUNTA(units!$A:$A),MATCH(G$1,units!$1:$1,0)-COLUMN(INDIRECT("character_id"))+1),MATCH(G$1,units!$1:$1,0)-COLUMN(INDIRECT("character_id"))+1,FALSE)</f>
        <v>レッドチェシャ</v>
      </c>
      <c r="H206" s="26">
        <v>2</v>
      </c>
      <c r="I206" s="202">
        <v>1</v>
      </c>
    </row>
    <row r="207" spans="1:9" ht="21" customHeight="1" x14ac:dyDescent="0.15">
      <c r="A207" s="96" t="str">
        <f t="shared" si="3"/>
        <v>203_104</v>
      </c>
      <c r="B207" s="56">
        <v>203</v>
      </c>
      <c r="C207" s="31" t="str">
        <f ca="1">VLOOKUP($B207,OFFSET(units!$A$1,0,0,COUNTA(units!$A:$A),MATCH(C$1,units!$1:$1,0)-COLUMN(INDIRECT("character_id"))+1),MATCH(C$1,units!$1:$1,0)-COLUMN(INDIRECT("character_id"))+1,FALSE)</f>
        <v>焔神 プロメテウス</v>
      </c>
      <c r="D207" s="31">
        <f ca="1">VLOOKUP($B207,OFFSET(units!$A$1,0,0,COUNTA(units!$A:$A),MATCH(D$1,units!$1:$1,0)-COLUMN(INDIRECT("character_id"))+1),MATCH(D$1,units!$1:$1,0)-COLUMN(INDIRECT("character_id"))+1,FALSE)</f>
        <v>4</v>
      </c>
      <c r="E207" s="31" t="str">
        <f ca="1">VLOOKUP($B207,OFFSET(units!$A$1,0,0,COUNTA(units!$A:$A),MATCH(E$1,units!$1:$1,0)-COLUMN(INDIRECT("character_id"))+1),MATCH(E$1,units!$1:$1,0)-COLUMN(INDIRECT("character_id"))+1,FALSE)</f>
        <v>PremiumN</v>
      </c>
      <c r="F207" s="56">
        <v>104</v>
      </c>
      <c r="G207" s="31" t="str">
        <f ca="1">VLOOKUP($F207,OFFSET(units!$A$1,0,0,COUNTA(units!$A:$A),MATCH(G$1,units!$1:$1,0)-COLUMN(INDIRECT("character_id"))+1),MATCH(G$1,units!$1:$1,0)-COLUMN(INDIRECT("character_id"))+1,FALSE)</f>
        <v>炎のマッドハッター</v>
      </c>
      <c r="H207" s="26">
        <v>1</v>
      </c>
      <c r="I207" s="202">
        <v>1</v>
      </c>
    </row>
    <row r="208" spans="1:9" ht="21" customHeight="1" x14ac:dyDescent="0.15">
      <c r="A208" s="96" t="str">
        <f t="shared" si="3"/>
        <v>203_102</v>
      </c>
      <c r="B208" s="56">
        <v>203</v>
      </c>
      <c r="C208" s="31" t="str">
        <f ca="1">VLOOKUP($B208,OFFSET(units!$A$1,0,0,COUNTA(units!$A:$A),MATCH(C$1,units!$1:$1,0)-COLUMN(INDIRECT("character_id"))+1),MATCH(C$1,units!$1:$1,0)-COLUMN(INDIRECT("character_id"))+1,FALSE)</f>
        <v>焔神 プロメテウス</v>
      </c>
      <c r="D208" s="31">
        <f ca="1">VLOOKUP($B208,OFFSET(units!$A$1,0,0,COUNTA(units!$A:$A),MATCH(D$1,units!$1:$1,0)-COLUMN(INDIRECT("character_id"))+1),MATCH(D$1,units!$1:$1,0)-COLUMN(INDIRECT("character_id"))+1,FALSE)</f>
        <v>4</v>
      </c>
      <c r="E208" s="31" t="str">
        <f ca="1">VLOOKUP($B208,OFFSET(units!$A$1,0,0,COUNTA(units!$A:$A),MATCH(E$1,units!$1:$1,0)-COLUMN(INDIRECT("character_id"))+1),MATCH(E$1,units!$1:$1,0)-COLUMN(INDIRECT("character_id"))+1,FALSE)</f>
        <v>PremiumN</v>
      </c>
      <c r="F208" s="56">
        <v>102</v>
      </c>
      <c r="G208" s="31" t="str">
        <f ca="1">VLOOKUP($F208,OFFSET(units!$A$1,0,0,COUNTA(units!$A:$A),MATCH(G$1,units!$1:$1,0)-COLUMN(INDIRECT("character_id"))+1),MATCH(G$1,units!$1:$1,0)-COLUMN(INDIRECT("character_id"))+1,FALSE)</f>
        <v>レッドラビット</v>
      </c>
      <c r="H208" s="26">
        <v>4</v>
      </c>
      <c r="I208" s="202">
        <v>1</v>
      </c>
    </row>
    <row r="209" spans="1:9" ht="21" customHeight="1" x14ac:dyDescent="0.15">
      <c r="A209" s="96" t="str">
        <f t="shared" si="3"/>
        <v>205_107</v>
      </c>
      <c r="B209" s="56">
        <v>205</v>
      </c>
      <c r="C209" s="31" t="str">
        <f ca="1">VLOOKUP($B209,OFFSET(units!$A$1,0,0,COUNTA(units!$A:$A),MATCH(C$1,units!$1:$1,0)-COLUMN(INDIRECT("character_id"))+1),MATCH(C$1,units!$1:$1,0)-COLUMN(INDIRECT("character_id"))+1,FALSE)</f>
        <v>アフロディーテ</v>
      </c>
      <c r="D209" s="31">
        <f ca="1">VLOOKUP($B209,OFFSET(units!$A$1,0,0,COUNTA(units!$A:$A),MATCH(D$1,units!$1:$1,0)-COLUMN(INDIRECT("character_id"))+1),MATCH(D$1,units!$1:$1,0)-COLUMN(INDIRECT("character_id"))+1,FALSE)</f>
        <v>3</v>
      </c>
      <c r="E209" s="31" t="str">
        <f ca="1">VLOOKUP($B209,OFFSET(units!$A$1,0,0,COUNTA(units!$A:$A),MATCH(E$1,units!$1:$1,0)-COLUMN(INDIRECT("character_id"))+1),MATCH(E$1,units!$1:$1,0)-COLUMN(INDIRECT("character_id"))+1,FALSE)</f>
        <v>PremiumN</v>
      </c>
      <c r="F209" s="56">
        <v>107</v>
      </c>
      <c r="G209" s="31" t="str">
        <f ca="1">VLOOKUP($F209,OFFSET(units!$A$1,0,0,COUNTA(units!$A:$A),MATCH(G$1,units!$1:$1,0)-COLUMN(INDIRECT("character_id"))+1),MATCH(G$1,units!$1:$1,0)-COLUMN(INDIRECT("character_id"))+1,FALSE)</f>
        <v>グリーンキャタップ</v>
      </c>
      <c r="H209" s="26">
        <v>2</v>
      </c>
      <c r="I209" s="202">
        <v>1</v>
      </c>
    </row>
    <row r="210" spans="1:9" ht="21" customHeight="1" x14ac:dyDescent="0.15">
      <c r="A210" s="96" t="str">
        <f t="shared" si="3"/>
        <v>205_106</v>
      </c>
      <c r="B210" s="56">
        <v>205</v>
      </c>
      <c r="C210" s="31" t="str">
        <f ca="1">VLOOKUP($B210,OFFSET(units!$A$1,0,0,COUNTA(units!$A:$A),MATCH(C$1,units!$1:$1,0)-COLUMN(INDIRECT("character_id"))+1),MATCH(C$1,units!$1:$1,0)-COLUMN(INDIRECT("character_id"))+1,FALSE)</f>
        <v>アフロディーテ</v>
      </c>
      <c r="D210" s="31">
        <f ca="1">VLOOKUP($B210,OFFSET(units!$A$1,0,0,COUNTA(units!$A:$A),MATCH(D$1,units!$1:$1,0)-COLUMN(INDIRECT("character_id"))+1),MATCH(D$1,units!$1:$1,0)-COLUMN(INDIRECT("character_id"))+1,FALSE)</f>
        <v>3</v>
      </c>
      <c r="E210" s="31" t="str">
        <f ca="1">VLOOKUP($B210,OFFSET(units!$A$1,0,0,COUNTA(units!$A:$A),MATCH(E$1,units!$1:$1,0)-COLUMN(INDIRECT("character_id"))+1),MATCH(E$1,units!$1:$1,0)-COLUMN(INDIRECT("character_id"))+1,FALSE)</f>
        <v>PremiumN</v>
      </c>
      <c r="F210" s="56">
        <v>106</v>
      </c>
      <c r="G210" s="31" t="str">
        <f ca="1">VLOOKUP($F210,OFFSET(units!$A$1,0,0,COUNTA(units!$A:$A),MATCH(G$1,units!$1:$1,0)-COLUMN(INDIRECT("character_id"))+1),MATCH(G$1,units!$1:$1,0)-COLUMN(INDIRECT("character_id"))+1,FALSE)</f>
        <v>グリーンラビット</v>
      </c>
      <c r="H210" s="26">
        <v>1</v>
      </c>
      <c r="I210" s="202">
        <v>1</v>
      </c>
    </row>
    <row r="211" spans="1:9" ht="21" customHeight="1" x14ac:dyDescent="0.15">
      <c r="A211" s="96" t="str">
        <f t="shared" si="3"/>
        <v>205_105</v>
      </c>
      <c r="B211" s="56">
        <v>205</v>
      </c>
      <c r="C211" s="31" t="str">
        <f ca="1">VLOOKUP($B211,OFFSET(units!$A$1,0,0,COUNTA(units!$A:$A),MATCH(C$1,units!$1:$1,0)-COLUMN(INDIRECT("character_id"))+1),MATCH(C$1,units!$1:$1,0)-COLUMN(INDIRECT("character_id"))+1,FALSE)</f>
        <v>アフロディーテ</v>
      </c>
      <c r="D211" s="31">
        <f ca="1">VLOOKUP($B211,OFFSET(units!$A$1,0,0,COUNTA(units!$A:$A),MATCH(D$1,units!$1:$1,0)-COLUMN(INDIRECT("character_id"))+1),MATCH(D$1,units!$1:$1,0)-COLUMN(INDIRECT("character_id"))+1,FALSE)</f>
        <v>3</v>
      </c>
      <c r="E211" s="31" t="str">
        <f ca="1">VLOOKUP($B211,OFFSET(units!$A$1,0,0,COUNTA(units!$A:$A),MATCH(E$1,units!$1:$1,0)-COLUMN(INDIRECT("character_id"))+1),MATCH(E$1,units!$1:$1,0)-COLUMN(INDIRECT("character_id"))+1,FALSE)</f>
        <v>PremiumN</v>
      </c>
      <c r="F211" s="56">
        <v>105</v>
      </c>
      <c r="G211" s="31" t="str">
        <f ca="1">VLOOKUP($F211,OFFSET(units!$A$1,0,0,COUNTA(units!$A:$A),MATCH(G$1,units!$1:$1,0)-COLUMN(INDIRECT("character_id"))+1),MATCH(G$1,units!$1:$1,0)-COLUMN(INDIRECT("character_id"))+1,FALSE)</f>
        <v>グリーンチェシャ</v>
      </c>
      <c r="H211" s="26">
        <v>2</v>
      </c>
      <c r="I211" s="202">
        <v>1</v>
      </c>
    </row>
    <row r="212" spans="1:9" ht="21" customHeight="1" x14ac:dyDescent="0.15">
      <c r="A212" s="96" t="str">
        <f t="shared" si="3"/>
        <v>206_108</v>
      </c>
      <c r="B212" s="56">
        <v>206</v>
      </c>
      <c r="C212" s="31" t="str">
        <f ca="1">VLOOKUP($B212,OFFSET(units!$A$1,0,0,COUNTA(units!$A:$A),MATCH(C$1,units!$1:$1,0)-COLUMN(INDIRECT("character_id"))+1),MATCH(C$1,units!$1:$1,0)-COLUMN(INDIRECT("character_id"))+1,FALSE)</f>
        <v>美神 アフロディーテ</v>
      </c>
      <c r="D212" s="31">
        <f ca="1">VLOOKUP($B212,OFFSET(units!$A$1,0,0,COUNTA(units!$A:$A),MATCH(D$1,units!$1:$1,0)-COLUMN(INDIRECT("character_id"))+1),MATCH(D$1,units!$1:$1,0)-COLUMN(INDIRECT("character_id"))+1,FALSE)</f>
        <v>4</v>
      </c>
      <c r="E212" s="31" t="str">
        <f ca="1">VLOOKUP($B212,OFFSET(units!$A$1,0,0,COUNTA(units!$A:$A),MATCH(E$1,units!$1:$1,0)-COLUMN(INDIRECT("character_id"))+1),MATCH(E$1,units!$1:$1,0)-COLUMN(INDIRECT("character_id"))+1,FALSE)</f>
        <v>PremiumN</v>
      </c>
      <c r="F212" s="56">
        <v>108</v>
      </c>
      <c r="G212" s="31" t="str">
        <f ca="1">VLOOKUP($F212,OFFSET(units!$A$1,0,0,COUNTA(units!$A:$A),MATCH(G$1,units!$1:$1,0)-COLUMN(INDIRECT("character_id"))+1),MATCH(G$1,units!$1:$1,0)-COLUMN(INDIRECT("character_id"))+1,FALSE)</f>
        <v>森のマッドハッター</v>
      </c>
      <c r="H212" s="26">
        <v>1</v>
      </c>
      <c r="I212" s="202">
        <v>1</v>
      </c>
    </row>
    <row r="213" spans="1:9" ht="21" customHeight="1" x14ac:dyDescent="0.15">
      <c r="A213" s="96" t="str">
        <f t="shared" si="3"/>
        <v>206_106</v>
      </c>
      <c r="B213" s="56">
        <v>206</v>
      </c>
      <c r="C213" s="31" t="str">
        <f ca="1">VLOOKUP($B213,OFFSET(units!$A$1,0,0,COUNTA(units!$A:$A),MATCH(C$1,units!$1:$1,0)-COLUMN(INDIRECT("character_id"))+1),MATCH(C$1,units!$1:$1,0)-COLUMN(INDIRECT("character_id"))+1,FALSE)</f>
        <v>美神 アフロディーテ</v>
      </c>
      <c r="D213" s="31">
        <f ca="1">VLOOKUP($B213,OFFSET(units!$A$1,0,0,COUNTA(units!$A:$A),MATCH(D$1,units!$1:$1,0)-COLUMN(INDIRECT("character_id"))+1),MATCH(D$1,units!$1:$1,0)-COLUMN(INDIRECT("character_id"))+1,FALSE)</f>
        <v>4</v>
      </c>
      <c r="E213" s="31" t="str">
        <f ca="1">VLOOKUP($B213,OFFSET(units!$A$1,0,0,COUNTA(units!$A:$A),MATCH(E$1,units!$1:$1,0)-COLUMN(INDIRECT("character_id"))+1),MATCH(E$1,units!$1:$1,0)-COLUMN(INDIRECT("character_id"))+1,FALSE)</f>
        <v>PremiumN</v>
      </c>
      <c r="F213" s="56">
        <v>106</v>
      </c>
      <c r="G213" s="31" t="str">
        <f ca="1">VLOOKUP($F213,OFFSET(units!$A$1,0,0,COUNTA(units!$A:$A),MATCH(G$1,units!$1:$1,0)-COLUMN(INDIRECT("character_id"))+1),MATCH(G$1,units!$1:$1,0)-COLUMN(INDIRECT("character_id"))+1,FALSE)</f>
        <v>グリーンラビット</v>
      </c>
      <c r="H213" s="26">
        <v>4</v>
      </c>
      <c r="I213" s="202">
        <v>1</v>
      </c>
    </row>
    <row r="214" spans="1:9" ht="21" customHeight="1" x14ac:dyDescent="0.15">
      <c r="A214" s="96" t="str">
        <f t="shared" si="3"/>
        <v>208_111</v>
      </c>
      <c r="B214" s="56">
        <v>208</v>
      </c>
      <c r="C214" s="31" t="str">
        <f ca="1">VLOOKUP($B214,OFFSET(units!$A$1,0,0,COUNTA(units!$A:$A),MATCH(C$1,units!$1:$1,0)-COLUMN(INDIRECT("character_id"))+1),MATCH(C$1,units!$1:$1,0)-COLUMN(INDIRECT("character_id"))+1,FALSE)</f>
        <v>テティス</v>
      </c>
      <c r="D214" s="31">
        <f ca="1">VLOOKUP($B214,OFFSET(units!$A$1,0,0,COUNTA(units!$A:$A),MATCH(D$1,units!$1:$1,0)-COLUMN(INDIRECT("character_id"))+1),MATCH(D$1,units!$1:$1,0)-COLUMN(INDIRECT("character_id"))+1,FALSE)</f>
        <v>3</v>
      </c>
      <c r="E214" s="31" t="str">
        <f ca="1">VLOOKUP($B214,OFFSET(units!$A$1,0,0,COUNTA(units!$A:$A),MATCH(E$1,units!$1:$1,0)-COLUMN(INDIRECT("character_id"))+1),MATCH(E$1,units!$1:$1,0)-COLUMN(INDIRECT("character_id"))+1,FALSE)</f>
        <v>PremiumN</v>
      </c>
      <c r="F214" s="56">
        <v>111</v>
      </c>
      <c r="G214" s="31" t="str">
        <f ca="1">VLOOKUP($F214,OFFSET(units!$A$1,0,0,COUNTA(units!$A:$A),MATCH(G$1,units!$1:$1,0)-COLUMN(INDIRECT("character_id"))+1),MATCH(G$1,units!$1:$1,0)-COLUMN(INDIRECT("character_id"))+1,FALSE)</f>
        <v>ブルーキャタップ</v>
      </c>
      <c r="H214" s="26">
        <v>2</v>
      </c>
      <c r="I214" s="202">
        <v>1</v>
      </c>
    </row>
    <row r="215" spans="1:9" ht="21" customHeight="1" x14ac:dyDescent="0.15">
      <c r="A215" s="96" t="str">
        <f t="shared" si="3"/>
        <v>208_110</v>
      </c>
      <c r="B215" s="56">
        <v>208</v>
      </c>
      <c r="C215" s="31" t="str">
        <f ca="1">VLOOKUP($B215,OFFSET(units!$A$1,0,0,COUNTA(units!$A:$A),MATCH(C$1,units!$1:$1,0)-COLUMN(INDIRECT("character_id"))+1),MATCH(C$1,units!$1:$1,0)-COLUMN(INDIRECT("character_id"))+1,FALSE)</f>
        <v>テティス</v>
      </c>
      <c r="D215" s="31">
        <f ca="1">VLOOKUP($B215,OFFSET(units!$A$1,0,0,COUNTA(units!$A:$A),MATCH(D$1,units!$1:$1,0)-COLUMN(INDIRECT("character_id"))+1),MATCH(D$1,units!$1:$1,0)-COLUMN(INDIRECT("character_id"))+1,FALSE)</f>
        <v>3</v>
      </c>
      <c r="E215" s="31" t="str">
        <f ca="1">VLOOKUP($B215,OFFSET(units!$A$1,0,0,COUNTA(units!$A:$A),MATCH(E$1,units!$1:$1,0)-COLUMN(INDIRECT("character_id"))+1),MATCH(E$1,units!$1:$1,0)-COLUMN(INDIRECT("character_id"))+1,FALSE)</f>
        <v>PremiumN</v>
      </c>
      <c r="F215" s="56">
        <v>110</v>
      </c>
      <c r="G215" s="31" t="str">
        <f ca="1">VLOOKUP($F215,OFFSET(units!$A$1,0,0,COUNTA(units!$A:$A),MATCH(G$1,units!$1:$1,0)-COLUMN(INDIRECT("character_id"))+1),MATCH(G$1,units!$1:$1,0)-COLUMN(INDIRECT("character_id"))+1,FALSE)</f>
        <v>ブルーラビット</v>
      </c>
      <c r="H215" s="26">
        <v>1</v>
      </c>
      <c r="I215" s="202">
        <v>1</v>
      </c>
    </row>
    <row r="216" spans="1:9" ht="21" customHeight="1" x14ac:dyDescent="0.15">
      <c r="A216" s="96" t="str">
        <f t="shared" si="3"/>
        <v>208_109</v>
      </c>
      <c r="B216" s="56">
        <v>208</v>
      </c>
      <c r="C216" s="31" t="str">
        <f ca="1">VLOOKUP($B216,OFFSET(units!$A$1,0,0,COUNTA(units!$A:$A),MATCH(C$1,units!$1:$1,0)-COLUMN(INDIRECT("character_id"))+1),MATCH(C$1,units!$1:$1,0)-COLUMN(INDIRECT("character_id"))+1,FALSE)</f>
        <v>テティス</v>
      </c>
      <c r="D216" s="31">
        <f ca="1">VLOOKUP($B216,OFFSET(units!$A$1,0,0,COUNTA(units!$A:$A),MATCH(D$1,units!$1:$1,0)-COLUMN(INDIRECT("character_id"))+1),MATCH(D$1,units!$1:$1,0)-COLUMN(INDIRECT("character_id"))+1,FALSE)</f>
        <v>3</v>
      </c>
      <c r="E216" s="31" t="str">
        <f ca="1">VLOOKUP($B216,OFFSET(units!$A$1,0,0,COUNTA(units!$A:$A),MATCH(E$1,units!$1:$1,0)-COLUMN(INDIRECT("character_id"))+1),MATCH(E$1,units!$1:$1,0)-COLUMN(INDIRECT("character_id"))+1,FALSE)</f>
        <v>PremiumN</v>
      </c>
      <c r="F216" s="56">
        <v>109</v>
      </c>
      <c r="G216" s="31" t="str">
        <f ca="1">VLOOKUP($F216,OFFSET(units!$A$1,0,0,COUNTA(units!$A:$A),MATCH(G$1,units!$1:$1,0)-COLUMN(INDIRECT("character_id"))+1),MATCH(G$1,units!$1:$1,0)-COLUMN(INDIRECT("character_id"))+1,FALSE)</f>
        <v>ブルーチェシャ</v>
      </c>
      <c r="H216" s="26">
        <v>2</v>
      </c>
      <c r="I216" s="202">
        <v>1</v>
      </c>
    </row>
    <row r="217" spans="1:9" ht="21" customHeight="1" x14ac:dyDescent="0.15">
      <c r="A217" s="96" t="str">
        <f t="shared" si="3"/>
        <v>209_112</v>
      </c>
      <c r="B217" s="56">
        <v>209</v>
      </c>
      <c r="C217" s="31" t="str">
        <f ca="1">VLOOKUP($B217,OFFSET(units!$A$1,0,0,COUNTA(units!$A:$A),MATCH(C$1,units!$1:$1,0)-COLUMN(INDIRECT("character_id"))+1),MATCH(C$1,units!$1:$1,0)-COLUMN(INDIRECT("character_id"))+1,FALSE)</f>
        <v>孤神 テティス</v>
      </c>
      <c r="D217" s="31">
        <f ca="1">VLOOKUP($B217,OFFSET(units!$A$1,0,0,COUNTA(units!$A:$A),MATCH(D$1,units!$1:$1,0)-COLUMN(INDIRECT("character_id"))+1),MATCH(D$1,units!$1:$1,0)-COLUMN(INDIRECT("character_id"))+1,FALSE)</f>
        <v>4</v>
      </c>
      <c r="E217" s="31" t="str">
        <f ca="1">VLOOKUP($B217,OFFSET(units!$A$1,0,0,COUNTA(units!$A:$A),MATCH(E$1,units!$1:$1,0)-COLUMN(INDIRECT("character_id"))+1),MATCH(E$1,units!$1:$1,0)-COLUMN(INDIRECT("character_id"))+1,FALSE)</f>
        <v>PremiumN</v>
      </c>
      <c r="F217" s="56">
        <v>112</v>
      </c>
      <c r="G217" s="31" t="str">
        <f ca="1">VLOOKUP($F217,OFFSET(units!$A$1,0,0,COUNTA(units!$A:$A),MATCH(G$1,units!$1:$1,0)-COLUMN(INDIRECT("character_id"))+1),MATCH(G$1,units!$1:$1,0)-COLUMN(INDIRECT("character_id"))+1,FALSE)</f>
        <v>水のマッドハッター</v>
      </c>
      <c r="H217" s="26">
        <v>1</v>
      </c>
      <c r="I217" s="202">
        <v>1</v>
      </c>
    </row>
    <row r="218" spans="1:9" ht="21" customHeight="1" x14ac:dyDescent="0.15">
      <c r="A218" s="96" t="str">
        <f t="shared" si="3"/>
        <v>209_110</v>
      </c>
      <c r="B218" s="56">
        <v>209</v>
      </c>
      <c r="C218" s="31" t="str">
        <f ca="1">VLOOKUP($B218,OFFSET(units!$A$1,0,0,COUNTA(units!$A:$A),MATCH(C$1,units!$1:$1,0)-COLUMN(INDIRECT("character_id"))+1),MATCH(C$1,units!$1:$1,0)-COLUMN(INDIRECT("character_id"))+1,FALSE)</f>
        <v>孤神 テティス</v>
      </c>
      <c r="D218" s="31">
        <f ca="1">VLOOKUP($B218,OFFSET(units!$A$1,0,0,COUNTA(units!$A:$A),MATCH(D$1,units!$1:$1,0)-COLUMN(INDIRECT("character_id"))+1),MATCH(D$1,units!$1:$1,0)-COLUMN(INDIRECT("character_id"))+1,FALSE)</f>
        <v>4</v>
      </c>
      <c r="E218" s="31" t="str">
        <f ca="1">VLOOKUP($B218,OFFSET(units!$A$1,0,0,COUNTA(units!$A:$A),MATCH(E$1,units!$1:$1,0)-COLUMN(INDIRECT("character_id"))+1),MATCH(E$1,units!$1:$1,0)-COLUMN(INDIRECT("character_id"))+1,FALSE)</f>
        <v>PremiumN</v>
      </c>
      <c r="F218" s="56">
        <v>110</v>
      </c>
      <c r="G218" s="31" t="str">
        <f ca="1">VLOOKUP($F218,OFFSET(units!$A$1,0,0,COUNTA(units!$A:$A),MATCH(G$1,units!$1:$1,0)-COLUMN(INDIRECT("character_id"))+1),MATCH(G$1,units!$1:$1,0)-COLUMN(INDIRECT("character_id"))+1,FALSE)</f>
        <v>ブルーラビット</v>
      </c>
      <c r="H218" s="26">
        <v>4</v>
      </c>
      <c r="I218" s="202">
        <v>1</v>
      </c>
    </row>
    <row r="219" spans="1:9" ht="21" customHeight="1" x14ac:dyDescent="0.15">
      <c r="A219" s="96" t="str">
        <f t="shared" si="3"/>
        <v>211_115</v>
      </c>
      <c r="B219" s="56">
        <v>211</v>
      </c>
      <c r="C219" s="31" t="str">
        <f ca="1">VLOOKUP($B219,OFFSET(units!$A$1,0,0,COUNTA(units!$A:$A),MATCH(C$1,units!$1:$1,0)-COLUMN(INDIRECT("character_id"))+1),MATCH(C$1,units!$1:$1,0)-COLUMN(INDIRECT("character_id"))+1,FALSE)</f>
        <v>アストライアー</v>
      </c>
      <c r="D219" s="31">
        <f ca="1">VLOOKUP($B219,OFFSET(units!$A$1,0,0,COUNTA(units!$A:$A),MATCH(D$1,units!$1:$1,0)-COLUMN(INDIRECT("character_id"))+1),MATCH(D$1,units!$1:$1,0)-COLUMN(INDIRECT("character_id"))+1,FALSE)</f>
        <v>3</v>
      </c>
      <c r="E219" s="31" t="str">
        <f ca="1">VLOOKUP($B219,OFFSET(units!$A$1,0,0,COUNTA(units!$A:$A),MATCH(E$1,units!$1:$1,0)-COLUMN(INDIRECT("character_id"))+1),MATCH(E$1,units!$1:$1,0)-COLUMN(INDIRECT("character_id"))+1,FALSE)</f>
        <v>PremiumN</v>
      </c>
      <c r="F219" s="56">
        <v>115</v>
      </c>
      <c r="G219" s="31" t="str">
        <f ca="1">VLOOKUP($F219,OFFSET(units!$A$1,0,0,COUNTA(units!$A:$A),MATCH(G$1,units!$1:$1,0)-COLUMN(INDIRECT("character_id"))+1),MATCH(G$1,units!$1:$1,0)-COLUMN(INDIRECT("character_id"))+1,FALSE)</f>
        <v>イエローキャタップ</v>
      </c>
      <c r="H219" s="26">
        <v>2</v>
      </c>
      <c r="I219" s="202">
        <v>1</v>
      </c>
    </row>
    <row r="220" spans="1:9" ht="21" customHeight="1" x14ac:dyDescent="0.15">
      <c r="A220" s="96" t="str">
        <f t="shared" si="3"/>
        <v>211_114</v>
      </c>
      <c r="B220" s="56">
        <v>211</v>
      </c>
      <c r="C220" s="31" t="str">
        <f ca="1">VLOOKUP($B220,OFFSET(units!$A$1,0,0,COUNTA(units!$A:$A),MATCH(C$1,units!$1:$1,0)-COLUMN(INDIRECT("character_id"))+1),MATCH(C$1,units!$1:$1,0)-COLUMN(INDIRECT("character_id"))+1,FALSE)</f>
        <v>アストライアー</v>
      </c>
      <c r="D220" s="31">
        <f ca="1">VLOOKUP($B220,OFFSET(units!$A$1,0,0,COUNTA(units!$A:$A),MATCH(D$1,units!$1:$1,0)-COLUMN(INDIRECT("character_id"))+1),MATCH(D$1,units!$1:$1,0)-COLUMN(INDIRECT("character_id"))+1,FALSE)</f>
        <v>3</v>
      </c>
      <c r="E220" s="31" t="str">
        <f ca="1">VLOOKUP($B220,OFFSET(units!$A$1,0,0,COUNTA(units!$A:$A),MATCH(E$1,units!$1:$1,0)-COLUMN(INDIRECT("character_id"))+1),MATCH(E$1,units!$1:$1,0)-COLUMN(INDIRECT("character_id"))+1,FALSE)</f>
        <v>PremiumN</v>
      </c>
      <c r="F220" s="56">
        <v>114</v>
      </c>
      <c r="G220" s="31" t="str">
        <f ca="1">VLOOKUP($F220,OFFSET(units!$A$1,0,0,COUNTA(units!$A:$A),MATCH(G$1,units!$1:$1,0)-COLUMN(INDIRECT("character_id"))+1),MATCH(G$1,units!$1:$1,0)-COLUMN(INDIRECT("character_id"))+1,FALSE)</f>
        <v>イエローラビット</v>
      </c>
      <c r="H220" s="26">
        <v>1</v>
      </c>
      <c r="I220" s="202">
        <v>1</v>
      </c>
    </row>
    <row r="221" spans="1:9" ht="21" customHeight="1" x14ac:dyDescent="0.15">
      <c r="A221" s="96" t="str">
        <f t="shared" si="3"/>
        <v>211_113</v>
      </c>
      <c r="B221" s="56">
        <v>211</v>
      </c>
      <c r="C221" s="31" t="str">
        <f ca="1">VLOOKUP($B221,OFFSET(units!$A$1,0,0,COUNTA(units!$A:$A),MATCH(C$1,units!$1:$1,0)-COLUMN(INDIRECT("character_id"))+1),MATCH(C$1,units!$1:$1,0)-COLUMN(INDIRECT("character_id"))+1,FALSE)</f>
        <v>アストライアー</v>
      </c>
      <c r="D221" s="31">
        <f ca="1">VLOOKUP($B221,OFFSET(units!$A$1,0,0,COUNTA(units!$A:$A),MATCH(D$1,units!$1:$1,0)-COLUMN(INDIRECT("character_id"))+1),MATCH(D$1,units!$1:$1,0)-COLUMN(INDIRECT("character_id"))+1,FALSE)</f>
        <v>3</v>
      </c>
      <c r="E221" s="31" t="str">
        <f ca="1">VLOOKUP($B221,OFFSET(units!$A$1,0,0,COUNTA(units!$A:$A),MATCH(E$1,units!$1:$1,0)-COLUMN(INDIRECT("character_id"))+1),MATCH(E$1,units!$1:$1,0)-COLUMN(INDIRECT("character_id"))+1,FALSE)</f>
        <v>PremiumN</v>
      </c>
      <c r="F221" s="56">
        <v>113</v>
      </c>
      <c r="G221" s="31" t="str">
        <f ca="1">VLOOKUP($F221,OFFSET(units!$A$1,0,0,COUNTA(units!$A:$A),MATCH(G$1,units!$1:$1,0)-COLUMN(INDIRECT("character_id"))+1),MATCH(G$1,units!$1:$1,0)-COLUMN(INDIRECT("character_id"))+1,FALSE)</f>
        <v>イエローチェシャ</v>
      </c>
      <c r="H221" s="26">
        <v>2</v>
      </c>
      <c r="I221" s="202">
        <v>1</v>
      </c>
    </row>
    <row r="222" spans="1:9" ht="21" customHeight="1" x14ac:dyDescent="0.15">
      <c r="A222" s="96" t="str">
        <f t="shared" si="3"/>
        <v>212_116</v>
      </c>
      <c r="B222" s="56">
        <v>212</v>
      </c>
      <c r="C222" s="31" t="str">
        <f ca="1">VLOOKUP($B222,OFFSET(units!$A$1,0,0,COUNTA(units!$A:$A),MATCH(C$1,units!$1:$1,0)-COLUMN(INDIRECT("character_id"))+1),MATCH(C$1,units!$1:$1,0)-COLUMN(INDIRECT("character_id"))+1,FALSE)</f>
        <v>星神 アストライアー</v>
      </c>
      <c r="D222" s="31">
        <f ca="1">VLOOKUP($B222,OFFSET(units!$A$1,0,0,COUNTA(units!$A:$A),MATCH(D$1,units!$1:$1,0)-COLUMN(INDIRECT("character_id"))+1),MATCH(D$1,units!$1:$1,0)-COLUMN(INDIRECT("character_id"))+1,FALSE)</f>
        <v>4</v>
      </c>
      <c r="E222" s="31" t="str">
        <f ca="1">VLOOKUP($B222,OFFSET(units!$A$1,0,0,COUNTA(units!$A:$A),MATCH(E$1,units!$1:$1,0)-COLUMN(INDIRECT("character_id"))+1),MATCH(E$1,units!$1:$1,0)-COLUMN(INDIRECT("character_id"))+1,FALSE)</f>
        <v>PremiumN</v>
      </c>
      <c r="F222" s="56">
        <v>116</v>
      </c>
      <c r="G222" s="31" t="str">
        <f ca="1">VLOOKUP($F222,OFFSET(units!$A$1,0,0,COUNTA(units!$A:$A),MATCH(G$1,units!$1:$1,0)-COLUMN(INDIRECT("character_id"))+1),MATCH(G$1,units!$1:$1,0)-COLUMN(INDIRECT("character_id"))+1,FALSE)</f>
        <v>雷のマッドハッター</v>
      </c>
      <c r="H222" s="26">
        <v>1</v>
      </c>
      <c r="I222" s="202">
        <v>1</v>
      </c>
    </row>
    <row r="223" spans="1:9" ht="21" customHeight="1" x14ac:dyDescent="0.15">
      <c r="A223" s="96" t="str">
        <f t="shared" si="3"/>
        <v>212_114</v>
      </c>
      <c r="B223" s="56">
        <v>212</v>
      </c>
      <c r="C223" s="31" t="str">
        <f ca="1">VLOOKUP($B223,OFFSET(units!$A$1,0,0,COUNTA(units!$A:$A),MATCH(C$1,units!$1:$1,0)-COLUMN(INDIRECT("character_id"))+1),MATCH(C$1,units!$1:$1,0)-COLUMN(INDIRECT("character_id"))+1,FALSE)</f>
        <v>星神 アストライアー</v>
      </c>
      <c r="D223" s="31">
        <f ca="1">VLOOKUP($B223,OFFSET(units!$A$1,0,0,COUNTA(units!$A:$A),MATCH(D$1,units!$1:$1,0)-COLUMN(INDIRECT("character_id"))+1),MATCH(D$1,units!$1:$1,0)-COLUMN(INDIRECT("character_id"))+1,FALSE)</f>
        <v>4</v>
      </c>
      <c r="E223" s="31" t="str">
        <f ca="1">VLOOKUP($B223,OFFSET(units!$A$1,0,0,COUNTA(units!$A:$A),MATCH(E$1,units!$1:$1,0)-COLUMN(INDIRECT("character_id"))+1),MATCH(E$1,units!$1:$1,0)-COLUMN(INDIRECT("character_id"))+1,FALSE)</f>
        <v>PremiumN</v>
      </c>
      <c r="F223" s="56">
        <v>114</v>
      </c>
      <c r="G223" s="31" t="str">
        <f ca="1">VLOOKUP($F223,OFFSET(units!$A$1,0,0,COUNTA(units!$A:$A),MATCH(G$1,units!$1:$1,0)-COLUMN(INDIRECT("character_id"))+1),MATCH(G$1,units!$1:$1,0)-COLUMN(INDIRECT("character_id"))+1,FALSE)</f>
        <v>イエローラビット</v>
      </c>
      <c r="H223" s="26">
        <v>4</v>
      </c>
      <c r="I223" s="202">
        <v>1</v>
      </c>
    </row>
    <row r="224" spans="1:9" ht="21" customHeight="1" x14ac:dyDescent="0.15">
      <c r="A224" s="96" t="str">
        <f t="shared" si="3"/>
        <v>214_103</v>
      </c>
      <c r="B224" s="56">
        <v>214</v>
      </c>
      <c r="C224" s="31" t="str">
        <f ca="1">VLOOKUP($B224,OFFSET(units!$A$1,0,0,COUNTA(units!$A:$A),MATCH(C$1,units!$1:$1,0)-COLUMN(INDIRECT("character_id"))+1),MATCH(C$1,units!$1:$1,0)-COLUMN(INDIRECT("character_id"))+1,FALSE)</f>
        <v>アズラエル</v>
      </c>
      <c r="D224" s="31">
        <f ca="1">VLOOKUP($B224,OFFSET(units!$A$1,0,0,COUNTA(units!$A:$A),MATCH(D$1,units!$1:$1,0)-COLUMN(INDIRECT("character_id"))+1),MATCH(D$1,units!$1:$1,0)-COLUMN(INDIRECT("character_id"))+1,FALSE)</f>
        <v>3</v>
      </c>
      <c r="E224" s="31" t="str">
        <f ca="1">VLOOKUP($B224,OFFSET(units!$A$1,0,0,COUNTA(units!$A:$A),MATCH(E$1,units!$1:$1,0)-COLUMN(INDIRECT("character_id"))+1),MATCH(E$1,units!$1:$1,0)-COLUMN(INDIRECT("character_id"))+1,FALSE)</f>
        <v>PremiumN</v>
      </c>
      <c r="F224" s="56">
        <v>103</v>
      </c>
      <c r="G224" s="31" t="str">
        <f ca="1">VLOOKUP($F224,OFFSET(units!$A$1,0,0,COUNTA(units!$A:$A),MATCH(G$1,units!$1:$1,0)-COLUMN(INDIRECT("character_id"))+1),MATCH(G$1,units!$1:$1,0)-COLUMN(INDIRECT("character_id"))+1,FALSE)</f>
        <v>レッドキャタップ</v>
      </c>
      <c r="H224" s="26">
        <v>2</v>
      </c>
      <c r="I224" s="202">
        <v>1</v>
      </c>
    </row>
    <row r="225" spans="1:9" ht="21" customHeight="1" x14ac:dyDescent="0.15">
      <c r="A225" s="96" t="str">
        <f t="shared" si="3"/>
        <v>214_102</v>
      </c>
      <c r="B225" s="56">
        <v>214</v>
      </c>
      <c r="C225" s="31" t="str">
        <f ca="1">VLOOKUP($B225,OFFSET(units!$A$1,0,0,COUNTA(units!$A:$A),MATCH(C$1,units!$1:$1,0)-COLUMN(INDIRECT("character_id"))+1),MATCH(C$1,units!$1:$1,0)-COLUMN(INDIRECT("character_id"))+1,FALSE)</f>
        <v>アズラエル</v>
      </c>
      <c r="D225" s="31">
        <f ca="1">VLOOKUP($B225,OFFSET(units!$A$1,0,0,COUNTA(units!$A:$A),MATCH(D$1,units!$1:$1,0)-COLUMN(INDIRECT("character_id"))+1),MATCH(D$1,units!$1:$1,0)-COLUMN(INDIRECT("character_id"))+1,FALSE)</f>
        <v>3</v>
      </c>
      <c r="E225" s="31" t="str">
        <f ca="1">VLOOKUP($B225,OFFSET(units!$A$1,0,0,COUNTA(units!$A:$A),MATCH(E$1,units!$1:$1,0)-COLUMN(INDIRECT("character_id"))+1),MATCH(E$1,units!$1:$1,0)-COLUMN(INDIRECT("character_id"))+1,FALSE)</f>
        <v>PremiumN</v>
      </c>
      <c r="F225" s="56">
        <v>102</v>
      </c>
      <c r="G225" s="31" t="str">
        <f ca="1">VLOOKUP($F225,OFFSET(units!$A$1,0,0,COUNTA(units!$A:$A),MATCH(G$1,units!$1:$1,0)-COLUMN(INDIRECT("character_id"))+1),MATCH(G$1,units!$1:$1,0)-COLUMN(INDIRECT("character_id"))+1,FALSE)</f>
        <v>レッドラビット</v>
      </c>
      <c r="H225" s="26">
        <v>2</v>
      </c>
      <c r="I225" s="202">
        <v>1</v>
      </c>
    </row>
    <row r="226" spans="1:9" ht="21" customHeight="1" x14ac:dyDescent="0.15">
      <c r="A226" s="96" t="str">
        <f t="shared" si="3"/>
        <v>215_104</v>
      </c>
      <c r="B226" s="56">
        <v>215</v>
      </c>
      <c r="C226" s="31" t="str">
        <f ca="1">VLOOKUP($B226,OFFSET(units!$A$1,0,0,COUNTA(units!$A:$A),MATCH(C$1,units!$1:$1,0)-COLUMN(INDIRECT("character_id"))+1),MATCH(C$1,units!$1:$1,0)-COLUMN(INDIRECT("character_id"))+1,FALSE)</f>
        <v>死導者 アズラエル</v>
      </c>
      <c r="D226" s="31">
        <f ca="1">VLOOKUP($B226,OFFSET(units!$A$1,0,0,COUNTA(units!$A:$A),MATCH(D$1,units!$1:$1,0)-COLUMN(INDIRECT("character_id"))+1),MATCH(D$1,units!$1:$1,0)-COLUMN(INDIRECT("character_id"))+1,FALSE)</f>
        <v>4</v>
      </c>
      <c r="E226" s="31" t="str">
        <f ca="1">VLOOKUP($B226,OFFSET(units!$A$1,0,0,COUNTA(units!$A:$A),MATCH(E$1,units!$1:$1,0)-COLUMN(INDIRECT("character_id"))+1),MATCH(E$1,units!$1:$1,0)-COLUMN(INDIRECT("character_id"))+1,FALSE)</f>
        <v>PremiumN</v>
      </c>
      <c r="F226" s="56">
        <v>104</v>
      </c>
      <c r="G226" s="31" t="str">
        <f ca="1">VLOOKUP($F226,OFFSET(units!$A$1,0,0,COUNTA(units!$A:$A),MATCH(G$1,units!$1:$1,0)-COLUMN(INDIRECT("character_id"))+1),MATCH(G$1,units!$1:$1,0)-COLUMN(INDIRECT("character_id"))+1,FALSE)</f>
        <v>炎のマッドハッター</v>
      </c>
      <c r="H226" s="26">
        <v>1</v>
      </c>
      <c r="I226" s="202">
        <v>1</v>
      </c>
    </row>
    <row r="227" spans="1:9" ht="21" customHeight="1" x14ac:dyDescent="0.15">
      <c r="A227" s="96" t="str">
        <f t="shared" si="3"/>
        <v>215_103</v>
      </c>
      <c r="B227" s="56">
        <v>215</v>
      </c>
      <c r="C227" s="31" t="str">
        <f ca="1">VLOOKUP($B227,OFFSET(units!$A$1,0,0,COUNTA(units!$A:$A),MATCH(C$1,units!$1:$1,0)-COLUMN(INDIRECT("character_id"))+1),MATCH(C$1,units!$1:$1,0)-COLUMN(INDIRECT("character_id"))+1,FALSE)</f>
        <v>死導者 アズラエル</v>
      </c>
      <c r="D227" s="31">
        <f ca="1">VLOOKUP($B227,OFFSET(units!$A$1,0,0,COUNTA(units!$A:$A),MATCH(D$1,units!$1:$1,0)-COLUMN(INDIRECT("character_id"))+1),MATCH(D$1,units!$1:$1,0)-COLUMN(INDIRECT("character_id"))+1,FALSE)</f>
        <v>4</v>
      </c>
      <c r="E227" s="31" t="str">
        <f ca="1">VLOOKUP($B227,OFFSET(units!$A$1,0,0,COUNTA(units!$A:$A),MATCH(E$1,units!$1:$1,0)-COLUMN(INDIRECT("character_id"))+1),MATCH(E$1,units!$1:$1,0)-COLUMN(INDIRECT("character_id"))+1,FALSE)</f>
        <v>PremiumN</v>
      </c>
      <c r="F227" s="56">
        <v>103</v>
      </c>
      <c r="G227" s="31" t="str">
        <f ca="1">VLOOKUP($F227,OFFSET(units!$A$1,0,0,COUNTA(units!$A:$A),MATCH(G$1,units!$1:$1,0)-COLUMN(INDIRECT("character_id"))+1),MATCH(G$1,units!$1:$1,0)-COLUMN(INDIRECT("character_id"))+1,FALSE)</f>
        <v>レッドキャタップ</v>
      </c>
      <c r="H227" s="26">
        <v>1</v>
      </c>
      <c r="I227" s="202">
        <v>1</v>
      </c>
    </row>
    <row r="228" spans="1:9" ht="21" customHeight="1" x14ac:dyDescent="0.15">
      <c r="A228" s="96" t="str">
        <f t="shared" si="3"/>
        <v>215_102</v>
      </c>
      <c r="B228" s="56">
        <v>215</v>
      </c>
      <c r="C228" s="31" t="str">
        <f ca="1">VLOOKUP($B228,OFFSET(units!$A$1,0,0,COUNTA(units!$A:$A),MATCH(C$1,units!$1:$1,0)-COLUMN(INDIRECT("character_id"))+1),MATCH(C$1,units!$1:$1,0)-COLUMN(INDIRECT("character_id"))+1,FALSE)</f>
        <v>死導者 アズラエル</v>
      </c>
      <c r="D228" s="31">
        <f ca="1">VLOOKUP($B228,OFFSET(units!$A$1,0,0,COUNTA(units!$A:$A),MATCH(D$1,units!$1:$1,0)-COLUMN(INDIRECT("character_id"))+1),MATCH(D$1,units!$1:$1,0)-COLUMN(INDIRECT("character_id"))+1,FALSE)</f>
        <v>4</v>
      </c>
      <c r="E228" s="31" t="str">
        <f ca="1">VLOOKUP($B228,OFFSET(units!$A$1,0,0,COUNTA(units!$A:$A),MATCH(E$1,units!$1:$1,0)-COLUMN(INDIRECT("character_id"))+1),MATCH(E$1,units!$1:$1,0)-COLUMN(INDIRECT("character_id"))+1,FALSE)</f>
        <v>PremiumN</v>
      </c>
      <c r="F228" s="56">
        <v>102</v>
      </c>
      <c r="G228" s="31" t="str">
        <f ca="1">VLOOKUP($F228,OFFSET(units!$A$1,0,0,COUNTA(units!$A:$A),MATCH(G$1,units!$1:$1,0)-COLUMN(INDIRECT("character_id"))+1),MATCH(G$1,units!$1:$1,0)-COLUMN(INDIRECT("character_id"))+1,FALSE)</f>
        <v>レッドラビット</v>
      </c>
      <c r="H228" s="26">
        <v>3</v>
      </c>
      <c r="I228" s="202">
        <v>1</v>
      </c>
    </row>
    <row r="229" spans="1:9" ht="21" customHeight="1" x14ac:dyDescent="0.15">
      <c r="A229" s="96" t="str">
        <f t="shared" si="3"/>
        <v>217_107</v>
      </c>
      <c r="B229" s="56">
        <v>217</v>
      </c>
      <c r="C229" s="31" t="str">
        <f ca="1">VLOOKUP($B229,OFFSET(units!$A$1,0,0,COUNTA(units!$A:$A),MATCH(C$1,units!$1:$1,0)-COLUMN(INDIRECT("character_id"))+1),MATCH(C$1,units!$1:$1,0)-COLUMN(INDIRECT("character_id"))+1,FALSE)</f>
        <v>ケツァクアトル</v>
      </c>
      <c r="D229" s="31">
        <f ca="1">VLOOKUP($B229,OFFSET(units!$A$1,0,0,COUNTA(units!$A:$A),MATCH(D$1,units!$1:$1,0)-COLUMN(INDIRECT("character_id"))+1),MATCH(D$1,units!$1:$1,0)-COLUMN(INDIRECT("character_id"))+1,FALSE)</f>
        <v>3</v>
      </c>
      <c r="E229" s="31" t="str">
        <f ca="1">VLOOKUP($B229,OFFSET(units!$A$1,0,0,COUNTA(units!$A:$A),MATCH(E$1,units!$1:$1,0)-COLUMN(INDIRECT("character_id"))+1),MATCH(E$1,units!$1:$1,0)-COLUMN(INDIRECT("character_id"))+1,FALSE)</f>
        <v>PremiumN</v>
      </c>
      <c r="F229" s="56">
        <v>107</v>
      </c>
      <c r="G229" s="31" t="str">
        <f ca="1">VLOOKUP($F229,OFFSET(units!$A$1,0,0,COUNTA(units!$A:$A),MATCH(G$1,units!$1:$1,0)-COLUMN(INDIRECT("character_id"))+1),MATCH(G$1,units!$1:$1,0)-COLUMN(INDIRECT("character_id"))+1,FALSE)</f>
        <v>グリーンキャタップ</v>
      </c>
      <c r="H229" s="26">
        <v>2</v>
      </c>
      <c r="I229" s="202">
        <v>1</v>
      </c>
    </row>
    <row r="230" spans="1:9" ht="21" customHeight="1" x14ac:dyDescent="0.15">
      <c r="A230" s="96" t="str">
        <f t="shared" si="3"/>
        <v>217_106</v>
      </c>
      <c r="B230" s="56">
        <v>217</v>
      </c>
      <c r="C230" s="31" t="str">
        <f ca="1">VLOOKUP($B230,OFFSET(units!$A$1,0,0,COUNTA(units!$A:$A),MATCH(C$1,units!$1:$1,0)-COLUMN(INDIRECT("character_id"))+1),MATCH(C$1,units!$1:$1,0)-COLUMN(INDIRECT("character_id"))+1,FALSE)</f>
        <v>ケツァクアトル</v>
      </c>
      <c r="D230" s="31">
        <f ca="1">VLOOKUP($B230,OFFSET(units!$A$1,0,0,COUNTA(units!$A:$A),MATCH(D$1,units!$1:$1,0)-COLUMN(INDIRECT("character_id"))+1),MATCH(D$1,units!$1:$1,0)-COLUMN(INDIRECT("character_id"))+1,FALSE)</f>
        <v>3</v>
      </c>
      <c r="E230" s="31" t="str">
        <f ca="1">VLOOKUP($B230,OFFSET(units!$A$1,0,0,COUNTA(units!$A:$A),MATCH(E$1,units!$1:$1,0)-COLUMN(INDIRECT("character_id"))+1),MATCH(E$1,units!$1:$1,0)-COLUMN(INDIRECT("character_id"))+1,FALSE)</f>
        <v>PremiumN</v>
      </c>
      <c r="F230" s="56">
        <v>106</v>
      </c>
      <c r="G230" s="31" t="str">
        <f ca="1">VLOOKUP($F230,OFFSET(units!$A$1,0,0,COUNTA(units!$A:$A),MATCH(G$1,units!$1:$1,0)-COLUMN(INDIRECT("character_id"))+1),MATCH(G$1,units!$1:$1,0)-COLUMN(INDIRECT("character_id"))+1,FALSE)</f>
        <v>グリーンラビット</v>
      </c>
      <c r="H230" s="26">
        <v>2</v>
      </c>
      <c r="I230" s="202">
        <v>1</v>
      </c>
    </row>
    <row r="231" spans="1:9" ht="21" customHeight="1" x14ac:dyDescent="0.15">
      <c r="A231" s="96" t="str">
        <f t="shared" si="3"/>
        <v>218_108</v>
      </c>
      <c r="B231" s="56">
        <v>218</v>
      </c>
      <c r="C231" s="31" t="str">
        <f ca="1">VLOOKUP($B231,OFFSET(units!$A$1,0,0,COUNTA(units!$A:$A),MATCH(C$1,units!$1:$1,0)-COLUMN(INDIRECT("character_id"))+1),MATCH(C$1,units!$1:$1,0)-COLUMN(INDIRECT("character_id"))+1,FALSE)</f>
        <v>聖蛇 ケツァクアトル</v>
      </c>
      <c r="D231" s="31">
        <f ca="1">VLOOKUP($B231,OFFSET(units!$A$1,0,0,COUNTA(units!$A:$A),MATCH(D$1,units!$1:$1,0)-COLUMN(INDIRECT("character_id"))+1),MATCH(D$1,units!$1:$1,0)-COLUMN(INDIRECT("character_id"))+1,FALSE)</f>
        <v>4</v>
      </c>
      <c r="E231" s="31" t="str">
        <f ca="1">VLOOKUP($B231,OFFSET(units!$A$1,0,0,COUNTA(units!$A:$A),MATCH(E$1,units!$1:$1,0)-COLUMN(INDIRECT("character_id"))+1),MATCH(E$1,units!$1:$1,0)-COLUMN(INDIRECT("character_id"))+1,FALSE)</f>
        <v>PremiumN</v>
      </c>
      <c r="F231" s="56">
        <v>108</v>
      </c>
      <c r="G231" s="31" t="str">
        <f ca="1">VLOOKUP($F231,OFFSET(units!$A$1,0,0,COUNTA(units!$A:$A),MATCH(G$1,units!$1:$1,0)-COLUMN(INDIRECT("character_id"))+1),MATCH(G$1,units!$1:$1,0)-COLUMN(INDIRECT("character_id"))+1,FALSE)</f>
        <v>森のマッドハッター</v>
      </c>
      <c r="H231" s="26">
        <v>1</v>
      </c>
      <c r="I231" s="202">
        <v>1</v>
      </c>
    </row>
    <row r="232" spans="1:9" ht="21" customHeight="1" x14ac:dyDescent="0.15">
      <c r="A232" s="96" t="str">
        <f t="shared" si="3"/>
        <v>218_107</v>
      </c>
      <c r="B232" s="56">
        <v>218</v>
      </c>
      <c r="C232" s="31" t="str">
        <f ca="1">VLOOKUP($B232,OFFSET(units!$A$1,0,0,COUNTA(units!$A:$A),MATCH(C$1,units!$1:$1,0)-COLUMN(INDIRECT("character_id"))+1),MATCH(C$1,units!$1:$1,0)-COLUMN(INDIRECT("character_id"))+1,FALSE)</f>
        <v>聖蛇 ケツァクアトル</v>
      </c>
      <c r="D232" s="31">
        <f ca="1">VLOOKUP($B232,OFFSET(units!$A$1,0,0,COUNTA(units!$A:$A),MATCH(D$1,units!$1:$1,0)-COLUMN(INDIRECT("character_id"))+1),MATCH(D$1,units!$1:$1,0)-COLUMN(INDIRECT("character_id"))+1,FALSE)</f>
        <v>4</v>
      </c>
      <c r="E232" s="31" t="str">
        <f ca="1">VLOOKUP($B232,OFFSET(units!$A$1,0,0,COUNTA(units!$A:$A),MATCH(E$1,units!$1:$1,0)-COLUMN(INDIRECT("character_id"))+1),MATCH(E$1,units!$1:$1,0)-COLUMN(INDIRECT("character_id"))+1,FALSE)</f>
        <v>PremiumN</v>
      </c>
      <c r="F232" s="56">
        <v>107</v>
      </c>
      <c r="G232" s="31" t="str">
        <f ca="1">VLOOKUP($F232,OFFSET(units!$A$1,0,0,COUNTA(units!$A:$A),MATCH(G$1,units!$1:$1,0)-COLUMN(INDIRECT("character_id"))+1),MATCH(G$1,units!$1:$1,0)-COLUMN(INDIRECT("character_id"))+1,FALSE)</f>
        <v>グリーンキャタップ</v>
      </c>
      <c r="H232" s="26">
        <v>1</v>
      </c>
      <c r="I232" s="202">
        <v>1</v>
      </c>
    </row>
    <row r="233" spans="1:9" ht="21" customHeight="1" x14ac:dyDescent="0.15">
      <c r="A233" s="96" t="str">
        <f t="shared" si="3"/>
        <v>218_106</v>
      </c>
      <c r="B233" s="56">
        <v>218</v>
      </c>
      <c r="C233" s="31" t="str">
        <f ca="1">VLOOKUP($B233,OFFSET(units!$A$1,0,0,COUNTA(units!$A:$A),MATCH(C$1,units!$1:$1,0)-COLUMN(INDIRECT("character_id"))+1),MATCH(C$1,units!$1:$1,0)-COLUMN(INDIRECT("character_id"))+1,FALSE)</f>
        <v>聖蛇 ケツァクアトル</v>
      </c>
      <c r="D233" s="31">
        <f ca="1">VLOOKUP($B233,OFFSET(units!$A$1,0,0,COUNTA(units!$A:$A),MATCH(D$1,units!$1:$1,0)-COLUMN(INDIRECT("character_id"))+1),MATCH(D$1,units!$1:$1,0)-COLUMN(INDIRECT("character_id"))+1,FALSE)</f>
        <v>4</v>
      </c>
      <c r="E233" s="31" t="str">
        <f ca="1">VLOOKUP($B233,OFFSET(units!$A$1,0,0,COUNTA(units!$A:$A),MATCH(E$1,units!$1:$1,0)-COLUMN(INDIRECT("character_id"))+1),MATCH(E$1,units!$1:$1,0)-COLUMN(INDIRECT("character_id"))+1,FALSE)</f>
        <v>PremiumN</v>
      </c>
      <c r="F233" s="56">
        <v>106</v>
      </c>
      <c r="G233" s="31" t="str">
        <f ca="1">VLOOKUP($F233,OFFSET(units!$A$1,0,0,COUNTA(units!$A:$A),MATCH(G$1,units!$1:$1,0)-COLUMN(INDIRECT("character_id"))+1),MATCH(G$1,units!$1:$1,0)-COLUMN(INDIRECT("character_id"))+1,FALSE)</f>
        <v>グリーンラビット</v>
      </c>
      <c r="H233" s="26">
        <v>3</v>
      </c>
      <c r="I233" s="202">
        <v>1</v>
      </c>
    </row>
    <row r="234" spans="1:9" ht="21" customHeight="1" x14ac:dyDescent="0.15">
      <c r="A234" s="96" t="str">
        <f t="shared" si="3"/>
        <v>220_111</v>
      </c>
      <c r="B234" s="56">
        <v>220</v>
      </c>
      <c r="C234" s="31" t="str">
        <f ca="1">VLOOKUP($B234,OFFSET(units!$A$1,0,0,COUNTA(units!$A:$A),MATCH(C$1,units!$1:$1,0)-COLUMN(INDIRECT("character_id"))+1),MATCH(C$1,units!$1:$1,0)-COLUMN(INDIRECT("character_id"))+1,FALSE)</f>
        <v>ルキフグス</v>
      </c>
      <c r="D234" s="31">
        <f ca="1">VLOOKUP($B234,OFFSET(units!$A$1,0,0,COUNTA(units!$A:$A),MATCH(D$1,units!$1:$1,0)-COLUMN(INDIRECT("character_id"))+1),MATCH(D$1,units!$1:$1,0)-COLUMN(INDIRECT("character_id"))+1,FALSE)</f>
        <v>3</v>
      </c>
      <c r="E234" s="31" t="str">
        <f ca="1">VLOOKUP($B234,OFFSET(units!$A$1,0,0,COUNTA(units!$A:$A),MATCH(E$1,units!$1:$1,0)-COLUMN(INDIRECT("character_id"))+1),MATCH(E$1,units!$1:$1,0)-COLUMN(INDIRECT("character_id"))+1,FALSE)</f>
        <v>PremiumN</v>
      </c>
      <c r="F234" s="56">
        <v>111</v>
      </c>
      <c r="G234" s="31" t="str">
        <f ca="1">VLOOKUP($F234,OFFSET(units!$A$1,0,0,COUNTA(units!$A:$A),MATCH(G$1,units!$1:$1,0)-COLUMN(INDIRECT("character_id"))+1),MATCH(G$1,units!$1:$1,0)-COLUMN(INDIRECT("character_id"))+1,FALSE)</f>
        <v>ブルーキャタップ</v>
      </c>
      <c r="H234" s="26">
        <v>2</v>
      </c>
      <c r="I234" s="202">
        <v>1</v>
      </c>
    </row>
    <row r="235" spans="1:9" ht="21" customHeight="1" x14ac:dyDescent="0.15">
      <c r="A235" s="96" t="str">
        <f t="shared" si="3"/>
        <v>220_110</v>
      </c>
      <c r="B235" s="56">
        <v>220</v>
      </c>
      <c r="C235" s="31" t="str">
        <f ca="1">VLOOKUP($B235,OFFSET(units!$A$1,0,0,COUNTA(units!$A:$A),MATCH(C$1,units!$1:$1,0)-COLUMN(INDIRECT("character_id"))+1),MATCH(C$1,units!$1:$1,0)-COLUMN(INDIRECT("character_id"))+1,FALSE)</f>
        <v>ルキフグス</v>
      </c>
      <c r="D235" s="31">
        <f ca="1">VLOOKUP($B235,OFFSET(units!$A$1,0,0,COUNTA(units!$A:$A),MATCH(D$1,units!$1:$1,0)-COLUMN(INDIRECT("character_id"))+1),MATCH(D$1,units!$1:$1,0)-COLUMN(INDIRECT("character_id"))+1,FALSE)</f>
        <v>3</v>
      </c>
      <c r="E235" s="31" t="str">
        <f ca="1">VLOOKUP($B235,OFFSET(units!$A$1,0,0,COUNTA(units!$A:$A),MATCH(E$1,units!$1:$1,0)-COLUMN(INDIRECT("character_id"))+1),MATCH(E$1,units!$1:$1,0)-COLUMN(INDIRECT("character_id"))+1,FALSE)</f>
        <v>PremiumN</v>
      </c>
      <c r="F235" s="56">
        <v>110</v>
      </c>
      <c r="G235" s="31" t="str">
        <f ca="1">VLOOKUP($F235,OFFSET(units!$A$1,0,0,COUNTA(units!$A:$A),MATCH(G$1,units!$1:$1,0)-COLUMN(INDIRECT("character_id"))+1),MATCH(G$1,units!$1:$1,0)-COLUMN(INDIRECT("character_id"))+1,FALSE)</f>
        <v>ブルーラビット</v>
      </c>
      <c r="H235" s="26">
        <v>2</v>
      </c>
      <c r="I235" s="202">
        <v>1</v>
      </c>
    </row>
    <row r="236" spans="1:9" ht="21" customHeight="1" x14ac:dyDescent="0.15">
      <c r="A236" s="96" t="str">
        <f t="shared" si="3"/>
        <v>221_112</v>
      </c>
      <c r="B236" s="56">
        <v>221</v>
      </c>
      <c r="C236" s="31" t="str">
        <f ca="1">VLOOKUP($B236,OFFSET(units!$A$1,0,0,COUNTA(units!$A:$A),MATCH(C$1,units!$1:$1,0)-COLUMN(INDIRECT("character_id"))+1),MATCH(C$1,units!$1:$1,0)-COLUMN(INDIRECT("character_id"))+1,FALSE)</f>
        <v>宰相 ルキフグス</v>
      </c>
      <c r="D236" s="31">
        <f ca="1">VLOOKUP($B236,OFFSET(units!$A$1,0,0,COUNTA(units!$A:$A),MATCH(D$1,units!$1:$1,0)-COLUMN(INDIRECT("character_id"))+1),MATCH(D$1,units!$1:$1,0)-COLUMN(INDIRECT("character_id"))+1,FALSE)</f>
        <v>4</v>
      </c>
      <c r="E236" s="31" t="str">
        <f ca="1">VLOOKUP($B236,OFFSET(units!$A$1,0,0,COUNTA(units!$A:$A),MATCH(E$1,units!$1:$1,0)-COLUMN(INDIRECT("character_id"))+1),MATCH(E$1,units!$1:$1,0)-COLUMN(INDIRECT("character_id"))+1,FALSE)</f>
        <v>PremiumN</v>
      </c>
      <c r="F236" s="56">
        <v>112</v>
      </c>
      <c r="G236" s="31" t="str">
        <f ca="1">VLOOKUP($F236,OFFSET(units!$A$1,0,0,COUNTA(units!$A:$A),MATCH(G$1,units!$1:$1,0)-COLUMN(INDIRECT("character_id"))+1),MATCH(G$1,units!$1:$1,0)-COLUMN(INDIRECT("character_id"))+1,FALSE)</f>
        <v>水のマッドハッター</v>
      </c>
      <c r="H236" s="26">
        <v>1</v>
      </c>
      <c r="I236" s="202">
        <v>1</v>
      </c>
    </row>
    <row r="237" spans="1:9" ht="21" customHeight="1" x14ac:dyDescent="0.15">
      <c r="A237" s="96" t="str">
        <f t="shared" si="3"/>
        <v>221_111</v>
      </c>
      <c r="B237" s="56">
        <v>221</v>
      </c>
      <c r="C237" s="31" t="str">
        <f ca="1">VLOOKUP($B237,OFFSET(units!$A$1,0,0,COUNTA(units!$A:$A),MATCH(C$1,units!$1:$1,0)-COLUMN(INDIRECT("character_id"))+1),MATCH(C$1,units!$1:$1,0)-COLUMN(INDIRECT("character_id"))+1,FALSE)</f>
        <v>宰相 ルキフグス</v>
      </c>
      <c r="D237" s="31">
        <f ca="1">VLOOKUP($B237,OFFSET(units!$A$1,0,0,COUNTA(units!$A:$A),MATCH(D$1,units!$1:$1,0)-COLUMN(INDIRECT("character_id"))+1),MATCH(D$1,units!$1:$1,0)-COLUMN(INDIRECT("character_id"))+1,FALSE)</f>
        <v>4</v>
      </c>
      <c r="E237" s="31" t="str">
        <f ca="1">VLOOKUP($B237,OFFSET(units!$A$1,0,0,COUNTA(units!$A:$A),MATCH(E$1,units!$1:$1,0)-COLUMN(INDIRECT("character_id"))+1),MATCH(E$1,units!$1:$1,0)-COLUMN(INDIRECT("character_id"))+1,FALSE)</f>
        <v>PremiumN</v>
      </c>
      <c r="F237" s="56">
        <v>111</v>
      </c>
      <c r="G237" s="31" t="str">
        <f ca="1">VLOOKUP($F237,OFFSET(units!$A$1,0,0,COUNTA(units!$A:$A),MATCH(G$1,units!$1:$1,0)-COLUMN(INDIRECT("character_id"))+1),MATCH(G$1,units!$1:$1,0)-COLUMN(INDIRECT("character_id"))+1,FALSE)</f>
        <v>ブルーキャタップ</v>
      </c>
      <c r="H237" s="26">
        <v>1</v>
      </c>
      <c r="I237" s="202">
        <v>1</v>
      </c>
    </row>
    <row r="238" spans="1:9" ht="21" customHeight="1" x14ac:dyDescent="0.15">
      <c r="A238" s="96" t="str">
        <f t="shared" si="3"/>
        <v>221_110</v>
      </c>
      <c r="B238" s="56">
        <v>221</v>
      </c>
      <c r="C238" s="31" t="str">
        <f ca="1">VLOOKUP($B238,OFFSET(units!$A$1,0,0,COUNTA(units!$A:$A),MATCH(C$1,units!$1:$1,0)-COLUMN(INDIRECT("character_id"))+1),MATCH(C$1,units!$1:$1,0)-COLUMN(INDIRECT("character_id"))+1,FALSE)</f>
        <v>宰相 ルキフグス</v>
      </c>
      <c r="D238" s="31">
        <f ca="1">VLOOKUP($B238,OFFSET(units!$A$1,0,0,COUNTA(units!$A:$A),MATCH(D$1,units!$1:$1,0)-COLUMN(INDIRECT("character_id"))+1),MATCH(D$1,units!$1:$1,0)-COLUMN(INDIRECT("character_id"))+1,FALSE)</f>
        <v>4</v>
      </c>
      <c r="E238" s="31" t="str">
        <f ca="1">VLOOKUP($B238,OFFSET(units!$A$1,0,0,COUNTA(units!$A:$A),MATCH(E$1,units!$1:$1,0)-COLUMN(INDIRECT("character_id"))+1),MATCH(E$1,units!$1:$1,0)-COLUMN(INDIRECT("character_id"))+1,FALSE)</f>
        <v>PremiumN</v>
      </c>
      <c r="F238" s="56">
        <v>110</v>
      </c>
      <c r="G238" s="31" t="str">
        <f ca="1">VLOOKUP($F238,OFFSET(units!$A$1,0,0,COUNTA(units!$A:$A),MATCH(G$1,units!$1:$1,0)-COLUMN(INDIRECT("character_id"))+1),MATCH(G$1,units!$1:$1,0)-COLUMN(INDIRECT("character_id"))+1,FALSE)</f>
        <v>ブルーラビット</v>
      </c>
      <c r="H238" s="26">
        <v>3</v>
      </c>
      <c r="I238" s="202">
        <v>1</v>
      </c>
    </row>
    <row r="239" spans="1:9" ht="21" customHeight="1" x14ac:dyDescent="0.15">
      <c r="A239" s="96" t="str">
        <f t="shared" si="3"/>
        <v>223_115</v>
      </c>
      <c r="B239" s="56">
        <v>223</v>
      </c>
      <c r="C239" s="31" t="str">
        <f ca="1">VLOOKUP($B239,OFFSET(units!$A$1,0,0,COUNTA(units!$A:$A),MATCH(C$1,units!$1:$1,0)-COLUMN(INDIRECT("character_id"))+1),MATCH(C$1,units!$1:$1,0)-COLUMN(INDIRECT("character_id"))+1,FALSE)</f>
        <v>ヘラクレス</v>
      </c>
      <c r="D239" s="31">
        <f ca="1">VLOOKUP($B239,OFFSET(units!$A$1,0,0,COUNTA(units!$A:$A),MATCH(D$1,units!$1:$1,0)-COLUMN(INDIRECT("character_id"))+1),MATCH(D$1,units!$1:$1,0)-COLUMN(INDIRECT("character_id"))+1,FALSE)</f>
        <v>3</v>
      </c>
      <c r="E239" s="31" t="str">
        <f ca="1">VLOOKUP($B239,OFFSET(units!$A$1,0,0,COUNTA(units!$A:$A),MATCH(E$1,units!$1:$1,0)-COLUMN(INDIRECT("character_id"))+1),MATCH(E$1,units!$1:$1,0)-COLUMN(INDIRECT("character_id"))+1,FALSE)</f>
        <v>PremiumN</v>
      </c>
      <c r="F239" s="56">
        <v>115</v>
      </c>
      <c r="G239" s="31" t="str">
        <f ca="1">VLOOKUP($F239,OFFSET(units!$A$1,0,0,COUNTA(units!$A:$A),MATCH(G$1,units!$1:$1,0)-COLUMN(INDIRECT("character_id"))+1),MATCH(G$1,units!$1:$1,0)-COLUMN(INDIRECT("character_id"))+1,FALSE)</f>
        <v>イエローキャタップ</v>
      </c>
      <c r="H239" s="26">
        <v>2</v>
      </c>
      <c r="I239" s="202">
        <v>1</v>
      </c>
    </row>
    <row r="240" spans="1:9" ht="21" customHeight="1" x14ac:dyDescent="0.15">
      <c r="A240" s="96" t="str">
        <f t="shared" si="3"/>
        <v>223_114</v>
      </c>
      <c r="B240" s="56">
        <v>223</v>
      </c>
      <c r="C240" s="31" t="str">
        <f ca="1">VLOOKUP($B240,OFFSET(units!$A$1,0,0,COUNTA(units!$A:$A),MATCH(C$1,units!$1:$1,0)-COLUMN(INDIRECT("character_id"))+1),MATCH(C$1,units!$1:$1,0)-COLUMN(INDIRECT("character_id"))+1,FALSE)</f>
        <v>ヘラクレス</v>
      </c>
      <c r="D240" s="31">
        <f ca="1">VLOOKUP($B240,OFFSET(units!$A$1,0,0,COUNTA(units!$A:$A),MATCH(D$1,units!$1:$1,0)-COLUMN(INDIRECT("character_id"))+1),MATCH(D$1,units!$1:$1,0)-COLUMN(INDIRECT("character_id"))+1,FALSE)</f>
        <v>3</v>
      </c>
      <c r="E240" s="31" t="str">
        <f ca="1">VLOOKUP($B240,OFFSET(units!$A$1,0,0,COUNTA(units!$A:$A),MATCH(E$1,units!$1:$1,0)-COLUMN(INDIRECT("character_id"))+1),MATCH(E$1,units!$1:$1,0)-COLUMN(INDIRECT("character_id"))+1,FALSE)</f>
        <v>PremiumN</v>
      </c>
      <c r="F240" s="56">
        <v>114</v>
      </c>
      <c r="G240" s="31" t="str">
        <f ca="1">VLOOKUP($F240,OFFSET(units!$A$1,0,0,COUNTA(units!$A:$A),MATCH(G$1,units!$1:$1,0)-COLUMN(INDIRECT("character_id"))+1),MATCH(G$1,units!$1:$1,0)-COLUMN(INDIRECT("character_id"))+1,FALSE)</f>
        <v>イエローラビット</v>
      </c>
      <c r="H240" s="26">
        <v>2</v>
      </c>
      <c r="I240" s="202">
        <v>1</v>
      </c>
    </row>
    <row r="241" spans="1:9" ht="21" customHeight="1" x14ac:dyDescent="0.15">
      <c r="A241" s="96" t="str">
        <f t="shared" si="3"/>
        <v>224_116</v>
      </c>
      <c r="B241" s="56">
        <v>224</v>
      </c>
      <c r="C241" s="31" t="str">
        <f ca="1">VLOOKUP($B241,OFFSET(units!$A$1,0,0,COUNTA(units!$A:$A),MATCH(C$1,units!$1:$1,0)-COLUMN(INDIRECT("character_id"))+1),MATCH(C$1,units!$1:$1,0)-COLUMN(INDIRECT("character_id"))+1,FALSE)</f>
        <v>巨腕 ヘラクレス</v>
      </c>
      <c r="D241" s="31">
        <f ca="1">VLOOKUP($B241,OFFSET(units!$A$1,0,0,COUNTA(units!$A:$A),MATCH(D$1,units!$1:$1,0)-COLUMN(INDIRECT("character_id"))+1),MATCH(D$1,units!$1:$1,0)-COLUMN(INDIRECT("character_id"))+1,FALSE)</f>
        <v>4</v>
      </c>
      <c r="E241" s="31" t="str">
        <f ca="1">VLOOKUP($B241,OFFSET(units!$A$1,0,0,COUNTA(units!$A:$A),MATCH(E$1,units!$1:$1,0)-COLUMN(INDIRECT("character_id"))+1),MATCH(E$1,units!$1:$1,0)-COLUMN(INDIRECT("character_id"))+1,FALSE)</f>
        <v>PremiumN</v>
      </c>
      <c r="F241" s="56">
        <v>116</v>
      </c>
      <c r="G241" s="31" t="str">
        <f ca="1">VLOOKUP($F241,OFFSET(units!$A$1,0,0,COUNTA(units!$A:$A),MATCH(G$1,units!$1:$1,0)-COLUMN(INDIRECT("character_id"))+1),MATCH(G$1,units!$1:$1,0)-COLUMN(INDIRECT("character_id"))+1,FALSE)</f>
        <v>雷のマッドハッター</v>
      </c>
      <c r="H241" s="26">
        <v>1</v>
      </c>
      <c r="I241" s="202">
        <v>1</v>
      </c>
    </row>
    <row r="242" spans="1:9" ht="21" customHeight="1" x14ac:dyDescent="0.15">
      <c r="A242" s="96" t="str">
        <f t="shared" si="3"/>
        <v>224_115</v>
      </c>
      <c r="B242" s="56">
        <v>224</v>
      </c>
      <c r="C242" s="31" t="str">
        <f ca="1">VLOOKUP($B242,OFFSET(units!$A$1,0,0,COUNTA(units!$A:$A),MATCH(C$1,units!$1:$1,0)-COLUMN(INDIRECT("character_id"))+1),MATCH(C$1,units!$1:$1,0)-COLUMN(INDIRECT("character_id"))+1,FALSE)</f>
        <v>巨腕 ヘラクレス</v>
      </c>
      <c r="D242" s="31">
        <f ca="1">VLOOKUP($B242,OFFSET(units!$A$1,0,0,COUNTA(units!$A:$A),MATCH(D$1,units!$1:$1,0)-COLUMN(INDIRECT("character_id"))+1),MATCH(D$1,units!$1:$1,0)-COLUMN(INDIRECT("character_id"))+1,FALSE)</f>
        <v>4</v>
      </c>
      <c r="E242" s="31" t="str">
        <f ca="1">VLOOKUP($B242,OFFSET(units!$A$1,0,0,COUNTA(units!$A:$A),MATCH(E$1,units!$1:$1,0)-COLUMN(INDIRECT("character_id"))+1),MATCH(E$1,units!$1:$1,0)-COLUMN(INDIRECT("character_id"))+1,FALSE)</f>
        <v>PremiumN</v>
      </c>
      <c r="F242" s="56">
        <v>115</v>
      </c>
      <c r="G242" s="31" t="str">
        <f ca="1">VLOOKUP($F242,OFFSET(units!$A$1,0,0,COUNTA(units!$A:$A),MATCH(G$1,units!$1:$1,0)-COLUMN(INDIRECT("character_id"))+1),MATCH(G$1,units!$1:$1,0)-COLUMN(INDIRECT("character_id"))+1,FALSE)</f>
        <v>イエローキャタップ</v>
      </c>
      <c r="H242" s="26">
        <v>1</v>
      </c>
      <c r="I242" s="202">
        <v>1</v>
      </c>
    </row>
    <row r="243" spans="1:9" ht="21" customHeight="1" x14ac:dyDescent="0.15">
      <c r="A243" s="96" t="str">
        <f t="shared" si="3"/>
        <v>224_114</v>
      </c>
      <c r="B243" s="56">
        <v>224</v>
      </c>
      <c r="C243" s="31" t="str">
        <f ca="1">VLOOKUP($B243,OFFSET(units!$A$1,0,0,COUNTA(units!$A:$A),MATCH(C$1,units!$1:$1,0)-COLUMN(INDIRECT("character_id"))+1),MATCH(C$1,units!$1:$1,0)-COLUMN(INDIRECT("character_id"))+1,FALSE)</f>
        <v>巨腕 ヘラクレス</v>
      </c>
      <c r="D243" s="31">
        <f ca="1">VLOOKUP($B243,OFFSET(units!$A$1,0,0,COUNTA(units!$A:$A),MATCH(D$1,units!$1:$1,0)-COLUMN(INDIRECT("character_id"))+1),MATCH(D$1,units!$1:$1,0)-COLUMN(INDIRECT("character_id"))+1,FALSE)</f>
        <v>4</v>
      </c>
      <c r="E243" s="31" t="str">
        <f ca="1">VLOOKUP($B243,OFFSET(units!$A$1,0,0,COUNTA(units!$A:$A),MATCH(E$1,units!$1:$1,0)-COLUMN(INDIRECT("character_id"))+1),MATCH(E$1,units!$1:$1,0)-COLUMN(INDIRECT("character_id"))+1,FALSE)</f>
        <v>PremiumN</v>
      </c>
      <c r="F243" s="56">
        <v>114</v>
      </c>
      <c r="G243" s="31" t="str">
        <f ca="1">VLOOKUP($F243,OFFSET(units!$A$1,0,0,COUNTA(units!$A:$A),MATCH(G$1,units!$1:$1,0)-COLUMN(INDIRECT("character_id"))+1),MATCH(G$1,units!$1:$1,0)-COLUMN(INDIRECT("character_id"))+1,FALSE)</f>
        <v>イエローラビット</v>
      </c>
      <c r="H243" s="26">
        <v>3</v>
      </c>
      <c r="I243" s="202">
        <v>1</v>
      </c>
    </row>
    <row r="244" spans="1:9" ht="21" customHeight="1" x14ac:dyDescent="0.15">
      <c r="A244" s="96" t="str">
        <f t="shared" si="3"/>
        <v>226_103</v>
      </c>
      <c r="B244" s="56">
        <v>226</v>
      </c>
      <c r="C244" s="31" t="str">
        <f ca="1">VLOOKUP($B244,OFFSET(units!$A$1,0,0,COUNTA(units!$A:$A),MATCH(C$1,units!$1:$1,0)-COLUMN(INDIRECT("character_id"))+1),MATCH(C$1,units!$1:$1,0)-COLUMN(INDIRECT("character_id"))+1,FALSE)</f>
        <v>アレス</v>
      </c>
      <c r="D244" s="31">
        <f ca="1">VLOOKUP($B244,OFFSET(units!$A$1,0,0,COUNTA(units!$A:$A),MATCH(D$1,units!$1:$1,0)-COLUMN(INDIRECT("character_id"))+1),MATCH(D$1,units!$1:$1,0)-COLUMN(INDIRECT("character_id"))+1,FALSE)</f>
        <v>3</v>
      </c>
      <c r="E244" s="31" t="str">
        <f ca="1">VLOOKUP($B244,OFFSET(units!$A$1,0,0,COUNTA(units!$A:$A),MATCH(E$1,units!$1:$1,0)-COLUMN(INDIRECT("character_id"))+1),MATCH(E$1,units!$1:$1,0)-COLUMN(INDIRECT("character_id"))+1,FALSE)</f>
        <v>PremiumS</v>
      </c>
      <c r="F244" s="56">
        <v>103</v>
      </c>
      <c r="G244" s="31" t="str">
        <f ca="1">VLOOKUP($F244,OFFSET(units!$A$1,0,0,COUNTA(units!$A:$A),MATCH(G$1,units!$1:$1,0)-COLUMN(INDIRECT("character_id"))+1),MATCH(G$1,units!$1:$1,0)-COLUMN(INDIRECT("character_id"))+1,FALSE)</f>
        <v>レッドキャタップ</v>
      </c>
      <c r="H244" s="26">
        <v>3</v>
      </c>
      <c r="I244" s="202">
        <v>1</v>
      </c>
    </row>
    <row r="245" spans="1:9" ht="21" customHeight="1" x14ac:dyDescent="0.15">
      <c r="A245" s="96" t="str">
        <f t="shared" si="3"/>
        <v>226_102</v>
      </c>
      <c r="B245" s="56">
        <v>226</v>
      </c>
      <c r="C245" s="31" t="str">
        <f ca="1">VLOOKUP($B245,OFFSET(units!$A$1,0,0,COUNTA(units!$A:$A),MATCH(C$1,units!$1:$1,0)-COLUMN(INDIRECT("character_id"))+1),MATCH(C$1,units!$1:$1,0)-COLUMN(INDIRECT("character_id"))+1,FALSE)</f>
        <v>アレス</v>
      </c>
      <c r="D245" s="31">
        <f ca="1">VLOOKUP($B245,OFFSET(units!$A$1,0,0,COUNTA(units!$A:$A),MATCH(D$1,units!$1:$1,0)-COLUMN(INDIRECT("character_id"))+1),MATCH(D$1,units!$1:$1,0)-COLUMN(INDIRECT("character_id"))+1,FALSE)</f>
        <v>3</v>
      </c>
      <c r="E245" s="31" t="str">
        <f ca="1">VLOOKUP($B245,OFFSET(units!$A$1,0,0,COUNTA(units!$A:$A),MATCH(E$1,units!$1:$1,0)-COLUMN(INDIRECT("character_id"))+1),MATCH(E$1,units!$1:$1,0)-COLUMN(INDIRECT("character_id"))+1,FALSE)</f>
        <v>PremiumS</v>
      </c>
      <c r="F245" s="56">
        <v>102</v>
      </c>
      <c r="G245" s="31" t="str">
        <f ca="1">VLOOKUP($F245,OFFSET(units!$A$1,0,0,COUNTA(units!$A:$A),MATCH(G$1,units!$1:$1,0)-COLUMN(INDIRECT("character_id"))+1),MATCH(G$1,units!$1:$1,0)-COLUMN(INDIRECT("character_id"))+1,FALSE)</f>
        <v>レッドラビット</v>
      </c>
      <c r="H245" s="26">
        <v>1</v>
      </c>
      <c r="I245" s="202">
        <v>1</v>
      </c>
    </row>
    <row r="246" spans="1:9" ht="21" customHeight="1" x14ac:dyDescent="0.15">
      <c r="A246" s="96" t="str">
        <f t="shared" si="3"/>
        <v>227_104</v>
      </c>
      <c r="B246" s="56">
        <v>227</v>
      </c>
      <c r="C246" s="31" t="str">
        <f ca="1">VLOOKUP($B246,OFFSET(units!$A$1,0,0,COUNTA(units!$A:$A),MATCH(C$1,units!$1:$1,0)-COLUMN(INDIRECT("character_id"))+1),MATCH(C$1,units!$1:$1,0)-COLUMN(INDIRECT("character_id"))+1,FALSE)</f>
        <v>滅弾 アレス</v>
      </c>
      <c r="D246" s="31">
        <f ca="1">VLOOKUP($B246,OFFSET(units!$A$1,0,0,COUNTA(units!$A:$A),MATCH(D$1,units!$1:$1,0)-COLUMN(INDIRECT("character_id"))+1),MATCH(D$1,units!$1:$1,0)-COLUMN(INDIRECT("character_id"))+1,FALSE)</f>
        <v>4</v>
      </c>
      <c r="E246" s="31" t="str">
        <f ca="1">VLOOKUP($B246,OFFSET(units!$A$1,0,0,COUNTA(units!$A:$A),MATCH(E$1,units!$1:$1,0)-COLUMN(INDIRECT("character_id"))+1),MATCH(E$1,units!$1:$1,0)-COLUMN(INDIRECT("character_id"))+1,FALSE)</f>
        <v>PremiumS</v>
      </c>
      <c r="F246" s="56">
        <v>104</v>
      </c>
      <c r="G246" s="31" t="str">
        <f ca="1">VLOOKUP($F246,OFFSET(units!$A$1,0,0,COUNTA(units!$A:$A),MATCH(G$1,units!$1:$1,0)-COLUMN(INDIRECT("character_id"))+1),MATCH(G$1,units!$1:$1,0)-COLUMN(INDIRECT("character_id"))+1,FALSE)</f>
        <v>炎のマッドハッター</v>
      </c>
      <c r="H246" s="26">
        <v>2</v>
      </c>
      <c r="I246" s="202">
        <v>1</v>
      </c>
    </row>
    <row r="247" spans="1:9" ht="21" customHeight="1" x14ac:dyDescent="0.15">
      <c r="A247" s="96" t="str">
        <f t="shared" si="3"/>
        <v>227_103</v>
      </c>
      <c r="B247" s="56">
        <v>227</v>
      </c>
      <c r="C247" s="31" t="str">
        <f ca="1">VLOOKUP($B247,OFFSET(units!$A$1,0,0,COUNTA(units!$A:$A),MATCH(C$1,units!$1:$1,0)-COLUMN(INDIRECT("character_id"))+1),MATCH(C$1,units!$1:$1,0)-COLUMN(INDIRECT("character_id"))+1,FALSE)</f>
        <v>滅弾 アレス</v>
      </c>
      <c r="D247" s="31">
        <f ca="1">VLOOKUP($B247,OFFSET(units!$A$1,0,0,COUNTA(units!$A:$A),MATCH(D$1,units!$1:$1,0)-COLUMN(INDIRECT("character_id"))+1),MATCH(D$1,units!$1:$1,0)-COLUMN(INDIRECT("character_id"))+1,FALSE)</f>
        <v>4</v>
      </c>
      <c r="E247" s="31" t="str">
        <f ca="1">VLOOKUP($B247,OFFSET(units!$A$1,0,0,COUNTA(units!$A:$A),MATCH(E$1,units!$1:$1,0)-COLUMN(INDIRECT("character_id"))+1),MATCH(E$1,units!$1:$1,0)-COLUMN(INDIRECT("character_id"))+1,FALSE)</f>
        <v>PremiumS</v>
      </c>
      <c r="F247" s="56">
        <v>103</v>
      </c>
      <c r="G247" s="31" t="str">
        <f ca="1">VLOOKUP($F247,OFFSET(units!$A$1,0,0,COUNTA(units!$A:$A),MATCH(G$1,units!$1:$1,0)-COLUMN(INDIRECT("character_id"))+1),MATCH(G$1,units!$1:$1,0)-COLUMN(INDIRECT("character_id"))+1,FALSE)</f>
        <v>レッドキャタップ</v>
      </c>
      <c r="H247" s="26">
        <v>2</v>
      </c>
      <c r="I247" s="202">
        <v>1</v>
      </c>
    </row>
    <row r="248" spans="1:9" ht="21" customHeight="1" x14ac:dyDescent="0.15">
      <c r="A248" s="96" t="str">
        <f t="shared" si="3"/>
        <v>227_102</v>
      </c>
      <c r="B248" s="56">
        <v>227</v>
      </c>
      <c r="C248" s="31" t="str">
        <f ca="1">VLOOKUP($B248,OFFSET(units!$A$1,0,0,COUNTA(units!$A:$A),MATCH(C$1,units!$1:$1,0)-COLUMN(INDIRECT("character_id"))+1),MATCH(C$1,units!$1:$1,0)-COLUMN(INDIRECT("character_id"))+1,FALSE)</f>
        <v>滅弾 アレス</v>
      </c>
      <c r="D248" s="31">
        <f ca="1">VLOOKUP($B248,OFFSET(units!$A$1,0,0,COUNTA(units!$A:$A),MATCH(D$1,units!$1:$1,0)-COLUMN(INDIRECT("character_id"))+1),MATCH(D$1,units!$1:$1,0)-COLUMN(INDIRECT("character_id"))+1,FALSE)</f>
        <v>4</v>
      </c>
      <c r="E248" s="31" t="str">
        <f ca="1">VLOOKUP($B248,OFFSET(units!$A$1,0,0,COUNTA(units!$A:$A),MATCH(E$1,units!$1:$1,0)-COLUMN(INDIRECT("character_id"))+1),MATCH(E$1,units!$1:$1,0)-COLUMN(INDIRECT("character_id"))+1,FALSE)</f>
        <v>PremiumS</v>
      </c>
      <c r="F248" s="56">
        <v>102</v>
      </c>
      <c r="G248" s="31" t="str">
        <f ca="1">VLOOKUP($F248,OFFSET(units!$A$1,0,0,COUNTA(units!$A:$A),MATCH(G$1,units!$1:$1,0)-COLUMN(INDIRECT("character_id"))+1),MATCH(G$1,units!$1:$1,0)-COLUMN(INDIRECT("character_id"))+1,FALSE)</f>
        <v>レッドラビット</v>
      </c>
      <c r="H248" s="26">
        <v>1</v>
      </c>
      <c r="I248" s="202">
        <v>1</v>
      </c>
    </row>
    <row r="249" spans="1:9" ht="21" customHeight="1" x14ac:dyDescent="0.15">
      <c r="A249" s="96" t="str">
        <f t="shared" si="3"/>
        <v>229_107</v>
      </c>
      <c r="B249" s="56">
        <v>229</v>
      </c>
      <c r="C249" s="31" t="str">
        <f ca="1">VLOOKUP($B249,OFFSET(units!$A$1,0,0,COUNTA(units!$A:$A),MATCH(C$1,units!$1:$1,0)-COLUMN(INDIRECT("character_id"))+1),MATCH(C$1,units!$1:$1,0)-COLUMN(INDIRECT("character_id"))+1,FALSE)</f>
        <v>ヨルムンガンド</v>
      </c>
      <c r="D249" s="31">
        <f ca="1">VLOOKUP($B249,OFFSET(units!$A$1,0,0,COUNTA(units!$A:$A),MATCH(D$1,units!$1:$1,0)-COLUMN(INDIRECT("character_id"))+1),MATCH(D$1,units!$1:$1,0)-COLUMN(INDIRECT("character_id"))+1,FALSE)</f>
        <v>3</v>
      </c>
      <c r="E249" s="31" t="str">
        <f ca="1">VLOOKUP($B249,OFFSET(units!$A$1,0,0,COUNTA(units!$A:$A),MATCH(E$1,units!$1:$1,0)-COLUMN(INDIRECT("character_id"))+1),MATCH(E$1,units!$1:$1,0)-COLUMN(INDIRECT("character_id"))+1,FALSE)</f>
        <v>PremiumS</v>
      </c>
      <c r="F249" s="56">
        <v>107</v>
      </c>
      <c r="G249" s="31" t="str">
        <f ca="1">VLOOKUP($F249,OFFSET(units!$A$1,0,0,COUNTA(units!$A:$A),MATCH(G$1,units!$1:$1,0)-COLUMN(INDIRECT("character_id"))+1),MATCH(G$1,units!$1:$1,0)-COLUMN(INDIRECT("character_id"))+1,FALSE)</f>
        <v>グリーンキャタップ</v>
      </c>
      <c r="H249" s="26">
        <v>3</v>
      </c>
      <c r="I249" s="202">
        <v>1</v>
      </c>
    </row>
    <row r="250" spans="1:9" ht="21" customHeight="1" x14ac:dyDescent="0.15">
      <c r="A250" s="96" t="str">
        <f t="shared" si="3"/>
        <v>229_106</v>
      </c>
      <c r="B250" s="56">
        <v>229</v>
      </c>
      <c r="C250" s="31" t="str">
        <f ca="1">VLOOKUP($B250,OFFSET(units!$A$1,0,0,COUNTA(units!$A:$A),MATCH(C$1,units!$1:$1,0)-COLUMN(INDIRECT("character_id"))+1),MATCH(C$1,units!$1:$1,0)-COLUMN(INDIRECT("character_id"))+1,FALSE)</f>
        <v>ヨルムンガンド</v>
      </c>
      <c r="D250" s="31">
        <f ca="1">VLOOKUP($B250,OFFSET(units!$A$1,0,0,COUNTA(units!$A:$A),MATCH(D$1,units!$1:$1,0)-COLUMN(INDIRECT("character_id"))+1),MATCH(D$1,units!$1:$1,0)-COLUMN(INDIRECT("character_id"))+1,FALSE)</f>
        <v>3</v>
      </c>
      <c r="E250" s="31" t="str">
        <f ca="1">VLOOKUP($B250,OFFSET(units!$A$1,0,0,COUNTA(units!$A:$A),MATCH(E$1,units!$1:$1,0)-COLUMN(INDIRECT("character_id"))+1),MATCH(E$1,units!$1:$1,0)-COLUMN(INDIRECT("character_id"))+1,FALSE)</f>
        <v>PremiumS</v>
      </c>
      <c r="F250" s="56">
        <v>106</v>
      </c>
      <c r="G250" s="31" t="str">
        <f ca="1">VLOOKUP($F250,OFFSET(units!$A$1,0,0,COUNTA(units!$A:$A),MATCH(G$1,units!$1:$1,0)-COLUMN(INDIRECT("character_id"))+1),MATCH(G$1,units!$1:$1,0)-COLUMN(INDIRECT("character_id"))+1,FALSE)</f>
        <v>グリーンラビット</v>
      </c>
      <c r="H250" s="26">
        <v>1</v>
      </c>
      <c r="I250" s="202">
        <v>1</v>
      </c>
    </row>
    <row r="251" spans="1:9" ht="21" customHeight="1" x14ac:dyDescent="0.15">
      <c r="A251" s="96" t="str">
        <f t="shared" si="3"/>
        <v>230_108</v>
      </c>
      <c r="B251" s="56">
        <v>230</v>
      </c>
      <c r="C251" s="31" t="str">
        <f ca="1">VLOOKUP($B251,OFFSET(units!$A$1,0,0,COUNTA(units!$A:$A),MATCH(C$1,units!$1:$1,0)-COLUMN(INDIRECT("character_id"))+1),MATCH(C$1,units!$1:$1,0)-COLUMN(INDIRECT("character_id"))+1,FALSE)</f>
        <v>毒銃 ヨルムンガンド</v>
      </c>
      <c r="D251" s="31">
        <f ca="1">VLOOKUP($B251,OFFSET(units!$A$1,0,0,COUNTA(units!$A:$A),MATCH(D$1,units!$1:$1,0)-COLUMN(INDIRECT("character_id"))+1),MATCH(D$1,units!$1:$1,0)-COLUMN(INDIRECT("character_id"))+1,FALSE)</f>
        <v>4</v>
      </c>
      <c r="E251" s="31" t="str">
        <f ca="1">VLOOKUP($B251,OFFSET(units!$A$1,0,0,COUNTA(units!$A:$A),MATCH(E$1,units!$1:$1,0)-COLUMN(INDIRECT("character_id"))+1),MATCH(E$1,units!$1:$1,0)-COLUMN(INDIRECT("character_id"))+1,FALSE)</f>
        <v>PremiumS</v>
      </c>
      <c r="F251" s="56">
        <v>108</v>
      </c>
      <c r="G251" s="31" t="str">
        <f ca="1">VLOOKUP($F251,OFFSET(units!$A$1,0,0,COUNTA(units!$A:$A),MATCH(G$1,units!$1:$1,0)-COLUMN(INDIRECT("character_id"))+1),MATCH(G$1,units!$1:$1,0)-COLUMN(INDIRECT("character_id"))+1,FALSE)</f>
        <v>森のマッドハッター</v>
      </c>
      <c r="H251" s="26">
        <v>2</v>
      </c>
      <c r="I251" s="202">
        <v>1</v>
      </c>
    </row>
    <row r="252" spans="1:9" ht="21" customHeight="1" x14ac:dyDescent="0.15">
      <c r="A252" s="96" t="str">
        <f t="shared" si="3"/>
        <v>230_107</v>
      </c>
      <c r="B252" s="56">
        <v>230</v>
      </c>
      <c r="C252" s="31" t="str">
        <f ca="1">VLOOKUP($B252,OFFSET(units!$A$1,0,0,COUNTA(units!$A:$A),MATCH(C$1,units!$1:$1,0)-COLUMN(INDIRECT("character_id"))+1),MATCH(C$1,units!$1:$1,0)-COLUMN(INDIRECT("character_id"))+1,FALSE)</f>
        <v>毒銃 ヨルムンガンド</v>
      </c>
      <c r="D252" s="31">
        <f ca="1">VLOOKUP($B252,OFFSET(units!$A$1,0,0,COUNTA(units!$A:$A),MATCH(D$1,units!$1:$1,0)-COLUMN(INDIRECT("character_id"))+1),MATCH(D$1,units!$1:$1,0)-COLUMN(INDIRECT("character_id"))+1,FALSE)</f>
        <v>4</v>
      </c>
      <c r="E252" s="31" t="str">
        <f ca="1">VLOOKUP($B252,OFFSET(units!$A$1,0,0,COUNTA(units!$A:$A),MATCH(E$1,units!$1:$1,0)-COLUMN(INDIRECT("character_id"))+1),MATCH(E$1,units!$1:$1,0)-COLUMN(INDIRECT("character_id"))+1,FALSE)</f>
        <v>PremiumS</v>
      </c>
      <c r="F252" s="56">
        <v>107</v>
      </c>
      <c r="G252" s="31" t="str">
        <f ca="1">VLOOKUP($F252,OFFSET(units!$A$1,0,0,COUNTA(units!$A:$A),MATCH(G$1,units!$1:$1,0)-COLUMN(INDIRECT("character_id"))+1),MATCH(G$1,units!$1:$1,0)-COLUMN(INDIRECT("character_id"))+1,FALSE)</f>
        <v>グリーンキャタップ</v>
      </c>
      <c r="H252" s="26">
        <v>2</v>
      </c>
      <c r="I252" s="202">
        <v>1</v>
      </c>
    </row>
    <row r="253" spans="1:9" ht="21" customHeight="1" x14ac:dyDescent="0.15">
      <c r="A253" s="96" t="str">
        <f t="shared" si="3"/>
        <v>230_106</v>
      </c>
      <c r="B253" s="56">
        <v>230</v>
      </c>
      <c r="C253" s="31" t="str">
        <f ca="1">VLOOKUP($B253,OFFSET(units!$A$1,0,0,COUNTA(units!$A:$A),MATCH(C$1,units!$1:$1,0)-COLUMN(INDIRECT("character_id"))+1),MATCH(C$1,units!$1:$1,0)-COLUMN(INDIRECT("character_id"))+1,FALSE)</f>
        <v>毒銃 ヨルムンガンド</v>
      </c>
      <c r="D253" s="31">
        <f ca="1">VLOOKUP($B253,OFFSET(units!$A$1,0,0,COUNTA(units!$A:$A),MATCH(D$1,units!$1:$1,0)-COLUMN(INDIRECT("character_id"))+1),MATCH(D$1,units!$1:$1,0)-COLUMN(INDIRECT("character_id"))+1,FALSE)</f>
        <v>4</v>
      </c>
      <c r="E253" s="31" t="str">
        <f ca="1">VLOOKUP($B253,OFFSET(units!$A$1,0,0,COUNTA(units!$A:$A),MATCH(E$1,units!$1:$1,0)-COLUMN(INDIRECT("character_id"))+1),MATCH(E$1,units!$1:$1,0)-COLUMN(INDIRECT("character_id"))+1,FALSE)</f>
        <v>PremiumS</v>
      </c>
      <c r="F253" s="56">
        <v>106</v>
      </c>
      <c r="G253" s="31" t="str">
        <f ca="1">VLOOKUP($F253,OFFSET(units!$A$1,0,0,COUNTA(units!$A:$A),MATCH(G$1,units!$1:$1,0)-COLUMN(INDIRECT("character_id"))+1),MATCH(G$1,units!$1:$1,0)-COLUMN(INDIRECT("character_id"))+1,FALSE)</f>
        <v>グリーンラビット</v>
      </c>
      <c r="H253" s="26">
        <v>1</v>
      </c>
      <c r="I253" s="202">
        <v>1</v>
      </c>
    </row>
    <row r="254" spans="1:9" ht="21" customHeight="1" x14ac:dyDescent="0.15">
      <c r="A254" s="96" t="str">
        <f t="shared" si="3"/>
        <v>232_111</v>
      </c>
      <c r="B254" s="56">
        <v>232</v>
      </c>
      <c r="C254" s="31" t="str">
        <f ca="1">VLOOKUP($B254,OFFSET(units!$A$1,0,0,COUNTA(units!$A:$A),MATCH(C$1,units!$1:$1,0)-COLUMN(INDIRECT("character_id"))+1),MATCH(C$1,units!$1:$1,0)-COLUMN(INDIRECT("character_id"))+1,FALSE)</f>
        <v>パーシヴァル</v>
      </c>
      <c r="D254" s="31">
        <f ca="1">VLOOKUP($B254,OFFSET(units!$A$1,0,0,COUNTA(units!$A:$A),MATCH(D$1,units!$1:$1,0)-COLUMN(INDIRECT("character_id"))+1),MATCH(D$1,units!$1:$1,0)-COLUMN(INDIRECT("character_id"))+1,FALSE)</f>
        <v>3</v>
      </c>
      <c r="E254" s="31" t="str">
        <f ca="1">VLOOKUP($B254,OFFSET(units!$A$1,0,0,COUNTA(units!$A:$A),MATCH(E$1,units!$1:$1,0)-COLUMN(INDIRECT("character_id"))+1),MATCH(E$1,units!$1:$1,0)-COLUMN(INDIRECT("character_id"))+1,FALSE)</f>
        <v>PremiumS</v>
      </c>
      <c r="F254" s="56">
        <v>111</v>
      </c>
      <c r="G254" s="31" t="str">
        <f ca="1">VLOOKUP($F254,OFFSET(units!$A$1,0,0,COUNTA(units!$A:$A),MATCH(G$1,units!$1:$1,0)-COLUMN(INDIRECT("character_id"))+1),MATCH(G$1,units!$1:$1,0)-COLUMN(INDIRECT("character_id"))+1,FALSE)</f>
        <v>ブルーキャタップ</v>
      </c>
      <c r="H254" s="26">
        <v>3</v>
      </c>
      <c r="I254" s="202">
        <v>1</v>
      </c>
    </row>
    <row r="255" spans="1:9" ht="21" customHeight="1" x14ac:dyDescent="0.15">
      <c r="A255" s="96" t="str">
        <f t="shared" si="3"/>
        <v>232_110</v>
      </c>
      <c r="B255" s="56">
        <v>232</v>
      </c>
      <c r="C255" s="31" t="str">
        <f ca="1">VLOOKUP($B255,OFFSET(units!$A$1,0,0,COUNTA(units!$A:$A),MATCH(C$1,units!$1:$1,0)-COLUMN(INDIRECT("character_id"))+1),MATCH(C$1,units!$1:$1,0)-COLUMN(INDIRECT("character_id"))+1,FALSE)</f>
        <v>パーシヴァル</v>
      </c>
      <c r="D255" s="31">
        <f ca="1">VLOOKUP($B255,OFFSET(units!$A$1,0,0,COUNTA(units!$A:$A),MATCH(D$1,units!$1:$1,0)-COLUMN(INDIRECT("character_id"))+1),MATCH(D$1,units!$1:$1,0)-COLUMN(INDIRECT("character_id"))+1,FALSE)</f>
        <v>3</v>
      </c>
      <c r="E255" s="31" t="str">
        <f ca="1">VLOOKUP($B255,OFFSET(units!$A$1,0,0,COUNTA(units!$A:$A),MATCH(E$1,units!$1:$1,0)-COLUMN(INDIRECT("character_id"))+1),MATCH(E$1,units!$1:$1,0)-COLUMN(INDIRECT("character_id"))+1,FALSE)</f>
        <v>PremiumS</v>
      </c>
      <c r="F255" s="56">
        <v>110</v>
      </c>
      <c r="G255" s="31" t="str">
        <f ca="1">VLOOKUP($F255,OFFSET(units!$A$1,0,0,COUNTA(units!$A:$A),MATCH(G$1,units!$1:$1,0)-COLUMN(INDIRECT("character_id"))+1),MATCH(G$1,units!$1:$1,0)-COLUMN(INDIRECT("character_id"))+1,FALSE)</f>
        <v>ブルーラビット</v>
      </c>
      <c r="H255" s="26">
        <v>1</v>
      </c>
      <c r="I255" s="202">
        <v>1</v>
      </c>
    </row>
    <row r="256" spans="1:9" ht="21" customHeight="1" x14ac:dyDescent="0.15">
      <c r="A256" s="96" t="str">
        <f t="shared" si="3"/>
        <v>233_112</v>
      </c>
      <c r="B256" s="56">
        <v>233</v>
      </c>
      <c r="C256" s="31" t="str">
        <f ca="1">VLOOKUP($B256,OFFSET(units!$A$1,0,0,COUNTA(units!$A:$A),MATCH(C$1,units!$1:$1,0)-COLUMN(INDIRECT("character_id"))+1),MATCH(C$1,units!$1:$1,0)-COLUMN(INDIRECT("character_id"))+1,FALSE)</f>
        <v>遂行 パーシヴァル</v>
      </c>
      <c r="D256" s="31">
        <f ca="1">VLOOKUP($B256,OFFSET(units!$A$1,0,0,COUNTA(units!$A:$A),MATCH(D$1,units!$1:$1,0)-COLUMN(INDIRECT("character_id"))+1),MATCH(D$1,units!$1:$1,0)-COLUMN(INDIRECT("character_id"))+1,FALSE)</f>
        <v>4</v>
      </c>
      <c r="E256" s="31" t="str">
        <f ca="1">VLOOKUP($B256,OFFSET(units!$A$1,0,0,COUNTA(units!$A:$A),MATCH(E$1,units!$1:$1,0)-COLUMN(INDIRECT("character_id"))+1),MATCH(E$1,units!$1:$1,0)-COLUMN(INDIRECT("character_id"))+1,FALSE)</f>
        <v>PremiumS</v>
      </c>
      <c r="F256" s="56">
        <v>112</v>
      </c>
      <c r="G256" s="31" t="str">
        <f ca="1">VLOOKUP($F256,OFFSET(units!$A$1,0,0,COUNTA(units!$A:$A),MATCH(G$1,units!$1:$1,0)-COLUMN(INDIRECT("character_id"))+1),MATCH(G$1,units!$1:$1,0)-COLUMN(INDIRECT("character_id"))+1,FALSE)</f>
        <v>水のマッドハッター</v>
      </c>
      <c r="H256" s="26">
        <v>2</v>
      </c>
      <c r="I256" s="202">
        <v>1</v>
      </c>
    </row>
    <row r="257" spans="1:9" ht="21" customHeight="1" x14ac:dyDescent="0.15">
      <c r="A257" s="96" t="str">
        <f t="shared" si="3"/>
        <v>233_111</v>
      </c>
      <c r="B257" s="56">
        <v>233</v>
      </c>
      <c r="C257" s="31" t="str">
        <f ca="1">VLOOKUP($B257,OFFSET(units!$A$1,0,0,COUNTA(units!$A:$A),MATCH(C$1,units!$1:$1,0)-COLUMN(INDIRECT("character_id"))+1),MATCH(C$1,units!$1:$1,0)-COLUMN(INDIRECT("character_id"))+1,FALSE)</f>
        <v>遂行 パーシヴァル</v>
      </c>
      <c r="D257" s="31">
        <f ca="1">VLOOKUP($B257,OFFSET(units!$A$1,0,0,COUNTA(units!$A:$A),MATCH(D$1,units!$1:$1,0)-COLUMN(INDIRECT("character_id"))+1),MATCH(D$1,units!$1:$1,0)-COLUMN(INDIRECT("character_id"))+1,FALSE)</f>
        <v>4</v>
      </c>
      <c r="E257" s="31" t="str">
        <f ca="1">VLOOKUP($B257,OFFSET(units!$A$1,0,0,COUNTA(units!$A:$A),MATCH(E$1,units!$1:$1,0)-COLUMN(INDIRECT("character_id"))+1),MATCH(E$1,units!$1:$1,0)-COLUMN(INDIRECT("character_id"))+1,FALSE)</f>
        <v>PremiumS</v>
      </c>
      <c r="F257" s="56">
        <v>111</v>
      </c>
      <c r="G257" s="31" t="str">
        <f ca="1">VLOOKUP($F257,OFFSET(units!$A$1,0,0,COUNTA(units!$A:$A),MATCH(G$1,units!$1:$1,0)-COLUMN(INDIRECT("character_id"))+1),MATCH(G$1,units!$1:$1,0)-COLUMN(INDIRECT("character_id"))+1,FALSE)</f>
        <v>ブルーキャタップ</v>
      </c>
      <c r="H257" s="26">
        <v>2</v>
      </c>
      <c r="I257" s="202">
        <v>1</v>
      </c>
    </row>
    <row r="258" spans="1:9" ht="21" customHeight="1" x14ac:dyDescent="0.15">
      <c r="A258" s="96" t="str">
        <f t="shared" ref="A258:A321" si="4">B258&amp;"_"&amp;F258</f>
        <v>233_110</v>
      </c>
      <c r="B258" s="56">
        <v>233</v>
      </c>
      <c r="C258" s="31" t="str">
        <f ca="1">VLOOKUP($B258,OFFSET(units!$A$1,0,0,COUNTA(units!$A:$A),MATCH(C$1,units!$1:$1,0)-COLUMN(INDIRECT("character_id"))+1),MATCH(C$1,units!$1:$1,0)-COLUMN(INDIRECT("character_id"))+1,FALSE)</f>
        <v>遂行 パーシヴァル</v>
      </c>
      <c r="D258" s="31">
        <f ca="1">VLOOKUP($B258,OFFSET(units!$A$1,0,0,COUNTA(units!$A:$A),MATCH(D$1,units!$1:$1,0)-COLUMN(INDIRECT("character_id"))+1),MATCH(D$1,units!$1:$1,0)-COLUMN(INDIRECT("character_id"))+1,FALSE)</f>
        <v>4</v>
      </c>
      <c r="E258" s="31" t="str">
        <f ca="1">VLOOKUP($B258,OFFSET(units!$A$1,0,0,COUNTA(units!$A:$A),MATCH(E$1,units!$1:$1,0)-COLUMN(INDIRECT("character_id"))+1),MATCH(E$1,units!$1:$1,0)-COLUMN(INDIRECT("character_id"))+1,FALSE)</f>
        <v>PremiumS</v>
      </c>
      <c r="F258" s="56">
        <v>110</v>
      </c>
      <c r="G258" s="31" t="str">
        <f ca="1">VLOOKUP($F258,OFFSET(units!$A$1,0,0,COUNTA(units!$A:$A),MATCH(G$1,units!$1:$1,0)-COLUMN(INDIRECT("character_id"))+1),MATCH(G$1,units!$1:$1,0)-COLUMN(INDIRECT("character_id"))+1,FALSE)</f>
        <v>ブルーラビット</v>
      </c>
      <c r="H258" s="26">
        <v>1</v>
      </c>
      <c r="I258" s="202">
        <v>1</v>
      </c>
    </row>
    <row r="259" spans="1:9" ht="21" customHeight="1" x14ac:dyDescent="0.15">
      <c r="A259" s="96" t="str">
        <f t="shared" si="4"/>
        <v>235_115</v>
      </c>
      <c r="B259" s="56">
        <v>235</v>
      </c>
      <c r="C259" s="31" t="str">
        <f ca="1">VLOOKUP($B259,OFFSET(units!$A$1,0,0,COUNTA(units!$A:$A),MATCH(C$1,units!$1:$1,0)-COLUMN(INDIRECT("character_id"))+1),MATCH(C$1,units!$1:$1,0)-COLUMN(INDIRECT("character_id"))+1,FALSE)</f>
        <v>イザナミ</v>
      </c>
      <c r="D259" s="31">
        <f ca="1">VLOOKUP($B259,OFFSET(units!$A$1,0,0,COUNTA(units!$A:$A),MATCH(D$1,units!$1:$1,0)-COLUMN(INDIRECT("character_id"))+1),MATCH(D$1,units!$1:$1,0)-COLUMN(INDIRECT("character_id"))+1,FALSE)</f>
        <v>3</v>
      </c>
      <c r="E259" s="31" t="str">
        <f ca="1">VLOOKUP($B259,OFFSET(units!$A$1,0,0,COUNTA(units!$A:$A),MATCH(E$1,units!$1:$1,0)-COLUMN(INDIRECT("character_id"))+1),MATCH(E$1,units!$1:$1,0)-COLUMN(INDIRECT("character_id"))+1,FALSE)</f>
        <v>PremiumS</v>
      </c>
      <c r="F259" s="56">
        <v>115</v>
      </c>
      <c r="G259" s="31" t="str">
        <f ca="1">VLOOKUP($F259,OFFSET(units!$A$1,0,0,COUNTA(units!$A:$A),MATCH(G$1,units!$1:$1,0)-COLUMN(INDIRECT("character_id"))+1),MATCH(G$1,units!$1:$1,0)-COLUMN(INDIRECT("character_id"))+1,FALSE)</f>
        <v>イエローキャタップ</v>
      </c>
      <c r="H259" s="26">
        <v>3</v>
      </c>
      <c r="I259" s="202">
        <v>1</v>
      </c>
    </row>
    <row r="260" spans="1:9" ht="21" customHeight="1" x14ac:dyDescent="0.15">
      <c r="A260" s="96" t="str">
        <f t="shared" si="4"/>
        <v>235_114</v>
      </c>
      <c r="B260" s="56">
        <v>235</v>
      </c>
      <c r="C260" s="31" t="str">
        <f ca="1">VLOOKUP($B260,OFFSET(units!$A$1,0,0,COUNTA(units!$A:$A),MATCH(C$1,units!$1:$1,0)-COLUMN(INDIRECT("character_id"))+1),MATCH(C$1,units!$1:$1,0)-COLUMN(INDIRECT("character_id"))+1,FALSE)</f>
        <v>イザナミ</v>
      </c>
      <c r="D260" s="31">
        <f ca="1">VLOOKUP($B260,OFFSET(units!$A$1,0,0,COUNTA(units!$A:$A),MATCH(D$1,units!$1:$1,0)-COLUMN(INDIRECT("character_id"))+1),MATCH(D$1,units!$1:$1,0)-COLUMN(INDIRECT("character_id"))+1,FALSE)</f>
        <v>3</v>
      </c>
      <c r="E260" s="31" t="str">
        <f ca="1">VLOOKUP($B260,OFFSET(units!$A$1,0,0,COUNTA(units!$A:$A),MATCH(E$1,units!$1:$1,0)-COLUMN(INDIRECT("character_id"))+1),MATCH(E$1,units!$1:$1,0)-COLUMN(INDIRECT("character_id"))+1,FALSE)</f>
        <v>PremiumS</v>
      </c>
      <c r="F260" s="56">
        <v>114</v>
      </c>
      <c r="G260" s="31" t="str">
        <f ca="1">VLOOKUP($F260,OFFSET(units!$A$1,0,0,COUNTA(units!$A:$A),MATCH(G$1,units!$1:$1,0)-COLUMN(INDIRECT("character_id"))+1),MATCH(G$1,units!$1:$1,0)-COLUMN(INDIRECT("character_id"))+1,FALSE)</f>
        <v>イエローラビット</v>
      </c>
      <c r="H260" s="26">
        <v>1</v>
      </c>
      <c r="I260" s="202">
        <v>1</v>
      </c>
    </row>
    <row r="261" spans="1:9" ht="21" customHeight="1" x14ac:dyDescent="0.15">
      <c r="A261" s="96" t="str">
        <f t="shared" si="4"/>
        <v>236_116</v>
      </c>
      <c r="B261" s="56">
        <v>236</v>
      </c>
      <c r="C261" s="31" t="str">
        <f ca="1">VLOOKUP($B261,OFFSET(units!$A$1,0,0,COUNTA(units!$A:$A),MATCH(C$1,units!$1:$1,0)-COLUMN(INDIRECT("character_id"))+1),MATCH(C$1,units!$1:$1,0)-COLUMN(INDIRECT("character_id"))+1,FALSE)</f>
        <v>神産 イザナミ</v>
      </c>
      <c r="D261" s="31">
        <f ca="1">VLOOKUP($B261,OFFSET(units!$A$1,0,0,COUNTA(units!$A:$A),MATCH(D$1,units!$1:$1,0)-COLUMN(INDIRECT("character_id"))+1),MATCH(D$1,units!$1:$1,0)-COLUMN(INDIRECT("character_id"))+1,FALSE)</f>
        <v>4</v>
      </c>
      <c r="E261" s="31" t="str">
        <f ca="1">VLOOKUP($B261,OFFSET(units!$A$1,0,0,COUNTA(units!$A:$A),MATCH(E$1,units!$1:$1,0)-COLUMN(INDIRECT("character_id"))+1),MATCH(E$1,units!$1:$1,0)-COLUMN(INDIRECT("character_id"))+1,FALSE)</f>
        <v>PremiumS</v>
      </c>
      <c r="F261" s="56">
        <v>116</v>
      </c>
      <c r="G261" s="31" t="str">
        <f ca="1">VLOOKUP($F261,OFFSET(units!$A$1,0,0,COUNTA(units!$A:$A),MATCH(G$1,units!$1:$1,0)-COLUMN(INDIRECT("character_id"))+1),MATCH(G$1,units!$1:$1,0)-COLUMN(INDIRECT("character_id"))+1,FALSE)</f>
        <v>雷のマッドハッター</v>
      </c>
      <c r="H261" s="26">
        <v>2</v>
      </c>
      <c r="I261" s="202">
        <v>1</v>
      </c>
    </row>
    <row r="262" spans="1:9" ht="21" customHeight="1" x14ac:dyDescent="0.15">
      <c r="A262" s="96" t="str">
        <f t="shared" si="4"/>
        <v>236_115</v>
      </c>
      <c r="B262" s="56">
        <v>236</v>
      </c>
      <c r="C262" s="31" t="str">
        <f ca="1">VLOOKUP($B262,OFFSET(units!$A$1,0,0,COUNTA(units!$A:$A),MATCH(C$1,units!$1:$1,0)-COLUMN(INDIRECT("character_id"))+1),MATCH(C$1,units!$1:$1,0)-COLUMN(INDIRECT("character_id"))+1,FALSE)</f>
        <v>神産 イザナミ</v>
      </c>
      <c r="D262" s="31">
        <f ca="1">VLOOKUP($B262,OFFSET(units!$A$1,0,0,COUNTA(units!$A:$A),MATCH(D$1,units!$1:$1,0)-COLUMN(INDIRECT("character_id"))+1),MATCH(D$1,units!$1:$1,0)-COLUMN(INDIRECT("character_id"))+1,FALSE)</f>
        <v>4</v>
      </c>
      <c r="E262" s="31" t="str">
        <f ca="1">VLOOKUP($B262,OFFSET(units!$A$1,0,0,COUNTA(units!$A:$A),MATCH(E$1,units!$1:$1,0)-COLUMN(INDIRECT("character_id"))+1),MATCH(E$1,units!$1:$1,0)-COLUMN(INDIRECT("character_id"))+1,FALSE)</f>
        <v>PremiumS</v>
      </c>
      <c r="F262" s="56">
        <v>115</v>
      </c>
      <c r="G262" s="31" t="str">
        <f ca="1">VLOOKUP($F262,OFFSET(units!$A$1,0,0,COUNTA(units!$A:$A),MATCH(G$1,units!$1:$1,0)-COLUMN(INDIRECT("character_id"))+1),MATCH(G$1,units!$1:$1,0)-COLUMN(INDIRECT("character_id"))+1,FALSE)</f>
        <v>イエローキャタップ</v>
      </c>
      <c r="H262" s="26">
        <v>2</v>
      </c>
      <c r="I262" s="202">
        <v>1</v>
      </c>
    </row>
    <row r="263" spans="1:9" ht="21" customHeight="1" x14ac:dyDescent="0.15">
      <c r="A263" s="96" t="str">
        <f t="shared" si="4"/>
        <v>236_114</v>
      </c>
      <c r="B263" s="56">
        <v>236</v>
      </c>
      <c r="C263" s="31" t="str">
        <f ca="1">VLOOKUP($B263,OFFSET(units!$A$1,0,0,COUNTA(units!$A:$A),MATCH(C$1,units!$1:$1,0)-COLUMN(INDIRECT("character_id"))+1),MATCH(C$1,units!$1:$1,0)-COLUMN(INDIRECT("character_id"))+1,FALSE)</f>
        <v>神産 イザナミ</v>
      </c>
      <c r="D263" s="31">
        <f ca="1">VLOOKUP($B263,OFFSET(units!$A$1,0,0,COUNTA(units!$A:$A),MATCH(D$1,units!$1:$1,0)-COLUMN(INDIRECT("character_id"))+1),MATCH(D$1,units!$1:$1,0)-COLUMN(INDIRECT("character_id"))+1,FALSE)</f>
        <v>4</v>
      </c>
      <c r="E263" s="31" t="str">
        <f ca="1">VLOOKUP($B263,OFFSET(units!$A$1,0,0,COUNTA(units!$A:$A),MATCH(E$1,units!$1:$1,0)-COLUMN(INDIRECT("character_id"))+1),MATCH(E$1,units!$1:$1,0)-COLUMN(INDIRECT("character_id"))+1,FALSE)</f>
        <v>PremiumS</v>
      </c>
      <c r="F263" s="56">
        <v>114</v>
      </c>
      <c r="G263" s="31" t="str">
        <f ca="1">VLOOKUP($F263,OFFSET(units!$A$1,0,0,COUNTA(units!$A:$A),MATCH(G$1,units!$1:$1,0)-COLUMN(INDIRECT("character_id"))+1),MATCH(G$1,units!$1:$1,0)-COLUMN(INDIRECT("character_id"))+1,FALSE)</f>
        <v>イエローラビット</v>
      </c>
      <c r="H263" s="26">
        <v>1</v>
      </c>
      <c r="I263" s="202">
        <v>1</v>
      </c>
    </row>
    <row r="264" spans="1:9" ht="21" customHeight="1" x14ac:dyDescent="0.15">
      <c r="A264" s="96" t="str">
        <f t="shared" si="4"/>
        <v>238_103</v>
      </c>
      <c r="B264" s="56">
        <v>238</v>
      </c>
      <c r="C264" s="31" t="str">
        <f ca="1">VLOOKUP($B264,OFFSET(units!$A$1,0,0,COUNTA(units!$A:$A),MATCH(C$1,units!$1:$1,0)-COLUMN(INDIRECT("character_id"))+1),MATCH(C$1,units!$1:$1,0)-COLUMN(INDIRECT("character_id"))+1,FALSE)</f>
        <v>ウリエル</v>
      </c>
      <c r="D264" s="31">
        <f ca="1">VLOOKUP($B264,OFFSET(units!$A$1,0,0,COUNTA(units!$A:$A),MATCH(D$1,units!$1:$1,0)-COLUMN(INDIRECT("character_id"))+1),MATCH(D$1,units!$1:$1,0)-COLUMN(INDIRECT("character_id"))+1,FALSE)</f>
        <v>3</v>
      </c>
      <c r="E264" s="31" t="str">
        <f ca="1">VLOOKUP($B264,OFFSET(units!$A$1,0,0,COUNTA(units!$A:$A),MATCH(E$1,units!$1:$1,0)-COLUMN(INDIRECT("character_id"))+1),MATCH(E$1,units!$1:$1,0)-COLUMN(INDIRECT("character_id"))+1,FALSE)</f>
        <v>PremiumS</v>
      </c>
      <c r="F264" s="56">
        <v>103</v>
      </c>
      <c r="G264" s="31" t="str">
        <f ca="1">VLOOKUP($F264,OFFSET(units!$A$1,0,0,COUNTA(units!$A:$A),MATCH(G$1,units!$1:$1,0)-COLUMN(INDIRECT("character_id"))+1),MATCH(G$1,units!$1:$1,0)-COLUMN(INDIRECT("character_id"))+1,FALSE)</f>
        <v>レッドキャタップ</v>
      </c>
      <c r="H264" s="26">
        <v>3</v>
      </c>
      <c r="I264" s="202">
        <v>1</v>
      </c>
    </row>
    <row r="265" spans="1:9" ht="21" customHeight="1" x14ac:dyDescent="0.15">
      <c r="A265" s="96" t="str">
        <f t="shared" si="4"/>
        <v>238_102</v>
      </c>
      <c r="B265" s="56">
        <v>238</v>
      </c>
      <c r="C265" s="31" t="str">
        <f ca="1">VLOOKUP($B265,OFFSET(units!$A$1,0,0,COUNTA(units!$A:$A),MATCH(C$1,units!$1:$1,0)-COLUMN(INDIRECT("character_id"))+1),MATCH(C$1,units!$1:$1,0)-COLUMN(INDIRECT("character_id"))+1,FALSE)</f>
        <v>ウリエル</v>
      </c>
      <c r="D265" s="31">
        <f ca="1">VLOOKUP($B265,OFFSET(units!$A$1,0,0,COUNTA(units!$A:$A),MATCH(D$1,units!$1:$1,0)-COLUMN(INDIRECT("character_id"))+1),MATCH(D$1,units!$1:$1,0)-COLUMN(INDIRECT("character_id"))+1,FALSE)</f>
        <v>3</v>
      </c>
      <c r="E265" s="31" t="str">
        <f ca="1">VLOOKUP($B265,OFFSET(units!$A$1,0,0,COUNTA(units!$A:$A),MATCH(E$1,units!$1:$1,0)-COLUMN(INDIRECT("character_id"))+1),MATCH(E$1,units!$1:$1,0)-COLUMN(INDIRECT("character_id"))+1,FALSE)</f>
        <v>PremiumS</v>
      </c>
      <c r="F265" s="56">
        <v>102</v>
      </c>
      <c r="G265" s="31" t="str">
        <f ca="1">VLOOKUP($F265,OFFSET(units!$A$1,0,0,COUNTA(units!$A:$A),MATCH(G$1,units!$1:$1,0)-COLUMN(INDIRECT("character_id"))+1),MATCH(G$1,units!$1:$1,0)-COLUMN(INDIRECT("character_id"))+1,FALSE)</f>
        <v>レッドラビット</v>
      </c>
      <c r="H265" s="26">
        <v>1</v>
      </c>
      <c r="I265" s="202">
        <v>1</v>
      </c>
    </row>
    <row r="266" spans="1:9" ht="21" customHeight="1" x14ac:dyDescent="0.15">
      <c r="A266" s="96" t="str">
        <f t="shared" si="4"/>
        <v>239_104</v>
      </c>
      <c r="B266" s="56">
        <v>239</v>
      </c>
      <c r="C266" s="31" t="str">
        <f ca="1">VLOOKUP($B266,OFFSET(units!$A$1,0,0,COUNTA(units!$A:$A),MATCH(C$1,units!$1:$1,0)-COLUMN(INDIRECT("character_id"))+1),MATCH(C$1,units!$1:$1,0)-COLUMN(INDIRECT("character_id"))+1,FALSE)</f>
        <v>豪炎の天使 ウリエル</v>
      </c>
      <c r="D266" s="31">
        <f ca="1">VLOOKUP($B266,OFFSET(units!$A$1,0,0,COUNTA(units!$A:$A),MATCH(D$1,units!$1:$1,0)-COLUMN(INDIRECT("character_id"))+1),MATCH(D$1,units!$1:$1,0)-COLUMN(INDIRECT("character_id"))+1,FALSE)</f>
        <v>4</v>
      </c>
      <c r="E266" s="31" t="str">
        <f ca="1">VLOOKUP($B266,OFFSET(units!$A$1,0,0,COUNTA(units!$A:$A),MATCH(E$1,units!$1:$1,0)-COLUMN(INDIRECT("character_id"))+1),MATCH(E$1,units!$1:$1,0)-COLUMN(INDIRECT("character_id"))+1,FALSE)</f>
        <v>PremiumS</v>
      </c>
      <c r="F266" s="56">
        <v>104</v>
      </c>
      <c r="G266" s="31" t="str">
        <f ca="1">VLOOKUP($F266,OFFSET(units!$A$1,0,0,COUNTA(units!$A:$A),MATCH(G$1,units!$1:$1,0)-COLUMN(INDIRECT("character_id"))+1),MATCH(G$1,units!$1:$1,0)-COLUMN(INDIRECT("character_id"))+1,FALSE)</f>
        <v>炎のマッドハッター</v>
      </c>
      <c r="H266" s="26">
        <v>2</v>
      </c>
      <c r="I266" s="202">
        <v>1</v>
      </c>
    </row>
    <row r="267" spans="1:9" ht="21" customHeight="1" x14ac:dyDescent="0.15">
      <c r="A267" s="96" t="str">
        <f t="shared" si="4"/>
        <v>239_103</v>
      </c>
      <c r="B267" s="56">
        <v>239</v>
      </c>
      <c r="C267" s="31" t="str">
        <f ca="1">VLOOKUP($B267,OFFSET(units!$A$1,0,0,COUNTA(units!$A:$A),MATCH(C$1,units!$1:$1,0)-COLUMN(INDIRECT("character_id"))+1),MATCH(C$1,units!$1:$1,0)-COLUMN(INDIRECT("character_id"))+1,FALSE)</f>
        <v>豪炎の天使 ウリエル</v>
      </c>
      <c r="D267" s="31">
        <f ca="1">VLOOKUP($B267,OFFSET(units!$A$1,0,0,COUNTA(units!$A:$A),MATCH(D$1,units!$1:$1,0)-COLUMN(INDIRECT("character_id"))+1),MATCH(D$1,units!$1:$1,0)-COLUMN(INDIRECT("character_id"))+1,FALSE)</f>
        <v>4</v>
      </c>
      <c r="E267" s="31" t="str">
        <f ca="1">VLOOKUP($B267,OFFSET(units!$A$1,0,0,COUNTA(units!$A:$A),MATCH(E$1,units!$1:$1,0)-COLUMN(INDIRECT("character_id"))+1),MATCH(E$1,units!$1:$1,0)-COLUMN(INDIRECT("character_id"))+1,FALSE)</f>
        <v>PremiumS</v>
      </c>
      <c r="F267" s="56">
        <v>103</v>
      </c>
      <c r="G267" s="31" t="str">
        <f ca="1">VLOOKUP($F267,OFFSET(units!$A$1,0,0,COUNTA(units!$A:$A),MATCH(G$1,units!$1:$1,0)-COLUMN(INDIRECT("character_id"))+1),MATCH(G$1,units!$1:$1,0)-COLUMN(INDIRECT("character_id"))+1,FALSE)</f>
        <v>レッドキャタップ</v>
      </c>
      <c r="H267" s="26">
        <v>2</v>
      </c>
      <c r="I267" s="202">
        <v>1</v>
      </c>
    </row>
    <row r="268" spans="1:9" ht="21" customHeight="1" x14ac:dyDescent="0.15">
      <c r="A268" s="96" t="str">
        <f t="shared" si="4"/>
        <v>239_102</v>
      </c>
      <c r="B268" s="56">
        <v>239</v>
      </c>
      <c r="C268" s="31" t="str">
        <f ca="1">VLOOKUP($B268,OFFSET(units!$A$1,0,0,COUNTA(units!$A:$A),MATCH(C$1,units!$1:$1,0)-COLUMN(INDIRECT("character_id"))+1),MATCH(C$1,units!$1:$1,0)-COLUMN(INDIRECT("character_id"))+1,FALSE)</f>
        <v>豪炎の天使 ウリエル</v>
      </c>
      <c r="D268" s="31">
        <f ca="1">VLOOKUP($B268,OFFSET(units!$A$1,0,0,COUNTA(units!$A:$A),MATCH(D$1,units!$1:$1,0)-COLUMN(INDIRECT("character_id"))+1),MATCH(D$1,units!$1:$1,0)-COLUMN(INDIRECT("character_id"))+1,FALSE)</f>
        <v>4</v>
      </c>
      <c r="E268" s="31" t="str">
        <f ca="1">VLOOKUP($B268,OFFSET(units!$A$1,0,0,COUNTA(units!$A:$A),MATCH(E$1,units!$1:$1,0)-COLUMN(INDIRECT("character_id"))+1),MATCH(E$1,units!$1:$1,0)-COLUMN(INDIRECT("character_id"))+1,FALSE)</f>
        <v>PremiumS</v>
      </c>
      <c r="F268" s="56">
        <v>102</v>
      </c>
      <c r="G268" s="31" t="str">
        <f ca="1">VLOOKUP($F268,OFFSET(units!$A$1,0,0,COUNTA(units!$A:$A),MATCH(G$1,units!$1:$1,0)-COLUMN(INDIRECT("character_id"))+1),MATCH(G$1,units!$1:$1,0)-COLUMN(INDIRECT("character_id"))+1,FALSE)</f>
        <v>レッドラビット</v>
      </c>
      <c r="H268" s="26">
        <v>1</v>
      </c>
      <c r="I268" s="202">
        <v>1</v>
      </c>
    </row>
    <row r="269" spans="1:9" ht="21" customHeight="1" x14ac:dyDescent="0.15">
      <c r="A269" s="96" t="str">
        <f t="shared" si="4"/>
        <v>241_107</v>
      </c>
      <c r="B269" s="56">
        <v>241</v>
      </c>
      <c r="C269" s="31" t="str">
        <f ca="1">VLOOKUP($B269,OFFSET(units!$A$1,0,0,COUNTA(units!$A:$A),MATCH(C$1,units!$1:$1,0)-COLUMN(INDIRECT("character_id"))+1),MATCH(C$1,units!$1:$1,0)-COLUMN(INDIRECT("character_id"))+1,FALSE)</f>
        <v>ガブリエル</v>
      </c>
      <c r="D269" s="31">
        <f ca="1">VLOOKUP($B269,OFFSET(units!$A$1,0,0,COUNTA(units!$A:$A),MATCH(D$1,units!$1:$1,0)-COLUMN(INDIRECT("character_id"))+1),MATCH(D$1,units!$1:$1,0)-COLUMN(INDIRECT("character_id"))+1,FALSE)</f>
        <v>3</v>
      </c>
      <c r="E269" s="31" t="str">
        <f ca="1">VLOOKUP($B269,OFFSET(units!$A$1,0,0,COUNTA(units!$A:$A),MATCH(E$1,units!$1:$1,0)-COLUMN(INDIRECT("character_id"))+1),MATCH(E$1,units!$1:$1,0)-COLUMN(INDIRECT("character_id"))+1,FALSE)</f>
        <v>PremiumS</v>
      </c>
      <c r="F269" s="56">
        <v>107</v>
      </c>
      <c r="G269" s="31" t="str">
        <f ca="1">VLOOKUP($F269,OFFSET(units!$A$1,0,0,COUNTA(units!$A:$A),MATCH(G$1,units!$1:$1,0)-COLUMN(INDIRECT("character_id"))+1),MATCH(G$1,units!$1:$1,0)-COLUMN(INDIRECT("character_id"))+1,FALSE)</f>
        <v>グリーンキャタップ</v>
      </c>
      <c r="H269" s="26">
        <v>3</v>
      </c>
      <c r="I269" s="202">
        <v>1</v>
      </c>
    </row>
    <row r="270" spans="1:9" ht="21" customHeight="1" x14ac:dyDescent="0.15">
      <c r="A270" s="96" t="str">
        <f t="shared" si="4"/>
        <v>241_106</v>
      </c>
      <c r="B270" s="56">
        <v>241</v>
      </c>
      <c r="C270" s="31" t="str">
        <f ca="1">VLOOKUP($B270,OFFSET(units!$A$1,0,0,COUNTA(units!$A:$A),MATCH(C$1,units!$1:$1,0)-COLUMN(INDIRECT("character_id"))+1),MATCH(C$1,units!$1:$1,0)-COLUMN(INDIRECT("character_id"))+1,FALSE)</f>
        <v>ガブリエル</v>
      </c>
      <c r="D270" s="31">
        <f ca="1">VLOOKUP($B270,OFFSET(units!$A$1,0,0,COUNTA(units!$A:$A),MATCH(D$1,units!$1:$1,0)-COLUMN(INDIRECT("character_id"))+1),MATCH(D$1,units!$1:$1,0)-COLUMN(INDIRECT("character_id"))+1,FALSE)</f>
        <v>3</v>
      </c>
      <c r="E270" s="31" t="str">
        <f ca="1">VLOOKUP($B270,OFFSET(units!$A$1,0,0,COUNTA(units!$A:$A),MATCH(E$1,units!$1:$1,0)-COLUMN(INDIRECT("character_id"))+1),MATCH(E$1,units!$1:$1,0)-COLUMN(INDIRECT("character_id"))+1,FALSE)</f>
        <v>PremiumS</v>
      </c>
      <c r="F270" s="56">
        <v>106</v>
      </c>
      <c r="G270" s="31" t="str">
        <f ca="1">VLOOKUP($F270,OFFSET(units!$A$1,0,0,COUNTA(units!$A:$A),MATCH(G$1,units!$1:$1,0)-COLUMN(INDIRECT("character_id"))+1),MATCH(G$1,units!$1:$1,0)-COLUMN(INDIRECT("character_id"))+1,FALSE)</f>
        <v>グリーンラビット</v>
      </c>
      <c r="H270" s="26">
        <v>1</v>
      </c>
      <c r="I270" s="202">
        <v>1</v>
      </c>
    </row>
    <row r="271" spans="1:9" ht="21" customHeight="1" x14ac:dyDescent="0.15">
      <c r="A271" s="96" t="str">
        <f t="shared" si="4"/>
        <v>242_108</v>
      </c>
      <c r="B271" s="56">
        <v>242</v>
      </c>
      <c r="C271" s="31" t="str">
        <f ca="1">VLOOKUP($B271,OFFSET(units!$A$1,0,0,COUNTA(units!$A:$A),MATCH(C$1,units!$1:$1,0)-COLUMN(INDIRECT("character_id"))+1),MATCH(C$1,units!$1:$1,0)-COLUMN(INDIRECT("character_id"))+1,FALSE)</f>
        <v>百花の天使 ガブリエル</v>
      </c>
      <c r="D271" s="31">
        <f ca="1">VLOOKUP($B271,OFFSET(units!$A$1,0,0,COUNTA(units!$A:$A),MATCH(D$1,units!$1:$1,0)-COLUMN(INDIRECT("character_id"))+1),MATCH(D$1,units!$1:$1,0)-COLUMN(INDIRECT("character_id"))+1,FALSE)</f>
        <v>4</v>
      </c>
      <c r="E271" s="31" t="str">
        <f ca="1">VLOOKUP($B271,OFFSET(units!$A$1,0,0,COUNTA(units!$A:$A),MATCH(E$1,units!$1:$1,0)-COLUMN(INDIRECT("character_id"))+1),MATCH(E$1,units!$1:$1,0)-COLUMN(INDIRECT("character_id"))+1,FALSE)</f>
        <v>PremiumS</v>
      </c>
      <c r="F271" s="56">
        <v>108</v>
      </c>
      <c r="G271" s="31" t="str">
        <f ca="1">VLOOKUP($F271,OFFSET(units!$A$1,0,0,COUNTA(units!$A:$A),MATCH(G$1,units!$1:$1,0)-COLUMN(INDIRECT("character_id"))+1),MATCH(G$1,units!$1:$1,0)-COLUMN(INDIRECT("character_id"))+1,FALSE)</f>
        <v>森のマッドハッター</v>
      </c>
      <c r="H271" s="26">
        <v>2</v>
      </c>
      <c r="I271" s="202">
        <v>1</v>
      </c>
    </row>
    <row r="272" spans="1:9" ht="21" customHeight="1" x14ac:dyDescent="0.15">
      <c r="A272" s="96" t="str">
        <f t="shared" si="4"/>
        <v>242_107</v>
      </c>
      <c r="B272" s="56">
        <v>242</v>
      </c>
      <c r="C272" s="31" t="str">
        <f ca="1">VLOOKUP($B272,OFFSET(units!$A$1,0,0,COUNTA(units!$A:$A),MATCH(C$1,units!$1:$1,0)-COLUMN(INDIRECT("character_id"))+1),MATCH(C$1,units!$1:$1,0)-COLUMN(INDIRECT("character_id"))+1,FALSE)</f>
        <v>百花の天使 ガブリエル</v>
      </c>
      <c r="D272" s="31">
        <f ca="1">VLOOKUP($B272,OFFSET(units!$A$1,0,0,COUNTA(units!$A:$A),MATCH(D$1,units!$1:$1,0)-COLUMN(INDIRECT("character_id"))+1),MATCH(D$1,units!$1:$1,0)-COLUMN(INDIRECT("character_id"))+1,FALSE)</f>
        <v>4</v>
      </c>
      <c r="E272" s="31" t="str">
        <f ca="1">VLOOKUP($B272,OFFSET(units!$A$1,0,0,COUNTA(units!$A:$A),MATCH(E$1,units!$1:$1,0)-COLUMN(INDIRECT("character_id"))+1),MATCH(E$1,units!$1:$1,0)-COLUMN(INDIRECT("character_id"))+1,FALSE)</f>
        <v>PremiumS</v>
      </c>
      <c r="F272" s="56">
        <v>107</v>
      </c>
      <c r="G272" s="31" t="str">
        <f ca="1">VLOOKUP($F272,OFFSET(units!$A$1,0,0,COUNTA(units!$A:$A),MATCH(G$1,units!$1:$1,0)-COLUMN(INDIRECT("character_id"))+1),MATCH(G$1,units!$1:$1,0)-COLUMN(INDIRECT("character_id"))+1,FALSE)</f>
        <v>グリーンキャタップ</v>
      </c>
      <c r="H272" s="26">
        <v>2</v>
      </c>
      <c r="I272" s="202">
        <v>1</v>
      </c>
    </row>
    <row r="273" spans="1:9" ht="21" customHeight="1" x14ac:dyDescent="0.15">
      <c r="A273" s="96" t="str">
        <f t="shared" si="4"/>
        <v>242_106</v>
      </c>
      <c r="B273" s="56">
        <v>242</v>
      </c>
      <c r="C273" s="31" t="str">
        <f ca="1">VLOOKUP($B273,OFFSET(units!$A$1,0,0,COUNTA(units!$A:$A),MATCH(C$1,units!$1:$1,0)-COLUMN(INDIRECT("character_id"))+1),MATCH(C$1,units!$1:$1,0)-COLUMN(INDIRECT("character_id"))+1,FALSE)</f>
        <v>百花の天使 ガブリエル</v>
      </c>
      <c r="D273" s="31">
        <f ca="1">VLOOKUP($B273,OFFSET(units!$A$1,0,0,COUNTA(units!$A:$A),MATCH(D$1,units!$1:$1,0)-COLUMN(INDIRECT("character_id"))+1),MATCH(D$1,units!$1:$1,0)-COLUMN(INDIRECT("character_id"))+1,FALSE)</f>
        <v>4</v>
      </c>
      <c r="E273" s="31" t="str">
        <f ca="1">VLOOKUP($B273,OFFSET(units!$A$1,0,0,COUNTA(units!$A:$A),MATCH(E$1,units!$1:$1,0)-COLUMN(INDIRECT("character_id"))+1),MATCH(E$1,units!$1:$1,0)-COLUMN(INDIRECT("character_id"))+1,FALSE)</f>
        <v>PremiumS</v>
      </c>
      <c r="F273" s="56">
        <v>106</v>
      </c>
      <c r="G273" s="31" t="str">
        <f ca="1">VLOOKUP($F273,OFFSET(units!$A$1,0,0,COUNTA(units!$A:$A),MATCH(G$1,units!$1:$1,0)-COLUMN(INDIRECT("character_id"))+1),MATCH(G$1,units!$1:$1,0)-COLUMN(INDIRECT("character_id"))+1,FALSE)</f>
        <v>グリーンラビット</v>
      </c>
      <c r="H273" s="26">
        <v>1</v>
      </c>
      <c r="I273" s="202">
        <v>1</v>
      </c>
    </row>
    <row r="274" spans="1:9" ht="21" customHeight="1" x14ac:dyDescent="0.15">
      <c r="A274" s="96" t="str">
        <f t="shared" si="4"/>
        <v>244_111</v>
      </c>
      <c r="B274" s="56">
        <v>244</v>
      </c>
      <c r="C274" s="31" t="str">
        <f ca="1">VLOOKUP($B274,OFFSET(units!$A$1,0,0,COUNTA(units!$A:$A),MATCH(C$1,units!$1:$1,0)-COLUMN(INDIRECT("character_id"))+1),MATCH(C$1,units!$1:$1,0)-COLUMN(INDIRECT("character_id"))+1,FALSE)</f>
        <v>ラファエル</v>
      </c>
      <c r="D274" s="31">
        <f ca="1">VLOOKUP($B274,OFFSET(units!$A$1,0,0,COUNTA(units!$A:$A),MATCH(D$1,units!$1:$1,0)-COLUMN(INDIRECT("character_id"))+1),MATCH(D$1,units!$1:$1,0)-COLUMN(INDIRECT("character_id"))+1,FALSE)</f>
        <v>3</v>
      </c>
      <c r="E274" s="31" t="str">
        <f ca="1">VLOOKUP($B274,OFFSET(units!$A$1,0,0,COUNTA(units!$A:$A),MATCH(E$1,units!$1:$1,0)-COLUMN(INDIRECT("character_id"))+1),MATCH(E$1,units!$1:$1,0)-COLUMN(INDIRECT("character_id"))+1,FALSE)</f>
        <v>PremiumS</v>
      </c>
      <c r="F274" s="56">
        <v>111</v>
      </c>
      <c r="G274" s="31" t="str">
        <f ca="1">VLOOKUP($F274,OFFSET(units!$A$1,0,0,COUNTA(units!$A:$A),MATCH(G$1,units!$1:$1,0)-COLUMN(INDIRECT("character_id"))+1),MATCH(G$1,units!$1:$1,0)-COLUMN(INDIRECT("character_id"))+1,FALSE)</f>
        <v>ブルーキャタップ</v>
      </c>
      <c r="H274" s="26">
        <v>3</v>
      </c>
      <c r="I274" s="202">
        <v>1</v>
      </c>
    </row>
    <row r="275" spans="1:9" ht="21" customHeight="1" x14ac:dyDescent="0.15">
      <c r="A275" s="96" t="str">
        <f t="shared" si="4"/>
        <v>244_110</v>
      </c>
      <c r="B275" s="56">
        <v>244</v>
      </c>
      <c r="C275" s="31" t="str">
        <f ca="1">VLOOKUP($B275,OFFSET(units!$A$1,0,0,COUNTA(units!$A:$A),MATCH(C$1,units!$1:$1,0)-COLUMN(INDIRECT("character_id"))+1),MATCH(C$1,units!$1:$1,0)-COLUMN(INDIRECT("character_id"))+1,FALSE)</f>
        <v>ラファエル</v>
      </c>
      <c r="D275" s="31">
        <f ca="1">VLOOKUP($B275,OFFSET(units!$A$1,0,0,COUNTA(units!$A:$A),MATCH(D$1,units!$1:$1,0)-COLUMN(INDIRECT("character_id"))+1),MATCH(D$1,units!$1:$1,0)-COLUMN(INDIRECT("character_id"))+1,FALSE)</f>
        <v>3</v>
      </c>
      <c r="E275" s="31" t="str">
        <f ca="1">VLOOKUP($B275,OFFSET(units!$A$1,0,0,COUNTA(units!$A:$A),MATCH(E$1,units!$1:$1,0)-COLUMN(INDIRECT("character_id"))+1),MATCH(E$1,units!$1:$1,0)-COLUMN(INDIRECT("character_id"))+1,FALSE)</f>
        <v>PremiumS</v>
      </c>
      <c r="F275" s="56">
        <v>110</v>
      </c>
      <c r="G275" s="31" t="str">
        <f ca="1">VLOOKUP($F275,OFFSET(units!$A$1,0,0,COUNTA(units!$A:$A),MATCH(G$1,units!$1:$1,0)-COLUMN(INDIRECT("character_id"))+1),MATCH(G$1,units!$1:$1,0)-COLUMN(INDIRECT("character_id"))+1,FALSE)</f>
        <v>ブルーラビット</v>
      </c>
      <c r="H275" s="26">
        <v>1</v>
      </c>
      <c r="I275" s="202">
        <v>1</v>
      </c>
    </row>
    <row r="276" spans="1:9" ht="21" customHeight="1" x14ac:dyDescent="0.15">
      <c r="A276" s="96" t="str">
        <f t="shared" si="4"/>
        <v>245_112</v>
      </c>
      <c r="B276" s="56">
        <v>245</v>
      </c>
      <c r="C276" s="31" t="str">
        <f ca="1">VLOOKUP($B276,OFFSET(units!$A$1,0,0,COUNTA(units!$A:$A),MATCH(C$1,units!$1:$1,0)-COLUMN(INDIRECT("character_id"))+1),MATCH(C$1,units!$1:$1,0)-COLUMN(INDIRECT("character_id"))+1,FALSE)</f>
        <v>鎮癒の天使 ラファエル</v>
      </c>
      <c r="D276" s="31">
        <f ca="1">VLOOKUP($B276,OFFSET(units!$A$1,0,0,COUNTA(units!$A:$A),MATCH(D$1,units!$1:$1,0)-COLUMN(INDIRECT("character_id"))+1),MATCH(D$1,units!$1:$1,0)-COLUMN(INDIRECT("character_id"))+1,FALSE)</f>
        <v>4</v>
      </c>
      <c r="E276" s="31" t="str">
        <f ca="1">VLOOKUP($B276,OFFSET(units!$A$1,0,0,COUNTA(units!$A:$A),MATCH(E$1,units!$1:$1,0)-COLUMN(INDIRECT("character_id"))+1),MATCH(E$1,units!$1:$1,0)-COLUMN(INDIRECT("character_id"))+1,FALSE)</f>
        <v>PremiumS</v>
      </c>
      <c r="F276" s="56">
        <v>112</v>
      </c>
      <c r="G276" s="31" t="str">
        <f ca="1">VLOOKUP($F276,OFFSET(units!$A$1,0,0,COUNTA(units!$A:$A),MATCH(G$1,units!$1:$1,0)-COLUMN(INDIRECT("character_id"))+1),MATCH(G$1,units!$1:$1,0)-COLUMN(INDIRECT("character_id"))+1,FALSE)</f>
        <v>水のマッドハッター</v>
      </c>
      <c r="H276" s="26">
        <v>2</v>
      </c>
      <c r="I276" s="202">
        <v>1</v>
      </c>
    </row>
    <row r="277" spans="1:9" ht="21" customHeight="1" x14ac:dyDescent="0.15">
      <c r="A277" s="96" t="str">
        <f t="shared" si="4"/>
        <v>245_111</v>
      </c>
      <c r="B277" s="56">
        <v>245</v>
      </c>
      <c r="C277" s="31" t="str">
        <f ca="1">VLOOKUP($B277,OFFSET(units!$A$1,0,0,COUNTA(units!$A:$A),MATCH(C$1,units!$1:$1,0)-COLUMN(INDIRECT("character_id"))+1),MATCH(C$1,units!$1:$1,0)-COLUMN(INDIRECT("character_id"))+1,FALSE)</f>
        <v>鎮癒の天使 ラファエル</v>
      </c>
      <c r="D277" s="31">
        <f ca="1">VLOOKUP($B277,OFFSET(units!$A$1,0,0,COUNTA(units!$A:$A),MATCH(D$1,units!$1:$1,0)-COLUMN(INDIRECT("character_id"))+1),MATCH(D$1,units!$1:$1,0)-COLUMN(INDIRECT("character_id"))+1,FALSE)</f>
        <v>4</v>
      </c>
      <c r="E277" s="31" t="str">
        <f ca="1">VLOOKUP($B277,OFFSET(units!$A$1,0,0,COUNTA(units!$A:$A),MATCH(E$1,units!$1:$1,0)-COLUMN(INDIRECT("character_id"))+1),MATCH(E$1,units!$1:$1,0)-COLUMN(INDIRECT("character_id"))+1,FALSE)</f>
        <v>PremiumS</v>
      </c>
      <c r="F277" s="56">
        <v>111</v>
      </c>
      <c r="G277" s="31" t="str">
        <f ca="1">VLOOKUP($F277,OFFSET(units!$A$1,0,0,COUNTA(units!$A:$A),MATCH(G$1,units!$1:$1,0)-COLUMN(INDIRECT("character_id"))+1),MATCH(G$1,units!$1:$1,0)-COLUMN(INDIRECT("character_id"))+1,FALSE)</f>
        <v>ブルーキャタップ</v>
      </c>
      <c r="H277" s="26">
        <v>2</v>
      </c>
      <c r="I277" s="202">
        <v>1</v>
      </c>
    </row>
    <row r="278" spans="1:9" ht="21" customHeight="1" x14ac:dyDescent="0.15">
      <c r="A278" s="96" t="str">
        <f t="shared" si="4"/>
        <v>245_110</v>
      </c>
      <c r="B278" s="56">
        <v>245</v>
      </c>
      <c r="C278" s="31" t="str">
        <f ca="1">VLOOKUP($B278,OFFSET(units!$A$1,0,0,COUNTA(units!$A:$A),MATCH(C$1,units!$1:$1,0)-COLUMN(INDIRECT("character_id"))+1),MATCH(C$1,units!$1:$1,0)-COLUMN(INDIRECT("character_id"))+1,FALSE)</f>
        <v>鎮癒の天使 ラファエル</v>
      </c>
      <c r="D278" s="31">
        <f ca="1">VLOOKUP($B278,OFFSET(units!$A$1,0,0,COUNTA(units!$A:$A),MATCH(D$1,units!$1:$1,0)-COLUMN(INDIRECT("character_id"))+1),MATCH(D$1,units!$1:$1,0)-COLUMN(INDIRECT("character_id"))+1,FALSE)</f>
        <v>4</v>
      </c>
      <c r="E278" s="31" t="str">
        <f ca="1">VLOOKUP($B278,OFFSET(units!$A$1,0,0,COUNTA(units!$A:$A),MATCH(E$1,units!$1:$1,0)-COLUMN(INDIRECT("character_id"))+1),MATCH(E$1,units!$1:$1,0)-COLUMN(INDIRECT("character_id"))+1,FALSE)</f>
        <v>PremiumS</v>
      </c>
      <c r="F278" s="56">
        <v>110</v>
      </c>
      <c r="G278" s="31" t="str">
        <f ca="1">VLOOKUP($F278,OFFSET(units!$A$1,0,0,COUNTA(units!$A:$A),MATCH(G$1,units!$1:$1,0)-COLUMN(INDIRECT("character_id"))+1),MATCH(G$1,units!$1:$1,0)-COLUMN(INDIRECT("character_id"))+1,FALSE)</f>
        <v>ブルーラビット</v>
      </c>
      <c r="H278" s="26">
        <v>1</v>
      </c>
      <c r="I278" s="202">
        <v>1</v>
      </c>
    </row>
    <row r="279" spans="1:9" ht="21" customHeight="1" x14ac:dyDescent="0.15">
      <c r="A279" s="96" t="str">
        <f t="shared" si="4"/>
        <v>247_115</v>
      </c>
      <c r="B279" s="56">
        <v>247</v>
      </c>
      <c r="C279" s="31" t="str">
        <f ca="1">VLOOKUP($B279,OFFSET(units!$A$1,0,0,COUNTA(units!$A:$A),MATCH(C$1,units!$1:$1,0)-COLUMN(INDIRECT("character_id"))+1),MATCH(C$1,units!$1:$1,0)-COLUMN(INDIRECT("character_id"))+1,FALSE)</f>
        <v>ミカエル</v>
      </c>
      <c r="D279" s="31">
        <f ca="1">VLOOKUP($B279,OFFSET(units!$A$1,0,0,COUNTA(units!$A:$A),MATCH(D$1,units!$1:$1,0)-COLUMN(INDIRECT("character_id"))+1),MATCH(D$1,units!$1:$1,0)-COLUMN(INDIRECT("character_id"))+1,FALSE)</f>
        <v>3</v>
      </c>
      <c r="E279" s="31" t="str">
        <f ca="1">VLOOKUP($B279,OFFSET(units!$A$1,0,0,COUNTA(units!$A:$A),MATCH(E$1,units!$1:$1,0)-COLUMN(INDIRECT("character_id"))+1),MATCH(E$1,units!$1:$1,0)-COLUMN(INDIRECT("character_id"))+1,FALSE)</f>
        <v>PremiumS</v>
      </c>
      <c r="F279" s="56">
        <v>115</v>
      </c>
      <c r="G279" s="31" t="str">
        <f ca="1">VLOOKUP($F279,OFFSET(units!$A$1,0,0,COUNTA(units!$A:$A),MATCH(G$1,units!$1:$1,0)-COLUMN(INDIRECT("character_id"))+1),MATCH(G$1,units!$1:$1,0)-COLUMN(INDIRECT("character_id"))+1,FALSE)</f>
        <v>イエローキャタップ</v>
      </c>
      <c r="H279" s="26">
        <v>3</v>
      </c>
      <c r="I279" s="202">
        <v>1</v>
      </c>
    </row>
    <row r="280" spans="1:9" ht="21" customHeight="1" x14ac:dyDescent="0.15">
      <c r="A280" s="96" t="str">
        <f t="shared" si="4"/>
        <v>247_114</v>
      </c>
      <c r="B280" s="56">
        <v>247</v>
      </c>
      <c r="C280" s="31" t="str">
        <f ca="1">VLOOKUP($B280,OFFSET(units!$A$1,0,0,COUNTA(units!$A:$A),MATCH(C$1,units!$1:$1,0)-COLUMN(INDIRECT("character_id"))+1),MATCH(C$1,units!$1:$1,0)-COLUMN(INDIRECT("character_id"))+1,FALSE)</f>
        <v>ミカエル</v>
      </c>
      <c r="D280" s="31">
        <f ca="1">VLOOKUP($B280,OFFSET(units!$A$1,0,0,COUNTA(units!$A:$A),MATCH(D$1,units!$1:$1,0)-COLUMN(INDIRECT("character_id"))+1),MATCH(D$1,units!$1:$1,0)-COLUMN(INDIRECT("character_id"))+1,FALSE)</f>
        <v>3</v>
      </c>
      <c r="E280" s="31" t="str">
        <f ca="1">VLOOKUP($B280,OFFSET(units!$A$1,0,0,COUNTA(units!$A:$A),MATCH(E$1,units!$1:$1,0)-COLUMN(INDIRECT("character_id"))+1),MATCH(E$1,units!$1:$1,0)-COLUMN(INDIRECT("character_id"))+1,FALSE)</f>
        <v>PremiumS</v>
      </c>
      <c r="F280" s="56">
        <v>114</v>
      </c>
      <c r="G280" s="31" t="str">
        <f ca="1">VLOOKUP($F280,OFFSET(units!$A$1,0,0,COUNTA(units!$A:$A),MATCH(G$1,units!$1:$1,0)-COLUMN(INDIRECT("character_id"))+1),MATCH(G$1,units!$1:$1,0)-COLUMN(INDIRECT("character_id"))+1,FALSE)</f>
        <v>イエローラビット</v>
      </c>
      <c r="H280" s="26">
        <v>1</v>
      </c>
      <c r="I280" s="202">
        <v>1</v>
      </c>
    </row>
    <row r="281" spans="1:9" ht="21" customHeight="1" x14ac:dyDescent="0.15">
      <c r="A281" s="96" t="str">
        <f t="shared" si="4"/>
        <v>248_116</v>
      </c>
      <c r="B281" s="56">
        <v>248</v>
      </c>
      <c r="C281" s="31" t="str">
        <f ca="1">VLOOKUP($B281,OFFSET(units!$A$1,0,0,COUNTA(units!$A:$A),MATCH(C$1,units!$1:$1,0)-COLUMN(INDIRECT("character_id"))+1),MATCH(C$1,units!$1:$1,0)-COLUMN(INDIRECT("character_id"))+1,FALSE)</f>
        <v>彩電の天使 ミカエル</v>
      </c>
      <c r="D281" s="31">
        <f ca="1">VLOOKUP($B281,OFFSET(units!$A$1,0,0,COUNTA(units!$A:$A),MATCH(D$1,units!$1:$1,0)-COLUMN(INDIRECT("character_id"))+1),MATCH(D$1,units!$1:$1,0)-COLUMN(INDIRECT("character_id"))+1,FALSE)</f>
        <v>4</v>
      </c>
      <c r="E281" s="31" t="str">
        <f ca="1">VLOOKUP($B281,OFFSET(units!$A$1,0,0,COUNTA(units!$A:$A),MATCH(E$1,units!$1:$1,0)-COLUMN(INDIRECT("character_id"))+1),MATCH(E$1,units!$1:$1,0)-COLUMN(INDIRECT("character_id"))+1,FALSE)</f>
        <v>PremiumS</v>
      </c>
      <c r="F281" s="56">
        <v>116</v>
      </c>
      <c r="G281" s="31" t="str">
        <f ca="1">VLOOKUP($F281,OFFSET(units!$A$1,0,0,COUNTA(units!$A:$A),MATCH(G$1,units!$1:$1,0)-COLUMN(INDIRECT("character_id"))+1),MATCH(G$1,units!$1:$1,0)-COLUMN(INDIRECT("character_id"))+1,FALSE)</f>
        <v>雷のマッドハッター</v>
      </c>
      <c r="H281" s="26">
        <v>2</v>
      </c>
      <c r="I281" s="202">
        <v>1</v>
      </c>
    </row>
    <row r="282" spans="1:9" ht="21" customHeight="1" x14ac:dyDescent="0.15">
      <c r="A282" s="96" t="str">
        <f t="shared" si="4"/>
        <v>248_115</v>
      </c>
      <c r="B282" s="56">
        <v>248</v>
      </c>
      <c r="C282" s="31" t="str">
        <f ca="1">VLOOKUP($B282,OFFSET(units!$A$1,0,0,COUNTA(units!$A:$A),MATCH(C$1,units!$1:$1,0)-COLUMN(INDIRECT("character_id"))+1),MATCH(C$1,units!$1:$1,0)-COLUMN(INDIRECT("character_id"))+1,FALSE)</f>
        <v>彩電の天使 ミカエル</v>
      </c>
      <c r="D282" s="31">
        <f ca="1">VLOOKUP($B282,OFFSET(units!$A$1,0,0,COUNTA(units!$A:$A),MATCH(D$1,units!$1:$1,0)-COLUMN(INDIRECT("character_id"))+1),MATCH(D$1,units!$1:$1,0)-COLUMN(INDIRECT("character_id"))+1,FALSE)</f>
        <v>4</v>
      </c>
      <c r="E282" s="31" t="str">
        <f ca="1">VLOOKUP($B282,OFFSET(units!$A$1,0,0,COUNTA(units!$A:$A),MATCH(E$1,units!$1:$1,0)-COLUMN(INDIRECT("character_id"))+1),MATCH(E$1,units!$1:$1,0)-COLUMN(INDIRECT("character_id"))+1,FALSE)</f>
        <v>PremiumS</v>
      </c>
      <c r="F282" s="56">
        <v>115</v>
      </c>
      <c r="G282" s="31" t="str">
        <f ca="1">VLOOKUP($F282,OFFSET(units!$A$1,0,0,COUNTA(units!$A:$A),MATCH(G$1,units!$1:$1,0)-COLUMN(INDIRECT("character_id"))+1),MATCH(G$1,units!$1:$1,0)-COLUMN(INDIRECT("character_id"))+1,FALSE)</f>
        <v>イエローキャタップ</v>
      </c>
      <c r="H282" s="26">
        <v>2</v>
      </c>
      <c r="I282" s="202">
        <v>1</v>
      </c>
    </row>
    <row r="283" spans="1:9" ht="21" customHeight="1" x14ac:dyDescent="0.15">
      <c r="A283" s="96" t="str">
        <f t="shared" si="4"/>
        <v>248_114</v>
      </c>
      <c r="B283" s="56">
        <v>248</v>
      </c>
      <c r="C283" s="31" t="str">
        <f ca="1">VLOOKUP($B283,OFFSET(units!$A$1,0,0,COUNTA(units!$A:$A),MATCH(C$1,units!$1:$1,0)-COLUMN(INDIRECT("character_id"))+1),MATCH(C$1,units!$1:$1,0)-COLUMN(INDIRECT("character_id"))+1,FALSE)</f>
        <v>彩電の天使 ミカエル</v>
      </c>
      <c r="D283" s="31">
        <f ca="1">VLOOKUP($B283,OFFSET(units!$A$1,0,0,COUNTA(units!$A:$A),MATCH(D$1,units!$1:$1,0)-COLUMN(INDIRECT("character_id"))+1),MATCH(D$1,units!$1:$1,0)-COLUMN(INDIRECT("character_id"))+1,FALSE)</f>
        <v>4</v>
      </c>
      <c r="E283" s="31" t="str">
        <f ca="1">VLOOKUP($B283,OFFSET(units!$A$1,0,0,COUNTA(units!$A:$A),MATCH(E$1,units!$1:$1,0)-COLUMN(INDIRECT("character_id"))+1),MATCH(E$1,units!$1:$1,0)-COLUMN(INDIRECT("character_id"))+1,FALSE)</f>
        <v>PremiumS</v>
      </c>
      <c r="F283" s="56">
        <v>114</v>
      </c>
      <c r="G283" s="31" t="str">
        <f ca="1">VLOOKUP($F283,OFFSET(units!$A$1,0,0,COUNTA(units!$A:$A),MATCH(G$1,units!$1:$1,0)-COLUMN(INDIRECT("character_id"))+1),MATCH(G$1,units!$1:$1,0)-COLUMN(INDIRECT("character_id"))+1,FALSE)</f>
        <v>イエローラビット</v>
      </c>
      <c r="H283" s="26">
        <v>1</v>
      </c>
      <c r="I283" s="202">
        <v>1</v>
      </c>
    </row>
    <row r="284" spans="1:9" ht="21" customHeight="1" x14ac:dyDescent="0.15">
      <c r="A284" s="96" t="str">
        <f t="shared" si="4"/>
        <v>250_103</v>
      </c>
      <c r="B284" s="56">
        <v>250</v>
      </c>
      <c r="C284" s="31" t="str">
        <f ca="1">VLOOKUP($B284,OFFSET(units!$A$1,0,0,COUNTA(units!$A:$A),MATCH(C$1,units!$1:$1,0)-COLUMN(INDIRECT("character_id"))+1),MATCH(C$1,units!$1:$1,0)-COLUMN(INDIRECT("character_id"))+1,FALSE)</f>
        <v>マンモン</v>
      </c>
      <c r="D284" s="31">
        <f ca="1">VLOOKUP($B284,OFFSET(units!$A$1,0,0,COUNTA(units!$A:$A),MATCH(D$1,units!$1:$1,0)-COLUMN(INDIRECT("character_id"))+1),MATCH(D$1,units!$1:$1,0)-COLUMN(INDIRECT("character_id"))+1,FALSE)</f>
        <v>3</v>
      </c>
      <c r="E284" s="31" t="str">
        <f ca="1">VLOOKUP($B284,OFFSET(units!$A$1,0,0,COUNTA(units!$A:$A),MATCH(E$1,units!$1:$1,0)-COLUMN(INDIRECT("character_id"))+1),MATCH(E$1,units!$1:$1,0)-COLUMN(INDIRECT("character_id"))+1,FALSE)</f>
        <v>PremiumS</v>
      </c>
      <c r="F284" s="56">
        <v>103</v>
      </c>
      <c r="G284" s="31" t="str">
        <f ca="1">VLOOKUP($F284,OFFSET(units!$A$1,0,0,COUNTA(units!$A:$A),MATCH(G$1,units!$1:$1,0)-COLUMN(INDIRECT("character_id"))+1),MATCH(G$1,units!$1:$1,0)-COLUMN(INDIRECT("character_id"))+1,FALSE)</f>
        <v>レッドキャタップ</v>
      </c>
      <c r="H284" s="26">
        <v>3</v>
      </c>
      <c r="I284" s="202">
        <v>1</v>
      </c>
    </row>
    <row r="285" spans="1:9" ht="21" customHeight="1" x14ac:dyDescent="0.15">
      <c r="A285" s="96" t="str">
        <f t="shared" si="4"/>
        <v>250_102</v>
      </c>
      <c r="B285" s="56">
        <v>250</v>
      </c>
      <c r="C285" s="31" t="str">
        <f ca="1">VLOOKUP($B285,OFFSET(units!$A$1,0,0,COUNTA(units!$A:$A),MATCH(C$1,units!$1:$1,0)-COLUMN(INDIRECT("character_id"))+1),MATCH(C$1,units!$1:$1,0)-COLUMN(INDIRECT("character_id"))+1,FALSE)</f>
        <v>マンモン</v>
      </c>
      <c r="D285" s="31">
        <f ca="1">VLOOKUP($B285,OFFSET(units!$A$1,0,0,COUNTA(units!$A:$A),MATCH(D$1,units!$1:$1,0)-COLUMN(INDIRECT("character_id"))+1),MATCH(D$1,units!$1:$1,0)-COLUMN(INDIRECT("character_id"))+1,FALSE)</f>
        <v>3</v>
      </c>
      <c r="E285" s="31" t="str">
        <f ca="1">VLOOKUP($B285,OFFSET(units!$A$1,0,0,COUNTA(units!$A:$A),MATCH(E$1,units!$1:$1,0)-COLUMN(INDIRECT("character_id"))+1),MATCH(E$1,units!$1:$1,0)-COLUMN(INDIRECT("character_id"))+1,FALSE)</f>
        <v>PremiumS</v>
      </c>
      <c r="F285" s="56">
        <v>102</v>
      </c>
      <c r="G285" s="31" t="str">
        <f ca="1">VLOOKUP($F285,OFFSET(units!$A$1,0,0,COUNTA(units!$A:$A),MATCH(G$1,units!$1:$1,0)-COLUMN(INDIRECT("character_id"))+1),MATCH(G$1,units!$1:$1,0)-COLUMN(INDIRECT("character_id"))+1,FALSE)</f>
        <v>レッドラビット</v>
      </c>
      <c r="H285" s="26">
        <v>1</v>
      </c>
      <c r="I285" s="202">
        <v>1</v>
      </c>
    </row>
    <row r="286" spans="1:9" ht="21" customHeight="1" x14ac:dyDescent="0.15">
      <c r="A286" s="96" t="str">
        <f t="shared" si="4"/>
        <v>251_104</v>
      </c>
      <c r="B286" s="56">
        <v>251</v>
      </c>
      <c r="C286" s="31" t="str">
        <f ca="1">VLOOKUP($B286,OFFSET(units!$A$1,0,0,COUNTA(units!$A:$A),MATCH(C$1,units!$1:$1,0)-COLUMN(INDIRECT("character_id"))+1),MATCH(C$1,units!$1:$1,0)-COLUMN(INDIRECT("character_id"))+1,FALSE)</f>
        <v>強欲 マンモン</v>
      </c>
      <c r="D286" s="31">
        <f ca="1">VLOOKUP($B286,OFFSET(units!$A$1,0,0,COUNTA(units!$A:$A),MATCH(D$1,units!$1:$1,0)-COLUMN(INDIRECT("character_id"))+1),MATCH(D$1,units!$1:$1,0)-COLUMN(INDIRECT("character_id"))+1,FALSE)</f>
        <v>4</v>
      </c>
      <c r="E286" s="31" t="str">
        <f ca="1">VLOOKUP($B286,OFFSET(units!$A$1,0,0,COUNTA(units!$A:$A),MATCH(E$1,units!$1:$1,0)-COLUMN(INDIRECT("character_id"))+1),MATCH(E$1,units!$1:$1,0)-COLUMN(INDIRECT("character_id"))+1,FALSE)</f>
        <v>PremiumS</v>
      </c>
      <c r="F286" s="56">
        <v>104</v>
      </c>
      <c r="G286" s="31" t="str">
        <f ca="1">VLOOKUP($F286,OFFSET(units!$A$1,0,0,COUNTA(units!$A:$A),MATCH(G$1,units!$1:$1,0)-COLUMN(INDIRECT("character_id"))+1),MATCH(G$1,units!$1:$1,0)-COLUMN(INDIRECT("character_id"))+1,FALSE)</f>
        <v>炎のマッドハッター</v>
      </c>
      <c r="H286" s="26">
        <v>2</v>
      </c>
      <c r="I286" s="202">
        <v>1</v>
      </c>
    </row>
    <row r="287" spans="1:9" ht="21" customHeight="1" x14ac:dyDescent="0.15">
      <c r="A287" s="96" t="str">
        <f t="shared" si="4"/>
        <v>251_103</v>
      </c>
      <c r="B287" s="56">
        <v>251</v>
      </c>
      <c r="C287" s="31" t="str">
        <f ca="1">VLOOKUP($B287,OFFSET(units!$A$1,0,0,COUNTA(units!$A:$A),MATCH(C$1,units!$1:$1,0)-COLUMN(INDIRECT("character_id"))+1),MATCH(C$1,units!$1:$1,0)-COLUMN(INDIRECT("character_id"))+1,FALSE)</f>
        <v>強欲 マンモン</v>
      </c>
      <c r="D287" s="31">
        <f ca="1">VLOOKUP($B287,OFFSET(units!$A$1,0,0,COUNTA(units!$A:$A),MATCH(D$1,units!$1:$1,0)-COLUMN(INDIRECT("character_id"))+1),MATCH(D$1,units!$1:$1,0)-COLUMN(INDIRECT("character_id"))+1,FALSE)</f>
        <v>4</v>
      </c>
      <c r="E287" s="31" t="str">
        <f ca="1">VLOOKUP($B287,OFFSET(units!$A$1,0,0,COUNTA(units!$A:$A),MATCH(E$1,units!$1:$1,0)-COLUMN(INDIRECT("character_id"))+1),MATCH(E$1,units!$1:$1,0)-COLUMN(INDIRECT("character_id"))+1,FALSE)</f>
        <v>PremiumS</v>
      </c>
      <c r="F287" s="56">
        <v>103</v>
      </c>
      <c r="G287" s="31" t="str">
        <f ca="1">VLOOKUP($F287,OFFSET(units!$A$1,0,0,COUNTA(units!$A:$A),MATCH(G$1,units!$1:$1,0)-COLUMN(INDIRECT("character_id"))+1),MATCH(G$1,units!$1:$1,0)-COLUMN(INDIRECT("character_id"))+1,FALSE)</f>
        <v>レッドキャタップ</v>
      </c>
      <c r="H287" s="26">
        <v>2</v>
      </c>
      <c r="I287" s="202">
        <v>1</v>
      </c>
    </row>
    <row r="288" spans="1:9" ht="21" customHeight="1" x14ac:dyDescent="0.15">
      <c r="A288" s="96" t="str">
        <f t="shared" si="4"/>
        <v>251_102</v>
      </c>
      <c r="B288" s="56">
        <v>251</v>
      </c>
      <c r="C288" s="31" t="str">
        <f ca="1">VLOOKUP($B288,OFFSET(units!$A$1,0,0,COUNTA(units!$A:$A),MATCH(C$1,units!$1:$1,0)-COLUMN(INDIRECT("character_id"))+1),MATCH(C$1,units!$1:$1,0)-COLUMN(INDIRECT("character_id"))+1,FALSE)</f>
        <v>強欲 マンモン</v>
      </c>
      <c r="D288" s="31">
        <f ca="1">VLOOKUP($B288,OFFSET(units!$A$1,0,0,COUNTA(units!$A:$A),MATCH(D$1,units!$1:$1,0)-COLUMN(INDIRECT("character_id"))+1),MATCH(D$1,units!$1:$1,0)-COLUMN(INDIRECT("character_id"))+1,FALSE)</f>
        <v>4</v>
      </c>
      <c r="E288" s="31" t="str">
        <f ca="1">VLOOKUP($B288,OFFSET(units!$A$1,0,0,COUNTA(units!$A:$A),MATCH(E$1,units!$1:$1,0)-COLUMN(INDIRECT("character_id"))+1),MATCH(E$1,units!$1:$1,0)-COLUMN(INDIRECT("character_id"))+1,FALSE)</f>
        <v>PremiumS</v>
      </c>
      <c r="F288" s="56">
        <v>102</v>
      </c>
      <c r="G288" s="31" t="str">
        <f ca="1">VLOOKUP($F288,OFFSET(units!$A$1,0,0,COUNTA(units!$A:$A),MATCH(G$1,units!$1:$1,0)-COLUMN(INDIRECT("character_id"))+1),MATCH(G$1,units!$1:$1,0)-COLUMN(INDIRECT("character_id"))+1,FALSE)</f>
        <v>レッドラビット</v>
      </c>
      <c r="H288" s="26">
        <v>1</v>
      </c>
      <c r="I288" s="202">
        <v>1</v>
      </c>
    </row>
    <row r="289" spans="1:9" ht="21" customHeight="1" x14ac:dyDescent="0.15">
      <c r="A289" s="96" t="str">
        <f t="shared" si="4"/>
        <v>253_107</v>
      </c>
      <c r="B289" s="56">
        <v>253</v>
      </c>
      <c r="C289" s="31" t="str">
        <f ca="1">VLOOKUP($B289,OFFSET(units!$A$1,0,0,COUNTA(units!$A:$A),MATCH(C$1,units!$1:$1,0)-COLUMN(INDIRECT("character_id"))+1),MATCH(C$1,units!$1:$1,0)-COLUMN(INDIRECT("character_id"))+1,FALSE)</f>
        <v>ベルフェゴール</v>
      </c>
      <c r="D289" s="31">
        <f ca="1">VLOOKUP($B289,OFFSET(units!$A$1,0,0,COUNTA(units!$A:$A),MATCH(D$1,units!$1:$1,0)-COLUMN(INDIRECT("character_id"))+1),MATCH(D$1,units!$1:$1,0)-COLUMN(INDIRECT("character_id"))+1,FALSE)</f>
        <v>3</v>
      </c>
      <c r="E289" s="31" t="str">
        <f ca="1">VLOOKUP($B289,OFFSET(units!$A$1,0,0,COUNTA(units!$A:$A),MATCH(E$1,units!$1:$1,0)-COLUMN(INDIRECT("character_id"))+1),MATCH(E$1,units!$1:$1,0)-COLUMN(INDIRECT("character_id"))+1,FALSE)</f>
        <v>PremiumS</v>
      </c>
      <c r="F289" s="56">
        <v>107</v>
      </c>
      <c r="G289" s="31" t="str">
        <f ca="1">VLOOKUP($F289,OFFSET(units!$A$1,0,0,COUNTA(units!$A:$A),MATCH(G$1,units!$1:$1,0)-COLUMN(INDIRECT("character_id"))+1),MATCH(G$1,units!$1:$1,0)-COLUMN(INDIRECT("character_id"))+1,FALSE)</f>
        <v>グリーンキャタップ</v>
      </c>
      <c r="H289" s="26">
        <v>3</v>
      </c>
      <c r="I289" s="202">
        <v>1</v>
      </c>
    </row>
    <row r="290" spans="1:9" ht="21" customHeight="1" x14ac:dyDescent="0.15">
      <c r="A290" s="96" t="str">
        <f t="shared" si="4"/>
        <v>253_106</v>
      </c>
      <c r="B290" s="56">
        <v>253</v>
      </c>
      <c r="C290" s="31" t="str">
        <f ca="1">VLOOKUP($B290,OFFSET(units!$A$1,0,0,COUNTA(units!$A:$A),MATCH(C$1,units!$1:$1,0)-COLUMN(INDIRECT("character_id"))+1),MATCH(C$1,units!$1:$1,0)-COLUMN(INDIRECT("character_id"))+1,FALSE)</f>
        <v>ベルフェゴール</v>
      </c>
      <c r="D290" s="31">
        <f ca="1">VLOOKUP($B290,OFFSET(units!$A$1,0,0,COUNTA(units!$A:$A),MATCH(D$1,units!$1:$1,0)-COLUMN(INDIRECT("character_id"))+1),MATCH(D$1,units!$1:$1,0)-COLUMN(INDIRECT("character_id"))+1,FALSE)</f>
        <v>3</v>
      </c>
      <c r="E290" s="31" t="str">
        <f ca="1">VLOOKUP($B290,OFFSET(units!$A$1,0,0,COUNTA(units!$A:$A),MATCH(E$1,units!$1:$1,0)-COLUMN(INDIRECT("character_id"))+1),MATCH(E$1,units!$1:$1,0)-COLUMN(INDIRECT("character_id"))+1,FALSE)</f>
        <v>PremiumS</v>
      </c>
      <c r="F290" s="56">
        <v>106</v>
      </c>
      <c r="G290" s="31" t="str">
        <f ca="1">VLOOKUP($F290,OFFSET(units!$A$1,0,0,COUNTA(units!$A:$A),MATCH(G$1,units!$1:$1,0)-COLUMN(INDIRECT("character_id"))+1),MATCH(G$1,units!$1:$1,0)-COLUMN(INDIRECT("character_id"))+1,FALSE)</f>
        <v>グリーンラビット</v>
      </c>
      <c r="H290" s="26">
        <v>1</v>
      </c>
      <c r="I290" s="202">
        <v>1</v>
      </c>
    </row>
    <row r="291" spans="1:9" ht="21" customHeight="1" x14ac:dyDescent="0.15">
      <c r="A291" s="96" t="str">
        <f t="shared" si="4"/>
        <v>254_108</v>
      </c>
      <c r="B291" s="56">
        <v>254</v>
      </c>
      <c r="C291" s="31" t="str">
        <f ca="1">VLOOKUP($B291,OFFSET(units!$A$1,0,0,COUNTA(units!$A:$A),MATCH(C$1,units!$1:$1,0)-COLUMN(INDIRECT("character_id"))+1),MATCH(C$1,units!$1:$1,0)-COLUMN(INDIRECT("character_id"))+1,FALSE)</f>
        <v>怠惰 ベルフェゴール</v>
      </c>
      <c r="D291" s="31">
        <f ca="1">VLOOKUP($B291,OFFSET(units!$A$1,0,0,COUNTA(units!$A:$A),MATCH(D$1,units!$1:$1,0)-COLUMN(INDIRECT("character_id"))+1),MATCH(D$1,units!$1:$1,0)-COLUMN(INDIRECT("character_id"))+1,FALSE)</f>
        <v>4</v>
      </c>
      <c r="E291" s="31" t="str">
        <f ca="1">VLOOKUP($B291,OFFSET(units!$A$1,0,0,COUNTA(units!$A:$A),MATCH(E$1,units!$1:$1,0)-COLUMN(INDIRECT("character_id"))+1),MATCH(E$1,units!$1:$1,0)-COLUMN(INDIRECT("character_id"))+1,FALSE)</f>
        <v>PremiumS</v>
      </c>
      <c r="F291" s="56">
        <v>108</v>
      </c>
      <c r="G291" s="31" t="str">
        <f ca="1">VLOOKUP($F291,OFFSET(units!$A$1,0,0,COUNTA(units!$A:$A),MATCH(G$1,units!$1:$1,0)-COLUMN(INDIRECT("character_id"))+1),MATCH(G$1,units!$1:$1,0)-COLUMN(INDIRECT("character_id"))+1,FALSE)</f>
        <v>森のマッドハッター</v>
      </c>
      <c r="H291" s="26">
        <v>2</v>
      </c>
      <c r="I291" s="202">
        <v>1</v>
      </c>
    </row>
    <row r="292" spans="1:9" ht="21" customHeight="1" x14ac:dyDescent="0.15">
      <c r="A292" s="96" t="str">
        <f t="shared" si="4"/>
        <v>254_107</v>
      </c>
      <c r="B292" s="56">
        <v>254</v>
      </c>
      <c r="C292" s="31" t="str">
        <f ca="1">VLOOKUP($B292,OFFSET(units!$A$1,0,0,COUNTA(units!$A:$A),MATCH(C$1,units!$1:$1,0)-COLUMN(INDIRECT("character_id"))+1),MATCH(C$1,units!$1:$1,0)-COLUMN(INDIRECT("character_id"))+1,FALSE)</f>
        <v>怠惰 ベルフェゴール</v>
      </c>
      <c r="D292" s="31">
        <f ca="1">VLOOKUP($B292,OFFSET(units!$A$1,0,0,COUNTA(units!$A:$A),MATCH(D$1,units!$1:$1,0)-COLUMN(INDIRECT("character_id"))+1),MATCH(D$1,units!$1:$1,0)-COLUMN(INDIRECT("character_id"))+1,FALSE)</f>
        <v>4</v>
      </c>
      <c r="E292" s="31" t="str">
        <f ca="1">VLOOKUP($B292,OFFSET(units!$A$1,0,0,COUNTA(units!$A:$A),MATCH(E$1,units!$1:$1,0)-COLUMN(INDIRECT("character_id"))+1),MATCH(E$1,units!$1:$1,0)-COLUMN(INDIRECT("character_id"))+1,FALSE)</f>
        <v>PremiumS</v>
      </c>
      <c r="F292" s="56">
        <v>107</v>
      </c>
      <c r="G292" s="31" t="str">
        <f ca="1">VLOOKUP($F292,OFFSET(units!$A$1,0,0,COUNTA(units!$A:$A),MATCH(G$1,units!$1:$1,0)-COLUMN(INDIRECT("character_id"))+1),MATCH(G$1,units!$1:$1,0)-COLUMN(INDIRECT("character_id"))+1,FALSE)</f>
        <v>グリーンキャタップ</v>
      </c>
      <c r="H292" s="26">
        <v>2</v>
      </c>
      <c r="I292" s="202">
        <v>1</v>
      </c>
    </row>
    <row r="293" spans="1:9" ht="21" customHeight="1" x14ac:dyDescent="0.15">
      <c r="A293" s="96" t="str">
        <f t="shared" si="4"/>
        <v>254_106</v>
      </c>
      <c r="B293" s="56">
        <v>254</v>
      </c>
      <c r="C293" s="31" t="str">
        <f ca="1">VLOOKUP($B293,OFFSET(units!$A$1,0,0,COUNTA(units!$A:$A),MATCH(C$1,units!$1:$1,0)-COLUMN(INDIRECT("character_id"))+1),MATCH(C$1,units!$1:$1,0)-COLUMN(INDIRECT("character_id"))+1,FALSE)</f>
        <v>怠惰 ベルフェゴール</v>
      </c>
      <c r="D293" s="31">
        <f ca="1">VLOOKUP($B293,OFFSET(units!$A$1,0,0,COUNTA(units!$A:$A),MATCH(D$1,units!$1:$1,0)-COLUMN(INDIRECT("character_id"))+1),MATCH(D$1,units!$1:$1,0)-COLUMN(INDIRECT("character_id"))+1,FALSE)</f>
        <v>4</v>
      </c>
      <c r="E293" s="31" t="str">
        <f ca="1">VLOOKUP($B293,OFFSET(units!$A$1,0,0,COUNTA(units!$A:$A),MATCH(E$1,units!$1:$1,0)-COLUMN(INDIRECT("character_id"))+1),MATCH(E$1,units!$1:$1,0)-COLUMN(INDIRECT("character_id"))+1,FALSE)</f>
        <v>PremiumS</v>
      </c>
      <c r="F293" s="56">
        <v>106</v>
      </c>
      <c r="G293" s="31" t="str">
        <f ca="1">VLOOKUP($F293,OFFSET(units!$A$1,0,0,COUNTA(units!$A:$A),MATCH(G$1,units!$1:$1,0)-COLUMN(INDIRECT("character_id"))+1),MATCH(G$1,units!$1:$1,0)-COLUMN(INDIRECT("character_id"))+1,FALSE)</f>
        <v>グリーンラビット</v>
      </c>
      <c r="H293" s="26">
        <v>1</v>
      </c>
      <c r="I293" s="202">
        <v>1</v>
      </c>
    </row>
    <row r="294" spans="1:9" ht="21" customHeight="1" x14ac:dyDescent="0.15">
      <c r="A294" s="96" t="str">
        <f t="shared" si="4"/>
        <v>256_111</v>
      </c>
      <c r="B294" s="56">
        <v>256</v>
      </c>
      <c r="C294" s="31" t="str">
        <f ca="1">VLOOKUP($B294,OFFSET(units!$A$1,0,0,COUNTA(units!$A:$A),MATCH(C$1,units!$1:$1,0)-COLUMN(INDIRECT("character_id"))+1),MATCH(C$1,units!$1:$1,0)-COLUMN(INDIRECT("character_id"))+1,FALSE)</f>
        <v>アスモデウス</v>
      </c>
      <c r="D294" s="31">
        <f ca="1">VLOOKUP($B294,OFFSET(units!$A$1,0,0,COUNTA(units!$A:$A),MATCH(D$1,units!$1:$1,0)-COLUMN(INDIRECT("character_id"))+1),MATCH(D$1,units!$1:$1,0)-COLUMN(INDIRECT("character_id"))+1,FALSE)</f>
        <v>3</v>
      </c>
      <c r="E294" s="31" t="str">
        <f ca="1">VLOOKUP($B294,OFFSET(units!$A$1,0,0,COUNTA(units!$A:$A),MATCH(E$1,units!$1:$1,0)-COLUMN(INDIRECT("character_id"))+1),MATCH(E$1,units!$1:$1,0)-COLUMN(INDIRECT("character_id"))+1,FALSE)</f>
        <v>PremiumS</v>
      </c>
      <c r="F294" s="56">
        <v>111</v>
      </c>
      <c r="G294" s="31" t="str">
        <f ca="1">VLOOKUP($F294,OFFSET(units!$A$1,0,0,COUNTA(units!$A:$A),MATCH(G$1,units!$1:$1,0)-COLUMN(INDIRECT("character_id"))+1),MATCH(G$1,units!$1:$1,0)-COLUMN(INDIRECT("character_id"))+1,FALSE)</f>
        <v>ブルーキャタップ</v>
      </c>
      <c r="H294" s="26">
        <v>3</v>
      </c>
      <c r="I294" s="202">
        <v>1</v>
      </c>
    </row>
    <row r="295" spans="1:9" ht="21" customHeight="1" x14ac:dyDescent="0.15">
      <c r="A295" s="96" t="str">
        <f t="shared" si="4"/>
        <v>256_110</v>
      </c>
      <c r="B295" s="56">
        <v>256</v>
      </c>
      <c r="C295" s="31" t="str">
        <f ca="1">VLOOKUP($B295,OFFSET(units!$A$1,0,0,COUNTA(units!$A:$A),MATCH(C$1,units!$1:$1,0)-COLUMN(INDIRECT("character_id"))+1),MATCH(C$1,units!$1:$1,0)-COLUMN(INDIRECT("character_id"))+1,FALSE)</f>
        <v>アスモデウス</v>
      </c>
      <c r="D295" s="31">
        <f ca="1">VLOOKUP($B295,OFFSET(units!$A$1,0,0,COUNTA(units!$A:$A),MATCH(D$1,units!$1:$1,0)-COLUMN(INDIRECT("character_id"))+1),MATCH(D$1,units!$1:$1,0)-COLUMN(INDIRECT("character_id"))+1,FALSE)</f>
        <v>3</v>
      </c>
      <c r="E295" s="31" t="str">
        <f ca="1">VLOOKUP($B295,OFFSET(units!$A$1,0,0,COUNTA(units!$A:$A),MATCH(E$1,units!$1:$1,0)-COLUMN(INDIRECT("character_id"))+1),MATCH(E$1,units!$1:$1,0)-COLUMN(INDIRECT("character_id"))+1,FALSE)</f>
        <v>PremiumS</v>
      </c>
      <c r="F295" s="56">
        <v>110</v>
      </c>
      <c r="G295" s="31" t="str">
        <f ca="1">VLOOKUP($F295,OFFSET(units!$A$1,0,0,COUNTA(units!$A:$A),MATCH(G$1,units!$1:$1,0)-COLUMN(INDIRECT("character_id"))+1),MATCH(G$1,units!$1:$1,0)-COLUMN(INDIRECT("character_id"))+1,FALSE)</f>
        <v>ブルーラビット</v>
      </c>
      <c r="H295" s="26">
        <v>1</v>
      </c>
      <c r="I295" s="202">
        <v>1</v>
      </c>
    </row>
    <row r="296" spans="1:9" ht="21" customHeight="1" x14ac:dyDescent="0.15">
      <c r="A296" s="96" t="str">
        <f t="shared" si="4"/>
        <v>257_112</v>
      </c>
      <c r="B296" s="56">
        <v>257</v>
      </c>
      <c r="C296" s="31" t="str">
        <f ca="1">VLOOKUP($B296,OFFSET(units!$A$1,0,0,COUNTA(units!$A:$A),MATCH(C$1,units!$1:$1,0)-COLUMN(INDIRECT("character_id"))+1),MATCH(C$1,units!$1:$1,0)-COLUMN(INDIRECT("character_id"))+1,FALSE)</f>
        <v>色欲 アスモデウス</v>
      </c>
      <c r="D296" s="31">
        <f ca="1">VLOOKUP($B296,OFFSET(units!$A$1,0,0,COUNTA(units!$A:$A),MATCH(D$1,units!$1:$1,0)-COLUMN(INDIRECT("character_id"))+1),MATCH(D$1,units!$1:$1,0)-COLUMN(INDIRECT("character_id"))+1,FALSE)</f>
        <v>4</v>
      </c>
      <c r="E296" s="31" t="str">
        <f ca="1">VLOOKUP($B296,OFFSET(units!$A$1,0,0,COUNTA(units!$A:$A),MATCH(E$1,units!$1:$1,0)-COLUMN(INDIRECT("character_id"))+1),MATCH(E$1,units!$1:$1,0)-COLUMN(INDIRECT("character_id"))+1,FALSE)</f>
        <v>PremiumS</v>
      </c>
      <c r="F296" s="56">
        <v>112</v>
      </c>
      <c r="G296" s="31" t="str">
        <f ca="1">VLOOKUP($F296,OFFSET(units!$A$1,0,0,COUNTA(units!$A:$A),MATCH(G$1,units!$1:$1,0)-COLUMN(INDIRECT("character_id"))+1),MATCH(G$1,units!$1:$1,0)-COLUMN(INDIRECT("character_id"))+1,FALSE)</f>
        <v>水のマッドハッター</v>
      </c>
      <c r="H296" s="26">
        <v>2</v>
      </c>
      <c r="I296" s="202">
        <v>1</v>
      </c>
    </row>
    <row r="297" spans="1:9" ht="21" customHeight="1" x14ac:dyDescent="0.15">
      <c r="A297" s="96" t="str">
        <f t="shared" si="4"/>
        <v>257_111</v>
      </c>
      <c r="B297" s="56">
        <v>257</v>
      </c>
      <c r="C297" s="31" t="str">
        <f ca="1">VLOOKUP($B297,OFFSET(units!$A$1,0,0,COUNTA(units!$A:$A),MATCH(C$1,units!$1:$1,0)-COLUMN(INDIRECT("character_id"))+1),MATCH(C$1,units!$1:$1,0)-COLUMN(INDIRECT("character_id"))+1,FALSE)</f>
        <v>色欲 アスモデウス</v>
      </c>
      <c r="D297" s="31">
        <f ca="1">VLOOKUP($B297,OFFSET(units!$A$1,0,0,COUNTA(units!$A:$A),MATCH(D$1,units!$1:$1,0)-COLUMN(INDIRECT("character_id"))+1),MATCH(D$1,units!$1:$1,0)-COLUMN(INDIRECT("character_id"))+1,FALSE)</f>
        <v>4</v>
      </c>
      <c r="E297" s="31" t="str">
        <f ca="1">VLOOKUP($B297,OFFSET(units!$A$1,0,0,COUNTA(units!$A:$A),MATCH(E$1,units!$1:$1,0)-COLUMN(INDIRECT("character_id"))+1),MATCH(E$1,units!$1:$1,0)-COLUMN(INDIRECT("character_id"))+1,FALSE)</f>
        <v>PremiumS</v>
      </c>
      <c r="F297" s="56">
        <v>111</v>
      </c>
      <c r="G297" s="31" t="str">
        <f ca="1">VLOOKUP($F297,OFFSET(units!$A$1,0,0,COUNTA(units!$A:$A),MATCH(G$1,units!$1:$1,0)-COLUMN(INDIRECT("character_id"))+1),MATCH(G$1,units!$1:$1,0)-COLUMN(INDIRECT("character_id"))+1,FALSE)</f>
        <v>ブルーキャタップ</v>
      </c>
      <c r="H297" s="26">
        <v>2</v>
      </c>
      <c r="I297" s="202">
        <v>1</v>
      </c>
    </row>
    <row r="298" spans="1:9" ht="21" customHeight="1" x14ac:dyDescent="0.15">
      <c r="A298" s="96" t="str">
        <f t="shared" si="4"/>
        <v>257_110</v>
      </c>
      <c r="B298" s="56">
        <v>257</v>
      </c>
      <c r="C298" s="31" t="str">
        <f ca="1">VLOOKUP($B298,OFFSET(units!$A$1,0,0,COUNTA(units!$A:$A),MATCH(C$1,units!$1:$1,0)-COLUMN(INDIRECT("character_id"))+1),MATCH(C$1,units!$1:$1,0)-COLUMN(INDIRECT("character_id"))+1,FALSE)</f>
        <v>色欲 アスモデウス</v>
      </c>
      <c r="D298" s="31">
        <f ca="1">VLOOKUP($B298,OFFSET(units!$A$1,0,0,COUNTA(units!$A:$A),MATCH(D$1,units!$1:$1,0)-COLUMN(INDIRECT("character_id"))+1),MATCH(D$1,units!$1:$1,0)-COLUMN(INDIRECT("character_id"))+1,FALSE)</f>
        <v>4</v>
      </c>
      <c r="E298" s="31" t="str">
        <f ca="1">VLOOKUP($B298,OFFSET(units!$A$1,0,0,COUNTA(units!$A:$A),MATCH(E$1,units!$1:$1,0)-COLUMN(INDIRECT("character_id"))+1),MATCH(E$1,units!$1:$1,0)-COLUMN(INDIRECT("character_id"))+1,FALSE)</f>
        <v>PremiumS</v>
      </c>
      <c r="F298" s="56">
        <v>110</v>
      </c>
      <c r="G298" s="31" t="str">
        <f ca="1">VLOOKUP($F298,OFFSET(units!$A$1,0,0,COUNTA(units!$A:$A),MATCH(G$1,units!$1:$1,0)-COLUMN(INDIRECT("character_id"))+1),MATCH(G$1,units!$1:$1,0)-COLUMN(INDIRECT("character_id"))+1,FALSE)</f>
        <v>ブルーラビット</v>
      </c>
      <c r="H298" s="26">
        <v>1</v>
      </c>
      <c r="I298" s="202">
        <v>1</v>
      </c>
    </row>
    <row r="299" spans="1:9" ht="21" customHeight="1" x14ac:dyDescent="0.15">
      <c r="A299" s="96" t="str">
        <f t="shared" si="4"/>
        <v>259_115</v>
      </c>
      <c r="B299" s="56">
        <v>259</v>
      </c>
      <c r="C299" s="31" t="str">
        <f ca="1">VLOOKUP($B299,OFFSET(units!$A$1,0,0,COUNTA(units!$A:$A),MATCH(C$1,units!$1:$1,0)-COLUMN(INDIRECT("character_id"))+1),MATCH(C$1,units!$1:$1,0)-COLUMN(INDIRECT("character_id"))+1,FALSE)</f>
        <v>ウロボロス</v>
      </c>
      <c r="D299" s="31">
        <f ca="1">VLOOKUP($B299,OFFSET(units!$A$1,0,0,COUNTA(units!$A:$A),MATCH(D$1,units!$1:$1,0)-COLUMN(INDIRECT("character_id"))+1),MATCH(D$1,units!$1:$1,0)-COLUMN(INDIRECT("character_id"))+1,FALSE)</f>
        <v>3</v>
      </c>
      <c r="E299" s="31" t="str">
        <f ca="1">VLOOKUP($B299,OFFSET(units!$A$1,0,0,COUNTA(units!$A:$A),MATCH(E$1,units!$1:$1,0)-COLUMN(INDIRECT("character_id"))+1),MATCH(E$1,units!$1:$1,0)-COLUMN(INDIRECT("character_id"))+1,FALSE)</f>
        <v>PremiumS</v>
      </c>
      <c r="F299" s="56">
        <v>115</v>
      </c>
      <c r="G299" s="31" t="str">
        <f ca="1">VLOOKUP($F299,OFFSET(units!$A$1,0,0,COUNTA(units!$A:$A),MATCH(G$1,units!$1:$1,0)-COLUMN(INDIRECT("character_id"))+1),MATCH(G$1,units!$1:$1,0)-COLUMN(INDIRECT("character_id"))+1,FALSE)</f>
        <v>イエローキャタップ</v>
      </c>
      <c r="H299" s="26">
        <v>3</v>
      </c>
      <c r="I299" s="202">
        <v>1</v>
      </c>
    </row>
    <row r="300" spans="1:9" ht="21" customHeight="1" x14ac:dyDescent="0.15">
      <c r="A300" s="96" t="str">
        <f t="shared" si="4"/>
        <v>259_114</v>
      </c>
      <c r="B300" s="56">
        <v>259</v>
      </c>
      <c r="C300" s="31" t="str">
        <f ca="1">VLOOKUP($B300,OFFSET(units!$A$1,0,0,COUNTA(units!$A:$A),MATCH(C$1,units!$1:$1,0)-COLUMN(INDIRECT("character_id"))+1),MATCH(C$1,units!$1:$1,0)-COLUMN(INDIRECT("character_id"))+1,FALSE)</f>
        <v>ウロボロス</v>
      </c>
      <c r="D300" s="31">
        <f ca="1">VLOOKUP($B300,OFFSET(units!$A$1,0,0,COUNTA(units!$A:$A),MATCH(D$1,units!$1:$1,0)-COLUMN(INDIRECT("character_id"))+1),MATCH(D$1,units!$1:$1,0)-COLUMN(INDIRECT("character_id"))+1,FALSE)</f>
        <v>3</v>
      </c>
      <c r="E300" s="31" t="str">
        <f ca="1">VLOOKUP($B300,OFFSET(units!$A$1,0,0,COUNTA(units!$A:$A),MATCH(E$1,units!$1:$1,0)-COLUMN(INDIRECT("character_id"))+1),MATCH(E$1,units!$1:$1,0)-COLUMN(INDIRECT("character_id"))+1,FALSE)</f>
        <v>PremiumS</v>
      </c>
      <c r="F300" s="56">
        <v>114</v>
      </c>
      <c r="G300" s="31" t="str">
        <f ca="1">VLOOKUP($F300,OFFSET(units!$A$1,0,0,COUNTA(units!$A:$A),MATCH(G$1,units!$1:$1,0)-COLUMN(INDIRECT("character_id"))+1),MATCH(G$1,units!$1:$1,0)-COLUMN(INDIRECT("character_id"))+1,FALSE)</f>
        <v>イエローラビット</v>
      </c>
      <c r="H300" s="26">
        <v>1</v>
      </c>
      <c r="I300" s="202">
        <v>1</v>
      </c>
    </row>
    <row r="301" spans="1:9" ht="21" customHeight="1" x14ac:dyDescent="0.15">
      <c r="A301" s="96" t="str">
        <f t="shared" si="4"/>
        <v>260_116</v>
      </c>
      <c r="B301" s="56">
        <v>260</v>
      </c>
      <c r="C301" s="31" t="str">
        <f ca="1">VLOOKUP($B301,OFFSET(units!$A$1,0,0,COUNTA(units!$A:$A),MATCH(C$1,units!$1:$1,0)-COLUMN(INDIRECT("character_id"))+1),MATCH(C$1,units!$1:$1,0)-COLUMN(INDIRECT("character_id"))+1,FALSE)</f>
        <v>輪廻 ウロボロス</v>
      </c>
      <c r="D301" s="31">
        <f ca="1">VLOOKUP($B301,OFFSET(units!$A$1,0,0,COUNTA(units!$A:$A),MATCH(D$1,units!$1:$1,0)-COLUMN(INDIRECT("character_id"))+1),MATCH(D$1,units!$1:$1,0)-COLUMN(INDIRECT("character_id"))+1,FALSE)</f>
        <v>4</v>
      </c>
      <c r="E301" s="31" t="str">
        <f ca="1">VLOOKUP($B301,OFFSET(units!$A$1,0,0,COUNTA(units!$A:$A),MATCH(E$1,units!$1:$1,0)-COLUMN(INDIRECT("character_id"))+1),MATCH(E$1,units!$1:$1,0)-COLUMN(INDIRECT("character_id"))+1,FALSE)</f>
        <v>PremiumS</v>
      </c>
      <c r="F301" s="56">
        <v>116</v>
      </c>
      <c r="G301" s="31" t="str">
        <f ca="1">VLOOKUP($F301,OFFSET(units!$A$1,0,0,COUNTA(units!$A:$A),MATCH(G$1,units!$1:$1,0)-COLUMN(INDIRECT("character_id"))+1),MATCH(G$1,units!$1:$1,0)-COLUMN(INDIRECT("character_id"))+1,FALSE)</f>
        <v>雷のマッドハッター</v>
      </c>
      <c r="H301" s="26">
        <v>2</v>
      </c>
      <c r="I301" s="202">
        <v>1</v>
      </c>
    </row>
    <row r="302" spans="1:9" ht="21" customHeight="1" x14ac:dyDescent="0.15">
      <c r="A302" s="96" t="str">
        <f t="shared" si="4"/>
        <v>260_115</v>
      </c>
      <c r="B302" s="56">
        <v>260</v>
      </c>
      <c r="C302" s="31" t="str">
        <f ca="1">VLOOKUP($B302,OFFSET(units!$A$1,0,0,COUNTA(units!$A:$A),MATCH(C$1,units!$1:$1,0)-COLUMN(INDIRECT("character_id"))+1),MATCH(C$1,units!$1:$1,0)-COLUMN(INDIRECT("character_id"))+1,FALSE)</f>
        <v>輪廻 ウロボロス</v>
      </c>
      <c r="D302" s="31">
        <f ca="1">VLOOKUP($B302,OFFSET(units!$A$1,0,0,COUNTA(units!$A:$A),MATCH(D$1,units!$1:$1,0)-COLUMN(INDIRECT("character_id"))+1),MATCH(D$1,units!$1:$1,0)-COLUMN(INDIRECT("character_id"))+1,FALSE)</f>
        <v>4</v>
      </c>
      <c r="E302" s="31" t="str">
        <f ca="1">VLOOKUP($B302,OFFSET(units!$A$1,0,0,COUNTA(units!$A:$A),MATCH(E$1,units!$1:$1,0)-COLUMN(INDIRECT("character_id"))+1),MATCH(E$1,units!$1:$1,0)-COLUMN(INDIRECT("character_id"))+1,FALSE)</f>
        <v>PremiumS</v>
      </c>
      <c r="F302" s="56">
        <v>115</v>
      </c>
      <c r="G302" s="31" t="str">
        <f ca="1">VLOOKUP($F302,OFFSET(units!$A$1,0,0,COUNTA(units!$A:$A),MATCH(G$1,units!$1:$1,0)-COLUMN(INDIRECT("character_id"))+1),MATCH(G$1,units!$1:$1,0)-COLUMN(INDIRECT("character_id"))+1,FALSE)</f>
        <v>イエローキャタップ</v>
      </c>
      <c r="H302" s="26">
        <v>2</v>
      </c>
      <c r="I302" s="202">
        <v>1</v>
      </c>
    </row>
    <row r="303" spans="1:9" ht="21" customHeight="1" x14ac:dyDescent="0.15">
      <c r="A303" s="96" t="str">
        <f t="shared" si="4"/>
        <v>260_114</v>
      </c>
      <c r="B303" s="56">
        <v>260</v>
      </c>
      <c r="C303" s="31" t="str">
        <f ca="1">VLOOKUP($B303,OFFSET(units!$A$1,0,0,COUNTA(units!$A:$A),MATCH(C$1,units!$1:$1,0)-COLUMN(INDIRECT("character_id"))+1),MATCH(C$1,units!$1:$1,0)-COLUMN(INDIRECT("character_id"))+1,FALSE)</f>
        <v>輪廻 ウロボロス</v>
      </c>
      <c r="D303" s="31">
        <f ca="1">VLOOKUP($B303,OFFSET(units!$A$1,0,0,COUNTA(units!$A:$A),MATCH(D$1,units!$1:$1,0)-COLUMN(INDIRECT("character_id"))+1),MATCH(D$1,units!$1:$1,0)-COLUMN(INDIRECT("character_id"))+1,FALSE)</f>
        <v>4</v>
      </c>
      <c r="E303" s="31" t="str">
        <f ca="1">VLOOKUP($B303,OFFSET(units!$A$1,0,0,COUNTA(units!$A:$A),MATCH(E$1,units!$1:$1,0)-COLUMN(INDIRECT("character_id"))+1),MATCH(E$1,units!$1:$1,0)-COLUMN(INDIRECT("character_id"))+1,FALSE)</f>
        <v>PremiumS</v>
      </c>
      <c r="F303" s="56">
        <v>114</v>
      </c>
      <c r="G303" s="31" t="str">
        <f ca="1">VLOOKUP($F303,OFFSET(units!$A$1,0,0,COUNTA(units!$A:$A),MATCH(G$1,units!$1:$1,0)-COLUMN(INDIRECT("character_id"))+1),MATCH(G$1,units!$1:$1,0)-COLUMN(INDIRECT("character_id"))+1,FALSE)</f>
        <v>イエローラビット</v>
      </c>
      <c r="H303" s="26">
        <v>1</v>
      </c>
      <c r="I303" s="202">
        <v>1</v>
      </c>
    </row>
    <row r="304" spans="1:9" x14ac:dyDescent="0.15">
      <c r="A304" s="96" t="str">
        <f t="shared" si="4"/>
        <v>262_103</v>
      </c>
      <c r="B304" s="59">
        <v>262</v>
      </c>
      <c r="C304" s="31" t="str">
        <f ca="1">VLOOKUP($B304,OFFSET(units!$A$1,0,0,COUNTA(units!$A:$A),MATCH(C$1,units!$1:$1,0)-COLUMN(INDIRECT("character_id"))+1),MATCH(C$1,units!$1:$1,0)-COLUMN(INDIRECT("character_id"))+1,FALSE)</f>
        <v>アシュリー</v>
      </c>
      <c r="D304" s="31">
        <f ca="1">VLOOKUP($B304,OFFSET(units!$A$1,0,0,COUNTA(units!$A:$A),MATCH(D$1,units!$1:$1,0)-COLUMN(INDIRECT("character_id"))+1),MATCH(D$1,units!$1:$1,0)-COLUMN(INDIRECT("character_id"))+1,FALSE)</f>
        <v>3</v>
      </c>
      <c r="E304" s="31" t="str">
        <f ca="1">VLOOKUP($B304,OFFSET(units!$A$1,0,0,COUNTA(units!$A:$A),MATCH(E$1,units!$1:$1,0)-COLUMN(INDIRECT("character_id"))+1),MATCH(E$1,units!$1:$1,0)-COLUMN(INDIRECT("character_id"))+1,FALSE)</f>
        <v>Drop2W</v>
      </c>
      <c r="F304" s="56">
        <v>103</v>
      </c>
      <c r="G304" s="31" t="str">
        <f ca="1">VLOOKUP($F304,OFFSET(units!$A$1,0,0,COUNTA(units!$A:$A),MATCH(G$1,units!$1:$1,0)-COLUMN(INDIRECT("character_id"))+1),MATCH(G$1,units!$1:$1,0)-COLUMN(INDIRECT("character_id"))+1,FALSE)</f>
        <v>レッドキャタップ</v>
      </c>
      <c r="H304" s="26">
        <v>1</v>
      </c>
      <c r="I304" s="202">
        <v>1</v>
      </c>
    </row>
    <row r="305" spans="1:9" x14ac:dyDescent="0.15">
      <c r="A305" s="96" t="str">
        <f t="shared" si="4"/>
        <v>262_102</v>
      </c>
      <c r="B305" s="56">
        <f>B304</f>
        <v>262</v>
      </c>
      <c r="C305" s="31" t="str">
        <f ca="1">VLOOKUP($B305,OFFSET(units!$A$1,0,0,COUNTA(units!$A:$A),MATCH(C$1,units!$1:$1,0)-COLUMN(INDIRECT("character_id"))+1),MATCH(C$1,units!$1:$1,0)-COLUMN(INDIRECT("character_id"))+1,FALSE)</f>
        <v>アシュリー</v>
      </c>
      <c r="D305" s="31">
        <f ca="1">VLOOKUP($B305,OFFSET(units!$A$1,0,0,COUNTA(units!$A:$A),MATCH(D$1,units!$1:$1,0)-COLUMN(INDIRECT("character_id"))+1),MATCH(D$1,units!$1:$1,0)-COLUMN(INDIRECT("character_id"))+1,FALSE)</f>
        <v>3</v>
      </c>
      <c r="E305" s="31" t="str">
        <f ca="1">VLOOKUP($B305,OFFSET(units!$A$1,0,0,COUNTA(units!$A:$A),MATCH(E$1,units!$1:$1,0)-COLUMN(INDIRECT("character_id"))+1),MATCH(E$1,units!$1:$1,0)-COLUMN(INDIRECT("character_id"))+1,FALSE)</f>
        <v>Drop2W</v>
      </c>
      <c r="F305" s="56">
        <f>F304-1</f>
        <v>102</v>
      </c>
      <c r="G305" s="31" t="str">
        <f ca="1">VLOOKUP($F305,OFFSET(units!$A$1,0,0,COUNTA(units!$A:$A),MATCH(G$1,units!$1:$1,0)-COLUMN(INDIRECT("character_id"))+1),MATCH(G$1,units!$1:$1,0)-COLUMN(INDIRECT("character_id"))+1,FALSE)</f>
        <v>レッドラビット</v>
      </c>
      <c r="H305" s="26">
        <v>1</v>
      </c>
      <c r="I305" s="202">
        <v>1</v>
      </c>
    </row>
    <row r="306" spans="1:9" x14ac:dyDescent="0.15">
      <c r="A306" s="96" t="str">
        <f t="shared" si="4"/>
        <v>262_101</v>
      </c>
      <c r="B306" s="56">
        <f>B305</f>
        <v>262</v>
      </c>
      <c r="C306" s="31" t="str">
        <f ca="1">VLOOKUP($B306,OFFSET(units!$A$1,0,0,COUNTA(units!$A:$A),MATCH(C$1,units!$1:$1,0)-COLUMN(INDIRECT("character_id"))+1),MATCH(C$1,units!$1:$1,0)-COLUMN(INDIRECT("character_id"))+1,FALSE)</f>
        <v>アシュリー</v>
      </c>
      <c r="D306" s="31">
        <f ca="1">VLOOKUP($B306,OFFSET(units!$A$1,0,0,COUNTA(units!$A:$A),MATCH(D$1,units!$1:$1,0)-COLUMN(INDIRECT("character_id"))+1),MATCH(D$1,units!$1:$1,0)-COLUMN(INDIRECT("character_id"))+1,FALSE)</f>
        <v>3</v>
      </c>
      <c r="E306" s="31" t="str">
        <f ca="1">VLOOKUP($B306,OFFSET(units!$A$1,0,0,COUNTA(units!$A:$A),MATCH(E$1,units!$1:$1,0)-COLUMN(INDIRECT("character_id"))+1),MATCH(E$1,units!$1:$1,0)-COLUMN(INDIRECT("character_id"))+1,FALSE)</f>
        <v>Drop2W</v>
      </c>
      <c r="F306" s="56">
        <f>F305-1</f>
        <v>101</v>
      </c>
      <c r="G306" s="31" t="str">
        <f ca="1">VLOOKUP($F306,OFFSET(units!$A$1,0,0,COUNTA(units!$A:$A),MATCH(G$1,units!$1:$1,0)-COLUMN(INDIRECT("character_id"))+1),MATCH(G$1,units!$1:$1,0)-COLUMN(INDIRECT("character_id"))+1,FALSE)</f>
        <v>レッドチェシャ</v>
      </c>
      <c r="H306" s="26">
        <v>3</v>
      </c>
      <c r="I306" s="202">
        <v>1</v>
      </c>
    </row>
    <row r="307" spans="1:9" x14ac:dyDescent="0.15">
      <c r="A307" s="96" t="str">
        <f t="shared" si="4"/>
        <v>264_107</v>
      </c>
      <c r="B307" s="59">
        <v>264</v>
      </c>
      <c r="C307" s="31" t="str">
        <f ca="1">VLOOKUP($B307,OFFSET(units!$A$1,0,0,COUNTA(units!$A:$A),MATCH(C$1,units!$1:$1,0)-COLUMN(INDIRECT("character_id"))+1),MATCH(C$1,units!$1:$1,0)-COLUMN(INDIRECT("character_id"))+1,FALSE)</f>
        <v>ユニコーン</v>
      </c>
      <c r="D307" s="31">
        <f ca="1">VLOOKUP($B307,OFFSET(units!$A$1,0,0,COUNTA(units!$A:$A),MATCH(D$1,units!$1:$1,0)-COLUMN(INDIRECT("character_id"))+1),MATCH(D$1,units!$1:$1,0)-COLUMN(INDIRECT("character_id"))+1,FALSE)</f>
        <v>3</v>
      </c>
      <c r="E307" s="31" t="str">
        <f ca="1">VLOOKUP($B307,OFFSET(units!$A$1,0,0,COUNTA(units!$A:$A),MATCH(E$1,units!$1:$1,0)-COLUMN(INDIRECT("character_id"))+1),MATCH(E$1,units!$1:$1,0)-COLUMN(INDIRECT("character_id"))+1,FALSE)</f>
        <v>Drop2W</v>
      </c>
      <c r="F307" s="56">
        <v>107</v>
      </c>
      <c r="G307" s="31" t="str">
        <f ca="1">VLOOKUP($F307,OFFSET(units!$A$1,0,0,COUNTA(units!$A:$A),MATCH(G$1,units!$1:$1,0)-COLUMN(INDIRECT("character_id"))+1),MATCH(G$1,units!$1:$1,0)-COLUMN(INDIRECT("character_id"))+1,FALSE)</f>
        <v>グリーンキャタップ</v>
      </c>
      <c r="H307" s="26">
        <v>1</v>
      </c>
      <c r="I307" s="202">
        <v>1</v>
      </c>
    </row>
    <row r="308" spans="1:9" x14ac:dyDescent="0.15">
      <c r="A308" s="96" t="str">
        <f t="shared" si="4"/>
        <v>264_106</v>
      </c>
      <c r="B308" s="56">
        <f>B307</f>
        <v>264</v>
      </c>
      <c r="C308" s="31" t="str">
        <f ca="1">VLOOKUP($B308,OFFSET(units!$A$1,0,0,COUNTA(units!$A:$A),MATCH(C$1,units!$1:$1,0)-COLUMN(INDIRECT("character_id"))+1),MATCH(C$1,units!$1:$1,0)-COLUMN(INDIRECT("character_id"))+1,FALSE)</f>
        <v>ユニコーン</v>
      </c>
      <c r="D308" s="31">
        <f ca="1">VLOOKUP($B308,OFFSET(units!$A$1,0,0,COUNTA(units!$A:$A),MATCH(D$1,units!$1:$1,0)-COLUMN(INDIRECT("character_id"))+1),MATCH(D$1,units!$1:$1,0)-COLUMN(INDIRECT("character_id"))+1,FALSE)</f>
        <v>3</v>
      </c>
      <c r="E308" s="31" t="str">
        <f ca="1">VLOOKUP($B308,OFFSET(units!$A$1,0,0,COUNTA(units!$A:$A),MATCH(E$1,units!$1:$1,0)-COLUMN(INDIRECT("character_id"))+1),MATCH(E$1,units!$1:$1,0)-COLUMN(INDIRECT("character_id"))+1,FALSE)</f>
        <v>Drop2W</v>
      </c>
      <c r="F308" s="56">
        <f>F307-1</f>
        <v>106</v>
      </c>
      <c r="G308" s="31" t="str">
        <f ca="1">VLOOKUP($F308,OFFSET(units!$A$1,0,0,COUNTA(units!$A:$A),MATCH(G$1,units!$1:$1,0)-COLUMN(INDIRECT("character_id"))+1),MATCH(G$1,units!$1:$1,0)-COLUMN(INDIRECT("character_id"))+1,FALSE)</f>
        <v>グリーンラビット</v>
      </c>
      <c r="H308" s="26">
        <v>1</v>
      </c>
      <c r="I308" s="202">
        <v>1</v>
      </c>
    </row>
    <row r="309" spans="1:9" x14ac:dyDescent="0.15">
      <c r="A309" s="96" t="str">
        <f t="shared" si="4"/>
        <v>264_105</v>
      </c>
      <c r="B309" s="56">
        <f>B308</f>
        <v>264</v>
      </c>
      <c r="C309" s="31" t="str">
        <f ca="1">VLOOKUP($B309,OFFSET(units!$A$1,0,0,COUNTA(units!$A:$A),MATCH(C$1,units!$1:$1,0)-COLUMN(INDIRECT("character_id"))+1),MATCH(C$1,units!$1:$1,0)-COLUMN(INDIRECT("character_id"))+1,FALSE)</f>
        <v>ユニコーン</v>
      </c>
      <c r="D309" s="31">
        <f ca="1">VLOOKUP($B309,OFFSET(units!$A$1,0,0,COUNTA(units!$A:$A),MATCH(D$1,units!$1:$1,0)-COLUMN(INDIRECT("character_id"))+1),MATCH(D$1,units!$1:$1,0)-COLUMN(INDIRECT("character_id"))+1,FALSE)</f>
        <v>3</v>
      </c>
      <c r="E309" s="31" t="str">
        <f ca="1">VLOOKUP($B309,OFFSET(units!$A$1,0,0,COUNTA(units!$A:$A),MATCH(E$1,units!$1:$1,0)-COLUMN(INDIRECT("character_id"))+1),MATCH(E$1,units!$1:$1,0)-COLUMN(INDIRECT("character_id"))+1,FALSE)</f>
        <v>Drop2W</v>
      </c>
      <c r="F309" s="56">
        <f>F308-1</f>
        <v>105</v>
      </c>
      <c r="G309" s="31" t="str">
        <f ca="1">VLOOKUP($F309,OFFSET(units!$A$1,0,0,COUNTA(units!$A:$A),MATCH(G$1,units!$1:$1,0)-COLUMN(INDIRECT("character_id"))+1),MATCH(G$1,units!$1:$1,0)-COLUMN(INDIRECT("character_id"))+1,FALSE)</f>
        <v>グリーンチェシャ</v>
      </c>
      <c r="H309" s="26">
        <v>3</v>
      </c>
      <c r="I309" s="202">
        <v>1</v>
      </c>
    </row>
    <row r="310" spans="1:9" x14ac:dyDescent="0.15">
      <c r="A310" s="96" t="str">
        <f t="shared" si="4"/>
        <v>266_111</v>
      </c>
      <c r="B310" s="59">
        <v>266</v>
      </c>
      <c r="C310" s="31" t="str">
        <f ca="1">VLOOKUP($B310,OFFSET(units!$A$1,0,0,COUNTA(units!$A:$A),MATCH(C$1,units!$1:$1,0)-COLUMN(INDIRECT("character_id"))+1),MATCH(C$1,units!$1:$1,0)-COLUMN(INDIRECT("character_id"))+1,FALSE)</f>
        <v>リリアンブルー</v>
      </c>
      <c r="D310" s="31">
        <f ca="1">VLOOKUP($B310,OFFSET(units!$A$1,0,0,COUNTA(units!$A:$A),MATCH(D$1,units!$1:$1,0)-COLUMN(INDIRECT("character_id"))+1),MATCH(D$1,units!$1:$1,0)-COLUMN(INDIRECT("character_id"))+1,FALSE)</f>
        <v>3</v>
      </c>
      <c r="E310" s="31" t="str">
        <f ca="1">VLOOKUP($B310,OFFSET(units!$A$1,0,0,COUNTA(units!$A:$A),MATCH(E$1,units!$1:$1,0)-COLUMN(INDIRECT("character_id"))+1),MATCH(E$1,units!$1:$1,0)-COLUMN(INDIRECT("character_id"))+1,FALSE)</f>
        <v>Drop2W</v>
      </c>
      <c r="F310" s="56">
        <v>111</v>
      </c>
      <c r="G310" s="31" t="str">
        <f ca="1">VLOOKUP($F310,OFFSET(units!$A$1,0,0,COUNTA(units!$A:$A),MATCH(G$1,units!$1:$1,0)-COLUMN(INDIRECT("character_id"))+1),MATCH(G$1,units!$1:$1,0)-COLUMN(INDIRECT("character_id"))+1,FALSE)</f>
        <v>ブルーキャタップ</v>
      </c>
      <c r="H310" s="26">
        <v>1</v>
      </c>
      <c r="I310" s="202">
        <v>1</v>
      </c>
    </row>
    <row r="311" spans="1:9" x14ac:dyDescent="0.15">
      <c r="A311" s="96" t="str">
        <f t="shared" si="4"/>
        <v>266_110</v>
      </c>
      <c r="B311" s="56">
        <f>B310</f>
        <v>266</v>
      </c>
      <c r="C311" s="31" t="str">
        <f ca="1">VLOOKUP($B311,OFFSET(units!$A$1,0,0,COUNTA(units!$A:$A),MATCH(C$1,units!$1:$1,0)-COLUMN(INDIRECT("character_id"))+1),MATCH(C$1,units!$1:$1,0)-COLUMN(INDIRECT("character_id"))+1,FALSE)</f>
        <v>リリアンブルー</v>
      </c>
      <c r="D311" s="31">
        <f ca="1">VLOOKUP($B311,OFFSET(units!$A$1,0,0,COUNTA(units!$A:$A),MATCH(D$1,units!$1:$1,0)-COLUMN(INDIRECT("character_id"))+1),MATCH(D$1,units!$1:$1,0)-COLUMN(INDIRECT("character_id"))+1,FALSE)</f>
        <v>3</v>
      </c>
      <c r="E311" s="31" t="str">
        <f ca="1">VLOOKUP($B311,OFFSET(units!$A$1,0,0,COUNTA(units!$A:$A),MATCH(E$1,units!$1:$1,0)-COLUMN(INDIRECT("character_id"))+1),MATCH(E$1,units!$1:$1,0)-COLUMN(INDIRECT("character_id"))+1,FALSE)</f>
        <v>Drop2W</v>
      </c>
      <c r="F311" s="56">
        <f>F310-1</f>
        <v>110</v>
      </c>
      <c r="G311" s="31" t="str">
        <f ca="1">VLOOKUP($F311,OFFSET(units!$A$1,0,0,COUNTA(units!$A:$A),MATCH(G$1,units!$1:$1,0)-COLUMN(INDIRECT("character_id"))+1),MATCH(G$1,units!$1:$1,0)-COLUMN(INDIRECT("character_id"))+1,FALSE)</f>
        <v>ブルーラビット</v>
      </c>
      <c r="H311" s="26">
        <v>1</v>
      </c>
      <c r="I311" s="202">
        <v>1</v>
      </c>
    </row>
    <row r="312" spans="1:9" x14ac:dyDescent="0.15">
      <c r="A312" s="96" t="str">
        <f t="shared" si="4"/>
        <v>266_109</v>
      </c>
      <c r="B312" s="56">
        <f>B311</f>
        <v>266</v>
      </c>
      <c r="C312" s="31" t="str">
        <f ca="1">VLOOKUP($B312,OFFSET(units!$A$1,0,0,COUNTA(units!$A:$A),MATCH(C$1,units!$1:$1,0)-COLUMN(INDIRECT("character_id"))+1),MATCH(C$1,units!$1:$1,0)-COLUMN(INDIRECT("character_id"))+1,FALSE)</f>
        <v>リリアンブルー</v>
      </c>
      <c r="D312" s="31">
        <f ca="1">VLOOKUP($B312,OFFSET(units!$A$1,0,0,COUNTA(units!$A:$A),MATCH(D$1,units!$1:$1,0)-COLUMN(INDIRECT("character_id"))+1),MATCH(D$1,units!$1:$1,0)-COLUMN(INDIRECT("character_id"))+1,FALSE)</f>
        <v>3</v>
      </c>
      <c r="E312" s="31" t="str">
        <f ca="1">VLOOKUP($B312,OFFSET(units!$A$1,0,0,COUNTA(units!$A:$A),MATCH(E$1,units!$1:$1,0)-COLUMN(INDIRECT("character_id"))+1),MATCH(E$1,units!$1:$1,0)-COLUMN(INDIRECT("character_id"))+1,FALSE)</f>
        <v>Drop2W</v>
      </c>
      <c r="F312" s="56">
        <f>F311-1</f>
        <v>109</v>
      </c>
      <c r="G312" s="31" t="str">
        <f ca="1">VLOOKUP($F312,OFFSET(units!$A$1,0,0,COUNTA(units!$A:$A),MATCH(G$1,units!$1:$1,0)-COLUMN(INDIRECT("character_id"))+1),MATCH(G$1,units!$1:$1,0)-COLUMN(INDIRECT("character_id"))+1,FALSE)</f>
        <v>ブルーチェシャ</v>
      </c>
      <c r="H312" s="26">
        <v>3</v>
      </c>
      <c r="I312" s="202">
        <v>1</v>
      </c>
    </row>
    <row r="313" spans="1:9" x14ac:dyDescent="0.15">
      <c r="A313" s="96" t="str">
        <f t="shared" si="4"/>
        <v>268_115</v>
      </c>
      <c r="B313" s="59">
        <v>268</v>
      </c>
      <c r="C313" s="31" t="str">
        <f ca="1">VLOOKUP($B313,OFFSET(units!$A$1,0,0,COUNTA(units!$A:$A),MATCH(C$1,units!$1:$1,0)-COLUMN(INDIRECT("character_id"))+1),MATCH(C$1,units!$1:$1,0)-COLUMN(INDIRECT("character_id"))+1,FALSE)</f>
        <v>鵺</v>
      </c>
      <c r="D313" s="31">
        <f ca="1">VLOOKUP($B313,OFFSET(units!$A$1,0,0,COUNTA(units!$A:$A),MATCH(D$1,units!$1:$1,0)-COLUMN(INDIRECT("character_id"))+1),MATCH(D$1,units!$1:$1,0)-COLUMN(INDIRECT("character_id"))+1,FALSE)</f>
        <v>3</v>
      </c>
      <c r="E313" s="31" t="str">
        <f ca="1">VLOOKUP($B313,OFFSET(units!$A$1,0,0,COUNTA(units!$A:$A),MATCH(E$1,units!$1:$1,0)-COLUMN(INDIRECT("character_id"))+1),MATCH(E$1,units!$1:$1,0)-COLUMN(INDIRECT("character_id"))+1,FALSE)</f>
        <v>Drop2W</v>
      </c>
      <c r="F313" s="56">
        <v>115</v>
      </c>
      <c r="G313" s="31" t="str">
        <f ca="1">VLOOKUP($F313,OFFSET(units!$A$1,0,0,COUNTA(units!$A:$A),MATCH(G$1,units!$1:$1,0)-COLUMN(INDIRECT("character_id"))+1),MATCH(G$1,units!$1:$1,0)-COLUMN(INDIRECT("character_id"))+1,FALSE)</f>
        <v>イエローキャタップ</v>
      </c>
      <c r="H313" s="26">
        <v>1</v>
      </c>
      <c r="I313" s="202">
        <v>1</v>
      </c>
    </row>
    <row r="314" spans="1:9" x14ac:dyDescent="0.15">
      <c r="A314" s="96" t="str">
        <f t="shared" si="4"/>
        <v>268_114</v>
      </c>
      <c r="B314" s="56">
        <f>B313</f>
        <v>268</v>
      </c>
      <c r="C314" s="31" t="str">
        <f ca="1">VLOOKUP($B314,OFFSET(units!$A$1,0,0,COUNTA(units!$A:$A),MATCH(C$1,units!$1:$1,0)-COLUMN(INDIRECT("character_id"))+1),MATCH(C$1,units!$1:$1,0)-COLUMN(INDIRECT("character_id"))+1,FALSE)</f>
        <v>鵺</v>
      </c>
      <c r="D314" s="31">
        <f ca="1">VLOOKUP($B314,OFFSET(units!$A$1,0,0,COUNTA(units!$A:$A),MATCH(D$1,units!$1:$1,0)-COLUMN(INDIRECT("character_id"))+1),MATCH(D$1,units!$1:$1,0)-COLUMN(INDIRECT("character_id"))+1,FALSE)</f>
        <v>3</v>
      </c>
      <c r="E314" s="31" t="str">
        <f ca="1">VLOOKUP($B314,OFFSET(units!$A$1,0,0,COUNTA(units!$A:$A),MATCH(E$1,units!$1:$1,0)-COLUMN(INDIRECT("character_id"))+1),MATCH(E$1,units!$1:$1,0)-COLUMN(INDIRECT("character_id"))+1,FALSE)</f>
        <v>Drop2W</v>
      </c>
      <c r="F314" s="56">
        <f>F313-1</f>
        <v>114</v>
      </c>
      <c r="G314" s="31" t="str">
        <f ca="1">VLOOKUP($F314,OFFSET(units!$A$1,0,0,COUNTA(units!$A:$A),MATCH(G$1,units!$1:$1,0)-COLUMN(INDIRECT("character_id"))+1),MATCH(G$1,units!$1:$1,0)-COLUMN(INDIRECT("character_id"))+1,FALSE)</f>
        <v>イエローラビット</v>
      </c>
      <c r="H314" s="26">
        <v>1</v>
      </c>
      <c r="I314" s="202">
        <v>1</v>
      </c>
    </row>
    <row r="315" spans="1:9" x14ac:dyDescent="0.15">
      <c r="A315" s="96" t="str">
        <f t="shared" si="4"/>
        <v>268_113</v>
      </c>
      <c r="B315" s="56">
        <f>B314</f>
        <v>268</v>
      </c>
      <c r="C315" s="31" t="str">
        <f ca="1">VLOOKUP($B315,OFFSET(units!$A$1,0,0,COUNTA(units!$A:$A),MATCH(C$1,units!$1:$1,0)-COLUMN(INDIRECT("character_id"))+1),MATCH(C$1,units!$1:$1,0)-COLUMN(INDIRECT("character_id"))+1,FALSE)</f>
        <v>鵺</v>
      </c>
      <c r="D315" s="31">
        <f ca="1">VLOOKUP($B315,OFFSET(units!$A$1,0,0,COUNTA(units!$A:$A),MATCH(D$1,units!$1:$1,0)-COLUMN(INDIRECT("character_id"))+1),MATCH(D$1,units!$1:$1,0)-COLUMN(INDIRECT("character_id"))+1,FALSE)</f>
        <v>3</v>
      </c>
      <c r="E315" s="31" t="str">
        <f ca="1">VLOOKUP($B315,OFFSET(units!$A$1,0,0,COUNTA(units!$A:$A),MATCH(E$1,units!$1:$1,0)-COLUMN(INDIRECT("character_id"))+1),MATCH(E$1,units!$1:$1,0)-COLUMN(INDIRECT("character_id"))+1,FALSE)</f>
        <v>Drop2W</v>
      </c>
      <c r="F315" s="56">
        <f>F314-1</f>
        <v>113</v>
      </c>
      <c r="G315" s="31" t="str">
        <f ca="1">VLOOKUP($F315,OFFSET(units!$A$1,0,0,COUNTA(units!$A:$A),MATCH(G$1,units!$1:$1,0)-COLUMN(INDIRECT("character_id"))+1),MATCH(G$1,units!$1:$1,0)-COLUMN(INDIRECT("character_id"))+1,FALSE)</f>
        <v>イエローチェシャ</v>
      </c>
      <c r="H315" s="26">
        <v>3</v>
      </c>
      <c r="I315" s="202">
        <v>1</v>
      </c>
    </row>
    <row r="316" spans="1:9" x14ac:dyDescent="0.15">
      <c r="A316" s="96" t="str">
        <f t="shared" si="4"/>
        <v>270_108</v>
      </c>
      <c r="B316" s="59">
        <v>270</v>
      </c>
      <c r="C316" s="31" t="str">
        <f ca="1">VLOOKUP($B316,OFFSET(units!$A$1,0,0,COUNTA(units!$A:$A),MATCH(C$1,units!$1:$1,0)-COLUMN(INDIRECT("character_id"))+1),MATCH(C$1,units!$1:$1,0)-COLUMN(INDIRECT("character_id"))+1,FALSE)</f>
        <v>風爪のミリー</v>
      </c>
      <c r="D316" s="31">
        <f ca="1">VLOOKUP($B316,OFFSET(units!$A$1,0,0,COUNTA(units!$A:$A),MATCH(D$1,units!$1:$1,0)-COLUMN(INDIRECT("character_id"))+1),MATCH(D$1,units!$1:$1,0)-COLUMN(INDIRECT("character_id"))+1,FALSE)</f>
        <v>4</v>
      </c>
      <c r="E316" s="31" t="str">
        <f ca="1">VLOOKUP($B316,OFFSET(units!$A$1,0,0,COUNTA(units!$A:$A),MATCH(E$1,units!$1:$1,0)-COLUMN(INDIRECT("character_id"))+1),MATCH(E$1,units!$1:$1,0)-COLUMN(INDIRECT("character_id"))+1,FALSE)</f>
        <v>Drop2N</v>
      </c>
      <c r="F316" s="56">
        <v>108</v>
      </c>
      <c r="G316" s="31" t="str">
        <f ca="1">VLOOKUP($F316,OFFSET(units!$A$1,0,0,COUNTA(units!$A:$A),MATCH(G$1,units!$1:$1,0)-COLUMN(INDIRECT("character_id"))+1),MATCH(G$1,units!$1:$1,0)-COLUMN(INDIRECT("character_id"))+1,FALSE)</f>
        <v>森のマッドハッター</v>
      </c>
      <c r="H316" s="26">
        <v>1</v>
      </c>
      <c r="I316" s="202">
        <v>1</v>
      </c>
    </row>
    <row r="317" spans="1:9" x14ac:dyDescent="0.15">
      <c r="A317" s="96" t="str">
        <f t="shared" si="4"/>
        <v>270_107</v>
      </c>
      <c r="B317" s="56">
        <f>B316</f>
        <v>270</v>
      </c>
      <c r="C317" s="31" t="str">
        <f ca="1">VLOOKUP($B317,OFFSET(units!$A$1,0,0,COUNTA(units!$A:$A),MATCH(C$1,units!$1:$1,0)-COLUMN(INDIRECT("character_id"))+1),MATCH(C$1,units!$1:$1,0)-COLUMN(INDIRECT("character_id"))+1,FALSE)</f>
        <v>風爪のミリー</v>
      </c>
      <c r="D317" s="31">
        <f ca="1">VLOOKUP($B317,OFFSET(units!$A$1,0,0,COUNTA(units!$A:$A),MATCH(D$1,units!$1:$1,0)-COLUMN(INDIRECT("character_id"))+1),MATCH(D$1,units!$1:$1,0)-COLUMN(INDIRECT("character_id"))+1,FALSE)</f>
        <v>4</v>
      </c>
      <c r="E317" s="31" t="str">
        <f ca="1">VLOOKUP($B317,OFFSET(units!$A$1,0,0,COUNTA(units!$A:$A),MATCH(E$1,units!$1:$1,0)-COLUMN(INDIRECT("character_id"))+1),MATCH(E$1,units!$1:$1,0)-COLUMN(INDIRECT("character_id"))+1,FALSE)</f>
        <v>Drop2N</v>
      </c>
      <c r="F317" s="56">
        <f>F316-1</f>
        <v>107</v>
      </c>
      <c r="G317" s="31" t="str">
        <f ca="1">VLOOKUP($F317,OFFSET(units!$A$1,0,0,COUNTA(units!$A:$A),MATCH(G$1,units!$1:$1,0)-COLUMN(INDIRECT("character_id"))+1),MATCH(G$1,units!$1:$1,0)-COLUMN(INDIRECT("character_id"))+1,FALSE)</f>
        <v>グリーンキャタップ</v>
      </c>
      <c r="H317" s="26">
        <v>1</v>
      </c>
      <c r="I317" s="202">
        <v>1</v>
      </c>
    </row>
    <row r="318" spans="1:9" x14ac:dyDescent="0.15">
      <c r="A318" s="96" t="str">
        <f t="shared" si="4"/>
        <v>270_106</v>
      </c>
      <c r="B318" s="59">
        <v>270</v>
      </c>
      <c r="C318" s="31" t="str">
        <f ca="1">VLOOKUP($B318,OFFSET(units!$A$1,0,0,COUNTA(units!$A:$A),MATCH(C$1,units!$1:$1,0)-COLUMN(INDIRECT("character_id"))+1),MATCH(C$1,units!$1:$1,0)-COLUMN(INDIRECT("character_id"))+1,FALSE)</f>
        <v>風爪のミリー</v>
      </c>
      <c r="D318" s="31">
        <f ca="1">VLOOKUP($B318,OFFSET(units!$A$1,0,0,COUNTA(units!$A:$A),MATCH(D$1,units!$1:$1,0)-COLUMN(INDIRECT("character_id"))+1),MATCH(D$1,units!$1:$1,0)-COLUMN(INDIRECT("character_id"))+1,FALSE)</f>
        <v>4</v>
      </c>
      <c r="E318" s="31" t="str">
        <f ca="1">VLOOKUP($B318,OFFSET(units!$A$1,0,0,COUNTA(units!$A:$A),MATCH(E$1,units!$1:$1,0)-COLUMN(INDIRECT("character_id"))+1),MATCH(E$1,units!$1:$1,0)-COLUMN(INDIRECT("character_id"))+1,FALSE)</f>
        <v>Drop2N</v>
      </c>
      <c r="F318" s="56">
        <f>F317-1</f>
        <v>106</v>
      </c>
      <c r="G318" s="31" t="str">
        <f ca="1">VLOOKUP($F318,OFFSET(units!$A$1,0,0,COUNTA(units!$A:$A),MATCH(G$1,units!$1:$1,0)-COLUMN(INDIRECT("character_id"))+1),MATCH(G$1,units!$1:$1,0)-COLUMN(INDIRECT("character_id"))+1,FALSE)</f>
        <v>グリーンラビット</v>
      </c>
      <c r="H318" s="26">
        <v>2</v>
      </c>
      <c r="I318" s="202">
        <v>1</v>
      </c>
    </row>
    <row r="319" spans="1:9" x14ac:dyDescent="0.15">
      <c r="A319" s="96" t="str">
        <f t="shared" si="4"/>
        <v>270_105</v>
      </c>
      <c r="B319" s="56">
        <f>B318</f>
        <v>270</v>
      </c>
      <c r="C319" s="31" t="str">
        <f ca="1">VLOOKUP($B319,OFFSET(units!$A$1,0,0,COUNTA(units!$A:$A),MATCH(C$1,units!$1:$1,0)-COLUMN(INDIRECT("character_id"))+1),MATCH(C$1,units!$1:$1,0)-COLUMN(INDIRECT("character_id"))+1,FALSE)</f>
        <v>風爪のミリー</v>
      </c>
      <c r="D319" s="31">
        <f ca="1">VLOOKUP($B319,OFFSET(units!$A$1,0,0,COUNTA(units!$A:$A),MATCH(D$1,units!$1:$1,0)-COLUMN(INDIRECT("character_id"))+1),MATCH(D$1,units!$1:$1,0)-COLUMN(INDIRECT("character_id"))+1,FALSE)</f>
        <v>4</v>
      </c>
      <c r="E319" s="31" t="str">
        <f ca="1">VLOOKUP($B319,OFFSET(units!$A$1,0,0,COUNTA(units!$A:$A),MATCH(E$1,units!$1:$1,0)-COLUMN(INDIRECT("character_id"))+1),MATCH(E$1,units!$1:$1,0)-COLUMN(INDIRECT("character_id"))+1,FALSE)</f>
        <v>Drop2N</v>
      </c>
      <c r="F319" s="56">
        <f>F318-1</f>
        <v>105</v>
      </c>
      <c r="G319" s="31" t="str">
        <f ca="1">VLOOKUP($F319,OFFSET(units!$A$1,0,0,COUNTA(units!$A:$A),MATCH(G$1,units!$1:$1,0)-COLUMN(INDIRECT("character_id"))+1),MATCH(G$1,units!$1:$1,0)-COLUMN(INDIRECT("character_id"))+1,FALSE)</f>
        <v>グリーンチェシャ</v>
      </c>
      <c r="H319" s="26">
        <v>1</v>
      </c>
      <c r="I319" s="202">
        <v>1</v>
      </c>
    </row>
    <row r="320" spans="1:9" x14ac:dyDescent="0.15">
      <c r="A320" s="96" t="str">
        <f t="shared" si="4"/>
        <v>272_112</v>
      </c>
      <c r="B320" s="59">
        <v>272</v>
      </c>
      <c r="C320" s="31" t="str">
        <f ca="1">VLOOKUP($B320,OFFSET(units!$A$1,0,0,COUNTA(units!$A:$A),MATCH(C$1,units!$1:$1,0)-COLUMN(INDIRECT("character_id"))+1),MATCH(C$1,units!$1:$1,0)-COLUMN(INDIRECT("character_id"))+1,FALSE)</f>
        <v>魔札のシルベール</v>
      </c>
      <c r="D320" s="31">
        <f ca="1">VLOOKUP($B320,OFFSET(units!$A$1,0,0,COUNTA(units!$A:$A),MATCH(D$1,units!$1:$1,0)-COLUMN(INDIRECT("character_id"))+1),MATCH(D$1,units!$1:$1,0)-COLUMN(INDIRECT("character_id"))+1,FALSE)</f>
        <v>4</v>
      </c>
      <c r="E320" s="31" t="str">
        <f ca="1">VLOOKUP($B320,OFFSET(units!$A$1,0,0,COUNTA(units!$A:$A),MATCH(E$1,units!$1:$1,0)-COLUMN(INDIRECT("character_id"))+1),MATCH(E$1,units!$1:$1,0)-COLUMN(INDIRECT("character_id"))+1,FALSE)</f>
        <v>Drop2N</v>
      </c>
      <c r="F320" s="56">
        <v>112</v>
      </c>
      <c r="G320" s="31" t="str">
        <f ca="1">VLOOKUP($F320,OFFSET(units!$A$1,0,0,COUNTA(units!$A:$A),MATCH(G$1,units!$1:$1,0)-COLUMN(INDIRECT("character_id"))+1),MATCH(G$1,units!$1:$1,0)-COLUMN(INDIRECT("character_id"))+1,FALSE)</f>
        <v>水のマッドハッター</v>
      </c>
      <c r="H320" s="26">
        <v>1</v>
      </c>
      <c r="I320" s="202">
        <v>1</v>
      </c>
    </row>
    <row r="321" spans="1:9" x14ac:dyDescent="0.15">
      <c r="A321" s="96" t="str">
        <f t="shared" si="4"/>
        <v>272_111</v>
      </c>
      <c r="B321" s="56">
        <f>B320</f>
        <v>272</v>
      </c>
      <c r="C321" s="31" t="str">
        <f ca="1">VLOOKUP($B321,OFFSET(units!$A$1,0,0,COUNTA(units!$A:$A),MATCH(C$1,units!$1:$1,0)-COLUMN(INDIRECT("character_id"))+1),MATCH(C$1,units!$1:$1,0)-COLUMN(INDIRECT("character_id"))+1,FALSE)</f>
        <v>魔札のシルベール</v>
      </c>
      <c r="D321" s="31">
        <f ca="1">VLOOKUP($B321,OFFSET(units!$A$1,0,0,COUNTA(units!$A:$A),MATCH(D$1,units!$1:$1,0)-COLUMN(INDIRECT("character_id"))+1),MATCH(D$1,units!$1:$1,0)-COLUMN(INDIRECT("character_id"))+1,FALSE)</f>
        <v>4</v>
      </c>
      <c r="E321" s="31" t="str">
        <f ca="1">VLOOKUP($B321,OFFSET(units!$A$1,0,0,COUNTA(units!$A:$A),MATCH(E$1,units!$1:$1,0)-COLUMN(INDIRECT("character_id"))+1),MATCH(E$1,units!$1:$1,0)-COLUMN(INDIRECT("character_id"))+1,FALSE)</f>
        <v>Drop2N</v>
      </c>
      <c r="F321" s="56">
        <f>F320-1</f>
        <v>111</v>
      </c>
      <c r="G321" s="31" t="str">
        <f ca="1">VLOOKUP($F321,OFFSET(units!$A$1,0,0,COUNTA(units!$A:$A),MATCH(G$1,units!$1:$1,0)-COLUMN(INDIRECT("character_id"))+1),MATCH(G$1,units!$1:$1,0)-COLUMN(INDIRECT("character_id"))+1,FALSE)</f>
        <v>ブルーキャタップ</v>
      </c>
      <c r="H321" s="26">
        <v>1</v>
      </c>
      <c r="I321" s="202">
        <v>1</v>
      </c>
    </row>
    <row r="322" spans="1:9" x14ac:dyDescent="0.15">
      <c r="A322" s="96" t="str">
        <f t="shared" ref="A322:A385" si="5">B322&amp;"_"&amp;F322</f>
        <v>272_110</v>
      </c>
      <c r="B322" s="59">
        <v>272</v>
      </c>
      <c r="C322" s="31" t="str">
        <f ca="1">VLOOKUP($B322,OFFSET(units!$A$1,0,0,COUNTA(units!$A:$A),MATCH(C$1,units!$1:$1,0)-COLUMN(INDIRECT("character_id"))+1),MATCH(C$1,units!$1:$1,0)-COLUMN(INDIRECT("character_id"))+1,FALSE)</f>
        <v>魔札のシルベール</v>
      </c>
      <c r="D322" s="31">
        <f ca="1">VLOOKUP($B322,OFFSET(units!$A$1,0,0,COUNTA(units!$A:$A),MATCH(D$1,units!$1:$1,0)-COLUMN(INDIRECT("character_id"))+1),MATCH(D$1,units!$1:$1,0)-COLUMN(INDIRECT("character_id"))+1,FALSE)</f>
        <v>4</v>
      </c>
      <c r="E322" s="31" t="str">
        <f ca="1">VLOOKUP($B322,OFFSET(units!$A$1,0,0,COUNTA(units!$A:$A),MATCH(E$1,units!$1:$1,0)-COLUMN(INDIRECT("character_id"))+1),MATCH(E$1,units!$1:$1,0)-COLUMN(INDIRECT("character_id"))+1,FALSE)</f>
        <v>Drop2N</v>
      </c>
      <c r="F322" s="56">
        <f>F321-1</f>
        <v>110</v>
      </c>
      <c r="G322" s="31" t="str">
        <f ca="1">VLOOKUP($F322,OFFSET(units!$A$1,0,0,COUNTA(units!$A:$A),MATCH(G$1,units!$1:$1,0)-COLUMN(INDIRECT("character_id"))+1),MATCH(G$1,units!$1:$1,0)-COLUMN(INDIRECT("character_id"))+1,FALSE)</f>
        <v>ブルーラビット</v>
      </c>
      <c r="H322" s="26">
        <v>2</v>
      </c>
      <c r="I322" s="202">
        <v>1</v>
      </c>
    </row>
    <row r="323" spans="1:9" x14ac:dyDescent="0.15">
      <c r="A323" s="96" t="str">
        <f t="shared" si="5"/>
        <v>272_109</v>
      </c>
      <c r="B323" s="56">
        <f>B322</f>
        <v>272</v>
      </c>
      <c r="C323" s="31" t="str">
        <f ca="1">VLOOKUP($B323,OFFSET(units!$A$1,0,0,COUNTA(units!$A:$A),MATCH(C$1,units!$1:$1,0)-COLUMN(INDIRECT("character_id"))+1),MATCH(C$1,units!$1:$1,0)-COLUMN(INDIRECT("character_id"))+1,FALSE)</f>
        <v>魔札のシルベール</v>
      </c>
      <c r="D323" s="31">
        <f ca="1">VLOOKUP($B323,OFFSET(units!$A$1,0,0,COUNTA(units!$A:$A),MATCH(D$1,units!$1:$1,0)-COLUMN(INDIRECT("character_id"))+1),MATCH(D$1,units!$1:$1,0)-COLUMN(INDIRECT("character_id"))+1,FALSE)</f>
        <v>4</v>
      </c>
      <c r="E323" s="31" t="str">
        <f ca="1">VLOOKUP($B323,OFFSET(units!$A$1,0,0,COUNTA(units!$A:$A),MATCH(E$1,units!$1:$1,0)-COLUMN(INDIRECT("character_id"))+1),MATCH(E$1,units!$1:$1,0)-COLUMN(INDIRECT("character_id"))+1,FALSE)</f>
        <v>Drop2N</v>
      </c>
      <c r="F323" s="56">
        <f>F322-1</f>
        <v>109</v>
      </c>
      <c r="G323" s="31" t="str">
        <f ca="1">VLOOKUP($F323,OFFSET(units!$A$1,0,0,COUNTA(units!$A:$A),MATCH(G$1,units!$1:$1,0)-COLUMN(INDIRECT("character_id"))+1),MATCH(G$1,units!$1:$1,0)-COLUMN(INDIRECT("character_id"))+1,FALSE)</f>
        <v>ブルーチェシャ</v>
      </c>
      <c r="H323" s="26">
        <f>H322-1</f>
        <v>1</v>
      </c>
      <c r="I323" s="202">
        <v>1</v>
      </c>
    </row>
    <row r="324" spans="1:9" x14ac:dyDescent="0.15">
      <c r="A324" s="96" t="str">
        <f t="shared" si="5"/>
        <v>274_116</v>
      </c>
      <c r="B324" s="59">
        <v>274</v>
      </c>
      <c r="C324" s="31" t="str">
        <f ca="1">VLOOKUP($B324,OFFSET(units!$A$1,0,0,COUNTA(units!$A:$A),MATCH(C$1,units!$1:$1,0)-COLUMN(INDIRECT("character_id"))+1),MATCH(C$1,units!$1:$1,0)-COLUMN(INDIRECT("character_id"))+1,FALSE)</f>
        <v>砕棒のガエル</v>
      </c>
      <c r="D324" s="31">
        <f ca="1">VLOOKUP($B324,OFFSET(units!$A$1,0,0,COUNTA(units!$A:$A),MATCH(D$1,units!$1:$1,0)-COLUMN(INDIRECT("character_id"))+1),MATCH(D$1,units!$1:$1,0)-COLUMN(INDIRECT("character_id"))+1,FALSE)</f>
        <v>4</v>
      </c>
      <c r="E324" s="31" t="str">
        <f ca="1">VLOOKUP($B324,OFFSET(units!$A$1,0,0,COUNTA(units!$A:$A),MATCH(E$1,units!$1:$1,0)-COLUMN(INDIRECT("character_id"))+1),MATCH(E$1,units!$1:$1,0)-COLUMN(INDIRECT("character_id"))+1,FALSE)</f>
        <v>Drop2N</v>
      </c>
      <c r="F324" s="56">
        <v>116</v>
      </c>
      <c r="G324" s="31" t="str">
        <f ca="1">VLOOKUP($F324,OFFSET(units!$A$1,0,0,COUNTA(units!$A:$A),MATCH(G$1,units!$1:$1,0)-COLUMN(INDIRECT("character_id"))+1),MATCH(G$1,units!$1:$1,0)-COLUMN(INDIRECT("character_id"))+1,FALSE)</f>
        <v>雷のマッドハッター</v>
      </c>
      <c r="H324" s="26">
        <v>1</v>
      </c>
      <c r="I324" s="202">
        <v>1</v>
      </c>
    </row>
    <row r="325" spans="1:9" x14ac:dyDescent="0.15">
      <c r="A325" s="96" t="str">
        <f t="shared" si="5"/>
        <v>274_115</v>
      </c>
      <c r="B325" s="56">
        <f>B324</f>
        <v>274</v>
      </c>
      <c r="C325" s="31" t="str">
        <f ca="1">VLOOKUP($B325,OFFSET(units!$A$1,0,0,COUNTA(units!$A:$A),MATCH(C$1,units!$1:$1,0)-COLUMN(INDIRECT("character_id"))+1),MATCH(C$1,units!$1:$1,0)-COLUMN(INDIRECT("character_id"))+1,FALSE)</f>
        <v>砕棒のガエル</v>
      </c>
      <c r="D325" s="31">
        <f ca="1">VLOOKUP($B325,OFFSET(units!$A$1,0,0,COUNTA(units!$A:$A),MATCH(D$1,units!$1:$1,0)-COLUMN(INDIRECT("character_id"))+1),MATCH(D$1,units!$1:$1,0)-COLUMN(INDIRECT("character_id"))+1,FALSE)</f>
        <v>4</v>
      </c>
      <c r="E325" s="31" t="str">
        <f ca="1">VLOOKUP($B325,OFFSET(units!$A$1,0,0,COUNTA(units!$A:$A),MATCH(E$1,units!$1:$1,0)-COLUMN(INDIRECT("character_id"))+1),MATCH(E$1,units!$1:$1,0)-COLUMN(INDIRECT("character_id"))+1,FALSE)</f>
        <v>Drop2N</v>
      </c>
      <c r="F325" s="56">
        <f>F324-1</f>
        <v>115</v>
      </c>
      <c r="G325" s="31" t="str">
        <f ca="1">VLOOKUP($F325,OFFSET(units!$A$1,0,0,COUNTA(units!$A:$A),MATCH(G$1,units!$1:$1,0)-COLUMN(INDIRECT("character_id"))+1),MATCH(G$1,units!$1:$1,0)-COLUMN(INDIRECT("character_id"))+1,FALSE)</f>
        <v>イエローキャタップ</v>
      </c>
      <c r="H325" s="26">
        <v>1</v>
      </c>
      <c r="I325" s="202">
        <v>1</v>
      </c>
    </row>
    <row r="326" spans="1:9" x14ac:dyDescent="0.15">
      <c r="A326" s="96" t="str">
        <f t="shared" si="5"/>
        <v>274_114</v>
      </c>
      <c r="B326" s="59">
        <v>274</v>
      </c>
      <c r="C326" s="31" t="str">
        <f ca="1">VLOOKUP($B326,OFFSET(units!$A$1,0,0,COUNTA(units!$A:$A),MATCH(C$1,units!$1:$1,0)-COLUMN(INDIRECT("character_id"))+1),MATCH(C$1,units!$1:$1,0)-COLUMN(INDIRECT("character_id"))+1,FALSE)</f>
        <v>砕棒のガエル</v>
      </c>
      <c r="D326" s="31">
        <f ca="1">VLOOKUP($B326,OFFSET(units!$A$1,0,0,COUNTA(units!$A:$A),MATCH(D$1,units!$1:$1,0)-COLUMN(INDIRECT("character_id"))+1),MATCH(D$1,units!$1:$1,0)-COLUMN(INDIRECT("character_id"))+1,FALSE)</f>
        <v>4</v>
      </c>
      <c r="E326" s="31" t="str">
        <f ca="1">VLOOKUP($B326,OFFSET(units!$A$1,0,0,COUNTA(units!$A:$A),MATCH(E$1,units!$1:$1,0)-COLUMN(INDIRECT("character_id"))+1),MATCH(E$1,units!$1:$1,0)-COLUMN(INDIRECT("character_id"))+1,FALSE)</f>
        <v>Drop2N</v>
      </c>
      <c r="F326" s="56">
        <f>F325-1</f>
        <v>114</v>
      </c>
      <c r="G326" s="31" t="str">
        <f ca="1">VLOOKUP($F326,OFFSET(units!$A$1,0,0,COUNTA(units!$A:$A),MATCH(G$1,units!$1:$1,0)-COLUMN(INDIRECT("character_id"))+1),MATCH(G$1,units!$1:$1,0)-COLUMN(INDIRECT("character_id"))+1,FALSE)</f>
        <v>イエローラビット</v>
      </c>
      <c r="H326" s="26">
        <v>2</v>
      </c>
      <c r="I326" s="202">
        <v>1</v>
      </c>
    </row>
    <row r="327" spans="1:9" x14ac:dyDescent="0.15">
      <c r="A327" s="96" t="str">
        <f t="shared" si="5"/>
        <v>274_113</v>
      </c>
      <c r="B327" s="56">
        <f>B326</f>
        <v>274</v>
      </c>
      <c r="C327" s="31" t="str">
        <f ca="1">VLOOKUP($B327,OFFSET(units!$A$1,0,0,COUNTA(units!$A:$A),MATCH(C$1,units!$1:$1,0)-COLUMN(INDIRECT("character_id"))+1),MATCH(C$1,units!$1:$1,0)-COLUMN(INDIRECT("character_id"))+1,FALSE)</f>
        <v>砕棒のガエル</v>
      </c>
      <c r="D327" s="31">
        <f ca="1">VLOOKUP($B327,OFFSET(units!$A$1,0,0,COUNTA(units!$A:$A),MATCH(D$1,units!$1:$1,0)-COLUMN(INDIRECT("character_id"))+1),MATCH(D$1,units!$1:$1,0)-COLUMN(INDIRECT("character_id"))+1,FALSE)</f>
        <v>4</v>
      </c>
      <c r="E327" s="31" t="str">
        <f ca="1">VLOOKUP($B327,OFFSET(units!$A$1,0,0,COUNTA(units!$A:$A),MATCH(E$1,units!$1:$1,0)-COLUMN(INDIRECT("character_id"))+1),MATCH(E$1,units!$1:$1,0)-COLUMN(INDIRECT("character_id"))+1,FALSE)</f>
        <v>Drop2N</v>
      </c>
      <c r="F327" s="56">
        <f>F326-1</f>
        <v>113</v>
      </c>
      <c r="G327" s="31" t="str">
        <f ca="1">VLOOKUP($F327,OFFSET(units!$A$1,0,0,COUNTA(units!$A:$A),MATCH(G$1,units!$1:$1,0)-COLUMN(INDIRECT("character_id"))+1),MATCH(G$1,units!$1:$1,0)-COLUMN(INDIRECT("character_id"))+1,FALSE)</f>
        <v>イエローチェシャ</v>
      </c>
      <c r="H327" s="26">
        <v>1</v>
      </c>
      <c r="I327" s="202">
        <v>1</v>
      </c>
    </row>
    <row r="328" spans="1:9" x14ac:dyDescent="0.15">
      <c r="A328" s="96" t="str">
        <f t="shared" si="5"/>
        <v>276_104</v>
      </c>
      <c r="B328" s="59">
        <v>276</v>
      </c>
      <c r="C328" s="31" t="str">
        <f ca="1">VLOOKUP($B328,OFFSET(units!$A$1,0,0,COUNTA(units!$A:$A),MATCH(C$1,units!$1:$1,0)-COLUMN(INDIRECT("character_id"))+1),MATCH(C$1,units!$1:$1,0)-COLUMN(INDIRECT("character_id"))+1,FALSE)</f>
        <v>機拳のイリア</v>
      </c>
      <c r="D328" s="31">
        <f ca="1">VLOOKUP($B328,OFFSET(units!$A$1,0,0,COUNTA(units!$A:$A),MATCH(D$1,units!$1:$1,0)-COLUMN(INDIRECT("character_id"))+1),MATCH(D$1,units!$1:$1,0)-COLUMN(INDIRECT("character_id"))+1,FALSE)</f>
        <v>4</v>
      </c>
      <c r="E328" s="31" t="str">
        <f ca="1">VLOOKUP($B328,OFFSET(units!$A$1,0,0,COUNTA(units!$A:$A),MATCH(E$1,units!$1:$1,0)-COLUMN(INDIRECT("character_id"))+1),MATCH(E$1,units!$1:$1,0)-COLUMN(INDIRECT("character_id"))+1,FALSE)</f>
        <v>Drop2N</v>
      </c>
      <c r="F328" s="56">
        <v>104</v>
      </c>
      <c r="G328" s="31" t="str">
        <f ca="1">VLOOKUP($F328,OFFSET(units!$A$1,0,0,COUNTA(units!$A:$A),MATCH(G$1,units!$1:$1,0)-COLUMN(INDIRECT("character_id"))+1),MATCH(G$1,units!$1:$1,0)-COLUMN(INDIRECT("character_id"))+1,FALSE)</f>
        <v>炎のマッドハッター</v>
      </c>
      <c r="H328" s="26">
        <v>1</v>
      </c>
      <c r="I328" s="202">
        <v>1</v>
      </c>
    </row>
    <row r="329" spans="1:9" x14ac:dyDescent="0.15">
      <c r="A329" s="96" t="str">
        <f t="shared" si="5"/>
        <v>276_103</v>
      </c>
      <c r="B329" s="56">
        <f>B328</f>
        <v>276</v>
      </c>
      <c r="C329" s="31" t="str">
        <f ca="1">VLOOKUP($B329,OFFSET(units!$A$1,0,0,COUNTA(units!$A:$A),MATCH(C$1,units!$1:$1,0)-COLUMN(INDIRECT("character_id"))+1),MATCH(C$1,units!$1:$1,0)-COLUMN(INDIRECT("character_id"))+1,FALSE)</f>
        <v>機拳のイリア</v>
      </c>
      <c r="D329" s="31">
        <f ca="1">VLOOKUP($B329,OFFSET(units!$A$1,0,0,COUNTA(units!$A:$A),MATCH(D$1,units!$1:$1,0)-COLUMN(INDIRECT("character_id"))+1),MATCH(D$1,units!$1:$1,0)-COLUMN(INDIRECT("character_id"))+1,FALSE)</f>
        <v>4</v>
      </c>
      <c r="E329" s="31" t="str">
        <f ca="1">VLOOKUP($B329,OFFSET(units!$A$1,0,0,COUNTA(units!$A:$A),MATCH(E$1,units!$1:$1,0)-COLUMN(INDIRECT("character_id"))+1),MATCH(E$1,units!$1:$1,0)-COLUMN(INDIRECT("character_id"))+1,FALSE)</f>
        <v>Drop2N</v>
      </c>
      <c r="F329" s="56">
        <f>F328-1</f>
        <v>103</v>
      </c>
      <c r="G329" s="31" t="str">
        <f ca="1">VLOOKUP($F329,OFFSET(units!$A$1,0,0,COUNTA(units!$A:$A),MATCH(G$1,units!$1:$1,0)-COLUMN(INDIRECT("character_id"))+1),MATCH(G$1,units!$1:$1,0)-COLUMN(INDIRECT("character_id"))+1,FALSE)</f>
        <v>レッドキャタップ</v>
      </c>
      <c r="H329" s="26">
        <v>1</v>
      </c>
      <c r="I329" s="202">
        <v>1</v>
      </c>
    </row>
    <row r="330" spans="1:9" x14ac:dyDescent="0.15">
      <c r="A330" s="96" t="str">
        <f t="shared" si="5"/>
        <v>276_102</v>
      </c>
      <c r="B330" s="59">
        <v>276</v>
      </c>
      <c r="C330" s="31" t="str">
        <f ca="1">VLOOKUP($B330,OFFSET(units!$A$1,0,0,COUNTA(units!$A:$A),MATCH(C$1,units!$1:$1,0)-COLUMN(INDIRECT("character_id"))+1),MATCH(C$1,units!$1:$1,0)-COLUMN(INDIRECT("character_id"))+1,FALSE)</f>
        <v>機拳のイリア</v>
      </c>
      <c r="D330" s="31">
        <f ca="1">VLOOKUP($B330,OFFSET(units!$A$1,0,0,COUNTA(units!$A:$A),MATCH(D$1,units!$1:$1,0)-COLUMN(INDIRECT("character_id"))+1),MATCH(D$1,units!$1:$1,0)-COLUMN(INDIRECT("character_id"))+1,FALSE)</f>
        <v>4</v>
      </c>
      <c r="E330" s="31" t="str">
        <f ca="1">VLOOKUP($B330,OFFSET(units!$A$1,0,0,COUNTA(units!$A:$A),MATCH(E$1,units!$1:$1,0)-COLUMN(INDIRECT("character_id"))+1),MATCH(E$1,units!$1:$1,0)-COLUMN(INDIRECT("character_id"))+1,FALSE)</f>
        <v>Drop2N</v>
      </c>
      <c r="F330" s="56">
        <f>F329-1</f>
        <v>102</v>
      </c>
      <c r="G330" s="31" t="str">
        <f ca="1">VLOOKUP($F330,OFFSET(units!$A$1,0,0,COUNTA(units!$A:$A),MATCH(G$1,units!$1:$1,0)-COLUMN(INDIRECT("character_id"))+1),MATCH(G$1,units!$1:$1,0)-COLUMN(INDIRECT("character_id"))+1,FALSE)</f>
        <v>レッドラビット</v>
      </c>
      <c r="H330" s="26">
        <v>2</v>
      </c>
      <c r="I330" s="202">
        <v>1</v>
      </c>
    </row>
    <row r="331" spans="1:9" x14ac:dyDescent="0.15">
      <c r="A331" s="96" t="str">
        <f t="shared" si="5"/>
        <v>276_101</v>
      </c>
      <c r="B331" s="56">
        <f>B330</f>
        <v>276</v>
      </c>
      <c r="C331" s="31" t="str">
        <f ca="1">VLOOKUP($B331,OFFSET(units!$A$1,0,0,COUNTA(units!$A:$A),MATCH(C$1,units!$1:$1,0)-COLUMN(INDIRECT("character_id"))+1),MATCH(C$1,units!$1:$1,0)-COLUMN(INDIRECT("character_id"))+1,FALSE)</f>
        <v>機拳のイリア</v>
      </c>
      <c r="D331" s="31">
        <f ca="1">VLOOKUP($B331,OFFSET(units!$A$1,0,0,COUNTA(units!$A:$A),MATCH(D$1,units!$1:$1,0)-COLUMN(INDIRECT("character_id"))+1),MATCH(D$1,units!$1:$1,0)-COLUMN(INDIRECT("character_id"))+1,FALSE)</f>
        <v>4</v>
      </c>
      <c r="E331" s="31" t="str">
        <f ca="1">VLOOKUP($B331,OFFSET(units!$A$1,0,0,COUNTA(units!$A:$A),MATCH(E$1,units!$1:$1,0)-COLUMN(INDIRECT("character_id"))+1),MATCH(E$1,units!$1:$1,0)-COLUMN(INDIRECT("character_id"))+1,FALSE)</f>
        <v>Drop2N</v>
      </c>
      <c r="F331" s="56">
        <f>F330-1</f>
        <v>101</v>
      </c>
      <c r="G331" s="31" t="str">
        <f ca="1">VLOOKUP($F331,OFFSET(units!$A$1,0,0,COUNTA(units!$A:$A),MATCH(G$1,units!$1:$1,0)-COLUMN(INDIRECT("character_id"))+1),MATCH(G$1,units!$1:$1,0)-COLUMN(INDIRECT("character_id"))+1,FALSE)</f>
        <v>レッドチェシャ</v>
      </c>
      <c r="H331" s="26">
        <v>1</v>
      </c>
      <c r="I331" s="202">
        <v>1</v>
      </c>
    </row>
    <row r="332" spans="1:9" x14ac:dyDescent="0.15">
      <c r="A332" s="96" t="str">
        <f t="shared" si="5"/>
        <v>278_104</v>
      </c>
      <c r="B332" s="59">
        <v>278</v>
      </c>
      <c r="C332" s="31" t="str">
        <f ca="1">VLOOKUP($B332,OFFSET(units!$A$1,0,0,COUNTA(units!$A:$A),MATCH(C$1,units!$1:$1,0)-COLUMN(INDIRECT("character_id"))+1),MATCH(C$1,units!$1:$1,0)-COLUMN(INDIRECT("character_id"))+1,FALSE)</f>
        <v>アマテラス</v>
      </c>
      <c r="D332" s="31">
        <f ca="1">VLOOKUP($B332,OFFSET(units!$A$1,0,0,COUNTA(units!$A:$A),MATCH(D$1,units!$1:$1,0)-COLUMN(INDIRECT("character_id"))+1),MATCH(D$1,units!$1:$1,0)-COLUMN(INDIRECT("character_id"))+1,FALSE)</f>
        <v>4</v>
      </c>
      <c r="E332" s="31" t="str">
        <f ca="1">VLOOKUP($B332,OFFSET(units!$A$1,0,0,COUNTA(units!$A:$A),MATCH(E$1,units!$1:$1,0)-COLUMN(INDIRECT("character_id"))+1),MATCH(E$1,units!$1:$1,0)-COLUMN(INDIRECT("character_id"))+1,FALSE)</f>
        <v>DropWizS</v>
      </c>
      <c r="F332" s="56">
        <v>104</v>
      </c>
      <c r="G332" s="31" t="str">
        <f ca="1">VLOOKUP($F332,OFFSET(units!$A$1,0,0,COUNTA(units!$A:$A),MATCH(G$1,units!$1:$1,0)-COLUMN(INDIRECT("character_id"))+1),MATCH(G$1,units!$1:$1,0)-COLUMN(INDIRECT("character_id"))+1,FALSE)</f>
        <v>炎のマッドハッター</v>
      </c>
      <c r="H332" s="26">
        <v>3</v>
      </c>
      <c r="I332" s="202">
        <v>1</v>
      </c>
    </row>
    <row r="333" spans="1:9" x14ac:dyDescent="0.15">
      <c r="A333" s="96" t="str">
        <f t="shared" si="5"/>
        <v>278_103</v>
      </c>
      <c r="B333" s="56">
        <f>B332</f>
        <v>278</v>
      </c>
      <c r="C333" s="31" t="str">
        <f ca="1">VLOOKUP($B333,OFFSET(units!$A$1,0,0,COUNTA(units!$A:$A),MATCH(C$1,units!$1:$1,0)-COLUMN(INDIRECT("character_id"))+1),MATCH(C$1,units!$1:$1,0)-COLUMN(INDIRECT("character_id"))+1,FALSE)</f>
        <v>アマテラス</v>
      </c>
      <c r="D333" s="31">
        <f ca="1">VLOOKUP($B333,OFFSET(units!$A$1,0,0,COUNTA(units!$A:$A),MATCH(D$1,units!$1:$1,0)-COLUMN(INDIRECT("character_id"))+1),MATCH(D$1,units!$1:$1,0)-COLUMN(INDIRECT("character_id"))+1,FALSE)</f>
        <v>4</v>
      </c>
      <c r="E333" s="31" t="str">
        <f ca="1">VLOOKUP($B333,OFFSET(units!$A$1,0,0,COUNTA(units!$A:$A),MATCH(E$1,units!$1:$1,0)-COLUMN(INDIRECT("character_id"))+1),MATCH(E$1,units!$1:$1,0)-COLUMN(INDIRECT("character_id"))+1,FALSE)</f>
        <v>DropWizS</v>
      </c>
      <c r="F333" s="56">
        <f>F332-1</f>
        <v>103</v>
      </c>
      <c r="G333" s="31" t="str">
        <f ca="1">VLOOKUP($F333,OFFSET(units!$A$1,0,0,COUNTA(units!$A:$A),MATCH(G$1,units!$1:$1,0)-COLUMN(INDIRECT("character_id"))+1),MATCH(G$1,units!$1:$1,0)-COLUMN(INDIRECT("character_id"))+1,FALSE)</f>
        <v>レッドキャタップ</v>
      </c>
      <c r="H333" s="26">
        <f>H332-1</f>
        <v>2</v>
      </c>
      <c r="I333" s="202">
        <v>1</v>
      </c>
    </row>
    <row r="334" spans="1:9" x14ac:dyDescent="0.15">
      <c r="A334" s="96" t="str">
        <f t="shared" si="5"/>
        <v>280_280</v>
      </c>
      <c r="B334" s="59">
        <v>280</v>
      </c>
      <c r="C334" s="31" t="str">
        <f ca="1">VLOOKUP($B334,OFFSET(units!$A$1,0,0,COUNTA(units!$A:$A),MATCH(C$1,units!$1:$1,0)-COLUMN(INDIRECT("character_id"))+1),MATCH(C$1,units!$1:$1,0)-COLUMN(INDIRECT("character_id"))+1,FALSE)</f>
        <v>リンドブルム</v>
      </c>
      <c r="D334" s="31">
        <f ca="1">VLOOKUP($B334,OFFSET(units!$A$1,0,0,COUNTA(units!$A:$A),MATCH(D$1,units!$1:$1,0)-COLUMN(INDIRECT("character_id"))+1),MATCH(D$1,units!$1:$1,0)-COLUMN(INDIRECT("character_id"))+1,FALSE)</f>
        <v>3</v>
      </c>
      <c r="E334" s="31" t="str">
        <f ca="1">VLOOKUP($B334,OFFSET(units!$A$1,0,0,COUNTA(units!$A:$A),MATCH(E$1,units!$1:$1,0)-COLUMN(INDIRECT("character_id"))+1),MATCH(E$1,units!$1:$1,0)-COLUMN(INDIRECT("character_id"))+1,FALSE)</f>
        <v>Drop2W</v>
      </c>
      <c r="F334" s="56">
        <v>280</v>
      </c>
      <c r="G334" s="31" t="str">
        <f ca="1">VLOOKUP($F334,OFFSET(units!$A$1,0,0,COUNTA(units!$A:$A),MATCH(G$1,units!$1:$1,0)-COLUMN(INDIRECT("character_id"))+1),MATCH(G$1,units!$1:$1,0)-COLUMN(INDIRECT("character_id"))+1,FALSE)</f>
        <v>リンドブルム</v>
      </c>
      <c r="H334" s="26">
        <v>3</v>
      </c>
      <c r="I334" s="202">
        <v>1</v>
      </c>
    </row>
    <row r="335" spans="1:9" x14ac:dyDescent="0.15">
      <c r="A335" s="96" t="str">
        <f t="shared" si="5"/>
        <v>282_282</v>
      </c>
      <c r="B335" s="59">
        <v>282</v>
      </c>
      <c r="C335" s="31" t="str">
        <f ca="1">VLOOKUP($B335,OFFSET(units!$A$1,0,0,COUNTA(units!$A:$A),MATCH(C$1,units!$1:$1,0)-COLUMN(INDIRECT("character_id"))+1),MATCH(C$1,units!$1:$1,0)-COLUMN(INDIRECT("character_id"))+1,FALSE)</f>
        <v>ラーフ</v>
      </c>
      <c r="D335" s="31">
        <f ca="1">VLOOKUP($B335,OFFSET(units!$A$1,0,0,COUNTA(units!$A:$A),MATCH(D$1,units!$1:$1,0)-COLUMN(INDIRECT("character_id"))+1),MATCH(D$1,units!$1:$1,0)-COLUMN(INDIRECT("character_id"))+1,FALSE)</f>
        <v>3</v>
      </c>
      <c r="E335" s="31" t="str">
        <f ca="1">VLOOKUP($B335,OFFSET(units!$A$1,0,0,COUNTA(units!$A:$A),MATCH(E$1,units!$1:$1,0)-COLUMN(INDIRECT("character_id"))+1),MATCH(E$1,units!$1:$1,0)-COLUMN(INDIRECT("character_id"))+1,FALSE)</f>
        <v>Drop2W</v>
      </c>
      <c r="F335" s="56">
        <v>282</v>
      </c>
      <c r="G335" s="31" t="str">
        <f ca="1">VLOOKUP($F335,OFFSET(units!$A$1,0,0,COUNTA(units!$A:$A),MATCH(G$1,units!$1:$1,0)-COLUMN(INDIRECT("character_id"))+1),MATCH(G$1,units!$1:$1,0)-COLUMN(INDIRECT("character_id"))+1,FALSE)</f>
        <v>ラーフ</v>
      </c>
      <c r="H335" s="26">
        <v>3</v>
      </c>
      <c r="I335" s="202">
        <v>1</v>
      </c>
    </row>
    <row r="336" spans="1:9" x14ac:dyDescent="0.15">
      <c r="A336" s="96" t="str">
        <f t="shared" si="5"/>
        <v>284_284</v>
      </c>
      <c r="B336" s="59">
        <v>284</v>
      </c>
      <c r="C336" s="31" t="str">
        <f ca="1">VLOOKUP($B336,OFFSET(units!$A$1,0,0,COUNTA(units!$A:$A),MATCH(C$1,units!$1:$1,0)-COLUMN(INDIRECT("character_id"))+1),MATCH(C$1,units!$1:$1,0)-COLUMN(INDIRECT("character_id"))+1,FALSE)</f>
        <v>フェルニゲシュ</v>
      </c>
      <c r="D336" s="31">
        <f ca="1">VLOOKUP($B336,OFFSET(units!$A$1,0,0,COUNTA(units!$A:$A),MATCH(D$1,units!$1:$1,0)-COLUMN(INDIRECT("character_id"))+1),MATCH(D$1,units!$1:$1,0)-COLUMN(INDIRECT("character_id"))+1,FALSE)</f>
        <v>3</v>
      </c>
      <c r="E336" s="31" t="str">
        <f ca="1">VLOOKUP($B336,OFFSET(units!$A$1,0,0,COUNTA(units!$A:$A),MATCH(E$1,units!$1:$1,0)-COLUMN(INDIRECT("character_id"))+1),MATCH(E$1,units!$1:$1,0)-COLUMN(INDIRECT("character_id"))+1,FALSE)</f>
        <v>Drop2W</v>
      </c>
      <c r="F336" s="56">
        <v>284</v>
      </c>
      <c r="G336" s="31" t="str">
        <f ca="1">VLOOKUP($F336,OFFSET(units!$A$1,0,0,COUNTA(units!$A:$A),MATCH(G$1,units!$1:$1,0)-COLUMN(INDIRECT("character_id"))+1),MATCH(G$1,units!$1:$1,0)-COLUMN(INDIRECT("character_id"))+1,FALSE)</f>
        <v>フェルニゲシュ</v>
      </c>
      <c r="H336" s="26">
        <v>3</v>
      </c>
      <c r="I336" s="202">
        <v>1</v>
      </c>
    </row>
    <row r="337" spans="1:9" x14ac:dyDescent="0.15">
      <c r="A337" s="96" t="str">
        <f t="shared" si="5"/>
        <v>286_286</v>
      </c>
      <c r="B337" s="59">
        <v>286</v>
      </c>
      <c r="C337" s="31" t="str">
        <f ca="1">VLOOKUP($B337,OFFSET(units!$A$1,0,0,COUNTA(units!$A:$A),MATCH(C$1,units!$1:$1,0)-COLUMN(INDIRECT("character_id"))+1),MATCH(C$1,units!$1:$1,0)-COLUMN(INDIRECT("character_id"))+1,FALSE)</f>
        <v>ヒュドラ</v>
      </c>
      <c r="D337" s="31">
        <f ca="1">VLOOKUP($B337,OFFSET(units!$A$1,0,0,COUNTA(units!$A:$A),MATCH(D$1,units!$1:$1,0)-COLUMN(INDIRECT("character_id"))+1),MATCH(D$1,units!$1:$1,0)-COLUMN(INDIRECT("character_id"))+1,FALSE)</f>
        <v>3</v>
      </c>
      <c r="E337" s="31" t="str">
        <f ca="1">VLOOKUP($B337,OFFSET(units!$A$1,0,0,COUNTA(units!$A:$A),MATCH(E$1,units!$1:$1,0)-COLUMN(INDIRECT("character_id"))+1),MATCH(E$1,units!$1:$1,0)-COLUMN(INDIRECT("character_id"))+1,FALSE)</f>
        <v>Drop2W</v>
      </c>
      <c r="F337" s="56">
        <v>286</v>
      </c>
      <c r="G337" s="31" t="str">
        <f ca="1">VLOOKUP($F337,OFFSET(units!$A$1,0,0,COUNTA(units!$A:$A),MATCH(G$1,units!$1:$1,0)-COLUMN(INDIRECT("character_id"))+1),MATCH(G$1,units!$1:$1,0)-COLUMN(INDIRECT("character_id"))+1,FALSE)</f>
        <v>ヒュドラ</v>
      </c>
      <c r="H337" s="26">
        <v>3</v>
      </c>
      <c r="I337" s="202">
        <v>1</v>
      </c>
    </row>
    <row r="338" spans="1:9" x14ac:dyDescent="0.15">
      <c r="A338" s="96" t="str">
        <f t="shared" si="5"/>
        <v>288_116</v>
      </c>
      <c r="B338" s="59">
        <v>288</v>
      </c>
      <c r="C338" s="31" t="str">
        <f ca="1">VLOOKUP($B338,OFFSET(units!$A$1,0,0,COUNTA(units!$A:$A),MATCH(C$1,units!$1:$1,0)-COLUMN(INDIRECT("character_id"))+1),MATCH(C$1,units!$1:$1,0)-COLUMN(INDIRECT("character_id"))+1,FALSE)</f>
        <v>ミカド</v>
      </c>
      <c r="D338" s="31">
        <f ca="1">VLOOKUP($B338,OFFSET(units!$A$1,0,0,COUNTA(units!$A:$A),MATCH(D$1,units!$1:$1,0)-COLUMN(INDIRECT("character_id"))+1),MATCH(D$1,units!$1:$1,0)-COLUMN(INDIRECT("character_id"))+1,FALSE)</f>
        <v>4</v>
      </c>
      <c r="E338" s="31" t="str">
        <f ca="1">VLOOKUP($B338,OFFSET(units!$A$1,0,0,COUNTA(units!$A:$A),MATCH(E$1,units!$1:$1,0)-COLUMN(INDIRECT("character_id"))+1),MATCH(E$1,units!$1:$1,0)-COLUMN(INDIRECT("character_id"))+1,FALSE)</f>
        <v>Drop2N</v>
      </c>
      <c r="F338" s="56">
        <v>116</v>
      </c>
      <c r="G338" s="31" t="str">
        <f ca="1">VLOOKUP($F338,OFFSET(units!$A$1,0,0,COUNTA(units!$A:$A),MATCH(G$1,units!$1:$1,0)-COLUMN(INDIRECT("character_id"))+1),MATCH(G$1,units!$1:$1,0)-COLUMN(INDIRECT("character_id"))+1,FALSE)</f>
        <v>雷のマッドハッター</v>
      </c>
      <c r="H338" s="26">
        <v>1</v>
      </c>
      <c r="I338" s="202">
        <v>1</v>
      </c>
    </row>
    <row r="339" spans="1:9" x14ac:dyDescent="0.15">
      <c r="A339" s="96" t="str">
        <f t="shared" si="5"/>
        <v>288_115</v>
      </c>
      <c r="B339" s="59">
        <v>288</v>
      </c>
      <c r="C339" s="31" t="str">
        <f ca="1">VLOOKUP($B339,OFFSET(units!$A$1,0,0,COUNTA(units!$A:$A),MATCH(C$1,units!$1:$1,0)-COLUMN(INDIRECT("character_id"))+1),MATCH(C$1,units!$1:$1,0)-COLUMN(INDIRECT("character_id"))+1,FALSE)</f>
        <v>ミカド</v>
      </c>
      <c r="D339" s="31">
        <f ca="1">VLOOKUP($B339,OFFSET(units!$A$1,0,0,COUNTA(units!$A:$A),MATCH(D$1,units!$1:$1,0)-COLUMN(INDIRECT("character_id"))+1),MATCH(D$1,units!$1:$1,0)-COLUMN(INDIRECT("character_id"))+1,FALSE)</f>
        <v>4</v>
      </c>
      <c r="E339" s="31" t="str">
        <f ca="1">VLOOKUP($B339,OFFSET(units!$A$1,0,0,COUNTA(units!$A:$A),MATCH(E$1,units!$1:$1,0)-COLUMN(INDIRECT("character_id"))+1),MATCH(E$1,units!$1:$1,0)-COLUMN(INDIRECT("character_id"))+1,FALSE)</f>
        <v>Drop2N</v>
      </c>
      <c r="F339" s="56">
        <f>F338-1</f>
        <v>115</v>
      </c>
      <c r="G339" s="31" t="str">
        <f ca="1">VLOOKUP($F339,OFFSET(units!$A$1,0,0,COUNTA(units!$A:$A),MATCH(G$1,units!$1:$1,0)-COLUMN(INDIRECT("character_id"))+1),MATCH(G$1,units!$1:$1,0)-COLUMN(INDIRECT("character_id"))+1,FALSE)</f>
        <v>イエローキャタップ</v>
      </c>
      <c r="H339" s="26">
        <v>1</v>
      </c>
      <c r="I339" s="202">
        <v>1</v>
      </c>
    </row>
    <row r="340" spans="1:9" x14ac:dyDescent="0.15">
      <c r="A340" s="96" t="str">
        <f t="shared" si="5"/>
        <v>288_114</v>
      </c>
      <c r="B340" s="59">
        <v>288</v>
      </c>
      <c r="C340" s="31" t="str">
        <f ca="1">VLOOKUP($B340,OFFSET(units!$A$1,0,0,COUNTA(units!$A:$A),MATCH(C$1,units!$1:$1,0)-COLUMN(INDIRECT("character_id"))+1),MATCH(C$1,units!$1:$1,0)-COLUMN(INDIRECT("character_id"))+1,FALSE)</f>
        <v>ミカド</v>
      </c>
      <c r="D340" s="31">
        <f ca="1">VLOOKUP($B340,OFFSET(units!$A$1,0,0,COUNTA(units!$A:$A),MATCH(D$1,units!$1:$1,0)-COLUMN(INDIRECT("character_id"))+1),MATCH(D$1,units!$1:$1,0)-COLUMN(INDIRECT("character_id"))+1,FALSE)</f>
        <v>4</v>
      </c>
      <c r="E340" s="31" t="str">
        <f ca="1">VLOOKUP($B340,OFFSET(units!$A$1,0,0,COUNTA(units!$A:$A),MATCH(E$1,units!$1:$1,0)-COLUMN(INDIRECT("character_id"))+1),MATCH(E$1,units!$1:$1,0)-COLUMN(INDIRECT("character_id"))+1,FALSE)</f>
        <v>Drop2N</v>
      </c>
      <c r="F340" s="56">
        <f>F339-1</f>
        <v>114</v>
      </c>
      <c r="G340" s="31" t="str">
        <f ca="1">VLOOKUP($F340,OFFSET(units!$A$1,0,0,COUNTA(units!$A:$A),MATCH(G$1,units!$1:$1,0)-COLUMN(INDIRECT("character_id"))+1),MATCH(G$1,units!$1:$1,0)-COLUMN(INDIRECT("character_id"))+1,FALSE)</f>
        <v>イエローラビット</v>
      </c>
      <c r="H340" s="26">
        <v>2</v>
      </c>
      <c r="I340" s="202">
        <v>1</v>
      </c>
    </row>
    <row r="341" spans="1:9" x14ac:dyDescent="0.15">
      <c r="A341" s="96" t="str">
        <f t="shared" si="5"/>
        <v>288_113</v>
      </c>
      <c r="B341" s="59">
        <v>288</v>
      </c>
      <c r="C341" s="31" t="str">
        <f ca="1">VLOOKUP($B341,OFFSET(units!$A$1,0,0,COUNTA(units!$A:$A),MATCH(C$1,units!$1:$1,0)-COLUMN(INDIRECT("character_id"))+1),MATCH(C$1,units!$1:$1,0)-COLUMN(INDIRECT("character_id"))+1,FALSE)</f>
        <v>ミカド</v>
      </c>
      <c r="D341" s="31">
        <f ca="1">VLOOKUP($B341,OFFSET(units!$A$1,0,0,COUNTA(units!$A:$A),MATCH(D$1,units!$1:$1,0)-COLUMN(INDIRECT("character_id"))+1),MATCH(D$1,units!$1:$1,0)-COLUMN(INDIRECT("character_id"))+1,FALSE)</f>
        <v>4</v>
      </c>
      <c r="E341" s="31" t="str">
        <f ca="1">VLOOKUP($B341,OFFSET(units!$A$1,0,0,COUNTA(units!$A:$A),MATCH(E$1,units!$1:$1,0)-COLUMN(INDIRECT("character_id"))+1),MATCH(E$1,units!$1:$1,0)-COLUMN(INDIRECT("character_id"))+1,FALSE)</f>
        <v>Drop2N</v>
      </c>
      <c r="F341" s="56">
        <f>F340-1</f>
        <v>113</v>
      </c>
      <c r="G341" s="31" t="str">
        <f ca="1">VLOOKUP($F341,OFFSET(units!$A$1,0,0,COUNTA(units!$A:$A),MATCH(G$1,units!$1:$1,0)-COLUMN(INDIRECT("character_id"))+1),MATCH(G$1,units!$1:$1,0)-COLUMN(INDIRECT("character_id"))+1,FALSE)</f>
        <v>イエローチェシャ</v>
      </c>
      <c r="H341" s="26">
        <v>1</v>
      </c>
      <c r="I341" s="202">
        <v>1</v>
      </c>
    </row>
    <row r="342" spans="1:9" x14ac:dyDescent="0.15">
      <c r="A342" s="96" t="str">
        <f t="shared" si="5"/>
        <v>290_104</v>
      </c>
      <c r="B342" s="59">
        <v>290</v>
      </c>
      <c r="C342" s="31" t="str">
        <f ca="1">VLOOKUP($B342,OFFSET(units!$A$1,0,0,COUNTA(units!$A:$A),MATCH(C$1,units!$1:$1,0)-COLUMN(INDIRECT("character_id"))+1),MATCH(C$1,units!$1:$1,0)-COLUMN(INDIRECT("character_id"))+1,FALSE)</f>
        <v>ウィッチ・オクトパス</v>
      </c>
      <c r="D342" s="31">
        <f ca="1">VLOOKUP($B342,OFFSET(units!$A$1,0,0,COUNTA(units!$A:$A),MATCH(D$1,units!$1:$1,0)-COLUMN(INDIRECT("character_id"))+1),MATCH(D$1,units!$1:$1,0)-COLUMN(INDIRECT("character_id"))+1,FALSE)</f>
        <v>4</v>
      </c>
      <c r="E342" s="31" t="str">
        <f ca="1">VLOOKUP($B342,OFFSET(units!$A$1,0,0,COUNTA(units!$A:$A),MATCH(E$1,units!$1:$1,0)-COLUMN(INDIRECT("character_id"))+1),MATCH(E$1,units!$1:$1,0)-COLUMN(INDIRECT("character_id"))+1,FALSE)</f>
        <v>Drop2N</v>
      </c>
      <c r="F342" s="56">
        <v>104</v>
      </c>
      <c r="G342" s="31" t="str">
        <f ca="1">VLOOKUP($F342,OFFSET(units!$A$1,0,0,COUNTA(units!$A:$A),MATCH(G$1,units!$1:$1,0)-COLUMN(INDIRECT("character_id"))+1),MATCH(G$1,units!$1:$1,0)-COLUMN(INDIRECT("character_id"))+1,FALSE)</f>
        <v>炎のマッドハッター</v>
      </c>
      <c r="H342" s="26">
        <v>1</v>
      </c>
      <c r="I342" s="202">
        <v>1</v>
      </c>
    </row>
    <row r="343" spans="1:9" x14ac:dyDescent="0.15">
      <c r="A343" s="96" t="str">
        <f t="shared" si="5"/>
        <v>290_103</v>
      </c>
      <c r="B343" s="59">
        <v>290</v>
      </c>
      <c r="C343" s="31" t="str">
        <f ca="1">VLOOKUP($B343,OFFSET(units!$A$1,0,0,COUNTA(units!$A:$A),MATCH(C$1,units!$1:$1,0)-COLUMN(INDIRECT("character_id"))+1),MATCH(C$1,units!$1:$1,0)-COLUMN(INDIRECT("character_id"))+1,FALSE)</f>
        <v>ウィッチ・オクトパス</v>
      </c>
      <c r="D343" s="31">
        <f ca="1">VLOOKUP($B343,OFFSET(units!$A$1,0,0,COUNTA(units!$A:$A),MATCH(D$1,units!$1:$1,0)-COLUMN(INDIRECT("character_id"))+1),MATCH(D$1,units!$1:$1,0)-COLUMN(INDIRECT("character_id"))+1,FALSE)</f>
        <v>4</v>
      </c>
      <c r="E343" s="31" t="str">
        <f ca="1">VLOOKUP($B343,OFFSET(units!$A$1,0,0,COUNTA(units!$A:$A),MATCH(E$1,units!$1:$1,0)-COLUMN(INDIRECT("character_id"))+1),MATCH(E$1,units!$1:$1,0)-COLUMN(INDIRECT("character_id"))+1,FALSE)</f>
        <v>Drop2N</v>
      </c>
      <c r="F343" s="56">
        <f>F342-1</f>
        <v>103</v>
      </c>
      <c r="G343" s="31" t="str">
        <f ca="1">VLOOKUP($F343,OFFSET(units!$A$1,0,0,COUNTA(units!$A:$A),MATCH(G$1,units!$1:$1,0)-COLUMN(INDIRECT("character_id"))+1),MATCH(G$1,units!$1:$1,0)-COLUMN(INDIRECT("character_id"))+1,FALSE)</f>
        <v>レッドキャタップ</v>
      </c>
      <c r="H343" s="26">
        <v>1</v>
      </c>
      <c r="I343" s="202">
        <v>1</v>
      </c>
    </row>
    <row r="344" spans="1:9" x14ac:dyDescent="0.15">
      <c r="A344" s="96" t="str">
        <f t="shared" si="5"/>
        <v>290_102</v>
      </c>
      <c r="B344" s="59">
        <v>290</v>
      </c>
      <c r="C344" s="31" t="str">
        <f ca="1">VLOOKUP($B344,OFFSET(units!$A$1,0,0,COUNTA(units!$A:$A),MATCH(C$1,units!$1:$1,0)-COLUMN(INDIRECT("character_id"))+1),MATCH(C$1,units!$1:$1,0)-COLUMN(INDIRECT("character_id"))+1,FALSE)</f>
        <v>ウィッチ・オクトパス</v>
      </c>
      <c r="D344" s="31">
        <f ca="1">VLOOKUP($B344,OFFSET(units!$A$1,0,0,COUNTA(units!$A:$A),MATCH(D$1,units!$1:$1,0)-COLUMN(INDIRECT("character_id"))+1),MATCH(D$1,units!$1:$1,0)-COLUMN(INDIRECT("character_id"))+1,FALSE)</f>
        <v>4</v>
      </c>
      <c r="E344" s="31" t="str">
        <f ca="1">VLOOKUP($B344,OFFSET(units!$A$1,0,0,COUNTA(units!$A:$A),MATCH(E$1,units!$1:$1,0)-COLUMN(INDIRECT("character_id"))+1),MATCH(E$1,units!$1:$1,0)-COLUMN(INDIRECT("character_id"))+1,FALSE)</f>
        <v>Drop2N</v>
      </c>
      <c r="F344" s="56">
        <f>F343-1</f>
        <v>102</v>
      </c>
      <c r="G344" s="31" t="str">
        <f ca="1">VLOOKUP($F344,OFFSET(units!$A$1,0,0,COUNTA(units!$A:$A),MATCH(G$1,units!$1:$1,0)-COLUMN(INDIRECT("character_id"))+1),MATCH(G$1,units!$1:$1,0)-COLUMN(INDIRECT("character_id"))+1,FALSE)</f>
        <v>レッドラビット</v>
      </c>
      <c r="H344" s="26">
        <v>2</v>
      </c>
      <c r="I344" s="202">
        <v>1</v>
      </c>
    </row>
    <row r="345" spans="1:9" x14ac:dyDescent="0.15">
      <c r="A345" s="96" t="str">
        <f t="shared" si="5"/>
        <v>290_101</v>
      </c>
      <c r="B345" s="59">
        <v>290</v>
      </c>
      <c r="C345" s="31" t="str">
        <f ca="1">VLOOKUP($B345,OFFSET(units!$A$1,0,0,COUNTA(units!$A:$A),MATCH(C$1,units!$1:$1,0)-COLUMN(INDIRECT("character_id"))+1),MATCH(C$1,units!$1:$1,0)-COLUMN(INDIRECT("character_id"))+1,FALSE)</f>
        <v>ウィッチ・オクトパス</v>
      </c>
      <c r="D345" s="31">
        <f ca="1">VLOOKUP($B345,OFFSET(units!$A$1,0,0,COUNTA(units!$A:$A),MATCH(D$1,units!$1:$1,0)-COLUMN(INDIRECT("character_id"))+1),MATCH(D$1,units!$1:$1,0)-COLUMN(INDIRECT("character_id"))+1,FALSE)</f>
        <v>4</v>
      </c>
      <c r="E345" s="31" t="str">
        <f ca="1">VLOOKUP($B345,OFFSET(units!$A$1,0,0,COUNTA(units!$A:$A),MATCH(E$1,units!$1:$1,0)-COLUMN(INDIRECT("character_id"))+1),MATCH(E$1,units!$1:$1,0)-COLUMN(INDIRECT("character_id"))+1,FALSE)</f>
        <v>Drop2N</v>
      </c>
      <c r="F345" s="56">
        <f>F344-1</f>
        <v>101</v>
      </c>
      <c r="G345" s="31" t="str">
        <f ca="1">VLOOKUP($F345,OFFSET(units!$A$1,0,0,COUNTA(units!$A:$A),MATCH(G$1,units!$1:$1,0)-COLUMN(INDIRECT("character_id"))+1),MATCH(G$1,units!$1:$1,0)-COLUMN(INDIRECT("character_id"))+1,FALSE)</f>
        <v>レッドチェシャ</v>
      </c>
      <c r="H345" s="26">
        <v>1</v>
      </c>
      <c r="I345" s="202">
        <v>1</v>
      </c>
    </row>
    <row r="346" spans="1:9" x14ac:dyDescent="0.15">
      <c r="A346" s="96" t="str">
        <f t="shared" si="5"/>
        <v>292_112</v>
      </c>
      <c r="B346" s="59">
        <v>292</v>
      </c>
      <c r="C346" s="31" t="str">
        <f ca="1">VLOOKUP($B346,OFFSET(units!$A$1,0,0,COUNTA(units!$A:$A),MATCH(C$1,units!$1:$1,0)-COLUMN(INDIRECT("character_id"))+1),MATCH(C$1,units!$1:$1,0)-COLUMN(INDIRECT("character_id"))+1,FALSE)</f>
        <v>アナスタシア</v>
      </c>
      <c r="D346" s="31">
        <f ca="1">VLOOKUP($B346,OFFSET(units!$A$1,0,0,COUNTA(units!$A:$A),MATCH(D$1,units!$1:$1,0)-COLUMN(INDIRECT("character_id"))+1),MATCH(D$1,units!$1:$1,0)-COLUMN(INDIRECT("character_id"))+1,FALSE)</f>
        <v>4</v>
      </c>
      <c r="E346" s="31" t="str">
        <f ca="1">VLOOKUP($B346,OFFSET(units!$A$1,0,0,COUNTA(units!$A:$A),MATCH(E$1,units!$1:$1,0)-COLUMN(INDIRECT("character_id"))+1),MATCH(E$1,units!$1:$1,0)-COLUMN(INDIRECT("character_id"))+1,FALSE)</f>
        <v>Drop2N</v>
      </c>
      <c r="F346" s="56">
        <v>112</v>
      </c>
      <c r="G346" s="31" t="str">
        <f ca="1">VLOOKUP($F346,OFFSET(units!$A$1,0,0,COUNTA(units!$A:$A),MATCH(G$1,units!$1:$1,0)-COLUMN(INDIRECT("character_id"))+1),MATCH(G$1,units!$1:$1,0)-COLUMN(INDIRECT("character_id"))+1,FALSE)</f>
        <v>水のマッドハッター</v>
      </c>
      <c r="H346" s="26">
        <v>1</v>
      </c>
      <c r="I346" s="202">
        <v>1</v>
      </c>
    </row>
    <row r="347" spans="1:9" x14ac:dyDescent="0.15">
      <c r="A347" s="96" t="str">
        <f t="shared" si="5"/>
        <v>292_111</v>
      </c>
      <c r="B347" s="59">
        <v>292</v>
      </c>
      <c r="C347" s="31" t="str">
        <f ca="1">VLOOKUP($B347,OFFSET(units!$A$1,0,0,COUNTA(units!$A:$A),MATCH(C$1,units!$1:$1,0)-COLUMN(INDIRECT("character_id"))+1),MATCH(C$1,units!$1:$1,0)-COLUMN(INDIRECT("character_id"))+1,FALSE)</f>
        <v>アナスタシア</v>
      </c>
      <c r="D347" s="31">
        <f ca="1">VLOOKUP($B347,OFFSET(units!$A$1,0,0,COUNTA(units!$A:$A),MATCH(D$1,units!$1:$1,0)-COLUMN(INDIRECT("character_id"))+1),MATCH(D$1,units!$1:$1,0)-COLUMN(INDIRECT("character_id"))+1,FALSE)</f>
        <v>4</v>
      </c>
      <c r="E347" s="31" t="str">
        <f ca="1">VLOOKUP($B347,OFFSET(units!$A$1,0,0,COUNTA(units!$A:$A),MATCH(E$1,units!$1:$1,0)-COLUMN(INDIRECT("character_id"))+1),MATCH(E$1,units!$1:$1,0)-COLUMN(INDIRECT("character_id"))+1,FALSE)</f>
        <v>Drop2N</v>
      </c>
      <c r="F347" s="56">
        <f>F346-1</f>
        <v>111</v>
      </c>
      <c r="G347" s="31" t="str">
        <f ca="1">VLOOKUP($F347,OFFSET(units!$A$1,0,0,COUNTA(units!$A:$A),MATCH(G$1,units!$1:$1,0)-COLUMN(INDIRECT("character_id"))+1),MATCH(G$1,units!$1:$1,0)-COLUMN(INDIRECT("character_id"))+1,FALSE)</f>
        <v>ブルーキャタップ</v>
      </c>
      <c r="H347" s="26">
        <v>1</v>
      </c>
      <c r="I347" s="202">
        <v>1</v>
      </c>
    </row>
    <row r="348" spans="1:9" x14ac:dyDescent="0.15">
      <c r="A348" s="96" t="str">
        <f t="shared" si="5"/>
        <v>292_110</v>
      </c>
      <c r="B348" s="59">
        <v>292</v>
      </c>
      <c r="C348" s="31" t="str">
        <f ca="1">VLOOKUP($B348,OFFSET(units!$A$1,0,0,COUNTA(units!$A:$A),MATCH(C$1,units!$1:$1,0)-COLUMN(INDIRECT("character_id"))+1),MATCH(C$1,units!$1:$1,0)-COLUMN(INDIRECT("character_id"))+1,FALSE)</f>
        <v>アナスタシア</v>
      </c>
      <c r="D348" s="31">
        <f ca="1">VLOOKUP($B348,OFFSET(units!$A$1,0,0,COUNTA(units!$A:$A),MATCH(D$1,units!$1:$1,0)-COLUMN(INDIRECT("character_id"))+1),MATCH(D$1,units!$1:$1,0)-COLUMN(INDIRECT("character_id"))+1,FALSE)</f>
        <v>4</v>
      </c>
      <c r="E348" s="31" t="str">
        <f ca="1">VLOOKUP($B348,OFFSET(units!$A$1,0,0,COUNTA(units!$A:$A),MATCH(E$1,units!$1:$1,0)-COLUMN(INDIRECT("character_id"))+1),MATCH(E$1,units!$1:$1,0)-COLUMN(INDIRECT("character_id"))+1,FALSE)</f>
        <v>Drop2N</v>
      </c>
      <c r="F348" s="56">
        <f>F347-1</f>
        <v>110</v>
      </c>
      <c r="G348" s="31" t="str">
        <f ca="1">VLOOKUP($F348,OFFSET(units!$A$1,0,0,COUNTA(units!$A:$A),MATCH(G$1,units!$1:$1,0)-COLUMN(INDIRECT("character_id"))+1),MATCH(G$1,units!$1:$1,0)-COLUMN(INDIRECT("character_id"))+1,FALSE)</f>
        <v>ブルーラビット</v>
      </c>
      <c r="H348" s="26">
        <v>2</v>
      </c>
      <c r="I348" s="202">
        <v>1</v>
      </c>
    </row>
    <row r="349" spans="1:9" x14ac:dyDescent="0.15">
      <c r="A349" s="96" t="str">
        <f t="shared" si="5"/>
        <v>292_109</v>
      </c>
      <c r="B349" s="59">
        <v>292</v>
      </c>
      <c r="C349" s="31" t="str">
        <f ca="1">VLOOKUP($B349,OFFSET(units!$A$1,0,0,COUNTA(units!$A:$A),MATCH(C$1,units!$1:$1,0)-COLUMN(INDIRECT("character_id"))+1),MATCH(C$1,units!$1:$1,0)-COLUMN(INDIRECT("character_id"))+1,FALSE)</f>
        <v>アナスタシア</v>
      </c>
      <c r="D349" s="31">
        <f ca="1">VLOOKUP($B349,OFFSET(units!$A$1,0,0,COUNTA(units!$A:$A),MATCH(D$1,units!$1:$1,0)-COLUMN(INDIRECT("character_id"))+1),MATCH(D$1,units!$1:$1,0)-COLUMN(INDIRECT("character_id"))+1,FALSE)</f>
        <v>4</v>
      </c>
      <c r="E349" s="31" t="str">
        <f ca="1">VLOOKUP($B349,OFFSET(units!$A$1,0,0,COUNTA(units!$A:$A),MATCH(E$1,units!$1:$1,0)-COLUMN(INDIRECT("character_id"))+1),MATCH(E$1,units!$1:$1,0)-COLUMN(INDIRECT("character_id"))+1,FALSE)</f>
        <v>Drop2N</v>
      </c>
      <c r="F349" s="56">
        <f>F348-1</f>
        <v>109</v>
      </c>
      <c r="G349" s="31" t="str">
        <f ca="1">VLOOKUP($F349,OFFSET(units!$A$1,0,0,COUNTA(units!$A:$A),MATCH(G$1,units!$1:$1,0)-COLUMN(INDIRECT("character_id"))+1),MATCH(G$1,units!$1:$1,0)-COLUMN(INDIRECT("character_id"))+1,FALSE)</f>
        <v>ブルーチェシャ</v>
      </c>
      <c r="H349" s="26">
        <v>1</v>
      </c>
      <c r="I349" s="202">
        <v>1</v>
      </c>
    </row>
    <row r="350" spans="1:9" x14ac:dyDescent="0.15">
      <c r="A350" s="96" t="str">
        <f t="shared" si="5"/>
        <v>294_108</v>
      </c>
      <c r="B350" s="59">
        <v>294</v>
      </c>
      <c r="C350" s="31" t="str">
        <f ca="1">VLOOKUP($B350,OFFSET(units!$A$1,0,0,COUNTA(units!$A:$A),MATCH(C$1,units!$1:$1,0)-COLUMN(INDIRECT("character_id"))+1),MATCH(C$1,units!$1:$1,0)-COLUMN(INDIRECT("character_id"))+1,FALSE)</f>
        <v>ウルフ・ザ・レッドイーター</v>
      </c>
      <c r="D350" s="31">
        <f ca="1">VLOOKUP($B350,OFFSET(units!$A$1,0,0,COUNTA(units!$A:$A),MATCH(D$1,units!$1:$1,0)-COLUMN(INDIRECT("character_id"))+1),MATCH(D$1,units!$1:$1,0)-COLUMN(INDIRECT("character_id"))+1,FALSE)</f>
        <v>4</v>
      </c>
      <c r="E350" s="31" t="str">
        <f ca="1">VLOOKUP($B350,OFFSET(units!$A$1,0,0,COUNTA(units!$A:$A),MATCH(E$1,units!$1:$1,0)-COLUMN(INDIRECT("character_id"))+1),MATCH(E$1,units!$1:$1,0)-COLUMN(INDIRECT("character_id"))+1,FALSE)</f>
        <v>Drop2N</v>
      </c>
      <c r="F350" s="56">
        <v>108</v>
      </c>
      <c r="G350" s="31" t="str">
        <f ca="1">VLOOKUP($F350,OFFSET(units!$A$1,0,0,COUNTA(units!$A:$A),MATCH(G$1,units!$1:$1,0)-COLUMN(INDIRECT("character_id"))+1),MATCH(G$1,units!$1:$1,0)-COLUMN(INDIRECT("character_id"))+1,FALSE)</f>
        <v>森のマッドハッター</v>
      </c>
      <c r="H350" s="26">
        <v>1</v>
      </c>
      <c r="I350" s="202">
        <v>1</v>
      </c>
    </row>
    <row r="351" spans="1:9" x14ac:dyDescent="0.15">
      <c r="A351" s="96" t="str">
        <f t="shared" si="5"/>
        <v>294_107</v>
      </c>
      <c r="B351" s="59">
        <v>294</v>
      </c>
      <c r="C351" s="31" t="str">
        <f ca="1">VLOOKUP($B351,OFFSET(units!$A$1,0,0,COUNTA(units!$A:$A),MATCH(C$1,units!$1:$1,0)-COLUMN(INDIRECT("character_id"))+1),MATCH(C$1,units!$1:$1,0)-COLUMN(INDIRECT("character_id"))+1,FALSE)</f>
        <v>ウルフ・ザ・レッドイーター</v>
      </c>
      <c r="D351" s="31">
        <f ca="1">VLOOKUP($B351,OFFSET(units!$A$1,0,0,COUNTA(units!$A:$A),MATCH(D$1,units!$1:$1,0)-COLUMN(INDIRECT("character_id"))+1),MATCH(D$1,units!$1:$1,0)-COLUMN(INDIRECT("character_id"))+1,FALSE)</f>
        <v>4</v>
      </c>
      <c r="E351" s="31" t="str">
        <f ca="1">VLOOKUP($B351,OFFSET(units!$A$1,0,0,COUNTA(units!$A:$A),MATCH(E$1,units!$1:$1,0)-COLUMN(INDIRECT("character_id"))+1),MATCH(E$1,units!$1:$1,0)-COLUMN(INDIRECT("character_id"))+1,FALSE)</f>
        <v>Drop2N</v>
      </c>
      <c r="F351" s="56">
        <f>F350-1</f>
        <v>107</v>
      </c>
      <c r="G351" s="31" t="str">
        <f ca="1">VLOOKUP($F351,OFFSET(units!$A$1,0,0,COUNTA(units!$A:$A),MATCH(G$1,units!$1:$1,0)-COLUMN(INDIRECT("character_id"))+1),MATCH(G$1,units!$1:$1,0)-COLUMN(INDIRECT("character_id"))+1,FALSE)</f>
        <v>グリーンキャタップ</v>
      </c>
      <c r="H351" s="26">
        <v>1</v>
      </c>
      <c r="I351" s="202">
        <v>1</v>
      </c>
    </row>
    <row r="352" spans="1:9" x14ac:dyDescent="0.15">
      <c r="A352" s="96" t="str">
        <f t="shared" si="5"/>
        <v>294_106</v>
      </c>
      <c r="B352" s="59">
        <v>294</v>
      </c>
      <c r="C352" s="31" t="str">
        <f ca="1">VLOOKUP($B352,OFFSET(units!$A$1,0,0,COUNTA(units!$A:$A),MATCH(C$1,units!$1:$1,0)-COLUMN(INDIRECT("character_id"))+1),MATCH(C$1,units!$1:$1,0)-COLUMN(INDIRECT("character_id"))+1,FALSE)</f>
        <v>ウルフ・ザ・レッドイーター</v>
      </c>
      <c r="D352" s="31">
        <f ca="1">VLOOKUP($B352,OFFSET(units!$A$1,0,0,COUNTA(units!$A:$A),MATCH(D$1,units!$1:$1,0)-COLUMN(INDIRECT("character_id"))+1),MATCH(D$1,units!$1:$1,0)-COLUMN(INDIRECT("character_id"))+1,FALSE)</f>
        <v>4</v>
      </c>
      <c r="E352" s="31" t="str">
        <f ca="1">VLOOKUP($B352,OFFSET(units!$A$1,0,0,COUNTA(units!$A:$A),MATCH(E$1,units!$1:$1,0)-COLUMN(INDIRECT("character_id"))+1),MATCH(E$1,units!$1:$1,0)-COLUMN(INDIRECT("character_id"))+1,FALSE)</f>
        <v>Drop2N</v>
      </c>
      <c r="F352" s="56">
        <f>F351-1</f>
        <v>106</v>
      </c>
      <c r="G352" s="31" t="str">
        <f ca="1">VLOOKUP($F352,OFFSET(units!$A$1,0,0,COUNTA(units!$A:$A),MATCH(G$1,units!$1:$1,0)-COLUMN(INDIRECT("character_id"))+1),MATCH(G$1,units!$1:$1,0)-COLUMN(INDIRECT("character_id"))+1,FALSE)</f>
        <v>グリーンラビット</v>
      </c>
      <c r="H352" s="26">
        <v>2</v>
      </c>
      <c r="I352" s="202">
        <v>1</v>
      </c>
    </row>
    <row r="353" spans="1:9" x14ac:dyDescent="0.15">
      <c r="A353" s="96" t="str">
        <f t="shared" si="5"/>
        <v>294_105</v>
      </c>
      <c r="B353" s="59">
        <v>294</v>
      </c>
      <c r="C353" s="31" t="str">
        <f ca="1">VLOOKUP($B353,OFFSET(units!$A$1,0,0,COUNTA(units!$A:$A),MATCH(C$1,units!$1:$1,0)-COLUMN(INDIRECT("character_id"))+1),MATCH(C$1,units!$1:$1,0)-COLUMN(INDIRECT("character_id"))+1,FALSE)</f>
        <v>ウルフ・ザ・レッドイーター</v>
      </c>
      <c r="D353" s="31">
        <f ca="1">VLOOKUP($B353,OFFSET(units!$A$1,0,0,COUNTA(units!$A:$A),MATCH(D$1,units!$1:$1,0)-COLUMN(INDIRECT("character_id"))+1),MATCH(D$1,units!$1:$1,0)-COLUMN(INDIRECT("character_id"))+1,FALSE)</f>
        <v>4</v>
      </c>
      <c r="E353" s="31" t="str">
        <f ca="1">VLOOKUP($B353,OFFSET(units!$A$1,0,0,COUNTA(units!$A:$A),MATCH(E$1,units!$1:$1,0)-COLUMN(INDIRECT("character_id"))+1),MATCH(E$1,units!$1:$1,0)-COLUMN(INDIRECT("character_id"))+1,FALSE)</f>
        <v>Drop2N</v>
      </c>
      <c r="F353" s="56">
        <f>F352-1</f>
        <v>105</v>
      </c>
      <c r="G353" s="31" t="str">
        <f ca="1">VLOOKUP($F353,OFFSET(units!$A$1,0,0,COUNTA(units!$A:$A),MATCH(G$1,units!$1:$1,0)-COLUMN(INDIRECT("character_id"))+1),MATCH(G$1,units!$1:$1,0)-COLUMN(INDIRECT("character_id"))+1,FALSE)</f>
        <v>グリーンチェシャ</v>
      </c>
      <c r="H353" s="26">
        <v>1</v>
      </c>
      <c r="I353" s="202">
        <v>1</v>
      </c>
    </row>
    <row r="354" spans="1:9" x14ac:dyDescent="0.15">
      <c r="A354" s="96" t="str">
        <f t="shared" si="5"/>
        <v>316_116</v>
      </c>
      <c r="B354" s="59">
        <v>316</v>
      </c>
      <c r="C354" s="31" t="str">
        <f ca="1">VLOOKUP($B354,OFFSET(units!$A$1,0,0,COUNTA(units!$A:$A),MATCH(C$1,units!$1:$1,0)-COLUMN(INDIRECT("character_id"))+1),MATCH(C$1,units!$1:$1,0)-COLUMN(INDIRECT("character_id"))+1,FALSE)</f>
        <v>テスラ</v>
      </c>
      <c r="D354" s="31">
        <f ca="1">VLOOKUP($B354,OFFSET(units!$A$1,0,0,COUNTA(units!$A:$A),MATCH(D$1,units!$1:$1,0)-COLUMN(INDIRECT("character_id"))+1),MATCH(D$1,units!$1:$1,0)-COLUMN(INDIRECT("character_id"))+1,FALSE)</f>
        <v>4</v>
      </c>
      <c r="E354" s="31" t="str">
        <f ca="1">VLOOKUP($B354,OFFSET(units!$A$1,0,0,COUNTA(units!$A:$A),MATCH(E$1,units!$1:$1,0)-COLUMN(INDIRECT("character_id"))+1),MATCH(E$1,units!$1:$1,0)-COLUMN(INDIRECT("character_id"))+1,FALSE)</f>
        <v>DropWizN</v>
      </c>
      <c r="F354" s="56">
        <v>116</v>
      </c>
      <c r="G354" s="31" t="str">
        <f ca="1">VLOOKUP($F354,OFFSET(units!$A$1,0,0,COUNTA(units!$A:$A),MATCH(G$1,units!$1:$1,0)-COLUMN(INDIRECT("character_id"))+1),MATCH(G$1,units!$1:$1,0)-COLUMN(INDIRECT("character_id"))+1,FALSE)</f>
        <v>雷のマッドハッター</v>
      </c>
      <c r="H354" s="26">
        <v>1</v>
      </c>
      <c r="I354" s="202">
        <v>1</v>
      </c>
    </row>
    <row r="355" spans="1:9" x14ac:dyDescent="0.15">
      <c r="A355" s="96" t="str">
        <f t="shared" si="5"/>
        <v>316_115</v>
      </c>
      <c r="B355" s="59">
        <v>316</v>
      </c>
      <c r="C355" s="31" t="str">
        <f ca="1">VLOOKUP($B355,OFFSET(units!$A$1,0,0,COUNTA(units!$A:$A),MATCH(C$1,units!$1:$1,0)-COLUMN(INDIRECT("character_id"))+1),MATCH(C$1,units!$1:$1,0)-COLUMN(INDIRECT("character_id"))+1,FALSE)</f>
        <v>テスラ</v>
      </c>
      <c r="D355" s="31">
        <f ca="1">VLOOKUP($B355,OFFSET(units!$A$1,0,0,COUNTA(units!$A:$A),MATCH(D$1,units!$1:$1,0)-COLUMN(INDIRECT("character_id"))+1),MATCH(D$1,units!$1:$1,0)-COLUMN(INDIRECT("character_id"))+1,FALSE)</f>
        <v>4</v>
      </c>
      <c r="E355" s="31" t="str">
        <f ca="1">VLOOKUP($B355,OFFSET(units!$A$1,0,0,COUNTA(units!$A:$A),MATCH(E$1,units!$1:$1,0)-COLUMN(INDIRECT("character_id"))+1),MATCH(E$1,units!$1:$1,0)-COLUMN(INDIRECT("character_id"))+1,FALSE)</f>
        <v>DropWizN</v>
      </c>
      <c r="F355" s="56">
        <v>115</v>
      </c>
      <c r="G355" s="31" t="str">
        <f ca="1">VLOOKUP($F355,OFFSET(units!$A$1,0,0,COUNTA(units!$A:$A),MATCH(G$1,units!$1:$1,0)-COLUMN(INDIRECT("character_id"))+1),MATCH(G$1,units!$1:$1,0)-COLUMN(INDIRECT("character_id"))+1,FALSE)</f>
        <v>イエローキャタップ</v>
      </c>
      <c r="H355" s="26">
        <v>1</v>
      </c>
      <c r="I355" s="202">
        <v>1</v>
      </c>
    </row>
    <row r="356" spans="1:9" x14ac:dyDescent="0.15">
      <c r="A356" s="96" t="str">
        <f t="shared" si="5"/>
        <v>316_114</v>
      </c>
      <c r="B356" s="59">
        <v>316</v>
      </c>
      <c r="C356" s="31" t="str">
        <f ca="1">VLOOKUP($B356,OFFSET(units!$A$1,0,0,COUNTA(units!$A:$A),MATCH(C$1,units!$1:$1,0)-COLUMN(INDIRECT("character_id"))+1),MATCH(C$1,units!$1:$1,0)-COLUMN(INDIRECT("character_id"))+1,FALSE)</f>
        <v>テスラ</v>
      </c>
      <c r="D356" s="31">
        <f ca="1">VLOOKUP($B356,OFFSET(units!$A$1,0,0,COUNTA(units!$A:$A),MATCH(D$1,units!$1:$1,0)-COLUMN(INDIRECT("character_id"))+1),MATCH(D$1,units!$1:$1,0)-COLUMN(INDIRECT("character_id"))+1,FALSE)</f>
        <v>4</v>
      </c>
      <c r="E356" s="31" t="str">
        <f ca="1">VLOOKUP($B356,OFFSET(units!$A$1,0,0,COUNTA(units!$A:$A),MATCH(E$1,units!$1:$1,0)-COLUMN(INDIRECT("character_id"))+1),MATCH(E$1,units!$1:$1,0)-COLUMN(INDIRECT("character_id"))+1,FALSE)</f>
        <v>DropWizN</v>
      </c>
      <c r="F356" s="56">
        <v>114</v>
      </c>
      <c r="G356" s="31" t="str">
        <f ca="1">VLOOKUP($F356,OFFSET(units!$A$1,0,0,COUNTA(units!$A:$A),MATCH(G$1,units!$1:$1,0)-COLUMN(INDIRECT("character_id"))+1),MATCH(G$1,units!$1:$1,0)-COLUMN(INDIRECT("character_id"))+1,FALSE)</f>
        <v>イエローラビット</v>
      </c>
      <c r="H356" s="26">
        <v>3</v>
      </c>
      <c r="I356" s="202">
        <v>1</v>
      </c>
    </row>
    <row r="357" spans="1:9" x14ac:dyDescent="0.15">
      <c r="A357" s="96" t="str">
        <f t="shared" si="5"/>
        <v>318_112</v>
      </c>
      <c r="B357" s="59">
        <v>318</v>
      </c>
      <c r="C357" s="31" t="str">
        <f ca="1">VLOOKUP($B357,OFFSET(units!$A$1,0,0,COUNTA(units!$A:$A),MATCH(C$1,units!$1:$1,0)-COLUMN(INDIRECT("character_id"))+1),MATCH(C$1,units!$1:$1,0)-COLUMN(INDIRECT("character_id"))+1,FALSE)</f>
        <v>シャルル</v>
      </c>
      <c r="D357" s="31">
        <f ca="1">VLOOKUP($B357,OFFSET(units!$A$1,0,0,COUNTA(units!$A:$A),MATCH(D$1,units!$1:$1,0)-COLUMN(INDIRECT("character_id"))+1),MATCH(D$1,units!$1:$1,0)-COLUMN(INDIRECT("character_id"))+1,FALSE)</f>
        <v>4</v>
      </c>
      <c r="E357" s="31" t="str">
        <f ca="1">VLOOKUP($B357,OFFSET(units!$A$1,0,0,COUNTA(units!$A:$A),MATCH(E$1,units!$1:$1,0)-COLUMN(INDIRECT("character_id"))+1),MATCH(E$1,units!$1:$1,0)-COLUMN(INDIRECT("character_id"))+1,FALSE)</f>
        <v>DropWizN</v>
      </c>
      <c r="F357" s="56">
        <v>112</v>
      </c>
      <c r="G357" s="31" t="str">
        <f ca="1">VLOOKUP($F357,OFFSET(units!$A$1,0,0,COUNTA(units!$A:$A),MATCH(G$1,units!$1:$1,0)-COLUMN(INDIRECT("character_id"))+1),MATCH(G$1,units!$1:$1,0)-COLUMN(INDIRECT("character_id"))+1,FALSE)</f>
        <v>水のマッドハッター</v>
      </c>
      <c r="H357" s="26">
        <v>1</v>
      </c>
      <c r="I357" s="202">
        <v>1</v>
      </c>
    </row>
    <row r="358" spans="1:9" x14ac:dyDescent="0.15">
      <c r="A358" s="96" t="str">
        <f t="shared" si="5"/>
        <v>318_111</v>
      </c>
      <c r="B358" s="59">
        <v>318</v>
      </c>
      <c r="C358" s="31" t="str">
        <f ca="1">VLOOKUP($B358,OFFSET(units!$A$1,0,0,COUNTA(units!$A:$A),MATCH(C$1,units!$1:$1,0)-COLUMN(INDIRECT("character_id"))+1),MATCH(C$1,units!$1:$1,0)-COLUMN(INDIRECT("character_id"))+1,FALSE)</f>
        <v>シャルル</v>
      </c>
      <c r="D358" s="31">
        <f ca="1">VLOOKUP($B358,OFFSET(units!$A$1,0,0,COUNTA(units!$A:$A),MATCH(D$1,units!$1:$1,0)-COLUMN(INDIRECT("character_id"))+1),MATCH(D$1,units!$1:$1,0)-COLUMN(INDIRECT("character_id"))+1,FALSE)</f>
        <v>4</v>
      </c>
      <c r="E358" s="31" t="str">
        <f ca="1">VLOOKUP($B358,OFFSET(units!$A$1,0,0,COUNTA(units!$A:$A),MATCH(E$1,units!$1:$1,0)-COLUMN(INDIRECT("character_id"))+1),MATCH(E$1,units!$1:$1,0)-COLUMN(INDIRECT("character_id"))+1,FALSE)</f>
        <v>DropWizN</v>
      </c>
      <c r="F358" s="56">
        <v>111</v>
      </c>
      <c r="G358" s="31" t="str">
        <f ca="1">VLOOKUP($F358,OFFSET(units!$A$1,0,0,COUNTA(units!$A:$A),MATCH(G$1,units!$1:$1,0)-COLUMN(INDIRECT("character_id"))+1),MATCH(G$1,units!$1:$1,0)-COLUMN(INDIRECT("character_id"))+1,FALSE)</f>
        <v>ブルーキャタップ</v>
      </c>
      <c r="H358" s="26">
        <v>1</v>
      </c>
      <c r="I358" s="202">
        <v>1</v>
      </c>
    </row>
    <row r="359" spans="1:9" x14ac:dyDescent="0.15">
      <c r="A359" s="96" t="str">
        <f t="shared" si="5"/>
        <v>318_110</v>
      </c>
      <c r="B359" s="59">
        <v>318</v>
      </c>
      <c r="C359" s="31" t="str">
        <f ca="1">VLOOKUP($B359,OFFSET(units!$A$1,0,0,COUNTA(units!$A:$A),MATCH(C$1,units!$1:$1,0)-COLUMN(INDIRECT("character_id"))+1),MATCH(C$1,units!$1:$1,0)-COLUMN(INDIRECT("character_id"))+1,FALSE)</f>
        <v>シャルル</v>
      </c>
      <c r="D359" s="31">
        <f ca="1">VLOOKUP($B359,OFFSET(units!$A$1,0,0,COUNTA(units!$A:$A),MATCH(D$1,units!$1:$1,0)-COLUMN(INDIRECT("character_id"))+1),MATCH(D$1,units!$1:$1,0)-COLUMN(INDIRECT("character_id"))+1,FALSE)</f>
        <v>4</v>
      </c>
      <c r="E359" s="31" t="str">
        <f ca="1">VLOOKUP($B359,OFFSET(units!$A$1,0,0,COUNTA(units!$A:$A),MATCH(E$1,units!$1:$1,0)-COLUMN(INDIRECT("character_id"))+1),MATCH(E$1,units!$1:$1,0)-COLUMN(INDIRECT("character_id"))+1,FALSE)</f>
        <v>DropWizN</v>
      </c>
      <c r="F359" s="56">
        <v>110</v>
      </c>
      <c r="G359" s="31" t="str">
        <f ca="1">VLOOKUP($F359,OFFSET(units!$A$1,0,0,COUNTA(units!$A:$A),MATCH(G$1,units!$1:$1,0)-COLUMN(INDIRECT("character_id"))+1),MATCH(G$1,units!$1:$1,0)-COLUMN(INDIRECT("character_id"))+1,FALSE)</f>
        <v>ブルーラビット</v>
      </c>
      <c r="H359" s="26">
        <v>3</v>
      </c>
      <c r="I359" s="202">
        <v>1</v>
      </c>
    </row>
    <row r="360" spans="1:9" x14ac:dyDescent="0.15">
      <c r="A360" s="96" t="str">
        <f t="shared" si="5"/>
        <v>320_86</v>
      </c>
      <c r="B360" s="59">
        <v>320</v>
      </c>
      <c r="C360" s="31" t="str">
        <f ca="1">VLOOKUP($B360,OFFSET(units!$A$1,0,0,COUNTA(units!$A:$A),MATCH(C$1,units!$1:$1,0)-COLUMN(INDIRECT("character_id"))+1),MATCH(C$1,units!$1:$1,0)-COLUMN(INDIRECT("character_id"))+1,FALSE)</f>
        <v>烈志士 近藤勇</v>
      </c>
      <c r="D360" s="31">
        <f ca="1">VLOOKUP($B360,OFFSET(units!$A$1,0,0,COUNTA(units!$A:$A),MATCH(D$1,units!$1:$1,0)-COLUMN(INDIRECT("character_id"))+1),MATCH(D$1,units!$1:$1,0)-COLUMN(INDIRECT("character_id"))+1,FALSE)</f>
        <v>4</v>
      </c>
      <c r="E360" s="31" t="str">
        <f ca="1">VLOOKUP($B360,OFFSET(units!$A$1,0,0,COUNTA(units!$A:$A),MATCH(E$1,units!$1:$1,0)-COLUMN(INDIRECT("character_id"))+1),MATCH(E$1,units!$1:$1,0)-COLUMN(INDIRECT("character_id"))+1,FALSE)</f>
        <v>PremiumSS</v>
      </c>
      <c r="F360" s="56">
        <v>86</v>
      </c>
      <c r="G360" s="31" t="str">
        <f ca="1">VLOOKUP($F360,OFFSET(units!$A$1,0,0,COUNTA(units!$A:$A),MATCH(G$1,units!$1:$1,0)-COLUMN(INDIRECT("character_id"))+1),MATCH(G$1,units!$1:$1,0)-COLUMN(INDIRECT("character_id"))+1,FALSE)</f>
        <v>守護者 朱雀</v>
      </c>
      <c r="H360" s="26">
        <v>1</v>
      </c>
      <c r="I360" s="202">
        <v>1</v>
      </c>
    </row>
    <row r="361" spans="1:9" x14ac:dyDescent="0.15">
      <c r="A361" s="96" t="str">
        <f t="shared" si="5"/>
        <v>320_104</v>
      </c>
      <c r="B361" s="59">
        <v>320</v>
      </c>
      <c r="C361" s="31" t="str">
        <f ca="1">VLOOKUP($B361,OFFSET(units!$A$1,0,0,COUNTA(units!$A:$A),MATCH(C$1,units!$1:$1,0)-COLUMN(INDIRECT("character_id"))+1),MATCH(C$1,units!$1:$1,0)-COLUMN(INDIRECT("character_id"))+1,FALSE)</f>
        <v>烈志士 近藤勇</v>
      </c>
      <c r="D361" s="31">
        <f ca="1">VLOOKUP($B361,OFFSET(units!$A$1,0,0,COUNTA(units!$A:$A),MATCH(D$1,units!$1:$1,0)-COLUMN(INDIRECT("character_id"))+1),MATCH(D$1,units!$1:$1,0)-COLUMN(INDIRECT("character_id"))+1,FALSE)</f>
        <v>4</v>
      </c>
      <c r="E361" s="31" t="str">
        <f ca="1">VLOOKUP($B361,OFFSET(units!$A$1,0,0,COUNTA(units!$A:$A),MATCH(E$1,units!$1:$1,0)-COLUMN(INDIRECT("character_id"))+1),MATCH(E$1,units!$1:$1,0)-COLUMN(INDIRECT("character_id"))+1,FALSE)</f>
        <v>PremiumSS</v>
      </c>
      <c r="F361" s="56">
        <v>104</v>
      </c>
      <c r="G361" s="31" t="str">
        <f ca="1">VLOOKUP($F361,OFFSET(units!$A$1,0,0,COUNTA(units!$A:$A),MATCH(G$1,units!$1:$1,0)-COLUMN(INDIRECT("character_id"))+1),MATCH(G$1,units!$1:$1,0)-COLUMN(INDIRECT("character_id"))+1,FALSE)</f>
        <v>炎のマッドハッター</v>
      </c>
      <c r="H361" s="26">
        <v>2</v>
      </c>
      <c r="I361" s="202">
        <v>1</v>
      </c>
    </row>
    <row r="362" spans="1:9" x14ac:dyDescent="0.15">
      <c r="A362" s="96" t="str">
        <f t="shared" si="5"/>
        <v>320_103</v>
      </c>
      <c r="B362" s="59">
        <v>320</v>
      </c>
      <c r="C362" s="31" t="str">
        <f ca="1">VLOOKUP($B362,OFFSET(units!$A$1,0,0,COUNTA(units!$A:$A),MATCH(C$1,units!$1:$1,0)-COLUMN(INDIRECT("character_id"))+1),MATCH(C$1,units!$1:$1,0)-COLUMN(INDIRECT("character_id"))+1,FALSE)</f>
        <v>烈志士 近藤勇</v>
      </c>
      <c r="D362" s="31">
        <f ca="1">VLOOKUP($B362,OFFSET(units!$A$1,0,0,COUNTA(units!$A:$A),MATCH(D$1,units!$1:$1,0)-COLUMN(INDIRECT("character_id"))+1),MATCH(D$1,units!$1:$1,0)-COLUMN(INDIRECT("character_id"))+1,FALSE)</f>
        <v>4</v>
      </c>
      <c r="E362" s="31" t="str">
        <f ca="1">VLOOKUP($B362,OFFSET(units!$A$1,0,0,COUNTA(units!$A:$A),MATCH(E$1,units!$1:$1,0)-COLUMN(INDIRECT("character_id"))+1),MATCH(E$1,units!$1:$1,0)-COLUMN(INDIRECT("character_id"))+1,FALSE)</f>
        <v>PremiumSS</v>
      </c>
      <c r="F362" s="56">
        <v>103</v>
      </c>
      <c r="G362" s="31" t="str">
        <f ca="1">VLOOKUP($F362,OFFSET(units!$A$1,0,0,COUNTA(units!$A:$A),MATCH(G$1,units!$1:$1,0)-COLUMN(INDIRECT("character_id"))+1),MATCH(G$1,units!$1:$1,0)-COLUMN(INDIRECT("character_id"))+1,FALSE)</f>
        <v>レッドキャタップ</v>
      </c>
      <c r="H362" s="26">
        <v>1</v>
      </c>
      <c r="I362" s="202">
        <v>1</v>
      </c>
    </row>
    <row r="363" spans="1:9" x14ac:dyDescent="0.15">
      <c r="A363" s="96" t="str">
        <f t="shared" si="5"/>
        <v>320_102</v>
      </c>
      <c r="B363" s="59">
        <v>320</v>
      </c>
      <c r="C363" s="31" t="str">
        <f ca="1">VLOOKUP($B363,OFFSET(units!$A$1,0,0,COUNTA(units!$A:$A),MATCH(C$1,units!$1:$1,0)-COLUMN(INDIRECT("character_id"))+1),MATCH(C$1,units!$1:$1,0)-COLUMN(INDIRECT("character_id"))+1,FALSE)</f>
        <v>烈志士 近藤勇</v>
      </c>
      <c r="D363" s="31">
        <f ca="1">VLOOKUP($B363,OFFSET(units!$A$1,0,0,COUNTA(units!$A:$A),MATCH(D$1,units!$1:$1,0)-COLUMN(INDIRECT("character_id"))+1),MATCH(D$1,units!$1:$1,0)-COLUMN(INDIRECT("character_id"))+1,FALSE)</f>
        <v>4</v>
      </c>
      <c r="E363" s="31" t="str">
        <f ca="1">VLOOKUP($B363,OFFSET(units!$A$1,0,0,COUNTA(units!$A:$A),MATCH(E$1,units!$1:$1,0)-COLUMN(INDIRECT("character_id"))+1),MATCH(E$1,units!$1:$1,0)-COLUMN(INDIRECT("character_id"))+1,FALSE)</f>
        <v>PremiumSS</v>
      </c>
      <c r="F363" s="56">
        <v>102</v>
      </c>
      <c r="G363" s="31" t="str">
        <f ca="1">VLOOKUP($F363,OFFSET(units!$A$1,0,0,COUNTA(units!$A:$A),MATCH(G$1,units!$1:$1,0)-COLUMN(INDIRECT("character_id"))+1),MATCH(G$1,units!$1:$1,0)-COLUMN(INDIRECT("character_id"))+1,FALSE)</f>
        <v>レッドラビット</v>
      </c>
      <c r="H363" s="26">
        <v>1</v>
      </c>
      <c r="I363" s="202">
        <v>1</v>
      </c>
    </row>
    <row r="364" spans="1:9" x14ac:dyDescent="0.15">
      <c r="A364" s="96" t="str">
        <f t="shared" si="5"/>
        <v>322_89</v>
      </c>
      <c r="B364" s="59">
        <v>322</v>
      </c>
      <c r="C364" s="31" t="str">
        <f ca="1">VLOOKUP($B364,OFFSET(units!$A$1,0,0,COUNTA(units!$A:$A),MATCH(C$1,units!$1:$1,0)-COLUMN(INDIRECT("character_id"))+1),MATCH(C$1,units!$1:$1,0)-COLUMN(INDIRECT("character_id"))+1,FALSE)</f>
        <v>愛志士 土方歳三</v>
      </c>
      <c r="D364" s="31">
        <f ca="1">VLOOKUP($B364,OFFSET(units!$A$1,0,0,COUNTA(units!$A:$A),MATCH(D$1,units!$1:$1,0)-COLUMN(INDIRECT("character_id"))+1),MATCH(D$1,units!$1:$1,0)-COLUMN(INDIRECT("character_id"))+1,FALSE)</f>
        <v>4</v>
      </c>
      <c r="E364" s="31" t="str">
        <f ca="1">VLOOKUP($B364,OFFSET(units!$A$1,0,0,COUNTA(units!$A:$A),MATCH(E$1,units!$1:$1,0)-COLUMN(INDIRECT("character_id"))+1),MATCH(E$1,units!$1:$1,0)-COLUMN(INDIRECT("character_id"))+1,FALSE)</f>
        <v>PremiumSS</v>
      </c>
      <c r="F364" s="56">
        <v>89</v>
      </c>
      <c r="G364" s="31" t="str">
        <f ca="1">VLOOKUP($F364,OFFSET(units!$A$1,0,0,COUNTA(units!$A:$A),MATCH(G$1,units!$1:$1,0)-COLUMN(INDIRECT("character_id"))+1),MATCH(G$1,units!$1:$1,0)-COLUMN(INDIRECT("character_id"))+1,FALSE)</f>
        <v>守護者 玄武</v>
      </c>
      <c r="H364" s="26">
        <v>1</v>
      </c>
      <c r="I364" s="202">
        <v>1</v>
      </c>
    </row>
    <row r="365" spans="1:9" x14ac:dyDescent="0.15">
      <c r="A365" s="96" t="str">
        <f t="shared" si="5"/>
        <v>322_108</v>
      </c>
      <c r="B365" s="59">
        <v>322</v>
      </c>
      <c r="C365" s="31" t="str">
        <f ca="1">VLOOKUP($B365,OFFSET(units!$A$1,0,0,COUNTA(units!$A:$A),MATCH(C$1,units!$1:$1,0)-COLUMN(INDIRECT("character_id"))+1),MATCH(C$1,units!$1:$1,0)-COLUMN(INDIRECT("character_id"))+1,FALSE)</f>
        <v>愛志士 土方歳三</v>
      </c>
      <c r="D365" s="31">
        <f ca="1">VLOOKUP($B365,OFFSET(units!$A$1,0,0,COUNTA(units!$A:$A),MATCH(D$1,units!$1:$1,0)-COLUMN(INDIRECT("character_id"))+1),MATCH(D$1,units!$1:$1,0)-COLUMN(INDIRECT("character_id"))+1,FALSE)</f>
        <v>4</v>
      </c>
      <c r="E365" s="31" t="str">
        <f ca="1">VLOOKUP($B365,OFFSET(units!$A$1,0,0,COUNTA(units!$A:$A),MATCH(E$1,units!$1:$1,0)-COLUMN(INDIRECT("character_id"))+1),MATCH(E$1,units!$1:$1,0)-COLUMN(INDIRECT("character_id"))+1,FALSE)</f>
        <v>PremiumSS</v>
      </c>
      <c r="F365" s="56">
        <v>108</v>
      </c>
      <c r="G365" s="31" t="str">
        <f ca="1">VLOOKUP($F365,OFFSET(units!$A$1,0,0,COUNTA(units!$A:$A),MATCH(G$1,units!$1:$1,0)-COLUMN(INDIRECT("character_id"))+1),MATCH(G$1,units!$1:$1,0)-COLUMN(INDIRECT("character_id"))+1,FALSE)</f>
        <v>森のマッドハッター</v>
      </c>
      <c r="H365" s="26">
        <v>2</v>
      </c>
      <c r="I365" s="202">
        <v>1</v>
      </c>
    </row>
    <row r="366" spans="1:9" x14ac:dyDescent="0.15">
      <c r="A366" s="96" t="str">
        <f t="shared" si="5"/>
        <v>322_107</v>
      </c>
      <c r="B366" s="59">
        <v>322</v>
      </c>
      <c r="C366" s="31" t="str">
        <f ca="1">VLOOKUP($B366,OFFSET(units!$A$1,0,0,COUNTA(units!$A:$A),MATCH(C$1,units!$1:$1,0)-COLUMN(INDIRECT("character_id"))+1),MATCH(C$1,units!$1:$1,0)-COLUMN(INDIRECT("character_id"))+1,FALSE)</f>
        <v>愛志士 土方歳三</v>
      </c>
      <c r="D366" s="31">
        <f ca="1">VLOOKUP($B366,OFFSET(units!$A$1,0,0,COUNTA(units!$A:$A),MATCH(D$1,units!$1:$1,0)-COLUMN(INDIRECT("character_id"))+1),MATCH(D$1,units!$1:$1,0)-COLUMN(INDIRECT("character_id"))+1,FALSE)</f>
        <v>4</v>
      </c>
      <c r="E366" s="31" t="str">
        <f ca="1">VLOOKUP($B366,OFFSET(units!$A$1,0,0,COUNTA(units!$A:$A),MATCH(E$1,units!$1:$1,0)-COLUMN(INDIRECT("character_id"))+1),MATCH(E$1,units!$1:$1,0)-COLUMN(INDIRECT("character_id"))+1,FALSE)</f>
        <v>PremiumSS</v>
      </c>
      <c r="F366" s="56">
        <v>107</v>
      </c>
      <c r="G366" s="31" t="str">
        <f ca="1">VLOOKUP($F366,OFFSET(units!$A$1,0,0,COUNTA(units!$A:$A),MATCH(G$1,units!$1:$1,0)-COLUMN(INDIRECT("character_id"))+1),MATCH(G$1,units!$1:$1,0)-COLUMN(INDIRECT("character_id"))+1,FALSE)</f>
        <v>グリーンキャタップ</v>
      </c>
      <c r="H366" s="26">
        <v>1</v>
      </c>
      <c r="I366" s="202">
        <v>1</v>
      </c>
    </row>
    <row r="367" spans="1:9" x14ac:dyDescent="0.15">
      <c r="A367" s="96" t="str">
        <f t="shared" si="5"/>
        <v>322_106</v>
      </c>
      <c r="B367" s="59">
        <v>322</v>
      </c>
      <c r="C367" s="31" t="str">
        <f ca="1">VLOOKUP($B367,OFFSET(units!$A$1,0,0,COUNTA(units!$A:$A),MATCH(C$1,units!$1:$1,0)-COLUMN(INDIRECT("character_id"))+1),MATCH(C$1,units!$1:$1,0)-COLUMN(INDIRECT("character_id"))+1,FALSE)</f>
        <v>愛志士 土方歳三</v>
      </c>
      <c r="D367" s="31">
        <f ca="1">VLOOKUP($B367,OFFSET(units!$A$1,0,0,COUNTA(units!$A:$A),MATCH(D$1,units!$1:$1,0)-COLUMN(INDIRECT("character_id"))+1),MATCH(D$1,units!$1:$1,0)-COLUMN(INDIRECT("character_id"))+1,FALSE)</f>
        <v>4</v>
      </c>
      <c r="E367" s="31" t="str">
        <f ca="1">VLOOKUP($B367,OFFSET(units!$A$1,0,0,COUNTA(units!$A:$A),MATCH(E$1,units!$1:$1,0)-COLUMN(INDIRECT("character_id"))+1),MATCH(E$1,units!$1:$1,0)-COLUMN(INDIRECT("character_id"))+1,FALSE)</f>
        <v>PremiumSS</v>
      </c>
      <c r="F367" s="56">
        <v>106</v>
      </c>
      <c r="G367" s="31" t="str">
        <f ca="1">VLOOKUP($F367,OFFSET(units!$A$1,0,0,COUNTA(units!$A:$A),MATCH(G$1,units!$1:$1,0)-COLUMN(INDIRECT("character_id"))+1),MATCH(G$1,units!$1:$1,0)-COLUMN(INDIRECT("character_id"))+1,FALSE)</f>
        <v>グリーンラビット</v>
      </c>
      <c r="H367" s="26">
        <v>1</v>
      </c>
      <c r="I367" s="202">
        <v>1</v>
      </c>
    </row>
    <row r="368" spans="1:9" x14ac:dyDescent="0.15">
      <c r="A368" s="96" t="str">
        <f t="shared" si="5"/>
        <v>324_92</v>
      </c>
      <c r="B368" s="59">
        <v>324</v>
      </c>
      <c r="C368" s="31" t="str">
        <f ca="1">VLOOKUP($B368,OFFSET(units!$A$1,0,0,COUNTA(units!$A:$A),MATCH(C$1,units!$1:$1,0)-COLUMN(INDIRECT("character_id"))+1),MATCH(C$1,units!$1:$1,0)-COLUMN(INDIRECT("character_id"))+1,FALSE)</f>
        <v>凛志士 沖田総司</v>
      </c>
      <c r="D368" s="31">
        <f ca="1">VLOOKUP($B368,OFFSET(units!$A$1,0,0,COUNTA(units!$A:$A),MATCH(D$1,units!$1:$1,0)-COLUMN(INDIRECT("character_id"))+1),MATCH(D$1,units!$1:$1,0)-COLUMN(INDIRECT("character_id"))+1,FALSE)</f>
        <v>4</v>
      </c>
      <c r="E368" s="31" t="str">
        <f ca="1">VLOOKUP($B368,OFFSET(units!$A$1,0,0,COUNTA(units!$A:$A),MATCH(E$1,units!$1:$1,0)-COLUMN(INDIRECT("character_id"))+1),MATCH(E$1,units!$1:$1,0)-COLUMN(INDIRECT("character_id"))+1,FALSE)</f>
        <v>PremiumSS</v>
      </c>
      <c r="F368" s="56">
        <v>92</v>
      </c>
      <c r="G368" s="31" t="str">
        <f ca="1">VLOOKUP($F368,OFFSET(units!$A$1,0,0,COUNTA(units!$A:$A),MATCH(G$1,units!$1:$1,0)-COLUMN(INDIRECT("character_id"))+1),MATCH(G$1,units!$1:$1,0)-COLUMN(INDIRECT("character_id"))+1,FALSE)</f>
        <v>守護者 青龍</v>
      </c>
      <c r="H368" s="26">
        <v>1</v>
      </c>
      <c r="I368" s="202">
        <v>1</v>
      </c>
    </row>
    <row r="369" spans="1:9" x14ac:dyDescent="0.15">
      <c r="A369" s="96" t="str">
        <f t="shared" si="5"/>
        <v>324_112</v>
      </c>
      <c r="B369" s="59">
        <v>324</v>
      </c>
      <c r="C369" s="31" t="str">
        <f ca="1">VLOOKUP($B369,OFFSET(units!$A$1,0,0,COUNTA(units!$A:$A),MATCH(C$1,units!$1:$1,0)-COLUMN(INDIRECT("character_id"))+1),MATCH(C$1,units!$1:$1,0)-COLUMN(INDIRECT("character_id"))+1,FALSE)</f>
        <v>凛志士 沖田総司</v>
      </c>
      <c r="D369" s="31">
        <f ca="1">VLOOKUP($B369,OFFSET(units!$A$1,0,0,COUNTA(units!$A:$A),MATCH(D$1,units!$1:$1,0)-COLUMN(INDIRECT("character_id"))+1),MATCH(D$1,units!$1:$1,0)-COLUMN(INDIRECT("character_id"))+1,FALSE)</f>
        <v>4</v>
      </c>
      <c r="E369" s="31" t="str">
        <f ca="1">VLOOKUP($B369,OFFSET(units!$A$1,0,0,COUNTA(units!$A:$A),MATCH(E$1,units!$1:$1,0)-COLUMN(INDIRECT("character_id"))+1),MATCH(E$1,units!$1:$1,0)-COLUMN(INDIRECT("character_id"))+1,FALSE)</f>
        <v>PremiumSS</v>
      </c>
      <c r="F369" s="56">
        <v>112</v>
      </c>
      <c r="G369" s="31" t="str">
        <f ca="1">VLOOKUP($F369,OFFSET(units!$A$1,0,0,COUNTA(units!$A:$A),MATCH(G$1,units!$1:$1,0)-COLUMN(INDIRECT("character_id"))+1),MATCH(G$1,units!$1:$1,0)-COLUMN(INDIRECT("character_id"))+1,FALSE)</f>
        <v>水のマッドハッター</v>
      </c>
      <c r="H369" s="26">
        <v>2</v>
      </c>
      <c r="I369" s="202">
        <v>1</v>
      </c>
    </row>
    <row r="370" spans="1:9" x14ac:dyDescent="0.15">
      <c r="A370" s="96" t="str">
        <f t="shared" si="5"/>
        <v>324_111</v>
      </c>
      <c r="B370" s="59">
        <v>324</v>
      </c>
      <c r="C370" s="31" t="str">
        <f ca="1">VLOOKUP($B370,OFFSET(units!$A$1,0,0,COUNTA(units!$A:$A),MATCH(C$1,units!$1:$1,0)-COLUMN(INDIRECT("character_id"))+1),MATCH(C$1,units!$1:$1,0)-COLUMN(INDIRECT("character_id"))+1,FALSE)</f>
        <v>凛志士 沖田総司</v>
      </c>
      <c r="D370" s="31">
        <f ca="1">VLOOKUP($B370,OFFSET(units!$A$1,0,0,COUNTA(units!$A:$A),MATCH(D$1,units!$1:$1,0)-COLUMN(INDIRECT("character_id"))+1),MATCH(D$1,units!$1:$1,0)-COLUMN(INDIRECT("character_id"))+1,FALSE)</f>
        <v>4</v>
      </c>
      <c r="E370" s="31" t="str">
        <f ca="1">VLOOKUP($B370,OFFSET(units!$A$1,0,0,COUNTA(units!$A:$A),MATCH(E$1,units!$1:$1,0)-COLUMN(INDIRECT("character_id"))+1),MATCH(E$1,units!$1:$1,0)-COLUMN(INDIRECT("character_id"))+1,FALSE)</f>
        <v>PremiumSS</v>
      </c>
      <c r="F370" s="56">
        <v>111</v>
      </c>
      <c r="G370" s="31" t="str">
        <f ca="1">VLOOKUP($F370,OFFSET(units!$A$1,0,0,COUNTA(units!$A:$A),MATCH(G$1,units!$1:$1,0)-COLUMN(INDIRECT("character_id"))+1),MATCH(G$1,units!$1:$1,0)-COLUMN(INDIRECT("character_id"))+1,FALSE)</f>
        <v>ブルーキャタップ</v>
      </c>
      <c r="H370" s="26">
        <v>1</v>
      </c>
      <c r="I370" s="202">
        <v>1</v>
      </c>
    </row>
    <row r="371" spans="1:9" x14ac:dyDescent="0.15">
      <c r="A371" s="96" t="str">
        <f t="shared" si="5"/>
        <v>324_110</v>
      </c>
      <c r="B371" s="59">
        <v>324</v>
      </c>
      <c r="C371" s="31" t="str">
        <f ca="1">VLOOKUP($B371,OFFSET(units!$A$1,0,0,COUNTA(units!$A:$A),MATCH(C$1,units!$1:$1,0)-COLUMN(INDIRECT("character_id"))+1),MATCH(C$1,units!$1:$1,0)-COLUMN(INDIRECT("character_id"))+1,FALSE)</f>
        <v>凛志士 沖田総司</v>
      </c>
      <c r="D371" s="31">
        <f ca="1">VLOOKUP($B371,OFFSET(units!$A$1,0,0,COUNTA(units!$A:$A),MATCH(D$1,units!$1:$1,0)-COLUMN(INDIRECT("character_id"))+1),MATCH(D$1,units!$1:$1,0)-COLUMN(INDIRECT("character_id"))+1,FALSE)</f>
        <v>4</v>
      </c>
      <c r="E371" s="31" t="str">
        <f ca="1">VLOOKUP($B371,OFFSET(units!$A$1,0,0,COUNTA(units!$A:$A),MATCH(E$1,units!$1:$1,0)-COLUMN(INDIRECT("character_id"))+1),MATCH(E$1,units!$1:$1,0)-COLUMN(INDIRECT("character_id"))+1,FALSE)</f>
        <v>PremiumSS</v>
      </c>
      <c r="F371" s="56">
        <v>110</v>
      </c>
      <c r="G371" s="31" t="str">
        <f ca="1">VLOOKUP($F371,OFFSET(units!$A$1,0,0,COUNTA(units!$A:$A),MATCH(G$1,units!$1:$1,0)-COLUMN(INDIRECT("character_id"))+1),MATCH(G$1,units!$1:$1,0)-COLUMN(INDIRECT("character_id"))+1,FALSE)</f>
        <v>ブルーラビット</v>
      </c>
      <c r="H371" s="26">
        <v>1</v>
      </c>
      <c r="I371" s="202">
        <v>1</v>
      </c>
    </row>
    <row r="372" spans="1:9" x14ac:dyDescent="0.15">
      <c r="A372" s="96" t="str">
        <f t="shared" si="5"/>
        <v>326_95</v>
      </c>
      <c r="B372" s="59">
        <v>326</v>
      </c>
      <c r="C372" s="31" t="str">
        <f ca="1">VLOOKUP($B372,OFFSET(units!$A$1,0,0,COUNTA(units!$A:$A),MATCH(C$1,units!$1:$1,0)-COLUMN(INDIRECT("character_id"))+1),MATCH(C$1,units!$1:$1,0)-COLUMN(INDIRECT("character_id"))+1,FALSE)</f>
        <v>妖志士 斎藤一</v>
      </c>
      <c r="D372" s="31">
        <f ca="1">VLOOKUP($B372,OFFSET(units!$A$1,0,0,COUNTA(units!$A:$A),MATCH(D$1,units!$1:$1,0)-COLUMN(INDIRECT("character_id"))+1),MATCH(D$1,units!$1:$1,0)-COLUMN(INDIRECT("character_id"))+1,FALSE)</f>
        <v>4</v>
      </c>
      <c r="E372" s="31" t="str">
        <f ca="1">VLOOKUP($B372,OFFSET(units!$A$1,0,0,COUNTA(units!$A:$A),MATCH(E$1,units!$1:$1,0)-COLUMN(INDIRECT("character_id"))+1),MATCH(E$1,units!$1:$1,0)-COLUMN(INDIRECT("character_id"))+1,FALSE)</f>
        <v>PremiumSS</v>
      </c>
      <c r="F372" s="56">
        <v>95</v>
      </c>
      <c r="G372" s="31" t="str">
        <f ca="1">VLOOKUP($F372,OFFSET(units!$A$1,0,0,COUNTA(units!$A:$A),MATCH(G$1,units!$1:$1,0)-COLUMN(INDIRECT("character_id"))+1),MATCH(G$1,units!$1:$1,0)-COLUMN(INDIRECT("character_id"))+1,FALSE)</f>
        <v>守護者 白虎</v>
      </c>
      <c r="H372" s="26">
        <v>1</v>
      </c>
      <c r="I372" s="202">
        <v>1</v>
      </c>
    </row>
    <row r="373" spans="1:9" x14ac:dyDescent="0.15">
      <c r="A373" s="96" t="str">
        <f t="shared" si="5"/>
        <v>326_116</v>
      </c>
      <c r="B373" s="59">
        <v>326</v>
      </c>
      <c r="C373" s="31" t="str">
        <f ca="1">VLOOKUP($B373,OFFSET(units!$A$1,0,0,COUNTA(units!$A:$A),MATCH(C$1,units!$1:$1,0)-COLUMN(INDIRECT("character_id"))+1),MATCH(C$1,units!$1:$1,0)-COLUMN(INDIRECT("character_id"))+1,FALSE)</f>
        <v>妖志士 斎藤一</v>
      </c>
      <c r="D373" s="31">
        <f ca="1">VLOOKUP($B373,OFFSET(units!$A$1,0,0,COUNTA(units!$A:$A),MATCH(D$1,units!$1:$1,0)-COLUMN(INDIRECT("character_id"))+1),MATCH(D$1,units!$1:$1,0)-COLUMN(INDIRECT("character_id"))+1,FALSE)</f>
        <v>4</v>
      </c>
      <c r="E373" s="31" t="str">
        <f ca="1">VLOOKUP($B373,OFFSET(units!$A$1,0,0,COUNTA(units!$A:$A),MATCH(E$1,units!$1:$1,0)-COLUMN(INDIRECT("character_id"))+1),MATCH(E$1,units!$1:$1,0)-COLUMN(INDIRECT("character_id"))+1,FALSE)</f>
        <v>PremiumSS</v>
      </c>
      <c r="F373" s="56">
        <v>116</v>
      </c>
      <c r="G373" s="31" t="str">
        <f ca="1">VLOOKUP($F373,OFFSET(units!$A$1,0,0,COUNTA(units!$A:$A),MATCH(G$1,units!$1:$1,0)-COLUMN(INDIRECT("character_id"))+1),MATCH(G$1,units!$1:$1,0)-COLUMN(INDIRECT("character_id"))+1,FALSE)</f>
        <v>雷のマッドハッター</v>
      </c>
      <c r="H373" s="26">
        <v>2</v>
      </c>
      <c r="I373" s="202">
        <v>1</v>
      </c>
    </row>
    <row r="374" spans="1:9" x14ac:dyDescent="0.15">
      <c r="A374" s="96" t="str">
        <f t="shared" si="5"/>
        <v>326_115</v>
      </c>
      <c r="B374" s="59">
        <v>326</v>
      </c>
      <c r="C374" s="31" t="str">
        <f ca="1">VLOOKUP($B374,OFFSET(units!$A$1,0,0,COUNTA(units!$A:$A),MATCH(C$1,units!$1:$1,0)-COLUMN(INDIRECT("character_id"))+1),MATCH(C$1,units!$1:$1,0)-COLUMN(INDIRECT("character_id"))+1,FALSE)</f>
        <v>妖志士 斎藤一</v>
      </c>
      <c r="D374" s="31">
        <f ca="1">VLOOKUP($B374,OFFSET(units!$A$1,0,0,COUNTA(units!$A:$A),MATCH(D$1,units!$1:$1,0)-COLUMN(INDIRECT("character_id"))+1),MATCH(D$1,units!$1:$1,0)-COLUMN(INDIRECT("character_id"))+1,FALSE)</f>
        <v>4</v>
      </c>
      <c r="E374" s="31" t="str">
        <f ca="1">VLOOKUP($B374,OFFSET(units!$A$1,0,0,COUNTA(units!$A:$A),MATCH(E$1,units!$1:$1,0)-COLUMN(INDIRECT("character_id"))+1),MATCH(E$1,units!$1:$1,0)-COLUMN(INDIRECT("character_id"))+1,FALSE)</f>
        <v>PremiumSS</v>
      </c>
      <c r="F374" s="56">
        <v>115</v>
      </c>
      <c r="G374" s="31" t="str">
        <f ca="1">VLOOKUP($F374,OFFSET(units!$A$1,0,0,COUNTA(units!$A:$A),MATCH(G$1,units!$1:$1,0)-COLUMN(INDIRECT("character_id"))+1),MATCH(G$1,units!$1:$1,0)-COLUMN(INDIRECT("character_id"))+1,FALSE)</f>
        <v>イエローキャタップ</v>
      </c>
      <c r="H374" s="26">
        <v>1</v>
      </c>
      <c r="I374" s="202">
        <v>1</v>
      </c>
    </row>
    <row r="375" spans="1:9" x14ac:dyDescent="0.15">
      <c r="A375" s="96" t="str">
        <f t="shared" si="5"/>
        <v>326_114</v>
      </c>
      <c r="B375" s="59">
        <v>326</v>
      </c>
      <c r="C375" s="31" t="str">
        <f ca="1">VLOOKUP($B375,OFFSET(units!$A$1,0,0,COUNTA(units!$A:$A),MATCH(C$1,units!$1:$1,0)-COLUMN(INDIRECT("character_id"))+1),MATCH(C$1,units!$1:$1,0)-COLUMN(INDIRECT("character_id"))+1,FALSE)</f>
        <v>妖志士 斎藤一</v>
      </c>
      <c r="D375" s="31">
        <f ca="1">VLOOKUP($B375,OFFSET(units!$A$1,0,0,COUNTA(units!$A:$A),MATCH(D$1,units!$1:$1,0)-COLUMN(INDIRECT("character_id"))+1),MATCH(D$1,units!$1:$1,0)-COLUMN(INDIRECT("character_id"))+1,FALSE)</f>
        <v>4</v>
      </c>
      <c r="E375" s="31" t="str">
        <f ca="1">VLOOKUP($B375,OFFSET(units!$A$1,0,0,COUNTA(units!$A:$A),MATCH(E$1,units!$1:$1,0)-COLUMN(INDIRECT("character_id"))+1),MATCH(E$1,units!$1:$1,0)-COLUMN(INDIRECT("character_id"))+1,FALSE)</f>
        <v>PremiumSS</v>
      </c>
      <c r="F375" s="56">
        <v>114</v>
      </c>
      <c r="G375" s="31" t="str">
        <f ca="1">VLOOKUP($F375,OFFSET(units!$A$1,0,0,COUNTA(units!$A:$A),MATCH(G$1,units!$1:$1,0)-COLUMN(INDIRECT("character_id"))+1),MATCH(G$1,units!$1:$1,0)-COLUMN(INDIRECT("character_id"))+1,FALSE)</f>
        <v>イエローラビット</v>
      </c>
      <c r="H375" s="26">
        <v>1</v>
      </c>
      <c r="I375" s="202">
        <v>1</v>
      </c>
    </row>
    <row r="376" spans="1:9" x14ac:dyDescent="0.15">
      <c r="A376" s="96" t="str">
        <f t="shared" si="5"/>
        <v>348_334</v>
      </c>
      <c r="B376" s="59">
        <v>348</v>
      </c>
      <c r="C376" s="31" t="str">
        <f ca="1">VLOOKUP($B376,OFFSET(units!$A$1,0,0,COUNTA(units!$A:$A),MATCH(C$1,units!$1:$1,0)-COLUMN(INDIRECT("character_id"))+1),MATCH(C$1,units!$1:$1,0)-COLUMN(INDIRECT("character_id"))+1,FALSE)</f>
        <v>炎のケロケロ</v>
      </c>
      <c r="D376" s="31">
        <f ca="1">VLOOKUP($B376,OFFSET(units!$A$1,0,0,COUNTA(units!$A:$A),MATCH(D$1,units!$1:$1,0)-COLUMN(INDIRECT("character_id"))+1),MATCH(D$1,units!$1:$1,0)-COLUMN(INDIRECT("character_id"))+1,FALSE)</f>
        <v>5</v>
      </c>
      <c r="E376" s="31" t="str">
        <f ca="1">VLOOKUP($B376,OFFSET(units!$A$1,0,0,COUNTA(units!$A:$A),MATCH(E$1,units!$1:$1,0)-COLUMN(INDIRECT("character_id"))+1),MATCH(E$1,units!$1:$1,0)-COLUMN(INDIRECT("character_id"))+1,FALSE)</f>
        <v>Material</v>
      </c>
      <c r="F376" s="56">
        <v>334</v>
      </c>
      <c r="G376" s="31" t="str">
        <f ca="1">VLOOKUP($F376,OFFSET(units!$A$1,0,0,COUNTA(units!$A:$A),MATCH(G$1,units!$1:$1,0)-COLUMN(INDIRECT("character_id"))+1),MATCH(G$1,units!$1:$1,0)-COLUMN(INDIRECT("character_id"))+1,FALSE)</f>
        <v>炎のメタルダック</v>
      </c>
      <c r="H376" s="26">
        <v>2</v>
      </c>
      <c r="I376" s="202">
        <v>1</v>
      </c>
    </row>
    <row r="377" spans="1:9" x14ac:dyDescent="0.15">
      <c r="A377" s="96" t="str">
        <f t="shared" si="5"/>
        <v>350_338</v>
      </c>
      <c r="B377" s="59">
        <v>350</v>
      </c>
      <c r="C377" s="31" t="str">
        <f ca="1">VLOOKUP($B377,OFFSET(units!$A$1,0,0,COUNTA(units!$A:$A),MATCH(C$1,units!$1:$1,0)-COLUMN(INDIRECT("character_id"))+1),MATCH(C$1,units!$1:$1,0)-COLUMN(INDIRECT("character_id"))+1,FALSE)</f>
        <v>森のケロケロ</v>
      </c>
      <c r="D377" s="31">
        <f ca="1">VLOOKUP($B377,OFFSET(units!$A$1,0,0,COUNTA(units!$A:$A),MATCH(D$1,units!$1:$1,0)-COLUMN(INDIRECT("character_id"))+1),MATCH(D$1,units!$1:$1,0)-COLUMN(INDIRECT("character_id"))+1,FALSE)</f>
        <v>5</v>
      </c>
      <c r="E377" s="31" t="str">
        <f ca="1">VLOOKUP($B377,OFFSET(units!$A$1,0,0,COUNTA(units!$A:$A),MATCH(E$1,units!$1:$1,0)-COLUMN(INDIRECT("character_id"))+1),MATCH(E$1,units!$1:$1,0)-COLUMN(INDIRECT("character_id"))+1,FALSE)</f>
        <v>Material</v>
      </c>
      <c r="F377" s="56">
        <v>338</v>
      </c>
      <c r="G377" s="31" t="str">
        <f ca="1">VLOOKUP($F377,OFFSET(units!$A$1,0,0,COUNTA(units!$A:$A),MATCH(G$1,units!$1:$1,0)-COLUMN(INDIRECT("character_id"))+1),MATCH(G$1,units!$1:$1,0)-COLUMN(INDIRECT("character_id"))+1,FALSE)</f>
        <v>森のメタルダック</v>
      </c>
      <c r="H377" s="26">
        <v>2</v>
      </c>
      <c r="I377" s="202">
        <v>1</v>
      </c>
    </row>
    <row r="378" spans="1:9" x14ac:dyDescent="0.15">
      <c r="A378" s="96" t="str">
        <f t="shared" si="5"/>
        <v>352_342</v>
      </c>
      <c r="B378" s="59">
        <v>352</v>
      </c>
      <c r="C378" s="31" t="str">
        <f ca="1">VLOOKUP($B378,OFFSET(units!$A$1,0,0,COUNTA(units!$A:$A),MATCH(C$1,units!$1:$1,0)-COLUMN(INDIRECT("character_id"))+1),MATCH(C$1,units!$1:$1,0)-COLUMN(INDIRECT("character_id"))+1,FALSE)</f>
        <v>水のケロケロ</v>
      </c>
      <c r="D378" s="31">
        <f ca="1">VLOOKUP($B378,OFFSET(units!$A$1,0,0,COUNTA(units!$A:$A),MATCH(D$1,units!$1:$1,0)-COLUMN(INDIRECT("character_id"))+1),MATCH(D$1,units!$1:$1,0)-COLUMN(INDIRECT("character_id"))+1,FALSE)</f>
        <v>5</v>
      </c>
      <c r="E378" s="31" t="str">
        <f ca="1">VLOOKUP($B378,OFFSET(units!$A$1,0,0,COUNTA(units!$A:$A),MATCH(E$1,units!$1:$1,0)-COLUMN(INDIRECT("character_id"))+1),MATCH(E$1,units!$1:$1,0)-COLUMN(INDIRECT("character_id"))+1,FALSE)</f>
        <v>Material</v>
      </c>
      <c r="F378" s="56">
        <v>342</v>
      </c>
      <c r="G378" s="31" t="str">
        <f ca="1">VLOOKUP($F378,OFFSET(units!$A$1,0,0,COUNTA(units!$A:$A),MATCH(G$1,units!$1:$1,0)-COLUMN(INDIRECT("character_id"))+1),MATCH(G$1,units!$1:$1,0)-COLUMN(INDIRECT("character_id"))+1,FALSE)</f>
        <v>水のメタルダック</v>
      </c>
      <c r="H378" s="26">
        <v>2</v>
      </c>
      <c r="I378" s="202">
        <v>1</v>
      </c>
    </row>
    <row r="379" spans="1:9" x14ac:dyDescent="0.15">
      <c r="A379" s="96" t="str">
        <f t="shared" si="5"/>
        <v>354_346</v>
      </c>
      <c r="B379" s="59">
        <v>354</v>
      </c>
      <c r="C379" s="31" t="str">
        <f ca="1">VLOOKUP($B379,OFFSET(units!$A$1,0,0,COUNTA(units!$A:$A),MATCH(C$1,units!$1:$1,0)-COLUMN(INDIRECT("character_id"))+1),MATCH(C$1,units!$1:$1,0)-COLUMN(INDIRECT("character_id"))+1,FALSE)</f>
        <v>雷のケロケロ</v>
      </c>
      <c r="D379" s="31">
        <f ca="1">VLOOKUP($B379,OFFSET(units!$A$1,0,0,COUNTA(units!$A:$A),MATCH(D$1,units!$1:$1,0)-COLUMN(INDIRECT("character_id"))+1),MATCH(D$1,units!$1:$1,0)-COLUMN(INDIRECT("character_id"))+1,FALSE)</f>
        <v>5</v>
      </c>
      <c r="E379" s="31" t="str">
        <f ca="1">VLOOKUP($B379,OFFSET(units!$A$1,0,0,COUNTA(units!$A:$A),MATCH(E$1,units!$1:$1,0)-COLUMN(INDIRECT("character_id"))+1),MATCH(E$1,units!$1:$1,0)-COLUMN(INDIRECT("character_id"))+1,FALSE)</f>
        <v>Material</v>
      </c>
      <c r="F379" s="56">
        <v>346</v>
      </c>
      <c r="G379" s="31" t="str">
        <f ca="1">VLOOKUP($F379,OFFSET(units!$A$1,0,0,COUNTA(units!$A:$A),MATCH(G$1,units!$1:$1,0)-COLUMN(INDIRECT("character_id"))+1),MATCH(G$1,units!$1:$1,0)-COLUMN(INDIRECT("character_id"))+1,FALSE)</f>
        <v>雷のメタルダック</v>
      </c>
      <c r="H379" s="26">
        <v>2</v>
      </c>
      <c r="I379" s="202">
        <v>1</v>
      </c>
    </row>
    <row r="380" spans="1:9" x14ac:dyDescent="0.15">
      <c r="A380" s="96" t="str">
        <f t="shared" si="5"/>
        <v>360_102</v>
      </c>
      <c r="B380" s="59">
        <v>360</v>
      </c>
      <c r="C380" s="31" t="str">
        <f ca="1">VLOOKUP($B380,OFFSET(units!$A$1,0,0,COUNTA(units!$A:$A),MATCH(C$1,units!$1:$1,0)-COLUMN(INDIRECT("character_id"))+1),MATCH(C$1,units!$1:$1,0)-COLUMN(INDIRECT("character_id"))+1,FALSE)</f>
        <v>ガンテツ</v>
      </c>
      <c r="D380" s="31">
        <f ca="1">VLOOKUP($B380,OFFSET(units!$A$1,0,0,COUNTA(units!$A:$A),MATCH(D$1,units!$1:$1,0)-COLUMN(INDIRECT("character_id"))+1),MATCH(D$1,units!$1:$1,0)-COLUMN(INDIRECT("character_id"))+1,FALSE)</f>
        <v>2</v>
      </c>
      <c r="E380" s="31" t="str">
        <f ca="1">VLOOKUP($B380,OFFSET(units!$A$1,0,0,COUNTA(units!$A:$A),MATCH(E$1,units!$1:$1,0)-COLUMN(INDIRECT("character_id"))+1),MATCH(E$1,units!$1:$1,0)-COLUMN(INDIRECT("character_id"))+1,FALSE)</f>
        <v>Drop1S</v>
      </c>
      <c r="F380" s="56">
        <v>102</v>
      </c>
      <c r="G380" s="31" t="str">
        <f ca="1">VLOOKUP($F380,OFFSET(units!$A$1,0,0,COUNTA(units!$A:$A),MATCH(G$1,units!$1:$1,0)-COLUMN(INDIRECT("character_id"))+1),MATCH(G$1,units!$1:$1,0)-COLUMN(INDIRECT("character_id"))+1,FALSE)</f>
        <v>レッドラビット</v>
      </c>
      <c r="H380" s="26">
        <v>2</v>
      </c>
      <c r="I380" s="202">
        <v>1</v>
      </c>
    </row>
    <row r="381" spans="1:9" x14ac:dyDescent="0.15">
      <c r="A381" s="96" t="str">
        <f t="shared" si="5"/>
        <v>360_101</v>
      </c>
      <c r="B381" s="59">
        <v>360</v>
      </c>
      <c r="C381" s="31" t="str">
        <f ca="1">VLOOKUP($B381,OFFSET(units!$A$1,0,0,COUNTA(units!$A:$A),MATCH(C$1,units!$1:$1,0)-COLUMN(INDIRECT("character_id"))+1),MATCH(C$1,units!$1:$1,0)-COLUMN(INDIRECT("character_id"))+1,FALSE)</f>
        <v>ガンテツ</v>
      </c>
      <c r="D381" s="31">
        <f ca="1">VLOOKUP($B381,OFFSET(units!$A$1,0,0,COUNTA(units!$A:$A),MATCH(D$1,units!$1:$1,0)-COLUMN(INDIRECT("character_id"))+1),MATCH(D$1,units!$1:$1,0)-COLUMN(INDIRECT("character_id"))+1,FALSE)</f>
        <v>2</v>
      </c>
      <c r="E381" s="31" t="str">
        <f ca="1">VLOOKUP($B381,OFFSET(units!$A$1,0,0,COUNTA(units!$A:$A),MATCH(E$1,units!$1:$1,0)-COLUMN(INDIRECT("character_id"))+1),MATCH(E$1,units!$1:$1,0)-COLUMN(INDIRECT("character_id"))+1,FALSE)</f>
        <v>Drop1S</v>
      </c>
      <c r="F381" s="56">
        <v>101</v>
      </c>
      <c r="G381" s="31" t="str">
        <f ca="1">VLOOKUP($F381,OFFSET(units!$A$1,0,0,COUNTA(units!$A:$A),MATCH(G$1,units!$1:$1,0)-COLUMN(INDIRECT("character_id"))+1),MATCH(G$1,units!$1:$1,0)-COLUMN(INDIRECT("character_id"))+1,FALSE)</f>
        <v>レッドチェシャ</v>
      </c>
      <c r="H381" s="26">
        <v>1</v>
      </c>
      <c r="I381" s="202">
        <v>1</v>
      </c>
    </row>
    <row r="382" spans="1:9" x14ac:dyDescent="0.15">
      <c r="A382" s="96" t="str">
        <f t="shared" si="5"/>
        <v>362_106</v>
      </c>
      <c r="B382" s="59">
        <v>362</v>
      </c>
      <c r="C382" s="31" t="str">
        <f ca="1">VLOOKUP($B382,OFFSET(units!$A$1,0,0,COUNTA(units!$A:$A),MATCH(C$1,units!$1:$1,0)-COLUMN(INDIRECT("character_id"))+1),MATCH(C$1,units!$1:$1,0)-COLUMN(INDIRECT("character_id"))+1,FALSE)</f>
        <v>ゆらら</v>
      </c>
      <c r="D382" s="31">
        <f ca="1">VLOOKUP($B382,OFFSET(units!$A$1,0,0,COUNTA(units!$A:$A),MATCH(D$1,units!$1:$1,0)-COLUMN(INDIRECT("character_id"))+1),MATCH(D$1,units!$1:$1,0)-COLUMN(INDIRECT("character_id"))+1,FALSE)</f>
        <v>2</v>
      </c>
      <c r="E382" s="31" t="str">
        <f ca="1">VLOOKUP($B382,OFFSET(units!$A$1,0,0,COUNTA(units!$A:$A),MATCH(E$1,units!$1:$1,0)-COLUMN(INDIRECT("character_id"))+1),MATCH(E$1,units!$1:$1,0)-COLUMN(INDIRECT("character_id"))+1,FALSE)</f>
        <v>Drop1S</v>
      </c>
      <c r="F382" s="56">
        <v>106</v>
      </c>
      <c r="G382" s="31" t="str">
        <f ca="1">VLOOKUP($F382,OFFSET(units!$A$1,0,0,COUNTA(units!$A:$A),MATCH(G$1,units!$1:$1,0)-COLUMN(INDIRECT("character_id"))+1),MATCH(G$1,units!$1:$1,0)-COLUMN(INDIRECT("character_id"))+1,FALSE)</f>
        <v>グリーンラビット</v>
      </c>
      <c r="H382" s="26">
        <v>2</v>
      </c>
      <c r="I382" s="202">
        <v>1</v>
      </c>
    </row>
    <row r="383" spans="1:9" x14ac:dyDescent="0.15">
      <c r="A383" s="96" t="str">
        <f t="shared" si="5"/>
        <v>362_105</v>
      </c>
      <c r="B383" s="59">
        <v>362</v>
      </c>
      <c r="C383" s="31" t="str">
        <f ca="1">VLOOKUP($B383,OFFSET(units!$A$1,0,0,COUNTA(units!$A:$A),MATCH(C$1,units!$1:$1,0)-COLUMN(INDIRECT("character_id"))+1),MATCH(C$1,units!$1:$1,0)-COLUMN(INDIRECT("character_id"))+1,FALSE)</f>
        <v>ゆらら</v>
      </c>
      <c r="D383" s="31">
        <f ca="1">VLOOKUP($B383,OFFSET(units!$A$1,0,0,COUNTA(units!$A:$A),MATCH(D$1,units!$1:$1,0)-COLUMN(INDIRECT("character_id"))+1),MATCH(D$1,units!$1:$1,0)-COLUMN(INDIRECT("character_id"))+1,FALSE)</f>
        <v>2</v>
      </c>
      <c r="E383" s="31" t="str">
        <f ca="1">VLOOKUP($B383,OFFSET(units!$A$1,0,0,COUNTA(units!$A:$A),MATCH(E$1,units!$1:$1,0)-COLUMN(INDIRECT("character_id"))+1),MATCH(E$1,units!$1:$1,0)-COLUMN(INDIRECT("character_id"))+1,FALSE)</f>
        <v>Drop1S</v>
      </c>
      <c r="F383" s="56">
        <v>105</v>
      </c>
      <c r="G383" s="31" t="str">
        <f ca="1">VLOOKUP($F383,OFFSET(units!$A$1,0,0,COUNTA(units!$A:$A),MATCH(G$1,units!$1:$1,0)-COLUMN(INDIRECT("character_id"))+1),MATCH(G$1,units!$1:$1,0)-COLUMN(INDIRECT("character_id"))+1,FALSE)</f>
        <v>グリーンチェシャ</v>
      </c>
      <c r="H383" s="26">
        <v>1</v>
      </c>
      <c r="I383" s="202">
        <v>1</v>
      </c>
    </row>
    <row r="384" spans="1:9" x14ac:dyDescent="0.15">
      <c r="A384" s="96" t="str">
        <f t="shared" si="5"/>
        <v>364_110</v>
      </c>
      <c r="B384" s="59">
        <v>364</v>
      </c>
      <c r="C384" s="31" t="str">
        <f ca="1">VLOOKUP($B384,OFFSET(units!$A$1,0,0,COUNTA(units!$A:$A),MATCH(C$1,units!$1:$1,0)-COLUMN(INDIRECT("character_id"))+1),MATCH(C$1,units!$1:$1,0)-COLUMN(INDIRECT("character_id"))+1,FALSE)</f>
        <v>ノエル</v>
      </c>
      <c r="D384" s="31">
        <f ca="1">VLOOKUP($B384,OFFSET(units!$A$1,0,0,COUNTA(units!$A:$A),MATCH(D$1,units!$1:$1,0)-COLUMN(INDIRECT("character_id"))+1),MATCH(D$1,units!$1:$1,0)-COLUMN(INDIRECT("character_id"))+1,FALSE)</f>
        <v>2</v>
      </c>
      <c r="E384" s="31" t="str">
        <f ca="1">VLOOKUP($B384,OFFSET(units!$A$1,0,0,COUNTA(units!$A:$A),MATCH(E$1,units!$1:$1,0)-COLUMN(INDIRECT("character_id"))+1),MATCH(E$1,units!$1:$1,0)-COLUMN(INDIRECT("character_id"))+1,FALSE)</f>
        <v>Drop1S</v>
      </c>
      <c r="F384" s="56">
        <v>110</v>
      </c>
      <c r="G384" s="31" t="str">
        <f ca="1">VLOOKUP($F384,OFFSET(units!$A$1,0,0,COUNTA(units!$A:$A),MATCH(G$1,units!$1:$1,0)-COLUMN(INDIRECT("character_id"))+1),MATCH(G$1,units!$1:$1,0)-COLUMN(INDIRECT("character_id"))+1,FALSE)</f>
        <v>ブルーラビット</v>
      </c>
      <c r="H384" s="26">
        <v>2</v>
      </c>
      <c r="I384" s="202">
        <v>1</v>
      </c>
    </row>
    <row r="385" spans="1:9" x14ac:dyDescent="0.15">
      <c r="A385" s="96" t="str">
        <f t="shared" si="5"/>
        <v>364_109</v>
      </c>
      <c r="B385" s="59">
        <v>364</v>
      </c>
      <c r="C385" s="31" t="str">
        <f ca="1">VLOOKUP($B385,OFFSET(units!$A$1,0,0,COUNTA(units!$A:$A),MATCH(C$1,units!$1:$1,0)-COLUMN(INDIRECT("character_id"))+1),MATCH(C$1,units!$1:$1,0)-COLUMN(INDIRECT("character_id"))+1,FALSE)</f>
        <v>ノエル</v>
      </c>
      <c r="D385" s="31">
        <f ca="1">VLOOKUP($B385,OFFSET(units!$A$1,0,0,COUNTA(units!$A:$A),MATCH(D$1,units!$1:$1,0)-COLUMN(INDIRECT("character_id"))+1),MATCH(D$1,units!$1:$1,0)-COLUMN(INDIRECT("character_id"))+1,FALSE)</f>
        <v>2</v>
      </c>
      <c r="E385" s="31" t="str">
        <f ca="1">VLOOKUP($B385,OFFSET(units!$A$1,0,0,COUNTA(units!$A:$A),MATCH(E$1,units!$1:$1,0)-COLUMN(INDIRECT("character_id"))+1),MATCH(E$1,units!$1:$1,0)-COLUMN(INDIRECT("character_id"))+1,FALSE)</f>
        <v>Drop1S</v>
      </c>
      <c r="F385" s="56">
        <v>109</v>
      </c>
      <c r="G385" s="31" t="str">
        <f ca="1">VLOOKUP($F385,OFFSET(units!$A$1,0,0,COUNTA(units!$A:$A),MATCH(G$1,units!$1:$1,0)-COLUMN(INDIRECT("character_id"))+1),MATCH(G$1,units!$1:$1,0)-COLUMN(INDIRECT("character_id"))+1,FALSE)</f>
        <v>ブルーチェシャ</v>
      </c>
      <c r="H385" s="26">
        <v>1</v>
      </c>
      <c r="I385" s="202">
        <v>1</v>
      </c>
    </row>
    <row r="386" spans="1:9" x14ac:dyDescent="0.15">
      <c r="A386" s="96" t="str">
        <f t="shared" ref="A386:A449" si="6">B386&amp;"_"&amp;F386</f>
        <v>366_114</v>
      </c>
      <c r="B386" s="59">
        <v>366</v>
      </c>
      <c r="C386" s="31" t="str">
        <f ca="1">VLOOKUP($B386,OFFSET(units!$A$1,0,0,COUNTA(units!$A:$A),MATCH(C$1,units!$1:$1,0)-COLUMN(INDIRECT("character_id"))+1),MATCH(C$1,units!$1:$1,0)-COLUMN(INDIRECT("character_id"))+1,FALSE)</f>
        <v>トト</v>
      </c>
      <c r="D386" s="31">
        <f ca="1">VLOOKUP($B386,OFFSET(units!$A$1,0,0,COUNTA(units!$A:$A),MATCH(D$1,units!$1:$1,0)-COLUMN(INDIRECT("character_id"))+1),MATCH(D$1,units!$1:$1,0)-COLUMN(INDIRECT("character_id"))+1,FALSE)</f>
        <v>2</v>
      </c>
      <c r="E386" s="31" t="str">
        <f ca="1">VLOOKUP($B386,OFFSET(units!$A$1,0,0,COUNTA(units!$A:$A),MATCH(E$1,units!$1:$1,0)-COLUMN(INDIRECT("character_id"))+1),MATCH(E$1,units!$1:$1,0)-COLUMN(INDIRECT("character_id"))+1,FALSE)</f>
        <v>Drop1S</v>
      </c>
      <c r="F386" s="56">
        <v>114</v>
      </c>
      <c r="G386" s="31" t="str">
        <f ca="1">VLOOKUP($F386,OFFSET(units!$A$1,0,0,COUNTA(units!$A:$A),MATCH(G$1,units!$1:$1,0)-COLUMN(INDIRECT("character_id"))+1),MATCH(G$1,units!$1:$1,0)-COLUMN(INDIRECT("character_id"))+1,FALSE)</f>
        <v>イエローラビット</v>
      </c>
      <c r="H386" s="26">
        <v>2</v>
      </c>
      <c r="I386" s="202">
        <v>1</v>
      </c>
    </row>
    <row r="387" spans="1:9" x14ac:dyDescent="0.15">
      <c r="A387" s="96" t="str">
        <f t="shared" si="6"/>
        <v>366_113</v>
      </c>
      <c r="B387" s="59">
        <v>366</v>
      </c>
      <c r="C387" s="31" t="str">
        <f ca="1">VLOOKUP($B387,OFFSET(units!$A$1,0,0,COUNTA(units!$A:$A),MATCH(C$1,units!$1:$1,0)-COLUMN(INDIRECT("character_id"))+1),MATCH(C$1,units!$1:$1,0)-COLUMN(INDIRECT("character_id"))+1,FALSE)</f>
        <v>トト</v>
      </c>
      <c r="D387" s="31">
        <f ca="1">VLOOKUP($B387,OFFSET(units!$A$1,0,0,COUNTA(units!$A:$A),MATCH(D$1,units!$1:$1,0)-COLUMN(INDIRECT("character_id"))+1),MATCH(D$1,units!$1:$1,0)-COLUMN(INDIRECT("character_id"))+1,FALSE)</f>
        <v>2</v>
      </c>
      <c r="E387" s="31" t="str">
        <f ca="1">VLOOKUP($B387,OFFSET(units!$A$1,0,0,COUNTA(units!$A:$A),MATCH(E$1,units!$1:$1,0)-COLUMN(INDIRECT("character_id"))+1),MATCH(E$1,units!$1:$1,0)-COLUMN(INDIRECT("character_id"))+1,FALSE)</f>
        <v>Drop1S</v>
      </c>
      <c r="F387" s="56">
        <v>113</v>
      </c>
      <c r="G387" s="31" t="str">
        <f ca="1">VLOOKUP($F387,OFFSET(units!$A$1,0,0,COUNTA(units!$A:$A),MATCH(G$1,units!$1:$1,0)-COLUMN(INDIRECT("character_id"))+1),MATCH(G$1,units!$1:$1,0)-COLUMN(INDIRECT("character_id"))+1,FALSE)</f>
        <v>イエローチェシャ</v>
      </c>
      <c r="H387" s="26">
        <v>1</v>
      </c>
      <c r="I387" s="202">
        <v>1</v>
      </c>
    </row>
    <row r="388" spans="1:9" x14ac:dyDescent="0.15">
      <c r="A388" s="96" t="str">
        <f t="shared" si="6"/>
        <v>368_104</v>
      </c>
      <c r="B388" s="59">
        <v>368</v>
      </c>
      <c r="C388" s="31" t="str">
        <f ca="1">VLOOKUP($B388,OFFSET(units!$A$1,0,0,COUNTA(units!$A:$A),MATCH(C$1,units!$1:$1,0)-COLUMN(INDIRECT("character_id"))+1),MATCH(C$1,units!$1:$1,0)-COLUMN(INDIRECT("character_id"))+1,FALSE)</f>
        <v>ボイル</v>
      </c>
      <c r="D388" s="31">
        <f ca="1">VLOOKUP($B388,OFFSET(units!$A$1,0,0,COUNTA(units!$A:$A),MATCH(D$1,units!$1:$1,0)-COLUMN(INDIRECT("character_id"))+1),MATCH(D$1,units!$1:$1,0)-COLUMN(INDIRECT("character_id"))+1,FALSE)</f>
        <v>4</v>
      </c>
      <c r="E388" s="31" t="str">
        <f ca="1">VLOOKUP($B388,OFFSET(units!$A$1,0,0,COUNTA(units!$A:$A),MATCH(E$1,units!$1:$1,0)-COLUMN(INDIRECT("character_id"))+1),MATCH(E$1,units!$1:$1,0)-COLUMN(INDIRECT("character_id"))+1,FALSE)</f>
        <v>DropWizN</v>
      </c>
      <c r="F388" s="56">
        <v>104</v>
      </c>
      <c r="G388" s="31" t="str">
        <f ca="1">VLOOKUP($F388,OFFSET(units!$A$1,0,0,COUNTA(units!$A:$A),MATCH(G$1,units!$1:$1,0)-COLUMN(INDIRECT("character_id"))+1),MATCH(G$1,units!$1:$1,0)-COLUMN(INDIRECT("character_id"))+1,FALSE)</f>
        <v>炎のマッドハッター</v>
      </c>
      <c r="H388" s="26">
        <v>1</v>
      </c>
      <c r="I388" s="202">
        <v>1</v>
      </c>
    </row>
    <row r="389" spans="1:9" x14ac:dyDescent="0.15">
      <c r="A389" s="96" t="str">
        <f t="shared" si="6"/>
        <v>368_103</v>
      </c>
      <c r="B389" s="59">
        <v>368</v>
      </c>
      <c r="C389" s="31" t="str">
        <f ca="1">VLOOKUP($B389,OFFSET(units!$A$1,0,0,COUNTA(units!$A:$A),MATCH(C$1,units!$1:$1,0)-COLUMN(INDIRECT("character_id"))+1),MATCH(C$1,units!$1:$1,0)-COLUMN(INDIRECT("character_id"))+1,FALSE)</f>
        <v>ボイル</v>
      </c>
      <c r="D389" s="31">
        <f ca="1">VLOOKUP($B389,OFFSET(units!$A$1,0,0,COUNTA(units!$A:$A),MATCH(D$1,units!$1:$1,0)-COLUMN(INDIRECT("character_id"))+1),MATCH(D$1,units!$1:$1,0)-COLUMN(INDIRECT("character_id"))+1,FALSE)</f>
        <v>4</v>
      </c>
      <c r="E389" s="31" t="str">
        <f ca="1">VLOOKUP($B389,OFFSET(units!$A$1,0,0,COUNTA(units!$A:$A),MATCH(E$1,units!$1:$1,0)-COLUMN(INDIRECT("character_id"))+1),MATCH(E$1,units!$1:$1,0)-COLUMN(INDIRECT("character_id"))+1,FALSE)</f>
        <v>DropWizN</v>
      </c>
      <c r="F389" s="56">
        <v>103</v>
      </c>
      <c r="G389" s="31" t="str">
        <f ca="1">VLOOKUP($F389,OFFSET(units!$A$1,0,0,COUNTA(units!$A:$A),MATCH(G$1,units!$1:$1,0)-COLUMN(INDIRECT("character_id"))+1),MATCH(G$1,units!$1:$1,0)-COLUMN(INDIRECT("character_id"))+1,FALSE)</f>
        <v>レッドキャタップ</v>
      </c>
      <c r="H389" s="26">
        <v>1</v>
      </c>
      <c r="I389" s="202">
        <v>1</v>
      </c>
    </row>
    <row r="390" spans="1:9" x14ac:dyDescent="0.15">
      <c r="A390" s="96" t="str">
        <f t="shared" si="6"/>
        <v>368_102</v>
      </c>
      <c r="B390" s="59">
        <v>368</v>
      </c>
      <c r="C390" s="31" t="str">
        <f ca="1">VLOOKUP($B390,OFFSET(units!$A$1,0,0,COUNTA(units!$A:$A),MATCH(C$1,units!$1:$1,0)-COLUMN(INDIRECT("character_id"))+1),MATCH(C$1,units!$1:$1,0)-COLUMN(INDIRECT("character_id"))+1,FALSE)</f>
        <v>ボイル</v>
      </c>
      <c r="D390" s="31">
        <f ca="1">VLOOKUP($B390,OFFSET(units!$A$1,0,0,COUNTA(units!$A:$A),MATCH(D$1,units!$1:$1,0)-COLUMN(INDIRECT("character_id"))+1),MATCH(D$1,units!$1:$1,0)-COLUMN(INDIRECT("character_id"))+1,FALSE)</f>
        <v>4</v>
      </c>
      <c r="E390" s="31" t="str">
        <f ca="1">VLOOKUP($B390,OFFSET(units!$A$1,0,0,COUNTA(units!$A:$A),MATCH(E$1,units!$1:$1,0)-COLUMN(INDIRECT("character_id"))+1),MATCH(E$1,units!$1:$1,0)-COLUMN(INDIRECT("character_id"))+1,FALSE)</f>
        <v>DropWizN</v>
      </c>
      <c r="F390" s="56">
        <v>102</v>
      </c>
      <c r="G390" s="31" t="str">
        <f ca="1">VLOOKUP($F390,OFFSET(units!$A$1,0,0,COUNTA(units!$A:$A),MATCH(G$1,units!$1:$1,0)-COLUMN(INDIRECT("character_id"))+1),MATCH(G$1,units!$1:$1,0)-COLUMN(INDIRECT("character_id"))+1,FALSE)</f>
        <v>レッドラビット</v>
      </c>
      <c r="H390" s="26">
        <v>3</v>
      </c>
      <c r="I390" s="202">
        <v>1</v>
      </c>
    </row>
    <row r="391" spans="1:9" x14ac:dyDescent="0.15">
      <c r="A391" s="96" t="str">
        <f t="shared" si="6"/>
        <v>296_357</v>
      </c>
      <c r="B391" s="59">
        <v>296</v>
      </c>
      <c r="C391" s="31" t="str">
        <f ca="1">VLOOKUP($B391,OFFSET(units!$A$1,0,0,COUNTA(units!$A:$A),MATCH(C$1,units!$1:$1,0)-COLUMN(INDIRECT("character_id"))+1),MATCH(C$1,units!$1:$1,0)-COLUMN(INDIRECT("character_id"))+1,FALSE)</f>
        <v>アザゼル</v>
      </c>
      <c r="D391" s="31">
        <f ca="1">VLOOKUP($B391,OFFSET(units!$A$1,0,0,COUNTA(units!$A:$A),MATCH(D$1,units!$1:$1,0)-COLUMN(INDIRECT("character_id"))+1),MATCH(D$1,units!$1:$1,0)-COLUMN(INDIRECT("character_id"))+1,FALSE)</f>
        <v>4</v>
      </c>
      <c r="E391" s="31" t="str">
        <f ca="1">VLOOKUP($B391,OFFSET(units!$A$1,0,0,COUNTA(units!$A:$A),MATCH(E$1,units!$1:$1,0)-COLUMN(INDIRECT("character_id"))+1),MATCH(E$1,units!$1:$1,0)-COLUMN(INDIRECT("character_id"))+1,FALSE)</f>
        <v>DropWizS</v>
      </c>
      <c r="F391" s="56">
        <v>357</v>
      </c>
      <c r="G391" s="31" t="str">
        <f ca="1">VLOOKUP($F391,OFFSET(units!$A$1,0,0,COUNTA(units!$A:$A),MATCH(G$1,units!$1:$1,0)-COLUMN(INDIRECT("character_id"))+1),MATCH(G$1,units!$1:$1,0)-COLUMN(INDIRECT("character_id"))+1,FALSE)</f>
        <v>千風のグリフォン</v>
      </c>
      <c r="H391" s="26">
        <v>3</v>
      </c>
      <c r="I391" s="202">
        <v>1</v>
      </c>
    </row>
    <row r="392" spans="1:9" x14ac:dyDescent="0.15">
      <c r="A392" s="96" t="str">
        <f t="shared" si="6"/>
        <v>296_262</v>
      </c>
      <c r="B392" s="59">
        <v>296</v>
      </c>
      <c r="C392" s="31" t="str">
        <f ca="1">VLOOKUP($B392,OFFSET(units!$A$1,0,0,COUNTA(units!$A:$A),MATCH(C$1,units!$1:$1,0)-COLUMN(INDIRECT("character_id"))+1),MATCH(C$1,units!$1:$1,0)-COLUMN(INDIRECT("character_id"))+1,FALSE)</f>
        <v>アザゼル</v>
      </c>
      <c r="D392" s="31">
        <f ca="1">VLOOKUP($B392,OFFSET(units!$A$1,0,0,COUNTA(units!$A:$A),MATCH(D$1,units!$1:$1,0)-COLUMN(INDIRECT("character_id"))+1),MATCH(D$1,units!$1:$1,0)-COLUMN(INDIRECT("character_id"))+1,FALSE)</f>
        <v>4</v>
      </c>
      <c r="E392" s="31" t="str">
        <f ca="1">VLOOKUP($B392,OFFSET(units!$A$1,0,0,COUNTA(units!$A:$A),MATCH(E$1,units!$1:$1,0)-COLUMN(INDIRECT("character_id"))+1),MATCH(E$1,units!$1:$1,0)-COLUMN(INDIRECT("character_id"))+1,FALSE)</f>
        <v>DropWizS</v>
      </c>
      <c r="F392" s="56">
        <v>262</v>
      </c>
      <c r="G392" s="31" t="str">
        <f ca="1">VLOOKUP($F392,OFFSET(units!$A$1,0,0,COUNTA(units!$A:$A),MATCH(G$1,units!$1:$1,0)-COLUMN(INDIRECT("character_id"))+1),MATCH(G$1,units!$1:$1,0)-COLUMN(INDIRECT("character_id"))+1,FALSE)</f>
        <v>アシュリー</v>
      </c>
      <c r="H392" s="26">
        <v>1</v>
      </c>
      <c r="I392" s="202">
        <v>1</v>
      </c>
    </row>
    <row r="393" spans="1:9" x14ac:dyDescent="0.15">
      <c r="A393" s="96" t="str">
        <f t="shared" si="6"/>
        <v>296_294</v>
      </c>
      <c r="B393" s="59">
        <v>296</v>
      </c>
      <c r="C393" s="31" t="str">
        <f ca="1">VLOOKUP($B393,OFFSET(units!$A$1,0,0,COUNTA(units!$A:$A),MATCH(C$1,units!$1:$1,0)-COLUMN(INDIRECT("character_id"))+1),MATCH(C$1,units!$1:$1,0)-COLUMN(INDIRECT("character_id"))+1,FALSE)</f>
        <v>アザゼル</v>
      </c>
      <c r="D393" s="31">
        <f ca="1">VLOOKUP($B393,OFFSET(units!$A$1,0,0,COUNTA(units!$A:$A),MATCH(D$1,units!$1:$1,0)-COLUMN(INDIRECT("character_id"))+1),MATCH(D$1,units!$1:$1,0)-COLUMN(INDIRECT("character_id"))+1,FALSE)</f>
        <v>4</v>
      </c>
      <c r="E393" s="31" t="str">
        <f ca="1">VLOOKUP($B393,OFFSET(units!$A$1,0,0,COUNTA(units!$A:$A),MATCH(E$1,units!$1:$1,0)-COLUMN(INDIRECT("character_id"))+1),MATCH(E$1,units!$1:$1,0)-COLUMN(INDIRECT("character_id"))+1,FALSE)</f>
        <v>DropWizS</v>
      </c>
      <c r="F393" s="56">
        <v>294</v>
      </c>
      <c r="G393" s="31" t="str">
        <f ca="1">VLOOKUP($F393,OFFSET(units!$A$1,0,0,COUNTA(units!$A:$A),MATCH(G$1,units!$1:$1,0)-COLUMN(INDIRECT("character_id"))+1),MATCH(G$1,units!$1:$1,0)-COLUMN(INDIRECT("character_id"))+1,FALSE)</f>
        <v>ウルフ・ザ・レッドイーター</v>
      </c>
      <c r="H393" s="26">
        <v>1</v>
      </c>
      <c r="I393" s="202">
        <v>1</v>
      </c>
    </row>
    <row r="394" spans="1:9" ht="21" customHeight="1" x14ac:dyDescent="0.15">
      <c r="A394" s="96" t="str">
        <f t="shared" si="6"/>
        <v>380_103</v>
      </c>
      <c r="B394" s="56">
        <v>380</v>
      </c>
      <c r="C394" s="31" t="str">
        <f ca="1">VLOOKUP($B394,OFFSET(units!$A$1,0,0,COUNTA(units!$A:$A),MATCH(C$1,units!$1:$1,0)-COLUMN(INDIRECT("character_id"))+1),MATCH(C$1,units!$1:$1,0)-COLUMN(INDIRECT("character_id"))+1,FALSE)</f>
        <v>バハムート</v>
      </c>
      <c r="D394" s="31">
        <f ca="1">VLOOKUP($B394,OFFSET(units!$A$1,0,0,COUNTA(units!$A:$A),MATCH(D$1,units!$1:$1,0)-COLUMN(INDIRECT("character_id"))+1),MATCH(D$1,units!$1:$1,0)-COLUMN(INDIRECT("character_id"))+1,FALSE)</f>
        <v>3</v>
      </c>
      <c r="E394" s="31" t="str">
        <f ca="1">VLOOKUP($B394,OFFSET(units!$A$1,0,0,COUNTA(units!$A:$A),MATCH(E$1,units!$1:$1,0)-COLUMN(INDIRECT("character_id"))+1),MATCH(E$1,units!$1:$1,0)-COLUMN(INDIRECT("character_id"))+1,FALSE)</f>
        <v>PremiumS</v>
      </c>
      <c r="F394" s="56">
        <v>103</v>
      </c>
      <c r="G394" s="31" t="str">
        <f ca="1">VLOOKUP($F394,OFFSET(units!$A$1,0,0,COUNTA(units!$A:$A),MATCH(G$1,units!$1:$1,0)-COLUMN(INDIRECT("character_id"))+1),MATCH(G$1,units!$1:$1,0)-COLUMN(INDIRECT("character_id"))+1,FALSE)</f>
        <v>レッドキャタップ</v>
      </c>
      <c r="H394" s="26">
        <v>3</v>
      </c>
      <c r="I394" s="202">
        <v>1</v>
      </c>
    </row>
    <row r="395" spans="1:9" ht="21" customHeight="1" x14ac:dyDescent="0.15">
      <c r="A395" s="96" t="str">
        <f t="shared" si="6"/>
        <v>380_102</v>
      </c>
      <c r="B395" s="56">
        <v>380</v>
      </c>
      <c r="C395" s="31" t="str">
        <f ca="1">VLOOKUP($B395,OFFSET(units!$A$1,0,0,COUNTA(units!$A:$A),MATCH(C$1,units!$1:$1,0)-COLUMN(INDIRECT("character_id"))+1),MATCH(C$1,units!$1:$1,0)-COLUMN(INDIRECT("character_id"))+1,FALSE)</f>
        <v>バハムート</v>
      </c>
      <c r="D395" s="31">
        <f ca="1">VLOOKUP($B395,OFFSET(units!$A$1,0,0,COUNTA(units!$A:$A),MATCH(D$1,units!$1:$1,0)-COLUMN(INDIRECT("character_id"))+1),MATCH(D$1,units!$1:$1,0)-COLUMN(INDIRECT("character_id"))+1,FALSE)</f>
        <v>3</v>
      </c>
      <c r="E395" s="31" t="str">
        <f ca="1">VLOOKUP($B395,OFFSET(units!$A$1,0,0,COUNTA(units!$A:$A),MATCH(E$1,units!$1:$1,0)-COLUMN(INDIRECT("character_id"))+1),MATCH(E$1,units!$1:$1,0)-COLUMN(INDIRECT("character_id"))+1,FALSE)</f>
        <v>PremiumS</v>
      </c>
      <c r="F395" s="56">
        <v>102</v>
      </c>
      <c r="G395" s="31" t="str">
        <f ca="1">VLOOKUP($F395,OFFSET(units!$A$1,0,0,COUNTA(units!$A:$A),MATCH(G$1,units!$1:$1,0)-COLUMN(INDIRECT("character_id"))+1),MATCH(G$1,units!$1:$1,0)-COLUMN(INDIRECT("character_id"))+1,FALSE)</f>
        <v>レッドラビット</v>
      </c>
      <c r="H395" s="26">
        <v>1</v>
      </c>
      <c r="I395" s="202">
        <v>1</v>
      </c>
    </row>
    <row r="396" spans="1:9" ht="21" customHeight="1" x14ac:dyDescent="0.15">
      <c r="A396" s="96" t="str">
        <f t="shared" si="6"/>
        <v>381_104</v>
      </c>
      <c r="B396" s="56">
        <v>381</v>
      </c>
      <c r="C396" s="31" t="str">
        <f ca="1">VLOOKUP($B396,OFFSET(units!$A$1,0,0,COUNTA(units!$A:$A),MATCH(C$1,units!$1:$1,0)-COLUMN(INDIRECT("character_id"))+1),MATCH(C$1,units!$1:$1,0)-COLUMN(INDIRECT("character_id"))+1,FALSE)</f>
        <v>肉食の恋火 バハムート</v>
      </c>
      <c r="D396" s="31">
        <f ca="1">VLOOKUP($B396,OFFSET(units!$A$1,0,0,COUNTA(units!$A:$A),MATCH(D$1,units!$1:$1,0)-COLUMN(INDIRECT("character_id"))+1),MATCH(D$1,units!$1:$1,0)-COLUMN(INDIRECT("character_id"))+1,FALSE)</f>
        <v>4</v>
      </c>
      <c r="E396" s="31" t="str">
        <f ca="1">VLOOKUP($B396,OFFSET(units!$A$1,0,0,COUNTA(units!$A:$A),MATCH(E$1,units!$1:$1,0)-COLUMN(INDIRECT("character_id"))+1),MATCH(E$1,units!$1:$1,0)-COLUMN(INDIRECT("character_id"))+1,FALSE)</f>
        <v>PremiumS</v>
      </c>
      <c r="F396" s="56">
        <v>104</v>
      </c>
      <c r="G396" s="31" t="str">
        <f ca="1">VLOOKUP($F396,OFFSET(units!$A$1,0,0,COUNTA(units!$A:$A),MATCH(G$1,units!$1:$1,0)-COLUMN(INDIRECT("character_id"))+1),MATCH(G$1,units!$1:$1,0)-COLUMN(INDIRECT("character_id"))+1,FALSE)</f>
        <v>炎のマッドハッター</v>
      </c>
      <c r="H396" s="26">
        <v>2</v>
      </c>
      <c r="I396" s="202">
        <v>1</v>
      </c>
    </row>
    <row r="397" spans="1:9" ht="21" customHeight="1" x14ac:dyDescent="0.15">
      <c r="A397" s="96" t="str">
        <f t="shared" si="6"/>
        <v>381_103</v>
      </c>
      <c r="B397" s="56">
        <v>381</v>
      </c>
      <c r="C397" s="31" t="str">
        <f ca="1">VLOOKUP($B397,OFFSET(units!$A$1,0,0,COUNTA(units!$A:$A),MATCH(C$1,units!$1:$1,0)-COLUMN(INDIRECT("character_id"))+1),MATCH(C$1,units!$1:$1,0)-COLUMN(INDIRECT("character_id"))+1,FALSE)</f>
        <v>肉食の恋火 バハムート</v>
      </c>
      <c r="D397" s="31">
        <f ca="1">VLOOKUP($B397,OFFSET(units!$A$1,0,0,COUNTA(units!$A:$A),MATCH(D$1,units!$1:$1,0)-COLUMN(INDIRECT("character_id"))+1),MATCH(D$1,units!$1:$1,0)-COLUMN(INDIRECT("character_id"))+1,FALSE)</f>
        <v>4</v>
      </c>
      <c r="E397" s="31" t="str">
        <f ca="1">VLOOKUP($B397,OFFSET(units!$A$1,0,0,COUNTA(units!$A:$A),MATCH(E$1,units!$1:$1,0)-COLUMN(INDIRECT("character_id"))+1),MATCH(E$1,units!$1:$1,0)-COLUMN(INDIRECT("character_id"))+1,FALSE)</f>
        <v>PremiumS</v>
      </c>
      <c r="F397" s="56">
        <v>103</v>
      </c>
      <c r="G397" s="31" t="str">
        <f ca="1">VLOOKUP($F397,OFFSET(units!$A$1,0,0,COUNTA(units!$A:$A),MATCH(G$1,units!$1:$1,0)-COLUMN(INDIRECT("character_id"))+1),MATCH(G$1,units!$1:$1,0)-COLUMN(INDIRECT("character_id"))+1,FALSE)</f>
        <v>レッドキャタップ</v>
      </c>
      <c r="H397" s="26">
        <v>2</v>
      </c>
      <c r="I397" s="202">
        <v>1</v>
      </c>
    </row>
    <row r="398" spans="1:9" ht="21" customHeight="1" x14ac:dyDescent="0.15">
      <c r="A398" s="96" t="str">
        <f t="shared" si="6"/>
        <v>381_102</v>
      </c>
      <c r="B398" s="56">
        <v>381</v>
      </c>
      <c r="C398" s="31" t="str">
        <f ca="1">VLOOKUP($B398,OFFSET(units!$A$1,0,0,COUNTA(units!$A:$A),MATCH(C$1,units!$1:$1,0)-COLUMN(INDIRECT("character_id"))+1),MATCH(C$1,units!$1:$1,0)-COLUMN(INDIRECT("character_id"))+1,FALSE)</f>
        <v>肉食の恋火 バハムート</v>
      </c>
      <c r="D398" s="31">
        <f ca="1">VLOOKUP($B398,OFFSET(units!$A$1,0,0,COUNTA(units!$A:$A),MATCH(D$1,units!$1:$1,0)-COLUMN(INDIRECT("character_id"))+1),MATCH(D$1,units!$1:$1,0)-COLUMN(INDIRECT("character_id"))+1,FALSE)</f>
        <v>4</v>
      </c>
      <c r="E398" s="31" t="str">
        <f ca="1">VLOOKUP($B398,OFFSET(units!$A$1,0,0,COUNTA(units!$A:$A),MATCH(E$1,units!$1:$1,0)-COLUMN(INDIRECT("character_id"))+1),MATCH(E$1,units!$1:$1,0)-COLUMN(INDIRECT("character_id"))+1,FALSE)</f>
        <v>PremiumS</v>
      </c>
      <c r="F398" s="56">
        <v>102</v>
      </c>
      <c r="G398" s="31" t="str">
        <f ca="1">VLOOKUP($F398,OFFSET(units!$A$1,0,0,COUNTA(units!$A:$A),MATCH(G$1,units!$1:$1,0)-COLUMN(INDIRECT("character_id"))+1),MATCH(G$1,units!$1:$1,0)-COLUMN(INDIRECT("character_id"))+1,FALSE)</f>
        <v>レッドラビット</v>
      </c>
      <c r="H398" s="26">
        <v>1</v>
      </c>
      <c r="I398" s="202">
        <v>1</v>
      </c>
    </row>
    <row r="399" spans="1:9" ht="21" customHeight="1" x14ac:dyDescent="0.15">
      <c r="A399" s="96" t="str">
        <f t="shared" si="6"/>
        <v>383_108</v>
      </c>
      <c r="B399" s="56">
        <v>383</v>
      </c>
      <c r="C399" s="31" t="str">
        <f ca="1">VLOOKUP($B399,OFFSET(units!$A$1,0,0,COUNTA(units!$A:$A),MATCH(C$1,units!$1:$1,0)-COLUMN(INDIRECT("character_id"))+1),MATCH(C$1,units!$1:$1,0)-COLUMN(INDIRECT("character_id"))+1,FALSE)</f>
        <v>酒宴の蟒蛇 ヤマタノオロチ</v>
      </c>
      <c r="D399" s="31">
        <f ca="1">VLOOKUP($B399,OFFSET(units!$A$1,0,0,COUNTA(units!$A:$A),MATCH(D$1,units!$1:$1,0)-COLUMN(INDIRECT("character_id"))+1),MATCH(D$1,units!$1:$1,0)-COLUMN(INDIRECT("character_id"))+1,FALSE)</f>
        <v>4</v>
      </c>
      <c r="E399" s="31" t="str">
        <f ca="1">VLOOKUP($B399,OFFSET(units!$A$1,0,0,COUNTA(units!$A:$A),MATCH(E$1,units!$1:$1,0)-COLUMN(INDIRECT("character_id"))+1),MATCH(E$1,units!$1:$1,0)-COLUMN(INDIRECT("character_id"))+1,FALSE)</f>
        <v>PremiumSS</v>
      </c>
      <c r="F399" s="56">
        <v>108</v>
      </c>
      <c r="G399" s="31" t="str">
        <f ca="1">VLOOKUP($F399,OFFSET(units!$A$1,0,0,COUNTA(units!$A:$A),MATCH(G$1,units!$1:$1,0)-COLUMN(INDIRECT("character_id"))+1),MATCH(G$1,units!$1:$1,0)-COLUMN(INDIRECT("character_id"))+1,FALSE)</f>
        <v>森のマッドハッター</v>
      </c>
      <c r="H399" s="26">
        <v>1</v>
      </c>
      <c r="I399" s="202">
        <v>1</v>
      </c>
    </row>
    <row r="400" spans="1:9" ht="21" customHeight="1" x14ac:dyDescent="0.15">
      <c r="A400" s="96" t="str">
        <f t="shared" si="6"/>
        <v>383_107</v>
      </c>
      <c r="B400" s="56">
        <v>383</v>
      </c>
      <c r="C400" s="31" t="str">
        <f ca="1">VLOOKUP($B400,OFFSET(units!$A$1,0,0,COUNTA(units!$A:$A),MATCH(C$1,units!$1:$1,0)-COLUMN(INDIRECT("character_id"))+1),MATCH(C$1,units!$1:$1,0)-COLUMN(INDIRECT("character_id"))+1,FALSE)</f>
        <v>酒宴の蟒蛇 ヤマタノオロチ</v>
      </c>
      <c r="D400" s="31">
        <f ca="1">VLOOKUP($B400,OFFSET(units!$A$1,0,0,COUNTA(units!$A:$A),MATCH(D$1,units!$1:$1,0)-COLUMN(INDIRECT("character_id"))+1),MATCH(D$1,units!$1:$1,0)-COLUMN(INDIRECT("character_id"))+1,FALSE)</f>
        <v>4</v>
      </c>
      <c r="E400" s="31" t="str">
        <f ca="1">VLOOKUP($B400,OFFSET(units!$A$1,0,0,COUNTA(units!$A:$A),MATCH(E$1,units!$1:$1,0)-COLUMN(INDIRECT("character_id"))+1),MATCH(E$1,units!$1:$1,0)-COLUMN(INDIRECT("character_id"))+1,FALSE)</f>
        <v>PremiumSS</v>
      </c>
      <c r="F400" s="56">
        <v>107</v>
      </c>
      <c r="G400" s="31" t="str">
        <f ca="1">VLOOKUP($F400,OFFSET(units!$A$1,0,0,COUNTA(units!$A:$A),MATCH(G$1,units!$1:$1,0)-COLUMN(INDIRECT("character_id"))+1),MATCH(G$1,units!$1:$1,0)-COLUMN(INDIRECT("character_id"))+1,FALSE)</f>
        <v>グリーンキャタップ</v>
      </c>
      <c r="H400" s="26">
        <v>2</v>
      </c>
      <c r="I400" s="202">
        <v>1</v>
      </c>
    </row>
    <row r="401" spans="1:9" ht="21" customHeight="1" x14ac:dyDescent="0.15">
      <c r="A401" s="96" t="str">
        <f t="shared" si="6"/>
        <v>383_264</v>
      </c>
      <c r="B401" s="56">
        <v>383</v>
      </c>
      <c r="C401" s="31" t="str">
        <f ca="1">VLOOKUP($B401,OFFSET(units!$A$1,0,0,COUNTA(units!$A:$A),MATCH(C$1,units!$1:$1,0)-COLUMN(INDIRECT("character_id"))+1),MATCH(C$1,units!$1:$1,0)-COLUMN(INDIRECT("character_id"))+1,FALSE)</f>
        <v>酒宴の蟒蛇 ヤマタノオロチ</v>
      </c>
      <c r="D401" s="31">
        <f ca="1">VLOOKUP($B401,OFFSET(units!$A$1,0,0,COUNTA(units!$A:$A),MATCH(D$1,units!$1:$1,0)-COLUMN(INDIRECT("character_id"))+1),MATCH(D$1,units!$1:$1,0)-COLUMN(INDIRECT("character_id"))+1,FALSE)</f>
        <v>4</v>
      </c>
      <c r="E401" s="31" t="str">
        <f ca="1">VLOOKUP($B401,OFFSET(units!$A$1,0,0,COUNTA(units!$A:$A),MATCH(E$1,units!$1:$1,0)-COLUMN(INDIRECT("character_id"))+1),MATCH(E$1,units!$1:$1,0)-COLUMN(INDIRECT("character_id"))+1,FALSE)</f>
        <v>PremiumSS</v>
      </c>
      <c r="F401" s="56">
        <v>264</v>
      </c>
      <c r="G401" s="31" t="str">
        <f ca="1">VLOOKUP($F401,OFFSET(units!$A$1,0,0,COUNTA(units!$A:$A),MATCH(G$1,units!$1:$1,0)-COLUMN(INDIRECT("character_id"))+1),MATCH(G$1,units!$1:$1,0)-COLUMN(INDIRECT("character_id"))+1,FALSE)</f>
        <v>ユニコーン</v>
      </c>
      <c r="H401" s="26">
        <v>1</v>
      </c>
      <c r="I401" s="202">
        <v>1</v>
      </c>
    </row>
    <row r="402" spans="1:9" ht="21" customHeight="1" x14ac:dyDescent="0.15">
      <c r="A402" s="96" t="str">
        <f t="shared" si="6"/>
        <v>383_270</v>
      </c>
      <c r="B402" s="56">
        <v>383</v>
      </c>
      <c r="C402" s="31" t="str">
        <f ca="1">VLOOKUP($B402,OFFSET(units!$A$1,0,0,COUNTA(units!$A:$A),MATCH(C$1,units!$1:$1,0)-COLUMN(INDIRECT("character_id"))+1),MATCH(C$1,units!$1:$1,0)-COLUMN(INDIRECT("character_id"))+1,FALSE)</f>
        <v>酒宴の蟒蛇 ヤマタノオロチ</v>
      </c>
      <c r="D402" s="31">
        <f ca="1">VLOOKUP($B402,OFFSET(units!$A$1,0,0,COUNTA(units!$A:$A),MATCH(D$1,units!$1:$1,0)-COLUMN(INDIRECT("character_id"))+1),MATCH(D$1,units!$1:$1,0)-COLUMN(INDIRECT("character_id"))+1,FALSE)</f>
        <v>4</v>
      </c>
      <c r="E402" s="31" t="str">
        <f ca="1">VLOOKUP($B402,OFFSET(units!$A$1,0,0,COUNTA(units!$A:$A),MATCH(E$1,units!$1:$1,0)-COLUMN(INDIRECT("character_id"))+1),MATCH(E$1,units!$1:$1,0)-COLUMN(INDIRECT("character_id"))+1,FALSE)</f>
        <v>PremiumSS</v>
      </c>
      <c r="F402" s="56">
        <v>270</v>
      </c>
      <c r="G402" s="31" t="str">
        <f ca="1">VLOOKUP($F402,OFFSET(units!$A$1,0,0,COUNTA(units!$A:$A),MATCH(G$1,units!$1:$1,0)-COLUMN(INDIRECT("character_id"))+1),MATCH(G$1,units!$1:$1,0)-COLUMN(INDIRECT("character_id"))+1,FALSE)</f>
        <v>風爪のミリー</v>
      </c>
      <c r="H402" s="26">
        <v>1</v>
      </c>
      <c r="I402" s="202">
        <v>1</v>
      </c>
    </row>
    <row r="403" spans="1:9" ht="21" customHeight="1" x14ac:dyDescent="0.15">
      <c r="A403" s="96" t="str">
        <f t="shared" si="6"/>
        <v>385_112</v>
      </c>
      <c r="B403" s="56">
        <v>385</v>
      </c>
      <c r="C403" s="31" t="str">
        <f ca="1">VLOOKUP($B403,OFFSET(units!$A$1,0,0,COUNTA(units!$A:$A),MATCH(C$1,units!$1:$1,0)-COLUMN(INDIRECT("character_id"))+1),MATCH(C$1,units!$1:$1,0)-COLUMN(INDIRECT("character_id"))+1,FALSE)</f>
        <v>波烈の出奔 リヴァイアサン</v>
      </c>
      <c r="D403" s="31">
        <f ca="1">VLOOKUP($B403,OFFSET(units!$A$1,0,0,COUNTA(units!$A:$A),MATCH(D$1,units!$1:$1,0)-COLUMN(INDIRECT("character_id"))+1),MATCH(D$1,units!$1:$1,0)-COLUMN(INDIRECT("character_id"))+1,FALSE)</f>
        <v>4</v>
      </c>
      <c r="E403" s="31" t="str">
        <f ca="1">VLOOKUP($B403,OFFSET(units!$A$1,0,0,COUNTA(units!$A:$A),MATCH(E$1,units!$1:$1,0)-COLUMN(INDIRECT("character_id"))+1),MATCH(E$1,units!$1:$1,0)-COLUMN(INDIRECT("character_id"))+1,FALSE)</f>
        <v>PremiumSS</v>
      </c>
      <c r="F403" s="56">
        <v>112</v>
      </c>
      <c r="G403" s="31" t="str">
        <f ca="1">VLOOKUP($F403,OFFSET(units!$A$1,0,0,COUNTA(units!$A:$A),MATCH(G$1,units!$1:$1,0)-COLUMN(INDIRECT("character_id"))+1),MATCH(G$1,units!$1:$1,0)-COLUMN(INDIRECT("character_id"))+1,FALSE)</f>
        <v>水のマッドハッター</v>
      </c>
      <c r="H403" s="26">
        <v>1</v>
      </c>
      <c r="I403" s="202">
        <v>1</v>
      </c>
    </row>
    <row r="404" spans="1:9" ht="21" customHeight="1" x14ac:dyDescent="0.15">
      <c r="A404" s="96" t="str">
        <f t="shared" si="6"/>
        <v>385_111</v>
      </c>
      <c r="B404" s="56">
        <v>385</v>
      </c>
      <c r="C404" s="31" t="str">
        <f ca="1">VLOOKUP($B404,OFFSET(units!$A$1,0,0,COUNTA(units!$A:$A),MATCH(C$1,units!$1:$1,0)-COLUMN(INDIRECT("character_id"))+1),MATCH(C$1,units!$1:$1,0)-COLUMN(INDIRECT("character_id"))+1,FALSE)</f>
        <v>波烈の出奔 リヴァイアサン</v>
      </c>
      <c r="D404" s="31">
        <f ca="1">VLOOKUP($B404,OFFSET(units!$A$1,0,0,COUNTA(units!$A:$A),MATCH(D$1,units!$1:$1,0)-COLUMN(INDIRECT("character_id"))+1),MATCH(D$1,units!$1:$1,0)-COLUMN(INDIRECT("character_id"))+1,FALSE)</f>
        <v>4</v>
      </c>
      <c r="E404" s="31" t="str">
        <f ca="1">VLOOKUP($B404,OFFSET(units!$A$1,0,0,COUNTA(units!$A:$A),MATCH(E$1,units!$1:$1,0)-COLUMN(INDIRECT("character_id"))+1),MATCH(E$1,units!$1:$1,0)-COLUMN(INDIRECT("character_id"))+1,FALSE)</f>
        <v>PremiumSS</v>
      </c>
      <c r="F404" s="56">
        <v>111</v>
      </c>
      <c r="G404" s="31" t="str">
        <f ca="1">VLOOKUP($F404,OFFSET(units!$A$1,0,0,COUNTA(units!$A:$A),MATCH(G$1,units!$1:$1,0)-COLUMN(INDIRECT("character_id"))+1),MATCH(G$1,units!$1:$1,0)-COLUMN(INDIRECT("character_id"))+1,FALSE)</f>
        <v>ブルーキャタップ</v>
      </c>
      <c r="H404" s="26">
        <v>2</v>
      </c>
      <c r="I404" s="202">
        <v>1</v>
      </c>
    </row>
    <row r="405" spans="1:9" ht="21" customHeight="1" x14ac:dyDescent="0.15">
      <c r="A405" s="96" t="str">
        <f t="shared" si="6"/>
        <v>385_266</v>
      </c>
      <c r="B405" s="56">
        <v>385</v>
      </c>
      <c r="C405" s="31" t="str">
        <f ca="1">VLOOKUP($B405,OFFSET(units!$A$1,0,0,COUNTA(units!$A:$A),MATCH(C$1,units!$1:$1,0)-COLUMN(INDIRECT("character_id"))+1),MATCH(C$1,units!$1:$1,0)-COLUMN(INDIRECT("character_id"))+1,FALSE)</f>
        <v>波烈の出奔 リヴァイアサン</v>
      </c>
      <c r="D405" s="31">
        <f ca="1">VLOOKUP($B405,OFFSET(units!$A$1,0,0,COUNTA(units!$A:$A),MATCH(D$1,units!$1:$1,0)-COLUMN(INDIRECT("character_id"))+1),MATCH(D$1,units!$1:$1,0)-COLUMN(INDIRECT("character_id"))+1,FALSE)</f>
        <v>4</v>
      </c>
      <c r="E405" s="31" t="str">
        <f ca="1">VLOOKUP($B405,OFFSET(units!$A$1,0,0,COUNTA(units!$A:$A),MATCH(E$1,units!$1:$1,0)-COLUMN(INDIRECT("character_id"))+1),MATCH(E$1,units!$1:$1,0)-COLUMN(INDIRECT("character_id"))+1,FALSE)</f>
        <v>PremiumSS</v>
      </c>
      <c r="F405" s="56">
        <v>266</v>
      </c>
      <c r="G405" s="31" t="str">
        <f ca="1">VLOOKUP($F405,OFFSET(units!$A$1,0,0,COUNTA(units!$A:$A),MATCH(G$1,units!$1:$1,0)-COLUMN(INDIRECT("character_id"))+1),MATCH(G$1,units!$1:$1,0)-COLUMN(INDIRECT("character_id"))+1,FALSE)</f>
        <v>リリアンブルー</v>
      </c>
      <c r="H405" s="26">
        <v>1</v>
      </c>
      <c r="I405" s="202">
        <v>1</v>
      </c>
    </row>
    <row r="406" spans="1:9" ht="21" customHeight="1" x14ac:dyDescent="0.15">
      <c r="A406" s="96" t="str">
        <f t="shared" si="6"/>
        <v>385_272</v>
      </c>
      <c r="B406" s="56">
        <v>385</v>
      </c>
      <c r="C406" s="31" t="str">
        <f ca="1">VLOOKUP($B406,OFFSET(units!$A$1,0,0,COUNTA(units!$A:$A),MATCH(C$1,units!$1:$1,0)-COLUMN(INDIRECT("character_id"))+1),MATCH(C$1,units!$1:$1,0)-COLUMN(INDIRECT("character_id"))+1,FALSE)</f>
        <v>波烈の出奔 リヴァイアサン</v>
      </c>
      <c r="D406" s="31">
        <f ca="1">VLOOKUP($B406,OFFSET(units!$A$1,0,0,COUNTA(units!$A:$A),MATCH(D$1,units!$1:$1,0)-COLUMN(INDIRECT("character_id"))+1),MATCH(D$1,units!$1:$1,0)-COLUMN(INDIRECT("character_id"))+1,FALSE)</f>
        <v>4</v>
      </c>
      <c r="E406" s="31" t="str">
        <f ca="1">VLOOKUP($B406,OFFSET(units!$A$1,0,0,COUNTA(units!$A:$A),MATCH(E$1,units!$1:$1,0)-COLUMN(INDIRECT("character_id"))+1),MATCH(E$1,units!$1:$1,0)-COLUMN(INDIRECT("character_id"))+1,FALSE)</f>
        <v>PremiumSS</v>
      </c>
      <c r="F406" s="56">
        <v>272</v>
      </c>
      <c r="G406" s="31" t="str">
        <f ca="1">VLOOKUP($F406,OFFSET(units!$A$1,0,0,COUNTA(units!$A:$A),MATCH(G$1,units!$1:$1,0)-COLUMN(INDIRECT("character_id"))+1),MATCH(G$1,units!$1:$1,0)-COLUMN(INDIRECT("character_id"))+1,FALSE)</f>
        <v>魔札のシルベール</v>
      </c>
      <c r="H406" s="26">
        <v>1</v>
      </c>
      <c r="I406" s="202">
        <v>1</v>
      </c>
    </row>
    <row r="407" spans="1:9" ht="21" customHeight="1" x14ac:dyDescent="0.15">
      <c r="A407" s="96" t="str">
        <f t="shared" si="6"/>
        <v>387_115</v>
      </c>
      <c r="B407" s="56">
        <v>387</v>
      </c>
      <c r="C407" s="31" t="str">
        <f ca="1">VLOOKUP($B407,OFFSET(units!$A$1,0,0,COUNTA(units!$A:$A),MATCH(C$1,units!$1:$1,0)-COLUMN(INDIRECT("character_id"))+1),MATCH(C$1,units!$1:$1,0)-COLUMN(INDIRECT("character_id"))+1,FALSE)</f>
        <v>スフィンクス</v>
      </c>
      <c r="D407" s="31">
        <f ca="1">VLOOKUP($B407,OFFSET(units!$A$1,0,0,COUNTA(units!$A:$A),MATCH(D$1,units!$1:$1,0)-COLUMN(INDIRECT("character_id"))+1),MATCH(D$1,units!$1:$1,0)-COLUMN(INDIRECT("character_id"))+1,FALSE)</f>
        <v>3</v>
      </c>
      <c r="E407" s="31" t="str">
        <f ca="1">VLOOKUP($B407,OFFSET(units!$A$1,0,0,COUNTA(units!$A:$A),MATCH(E$1,units!$1:$1,0)-COLUMN(INDIRECT("character_id"))+1),MATCH(E$1,units!$1:$1,0)-COLUMN(INDIRECT("character_id"))+1,FALSE)</f>
        <v>PremiumS</v>
      </c>
      <c r="F407" s="56">
        <v>115</v>
      </c>
      <c r="G407" s="31" t="str">
        <f ca="1">VLOOKUP($F407,OFFSET(units!$A$1,0,0,COUNTA(units!$A:$A),MATCH(G$1,units!$1:$1,0)-COLUMN(INDIRECT("character_id"))+1),MATCH(G$1,units!$1:$1,0)-COLUMN(INDIRECT("character_id"))+1,FALSE)</f>
        <v>イエローキャタップ</v>
      </c>
      <c r="H407" s="26">
        <v>3</v>
      </c>
      <c r="I407" s="202">
        <v>1</v>
      </c>
    </row>
    <row r="408" spans="1:9" ht="21" customHeight="1" x14ac:dyDescent="0.15">
      <c r="A408" s="96" t="str">
        <f t="shared" si="6"/>
        <v>387_114</v>
      </c>
      <c r="B408" s="56">
        <v>387</v>
      </c>
      <c r="C408" s="31" t="str">
        <f ca="1">VLOOKUP($B408,OFFSET(units!$A$1,0,0,COUNTA(units!$A:$A),MATCH(C$1,units!$1:$1,0)-COLUMN(INDIRECT("character_id"))+1),MATCH(C$1,units!$1:$1,0)-COLUMN(INDIRECT("character_id"))+1,FALSE)</f>
        <v>スフィンクス</v>
      </c>
      <c r="D408" s="31">
        <f ca="1">VLOOKUP($B408,OFFSET(units!$A$1,0,0,COUNTA(units!$A:$A),MATCH(D$1,units!$1:$1,0)-COLUMN(INDIRECT("character_id"))+1),MATCH(D$1,units!$1:$1,0)-COLUMN(INDIRECT("character_id"))+1,FALSE)</f>
        <v>3</v>
      </c>
      <c r="E408" s="31" t="str">
        <f ca="1">VLOOKUP($B408,OFFSET(units!$A$1,0,0,COUNTA(units!$A:$A),MATCH(E$1,units!$1:$1,0)-COLUMN(INDIRECT("character_id"))+1),MATCH(E$1,units!$1:$1,0)-COLUMN(INDIRECT("character_id"))+1,FALSE)</f>
        <v>PremiumS</v>
      </c>
      <c r="F408" s="56">
        <v>114</v>
      </c>
      <c r="G408" s="31" t="str">
        <f ca="1">VLOOKUP($F408,OFFSET(units!$A$1,0,0,COUNTA(units!$A:$A),MATCH(G$1,units!$1:$1,0)-COLUMN(INDIRECT("character_id"))+1),MATCH(G$1,units!$1:$1,0)-COLUMN(INDIRECT("character_id"))+1,FALSE)</f>
        <v>イエローラビット</v>
      </c>
      <c r="H408" s="26">
        <v>1</v>
      </c>
      <c r="I408" s="202">
        <v>1</v>
      </c>
    </row>
    <row r="409" spans="1:9" ht="21" customHeight="1" x14ac:dyDescent="0.15">
      <c r="A409" s="96" t="str">
        <f t="shared" si="6"/>
        <v>388_116</v>
      </c>
      <c r="B409" s="56">
        <v>388</v>
      </c>
      <c r="C409" s="31" t="str">
        <f ca="1">VLOOKUP($B409,OFFSET(units!$A$1,0,0,COUNTA(units!$A:$A),MATCH(C$1,units!$1:$1,0)-COLUMN(INDIRECT("character_id"))+1),MATCH(C$1,units!$1:$1,0)-COLUMN(INDIRECT("character_id"))+1,FALSE)</f>
        <v>神円の恋姫 スフィンクス</v>
      </c>
      <c r="D409" s="31">
        <f ca="1">VLOOKUP($B409,OFFSET(units!$A$1,0,0,COUNTA(units!$A:$A),MATCH(D$1,units!$1:$1,0)-COLUMN(INDIRECT("character_id"))+1),MATCH(D$1,units!$1:$1,0)-COLUMN(INDIRECT("character_id"))+1,FALSE)</f>
        <v>4</v>
      </c>
      <c r="E409" s="31" t="str">
        <f ca="1">VLOOKUP($B409,OFFSET(units!$A$1,0,0,COUNTA(units!$A:$A),MATCH(E$1,units!$1:$1,0)-COLUMN(INDIRECT("character_id"))+1),MATCH(E$1,units!$1:$1,0)-COLUMN(INDIRECT("character_id"))+1,FALSE)</f>
        <v>PremiumS</v>
      </c>
      <c r="F409" s="56">
        <v>116</v>
      </c>
      <c r="G409" s="31" t="str">
        <f ca="1">VLOOKUP($F409,OFFSET(units!$A$1,0,0,COUNTA(units!$A:$A),MATCH(G$1,units!$1:$1,0)-COLUMN(INDIRECT("character_id"))+1),MATCH(G$1,units!$1:$1,0)-COLUMN(INDIRECT("character_id"))+1,FALSE)</f>
        <v>雷のマッドハッター</v>
      </c>
      <c r="H409" s="26">
        <v>2</v>
      </c>
      <c r="I409" s="202">
        <v>1</v>
      </c>
    </row>
    <row r="410" spans="1:9" ht="21" customHeight="1" x14ac:dyDescent="0.15">
      <c r="A410" s="96" t="str">
        <f t="shared" si="6"/>
        <v>388_115</v>
      </c>
      <c r="B410" s="56">
        <v>388</v>
      </c>
      <c r="C410" s="31" t="str">
        <f ca="1">VLOOKUP($B410,OFFSET(units!$A$1,0,0,COUNTA(units!$A:$A),MATCH(C$1,units!$1:$1,0)-COLUMN(INDIRECT("character_id"))+1),MATCH(C$1,units!$1:$1,0)-COLUMN(INDIRECT("character_id"))+1,FALSE)</f>
        <v>神円の恋姫 スフィンクス</v>
      </c>
      <c r="D410" s="31">
        <f ca="1">VLOOKUP($B410,OFFSET(units!$A$1,0,0,COUNTA(units!$A:$A),MATCH(D$1,units!$1:$1,0)-COLUMN(INDIRECT("character_id"))+1),MATCH(D$1,units!$1:$1,0)-COLUMN(INDIRECT("character_id"))+1,FALSE)</f>
        <v>4</v>
      </c>
      <c r="E410" s="31" t="str">
        <f ca="1">VLOOKUP($B410,OFFSET(units!$A$1,0,0,COUNTA(units!$A:$A),MATCH(E$1,units!$1:$1,0)-COLUMN(INDIRECT("character_id"))+1),MATCH(E$1,units!$1:$1,0)-COLUMN(INDIRECT("character_id"))+1,FALSE)</f>
        <v>PremiumS</v>
      </c>
      <c r="F410" s="56">
        <v>115</v>
      </c>
      <c r="G410" s="31" t="str">
        <f ca="1">VLOOKUP($F410,OFFSET(units!$A$1,0,0,COUNTA(units!$A:$A),MATCH(G$1,units!$1:$1,0)-COLUMN(INDIRECT("character_id"))+1),MATCH(G$1,units!$1:$1,0)-COLUMN(INDIRECT("character_id"))+1,FALSE)</f>
        <v>イエローキャタップ</v>
      </c>
      <c r="H410" s="26">
        <v>2</v>
      </c>
      <c r="I410" s="202">
        <v>1</v>
      </c>
    </row>
    <row r="411" spans="1:9" ht="21" customHeight="1" x14ac:dyDescent="0.15">
      <c r="A411" s="96" t="str">
        <f t="shared" si="6"/>
        <v>388_114</v>
      </c>
      <c r="B411" s="56">
        <v>388</v>
      </c>
      <c r="C411" s="31" t="str">
        <f ca="1">VLOOKUP($B411,OFFSET(units!$A$1,0,0,COUNTA(units!$A:$A),MATCH(C$1,units!$1:$1,0)-COLUMN(INDIRECT("character_id"))+1),MATCH(C$1,units!$1:$1,0)-COLUMN(INDIRECT("character_id"))+1,FALSE)</f>
        <v>神円の恋姫 スフィンクス</v>
      </c>
      <c r="D411" s="31">
        <f ca="1">VLOOKUP($B411,OFFSET(units!$A$1,0,0,COUNTA(units!$A:$A),MATCH(D$1,units!$1:$1,0)-COLUMN(INDIRECT("character_id"))+1),MATCH(D$1,units!$1:$1,0)-COLUMN(INDIRECT("character_id"))+1,FALSE)</f>
        <v>4</v>
      </c>
      <c r="E411" s="31" t="str">
        <f ca="1">VLOOKUP($B411,OFFSET(units!$A$1,0,0,COUNTA(units!$A:$A),MATCH(E$1,units!$1:$1,0)-COLUMN(INDIRECT("character_id"))+1),MATCH(E$1,units!$1:$1,0)-COLUMN(INDIRECT("character_id"))+1,FALSE)</f>
        <v>PremiumS</v>
      </c>
      <c r="F411" s="56">
        <v>114</v>
      </c>
      <c r="G411" s="31" t="str">
        <f ca="1">VLOOKUP($F411,OFFSET(units!$A$1,0,0,COUNTA(units!$A:$A),MATCH(G$1,units!$1:$1,0)-COLUMN(INDIRECT("character_id"))+1),MATCH(G$1,units!$1:$1,0)-COLUMN(INDIRECT("character_id"))+1,FALSE)</f>
        <v>イエローラビット</v>
      </c>
      <c r="H411" s="26">
        <v>1</v>
      </c>
      <c r="I411" s="202">
        <v>1</v>
      </c>
    </row>
    <row r="412" spans="1:9" x14ac:dyDescent="0.15">
      <c r="A412" s="96" t="str">
        <f t="shared" si="6"/>
        <v>302_111</v>
      </c>
      <c r="B412" s="56">
        <v>302</v>
      </c>
      <c r="C412" s="31" t="str">
        <f ca="1">VLOOKUP($B412,OFFSET(units!$A$1,0,0,COUNTA(units!$A:$A),MATCH(C$1,units!$1:$1,0)-COLUMN(INDIRECT("character_id"))+1),MATCH(C$1,units!$1:$1,0)-COLUMN(INDIRECT("character_id"))+1,FALSE)</f>
        <v>絞殺のリサ</v>
      </c>
      <c r="D412" s="31">
        <f ca="1">VLOOKUP($B412,OFFSET(units!$A$1,0,0,COUNTA(units!$A:$A),MATCH(D$1,units!$1:$1,0)-COLUMN(INDIRECT("character_id"))+1),MATCH(D$1,units!$1:$1,0)-COLUMN(INDIRECT("character_id"))+1,FALSE)</f>
        <v>3</v>
      </c>
      <c r="E412" s="31" t="str">
        <f ca="1">VLOOKUP($B412,OFFSET(units!$A$1,0,0,COUNTA(units!$A:$A),MATCH(E$1,units!$1:$1,0)-COLUMN(INDIRECT("character_id"))+1),MATCH(E$1,units!$1:$1,0)-COLUMN(INDIRECT("character_id"))+1,FALSE)</f>
        <v>Drop2W</v>
      </c>
      <c r="F412" s="56">
        <v>111</v>
      </c>
      <c r="G412" s="31" t="str">
        <f ca="1">VLOOKUP($F412,OFFSET(units!$A$1,0,0,COUNTA(units!$A:$A),MATCH(G$1,units!$1:$1,0)-COLUMN(INDIRECT("character_id"))+1),MATCH(G$1,units!$1:$1,0)-COLUMN(INDIRECT("character_id"))+1,FALSE)</f>
        <v>ブルーキャタップ</v>
      </c>
      <c r="H412" s="26">
        <v>1</v>
      </c>
      <c r="I412" s="202">
        <v>1</v>
      </c>
    </row>
    <row r="413" spans="1:9" x14ac:dyDescent="0.15">
      <c r="A413" s="96" t="str">
        <f t="shared" si="6"/>
        <v>302_110</v>
      </c>
      <c r="B413" s="56">
        <v>302</v>
      </c>
      <c r="C413" s="31" t="str">
        <f ca="1">VLOOKUP($B413,OFFSET(units!$A$1,0,0,COUNTA(units!$A:$A),MATCH(C$1,units!$1:$1,0)-COLUMN(INDIRECT("character_id"))+1),MATCH(C$1,units!$1:$1,0)-COLUMN(INDIRECT("character_id"))+1,FALSE)</f>
        <v>絞殺のリサ</v>
      </c>
      <c r="D413" s="31">
        <f ca="1">VLOOKUP($B413,OFFSET(units!$A$1,0,0,COUNTA(units!$A:$A),MATCH(D$1,units!$1:$1,0)-COLUMN(INDIRECT("character_id"))+1),MATCH(D$1,units!$1:$1,0)-COLUMN(INDIRECT("character_id"))+1,FALSE)</f>
        <v>3</v>
      </c>
      <c r="E413" s="31" t="str">
        <f ca="1">VLOOKUP($B413,OFFSET(units!$A$1,0,0,COUNTA(units!$A:$A),MATCH(E$1,units!$1:$1,0)-COLUMN(INDIRECT("character_id"))+1),MATCH(E$1,units!$1:$1,0)-COLUMN(INDIRECT("character_id"))+1,FALSE)</f>
        <v>Drop2W</v>
      </c>
      <c r="F413" s="56">
        <f>F412-1</f>
        <v>110</v>
      </c>
      <c r="G413" s="31" t="str">
        <f ca="1">VLOOKUP($F413,OFFSET(units!$A$1,0,0,COUNTA(units!$A:$A),MATCH(G$1,units!$1:$1,0)-COLUMN(INDIRECT("character_id"))+1),MATCH(G$1,units!$1:$1,0)-COLUMN(INDIRECT("character_id"))+1,FALSE)</f>
        <v>ブルーラビット</v>
      </c>
      <c r="H413" s="26">
        <v>1</v>
      </c>
      <c r="I413" s="202">
        <v>1</v>
      </c>
    </row>
    <row r="414" spans="1:9" x14ac:dyDescent="0.15">
      <c r="A414" s="96" t="str">
        <f t="shared" si="6"/>
        <v>302_109</v>
      </c>
      <c r="B414" s="56">
        <v>302</v>
      </c>
      <c r="C414" s="31" t="str">
        <f ca="1">VLOOKUP($B414,OFFSET(units!$A$1,0,0,COUNTA(units!$A:$A),MATCH(C$1,units!$1:$1,0)-COLUMN(INDIRECT("character_id"))+1),MATCH(C$1,units!$1:$1,0)-COLUMN(INDIRECT("character_id"))+1,FALSE)</f>
        <v>絞殺のリサ</v>
      </c>
      <c r="D414" s="31">
        <f ca="1">VLOOKUP($B414,OFFSET(units!$A$1,0,0,COUNTA(units!$A:$A),MATCH(D$1,units!$1:$1,0)-COLUMN(INDIRECT("character_id"))+1),MATCH(D$1,units!$1:$1,0)-COLUMN(INDIRECT("character_id"))+1,FALSE)</f>
        <v>3</v>
      </c>
      <c r="E414" s="31" t="str">
        <f ca="1">VLOOKUP($B414,OFFSET(units!$A$1,0,0,COUNTA(units!$A:$A),MATCH(E$1,units!$1:$1,0)-COLUMN(INDIRECT("character_id"))+1),MATCH(E$1,units!$1:$1,0)-COLUMN(INDIRECT("character_id"))+1,FALSE)</f>
        <v>Drop2W</v>
      </c>
      <c r="F414" s="56">
        <f>F413-1</f>
        <v>109</v>
      </c>
      <c r="G414" s="31" t="str">
        <f ca="1">VLOOKUP($F414,OFFSET(units!$A$1,0,0,COUNTA(units!$A:$A),MATCH(G$1,units!$1:$1,0)-COLUMN(INDIRECT("character_id"))+1),MATCH(G$1,units!$1:$1,0)-COLUMN(INDIRECT("character_id"))+1,FALSE)</f>
        <v>ブルーチェシャ</v>
      </c>
      <c r="H414" s="26">
        <v>3</v>
      </c>
      <c r="I414" s="202">
        <v>1</v>
      </c>
    </row>
    <row r="415" spans="1:9" x14ac:dyDescent="0.15">
      <c r="A415" s="96" t="str">
        <f t="shared" si="6"/>
        <v>312_116</v>
      </c>
      <c r="B415" s="59">
        <v>312</v>
      </c>
      <c r="C415" s="31" t="str">
        <f ca="1">VLOOKUP($B415,OFFSET(units!$A$1,0,0,COUNTA(units!$A:$A),MATCH(C$1,units!$1:$1,0)-COLUMN(INDIRECT("character_id"))+1),MATCH(C$1,units!$1:$1,0)-COLUMN(INDIRECT("character_id"))+1,FALSE)</f>
        <v>アノマロカリス</v>
      </c>
      <c r="D415" s="31">
        <f ca="1">VLOOKUP($B415,OFFSET(units!$A$1,0,0,COUNTA(units!$A:$A),MATCH(D$1,units!$1:$1,0)-COLUMN(INDIRECT("character_id"))+1),MATCH(D$1,units!$1:$1,0)-COLUMN(INDIRECT("character_id"))+1,FALSE)</f>
        <v>4</v>
      </c>
      <c r="E415" s="31" t="str">
        <f ca="1">VLOOKUP($B415,OFFSET(units!$A$1,0,0,COUNTA(units!$A:$A),MATCH(E$1,units!$1:$1,0)-COLUMN(INDIRECT("character_id"))+1),MATCH(E$1,units!$1:$1,0)-COLUMN(INDIRECT("character_id"))+1,FALSE)</f>
        <v>Drop2N</v>
      </c>
      <c r="F415" s="56">
        <v>116</v>
      </c>
      <c r="G415" s="31" t="str">
        <f ca="1">VLOOKUP($F415,OFFSET(units!$A$1,0,0,COUNTA(units!$A:$A),MATCH(G$1,units!$1:$1,0)-COLUMN(INDIRECT("character_id"))+1),MATCH(G$1,units!$1:$1,0)-COLUMN(INDIRECT("character_id"))+1,FALSE)</f>
        <v>雷のマッドハッター</v>
      </c>
      <c r="H415" s="26">
        <v>1</v>
      </c>
      <c r="I415" s="202">
        <v>1</v>
      </c>
    </row>
    <row r="416" spans="1:9" x14ac:dyDescent="0.15">
      <c r="A416" s="96" t="str">
        <f t="shared" si="6"/>
        <v>312_115</v>
      </c>
      <c r="B416" s="59">
        <v>312</v>
      </c>
      <c r="C416" s="31" t="str">
        <f ca="1">VLOOKUP($B416,OFFSET(units!$A$1,0,0,COUNTA(units!$A:$A),MATCH(C$1,units!$1:$1,0)-COLUMN(INDIRECT("character_id"))+1),MATCH(C$1,units!$1:$1,0)-COLUMN(INDIRECT("character_id"))+1,FALSE)</f>
        <v>アノマロカリス</v>
      </c>
      <c r="D416" s="31">
        <f ca="1">VLOOKUP($B416,OFFSET(units!$A$1,0,0,COUNTA(units!$A:$A),MATCH(D$1,units!$1:$1,0)-COLUMN(INDIRECT("character_id"))+1),MATCH(D$1,units!$1:$1,0)-COLUMN(INDIRECT("character_id"))+1,FALSE)</f>
        <v>4</v>
      </c>
      <c r="E416" s="31" t="str">
        <f ca="1">VLOOKUP($B416,OFFSET(units!$A$1,0,0,COUNTA(units!$A:$A),MATCH(E$1,units!$1:$1,0)-COLUMN(INDIRECT("character_id"))+1),MATCH(E$1,units!$1:$1,0)-COLUMN(INDIRECT("character_id"))+1,FALSE)</f>
        <v>Drop2N</v>
      </c>
      <c r="F416" s="56">
        <f>F415-1</f>
        <v>115</v>
      </c>
      <c r="G416" s="31" t="str">
        <f ca="1">VLOOKUP($F416,OFFSET(units!$A$1,0,0,COUNTA(units!$A:$A),MATCH(G$1,units!$1:$1,0)-COLUMN(INDIRECT("character_id"))+1),MATCH(G$1,units!$1:$1,0)-COLUMN(INDIRECT("character_id"))+1,FALSE)</f>
        <v>イエローキャタップ</v>
      </c>
      <c r="H416" s="26">
        <v>1</v>
      </c>
      <c r="I416" s="202">
        <v>1</v>
      </c>
    </row>
    <row r="417" spans="1:9" x14ac:dyDescent="0.15">
      <c r="A417" s="96" t="str">
        <f t="shared" si="6"/>
        <v>312_114</v>
      </c>
      <c r="B417" s="59">
        <v>312</v>
      </c>
      <c r="C417" s="31" t="str">
        <f ca="1">VLOOKUP($B417,OFFSET(units!$A$1,0,0,COUNTA(units!$A:$A),MATCH(C$1,units!$1:$1,0)-COLUMN(INDIRECT("character_id"))+1),MATCH(C$1,units!$1:$1,0)-COLUMN(INDIRECT("character_id"))+1,FALSE)</f>
        <v>アノマロカリス</v>
      </c>
      <c r="D417" s="31">
        <f ca="1">VLOOKUP($B417,OFFSET(units!$A$1,0,0,COUNTA(units!$A:$A),MATCH(D$1,units!$1:$1,0)-COLUMN(INDIRECT("character_id"))+1),MATCH(D$1,units!$1:$1,0)-COLUMN(INDIRECT("character_id"))+1,FALSE)</f>
        <v>4</v>
      </c>
      <c r="E417" s="31" t="str">
        <f ca="1">VLOOKUP($B417,OFFSET(units!$A$1,0,0,COUNTA(units!$A:$A),MATCH(E$1,units!$1:$1,0)-COLUMN(INDIRECT("character_id"))+1),MATCH(E$1,units!$1:$1,0)-COLUMN(INDIRECT("character_id"))+1,FALSE)</f>
        <v>Drop2N</v>
      </c>
      <c r="F417" s="56">
        <f>F416-1</f>
        <v>114</v>
      </c>
      <c r="G417" s="31" t="str">
        <f ca="1">VLOOKUP($F417,OFFSET(units!$A$1,0,0,COUNTA(units!$A:$A),MATCH(G$1,units!$1:$1,0)-COLUMN(INDIRECT("character_id"))+1),MATCH(G$1,units!$1:$1,0)-COLUMN(INDIRECT("character_id"))+1,FALSE)</f>
        <v>イエローラビット</v>
      </c>
      <c r="H417" s="26">
        <v>2</v>
      </c>
      <c r="I417" s="202">
        <v>1</v>
      </c>
    </row>
    <row r="418" spans="1:9" x14ac:dyDescent="0.15">
      <c r="A418" s="96" t="str">
        <f t="shared" si="6"/>
        <v>312_113</v>
      </c>
      <c r="B418" s="59">
        <v>312</v>
      </c>
      <c r="C418" s="31" t="str">
        <f ca="1">VLOOKUP($B418,OFFSET(units!$A$1,0,0,COUNTA(units!$A:$A),MATCH(C$1,units!$1:$1,0)-COLUMN(INDIRECT("character_id"))+1),MATCH(C$1,units!$1:$1,0)-COLUMN(INDIRECT("character_id"))+1,FALSE)</f>
        <v>アノマロカリス</v>
      </c>
      <c r="D418" s="31">
        <f ca="1">VLOOKUP($B418,OFFSET(units!$A$1,0,0,COUNTA(units!$A:$A),MATCH(D$1,units!$1:$1,0)-COLUMN(INDIRECT("character_id"))+1),MATCH(D$1,units!$1:$1,0)-COLUMN(INDIRECT("character_id"))+1,FALSE)</f>
        <v>4</v>
      </c>
      <c r="E418" s="31" t="str">
        <f ca="1">VLOOKUP($B418,OFFSET(units!$A$1,0,0,COUNTA(units!$A:$A),MATCH(E$1,units!$1:$1,0)-COLUMN(INDIRECT("character_id"))+1),MATCH(E$1,units!$1:$1,0)-COLUMN(INDIRECT("character_id"))+1,FALSE)</f>
        <v>Drop2N</v>
      </c>
      <c r="F418" s="56">
        <f>F417-1</f>
        <v>113</v>
      </c>
      <c r="G418" s="31" t="str">
        <f ca="1">VLOOKUP($F418,OFFSET(units!$A$1,0,0,COUNTA(units!$A:$A),MATCH(G$1,units!$1:$1,0)-COLUMN(INDIRECT("character_id"))+1),MATCH(G$1,units!$1:$1,0)-COLUMN(INDIRECT("character_id"))+1,FALSE)</f>
        <v>イエローチェシャ</v>
      </c>
      <c r="H418" s="26">
        <v>1</v>
      </c>
      <c r="I418" s="202">
        <v>1</v>
      </c>
    </row>
    <row r="419" spans="1:9" x14ac:dyDescent="0.15">
      <c r="A419" s="96" t="str">
        <f t="shared" si="6"/>
        <v>304_115</v>
      </c>
      <c r="B419" s="56">
        <v>304</v>
      </c>
      <c r="C419" s="31" t="str">
        <f ca="1">VLOOKUP($B419,OFFSET(units!$A$1,0,0,COUNTA(units!$A:$A),MATCH(C$1,units!$1:$1,0)-COLUMN(INDIRECT("character_id"))+1),MATCH(C$1,units!$1:$1,0)-COLUMN(INDIRECT("character_id"))+1,FALSE)</f>
        <v>電殺のチエミ</v>
      </c>
      <c r="D419" s="31">
        <f ca="1">VLOOKUP($B419,OFFSET(units!$A$1,0,0,COUNTA(units!$A:$A),MATCH(D$1,units!$1:$1,0)-COLUMN(INDIRECT("character_id"))+1),MATCH(D$1,units!$1:$1,0)-COLUMN(INDIRECT("character_id"))+1,FALSE)</f>
        <v>3</v>
      </c>
      <c r="E419" s="31" t="str">
        <f ca="1">VLOOKUP($B419,OFFSET(units!$A$1,0,0,COUNTA(units!$A:$A),MATCH(E$1,units!$1:$1,0)-COLUMN(INDIRECT("character_id"))+1),MATCH(E$1,units!$1:$1,0)-COLUMN(INDIRECT("character_id"))+1,FALSE)</f>
        <v>Drop2W</v>
      </c>
      <c r="F419" s="56">
        <v>115</v>
      </c>
      <c r="G419" s="31" t="str">
        <f ca="1">VLOOKUP($F419,OFFSET(units!$A$1,0,0,COUNTA(units!$A:$A),MATCH(G$1,units!$1:$1,0)-COLUMN(INDIRECT("character_id"))+1),MATCH(G$1,units!$1:$1,0)-COLUMN(INDIRECT("character_id"))+1,FALSE)</f>
        <v>イエローキャタップ</v>
      </c>
      <c r="H419" s="26">
        <v>1</v>
      </c>
      <c r="I419" s="202">
        <v>1</v>
      </c>
    </row>
    <row r="420" spans="1:9" x14ac:dyDescent="0.15">
      <c r="A420" s="96" t="str">
        <f t="shared" si="6"/>
        <v>304_114</v>
      </c>
      <c r="B420" s="56">
        <v>304</v>
      </c>
      <c r="C420" s="31" t="str">
        <f ca="1">VLOOKUP($B420,OFFSET(units!$A$1,0,0,COUNTA(units!$A:$A),MATCH(C$1,units!$1:$1,0)-COLUMN(INDIRECT("character_id"))+1),MATCH(C$1,units!$1:$1,0)-COLUMN(INDIRECT("character_id"))+1,FALSE)</f>
        <v>電殺のチエミ</v>
      </c>
      <c r="D420" s="31">
        <f ca="1">VLOOKUP($B420,OFFSET(units!$A$1,0,0,COUNTA(units!$A:$A),MATCH(D$1,units!$1:$1,0)-COLUMN(INDIRECT("character_id"))+1),MATCH(D$1,units!$1:$1,0)-COLUMN(INDIRECT("character_id"))+1,FALSE)</f>
        <v>3</v>
      </c>
      <c r="E420" s="31" t="str">
        <f ca="1">VLOOKUP($B420,OFFSET(units!$A$1,0,0,COUNTA(units!$A:$A),MATCH(E$1,units!$1:$1,0)-COLUMN(INDIRECT("character_id"))+1),MATCH(E$1,units!$1:$1,0)-COLUMN(INDIRECT("character_id"))+1,FALSE)</f>
        <v>Drop2W</v>
      </c>
      <c r="F420" s="56">
        <f>F419-1</f>
        <v>114</v>
      </c>
      <c r="G420" s="31" t="str">
        <f ca="1">VLOOKUP($F420,OFFSET(units!$A$1,0,0,COUNTA(units!$A:$A),MATCH(G$1,units!$1:$1,0)-COLUMN(INDIRECT("character_id"))+1),MATCH(G$1,units!$1:$1,0)-COLUMN(INDIRECT("character_id"))+1,FALSE)</f>
        <v>イエローラビット</v>
      </c>
      <c r="H420" s="26">
        <v>1</v>
      </c>
      <c r="I420" s="202">
        <v>1</v>
      </c>
    </row>
    <row r="421" spans="1:9" x14ac:dyDescent="0.15">
      <c r="A421" s="96" t="str">
        <f t="shared" si="6"/>
        <v>304_113</v>
      </c>
      <c r="B421" s="56">
        <v>304</v>
      </c>
      <c r="C421" s="31" t="str">
        <f ca="1">VLOOKUP($B421,OFFSET(units!$A$1,0,0,COUNTA(units!$A:$A),MATCH(C$1,units!$1:$1,0)-COLUMN(INDIRECT("character_id"))+1),MATCH(C$1,units!$1:$1,0)-COLUMN(INDIRECT("character_id"))+1,FALSE)</f>
        <v>電殺のチエミ</v>
      </c>
      <c r="D421" s="31">
        <f ca="1">VLOOKUP($B421,OFFSET(units!$A$1,0,0,COUNTA(units!$A:$A),MATCH(D$1,units!$1:$1,0)-COLUMN(INDIRECT("character_id"))+1),MATCH(D$1,units!$1:$1,0)-COLUMN(INDIRECT("character_id"))+1,FALSE)</f>
        <v>3</v>
      </c>
      <c r="E421" s="31" t="str">
        <f ca="1">VLOOKUP($B421,OFFSET(units!$A$1,0,0,COUNTA(units!$A:$A),MATCH(E$1,units!$1:$1,0)-COLUMN(INDIRECT("character_id"))+1),MATCH(E$1,units!$1:$1,0)-COLUMN(INDIRECT("character_id"))+1,FALSE)</f>
        <v>Drop2W</v>
      </c>
      <c r="F421" s="56">
        <f>F420-1</f>
        <v>113</v>
      </c>
      <c r="G421" s="31" t="str">
        <f ca="1">VLOOKUP($F421,OFFSET(units!$A$1,0,0,COUNTA(units!$A:$A),MATCH(G$1,units!$1:$1,0)-COLUMN(INDIRECT("character_id"))+1),MATCH(G$1,units!$1:$1,0)-COLUMN(INDIRECT("character_id"))+1,FALSE)</f>
        <v>イエローチェシャ</v>
      </c>
      <c r="H421" s="26">
        <v>3</v>
      </c>
      <c r="I421" s="202">
        <v>1</v>
      </c>
    </row>
    <row r="422" spans="1:9" x14ac:dyDescent="0.15">
      <c r="A422" s="96" t="str">
        <f t="shared" si="6"/>
        <v>306_104</v>
      </c>
      <c r="B422" s="59">
        <v>306</v>
      </c>
      <c r="C422" s="31" t="str">
        <f ca="1">VLOOKUP($B422,OFFSET(units!$A$1,0,0,COUNTA(units!$A:$A),MATCH(C$1,units!$1:$1,0)-COLUMN(INDIRECT("character_id"))+1),MATCH(C$1,units!$1:$1,0)-COLUMN(INDIRECT("character_id"))+1,FALSE)</f>
        <v>メガロドン</v>
      </c>
      <c r="D422" s="31">
        <f ca="1">VLOOKUP($B422,OFFSET(units!$A$1,0,0,COUNTA(units!$A:$A),MATCH(D$1,units!$1:$1,0)-COLUMN(INDIRECT("character_id"))+1),MATCH(D$1,units!$1:$1,0)-COLUMN(INDIRECT("character_id"))+1,FALSE)</f>
        <v>4</v>
      </c>
      <c r="E422" s="31" t="str">
        <f ca="1">VLOOKUP($B422,OFFSET(units!$A$1,0,0,COUNTA(units!$A:$A),MATCH(E$1,units!$1:$1,0)-COLUMN(INDIRECT("character_id"))+1),MATCH(E$1,units!$1:$1,0)-COLUMN(INDIRECT("character_id"))+1,FALSE)</f>
        <v>Drop2N</v>
      </c>
      <c r="F422" s="56">
        <v>104</v>
      </c>
      <c r="G422" s="31" t="str">
        <f ca="1">VLOOKUP($F422,OFFSET(units!$A$1,0,0,COUNTA(units!$A:$A),MATCH(G$1,units!$1:$1,0)-COLUMN(INDIRECT("character_id"))+1),MATCH(G$1,units!$1:$1,0)-COLUMN(INDIRECT("character_id"))+1,FALSE)</f>
        <v>炎のマッドハッター</v>
      </c>
      <c r="H422" s="26">
        <v>1</v>
      </c>
      <c r="I422" s="202">
        <v>1</v>
      </c>
    </row>
    <row r="423" spans="1:9" x14ac:dyDescent="0.15">
      <c r="A423" s="96" t="str">
        <f t="shared" si="6"/>
        <v>306_103</v>
      </c>
      <c r="B423" s="59">
        <v>306</v>
      </c>
      <c r="C423" s="31" t="str">
        <f ca="1">VLOOKUP($B423,OFFSET(units!$A$1,0,0,COUNTA(units!$A:$A),MATCH(C$1,units!$1:$1,0)-COLUMN(INDIRECT("character_id"))+1),MATCH(C$1,units!$1:$1,0)-COLUMN(INDIRECT("character_id"))+1,FALSE)</f>
        <v>メガロドン</v>
      </c>
      <c r="D423" s="31">
        <f ca="1">VLOOKUP($B423,OFFSET(units!$A$1,0,0,COUNTA(units!$A:$A),MATCH(D$1,units!$1:$1,0)-COLUMN(INDIRECT("character_id"))+1),MATCH(D$1,units!$1:$1,0)-COLUMN(INDIRECT("character_id"))+1,FALSE)</f>
        <v>4</v>
      </c>
      <c r="E423" s="31" t="str">
        <f ca="1">VLOOKUP($B423,OFFSET(units!$A$1,0,0,COUNTA(units!$A:$A),MATCH(E$1,units!$1:$1,0)-COLUMN(INDIRECT("character_id"))+1),MATCH(E$1,units!$1:$1,0)-COLUMN(INDIRECT("character_id"))+1,FALSE)</f>
        <v>Drop2N</v>
      </c>
      <c r="F423" s="56">
        <f>F422-1</f>
        <v>103</v>
      </c>
      <c r="G423" s="31" t="str">
        <f ca="1">VLOOKUP($F423,OFFSET(units!$A$1,0,0,COUNTA(units!$A:$A),MATCH(G$1,units!$1:$1,0)-COLUMN(INDIRECT("character_id"))+1),MATCH(G$1,units!$1:$1,0)-COLUMN(INDIRECT("character_id"))+1,FALSE)</f>
        <v>レッドキャタップ</v>
      </c>
      <c r="H423" s="26">
        <v>1</v>
      </c>
      <c r="I423" s="202">
        <v>1</v>
      </c>
    </row>
    <row r="424" spans="1:9" x14ac:dyDescent="0.15">
      <c r="A424" s="96" t="str">
        <f t="shared" si="6"/>
        <v>306_102</v>
      </c>
      <c r="B424" s="59">
        <v>306</v>
      </c>
      <c r="C424" s="31" t="str">
        <f ca="1">VLOOKUP($B424,OFFSET(units!$A$1,0,0,COUNTA(units!$A:$A),MATCH(C$1,units!$1:$1,0)-COLUMN(INDIRECT("character_id"))+1),MATCH(C$1,units!$1:$1,0)-COLUMN(INDIRECT("character_id"))+1,FALSE)</f>
        <v>メガロドン</v>
      </c>
      <c r="D424" s="31">
        <f ca="1">VLOOKUP($B424,OFFSET(units!$A$1,0,0,COUNTA(units!$A:$A),MATCH(D$1,units!$1:$1,0)-COLUMN(INDIRECT("character_id"))+1),MATCH(D$1,units!$1:$1,0)-COLUMN(INDIRECT("character_id"))+1,FALSE)</f>
        <v>4</v>
      </c>
      <c r="E424" s="31" t="str">
        <f ca="1">VLOOKUP($B424,OFFSET(units!$A$1,0,0,COUNTA(units!$A:$A),MATCH(E$1,units!$1:$1,0)-COLUMN(INDIRECT("character_id"))+1),MATCH(E$1,units!$1:$1,0)-COLUMN(INDIRECT("character_id"))+1,FALSE)</f>
        <v>Drop2N</v>
      </c>
      <c r="F424" s="56">
        <f>F423-1</f>
        <v>102</v>
      </c>
      <c r="G424" s="31" t="str">
        <f ca="1">VLOOKUP($F424,OFFSET(units!$A$1,0,0,COUNTA(units!$A:$A),MATCH(G$1,units!$1:$1,0)-COLUMN(INDIRECT("character_id"))+1),MATCH(G$1,units!$1:$1,0)-COLUMN(INDIRECT("character_id"))+1,FALSE)</f>
        <v>レッドラビット</v>
      </c>
      <c r="H424" s="26">
        <v>2</v>
      </c>
      <c r="I424" s="202">
        <v>1</v>
      </c>
    </row>
    <row r="425" spans="1:9" x14ac:dyDescent="0.15">
      <c r="A425" s="96" t="str">
        <f t="shared" si="6"/>
        <v>306_101</v>
      </c>
      <c r="B425" s="59">
        <v>306</v>
      </c>
      <c r="C425" s="31" t="str">
        <f ca="1">VLOOKUP($B425,OFFSET(units!$A$1,0,0,COUNTA(units!$A:$A),MATCH(C$1,units!$1:$1,0)-COLUMN(INDIRECT("character_id"))+1),MATCH(C$1,units!$1:$1,0)-COLUMN(INDIRECT("character_id"))+1,FALSE)</f>
        <v>メガロドン</v>
      </c>
      <c r="D425" s="31">
        <f ca="1">VLOOKUP($B425,OFFSET(units!$A$1,0,0,COUNTA(units!$A:$A),MATCH(D$1,units!$1:$1,0)-COLUMN(INDIRECT("character_id"))+1),MATCH(D$1,units!$1:$1,0)-COLUMN(INDIRECT("character_id"))+1,FALSE)</f>
        <v>4</v>
      </c>
      <c r="E425" s="31" t="str">
        <f ca="1">VLOOKUP($B425,OFFSET(units!$A$1,0,0,COUNTA(units!$A:$A),MATCH(E$1,units!$1:$1,0)-COLUMN(INDIRECT("character_id"))+1),MATCH(E$1,units!$1:$1,0)-COLUMN(INDIRECT("character_id"))+1,FALSE)</f>
        <v>Drop2N</v>
      </c>
      <c r="F425" s="56">
        <f>F424-1</f>
        <v>101</v>
      </c>
      <c r="G425" s="31" t="str">
        <f ca="1">VLOOKUP($F425,OFFSET(units!$A$1,0,0,COUNTA(units!$A:$A),MATCH(G$1,units!$1:$1,0)-COLUMN(INDIRECT("character_id"))+1),MATCH(G$1,units!$1:$1,0)-COLUMN(INDIRECT("character_id"))+1,FALSE)</f>
        <v>レッドチェシャ</v>
      </c>
      <c r="H425" s="26">
        <v>1</v>
      </c>
      <c r="I425" s="202">
        <v>1</v>
      </c>
    </row>
    <row r="426" spans="1:9" x14ac:dyDescent="0.15">
      <c r="A426" s="96" t="str">
        <f t="shared" si="6"/>
        <v>300_107</v>
      </c>
      <c r="B426" s="56">
        <v>300</v>
      </c>
      <c r="C426" s="31" t="str">
        <f ca="1">VLOOKUP($B426,OFFSET(units!$A$1,0,0,COUNTA(units!$A:$A),MATCH(C$1,units!$1:$1,0)-COLUMN(INDIRECT("character_id"))+1),MATCH(C$1,units!$1:$1,0)-COLUMN(INDIRECT("character_id"))+1,FALSE)</f>
        <v>毒殺のチカ</v>
      </c>
      <c r="D426" s="31">
        <f ca="1">VLOOKUP($B426,OFFSET(units!$A$1,0,0,COUNTA(units!$A:$A),MATCH(D$1,units!$1:$1,0)-COLUMN(INDIRECT("character_id"))+1),MATCH(D$1,units!$1:$1,0)-COLUMN(INDIRECT("character_id"))+1,FALSE)</f>
        <v>3</v>
      </c>
      <c r="E426" s="31" t="str">
        <f ca="1">VLOOKUP($B426,OFFSET(units!$A$1,0,0,COUNTA(units!$A:$A),MATCH(E$1,units!$1:$1,0)-COLUMN(INDIRECT("character_id"))+1),MATCH(E$1,units!$1:$1,0)-COLUMN(INDIRECT("character_id"))+1,FALSE)</f>
        <v>Drop2W</v>
      </c>
      <c r="F426" s="56">
        <v>107</v>
      </c>
      <c r="G426" s="31" t="str">
        <f ca="1">VLOOKUP($F426,OFFSET(units!$A$1,0,0,COUNTA(units!$A:$A),MATCH(G$1,units!$1:$1,0)-COLUMN(INDIRECT("character_id"))+1),MATCH(G$1,units!$1:$1,0)-COLUMN(INDIRECT("character_id"))+1,FALSE)</f>
        <v>グリーンキャタップ</v>
      </c>
      <c r="H426" s="26">
        <v>1</v>
      </c>
      <c r="I426" s="202">
        <v>1</v>
      </c>
    </row>
    <row r="427" spans="1:9" x14ac:dyDescent="0.15">
      <c r="A427" s="96" t="str">
        <f t="shared" si="6"/>
        <v>300_106</v>
      </c>
      <c r="B427" s="56">
        <v>300</v>
      </c>
      <c r="C427" s="31" t="str">
        <f ca="1">VLOOKUP($B427,OFFSET(units!$A$1,0,0,COUNTA(units!$A:$A),MATCH(C$1,units!$1:$1,0)-COLUMN(INDIRECT("character_id"))+1),MATCH(C$1,units!$1:$1,0)-COLUMN(INDIRECT("character_id"))+1,FALSE)</f>
        <v>毒殺のチカ</v>
      </c>
      <c r="D427" s="31">
        <f ca="1">VLOOKUP($B427,OFFSET(units!$A$1,0,0,COUNTA(units!$A:$A),MATCH(D$1,units!$1:$1,0)-COLUMN(INDIRECT("character_id"))+1),MATCH(D$1,units!$1:$1,0)-COLUMN(INDIRECT("character_id"))+1,FALSE)</f>
        <v>3</v>
      </c>
      <c r="E427" s="31" t="str">
        <f ca="1">VLOOKUP($B427,OFFSET(units!$A$1,0,0,COUNTA(units!$A:$A),MATCH(E$1,units!$1:$1,0)-COLUMN(INDIRECT("character_id"))+1),MATCH(E$1,units!$1:$1,0)-COLUMN(INDIRECT("character_id"))+1,FALSE)</f>
        <v>Drop2W</v>
      </c>
      <c r="F427" s="56">
        <f>F426-1</f>
        <v>106</v>
      </c>
      <c r="G427" s="31" t="str">
        <f ca="1">VLOOKUP($F427,OFFSET(units!$A$1,0,0,COUNTA(units!$A:$A),MATCH(G$1,units!$1:$1,0)-COLUMN(INDIRECT("character_id"))+1),MATCH(G$1,units!$1:$1,0)-COLUMN(INDIRECT("character_id"))+1,FALSE)</f>
        <v>グリーンラビット</v>
      </c>
      <c r="H427" s="26">
        <v>1</v>
      </c>
      <c r="I427" s="202">
        <v>1</v>
      </c>
    </row>
    <row r="428" spans="1:9" x14ac:dyDescent="0.15">
      <c r="A428" s="96" t="str">
        <f t="shared" si="6"/>
        <v>300_105</v>
      </c>
      <c r="B428" s="56">
        <v>300</v>
      </c>
      <c r="C428" s="31" t="str">
        <f ca="1">VLOOKUP($B428,OFFSET(units!$A$1,0,0,COUNTA(units!$A:$A),MATCH(C$1,units!$1:$1,0)-COLUMN(INDIRECT("character_id"))+1),MATCH(C$1,units!$1:$1,0)-COLUMN(INDIRECT("character_id"))+1,FALSE)</f>
        <v>毒殺のチカ</v>
      </c>
      <c r="D428" s="31">
        <f ca="1">VLOOKUP($B428,OFFSET(units!$A$1,0,0,COUNTA(units!$A:$A),MATCH(D$1,units!$1:$1,0)-COLUMN(INDIRECT("character_id"))+1),MATCH(D$1,units!$1:$1,0)-COLUMN(INDIRECT("character_id"))+1,FALSE)</f>
        <v>3</v>
      </c>
      <c r="E428" s="31" t="str">
        <f ca="1">VLOOKUP($B428,OFFSET(units!$A$1,0,0,COUNTA(units!$A:$A),MATCH(E$1,units!$1:$1,0)-COLUMN(INDIRECT("character_id"))+1),MATCH(E$1,units!$1:$1,0)-COLUMN(INDIRECT("character_id"))+1,FALSE)</f>
        <v>Drop2W</v>
      </c>
      <c r="F428" s="56">
        <f>F427-1</f>
        <v>105</v>
      </c>
      <c r="G428" s="31" t="str">
        <f ca="1">VLOOKUP($F428,OFFSET(units!$A$1,0,0,COUNTA(units!$A:$A),MATCH(G$1,units!$1:$1,0)-COLUMN(INDIRECT("character_id"))+1),MATCH(G$1,units!$1:$1,0)-COLUMN(INDIRECT("character_id"))+1,FALSE)</f>
        <v>グリーンチェシャ</v>
      </c>
      <c r="H428" s="26">
        <v>3</v>
      </c>
      <c r="I428" s="202">
        <v>1</v>
      </c>
    </row>
    <row r="429" spans="1:9" x14ac:dyDescent="0.15">
      <c r="A429" s="96" t="str">
        <f t="shared" si="6"/>
        <v>310_112</v>
      </c>
      <c r="B429" s="59">
        <v>310</v>
      </c>
      <c r="C429" s="31" t="str">
        <f ca="1">VLOOKUP($B429,OFFSET(units!$A$1,0,0,COUNTA(units!$A:$A),MATCH(C$1,units!$1:$1,0)-COLUMN(INDIRECT("character_id"))+1),MATCH(C$1,units!$1:$1,0)-COLUMN(INDIRECT("character_id"))+1,FALSE)</f>
        <v>リードシクティス</v>
      </c>
      <c r="D429" s="31">
        <f ca="1">VLOOKUP($B429,OFFSET(units!$A$1,0,0,COUNTA(units!$A:$A),MATCH(D$1,units!$1:$1,0)-COLUMN(INDIRECT("character_id"))+1),MATCH(D$1,units!$1:$1,0)-COLUMN(INDIRECT("character_id"))+1,FALSE)</f>
        <v>4</v>
      </c>
      <c r="E429" s="31" t="str">
        <f ca="1">VLOOKUP($B429,OFFSET(units!$A$1,0,0,COUNTA(units!$A:$A),MATCH(E$1,units!$1:$1,0)-COLUMN(INDIRECT("character_id"))+1),MATCH(E$1,units!$1:$1,0)-COLUMN(INDIRECT("character_id"))+1,FALSE)</f>
        <v>Drop2N</v>
      </c>
      <c r="F429" s="56">
        <v>112</v>
      </c>
      <c r="G429" s="31" t="str">
        <f ca="1">VLOOKUP($F429,OFFSET(units!$A$1,0,0,COUNTA(units!$A:$A),MATCH(G$1,units!$1:$1,0)-COLUMN(INDIRECT("character_id"))+1),MATCH(G$1,units!$1:$1,0)-COLUMN(INDIRECT("character_id"))+1,FALSE)</f>
        <v>水のマッドハッター</v>
      </c>
      <c r="H429" s="26">
        <v>1</v>
      </c>
      <c r="I429" s="202">
        <v>1</v>
      </c>
    </row>
    <row r="430" spans="1:9" x14ac:dyDescent="0.15">
      <c r="A430" s="96" t="str">
        <f t="shared" si="6"/>
        <v>310_111</v>
      </c>
      <c r="B430" s="59">
        <v>310</v>
      </c>
      <c r="C430" s="31" t="str">
        <f ca="1">VLOOKUP($B430,OFFSET(units!$A$1,0,0,COUNTA(units!$A:$A),MATCH(C$1,units!$1:$1,0)-COLUMN(INDIRECT("character_id"))+1),MATCH(C$1,units!$1:$1,0)-COLUMN(INDIRECT("character_id"))+1,FALSE)</f>
        <v>リードシクティス</v>
      </c>
      <c r="D430" s="31">
        <f ca="1">VLOOKUP($B430,OFFSET(units!$A$1,0,0,COUNTA(units!$A:$A),MATCH(D$1,units!$1:$1,0)-COLUMN(INDIRECT("character_id"))+1),MATCH(D$1,units!$1:$1,0)-COLUMN(INDIRECT("character_id"))+1,FALSE)</f>
        <v>4</v>
      </c>
      <c r="E430" s="31" t="str">
        <f ca="1">VLOOKUP($B430,OFFSET(units!$A$1,0,0,COUNTA(units!$A:$A),MATCH(E$1,units!$1:$1,0)-COLUMN(INDIRECT("character_id"))+1),MATCH(E$1,units!$1:$1,0)-COLUMN(INDIRECT("character_id"))+1,FALSE)</f>
        <v>Drop2N</v>
      </c>
      <c r="F430" s="56">
        <f>F429-1</f>
        <v>111</v>
      </c>
      <c r="G430" s="31" t="str">
        <f ca="1">VLOOKUP($F430,OFFSET(units!$A$1,0,0,COUNTA(units!$A:$A),MATCH(G$1,units!$1:$1,0)-COLUMN(INDIRECT("character_id"))+1),MATCH(G$1,units!$1:$1,0)-COLUMN(INDIRECT("character_id"))+1,FALSE)</f>
        <v>ブルーキャタップ</v>
      </c>
      <c r="H430" s="26">
        <v>1</v>
      </c>
      <c r="I430" s="202">
        <v>1</v>
      </c>
    </row>
    <row r="431" spans="1:9" x14ac:dyDescent="0.15">
      <c r="A431" s="96" t="str">
        <f t="shared" si="6"/>
        <v>310_110</v>
      </c>
      <c r="B431" s="59">
        <v>310</v>
      </c>
      <c r="C431" s="31" t="str">
        <f ca="1">VLOOKUP($B431,OFFSET(units!$A$1,0,0,COUNTA(units!$A:$A),MATCH(C$1,units!$1:$1,0)-COLUMN(INDIRECT("character_id"))+1),MATCH(C$1,units!$1:$1,0)-COLUMN(INDIRECT("character_id"))+1,FALSE)</f>
        <v>リードシクティス</v>
      </c>
      <c r="D431" s="31">
        <f ca="1">VLOOKUP($B431,OFFSET(units!$A$1,0,0,COUNTA(units!$A:$A),MATCH(D$1,units!$1:$1,0)-COLUMN(INDIRECT("character_id"))+1),MATCH(D$1,units!$1:$1,0)-COLUMN(INDIRECT("character_id"))+1,FALSE)</f>
        <v>4</v>
      </c>
      <c r="E431" s="31" t="str">
        <f ca="1">VLOOKUP($B431,OFFSET(units!$A$1,0,0,COUNTA(units!$A:$A),MATCH(E$1,units!$1:$1,0)-COLUMN(INDIRECT("character_id"))+1),MATCH(E$1,units!$1:$1,0)-COLUMN(INDIRECT("character_id"))+1,FALSE)</f>
        <v>Drop2N</v>
      </c>
      <c r="F431" s="56">
        <f>F430-1</f>
        <v>110</v>
      </c>
      <c r="G431" s="31" t="str">
        <f ca="1">VLOOKUP($F431,OFFSET(units!$A$1,0,0,COUNTA(units!$A:$A),MATCH(G$1,units!$1:$1,0)-COLUMN(INDIRECT("character_id"))+1),MATCH(G$1,units!$1:$1,0)-COLUMN(INDIRECT("character_id"))+1,FALSE)</f>
        <v>ブルーラビット</v>
      </c>
      <c r="H431" s="26">
        <v>2</v>
      </c>
      <c r="I431" s="202">
        <v>1</v>
      </c>
    </row>
    <row r="432" spans="1:9" x14ac:dyDescent="0.15">
      <c r="A432" s="96" t="str">
        <f t="shared" si="6"/>
        <v>310_109</v>
      </c>
      <c r="B432" s="59">
        <v>310</v>
      </c>
      <c r="C432" s="31" t="str">
        <f ca="1">VLOOKUP($B432,OFFSET(units!$A$1,0,0,COUNTA(units!$A:$A),MATCH(C$1,units!$1:$1,0)-COLUMN(INDIRECT("character_id"))+1),MATCH(C$1,units!$1:$1,0)-COLUMN(INDIRECT("character_id"))+1,FALSE)</f>
        <v>リードシクティス</v>
      </c>
      <c r="D432" s="31">
        <f ca="1">VLOOKUP($B432,OFFSET(units!$A$1,0,0,COUNTA(units!$A:$A),MATCH(D$1,units!$1:$1,0)-COLUMN(INDIRECT("character_id"))+1),MATCH(D$1,units!$1:$1,0)-COLUMN(INDIRECT("character_id"))+1,FALSE)</f>
        <v>4</v>
      </c>
      <c r="E432" s="31" t="str">
        <f ca="1">VLOOKUP($B432,OFFSET(units!$A$1,0,0,COUNTA(units!$A:$A),MATCH(E$1,units!$1:$1,0)-COLUMN(INDIRECT("character_id"))+1),MATCH(E$1,units!$1:$1,0)-COLUMN(INDIRECT("character_id"))+1,FALSE)</f>
        <v>Drop2N</v>
      </c>
      <c r="F432" s="56">
        <f>F431-1</f>
        <v>109</v>
      </c>
      <c r="G432" s="31" t="str">
        <f ca="1">VLOOKUP($F432,OFFSET(units!$A$1,0,0,COUNTA(units!$A:$A),MATCH(G$1,units!$1:$1,0)-COLUMN(INDIRECT("character_id"))+1),MATCH(G$1,units!$1:$1,0)-COLUMN(INDIRECT("character_id"))+1,FALSE)</f>
        <v>ブルーチェシャ</v>
      </c>
      <c r="H432" s="26">
        <v>1</v>
      </c>
      <c r="I432" s="202">
        <v>1</v>
      </c>
    </row>
    <row r="433" spans="1:9" x14ac:dyDescent="0.15">
      <c r="A433" s="96" t="str">
        <f t="shared" si="6"/>
        <v>298_103</v>
      </c>
      <c r="B433" s="56">
        <v>298</v>
      </c>
      <c r="C433" s="31" t="str">
        <f ca="1">VLOOKUP($B433,OFFSET(units!$A$1,0,0,COUNTA(units!$A:$A),MATCH(C$1,units!$1:$1,0)-COLUMN(INDIRECT("character_id"))+1),MATCH(C$1,units!$1:$1,0)-COLUMN(INDIRECT("character_id"))+1,FALSE)</f>
        <v>炎殺のミサコ</v>
      </c>
      <c r="D433" s="31">
        <f ca="1">VLOOKUP($B433,OFFSET(units!$A$1,0,0,COUNTA(units!$A:$A),MATCH(D$1,units!$1:$1,0)-COLUMN(INDIRECT("character_id"))+1),MATCH(D$1,units!$1:$1,0)-COLUMN(INDIRECT("character_id"))+1,FALSE)</f>
        <v>3</v>
      </c>
      <c r="E433" s="31" t="str">
        <f ca="1">VLOOKUP($B433,OFFSET(units!$A$1,0,0,COUNTA(units!$A:$A),MATCH(E$1,units!$1:$1,0)-COLUMN(INDIRECT("character_id"))+1),MATCH(E$1,units!$1:$1,0)-COLUMN(INDIRECT("character_id"))+1,FALSE)</f>
        <v>Drop2W</v>
      </c>
      <c r="F433" s="56">
        <v>103</v>
      </c>
      <c r="G433" s="31" t="str">
        <f ca="1">VLOOKUP($F433,OFFSET(units!$A$1,0,0,COUNTA(units!$A:$A),MATCH(G$1,units!$1:$1,0)-COLUMN(INDIRECT("character_id"))+1),MATCH(G$1,units!$1:$1,0)-COLUMN(INDIRECT("character_id"))+1,FALSE)</f>
        <v>レッドキャタップ</v>
      </c>
      <c r="H433" s="26">
        <v>1</v>
      </c>
      <c r="I433" s="202">
        <v>1</v>
      </c>
    </row>
    <row r="434" spans="1:9" x14ac:dyDescent="0.15">
      <c r="A434" s="96" t="str">
        <f t="shared" si="6"/>
        <v>298_102</v>
      </c>
      <c r="B434" s="56">
        <v>298</v>
      </c>
      <c r="C434" s="31" t="str">
        <f ca="1">VLOOKUP($B434,OFFSET(units!$A$1,0,0,COUNTA(units!$A:$A),MATCH(C$1,units!$1:$1,0)-COLUMN(INDIRECT("character_id"))+1),MATCH(C$1,units!$1:$1,0)-COLUMN(INDIRECT("character_id"))+1,FALSE)</f>
        <v>炎殺のミサコ</v>
      </c>
      <c r="D434" s="31">
        <f ca="1">VLOOKUP($B434,OFFSET(units!$A$1,0,0,COUNTA(units!$A:$A),MATCH(D$1,units!$1:$1,0)-COLUMN(INDIRECT("character_id"))+1),MATCH(D$1,units!$1:$1,0)-COLUMN(INDIRECT("character_id"))+1,FALSE)</f>
        <v>3</v>
      </c>
      <c r="E434" s="31" t="str">
        <f ca="1">VLOOKUP($B434,OFFSET(units!$A$1,0,0,COUNTA(units!$A:$A),MATCH(E$1,units!$1:$1,0)-COLUMN(INDIRECT("character_id"))+1),MATCH(E$1,units!$1:$1,0)-COLUMN(INDIRECT("character_id"))+1,FALSE)</f>
        <v>Drop2W</v>
      </c>
      <c r="F434" s="56">
        <f>F433-1</f>
        <v>102</v>
      </c>
      <c r="G434" s="31" t="str">
        <f ca="1">VLOOKUP($F434,OFFSET(units!$A$1,0,0,COUNTA(units!$A:$A),MATCH(G$1,units!$1:$1,0)-COLUMN(INDIRECT("character_id"))+1),MATCH(G$1,units!$1:$1,0)-COLUMN(INDIRECT("character_id"))+1,FALSE)</f>
        <v>レッドラビット</v>
      </c>
      <c r="H434" s="26">
        <v>1</v>
      </c>
      <c r="I434" s="202">
        <v>1</v>
      </c>
    </row>
    <row r="435" spans="1:9" x14ac:dyDescent="0.15">
      <c r="A435" s="96" t="str">
        <f t="shared" si="6"/>
        <v>298_101</v>
      </c>
      <c r="B435" s="56">
        <v>298</v>
      </c>
      <c r="C435" s="31" t="str">
        <f ca="1">VLOOKUP($B435,OFFSET(units!$A$1,0,0,COUNTA(units!$A:$A),MATCH(C$1,units!$1:$1,0)-COLUMN(INDIRECT("character_id"))+1),MATCH(C$1,units!$1:$1,0)-COLUMN(INDIRECT("character_id"))+1,FALSE)</f>
        <v>炎殺のミサコ</v>
      </c>
      <c r="D435" s="31">
        <f ca="1">VLOOKUP($B435,OFFSET(units!$A$1,0,0,COUNTA(units!$A:$A),MATCH(D$1,units!$1:$1,0)-COLUMN(INDIRECT("character_id"))+1),MATCH(D$1,units!$1:$1,0)-COLUMN(INDIRECT("character_id"))+1,FALSE)</f>
        <v>3</v>
      </c>
      <c r="E435" s="31" t="str">
        <f ca="1">VLOOKUP($B435,OFFSET(units!$A$1,0,0,COUNTA(units!$A:$A),MATCH(E$1,units!$1:$1,0)-COLUMN(INDIRECT("character_id"))+1),MATCH(E$1,units!$1:$1,0)-COLUMN(INDIRECT("character_id"))+1,FALSE)</f>
        <v>Drop2W</v>
      </c>
      <c r="F435" s="56">
        <f>F434-1</f>
        <v>101</v>
      </c>
      <c r="G435" s="31" t="str">
        <f ca="1">VLOOKUP($F435,OFFSET(units!$A$1,0,0,COUNTA(units!$A:$A),MATCH(G$1,units!$1:$1,0)-COLUMN(INDIRECT("character_id"))+1),MATCH(G$1,units!$1:$1,0)-COLUMN(INDIRECT("character_id"))+1,FALSE)</f>
        <v>レッドチェシャ</v>
      </c>
      <c r="H435" s="26">
        <v>3</v>
      </c>
      <c r="I435" s="202">
        <v>1</v>
      </c>
    </row>
    <row r="436" spans="1:9" x14ac:dyDescent="0.15">
      <c r="A436" s="96" t="str">
        <f t="shared" si="6"/>
        <v>308_108</v>
      </c>
      <c r="B436" s="59">
        <v>308</v>
      </c>
      <c r="C436" s="31" t="str">
        <f ca="1">VLOOKUP($B436,OFFSET(units!$A$1,0,0,COUNTA(units!$A:$A),MATCH(C$1,units!$1:$1,0)-COLUMN(INDIRECT("character_id"))+1),MATCH(C$1,units!$1:$1,0)-COLUMN(INDIRECT("character_id"))+1,FALSE)</f>
        <v>アーケロン</v>
      </c>
      <c r="D436" s="31">
        <f ca="1">VLOOKUP($B436,OFFSET(units!$A$1,0,0,COUNTA(units!$A:$A),MATCH(D$1,units!$1:$1,0)-COLUMN(INDIRECT("character_id"))+1),MATCH(D$1,units!$1:$1,0)-COLUMN(INDIRECT("character_id"))+1,FALSE)</f>
        <v>4</v>
      </c>
      <c r="E436" s="31" t="str">
        <f ca="1">VLOOKUP($B436,OFFSET(units!$A$1,0,0,COUNTA(units!$A:$A),MATCH(E$1,units!$1:$1,0)-COLUMN(INDIRECT("character_id"))+1),MATCH(E$1,units!$1:$1,0)-COLUMN(INDIRECT("character_id"))+1,FALSE)</f>
        <v>Drop2N</v>
      </c>
      <c r="F436" s="56">
        <v>108</v>
      </c>
      <c r="G436" s="31" t="str">
        <f ca="1">VLOOKUP($F436,OFFSET(units!$A$1,0,0,COUNTA(units!$A:$A),MATCH(G$1,units!$1:$1,0)-COLUMN(INDIRECT("character_id"))+1),MATCH(G$1,units!$1:$1,0)-COLUMN(INDIRECT("character_id"))+1,FALSE)</f>
        <v>森のマッドハッター</v>
      </c>
      <c r="H436" s="26">
        <v>1</v>
      </c>
      <c r="I436" s="202">
        <v>1</v>
      </c>
    </row>
    <row r="437" spans="1:9" x14ac:dyDescent="0.15">
      <c r="A437" s="96" t="str">
        <f t="shared" si="6"/>
        <v>308_107</v>
      </c>
      <c r="B437" s="59">
        <v>308</v>
      </c>
      <c r="C437" s="31" t="str">
        <f ca="1">VLOOKUP($B437,OFFSET(units!$A$1,0,0,COUNTA(units!$A:$A),MATCH(C$1,units!$1:$1,0)-COLUMN(INDIRECT("character_id"))+1),MATCH(C$1,units!$1:$1,0)-COLUMN(INDIRECT("character_id"))+1,FALSE)</f>
        <v>アーケロン</v>
      </c>
      <c r="D437" s="31">
        <f ca="1">VLOOKUP($B437,OFFSET(units!$A$1,0,0,COUNTA(units!$A:$A),MATCH(D$1,units!$1:$1,0)-COLUMN(INDIRECT("character_id"))+1),MATCH(D$1,units!$1:$1,0)-COLUMN(INDIRECT("character_id"))+1,FALSE)</f>
        <v>4</v>
      </c>
      <c r="E437" s="31" t="str">
        <f ca="1">VLOOKUP($B437,OFFSET(units!$A$1,0,0,COUNTA(units!$A:$A),MATCH(E$1,units!$1:$1,0)-COLUMN(INDIRECT("character_id"))+1),MATCH(E$1,units!$1:$1,0)-COLUMN(INDIRECT("character_id"))+1,FALSE)</f>
        <v>Drop2N</v>
      </c>
      <c r="F437" s="56">
        <f>F436-1</f>
        <v>107</v>
      </c>
      <c r="G437" s="31" t="str">
        <f ca="1">VLOOKUP($F437,OFFSET(units!$A$1,0,0,COUNTA(units!$A:$A),MATCH(G$1,units!$1:$1,0)-COLUMN(INDIRECT("character_id"))+1),MATCH(G$1,units!$1:$1,0)-COLUMN(INDIRECT("character_id"))+1,FALSE)</f>
        <v>グリーンキャタップ</v>
      </c>
      <c r="H437" s="26">
        <v>1</v>
      </c>
      <c r="I437" s="202">
        <v>1</v>
      </c>
    </row>
    <row r="438" spans="1:9" x14ac:dyDescent="0.15">
      <c r="A438" s="96" t="str">
        <f t="shared" si="6"/>
        <v>308_106</v>
      </c>
      <c r="B438" s="59">
        <v>308</v>
      </c>
      <c r="C438" s="31" t="str">
        <f ca="1">VLOOKUP($B438,OFFSET(units!$A$1,0,0,COUNTA(units!$A:$A),MATCH(C$1,units!$1:$1,0)-COLUMN(INDIRECT("character_id"))+1),MATCH(C$1,units!$1:$1,0)-COLUMN(INDIRECT("character_id"))+1,FALSE)</f>
        <v>アーケロン</v>
      </c>
      <c r="D438" s="31">
        <f ca="1">VLOOKUP($B438,OFFSET(units!$A$1,0,0,COUNTA(units!$A:$A),MATCH(D$1,units!$1:$1,0)-COLUMN(INDIRECT("character_id"))+1),MATCH(D$1,units!$1:$1,0)-COLUMN(INDIRECT("character_id"))+1,FALSE)</f>
        <v>4</v>
      </c>
      <c r="E438" s="31" t="str">
        <f ca="1">VLOOKUP($B438,OFFSET(units!$A$1,0,0,COUNTA(units!$A:$A),MATCH(E$1,units!$1:$1,0)-COLUMN(INDIRECT("character_id"))+1),MATCH(E$1,units!$1:$1,0)-COLUMN(INDIRECT("character_id"))+1,FALSE)</f>
        <v>Drop2N</v>
      </c>
      <c r="F438" s="56">
        <f>F437-1</f>
        <v>106</v>
      </c>
      <c r="G438" s="31" t="str">
        <f ca="1">VLOOKUP($F438,OFFSET(units!$A$1,0,0,COUNTA(units!$A:$A),MATCH(G$1,units!$1:$1,0)-COLUMN(INDIRECT("character_id"))+1),MATCH(G$1,units!$1:$1,0)-COLUMN(INDIRECT("character_id"))+1,FALSE)</f>
        <v>グリーンラビット</v>
      </c>
      <c r="H438" s="26">
        <v>2</v>
      </c>
      <c r="I438" s="202">
        <v>1</v>
      </c>
    </row>
    <row r="439" spans="1:9" x14ac:dyDescent="0.15">
      <c r="A439" s="96" t="str">
        <f t="shared" si="6"/>
        <v>308_105</v>
      </c>
      <c r="B439" s="59">
        <v>308</v>
      </c>
      <c r="C439" s="31" t="str">
        <f ca="1">VLOOKUP($B439,OFFSET(units!$A$1,0,0,COUNTA(units!$A:$A),MATCH(C$1,units!$1:$1,0)-COLUMN(INDIRECT("character_id"))+1),MATCH(C$1,units!$1:$1,0)-COLUMN(INDIRECT("character_id"))+1,FALSE)</f>
        <v>アーケロン</v>
      </c>
      <c r="D439" s="31">
        <f ca="1">VLOOKUP($B439,OFFSET(units!$A$1,0,0,COUNTA(units!$A:$A),MATCH(D$1,units!$1:$1,0)-COLUMN(INDIRECT("character_id"))+1),MATCH(D$1,units!$1:$1,0)-COLUMN(INDIRECT("character_id"))+1,FALSE)</f>
        <v>4</v>
      </c>
      <c r="E439" s="31" t="str">
        <f ca="1">VLOOKUP($B439,OFFSET(units!$A$1,0,0,COUNTA(units!$A:$A),MATCH(E$1,units!$1:$1,0)-COLUMN(INDIRECT("character_id"))+1),MATCH(E$1,units!$1:$1,0)-COLUMN(INDIRECT("character_id"))+1,FALSE)</f>
        <v>Drop2N</v>
      </c>
      <c r="F439" s="56">
        <f>F438-1</f>
        <v>105</v>
      </c>
      <c r="G439" s="31" t="str">
        <f ca="1">VLOOKUP($F439,OFFSET(units!$A$1,0,0,COUNTA(units!$A:$A),MATCH(G$1,units!$1:$1,0)-COLUMN(INDIRECT("character_id"))+1),MATCH(G$1,units!$1:$1,0)-COLUMN(INDIRECT("character_id"))+1,FALSE)</f>
        <v>グリーンチェシャ</v>
      </c>
      <c r="H439" s="26">
        <v>1</v>
      </c>
      <c r="I439" s="202">
        <v>1</v>
      </c>
    </row>
    <row r="440" spans="1:9" x14ac:dyDescent="0.15">
      <c r="A440" s="96" t="str">
        <f t="shared" si="6"/>
        <v>376_376</v>
      </c>
      <c r="B440" s="59">
        <v>376</v>
      </c>
      <c r="C440" s="31" t="str">
        <f ca="1">VLOOKUP($B440,OFFSET(units!$A$1,0,0,COUNTA(units!$A:$A),MATCH(C$1,units!$1:$1,0)-COLUMN(INDIRECT("character_id"))+1),MATCH(C$1,units!$1:$1,0)-COLUMN(INDIRECT("character_id"))+1,FALSE)</f>
        <v>勘兵衛</v>
      </c>
      <c r="D440" s="31">
        <f ca="1">VLOOKUP($B440,OFFSET(units!$A$1,0,0,COUNTA(units!$A:$A),MATCH(D$1,units!$1:$1,0)-COLUMN(INDIRECT("character_id"))+1),MATCH(D$1,units!$1:$1,0)-COLUMN(INDIRECT("character_id"))+1,FALSE)</f>
        <v>3</v>
      </c>
      <c r="E440" s="31" t="str">
        <f ca="1">VLOOKUP($B440,OFFSET(units!$A$1,0,0,COUNTA(units!$A:$A),MATCH(E$1,units!$1:$1,0)-COLUMN(INDIRECT("character_id"))+1),MATCH(E$1,units!$1:$1,0)-COLUMN(INDIRECT("character_id"))+1,FALSE)</f>
        <v>Drop1S</v>
      </c>
      <c r="F440" s="56">
        <v>376</v>
      </c>
      <c r="G440" s="31" t="str">
        <f ca="1">VLOOKUP($F440,OFFSET(units!$A$1,0,0,COUNTA(units!$A:$A),MATCH(G$1,units!$1:$1,0)-COLUMN(INDIRECT("character_id"))+1),MATCH(G$1,units!$1:$1,0)-COLUMN(INDIRECT("character_id"))+1,FALSE)</f>
        <v>勘兵衛</v>
      </c>
      <c r="H440" s="26">
        <v>3</v>
      </c>
      <c r="I440" s="202">
        <v>1</v>
      </c>
    </row>
    <row r="441" spans="1:9" ht="21" customHeight="1" x14ac:dyDescent="0.15">
      <c r="A441" s="96" t="str">
        <f t="shared" si="6"/>
        <v>392_107</v>
      </c>
      <c r="B441" s="56">
        <v>392</v>
      </c>
      <c r="C441" s="31" t="str">
        <f ca="1">VLOOKUP($B441,OFFSET(units!$A$1,0,0,COUNTA(units!$A:$A),MATCH(C$1,units!$1:$1,0)-COLUMN(INDIRECT("character_id"))+1),MATCH(C$1,units!$1:$1,0)-COLUMN(INDIRECT("character_id"))+1,FALSE)</f>
        <v>ピーターパン</v>
      </c>
      <c r="D441" s="31">
        <f ca="1">VLOOKUP($B441,OFFSET(units!$A$1,0,0,COUNTA(units!$A:$A),MATCH(D$1,units!$1:$1,0)-COLUMN(INDIRECT("character_id"))+1),MATCH(D$1,units!$1:$1,0)-COLUMN(INDIRECT("character_id"))+1,FALSE)</f>
        <v>3</v>
      </c>
      <c r="E441" s="31" t="str">
        <f ca="1">VLOOKUP($B441,OFFSET(units!$A$1,0,0,COUNTA(units!$A:$A),MATCH(E$1,units!$1:$1,0)-COLUMN(INDIRECT("character_id"))+1),MATCH(E$1,units!$1:$1,0)-COLUMN(INDIRECT("character_id"))+1,FALSE)</f>
        <v>PremiumS</v>
      </c>
      <c r="F441" s="56">
        <v>107</v>
      </c>
      <c r="G441" s="31" t="str">
        <f ca="1">VLOOKUP($F441,OFFSET(units!$A$1,0,0,COUNTA(units!$A:$A),MATCH(G$1,units!$1:$1,0)-COLUMN(INDIRECT("character_id"))+1),MATCH(G$1,units!$1:$1,0)-COLUMN(INDIRECT("character_id"))+1,FALSE)</f>
        <v>グリーンキャタップ</v>
      </c>
      <c r="H441" s="26">
        <v>3</v>
      </c>
      <c r="I441" s="202">
        <v>1</v>
      </c>
    </row>
    <row r="442" spans="1:9" ht="21" customHeight="1" x14ac:dyDescent="0.15">
      <c r="A442" s="96" t="str">
        <f t="shared" si="6"/>
        <v>392_106</v>
      </c>
      <c r="B442" s="56">
        <v>392</v>
      </c>
      <c r="C442" s="31" t="str">
        <f ca="1">VLOOKUP($B442,OFFSET(units!$A$1,0,0,COUNTA(units!$A:$A),MATCH(C$1,units!$1:$1,0)-COLUMN(INDIRECT("character_id"))+1),MATCH(C$1,units!$1:$1,0)-COLUMN(INDIRECT("character_id"))+1,FALSE)</f>
        <v>ピーターパン</v>
      </c>
      <c r="D442" s="31">
        <f ca="1">VLOOKUP($B442,OFFSET(units!$A$1,0,0,COUNTA(units!$A:$A),MATCH(D$1,units!$1:$1,0)-COLUMN(INDIRECT("character_id"))+1),MATCH(D$1,units!$1:$1,0)-COLUMN(INDIRECT("character_id"))+1,FALSE)</f>
        <v>3</v>
      </c>
      <c r="E442" s="31" t="str">
        <f ca="1">VLOOKUP($B442,OFFSET(units!$A$1,0,0,COUNTA(units!$A:$A),MATCH(E$1,units!$1:$1,0)-COLUMN(INDIRECT("character_id"))+1),MATCH(E$1,units!$1:$1,0)-COLUMN(INDIRECT("character_id"))+1,FALSE)</f>
        <v>PremiumS</v>
      </c>
      <c r="F442" s="56">
        <v>106</v>
      </c>
      <c r="G442" s="31" t="str">
        <f ca="1">VLOOKUP($F442,OFFSET(units!$A$1,0,0,COUNTA(units!$A:$A),MATCH(G$1,units!$1:$1,0)-COLUMN(INDIRECT("character_id"))+1),MATCH(G$1,units!$1:$1,0)-COLUMN(INDIRECT("character_id"))+1,FALSE)</f>
        <v>グリーンラビット</v>
      </c>
      <c r="H442" s="26">
        <v>1</v>
      </c>
      <c r="I442" s="202">
        <v>1</v>
      </c>
    </row>
    <row r="443" spans="1:9" ht="21" customHeight="1" x14ac:dyDescent="0.15">
      <c r="A443" s="96" t="str">
        <f t="shared" si="6"/>
        <v>393_108</v>
      </c>
      <c r="B443" s="56">
        <v>393</v>
      </c>
      <c r="C443" s="31" t="str">
        <f ca="1">VLOOKUP($B443,OFFSET(units!$A$1,0,0,COUNTA(units!$A:$A),MATCH(C$1,units!$1:$1,0)-COLUMN(INDIRECT("character_id"))+1),MATCH(C$1,units!$1:$1,0)-COLUMN(INDIRECT("character_id"))+1,FALSE)</f>
        <v>影縫い ピーターパン</v>
      </c>
      <c r="D443" s="31">
        <f ca="1">VLOOKUP($B443,OFFSET(units!$A$1,0,0,COUNTA(units!$A:$A),MATCH(D$1,units!$1:$1,0)-COLUMN(INDIRECT("character_id"))+1),MATCH(D$1,units!$1:$1,0)-COLUMN(INDIRECT("character_id"))+1,FALSE)</f>
        <v>4</v>
      </c>
      <c r="E443" s="31" t="str">
        <f ca="1">VLOOKUP($B443,OFFSET(units!$A$1,0,0,COUNTA(units!$A:$A),MATCH(E$1,units!$1:$1,0)-COLUMN(INDIRECT("character_id"))+1),MATCH(E$1,units!$1:$1,0)-COLUMN(INDIRECT("character_id"))+1,FALSE)</f>
        <v>PremiumS</v>
      </c>
      <c r="F443" s="56">
        <v>108</v>
      </c>
      <c r="G443" s="31" t="str">
        <f ca="1">VLOOKUP($F443,OFFSET(units!$A$1,0,0,COUNTA(units!$A:$A),MATCH(G$1,units!$1:$1,0)-COLUMN(INDIRECT("character_id"))+1),MATCH(G$1,units!$1:$1,0)-COLUMN(INDIRECT("character_id"))+1,FALSE)</f>
        <v>森のマッドハッター</v>
      </c>
      <c r="H443" s="26">
        <v>2</v>
      </c>
      <c r="I443" s="202">
        <v>1</v>
      </c>
    </row>
    <row r="444" spans="1:9" ht="21" customHeight="1" x14ac:dyDescent="0.15">
      <c r="A444" s="96" t="str">
        <f t="shared" si="6"/>
        <v>393_107</v>
      </c>
      <c r="B444" s="56">
        <v>393</v>
      </c>
      <c r="C444" s="31" t="str">
        <f ca="1">VLOOKUP($B444,OFFSET(units!$A$1,0,0,COUNTA(units!$A:$A),MATCH(C$1,units!$1:$1,0)-COLUMN(INDIRECT("character_id"))+1),MATCH(C$1,units!$1:$1,0)-COLUMN(INDIRECT("character_id"))+1,FALSE)</f>
        <v>影縫い ピーターパン</v>
      </c>
      <c r="D444" s="31">
        <f ca="1">VLOOKUP($B444,OFFSET(units!$A$1,0,0,COUNTA(units!$A:$A),MATCH(D$1,units!$1:$1,0)-COLUMN(INDIRECT("character_id"))+1),MATCH(D$1,units!$1:$1,0)-COLUMN(INDIRECT("character_id"))+1,FALSE)</f>
        <v>4</v>
      </c>
      <c r="E444" s="31" t="str">
        <f ca="1">VLOOKUP($B444,OFFSET(units!$A$1,0,0,COUNTA(units!$A:$A),MATCH(E$1,units!$1:$1,0)-COLUMN(INDIRECT("character_id"))+1),MATCH(E$1,units!$1:$1,0)-COLUMN(INDIRECT("character_id"))+1,FALSE)</f>
        <v>PremiumS</v>
      </c>
      <c r="F444" s="56">
        <v>107</v>
      </c>
      <c r="G444" s="31" t="str">
        <f ca="1">VLOOKUP($F444,OFFSET(units!$A$1,0,0,COUNTA(units!$A:$A),MATCH(G$1,units!$1:$1,0)-COLUMN(INDIRECT("character_id"))+1),MATCH(G$1,units!$1:$1,0)-COLUMN(INDIRECT("character_id"))+1,FALSE)</f>
        <v>グリーンキャタップ</v>
      </c>
      <c r="H444" s="26">
        <v>2</v>
      </c>
      <c r="I444" s="202">
        <v>1</v>
      </c>
    </row>
    <row r="445" spans="1:9" ht="21" customHeight="1" x14ac:dyDescent="0.15">
      <c r="A445" s="96" t="str">
        <f t="shared" si="6"/>
        <v>393_106</v>
      </c>
      <c r="B445" s="56">
        <v>393</v>
      </c>
      <c r="C445" s="31" t="str">
        <f ca="1">VLOOKUP($B445,OFFSET(units!$A$1,0,0,COUNTA(units!$A:$A),MATCH(C$1,units!$1:$1,0)-COLUMN(INDIRECT("character_id"))+1),MATCH(C$1,units!$1:$1,0)-COLUMN(INDIRECT("character_id"))+1,FALSE)</f>
        <v>影縫い ピーターパン</v>
      </c>
      <c r="D445" s="31">
        <f ca="1">VLOOKUP($B445,OFFSET(units!$A$1,0,0,COUNTA(units!$A:$A),MATCH(D$1,units!$1:$1,0)-COLUMN(INDIRECT("character_id"))+1),MATCH(D$1,units!$1:$1,0)-COLUMN(INDIRECT("character_id"))+1,FALSE)</f>
        <v>4</v>
      </c>
      <c r="E445" s="31" t="str">
        <f ca="1">VLOOKUP($B445,OFFSET(units!$A$1,0,0,COUNTA(units!$A:$A),MATCH(E$1,units!$1:$1,0)-COLUMN(INDIRECT("character_id"))+1),MATCH(E$1,units!$1:$1,0)-COLUMN(INDIRECT("character_id"))+1,FALSE)</f>
        <v>PremiumS</v>
      </c>
      <c r="F445" s="56">
        <v>106</v>
      </c>
      <c r="G445" s="31" t="str">
        <f ca="1">VLOOKUP($F445,OFFSET(units!$A$1,0,0,COUNTA(units!$A:$A),MATCH(G$1,units!$1:$1,0)-COLUMN(INDIRECT("character_id"))+1),MATCH(G$1,units!$1:$1,0)-COLUMN(INDIRECT("character_id"))+1,FALSE)</f>
        <v>グリーンラビット</v>
      </c>
      <c r="H445" s="26">
        <v>1</v>
      </c>
      <c r="I445" s="202">
        <v>1</v>
      </c>
    </row>
    <row r="446" spans="1:9" ht="21" customHeight="1" x14ac:dyDescent="0.15">
      <c r="A446" s="96" t="str">
        <f t="shared" si="6"/>
        <v>390_104</v>
      </c>
      <c r="B446" s="56">
        <v>390</v>
      </c>
      <c r="C446" s="31" t="str">
        <f ca="1">VLOOKUP($B446,OFFSET(units!$A$1,0,0,COUNTA(units!$A:$A),MATCH(C$1,units!$1:$1,0)-COLUMN(INDIRECT("character_id"))+1),MATCH(C$1,units!$1:$1,0)-COLUMN(INDIRECT("character_id"))+1,FALSE)</f>
        <v>華環の旅客 親指姫</v>
      </c>
      <c r="D446" s="31">
        <f ca="1">VLOOKUP($B446,OFFSET(units!$A$1,0,0,COUNTA(units!$A:$A),MATCH(D$1,units!$1:$1,0)-COLUMN(INDIRECT("character_id"))+1),MATCH(D$1,units!$1:$1,0)-COLUMN(INDIRECT("character_id"))+1,FALSE)</f>
        <v>4</v>
      </c>
      <c r="E446" s="31" t="str">
        <f ca="1">VLOOKUP($B446,OFFSET(units!$A$1,0,0,COUNTA(units!$A:$A),MATCH(E$1,units!$1:$1,0)-COLUMN(INDIRECT("character_id"))+1),MATCH(E$1,units!$1:$1,0)-COLUMN(INDIRECT("character_id"))+1,FALSE)</f>
        <v>PremiumSS</v>
      </c>
      <c r="F446" s="56">
        <v>104</v>
      </c>
      <c r="G446" s="31" t="str">
        <f ca="1">VLOOKUP($F446,OFFSET(units!$A$1,0,0,COUNTA(units!$A:$A),MATCH(G$1,units!$1:$1,0)-COLUMN(INDIRECT("character_id"))+1),MATCH(G$1,units!$1:$1,0)-COLUMN(INDIRECT("character_id"))+1,FALSE)</f>
        <v>炎のマッドハッター</v>
      </c>
      <c r="H446" s="26">
        <v>1</v>
      </c>
      <c r="I446" s="202">
        <v>1</v>
      </c>
    </row>
    <row r="447" spans="1:9" ht="21" customHeight="1" x14ac:dyDescent="0.15">
      <c r="A447" s="96" t="str">
        <f t="shared" si="6"/>
        <v>390_103</v>
      </c>
      <c r="B447" s="56">
        <v>390</v>
      </c>
      <c r="C447" s="31" t="str">
        <f ca="1">VLOOKUP($B447,OFFSET(units!$A$1,0,0,COUNTA(units!$A:$A),MATCH(C$1,units!$1:$1,0)-COLUMN(INDIRECT("character_id"))+1),MATCH(C$1,units!$1:$1,0)-COLUMN(INDIRECT("character_id"))+1,FALSE)</f>
        <v>華環の旅客 親指姫</v>
      </c>
      <c r="D447" s="31">
        <f ca="1">VLOOKUP($B447,OFFSET(units!$A$1,0,0,COUNTA(units!$A:$A),MATCH(D$1,units!$1:$1,0)-COLUMN(INDIRECT("character_id"))+1),MATCH(D$1,units!$1:$1,0)-COLUMN(INDIRECT("character_id"))+1,FALSE)</f>
        <v>4</v>
      </c>
      <c r="E447" s="31" t="str">
        <f ca="1">VLOOKUP($B447,OFFSET(units!$A$1,0,0,COUNTA(units!$A:$A),MATCH(E$1,units!$1:$1,0)-COLUMN(INDIRECT("character_id"))+1),MATCH(E$1,units!$1:$1,0)-COLUMN(INDIRECT("character_id"))+1,FALSE)</f>
        <v>PremiumSS</v>
      </c>
      <c r="F447" s="56">
        <v>103</v>
      </c>
      <c r="G447" s="31" t="str">
        <f ca="1">VLOOKUP($F447,OFFSET(units!$A$1,0,0,COUNTA(units!$A:$A),MATCH(G$1,units!$1:$1,0)-COLUMN(INDIRECT("character_id"))+1),MATCH(G$1,units!$1:$1,0)-COLUMN(INDIRECT("character_id"))+1,FALSE)</f>
        <v>レッドキャタップ</v>
      </c>
      <c r="H447" s="26">
        <v>2</v>
      </c>
      <c r="I447" s="202">
        <v>1</v>
      </c>
    </row>
    <row r="448" spans="1:9" ht="21" customHeight="1" x14ac:dyDescent="0.15">
      <c r="A448" s="96" t="str">
        <f t="shared" si="6"/>
        <v>390_262</v>
      </c>
      <c r="B448" s="56">
        <v>390</v>
      </c>
      <c r="C448" s="31" t="str">
        <f ca="1">VLOOKUP($B448,OFFSET(units!$A$1,0,0,COUNTA(units!$A:$A),MATCH(C$1,units!$1:$1,0)-COLUMN(INDIRECT("character_id"))+1),MATCH(C$1,units!$1:$1,0)-COLUMN(INDIRECT("character_id"))+1,FALSE)</f>
        <v>華環の旅客 親指姫</v>
      </c>
      <c r="D448" s="31">
        <f ca="1">VLOOKUP($B448,OFFSET(units!$A$1,0,0,COUNTA(units!$A:$A),MATCH(D$1,units!$1:$1,0)-COLUMN(INDIRECT("character_id"))+1),MATCH(D$1,units!$1:$1,0)-COLUMN(INDIRECT("character_id"))+1,FALSE)</f>
        <v>4</v>
      </c>
      <c r="E448" s="31" t="str">
        <f ca="1">VLOOKUP($B448,OFFSET(units!$A$1,0,0,COUNTA(units!$A:$A),MATCH(E$1,units!$1:$1,0)-COLUMN(INDIRECT("character_id"))+1),MATCH(E$1,units!$1:$1,0)-COLUMN(INDIRECT("character_id"))+1,FALSE)</f>
        <v>PremiumSS</v>
      </c>
      <c r="F448" s="56">
        <v>262</v>
      </c>
      <c r="G448" s="31" t="str">
        <f ca="1">VLOOKUP($F448,OFFSET(units!$A$1,0,0,COUNTA(units!$A:$A),MATCH(G$1,units!$1:$1,0)-COLUMN(INDIRECT("character_id"))+1),MATCH(G$1,units!$1:$1,0)-COLUMN(INDIRECT("character_id"))+1,FALSE)</f>
        <v>アシュリー</v>
      </c>
      <c r="H448" s="26">
        <v>1</v>
      </c>
      <c r="I448" s="202">
        <v>1</v>
      </c>
    </row>
    <row r="449" spans="1:9" ht="21" customHeight="1" x14ac:dyDescent="0.15">
      <c r="A449" s="96" t="str">
        <f t="shared" si="6"/>
        <v>390_276</v>
      </c>
      <c r="B449" s="56">
        <v>390</v>
      </c>
      <c r="C449" s="31" t="str">
        <f ca="1">VLOOKUP($B449,OFFSET(units!$A$1,0,0,COUNTA(units!$A:$A),MATCH(C$1,units!$1:$1,0)-COLUMN(INDIRECT("character_id"))+1),MATCH(C$1,units!$1:$1,0)-COLUMN(INDIRECT("character_id"))+1,FALSE)</f>
        <v>華環の旅客 親指姫</v>
      </c>
      <c r="D449" s="31">
        <f ca="1">VLOOKUP($B449,OFFSET(units!$A$1,0,0,COUNTA(units!$A:$A),MATCH(D$1,units!$1:$1,0)-COLUMN(INDIRECT("character_id"))+1),MATCH(D$1,units!$1:$1,0)-COLUMN(INDIRECT("character_id"))+1,FALSE)</f>
        <v>4</v>
      </c>
      <c r="E449" s="31" t="str">
        <f ca="1">VLOOKUP($B449,OFFSET(units!$A$1,0,0,COUNTA(units!$A:$A),MATCH(E$1,units!$1:$1,0)-COLUMN(INDIRECT("character_id"))+1),MATCH(E$1,units!$1:$1,0)-COLUMN(INDIRECT("character_id"))+1,FALSE)</f>
        <v>PremiumSS</v>
      </c>
      <c r="F449" s="56">
        <v>276</v>
      </c>
      <c r="G449" s="31" t="str">
        <f ca="1">VLOOKUP($F449,OFFSET(units!$A$1,0,0,COUNTA(units!$A:$A),MATCH(G$1,units!$1:$1,0)-COLUMN(INDIRECT("character_id"))+1),MATCH(G$1,units!$1:$1,0)-COLUMN(INDIRECT("character_id"))+1,FALSE)</f>
        <v>機拳のイリア</v>
      </c>
      <c r="H449" s="26">
        <v>1</v>
      </c>
      <c r="I449" s="202">
        <v>1</v>
      </c>
    </row>
    <row r="450" spans="1:9" ht="21" customHeight="1" x14ac:dyDescent="0.15">
      <c r="A450" s="96" t="str">
        <f t="shared" ref="A450:A513" si="7">B450&amp;"_"&amp;F450</f>
        <v>398_116</v>
      </c>
      <c r="B450" s="56">
        <v>398</v>
      </c>
      <c r="C450" s="31" t="str">
        <f ca="1">VLOOKUP($B450,OFFSET(units!$A$1,0,0,COUNTA(units!$A:$A),MATCH(C$1,units!$1:$1,0)-COLUMN(INDIRECT("character_id"))+1),MATCH(C$1,units!$1:$1,0)-COLUMN(INDIRECT("character_id"))+1,FALSE)</f>
        <v>ヘンゼル＆グレーテル</v>
      </c>
      <c r="D450" s="31">
        <f ca="1">VLOOKUP($B450,OFFSET(units!$A$1,0,0,COUNTA(units!$A:$A),MATCH(D$1,units!$1:$1,0)-COLUMN(INDIRECT("character_id"))+1),MATCH(D$1,units!$1:$1,0)-COLUMN(INDIRECT("character_id"))+1,FALSE)</f>
        <v>4</v>
      </c>
      <c r="E450" s="31" t="str">
        <f ca="1">VLOOKUP($B450,OFFSET(units!$A$1,0,0,COUNTA(units!$A:$A),MATCH(E$1,units!$1:$1,0)-COLUMN(INDIRECT("character_id"))+1),MATCH(E$1,units!$1:$1,0)-COLUMN(INDIRECT("character_id"))+1,FALSE)</f>
        <v>PremiumSS</v>
      </c>
      <c r="F450" s="56">
        <v>116</v>
      </c>
      <c r="G450" s="31" t="str">
        <f ca="1">VLOOKUP($F450,OFFSET(units!$A$1,0,0,COUNTA(units!$A:$A),MATCH(G$1,units!$1:$1,0)-COLUMN(INDIRECT("character_id"))+1),MATCH(G$1,units!$1:$1,0)-COLUMN(INDIRECT("character_id"))+1,FALSE)</f>
        <v>雷のマッドハッター</v>
      </c>
      <c r="H450" s="26">
        <v>1</v>
      </c>
      <c r="I450" s="202">
        <v>1</v>
      </c>
    </row>
    <row r="451" spans="1:9" ht="21" customHeight="1" x14ac:dyDescent="0.15">
      <c r="A451" s="96" t="str">
        <f t="shared" si="7"/>
        <v>398_115</v>
      </c>
      <c r="B451" s="56">
        <v>398</v>
      </c>
      <c r="C451" s="31" t="str">
        <f ca="1">VLOOKUP($B451,OFFSET(units!$A$1,0,0,COUNTA(units!$A:$A),MATCH(C$1,units!$1:$1,0)-COLUMN(INDIRECT("character_id"))+1),MATCH(C$1,units!$1:$1,0)-COLUMN(INDIRECT("character_id"))+1,FALSE)</f>
        <v>ヘンゼル＆グレーテル</v>
      </c>
      <c r="D451" s="31">
        <f ca="1">VLOOKUP($B451,OFFSET(units!$A$1,0,0,COUNTA(units!$A:$A),MATCH(D$1,units!$1:$1,0)-COLUMN(INDIRECT("character_id"))+1),MATCH(D$1,units!$1:$1,0)-COLUMN(INDIRECT("character_id"))+1,FALSE)</f>
        <v>4</v>
      </c>
      <c r="E451" s="31" t="str">
        <f ca="1">VLOOKUP($B451,OFFSET(units!$A$1,0,0,COUNTA(units!$A:$A),MATCH(E$1,units!$1:$1,0)-COLUMN(INDIRECT("character_id"))+1),MATCH(E$1,units!$1:$1,0)-COLUMN(INDIRECT("character_id"))+1,FALSE)</f>
        <v>PremiumSS</v>
      </c>
      <c r="F451" s="56">
        <v>115</v>
      </c>
      <c r="G451" s="31" t="str">
        <f ca="1">VLOOKUP($F451,OFFSET(units!$A$1,0,0,COUNTA(units!$A:$A),MATCH(G$1,units!$1:$1,0)-COLUMN(INDIRECT("character_id"))+1),MATCH(G$1,units!$1:$1,0)-COLUMN(INDIRECT("character_id"))+1,FALSE)</f>
        <v>イエローキャタップ</v>
      </c>
      <c r="H451" s="26">
        <v>2</v>
      </c>
      <c r="I451" s="202">
        <v>1</v>
      </c>
    </row>
    <row r="452" spans="1:9" ht="21" customHeight="1" x14ac:dyDescent="0.15">
      <c r="A452" s="96" t="str">
        <f t="shared" si="7"/>
        <v>398_268</v>
      </c>
      <c r="B452" s="56">
        <v>398</v>
      </c>
      <c r="C452" s="31" t="str">
        <f ca="1">VLOOKUP($B452,OFFSET(units!$A$1,0,0,COUNTA(units!$A:$A),MATCH(C$1,units!$1:$1,0)-COLUMN(INDIRECT("character_id"))+1),MATCH(C$1,units!$1:$1,0)-COLUMN(INDIRECT("character_id"))+1,FALSE)</f>
        <v>ヘンゼル＆グレーテル</v>
      </c>
      <c r="D452" s="31">
        <f ca="1">VLOOKUP($B452,OFFSET(units!$A$1,0,0,COUNTA(units!$A:$A),MATCH(D$1,units!$1:$1,0)-COLUMN(INDIRECT("character_id"))+1),MATCH(D$1,units!$1:$1,0)-COLUMN(INDIRECT("character_id"))+1,FALSE)</f>
        <v>4</v>
      </c>
      <c r="E452" s="31" t="str">
        <f ca="1">VLOOKUP($B452,OFFSET(units!$A$1,0,0,COUNTA(units!$A:$A),MATCH(E$1,units!$1:$1,0)-COLUMN(INDIRECT("character_id"))+1),MATCH(E$1,units!$1:$1,0)-COLUMN(INDIRECT("character_id"))+1,FALSE)</f>
        <v>PremiumSS</v>
      </c>
      <c r="F452" s="56">
        <v>268</v>
      </c>
      <c r="G452" s="31" t="str">
        <f ca="1">VLOOKUP($F452,OFFSET(units!$A$1,0,0,COUNTA(units!$A:$A),MATCH(G$1,units!$1:$1,0)-COLUMN(INDIRECT("character_id"))+1),MATCH(G$1,units!$1:$1,0)-COLUMN(INDIRECT("character_id"))+1,FALSE)</f>
        <v>鵺</v>
      </c>
      <c r="H452" s="26">
        <v>1</v>
      </c>
      <c r="I452" s="202">
        <v>1</v>
      </c>
    </row>
    <row r="453" spans="1:9" ht="21" customHeight="1" x14ac:dyDescent="0.15">
      <c r="A453" s="96" t="str">
        <f t="shared" si="7"/>
        <v>398_274</v>
      </c>
      <c r="B453" s="56">
        <v>398</v>
      </c>
      <c r="C453" s="31" t="str">
        <f ca="1">VLOOKUP($B453,OFFSET(units!$A$1,0,0,COUNTA(units!$A:$A),MATCH(C$1,units!$1:$1,0)-COLUMN(INDIRECT("character_id"))+1),MATCH(C$1,units!$1:$1,0)-COLUMN(INDIRECT("character_id"))+1,FALSE)</f>
        <v>ヘンゼル＆グレーテル</v>
      </c>
      <c r="D453" s="31">
        <f ca="1">VLOOKUP($B453,OFFSET(units!$A$1,0,0,COUNTA(units!$A:$A),MATCH(D$1,units!$1:$1,0)-COLUMN(INDIRECT("character_id"))+1),MATCH(D$1,units!$1:$1,0)-COLUMN(INDIRECT("character_id"))+1,FALSE)</f>
        <v>4</v>
      </c>
      <c r="E453" s="31" t="str">
        <f ca="1">VLOOKUP($B453,OFFSET(units!$A$1,0,0,COUNTA(units!$A:$A),MATCH(E$1,units!$1:$1,0)-COLUMN(INDIRECT("character_id"))+1),MATCH(E$1,units!$1:$1,0)-COLUMN(INDIRECT("character_id"))+1,FALSE)</f>
        <v>PremiumSS</v>
      </c>
      <c r="F453" s="56">
        <v>274</v>
      </c>
      <c r="G453" s="31" t="str">
        <f ca="1">VLOOKUP($F453,OFFSET(units!$A$1,0,0,COUNTA(units!$A:$A),MATCH(G$1,units!$1:$1,0)-COLUMN(INDIRECT("character_id"))+1),MATCH(G$1,units!$1:$1,0)-COLUMN(INDIRECT("character_id"))+1,FALSE)</f>
        <v>砕棒のガエル</v>
      </c>
      <c r="H453" s="26">
        <v>1</v>
      </c>
      <c r="I453" s="202">
        <v>1</v>
      </c>
    </row>
    <row r="454" spans="1:9" ht="21" customHeight="1" x14ac:dyDescent="0.15">
      <c r="A454" s="96" t="str">
        <f t="shared" si="7"/>
        <v>395_111</v>
      </c>
      <c r="B454" s="56">
        <v>395</v>
      </c>
      <c r="C454" s="31" t="str">
        <f ca="1">VLOOKUP($B454,OFFSET(units!$A$1,0,0,COUNTA(units!$A:$A),MATCH(C$1,units!$1:$1,0)-COLUMN(INDIRECT("character_id"))+1),MATCH(C$1,units!$1:$1,0)-COLUMN(INDIRECT("character_id"))+1,FALSE)</f>
        <v>乙姫</v>
      </c>
      <c r="D454" s="31">
        <f ca="1">VLOOKUP($B454,OFFSET(units!$A$1,0,0,COUNTA(units!$A:$A),MATCH(D$1,units!$1:$1,0)-COLUMN(INDIRECT("character_id"))+1),MATCH(D$1,units!$1:$1,0)-COLUMN(INDIRECT("character_id"))+1,FALSE)</f>
        <v>3</v>
      </c>
      <c r="E454" s="31" t="str">
        <f ca="1">VLOOKUP($B454,OFFSET(units!$A$1,0,0,COUNTA(units!$A:$A),MATCH(E$1,units!$1:$1,0)-COLUMN(INDIRECT("character_id"))+1),MATCH(E$1,units!$1:$1,0)-COLUMN(INDIRECT("character_id"))+1,FALSE)</f>
        <v>PremiumS</v>
      </c>
      <c r="F454" s="56">
        <v>111</v>
      </c>
      <c r="G454" s="31" t="str">
        <f ca="1">VLOOKUP($F454,OFFSET(units!$A$1,0,0,COUNTA(units!$A:$A),MATCH(G$1,units!$1:$1,0)-COLUMN(INDIRECT("character_id"))+1),MATCH(G$1,units!$1:$1,0)-COLUMN(INDIRECT("character_id"))+1,FALSE)</f>
        <v>ブルーキャタップ</v>
      </c>
      <c r="H454" s="26">
        <v>3</v>
      </c>
      <c r="I454" s="202">
        <v>1</v>
      </c>
    </row>
    <row r="455" spans="1:9" ht="21" customHeight="1" x14ac:dyDescent="0.15">
      <c r="A455" s="96" t="str">
        <f t="shared" si="7"/>
        <v>395_110</v>
      </c>
      <c r="B455" s="56">
        <v>395</v>
      </c>
      <c r="C455" s="31" t="str">
        <f ca="1">VLOOKUP($B455,OFFSET(units!$A$1,0,0,COUNTA(units!$A:$A),MATCH(C$1,units!$1:$1,0)-COLUMN(INDIRECT("character_id"))+1),MATCH(C$1,units!$1:$1,0)-COLUMN(INDIRECT("character_id"))+1,FALSE)</f>
        <v>乙姫</v>
      </c>
      <c r="D455" s="31">
        <f ca="1">VLOOKUP($B455,OFFSET(units!$A$1,0,0,COUNTA(units!$A:$A),MATCH(D$1,units!$1:$1,0)-COLUMN(INDIRECT("character_id"))+1),MATCH(D$1,units!$1:$1,0)-COLUMN(INDIRECT("character_id"))+1,FALSE)</f>
        <v>3</v>
      </c>
      <c r="E455" s="31" t="str">
        <f ca="1">VLOOKUP($B455,OFFSET(units!$A$1,0,0,COUNTA(units!$A:$A),MATCH(E$1,units!$1:$1,0)-COLUMN(INDIRECT("character_id"))+1),MATCH(E$1,units!$1:$1,0)-COLUMN(INDIRECT("character_id"))+1,FALSE)</f>
        <v>PremiumS</v>
      </c>
      <c r="F455" s="56">
        <v>110</v>
      </c>
      <c r="G455" s="31" t="str">
        <f ca="1">VLOOKUP($F455,OFFSET(units!$A$1,0,0,COUNTA(units!$A:$A),MATCH(G$1,units!$1:$1,0)-COLUMN(INDIRECT("character_id"))+1),MATCH(G$1,units!$1:$1,0)-COLUMN(INDIRECT("character_id"))+1,FALSE)</f>
        <v>ブルーラビット</v>
      </c>
      <c r="H455" s="26">
        <v>1</v>
      </c>
      <c r="I455" s="202">
        <v>1</v>
      </c>
    </row>
    <row r="456" spans="1:9" ht="21" customHeight="1" x14ac:dyDescent="0.15">
      <c r="A456" s="96" t="str">
        <f t="shared" si="7"/>
        <v>396_112</v>
      </c>
      <c r="B456" s="56">
        <v>396</v>
      </c>
      <c r="C456" s="31" t="str">
        <f ca="1">VLOOKUP($B456,OFFSET(units!$A$1,0,0,COUNTA(units!$A:$A),MATCH(C$1,units!$1:$1,0)-COLUMN(INDIRECT("character_id"))+1),MATCH(C$1,units!$1:$1,0)-COLUMN(INDIRECT("character_id"))+1,FALSE)</f>
        <v>竜宮の水雷 乙姫</v>
      </c>
      <c r="D456" s="31">
        <f ca="1">VLOOKUP($B456,OFFSET(units!$A$1,0,0,COUNTA(units!$A:$A),MATCH(D$1,units!$1:$1,0)-COLUMN(INDIRECT("character_id"))+1),MATCH(D$1,units!$1:$1,0)-COLUMN(INDIRECT("character_id"))+1,FALSE)</f>
        <v>4</v>
      </c>
      <c r="E456" s="31" t="str">
        <f ca="1">VLOOKUP($B456,OFFSET(units!$A$1,0,0,COUNTA(units!$A:$A),MATCH(E$1,units!$1:$1,0)-COLUMN(INDIRECT("character_id"))+1),MATCH(E$1,units!$1:$1,0)-COLUMN(INDIRECT("character_id"))+1,FALSE)</f>
        <v>PremiumS</v>
      </c>
      <c r="F456" s="56">
        <v>112</v>
      </c>
      <c r="G456" s="31" t="str">
        <f ca="1">VLOOKUP($F456,OFFSET(units!$A$1,0,0,COUNTA(units!$A:$A),MATCH(G$1,units!$1:$1,0)-COLUMN(INDIRECT("character_id"))+1),MATCH(G$1,units!$1:$1,0)-COLUMN(INDIRECT("character_id"))+1,FALSE)</f>
        <v>水のマッドハッター</v>
      </c>
      <c r="H456" s="26">
        <v>2</v>
      </c>
      <c r="I456" s="202">
        <v>1</v>
      </c>
    </row>
    <row r="457" spans="1:9" ht="21" customHeight="1" x14ac:dyDescent="0.15">
      <c r="A457" s="96" t="str">
        <f t="shared" si="7"/>
        <v>396_111</v>
      </c>
      <c r="B457" s="56">
        <v>396</v>
      </c>
      <c r="C457" s="31" t="str">
        <f ca="1">VLOOKUP($B457,OFFSET(units!$A$1,0,0,COUNTA(units!$A:$A),MATCH(C$1,units!$1:$1,0)-COLUMN(INDIRECT("character_id"))+1),MATCH(C$1,units!$1:$1,0)-COLUMN(INDIRECT("character_id"))+1,FALSE)</f>
        <v>竜宮の水雷 乙姫</v>
      </c>
      <c r="D457" s="31">
        <f ca="1">VLOOKUP($B457,OFFSET(units!$A$1,0,0,COUNTA(units!$A:$A),MATCH(D$1,units!$1:$1,0)-COLUMN(INDIRECT("character_id"))+1),MATCH(D$1,units!$1:$1,0)-COLUMN(INDIRECT("character_id"))+1,FALSE)</f>
        <v>4</v>
      </c>
      <c r="E457" s="31" t="str">
        <f ca="1">VLOOKUP($B457,OFFSET(units!$A$1,0,0,COUNTA(units!$A:$A),MATCH(E$1,units!$1:$1,0)-COLUMN(INDIRECT("character_id"))+1),MATCH(E$1,units!$1:$1,0)-COLUMN(INDIRECT("character_id"))+1,FALSE)</f>
        <v>PremiumS</v>
      </c>
      <c r="F457" s="56">
        <v>111</v>
      </c>
      <c r="G457" s="31" t="str">
        <f ca="1">VLOOKUP($F457,OFFSET(units!$A$1,0,0,COUNTA(units!$A:$A),MATCH(G$1,units!$1:$1,0)-COLUMN(INDIRECT("character_id"))+1),MATCH(G$1,units!$1:$1,0)-COLUMN(INDIRECT("character_id"))+1,FALSE)</f>
        <v>ブルーキャタップ</v>
      </c>
      <c r="H457" s="26">
        <v>2</v>
      </c>
      <c r="I457" s="202">
        <v>1</v>
      </c>
    </row>
    <row r="458" spans="1:9" ht="21" customHeight="1" x14ac:dyDescent="0.15">
      <c r="A458" s="96" t="str">
        <f t="shared" si="7"/>
        <v>396_110</v>
      </c>
      <c r="B458" s="56">
        <v>396</v>
      </c>
      <c r="C458" s="31" t="str">
        <f ca="1">VLOOKUP($B458,OFFSET(units!$A$1,0,0,COUNTA(units!$A:$A),MATCH(C$1,units!$1:$1,0)-COLUMN(INDIRECT("character_id"))+1),MATCH(C$1,units!$1:$1,0)-COLUMN(INDIRECT("character_id"))+1,FALSE)</f>
        <v>竜宮の水雷 乙姫</v>
      </c>
      <c r="D458" s="31">
        <f ca="1">VLOOKUP($B458,OFFSET(units!$A$1,0,0,COUNTA(units!$A:$A),MATCH(D$1,units!$1:$1,0)-COLUMN(INDIRECT("character_id"))+1),MATCH(D$1,units!$1:$1,0)-COLUMN(INDIRECT("character_id"))+1,FALSE)</f>
        <v>4</v>
      </c>
      <c r="E458" s="31" t="str">
        <f ca="1">VLOOKUP($B458,OFFSET(units!$A$1,0,0,COUNTA(units!$A:$A),MATCH(E$1,units!$1:$1,0)-COLUMN(INDIRECT("character_id"))+1),MATCH(E$1,units!$1:$1,0)-COLUMN(INDIRECT("character_id"))+1,FALSE)</f>
        <v>PremiumS</v>
      </c>
      <c r="F458" s="56">
        <v>110</v>
      </c>
      <c r="G458" s="31" t="str">
        <f ca="1">VLOOKUP($F458,OFFSET(units!$A$1,0,0,COUNTA(units!$A:$A),MATCH(G$1,units!$1:$1,0)-COLUMN(INDIRECT("character_id"))+1),MATCH(G$1,units!$1:$1,0)-COLUMN(INDIRECT("character_id"))+1,FALSE)</f>
        <v>ブルーラビット</v>
      </c>
      <c r="H458" s="26">
        <v>1</v>
      </c>
      <c r="I458" s="202">
        <v>1</v>
      </c>
    </row>
    <row r="459" spans="1:9" ht="21" customHeight="1" x14ac:dyDescent="0.15">
      <c r="A459" s="96" t="str">
        <f t="shared" si="7"/>
        <v>400_103</v>
      </c>
      <c r="B459" s="56">
        <v>400</v>
      </c>
      <c r="C459" s="31" t="str">
        <f ca="1">VLOOKUP($B459,OFFSET(units!$A$1,0,0,COUNTA(units!$A:$A),MATCH(C$1,units!$1:$1,0)-COLUMN(INDIRECT("character_id"))+1),MATCH(C$1,units!$1:$1,0)-COLUMN(INDIRECT("character_id"))+1,FALSE)</f>
        <v>フェンリル</v>
      </c>
      <c r="D459" s="31">
        <f ca="1">VLOOKUP($B459,OFFSET(units!$A$1,0,0,COUNTA(units!$A:$A),MATCH(D$1,units!$1:$1,0)-COLUMN(INDIRECT("character_id"))+1),MATCH(D$1,units!$1:$1,0)-COLUMN(INDIRECT("character_id"))+1,FALSE)</f>
        <v>3</v>
      </c>
      <c r="E459" s="31" t="str">
        <f ca="1">VLOOKUP($B459,OFFSET(units!$A$1,0,0,COUNTA(units!$A:$A),MATCH(E$1,units!$1:$1,0)-COLUMN(INDIRECT("character_id"))+1),MATCH(E$1,units!$1:$1,0)-COLUMN(INDIRECT("character_id"))+1,FALSE)</f>
        <v>PremiumS</v>
      </c>
      <c r="F459" s="56">
        <v>103</v>
      </c>
      <c r="G459" s="31" t="str">
        <f ca="1">VLOOKUP($F459,OFFSET(units!$A$1,0,0,COUNTA(units!$A:$A),MATCH(G$1,units!$1:$1,0)-COLUMN(INDIRECT("character_id"))+1),MATCH(G$1,units!$1:$1,0)-COLUMN(INDIRECT("character_id"))+1,FALSE)</f>
        <v>レッドキャタップ</v>
      </c>
      <c r="H459" s="26">
        <v>3</v>
      </c>
      <c r="I459" s="202">
        <v>1</v>
      </c>
    </row>
    <row r="460" spans="1:9" ht="21" customHeight="1" x14ac:dyDescent="0.15">
      <c r="A460" s="96" t="str">
        <f t="shared" si="7"/>
        <v>400_102</v>
      </c>
      <c r="B460" s="56">
        <v>400</v>
      </c>
      <c r="C460" s="31" t="str">
        <f ca="1">VLOOKUP($B460,OFFSET(units!$A$1,0,0,COUNTA(units!$A:$A),MATCH(C$1,units!$1:$1,0)-COLUMN(INDIRECT("character_id"))+1),MATCH(C$1,units!$1:$1,0)-COLUMN(INDIRECT("character_id"))+1,FALSE)</f>
        <v>フェンリル</v>
      </c>
      <c r="D460" s="31">
        <f ca="1">VLOOKUP($B460,OFFSET(units!$A$1,0,0,COUNTA(units!$A:$A),MATCH(D$1,units!$1:$1,0)-COLUMN(INDIRECT("character_id"))+1),MATCH(D$1,units!$1:$1,0)-COLUMN(INDIRECT("character_id"))+1,FALSE)</f>
        <v>3</v>
      </c>
      <c r="E460" s="31" t="str">
        <f ca="1">VLOOKUP($B460,OFFSET(units!$A$1,0,0,COUNTA(units!$A:$A),MATCH(E$1,units!$1:$1,0)-COLUMN(INDIRECT("character_id"))+1),MATCH(E$1,units!$1:$1,0)-COLUMN(INDIRECT("character_id"))+1,FALSE)</f>
        <v>PremiumS</v>
      </c>
      <c r="F460" s="56">
        <v>102</v>
      </c>
      <c r="G460" s="31" t="str">
        <f ca="1">VLOOKUP($F460,OFFSET(units!$A$1,0,0,COUNTA(units!$A:$A),MATCH(G$1,units!$1:$1,0)-COLUMN(INDIRECT("character_id"))+1),MATCH(G$1,units!$1:$1,0)-COLUMN(INDIRECT("character_id"))+1,FALSE)</f>
        <v>レッドラビット</v>
      </c>
      <c r="H460" s="26">
        <v>1</v>
      </c>
      <c r="I460" s="202">
        <v>1</v>
      </c>
    </row>
    <row r="461" spans="1:9" ht="21" customHeight="1" x14ac:dyDescent="0.15">
      <c r="A461" s="96" t="str">
        <f t="shared" si="7"/>
        <v>401_104</v>
      </c>
      <c r="B461" s="56">
        <v>401</v>
      </c>
      <c r="C461" s="31" t="str">
        <f ca="1">VLOOKUP($B461,OFFSET(units!$A$1,0,0,COUNTA(units!$A:$A),MATCH(C$1,units!$1:$1,0)-COLUMN(INDIRECT("character_id"))+1),MATCH(C$1,units!$1:$1,0)-COLUMN(INDIRECT("character_id"))+1,FALSE)</f>
        <v>紅銀の孤狼 フェンリル</v>
      </c>
      <c r="D461" s="31">
        <f ca="1">VLOOKUP($B461,OFFSET(units!$A$1,0,0,COUNTA(units!$A:$A),MATCH(D$1,units!$1:$1,0)-COLUMN(INDIRECT("character_id"))+1),MATCH(D$1,units!$1:$1,0)-COLUMN(INDIRECT("character_id"))+1,FALSE)</f>
        <v>4</v>
      </c>
      <c r="E461" s="31" t="str">
        <f ca="1">VLOOKUP($B461,OFFSET(units!$A$1,0,0,COUNTA(units!$A:$A),MATCH(E$1,units!$1:$1,0)-COLUMN(INDIRECT("character_id"))+1),MATCH(E$1,units!$1:$1,0)-COLUMN(INDIRECT("character_id"))+1,FALSE)</f>
        <v>PremiumS</v>
      </c>
      <c r="F461" s="56">
        <v>104</v>
      </c>
      <c r="G461" s="31" t="str">
        <f ca="1">VLOOKUP($F461,OFFSET(units!$A$1,0,0,COUNTA(units!$A:$A),MATCH(G$1,units!$1:$1,0)-COLUMN(INDIRECT("character_id"))+1),MATCH(G$1,units!$1:$1,0)-COLUMN(INDIRECT("character_id"))+1,FALSE)</f>
        <v>炎のマッドハッター</v>
      </c>
      <c r="H461" s="26">
        <v>2</v>
      </c>
      <c r="I461" s="202">
        <v>1</v>
      </c>
    </row>
    <row r="462" spans="1:9" ht="21" customHeight="1" x14ac:dyDescent="0.15">
      <c r="A462" s="96" t="str">
        <f t="shared" si="7"/>
        <v>401_103</v>
      </c>
      <c r="B462" s="56">
        <v>401</v>
      </c>
      <c r="C462" s="31" t="str">
        <f ca="1">VLOOKUP($B462,OFFSET(units!$A$1,0,0,COUNTA(units!$A:$A),MATCH(C$1,units!$1:$1,0)-COLUMN(INDIRECT("character_id"))+1),MATCH(C$1,units!$1:$1,0)-COLUMN(INDIRECT("character_id"))+1,FALSE)</f>
        <v>紅銀の孤狼 フェンリル</v>
      </c>
      <c r="D462" s="31">
        <f ca="1">VLOOKUP($B462,OFFSET(units!$A$1,0,0,COUNTA(units!$A:$A),MATCH(D$1,units!$1:$1,0)-COLUMN(INDIRECT("character_id"))+1),MATCH(D$1,units!$1:$1,0)-COLUMN(INDIRECT("character_id"))+1,FALSE)</f>
        <v>4</v>
      </c>
      <c r="E462" s="31" t="str">
        <f ca="1">VLOOKUP($B462,OFFSET(units!$A$1,0,0,COUNTA(units!$A:$A),MATCH(E$1,units!$1:$1,0)-COLUMN(INDIRECT("character_id"))+1),MATCH(E$1,units!$1:$1,0)-COLUMN(INDIRECT("character_id"))+1,FALSE)</f>
        <v>PremiumS</v>
      </c>
      <c r="F462" s="56">
        <v>103</v>
      </c>
      <c r="G462" s="31" t="str">
        <f ca="1">VLOOKUP($F462,OFFSET(units!$A$1,0,0,COUNTA(units!$A:$A),MATCH(G$1,units!$1:$1,0)-COLUMN(INDIRECT("character_id"))+1),MATCH(G$1,units!$1:$1,0)-COLUMN(INDIRECT("character_id"))+1,FALSE)</f>
        <v>レッドキャタップ</v>
      </c>
      <c r="H462" s="26">
        <v>2</v>
      </c>
      <c r="I462" s="202">
        <v>1</v>
      </c>
    </row>
    <row r="463" spans="1:9" ht="21" customHeight="1" x14ac:dyDescent="0.15">
      <c r="A463" s="96" t="str">
        <f t="shared" si="7"/>
        <v>401_102</v>
      </c>
      <c r="B463" s="56">
        <v>401</v>
      </c>
      <c r="C463" s="31" t="str">
        <f ca="1">VLOOKUP($B463,OFFSET(units!$A$1,0,0,COUNTA(units!$A:$A),MATCH(C$1,units!$1:$1,0)-COLUMN(INDIRECT("character_id"))+1),MATCH(C$1,units!$1:$1,0)-COLUMN(INDIRECT("character_id"))+1,FALSE)</f>
        <v>紅銀の孤狼 フェンリル</v>
      </c>
      <c r="D463" s="31">
        <f ca="1">VLOOKUP($B463,OFFSET(units!$A$1,0,0,COUNTA(units!$A:$A),MATCH(D$1,units!$1:$1,0)-COLUMN(INDIRECT("character_id"))+1),MATCH(D$1,units!$1:$1,0)-COLUMN(INDIRECT("character_id"))+1,FALSE)</f>
        <v>4</v>
      </c>
      <c r="E463" s="31" t="str">
        <f ca="1">VLOOKUP($B463,OFFSET(units!$A$1,0,0,COUNTA(units!$A:$A),MATCH(E$1,units!$1:$1,0)-COLUMN(INDIRECT("character_id"))+1),MATCH(E$1,units!$1:$1,0)-COLUMN(INDIRECT("character_id"))+1,FALSE)</f>
        <v>PremiumS</v>
      </c>
      <c r="F463" s="56">
        <v>102</v>
      </c>
      <c r="G463" s="31" t="str">
        <f ca="1">VLOOKUP($F463,OFFSET(units!$A$1,0,0,COUNTA(units!$A:$A),MATCH(G$1,units!$1:$1,0)-COLUMN(INDIRECT("character_id"))+1),MATCH(G$1,units!$1:$1,0)-COLUMN(INDIRECT("character_id"))+1,FALSE)</f>
        <v>レッドラビット</v>
      </c>
      <c r="H463" s="26">
        <v>1</v>
      </c>
      <c r="I463" s="202">
        <v>1</v>
      </c>
    </row>
    <row r="464" spans="1:9" ht="21" customHeight="1" x14ac:dyDescent="0.15">
      <c r="A464" s="96" t="str">
        <f t="shared" si="7"/>
        <v>403_108</v>
      </c>
      <c r="B464" s="56">
        <v>403</v>
      </c>
      <c r="C464" s="31" t="str">
        <f ca="1">VLOOKUP($B464,OFFSET(units!$A$1,0,0,COUNTA(units!$A:$A),MATCH(C$1,units!$1:$1,0)-COLUMN(INDIRECT("character_id"))+1),MATCH(C$1,units!$1:$1,0)-COLUMN(INDIRECT("character_id"))+1,FALSE)</f>
        <v>静撃の翠眼 八咫烏</v>
      </c>
      <c r="D464" s="31">
        <f ca="1">VLOOKUP($B464,OFFSET(units!$A$1,0,0,COUNTA(units!$A:$A),MATCH(D$1,units!$1:$1,0)-COLUMN(INDIRECT("character_id"))+1),MATCH(D$1,units!$1:$1,0)-COLUMN(INDIRECT("character_id"))+1,FALSE)</f>
        <v>4</v>
      </c>
      <c r="E464" s="31" t="str">
        <f ca="1">VLOOKUP($B464,OFFSET(units!$A$1,0,0,COUNTA(units!$A:$A),MATCH(E$1,units!$1:$1,0)-COLUMN(INDIRECT("character_id"))+1),MATCH(E$1,units!$1:$1,0)-COLUMN(INDIRECT("character_id"))+1,FALSE)</f>
        <v>PremiumSS</v>
      </c>
      <c r="F464" s="56">
        <v>108</v>
      </c>
      <c r="G464" s="31" t="str">
        <f ca="1">VLOOKUP($F464,OFFSET(units!$A$1,0,0,COUNTA(units!$A:$A),MATCH(G$1,units!$1:$1,0)-COLUMN(INDIRECT("character_id"))+1),MATCH(G$1,units!$1:$1,0)-COLUMN(INDIRECT("character_id"))+1,FALSE)</f>
        <v>森のマッドハッター</v>
      </c>
      <c r="H464" s="26">
        <v>1</v>
      </c>
      <c r="I464" s="202">
        <v>1</v>
      </c>
    </row>
    <row r="465" spans="1:9" ht="21" customHeight="1" x14ac:dyDescent="0.15">
      <c r="A465" s="96" t="str">
        <f t="shared" si="7"/>
        <v>403_107</v>
      </c>
      <c r="B465" s="56">
        <v>403</v>
      </c>
      <c r="C465" s="31" t="str">
        <f ca="1">VLOOKUP($B465,OFFSET(units!$A$1,0,0,COUNTA(units!$A:$A),MATCH(C$1,units!$1:$1,0)-COLUMN(INDIRECT("character_id"))+1),MATCH(C$1,units!$1:$1,0)-COLUMN(INDIRECT("character_id"))+1,FALSE)</f>
        <v>静撃の翠眼 八咫烏</v>
      </c>
      <c r="D465" s="31">
        <f ca="1">VLOOKUP($B465,OFFSET(units!$A$1,0,0,COUNTA(units!$A:$A),MATCH(D$1,units!$1:$1,0)-COLUMN(INDIRECT("character_id"))+1),MATCH(D$1,units!$1:$1,0)-COLUMN(INDIRECT("character_id"))+1,FALSE)</f>
        <v>4</v>
      </c>
      <c r="E465" s="31" t="str">
        <f ca="1">VLOOKUP($B465,OFFSET(units!$A$1,0,0,COUNTA(units!$A:$A),MATCH(E$1,units!$1:$1,0)-COLUMN(INDIRECT("character_id"))+1),MATCH(E$1,units!$1:$1,0)-COLUMN(INDIRECT("character_id"))+1,FALSE)</f>
        <v>PremiumSS</v>
      </c>
      <c r="F465" s="56">
        <v>107</v>
      </c>
      <c r="G465" s="31" t="str">
        <f ca="1">VLOOKUP($F465,OFFSET(units!$A$1,0,0,COUNTA(units!$A:$A),MATCH(G$1,units!$1:$1,0)-COLUMN(INDIRECT("character_id"))+1),MATCH(G$1,units!$1:$1,0)-COLUMN(INDIRECT("character_id"))+1,FALSE)</f>
        <v>グリーンキャタップ</v>
      </c>
      <c r="H465" s="26">
        <v>2</v>
      </c>
      <c r="I465" s="202">
        <v>1</v>
      </c>
    </row>
    <row r="466" spans="1:9" ht="21" customHeight="1" x14ac:dyDescent="0.15">
      <c r="A466" s="96" t="str">
        <f t="shared" si="7"/>
        <v>403_300</v>
      </c>
      <c r="B466" s="56">
        <v>403</v>
      </c>
      <c r="C466" s="31" t="str">
        <f ca="1">VLOOKUP($B466,OFFSET(units!$A$1,0,0,COUNTA(units!$A:$A),MATCH(C$1,units!$1:$1,0)-COLUMN(INDIRECT("character_id"))+1),MATCH(C$1,units!$1:$1,0)-COLUMN(INDIRECT("character_id"))+1,FALSE)</f>
        <v>静撃の翠眼 八咫烏</v>
      </c>
      <c r="D466" s="31">
        <f ca="1">VLOOKUP($B466,OFFSET(units!$A$1,0,0,COUNTA(units!$A:$A),MATCH(D$1,units!$1:$1,0)-COLUMN(INDIRECT("character_id"))+1),MATCH(D$1,units!$1:$1,0)-COLUMN(INDIRECT("character_id"))+1,FALSE)</f>
        <v>4</v>
      </c>
      <c r="E466" s="31" t="str">
        <f ca="1">VLOOKUP($B466,OFFSET(units!$A$1,0,0,COUNTA(units!$A:$A),MATCH(E$1,units!$1:$1,0)-COLUMN(INDIRECT("character_id"))+1),MATCH(E$1,units!$1:$1,0)-COLUMN(INDIRECT("character_id"))+1,FALSE)</f>
        <v>PremiumSS</v>
      </c>
      <c r="F466" s="56">
        <v>300</v>
      </c>
      <c r="G466" s="31" t="str">
        <f ca="1">VLOOKUP($F466,OFFSET(units!$A$1,0,0,COUNTA(units!$A:$A),MATCH(G$1,units!$1:$1,0)-COLUMN(INDIRECT("character_id"))+1),MATCH(G$1,units!$1:$1,0)-COLUMN(INDIRECT("character_id"))+1,FALSE)</f>
        <v>毒殺のチカ</v>
      </c>
      <c r="H466" s="26">
        <v>1</v>
      </c>
      <c r="I466" s="202">
        <v>1</v>
      </c>
    </row>
    <row r="467" spans="1:9" ht="21" customHeight="1" x14ac:dyDescent="0.15">
      <c r="A467" s="96" t="str">
        <f t="shared" si="7"/>
        <v>403_294</v>
      </c>
      <c r="B467" s="56">
        <v>403</v>
      </c>
      <c r="C467" s="31" t="str">
        <f ca="1">VLOOKUP($B467,OFFSET(units!$A$1,0,0,COUNTA(units!$A:$A),MATCH(C$1,units!$1:$1,0)-COLUMN(INDIRECT("character_id"))+1),MATCH(C$1,units!$1:$1,0)-COLUMN(INDIRECT("character_id"))+1,FALSE)</f>
        <v>静撃の翠眼 八咫烏</v>
      </c>
      <c r="D467" s="31">
        <f ca="1">VLOOKUP($B467,OFFSET(units!$A$1,0,0,COUNTA(units!$A:$A),MATCH(D$1,units!$1:$1,0)-COLUMN(INDIRECT("character_id"))+1),MATCH(D$1,units!$1:$1,0)-COLUMN(INDIRECT("character_id"))+1,FALSE)</f>
        <v>4</v>
      </c>
      <c r="E467" s="31" t="str">
        <f ca="1">VLOOKUP($B467,OFFSET(units!$A$1,0,0,COUNTA(units!$A:$A),MATCH(E$1,units!$1:$1,0)-COLUMN(INDIRECT("character_id"))+1),MATCH(E$1,units!$1:$1,0)-COLUMN(INDIRECT("character_id"))+1,FALSE)</f>
        <v>PremiumSS</v>
      </c>
      <c r="F467" s="56">
        <v>294</v>
      </c>
      <c r="G467" s="31" t="str">
        <f ca="1">VLOOKUP($F467,OFFSET(units!$A$1,0,0,COUNTA(units!$A:$A),MATCH(G$1,units!$1:$1,0)-COLUMN(INDIRECT("character_id"))+1),MATCH(G$1,units!$1:$1,0)-COLUMN(INDIRECT("character_id"))+1,FALSE)</f>
        <v>ウルフ・ザ・レッドイーター</v>
      </c>
      <c r="H467" s="26">
        <v>1</v>
      </c>
      <c r="I467" s="202">
        <v>1</v>
      </c>
    </row>
    <row r="468" spans="1:9" ht="21" customHeight="1" x14ac:dyDescent="0.15">
      <c r="A468" s="96" t="str">
        <f t="shared" si="7"/>
        <v>408_116</v>
      </c>
      <c r="B468" s="56">
        <v>408</v>
      </c>
      <c r="C468" s="31" t="str">
        <f ca="1">VLOOKUP($B468,OFFSET(units!$A$1,0,0,COUNTA(units!$A:$A),MATCH(C$1,units!$1:$1,0)-COLUMN(INDIRECT("character_id"))+1),MATCH(C$1,units!$1:$1,0)-COLUMN(INDIRECT("character_id"))+1,FALSE)</f>
        <v>皇魔 アスタロト</v>
      </c>
      <c r="D468" s="31">
        <f ca="1">VLOOKUP($B468,OFFSET(units!$A$1,0,0,COUNTA(units!$A:$A),MATCH(D$1,units!$1:$1,0)-COLUMN(INDIRECT("character_id"))+1),MATCH(D$1,units!$1:$1,0)-COLUMN(INDIRECT("character_id"))+1,FALSE)</f>
        <v>4</v>
      </c>
      <c r="E468" s="31" t="str">
        <f ca="1">VLOOKUP($B468,OFFSET(units!$A$1,0,0,COUNTA(units!$A:$A),MATCH(E$1,units!$1:$1,0)-COLUMN(INDIRECT("character_id"))+1),MATCH(E$1,units!$1:$1,0)-COLUMN(INDIRECT("character_id"))+1,FALSE)</f>
        <v>PremiumSS</v>
      </c>
      <c r="F468" s="56">
        <v>116</v>
      </c>
      <c r="G468" s="31" t="str">
        <f ca="1">VLOOKUP($F468,OFFSET(units!$A$1,0,0,COUNTA(units!$A:$A),MATCH(G$1,units!$1:$1,0)-COLUMN(INDIRECT("character_id"))+1),MATCH(G$1,units!$1:$1,0)-COLUMN(INDIRECT("character_id"))+1,FALSE)</f>
        <v>雷のマッドハッター</v>
      </c>
      <c r="H468" s="26">
        <v>1</v>
      </c>
      <c r="I468" s="202">
        <v>1</v>
      </c>
    </row>
    <row r="469" spans="1:9" ht="21" customHeight="1" x14ac:dyDescent="0.15">
      <c r="A469" s="96" t="str">
        <f t="shared" si="7"/>
        <v>408_115</v>
      </c>
      <c r="B469" s="56">
        <v>408</v>
      </c>
      <c r="C469" s="31" t="str">
        <f ca="1">VLOOKUP($B469,OFFSET(units!$A$1,0,0,COUNTA(units!$A:$A),MATCH(C$1,units!$1:$1,0)-COLUMN(INDIRECT("character_id"))+1),MATCH(C$1,units!$1:$1,0)-COLUMN(INDIRECT("character_id"))+1,FALSE)</f>
        <v>皇魔 アスタロト</v>
      </c>
      <c r="D469" s="31">
        <f ca="1">VLOOKUP($B469,OFFSET(units!$A$1,0,0,COUNTA(units!$A:$A),MATCH(D$1,units!$1:$1,0)-COLUMN(INDIRECT("character_id"))+1),MATCH(D$1,units!$1:$1,0)-COLUMN(INDIRECT("character_id"))+1,FALSE)</f>
        <v>4</v>
      </c>
      <c r="E469" s="31" t="str">
        <f ca="1">VLOOKUP($B469,OFFSET(units!$A$1,0,0,COUNTA(units!$A:$A),MATCH(E$1,units!$1:$1,0)-COLUMN(INDIRECT("character_id"))+1),MATCH(E$1,units!$1:$1,0)-COLUMN(INDIRECT("character_id"))+1,FALSE)</f>
        <v>PremiumSS</v>
      </c>
      <c r="F469" s="56">
        <v>115</v>
      </c>
      <c r="G469" s="31" t="str">
        <f ca="1">VLOOKUP($F469,OFFSET(units!$A$1,0,0,COUNTA(units!$A:$A),MATCH(G$1,units!$1:$1,0)-COLUMN(INDIRECT("character_id"))+1),MATCH(G$1,units!$1:$1,0)-COLUMN(INDIRECT("character_id"))+1,FALSE)</f>
        <v>イエローキャタップ</v>
      </c>
      <c r="H469" s="26">
        <v>2</v>
      </c>
      <c r="I469" s="202">
        <v>1</v>
      </c>
    </row>
    <row r="470" spans="1:9" ht="21" customHeight="1" x14ac:dyDescent="0.15">
      <c r="A470" s="96" t="str">
        <f t="shared" si="7"/>
        <v>408_304</v>
      </c>
      <c r="B470" s="56">
        <v>408</v>
      </c>
      <c r="C470" s="31" t="str">
        <f ca="1">VLOOKUP($B470,OFFSET(units!$A$1,0,0,COUNTA(units!$A:$A),MATCH(C$1,units!$1:$1,0)-COLUMN(INDIRECT("character_id"))+1),MATCH(C$1,units!$1:$1,0)-COLUMN(INDIRECT("character_id"))+1,FALSE)</f>
        <v>皇魔 アスタロト</v>
      </c>
      <c r="D470" s="31">
        <f ca="1">VLOOKUP($B470,OFFSET(units!$A$1,0,0,COUNTA(units!$A:$A),MATCH(D$1,units!$1:$1,0)-COLUMN(INDIRECT("character_id"))+1),MATCH(D$1,units!$1:$1,0)-COLUMN(INDIRECT("character_id"))+1,FALSE)</f>
        <v>4</v>
      </c>
      <c r="E470" s="31" t="str">
        <f ca="1">VLOOKUP($B470,OFFSET(units!$A$1,0,0,COUNTA(units!$A:$A),MATCH(E$1,units!$1:$1,0)-COLUMN(INDIRECT("character_id"))+1),MATCH(E$1,units!$1:$1,0)-COLUMN(INDIRECT("character_id"))+1,FALSE)</f>
        <v>PremiumSS</v>
      </c>
      <c r="F470" s="56">
        <v>304</v>
      </c>
      <c r="G470" s="31" t="str">
        <f ca="1">VLOOKUP($F470,OFFSET(units!$A$1,0,0,COUNTA(units!$A:$A),MATCH(G$1,units!$1:$1,0)-COLUMN(INDIRECT("character_id"))+1),MATCH(G$1,units!$1:$1,0)-COLUMN(INDIRECT("character_id"))+1,FALSE)</f>
        <v>電殺のチエミ</v>
      </c>
      <c r="H470" s="26">
        <v>1</v>
      </c>
      <c r="I470" s="202">
        <v>1</v>
      </c>
    </row>
    <row r="471" spans="1:9" ht="21" customHeight="1" x14ac:dyDescent="0.15">
      <c r="A471" s="96" t="str">
        <f t="shared" si="7"/>
        <v>408_288</v>
      </c>
      <c r="B471" s="56">
        <v>408</v>
      </c>
      <c r="C471" s="31" t="str">
        <f ca="1">VLOOKUP($B471,OFFSET(units!$A$1,0,0,COUNTA(units!$A:$A),MATCH(C$1,units!$1:$1,0)-COLUMN(INDIRECT("character_id"))+1),MATCH(C$1,units!$1:$1,0)-COLUMN(INDIRECT("character_id"))+1,FALSE)</f>
        <v>皇魔 アスタロト</v>
      </c>
      <c r="D471" s="31">
        <f ca="1">VLOOKUP($B471,OFFSET(units!$A$1,0,0,COUNTA(units!$A:$A),MATCH(D$1,units!$1:$1,0)-COLUMN(INDIRECT("character_id"))+1),MATCH(D$1,units!$1:$1,0)-COLUMN(INDIRECT("character_id"))+1,FALSE)</f>
        <v>4</v>
      </c>
      <c r="E471" s="31" t="str">
        <f ca="1">VLOOKUP($B471,OFFSET(units!$A$1,0,0,COUNTA(units!$A:$A),MATCH(E$1,units!$1:$1,0)-COLUMN(INDIRECT("character_id"))+1),MATCH(E$1,units!$1:$1,0)-COLUMN(INDIRECT("character_id"))+1,FALSE)</f>
        <v>PremiumSS</v>
      </c>
      <c r="F471" s="56">
        <v>288</v>
      </c>
      <c r="G471" s="31" t="str">
        <f ca="1">VLOOKUP($F471,OFFSET(units!$A$1,0,0,COUNTA(units!$A:$A),MATCH(G$1,units!$1:$1,0)-COLUMN(INDIRECT("character_id"))+1),MATCH(G$1,units!$1:$1,0)-COLUMN(INDIRECT("character_id"))+1,FALSE)</f>
        <v>ミカド</v>
      </c>
      <c r="H471" s="26">
        <v>1</v>
      </c>
      <c r="I471" s="202">
        <v>1</v>
      </c>
    </row>
    <row r="472" spans="1:9" ht="21" customHeight="1" x14ac:dyDescent="0.15">
      <c r="A472" s="96" t="str">
        <f t="shared" si="7"/>
        <v>405_111</v>
      </c>
      <c r="B472" s="56">
        <v>405</v>
      </c>
      <c r="C472" s="31" t="str">
        <f ca="1">VLOOKUP($B472,OFFSET(units!$A$1,0,0,COUNTA(units!$A:$A),MATCH(C$1,units!$1:$1,0)-COLUMN(INDIRECT("character_id"))+1),MATCH(C$1,units!$1:$1,0)-COLUMN(INDIRECT("character_id"))+1,FALSE)</f>
        <v>エキドナ</v>
      </c>
      <c r="D472" s="31">
        <f ca="1">VLOOKUP($B472,OFFSET(units!$A$1,0,0,COUNTA(units!$A:$A),MATCH(D$1,units!$1:$1,0)-COLUMN(INDIRECT("character_id"))+1),MATCH(D$1,units!$1:$1,0)-COLUMN(INDIRECT("character_id"))+1,FALSE)</f>
        <v>3</v>
      </c>
      <c r="E472" s="31" t="str">
        <f ca="1">VLOOKUP($B472,OFFSET(units!$A$1,0,0,COUNTA(units!$A:$A),MATCH(E$1,units!$1:$1,0)-COLUMN(INDIRECT("character_id"))+1),MATCH(E$1,units!$1:$1,0)-COLUMN(INDIRECT("character_id"))+1,FALSE)</f>
        <v>PremiumS</v>
      </c>
      <c r="F472" s="56">
        <v>111</v>
      </c>
      <c r="G472" s="31" t="str">
        <f ca="1">VLOOKUP($F472,OFFSET(units!$A$1,0,0,COUNTA(units!$A:$A),MATCH(G$1,units!$1:$1,0)-COLUMN(INDIRECT("character_id"))+1),MATCH(G$1,units!$1:$1,0)-COLUMN(INDIRECT("character_id"))+1,FALSE)</f>
        <v>ブルーキャタップ</v>
      </c>
      <c r="H472" s="26">
        <v>3</v>
      </c>
      <c r="I472" s="202">
        <v>1</v>
      </c>
    </row>
    <row r="473" spans="1:9" ht="21" customHeight="1" x14ac:dyDescent="0.15">
      <c r="A473" s="96" t="str">
        <f t="shared" si="7"/>
        <v>405_110</v>
      </c>
      <c r="B473" s="56">
        <v>405</v>
      </c>
      <c r="C473" s="31" t="str">
        <f ca="1">VLOOKUP($B473,OFFSET(units!$A$1,0,0,COUNTA(units!$A:$A),MATCH(C$1,units!$1:$1,0)-COLUMN(INDIRECT("character_id"))+1),MATCH(C$1,units!$1:$1,0)-COLUMN(INDIRECT("character_id"))+1,FALSE)</f>
        <v>エキドナ</v>
      </c>
      <c r="D473" s="31">
        <f ca="1">VLOOKUP($B473,OFFSET(units!$A$1,0,0,COUNTA(units!$A:$A),MATCH(D$1,units!$1:$1,0)-COLUMN(INDIRECT("character_id"))+1),MATCH(D$1,units!$1:$1,0)-COLUMN(INDIRECT("character_id"))+1,FALSE)</f>
        <v>3</v>
      </c>
      <c r="E473" s="31" t="str">
        <f ca="1">VLOOKUP($B473,OFFSET(units!$A$1,0,0,COUNTA(units!$A:$A),MATCH(E$1,units!$1:$1,0)-COLUMN(INDIRECT("character_id"))+1),MATCH(E$1,units!$1:$1,0)-COLUMN(INDIRECT("character_id"))+1,FALSE)</f>
        <v>PremiumS</v>
      </c>
      <c r="F473" s="56">
        <v>110</v>
      </c>
      <c r="G473" s="31" t="str">
        <f ca="1">VLOOKUP($F473,OFFSET(units!$A$1,0,0,COUNTA(units!$A:$A),MATCH(G$1,units!$1:$1,0)-COLUMN(INDIRECT("character_id"))+1),MATCH(G$1,units!$1:$1,0)-COLUMN(INDIRECT("character_id"))+1,FALSE)</f>
        <v>ブルーラビット</v>
      </c>
      <c r="H473" s="26">
        <v>1</v>
      </c>
      <c r="I473" s="202">
        <v>1</v>
      </c>
    </row>
    <row r="474" spans="1:9" ht="21" customHeight="1" x14ac:dyDescent="0.15">
      <c r="A474" s="96" t="str">
        <f t="shared" si="7"/>
        <v>406_112</v>
      </c>
      <c r="B474" s="56">
        <v>406</v>
      </c>
      <c r="C474" s="31" t="str">
        <f ca="1">VLOOKUP($B474,OFFSET(units!$A$1,0,0,COUNTA(units!$A:$A),MATCH(C$1,units!$1:$1,0)-COLUMN(INDIRECT("character_id"))+1),MATCH(C$1,units!$1:$1,0)-COLUMN(INDIRECT("character_id"))+1,FALSE)</f>
        <v>美笑の蒼蛇 エキドナ</v>
      </c>
      <c r="D474" s="31">
        <f ca="1">VLOOKUP($B474,OFFSET(units!$A$1,0,0,COUNTA(units!$A:$A),MATCH(D$1,units!$1:$1,0)-COLUMN(INDIRECT("character_id"))+1),MATCH(D$1,units!$1:$1,0)-COLUMN(INDIRECT("character_id"))+1,FALSE)</f>
        <v>4</v>
      </c>
      <c r="E474" s="31" t="str">
        <f ca="1">VLOOKUP($B474,OFFSET(units!$A$1,0,0,COUNTA(units!$A:$A),MATCH(E$1,units!$1:$1,0)-COLUMN(INDIRECT("character_id"))+1),MATCH(E$1,units!$1:$1,0)-COLUMN(INDIRECT("character_id"))+1,FALSE)</f>
        <v>PremiumS</v>
      </c>
      <c r="F474" s="56">
        <v>112</v>
      </c>
      <c r="G474" s="31" t="str">
        <f ca="1">VLOOKUP($F474,OFFSET(units!$A$1,0,0,COUNTA(units!$A:$A),MATCH(G$1,units!$1:$1,0)-COLUMN(INDIRECT("character_id"))+1),MATCH(G$1,units!$1:$1,0)-COLUMN(INDIRECT("character_id"))+1,FALSE)</f>
        <v>水のマッドハッター</v>
      </c>
      <c r="H474" s="26">
        <v>2</v>
      </c>
      <c r="I474" s="202">
        <v>1</v>
      </c>
    </row>
    <row r="475" spans="1:9" ht="21" customHeight="1" x14ac:dyDescent="0.15">
      <c r="A475" s="96" t="str">
        <f t="shared" si="7"/>
        <v>406_111</v>
      </c>
      <c r="B475" s="56">
        <v>406</v>
      </c>
      <c r="C475" s="31" t="str">
        <f ca="1">VLOOKUP($B475,OFFSET(units!$A$1,0,0,COUNTA(units!$A:$A),MATCH(C$1,units!$1:$1,0)-COLUMN(INDIRECT("character_id"))+1),MATCH(C$1,units!$1:$1,0)-COLUMN(INDIRECT("character_id"))+1,FALSE)</f>
        <v>美笑の蒼蛇 エキドナ</v>
      </c>
      <c r="D475" s="31">
        <f ca="1">VLOOKUP($B475,OFFSET(units!$A$1,0,0,COUNTA(units!$A:$A),MATCH(D$1,units!$1:$1,0)-COLUMN(INDIRECT("character_id"))+1),MATCH(D$1,units!$1:$1,0)-COLUMN(INDIRECT("character_id"))+1,FALSE)</f>
        <v>4</v>
      </c>
      <c r="E475" s="31" t="str">
        <f ca="1">VLOOKUP($B475,OFFSET(units!$A$1,0,0,COUNTA(units!$A:$A),MATCH(E$1,units!$1:$1,0)-COLUMN(INDIRECT("character_id"))+1),MATCH(E$1,units!$1:$1,0)-COLUMN(INDIRECT("character_id"))+1,FALSE)</f>
        <v>PremiumS</v>
      </c>
      <c r="F475" s="56">
        <v>111</v>
      </c>
      <c r="G475" s="31" t="str">
        <f ca="1">VLOOKUP($F475,OFFSET(units!$A$1,0,0,COUNTA(units!$A:$A),MATCH(G$1,units!$1:$1,0)-COLUMN(INDIRECT("character_id"))+1),MATCH(G$1,units!$1:$1,0)-COLUMN(INDIRECT("character_id"))+1,FALSE)</f>
        <v>ブルーキャタップ</v>
      </c>
      <c r="H475" s="26">
        <v>2</v>
      </c>
      <c r="I475" s="202">
        <v>1</v>
      </c>
    </row>
    <row r="476" spans="1:9" ht="21" customHeight="1" x14ac:dyDescent="0.15">
      <c r="A476" s="96" t="str">
        <f t="shared" si="7"/>
        <v>406_110</v>
      </c>
      <c r="B476" s="56">
        <v>406</v>
      </c>
      <c r="C476" s="31" t="str">
        <f ca="1">VLOOKUP($B476,OFFSET(units!$A$1,0,0,COUNTA(units!$A:$A),MATCH(C$1,units!$1:$1,0)-COLUMN(INDIRECT("character_id"))+1),MATCH(C$1,units!$1:$1,0)-COLUMN(INDIRECT("character_id"))+1,FALSE)</f>
        <v>美笑の蒼蛇 エキドナ</v>
      </c>
      <c r="D476" s="31">
        <f ca="1">VLOOKUP($B476,OFFSET(units!$A$1,0,0,COUNTA(units!$A:$A),MATCH(D$1,units!$1:$1,0)-COLUMN(INDIRECT("character_id"))+1),MATCH(D$1,units!$1:$1,0)-COLUMN(INDIRECT("character_id"))+1,FALSE)</f>
        <v>4</v>
      </c>
      <c r="E476" s="31" t="str">
        <f ca="1">VLOOKUP($B476,OFFSET(units!$A$1,0,0,COUNTA(units!$A:$A),MATCH(E$1,units!$1:$1,0)-COLUMN(INDIRECT("character_id"))+1),MATCH(E$1,units!$1:$1,0)-COLUMN(INDIRECT("character_id"))+1,FALSE)</f>
        <v>PremiumS</v>
      </c>
      <c r="F476" s="56">
        <v>110</v>
      </c>
      <c r="G476" s="31" t="str">
        <f ca="1">VLOOKUP($F476,OFFSET(units!$A$1,0,0,COUNTA(units!$A:$A),MATCH(G$1,units!$1:$1,0)-COLUMN(INDIRECT("character_id"))+1),MATCH(G$1,units!$1:$1,0)-COLUMN(INDIRECT("character_id"))+1,FALSE)</f>
        <v>ブルーラビット</v>
      </c>
      <c r="H476" s="26">
        <v>1</v>
      </c>
      <c r="I476" s="202">
        <v>1</v>
      </c>
    </row>
    <row r="477" spans="1:9" x14ac:dyDescent="0.15">
      <c r="A477" s="96" t="str">
        <f t="shared" si="7"/>
        <v>314_308</v>
      </c>
      <c r="B477" s="59">
        <v>314</v>
      </c>
      <c r="C477" s="31" t="str">
        <f ca="1">VLOOKUP($B477,OFFSET(units!$A$1,0,0,COUNTA(units!$A:$A),MATCH(C$1,units!$1:$1,0)-COLUMN(INDIRECT("character_id"))+1),MATCH(C$1,units!$1:$1,0)-COLUMN(INDIRECT("character_id"))+1,FALSE)</f>
        <v>ジャンヌ</v>
      </c>
      <c r="D477" s="31">
        <f ca="1">VLOOKUP($B477,OFFSET(units!$A$1,0,0,COUNTA(units!$A:$A),MATCH(D$1,units!$1:$1,0)-COLUMN(INDIRECT("character_id"))+1),MATCH(D$1,units!$1:$1,0)-COLUMN(INDIRECT("character_id"))+1,FALSE)</f>
        <v>4</v>
      </c>
      <c r="E477" s="31" t="str">
        <f ca="1">VLOOKUP($B477,OFFSET(units!$A$1,0,0,COUNTA(units!$A:$A),MATCH(E$1,units!$1:$1,0)-COLUMN(INDIRECT("character_id"))+1),MATCH(E$1,units!$1:$1,0)-COLUMN(INDIRECT("character_id"))+1,FALSE)</f>
        <v>DropWizS</v>
      </c>
      <c r="F477" s="56">
        <v>308</v>
      </c>
      <c r="G477" s="31" t="str">
        <f ca="1">VLOOKUP($F477,OFFSET(units!$A$1,0,0,COUNTA(units!$A:$A),MATCH(G$1,units!$1:$1,0)-COLUMN(INDIRECT("character_id"))+1),MATCH(G$1,units!$1:$1,0)-COLUMN(INDIRECT("character_id"))+1,FALSE)</f>
        <v>アーケロン</v>
      </c>
      <c r="H477" s="26">
        <v>2</v>
      </c>
      <c r="I477" s="202">
        <v>1</v>
      </c>
    </row>
    <row r="478" spans="1:9" x14ac:dyDescent="0.15">
      <c r="A478" s="96" t="str">
        <f t="shared" si="7"/>
        <v>314_310</v>
      </c>
      <c r="B478" s="59">
        <v>314</v>
      </c>
      <c r="C478" s="31" t="str">
        <f ca="1">VLOOKUP($B478,OFFSET(units!$A$1,0,0,COUNTA(units!$A:$A),MATCH(C$1,units!$1:$1,0)-COLUMN(INDIRECT("character_id"))+1),MATCH(C$1,units!$1:$1,0)-COLUMN(INDIRECT("character_id"))+1,FALSE)</f>
        <v>ジャンヌ</v>
      </c>
      <c r="D478" s="31">
        <f ca="1">VLOOKUP($B478,OFFSET(units!$A$1,0,0,COUNTA(units!$A:$A),MATCH(D$1,units!$1:$1,0)-COLUMN(INDIRECT("character_id"))+1),MATCH(D$1,units!$1:$1,0)-COLUMN(INDIRECT("character_id"))+1,FALSE)</f>
        <v>4</v>
      </c>
      <c r="E478" s="31" t="str">
        <f ca="1">VLOOKUP($B478,OFFSET(units!$A$1,0,0,COUNTA(units!$A:$A),MATCH(E$1,units!$1:$1,0)-COLUMN(INDIRECT("character_id"))+1),MATCH(E$1,units!$1:$1,0)-COLUMN(INDIRECT("character_id"))+1,FALSE)</f>
        <v>DropWizS</v>
      </c>
      <c r="F478" s="56">
        <v>310</v>
      </c>
      <c r="G478" s="31" t="str">
        <f ca="1">VLOOKUP($F478,OFFSET(units!$A$1,0,0,COUNTA(units!$A:$A),MATCH(G$1,units!$1:$1,0)-COLUMN(INDIRECT("character_id"))+1),MATCH(G$1,units!$1:$1,0)-COLUMN(INDIRECT("character_id"))+1,FALSE)</f>
        <v>リードシクティス</v>
      </c>
      <c r="H478" s="26">
        <v>2</v>
      </c>
      <c r="I478" s="202">
        <v>1</v>
      </c>
    </row>
    <row r="479" spans="1:9" x14ac:dyDescent="0.15">
      <c r="A479" s="96" t="str">
        <f t="shared" si="7"/>
        <v>314_112</v>
      </c>
      <c r="B479" s="59">
        <v>314</v>
      </c>
      <c r="C479" s="31" t="str">
        <f ca="1">VLOOKUP($B479,OFFSET(units!$A$1,0,0,COUNTA(units!$A:$A),MATCH(C$1,units!$1:$1,0)-COLUMN(INDIRECT("character_id"))+1),MATCH(C$1,units!$1:$1,0)-COLUMN(INDIRECT("character_id"))+1,FALSE)</f>
        <v>ジャンヌ</v>
      </c>
      <c r="D479" s="31">
        <f ca="1">VLOOKUP($B479,OFFSET(units!$A$1,0,0,COUNTA(units!$A:$A),MATCH(D$1,units!$1:$1,0)-COLUMN(INDIRECT("character_id"))+1),MATCH(D$1,units!$1:$1,0)-COLUMN(INDIRECT("character_id"))+1,FALSE)</f>
        <v>4</v>
      </c>
      <c r="E479" s="31" t="str">
        <f ca="1">VLOOKUP($B479,OFFSET(units!$A$1,0,0,COUNTA(units!$A:$A),MATCH(E$1,units!$1:$1,0)-COLUMN(INDIRECT("character_id"))+1),MATCH(E$1,units!$1:$1,0)-COLUMN(INDIRECT("character_id"))+1,FALSE)</f>
        <v>DropWizS</v>
      </c>
      <c r="F479" s="56">
        <v>112</v>
      </c>
      <c r="G479" s="31" t="str">
        <f ca="1">VLOOKUP($F479,OFFSET(units!$A$1,0,0,COUNTA(units!$A:$A),MATCH(G$1,units!$1:$1,0)-COLUMN(INDIRECT("character_id"))+1),MATCH(G$1,units!$1:$1,0)-COLUMN(INDIRECT("character_id"))+1,FALSE)</f>
        <v>水のマッドハッター</v>
      </c>
      <c r="H479" s="26">
        <v>1</v>
      </c>
      <c r="I479" s="202">
        <v>1</v>
      </c>
    </row>
    <row r="480" spans="1:9" x14ac:dyDescent="0.15">
      <c r="A480" s="96" t="str">
        <f t="shared" si="7"/>
        <v>378_270</v>
      </c>
      <c r="B480" s="59">
        <v>378</v>
      </c>
      <c r="C480" s="31" t="str">
        <f ca="1">VLOOKUP($B480,OFFSET(units!$A$1,0,0,COUNTA(units!$A:$A),MATCH(C$1,units!$1:$1,0)-COLUMN(INDIRECT("character_id"))+1),MATCH(C$1,units!$1:$1,0)-COLUMN(INDIRECT("character_id"))+1,FALSE)</f>
        <v>オイラー</v>
      </c>
      <c r="D480" s="31">
        <f ca="1">VLOOKUP($B480,OFFSET(units!$A$1,0,0,COUNTA(units!$A:$A),MATCH(D$1,units!$1:$1,0)-COLUMN(INDIRECT("character_id"))+1),MATCH(D$1,units!$1:$1,0)-COLUMN(INDIRECT("character_id"))+1,FALSE)</f>
        <v>4</v>
      </c>
      <c r="E480" s="31" t="str">
        <f ca="1">VLOOKUP($B480,OFFSET(units!$A$1,0,0,COUNTA(units!$A:$A),MATCH(E$1,units!$1:$1,0)-COLUMN(INDIRECT("character_id"))+1),MATCH(E$1,units!$1:$1,0)-COLUMN(INDIRECT("character_id"))+1,FALSE)</f>
        <v>PremiumSSS</v>
      </c>
      <c r="F480" s="56">
        <v>270</v>
      </c>
      <c r="G480" s="31" t="str">
        <f ca="1">VLOOKUP($F480,OFFSET(units!$A$1,0,0,COUNTA(units!$A:$A),MATCH(G$1,units!$1:$1,0)-COLUMN(INDIRECT("character_id"))+1),MATCH(G$1,units!$1:$1,0)-COLUMN(INDIRECT("character_id"))+1,FALSE)</f>
        <v>風爪のミリー</v>
      </c>
      <c r="H480" s="26">
        <v>1</v>
      </c>
      <c r="I480" s="202">
        <v>1</v>
      </c>
    </row>
    <row r="481" spans="1:9" x14ac:dyDescent="0.15">
      <c r="A481" s="96" t="str">
        <f t="shared" si="7"/>
        <v>378_308</v>
      </c>
      <c r="B481" s="59">
        <v>378</v>
      </c>
      <c r="C481" s="31" t="str">
        <f ca="1">VLOOKUP($B481,OFFSET(units!$A$1,0,0,COUNTA(units!$A:$A),MATCH(C$1,units!$1:$1,0)-COLUMN(INDIRECT("character_id"))+1),MATCH(C$1,units!$1:$1,0)-COLUMN(INDIRECT("character_id"))+1,FALSE)</f>
        <v>オイラー</v>
      </c>
      <c r="D481" s="31">
        <f ca="1">VLOOKUP($B481,OFFSET(units!$A$1,0,0,COUNTA(units!$A:$A),MATCH(D$1,units!$1:$1,0)-COLUMN(INDIRECT("character_id"))+1),MATCH(D$1,units!$1:$1,0)-COLUMN(INDIRECT("character_id"))+1,FALSE)</f>
        <v>4</v>
      </c>
      <c r="E481" s="31" t="str">
        <f ca="1">VLOOKUP($B481,OFFSET(units!$A$1,0,0,COUNTA(units!$A:$A),MATCH(E$1,units!$1:$1,0)-COLUMN(INDIRECT("character_id"))+1),MATCH(E$1,units!$1:$1,0)-COLUMN(INDIRECT("character_id"))+1,FALSE)</f>
        <v>PremiumSSS</v>
      </c>
      <c r="F481" s="56">
        <v>308</v>
      </c>
      <c r="G481" s="31" t="str">
        <f ca="1">VLOOKUP($F481,OFFSET(units!$A$1,0,0,COUNTA(units!$A:$A),MATCH(G$1,units!$1:$1,0)-COLUMN(INDIRECT("character_id"))+1),MATCH(G$1,units!$1:$1,0)-COLUMN(INDIRECT("character_id"))+1,FALSE)</f>
        <v>アーケロン</v>
      </c>
      <c r="H481" s="26">
        <v>1</v>
      </c>
      <c r="I481" s="202">
        <v>1</v>
      </c>
    </row>
    <row r="482" spans="1:9" x14ac:dyDescent="0.15">
      <c r="A482" s="96" t="str">
        <f t="shared" si="7"/>
        <v>378_294</v>
      </c>
      <c r="B482" s="59">
        <v>378</v>
      </c>
      <c r="C482" s="31" t="str">
        <f ca="1">VLOOKUP($B482,OFFSET(units!$A$1,0,0,COUNTA(units!$A:$A),MATCH(C$1,units!$1:$1,0)-COLUMN(INDIRECT("character_id"))+1),MATCH(C$1,units!$1:$1,0)-COLUMN(INDIRECT("character_id"))+1,FALSE)</f>
        <v>オイラー</v>
      </c>
      <c r="D482" s="31">
        <f ca="1">VLOOKUP($B482,OFFSET(units!$A$1,0,0,COUNTA(units!$A:$A),MATCH(D$1,units!$1:$1,0)-COLUMN(INDIRECT("character_id"))+1),MATCH(D$1,units!$1:$1,0)-COLUMN(INDIRECT("character_id"))+1,FALSE)</f>
        <v>4</v>
      </c>
      <c r="E482" s="31" t="str">
        <f ca="1">VLOOKUP($B482,OFFSET(units!$A$1,0,0,COUNTA(units!$A:$A),MATCH(E$1,units!$1:$1,0)-COLUMN(INDIRECT("character_id"))+1),MATCH(E$1,units!$1:$1,0)-COLUMN(INDIRECT("character_id"))+1,FALSE)</f>
        <v>PremiumSSS</v>
      </c>
      <c r="F482" s="56">
        <v>294</v>
      </c>
      <c r="G482" s="31" t="str">
        <f ca="1">VLOOKUP($F482,OFFSET(units!$A$1,0,0,COUNTA(units!$A:$A),MATCH(G$1,units!$1:$1,0)-COLUMN(INDIRECT("character_id"))+1),MATCH(G$1,units!$1:$1,0)-COLUMN(INDIRECT("character_id"))+1,FALSE)</f>
        <v>ウルフ・ザ・レッドイーター</v>
      </c>
      <c r="H482" s="26">
        <v>1</v>
      </c>
      <c r="I482" s="202">
        <v>1</v>
      </c>
    </row>
    <row r="483" spans="1:9" x14ac:dyDescent="0.15">
      <c r="A483" s="96" t="str">
        <f t="shared" si="7"/>
        <v>378_108</v>
      </c>
      <c r="B483" s="59">
        <v>378</v>
      </c>
      <c r="C483" s="31" t="str">
        <f ca="1">VLOOKUP($B483,OFFSET(units!$A$1,0,0,COUNTA(units!$A:$A),MATCH(C$1,units!$1:$1,0)-COLUMN(INDIRECT("character_id"))+1),MATCH(C$1,units!$1:$1,0)-COLUMN(INDIRECT("character_id"))+1,FALSE)</f>
        <v>オイラー</v>
      </c>
      <c r="D483" s="31">
        <f ca="1">VLOOKUP($B483,OFFSET(units!$A$1,0,0,COUNTA(units!$A:$A),MATCH(D$1,units!$1:$1,0)-COLUMN(INDIRECT("character_id"))+1),MATCH(D$1,units!$1:$1,0)-COLUMN(INDIRECT("character_id"))+1,FALSE)</f>
        <v>4</v>
      </c>
      <c r="E483" s="31" t="str">
        <f ca="1">VLOOKUP($B483,OFFSET(units!$A$1,0,0,COUNTA(units!$A:$A),MATCH(E$1,units!$1:$1,0)-COLUMN(INDIRECT("character_id"))+1),MATCH(E$1,units!$1:$1,0)-COLUMN(INDIRECT("character_id"))+1,FALSE)</f>
        <v>PremiumSSS</v>
      </c>
      <c r="F483" s="56">
        <v>108</v>
      </c>
      <c r="G483" s="31" t="str">
        <f ca="1">VLOOKUP($F483,OFFSET(units!$A$1,0,0,COUNTA(units!$A:$A),MATCH(G$1,units!$1:$1,0)-COLUMN(INDIRECT("character_id"))+1),MATCH(G$1,units!$1:$1,0)-COLUMN(INDIRECT("character_id"))+1,FALSE)</f>
        <v>森のマッドハッター</v>
      </c>
      <c r="H483" s="26">
        <v>2</v>
      </c>
      <c r="I483" s="202">
        <v>1</v>
      </c>
    </row>
    <row r="484" spans="1:9" x14ac:dyDescent="0.15">
      <c r="A484" s="96" t="str">
        <f t="shared" si="7"/>
        <v>418_104</v>
      </c>
      <c r="B484" s="59">
        <v>418</v>
      </c>
      <c r="C484" s="31" t="str">
        <f ca="1">VLOOKUP($B484,OFFSET(units!$A$1,0,0,COUNTA(units!$A:$A),MATCH(C$1,units!$1:$1,0)-COLUMN(INDIRECT("character_id"))+1),MATCH(C$1,units!$1:$1,0)-COLUMN(INDIRECT("character_id"))+1,FALSE)</f>
        <v>ウラシマ</v>
      </c>
      <c r="D484" s="31">
        <f ca="1">VLOOKUP($B484,OFFSET(units!$A$1,0,0,COUNTA(units!$A:$A),MATCH(D$1,units!$1:$1,0)-COLUMN(INDIRECT("character_id"))+1),MATCH(D$1,units!$1:$1,0)-COLUMN(INDIRECT("character_id"))+1,FALSE)</f>
        <v>4</v>
      </c>
      <c r="E484" s="31" t="str">
        <f ca="1">VLOOKUP($B484,OFFSET(units!$A$1,0,0,COUNTA(units!$A:$A),MATCH(E$1,units!$1:$1,0)-COLUMN(INDIRECT("character_id"))+1),MATCH(E$1,units!$1:$1,0)-COLUMN(INDIRECT("character_id"))+1,FALSE)</f>
        <v>Drop2N</v>
      </c>
      <c r="F484" s="56">
        <v>104</v>
      </c>
      <c r="G484" s="31" t="str">
        <f ca="1">VLOOKUP($F484,OFFSET(units!$A$1,0,0,COUNTA(units!$A:$A),MATCH(G$1,units!$1:$1,0)-COLUMN(INDIRECT("character_id"))+1),MATCH(G$1,units!$1:$1,0)-COLUMN(INDIRECT("character_id"))+1,FALSE)</f>
        <v>炎のマッドハッター</v>
      </c>
      <c r="H484" s="26">
        <v>1</v>
      </c>
      <c r="I484" s="202">
        <v>1</v>
      </c>
    </row>
    <row r="485" spans="1:9" x14ac:dyDescent="0.15">
      <c r="A485" s="96" t="str">
        <f t="shared" si="7"/>
        <v>418_103</v>
      </c>
      <c r="B485" s="59">
        <v>418</v>
      </c>
      <c r="C485" s="31" t="str">
        <f ca="1">VLOOKUP($B485,OFFSET(units!$A$1,0,0,COUNTA(units!$A:$A),MATCH(C$1,units!$1:$1,0)-COLUMN(INDIRECT("character_id"))+1),MATCH(C$1,units!$1:$1,0)-COLUMN(INDIRECT("character_id"))+1,FALSE)</f>
        <v>ウラシマ</v>
      </c>
      <c r="D485" s="31">
        <f ca="1">VLOOKUP($B485,OFFSET(units!$A$1,0,0,COUNTA(units!$A:$A),MATCH(D$1,units!$1:$1,0)-COLUMN(INDIRECT("character_id"))+1),MATCH(D$1,units!$1:$1,0)-COLUMN(INDIRECT("character_id"))+1,FALSE)</f>
        <v>4</v>
      </c>
      <c r="E485" s="31" t="str">
        <f ca="1">VLOOKUP($B485,OFFSET(units!$A$1,0,0,COUNTA(units!$A:$A),MATCH(E$1,units!$1:$1,0)-COLUMN(INDIRECT("character_id"))+1),MATCH(E$1,units!$1:$1,0)-COLUMN(INDIRECT("character_id"))+1,FALSE)</f>
        <v>Drop2N</v>
      </c>
      <c r="F485" s="56">
        <f>F484-1</f>
        <v>103</v>
      </c>
      <c r="G485" s="31" t="str">
        <f ca="1">VLOOKUP($F485,OFFSET(units!$A$1,0,0,COUNTA(units!$A:$A),MATCH(G$1,units!$1:$1,0)-COLUMN(INDIRECT("character_id"))+1),MATCH(G$1,units!$1:$1,0)-COLUMN(INDIRECT("character_id"))+1,FALSE)</f>
        <v>レッドキャタップ</v>
      </c>
      <c r="H485" s="26">
        <v>1</v>
      </c>
      <c r="I485" s="202">
        <v>1</v>
      </c>
    </row>
    <row r="486" spans="1:9" x14ac:dyDescent="0.15">
      <c r="A486" s="96" t="str">
        <f t="shared" si="7"/>
        <v>418_102</v>
      </c>
      <c r="B486" s="59">
        <v>418</v>
      </c>
      <c r="C486" s="31" t="str">
        <f ca="1">VLOOKUP($B486,OFFSET(units!$A$1,0,0,COUNTA(units!$A:$A),MATCH(C$1,units!$1:$1,0)-COLUMN(INDIRECT("character_id"))+1),MATCH(C$1,units!$1:$1,0)-COLUMN(INDIRECT("character_id"))+1,FALSE)</f>
        <v>ウラシマ</v>
      </c>
      <c r="D486" s="31">
        <f ca="1">VLOOKUP($B486,OFFSET(units!$A$1,0,0,COUNTA(units!$A:$A),MATCH(D$1,units!$1:$1,0)-COLUMN(INDIRECT("character_id"))+1),MATCH(D$1,units!$1:$1,0)-COLUMN(INDIRECT("character_id"))+1,FALSE)</f>
        <v>4</v>
      </c>
      <c r="E486" s="31" t="str">
        <f ca="1">VLOOKUP($B486,OFFSET(units!$A$1,0,0,COUNTA(units!$A:$A),MATCH(E$1,units!$1:$1,0)-COLUMN(INDIRECT("character_id"))+1),MATCH(E$1,units!$1:$1,0)-COLUMN(INDIRECT("character_id"))+1,FALSE)</f>
        <v>Drop2N</v>
      </c>
      <c r="F486" s="56">
        <f>F485-1</f>
        <v>102</v>
      </c>
      <c r="G486" s="31" t="str">
        <f ca="1">VLOOKUP($F486,OFFSET(units!$A$1,0,0,COUNTA(units!$A:$A),MATCH(G$1,units!$1:$1,0)-COLUMN(INDIRECT("character_id"))+1),MATCH(G$1,units!$1:$1,0)-COLUMN(INDIRECT("character_id"))+1,FALSE)</f>
        <v>レッドラビット</v>
      </c>
      <c r="H486" s="26">
        <v>2</v>
      </c>
      <c r="I486" s="202">
        <v>1</v>
      </c>
    </row>
    <row r="487" spans="1:9" x14ac:dyDescent="0.15">
      <c r="A487" s="96" t="str">
        <f t="shared" si="7"/>
        <v>418_101</v>
      </c>
      <c r="B487" s="59">
        <v>418</v>
      </c>
      <c r="C487" s="31" t="str">
        <f ca="1">VLOOKUP($B487,OFFSET(units!$A$1,0,0,COUNTA(units!$A:$A),MATCH(C$1,units!$1:$1,0)-COLUMN(INDIRECT("character_id"))+1),MATCH(C$1,units!$1:$1,0)-COLUMN(INDIRECT("character_id"))+1,FALSE)</f>
        <v>ウラシマ</v>
      </c>
      <c r="D487" s="31">
        <f ca="1">VLOOKUP($B487,OFFSET(units!$A$1,0,0,COUNTA(units!$A:$A),MATCH(D$1,units!$1:$1,0)-COLUMN(INDIRECT("character_id"))+1),MATCH(D$1,units!$1:$1,0)-COLUMN(INDIRECT("character_id"))+1,FALSE)</f>
        <v>4</v>
      </c>
      <c r="E487" s="31" t="str">
        <f ca="1">VLOOKUP($B487,OFFSET(units!$A$1,0,0,COUNTA(units!$A:$A),MATCH(E$1,units!$1:$1,0)-COLUMN(INDIRECT("character_id"))+1),MATCH(E$1,units!$1:$1,0)-COLUMN(INDIRECT("character_id"))+1,FALSE)</f>
        <v>Drop2N</v>
      </c>
      <c r="F487" s="56">
        <f>F486-1</f>
        <v>101</v>
      </c>
      <c r="G487" s="31" t="str">
        <f ca="1">VLOOKUP($F487,OFFSET(units!$A$1,0,0,COUNTA(units!$A:$A),MATCH(G$1,units!$1:$1,0)-COLUMN(INDIRECT("character_id"))+1),MATCH(G$1,units!$1:$1,0)-COLUMN(INDIRECT("character_id"))+1,FALSE)</f>
        <v>レッドチェシャ</v>
      </c>
      <c r="H487" s="26">
        <v>1</v>
      </c>
      <c r="I487" s="202">
        <v>1</v>
      </c>
    </row>
    <row r="488" spans="1:9" x14ac:dyDescent="0.15">
      <c r="A488" s="96" t="str">
        <f t="shared" si="7"/>
        <v>420_108</v>
      </c>
      <c r="B488" s="59">
        <v>420</v>
      </c>
      <c r="C488" s="31" t="str">
        <f ca="1">VLOOKUP($B488,OFFSET(units!$A$1,0,0,COUNTA(units!$A:$A),MATCH(C$1,units!$1:$1,0)-COLUMN(INDIRECT("character_id"))+1),MATCH(C$1,units!$1:$1,0)-COLUMN(INDIRECT("character_id"))+1,FALSE)</f>
        <v>カエデ</v>
      </c>
      <c r="D488" s="31">
        <f ca="1">VLOOKUP($B488,OFFSET(units!$A$1,0,0,COUNTA(units!$A:$A),MATCH(D$1,units!$1:$1,0)-COLUMN(INDIRECT("character_id"))+1),MATCH(D$1,units!$1:$1,0)-COLUMN(INDIRECT("character_id"))+1,FALSE)</f>
        <v>4</v>
      </c>
      <c r="E488" s="31" t="str">
        <f ca="1">VLOOKUP($B488,OFFSET(units!$A$1,0,0,COUNTA(units!$A:$A),MATCH(E$1,units!$1:$1,0)-COLUMN(INDIRECT("character_id"))+1),MATCH(E$1,units!$1:$1,0)-COLUMN(INDIRECT("character_id"))+1,FALSE)</f>
        <v>Drop2N</v>
      </c>
      <c r="F488" s="56">
        <v>108</v>
      </c>
      <c r="G488" s="31" t="str">
        <f ca="1">VLOOKUP($F488,OFFSET(units!$A$1,0,0,COUNTA(units!$A:$A),MATCH(G$1,units!$1:$1,0)-COLUMN(INDIRECT("character_id"))+1),MATCH(G$1,units!$1:$1,0)-COLUMN(INDIRECT("character_id"))+1,FALSE)</f>
        <v>森のマッドハッター</v>
      </c>
      <c r="H488" s="26">
        <v>1</v>
      </c>
      <c r="I488" s="202">
        <v>1</v>
      </c>
    </row>
    <row r="489" spans="1:9" x14ac:dyDescent="0.15">
      <c r="A489" s="96" t="str">
        <f t="shared" si="7"/>
        <v>420_107</v>
      </c>
      <c r="B489" s="59">
        <v>420</v>
      </c>
      <c r="C489" s="31" t="str">
        <f ca="1">VLOOKUP($B489,OFFSET(units!$A$1,0,0,COUNTA(units!$A:$A),MATCH(C$1,units!$1:$1,0)-COLUMN(INDIRECT("character_id"))+1),MATCH(C$1,units!$1:$1,0)-COLUMN(INDIRECT("character_id"))+1,FALSE)</f>
        <v>カエデ</v>
      </c>
      <c r="D489" s="31">
        <f ca="1">VLOOKUP($B489,OFFSET(units!$A$1,0,0,COUNTA(units!$A:$A),MATCH(D$1,units!$1:$1,0)-COLUMN(INDIRECT("character_id"))+1),MATCH(D$1,units!$1:$1,0)-COLUMN(INDIRECT("character_id"))+1,FALSE)</f>
        <v>4</v>
      </c>
      <c r="E489" s="31" t="str">
        <f ca="1">VLOOKUP($B489,OFFSET(units!$A$1,0,0,COUNTA(units!$A:$A),MATCH(E$1,units!$1:$1,0)-COLUMN(INDIRECT("character_id"))+1),MATCH(E$1,units!$1:$1,0)-COLUMN(INDIRECT("character_id"))+1,FALSE)</f>
        <v>Drop2N</v>
      </c>
      <c r="F489" s="56">
        <f>F488-1</f>
        <v>107</v>
      </c>
      <c r="G489" s="31" t="str">
        <f ca="1">VLOOKUP($F489,OFFSET(units!$A$1,0,0,COUNTA(units!$A:$A),MATCH(G$1,units!$1:$1,0)-COLUMN(INDIRECT("character_id"))+1),MATCH(G$1,units!$1:$1,0)-COLUMN(INDIRECT("character_id"))+1,FALSE)</f>
        <v>グリーンキャタップ</v>
      </c>
      <c r="H489" s="26">
        <v>1</v>
      </c>
      <c r="I489" s="202">
        <v>1</v>
      </c>
    </row>
    <row r="490" spans="1:9" x14ac:dyDescent="0.15">
      <c r="A490" s="96" t="str">
        <f t="shared" si="7"/>
        <v>420_106</v>
      </c>
      <c r="B490" s="59">
        <v>420</v>
      </c>
      <c r="C490" s="31" t="str">
        <f ca="1">VLOOKUP($B490,OFFSET(units!$A$1,0,0,COUNTA(units!$A:$A),MATCH(C$1,units!$1:$1,0)-COLUMN(INDIRECT("character_id"))+1),MATCH(C$1,units!$1:$1,0)-COLUMN(INDIRECT("character_id"))+1,FALSE)</f>
        <v>カエデ</v>
      </c>
      <c r="D490" s="31">
        <f ca="1">VLOOKUP($B490,OFFSET(units!$A$1,0,0,COUNTA(units!$A:$A),MATCH(D$1,units!$1:$1,0)-COLUMN(INDIRECT("character_id"))+1),MATCH(D$1,units!$1:$1,0)-COLUMN(INDIRECT("character_id"))+1,FALSE)</f>
        <v>4</v>
      </c>
      <c r="E490" s="31" t="str">
        <f ca="1">VLOOKUP($B490,OFFSET(units!$A$1,0,0,COUNTA(units!$A:$A),MATCH(E$1,units!$1:$1,0)-COLUMN(INDIRECT("character_id"))+1),MATCH(E$1,units!$1:$1,0)-COLUMN(INDIRECT("character_id"))+1,FALSE)</f>
        <v>Drop2N</v>
      </c>
      <c r="F490" s="56">
        <f>F489-1</f>
        <v>106</v>
      </c>
      <c r="G490" s="31" t="str">
        <f ca="1">VLOOKUP($F490,OFFSET(units!$A$1,0,0,COUNTA(units!$A:$A),MATCH(G$1,units!$1:$1,0)-COLUMN(INDIRECT("character_id"))+1),MATCH(G$1,units!$1:$1,0)-COLUMN(INDIRECT("character_id"))+1,FALSE)</f>
        <v>グリーンラビット</v>
      </c>
      <c r="H490" s="26">
        <v>2</v>
      </c>
      <c r="I490" s="202">
        <v>1</v>
      </c>
    </row>
    <row r="491" spans="1:9" x14ac:dyDescent="0.15">
      <c r="A491" s="96" t="str">
        <f t="shared" si="7"/>
        <v>420_105</v>
      </c>
      <c r="B491" s="59">
        <v>420</v>
      </c>
      <c r="C491" s="31" t="str">
        <f ca="1">VLOOKUP($B491,OFFSET(units!$A$1,0,0,COUNTA(units!$A:$A),MATCH(C$1,units!$1:$1,0)-COLUMN(INDIRECT("character_id"))+1),MATCH(C$1,units!$1:$1,0)-COLUMN(INDIRECT("character_id"))+1,FALSE)</f>
        <v>カエデ</v>
      </c>
      <c r="D491" s="31">
        <f ca="1">VLOOKUP($B491,OFFSET(units!$A$1,0,0,COUNTA(units!$A:$A),MATCH(D$1,units!$1:$1,0)-COLUMN(INDIRECT("character_id"))+1),MATCH(D$1,units!$1:$1,0)-COLUMN(INDIRECT("character_id"))+1,FALSE)</f>
        <v>4</v>
      </c>
      <c r="E491" s="31" t="str">
        <f ca="1">VLOOKUP($B491,OFFSET(units!$A$1,0,0,COUNTA(units!$A:$A),MATCH(E$1,units!$1:$1,0)-COLUMN(INDIRECT("character_id"))+1),MATCH(E$1,units!$1:$1,0)-COLUMN(INDIRECT("character_id"))+1,FALSE)</f>
        <v>Drop2N</v>
      </c>
      <c r="F491" s="56">
        <f>F490-1</f>
        <v>105</v>
      </c>
      <c r="G491" s="31" t="str">
        <f ca="1">VLOOKUP($F491,OFFSET(units!$A$1,0,0,COUNTA(units!$A:$A),MATCH(G$1,units!$1:$1,0)-COLUMN(INDIRECT("character_id"))+1),MATCH(G$1,units!$1:$1,0)-COLUMN(INDIRECT("character_id"))+1,FALSE)</f>
        <v>グリーンチェシャ</v>
      </c>
      <c r="H491" s="26">
        <v>1</v>
      </c>
      <c r="I491" s="202">
        <v>1</v>
      </c>
    </row>
    <row r="492" spans="1:9" x14ac:dyDescent="0.15">
      <c r="A492" s="96" t="str">
        <f t="shared" si="7"/>
        <v>426_420</v>
      </c>
      <c r="B492" s="59">
        <v>426</v>
      </c>
      <c r="C492" s="31" t="str">
        <f ca="1">VLOOKUP($B492,OFFSET(units!$A$1,0,0,COUNTA(units!$A:$A),MATCH(C$1,units!$1:$1,0)-COLUMN(INDIRECT("character_id"))+1),MATCH(C$1,units!$1:$1,0)-COLUMN(INDIRECT("character_id"))+1,FALSE)</f>
        <v>宮本武蔵</v>
      </c>
      <c r="D492" s="31">
        <f ca="1">VLOOKUP($B492,OFFSET(units!$A$1,0,0,COUNTA(units!$A:$A),MATCH(D$1,units!$1:$1,0)-COLUMN(INDIRECT("character_id"))+1),MATCH(D$1,units!$1:$1,0)-COLUMN(INDIRECT("character_id"))+1,FALSE)</f>
        <v>4</v>
      </c>
      <c r="E492" s="31" t="str">
        <f ca="1">VLOOKUP($B492,OFFSET(units!$A$1,0,0,COUNTA(units!$A:$A),MATCH(E$1,units!$1:$1,0)-COLUMN(INDIRECT("character_id"))+1),MATCH(E$1,units!$1:$1,0)-COLUMN(INDIRECT("character_id"))+1,FALSE)</f>
        <v>DropWizS</v>
      </c>
      <c r="F492" s="56">
        <v>420</v>
      </c>
      <c r="G492" s="31" t="str">
        <f ca="1">VLOOKUP($F492,OFFSET(units!$A$1,0,0,COUNTA(units!$A:$A),MATCH(G$1,units!$1:$1,0)-COLUMN(INDIRECT("character_id"))+1),MATCH(G$1,units!$1:$1,0)-COLUMN(INDIRECT("character_id"))+1,FALSE)</f>
        <v>カエデ</v>
      </c>
      <c r="H492" s="26">
        <v>2</v>
      </c>
      <c r="I492" s="202">
        <v>1</v>
      </c>
    </row>
    <row r="493" spans="1:9" x14ac:dyDescent="0.15">
      <c r="A493" s="96" t="str">
        <f t="shared" si="7"/>
        <v>426_312</v>
      </c>
      <c r="B493" s="59">
        <v>426</v>
      </c>
      <c r="C493" s="31" t="str">
        <f ca="1">VLOOKUP($B493,OFFSET(units!$A$1,0,0,COUNTA(units!$A:$A),MATCH(C$1,units!$1:$1,0)-COLUMN(INDIRECT("character_id"))+1),MATCH(C$1,units!$1:$1,0)-COLUMN(INDIRECT("character_id"))+1,FALSE)</f>
        <v>宮本武蔵</v>
      </c>
      <c r="D493" s="31">
        <f ca="1">VLOOKUP($B493,OFFSET(units!$A$1,0,0,COUNTA(units!$A:$A),MATCH(D$1,units!$1:$1,0)-COLUMN(INDIRECT("character_id"))+1),MATCH(D$1,units!$1:$1,0)-COLUMN(INDIRECT("character_id"))+1,FALSE)</f>
        <v>4</v>
      </c>
      <c r="E493" s="31" t="str">
        <f ca="1">VLOOKUP($B493,OFFSET(units!$A$1,0,0,COUNTA(units!$A:$A),MATCH(E$1,units!$1:$1,0)-COLUMN(INDIRECT("character_id"))+1),MATCH(E$1,units!$1:$1,0)-COLUMN(INDIRECT("character_id"))+1,FALSE)</f>
        <v>DropWizS</v>
      </c>
      <c r="F493" s="56">
        <v>312</v>
      </c>
      <c r="G493" s="31" t="str">
        <f ca="1">VLOOKUP($F493,OFFSET(units!$A$1,0,0,COUNTA(units!$A:$A),MATCH(G$1,units!$1:$1,0)-COLUMN(INDIRECT("character_id"))+1),MATCH(G$1,units!$1:$1,0)-COLUMN(INDIRECT("character_id"))+1,FALSE)</f>
        <v>アノマロカリス</v>
      </c>
      <c r="H493" s="26">
        <v>2</v>
      </c>
      <c r="I493" s="202">
        <v>1</v>
      </c>
    </row>
    <row r="494" spans="1:9" x14ac:dyDescent="0.15">
      <c r="A494" s="96" t="str">
        <f t="shared" si="7"/>
        <v>426_116</v>
      </c>
      <c r="B494" s="59">
        <v>426</v>
      </c>
      <c r="C494" s="31" t="str">
        <f ca="1">VLOOKUP($B494,OFFSET(units!$A$1,0,0,COUNTA(units!$A:$A),MATCH(C$1,units!$1:$1,0)-COLUMN(INDIRECT("character_id"))+1),MATCH(C$1,units!$1:$1,0)-COLUMN(INDIRECT("character_id"))+1,FALSE)</f>
        <v>宮本武蔵</v>
      </c>
      <c r="D494" s="31">
        <f ca="1">VLOOKUP($B494,OFFSET(units!$A$1,0,0,COUNTA(units!$A:$A),MATCH(D$1,units!$1:$1,0)-COLUMN(INDIRECT("character_id"))+1),MATCH(D$1,units!$1:$1,0)-COLUMN(INDIRECT("character_id"))+1,FALSE)</f>
        <v>4</v>
      </c>
      <c r="E494" s="31" t="str">
        <f ca="1">VLOOKUP($B494,OFFSET(units!$A$1,0,0,COUNTA(units!$A:$A),MATCH(E$1,units!$1:$1,0)-COLUMN(INDIRECT("character_id"))+1),MATCH(E$1,units!$1:$1,0)-COLUMN(INDIRECT("character_id"))+1,FALSE)</f>
        <v>DropWizS</v>
      </c>
      <c r="F494" s="56">
        <v>116</v>
      </c>
      <c r="G494" s="31" t="str">
        <f ca="1">VLOOKUP($F494,OFFSET(units!$A$1,0,0,COUNTA(units!$A:$A),MATCH(G$1,units!$1:$1,0)-COLUMN(INDIRECT("character_id"))+1),MATCH(G$1,units!$1:$1,0)-COLUMN(INDIRECT("character_id"))+1,FALSE)</f>
        <v>雷のマッドハッター</v>
      </c>
      <c r="H494" s="26">
        <v>1</v>
      </c>
      <c r="I494" s="202">
        <v>1</v>
      </c>
    </row>
    <row r="495" spans="1:9" x14ac:dyDescent="0.15">
      <c r="A495" s="96" t="str">
        <f t="shared" si="7"/>
        <v>422_112</v>
      </c>
      <c r="B495" s="59">
        <v>422</v>
      </c>
      <c r="C495" s="31" t="str">
        <f ca="1">VLOOKUP($B495,OFFSET(units!$A$1,0,0,COUNTA(units!$A:$A),MATCH(C$1,units!$1:$1,0)-COLUMN(INDIRECT("character_id"))+1),MATCH(C$1,units!$1:$1,0)-COLUMN(INDIRECT("character_id"))+1,FALSE)</f>
        <v>シュガフル</v>
      </c>
      <c r="D495" s="31">
        <f ca="1">VLOOKUP($B495,OFFSET(units!$A$1,0,0,COUNTA(units!$A:$A),MATCH(D$1,units!$1:$1,0)-COLUMN(INDIRECT("character_id"))+1),MATCH(D$1,units!$1:$1,0)-COLUMN(INDIRECT("character_id"))+1,FALSE)</f>
        <v>4</v>
      </c>
      <c r="E495" s="31" t="str">
        <f ca="1">VLOOKUP($B495,OFFSET(units!$A$1,0,0,COUNTA(units!$A:$A),MATCH(E$1,units!$1:$1,0)-COLUMN(INDIRECT("character_id"))+1),MATCH(E$1,units!$1:$1,0)-COLUMN(INDIRECT("character_id"))+1,FALSE)</f>
        <v>Drop2N</v>
      </c>
      <c r="F495" s="56">
        <v>112</v>
      </c>
      <c r="G495" s="31" t="str">
        <f ca="1">VLOOKUP($F495,OFFSET(units!$A$1,0,0,COUNTA(units!$A:$A),MATCH(G$1,units!$1:$1,0)-COLUMN(INDIRECT("character_id"))+1),MATCH(G$1,units!$1:$1,0)-COLUMN(INDIRECT("character_id"))+1,FALSE)</f>
        <v>水のマッドハッター</v>
      </c>
      <c r="H495" s="26">
        <v>1</v>
      </c>
      <c r="I495" s="202">
        <v>1</v>
      </c>
    </row>
    <row r="496" spans="1:9" x14ac:dyDescent="0.15">
      <c r="A496" s="96" t="str">
        <f t="shared" si="7"/>
        <v>422_111</v>
      </c>
      <c r="B496" s="59">
        <v>422</v>
      </c>
      <c r="C496" s="31" t="str">
        <f ca="1">VLOOKUP($B496,OFFSET(units!$A$1,0,0,COUNTA(units!$A:$A),MATCH(C$1,units!$1:$1,0)-COLUMN(INDIRECT("character_id"))+1),MATCH(C$1,units!$1:$1,0)-COLUMN(INDIRECT("character_id"))+1,FALSE)</f>
        <v>シュガフル</v>
      </c>
      <c r="D496" s="31">
        <f ca="1">VLOOKUP($B496,OFFSET(units!$A$1,0,0,COUNTA(units!$A:$A),MATCH(D$1,units!$1:$1,0)-COLUMN(INDIRECT("character_id"))+1),MATCH(D$1,units!$1:$1,0)-COLUMN(INDIRECT("character_id"))+1,FALSE)</f>
        <v>4</v>
      </c>
      <c r="E496" s="31" t="str">
        <f ca="1">VLOOKUP($B496,OFFSET(units!$A$1,0,0,COUNTA(units!$A:$A),MATCH(E$1,units!$1:$1,0)-COLUMN(INDIRECT("character_id"))+1),MATCH(E$1,units!$1:$1,0)-COLUMN(INDIRECT("character_id"))+1,FALSE)</f>
        <v>Drop2N</v>
      </c>
      <c r="F496" s="56">
        <f>F495-1</f>
        <v>111</v>
      </c>
      <c r="G496" s="31" t="str">
        <f ca="1">VLOOKUP($F496,OFFSET(units!$A$1,0,0,COUNTA(units!$A:$A),MATCH(G$1,units!$1:$1,0)-COLUMN(INDIRECT("character_id"))+1),MATCH(G$1,units!$1:$1,0)-COLUMN(INDIRECT("character_id"))+1,FALSE)</f>
        <v>ブルーキャタップ</v>
      </c>
      <c r="H496" s="26">
        <v>1</v>
      </c>
      <c r="I496" s="202">
        <v>1</v>
      </c>
    </row>
    <row r="497" spans="1:9" x14ac:dyDescent="0.15">
      <c r="A497" s="96" t="str">
        <f t="shared" si="7"/>
        <v>422_110</v>
      </c>
      <c r="B497" s="59">
        <v>422</v>
      </c>
      <c r="C497" s="31" t="str">
        <f ca="1">VLOOKUP($B497,OFFSET(units!$A$1,0,0,COUNTA(units!$A:$A),MATCH(C$1,units!$1:$1,0)-COLUMN(INDIRECT("character_id"))+1),MATCH(C$1,units!$1:$1,0)-COLUMN(INDIRECT("character_id"))+1,FALSE)</f>
        <v>シュガフル</v>
      </c>
      <c r="D497" s="31">
        <f ca="1">VLOOKUP($B497,OFFSET(units!$A$1,0,0,COUNTA(units!$A:$A),MATCH(D$1,units!$1:$1,0)-COLUMN(INDIRECT("character_id"))+1),MATCH(D$1,units!$1:$1,0)-COLUMN(INDIRECT("character_id"))+1,FALSE)</f>
        <v>4</v>
      </c>
      <c r="E497" s="31" t="str">
        <f ca="1">VLOOKUP($B497,OFFSET(units!$A$1,0,0,COUNTA(units!$A:$A),MATCH(E$1,units!$1:$1,0)-COLUMN(INDIRECT("character_id"))+1),MATCH(E$1,units!$1:$1,0)-COLUMN(INDIRECT("character_id"))+1,FALSE)</f>
        <v>Drop2N</v>
      </c>
      <c r="F497" s="56">
        <f>F496-1</f>
        <v>110</v>
      </c>
      <c r="G497" s="31" t="str">
        <f ca="1">VLOOKUP($F497,OFFSET(units!$A$1,0,0,COUNTA(units!$A:$A),MATCH(G$1,units!$1:$1,0)-COLUMN(INDIRECT("character_id"))+1),MATCH(G$1,units!$1:$1,0)-COLUMN(INDIRECT("character_id"))+1,FALSE)</f>
        <v>ブルーラビット</v>
      </c>
      <c r="H497" s="26">
        <v>2</v>
      </c>
      <c r="I497" s="202">
        <v>1</v>
      </c>
    </row>
    <row r="498" spans="1:9" x14ac:dyDescent="0.15">
      <c r="A498" s="96" t="str">
        <f t="shared" si="7"/>
        <v>422_109</v>
      </c>
      <c r="B498" s="59">
        <v>422</v>
      </c>
      <c r="C498" s="31" t="str">
        <f ca="1">VLOOKUP($B498,OFFSET(units!$A$1,0,0,COUNTA(units!$A:$A),MATCH(C$1,units!$1:$1,0)-COLUMN(INDIRECT("character_id"))+1),MATCH(C$1,units!$1:$1,0)-COLUMN(INDIRECT("character_id"))+1,FALSE)</f>
        <v>シュガフル</v>
      </c>
      <c r="D498" s="31">
        <f ca="1">VLOOKUP($B498,OFFSET(units!$A$1,0,0,COUNTA(units!$A:$A),MATCH(D$1,units!$1:$1,0)-COLUMN(INDIRECT("character_id"))+1),MATCH(D$1,units!$1:$1,0)-COLUMN(INDIRECT("character_id"))+1,FALSE)</f>
        <v>4</v>
      </c>
      <c r="E498" s="31" t="str">
        <f ca="1">VLOOKUP($B498,OFFSET(units!$A$1,0,0,COUNTA(units!$A:$A),MATCH(E$1,units!$1:$1,0)-COLUMN(INDIRECT("character_id"))+1),MATCH(E$1,units!$1:$1,0)-COLUMN(INDIRECT("character_id"))+1,FALSE)</f>
        <v>Drop2N</v>
      </c>
      <c r="F498" s="56">
        <f>F497-1</f>
        <v>109</v>
      </c>
      <c r="G498" s="31" t="str">
        <f ca="1">VLOOKUP($F498,OFFSET(units!$A$1,0,0,COUNTA(units!$A:$A),MATCH(G$1,units!$1:$1,0)-COLUMN(INDIRECT("character_id"))+1),MATCH(G$1,units!$1:$1,0)-COLUMN(INDIRECT("character_id"))+1,FALSE)</f>
        <v>ブルーチェシャ</v>
      </c>
      <c r="H498" s="26">
        <v>1</v>
      </c>
      <c r="I498" s="202">
        <v>1</v>
      </c>
    </row>
    <row r="499" spans="1:9" ht="21" customHeight="1" x14ac:dyDescent="0.15">
      <c r="A499" s="96" t="str">
        <f t="shared" si="7"/>
        <v>434_104</v>
      </c>
      <c r="B499" s="56">
        <v>434</v>
      </c>
      <c r="C499" s="31" t="str">
        <f ca="1">VLOOKUP($B499,OFFSET(units!$A$1,0,0,COUNTA(units!$A:$A),MATCH(C$1,units!$1:$1,0)-COLUMN(INDIRECT("character_id"))+1),MATCH(C$1,units!$1:$1,0)-COLUMN(INDIRECT("character_id"))+1,FALSE)</f>
        <v>D.R.T.H.</v>
      </c>
      <c r="D499" s="31">
        <f ca="1">VLOOKUP($B499,OFFSET(units!$A$1,0,0,COUNTA(units!$A:$A),MATCH(D$1,units!$1:$1,0)-COLUMN(INDIRECT("character_id"))+1),MATCH(D$1,units!$1:$1,0)-COLUMN(INDIRECT("character_id"))+1,FALSE)</f>
        <v>4</v>
      </c>
      <c r="E499" s="31" t="str">
        <f ca="1">VLOOKUP($B499,OFFSET(units!$A$1,0,0,COUNTA(units!$A:$A),MATCH(E$1,units!$1:$1,0)-COLUMN(INDIRECT("character_id"))+1),MATCH(E$1,units!$1:$1,0)-COLUMN(INDIRECT("character_id"))+1,FALSE)</f>
        <v>PremiumSS</v>
      </c>
      <c r="F499" s="56">
        <v>104</v>
      </c>
      <c r="G499" s="31" t="str">
        <f ca="1">VLOOKUP($F499,OFFSET(units!$A$1,0,0,COUNTA(units!$A:$A),MATCH(G$1,units!$1:$1,0)-COLUMN(INDIRECT("character_id"))+1),MATCH(G$1,units!$1:$1,0)-COLUMN(INDIRECT("character_id"))+1,FALSE)</f>
        <v>炎のマッドハッター</v>
      </c>
      <c r="H499" s="26">
        <v>1</v>
      </c>
      <c r="I499" s="202">
        <v>1</v>
      </c>
    </row>
    <row r="500" spans="1:9" ht="21" customHeight="1" x14ac:dyDescent="0.15">
      <c r="A500" s="96" t="str">
        <f t="shared" si="7"/>
        <v>434_103</v>
      </c>
      <c r="B500" s="56">
        <v>434</v>
      </c>
      <c r="C500" s="31" t="str">
        <f ca="1">VLOOKUP($B500,OFFSET(units!$A$1,0,0,COUNTA(units!$A:$A),MATCH(C$1,units!$1:$1,0)-COLUMN(INDIRECT("character_id"))+1),MATCH(C$1,units!$1:$1,0)-COLUMN(INDIRECT("character_id"))+1,FALSE)</f>
        <v>D.R.T.H.</v>
      </c>
      <c r="D500" s="31">
        <f ca="1">VLOOKUP($B500,OFFSET(units!$A$1,0,0,COUNTA(units!$A:$A),MATCH(D$1,units!$1:$1,0)-COLUMN(INDIRECT("character_id"))+1),MATCH(D$1,units!$1:$1,0)-COLUMN(INDIRECT("character_id"))+1,FALSE)</f>
        <v>4</v>
      </c>
      <c r="E500" s="31" t="str">
        <f ca="1">VLOOKUP($B500,OFFSET(units!$A$1,0,0,COUNTA(units!$A:$A),MATCH(E$1,units!$1:$1,0)-COLUMN(INDIRECT("character_id"))+1),MATCH(E$1,units!$1:$1,0)-COLUMN(INDIRECT("character_id"))+1,FALSE)</f>
        <v>PremiumSS</v>
      </c>
      <c r="F500" s="56">
        <v>103</v>
      </c>
      <c r="G500" s="31" t="str">
        <f ca="1">VLOOKUP($F500,OFFSET(units!$A$1,0,0,COUNTA(units!$A:$A),MATCH(G$1,units!$1:$1,0)-COLUMN(INDIRECT("character_id"))+1),MATCH(G$1,units!$1:$1,0)-COLUMN(INDIRECT("character_id"))+1,FALSE)</f>
        <v>レッドキャタップ</v>
      </c>
      <c r="H500" s="26">
        <v>2</v>
      </c>
      <c r="I500" s="202">
        <v>1</v>
      </c>
    </row>
    <row r="501" spans="1:9" ht="21" customHeight="1" x14ac:dyDescent="0.15">
      <c r="A501" s="96" t="str">
        <f t="shared" si="7"/>
        <v>434_298</v>
      </c>
      <c r="B501" s="56">
        <v>434</v>
      </c>
      <c r="C501" s="31" t="str">
        <f ca="1">VLOOKUP($B501,OFFSET(units!$A$1,0,0,COUNTA(units!$A:$A),MATCH(C$1,units!$1:$1,0)-COLUMN(INDIRECT("character_id"))+1),MATCH(C$1,units!$1:$1,0)-COLUMN(INDIRECT("character_id"))+1,FALSE)</f>
        <v>D.R.T.H.</v>
      </c>
      <c r="D501" s="31">
        <f ca="1">VLOOKUP($B501,OFFSET(units!$A$1,0,0,COUNTA(units!$A:$A),MATCH(D$1,units!$1:$1,0)-COLUMN(INDIRECT("character_id"))+1),MATCH(D$1,units!$1:$1,0)-COLUMN(INDIRECT("character_id"))+1,FALSE)</f>
        <v>4</v>
      </c>
      <c r="E501" s="31" t="str">
        <f ca="1">VLOOKUP($B501,OFFSET(units!$A$1,0,0,COUNTA(units!$A:$A),MATCH(E$1,units!$1:$1,0)-COLUMN(INDIRECT("character_id"))+1),MATCH(E$1,units!$1:$1,0)-COLUMN(INDIRECT("character_id"))+1,FALSE)</f>
        <v>PremiumSS</v>
      </c>
      <c r="F501" s="56">
        <v>298</v>
      </c>
      <c r="G501" s="31" t="str">
        <f ca="1">VLOOKUP($F501,OFFSET(units!$A$1,0,0,COUNTA(units!$A:$A),MATCH(G$1,units!$1:$1,0)-COLUMN(INDIRECT("character_id"))+1),MATCH(G$1,units!$1:$1,0)-COLUMN(INDIRECT("character_id"))+1,FALSE)</f>
        <v>炎殺のミサコ</v>
      </c>
      <c r="H501" s="26">
        <v>1</v>
      </c>
      <c r="I501" s="202">
        <v>1</v>
      </c>
    </row>
    <row r="502" spans="1:9" ht="21" customHeight="1" x14ac:dyDescent="0.15">
      <c r="A502" s="96" t="str">
        <f t="shared" si="7"/>
        <v>434_418</v>
      </c>
      <c r="B502" s="56">
        <v>434</v>
      </c>
      <c r="C502" s="31" t="str">
        <f ca="1">VLOOKUP($B502,OFFSET(units!$A$1,0,0,COUNTA(units!$A:$A),MATCH(C$1,units!$1:$1,0)-COLUMN(INDIRECT("character_id"))+1),MATCH(C$1,units!$1:$1,0)-COLUMN(INDIRECT("character_id"))+1,FALSE)</f>
        <v>D.R.T.H.</v>
      </c>
      <c r="D502" s="31">
        <f ca="1">VLOOKUP($B502,OFFSET(units!$A$1,0,0,COUNTA(units!$A:$A),MATCH(D$1,units!$1:$1,0)-COLUMN(INDIRECT("character_id"))+1),MATCH(D$1,units!$1:$1,0)-COLUMN(INDIRECT("character_id"))+1,FALSE)</f>
        <v>4</v>
      </c>
      <c r="E502" s="31" t="str">
        <f ca="1">VLOOKUP($B502,OFFSET(units!$A$1,0,0,COUNTA(units!$A:$A),MATCH(E$1,units!$1:$1,0)-COLUMN(INDIRECT("character_id"))+1),MATCH(E$1,units!$1:$1,0)-COLUMN(INDIRECT("character_id"))+1,FALSE)</f>
        <v>PremiumSS</v>
      </c>
      <c r="F502" s="56">
        <v>418</v>
      </c>
      <c r="G502" s="31" t="str">
        <f ca="1">VLOOKUP($F502,OFFSET(units!$A$1,0,0,COUNTA(units!$A:$A),MATCH(G$1,units!$1:$1,0)-COLUMN(INDIRECT("character_id"))+1),MATCH(G$1,units!$1:$1,0)-COLUMN(INDIRECT("character_id"))+1,FALSE)</f>
        <v>ウラシマ</v>
      </c>
      <c r="H502" s="26">
        <v>1</v>
      </c>
      <c r="I502" s="202">
        <v>1</v>
      </c>
    </row>
    <row r="503" spans="1:9" ht="21" customHeight="1" x14ac:dyDescent="0.15">
      <c r="A503" s="96" t="str">
        <f t="shared" si="7"/>
        <v>439_111</v>
      </c>
      <c r="B503" s="56">
        <v>439</v>
      </c>
      <c r="C503" s="31" t="str">
        <f ca="1">VLOOKUP($B503,OFFSET(units!$A$1,0,0,COUNTA(units!$A:$A),MATCH(C$1,units!$1:$1,0)-COLUMN(INDIRECT("character_id"))+1),MATCH(C$1,units!$1:$1,0)-COLUMN(INDIRECT("character_id"))+1,FALSE)</f>
        <v>ブリキロガー</v>
      </c>
      <c r="D503" s="31">
        <f ca="1">VLOOKUP($B503,OFFSET(units!$A$1,0,0,COUNTA(units!$A:$A),MATCH(D$1,units!$1:$1,0)-COLUMN(INDIRECT("character_id"))+1),MATCH(D$1,units!$1:$1,0)-COLUMN(INDIRECT("character_id"))+1,FALSE)</f>
        <v>3</v>
      </c>
      <c r="E503" s="31" t="str">
        <f ca="1">VLOOKUP($B503,OFFSET(units!$A$1,0,0,COUNTA(units!$A:$A),MATCH(E$1,units!$1:$1,0)-COLUMN(INDIRECT("character_id"))+1),MATCH(E$1,units!$1:$1,0)-COLUMN(INDIRECT("character_id"))+1,FALSE)</f>
        <v>PremiumS</v>
      </c>
      <c r="F503" s="56">
        <v>111</v>
      </c>
      <c r="G503" s="31" t="str">
        <f ca="1">VLOOKUP($F503,OFFSET(units!$A$1,0,0,COUNTA(units!$A:$A),MATCH(G$1,units!$1:$1,0)-COLUMN(INDIRECT("character_id"))+1),MATCH(G$1,units!$1:$1,0)-COLUMN(INDIRECT("character_id"))+1,FALSE)</f>
        <v>ブルーキャタップ</v>
      </c>
      <c r="H503" s="26">
        <v>3</v>
      </c>
      <c r="I503" s="202">
        <v>1</v>
      </c>
    </row>
    <row r="504" spans="1:9" ht="21" customHeight="1" x14ac:dyDescent="0.15">
      <c r="A504" s="96" t="str">
        <f t="shared" si="7"/>
        <v>439_110</v>
      </c>
      <c r="B504" s="56">
        <v>439</v>
      </c>
      <c r="C504" s="31" t="str">
        <f ca="1">VLOOKUP($B504,OFFSET(units!$A$1,0,0,COUNTA(units!$A:$A),MATCH(C$1,units!$1:$1,0)-COLUMN(INDIRECT("character_id"))+1),MATCH(C$1,units!$1:$1,0)-COLUMN(INDIRECT("character_id"))+1,FALSE)</f>
        <v>ブリキロガー</v>
      </c>
      <c r="D504" s="31">
        <f ca="1">VLOOKUP($B504,OFFSET(units!$A$1,0,0,COUNTA(units!$A:$A),MATCH(D$1,units!$1:$1,0)-COLUMN(INDIRECT("character_id"))+1),MATCH(D$1,units!$1:$1,0)-COLUMN(INDIRECT("character_id"))+1,FALSE)</f>
        <v>3</v>
      </c>
      <c r="E504" s="31" t="str">
        <f ca="1">VLOOKUP($B504,OFFSET(units!$A$1,0,0,COUNTA(units!$A:$A),MATCH(E$1,units!$1:$1,0)-COLUMN(INDIRECT("character_id"))+1),MATCH(E$1,units!$1:$1,0)-COLUMN(INDIRECT("character_id"))+1,FALSE)</f>
        <v>PremiumS</v>
      </c>
      <c r="F504" s="56">
        <v>110</v>
      </c>
      <c r="G504" s="31" t="str">
        <f ca="1">VLOOKUP($F504,OFFSET(units!$A$1,0,0,COUNTA(units!$A:$A),MATCH(G$1,units!$1:$1,0)-COLUMN(INDIRECT("character_id"))+1),MATCH(G$1,units!$1:$1,0)-COLUMN(INDIRECT("character_id"))+1,FALSE)</f>
        <v>ブルーラビット</v>
      </c>
      <c r="H504" s="26">
        <v>1</v>
      </c>
      <c r="I504" s="202">
        <v>1</v>
      </c>
    </row>
    <row r="505" spans="1:9" ht="21" customHeight="1" x14ac:dyDescent="0.15">
      <c r="A505" s="96" t="str">
        <f t="shared" si="7"/>
        <v>440_112</v>
      </c>
      <c r="B505" s="56">
        <v>440</v>
      </c>
      <c r="C505" s="31" t="str">
        <f ca="1">VLOOKUP($B505,OFFSET(units!$A$1,0,0,COUNTA(units!$A:$A),MATCH(C$1,units!$1:$1,0)-COLUMN(INDIRECT("character_id"))+1),MATCH(C$1,units!$1:$1,0)-COLUMN(INDIRECT("character_id"))+1,FALSE)</f>
        <v>改良型 ブリキロガー</v>
      </c>
      <c r="D505" s="31">
        <f ca="1">VLOOKUP($B505,OFFSET(units!$A$1,0,0,COUNTA(units!$A:$A),MATCH(D$1,units!$1:$1,0)-COLUMN(INDIRECT("character_id"))+1),MATCH(D$1,units!$1:$1,0)-COLUMN(INDIRECT("character_id"))+1,FALSE)</f>
        <v>4</v>
      </c>
      <c r="E505" s="31" t="str">
        <f ca="1">VLOOKUP($B505,OFFSET(units!$A$1,0,0,COUNTA(units!$A:$A),MATCH(E$1,units!$1:$1,0)-COLUMN(INDIRECT("character_id"))+1),MATCH(E$1,units!$1:$1,0)-COLUMN(INDIRECT("character_id"))+1,FALSE)</f>
        <v>PremiumS</v>
      </c>
      <c r="F505" s="56">
        <v>112</v>
      </c>
      <c r="G505" s="31" t="str">
        <f ca="1">VLOOKUP($F505,OFFSET(units!$A$1,0,0,COUNTA(units!$A:$A),MATCH(G$1,units!$1:$1,0)-COLUMN(INDIRECT("character_id"))+1),MATCH(G$1,units!$1:$1,0)-COLUMN(INDIRECT("character_id"))+1,FALSE)</f>
        <v>水のマッドハッター</v>
      </c>
      <c r="H505" s="26">
        <v>2</v>
      </c>
      <c r="I505" s="202">
        <v>1</v>
      </c>
    </row>
    <row r="506" spans="1:9" ht="21" customHeight="1" x14ac:dyDescent="0.15">
      <c r="A506" s="96" t="str">
        <f t="shared" si="7"/>
        <v>440_111</v>
      </c>
      <c r="B506" s="56">
        <v>440</v>
      </c>
      <c r="C506" s="31" t="str">
        <f ca="1">VLOOKUP($B506,OFFSET(units!$A$1,0,0,COUNTA(units!$A:$A),MATCH(C$1,units!$1:$1,0)-COLUMN(INDIRECT("character_id"))+1),MATCH(C$1,units!$1:$1,0)-COLUMN(INDIRECT("character_id"))+1,FALSE)</f>
        <v>改良型 ブリキロガー</v>
      </c>
      <c r="D506" s="31">
        <f ca="1">VLOOKUP($B506,OFFSET(units!$A$1,0,0,COUNTA(units!$A:$A),MATCH(D$1,units!$1:$1,0)-COLUMN(INDIRECT("character_id"))+1),MATCH(D$1,units!$1:$1,0)-COLUMN(INDIRECT("character_id"))+1,FALSE)</f>
        <v>4</v>
      </c>
      <c r="E506" s="31" t="str">
        <f ca="1">VLOOKUP($B506,OFFSET(units!$A$1,0,0,COUNTA(units!$A:$A),MATCH(E$1,units!$1:$1,0)-COLUMN(INDIRECT("character_id"))+1),MATCH(E$1,units!$1:$1,0)-COLUMN(INDIRECT("character_id"))+1,FALSE)</f>
        <v>PremiumS</v>
      </c>
      <c r="F506" s="56">
        <v>111</v>
      </c>
      <c r="G506" s="31" t="str">
        <f ca="1">VLOOKUP($F506,OFFSET(units!$A$1,0,0,COUNTA(units!$A:$A),MATCH(G$1,units!$1:$1,0)-COLUMN(INDIRECT("character_id"))+1),MATCH(G$1,units!$1:$1,0)-COLUMN(INDIRECT("character_id"))+1,FALSE)</f>
        <v>ブルーキャタップ</v>
      </c>
      <c r="H506" s="26">
        <v>2</v>
      </c>
      <c r="I506" s="202">
        <v>1</v>
      </c>
    </row>
    <row r="507" spans="1:9" ht="21" customHeight="1" x14ac:dyDescent="0.15">
      <c r="A507" s="96" t="str">
        <f t="shared" si="7"/>
        <v>440_110</v>
      </c>
      <c r="B507" s="56">
        <v>440</v>
      </c>
      <c r="C507" s="31" t="str">
        <f ca="1">VLOOKUP($B507,OFFSET(units!$A$1,0,0,COUNTA(units!$A:$A),MATCH(C$1,units!$1:$1,0)-COLUMN(INDIRECT("character_id"))+1),MATCH(C$1,units!$1:$1,0)-COLUMN(INDIRECT("character_id"))+1,FALSE)</f>
        <v>改良型 ブリキロガー</v>
      </c>
      <c r="D507" s="31">
        <f ca="1">VLOOKUP($B507,OFFSET(units!$A$1,0,0,COUNTA(units!$A:$A),MATCH(D$1,units!$1:$1,0)-COLUMN(INDIRECT("character_id"))+1),MATCH(D$1,units!$1:$1,0)-COLUMN(INDIRECT("character_id"))+1,FALSE)</f>
        <v>4</v>
      </c>
      <c r="E507" s="31" t="str">
        <f ca="1">VLOOKUP($B507,OFFSET(units!$A$1,0,0,COUNTA(units!$A:$A),MATCH(E$1,units!$1:$1,0)-COLUMN(INDIRECT("character_id"))+1),MATCH(E$1,units!$1:$1,0)-COLUMN(INDIRECT("character_id"))+1,FALSE)</f>
        <v>PremiumS</v>
      </c>
      <c r="F507" s="56">
        <v>110</v>
      </c>
      <c r="G507" s="31" t="str">
        <f ca="1">VLOOKUP($F507,OFFSET(units!$A$1,0,0,COUNTA(units!$A:$A),MATCH(G$1,units!$1:$1,0)-COLUMN(INDIRECT("character_id"))+1),MATCH(G$1,units!$1:$1,0)-COLUMN(INDIRECT("character_id"))+1,FALSE)</f>
        <v>ブルーラビット</v>
      </c>
      <c r="H507" s="26">
        <v>1</v>
      </c>
      <c r="I507" s="202">
        <v>1</v>
      </c>
    </row>
    <row r="508" spans="1:9" ht="21" customHeight="1" x14ac:dyDescent="0.15">
      <c r="A508" s="96" t="str">
        <f t="shared" si="7"/>
        <v>436_107</v>
      </c>
      <c r="B508" s="56">
        <v>436</v>
      </c>
      <c r="C508" s="31" t="str">
        <f ca="1">VLOOKUP($B508,OFFSET(units!$A$1,0,0,COUNTA(units!$A:$A),MATCH(C$1,units!$1:$1,0)-COLUMN(INDIRECT("character_id"))+1),MATCH(C$1,units!$1:$1,0)-COLUMN(INDIRECT("character_id"))+1,FALSE)</f>
        <v>カカシ</v>
      </c>
      <c r="D508" s="31">
        <f ca="1">VLOOKUP($B508,OFFSET(units!$A$1,0,0,COUNTA(units!$A:$A),MATCH(D$1,units!$1:$1,0)-COLUMN(INDIRECT("character_id"))+1),MATCH(D$1,units!$1:$1,0)-COLUMN(INDIRECT("character_id"))+1,FALSE)</f>
        <v>3</v>
      </c>
      <c r="E508" s="31" t="str">
        <f ca="1">VLOOKUP($B508,OFFSET(units!$A$1,0,0,COUNTA(units!$A:$A),MATCH(E$1,units!$1:$1,0)-COLUMN(INDIRECT("character_id"))+1),MATCH(E$1,units!$1:$1,0)-COLUMN(INDIRECT("character_id"))+1,FALSE)</f>
        <v>PremiumS</v>
      </c>
      <c r="F508" s="56">
        <v>107</v>
      </c>
      <c r="G508" s="31" t="str">
        <f ca="1">VLOOKUP($F508,OFFSET(units!$A$1,0,0,COUNTA(units!$A:$A),MATCH(G$1,units!$1:$1,0)-COLUMN(INDIRECT("character_id"))+1),MATCH(G$1,units!$1:$1,0)-COLUMN(INDIRECT("character_id"))+1,FALSE)</f>
        <v>グリーンキャタップ</v>
      </c>
      <c r="H508" s="26">
        <v>3</v>
      </c>
      <c r="I508" s="202">
        <v>1</v>
      </c>
    </row>
    <row r="509" spans="1:9" ht="21" customHeight="1" x14ac:dyDescent="0.15">
      <c r="A509" s="96" t="str">
        <f t="shared" si="7"/>
        <v>436_106</v>
      </c>
      <c r="B509" s="56">
        <v>436</v>
      </c>
      <c r="C509" s="31" t="str">
        <f ca="1">VLOOKUP($B509,OFFSET(units!$A$1,0,0,COUNTA(units!$A:$A),MATCH(C$1,units!$1:$1,0)-COLUMN(INDIRECT("character_id"))+1),MATCH(C$1,units!$1:$1,0)-COLUMN(INDIRECT("character_id"))+1,FALSE)</f>
        <v>カカシ</v>
      </c>
      <c r="D509" s="31">
        <f ca="1">VLOOKUP($B509,OFFSET(units!$A$1,0,0,COUNTA(units!$A:$A),MATCH(D$1,units!$1:$1,0)-COLUMN(INDIRECT("character_id"))+1),MATCH(D$1,units!$1:$1,0)-COLUMN(INDIRECT("character_id"))+1,FALSE)</f>
        <v>3</v>
      </c>
      <c r="E509" s="31" t="str">
        <f ca="1">VLOOKUP($B509,OFFSET(units!$A$1,0,0,COUNTA(units!$A:$A),MATCH(E$1,units!$1:$1,0)-COLUMN(INDIRECT("character_id"))+1),MATCH(E$1,units!$1:$1,0)-COLUMN(INDIRECT("character_id"))+1,FALSE)</f>
        <v>PremiumS</v>
      </c>
      <c r="F509" s="56">
        <v>106</v>
      </c>
      <c r="G509" s="31" t="str">
        <f ca="1">VLOOKUP($F509,OFFSET(units!$A$1,0,0,COUNTA(units!$A:$A),MATCH(G$1,units!$1:$1,0)-COLUMN(INDIRECT("character_id"))+1),MATCH(G$1,units!$1:$1,0)-COLUMN(INDIRECT("character_id"))+1,FALSE)</f>
        <v>グリーンラビット</v>
      </c>
      <c r="H509" s="26">
        <v>1</v>
      </c>
      <c r="I509" s="202">
        <v>1</v>
      </c>
    </row>
    <row r="510" spans="1:9" ht="21" customHeight="1" x14ac:dyDescent="0.15">
      <c r="A510" s="96" t="str">
        <f t="shared" si="7"/>
        <v>437_108</v>
      </c>
      <c r="B510" s="56">
        <v>437</v>
      </c>
      <c r="C510" s="31" t="str">
        <f ca="1">VLOOKUP($B510,OFFSET(units!$A$1,0,0,COUNTA(units!$A:$A),MATCH(C$1,units!$1:$1,0)-COLUMN(INDIRECT("character_id"))+1),MATCH(C$1,units!$1:$1,0)-COLUMN(INDIRECT("character_id"))+1,FALSE)</f>
        <v>忘却者 カカシ</v>
      </c>
      <c r="D510" s="31">
        <f ca="1">VLOOKUP($B510,OFFSET(units!$A$1,0,0,COUNTA(units!$A:$A),MATCH(D$1,units!$1:$1,0)-COLUMN(INDIRECT("character_id"))+1),MATCH(D$1,units!$1:$1,0)-COLUMN(INDIRECT("character_id"))+1,FALSE)</f>
        <v>4</v>
      </c>
      <c r="E510" s="31" t="str">
        <f ca="1">VLOOKUP($B510,OFFSET(units!$A$1,0,0,COUNTA(units!$A:$A),MATCH(E$1,units!$1:$1,0)-COLUMN(INDIRECT("character_id"))+1),MATCH(E$1,units!$1:$1,0)-COLUMN(INDIRECT("character_id"))+1,FALSE)</f>
        <v>PremiumS</v>
      </c>
      <c r="F510" s="56">
        <v>108</v>
      </c>
      <c r="G510" s="31" t="str">
        <f ca="1">VLOOKUP($F510,OFFSET(units!$A$1,0,0,COUNTA(units!$A:$A),MATCH(G$1,units!$1:$1,0)-COLUMN(INDIRECT("character_id"))+1),MATCH(G$1,units!$1:$1,0)-COLUMN(INDIRECT("character_id"))+1,FALSE)</f>
        <v>森のマッドハッター</v>
      </c>
      <c r="H510" s="26">
        <v>2</v>
      </c>
      <c r="I510" s="202">
        <v>1</v>
      </c>
    </row>
    <row r="511" spans="1:9" ht="21" customHeight="1" x14ac:dyDescent="0.15">
      <c r="A511" s="96" t="str">
        <f t="shared" si="7"/>
        <v>437_107</v>
      </c>
      <c r="B511" s="56">
        <v>437</v>
      </c>
      <c r="C511" s="31" t="str">
        <f ca="1">VLOOKUP($B511,OFFSET(units!$A$1,0,0,COUNTA(units!$A:$A),MATCH(C$1,units!$1:$1,0)-COLUMN(INDIRECT("character_id"))+1),MATCH(C$1,units!$1:$1,0)-COLUMN(INDIRECT("character_id"))+1,FALSE)</f>
        <v>忘却者 カカシ</v>
      </c>
      <c r="D511" s="31">
        <f ca="1">VLOOKUP($B511,OFFSET(units!$A$1,0,0,COUNTA(units!$A:$A),MATCH(D$1,units!$1:$1,0)-COLUMN(INDIRECT("character_id"))+1),MATCH(D$1,units!$1:$1,0)-COLUMN(INDIRECT("character_id"))+1,FALSE)</f>
        <v>4</v>
      </c>
      <c r="E511" s="31" t="str">
        <f ca="1">VLOOKUP($B511,OFFSET(units!$A$1,0,0,COUNTA(units!$A:$A),MATCH(E$1,units!$1:$1,0)-COLUMN(INDIRECT("character_id"))+1),MATCH(E$1,units!$1:$1,0)-COLUMN(INDIRECT("character_id"))+1,FALSE)</f>
        <v>PremiumS</v>
      </c>
      <c r="F511" s="56">
        <v>107</v>
      </c>
      <c r="G511" s="31" t="str">
        <f ca="1">VLOOKUP($F511,OFFSET(units!$A$1,0,0,COUNTA(units!$A:$A),MATCH(G$1,units!$1:$1,0)-COLUMN(INDIRECT("character_id"))+1),MATCH(G$1,units!$1:$1,0)-COLUMN(INDIRECT("character_id"))+1,FALSE)</f>
        <v>グリーンキャタップ</v>
      </c>
      <c r="H511" s="26">
        <v>2</v>
      </c>
      <c r="I511" s="202">
        <v>1</v>
      </c>
    </row>
    <row r="512" spans="1:9" ht="21" customHeight="1" x14ac:dyDescent="0.15">
      <c r="A512" s="96" t="str">
        <f t="shared" si="7"/>
        <v>437_106</v>
      </c>
      <c r="B512" s="56">
        <v>437</v>
      </c>
      <c r="C512" s="31" t="str">
        <f ca="1">VLOOKUP($B512,OFFSET(units!$A$1,0,0,COUNTA(units!$A:$A),MATCH(C$1,units!$1:$1,0)-COLUMN(INDIRECT("character_id"))+1),MATCH(C$1,units!$1:$1,0)-COLUMN(INDIRECT("character_id"))+1,FALSE)</f>
        <v>忘却者 カカシ</v>
      </c>
      <c r="D512" s="31">
        <f ca="1">VLOOKUP($B512,OFFSET(units!$A$1,0,0,COUNTA(units!$A:$A),MATCH(D$1,units!$1:$1,0)-COLUMN(INDIRECT("character_id"))+1),MATCH(D$1,units!$1:$1,0)-COLUMN(INDIRECT("character_id"))+1,FALSE)</f>
        <v>4</v>
      </c>
      <c r="E512" s="31" t="str">
        <f ca="1">VLOOKUP($B512,OFFSET(units!$A$1,0,0,COUNTA(units!$A:$A),MATCH(E$1,units!$1:$1,0)-COLUMN(INDIRECT("character_id"))+1),MATCH(E$1,units!$1:$1,0)-COLUMN(INDIRECT("character_id"))+1,FALSE)</f>
        <v>PremiumS</v>
      </c>
      <c r="F512" s="56">
        <v>106</v>
      </c>
      <c r="G512" s="31" t="str">
        <f ca="1">VLOOKUP($F512,OFFSET(units!$A$1,0,0,COUNTA(units!$A:$A),MATCH(G$1,units!$1:$1,0)-COLUMN(INDIRECT("character_id"))+1),MATCH(G$1,units!$1:$1,0)-COLUMN(INDIRECT("character_id"))+1,FALSE)</f>
        <v>グリーンラビット</v>
      </c>
      <c r="H512" s="26">
        <v>1</v>
      </c>
      <c r="I512" s="202">
        <v>1</v>
      </c>
    </row>
    <row r="513" spans="1:9" ht="21" customHeight="1" x14ac:dyDescent="0.15">
      <c r="A513" s="96" t="str">
        <f t="shared" si="7"/>
        <v>442_116</v>
      </c>
      <c r="B513" s="56">
        <v>442</v>
      </c>
      <c r="C513" s="31" t="str">
        <f ca="1">VLOOKUP($B513,OFFSET(units!$A$1,0,0,COUNTA(units!$A:$A),MATCH(C$1,units!$1:$1,0)-COLUMN(INDIRECT("character_id"))+1),MATCH(C$1,units!$1:$1,0)-COLUMN(INDIRECT("character_id"))+1,FALSE)</f>
        <v>ブレイブリー・ライオン</v>
      </c>
      <c r="D513" s="31">
        <f ca="1">VLOOKUP($B513,OFFSET(units!$A$1,0,0,COUNTA(units!$A:$A),MATCH(D$1,units!$1:$1,0)-COLUMN(INDIRECT("character_id"))+1),MATCH(D$1,units!$1:$1,0)-COLUMN(INDIRECT("character_id"))+1,FALSE)</f>
        <v>4</v>
      </c>
      <c r="E513" s="31" t="str">
        <f ca="1">VLOOKUP($B513,OFFSET(units!$A$1,0,0,COUNTA(units!$A:$A),MATCH(E$1,units!$1:$1,0)-COLUMN(INDIRECT("character_id"))+1),MATCH(E$1,units!$1:$1,0)-COLUMN(INDIRECT("character_id"))+1,FALSE)</f>
        <v>PremiumSS</v>
      </c>
      <c r="F513" s="56">
        <v>116</v>
      </c>
      <c r="G513" s="31" t="str">
        <f ca="1">VLOOKUP($F513,OFFSET(units!$A$1,0,0,COUNTA(units!$A:$A),MATCH(G$1,units!$1:$1,0)-COLUMN(INDIRECT("character_id"))+1),MATCH(G$1,units!$1:$1,0)-COLUMN(INDIRECT("character_id"))+1,FALSE)</f>
        <v>雷のマッドハッター</v>
      </c>
      <c r="H513" s="26">
        <v>1</v>
      </c>
      <c r="I513" s="202">
        <v>1</v>
      </c>
    </row>
    <row r="514" spans="1:9" ht="21" customHeight="1" x14ac:dyDescent="0.15">
      <c r="A514" s="96" t="str">
        <f t="shared" ref="A514:A532" si="8">B514&amp;"_"&amp;F514</f>
        <v>442_115</v>
      </c>
      <c r="B514" s="56">
        <v>442</v>
      </c>
      <c r="C514" s="31" t="str">
        <f ca="1">VLOOKUP($B514,OFFSET(units!$A$1,0,0,COUNTA(units!$A:$A),MATCH(C$1,units!$1:$1,0)-COLUMN(INDIRECT("character_id"))+1),MATCH(C$1,units!$1:$1,0)-COLUMN(INDIRECT("character_id"))+1,FALSE)</f>
        <v>ブレイブリー・ライオン</v>
      </c>
      <c r="D514" s="31">
        <f ca="1">VLOOKUP($B514,OFFSET(units!$A$1,0,0,COUNTA(units!$A:$A),MATCH(D$1,units!$1:$1,0)-COLUMN(INDIRECT("character_id"))+1),MATCH(D$1,units!$1:$1,0)-COLUMN(INDIRECT("character_id"))+1,FALSE)</f>
        <v>4</v>
      </c>
      <c r="E514" s="31" t="str">
        <f ca="1">VLOOKUP($B514,OFFSET(units!$A$1,0,0,COUNTA(units!$A:$A),MATCH(E$1,units!$1:$1,0)-COLUMN(INDIRECT("character_id"))+1),MATCH(E$1,units!$1:$1,0)-COLUMN(INDIRECT("character_id"))+1,FALSE)</f>
        <v>PremiumSS</v>
      </c>
      <c r="F514" s="56">
        <v>115</v>
      </c>
      <c r="G514" s="31" t="str">
        <f ca="1">VLOOKUP($F514,OFFSET(units!$A$1,0,0,COUNTA(units!$A:$A),MATCH(G$1,units!$1:$1,0)-COLUMN(INDIRECT("character_id"))+1),MATCH(G$1,units!$1:$1,0)-COLUMN(INDIRECT("character_id"))+1,FALSE)</f>
        <v>イエローキャタップ</v>
      </c>
      <c r="H514" s="26">
        <v>2</v>
      </c>
      <c r="I514" s="202">
        <v>1</v>
      </c>
    </row>
    <row r="515" spans="1:9" ht="21" customHeight="1" x14ac:dyDescent="0.15">
      <c r="A515" s="96" t="str">
        <f t="shared" si="8"/>
        <v>442_284</v>
      </c>
      <c r="B515" s="56">
        <v>442</v>
      </c>
      <c r="C515" s="31" t="str">
        <f ca="1">VLOOKUP($B515,OFFSET(units!$A$1,0,0,COUNTA(units!$A:$A),MATCH(C$1,units!$1:$1,0)-COLUMN(INDIRECT("character_id"))+1),MATCH(C$1,units!$1:$1,0)-COLUMN(INDIRECT("character_id"))+1,FALSE)</f>
        <v>ブレイブリー・ライオン</v>
      </c>
      <c r="D515" s="31">
        <f ca="1">VLOOKUP($B515,OFFSET(units!$A$1,0,0,COUNTA(units!$A:$A),MATCH(D$1,units!$1:$1,0)-COLUMN(INDIRECT("character_id"))+1),MATCH(D$1,units!$1:$1,0)-COLUMN(INDIRECT("character_id"))+1,FALSE)</f>
        <v>4</v>
      </c>
      <c r="E515" s="31" t="str">
        <f ca="1">VLOOKUP($B515,OFFSET(units!$A$1,0,0,COUNTA(units!$A:$A),MATCH(E$1,units!$1:$1,0)-COLUMN(INDIRECT("character_id"))+1),MATCH(E$1,units!$1:$1,0)-COLUMN(INDIRECT("character_id"))+1,FALSE)</f>
        <v>PremiumSS</v>
      </c>
      <c r="F515" s="56">
        <v>284</v>
      </c>
      <c r="G515" s="31" t="str">
        <f ca="1">VLOOKUP($F515,OFFSET(units!$A$1,0,0,COUNTA(units!$A:$A),MATCH(G$1,units!$1:$1,0)-COLUMN(INDIRECT("character_id"))+1),MATCH(G$1,units!$1:$1,0)-COLUMN(INDIRECT("character_id"))+1,FALSE)</f>
        <v>フェルニゲシュ</v>
      </c>
      <c r="H515" s="26">
        <v>1</v>
      </c>
      <c r="I515" s="202">
        <v>1</v>
      </c>
    </row>
    <row r="516" spans="1:9" ht="21" customHeight="1" x14ac:dyDescent="0.15">
      <c r="A516" s="96" t="str">
        <f t="shared" si="8"/>
        <v>442_312</v>
      </c>
      <c r="B516" s="56">
        <v>442</v>
      </c>
      <c r="C516" s="31" t="str">
        <f ca="1">VLOOKUP($B516,OFFSET(units!$A$1,0,0,COUNTA(units!$A:$A),MATCH(C$1,units!$1:$1,0)-COLUMN(INDIRECT("character_id"))+1),MATCH(C$1,units!$1:$1,0)-COLUMN(INDIRECT("character_id"))+1,FALSE)</f>
        <v>ブレイブリー・ライオン</v>
      </c>
      <c r="D516" s="31">
        <f ca="1">VLOOKUP($B516,OFFSET(units!$A$1,0,0,COUNTA(units!$A:$A),MATCH(D$1,units!$1:$1,0)-COLUMN(INDIRECT("character_id"))+1),MATCH(D$1,units!$1:$1,0)-COLUMN(INDIRECT("character_id"))+1,FALSE)</f>
        <v>4</v>
      </c>
      <c r="E516" s="31" t="str">
        <f ca="1">VLOOKUP($B516,OFFSET(units!$A$1,0,0,COUNTA(units!$A:$A),MATCH(E$1,units!$1:$1,0)-COLUMN(INDIRECT("character_id"))+1),MATCH(E$1,units!$1:$1,0)-COLUMN(INDIRECT("character_id"))+1,FALSE)</f>
        <v>PremiumSS</v>
      </c>
      <c r="F516" s="56">
        <v>312</v>
      </c>
      <c r="G516" s="31" t="str">
        <f ca="1">VLOOKUP($F516,OFFSET(units!$A$1,0,0,COUNTA(units!$A:$A),MATCH(G$1,units!$1:$1,0)-COLUMN(INDIRECT("character_id"))+1),MATCH(G$1,units!$1:$1,0)-COLUMN(INDIRECT("character_id"))+1,FALSE)</f>
        <v>アノマロカリス</v>
      </c>
      <c r="H516" s="26">
        <v>1</v>
      </c>
      <c r="I516" s="202">
        <v>1</v>
      </c>
    </row>
    <row r="517" spans="1:9" x14ac:dyDescent="0.15">
      <c r="A517" s="96" t="str">
        <f t="shared" si="8"/>
        <v>424_116</v>
      </c>
      <c r="B517" s="59">
        <v>424</v>
      </c>
      <c r="C517" s="31" t="str">
        <f ca="1">VLOOKUP($B517,OFFSET(units!$A$1,0,0,COUNTA(units!$A:$A),MATCH(C$1,units!$1:$1,0)-COLUMN(INDIRECT("character_id"))+1),MATCH(C$1,units!$1:$1,0)-COLUMN(INDIRECT("character_id"))+1,FALSE)</f>
        <v>フック</v>
      </c>
      <c r="D517" s="31">
        <f ca="1">VLOOKUP($B517,OFFSET(units!$A$1,0,0,COUNTA(units!$A:$A),MATCH(D$1,units!$1:$1,0)-COLUMN(INDIRECT("character_id"))+1),MATCH(D$1,units!$1:$1,0)-COLUMN(INDIRECT("character_id"))+1,FALSE)</f>
        <v>4</v>
      </c>
      <c r="E517" s="31" t="str">
        <f ca="1">VLOOKUP($B517,OFFSET(units!$A$1,0,0,COUNTA(units!$A:$A),MATCH(E$1,units!$1:$1,0)-COLUMN(INDIRECT("character_id"))+1),MATCH(E$1,units!$1:$1,0)-COLUMN(INDIRECT("character_id"))+1,FALSE)</f>
        <v>Drop2N</v>
      </c>
      <c r="F517" s="56">
        <v>116</v>
      </c>
      <c r="G517" s="31" t="str">
        <f ca="1">VLOOKUP($F517,OFFSET(units!$A$1,0,0,COUNTA(units!$A:$A),MATCH(G$1,units!$1:$1,0)-COLUMN(INDIRECT("character_id"))+1),MATCH(G$1,units!$1:$1,0)-COLUMN(INDIRECT("character_id"))+1,FALSE)</f>
        <v>雷のマッドハッター</v>
      </c>
      <c r="H517" s="26">
        <v>1</v>
      </c>
      <c r="I517" s="202">
        <v>1</v>
      </c>
    </row>
    <row r="518" spans="1:9" x14ac:dyDescent="0.15">
      <c r="A518" s="96" t="str">
        <f t="shared" si="8"/>
        <v>424_115</v>
      </c>
      <c r="B518" s="59">
        <v>424</v>
      </c>
      <c r="C518" s="31" t="str">
        <f ca="1">VLOOKUP($B518,OFFSET(units!$A$1,0,0,COUNTA(units!$A:$A),MATCH(C$1,units!$1:$1,0)-COLUMN(INDIRECT("character_id"))+1),MATCH(C$1,units!$1:$1,0)-COLUMN(INDIRECT("character_id"))+1,FALSE)</f>
        <v>フック</v>
      </c>
      <c r="D518" s="31">
        <f ca="1">VLOOKUP($B518,OFFSET(units!$A$1,0,0,COUNTA(units!$A:$A),MATCH(D$1,units!$1:$1,0)-COLUMN(INDIRECT("character_id"))+1),MATCH(D$1,units!$1:$1,0)-COLUMN(INDIRECT("character_id"))+1,FALSE)</f>
        <v>4</v>
      </c>
      <c r="E518" s="31" t="str">
        <f ca="1">VLOOKUP($B518,OFFSET(units!$A$1,0,0,COUNTA(units!$A:$A),MATCH(E$1,units!$1:$1,0)-COLUMN(INDIRECT("character_id"))+1),MATCH(E$1,units!$1:$1,0)-COLUMN(INDIRECT("character_id"))+1,FALSE)</f>
        <v>Drop2N</v>
      </c>
      <c r="F518" s="56">
        <f>F517-1</f>
        <v>115</v>
      </c>
      <c r="G518" s="31" t="str">
        <f ca="1">VLOOKUP($F518,OFFSET(units!$A$1,0,0,COUNTA(units!$A:$A),MATCH(G$1,units!$1:$1,0)-COLUMN(INDIRECT("character_id"))+1),MATCH(G$1,units!$1:$1,0)-COLUMN(INDIRECT("character_id"))+1,FALSE)</f>
        <v>イエローキャタップ</v>
      </c>
      <c r="H518" s="26">
        <v>1</v>
      </c>
      <c r="I518" s="202">
        <v>1</v>
      </c>
    </row>
    <row r="519" spans="1:9" x14ac:dyDescent="0.15">
      <c r="A519" s="96" t="str">
        <f t="shared" si="8"/>
        <v>424_114</v>
      </c>
      <c r="B519" s="59">
        <v>424</v>
      </c>
      <c r="C519" s="31" t="str">
        <f ca="1">VLOOKUP($B519,OFFSET(units!$A$1,0,0,COUNTA(units!$A:$A),MATCH(C$1,units!$1:$1,0)-COLUMN(INDIRECT("character_id"))+1),MATCH(C$1,units!$1:$1,0)-COLUMN(INDIRECT("character_id"))+1,FALSE)</f>
        <v>フック</v>
      </c>
      <c r="D519" s="31">
        <f ca="1">VLOOKUP($B519,OFFSET(units!$A$1,0,0,COUNTA(units!$A:$A),MATCH(D$1,units!$1:$1,0)-COLUMN(INDIRECT("character_id"))+1),MATCH(D$1,units!$1:$1,0)-COLUMN(INDIRECT("character_id"))+1,FALSE)</f>
        <v>4</v>
      </c>
      <c r="E519" s="31" t="str">
        <f ca="1">VLOOKUP($B519,OFFSET(units!$A$1,0,0,COUNTA(units!$A:$A),MATCH(E$1,units!$1:$1,0)-COLUMN(INDIRECT("character_id"))+1),MATCH(E$1,units!$1:$1,0)-COLUMN(INDIRECT("character_id"))+1,FALSE)</f>
        <v>Drop2N</v>
      </c>
      <c r="F519" s="56">
        <f>F518-1</f>
        <v>114</v>
      </c>
      <c r="G519" s="31" t="str">
        <f ca="1">VLOOKUP($F519,OFFSET(units!$A$1,0,0,COUNTA(units!$A:$A),MATCH(G$1,units!$1:$1,0)-COLUMN(INDIRECT("character_id"))+1),MATCH(G$1,units!$1:$1,0)-COLUMN(INDIRECT("character_id"))+1,FALSE)</f>
        <v>イエローラビット</v>
      </c>
      <c r="H519" s="26">
        <v>2</v>
      </c>
      <c r="I519" s="202">
        <v>1</v>
      </c>
    </row>
    <row r="520" spans="1:9" x14ac:dyDescent="0.15">
      <c r="A520" s="96" t="str">
        <f t="shared" si="8"/>
        <v>424_113</v>
      </c>
      <c r="B520" s="59">
        <v>424</v>
      </c>
      <c r="C520" s="31" t="str">
        <f ca="1">VLOOKUP($B520,OFFSET(units!$A$1,0,0,COUNTA(units!$A:$A),MATCH(C$1,units!$1:$1,0)-COLUMN(INDIRECT("character_id"))+1),MATCH(C$1,units!$1:$1,0)-COLUMN(INDIRECT("character_id"))+1,FALSE)</f>
        <v>フック</v>
      </c>
      <c r="D520" s="31">
        <f ca="1">VLOOKUP($B520,OFFSET(units!$A$1,0,0,COUNTA(units!$A:$A),MATCH(D$1,units!$1:$1,0)-COLUMN(INDIRECT("character_id"))+1),MATCH(D$1,units!$1:$1,0)-COLUMN(INDIRECT("character_id"))+1,FALSE)</f>
        <v>4</v>
      </c>
      <c r="E520" s="31" t="str">
        <f ca="1">VLOOKUP($B520,OFFSET(units!$A$1,0,0,COUNTA(units!$A:$A),MATCH(E$1,units!$1:$1,0)-COLUMN(INDIRECT("character_id"))+1),MATCH(E$1,units!$1:$1,0)-COLUMN(INDIRECT("character_id"))+1,FALSE)</f>
        <v>Drop2N</v>
      </c>
      <c r="F520" s="56">
        <f>F519-1</f>
        <v>113</v>
      </c>
      <c r="G520" s="31" t="str">
        <f ca="1">VLOOKUP($F520,OFFSET(units!$A$1,0,0,COUNTA(units!$A:$A),MATCH(G$1,units!$1:$1,0)-COLUMN(INDIRECT("character_id"))+1),MATCH(G$1,units!$1:$1,0)-COLUMN(INDIRECT("character_id"))+1,FALSE)</f>
        <v>イエローチェシャ</v>
      </c>
      <c r="H520" s="26">
        <v>1</v>
      </c>
      <c r="I520" s="202">
        <v>1</v>
      </c>
    </row>
    <row r="521" spans="1:9" x14ac:dyDescent="0.15">
      <c r="A521" s="96" t="str">
        <f t="shared" si="8"/>
        <v>432_278</v>
      </c>
      <c r="B521" s="59">
        <v>432</v>
      </c>
      <c r="C521" s="31" t="str">
        <f ca="1">VLOOKUP($B521,OFFSET(units!$A$1,0,0,COUNTA(units!$A:$A),MATCH(C$1,units!$1:$1,0)-COLUMN(INDIRECT("character_id"))+1),MATCH(C$1,units!$1:$1,0)-COLUMN(INDIRECT("character_id"))+1,FALSE)</f>
        <v>麒麟</v>
      </c>
      <c r="D521" s="31">
        <f ca="1">VLOOKUP($B521,OFFSET(units!$A$1,0,0,COUNTA(units!$A:$A),MATCH(D$1,units!$1:$1,0)-COLUMN(INDIRECT("character_id"))+1),MATCH(D$1,units!$1:$1,0)-COLUMN(INDIRECT("character_id"))+1,FALSE)</f>
        <v>4</v>
      </c>
      <c r="E521" s="31" t="str">
        <f ca="1">VLOOKUP($B521,OFFSET(units!$A$1,0,0,COUNTA(units!$A:$A),MATCH(E$1,units!$1:$1,0)-COLUMN(INDIRECT("character_id"))+1),MATCH(E$1,units!$1:$1,0)-COLUMN(INDIRECT("character_id"))+1,FALSE)</f>
        <v>DropWizSS</v>
      </c>
      <c r="F521" s="26">
        <v>278</v>
      </c>
      <c r="G521" s="31" t="str">
        <f ca="1">VLOOKUP($F521,OFFSET(units!$A$1,0,0,COUNTA(units!$A:$A),MATCH(G$1,units!$1:$1,0)-COLUMN(INDIRECT("character_id"))+1),MATCH(G$1,units!$1:$1,0)-COLUMN(INDIRECT("character_id"))+1,FALSE)</f>
        <v>アマテラス</v>
      </c>
      <c r="H521" s="26">
        <v>1</v>
      </c>
      <c r="I521" s="202">
        <v>1</v>
      </c>
    </row>
    <row r="522" spans="1:9" x14ac:dyDescent="0.15">
      <c r="A522" s="96" t="str">
        <f t="shared" si="8"/>
        <v>432_296</v>
      </c>
      <c r="B522" s="59">
        <v>432</v>
      </c>
      <c r="C522" s="31" t="str">
        <f ca="1">VLOOKUP($B522,OFFSET(units!$A$1,0,0,COUNTA(units!$A:$A),MATCH(C$1,units!$1:$1,0)-COLUMN(INDIRECT("character_id"))+1),MATCH(C$1,units!$1:$1,0)-COLUMN(INDIRECT("character_id"))+1,FALSE)</f>
        <v>麒麟</v>
      </c>
      <c r="D522" s="31">
        <f ca="1">VLOOKUP($B522,OFFSET(units!$A$1,0,0,COUNTA(units!$A:$A),MATCH(D$1,units!$1:$1,0)-COLUMN(INDIRECT("character_id"))+1),MATCH(D$1,units!$1:$1,0)-COLUMN(INDIRECT("character_id"))+1,FALSE)</f>
        <v>4</v>
      </c>
      <c r="E522" s="31" t="str">
        <f ca="1">VLOOKUP($B522,OFFSET(units!$A$1,0,0,COUNTA(units!$A:$A),MATCH(E$1,units!$1:$1,0)-COLUMN(INDIRECT("character_id"))+1),MATCH(E$1,units!$1:$1,0)-COLUMN(INDIRECT("character_id"))+1,FALSE)</f>
        <v>DropWizSS</v>
      </c>
      <c r="F522" s="26">
        <v>296</v>
      </c>
      <c r="G522" s="31" t="str">
        <f ca="1">VLOOKUP($F522,OFFSET(units!$A$1,0,0,COUNTA(units!$A:$A),MATCH(G$1,units!$1:$1,0)-COLUMN(INDIRECT("character_id"))+1),MATCH(G$1,units!$1:$1,0)-COLUMN(INDIRECT("character_id"))+1,FALSE)</f>
        <v>アザゼル</v>
      </c>
      <c r="H522" s="26">
        <v>1</v>
      </c>
      <c r="I522" s="202">
        <v>1</v>
      </c>
    </row>
    <row r="523" spans="1:9" x14ac:dyDescent="0.15">
      <c r="A523" s="96" t="str">
        <f t="shared" si="8"/>
        <v>432_314</v>
      </c>
      <c r="B523" s="59">
        <v>432</v>
      </c>
      <c r="C523" s="31" t="str">
        <f ca="1">VLOOKUP($B523,OFFSET(units!$A$1,0,0,COUNTA(units!$A:$A),MATCH(C$1,units!$1:$1,0)-COLUMN(INDIRECT("character_id"))+1),MATCH(C$1,units!$1:$1,0)-COLUMN(INDIRECT("character_id"))+1,FALSE)</f>
        <v>麒麟</v>
      </c>
      <c r="D523" s="31">
        <f ca="1">VLOOKUP($B523,OFFSET(units!$A$1,0,0,COUNTA(units!$A:$A),MATCH(D$1,units!$1:$1,0)-COLUMN(INDIRECT("character_id"))+1),MATCH(D$1,units!$1:$1,0)-COLUMN(INDIRECT("character_id"))+1,FALSE)</f>
        <v>4</v>
      </c>
      <c r="E523" s="31" t="str">
        <f ca="1">VLOOKUP($B523,OFFSET(units!$A$1,0,0,COUNTA(units!$A:$A),MATCH(E$1,units!$1:$1,0)-COLUMN(INDIRECT("character_id"))+1),MATCH(E$1,units!$1:$1,0)-COLUMN(INDIRECT("character_id"))+1,FALSE)</f>
        <v>DropWizSS</v>
      </c>
      <c r="F523" s="26">
        <v>314</v>
      </c>
      <c r="G523" s="31" t="str">
        <f ca="1">VLOOKUP($F523,OFFSET(units!$A$1,0,0,COUNTA(units!$A:$A),MATCH(G$1,units!$1:$1,0)-COLUMN(INDIRECT("character_id"))+1),MATCH(G$1,units!$1:$1,0)-COLUMN(INDIRECT("character_id"))+1,FALSE)</f>
        <v>ジャンヌ</v>
      </c>
      <c r="H523" s="26">
        <v>1</v>
      </c>
      <c r="I523" s="202">
        <v>1</v>
      </c>
    </row>
    <row r="524" spans="1:9" x14ac:dyDescent="0.15">
      <c r="A524" s="96" t="str">
        <f t="shared" si="8"/>
        <v>432_426</v>
      </c>
      <c r="B524" s="59">
        <v>432</v>
      </c>
      <c r="C524" s="31" t="str">
        <f ca="1">VLOOKUP($B524,OFFSET(units!$A$1,0,0,COUNTA(units!$A:$A),MATCH(C$1,units!$1:$1,0)-COLUMN(INDIRECT("character_id"))+1),MATCH(C$1,units!$1:$1,0)-COLUMN(INDIRECT("character_id"))+1,FALSE)</f>
        <v>麒麟</v>
      </c>
      <c r="D524" s="31">
        <f ca="1">VLOOKUP($B524,OFFSET(units!$A$1,0,0,COUNTA(units!$A:$A),MATCH(D$1,units!$1:$1,0)-COLUMN(INDIRECT("character_id"))+1),MATCH(D$1,units!$1:$1,0)-COLUMN(INDIRECT("character_id"))+1,FALSE)</f>
        <v>4</v>
      </c>
      <c r="E524" s="31" t="str">
        <f ca="1">VLOOKUP($B524,OFFSET(units!$A$1,0,0,COUNTA(units!$A:$A),MATCH(E$1,units!$1:$1,0)-COLUMN(INDIRECT("character_id"))+1),MATCH(E$1,units!$1:$1,0)-COLUMN(INDIRECT("character_id"))+1,FALSE)</f>
        <v>DropWizSS</v>
      </c>
      <c r="F524" s="26">
        <v>426</v>
      </c>
      <c r="G524" s="31" t="str">
        <f ca="1">VLOOKUP($F524,OFFSET(units!$A$1,0,0,COUNTA(units!$A:$A),MATCH(G$1,units!$1:$1,0)-COLUMN(INDIRECT("character_id"))+1),MATCH(G$1,units!$1:$1,0)-COLUMN(INDIRECT("character_id"))+1,FALSE)</f>
        <v>宮本武蔵</v>
      </c>
      <c r="H524" s="26">
        <v>1</v>
      </c>
      <c r="I524" s="202">
        <v>1</v>
      </c>
    </row>
    <row r="525" spans="1:9" x14ac:dyDescent="0.15">
      <c r="A525" s="96" t="str">
        <f t="shared" si="8"/>
        <v>370_102</v>
      </c>
      <c r="B525" s="59">
        <v>370</v>
      </c>
      <c r="C525" s="31" t="str">
        <f ca="1">VLOOKUP($B525,OFFSET(units!$A$1,0,0,COUNTA(units!$A:$A),MATCH(C$1,units!$1:$1,0)-COLUMN(INDIRECT("character_id"))+1),MATCH(C$1,units!$1:$1,0)-COLUMN(INDIRECT("character_id"))+1,FALSE)</f>
        <v>タイチ</v>
      </c>
      <c r="D525" s="31">
        <f ca="1">VLOOKUP($B525,OFFSET(units!$A$1,0,0,COUNTA(units!$A:$A),MATCH(D$1,units!$1:$1,0)-COLUMN(INDIRECT("character_id"))+1),MATCH(D$1,units!$1:$1,0)-COLUMN(INDIRECT("character_id"))+1,FALSE)</f>
        <v>2</v>
      </c>
      <c r="E525" s="31" t="str">
        <f ca="1">VLOOKUP($B525,OFFSET(units!$A$1,0,0,COUNTA(units!$A:$A),MATCH(E$1,units!$1:$1,0)-COLUMN(INDIRECT("character_id"))+1),MATCH(E$1,units!$1:$1,0)-COLUMN(INDIRECT("character_id"))+1,FALSE)</f>
        <v>Drop1S</v>
      </c>
      <c r="F525" s="56">
        <v>102</v>
      </c>
      <c r="G525" s="31" t="str">
        <f ca="1">VLOOKUP($F525,OFFSET(units!$A$1,0,0,COUNTA(units!$A:$A),MATCH(G$1,units!$1:$1,0)-COLUMN(INDIRECT("character_id"))+1),MATCH(G$1,units!$1:$1,0)-COLUMN(INDIRECT("character_id"))+1,FALSE)</f>
        <v>レッドラビット</v>
      </c>
      <c r="H525" s="26">
        <v>2</v>
      </c>
      <c r="I525" s="202">
        <v>1</v>
      </c>
    </row>
    <row r="526" spans="1:9" x14ac:dyDescent="0.15">
      <c r="A526" s="96" t="str">
        <f t="shared" si="8"/>
        <v>370_101</v>
      </c>
      <c r="B526" s="59">
        <v>370</v>
      </c>
      <c r="C526" s="31" t="str">
        <f ca="1">VLOOKUP($B526,OFFSET(units!$A$1,0,0,COUNTA(units!$A:$A),MATCH(C$1,units!$1:$1,0)-COLUMN(INDIRECT("character_id"))+1),MATCH(C$1,units!$1:$1,0)-COLUMN(INDIRECT("character_id"))+1,FALSE)</f>
        <v>タイチ</v>
      </c>
      <c r="D526" s="31">
        <f ca="1">VLOOKUP($B526,OFFSET(units!$A$1,0,0,COUNTA(units!$A:$A),MATCH(D$1,units!$1:$1,0)-COLUMN(INDIRECT("character_id"))+1),MATCH(D$1,units!$1:$1,0)-COLUMN(INDIRECT("character_id"))+1,FALSE)</f>
        <v>2</v>
      </c>
      <c r="E526" s="31" t="str">
        <f ca="1">VLOOKUP($B526,OFFSET(units!$A$1,0,0,COUNTA(units!$A:$A),MATCH(E$1,units!$1:$1,0)-COLUMN(INDIRECT("character_id"))+1),MATCH(E$1,units!$1:$1,0)-COLUMN(INDIRECT("character_id"))+1,FALSE)</f>
        <v>Drop1S</v>
      </c>
      <c r="F526" s="56">
        <v>101</v>
      </c>
      <c r="G526" s="31" t="str">
        <f ca="1">VLOOKUP($F526,OFFSET(units!$A$1,0,0,COUNTA(units!$A:$A),MATCH(G$1,units!$1:$1,0)-COLUMN(INDIRECT("character_id"))+1),MATCH(G$1,units!$1:$1,0)-COLUMN(INDIRECT("character_id"))+1,FALSE)</f>
        <v>レッドチェシャ</v>
      </c>
      <c r="H526" s="26">
        <v>1</v>
      </c>
      <c r="I526" s="202">
        <v>1</v>
      </c>
    </row>
    <row r="527" spans="1:9" x14ac:dyDescent="0.15">
      <c r="A527" s="96" t="str">
        <f t="shared" si="8"/>
        <v>372_106</v>
      </c>
      <c r="B527" s="59">
        <v>372</v>
      </c>
      <c r="C527" s="31" t="str">
        <f ca="1">VLOOKUP($B527,OFFSET(units!$A$1,0,0,COUNTA(units!$A:$A),MATCH(C$1,units!$1:$1,0)-COLUMN(INDIRECT("character_id"))+1),MATCH(C$1,units!$1:$1,0)-COLUMN(INDIRECT("character_id"))+1,FALSE)</f>
        <v>バショー</v>
      </c>
      <c r="D527" s="31">
        <f ca="1">VLOOKUP($B527,OFFSET(units!$A$1,0,0,COUNTA(units!$A:$A),MATCH(D$1,units!$1:$1,0)-COLUMN(INDIRECT("character_id"))+1),MATCH(D$1,units!$1:$1,0)-COLUMN(INDIRECT("character_id"))+1,FALSE)</f>
        <v>2</v>
      </c>
      <c r="E527" s="31" t="str">
        <f ca="1">VLOOKUP($B527,OFFSET(units!$A$1,0,0,COUNTA(units!$A:$A),MATCH(E$1,units!$1:$1,0)-COLUMN(INDIRECT("character_id"))+1),MATCH(E$1,units!$1:$1,0)-COLUMN(INDIRECT("character_id"))+1,FALSE)</f>
        <v>Drop1S</v>
      </c>
      <c r="F527" s="56">
        <v>106</v>
      </c>
      <c r="G527" s="31" t="str">
        <f ca="1">VLOOKUP($F527,OFFSET(units!$A$1,0,0,COUNTA(units!$A:$A),MATCH(G$1,units!$1:$1,0)-COLUMN(INDIRECT("character_id"))+1),MATCH(G$1,units!$1:$1,0)-COLUMN(INDIRECT("character_id"))+1,FALSE)</f>
        <v>グリーンラビット</v>
      </c>
      <c r="H527" s="26">
        <v>2</v>
      </c>
      <c r="I527" s="202">
        <v>1</v>
      </c>
    </row>
    <row r="528" spans="1:9" x14ac:dyDescent="0.15">
      <c r="A528" s="96" t="str">
        <f t="shared" si="8"/>
        <v>372_105</v>
      </c>
      <c r="B528" s="59">
        <v>372</v>
      </c>
      <c r="C528" s="31" t="str">
        <f ca="1">VLOOKUP($B528,OFFSET(units!$A$1,0,0,COUNTA(units!$A:$A),MATCH(C$1,units!$1:$1,0)-COLUMN(INDIRECT("character_id"))+1),MATCH(C$1,units!$1:$1,0)-COLUMN(INDIRECT("character_id"))+1,FALSE)</f>
        <v>バショー</v>
      </c>
      <c r="D528" s="31">
        <f ca="1">VLOOKUP($B528,OFFSET(units!$A$1,0,0,COUNTA(units!$A:$A),MATCH(D$1,units!$1:$1,0)-COLUMN(INDIRECT("character_id"))+1),MATCH(D$1,units!$1:$1,0)-COLUMN(INDIRECT("character_id"))+1,FALSE)</f>
        <v>2</v>
      </c>
      <c r="E528" s="31" t="str">
        <f ca="1">VLOOKUP($B528,OFFSET(units!$A$1,0,0,COUNTA(units!$A:$A),MATCH(E$1,units!$1:$1,0)-COLUMN(INDIRECT("character_id"))+1),MATCH(E$1,units!$1:$1,0)-COLUMN(INDIRECT("character_id"))+1,FALSE)</f>
        <v>Drop1S</v>
      </c>
      <c r="F528" s="56">
        <v>105</v>
      </c>
      <c r="G528" s="31" t="str">
        <f ca="1">VLOOKUP($F528,OFFSET(units!$A$1,0,0,COUNTA(units!$A:$A),MATCH(G$1,units!$1:$1,0)-COLUMN(INDIRECT("character_id"))+1),MATCH(G$1,units!$1:$1,0)-COLUMN(INDIRECT("character_id"))+1,FALSE)</f>
        <v>グリーンチェシャ</v>
      </c>
      <c r="H528" s="26">
        <v>1</v>
      </c>
      <c r="I528" s="202">
        <v>1</v>
      </c>
    </row>
    <row r="529" spans="1:9" x14ac:dyDescent="0.15">
      <c r="A529" s="96" t="str">
        <f t="shared" si="8"/>
        <v>374_110</v>
      </c>
      <c r="B529" s="59">
        <v>374</v>
      </c>
      <c r="C529" s="31" t="str">
        <f ca="1">VLOOKUP($B529,OFFSET(units!$A$1,0,0,COUNTA(units!$A:$A),MATCH(C$1,units!$1:$1,0)-COLUMN(INDIRECT("character_id"))+1),MATCH(C$1,units!$1:$1,0)-COLUMN(INDIRECT("character_id"))+1,FALSE)</f>
        <v>影丸</v>
      </c>
      <c r="D529" s="31">
        <f ca="1">VLOOKUP($B529,OFFSET(units!$A$1,0,0,COUNTA(units!$A:$A),MATCH(D$1,units!$1:$1,0)-COLUMN(INDIRECT("character_id"))+1),MATCH(D$1,units!$1:$1,0)-COLUMN(INDIRECT("character_id"))+1,FALSE)</f>
        <v>2</v>
      </c>
      <c r="E529" s="31" t="str">
        <f ca="1">VLOOKUP($B529,OFFSET(units!$A$1,0,0,COUNTA(units!$A:$A),MATCH(E$1,units!$1:$1,0)-COLUMN(INDIRECT("character_id"))+1),MATCH(E$1,units!$1:$1,0)-COLUMN(INDIRECT("character_id"))+1,FALSE)</f>
        <v>Drop1S</v>
      </c>
      <c r="F529" s="56">
        <v>110</v>
      </c>
      <c r="G529" s="31" t="str">
        <f ca="1">VLOOKUP($F529,OFFSET(units!$A$1,0,0,COUNTA(units!$A:$A),MATCH(G$1,units!$1:$1,0)-COLUMN(INDIRECT("character_id"))+1),MATCH(G$1,units!$1:$1,0)-COLUMN(INDIRECT("character_id"))+1,FALSE)</f>
        <v>ブルーラビット</v>
      </c>
      <c r="H529" s="26">
        <v>2</v>
      </c>
      <c r="I529" s="202">
        <v>1</v>
      </c>
    </row>
    <row r="530" spans="1:9" x14ac:dyDescent="0.15">
      <c r="A530" s="96" t="str">
        <f t="shared" si="8"/>
        <v>374_109</v>
      </c>
      <c r="B530" s="59">
        <v>374</v>
      </c>
      <c r="C530" s="31" t="str">
        <f ca="1">VLOOKUP($B530,OFFSET(units!$A$1,0,0,COUNTA(units!$A:$A),MATCH(C$1,units!$1:$1,0)-COLUMN(INDIRECT("character_id"))+1),MATCH(C$1,units!$1:$1,0)-COLUMN(INDIRECT("character_id"))+1,FALSE)</f>
        <v>影丸</v>
      </c>
      <c r="D530" s="31">
        <f ca="1">VLOOKUP($B530,OFFSET(units!$A$1,0,0,COUNTA(units!$A:$A),MATCH(D$1,units!$1:$1,0)-COLUMN(INDIRECT("character_id"))+1),MATCH(D$1,units!$1:$1,0)-COLUMN(INDIRECT("character_id"))+1,FALSE)</f>
        <v>2</v>
      </c>
      <c r="E530" s="31" t="str">
        <f ca="1">VLOOKUP($B530,OFFSET(units!$A$1,0,0,COUNTA(units!$A:$A),MATCH(E$1,units!$1:$1,0)-COLUMN(INDIRECT("character_id"))+1),MATCH(E$1,units!$1:$1,0)-COLUMN(INDIRECT("character_id"))+1,FALSE)</f>
        <v>Drop1S</v>
      </c>
      <c r="F530" s="56">
        <v>109</v>
      </c>
      <c r="G530" s="31" t="str">
        <f ca="1">VLOOKUP($F530,OFFSET(units!$A$1,0,0,COUNTA(units!$A:$A),MATCH(G$1,units!$1:$1,0)-COLUMN(INDIRECT("character_id"))+1),MATCH(G$1,units!$1:$1,0)-COLUMN(INDIRECT("character_id"))+1,FALSE)</f>
        <v>ブルーチェシャ</v>
      </c>
      <c r="H530" s="26">
        <v>1</v>
      </c>
      <c r="I530" s="202">
        <v>1</v>
      </c>
    </row>
    <row r="531" spans="1:9" x14ac:dyDescent="0.15">
      <c r="A531" s="96" t="str">
        <f t="shared" si="8"/>
        <v>412_114</v>
      </c>
      <c r="B531" s="59">
        <v>412</v>
      </c>
      <c r="C531" s="31" t="str">
        <f ca="1">VLOOKUP($B531,OFFSET(units!$A$1,0,0,COUNTA(units!$A:$A),MATCH(C$1,units!$1:$1,0)-COLUMN(INDIRECT("character_id"))+1),MATCH(C$1,units!$1:$1,0)-COLUMN(INDIRECT("character_id"))+1,FALSE)</f>
        <v>コウネン</v>
      </c>
      <c r="D531" s="31">
        <f ca="1">VLOOKUP($B531,OFFSET(units!$A$1,0,0,COUNTA(units!$A:$A),MATCH(D$1,units!$1:$1,0)-COLUMN(INDIRECT("character_id"))+1),MATCH(D$1,units!$1:$1,0)-COLUMN(INDIRECT("character_id"))+1,FALSE)</f>
        <v>2</v>
      </c>
      <c r="E531" s="31" t="str">
        <f ca="1">VLOOKUP($B531,OFFSET(units!$A$1,0,0,COUNTA(units!$A:$A),MATCH(E$1,units!$1:$1,0)-COLUMN(INDIRECT("character_id"))+1),MATCH(E$1,units!$1:$1,0)-COLUMN(INDIRECT("character_id"))+1,FALSE)</f>
        <v>Drop1S</v>
      </c>
      <c r="F531" s="56">
        <v>114</v>
      </c>
      <c r="G531" s="31" t="str">
        <f ca="1">VLOOKUP($F531,OFFSET(units!$A$1,0,0,COUNTA(units!$A:$A),MATCH(G$1,units!$1:$1,0)-COLUMN(INDIRECT("character_id"))+1),MATCH(G$1,units!$1:$1,0)-COLUMN(INDIRECT("character_id"))+1,FALSE)</f>
        <v>イエローラビット</v>
      </c>
      <c r="H531" s="26">
        <v>2</v>
      </c>
      <c r="I531" s="202">
        <v>1</v>
      </c>
    </row>
    <row r="532" spans="1:9" x14ac:dyDescent="0.15">
      <c r="A532" s="96" t="str">
        <f t="shared" si="8"/>
        <v>412_113</v>
      </c>
      <c r="B532" s="59">
        <v>412</v>
      </c>
      <c r="C532" s="31" t="str">
        <f ca="1">VLOOKUP($B532,OFFSET(units!$A$1,0,0,COUNTA(units!$A:$A),MATCH(C$1,units!$1:$1,0)-COLUMN(INDIRECT("character_id"))+1),MATCH(C$1,units!$1:$1,0)-COLUMN(INDIRECT("character_id"))+1,FALSE)</f>
        <v>コウネン</v>
      </c>
      <c r="D532" s="31">
        <f ca="1">VLOOKUP($B532,OFFSET(units!$A$1,0,0,COUNTA(units!$A:$A),MATCH(D$1,units!$1:$1,0)-COLUMN(INDIRECT("character_id"))+1),MATCH(D$1,units!$1:$1,0)-COLUMN(INDIRECT("character_id"))+1,FALSE)</f>
        <v>2</v>
      </c>
      <c r="E532" s="31" t="str">
        <f ca="1">VLOOKUP($B532,OFFSET(units!$A$1,0,0,COUNTA(units!$A:$A),MATCH(E$1,units!$1:$1,0)-COLUMN(INDIRECT("character_id"))+1),MATCH(E$1,units!$1:$1,0)-COLUMN(INDIRECT("character_id"))+1,FALSE)</f>
        <v>Drop1S</v>
      </c>
      <c r="F532" s="56">
        <v>113</v>
      </c>
      <c r="G532" s="31" t="str">
        <f ca="1">VLOOKUP($F532,OFFSET(units!$A$1,0,0,COUNTA(units!$A:$A),MATCH(G$1,units!$1:$1,0)-COLUMN(INDIRECT("character_id"))+1),MATCH(G$1,units!$1:$1,0)-COLUMN(INDIRECT("character_id"))+1,FALSE)</f>
        <v>イエローチェシャ</v>
      </c>
      <c r="H532" s="26">
        <v>1</v>
      </c>
      <c r="I532" s="202">
        <v>1</v>
      </c>
    </row>
    <row r="533" spans="1:9" x14ac:dyDescent="0.15">
      <c r="A533" s="96" t="str">
        <f t="shared" ref="A533" si="9">B533&amp;"_"&amp;F533</f>
        <v>332_336</v>
      </c>
      <c r="B533" s="59">
        <v>332</v>
      </c>
      <c r="C533" s="31" t="str">
        <f ca="1">VLOOKUP($B533,OFFSET(units!$A$1,0,0,COUNTA(units!$A:$A),MATCH(C$1,units!$1:$1,0)-COLUMN(INDIRECT("character_id"))+1),MATCH(C$1,units!$1:$1,0)-COLUMN(INDIRECT("character_id"))+1,FALSE)</f>
        <v>炎のメタルピヨピヨ</v>
      </c>
      <c r="D533" s="31">
        <f ca="1">VLOOKUP($B533,OFFSET(units!$A$1,0,0,COUNTA(units!$A:$A),MATCH(D$1,units!$1:$1,0)-COLUMN(INDIRECT("character_id"))+1),MATCH(D$1,units!$1:$1,0)-COLUMN(INDIRECT("character_id"))+1,FALSE)</f>
        <v>3</v>
      </c>
      <c r="E533" s="31" t="str">
        <f ca="1">VLOOKUP($B533,OFFSET(units!$A$1,0,0,COUNTA(units!$A:$A),MATCH(E$1,units!$1:$1,0)-COLUMN(INDIRECT("character_id"))+1),MATCH(E$1,units!$1:$1,0)-COLUMN(INDIRECT("character_id"))+1,FALSE)</f>
        <v>Material</v>
      </c>
      <c r="F533" s="59">
        <v>336</v>
      </c>
      <c r="G533" s="31" t="str">
        <f ca="1">VLOOKUP($F533,OFFSET(units!$A$1,0,0,COUNTA(units!$A:$A),MATCH(G$1,units!$1:$1,0)-COLUMN(INDIRECT("character_id"))+1),MATCH(G$1,units!$1:$1,0)-COLUMN(INDIRECT("character_id"))+1,FALSE)</f>
        <v>森のメタルピヨピヨ</v>
      </c>
      <c r="H533" s="26">
        <v>1</v>
      </c>
      <c r="I533" s="202">
        <v>1</v>
      </c>
    </row>
    <row r="534" spans="1:9" x14ac:dyDescent="0.15">
      <c r="A534" s="96" t="str">
        <f t="shared" ref="A534" si="10">B534&amp;"_"&amp;F534</f>
        <v>336_344</v>
      </c>
      <c r="B534" s="59">
        <v>336</v>
      </c>
      <c r="C534" s="31" t="str">
        <f ca="1">VLOOKUP($B534,OFFSET(units!$A$1,0,0,COUNTA(units!$A:$A),MATCH(C$1,units!$1:$1,0)-COLUMN(INDIRECT("character_id"))+1),MATCH(C$1,units!$1:$1,0)-COLUMN(INDIRECT("character_id"))+1,FALSE)</f>
        <v>森のメタルピヨピヨ</v>
      </c>
      <c r="D534" s="31">
        <f ca="1">VLOOKUP($B534,OFFSET(units!$A$1,0,0,COUNTA(units!$A:$A),MATCH(D$1,units!$1:$1,0)-COLUMN(INDIRECT("character_id"))+1),MATCH(D$1,units!$1:$1,0)-COLUMN(INDIRECT("character_id"))+1,FALSE)</f>
        <v>3</v>
      </c>
      <c r="E534" s="31" t="str">
        <f ca="1">VLOOKUP($B534,OFFSET(units!$A$1,0,0,COUNTA(units!$A:$A),MATCH(E$1,units!$1:$1,0)-COLUMN(INDIRECT("character_id"))+1),MATCH(E$1,units!$1:$1,0)-COLUMN(INDIRECT("character_id"))+1,FALSE)</f>
        <v>Material</v>
      </c>
      <c r="F534" s="59">
        <v>344</v>
      </c>
      <c r="G534" s="31" t="str">
        <f ca="1">VLOOKUP($F534,OFFSET(units!$A$1,0,0,COUNTA(units!$A:$A),MATCH(G$1,units!$1:$1,0)-COLUMN(INDIRECT("character_id"))+1),MATCH(G$1,units!$1:$1,0)-COLUMN(INDIRECT("character_id"))+1,FALSE)</f>
        <v>雷のメタルピヨピヨ</v>
      </c>
      <c r="H534" s="26">
        <v>1</v>
      </c>
      <c r="I534" s="202">
        <v>1</v>
      </c>
    </row>
    <row r="535" spans="1:9" x14ac:dyDescent="0.15">
      <c r="A535" s="96" t="str">
        <f t="shared" ref="A535" si="11">B535&amp;"_"&amp;F535</f>
        <v>340_332</v>
      </c>
      <c r="B535" s="59">
        <v>340</v>
      </c>
      <c r="C535" s="31" t="str">
        <f ca="1">VLOOKUP($B535,OFFSET(units!$A$1,0,0,COUNTA(units!$A:$A),MATCH(C$1,units!$1:$1,0)-COLUMN(INDIRECT("character_id"))+1),MATCH(C$1,units!$1:$1,0)-COLUMN(INDIRECT("character_id"))+1,FALSE)</f>
        <v>水のメタルピヨピヨ</v>
      </c>
      <c r="D535" s="31">
        <f ca="1">VLOOKUP($B535,OFFSET(units!$A$1,0,0,COUNTA(units!$A:$A),MATCH(D$1,units!$1:$1,0)-COLUMN(INDIRECT("character_id"))+1),MATCH(D$1,units!$1:$1,0)-COLUMN(INDIRECT("character_id"))+1,FALSE)</f>
        <v>3</v>
      </c>
      <c r="E535" s="31" t="str">
        <f ca="1">VLOOKUP($B535,OFFSET(units!$A$1,0,0,COUNTA(units!$A:$A),MATCH(E$1,units!$1:$1,0)-COLUMN(INDIRECT("character_id"))+1),MATCH(E$1,units!$1:$1,0)-COLUMN(INDIRECT("character_id"))+1,FALSE)</f>
        <v>Material</v>
      </c>
      <c r="F535" s="59">
        <v>332</v>
      </c>
      <c r="G535" s="31" t="str">
        <f ca="1">VLOOKUP($F535,OFFSET(units!$A$1,0,0,COUNTA(units!$A:$A),MATCH(G$1,units!$1:$1,0)-COLUMN(INDIRECT("character_id"))+1),MATCH(G$1,units!$1:$1,0)-COLUMN(INDIRECT("character_id"))+1,FALSE)</f>
        <v>炎のメタルピヨピヨ</v>
      </c>
      <c r="H535" s="26">
        <v>1</v>
      </c>
      <c r="I535" s="202">
        <v>1</v>
      </c>
    </row>
    <row r="536" spans="1:9" x14ac:dyDescent="0.15">
      <c r="A536" s="96" t="str">
        <f t="shared" ref="A536" si="12">B536&amp;"_"&amp;F536</f>
        <v>344_340</v>
      </c>
      <c r="B536" s="59">
        <v>344</v>
      </c>
      <c r="C536" s="31" t="str">
        <f ca="1">VLOOKUP($B536,OFFSET(units!$A$1,0,0,COUNTA(units!$A:$A),MATCH(C$1,units!$1:$1,0)-COLUMN(INDIRECT("character_id"))+1),MATCH(C$1,units!$1:$1,0)-COLUMN(INDIRECT("character_id"))+1,FALSE)</f>
        <v>雷のメタルピヨピヨ</v>
      </c>
      <c r="D536" s="31">
        <f ca="1">VLOOKUP($B536,OFFSET(units!$A$1,0,0,COUNTA(units!$A:$A),MATCH(D$1,units!$1:$1,0)-COLUMN(INDIRECT("character_id"))+1),MATCH(D$1,units!$1:$1,0)-COLUMN(INDIRECT("character_id"))+1,FALSE)</f>
        <v>3</v>
      </c>
      <c r="E536" s="31" t="str">
        <f ca="1">VLOOKUP($B536,OFFSET(units!$A$1,0,0,COUNTA(units!$A:$A),MATCH(E$1,units!$1:$1,0)-COLUMN(INDIRECT("character_id"))+1),MATCH(E$1,units!$1:$1,0)-COLUMN(INDIRECT("character_id"))+1,FALSE)</f>
        <v>Material</v>
      </c>
      <c r="F536" s="59">
        <v>340</v>
      </c>
      <c r="G536" s="31" t="str">
        <f ca="1">VLOOKUP($F536,OFFSET(units!$A$1,0,0,COUNTA(units!$A:$A),MATCH(G$1,units!$1:$1,0)-COLUMN(INDIRECT("character_id"))+1),MATCH(G$1,units!$1:$1,0)-COLUMN(INDIRECT("character_id"))+1,FALSE)</f>
        <v>水のメタルピヨピヨ</v>
      </c>
      <c r="H536" s="26">
        <v>1</v>
      </c>
      <c r="I536" s="202">
        <v>1</v>
      </c>
    </row>
    <row r="537" spans="1:9" x14ac:dyDescent="0.15">
      <c r="A537" s="96" t="str">
        <f t="shared" ref="A537" si="13">B537&amp;"_"&amp;F537</f>
        <v>333_337</v>
      </c>
      <c r="B537" s="59">
        <v>333</v>
      </c>
      <c r="C537" s="31" t="str">
        <f ca="1">VLOOKUP($B537,OFFSET(units!$A$1,0,0,COUNTA(units!$A:$A),MATCH(C$1,units!$1:$1,0)-COLUMN(INDIRECT("character_id"))+1),MATCH(C$1,units!$1:$1,0)-COLUMN(INDIRECT("character_id"))+1,FALSE)</f>
        <v>炎のメタルチック</v>
      </c>
      <c r="D537" s="31">
        <f ca="1">VLOOKUP($B537,OFFSET(units!$A$1,0,0,COUNTA(units!$A:$A),MATCH(D$1,units!$1:$1,0)-COLUMN(INDIRECT("character_id"))+1),MATCH(D$1,units!$1:$1,0)-COLUMN(INDIRECT("character_id"))+1,FALSE)</f>
        <v>4</v>
      </c>
      <c r="E537" s="31" t="str">
        <f ca="1">VLOOKUP($B537,OFFSET(units!$A$1,0,0,COUNTA(units!$A:$A),MATCH(E$1,units!$1:$1,0)-COLUMN(INDIRECT("character_id"))+1),MATCH(E$1,units!$1:$1,0)-COLUMN(INDIRECT("character_id"))+1,FALSE)</f>
        <v>Material</v>
      </c>
      <c r="F537" s="59">
        <v>337</v>
      </c>
      <c r="G537" s="31" t="str">
        <f ca="1">VLOOKUP($F537,OFFSET(units!$A$1,0,0,COUNTA(units!$A:$A),MATCH(G$1,units!$1:$1,0)-COLUMN(INDIRECT("character_id"))+1),MATCH(G$1,units!$1:$1,0)-COLUMN(INDIRECT("character_id"))+1,FALSE)</f>
        <v>森のメタルチック</v>
      </c>
      <c r="H537" s="26">
        <v>2</v>
      </c>
      <c r="I537" s="202">
        <v>1</v>
      </c>
    </row>
    <row r="538" spans="1:9" x14ac:dyDescent="0.15">
      <c r="A538" s="96" t="str">
        <f t="shared" ref="A538" si="14">B538&amp;"_"&amp;F538</f>
        <v>337_345</v>
      </c>
      <c r="B538" s="59">
        <v>337</v>
      </c>
      <c r="C538" s="31" t="str">
        <f ca="1">VLOOKUP($B538,OFFSET(units!$A$1,0,0,COUNTA(units!$A:$A),MATCH(C$1,units!$1:$1,0)-COLUMN(INDIRECT("character_id"))+1),MATCH(C$1,units!$1:$1,0)-COLUMN(INDIRECT("character_id"))+1,FALSE)</f>
        <v>森のメタルチック</v>
      </c>
      <c r="D538" s="31">
        <f ca="1">VLOOKUP($B538,OFFSET(units!$A$1,0,0,COUNTA(units!$A:$A),MATCH(D$1,units!$1:$1,0)-COLUMN(INDIRECT("character_id"))+1),MATCH(D$1,units!$1:$1,0)-COLUMN(INDIRECT("character_id"))+1,FALSE)</f>
        <v>4</v>
      </c>
      <c r="E538" s="31" t="str">
        <f ca="1">VLOOKUP($B538,OFFSET(units!$A$1,0,0,COUNTA(units!$A:$A),MATCH(E$1,units!$1:$1,0)-COLUMN(INDIRECT("character_id"))+1),MATCH(E$1,units!$1:$1,0)-COLUMN(INDIRECT("character_id"))+1,FALSE)</f>
        <v>Material</v>
      </c>
      <c r="F538" s="59">
        <v>345</v>
      </c>
      <c r="G538" s="31" t="str">
        <f ca="1">VLOOKUP($F538,OFFSET(units!$A$1,0,0,COUNTA(units!$A:$A),MATCH(G$1,units!$1:$1,0)-COLUMN(INDIRECT("character_id"))+1),MATCH(G$1,units!$1:$1,0)-COLUMN(INDIRECT("character_id"))+1,FALSE)</f>
        <v>雷のメタルチック</v>
      </c>
      <c r="H538" s="26">
        <v>2</v>
      </c>
      <c r="I538" s="202">
        <v>1</v>
      </c>
    </row>
    <row r="539" spans="1:9" x14ac:dyDescent="0.15">
      <c r="A539" s="96" t="str">
        <f t="shared" ref="A539" si="15">B539&amp;"_"&amp;F539</f>
        <v>341_333</v>
      </c>
      <c r="B539" s="59">
        <v>341</v>
      </c>
      <c r="C539" s="31" t="str">
        <f ca="1">VLOOKUP($B539,OFFSET(units!$A$1,0,0,COUNTA(units!$A:$A),MATCH(C$1,units!$1:$1,0)-COLUMN(INDIRECT("character_id"))+1),MATCH(C$1,units!$1:$1,0)-COLUMN(INDIRECT("character_id"))+1,FALSE)</f>
        <v>水のメタルチック</v>
      </c>
      <c r="D539" s="31">
        <f ca="1">VLOOKUP($B539,OFFSET(units!$A$1,0,0,COUNTA(units!$A:$A),MATCH(D$1,units!$1:$1,0)-COLUMN(INDIRECT("character_id"))+1),MATCH(D$1,units!$1:$1,0)-COLUMN(INDIRECT("character_id"))+1,FALSE)</f>
        <v>4</v>
      </c>
      <c r="E539" s="31" t="str">
        <f ca="1">VLOOKUP($B539,OFFSET(units!$A$1,0,0,COUNTA(units!$A:$A),MATCH(E$1,units!$1:$1,0)-COLUMN(INDIRECT("character_id"))+1),MATCH(E$1,units!$1:$1,0)-COLUMN(INDIRECT("character_id"))+1,FALSE)</f>
        <v>Material</v>
      </c>
      <c r="F539" s="59">
        <v>333</v>
      </c>
      <c r="G539" s="31" t="str">
        <f ca="1">VLOOKUP($F539,OFFSET(units!$A$1,0,0,COUNTA(units!$A:$A),MATCH(G$1,units!$1:$1,0)-COLUMN(INDIRECT("character_id"))+1),MATCH(G$1,units!$1:$1,0)-COLUMN(INDIRECT("character_id"))+1,FALSE)</f>
        <v>炎のメタルチック</v>
      </c>
      <c r="H539" s="26">
        <v>2</v>
      </c>
      <c r="I539" s="202">
        <v>1</v>
      </c>
    </row>
    <row r="540" spans="1:9" x14ac:dyDescent="0.15">
      <c r="A540" s="96" t="str">
        <f t="shared" ref="A540" si="16">B540&amp;"_"&amp;F540</f>
        <v>345_341</v>
      </c>
      <c r="B540" s="59">
        <v>345</v>
      </c>
      <c r="C540" s="31" t="str">
        <f ca="1">VLOOKUP($B540,OFFSET(units!$A$1,0,0,COUNTA(units!$A:$A),MATCH(C$1,units!$1:$1,0)-COLUMN(INDIRECT("character_id"))+1),MATCH(C$1,units!$1:$1,0)-COLUMN(INDIRECT("character_id"))+1,FALSE)</f>
        <v>雷のメタルチック</v>
      </c>
      <c r="D540" s="31">
        <f ca="1">VLOOKUP($B540,OFFSET(units!$A$1,0,0,COUNTA(units!$A:$A),MATCH(D$1,units!$1:$1,0)-COLUMN(INDIRECT("character_id"))+1),MATCH(D$1,units!$1:$1,0)-COLUMN(INDIRECT("character_id"))+1,FALSE)</f>
        <v>4</v>
      </c>
      <c r="E540" s="31" t="str">
        <f ca="1">VLOOKUP($B540,OFFSET(units!$A$1,0,0,COUNTA(units!$A:$A),MATCH(E$1,units!$1:$1,0)-COLUMN(INDIRECT("character_id"))+1),MATCH(E$1,units!$1:$1,0)-COLUMN(INDIRECT("character_id"))+1,FALSE)</f>
        <v>Material</v>
      </c>
      <c r="F540" s="59">
        <v>341</v>
      </c>
      <c r="G540" s="31" t="str">
        <f ca="1">VLOOKUP($F540,OFFSET(units!$A$1,0,0,COUNTA(units!$A:$A),MATCH(G$1,units!$1:$1,0)-COLUMN(INDIRECT("character_id"))+1),MATCH(G$1,units!$1:$1,0)-COLUMN(INDIRECT("character_id"))+1,FALSE)</f>
        <v>水のメタルチック</v>
      </c>
      <c r="H540" s="26">
        <v>2</v>
      </c>
      <c r="I540" s="202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>
    <tabColor indexed="12"/>
    <outlinePr summaryBelow="0" summaryRight="0"/>
  </sheetPr>
  <dimension ref="A1:F244"/>
  <sheetViews>
    <sheetView showGridLines="0" workbookViewId="0">
      <pane ySplit="1" topLeftCell="A218" activePane="bottomLeft" state="frozen"/>
      <selection pane="bottomLeft" activeCell="C245" sqref="C245"/>
    </sheetView>
  </sheetViews>
  <sheetFormatPr baseColWidth="12" defaultColWidth="13" defaultRowHeight="21" customHeight="1" x14ac:dyDescent="0.15"/>
  <cols>
    <col min="1" max="1" width="15.5" style="2" customWidth="1"/>
    <col min="2" max="2" width="21.1640625" style="2" customWidth="1"/>
    <col min="3" max="4" width="13" style="1"/>
    <col min="5" max="5" width="13" style="2"/>
    <col min="6" max="6" width="31" style="2" bestFit="1" customWidth="1"/>
    <col min="7" max="16384" width="13" style="2"/>
  </cols>
  <sheetData>
    <row r="1" spans="1:6" ht="21" customHeight="1" x14ac:dyDescent="0.15">
      <c r="A1" s="29" t="s">
        <v>29</v>
      </c>
      <c r="B1" s="30" t="s">
        <v>93</v>
      </c>
      <c r="C1" s="29" t="s">
        <v>30</v>
      </c>
      <c r="D1" s="29" t="s">
        <v>31</v>
      </c>
      <c r="E1" s="206" t="s">
        <v>275</v>
      </c>
      <c r="F1" s="207" t="s">
        <v>276</v>
      </c>
    </row>
    <row r="2" spans="1:6" ht="21" customHeight="1" x14ac:dyDescent="0.15">
      <c r="A2" s="26">
        <v>101</v>
      </c>
      <c r="B2" s="31" t="str">
        <f ca="1">VLOOKUP($A2,OFFSET(units!$A$1,0,0,COUNTA(units!$A:$A),MATCH(B$1,units!$1:$1,0)-COLUMN(INDIRECT("character_id"))+1),MATCH(B$1,units!$1:$1,0)-COLUMN(INDIRECT("character_id"))+1,FALSE)</f>
        <v>レッドチェシャ</v>
      </c>
      <c r="C2" s="36">
        <v>11002</v>
      </c>
      <c r="D2" s="26">
        <v>1</v>
      </c>
      <c r="E2" s="208" t="str">
        <f>C2&amp;"_"&amp;D2</f>
        <v>11002_1</v>
      </c>
      <c r="F2" s="208" t="str">
        <f>VLOOKUP(E2,[3]stages!$A:$H,8,FALSE)</f>
        <v xml:space="preserve">【初級】火のチェシャ猫 </v>
      </c>
    </row>
    <row r="3" spans="1:6" ht="21" customHeight="1" x14ac:dyDescent="0.15">
      <c r="A3" s="27">
        <v>102</v>
      </c>
      <c r="B3" s="31" t="str">
        <f ca="1">VLOOKUP($A3,OFFSET(units!$A$1,0,0,COUNTA(units!$A:$A),MATCH(B$1,units!$1:$1,0)-COLUMN(INDIRECT("character_id"))+1),MATCH(B$1,units!$1:$1,0)-COLUMN(INDIRECT("character_id"))+1,FALSE)</f>
        <v>レッドラビット</v>
      </c>
      <c r="C3" s="36">
        <v>11002</v>
      </c>
      <c r="D3" s="26">
        <v>2</v>
      </c>
      <c r="E3" s="208" t="str">
        <f t="shared" ref="E3:E66" si="0">C3&amp;"_"&amp;D3</f>
        <v>11002_2</v>
      </c>
      <c r="F3" s="208" t="str">
        <f>VLOOKUP(E3,[3]stages!$A:$H,8,FALSE)</f>
        <v xml:space="preserve">【中級】火のウサギ </v>
      </c>
    </row>
    <row r="4" spans="1:6" ht="21" customHeight="1" x14ac:dyDescent="0.15">
      <c r="A4" s="27">
        <v>103</v>
      </c>
      <c r="B4" s="31" t="str">
        <f ca="1">VLOOKUP($A4,OFFSET(units!$A$1,0,0,COUNTA(units!$A:$A),MATCH(B$1,units!$1:$1,0)-COLUMN(INDIRECT("character_id"))+1),MATCH(B$1,units!$1:$1,0)-COLUMN(INDIRECT("character_id"))+1,FALSE)</f>
        <v>レッドキャタップ</v>
      </c>
      <c r="C4" s="36">
        <v>11002</v>
      </c>
      <c r="D4" s="26">
        <v>4</v>
      </c>
      <c r="E4" s="208" t="str">
        <f t="shared" si="0"/>
        <v>11002_4</v>
      </c>
      <c r="F4" s="208" t="str">
        <f>VLOOKUP(E4,[3]stages!$A:$H,8,FALSE)</f>
        <v xml:space="preserve">【上級】火のイモムシ </v>
      </c>
    </row>
    <row r="5" spans="1:6" ht="21" customHeight="1" x14ac:dyDescent="0.15">
      <c r="A5" s="28">
        <v>104</v>
      </c>
      <c r="B5" s="31" t="str">
        <f ca="1">VLOOKUP($A5,OFFSET(units!$A$1,0,0,COUNTA(units!$A:$A),MATCH(B$1,units!$1:$1,0)-COLUMN(INDIRECT("character_id"))+1),MATCH(B$1,units!$1:$1,0)-COLUMN(INDIRECT("character_id"))+1,FALSE)</f>
        <v>炎のマッドハッター</v>
      </c>
      <c r="C5" s="36">
        <v>11005</v>
      </c>
      <c r="D5" s="26">
        <v>1</v>
      </c>
      <c r="E5" s="208" t="str">
        <f t="shared" si="0"/>
        <v>11005_1</v>
      </c>
      <c r="F5" s="208" t="str">
        <f>VLOOKUP(E5,[3]stages!$A:$H,8,FALSE)</f>
        <v xml:space="preserve">【超級】火の帽子屋 </v>
      </c>
    </row>
    <row r="6" spans="1:6" ht="21" customHeight="1" x14ac:dyDescent="0.15">
      <c r="A6" s="28">
        <v>105</v>
      </c>
      <c r="B6" s="31" t="str">
        <f ca="1">VLOOKUP($A6,OFFSET(units!$A$1,0,0,COUNTA(units!$A:$A),MATCH(B$1,units!$1:$1,0)-COLUMN(INDIRECT("character_id"))+1),MATCH(B$1,units!$1:$1,0)-COLUMN(INDIRECT("character_id"))+1,FALSE)</f>
        <v>グリーンチェシャ</v>
      </c>
      <c r="C6" s="36">
        <v>11004</v>
      </c>
      <c r="D6" s="26">
        <v>1</v>
      </c>
      <c r="E6" s="208" t="str">
        <f t="shared" si="0"/>
        <v>11004_1</v>
      </c>
      <c r="F6" s="208" t="str">
        <f>VLOOKUP(E6,[3]stages!$A:$H,8,FALSE)</f>
        <v xml:space="preserve">【初級】樹のチェシャ猫 </v>
      </c>
    </row>
    <row r="7" spans="1:6" ht="21" customHeight="1" x14ac:dyDescent="0.15">
      <c r="A7" s="26">
        <v>106</v>
      </c>
      <c r="B7" s="31" t="str">
        <f ca="1">VLOOKUP($A7,OFFSET(units!$A$1,0,0,COUNTA(units!$A:$A),MATCH(B$1,units!$1:$1,0)-COLUMN(INDIRECT("character_id"))+1),MATCH(B$1,units!$1:$1,0)-COLUMN(INDIRECT("character_id"))+1,FALSE)</f>
        <v>グリーンラビット</v>
      </c>
      <c r="C7" s="36">
        <v>11004</v>
      </c>
      <c r="D7" s="26">
        <v>2</v>
      </c>
      <c r="E7" s="208" t="str">
        <f t="shared" si="0"/>
        <v>11004_2</v>
      </c>
      <c r="F7" s="208" t="str">
        <f>VLOOKUP(E7,[3]stages!$A:$H,8,FALSE)</f>
        <v>【中級】樹のウサギ</v>
      </c>
    </row>
    <row r="8" spans="1:6" ht="21" customHeight="1" x14ac:dyDescent="0.15">
      <c r="A8" s="26">
        <v>107</v>
      </c>
      <c r="B8" s="31" t="str">
        <f ca="1">VLOOKUP($A8,OFFSET(units!$A$1,0,0,COUNTA(units!$A:$A),MATCH(B$1,units!$1:$1,0)-COLUMN(INDIRECT("character_id"))+1),MATCH(B$1,units!$1:$1,0)-COLUMN(INDIRECT("character_id"))+1,FALSE)</f>
        <v>グリーンキャタップ</v>
      </c>
      <c r="C8" s="36">
        <v>11004</v>
      </c>
      <c r="D8" s="26">
        <v>4</v>
      </c>
      <c r="E8" s="208" t="str">
        <f t="shared" si="0"/>
        <v>11004_4</v>
      </c>
      <c r="F8" s="208" t="str">
        <f>VLOOKUP(E8,[3]stages!$A:$H,8,FALSE)</f>
        <v xml:space="preserve">【上級】樹のイモムシ </v>
      </c>
    </row>
    <row r="9" spans="1:6" ht="21" customHeight="1" x14ac:dyDescent="0.15">
      <c r="A9" s="26">
        <v>108</v>
      </c>
      <c r="B9" s="31" t="str">
        <f ca="1">VLOOKUP($A9,OFFSET(units!$A$1,0,0,COUNTA(units!$A:$A),MATCH(B$1,units!$1:$1,0)-COLUMN(INDIRECT("character_id"))+1),MATCH(B$1,units!$1:$1,0)-COLUMN(INDIRECT("character_id"))+1,FALSE)</f>
        <v>森のマッドハッター</v>
      </c>
      <c r="C9" s="36">
        <v>11005</v>
      </c>
      <c r="D9" s="26">
        <v>2</v>
      </c>
      <c r="E9" s="208" t="str">
        <f t="shared" si="0"/>
        <v>11005_2</v>
      </c>
      <c r="F9" s="208" t="str">
        <f>VLOOKUP(E9,[3]stages!$A:$H,8,FALSE)</f>
        <v xml:space="preserve">【超級】樹の帽子屋 </v>
      </c>
    </row>
    <row r="10" spans="1:6" ht="21" customHeight="1" x14ac:dyDescent="0.15">
      <c r="A10" s="26">
        <v>109</v>
      </c>
      <c r="B10" s="31" t="str">
        <f ca="1">VLOOKUP($A10,OFFSET(units!$A$1,0,0,COUNTA(units!$A:$A),MATCH(B$1,units!$1:$1,0)-COLUMN(INDIRECT("character_id"))+1),MATCH(B$1,units!$1:$1,0)-COLUMN(INDIRECT("character_id"))+1,FALSE)</f>
        <v>ブルーチェシャ</v>
      </c>
      <c r="C10" s="36">
        <v>11003</v>
      </c>
      <c r="D10" s="26">
        <v>1</v>
      </c>
      <c r="E10" s="208" t="str">
        <f t="shared" si="0"/>
        <v>11003_1</v>
      </c>
      <c r="F10" s="208" t="str">
        <f>VLOOKUP(E10,[3]stages!$A:$H,8,FALSE)</f>
        <v>【初級】水のチェシャ猫</v>
      </c>
    </row>
    <row r="11" spans="1:6" ht="21" customHeight="1" x14ac:dyDescent="0.15">
      <c r="A11" s="26">
        <v>110</v>
      </c>
      <c r="B11" s="31" t="str">
        <f ca="1">VLOOKUP($A11,OFFSET(units!$A$1,0,0,COUNTA(units!$A:$A),MATCH(B$1,units!$1:$1,0)-COLUMN(INDIRECT("character_id"))+1),MATCH(B$1,units!$1:$1,0)-COLUMN(INDIRECT("character_id"))+1,FALSE)</f>
        <v>ブルーラビット</v>
      </c>
      <c r="C11" s="36">
        <v>11003</v>
      </c>
      <c r="D11" s="26">
        <v>2</v>
      </c>
      <c r="E11" s="208" t="str">
        <f t="shared" si="0"/>
        <v>11003_2</v>
      </c>
      <c r="F11" s="208" t="str">
        <f>VLOOKUP(E11,[3]stages!$A:$H,8,FALSE)</f>
        <v xml:space="preserve">【中級】水のウサギ </v>
      </c>
    </row>
    <row r="12" spans="1:6" ht="21" customHeight="1" x14ac:dyDescent="0.15">
      <c r="A12" s="26">
        <v>111</v>
      </c>
      <c r="B12" s="31" t="str">
        <f ca="1">VLOOKUP($A12,OFFSET(units!$A$1,0,0,COUNTA(units!$A:$A),MATCH(B$1,units!$1:$1,0)-COLUMN(INDIRECT("character_id"))+1),MATCH(B$1,units!$1:$1,0)-COLUMN(INDIRECT("character_id"))+1,FALSE)</f>
        <v>ブルーキャタップ</v>
      </c>
      <c r="C12" s="36">
        <v>11003</v>
      </c>
      <c r="D12" s="26">
        <v>4</v>
      </c>
      <c r="E12" s="208" t="str">
        <f t="shared" si="0"/>
        <v>11003_4</v>
      </c>
      <c r="F12" s="208" t="str">
        <f>VLOOKUP(E12,[3]stages!$A:$H,8,FALSE)</f>
        <v>【上級】水のイモムシ</v>
      </c>
    </row>
    <row r="13" spans="1:6" ht="21" customHeight="1" x14ac:dyDescent="0.15">
      <c r="A13" s="26">
        <v>112</v>
      </c>
      <c r="B13" s="31" t="str">
        <f ca="1">VLOOKUP($A13,OFFSET(units!$A$1,0,0,COUNTA(units!$A:$A),MATCH(B$1,units!$1:$1,0)-COLUMN(INDIRECT("character_id"))+1),MATCH(B$1,units!$1:$1,0)-COLUMN(INDIRECT("character_id"))+1,FALSE)</f>
        <v>水のマッドハッター</v>
      </c>
      <c r="C13" s="36">
        <v>11005</v>
      </c>
      <c r="D13" s="60">
        <v>3</v>
      </c>
      <c r="E13" s="208" t="str">
        <f t="shared" si="0"/>
        <v>11005_3</v>
      </c>
      <c r="F13" s="208" t="str">
        <f>VLOOKUP(E13,[3]stages!$A:$H,8,FALSE)</f>
        <v xml:space="preserve">【超級】水の帽子屋 </v>
      </c>
    </row>
    <row r="14" spans="1:6" ht="21" customHeight="1" x14ac:dyDescent="0.15">
      <c r="A14" s="26">
        <v>113</v>
      </c>
      <c r="B14" s="31" t="str">
        <f ca="1">VLOOKUP($A14,OFFSET(units!$A$1,0,0,COUNTA(units!$A:$A),MATCH(B$1,units!$1:$1,0)-COLUMN(INDIRECT("character_id"))+1),MATCH(B$1,units!$1:$1,0)-COLUMN(INDIRECT("character_id"))+1,FALSE)</f>
        <v>イエローチェシャ</v>
      </c>
      <c r="C14" s="36">
        <v>11001</v>
      </c>
      <c r="D14" s="26">
        <v>1</v>
      </c>
      <c r="E14" s="208" t="str">
        <f t="shared" si="0"/>
        <v>11001_1</v>
      </c>
      <c r="F14" s="208" t="str">
        <f>VLOOKUP(E14,[3]stages!$A:$H,8,FALSE)</f>
        <v>【初級】雷のチェシャ猫</v>
      </c>
    </row>
    <row r="15" spans="1:6" ht="21" customHeight="1" x14ac:dyDescent="0.15">
      <c r="A15" s="26">
        <v>114</v>
      </c>
      <c r="B15" s="31" t="str">
        <f ca="1">VLOOKUP($A15,OFFSET(units!$A$1,0,0,COUNTA(units!$A:$A),MATCH(B$1,units!$1:$1,0)-COLUMN(INDIRECT("character_id"))+1),MATCH(B$1,units!$1:$1,0)-COLUMN(INDIRECT("character_id"))+1,FALSE)</f>
        <v>イエローラビット</v>
      </c>
      <c r="C15" s="36">
        <v>11001</v>
      </c>
      <c r="D15" s="26">
        <v>2</v>
      </c>
      <c r="E15" s="208" t="str">
        <f t="shared" si="0"/>
        <v>11001_2</v>
      </c>
      <c r="F15" s="208" t="str">
        <f>VLOOKUP(E15,[3]stages!$A:$H,8,FALSE)</f>
        <v>【中級】雷のウサギ</v>
      </c>
    </row>
    <row r="16" spans="1:6" ht="21" customHeight="1" x14ac:dyDescent="0.15">
      <c r="A16" s="26">
        <v>115</v>
      </c>
      <c r="B16" s="31" t="str">
        <f ca="1">VLOOKUP($A16,OFFSET(units!$A$1,0,0,COUNTA(units!$A:$A),MATCH(B$1,units!$1:$1,0)-COLUMN(INDIRECT("character_id"))+1),MATCH(B$1,units!$1:$1,0)-COLUMN(INDIRECT("character_id"))+1,FALSE)</f>
        <v>イエローキャタップ</v>
      </c>
      <c r="C16" s="36">
        <v>11001</v>
      </c>
      <c r="D16" s="26">
        <v>4</v>
      </c>
      <c r="E16" s="208" t="str">
        <f t="shared" si="0"/>
        <v>11001_4</v>
      </c>
      <c r="F16" s="208" t="str">
        <f>VLOOKUP(E16,[3]stages!$A:$H,8,FALSE)</f>
        <v>【上級】雷のイモムシ</v>
      </c>
    </row>
    <row r="17" spans="1:6" ht="21" customHeight="1" x14ac:dyDescent="0.15">
      <c r="A17" s="26">
        <v>116</v>
      </c>
      <c r="B17" s="31" t="str">
        <f ca="1">VLOOKUP($A17,OFFSET(units!$A$1,0,0,COUNTA(units!$A:$A),MATCH(B$1,units!$1:$1,0)-COLUMN(INDIRECT("character_id"))+1),MATCH(B$1,units!$1:$1,0)-COLUMN(INDIRECT("character_id"))+1,FALSE)</f>
        <v>雷のマッドハッター</v>
      </c>
      <c r="C17" s="36">
        <v>11005</v>
      </c>
      <c r="D17" s="60">
        <v>4</v>
      </c>
      <c r="E17" s="208" t="str">
        <f t="shared" si="0"/>
        <v>11005_4</v>
      </c>
      <c r="F17" s="208" t="str">
        <f>VLOOKUP(E17,[3]stages!$A:$H,8,FALSE)</f>
        <v>【超級】雷の帽子屋</v>
      </c>
    </row>
    <row r="18" spans="1:6" ht="21" customHeight="1" x14ac:dyDescent="0.15">
      <c r="A18" s="26">
        <v>280</v>
      </c>
      <c r="B18" s="31" t="str">
        <f ca="1">VLOOKUP($A18,OFFSET(units!$A$1,0,0,COUNTA(units!$A:$A),MATCH(B$1,units!$1:$1,0)-COLUMN(INDIRECT("character_id"))+1),MATCH(B$1,units!$1:$1,0)-COLUMN(INDIRECT("character_id"))+1,FALSE)</f>
        <v>リンドブルム</v>
      </c>
      <c r="C18" s="36">
        <v>20006</v>
      </c>
      <c r="D18" s="26">
        <v>3</v>
      </c>
      <c r="E18" s="208" t="str">
        <f t="shared" si="0"/>
        <v>20006_3</v>
      </c>
      <c r="F18" s="208" t="str">
        <f>VLOOKUP(E18,[3]stages!$A:$H,8,FALSE)</f>
        <v>【上級】スチール・プレデター</v>
      </c>
    </row>
    <row r="19" spans="1:6" ht="21" customHeight="1" x14ac:dyDescent="0.15">
      <c r="A19" s="26">
        <v>282</v>
      </c>
      <c r="B19" s="31" t="str">
        <f ca="1">VLOOKUP($A19,OFFSET(units!$A$1,0,0,COUNTA(units!$A:$A),MATCH(B$1,units!$1:$1,0)-COLUMN(INDIRECT("character_id"))+1),MATCH(B$1,units!$1:$1,0)-COLUMN(INDIRECT("character_id"))+1,FALSE)</f>
        <v>ラーフ</v>
      </c>
      <c r="C19" s="36">
        <v>20007</v>
      </c>
      <c r="D19" s="26">
        <v>3</v>
      </c>
      <c r="E19" s="208" t="str">
        <f t="shared" si="0"/>
        <v>20007_3</v>
      </c>
      <c r="F19" s="208" t="str">
        <f>VLOOKUP(E19,[3]stages!$A:$H,8,FALSE)</f>
        <v>【上級】女王陛下の処刑龍</v>
      </c>
    </row>
    <row r="20" spans="1:6" ht="21" customHeight="1" x14ac:dyDescent="0.15">
      <c r="A20" s="26">
        <v>284</v>
      </c>
      <c r="B20" s="31" t="str">
        <f ca="1">VLOOKUP($A20,OFFSET(units!$A$1,0,0,COUNTA(units!$A:$A),MATCH(B$1,units!$1:$1,0)-COLUMN(INDIRECT("character_id"))+1),MATCH(B$1,units!$1:$1,0)-COLUMN(INDIRECT("character_id"))+1,FALSE)</f>
        <v>フェルニゲシュ</v>
      </c>
      <c r="C20" s="36">
        <v>20008</v>
      </c>
      <c r="D20" s="26">
        <v>3</v>
      </c>
      <c r="E20" s="208" t="str">
        <f t="shared" si="0"/>
        <v>20008_3</v>
      </c>
      <c r="F20" s="208" t="str">
        <f>VLOOKUP(E20,[3]stages!$A:$H,8,FALSE)</f>
        <v>【上級】天翔ける金轟機龍</v>
      </c>
    </row>
    <row r="21" spans="1:6" ht="21" customHeight="1" x14ac:dyDescent="0.15">
      <c r="A21" s="26">
        <v>286</v>
      </c>
      <c r="B21" s="31" t="str">
        <f ca="1">VLOOKUP($A21,OFFSET(units!$A$1,0,0,COUNTA(units!$A:$A),MATCH(B$1,units!$1:$1,0)-COLUMN(INDIRECT("character_id"))+1),MATCH(B$1,units!$1:$1,0)-COLUMN(INDIRECT("character_id"))+1,FALSE)</f>
        <v>ヒュドラ</v>
      </c>
      <c r="C21" s="36">
        <v>20005</v>
      </c>
      <c r="D21" s="26">
        <v>3</v>
      </c>
      <c r="E21" s="208" t="str">
        <f t="shared" si="0"/>
        <v>20005_3</v>
      </c>
      <c r="F21" s="208" t="str">
        <f>VLOOKUP(E21,[3]stages!$A:$H,8,FALSE)</f>
        <v>【上級】ザ・キャノン(4タップ)</v>
      </c>
    </row>
    <row r="22" spans="1:6" ht="21" customHeight="1" x14ac:dyDescent="0.15">
      <c r="A22" s="56">
        <v>356</v>
      </c>
      <c r="B22" s="31" t="str">
        <f ca="1">VLOOKUP($A22,OFFSET(units!$A$1,0,0,COUNTA(units!$A:$A),MATCH(B$1,units!$1:$1,0)-COLUMN(INDIRECT("character_id"))+1),MATCH(B$1,units!$1:$1,0)-COLUMN(INDIRECT("character_id"))+1,FALSE)</f>
        <v>炎上のドードー</v>
      </c>
      <c r="C22" s="36">
        <v>11002</v>
      </c>
      <c r="D22" s="26">
        <v>10</v>
      </c>
      <c r="E22" s="208" t="str">
        <f t="shared" ref="E22:E23" si="1">C22&amp;"_"&amp;D22</f>
        <v>11002_10</v>
      </c>
      <c r="F22" s="208" t="str">
        <f>VLOOKUP(E22,[3]stages!$A:$H,8,FALSE)</f>
        <v>【超絶級】炎上のドードー</v>
      </c>
    </row>
    <row r="23" spans="1:6" ht="21" customHeight="1" x14ac:dyDescent="0.15">
      <c r="A23" s="56">
        <v>357</v>
      </c>
      <c r="B23" s="31" t="str">
        <f ca="1">VLOOKUP($A23,OFFSET(units!$A$1,0,0,COUNTA(units!$A:$A),MATCH(B$1,units!$1:$1,0)-COLUMN(INDIRECT("character_id"))+1),MATCH(B$1,units!$1:$1,0)-COLUMN(INDIRECT("character_id"))+1,FALSE)</f>
        <v>千風のグリフォン</v>
      </c>
      <c r="C23" s="36">
        <v>11004</v>
      </c>
      <c r="D23" s="26">
        <v>10</v>
      </c>
      <c r="E23" s="208" t="str">
        <f t="shared" si="1"/>
        <v>11004_10</v>
      </c>
      <c r="F23" s="208" t="str">
        <f>VLOOKUP(E23,[3]stages!$A:$H,8,FALSE)</f>
        <v>【超絶級】千風のグリフォン</v>
      </c>
    </row>
    <row r="24" spans="1:6" ht="21" customHeight="1" x14ac:dyDescent="0.15">
      <c r="A24" s="56">
        <v>358</v>
      </c>
      <c r="B24" s="31" t="str">
        <f ca="1">VLOOKUP($A24,OFFSET(units!$A$1,0,0,COUNTA(units!$A:$A),MATCH(B$1,units!$1:$1,0)-COLUMN(INDIRECT("character_id"))+1),MATCH(B$1,units!$1:$1,0)-COLUMN(INDIRECT("character_id"))+1,FALSE)</f>
        <v>深淵の代用ウミガメ</v>
      </c>
      <c r="C24" s="36">
        <v>11003</v>
      </c>
      <c r="D24" s="26">
        <v>10</v>
      </c>
      <c r="E24" s="208" t="str">
        <f t="shared" si="0"/>
        <v>11003_10</v>
      </c>
      <c r="F24" s="208" t="str">
        <f>VLOOKUP(E24,[3]stages!$A:$H,8,FALSE)</f>
        <v>【超絶級】深淵の代用ウミガメ</v>
      </c>
    </row>
    <row r="25" spans="1:6" ht="21" customHeight="1" x14ac:dyDescent="0.15">
      <c r="A25" s="56">
        <v>359</v>
      </c>
      <c r="B25" s="31" t="str">
        <f ca="1">VLOOKUP($A25,OFFSET(units!$A$1,0,0,COUNTA(units!$A:$A),MATCH(B$1,units!$1:$1,0)-COLUMN(INDIRECT("character_id"))+1),MATCH(B$1,units!$1:$1,0)-COLUMN(INDIRECT("character_id"))+1,FALSE)</f>
        <v>醒電の眠りネズミ</v>
      </c>
      <c r="C25" s="36">
        <v>11001</v>
      </c>
      <c r="D25" s="26">
        <v>10</v>
      </c>
      <c r="E25" s="208" t="str">
        <f t="shared" ref="E25" si="2">C25&amp;"_"&amp;D25</f>
        <v>11001_10</v>
      </c>
      <c r="F25" s="208" t="str">
        <f>VLOOKUP(E25,[3]stages!$A:$H,8,FALSE)</f>
        <v>【超絶級】醒電の眠りネズミ</v>
      </c>
    </row>
    <row r="26" spans="1:6" ht="21" customHeight="1" x14ac:dyDescent="0.15">
      <c r="A26" s="56">
        <v>270</v>
      </c>
      <c r="B26" s="31" t="str">
        <f ca="1">VLOOKUP($A26,OFFSET(units!$A$1,0,0,COUNTA(units!$A:$A),MATCH(B$1,units!$1:$1,0)-COLUMN(INDIRECT("character_id"))+1),MATCH(B$1,units!$1:$1,0)-COLUMN(INDIRECT("character_id"))+1,FALSE)</f>
        <v>風爪のミリー</v>
      </c>
      <c r="C26" s="36">
        <v>30001</v>
      </c>
      <c r="D26" s="26">
        <v>3</v>
      </c>
      <c r="E26" s="208" t="str">
        <f t="shared" si="0"/>
        <v>30001_3</v>
      </c>
      <c r="F26" s="208" t="str">
        <f>VLOOKUP(E26,[3]stages!$A:$H,8,FALSE)</f>
        <v xml:space="preserve">【超級】ハンター・オブ・ハンター </v>
      </c>
    </row>
    <row r="27" spans="1:6" ht="21" customHeight="1" x14ac:dyDescent="0.15">
      <c r="A27" s="56">
        <v>262</v>
      </c>
      <c r="B27" s="31" t="str">
        <f ca="1">VLOOKUP($A27,OFFSET(units!$A$1,0,0,COUNTA(units!$A:$A),MATCH(B$1,units!$1:$1,0)-COLUMN(INDIRECT("character_id"))+1),MATCH(B$1,units!$1:$1,0)-COLUMN(INDIRECT("character_id"))+1,FALSE)</f>
        <v>アシュリー</v>
      </c>
      <c r="C27" s="36">
        <v>20001</v>
      </c>
      <c r="D27" s="26">
        <v>3</v>
      </c>
      <c r="E27" s="208" t="str">
        <f t="shared" si="0"/>
        <v>20001_3</v>
      </c>
      <c r="F27" s="208" t="str">
        <f>VLOOKUP(E27,[3]stages!$A:$H,8,FALSE)</f>
        <v xml:space="preserve">【上級】紅き執行者 </v>
      </c>
    </row>
    <row r="28" spans="1:6" ht="21" customHeight="1" x14ac:dyDescent="0.15">
      <c r="A28" s="56">
        <v>294</v>
      </c>
      <c r="B28" s="31" t="str">
        <f ca="1">VLOOKUP($A28,OFFSET(units!$A$1,0,0,COUNTA(units!$A:$A),MATCH(B$1,units!$1:$1,0)-COLUMN(INDIRECT("character_id"))+1),MATCH(B$1,units!$1:$1,0)-COLUMN(INDIRECT("character_id"))+1,FALSE)</f>
        <v>ウルフ・ザ・レッドイーター</v>
      </c>
      <c r="C28" s="36">
        <v>30006</v>
      </c>
      <c r="D28" s="26">
        <v>3</v>
      </c>
      <c r="E28" s="208" t="str">
        <f t="shared" si="0"/>
        <v>30006_3</v>
      </c>
      <c r="F28" s="208" t="str">
        <f>VLOOKUP(E28,[3]stages!$A:$H,8,FALSE)</f>
        <v>【超級】それはお前を食べるためさ</v>
      </c>
    </row>
    <row r="29" spans="1:6" ht="21" customHeight="1" x14ac:dyDescent="0.15">
      <c r="A29" s="56">
        <v>333</v>
      </c>
      <c r="B29" s="31" t="str">
        <f ca="1">VLOOKUP($A29,OFFSET(units!$A$1,0,0,COUNTA(units!$A:$A),MATCH(B$1,units!$1:$1,0)-COLUMN(INDIRECT("character_id"))+1),MATCH(B$1,units!$1:$1,0)-COLUMN(INDIRECT("character_id"))+1,FALSE)</f>
        <v>炎のメタルチック</v>
      </c>
      <c r="C29" s="36">
        <v>12001</v>
      </c>
      <c r="D29" s="26">
        <v>2</v>
      </c>
      <c r="E29" s="208" t="str">
        <f t="shared" si="0"/>
        <v>12001_2</v>
      </c>
      <c r="F29" s="208" t="str">
        <f>VLOOKUP(E29,[3]stages!$A:$H,8,FALSE)</f>
        <v xml:space="preserve">【上級】メタルダックを捕獲せよ！ </v>
      </c>
    </row>
    <row r="30" spans="1:6" ht="21" customHeight="1" x14ac:dyDescent="0.15">
      <c r="A30" s="56">
        <v>334</v>
      </c>
      <c r="B30" s="31" t="str">
        <f ca="1">VLOOKUP($A30,OFFSET(units!$A$1,0,0,COUNTA(units!$A:$A),MATCH(B$1,units!$1:$1,0)-COLUMN(INDIRECT("character_id"))+1),MATCH(B$1,units!$1:$1,0)-COLUMN(INDIRECT("character_id"))+1,FALSE)</f>
        <v>炎のメタルダック</v>
      </c>
      <c r="C30" s="36">
        <v>12001</v>
      </c>
      <c r="D30" s="26">
        <v>2</v>
      </c>
      <c r="E30" s="208" t="str">
        <f t="shared" ref="E30" si="3">C30&amp;"_"&amp;D30</f>
        <v>12001_2</v>
      </c>
      <c r="F30" s="208" t="str">
        <f>VLOOKUP(E30,[3]stages!$A:$H,8,FALSE)</f>
        <v xml:space="preserve">【上級】メタルダックを捕獲せよ！ </v>
      </c>
    </row>
    <row r="31" spans="1:6" ht="21" customHeight="1" x14ac:dyDescent="0.15">
      <c r="A31" s="56">
        <v>337</v>
      </c>
      <c r="B31" s="31" t="str">
        <f ca="1">VLOOKUP($A31,OFFSET(units!$A$1,0,0,COUNTA(units!$A:$A),MATCH(B$1,units!$1:$1,0)-COLUMN(INDIRECT("character_id"))+1),MATCH(B$1,units!$1:$1,0)-COLUMN(INDIRECT("character_id"))+1,FALSE)</f>
        <v>森のメタルチック</v>
      </c>
      <c r="C31" s="36">
        <v>12001</v>
      </c>
      <c r="D31" s="26">
        <v>2</v>
      </c>
      <c r="E31" s="208" t="str">
        <f t="shared" si="0"/>
        <v>12001_2</v>
      </c>
      <c r="F31" s="208" t="str">
        <f>VLOOKUP(E31,[3]stages!$A:$H,8,FALSE)</f>
        <v xml:space="preserve">【上級】メタルダックを捕獲せよ！ </v>
      </c>
    </row>
    <row r="32" spans="1:6" ht="21" customHeight="1" x14ac:dyDescent="0.15">
      <c r="A32" s="56">
        <v>338</v>
      </c>
      <c r="B32" s="31" t="str">
        <f ca="1">VLOOKUP($A32,OFFSET(units!$A$1,0,0,COUNTA(units!$A:$A),MATCH(B$1,units!$1:$1,0)-COLUMN(INDIRECT("character_id"))+1),MATCH(B$1,units!$1:$1,0)-COLUMN(INDIRECT("character_id"))+1,FALSE)</f>
        <v>森のメタルダック</v>
      </c>
      <c r="C32" s="36">
        <v>12001</v>
      </c>
      <c r="D32" s="26">
        <v>2</v>
      </c>
      <c r="E32" s="208" t="str">
        <f t="shared" ref="E32:E40" si="4">C32&amp;"_"&amp;D32</f>
        <v>12001_2</v>
      </c>
      <c r="F32" s="208" t="str">
        <f>VLOOKUP(E32,[3]stages!$A:$H,8,FALSE)</f>
        <v xml:space="preserve">【上級】メタルダックを捕獲せよ！ </v>
      </c>
    </row>
    <row r="33" spans="1:6" ht="21" customHeight="1" x14ac:dyDescent="0.15">
      <c r="A33" s="56">
        <v>341</v>
      </c>
      <c r="B33" s="31" t="str">
        <f ca="1">VLOOKUP($A33,OFFSET(units!$A$1,0,0,COUNTA(units!$A:$A),MATCH(B$1,units!$1:$1,0)-COLUMN(INDIRECT("character_id"))+1),MATCH(B$1,units!$1:$1,0)-COLUMN(INDIRECT("character_id"))+1,FALSE)</f>
        <v>水のメタルチック</v>
      </c>
      <c r="C33" s="36">
        <v>12001</v>
      </c>
      <c r="D33" s="26">
        <v>2</v>
      </c>
      <c r="E33" s="208" t="str">
        <f t="shared" si="4"/>
        <v>12001_2</v>
      </c>
      <c r="F33" s="208" t="str">
        <f>VLOOKUP(E33,[3]stages!$A:$H,8,FALSE)</f>
        <v xml:space="preserve">【上級】メタルダックを捕獲せよ！ </v>
      </c>
    </row>
    <row r="34" spans="1:6" ht="21" customHeight="1" x14ac:dyDescent="0.15">
      <c r="A34" s="56">
        <v>342</v>
      </c>
      <c r="B34" s="31" t="str">
        <f ca="1">VLOOKUP($A34,OFFSET(units!$A$1,0,0,COUNTA(units!$A:$A),MATCH(B$1,units!$1:$1,0)-COLUMN(INDIRECT("character_id"))+1),MATCH(B$1,units!$1:$1,0)-COLUMN(INDIRECT("character_id"))+1,FALSE)</f>
        <v>水のメタルダック</v>
      </c>
      <c r="C34" s="36">
        <v>12001</v>
      </c>
      <c r="D34" s="26">
        <v>2</v>
      </c>
      <c r="E34" s="208" t="str">
        <f t="shared" si="4"/>
        <v>12001_2</v>
      </c>
      <c r="F34" s="208" t="str">
        <f>VLOOKUP(E34,[3]stages!$A:$H,8,FALSE)</f>
        <v xml:space="preserve">【上級】メタルダックを捕獲せよ！ </v>
      </c>
    </row>
    <row r="35" spans="1:6" ht="21" customHeight="1" x14ac:dyDescent="0.15">
      <c r="A35" s="56">
        <v>345</v>
      </c>
      <c r="B35" s="31" t="str">
        <f ca="1">VLOOKUP($A35,OFFSET(units!$A$1,0,0,COUNTA(units!$A:$A),MATCH(B$1,units!$1:$1,0)-COLUMN(INDIRECT("character_id"))+1),MATCH(B$1,units!$1:$1,0)-COLUMN(INDIRECT("character_id"))+1,FALSE)</f>
        <v>雷のメタルチック</v>
      </c>
      <c r="C35" s="36">
        <v>12001</v>
      </c>
      <c r="D35" s="26">
        <v>2</v>
      </c>
      <c r="E35" s="208" t="str">
        <f t="shared" si="4"/>
        <v>12001_2</v>
      </c>
      <c r="F35" s="208" t="str">
        <f>VLOOKUP(E35,[3]stages!$A:$H,8,FALSE)</f>
        <v xml:space="preserve">【上級】メタルダックを捕獲せよ！ </v>
      </c>
    </row>
    <row r="36" spans="1:6" ht="21" customHeight="1" x14ac:dyDescent="0.15">
      <c r="A36" s="56">
        <v>346</v>
      </c>
      <c r="B36" s="31" t="str">
        <f ca="1">VLOOKUP($A36,OFFSET(units!$A$1,0,0,COUNTA(units!$A:$A),MATCH(B$1,units!$1:$1,0)-COLUMN(INDIRECT("character_id"))+1),MATCH(B$1,units!$1:$1,0)-COLUMN(INDIRECT("character_id"))+1,FALSE)</f>
        <v>雷のメタルダック</v>
      </c>
      <c r="C36" s="36">
        <v>12001</v>
      </c>
      <c r="D36" s="26">
        <v>2</v>
      </c>
      <c r="E36" s="208" t="str">
        <f t="shared" ref="E36" si="5">C36&amp;"_"&amp;D36</f>
        <v>12001_2</v>
      </c>
      <c r="F36" s="208" t="str">
        <f>VLOOKUP(E36,[3]stages!$A:$H,8,FALSE)</f>
        <v xml:space="preserve">【上級】メタルダックを捕獲せよ！ </v>
      </c>
    </row>
    <row r="37" spans="1:6" ht="21" customHeight="1" x14ac:dyDescent="0.15">
      <c r="A37" s="26">
        <v>272</v>
      </c>
      <c r="B37" s="31" t="str">
        <f ca="1">VLOOKUP($A37,OFFSET(units!$A$1,0,0,COUNTA(units!$A:$A),MATCH(B$1,units!$1:$1,0)-COLUMN(INDIRECT("character_id"))+1),MATCH(B$1,units!$1:$1,0)-COLUMN(INDIRECT("character_id"))+1,FALSE)</f>
        <v>魔札のシルベール</v>
      </c>
      <c r="C37" s="36">
        <v>30002</v>
      </c>
      <c r="D37" s="26">
        <v>3</v>
      </c>
      <c r="E37" s="208" t="str">
        <f t="shared" si="4"/>
        <v>30002_3</v>
      </c>
      <c r="F37" s="208" t="str">
        <f>VLOOKUP(E37,[3]stages!$A:$H,8,FALSE)</f>
        <v xml:space="preserve">【超級】トリックスター </v>
      </c>
    </row>
    <row r="38" spans="1:6" ht="21" customHeight="1" x14ac:dyDescent="0.15">
      <c r="A38" s="26">
        <v>264</v>
      </c>
      <c r="B38" s="31" t="str">
        <f ca="1">VLOOKUP($A38,OFFSET(units!$A$1,0,0,COUNTA(units!$A:$A),MATCH(B$1,units!$1:$1,0)-COLUMN(INDIRECT("character_id"))+1),MATCH(B$1,units!$1:$1,0)-COLUMN(INDIRECT("character_id"))+1,FALSE)</f>
        <v>ユニコーン</v>
      </c>
      <c r="C38" s="36">
        <v>20002</v>
      </c>
      <c r="D38" s="26">
        <v>3</v>
      </c>
      <c r="E38" s="208" t="str">
        <f t="shared" si="4"/>
        <v>20002_3</v>
      </c>
      <c r="F38" s="208" t="str">
        <f>VLOOKUP(E38,[3]stages!$A:$H,8,FALSE)</f>
        <v>【上級】孤高の一角獣</v>
      </c>
    </row>
    <row r="39" spans="1:6" ht="21" customHeight="1" x14ac:dyDescent="0.15">
      <c r="A39" s="26">
        <v>266</v>
      </c>
      <c r="B39" s="31" t="str">
        <f ca="1">VLOOKUP($A39,OFFSET(units!$A$1,0,0,COUNTA(units!$A:$A),MATCH(B$1,units!$1:$1,0)-COLUMN(INDIRECT("character_id"))+1),MATCH(B$1,units!$1:$1,0)-COLUMN(INDIRECT("character_id"))+1,FALSE)</f>
        <v>リリアンブルー</v>
      </c>
      <c r="C39" s="36">
        <v>20003</v>
      </c>
      <c r="D39" s="26">
        <v>3</v>
      </c>
      <c r="E39" s="208" t="str">
        <f t="shared" si="4"/>
        <v>20003_3</v>
      </c>
      <c r="F39" s="208" t="str">
        <f>VLOOKUP(E39,[3]stages!$A:$H,8,FALSE)</f>
        <v xml:space="preserve">【上級】忍び寄る短剣 </v>
      </c>
    </row>
    <row r="40" spans="1:6" ht="21" customHeight="1" x14ac:dyDescent="0.15">
      <c r="A40" s="26">
        <v>306</v>
      </c>
      <c r="B40" s="31" t="str">
        <f ca="1">VLOOKUP($A40,OFFSET(units!$A$1,0,0,COUNTA(units!$A:$A),MATCH(B$1,units!$1:$1,0)-COLUMN(INDIRECT("character_id"))+1),MATCH(B$1,units!$1:$1,0)-COLUMN(INDIRECT("character_id"))+1,FALSE)</f>
        <v>メガロドン</v>
      </c>
      <c r="C40" s="36">
        <v>30010</v>
      </c>
      <c r="D40" s="26">
        <v>3</v>
      </c>
      <c r="E40" s="208" t="str">
        <f t="shared" si="4"/>
        <v>30010_3</v>
      </c>
      <c r="F40" s="208" t="str">
        <f>VLOOKUP(E40,[3]stages!$A:$H,8,FALSE)</f>
        <v>【超絶級】最大最凶</v>
      </c>
    </row>
    <row r="41" spans="1:6" ht="21" customHeight="1" x14ac:dyDescent="0.15">
      <c r="A41" s="26">
        <v>308</v>
      </c>
      <c r="B41" s="31" t="str">
        <f ca="1">VLOOKUP($A41,OFFSET(units!$A$1,0,0,COUNTA(units!$A:$A),MATCH(B$1,units!$1:$1,0)-COLUMN(INDIRECT("character_id"))+1),MATCH(B$1,units!$1:$1,0)-COLUMN(INDIRECT("character_id"))+1,FALSE)</f>
        <v>アーケロン</v>
      </c>
      <c r="C41" s="36">
        <v>30011</v>
      </c>
      <c r="D41" s="26">
        <v>3</v>
      </c>
      <c r="E41" s="208" t="str">
        <f t="shared" si="0"/>
        <v>30011_3</v>
      </c>
      <c r="F41" s="208" t="str">
        <f>VLOOKUP(E41,[3]stages!$A:$H,8,FALSE)</f>
        <v>【超絶級】気怠い巨読者</v>
      </c>
    </row>
    <row r="42" spans="1:6" ht="21" customHeight="1" x14ac:dyDescent="0.15">
      <c r="A42" s="26">
        <v>310</v>
      </c>
      <c r="B42" s="31" t="str">
        <f ca="1">VLOOKUP($A42,OFFSET(units!$A$1,0,0,COUNTA(units!$A:$A),MATCH(B$1,units!$1:$1,0)-COLUMN(INDIRECT("character_id"))+1),MATCH(B$1,units!$1:$1,0)-COLUMN(INDIRECT("character_id"))+1,FALSE)</f>
        <v>リードシクティス</v>
      </c>
      <c r="C42" s="36">
        <v>30012</v>
      </c>
      <c r="D42" s="26">
        <v>3</v>
      </c>
      <c r="E42" s="208" t="str">
        <f t="shared" si="0"/>
        <v>30012_3</v>
      </c>
      <c r="F42" s="208" t="str">
        <f>VLOOKUP(E42,[3]stages!$A:$H,8,FALSE)</f>
        <v>【超絶級】底なしの胃袋</v>
      </c>
    </row>
    <row r="43" spans="1:6" ht="21" customHeight="1" x14ac:dyDescent="0.15">
      <c r="A43" s="26">
        <v>312</v>
      </c>
      <c r="B43" s="31" t="str">
        <f ca="1">VLOOKUP($A43,OFFSET(units!$A$1,0,0,COUNTA(units!$A:$A),MATCH(B$1,units!$1:$1,0)-COLUMN(INDIRECT("character_id"))+1),MATCH(B$1,units!$1:$1,0)-COLUMN(INDIRECT("character_id"))+1,FALSE)</f>
        <v>アノマロカリス</v>
      </c>
      <c r="C43" s="36">
        <v>30009</v>
      </c>
      <c r="D43" s="26">
        <v>2</v>
      </c>
      <c r="E43" s="208" t="str">
        <f t="shared" si="0"/>
        <v>30009_2</v>
      </c>
      <c r="F43" s="208" t="str">
        <f>VLOOKUP(E43,[3]stages!$A:$H,8,FALSE)</f>
        <v>【超絶級】復活の捕食者</v>
      </c>
    </row>
    <row r="44" spans="1:6" ht="21" customHeight="1" x14ac:dyDescent="0.15">
      <c r="A44" s="26">
        <v>298</v>
      </c>
      <c r="B44" s="31" t="str">
        <f ca="1">VLOOKUP($A44,OFFSET(units!$A$1,0,0,COUNTA(units!$A:$A),MATCH(B$1,units!$1:$1,0)-COLUMN(INDIRECT("character_id"))+1),MATCH(B$1,units!$1:$1,0)-COLUMN(INDIRECT("character_id"))+1,FALSE)</f>
        <v>炎殺のミサコ</v>
      </c>
      <c r="C44" s="36">
        <v>20011</v>
      </c>
      <c r="D44" s="26">
        <v>3</v>
      </c>
      <c r="E44" s="208" t="str">
        <f t="shared" si="0"/>
        <v>20011_3</v>
      </c>
      <c r="F44" s="208" t="str">
        <f>VLOOKUP(E44,[3]stages!$A:$H,8,FALSE)</f>
        <v>【上級】すべてが灰になる</v>
      </c>
    </row>
    <row r="45" spans="1:6" ht="21" customHeight="1" x14ac:dyDescent="0.15">
      <c r="A45" s="26">
        <v>300</v>
      </c>
      <c r="B45" s="31" t="str">
        <f ca="1">VLOOKUP($A45,OFFSET(units!$A$1,0,0,COUNTA(units!$A:$A),MATCH(B$1,units!$1:$1,0)-COLUMN(INDIRECT("character_id"))+1),MATCH(B$1,units!$1:$1,0)-COLUMN(INDIRECT("character_id"))+1,FALSE)</f>
        <v>毒殺のチカ</v>
      </c>
      <c r="C45" s="36">
        <v>20012</v>
      </c>
      <c r="D45" s="26">
        <v>3</v>
      </c>
      <c r="E45" s="208" t="str">
        <f t="shared" si="0"/>
        <v>20012_3</v>
      </c>
      <c r="F45" s="208" t="str">
        <f>VLOOKUP(E45,[3]stages!$A:$H,8,FALSE)</f>
        <v>【上級】罪と劇薬</v>
      </c>
    </row>
    <row r="46" spans="1:6" ht="21" customHeight="1" x14ac:dyDescent="0.15">
      <c r="A46" s="26">
        <v>302</v>
      </c>
      <c r="B46" s="31" t="str">
        <f ca="1">VLOOKUP($A46,OFFSET(units!$A$1,0,0,COUNTA(units!$A:$A),MATCH(B$1,units!$1:$1,0)-COLUMN(INDIRECT("character_id"))+1),MATCH(B$1,units!$1:$1,0)-COLUMN(INDIRECT("character_id"))+1,FALSE)</f>
        <v>絞殺のリサ</v>
      </c>
      <c r="C46" s="36">
        <v>20009</v>
      </c>
      <c r="D46" s="26">
        <v>3</v>
      </c>
      <c r="E46" s="208" t="str">
        <f t="shared" si="0"/>
        <v>20009_3</v>
      </c>
      <c r="F46" s="208" t="str">
        <f>VLOOKUP(E46,[3]stages!$A:$H,8,FALSE)</f>
        <v>【上級】迫り来る窒息</v>
      </c>
    </row>
    <row r="47" spans="1:6" ht="21" customHeight="1" x14ac:dyDescent="0.15">
      <c r="A47" s="26">
        <v>304</v>
      </c>
      <c r="B47" s="31" t="str">
        <f ca="1">VLOOKUP($A47,OFFSET(units!$A$1,0,0,COUNTA(units!$A:$A),MATCH(B$1,units!$1:$1,0)-COLUMN(INDIRECT("character_id"))+1),MATCH(B$1,units!$1:$1,0)-COLUMN(INDIRECT("character_id"))+1,FALSE)</f>
        <v>電殺のチエミ</v>
      </c>
      <c r="C47" s="36">
        <v>20010</v>
      </c>
      <c r="D47" s="26">
        <v>3</v>
      </c>
      <c r="E47" s="208" t="str">
        <f t="shared" si="0"/>
        <v>20010_3</v>
      </c>
      <c r="F47" s="208" t="str">
        <f>VLOOKUP(E47,[3]stages!$A:$H,8,FALSE)</f>
        <v>【上級】悪夢の一目惚れ</v>
      </c>
    </row>
    <row r="48" spans="1:6" ht="21" customHeight="1" x14ac:dyDescent="0.15">
      <c r="A48" s="56">
        <v>292</v>
      </c>
      <c r="B48" s="31" t="str">
        <f ca="1">VLOOKUP($A48,OFFSET(units!$A$1,0,0,COUNTA(units!$A:$A),MATCH(B$1,units!$1:$1,0)-COLUMN(INDIRECT("character_id"))+1),MATCH(B$1,units!$1:$1,0)-COLUMN(INDIRECT("character_id"))+1,FALSE)</f>
        <v>アナスタシア</v>
      </c>
      <c r="C48" s="36">
        <v>30007</v>
      </c>
      <c r="D48" s="26">
        <v>3</v>
      </c>
      <c r="E48" s="208" t="str">
        <f t="shared" si="0"/>
        <v>30007_3</v>
      </c>
      <c r="F48" s="208" t="str">
        <f>VLOOKUP(E48,[3]stages!$A:$H,8,FALSE)</f>
        <v xml:space="preserve">【超級】ガラスの靴は私のもの </v>
      </c>
    </row>
    <row r="49" spans="1:6" ht="21" customHeight="1" x14ac:dyDescent="0.15">
      <c r="A49" s="56">
        <v>290</v>
      </c>
      <c r="B49" s="31" t="str">
        <f ca="1">VLOOKUP($A49,OFFSET(units!$A$1,0,0,COUNTA(units!$A:$A),MATCH(B$1,units!$1:$1,0)-COLUMN(INDIRECT("character_id"))+1),MATCH(B$1,units!$1:$1,0)-COLUMN(INDIRECT("character_id"))+1,FALSE)</f>
        <v>ウィッチ・オクトパス</v>
      </c>
      <c r="C49" s="36">
        <v>30005</v>
      </c>
      <c r="D49" s="26">
        <v>3</v>
      </c>
      <c r="E49" s="208" t="str">
        <f t="shared" si="0"/>
        <v>30005_3</v>
      </c>
      <c r="F49" s="208" t="str">
        <f>VLOOKUP(E49,[3]stages!$A:$H,8,FALSE)</f>
        <v>【超級】ニンゲンにしてあげる</v>
      </c>
    </row>
    <row r="50" spans="1:6" ht="21" customHeight="1" x14ac:dyDescent="0.15">
      <c r="A50" s="56">
        <v>288</v>
      </c>
      <c r="B50" s="31" t="str">
        <f ca="1">VLOOKUP($A50,OFFSET(units!$A$1,0,0,COUNTA(units!$A:$A),MATCH(B$1,units!$1:$1,0)-COLUMN(INDIRECT("character_id"))+1),MATCH(B$1,units!$1:$1,0)-COLUMN(INDIRECT("character_id"))+1,FALSE)</f>
        <v>ミカド</v>
      </c>
      <c r="C50" s="36">
        <v>30008</v>
      </c>
      <c r="D50" s="26">
        <v>3</v>
      </c>
      <c r="E50" s="208" t="str">
        <f t="shared" si="0"/>
        <v>30008_3</v>
      </c>
      <c r="F50" s="208" t="str">
        <f>VLOOKUP(E50,[3]stages!$A:$H,8,FALSE)</f>
        <v>【超級】わたしの嫁を返してもらおう</v>
      </c>
    </row>
    <row r="51" spans="1:6" ht="21" customHeight="1" x14ac:dyDescent="0.15">
      <c r="A51" s="26">
        <v>418</v>
      </c>
      <c r="B51" s="31" t="str">
        <f ca="1">VLOOKUP($A51,OFFSET(units!$A$1,0,0,COUNTA(units!$A:$A),MATCH(B$1,units!$1:$1,0)-COLUMN(INDIRECT("character_id"))+1),MATCH(B$1,units!$1:$1,0)-COLUMN(INDIRECT("character_id"))+1,FALSE)</f>
        <v>ウラシマ</v>
      </c>
      <c r="C51" s="36">
        <v>30013</v>
      </c>
      <c r="D51" s="26">
        <v>2</v>
      </c>
      <c r="E51" s="208" t="str">
        <f t="shared" si="0"/>
        <v>30013_2</v>
      </c>
      <c r="F51" s="208" t="str">
        <f>VLOOKUP(E51,[3]stages!$A:$H,8,FALSE)</f>
        <v>【超絶級】決戦・竜宮城</v>
      </c>
    </row>
    <row r="52" spans="1:6" ht="21" customHeight="1" x14ac:dyDescent="0.15">
      <c r="A52" s="26">
        <v>420</v>
      </c>
      <c r="B52" s="31" t="str">
        <f ca="1">VLOOKUP($A52,OFFSET(units!$A$1,0,0,COUNTA(units!$A:$A),MATCH(B$1,units!$1:$1,0)-COLUMN(INDIRECT("character_id"))+1),MATCH(B$1,units!$1:$1,0)-COLUMN(INDIRECT("character_id"))+1,FALSE)</f>
        <v>カエデ</v>
      </c>
      <c r="C52" s="36">
        <v>30014</v>
      </c>
      <c r="D52" s="26">
        <v>2</v>
      </c>
      <c r="E52" s="208" t="str">
        <f t="shared" si="0"/>
        <v>30014_2</v>
      </c>
      <c r="F52" s="208" t="str">
        <f>VLOOKUP(E52,[3]stages!$A:$H,8,FALSE)</f>
        <v>【超絶級】親指を突き立てろ！</v>
      </c>
    </row>
    <row r="53" spans="1:6" ht="21" customHeight="1" x14ac:dyDescent="0.15">
      <c r="A53" s="26">
        <v>268</v>
      </c>
      <c r="B53" s="31" t="str">
        <f ca="1">VLOOKUP($A53,OFFSET(units!$A$1,0,0,COUNTA(units!$A:$A),MATCH(B$1,units!$1:$1,0)-COLUMN(INDIRECT("character_id"))+1),MATCH(B$1,units!$1:$1,0)-COLUMN(INDIRECT("character_id"))+1,FALSE)</f>
        <v>鵺</v>
      </c>
      <c r="C53" s="36">
        <v>20004</v>
      </c>
      <c r="D53" s="26">
        <v>3</v>
      </c>
      <c r="E53" s="208" t="str">
        <f t="shared" si="0"/>
        <v>20004_3</v>
      </c>
      <c r="F53" s="208" t="str">
        <f>VLOOKUP(E53,[3]stages!$A:$H,8,FALSE)</f>
        <v>【上級】雷雲からの刺客</v>
      </c>
    </row>
    <row r="54" spans="1:6" ht="21" customHeight="1" x14ac:dyDescent="0.15">
      <c r="A54" s="26">
        <v>274</v>
      </c>
      <c r="B54" s="31" t="str">
        <f ca="1">VLOOKUP($A54,OFFSET(units!$A$1,0,0,COUNTA(units!$A:$A),MATCH(B$1,units!$1:$1,0)-COLUMN(INDIRECT("character_id"))+1),MATCH(B$1,units!$1:$1,0)-COLUMN(INDIRECT("character_id"))+1,FALSE)</f>
        <v>砕棒のガエル</v>
      </c>
      <c r="C54" s="36">
        <v>30003</v>
      </c>
      <c r="D54" s="26">
        <v>3</v>
      </c>
      <c r="E54" s="208" t="str">
        <f t="shared" si="0"/>
        <v>30003_3</v>
      </c>
      <c r="F54" s="208" t="str">
        <f>VLOOKUP(E54,[3]stages!$A:$H,8,FALSE)</f>
        <v xml:space="preserve">【超級】打ち下ろされる砕棒 </v>
      </c>
    </row>
    <row r="55" spans="1:6" ht="21" customHeight="1" x14ac:dyDescent="0.15">
      <c r="A55" s="26">
        <v>276</v>
      </c>
      <c r="B55" s="31" t="str">
        <f ca="1">VLOOKUP($A55,OFFSET(units!$A$1,0,0,COUNTA(units!$A:$A),MATCH(B$1,units!$1:$1,0)-COLUMN(INDIRECT("character_id"))+1),MATCH(B$1,units!$1:$1,0)-COLUMN(INDIRECT("character_id"))+1,FALSE)</f>
        <v>機拳のイリア</v>
      </c>
      <c r="C55" s="36">
        <v>30004</v>
      </c>
      <c r="D55" s="26">
        <v>3</v>
      </c>
      <c r="E55" s="208" t="str">
        <f t="shared" si="0"/>
        <v>30004_3</v>
      </c>
      <c r="F55" s="208" t="str">
        <f>VLOOKUP(E55,[3]stages!$A:$H,8,FALSE)</f>
        <v xml:space="preserve">【超級】危険な仲裁者 </v>
      </c>
    </row>
    <row r="56" spans="1:6" ht="21" customHeight="1" x14ac:dyDescent="0.15">
      <c r="A56" s="26">
        <v>278</v>
      </c>
      <c r="B56" s="31" t="str">
        <f ca="1">VLOOKUP($A56,OFFSET(units!$A$1,0,0,COUNTA(units!$A:$A),MATCH(B$1,units!$1:$1,0)-COLUMN(INDIRECT("character_id"))+1),MATCH(B$1,units!$1:$1,0)-COLUMN(INDIRECT("character_id"))+1,FALSE)</f>
        <v>アマテラス</v>
      </c>
      <c r="C56" s="36">
        <v>41001</v>
      </c>
      <c r="D56" s="26">
        <v>2</v>
      </c>
      <c r="E56" s="208" t="str">
        <f t="shared" si="0"/>
        <v>41001_2</v>
      </c>
      <c r="F56" s="208" t="str">
        <f>VLOOKUP(E56,[3]stages!$A:$H,8,FALSE)</f>
        <v>【ウィザード級】アマテラス襲来</v>
      </c>
    </row>
    <row r="57" spans="1:6" ht="21" customHeight="1" x14ac:dyDescent="0.15">
      <c r="A57" s="26">
        <v>296</v>
      </c>
      <c r="B57" s="31" t="str">
        <f ca="1">VLOOKUP($A57,OFFSET(units!$A$1,0,0,COUNTA(units!$A:$A),MATCH(B$1,units!$1:$1,0)-COLUMN(INDIRECT("character_id"))+1),MATCH(B$1,units!$1:$1,0)-COLUMN(INDIRECT("character_id"))+1,FALSE)</f>
        <v>アザゼル</v>
      </c>
      <c r="C57" s="36">
        <v>41002</v>
      </c>
      <c r="D57" s="26">
        <v>2</v>
      </c>
      <c r="E57" s="208" t="str">
        <f t="shared" si="0"/>
        <v>41002_2</v>
      </c>
      <c r="F57" s="208" t="str">
        <f>VLOOKUP(E57,[3]stages!$A:$H,8,FALSE)</f>
        <v>【ウィザード級】アザゼル襲来</v>
      </c>
    </row>
    <row r="58" spans="1:6" ht="21" customHeight="1" x14ac:dyDescent="0.15">
      <c r="A58" s="26">
        <v>314</v>
      </c>
      <c r="B58" s="31" t="str">
        <f ca="1">VLOOKUP($A58,OFFSET(units!$A$1,0,0,COUNTA(units!$A:$A),MATCH(B$1,units!$1:$1,0)-COLUMN(INDIRECT("character_id"))+1),MATCH(B$1,units!$1:$1,0)-COLUMN(INDIRECT("character_id"))+1,FALSE)</f>
        <v>ジャンヌ</v>
      </c>
      <c r="C58" s="36">
        <v>41003</v>
      </c>
      <c r="D58" s="26">
        <v>2</v>
      </c>
      <c r="E58" s="208" t="str">
        <f t="shared" si="0"/>
        <v>41003_2</v>
      </c>
      <c r="F58" s="208" t="str">
        <f>VLOOKUP(E58,[3]stages!$A:$H,8,FALSE)</f>
        <v>【ウィザード級】ジャンヌ襲来</v>
      </c>
    </row>
    <row r="59" spans="1:6" ht="21" customHeight="1" x14ac:dyDescent="0.15">
      <c r="A59" s="26">
        <v>426</v>
      </c>
      <c r="B59" s="31" t="str">
        <f ca="1">VLOOKUP($A59,OFFSET(units!$A$1,0,0,COUNTA(units!$A:$A),MATCH(B$1,units!$1:$1,0)-COLUMN(INDIRECT("character_id"))+1),MATCH(B$1,units!$1:$1,0)-COLUMN(INDIRECT("character_id"))+1,FALSE)</f>
        <v>宮本武蔵</v>
      </c>
      <c r="C59" s="36">
        <v>41004</v>
      </c>
      <c r="D59" s="26">
        <v>2</v>
      </c>
      <c r="E59" s="208" t="str">
        <f>C59&amp;"_"&amp;D59</f>
        <v>41004_2</v>
      </c>
      <c r="F59" s="208" t="str">
        <f>VLOOKUP(E59,[3]stages!$A:$H,8,FALSE)</f>
        <v>【ウィザード級】宮本武蔵襲来</v>
      </c>
    </row>
    <row r="60" spans="1:6" ht="21" customHeight="1" x14ac:dyDescent="0.15">
      <c r="A60" s="26">
        <v>422</v>
      </c>
      <c r="B60" s="31" t="str">
        <f ca="1">VLOOKUP($A60,OFFSET(units!$A$1,0,0,COUNTA(units!$A:$A),MATCH(B$1,units!$1:$1,0)-COLUMN(INDIRECT("character_id"))+1),MATCH(B$1,units!$1:$1,0)-COLUMN(INDIRECT("character_id"))+1,FALSE)</f>
        <v>シュガフル</v>
      </c>
      <c r="C60" s="36">
        <v>30015</v>
      </c>
      <c r="D60" s="26">
        <v>2</v>
      </c>
      <c r="E60" s="208" t="str">
        <f t="shared" si="0"/>
        <v>30015_2</v>
      </c>
      <c r="F60" s="208" t="str">
        <f>VLOOKUP(E60,[3]stages!$A:$H,8,FALSE)</f>
        <v>【超絶級】兄妹の大冒険</v>
      </c>
    </row>
    <row r="61" spans="1:6" ht="21" customHeight="1" x14ac:dyDescent="0.15">
      <c r="A61" s="26">
        <v>424</v>
      </c>
      <c r="B61" s="31" t="str">
        <f ca="1">VLOOKUP($A61,OFFSET(units!$A$1,0,0,COUNTA(units!$A:$A),MATCH(B$1,units!$1:$1,0)-COLUMN(INDIRECT("character_id"))+1),MATCH(B$1,units!$1:$1,0)-COLUMN(INDIRECT("character_id"))+1,FALSE)</f>
        <v>フック</v>
      </c>
      <c r="C61" s="36">
        <v>30016</v>
      </c>
      <c r="D61" s="26">
        <v>2</v>
      </c>
      <c r="E61" s="208" t="str">
        <f t="shared" si="0"/>
        <v>30016_2</v>
      </c>
      <c r="F61" s="208" t="str">
        <f>VLOOKUP(E61,[3]stages!$A:$H,8,FALSE)</f>
        <v>【超絶級】私がワニの天敵よ？</v>
      </c>
    </row>
    <row r="62" spans="1:6" ht="21" customHeight="1" x14ac:dyDescent="0.15">
      <c r="A62" s="26">
        <v>452</v>
      </c>
      <c r="B62" s="205" t="str">
        <f>VLOOKUP(A62,[2]characters!$A:$C,3,FALSE)</f>
        <v>猛狐 エゾ</v>
      </c>
      <c r="C62" s="36">
        <v>30017</v>
      </c>
      <c r="D62" s="26">
        <v>2</v>
      </c>
      <c r="E62" s="208" t="str">
        <f t="shared" si="0"/>
        <v>30017_2</v>
      </c>
      <c r="F62" s="208" t="str">
        <f>VLOOKUP(E62,[3]stages!$A:$H,8,FALSE)</f>
        <v>【超絶級】狩人の挽歌</v>
      </c>
    </row>
    <row r="63" spans="1:6" ht="21" customHeight="1" x14ac:dyDescent="0.15">
      <c r="A63" s="26">
        <v>454</v>
      </c>
      <c r="B63" s="205" t="str">
        <f>VLOOKUP(A63,[2]characters!$A:$C,3,FALSE)</f>
        <v>二闘 レッサとギガン</v>
      </c>
      <c r="C63" s="36">
        <v>30018</v>
      </c>
      <c r="D63" s="26">
        <v>2</v>
      </c>
      <c r="E63" s="208" t="str">
        <f t="shared" si="0"/>
        <v>30018_2</v>
      </c>
      <c r="F63" s="208" t="str">
        <f>VLOOKUP(E63,[3]stages!$A:$H,8,FALSE)</f>
        <v>【超絶級】バックストリートファイト</v>
      </c>
    </row>
    <row r="64" spans="1:6" ht="21" customHeight="1" x14ac:dyDescent="0.15">
      <c r="A64" s="26">
        <v>456</v>
      </c>
      <c r="B64" s="205" t="str">
        <f>VLOOKUP(A64,[2]characters!$A:$C,3,FALSE)</f>
        <v>射絶 ユヅル</v>
      </c>
      <c r="C64" s="36">
        <v>30019</v>
      </c>
      <c r="D64" s="26">
        <v>2</v>
      </c>
      <c r="E64" s="208" t="str">
        <f t="shared" si="0"/>
        <v>30019_2</v>
      </c>
      <c r="F64" s="208" t="str">
        <f>VLOOKUP(E64,[3]stages!$A:$H,8,FALSE)</f>
        <v>【超絶級】狙撃は終わらない</v>
      </c>
    </row>
    <row r="65" spans="1:6" ht="21" customHeight="1" x14ac:dyDescent="0.15">
      <c r="A65" s="26">
        <v>376</v>
      </c>
      <c r="B65" s="31" t="str">
        <f ca="1">VLOOKUP($A65,OFFSET(units!$A$1,0,0,COUNTA(units!$A:$A),MATCH(B$1,units!$1:$1,0)-COLUMN(INDIRECT("character_id"))+1),MATCH(B$1,units!$1:$1,0)-COLUMN(INDIRECT("character_id"))+1,FALSE)</f>
        <v>勘兵衛</v>
      </c>
      <c r="C65" s="36">
        <v>11216</v>
      </c>
      <c r="D65" s="26">
        <v>1</v>
      </c>
      <c r="E65" s="208" t="str">
        <f t="shared" si="0"/>
        <v>11216_1</v>
      </c>
      <c r="F65" s="208" t="str">
        <f>VLOOKUP(E65,[3]stages!$A:$H,8,FALSE)</f>
        <v>【上級】年を越える宴（ハートなし）</v>
      </c>
    </row>
    <row r="66" spans="1:6" ht="21" customHeight="1" x14ac:dyDescent="0.15">
      <c r="A66" s="26">
        <v>458</v>
      </c>
      <c r="B66" s="205" t="str">
        <f>VLOOKUP(A66,[2]characters!$A:$C,3,FALSE)</f>
        <v>嵐龍 スガル</v>
      </c>
      <c r="C66" s="36">
        <v>30020</v>
      </c>
      <c r="D66" s="26">
        <v>2</v>
      </c>
      <c r="E66" s="208" t="str">
        <f t="shared" si="0"/>
        <v>30020_2</v>
      </c>
      <c r="F66" s="208" t="str">
        <f>VLOOKUP(E66,[3]stages!$A:$H,8,FALSE)</f>
        <v>【超絶級】若造よ、身の程を知れ</v>
      </c>
    </row>
    <row r="67" spans="1:6" ht="21" customHeight="1" x14ac:dyDescent="0.15">
      <c r="A67" s="26">
        <v>502</v>
      </c>
      <c r="B67" s="205" t="str">
        <f>VLOOKUP(A67,[2]characters!$A:$C,3,FALSE)</f>
        <v>テラベル</v>
      </c>
      <c r="C67" s="36">
        <v>30021</v>
      </c>
      <c r="D67" s="26">
        <v>3</v>
      </c>
      <c r="E67" s="208" t="str">
        <f t="shared" ref="E67:E70" si="6">C67&amp;"_"&amp;D67</f>
        <v>30021_3</v>
      </c>
      <c r="F67" s="208" t="str">
        <f>VLOOKUP(E67,[3]stages!$A:$H,8,FALSE)</f>
        <v>【超級】野獣死すべしっ！</v>
      </c>
    </row>
    <row r="68" spans="1:6" ht="21" customHeight="1" x14ac:dyDescent="0.15">
      <c r="A68" s="26">
        <v>504</v>
      </c>
      <c r="B68" s="205" t="str">
        <f>VLOOKUP(A68,[2]characters!$A:$C,3,FALSE)</f>
        <v>ハイディン・オーガ</v>
      </c>
      <c r="C68" s="36">
        <v>30022</v>
      </c>
      <c r="D68" s="26">
        <v>2</v>
      </c>
      <c r="E68" s="208" t="str">
        <f t="shared" si="6"/>
        <v>30022_2</v>
      </c>
      <c r="F68" s="208" t="str">
        <f>VLOOKUP(E68,[3]stages!$A:$H,8,FALSE)</f>
        <v>【超絶級】凶鼠ネコを咬む</v>
      </c>
    </row>
    <row r="69" spans="1:6" ht="21" customHeight="1" x14ac:dyDescent="0.15">
      <c r="A69" s="26">
        <v>506</v>
      </c>
      <c r="B69" s="205" t="str">
        <f>VLOOKUP(A69,[2]characters!$A:$C,3,FALSE)</f>
        <v>ゴーテル</v>
      </c>
      <c r="C69" s="36">
        <v>30023</v>
      </c>
      <c r="D69" s="26">
        <v>3</v>
      </c>
      <c r="E69" s="208" t="str">
        <f t="shared" si="6"/>
        <v>30023_3</v>
      </c>
      <c r="F69" s="208" t="str">
        <f>VLOOKUP(E69,[3]stages!$A:$H,8,FALSE)</f>
        <v>【超級】隔離からのエスケイプ</v>
      </c>
    </row>
    <row r="70" spans="1:6" ht="21" customHeight="1" x14ac:dyDescent="0.15">
      <c r="A70" s="26">
        <v>508</v>
      </c>
      <c r="B70" s="205" t="str">
        <f>VLOOKUP(A70,[2]characters!$A:$C,3,FALSE)</f>
        <v>Gスター・チルドレン</v>
      </c>
      <c r="C70" s="36">
        <v>41008</v>
      </c>
      <c r="D70" s="26">
        <v>2</v>
      </c>
      <c r="E70" s="208" t="str">
        <f t="shared" si="6"/>
        <v>41008_2</v>
      </c>
      <c r="F70" s="208" t="str">
        <f>VLOOKUP(E70,[3]stages!$A:$H,8,FALSE)</f>
        <v>【ウィザード級】Gスター襲来</v>
      </c>
    </row>
    <row r="71" spans="1:6" ht="21" customHeight="1" x14ac:dyDescent="0.15">
      <c r="A71" s="209">
        <v>525</v>
      </c>
      <c r="B71" s="205" t="str">
        <f>VLOOKUP(A71,[2]characters!$A:$C,3,FALSE)</f>
        <v>ウィンタースポーツ 雪ミク</v>
      </c>
      <c r="C71" s="36">
        <v>39001</v>
      </c>
      <c r="D71" s="26">
        <v>3</v>
      </c>
      <c r="E71" s="208" t="str">
        <f t="shared" ref="E71:E102" si="7">C71&amp;"_"&amp;D71</f>
        <v>39001_3</v>
      </c>
      <c r="F71" s="208" t="str">
        <f>VLOOKUP(E71,[3]stages!$A:$H,8,FALSE)</f>
        <v>【上級】雪の歌姫</v>
      </c>
    </row>
    <row r="72" spans="1:6" ht="21" customHeight="1" x14ac:dyDescent="0.15">
      <c r="A72" s="209">
        <v>526</v>
      </c>
      <c r="B72" s="205" t="str">
        <f>VLOOKUP(A72,[2]characters!$A:$C,3,FALSE)</f>
        <v>大滑走 雪ミク&amp;ラビットユキネ</v>
      </c>
      <c r="C72" s="36">
        <v>39001</v>
      </c>
      <c r="D72" s="26">
        <v>5</v>
      </c>
      <c r="E72" s="208" t="str">
        <f t="shared" si="7"/>
        <v>39001_5</v>
      </c>
      <c r="F72" s="208" t="str">
        <f>VLOOKUP(E72,[3]stages!$A:$H,8,FALSE)</f>
        <v>【超絶級】雪の歌姫</v>
      </c>
    </row>
    <row r="73" spans="1:6" ht="21" customHeight="1" x14ac:dyDescent="0.15">
      <c r="A73" s="209">
        <v>527</v>
      </c>
      <c r="B73" s="205" t="str">
        <f>VLOOKUP(A73,[2]characters!$A:$C,3,FALSE)</f>
        <v>初音ミクV3</v>
      </c>
      <c r="C73" s="36">
        <v>49001</v>
      </c>
      <c r="D73" s="26">
        <v>1</v>
      </c>
      <c r="E73" s="208" t="str">
        <f t="shared" si="7"/>
        <v>49001_1</v>
      </c>
      <c r="F73" s="208" t="str">
        <f>VLOOKUP(E73,[3]stages!$A:$H,8,FALSE)</f>
        <v>【ウィザード級】熱唱！初音ミクV3</v>
      </c>
    </row>
    <row r="74" spans="1:6" ht="21" customHeight="1" x14ac:dyDescent="0.15">
      <c r="A74" s="209">
        <v>528</v>
      </c>
      <c r="B74" s="205" t="str">
        <f>VLOOKUP(A74,[2]characters!$A:$C,3,FALSE)</f>
        <v>新世の歌姫 初音ミクV3</v>
      </c>
      <c r="C74" s="36">
        <v>49001</v>
      </c>
      <c r="D74" s="26">
        <v>1</v>
      </c>
      <c r="E74" s="208" t="str">
        <f t="shared" si="7"/>
        <v>49001_1</v>
      </c>
      <c r="F74" s="208" t="str">
        <f>VLOOKUP(E74,[3]stages!$A:$H,8,FALSE)</f>
        <v>【ウィザード級】熱唱！初音ミクV3</v>
      </c>
    </row>
    <row r="75" spans="1:6" ht="21" customHeight="1" x14ac:dyDescent="0.15">
      <c r="A75" s="209">
        <v>529</v>
      </c>
      <c r="B75" s="205" t="str">
        <f>VLOOKUP(A75,[2]characters!$A:$C,3,FALSE)</f>
        <v>冬服ジェリー</v>
      </c>
      <c r="C75" s="36">
        <v>39001</v>
      </c>
      <c r="D75" s="26">
        <v>5</v>
      </c>
      <c r="E75" s="208" t="str">
        <f t="shared" si="7"/>
        <v>39001_5</v>
      </c>
      <c r="F75" s="208" t="str">
        <f>VLOOKUP(E75,[3]stages!$A:$H,8,FALSE)</f>
        <v>【超絶級】雪の歌姫</v>
      </c>
    </row>
    <row r="76" spans="1:6" ht="21" customHeight="1" x14ac:dyDescent="0.15">
      <c r="A76" s="209">
        <v>530</v>
      </c>
      <c r="B76" s="205" t="str">
        <f>VLOOKUP(A76,[2]characters!$A:$C,3,FALSE)</f>
        <v>冬服ジョー</v>
      </c>
      <c r="C76" s="36">
        <v>39001</v>
      </c>
      <c r="D76" s="26">
        <v>5</v>
      </c>
      <c r="E76" s="208" t="str">
        <f t="shared" si="7"/>
        <v>39001_5</v>
      </c>
      <c r="F76" s="208" t="str">
        <f>VLOOKUP(E76,[3]stages!$A:$H,8,FALSE)</f>
        <v>【超絶級】雪の歌姫</v>
      </c>
    </row>
    <row r="77" spans="1:6" ht="21" customHeight="1" x14ac:dyDescent="0.15">
      <c r="A77" s="209">
        <v>531</v>
      </c>
      <c r="B77" s="205" t="str">
        <f>VLOOKUP(A77,[2]characters!$A:$C,3,FALSE)</f>
        <v>冬服ポチ</v>
      </c>
      <c r="C77" s="36">
        <v>39001</v>
      </c>
      <c r="D77" s="26">
        <v>5</v>
      </c>
      <c r="E77" s="208" t="str">
        <f t="shared" si="7"/>
        <v>39001_5</v>
      </c>
      <c r="F77" s="208" t="str">
        <f>VLOOKUP(E77,[3]stages!$A:$H,8,FALSE)</f>
        <v>【超絶級】雪の歌姫</v>
      </c>
    </row>
    <row r="78" spans="1:6" ht="21" customHeight="1" x14ac:dyDescent="0.15">
      <c r="A78" s="209">
        <v>532</v>
      </c>
      <c r="B78" s="205" t="str">
        <f>VLOOKUP(A78,[2]characters!$A:$C,3,FALSE)</f>
        <v>冬服エレキポット</v>
      </c>
      <c r="C78" s="36">
        <v>39001</v>
      </c>
      <c r="D78" s="26">
        <v>5</v>
      </c>
      <c r="E78" s="208" t="str">
        <f t="shared" si="7"/>
        <v>39001_5</v>
      </c>
      <c r="F78" s="208" t="str">
        <f>VLOOKUP(E78,[3]stages!$A:$H,8,FALSE)</f>
        <v>【超絶級】雪の歌姫</v>
      </c>
    </row>
    <row r="79" spans="1:6" ht="21" customHeight="1" x14ac:dyDescent="0.15">
      <c r="A79" s="209">
        <v>533</v>
      </c>
      <c r="B79" s="205" t="str">
        <f>VLOOKUP(A79,[2]characters!$A:$C,3,FALSE)</f>
        <v>冬服アカネ</v>
      </c>
      <c r="C79" s="36">
        <v>39001</v>
      </c>
      <c r="D79" s="26">
        <v>5</v>
      </c>
      <c r="E79" s="208" t="str">
        <f t="shared" si="7"/>
        <v>39001_5</v>
      </c>
      <c r="F79" s="208" t="str">
        <f>VLOOKUP(E79,[3]stages!$A:$H,8,FALSE)</f>
        <v>【超絶級】雪の歌姫</v>
      </c>
    </row>
    <row r="80" spans="1:6" ht="21" customHeight="1" x14ac:dyDescent="0.15">
      <c r="A80" s="209">
        <v>534</v>
      </c>
      <c r="B80" s="205" t="str">
        <f>VLOOKUP(A80,[2]characters!$A:$C,3,FALSE)</f>
        <v>冬服パトライン</v>
      </c>
      <c r="C80" s="36">
        <v>39001</v>
      </c>
      <c r="D80" s="26">
        <v>5</v>
      </c>
      <c r="E80" s="208" t="str">
        <f t="shared" si="7"/>
        <v>39001_5</v>
      </c>
      <c r="F80" s="208" t="str">
        <f>VLOOKUP(E80,[3]stages!$A:$H,8,FALSE)</f>
        <v>【超絶級】雪の歌姫</v>
      </c>
    </row>
    <row r="81" spans="1:6" ht="21" customHeight="1" x14ac:dyDescent="0.15">
      <c r="A81" s="209">
        <v>535</v>
      </c>
      <c r="B81" s="205" t="str">
        <f>VLOOKUP(A81,[2]characters!$A:$C,3,FALSE)</f>
        <v>冬服リム</v>
      </c>
      <c r="C81" s="36">
        <v>39001</v>
      </c>
      <c r="D81" s="26">
        <v>5</v>
      </c>
      <c r="E81" s="208" t="str">
        <f t="shared" si="7"/>
        <v>39001_5</v>
      </c>
      <c r="F81" s="208" t="str">
        <f>VLOOKUP(E81,[3]stages!$A:$H,8,FALSE)</f>
        <v>【超絶級】雪の歌姫</v>
      </c>
    </row>
    <row r="82" spans="1:6" ht="21" customHeight="1" x14ac:dyDescent="0.15">
      <c r="A82" s="209">
        <v>536</v>
      </c>
      <c r="B82" s="205" t="str">
        <f>VLOOKUP(A82,[2]characters!$A:$C,3,FALSE)</f>
        <v>冬服ミミ</v>
      </c>
      <c r="C82" s="36">
        <v>39001</v>
      </c>
      <c r="D82" s="26">
        <v>5</v>
      </c>
      <c r="E82" s="208" t="str">
        <f t="shared" si="7"/>
        <v>39001_5</v>
      </c>
      <c r="F82" s="208" t="str">
        <f>VLOOKUP(E82,[3]stages!$A:$H,8,FALSE)</f>
        <v>【超絶級】雪の歌姫</v>
      </c>
    </row>
    <row r="83" spans="1:6" ht="21" customHeight="1" x14ac:dyDescent="0.15">
      <c r="A83" s="209">
        <v>537</v>
      </c>
      <c r="B83" s="205" t="str">
        <f>VLOOKUP(A83,[2]characters!$A:$C,3,FALSE)</f>
        <v>冬服ハッピー100</v>
      </c>
      <c r="C83" s="36">
        <v>39001</v>
      </c>
      <c r="D83" s="26">
        <v>5</v>
      </c>
      <c r="E83" s="208" t="str">
        <f t="shared" si="7"/>
        <v>39001_5</v>
      </c>
      <c r="F83" s="208" t="str">
        <f>VLOOKUP(E83,[3]stages!$A:$H,8,FALSE)</f>
        <v>【超絶級】雪の歌姫</v>
      </c>
    </row>
    <row r="84" spans="1:6" ht="21" customHeight="1" x14ac:dyDescent="0.15">
      <c r="A84" s="209">
        <v>538</v>
      </c>
      <c r="B84" s="205" t="str">
        <f>VLOOKUP(A84,[2]characters!$A:$C,3,FALSE)</f>
        <v>冬服ニムダ</v>
      </c>
      <c r="C84" s="36">
        <v>39001</v>
      </c>
      <c r="D84" s="26">
        <v>5</v>
      </c>
      <c r="E84" s="208" t="str">
        <f t="shared" si="7"/>
        <v>39001_5</v>
      </c>
      <c r="F84" s="208" t="str">
        <f>VLOOKUP(E84,[3]stages!$A:$H,8,FALSE)</f>
        <v>【超絶級】雪の歌姫</v>
      </c>
    </row>
    <row r="85" spans="1:6" ht="21" customHeight="1" x14ac:dyDescent="0.15">
      <c r="A85" s="209">
        <v>539</v>
      </c>
      <c r="B85" s="205" t="str">
        <f>VLOOKUP(A85,[2]characters!$A:$C,3,FALSE)</f>
        <v>初音ミク・アペンド</v>
      </c>
      <c r="C85" s="36">
        <v>39001</v>
      </c>
      <c r="D85" s="26">
        <v>5</v>
      </c>
      <c r="E85" s="208" t="str">
        <f t="shared" si="7"/>
        <v>39001_5</v>
      </c>
      <c r="F85" s="208" t="str">
        <f>VLOOKUP(E85,[3]stages!$A:$H,8,FALSE)</f>
        <v>【超絶級】雪の歌姫</v>
      </c>
    </row>
    <row r="86" spans="1:6" ht="21" customHeight="1" x14ac:dyDescent="0.15">
      <c r="A86" s="209">
        <v>540</v>
      </c>
      <c r="B86" s="205" t="str">
        <f>VLOOKUP(A86,[2]characters!$A:$C,3,FALSE)</f>
        <v>来訪の歌姫 初音ミク・アペンド</v>
      </c>
      <c r="C86" s="36">
        <v>39001</v>
      </c>
      <c r="D86" s="26">
        <v>5</v>
      </c>
      <c r="E86" s="208" t="str">
        <f t="shared" si="7"/>
        <v>39001_5</v>
      </c>
      <c r="F86" s="208" t="str">
        <f>VLOOKUP(E86,[3]stages!$A:$H,8,FALSE)</f>
        <v>【超絶級】雪の歌姫</v>
      </c>
    </row>
    <row r="87" spans="1:6" ht="21" customHeight="1" x14ac:dyDescent="0.15">
      <c r="A87" s="209">
        <v>541</v>
      </c>
      <c r="B87" s="205" t="str">
        <f>VLOOKUP(A87,[2]characters!$A:$C,3,FALSE)</f>
        <v>初音ミク</v>
      </c>
      <c r="C87" s="36">
        <v>39001</v>
      </c>
      <c r="D87" s="26">
        <v>5</v>
      </c>
      <c r="E87" s="208" t="str">
        <f t="shared" si="7"/>
        <v>39001_5</v>
      </c>
      <c r="F87" s="208" t="str">
        <f>VLOOKUP(E87,[3]stages!$A:$H,8,FALSE)</f>
        <v>【超絶級】雪の歌姫</v>
      </c>
    </row>
    <row r="88" spans="1:6" ht="21" customHeight="1" x14ac:dyDescent="0.15">
      <c r="A88" s="209">
        <v>542</v>
      </c>
      <c r="B88" s="205" t="str">
        <f>VLOOKUP(A88,[2]characters!$A:$C,3,FALSE)</f>
        <v>革命の音撃 初音ミク</v>
      </c>
      <c r="C88" s="36">
        <v>39001</v>
      </c>
      <c r="D88" s="26">
        <v>5</v>
      </c>
      <c r="E88" s="208" t="str">
        <f t="shared" si="7"/>
        <v>39001_5</v>
      </c>
      <c r="F88" s="208" t="str">
        <f>VLOOKUP(E88,[3]stages!$A:$H,8,FALSE)</f>
        <v>【超絶級】雪の歌姫</v>
      </c>
    </row>
    <row r="89" spans="1:6" ht="21" customHeight="1" x14ac:dyDescent="0.15">
      <c r="A89" s="209">
        <v>543</v>
      </c>
      <c r="B89" s="205" t="str">
        <f>VLOOKUP(A89,[2]characters!$A:$C,3,FALSE)</f>
        <v>鏡音リン</v>
      </c>
      <c r="C89" s="36">
        <v>39001</v>
      </c>
      <c r="D89" s="26">
        <v>5</v>
      </c>
      <c r="E89" s="208" t="str">
        <f t="shared" si="7"/>
        <v>39001_5</v>
      </c>
      <c r="F89" s="208" t="str">
        <f>VLOOKUP(E89,[3]stages!$A:$H,8,FALSE)</f>
        <v>【超絶級】雪の歌姫</v>
      </c>
    </row>
    <row r="90" spans="1:6" ht="21" customHeight="1" x14ac:dyDescent="0.15">
      <c r="A90" s="209">
        <v>544</v>
      </c>
      <c r="B90" s="205" t="str">
        <f>VLOOKUP(A90,[2]characters!$A:$C,3,FALSE)</f>
        <v>反響の凛音 鏡音リン</v>
      </c>
      <c r="C90" s="36">
        <v>39001</v>
      </c>
      <c r="D90" s="26">
        <v>5</v>
      </c>
      <c r="E90" s="208" t="str">
        <f t="shared" si="7"/>
        <v>39001_5</v>
      </c>
      <c r="F90" s="208" t="str">
        <f>VLOOKUP(E90,[3]stages!$A:$H,8,FALSE)</f>
        <v>【超絶級】雪の歌姫</v>
      </c>
    </row>
    <row r="91" spans="1:6" ht="21" customHeight="1" x14ac:dyDescent="0.15">
      <c r="A91" s="209">
        <v>545</v>
      </c>
      <c r="B91" s="205" t="str">
        <f>VLOOKUP(A91,[2]characters!$A:$C,3,FALSE)</f>
        <v>鏡音レン</v>
      </c>
      <c r="C91" s="36">
        <v>39001</v>
      </c>
      <c r="D91" s="26">
        <v>5</v>
      </c>
      <c r="E91" s="208" t="str">
        <f t="shared" si="7"/>
        <v>39001_5</v>
      </c>
      <c r="F91" s="208" t="str">
        <f>VLOOKUP(E91,[3]stages!$A:$H,8,FALSE)</f>
        <v>【超絶級】雪の歌姫</v>
      </c>
    </row>
    <row r="92" spans="1:6" ht="21" customHeight="1" x14ac:dyDescent="0.15">
      <c r="A92" s="209">
        <v>546</v>
      </c>
      <c r="B92" s="205" t="str">
        <f>VLOOKUP(A92,[2]characters!$A:$C,3,FALSE)</f>
        <v>残響の連符 鏡音レン</v>
      </c>
      <c r="C92" s="36">
        <v>39001</v>
      </c>
      <c r="D92" s="26">
        <v>5</v>
      </c>
      <c r="E92" s="208" t="str">
        <f t="shared" si="7"/>
        <v>39001_5</v>
      </c>
      <c r="F92" s="208" t="str">
        <f>VLOOKUP(E92,[3]stages!$A:$H,8,FALSE)</f>
        <v>【超絶級】雪の歌姫</v>
      </c>
    </row>
    <row r="93" spans="1:6" ht="21" customHeight="1" x14ac:dyDescent="0.15">
      <c r="A93" s="209">
        <v>547</v>
      </c>
      <c r="B93" s="205" t="str">
        <f>VLOOKUP(A93,[2]characters!$A:$C,3,FALSE)</f>
        <v>巡音ルカ</v>
      </c>
      <c r="C93" s="36">
        <v>39001</v>
      </c>
      <c r="D93" s="26">
        <v>5</v>
      </c>
      <c r="E93" s="208" t="str">
        <f t="shared" si="7"/>
        <v>39001_5</v>
      </c>
      <c r="F93" s="208" t="str">
        <f>VLOOKUP(E93,[3]stages!$A:$H,8,FALSE)</f>
        <v>【超絶級】雪の歌姫</v>
      </c>
    </row>
    <row r="94" spans="1:6" ht="21" customHeight="1" x14ac:dyDescent="0.15">
      <c r="A94" s="209">
        <v>548</v>
      </c>
      <c r="B94" s="205" t="str">
        <f>VLOOKUP(A94,[2]characters!$A:$C,3,FALSE)</f>
        <v>乱舞の音環 巡音ルカ</v>
      </c>
      <c r="C94" s="36">
        <v>39001</v>
      </c>
      <c r="D94" s="26">
        <v>5</v>
      </c>
      <c r="E94" s="208" t="str">
        <f t="shared" si="7"/>
        <v>39001_5</v>
      </c>
      <c r="F94" s="208" t="str">
        <f>VLOOKUP(E94,[3]stages!$A:$H,8,FALSE)</f>
        <v>【超絶級】雪の歌姫</v>
      </c>
    </row>
    <row r="95" spans="1:6" ht="21" customHeight="1" x14ac:dyDescent="0.15">
      <c r="A95" s="209">
        <v>549</v>
      </c>
      <c r="B95" s="205" t="str">
        <f>VLOOKUP(A95,[2]characters!$A:$C,3,FALSE)</f>
        <v>MEIKO</v>
      </c>
      <c r="C95" s="36">
        <v>39001</v>
      </c>
      <c r="D95" s="26">
        <v>5</v>
      </c>
      <c r="E95" s="208" t="str">
        <f t="shared" si="7"/>
        <v>39001_5</v>
      </c>
      <c r="F95" s="208" t="str">
        <f>VLOOKUP(E95,[3]stages!$A:$H,8,FALSE)</f>
        <v>【超絶級】雪の歌姫</v>
      </c>
    </row>
    <row r="96" spans="1:6" ht="21" customHeight="1" x14ac:dyDescent="0.15">
      <c r="A96" s="209">
        <v>550</v>
      </c>
      <c r="B96" s="205" t="str">
        <f>VLOOKUP(A96,[2]characters!$A:$C,3,FALSE)</f>
        <v>解放の絶唱 MEIKO</v>
      </c>
      <c r="C96" s="36">
        <v>39001</v>
      </c>
      <c r="D96" s="26">
        <v>5</v>
      </c>
      <c r="E96" s="208" t="str">
        <f t="shared" si="7"/>
        <v>39001_5</v>
      </c>
      <c r="F96" s="208" t="str">
        <f>VLOOKUP(E96,[3]stages!$A:$H,8,FALSE)</f>
        <v>【超絶級】雪の歌姫</v>
      </c>
    </row>
    <row r="97" spans="1:6" ht="21" customHeight="1" x14ac:dyDescent="0.15">
      <c r="A97" s="209">
        <v>551</v>
      </c>
      <c r="B97" s="205" t="str">
        <f>VLOOKUP(A97,[2]characters!$A:$C,3,FALSE)</f>
        <v>KAITO</v>
      </c>
      <c r="C97" s="36">
        <v>39001</v>
      </c>
      <c r="D97" s="26">
        <v>5</v>
      </c>
      <c r="E97" s="208" t="str">
        <f t="shared" si="7"/>
        <v>39001_5</v>
      </c>
      <c r="F97" s="208" t="str">
        <f>VLOOKUP(E97,[3]stages!$A:$H,8,FALSE)</f>
        <v>【超絶級】雪の歌姫</v>
      </c>
    </row>
    <row r="98" spans="1:6" ht="21" customHeight="1" x14ac:dyDescent="0.15">
      <c r="A98" s="209">
        <v>552</v>
      </c>
      <c r="B98" s="205" t="str">
        <f>VLOOKUP(A98,[2]characters!$A:$C,3,FALSE)</f>
        <v>愉悦の愛唱 KAITO</v>
      </c>
      <c r="C98" s="36">
        <v>39001</v>
      </c>
      <c r="D98" s="26">
        <v>5</v>
      </c>
      <c r="E98" s="208" t="str">
        <f t="shared" si="7"/>
        <v>39001_5</v>
      </c>
      <c r="F98" s="208" t="str">
        <f>VLOOKUP(E98,[3]stages!$A:$H,8,FALSE)</f>
        <v>【超絶級】雪の歌姫</v>
      </c>
    </row>
    <row r="99" spans="1:6" ht="21" customHeight="1" x14ac:dyDescent="0.15">
      <c r="A99" s="209">
        <v>553</v>
      </c>
      <c r="B99" s="205" t="str">
        <f>VLOOKUP(A99,[2]characters!$A:$C,3,FALSE)</f>
        <v>雪ミク2016</v>
      </c>
      <c r="C99" s="36">
        <v>39001</v>
      </c>
      <c r="D99" s="26">
        <v>5</v>
      </c>
      <c r="E99" s="208" t="str">
        <f t="shared" si="7"/>
        <v>39001_5</v>
      </c>
      <c r="F99" s="208" t="str">
        <f>VLOOKUP(E99,[3]stages!$A:$H,8,FALSE)</f>
        <v>【超絶級】雪の歌姫</v>
      </c>
    </row>
    <row r="100" spans="1:6" ht="21" customHeight="1" x14ac:dyDescent="0.15">
      <c r="A100" s="209">
        <v>554</v>
      </c>
      <c r="B100" s="205" t="str">
        <f>VLOOKUP(A100,[2]characters!$A:$C,3,FALSE)</f>
        <v>雪ミク&amp;ラビット・ユキネ2016</v>
      </c>
      <c r="C100" s="36">
        <v>39001</v>
      </c>
      <c r="D100" s="26">
        <v>5</v>
      </c>
      <c r="E100" s="208" t="str">
        <f t="shared" si="7"/>
        <v>39001_5</v>
      </c>
      <c r="F100" s="208" t="str">
        <f>VLOOKUP(E100,[3]stages!$A:$H,8,FALSE)</f>
        <v>【超絶級】雪の歌姫</v>
      </c>
    </row>
    <row r="101" spans="1:6" ht="21" customHeight="1" x14ac:dyDescent="0.15">
      <c r="A101" s="209">
        <v>555</v>
      </c>
      <c r="B101" s="205" t="str">
        <f>VLOOKUP(A101,[2]characters!$A:$C,3,FALSE)</f>
        <v>雪ミク2014</v>
      </c>
      <c r="C101" s="36">
        <v>39001</v>
      </c>
      <c r="D101" s="26">
        <v>5</v>
      </c>
      <c r="E101" s="208" t="str">
        <f t="shared" si="7"/>
        <v>39001_5</v>
      </c>
      <c r="F101" s="208" t="str">
        <f>VLOOKUP(E101,[3]stages!$A:$H,8,FALSE)</f>
        <v>【超絶級】雪の歌姫</v>
      </c>
    </row>
    <row r="102" spans="1:6" ht="21" customHeight="1" x14ac:dyDescent="0.15">
      <c r="A102" s="209">
        <v>556</v>
      </c>
      <c r="B102" s="205" t="str">
        <f>VLOOKUP(A102,[2]characters!$A:$C,3,FALSE)</f>
        <v>雪ミク&amp;ラビットユキネ2014</v>
      </c>
      <c r="C102" s="36">
        <v>39001</v>
      </c>
      <c r="D102" s="26">
        <v>5</v>
      </c>
      <c r="E102" s="208" t="str">
        <f t="shared" si="7"/>
        <v>39001_5</v>
      </c>
      <c r="F102" s="208" t="str">
        <f>VLOOKUP(E102,[3]stages!$A:$H,8,FALSE)</f>
        <v>【超絶級】雪の歌姫</v>
      </c>
    </row>
    <row r="103" spans="1:6" ht="21" customHeight="1" x14ac:dyDescent="0.15">
      <c r="A103" s="209">
        <v>557</v>
      </c>
      <c r="B103" s="205" t="str">
        <f>VLOOKUP(A103,[2]characters!$A:$C,3,FALSE)</f>
        <v>ラビット・ユキネ</v>
      </c>
      <c r="C103" s="36">
        <v>39002</v>
      </c>
      <c r="D103" s="26">
        <v>6</v>
      </c>
      <c r="E103" s="208" t="str">
        <f t="shared" ref="E103:E105" si="8">C103&amp;"_"&amp;D103</f>
        <v>39002_6</v>
      </c>
      <c r="F103" s="208" t="e">
        <f>VLOOKUP(E103,[3]stages!$A:$H,8,FALSE)</f>
        <v>#N/A</v>
      </c>
    </row>
    <row r="104" spans="1:6" ht="21" customHeight="1" x14ac:dyDescent="0.15">
      <c r="A104" s="209">
        <v>558</v>
      </c>
      <c r="B104" s="205" t="str">
        <f>VLOOKUP(A104,[2]characters!$A:$C,3,FALSE)</f>
        <v>雪原の超躍 ラビット・ユキネ</v>
      </c>
      <c r="C104" s="36">
        <v>39003</v>
      </c>
      <c r="D104" s="26">
        <v>7</v>
      </c>
      <c r="E104" s="208" t="str">
        <f t="shared" si="8"/>
        <v>39003_7</v>
      </c>
      <c r="F104" s="208" t="e">
        <f>VLOOKUP(E104,[3]stages!$A:$H,8,FALSE)</f>
        <v>#N/A</v>
      </c>
    </row>
    <row r="105" spans="1:6" ht="21" customHeight="1" x14ac:dyDescent="0.15">
      <c r="A105" s="209">
        <v>559</v>
      </c>
      <c r="B105" s="205" t="str">
        <f>VLOOKUP(A105,[2]characters!$A:$C,3,FALSE)</f>
        <v>白銀の滑光 ラビット・ユキネ</v>
      </c>
      <c r="C105" s="36">
        <v>39004</v>
      </c>
      <c r="D105" s="26">
        <v>8</v>
      </c>
      <c r="E105" s="208" t="str">
        <f t="shared" si="8"/>
        <v>39004_8</v>
      </c>
      <c r="F105" s="208" t="e">
        <f>VLOOKUP(E105,[3]stages!$A:$H,8,FALSE)</f>
        <v>#N/A</v>
      </c>
    </row>
    <row r="106" spans="1:6" ht="21" customHeight="1" x14ac:dyDescent="0.15">
      <c r="A106" s="209">
        <v>573</v>
      </c>
      <c r="B106" s="205" t="str">
        <f>VLOOKUP(A106,[2]characters!$A:$C,3,FALSE)</f>
        <v>オーディン</v>
      </c>
      <c r="C106" s="36">
        <v>50002</v>
      </c>
      <c r="D106" s="26">
        <v>1</v>
      </c>
      <c r="E106" s="208" t="str">
        <f t="shared" ref="E106:E107" si="9">C106&amp;"_"&amp;D106</f>
        <v>50002_1</v>
      </c>
      <c r="F106" s="208" t="str">
        <f>VLOOKUP(E106,[3]stages!$A:$H,8,FALSE)</f>
        <v xml:space="preserve">【超ウィザード級】オーディン襲来 </v>
      </c>
    </row>
    <row r="107" spans="1:6" ht="21" customHeight="1" x14ac:dyDescent="0.15">
      <c r="A107" s="209">
        <v>574</v>
      </c>
      <c r="B107" s="205" t="str">
        <f>VLOOKUP(A107,[2]characters!$A:$C,3,FALSE)</f>
        <v>世慧の守神 オーディン</v>
      </c>
      <c r="C107" s="36">
        <v>50002</v>
      </c>
      <c r="D107" s="26">
        <v>1</v>
      </c>
      <c r="E107" s="208" t="str">
        <f t="shared" si="9"/>
        <v>50002_1</v>
      </c>
      <c r="F107" s="208" t="str">
        <f>VLOOKUP(E107,[3]stages!$A:$H,8,FALSE)</f>
        <v xml:space="preserve">【超ウィザード級】オーディン襲来 </v>
      </c>
    </row>
    <row r="108" spans="1:6" ht="21" customHeight="1" x14ac:dyDescent="0.15">
      <c r="A108" s="209">
        <v>575</v>
      </c>
      <c r="B108" s="205" t="str">
        <f>VLOOKUP(A108,[2]characters!$A:$C,3,FALSE)</f>
        <v>フレイ</v>
      </c>
      <c r="C108" s="36">
        <v>41010</v>
      </c>
      <c r="D108" s="26">
        <v>2</v>
      </c>
      <c r="E108" s="208" t="str">
        <f t="shared" ref="E108:E116" si="10">C108&amp;"_"&amp;D108</f>
        <v>41010_2</v>
      </c>
      <c r="F108" s="208" t="str">
        <f>VLOOKUP(E108,[3]stages!$A:$H,8,FALSE)</f>
        <v>【ウィザード級】フレイ襲来</v>
      </c>
    </row>
    <row r="109" spans="1:6" ht="21" customHeight="1" x14ac:dyDescent="0.15">
      <c r="A109" s="209">
        <v>576</v>
      </c>
      <c r="B109" s="205" t="str">
        <f>VLOOKUP(A109,[2]characters!$A:$C,3,FALSE)</f>
        <v>統勝の豊穣王神 フレイ</v>
      </c>
      <c r="C109" s="36">
        <v>41010</v>
      </c>
      <c r="D109" s="26">
        <v>2</v>
      </c>
      <c r="E109" s="208" t="str">
        <f t="shared" si="10"/>
        <v>41010_2</v>
      </c>
      <c r="F109" s="208" t="str">
        <f>VLOOKUP(E109,[3]stages!$A:$H,8,FALSE)</f>
        <v>【ウィザード級】フレイ襲来</v>
      </c>
    </row>
    <row r="110" spans="1:6" ht="21" customHeight="1" x14ac:dyDescent="0.15">
      <c r="A110" s="209">
        <v>577</v>
      </c>
      <c r="B110" s="205" t="str">
        <f>VLOOKUP(A110,[2]characters!$A:$C,3,FALSE)</f>
        <v>ビュグヴィルとベイラ</v>
      </c>
      <c r="C110" s="36">
        <v>30026</v>
      </c>
      <c r="D110" s="26">
        <v>3</v>
      </c>
      <c r="E110" s="208" t="str">
        <f t="shared" si="10"/>
        <v>30026_3</v>
      </c>
      <c r="F110" s="208" t="str">
        <f>VLOOKUP(E110,[3]stages!$A:$H,8,FALSE)</f>
        <v>【超級】道を阻む妖精夫婦</v>
      </c>
    </row>
    <row r="111" spans="1:6" ht="21" customHeight="1" x14ac:dyDescent="0.15">
      <c r="A111" s="209">
        <v>578</v>
      </c>
      <c r="B111" s="205" t="str">
        <f>VLOOKUP(A111,[2]characters!$A:$C,3,FALSE)</f>
        <v>穣神従事 ビュグヴィルとベイラ</v>
      </c>
      <c r="C111" s="36">
        <v>30026</v>
      </c>
      <c r="D111" s="26">
        <v>3</v>
      </c>
      <c r="E111" s="208" t="str">
        <f t="shared" si="10"/>
        <v>30026_3</v>
      </c>
      <c r="F111" s="208" t="str">
        <f>VLOOKUP(E111,[3]stages!$A:$H,8,FALSE)</f>
        <v>【超級】道を阻む妖精夫婦</v>
      </c>
    </row>
    <row r="112" spans="1:6" ht="21" customHeight="1" x14ac:dyDescent="0.15">
      <c r="A112" s="209">
        <v>579</v>
      </c>
      <c r="B112" s="205" t="str">
        <f>VLOOKUP(A112,[2]characters!$A:$C,3,FALSE)</f>
        <v>オーズ</v>
      </c>
      <c r="C112" s="36">
        <v>30025</v>
      </c>
      <c r="D112" s="26">
        <v>3</v>
      </c>
      <c r="E112" s="208" t="str">
        <f t="shared" si="10"/>
        <v>30025_3</v>
      </c>
      <c r="F112" s="208" t="str">
        <f>VLOOKUP(E112,[3]stages!$A:$H,8,FALSE)</f>
        <v>【超級】真実の探求者</v>
      </c>
    </row>
    <row r="113" spans="1:6" ht="21" customHeight="1" x14ac:dyDescent="0.15">
      <c r="A113" s="209">
        <v>580</v>
      </c>
      <c r="B113" s="205" t="str">
        <f>VLOOKUP(A113,[2]characters!$A:$C,3,FALSE)</f>
        <v>愛憐の旅神 オーズ</v>
      </c>
      <c r="C113" s="36">
        <v>30025</v>
      </c>
      <c r="D113" s="26">
        <v>3</v>
      </c>
      <c r="E113" s="208" t="str">
        <f t="shared" si="10"/>
        <v>30025_3</v>
      </c>
      <c r="F113" s="208" t="str">
        <f>VLOOKUP(E113,[3]stages!$A:$H,8,FALSE)</f>
        <v>【超級】真実の探求者</v>
      </c>
    </row>
    <row r="114" spans="1:6" ht="21" customHeight="1" x14ac:dyDescent="0.15">
      <c r="A114" s="209">
        <v>581</v>
      </c>
      <c r="B114" s="205" t="str">
        <f>VLOOKUP(A114,[2]characters!$A:$C,3,FALSE)</f>
        <v>フギンとムニン</v>
      </c>
      <c r="C114" s="36">
        <v>41009</v>
      </c>
      <c r="D114" s="26">
        <v>2</v>
      </c>
      <c r="E114" s="208" t="str">
        <f t="shared" si="10"/>
        <v>41009_2</v>
      </c>
      <c r="F114" s="208" t="str">
        <f>VLOOKUP(E114,[3]stages!$A:$H,8,FALSE)</f>
        <v>【ウィザード級】フギンとムニン襲来</v>
      </c>
    </row>
    <row r="115" spans="1:6" ht="21" customHeight="1" x14ac:dyDescent="0.15">
      <c r="A115" s="209">
        <v>582</v>
      </c>
      <c r="B115" s="205" t="str">
        <f>VLOOKUP(A115,[2]characters!$A:$C,3,FALSE)</f>
        <v>空を駆る双鴉 フギンとムニン</v>
      </c>
      <c r="C115" s="36">
        <v>41009</v>
      </c>
      <c r="D115" s="26">
        <v>2</v>
      </c>
      <c r="E115" s="208" t="str">
        <f t="shared" si="10"/>
        <v>41009_2</v>
      </c>
      <c r="F115" s="208" t="str">
        <f>VLOOKUP(E115,[3]stages!$A:$H,8,FALSE)</f>
        <v>【ウィザード級】フギンとムニン襲来</v>
      </c>
    </row>
    <row r="116" spans="1:6" ht="21" customHeight="1" x14ac:dyDescent="0.15">
      <c r="A116" s="209">
        <v>583</v>
      </c>
      <c r="B116" s="205" t="str">
        <f>VLOOKUP(A116,[2]characters!$A:$C,3,FALSE)</f>
        <v>ミョルニル</v>
      </c>
      <c r="C116" s="36">
        <v>30024</v>
      </c>
      <c r="D116" s="26">
        <v>3</v>
      </c>
      <c r="E116" s="208" t="str">
        <f t="shared" si="10"/>
        <v>30024_3</v>
      </c>
      <c r="F116" s="208" t="str">
        <f>VLOOKUP(E116,[3]stages!$A:$H,8,FALSE)</f>
        <v>【超級】雷鎚の選定</v>
      </c>
    </row>
    <row r="117" spans="1:6" ht="21" customHeight="1" x14ac:dyDescent="0.15">
      <c r="A117" s="209">
        <v>584</v>
      </c>
      <c r="B117" s="205" t="str">
        <f>VLOOKUP(A117,[2]characters!$A:$C,3,FALSE)</f>
        <v>自律する召雷鎚 ミョルニル</v>
      </c>
      <c r="C117" s="36">
        <v>30024</v>
      </c>
      <c r="D117" s="26">
        <v>3</v>
      </c>
      <c r="E117" s="208" t="str">
        <f t="shared" ref="E117:E120" si="11">C117&amp;"_"&amp;D117</f>
        <v>30024_3</v>
      </c>
      <c r="F117" s="208" t="str">
        <f>VLOOKUP(E117,[3]stages!$A:$H,8,FALSE)</f>
        <v>【超級】雷鎚の選定</v>
      </c>
    </row>
    <row r="118" spans="1:6" ht="21" customHeight="1" x14ac:dyDescent="0.15">
      <c r="A118" s="209">
        <v>460</v>
      </c>
      <c r="B118" s="205" t="str">
        <f>VLOOKUP(A118,[2]characters!$A:$C,3,FALSE)</f>
        <v>オズ</v>
      </c>
      <c r="C118" s="36">
        <v>41005</v>
      </c>
      <c r="D118" s="26">
        <v>2</v>
      </c>
      <c r="E118" s="208" t="str">
        <f>C118&amp;"_"&amp;D118</f>
        <v>41005_2</v>
      </c>
      <c r="F118" s="208" t="str">
        <f>VLOOKUP(E118,[3]stages!$A:$H,8,FALSE)</f>
        <v>【ウィザード級】オズ襲来</v>
      </c>
    </row>
    <row r="119" spans="1:6" ht="21" customHeight="1" x14ac:dyDescent="0.15">
      <c r="A119" s="209">
        <v>461</v>
      </c>
      <c r="B119" s="205" t="str">
        <f>VLOOKUP(A119,[2]characters!$A:$C,3,FALSE)</f>
        <v>大いなる虚像 オズ</v>
      </c>
      <c r="C119" s="36">
        <v>41005</v>
      </c>
      <c r="D119" s="26">
        <v>2</v>
      </c>
      <c r="E119" s="208" t="str">
        <f t="shared" si="11"/>
        <v>41005_2</v>
      </c>
      <c r="F119" s="208" t="str">
        <f>VLOOKUP(E119,[3]stages!$A:$H,8,FALSE)</f>
        <v>【ウィザード級】オズ襲来</v>
      </c>
    </row>
    <row r="120" spans="1:6" ht="21" customHeight="1" x14ac:dyDescent="0.15">
      <c r="A120" s="209">
        <v>472</v>
      </c>
      <c r="B120" s="205" t="str">
        <f>VLOOKUP(A120,[2]characters!$A:$C,3,FALSE)</f>
        <v>アーサー</v>
      </c>
      <c r="C120" s="36">
        <v>41006</v>
      </c>
      <c r="D120" s="26">
        <v>2</v>
      </c>
      <c r="E120" s="208" t="str">
        <f t="shared" si="11"/>
        <v>41006_2</v>
      </c>
      <c r="F120" s="208" t="str">
        <f>VLOOKUP(E120,[3]stages!$A:$H,8,FALSE)</f>
        <v>【ウィザード級】アーサー襲来</v>
      </c>
    </row>
    <row r="121" spans="1:6" ht="21" customHeight="1" x14ac:dyDescent="0.15">
      <c r="A121" s="209">
        <v>473</v>
      </c>
      <c r="B121" s="205" t="str">
        <f>VLOOKUP(A121,[2]characters!$A:$C,3,FALSE)</f>
        <v>凶堅なる正義 アーサー</v>
      </c>
      <c r="C121" s="36">
        <v>41006</v>
      </c>
      <c r="D121" s="26">
        <v>2</v>
      </c>
      <c r="E121" s="208" t="str">
        <f t="shared" ref="E121:E122" si="12">C121&amp;"_"&amp;D121</f>
        <v>41006_2</v>
      </c>
      <c r="F121" s="208" t="str">
        <f>VLOOKUP(E121,[3]stages!$A:$H,8,FALSE)</f>
        <v>【ウィザード級】アーサー襲来</v>
      </c>
    </row>
    <row r="122" spans="1:6" ht="21" customHeight="1" x14ac:dyDescent="0.15">
      <c r="A122" s="209">
        <v>490</v>
      </c>
      <c r="B122" s="205" t="str">
        <f>VLOOKUP(A122,[2]characters!$A:$C,3,FALSE)</f>
        <v>グリム</v>
      </c>
      <c r="C122" s="36">
        <v>41007</v>
      </c>
      <c r="D122" s="26">
        <v>2</v>
      </c>
      <c r="E122" s="208" t="str">
        <f t="shared" si="12"/>
        <v>41007_2</v>
      </c>
      <c r="F122" s="208" t="str">
        <f>VLOOKUP(E122,[3]stages!$A:$H,8,FALSE)</f>
        <v>【ウィザード級】グリム襲来</v>
      </c>
    </row>
    <row r="123" spans="1:6" ht="21" customHeight="1" x14ac:dyDescent="0.15">
      <c r="A123" s="209">
        <v>491</v>
      </c>
      <c r="B123" s="205" t="str">
        <f>VLOOKUP(A123,[2]characters!$A:$C,3,FALSE)</f>
        <v>収魂の群影 グリム</v>
      </c>
      <c r="C123" s="36">
        <v>41007</v>
      </c>
      <c r="D123" s="26">
        <v>2</v>
      </c>
      <c r="E123" s="208" t="str">
        <f t="shared" ref="E123:E125" si="13">C123&amp;"_"&amp;D123</f>
        <v>41007_2</v>
      </c>
      <c r="F123" s="208" t="str">
        <f>VLOOKUP(E123,[3]stages!$A:$H,8,FALSE)</f>
        <v>【ウィザード級】グリム襲来</v>
      </c>
    </row>
    <row r="124" spans="1:6" ht="21" customHeight="1" x14ac:dyDescent="0.15">
      <c r="A124" s="228">
        <v>654</v>
      </c>
      <c r="B124" s="205" t="str">
        <f>VLOOKUP(A124,[2]characters!$A:$C,3,FALSE)</f>
        <v>酒呑童子 ヨミ</v>
      </c>
      <c r="C124" s="36">
        <v>41011</v>
      </c>
      <c r="D124" s="26">
        <v>2</v>
      </c>
      <c r="E124" s="208" t="str">
        <f t="shared" si="13"/>
        <v>41011_2</v>
      </c>
      <c r="F124" s="208" t="str">
        <f>VLOOKUP(E124,[3]stages!$A:$H,8,FALSE)</f>
        <v>【ウィザード級】ヨミ襲来</v>
      </c>
    </row>
    <row r="125" spans="1:6" ht="21" customHeight="1" x14ac:dyDescent="0.15">
      <c r="A125" s="228">
        <v>655</v>
      </c>
      <c r="B125" s="205" t="str">
        <f>VLOOKUP(A125,[2]characters!$A:$C,3,FALSE)</f>
        <v>桜花舞う嵐鬼神 ヨミ</v>
      </c>
      <c r="C125" s="36">
        <v>41011</v>
      </c>
      <c r="D125" s="26">
        <v>2</v>
      </c>
      <c r="E125" s="208" t="str">
        <f t="shared" si="13"/>
        <v>41011_2</v>
      </c>
      <c r="F125" s="208" t="str">
        <f>VLOOKUP(E125,[3]stages!$A:$H,8,FALSE)</f>
        <v>【ウィザード級】ヨミ襲来</v>
      </c>
    </row>
    <row r="126" spans="1:6" ht="21" customHeight="1" x14ac:dyDescent="0.15">
      <c r="A126" s="228">
        <v>646</v>
      </c>
      <c r="B126" s="205" t="str">
        <f>VLOOKUP(A126,[2]characters!$A:$C,3,FALSE)</f>
        <v>雪女 ユキ</v>
      </c>
      <c r="C126" s="36">
        <v>30027</v>
      </c>
      <c r="D126" s="26">
        <v>3</v>
      </c>
      <c r="E126" s="208" t="str">
        <f t="shared" ref="E126:E127" si="14">C126&amp;"_"&amp;D126</f>
        <v>30027_3</v>
      </c>
      <c r="F126" s="208" t="str">
        <f>VLOOKUP(E126,[3]stages!$A:$H,8,FALSE)</f>
        <v>【超級】凍りつくまで愛してあげる</v>
      </c>
    </row>
    <row r="127" spans="1:6" ht="21" customHeight="1" x14ac:dyDescent="0.15">
      <c r="A127" s="228">
        <v>647</v>
      </c>
      <c r="B127" s="205" t="str">
        <f>VLOOKUP(A127,[2]characters!$A:$C,3,FALSE)</f>
        <v>氷麗の雪化生 ユキ</v>
      </c>
      <c r="C127" s="36">
        <v>30027</v>
      </c>
      <c r="D127" s="26">
        <v>3</v>
      </c>
      <c r="E127" s="208" t="str">
        <f t="shared" si="14"/>
        <v>30027_3</v>
      </c>
      <c r="F127" s="208" t="str">
        <f>VLOOKUP(E127,[3]stages!$A:$H,8,FALSE)</f>
        <v>【超級】凍りつくまで愛してあげる</v>
      </c>
    </row>
    <row r="128" spans="1:6" ht="21" customHeight="1" x14ac:dyDescent="0.15">
      <c r="A128" s="228">
        <v>650</v>
      </c>
      <c r="B128" s="205" t="str">
        <f>VLOOKUP(A128,[2]characters!$A:$C,3,FALSE)</f>
        <v>土蜘蛛 ユウヤ</v>
      </c>
      <c r="C128" s="36">
        <v>30028</v>
      </c>
      <c r="D128" s="26">
        <v>3</v>
      </c>
      <c r="E128" s="208" t="str">
        <f t="shared" ref="E128:E129" si="15">C128&amp;"_"&amp;D128</f>
        <v>30028_3</v>
      </c>
      <c r="F128" s="208" t="str">
        <f>VLOOKUP(E128,[3]stages!$A:$H,8,FALSE)</f>
        <v>【超級】最悪の刺客</v>
      </c>
    </row>
    <row r="129" spans="1:6" ht="21" customHeight="1" x14ac:dyDescent="0.15">
      <c r="A129" s="228">
        <v>651</v>
      </c>
      <c r="B129" s="205" t="str">
        <f>VLOOKUP(A129,[2]characters!$A:$C,3,FALSE)</f>
        <v>八重祟障 ユウヤ</v>
      </c>
      <c r="C129" s="36">
        <v>30028</v>
      </c>
      <c r="D129" s="26">
        <v>3</v>
      </c>
      <c r="E129" s="208" t="str">
        <f t="shared" si="15"/>
        <v>30028_3</v>
      </c>
      <c r="F129" s="208" t="str">
        <f>VLOOKUP(E129,[3]stages!$A:$H,8,FALSE)</f>
        <v>【超級】最悪の刺客</v>
      </c>
    </row>
    <row r="130" spans="1:6" ht="21" customHeight="1" x14ac:dyDescent="0.15">
      <c r="A130" s="228">
        <v>648</v>
      </c>
      <c r="B130" s="205" t="str">
        <f>VLOOKUP(A130,[2]characters!$A:$C,3,FALSE)</f>
        <v>パールヴァティ</v>
      </c>
      <c r="C130" s="36">
        <v>30029</v>
      </c>
      <c r="D130" s="26">
        <v>3</v>
      </c>
      <c r="E130" s="208" t="str">
        <f t="shared" ref="E130:E131" si="16">C130&amp;"_"&amp;D130</f>
        <v>30029_3</v>
      </c>
      <c r="F130" s="208" t="str">
        <f>VLOOKUP(E130,[3]stages!$A:$H,8,FALSE)</f>
        <v>【超級】全ては主のために</v>
      </c>
    </row>
    <row r="131" spans="1:6" ht="21" customHeight="1" x14ac:dyDescent="0.15">
      <c r="A131" s="228">
        <v>652</v>
      </c>
      <c r="B131" s="205" t="str">
        <f>VLOOKUP(A131,[2]characters!$A:$C,3,FALSE)</f>
        <v>アナンタ</v>
      </c>
      <c r="C131" s="36">
        <v>30030</v>
      </c>
      <c r="D131" s="26">
        <v>3</v>
      </c>
      <c r="E131" s="208" t="str">
        <f t="shared" si="16"/>
        <v>30030_3</v>
      </c>
      <c r="F131" s="208" t="str">
        <f>VLOOKUP(E131,[3]stages!$A:$H,8,FALSE)</f>
        <v>【超級】ここは誰の箱庭じゃ？</v>
      </c>
    </row>
    <row r="132" spans="1:6" ht="21" customHeight="1" x14ac:dyDescent="0.15">
      <c r="A132" s="228">
        <v>764</v>
      </c>
      <c r="B132" s="205" t="str">
        <f>VLOOKUP(A132,[2]characters!$A:$C,3,FALSE)</f>
        <v>ライオネル</v>
      </c>
      <c r="C132" s="36">
        <v>30031</v>
      </c>
      <c r="D132" s="26">
        <v>3</v>
      </c>
      <c r="E132" s="208" t="str">
        <f t="shared" ref="E132" si="17">C132&amp;"_"&amp;D132</f>
        <v>30031_3</v>
      </c>
      <c r="F132" s="208" t="str">
        <f>VLOOKUP(E132,[3]stages!$A:$H,8,FALSE)</f>
        <v>【超級】力への羨望</v>
      </c>
    </row>
    <row r="133" spans="1:6" ht="21" customHeight="1" x14ac:dyDescent="0.15">
      <c r="A133" s="228">
        <v>766</v>
      </c>
      <c r="B133" s="205" t="str">
        <f>VLOOKUP(A133,[2]characters!$A:$C,3,FALSE)</f>
        <v>ランドラグ</v>
      </c>
      <c r="C133" s="36">
        <v>30032</v>
      </c>
      <c r="D133" s="26">
        <v>3</v>
      </c>
      <c r="E133" s="208" t="str">
        <f t="shared" ref="E133" si="18">C133&amp;"_"&amp;D133</f>
        <v>30032_3</v>
      </c>
      <c r="F133" s="208" t="str">
        <f>VLOOKUP(E133,[3]stages!$A:$H,8,FALSE)</f>
        <v>【超級】赤き竜の制裁</v>
      </c>
    </row>
    <row r="134" spans="1:6" ht="21" customHeight="1" x14ac:dyDescent="0.15">
      <c r="A134" s="228">
        <v>720</v>
      </c>
      <c r="B134" s="205" t="str">
        <f>VLOOKUP(A134,[2]characters!$A:$C,3,FALSE)</f>
        <v>直江兼続</v>
      </c>
      <c r="C134" s="36">
        <v>20013</v>
      </c>
      <c r="D134" s="26">
        <v>3</v>
      </c>
      <c r="E134" s="208" t="str">
        <f t="shared" ref="E134:E137" si="19">C134&amp;"_"&amp;D134</f>
        <v>20013_3</v>
      </c>
      <c r="F134" s="208" t="str">
        <f>VLOOKUP(E134,[3]stages!$A:$H,8,FALSE)</f>
        <v>【上級】天の時、地の利、人の和</v>
      </c>
    </row>
    <row r="135" spans="1:6" ht="21" customHeight="1" x14ac:dyDescent="0.15">
      <c r="A135" s="228">
        <v>722</v>
      </c>
      <c r="B135" s="205" t="str">
        <f>VLOOKUP(A135,[2]characters!$A:$C,3,FALSE)</f>
        <v>森蘭丸</v>
      </c>
      <c r="C135" s="36">
        <v>30033</v>
      </c>
      <c r="D135" s="26">
        <v>3</v>
      </c>
      <c r="E135" s="208" t="str">
        <f t="shared" si="19"/>
        <v>30033_3</v>
      </c>
      <c r="F135" s="208" t="str">
        <f>VLOOKUP(E135,[3]stages!$A:$H,8,FALSE)</f>
        <v>【超級】御館様の懐刀</v>
      </c>
    </row>
    <row r="136" spans="1:6" ht="21" customHeight="1" x14ac:dyDescent="0.15">
      <c r="A136" s="209">
        <v>644</v>
      </c>
      <c r="B136" s="205" t="str">
        <f>VLOOKUP(A136,[2]characters!$A:$C,3,FALSE)</f>
        <v>滑瓢 ショウキ</v>
      </c>
      <c r="C136" s="36">
        <v>41012</v>
      </c>
      <c r="D136" s="26">
        <v>2</v>
      </c>
      <c r="E136" s="208" t="str">
        <f t="shared" si="19"/>
        <v>41012_2</v>
      </c>
      <c r="F136" s="208" t="str">
        <f>VLOOKUP(E136,[3]stages!$A:$H,8,FALSE)</f>
        <v>【ウィザード級】ショウキ襲来</v>
      </c>
    </row>
    <row r="137" spans="1:6" ht="21" customHeight="1" x14ac:dyDescent="0.15">
      <c r="A137" s="209">
        <v>645</v>
      </c>
      <c r="B137" s="205" t="str">
        <f>VLOOKUP(A137,[2]characters!$A:$C,3,FALSE)</f>
        <v>百鬼夜行の創大将 ショウキ</v>
      </c>
      <c r="C137" s="36">
        <v>41012</v>
      </c>
      <c r="D137" s="26">
        <v>2</v>
      </c>
      <c r="E137" s="208" t="str">
        <f t="shared" si="19"/>
        <v>41012_2</v>
      </c>
      <c r="F137" s="208" t="str">
        <f>VLOOKUP(E137,[3]stages!$A:$H,8,FALSE)</f>
        <v>【ウィザード級】ショウキ襲来</v>
      </c>
    </row>
    <row r="138" spans="1:6" ht="21" customHeight="1" x14ac:dyDescent="0.15">
      <c r="A138" s="209">
        <v>642</v>
      </c>
      <c r="B138" s="205" t="str">
        <f>VLOOKUP(A138,[2]characters!$A:$C,3,FALSE)</f>
        <v>カーマ</v>
      </c>
      <c r="C138" s="36">
        <v>41013</v>
      </c>
      <c r="D138" s="26">
        <v>2</v>
      </c>
      <c r="E138" s="208" t="str">
        <f>C138&amp;"_"&amp;D138</f>
        <v>41013_2</v>
      </c>
      <c r="F138" s="208" t="str">
        <f>VLOOKUP(E138,[3]stages!$A:$H,8,FALSE)</f>
        <v>【ウィザード級】カーマ襲来</v>
      </c>
    </row>
    <row r="139" spans="1:6" ht="21" customHeight="1" x14ac:dyDescent="0.15">
      <c r="A139" s="209">
        <v>643</v>
      </c>
      <c r="B139" s="205" t="str">
        <f>VLOOKUP(A139,[2]characters!$A:$C,3,FALSE)</f>
        <v>愛花天神 カーマ</v>
      </c>
      <c r="C139" s="36">
        <v>41013</v>
      </c>
      <c r="D139" s="26">
        <v>2</v>
      </c>
      <c r="E139" s="208" t="str">
        <f>C139&amp;"_"&amp;D139</f>
        <v>41013_2</v>
      </c>
      <c r="F139" s="208" t="str">
        <f>VLOOKUP(E139,[3]stages!$A:$H,8,FALSE)</f>
        <v>【ウィザード級】カーマ襲来</v>
      </c>
    </row>
    <row r="140" spans="1:6" ht="21" customHeight="1" x14ac:dyDescent="0.15">
      <c r="A140" s="209">
        <v>656</v>
      </c>
      <c r="B140" s="205" t="str">
        <f>VLOOKUP(A140,[2]characters!$A:$C,3,FALSE)</f>
        <v>シヴァ</v>
      </c>
      <c r="C140" s="36">
        <v>41014</v>
      </c>
      <c r="D140" s="26">
        <v>2</v>
      </c>
      <c r="E140" s="208" t="str">
        <f t="shared" ref="E140:E141" si="20">C140&amp;"_"&amp;D140</f>
        <v>41014_2</v>
      </c>
      <c r="F140" s="208" t="str">
        <f>VLOOKUP(E140,[3]stages!$A:$H,8,FALSE)</f>
        <v>【ウィザード級】シヴァ襲来</v>
      </c>
    </row>
    <row r="141" spans="1:6" ht="21" customHeight="1" x14ac:dyDescent="0.15">
      <c r="A141" s="209">
        <v>657</v>
      </c>
      <c r="B141" s="205" t="str">
        <f>VLOOKUP(A141,[2]characters!$A:$C,3,FALSE)</f>
        <v>解滅の裁神 シヴァ</v>
      </c>
      <c r="C141" s="36">
        <v>41014</v>
      </c>
      <c r="D141" s="26">
        <v>2</v>
      </c>
      <c r="E141" s="208" t="str">
        <f t="shared" si="20"/>
        <v>41014_2</v>
      </c>
      <c r="F141" s="208" t="str">
        <f>VLOOKUP(E141,[3]stages!$A:$H,8,FALSE)</f>
        <v>【ウィザード級】シヴァ襲来</v>
      </c>
    </row>
    <row r="142" spans="1:6" ht="21" customHeight="1" x14ac:dyDescent="0.15">
      <c r="A142" s="209">
        <v>768</v>
      </c>
      <c r="B142" s="205" t="str">
        <f>VLOOKUP(A142,[2]characters!$A:$C,3,FALSE)</f>
        <v>ガレス</v>
      </c>
      <c r="C142" s="36">
        <v>41015</v>
      </c>
      <c r="D142" s="26">
        <v>2</v>
      </c>
      <c r="E142" s="208" t="str">
        <f>C142&amp;"_"&amp;D142</f>
        <v>41015_2</v>
      </c>
      <c r="F142" s="208" t="str">
        <f>VLOOKUP(E142,[3]stages!$A:$H,8,FALSE)</f>
        <v>【ウィザード級】ガレス襲来</v>
      </c>
    </row>
    <row r="143" spans="1:6" ht="21" customHeight="1" x14ac:dyDescent="0.15">
      <c r="A143" s="209">
        <v>769</v>
      </c>
      <c r="B143" s="205" t="str">
        <f>VLOOKUP(A143,[2]characters!$A:$C,3,FALSE)</f>
        <v>白域・純双剣 ガレス</v>
      </c>
      <c r="C143" s="36">
        <v>41015</v>
      </c>
      <c r="D143" s="26">
        <v>2</v>
      </c>
      <c r="E143" s="208" t="str">
        <f>C143&amp;"_"&amp;D143</f>
        <v>41015_2</v>
      </c>
      <c r="F143" s="208" t="str">
        <f>VLOOKUP(E143,[3]stages!$A:$H,8,FALSE)</f>
        <v>【ウィザード級】ガレス襲来</v>
      </c>
    </row>
    <row r="144" spans="1:6" ht="21" customHeight="1" x14ac:dyDescent="0.15">
      <c r="A144" s="209">
        <v>724</v>
      </c>
      <c r="B144" s="205" t="str">
        <f>VLOOKUP(A144,[2]characters!$A:$C,3,FALSE)</f>
        <v>武田信玄</v>
      </c>
      <c r="C144" s="36">
        <v>40016</v>
      </c>
      <c r="D144" s="26">
        <v>1</v>
      </c>
      <c r="E144" s="208" t="str">
        <f t="shared" ref="E144:E147" si="21">C144&amp;"_"&amp;D144</f>
        <v>40016_1</v>
      </c>
      <c r="F144" s="208" t="str">
        <f>VLOOKUP(E144,[3]stages!$A:$H,8,FALSE)</f>
        <v xml:space="preserve">【ウィザード級】武田信玄襲来 </v>
      </c>
    </row>
    <row r="145" spans="1:6" ht="21" customHeight="1" x14ac:dyDescent="0.15">
      <c r="A145" s="209">
        <v>725</v>
      </c>
      <c r="B145" s="205" t="str">
        <f>VLOOKUP(A145,[2]characters!$A:$C,3,FALSE)</f>
        <v>泰然の暴虎 武田信玄</v>
      </c>
      <c r="C145" s="36">
        <v>40016</v>
      </c>
      <c r="D145" s="26">
        <v>1</v>
      </c>
      <c r="E145" s="208" t="str">
        <f t="shared" si="21"/>
        <v>40016_1</v>
      </c>
      <c r="F145" s="208" t="str">
        <f>VLOOKUP(E145,[3]stages!$A:$H,8,FALSE)</f>
        <v xml:space="preserve">【ウィザード級】武田信玄襲来 </v>
      </c>
    </row>
    <row r="146" spans="1:6" ht="21" customHeight="1" x14ac:dyDescent="0.15">
      <c r="A146" s="209">
        <v>693</v>
      </c>
      <c r="B146" s="205" t="str">
        <f>VLOOKUP(A146,[2]characters!$A:$C,3,FALSE)</f>
        <v>紀田正臣</v>
      </c>
      <c r="C146" s="36">
        <v>39002</v>
      </c>
      <c r="D146" s="26">
        <v>4</v>
      </c>
      <c r="E146" s="208" t="str">
        <f t="shared" si="21"/>
        <v>39002_4</v>
      </c>
      <c r="F146" s="208" t="str">
        <f>VLOOKUP(E146,[3]stages!$A:$H,8,FALSE)</f>
        <v>【超級】黄巾賊の暴走を止めろ</v>
      </c>
    </row>
    <row r="147" spans="1:6" ht="21" customHeight="1" x14ac:dyDescent="0.15">
      <c r="A147" s="209">
        <v>694</v>
      </c>
      <c r="B147" s="205" t="str">
        <f>VLOOKUP(A147,[2]characters!$A:$C,3,FALSE)</f>
        <v>黄巾賊の将軍 紀田正臣</v>
      </c>
      <c r="C147" s="36">
        <v>39002</v>
      </c>
      <c r="D147" s="26">
        <v>4</v>
      </c>
      <c r="E147" s="208" t="str">
        <f t="shared" si="21"/>
        <v>39002_4</v>
      </c>
      <c r="F147" s="208" t="str">
        <f>VLOOKUP(E147,[3]stages!$A:$H,8,FALSE)</f>
        <v>【超級】黄巾賊の暴走を止めろ</v>
      </c>
    </row>
    <row r="148" spans="1:6" ht="21" customHeight="1" x14ac:dyDescent="0.15">
      <c r="A148" s="209">
        <v>691</v>
      </c>
      <c r="B148" s="205" t="str">
        <f>VLOOKUP(A148,[2]characters!$A:$C,3,FALSE)</f>
        <v>黒沼青葉</v>
      </c>
      <c r="C148" s="36">
        <v>39003</v>
      </c>
      <c r="D148" s="26">
        <v>4</v>
      </c>
      <c r="E148" s="208" t="str">
        <f t="shared" ref="E148:E149" si="22">C148&amp;"_"&amp;D148</f>
        <v>39003_4</v>
      </c>
      <c r="F148" s="208" t="str">
        <f>VLOOKUP(E148,[3]stages!$A:$H,8,FALSE)</f>
        <v>【超級】ブルースクウェアを追え！</v>
      </c>
    </row>
    <row r="149" spans="1:6" ht="21" customHeight="1" x14ac:dyDescent="0.15">
      <c r="A149" s="209">
        <v>692</v>
      </c>
      <c r="B149" s="205" t="str">
        <f>VLOOKUP(A149,[2]characters!$A:$C,3,FALSE)</f>
        <v>暗躍する偽帝 黒沼青葉</v>
      </c>
      <c r="C149" s="36">
        <v>39003</v>
      </c>
      <c r="D149" s="26">
        <v>4</v>
      </c>
      <c r="E149" s="208" t="str">
        <f t="shared" si="22"/>
        <v>39003_4</v>
      </c>
      <c r="F149" s="208" t="str">
        <f>VLOOKUP(E149,[3]stages!$A:$H,8,FALSE)</f>
        <v>【超級】ブルースクウェアを追え！</v>
      </c>
    </row>
    <row r="150" spans="1:6" ht="21" customHeight="1" x14ac:dyDescent="0.15">
      <c r="A150" s="209">
        <v>121</v>
      </c>
      <c r="B150" s="205" t="str">
        <f>VLOOKUP(A150,[2]characters!$A:$C,3,FALSE)</f>
        <v>攻めの果実</v>
      </c>
      <c r="C150" s="37">
        <v>11207</v>
      </c>
      <c r="D150" s="26">
        <v>2</v>
      </c>
      <c r="E150" s="208" t="str">
        <f t="shared" ref="E150:E152" si="23">C150&amp;"_"&amp;D150</f>
        <v>11207_2</v>
      </c>
      <c r="F150" s="208" t="str">
        <f>VLOOKUP(E150,[3]stages!$A:$H,8,FALSE)</f>
        <v>【超級】果実達の大宴会</v>
      </c>
    </row>
    <row r="151" spans="1:6" ht="21" customHeight="1" x14ac:dyDescent="0.15">
      <c r="A151" s="209">
        <v>122</v>
      </c>
      <c r="B151" s="205" t="str">
        <f>VLOOKUP(A151,[2]characters!$A:$C,3,FALSE)</f>
        <v>生命の果実</v>
      </c>
      <c r="C151" s="37">
        <v>11207</v>
      </c>
      <c r="D151" s="26">
        <v>2</v>
      </c>
      <c r="E151" s="208" t="str">
        <f t="shared" si="23"/>
        <v>11207_2</v>
      </c>
      <c r="F151" s="208" t="str">
        <f>VLOOKUP(E151,[3]stages!$A:$H,8,FALSE)</f>
        <v>【超級】果実達の大宴会</v>
      </c>
    </row>
    <row r="152" spans="1:6" ht="21" customHeight="1" x14ac:dyDescent="0.15">
      <c r="A152" s="209">
        <v>123</v>
      </c>
      <c r="B152" s="205" t="str">
        <f>VLOOKUP(A152,[2]characters!$A:$C,3,FALSE)</f>
        <v>癒しの果実</v>
      </c>
      <c r="C152" s="37">
        <v>11207</v>
      </c>
      <c r="D152" s="26">
        <v>2</v>
      </c>
      <c r="E152" s="208" t="str">
        <f t="shared" si="23"/>
        <v>11207_2</v>
      </c>
      <c r="F152" s="208" t="str">
        <f>VLOOKUP(E152,[3]stages!$A:$H,8,FALSE)</f>
        <v>【超級】果実達の大宴会</v>
      </c>
    </row>
    <row r="153" spans="1:6" ht="21" customHeight="1" x14ac:dyDescent="0.15">
      <c r="A153" s="209">
        <v>607</v>
      </c>
      <c r="B153" s="205" t="str">
        <f>VLOOKUP(A153,[2]characters!$A:$C,3,FALSE)</f>
        <v>メガ攻めの果実</v>
      </c>
      <c r="C153" s="37">
        <v>14003</v>
      </c>
      <c r="D153" s="26">
        <v>1</v>
      </c>
      <c r="E153" s="208" t="str">
        <f t="shared" ref="E153:E155" si="24">C153&amp;"_"&amp;D153</f>
        <v>14003_1</v>
      </c>
      <c r="F153" s="208" t="str">
        <f>VLOOKUP(E153,[3]stages!$A:$H,8,FALSE)</f>
        <v>【超級】果実の楽園（ハートなし）</v>
      </c>
    </row>
    <row r="154" spans="1:6" ht="21" customHeight="1" x14ac:dyDescent="0.15">
      <c r="A154" s="209">
        <v>608</v>
      </c>
      <c r="B154" s="205" t="str">
        <f>VLOOKUP(A154,[2]characters!$A:$C,3,FALSE)</f>
        <v>メガ生命の果実</v>
      </c>
      <c r="C154" s="37">
        <v>14003</v>
      </c>
      <c r="D154" s="26">
        <v>1</v>
      </c>
      <c r="E154" s="208" t="str">
        <f t="shared" si="24"/>
        <v>14003_1</v>
      </c>
      <c r="F154" s="208" t="str">
        <f>VLOOKUP(E154,[3]stages!$A:$H,8,FALSE)</f>
        <v>【超級】果実の楽園（ハートなし）</v>
      </c>
    </row>
    <row r="155" spans="1:6" ht="21" customHeight="1" x14ac:dyDescent="0.15">
      <c r="A155" s="209">
        <v>609</v>
      </c>
      <c r="B155" s="205" t="str">
        <f>VLOOKUP(A155,[2]characters!$A:$C,3,FALSE)</f>
        <v>メガ癒しの果実</v>
      </c>
      <c r="C155" s="37">
        <v>14003</v>
      </c>
      <c r="D155" s="26">
        <v>1</v>
      </c>
      <c r="E155" s="208" t="str">
        <f t="shared" si="24"/>
        <v>14003_1</v>
      </c>
      <c r="F155" s="208" t="str">
        <f>VLOOKUP(E155,[3]stages!$A:$H,8,FALSE)</f>
        <v>【超級】果実の楽園（ハートなし）</v>
      </c>
    </row>
    <row r="156" spans="1:6" ht="21" customHeight="1" x14ac:dyDescent="0.15">
      <c r="A156" s="209">
        <v>840</v>
      </c>
      <c r="B156" s="205" t="str">
        <f>VLOOKUP(A156,[2]characters!$A:$C,3,FALSE)</f>
        <v>フェニックス</v>
      </c>
      <c r="C156" s="37">
        <v>30034</v>
      </c>
      <c r="D156" s="26">
        <v>3</v>
      </c>
      <c r="E156" s="208" t="str">
        <f t="shared" ref="E156:E165" si="25">C156&amp;"_"&amp;D156</f>
        <v>30034_3</v>
      </c>
      <c r="F156" s="208" t="str">
        <f>VLOOKUP(E156,[3]stages!$A:$H,8,FALSE)</f>
        <v>【超級】孤高の焔翼</v>
      </c>
    </row>
    <row r="157" spans="1:6" ht="21" customHeight="1" x14ac:dyDescent="0.15">
      <c r="A157" s="209">
        <v>841</v>
      </c>
      <c r="B157" s="205" t="str">
        <f>VLOOKUP(A157,[2]characters!$A:$C,3,FALSE)</f>
        <v>排斥の不死鳥 フェニックス</v>
      </c>
      <c r="C157" s="37">
        <v>30034</v>
      </c>
      <c r="D157" s="26">
        <v>3</v>
      </c>
      <c r="E157" s="208" t="str">
        <f t="shared" si="25"/>
        <v>30034_3</v>
      </c>
      <c r="F157" s="208" t="str">
        <f>VLOOKUP(E157,[3]stages!$A:$H,8,FALSE)</f>
        <v>【超級】孤高の焔翼</v>
      </c>
    </row>
    <row r="158" spans="1:6" ht="21" customHeight="1" x14ac:dyDescent="0.15">
      <c r="A158" s="209">
        <v>842</v>
      </c>
      <c r="B158" s="205" t="str">
        <f>VLOOKUP(A158,[2]characters!$A:$C,3,FALSE)</f>
        <v>セイレーン</v>
      </c>
      <c r="C158" s="37">
        <v>20014</v>
      </c>
      <c r="D158" s="26">
        <v>3</v>
      </c>
      <c r="E158" s="208" t="str">
        <f t="shared" si="25"/>
        <v>20014_3</v>
      </c>
      <c r="F158" s="208" t="str">
        <f>VLOOKUP(E158,[3]stages!$A:$H,8,FALSE)</f>
        <v>【上級】魅了する歌声</v>
      </c>
    </row>
    <row r="159" spans="1:6" ht="21" customHeight="1" x14ac:dyDescent="0.15">
      <c r="A159" s="209">
        <v>843</v>
      </c>
      <c r="B159" s="205" t="str">
        <f>VLOOKUP(A159,[2]characters!$A:$C,3,FALSE)</f>
        <v>荒れ狂う乱歌 セイレーン</v>
      </c>
      <c r="C159" s="37">
        <v>20014</v>
      </c>
      <c r="D159" s="26">
        <v>3</v>
      </c>
      <c r="E159" s="208" t="str">
        <f t="shared" si="25"/>
        <v>20014_3</v>
      </c>
      <c r="F159" s="208" t="str">
        <f>VLOOKUP(E159,[3]stages!$A:$H,8,FALSE)</f>
        <v>【上級】魅了する歌声</v>
      </c>
    </row>
    <row r="160" spans="1:6" ht="21" customHeight="1" x14ac:dyDescent="0.15">
      <c r="A160" s="209">
        <v>844</v>
      </c>
      <c r="B160" s="205" t="str">
        <f>VLOOKUP(A160,[2]characters!$A:$C,3,FALSE)</f>
        <v>ベルゼブブ</v>
      </c>
      <c r="C160" s="37">
        <v>40017</v>
      </c>
      <c r="D160" s="26">
        <v>2</v>
      </c>
      <c r="E160" s="208" t="str">
        <f t="shared" si="25"/>
        <v>40017_2</v>
      </c>
      <c r="F160" s="208" t="str">
        <f>VLOOKUP(E160,[3]stages!$A:$H,8,FALSE)</f>
        <v>【ウィザード級】ベルゼブブ襲来</v>
      </c>
    </row>
    <row r="161" spans="1:6" ht="21" customHeight="1" x14ac:dyDescent="0.15">
      <c r="A161" s="209">
        <v>845</v>
      </c>
      <c r="B161" s="205" t="str">
        <f>VLOOKUP(A161,[2]characters!$A:$C,3,FALSE)</f>
        <v>妖艶なる蝿王 ベルゼブブ</v>
      </c>
      <c r="C161" s="37">
        <v>40017</v>
      </c>
      <c r="D161" s="26">
        <v>2</v>
      </c>
      <c r="E161" s="208" t="str">
        <f t="shared" si="25"/>
        <v>40017_2</v>
      </c>
      <c r="F161" s="208" t="str">
        <f>VLOOKUP(E161,[3]stages!$A:$H,8,FALSE)</f>
        <v>【ウィザード級】ベルゼブブ襲来</v>
      </c>
    </row>
    <row r="162" spans="1:6" ht="21" customHeight="1" x14ac:dyDescent="0.15">
      <c r="A162" s="209">
        <v>856</v>
      </c>
      <c r="B162" s="205" t="str">
        <f>VLOOKUP(A162,[2]characters!$A:$C,3,FALSE)</f>
        <v>リフレクト＆M.I.R.R.O.R.</v>
      </c>
      <c r="C162" s="37">
        <v>20015</v>
      </c>
      <c r="D162" s="26">
        <v>3</v>
      </c>
      <c r="E162" s="208" t="str">
        <f t="shared" si="25"/>
        <v>20015_3</v>
      </c>
      <c r="F162" s="208" t="str">
        <f>VLOOKUP(E162,[3]stages!$A:$H,8,FALSE)</f>
        <v>【上級】妄執とり憑く美貌の妃</v>
      </c>
    </row>
    <row r="163" spans="1:6" ht="21" customHeight="1" x14ac:dyDescent="0.15">
      <c r="A163" s="209">
        <v>857</v>
      </c>
      <c r="B163" s="205" t="str">
        <f>VLOOKUP(A163,[2]characters!$A:$C,3,FALSE)</f>
        <v>嫉心のリフレクト＆M.I.R.R.O.R.</v>
      </c>
      <c r="C163" s="37">
        <v>20015</v>
      </c>
      <c r="D163" s="26">
        <v>3</v>
      </c>
      <c r="E163" s="208" t="str">
        <f t="shared" si="25"/>
        <v>20015_3</v>
      </c>
      <c r="F163" s="208" t="str">
        <f>VLOOKUP(E163,[3]stages!$A:$H,8,FALSE)</f>
        <v>【上級】妄執とり憑く美貌の妃</v>
      </c>
    </row>
    <row r="164" spans="1:6" ht="21" customHeight="1" x14ac:dyDescent="0.15">
      <c r="A164" s="209">
        <v>858</v>
      </c>
      <c r="B164" s="205" t="str">
        <f>VLOOKUP(A164,[2]characters!$A:$C,3,FALSE)</f>
        <v>Mr.ホエール</v>
      </c>
      <c r="C164" s="37">
        <v>30035</v>
      </c>
      <c r="D164" s="26">
        <v>3</v>
      </c>
      <c r="E164" s="208" t="str">
        <f t="shared" si="25"/>
        <v>30035_3</v>
      </c>
      <c r="F164" s="208" t="str">
        <f>VLOOKUP(E164,[3]stages!$A:$H,8,FALSE)</f>
        <v>【超級】大鯨の呼び声</v>
      </c>
    </row>
    <row r="165" spans="1:6" ht="21" customHeight="1" x14ac:dyDescent="0.15">
      <c r="A165" s="209">
        <v>859</v>
      </c>
      <c r="B165" s="205" t="str">
        <f>VLOOKUP(A165,[2]characters!$A:$C,3,FALSE)</f>
        <v>夢鯨大食 Mr.ホエール</v>
      </c>
      <c r="C165" s="37">
        <v>30035</v>
      </c>
      <c r="D165" s="26">
        <v>3</v>
      </c>
      <c r="E165" s="208" t="str">
        <f t="shared" si="25"/>
        <v>30035_3</v>
      </c>
      <c r="F165" s="208" t="str">
        <f>VLOOKUP(E165,[3]stages!$A:$H,8,FALSE)</f>
        <v>【超級】大鯨の呼び声</v>
      </c>
    </row>
    <row r="166" spans="1:6" ht="21" customHeight="1" x14ac:dyDescent="0.15">
      <c r="A166" s="209">
        <v>907</v>
      </c>
      <c r="B166" s="205" t="str">
        <f>VLOOKUP(A166,[2]characters!$A:$C,3,FALSE)</f>
        <v>ハローキティのリボン</v>
      </c>
      <c r="C166" s="37">
        <v>39004</v>
      </c>
      <c r="D166" s="26">
        <v>4</v>
      </c>
      <c r="E166" s="208" t="str">
        <f>C166&amp;"_"&amp;D166</f>
        <v>39004_4</v>
      </c>
      <c r="F166" s="208" t="str">
        <f>VLOOKUP(E166,[3]stages!$A:$H,8,FALSE)</f>
        <v xml:space="preserve">【超級】ニムダのおきにいり♪ </v>
      </c>
    </row>
    <row r="167" spans="1:6" ht="21" customHeight="1" x14ac:dyDescent="0.15">
      <c r="A167" s="209">
        <v>908</v>
      </c>
      <c r="B167" s="205" t="str">
        <f>VLOOKUP(A167,[2]characters!$A:$C,3,FALSE)</f>
        <v>ママの作ったアップルパイ</v>
      </c>
      <c r="C167" s="37">
        <v>39004</v>
      </c>
      <c r="D167" s="26">
        <v>4</v>
      </c>
      <c r="E167" s="208" t="str">
        <f>C167&amp;"_"&amp;D167</f>
        <v>39004_4</v>
      </c>
      <c r="F167" s="208" t="str">
        <f>VLOOKUP(E167,[3]stages!$A:$H,8,FALSE)</f>
        <v xml:space="preserve">【超級】ニムダのおきにいり♪ </v>
      </c>
    </row>
    <row r="168" spans="1:6" ht="21" customHeight="1" x14ac:dyDescent="0.15">
      <c r="A168" s="209">
        <v>8029</v>
      </c>
      <c r="B168" s="205" t="str">
        <f>VLOOKUP(A168,[2]characters!$A:$C,3,FALSE)</f>
        <v>Expoミク</v>
      </c>
      <c r="C168" s="37">
        <v>39005</v>
      </c>
      <c r="D168" s="26">
        <v>3</v>
      </c>
      <c r="E168" s="208" t="str">
        <f>C168&amp;"_"&amp;D168</f>
        <v>39005_3</v>
      </c>
      <c r="F168" s="208" t="str">
        <f>VLOOKUP(E168,[3]stages!$A:$H,8,FALSE)</f>
        <v>【上級】ポ</v>
      </c>
    </row>
    <row r="169" spans="1:6" ht="21" customHeight="1" x14ac:dyDescent="0.15">
      <c r="A169" s="209">
        <v>8030</v>
      </c>
      <c r="B169" s="205" t="str">
        <f>VLOOKUP(A169,[2]characters!$A:$C,3,FALSE)</f>
        <v>Expoミク</v>
      </c>
      <c r="C169" s="37">
        <v>39005</v>
      </c>
      <c r="D169" s="26">
        <v>5</v>
      </c>
      <c r="E169" s="208" t="str">
        <f>C169&amp;"_"&amp;D169</f>
        <v>39005_5</v>
      </c>
      <c r="F169" s="208" t="str">
        <f>VLOOKUP(E169,[3]stages!$A:$H,8,FALSE)</f>
        <v>【超絶級】ポ</v>
      </c>
    </row>
    <row r="170" spans="1:6" ht="21" customHeight="1" x14ac:dyDescent="0.15">
      <c r="A170" s="209">
        <v>736</v>
      </c>
      <c r="B170" s="205" t="str">
        <f>VLOOKUP(A170,[2]characters!$A:$C,3,FALSE)</f>
        <v>オルトロス</v>
      </c>
      <c r="C170" s="37">
        <v>30036</v>
      </c>
      <c r="D170" s="26">
        <v>3</v>
      </c>
      <c r="E170" s="208" t="str">
        <f t="shared" ref="E170:E173" si="26">C170&amp;"_"&amp;D170</f>
        <v>30036_3</v>
      </c>
      <c r="F170" s="208" t="str">
        <f>VLOOKUP(E170,[3]stages!$A:$H,8,FALSE)</f>
        <v>【超級】猛然たる炎獣使い</v>
      </c>
    </row>
    <row r="171" spans="1:6" ht="21" customHeight="1" x14ac:dyDescent="0.15">
      <c r="A171" s="209">
        <v>737</v>
      </c>
      <c r="B171" s="205" t="str">
        <f>VLOOKUP(A171,[2]characters!$A:$C,3,FALSE)</f>
        <v>狂鳴の慟哭 オルトロス</v>
      </c>
      <c r="C171" s="37">
        <v>30036</v>
      </c>
      <c r="D171" s="26">
        <v>3</v>
      </c>
      <c r="E171" s="208" t="str">
        <f>C171&amp;"_"&amp;D171</f>
        <v>30036_3</v>
      </c>
      <c r="F171" s="208" t="str">
        <f>VLOOKUP(E171,[3]stages!$A:$H,8,FALSE)</f>
        <v>【超級】猛然たる炎獣使い</v>
      </c>
    </row>
    <row r="172" spans="1:6" ht="21" customHeight="1" x14ac:dyDescent="0.15">
      <c r="A172" s="209">
        <v>738</v>
      </c>
      <c r="B172" s="205" t="str">
        <f>VLOOKUP(A172,[2]characters!$A:$C,3,FALSE)</f>
        <v>ラドン</v>
      </c>
      <c r="C172" s="37">
        <v>20016</v>
      </c>
      <c r="D172" s="26">
        <v>3</v>
      </c>
      <c r="E172" s="208" t="str">
        <f t="shared" si="26"/>
        <v>20016_3</v>
      </c>
      <c r="F172" s="208" t="str">
        <f>VLOOKUP(E172,[3]stages!$A:$H,8,FALSE)</f>
        <v>【上級】寡黙な翼竜の侵攻</v>
      </c>
    </row>
    <row r="173" spans="1:6" ht="21" customHeight="1" x14ac:dyDescent="0.15">
      <c r="A173" s="209">
        <v>739</v>
      </c>
      <c r="B173" s="205" t="str">
        <f>VLOOKUP(A173,[2]characters!$A:$C,3,FALSE)</f>
        <v>寡言の密使 ラドン</v>
      </c>
      <c r="C173" s="37">
        <v>20016</v>
      </c>
      <c r="D173" s="26">
        <v>3</v>
      </c>
      <c r="E173" s="208" t="str">
        <f t="shared" si="26"/>
        <v>20016_3</v>
      </c>
      <c r="F173" s="208" t="str">
        <f>VLOOKUP(E173,[3]stages!$A:$H,8,FALSE)</f>
        <v>【上級】寡黙な翼竜の侵攻</v>
      </c>
    </row>
    <row r="174" spans="1:6" ht="21" customHeight="1" x14ac:dyDescent="0.15">
      <c r="A174" s="209">
        <v>931</v>
      </c>
      <c r="B174" s="205" t="str">
        <f>VLOOKUP(A174,[2]characters!$A:$C,3,FALSE)</f>
        <v>ネルソン</v>
      </c>
      <c r="C174" s="37">
        <v>20017</v>
      </c>
      <c r="D174" s="26">
        <v>3</v>
      </c>
      <c r="E174" s="208" t="str">
        <f t="shared" ref="E174:E179" si="27">C174&amp;"_"&amp;D174</f>
        <v>20017_3</v>
      </c>
      <c r="F174" s="208" t="str">
        <f>VLOOKUP(E174,[3]stages!$A:$H,8,FALSE)</f>
        <v>【上級】隻腕の提督</v>
      </c>
    </row>
    <row r="175" spans="1:6" ht="21" customHeight="1" x14ac:dyDescent="0.15">
      <c r="A175" s="209">
        <v>932</v>
      </c>
      <c r="B175" s="205" t="str">
        <f>VLOOKUP(A175,[2]characters!$A:$C,3,FALSE)</f>
        <v>隻眼の英堤 ネルソン</v>
      </c>
      <c r="C175" s="37">
        <v>20017</v>
      </c>
      <c r="D175" s="26">
        <v>3</v>
      </c>
      <c r="E175" s="208" t="str">
        <f t="shared" si="27"/>
        <v>20017_3</v>
      </c>
      <c r="F175" s="208" t="str">
        <f>VLOOKUP(E175,[3]stages!$A:$H,8,FALSE)</f>
        <v>【上級】隻腕の提督</v>
      </c>
    </row>
    <row r="176" spans="1:6" ht="21" customHeight="1" x14ac:dyDescent="0.15">
      <c r="A176" s="209">
        <v>933</v>
      </c>
      <c r="B176" s="205" t="str">
        <f>VLOOKUP(A176,[2]characters!$A:$C,3,FALSE)</f>
        <v>ヴェルサイユ</v>
      </c>
      <c r="C176" s="37">
        <v>30037</v>
      </c>
      <c r="D176" s="26">
        <v>3</v>
      </c>
      <c r="E176" s="208" t="str">
        <f t="shared" si="27"/>
        <v>30037_3</v>
      </c>
      <c r="F176" s="208" t="str">
        <f>VLOOKUP(E176,[3]stages!$A:$H,8,FALSE)</f>
        <v>【超級】灯り火の麗人</v>
      </c>
    </row>
    <row r="177" spans="1:6" ht="21" customHeight="1" x14ac:dyDescent="0.15">
      <c r="A177" s="209">
        <v>934</v>
      </c>
      <c r="B177" s="205" t="str">
        <f>VLOOKUP(A177,[2]characters!$A:$C,3,FALSE)</f>
        <v>絢爛たる燈城 ヴェルサイユ</v>
      </c>
      <c r="C177" s="37">
        <v>30037</v>
      </c>
      <c r="D177" s="26">
        <v>3</v>
      </c>
      <c r="E177" s="208" t="str">
        <f t="shared" si="27"/>
        <v>30037_3</v>
      </c>
      <c r="F177" s="208" t="str">
        <f>VLOOKUP(E177,[3]stages!$A:$H,8,FALSE)</f>
        <v>【超級】灯り火の麗人</v>
      </c>
    </row>
    <row r="178" spans="1:6" ht="21" customHeight="1" x14ac:dyDescent="0.15">
      <c r="A178" s="209">
        <v>860</v>
      </c>
      <c r="B178" s="205" t="str">
        <f>VLOOKUP(A178,[2]characters!$A:$C,3,FALSE)</f>
        <v>叶望の幻燈 ジーナ</v>
      </c>
      <c r="C178" s="37">
        <v>40018</v>
      </c>
      <c r="D178" s="26">
        <v>2</v>
      </c>
      <c r="E178" s="208" t="str">
        <f t="shared" si="27"/>
        <v>40018_2</v>
      </c>
      <c r="F178" s="208" t="str">
        <f>VLOOKUP(E178,[3]stages!$A:$H,8,FALSE)</f>
        <v>【ウィザード級】ジーナ襲来</v>
      </c>
    </row>
    <row r="179" spans="1:6" ht="21" customHeight="1" x14ac:dyDescent="0.15">
      <c r="A179" s="209">
        <v>861</v>
      </c>
      <c r="B179" s="205" t="str">
        <f>VLOOKUP(A179,[2]characters!$A:$C,3,FALSE)</f>
        <v>青燈の巨躯 ジーナ</v>
      </c>
      <c r="C179" s="37">
        <v>40018</v>
      </c>
      <c r="D179" s="26">
        <v>2</v>
      </c>
      <c r="E179" s="208" t="str">
        <f t="shared" si="27"/>
        <v>40018_2</v>
      </c>
      <c r="F179" s="208" t="str">
        <f>VLOOKUP(E179,[3]stages!$A:$H,8,FALSE)</f>
        <v>【ウィザード級】ジーナ襲来</v>
      </c>
    </row>
    <row r="180" spans="1:6" ht="21" customHeight="1" x14ac:dyDescent="0.15">
      <c r="A180" s="209">
        <v>740</v>
      </c>
      <c r="B180" s="205" t="str">
        <f>VLOOKUP(A180,[2]characters!$A:$C,3,FALSE)</f>
        <v>テュポーン</v>
      </c>
      <c r="C180" s="37">
        <v>40019</v>
      </c>
      <c r="D180" s="26">
        <v>2</v>
      </c>
      <c r="E180" s="208" t="str">
        <f t="shared" ref="E180:E181" si="28">C180&amp;"_"&amp;D180</f>
        <v>40019_2</v>
      </c>
      <c r="F180" s="208" t="str">
        <f>VLOOKUP(E180,[3]stages!$A:$H,8,FALSE)</f>
        <v>【ウィザード級】テュポーン襲来</v>
      </c>
    </row>
    <row r="181" spans="1:6" ht="21" customHeight="1" x14ac:dyDescent="0.15">
      <c r="A181" s="209">
        <v>741</v>
      </c>
      <c r="B181" s="205" t="str">
        <f>VLOOKUP(A181,[2]characters!$A:$C,3,FALSE)</f>
        <v>皆滅の戦鬼 テュポーン</v>
      </c>
      <c r="C181" s="37">
        <v>40019</v>
      </c>
      <c r="D181" s="26">
        <v>2</v>
      </c>
      <c r="E181" s="208" t="str">
        <f t="shared" si="28"/>
        <v>40019_2</v>
      </c>
      <c r="F181" s="208" t="str">
        <f>VLOOKUP(E181,[3]stages!$A:$H,8,FALSE)</f>
        <v>【ウィザード級】テュポーン襲来</v>
      </c>
    </row>
    <row r="182" spans="1:6" ht="21" customHeight="1" x14ac:dyDescent="0.15">
      <c r="A182" s="209">
        <v>1004</v>
      </c>
      <c r="B182" s="205" t="str">
        <f>VLOOKUP(A182,[2]characters!$A:$C,3,FALSE)</f>
        <v>アメミット</v>
      </c>
      <c r="C182" s="37">
        <v>20018</v>
      </c>
      <c r="D182" s="26">
        <v>3</v>
      </c>
      <c r="E182" s="208" t="str">
        <f t="shared" ref="E182:E193" si="29">C182&amp;"_"&amp;D182</f>
        <v>20018_3</v>
      </c>
      <c r="F182" s="208" t="str">
        <f>VLOOKUP(E182,[3]stages!$A:$H,8,FALSE)</f>
        <v>【上級】魂を屠る黒影</v>
      </c>
    </row>
    <row r="183" spans="1:6" ht="21" customHeight="1" x14ac:dyDescent="0.15">
      <c r="A183" s="209">
        <v>1005</v>
      </c>
      <c r="B183" s="205" t="str">
        <f>VLOOKUP(A183,[2]characters!$A:$C,3,FALSE)</f>
        <v>恐牙なる魂喰獣 アメミット</v>
      </c>
      <c r="C183" s="37">
        <v>20018</v>
      </c>
      <c r="D183" s="26">
        <v>3</v>
      </c>
      <c r="E183" s="208" t="str">
        <f t="shared" si="29"/>
        <v>20018_3</v>
      </c>
      <c r="F183" s="208" t="str">
        <f>VLOOKUP(E183,[3]stages!$A:$H,8,FALSE)</f>
        <v>【上級】魂を屠る黒影</v>
      </c>
    </row>
    <row r="184" spans="1:6" ht="21" customHeight="1" x14ac:dyDescent="0.15">
      <c r="A184" s="209">
        <v>1006</v>
      </c>
      <c r="B184" s="205" t="str">
        <f>VLOOKUP(A184,[2]characters!$A:$C,3,FALSE)</f>
        <v>セルケト</v>
      </c>
      <c r="C184" s="37">
        <v>30038</v>
      </c>
      <c r="D184" s="26">
        <v>3</v>
      </c>
      <c r="E184" s="208" t="str">
        <f t="shared" si="29"/>
        <v>30038_3</v>
      </c>
      <c r="F184" s="208" t="str">
        <f>VLOOKUP(E184,[3]stages!$A:$H,8,FALSE)</f>
        <v>【超級】毒絶神の願い</v>
      </c>
    </row>
    <row r="185" spans="1:6" ht="21" customHeight="1" x14ac:dyDescent="0.15">
      <c r="A185" s="209">
        <v>1007</v>
      </c>
      <c r="B185" s="205" t="str">
        <f>VLOOKUP(A185,[2]characters!$A:$C,3,FALSE)</f>
        <v>癒命の守蠍神 セルケト</v>
      </c>
      <c r="C185" s="37">
        <v>30038</v>
      </c>
      <c r="D185" s="26">
        <v>3</v>
      </c>
      <c r="E185" s="208" t="str">
        <f t="shared" si="29"/>
        <v>30038_3</v>
      </c>
      <c r="F185" s="208" t="str">
        <f>VLOOKUP(E185,[3]stages!$A:$H,8,FALSE)</f>
        <v>【超級】毒絶神の願い</v>
      </c>
    </row>
    <row r="186" spans="1:6" ht="21" customHeight="1" x14ac:dyDescent="0.15">
      <c r="A186" s="209">
        <v>981</v>
      </c>
      <c r="B186" s="205" t="str">
        <f>VLOOKUP(A186,[2]characters!$A:$C,3,FALSE)</f>
        <v>女型の巨人</v>
      </c>
      <c r="C186" s="37">
        <v>39006</v>
      </c>
      <c r="D186" s="26">
        <v>4</v>
      </c>
      <c r="E186" s="208" t="str">
        <f t="shared" si="29"/>
        <v>39006_4</v>
      </c>
      <c r="F186" s="208" t="str">
        <f>VLOOKUP(E186,[3]stages!$A:$H,8,FALSE)</f>
        <v>【超級】シガンシナ区攻防戦</v>
      </c>
    </row>
    <row r="187" spans="1:6" ht="21" customHeight="1" x14ac:dyDescent="0.15">
      <c r="A187" s="209">
        <v>982</v>
      </c>
      <c r="B187" s="205" t="str">
        <f>VLOOKUP(A187,[2]characters!$A:$C,3,FALSE)</f>
        <v>柔靭なる剛脚 女型の巨人</v>
      </c>
      <c r="C187" s="37">
        <v>39006</v>
      </c>
      <c r="D187" s="26">
        <v>4</v>
      </c>
      <c r="E187" s="208" t="str">
        <f t="shared" si="29"/>
        <v>39006_4</v>
      </c>
      <c r="F187" s="208" t="str">
        <f>VLOOKUP(E187,[3]stages!$A:$H,8,FALSE)</f>
        <v>【超級】シガンシナ区攻防戦</v>
      </c>
    </row>
    <row r="188" spans="1:6" ht="21" customHeight="1" x14ac:dyDescent="0.15">
      <c r="A188" s="209">
        <v>983</v>
      </c>
      <c r="B188" s="205" t="str">
        <f>VLOOKUP(A188,[2]characters!$A:$C,3,FALSE)</f>
        <v>鎧の巨人</v>
      </c>
      <c r="C188" s="37">
        <v>39006</v>
      </c>
      <c r="D188" s="26">
        <v>4</v>
      </c>
      <c r="E188" s="208" t="str">
        <f t="shared" si="29"/>
        <v>39006_4</v>
      </c>
      <c r="F188" s="208" t="str">
        <f>VLOOKUP(E188,[3]stages!$A:$H,8,FALSE)</f>
        <v>【超級】シガンシナ区攻防戦</v>
      </c>
    </row>
    <row r="189" spans="1:6" ht="21" customHeight="1" x14ac:dyDescent="0.15">
      <c r="A189" s="209">
        <v>984</v>
      </c>
      <c r="B189" s="205" t="str">
        <f>VLOOKUP(A189,[2]characters!$A:$C,3,FALSE)</f>
        <v>破壁の剛弾 鎧の巨人</v>
      </c>
      <c r="C189" s="37">
        <v>39006</v>
      </c>
      <c r="D189" s="26">
        <v>4</v>
      </c>
      <c r="E189" s="208" t="str">
        <f t="shared" si="29"/>
        <v>39006_4</v>
      </c>
      <c r="F189" s="208" t="str">
        <f>VLOOKUP(E189,[3]stages!$A:$H,8,FALSE)</f>
        <v>【超級】シガンシナ区攻防戦</v>
      </c>
    </row>
    <row r="190" spans="1:6" ht="21" customHeight="1" x14ac:dyDescent="0.15">
      <c r="A190" s="209">
        <v>935</v>
      </c>
      <c r="B190" s="205" t="str">
        <f>VLOOKUP(A190,[2]characters!$A:$C,3,FALSE)</f>
        <v>ルイ16世</v>
      </c>
      <c r="C190" s="37">
        <v>40021</v>
      </c>
      <c r="D190" s="26">
        <v>2</v>
      </c>
      <c r="E190" s="208" t="str">
        <f t="shared" si="29"/>
        <v>40021_2</v>
      </c>
      <c r="F190" s="208" t="str">
        <f>VLOOKUP(E190,[3]stages!$A:$H,8,FALSE)</f>
        <v>【ウィザード級】ルイ16世襲来</v>
      </c>
    </row>
    <row r="191" spans="1:6" ht="21" customHeight="1" x14ac:dyDescent="0.15">
      <c r="A191" s="209">
        <v>1008</v>
      </c>
      <c r="B191" s="205" t="str">
        <f>VLOOKUP(A191,[2]characters!$A:$C,3,FALSE)</f>
        <v>オシリス</v>
      </c>
      <c r="C191" s="37">
        <v>40022</v>
      </c>
      <c r="D191" s="26">
        <v>2</v>
      </c>
      <c r="E191" s="208" t="str">
        <f t="shared" si="29"/>
        <v>40022_2</v>
      </c>
      <c r="F191" s="208" t="str">
        <f>VLOOKUP(E191,[3]stages!$A:$H,8,FALSE)</f>
        <v>【ウィザード級】オシリス襲来</v>
      </c>
    </row>
    <row r="192" spans="1:6" ht="21" customHeight="1" x14ac:dyDescent="0.15">
      <c r="A192" s="209">
        <v>1020</v>
      </c>
      <c r="B192" s="205" t="str">
        <f>VLOOKUP(A192,[2]characters!$A:$C,3,FALSE)</f>
        <v>静御前</v>
      </c>
      <c r="C192" s="37">
        <v>20019</v>
      </c>
      <c r="D192" s="26">
        <v>3</v>
      </c>
      <c r="E192" s="208" t="str">
        <f t="shared" si="29"/>
        <v>20019_3</v>
      </c>
      <c r="F192" s="208" t="str">
        <f>VLOOKUP(E192,[3]stages!$A:$H,8,FALSE)</f>
        <v>【上級】灼熱の舞姫</v>
      </c>
    </row>
    <row r="193" spans="1:6" ht="21" customHeight="1" x14ac:dyDescent="0.15">
      <c r="A193" s="209">
        <v>1022</v>
      </c>
      <c r="B193" s="205" t="str">
        <f>VLOOKUP(A193,[2]characters!$A:$C,3,FALSE)</f>
        <v>那須与一</v>
      </c>
      <c r="C193" s="37">
        <v>30039</v>
      </c>
      <c r="D193" s="26">
        <v>3</v>
      </c>
      <c r="E193" s="208" t="str">
        <f t="shared" si="29"/>
        <v>30039_3</v>
      </c>
      <c r="F193" s="208" t="str">
        <f>VLOOKUP(E193,[3]stages!$A:$H,8,FALSE)</f>
        <v>【超級】ゼロワン・ゲーム</v>
      </c>
    </row>
    <row r="194" spans="1:6" ht="21" customHeight="1" x14ac:dyDescent="0.15">
      <c r="A194" s="209">
        <v>1059</v>
      </c>
      <c r="B194" s="205" t="str">
        <f>VLOOKUP(A194,[2]characters!$A:$C,3,FALSE)</f>
        <v>パズズ</v>
      </c>
      <c r="C194" s="37">
        <v>20020</v>
      </c>
      <c r="D194" s="26">
        <v>3</v>
      </c>
      <c r="E194" s="208" t="str">
        <f t="shared" ref="E194:E200" si="30">C194&amp;"_"&amp;D194</f>
        <v>20020_3</v>
      </c>
      <c r="F194" s="208" t="str">
        <f>VLOOKUP(E194,[3]stages!$A:$H,8,FALSE)</f>
        <v>【上級】変幻自在の風</v>
      </c>
    </row>
    <row r="195" spans="1:6" ht="21" customHeight="1" x14ac:dyDescent="0.15">
      <c r="A195" s="209">
        <v>1061</v>
      </c>
      <c r="B195" s="205" t="str">
        <f>VLOOKUP(A195,[2]characters!$A:$C,3,FALSE)</f>
        <v>フンババ</v>
      </c>
      <c r="C195" s="37">
        <v>30040</v>
      </c>
      <c r="D195" s="26">
        <v>3</v>
      </c>
      <c r="E195" s="208" t="str">
        <f t="shared" si="30"/>
        <v>30040_3</v>
      </c>
      <c r="F195" s="208" t="str">
        <f>VLOOKUP(E195,[3]stages!$A:$H,8,FALSE)</f>
        <v>【超級】闇ヨリ出ル魔獣</v>
      </c>
    </row>
    <row r="196" spans="1:6" ht="21" customHeight="1" x14ac:dyDescent="0.15">
      <c r="A196" s="209">
        <v>1024</v>
      </c>
      <c r="B196" s="205" t="str">
        <f>VLOOKUP(A196,[2]characters!$A:$C,3,FALSE)</f>
        <v>武蔵坊弁慶</v>
      </c>
      <c r="C196" s="37">
        <v>40023</v>
      </c>
      <c r="D196" s="26">
        <v>2</v>
      </c>
      <c r="E196" s="208" t="str">
        <f t="shared" si="30"/>
        <v>40023_2</v>
      </c>
      <c r="F196" s="208" t="str">
        <f>VLOOKUP(E196,[3]stages!$A:$H,8,FALSE)</f>
        <v>【ウィザード級】武蔵坊弁慶襲来</v>
      </c>
    </row>
    <row r="197" spans="1:6" ht="21" customHeight="1" x14ac:dyDescent="0.15">
      <c r="A197" s="209">
        <v>1063</v>
      </c>
      <c r="B197" s="205" t="str">
        <f>VLOOKUP(A197,[2]characters!$A:$C,3,FALSE)</f>
        <v>ティアマト</v>
      </c>
      <c r="C197" s="37">
        <v>40025</v>
      </c>
      <c r="D197" s="26">
        <v>2</v>
      </c>
      <c r="E197" s="208" t="str">
        <f t="shared" si="30"/>
        <v>40025_2</v>
      </c>
      <c r="F197" s="208" t="str">
        <f>VLOOKUP(E197,[3]stages!$A:$H,8,FALSE)</f>
        <v>【ウィザード級】ティアマト襲来</v>
      </c>
    </row>
    <row r="198" spans="1:6" ht="21" customHeight="1" x14ac:dyDescent="0.15">
      <c r="A198" s="209">
        <v>1094</v>
      </c>
      <c r="B198" s="205" t="str">
        <f>VLOOKUP(A198,[2]characters!$A:$C,3,FALSE)</f>
        <v>メルクシャ</v>
      </c>
      <c r="C198" s="37">
        <v>20021</v>
      </c>
      <c r="D198" s="26">
        <v>3</v>
      </c>
      <c r="E198" s="208" t="str">
        <f t="shared" si="30"/>
        <v>20021_3</v>
      </c>
      <c r="F198" s="208" t="str">
        <f>VLOOKUP(E198,[3]stages!$A:$H,8,FALSE)</f>
        <v>【上級】ペインター・オブ・ラブ</v>
      </c>
    </row>
    <row r="199" spans="1:6" ht="21" customHeight="1" x14ac:dyDescent="0.15">
      <c r="A199" s="209">
        <v>1096</v>
      </c>
      <c r="B199" s="205" t="str">
        <f>VLOOKUP(A199,[2]characters!$A:$C,3,FALSE)</f>
        <v>ジャ・リダルサ</v>
      </c>
      <c r="C199" s="37">
        <v>30041</v>
      </c>
      <c r="D199" s="26">
        <v>3</v>
      </c>
      <c r="E199" s="208" t="str">
        <f t="shared" si="30"/>
        <v>30041_3</v>
      </c>
      <c r="F199" s="208" t="str">
        <f>VLOOKUP(E199,[3]stages!$A:$H,8,FALSE)</f>
        <v>【超級】パラノイア・アート</v>
      </c>
    </row>
    <row r="200" spans="1:6" ht="21" customHeight="1" x14ac:dyDescent="0.15">
      <c r="A200" s="209">
        <v>1098</v>
      </c>
      <c r="B200" s="205" t="str">
        <f>VLOOKUP(A200,[2]characters!$A:$C,3,FALSE)</f>
        <v>ルピカ</v>
      </c>
      <c r="C200" s="37">
        <v>40028</v>
      </c>
      <c r="D200" s="26">
        <v>2</v>
      </c>
      <c r="E200" s="208" t="str">
        <f t="shared" si="30"/>
        <v>40028_2</v>
      </c>
      <c r="F200" s="208" t="str">
        <f>VLOOKUP(E200,[3]stages!$A:$H,8,FALSE)</f>
        <v>【ウィザード級】ルピカ襲来</v>
      </c>
    </row>
    <row r="201" spans="1:6" ht="21" customHeight="1" x14ac:dyDescent="0.15">
      <c r="A201" s="209">
        <v>1129</v>
      </c>
      <c r="B201" s="205" t="str">
        <f>VLOOKUP(A201,[2]characters!$A:$C,3,FALSE)</f>
        <v>赤兎馬</v>
      </c>
      <c r="C201" s="37">
        <v>30042</v>
      </c>
      <c r="D201" s="26">
        <v>3</v>
      </c>
      <c r="E201" s="208" t="str">
        <f t="shared" ref="E201:E207" si="31">C201&amp;"_"&amp;D201</f>
        <v>30042_3</v>
      </c>
      <c r="F201" s="208" t="str">
        <f>VLOOKUP(E201,[3]stages!$A:$H,8,FALSE)</f>
        <v>【超級】馬中に赤兎あり！</v>
      </c>
    </row>
    <row r="202" spans="1:6" ht="21" customHeight="1" x14ac:dyDescent="0.15">
      <c r="A202" s="209">
        <v>1131</v>
      </c>
      <c r="B202" s="205" t="str">
        <f>VLOOKUP(A202,[2]characters!$A:$C,3,FALSE)</f>
        <v>董卓</v>
      </c>
      <c r="C202" s="37">
        <v>40031</v>
      </c>
      <c r="D202" s="26">
        <v>2</v>
      </c>
      <c r="E202" s="208" t="str">
        <f t="shared" si="31"/>
        <v>40031_2</v>
      </c>
      <c r="F202" s="208" t="str">
        <f>VLOOKUP(E202,[3]stages!$A:$H,8,FALSE)</f>
        <v>【ウィザード級】董卓襲来</v>
      </c>
    </row>
    <row r="203" spans="1:6" ht="21" customHeight="1" x14ac:dyDescent="0.15">
      <c r="A203" s="209">
        <v>1133</v>
      </c>
      <c r="B203" s="205" t="str">
        <f>VLOOKUP(A203,[2]characters!$A:$C,3,FALSE)</f>
        <v>貂蝉</v>
      </c>
      <c r="C203" s="37">
        <v>40032</v>
      </c>
      <c r="D203" s="26">
        <v>2</v>
      </c>
      <c r="E203" s="208" t="str">
        <f t="shared" si="31"/>
        <v>40032_2</v>
      </c>
      <c r="F203" s="208" t="str">
        <f>VLOOKUP(E203,[3]stages!$A:$H,8,FALSE)</f>
        <v>【ウィザード級】貂蝉襲来</v>
      </c>
    </row>
    <row r="204" spans="1:6" ht="21" customHeight="1" x14ac:dyDescent="0.15">
      <c r="A204" s="209">
        <v>430</v>
      </c>
      <c r="B204" s="205" t="str">
        <f>VLOOKUP(A204,[2]characters!$A:$C,3,FALSE)</f>
        <v>グリーンダムディ</v>
      </c>
      <c r="C204" s="37">
        <v>13300</v>
      </c>
      <c r="D204" s="26">
        <v>15</v>
      </c>
      <c r="E204" s="208" t="str">
        <f t="shared" si="31"/>
        <v>13300_15</v>
      </c>
      <c r="F204" s="208" t="str">
        <f>VLOOKUP(E204,[3]stages!$A:$H,8,FALSE)</f>
        <v>15階 アヴァルシアの女王 ボナンザ</v>
      </c>
    </row>
    <row r="205" spans="1:6" ht="21" customHeight="1" x14ac:dyDescent="0.15">
      <c r="A205" s="209">
        <v>431</v>
      </c>
      <c r="B205" s="205" t="str">
        <f>VLOOKUP(A205,[2]characters!$A:$C,3,FALSE)</f>
        <v>イエローダムディ</v>
      </c>
      <c r="C205" s="37">
        <v>13300</v>
      </c>
      <c r="D205" s="26">
        <v>5</v>
      </c>
      <c r="E205" s="208" t="str">
        <f t="shared" si="31"/>
        <v>13300_5</v>
      </c>
      <c r="F205" s="208" t="str">
        <f>VLOOKUP(E205,[3]stages!$A:$H,8,FALSE)</f>
        <v>5階 コスト30以下限定</v>
      </c>
    </row>
    <row r="206" spans="1:6" ht="21" customHeight="1" x14ac:dyDescent="0.15">
      <c r="A206" s="209">
        <v>1145</v>
      </c>
      <c r="B206" s="205" t="str">
        <f>VLOOKUP(A206,[2]characters!$A:$C,3,FALSE)</f>
        <v>ヴリトラ</v>
      </c>
      <c r="C206" s="37">
        <v>30043</v>
      </c>
      <c r="D206" s="26">
        <v>3</v>
      </c>
      <c r="E206" s="208" t="str">
        <f t="shared" si="31"/>
        <v>30043_3</v>
      </c>
      <c r="F206" s="208" t="str">
        <f>VLOOKUP(E206,[3]stages!$A:$H,8,FALSE)</f>
        <v>【超級】小さな破壊竜</v>
      </c>
    </row>
    <row r="207" spans="1:6" ht="21" customHeight="1" x14ac:dyDescent="0.15">
      <c r="A207" s="209">
        <v>1149</v>
      </c>
      <c r="B207" s="205" t="str">
        <f>VLOOKUP(A207,[2]characters!$A:$C,3,FALSE)</f>
        <v>ブラフマー</v>
      </c>
      <c r="C207" s="37">
        <v>40035</v>
      </c>
      <c r="D207" s="26">
        <v>2</v>
      </c>
      <c r="E207" s="208" t="str">
        <f t="shared" si="31"/>
        <v>40035_2</v>
      </c>
      <c r="F207" s="208" t="str">
        <f>VLOOKUP(E207,[3]stages!$A:$H,8,FALSE)</f>
        <v>【ウィザード級】ブラフマー襲来</v>
      </c>
    </row>
    <row r="208" spans="1:6" ht="21" customHeight="1" x14ac:dyDescent="0.15">
      <c r="A208" s="209">
        <v>1200</v>
      </c>
      <c r="B208" s="205" t="str">
        <f>VLOOKUP(A208,[2]characters!$A:$C,3,FALSE)</f>
        <v>サイクロプス</v>
      </c>
      <c r="C208" s="37">
        <v>30044</v>
      </c>
      <c r="D208" s="26">
        <v>3</v>
      </c>
      <c r="E208" s="208" t="str">
        <f t="shared" ref="E208:E212" si="32">C208&amp;"_"&amp;D208</f>
        <v>30044_3</v>
      </c>
      <c r="F208" s="208" t="str">
        <f>VLOOKUP(E208,[3]stages!$A:$H,8,FALSE)</f>
        <v>【超級】冷酷なる遂行者</v>
      </c>
    </row>
    <row r="209" spans="1:6" ht="21" customHeight="1" x14ac:dyDescent="0.15">
      <c r="A209" s="209">
        <v>1202</v>
      </c>
      <c r="B209" s="205" t="str">
        <f>VLOOKUP(A209,[2]characters!$A:$C,3,FALSE)</f>
        <v>ウラヌス</v>
      </c>
      <c r="C209" s="37">
        <v>40036</v>
      </c>
      <c r="D209" s="26">
        <v>2</v>
      </c>
      <c r="E209" s="208" t="str">
        <f t="shared" si="32"/>
        <v>40036_2</v>
      </c>
      <c r="F209" s="208" t="str">
        <f>VLOOKUP(E209,[3]stages!$A:$H,8,FALSE)</f>
        <v>【ウィザード級】ウラヌス襲来</v>
      </c>
    </row>
    <row r="210" spans="1:6" ht="21" customHeight="1" x14ac:dyDescent="0.15">
      <c r="A210" s="209">
        <v>1204</v>
      </c>
      <c r="B210" s="205" t="str">
        <f>VLOOKUP(A210,[2]characters!$A:$C,3,FALSE)</f>
        <v>デルピュネー</v>
      </c>
      <c r="C210" s="37">
        <v>40037</v>
      </c>
      <c r="D210" s="26">
        <v>2</v>
      </c>
      <c r="E210" s="208" t="str">
        <f t="shared" si="32"/>
        <v>40037_2</v>
      </c>
      <c r="F210" s="208" t="str">
        <f>VLOOKUP(E210,[3]stages!$A:$H,8,FALSE)</f>
        <v>【ウィザード級】デルピュネー襲来</v>
      </c>
    </row>
    <row r="211" spans="1:6" ht="21" customHeight="1" x14ac:dyDescent="0.15">
      <c r="A211" s="209">
        <v>1218</v>
      </c>
      <c r="B211" s="205" t="str">
        <f>VLOOKUP(A211,[2]characters!$A:$C,3,FALSE)</f>
        <v>太宰治</v>
      </c>
      <c r="C211" s="37">
        <v>40038</v>
      </c>
      <c r="D211" s="26">
        <v>2</v>
      </c>
      <c r="E211" s="208" t="str">
        <f t="shared" si="32"/>
        <v>40038_2</v>
      </c>
      <c r="F211" s="208" t="str">
        <f>VLOOKUP(E211,[3]stages!$A:$H,8,FALSE)</f>
        <v>【ウィザード級】太宰治襲来</v>
      </c>
    </row>
    <row r="212" spans="1:6" ht="21" customHeight="1" x14ac:dyDescent="0.15">
      <c r="A212" s="209">
        <v>1220</v>
      </c>
      <c r="B212" s="205" t="str">
        <f>VLOOKUP(A212,[2]characters!$A:$C,3,FALSE)</f>
        <v>シェイクスピア</v>
      </c>
      <c r="C212" s="37">
        <v>40039</v>
      </c>
      <c r="D212" s="26">
        <v>2</v>
      </c>
      <c r="E212" s="208" t="str">
        <f t="shared" si="32"/>
        <v>40039_2</v>
      </c>
      <c r="F212" s="208" t="str">
        <f>VLOOKUP(E212,[3]stages!$A:$H,8,FALSE)</f>
        <v>【ウィザード級】シェイクスピア襲来</v>
      </c>
    </row>
    <row r="213" spans="1:6" ht="21" customHeight="1" x14ac:dyDescent="0.15">
      <c r="A213" s="209">
        <v>1216</v>
      </c>
      <c r="B213" s="205" t="str">
        <f>VLOOKUP(A213,[2]characters!$A:$C,3,FALSE)</f>
        <v>梶井基次郎</v>
      </c>
      <c r="C213" s="37">
        <v>30045</v>
      </c>
      <c r="D213" s="26">
        <v>3</v>
      </c>
      <c r="E213" s="208" t="str">
        <f t="shared" ref="E213" si="33">C213&amp;"_"&amp;D213</f>
        <v>30045_3</v>
      </c>
      <c r="F213" s="208" t="str">
        <f>VLOOKUP(E213,[3]stages!$A:$H,8,FALSE)</f>
        <v>【超級】れもん色の衝動</v>
      </c>
    </row>
    <row r="214" spans="1:6" ht="21" customHeight="1" x14ac:dyDescent="0.15">
      <c r="A214" s="209">
        <v>891</v>
      </c>
      <c r="B214" s="205" t="str">
        <f>VLOOKUP(A214,[2]characters!$A:$C,3,FALSE)</f>
        <v>コルキス</v>
      </c>
      <c r="C214" s="37">
        <v>40027</v>
      </c>
      <c r="D214" s="26">
        <v>2</v>
      </c>
      <c r="E214" s="208" t="str">
        <f t="shared" ref="E214" si="34">C214&amp;"_"&amp;D214</f>
        <v>40027_2</v>
      </c>
      <c r="F214" s="208" t="str">
        <f>VLOOKUP(E214,[3]stages!$A:$H,8,FALSE)</f>
        <v>【ウィザード級】コルキス襲来</v>
      </c>
    </row>
    <row r="215" spans="1:6" ht="21" customHeight="1" x14ac:dyDescent="0.15">
      <c r="A215" s="209">
        <v>1236</v>
      </c>
      <c r="B215" s="205" t="str">
        <f>VLOOKUP(A215,[2]characters!$A:$C,3,FALSE)</f>
        <v>千利休</v>
      </c>
      <c r="C215" s="37">
        <v>30046</v>
      </c>
      <c r="D215" s="26">
        <v>3</v>
      </c>
      <c r="E215" s="208" t="str">
        <f t="shared" ref="E215" si="35">C215&amp;"_"&amp;D215</f>
        <v>30046_3</v>
      </c>
      <c r="F215" s="208" t="str">
        <f>VLOOKUP(E215,[3]stages!$A:$H,8,FALSE)</f>
        <v>【超級】千利の道も一歩から！</v>
      </c>
    </row>
    <row r="216" spans="1:6" ht="21" customHeight="1" x14ac:dyDescent="0.15">
      <c r="A216" s="209">
        <v>1240</v>
      </c>
      <c r="B216" s="205" t="str">
        <f>VLOOKUP(A216,[2]characters!$A:$C,3,FALSE)</f>
        <v>竹中半兵衛</v>
      </c>
      <c r="C216" s="37">
        <v>40040</v>
      </c>
      <c r="D216" s="26">
        <v>2</v>
      </c>
      <c r="E216" s="208" t="str">
        <f t="shared" ref="E216" si="36">C216&amp;"_"&amp;D216</f>
        <v>40040_2</v>
      </c>
      <c r="F216" s="208" t="str">
        <f>VLOOKUP(E216,[3]stages!$A:$H,8,FALSE)</f>
        <v>【ウィザード級】竹中半兵衛襲来</v>
      </c>
    </row>
    <row r="217" spans="1:6" ht="21" customHeight="1" x14ac:dyDescent="0.15">
      <c r="A217" s="209">
        <v>1291</v>
      </c>
      <c r="B217" s="205" t="s">
        <v>341</v>
      </c>
      <c r="C217" s="37">
        <v>47005</v>
      </c>
      <c r="D217" s="26">
        <v>1</v>
      </c>
      <c r="E217" s="208" t="str">
        <f t="shared" ref="E217:E218" si="37">C217&amp;"_"&amp;D217</f>
        <v>47005_1</v>
      </c>
      <c r="F217" s="208" t="str">
        <f>VLOOKUP(E217,[3]stages!$A:$H,8,FALSE)</f>
        <v>【ウィザード級】年を越える儀式</v>
      </c>
    </row>
    <row r="218" spans="1:6" ht="21" customHeight="1" x14ac:dyDescent="0.15">
      <c r="A218" s="209">
        <v>1252</v>
      </c>
      <c r="B218" s="205" t="str">
        <f>VLOOKUP(A218,[2]characters!$A:$C,3,FALSE)</f>
        <v>ギャラルホルン</v>
      </c>
      <c r="C218" s="37">
        <v>30047</v>
      </c>
      <c r="D218" s="26">
        <v>3</v>
      </c>
      <c r="E218" s="208" t="str">
        <f t="shared" si="37"/>
        <v>30047_3</v>
      </c>
      <c r="F218" s="208" t="str">
        <f>VLOOKUP(E218,[3]stages!$A:$H,8,FALSE)</f>
        <v>【超級】終末の旋律</v>
      </c>
    </row>
    <row r="219" spans="1:6" ht="21" customHeight="1" x14ac:dyDescent="0.15">
      <c r="A219" s="209">
        <v>1256</v>
      </c>
      <c r="B219" s="205" t="str">
        <f>VLOOKUP(A219,[2]characters!$A:$C,3,FALSE)</f>
        <v>ヘル</v>
      </c>
      <c r="C219" s="37">
        <v>40042</v>
      </c>
      <c r="D219" s="26">
        <v>2</v>
      </c>
      <c r="E219" s="208" t="str">
        <f t="shared" ref="E219:E223" si="38">C219&amp;"_"&amp;D219</f>
        <v>40042_2</v>
      </c>
      <c r="F219" s="208" t="str">
        <f>VLOOKUP(E219,[3]stages!$A:$H,8,FALSE)</f>
        <v>【ウィザード級】ヘル襲来</v>
      </c>
    </row>
    <row r="220" spans="1:6" ht="21" customHeight="1" x14ac:dyDescent="0.15">
      <c r="A220" s="209">
        <v>1297</v>
      </c>
      <c r="B220" s="205" t="str">
        <f>VLOOKUP(A220,[2]characters!$A:$C,3,FALSE)</f>
        <v>雪ミク2017</v>
      </c>
      <c r="C220" s="37">
        <v>39009</v>
      </c>
      <c r="D220" s="26">
        <v>5</v>
      </c>
      <c r="E220" s="208" t="str">
        <f t="shared" si="38"/>
        <v>39009_5</v>
      </c>
      <c r="F220" s="208" t="str">
        <f>VLOOKUP(E220,[3]stages!$A:$H,8,FALSE)</f>
        <v>【超絶級】星空の歌姫</v>
      </c>
    </row>
    <row r="221" spans="1:6" ht="21" customHeight="1" x14ac:dyDescent="0.15">
      <c r="A221" s="209">
        <v>1300</v>
      </c>
      <c r="B221" s="205" t="str">
        <f>VLOOKUP(A221,[2]characters!$A:$C,3,FALSE)</f>
        <v>歌装の彩唱 紫式部</v>
      </c>
      <c r="C221" s="37">
        <v>49011</v>
      </c>
      <c r="D221" s="26">
        <v>1</v>
      </c>
      <c r="E221" s="208" t="str">
        <f t="shared" si="38"/>
        <v>49011_1</v>
      </c>
      <c r="F221" s="208" t="str">
        <f>VLOOKUP(E221,[3]stages!$A:$H,8,FALSE)</f>
        <v>【ｳｨｻﾞ】秘密のイベント潜入作戦</v>
      </c>
    </row>
    <row r="222" spans="1:6" ht="21" customHeight="1" x14ac:dyDescent="0.15">
      <c r="A222" s="209">
        <v>1302</v>
      </c>
      <c r="B222" s="205" t="str">
        <f>VLOOKUP(A222,[2]characters!$A:$C,3,FALSE)</f>
        <v>超天突符 イナバ</v>
      </c>
      <c r="C222" s="37">
        <v>49010</v>
      </c>
      <c r="D222" s="26">
        <v>1</v>
      </c>
      <c r="E222" s="208" t="str">
        <f t="shared" si="38"/>
        <v>49010_1</v>
      </c>
      <c r="F222" s="208" t="str">
        <f>VLOOKUP(E222,[3]stages!$A:$H,8,FALSE)</f>
        <v>【ｳｨｻﾞ】走り抜けろ！ALICE GP</v>
      </c>
    </row>
    <row r="223" spans="1:6" ht="21" customHeight="1" x14ac:dyDescent="0.15">
      <c r="A223" s="209">
        <v>1304</v>
      </c>
      <c r="B223" s="205" t="str">
        <f>VLOOKUP(A223,[2]characters!$A:$C,3,FALSE)</f>
        <v>演鼠の響笛音 ハーメルン</v>
      </c>
      <c r="C223" s="37">
        <v>49009</v>
      </c>
      <c r="D223" s="26">
        <v>1</v>
      </c>
      <c r="E223" s="208" t="str">
        <f t="shared" si="38"/>
        <v>49009_1</v>
      </c>
      <c r="F223" s="208" t="str">
        <f>VLOOKUP(E223,[3]stages!$A:$H,8,FALSE)</f>
        <v>【ウィザード級】電子音協奏曲</v>
      </c>
    </row>
    <row r="224" spans="1:6" ht="21" customHeight="1" x14ac:dyDescent="0.15">
      <c r="A224" s="209">
        <v>780</v>
      </c>
      <c r="B224" s="205" t="str">
        <f>VLOOKUP(A224,[2]characters!$A:$C,3,FALSE)</f>
        <v>カスケード</v>
      </c>
      <c r="C224" s="37">
        <v>40029</v>
      </c>
      <c r="D224" s="26">
        <v>2</v>
      </c>
      <c r="E224" s="208" t="str">
        <f t="shared" ref="E224" si="39">C224&amp;"_"&amp;D224</f>
        <v>40029_2</v>
      </c>
      <c r="F224" s="208" t="str">
        <f>VLOOKUP(E224,[3]stages!$A:$H,8,FALSE)</f>
        <v>【ウィザード級】カスケード襲来</v>
      </c>
    </row>
    <row r="225" spans="1:6" ht="21" customHeight="1" x14ac:dyDescent="0.15">
      <c r="A225" s="209">
        <v>1324</v>
      </c>
      <c r="B225" s="205" t="str">
        <f>VLOOKUP(A225,[2]characters!$A:$C,3,FALSE)</f>
        <v>アウリ</v>
      </c>
      <c r="C225" s="37">
        <v>30048</v>
      </c>
      <c r="D225" s="26">
        <v>3</v>
      </c>
      <c r="E225" s="208" t="str">
        <f t="shared" ref="E225" si="40">C225&amp;"_"&amp;D225</f>
        <v>30048_3</v>
      </c>
      <c r="F225" s="208" t="str">
        <f>VLOOKUP(E225,[3]stages!$A:$H,8,FALSE)</f>
        <v>【超級】惑乱の双神使！？</v>
      </c>
    </row>
    <row r="226" spans="1:6" ht="21" customHeight="1" x14ac:dyDescent="0.15">
      <c r="A226" s="209">
        <v>1326</v>
      </c>
      <c r="B226" s="205" t="str">
        <f>VLOOKUP(A226,[2]characters!$A:$C,3,FALSE)</f>
        <v>ワカヒルメ</v>
      </c>
      <c r="C226" s="37">
        <v>40043</v>
      </c>
      <c r="D226" s="26">
        <v>2</v>
      </c>
      <c r="E226" s="208" t="str">
        <f t="shared" ref="E226:E231" si="41">C226&amp;"_"&amp;D226</f>
        <v>40043_2</v>
      </c>
      <c r="F226" s="208" t="str">
        <f>VLOOKUP(E226,[3]stages!$A:$H,8,FALSE)</f>
        <v>【ウィザード級】ワカヒルメ襲来</v>
      </c>
    </row>
    <row r="227" spans="1:6" ht="21" customHeight="1" x14ac:dyDescent="0.15">
      <c r="A227" s="209">
        <v>1504</v>
      </c>
      <c r="B227" s="205" t="str">
        <f>VLOOKUP(A227,[2]characters!$A:$C,3,FALSE)</f>
        <v>ネコ</v>
      </c>
      <c r="C227" s="37">
        <v>39012</v>
      </c>
      <c r="D227" s="26">
        <v>1</v>
      </c>
      <c r="E227" s="208" t="str">
        <f t="shared" si="41"/>
        <v>39012_1</v>
      </c>
      <c r="F227" s="208" t="str">
        <f>VLOOKUP(E227,[3]stages!$A:$H,8,FALSE)</f>
        <v>【初級】侵略！？にゃんこ軍団現る！</v>
      </c>
    </row>
    <row r="228" spans="1:6" ht="21" customHeight="1" x14ac:dyDescent="0.15">
      <c r="A228" s="209">
        <v>1505</v>
      </c>
      <c r="B228" s="205" t="str">
        <f>VLOOKUP(A228,[2]characters!$A:$C,3,FALSE)</f>
        <v>タンクネコ</v>
      </c>
      <c r="C228" s="37">
        <v>39012</v>
      </c>
      <c r="D228" s="26">
        <v>1</v>
      </c>
      <c r="E228" s="208" t="str">
        <f t="shared" si="41"/>
        <v>39012_1</v>
      </c>
      <c r="F228" s="208" t="str">
        <f>VLOOKUP(E228,[3]stages!$A:$H,8,FALSE)</f>
        <v>【初級】侵略！？にゃんこ軍団現る！</v>
      </c>
    </row>
    <row r="229" spans="1:6" ht="21" customHeight="1" x14ac:dyDescent="0.15">
      <c r="A229" s="209">
        <v>1506</v>
      </c>
      <c r="B229" s="205" t="str">
        <f>VLOOKUP(A229,[2]characters!$A:$C,3,FALSE)</f>
        <v>バトルネコ</v>
      </c>
      <c r="C229" s="37">
        <v>39012</v>
      </c>
      <c r="D229" s="26">
        <v>1</v>
      </c>
      <c r="E229" s="208" t="str">
        <f t="shared" si="41"/>
        <v>39012_1</v>
      </c>
      <c r="F229" s="208" t="str">
        <f>VLOOKUP(E229,[3]stages!$A:$H,8,FALSE)</f>
        <v>【初級】侵略！？にゃんこ軍団現る！</v>
      </c>
    </row>
    <row r="230" spans="1:6" ht="21" customHeight="1" x14ac:dyDescent="0.15">
      <c r="A230" s="209">
        <v>1507</v>
      </c>
      <c r="B230" s="205" t="str">
        <f>VLOOKUP(A230,[2]characters!$A:$C,3,FALSE)</f>
        <v>キモネコ</v>
      </c>
      <c r="C230" s="37">
        <v>39012</v>
      </c>
      <c r="D230" s="26">
        <v>2</v>
      </c>
      <c r="E230" s="208" t="str">
        <f t="shared" si="41"/>
        <v>39012_2</v>
      </c>
      <c r="F230" s="208" t="str">
        <f>VLOOKUP(E230,[3]stages!$A:$H,8,FALSE)</f>
        <v>【中級】侵略！？にゃんこ軍団現る！</v>
      </c>
    </row>
    <row r="231" spans="1:6" ht="21" customHeight="1" x14ac:dyDescent="0.15">
      <c r="A231" s="209">
        <v>1508</v>
      </c>
      <c r="B231" s="205" t="str">
        <f>VLOOKUP(A231,[2]characters!$A:$C,3,FALSE)</f>
        <v>ネコノトリ</v>
      </c>
      <c r="C231" s="37">
        <v>39012</v>
      </c>
      <c r="D231" s="26">
        <v>3</v>
      </c>
      <c r="E231" s="208" t="str">
        <f t="shared" si="41"/>
        <v>39012_3</v>
      </c>
      <c r="F231" s="208" t="str">
        <f>VLOOKUP(E231,[3]stages!$A:$H,8,FALSE)</f>
        <v>【上級】侵略！？にゃんこ軍団現る！</v>
      </c>
    </row>
    <row r="232" spans="1:6" ht="21" customHeight="1" x14ac:dyDescent="0.15">
      <c r="A232" s="209">
        <v>1509</v>
      </c>
      <c r="B232" s="205" t="str">
        <f>VLOOKUP(A232,[2]characters!$A:$C,3,FALSE)</f>
        <v>巨神ネコ</v>
      </c>
      <c r="C232" s="37">
        <v>39012</v>
      </c>
      <c r="D232" s="26">
        <v>4</v>
      </c>
      <c r="E232" s="208" t="str">
        <f t="shared" ref="E232:E233" si="42">C232&amp;"_"&amp;D232</f>
        <v>39012_4</v>
      </c>
      <c r="F232" s="208" t="str">
        <f>VLOOKUP(E232,[3]stages!$A:$H,8,FALSE)</f>
        <v>【超上級】侵略！？にゃんこ軍団現る！</v>
      </c>
    </row>
    <row r="233" spans="1:6" ht="21" customHeight="1" x14ac:dyDescent="0.15">
      <c r="A233" s="209">
        <v>1510</v>
      </c>
      <c r="B233" s="205" t="str">
        <f>VLOOKUP(A233,[2]characters!$A:$C,3,FALSE)</f>
        <v>ネコヴァルキリー</v>
      </c>
      <c r="C233" s="37">
        <v>39012</v>
      </c>
      <c r="D233" s="26">
        <v>5</v>
      </c>
      <c r="E233" s="208" t="str">
        <f t="shared" si="42"/>
        <v>39012_5</v>
      </c>
      <c r="F233" s="208" t="str">
        <f>VLOOKUP(E233,[3]stages!$A:$H,8,FALSE)</f>
        <v>【激ムズ】侵略！？にゃんこ軍団現る！</v>
      </c>
    </row>
    <row r="234" spans="1:6" ht="21" customHeight="1" x14ac:dyDescent="0.15">
      <c r="A234" s="209">
        <v>1523</v>
      </c>
      <c r="B234" s="205" t="str">
        <f>VLOOKUP(A234,[2]characters!$A:$C,3,FALSE)</f>
        <v>ネコムート</v>
      </c>
      <c r="C234" s="37">
        <v>49014</v>
      </c>
      <c r="D234" s="26">
        <v>2</v>
      </c>
      <c r="E234" s="208" t="str">
        <f t="shared" ref="E234" si="43">C234&amp;"_"&amp;D234</f>
        <v>49014_2</v>
      </c>
      <c r="F234" s="208" t="str">
        <f>VLOOKUP(E234,[3]stages!$A:$H,8,FALSE)</f>
        <v>【超激ムズ】ネコムート襲来</v>
      </c>
    </row>
    <row r="235" spans="1:6" ht="21" customHeight="1" x14ac:dyDescent="0.15">
      <c r="A235" s="209">
        <v>1373</v>
      </c>
      <c r="B235" s="205" t="str">
        <f>VLOOKUP(A235,[2]characters!$A:$C,3,FALSE)</f>
        <v>スリー・ピギーズ</v>
      </c>
      <c r="C235" s="37">
        <v>30049</v>
      </c>
      <c r="D235" s="26">
        <v>3</v>
      </c>
      <c r="E235" s="208" t="str">
        <f t="shared" ref="E235" si="44">C235&amp;"_"&amp;D235</f>
        <v>30049_3</v>
      </c>
      <c r="F235" s="208" t="str">
        <f>VLOOKUP(E235,[3]stages!$A:$H,8,FALSE)</f>
        <v>【超級】鉄壁の子豚要塞</v>
      </c>
    </row>
    <row r="236" spans="1:6" ht="21" customHeight="1" x14ac:dyDescent="0.15">
      <c r="A236" s="209">
        <v>1375</v>
      </c>
      <c r="B236" s="205" t="str">
        <f>VLOOKUP(A236,[2]characters!$A:$C,3,FALSE)</f>
        <v>ジキル&amp;ハイド</v>
      </c>
      <c r="C236" s="37">
        <v>40044</v>
      </c>
      <c r="D236" s="26">
        <v>2</v>
      </c>
      <c r="E236" s="208" t="str">
        <f t="shared" ref="E236:E237" si="45">C236&amp;"_"&amp;D236</f>
        <v>40044_2</v>
      </c>
      <c r="F236" s="208" t="str">
        <f>VLOOKUP(E236,[3]stages!$A:$H,8,FALSE)</f>
        <v>【ウィザード級】ジキル&amp;ハイド襲来</v>
      </c>
    </row>
    <row r="237" spans="1:6" ht="21" customHeight="1" x14ac:dyDescent="0.15">
      <c r="A237" s="209">
        <v>1238</v>
      </c>
      <c r="B237" s="205" t="str">
        <f>VLOOKUP(A237,[2]characters!$A:$C,3,FALSE)</f>
        <v>服部半蔵</v>
      </c>
      <c r="C237" s="37">
        <v>40045</v>
      </c>
      <c r="D237" s="26">
        <v>2</v>
      </c>
      <c r="E237" s="208" t="str">
        <f t="shared" si="45"/>
        <v>40045_2</v>
      </c>
      <c r="F237" s="208" t="str">
        <f>VLOOKUP(E237,[3]stages!$A:$H,8,FALSE)</f>
        <v>【ウィザード級】服部半蔵襲来</v>
      </c>
    </row>
    <row r="238" spans="1:6" ht="21" customHeight="1" x14ac:dyDescent="0.15">
      <c r="A238" s="209">
        <v>1379</v>
      </c>
      <c r="B238" s="205" t="str">
        <f>VLOOKUP(A238,[2]characters!$A:$C,3,FALSE)</f>
        <v>アンデルセン</v>
      </c>
      <c r="C238" s="37">
        <v>50015</v>
      </c>
      <c r="D238" s="26">
        <v>1</v>
      </c>
      <c r="E238" s="208" t="str">
        <f t="shared" ref="E238" si="46">C238&amp;"_"&amp;D238</f>
        <v>50015_1</v>
      </c>
      <c r="F238" s="208" t="str">
        <f>VLOOKUP(E238,[3]stages!$A:$H,8,FALSE)</f>
        <v>【超ウィザード級】アンデルセン襲来</v>
      </c>
    </row>
    <row r="239" spans="1:6" ht="21" customHeight="1" x14ac:dyDescent="0.15">
      <c r="A239" s="209">
        <v>788</v>
      </c>
      <c r="B239" s="205" t="str">
        <f>VLOOKUP(A239,[2]characters!$A:$C,3,FALSE)</f>
        <v>アトラス</v>
      </c>
      <c r="C239" s="37">
        <v>40024</v>
      </c>
      <c r="D239" s="26">
        <v>2</v>
      </c>
      <c r="E239" s="208" t="str">
        <f t="shared" ref="E239:E240" si="47">C239&amp;"_"&amp;D239</f>
        <v>40024_2</v>
      </c>
      <c r="F239" s="208" t="str">
        <f>VLOOKUP(E239,[3]stages!$A:$H,8,FALSE)</f>
        <v>【ウィザード級】アトラス襲来</v>
      </c>
    </row>
    <row r="240" spans="1:6" ht="21" customHeight="1" x14ac:dyDescent="0.15">
      <c r="A240" s="209">
        <v>1436</v>
      </c>
      <c r="B240" s="205" t="str">
        <f>VLOOKUP(A240,[2]characters!$A:$C,3,FALSE)</f>
        <v>スパルタ</v>
      </c>
      <c r="C240" s="37">
        <v>30050</v>
      </c>
      <c r="D240" s="26">
        <v>3</v>
      </c>
      <c r="E240" s="208" t="str">
        <f t="shared" si="47"/>
        <v>30050_3</v>
      </c>
      <c r="F240" s="208" t="str">
        <f>VLOOKUP(E240,[3]stages!$A:$H,8,FALSE)</f>
        <v>【超級】忍耐と服従</v>
      </c>
    </row>
    <row r="241" spans="1:6" ht="21" customHeight="1" x14ac:dyDescent="0.15">
      <c r="A241" s="209">
        <v>1438</v>
      </c>
      <c r="B241" s="205" t="str">
        <f>VLOOKUP(A241,[2]characters!$A:$C,3,FALSE)</f>
        <v>ゼノビア</v>
      </c>
      <c r="C241" s="37">
        <v>40046</v>
      </c>
      <c r="D241" s="26">
        <v>2</v>
      </c>
      <c r="E241" s="208" t="str">
        <f t="shared" ref="E241" si="48">C241&amp;"_"&amp;D241</f>
        <v>40046_2</v>
      </c>
      <c r="F241" s="208" t="str">
        <f>VLOOKUP(E241,[3]stages!$A:$H,8,FALSE)</f>
        <v>【ウィザード級】ゼノビア襲来</v>
      </c>
    </row>
    <row r="242" spans="1:6" ht="21" customHeight="1" x14ac:dyDescent="0.15">
      <c r="A242" s="209">
        <v>1470</v>
      </c>
      <c r="B242" s="205" t="str">
        <f>VLOOKUP(A242,[2]characters!$A:$C,3,FALSE)</f>
        <v>傲慢なる悪鬼 プライド</v>
      </c>
      <c r="C242" s="37">
        <v>49015</v>
      </c>
      <c r="D242" s="26">
        <v>3</v>
      </c>
      <c r="E242" s="208" t="str">
        <f t="shared" ref="E242" si="49">C242&amp;"_"&amp;D242</f>
        <v>49015_3</v>
      </c>
      <c r="F242" s="208" t="str">
        <f>VLOOKUP(E242,[3]stages!$A:$H,8,FALSE)</f>
        <v>【ウィザード級】スカー襲来</v>
      </c>
    </row>
    <row r="243" spans="1:6" ht="21" customHeight="1" x14ac:dyDescent="0.15">
      <c r="A243" s="209">
        <v>1468</v>
      </c>
      <c r="B243" s="205" t="str">
        <f>VLOOKUP(A243,[2]characters!$A:$C,3,FALSE)</f>
        <v>嫉妬の猛心 エンヴィー</v>
      </c>
      <c r="C243" s="37">
        <v>49015</v>
      </c>
      <c r="D243" s="26">
        <v>3</v>
      </c>
      <c r="E243" s="208" t="str">
        <f t="shared" ref="E243" si="50">C243&amp;"_"&amp;D243</f>
        <v>49015_3</v>
      </c>
      <c r="F243" s="208" t="str">
        <f>VLOOKUP(E243,[3]stages!$A:$H,8,FALSE)</f>
        <v>【ウィザード級】スカー襲来</v>
      </c>
    </row>
    <row r="244" spans="1:6" ht="21" customHeight="1" x14ac:dyDescent="0.15">
      <c r="A244" s="209">
        <v>1696</v>
      </c>
      <c r="B244" s="205" t="str">
        <f>VLOOKUP(A244,[2]characters!$A:$C,3,FALSE)</f>
        <v>ファルネーゼ・コア</v>
      </c>
      <c r="C244" s="37">
        <v>47014</v>
      </c>
      <c r="D244" s="26">
        <v>3</v>
      </c>
      <c r="E244" s="208" t="str">
        <f>C244&amp;"_"&amp;D244</f>
        <v>47014_3</v>
      </c>
      <c r="F244" s="208" t="str">
        <f>VLOOKUP(E244,[3]stages!$A:$H,8,FALSE)</f>
        <v>【ウィザード級】ヘルレイザー襲来</v>
      </c>
    </row>
  </sheetData>
  <sheetProtection selectLockedCells="1" selectUnlockedCells="1"/>
  <phoneticPr fontId="13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6D65E5"/>
  </sheetPr>
  <dimension ref="A1:D32"/>
  <sheetViews>
    <sheetView topLeftCell="A17" workbookViewId="0">
      <selection activeCell="E23" sqref="E23"/>
    </sheetView>
  </sheetViews>
  <sheetFormatPr baseColWidth="12" defaultRowHeight="15" x14ac:dyDescent="0.15"/>
  <cols>
    <col min="2" max="2" width="17.83203125" customWidth="1"/>
    <col min="3" max="3" width="8.1640625" customWidth="1"/>
    <col min="4" max="4" width="46.1640625" customWidth="1"/>
    <col min="5" max="5" width="31.33203125" customWidth="1"/>
  </cols>
  <sheetData>
    <row r="1" spans="1:4" s="232" customFormat="1" ht="21" customHeight="1" x14ac:dyDescent="0.15">
      <c r="A1" s="29" t="s">
        <v>29</v>
      </c>
      <c r="B1" s="231" t="s">
        <v>93</v>
      </c>
      <c r="C1" s="230" t="s">
        <v>303</v>
      </c>
      <c r="D1" s="29" t="s">
        <v>304</v>
      </c>
    </row>
    <row r="2" spans="1:4" ht="30" x14ac:dyDescent="0.15">
      <c r="A2" s="188">
        <v>837</v>
      </c>
      <c r="B2" s="31" t="str">
        <f>VLOOKUP(A2,[2]characters!$A:$C,3)</f>
        <v>リトルハンプティ</v>
      </c>
      <c r="C2" s="188" t="s">
        <v>305</v>
      </c>
      <c r="D2" s="233" t="s">
        <v>315</v>
      </c>
    </row>
    <row r="3" spans="1:4" x14ac:dyDescent="0.15">
      <c r="A3" s="188">
        <v>85</v>
      </c>
      <c r="B3" s="31" t="str">
        <f>VLOOKUP(A3,[2]characters!$A:$C,3)</f>
        <v>朱雀</v>
      </c>
      <c r="C3" s="188" t="s">
        <v>305</v>
      </c>
      <c r="D3" s="188" t="s">
        <v>314</v>
      </c>
    </row>
    <row r="4" spans="1:4" x14ac:dyDescent="0.15">
      <c r="A4" s="188">
        <v>86</v>
      </c>
      <c r="B4" s="31" t="str">
        <f>VLOOKUP(A4,[2]characters!$A:$C,3)</f>
        <v>守護者 朱雀</v>
      </c>
      <c r="C4" s="188" t="s">
        <v>305</v>
      </c>
      <c r="D4" s="188" t="s">
        <v>314</v>
      </c>
    </row>
    <row r="5" spans="1:4" x14ac:dyDescent="0.15">
      <c r="A5" s="188">
        <v>87</v>
      </c>
      <c r="B5" s="31" t="str">
        <f>VLOOKUP(A5,[2]characters!$A:$C,3)</f>
        <v>朱南の守護神 朱雀</v>
      </c>
      <c r="C5" s="188" t="s">
        <v>305</v>
      </c>
      <c r="D5" s="188" t="s">
        <v>314</v>
      </c>
    </row>
    <row r="6" spans="1:4" x14ac:dyDescent="0.15">
      <c r="A6" s="188">
        <v>88</v>
      </c>
      <c r="B6" s="31" t="str">
        <f>VLOOKUP(A6,[2]characters!$A:$C,3)</f>
        <v>玄武</v>
      </c>
      <c r="C6" s="188" t="s">
        <v>305</v>
      </c>
      <c r="D6" s="188" t="s">
        <v>314</v>
      </c>
    </row>
    <row r="7" spans="1:4" x14ac:dyDescent="0.15">
      <c r="A7" s="188">
        <v>89</v>
      </c>
      <c r="B7" s="31" t="str">
        <f>VLOOKUP(A7,[2]characters!$A:$C,3)</f>
        <v>守護者 玄武</v>
      </c>
      <c r="C7" s="188" t="s">
        <v>305</v>
      </c>
      <c r="D7" s="188" t="s">
        <v>314</v>
      </c>
    </row>
    <row r="8" spans="1:4" x14ac:dyDescent="0.15">
      <c r="A8" s="188">
        <v>90</v>
      </c>
      <c r="B8" s="31" t="str">
        <f>VLOOKUP(A8,[2]characters!$A:$C,3)</f>
        <v>翠北の守護神 玄武</v>
      </c>
      <c r="C8" s="188" t="s">
        <v>305</v>
      </c>
      <c r="D8" s="188" t="s">
        <v>314</v>
      </c>
    </row>
    <row r="9" spans="1:4" x14ac:dyDescent="0.15">
      <c r="A9" s="188">
        <v>91</v>
      </c>
      <c r="B9" s="31" t="str">
        <f>VLOOKUP(A9,[2]characters!$A:$C,3)</f>
        <v>青龍</v>
      </c>
      <c r="C9" s="188" t="s">
        <v>305</v>
      </c>
      <c r="D9" s="188" t="s">
        <v>314</v>
      </c>
    </row>
    <row r="10" spans="1:4" x14ac:dyDescent="0.15">
      <c r="A10" s="188">
        <v>92</v>
      </c>
      <c r="B10" s="31" t="str">
        <f>VLOOKUP(A10,[2]characters!$A:$C,3)</f>
        <v>守護者 青龍</v>
      </c>
      <c r="C10" s="188" t="s">
        <v>305</v>
      </c>
      <c r="D10" s="188" t="s">
        <v>314</v>
      </c>
    </row>
    <row r="11" spans="1:4" x14ac:dyDescent="0.15">
      <c r="A11" s="188">
        <v>93</v>
      </c>
      <c r="B11" s="31" t="str">
        <f>VLOOKUP(A11,[2]characters!$A:$C,3)</f>
        <v>碧東の守護神 青龍</v>
      </c>
      <c r="C11" s="188" t="s">
        <v>305</v>
      </c>
      <c r="D11" s="188" t="s">
        <v>314</v>
      </c>
    </row>
    <row r="12" spans="1:4" x14ac:dyDescent="0.15">
      <c r="A12" s="188">
        <v>94</v>
      </c>
      <c r="B12" s="31" t="str">
        <f>VLOOKUP(A12,[2]characters!$A:$C,3)</f>
        <v>白虎</v>
      </c>
      <c r="C12" s="188" t="s">
        <v>305</v>
      </c>
      <c r="D12" s="188" t="s">
        <v>314</v>
      </c>
    </row>
    <row r="13" spans="1:4" x14ac:dyDescent="0.15">
      <c r="A13" s="188">
        <v>95</v>
      </c>
      <c r="B13" s="31" t="str">
        <f>VLOOKUP(A13,[2]characters!$A:$C,3)</f>
        <v>守護者 白虎</v>
      </c>
      <c r="C13" s="188" t="s">
        <v>305</v>
      </c>
      <c r="D13" s="188" t="s">
        <v>314</v>
      </c>
    </row>
    <row r="14" spans="1:4" ht="30" x14ac:dyDescent="0.15">
      <c r="A14" s="59">
        <v>332</v>
      </c>
      <c r="B14" s="31" t="str">
        <f>VLOOKUP(A14,[2]characters!$A:$C,3)</f>
        <v>炎のメタルピヨピヨ</v>
      </c>
      <c r="C14" s="188" t="s">
        <v>305</v>
      </c>
      <c r="D14" s="233" t="s">
        <v>316</v>
      </c>
    </row>
    <row r="15" spans="1:4" ht="30" x14ac:dyDescent="0.15">
      <c r="A15" s="59">
        <v>336</v>
      </c>
      <c r="B15" s="31" t="str">
        <f>VLOOKUP(A15,[2]characters!$A:$C,3)</f>
        <v>森のメタルピヨピヨ</v>
      </c>
      <c r="C15" s="188" t="s">
        <v>305</v>
      </c>
      <c r="D15" s="233" t="s">
        <v>316</v>
      </c>
    </row>
    <row r="16" spans="1:4" ht="30" x14ac:dyDescent="0.15">
      <c r="A16" s="59">
        <v>340</v>
      </c>
      <c r="B16" s="31" t="str">
        <f>VLOOKUP(A16,[2]characters!$A:$C,3)</f>
        <v>水のメタルピヨピヨ</v>
      </c>
      <c r="C16" s="188" t="s">
        <v>305</v>
      </c>
      <c r="D16" s="233" t="s">
        <v>316</v>
      </c>
    </row>
    <row r="17" spans="1:4" ht="30" x14ac:dyDescent="0.15">
      <c r="A17" s="59">
        <v>344</v>
      </c>
      <c r="B17" s="31" t="str">
        <f>VLOOKUP(A17,[2]characters!$A:$C,3)</f>
        <v>雷のメタルピヨピヨ</v>
      </c>
      <c r="C17" s="188" t="s">
        <v>305</v>
      </c>
      <c r="D17" s="233" t="s">
        <v>316</v>
      </c>
    </row>
    <row r="18" spans="1:4" ht="30" x14ac:dyDescent="0.15">
      <c r="A18" s="188">
        <v>607</v>
      </c>
      <c r="B18" s="31" t="str">
        <f>VLOOKUP(A18,[2]characters!$A:$C,3)</f>
        <v>メガ攻めの果実</v>
      </c>
      <c r="C18" s="188" t="s">
        <v>305</v>
      </c>
      <c r="D18" s="233" t="s">
        <v>313</v>
      </c>
    </row>
    <row r="19" spans="1:4" ht="30" x14ac:dyDescent="0.15">
      <c r="A19" s="188">
        <v>608</v>
      </c>
      <c r="B19" s="31" t="str">
        <f>VLOOKUP(A19,[2]characters!$A:$C,3)</f>
        <v>メガ生命の果実</v>
      </c>
      <c r="C19" s="188" t="s">
        <v>305</v>
      </c>
      <c r="D19" s="233" t="s">
        <v>313</v>
      </c>
    </row>
    <row r="20" spans="1:4" ht="30" x14ac:dyDescent="0.15">
      <c r="A20" s="188">
        <v>609</v>
      </c>
      <c r="B20" s="31" t="str">
        <f>VLOOKUP(A20,[2]characters!$A:$C,3)</f>
        <v>メガ癒しの果実</v>
      </c>
      <c r="C20" s="188" t="s">
        <v>305</v>
      </c>
      <c r="D20" s="233" t="s">
        <v>313</v>
      </c>
    </row>
    <row r="21" spans="1:4" ht="30" x14ac:dyDescent="0.15">
      <c r="A21" s="188">
        <v>610</v>
      </c>
      <c r="B21" s="31" t="str">
        <f>VLOOKUP(A21,[2]characters!$A:$C,3)</f>
        <v>メガ秘術の果実</v>
      </c>
      <c r="C21" s="188" t="s">
        <v>305</v>
      </c>
      <c r="D21" s="233" t="s">
        <v>313</v>
      </c>
    </row>
    <row r="22" spans="1:4" ht="30" x14ac:dyDescent="0.15">
      <c r="A22" s="188">
        <v>878</v>
      </c>
      <c r="B22" s="31" t="str">
        <f>VLOOKUP(A22,[2]characters!$A:$C,3)</f>
        <v>イグニス</v>
      </c>
      <c r="C22" s="188" t="s">
        <v>305</v>
      </c>
      <c r="D22" s="233" t="s">
        <v>312</v>
      </c>
    </row>
    <row r="23" spans="1:4" ht="30" x14ac:dyDescent="0.15">
      <c r="A23" s="188">
        <v>879</v>
      </c>
      <c r="B23" s="31" t="str">
        <f>VLOOKUP(A23,[2]characters!$A:$C,3)</f>
        <v>イグニス・フューリー</v>
      </c>
      <c r="C23" s="188" t="s">
        <v>305</v>
      </c>
      <c r="D23" s="233" t="s">
        <v>312</v>
      </c>
    </row>
    <row r="24" spans="1:4" x14ac:dyDescent="0.15">
      <c r="A24" s="188">
        <v>377</v>
      </c>
      <c r="B24" s="31" t="str">
        <f>VLOOKUP(A24,[2]characters!$A:$C,3)</f>
        <v>光明鹿剣 勘兵衛</v>
      </c>
      <c r="C24" s="188" t="s">
        <v>305</v>
      </c>
      <c r="D24" s="233" t="s">
        <v>342</v>
      </c>
    </row>
    <row r="25" spans="1:4" x14ac:dyDescent="0.15">
      <c r="A25" s="188">
        <v>1433</v>
      </c>
      <c r="B25" s="31" t="str">
        <f>VLOOKUP(A25,[2]characters!$A:$C,3)</f>
        <v>超越の果実</v>
      </c>
      <c r="C25" s="188" t="s">
        <v>305</v>
      </c>
      <c r="D25" s="233" t="s">
        <v>343</v>
      </c>
    </row>
    <row r="26" spans="1:4" x14ac:dyDescent="0.15">
      <c r="A26" s="188">
        <v>1434</v>
      </c>
      <c r="B26" s="31" t="str">
        <f>VLOOKUP(A26,[2]characters!$A:$C,3)</f>
        <v>メガ超越の果実</v>
      </c>
      <c r="C26" s="188" t="s">
        <v>305</v>
      </c>
      <c r="D26" s="233" t="s">
        <v>344</v>
      </c>
    </row>
    <row r="27" spans="1:4" ht="30" x14ac:dyDescent="0.15">
      <c r="A27" s="188">
        <v>1692</v>
      </c>
      <c r="B27" s="31" t="str">
        <f>VLOOKUP(A27,[2]characters!$A:$C,3)</f>
        <v>ロッソ・ハート</v>
      </c>
      <c r="C27" s="188" t="s">
        <v>305</v>
      </c>
      <c r="D27" s="233" t="s">
        <v>346</v>
      </c>
    </row>
    <row r="28" spans="1:4" ht="30" x14ac:dyDescent="0.15">
      <c r="A28" s="188">
        <v>1693</v>
      </c>
      <c r="B28" s="31" t="str">
        <f>VLOOKUP(A28,[2]characters!$A:$C,3)</f>
        <v>ヴェルデ・ハート</v>
      </c>
      <c r="C28" s="188" t="s">
        <v>305</v>
      </c>
      <c r="D28" s="233" t="s">
        <v>346</v>
      </c>
    </row>
    <row r="29" spans="1:4" ht="30" x14ac:dyDescent="0.15">
      <c r="A29" s="188">
        <v>1694</v>
      </c>
      <c r="B29" s="31" t="str">
        <f>VLOOKUP(A29,[2]characters!$A:$C,3)</f>
        <v>アズロ・ハート</v>
      </c>
      <c r="C29" s="188" t="s">
        <v>305</v>
      </c>
      <c r="D29" s="233" t="s">
        <v>346</v>
      </c>
    </row>
    <row r="30" spans="1:4" ht="30" x14ac:dyDescent="0.15">
      <c r="A30" s="188">
        <v>1695</v>
      </c>
      <c r="B30" s="31" t="str">
        <f>VLOOKUP(A30,[2]characters!$A:$C,3)</f>
        <v>ジャロ・ハート</v>
      </c>
      <c r="C30" s="188" t="s">
        <v>305</v>
      </c>
      <c r="D30" s="233" t="s">
        <v>346</v>
      </c>
    </row>
    <row r="31" spans="1:4" x14ac:dyDescent="0.15">
      <c r="A31" s="188">
        <v>1719</v>
      </c>
      <c r="B31" s="31" t="str">
        <f>VLOOKUP(A31,[2]characters!$A:$C,3)</f>
        <v>トゥルー・マリッジリング</v>
      </c>
      <c r="C31" s="188" t="s">
        <v>305</v>
      </c>
      <c r="D31" s="233" t="s">
        <v>347</v>
      </c>
    </row>
    <row r="32" spans="1:4" x14ac:dyDescent="0.15">
      <c r="A32" s="188">
        <v>1717</v>
      </c>
      <c r="B32" s="31" t="str">
        <f>VLOOKUP(A32,[2]characters!$A:$C,3)</f>
        <v>ラブリーエンジェル</v>
      </c>
      <c r="C32" s="188" t="s">
        <v>305</v>
      </c>
      <c r="D32" s="233" t="s">
        <v>348</v>
      </c>
    </row>
  </sheetData>
  <phoneticPr fontId="24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enableFormatConditionsCalculation="0">
    <tabColor rgb="FF0000FF"/>
  </sheetPr>
  <dimension ref="A1:E1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P6" sqref="P6"/>
    </sheetView>
  </sheetViews>
  <sheetFormatPr baseColWidth="12" defaultColWidth="8.83203125" defaultRowHeight="15" x14ac:dyDescent="0.15"/>
  <cols>
    <col min="1" max="1" width="11.83203125" style="79" bestFit="1" customWidth="1"/>
    <col min="2" max="2" width="18.33203125" bestFit="1" customWidth="1"/>
    <col min="3" max="3" width="12.6640625" style="79" bestFit="1" customWidth="1"/>
    <col min="4" max="4" width="8.83203125" style="79"/>
  </cols>
  <sheetData>
    <row r="1" spans="1:5" x14ac:dyDescent="0.15">
      <c r="A1" s="80" t="s">
        <v>74</v>
      </c>
      <c r="B1" s="76" t="s">
        <v>94</v>
      </c>
      <c r="C1" s="80" t="s">
        <v>75</v>
      </c>
      <c r="D1" s="80" t="s">
        <v>76</v>
      </c>
      <c r="E1" s="137" t="s">
        <v>222</v>
      </c>
    </row>
    <row r="2" spans="1:5" x14ac:dyDescent="0.15">
      <c r="A2" s="78">
        <v>121</v>
      </c>
      <c r="B2" s="77" t="str">
        <f ca="1">VLOOKUP($A2,OFFSET([2]characters!$A$1,0,0,COUNTA([2]characters!$A:$A),MATCH(B$1,[2]characters!$1:$1,0)-MATCH($A$1,[2]characters!$1:$1,0)+1),MATCH(B$1,[2]characters!$1:$1,0)-MATCH($A$1,[2]characters!$1:$1,0)+1,FALSE)</f>
        <v>攻めの果実</v>
      </c>
      <c r="C2" s="78" t="s">
        <v>78</v>
      </c>
      <c r="D2" s="78">
        <v>1</v>
      </c>
      <c r="E2" s="78">
        <v>10</v>
      </c>
    </row>
    <row r="3" spans="1:5" x14ac:dyDescent="0.15">
      <c r="A3" s="78">
        <v>122</v>
      </c>
      <c r="B3" s="77" t="str">
        <f ca="1">VLOOKUP($A3,OFFSET([2]characters!$A$1,0,0,COUNTA([2]characters!$A:$A),MATCH(B$1,[2]characters!$1:$1,0)-MATCH($A$1,[2]characters!$1:$1,0)+1),MATCH(B$1,[2]characters!$1:$1,0)-MATCH($A$1,[2]characters!$1:$1,0)+1,FALSE)</f>
        <v>生命の果実</v>
      </c>
      <c r="C3" s="78" t="s">
        <v>77</v>
      </c>
      <c r="D3" s="78">
        <v>1</v>
      </c>
      <c r="E3" s="78">
        <v>15</v>
      </c>
    </row>
    <row r="4" spans="1:5" x14ac:dyDescent="0.15">
      <c r="A4" s="78">
        <v>123</v>
      </c>
      <c r="B4" s="77" t="str">
        <f ca="1">VLOOKUP($A4,OFFSET([2]characters!$A$1,0,0,COUNTA([2]characters!$A:$A),MATCH(B$1,[2]characters!$1:$1,0)-MATCH($A$1,[2]characters!$1:$1,0)+1),MATCH(B$1,[2]characters!$1:$1,0)-MATCH($A$1,[2]characters!$1:$1,0)+1,FALSE)</f>
        <v>癒しの果実</v>
      </c>
      <c r="C4" s="78" t="s">
        <v>79</v>
      </c>
      <c r="D4" s="78">
        <v>1</v>
      </c>
      <c r="E4" s="78">
        <v>7</v>
      </c>
    </row>
    <row r="5" spans="1:5" x14ac:dyDescent="0.15">
      <c r="A5" s="78">
        <v>125</v>
      </c>
      <c r="B5" s="77" t="str">
        <f ca="1">VLOOKUP($A5,OFFSET([2]characters!$A$1,0,0,COUNTA([2]characters!$A:$A),MATCH(B$1,[2]characters!$1:$1,0)-MATCH($A$1,[2]characters!$1:$1,0)+1),MATCH(B$1,[2]characters!$1:$1,0)-MATCH($A$1,[2]characters!$1:$1,0)+1,FALSE)</f>
        <v>秘術の果実</v>
      </c>
      <c r="C5" s="78" t="s">
        <v>80</v>
      </c>
      <c r="D5" s="78">
        <v>1</v>
      </c>
      <c r="E5" s="78">
        <v>1</v>
      </c>
    </row>
    <row r="6" spans="1:5" x14ac:dyDescent="0.15">
      <c r="A6" s="78">
        <v>607</v>
      </c>
      <c r="B6" s="77" t="str">
        <f ca="1">VLOOKUP($A6,OFFSET([2]characters!$A$1,0,0,COUNTA([2]characters!$A:$A),MATCH(B$1,[2]characters!$1:$1,0)-MATCH($A$1,[2]characters!$1:$1,0)+1),MATCH(B$1,[2]characters!$1:$1,0)-MATCH($A$1,[2]characters!$1:$1,0)+1,FALSE)</f>
        <v>メガ攻めの果実</v>
      </c>
      <c r="C6" s="78" t="s">
        <v>78</v>
      </c>
      <c r="D6" s="78">
        <v>3</v>
      </c>
      <c r="E6" s="76">
        <f>D6*E2</f>
        <v>30</v>
      </c>
    </row>
    <row r="7" spans="1:5" x14ac:dyDescent="0.15">
      <c r="A7" s="78">
        <v>608</v>
      </c>
      <c r="B7" s="77" t="str">
        <f ca="1">VLOOKUP($A7,OFFSET([2]characters!$A$1,0,0,COUNTA([2]characters!$A:$A),MATCH(B$1,[2]characters!$1:$1,0)-MATCH($A$1,[2]characters!$1:$1,0)+1),MATCH(B$1,[2]characters!$1:$1,0)-MATCH($A$1,[2]characters!$1:$1,0)+1,FALSE)</f>
        <v>メガ生命の果実</v>
      </c>
      <c r="C7" s="78" t="s">
        <v>77</v>
      </c>
      <c r="D7" s="78">
        <v>3</v>
      </c>
      <c r="E7" s="76">
        <f t="shared" ref="E7:E8" si="0">D7*E3</f>
        <v>45</v>
      </c>
    </row>
    <row r="8" spans="1:5" x14ac:dyDescent="0.15">
      <c r="A8" s="78">
        <v>609</v>
      </c>
      <c r="B8" s="77" t="str">
        <f ca="1">VLOOKUP($A8,OFFSET([2]characters!$A$1,0,0,COUNTA([2]characters!$A:$A),MATCH(B$1,[2]characters!$1:$1,0)-MATCH($A$1,[2]characters!$1:$1,0)+1),MATCH(B$1,[2]characters!$1:$1,0)-MATCH($A$1,[2]characters!$1:$1,0)+1,FALSE)</f>
        <v>メガ癒しの果実</v>
      </c>
      <c r="C8" s="78" t="s">
        <v>79</v>
      </c>
      <c r="D8" s="78">
        <v>3</v>
      </c>
      <c r="E8" s="76">
        <f t="shared" si="0"/>
        <v>21</v>
      </c>
    </row>
    <row r="9" spans="1:5" x14ac:dyDescent="0.15">
      <c r="A9" s="78">
        <v>610</v>
      </c>
      <c r="B9" s="77" t="str">
        <f ca="1">VLOOKUP($A9,OFFSET([2]characters!$A$1,0,0,COUNTA([2]characters!$A:$A),MATCH(B$1,[2]characters!$1:$1,0)-MATCH($A$1,[2]characters!$1:$1,0)+1),MATCH(B$1,[2]characters!$1:$1,0)-MATCH($A$1,[2]characters!$1:$1,0)+1,FALSE)</f>
        <v>メガ秘術の果実</v>
      </c>
      <c r="C9" s="78" t="s">
        <v>80</v>
      </c>
      <c r="D9" s="78">
        <v>2</v>
      </c>
      <c r="E9" s="76">
        <f>D9*E5</f>
        <v>2</v>
      </c>
    </row>
    <row r="10" spans="1:5" x14ac:dyDescent="0.15">
      <c r="A10" s="78">
        <v>611</v>
      </c>
      <c r="B10" s="77" t="str">
        <f ca="1">VLOOKUP($A10,OFFSET([2]characters!$A$1,0,0,COUNTA([2]characters!$A:$A),MATCH(B$1,[2]characters!$1:$1,0)-MATCH($A$1,[2]characters!$1:$1,0)+1),MATCH(B$1,[2]characters!$1:$1,0)-MATCH($A$1,[2]characters!$1:$1,0)+1,FALSE)</f>
        <v>ギガ攻めの果実</v>
      </c>
      <c r="C10" s="78" t="s">
        <v>78</v>
      </c>
      <c r="D10" s="78">
        <v>10</v>
      </c>
      <c r="E10" s="76">
        <f>D10*E2</f>
        <v>100</v>
      </c>
    </row>
    <row r="11" spans="1:5" x14ac:dyDescent="0.15">
      <c r="A11" s="78">
        <v>612</v>
      </c>
      <c r="B11" s="77" t="str">
        <f ca="1">VLOOKUP($A11,OFFSET([2]characters!$A$1,0,0,COUNTA([2]characters!$A:$A),MATCH(B$1,[2]characters!$1:$1,0)-MATCH($A$1,[2]characters!$1:$1,0)+1),MATCH(B$1,[2]characters!$1:$1,0)-MATCH($A$1,[2]characters!$1:$1,0)+1,FALSE)</f>
        <v>ギガ生命の果実</v>
      </c>
      <c r="C11" s="78" t="s">
        <v>77</v>
      </c>
      <c r="D11" s="78">
        <v>10</v>
      </c>
      <c r="E11" s="76">
        <f t="shared" ref="E11:E12" si="1">D11*E3</f>
        <v>150</v>
      </c>
    </row>
    <row r="12" spans="1:5" x14ac:dyDescent="0.15">
      <c r="A12" s="78">
        <v>613</v>
      </c>
      <c r="B12" s="77" t="str">
        <f ca="1">VLOOKUP($A12,OFFSET([2]characters!$A$1,0,0,COUNTA([2]characters!$A:$A),MATCH(B$1,[2]characters!$1:$1,0)-MATCH($A$1,[2]characters!$1:$1,0)+1),MATCH(B$1,[2]characters!$1:$1,0)-MATCH($A$1,[2]characters!$1:$1,0)+1,FALSE)</f>
        <v>ギガ癒しの果実</v>
      </c>
      <c r="C12" s="78" t="s">
        <v>79</v>
      </c>
      <c r="D12" s="78">
        <v>10</v>
      </c>
      <c r="E12" s="76">
        <f t="shared" si="1"/>
        <v>70</v>
      </c>
    </row>
    <row r="13" spans="1:5" x14ac:dyDescent="0.15">
      <c r="A13" s="78">
        <v>614</v>
      </c>
      <c r="B13" s="77" t="str">
        <f ca="1">VLOOKUP($A13,OFFSET([2]characters!$A$1,0,0,COUNTA([2]characters!$A:$A),MATCH(B$1,[2]characters!$1:$1,0)-MATCH($A$1,[2]characters!$1:$1,0)+1),MATCH(B$1,[2]characters!$1:$1,0)-MATCH($A$1,[2]characters!$1:$1,0)+1,FALSE)</f>
        <v>ギガ秘術の果実</v>
      </c>
      <c r="C13" s="78" t="s">
        <v>80</v>
      </c>
      <c r="D13" s="78">
        <v>4</v>
      </c>
      <c r="E13" s="76">
        <f>D13*E5</f>
        <v>4</v>
      </c>
    </row>
    <row r="14" spans="1:5" x14ac:dyDescent="0.15">
      <c r="A14" s="78">
        <v>572</v>
      </c>
      <c r="B14" s="77" t="str">
        <f ca="1">VLOOKUP($A14,OFFSET([2]characters!$A$1,0,0,COUNTA([2]characters!$A:$A),MATCH(B$1,[2]characters!$1:$1,0)-MATCH($A$1,[2]characters!$1:$1,0)+1),MATCH(B$1,[2]characters!$1:$1,0)-MATCH($A$1,[2]characters!$1:$1,0)+1,FALSE)</f>
        <v>恋する果実</v>
      </c>
      <c r="C14" s="78" t="s">
        <v>80</v>
      </c>
      <c r="D14" s="78">
        <v>1</v>
      </c>
      <c r="E14" s="78">
        <v>1</v>
      </c>
    </row>
    <row r="15" spans="1:5" x14ac:dyDescent="0.15">
      <c r="A15" s="78">
        <v>795</v>
      </c>
      <c r="B15" s="77" t="str">
        <f ca="1">VLOOKUP($A15,OFFSET([2]characters!$A$1,0,0,COUNTA([2]characters!$A:$A),MATCH(B$1,[2]characters!$1:$1,0)-MATCH($A$1,[2]characters!$1:$1,0)+1),MATCH(B$1,[2]characters!$1:$1,0)-MATCH($A$1,[2]characters!$1:$1,0)+1,FALSE)</f>
        <v>桜花の果実</v>
      </c>
      <c r="C15" s="78" t="s">
        <v>80</v>
      </c>
      <c r="D15" s="78">
        <v>1</v>
      </c>
      <c r="E15" s="78">
        <v>1</v>
      </c>
    </row>
    <row r="16" spans="1:5" x14ac:dyDescent="0.15">
      <c r="A16" s="78">
        <v>1433</v>
      </c>
      <c r="B16" s="77" t="str">
        <f ca="1">VLOOKUP($A16,OFFSET([2]characters!$A$1,0,0,COUNTA([2]characters!$A:$A),MATCH(B$1,[2]characters!$1:$1,0)-MATCH($A$1,[2]characters!$1:$1,0)+1),MATCH(B$1,[2]characters!$1:$1,0)-MATCH($A$1,[2]characters!$1:$1,0)+1,FALSE)</f>
        <v>超越の果実</v>
      </c>
      <c r="C16" s="78" t="s">
        <v>345</v>
      </c>
      <c r="D16" s="78">
        <v>1</v>
      </c>
      <c r="E16" s="78">
        <v>1</v>
      </c>
    </row>
    <row r="17" spans="1:5" x14ac:dyDescent="0.15">
      <c r="A17" s="78">
        <v>1434</v>
      </c>
      <c r="B17" s="77" t="str">
        <f ca="1">VLOOKUP($A17,OFFSET([2]characters!$A$1,0,0,COUNTA([2]characters!$A:$A),MATCH(B$1,[2]characters!$1:$1,0)-MATCH($A$1,[2]characters!$1:$1,0)+1),MATCH(B$1,[2]characters!$1:$1,0)-MATCH($A$1,[2]characters!$1:$1,0)+1,FALSE)</f>
        <v>メガ超越の果実</v>
      </c>
      <c r="C17" s="78" t="s">
        <v>345</v>
      </c>
      <c r="D17" s="78">
        <v>3</v>
      </c>
      <c r="E17" s="78">
        <v>3</v>
      </c>
    </row>
    <row r="18" spans="1:5" x14ac:dyDescent="0.15">
      <c r="A18" s="78">
        <v>1435</v>
      </c>
      <c r="B18" s="77" t="str">
        <f ca="1">VLOOKUP($A18,OFFSET([2]characters!$A$1,0,0,COUNTA([2]characters!$A:$A),MATCH(B$1,[2]characters!$1:$1,0)-MATCH($A$1,[2]characters!$1:$1,0)+1),MATCH(B$1,[2]characters!$1:$1,0)-MATCH($A$1,[2]characters!$1:$1,0)+1,FALSE)</f>
        <v>ギガ超越の果実</v>
      </c>
      <c r="C18" s="78" t="s">
        <v>345</v>
      </c>
      <c r="D18" s="78">
        <v>10</v>
      </c>
      <c r="E18" s="78">
        <v>10</v>
      </c>
    </row>
  </sheetData>
  <phoneticPr fontId="14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rgb="FF6D65E5"/>
  </sheetPr>
  <dimension ref="A1:B19"/>
  <sheetViews>
    <sheetView workbookViewId="0">
      <selection activeCell="C12" sqref="C12"/>
    </sheetView>
  </sheetViews>
  <sheetFormatPr baseColWidth="12" defaultRowHeight="15" x14ac:dyDescent="0.15"/>
  <sheetData>
    <row r="1" spans="1:2" x14ac:dyDescent="0.15">
      <c r="A1" t="s">
        <v>317</v>
      </c>
      <c r="B1" t="s">
        <v>319</v>
      </c>
    </row>
    <row r="2" spans="1:2" x14ac:dyDescent="0.15">
      <c r="A2" t="s">
        <v>320</v>
      </c>
      <c r="B2">
        <v>1</v>
      </c>
    </row>
    <row r="3" spans="1:2" x14ac:dyDescent="0.15">
      <c r="A3" t="s">
        <v>321</v>
      </c>
      <c r="B3">
        <v>1</v>
      </c>
    </row>
    <row r="4" spans="1:2" x14ac:dyDescent="0.15">
      <c r="A4" t="s">
        <v>322</v>
      </c>
      <c r="B4">
        <v>1</v>
      </c>
    </row>
    <row r="5" spans="1:2" x14ac:dyDescent="0.15">
      <c r="A5" t="s">
        <v>323</v>
      </c>
      <c r="B5">
        <v>1</v>
      </c>
    </row>
    <row r="6" spans="1:2" x14ac:dyDescent="0.15">
      <c r="A6" t="s">
        <v>324</v>
      </c>
      <c r="B6">
        <v>1</v>
      </c>
    </row>
    <row r="7" spans="1:2" x14ac:dyDescent="0.15">
      <c r="A7" t="s">
        <v>331</v>
      </c>
      <c r="B7">
        <v>1</v>
      </c>
    </row>
    <row r="8" spans="1:2" x14ac:dyDescent="0.15">
      <c r="A8" t="s">
        <v>325</v>
      </c>
      <c r="B8">
        <v>1</v>
      </c>
    </row>
    <row r="9" spans="1:2" x14ac:dyDescent="0.15">
      <c r="A9" t="s">
        <v>332</v>
      </c>
      <c r="B9">
        <v>1</v>
      </c>
    </row>
    <row r="10" spans="1:2" x14ac:dyDescent="0.15">
      <c r="A10" t="s">
        <v>330</v>
      </c>
      <c r="B10">
        <v>1</v>
      </c>
    </row>
    <row r="11" spans="1:2" x14ac:dyDescent="0.15">
      <c r="A11" t="s">
        <v>334</v>
      </c>
      <c r="B11">
        <v>1</v>
      </c>
    </row>
    <row r="12" spans="1:2" x14ac:dyDescent="0.15">
      <c r="A12" t="s">
        <v>335</v>
      </c>
      <c r="B12">
        <v>1</v>
      </c>
    </row>
    <row r="13" spans="1:2" x14ac:dyDescent="0.15">
      <c r="A13" t="s">
        <v>326</v>
      </c>
      <c r="B13">
        <v>0</v>
      </c>
    </row>
    <row r="14" spans="1:2" x14ac:dyDescent="0.15">
      <c r="A14" t="s">
        <v>327</v>
      </c>
      <c r="B14">
        <v>500</v>
      </c>
    </row>
    <row r="15" spans="1:2" x14ac:dyDescent="0.15">
      <c r="A15" t="s">
        <v>328</v>
      </c>
      <c r="B15">
        <v>600</v>
      </c>
    </row>
    <row r="16" spans="1:2" x14ac:dyDescent="0.15">
      <c r="A16" t="s">
        <v>329</v>
      </c>
      <c r="B16">
        <v>700</v>
      </c>
    </row>
    <row r="17" spans="1:2" x14ac:dyDescent="0.15">
      <c r="A17" t="s">
        <v>333</v>
      </c>
      <c r="B17">
        <v>5500</v>
      </c>
    </row>
    <row r="18" spans="1:2" x14ac:dyDescent="0.15">
      <c r="A18" t="s">
        <v>336</v>
      </c>
      <c r="B18">
        <v>6000</v>
      </c>
    </row>
    <row r="19" spans="1:2" x14ac:dyDescent="0.15">
      <c r="A19" t="s">
        <v>337</v>
      </c>
      <c r="B19">
        <v>30000</v>
      </c>
    </row>
  </sheetData>
  <phoneticPr fontId="2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H17" sqref="H17"/>
    </sheetView>
  </sheetViews>
  <sheetFormatPr baseColWidth="12" defaultColWidth="13" defaultRowHeight="21" customHeight="1" x14ac:dyDescent="0.15"/>
  <cols>
    <col min="1" max="1" width="13" style="7"/>
    <col min="2" max="16384" width="13" style="34"/>
  </cols>
  <sheetData>
    <row r="1" spans="1:9" s="7" customFormat="1" ht="21" customHeight="1" x14ac:dyDescent="0.15">
      <c r="A1" s="41" t="s">
        <v>85</v>
      </c>
      <c r="B1" s="43">
        <v>1</v>
      </c>
      <c r="C1" s="43">
        <v>2</v>
      </c>
      <c r="D1" s="43">
        <v>3</v>
      </c>
      <c r="E1" s="43">
        <v>4</v>
      </c>
      <c r="F1" s="43">
        <v>5</v>
      </c>
      <c r="G1" s="43">
        <v>6</v>
      </c>
      <c r="H1" s="43">
        <v>7</v>
      </c>
      <c r="I1" s="43">
        <v>8</v>
      </c>
    </row>
    <row r="2" spans="1:9" s="7" customFormat="1" ht="21" customHeight="1" x14ac:dyDescent="0.15">
      <c r="A2" s="210" t="s">
        <v>290</v>
      </c>
      <c r="B2" s="211"/>
      <c r="C2" s="212"/>
      <c r="D2" s="217" t="s">
        <v>40</v>
      </c>
      <c r="E2" s="217">
        <v>30</v>
      </c>
      <c r="F2" s="217">
        <v>40</v>
      </c>
      <c r="G2" s="217">
        <f>15+F2</f>
        <v>55</v>
      </c>
      <c r="H2" s="212"/>
      <c r="I2" s="212"/>
    </row>
    <row r="3" spans="1:9" s="7" customFormat="1" ht="21" customHeight="1" x14ac:dyDescent="0.15">
      <c r="A3" s="210" t="s">
        <v>289</v>
      </c>
      <c r="B3" s="213"/>
      <c r="C3" s="214"/>
      <c r="D3" s="218" t="s">
        <v>40</v>
      </c>
      <c r="E3" s="218">
        <v>25</v>
      </c>
      <c r="F3" s="218">
        <v>35</v>
      </c>
      <c r="G3" s="217">
        <f t="shared" ref="G3:G4" si="0">15+F3</f>
        <v>50</v>
      </c>
      <c r="H3" s="214"/>
      <c r="I3" s="214"/>
    </row>
    <row r="4" spans="1:9" s="7" customFormat="1" ht="21" customHeight="1" x14ac:dyDescent="0.15">
      <c r="A4" s="210" t="s">
        <v>288</v>
      </c>
      <c r="B4" s="215"/>
      <c r="C4" s="216"/>
      <c r="D4" s="219">
        <v>10</v>
      </c>
      <c r="E4" s="219">
        <v>20</v>
      </c>
      <c r="F4" s="219">
        <v>30</v>
      </c>
      <c r="G4" s="219">
        <f t="shared" si="0"/>
        <v>45</v>
      </c>
      <c r="H4" s="216"/>
      <c r="I4" s="216"/>
    </row>
    <row r="5" spans="1:9" s="7" customFormat="1" ht="21" customHeight="1" x14ac:dyDescent="0.15">
      <c r="A5" s="224" t="s">
        <v>296</v>
      </c>
      <c r="B5" s="225"/>
      <c r="C5" s="226"/>
      <c r="D5" s="39">
        <v>9</v>
      </c>
      <c r="E5" s="39">
        <v>18</v>
      </c>
      <c r="F5" s="39">
        <v>28</v>
      </c>
      <c r="G5" s="51">
        <v>38</v>
      </c>
      <c r="H5" s="226"/>
      <c r="I5" s="226"/>
    </row>
    <row r="6" spans="1:9" s="7" customFormat="1" ht="21" customHeight="1" x14ac:dyDescent="0.15">
      <c r="A6" s="224" t="s">
        <v>297</v>
      </c>
      <c r="B6" s="225"/>
      <c r="C6" s="226"/>
      <c r="D6" s="39">
        <v>7</v>
      </c>
      <c r="E6" s="39">
        <v>16</v>
      </c>
      <c r="F6" s="140" t="s">
        <v>11</v>
      </c>
      <c r="G6" s="140" t="s">
        <v>11</v>
      </c>
      <c r="H6" s="226"/>
      <c r="I6" s="226"/>
    </row>
    <row r="7" spans="1:9" ht="21" customHeight="1" x14ac:dyDescent="0.15">
      <c r="A7" s="149" t="s">
        <v>39</v>
      </c>
      <c r="B7" s="50" t="s">
        <v>11</v>
      </c>
      <c r="C7" s="50" t="s">
        <v>11</v>
      </c>
      <c r="D7" s="51" t="s">
        <v>40</v>
      </c>
      <c r="E7" s="51" t="s">
        <v>40</v>
      </c>
      <c r="F7" s="51" t="s">
        <v>40</v>
      </c>
      <c r="G7" s="51" t="s">
        <v>40</v>
      </c>
      <c r="H7" s="51" t="s">
        <v>40</v>
      </c>
      <c r="I7" s="51" t="s">
        <v>40</v>
      </c>
    </row>
    <row r="8" spans="1:9" ht="21" customHeight="1" x14ac:dyDescent="0.15">
      <c r="A8" s="150" t="s">
        <v>38</v>
      </c>
      <c r="B8" s="50" t="s">
        <v>11</v>
      </c>
      <c r="C8" s="50" t="s">
        <v>11</v>
      </c>
      <c r="D8" s="51" t="s">
        <v>40</v>
      </c>
      <c r="E8" s="51">
        <v>30</v>
      </c>
      <c r="F8" s="51">
        <v>40</v>
      </c>
      <c r="G8" s="51">
        <f>15+F8</f>
        <v>55</v>
      </c>
      <c r="H8" s="51" t="s">
        <v>40</v>
      </c>
      <c r="I8" s="51" t="s">
        <v>40</v>
      </c>
    </row>
    <row r="9" spans="1:9" s="58" customFormat="1" ht="21" customHeight="1" x14ac:dyDescent="0.15">
      <c r="A9" s="151" t="s">
        <v>37</v>
      </c>
      <c r="B9" s="39" t="s">
        <v>11</v>
      </c>
      <c r="C9" s="39" t="s">
        <v>11</v>
      </c>
      <c r="D9" s="182" t="s">
        <v>230</v>
      </c>
      <c r="E9" s="182">
        <v>25</v>
      </c>
      <c r="F9" s="182">
        <v>35</v>
      </c>
      <c r="G9" s="51">
        <f t="shared" ref="G9:G10" si="1">15+F9</f>
        <v>50</v>
      </c>
      <c r="H9" s="182" t="s">
        <v>40</v>
      </c>
      <c r="I9" s="182" t="s">
        <v>40</v>
      </c>
    </row>
    <row r="10" spans="1:9" ht="21" customHeight="1" x14ac:dyDescent="0.15">
      <c r="A10" s="151" t="s">
        <v>9</v>
      </c>
      <c r="B10" s="140" t="s">
        <v>11</v>
      </c>
      <c r="C10" s="140" t="s">
        <v>11</v>
      </c>
      <c r="D10" s="39">
        <v>10</v>
      </c>
      <c r="E10" s="39">
        <v>20</v>
      </c>
      <c r="F10" s="39">
        <v>30</v>
      </c>
      <c r="G10" s="51">
        <f t="shared" si="1"/>
        <v>45</v>
      </c>
      <c r="H10" s="140" t="s">
        <v>11</v>
      </c>
      <c r="I10" s="140" t="s">
        <v>11</v>
      </c>
    </row>
    <row r="11" spans="1:9" ht="21" customHeight="1" x14ac:dyDescent="0.15">
      <c r="A11" s="151" t="s">
        <v>35</v>
      </c>
      <c r="B11" s="140" t="s">
        <v>11</v>
      </c>
      <c r="C11" s="140" t="s">
        <v>11</v>
      </c>
      <c r="D11" s="39">
        <v>9</v>
      </c>
      <c r="E11" s="39">
        <v>18</v>
      </c>
      <c r="F11" s="39">
        <v>28</v>
      </c>
      <c r="G11" s="51">
        <v>38</v>
      </c>
      <c r="H11" s="140" t="s">
        <v>11</v>
      </c>
      <c r="I11" s="140" t="s">
        <v>11</v>
      </c>
    </row>
    <row r="12" spans="1:9" ht="21" customHeight="1" x14ac:dyDescent="0.15">
      <c r="A12" s="151" t="s">
        <v>34</v>
      </c>
      <c r="B12" s="140" t="s">
        <v>11</v>
      </c>
      <c r="C12" s="140" t="s">
        <v>11</v>
      </c>
      <c r="D12" s="39">
        <v>7</v>
      </c>
      <c r="E12" s="39">
        <v>16</v>
      </c>
      <c r="F12" s="140" t="s">
        <v>11</v>
      </c>
      <c r="G12" s="140" t="s">
        <v>11</v>
      </c>
      <c r="H12" s="140" t="s">
        <v>11</v>
      </c>
      <c r="I12" s="140" t="s">
        <v>11</v>
      </c>
    </row>
    <row r="13" spans="1:9" ht="21" customHeight="1" x14ac:dyDescent="0.15">
      <c r="A13" s="181" t="s">
        <v>63</v>
      </c>
      <c r="B13" s="140" t="s">
        <v>11</v>
      </c>
      <c r="C13" s="140" t="s">
        <v>11</v>
      </c>
      <c r="D13" s="39">
        <v>8</v>
      </c>
      <c r="E13" s="39">
        <v>17</v>
      </c>
      <c r="F13" s="39">
        <v>26</v>
      </c>
      <c r="G13" s="140" t="s">
        <v>11</v>
      </c>
      <c r="H13" s="140" t="s">
        <v>11</v>
      </c>
      <c r="I13" s="140" t="s">
        <v>11</v>
      </c>
    </row>
    <row r="14" spans="1:9" ht="21" customHeight="1" x14ac:dyDescent="0.15">
      <c r="A14" s="151" t="s">
        <v>86</v>
      </c>
      <c r="B14" s="140" t="s">
        <v>11</v>
      </c>
      <c r="C14" s="140" t="s">
        <v>11</v>
      </c>
      <c r="D14" s="39">
        <v>8</v>
      </c>
      <c r="E14" s="39">
        <v>17</v>
      </c>
      <c r="F14" s="39">
        <v>26</v>
      </c>
      <c r="G14" s="140" t="s">
        <v>11</v>
      </c>
      <c r="H14" s="140" t="s">
        <v>11</v>
      </c>
      <c r="I14" s="140" t="s">
        <v>11</v>
      </c>
    </row>
    <row r="15" spans="1:9" ht="21" customHeight="1" x14ac:dyDescent="0.15">
      <c r="A15" s="151" t="s">
        <v>62</v>
      </c>
      <c r="B15" s="140" t="s">
        <v>11</v>
      </c>
      <c r="C15" s="140" t="s">
        <v>11</v>
      </c>
      <c r="D15" s="39">
        <v>6</v>
      </c>
      <c r="E15" s="39">
        <v>14</v>
      </c>
      <c r="F15" s="140" t="s">
        <v>11</v>
      </c>
      <c r="G15" s="140" t="s">
        <v>11</v>
      </c>
      <c r="H15" s="140" t="s">
        <v>11</v>
      </c>
      <c r="I15" s="140" t="s">
        <v>11</v>
      </c>
    </row>
    <row r="16" spans="1:9" ht="21" customHeight="1" x14ac:dyDescent="0.15">
      <c r="A16" s="151" t="s">
        <v>61</v>
      </c>
      <c r="B16" s="140" t="s">
        <v>11</v>
      </c>
      <c r="C16" s="39">
        <v>4</v>
      </c>
      <c r="D16" s="39">
        <v>6</v>
      </c>
      <c r="E16" s="39">
        <v>14</v>
      </c>
      <c r="F16" s="140" t="s">
        <v>11</v>
      </c>
      <c r="G16" s="140" t="s">
        <v>11</v>
      </c>
      <c r="H16" s="140" t="s">
        <v>11</v>
      </c>
      <c r="I16" s="140" t="s">
        <v>11</v>
      </c>
    </row>
    <row r="17" spans="1:9" ht="21" customHeight="1" x14ac:dyDescent="0.15">
      <c r="A17" s="151" t="s">
        <v>8</v>
      </c>
      <c r="B17" s="39">
        <v>2</v>
      </c>
      <c r="C17" s="39">
        <v>4</v>
      </c>
      <c r="D17" s="39">
        <v>6</v>
      </c>
      <c r="E17" s="140" t="s">
        <v>11</v>
      </c>
      <c r="F17" s="140" t="s">
        <v>11</v>
      </c>
      <c r="G17" s="140" t="s">
        <v>11</v>
      </c>
      <c r="H17" s="140" t="s">
        <v>11</v>
      </c>
      <c r="I17" s="140" t="s">
        <v>11</v>
      </c>
    </row>
    <row r="18" spans="1:9" ht="21" customHeight="1" x14ac:dyDescent="0.15">
      <c r="A18" s="152" t="s">
        <v>7</v>
      </c>
      <c r="B18" s="42">
        <v>1</v>
      </c>
      <c r="C18" s="42">
        <v>2</v>
      </c>
      <c r="D18" s="141" t="s">
        <v>11</v>
      </c>
      <c r="E18" s="141" t="s">
        <v>11</v>
      </c>
      <c r="F18" s="141" t="s">
        <v>11</v>
      </c>
      <c r="G18" s="141" t="s">
        <v>11</v>
      </c>
      <c r="H18" s="141" t="s">
        <v>11</v>
      </c>
      <c r="I18" s="141" t="s">
        <v>11</v>
      </c>
    </row>
    <row r="19" spans="1:9" ht="21" customHeight="1" x14ac:dyDescent="0.15">
      <c r="A19" s="153" t="s">
        <v>60</v>
      </c>
      <c r="B19" s="37">
        <v>1</v>
      </c>
      <c r="C19" s="37">
        <v>1</v>
      </c>
      <c r="D19" s="141" t="s">
        <v>11</v>
      </c>
      <c r="E19" s="141" t="s">
        <v>11</v>
      </c>
      <c r="F19" s="141" t="s">
        <v>11</v>
      </c>
      <c r="G19" s="141" t="s">
        <v>11</v>
      </c>
      <c r="H19" s="141" t="s">
        <v>11</v>
      </c>
      <c r="I19" s="141" t="s">
        <v>11</v>
      </c>
    </row>
    <row r="20" spans="1:9" ht="21" customHeight="1" x14ac:dyDescent="0.15">
      <c r="A20" s="48" t="s">
        <v>36</v>
      </c>
      <c r="B20" s="37">
        <v>99</v>
      </c>
      <c r="C20" s="37">
        <v>99</v>
      </c>
      <c r="D20" s="37">
        <v>99</v>
      </c>
      <c r="E20" s="37">
        <v>99</v>
      </c>
      <c r="F20" s="37">
        <v>99</v>
      </c>
      <c r="G20" s="37">
        <v>99</v>
      </c>
      <c r="H20" s="37">
        <v>99</v>
      </c>
      <c r="I20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A7" sqref="A7"/>
    </sheetView>
  </sheetViews>
  <sheetFormatPr baseColWidth="12" defaultColWidth="13" defaultRowHeight="21" customHeight="1" x14ac:dyDescent="0.15"/>
  <cols>
    <col min="1" max="1" width="13" style="7"/>
    <col min="2" max="16384" width="13" style="34"/>
  </cols>
  <sheetData>
    <row r="1" spans="1:9" ht="21" customHeight="1" x14ac:dyDescent="0.15">
      <c r="A1" s="4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7" customFormat="1" ht="21" customHeight="1" x14ac:dyDescent="0.15">
      <c r="A2" s="210" t="s">
        <v>290</v>
      </c>
      <c r="B2" s="211"/>
      <c r="C2" s="212"/>
      <c r="D2" s="220" t="s">
        <v>40</v>
      </c>
      <c r="E2" s="220">
        <v>60</v>
      </c>
      <c r="F2" s="220">
        <v>80</v>
      </c>
      <c r="G2" s="220">
        <v>99</v>
      </c>
      <c r="H2" s="212"/>
      <c r="I2" s="212"/>
    </row>
    <row r="3" spans="1:9" s="7" customFormat="1" ht="21" customHeight="1" x14ac:dyDescent="0.15">
      <c r="A3" s="210" t="s">
        <v>289</v>
      </c>
      <c r="B3" s="213"/>
      <c r="C3" s="214"/>
      <c r="D3" s="220" t="s">
        <v>40</v>
      </c>
      <c r="E3" s="220">
        <v>60</v>
      </c>
      <c r="F3" s="220">
        <v>80</v>
      </c>
      <c r="G3" s="220">
        <v>99</v>
      </c>
      <c r="H3" s="214"/>
      <c r="I3" s="214"/>
    </row>
    <row r="4" spans="1:9" s="7" customFormat="1" ht="21" customHeight="1" x14ac:dyDescent="0.15">
      <c r="A4" s="210" t="s">
        <v>288</v>
      </c>
      <c r="B4" s="215"/>
      <c r="C4" s="216"/>
      <c r="D4" s="220">
        <v>40</v>
      </c>
      <c r="E4" s="220">
        <v>60</v>
      </c>
      <c r="F4" s="220">
        <v>80</v>
      </c>
      <c r="G4" s="220">
        <v>99</v>
      </c>
      <c r="H4" s="216"/>
      <c r="I4" s="216"/>
    </row>
    <row r="5" spans="1:9" s="7" customFormat="1" ht="21" customHeight="1" x14ac:dyDescent="0.15">
      <c r="A5" s="224" t="s">
        <v>296</v>
      </c>
      <c r="B5" s="225"/>
      <c r="C5" s="226"/>
      <c r="D5" s="220">
        <v>40</v>
      </c>
      <c r="E5" s="220">
        <v>60</v>
      </c>
      <c r="F5" s="220">
        <v>80</v>
      </c>
      <c r="G5" s="220">
        <v>99</v>
      </c>
      <c r="H5" s="226"/>
      <c r="I5" s="226"/>
    </row>
    <row r="6" spans="1:9" s="7" customFormat="1" ht="21" customHeight="1" x14ac:dyDescent="0.15">
      <c r="A6" s="224" t="s">
        <v>298</v>
      </c>
      <c r="B6" s="225"/>
      <c r="C6" s="226"/>
      <c r="D6" s="220">
        <v>40</v>
      </c>
      <c r="E6" s="220">
        <v>60</v>
      </c>
      <c r="F6" s="220" t="s">
        <v>40</v>
      </c>
      <c r="G6" s="220" t="s">
        <v>40</v>
      </c>
      <c r="H6" s="226"/>
      <c r="I6" s="226"/>
    </row>
    <row r="7" spans="1:9" ht="21" customHeight="1" x14ac:dyDescent="0.15">
      <c r="A7" s="145" t="s">
        <v>39</v>
      </c>
      <c r="B7" s="52" t="s">
        <v>224</v>
      </c>
      <c r="C7" s="52" t="s">
        <v>224</v>
      </c>
      <c r="D7" s="52" t="s">
        <v>224</v>
      </c>
      <c r="E7" s="52" t="s">
        <v>224</v>
      </c>
      <c r="F7" s="52" t="s">
        <v>224</v>
      </c>
      <c r="G7" s="52" t="s">
        <v>224</v>
      </c>
      <c r="H7" s="52" t="s">
        <v>224</v>
      </c>
      <c r="I7" s="52" t="s">
        <v>224</v>
      </c>
    </row>
    <row r="8" spans="1:9" ht="21" customHeight="1" x14ac:dyDescent="0.15">
      <c r="A8" s="145" t="s">
        <v>38</v>
      </c>
      <c r="B8" s="52" t="s">
        <v>224</v>
      </c>
      <c r="C8" s="52" t="s">
        <v>224</v>
      </c>
      <c r="D8" s="52" t="s">
        <v>224</v>
      </c>
      <c r="E8" s="52">
        <v>60</v>
      </c>
      <c r="F8" s="52">
        <v>80</v>
      </c>
      <c r="G8" s="52">
        <v>99</v>
      </c>
      <c r="H8" s="52" t="s">
        <v>224</v>
      </c>
      <c r="I8" s="52" t="s">
        <v>224</v>
      </c>
    </row>
    <row r="9" spans="1:9" s="58" customFormat="1" ht="21" customHeight="1" x14ac:dyDescent="0.15">
      <c r="A9" s="146" t="s">
        <v>37</v>
      </c>
      <c r="B9" s="99" t="s">
        <v>224</v>
      </c>
      <c r="C9" s="99" t="s">
        <v>224</v>
      </c>
      <c r="D9" s="99" t="s">
        <v>224</v>
      </c>
      <c r="E9" s="99">
        <v>60</v>
      </c>
      <c r="F9" s="99">
        <v>80</v>
      </c>
      <c r="G9" s="99">
        <v>99</v>
      </c>
      <c r="H9" s="99" t="s">
        <v>224</v>
      </c>
      <c r="I9" s="99" t="s">
        <v>224</v>
      </c>
    </row>
    <row r="10" spans="1:9" ht="21" customHeight="1" x14ac:dyDescent="0.15">
      <c r="A10" s="146" t="s">
        <v>9</v>
      </c>
      <c r="B10" s="142" t="s">
        <v>223</v>
      </c>
      <c r="C10" s="142" t="s">
        <v>223</v>
      </c>
      <c r="D10" s="47">
        <v>40</v>
      </c>
      <c r="E10" s="47">
        <v>60</v>
      </c>
      <c r="F10" s="47">
        <v>80</v>
      </c>
      <c r="G10" s="52">
        <v>99</v>
      </c>
      <c r="H10" s="142" t="s">
        <v>223</v>
      </c>
      <c r="I10" s="142" t="s">
        <v>223</v>
      </c>
    </row>
    <row r="11" spans="1:9" ht="21" customHeight="1" x14ac:dyDescent="0.15">
      <c r="A11" s="146" t="s">
        <v>35</v>
      </c>
      <c r="B11" s="142" t="s">
        <v>223</v>
      </c>
      <c r="C11" s="142" t="s">
        <v>223</v>
      </c>
      <c r="D11" s="47">
        <v>40</v>
      </c>
      <c r="E11" s="47">
        <v>60</v>
      </c>
      <c r="F11" s="47">
        <v>80</v>
      </c>
      <c r="G11" s="99">
        <v>99</v>
      </c>
      <c r="H11" s="142" t="s">
        <v>223</v>
      </c>
      <c r="I11" s="142" t="s">
        <v>223</v>
      </c>
    </row>
    <row r="12" spans="1:9" ht="21" customHeight="1" x14ac:dyDescent="0.15">
      <c r="A12" s="146" t="s">
        <v>71</v>
      </c>
      <c r="B12" s="142" t="s">
        <v>223</v>
      </c>
      <c r="C12" s="142" t="s">
        <v>223</v>
      </c>
      <c r="D12" s="47">
        <v>40</v>
      </c>
      <c r="E12" s="47">
        <v>60</v>
      </c>
      <c r="F12" s="142" t="s">
        <v>223</v>
      </c>
      <c r="G12" s="142" t="s">
        <v>223</v>
      </c>
      <c r="H12" s="142" t="s">
        <v>223</v>
      </c>
      <c r="I12" s="142" t="s">
        <v>223</v>
      </c>
    </row>
    <row r="13" spans="1:9" ht="21" customHeight="1" x14ac:dyDescent="0.15">
      <c r="A13" s="147" t="s">
        <v>87</v>
      </c>
      <c r="B13" s="142" t="s">
        <v>223</v>
      </c>
      <c r="C13" s="142" t="s">
        <v>223</v>
      </c>
      <c r="D13" s="47">
        <v>40</v>
      </c>
      <c r="E13" s="47">
        <v>60</v>
      </c>
      <c r="F13" s="47">
        <v>80</v>
      </c>
      <c r="G13" s="142" t="s">
        <v>223</v>
      </c>
      <c r="H13" s="142" t="s">
        <v>223</v>
      </c>
      <c r="I13" s="142" t="s">
        <v>223</v>
      </c>
    </row>
    <row r="14" spans="1:9" ht="21" customHeight="1" x14ac:dyDescent="0.15">
      <c r="A14" s="73" t="s">
        <v>67</v>
      </c>
      <c r="B14" s="142" t="s">
        <v>223</v>
      </c>
      <c r="C14" s="142" t="s">
        <v>223</v>
      </c>
      <c r="D14" s="47">
        <v>40</v>
      </c>
      <c r="E14" s="47">
        <v>60</v>
      </c>
      <c r="F14" s="47">
        <v>80</v>
      </c>
      <c r="G14" s="142" t="s">
        <v>223</v>
      </c>
      <c r="H14" s="142" t="s">
        <v>223</v>
      </c>
      <c r="I14" s="142" t="s">
        <v>223</v>
      </c>
    </row>
    <row r="15" spans="1:9" ht="21" customHeight="1" x14ac:dyDescent="0.15">
      <c r="A15" s="73" t="s">
        <v>68</v>
      </c>
      <c r="B15" s="142" t="s">
        <v>223</v>
      </c>
      <c r="C15" s="47">
        <v>30</v>
      </c>
      <c r="D15" s="47">
        <v>40</v>
      </c>
      <c r="E15" s="47">
        <v>60</v>
      </c>
      <c r="F15" s="142" t="s">
        <v>223</v>
      </c>
      <c r="G15" s="142" t="s">
        <v>223</v>
      </c>
      <c r="H15" s="142" t="s">
        <v>223</v>
      </c>
      <c r="I15" s="142" t="s">
        <v>223</v>
      </c>
    </row>
    <row r="16" spans="1:9" ht="21" customHeight="1" x14ac:dyDescent="0.15">
      <c r="A16" s="73" t="s">
        <v>69</v>
      </c>
      <c r="B16" s="142" t="s">
        <v>223</v>
      </c>
      <c r="C16" s="47">
        <v>30</v>
      </c>
      <c r="D16" s="47">
        <v>40</v>
      </c>
      <c r="E16" s="47">
        <v>60</v>
      </c>
      <c r="F16" s="142" t="s">
        <v>223</v>
      </c>
      <c r="G16" s="142" t="s">
        <v>223</v>
      </c>
      <c r="H16" s="142" t="s">
        <v>223</v>
      </c>
      <c r="I16" s="142" t="s">
        <v>223</v>
      </c>
    </row>
    <row r="17" spans="1:9" ht="21" customHeight="1" x14ac:dyDescent="0.15">
      <c r="A17" s="74" t="s">
        <v>8</v>
      </c>
      <c r="B17" s="47">
        <v>15</v>
      </c>
      <c r="C17" s="47">
        <v>30</v>
      </c>
      <c r="D17" s="47">
        <v>40</v>
      </c>
      <c r="E17" s="142" t="s">
        <v>223</v>
      </c>
      <c r="F17" s="142" t="s">
        <v>223</v>
      </c>
      <c r="G17" s="142" t="s">
        <v>223</v>
      </c>
      <c r="H17" s="142" t="s">
        <v>223</v>
      </c>
      <c r="I17" s="142" t="s">
        <v>223</v>
      </c>
    </row>
    <row r="18" spans="1:9" ht="21" customHeight="1" x14ac:dyDescent="0.15">
      <c r="A18" s="69" t="s">
        <v>7</v>
      </c>
      <c r="B18" s="47">
        <v>15</v>
      </c>
      <c r="C18" s="47">
        <v>30</v>
      </c>
      <c r="D18" s="47">
        <v>40</v>
      </c>
      <c r="E18" s="142" t="s">
        <v>223</v>
      </c>
      <c r="F18" s="142" t="s">
        <v>223</v>
      </c>
      <c r="G18" s="142" t="s">
        <v>223</v>
      </c>
      <c r="H18" s="142" t="s">
        <v>223</v>
      </c>
      <c r="I18" s="142" t="s">
        <v>223</v>
      </c>
    </row>
    <row r="19" spans="1:9" ht="21" customHeight="1" x14ac:dyDescent="0.15">
      <c r="A19" s="71" t="s">
        <v>70</v>
      </c>
      <c r="B19" s="47">
        <v>10</v>
      </c>
      <c r="C19" s="47">
        <v>20</v>
      </c>
      <c r="D19" s="142" t="s">
        <v>223</v>
      </c>
      <c r="E19" s="142" t="s">
        <v>223</v>
      </c>
      <c r="F19" s="142" t="s">
        <v>223</v>
      </c>
      <c r="G19" s="142" t="s">
        <v>223</v>
      </c>
      <c r="H19" s="142" t="s">
        <v>223</v>
      </c>
      <c r="I19" s="142" t="s">
        <v>223</v>
      </c>
    </row>
    <row r="20" spans="1:9" ht="21" customHeight="1" x14ac:dyDescent="0.15">
      <c r="A20" s="148" t="s">
        <v>72</v>
      </c>
      <c r="B20" s="47">
        <v>1</v>
      </c>
      <c r="C20" s="47">
        <v>1</v>
      </c>
      <c r="D20" s="47">
        <v>1</v>
      </c>
      <c r="E20" s="47">
        <v>1</v>
      </c>
      <c r="F20" s="47">
        <v>1</v>
      </c>
      <c r="G20" s="47">
        <v>1</v>
      </c>
      <c r="H20" s="47">
        <v>1</v>
      </c>
      <c r="I20" s="4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A7" sqref="A7"/>
    </sheetView>
  </sheetViews>
  <sheetFormatPr baseColWidth="12" defaultColWidth="13" defaultRowHeight="21" customHeight="1" x14ac:dyDescent="0.15"/>
  <cols>
    <col min="1" max="16384" width="13" style="34"/>
  </cols>
  <sheetData>
    <row r="1" spans="1:11" ht="21" customHeight="1" x14ac:dyDescent="0.15">
      <c r="A1" s="66" t="s">
        <v>10</v>
      </c>
      <c r="B1" s="67">
        <v>1</v>
      </c>
      <c r="C1" s="67">
        <v>2</v>
      </c>
      <c r="D1" s="67">
        <v>3</v>
      </c>
      <c r="E1" s="67">
        <v>4</v>
      </c>
      <c r="F1" s="67">
        <v>5</v>
      </c>
      <c r="G1" s="67">
        <v>6</v>
      </c>
      <c r="H1" s="67">
        <v>7</v>
      </c>
      <c r="I1" s="67">
        <v>8</v>
      </c>
    </row>
    <row r="2" spans="1:11" s="7" customFormat="1" ht="21" customHeight="1" x14ac:dyDescent="0.15">
      <c r="A2" s="210" t="s">
        <v>290</v>
      </c>
      <c r="B2" s="211"/>
      <c r="C2" s="212"/>
      <c r="D2" s="220" t="s">
        <v>40</v>
      </c>
      <c r="E2" s="70" t="s">
        <v>238</v>
      </c>
      <c r="F2" s="70" t="s">
        <v>239</v>
      </c>
      <c r="G2" s="70" t="s">
        <v>277</v>
      </c>
      <c r="H2" s="212"/>
      <c r="I2" s="212"/>
    </row>
    <row r="3" spans="1:11" s="7" customFormat="1" ht="21" customHeight="1" x14ac:dyDescent="0.15">
      <c r="A3" s="210" t="s">
        <v>289</v>
      </c>
      <c r="B3" s="213"/>
      <c r="C3" s="214"/>
      <c r="D3" s="221" t="s">
        <v>122</v>
      </c>
      <c r="E3" s="221" t="s">
        <v>122</v>
      </c>
      <c r="F3" s="221" t="s">
        <v>122</v>
      </c>
      <c r="G3" s="221" t="s">
        <v>238</v>
      </c>
      <c r="H3" s="214"/>
      <c r="I3" s="214"/>
    </row>
    <row r="4" spans="1:11" s="7" customFormat="1" ht="21" customHeight="1" x14ac:dyDescent="0.15">
      <c r="A4" s="210" t="s">
        <v>288</v>
      </c>
      <c r="B4" s="215"/>
      <c r="C4" s="216"/>
      <c r="D4" s="222" t="s">
        <v>122</v>
      </c>
      <c r="E4" s="222" t="s">
        <v>122</v>
      </c>
      <c r="F4" s="222" t="s">
        <v>122</v>
      </c>
      <c r="G4" s="221" t="s">
        <v>238</v>
      </c>
      <c r="H4" s="216"/>
      <c r="I4" s="216"/>
    </row>
    <row r="5" spans="1:11" s="7" customFormat="1" ht="21" customHeight="1" x14ac:dyDescent="0.15">
      <c r="A5" s="224" t="s">
        <v>296</v>
      </c>
      <c r="B5" s="225"/>
      <c r="C5" s="226"/>
      <c r="D5" s="222" t="s">
        <v>122</v>
      </c>
      <c r="E5" s="222" t="s">
        <v>122</v>
      </c>
      <c r="F5" s="222" t="s">
        <v>122</v>
      </c>
      <c r="G5" s="221" t="s">
        <v>291</v>
      </c>
      <c r="H5" s="226"/>
      <c r="I5" s="226"/>
    </row>
    <row r="6" spans="1:11" s="7" customFormat="1" ht="21" customHeight="1" x14ac:dyDescent="0.15">
      <c r="A6" s="224" t="s">
        <v>298</v>
      </c>
      <c r="B6" s="225"/>
      <c r="C6" s="226"/>
      <c r="D6" s="227" t="s">
        <v>123</v>
      </c>
      <c r="E6" s="227" t="s">
        <v>123</v>
      </c>
      <c r="F6" s="220" t="s">
        <v>292</v>
      </c>
      <c r="G6" s="220" t="s">
        <v>293</v>
      </c>
      <c r="H6" s="226"/>
      <c r="I6" s="226"/>
    </row>
    <row r="7" spans="1:11" ht="21" customHeight="1" x14ac:dyDescent="0.15">
      <c r="A7" s="68" t="s">
        <v>18</v>
      </c>
      <c r="B7" s="52" t="s">
        <v>224</v>
      </c>
      <c r="C7" s="52" t="s">
        <v>224</v>
      </c>
      <c r="D7" s="52" t="s">
        <v>224</v>
      </c>
      <c r="E7" s="52" t="s">
        <v>224</v>
      </c>
      <c r="F7" s="52" t="s">
        <v>224</v>
      </c>
      <c r="G7" s="52" t="s">
        <v>224</v>
      </c>
      <c r="H7" s="52" t="s">
        <v>224</v>
      </c>
      <c r="I7" s="52" t="s">
        <v>224</v>
      </c>
    </row>
    <row r="8" spans="1:11" ht="21" customHeight="1" x14ac:dyDescent="0.15">
      <c r="A8" s="68" t="s">
        <v>225</v>
      </c>
      <c r="B8" s="52" t="s">
        <v>224</v>
      </c>
      <c r="C8" s="52" t="s">
        <v>224</v>
      </c>
      <c r="D8" s="52" t="s">
        <v>224</v>
      </c>
      <c r="E8" s="70" t="s">
        <v>238</v>
      </c>
      <c r="F8" s="70" t="s">
        <v>239</v>
      </c>
      <c r="G8" s="70" t="s">
        <v>277</v>
      </c>
      <c r="H8" s="52" t="s">
        <v>224</v>
      </c>
      <c r="I8" s="52" t="s">
        <v>224</v>
      </c>
    </row>
    <row r="9" spans="1:11" s="58" customFormat="1" ht="21" customHeight="1" x14ac:dyDescent="0.15">
      <c r="A9" s="68" t="s">
        <v>226</v>
      </c>
      <c r="B9" s="99" t="s">
        <v>224</v>
      </c>
      <c r="C9" s="99" t="s">
        <v>224</v>
      </c>
      <c r="D9" s="99" t="s">
        <v>224</v>
      </c>
      <c r="E9" s="70" t="s">
        <v>122</v>
      </c>
      <c r="F9" s="70" t="s">
        <v>122</v>
      </c>
      <c r="G9" s="70" t="s">
        <v>239</v>
      </c>
      <c r="H9" s="99" t="s">
        <v>224</v>
      </c>
      <c r="I9" s="99" t="s">
        <v>224</v>
      </c>
    </row>
    <row r="10" spans="1:11" ht="21" customHeight="1" x14ac:dyDescent="0.15">
      <c r="A10" s="69" t="s">
        <v>9</v>
      </c>
      <c r="B10" s="142" t="s">
        <v>223</v>
      </c>
      <c r="C10" s="142" t="s">
        <v>223</v>
      </c>
      <c r="D10" s="70" t="s">
        <v>122</v>
      </c>
      <c r="E10" s="70" t="s">
        <v>122</v>
      </c>
      <c r="F10" s="70" t="s">
        <v>122</v>
      </c>
      <c r="G10" s="70" t="s">
        <v>239</v>
      </c>
      <c r="H10" s="142" t="s">
        <v>223</v>
      </c>
      <c r="I10" s="142" t="s">
        <v>223</v>
      </c>
      <c r="K10" s="38" t="s">
        <v>12</v>
      </c>
    </row>
    <row r="11" spans="1:11" ht="21" customHeight="1" x14ac:dyDescent="0.15">
      <c r="A11" s="71" t="s">
        <v>65</v>
      </c>
      <c r="B11" s="142" t="s">
        <v>223</v>
      </c>
      <c r="C11" s="142" t="s">
        <v>223</v>
      </c>
      <c r="D11" s="71" t="s">
        <v>122</v>
      </c>
      <c r="E11" s="71" t="s">
        <v>122</v>
      </c>
      <c r="F11" s="71" t="s">
        <v>122</v>
      </c>
      <c r="G11" s="70" t="s">
        <v>239</v>
      </c>
      <c r="H11" s="142" t="s">
        <v>223</v>
      </c>
      <c r="I11" s="142" t="s">
        <v>223</v>
      </c>
      <c r="K11" s="40" t="s">
        <v>13</v>
      </c>
    </row>
    <row r="12" spans="1:11" ht="21" customHeight="1" x14ac:dyDescent="0.15">
      <c r="A12" s="72" t="s">
        <v>66</v>
      </c>
      <c r="B12" s="142" t="s">
        <v>223</v>
      </c>
      <c r="C12" s="142" t="s">
        <v>223</v>
      </c>
      <c r="D12" s="72" t="s">
        <v>123</v>
      </c>
      <c r="E12" s="72" t="s">
        <v>123</v>
      </c>
      <c r="F12" s="142" t="s">
        <v>223</v>
      </c>
      <c r="G12" s="142" t="s">
        <v>223</v>
      </c>
      <c r="H12" s="142" t="s">
        <v>223</v>
      </c>
      <c r="I12" s="142" t="s">
        <v>223</v>
      </c>
      <c r="K12" s="143" t="s">
        <v>73</v>
      </c>
    </row>
    <row r="13" spans="1:11" ht="21" customHeight="1" x14ac:dyDescent="0.15">
      <c r="A13" s="72" t="s">
        <v>88</v>
      </c>
      <c r="B13" s="142" t="s">
        <v>223</v>
      </c>
      <c r="C13" s="142" t="s">
        <v>223</v>
      </c>
      <c r="D13" s="73" t="s">
        <v>122</v>
      </c>
      <c r="E13" s="73" t="s">
        <v>122</v>
      </c>
      <c r="F13" s="73" t="s">
        <v>122</v>
      </c>
      <c r="G13" s="142" t="s">
        <v>223</v>
      </c>
      <c r="H13" s="142" t="s">
        <v>223</v>
      </c>
      <c r="I13" s="142" t="s">
        <v>223</v>
      </c>
      <c r="K13" s="144"/>
    </row>
    <row r="14" spans="1:11" ht="21" customHeight="1" x14ac:dyDescent="0.15">
      <c r="A14" s="73" t="s">
        <v>67</v>
      </c>
      <c r="B14" s="142" t="s">
        <v>223</v>
      </c>
      <c r="C14" s="142" t="s">
        <v>223</v>
      </c>
      <c r="D14" s="73" t="s">
        <v>122</v>
      </c>
      <c r="E14" s="73" t="s">
        <v>122</v>
      </c>
      <c r="F14" s="73" t="s">
        <v>122</v>
      </c>
      <c r="G14" s="142" t="s">
        <v>223</v>
      </c>
      <c r="H14" s="142" t="s">
        <v>223</v>
      </c>
      <c r="I14" s="142" t="s">
        <v>223</v>
      </c>
    </row>
    <row r="15" spans="1:11" ht="21" customHeight="1" x14ac:dyDescent="0.15">
      <c r="A15" s="73" t="s">
        <v>68</v>
      </c>
      <c r="B15" s="142" t="s">
        <v>223</v>
      </c>
      <c r="C15" s="142" t="s">
        <v>223</v>
      </c>
      <c r="D15" s="73" t="s">
        <v>123</v>
      </c>
      <c r="E15" s="73" t="s">
        <v>123</v>
      </c>
      <c r="F15" s="142" t="s">
        <v>223</v>
      </c>
      <c r="G15" s="142" t="s">
        <v>223</v>
      </c>
      <c r="H15" s="142" t="s">
        <v>223</v>
      </c>
      <c r="I15" s="142" t="s">
        <v>223</v>
      </c>
    </row>
    <row r="16" spans="1:11" ht="21" customHeight="1" x14ac:dyDescent="0.15">
      <c r="A16" s="73" t="s">
        <v>69</v>
      </c>
      <c r="B16" s="142" t="s">
        <v>223</v>
      </c>
      <c r="C16" s="73" t="s">
        <v>123</v>
      </c>
      <c r="D16" s="73" t="s">
        <v>123</v>
      </c>
      <c r="E16" s="73" t="s">
        <v>123</v>
      </c>
      <c r="F16" s="142" t="s">
        <v>223</v>
      </c>
      <c r="G16" s="142" t="s">
        <v>223</v>
      </c>
      <c r="H16" s="142" t="s">
        <v>223</v>
      </c>
      <c r="I16" s="142" t="s">
        <v>223</v>
      </c>
    </row>
    <row r="17" spans="1:9" ht="21" customHeight="1" x14ac:dyDescent="0.15">
      <c r="A17" s="74" t="s">
        <v>8</v>
      </c>
      <c r="B17" s="74" t="s">
        <v>124</v>
      </c>
      <c r="C17" s="74" t="s">
        <v>124</v>
      </c>
      <c r="D17" s="74" t="s">
        <v>124</v>
      </c>
      <c r="E17" s="142" t="s">
        <v>223</v>
      </c>
      <c r="F17" s="142" t="s">
        <v>223</v>
      </c>
      <c r="G17" s="142" t="s">
        <v>223</v>
      </c>
      <c r="H17" s="142" t="s">
        <v>223</v>
      </c>
      <c r="I17" s="142" t="s">
        <v>223</v>
      </c>
    </row>
    <row r="18" spans="1:9" ht="21" customHeight="1" x14ac:dyDescent="0.15">
      <c r="A18" s="69" t="s">
        <v>7</v>
      </c>
      <c r="B18" s="69" t="s">
        <v>125</v>
      </c>
      <c r="C18" s="69" t="s">
        <v>125</v>
      </c>
      <c r="D18" s="142" t="s">
        <v>223</v>
      </c>
      <c r="E18" s="142" t="s">
        <v>223</v>
      </c>
      <c r="F18" s="142" t="s">
        <v>223</v>
      </c>
      <c r="G18" s="142" t="s">
        <v>223</v>
      </c>
      <c r="H18" s="142" t="s">
        <v>223</v>
      </c>
      <c r="I18" s="142" t="s">
        <v>223</v>
      </c>
    </row>
    <row r="19" spans="1:9" ht="21" customHeight="1" x14ac:dyDescent="0.15">
      <c r="A19" s="71" t="s">
        <v>70</v>
      </c>
      <c r="B19" s="71" t="s">
        <v>126</v>
      </c>
      <c r="C19" s="71" t="s">
        <v>126</v>
      </c>
      <c r="D19" s="142" t="s">
        <v>223</v>
      </c>
      <c r="E19" s="142" t="s">
        <v>223</v>
      </c>
      <c r="F19" s="142" t="s">
        <v>223</v>
      </c>
      <c r="G19" s="142" t="s">
        <v>223</v>
      </c>
      <c r="H19" s="142" t="s">
        <v>223</v>
      </c>
      <c r="I19" s="142" t="s">
        <v>223</v>
      </c>
    </row>
    <row r="20" spans="1:9" ht="21" customHeight="1" x14ac:dyDescent="0.15">
      <c r="A20" s="48" t="s">
        <v>36</v>
      </c>
      <c r="B20" s="154" t="s">
        <v>102</v>
      </c>
      <c r="C20" s="154" t="s">
        <v>102</v>
      </c>
      <c r="D20" s="154" t="s">
        <v>102</v>
      </c>
      <c r="E20" s="154" t="s">
        <v>102</v>
      </c>
      <c r="F20" s="154" t="s">
        <v>102</v>
      </c>
      <c r="G20" s="154" t="s">
        <v>102</v>
      </c>
      <c r="H20" s="154" t="s">
        <v>102</v>
      </c>
      <c r="I20" s="154" t="s">
        <v>102</v>
      </c>
    </row>
    <row r="25" spans="1:9" ht="21" customHeight="1" x14ac:dyDescent="0.15">
      <c r="A25" s="34" t="s">
        <v>14</v>
      </c>
    </row>
    <row r="26" spans="1:9" ht="21" customHeight="1" x14ac:dyDescent="0.15">
      <c r="A26" s="32" t="s">
        <v>139</v>
      </c>
      <c r="B26" s="32" t="s">
        <v>140</v>
      </c>
    </row>
    <row r="27" spans="1:9" ht="21" customHeight="1" x14ac:dyDescent="0.15">
      <c r="A27" s="35">
        <v>1</v>
      </c>
      <c r="B27" s="35">
        <v>200</v>
      </c>
    </row>
    <row r="28" spans="1:9" ht="21" customHeight="1" x14ac:dyDescent="0.15">
      <c r="A28" s="35">
        <v>2</v>
      </c>
      <c r="B28" s="35">
        <v>600</v>
      </c>
    </row>
    <row r="29" spans="1:9" ht="21" customHeight="1" x14ac:dyDescent="0.15">
      <c r="A29" s="35">
        <v>3</v>
      </c>
      <c r="B29" s="35">
        <v>1500</v>
      </c>
    </row>
    <row r="30" spans="1:9" ht="21" customHeight="1" x14ac:dyDescent="0.15">
      <c r="A30" s="35">
        <v>4</v>
      </c>
      <c r="B30" s="35">
        <v>3400</v>
      </c>
    </row>
    <row r="31" spans="1:9" ht="21" customHeight="1" x14ac:dyDescent="0.15">
      <c r="A31" s="35">
        <v>5</v>
      </c>
      <c r="B31" s="35">
        <v>6400</v>
      </c>
    </row>
  </sheetData>
  <sheetProtection selectLockedCells="1" selectUnlockedCells="1"/>
  <phoneticPr fontId="9"/>
  <conditionalFormatting sqref="A34:I65540 J1:IV4 J10:J13 L10:IV13 J14:IV65540 J7:IV7">
    <cfRule type="cellIs" dxfId="21" priority="18" stopIfTrue="1" operator="equal">
      <formula>1</formula>
    </cfRule>
  </conditionalFormatting>
  <conditionalFormatting sqref="A24:B25 A32:B33 C24:I33 G19:I19">
    <cfRule type="cellIs" dxfId="20" priority="17" stopIfTrue="1" operator="equal">
      <formula>1</formula>
    </cfRule>
  </conditionalFormatting>
  <conditionalFormatting sqref="D18:G18 F15:I18">
    <cfRule type="cellIs" dxfId="19" priority="16" stopIfTrue="1" operator="equal">
      <formula>1</formula>
    </cfRule>
  </conditionalFormatting>
  <conditionalFormatting sqref="F17:G17">
    <cfRule type="cellIs" dxfId="18" priority="15" stopIfTrue="1" operator="equal">
      <formula>1</formula>
    </cfRule>
  </conditionalFormatting>
  <conditionalFormatting sqref="A20">
    <cfRule type="cellIs" dxfId="17" priority="14" stopIfTrue="1" operator="equal">
      <formula>1</formula>
    </cfRule>
  </conditionalFormatting>
  <conditionalFormatting sqref="K10:K13">
    <cfRule type="cellIs" dxfId="16" priority="13" stopIfTrue="1" operator="equal">
      <formula>1</formula>
    </cfRule>
  </conditionalFormatting>
  <conditionalFormatting sqref="J8:IV8">
    <cfRule type="cellIs" dxfId="15" priority="12" stopIfTrue="1" operator="equal">
      <formula>1</formula>
    </cfRule>
  </conditionalFormatting>
  <conditionalFormatting sqref="J9:IV9">
    <cfRule type="cellIs" dxfId="14" priority="11" stopIfTrue="1" operator="equal">
      <formula>1</formula>
    </cfRule>
  </conditionalFormatting>
  <conditionalFormatting sqref="G12:I14 H10:I11">
    <cfRule type="cellIs" dxfId="13" priority="9" stopIfTrue="1" operator="equal">
      <formula>1</formula>
    </cfRule>
  </conditionalFormatting>
  <conditionalFormatting sqref="B10:C15">
    <cfRule type="cellIs" dxfId="12" priority="8" stopIfTrue="1" operator="equal">
      <formula>1</formula>
    </cfRule>
  </conditionalFormatting>
  <conditionalFormatting sqref="B16">
    <cfRule type="cellIs" dxfId="11" priority="7" stopIfTrue="1" operator="equal">
      <formula>1</formula>
    </cfRule>
  </conditionalFormatting>
  <conditionalFormatting sqref="E17">
    <cfRule type="cellIs" dxfId="10" priority="6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5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J9" sqref="J9"/>
    </sheetView>
  </sheetViews>
  <sheetFormatPr baseColWidth="12" defaultColWidth="13" defaultRowHeight="21" customHeight="1" x14ac:dyDescent="0.15"/>
  <cols>
    <col min="1" max="1" width="13" style="7"/>
    <col min="2" max="16384" width="13" style="34"/>
  </cols>
  <sheetData>
    <row r="1" spans="1:9" s="7" customFormat="1" ht="21" customHeight="1" x14ac:dyDescent="0.15">
      <c r="A1" s="43" t="s">
        <v>10</v>
      </c>
      <c r="B1" s="43">
        <v>1</v>
      </c>
      <c r="C1" s="43">
        <v>2</v>
      </c>
      <c r="D1" s="43">
        <v>3</v>
      </c>
      <c r="E1" s="43">
        <v>4</v>
      </c>
      <c r="F1" s="43">
        <v>5</v>
      </c>
      <c r="G1" s="43">
        <v>6</v>
      </c>
      <c r="H1" s="43">
        <v>7</v>
      </c>
      <c r="I1" s="43">
        <v>8</v>
      </c>
    </row>
    <row r="2" spans="1:9" s="7" customFormat="1" ht="21" customHeight="1" x14ac:dyDescent="0.15">
      <c r="A2" s="210" t="s">
        <v>290</v>
      </c>
      <c r="B2" s="211"/>
      <c r="C2" s="212"/>
      <c r="D2" s="223" t="s">
        <v>11</v>
      </c>
      <c r="E2" s="223">
        <v>8000</v>
      </c>
      <c r="F2" s="223">
        <v>10000</v>
      </c>
      <c r="G2" s="223">
        <f>F2+4000</f>
        <v>14000</v>
      </c>
      <c r="H2" s="212"/>
      <c r="I2" s="212"/>
    </row>
    <row r="3" spans="1:9" s="7" customFormat="1" ht="21" customHeight="1" x14ac:dyDescent="0.15">
      <c r="A3" s="210" t="s">
        <v>289</v>
      </c>
      <c r="B3" s="213"/>
      <c r="C3" s="214"/>
      <c r="D3" s="223" t="s">
        <v>11</v>
      </c>
      <c r="E3" s="223">
        <v>7500</v>
      </c>
      <c r="F3" s="223">
        <v>9500</v>
      </c>
      <c r="G3" s="223">
        <f t="shared" ref="G3:G4" si="0">F3+4000</f>
        <v>13500</v>
      </c>
      <c r="H3" s="214"/>
      <c r="I3" s="214"/>
    </row>
    <row r="4" spans="1:9" s="7" customFormat="1" ht="21" customHeight="1" x14ac:dyDescent="0.15">
      <c r="A4" s="210" t="s">
        <v>288</v>
      </c>
      <c r="B4" s="215"/>
      <c r="C4" s="216"/>
      <c r="D4" s="223">
        <v>5000</v>
      </c>
      <c r="E4" s="223">
        <v>7000</v>
      </c>
      <c r="F4" s="223">
        <v>9000</v>
      </c>
      <c r="G4" s="223">
        <f t="shared" si="0"/>
        <v>13000</v>
      </c>
      <c r="H4" s="216"/>
      <c r="I4" s="216"/>
    </row>
    <row r="5" spans="1:9" s="7" customFormat="1" ht="21" customHeight="1" x14ac:dyDescent="0.15">
      <c r="A5" s="224" t="s">
        <v>294</v>
      </c>
      <c r="B5" s="225"/>
      <c r="C5" s="226"/>
      <c r="D5" s="223">
        <v>4900</v>
      </c>
      <c r="E5" s="223">
        <v>6700</v>
      </c>
      <c r="F5" s="223">
        <v>8500</v>
      </c>
      <c r="G5" s="223">
        <f t="shared" ref="G5" si="1">5000+F5</f>
        <v>13500</v>
      </c>
      <c r="H5" s="226"/>
      <c r="I5" s="226"/>
    </row>
    <row r="6" spans="1:9" s="7" customFormat="1" ht="21" customHeight="1" x14ac:dyDescent="0.15">
      <c r="A6" s="224" t="s">
        <v>295</v>
      </c>
      <c r="B6" s="225"/>
      <c r="C6" s="226"/>
      <c r="D6" s="223">
        <v>4800</v>
      </c>
      <c r="E6" s="223">
        <v>6600</v>
      </c>
      <c r="F6" s="223" t="s">
        <v>11</v>
      </c>
      <c r="G6" s="223" t="s">
        <v>11</v>
      </c>
      <c r="H6" s="226"/>
      <c r="I6" s="226"/>
    </row>
    <row r="7" spans="1:9" ht="21" customHeight="1" x14ac:dyDescent="0.15">
      <c r="A7" s="149" t="s">
        <v>278</v>
      </c>
      <c r="B7" s="61" t="s">
        <v>11</v>
      </c>
      <c r="C7" s="61" t="s">
        <v>11</v>
      </c>
      <c r="D7" s="61" t="s">
        <v>11</v>
      </c>
      <c r="E7" s="61" t="s">
        <v>11</v>
      </c>
      <c r="F7" s="61" t="s">
        <v>11</v>
      </c>
      <c r="G7" s="61" t="s">
        <v>11</v>
      </c>
      <c r="H7" s="61" t="s">
        <v>11</v>
      </c>
      <c r="I7" s="61" t="s">
        <v>11</v>
      </c>
    </row>
    <row r="8" spans="1:9" ht="21" customHeight="1" x14ac:dyDescent="0.15">
      <c r="A8" s="150" t="s">
        <v>38</v>
      </c>
      <c r="B8" s="61" t="s">
        <v>11</v>
      </c>
      <c r="C8" s="61" t="s">
        <v>11</v>
      </c>
      <c r="D8" s="61" t="s">
        <v>11</v>
      </c>
      <c r="E8" s="61">
        <v>8000</v>
      </c>
      <c r="F8" s="39">
        <v>10000</v>
      </c>
      <c r="G8" s="61">
        <f>F8+4000</f>
        <v>14000</v>
      </c>
      <c r="H8" s="61" t="s">
        <v>11</v>
      </c>
      <c r="I8" s="61" t="s">
        <v>11</v>
      </c>
    </row>
    <row r="9" spans="1:9" s="58" customFormat="1" ht="21" customHeight="1" x14ac:dyDescent="0.15">
      <c r="A9" s="151" t="s">
        <v>37</v>
      </c>
      <c r="B9" s="39" t="s">
        <v>11</v>
      </c>
      <c r="C9" s="39" t="s">
        <v>11</v>
      </c>
      <c r="D9" s="39" t="s">
        <v>11</v>
      </c>
      <c r="E9" s="39">
        <v>7500</v>
      </c>
      <c r="F9" s="39">
        <v>9500</v>
      </c>
      <c r="G9" s="61">
        <f t="shared" ref="G9:G11" si="2">F9+4000</f>
        <v>13500</v>
      </c>
      <c r="H9" s="39" t="s">
        <v>11</v>
      </c>
      <c r="I9" s="39" t="s">
        <v>11</v>
      </c>
    </row>
    <row r="10" spans="1:9" ht="21" customHeight="1" x14ac:dyDescent="0.15">
      <c r="A10" s="151" t="s">
        <v>9</v>
      </c>
      <c r="B10" s="140" t="s">
        <v>11</v>
      </c>
      <c r="C10" s="140" t="s">
        <v>11</v>
      </c>
      <c r="D10" s="39">
        <v>5000</v>
      </c>
      <c r="E10" s="39">
        <v>7000</v>
      </c>
      <c r="F10" s="39">
        <v>9000</v>
      </c>
      <c r="G10" s="61">
        <f t="shared" si="2"/>
        <v>13000</v>
      </c>
      <c r="H10" s="140" t="s">
        <v>11</v>
      </c>
      <c r="I10" s="140" t="s">
        <v>11</v>
      </c>
    </row>
    <row r="11" spans="1:9" ht="21" customHeight="1" x14ac:dyDescent="0.15">
      <c r="A11" s="151" t="s">
        <v>279</v>
      </c>
      <c r="B11" s="140" t="s">
        <v>11</v>
      </c>
      <c r="C11" s="140" t="s">
        <v>11</v>
      </c>
      <c r="D11" s="39">
        <v>4900</v>
      </c>
      <c r="E11" s="39">
        <v>6700</v>
      </c>
      <c r="F11" s="39">
        <v>8500</v>
      </c>
      <c r="G11" s="61">
        <f t="shared" si="2"/>
        <v>12500</v>
      </c>
      <c r="H11" s="140" t="s">
        <v>11</v>
      </c>
      <c r="I11" s="140" t="s">
        <v>11</v>
      </c>
    </row>
    <row r="12" spans="1:9" ht="21" customHeight="1" x14ac:dyDescent="0.15">
      <c r="A12" s="151" t="s">
        <v>280</v>
      </c>
      <c r="B12" s="140" t="s">
        <v>11</v>
      </c>
      <c r="C12" s="140" t="s">
        <v>11</v>
      </c>
      <c r="D12" s="39">
        <v>4800</v>
      </c>
      <c r="E12" s="39">
        <v>6600</v>
      </c>
      <c r="F12" s="140" t="s">
        <v>11</v>
      </c>
      <c r="G12" s="140" t="s">
        <v>11</v>
      </c>
      <c r="H12" s="140" t="s">
        <v>11</v>
      </c>
      <c r="I12" s="140" t="s">
        <v>11</v>
      </c>
    </row>
    <row r="13" spans="1:9" ht="21" customHeight="1" x14ac:dyDescent="0.15">
      <c r="A13" s="151" t="s">
        <v>281</v>
      </c>
      <c r="B13" s="140" t="s">
        <v>11</v>
      </c>
      <c r="C13" s="140" t="s">
        <v>11</v>
      </c>
      <c r="D13" s="140" t="s">
        <v>11</v>
      </c>
      <c r="E13" s="39">
        <v>6300</v>
      </c>
      <c r="F13" s="140" t="s">
        <v>11</v>
      </c>
      <c r="G13" s="140" t="s">
        <v>11</v>
      </c>
      <c r="H13" s="140" t="s">
        <v>11</v>
      </c>
      <c r="I13" s="140" t="s">
        <v>11</v>
      </c>
    </row>
    <row r="14" spans="1:9" ht="21" customHeight="1" x14ac:dyDescent="0.15">
      <c r="A14" s="151" t="s">
        <v>282</v>
      </c>
      <c r="B14" s="140" t="s">
        <v>11</v>
      </c>
      <c r="C14" s="140" t="s">
        <v>11</v>
      </c>
      <c r="D14" s="39">
        <v>4600</v>
      </c>
      <c r="E14" s="39">
        <v>5800</v>
      </c>
      <c r="F14" s="39">
        <v>7600</v>
      </c>
      <c r="G14" s="140" t="s">
        <v>11</v>
      </c>
      <c r="H14" s="140" t="s">
        <v>11</v>
      </c>
      <c r="I14" s="140" t="s">
        <v>11</v>
      </c>
    </row>
    <row r="15" spans="1:9" ht="21" customHeight="1" x14ac:dyDescent="0.15">
      <c r="A15" s="151" t="s">
        <v>283</v>
      </c>
      <c r="B15" s="140" t="s">
        <v>11</v>
      </c>
      <c r="C15" s="140" t="s">
        <v>11</v>
      </c>
      <c r="D15" s="39">
        <v>4400</v>
      </c>
      <c r="E15" s="39">
        <v>5600</v>
      </c>
      <c r="F15" s="140" t="s">
        <v>11</v>
      </c>
      <c r="G15" s="140" t="s">
        <v>11</v>
      </c>
      <c r="H15" s="140" t="s">
        <v>11</v>
      </c>
      <c r="I15" s="140" t="s">
        <v>11</v>
      </c>
    </row>
    <row r="16" spans="1:9" ht="21" customHeight="1" x14ac:dyDescent="0.15">
      <c r="A16" s="151" t="s">
        <v>284</v>
      </c>
      <c r="B16" s="140" t="s">
        <v>11</v>
      </c>
      <c r="C16" s="39">
        <v>3000</v>
      </c>
      <c r="D16" s="39">
        <v>4200</v>
      </c>
      <c r="E16" s="39">
        <v>5400</v>
      </c>
      <c r="F16" s="140" t="s">
        <v>11</v>
      </c>
      <c r="G16" s="140" t="s">
        <v>11</v>
      </c>
      <c r="H16" s="140" t="s">
        <v>11</v>
      </c>
      <c r="I16" s="140" t="s">
        <v>11</v>
      </c>
    </row>
    <row r="17" spans="1:9" ht="21" customHeight="1" x14ac:dyDescent="0.15">
      <c r="A17" s="151" t="s">
        <v>8</v>
      </c>
      <c r="B17" s="39">
        <v>2000</v>
      </c>
      <c r="C17" s="39">
        <v>2800</v>
      </c>
      <c r="D17" s="39">
        <v>4000</v>
      </c>
      <c r="E17" s="140" t="s">
        <v>11</v>
      </c>
      <c r="F17" s="140" t="s">
        <v>11</v>
      </c>
      <c r="G17" s="140" t="s">
        <v>11</v>
      </c>
      <c r="H17" s="140" t="s">
        <v>11</v>
      </c>
      <c r="I17" s="140" t="s">
        <v>11</v>
      </c>
    </row>
    <row r="18" spans="1:9" ht="21" customHeight="1" x14ac:dyDescent="0.15">
      <c r="A18" s="152" t="s">
        <v>7</v>
      </c>
      <c r="B18" s="39">
        <v>1750</v>
      </c>
      <c r="C18" s="39">
        <v>2550</v>
      </c>
      <c r="D18" s="140" t="s">
        <v>11</v>
      </c>
      <c r="E18" s="140" t="s">
        <v>11</v>
      </c>
      <c r="F18" s="140" t="s">
        <v>11</v>
      </c>
      <c r="G18" s="140" t="s">
        <v>11</v>
      </c>
      <c r="H18" s="140" t="s">
        <v>11</v>
      </c>
      <c r="I18" s="140" t="s">
        <v>11</v>
      </c>
    </row>
    <row r="19" spans="1:9" ht="21" customHeight="1" x14ac:dyDescent="0.15">
      <c r="A19" s="152" t="s">
        <v>285</v>
      </c>
      <c r="B19" s="39">
        <v>1500</v>
      </c>
      <c r="C19" s="39">
        <v>2300</v>
      </c>
      <c r="D19" s="140" t="s">
        <v>11</v>
      </c>
      <c r="E19" s="140" t="s">
        <v>11</v>
      </c>
      <c r="F19" s="140" t="s">
        <v>11</v>
      </c>
      <c r="G19" s="140" t="s">
        <v>11</v>
      </c>
      <c r="H19" s="140" t="s">
        <v>11</v>
      </c>
      <c r="I19" s="140" t="s">
        <v>11</v>
      </c>
    </row>
    <row r="20" spans="1:9" ht="21" customHeight="1" x14ac:dyDescent="0.15">
      <c r="A20" s="48" t="s">
        <v>286</v>
      </c>
      <c r="B20" s="47">
        <v>1000</v>
      </c>
      <c r="C20" s="47">
        <v>1000</v>
      </c>
      <c r="D20" s="47">
        <v>1000</v>
      </c>
      <c r="E20" s="47">
        <v>1000</v>
      </c>
      <c r="F20" s="47">
        <v>1000</v>
      </c>
      <c r="G20" s="47">
        <v>1000</v>
      </c>
      <c r="H20" s="47">
        <v>1000</v>
      </c>
      <c r="I20" s="47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5" stopIfTrue="1" operator="equal">
      <formula>1</formula>
    </cfRule>
  </conditionalFormatting>
  <conditionalFormatting sqref="A21:I65541">
    <cfRule type="cellIs" dxfId="4" priority="6" stopIfTrue="1" operator="equal">
      <formula>1</formula>
    </cfRule>
  </conditionalFormatting>
  <conditionalFormatting sqref="A20:I20">
    <cfRule type="cellIs" dxfId="3" priority="3" stopIfTrue="1" operator="equal">
      <formula>1</formula>
    </cfRule>
  </conditionalFormatting>
  <conditionalFormatting sqref="J2:IV4">
    <cfRule type="cellIs" dxfId="2" priority="2" stopIfTrue="1" operator="equal">
      <formula>1</formula>
    </cfRule>
  </conditionalFormatting>
  <conditionalFormatting sqref="J5:IV6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D18" sqref="D18"/>
    </sheetView>
  </sheetViews>
  <sheetFormatPr baseColWidth="12" defaultColWidth="13" defaultRowHeight="21" customHeight="1" x14ac:dyDescent="0.15"/>
  <cols>
    <col min="1" max="16384" width="13" style="34"/>
  </cols>
  <sheetData>
    <row r="1" spans="1:8" ht="21" customHeight="1" x14ac:dyDescent="0.15">
      <c r="A1" s="34" t="s">
        <v>227</v>
      </c>
      <c r="G1" s="34" t="s">
        <v>228</v>
      </c>
    </row>
    <row r="2" spans="1:8" ht="21" customHeight="1" x14ac:dyDescent="0.15">
      <c r="A2" s="32" t="s">
        <v>15</v>
      </c>
      <c r="B2" s="32" t="s">
        <v>16</v>
      </c>
      <c r="G2" s="32" t="s">
        <v>15</v>
      </c>
      <c r="H2" s="32" t="s">
        <v>16</v>
      </c>
    </row>
    <row r="3" spans="1:8" ht="21" customHeight="1" x14ac:dyDescent="0.15">
      <c r="A3" s="35">
        <v>1</v>
      </c>
      <c r="B3" s="44">
        <v>5000</v>
      </c>
      <c r="G3" s="35">
        <v>1</v>
      </c>
      <c r="H3" s="35">
        <v>75</v>
      </c>
    </row>
    <row r="4" spans="1:8" ht="21" customHeight="1" x14ac:dyDescent="0.15">
      <c r="A4" s="35">
        <v>2</v>
      </c>
      <c r="B4" s="36">
        <v>10000</v>
      </c>
      <c r="G4" s="35">
        <v>2</v>
      </c>
      <c r="H4" s="35">
        <v>150</v>
      </c>
    </row>
    <row r="5" spans="1:8" ht="21" customHeight="1" x14ac:dyDescent="0.15">
      <c r="A5" s="35">
        <v>3</v>
      </c>
      <c r="B5" s="36">
        <v>20000</v>
      </c>
      <c r="G5" s="35">
        <v>3</v>
      </c>
      <c r="H5" s="35">
        <v>300</v>
      </c>
    </row>
    <row r="6" spans="1:8" ht="21" customHeight="1" x14ac:dyDescent="0.15">
      <c r="A6" s="35">
        <v>4</v>
      </c>
      <c r="B6" s="36">
        <v>50000</v>
      </c>
      <c r="G6" s="35">
        <v>4</v>
      </c>
      <c r="H6" s="35">
        <v>600</v>
      </c>
    </row>
    <row r="7" spans="1:8" ht="21" customHeight="1" x14ac:dyDescent="0.15">
      <c r="A7" s="35">
        <v>5</v>
      </c>
      <c r="B7" s="36">
        <v>200000</v>
      </c>
      <c r="G7" s="35">
        <v>5</v>
      </c>
      <c r="H7" s="35">
        <v>900</v>
      </c>
    </row>
    <row r="8" spans="1:8" ht="21" customHeight="1" x14ac:dyDescent="0.15">
      <c r="A8" s="35">
        <v>6</v>
      </c>
      <c r="B8" s="45">
        <v>0</v>
      </c>
      <c r="G8" s="35">
        <v>6</v>
      </c>
      <c r="H8" s="46">
        <v>1200</v>
      </c>
    </row>
    <row r="9" spans="1:8" ht="21" customHeight="1" x14ac:dyDescent="0.15">
      <c r="A9" s="35">
        <v>7</v>
      </c>
      <c r="B9" s="45"/>
      <c r="G9" s="35">
        <v>7</v>
      </c>
      <c r="H9" s="45"/>
    </row>
    <row r="10" spans="1:8" ht="21" customHeight="1" x14ac:dyDescent="0.15">
      <c r="A10" s="35">
        <v>8</v>
      </c>
      <c r="B10" s="45"/>
      <c r="G10" s="35">
        <v>8</v>
      </c>
      <c r="H10" s="4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8000"/>
  </sheetPr>
  <dimension ref="A1:Q100"/>
  <sheetViews>
    <sheetView showGridLines="0" zoomScale="115" zoomScaleNormal="115" zoomScalePageLayoutView="115" workbookViewId="0">
      <pane ySplit="1" topLeftCell="A85" activePane="bottomLeft" state="frozen"/>
      <selection pane="bottomLeft" activeCell="K107" sqref="K107"/>
    </sheetView>
  </sheetViews>
  <sheetFormatPr baseColWidth="12" defaultColWidth="12.83203125" defaultRowHeight="21" customHeight="1" x14ac:dyDescent="0.15"/>
  <cols>
    <col min="1" max="1" width="8.6640625" style="5" customWidth="1"/>
    <col min="2" max="2" width="6.6640625" style="5" bestFit="1" customWidth="1"/>
    <col min="3" max="3" width="12.5" style="5" bestFit="1" customWidth="1"/>
    <col min="4" max="4" width="6.6640625" style="5" bestFit="1" customWidth="1"/>
    <col min="5" max="5" width="11.6640625" style="5" bestFit="1" customWidth="1"/>
    <col min="6" max="6" width="7.83203125" style="5" bestFit="1" customWidth="1"/>
    <col min="7" max="7" width="12.5" style="5" bestFit="1" customWidth="1"/>
    <col min="8" max="8" width="7.6640625" style="5" bestFit="1" customWidth="1"/>
    <col min="9" max="9" width="12.5" style="5" bestFit="1" customWidth="1"/>
    <col min="10" max="10" width="7.6640625" style="5" bestFit="1" customWidth="1"/>
    <col min="11" max="11" width="12.5" style="5" bestFit="1" customWidth="1"/>
    <col min="12" max="12" width="7.6640625" style="5" bestFit="1" customWidth="1"/>
    <col min="13" max="13" width="12.5" style="5" bestFit="1" customWidth="1"/>
    <col min="14" max="14" width="7.6640625" style="5" bestFit="1" customWidth="1"/>
    <col min="15" max="15" width="12.5" style="5" bestFit="1" customWidth="1"/>
    <col min="16" max="16" width="7.6640625" style="5" bestFit="1" customWidth="1"/>
    <col min="17" max="17" width="12.5" style="5" bestFit="1" customWidth="1"/>
    <col min="18" max="16384" width="12.83203125" style="5"/>
  </cols>
  <sheetData>
    <row r="1" spans="1:17" ht="21" customHeight="1" x14ac:dyDescent="0.15">
      <c r="A1" s="91" t="s">
        <v>121</v>
      </c>
      <c r="B1" s="65" t="s">
        <v>17</v>
      </c>
      <c r="C1" s="65" t="s">
        <v>130</v>
      </c>
      <c r="D1" s="65" t="s">
        <v>17</v>
      </c>
      <c r="E1" s="88" t="s">
        <v>125</v>
      </c>
      <c r="F1" s="65" t="s">
        <v>17</v>
      </c>
      <c r="G1" s="88" t="s">
        <v>124</v>
      </c>
      <c r="H1" s="65" t="s">
        <v>17</v>
      </c>
      <c r="I1" s="88" t="s">
        <v>123</v>
      </c>
      <c r="J1" s="65" t="s">
        <v>17</v>
      </c>
      <c r="K1" s="88" t="s">
        <v>122</v>
      </c>
      <c r="L1" s="65" t="s">
        <v>17</v>
      </c>
      <c r="M1" s="88" t="s">
        <v>129</v>
      </c>
      <c r="N1" s="65" t="s">
        <v>17</v>
      </c>
      <c r="O1" s="88" t="s">
        <v>127</v>
      </c>
      <c r="P1" s="65" t="s">
        <v>17</v>
      </c>
      <c r="Q1" s="65" t="s">
        <v>128</v>
      </c>
    </row>
    <row r="2" spans="1:17" ht="21" customHeight="1" x14ac:dyDescent="0.15">
      <c r="A2" s="6">
        <v>1</v>
      </c>
      <c r="B2" s="6" t="s">
        <v>102</v>
      </c>
      <c r="C2" s="6" t="s">
        <v>102</v>
      </c>
      <c r="D2" s="6" t="s">
        <v>102</v>
      </c>
      <c r="E2" s="6" t="s">
        <v>102</v>
      </c>
      <c r="F2" s="6" t="s">
        <v>102</v>
      </c>
      <c r="G2" s="6" t="s">
        <v>102</v>
      </c>
      <c r="H2" s="6" t="s">
        <v>102</v>
      </c>
      <c r="I2" s="6" t="s">
        <v>102</v>
      </c>
      <c r="J2" s="6" t="s">
        <v>102</v>
      </c>
      <c r="K2" s="6" t="s">
        <v>102</v>
      </c>
      <c r="L2" s="6" t="s">
        <v>102</v>
      </c>
      <c r="M2" s="6" t="s">
        <v>102</v>
      </c>
      <c r="N2" s="6" t="s">
        <v>102</v>
      </c>
      <c r="O2" s="6" t="s">
        <v>102</v>
      </c>
      <c r="P2" s="6" t="s">
        <v>102</v>
      </c>
      <c r="Q2" s="6" t="s">
        <v>102</v>
      </c>
    </row>
    <row r="3" spans="1:17" ht="21" customHeight="1" x14ac:dyDescent="0.15">
      <c r="A3" s="6">
        <v>2</v>
      </c>
      <c r="B3" s="6">
        <v>5</v>
      </c>
      <c r="C3" s="6">
        <v>5</v>
      </c>
      <c r="D3" s="6">
        <v>8</v>
      </c>
      <c r="E3" s="6">
        <v>8</v>
      </c>
      <c r="F3" s="6">
        <v>11</v>
      </c>
      <c r="G3" s="24">
        <v>11</v>
      </c>
      <c r="H3" s="6">
        <v>16</v>
      </c>
      <c r="I3" s="23">
        <v>16</v>
      </c>
      <c r="J3" s="6">
        <v>23</v>
      </c>
      <c r="K3" s="24">
        <v>23</v>
      </c>
      <c r="L3" s="6">
        <v>28</v>
      </c>
      <c r="M3" s="24">
        <v>28</v>
      </c>
      <c r="N3" s="6">
        <v>33</v>
      </c>
      <c r="O3" s="24">
        <v>33</v>
      </c>
      <c r="P3" s="6">
        <v>44</v>
      </c>
      <c r="Q3" s="24">
        <v>44</v>
      </c>
    </row>
    <row r="4" spans="1:17" ht="21" customHeight="1" x14ac:dyDescent="0.15">
      <c r="A4" s="6">
        <v>3</v>
      </c>
      <c r="B4" s="6">
        <v>30</v>
      </c>
      <c r="C4" s="6">
        <v>25</v>
      </c>
      <c r="D4" s="6">
        <v>42</v>
      </c>
      <c r="E4" s="6">
        <v>34</v>
      </c>
      <c r="F4" s="6">
        <v>60</v>
      </c>
      <c r="G4" s="24">
        <v>49</v>
      </c>
      <c r="H4" s="6">
        <v>90</v>
      </c>
      <c r="I4" s="23">
        <v>74</v>
      </c>
      <c r="J4" s="6">
        <v>125</v>
      </c>
      <c r="K4" s="24">
        <v>102</v>
      </c>
      <c r="L4" s="6">
        <v>155</v>
      </c>
      <c r="M4" s="24">
        <v>127</v>
      </c>
      <c r="N4" s="6">
        <v>185</v>
      </c>
      <c r="O4" s="24">
        <v>152</v>
      </c>
      <c r="P4" s="6">
        <v>245</v>
      </c>
      <c r="Q4" s="24">
        <v>201</v>
      </c>
    </row>
    <row r="5" spans="1:17" ht="21" customHeight="1" x14ac:dyDescent="0.15">
      <c r="A5" s="6">
        <v>4</v>
      </c>
      <c r="B5" s="6">
        <v>82</v>
      </c>
      <c r="C5" s="6">
        <v>52</v>
      </c>
      <c r="D5" s="6">
        <v>114</v>
      </c>
      <c r="E5" s="6">
        <v>72</v>
      </c>
      <c r="F5" s="6">
        <v>164</v>
      </c>
      <c r="G5" s="6">
        <v>104</v>
      </c>
      <c r="H5" s="6">
        <v>245</v>
      </c>
      <c r="I5" s="23">
        <v>155</v>
      </c>
      <c r="J5" s="6">
        <v>343</v>
      </c>
      <c r="K5" s="24">
        <v>218</v>
      </c>
      <c r="L5" s="6">
        <v>425</v>
      </c>
      <c r="M5" s="24">
        <v>270</v>
      </c>
      <c r="N5" s="6">
        <v>507</v>
      </c>
      <c r="O5" s="24">
        <v>322</v>
      </c>
      <c r="P5" s="6">
        <v>671</v>
      </c>
      <c r="Q5" s="24">
        <v>426</v>
      </c>
    </row>
    <row r="6" spans="1:17" ht="21" customHeight="1" x14ac:dyDescent="0.15">
      <c r="A6" s="6">
        <v>5</v>
      </c>
      <c r="B6" s="6">
        <v>167</v>
      </c>
      <c r="C6" s="6">
        <v>85</v>
      </c>
      <c r="D6" s="6">
        <v>234</v>
      </c>
      <c r="E6" s="6">
        <v>120</v>
      </c>
      <c r="F6" s="6">
        <v>334</v>
      </c>
      <c r="G6" s="6">
        <v>170</v>
      </c>
      <c r="H6" s="6">
        <v>502</v>
      </c>
      <c r="I6" s="23">
        <v>257</v>
      </c>
      <c r="J6" s="6">
        <v>702</v>
      </c>
      <c r="K6" s="24">
        <v>359</v>
      </c>
      <c r="L6" s="6">
        <v>870</v>
      </c>
      <c r="M6" s="24">
        <v>445</v>
      </c>
      <c r="N6" s="6">
        <v>1037</v>
      </c>
      <c r="O6" s="6">
        <v>530</v>
      </c>
      <c r="P6" s="6">
        <v>1371</v>
      </c>
      <c r="Q6" s="6">
        <v>700</v>
      </c>
    </row>
    <row r="7" spans="1:17" ht="21" customHeight="1" x14ac:dyDescent="0.15">
      <c r="A7" s="6">
        <v>6</v>
      </c>
      <c r="B7" s="6">
        <v>291</v>
      </c>
      <c r="C7" s="6">
        <v>124</v>
      </c>
      <c r="D7" s="6">
        <v>408</v>
      </c>
      <c r="E7" s="6">
        <v>174</v>
      </c>
      <c r="F7" s="6">
        <v>583</v>
      </c>
      <c r="G7" s="6">
        <v>249</v>
      </c>
      <c r="H7" s="6">
        <v>874</v>
      </c>
      <c r="I7" s="22">
        <v>372</v>
      </c>
      <c r="J7" s="6">
        <v>1224</v>
      </c>
      <c r="K7" s="6">
        <v>522</v>
      </c>
      <c r="L7" s="6">
        <v>1515</v>
      </c>
      <c r="M7" s="24">
        <v>645</v>
      </c>
      <c r="N7" s="6">
        <v>1806</v>
      </c>
      <c r="O7" s="6">
        <v>769</v>
      </c>
      <c r="P7" s="6">
        <v>2389</v>
      </c>
      <c r="Q7" s="6">
        <v>1018</v>
      </c>
    </row>
    <row r="8" spans="1:17" ht="21" customHeight="1" x14ac:dyDescent="0.15">
      <c r="A8" s="6">
        <v>7</v>
      </c>
      <c r="B8" s="6">
        <v>459</v>
      </c>
      <c r="C8" s="6">
        <v>168</v>
      </c>
      <c r="D8" s="6">
        <v>642</v>
      </c>
      <c r="E8" s="6">
        <v>234</v>
      </c>
      <c r="F8" s="6">
        <v>917</v>
      </c>
      <c r="G8" s="6">
        <v>334</v>
      </c>
      <c r="H8" s="6">
        <v>1376</v>
      </c>
      <c r="I8" s="22">
        <v>502</v>
      </c>
      <c r="J8" s="6">
        <v>1927</v>
      </c>
      <c r="K8" s="6">
        <v>703</v>
      </c>
      <c r="L8" s="6">
        <v>2385</v>
      </c>
      <c r="M8" s="24">
        <v>870</v>
      </c>
      <c r="N8" s="6">
        <v>2844</v>
      </c>
      <c r="O8" s="6">
        <v>1038</v>
      </c>
      <c r="P8" s="6">
        <v>3761</v>
      </c>
      <c r="Q8" s="6">
        <v>1372</v>
      </c>
    </row>
    <row r="9" spans="1:17" ht="21" customHeight="1" x14ac:dyDescent="0.15">
      <c r="A9" s="6">
        <v>8</v>
      </c>
      <c r="B9" s="6">
        <v>673</v>
      </c>
      <c r="C9" s="6">
        <v>214</v>
      </c>
      <c r="D9" s="6">
        <v>943</v>
      </c>
      <c r="E9" s="6">
        <v>301</v>
      </c>
      <c r="F9" s="6">
        <v>1347</v>
      </c>
      <c r="G9" s="6">
        <v>430</v>
      </c>
      <c r="H9" s="6">
        <v>2020</v>
      </c>
      <c r="I9" s="22">
        <v>644</v>
      </c>
      <c r="J9" s="6">
        <v>2828</v>
      </c>
      <c r="K9" s="6">
        <v>901</v>
      </c>
      <c r="L9" s="6">
        <v>3501</v>
      </c>
      <c r="M9" s="24">
        <v>1116</v>
      </c>
      <c r="N9" s="6">
        <v>4175</v>
      </c>
      <c r="O9" s="6">
        <v>1331</v>
      </c>
      <c r="P9" s="6">
        <v>5521</v>
      </c>
      <c r="Q9" s="6">
        <v>1760</v>
      </c>
    </row>
    <row r="10" spans="1:17" ht="21" customHeight="1" x14ac:dyDescent="0.15">
      <c r="A10" s="6">
        <v>9</v>
      </c>
      <c r="B10" s="6">
        <v>939</v>
      </c>
      <c r="C10" s="6">
        <v>266</v>
      </c>
      <c r="D10" s="6">
        <v>1315</v>
      </c>
      <c r="E10" s="6">
        <v>372</v>
      </c>
      <c r="F10" s="6">
        <v>1878</v>
      </c>
      <c r="G10" s="6">
        <v>531</v>
      </c>
      <c r="H10" s="6">
        <v>2817</v>
      </c>
      <c r="I10" s="22">
        <v>797</v>
      </c>
      <c r="J10" s="6">
        <v>3944</v>
      </c>
      <c r="K10" s="6">
        <v>1116</v>
      </c>
      <c r="L10" s="6">
        <v>4883</v>
      </c>
      <c r="M10" s="24">
        <v>1382</v>
      </c>
      <c r="N10" s="6">
        <v>5822</v>
      </c>
      <c r="O10" s="6">
        <v>1647</v>
      </c>
      <c r="P10" s="6">
        <v>7700</v>
      </c>
      <c r="Q10" s="6">
        <v>2179</v>
      </c>
    </row>
    <row r="11" spans="1:17" ht="21" customHeight="1" x14ac:dyDescent="0.15">
      <c r="A11" s="6">
        <v>10</v>
      </c>
      <c r="B11" s="6">
        <v>1259</v>
      </c>
      <c r="C11" s="6">
        <v>320</v>
      </c>
      <c r="D11" s="6">
        <v>1763</v>
      </c>
      <c r="E11" s="6">
        <v>448</v>
      </c>
      <c r="F11" s="6">
        <v>2518</v>
      </c>
      <c r="G11" s="6">
        <v>640</v>
      </c>
      <c r="H11" s="6">
        <v>3777</v>
      </c>
      <c r="I11" s="22">
        <v>960</v>
      </c>
      <c r="J11" s="6">
        <v>5288</v>
      </c>
      <c r="K11" s="6">
        <v>1344</v>
      </c>
      <c r="L11" s="6">
        <v>6548</v>
      </c>
      <c r="M11" s="24">
        <v>1665</v>
      </c>
      <c r="N11" s="6">
        <v>7807</v>
      </c>
      <c r="O11" s="6">
        <v>1985</v>
      </c>
      <c r="P11" s="6">
        <v>10325</v>
      </c>
      <c r="Q11" s="6">
        <v>2625</v>
      </c>
    </row>
    <row r="12" spans="1:17" ht="21" customHeight="1" x14ac:dyDescent="0.15">
      <c r="A12" s="6">
        <v>11</v>
      </c>
      <c r="B12" s="6">
        <v>1637</v>
      </c>
      <c r="C12" s="6">
        <v>378</v>
      </c>
      <c r="D12" s="6">
        <v>2292</v>
      </c>
      <c r="E12" s="6">
        <v>529</v>
      </c>
      <c r="F12" s="6">
        <v>3274</v>
      </c>
      <c r="G12" s="6">
        <v>756</v>
      </c>
      <c r="H12" s="6">
        <v>4911</v>
      </c>
      <c r="I12" s="22">
        <v>1134</v>
      </c>
      <c r="J12" s="6">
        <v>6876</v>
      </c>
      <c r="K12" s="6">
        <v>1588</v>
      </c>
      <c r="L12" s="6">
        <v>8513</v>
      </c>
      <c r="M12" s="6">
        <v>1965</v>
      </c>
      <c r="N12" s="6">
        <v>10150</v>
      </c>
      <c r="O12" s="6">
        <v>2343</v>
      </c>
      <c r="P12" s="6">
        <v>13424</v>
      </c>
      <c r="Q12" s="6">
        <v>3099</v>
      </c>
    </row>
    <row r="13" spans="1:17" ht="21" customHeight="1" x14ac:dyDescent="0.15">
      <c r="A13" s="6">
        <v>12</v>
      </c>
      <c r="B13" s="6">
        <v>2076</v>
      </c>
      <c r="C13" s="6">
        <v>439</v>
      </c>
      <c r="D13" s="6">
        <v>2906</v>
      </c>
      <c r="E13" s="6">
        <v>614</v>
      </c>
      <c r="F13" s="6">
        <v>4152</v>
      </c>
      <c r="G13" s="6">
        <v>878</v>
      </c>
      <c r="H13" s="6">
        <v>6227</v>
      </c>
      <c r="I13" s="22">
        <v>1316</v>
      </c>
      <c r="J13" s="6">
        <v>8718</v>
      </c>
      <c r="K13" s="6">
        <v>1842</v>
      </c>
      <c r="L13" s="6">
        <v>10794</v>
      </c>
      <c r="M13" s="6">
        <v>2281</v>
      </c>
      <c r="N13" s="6">
        <v>12870</v>
      </c>
      <c r="O13" s="6">
        <v>2720</v>
      </c>
      <c r="P13" s="6">
        <v>17022</v>
      </c>
      <c r="Q13" s="6">
        <v>3598</v>
      </c>
    </row>
    <row r="14" spans="1:17" ht="21" customHeight="1" x14ac:dyDescent="0.15">
      <c r="A14" s="6">
        <v>13</v>
      </c>
      <c r="B14" s="6">
        <v>2578</v>
      </c>
      <c r="C14" s="6">
        <v>502</v>
      </c>
      <c r="D14" s="6">
        <v>3610</v>
      </c>
      <c r="E14" s="6">
        <v>704</v>
      </c>
      <c r="F14" s="6">
        <v>5157</v>
      </c>
      <c r="G14" s="6">
        <v>1005</v>
      </c>
      <c r="H14" s="6">
        <v>7735</v>
      </c>
      <c r="I14" s="22">
        <v>1508</v>
      </c>
      <c r="J14" s="6">
        <v>10829</v>
      </c>
      <c r="K14" s="6">
        <v>2111</v>
      </c>
      <c r="L14" s="6">
        <v>13407</v>
      </c>
      <c r="M14" s="6">
        <v>2613</v>
      </c>
      <c r="N14" s="6">
        <v>15986</v>
      </c>
      <c r="O14" s="6">
        <v>3116</v>
      </c>
      <c r="P14" s="6">
        <v>21142</v>
      </c>
      <c r="Q14" s="6">
        <v>4120</v>
      </c>
    </row>
    <row r="15" spans="1:17" ht="21" customHeight="1" x14ac:dyDescent="0.15">
      <c r="A15" s="6">
        <v>14</v>
      </c>
      <c r="B15" s="6">
        <v>3147</v>
      </c>
      <c r="C15" s="6">
        <v>569</v>
      </c>
      <c r="D15" s="6">
        <v>4406</v>
      </c>
      <c r="E15" s="6">
        <v>796</v>
      </c>
      <c r="F15" s="6">
        <v>6295</v>
      </c>
      <c r="G15" s="6">
        <v>1138</v>
      </c>
      <c r="H15" s="6">
        <v>9442</v>
      </c>
      <c r="I15" s="22">
        <v>1707</v>
      </c>
      <c r="J15" s="6">
        <v>13219</v>
      </c>
      <c r="K15" s="6">
        <v>2390</v>
      </c>
      <c r="L15" s="6">
        <v>16367</v>
      </c>
      <c r="M15" s="6">
        <v>2960</v>
      </c>
      <c r="N15" s="6">
        <v>19514</v>
      </c>
      <c r="O15" s="6">
        <v>3528</v>
      </c>
      <c r="P15" s="6">
        <v>25809</v>
      </c>
      <c r="Q15" s="6">
        <v>4667</v>
      </c>
    </row>
    <row r="16" spans="1:17" ht="21" customHeight="1" x14ac:dyDescent="0.15">
      <c r="A16" s="6">
        <v>15</v>
      </c>
      <c r="B16" s="6">
        <v>3786</v>
      </c>
      <c r="C16" s="6">
        <v>639</v>
      </c>
      <c r="D16" s="6">
        <v>5300</v>
      </c>
      <c r="E16" s="6">
        <v>894</v>
      </c>
      <c r="F16" s="6">
        <v>7572</v>
      </c>
      <c r="G16" s="6">
        <v>1277</v>
      </c>
      <c r="H16" s="6">
        <v>11358</v>
      </c>
      <c r="I16" s="22">
        <v>1916</v>
      </c>
      <c r="J16" s="6">
        <v>15901</v>
      </c>
      <c r="K16" s="6">
        <v>2682</v>
      </c>
      <c r="L16" s="6">
        <v>19686</v>
      </c>
      <c r="M16" s="6">
        <v>3319</v>
      </c>
      <c r="N16" s="6">
        <v>23472</v>
      </c>
      <c r="O16" s="6">
        <v>3958</v>
      </c>
      <c r="P16" s="6">
        <v>31044</v>
      </c>
      <c r="Q16" s="6">
        <v>5235</v>
      </c>
    </row>
    <row r="17" spans="1:17" ht="21" customHeight="1" x14ac:dyDescent="0.15">
      <c r="A17" s="6">
        <v>16</v>
      </c>
      <c r="B17" s="6">
        <v>4496</v>
      </c>
      <c r="C17" s="6">
        <v>710</v>
      </c>
      <c r="D17" s="6">
        <v>6294</v>
      </c>
      <c r="E17" s="6">
        <v>994</v>
      </c>
      <c r="F17" s="6">
        <v>8992</v>
      </c>
      <c r="G17" s="6">
        <v>1420</v>
      </c>
      <c r="H17" s="6">
        <v>13488</v>
      </c>
      <c r="I17" s="22">
        <v>2130</v>
      </c>
      <c r="J17" s="6">
        <v>18883</v>
      </c>
      <c r="K17" s="6">
        <v>2982</v>
      </c>
      <c r="L17" s="6">
        <v>23379</v>
      </c>
      <c r="M17" s="6">
        <v>3693</v>
      </c>
      <c r="N17" s="6">
        <v>27876</v>
      </c>
      <c r="O17" s="6">
        <v>4404</v>
      </c>
      <c r="P17" s="6">
        <v>36868</v>
      </c>
      <c r="Q17" s="6">
        <v>5824</v>
      </c>
    </row>
    <row r="18" spans="1:17" ht="21" customHeight="1" x14ac:dyDescent="0.15">
      <c r="A18" s="6">
        <v>17</v>
      </c>
      <c r="B18" s="6">
        <v>5281</v>
      </c>
      <c r="C18" s="6">
        <v>785</v>
      </c>
      <c r="D18" s="6">
        <v>7393</v>
      </c>
      <c r="E18" s="6">
        <v>1099</v>
      </c>
      <c r="F18" s="6">
        <v>10561</v>
      </c>
      <c r="G18" s="6">
        <v>1569</v>
      </c>
      <c r="H18" s="6">
        <v>15842</v>
      </c>
      <c r="I18" s="22">
        <v>2354</v>
      </c>
      <c r="J18" s="6">
        <v>22179</v>
      </c>
      <c r="K18" s="6">
        <v>3296</v>
      </c>
      <c r="L18" s="6">
        <v>27459</v>
      </c>
      <c r="M18" s="6">
        <v>4080</v>
      </c>
      <c r="N18" s="6">
        <v>32740</v>
      </c>
      <c r="O18" s="6">
        <v>4864</v>
      </c>
      <c r="P18" s="6">
        <v>43301</v>
      </c>
      <c r="Q18" s="6">
        <v>6433</v>
      </c>
    </row>
    <row r="19" spans="1:17" ht="21" customHeight="1" x14ac:dyDescent="0.15">
      <c r="A19" s="6">
        <v>18</v>
      </c>
      <c r="B19" s="6">
        <v>6142</v>
      </c>
      <c r="C19" s="6">
        <v>861</v>
      </c>
      <c r="D19" s="6">
        <v>8599</v>
      </c>
      <c r="E19" s="6">
        <v>1206</v>
      </c>
      <c r="F19" s="6">
        <v>12284</v>
      </c>
      <c r="G19" s="6">
        <v>1723</v>
      </c>
      <c r="H19" s="6">
        <v>18426</v>
      </c>
      <c r="I19" s="22">
        <v>2584</v>
      </c>
      <c r="J19" s="6">
        <v>25796</v>
      </c>
      <c r="K19" s="6">
        <v>3617</v>
      </c>
      <c r="L19" s="6">
        <v>31938</v>
      </c>
      <c r="M19" s="6">
        <v>4479</v>
      </c>
      <c r="N19" s="6">
        <v>38080</v>
      </c>
      <c r="O19" s="6">
        <v>5340</v>
      </c>
      <c r="P19" s="6">
        <v>50364</v>
      </c>
      <c r="Q19" s="6">
        <v>7063</v>
      </c>
    </row>
    <row r="20" spans="1:17" ht="21" customHeight="1" x14ac:dyDescent="0.15">
      <c r="A20" s="6">
        <v>19</v>
      </c>
      <c r="B20" s="6">
        <v>7082</v>
      </c>
      <c r="C20" s="6">
        <v>940</v>
      </c>
      <c r="D20" s="6">
        <v>9915</v>
      </c>
      <c r="E20" s="6">
        <v>1316</v>
      </c>
      <c r="F20" s="6">
        <v>14164</v>
      </c>
      <c r="G20" s="6">
        <v>1880</v>
      </c>
      <c r="H20" s="6">
        <v>21247</v>
      </c>
      <c r="I20" s="22">
        <v>2821</v>
      </c>
      <c r="J20" s="6">
        <v>29745</v>
      </c>
      <c r="K20" s="6">
        <v>3949</v>
      </c>
      <c r="L20" s="6">
        <v>36828</v>
      </c>
      <c r="M20" s="6">
        <v>4890</v>
      </c>
      <c r="N20" s="6">
        <v>43910</v>
      </c>
      <c r="O20" s="6">
        <v>5830</v>
      </c>
      <c r="P20" s="6">
        <v>58074</v>
      </c>
      <c r="Q20" s="6">
        <v>7710</v>
      </c>
    </row>
    <row r="21" spans="1:17" ht="21" customHeight="1" x14ac:dyDescent="0.15">
      <c r="A21" s="6">
        <v>20</v>
      </c>
      <c r="B21" s="6">
        <v>8104</v>
      </c>
      <c r="C21" s="6">
        <v>1022</v>
      </c>
      <c r="D21" s="6">
        <v>11346</v>
      </c>
      <c r="E21" s="6">
        <v>1431</v>
      </c>
      <c r="F21" s="6">
        <v>16208</v>
      </c>
      <c r="G21" s="6">
        <v>2044</v>
      </c>
      <c r="H21" s="6">
        <v>24312</v>
      </c>
      <c r="I21" s="22">
        <v>3065</v>
      </c>
      <c r="J21" s="6">
        <v>34037</v>
      </c>
      <c r="K21" s="6">
        <v>4292</v>
      </c>
      <c r="L21" s="6">
        <v>42140</v>
      </c>
      <c r="M21" s="6">
        <v>5312</v>
      </c>
      <c r="N21" s="6">
        <v>50244</v>
      </c>
      <c r="O21" s="6">
        <v>6334</v>
      </c>
      <c r="P21" s="6">
        <v>66452</v>
      </c>
      <c r="Q21" s="6">
        <v>8378</v>
      </c>
    </row>
    <row r="22" spans="1:17" ht="21" customHeight="1" x14ac:dyDescent="0.15">
      <c r="A22" s="6">
        <v>21</v>
      </c>
      <c r="B22" s="6">
        <v>9209</v>
      </c>
      <c r="C22" s="6">
        <v>1105</v>
      </c>
      <c r="D22" s="6">
        <v>12893</v>
      </c>
      <c r="E22" s="6">
        <v>1547</v>
      </c>
      <c r="F22" s="6">
        <v>18418</v>
      </c>
      <c r="G22" s="6">
        <v>2210</v>
      </c>
      <c r="H22" s="6">
        <v>27627</v>
      </c>
      <c r="I22" s="22">
        <v>3315</v>
      </c>
      <c r="J22" s="6">
        <v>38678</v>
      </c>
      <c r="K22" s="6">
        <v>4641</v>
      </c>
      <c r="L22" s="6">
        <v>47888</v>
      </c>
      <c r="M22" s="6">
        <v>5748</v>
      </c>
      <c r="N22" s="6">
        <v>57097</v>
      </c>
      <c r="O22" s="6">
        <v>6853</v>
      </c>
      <c r="P22" s="6">
        <v>75515</v>
      </c>
      <c r="Q22" s="6">
        <v>9063</v>
      </c>
    </row>
    <row r="23" spans="1:17" ht="21" customHeight="1" x14ac:dyDescent="0.15">
      <c r="A23" s="6">
        <v>22</v>
      </c>
      <c r="B23" s="6">
        <v>10400</v>
      </c>
      <c r="C23" s="6">
        <v>1191</v>
      </c>
      <c r="D23" s="6">
        <v>14560</v>
      </c>
      <c r="E23" s="6">
        <v>1667</v>
      </c>
      <c r="F23" s="6">
        <v>20800</v>
      </c>
      <c r="G23" s="6">
        <v>2382</v>
      </c>
      <c r="H23" s="6">
        <v>31200</v>
      </c>
      <c r="I23" s="22">
        <v>3573</v>
      </c>
      <c r="J23" s="6">
        <v>43680</v>
      </c>
      <c r="K23" s="6">
        <v>5002</v>
      </c>
      <c r="L23" s="6">
        <v>54080</v>
      </c>
      <c r="M23" s="6">
        <v>6192</v>
      </c>
      <c r="N23" s="6">
        <v>64480</v>
      </c>
      <c r="O23" s="6">
        <v>7383</v>
      </c>
      <c r="P23" s="6">
        <v>85280</v>
      </c>
      <c r="Q23" s="6">
        <v>9765</v>
      </c>
    </row>
    <row r="24" spans="1:17" ht="21" customHeight="1" x14ac:dyDescent="0.15">
      <c r="A24" s="6">
        <v>23</v>
      </c>
      <c r="B24" s="6">
        <v>11679</v>
      </c>
      <c r="C24" s="6">
        <v>1279</v>
      </c>
      <c r="D24" s="6">
        <v>16350</v>
      </c>
      <c r="E24" s="6">
        <v>1790</v>
      </c>
      <c r="F24" s="6">
        <v>23357</v>
      </c>
      <c r="G24" s="6">
        <v>2557</v>
      </c>
      <c r="H24" s="6">
        <v>35036</v>
      </c>
      <c r="I24" s="22">
        <v>3836</v>
      </c>
      <c r="J24" s="6">
        <v>49050</v>
      </c>
      <c r="K24" s="6">
        <v>5370</v>
      </c>
      <c r="L24" s="6">
        <v>60729</v>
      </c>
      <c r="M24" s="6">
        <v>6649</v>
      </c>
      <c r="N24" s="6">
        <v>72408</v>
      </c>
      <c r="O24" s="6">
        <v>7928</v>
      </c>
      <c r="P24" s="6">
        <v>95765</v>
      </c>
      <c r="Q24" s="6">
        <v>10485</v>
      </c>
    </row>
    <row r="25" spans="1:17" ht="21" customHeight="1" x14ac:dyDescent="0.15">
      <c r="A25" s="6">
        <v>24</v>
      </c>
      <c r="B25" s="6">
        <v>13047</v>
      </c>
      <c r="C25" s="6">
        <v>1368</v>
      </c>
      <c r="D25" s="6">
        <v>18266</v>
      </c>
      <c r="E25" s="6">
        <v>1916</v>
      </c>
      <c r="F25" s="6">
        <v>26094</v>
      </c>
      <c r="G25" s="6">
        <v>2737</v>
      </c>
      <c r="H25" s="6">
        <v>39141</v>
      </c>
      <c r="I25" s="22">
        <v>4105</v>
      </c>
      <c r="J25" s="6">
        <v>54798</v>
      </c>
      <c r="K25" s="6">
        <v>5748</v>
      </c>
      <c r="L25" s="6">
        <v>67845</v>
      </c>
      <c r="M25" s="6">
        <v>7116</v>
      </c>
      <c r="N25" s="6">
        <v>80892</v>
      </c>
      <c r="O25" s="6">
        <v>8484</v>
      </c>
      <c r="P25" s="6">
        <v>106986</v>
      </c>
      <c r="Q25" s="6">
        <v>11221</v>
      </c>
    </row>
    <row r="26" spans="1:17" ht="21" customHeight="1" x14ac:dyDescent="0.15">
      <c r="A26" s="6">
        <v>25</v>
      </c>
      <c r="B26" s="6">
        <v>14507</v>
      </c>
      <c r="C26" s="6">
        <v>1460</v>
      </c>
      <c r="D26" s="6">
        <v>20310</v>
      </c>
      <c r="E26" s="6">
        <v>2044</v>
      </c>
      <c r="F26" s="6">
        <v>29015</v>
      </c>
      <c r="G26" s="6">
        <v>2921</v>
      </c>
      <c r="H26" s="6">
        <v>43522</v>
      </c>
      <c r="I26" s="22">
        <v>4381</v>
      </c>
      <c r="J26" s="6">
        <v>60931</v>
      </c>
      <c r="K26" s="6">
        <v>6133</v>
      </c>
      <c r="L26" s="6">
        <v>75438</v>
      </c>
      <c r="M26" s="6">
        <v>7593</v>
      </c>
      <c r="N26" s="6">
        <v>89946</v>
      </c>
      <c r="O26" s="6">
        <v>9054</v>
      </c>
      <c r="P26" s="6">
        <v>118960</v>
      </c>
      <c r="Q26" s="6">
        <v>11974</v>
      </c>
    </row>
    <row r="27" spans="1:17" ht="21" customHeight="1" x14ac:dyDescent="0.15">
      <c r="A27" s="6">
        <v>26</v>
      </c>
      <c r="B27" s="6">
        <v>16061</v>
      </c>
      <c r="C27" s="6">
        <v>1554</v>
      </c>
      <c r="D27" s="6">
        <v>22486</v>
      </c>
      <c r="E27" s="6">
        <v>2176</v>
      </c>
      <c r="F27" s="6">
        <v>32123</v>
      </c>
      <c r="G27" s="6">
        <v>3108</v>
      </c>
      <c r="H27" s="6">
        <v>48184</v>
      </c>
      <c r="I27" s="22">
        <v>4662</v>
      </c>
      <c r="J27" s="6">
        <v>67458</v>
      </c>
      <c r="K27" s="6">
        <v>6527</v>
      </c>
      <c r="L27" s="6">
        <v>83519</v>
      </c>
      <c r="M27" s="6">
        <v>8081</v>
      </c>
      <c r="N27" s="6">
        <v>99580</v>
      </c>
      <c r="O27" s="6">
        <v>9634</v>
      </c>
      <c r="P27" s="6">
        <v>131703</v>
      </c>
      <c r="Q27" s="6">
        <v>12743</v>
      </c>
    </row>
    <row r="28" spans="1:17" ht="21" customHeight="1" x14ac:dyDescent="0.15">
      <c r="A28" s="6">
        <v>27</v>
      </c>
      <c r="B28" s="6">
        <v>17711</v>
      </c>
      <c r="C28" s="6">
        <v>1650</v>
      </c>
      <c r="D28" s="6">
        <v>24795</v>
      </c>
      <c r="E28" s="6">
        <v>2309</v>
      </c>
      <c r="F28" s="6">
        <v>35422</v>
      </c>
      <c r="G28" s="6">
        <v>3299</v>
      </c>
      <c r="H28" s="6">
        <v>53133</v>
      </c>
      <c r="I28" s="22">
        <v>4949</v>
      </c>
      <c r="J28" s="6">
        <v>74386</v>
      </c>
      <c r="K28" s="6">
        <v>6928</v>
      </c>
      <c r="L28" s="6">
        <v>92097</v>
      </c>
      <c r="M28" s="6">
        <v>8578</v>
      </c>
      <c r="N28" s="6">
        <v>109808</v>
      </c>
      <c r="O28" s="6">
        <v>10228</v>
      </c>
      <c r="P28" s="6">
        <v>145230</v>
      </c>
      <c r="Q28" s="6">
        <v>13527</v>
      </c>
    </row>
    <row r="29" spans="1:17" ht="21" customHeight="1" x14ac:dyDescent="0.15">
      <c r="A29" s="6">
        <v>28</v>
      </c>
      <c r="B29" s="6">
        <v>19458</v>
      </c>
      <c r="C29" s="6">
        <v>1747</v>
      </c>
      <c r="D29" s="6">
        <v>27241</v>
      </c>
      <c r="E29" s="6">
        <v>2446</v>
      </c>
      <c r="F29" s="6">
        <v>38916</v>
      </c>
      <c r="G29" s="6">
        <v>3494</v>
      </c>
      <c r="H29" s="6">
        <v>58374</v>
      </c>
      <c r="I29" s="22">
        <v>5241</v>
      </c>
      <c r="J29" s="6">
        <v>81724</v>
      </c>
      <c r="K29" s="6">
        <v>7338</v>
      </c>
      <c r="L29" s="6">
        <v>101182</v>
      </c>
      <c r="M29" s="6">
        <v>9085</v>
      </c>
      <c r="N29" s="6">
        <v>120640</v>
      </c>
      <c r="O29" s="6">
        <v>10832</v>
      </c>
      <c r="P29" s="6">
        <v>159557</v>
      </c>
      <c r="Q29" s="6">
        <v>14327</v>
      </c>
    </row>
    <row r="30" spans="1:17" ht="21" customHeight="1" x14ac:dyDescent="0.15">
      <c r="A30" s="6">
        <v>29</v>
      </c>
      <c r="B30" s="6">
        <v>21305</v>
      </c>
      <c r="C30" s="6">
        <v>1847</v>
      </c>
      <c r="D30" s="6">
        <v>29826</v>
      </c>
      <c r="E30" s="6">
        <v>2585</v>
      </c>
      <c r="F30" s="6">
        <v>42609</v>
      </c>
      <c r="G30" s="6">
        <v>3693</v>
      </c>
      <c r="H30" s="6">
        <v>63914</v>
      </c>
      <c r="I30" s="22">
        <v>5540</v>
      </c>
      <c r="J30" s="6">
        <v>89479</v>
      </c>
      <c r="K30" s="6">
        <v>7755</v>
      </c>
      <c r="L30" s="6">
        <v>110784</v>
      </c>
      <c r="M30" s="6">
        <v>9602</v>
      </c>
      <c r="N30" s="6">
        <v>132089</v>
      </c>
      <c r="O30" s="6">
        <v>11449</v>
      </c>
      <c r="P30" s="6">
        <v>174698</v>
      </c>
      <c r="Q30" s="6">
        <v>15141</v>
      </c>
    </row>
    <row r="31" spans="1:17" ht="21" customHeight="1" x14ac:dyDescent="0.15">
      <c r="A31" s="6">
        <v>30</v>
      </c>
      <c r="B31" s="6">
        <v>23252</v>
      </c>
      <c r="C31" s="6">
        <v>1947</v>
      </c>
      <c r="D31" s="6">
        <v>32553</v>
      </c>
      <c r="E31" s="6">
        <v>2727</v>
      </c>
      <c r="F31" s="6">
        <v>46505</v>
      </c>
      <c r="G31" s="6">
        <v>3896</v>
      </c>
      <c r="H31" s="6">
        <v>69757</v>
      </c>
      <c r="I31" s="22">
        <v>5843</v>
      </c>
      <c r="J31" s="6">
        <v>97660</v>
      </c>
      <c r="K31" s="6">
        <v>8181</v>
      </c>
      <c r="L31" s="6">
        <v>120912</v>
      </c>
      <c r="M31" s="6">
        <v>10128</v>
      </c>
      <c r="N31" s="6">
        <v>144164</v>
      </c>
      <c r="O31" s="6">
        <v>12075</v>
      </c>
      <c r="P31" s="6">
        <v>190669</v>
      </c>
      <c r="Q31" s="6">
        <v>15971</v>
      </c>
    </row>
    <row r="32" spans="1:17" ht="21" customHeight="1" x14ac:dyDescent="0.15">
      <c r="A32" s="6">
        <v>31</v>
      </c>
      <c r="B32" s="6">
        <v>25303</v>
      </c>
      <c r="C32" s="6">
        <v>2051</v>
      </c>
      <c r="D32" s="6">
        <v>35424</v>
      </c>
      <c r="E32" s="6">
        <v>2871</v>
      </c>
      <c r="F32" s="6">
        <v>50606</v>
      </c>
      <c r="G32" s="6">
        <v>4101</v>
      </c>
      <c r="H32" s="6">
        <v>75909</v>
      </c>
      <c r="I32" s="22">
        <v>6152</v>
      </c>
      <c r="J32" s="6">
        <v>106272</v>
      </c>
      <c r="K32" s="6">
        <v>8612</v>
      </c>
      <c r="L32" s="6">
        <v>131575</v>
      </c>
      <c r="M32" s="6">
        <v>10663</v>
      </c>
      <c r="N32" s="6">
        <v>156878</v>
      </c>
      <c r="O32" s="6">
        <v>12714</v>
      </c>
      <c r="P32" s="6">
        <v>207483</v>
      </c>
      <c r="Q32" s="6">
        <v>16814</v>
      </c>
    </row>
    <row r="33" spans="1:17" ht="21" customHeight="1" x14ac:dyDescent="0.15">
      <c r="A33" s="6">
        <v>32</v>
      </c>
      <c r="B33" s="6">
        <v>27458</v>
      </c>
      <c r="C33" s="6">
        <v>2155</v>
      </c>
      <c r="D33" s="6">
        <v>38441</v>
      </c>
      <c r="E33" s="6">
        <v>3017</v>
      </c>
      <c r="F33" s="6">
        <v>54916</v>
      </c>
      <c r="G33" s="6">
        <v>4310</v>
      </c>
      <c r="H33" s="6">
        <v>82374</v>
      </c>
      <c r="I33" s="22">
        <v>6465</v>
      </c>
      <c r="J33" s="6">
        <v>115324</v>
      </c>
      <c r="K33" s="6">
        <v>9052</v>
      </c>
      <c r="L33" s="6">
        <v>142782</v>
      </c>
      <c r="M33" s="6">
        <v>11207</v>
      </c>
      <c r="N33" s="6">
        <v>170240</v>
      </c>
      <c r="O33" s="6">
        <v>13362</v>
      </c>
      <c r="P33" s="6">
        <v>225156</v>
      </c>
      <c r="Q33" s="6">
        <v>17673</v>
      </c>
    </row>
    <row r="34" spans="1:17" ht="21" customHeight="1" x14ac:dyDescent="0.15">
      <c r="A34" s="6">
        <v>33</v>
      </c>
      <c r="B34" s="6">
        <v>29720</v>
      </c>
      <c r="C34" s="6">
        <v>2262</v>
      </c>
      <c r="D34" s="6">
        <v>41608</v>
      </c>
      <c r="E34" s="6">
        <v>3167</v>
      </c>
      <c r="F34" s="6">
        <v>59439</v>
      </c>
      <c r="G34" s="6">
        <v>4523</v>
      </c>
      <c r="H34" s="6">
        <v>89159</v>
      </c>
      <c r="I34" s="22">
        <v>6785</v>
      </c>
      <c r="J34" s="6">
        <v>124823</v>
      </c>
      <c r="K34" s="6">
        <v>9499</v>
      </c>
      <c r="L34" s="6">
        <v>154542</v>
      </c>
      <c r="M34" s="6">
        <v>11760</v>
      </c>
      <c r="N34" s="6">
        <v>184262</v>
      </c>
      <c r="O34" s="6">
        <v>14022</v>
      </c>
      <c r="P34" s="6">
        <v>243701</v>
      </c>
      <c r="Q34" s="6">
        <v>18545</v>
      </c>
    </row>
    <row r="35" spans="1:17" ht="21" customHeight="1" x14ac:dyDescent="0.15">
      <c r="A35" s="6">
        <v>34</v>
      </c>
      <c r="B35" s="6">
        <v>32089</v>
      </c>
      <c r="C35" s="6">
        <v>2369</v>
      </c>
      <c r="D35" s="6">
        <v>44925</v>
      </c>
      <c r="E35" s="6">
        <v>3317</v>
      </c>
      <c r="F35" s="6">
        <v>64179</v>
      </c>
      <c r="G35" s="6">
        <v>4740</v>
      </c>
      <c r="H35" s="6">
        <v>96268</v>
      </c>
      <c r="I35" s="22">
        <v>7109</v>
      </c>
      <c r="J35" s="6">
        <v>134775</v>
      </c>
      <c r="K35" s="6">
        <v>9952</v>
      </c>
      <c r="L35" s="6">
        <v>166864</v>
      </c>
      <c r="M35" s="6">
        <v>12322</v>
      </c>
      <c r="N35" s="6">
        <v>198954</v>
      </c>
      <c r="O35" s="6">
        <v>14692</v>
      </c>
      <c r="P35" s="6">
        <v>263132</v>
      </c>
      <c r="Q35" s="6">
        <v>19431</v>
      </c>
    </row>
    <row r="36" spans="1:17" ht="21" customHeight="1" x14ac:dyDescent="0.15">
      <c r="A36" s="6">
        <v>35</v>
      </c>
      <c r="B36" s="6">
        <v>34569</v>
      </c>
      <c r="C36" s="6">
        <v>2480</v>
      </c>
      <c r="D36" s="6">
        <v>48396</v>
      </c>
      <c r="E36" s="6">
        <v>3471</v>
      </c>
      <c r="F36" s="6">
        <v>69137</v>
      </c>
      <c r="G36" s="6">
        <v>4958</v>
      </c>
      <c r="H36" s="6">
        <v>103706</v>
      </c>
      <c r="I36" s="22">
        <v>7438</v>
      </c>
      <c r="J36" s="6">
        <v>145188</v>
      </c>
      <c r="K36" s="6">
        <v>10413</v>
      </c>
      <c r="L36" s="6">
        <v>179757</v>
      </c>
      <c r="M36" s="6">
        <v>12893</v>
      </c>
      <c r="N36" s="6">
        <v>214325</v>
      </c>
      <c r="O36" s="6">
        <v>15371</v>
      </c>
      <c r="P36" s="6">
        <v>283463</v>
      </c>
      <c r="Q36" s="6">
        <v>20331</v>
      </c>
    </row>
    <row r="37" spans="1:17" ht="21" customHeight="1" x14ac:dyDescent="0.15">
      <c r="A37" s="6">
        <v>36</v>
      </c>
      <c r="B37" s="6">
        <v>37159</v>
      </c>
      <c r="C37" s="6">
        <v>2590</v>
      </c>
      <c r="D37" s="6">
        <v>52023</v>
      </c>
      <c r="E37" s="6">
        <v>3627</v>
      </c>
      <c r="F37" s="6">
        <v>74319</v>
      </c>
      <c r="G37" s="6">
        <v>5182</v>
      </c>
      <c r="H37" s="6">
        <v>111478</v>
      </c>
      <c r="I37" s="22">
        <v>7772</v>
      </c>
      <c r="J37" s="6">
        <v>156069</v>
      </c>
      <c r="K37" s="6">
        <v>10881</v>
      </c>
      <c r="L37" s="6">
        <v>193228</v>
      </c>
      <c r="M37" s="6">
        <v>13471</v>
      </c>
      <c r="N37" s="6">
        <v>230388</v>
      </c>
      <c r="O37" s="6">
        <v>16063</v>
      </c>
      <c r="P37" s="6">
        <v>304706</v>
      </c>
      <c r="Q37" s="6">
        <v>21243</v>
      </c>
    </row>
    <row r="38" spans="1:17" ht="21" customHeight="1" x14ac:dyDescent="0.15">
      <c r="A38" s="6">
        <v>37</v>
      </c>
      <c r="B38" s="6">
        <v>39863</v>
      </c>
      <c r="C38" s="6">
        <v>2704</v>
      </c>
      <c r="D38" s="6">
        <v>55808</v>
      </c>
      <c r="E38" s="6">
        <v>3785</v>
      </c>
      <c r="F38" s="6">
        <v>79726</v>
      </c>
      <c r="G38" s="6">
        <v>5407</v>
      </c>
      <c r="H38" s="6">
        <v>119589</v>
      </c>
      <c r="I38" s="22">
        <v>8111</v>
      </c>
      <c r="J38" s="6">
        <v>167424</v>
      </c>
      <c r="K38" s="6">
        <v>11355</v>
      </c>
      <c r="L38" s="6">
        <v>207287</v>
      </c>
      <c r="M38" s="6">
        <v>14059</v>
      </c>
      <c r="N38" s="6">
        <v>247150</v>
      </c>
      <c r="O38" s="6">
        <v>16762</v>
      </c>
      <c r="P38" s="6">
        <v>326876</v>
      </c>
      <c r="Q38" s="6">
        <v>22170</v>
      </c>
    </row>
    <row r="39" spans="1:17" ht="21" customHeight="1" x14ac:dyDescent="0.15">
      <c r="A39" s="6">
        <v>38</v>
      </c>
      <c r="B39" s="6">
        <v>42681</v>
      </c>
      <c r="C39" s="6">
        <v>2818</v>
      </c>
      <c r="D39" s="6">
        <v>59753</v>
      </c>
      <c r="E39" s="6">
        <v>3945</v>
      </c>
      <c r="F39" s="6">
        <v>85362</v>
      </c>
      <c r="G39" s="6">
        <v>5636</v>
      </c>
      <c r="H39" s="6">
        <v>128043</v>
      </c>
      <c r="I39" s="22">
        <v>8454</v>
      </c>
      <c r="J39" s="6">
        <v>179260</v>
      </c>
      <c r="K39" s="6">
        <v>11836</v>
      </c>
      <c r="L39" s="6">
        <v>221941</v>
      </c>
      <c r="M39" s="6">
        <v>14654</v>
      </c>
      <c r="N39" s="6">
        <v>264622</v>
      </c>
      <c r="O39" s="6">
        <v>17472</v>
      </c>
      <c r="P39" s="6">
        <v>349984</v>
      </c>
      <c r="Q39" s="6">
        <v>23108</v>
      </c>
    </row>
    <row r="40" spans="1:17" ht="21" customHeight="1" x14ac:dyDescent="0.15">
      <c r="A40" s="6">
        <v>39</v>
      </c>
      <c r="B40" s="6">
        <v>45615</v>
      </c>
      <c r="C40" s="6">
        <v>2934</v>
      </c>
      <c r="D40" s="6">
        <v>63861</v>
      </c>
      <c r="E40" s="6">
        <v>4108</v>
      </c>
      <c r="F40" s="6">
        <v>91230</v>
      </c>
      <c r="G40" s="6">
        <v>5868</v>
      </c>
      <c r="H40" s="6">
        <v>136845</v>
      </c>
      <c r="I40" s="22">
        <v>8802</v>
      </c>
      <c r="J40" s="6">
        <v>191584</v>
      </c>
      <c r="K40" s="6">
        <v>12324</v>
      </c>
      <c r="L40" s="6">
        <v>237199</v>
      </c>
      <c r="M40" s="6">
        <v>15258</v>
      </c>
      <c r="N40" s="6">
        <v>282814</v>
      </c>
      <c r="O40" s="6">
        <v>18192</v>
      </c>
      <c r="P40" s="6">
        <v>374044</v>
      </c>
      <c r="Q40" s="6">
        <v>24060</v>
      </c>
    </row>
    <row r="41" spans="1:17" ht="21" customHeight="1" x14ac:dyDescent="0.15">
      <c r="A41" s="6">
        <v>40</v>
      </c>
      <c r="B41" s="6">
        <v>48667</v>
      </c>
      <c r="C41" s="6">
        <v>3052</v>
      </c>
      <c r="D41" s="6">
        <v>68134</v>
      </c>
      <c r="E41" s="6">
        <v>4273</v>
      </c>
      <c r="F41" s="6">
        <v>97334</v>
      </c>
      <c r="G41" s="6">
        <v>6104</v>
      </c>
      <c r="H41" s="6">
        <v>146001</v>
      </c>
      <c r="I41" s="22">
        <v>9156</v>
      </c>
      <c r="J41" s="6">
        <v>204401</v>
      </c>
      <c r="K41" s="6">
        <v>12817</v>
      </c>
      <c r="L41" s="6">
        <v>253068</v>
      </c>
      <c r="M41" s="6">
        <v>15869</v>
      </c>
      <c r="N41" s="6">
        <v>301735</v>
      </c>
      <c r="O41" s="6">
        <v>18921</v>
      </c>
      <c r="P41" s="6">
        <v>399069</v>
      </c>
      <c r="Q41" s="6">
        <v>25025</v>
      </c>
    </row>
    <row r="42" spans="1:17" ht="21" customHeight="1" x14ac:dyDescent="0.15">
      <c r="A42" s="6">
        <v>41</v>
      </c>
      <c r="B42" s="6">
        <v>51838</v>
      </c>
      <c r="C42" s="6">
        <v>3171</v>
      </c>
      <c r="D42" s="6">
        <v>72573</v>
      </c>
      <c r="E42" s="6">
        <v>4439</v>
      </c>
      <c r="F42" s="6">
        <v>103676</v>
      </c>
      <c r="G42" s="6">
        <v>6342</v>
      </c>
      <c r="H42" s="6">
        <v>155514</v>
      </c>
      <c r="I42" s="22">
        <v>9513</v>
      </c>
      <c r="J42" s="6">
        <v>217719</v>
      </c>
      <c r="K42" s="6">
        <v>13318</v>
      </c>
      <c r="L42" s="6">
        <v>269557</v>
      </c>
      <c r="M42" s="6">
        <v>16489</v>
      </c>
      <c r="N42" s="6">
        <v>321395</v>
      </c>
      <c r="O42" s="6">
        <v>19660</v>
      </c>
      <c r="P42" s="6">
        <v>425070</v>
      </c>
      <c r="Q42" s="6">
        <v>26001</v>
      </c>
    </row>
    <row r="43" spans="1:17" ht="21" customHeight="1" x14ac:dyDescent="0.15">
      <c r="A43" s="6">
        <v>42</v>
      </c>
      <c r="B43" s="6">
        <v>55129</v>
      </c>
      <c r="C43" s="6">
        <v>3291</v>
      </c>
      <c r="D43" s="6">
        <v>77181</v>
      </c>
      <c r="E43" s="6">
        <v>4608</v>
      </c>
      <c r="F43" s="6">
        <v>110259</v>
      </c>
      <c r="G43" s="6">
        <v>6583</v>
      </c>
      <c r="H43" s="6">
        <v>165388</v>
      </c>
      <c r="I43" s="22">
        <v>9874</v>
      </c>
      <c r="J43" s="6">
        <v>231543</v>
      </c>
      <c r="K43" s="6">
        <v>13824</v>
      </c>
      <c r="L43" s="6">
        <v>286673</v>
      </c>
      <c r="M43" s="6">
        <v>17116</v>
      </c>
      <c r="N43" s="6">
        <v>341802</v>
      </c>
      <c r="O43" s="6">
        <v>20407</v>
      </c>
      <c r="P43" s="6">
        <v>452061</v>
      </c>
      <c r="Q43" s="6">
        <v>26991</v>
      </c>
    </row>
    <row r="44" spans="1:17" ht="21" customHeight="1" x14ac:dyDescent="0.15">
      <c r="A44" s="6">
        <v>43</v>
      </c>
      <c r="B44" s="6">
        <v>58543</v>
      </c>
      <c r="C44" s="6">
        <v>3414</v>
      </c>
      <c r="D44" s="6">
        <v>81960</v>
      </c>
      <c r="E44" s="6">
        <v>4779</v>
      </c>
      <c r="F44" s="6">
        <v>117086</v>
      </c>
      <c r="G44" s="6">
        <v>6827</v>
      </c>
      <c r="H44" s="6">
        <v>175629</v>
      </c>
      <c r="I44" s="22">
        <v>10241</v>
      </c>
      <c r="J44" s="6">
        <v>245881</v>
      </c>
      <c r="K44" s="6">
        <v>14338</v>
      </c>
      <c r="L44" s="6">
        <v>304424</v>
      </c>
      <c r="M44" s="6">
        <v>17751</v>
      </c>
      <c r="N44" s="6">
        <v>362967</v>
      </c>
      <c r="O44" s="6">
        <v>21165</v>
      </c>
      <c r="P44" s="6">
        <v>480053</v>
      </c>
      <c r="Q44" s="6">
        <v>27992</v>
      </c>
    </row>
    <row r="45" spans="1:17" ht="21" customHeight="1" x14ac:dyDescent="0.15">
      <c r="A45" s="6">
        <v>44</v>
      </c>
      <c r="B45" s="6">
        <v>62080</v>
      </c>
      <c r="C45" s="6">
        <v>3537</v>
      </c>
      <c r="D45" s="6">
        <v>86912</v>
      </c>
      <c r="E45" s="6">
        <v>4952</v>
      </c>
      <c r="F45" s="6">
        <v>124160</v>
      </c>
      <c r="G45" s="6">
        <v>7074</v>
      </c>
      <c r="H45" s="6">
        <v>186241</v>
      </c>
      <c r="I45" s="22">
        <v>10612</v>
      </c>
      <c r="J45" s="6">
        <v>260737</v>
      </c>
      <c r="K45" s="6">
        <v>14856</v>
      </c>
      <c r="L45" s="6">
        <v>322817</v>
      </c>
      <c r="M45" s="6">
        <v>18393</v>
      </c>
      <c r="N45" s="6">
        <v>384897</v>
      </c>
      <c r="O45" s="6">
        <v>21930</v>
      </c>
      <c r="P45" s="6">
        <v>509058</v>
      </c>
      <c r="Q45" s="6">
        <v>29005</v>
      </c>
    </row>
    <row r="46" spans="1:17" ht="21" customHeight="1" x14ac:dyDescent="0.15">
      <c r="A46" s="6">
        <v>45</v>
      </c>
      <c r="B46" s="6">
        <v>65742</v>
      </c>
      <c r="C46" s="6">
        <v>3662</v>
      </c>
      <c r="D46" s="6">
        <v>92039</v>
      </c>
      <c r="E46" s="6">
        <v>5127</v>
      </c>
      <c r="F46" s="6">
        <v>131485</v>
      </c>
      <c r="G46" s="6">
        <v>7325</v>
      </c>
      <c r="H46" s="6">
        <v>197227</v>
      </c>
      <c r="I46" s="22">
        <v>10986</v>
      </c>
      <c r="J46" s="6">
        <v>276118</v>
      </c>
      <c r="K46" s="6">
        <v>15381</v>
      </c>
      <c r="L46" s="6">
        <v>341861</v>
      </c>
      <c r="M46" s="6">
        <v>19044</v>
      </c>
      <c r="N46" s="6">
        <v>407603</v>
      </c>
      <c r="O46" s="6">
        <v>22706</v>
      </c>
      <c r="P46" s="6">
        <v>539088</v>
      </c>
      <c r="Q46" s="6">
        <v>30030</v>
      </c>
    </row>
    <row r="47" spans="1:17" ht="21" customHeight="1" x14ac:dyDescent="0.15">
      <c r="A47" s="6">
        <v>46</v>
      </c>
      <c r="B47" s="6">
        <v>69531</v>
      </c>
      <c r="C47" s="6">
        <v>3789</v>
      </c>
      <c r="D47" s="6">
        <v>97344</v>
      </c>
      <c r="E47" s="6">
        <v>5305</v>
      </c>
      <c r="F47" s="6">
        <v>139062</v>
      </c>
      <c r="G47" s="6">
        <v>7577</v>
      </c>
      <c r="H47" s="6">
        <v>208593</v>
      </c>
      <c r="I47" s="22">
        <v>11366</v>
      </c>
      <c r="J47" s="6">
        <v>292031</v>
      </c>
      <c r="K47" s="6">
        <v>15913</v>
      </c>
      <c r="L47" s="6">
        <v>361562</v>
      </c>
      <c r="M47" s="6">
        <v>19701</v>
      </c>
      <c r="N47" s="6">
        <v>431093</v>
      </c>
      <c r="O47" s="6">
        <v>23490</v>
      </c>
      <c r="P47" s="6">
        <v>570155</v>
      </c>
      <c r="Q47" s="6">
        <v>31067</v>
      </c>
    </row>
    <row r="48" spans="1:17" ht="21" customHeight="1" x14ac:dyDescent="0.15">
      <c r="A48" s="6">
        <v>47</v>
      </c>
      <c r="B48" s="6">
        <v>73448</v>
      </c>
      <c r="C48" s="6">
        <v>3917</v>
      </c>
      <c r="D48" s="6">
        <v>102827</v>
      </c>
      <c r="E48" s="6">
        <v>5483</v>
      </c>
      <c r="F48" s="6">
        <v>146895</v>
      </c>
      <c r="G48" s="6">
        <v>7833</v>
      </c>
      <c r="H48" s="6">
        <v>220343</v>
      </c>
      <c r="I48" s="22">
        <v>11750</v>
      </c>
      <c r="J48" s="6">
        <v>308480</v>
      </c>
      <c r="K48" s="6">
        <v>16449</v>
      </c>
      <c r="L48" s="6">
        <v>381928</v>
      </c>
      <c r="M48" s="6">
        <v>20366</v>
      </c>
      <c r="N48" s="6">
        <v>455375</v>
      </c>
      <c r="O48" s="6">
        <v>24282</v>
      </c>
      <c r="P48" s="6">
        <v>602271</v>
      </c>
      <c r="Q48" s="6">
        <v>32116</v>
      </c>
    </row>
    <row r="49" spans="1:17" ht="21" customHeight="1" x14ac:dyDescent="0.15">
      <c r="A49" s="6">
        <v>48</v>
      </c>
      <c r="B49" s="6">
        <v>77493</v>
      </c>
      <c r="C49" s="6">
        <v>4045</v>
      </c>
      <c r="D49" s="6">
        <v>108491</v>
      </c>
      <c r="E49" s="6">
        <v>5664</v>
      </c>
      <c r="F49" s="6">
        <v>154987</v>
      </c>
      <c r="G49" s="6">
        <v>8092</v>
      </c>
      <c r="H49" s="6">
        <v>232480</v>
      </c>
      <c r="I49" s="22">
        <v>12137</v>
      </c>
      <c r="J49" s="6">
        <v>325472</v>
      </c>
      <c r="K49" s="6">
        <v>16992</v>
      </c>
      <c r="L49" s="6">
        <v>402966</v>
      </c>
      <c r="M49" s="6">
        <v>21038</v>
      </c>
      <c r="N49" s="6">
        <v>480459</v>
      </c>
      <c r="O49" s="6">
        <v>25084</v>
      </c>
      <c r="P49" s="6">
        <v>635446</v>
      </c>
      <c r="Q49" s="6">
        <v>33175</v>
      </c>
    </row>
    <row r="50" spans="1:17" ht="21" customHeight="1" x14ac:dyDescent="0.15">
      <c r="A50" s="6">
        <v>49</v>
      </c>
      <c r="B50" s="6">
        <v>81670</v>
      </c>
      <c r="C50" s="6">
        <v>4177</v>
      </c>
      <c r="D50" s="6">
        <v>114338</v>
      </c>
      <c r="E50" s="6">
        <v>5847</v>
      </c>
      <c r="F50" s="6">
        <v>163340</v>
      </c>
      <c r="G50" s="6">
        <v>8353</v>
      </c>
      <c r="H50" s="6">
        <v>245009</v>
      </c>
      <c r="I50" s="22">
        <v>12529</v>
      </c>
      <c r="J50" s="6">
        <v>343013</v>
      </c>
      <c r="K50" s="6">
        <v>17541</v>
      </c>
      <c r="L50" s="6">
        <v>424683</v>
      </c>
      <c r="M50" s="6">
        <v>21717</v>
      </c>
      <c r="N50" s="6">
        <v>506352</v>
      </c>
      <c r="O50" s="6">
        <v>25893</v>
      </c>
      <c r="P50" s="6">
        <v>669692</v>
      </c>
      <c r="Q50" s="6">
        <v>34246</v>
      </c>
    </row>
    <row r="51" spans="1:17" ht="21" customHeight="1" x14ac:dyDescent="0.15">
      <c r="A51" s="6">
        <v>50</v>
      </c>
      <c r="B51" s="6">
        <v>85978</v>
      </c>
      <c r="C51" s="6">
        <v>4308</v>
      </c>
      <c r="D51" s="6">
        <v>120369</v>
      </c>
      <c r="E51" s="6">
        <v>6031</v>
      </c>
      <c r="F51" s="6">
        <v>171956</v>
      </c>
      <c r="G51" s="6">
        <v>8616</v>
      </c>
      <c r="H51" s="6">
        <v>257934</v>
      </c>
      <c r="I51" s="22">
        <v>12925</v>
      </c>
      <c r="J51" s="6">
        <v>361108</v>
      </c>
      <c r="K51" s="6">
        <v>18095</v>
      </c>
      <c r="L51" s="6">
        <v>447086</v>
      </c>
      <c r="M51" s="6">
        <v>22403</v>
      </c>
      <c r="N51" s="6">
        <v>533064</v>
      </c>
      <c r="O51" s="6">
        <v>26712</v>
      </c>
      <c r="P51" s="6">
        <v>705021</v>
      </c>
      <c r="Q51" s="6">
        <v>35329</v>
      </c>
    </row>
    <row r="52" spans="1:17" ht="21" customHeight="1" x14ac:dyDescent="0.15">
      <c r="A52" s="6">
        <v>51</v>
      </c>
      <c r="B52" s="6">
        <v>90420</v>
      </c>
      <c r="C52" s="6">
        <v>4442</v>
      </c>
      <c r="D52" s="6">
        <v>126588</v>
      </c>
      <c r="E52" s="6">
        <v>6219</v>
      </c>
      <c r="F52" s="6">
        <v>180840</v>
      </c>
      <c r="G52" s="6">
        <v>8884</v>
      </c>
      <c r="H52" s="6">
        <v>271259</v>
      </c>
      <c r="I52" s="22">
        <v>13325</v>
      </c>
      <c r="J52" s="6">
        <v>379763</v>
      </c>
      <c r="K52" s="6">
        <v>18655</v>
      </c>
      <c r="L52" s="6">
        <v>470183</v>
      </c>
      <c r="M52" s="6">
        <v>23097</v>
      </c>
      <c r="N52" s="6">
        <v>560603</v>
      </c>
      <c r="O52" s="6">
        <v>27539</v>
      </c>
      <c r="P52" s="6">
        <v>741443</v>
      </c>
      <c r="Q52" s="6">
        <v>36422</v>
      </c>
    </row>
    <row r="53" spans="1:17" ht="21" customHeight="1" x14ac:dyDescent="0.15">
      <c r="A53" s="6">
        <v>52</v>
      </c>
      <c r="B53" s="6">
        <v>94996</v>
      </c>
      <c r="C53" s="6">
        <v>4576</v>
      </c>
      <c r="D53" s="6">
        <v>132995</v>
      </c>
      <c r="E53" s="6">
        <v>6407</v>
      </c>
      <c r="F53" s="6">
        <v>189992</v>
      </c>
      <c r="G53" s="6">
        <v>9152</v>
      </c>
      <c r="H53" s="6">
        <v>284989</v>
      </c>
      <c r="I53" s="22">
        <v>13730</v>
      </c>
      <c r="J53" s="6">
        <v>398984</v>
      </c>
      <c r="K53" s="6">
        <v>19221</v>
      </c>
      <c r="L53" s="6">
        <v>493980</v>
      </c>
      <c r="M53" s="6">
        <v>23797</v>
      </c>
      <c r="N53" s="6">
        <v>588976</v>
      </c>
      <c r="O53" s="6">
        <v>28373</v>
      </c>
      <c r="P53" s="6">
        <v>778969</v>
      </c>
      <c r="Q53" s="6">
        <v>37526</v>
      </c>
    </row>
    <row r="54" spans="1:17" ht="21" customHeight="1" x14ac:dyDescent="0.15">
      <c r="A54" s="6">
        <v>53</v>
      </c>
      <c r="B54" s="6">
        <v>99709</v>
      </c>
      <c r="C54" s="6">
        <v>4713</v>
      </c>
      <c r="D54" s="6">
        <v>139592</v>
      </c>
      <c r="E54" s="6">
        <v>6597</v>
      </c>
      <c r="F54" s="6">
        <v>199417</v>
      </c>
      <c r="G54" s="6">
        <v>9425</v>
      </c>
      <c r="H54" s="6">
        <v>299126</v>
      </c>
      <c r="I54" s="22">
        <v>14137</v>
      </c>
      <c r="J54" s="6">
        <v>418776</v>
      </c>
      <c r="K54" s="6">
        <v>19792</v>
      </c>
      <c r="L54" s="6">
        <v>518485</v>
      </c>
      <c r="M54" s="6">
        <v>24505</v>
      </c>
      <c r="N54" s="6">
        <v>618193</v>
      </c>
      <c r="O54" s="6">
        <v>29217</v>
      </c>
      <c r="P54" s="6">
        <v>817610</v>
      </c>
      <c r="Q54" s="6">
        <v>38641</v>
      </c>
    </row>
    <row r="55" spans="1:17" ht="21" customHeight="1" x14ac:dyDescent="0.15">
      <c r="A55" s="6">
        <v>54</v>
      </c>
      <c r="B55" s="6">
        <v>104558</v>
      </c>
      <c r="C55" s="6">
        <v>4849</v>
      </c>
      <c r="D55" s="6">
        <v>146382</v>
      </c>
      <c r="E55" s="6">
        <v>6790</v>
      </c>
      <c r="F55" s="6">
        <v>209116</v>
      </c>
      <c r="G55" s="6">
        <v>9699</v>
      </c>
      <c r="H55" s="6">
        <v>313675</v>
      </c>
      <c r="I55" s="22">
        <v>14549</v>
      </c>
      <c r="J55" s="6">
        <v>439145</v>
      </c>
      <c r="K55" s="6">
        <v>20369</v>
      </c>
      <c r="L55" s="6">
        <v>543703</v>
      </c>
      <c r="M55" s="6">
        <v>25218</v>
      </c>
      <c r="N55" s="6">
        <v>648261</v>
      </c>
      <c r="O55" s="6">
        <v>30068</v>
      </c>
      <c r="P55" s="6">
        <v>857378</v>
      </c>
      <c r="Q55" s="6">
        <v>39768</v>
      </c>
    </row>
    <row r="56" spans="1:17" ht="21" customHeight="1" x14ac:dyDescent="0.15">
      <c r="A56" s="6">
        <v>55</v>
      </c>
      <c r="B56" s="6">
        <v>109547</v>
      </c>
      <c r="C56" s="6">
        <v>4989</v>
      </c>
      <c r="D56" s="6">
        <v>153365</v>
      </c>
      <c r="E56" s="6">
        <v>6983</v>
      </c>
      <c r="F56" s="6">
        <v>219093</v>
      </c>
      <c r="G56" s="6">
        <v>9977</v>
      </c>
      <c r="H56" s="6">
        <v>328640</v>
      </c>
      <c r="I56" s="22">
        <v>14965</v>
      </c>
      <c r="J56" s="6">
        <v>460095</v>
      </c>
      <c r="K56" s="6">
        <v>20950</v>
      </c>
      <c r="L56" s="6">
        <v>569642</v>
      </c>
      <c r="M56" s="6">
        <v>25939</v>
      </c>
      <c r="N56" s="6">
        <v>679188</v>
      </c>
      <c r="O56" s="6">
        <v>30927</v>
      </c>
      <c r="P56" s="6">
        <v>898281</v>
      </c>
      <c r="Q56" s="6">
        <v>40903</v>
      </c>
    </row>
    <row r="57" spans="1:17" ht="21" customHeight="1" x14ac:dyDescent="0.15">
      <c r="A57" s="6">
        <v>56</v>
      </c>
      <c r="B57" s="6">
        <v>114675</v>
      </c>
      <c r="C57" s="6">
        <v>5128</v>
      </c>
      <c r="D57" s="6">
        <v>160545</v>
      </c>
      <c r="E57" s="6">
        <v>7180</v>
      </c>
      <c r="F57" s="6">
        <v>229349</v>
      </c>
      <c r="G57" s="6">
        <v>10256</v>
      </c>
      <c r="H57" s="6">
        <v>344024</v>
      </c>
      <c r="I57" s="22">
        <v>15384</v>
      </c>
      <c r="J57" s="6">
        <v>481634</v>
      </c>
      <c r="K57" s="6">
        <v>21539</v>
      </c>
      <c r="L57" s="6">
        <v>596308</v>
      </c>
      <c r="M57" s="6">
        <v>26666</v>
      </c>
      <c r="N57" s="6">
        <v>710983</v>
      </c>
      <c r="O57" s="6">
        <v>31795</v>
      </c>
      <c r="P57" s="6">
        <v>940333</v>
      </c>
      <c r="Q57" s="6">
        <v>42052</v>
      </c>
    </row>
    <row r="58" spans="1:17" ht="21" customHeight="1" x14ac:dyDescent="0.15">
      <c r="A58" s="6">
        <v>57</v>
      </c>
      <c r="B58" s="6">
        <v>119944</v>
      </c>
      <c r="C58" s="6">
        <v>5269</v>
      </c>
      <c r="D58" s="6">
        <v>167922</v>
      </c>
      <c r="E58" s="6">
        <v>7377</v>
      </c>
      <c r="F58" s="6">
        <v>239888</v>
      </c>
      <c r="G58" s="6">
        <v>10539</v>
      </c>
      <c r="H58" s="6">
        <v>359832</v>
      </c>
      <c r="I58" s="22">
        <v>15808</v>
      </c>
      <c r="J58" s="6">
        <v>503765</v>
      </c>
      <c r="K58" s="6">
        <v>22131</v>
      </c>
      <c r="L58" s="6">
        <v>623709</v>
      </c>
      <c r="M58" s="6">
        <v>27401</v>
      </c>
      <c r="N58" s="6">
        <v>743653</v>
      </c>
      <c r="O58" s="6">
        <v>32670</v>
      </c>
      <c r="P58" s="6">
        <v>983541</v>
      </c>
      <c r="Q58" s="6">
        <v>43208</v>
      </c>
    </row>
    <row r="59" spans="1:17" ht="21" customHeight="1" x14ac:dyDescent="0.15">
      <c r="A59" s="6">
        <v>58</v>
      </c>
      <c r="B59" s="6">
        <v>125356</v>
      </c>
      <c r="C59" s="6">
        <v>5412</v>
      </c>
      <c r="D59" s="6">
        <v>175498</v>
      </c>
      <c r="E59" s="6">
        <v>7576</v>
      </c>
      <c r="F59" s="6">
        <v>250712</v>
      </c>
      <c r="G59" s="6">
        <v>10824</v>
      </c>
      <c r="H59" s="6">
        <v>376067</v>
      </c>
      <c r="I59" s="22">
        <v>16235</v>
      </c>
      <c r="J59" s="6">
        <v>526494</v>
      </c>
      <c r="K59" s="6">
        <v>22729</v>
      </c>
      <c r="L59" s="6">
        <v>651850</v>
      </c>
      <c r="M59" s="6">
        <v>28141</v>
      </c>
      <c r="N59" s="6">
        <v>777206</v>
      </c>
      <c r="O59" s="6">
        <v>33553</v>
      </c>
      <c r="P59" s="6">
        <v>1027917</v>
      </c>
      <c r="Q59" s="6">
        <v>44376</v>
      </c>
    </row>
    <row r="60" spans="1:17" ht="21" customHeight="1" x14ac:dyDescent="0.15">
      <c r="A60" s="6">
        <v>59</v>
      </c>
      <c r="B60" s="6">
        <v>130911</v>
      </c>
      <c r="C60" s="6">
        <v>5555</v>
      </c>
      <c r="D60" s="6">
        <v>183276</v>
      </c>
      <c r="E60" s="6">
        <v>7778</v>
      </c>
      <c r="F60" s="6">
        <v>261822</v>
      </c>
      <c r="G60" s="6">
        <v>11110</v>
      </c>
      <c r="H60" s="6">
        <v>392734</v>
      </c>
      <c r="I60" s="22">
        <v>16667</v>
      </c>
      <c r="J60" s="6">
        <v>549827</v>
      </c>
      <c r="K60" s="6">
        <v>23333</v>
      </c>
      <c r="L60" s="6">
        <v>680738</v>
      </c>
      <c r="M60" s="6">
        <v>28888</v>
      </c>
      <c r="N60" s="6">
        <v>811650</v>
      </c>
      <c r="O60" s="6">
        <v>34444</v>
      </c>
      <c r="P60" s="6">
        <v>1073472</v>
      </c>
      <c r="Q60" s="6">
        <v>45555</v>
      </c>
    </row>
    <row r="61" spans="1:17" ht="21" customHeight="1" x14ac:dyDescent="0.15">
      <c r="A61" s="6">
        <v>60</v>
      </c>
      <c r="B61" s="6">
        <v>136612</v>
      </c>
      <c r="C61" s="6">
        <v>5701</v>
      </c>
      <c r="D61" s="6">
        <v>191256</v>
      </c>
      <c r="E61" s="6">
        <v>7980</v>
      </c>
      <c r="F61" s="6">
        <v>273223</v>
      </c>
      <c r="G61" s="6">
        <v>11401</v>
      </c>
      <c r="H61" s="6">
        <v>409835</v>
      </c>
      <c r="I61" s="22">
        <v>17101</v>
      </c>
      <c r="J61" s="6">
        <v>573769</v>
      </c>
      <c r="K61" s="6">
        <v>23942</v>
      </c>
      <c r="L61" s="6">
        <v>710380</v>
      </c>
      <c r="M61" s="6">
        <v>29642</v>
      </c>
      <c r="N61" s="6">
        <v>846992</v>
      </c>
      <c r="O61" s="6">
        <v>35342</v>
      </c>
      <c r="P61" s="6">
        <v>1120215</v>
      </c>
      <c r="Q61" s="6">
        <v>46743</v>
      </c>
    </row>
    <row r="62" spans="1:17" ht="21" customHeight="1" x14ac:dyDescent="0.15">
      <c r="A62" s="6">
        <v>61</v>
      </c>
      <c r="B62" s="6">
        <v>142458</v>
      </c>
      <c r="C62" s="6">
        <v>5846</v>
      </c>
      <c r="D62" s="6">
        <v>199441</v>
      </c>
      <c r="E62" s="6">
        <v>8185</v>
      </c>
      <c r="F62" s="6">
        <v>284916</v>
      </c>
      <c r="G62" s="6">
        <v>11693</v>
      </c>
      <c r="H62" s="6">
        <v>427374</v>
      </c>
      <c r="I62" s="22">
        <v>17539</v>
      </c>
      <c r="J62" s="6">
        <v>598324</v>
      </c>
      <c r="K62" s="6">
        <v>24555</v>
      </c>
      <c r="L62" s="6">
        <v>740782</v>
      </c>
      <c r="M62" s="6">
        <v>30402</v>
      </c>
      <c r="N62" s="6">
        <v>883240</v>
      </c>
      <c r="O62" s="6">
        <v>36248</v>
      </c>
      <c r="P62" s="6">
        <v>1168156</v>
      </c>
      <c r="Q62" s="6">
        <v>47941</v>
      </c>
    </row>
    <row r="63" spans="1:17" ht="21" customHeight="1" x14ac:dyDescent="0.15">
      <c r="A63" s="6">
        <v>62</v>
      </c>
      <c r="B63" s="6">
        <v>148452</v>
      </c>
      <c r="C63" s="6">
        <v>5994</v>
      </c>
      <c r="D63" s="6">
        <v>207833</v>
      </c>
      <c r="E63" s="6">
        <v>8392</v>
      </c>
      <c r="F63" s="6">
        <v>296904</v>
      </c>
      <c r="G63" s="6">
        <v>11988</v>
      </c>
      <c r="H63" s="6">
        <v>445356</v>
      </c>
      <c r="I63" s="22">
        <v>17982</v>
      </c>
      <c r="J63" s="6">
        <v>623498</v>
      </c>
      <c r="K63" s="6">
        <v>25174</v>
      </c>
      <c r="L63" s="6">
        <v>771950</v>
      </c>
      <c r="M63" s="6">
        <v>31168</v>
      </c>
      <c r="N63" s="6">
        <v>920402</v>
      </c>
      <c r="O63" s="6">
        <v>37162</v>
      </c>
      <c r="P63" s="6">
        <v>1217306</v>
      </c>
      <c r="Q63" s="6">
        <v>49150</v>
      </c>
    </row>
    <row r="64" spans="1:17" ht="21" customHeight="1" x14ac:dyDescent="0.15">
      <c r="A64" s="6">
        <v>63</v>
      </c>
      <c r="B64" s="6">
        <v>154594</v>
      </c>
      <c r="C64" s="6">
        <v>6142</v>
      </c>
      <c r="D64" s="6">
        <v>216432</v>
      </c>
      <c r="E64" s="6">
        <v>8599</v>
      </c>
      <c r="F64" s="6">
        <v>309189</v>
      </c>
      <c r="G64" s="6">
        <v>12285</v>
      </c>
      <c r="H64" s="6">
        <v>463783</v>
      </c>
      <c r="I64" s="22">
        <v>18427</v>
      </c>
      <c r="J64" s="6">
        <v>649296</v>
      </c>
      <c r="K64" s="6">
        <v>25798</v>
      </c>
      <c r="L64" s="6">
        <v>803890</v>
      </c>
      <c r="M64" s="6">
        <v>31940</v>
      </c>
      <c r="N64" s="6">
        <v>958485</v>
      </c>
      <c r="O64" s="6">
        <v>38083</v>
      </c>
      <c r="P64" s="6">
        <v>1267673</v>
      </c>
      <c r="Q64" s="6">
        <v>50367</v>
      </c>
    </row>
    <row r="65" spans="1:17" ht="21" customHeight="1" x14ac:dyDescent="0.15">
      <c r="A65" s="6">
        <v>64</v>
      </c>
      <c r="B65" s="6">
        <v>160886</v>
      </c>
      <c r="C65" s="6">
        <v>6292</v>
      </c>
      <c r="D65" s="6">
        <v>225241</v>
      </c>
      <c r="E65" s="6">
        <v>8809</v>
      </c>
      <c r="F65" s="6">
        <v>321773</v>
      </c>
      <c r="G65" s="6">
        <v>12584</v>
      </c>
      <c r="H65" s="6">
        <v>482659</v>
      </c>
      <c r="I65" s="22">
        <v>18876</v>
      </c>
      <c r="J65" s="6">
        <v>675723</v>
      </c>
      <c r="K65" s="6">
        <v>26427</v>
      </c>
      <c r="L65" s="6">
        <v>836610</v>
      </c>
      <c r="M65" s="6">
        <v>32720</v>
      </c>
      <c r="N65" s="6">
        <v>997496</v>
      </c>
      <c r="O65" s="6">
        <v>39011</v>
      </c>
      <c r="P65" s="6">
        <v>1319269</v>
      </c>
      <c r="Q65" s="6">
        <v>51596</v>
      </c>
    </row>
    <row r="66" spans="1:17" ht="21" customHeight="1" x14ac:dyDescent="0.15">
      <c r="A66" s="6">
        <v>65</v>
      </c>
      <c r="B66" s="6">
        <v>167330</v>
      </c>
      <c r="C66" s="6">
        <v>6444</v>
      </c>
      <c r="D66" s="6">
        <v>234261</v>
      </c>
      <c r="E66" s="6">
        <v>9020</v>
      </c>
      <c r="F66" s="6">
        <v>334659</v>
      </c>
      <c r="G66" s="6">
        <v>12886</v>
      </c>
      <c r="H66" s="6">
        <v>501989</v>
      </c>
      <c r="I66" s="22">
        <v>19330</v>
      </c>
      <c r="J66" s="6">
        <v>702784</v>
      </c>
      <c r="K66" s="6">
        <v>27061</v>
      </c>
      <c r="L66" s="6">
        <v>870114</v>
      </c>
      <c r="M66" s="6">
        <v>33504</v>
      </c>
      <c r="N66" s="6">
        <v>1037444</v>
      </c>
      <c r="O66" s="6">
        <v>39948</v>
      </c>
      <c r="P66" s="6">
        <v>1372103</v>
      </c>
      <c r="Q66" s="6">
        <v>52834</v>
      </c>
    </row>
    <row r="67" spans="1:17" ht="21" customHeight="1" x14ac:dyDescent="0.15">
      <c r="A67" s="6">
        <v>66</v>
      </c>
      <c r="B67" s="6">
        <v>173925</v>
      </c>
      <c r="C67" s="6">
        <v>6595</v>
      </c>
      <c r="D67" s="6">
        <v>243495</v>
      </c>
      <c r="E67" s="6">
        <v>9234</v>
      </c>
      <c r="F67" s="6">
        <v>347850</v>
      </c>
      <c r="G67" s="6">
        <v>13191</v>
      </c>
      <c r="H67" s="6">
        <v>521775</v>
      </c>
      <c r="I67" s="22">
        <v>19786</v>
      </c>
      <c r="J67" s="6">
        <v>730484</v>
      </c>
      <c r="K67" s="6">
        <v>27700</v>
      </c>
      <c r="L67" s="6">
        <v>904409</v>
      </c>
      <c r="M67" s="6">
        <v>34295</v>
      </c>
      <c r="N67" s="6">
        <v>1078334</v>
      </c>
      <c r="O67" s="6">
        <v>40890</v>
      </c>
      <c r="P67" s="6">
        <v>1426184</v>
      </c>
      <c r="Q67" s="6">
        <v>54081</v>
      </c>
    </row>
    <row r="68" spans="1:17" ht="21" customHeight="1" x14ac:dyDescent="0.15">
      <c r="A68" s="6">
        <v>67</v>
      </c>
      <c r="B68" s="6">
        <v>180673</v>
      </c>
      <c r="C68" s="6">
        <v>6748</v>
      </c>
      <c r="D68" s="6">
        <v>252943</v>
      </c>
      <c r="E68" s="6">
        <v>9448</v>
      </c>
      <c r="F68" s="6">
        <v>361347</v>
      </c>
      <c r="G68" s="6">
        <v>13497</v>
      </c>
      <c r="H68" s="6">
        <v>542020</v>
      </c>
      <c r="I68" s="22">
        <v>20245</v>
      </c>
      <c r="J68" s="6">
        <v>758828</v>
      </c>
      <c r="K68" s="6">
        <v>28344</v>
      </c>
      <c r="L68" s="6">
        <v>939502</v>
      </c>
      <c r="M68" s="6">
        <v>35093</v>
      </c>
      <c r="N68" s="6">
        <v>1120175</v>
      </c>
      <c r="O68" s="6">
        <v>41841</v>
      </c>
      <c r="P68" s="6">
        <v>1481522</v>
      </c>
      <c r="Q68" s="6">
        <v>55338</v>
      </c>
    </row>
    <row r="69" spans="1:17" ht="21" customHeight="1" x14ac:dyDescent="0.15">
      <c r="A69" s="6">
        <v>68</v>
      </c>
      <c r="B69" s="6">
        <v>187576</v>
      </c>
      <c r="C69" s="6">
        <v>6903</v>
      </c>
      <c r="D69" s="6">
        <v>262607</v>
      </c>
      <c r="E69" s="6">
        <v>9664</v>
      </c>
      <c r="F69" s="6">
        <v>375153</v>
      </c>
      <c r="G69" s="6">
        <v>13806</v>
      </c>
      <c r="H69" s="6">
        <v>562729</v>
      </c>
      <c r="I69" s="22">
        <v>20709</v>
      </c>
      <c r="J69" s="6">
        <v>787821</v>
      </c>
      <c r="K69" s="6">
        <v>28993</v>
      </c>
      <c r="L69" s="6">
        <v>975397</v>
      </c>
      <c r="M69" s="6">
        <v>35895</v>
      </c>
      <c r="N69" s="6">
        <v>1162974</v>
      </c>
      <c r="O69" s="6">
        <v>42799</v>
      </c>
      <c r="P69" s="6">
        <v>1538127</v>
      </c>
      <c r="Q69" s="6">
        <v>56605</v>
      </c>
    </row>
    <row r="70" spans="1:17" ht="21" customHeight="1" x14ac:dyDescent="0.15">
      <c r="A70" s="6">
        <v>69</v>
      </c>
      <c r="B70" s="6">
        <v>194635</v>
      </c>
      <c r="C70" s="6">
        <v>7059</v>
      </c>
      <c r="D70" s="6">
        <v>272489</v>
      </c>
      <c r="E70" s="6">
        <v>9882</v>
      </c>
      <c r="F70" s="6">
        <v>389270</v>
      </c>
      <c r="G70" s="6">
        <v>14117</v>
      </c>
      <c r="H70" s="6">
        <v>583905</v>
      </c>
      <c r="I70" s="22">
        <v>21176</v>
      </c>
      <c r="J70" s="6">
        <v>817467</v>
      </c>
      <c r="K70" s="6">
        <v>29646</v>
      </c>
      <c r="L70" s="6">
        <v>1012102</v>
      </c>
      <c r="M70" s="6">
        <v>36705</v>
      </c>
      <c r="N70" s="6">
        <v>1206737</v>
      </c>
      <c r="O70" s="6">
        <v>43763</v>
      </c>
      <c r="P70" s="6">
        <v>1596007</v>
      </c>
      <c r="Q70" s="6">
        <v>57880</v>
      </c>
    </row>
    <row r="71" spans="1:17" ht="21" customHeight="1" x14ac:dyDescent="0.15">
      <c r="A71" s="6">
        <v>70</v>
      </c>
      <c r="B71" s="6">
        <v>201850</v>
      </c>
      <c r="C71" s="6">
        <v>7215</v>
      </c>
      <c r="D71" s="6">
        <v>282591</v>
      </c>
      <c r="E71" s="6">
        <v>10102</v>
      </c>
      <c r="F71" s="6">
        <v>403701</v>
      </c>
      <c r="G71" s="6">
        <v>14431</v>
      </c>
      <c r="H71" s="6">
        <v>605551</v>
      </c>
      <c r="I71" s="22">
        <v>21646</v>
      </c>
      <c r="J71" s="6">
        <v>847772</v>
      </c>
      <c r="K71" s="6">
        <v>30305</v>
      </c>
      <c r="L71" s="6">
        <v>1049622</v>
      </c>
      <c r="M71" s="6">
        <v>37520</v>
      </c>
      <c r="N71" s="6">
        <v>1251473</v>
      </c>
      <c r="O71" s="6">
        <v>44736</v>
      </c>
      <c r="P71" s="6">
        <v>1655173</v>
      </c>
      <c r="Q71" s="6">
        <v>59166</v>
      </c>
    </row>
    <row r="72" spans="1:17" ht="21" customHeight="1" x14ac:dyDescent="0.15">
      <c r="A72" s="6">
        <v>71</v>
      </c>
      <c r="B72" s="6">
        <v>209224</v>
      </c>
      <c r="C72" s="6">
        <v>7374</v>
      </c>
      <c r="D72" s="6">
        <v>292913</v>
      </c>
      <c r="E72" s="6">
        <v>10322</v>
      </c>
      <c r="F72" s="6">
        <v>418447</v>
      </c>
      <c r="G72" s="6">
        <v>14746</v>
      </c>
      <c r="H72" s="6">
        <v>627671</v>
      </c>
      <c r="I72" s="22">
        <v>22120</v>
      </c>
      <c r="J72" s="6">
        <v>878739</v>
      </c>
      <c r="K72" s="6">
        <v>30967</v>
      </c>
      <c r="L72" s="6">
        <v>1087963</v>
      </c>
      <c r="M72" s="6">
        <v>38341</v>
      </c>
      <c r="N72" s="6">
        <v>1297187</v>
      </c>
      <c r="O72" s="6">
        <v>45714</v>
      </c>
      <c r="P72" s="6">
        <v>1715634</v>
      </c>
      <c r="Q72" s="6">
        <v>60461</v>
      </c>
    </row>
    <row r="73" spans="1:17" ht="21" customHeight="1" x14ac:dyDescent="0.15">
      <c r="A73" s="6">
        <v>72</v>
      </c>
      <c r="B73" s="6">
        <v>216756</v>
      </c>
      <c r="C73" s="6">
        <v>7532</v>
      </c>
      <c r="D73" s="6">
        <v>303458</v>
      </c>
      <c r="E73" s="6">
        <v>10545</v>
      </c>
      <c r="F73" s="6">
        <v>433512</v>
      </c>
      <c r="G73" s="6">
        <v>15065</v>
      </c>
      <c r="H73" s="6">
        <v>650268</v>
      </c>
      <c r="I73" s="22">
        <v>22597</v>
      </c>
      <c r="J73" s="6">
        <v>910375</v>
      </c>
      <c r="K73" s="6">
        <v>31636</v>
      </c>
      <c r="L73" s="6">
        <v>1127131</v>
      </c>
      <c r="M73" s="6">
        <v>39168</v>
      </c>
      <c r="N73" s="6">
        <v>1343887</v>
      </c>
      <c r="O73" s="6">
        <v>46700</v>
      </c>
      <c r="P73" s="6">
        <v>1777399</v>
      </c>
      <c r="Q73" s="6">
        <v>61765</v>
      </c>
    </row>
    <row r="74" spans="1:17" ht="21" customHeight="1" x14ac:dyDescent="0.15">
      <c r="A74" s="6">
        <v>73</v>
      </c>
      <c r="B74" s="6">
        <v>224448</v>
      </c>
      <c r="C74" s="6">
        <v>7692</v>
      </c>
      <c r="D74" s="6">
        <v>314228</v>
      </c>
      <c r="E74" s="6">
        <v>10770</v>
      </c>
      <c r="F74" s="6">
        <v>448897</v>
      </c>
      <c r="G74" s="6">
        <v>15385</v>
      </c>
      <c r="H74" s="6">
        <v>673345</v>
      </c>
      <c r="I74" s="22">
        <v>23077</v>
      </c>
      <c r="J74" s="6">
        <v>942683</v>
      </c>
      <c r="K74" s="6">
        <v>32308</v>
      </c>
      <c r="L74" s="6">
        <v>1167131</v>
      </c>
      <c r="M74" s="6">
        <v>40000</v>
      </c>
      <c r="N74" s="6">
        <v>1391580</v>
      </c>
      <c r="O74" s="6">
        <v>47693</v>
      </c>
      <c r="P74" s="6">
        <v>1840476</v>
      </c>
      <c r="Q74" s="6">
        <v>63077</v>
      </c>
    </row>
    <row r="75" spans="1:17" ht="21" customHeight="1" x14ac:dyDescent="0.15">
      <c r="A75" s="6">
        <v>74</v>
      </c>
      <c r="B75" s="6">
        <v>232302</v>
      </c>
      <c r="C75" s="6">
        <v>7854</v>
      </c>
      <c r="D75" s="6">
        <v>325223</v>
      </c>
      <c r="E75" s="6">
        <v>10995</v>
      </c>
      <c r="F75" s="6">
        <v>464604</v>
      </c>
      <c r="G75" s="6">
        <v>15707</v>
      </c>
      <c r="H75" s="6">
        <v>696906</v>
      </c>
      <c r="I75" s="22">
        <v>23561</v>
      </c>
      <c r="J75" s="6">
        <v>975668</v>
      </c>
      <c r="K75" s="6">
        <v>32985</v>
      </c>
      <c r="L75" s="6">
        <v>1207970</v>
      </c>
      <c r="M75" s="6">
        <v>40839</v>
      </c>
      <c r="N75" s="6">
        <v>1440272</v>
      </c>
      <c r="O75" s="6">
        <v>48692</v>
      </c>
      <c r="P75" s="6">
        <v>1904876</v>
      </c>
      <c r="Q75" s="6">
        <v>64400</v>
      </c>
    </row>
    <row r="76" spans="1:17" ht="21" customHeight="1" x14ac:dyDescent="0.15">
      <c r="A76" s="6">
        <v>75</v>
      </c>
      <c r="B76" s="6">
        <v>240318</v>
      </c>
      <c r="C76" s="6">
        <v>8016</v>
      </c>
      <c r="D76" s="6">
        <v>336445</v>
      </c>
      <c r="E76" s="6">
        <v>11222</v>
      </c>
      <c r="F76" s="6">
        <v>480636</v>
      </c>
      <c r="G76" s="6">
        <v>16032</v>
      </c>
      <c r="H76" s="6">
        <v>720954</v>
      </c>
      <c r="I76" s="22">
        <v>24048</v>
      </c>
      <c r="J76" s="6">
        <v>1009335</v>
      </c>
      <c r="K76" s="6">
        <v>33667</v>
      </c>
      <c r="L76" s="6">
        <v>1249653</v>
      </c>
      <c r="M76" s="6">
        <v>41683</v>
      </c>
      <c r="N76" s="6">
        <v>1489971</v>
      </c>
      <c r="O76" s="6">
        <v>49699</v>
      </c>
      <c r="P76" s="6">
        <v>1970607</v>
      </c>
      <c r="Q76" s="6">
        <v>65731</v>
      </c>
    </row>
    <row r="77" spans="1:17" ht="21" customHeight="1" x14ac:dyDescent="0.15">
      <c r="A77" s="6">
        <v>76</v>
      </c>
      <c r="B77" s="6">
        <v>248497</v>
      </c>
      <c r="C77" s="6">
        <v>8179</v>
      </c>
      <c r="D77" s="6">
        <v>347896</v>
      </c>
      <c r="E77" s="6">
        <v>11451</v>
      </c>
      <c r="F77" s="6">
        <v>496995</v>
      </c>
      <c r="G77" s="6">
        <v>16359</v>
      </c>
      <c r="H77" s="6">
        <v>745492</v>
      </c>
      <c r="I77" s="22">
        <v>24538</v>
      </c>
      <c r="J77" s="6">
        <v>1043689</v>
      </c>
      <c r="K77" s="6">
        <v>34354</v>
      </c>
      <c r="L77" s="6">
        <v>1292186</v>
      </c>
      <c r="M77" s="6">
        <v>42533</v>
      </c>
      <c r="N77" s="6">
        <v>1540684</v>
      </c>
      <c r="O77" s="6">
        <v>50713</v>
      </c>
      <c r="P77" s="6">
        <v>2037678</v>
      </c>
      <c r="Q77" s="6">
        <v>67071</v>
      </c>
    </row>
    <row r="78" spans="1:17" ht="21" customHeight="1" x14ac:dyDescent="0.15">
      <c r="A78" s="6">
        <v>77</v>
      </c>
      <c r="B78" s="6">
        <v>256841</v>
      </c>
      <c r="C78" s="6">
        <v>8344</v>
      </c>
      <c r="D78" s="6">
        <v>359578</v>
      </c>
      <c r="E78" s="6">
        <v>11682</v>
      </c>
      <c r="F78" s="6">
        <v>513683</v>
      </c>
      <c r="G78" s="6">
        <v>16688</v>
      </c>
      <c r="H78" s="6">
        <v>770524</v>
      </c>
      <c r="I78" s="22">
        <v>25032</v>
      </c>
      <c r="J78" s="6">
        <v>1078733</v>
      </c>
      <c r="K78" s="6">
        <v>35044</v>
      </c>
      <c r="L78" s="6">
        <v>1335575</v>
      </c>
      <c r="M78" s="6">
        <v>43389</v>
      </c>
      <c r="N78" s="6">
        <v>1592416</v>
      </c>
      <c r="O78" s="6">
        <v>51732</v>
      </c>
      <c r="P78" s="6">
        <v>2106098</v>
      </c>
      <c r="Q78" s="6">
        <v>68420</v>
      </c>
    </row>
    <row r="79" spans="1:17" ht="21" customHeight="1" x14ac:dyDescent="0.15">
      <c r="A79" s="6">
        <v>78</v>
      </c>
      <c r="B79" s="6">
        <v>265351</v>
      </c>
      <c r="C79" s="6">
        <v>8510</v>
      </c>
      <c r="D79" s="6">
        <v>371491</v>
      </c>
      <c r="E79" s="6">
        <v>11913</v>
      </c>
      <c r="F79" s="6">
        <v>530702</v>
      </c>
      <c r="G79" s="6">
        <v>17019</v>
      </c>
      <c r="H79" s="6">
        <v>796052</v>
      </c>
      <c r="I79" s="22">
        <v>25528</v>
      </c>
      <c r="J79" s="6">
        <v>1114473</v>
      </c>
      <c r="K79" s="6">
        <v>35740</v>
      </c>
      <c r="L79" s="6">
        <v>1379824</v>
      </c>
      <c r="M79" s="6">
        <v>44249</v>
      </c>
      <c r="N79" s="6">
        <v>1645175</v>
      </c>
      <c r="O79" s="6">
        <v>52759</v>
      </c>
      <c r="P79" s="6">
        <v>2175877</v>
      </c>
      <c r="Q79" s="6">
        <v>69779</v>
      </c>
    </row>
    <row r="80" spans="1:17" ht="21" customHeight="1" x14ac:dyDescent="0.15">
      <c r="A80" s="6">
        <v>79</v>
      </c>
      <c r="B80" s="6">
        <v>274027</v>
      </c>
      <c r="C80" s="6">
        <v>8676</v>
      </c>
      <c r="D80" s="6">
        <v>383638</v>
      </c>
      <c r="E80" s="6">
        <v>12147</v>
      </c>
      <c r="F80" s="6">
        <v>548054</v>
      </c>
      <c r="G80" s="6">
        <v>17352</v>
      </c>
      <c r="H80" s="6">
        <v>822081</v>
      </c>
      <c r="I80" s="22">
        <v>26029</v>
      </c>
      <c r="J80" s="6">
        <v>1150913</v>
      </c>
      <c r="K80" s="6">
        <v>36440</v>
      </c>
      <c r="L80" s="6">
        <v>1424940</v>
      </c>
      <c r="M80" s="6">
        <v>45116</v>
      </c>
      <c r="N80" s="6">
        <v>1698967</v>
      </c>
      <c r="O80" s="6">
        <v>53792</v>
      </c>
      <c r="P80" s="6">
        <v>2247021</v>
      </c>
      <c r="Q80" s="6">
        <v>71144</v>
      </c>
    </row>
    <row r="81" spans="1:17" ht="21" customHeight="1" x14ac:dyDescent="0.15">
      <c r="A81" s="6">
        <v>80</v>
      </c>
      <c r="B81" s="6">
        <v>282871</v>
      </c>
      <c r="C81" s="6">
        <v>8844</v>
      </c>
      <c r="D81" s="6">
        <v>396019</v>
      </c>
      <c r="E81" s="6">
        <v>12381</v>
      </c>
      <c r="F81" s="6">
        <v>565742</v>
      </c>
      <c r="G81" s="6">
        <v>17688</v>
      </c>
      <c r="H81" s="6">
        <v>848613</v>
      </c>
      <c r="I81" s="22">
        <v>26532</v>
      </c>
      <c r="J81" s="6">
        <v>1188058</v>
      </c>
      <c r="K81" s="6">
        <v>37145</v>
      </c>
      <c r="L81" s="6">
        <v>1470929</v>
      </c>
      <c r="M81" s="6">
        <v>45989</v>
      </c>
      <c r="N81" s="6">
        <v>1753800</v>
      </c>
      <c r="O81" s="6">
        <v>54833</v>
      </c>
      <c r="P81" s="6">
        <v>2319542</v>
      </c>
      <c r="Q81" s="6">
        <v>72521</v>
      </c>
    </row>
    <row r="82" spans="1:17" ht="21" customHeight="1" x14ac:dyDescent="0.15">
      <c r="A82" s="6">
        <v>81</v>
      </c>
      <c r="B82" s="6">
        <v>291884</v>
      </c>
      <c r="C82" s="6">
        <v>9013</v>
      </c>
      <c r="D82" s="6">
        <v>408637</v>
      </c>
      <c r="E82" s="6">
        <v>12618</v>
      </c>
      <c r="F82" s="6">
        <v>583767</v>
      </c>
      <c r="G82" s="6">
        <v>18025</v>
      </c>
      <c r="H82" s="6">
        <v>875651</v>
      </c>
      <c r="I82" s="22">
        <v>27038</v>
      </c>
      <c r="J82" s="6">
        <v>1225911</v>
      </c>
      <c r="K82" s="6">
        <v>37853</v>
      </c>
      <c r="L82" s="6">
        <v>1517795</v>
      </c>
      <c r="M82" s="6">
        <v>46866</v>
      </c>
      <c r="N82" s="6">
        <v>1809679</v>
      </c>
      <c r="O82" s="6">
        <v>55879</v>
      </c>
      <c r="P82" s="6">
        <v>2393446</v>
      </c>
      <c r="Q82" s="6">
        <v>73904</v>
      </c>
    </row>
    <row r="83" spans="1:17" ht="21" customHeight="1" x14ac:dyDescent="0.15">
      <c r="A83" s="6">
        <v>82</v>
      </c>
      <c r="B83" s="6">
        <v>301066</v>
      </c>
      <c r="C83" s="6">
        <v>9182</v>
      </c>
      <c r="D83" s="6">
        <v>421493</v>
      </c>
      <c r="E83" s="6">
        <v>12856</v>
      </c>
      <c r="F83" s="6">
        <v>602133</v>
      </c>
      <c r="G83" s="6">
        <v>18366</v>
      </c>
      <c r="H83" s="6">
        <v>903199</v>
      </c>
      <c r="I83" s="22">
        <v>27548</v>
      </c>
      <c r="J83" s="6">
        <v>1264478</v>
      </c>
      <c r="K83" s="6">
        <v>38567</v>
      </c>
      <c r="L83" s="6">
        <v>1565545</v>
      </c>
      <c r="M83" s="6">
        <v>47750</v>
      </c>
      <c r="N83" s="6">
        <v>1866611</v>
      </c>
      <c r="O83" s="6">
        <v>56932</v>
      </c>
      <c r="P83" s="6">
        <v>2468743</v>
      </c>
      <c r="Q83" s="6">
        <v>75297</v>
      </c>
    </row>
    <row r="84" spans="1:17" ht="21" customHeight="1" x14ac:dyDescent="0.15">
      <c r="A84" s="6">
        <v>83</v>
      </c>
      <c r="B84" s="6">
        <v>310420</v>
      </c>
      <c r="C84" s="6">
        <v>9354</v>
      </c>
      <c r="D84" s="6">
        <v>434588</v>
      </c>
      <c r="E84" s="6">
        <v>13095</v>
      </c>
      <c r="F84" s="6">
        <v>620839</v>
      </c>
      <c r="G84" s="6">
        <v>18706</v>
      </c>
      <c r="H84" s="6">
        <v>931259</v>
      </c>
      <c r="I84" s="22">
        <v>28060</v>
      </c>
      <c r="J84" s="6">
        <v>1303763</v>
      </c>
      <c r="K84" s="6">
        <v>39285</v>
      </c>
      <c r="L84" s="6">
        <v>1614183</v>
      </c>
      <c r="M84" s="6">
        <v>48638</v>
      </c>
      <c r="N84" s="6">
        <v>1924602</v>
      </c>
      <c r="O84" s="6">
        <v>57991</v>
      </c>
      <c r="P84" s="6">
        <v>2545442</v>
      </c>
      <c r="Q84" s="6">
        <v>76699</v>
      </c>
    </row>
    <row r="85" spans="1:17" ht="21" customHeight="1" x14ac:dyDescent="0.15">
      <c r="A85" s="6">
        <v>84</v>
      </c>
      <c r="B85" s="6">
        <v>319945</v>
      </c>
      <c r="C85" s="6">
        <v>9525</v>
      </c>
      <c r="D85" s="6">
        <v>447923</v>
      </c>
      <c r="E85" s="6">
        <v>13335</v>
      </c>
      <c r="F85" s="6">
        <v>639890</v>
      </c>
      <c r="G85" s="6">
        <v>19051</v>
      </c>
      <c r="H85" s="6">
        <v>959835</v>
      </c>
      <c r="I85" s="22">
        <v>28576</v>
      </c>
      <c r="J85" s="6">
        <v>1343770</v>
      </c>
      <c r="K85" s="6">
        <v>40007</v>
      </c>
      <c r="L85" s="6">
        <v>1663715</v>
      </c>
      <c r="M85" s="6">
        <v>49532</v>
      </c>
      <c r="N85" s="6">
        <v>1983660</v>
      </c>
      <c r="O85" s="6">
        <v>59058</v>
      </c>
      <c r="P85" s="6">
        <v>2623550</v>
      </c>
      <c r="Q85" s="6">
        <v>78108</v>
      </c>
    </row>
    <row r="86" spans="1:17" ht="21" customHeight="1" x14ac:dyDescent="0.15">
      <c r="A86" s="6">
        <v>85</v>
      </c>
      <c r="B86" s="6">
        <v>329643</v>
      </c>
      <c r="C86" s="6">
        <v>9698</v>
      </c>
      <c r="D86" s="6">
        <v>461501</v>
      </c>
      <c r="E86" s="6">
        <v>13578</v>
      </c>
      <c r="F86" s="6">
        <v>659287</v>
      </c>
      <c r="G86" s="6">
        <v>19397</v>
      </c>
      <c r="H86" s="6">
        <v>988930</v>
      </c>
      <c r="I86" s="22">
        <v>29095</v>
      </c>
      <c r="J86" s="6">
        <v>1384503</v>
      </c>
      <c r="K86" s="6">
        <v>40733</v>
      </c>
      <c r="L86" s="6">
        <v>1714146</v>
      </c>
      <c r="M86" s="6">
        <v>50431</v>
      </c>
      <c r="N86" s="6">
        <v>2043790</v>
      </c>
      <c r="O86" s="6">
        <v>60130</v>
      </c>
      <c r="P86" s="6">
        <v>2703077</v>
      </c>
      <c r="Q86" s="6">
        <v>79527</v>
      </c>
    </row>
    <row r="87" spans="1:17" ht="21" customHeight="1" x14ac:dyDescent="0.15">
      <c r="A87" s="6">
        <v>86</v>
      </c>
      <c r="B87" s="6">
        <v>339516</v>
      </c>
      <c r="C87" s="6">
        <v>9873</v>
      </c>
      <c r="D87" s="6">
        <v>475322</v>
      </c>
      <c r="E87" s="6">
        <v>13821</v>
      </c>
      <c r="F87" s="6">
        <v>679032</v>
      </c>
      <c r="G87" s="6">
        <v>19745</v>
      </c>
      <c r="H87" s="6">
        <v>1018548</v>
      </c>
      <c r="I87" s="22">
        <v>29618</v>
      </c>
      <c r="J87" s="6">
        <v>1425967</v>
      </c>
      <c r="K87" s="6">
        <v>41464</v>
      </c>
      <c r="L87" s="6">
        <v>1765482</v>
      </c>
      <c r="M87" s="6">
        <v>51336</v>
      </c>
      <c r="N87" s="6">
        <v>2104998</v>
      </c>
      <c r="O87" s="6">
        <v>61208</v>
      </c>
      <c r="P87" s="6">
        <v>2784030</v>
      </c>
      <c r="Q87" s="6">
        <v>80953</v>
      </c>
    </row>
    <row r="88" spans="1:17" ht="21" customHeight="1" x14ac:dyDescent="0.15">
      <c r="A88" s="6">
        <v>87</v>
      </c>
      <c r="B88" s="6">
        <v>349563</v>
      </c>
      <c r="C88" s="6">
        <v>10047</v>
      </c>
      <c r="D88" s="6">
        <v>489388</v>
      </c>
      <c r="E88" s="6">
        <v>14066</v>
      </c>
      <c r="F88" s="6">
        <v>699126</v>
      </c>
      <c r="G88" s="6">
        <v>20094</v>
      </c>
      <c r="H88" s="6">
        <v>1048690</v>
      </c>
      <c r="I88" s="22">
        <v>30142</v>
      </c>
      <c r="J88" s="6">
        <v>1468165</v>
      </c>
      <c r="K88" s="6">
        <v>42198</v>
      </c>
      <c r="L88" s="6">
        <v>1817729</v>
      </c>
      <c r="M88" s="6">
        <v>52247</v>
      </c>
      <c r="N88" s="6">
        <v>2167292</v>
      </c>
      <c r="O88" s="6">
        <v>62294</v>
      </c>
      <c r="P88" s="6">
        <v>2866418</v>
      </c>
      <c r="Q88" s="6">
        <v>82388</v>
      </c>
    </row>
    <row r="89" spans="1:17" ht="21" customHeight="1" x14ac:dyDescent="0.15">
      <c r="A89" s="6">
        <v>88</v>
      </c>
      <c r="B89" s="6">
        <v>359787</v>
      </c>
      <c r="C89" s="6">
        <v>10224</v>
      </c>
      <c r="D89" s="6">
        <v>503701</v>
      </c>
      <c r="E89" s="6">
        <v>14313</v>
      </c>
      <c r="F89" s="6">
        <v>719573</v>
      </c>
      <c r="G89" s="6">
        <v>20447</v>
      </c>
      <c r="H89" s="6">
        <v>1079360</v>
      </c>
      <c r="I89" s="22">
        <v>30670</v>
      </c>
      <c r="J89" s="6">
        <v>1511104</v>
      </c>
      <c r="K89" s="6">
        <v>42939</v>
      </c>
      <c r="L89" s="6">
        <v>1870890</v>
      </c>
      <c r="M89" s="6">
        <v>53161</v>
      </c>
      <c r="N89" s="6">
        <v>2230677</v>
      </c>
      <c r="O89" s="6">
        <v>63385</v>
      </c>
      <c r="P89" s="6">
        <v>2950250</v>
      </c>
      <c r="Q89" s="6">
        <v>83832</v>
      </c>
    </row>
    <row r="90" spans="1:17" ht="21" customHeight="1" x14ac:dyDescent="0.15">
      <c r="A90" s="6">
        <v>89</v>
      </c>
      <c r="B90" s="6">
        <v>370187</v>
      </c>
      <c r="C90" s="6">
        <v>10400</v>
      </c>
      <c r="D90" s="6">
        <v>518262</v>
      </c>
      <c r="E90" s="6">
        <v>14561</v>
      </c>
      <c r="F90" s="6">
        <v>740374</v>
      </c>
      <c r="G90" s="6">
        <v>20801</v>
      </c>
      <c r="H90" s="6">
        <v>1110561</v>
      </c>
      <c r="I90" s="22">
        <v>31201</v>
      </c>
      <c r="J90" s="6">
        <v>1554785</v>
      </c>
      <c r="K90" s="6">
        <v>43681</v>
      </c>
      <c r="L90" s="6">
        <v>1924972</v>
      </c>
      <c r="M90" s="6">
        <v>54082</v>
      </c>
      <c r="N90" s="6">
        <v>2295159</v>
      </c>
      <c r="O90" s="6">
        <v>64482</v>
      </c>
      <c r="P90" s="6">
        <v>3035533</v>
      </c>
      <c r="Q90" s="6">
        <v>85283</v>
      </c>
    </row>
    <row r="91" spans="1:17" ht="21" customHeight="1" x14ac:dyDescent="0.15">
      <c r="A91" s="6">
        <v>90</v>
      </c>
      <c r="B91" s="6">
        <v>380765</v>
      </c>
      <c r="C91" s="6">
        <v>10578</v>
      </c>
      <c r="D91" s="6">
        <v>533072</v>
      </c>
      <c r="E91" s="6">
        <v>14810</v>
      </c>
      <c r="F91" s="6">
        <v>761531</v>
      </c>
      <c r="G91" s="6">
        <v>21157</v>
      </c>
      <c r="H91" s="6">
        <v>1142296</v>
      </c>
      <c r="I91" s="22">
        <v>31735</v>
      </c>
      <c r="J91" s="6">
        <v>1599215</v>
      </c>
      <c r="K91" s="6">
        <v>44430</v>
      </c>
      <c r="L91" s="6">
        <v>1979980</v>
      </c>
      <c r="M91" s="6">
        <v>55008</v>
      </c>
      <c r="N91" s="6">
        <v>2360746</v>
      </c>
      <c r="O91" s="6">
        <v>65587</v>
      </c>
      <c r="P91" s="6">
        <v>3122277</v>
      </c>
      <c r="Q91" s="6">
        <v>86744</v>
      </c>
    </row>
    <row r="92" spans="1:17" ht="21" customHeight="1" x14ac:dyDescent="0.15">
      <c r="A92" s="6">
        <v>91</v>
      </c>
      <c r="B92" s="6">
        <v>391523</v>
      </c>
      <c r="C92" s="6">
        <v>10758</v>
      </c>
      <c r="D92" s="6">
        <v>548132</v>
      </c>
      <c r="E92" s="6">
        <v>15060</v>
      </c>
      <c r="F92" s="6">
        <v>783046</v>
      </c>
      <c r="G92" s="6">
        <v>21515</v>
      </c>
      <c r="H92" s="6">
        <v>1174569</v>
      </c>
      <c r="I92" s="22">
        <v>32273</v>
      </c>
      <c r="J92" s="6">
        <v>1644396</v>
      </c>
      <c r="K92" s="6">
        <v>45181</v>
      </c>
      <c r="L92" s="6">
        <v>2035919</v>
      </c>
      <c r="M92" s="6">
        <v>55939</v>
      </c>
      <c r="N92" s="6">
        <v>2427442</v>
      </c>
      <c r="O92" s="6">
        <v>66696</v>
      </c>
      <c r="P92" s="6">
        <v>3210488</v>
      </c>
      <c r="Q92" s="6">
        <v>88211</v>
      </c>
    </row>
    <row r="93" spans="1:17" ht="21" customHeight="1" x14ac:dyDescent="0.15">
      <c r="A93" s="6">
        <v>92</v>
      </c>
      <c r="B93" s="6">
        <v>402460</v>
      </c>
      <c r="C93" s="6">
        <v>10937</v>
      </c>
      <c r="D93" s="6">
        <v>563445</v>
      </c>
      <c r="E93" s="6">
        <v>15313</v>
      </c>
      <c r="F93" s="6">
        <v>804921</v>
      </c>
      <c r="G93" s="6">
        <v>21875</v>
      </c>
      <c r="H93" s="6">
        <v>1207381</v>
      </c>
      <c r="I93" s="22">
        <v>32812</v>
      </c>
      <c r="J93" s="6">
        <v>1690334</v>
      </c>
      <c r="K93" s="6">
        <v>45938</v>
      </c>
      <c r="L93" s="6">
        <v>2092794</v>
      </c>
      <c r="M93" s="6">
        <v>56875</v>
      </c>
      <c r="N93" s="6">
        <v>2495254</v>
      </c>
      <c r="O93" s="6">
        <v>67812</v>
      </c>
      <c r="P93" s="6">
        <v>3300175</v>
      </c>
      <c r="Q93" s="6">
        <v>89687</v>
      </c>
    </row>
    <row r="94" spans="1:17" ht="21" customHeight="1" x14ac:dyDescent="0.15">
      <c r="A94" s="6">
        <v>93</v>
      </c>
      <c r="B94" s="6">
        <v>413579</v>
      </c>
      <c r="C94" s="6">
        <v>11119</v>
      </c>
      <c r="D94" s="6">
        <v>579010</v>
      </c>
      <c r="E94" s="6">
        <v>15565</v>
      </c>
      <c r="F94" s="6">
        <v>827158</v>
      </c>
      <c r="G94" s="6">
        <v>22237</v>
      </c>
      <c r="H94" s="6">
        <v>1240737</v>
      </c>
      <c r="I94" s="22">
        <v>33356</v>
      </c>
      <c r="J94" s="6">
        <v>1737031</v>
      </c>
      <c r="K94" s="6">
        <v>46697</v>
      </c>
      <c r="L94" s="6">
        <v>2150610</v>
      </c>
      <c r="M94" s="6">
        <v>57816</v>
      </c>
      <c r="N94" s="6">
        <v>2564189</v>
      </c>
      <c r="O94" s="6">
        <v>68935</v>
      </c>
      <c r="P94" s="6">
        <v>3391347</v>
      </c>
      <c r="Q94" s="6">
        <v>91172</v>
      </c>
    </row>
    <row r="95" spans="1:17" ht="21" customHeight="1" x14ac:dyDescent="0.15">
      <c r="A95" s="6">
        <v>94</v>
      </c>
      <c r="B95" s="6">
        <v>424879</v>
      </c>
      <c r="C95" s="6">
        <v>11300</v>
      </c>
      <c r="D95" s="6">
        <v>594831</v>
      </c>
      <c r="E95" s="6">
        <v>15821</v>
      </c>
      <c r="F95" s="6">
        <v>849759</v>
      </c>
      <c r="G95" s="6">
        <v>22601</v>
      </c>
      <c r="H95" s="6">
        <v>1274638</v>
      </c>
      <c r="I95" s="22">
        <v>33901</v>
      </c>
      <c r="J95" s="6">
        <v>1784493</v>
      </c>
      <c r="K95" s="6">
        <v>47462</v>
      </c>
      <c r="L95" s="6">
        <v>2209373</v>
      </c>
      <c r="M95" s="6">
        <v>58763</v>
      </c>
      <c r="N95" s="6">
        <v>2634252</v>
      </c>
      <c r="O95" s="6">
        <v>70063</v>
      </c>
      <c r="P95" s="6">
        <v>3484010</v>
      </c>
      <c r="Q95" s="6">
        <v>92663</v>
      </c>
    </row>
    <row r="96" spans="1:17" ht="21" customHeight="1" x14ac:dyDescent="0.15">
      <c r="A96" s="6">
        <v>95</v>
      </c>
      <c r="B96" s="6">
        <v>436363</v>
      </c>
      <c r="C96" s="6">
        <v>11484</v>
      </c>
      <c r="D96" s="6">
        <v>610908</v>
      </c>
      <c r="E96" s="6">
        <v>16077</v>
      </c>
      <c r="F96" s="6">
        <v>872725</v>
      </c>
      <c r="G96" s="6">
        <v>22966</v>
      </c>
      <c r="H96" s="6">
        <v>1309088</v>
      </c>
      <c r="I96" s="22">
        <v>34450</v>
      </c>
      <c r="J96" s="6">
        <v>1832724</v>
      </c>
      <c r="K96" s="6">
        <v>48231</v>
      </c>
      <c r="L96" s="6">
        <v>2269086</v>
      </c>
      <c r="M96" s="6">
        <v>59713</v>
      </c>
      <c r="N96" s="6">
        <v>2705449</v>
      </c>
      <c r="O96" s="6">
        <v>71197</v>
      </c>
      <c r="P96" s="6">
        <v>3578175</v>
      </c>
      <c r="Q96" s="6">
        <v>94165</v>
      </c>
    </row>
    <row r="97" spans="1:17" ht="21" customHeight="1" x14ac:dyDescent="0.15">
      <c r="A97" s="6">
        <v>96</v>
      </c>
      <c r="B97" s="6">
        <v>448030</v>
      </c>
      <c r="C97" s="6">
        <v>11667</v>
      </c>
      <c r="D97" s="6">
        <v>627242</v>
      </c>
      <c r="E97" s="6">
        <v>16334</v>
      </c>
      <c r="F97" s="6">
        <v>896060</v>
      </c>
      <c r="G97" s="6">
        <v>23335</v>
      </c>
      <c r="H97" s="6">
        <v>1344090</v>
      </c>
      <c r="I97" s="22">
        <v>35002</v>
      </c>
      <c r="J97" s="6">
        <v>1881726</v>
      </c>
      <c r="K97" s="6">
        <v>49002</v>
      </c>
      <c r="L97" s="6">
        <v>2329756</v>
      </c>
      <c r="M97" s="6">
        <v>60670</v>
      </c>
      <c r="N97" s="6">
        <v>2777787</v>
      </c>
      <c r="O97" s="6">
        <v>72338</v>
      </c>
      <c r="P97" s="6">
        <v>3673847</v>
      </c>
      <c r="Q97" s="6">
        <v>95672</v>
      </c>
    </row>
    <row r="98" spans="1:17" ht="21" customHeight="1" x14ac:dyDescent="0.15">
      <c r="A98" s="6">
        <v>97</v>
      </c>
      <c r="B98" s="6">
        <v>459882</v>
      </c>
      <c r="C98" s="6">
        <v>11852</v>
      </c>
      <c r="D98" s="6">
        <v>643835</v>
      </c>
      <c r="E98" s="6">
        <v>16593</v>
      </c>
      <c r="F98" s="6">
        <v>919765</v>
      </c>
      <c r="G98" s="6">
        <v>23705</v>
      </c>
      <c r="H98" s="6">
        <v>1379647</v>
      </c>
      <c r="I98" s="22">
        <v>35557</v>
      </c>
      <c r="J98" s="6">
        <v>1931506</v>
      </c>
      <c r="K98" s="6">
        <v>49780</v>
      </c>
      <c r="L98" s="6">
        <v>2391388</v>
      </c>
      <c r="M98" s="6">
        <v>61632</v>
      </c>
      <c r="N98" s="6">
        <v>2851270</v>
      </c>
      <c r="O98" s="6">
        <v>73483</v>
      </c>
      <c r="P98" s="6">
        <v>3771035</v>
      </c>
      <c r="Q98" s="6">
        <v>97188</v>
      </c>
    </row>
    <row r="99" spans="1:17" ht="21" customHeight="1" x14ac:dyDescent="0.15">
      <c r="A99" s="6">
        <v>98</v>
      </c>
      <c r="B99" s="6">
        <v>471920</v>
      </c>
      <c r="C99" s="6">
        <v>12038</v>
      </c>
      <c r="D99" s="6">
        <v>660689</v>
      </c>
      <c r="E99" s="6">
        <v>16854</v>
      </c>
      <c r="F99" s="6">
        <v>943841</v>
      </c>
      <c r="G99" s="6">
        <v>24076</v>
      </c>
      <c r="H99" s="6">
        <v>1415761</v>
      </c>
      <c r="I99" s="22">
        <v>36114</v>
      </c>
      <c r="J99" s="6">
        <v>1982066</v>
      </c>
      <c r="K99" s="6">
        <v>50560</v>
      </c>
      <c r="L99" s="6">
        <v>2453986</v>
      </c>
      <c r="M99" s="6">
        <v>62598</v>
      </c>
      <c r="N99" s="6">
        <v>2925906</v>
      </c>
      <c r="O99" s="6">
        <v>74636</v>
      </c>
      <c r="P99" s="6">
        <v>3869747</v>
      </c>
      <c r="Q99" s="6">
        <v>98712</v>
      </c>
    </row>
    <row r="100" spans="1:17" ht="21" customHeight="1" x14ac:dyDescent="0.15">
      <c r="A100" s="6">
        <v>99</v>
      </c>
      <c r="B100" s="6">
        <v>484145</v>
      </c>
      <c r="C100" s="6">
        <v>12225</v>
      </c>
      <c r="D100" s="6">
        <v>677803</v>
      </c>
      <c r="E100" s="6">
        <v>17114</v>
      </c>
      <c r="F100" s="25">
        <v>968291</v>
      </c>
      <c r="G100" s="6">
        <v>24450</v>
      </c>
      <c r="H100" s="6">
        <v>1452436</v>
      </c>
      <c r="I100" s="22">
        <v>36675</v>
      </c>
      <c r="J100" s="6">
        <v>2033410</v>
      </c>
      <c r="K100" s="6">
        <v>51344</v>
      </c>
      <c r="L100" s="6">
        <v>2517555</v>
      </c>
      <c r="M100" s="6">
        <v>63569</v>
      </c>
      <c r="N100" s="6">
        <v>3001701</v>
      </c>
      <c r="O100" s="6">
        <v>75795</v>
      </c>
      <c r="P100" s="6">
        <v>3969991</v>
      </c>
      <c r="Q100" s="6">
        <v>100244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008000"/>
  </sheetPr>
  <dimension ref="A1:B100"/>
  <sheetViews>
    <sheetView showGridLines="0" zoomScale="115" zoomScaleNormal="115" zoomScalePageLayoutView="115" workbookViewId="0">
      <pane ySplit="1" topLeftCell="A81" activePane="bottomLeft" state="frozen"/>
      <selection pane="bottomLeft" activeCell="L99" sqref="L99"/>
    </sheetView>
  </sheetViews>
  <sheetFormatPr baseColWidth="12" defaultColWidth="12.83203125" defaultRowHeight="21" customHeight="1" x14ac:dyDescent="0.15"/>
  <cols>
    <col min="1" max="1" width="8.6640625" style="5" customWidth="1"/>
    <col min="2" max="16384" width="12.83203125" style="5"/>
  </cols>
  <sheetData>
    <row r="1" spans="1:2" ht="21" customHeight="1" x14ac:dyDescent="0.15">
      <c r="A1" s="90" t="s">
        <v>115</v>
      </c>
      <c r="B1" s="90" t="s">
        <v>119</v>
      </c>
    </row>
    <row r="2" spans="1:2" ht="21" customHeight="1" x14ac:dyDescent="0.15">
      <c r="A2" s="6">
        <v>1</v>
      </c>
      <c r="B2" s="134">
        <v>0</v>
      </c>
    </row>
    <row r="3" spans="1:2" ht="21" customHeight="1" x14ac:dyDescent="0.15">
      <c r="A3" s="6">
        <v>2</v>
      </c>
      <c r="B3" s="135">
        <v>51</v>
      </c>
    </row>
    <row r="4" spans="1:2" ht="21" customHeight="1" x14ac:dyDescent="0.15">
      <c r="A4" s="6">
        <v>3</v>
      </c>
      <c r="B4" s="135">
        <v>90</v>
      </c>
    </row>
    <row r="5" spans="1:2" ht="21" customHeight="1" x14ac:dyDescent="0.15">
      <c r="A5" s="6">
        <v>4</v>
      </c>
      <c r="B5" s="135">
        <v>129</v>
      </c>
    </row>
    <row r="6" spans="1:2" ht="21" customHeight="1" x14ac:dyDescent="0.15">
      <c r="A6" s="6">
        <v>5</v>
      </c>
      <c r="B6" s="135">
        <v>167</v>
      </c>
    </row>
    <row r="7" spans="1:2" ht="21" customHeight="1" x14ac:dyDescent="0.15">
      <c r="A7" s="6">
        <v>6</v>
      </c>
      <c r="B7" s="135">
        <v>205</v>
      </c>
    </row>
    <row r="8" spans="1:2" ht="21" customHeight="1" x14ac:dyDescent="0.15">
      <c r="A8" s="6">
        <v>7</v>
      </c>
      <c r="B8" s="135">
        <v>243</v>
      </c>
    </row>
    <row r="9" spans="1:2" ht="21" customHeight="1" x14ac:dyDescent="0.15">
      <c r="A9" s="6">
        <v>8</v>
      </c>
      <c r="B9" s="135">
        <v>280</v>
      </c>
    </row>
    <row r="10" spans="1:2" ht="21" customHeight="1" x14ac:dyDescent="0.15">
      <c r="A10" s="6">
        <v>9</v>
      </c>
      <c r="B10" s="135">
        <v>317</v>
      </c>
    </row>
    <row r="11" spans="1:2" ht="21" customHeight="1" x14ac:dyDescent="0.15">
      <c r="A11" s="6">
        <v>10</v>
      </c>
      <c r="B11" s="135">
        <v>353</v>
      </c>
    </row>
    <row r="12" spans="1:2" ht="21" customHeight="1" x14ac:dyDescent="0.15">
      <c r="A12" s="6">
        <v>11</v>
      </c>
      <c r="B12" s="135">
        <v>389</v>
      </c>
    </row>
    <row r="13" spans="1:2" ht="21" customHeight="1" x14ac:dyDescent="0.15">
      <c r="A13" s="6">
        <v>12</v>
      </c>
      <c r="B13" s="135">
        <v>425</v>
      </c>
    </row>
    <row r="14" spans="1:2" ht="21" customHeight="1" x14ac:dyDescent="0.15">
      <c r="A14" s="6">
        <v>13</v>
      </c>
      <c r="B14" s="135">
        <v>460</v>
      </c>
    </row>
    <row r="15" spans="1:2" ht="21" customHeight="1" x14ac:dyDescent="0.15">
      <c r="A15" s="6">
        <v>14</v>
      </c>
      <c r="B15" s="135">
        <v>495</v>
      </c>
    </row>
    <row r="16" spans="1:2" ht="21" customHeight="1" x14ac:dyDescent="0.15">
      <c r="A16" s="6">
        <v>15</v>
      </c>
      <c r="B16" s="135">
        <v>529</v>
      </c>
    </row>
    <row r="17" spans="1:2" ht="21" customHeight="1" x14ac:dyDescent="0.15">
      <c r="A17" s="6">
        <v>16</v>
      </c>
      <c r="B17" s="135">
        <v>563</v>
      </c>
    </row>
    <row r="18" spans="1:2" ht="21" customHeight="1" x14ac:dyDescent="0.15">
      <c r="A18" s="6">
        <v>17</v>
      </c>
      <c r="B18" s="135">
        <v>597</v>
      </c>
    </row>
    <row r="19" spans="1:2" ht="21" customHeight="1" x14ac:dyDescent="0.15">
      <c r="A19" s="6">
        <v>18</v>
      </c>
      <c r="B19" s="135">
        <v>630</v>
      </c>
    </row>
    <row r="20" spans="1:2" ht="21" customHeight="1" x14ac:dyDescent="0.15">
      <c r="A20" s="6">
        <v>19</v>
      </c>
      <c r="B20" s="135">
        <v>663</v>
      </c>
    </row>
    <row r="21" spans="1:2" ht="21" customHeight="1" x14ac:dyDescent="0.15">
      <c r="A21" s="6">
        <v>20</v>
      </c>
      <c r="B21" s="135">
        <v>695</v>
      </c>
    </row>
    <row r="22" spans="1:2" ht="21" customHeight="1" x14ac:dyDescent="0.15">
      <c r="A22" s="6">
        <v>21</v>
      </c>
      <c r="B22" s="135">
        <v>727</v>
      </c>
    </row>
    <row r="23" spans="1:2" ht="21" customHeight="1" x14ac:dyDescent="0.15">
      <c r="A23" s="6">
        <v>22</v>
      </c>
      <c r="B23" s="135">
        <v>759</v>
      </c>
    </row>
    <row r="24" spans="1:2" ht="21" customHeight="1" x14ac:dyDescent="0.15">
      <c r="A24" s="6">
        <v>23</v>
      </c>
      <c r="B24" s="135">
        <v>790</v>
      </c>
    </row>
    <row r="25" spans="1:2" ht="21" customHeight="1" x14ac:dyDescent="0.15">
      <c r="A25" s="6">
        <v>24</v>
      </c>
      <c r="B25" s="135">
        <v>821</v>
      </c>
    </row>
    <row r="26" spans="1:2" ht="21" customHeight="1" x14ac:dyDescent="0.15">
      <c r="A26" s="6">
        <v>25</v>
      </c>
      <c r="B26" s="135">
        <v>851</v>
      </c>
    </row>
    <row r="27" spans="1:2" ht="21" customHeight="1" x14ac:dyDescent="0.15">
      <c r="A27" s="6">
        <v>26</v>
      </c>
      <c r="B27" s="135">
        <v>881</v>
      </c>
    </row>
    <row r="28" spans="1:2" ht="21" customHeight="1" x14ac:dyDescent="0.15">
      <c r="A28" s="6">
        <v>27</v>
      </c>
      <c r="B28" s="135">
        <v>911</v>
      </c>
    </row>
    <row r="29" spans="1:2" ht="21" customHeight="1" x14ac:dyDescent="0.15">
      <c r="A29" s="6">
        <v>28</v>
      </c>
      <c r="B29" s="135">
        <v>940</v>
      </c>
    </row>
    <row r="30" spans="1:2" ht="21" customHeight="1" x14ac:dyDescent="0.15">
      <c r="A30" s="6">
        <v>29</v>
      </c>
      <c r="B30" s="135">
        <v>969</v>
      </c>
    </row>
    <row r="31" spans="1:2" ht="21" customHeight="1" x14ac:dyDescent="0.15">
      <c r="A31" s="6">
        <v>30</v>
      </c>
      <c r="B31" s="135">
        <v>997</v>
      </c>
    </row>
    <row r="32" spans="1:2" ht="21" customHeight="1" x14ac:dyDescent="0.15">
      <c r="A32" s="6">
        <v>31</v>
      </c>
      <c r="B32" s="136">
        <v>1025</v>
      </c>
    </row>
    <row r="33" spans="1:2" ht="21" customHeight="1" x14ac:dyDescent="0.15">
      <c r="A33" s="6">
        <v>32</v>
      </c>
      <c r="B33" s="136">
        <v>1053</v>
      </c>
    </row>
    <row r="34" spans="1:2" ht="21" customHeight="1" x14ac:dyDescent="0.15">
      <c r="A34" s="6">
        <v>33</v>
      </c>
      <c r="B34" s="136">
        <v>1080</v>
      </c>
    </row>
    <row r="35" spans="1:2" ht="21" customHeight="1" x14ac:dyDescent="0.15">
      <c r="A35" s="6">
        <v>34</v>
      </c>
      <c r="B35" s="136">
        <v>1107</v>
      </c>
    </row>
    <row r="36" spans="1:2" ht="21" customHeight="1" x14ac:dyDescent="0.15">
      <c r="A36" s="6">
        <v>35</v>
      </c>
      <c r="B36" s="136">
        <v>1133</v>
      </c>
    </row>
    <row r="37" spans="1:2" ht="21" customHeight="1" x14ac:dyDescent="0.15">
      <c r="A37" s="6">
        <v>36</v>
      </c>
      <c r="B37" s="136">
        <v>1159</v>
      </c>
    </row>
    <row r="38" spans="1:2" ht="21" customHeight="1" x14ac:dyDescent="0.15">
      <c r="A38" s="6">
        <v>37</v>
      </c>
      <c r="B38" s="136">
        <v>1185</v>
      </c>
    </row>
    <row r="39" spans="1:2" ht="21" customHeight="1" x14ac:dyDescent="0.15">
      <c r="A39" s="6">
        <v>38</v>
      </c>
      <c r="B39" s="136">
        <v>1210</v>
      </c>
    </row>
    <row r="40" spans="1:2" ht="21" customHeight="1" x14ac:dyDescent="0.15">
      <c r="A40" s="6">
        <v>39</v>
      </c>
      <c r="B40" s="136">
        <v>1235</v>
      </c>
    </row>
    <row r="41" spans="1:2" ht="21" customHeight="1" x14ac:dyDescent="0.15">
      <c r="A41" s="6">
        <v>40</v>
      </c>
      <c r="B41" s="136">
        <v>1259</v>
      </c>
    </row>
    <row r="42" spans="1:2" ht="21" customHeight="1" x14ac:dyDescent="0.15">
      <c r="A42" s="6">
        <v>41</v>
      </c>
      <c r="B42" s="136">
        <v>1283</v>
      </c>
    </row>
    <row r="43" spans="1:2" ht="21" customHeight="1" x14ac:dyDescent="0.15">
      <c r="A43" s="6">
        <v>42</v>
      </c>
      <c r="B43" s="136">
        <v>1307</v>
      </c>
    </row>
    <row r="44" spans="1:2" ht="21" customHeight="1" x14ac:dyDescent="0.15">
      <c r="A44" s="6">
        <v>43</v>
      </c>
      <c r="B44" s="136">
        <v>1330</v>
      </c>
    </row>
    <row r="45" spans="1:2" ht="21" customHeight="1" x14ac:dyDescent="0.15">
      <c r="A45" s="6">
        <v>44</v>
      </c>
      <c r="B45" s="136">
        <v>1353</v>
      </c>
    </row>
    <row r="46" spans="1:2" ht="21" customHeight="1" x14ac:dyDescent="0.15">
      <c r="A46" s="6">
        <v>45</v>
      </c>
      <c r="B46" s="136">
        <v>1375</v>
      </c>
    </row>
    <row r="47" spans="1:2" ht="21" customHeight="1" x14ac:dyDescent="0.15">
      <c r="A47" s="6">
        <v>46</v>
      </c>
      <c r="B47" s="136">
        <v>1397</v>
      </c>
    </row>
    <row r="48" spans="1:2" ht="21" customHeight="1" x14ac:dyDescent="0.15">
      <c r="A48" s="6">
        <v>47</v>
      </c>
      <c r="B48" s="136">
        <v>1419</v>
      </c>
    </row>
    <row r="49" spans="1:2" ht="21" customHeight="1" x14ac:dyDescent="0.15">
      <c r="A49" s="6">
        <v>48</v>
      </c>
      <c r="B49" s="136">
        <v>1440</v>
      </c>
    </row>
    <row r="50" spans="1:2" ht="21" customHeight="1" x14ac:dyDescent="0.15">
      <c r="A50" s="6">
        <v>49</v>
      </c>
      <c r="B50" s="136">
        <v>1461</v>
      </c>
    </row>
    <row r="51" spans="1:2" ht="21" customHeight="1" x14ac:dyDescent="0.15">
      <c r="A51" s="6">
        <v>50</v>
      </c>
      <c r="B51" s="136">
        <v>1481</v>
      </c>
    </row>
    <row r="52" spans="1:2" ht="21" customHeight="1" x14ac:dyDescent="0.15">
      <c r="A52" s="6">
        <v>51</v>
      </c>
      <c r="B52" s="136">
        <v>1501</v>
      </c>
    </row>
    <row r="53" spans="1:2" ht="21" customHeight="1" x14ac:dyDescent="0.15">
      <c r="A53" s="6">
        <v>52</v>
      </c>
      <c r="B53" s="136">
        <v>1521</v>
      </c>
    </row>
    <row r="54" spans="1:2" ht="21" customHeight="1" x14ac:dyDescent="0.15">
      <c r="A54" s="6">
        <v>53</v>
      </c>
      <c r="B54" s="136">
        <v>1540</v>
      </c>
    </row>
    <row r="55" spans="1:2" ht="21" customHeight="1" x14ac:dyDescent="0.15">
      <c r="A55" s="6">
        <v>54</v>
      </c>
      <c r="B55" s="136">
        <v>1559</v>
      </c>
    </row>
    <row r="56" spans="1:2" ht="21" customHeight="1" x14ac:dyDescent="0.15">
      <c r="A56" s="6">
        <v>55</v>
      </c>
      <c r="B56" s="136">
        <v>1577</v>
      </c>
    </row>
    <row r="57" spans="1:2" ht="21" customHeight="1" x14ac:dyDescent="0.15">
      <c r="A57" s="6">
        <v>56</v>
      </c>
      <c r="B57" s="136">
        <v>1595</v>
      </c>
    </row>
    <row r="58" spans="1:2" ht="21" customHeight="1" x14ac:dyDescent="0.15">
      <c r="A58" s="6">
        <v>57</v>
      </c>
      <c r="B58" s="136">
        <v>1613</v>
      </c>
    </row>
    <row r="59" spans="1:2" ht="21" customHeight="1" x14ac:dyDescent="0.15">
      <c r="A59" s="6">
        <v>58</v>
      </c>
      <c r="B59" s="136">
        <v>1630</v>
      </c>
    </row>
    <row r="60" spans="1:2" ht="21" customHeight="1" x14ac:dyDescent="0.15">
      <c r="A60" s="6">
        <v>59</v>
      </c>
      <c r="B60" s="136">
        <v>1647</v>
      </c>
    </row>
    <row r="61" spans="1:2" ht="21" customHeight="1" x14ac:dyDescent="0.15">
      <c r="A61" s="6">
        <v>60</v>
      </c>
      <c r="B61" s="136">
        <v>1663</v>
      </c>
    </row>
    <row r="62" spans="1:2" ht="21" customHeight="1" x14ac:dyDescent="0.15">
      <c r="A62" s="6">
        <v>61</v>
      </c>
      <c r="B62" s="136">
        <v>1679</v>
      </c>
    </row>
    <row r="63" spans="1:2" ht="21" customHeight="1" x14ac:dyDescent="0.15">
      <c r="A63" s="6">
        <v>62</v>
      </c>
      <c r="B63" s="136">
        <v>1695</v>
      </c>
    </row>
    <row r="64" spans="1:2" ht="21" customHeight="1" x14ac:dyDescent="0.15">
      <c r="A64" s="6">
        <v>63</v>
      </c>
      <c r="B64" s="136">
        <v>1710</v>
      </c>
    </row>
    <row r="65" spans="1:2" ht="21" customHeight="1" x14ac:dyDescent="0.15">
      <c r="A65" s="6">
        <v>64</v>
      </c>
      <c r="B65" s="136">
        <v>1725</v>
      </c>
    </row>
    <row r="66" spans="1:2" ht="21" customHeight="1" x14ac:dyDescent="0.15">
      <c r="A66" s="6">
        <v>65</v>
      </c>
      <c r="B66" s="136">
        <v>1739</v>
      </c>
    </row>
    <row r="67" spans="1:2" ht="21" customHeight="1" x14ac:dyDescent="0.15">
      <c r="A67" s="6">
        <v>66</v>
      </c>
      <c r="B67" s="136">
        <v>1753</v>
      </c>
    </row>
    <row r="68" spans="1:2" ht="21" customHeight="1" x14ac:dyDescent="0.15">
      <c r="A68" s="6">
        <v>67</v>
      </c>
      <c r="B68" s="136">
        <v>1767</v>
      </c>
    </row>
    <row r="69" spans="1:2" ht="21" customHeight="1" x14ac:dyDescent="0.15">
      <c r="A69" s="6">
        <v>68</v>
      </c>
      <c r="B69" s="136">
        <v>1780</v>
      </c>
    </row>
    <row r="70" spans="1:2" ht="21" customHeight="1" x14ac:dyDescent="0.15">
      <c r="A70" s="6">
        <v>69</v>
      </c>
      <c r="B70" s="136">
        <v>1793</v>
      </c>
    </row>
    <row r="71" spans="1:2" ht="21" customHeight="1" x14ac:dyDescent="0.15">
      <c r="A71" s="6">
        <v>70</v>
      </c>
      <c r="B71" s="136">
        <v>1805</v>
      </c>
    </row>
    <row r="72" spans="1:2" ht="21" customHeight="1" x14ac:dyDescent="0.15">
      <c r="A72" s="6">
        <v>71</v>
      </c>
      <c r="B72" s="136">
        <v>1817</v>
      </c>
    </row>
    <row r="73" spans="1:2" ht="21" customHeight="1" x14ac:dyDescent="0.15">
      <c r="A73" s="6">
        <v>72</v>
      </c>
      <c r="B73" s="136">
        <v>1829</v>
      </c>
    </row>
    <row r="74" spans="1:2" ht="21" customHeight="1" x14ac:dyDescent="0.15">
      <c r="A74" s="6">
        <v>73</v>
      </c>
      <c r="B74" s="136">
        <v>1840</v>
      </c>
    </row>
    <row r="75" spans="1:2" ht="21" customHeight="1" x14ac:dyDescent="0.15">
      <c r="A75" s="6">
        <v>74</v>
      </c>
      <c r="B75" s="136">
        <v>1851</v>
      </c>
    </row>
    <row r="76" spans="1:2" ht="21" customHeight="1" x14ac:dyDescent="0.15">
      <c r="A76" s="6">
        <v>75</v>
      </c>
      <c r="B76" s="136">
        <v>1861</v>
      </c>
    </row>
    <row r="77" spans="1:2" ht="21" customHeight="1" x14ac:dyDescent="0.15">
      <c r="A77" s="6">
        <v>76</v>
      </c>
      <c r="B77" s="136">
        <v>1871</v>
      </c>
    </row>
    <row r="78" spans="1:2" ht="21" customHeight="1" x14ac:dyDescent="0.15">
      <c r="A78" s="6">
        <v>77</v>
      </c>
      <c r="B78" s="136">
        <v>1881</v>
      </c>
    </row>
    <row r="79" spans="1:2" ht="21" customHeight="1" x14ac:dyDescent="0.15">
      <c r="A79" s="6">
        <v>78</v>
      </c>
      <c r="B79" s="136">
        <v>1890</v>
      </c>
    </row>
    <row r="80" spans="1:2" ht="21" customHeight="1" x14ac:dyDescent="0.15">
      <c r="A80" s="6">
        <v>79</v>
      </c>
      <c r="B80" s="136">
        <v>1899</v>
      </c>
    </row>
    <row r="81" spans="1:2" ht="21" customHeight="1" x14ac:dyDescent="0.15">
      <c r="A81" s="6">
        <v>80</v>
      </c>
      <c r="B81" s="136">
        <v>1907</v>
      </c>
    </row>
    <row r="82" spans="1:2" ht="21" customHeight="1" x14ac:dyDescent="0.15">
      <c r="A82" s="6">
        <v>81</v>
      </c>
      <c r="B82" s="136">
        <v>1915</v>
      </c>
    </row>
    <row r="83" spans="1:2" ht="21" customHeight="1" x14ac:dyDescent="0.15">
      <c r="A83" s="6">
        <v>82</v>
      </c>
      <c r="B83" s="136">
        <v>1923</v>
      </c>
    </row>
    <row r="84" spans="1:2" ht="21" customHeight="1" x14ac:dyDescent="0.15">
      <c r="A84" s="6">
        <v>83</v>
      </c>
      <c r="B84" s="136">
        <v>1930</v>
      </c>
    </row>
    <row r="85" spans="1:2" ht="21" customHeight="1" x14ac:dyDescent="0.15">
      <c r="A85" s="6">
        <v>84</v>
      </c>
      <c r="B85" s="136">
        <v>1937</v>
      </c>
    </row>
    <row r="86" spans="1:2" ht="21" customHeight="1" x14ac:dyDescent="0.15">
      <c r="A86" s="6">
        <v>85</v>
      </c>
      <c r="B86" s="136">
        <v>1943</v>
      </c>
    </row>
    <row r="87" spans="1:2" ht="21" customHeight="1" x14ac:dyDescent="0.15">
      <c r="A87" s="6">
        <v>86</v>
      </c>
      <c r="B87" s="136">
        <v>1949</v>
      </c>
    </row>
    <row r="88" spans="1:2" ht="21" customHeight="1" x14ac:dyDescent="0.15">
      <c r="A88" s="6">
        <v>87</v>
      </c>
      <c r="B88" s="136">
        <v>1955</v>
      </c>
    </row>
    <row r="89" spans="1:2" ht="21" customHeight="1" x14ac:dyDescent="0.15">
      <c r="A89" s="6">
        <v>88</v>
      </c>
      <c r="B89" s="136">
        <v>1960</v>
      </c>
    </row>
    <row r="90" spans="1:2" ht="21" customHeight="1" x14ac:dyDescent="0.15">
      <c r="A90" s="6">
        <v>89</v>
      </c>
      <c r="B90" s="136">
        <v>1965</v>
      </c>
    </row>
    <row r="91" spans="1:2" ht="21" customHeight="1" x14ac:dyDescent="0.15">
      <c r="A91" s="6">
        <v>90</v>
      </c>
      <c r="B91" s="136">
        <v>1969</v>
      </c>
    </row>
    <row r="92" spans="1:2" ht="21" customHeight="1" x14ac:dyDescent="0.15">
      <c r="A92" s="6">
        <v>91</v>
      </c>
      <c r="B92" s="136">
        <v>1973</v>
      </c>
    </row>
    <row r="93" spans="1:2" ht="21" customHeight="1" x14ac:dyDescent="0.15">
      <c r="A93" s="6">
        <v>92</v>
      </c>
      <c r="B93" s="136">
        <v>1977</v>
      </c>
    </row>
    <row r="94" spans="1:2" ht="21" customHeight="1" x14ac:dyDescent="0.15">
      <c r="A94" s="6">
        <v>93</v>
      </c>
      <c r="B94" s="136">
        <v>1980</v>
      </c>
    </row>
    <row r="95" spans="1:2" ht="21" customHeight="1" x14ac:dyDescent="0.15">
      <c r="A95" s="6">
        <v>94</v>
      </c>
      <c r="B95" s="136">
        <v>1983</v>
      </c>
    </row>
    <row r="96" spans="1:2" ht="21" customHeight="1" x14ac:dyDescent="0.15">
      <c r="A96" s="6">
        <v>95</v>
      </c>
      <c r="B96" s="136">
        <v>1985</v>
      </c>
    </row>
    <row r="97" spans="1:2" ht="21" customHeight="1" x14ac:dyDescent="0.15">
      <c r="A97" s="6">
        <v>96</v>
      </c>
      <c r="B97" s="136">
        <v>1987</v>
      </c>
    </row>
    <row r="98" spans="1:2" ht="21" customHeight="1" x14ac:dyDescent="0.15">
      <c r="A98" s="6">
        <v>97</v>
      </c>
      <c r="B98" s="136">
        <v>1989</v>
      </c>
    </row>
    <row r="99" spans="1:2" ht="21" customHeight="1" x14ac:dyDescent="0.15">
      <c r="A99" s="6">
        <v>98</v>
      </c>
      <c r="B99" s="136">
        <v>1990</v>
      </c>
    </row>
    <row r="100" spans="1:2" ht="21" customHeight="1" x14ac:dyDescent="0.15">
      <c r="A100" s="6">
        <v>99</v>
      </c>
      <c r="B100" s="136">
        <v>1991</v>
      </c>
    </row>
  </sheetData>
  <sheetProtection selectLockedCells="1" selectUnlockedCells="1"/>
  <phoneticPr fontId="11"/>
  <pageMargins left="0.75" right="0.75" top="1" bottom="1" header="0.51180555555555551" footer="0.51180555555555551"/>
  <pageSetup paperSize="9" firstPageNumber="0"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>
    <tabColor rgb="FF008000"/>
  </sheetPr>
  <dimension ref="A1:B100"/>
  <sheetViews>
    <sheetView showGridLines="0" zoomScale="115" zoomScaleNormal="115" zoomScalePageLayoutView="115" workbookViewId="0">
      <pane ySplit="1" topLeftCell="A2" activePane="bottomLeft" state="frozen"/>
      <selection pane="bottomLeft"/>
    </sheetView>
  </sheetViews>
  <sheetFormatPr baseColWidth="12" defaultColWidth="12.83203125" defaultRowHeight="21" customHeight="1" x14ac:dyDescent="0.15"/>
  <cols>
    <col min="1" max="1" width="8.6640625" style="5" customWidth="1"/>
    <col min="2" max="16384" width="12.83203125" style="5"/>
  </cols>
  <sheetData>
    <row r="1" spans="1:2" ht="21" customHeight="1" x14ac:dyDescent="0.15">
      <c r="A1" s="89" t="s">
        <v>118</v>
      </c>
      <c r="B1" s="89" t="s">
        <v>117</v>
      </c>
    </row>
    <row r="2" spans="1:2" ht="21" customHeight="1" x14ac:dyDescent="0.15">
      <c r="A2" s="6">
        <v>1</v>
      </c>
      <c r="B2" s="6">
        <v>1</v>
      </c>
    </row>
    <row r="3" spans="1:2" ht="21" customHeight="1" x14ac:dyDescent="0.15">
      <c r="A3" s="6">
        <v>2</v>
      </c>
      <c r="B3" s="6">
        <v>1.01</v>
      </c>
    </row>
    <row r="4" spans="1:2" ht="21" customHeight="1" x14ac:dyDescent="0.15">
      <c r="A4" s="6">
        <v>3</v>
      </c>
      <c r="B4" s="6">
        <v>1.02</v>
      </c>
    </row>
    <row r="5" spans="1:2" ht="21" customHeight="1" x14ac:dyDescent="0.15">
      <c r="A5" s="6">
        <v>4</v>
      </c>
      <c r="B5" s="6">
        <v>1.03</v>
      </c>
    </row>
    <row r="6" spans="1:2" ht="21" customHeight="1" x14ac:dyDescent="0.15">
      <c r="A6" s="6">
        <v>5</v>
      </c>
      <c r="B6" s="6">
        <v>1.04</v>
      </c>
    </row>
    <row r="7" spans="1:2" ht="21" customHeight="1" x14ac:dyDescent="0.15">
      <c r="A7" s="6">
        <v>6</v>
      </c>
      <c r="B7" s="6">
        <v>1.05</v>
      </c>
    </row>
    <row r="8" spans="1:2" ht="21" customHeight="1" x14ac:dyDescent="0.15">
      <c r="A8" s="6">
        <v>7</v>
      </c>
      <c r="B8" s="6">
        <v>1.06</v>
      </c>
    </row>
    <row r="9" spans="1:2" ht="21" customHeight="1" x14ac:dyDescent="0.15">
      <c r="A9" s="6">
        <v>8</v>
      </c>
      <c r="B9" s="6">
        <v>1.07</v>
      </c>
    </row>
    <row r="10" spans="1:2" ht="21" customHeight="1" x14ac:dyDescent="0.15">
      <c r="A10" s="6">
        <v>9</v>
      </c>
      <c r="B10" s="6">
        <v>1.08</v>
      </c>
    </row>
    <row r="11" spans="1:2" ht="21" customHeight="1" x14ac:dyDescent="0.15">
      <c r="A11" s="6">
        <v>10</v>
      </c>
      <c r="B11" s="6">
        <v>1.0900000000000001</v>
      </c>
    </row>
    <row r="12" spans="1:2" ht="21" customHeight="1" x14ac:dyDescent="0.15">
      <c r="A12" s="6">
        <v>11</v>
      </c>
      <c r="B12" s="6">
        <v>1.1000000000000001</v>
      </c>
    </row>
    <row r="13" spans="1:2" ht="21" customHeight="1" x14ac:dyDescent="0.15">
      <c r="A13" s="6">
        <v>12</v>
      </c>
      <c r="B13" s="6">
        <v>1.1100000000000001</v>
      </c>
    </row>
    <row r="14" spans="1:2" ht="21" customHeight="1" x14ac:dyDescent="0.15">
      <c r="A14" s="6">
        <v>13</v>
      </c>
      <c r="B14" s="6">
        <v>1.1200000000000001</v>
      </c>
    </row>
    <row r="15" spans="1:2" ht="21" customHeight="1" x14ac:dyDescent="0.15">
      <c r="A15" s="6">
        <v>14</v>
      </c>
      <c r="B15" s="6">
        <v>1.1299999999999999</v>
      </c>
    </row>
    <row r="16" spans="1:2" ht="21" customHeight="1" x14ac:dyDescent="0.15">
      <c r="A16" s="6">
        <v>15</v>
      </c>
      <c r="B16" s="6">
        <v>1.1399999999999999</v>
      </c>
    </row>
    <row r="17" spans="1:2" ht="21" customHeight="1" x14ac:dyDescent="0.15">
      <c r="A17" s="6">
        <v>16</v>
      </c>
      <c r="B17" s="6">
        <v>1.1499999999999999</v>
      </c>
    </row>
    <row r="18" spans="1:2" ht="21" customHeight="1" x14ac:dyDescent="0.15">
      <c r="A18" s="6">
        <v>17</v>
      </c>
      <c r="B18" s="6">
        <v>1.1599999999999999</v>
      </c>
    </row>
    <row r="19" spans="1:2" ht="21" customHeight="1" x14ac:dyDescent="0.15">
      <c r="A19" s="6">
        <v>18</v>
      </c>
      <c r="B19" s="6">
        <v>1.17</v>
      </c>
    </row>
    <row r="20" spans="1:2" ht="21" customHeight="1" x14ac:dyDescent="0.15">
      <c r="A20" s="6">
        <v>19</v>
      </c>
      <c r="B20" s="6">
        <v>1.18</v>
      </c>
    </row>
    <row r="21" spans="1:2" ht="21" customHeight="1" x14ac:dyDescent="0.15">
      <c r="A21" s="6">
        <v>20</v>
      </c>
      <c r="B21" s="6">
        <v>1.19</v>
      </c>
    </row>
    <row r="22" spans="1:2" ht="21" customHeight="1" x14ac:dyDescent="0.15">
      <c r="A22" s="6">
        <v>21</v>
      </c>
      <c r="B22" s="6">
        <v>1.2</v>
      </c>
    </row>
    <row r="23" spans="1:2" ht="21" customHeight="1" x14ac:dyDescent="0.15">
      <c r="A23" s="6">
        <v>22</v>
      </c>
      <c r="B23" s="6">
        <v>1.21</v>
      </c>
    </row>
    <row r="24" spans="1:2" ht="21" customHeight="1" x14ac:dyDescent="0.15">
      <c r="A24" s="6">
        <v>23</v>
      </c>
      <c r="B24" s="6">
        <v>1.22</v>
      </c>
    </row>
    <row r="25" spans="1:2" ht="21" customHeight="1" x14ac:dyDescent="0.15">
      <c r="A25" s="6">
        <v>24</v>
      </c>
      <c r="B25" s="6">
        <v>1.23</v>
      </c>
    </row>
    <row r="26" spans="1:2" ht="21" customHeight="1" x14ac:dyDescent="0.15">
      <c r="A26" s="6">
        <v>25</v>
      </c>
      <c r="B26" s="6">
        <v>1.24</v>
      </c>
    </row>
    <row r="27" spans="1:2" ht="21" customHeight="1" x14ac:dyDescent="0.15">
      <c r="A27" s="6">
        <v>26</v>
      </c>
      <c r="B27" s="6">
        <v>1.25</v>
      </c>
    </row>
    <row r="28" spans="1:2" ht="21" customHeight="1" x14ac:dyDescent="0.15">
      <c r="A28" s="6">
        <v>27</v>
      </c>
      <c r="B28" s="6">
        <v>1.26</v>
      </c>
    </row>
    <row r="29" spans="1:2" ht="21" customHeight="1" x14ac:dyDescent="0.15">
      <c r="A29" s="6">
        <v>28</v>
      </c>
      <c r="B29" s="6">
        <v>1.27</v>
      </c>
    </row>
    <row r="30" spans="1:2" ht="21" customHeight="1" x14ac:dyDescent="0.15">
      <c r="A30" s="6">
        <v>29</v>
      </c>
      <c r="B30" s="6">
        <v>1.28</v>
      </c>
    </row>
    <row r="31" spans="1:2" ht="21" customHeight="1" x14ac:dyDescent="0.15">
      <c r="A31" s="6">
        <v>30</v>
      </c>
      <c r="B31" s="6">
        <v>1.29</v>
      </c>
    </row>
    <row r="32" spans="1:2" ht="21" customHeight="1" x14ac:dyDescent="0.15">
      <c r="A32" s="6">
        <v>31</v>
      </c>
      <c r="B32" s="6">
        <v>1.3</v>
      </c>
    </row>
    <row r="33" spans="1:2" ht="21" customHeight="1" x14ac:dyDescent="0.15">
      <c r="A33" s="6">
        <v>32</v>
      </c>
      <c r="B33" s="6">
        <v>1.31</v>
      </c>
    </row>
    <row r="34" spans="1:2" ht="21" customHeight="1" x14ac:dyDescent="0.15">
      <c r="A34" s="6">
        <v>33</v>
      </c>
      <c r="B34" s="6">
        <v>1.32</v>
      </c>
    </row>
    <row r="35" spans="1:2" ht="21" customHeight="1" x14ac:dyDescent="0.15">
      <c r="A35" s="6">
        <v>34</v>
      </c>
      <c r="B35" s="6">
        <v>1.33</v>
      </c>
    </row>
    <row r="36" spans="1:2" ht="21" customHeight="1" x14ac:dyDescent="0.15">
      <c r="A36" s="6">
        <v>35</v>
      </c>
      <c r="B36" s="6">
        <v>1.34</v>
      </c>
    </row>
    <row r="37" spans="1:2" ht="21" customHeight="1" x14ac:dyDescent="0.15">
      <c r="A37" s="6">
        <v>36</v>
      </c>
      <c r="B37" s="6">
        <v>1.35</v>
      </c>
    </row>
    <row r="38" spans="1:2" ht="21" customHeight="1" x14ac:dyDescent="0.15">
      <c r="A38" s="6">
        <v>37</v>
      </c>
      <c r="B38" s="6">
        <v>1.36</v>
      </c>
    </row>
    <row r="39" spans="1:2" ht="21" customHeight="1" x14ac:dyDescent="0.15">
      <c r="A39" s="6">
        <v>38</v>
      </c>
      <c r="B39" s="6">
        <v>1.37</v>
      </c>
    </row>
    <row r="40" spans="1:2" ht="21" customHeight="1" x14ac:dyDescent="0.15">
      <c r="A40" s="6">
        <v>39</v>
      </c>
      <c r="B40" s="6">
        <v>1.38</v>
      </c>
    </row>
    <row r="41" spans="1:2" ht="21" customHeight="1" x14ac:dyDescent="0.15">
      <c r="A41" s="6">
        <v>40</v>
      </c>
      <c r="B41" s="6">
        <v>1.39</v>
      </c>
    </row>
    <row r="42" spans="1:2" ht="21" customHeight="1" x14ac:dyDescent="0.15">
      <c r="A42" s="6">
        <v>41</v>
      </c>
      <c r="B42" s="6">
        <v>1.4</v>
      </c>
    </row>
    <row r="43" spans="1:2" ht="21" customHeight="1" x14ac:dyDescent="0.15">
      <c r="A43" s="6">
        <v>42</v>
      </c>
      <c r="B43" s="6">
        <v>1.41</v>
      </c>
    </row>
    <row r="44" spans="1:2" ht="21" customHeight="1" x14ac:dyDescent="0.15">
      <c r="A44" s="6">
        <v>43</v>
      </c>
      <c r="B44" s="6">
        <v>1.42</v>
      </c>
    </row>
    <row r="45" spans="1:2" ht="21" customHeight="1" x14ac:dyDescent="0.15">
      <c r="A45" s="6">
        <v>44</v>
      </c>
      <c r="B45" s="6">
        <v>1.43</v>
      </c>
    </row>
    <row r="46" spans="1:2" ht="21" customHeight="1" x14ac:dyDescent="0.15">
      <c r="A46" s="6">
        <v>45</v>
      </c>
      <c r="B46" s="6">
        <v>1.44</v>
      </c>
    </row>
    <row r="47" spans="1:2" ht="21" customHeight="1" x14ac:dyDescent="0.15">
      <c r="A47" s="6">
        <v>46</v>
      </c>
      <c r="B47" s="6">
        <v>1.45</v>
      </c>
    </row>
    <row r="48" spans="1:2" ht="21" customHeight="1" x14ac:dyDescent="0.15">
      <c r="A48" s="6">
        <v>47</v>
      </c>
      <c r="B48" s="6">
        <v>1.46</v>
      </c>
    </row>
    <row r="49" spans="1:2" ht="21" customHeight="1" x14ac:dyDescent="0.15">
      <c r="A49" s="6">
        <v>48</v>
      </c>
      <c r="B49" s="6">
        <v>1.47</v>
      </c>
    </row>
    <row r="50" spans="1:2" ht="21" customHeight="1" x14ac:dyDescent="0.15">
      <c r="A50" s="6">
        <v>49</v>
      </c>
      <c r="B50" s="6">
        <v>1.48</v>
      </c>
    </row>
    <row r="51" spans="1:2" ht="21" customHeight="1" x14ac:dyDescent="0.15">
      <c r="A51" s="6">
        <v>50</v>
      </c>
      <c r="B51" s="6">
        <v>1.49</v>
      </c>
    </row>
    <row r="52" spans="1:2" ht="21" customHeight="1" x14ac:dyDescent="0.15">
      <c r="A52" s="6">
        <v>51</v>
      </c>
      <c r="B52" s="6">
        <v>1.5</v>
      </c>
    </row>
    <row r="53" spans="1:2" ht="21" customHeight="1" x14ac:dyDescent="0.15">
      <c r="A53" s="6">
        <v>52</v>
      </c>
      <c r="B53" s="6">
        <v>1.51</v>
      </c>
    </row>
    <row r="54" spans="1:2" ht="21" customHeight="1" x14ac:dyDescent="0.15">
      <c r="A54" s="6">
        <v>53</v>
      </c>
      <c r="B54" s="6">
        <v>1.52</v>
      </c>
    </row>
    <row r="55" spans="1:2" ht="21" customHeight="1" x14ac:dyDescent="0.15">
      <c r="A55" s="6">
        <v>54</v>
      </c>
      <c r="B55" s="6">
        <v>1.53</v>
      </c>
    </row>
    <row r="56" spans="1:2" ht="21" customHeight="1" x14ac:dyDescent="0.15">
      <c r="A56" s="6">
        <v>55</v>
      </c>
      <c r="B56" s="6">
        <v>1.54</v>
      </c>
    </row>
    <row r="57" spans="1:2" ht="21" customHeight="1" x14ac:dyDescent="0.15">
      <c r="A57" s="6">
        <v>56</v>
      </c>
      <c r="B57" s="6">
        <v>1.55</v>
      </c>
    </row>
    <row r="58" spans="1:2" ht="21" customHeight="1" x14ac:dyDescent="0.15">
      <c r="A58" s="6">
        <v>57</v>
      </c>
      <c r="B58" s="6">
        <v>1.56</v>
      </c>
    </row>
    <row r="59" spans="1:2" ht="21" customHeight="1" x14ac:dyDescent="0.15">
      <c r="A59" s="6">
        <v>58</v>
      </c>
      <c r="B59" s="6">
        <v>1.57</v>
      </c>
    </row>
    <row r="60" spans="1:2" ht="21" customHeight="1" x14ac:dyDescent="0.15">
      <c r="A60" s="6">
        <v>59</v>
      </c>
      <c r="B60" s="6">
        <v>1.58</v>
      </c>
    </row>
    <row r="61" spans="1:2" ht="21" customHeight="1" x14ac:dyDescent="0.15">
      <c r="A61" s="6">
        <v>60</v>
      </c>
      <c r="B61" s="6">
        <v>1.59</v>
      </c>
    </row>
    <row r="62" spans="1:2" ht="21" customHeight="1" x14ac:dyDescent="0.15">
      <c r="A62" s="6">
        <v>61</v>
      </c>
      <c r="B62" s="6">
        <v>1.6</v>
      </c>
    </row>
    <row r="63" spans="1:2" ht="21" customHeight="1" x14ac:dyDescent="0.15">
      <c r="A63" s="6">
        <v>62</v>
      </c>
      <c r="B63" s="6">
        <v>1.61</v>
      </c>
    </row>
    <row r="64" spans="1:2" ht="21" customHeight="1" x14ac:dyDescent="0.15">
      <c r="A64" s="6">
        <v>63</v>
      </c>
      <c r="B64" s="6">
        <v>1.62</v>
      </c>
    </row>
    <row r="65" spans="1:2" ht="21" customHeight="1" x14ac:dyDescent="0.15">
      <c r="A65" s="6">
        <v>64</v>
      </c>
      <c r="B65" s="6">
        <v>1.63</v>
      </c>
    </row>
    <row r="66" spans="1:2" ht="21" customHeight="1" x14ac:dyDescent="0.15">
      <c r="A66" s="6">
        <v>65</v>
      </c>
      <c r="B66" s="6">
        <v>1.64</v>
      </c>
    </row>
    <row r="67" spans="1:2" ht="21" customHeight="1" x14ac:dyDescent="0.15">
      <c r="A67" s="6">
        <v>66</v>
      </c>
      <c r="B67" s="6">
        <v>1.65</v>
      </c>
    </row>
    <row r="68" spans="1:2" ht="21" customHeight="1" x14ac:dyDescent="0.15">
      <c r="A68" s="6">
        <v>67</v>
      </c>
      <c r="B68" s="6">
        <v>1.66</v>
      </c>
    </row>
    <row r="69" spans="1:2" ht="21" customHeight="1" x14ac:dyDescent="0.15">
      <c r="A69" s="6">
        <v>68</v>
      </c>
      <c r="B69" s="6">
        <v>1.67</v>
      </c>
    </row>
    <row r="70" spans="1:2" ht="21" customHeight="1" x14ac:dyDescent="0.15">
      <c r="A70" s="6">
        <v>69</v>
      </c>
      <c r="B70" s="6">
        <v>1.68</v>
      </c>
    </row>
    <row r="71" spans="1:2" ht="21" customHeight="1" x14ac:dyDescent="0.15">
      <c r="A71" s="6">
        <v>70</v>
      </c>
      <c r="B71" s="6">
        <v>1.69</v>
      </c>
    </row>
    <row r="72" spans="1:2" ht="21" customHeight="1" x14ac:dyDescent="0.15">
      <c r="A72" s="6">
        <v>71</v>
      </c>
      <c r="B72" s="6">
        <v>1.7</v>
      </c>
    </row>
    <row r="73" spans="1:2" ht="21" customHeight="1" x14ac:dyDescent="0.15">
      <c r="A73" s="6">
        <v>72</v>
      </c>
      <c r="B73" s="6">
        <v>1.71</v>
      </c>
    </row>
    <row r="74" spans="1:2" ht="21" customHeight="1" x14ac:dyDescent="0.15">
      <c r="A74" s="6">
        <v>73</v>
      </c>
      <c r="B74" s="6">
        <v>1.72</v>
      </c>
    </row>
    <row r="75" spans="1:2" ht="21" customHeight="1" x14ac:dyDescent="0.15">
      <c r="A75" s="6">
        <v>74</v>
      </c>
      <c r="B75" s="6">
        <v>1.73</v>
      </c>
    </row>
    <row r="76" spans="1:2" ht="21" customHeight="1" x14ac:dyDescent="0.15">
      <c r="A76" s="6">
        <v>75</v>
      </c>
      <c r="B76" s="6">
        <v>1.74</v>
      </c>
    </row>
    <row r="77" spans="1:2" ht="21" customHeight="1" x14ac:dyDescent="0.15">
      <c r="A77" s="6">
        <v>76</v>
      </c>
      <c r="B77" s="6">
        <v>1.75</v>
      </c>
    </row>
    <row r="78" spans="1:2" ht="21" customHeight="1" x14ac:dyDescent="0.15">
      <c r="A78" s="6">
        <v>77</v>
      </c>
      <c r="B78" s="6">
        <v>1.76</v>
      </c>
    </row>
    <row r="79" spans="1:2" ht="21" customHeight="1" x14ac:dyDescent="0.15">
      <c r="A79" s="6">
        <v>78</v>
      </c>
      <c r="B79" s="6">
        <v>1.77</v>
      </c>
    </row>
    <row r="80" spans="1:2" ht="21" customHeight="1" x14ac:dyDescent="0.15">
      <c r="A80" s="6">
        <v>79</v>
      </c>
      <c r="B80" s="6">
        <v>1.78</v>
      </c>
    </row>
    <row r="81" spans="1:2" ht="21" customHeight="1" x14ac:dyDescent="0.15">
      <c r="A81" s="6">
        <v>80</v>
      </c>
      <c r="B81" s="6">
        <v>1.79</v>
      </c>
    </row>
    <row r="82" spans="1:2" ht="21" customHeight="1" x14ac:dyDescent="0.15">
      <c r="A82" s="6">
        <v>81</v>
      </c>
      <c r="B82" s="6">
        <v>1.8</v>
      </c>
    </row>
    <row r="83" spans="1:2" ht="21" customHeight="1" x14ac:dyDescent="0.15">
      <c r="A83" s="6">
        <v>82</v>
      </c>
      <c r="B83" s="6">
        <v>1.81</v>
      </c>
    </row>
    <row r="84" spans="1:2" ht="21" customHeight="1" x14ac:dyDescent="0.15">
      <c r="A84" s="6">
        <v>83</v>
      </c>
      <c r="B84" s="6">
        <v>1.82</v>
      </c>
    </row>
    <row r="85" spans="1:2" ht="21" customHeight="1" x14ac:dyDescent="0.15">
      <c r="A85" s="6">
        <v>84</v>
      </c>
      <c r="B85" s="6">
        <v>1.83</v>
      </c>
    </row>
    <row r="86" spans="1:2" ht="21" customHeight="1" x14ac:dyDescent="0.15">
      <c r="A86" s="6">
        <v>85</v>
      </c>
      <c r="B86" s="6">
        <v>1.84</v>
      </c>
    </row>
    <row r="87" spans="1:2" ht="21" customHeight="1" x14ac:dyDescent="0.15">
      <c r="A87" s="6">
        <v>86</v>
      </c>
      <c r="B87" s="6">
        <v>1.85</v>
      </c>
    </row>
    <row r="88" spans="1:2" ht="21" customHeight="1" x14ac:dyDescent="0.15">
      <c r="A88" s="6">
        <v>87</v>
      </c>
      <c r="B88" s="6">
        <v>1.86</v>
      </c>
    </row>
    <row r="89" spans="1:2" ht="21" customHeight="1" x14ac:dyDescent="0.15">
      <c r="A89" s="6">
        <v>88</v>
      </c>
      <c r="B89" s="6">
        <v>1.87</v>
      </c>
    </row>
    <row r="90" spans="1:2" ht="21" customHeight="1" x14ac:dyDescent="0.15">
      <c r="A90" s="6">
        <v>89</v>
      </c>
      <c r="B90" s="6">
        <v>1.88</v>
      </c>
    </row>
    <row r="91" spans="1:2" ht="21" customHeight="1" x14ac:dyDescent="0.15">
      <c r="A91" s="6">
        <v>90</v>
      </c>
      <c r="B91" s="6">
        <v>1.89</v>
      </c>
    </row>
    <row r="92" spans="1:2" ht="21" customHeight="1" x14ac:dyDescent="0.15">
      <c r="A92" s="6">
        <v>91</v>
      </c>
      <c r="B92" s="6">
        <v>1.9</v>
      </c>
    </row>
    <row r="93" spans="1:2" ht="21" customHeight="1" x14ac:dyDescent="0.15">
      <c r="A93" s="6">
        <v>92</v>
      </c>
      <c r="B93" s="6">
        <v>1.91</v>
      </c>
    </row>
    <row r="94" spans="1:2" ht="21" customHeight="1" x14ac:dyDescent="0.15">
      <c r="A94" s="6">
        <v>93</v>
      </c>
      <c r="B94" s="6">
        <v>1.92</v>
      </c>
    </row>
    <row r="95" spans="1:2" ht="21" customHeight="1" x14ac:dyDescent="0.15">
      <c r="A95" s="6">
        <v>94</v>
      </c>
      <c r="B95" s="6">
        <v>1.93</v>
      </c>
    </row>
    <row r="96" spans="1:2" ht="21" customHeight="1" x14ac:dyDescent="0.15">
      <c r="A96" s="6">
        <v>95</v>
      </c>
      <c r="B96" s="6">
        <v>1.94</v>
      </c>
    </row>
    <row r="97" spans="1:2" ht="21" customHeight="1" x14ac:dyDescent="0.15">
      <c r="A97" s="6">
        <v>96</v>
      </c>
      <c r="B97" s="6">
        <v>1.95</v>
      </c>
    </row>
    <row r="98" spans="1:2" ht="21" customHeight="1" x14ac:dyDescent="0.15">
      <c r="A98" s="6">
        <v>97</v>
      </c>
      <c r="B98" s="6">
        <v>1.96</v>
      </c>
    </row>
    <row r="99" spans="1:2" ht="21" customHeight="1" x14ac:dyDescent="0.15">
      <c r="A99" s="6">
        <v>98</v>
      </c>
      <c r="B99" s="6">
        <v>1.97</v>
      </c>
    </row>
    <row r="100" spans="1:2" ht="21" customHeight="1" x14ac:dyDescent="0.15">
      <c r="A100" s="6">
        <v>99</v>
      </c>
      <c r="B100" s="6">
        <v>1.98</v>
      </c>
    </row>
  </sheetData>
  <sheetProtection selectLockedCells="1" selectUnlockedCells="1"/>
  <phoneticPr fontId="11"/>
  <pageMargins left="0.75" right="0.75" top="1" bottom="1" header="0.51180555555555551" footer="0.51180555555555551"/>
  <pageSetup paperSize="9" firstPageNumber="0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output</vt:lpstr>
      <vt:lpstr>ステータス理論値幅</vt:lpstr>
      <vt:lpstr>units</vt:lpstr>
      <vt:lpstr>awake_materials</vt:lpstr>
      <vt:lpstr>awake_material_habitats</vt:lpstr>
      <vt:lpstr>awake_material_habitats_manual</vt:lpstr>
      <vt:lpstr>limitbreak_materials</vt:lpstr>
      <vt:lpstr>ghosts_label</vt:lpstr>
      <vt:lpstr>コスト</vt:lpstr>
      <vt:lpstr>レベル</vt:lpstr>
      <vt:lpstr>経験値</vt:lpstr>
      <vt:lpstr>RC6SV</vt:lpstr>
      <vt:lpstr>ビット</vt:lpstr>
      <vt:lpstr>unit_exp_table</vt:lpstr>
      <vt:lpstr>unit_material_exp</vt:lpstr>
      <vt:lpstr>unit_soldprice_rate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2017-06-06T10:55:43Z</dcterms:modified>
</cp:coreProperties>
</file>