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240" windowWidth="25360" windowHeight="15760" tabRatio="943" activeTab="1"/>
  </bookViews>
  <sheets>
    <sheet name="output" sheetId="103" r:id="rId1"/>
    <sheet name="gacha_181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gacha_181_base!$A$42:$B$68</definedName>
    <definedName name="_xlnm._FilterDatabase" localSheetId="4" hidden="1">gacha_bonus_tables!$B$1:$G$1</definedName>
    <definedName name="_xlnm._FilterDatabase" localSheetId="2" hidden="1">gacha_select_tables!$A$1:$S$380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105" l="1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D13" i="105"/>
  <c r="A13" i="105"/>
  <c r="H365" i="82"/>
  <c r="I365" i="82"/>
  <c r="D365" i="82"/>
  <c r="H364" i="82"/>
  <c r="I364" i="82"/>
  <c r="D364" i="82"/>
  <c r="H363" i="82"/>
  <c r="I363" i="82"/>
  <c r="D363" i="82"/>
  <c r="H362" i="82"/>
  <c r="I362" i="82"/>
  <c r="D362" i="82"/>
  <c r="H319" i="82"/>
  <c r="I319" i="82"/>
  <c r="D319" i="82"/>
  <c r="H318" i="82"/>
  <c r="I318" i="82"/>
  <c r="D318" i="82"/>
  <c r="H317" i="82"/>
  <c r="I317" i="82"/>
  <c r="D317" i="82"/>
  <c r="H311" i="82"/>
  <c r="I311" i="82"/>
  <c r="D311" i="82"/>
  <c r="H310" i="82"/>
  <c r="I310" i="82"/>
  <c r="D310" i="82"/>
  <c r="H309" i="82"/>
  <c r="I309" i="82"/>
  <c r="D309" i="82"/>
  <c r="H145" i="82"/>
  <c r="I145" i="82"/>
  <c r="D145" i="82"/>
  <c r="H144" i="82"/>
  <c r="I144" i="82"/>
  <c r="D144" i="82"/>
  <c r="H143" i="82"/>
  <c r="I143" i="82"/>
  <c r="D143" i="82"/>
  <c r="H142" i="82"/>
  <c r="I142" i="82"/>
  <c r="D142" i="82"/>
  <c r="H107" i="82"/>
  <c r="I107" i="82"/>
  <c r="D107" i="82"/>
  <c r="H106" i="82"/>
  <c r="I106" i="82"/>
  <c r="D106" i="82"/>
  <c r="H101" i="82"/>
  <c r="I101" i="82"/>
  <c r="D101" i="82"/>
  <c r="H100" i="82"/>
  <c r="I100" i="82"/>
  <c r="D100" i="82"/>
  <c r="L9" i="96"/>
  <c r="L8" i="96"/>
  <c r="L7" i="96"/>
  <c r="L6" i="96"/>
  <c r="L3" i="96"/>
  <c r="L2" i="96"/>
  <c r="H5" i="105"/>
  <c r="G16" i="105"/>
  <c r="L5" i="96"/>
  <c r="L4" i="96"/>
  <c r="G3" i="96"/>
  <c r="H3" i="96"/>
  <c r="C3" i="96"/>
  <c r="G4" i="96"/>
  <c r="H4" i="96"/>
  <c r="C4" i="96"/>
  <c r="G5" i="96"/>
  <c r="H5" i="96"/>
  <c r="C5" i="96"/>
  <c r="G6" i="96"/>
  <c r="H6" i="96"/>
  <c r="C6" i="96"/>
  <c r="G7" i="96"/>
  <c r="H7" i="96"/>
  <c r="C7" i="96"/>
  <c r="G8" i="96"/>
  <c r="H8" i="96"/>
  <c r="C8" i="96"/>
  <c r="G9" i="96"/>
  <c r="H9" i="96"/>
  <c r="C9" i="96"/>
  <c r="G2" i="96"/>
  <c r="H2" i="96"/>
  <c r="C2" i="96"/>
  <c r="A31" i="94"/>
  <c r="A30" i="94"/>
  <c r="A29" i="94"/>
  <c r="A13" i="94"/>
  <c r="A12" i="94"/>
  <c r="F4" i="96"/>
  <c r="I4" i="96"/>
  <c r="J4" i="96"/>
  <c r="K4" i="96"/>
  <c r="M4" i="96"/>
  <c r="N4" i="96"/>
  <c r="O4" i="96"/>
  <c r="P4" i="96"/>
  <c r="Q4" i="96"/>
  <c r="R4" i="96"/>
  <c r="F5" i="96"/>
  <c r="I5" i="96"/>
  <c r="J5" i="96"/>
  <c r="K5" i="96"/>
  <c r="M5" i="96"/>
  <c r="N5" i="96"/>
  <c r="O5" i="96"/>
  <c r="P5" i="96"/>
  <c r="Q5" i="96"/>
  <c r="R5" i="96"/>
  <c r="F6" i="96"/>
  <c r="I6" i="96"/>
  <c r="J6" i="96"/>
  <c r="K6" i="96"/>
  <c r="M6" i="96"/>
  <c r="N6" i="96"/>
  <c r="O6" i="96"/>
  <c r="P6" i="96"/>
  <c r="Q6" i="96"/>
  <c r="R6" i="96"/>
  <c r="F7" i="96"/>
  <c r="I7" i="96"/>
  <c r="J7" i="96"/>
  <c r="K7" i="96"/>
  <c r="M7" i="96"/>
  <c r="N7" i="96"/>
  <c r="O7" i="96"/>
  <c r="P7" i="96"/>
  <c r="Q7" i="96"/>
  <c r="R7" i="96"/>
  <c r="F8" i="96"/>
  <c r="I8" i="96"/>
  <c r="J8" i="96"/>
  <c r="K8" i="96"/>
  <c r="M8" i="96"/>
  <c r="N8" i="96"/>
  <c r="O8" i="96"/>
  <c r="P8" i="96"/>
  <c r="Q8" i="96"/>
  <c r="R8" i="96"/>
  <c r="F9" i="96"/>
  <c r="I9" i="96"/>
  <c r="J9" i="96"/>
  <c r="K9" i="96"/>
  <c r="M9" i="96"/>
  <c r="N9" i="96"/>
  <c r="O9" i="96"/>
  <c r="P9" i="96"/>
  <c r="Q9" i="96"/>
  <c r="R9" i="96"/>
  <c r="R2" i="96"/>
  <c r="Q2" i="96"/>
  <c r="P2" i="96"/>
  <c r="O2" i="96"/>
  <c r="N2" i="96"/>
  <c r="M2" i="96"/>
  <c r="R3" i="96"/>
  <c r="Q3" i="96"/>
  <c r="P3" i="96"/>
  <c r="O3" i="96"/>
  <c r="N3" i="96"/>
  <c r="M3" i="96"/>
  <c r="F3" i="96"/>
  <c r="K3" i="96"/>
  <c r="J3" i="96"/>
  <c r="I3" i="96"/>
  <c r="F2" i="96"/>
  <c r="K2" i="96"/>
  <c r="J2" i="96"/>
  <c r="I2" i="96"/>
  <c r="B2" i="104"/>
  <c r="B3" i="104"/>
  <c r="B4" i="104"/>
  <c r="B5" i="104"/>
  <c r="B6" i="104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E5" i="105"/>
  <c r="D16" i="105"/>
  <c r="B5" i="105"/>
  <c r="A16" i="105"/>
  <c r="B48" i="104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2" i="82"/>
  <c r="I2" i="82"/>
  <c r="D2" i="82"/>
  <c r="A3" i="94"/>
  <c r="M2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A4" i="94"/>
  <c r="A5" i="94"/>
  <c r="A6" i="94"/>
  <c r="A7" i="94"/>
  <c r="A8" i="94"/>
  <c r="A9" i="94"/>
  <c r="A10" i="94"/>
  <c r="A11" i="94"/>
  <c r="A17" i="94"/>
  <c r="A18" i="94"/>
  <c r="A19" i="94"/>
  <c r="A20" i="94"/>
  <c r="A21" i="94"/>
  <c r="A22" i="94"/>
  <c r="A23" i="94"/>
  <c r="A24" i="94"/>
  <c r="A25" i="94"/>
  <c r="A26" i="94"/>
  <c r="A27" i="94"/>
  <c r="A28" i="94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S380" i="82"/>
  <c r="R380" i="82"/>
  <c r="Q380" i="82"/>
  <c r="P380" i="82"/>
  <c r="O380" i="82"/>
  <c r="L380" i="82"/>
  <c r="K380" i="82"/>
  <c r="J380" i="82"/>
  <c r="G380" i="82"/>
  <c r="C380" i="82"/>
  <c r="A380" i="82"/>
  <c r="S379" i="82"/>
  <c r="R379" i="82"/>
  <c r="Q379" i="82"/>
  <c r="P379" i="82"/>
  <c r="O379" i="82"/>
  <c r="L379" i="82"/>
  <c r="K379" i="82"/>
  <c r="J379" i="82"/>
  <c r="G379" i="82"/>
  <c r="C379" i="82"/>
  <c r="A379" i="82"/>
  <c r="S378" i="82"/>
  <c r="R378" i="82"/>
  <c r="Q378" i="82"/>
  <c r="P378" i="82"/>
  <c r="O378" i="82"/>
  <c r="L378" i="82"/>
  <c r="K378" i="82"/>
  <c r="J378" i="82"/>
  <c r="G378" i="82"/>
  <c r="C378" i="82"/>
  <c r="A378" i="82"/>
  <c r="S377" i="82"/>
  <c r="R377" i="82"/>
  <c r="Q377" i="82"/>
  <c r="P377" i="82"/>
  <c r="O377" i="82"/>
  <c r="L377" i="82"/>
  <c r="K377" i="82"/>
  <c r="J377" i="82"/>
  <c r="G377" i="82"/>
  <c r="C377" i="82"/>
  <c r="A377" i="82"/>
  <c r="S376" i="82"/>
  <c r="R376" i="82"/>
  <c r="Q376" i="82"/>
  <c r="P376" i="82"/>
  <c r="O376" i="82"/>
  <c r="L376" i="82"/>
  <c r="K376" i="82"/>
  <c r="J376" i="82"/>
  <c r="G376" i="82"/>
  <c r="C376" i="82"/>
  <c r="A376" i="82"/>
  <c r="S375" i="82"/>
  <c r="R375" i="82"/>
  <c r="Q375" i="82"/>
  <c r="P375" i="82"/>
  <c r="O375" i="82"/>
  <c r="L375" i="82"/>
  <c r="K375" i="82"/>
  <c r="J375" i="82"/>
  <c r="G375" i="82"/>
  <c r="C375" i="82"/>
  <c r="A375" i="82"/>
  <c r="S374" i="82"/>
  <c r="R374" i="82"/>
  <c r="Q374" i="82"/>
  <c r="P374" i="82"/>
  <c r="O374" i="82"/>
  <c r="L374" i="82"/>
  <c r="K374" i="82"/>
  <c r="J374" i="82"/>
  <c r="G374" i="82"/>
  <c r="C374" i="82"/>
  <c r="A374" i="82"/>
  <c r="S373" i="82"/>
  <c r="R373" i="82"/>
  <c r="Q373" i="82"/>
  <c r="P373" i="82"/>
  <c r="O373" i="82"/>
  <c r="L373" i="82"/>
  <c r="K373" i="82"/>
  <c r="J373" i="82"/>
  <c r="G373" i="82"/>
  <c r="C373" i="82"/>
  <c r="A373" i="82"/>
  <c r="S372" i="82"/>
  <c r="R372" i="82"/>
  <c r="Q372" i="82"/>
  <c r="P372" i="82"/>
  <c r="O372" i="82"/>
  <c r="L372" i="82"/>
  <c r="K372" i="82"/>
  <c r="J372" i="82"/>
  <c r="G372" i="82"/>
  <c r="C372" i="82"/>
  <c r="A372" i="82"/>
  <c r="S371" i="82"/>
  <c r="R371" i="82"/>
  <c r="Q371" i="82"/>
  <c r="P371" i="82"/>
  <c r="O371" i="82"/>
  <c r="L371" i="82"/>
  <c r="K371" i="82"/>
  <c r="J371" i="82"/>
  <c r="G371" i="82"/>
  <c r="C371" i="82"/>
  <c r="A371" i="82"/>
  <c r="S370" i="82"/>
  <c r="R370" i="82"/>
  <c r="Q370" i="82"/>
  <c r="P370" i="82"/>
  <c r="O370" i="82"/>
  <c r="L370" i="82"/>
  <c r="K370" i="82"/>
  <c r="J370" i="82"/>
  <c r="G370" i="82"/>
  <c r="C370" i="82"/>
  <c r="A370" i="82"/>
  <c r="S369" i="82"/>
  <c r="R369" i="82"/>
  <c r="Q369" i="82"/>
  <c r="P369" i="82"/>
  <c r="O369" i="82"/>
  <c r="L369" i="82"/>
  <c r="K369" i="82"/>
  <c r="J369" i="82"/>
  <c r="G369" i="82"/>
  <c r="C369" i="82"/>
  <c r="A369" i="82"/>
  <c r="S368" i="82"/>
  <c r="R368" i="82"/>
  <c r="Q368" i="82"/>
  <c r="P368" i="82"/>
  <c r="O368" i="82"/>
  <c r="L368" i="82"/>
  <c r="K368" i="82"/>
  <c r="J368" i="82"/>
  <c r="G368" i="82"/>
  <c r="C368" i="82"/>
  <c r="A368" i="82"/>
  <c r="S367" i="82"/>
  <c r="R367" i="82"/>
  <c r="Q367" i="82"/>
  <c r="P367" i="82"/>
  <c r="O367" i="82"/>
  <c r="L367" i="82"/>
  <c r="K367" i="82"/>
  <c r="J367" i="82"/>
  <c r="G367" i="82"/>
  <c r="C367" i="82"/>
  <c r="A367" i="82"/>
  <c r="S366" i="82"/>
  <c r="R366" i="82"/>
  <c r="Q366" i="82"/>
  <c r="P366" i="82"/>
  <c r="O366" i="82"/>
  <c r="L366" i="82"/>
  <c r="K366" i="82"/>
  <c r="J366" i="82"/>
  <c r="G366" i="82"/>
  <c r="C366" i="82"/>
  <c r="A366" i="82"/>
  <c r="S365" i="82"/>
  <c r="R365" i="82"/>
  <c r="Q365" i="82"/>
  <c r="P365" i="82"/>
  <c r="O365" i="82"/>
  <c r="L365" i="82"/>
  <c r="K365" i="82"/>
  <c r="J365" i="82"/>
  <c r="G365" i="82"/>
  <c r="C365" i="82"/>
  <c r="A365" i="82"/>
  <c r="S364" i="82"/>
  <c r="R364" i="82"/>
  <c r="Q364" i="82"/>
  <c r="P364" i="82"/>
  <c r="O364" i="82"/>
  <c r="L364" i="82"/>
  <c r="K364" i="82"/>
  <c r="J364" i="82"/>
  <c r="G364" i="82"/>
  <c r="C364" i="82"/>
  <c r="A364" i="82"/>
  <c r="S363" i="82"/>
  <c r="R363" i="82"/>
  <c r="Q363" i="82"/>
  <c r="P363" i="82"/>
  <c r="O363" i="82"/>
  <c r="L363" i="82"/>
  <c r="K363" i="82"/>
  <c r="J363" i="82"/>
  <c r="G363" i="82"/>
  <c r="C363" i="82"/>
  <c r="A363" i="82"/>
  <c r="S362" i="82"/>
  <c r="R362" i="82"/>
  <c r="Q362" i="82"/>
  <c r="P362" i="82"/>
  <c r="O362" i="82"/>
  <c r="L362" i="82"/>
  <c r="K362" i="82"/>
  <c r="J362" i="82"/>
  <c r="G362" i="82"/>
  <c r="C362" i="82"/>
  <c r="A362" i="82"/>
  <c r="S361" i="82"/>
  <c r="R361" i="82"/>
  <c r="Q361" i="82"/>
  <c r="P361" i="82"/>
  <c r="O361" i="82"/>
  <c r="L361" i="82"/>
  <c r="K361" i="82"/>
  <c r="J361" i="82"/>
  <c r="G361" i="82"/>
  <c r="C361" i="82"/>
  <c r="A361" i="82"/>
  <c r="S360" i="82"/>
  <c r="R360" i="82"/>
  <c r="Q360" i="82"/>
  <c r="P360" i="82"/>
  <c r="O360" i="82"/>
  <c r="L360" i="82"/>
  <c r="K360" i="82"/>
  <c r="J360" i="82"/>
  <c r="G360" i="82"/>
  <c r="C360" i="82"/>
  <c r="A360" i="82"/>
  <c r="S359" i="82"/>
  <c r="R359" i="82"/>
  <c r="Q359" i="82"/>
  <c r="P359" i="82"/>
  <c r="O359" i="82"/>
  <c r="L359" i="82"/>
  <c r="K359" i="82"/>
  <c r="J359" i="82"/>
  <c r="G359" i="82"/>
  <c r="C359" i="82"/>
  <c r="A359" i="82"/>
  <c r="S358" i="82"/>
  <c r="R358" i="82"/>
  <c r="Q358" i="82"/>
  <c r="P358" i="82"/>
  <c r="O358" i="82"/>
  <c r="L358" i="82"/>
  <c r="K358" i="82"/>
  <c r="J358" i="82"/>
  <c r="G358" i="82"/>
  <c r="C358" i="82"/>
  <c r="A358" i="82"/>
  <c r="S357" i="82"/>
  <c r="R357" i="82"/>
  <c r="Q357" i="82"/>
  <c r="P357" i="82"/>
  <c r="O357" i="82"/>
  <c r="L357" i="82"/>
  <c r="K357" i="82"/>
  <c r="J357" i="82"/>
  <c r="G357" i="82"/>
  <c r="C357" i="82"/>
  <c r="A357" i="82"/>
  <c r="S356" i="82"/>
  <c r="R356" i="82"/>
  <c r="Q356" i="82"/>
  <c r="P356" i="82"/>
  <c r="O356" i="82"/>
  <c r="L356" i="82"/>
  <c r="K356" i="82"/>
  <c r="J356" i="82"/>
  <c r="G356" i="82"/>
  <c r="C356" i="82"/>
  <c r="A356" i="82"/>
  <c r="S355" i="82"/>
  <c r="R355" i="82"/>
  <c r="Q355" i="82"/>
  <c r="P355" i="82"/>
  <c r="O355" i="82"/>
  <c r="L355" i="82"/>
  <c r="K355" i="82"/>
  <c r="J355" i="82"/>
  <c r="G355" i="82"/>
  <c r="C355" i="82"/>
  <c r="A355" i="82"/>
  <c r="S354" i="82"/>
  <c r="R354" i="82"/>
  <c r="Q354" i="82"/>
  <c r="P354" i="82"/>
  <c r="O354" i="82"/>
  <c r="L354" i="82"/>
  <c r="K354" i="82"/>
  <c r="J354" i="82"/>
  <c r="G354" i="82"/>
  <c r="C354" i="82"/>
  <c r="A354" i="82"/>
  <c r="S353" i="82"/>
  <c r="R353" i="82"/>
  <c r="Q353" i="82"/>
  <c r="P353" i="82"/>
  <c r="O353" i="82"/>
  <c r="L353" i="82"/>
  <c r="K353" i="82"/>
  <c r="J353" i="82"/>
  <c r="G353" i="82"/>
  <c r="C353" i="82"/>
  <c r="A353" i="82"/>
  <c r="S352" i="82"/>
  <c r="R352" i="82"/>
  <c r="Q352" i="82"/>
  <c r="P352" i="82"/>
  <c r="O352" i="82"/>
  <c r="L352" i="82"/>
  <c r="K352" i="82"/>
  <c r="J352" i="82"/>
  <c r="G352" i="82"/>
  <c r="C352" i="82"/>
  <c r="A352" i="82"/>
  <c r="S351" i="82"/>
  <c r="R351" i="82"/>
  <c r="Q351" i="82"/>
  <c r="P351" i="82"/>
  <c r="O351" i="82"/>
  <c r="L351" i="82"/>
  <c r="K351" i="82"/>
  <c r="J351" i="82"/>
  <c r="G351" i="82"/>
  <c r="C351" i="82"/>
  <c r="A351" i="82"/>
  <c r="S350" i="82"/>
  <c r="R350" i="82"/>
  <c r="Q350" i="82"/>
  <c r="P350" i="82"/>
  <c r="O350" i="82"/>
  <c r="L350" i="82"/>
  <c r="K350" i="82"/>
  <c r="J350" i="82"/>
  <c r="G350" i="82"/>
  <c r="C350" i="82"/>
  <c r="A350" i="82"/>
  <c r="S349" i="82"/>
  <c r="R349" i="82"/>
  <c r="Q349" i="82"/>
  <c r="P349" i="82"/>
  <c r="O349" i="82"/>
  <c r="L349" i="82"/>
  <c r="K349" i="82"/>
  <c r="J349" i="82"/>
  <c r="G349" i="82"/>
  <c r="C349" i="82"/>
  <c r="A349" i="82"/>
  <c r="S348" i="82"/>
  <c r="R348" i="82"/>
  <c r="Q348" i="82"/>
  <c r="P348" i="82"/>
  <c r="O348" i="82"/>
  <c r="L348" i="82"/>
  <c r="K348" i="82"/>
  <c r="J348" i="82"/>
  <c r="G348" i="82"/>
  <c r="C348" i="82"/>
  <c r="A348" i="82"/>
  <c r="S347" i="82"/>
  <c r="R347" i="82"/>
  <c r="Q347" i="82"/>
  <c r="P347" i="82"/>
  <c r="O347" i="82"/>
  <c r="L347" i="82"/>
  <c r="K347" i="82"/>
  <c r="J347" i="82"/>
  <c r="G347" i="82"/>
  <c r="C347" i="82"/>
  <c r="A347" i="82"/>
  <c r="S346" i="82"/>
  <c r="R346" i="82"/>
  <c r="Q346" i="82"/>
  <c r="P346" i="82"/>
  <c r="O346" i="82"/>
  <c r="L346" i="82"/>
  <c r="K346" i="82"/>
  <c r="J346" i="82"/>
  <c r="G346" i="82"/>
  <c r="C346" i="82"/>
  <c r="A346" i="82"/>
  <c r="S345" i="82"/>
  <c r="R345" i="82"/>
  <c r="Q345" i="82"/>
  <c r="P345" i="82"/>
  <c r="O345" i="82"/>
  <c r="L345" i="82"/>
  <c r="K345" i="82"/>
  <c r="J345" i="82"/>
  <c r="G345" i="82"/>
  <c r="C345" i="82"/>
  <c r="A345" i="82"/>
  <c r="S344" i="82"/>
  <c r="R344" i="82"/>
  <c r="Q344" i="82"/>
  <c r="P344" i="82"/>
  <c r="O344" i="82"/>
  <c r="L344" i="82"/>
  <c r="K344" i="82"/>
  <c r="J344" i="82"/>
  <c r="G344" i="82"/>
  <c r="C344" i="82"/>
  <c r="A344" i="82"/>
  <c r="S343" i="82"/>
  <c r="R343" i="82"/>
  <c r="Q343" i="82"/>
  <c r="P343" i="82"/>
  <c r="O343" i="82"/>
  <c r="L343" i="82"/>
  <c r="K343" i="82"/>
  <c r="J343" i="82"/>
  <c r="G343" i="82"/>
  <c r="C343" i="82"/>
  <c r="A343" i="82"/>
  <c r="S342" i="82"/>
  <c r="R342" i="82"/>
  <c r="Q342" i="82"/>
  <c r="P342" i="82"/>
  <c r="O342" i="82"/>
  <c r="L342" i="82"/>
  <c r="K342" i="82"/>
  <c r="J342" i="82"/>
  <c r="G342" i="82"/>
  <c r="C342" i="82"/>
  <c r="A342" i="82"/>
  <c r="S341" i="82"/>
  <c r="R341" i="82"/>
  <c r="Q341" i="82"/>
  <c r="P341" i="82"/>
  <c r="O341" i="82"/>
  <c r="L341" i="82"/>
  <c r="K341" i="82"/>
  <c r="J341" i="82"/>
  <c r="G341" i="82"/>
  <c r="C341" i="82"/>
  <c r="A341" i="82"/>
  <c r="S340" i="82"/>
  <c r="R340" i="82"/>
  <c r="Q340" i="82"/>
  <c r="P340" i="82"/>
  <c r="O340" i="82"/>
  <c r="L340" i="82"/>
  <c r="K340" i="82"/>
  <c r="J340" i="82"/>
  <c r="G340" i="82"/>
  <c r="C340" i="82"/>
  <c r="A340" i="82"/>
  <c r="S339" i="82"/>
  <c r="R339" i="82"/>
  <c r="Q339" i="82"/>
  <c r="P339" i="82"/>
  <c r="O339" i="82"/>
  <c r="L339" i="82"/>
  <c r="K339" i="82"/>
  <c r="J339" i="82"/>
  <c r="G339" i="82"/>
  <c r="C339" i="82"/>
  <c r="A339" i="82"/>
  <c r="S338" i="82"/>
  <c r="R338" i="82"/>
  <c r="Q338" i="82"/>
  <c r="P338" i="82"/>
  <c r="O338" i="82"/>
  <c r="L338" i="82"/>
  <c r="K338" i="82"/>
  <c r="J338" i="82"/>
  <c r="G338" i="82"/>
  <c r="C338" i="82"/>
  <c r="A338" i="82"/>
  <c r="S337" i="82"/>
  <c r="R337" i="82"/>
  <c r="Q337" i="82"/>
  <c r="P337" i="82"/>
  <c r="O337" i="82"/>
  <c r="L337" i="82"/>
  <c r="K337" i="82"/>
  <c r="J337" i="82"/>
  <c r="G337" i="82"/>
  <c r="C337" i="82"/>
  <c r="A337" i="82"/>
  <c r="S336" i="82"/>
  <c r="R336" i="82"/>
  <c r="Q336" i="82"/>
  <c r="P336" i="82"/>
  <c r="O336" i="82"/>
  <c r="L336" i="82"/>
  <c r="K336" i="82"/>
  <c r="J336" i="82"/>
  <c r="G336" i="82"/>
  <c r="C336" i="82"/>
  <c r="A336" i="82"/>
  <c r="S335" i="82"/>
  <c r="R335" i="82"/>
  <c r="Q335" i="82"/>
  <c r="P335" i="82"/>
  <c r="O335" i="82"/>
  <c r="L335" i="82"/>
  <c r="K335" i="82"/>
  <c r="J335" i="82"/>
  <c r="G335" i="82"/>
  <c r="C335" i="82"/>
  <c r="A335" i="82"/>
  <c r="S334" i="82"/>
  <c r="R334" i="82"/>
  <c r="Q334" i="82"/>
  <c r="P334" i="82"/>
  <c r="O334" i="82"/>
  <c r="L334" i="82"/>
  <c r="K334" i="82"/>
  <c r="J334" i="82"/>
  <c r="G334" i="82"/>
  <c r="C334" i="82"/>
  <c r="A334" i="82"/>
  <c r="S333" i="82"/>
  <c r="R333" i="82"/>
  <c r="Q333" i="82"/>
  <c r="P333" i="82"/>
  <c r="O333" i="82"/>
  <c r="L333" i="82"/>
  <c r="K333" i="82"/>
  <c r="J333" i="82"/>
  <c r="G333" i="82"/>
  <c r="C333" i="82"/>
  <c r="A333" i="82"/>
  <c r="S332" i="82"/>
  <c r="R332" i="82"/>
  <c r="Q332" i="82"/>
  <c r="P332" i="82"/>
  <c r="O332" i="82"/>
  <c r="L332" i="82"/>
  <c r="K332" i="82"/>
  <c r="J332" i="82"/>
  <c r="G332" i="82"/>
  <c r="C332" i="82"/>
  <c r="A332" i="82"/>
  <c r="S331" i="82"/>
  <c r="R331" i="82"/>
  <c r="Q331" i="82"/>
  <c r="P331" i="82"/>
  <c r="O331" i="82"/>
  <c r="L331" i="82"/>
  <c r="K331" i="82"/>
  <c r="J331" i="82"/>
  <c r="G331" i="82"/>
  <c r="C331" i="82"/>
  <c r="A331" i="82"/>
  <c r="S330" i="82"/>
  <c r="R330" i="82"/>
  <c r="Q330" i="82"/>
  <c r="P330" i="82"/>
  <c r="O330" i="82"/>
  <c r="L330" i="82"/>
  <c r="K330" i="82"/>
  <c r="J330" i="82"/>
  <c r="G330" i="82"/>
  <c r="C330" i="82"/>
  <c r="A330" i="82"/>
  <c r="S329" i="82"/>
  <c r="R329" i="82"/>
  <c r="Q329" i="82"/>
  <c r="P329" i="82"/>
  <c r="O329" i="82"/>
  <c r="L329" i="82"/>
  <c r="K329" i="82"/>
  <c r="J329" i="82"/>
  <c r="G329" i="82"/>
  <c r="C329" i="82"/>
  <c r="A329" i="82"/>
  <c r="S328" i="82"/>
  <c r="R328" i="82"/>
  <c r="Q328" i="82"/>
  <c r="P328" i="82"/>
  <c r="O328" i="82"/>
  <c r="L328" i="82"/>
  <c r="K328" i="82"/>
  <c r="J328" i="82"/>
  <c r="G328" i="82"/>
  <c r="C328" i="82"/>
  <c r="A328" i="82"/>
  <c r="S327" i="82"/>
  <c r="R327" i="82"/>
  <c r="Q327" i="82"/>
  <c r="P327" i="82"/>
  <c r="O327" i="82"/>
  <c r="L327" i="82"/>
  <c r="K327" i="82"/>
  <c r="J327" i="82"/>
  <c r="G327" i="82"/>
  <c r="C327" i="82"/>
  <c r="A327" i="82"/>
  <c r="S326" i="82"/>
  <c r="R326" i="82"/>
  <c r="Q326" i="82"/>
  <c r="P326" i="82"/>
  <c r="O326" i="82"/>
  <c r="L326" i="82"/>
  <c r="K326" i="82"/>
  <c r="J326" i="82"/>
  <c r="G326" i="82"/>
  <c r="C326" i="82"/>
  <c r="A326" i="82"/>
  <c r="S325" i="82"/>
  <c r="R325" i="82"/>
  <c r="Q325" i="82"/>
  <c r="P325" i="82"/>
  <c r="O325" i="82"/>
  <c r="L325" i="82"/>
  <c r="K325" i="82"/>
  <c r="J325" i="82"/>
  <c r="G325" i="82"/>
  <c r="C325" i="82"/>
  <c r="A325" i="82"/>
  <c r="S324" i="82"/>
  <c r="R324" i="82"/>
  <c r="Q324" i="82"/>
  <c r="P324" i="82"/>
  <c r="O324" i="82"/>
  <c r="L324" i="82"/>
  <c r="K324" i="82"/>
  <c r="J324" i="82"/>
  <c r="G324" i="82"/>
  <c r="C324" i="82"/>
  <c r="A324" i="82"/>
  <c r="S323" i="82"/>
  <c r="R323" i="82"/>
  <c r="Q323" i="82"/>
  <c r="P323" i="82"/>
  <c r="O323" i="82"/>
  <c r="L323" i="82"/>
  <c r="K323" i="82"/>
  <c r="J323" i="82"/>
  <c r="G323" i="82"/>
  <c r="C323" i="82"/>
  <c r="A323" i="82"/>
  <c r="S322" i="82"/>
  <c r="R322" i="82"/>
  <c r="Q322" i="82"/>
  <c r="P322" i="82"/>
  <c r="O322" i="82"/>
  <c r="L322" i="82"/>
  <c r="K322" i="82"/>
  <c r="J322" i="82"/>
  <c r="G322" i="82"/>
  <c r="C322" i="82"/>
  <c r="A322" i="82"/>
  <c r="S321" i="82"/>
  <c r="R321" i="82"/>
  <c r="Q321" i="82"/>
  <c r="P321" i="82"/>
  <c r="O321" i="82"/>
  <c r="L321" i="82"/>
  <c r="K321" i="82"/>
  <c r="J321" i="82"/>
  <c r="G321" i="82"/>
  <c r="C321" i="82"/>
  <c r="A321" i="82"/>
  <c r="S320" i="82"/>
  <c r="R320" i="82"/>
  <c r="Q320" i="82"/>
  <c r="P320" i="82"/>
  <c r="O320" i="82"/>
  <c r="L320" i="82"/>
  <c r="K320" i="82"/>
  <c r="J320" i="82"/>
  <c r="G320" i="82"/>
  <c r="C320" i="82"/>
  <c r="A320" i="82"/>
  <c r="S319" i="82"/>
  <c r="R319" i="82"/>
  <c r="Q319" i="82"/>
  <c r="P319" i="82"/>
  <c r="O319" i="82"/>
  <c r="L319" i="82"/>
  <c r="K319" i="82"/>
  <c r="J319" i="82"/>
  <c r="G319" i="82"/>
  <c r="C319" i="82"/>
  <c r="A319" i="82"/>
  <c r="S318" i="82"/>
  <c r="R318" i="82"/>
  <c r="Q318" i="82"/>
  <c r="P318" i="82"/>
  <c r="O318" i="82"/>
  <c r="L318" i="82"/>
  <c r="K318" i="82"/>
  <c r="J318" i="82"/>
  <c r="G318" i="82"/>
  <c r="C318" i="82"/>
  <c r="A318" i="82"/>
  <c r="S317" i="82"/>
  <c r="R317" i="82"/>
  <c r="Q317" i="82"/>
  <c r="P317" i="82"/>
  <c r="O317" i="82"/>
  <c r="L317" i="82"/>
  <c r="K317" i="82"/>
  <c r="J317" i="82"/>
  <c r="G317" i="82"/>
  <c r="C317" i="82"/>
  <c r="A317" i="82"/>
  <c r="S316" i="82"/>
  <c r="R316" i="82"/>
  <c r="Q316" i="82"/>
  <c r="P316" i="82"/>
  <c r="O316" i="82"/>
  <c r="L316" i="82"/>
  <c r="K316" i="82"/>
  <c r="J316" i="82"/>
  <c r="G316" i="82"/>
  <c r="C316" i="82"/>
  <c r="A316" i="82"/>
  <c r="S315" i="82"/>
  <c r="R315" i="82"/>
  <c r="Q315" i="82"/>
  <c r="P315" i="82"/>
  <c r="O315" i="82"/>
  <c r="L315" i="82"/>
  <c r="K315" i="82"/>
  <c r="J315" i="82"/>
  <c r="G315" i="82"/>
  <c r="C315" i="82"/>
  <c r="A315" i="82"/>
  <c r="S314" i="82"/>
  <c r="R314" i="82"/>
  <c r="Q314" i="82"/>
  <c r="P314" i="82"/>
  <c r="O314" i="82"/>
  <c r="L314" i="82"/>
  <c r="K314" i="82"/>
  <c r="J314" i="82"/>
  <c r="G314" i="82"/>
  <c r="C314" i="82"/>
  <c r="A314" i="82"/>
  <c r="S313" i="82"/>
  <c r="R313" i="82"/>
  <c r="Q313" i="82"/>
  <c r="P313" i="82"/>
  <c r="O313" i="82"/>
  <c r="L313" i="82"/>
  <c r="K313" i="82"/>
  <c r="J313" i="82"/>
  <c r="G313" i="82"/>
  <c r="C313" i="82"/>
  <c r="A313" i="82"/>
  <c r="S312" i="82"/>
  <c r="R312" i="82"/>
  <c r="Q312" i="82"/>
  <c r="P312" i="82"/>
  <c r="O312" i="82"/>
  <c r="L312" i="82"/>
  <c r="K312" i="82"/>
  <c r="J312" i="82"/>
  <c r="G312" i="82"/>
  <c r="C312" i="82"/>
  <c r="A312" i="82"/>
  <c r="S311" i="82"/>
  <c r="R311" i="82"/>
  <c r="Q311" i="82"/>
  <c r="P311" i="82"/>
  <c r="O311" i="82"/>
  <c r="L311" i="82"/>
  <c r="K311" i="82"/>
  <c r="J311" i="82"/>
  <c r="G311" i="82"/>
  <c r="C311" i="82"/>
  <c r="A311" i="82"/>
  <c r="S310" i="82"/>
  <c r="R310" i="82"/>
  <c r="Q310" i="82"/>
  <c r="P310" i="82"/>
  <c r="O310" i="82"/>
  <c r="L310" i="82"/>
  <c r="K310" i="82"/>
  <c r="J310" i="82"/>
  <c r="G310" i="82"/>
  <c r="C310" i="82"/>
  <c r="A310" i="82"/>
  <c r="S309" i="82"/>
  <c r="R309" i="82"/>
  <c r="Q309" i="82"/>
  <c r="P309" i="82"/>
  <c r="O309" i="82"/>
  <c r="L309" i="82"/>
  <c r="K309" i="82"/>
  <c r="J309" i="82"/>
  <c r="G309" i="82"/>
  <c r="C309" i="82"/>
  <c r="A309" i="82"/>
  <c r="S308" i="82"/>
  <c r="R308" i="82"/>
  <c r="Q308" i="82"/>
  <c r="P308" i="82"/>
  <c r="O308" i="82"/>
  <c r="L308" i="82"/>
  <c r="K308" i="82"/>
  <c r="J308" i="82"/>
  <c r="G308" i="82"/>
  <c r="C308" i="82"/>
  <c r="A308" i="82"/>
  <c r="S307" i="82"/>
  <c r="R307" i="82"/>
  <c r="Q307" i="82"/>
  <c r="P307" i="82"/>
  <c r="O307" i="82"/>
  <c r="L307" i="82"/>
  <c r="K307" i="82"/>
  <c r="J307" i="82"/>
  <c r="G307" i="82"/>
  <c r="C307" i="82"/>
  <c r="A307" i="82"/>
  <c r="S306" i="82"/>
  <c r="R306" i="82"/>
  <c r="Q306" i="82"/>
  <c r="P306" i="82"/>
  <c r="O306" i="82"/>
  <c r="L306" i="82"/>
  <c r="K306" i="82"/>
  <c r="J306" i="82"/>
  <c r="G306" i="82"/>
  <c r="C306" i="82"/>
  <c r="A306" i="82"/>
  <c r="S305" i="82"/>
  <c r="R305" i="82"/>
  <c r="Q305" i="82"/>
  <c r="P305" i="82"/>
  <c r="O305" i="82"/>
  <c r="L305" i="82"/>
  <c r="K305" i="82"/>
  <c r="J305" i="82"/>
  <c r="G305" i="82"/>
  <c r="C305" i="82"/>
  <c r="A305" i="82"/>
  <c r="S304" i="82"/>
  <c r="R304" i="82"/>
  <c r="Q304" i="82"/>
  <c r="P304" i="82"/>
  <c r="O304" i="82"/>
  <c r="L304" i="82"/>
  <c r="K304" i="82"/>
  <c r="J304" i="82"/>
  <c r="G304" i="82"/>
  <c r="C304" i="82"/>
  <c r="A304" i="82"/>
  <c r="S303" i="82"/>
  <c r="R303" i="82"/>
  <c r="Q303" i="82"/>
  <c r="P303" i="82"/>
  <c r="O303" i="82"/>
  <c r="L303" i="82"/>
  <c r="K303" i="82"/>
  <c r="J303" i="82"/>
  <c r="G303" i="82"/>
  <c r="C303" i="82"/>
  <c r="A303" i="82"/>
  <c r="S302" i="82"/>
  <c r="R302" i="82"/>
  <c r="Q302" i="82"/>
  <c r="P302" i="82"/>
  <c r="O302" i="82"/>
  <c r="L302" i="82"/>
  <c r="K302" i="82"/>
  <c r="J302" i="82"/>
  <c r="G302" i="82"/>
  <c r="C302" i="82"/>
  <c r="A302" i="82"/>
  <c r="S301" i="82"/>
  <c r="R301" i="82"/>
  <c r="Q301" i="82"/>
  <c r="P301" i="82"/>
  <c r="O301" i="82"/>
  <c r="L301" i="82"/>
  <c r="K301" i="82"/>
  <c r="J301" i="82"/>
  <c r="G301" i="82"/>
  <c r="C301" i="82"/>
  <c r="A301" i="82"/>
  <c r="S300" i="82"/>
  <c r="R300" i="82"/>
  <c r="Q300" i="82"/>
  <c r="P300" i="82"/>
  <c r="O300" i="82"/>
  <c r="L300" i="82"/>
  <c r="K300" i="82"/>
  <c r="J300" i="82"/>
  <c r="G300" i="82"/>
  <c r="C300" i="82"/>
  <c r="A300" i="82"/>
  <c r="S299" i="82"/>
  <c r="R299" i="82"/>
  <c r="Q299" i="82"/>
  <c r="P299" i="82"/>
  <c r="O299" i="82"/>
  <c r="L299" i="82"/>
  <c r="K299" i="82"/>
  <c r="J299" i="82"/>
  <c r="G299" i="82"/>
  <c r="C299" i="82"/>
  <c r="A299" i="82"/>
  <c r="S298" i="82"/>
  <c r="R298" i="82"/>
  <c r="Q298" i="82"/>
  <c r="P298" i="82"/>
  <c r="O298" i="82"/>
  <c r="L298" i="82"/>
  <c r="K298" i="82"/>
  <c r="J298" i="82"/>
  <c r="G298" i="82"/>
  <c r="C298" i="82"/>
  <c r="A298" i="82"/>
  <c r="S297" i="82"/>
  <c r="R297" i="82"/>
  <c r="Q297" i="82"/>
  <c r="P297" i="82"/>
  <c r="O297" i="82"/>
  <c r="L297" i="82"/>
  <c r="K297" i="82"/>
  <c r="J297" i="82"/>
  <c r="G297" i="82"/>
  <c r="C297" i="82"/>
  <c r="A297" i="82"/>
  <c r="S296" i="82"/>
  <c r="R296" i="82"/>
  <c r="Q296" i="82"/>
  <c r="P296" i="82"/>
  <c r="O296" i="82"/>
  <c r="L296" i="82"/>
  <c r="K296" i="82"/>
  <c r="J296" i="82"/>
  <c r="G296" i="82"/>
  <c r="C296" i="82"/>
  <c r="A296" i="82"/>
  <c r="S295" i="82"/>
  <c r="R295" i="82"/>
  <c r="Q295" i="82"/>
  <c r="P295" i="82"/>
  <c r="O295" i="82"/>
  <c r="L295" i="82"/>
  <c r="K295" i="82"/>
  <c r="J295" i="82"/>
  <c r="G295" i="82"/>
  <c r="C295" i="82"/>
  <c r="A295" i="82"/>
  <c r="S294" i="82"/>
  <c r="R294" i="82"/>
  <c r="Q294" i="82"/>
  <c r="P294" i="82"/>
  <c r="O294" i="82"/>
  <c r="L294" i="82"/>
  <c r="K294" i="82"/>
  <c r="J294" i="82"/>
  <c r="G294" i="82"/>
  <c r="C294" i="82"/>
  <c r="A294" i="82"/>
  <c r="S293" i="82"/>
  <c r="R293" i="82"/>
  <c r="Q293" i="82"/>
  <c r="P293" i="82"/>
  <c r="O293" i="82"/>
  <c r="L293" i="82"/>
  <c r="K293" i="82"/>
  <c r="J293" i="82"/>
  <c r="G293" i="82"/>
  <c r="C293" i="82"/>
  <c r="A293" i="82"/>
  <c r="S292" i="82"/>
  <c r="R292" i="82"/>
  <c r="Q292" i="82"/>
  <c r="P292" i="82"/>
  <c r="O292" i="82"/>
  <c r="L292" i="82"/>
  <c r="K292" i="82"/>
  <c r="J292" i="82"/>
  <c r="G292" i="82"/>
  <c r="C292" i="82"/>
  <c r="A292" i="82"/>
  <c r="S291" i="82"/>
  <c r="R291" i="82"/>
  <c r="Q291" i="82"/>
  <c r="P291" i="82"/>
  <c r="O291" i="82"/>
  <c r="L291" i="82"/>
  <c r="K291" i="82"/>
  <c r="J291" i="82"/>
  <c r="G291" i="82"/>
  <c r="C291" i="82"/>
  <c r="A291" i="82"/>
  <c r="S290" i="82"/>
  <c r="R290" i="82"/>
  <c r="Q290" i="82"/>
  <c r="P290" i="82"/>
  <c r="O290" i="82"/>
  <c r="L290" i="82"/>
  <c r="K290" i="82"/>
  <c r="J290" i="82"/>
  <c r="G290" i="82"/>
  <c r="C290" i="82"/>
  <c r="A290" i="82"/>
  <c r="S289" i="82"/>
  <c r="R289" i="82"/>
  <c r="Q289" i="82"/>
  <c r="P289" i="82"/>
  <c r="O289" i="82"/>
  <c r="L289" i="82"/>
  <c r="K289" i="82"/>
  <c r="J289" i="82"/>
  <c r="G289" i="82"/>
  <c r="C289" i="82"/>
  <c r="A289" i="82"/>
  <c r="S288" i="82"/>
  <c r="R288" i="82"/>
  <c r="Q288" i="82"/>
  <c r="P288" i="82"/>
  <c r="O288" i="82"/>
  <c r="L288" i="82"/>
  <c r="K288" i="82"/>
  <c r="J288" i="82"/>
  <c r="G288" i="82"/>
  <c r="C288" i="82"/>
  <c r="A288" i="82"/>
  <c r="S287" i="82"/>
  <c r="R287" i="82"/>
  <c r="Q287" i="82"/>
  <c r="P287" i="82"/>
  <c r="O287" i="82"/>
  <c r="L287" i="82"/>
  <c r="K287" i="82"/>
  <c r="J287" i="82"/>
  <c r="G287" i="82"/>
  <c r="C287" i="82"/>
  <c r="A287" i="82"/>
  <c r="S286" i="82"/>
  <c r="R286" i="82"/>
  <c r="Q286" i="82"/>
  <c r="P286" i="82"/>
  <c r="O286" i="82"/>
  <c r="L286" i="82"/>
  <c r="K286" i="82"/>
  <c r="J286" i="82"/>
  <c r="G286" i="82"/>
  <c r="C286" i="82"/>
  <c r="A286" i="82"/>
  <c r="S285" i="82"/>
  <c r="R285" i="82"/>
  <c r="Q285" i="82"/>
  <c r="P285" i="82"/>
  <c r="O285" i="82"/>
  <c r="L285" i="82"/>
  <c r="K285" i="82"/>
  <c r="J285" i="82"/>
  <c r="G285" i="82"/>
  <c r="C285" i="82"/>
  <c r="A285" i="82"/>
  <c r="S284" i="82"/>
  <c r="R284" i="82"/>
  <c r="Q284" i="82"/>
  <c r="P284" i="82"/>
  <c r="O284" i="82"/>
  <c r="L284" i="82"/>
  <c r="K284" i="82"/>
  <c r="J284" i="82"/>
  <c r="G284" i="82"/>
  <c r="C284" i="82"/>
  <c r="A284" i="82"/>
  <c r="S283" i="82"/>
  <c r="R283" i="82"/>
  <c r="Q283" i="82"/>
  <c r="P283" i="82"/>
  <c r="O283" i="82"/>
  <c r="L283" i="82"/>
  <c r="K283" i="82"/>
  <c r="J283" i="82"/>
  <c r="G283" i="82"/>
  <c r="C283" i="82"/>
  <c r="A283" i="82"/>
  <c r="S282" i="82"/>
  <c r="R282" i="82"/>
  <c r="Q282" i="82"/>
  <c r="P282" i="82"/>
  <c r="O282" i="82"/>
  <c r="L282" i="82"/>
  <c r="K282" i="82"/>
  <c r="J282" i="82"/>
  <c r="G282" i="82"/>
  <c r="C282" i="82"/>
  <c r="A282" i="82"/>
  <c r="S281" i="82"/>
  <c r="R281" i="82"/>
  <c r="Q281" i="82"/>
  <c r="P281" i="82"/>
  <c r="O281" i="82"/>
  <c r="L281" i="82"/>
  <c r="K281" i="82"/>
  <c r="J281" i="82"/>
  <c r="G281" i="82"/>
  <c r="C281" i="82"/>
  <c r="A281" i="82"/>
  <c r="S280" i="82"/>
  <c r="R280" i="82"/>
  <c r="Q280" i="82"/>
  <c r="P280" i="82"/>
  <c r="O280" i="82"/>
  <c r="L280" i="82"/>
  <c r="K280" i="82"/>
  <c r="J280" i="82"/>
  <c r="G280" i="82"/>
  <c r="C280" i="82"/>
  <c r="A280" i="82"/>
  <c r="S279" i="82"/>
  <c r="R279" i="82"/>
  <c r="Q279" i="82"/>
  <c r="P279" i="82"/>
  <c r="O279" i="82"/>
  <c r="L279" i="82"/>
  <c r="K279" i="82"/>
  <c r="J279" i="82"/>
  <c r="G279" i="82"/>
  <c r="C279" i="82"/>
  <c r="A279" i="82"/>
  <c r="S278" i="82"/>
  <c r="R278" i="82"/>
  <c r="Q278" i="82"/>
  <c r="P278" i="82"/>
  <c r="O278" i="82"/>
  <c r="L278" i="82"/>
  <c r="K278" i="82"/>
  <c r="J278" i="82"/>
  <c r="G278" i="82"/>
  <c r="C278" i="82"/>
  <c r="A278" i="82"/>
  <c r="S277" i="82"/>
  <c r="R277" i="82"/>
  <c r="Q277" i="82"/>
  <c r="P277" i="82"/>
  <c r="O277" i="82"/>
  <c r="L277" i="82"/>
  <c r="K277" i="82"/>
  <c r="J277" i="82"/>
  <c r="G277" i="82"/>
  <c r="C277" i="82"/>
  <c r="A277" i="82"/>
  <c r="S276" i="82"/>
  <c r="R276" i="82"/>
  <c r="Q276" i="82"/>
  <c r="P276" i="82"/>
  <c r="O276" i="82"/>
  <c r="L276" i="82"/>
  <c r="K276" i="82"/>
  <c r="J276" i="82"/>
  <c r="G276" i="82"/>
  <c r="C276" i="82"/>
  <c r="A276" i="82"/>
  <c r="S275" i="82"/>
  <c r="R275" i="82"/>
  <c r="Q275" i="82"/>
  <c r="P275" i="82"/>
  <c r="O275" i="82"/>
  <c r="L275" i="82"/>
  <c r="K275" i="82"/>
  <c r="J275" i="82"/>
  <c r="G275" i="82"/>
  <c r="C275" i="82"/>
  <c r="A275" i="82"/>
  <c r="S274" i="82"/>
  <c r="R274" i="82"/>
  <c r="Q274" i="82"/>
  <c r="P274" i="82"/>
  <c r="O274" i="82"/>
  <c r="L274" i="82"/>
  <c r="K274" i="82"/>
  <c r="J274" i="82"/>
  <c r="G274" i="82"/>
  <c r="C274" i="82"/>
  <c r="A274" i="82"/>
  <c r="S273" i="82"/>
  <c r="R273" i="82"/>
  <c r="Q273" i="82"/>
  <c r="P273" i="82"/>
  <c r="O273" i="82"/>
  <c r="L273" i="82"/>
  <c r="K273" i="82"/>
  <c r="J273" i="82"/>
  <c r="G273" i="82"/>
  <c r="C273" i="82"/>
  <c r="A273" i="82"/>
  <c r="S272" i="82"/>
  <c r="R272" i="82"/>
  <c r="Q272" i="82"/>
  <c r="P272" i="82"/>
  <c r="O272" i="82"/>
  <c r="L272" i="82"/>
  <c r="K272" i="82"/>
  <c r="J272" i="82"/>
  <c r="G272" i="82"/>
  <c r="C272" i="82"/>
  <c r="A272" i="82"/>
  <c r="S271" i="82"/>
  <c r="R271" i="82"/>
  <c r="Q271" i="82"/>
  <c r="P271" i="82"/>
  <c r="O271" i="82"/>
  <c r="L271" i="82"/>
  <c r="K271" i="82"/>
  <c r="J271" i="82"/>
  <c r="G271" i="82"/>
  <c r="C271" i="82"/>
  <c r="A271" i="82"/>
  <c r="S270" i="82"/>
  <c r="R270" i="82"/>
  <c r="Q270" i="82"/>
  <c r="P270" i="82"/>
  <c r="O270" i="82"/>
  <c r="L270" i="82"/>
  <c r="K270" i="82"/>
  <c r="J270" i="82"/>
  <c r="G270" i="82"/>
  <c r="C270" i="82"/>
  <c r="A270" i="82"/>
  <c r="S269" i="82"/>
  <c r="R269" i="82"/>
  <c r="Q269" i="82"/>
  <c r="P269" i="82"/>
  <c r="O269" i="82"/>
  <c r="L269" i="82"/>
  <c r="K269" i="82"/>
  <c r="J269" i="82"/>
  <c r="G269" i="82"/>
  <c r="C269" i="82"/>
  <c r="A269" i="82"/>
  <c r="S268" i="82"/>
  <c r="R268" i="82"/>
  <c r="Q268" i="82"/>
  <c r="P268" i="82"/>
  <c r="O268" i="82"/>
  <c r="L268" i="82"/>
  <c r="K268" i="82"/>
  <c r="J268" i="82"/>
  <c r="G268" i="82"/>
  <c r="C268" i="82"/>
  <c r="A268" i="82"/>
  <c r="S267" i="82"/>
  <c r="R267" i="82"/>
  <c r="Q267" i="82"/>
  <c r="P267" i="82"/>
  <c r="O267" i="82"/>
  <c r="L267" i="82"/>
  <c r="K267" i="82"/>
  <c r="J267" i="82"/>
  <c r="G267" i="82"/>
  <c r="C267" i="82"/>
  <c r="A267" i="82"/>
  <c r="S266" i="82"/>
  <c r="R266" i="82"/>
  <c r="Q266" i="82"/>
  <c r="P266" i="82"/>
  <c r="O266" i="82"/>
  <c r="L266" i="82"/>
  <c r="K266" i="82"/>
  <c r="J266" i="82"/>
  <c r="G266" i="82"/>
  <c r="C266" i="82"/>
  <c r="A266" i="82"/>
  <c r="S265" i="82"/>
  <c r="R265" i="82"/>
  <c r="Q265" i="82"/>
  <c r="P265" i="82"/>
  <c r="O265" i="82"/>
  <c r="L265" i="82"/>
  <c r="K265" i="82"/>
  <c r="J265" i="82"/>
  <c r="G265" i="82"/>
  <c r="C265" i="82"/>
  <c r="A265" i="82"/>
  <c r="S264" i="82"/>
  <c r="R264" i="82"/>
  <c r="Q264" i="82"/>
  <c r="P264" i="82"/>
  <c r="O264" i="82"/>
  <c r="L264" i="82"/>
  <c r="K264" i="82"/>
  <c r="J264" i="82"/>
  <c r="G264" i="82"/>
  <c r="C264" i="82"/>
  <c r="A264" i="82"/>
  <c r="S263" i="82"/>
  <c r="R263" i="82"/>
  <c r="Q263" i="82"/>
  <c r="P263" i="82"/>
  <c r="O263" i="82"/>
  <c r="L263" i="82"/>
  <c r="K263" i="82"/>
  <c r="J263" i="82"/>
  <c r="G263" i="82"/>
  <c r="C263" i="82"/>
  <c r="A263" i="82"/>
  <c r="S262" i="82"/>
  <c r="R262" i="82"/>
  <c r="Q262" i="82"/>
  <c r="P262" i="82"/>
  <c r="O262" i="82"/>
  <c r="L262" i="82"/>
  <c r="K262" i="82"/>
  <c r="J262" i="82"/>
  <c r="G262" i="82"/>
  <c r="C262" i="82"/>
  <c r="A262" i="82"/>
  <c r="S261" i="82"/>
  <c r="R261" i="82"/>
  <c r="Q261" i="82"/>
  <c r="P261" i="82"/>
  <c r="O261" i="82"/>
  <c r="L261" i="82"/>
  <c r="K261" i="82"/>
  <c r="J261" i="82"/>
  <c r="G261" i="82"/>
  <c r="C261" i="82"/>
  <c r="A261" i="82"/>
  <c r="S260" i="82"/>
  <c r="R260" i="82"/>
  <c r="Q260" i="82"/>
  <c r="P260" i="82"/>
  <c r="O260" i="82"/>
  <c r="L260" i="82"/>
  <c r="K260" i="82"/>
  <c r="J260" i="82"/>
  <c r="G260" i="82"/>
  <c r="C260" i="82"/>
  <c r="A260" i="82"/>
  <c r="S259" i="82"/>
  <c r="R259" i="82"/>
  <c r="Q259" i="82"/>
  <c r="P259" i="82"/>
  <c r="O259" i="82"/>
  <c r="L259" i="82"/>
  <c r="K259" i="82"/>
  <c r="J259" i="82"/>
  <c r="G259" i="82"/>
  <c r="C259" i="82"/>
  <c r="A259" i="82"/>
  <c r="S258" i="82"/>
  <c r="R258" i="82"/>
  <c r="Q258" i="82"/>
  <c r="P258" i="82"/>
  <c r="O258" i="82"/>
  <c r="L258" i="82"/>
  <c r="K258" i="82"/>
  <c r="J258" i="82"/>
  <c r="G258" i="82"/>
  <c r="C258" i="82"/>
  <c r="A258" i="82"/>
  <c r="S257" i="82"/>
  <c r="R257" i="82"/>
  <c r="Q257" i="82"/>
  <c r="P257" i="82"/>
  <c r="O257" i="82"/>
  <c r="L257" i="82"/>
  <c r="K257" i="82"/>
  <c r="J257" i="82"/>
  <c r="G257" i="82"/>
  <c r="C257" i="82"/>
  <c r="A257" i="82"/>
  <c r="S256" i="82"/>
  <c r="R256" i="82"/>
  <c r="Q256" i="82"/>
  <c r="P256" i="82"/>
  <c r="O256" i="82"/>
  <c r="L256" i="82"/>
  <c r="K256" i="82"/>
  <c r="J256" i="82"/>
  <c r="G256" i="82"/>
  <c r="C256" i="82"/>
  <c r="A256" i="82"/>
  <c r="S255" i="82"/>
  <c r="R255" i="82"/>
  <c r="Q255" i="82"/>
  <c r="P255" i="82"/>
  <c r="O255" i="82"/>
  <c r="L255" i="82"/>
  <c r="K255" i="82"/>
  <c r="J255" i="82"/>
  <c r="G255" i="82"/>
  <c r="C255" i="82"/>
  <c r="A255" i="82"/>
  <c r="S254" i="82"/>
  <c r="R254" i="82"/>
  <c r="Q254" i="82"/>
  <c r="P254" i="82"/>
  <c r="O254" i="82"/>
  <c r="L254" i="82"/>
  <c r="K254" i="82"/>
  <c r="J254" i="82"/>
  <c r="G254" i="82"/>
  <c r="C254" i="82"/>
  <c r="A254" i="82"/>
  <c r="S253" i="82"/>
  <c r="R253" i="82"/>
  <c r="Q253" i="82"/>
  <c r="P253" i="82"/>
  <c r="O253" i="82"/>
  <c r="L253" i="82"/>
  <c r="K253" i="82"/>
  <c r="J253" i="82"/>
  <c r="G253" i="82"/>
  <c r="C253" i="82"/>
  <c r="A253" i="82"/>
  <c r="S252" i="82"/>
  <c r="R252" i="82"/>
  <c r="Q252" i="82"/>
  <c r="P252" i="82"/>
  <c r="O252" i="82"/>
  <c r="L252" i="82"/>
  <c r="K252" i="82"/>
  <c r="J252" i="82"/>
  <c r="G252" i="82"/>
  <c r="C252" i="82"/>
  <c r="A252" i="82"/>
  <c r="S251" i="82"/>
  <c r="R251" i="82"/>
  <c r="Q251" i="82"/>
  <c r="P251" i="82"/>
  <c r="O251" i="82"/>
  <c r="L251" i="82"/>
  <c r="K251" i="82"/>
  <c r="J251" i="82"/>
  <c r="G251" i="82"/>
  <c r="C251" i="82"/>
  <c r="A251" i="82"/>
  <c r="S250" i="82"/>
  <c r="R250" i="82"/>
  <c r="Q250" i="82"/>
  <c r="P250" i="82"/>
  <c r="O250" i="82"/>
  <c r="L250" i="82"/>
  <c r="K250" i="82"/>
  <c r="J250" i="82"/>
  <c r="G250" i="82"/>
  <c r="C250" i="82"/>
  <c r="A250" i="82"/>
  <c r="S249" i="82"/>
  <c r="R249" i="82"/>
  <c r="Q249" i="82"/>
  <c r="P249" i="82"/>
  <c r="O249" i="82"/>
  <c r="L249" i="82"/>
  <c r="K249" i="82"/>
  <c r="J249" i="82"/>
  <c r="G249" i="82"/>
  <c r="C249" i="82"/>
  <c r="A249" i="82"/>
  <c r="S248" i="82"/>
  <c r="R248" i="82"/>
  <c r="Q248" i="82"/>
  <c r="P248" i="82"/>
  <c r="O248" i="82"/>
  <c r="L248" i="82"/>
  <c r="K248" i="82"/>
  <c r="J248" i="82"/>
  <c r="G248" i="82"/>
  <c r="C248" i="82"/>
  <c r="A248" i="82"/>
  <c r="S247" i="82"/>
  <c r="R247" i="82"/>
  <c r="Q247" i="82"/>
  <c r="P247" i="82"/>
  <c r="O247" i="82"/>
  <c r="L247" i="82"/>
  <c r="K247" i="82"/>
  <c r="J247" i="82"/>
  <c r="G247" i="82"/>
  <c r="C247" i="82"/>
  <c r="A247" i="82"/>
  <c r="S246" i="82"/>
  <c r="R246" i="82"/>
  <c r="Q246" i="82"/>
  <c r="P246" i="82"/>
  <c r="O246" i="82"/>
  <c r="L246" i="82"/>
  <c r="K246" i="82"/>
  <c r="J246" i="82"/>
  <c r="G246" i="82"/>
  <c r="C246" i="82"/>
  <c r="A246" i="82"/>
  <c r="S245" i="82"/>
  <c r="R245" i="82"/>
  <c r="Q245" i="82"/>
  <c r="P245" i="82"/>
  <c r="O245" i="82"/>
  <c r="L245" i="82"/>
  <c r="K245" i="82"/>
  <c r="J245" i="82"/>
  <c r="G245" i="82"/>
  <c r="C245" i="82"/>
  <c r="A245" i="82"/>
  <c r="S244" i="82"/>
  <c r="R244" i="82"/>
  <c r="Q244" i="82"/>
  <c r="P244" i="82"/>
  <c r="O244" i="82"/>
  <c r="L244" i="82"/>
  <c r="K244" i="82"/>
  <c r="J244" i="82"/>
  <c r="G244" i="82"/>
  <c r="C244" i="82"/>
  <c r="A244" i="82"/>
  <c r="S243" i="82"/>
  <c r="R243" i="82"/>
  <c r="Q243" i="82"/>
  <c r="P243" i="82"/>
  <c r="O243" i="82"/>
  <c r="L243" i="82"/>
  <c r="K243" i="82"/>
  <c r="J243" i="82"/>
  <c r="G243" i="82"/>
  <c r="C243" i="82"/>
  <c r="A243" i="82"/>
  <c r="S242" i="82"/>
  <c r="R242" i="82"/>
  <c r="Q242" i="82"/>
  <c r="P242" i="82"/>
  <c r="O242" i="82"/>
  <c r="L242" i="82"/>
  <c r="K242" i="82"/>
  <c r="J242" i="82"/>
  <c r="G242" i="82"/>
  <c r="C242" i="82"/>
  <c r="A242" i="82"/>
  <c r="S241" i="82"/>
  <c r="R241" i="82"/>
  <c r="Q241" i="82"/>
  <c r="P241" i="82"/>
  <c r="O241" i="82"/>
  <c r="L241" i="82"/>
  <c r="K241" i="82"/>
  <c r="J241" i="82"/>
  <c r="G241" i="82"/>
  <c r="C241" i="82"/>
  <c r="A241" i="82"/>
  <c r="S240" i="82"/>
  <c r="R240" i="82"/>
  <c r="Q240" i="82"/>
  <c r="P240" i="82"/>
  <c r="O240" i="82"/>
  <c r="L240" i="82"/>
  <c r="K240" i="82"/>
  <c r="J240" i="82"/>
  <c r="G240" i="82"/>
  <c r="C240" i="82"/>
  <c r="A240" i="82"/>
  <c r="S239" i="82"/>
  <c r="R239" i="82"/>
  <c r="Q239" i="82"/>
  <c r="P239" i="82"/>
  <c r="O239" i="82"/>
  <c r="L239" i="82"/>
  <c r="K239" i="82"/>
  <c r="J239" i="82"/>
  <c r="G239" i="82"/>
  <c r="C239" i="82"/>
  <c r="A239" i="82"/>
  <c r="S238" i="82"/>
  <c r="R238" i="82"/>
  <c r="Q238" i="82"/>
  <c r="P238" i="82"/>
  <c r="O238" i="82"/>
  <c r="L238" i="82"/>
  <c r="K238" i="82"/>
  <c r="J238" i="82"/>
  <c r="G238" i="82"/>
  <c r="C238" i="82"/>
  <c r="A238" i="82"/>
  <c r="S237" i="82"/>
  <c r="R237" i="82"/>
  <c r="Q237" i="82"/>
  <c r="P237" i="82"/>
  <c r="O237" i="82"/>
  <c r="L237" i="82"/>
  <c r="K237" i="82"/>
  <c r="J237" i="82"/>
  <c r="G237" i="82"/>
  <c r="C237" i="82"/>
  <c r="A237" i="82"/>
  <c r="S236" i="82"/>
  <c r="R236" i="82"/>
  <c r="Q236" i="82"/>
  <c r="P236" i="82"/>
  <c r="O236" i="82"/>
  <c r="L236" i="82"/>
  <c r="K236" i="82"/>
  <c r="J236" i="82"/>
  <c r="G236" i="82"/>
  <c r="C236" i="82"/>
  <c r="A236" i="82"/>
  <c r="S235" i="82"/>
  <c r="R235" i="82"/>
  <c r="Q235" i="82"/>
  <c r="P235" i="82"/>
  <c r="O235" i="82"/>
  <c r="L235" i="82"/>
  <c r="K235" i="82"/>
  <c r="J235" i="82"/>
  <c r="G235" i="82"/>
  <c r="C235" i="82"/>
  <c r="A235" i="82"/>
  <c r="S234" i="82"/>
  <c r="R234" i="82"/>
  <c r="Q234" i="82"/>
  <c r="P234" i="82"/>
  <c r="O234" i="82"/>
  <c r="L234" i="82"/>
  <c r="K234" i="82"/>
  <c r="J234" i="82"/>
  <c r="G234" i="82"/>
  <c r="C234" i="82"/>
  <c r="A234" i="82"/>
  <c r="S233" i="82"/>
  <c r="R233" i="82"/>
  <c r="Q233" i="82"/>
  <c r="P233" i="82"/>
  <c r="O233" i="82"/>
  <c r="L233" i="82"/>
  <c r="K233" i="82"/>
  <c r="J233" i="82"/>
  <c r="G233" i="82"/>
  <c r="C233" i="82"/>
  <c r="A233" i="82"/>
  <c r="S232" i="82"/>
  <c r="R232" i="82"/>
  <c r="Q232" i="82"/>
  <c r="P232" i="82"/>
  <c r="O232" i="82"/>
  <c r="L232" i="82"/>
  <c r="K232" i="82"/>
  <c r="J232" i="82"/>
  <c r="G232" i="82"/>
  <c r="C232" i="82"/>
  <c r="A232" i="82"/>
  <c r="S231" i="82"/>
  <c r="R231" i="82"/>
  <c r="Q231" i="82"/>
  <c r="P231" i="82"/>
  <c r="O231" i="82"/>
  <c r="L231" i="82"/>
  <c r="K231" i="82"/>
  <c r="J231" i="82"/>
  <c r="G231" i="82"/>
  <c r="C231" i="82"/>
  <c r="A231" i="82"/>
  <c r="S230" i="82"/>
  <c r="R230" i="82"/>
  <c r="Q230" i="82"/>
  <c r="P230" i="82"/>
  <c r="O230" i="82"/>
  <c r="L230" i="82"/>
  <c r="K230" i="82"/>
  <c r="J230" i="82"/>
  <c r="G230" i="82"/>
  <c r="C230" i="82"/>
  <c r="A230" i="82"/>
  <c r="S229" i="82"/>
  <c r="R229" i="82"/>
  <c r="Q229" i="82"/>
  <c r="P229" i="82"/>
  <c r="O229" i="82"/>
  <c r="L229" i="82"/>
  <c r="K229" i="82"/>
  <c r="J229" i="82"/>
  <c r="G229" i="82"/>
  <c r="C229" i="82"/>
  <c r="A229" i="82"/>
  <c r="S228" i="82"/>
  <c r="R228" i="82"/>
  <c r="Q228" i="82"/>
  <c r="P228" i="82"/>
  <c r="O228" i="82"/>
  <c r="L228" i="82"/>
  <c r="K228" i="82"/>
  <c r="J228" i="82"/>
  <c r="G228" i="82"/>
  <c r="C228" i="82"/>
  <c r="A228" i="82"/>
  <c r="S227" i="82"/>
  <c r="R227" i="82"/>
  <c r="Q227" i="82"/>
  <c r="P227" i="82"/>
  <c r="O227" i="82"/>
  <c r="L227" i="82"/>
  <c r="K227" i="82"/>
  <c r="J227" i="82"/>
  <c r="G227" i="82"/>
  <c r="C227" i="82"/>
  <c r="A227" i="82"/>
  <c r="S226" i="82"/>
  <c r="R226" i="82"/>
  <c r="Q226" i="82"/>
  <c r="P226" i="82"/>
  <c r="O226" i="82"/>
  <c r="L226" i="82"/>
  <c r="K226" i="82"/>
  <c r="J226" i="82"/>
  <c r="G226" i="82"/>
  <c r="C226" i="82"/>
  <c r="A226" i="82"/>
  <c r="S225" i="82"/>
  <c r="R225" i="82"/>
  <c r="Q225" i="82"/>
  <c r="P225" i="82"/>
  <c r="O225" i="82"/>
  <c r="L225" i="82"/>
  <c r="K225" i="82"/>
  <c r="J225" i="82"/>
  <c r="G225" i="82"/>
  <c r="C225" i="82"/>
  <c r="A225" i="82"/>
  <c r="S224" i="82"/>
  <c r="R224" i="82"/>
  <c r="Q224" i="82"/>
  <c r="P224" i="82"/>
  <c r="O224" i="82"/>
  <c r="L224" i="82"/>
  <c r="K224" i="82"/>
  <c r="J224" i="82"/>
  <c r="G224" i="82"/>
  <c r="C224" i="82"/>
  <c r="A224" i="82"/>
  <c r="S223" i="82"/>
  <c r="R223" i="82"/>
  <c r="Q223" i="82"/>
  <c r="P223" i="82"/>
  <c r="O223" i="82"/>
  <c r="L223" i="82"/>
  <c r="K223" i="82"/>
  <c r="J223" i="82"/>
  <c r="G223" i="82"/>
  <c r="C223" i="82"/>
  <c r="A223" i="82"/>
  <c r="S222" i="82"/>
  <c r="R222" i="82"/>
  <c r="Q222" i="82"/>
  <c r="P222" i="82"/>
  <c r="O222" i="82"/>
  <c r="L222" i="82"/>
  <c r="K222" i="82"/>
  <c r="J222" i="82"/>
  <c r="G222" i="82"/>
  <c r="C222" i="82"/>
  <c r="A222" i="82"/>
  <c r="S221" i="82"/>
  <c r="R221" i="82"/>
  <c r="Q221" i="82"/>
  <c r="P221" i="82"/>
  <c r="O221" i="82"/>
  <c r="L221" i="82"/>
  <c r="K221" i="82"/>
  <c r="J221" i="82"/>
  <c r="G221" i="82"/>
  <c r="C221" i="82"/>
  <c r="A221" i="82"/>
  <c r="S220" i="82"/>
  <c r="R220" i="82"/>
  <c r="Q220" i="82"/>
  <c r="P220" i="82"/>
  <c r="O220" i="82"/>
  <c r="L220" i="82"/>
  <c r="K220" i="82"/>
  <c r="J220" i="82"/>
  <c r="G220" i="82"/>
  <c r="C220" i="82"/>
  <c r="A220" i="82"/>
  <c r="S219" i="82"/>
  <c r="R219" i="82"/>
  <c r="Q219" i="82"/>
  <c r="P219" i="82"/>
  <c r="O219" i="82"/>
  <c r="L219" i="82"/>
  <c r="K219" i="82"/>
  <c r="J219" i="82"/>
  <c r="G219" i="82"/>
  <c r="C219" i="82"/>
  <c r="A219" i="82"/>
  <c r="S218" i="82"/>
  <c r="R218" i="82"/>
  <c r="Q218" i="82"/>
  <c r="P218" i="82"/>
  <c r="O218" i="82"/>
  <c r="L218" i="82"/>
  <c r="K218" i="82"/>
  <c r="J218" i="82"/>
  <c r="G218" i="82"/>
  <c r="C218" i="82"/>
  <c r="A218" i="82"/>
  <c r="S217" i="82"/>
  <c r="R217" i="82"/>
  <c r="Q217" i="82"/>
  <c r="P217" i="82"/>
  <c r="O217" i="82"/>
  <c r="L217" i="82"/>
  <c r="K217" i="82"/>
  <c r="J217" i="82"/>
  <c r="G217" i="82"/>
  <c r="C217" i="82"/>
  <c r="A217" i="82"/>
  <c r="S216" i="82"/>
  <c r="R216" i="82"/>
  <c r="Q216" i="82"/>
  <c r="P216" i="82"/>
  <c r="O216" i="82"/>
  <c r="L216" i="82"/>
  <c r="K216" i="82"/>
  <c r="J216" i="82"/>
  <c r="G216" i="82"/>
  <c r="C216" i="82"/>
  <c r="A216" i="82"/>
  <c r="S215" i="82"/>
  <c r="R215" i="82"/>
  <c r="Q215" i="82"/>
  <c r="P215" i="82"/>
  <c r="O215" i="82"/>
  <c r="L215" i="82"/>
  <c r="K215" i="82"/>
  <c r="J215" i="82"/>
  <c r="G215" i="82"/>
  <c r="C215" i="82"/>
  <c r="A215" i="82"/>
  <c r="S214" i="82"/>
  <c r="R214" i="82"/>
  <c r="Q214" i="82"/>
  <c r="P214" i="82"/>
  <c r="O214" i="82"/>
  <c r="L214" i="82"/>
  <c r="K214" i="82"/>
  <c r="J214" i="82"/>
  <c r="G214" i="82"/>
  <c r="C214" i="82"/>
  <c r="A214" i="82"/>
  <c r="S213" i="82"/>
  <c r="R213" i="82"/>
  <c r="Q213" i="82"/>
  <c r="P213" i="82"/>
  <c r="O213" i="82"/>
  <c r="L213" i="82"/>
  <c r="K213" i="82"/>
  <c r="J213" i="82"/>
  <c r="G213" i="82"/>
  <c r="C213" i="82"/>
  <c r="A213" i="82"/>
  <c r="S212" i="82"/>
  <c r="R212" i="82"/>
  <c r="Q212" i="82"/>
  <c r="P212" i="82"/>
  <c r="O212" i="82"/>
  <c r="L212" i="82"/>
  <c r="K212" i="82"/>
  <c r="J212" i="82"/>
  <c r="G212" i="82"/>
  <c r="C212" i="82"/>
  <c r="A212" i="82"/>
  <c r="S211" i="82"/>
  <c r="R211" i="82"/>
  <c r="Q211" i="82"/>
  <c r="P211" i="82"/>
  <c r="O211" i="82"/>
  <c r="L211" i="82"/>
  <c r="K211" i="82"/>
  <c r="J211" i="82"/>
  <c r="G211" i="82"/>
  <c r="C211" i="82"/>
  <c r="A211" i="82"/>
  <c r="S210" i="82"/>
  <c r="R210" i="82"/>
  <c r="Q210" i="82"/>
  <c r="P210" i="82"/>
  <c r="O210" i="82"/>
  <c r="L210" i="82"/>
  <c r="K210" i="82"/>
  <c r="J210" i="82"/>
  <c r="G210" i="82"/>
  <c r="C210" i="82"/>
  <c r="A210" i="82"/>
  <c r="S209" i="82"/>
  <c r="R209" i="82"/>
  <c r="Q209" i="82"/>
  <c r="P209" i="82"/>
  <c r="O209" i="82"/>
  <c r="L209" i="82"/>
  <c r="K209" i="82"/>
  <c r="J209" i="82"/>
  <c r="G209" i="82"/>
  <c r="C209" i="82"/>
  <c r="A209" i="82"/>
  <c r="S208" i="82"/>
  <c r="R208" i="82"/>
  <c r="Q208" i="82"/>
  <c r="P208" i="82"/>
  <c r="O208" i="82"/>
  <c r="L208" i="82"/>
  <c r="K208" i="82"/>
  <c r="J208" i="82"/>
  <c r="G208" i="82"/>
  <c r="C208" i="82"/>
  <c r="A208" i="82"/>
  <c r="S207" i="82"/>
  <c r="R207" i="82"/>
  <c r="Q207" i="82"/>
  <c r="P207" i="82"/>
  <c r="O207" i="82"/>
  <c r="L207" i="82"/>
  <c r="K207" i="82"/>
  <c r="J207" i="82"/>
  <c r="G207" i="82"/>
  <c r="C207" i="82"/>
  <c r="A207" i="82"/>
  <c r="S206" i="82"/>
  <c r="R206" i="82"/>
  <c r="Q206" i="82"/>
  <c r="P206" i="82"/>
  <c r="O206" i="82"/>
  <c r="L206" i="82"/>
  <c r="K206" i="82"/>
  <c r="J206" i="82"/>
  <c r="G206" i="82"/>
  <c r="C206" i="82"/>
  <c r="A206" i="82"/>
  <c r="S205" i="82"/>
  <c r="R205" i="82"/>
  <c r="Q205" i="82"/>
  <c r="P205" i="82"/>
  <c r="O205" i="82"/>
  <c r="L205" i="82"/>
  <c r="K205" i="82"/>
  <c r="J205" i="82"/>
  <c r="G205" i="82"/>
  <c r="C205" i="82"/>
  <c r="A205" i="82"/>
  <c r="S204" i="82"/>
  <c r="R204" i="82"/>
  <c r="Q204" i="82"/>
  <c r="P204" i="82"/>
  <c r="O204" i="82"/>
  <c r="L204" i="82"/>
  <c r="K204" i="82"/>
  <c r="J204" i="82"/>
  <c r="G204" i="82"/>
  <c r="C204" i="82"/>
  <c r="A204" i="82"/>
  <c r="S203" i="82"/>
  <c r="R203" i="82"/>
  <c r="Q203" i="82"/>
  <c r="P203" i="82"/>
  <c r="O203" i="82"/>
  <c r="L203" i="82"/>
  <c r="K203" i="82"/>
  <c r="J203" i="82"/>
  <c r="G203" i="82"/>
  <c r="C203" i="82"/>
  <c r="A203" i="82"/>
  <c r="S202" i="82"/>
  <c r="R202" i="82"/>
  <c r="Q202" i="82"/>
  <c r="P202" i="82"/>
  <c r="O202" i="82"/>
  <c r="L202" i="82"/>
  <c r="K202" i="82"/>
  <c r="J202" i="82"/>
  <c r="G202" i="82"/>
  <c r="C202" i="82"/>
  <c r="A202" i="82"/>
  <c r="S201" i="82"/>
  <c r="R201" i="82"/>
  <c r="Q201" i="82"/>
  <c r="P201" i="82"/>
  <c r="O201" i="82"/>
  <c r="L201" i="82"/>
  <c r="K201" i="82"/>
  <c r="J201" i="82"/>
  <c r="G201" i="82"/>
  <c r="C201" i="82"/>
  <c r="A201" i="82"/>
  <c r="S200" i="82"/>
  <c r="R200" i="82"/>
  <c r="Q200" i="82"/>
  <c r="P200" i="82"/>
  <c r="O200" i="82"/>
  <c r="L200" i="82"/>
  <c r="K200" i="82"/>
  <c r="J200" i="82"/>
  <c r="G200" i="82"/>
  <c r="C200" i="82"/>
  <c r="A200" i="82"/>
  <c r="S199" i="82"/>
  <c r="R199" i="82"/>
  <c r="Q199" i="82"/>
  <c r="P199" i="82"/>
  <c r="O199" i="82"/>
  <c r="L199" i="82"/>
  <c r="K199" i="82"/>
  <c r="J199" i="82"/>
  <c r="G199" i="82"/>
  <c r="C199" i="82"/>
  <c r="A199" i="82"/>
  <c r="S198" i="82"/>
  <c r="R198" i="82"/>
  <c r="Q198" i="82"/>
  <c r="P198" i="82"/>
  <c r="O198" i="82"/>
  <c r="L198" i="82"/>
  <c r="K198" i="82"/>
  <c r="J198" i="82"/>
  <c r="G198" i="82"/>
  <c r="C198" i="82"/>
  <c r="A198" i="82"/>
  <c r="S197" i="82"/>
  <c r="R197" i="82"/>
  <c r="Q197" i="82"/>
  <c r="P197" i="82"/>
  <c r="O197" i="82"/>
  <c r="L197" i="82"/>
  <c r="K197" i="82"/>
  <c r="J197" i="82"/>
  <c r="G197" i="82"/>
  <c r="C197" i="82"/>
  <c r="A197" i="82"/>
  <c r="S196" i="82"/>
  <c r="R196" i="82"/>
  <c r="Q196" i="82"/>
  <c r="P196" i="82"/>
  <c r="O196" i="82"/>
  <c r="L196" i="82"/>
  <c r="K196" i="82"/>
  <c r="J196" i="82"/>
  <c r="G196" i="82"/>
  <c r="C196" i="82"/>
  <c r="A196" i="82"/>
  <c r="S195" i="82"/>
  <c r="R195" i="82"/>
  <c r="Q195" i="82"/>
  <c r="P195" i="82"/>
  <c r="O195" i="82"/>
  <c r="L195" i="82"/>
  <c r="K195" i="82"/>
  <c r="J195" i="82"/>
  <c r="G195" i="82"/>
  <c r="C195" i="82"/>
  <c r="A195" i="82"/>
  <c r="S194" i="82"/>
  <c r="R194" i="82"/>
  <c r="Q194" i="82"/>
  <c r="P194" i="82"/>
  <c r="O194" i="82"/>
  <c r="L194" i="82"/>
  <c r="K194" i="82"/>
  <c r="J194" i="82"/>
  <c r="G194" i="82"/>
  <c r="C194" i="82"/>
  <c r="A194" i="82"/>
  <c r="S193" i="82"/>
  <c r="R193" i="82"/>
  <c r="Q193" i="82"/>
  <c r="P193" i="82"/>
  <c r="O193" i="82"/>
  <c r="L193" i="82"/>
  <c r="K193" i="82"/>
  <c r="J193" i="82"/>
  <c r="G193" i="82"/>
  <c r="C193" i="82"/>
  <c r="A193" i="82"/>
  <c r="S192" i="82"/>
  <c r="R192" i="82"/>
  <c r="Q192" i="82"/>
  <c r="P192" i="82"/>
  <c r="O192" i="82"/>
  <c r="L192" i="82"/>
  <c r="K192" i="82"/>
  <c r="J192" i="82"/>
  <c r="G192" i="82"/>
  <c r="C192" i="82"/>
  <c r="A192" i="82"/>
  <c r="S191" i="82"/>
  <c r="R191" i="82"/>
  <c r="Q191" i="82"/>
  <c r="P191" i="82"/>
  <c r="O191" i="82"/>
  <c r="L191" i="82"/>
  <c r="K191" i="82"/>
  <c r="J191" i="82"/>
  <c r="G191" i="82"/>
  <c r="C191" i="82"/>
  <c r="A191" i="82"/>
  <c r="S190" i="82"/>
  <c r="R190" i="82"/>
  <c r="Q190" i="82"/>
  <c r="P190" i="82"/>
  <c r="O190" i="82"/>
  <c r="L190" i="82"/>
  <c r="K190" i="82"/>
  <c r="J190" i="82"/>
  <c r="G190" i="82"/>
  <c r="C190" i="82"/>
  <c r="A190" i="82"/>
  <c r="S189" i="82"/>
  <c r="R189" i="82"/>
  <c r="Q189" i="82"/>
  <c r="P189" i="82"/>
  <c r="O189" i="82"/>
  <c r="L189" i="82"/>
  <c r="K189" i="82"/>
  <c r="J189" i="82"/>
  <c r="G189" i="82"/>
  <c r="C189" i="82"/>
  <c r="A189" i="82"/>
  <c r="S188" i="82"/>
  <c r="R188" i="82"/>
  <c r="Q188" i="82"/>
  <c r="P188" i="82"/>
  <c r="O188" i="82"/>
  <c r="L188" i="82"/>
  <c r="K188" i="82"/>
  <c r="J188" i="82"/>
  <c r="G188" i="82"/>
  <c r="C188" i="82"/>
  <c r="A188" i="82"/>
  <c r="S187" i="82"/>
  <c r="R187" i="82"/>
  <c r="Q187" i="82"/>
  <c r="P187" i="82"/>
  <c r="O187" i="82"/>
  <c r="L187" i="82"/>
  <c r="K187" i="82"/>
  <c r="J187" i="82"/>
  <c r="G187" i="82"/>
  <c r="C187" i="82"/>
  <c r="A187" i="82"/>
  <c r="S186" i="82"/>
  <c r="R186" i="82"/>
  <c r="Q186" i="82"/>
  <c r="P186" i="82"/>
  <c r="O186" i="82"/>
  <c r="L186" i="82"/>
  <c r="K186" i="82"/>
  <c r="J186" i="82"/>
  <c r="G186" i="82"/>
  <c r="C186" i="82"/>
  <c r="A186" i="82"/>
  <c r="S185" i="82"/>
  <c r="R185" i="82"/>
  <c r="Q185" i="82"/>
  <c r="P185" i="82"/>
  <c r="O185" i="82"/>
  <c r="L185" i="82"/>
  <c r="K185" i="82"/>
  <c r="J185" i="82"/>
  <c r="G185" i="82"/>
  <c r="C185" i="82"/>
  <c r="A185" i="82"/>
  <c r="S184" i="82"/>
  <c r="R184" i="82"/>
  <c r="Q184" i="82"/>
  <c r="P184" i="82"/>
  <c r="O184" i="82"/>
  <c r="L184" i="82"/>
  <c r="K184" i="82"/>
  <c r="J184" i="82"/>
  <c r="G184" i="82"/>
  <c r="C184" i="82"/>
  <c r="A184" i="82"/>
  <c r="S183" i="82"/>
  <c r="R183" i="82"/>
  <c r="Q183" i="82"/>
  <c r="P183" i="82"/>
  <c r="O183" i="82"/>
  <c r="L183" i="82"/>
  <c r="K183" i="82"/>
  <c r="J183" i="82"/>
  <c r="G183" i="82"/>
  <c r="C183" i="82"/>
  <c r="A183" i="82"/>
  <c r="S182" i="82"/>
  <c r="R182" i="82"/>
  <c r="Q182" i="82"/>
  <c r="P182" i="82"/>
  <c r="O182" i="82"/>
  <c r="L182" i="82"/>
  <c r="K182" i="82"/>
  <c r="J182" i="82"/>
  <c r="G182" i="82"/>
  <c r="C182" i="82"/>
  <c r="A182" i="82"/>
  <c r="S181" i="82"/>
  <c r="R181" i="82"/>
  <c r="Q181" i="82"/>
  <c r="P181" i="82"/>
  <c r="O181" i="82"/>
  <c r="L181" i="82"/>
  <c r="K181" i="82"/>
  <c r="J181" i="82"/>
  <c r="G181" i="82"/>
  <c r="C181" i="82"/>
  <c r="A181" i="82"/>
  <c r="S180" i="82"/>
  <c r="R180" i="82"/>
  <c r="Q180" i="82"/>
  <c r="P180" i="82"/>
  <c r="O180" i="82"/>
  <c r="L180" i="82"/>
  <c r="K180" i="82"/>
  <c r="J180" i="82"/>
  <c r="G180" i="82"/>
  <c r="C180" i="82"/>
  <c r="A180" i="82"/>
  <c r="S179" i="82"/>
  <c r="R179" i="82"/>
  <c r="Q179" i="82"/>
  <c r="P179" i="82"/>
  <c r="O179" i="82"/>
  <c r="L179" i="82"/>
  <c r="K179" i="82"/>
  <c r="J179" i="82"/>
  <c r="G179" i="82"/>
  <c r="C179" i="82"/>
  <c r="A179" i="82"/>
  <c r="S178" i="82"/>
  <c r="R178" i="82"/>
  <c r="Q178" i="82"/>
  <c r="P178" i="82"/>
  <c r="O178" i="82"/>
  <c r="L178" i="82"/>
  <c r="K178" i="82"/>
  <c r="J178" i="82"/>
  <c r="G178" i="82"/>
  <c r="C178" i="82"/>
  <c r="A178" i="82"/>
  <c r="S177" i="82"/>
  <c r="R177" i="82"/>
  <c r="Q177" i="82"/>
  <c r="P177" i="82"/>
  <c r="O177" i="82"/>
  <c r="L177" i="82"/>
  <c r="K177" i="82"/>
  <c r="J177" i="82"/>
  <c r="G177" i="82"/>
  <c r="C177" i="82"/>
  <c r="A177" i="82"/>
  <c r="S176" i="82"/>
  <c r="R176" i="82"/>
  <c r="Q176" i="82"/>
  <c r="P176" i="82"/>
  <c r="O176" i="82"/>
  <c r="L176" i="82"/>
  <c r="K176" i="82"/>
  <c r="J176" i="82"/>
  <c r="G176" i="82"/>
  <c r="C176" i="82"/>
  <c r="A176" i="82"/>
  <c r="S175" i="82"/>
  <c r="R175" i="82"/>
  <c r="Q175" i="82"/>
  <c r="P175" i="82"/>
  <c r="O175" i="82"/>
  <c r="L175" i="82"/>
  <c r="K175" i="82"/>
  <c r="J175" i="82"/>
  <c r="G175" i="82"/>
  <c r="C175" i="82"/>
  <c r="A175" i="82"/>
  <c r="S174" i="82"/>
  <c r="R174" i="82"/>
  <c r="Q174" i="82"/>
  <c r="P174" i="82"/>
  <c r="O174" i="82"/>
  <c r="L174" i="82"/>
  <c r="K174" i="82"/>
  <c r="J174" i="82"/>
  <c r="G174" i="82"/>
  <c r="C174" i="82"/>
  <c r="A174" i="82"/>
  <c r="S173" i="82"/>
  <c r="R173" i="82"/>
  <c r="Q173" i="82"/>
  <c r="P173" i="82"/>
  <c r="O173" i="82"/>
  <c r="L173" i="82"/>
  <c r="K173" i="82"/>
  <c r="J173" i="82"/>
  <c r="G173" i="82"/>
  <c r="C173" i="82"/>
  <c r="A173" i="82"/>
  <c r="S172" i="82"/>
  <c r="R172" i="82"/>
  <c r="Q172" i="82"/>
  <c r="P172" i="82"/>
  <c r="O172" i="82"/>
  <c r="L172" i="82"/>
  <c r="K172" i="82"/>
  <c r="J172" i="82"/>
  <c r="G172" i="82"/>
  <c r="C172" i="82"/>
  <c r="A172" i="82"/>
  <c r="S171" i="82"/>
  <c r="R171" i="82"/>
  <c r="Q171" i="82"/>
  <c r="P171" i="82"/>
  <c r="O171" i="82"/>
  <c r="L171" i="82"/>
  <c r="K171" i="82"/>
  <c r="J171" i="82"/>
  <c r="G171" i="82"/>
  <c r="C171" i="82"/>
  <c r="A171" i="82"/>
  <c r="S170" i="82"/>
  <c r="R170" i="82"/>
  <c r="Q170" i="82"/>
  <c r="P170" i="82"/>
  <c r="O170" i="82"/>
  <c r="L170" i="82"/>
  <c r="K170" i="82"/>
  <c r="J170" i="82"/>
  <c r="G170" i="82"/>
  <c r="C170" i="82"/>
  <c r="A170" i="82"/>
  <c r="S169" i="82"/>
  <c r="R169" i="82"/>
  <c r="Q169" i="82"/>
  <c r="P169" i="82"/>
  <c r="O169" i="82"/>
  <c r="L169" i="82"/>
  <c r="K169" i="82"/>
  <c r="J169" i="82"/>
  <c r="G169" i="82"/>
  <c r="C169" i="82"/>
  <c r="A169" i="82"/>
  <c r="S168" i="82"/>
  <c r="R168" i="82"/>
  <c r="Q168" i="82"/>
  <c r="P168" i="82"/>
  <c r="O168" i="82"/>
  <c r="L168" i="82"/>
  <c r="K168" i="82"/>
  <c r="J168" i="82"/>
  <c r="G168" i="82"/>
  <c r="C168" i="82"/>
  <c r="A168" i="82"/>
  <c r="S167" i="82"/>
  <c r="R167" i="82"/>
  <c r="Q167" i="82"/>
  <c r="P167" i="82"/>
  <c r="O167" i="82"/>
  <c r="L167" i="82"/>
  <c r="K167" i="82"/>
  <c r="J167" i="82"/>
  <c r="G167" i="82"/>
  <c r="C167" i="82"/>
  <c r="A167" i="82"/>
  <c r="S166" i="82"/>
  <c r="R166" i="82"/>
  <c r="Q166" i="82"/>
  <c r="P166" i="82"/>
  <c r="O166" i="82"/>
  <c r="L166" i="82"/>
  <c r="K166" i="82"/>
  <c r="J166" i="82"/>
  <c r="G166" i="82"/>
  <c r="C166" i="82"/>
  <c r="A166" i="82"/>
  <c r="S165" i="82"/>
  <c r="R165" i="82"/>
  <c r="Q165" i="82"/>
  <c r="P165" i="82"/>
  <c r="O165" i="82"/>
  <c r="L165" i="82"/>
  <c r="K165" i="82"/>
  <c r="J165" i="82"/>
  <c r="G165" i="82"/>
  <c r="C165" i="82"/>
  <c r="A165" i="82"/>
  <c r="S164" i="82"/>
  <c r="R164" i="82"/>
  <c r="Q164" i="82"/>
  <c r="P164" i="82"/>
  <c r="O164" i="82"/>
  <c r="L164" i="82"/>
  <c r="K164" i="82"/>
  <c r="J164" i="82"/>
  <c r="G164" i="82"/>
  <c r="C164" i="82"/>
  <c r="A164" i="82"/>
  <c r="S163" i="82"/>
  <c r="R163" i="82"/>
  <c r="Q163" i="82"/>
  <c r="P163" i="82"/>
  <c r="O163" i="82"/>
  <c r="L163" i="82"/>
  <c r="K163" i="82"/>
  <c r="J163" i="82"/>
  <c r="G163" i="82"/>
  <c r="C163" i="82"/>
  <c r="A163" i="82"/>
  <c r="S162" i="82"/>
  <c r="R162" i="82"/>
  <c r="Q162" i="82"/>
  <c r="P162" i="82"/>
  <c r="O162" i="82"/>
  <c r="L162" i="82"/>
  <c r="K162" i="82"/>
  <c r="J162" i="82"/>
  <c r="G162" i="82"/>
  <c r="C162" i="82"/>
  <c r="A162" i="82"/>
  <c r="S161" i="82"/>
  <c r="R161" i="82"/>
  <c r="Q161" i="82"/>
  <c r="P161" i="82"/>
  <c r="O161" i="82"/>
  <c r="L161" i="82"/>
  <c r="K161" i="82"/>
  <c r="J161" i="82"/>
  <c r="G161" i="82"/>
  <c r="C161" i="82"/>
  <c r="A161" i="82"/>
  <c r="S160" i="82"/>
  <c r="R160" i="82"/>
  <c r="Q160" i="82"/>
  <c r="P160" i="82"/>
  <c r="O160" i="82"/>
  <c r="L160" i="82"/>
  <c r="K160" i="82"/>
  <c r="J160" i="82"/>
  <c r="G160" i="82"/>
  <c r="C160" i="82"/>
  <c r="A160" i="82"/>
  <c r="S159" i="82"/>
  <c r="R159" i="82"/>
  <c r="Q159" i="82"/>
  <c r="P159" i="82"/>
  <c r="O159" i="82"/>
  <c r="L159" i="82"/>
  <c r="K159" i="82"/>
  <c r="J159" i="82"/>
  <c r="G159" i="82"/>
  <c r="C159" i="82"/>
  <c r="A159" i="82"/>
  <c r="S158" i="82"/>
  <c r="R158" i="82"/>
  <c r="Q158" i="82"/>
  <c r="P158" i="82"/>
  <c r="O158" i="82"/>
  <c r="L158" i="82"/>
  <c r="K158" i="82"/>
  <c r="J158" i="82"/>
  <c r="G158" i="82"/>
  <c r="C158" i="82"/>
  <c r="A158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D10" i="105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<sst xmlns="http://schemas.openxmlformats.org/spreadsheetml/2006/main" count="174" uniqueCount="98">
  <si>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</si>
  <si>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</si>
  <si>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</si>
  <si>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</si>
  <si>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</si>
  <si>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</si>
  <si>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</si>
  <si>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</si>
  <si>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</si>
  <si>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</si>
  <si>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</si>
  <si>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</si>
  <si>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</si>
  <si>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</si>
  <si>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</si>
  <si>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</si>
  <si>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</si>
  <si>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</si>
  <si>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</si>
  <si>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</si>
  <si>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</si>
  <si>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</si>
  <si>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</si>
  <si>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</si>
  <si>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</si>
  <si>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</si>
  <si>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</si>
  <si>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</si>
  <si>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</si>
  <si>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</si>
  <si>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</si>
  <si>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</si>
  <si>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</si>
  <si>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</si>
  <si>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</si>
  <si>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</si>
  <si>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</si>
  <si>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</si>
  <si>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</si>
  <si>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</si>
  <si>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</si>
  <si>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</si>
  <si>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</si>
  <si>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</si>
  <si>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</si>
  <si>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</si>
  <si>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</si>
  <si>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</si>
  <si>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</si>
  <si>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</si>
  <si>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</si>
  <si>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</si>
  <si>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</si>
  <si>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</si>
  <si>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</si>
  <si>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</si>
  <si>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</si>
  <si>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</si>
  <si>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</si>
  <si>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</si>
  <si>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</si>
  <si>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</si>
  <si>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</si>
  <si>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</si>
  <si>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</si>
  <si>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</si>
  <si>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</si>
  <si>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</si>
  <si>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</si>
  <si>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</si>
  <si>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</si>
  <si>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</si>
  <si>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</si>
  <si>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</si>
  <si>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</si>
  <si>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</si>
  <si>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</si>
  <si>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</si>
  <si>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</si>
  <si>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</si>
  <si>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</si>
  <si>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</si>
  <si>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</si>
  <si>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</si>
  <si>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</si>
  <si>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</si>
  <si>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</si>
  <si>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</si>
  <si>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</si>
  <si>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</si>
  <si>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</si>
  <si>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pick</t>
    <phoneticPr fontId="11"/>
  </si>
  <si>
    <t>pick</t>
    <phoneticPr fontId="11"/>
  </si>
  <si>
    <t>pick</t>
    <phoneticPr fontId="11"/>
  </si>
  <si>
    <t>PremiumS</t>
    <phoneticPr fontId="11"/>
  </si>
  <si>
    <t>PremiumSS</t>
    <phoneticPr fontId="11"/>
  </si>
  <si>
    <t>PremiumS</t>
    <phoneticPr fontId="11"/>
  </si>
  <si>
    <t>レベル設定ユニット数</t>
    <rPh sb="3" eb="10">
      <t>セッテ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</si>
</sst>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</cellXfs>
  <cellStyles count="358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ハッピー？バレンタイン！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  <cell r="D688" t="str">
            <v>各属性相性良3・黄・R306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各属性相性良3・黄・R307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各属性相性良3・黄・R308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  <cell r="D691" t="str">
            <v>各属性相性良3・黄・R309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各属性相性良3・黄・R310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  <cell r="D693" t="str">
            <v>各属性相性良3・黄・R311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各属性相性良3・黄・R312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  <cell r="D695" t="str">
            <v>各属性相性良3・黄・R313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各属性相性良3・黄・R314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各属性相性良3・黄・R315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  <cell r="D698" t="str">
            <v>各属性相性良3・黄・R316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各属性相性良3・黄・R317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  <cell r="D700" t="str">
            <v>各属性相性良3・黄・R318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各属性相性良3・黄・R319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  <cell r="D702" t="str">
            <v>各属性相性良3・黄・R320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  <cell r="D704" t="str">
            <v>各属性相性良3・黄・R322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各属性相性良3・黄・R323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  <cell r="D706" t="str">
            <v>各属性相性良3・黄・R324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各属性相性良3・黄・R325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  <cell r="D708" t="str">
            <v>各属性相性良3・黄・R326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各属性相性良3・黄・R327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  <cell r="D710" t="str">
            <v>各属性相性良3・黄・R328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各属性相性良3・黄・R329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  <cell r="D712" t="str">
            <v>各属性相性良3・黄・R330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  <cell r="D714" t="str">
            <v>各属性相性良3・黄・R332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各属性相性良3・黄・R333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  <cell r="D716" t="str">
            <v>各属性相性良3・黄・R334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各属性相性良3・黄・R335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  <cell r="D718" t="str">
            <v>各属性相性良3・黄・R336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各属性相性良3・黄・R337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  <cell r="D720" t="str">
            <v>各属性相性良3・黄・R338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各属性相性良3・黄・R339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  <cell r="D722" t="str">
            <v>各属性相性良3・黄・R340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  <cell r="D724" t="str">
            <v>各属性相性良3・黄・R342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各属性相性良3・黄・R343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  <cell r="D726" t="str">
            <v>各属性相性良3・黄・R344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各属性相性良3・黄・R345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  <cell r="D728" t="str">
            <v>各属性相性良3・黄・R346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各属性相性良3・黄・R347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  <cell r="D730" t="str">
            <v>各属性相性良3・黄・R348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各属性相性良3・黄・R349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各属性相性良3・黄・R350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  <cell r="D733" t="str">
            <v>各属性相性良3・黄・R351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各属性相性良3・黄・R352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  <cell r="D735" t="str">
            <v>各属性相性良3・黄・R353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各属性相性良3・黄・R354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各属性相性良3・黄・R355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各属性相性良3・黄・R356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各属性相性良3・黄・R357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各属性相性良3・黄・R358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各属性相性良3・黄・R359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各属性相性良3・黄・R360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各属性相性良3・黄・R361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各属性相性良3・黄・R362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各属性相性良3・黄・R363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各属性相性良3・黄・R364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各属性相性良3・黄・R365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各属性相性良3・黄・R366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各属性相性良3・黄・R367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  <cell r="D750" t="str">
            <v>各属性相性良3・黄・R368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各属性相性良3・黄・R369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  <cell r="D752" t="str">
            <v>各属性相性良3・黄・R370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  <cell r="D754" t="str">
            <v>各属性相性良3・黄・R372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各属性相性良3・黄・R373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  <cell r="D756" t="str">
            <v>各属性相性良3・黄・R374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各属性相性良3・黄・R375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  <cell r="D758" t="str">
            <v>各属性相性良3・黄・R376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各属性相性良3・黄・R377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  <cell r="D760" t="str">
            <v>各属性相性良3・黄・R378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各属性相性良3・黄・R379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  <cell r="D762" t="str">
            <v>各属性相性良3・黄・R380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各属性相性良3・黄・R381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  <cell r="D764" t="str">
            <v>各属性相性良3・黄・R382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各属性相性良3・黄・R383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  <cell r="D766" t="str">
            <v>各属性相性良3・黄・R384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各属性相性良3・黄・R385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各属性相性良3・黄・R386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  <cell r="D769" t="str">
            <v>各属性相性良3・黄・R387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  <cell r="D770" t="str">
            <v>各属性相性良3・黄・R388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  <cell r="D771" t="str">
            <v>各属性相性良3・黄・R389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  <cell r="D772" t="str">
            <v>各属性相性良3・黄・R390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各属性相性良3・黄・R391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各属性相性良3・黄・R392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  <cell r="D775" t="str">
            <v>各属性相性良3・黄・R393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各属性相性良3・黄・R394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  <cell r="D777" t="str">
            <v>各属性相性良3・黄・R395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各属性相性良3・黄・R396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各属性相性良3・黄・R397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  <cell r="D780" t="str">
            <v>各属性相性良3・黄・R398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  <cell r="D781" t="str">
            <v>各属性相性良3・黄・R399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  <cell r="D782" t="str">
            <v>各属性相性良3・黄・R400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  <cell r="D783" t="str">
            <v>各属性相性良3・黄・R401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各属性相性良3・黄・R402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各属性相性良3・黄・R403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  <cell r="D786" t="str">
            <v>各属性相性良3・黄・R404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各属性相性良3・黄・R405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  <cell r="D788" t="str">
            <v>各属性相性良3・黄・R406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各属性相性良3・黄・R407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  <cell r="D790" t="str">
            <v>各属性相性良3・黄・R408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各属性相性良3・黄・R409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  <cell r="D792" t="str">
            <v>各属性相性良3・黄・R410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各属性相性良3・黄・R411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  <cell r="D794" t="str">
            <v>各属性相性良3・黄・R412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  <cell r="D795" t="str">
            <v>各属性相性良3・黄・R413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  <cell r="D796" t="str">
            <v>各属性相性良3・黄・R414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6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  <cell r="D797" t="str">
            <v>各属性相性良3・黄・R415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  <cell r="D798" t="str">
            <v>各属性相性良3・黄・R416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  <cell r="D799" t="str">
            <v>各属性相性良3・黄・R417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  <cell r="D800" t="str">
            <v>各属性相性良3・黄・R418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  <cell r="D801" t="str">
            <v>各属性相性良3・黄・R419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  <cell r="D802" t="str">
            <v>各属性相性良3・黄・R420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  <cell r="D803" t="str">
            <v>各属性相性良3・黄・R421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  <cell r="D804" t="str">
            <v>各属性相性良3・黄・R422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  <cell r="D805" t="str">
            <v>各属性相性良3・黄・R423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red</v>
          </cell>
          <cell r="I805">
            <v>6</v>
          </cell>
          <cell r="J805" t="str">
            <v>PremiumN</v>
          </cell>
          <cell r="K805" t="str">
            <v>attack</v>
          </cell>
          <cell r="L805" t="str">
            <v>攻撃タイプ</v>
          </cell>
          <cell r="M805" t="str">
            <v>god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  <cell r="D806" t="str">
            <v>各属性相性良3・黄・R424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green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  <cell r="D807" t="str">
            <v>各属性相性良3・黄・R425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blue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  <cell r="D808" t="str">
            <v>各属性相性良3・黄・R426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yellow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  <cell r="D809" t="str">
            <v>各属性相性良3・黄・R427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blue</v>
          </cell>
          <cell r="I809">
            <v>6</v>
          </cell>
          <cell r="J809" t="str">
            <v>PremiumSS</v>
          </cell>
          <cell r="K809" t="str">
            <v>balance</v>
          </cell>
          <cell r="L809" t="str">
            <v>バランスタイプ</v>
          </cell>
          <cell r="M809" t="str">
            <v>human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  <cell r="D810" t="str">
            <v>各属性相性良3・黄・R428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red</v>
          </cell>
          <cell r="I810">
            <v>6</v>
          </cell>
          <cell r="J810" t="str">
            <v>PremiumS</v>
          </cell>
          <cell r="K810" t="str">
            <v>attack</v>
          </cell>
          <cell r="L810" t="str">
            <v>攻撃タイプ</v>
          </cell>
          <cell r="M810" t="str">
            <v>god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  <cell r="D811" t="str">
            <v>各属性相性良3・黄・R429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PremiumSS</v>
          </cell>
          <cell r="K811" t="str">
            <v>heal</v>
          </cell>
          <cell r="L811" t="str">
            <v>回復タイプ</v>
          </cell>
          <cell r="M811" t="str">
            <v>human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  <cell r="D812" t="str">
            <v>各属性相性良3・黄・R430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green</v>
          </cell>
          <cell r="I812">
            <v>6</v>
          </cell>
          <cell r="J812" t="str">
            <v>PremiumS</v>
          </cell>
          <cell r="K812" t="str">
            <v>attack</v>
          </cell>
          <cell r="L812" t="str">
            <v>攻撃タイプ</v>
          </cell>
          <cell r="M812" t="str">
            <v>god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  <cell r="D813" t="str">
            <v>各属性相性良3・黄・R431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yellow</v>
          </cell>
          <cell r="I813">
            <v>6</v>
          </cell>
          <cell r="J813" t="str">
            <v>PremiumSS</v>
          </cell>
          <cell r="K813" t="str">
            <v>balance</v>
          </cell>
          <cell r="L813" t="str">
            <v>バランスタイプ</v>
          </cell>
          <cell r="M813" t="str">
            <v>human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  <cell r="D814" t="str">
            <v>各属性相性良3・黄・R432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blue</v>
          </cell>
          <cell r="I814">
            <v>6</v>
          </cell>
          <cell r="J814" t="str">
            <v>PremiumS</v>
          </cell>
          <cell r="K814" t="str">
            <v>heal</v>
          </cell>
          <cell r="L814" t="str">
            <v>回復タイプ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  <cell r="D815" t="str">
            <v>各属性相性良3・黄・R433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PremiumSS</v>
          </cell>
          <cell r="K815" t="str">
            <v>attack</v>
          </cell>
          <cell r="L815" t="str">
            <v>攻撃タイプ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  <cell r="D816" t="str">
            <v>各属性相性良3・黄・R434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  <cell r="D817" t="str">
            <v>各属性相性良3・黄・R435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  <cell r="D818" t="str">
            <v>各属性相性良3・黄・R436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  <cell r="D819" t="str">
            <v>各属性相性良3・黄・R437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  <cell r="D820" t="str">
            <v>各属性相性良3・黄・R438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  <cell r="D821" t="str">
            <v>各属性相性良3・黄・R439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  <cell r="D822" t="str">
            <v>各属性相性良3・黄・R440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  <cell r="D823" t="str">
            <v>各属性相性良3・黄・R441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  <cell r="D824" t="str">
            <v>各属性相性良3・黄・R442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  <cell r="D825" t="str">
            <v>各属性相性良3・黄・R443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  <cell r="D826" t="str">
            <v>各属性相性良3・黄・R444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  <cell r="D827" t="str">
            <v>各属性相性良3・黄・R445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  <cell r="D828" t="str">
            <v>各属性相性良3・黄・R446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  <cell r="D829" t="str">
            <v>各属性相性良3・黄・R447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  <cell r="D830" t="str">
            <v>各属性相性良3・黄・R448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  <cell r="D831" t="str">
            <v>各属性相性良3・黄・R449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  <cell r="D832" t="str">
            <v>各属性相性良3・黄・R450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  <cell r="D833" t="str">
            <v>各属性相性良3・黄・R451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  <cell r="D834" t="str">
            <v>各属性相性良3・黄・R452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  <cell r="D835" t="str">
            <v>各属性相性良3・黄・R453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  <cell r="D836" t="str">
            <v>各属性相性良3・黄・R454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  <cell r="D837" t="str">
            <v>各属性相性良3・黄・R455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  <cell r="D838" t="str">
            <v>各属性相性良3・黄・R456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  <cell r="D839" t="str">
            <v>各属性相性良3・黄・R457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30" sqref="E3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181</v>
      </c>
      <c r="D2" s="25" t="s">
        <v>60</v>
      </c>
      <c r="E2" s="23" t="str">
        <f ca="1">B2&amp;C2&amp;D2</f>
        <v>gacha_select_tables_181.tmp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181</v>
      </c>
      <c r="D3" s="25" t="s">
        <v>61</v>
      </c>
      <c r="E3" s="23" t="str">
        <f ca="1">B3&amp;C3&amp;D3</f>
        <v>gacha_settle_tables_181.tmp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181</v>
      </c>
      <c r="D4" s="25" t="s">
        <v>61</v>
      </c>
      <c r="E4" s="23" t="str">
        <f ca="1">B4&amp;C4&amp;D4</f>
        <v>gacha_bonus_tables_181.tmp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181</v>
      </c>
      <c r="D5" s="25" t="s">
        <v>61</v>
      </c>
      <c r="E5" s="23" t="str">
        <f ca="1">B5&amp;C5&amp;D5</f>
        <v>gifts_tmp_181.tmp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181</v>
      </c>
      <c r="D6" s="25" t="s">
        <v>61</v>
      </c>
      <c r="E6" s="23" t="str">
        <f ca="1">B6&amp;C6&amp;D6</f>
        <v>gifts_i18n_181.tmp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abSelected="1" workbookViewId="0">
      <selection activeCell="G33" sqref="G33"/>
    </sheetView>
  </sheetViews>
  <sheetFormatPr baseColWidth="12" defaultRowHeight="14" x14ac:dyDescent="0"/>
  <cols>
    <col min="1" max="1" width="15.1640625" style="54" customWidth="1"/>
    <col min="2" max="3" width="12.83203125" style="54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1"/>
    </row>
    <row r="3" spans="1:5">
      <c r="A3" s="15" t="str">
        <f t="shared" ref="A3:A13" si="0">0&amp;C3&amp;D3&amp;E3</f>
        <v>0PremiumW4</v>
      </c>
      <c r="B3">
        <v>6382</v>
      </c>
      <c r="C3" s="51" t="s">
        <v>72</v>
      </c>
      <c r="D3">
        <v>4</v>
      </c>
    </row>
    <row r="4" spans="1:5">
      <c r="A4" s="15" t="str">
        <f t="shared" si="0"/>
        <v>0PremiumN4</v>
      </c>
      <c r="B4">
        <v>11998</v>
      </c>
      <c r="C4" s="51" t="s">
        <v>73</v>
      </c>
      <c r="D4">
        <v>4</v>
      </c>
    </row>
    <row r="5" spans="1:5">
      <c r="A5" s="15" t="str">
        <f t="shared" si="0"/>
        <v>0PremiumS4</v>
      </c>
      <c r="B5">
        <v>11998</v>
      </c>
      <c r="C5" s="51" t="s">
        <v>74</v>
      </c>
      <c r="D5">
        <v>4</v>
      </c>
    </row>
    <row r="6" spans="1:5">
      <c r="A6" s="15" t="str">
        <f t="shared" si="0"/>
        <v>0PremiumS4pick</v>
      </c>
      <c r="B6">
        <v>21996</v>
      </c>
      <c r="C6" s="51" t="s">
        <v>94</v>
      </c>
      <c r="D6">
        <v>4</v>
      </c>
      <c r="E6" t="s">
        <v>91</v>
      </c>
    </row>
    <row r="7" spans="1:5">
      <c r="A7" s="15" t="str">
        <f t="shared" si="0"/>
        <v>0PremiumSS4</v>
      </c>
      <c r="B7">
        <v>772</v>
      </c>
      <c r="C7" s="51" t="s">
        <v>75</v>
      </c>
      <c r="D7">
        <v>4</v>
      </c>
    </row>
    <row r="8" spans="1:5">
      <c r="A8" s="15" t="str">
        <f t="shared" si="0"/>
        <v>0PremiumSS4pick</v>
      </c>
      <c r="B8">
        <v>7332</v>
      </c>
      <c r="C8" s="51" t="s">
        <v>95</v>
      </c>
      <c r="D8">
        <v>4</v>
      </c>
      <c r="E8" t="s">
        <v>91</v>
      </c>
    </row>
    <row r="9" spans="1:5">
      <c r="A9" s="15" t="str">
        <f t="shared" si="0"/>
        <v>0PremiumN5</v>
      </c>
      <c r="B9">
        <v>766</v>
      </c>
      <c r="C9" s="51" t="s">
        <v>73</v>
      </c>
      <c r="D9">
        <v>5</v>
      </c>
    </row>
    <row r="10" spans="1:5">
      <c r="A10" s="15" t="str">
        <f t="shared" si="0"/>
        <v>0PremiumS5</v>
      </c>
      <c r="B10">
        <v>766</v>
      </c>
      <c r="C10" s="60" t="s">
        <v>74</v>
      </c>
      <c r="D10">
        <v>5</v>
      </c>
    </row>
    <row r="11" spans="1:5">
      <c r="A11" s="15" t="str">
        <f t="shared" si="0"/>
        <v>0PremiumS5pick</v>
      </c>
      <c r="B11">
        <v>1404</v>
      </c>
      <c r="C11" s="60" t="s">
        <v>94</v>
      </c>
      <c r="D11">
        <v>5</v>
      </c>
      <c r="E11" t="s">
        <v>91</v>
      </c>
    </row>
    <row r="12" spans="1:5">
      <c r="A12" s="15" t="str">
        <f t="shared" si="0"/>
        <v>0PremiumSS5</v>
      </c>
      <c r="B12">
        <v>49</v>
      </c>
      <c r="C12" s="50" t="s">
        <v>75</v>
      </c>
      <c r="D12">
        <v>5</v>
      </c>
    </row>
    <row r="13" spans="1:5">
      <c r="A13" s="15" t="str">
        <f t="shared" si="0"/>
        <v>0PremiumSS5pick</v>
      </c>
      <c r="B13">
        <v>468</v>
      </c>
      <c r="C13" s="51" t="s">
        <v>95</v>
      </c>
      <c r="D13">
        <v>5</v>
      </c>
      <c r="E13" t="s">
        <v>92</v>
      </c>
    </row>
    <row r="14" spans="1:5">
      <c r="A14" s="15"/>
      <c r="B14"/>
      <c r="C14" s="51"/>
    </row>
    <row r="15" spans="1:5">
      <c r="A15" s="15"/>
      <c r="B15"/>
      <c r="C15" s="51"/>
    </row>
    <row r="16" spans="1:5">
      <c r="A16" s="53"/>
      <c r="B16"/>
      <c r="C16" s="59"/>
    </row>
    <row r="17" spans="1:9">
      <c r="A17" s="15" t="str">
        <f t="shared" ref="A17:A31" si="1">1&amp;C17&amp;D17&amp;E17</f>
        <v>1PremiumW3</v>
      </c>
      <c r="B17">
        <v>8716</v>
      </c>
      <c r="C17" s="50" t="s">
        <v>72</v>
      </c>
      <c r="D17">
        <v>3</v>
      </c>
    </row>
    <row r="18" spans="1:9">
      <c r="A18" s="15" t="str">
        <f t="shared" si="1"/>
        <v>1PremiumN3</v>
      </c>
      <c r="B18">
        <v>13074</v>
      </c>
      <c r="C18" s="50" t="s">
        <v>73</v>
      </c>
      <c r="D18">
        <v>3</v>
      </c>
    </row>
    <row r="19" spans="1:9">
      <c r="A19" s="15" t="str">
        <f t="shared" si="1"/>
        <v>1PremiumS3</v>
      </c>
      <c r="B19">
        <v>13074</v>
      </c>
      <c r="C19" s="50" t="s">
        <v>74</v>
      </c>
      <c r="D19">
        <v>3</v>
      </c>
    </row>
    <row r="20" spans="1:9">
      <c r="A20" s="15" t="str">
        <f t="shared" si="1"/>
        <v>1PremiumS3pick</v>
      </c>
      <c r="B20">
        <v>25422</v>
      </c>
      <c r="C20" s="50" t="s">
        <v>94</v>
      </c>
      <c r="D20">
        <v>3</v>
      </c>
      <c r="E20" t="s">
        <v>91</v>
      </c>
    </row>
    <row r="21" spans="1:9">
      <c r="A21" s="15" t="str">
        <f t="shared" si="1"/>
        <v>1PremiumW4</v>
      </c>
      <c r="B21">
        <v>2752</v>
      </c>
      <c r="C21" s="50" t="s">
        <v>72</v>
      </c>
      <c r="D21">
        <v>4</v>
      </c>
    </row>
    <row r="22" spans="1:9">
      <c r="A22" s="15" t="str">
        <f t="shared" si="1"/>
        <v>1PremiumN4</v>
      </c>
      <c r="B22">
        <v>3097</v>
      </c>
      <c r="C22" s="50" t="s">
        <v>73</v>
      </c>
      <c r="D22">
        <v>4</v>
      </c>
      <c r="H22" s="49"/>
      <c r="I22" s="49"/>
    </row>
    <row r="23" spans="1:9">
      <c r="A23" s="15" t="str">
        <f t="shared" si="1"/>
        <v>1PremiumS4</v>
      </c>
      <c r="B23">
        <v>3097</v>
      </c>
      <c r="C23" s="50" t="s">
        <v>74</v>
      </c>
      <c r="D23">
        <v>4</v>
      </c>
    </row>
    <row r="24" spans="1:9">
      <c r="A24" s="15" t="str">
        <f t="shared" si="1"/>
        <v>1PremiumS4pick</v>
      </c>
      <c r="B24">
        <v>6021</v>
      </c>
      <c r="C24" s="50" t="s">
        <v>96</v>
      </c>
      <c r="D24">
        <v>4</v>
      </c>
      <c r="E24" t="s">
        <v>91</v>
      </c>
    </row>
    <row r="25" spans="1:9">
      <c r="A25" s="15" t="str">
        <f t="shared" si="1"/>
        <v>1PremiumSS4</v>
      </c>
      <c r="B25">
        <v>1103</v>
      </c>
      <c r="C25" s="51" t="s">
        <v>75</v>
      </c>
      <c r="D25">
        <v>4</v>
      </c>
    </row>
    <row r="26" spans="1:9">
      <c r="A26" s="15" t="str">
        <f t="shared" si="1"/>
        <v>1PremiumSS4pick</v>
      </c>
      <c r="B26">
        <v>10481</v>
      </c>
      <c r="C26" s="51" t="s">
        <v>95</v>
      </c>
      <c r="D26">
        <v>4</v>
      </c>
      <c r="E26" t="s">
        <v>91</v>
      </c>
    </row>
    <row r="27" spans="1:9">
      <c r="A27" s="15" t="str">
        <f t="shared" si="1"/>
        <v>1PremiumN5</v>
      </c>
      <c r="B27">
        <v>1032</v>
      </c>
      <c r="C27" s="51" t="s">
        <v>73</v>
      </c>
      <c r="D27">
        <v>5</v>
      </c>
    </row>
    <row r="28" spans="1:9">
      <c r="A28" s="15" t="str">
        <f t="shared" si="1"/>
        <v>1PremiumS5</v>
      </c>
      <c r="B28">
        <v>1032</v>
      </c>
      <c r="C28" s="50" t="s">
        <v>74</v>
      </c>
      <c r="D28">
        <v>5</v>
      </c>
    </row>
    <row r="29" spans="1:9">
      <c r="A29" s="15" t="str">
        <f t="shared" si="1"/>
        <v>1PremiumS5pick</v>
      </c>
      <c r="B29">
        <v>2007</v>
      </c>
      <c r="C29" s="50" t="s">
        <v>94</v>
      </c>
      <c r="D29">
        <v>5</v>
      </c>
      <c r="E29" t="s">
        <v>91</v>
      </c>
    </row>
    <row r="30" spans="1:9">
      <c r="A30" s="15" t="str">
        <f t="shared" si="1"/>
        <v>1PremiumSS5</v>
      </c>
      <c r="B30">
        <v>70</v>
      </c>
      <c r="C30" s="41" t="s">
        <v>75</v>
      </c>
      <c r="D30">
        <v>5</v>
      </c>
    </row>
    <row r="31" spans="1:9">
      <c r="A31" s="15" t="str">
        <f t="shared" si="1"/>
        <v>1PremiumSS5pick</v>
      </c>
      <c r="B31">
        <v>669</v>
      </c>
      <c r="C31" s="41" t="s">
        <v>95</v>
      </c>
      <c r="D31">
        <v>5</v>
      </c>
      <c r="E31" t="s">
        <v>93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3"/>
      <c r="B35"/>
      <c r="C35"/>
    </row>
    <row r="36" spans="1:3">
      <c r="A36" s="53"/>
      <c r="C36" s="59"/>
    </row>
    <row r="37" spans="1:3">
      <c r="A37" s="53"/>
      <c r="C37" s="52"/>
    </row>
    <row r="38" spans="1:3">
      <c r="A38" s="53"/>
      <c r="C38" s="52"/>
    </row>
    <row r="39" spans="1:3">
      <c r="A39" s="53"/>
      <c r="C39" s="52"/>
    </row>
    <row r="40" spans="1:3">
      <c r="A40" s="53"/>
      <c r="C40" s="59"/>
    </row>
    <row r="41" spans="1:3">
      <c r="A41" s="53"/>
      <c r="C41" s="59"/>
    </row>
    <row r="42" spans="1:3">
      <c r="A42" s="53"/>
    </row>
    <row r="43" spans="1:3">
      <c r="A43" s="53"/>
    </row>
    <row r="44" spans="1:3">
      <c r="A44" s="53"/>
    </row>
    <row r="45" spans="1:3">
      <c r="A45" s="53"/>
    </row>
    <row r="48" spans="1:3">
      <c r="A48" s="53"/>
      <c r="C48" s="52"/>
    </row>
    <row r="49" spans="1:3">
      <c r="A49" s="53"/>
      <c r="C49" s="52"/>
    </row>
    <row r="50" spans="1:3">
      <c r="A50" s="53"/>
      <c r="C50" s="52"/>
    </row>
    <row r="51" spans="1:3">
      <c r="A51" s="53"/>
      <c r="C51" s="52"/>
    </row>
    <row r="52" spans="1:3">
      <c r="A52" s="53"/>
      <c r="C52" s="52"/>
    </row>
    <row r="53" spans="1:3">
      <c r="A53" s="53"/>
      <c r="C53" s="52"/>
    </row>
    <row r="54" spans="1:3">
      <c r="A54" s="53"/>
      <c r="C54" s="52"/>
    </row>
    <row r="55" spans="1:3">
      <c r="A55" s="53"/>
    </row>
    <row r="56" spans="1:3">
      <c r="A56" s="53"/>
    </row>
    <row r="57" spans="1:3">
      <c r="A57" s="53"/>
    </row>
    <row r="60" spans="1:3">
      <c r="A60" s="53"/>
      <c r="C60" s="52"/>
    </row>
    <row r="61" spans="1:3">
      <c r="A61" s="53"/>
      <c r="C61" s="52"/>
    </row>
    <row r="62" spans="1:3">
      <c r="A62" s="53"/>
      <c r="C62" s="52"/>
    </row>
    <row r="63" spans="1:3">
      <c r="A63" s="53"/>
      <c r="C63" s="52"/>
    </row>
    <row r="64" spans="1:3">
      <c r="A64" s="53"/>
      <c r="C64" s="52"/>
    </row>
    <row r="65" spans="1:3">
      <c r="A65" s="53"/>
      <c r="C65" s="52"/>
    </row>
    <row r="66" spans="1:3">
      <c r="A66" s="53"/>
      <c r="C66" s="52"/>
    </row>
    <row r="69" spans="1:3">
      <c r="A69" s="53"/>
      <c r="C69" s="52"/>
    </row>
    <row r="70" spans="1:3">
      <c r="A70" s="53"/>
      <c r="C70" s="52"/>
    </row>
    <row r="71" spans="1:3">
      <c r="A71" s="53"/>
      <c r="C71" s="52"/>
    </row>
    <row r="72" spans="1:3">
      <c r="A72" s="53"/>
      <c r="C72" s="52"/>
    </row>
    <row r="73" spans="1:3">
      <c r="A73" s="53"/>
      <c r="C73" s="52"/>
    </row>
    <row r="74" spans="1:3">
      <c r="A74" s="53"/>
      <c r="C74" s="52"/>
    </row>
    <row r="75" spans="1:3">
      <c r="A75" s="53"/>
      <c r="C75" s="52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80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K27" sqref="K2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1810127</v>
      </c>
      <c r="B2" s="2" t="str">
        <f>181&amp;E2</f>
        <v>1810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VLOOKUP(D2,gacha_181_base!A:B,2,FALSE)</f>
        <v>6382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1810129</v>
      </c>
      <c r="B3" s="2" t="str">
        <f t="shared" ref="B3:B66" si="3">181&amp;E3</f>
        <v>1810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VLOOKUP(D3,gacha_181_base!A:B,2,FALSE)</f>
        <v>6382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1810131</v>
      </c>
      <c r="B4" s="2" t="str">
        <f t="shared" si="3"/>
        <v>1810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VLOOKUP(D4,gacha_181_base!A:B,2,FALSE)</f>
        <v>6382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1810133</v>
      </c>
      <c r="B5" s="2" t="str">
        <f t="shared" si="3"/>
        <v>1810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VLOOKUP(D5,gacha_181_base!A:B,2,FALSE)</f>
        <v>6382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1810135</v>
      </c>
      <c r="B6" s="2" t="str">
        <f t="shared" si="3"/>
        <v>1810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VLOOKUP(D6,gacha_181_base!A:B,2,FALSE)</f>
        <v>6382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1810137</v>
      </c>
      <c r="B7" s="2" t="str">
        <f t="shared" si="3"/>
        <v>1810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VLOOKUP(D7,gacha_181_base!A:B,2,FALSE)</f>
        <v>6382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1810139</v>
      </c>
      <c r="B8" s="2" t="str">
        <f t="shared" si="3"/>
        <v>1810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VLOOKUP(D8,gacha_181_base!A:B,2,FALSE)</f>
        <v>6382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1810141</v>
      </c>
      <c r="B9" s="2" t="str">
        <f t="shared" si="3"/>
        <v>1810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VLOOKUP(D9,gacha_181_base!A:B,2,FALSE)</f>
        <v>6382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1810143</v>
      </c>
      <c r="B10" s="2" t="str">
        <f t="shared" si="3"/>
        <v>1810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VLOOKUP(D10,gacha_181_base!A:B,2,FALSE)</f>
        <v>6382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1810145</v>
      </c>
      <c r="B11" s="2" t="str">
        <f t="shared" si="3"/>
        <v>1810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VLOOKUP(D11,gacha_181_base!A:B,2,FALSE)</f>
        <v>6382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1810147</v>
      </c>
      <c r="B12" s="2" t="str">
        <f t="shared" si="3"/>
        <v>1810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VLOOKUP(D12,gacha_181_base!A:B,2,FALSE)</f>
        <v>6382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1810149</v>
      </c>
      <c r="B13" s="2" t="str">
        <f t="shared" si="3"/>
        <v>1810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VLOOKUP(D13,gacha_181_base!A:B,2,FALSE)</f>
        <v>6382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1810151</v>
      </c>
      <c r="B14" s="2" t="str">
        <f t="shared" si="3"/>
        <v>1810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VLOOKUP(D14,gacha_181_base!A:B,2,FALSE)</f>
        <v>6382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1810153</v>
      </c>
      <c r="B15" s="2" t="str">
        <f t="shared" si="3"/>
        <v>1810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VLOOKUP(D15,gacha_181_base!A:B,2,FALSE)</f>
        <v>6382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1810155</v>
      </c>
      <c r="B16" s="2" t="str">
        <f t="shared" si="3"/>
        <v>1810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VLOOKUP(D16,gacha_181_base!A:B,2,FALSE)</f>
        <v>6382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1810157</v>
      </c>
      <c r="B17" s="2" t="str">
        <f t="shared" si="3"/>
        <v>1810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VLOOKUP(D17,gacha_181_base!A:B,2,FALSE)</f>
        <v>6382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1810159</v>
      </c>
      <c r="B18" s="2" t="str">
        <f t="shared" si="3"/>
        <v>1810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VLOOKUP(D18,gacha_181_base!A:B,2,FALSE)</f>
        <v>6382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1810161</v>
      </c>
      <c r="B19" s="2" t="str">
        <f t="shared" si="3"/>
        <v>1810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VLOOKUP(D19,gacha_181_base!A:B,2,FALSE)</f>
        <v>6382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1810163</v>
      </c>
      <c r="B20" s="2" t="str">
        <f t="shared" si="3"/>
        <v>1810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VLOOKUP(D20,gacha_181_base!A:B,2,FALSE)</f>
        <v>6382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1810165</v>
      </c>
      <c r="B21" s="2" t="str">
        <f t="shared" si="3"/>
        <v>1810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VLOOKUP(D21,gacha_181_base!A:B,2,FALSE)</f>
        <v>6382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1810167</v>
      </c>
      <c r="B22" s="2" t="str">
        <f t="shared" si="3"/>
        <v>1810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VLOOKUP(D22,gacha_181_base!A:B,2,FALSE)</f>
        <v>11998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1810168</v>
      </c>
      <c r="B23" s="2" t="str">
        <f t="shared" si="3"/>
        <v>1810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VLOOKUP(D23,gacha_181_base!A:B,2,FALSE)</f>
        <v>766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1810170</v>
      </c>
      <c r="B24" s="2" t="str">
        <f t="shared" si="3"/>
        <v>1810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VLOOKUP(D24,gacha_181_base!A:B,2,FALSE)</f>
        <v>11998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1810171</v>
      </c>
      <c r="B25" s="2" t="str">
        <f t="shared" si="3"/>
        <v>1810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VLOOKUP(D25,gacha_181_base!A:B,2,FALSE)</f>
        <v>766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1810173</v>
      </c>
      <c r="B26" s="2" t="str">
        <f t="shared" si="3"/>
        <v>1810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VLOOKUP(D26,gacha_181_base!A:B,2,FALSE)</f>
        <v>11998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1810174</v>
      </c>
      <c r="B27" s="2" t="str">
        <f t="shared" si="3"/>
        <v>1810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VLOOKUP(D27,gacha_181_base!A:B,2,FALSE)</f>
        <v>766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1810176</v>
      </c>
      <c r="B28" s="2" t="str">
        <f t="shared" si="3"/>
        <v>1810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VLOOKUP(D28,gacha_181_base!A:B,2,FALSE)</f>
        <v>11998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1810177</v>
      </c>
      <c r="B29" s="2" t="str">
        <f t="shared" si="3"/>
        <v>1810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VLOOKUP(D29,gacha_181_base!A:B,2,FALSE)</f>
        <v>766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1810179</v>
      </c>
      <c r="B30" s="2" t="str">
        <f t="shared" si="3"/>
        <v>1810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VLOOKUP(D30,gacha_181_base!A:B,2,FALSE)</f>
        <v>11998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1810180</v>
      </c>
      <c r="B31" s="2" t="str">
        <f t="shared" si="3"/>
        <v>1810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VLOOKUP(D31,gacha_181_base!A:B,2,FALSE)</f>
        <v>766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1810182</v>
      </c>
      <c r="B32" s="2" t="str">
        <f t="shared" si="3"/>
        <v>1810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VLOOKUP(D32,gacha_181_base!A:B,2,FALSE)</f>
        <v>11998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1810183</v>
      </c>
      <c r="B33" s="2" t="str">
        <f t="shared" si="3"/>
        <v>1810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VLOOKUP(D33,gacha_181_base!A:B,2,FALSE)</f>
        <v>766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1810185</v>
      </c>
      <c r="B34" s="2" t="str">
        <f t="shared" si="3"/>
        <v>1810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VLOOKUP(D34,gacha_181_base!A:B,2,FALSE)</f>
        <v>11998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1810186</v>
      </c>
      <c r="B35" s="2" t="str">
        <f t="shared" si="3"/>
        <v>1810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VLOOKUP(D35,gacha_181_base!A:B,2,FALSE)</f>
        <v>766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1810188</v>
      </c>
      <c r="B36" s="2" t="str">
        <f t="shared" si="3"/>
        <v>1810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VLOOKUP(D36,gacha_181_base!A:B,2,FALSE)</f>
        <v>11998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1810189</v>
      </c>
      <c r="B37" s="2" t="str">
        <f t="shared" si="3"/>
        <v>1810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VLOOKUP(D37,gacha_181_base!A:B,2,FALSE)</f>
        <v>766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1810191</v>
      </c>
      <c r="B38" s="2" t="str">
        <f t="shared" si="3"/>
        <v>1810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VLOOKUP(D38,gacha_181_base!A:B,2,FALSE)</f>
        <v>11998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1810192</v>
      </c>
      <c r="B39" s="2" t="str">
        <f t="shared" si="3"/>
        <v>1810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VLOOKUP(D39,gacha_181_base!A:B,2,FALSE)</f>
        <v>766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1810194</v>
      </c>
      <c r="B40" s="2" t="str">
        <f t="shared" si="3"/>
        <v>1810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VLOOKUP(D40,gacha_181_base!A:B,2,FALSE)</f>
        <v>11998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1810195</v>
      </c>
      <c r="B41" s="2" t="str">
        <f t="shared" si="3"/>
        <v>1810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VLOOKUP(D41,gacha_181_base!A:B,2,FALSE)</f>
        <v>766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1810197</v>
      </c>
      <c r="B42" s="2" t="str">
        <f t="shared" si="3"/>
        <v>1810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VLOOKUP(D42,gacha_181_base!A:B,2,FALSE)</f>
        <v>11998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1810198</v>
      </c>
      <c r="B43" s="2" t="str">
        <f t="shared" si="3"/>
        <v>1810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VLOOKUP(D43,gacha_181_base!A:B,2,FALSE)</f>
        <v>766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1810200</v>
      </c>
      <c r="B44" s="2" t="str">
        <f t="shared" si="3"/>
        <v>1810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VLOOKUP(D44,gacha_181_base!A:B,2,FALSE)</f>
        <v>11998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1810201</v>
      </c>
      <c r="B45" s="2" t="str">
        <f t="shared" si="3"/>
        <v>1810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VLOOKUP(D45,gacha_181_base!A:B,2,FALSE)</f>
        <v>766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1810203</v>
      </c>
      <c r="B46" s="2" t="str">
        <f t="shared" si="3"/>
        <v>1810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VLOOKUP(D46,gacha_181_base!A:B,2,FALSE)</f>
        <v>11998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1810204</v>
      </c>
      <c r="B47" s="2" t="str">
        <f t="shared" si="3"/>
        <v>1810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VLOOKUP(D47,gacha_181_base!A:B,2,FALSE)</f>
        <v>766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1810206</v>
      </c>
      <c r="B48" s="2" t="str">
        <f t="shared" si="3"/>
        <v>1810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VLOOKUP(D48,gacha_181_base!A:B,2,FALSE)</f>
        <v>11998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1810207</v>
      </c>
      <c r="B49" s="2" t="str">
        <f t="shared" si="3"/>
        <v>1810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VLOOKUP(D49,gacha_181_base!A:B,2,FALSE)</f>
        <v>766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1810209</v>
      </c>
      <c r="B50" s="2" t="str">
        <f t="shared" si="3"/>
        <v>1810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VLOOKUP(D50,gacha_181_base!A:B,2,FALSE)</f>
        <v>11998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1810210</v>
      </c>
      <c r="B51" s="2" t="str">
        <f t="shared" si="3"/>
        <v>1810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VLOOKUP(D51,gacha_181_base!A:B,2,FALSE)</f>
        <v>766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1810212</v>
      </c>
      <c r="B52" s="2" t="str">
        <f t="shared" si="3"/>
        <v>1810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VLOOKUP(D52,gacha_181_base!A:B,2,FALSE)</f>
        <v>11998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1810213</v>
      </c>
      <c r="B53" s="2" t="str">
        <f t="shared" si="3"/>
        <v>1810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VLOOKUP(D53,gacha_181_base!A:B,2,FALSE)</f>
        <v>766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1810215</v>
      </c>
      <c r="B54" s="2" t="str">
        <f t="shared" si="3"/>
        <v>1810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VLOOKUP(D54,gacha_181_base!A:B,2,FALSE)</f>
        <v>11998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1810216</v>
      </c>
      <c r="B55" s="2" t="str">
        <f t="shared" si="3"/>
        <v>1810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VLOOKUP(D55,gacha_181_base!A:B,2,FALSE)</f>
        <v>766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1810218</v>
      </c>
      <c r="B56" s="2" t="str">
        <f t="shared" si="3"/>
        <v>1810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VLOOKUP(D56,gacha_181_base!A:B,2,FALSE)</f>
        <v>11998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1810219</v>
      </c>
      <c r="B57" s="2" t="str">
        <f t="shared" si="3"/>
        <v>1810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VLOOKUP(D57,gacha_181_base!A:B,2,FALSE)</f>
        <v>766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1810221</v>
      </c>
      <c r="B58" s="2" t="str">
        <f t="shared" si="3"/>
        <v>1810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VLOOKUP(D58,gacha_181_base!A:B,2,FALSE)</f>
        <v>11998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1810222</v>
      </c>
      <c r="B59" s="2" t="str">
        <f t="shared" si="3"/>
        <v>1810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VLOOKUP(D59,gacha_181_base!A:B,2,FALSE)</f>
        <v>766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1810224</v>
      </c>
      <c r="B60" s="2" t="str">
        <f t="shared" si="3"/>
        <v>1810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VLOOKUP(D60,gacha_181_base!A:B,2,FALSE)</f>
        <v>11998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1810225</v>
      </c>
      <c r="B61" s="2" t="str">
        <f t="shared" si="3"/>
        <v>1810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VLOOKUP(D61,gacha_181_base!A:B,2,FALSE)</f>
        <v>766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1810227</v>
      </c>
      <c r="B62" s="2" t="str">
        <f t="shared" si="3"/>
        <v>1810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VLOOKUP(D62,gacha_181_base!A:B,2,FALSE)</f>
        <v>11998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1810228</v>
      </c>
      <c r="B63" s="2" t="str">
        <f t="shared" si="3"/>
        <v>1810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VLOOKUP(D63,gacha_181_base!A:B,2,FALSE)</f>
        <v>766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1810230</v>
      </c>
      <c r="B64" s="2" t="str">
        <f t="shared" si="3"/>
        <v>1810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VLOOKUP(D64,gacha_181_base!A:B,2,FALSE)</f>
        <v>11998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1810231</v>
      </c>
      <c r="B65" s="2" t="str">
        <f t="shared" si="3"/>
        <v>1810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VLOOKUP(D65,gacha_181_base!A:B,2,FALSE)</f>
        <v>766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1810233</v>
      </c>
      <c r="B66" s="2" t="str">
        <f t="shared" si="3"/>
        <v>1810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VLOOKUP(D66,gacha_181_base!A:B,2,FALSE)</f>
        <v>11998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1810234</v>
      </c>
      <c r="B67" s="2" t="str">
        <f t="shared" ref="B67:B130" si="7">181&amp;E67</f>
        <v>1810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VLOOKUP(D67,gacha_181_base!A:B,2,FALSE)</f>
        <v>766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1810236</v>
      </c>
      <c r="B68" s="2" t="str">
        <f t="shared" si="7"/>
        <v>1810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VLOOKUP(D68,gacha_181_base!A:B,2,FALSE)</f>
        <v>11998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1810237</v>
      </c>
      <c r="B69" s="2" t="str">
        <f t="shared" si="7"/>
        <v>1810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VLOOKUP(D69,gacha_181_base!A:B,2,FALSE)</f>
        <v>766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1810239</v>
      </c>
      <c r="B70" s="2" t="str">
        <f t="shared" si="7"/>
        <v>1810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VLOOKUP(D70,gacha_181_base!A:B,2,FALSE)</f>
        <v>11998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1810240</v>
      </c>
      <c r="B71" s="2" t="str">
        <f t="shared" si="7"/>
        <v>1810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VLOOKUP(D71,gacha_181_base!A:B,2,FALSE)</f>
        <v>766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1810242</v>
      </c>
      <c r="B72" s="2" t="str">
        <f t="shared" si="7"/>
        <v>1810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VLOOKUP(D72,gacha_181_base!A:B,2,FALSE)</f>
        <v>11998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1810243</v>
      </c>
      <c r="B73" s="2" t="str">
        <f t="shared" si="7"/>
        <v>1810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VLOOKUP(D73,gacha_181_base!A:B,2,FALSE)</f>
        <v>766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1810245</v>
      </c>
      <c r="B74" s="2" t="str">
        <f t="shared" si="7"/>
        <v>1810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VLOOKUP(D74,gacha_181_base!A:B,2,FALSE)</f>
        <v>11998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1810246</v>
      </c>
      <c r="B75" s="2" t="str">
        <f t="shared" si="7"/>
        <v>1810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VLOOKUP(D75,gacha_181_base!A:B,2,FALSE)</f>
        <v>766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1810248</v>
      </c>
      <c r="B76" s="2" t="str">
        <f t="shared" si="7"/>
        <v>1810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VLOOKUP(D76,gacha_181_base!A:B,2,FALSE)</f>
        <v>11998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1810249</v>
      </c>
      <c r="B77" s="2" t="str">
        <f t="shared" si="7"/>
        <v>1810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VLOOKUP(D77,gacha_181_base!A:B,2,FALSE)</f>
        <v>766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1810251</v>
      </c>
      <c r="B78" s="2" t="str">
        <f t="shared" si="7"/>
        <v>1810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VLOOKUP(D78,gacha_181_base!A:B,2,FALSE)</f>
        <v>11998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1810252</v>
      </c>
      <c r="B79" s="2" t="str">
        <f t="shared" si="7"/>
        <v>1810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VLOOKUP(D79,gacha_181_base!A:B,2,FALSE)</f>
        <v>766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1810254</v>
      </c>
      <c r="B80" s="2" t="str">
        <f t="shared" si="7"/>
        <v>1810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VLOOKUP(D80,gacha_181_base!A:B,2,FALSE)</f>
        <v>11998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1810255</v>
      </c>
      <c r="B81" s="2" t="str">
        <f t="shared" si="7"/>
        <v>1810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VLOOKUP(D81,gacha_181_base!A:B,2,FALSE)</f>
        <v>766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1810257</v>
      </c>
      <c r="B82" s="2" t="str">
        <f t="shared" si="7"/>
        <v>1810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VLOOKUP(D82,gacha_181_base!A:B,2,FALSE)</f>
        <v>11998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1810258</v>
      </c>
      <c r="B83" s="2" t="str">
        <f t="shared" si="7"/>
        <v>1810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VLOOKUP(D83,gacha_181_base!A:B,2,FALSE)</f>
        <v>766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1810260</v>
      </c>
      <c r="B84" s="2" t="str">
        <f t="shared" si="7"/>
        <v>1810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VLOOKUP(D84,gacha_181_base!A:B,2,FALSE)</f>
        <v>11998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1810261</v>
      </c>
      <c r="B85" s="2" t="str">
        <f t="shared" si="7"/>
        <v>1810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VLOOKUP(D85,gacha_181_base!A:B,2,FALSE)</f>
        <v>766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1810320</v>
      </c>
      <c r="B86" s="2" t="str">
        <f t="shared" si="7"/>
        <v>1810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VLOOKUP(D86,gacha_181_base!A:B,2,FALSE)</f>
        <v>772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1810321</v>
      </c>
      <c r="B87" s="2" t="str">
        <f t="shared" si="7"/>
        <v>1810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VLOOKUP(D87,gacha_181_base!A:B,2,FALSE)</f>
        <v>49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1810322</v>
      </c>
      <c r="B88" s="2" t="str">
        <f t="shared" si="7"/>
        <v>1810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VLOOKUP(D88,gacha_181_base!A:B,2,FALSE)</f>
        <v>772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1810323</v>
      </c>
      <c r="B89" s="2" t="str">
        <f t="shared" si="7"/>
        <v>1810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VLOOKUP(D89,gacha_181_base!A:B,2,FALSE)</f>
        <v>49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1810324</v>
      </c>
      <c r="B90" s="2" t="str">
        <f t="shared" si="7"/>
        <v>1810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VLOOKUP(D90,gacha_181_base!A:B,2,FALSE)</f>
        <v>772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1810325</v>
      </c>
      <c r="B91" s="2" t="str">
        <f t="shared" si="7"/>
        <v>1810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VLOOKUP(D91,gacha_181_base!A:B,2,FALSE)</f>
        <v>49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1810326</v>
      </c>
      <c r="B92" s="2" t="str">
        <f t="shared" si="7"/>
        <v>1810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VLOOKUP(D92,gacha_181_base!A:B,2,FALSE)</f>
        <v>772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1810327</v>
      </c>
      <c r="B93" s="2" t="str">
        <f t="shared" si="7"/>
        <v>1810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VLOOKUP(D93,gacha_181_base!A:B,2,FALSE)</f>
        <v>49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1810381</v>
      </c>
      <c r="B94" s="2" t="str">
        <f t="shared" si="7"/>
        <v>1810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VLOOKUP(D94,gacha_181_base!A:B,2,FALSE)</f>
        <v>11998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1810382</v>
      </c>
      <c r="B95" s="2" t="str">
        <f t="shared" si="7"/>
        <v>1810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VLOOKUP(D95,gacha_181_base!A:B,2,FALSE)</f>
        <v>766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1810383</v>
      </c>
      <c r="B96" s="2" t="str">
        <f t="shared" si="7"/>
        <v>1810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VLOOKUP(D96,gacha_181_base!A:B,2,FALSE)</f>
        <v>772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1810384</v>
      </c>
      <c r="B97" s="2" t="str">
        <f t="shared" si="7"/>
        <v>1810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VLOOKUP(D97,gacha_181_base!A:B,2,FALSE)</f>
        <v>49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1810385</v>
      </c>
      <c r="B98" s="2" t="str">
        <f t="shared" si="7"/>
        <v>1810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VLOOKUP(D98,gacha_181_base!A:B,2,FALSE)</f>
        <v>772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1810386</v>
      </c>
      <c r="B99" s="2" t="str">
        <f t="shared" si="7"/>
        <v>1810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VLOOKUP(D99,gacha_181_base!A:B,2,FALSE)</f>
        <v>49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1810388</v>
      </c>
      <c r="B100" s="2" t="str">
        <f t="shared" si="7"/>
        <v>1810</v>
      </c>
      <c r="C100" s="8" t="str">
        <f t="shared" si="8"/>
        <v>0PremiumS4</v>
      </c>
      <c r="D100" s="8" t="str">
        <f>E100&amp;H100&amp;I100&amp;"pick"</f>
        <v>0PremiumS4pick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VLOOKUP(D100,gacha_181_base!A:B,2,FALSE)</f>
        <v>21996</v>
      </c>
      <c r="N100" s="38">
        <f>IFERROR(VLOOKUP($F100,bug_conf_sheet!$A:$H,3,FALSE),VLOOKUP("other",bug_conf_sheet!$A:$H,3,FALSE))</f>
        <v>60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3</v>
      </c>
    </row>
    <row r="101" spans="1:19" ht="21" customHeight="1">
      <c r="A101" s="7" t="str">
        <f t="shared" si="5"/>
        <v>1810389</v>
      </c>
      <c r="B101" s="2" t="str">
        <f t="shared" si="7"/>
        <v>1810</v>
      </c>
      <c r="C101" s="8" t="str">
        <f t="shared" si="8"/>
        <v>0PremiumS5</v>
      </c>
      <c r="D101" s="8" t="str">
        <f>E101&amp;H101&amp;I101&amp;"pick"</f>
        <v>0PremiumS5pick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VLOOKUP(D101,gacha_181_base!A:B,2,FALSE)</f>
        <v>1404</v>
      </c>
      <c r="N101" s="38">
        <f>IFERROR(VLOOKUP($F101,bug_conf_sheet!$A:$H,3,FALSE),VLOOKUP("other",bug_conf_sheet!$A:$H,3,FALSE))</f>
        <v>80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3</v>
      </c>
    </row>
    <row r="102" spans="1:19" ht="21" customHeight="1">
      <c r="A102" s="7" t="str">
        <f t="shared" si="5"/>
        <v>1810390</v>
      </c>
      <c r="B102" s="2" t="str">
        <f t="shared" si="7"/>
        <v>1810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VLOOKUP(D102,gacha_181_base!A:B,2,FALSE)</f>
        <v>772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1810391</v>
      </c>
      <c r="B103" s="2" t="str">
        <f t="shared" si="7"/>
        <v>1810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VLOOKUP(D103,gacha_181_base!A:B,2,FALSE)</f>
        <v>49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1810393</v>
      </c>
      <c r="B104" s="2" t="str">
        <f t="shared" si="7"/>
        <v>1810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VLOOKUP(D104,gacha_181_base!A:B,2,FALSE)</f>
        <v>11998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1810394</v>
      </c>
      <c r="B105" s="2" t="str">
        <f t="shared" si="7"/>
        <v>1810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VLOOKUP(D105,gacha_181_base!A:B,2,FALSE)</f>
        <v>766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1810396</v>
      </c>
      <c r="B106" s="2" t="str">
        <f t="shared" si="7"/>
        <v>1810</v>
      </c>
      <c r="C106" s="8" t="str">
        <f t="shared" si="8"/>
        <v>0PremiumS4</v>
      </c>
      <c r="D106" s="8" t="str">
        <f>E106&amp;H106&amp;I106&amp;"pick"</f>
        <v>0PremiumS4pick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VLOOKUP(D106,gacha_181_base!A:B,2,FALSE)</f>
        <v>21996</v>
      </c>
      <c r="N106" s="38">
        <f>IFERROR(VLOOKUP($F106,bug_conf_sheet!$A:$H,3,FALSE),VLOOKUP("other",bug_conf_sheet!$A:$H,3,FALSE))</f>
        <v>60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3</v>
      </c>
    </row>
    <row r="107" spans="1:19" ht="21" customHeight="1">
      <c r="A107" s="7" t="str">
        <f t="shared" si="5"/>
        <v>1810397</v>
      </c>
      <c r="B107" s="2" t="str">
        <f t="shared" si="7"/>
        <v>1810</v>
      </c>
      <c r="C107" s="8" t="str">
        <f t="shared" si="8"/>
        <v>0PremiumS5</v>
      </c>
      <c r="D107" s="8" t="str">
        <f>E107&amp;H107&amp;I107&amp;"pick"</f>
        <v>0PremiumS5pick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VLOOKUP(D107,gacha_181_base!A:B,2,FALSE)</f>
        <v>1404</v>
      </c>
      <c r="N107" s="38">
        <f>IFERROR(VLOOKUP($F107,bug_conf_sheet!$A:$H,3,FALSE),VLOOKUP("other",bug_conf_sheet!$A:$H,3,FALSE))</f>
        <v>80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3</v>
      </c>
    </row>
    <row r="108" spans="1:19" ht="21" customHeight="1">
      <c r="A108" s="7" t="str">
        <f t="shared" si="5"/>
        <v>1810398</v>
      </c>
      <c r="B108" s="2" t="str">
        <f t="shared" si="7"/>
        <v>1810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VLOOKUP(D108,gacha_181_base!A:B,2,FALSE)</f>
        <v>772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1810399</v>
      </c>
      <c r="B109" s="2" t="str">
        <f t="shared" si="7"/>
        <v>1810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VLOOKUP(D109,gacha_181_base!A:B,2,FALSE)</f>
        <v>49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1810401</v>
      </c>
      <c r="B110" s="2" t="str">
        <f t="shared" si="7"/>
        <v>1810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VLOOKUP(D110,gacha_181_base!A:B,2,FALSE)</f>
        <v>11998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1810402</v>
      </c>
      <c r="B111" s="2" t="str">
        <f t="shared" si="7"/>
        <v>1810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VLOOKUP(D111,gacha_181_base!A:B,2,FALSE)</f>
        <v>766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1810403</v>
      </c>
      <c r="B112" s="2" t="str">
        <f t="shared" si="7"/>
        <v>1810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VLOOKUP(D112,gacha_181_base!A:B,2,FALSE)</f>
        <v>772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1810404</v>
      </c>
      <c r="B113" s="2" t="str">
        <f t="shared" si="7"/>
        <v>1810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VLOOKUP(D113,gacha_181_base!A:B,2,FALSE)</f>
        <v>49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1810406</v>
      </c>
      <c r="B114" s="2" t="str">
        <f t="shared" si="7"/>
        <v>1810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VLOOKUP(D114,gacha_181_base!A:B,2,FALSE)</f>
        <v>11998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1810407</v>
      </c>
      <c r="B115" s="2" t="str">
        <f t="shared" si="7"/>
        <v>1810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VLOOKUP(D115,gacha_181_base!A:B,2,FALSE)</f>
        <v>766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1810408</v>
      </c>
      <c r="B116" s="2" t="str">
        <f t="shared" si="7"/>
        <v>1810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VLOOKUP(D116,gacha_181_base!A:B,2,FALSE)</f>
        <v>772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1810409</v>
      </c>
      <c r="B117" s="2" t="str">
        <f t="shared" si="7"/>
        <v>1810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VLOOKUP(D117,gacha_181_base!A:B,2,FALSE)</f>
        <v>49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1810434</v>
      </c>
      <c r="B118" s="2" t="str">
        <f t="shared" si="7"/>
        <v>1810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VLOOKUP(D118,gacha_181_base!A:B,2,FALSE)</f>
        <v>772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1810435</v>
      </c>
      <c r="B119" s="2" t="str">
        <f t="shared" si="7"/>
        <v>1810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VLOOKUP(D119,gacha_181_base!A:B,2,FALSE)</f>
        <v>49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1810437</v>
      </c>
      <c r="B120" s="2" t="str">
        <f t="shared" si="7"/>
        <v>1810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VLOOKUP(D120,gacha_181_base!A:B,2,FALSE)</f>
        <v>11998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1810438</v>
      </c>
      <c r="B121" s="2" t="str">
        <f t="shared" si="7"/>
        <v>1810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VLOOKUP(D121,gacha_181_base!A:B,2,FALSE)</f>
        <v>766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1810440</v>
      </c>
      <c r="B122" s="2" t="str">
        <f t="shared" si="7"/>
        <v>1810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VLOOKUP(D122,gacha_181_base!A:B,2,FALSE)</f>
        <v>11998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1810441</v>
      </c>
      <c r="B123" s="2" t="str">
        <f t="shared" si="7"/>
        <v>1810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VLOOKUP(D123,gacha_181_base!A:B,2,FALSE)</f>
        <v>766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1810442</v>
      </c>
      <c r="B124" s="2" t="str">
        <f t="shared" si="7"/>
        <v>1810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VLOOKUP(D124,gacha_181_base!A:B,2,FALSE)</f>
        <v>772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1810443</v>
      </c>
      <c r="B125" s="2" t="str">
        <f t="shared" si="7"/>
        <v>1810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VLOOKUP(D125,gacha_181_base!A:B,2,FALSE)</f>
        <v>49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1810463</v>
      </c>
      <c r="B126" s="2" t="str">
        <f t="shared" si="7"/>
        <v>1810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VLOOKUP(D126,gacha_181_base!A:B,2,FALSE)</f>
        <v>11998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1810464</v>
      </c>
      <c r="B127" s="2" t="str">
        <f t="shared" si="7"/>
        <v>1810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VLOOKUP(D127,gacha_181_base!A:B,2,FALSE)</f>
        <v>766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1810465</v>
      </c>
      <c r="B128" s="2" t="str">
        <f t="shared" si="7"/>
        <v>1810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VLOOKUP(D128,gacha_181_base!A:B,2,FALSE)</f>
        <v>772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1810466</v>
      </c>
      <c r="B129" s="2" t="str">
        <f t="shared" si="7"/>
        <v>1810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VLOOKUP(D129,gacha_181_base!A:B,2,FALSE)</f>
        <v>49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1810467</v>
      </c>
      <c r="B130" s="2" t="str">
        <f t="shared" si="7"/>
        <v>1810</v>
      </c>
      <c r="C130" s="8" t="str">
        <f t="shared" si="8"/>
        <v>0PremiumSS4</v>
      </c>
      <c r="D130" s="8" t="str">
        <f t="shared" ref="D130:D193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VLOOKUP(D130,gacha_181_base!A:B,2,FALSE)</f>
        <v>772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1810468</v>
      </c>
      <c r="B131" s="2" t="str">
        <f t="shared" ref="B131:B194" si="11">181&amp;E131</f>
        <v>1810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VLOOKUP(D131,gacha_181_base!A:B,2,FALSE)</f>
        <v>49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1810470</v>
      </c>
      <c r="B132" s="2" t="str">
        <f t="shared" si="11"/>
        <v>1810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VLOOKUP(D132,gacha_181_base!A:B,2,FALSE)</f>
        <v>11998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1810471</v>
      </c>
      <c r="B133" s="2" t="str">
        <f t="shared" si="11"/>
        <v>1810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VLOOKUP(D133,gacha_181_base!A:B,2,FALSE)</f>
        <v>766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1810474</v>
      </c>
      <c r="B134" s="2" t="str">
        <f t="shared" si="11"/>
        <v>1810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VLOOKUP(D134,gacha_181_base!A:B,2,FALSE)</f>
        <v>772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1810475</v>
      </c>
      <c r="B135" s="2" t="str">
        <f t="shared" si="11"/>
        <v>1810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VLOOKUP(D135,gacha_181_base!A:B,2,FALSE)</f>
        <v>49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1810477</v>
      </c>
      <c r="B136" s="2" t="str">
        <f t="shared" si="11"/>
        <v>1810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VLOOKUP(D136,gacha_181_base!A:B,2,FALSE)</f>
        <v>11998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1810478</v>
      </c>
      <c r="B137" s="2" t="str">
        <f t="shared" si="11"/>
        <v>1810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VLOOKUP(D137,gacha_181_base!A:B,2,FALSE)</f>
        <v>766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1810479</v>
      </c>
      <c r="B138" s="2" t="str">
        <f t="shared" si="11"/>
        <v>1810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VLOOKUP(D138,gacha_181_base!A:B,2,FALSE)</f>
        <v>772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1810480</v>
      </c>
      <c r="B139" s="2" t="str">
        <f t="shared" si="11"/>
        <v>1810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VLOOKUP(D139,gacha_181_base!A:B,2,FALSE)</f>
        <v>49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1810482</v>
      </c>
      <c r="B140" s="2" t="str">
        <f t="shared" si="11"/>
        <v>1810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VLOOKUP(D140,gacha_181_base!A:B,2,FALSE)</f>
        <v>11998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1810483</v>
      </c>
      <c r="B141" s="2" t="str">
        <f t="shared" si="11"/>
        <v>1810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VLOOKUP(D141,gacha_181_base!A:B,2,FALSE)</f>
        <v>766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1810492</v>
      </c>
      <c r="B142" s="2" t="str">
        <f t="shared" si="11"/>
        <v>1810</v>
      </c>
      <c r="C142" s="8" t="str">
        <f t="shared" ref="C142:C157" si="16">E142&amp;H142&amp;I142</f>
        <v>0PremiumSS4</v>
      </c>
      <c r="D142" s="8" t="str">
        <f>E142&amp;H142&amp;I142&amp;"pick"</f>
        <v>0PremiumSS4pick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VLOOKUP(D142,gacha_181_base!A:B,2,FALSE)</f>
        <v>7332</v>
      </c>
      <c r="N142" s="38">
        <f>IFERROR(VLOOKUP($F142,bug_conf_sheet!$A:$H,3,FALSE),VLOOKUP("other",bug_conf_sheet!$A:$H,3,FALSE))</f>
        <v>60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3</v>
      </c>
    </row>
    <row r="143" spans="1:19" ht="21" customHeight="1">
      <c r="A143" s="7" t="str">
        <f t="shared" si="15"/>
        <v>1810493</v>
      </c>
      <c r="B143" s="2" t="str">
        <f t="shared" si="11"/>
        <v>1810</v>
      </c>
      <c r="C143" s="8" t="str">
        <f t="shared" si="16"/>
        <v>0PremiumSS5</v>
      </c>
      <c r="D143" s="8" t="str">
        <f>E143&amp;H143&amp;I143&amp;"pick"</f>
        <v>0PremiumSS5pick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VLOOKUP(D143,gacha_181_base!A:B,2,FALSE)</f>
        <v>468</v>
      </c>
      <c r="N143" s="38">
        <f>IFERROR(VLOOKUP($F143,bug_conf_sheet!$A:$H,3,FALSE),VLOOKUP("other",bug_conf_sheet!$A:$H,3,FALSE))</f>
        <v>80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3</v>
      </c>
    </row>
    <row r="144" spans="1:19" ht="21" customHeight="1">
      <c r="A144" s="7" t="str">
        <f t="shared" si="15"/>
        <v>1810494</v>
      </c>
      <c r="B144" s="2" t="str">
        <f t="shared" si="11"/>
        <v>1810</v>
      </c>
      <c r="C144" s="8" t="str">
        <f t="shared" si="16"/>
        <v>0PremiumSS4</v>
      </c>
      <c r="D144" s="8" t="str">
        <f>E144&amp;H144&amp;I144&amp;"pick"</f>
        <v>0PremiumSS4pick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VLOOKUP(D144,gacha_181_base!A:B,2,FALSE)</f>
        <v>7332</v>
      </c>
      <c r="N144" s="38">
        <f>IFERROR(VLOOKUP($F144,bug_conf_sheet!$A:$H,3,FALSE),VLOOKUP("other",bug_conf_sheet!$A:$H,3,FALSE))</f>
        <v>60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3</v>
      </c>
    </row>
    <row r="145" spans="1:19" ht="21" customHeight="1">
      <c r="A145" s="7" t="str">
        <f t="shared" si="15"/>
        <v>1810495</v>
      </c>
      <c r="B145" s="2" t="str">
        <f t="shared" si="11"/>
        <v>1810</v>
      </c>
      <c r="C145" s="8" t="str">
        <f t="shared" si="16"/>
        <v>0PremiumSS5</v>
      </c>
      <c r="D145" s="8" t="str">
        <f>E145&amp;H145&amp;I145&amp;"pick"</f>
        <v>0PremiumSS5pick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VLOOKUP(D145,gacha_181_base!A:B,2,FALSE)</f>
        <v>468</v>
      </c>
      <c r="N145" s="38">
        <f>IFERROR(VLOOKUP($F145,bug_conf_sheet!$A:$H,3,FALSE),VLOOKUP("other",bug_conf_sheet!$A:$H,3,FALSE))</f>
        <v>80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3</v>
      </c>
    </row>
    <row r="146" spans="1:19" ht="21" customHeight="1">
      <c r="A146" s="7" t="str">
        <f t="shared" si="15"/>
        <v>1810497</v>
      </c>
      <c r="B146" s="2" t="str">
        <f t="shared" si="11"/>
        <v>1810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VLOOKUP(D146,gacha_181_base!A:B,2,FALSE)</f>
        <v>11998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1810498</v>
      </c>
      <c r="B147" s="2" t="str">
        <f t="shared" si="11"/>
        <v>1810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VLOOKUP(D147,gacha_181_base!A:B,2,FALSE)</f>
        <v>766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1810499</v>
      </c>
      <c r="B148" s="2" t="str">
        <f t="shared" si="11"/>
        <v>1810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VLOOKUP(D148,gacha_181_base!A:B,2,FALSE)</f>
        <v>772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1810500</v>
      </c>
      <c r="B149" s="2" t="str">
        <f t="shared" si="11"/>
        <v>1810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VLOOKUP(D149,gacha_181_base!A:B,2,FALSE)</f>
        <v>49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1810586</v>
      </c>
      <c r="B150" s="2" t="str">
        <f t="shared" si="11"/>
        <v>1810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VLOOKUP(D150,gacha_181_base!A:B,2,FALSE)</f>
        <v>772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1810587</v>
      </c>
      <c r="B151" s="2" t="str">
        <f t="shared" si="11"/>
        <v>1810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VLOOKUP(D151,gacha_181_base!A:B,2,FALSE)</f>
        <v>49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1810589</v>
      </c>
      <c r="B152" s="2" t="str">
        <f t="shared" si="11"/>
        <v>1810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VLOOKUP(D152,gacha_181_base!A:B,2,FALSE)</f>
        <v>11998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1810590</v>
      </c>
      <c r="B153" s="2" t="str">
        <f t="shared" si="11"/>
        <v>1810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VLOOKUP(D153,gacha_181_base!A:B,2,FALSE)</f>
        <v>766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1810592</v>
      </c>
      <c r="B154" s="2" t="str">
        <f t="shared" si="11"/>
        <v>1810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VLOOKUP(D154,gacha_181_base!A:B,2,FALSE)</f>
        <v>11998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1810593</v>
      </c>
      <c r="B155" s="2" t="str">
        <f t="shared" si="11"/>
        <v>1810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VLOOKUP(D155,gacha_181_base!A:B,2,FALSE)</f>
        <v>766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1810594</v>
      </c>
      <c r="B156" s="2" t="str">
        <f t="shared" si="11"/>
        <v>1810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VLOOKUP(D156,gacha_181_base!A:B,2,FALSE)</f>
        <v>772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1810595</v>
      </c>
      <c r="B157" s="2" t="str">
        <f t="shared" si="11"/>
        <v>1810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VLOOKUP(D157,gacha_181_base!A:B,2,FALSE)</f>
        <v>49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>B158&amp;F158</f>
        <v>1811126</v>
      </c>
      <c r="B158" s="2" t="str">
        <f t="shared" si="11"/>
        <v>1811</v>
      </c>
      <c r="C158" s="8" t="str">
        <f t="shared" ref="C158:C221" si="17">E158&amp;H158&amp;I158</f>
        <v>1PremiumW3</v>
      </c>
      <c r="D158" s="8" t="str">
        <f t="shared" si="10"/>
        <v>1PremiumW3</v>
      </c>
      <c r="E158" s="10">
        <v>1</v>
      </c>
      <c r="F158" s="6">
        <v>126</v>
      </c>
      <c r="G158" s="8" t="str">
        <f>VLOOKUP(F158,[1]characters!$A:$C,3,FALSE)</f>
        <v>骨器使い ユノ</v>
      </c>
      <c r="H158" s="8" t="str">
        <f>VLOOKUP(F158,[1]characters!$A:$J,10,FALSE)</f>
        <v>PremiumW</v>
      </c>
      <c r="I158" s="8">
        <f>VLOOKUP(F158,[1]characters!$A:$I,9,FALSE)</f>
        <v>3</v>
      </c>
      <c r="J158" s="8" t="str">
        <f>VLOOKUP(F158,[1]characters!$A:$H,8,FALSE)</f>
        <v>red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VLOOKUP(D158,gacha_181_base!A:B,2,FALSE)</f>
        <v>8716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ref="A159:A222" si="18">B159&amp;F159</f>
        <v>1811127</v>
      </c>
      <c r="B159" s="2" t="str">
        <f t="shared" si="11"/>
        <v>1811</v>
      </c>
      <c r="C159" s="8" t="str">
        <f t="shared" si="17"/>
        <v>1PremiumW4</v>
      </c>
      <c r="D159" s="8" t="str">
        <f t="shared" si="10"/>
        <v>1PremiumW4</v>
      </c>
      <c r="E159" s="10">
        <v>1</v>
      </c>
      <c r="F159" s="6">
        <v>127</v>
      </c>
      <c r="G159" s="8" t="str">
        <f>VLOOKUP(F159,[1]characters!$A:$C,3,FALSE)</f>
        <v>狂喜の賢者 ユノ</v>
      </c>
      <c r="H159" s="8" t="str">
        <f>VLOOKUP(F159,[1]characters!$A:$J,10,FALSE)</f>
        <v>PremiumW</v>
      </c>
      <c r="I159" s="8">
        <f>VLOOKUP(F159,[1]characters!$A:$I,9,FALSE)</f>
        <v>4</v>
      </c>
      <c r="J159" s="8" t="str">
        <f>VLOOKUP(F159,[1]characters!$A:$H,8,FALSE)</f>
        <v>red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VLOOKUP(D159,gacha_181_base!A:B,2,FALSE)</f>
        <v>2752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8"/>
        <v>1811128</v>
      </c>
      <c r="B160" s="2" t="str">
        <f t="shared" si="11"/>
        <v>1811</v>
      </c>
      <c r="C160" s="8" t="str">
        <f t="shared" si="17"/>
        <v>1PremiumW3</v>
      </c>
      <c r="D160" s="8" t="str">
        <f t="shared" si="10"/>
        <v>1PremiumW3</v>
      </c>
      <c r="E160" s="10">
        <v>1</v>
      </c>
      <c r="F160" s="6">
        <v>128</v>
      </c>
      <c r="G160" s="8" t="str">
        <f>VLOOKUP(F160,[1]characters!$A:$C,3,FALSE)</f>
        <v>野生児 アマラ</v>
      </c>
      <c r="H160" s="8" t="str">
        <f>VLOOKUP(F160,[1]characters!$A:$J,10,FALSE)</f>
        <v>PremiumW</v>
      </c>
      <c r="I160" s="8">
        <f>VLOOKUP(F160,[1]characters!$A:$I,9,FALSE)</f>
        <v>3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VLOOKUP(D160,gacha_181_base!A:B,2,FALSE)</f>
        <v>8716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8"/>
        <v>1811129</v>
      </c>
      <c r="B161" s="2" t="str">
        <f t="shared" si="11"/>
        <v>1811</v>
      </c>
      <c r="C161" s="8" t="str">
        <f t="shared" si="17"/>
        <v>1PremiumW4</v>
      </c>
      <c r="D161" s="8" t="str">
        <f t="shared" si="10"/>
        <v>1PremiumW4</v>
      </c>
      <c r="E161" s="10">
        <v>1</v>
      </c>
      <c r="F161" s="6">
        <v>129</v>
      </c>
      <c r="G161" s="8" t="str">
        <f>VLOOKUP(F161,[1]characters!$A:$C,3,FALSE)</f>
        <v>孤高の狼憑き アマラ</v>
      </c>
      <c r="H161" s="8" t="str">
        <f>VLOOKUP(F161,[1]characters!$A:$J,10,FALSE)</f>
        <v>PremiumW</v>
      </c>
      <c r="I161" s="8">
        <f>VLOOKUP(F161,[1]characters!$A:$I,9,FALSE)</f>
        <v>4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human</v>
      </c>
      <c r="M161" s="16">
        <f>VLOOKUP(D161,gacha_181_base!A:B,2,FALSE)</f>
        <v>2752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8"/>
        <v>1811130</v>
      </c>
      <c r="B162" s="2" t="str">
        <f t="shared" si="11"/>
        <v>1811</v>
      </c>
      <c r="C162" s="8" t="str">
        <f t="shared" si="17"/>
        <v>1PremiumW3</v>
      </c>
      <c r="D162" s="8" t="str">
        <f t="shared" si="10"/>
        <v>1PremiumW3</v>
      </c>
      <c r="E162" s="10">
        <v>1</v>
      </c>
      <c r="F162" s="6">
        <v>130</v>
      </c>
      <c r="G162" s="8" t="str">
        <f>VLOOKUP(F162,[1]characters!$A:$C,3,FALSE)</f>
        <v>狼男 ローレンス</v>
      </c>
      <c r="H162" s="8" t="str">
        <f>VLOOKUP(F162,[1]characters!$A:$J,10,FALSE)</f>
        <v>PremiumW</v>
      </c>
      <c r="I162" s="8">
        <f>VLOOKUP(F162,[1]characters!$A:$I,9,FALSE)</f>
        <v>3</v>
      </c>
      <c r="J162" s="8" t="str">
        <f>VLOOKUP(F162,[1]characters!$A:$H,8,FALSE)</f>
        <v>blue</v>
      </c>
      <c r="K162" s="8" t="str">
        <f>VLOOKUP(F162,[1]characters!$A:$K,11,FALSE)</f>
        <v>attack</v>
      </c>
      <c r="L162" s="8" t="str">
        <f>VLOOKUP(F162,[1]characters!$A:$M,13,FALSE)</f>
        <v>animal</v>
      </c>
      <c r="M162" s="16">
        <f>VLOOKUP(D162,gacha_181_base!A:B,2,FALSE)</f>
        <v>8716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8"/>
        <v>1811131</v>
      </c>
      <c r="B163" s="2" t="str">
        <f t="shared" si="11"/>
        <v>1811</v>
      </c>
      <c r="C163" s="8" t="str">
        <f t="shared" si="17"/>
        <v>1PremiumW4</v>
      </c>
      <c r="D163" s="8" t="str">
        <f t="shared" si="10"/>
        <v>1PremiumW4</v>
      </c>
      <c r="E163" s="10">
        <v>1</v>
      </c>
      <c r="F163" s="6">
        <v>131</v>
      </c>
      <c r="G163" s="8" t="str">
        <f>VLOOKUP(F163,[1]characters!$A:$C,3,FALSE)</f>
        <v>月下の人狼 ローレンス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blue</v>
      </c>
      <c r="K163" s="8" t="str">
        <f>VLOOKUP(F163,[1]characters!$A:$K,11,FALSE)</f>
        <v>attack</v>
      </c>
      <c r="L163" s="8" t="str">
        <f>VLOOKUP(F163,[1]characters!$A:$M,13,FALSE)</f>
        <v>animal</v>
      </c>
      <c r="M163" s="16">
        <f>VLOOKUP(D163,gacha_181_base!A:B,2,FALSE)</f>
        <v>2752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8"/>
        <v>1811132</v>
      </c>
      <c r="B164" s="2" t="str">
        <f t="shared" si="11"/>
        <v>1811</v>
      </c>
      <c r="C164" s="8" t="str">
        <f t="shared" si="17"/>
        <v>1PremiumW3</v>
      </c>
      <c r="D164" s="8" t="str">
        <f t="shared" si="10"/>
        <v>1PremiumW3</v>
      </c>
      <c r="E164" s="10">
        <v>1</v>
      </c>
      <c r="F164" s="6">
        <v>132</v>
      </c>
      <c r="G164" s="8" t="str">
        <f>VLOOKUP(F164,[1]characters!$A:$C,3,FALSE)</f>
        <v>鳥人ハヤト</v>
      </c>
      <c r="H164" s="8" t="str">
        <f>VLOOKUP(F164,[1]characters!$A:$J,10,FALSE)</f>
        <v>PremiumW</v>
      </c>
      <c r="I164" s="8">
        <f>VLOOKUP(F164,[1]characters!$A:$I,9,FALSE)</f>
        <v>3</v>
      </c>
      <c r="J164" s="8" t="str">
        <f>VLOOKUP(F164,[1]characters!$A:$H,8,FALSE)</f>
        <v>yellow</v>
      </c>
      <c r="K164" s="8" t="str">
        <f>VLOOKUP(F164,[1]characters!$A:$K,11,FALSE)</f>
        <v>attack</v>
      </c>
      <c r="L164" s="8" t="str">
        <f>VLOOKUP(F164,[1]characters!$A:$M,13,FALSE)</f>
        <v>human</v>
      </c>
      <c r="M164" s="16">
        <f>VLOOKUP(D164,gacha_181_base!A:B,2,FALSE)</f>
        <v>8716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8"/>
        <v>1811133</v>
      </c>
      <c r="B165" s="2" t="str">
        <f t="shared" si="11"/>
        <v>1811</v>
      </c>
      <c r="C165" s="8" t="str">
        <f t="shared" si="17"/>
        <v>1PremiumW4</v>
      </c>
      <c r="D165" s="8" t="str">
        <f t="shared" si="10"/>
        <v>1PremiumW4</v>
      </c>
      <c r="E165" s="10">
        <v>1</v>
      </c>
      <c r="F165" s="6">
        <v>133</v>
      </c>
      <c r="G165" s="8" t="str">
        <f>VLOOKUP(F165,[1]characters!$A:$C,3,FALSE)</f>
        <v>迅雷の刀剣 ハヤト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yellow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16">
        <f>VLOOKUP(D165,gacha_181_base!A:B,2,FALSE)</f>
        <v>2752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8"/>
        <v>1811134</v>
      </c>
      <c r="B166" s="2" t="str">
        <f t="shared" si="11"/>
        <v>1811</v>
      </c>
      <c r="C166" s="8" t="str">
        <f t="shared" si="17"/>
        <v>1PremiumW3</v>
      </c>
      <c r="D166" s="8" t="str">
        <f t="shared" si="10"/>
        <v>1PremiumW3</v>
      </c>
      <c r="E166" s="10">
        <v>1</v>
      </c>
      <c r="F166" s="6">
        <v>134</v>
      </c>
      <c r="G166" s="8" t="str">
        <f>VLOOKUP(F166,[1]characters!$A:$C,3,FALSE)</f>
        <v>妖炎の夕霧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16">
        <f>VLOOKUP(D166,gacha_181_base!A:B,2,FALSE)</f>
        <v>8716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8"/>
        <v>1811135</v>
      </c>
      <c r="B167" s="2" t="str">
        <f t="shared" si="11"/>
        <v>1811</v>
      </c>
      <c r="C167" s="8" t="str">
        <f t="shared" si="17"/>
        <v>1PremiumW4</v>
      </c>
      <c r="D167" s="8" t="str">
        <f t="shared" si="10"/>
        <v>1PremiumW4</v>
      </c>
      <c r="E167" s="10">
        <v>1</v>
      </c>
      <c r="F167" s="6">
        <v>135</v>
      </c>
      <c r="G167" s="8" t="str">
        <f>VLOOKUP(F167,[1]characters!$A:$C,3,FALSE)</f>
        <v>京の炎華夕霧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16">
        <f>VLOOKUP(D167,gacha_181_base!A:B,2,FALSE)</f>
        <v>2752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8"/>
        <v>1811136</v>
      </c>
      <c r="B168" s="2" t="str">
        <f t="shared" si="11"/>
        <v>1811</v>
      </c>
      <c r="C168" s="8" t="str">
        <f t="shared" si="17"/>
        <v>1PremiumW3</v>
      </c>
      <c r="D168" s="8" t="str">
        <f t="shared" si="10"/>
        <v>1PremiumW3</v>
      </c>
      <c r="E168" s="10">
        <v>1</v>
      </c>
      <c r="F168" s="9">
        <v>136</v>
      </c>
      <c r="G168" s="8" t="str">
        <f>VLOOKUP(F168,[1]characters!$A:$C,3,FALSE)</f>
        <v>お針子チハヤ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16">
        <f>VLOOKUP(D168,gacha_181_base!A:B,2,FALSE)</f>
        <v>8716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8"/>
        <v>1811137</v>
      </c>
      <c r="B169" s="2" t="str">
        <f t="shared" si="11"/>
        <v>1811</v>
      </c>
      <c r="C169" s="8" t="str">
        <f t="shared" si="17"/>
        <v>1PremiumW4</v>
      </c>
      <c r="D169" s="8" t="str">
        <f t="shared" si="10"/>
        <v>1PremiumW4</v>
      </c>
      <c r="E169" s="10">
        <v>1</v>
      </c>
      <c r="F169" s="9">
        <v>137</v>
      </c>
      <c r="G169" s="8" t="str">
        <f>VLOOKUP(F169,[1]characters!$A:$C,3,FALSE)</f>
        <v>清福の仕立屋 チハヤ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16">
        <f>VLOOKUP(D169,gacha_181_base!A:B,2,FALSE)</f>
        <v>2752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8"/>
        <v>1811138</v>
      </c>
      <c r="B170" s="2" t="str">
        <f t="shared" si="11"/>
        <v>1811</v>
      </c>
      <c r="C170" s="8" t="str">
        <f t="shared" si="17"/>
        <v>1PremiumW3</v>
      </c>
      <c r="D170" s="8" t="str">
        <f t="shared" si="10"/>
        <v>1PremiumW3</v>
      </c>
      <c r="E170" s="10">
        <v>1</v>
      </c>
      <c r="F170" s="6">
        <v>138</v>
      </c>
      <c r="G170" s="8" t="str">
        <f>VLOOKUP(F170,[1]characters!$A:$C,3,FALSE)</f>
        <v>蒼薙のトモエ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balance</v>
      </c>
      <c r="L170" s="8" t="str">
        <f>VLOOKUP(F170,[1]characters!$A:$M,13,FALSE)</f>
        <v>human</v>
      </c>
      <c r="M170" s="16">
        <f>VLOOKUP(D170,gacha_181_base!A:B,2,FALSE)</f>
        <v>8716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8"/>
        <v>1811139</v>
      </c>
      <c r="B171" s="2" t="str">
        <f t="shared" si="11"/>
        <v>1811</v>
      </c>
      <c r="C171" s="8" t="str">
        <f t="shared" si="17"/>
        <v>1PremiumW4</v>
      </c>
      <c r="D171" s="8" t="str">
        <f t="shared" si="10"/>
        <v>1PremiumW4</v>
      </c>
      <c r="E171" s="10">
        <v>1</v>
      </c>
      <c r="F171" s="6">
        <v>139</v>
      </c>
      <c r="G171" s="8" t="str">
        <f>VLOOKUP(F171,[1]characters!$A:$C,3,FALSE)</f>
        <v>蒼昇刃姫 トモエ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balance</v>
      </c>
      <c r="L171" s="8" t="str">
        <f>VLOOKUP(F171,[1]characters!$A:$M,13,FALSE)</f>
        <v>human</v>
      </c>
      <c r="M171" s="16">
        <f>VLOOKUP(D171,gacha_181_base!A:B,2,FALSE)</f>
        <v>2752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8"/>
        <v>1811140</v>
      </c>
      <c r="B172" s="2" t="str">
        <f t="shared" si="11"/>
        <v>1811</v>
      </c>
      <c r="C172" s="8" t="str">
        <f t="shared" si="17"/>
        <v>1PremiumW3</v>
      </c>
      <c r="D172" s="8" t="str">
        <f t="shared" si="10"/>
        <v>1PremiumW3</v>
      </c>
      <c r="E172" s="10">
        <v>1</v>
      </c>
      <c r="F172" s="12">
        <v>140</v>
      </c>
      <c r="G172" s="8" t="str">
        <f>VLOOKUP(F172,[1]characters!$A:$C,3,FALSE)</f>
        <v>秋祭のタマモ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animal</v>
      </c>
      <c r="M172" s="16">
        <f>VLOOKUP(D172,gacha_181_base!A:B,2,FALSE)</f>
        <v>8716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8"/>
        <v>1811141</v>
      </c>
      <c r="B173" s="2" t="str">
        <f t="shared" si="11"/>
        <v>1811</v>
      </c>
      <c r="C173" s="8" t="str">
        <f t="shared" si="17"/>
        <v>1PremiumW4</v>
      </c>
      <c r="D173" s="8" t="str">
        <f t="shared" si="10"/>
        <v>1PremiumW4</v>
      </c>
      <c r="E173" s="10">
        <v>1</v>
      </c>
      <c r="F173" s="13">
        <v>141</v>
      </c>
      <c r="G173" s="8" t="str">
        <f>VLOOKUP(F173,[1]characters!$A:$C,3,FALSE)</f>
        <v>妖狐演舞 タマモ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animal</v>
      </c>
      <c r="M173" s="16">
        <f>VLOOKUP(D173,gacha_181_base!A:B,2,FALSE)</f>
        <v>2752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8"/>
        <v>1811142</v>
      </c>
      <c r="B174" s="2" t="str">
        <f t="shared" si="11"/>
        <v>1811</v>
      </c>
      <c r="C174" s="8" t="str">
        <f t="shared" si="17"/>
        <v>1PremiumW3</v>
      </c>
      <c r="D174" s="8" t="str">
        <f t="shared" si="10"/>
        <v>1PremiumW3</v>
      </c>
      <c r="E174" s="10">
        <v>1</v>
      </c>
      <c r="F174" s="6">
        <v>142</v>
      </c>
      <c r="G174" s="8" t="str">
        <f>VLOOKUP(F174,[1]characters!$A:$C,3,FALSE)</f>
        <v>赤ずきん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VLOOKUP(D174,gacha_181_base!A:B,2,FALSE)</f>
        <v>8716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s="14" customFormat="1" ht="21" customHeight="1" thickBot="1">
      <c r="A175" s="7" t="str">
        <f t="shared" si="18"/>
        <v>1811143</v>
      </c>
      <c r="B175" s="2" t="str">
        <f t="shared" si="11"/>
        <v>1811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143</v>
      </c>
      <c r="G175" s="8" t="str">
        <f>VLOOKUP(F175,[1]characters!$A:$C,3,FALSE)</f>
        <v>深紅の死神 赤ずきん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VLOOKUP(D175,gacha_181_base!A:B,2,FALSE)</f>
        <v>2752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1811144</v>
      </c>
      <c r="B176" s="2" t="str">
        <f t="shared" si="11"/>
        <v>1811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12">
        <v>144</v>
      </c>
      <c r="G176" s="8" t="str">
        <f>VLOOKUP(F176,[1]characters!$A:$C,3,FALSE)</f>
        <v>かぐや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hp</v>
      </c>
      <c r="L176" s="8" t="str">
        <f>VLOOKUP(F176,[1]characters!$A:$M,13,FALSE)</f>
        <v>human</v>
      </c>
      <c r="M176" s="16">
        <f>VLOOKUP(D176,gacha_181_base!A:B,2,FALSE)</f>
        <v>8716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1811145</v>
      </c>
      <c r="B177" s="2" t="str">
        <f t="shared" si="11"/>
        <v>1811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6">
        <v>145</v>
      </c>
      <c r="G177" s="8" t="str">
        <f>VLOOKUP(F177,[1]characters!$A:$C,3,FALSE)</f>
        <v>魔性妖艶 かぐや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hp</v>
      </c>
      <c r="L177" s="8" t="str">
        <f>VLOOKUP(F177,[1]characters!$A:$M,13,FALSE)</f>
        <v>human</v>
      </c>
      <c r="M177" s="16">
        <f>VLOOKUP(D177,gacha_181_base!A:B,2,FALSE)</f>
        <v>2752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1811146</v>
      </c>
      <c r="B178" s="2" t="str">
        <f t="shared" si="11"/>
        <v>1811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146</v>
      </c>
      <c r="G178" s="8" t="str">
        <f>VLOOKUP(F178,[1]characters!$A:$C,3,FALSE)</f>
        <v>マーメイド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hp</v>
      </c>
      <c r="L178" s="8" t="str">
        <f>VLOOKUP(F178,[1]characters!$A:$M,13,FALSE)</f>
        <v>human</v>
      </c>
      <c r="M178" s="16">
        <f>VLOOKUP(D178,gacha_181_base!A:B,2,FALSE)</f>
        <v>8716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1811147</v>
      </c>
      <c r="B179" s="2" t="str">
        <f t="shared" si="11"/>
        <v>1811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147</v>
      </c>
      <c r="G179" s="8" t="str">
        <f>VLOOKUP(F179,[1]characters!$A:$C,3,FALSE)</f>
        <v>蒼き閃光 元マーメイド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hp</v>
      </c>
      <c r="L179" s="8" t="str">
        <f>VLOOKUP(F179,[1]characters!$A:$M,13,FALSE)</f>
        <v>human</v>
      </c>
      <c r="M179" s="16">
        <f>VLOOKUP(D179,gacha_181_base!A:B,2,FALSE)</f>
        <v>2752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1811148</v>
      </c>
      <c r="B180" s="2" t="str">
        <f t="shared" si="11"/>
        <v>1811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6">
        <v>148</v>
      </c>
      <c r="G180" s="8" t="str">
        <f>VLOOKUP(F180,[1]characters!$A:$C,3,FALSE)</f>
        <v>シンデレラ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VLOOKUP(D180,gacha_181_base!A:B,2,FALSE)</f>
        <v>8716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1811149</v>
      </c>
      <c r="B181" s="2" t="str">
        <f t="shared" si="11"/>
        <v>1811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6">
        <v>149</v>
      </c>
      <c r="G181" s="8" t="str">
        <f>VLOOKUP(F181,[1]characters!$A:$C,3,FALSE)</f>
        <v>雷撃蹴技を極めし者 シンデレラ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6">
        <f>VLOOKUP(D181,gacha_181_base!A:B,2,FALSE)</f>
        <v>2752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1811150</v>
      </c>
      <c r="B182" s="2" t="str">
        <f t="shared" si="11"/>
        <v>1811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150</v>
      </c>
      <c r="G182" s="8" t="str">
        <f>VLOOKUP(F182,[1]characters!$A:$C,3,FALSE)</f>
        <v>ポイズンマスターサキ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technical</v>
      </c>
      <c r="L182" s="8" t="str">
        <f>VLOOKUP(F182,[1]characters!$A:$M,13,FALSE)</f>
        <v>human</v>
      </c>
      <c r="M182" s="16">
        <f>VLOOKUP(D182,gacha_181_base!A:B,2,FALSE)</f>
        <v>8716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8"/>
        <v>1811151</v>
      </c>
      <c r="B183" s="2" t="str">
        <f t="shared" si="11"/>
        <v>1811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151</v>
      </c>
      <c r="G183" s="8" t="str">
        <f>VLOOKUP(F183,[1]characters!$A:$C,3,FALSE)</f>
        <v>毒煙の処刑人サキ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technical</v>
      </c>
      <c r="L183" s="8" t="str">
        <f>VLOOKUP(F183,[1]characters!$A:$M,13,FALSE)</f>
        <v>human</v>
      </c>
      <c r="M183" s="16">
        <f>VLOOKUP(D183,gacha_181_base!A:B,2,FALSE)</f>
        <v>2752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1811152</v>
      </c>
      <c r="B184" s="2" t="str">
        <f t="shared" si="11"/>
        <v>1811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6">
        <v>152</v>
      </c>
      <c r="G184" s="8" t="str">
        <f>VLOOKUP(F184,[1]characters!$A:$C,3,FALSE)</f>
        <v>功夫少女ランラン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heal</v>
      </c>
      <c r="L184" s="8" t="str">
        <f>VLOOKUP(F184,[1]characters!$A:$M,13,FALSE)</f>
        <v>human</v>
      </c>
      <c r="M184" s="16">
        <f>VLOOKUP(D184,gacha_181_base!A:B,2,FALSE)</f>
        <v>8716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1811153</v>
      </c>
      <c r="B185" s="2" t="str">
        <f t="shared" si="11"/>
        <v>1811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6">
        <v>153</v>
      </c>
      <c r="G185" s="8" t="str">
        <f>VLOOKUP(F185,[1]characters!$A:$C,3,FALSE)</f>
        <v>拳聖ランラン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heal</v>
      </c>
      <c r="L185" s="8" t="str">
        <f>VLOOKUP(F185,[1]characters!$A:$M,13,FALSE)</f>
        <v>human</v>
      </c>
      <c r="M185" s="16">
        <f>VLOOKUP(D185,gacha_181_base!A:B,2,FALSE)</f>
        <v>2752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1811154</v>
      </c>
      <c r="B186" s="2" t="str">
        <f t="shared" si="11"/>
        <v>1811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154</v>
      </c>
      <c r="G186" s="8" t="str">
        <f>VLOOKUP(F186,[1]characters!$A:$C,3,FALSE)</f>
        <v>始末屋 ハンナ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heal</v>
      </c>
      <c r="L186" s="8" t="str">
        <f>VLOOKUP(F186,[1]characters!$A:$M,13,FALSE)</f>
        <v>human</v>
      </c>
      <c r="M186" s="16">
        <f>VLOOKUP(D186,gacha_181_base!A:B,2,FALSE)</f>
        <v>8716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8"/>
        <v>1811155</v>
      </c>
      <c r="B187" s="2" t="str">
        <f t="shared" si="11"/>
        <v>1811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155</v>
      </c>
      <c r="G187" s="8" t="str">
        <f>VLOOKUP(F187,[1]characters!$A:$C,3,FALSE)</f>
        <v>隻眼の掃除屋 ハンナ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heal</v>
      </c>
      <c r="L187" s="8" t="str">
        <f>VLOOKUP(F187,[1]characters!$A:$M,13,FALSE)</f>
        <v>human</v>
      </c>
      <c r="M187" s="16">
        <f>VLOOKUP(D187,gacha_181_base!A:B,2,FALSE)</f>
        <v>2752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1811156</v>
      </c>
      <c r="B188" s="2" t="str">
        <f t="shared" si="11"/>
        <v>1811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6">
        <v>156</v>
      </c>
      <c r="G188" s="8" t="str">
        <f>VLOOKUP(F188,[1]characters!$A:$C,3,FALSE)</f>
        <v>踊り子 エレナ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heal</v>
      </c>
      <c r="L188" s="8" t="str">
        <f>VLOOKUP(F188,[1]characters!$A:$M,13,FALSE)</f>
        <v>human</v>
      </c>
      <c r="M188" s="16">
        <f>VLOOKUP(D188,gacha_181_base!A:B,2,FALSE)</f>
        <v>8716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1811157</v>
      </c>
      <c r="B189" s="2" t="str">
        <f t="shared" si="11"/>
        <v>1811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6">
        <v>157</v>
      </c>
      <c r="G189" s="8" t="str">
        <f>VLOOKUP(F189,[1]characters!$A:$C,3,FALSE)</f>
        <v>雷光舞姫 エレナ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heal</v>
      </c>
      <c r="L189" s="8" t="str">
        <f>VLOOKUP(F189,[1]characters!$A:$M,13,FALSE)</f>
        <v>human</v>
      </c>
      <c r="M189" s="16">
        <f>VLOOKUP(D189,gacha_181_base!A:B,2,FALSE)</f>
        <v>2752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1811158</v>
      </c>
      <c r="B190" s="2" t="str">
        <f t="shared" si="11"/>
        <v>1811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158</v>
      </c>
      <c r="G190" s="8" t="str">
        <f>VLOOKUP(F190,[1]characters!$A:$C,3,FALSE)</f>
        <v>シスター シャルロッテ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heal</v>
      </c>
      <c r="L190" s="8" t="str">
        <f>VLOOKUP(F190,[1]characters!$A:$M,13,FALSE)</f>
        <v>human</v>
      </c>
      <c r="M190" s="16">
        <f>VLOOKUP(D190,gacha_181_base!A:B,2,FALSE)</f>
        <v>8716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8"/>
        <v>1811159</v>
      </c>
      <c r="B191" s="2" t="str">
        <f t="shared" si="11"/>
        <v>1811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159</v>
      </c>
      <c r="G191" s="8" t="str">
        <f>VLOOKUP(F191,[1]characters!$A:$C,3,FALSE)</f>
        <v>邪を狩りし者 シャルロッテ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heal</v>
      </c>
      <c r="L191" s="8" t="str">
        <f>VLOOKUP(F191,[1]characters!$A:$M,13,FALSE)</f>
        <v>human</v>
      </c>
      <c r="M191" s="16">
        <f>VLOOKUP(D191,gacha_181_base!A:B,2,FALSE)</f>
        <v>2752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1811160</v>
      </c>
      <c r="B192" s="2" t="str">
        <f t="shared" si="11"/>
        <v>1811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6">
        <v>160</v>
      </c>
      <c r="G192" s="8" t="str">
        <f>VLOOKUP(F192,[1]characters!$A:$C,3,FALSE)</f>
        <v>反逆者 クリエ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VLOOKUP(D192,gacha_181_base!A:B,2,FALSE)</f>
        <v>8716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1811161</v>
      </c>
      <c r="B193" s="2" t="str">
        <f t="shared" si="11"/>
        <v>1811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161</v>
      </c>
      <c r="G193" s="8" t="str">
        <f>VLOOKUP(F193,[1]characters!$A:$C,3,FALSE)</f>
        <v>咆哮の先導者 クリエ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VLOOKUP(D193,gacha_181_base!A:B,2,FALSE)</f>
        <v>2752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1811162</v>
      </c>
      <c r="B194" s="2" t="str">
        <f t="shared" si="11"/>
        <v>1811</v>
      </c>
      <c r="C194" s="8" t="str">
        <f t="shared" si="17"/>
        <v>1PremiumW3</v>
      </c>
      <c r="D194" s="8" t="str">
        <f t="shared" ref="D194:D257" si="19">E194&amp;H194&amp;I194</f>
        <v>1PremiumW3</v>
      </c>
      <c r="E194" s="10">
        <v>1</v>
      </c>
      <c r="F194" s="6">
        <v>162</v>
      </c>
      <c r="G194" s="8" t="str">
        <f>VLOOKUP(F194,[1]characters!$A:$C,3,FALSE)</f>
        <v>狂女 クララ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VLOOKUP(D194,gacha_181_base!A:B,2,FALSE)</f>
        <v>8716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1811163</v>
      </c>
      <c r="B195" s="2" t="str">
        <f t="shared" ref="B195:B258" si="20">181&amp;E195</f>
        <v>1811</v>
      </c>
      <c r="C195" s="8" t="str">
        <f t="shared" si="17"/>
        <v>1PremiumW4</v>
      </c>
      <c r="D195" s="8" t="str">
        <f t="shared" si="19"/>
        <v>1PremiumW4</v>
      </c>
      <c r="E195" s="10">
        <v>1</v>
      </c>
      <c r="F195" s="6">
        <v>163</v>
      </c>
      <c r="G195" s="8" t="str">
        <f>VLOOKUP(F195,[1]characters!$A:$C,3,FALSE)</f>
        <v>冷酷な狂嬢 クララ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VLOOKUP(D195,gacha_181_base!A:B,2,FALSE)</f>
        <v>2752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1811164</v>
      </c>
      <c r="B196" s="2" t="str">
        <f t="shared" si="20"/>
        <v>1811</v>
      </c>
      <c r="C196" s="8" t="str">
        <f t="shared" si="17"/>
        <v>1PremiumW3</v>
      </c>
      <c r="D196" s="8" t="str">
        <f t="shared" si="19"/>
        <v>1PremiumW3</v>
      </c>
      <c r="E196" s="10">
        <v>1</v>
      </c>
      <c r="F196" s="6">
        <v>164</v>
      </c>
      <c r="G196" s="8" t="str">
        <f>VLOOKUP(F196,[1]characters!$A:$C,3,FALSE)</f>
        <v>イブとトモダチ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technical</v>
      </c>
      <c r="L196" s="8" t="str">
        <f>VLOOKUP(F196,[1]characters!$A:$M,13,FALSE)</f>
        <v>human</v>
      </c>
      <c r="M196" s="16">
        <f>VLOOKUP(D196,gacha_181_base!A:B,2,FALSE)</f>
        <v>8716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1811165</v>
      </c>
      <c r="B197" s="2" t="str">
        <f t="shared" si="20"/>
        <v>1811</v>
      </c>
      <c r="C197" s="8" t="str">
        <f t="shared" si="17"/>
        <v>1PremiumW4</v>
      </c>
      <c r="D197" s="8" t="str">
        <f t="shared" si="19"/>
        <v>1PremiumW4</v>
      </c>
      <c r="E197" s="10">
        <v>1</v>
      </c>
      <c r="F197" s="6">
        <v>165</v>
      </c>
      <c r="G197" s="8" t="str">
        <f>VLOOKUP(F197,[1]characters!$A:$C,3,FALSE)</f>
        <v>イブとたったひとりのトモダチ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technical</v>
      </c>
      <c r="L197" s="8" t="str">
        <f>VLOOKUP(F197,[1]characters!$A:$M,13,FALSE)</f>
        <v>human</v>
      </c>
      <c r="M197" s="16">
        <f>VLOOKUP(D197,gacha_181_base!A:B,2,FALSE)</f>
        <v>2752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1811166</v>
      </c>
      <c r="B198" s="2" t="str">
        <f t="shared" si="20"/>
        <v>1811</v>
      </c>
      <c r="C198" s="8" t="str">
        <f t="shared" si="17"/>
        <v>1PremiumN3</v>
      </c>
      <c r="D198" s="8" t="str">
        <f t="shared" si="19"/>
        <v>1PremiumN3</v>
      </c>
      <c r="E198" s="10">
        <v>1</v>
      </c>
      <c r="F198" s="6">
        <v>166</v>
      </c>
      <c r="G198" s="8" t="str">
        <f>VLOOKUP(F198,[1]characters!$A:$C,3,FALSE)</f>
        <v>ベリアル</v>
      </c>
      <c r="H198" s="8" t="str">
        <f>VLOOKUP(F198,[1]characters!$A:$J,10,FALSE)</f>
        <v>PremiumN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16">
        <f>VLOOKUP(D198,gacha_181_base!A:B,2,FALSE)</f>
        <v>13074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1811167</v>
      </c>
      <c r="B199" s="2" t="str">
        <f t="shared" si="20"/>
        <v>1811</v>
      </c>
      <c r="C199" s="8" t="str">
        <f t="shared" si="17"/>
        <v>1PremiumN4</v>
      </c>
      <c r="D199" s="8" t="str">
        <f t="shared" si="19"/>
        <v>1PremiumN4</v>
      </c>
      <c r="E199" s="10">
        <v>1</v>
      </c>
      <c r="F199" s="6">
        <v>167</v>
      </c>
      <c r="G199" s="8" t="str">
        <f>VLOOKUP(F199,[1]characters!$A:$C,3,FALSE)</f>
        <v>逆徒 ベリアル</v>
      </c>
      <c r="H199" s="8" t="str">
        <f>VLOOKUP(F199,[1]characters!$A:$J,10,FALSE)</f>
        <v>PremiumN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16">
        <f>VLOOKUP(D199,gacha_181_base!A:B,2,FALSE)</f>
        <v>3097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1811168</v>
      </c>
      <c r="B200" s="2" t="str">
        <f t="shared" si="20"/>
        <v>1811</v>
      </c>
      <c r="C200" s="8" t="str">
        <f t="shared" si="17"/>
        <v>1PremiumN5</v>
      </c>
      <c r="D200" s="8" t="str">
        <f t="shared" si="19"/>
        <v>1PremiumN5</v>
      </c>
      <c r="E200" s="10">
        <v>1</v>
      </c>
      <c r="F200" s="6">
        <v>168</v>
      </c>
      <c r="G200" s="8" t="str">
        <f>VLOOKUP(F200,[1]characters!$A:$C,3,FALSE)</f>
        <v>猛進の大逆者 ベリアル</v>
      </c>
      <c r="H200" s="8" t="str">
        <f>VLOOKUP(F200,[1]characters!$A:$J,10,FALSE)</f>
        <v>PremiumN</v>
      </c>
      <c r="I200" s="8">
        <f>VLOOKUP(F200,[1]characters!$A:$I,9,FALSE)</f>
        <v>5</v>
      </c>
      <c r="J200" s="8" t="str">
        <f>VLOOKUP(F200,[1]characters!$A:$H,8,FALSE)</f>
        <v>red</v>
      </c>
      <c r="K200" s="8" t="str">
        <f>VLOOKUP(F200,[1]characters!$A:$K,11,FALSE)</f>
        <v>attack</v>
      </c>
      <c r="L200" s="8" t="str">
        <f>VLOOKUP(F200,[1]characters!$A:$M,13,FALSE)</f>
        <v>god</v>
      </c>
      <c r="M200" s="16">
        <f>VLOOKUP(D200,gacha_181_base!A:B,2,FALSE)</f>
        <v>1032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1811169</v>
      </c>
      <c r="B201" s="2" t="str">
        <f t="shared" si="20"/>
        <v>1811</v>
      </c>
      <c r="C201" s="8" t="str">
        <f t="shared" si="17"/>
        <v>1PremiumN3</v>
      </c>
      <c r="D201" s="8" t="str">
        <f t="shared" si="19"/>
        <v>1PremiumN3</v>
      </c>
      <c r="E201" s="10">
        <v>1</v>
      </c>
      <c r="F201" s="6">
        <v>169</v>
      </c>
      <c r="G201" s="8" t="str">
        <f>VLOOKUP(F201,[1]characters!$A:$C,3,FALSE)</f>
        <v>オセ</v>
      </c>
      <c r="H201" s="8" t="str">
        <f>VLOOKUP(F201,[1]characters!$A:$J,10,FALSE)</f>
        <v>PremiumN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attack</v>
      </c>
      <c r="L201" s="8" t="str">
        <f>VLOOKUP(F201,[1]characters!$A:$M,13,FALSE)</f>
        <v>god</v>
      </c>
      <c r="M201" s="16">
        <f>VLOOKUP(D201,gacha_181_base!A:B,2,FALSE)</f>
        <v>13074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1811170</v>
      </c>
      <c r="B202" s="2" t="str">
        <f t="shared" si="20"/>
        <v>1811</v>
      </c>
      <c r="C202" s="8" t="str">
        <f t="shared" si="17"/>
        <v>1PremiumN4</v>
      </c>
      <c r="D202" s="8" t="str">
        <f t="shared" si="19"/>
        <v>1PremiumN4</v>
      </c>
      <c r="E202" s="10">
        <v>1</v>
      </c>
      <c r="F202" s="6">
        <v>170</v>
      </c>
      <c r="G202" s="8" t="str">
        <f>VLOOKUP(F202,[1]characters!$A:$C,3,FALSE)</f>
        <v>識徒 オセ</v>
      </c>
      <c r="H202" s="8" t="str">
        <f>VLOOKUP(F202,[1]characters!$A:$J,10,FALSE)</f>
        <v>PremiumN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16">
        <f>VLOOKUP(D202,gacha_181_base!A:B,2,FALSE)</f>
        <v>3097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1811171</v>
      </c>
      <c r="B203" s="2" t="str">
        <f t="shared" si="20"/>
        <v>1811</v>
      </c>
      <c r="C203" s="8" t="str">
        <f t="shared" si="17"/>
        <v>1PremiumN5</v>
      </c>
      <c r="D203" s="8" t="str">
        <f t="shared" si="19"/>
        <v>1PremiumN5</v>
      </c>
      <c r="E203" s="10">
        <v>1</v>
      </c>
      <c r="F203" s="6">
        <v>171</v>
      </c>
      <c r="G203" s="8" t="str">
        <f>VLOOKUP(F203,[1]characters!$A:$C,3,FALSE)</f>
        <v>精解の預知者 オセ</v>
      </c>
      <c r="H203" s="8" t="str">
        <f>VLOOKUP(F203,[1]characters!$A:$J,10,FALSE)</f>
        <v>PremiumN</v>
      </c>
      <c r="I203" s="8">
        <f>VLOOKUP(F203,[1]characters!$A:$I,9,FALSE)</f>
        <v>5</v>
      </c>
      <c r="J203" s="8" t="str">
        <f>VLOOKUP(F203,[1]characters!$A:$H,8,FALSE)</f>
        <v>green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16">
        <f>VLOOKUP(D203,gacha_181_base!A:B,2,FALSE)</f>
        <v>1032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1811172</v>
      </c>
      <c r="B204" s="2" t="str">
        <f t="shared" si="20"/>
        <v>1811</v>
      </c>
      <c r="C204" s="8" t="str">
        <f t="shared" si="17"/>
        <v>1PremiumN3</v>
      </c>
      <c r="D204" s="8" t="str">
        <f t="shared" si="19"/>
        <v>1PremiumN3</v>
      </c>
      <c r="E204" s="10">
        <v>1</v>
      </c>
      <c r="F204" s="6">
        <v>172</v>
      </c>
      <c r="G204" s="8" t="str">
        <f>VLOOKUP(F204,[1]characters!$A:$C,3,FALSE)</f>
        <v>フォルネウス</v>
      </c>
      <c r="H204" s="8" t="str">
        <f>VLOOKUP(F204,[1]characters!$A:$J,10,FALSE)</f>
        <v>PremiumN</v>
      </c>
      <c r="I204" s="8">
        <f>VLOOKUP(F204,[1]characters!$A:$I,9,FALSE)</f>
        <v>3</v>
      </c>
      <c r="J204" s="8" t="str">
        <f>VLOOKUP(F204,[1]characters!$A:$H,8,FALSE)</f>
        <v>blue</v>
      </c>
      <c r="K204" s="8" t="str">
        <f>VLOOKUP(F204,[1]characters!$A:$K,11,FALSE)</f>
        <v>attack</v>
      </c>
      <c r="L204" s="8" t="str">
        <f>VLOOKUP(F204,[1]characters!$A:$M,13,FALSE)</f>
        <v>god</v>
      </c>
      <c r="M204" s="16">
        <f>VLOOKUP(D204,gacha_181_base!A:B,2,FALSE)</f>
        <v>13074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1811173</v>
      </c>
      <c r="B205" s="2" t="str">
        <f t="shared" si="20"/>
        <v>1811</v>
      </c>
      <c r="C205" s="8" t="str">
        <f t="shared" si="17"/>
        <v>1PremiumN4</v>
      </c>
      <c r="D205" s="8" t="str">
        <f t="shared" si="19"/>
        <v>1PremiumN4</v>
      </c>
      <c r="E205" s="10">
        <v>1</v>
      </c>
      <c r="F205" s="6">
        <v>173</v>
      </c>
      <c r="G205" s="8" t="str">
        <f>VLOOKUP(F205,[1]characters!$A:$C,3,FALSE)</f>
        <v>公爵 フォルネウス</v>
      </c>
      <c r="H205" s="8" t="str">
        <f>VLOOKUP(F205,[1]characters!$A:$J,10,FALSE)</f>
        <v>PremiumN</v>
      </c>
      <c r="I205" s="8">
        <f>VLOOKUP(F205,[1]characters!$A:$I,9,FALSE)</f>
        <v>4</v>
      </c>
      <c r="J205" s="8" t="str">
        <f>VLOOKUP(F205,[1]characters!$A:$H,8,FALSE)</f>
        <v>blue</v>
      </c>
      <c r="K205" s="8" t="str">
        <f>VLOOKUP(F205,[1]characters!$A:$K,11,FALSE)</f>
        <v>attack</v>
      </c>
      <c r="L205" s="8" t="str">
        <f>VLOOKUP(F205,[1]characters!$A:$M,13,FALSE)</f>
        <v>god</v>
      </c>
      <c r="M205" s="16">
        <f>VLOOKUP(D205,gacha_181_base!A:B,2,FALSE)</f>
        <v>3097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1811174</v>
      </c>
      <c r="B206" s="2" t="str">
        <f t="shared" si="20"/>
        <v>1811</v>
      </c>
      <c r="C206" s="8" t="str">
        <f t="shared" si="17"/>
        <v>1PremiumN5</v>
      </c>
      <c r="D206" s="8" t="str">
        <f t="shared" si="19"/>
        <v>1PremiumN5</v>
      </c>
      <c r="E206" s="10">
        <v>1</v>
      </c>
      <c r="F206" s="6">
        <v>174</v>
      </c>
      <c r="G206" s="8" t="str">
        <f>VLOOKUP(F206,[1]characters!$A:$C,3,FALSE)</f>
        <v>偽愛の大公爵 フォルネウス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VLOOKUP(D206,gacha_181_base!A:B,2,FALSE)</f>
        <v>1032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1811175</v>
      </c>
      <c r="B207" s="2" t="str">
        <f t="shared" si="20"/>
        <v>1811</v>
      </c>
      <c r="C207" s="8" t="str">
        <f t="shared" si="17"/>
        <v>1PremiumN3</v>
      </c>
      <c r="D207" s="8" t="str">
        <f t="shared" si="19"/>
        <v>1PremiumN3</v>
      </c>
      <c r="E207" s="10">
        <v>1</v>
      </c>
      <c r="F207" s="6">
        <v>175</v>
      </c>
      <c r="G207" s="8" t="str">
        <f>VLOOKUP(F207,[1]characters!$A:$C,3,FALSE)</f>
        <v>バフォメット</v>
      </c>
      <c r="H207" s="8" t="str">
        <f>VLOOKUP(F207,[1]characters!$A:$J,10,FALSE)</f>
        <v>PremiumN</v>
      </c>
      <c r="I207" s="8">
        <f>VLOOKUP(F207,[1]characters!$A:$I,9,FALSE)</f>
        <v>3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VLOOKUP(D207,gacha_181_base!A:B,2,FALSE)</f>
        <v>13074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1811176</v>
      </c>
      <c r="B208" s="2" t="str">
        <f t="shared" si="20"/>
        <v>1811</v>
      </c>
      <c r="C208" s="8" t="str">
        <f t="shared" si="17"/>
        <v>1PremiumN4</v>
      </c>
      <c r="D208" s="8" t="str">
        <f t="shared" si="19"/>
        <v>1PremiumN4</v>
      </c>
      <c r="E208" s="10">
        <v>1</v>
      </c>
      <c r="F208" s="6">
        <v>176</v>
      </c>
      <c r="G208" s="8" t="str">
        <f>VLOOKUP(F208,[1]characters!$A:$C,3,FALSE)</f>
        <v>異教徒 バフォメット</v>
      </c>
      <c r="H208" s="8" t="str">
        <f>VLOOKUP(F208,[1]characters!$A:$J,10,FALSE)</f>
        <v>PremiumN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VLOOKUP(D208,gacha_181_base!A:B,2,FALSE)</f>
        <v>3097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1811177</v>
      </c>
      <c r="B209" s="2" t="str">
        <f t="shared" si="20"/>
        <v>1811</v>
      </c>
      <c r="C209" s="8" t="str">
        <f t="shared" si="17"/>
        <v>1PremiumN5</v>
      </c>
      <c r="D209" s="8" t="str">
        <f t="shared" si="19"/>
        <v>1PremiumN5</v>
      </c>
      <c r="E209" s="10">
        <v>1</v>
      </c>
      <c r="F209" s="6">
        <v>177</v>
      </c>
      <c r="G209" s="8" t="str">
        <f>VLOOKUP(F209,[1]characters!$A:$C,3,FALSE)</f>
        <v>黒魔の異端師 バフォメット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VLOOKUP(D209,gacha_181_base!A:B,2,FALSE)</f>
        <v>1032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1811178</v>
      </c>
      <c r="B210" s="2" t="str">
        <f t="shared" si="20"/>
        <v>1811</v>
      </c>
      <c r="C210" s="8" t="str">
        <f t="shared" si="17"/>
        <v>1PremiumN3</v>
      </c>
      <c r="D210" s="8" t="str">
        <f t="shared" si="19"/>
        <v>1PremiumN3</v>
      </c>
      <c r="E210" s="10">
        <v>1</v>
      </c>
      <c r="F210" s="6">
        <v>178</v>
      </c>
      <c r="G210" s="8" t="str">
        <f>VLOOKUP(F210,[1]characters!$A:$C,3,FALSE)</f>
        <v>ケルベロス</v>
      </c>
      <c r="H210" s="8" t="str">
        <f>VLOOKUP(F210,[1]characters!$A:$J,10,FALSE)</f>
        <v>PremiumN</v>
      </c>
      <c r="I210" s="8">
        <f>VLOOKUP(F210,[1]characters!$A:$I,9,FALSE)</f>
        <v>3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animal</v>
      </c>
      <c r="M210" s="16">
        <f>VLOOKUP(D210,gacha_181_base!A:B,2,FALSE)</f>
        <v>13074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1811179</v>
      </c>
      <c r="B211" s="2" t="str">
        <f t="shared" si="20"/>
        <v>1811</v>
      </c>
      <c r="C211" s="8" t="str">
        <f t="shared" si="17"/>
        <v>1PremiumN4</v>
      </c>
      <c r="D211" s="8" t="str">
        <f t="shared" si="19"/>
        <v>1PremiumN4</v>
      </c>
      <c r="E211" s="10">
        <v>1</v>
      </c>
      <c r="F211" s="6">
        <v>179</v>
      </c>
      <c r="G211" s="8" t="str">
        <f>VLOOKUP(F211,[1]characters!$A:$C,3,FALSE)</f>
        <v>番犬 ケルベロス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red</v>
      </c>
      <c r="K211" s="8" t="str">
        <f>VLOOKUP(F211,[1]characters!$A:$K,11,FALSE)</f>
        <v>balance</v>
      </c>
      <c r="L211" s="8" t="str">
        <f>VLOOKUP(F211,[1]characters!$A:$M,13,FALSE)</f>
        <v>animal</v>
      </c>
      <c r="M211" s="16">
        <f>VLOOKUP(D211,gacha_181_base!A:B,2,FALSE)</f>
        <v>3097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1811180</v>
      </c>
      <c r="B212" s="2" t="str">
        <f t="shared" si="20"/>
        <v>1811</v>
      </c>
      <c r="C212" s="8" t="str">
        <f t="shared" si="17"/>
        <v>1PremiumN5</v>
      </c>
      <c r="D212" s="8" t="str">
        <f t="shared" si="19"/>
        <v>1PremiumN5</v>
      </c>
      <c r="E212" s="10">
        <v>1</v>
      </c>
      <c r="F212" s="6">
        <v>180</v>
      </c>
      <c r="G212" s="8" t="str">
        <f>VLOOKUP(F212,[1]characters!$A:$C,3,FALSE)</f>
        <v>地獄の大門番 ケルベロス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balance</v>
      </c>
      <c r="L212" s="8" t="str">
        <f>VLOOKUP(F212,[1]characters!$A:$M,13,FALSE)</f>
        <v>animal</v>
      </c>
      <c r="M212" s="16">
        <f>VLOOKUP(D212,gacha_181_base!A:B,2,FALSE)</f>
        <v>1032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1811181</v>
      </c>
      <c r="B213" s="2" t="str">
        <f t="shared" si="20"/>
        <v>1811</v>
      </c>
      <c r="C213" s="8" t="str">
        <f t="shared" si="17"/>
        <v>1PremiumN3</v>
      </c>
      <c r="D213" s="8" t="str">
        <f t="shared" si="19"/>
        <v>1PremiumN3</v>
      </c>
      <c r="E213" s="10">
        <v>1</v>
      </c>
      <c r="F213" s="6">
        <v>181</v>
      </c>
      <c r="G213" s="8" t="str">
        <f>VLOOKUP(F213,[1]characters!$A:$C,3,FALSE)</f>
        <v>ベヒモス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animal</v>
      </c>
      <c r="M213" s="16">
        <f>VLOOKUP(D213,gacha_181_base!A:B,2,FALSE)</f>
        <v>13074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1811182</v>
      </c>
      <c r="B214" s="2" t="str">
        <f t="shared" si="20"/>
        <v>1811</v>
      </c>
      <c r="C214" s="8" t="str">
        <f t="shared" si="17"/>
        <v>1PremiumN4</v>
      </c>
      <c r="D214" s="8" t="str">
        <f t="shared" si="19"/>
        <v>1PremiumN4</v>
      </c>
      <c r="E214" s="10">
        <v>1</v>
      </c>
      <c r="F214" s="6">
        <v>182</v>
      </c>
      <c r="G214" s="8" t="str">
        <f>VLOOKUP(F214,[1]characters!$A:$C,3,FALSE)</f>
        <v>放蕩者 ベヒモス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hp</v>
      </c>
      <c r="L214" s="8" t="str">
        <f>VLOOKUP(F214,[1]characters!$A:$M,13,FALSE)</f>
        <v>animal</v>
      </c>
      <c r="M214" s="16">
        <f>VLOOKUP(D214,gacha_181_base!A:B,2,FALSE)</f>
        <v>3097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1811183</v>
      </c>
      <c r="B215" s="2" t="str">
        <f t="shared" si="20"/>
        <v>1811</v>
      </c>
      <c r="C215" s="8" t="str">
        <f t="shared" si="17"/>
        <v>1PremiumN5</v>
      </c>
      <c r="D215" s="8" t="str">
        <f t="shared" si="19"/>
        <v>1PremiumN5</v>
      </c>
      <c r="E215" s="10">
        <v>1</v>
      </c>
      <c r="F215" s="6">
        <v>183</v>
      </c>
      <c r="G215" s="8" t="str">
        <f>VLOOKUP(F215,[1]characters!$A:$C,3,FALSE)</f>
        <v>鈍重な彷徨者 ベヒモス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animal</v>
      </c>
      <c r="M215" s="16">
        <f>VLOOKUP(D215,gacha_181_base!A:B,2,FALSE)</f>
        <v>1032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1811184</v>
      </c>
      <c r="B216" s="2" t="str">
        <f t="shared" si="20"/>
        <v>1811</v>
      </c>
      <c r="C216" s="8" t="str">
        <f t="shared" si="17"/>
        <v>1PremiumN3</v>
      </c>
      <c r="D216" s="8" t="str">
        <f t="shared" si="19"/>
        <v>1PremiumN3</v>
      </c>
      <c r="E216" s="10">
        <v>1</v>
      </c>
      <c r="F216" s="6">
        <v>184</v>
      </c>
      <c r="G216" s="8" t="str">
        <f>VLOOKUP(F216,[1]characters!$A:$C,3,FALSE)</f>
        <v>クラーケン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blue</v>
      </c>
      <c r="K216" s="8" t="str">
        <f>VLOOKUP(F216,[1]characters!$A:$K,11,FALSE)</f>
        <v>heal</v>
      </c>
      <c r="L216" s="8" t="str">
        <f>VLOOKUP(F216,[1]characters!$A:$M,13,FALSE)</f>
        <v>animal</v>
      </c>
      <c r="M216" s="16">
        <f>VLOOKUP(D216,gacha_181_base!A:B,2,FALSE)</f>
        <v>13074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1811185</v>
      </c>
      <c r="B217" s="2" t="str">
        <f t="shared" si="20"/>
        <v>1811</v>
      </c>
      <c r="C217" s="8" t="str">
        <f t="shared" si="17"/>
        <v>1PremiumN4</v>
      </c>
      <c r="D217" s="8" t="str">
        <f t="shared" si="19"/>
        <v>1PremiumN4</v>
      </c>
      <c r="E217" s="10">
        <v>1</v>
      </c>
      <c r="F217" s="6">
        <v>185</v>
      </c>
      <c r="G217" s="8" t="str">
        <f>VLOOKUP(F217,[1]characters!$A:$C,3,FALSE)</f>
        <v>海姫 クラーケン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heal</v>
      </c>
      <c r="L217" s="8" t="str">
        <f>VLOOKUP(F217,[1]characters!$A:$M,13,FALSE)</f>
        <v>animal</v>
      </c>
      <c r="M217" s="16">
        <f>VLOOKUP(D217,gacha_181_base!A:B,2,FALSE)</f>
        <v>3097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1811186</v>
      </c>
      <c r="B218" s="2" t="str">
        <f t="shared" si="20"/>
        <v>1811</v>
      </c>
      <c r="C218" s="8" t="str">
        <f t="shared" si="17"/>
        <v>1PremiumN5</v>
      </c>
      <c r="D218" s="8" t="str">
        <f t="shared" si="19"/>
        <v>1PremiumN5</v>
      </c>
      <c r="E218" s="10">
        <v>1</v>
      </c>
      <c r="F218" s="9">
        <v>186</v>
      </c>
      <c r="G218" s="8" t="str">
        <f>VLOOKUP(F218,[1]characters!$A:$C,3,FALSE)</f>
        <v>誇り高き多触姫・クラーケン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heal</v>
      </c>
      <c r="L218" s="8" t="str">
        <f>VLOOKUP(F218,[1]characters!$A:$M,13,FALSE)</f>
        <v>animal</v>
      </c>
      <c r="M218" s="16">
        <f>VLOOKUP(D218,gacha_181_base!A:B,2,FALSE)</f>
        <v>1032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1811187</v>
      </c>
      <c r="B219" s="2" t="str">
        <f t="shared" si="20"/>
        <v>1811</v>
      </c>
      <c r="C219" s="8" t="str">
        <f t="shared" si="17"/>
        <v>1PremiumN3</v>
      </c>
      <c r="D219" s="8" t="str">
        <f t="shared" si="19"/>
        <v>1PremiumN3</v>
      </c>
      <c r="E219" s="10">
        <v>1</v>
      </c>
      <c r="F219" s="9">
        <v>187</v>
      </c>
      <c r="G219" s="8" t="str">
        <f>VLOOKUP(F219,[1]characters!$A:$C,3,FALSE)</f>
        <v>ホルス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animal</v>
      </c>
      <c r="M219" s="16">
        <f>VLOOKUP(D219,gacha_181_base!A:B,2,FALSE)</f>
        <v>13074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1811188</v>
      </c>
      <c r="B220" s="2" t="str">
        <f t="shared" si="20"/>
        <v>1811</v>
      </c>
      <c r="C220" s="8" t="str">
        <f t="shared" si="17"/>
        <v>1PremiumN4</v>
      </c>
      <c r="D220" s="8" t="str">
        <f t="shared" si="19"/>
        <v>1PremiumN4</v>
      </c>
      <c r="E220" s="10">
        <v>1</v>
      </c>
      <c r="F220" s="9">
        <v>188</v>
      </c>
      <c r="G220" s="8" t="str">
        <f>VLOOKUP(F220,[1]characters!$A:$C,3,FALSE)</f>
        <v>猛禽 ホルス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animal</v>
      </c>
      <c r="M220" s="16">
        <f>VLOOKUP(D220,gacha_181_base!A:B,2,FALSE)</f>
        <v>3097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1811189</v>
      </c>
      <c r="B221" s="2" t="str">
        <f t="shared" si="20"/>
        <v>1811</v>
      </c>
      <c r="C221" s="8" t="str">
        <f t="shared" si="17"/>
        <v>1PremiumN5</v>
      </c>
      <c r="D221" s="8" t="str">
        <f t="shared" si="19"/>
        <v>1PremiumN5</v>
      </c>
      <c r="E221" s="10">
        <v>1</v>
      </c>
      <c r="F221" s="9">
        <v>189</v>
      </c>
      <c r="G221" s="8" t="str">
        <f>VLOOKUP(F221,[1]characters!$A:$C,3,FALSE)</f>
        <v>迅雷の王禽 ホルス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attack</v>
      </c>
      <c r="L221" s="8" t="str">
        <f>VLOOKUP(F221,[1]characters!$A:$M,13,FALSE)</f>
        <v>animal</v>
      </c>
      <c r="M221" s="16">
        <f>VLOOKUP(D221,gacha_181_base!A:B,2,FALSE)</f>
        <v>1032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s="11" customFormat="1" ht="21" customHeight="1" thickBot="1">
      <c r="A222" s="7" t="str">
        <f t="shared" si="18"/>
        <v>1811190</v>
      </c>
      <c r="B222" s="2" t="str">
        <f t="shared" si="20"/>
        <v>1811</v>
      </c>
      <c r="C222" s="8" t="str">
        <f t="shared" ref="C222:C285" si="21">E222&amp;H222&amp;I222</f>
        <v>1PremiumN3</v>
      </c>
      <c r="D222" s="8" t="str">
        <f t="shared" si="19"/>
        <v>1PremiumN3</v>
      </c>
      <c r="E222" s="10">
        <v>1</v>
      </c>
      <c r="F222" s="6">
        <v>190</v>
      </c>
      <c r="G222" s="8" t="str">
        <f>VLOOKUP(F222,[1]characters!$A:$C,3,FALSE)</f>
        <v>卑弥呼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human</v>
      </c>
      <c r="M222" s="16">
        <f>VLOOKUP(D222,gacha_181_base!A:B,2,FALSE)</f>
        <v>13074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ref="A223:A286" si="22">B223&amp;F223</f>
        <v>1811191</v>
      </c>
      <c r="B223" s="2" t="str">
        <f t="shared" si="20"/>
        <v>1811</v>
      </c>
      <c r="C223" s="8" t="str">
        <f t="shared" si="21"/>
        <v>1PremiumN4</v>
      </c>
      <c r="D223" s="8" t="str">
        <f t="shared" si="19"/>
        <v>1PremiumN4</v>
      </c>
      <c r="E223" s="10">
        <v>1</v>
      </c>
      <c r="F223" s="6">
        <v>191</v>
      </c>
      <c r="G223" s="8" t="str">
        <f>VLOOKUP(F223,[1]characters!$A:$C,3,FALSE)</f>
        <v>始祖 卑弥呼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VLOOKUP(D223,gacha_181_base!A:B,2,FALSE)</f>
        <v>3097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2"/>
        <v>1811192</v>
      </c>
      <c r="B224" s="2" t="str">
        <f t="shared" si="20"/>
        <v>1811</v>
      </c>
      <c r="C224" s="8" t="str">
        <f t="shared" si="21"/>
        <v>1PremiumN5</v>
      </c>
      <c r="D224" s="8" t="str">
        <f t="shared" si="19"/>
        <v>1PremiumN5</v>
      </c>
      <c r="E224" s="10">
        <v>1</v>
      </c>
      <c r="F224" s="6">
        <v>192</v>
      </c>
      <c r="G224" s="8" t="str">
        <f>VLOOKUP(F224,[1]characters!$A:$C,3,FALSE)</f>
        <v>荘厳なる始祖帝 卑弥呼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6">
        <f>VLOOKUP(D224,gacha_181_base!A:B,2,FALSE)</f>
        <v>1032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2"/>
        <v>1811193</v>
      </c>
      <c r="B225" s="2" t="str">
        <f t="shared" si="20"/>
        <v>1811</v>
      </c>
      <c r="C225" s="8" t="str">
        <f t="shared" si="21"/>
        <v>1PremiumN3</v>
      </c>
      <c r="D225" s="8" t="str">
        <f t="shared" si="19"/>
        <v>1PremiumN3</v>
      </c>
      <c r="E225" s="10">
        <v>1</v>
      </c>
      <c r="F225" s="6">
        <v>193</v>
      </c>
      <c r="G225" s="8" t="str">
        <f>VLOOKUP(F225,[1]characters!$A:$C,3,FALSE)</f>
        <v>ロビンフッド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VLOOKUP(D225,gacha_181_base!A:B,2,FALSE)</f>
        <v>13074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2"/>
        <v>1811194</v>
      </c>
      <c r="B226" s="2" t="str">
        <f t="shared" si="20"/>
        <v>1811</v>
      </c>
      <c r="C226" s="8" t="str">
        <f t="shared" si="21"/>
        <v>1PremiumN4</v>
      </c>
      <c r="D226" s="8" t="str">
        <f t="shared" si="19"/>
        <v>1PremiumN4</v>
      </c>
      <c r="E226" s="10">
        <v>1</v>
      </c>
      <c r="F226" s="12">
        <v>194</v>
      </c>
      <c r="G226" s="8" t="str">
        <f>VLOOKUP(F226,[1]characters!$A:$C,3,FALSE)</f>
        <v>スナイパー ロビンフッド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VLOOKUP(D226,gacha_181_base!A:B,2,FALSE)</f>
        <v>3097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2"/>
        <v>1811195</v>
      </c>
      <c r="B227" s="2" t="str">
        <f t="shared" si="20"/>
        <v>1811</v>
      </c>
      <c r="C227" s="8" t="str">
        <f t="shared" si="21"/>
        <v>1PremiumN5</v>
      </c>
      <c r="D227" s="8" t="str">
        <f t="shared" si="19"/>
        <v>1PremiumN5</v>
      </c>
      <c r="E227" s="10">
        <v>1</v>
      </c>
      <c r="F227" s="6">
        <v>195</v>
      </c>
      <c r="G227" s="8" t="str">
        <f>VLOOKUP(F227,[1]characters!$A:$C,3,FALSE)</f>
        <v>グランドハンター ロビンフッド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VLOOKUP(D227,gacha_181_base!A:B,2,FALSE)</f>
        <v>1032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2"/>
        <v>1811196</v>
      </c>
      <c r="B228" s="2" t="str">
        <f t="shared" si="20"/>
        <v>1811</v>
      </c>
      <c r="C228" s="8" t="str">
        <f t="shared" si="21"/>
        <v>1PremiumN3</v>
      </c>
      <c r="D228" s="8" t="str">
        <f t="shared" si="19"/>
        <v>1PremiumN3</v>
      </c>
      <c r="E228" s="10">
        <v>1</v>
      </c>
      <c r="F228" s="12">
        <v>196</v>
      </c>
      <c r="G228" s="8" t="str">
        <f>VLOOKUP(F228,[1]characters!$A:$C,3,FALSE)</f>
        <v>アキレス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yellow</v>
      </c>
      <c r="K228" s="8" t="str">
        <f>VLOOKUP(F228,[1]characters!$A:$K,11,FALSE)</f>
        <v>balance</v>
      </c>
      <c r="L228" s="8" t="str">
        <f>VLOOKUP(F228,[1]characters!$A:$M,13,FALSE)</f>
        <v>human</v>
      </c>
      <c r="M228" s="16">
        <f>VLOOKUP(D228,gacha_181_base!A:B,2,FALSE)</f>
        <v>13074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2"/>
        <v>1811197</v>
      </c>
      <c r="B229" s="2" t="str">
        <f t="shared" si="20"/>
        <v>1811</v>
      </c>
      <c r="C229" s="8" t="str">
        <f t="shared" si="21"/>
        <v>1PremiumN4</v>
      </c>
      <c r="D229" s="8" t="str">
        <f t="shared" si="19"/>
        <v>1PremiumN4</v>
      </c>
      <c r="E229" s="10">
        <v>1</v>
      </c>
      <c r="F229" s="13">
        <v>197</v>
      </c>
      <c r="G229" s="8" t="str">
        <f>VLOOKUP(F229,[1]characters!$A:$C,3,FALSE)</f>
        <v>鉄腕 アキレス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yellow</v>
      </c>
      <c r="K229" s="8" t="str">
        <f>VLOOKUP(F229,[1]characters!$A:$K,11,FALSE)</f>
        <v>balance</v>
      </c>
      <c r="L229" s="8" t="str">
        <f>VLOOKUP(F229,[1]characters!$A:$M,13,FALSE)</f>
        <v>human</v>
      </c>
      <c r="M229" s="16">
        <f>VLOOKUP(D229,gacha_181_base!A:B,2,FALSE)</f>
        <v>3097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2"/>
        <v>1811198</v>
      </c>
      <c r="B230" s="2" t="str">
        <f t="shared" si="20"/>
        <v>1811</v>
      </c>
      <c r="C230" s="8" t="str">
        <f t="shared" si="21"/>
        <v>1PremiumN5</v>
      </c>
      <c r="D230" s="8" t="str">
        <f t="shared" si="19"/>
        <v>1PremiumN5</v>
      </c>
      <c r="E230" s="10">
        <v>1</v>
      </c>
      <c r="F230" s="6">
        <v>198</v>
      </c>
      <c r="G230" s="8" t="str">
        <f>VLOOKUP(F230,[1]characters!$A:$C,3,FALSE)</f>
        <v>砕骨の剛腕 アキレス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yellow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VLOOKUP(D230,gacha_181_base!A:B,2,FALSE)</f>
        <v>1032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2"/>
        <v>1811199</v>
      </c>
      <c r="B231" s="2" t="str">
        <f t="shared" si="20"/>
        <v>1811</v>
      </c>
      <c r="C231" s="8" t="str">
        <f t="shared" si="21"/>
        <v>1PremiumN3</v>
      </c>
      <c r="D231" s="8" t="str">
        <f t="shared" si="19"/>
        <v>1PremiumN3</v>
      </c>
      <c r="E231" s="10">
        <v>1</v>
      </c>
      <c r="F231" s="6">
        <v>199</v>
      </c>
      <c r="G231" s="8" t="str">
        <f>VLOOKUP(F231,[1]characters!$A:$C,3,FALSE)</f>
        <v>ジークフリート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blue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VLOOKUP(D231,gacha_181_base!A:B,2,FALSE)</f>
        <v>13074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2"/>
        <v>1811200</v>
      </c>
      <c r="B232" s="2" t="str">
        <f t="shared" si="20"/>
        <v>1811</v>
      </c>
      <c r="C232" s="8" t="str">
        <f t="shared" si="21"/>
        <v>1PremiumN4</v>
      </c>
      <c r="D232" s="8" t="str">
        <f t="shared" si="19"/>
        <v>1PremiumN4</v>
      </c>
      <c r="E232" s="10">
        <v>1</v>
      </c>
      <c r="F232" s="6">
        <v>200</v>
      </c>
      <c r="G232" s="8" t="str">
        <f>VLOOKUP(F232,[1]characters!$A:$C,3,FALSE)</f>
        <v>大剣士 ジークフリート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blue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VLOOKUP(D232,gacha_181_base!A:B,2,FALSE)</f>
        <v>3097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2"/>
        <v>1811201</v>
      </c>
      <c r="B233" s="2" t="str">
        <f t="shared" si="20"/>
        <v>1811</v>
      </c>
      <c r="C233" s="8" t="str">
        <f t="shared" si="21"/>
        <v>1PremiumN5</v>
      </c>
      <c r="D233" s="8" t="str">
        <f t="shared" si="19"/>
        <v>1PremiumN5</v>
      </c>
      <c r="E233" s="10">
        <v>1</v>
      </c>
      <c r="F233" s="5">
        <v>201</v>
      </c>
      <c r="G233" s="8" t="str">
        <f>VLOOKUP(F233,[1]characters!$A:$C,3,FALSE)</f>
        <v>斬空の大破剣 ジークフリート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blue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VLOOKUP(D233,gacha_181_base!A:B,2,FALSE)</f>
        <v>1032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2"/>
        <v>1811202</v>
      </c>
      <c r="B234" s="2" t="str">
        <f t="shared" si="20"/>
        <v>1811</v>
      </c>
      <c r="C234" s="8" t="str">
        <f t="shared" si="21"/>
        <v>1PremiumN3</v>
      </c>
      <c r="D234" s="8" t="str">
        <f t="shared" si="19"/>
        <v>1PremiumN3</v>
      </c>
      <c r="E234" s="10">
        <v>1</v>
      </c>
      <c r="F234" s="5">
        <v>202</v>
      </c>
      <c r="G234" s="8" t="str">
        <f>VLOOKUP(F234,[1]characters!$A:$C,3,FALSE)</f>
        <v>プロメテウス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hp</v>
      </c>
      <c r="L234" s="8" t="str">
        <f>VLOOKUP(F234,[1]characters!$A:$M,13,FALSE)</f>
        <v>god</v>
      </c>
      <c r="M234" s="16">
        <f>VLOOKUP(D234,gacha_181_base!A:B,2,FALSE)</f>
        <v>13074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2"/>
        <v>1811203</v>
      </c>
      <c r="B235" s="2" t="str">
        <f t="shared" si="20"/>
        <v>1811</v>
      </c>
      <c r="C235" s="8" t="str">
        <f t="shared" si="21"/>
        <v>1PremiumN4</v>
      </c>
      <c r="D235" s="8" t="str">
        <f t="shared" si="19"/>
        <v>1PremiumN4</v>
      </c>
      <c r="E235" s="10">
        <v>1</v>
      </c>
      <c r="F235" s="5">
        <v>203</v>
      </c>
      <c r="G235" s="8" t="str">
        <f>VLOOKUP(F235,[1]characters!$A:$C,3,FALSE)</f>
        <v>焔神 プロメテウス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hp</v>
      </c>
      <c r="L235" s="8" t="str">
        <f>VLOOKUP(F235,[1]characters!$A:$M,13,FALSE)</f>
        <v>god</v>
      </c>
      <c r="M235" s="16">
        <f>VLOOKUP(D235,gacha_181_base!A:B,2,FALSE)</f>
        <v>3097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1811204</v>
      </c>
      <c r="B236" s="2" t="str">
        <f t="shared" si="20"/>
        <v>1811</v>
      </c>
      <c r="C236" s="8" t="str">
        <f t="shared" si="21"/>
        <v>1PremiumN5</v>
      </c>
      <c r="D236" s="8" t="str">
        <f t="shared" si="19"/>
        <v>1PremiumN5</v>
      </c>
      <c r="E236" s="10">
        <v>1</v>
      </c>
      <c r="F236" s="5">
        <v>204</v>
      </c>
      <c r="G236" s="8" t="str">
        <f>VLOOKUP(F236,[1]characters!$A:$C,3,FALSE)</f>
        <v>慟哭の巨焔 プロメテウス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hp</v>
      </c>
      <c r="L236" s="8" t="str">
        <f>VLOOKUP(F236,[1]characters!$A:$M,13,FALSE)</f>
        <v>god</v>
      </c>
      <c r="M236" s="16">
        <f>VLOOKUP(D236,gacha_181_base!A:B,2,FALSE)</f>
        <v>1032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1811205</v>
      </c>
      <c r="B237" s="2" t="str">
        <f t="shared" si="20"/>
        <v>1811</v>
      </c>
      <c r="C237" s="8" t="str">
        <f t="shared" si="21"/>
        <v>1PremiumN3</v>
      </c>
      <c r="D237" s="8" t="str">
        <f t="shared" si="19"/>
        <v>1PremiumN3</v>
      </c>
      <c r="E237" s="10">
        <v>1</v>
      </c>
      <c r="F237" s="5">
        <v>205</v>
      </c>
      <c r="G237" s="8" t="str">
        <f>VLOOKUP(F237,[1]characters!$A:$C,3,FALSE)</f>
        <v>アフロディーテ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god</v>
      </c>
      <c r="M237" s="16">
        <f>VLOOKUP(D237,gacha_181_base!A:B,2,FALSE)</f>
        <v>13074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1811206</v>
      </c>
      <c r="B238" s="2" t="str">
        <f t="shared" si="20"/>
        <v>1811</v>
      </c>
      <c r="C238" s="8" t="str">
        <f t="shared" si="21"/>
        <v>1PremiumN4</v>
      </c>
      <c r="D238" s="8" t="str">
        <f t="shared" si="19"/>
        <v>1PremiumN4</v>
      </c>
      <c r="E238" s="10">
        <v>1</v>
      </c>
      <c r="F238" s="5">
        <v>206</v>
      </c>
      <c r="G238" s="8" t="str">
        <f>VLOOKUP(F238,[1]characters!$A:$C,3,FALSE)</f>
        <v>美神 アフロディーテ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god</v>
      </c>
      <c r="M238" s="16">
        <f>VLOOKUP(D238,gacha_181_base!A:B,2,FALSE)</f>
        <v>3097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1811207</v>
      </c>
      <c r="B239" s="2" t="str">
        <f t="shared" si="20"/>
        <v>1811</v>
      </c>
      <c r="C239" s="8" t="str">
        <f t="shared" si="21"/>
        <v>1PremiumN5</v>
      </c>
      <c r="D239" s="8" t="str">
        <f t="shared" si="19"/>
        <v>1PremiumN5</v>
      </c>
      <c r="E239" s="10">
        <v>1</v>
      </c>
      <c r="F239" s="5">
        <v>207</v>
      </c>
      <c r="G239" s="8" t="str">
        <f>VLOOKUP(F239,[1]characters!$A:$C,3,FALSE)</f>
        <v>豊穣の麗神・アフロディーテ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god</v>
      </c>
      <c r="M239" s="16">
        <f>VLOOKUP(D239,gacha_181_base!A:B,2,FALSE)</f>
        <v>1032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1811208</v>
      </c>
      <c r="B240" s="2" t="str">
        <f t="shared" si="20"/>
        <v>1811</v>
      </c>
      <c r="C240" s="8" t="str">
        <f t="shared" si="21"/>
        <v>1PremiumN3</v>
      </c>
      <c r="D240" s="8" t="str">
        <f t="shared" si="19"/>
        <v>1PremiumN3</v>
      </c>
      <c r="E240" s="10">
        <v>1</v>
      </c>
      <c r="F240" s="5">
        <v>208</v>
      </c>
      <c r="G240" s="8" t="str">
        <f>VLOOKUP(F240,[1]characters!$A:$C,3,FALSE)</f>
        <v>テティス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hp</v>
      </c>
      <c r="L240" s="8" t="str">
        <f>VLOOKUP(F240,[1]characters!$A:$M,13,FALSE)</f>
        <v>god</v>
      </c>
      <c r="M240" s="16">
        <f>VLOOKUP(D240,gacha_181_base!A:B,2,FALSE)</f>
        <v>13074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1811209</v>
      </c>
      <c r="B241" s="2" t="str">
        <f t="shared" si="20"/>
        <v>1811</v>
      </c>
      <c r="C241" s="8" t="str">
        <f t="shared" si="21"/>
        <v>1PremiumN4</v>
      </c>
      <c r="D241" s="8" t="str">
        <f t="shared" si="19"/>
        <v>1PremiumN4</v>
      </c>
      <c r="E241" s="10">
        <v>1</v>
      </c>
      <c r="F241" s="5">
        <v>209</v>
      </c>
      <c r="G241" s="8" t="str">
        <f>VLOOKUP(F241,[1]characters!$A:$C,3,FALSE)</f>
        <v>孤神 テティス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hp</v>
      </c>
      <c r="L241" s="8" t="str">
        <f>VLOOKUP(F241,[1]characters!$A:$M,13,FALSE)</f>
        <v>god</v>
      </c>
      <c r="M241" s="16">
        <f>VLOOKUP(D241,gacha_181_base!A:B,2,FALSE)</f>
        <v>3097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1811210</v>
      </c>
      <c r="B242" s="2" t="str">
        <f t="shared" si="20"/>
        <v>1811</v>
      </c>
      <c r="C242" s="8" t="str">
        <f t="shared" si="21"/>
        <v>1PremiumN5</v>
      </c>
      <c r="D242" s="8" t="str">
        <f t="shared" si="19"/>
        <v>1PremiumN5</v>
      </c>
      <c r="E242" s="10">
        <v>1</v>
      </c>
      <c r="F242" s="5">
        <v>210</v>
      </c>
      <c r="G242" s="8" t="str">
        <f>VLOOKUP(F242,[1]characters!$A:$C,3,FALSE)</f>
        <v>海底の孤高神 テティス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VLOOKUP(D242,gacha_181_base!A:B,2,FALSE)</f>
        <v>1032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1811211</v>
      </c>
      <c r="B243" s="2" t="str">
        <f t="shared" si="20"/>
        <v>1811</v>
      </c>
      <c r="C243" s="8" t="str">
        <f t="shared" si="21"/>
        <v>1PremiumN3</v>
      </c>
      <c r="D243" s="8" t="str">
        <f t="shared" si="19"/>
        <v>1PremiumN3</v>
      </c>
      <c r="E243" s="10">
        <v>1</v>
      </c>
      <c r="F243" s="5">
        <v>211</v>
      </c>
      <c r="G243" s="8" t="str">
        <f>VLOOKUP(F243,[1]characters!$A:$C,3,FALSE)</f>
        <v>アストライアー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god</v>
      </c>
      <c r="M243" s="16">
        <f>VLOOKUP(D243,gacha_181_base!A:B,2,FALSE)</f>
        <v>13074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1811212</v>
      </c>
      <c r="B244" s="2" t="str">
        <f t="shared" si="20"/>
        <v>1811</v>
      </c>
      <c r="C244" s="8" t="str">
        <f t="shared" si="21"/>
        <v>1PremiumN4</v>
      </c>
      <c r="D244" s="8" t="str">
        <f t="shared" si="19"/>
        <v>1PremiumN4</v>
      </c>
      <c r="E244" s="10">
        <v>1</v>
      </c>
      <c r="F244" s="5">
        <v>212</v>
      </c>
      <c r="G244" s="8" t="str">
        <f>VLOOKUP(F244,[1]characters!$A:$C,3,FALSE)</f>
        <v>星神 アストライアー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god</v>
      </c>
      <c r="M244" s="16">
        <f>VLOOKUP(D244,gacha_181_base!A:B,2,FALSE)</f>
        <v>3097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1811213</v>
      </c>
      <c r="B245" s="2" t="str">
        <f t="shared" si="20"/>
        <v>1811</v>
      </c>
      <c r="C245" s="8" t="str">
        <f t="shared" si="21"/>
        <v>1PremiumN5</v>
      </c>
      <c r="D245" s="8" t="str">
        <f t="shared" si="19"/>
        <v>1PremiumN5</v>
      </c>
      <c r="E245" s="10">
        <v>1</v>
      </c>
      <c r="F245" s="5">
        <v>213</v>
      </c>
      <c r="G245" s="8" t="str">
        <f>VLOOKUP(F245,[1]characters!$A:$C,3,FALSE)</f>
        <v>満天の星降神 アストライアー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god</v>
      </c>
      <c r="M245" s="16">
        <f>VLOOKUP(D245,gacha_181_base!A:B,2,FALSE)</f>
        <v>1032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1811214</v>
      </c>
      <c r="B246" s="2" t="str">
        <f t="shared" si="20"/>
        <v>1811</v>
      </c>
      <c r="C246" s="8" t="str">
        <f t="shared" si="21"/>
        <v>1PremiumN3</v>
      </c>
      <c r="D246" s="8" t="str">
        <f t="shared" si="19"/>
        <v>1PremiumN3</v>
      </c>
      <c r="E246" s="10">
        <v>1</v>
      </c>
      <c r="F246" s="5">
        <v>214</v>
      </c>
      <c r="G246" s="8" t="str">
        <f>VLOOKUP(F246,[1]characters!$A:$C,3,FALSE)</f>
        <v>アズラエル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16">
        <f>VLOOKUP(D246,gacha_181_base!A:B,2,FALSE)</f>
        <v>13074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1811215</v>
      </c>
      <c r="B247" s="2" t="str">
        <f t="shared" si="20"/>
        <v>1811</v>
      </c>
      <c r="C247" s="8" t="str">
        <f t="shared" si="21"/>
        <v>1PremiumN4</v>
      </c>
      <c r="D247" s="8" t="str">
        <f t="shared" si="19"/>
        <v>1PremiumN4</v>
      </c>
      <c r="E247" s="10">
        <v>1</v>
      </c>
      <c r="F247" s="5">
        <v>215</v>
      </c>
      <c r="G247" s="8" t="str">
        <f>VLOOKUP(F247,[1]characters!$A:$C,3,FALSE)</f>
        <v>死導者 アズラエル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16">
        <f>VLOOKUP(D247,gacha_181_base!A:B,2,FALSE)</f>
        <v>3097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1811216</v>
      </c>
      <c r="B248" s="2" t="str">
        <f t="shared" si="20"/>
        <v>1811</v>
      </c>
      <c r="C248" s="8" t="str">
        <f t="shared" si="21"/>
        <v>1PremiumN5</v>
      </c>
      <c r="D248" s="8" t="str">
        <f t="shared" si="19"/>
        <v>1PremiumN5</v>
      </c>
      <c r="E248" s="10">
        <v>1</v>
      </c>
      <c r="F248" s="5">
        <v>216</v>
      </c>
      <c r="G248" s="8" t="str">
        <f>VLOOKUP(F248,[1]characters!$A:$C,3,FALSE)</f>
        <v>百読の死導司書 アズラエル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16">
        <f>VLOOKUP(D248,gacha_181_base!A:B,2,FALSE)</f>
        <v>1032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1811217</v>
      </c>
      <c r="B249" s="2" t="str">
        <f t="shared" si="20"/>
        <v>1811</v>
      </c>
      <c r="C249" s="8" t="str">
        <f t="shared" si="21"/>
        <v>1PremiumN3</v>
      </c>
      <c r="D249" s="8" t="str">
        <f t="shared" si="19"/>
        <v>1PremiumN3</v>
      </c>
      <c r="E249" s="10">
        <v>1</v>
      </c>
      <c r="F249" s="5">
        <v>217</v>
      </c>
      <c r="G249" s="8" t="str">
        <f>VLOOKUP(F249,[1]characters!$A:$C,3,FALSE)</f>
        <v>ケツァクアトル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hp</v>
      </c>
      <c r="L249" s="8" t="str">
        <f>VLOOKUP(F249,[1]characters!$A:$M,13,FALSE)</f>
        <v>dragon</v>
      </c>
      <c r="M249" s="16">
        <f>VLOOKUP(D249,gacha_181_base!A:B,2,FALSE)</f>
        <v>13074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1811218</v>
      </c>
      <c r="B250" s="2" t="str">
        <f t="shared" si="20"/>
        <v>1811</v>
      </c>
      <c r="C250" s="8" t="str">
        <f t="shared" si="21"/>
        <v>1PremiumN4</v>
      </c>
      <c r="D250" s="8" t="str">
        <f t="shared" si="19"/>
        <v>1PremiumN4</v>
      </c>
      <c r="E250" s="10">
        <v>1</v>
      </c>
      <c r="F250" s="5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16">
        <f>VLOOKUP(D250,gacha_181_base!A:B,2,FALSE)</f>
        <v>3097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1811219</v>
      </c>
      <c r="B251" s="2" t="str">
        <f t="shared" si="20"/>
        <v>1811</v>
      </c>
      <c r="C251" s="8" t="str">
        <f t="shared" si="21"/>
        <v>1PremiumN5</v>
      </c>
      <c r="D251" s="8" t="str">
        <f t="shared" si="19"/>
        <v>1PremiumN5</v>
      </c>
      <c r="E251" s="10">
        <v>1</v>
      </c>
      <c r="F251" s="5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16">
        <f>VLOOKUP(D251,gacha_181_base!A:B,2,FALSE)</f>
        <v>1032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1811220</v>
      </c>
      <c r="B252" s="2" t="str">
        <f t="shared" si="20"/>
        <v>1811</v>
      </c>
      <c r="C252" s="8" t="str">
        <f t="shared" si="21"/>
        <v>1PremiumN3</v>
      </c>
      <c r="D252" s="8" t="str">
        <f t="shared" si="19"/>
        <v>1PremiumN3</v>
      </c>
      <c r="E252" s="10">
        <v>1</v>
      </c>
      <c r="F252" s="5">
        <v>220</v>
      </c>
      <c r="G252" s="8" t="str">
        <f>VLOOKUP(F252,[1]characters!$A:$C,3,FALSE)</f>
        <v>ルキフグス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VLOOKUP(D252,gacha_181_base!A:B,2,FALSE)</f>
        <v>13074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1811221</v>
      </c>
      <c r="B253" s="2" t="str">
        <f t="shared" si="20"/>
        <v>1811</v>
      </c>
      <c r="C253" s="8" t="str">
        <f t="shared" si="21"/>
        <v>1PremiumN4</v>
      </c>
      <c r="D253" s="8" t="str">
        <f t="shared" si="19"/>
        <v>1PremiumN4</v>
      </c>
      <c r="E253" s="10">
        <v>1</v>
      </c>
      <c r="F253" s="5">
        <v>221</v>
      </c>
      <c r="G253" s="8" t="str">
        <f>VLOOKUP(F253,[1]characters!$A:$C,3,FALSE)</f>
        <v>宰相 ルキフグス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VLOOKUP(D253,gacha_181_base!A:B,2,FALSE)</f>
        <v>3097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1811222</v>
      </c>
      <c r="B254" s="2" t="str">
        <f t="shared" si="20"/>
        <v>1811</v>
      </c>
      <c r="C254" s="8" t="str">
        <f t="shared" si="21"/>
        <v>1PremiumN5</v>
      </c>
      <c r="D254" s="8" t="str">
        <f t="shared" si="19"/>
        <v>1PremiumN5</v>
      </c>
      <c r="E254" s="10">
        <v>1</v>
      </c>
      <c r="F254" s="5">
        <v>222</v>
      </c>
      <c r="G254" s="8" t="str">
        <f>VLOOKUP(F254,[1]characters!$A:$C,3,FALSE)</f>
        <v>避光の鉄鎖宰相 ルキフグス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VLOOKUP(D254,gacha_181_base!A:B,2,FALSE)</f>
        <v>1032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1811223</v>
      </c>
      <c r="B255" s="2" t="str">
        <f t="shared" si="20"/>
        <v>1811</v>
      </c>
      <c r="C255" s="8" t="str">
        <f t="shared" si="21"/>
        <v>1PremiumN3</v>
      </c>
      <c r="D255" s="8" t="str">
        <f t="shared" si="19"/>
        <v>1PremiumN3</v>
      </c>
      <c r="E255" s="10">
        <v>1</v>
      </c>
      <c r="F255" s="5">
        <v>223</v>
      </c>
      <c r="G255" s="8" t="str">
        <f>VLOOKUP(F255,[1]characters!$A:$C,3,FALSE)</f>
        <v>ヘラクレス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VLOOKUP(D255,gacha_181_base!A:B,2,FALSE)</f>
        <v>13074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1811224</v>
      </c>
      <c r="B256" s="2" t="str">
        <f t="shared" si="20"/>
        <v>1811</v>
      </c>
      <c r="C256" s="8" t="str">
        <f t="shared" si="21"/>
        <v>1PremiumN4</v>
      </c>
      <c r="D256" s="8" t="str">
        <f t="shared" si="19"/>
        <v>1PremiumN4</v>
      </c>
      <c r="E256" s="10">
        <v>1</v>
      </c>
      <c r="F256" s="5">
        <v>224</v>
      </c>
      <c r="G256" s="8" t="str">
        <f>VLOOKUP(F256,[1]characters!$A:$C,3,FALSE)</f>
        <v>巨腕 ヘラクレス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VLOOKUP(D256,gacha_181_base!A:B,2,FALSE)</f>
        <v>3097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1811225</v>
      </c>
      <c r="B257" s="2" t="str">
        <f t="shared" si="20"/>
        <v>1811</v>
      </c>
      <c r="C257" s="8" t="str">
        <f t="shared" si="21"/>
        <v>1PremiumN5</v>
      </c>
      <c r="D257" s="8" t="str">
        <f t="shared" si="19"/>
        <v>1PremiumN5</v>
      </c>
      <c r="E257" s="10">
        <v>1</v>
      </c>
      <c r="F257" s="5">
        <v>225</v>
      </c>
      <c r="G257" s="8" t="str">
        <f>VLOOKUP(F257,[1]characters!$A:$C,3,FALSE)</f>
        <v>咆哮の巨獅腕 ヘラクレス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VLOOKUP(D257,gacha_181_base!A:B,2,FALSE)</f>
        <v>1032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1811226</v>
      </c>
      <c r="B258" s="2" t="str">
        <f t="shared" si="20"/>
        <v>1811</v>
      </c>
      <c r="C258" s="8" t="str">
        <f t="shared" si="21"/>
        <v>1PremiumS3</v>
      </c>
      <c r="D258" s="8" t="str">
        <f t="shared" ref="D258:D321" si="23">E258&amp;H258&amp;I258</f>
        <v>1PremiumS3</v>
      </c>
      <c r="E258" s="10">
        <v>1</v>
      </c>
      <c r="F258" s="5">
        <v>226</v>
      </c>
      <c r="G258" s="8" t="str">
        <f>VLOOKUP(F258,[1]characters!$A:$C,3,FALSE)</f>
        <v>アレス</v>
      </c>
      <c r="H258" s="8" t="str">
        <f>VLOOKUP(F258,[1]characters!$A:$J,10,FALSE)</f>
        <v>PremiumS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VLOOKUP(D258,gacha_181_base!A:B,2,FALSE)</f>
        <v>13074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1811227</v>
      </c>
      <c r="B259" s="2" t="str">
        <f t="shared" ref="B259:B322" si="24">181&amp;E259</f>
        <v>1811</v>
      </c>
      <c r="C259" s="8" t="str">
        <f t="shared" si="21"/>
        <v>1PremiumS4</v>
      </c>
      <c r="D259" s="8" t="str">
        <f t="shared" si="23"/>
        <v>1PremiumS4</v>
      </c>
      <c r="E259" s="10">
        <v>1</v>
      </c>
      <c r="F259" s="5">
        <v>227</v>
      </c>
      <c r="G259" s="8" t="str">
        <f>VLOOKUP(F259,[1]characters!$A:$C,3,FALSE)</f>
        <v>滅弾 アレス</v>
      </c>
      <c r="H259" s="8" t="str">
        <f>VLOOKUP(F259,[1]characters!$A:$J,10,FALSE)</f>
        <v>PremiumS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VLOOKUP(D259,gacha_181_base!A:B,2,FALSE)</f>
        <v>3097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1811228</v>
      </c>
      <c r="B260" s="2" t="str">
        <f t="shared" si="24"/>
        <v>1811</v>
      </c>
      <c r="C260" s="8" t="str">
        <f t="shared" si="21"/>
        <v>1PremiumS5</v>
      </c>
      <c r="D260" s="8" t="str">
        <f t="shared" si="23"/>
        <v>1PremiumS5</v>
      </c>
      <c r="E260" s="10">
        <v>1</v>
      </c>
      <c r="F260" s="5">
        <v>228</v>
      </c>
      <c r="G260" s="8" t="str">
        <f>VLOOKUP(F260,[1]characters!$A:$C,3,FALSE)</f>
        <v>殲滅の掃射砲 アレス</v>
      </c>
      <c r="H260" s="8" t="str">
        <f>VLOOKUP(F260,[1]characters!$A:$J,10,FALSE)</f>
        <v>PremiumS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VLOOKUP(D260,gacha_181_base!A:B,2,FALSE)</f>
        <v>1032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1811229</v>
      </c>
      <c r="B261" s="2" t="str">
        <f t="shared" si="24"/>
        <v>1811</v>
      </c>
      <c r="C261" s="8" t="str">
        <f t="shared" si="21"/>
        <v>1PremiumS3</v>
      </c>
      <c r="D261" s="8" t="str">
        <f t="shared" si="23"/>
        <v>1PremiumS3</v>
      </c>
      <c r="E261" s="10">
        <v>1</v>
      </c>
      <c r="F261" s="5">
        <v>229</v>
      </c>
      <c r="G261" s="8" t="str">
        <f>VLOOKUP(F261,[1]characters!$A:$C,3,FALSE)</f>
        <v>ヨルムンガンド</v>
      </c>
      <c r="H261" s="8" t="str">
        <f>VLOOKUP(F261,[1]characters!$A:$J,10,FALSE)</f>
        <v>PremiumS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technical</v>
      </c>
      <c r="L261" s="8" t="str">
        <f>VLOOKUP(F261,[1]characters!$A:$M,13,FALSE)</f>
        <v>dragon</v>
      </c>
      <c r="M261" s="16">
        <f>VLOOKUP(D261,gacha_181_base!A:B,2,FALSE)</f>
        <v>13074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1811230</v>
      </c>
      <c r="B262" s="2" t="str">
        <f t="shared" si="24"/>
        <v>1811</v>
      </c>
      <c r="C262" s="8" t="str">
        <f t="shared" si="21"/>
        <v>1PremiumS4</v>
      </c>
      <c r="D262" s="8" t="str">
        <f t="shared" si="23"/>
        <v>1PremiumS4</v>
      </c>
      <c r="E262" s="10">
        <v>1</v>
      </c>
      <c r="F262" s="5">
        <v>230</v>
      </c>
      <c r="G262" s="8" t="str">
        <f>VLOOKUP(F262,[1]characters!$A:$C,3,FALSE)</f>
        <v>毒銃 ヨルムンガンド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technical</v>
      </c>
      <c r="L262" s="8" t="str">
        <f>VLOOKUP(F262,[1]characters!$A:$M,13,FALSE)</f>
        <v>dragon</v>
      </c>
      <c r="M262" s="16">
        <f>VLOOKUP(D262,gacha_181_base!A:B,2,FALSE)</f>
        <v>3097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1811231</v>
      </c>
      <c r="B263" s="2" t="str">
        <f t="shared" si="24"/>
        <v>1811</v>
      </c>
      <c r="C263" s="8" t="str">
        <f t="shared" si="21"/>
        <v>1PremiumS5</v>
      </c>
      <c r="D263" s="8" t="str">
        <f t="shared" si="23"/>
        <v>1PremiumS5</v>
      </c>
      <c r="E263" s="10">
        <v>1</v>
      </c>
      <c r="F263" s="5">
        <v>231</v>
      </c>
      <c r="G263" s="8" t="str">
        <f>VLOOKUP(F263,[1]characters!$A:$C,3,FALSE)</f>
        <v>必中の咬銃 ヨルムンガンド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technical</v>
      </c>
      <c r="L263" s="8" t="str">
        <f>VLOOKUP(F263,[1]characters!$A:$M,13,FALSE)</f>
        <v>dragon</v>
      </c>
      <c r="M263" s="16">
        <f>VLOOKUP(D263,gacha_181_base!A:B,2,FALSE)</f>
        <v>1032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1811232</v>
      </c>
      <c r="B264" s="2" t="str">
        <f t="shared" si="24"/>
        <v>1811</v>
      </c>
      <c r="C264" s="8" t="str">
        <f t="shared" si="21"/>
        <v>1PremiumS3</v>
      </c>
      <c r="D264" s="8" t="str">
        <f t="shared" si="23"/>
        <v>1PremiumS3</v>
      </c>
      <c r="E264" s="10">
        <v>1</v>
      </c>
      <c r="F264" s="5">
        <v>232</v>
      </c>
      <c r="G264" s="8" t="str">
        <f>VLOOKUP(F264,[1]characters!$A:$C,3,FALSE)</f>
        <v>パーシヴァル</v>
      </c>
      <c r="H264" s="8" t="str">
        <f>VLOOKUP(F264,[1]characters!$A:$J,10,FALSE)</f>
        <v>PremiumS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technical</v>
      </c>
      <c r="L264" s="8" t="str">
        <f>VLOOKUP(F264,[1]characters!$A:$M,13,FALSE)</f>
        <v>human</v>
      </c>
      <c r="M264" s="16">
        <f>VLOOKUP(D264,gacha_181_base!A:B,2,FALSE)</f>
        <v>13074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1811233</v>
      </c>
      <c r="B265" s="2" t="str">
        <f t="shared" si="24"/>
        <v>1811</v>
      </c>
      <c r="C265" s="8" t="str">
        <f t="shared" si="21"/>
        <v>1PremiumS4</v>
      </c>
      <c r="D265" s="8" t="str">
        <f t="shared" si="23"/>
        <v>1PremiumS4</v>
      </c>
      <c r="E265" s="10">
        <v>1</v>
      </c>
      <c r="F265" s="5">
        <v>233</v>
      </c>
      <c r="G265" s="8" t="str">
        <f>VLOOKUP(F265,[1]characters!$A:$C,3,FALSE)</f>
        <v>遂行 パーシヴァル</v>
      </c>
      <c r="H265" s="8" t="str">
        <f>VLOOKUP(F265,[1]characters!$A:$J,10,FALSE)</f>
        <v>PremiumS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technical</v>
      </c>
      <c r="L265" s="8" t="str">
        <f>VLOOKUP(F265,[1]characters!$A:$M,13,FALSE)</f>
        <v>human</v>
      </c>
      <c r="M265" s="16">
        <f>VLOOKUP(D265,gacha_181_base!A:B,2,FALSE)</f>
        <v>3097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1811234</v>
      </c>
      <c r="B266" s="2" t="str">
        <f t="shared" si="24"/>
        <v>1811</v>
      </c>
      <c r="C266" s="8" t="str">
        <f t="shared" si="21"/>
        <v>1PremiumS5</v>
      </c>
      <c r="D266" s="8" t="str">
        <f t="shared" si="23"/>
        <v>1PremiumS5</v>
      </c>
      <c r="E266" s="10">
        <v>1</v>
      </c>
      <c r="F266" s="5">
        <v>234</v>
      </c>
      <c r="G266" s="8" t="str">
        <f>VLOOKUP(F266,[1]characters!$A:$C,3,FALSE)</f>
        <v>精密なる照準 パーシヴァル</v>
      </c>
      <c r="H266" s="8" t="str">
        <f>VLOOKUP(F266,[1]characters!$A:$J,10,FALSE)</f>
        <v>PremiumS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technical</v>
      </c>
      <c r="L266" s="8" t="str">
        <f>VLOOKUP(F266,[1]characters!$A:$M,13,FALSE)</f>
        <v>human</v>
      </c>
      <c r="M266" s="16">
        <f>VLOOKUP(D266,gacha_181_base!A:B,2,FALSE)</f>
        <v>1032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1811235</v>
      </c>
      <c r="B267" s="2" t="str">
        <f t="shared" si="24"/>
        <v>1811</v>
      </c>
      <c r="C267" s="8" t="str">
        <f t="shared" si="21"/>
        <v>1PremiumS3</v>
      </c>
      <c r="D267" s="8" t="str">
        <f t="shared" si="23"/>
        <v>1PremiumS3</v>
      </c>
      <c r="E267" s="10">
        <v>1</v>
      </c>
      <c r="F267" s="5">
        <v>235</v>
      </c>
      <c r="G267" s="8" t="str">
        <f>VLOOKUP(F267,[1]characters!$A:$C,3,FALSE)</f>
        <v>イザナミ</v>
      </c>
      <c r="H267" s="8" t="str">
        <f>VLOOKUP(F267,[1]characters!$A:$J,10,FALSE)</f>
        <v>PremiumS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VLOOKUP(D267,gacha_181_base!A:B,2,FALSE)</f>
        <v>13074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1811236</v>
      </c>
      <c r="B268" s="2" t="str">
        <f t="shared" si="24"/>
        <v>1811</v>
      </c>
      <c r="C268" s="8" t="str">
        <f t="shared" si="21"/>
        <v>1PremiumS4</v>
      </c>
      <c r="D268" s="8" t="str">
        <f t="shared" si="23"/>
        <v>1PremiumS4</v>
      </c>
      <c r="E268" s="10">
        <v>1</v>
      </c>
      <c r="F268" s="5">
        <v>236</v>
      </c>
      <c r="G268" s="8" t="str">
        <f>VLOOKUP(F268,[1]characters!$A:$C,3,FALSE)</f>
        <v>神産 イザナミ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VLOOKUP(D268,gacha_181_base!A:B,2,FALSE)</f>
        <v>3097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1811237</v>
      </c>
      <c r="B269" s="2" t="str">
        <f t="shared" si="24"/>
        <v>1811</v>
      </c>
      <c r="C269" s="8" t="str">
        <f t="shared" si="21"/>
        <v>1PremiumS5</v>
      </c>
      <c r="D269" s="8" t="str">
        <f t="shared" si="23"/>
        <v>1PremiumS5</v>
      </c>
      <c r="E269" s="10">
        <v>1</v>
      </c>
      <c r="F269" s="5">
        <v>237</v>
      </c>
      <c r="G269" s="8" t="str">
        <f>VLOOKUP(F269,[1]characters!$A:$C,3,FALSE)</f>
        <v>森羅万象の神母 イザナミ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attack</v>
      </c>
      <c r="L269" s="8" t="str">
        <f>VLOOKUP(F269,[1]characters!$A:$M,13,FALSE)</f>
        <v>god</v>
      </c>
      <c r="M269" s="16">
        <f>VLOOKUP(D269,gacha_181_base!A:B,2,FALSE)</f>
        <v>1032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1811238</v>
      </c>
      <c r="B270" s="2" t="str">
        <f t="shared" si="24"/>
        <v>1811</v>
      </c>
      <c r="C270" s="8" t="str">
        <f t="shared" si="21"/>
        <v>1PremiumS3</v>
      </c>
      <c r="D270" s="8" t="str">
        <f t="shared" si="23"/>
        <v>1PremiumS3</v>
      </c>
      <c r="E270" s="10">
        <v>1</v>
      </c>
      <c r="F270" s="5">
        <v>238</v>
      </c>
      <c r="G270" s="8" t="str">
        <f>VLOOKUP(F270,[1]characters!$A:$C,3,FALSE)</f>
        <v>ウリエル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hp</v>
      </c>
      <c r="L270" s="8" t="str">
        <f>VLOOKUP(F270,[1]characters!$A:$M,13,FALSE)</f>
        <v>machine</v>
      </c>
      <c r="M270" s="16">
        <f>VLOOKUP(D270,gacha_181_base!A:B,2,FALSE)</f>
        <v>13074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1811239</v>
      </c>
      <c r="B271" s="2" t="str">
        <f t="shared" si="24"/>
        <v>1811</v>
      </c>
      <c r="C271" s="8" t="str">
        <f t="shared" si="21"/>
        <v>1PremiumS4</v>
      </c>
      <c r="D271" s="8" t="str">
        <f t="shared" si="23"/>
        <v>1PremiumS4</v>
      </c>
      <c r="E271" s="10">
        <v>1</v>
      </c>
      <c r="F271" s="5">
        <v>239</v>
      </c>
      <c r="G271" s="8" t="str">
        <f>VLOOKUP(F271,[1]characters!$A:$C,3,FALSE)</f>
        <v>豪炎の天使 ウリエル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hp</v>
      </c>
      <c r="L271" s="8" t="str">
        <f>VLOOKUP(F271,[1]characters!$A:$M,13,FALSE)</f>
        <v>machine</v>
      </c>
      <c r="M271" s="16">
        <f>VLOOKUP(D271,gacha_181_base!A:B,2,FALSE)</f>
        <v>3097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1811240</v>
      </c>
      <c r="B272" s="2" t="str">
        <f t="shared" si="24"/>
        <v>1811</v>
      </c>
      <c r="C272" s="8" t="str">
        <f t="shared" si="21"/>
        <v>1PremiumS5</v>
      </c>
      <c r="D272" s="8" t="str">
        <f t="shared" si="23"/>
        <v>1PremiumS5</v>
      </c>
      <c r="E272" s="10">
        <v>1</v>
      </c>
      <c r="F272" s="5">
        <v>240</v>
      </c>
      <c r="G272" s="8" t="str">
        <f>VLOOKUP(F272,[1]characters!$A:$C,3,FALSE)</f>
        <v>轟炎の天使 ウリエル・スレイヤー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hp</v>
      </c>
      <c r="L272" s="8" t="str">
        <f>VLOOKUP(F272,[1]characters!$A:$M,13,FALSE)</f>
        <v>machine</v>
      </c>
      <c r="M272" s="16">
        <f>VLOOKUP(D272,gacha_181_base!A:B,2,FALSE)</f>
        <v>1032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1811241</v>
      </c>
      <c r="B273" s="2" t="str">
        <f t="shared" si="24"/>
        <v>1811</v>
      </c>
      <c r="C273" s="8" t="str">
        <f t="shared" si="21"/>
        <v>1PremiumS3</v>
      </c>
      <c r="D273" s="8" t="str">
        <f t="shared" si="23"/>
        <v>1PremiumS3</v>
      </c>
      <c r="E273" s="10">
        <v>1</v>
      </c>
      <c r="F273" s="5">
        <v>241</v>
      </c>
      <c r="G273" s="8" t="str">
        <f>VLOOKUP(F273,[1]characters!$A:$C,3,FALSE)</f>
        <v>ガブリエル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balance</v>
      </c>
      <c r="L273" s="8" t="str">
        <f>VLOOKUP(F273,[1]characters!$A:$M,13,FALSE)</f>
        <v>machine</v>
      </c>
      <c r="M273" s="16">
        <f>VLOOKUP(D273,gacha_181_base!A:B,2,FALSE)</f>
        <v>13074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1811242</v>
      </c>
      <c r="B274" s="2" t="str">
        <f t="shared" si="24"/>
        <v>1811</v>
      </c>
      <c r="C274" s="8" t="str">
        <f t="shared" si="21"/>
        <v>1PremiumS4</v>
      </c>
      <c r="D274" s="8" t="str">
        <f t="shared" si="23"/>
        <v>1PremiumS4</v>
      </c>
      <c r="E274" s="10">
        <v>1</v>
      </c>
      <c r="F274" s="5">
        <v>242</v>
      </c>
      <c r="G274" s="8" t="str">
        <f>VLOOKUP(F274,[1]characters!$A:$C,3,FALSE)</f>
        <v>百花の天使 ガブリエル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machine</v>
      </c>
      <c r="M274" s="16">
        <f>VLOOKUP(D274,gacha_181_base!A:B,2,FALSE)</f>
        <v>3097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1811243</v>
      </c>
      <c r="B275" s="2" t="str">
        <f t="shared" si="24"/>
        <v>1811</v>
      </c>
      <c r="C275" s="8" t="str">
        <f t="shared" si="21"/>
        <v>1PremiumS5</v>
      </c>
      <c r="D275" s="8" t="str">
        <f t="shared" si="23"/>
        <v>1PremiumS5</v>
      </c>
      <c r="E275" s="10">
        <v>1</v>
      </c>
      <c r="F275" s="5">
        <v>243</v>
      </c>
      <c r="G275" s="8" t="str">
        <f>VLOOKUP(F275,[1]characters!$A:$C,3,FALSE)</f>
        <v>万花の天使 ガブリエル・ブルーム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machine</v>
      </c>
      <c r="M275" s="16">
        <f>VLOOKUP(D275,gacha_181_base!A:B,2,FALSE)</f>
        <v>1032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1811244</v>
      </c>
      <c r="B276" s="2" t="str">
        <f t="shared" si="24"/>
        <v>1811</v>
      </c>
      <c r="C276" s="8" t="str">
        <f t="shared" si="21"/>
        <v>1PremiumS3</v>
      </c>
      <c r="D276" s="8" t="str">
        <f t="shared" si="23"/>
        <v>1PremiumS3</v>
      </c>
      <c r="E276" s="10">
        <v>1</v>
      </c>
      <c r="F276" s="5">
        <v>244</v>
      </c>
      <c r="G276" s="8" t="str">
        <f>VLOOKUP(F276,[1]characters!$A:$C,3,FALSE)</f>
        <v>ラファエル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VLOOKUP(D276,gacha_181_base!A:B,2,FALSE)</f>
        <v>13074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1811245</v>
      </c>
      <c r="B277" s="2" t="str">
        <f t="shared" si="24"/>
        <v>1811</v>
      </c>
      <c r="C277" s="8" t="str">
        <f t="shared" si="21"/>
        <v>1PremiumS4</v>
      </c>
      <c r="D277" s="8" t="str">
        <f t="shared" si="23"/>
        <v>1PremiumS4</v>
      </c>
      <c r="E277" s="10">
        <v>1</v>
      </c>
      <c r="F277" s="5">
        <v>245</v>
      </c>
      <c r="G277" s="8" t="str">
        <f>VLOOKUP(F277,[1]characters!$A:$C,3,FALSE)</f>
        <v>鎮癒の天使 ラファエル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VLOOKUP(D277,gacha_181_base!A:B,2,FALSE)</f>
        <v>3097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1811246</v>
      </c>
      <c r="B278" s="2" t="str">
        <f t="shared" si="24"/>
        <v>1811</v>
      </c>
      <c r="C278" s="8" t="str">
        <f t="shared" si="21"/>
        <v>1PremiumS5</v>
      </c>
      <c r="D278" s="8" t="str">
        <f t="shared" si="23"/>
        <v>1PremiumS5</v>
      </c>
      <c r="E278" s="10">
        <v>1</v>
      </c>
      <c r="F278" s="5">
        <v>246</v>
      </c>
      <c r="G278" s="8" t="str">
        <f>VLOOKUP(F278,[1]characters!$A:$C,3,FALSE)</f>
        <v>真癒の天使 ラファエル・メディカ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VLOOKUP(D278,gacha_181_base!A:B,2,FALSE)</f>
        <v>1032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1811247</v>
      </c>
      <c r="B279" s="2" t="str">
        <f t="shared" si="24"/>
        <v>1811</v>
      </c>
      <c r="C279" s="8" t="str">
        <f t="shared" si="21"/>
        <v>1PremiumS3</v>
      </c>
      <c r="D279" s="8" t="str">
        <f t="shared" si="23"/>
        <v>1PremiumS3</v>
      </c>
      <c r="E279" s="10">
        <v>1</v>
      </c>
      <c r="F279" s="5">
        <v>247</v>
      </c>
      <c r="G279" s="8" t="str">
        <f>VLOOKUP(F279,[1]characters!$A:$C,3,FALSE)</f>
        <v>ミカエル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machine</v>
      </c>
      <c r="M279" s="16">
        <f>VLOOKUP(D279,gacha_181_base!A:B,2,FALSE)</f>
        <v>13074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1811248</v>
      </c>
      <c r="B280" s="2" t="str">
        <f t="shared" si="24"/>
        <v>1811</v>
      </c>
      <c r="C280" s="8" t="str">
        <f t="shared" si="21"/>
        <v>1PremiumS4</v>
      </c>
      <c r="D280" s="8" t="str">
        <f t="shared" si="23"/>
        <v>1PremiumS4</v>
      </c>
      <c r="E280" s="10">
        <v>1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VLOOKUP(D280,gacha_181_base!A:B,2,FALSE)</f>
        <v>3097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1811249</v>
      </c>
      <c r="B281" s="2" t="str">
        <f t="shared" si="24"/>
        <v>1811</v>
      </c>
      <c r="C281" s="8" t="str">
        <f t="shared" si="21"/>
        <v>1PremiumS5</v>
      </c>
      <c r="D281" s="8" t="str">
        <f t="shared" si="23"/>
        <v>1PremiumS5</v>
      </c>
      <c r="E281" s="10">
        <v>1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VLOOKUP(D281,gacha_181_base!A:B,2,FALSE)</f>
        <v>1032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1811250</v>
      </c>
      <c r="B282" s="2" t="str">
        <f t="shared" si="24"/>
        <v>1811</v>
      </c>
      <c r="C282" s="8" t="str">
        <f t="shared" si="21"/>
        <v>1PremiumS3</v>
      </c>
      <c r="D282" s="8" t="str">
        <f t="shared" si="23"/>
        <v>1PremiumS3</v>
      </c>
      <c r="E282" s="10">
        <v>1</v>
      </c>
      <c r="F282" s="6">
        <v>250</v>
      </c>
      <c r="G282" s="8" t="str">
        <f>VLOOKUP(F282,[1]characters!$A:$C,3,FALSE)</f>
        <v>マンモン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VLOOKUP(D282,gacha_181_base!A:B,2,FALSE)</f>
        <v>13074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1811251</v>
      </c>
      <c r="B283" s="2" t="str">
        <f t="shared" si="24"/>
        <v>1811</v>
      </c>
      <c r="C283" s="8" t="str">
        <f t="shared" si="21"/>
        <v>1PremiumS4</v>
      </c>
      <c r="D283" s="8" t="str">
        <f t="shared" si="23"/>
        <v>1PremiumS4</v>
      </c>
      <c r="E283" s="10">
        <v>1</v>
      </c>
      <c r="F283" s="6">
        <v>251</v>
      </c>
      <c r="G283" s="8" t="str">
        <f>VLOOKUP(F283,[1]characters!$A:$C,3,FALSE)</f>
        <v>強欲 マンモン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VLOOKUP(D283,gacha_181_base!A:B,2,FALSE)</f>
        <v>3097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1811252</v>
      </c>
      <c r="B284" s="2" t="str">
        <f t="shared" si="24"/>
        <v>1811</v>
      </c>
      <c r="C284" s="8" t="str">
        <f t="shared" si="21"/>
        <v>1PremiumS5</v>
      </c>
      <c r="D284" s="8" t="str">
        <f t="shared" si="23"/>
        <v>1PremiumS5</v>
      </c>
      <c r="E284" s="10">
        <v>1</v>
      </c>
      <c r="F284" s="6">
        <v>252</v>
      </c>
      <c r="G284" s="8" t="str">
        <f>VLOOKUP(F284,[1]characters!$A:$C,3,FALSE)</f>
        <v>強欲の沸騰 マンモン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balance</v>
      </c>
      <c r="L284" s="8" t="str">
        <f>VLOOKUP(F284,[1]characters!$A:$M,13,FALSE)</f>
        <v>god</v>
      </c>
      <c r="M284" s="16">
        <f>VLOOKUP(D284,gacha_181_base!A:B,2,FALSE)</f>
        <v>1032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1811253</v>
      </c>
      <c r="B285" s="2" t="str">
        <f t="shared" si="24"/>
        <v>1811</v>
      </c>
      <c r="C285" s="8" t="str">
        <f t="shared" si="21"/>
        <v>1PremiumS3</v>
      </c>
      <c r="D285" s="8" t="str">
        <f t="shared" si="23"/>
        <v>1PremiumS3</v>
      </c>
      <c r="E285" s="10">
        <v>1</v>
      </c>
      <c r="F285" s="6">
        <v>253</v>
      </c>
      <c r="G285" s="8" t="str">
        <f>VLOOKUP(F285,[1]characters!$A:$C,3,FALSE)</f>
        <v>ベルフェゴール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VLOOKUP(D285,gacha_181_base!A:B,2,FALSE)</f>
        <v>13074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1811254</v>
      </c>
      <c r="B286" s="2" t="str">
        <f t="shared" si="24"/>
        <v>1811</v>
      </c>
      <c r="C286" s="8" t="str">
        <f t="shared" ref="C286:C349" si="25">E286&amp;H286&amp;I286</f>
        <v>1PremiumS4</v>
      </c>
      <c r="D286" s="8" t="str">
        <f t="shared" si="23"/>
        <v>1PremiumS4</v>
      </c>
      <c r="E286" s="10">
        <v>1</v>
      </c>
      <c r="F286" s="6">
        <v>254</v>
      </c>
      <c r="G286" s="8" t="str">
        <f>VLOOKUP(F286,[1]characters!$A:$C,3,FALSE)</f>
        <v>怠惰 ベルフェゴール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god</v>
      </c>
      <c r="M286" s="16">
        <f>VLOOKUP(D286,gacha_181_base!A:B,2,FALSE)</f>
        <v>3097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ref="A287:A350" si="26">B287&amp;F287</f>
        <v>1811255</v>
      </c>
      <c r="B287" s="2" t="str">
        <f t="shared" si="24"/>
        <v>1811</v>
      </c>
      <c r="C287" s="8" t="str">
        <f t="shared" si="25"/>
        <v>1PremiumS5</v>
      </c>
      <c r="D287" s="8" t="str">
        <f t="shared" si="23"/>
        <v>1PremiumS5</v>
      </c>
      <c r="E287" s="10">
        <v>1</v>
      </c>
      <c r="F287" s="6">
        <v>255</v>
      </c>
      <c r="G287" s="8" t="str">
        <f>VLOOKUP(F287,[1]characters!$A:$C,3,FALSE)</f>
        <v>怠惰の頂点 ベルフェゴール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god</v>
      </c>
      <c r="M287" s="16">
        <f>VLOOKUP(D287,gacha_181_base!A:B,2,FALSE)</f>
        <v>1032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1811256</v>
      </c>
      <c r="B288" s="2" t="str">
        <f t="shared" si="24"/>
        <v>1811</v>
      </c>
      <c r="C288" s="8" t="str">
        <f t="shared" si="25"/>
        <v>1PremiumS3</v>
      </c>
      <c r="D288" s="8" t="str">
        <f t="shared" si="23"/>
        <v>1PremiumS3</v>
      </c>
      <c r="E288" s="10">
        <v>1</v>
      </c>
      <c r="F288" s="6">
        <v>256</v>
      </c>
      <c r="G288" s="8" t="str">
        <f>VLOOKUP(F288,[1]characters!$A:$C,3,FALSE)</f>
        <v>アスモデウス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attack</v>
      </c>
      <c r="L288" s="8" t="str">
        <f>VLOOKUP(F288,[1]characters!$A:$M,13,FALSE)</f>
        <v>god</v>
      </c>
      <c r="M288" s="16">
        <f>VLOOKUP(D288,gacha_181_base!A:B,2,FALSE)</f>
        <v>13074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1811257</v>
      </c>
      <c r="B289" s="2" t="str">
        <f t="shared" si="24"/>
        <v>1811</v>
      </c>
      <c r="C289" s="8" t="str">
        <f t="shared" si="25"/>
        <v>1PremiumS4</v>
      </c>
      <c r="D289" s="8" t="str">
        <f t="shared" si="23"/>
        <v>1PremiumS4</v>
      </c>
      <c r="E289" s="10">
        <v>1</v>
      </c>
      <c r="F289" s="6">
        <v>257</v>
      </c>
      <c r="G289" s="8" t="str">
        <f>VLOOKUP(F289,[1]characters!$A:$C,3,FALSE)</f>
        <v>色欲 アスモデウス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attack</v>
      </c>
      <c r="L289" s="8" t="str">
        <f>VLOOKUP(F289,[1]characters!$A:$M,13,FALSE)</f>
        <v>god</v>
      </c>
      <c r="M289" s="16">
        <f>VLOOKUP(D289,gacha_181_base!A:B,2,FALSE)</f>
        <v>3097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1811258</v>
      </c>
      <c r="B290" s="2" t="str">
        <f t="shared" si="24"/>
        <v>1811</v>
      </c>
      <c r="C290" s="8" t="str">
        <f t="shared" si="25"/>
        <v>1PremiumS5</v>
      </c>
      <c r="D290" s="8" t="str">
        <f t="shared" si="23"/>
        <v>1PremiumS5</v>
      </c>
      <c r="E290" s="10">
        <v>1</v>
      </c>
      <c r="F290" s="6">
        <v>258</v>
      </c>
      <c r="G290" s="8" t="str">
        <f>VLOOKUP(F290,[1]characters!$A:$C,3,FALSE)</f>
        <v>色欲の源流 アスモデウス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16">
        <f>VLOOKUP(D290,gacha_181_base!A:B,2,FALSE)</f>
        <v>1032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6"/>
        <v>1811259</v>
      </c>
      <c r="B291" s="2" t="str">
        <f t="shared" si="24"/>
        <v>1811</v>
      </c>
      <c r="C291" s="8" t="str">
        <f t="shared" si="25"/>
        <v>1PremiumS3</v>
      </c>
      <c r="D291" s="8" t="str">
        <f t="shared" si="23"/>
        <v>1PremiumS3</v>
      </c>
      <c r="E291" s="10">
        <v>1</v>
      </c>
      <c r="F291" s="6">
        <v>259</v>
      </c>
      <c r="G291" s="8" t="str">
        <f>VLOOKUP(F291,[1]characters!$A:$C,3,FALSE)</f>
        <v>ウロボロス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dragon</v>
      </c>
      <c r="M291" s="16">
        <f>VLOOKUP(D291,gacha_181_base!A:B,2,FALSE)</f>
        <v>13074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6"/>
        <v>1811260</v>
      </c>
      <c r="B292" s="2" t="str">
        <f t="shared" si="24"/>
        <v>1811</v>
      </c>
      <c r="C292" s="8" t="str">
        <f t="shared" si="25"/>
        <v>1PremiumS4</v>
      </c>
      <c r="D292" s="8" t="str">
        <f t="shared" si="23"/>
        <v>1PremiumS4</v>
      </c>
      <c r="E292" s="10">
        <v>1</v>
      </c>
      <c r="F292" s="9">
        <v>260</v>
      </c>
      <c r="G292" s="8" t="str">
        <f>VLOOKUP(F292,[1]characters!$A:$C,3,FALSE)</f>
        <v>輪廻 ウロボロス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16">
        <f>VLOOKUP(D292,gacha_181_base!A:B,2,FALSE)</f>
        <v>3097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6"/>
        <v>1811261</v>
      </c>
      <c r="B293" s="2" t="str">
        <f t="shared" si="24"/>
        <v>1811</v>
      </c>
      <c r="C293" s="8" t="str">
        <f t="shared" si="25"/>
        <v>1PremiumS5</v>
      </c>
      <c r="D293" s="8" t="str">
        <f t="shared" si="23"/>
        <v>1PremiumS5</v>
      </c>
      <c r="E293" s="10">
        <v>1</v>
      </c>
      <c r="F293" s="9">
        <v>261</v>
      </c>
      <c r="G293" s="8" t="str">
        <f>VLOOKUP(F293,[1]characters!$A:$C,3,FALSE)</f>
        <v>輪廻の蛇龍 ウロボロス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16">
        <f>VLOOKUP(D293,gacha_181_base!A:B,2,FALSE)</f>
        <v>1032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6"/>
        <v>1811320</v>
      </c>
      <c r="B294" s="2" t="str">
        <f t="shared" si="24"/>
        <v>1811</v>
      </c>
      <c r="C294" s="8" t="str">
        <f t="shared" si="25"/>
        <v>1PremiumSS4</v>
      </c>
      <c r="D294" s="8" t="str">
        <f t="shared" si="23"/>
        <v>1PremiumSS4</v>
      </c>
      <c r="E294" s="10">
        <v>1</v>
      </c>
      <c r="F294" s="6">
        <v>320</v>
      </c>
      <c r="G294" s="8" t="str">
        <f>VLOOKUP(F294,[1]characters!$A:$C,3,FALSE)</f>
        <v>烈志士 近藤勇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human</v>
      </c>
      <c r="M294" s="16">
        <f>VLOOKUP(D294,gacha_181_base!A:B,2,FALSE)</f>
        <v>1103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6"/>
        <v>1811321</v>
      </c>
      <c r="B295" s="2" t="str">
        <f t="shared" si="24"/>
        <v>1811</v>
      </c>
      <c r="C295" s="8" t="str">
        <f t="shared" si="25"/>
        <v>1PremiumSS5</v>
      </c>
      <c r="D295" s="8" t="str">
        <f t="shared" si="23"/>
        <v>1PremiumSS5</v>
      </c>
      <c r="E295" s="10">
        <v>1</v>
      </c>
      <c r="F295" s="6">
        <v>321</v>
      </c>
      <c r="G295" s="8" t="str">
        <f>VLOOKUP(F295,[1]characters!$A:$C,3,FALSE)</f>
        <v>巌鉄の烈志士 近藤勇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human</v>
      </c>
      <c r="M295" s="16">
        <f>VLOOKUP(D295,gacha_181_base!A:B,2,FALSE)</f>
        <v>70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6"/>
        <v>1811322</v>
      </c>
      <c r="B296" s="2" t="str">
        <f t="shared" si="24"/>
        <v>1811</v>
      </c>
      <c r="C296" s="8" t="str">
        <f t="shared" si="25"/>
        <v>1PremiumSS4</v>
      </c>
      <c r="D296" s="8" t="str">
        <f t="shared" si="23"/>
        <v>1PremiumSS4</v>
      </c>
      <c r="E296" s="10">
        <v>1</v>
      </c>
      <c r="F296" s="6">
        <v>322</v>
      </c>
      <c r="G296" s="8" t="str">
        <f>VLOOKUP(F296,[1]characters!$A:$C,3,FALSE)</f>
        <v>愛志士 土方歳三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green</v>
      </c>
      <c r="K296" s="8" t="str">
        <f>VLOOKUP(F296,[1]characters!$A:$K,11,FALSE)</f>
        <v>attack</v>
      </c>
      <c r="L296" s="8" t="str">
        <f>VLOOKUP(F296,[1]characters!$A:$M,13,FALSE)</f>
        <v>human</v>
      </c>
      <c r="M296" s="16">
        <f>VLOOKUP(D296,gacha_181_base!A:B,2,FALSE)</f>
        <v>1103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6"/>
        <v>1811323</v>
      </c>
      <c r="B297" s="2" t="str">
        <f t="shared" si="24"/>
        <v>1811</v>
      </c>
      <c r="C297" s="8" t="str">
        <f t="shared" si="25"/>
        <v>1PremiumSS5</v>
      </c>
      <c r="D297" s="8" t="str">
        <f t="shared" si="23"/>
        <v>1PremiumSS5</v>
      </c>
      <c r="E297" s="10">
        <v>1</v>
      </c>
      <c r="F297" s="6">
        <v>323</v>
      </c>
      <c r="G297" s="8" t="str">
        <f>VLOOKUP(F297,[1]characters!$A:$C,3,FALSE)</f>
        <v>流麗の愛志士 土方歳三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green</v>
      </c>
      <c r="K297" s="8" t="str">
        <f>VLOOKUP(F297,[1]characters!$A:$K,11,FALSE)</f>
        <v>attack</v>
      </c>
      <c r="L297" s="8" t="str">
        <f>VLOOKUP(F297,[1]characters!$A:$M,13,FALSE)</f>
        <v>human</v>
      </c>
      <c r="M297" s="16">
        <f>VLOOKUP(D297,gacha_181_base!A:B,2,FALSE)</f>
        <v>70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1811324</v>
      </c>
      <c r="B298" s="2" t="str">
        <f t="shared" si="24"/>
        <v>1811</v>
      </c>
      <c r="C298" s="8" t="str">
        <f t="shared" si="25"/>
        <v>1PremiumSS4</v>
      </c>
      <c r="D298" s="8" t="str">
        <f t="shared" si="23"/>
        <v>1PremiumSS4</v>
      </c>
      <c r="E298" s="10">
        <v>1</v>
      </c>
      <c r="F298" s="6">
        <v>324</v>
      </c>
      <c r="G298" s="8" t="str">
        <f>VLOOKUP(F298,[1]characters!$A:$C,3,FALSE)</f>
        <v>凛志士 沖田総司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16">
        <f>VLOOKUP(D298,gacha_181_base!A:B,2,FALSE)</f>
        <v>1103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s="14" customFormat="1" ht="21" customHeight="1" thickBot="1">
      <c r="A299" s="7" t="str">
        <f t="shared" si="26"/>
        <v>1811325</v>
      </c>
      <c r="B299" s="2" t="str">
        <f t="shared" si="24"/>
        <v>1811</v>
      </c>
      <c r="C299" s="8" t="str">
        <f t="shared" si="25"/>
        <v>1PremiumSS5</v>
      </c>
      <c r="D299" s="8" t="str">
        <f t="shared" si="23"/>
        <v>1PremiumSS5</v>
      </c>
      <c r="E299" s="10">
        <v>1</v>
      </c>
      <c r="F299" s="6">
        <v>325</v>
      </c>
      <c r="G299" s="8" t="str">
        <f>VLOOKUP(F299,[1]characters!$A:$C,3,FALSE)</f>
        <v>天賦の凛志士 沖田総司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16">
        <f>VLOOKUP(D299,gacha_181_base!A:B,2,FALSE)</f>
        <v>70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1811326</v>
      </c>
      <c r="B300" s="2" t="str">
        <f t="shared" si="24"/>
        <v>1811</v>
      </c>
      <c r="C300" s="8" t="str">
        <f t="shared" si="25"/>
        <v>1PremiumSS4</v>
      </c>
      <c r="D300" s="8" t="str">
        <f t="shared" si="23"/>
        <v>1PremiumSS4</v>
      </c>
      <c r="E300" s="10">
        <v>1</v>
      </c>
      <c r="F300" s="6">
        <v>326</v>
      </c>
      <c r="G300" s="8" t="str">
        <f>VLOOKUP(F300,[1]characters!$A:$C,3,FALSE)</f>
        <v>妖志士 斎藤一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VLOOKUP(D300,gacha_181_base!A:B,2,FALSE)</f>
        <v>1103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1811327</v>
      </c>
      <c r="B301" s="2" t="str">
        <f t="shared" si="24"/>
        <v>1811</v>
      </c>
      <c r="C301" s="8" t="str">
        <f t="shared" si="25"/>
        <v>1PremiumSS5</v>
      </c>
      <c r="D301" s="8" t="str">
        <f t="shared" si="23"/>
        <v>1PremiumSS5</v>
      </c>
      <c r="E301" s="10">
        <v>1</v>
      </c>
      <c r="F301" s="6">
        <v>327</v>
      </c>
      <c r="G301" s="8" t="str">
        <f>VLOOKUP(F301,[1]characters!$A:$C,3,FALSE)</f>
        <v>千殺の妖志士 斎藤一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VLOOKUP(D301,gacha_181_base!A:B,2,FALSE)</f>
        <v>70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1811380</v>
      </c>
      <c r="B302" s="2" t="str">
        <f t="shared" si="24"/>
        <v>1811</v>
      </c>
      <c r="C302" s="8" t="str">
        <f t="shared" si="25"/>
        <v>1PremiumS3</v>
      </c>
      <c r="D302" s="8" t="str">
        <f t="shared" si="23"/>
        <v>1PremiumS3</v>
      </c>
      <c r="E302" s="10">
        <v>1</v>
      </c>
      <c r="F302" s="6">
        <v>380</v>
      </c>
      <c r="G302" s="8" t="str">
        <f>VLOOKUP(F302,[1]characters!$A:$C,3,FALSE)</f>
        <v>バハムート</v>
      </c>
      <c r="H302" s="8" t="str">
        <f>VLOOKUP(F302,[1]characters!$A:$J,10,FALSE)</f>
        <v>PremiumS</v>
      </c>
      <c r="I302" s="8">
        <f>VLOOKUP(F302,[1]characters!$A:$I,9,FALSE)</f>
        <v>3</v>
      </c>
      <c r="J302" s="8" t="str">
        <f>VLOOKUP(F302,[1]characters!$A:$H,8,FALSE)</f>
        <v>red</v>
      </c>
      <c r="K302" s="8" t="str">
        <f>VLOOKUP(F302,[1]characters!$A:$K,11,FALSE)</f>
        <v>technical</v>
      </c>
      <c r="L302" s="8" t="str">
        <f>VLOOKUP(F302,[1]characters!$A:$M,13,FALSE)</f>
        <v>dragon</v>
      </c>
      <c r="M302" s="16">
        <f>VLOOKUP(D302,gacha_181_base!A:B,2,FALSE)</f>
        <v>13074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1811381</v>
      </c>
      <c r="B303" s="2" t="str">
        <f t="shared" si="24"/>
        <v>1811</v>
      </c>
      <c r="C303" s="8" t="str">
        <f t="shared" si="25"/>
        <v>1PremiumS4</v>
      </c>
      <c r="D303" s="8" t="str">
        <f t="shared" si="23"/>
        <v>1PremiumS4</v>
      </c>
      <c r="E303" s="10">
        <v>1</v>
      </c>
      <c r="F303" s="6">
        <v>381</v>
      </c>
      <c r="G303" s="8" t="str">
        <f>VLOOKUP(F303,[1]characters!$A:$C,3,FALSE)</f>
        <v>肉食の恋火 バハムート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red</v>
      </c>
      <c r="K303" s="8" t="str">
        <f>VLOOKUP(F303,[1]characters!$A:$K,11,FALSE)</f>
        <v>technical</v>
      </c>
      <c r="L303" s="8" t="str">
        <f>VLOOKUP(F303,[1]characters!$A:$M,13,FALSE)</f>
        <v>dragon</v>
      </c>
      <c r="M303" s="16">
        <f>VLOOKUP(D303,gacha_181_base!A:B,2,FALSE)</f>
        <v>3097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1811382</v>
      </c>
      <c r="B304" s="2" t="str">
        <f t="shared" si="24"/>
        <v>1811</v>
      </c>
      <c r="C304" s="8" t="str">
        <f t="shared" si="25"/>
        <v>1PremiumS5</v>
      </c>
      <c r="D304" s="8" t="str">
        <f t="shared" si="23"/>
        <v>1PremiumS5</v>
      </c>
      <c r="E304" s="10">
        <v>1</v>
      </c>
      <c r="F304" s="6">
        <v>382</v>
      </c>
      <c r="G304" s="8" t="str">
        <f>VLOOKUP(F304,[1]characters!$A:$C,3,FALSE)</f>
        <v>激情の愛炎 バハムート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red</v>
      </c>
      <c r="K304" s="8" t="str">
        <f>VLOOKUP(F304,[1]characters!$A:$K,11,FALSE)</f>
        <v>technical</v>
      </c>
      <c r="L304" s="8" t="str">
        <f>VLOOKUP(F304,[1]characters!$A:$M,13,FALSE)</f>
        <v>dragon</v>
      </c>
      <c r="M304" s="16">
        <f>VLOOKUP(D304,gacha_181_base!A:B,2,FALSE)</f>
        <v>1032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1811383</v>
      </c>
      <c r="B305" s="2" t="str">
        <f t="shared" si="24"/>
        <v>1811</v>
      </c>
      <c r="C305" s="8" t="str">
        <f t="shared" si="25"/>
        <v>1PremiumSS4</v>
      </c>
      <c r="D305" s="8" t="str">
        <f t="shared" si="23"/>
        <v>1PremiumSS4</v>
      </c>
      <c r="E305" s="10">
        <v>1</v>
      </c>
      <c r="F305" s="6">
        <v>383</v>
      </c>
      <c r="G305" s="8" t="str">
        <f>VLOOKUP(F305,[1]characters!$A:$C,3,FALSE)</f>
        <v>酒宴の蟒蛇 ヤマタノオロチ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hp</v>
      </c>
      <c r="L305" s="8" t="str">
        <f>VLOOKUP(F305,[1]characters!$A:$M,13,FALSE)</f>
        <v>dragon</v>
      </c>
      <c r="M305" s="16">
        <f>VLOOKUP(D305,gacha_181_base!A:B,2,FALSE)</f>
        <v>1103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1811384</v>
      </c>
      <c r="B306" s="2" t="str">
        <f t="shared" si="24"/>
        <v>1811</v>
      </c>
      <c r="C306" s="8" t="str">
        <f t="shared" si="25"/>
        <v>1PremiumSS5</v>
      </c>
      <c r="D306" s="8" t="str">
        <f t="shared" si="23"/>
        <v>1PremiumSS5</v>
      </c>
      <c r="E306" s="10">
        <v>1</v>
      </c>
      <c r="F306" s="6">
        <v>384</v>
      </c>
      <c r="G306" s="8" t="str">
        <f>VLOOKUP(F306,[1]characters!$A:$C,3,FALSE)</f>
        <v>破国の呑龍 ヤマタノオロチ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green</v>
      </c>
      <c r="K306" s="8" t="str">
        <f>VLOOKUP(F306,[1]characters!$A:$K,11,FALSE)</f>
        <v>hp</v>
      </c>
      <c r="L306" s="8" t="str">
        <f>VLOOKUP(F306,[1]characters!$A:$M,13,FALSE)</f>
        <v>dragon</v>
      </c>
      <c r="M306" s="16">
        <f>VLOOKUP(D306,gacha_181_base!A:B,2,FALSE)</f>
        <v>70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1811385</v>
      </c>
      <c r="B307" s="2" t="str">
        <f t="shared" si="24"/>
        <v>1811</v>
      </c>
      <c r="C307" s="8" t="str">
        <f t="shared" si="25"/>
        <v>1PremiumSS4</v>
      </c>
      <c r="D307" s="8" t="str">
        <f t="shared" si="23"/>
        <v>1PremiumSS4</v>
      </c>
      <c r="E307" s="10">
        <v>1</v>
      </c>
      <c r="F307" s="6">
        <v>385</v>
      </c>
      <c r="G307" s="8" t="str">
        <f>VLOOKUP(F307,[1]characters!$A:$C,3,FALSE)</f>
        <v>波烈の出奔 リヴァイアサン</v>
      </c>
      <c r="H307" s="8" t="str">
        <f>VLOOKUP(F307,[1]characters!$A:$J,10,FALSE)</f>
        <v>PremiumSS</v>
      </c>
      <c r="I307" s="8">
        <f>VLOOKUP(F307,[1]characters!$A:$I,9,FALSE)</f>
        <v>4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VLOOKUP(D307,gacha_181_base!A:B,2,FALSE)</f>
        <v>1103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1811386</v>
      </c>
      <c r="B308" s="2" t="str">
        <f t="shared" si="24"/>
        <v>1811</v>
      </c>
      <c r="C308" s="8" t="str">
        <f t="shared" si="25"/>
        <v>1PremiumSS5</v>
      </c>
      <c r="D308" s="8" t="str">
        <f t="shared" si="23"/>
        <v>1PremiumSS5</v>
      </c>
      <c r="E308" s="10">
        <v>1</v>
      </c>
      <c r="F308" s="6">
        <v>386</v>
      </c>
      <c r="G308" s="8" t="str">
        <f>VLOOKUP(F308,[1]characters!$A:$C,3,FALSE)</f>
        <v>氾乱の海龍 リヴァイアサン</v>
      </c>
      <c r="H308" s="8" t="str">
        <f>VLOOKUP(F308,[1]characters!$A:$J,10,FALSE)</f>
        <v>PremiumSS</v>
      </c>
      <c r="I308" s="8">
        <f>VLOOKUP(F308,[1]characters!$A:$I,9,FALSE)</f>
        <v>5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VLOOKUP(D308,gacha_181_base!A:B,2,FALSE)</f>
        <v>70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1811387</v>
      </c>
      <c r="B309" s="2" t="str">
        <f t="shared" si="24"/>
        <v>1811</v>
      </c>
      <c r="C309" s="8" t="str">
        <f t="shared" si="25"/>
        <v>1PremiumS3</v>
      </c>
      <c r="D309" s="8" t="str">
        <f>E309&amp;H309&amp;I309&amp;"pick"</f>
        <v>1PremiumS3pick</v>
      </c>
      <c r="E309" s="10">
        <v>1</v>
      </c>
      <c r="F309" s="6">
        <v>387</v>
      </c>
      <c r="G309" s="8" t="str">
        <f>VLOOKUP(F309,[1]characters!$A:$C,3,FALSE)</f>
        <v>スフィンクス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yellow</v>
      </c>
      <c r="K309" s="8" t="str">
        <f>VLOOKUP(F309,[1]characters!$A:$K,11,FALSE)</f>
        <v>heal</v>
      </c>
      <c r="L309" s="8" t="str">
        <f>VLOOKUP(F309,[1]characters!$A:$M,13,FALSE)</f>
        <v>animal</v>
      </c>
      <c r="M309" s="16">
        <f>VLOOKUP(D309,gacha_181_base!A:B,2,FALSE)</f>
        <v>25422</v>
      </c>
      <c r="N309" s="38">
        <f>IFERROR(VLOOKUP($F309,bug_conf_sheet!$A:$H,3,FALSE),VLOOKUP("other",bug_conf_sheet!$A:$H,3,FALSE))</f>
        <v>40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3</v>
      </c>
    </row>
    <row r="310" spans="1:19" ht="21" customHeight="1">
      <c r="A310" s="7" t="str">
        <f t="shared" si="26"/>
        <v>1811388</v>
      </c>
      <c r="B310" s="2" t="str">
        <f t="shared" si="24"/>
        <v>1811</v>
      </c>
      <c r="C310" s="8" t="str">
        <f t="shared" si="25"/>
        <v>1PremiumS4</v>
      </c>
      <c r="D310" s="8" t="str">
        <f>E310&amp;H310&amp;I310&amp;"pick"</f>
        <v>1PremiumS4pick</v>
      </c>
      <c r="E310" s="10">
        <v>1</v>
      </c>
      <c r="F310" s="6">
        <v>388</v>
      </c>
      <c r="G310" s="8" t="str">
        <f>VLOOKUP(F310,[1]characters!$A:$C,3,FALSE)</f>
        <v>神円の恋姫 スフィンクス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heal</v>
      </c>
      <c r="L310" s="8" t="str">
        <f>VLOOKUP(F310,[1]characters!$A:$M,13,FALSE)</f>
        <v>animal</v>
      </c>
      <c r="M310" s="16">
        <f>VLOOKUP(D310,gacha_181_base!A:B,2,FALSE)</f>
        <v>6021</v>
      </c>
      <c r="N310" s="38">
        <f>IFERROR(VLOOKUP($F310,bug_conf_sheet!$A:$H,3,FALSE),VLOOKUP("other",bug_conf_sheet!$A:$H,3,FALSE))</f>
        <v>60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3</v>
      </c>
    </row>
    <row r="311" spans="1:19" ht="21" customHeight="1">
      <c r="A311" s="7" t="str">
        <f t="shared" si="26"/>
        <v>1811389</v>
      </c>
      <c r="B311" s="2" t="str">
        <f t="shared" si="24"/>
        <v>1811</v>
      </c>
      <c r="C311" s="8" t="str">
        <f t="shared" si="25"/>
        <v>1PremiumS5</v>
      </c>
      <c r="D311" s="8" t="str">
        <f>E311&amp;H311&amp;I311&amp;"pick"</f>
        <v>1PremiumS5pick</v>
      </c>
      <c r="E311" s="10">
        <v>1</v>
      </c>
      <c r="F311" s="6">
        <v>389</v>
      </c>
      <c r="G311" s="8" t="str">
        <f>VLOOKUP(F311,[1]characters!$A:$C,3,FALSE)</f>
        <v>操神の愛姫 スフィンクス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heal</v>
      </c>
      <c r="L311" s="8" t="str">
        <f>VLOOKUP(F311,[1]characters!$A:$M,13,FALSE)</f>
        <v>animal</v>
      </c>
      <c r="M311" s="16">
        <f>VLOOKUP(D311,gacha_181_base!A:B,2,FALSE)</f>
        <v>2007</v>
      </c>
      <c r="N311" s="38">
        <f>IFERROR(VLOOKUP($F311,bug_conf_sheet!$A:$H,3,FALSE),VLOOKUP("other",bug_conf_sheet!$A:$H,3,FALSE))</f>
        <v>80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3</v>
      </c>
    </row>
    <row r="312" spans="1:19" ht="21" customHeight="1">
      <c r="A312" s="7" t="str">
        <f t="shared" si="26"/>
        <v>1811390</v>
      </c>
      <c r="B312" s="2" t="str">
        <f t="shared" si="24"/>
        <v>1811</v>
      </c>
      <c r="C312" s="8" t="str">
        <f t="shared" si="25"/>
        <v>1PremiumSS4</v>
      </c>
      <c r="D312" s="8" t="str">
        <f t="shared" si="23"/>
        <v>1PremiumSS4</v>
      </c>
      <c r="E312" s="10">
        <v>1</v>
      </c>
      <c r="F312" s="6">
        <v>390</v>
      </c>
      <c r="G312" s="8" t="str">
        <f>VLOOKUP(F312,[1]characters!$A:$C,3,FALSE)</f>
        <v>華環の旅客 親指姫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heal</v>
      </c>
      <c r="L312" s="8" t="str">
        <f>VLOOKUP(F312,[1]characters!$A:$M,13,FALSE)</f>
        <v>human</v>
      </c>
      <c r="M312" s="16">
        <f>VLOOKUP(D312,gacha_181_base!A:B,2,FALSE)</f>
        <v>1103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1811391</v>
      </c>
      <c r="B313" s="2" t="str">
        <f t="shared" si="24"/>
        <v>1811</v>
      </c>
      <c r="C313" s="8" t="str">
        <f t="shared" si="25"/>
        <v>1PremiumSS5</v>
      </c>
      <c r="D313" s="8" t="str">
        <f t="shared" si="23"/>
        <v>1PremiumSS5</v>
      </c>
      <c r="E313" s="10">
        <v>1</v>
      </c>
      <c r="F313" s="6">
        <v>391</v>
      </c>
      <c r="G313" s="8" t="str">
        <f>VLOOKUP(F313,[1]characters!$A:$C,3,FALSE)</f>
        <v>燕翼の旅人 親指姫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heal</v>
      </c>
      <c r="L313" s="8" t="str">
        <f>VLOOKUP(F313,[1]characters!$A:$M,13,FALSE)</f>
        <v>human</v>
      </c>
      <c r="M313" s="16">
        <f>VLOOKUP(D313,gacha_181_base!A:B,2,FALSE)</f>
        <v>70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1811392</v>
      </c>
      <c r="B314" s="2" t="str">
        <f t="shared" si="24"/>
        <v>1811</v>
      </c>
      <c r="C314" s="8" t="str">
        <f t="shared" si="25"/>
        <v>1PremiumS3</v>
      </c>
      <c r="D314" s="8" t="str">
        <f t="shared" si="23"/>
        <v>1PremiumS3</v>
      </c>
      <c r="E314" s="10">
        <v>1</v>
      </c>
      <c r="F314" s="6">
        <v>392</v>
      </c>
      <c r="G314" s="8" t="str">
        <f>VLOOKUP(F314,[1]characters!$A:$C,3,FALSE)</f>
        <v>ピーターパン</v>
      </c>
      <c r="H314" s="8" t="str">
        <f>VLOOKUP(F314,[1]characters!$A:$J,10,FALSE)</f>
        <v>PremiumS</v>
      </c>
      <c r="I314" s="8">
        <f>VLOOKUP(F314,[1]characters!$A:$I,9,FALSE)</f>
        <v>3</v>
      </c>
      <c r="J314" s="8" t="str">
        <f>VLOOKUP(F314,[1]characters!$A:$H,8,FALSE)</f>
        <v>green</v>
      </c>
      <c r="K314" s="8" t="str">
        <f>VLOOKUP(F314,[1]characters!$A:$K,11,FALSE)</f>
        <v>attack</v>
      </c>
      <c r="L314" s="8" t="str">
        <f>VLOOKUP(F314,[1]characters!$A:$M,13,FALSE)</f>
        <v>human</v>
      </c>
      <c r="M314" s="16">
        <f>VLOOKUP(D314,gacha_181_base!A:B,2,FALSE)</f>
        <v>13074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1811393</v>
      </c>
      <c r="B315" s="2" t="str">
        <f t="shared" si="24"/>
        <v>1811</v>
      </c>
      <c r="C315" s="8" t="str">
        <f t="shared" si="25"/>
        <v>1PremiumS4</v>
      </c>
      <c r="D315" s="8" t="str">
        <f t="shared" si="23"/>
        <v>1PremiumS4</v>
      </c>
      <c r="E315" s="10">
        <v>1</v>
      </c>
      <c r="F315" s="6">
        <v>393</v>
      </c>
      <c r="G315" s="8" t="str">
        <f>VLOOKUP(F315,[1]characters!$A:$C,3,FALSE)</f>
        <v>影縫い ピーターパン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green</v>
      </c>
      <c r="K315" s="8" t="str">
        <f>VLOOKUP(F315,[1]characters!$A:$K,11,FALSE)</f>
        <v>attack</v>
      </c>
      <c r="L315" s="8" t="str">
        <f>VLOOKUP(F315,[1]characters!$A:$M,13,FALSE)</f>
        <v>human</v>
      </c>
      <c r="M315" s="16">
        <f>VLOOKUP(D315,gacha_181_base!A:B,2,FALSE)</f>
        <v>3097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1811394</v>
      </c>
      <c r="B316" s="2" t="str">
        <f t="shared" si="24"/>
        <v>1811</v>
      </c>
      <c r="C316" s="8" t="str">
        <f t="shared" si="25"/>
        <v>1PremiumS5</v>
      </c>
      <c r="D316" s="8" t="str">
        <f t="shared" si="23"/>
        <v>1PremiumS5</v>
      </c>
      <c r="E316" s="10">
        <v>1</v>
      </c>
      <c r="F316" s="6">
        <v>394</v>
      </c>
      <c r="G316" s="8" t="str">
        <f>VLOOKUP(F316,[1]characters!$A:$C,3,FALSE)</f>
        <v>影求の悪童 ピーターパン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green</v>
      </c>
      <c r="K316" s="8" t="str">
        <f>VLOOKUP(F316,[1]characters!$A:$K,11,FALSE)</f>
        <v>attack</v>
      </c>
      <c r="L316" s="8" t="str">
        <f>VLOOKUP(F316,[1]characters!$A:$M,13,FALSE)</f>
        <v>human</v>
      </c>
      <c r="M316" s="16">
        <f>VLOOKUP(D316,gacha_181_base!A:B,2,FALSE)</f>
        <v>1032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1811395</v>
      </c>
      <c r="B317" s="2" t="str">
        <f t="shared" si="24"/>
        <v>1811</v>
      </c>
      <c r="C317" s="8" t="str">
        <f t="shared" si="25"/>
        <v>1PremiumS3</v>
      </c>
      <c r="D317" s="8" t="str">
        <f>E317&amp;H317&amp;I317&amp;"pick"</f>
        <v>1PremiumS3pick</v>
      </c>
      <c r="E317" s="10">
        <v>1</v>
      </c>
      <c r="F317" s="6">
        <v>395</v>
      </c>
      <c r="G317" s="8" t="str">
        <f>VLOOKUP(F317,[1]characters!$A:$C,3,FALSE)</f>
        <v>乙姫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blue</v>
      </c>
      <c r="K317" s="8" t="str">
        <f>VLOOKUP(F317,[1]characters!$A:$K,11,FALSE)</f>
        <v>hp</v>
      </c>
      <c r="L317" s="8" t="str">
        <f>VLOOKUP(F317,[1]characters!$A:$M,13,FALSE)</f>
        <v>human</v>
      </c>
      <c r="M317" s="16">
        <f>VLOOKUP(D317,gacha_181_base!A:B,2,FALSE)</f>
        <v>25422</v>
      </c>
      <c r="N317" s="38">
        <f>IFERROR(VLOOKUP($F317,bug_conf_sheet!$A:$H,3,FALSE),VLOOKUP("other",bug_conf_sheet!$A:$H,3,FALSE))</f>
        <v>40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3</v>
      </c>
    </row>
    <row r="318" spans="1:19" ht="21" customHeight="1">
      <c r="A318" s="7" t="str">
        <f t="shared" si="26"/>
        <v>1811396</v>
      </c>
      <c r="B318" s="2" t="str">
        <f t="shared" si="24"/>
        <v>1811</v>
      </c>
      <c r="C318" s="8" t="str">
        <f t="shared" si="25"/>
        <v>1PremiumS4</v>
      </c>
      <c r="D318" s="8" t="str">
        <f>E318&amp;H318&amp;I318&amp;"pick"</f>
        <v>1PremiumS4pick</v>
      </c>
      <c r="E318" s="10">
        <v>1</v>
      </c>
      <c r="F318" s="6">
        <v>396</v>
      </c>
      <c r="G318" s="8" t="str">
        <f>VLOOKUP(F318,[1]characters!$A:$C,3,FALSE)</f>
        <v>竜宮の水雷 乙姫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VLOOKUP(D318,gacha_181_base!A:B,2,FALSE)</f>
        <v>6021</v>
      </c>
      <c r="N318" s="38">
        <f>IFERROR(VLOOKUP($F318,bug_conf_sheet!$A:$H,3,FALSE),VLOOKUP("other",bug_conf_sheet!$A:$H,3,FALSE))</f>
        <v>60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3</v>
      </c>
    </row>
    <row r="319" spans="1:19" ht="21" customHeight="1">
      <c r="A319" s="7" t="str">
        <f t="shared" si="26"/>
        <v>1811397</v>
      </c>
      <c r="B319" s="2" t="str">
        <f t="shared" si="24"/>
        <v>1811</v>
      </c>
      <c r="C319" s="8" t="str">
        <f t="shared" si="25"/>
        <v>1PremiumS5</v>
      </c>
      <c r="D319" s="8" t="str">
        <f>E319&amp;H319&amp;I319&amp;"pick"</f>
        <v>1PremiumS5pick</v>
      </c>
      <c r="E319" s="10">
        <v>1</v>
      </c>
      <c r="F319" s="6">
        <v>397</v>
      </c>
      <c r="G319" s="8" t="str">
        <f>VLOOKUP(F319,[1]characters!$A:$C,3,FALSE)</f>
        <v>禁断の追箱 乙姫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VLOOKUP(D319,gacha_181_base!A:B,2,FALSE)</f>
        <v>2007</v>
      </c>
      <c r="N319" s="38">
        <f>IFERROR(VLOOKUP($F319,bug_conf_sheet!$A:$H,3,FALSE),VLOOKUP("other",bug_conf_sheet!$A:$H,3,FALSE))</f>
        <v>80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3</v>
      </c>
    </row>
    <row r="320" spans="1:19" ht="21" customHeight="1">
      <c r="A320" s="7" t="str">
        <f t="shared" si="26"/>
        <v>1811398</v>
      </c>
      <c r="B320" s="2" t="str">
        <f t="shared" si="24"/>
        <v>1811</v>
      </c>
      <c r="C320" s="8" t="str">
        <f t="shared" si="25"/>
        <v>1PremiumSS4</v>
      </c>
      <c r="D320" s="8" t="str">
        <f t="shared" si="23"/>
        <v>1PremiumSS4</v>
      </c>
      <c r="E320" s="10">
        <v>1</v>
      </c>
      <c r="F320" s="6">
        <v>398</v>
      </c>
      <c r="G320" s="8" t="str">
        <f>VLOOKUP(F320,[1]characters!$A:$C,3,FALSE)</f>
        <v>ヘンゼル＆グレーテル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16">
        <f>VLOOKUP(D320,gacha_181_base!A:B,2,FALSE)</f>
        <v>1103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1811399</v>
      </c>
      <c r="B321" s="2" t="str">
        <f t="shared" si="24"/>
        <v>1811</v>
      </c>
      <c r="C321" s="8" t="str">
        <f t="shared" si="25"/>
        <v>1PremiumSS5</v>
      </c>
      <c r="D321" s="8" t="str">
        <f t="shared" si="23"/>
        <v>1PremiumSS5</v>
      </c>
      <c r="E321" s="10">
        <v>1</v>
      </c>
      <c r="F321" s="6">
        <v>399</v>
      </c>
      <c r="G321" s="8" t="str">
        <f>VLOOKUP(F321,[1]characters!$A:$C,3,FALSE)</f>
        <v>信愛の兄妹 ヘンゼル＆グレーテル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VLOOKUP(D321,gacha_181_base!A:B,2,FALSE)</f>
        <v>70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1811400</v>
      </c>
      <c r="B322" s="2" t="str">
        <f t="shared" si="24"/>
        <v>1811</v>
      </c>
      <c r="C322" s="8" t="str">
        <f t="shared" si="25"/>
        <v>1PremiumS3</v>
      </c>
      <c r="D322" s="8" t="str">
        <f t="shared" ref="D322:D380" si="27">E322&amp;H322&amp;I322</f>
        <v>1PremiumS3</v>
      </c>
      <c r="E322" s="10">
        <v>1</v>
      </c>
      <c r="F322" s="6">
        <v>400</v>
      </c>
      <c r="G322" s="8" t="str">
        <f>VLOOKUP(F322,[1]characters!$A:$C,3,FALSE)</f>
        <v>フェンリル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red</v>
      </c>
      <c r="K322" s="8" t="str">
        <f>VLOOKUP(F322,[1]characters!$A:$K,11,FALSE)</f>
        <v>attack</v>
      </c>
      <c r="L322" s="8" t="str">
        <f>VLOOKUP(F322,[1]characters!$A:$M,13,FALSE)</f>
        <v>animal</v>
      </c>
      <c r="M322" s="16">
        <f>VLOOKUP(D322,gacha_181_base!A:B,2,FALSE)</f>
        <v>13074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1811401</v>
      </c>
      <c r="B323" s="2" t="str">
        <f t="shared" ref="B323:B380" si="28">181&amp;E323</f>
        <v>1811</v>
      </c>
      <c r="C323" s="8" t="str">
        <f t="shared" si="25"/>
        <v>1PremiumS4</v>
      </c>
      <c r="D323" s="8" t="str">
        <f t="shared" si="27"/>
        <v>1PremiumS4</v>
      </c>
      <c r="E323" s="10">
        <v>1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VLOOKUP(D323,gacha_181_base!A:B,2,FALSE)</f>
        <v>3097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1811402</v>
      </c>
      <c r="B324" s="2" t="str">
        <f t="shared" si="28"/>
        <v>1811</v>
      </c>
      <c r="C324" s="8" t="str">
        <f t="shared" si="25"/>
        <v>1PremiumS5</v>
      </c>
      <c r="D324" s="8" t="str">
        <f t="shared" si="27"/>
        <v>1PremiumS5</v>
      </c>
      <c r="E324" s="10">
        <v>1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VLOOKUP(D324,gacha_181_base!A:B,2,FALSE)</f>
        <v>1032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1811403</v>
      </c>
      <c r="B325" s="2" t="str">
        <f t="shared" si="28"/>
        <v>1811</v>
      </c>
      <c r="C325" s="8" t="str">
        <f t="shared" si="25"/>
        <v>1PremiumSS4</v>
      </c>
      <c r="D325" s="8" t="str">
        <f t="shared" si="27"/>
        <v>1PremiumSS4</v>
      </c>
      <c r="E325" s="10">
        <v>1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VLOOKUP(D325,gacha_181_base!A:B,2,FALSE)</f>
        <v>1103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1811404</v>
      </c>
      <c r="B326" s="2" t="str">
        <f t="shared" si="28"/>
        <v>1811</v>
      </c>
      <c r="C326" s="8" t="str">
        <f t="shared" si="25"/>
        <v>1PremiumSS5</v>
      </c>
      <c r="D326" s="8" t="str">
        <f t="shared" si="27"/>
        <v>1PremiumSS5</v>
      </c>
      <c r="E326" s="10">
        <v>1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VLOOKUP(D326,gacha_181_base!A:B,2,FALSE)</f>
        <v>70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1811405</v>
      </c>
      <c r="B327" s="2" t="str">
        <f t="shared" si="28"/>
        <v>1811</v>
      </c>
      <c r="C327" s="8" t="str">
        <f t="shared" si="25"/>
        <v>1PremiumS3</v>
      </c>
      <c r="D327" s="8" t="str">
        <f t="shared" si="27"/>
        <v>1PremiumS3</v>
      </c>
      <c r="E327" s="10">
        <v>1</v>
      </c>
      <c r="F327" s="6">
        <v>405</v>
      </c>
      <c r="G327" s="8" t="str">
        <f>VLOOKUP(F327,[1]characters!$A:$C,3,FALSE)</f>
        <v>エキドナ</v>
      </c>
      <c r="H327" s="8" t="str">
        <f>VLOOKUP(F327,[1]characters!$A:$J,10,FALSE)</f>
        <v>PremiumS</v>
      </c>
      <c r="I327" s="8">
        <f>VLOOKUP(F327,[1]characters!$A:$I,9,FALSE)</f>
        <v>3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VLOOKUP(D327,gacha_181_base!A:B,2,FALSE)</f>
        <v>13074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1811406</v>
      </c>
      <c r="B328" s="2" t="str">
        <f t="shared" si="28"/>
        <v>1811</v>
      </c>
      <c r="C328" s="8" t="str">
        <f t="shared" si="25"/>
        <v>1PremiumS4</v>
      </c>
      <c r="D328" s="8" t="str">
        <f t="shared" si="27"/>
        <v>1PremiumS4</v>
      </c>
      <c r="E328" s="10">
        <v>1</v>
      </c>
      <c r="F328" s="6">
        <v>406</v>
      </c>
      <c r="G328" s="8" t="str">
        <f>VLOOKUP(F328,[1]characters!$A:$C,3,FALSE)</f>
        <v>美笑の蒼蛇 エキドナ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VLOOKUP(D328,gacha_181_base!A:B,2,FALSE)</f>
        <v>3097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1811407</v>
      </c>
      <c r="B329" s="2" t="str">
        <f t="shared" si="28"/>
        <v>1811</v>
      </c>
      <c r="C329" s="8" t="str">
        <f t="shared" si="25"/>
        <v>1PremiumS5</v>
      </c>
      <c r="D329" s="8" t="str">
        <f t="shared" si="27"/>
        <v>1PremiumS5</v>
      </c>
      <c r="E329" s="10">
        <v>1</v>
      </c>
      <c r="F329" s="6">
        <v>407</v>
      </c>
      <c r="G329" s="8" t="str">
        <f>VLOOKUP(F329,[1]characters!$A:$C,3,FALSE)</f>
        <v>蠱惑の飛刀 エキドナ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animal</v>
      </c>
      <c r="M329" s="16">
        <f>VLOOKUP(D329,gacha_181_base!A:B,2,FALSE)</f>
        <v>1032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1811408</v>
      </c>
      <c r="B330" s="2" t="str">
        <f t="shared" si="28"/>
        <v>1811</v>
      </c>
      <c r="C330" s="8" t="str">
        <f t="shared" si="25"/>
        <v>1PremiumSS4</v>
      </c>
      <c r="D330" s="8" t="str">
        <f t="shared" si="27"/>
        <v>1PremiumSS4</v>
      </c>
      <c r="E330" s="10">
        <v>1</v>
      </c>
      <c r="F330" s="6">
        <v>408</v>
      </c>
      <c r="G330" s="8" t="str">
        <f>VLOOKUP(F330,[1]characters!$A:$C,3,FALSE)</f>
        <v>皇魔 アスタロト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VLOOKUP(D330,gacha_181_base!A:B,2,FALSE)</f>
        <v>1103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1811409</v>
      </c>
      <c r="B331" s="2" t="str">
        <f t="shared" si="28"/>
        <v>1811</v>
      </c>
      <c r="C331" s="8" t="str">
        <f t="shared" si="25"/>
        <v>1PremiumSS5</v>
      </c>
      <c r="D331" s="8" t="str">
        <f t="shared" si="27"/>
        <v>1PremiumSS5</v>
      </c>
      <c r="E331" s="10">
        <v>1</v>
      </c>
      <c r="F331" s="6">
        <v>409</v>
      </c>
      <c r="G331" s="8" t="str">
        <f>VLOOKUP(F331,[1]characters!$A:$C,3,FALSE)</f>
        <v>天眼の皇貴魔 アスタロト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attack</v>
      </c>
      <c r="L331" s="8" t="str">
        <f>VLOOKUP(F331,[1]characters!$A:$M,13,FALSE)</f>
        <v>god</v>
      </c>
      <c r="M331" s="16">
        <f>VLOOKUP(D331,gacha_181_base!A:B,2,FALSE)</f>
        <v>70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1811434</v>
      </c>
      <c r="B332" s="2" t="str">
        <f t="shared" si="28"/>
        <v>1811</v>
      </c>
      <c r="C332" s="8" t="str">
        <f t="shared" si="25"/>
        <v>1PremiumSS4</v>
      </c>
      <c r="D332" s="8" t="str">
        <f t="shared" si="27"/>
        <v>1PremiumSS4</v>
      </c>
      <c r="E332" s="10">
        <v>1</v>
      </c>
      <c r="F332" s="6">
        <v>434</v>
      </c>
      <c r="G332" s="8" t="str">
        <f>VLOOKUP(F332,[1]characters!$A:$C,3,FALSE)</f>
        <v>D.R.T.H.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VLOOKUP(D332,gacha_181_base!A:B,2,FALSE)</f>
        <v>1103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1811435</v>
      </c>
      <c r="B333" s="2" t="str">
        <f t="shared" si="28"/>
        <v>1811</v>
      </c>
      <c r="C333" s="8" t="str">
        <f t="shared" si="25"/>
        <v>1PremiumSS5</v>
      </c>
      <c r="D333" s="8" t="str">
        <f t="shared" si="27"/>
        <v>1PremiumSS5</v>
      </c>
      <c r="E333" s="10">
        <v>1</v>
      </c>
      <c r="F333" s="6">
        <v>435</v>
      </c>
      <c r="G333" s="8" t="str">
        <f>VLOOKUP(F333,[1]characters!$A:$C,3,FALSE)</f>
        <v>曝弾の密偵 D.R.T.H.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VLOOKUP(D333,gacha_181_base!A:B,2,FALSE)</f>
        <v>70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1811436</v>
      </c>
      <c r="B334" s="2" t="str">
        <f t="shared" si="28"/>
        <v>1811</v>
      </c>
      <c r="C334" s="8" t="str">
        <f t="shared" si="25"/>
        <v>1PremiumS3</v>
      </c>
      <c r="D334" s="8" t="str">
        <f t="shared" si="27"/>
        <v>1PremiumS3</v>
      </c>
      <c r="E334" s="10">
        <v>1</v>
      </c>
      <c r="F334" s="6">
        <v>436</v>
      </c>
      <c r="G334" s="8" t="str">
        <f>VLOOKUP(F334,[1]characters!$A:$C,3,FALSE)</f>
        <v>カカシ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VLOOKUP(D334,gacha_181_base!A:B,2,FALSE)</f>
        <v>13074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1811437</v>
      </c>
      <c r="B335" s="2" t="str">
        <f t="shared" si="28"/>
        <v>1811</v>
      </c>
      <c r="C335" s="8" t="str">
        <f t="shared" si="25"/>
        <v>1PremiumS4</v>
      </c>
      <c r="D335" s="8" t="str">
        <f t="shared" si="27"/>
        <v>1PremiumS4</v>
      </c>
      <c r="E335" s="10">
        <v>1</v>
      </c>
      <c r="F335" s="6">
        <v>437</v>
      </c>
      <c r="G335" s="8" t="str">
        <f>VLOOKUP(F335,[1]characters!$A:$C,3,FALSE)</f>
        <v>忘却者 カカシ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VLOOKUP(D335,gacha_181_base!A:B,2,FALSE)</f>
        <v>3097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1811438</v>
      </c>
      <c r="B336" s="2" t="str">
        <f t="shared" si="28"/>
        <v>1811</v>
      </c>
      <c r="C336" s="8" t="str">
        <f t="shared" si="25"/>
        <v>1PremiumS5</v>
      </c>
      <c r="D336" s="8" t="str">
        <f t="shared" si="27"/>
        <v>1PremiumS5</v>
      </c>
      <c r="E336" s="10">
        <v>1</v>
      </c>
      <c r="F336" s="6">
        <v>438</v>
      </c>
      <c r="G336" s="8" t="str">
        <f>VLOOKUP(F336,[1]characters!$A:$C,3,FALSE)</f>
        <v>記憶の奪還 カカシ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technical</v>
      </c>
      <c r="L336" s="8" t="str">
        <f>VLOOKUP(F336,[1]characters!$A:$M,13,FALSE)</f>
        <v>human</v>
      </c>
      <c r="M336" s="16">
        <f>VLOOKUP(D336,gacha_181_base!A:B,2,FALSE)</f>
        <v>1032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1811439</v>
      </c>
      <c r="B337" s="2" t="str">
        <f t="shared" si="28"/>
        <v>1811</v>
      </c>
      <c r="C337" s="8" t="str">
        <f t="shared" si="25"/>
        <v>1PremiumS3</v>
      </c>
      <c r="D337" s="8" t="str">
        <f t="shared" si="27"/>
        <v>1PremiumS3</v>
      </c>
      <c r="E337" s="10">
        <v>1</v>
      </c>
      <c r="F337" s="6">
        <v>439</v>
      </c>
      <c r="G337" s="8" t="str">
        <f>VLOOKUP(F337,[1]characters!$A:$C,3,FALSE)</f>
        <v>ブリキロガー</v>
      </c>
      <c r="H337" s="8" t="str">
        <f>VLOOKUP(F337,[1]characters!$A:$J,10,FALSE)</f>
        <v>PremiumS</v>
      </c>
      <c r="I337" s="8">
        <f>VLOOKUP(F337,[1]characters!$A:$I,9,FALSE)</f>
        <v>3</v>
      </c>
      <c r="J337" s="8" t="str">
        <f>VLOOKUP(F337,[1]characters!$A:$H,8,FALSE)</f>
        <v>blue</v>
      </c>
      <c r="K337" s="8" t="str">
        <f>VLOOKUP(F337,[1]characters!$A:$K,11,FALSE)</f>
        <v>attack</v>
      </c>
      <c r="L337" s="8" t="str">
        <f>VLOOKUP(F337,[1]characters!$A:$M,13,FALSE)</f>
        <v>machine</v>
      </c>
      <c r="M337" s="16">
        <f>VLOOKUP(D337,gacha_181_base!A:B,2,FALSE)</f>
        <v>13074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1811440</v>
      </c>
      <c r="B338" s="2" t="str">
        <f t="shared" si="28"/>
        <v>1811</v>
      </c>
      <c r="C338" s="8" t="str">
        <f t="shared" si="25"/>
        <v>1PremiumS4</v>
      </c>
      <c r="D338" s="8" t="str">
        <f t="shared" si="27"/>
        <v>1PremiumS4</v>
      </c>
      <c r="E338" s="10">
        <v>1</v>
      </c>
      <c r="F338" s="6">
        <v>440</v>
      </c>
      <c r="G338" s="8" t="str">
        <f>VLOOKUP(F338,[1]characters!$A:$C,3,FALSE)</f>
        <v>改良型 ブリキロガー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blue</v>
      </c>
      <c r="K338" s="8" t="str">
        <f>VLOOKUP(F338,[1]characters!$A:$K,11,FALSE)</f>
        <v>attack</v>
      </c>
      <c r="L338" s="8" t="str">
        <f>VLOOKUP(F338,[1]characters!$A:$M,13,FALSE)</f>
        <v>machine</v>
      </c>
      <c r="M338" s="16">
        <f>VLOOKUP(D338,gacha_181_base!A:B,2,FALSE)</f>
        <v>3097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1811441</v>
      </c>
      <c r="B339" s="2" t="str">
        <f t="shared" si="28"/>
        <v>1811</v>
      </c>
      <c r="C339" s="8" t="str">
        <f t="shared" si="25"/>
        <v>1PremiumS5</v>
      </c>
      <c r="D339" s="8" t="str">
        <f t="shared" si="27"/>
        <v>1PremiumS5</v>
      </c>
      <c r="E339" s="10">
        <v>1</v>
      </c>
      <c r="F339" s="6">
        <v>441</v>
      </c>
      <c r="G339" s="8" t="str">
        <f>VLOOKUP(F339,[1]characters!$A:$C,3,FALSE)</f>
        <v>求心の錻装 ブリキロガー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blue</v>
      </c>
      <c r="K339" s="8" t="str">
        <f>VLOOKUP(F339,[1]characters!$A:$K,11,FALSE)</f>
        <v>attack</v>
      </c>
      <c r="L339" s="8" t="str">
        <f>VLOOKUP(F339,[1]characters!$A:$M,13,FALSE)</f>
        <v>machine</v>
      </c>
      <c r="M339" s="16">
        <f>VLOOKUP(D339,gacha_181_base!A:B,2,FALSE)</f>
        <v>1032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1811442</v>
      </c>
      <c r="B340" s="2" t="str">
        <f t="shared" si="28"/>
        <v>1811</v>
      </c>
      <c r="C340" s="8" t="str">
        <f t="shared" si="25"/>
        <v>1PremiumSS4</v>
      </c>
      <c r="D340" s="8" t="str">
        <f t="shared" si="27"/>
        <v>1PremiumSS4</v>
      </c>
      <c r="E340" s="10">
        <v>1</v>
      </c>
      <c r="F340" s="6">
        <v>442</v>
      </c>
      <c r="G340" s="8" t="str">
        <f>VLOOKUP(F340,[1]characters!$A:$C,3,FALSE)</f>
        <v>ブレイブリー・ライオン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yellow</v>
      </c>
      <c r="K340" s="8" t="str">
        <f>VLOOKUP(F340,[1]characters!$A:$K,11,FALSE)</f>
        <v>hp</v>
      </c>
      <c r="L340" s="8" t="str">
        <f>VLOOKUP(F340,[1]characters!$A:$M,13,FALSE)</f>
        <v>animal</v>
      </c>
      <c r="M340" s="16">
        <f>VLOOKUP(D340,gacha_181_base!A:B,2,FALSE)</f>
        <v>1103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1811443</v>
      </c>
      <c r="B341" s="2" t="str">
        <f t="shared" si="28"/>
        <v>1811</v>
      </c>
      <c r="C341" s="8" t="str">
        <f t="shared" si="25"/>
        <v>1PremiumSS5</v>
      </c>
      <c r="D341" s="8" t="str">
        <f t="shared" si="27"/>
        <v>1PremiumSS5</v>
      </c>
      <c r="E341" s="10">
        <v>1</v>
      </c>
      <c r="F341" s="6">
        <v>443</v>
      </c>
      <c r="G341" s="8" t="str">
        <f>VLOOKUP(F341,[1]characters!$A:$C,3,FALSE)</f>
        <v>勇機結集 ブレイブリー・ライオン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yellow</v>
      </c>
      <c r="K341" s="8" t="str">
        <f>VLOOKUP(F341,[1]characters!$A:$K,11,FALSE)</f>
        <v>hp</v>
      </c>
      <c r="L341" s="8" t="str">
        <f>VLOOKUP(F341,[1]characters!$A:$M,13,FALSE)</f>
        <v>animal</v>
      </c>
      <c r="M341" s="16">
        <f>VLOOKUP(D341,gacha_181_base!A:B,2,FALSE)</f>
        <v>70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1811462</v>
      </c>
      <c r="B342" s="2" t="str">
        <f t="shared" si="28"/>
        <v>1811</v>
      </c>
      <c r="C342" s="8" t="str">
        <f t="shared" si="25"/>
        <v>1PremiumS3</v>
      </c>
      <c r="D342" s="8" t="str">
        <f t="shared" si="27"/>
        <v>1PremiumS3</v>
      </c>
      <c r="E342" s="10">
        <v>1</v>
      </c>
      <c r="F342" s="9">
        <v>462</v>
      </c>
      <c r="G342" s="8" t="str">
        <f>VLOOKUP(F342,[1]characters!$A:$C,3,FALSE)</f>
        <v>ガウェイン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red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VLOOKUP(D342,gacha_181_base!A:B,2,FALSE)</f>
        <v>13074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1811463</v>
      </c>
      <c r="B343" s="2" t="str">
        <f t="shared" si="28"/>
        <v>1811</v>
      </c>
      <c r="C343" s="8" t="str">
        <f t="shared" si="25"/>
        <v>1PremiumS4</v>
      </c>
      <c r="D343" s="8" t="str">
        <f t="shared" si="27"/>
        <v>1PremiumS4</v>
      </c>
      <c r="E343" s="10">
        <v>1</v>
      </c>
      <c r="F343" s="9">
        <v>463</v>
      </c>
      <c r="G343" s="8" t="str">
        <f>VLOOKUP(F343,[1]characters!$A:$C,3,FALSE)</f>
        <v>燻銀 ガウェイン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red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VLOOKUP(D343,gacha_181_base!A:B,2,FALSE)</f>
        <v>3097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1811464</v>
      </c>
      <c r="B344" s="2" t="str">
        <f t="shared" si="28"/>
        <v>1811</v>
      </c>
      <c r="C344" s="8" t="str">
        <f t="shared" si="25"/>
        <v>1PremiumS5</v>
      </c>
      <c r="D344" s="8" t="str">
        <f t="shared" si="27"/>
        <v>1PremiumS5</v>
      </c>
      <c r="E344" s="10">
        <v>1</v>
      </c>
      <c r="F344" s="9">
        <v>464</v>
      </c>
      <c r="G344" s="8" t="str">
        <f>VLOOKUP(F344,[1]characters!$A:$C,3,FALSE)</f>
        <v>円熟の弾導 ガウェイン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red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VLOOKUP(D344,gacha_181_base!A:B,2,FALSE)</f>
        <v>1032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1811465</v>
      </c>
      <c r="B345" s="2" t="str">
        <f t="shared" si="28"/>
        <v>1811</v>
      </c>
      <c r="C345" s="8" t="str">
        <f t="shared" si="25"/>
        <v>1PremiumSS4</v>
      </c>
      <c r="D345" s="8" t="str">
        <f t="shared" si="27"/>
        <v>1PremiumSS4</v>
      </c>
      <c r="E345" s="10">
        <v>1</v>
      </c>
      <c r="F345" s="9">
        <v>465</v>
      </c>
      <c r="G345" s="8" t="str">
        <f>VLOOKUP(F345,[1]characters!$A:$C,3,FALSE)</f>
        <v>真撃 ランスロット</v>
      </c>
      <c r="H345" s="8" t="str">
        <f>VLOOKUP(F345,[1]characters!$A:$J,10,FALSE)</f>
        <v>PremiumSS</v>
      </c>
      <c r="I345" s="8">
        <f>VLOOKUP(F345,[1]characters!$A:$I,9,FALSE)</f>
        <v>4</v>
      </c>
      <c r="J345" s="8" t="str">
        <f>VLOOKUP(F345,[1]characters!$A:$H,8,FALSE)</f>
        <v>green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VLOOKUP(D345,gacha_181_base!A:B,2,FALSE)</f>
        <v>1103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s="11" customFormat="1" ht="21" customHeight="1" thickBot="1">
      <c r="A346" s="7" t="str">
        <f t="shared" si="26"/>
        <v>1811466</v>
      </c>
      <c r="B346" s="2" t="str">
        <f t="shared" si="28"/>
        <v>1811</v>
      </c>
      <c r="C346" s="8" t="str">
        <f t="shared" si="25"/>
        <v>1PremiumSS5</v>
      </c>
      <c r="D346" s="8" t="str">
        <f t="shared" si="27"/>
        <v>1PremiumSS5</v>
      </c>
      <c r="E346" s="10">
        <v>1</v>
      </c>
      <c r="F346" s="6">
        <v>466</v>
      </c>
      <c r="G346" s="8" t="str">
        <f>VLOOKUP(F346,[1]characters!$A:$C,3,FALSE)</f>
        <v>真断の勇覇 ランスロット</v>
      </c>
      <c r="H346" s="8" t="str">
        <f>VLOOKUP(F346,[1]characters!$A:$J,10,FALSE)</f>
        <v>PremiumSS</v>
      </c>
      <c r="I346" s="8">
        <f>VLOOKUP(F346,[1]characters!$A:$I,9,FALSE)</f>
        <v>5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human</v>
      </c>
      <c r="M346" s="16">
        <f>VLOOKUP(D346,gacha_181_base!A:B,2,FALSE)</f>
        <v>70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1811467</v>
      </c>
      <c r="B347" s="2" t="str">
        <f t="shared" si="28"/>
        <v>1811</v>
      </c>
      <c r="C347" s="8" t="str">
        <f t="shared" si="25"/>
        <v>1PremiumSS4</v>
      </c>
      <c r="D347" s="8" t="str">
        <f t="shared" si="27"/>
        <v>1PremiumSS4</v>
      </c>
      <c r="E347" s="10">
        <v>1</v>
      </c>
      <c r="F347" s="6">
        <v>467</v>
      </c>
      <c r="G347" s="8" t="str">
        <f>VLOOKUP(F347,[1]characters!$A:$C,3,FALSE)</f>
        <v>報復 モルドレッド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blue</v>
      </c>
      <c r="K347" s="8" t="str">
        <f>VLOOKUP(F347,[1]characters!$A:$K,11,FALSE)</f>
        <v>technical</v>
      </c>
      <c r="L347" s="8" t="str">
        <f>VLOOKUP(F347,[1]characters!$A:$M,13,FALSE)</f>
        <v>human</v>
      </c>
      <c r="M347" s="16">
        <f>VLOOKUP(D347,gacha_181_base!A:B,2,FALSE)</f>
        <v>1103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1811468</v>
      </c>
      <c r="B348" s="2" t="str">
        <f t="shared" si="28"/>
        <v>1811</v>
      </c>
      <c r="C348" s="8" t="str">
        <f t="shared" si="25"/>
        <v>1PremiumSS5</v>
      </c>
      <c r="D348" s="8" t="str">
        <f t="shared" si="27"/>
        <v>1PremiumSS5</v>
      </c>
      <c r="E348" s="10">
        <v>1</v>
      </c>
      <c r="F348" s="6">
        <v>468</v>
      </c>
      <c r="G348" s="8" t="str">
        <f>VLOOKUP(F348,[1]characters!$A:$C,3,FALSE)</f>
        <v>憎愛の尖鋒 モルドレッド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human</v>
      </c>
      <c r="M348" s="16">
        <f>VLOOKUP(D348,gacha_181_base!A:B,2,FALSE)</f>
        <v>70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1811469</v>
      </c>
      <c r="B349" s="2" t="str">
        <f t="shared" si="28"/>
        <v>1811</v>
      </c>
      <c r="C349" s="8" t="str">
        <f t="shared" si="25"/>
        <v>1PremiumS3</v>
      </c>
      <c r="D349" s="8" t="str">
        <f t="shared" si="27"/>
        <v>1PremiumS3</v>
      </c>
      <c r="E349" s="10">
        <v>1</v>
      </c>
      <c r="F349" s="6">
        <v>469</v>
      </c>
      <c r="G349" s="8" t="str">
        <f>VLOOKUP(F349,[1]characters!$A:$C,3,FALSE)</f>
        <v>トリスタン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yellow</v>
      </c>
      <c r="K349" s="8" t="str">
        <f>VLOOKUP(F349,[1]characters!$A:$K,11,FALSE)</f>
        <v>attack</v>
      </c>
      <c r="L349" s="8" t="str">
        <f>VLOOKUP(F349,[1]characters!$A:$M,13,FALSE)</f>
        <v>human</v>
      </c>
      <c r="M349" s="16">
        <f>VLOOKUP(D349,gacha_181_base!A:B,2,FALSE)</f>
        <v>13074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1811470</v>
      </c>
      <c r="B350" s="2" t="str">
        <f t="shared" si="28"/>
        <v>1811</v>
      </c>
      <c r="C350" s="8" t="str">
        <f t="shared" ref="C350:C380" si="29">E350&amp;H350&amp;I350</f>
        <v>1PremiumS4</v>
      </c>
      <c r="D350" s="8" t="str">
        <f t="shared" si="27"/>
        <v>1PremiumS4</v>
      </c>
      <c r="E350" s="10">
        <v>1</v>
      </c>
      <c r="F350" s="6">
        <v>470</v>
      </c>
      <c r="G350" s="8" t="str">
        <f>VLOOKUP(F350,[1]characters!$A:$C,3,FALSE)</f>
        <v>純心 トリスタン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human</v>
      </c>
      <c r="M350" s="16">
        <f>VLOOKUP(D350,gacha_181_base!A:B,2,FALSE)</f>
        <v>3097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ref="A351:A380" si="30">B351&amp;F351</f>
        <v>1811471</v>
      </c>
      <c r="B351" s="2" t="str">
        <f t="shared" si="28"/>
        <v>1811</v>
      </c>
      <c r="C351" s="8" t="str">
        <f t="shared" si="29"/>
        <v>1PremiumS5</v>
      </c>
      <c r="D351" s="8" t="str">
        <f t="shared" si="27"/>
        <v>1PremiumS5</v>
      </c>
      <c r="E351" s="10">
        <v>1</v>
      </c>
      <c r="F351" s="6">
        <v>471</v>
      </c>
      <c r="G351" s="8" t="str">
        <f>VLOOKUP(F351,[1]characters!$A:$C,3,FALSE)</f>
        <v>不可避の爆激 トリスタン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human</v>
      </c>
      <c r="M351" s="16">
        <f>VLOOKUP(D351,gacha_181_base!A:B,2,FALSE)</f>
        <v>1032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0"/>
        <v>1811474</v>
      </c>
      <c r="B352" s="2" t="str">
        <f t="shared" si="28"/>
        <v>1811</v>
      </c>
      <c r="C352" s="8" t="str">
        <f t="shared" si="29"/>
        <v>1PremiumSS4</v>
      </c>
      <c r="D352" s="8" t="str">
        <f t="shared" si="27"/>
        <v>1PremiumSS4</v>
      </c>
      <c r="E352" s="10">
        <v>1</v>
      </c>
      <c r="F352" s="6">
        <v>474</v>
      </c>
      <c r="G352" s="8" t="str">
        <f>VLOOKUP(F352,[1]characters!$A:$C,3,FALSE)</f>
        <v>キング・ドライグ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attack</v>
      </c>
      <c r="L352" s="8" t="str">
        <f>VLOOKUP(F352,[1]characters!$A:$M,13,FALSE)</f>
        <v>dragon</v>
      </c>
      <c r="M352" s="16">
        <f>VLOOKUP(D352,gacha_181_base!A:B,2,FALSE)</f>
        <v>1103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0"/>
        <v>1811475</v>
      </c>
      <c r="B353" s="2" t="str">
        <f t="shared" si="28"/>
        <v>1811</v>
      </c>
      <c r="C353" s="8" t="str">
        <f t="shared" si="29"/>
        <v>1PremiumSS5</v>
      </c>
      <c r="D353" s="8" t="str">
        <f t="shared" si="27"/>
        <v>1PremiumSS5</v>
      </c>
      <c r="E353" s="10">
        <v>1</v>
      </c>
      <c r="F353" s="6">
        <v>475</v>
      </c>
      <c r="G353" s="8" t="str">
        <f>VLOOKUP(F353,[1]characters!$A:$C,3,FALSE)</f>
        <v>緋王 キング・ドライグ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attack</v>
      </c>
      <c r="L353" s="8" t="str">
        <f>VLOOKUP(F353,[1]characters!$A:$M,13,FALSE)</f>
        <v>dragon</v>
      </c>
      <c r="M353" s="16">
        <f>VLOOKUP(D353,gacha_181_base!A:B,2,FALSE)</f>
        <v>70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0"/>
        <v>1811476</v>
      </c>
      <c r="B354" s="2" t="str">
        <f t="shared" si="28"/>
        <v>1811</v>
      </c>
      <c r="C354" s="8" t="str">
        <f t="shared" si="29"/>
        <v>1PremiumS3</v>
      </c>
      <c r="D354" s="8" t="str">
        <f t="shared" si="27"/>
        <v>1PremiumS3</v>
      </c>
      <c r="E354" s="10">
        <v>1</v>
      </c>
      <c r="F354" s="6">
        <v>476</v>
      </c>
      <c r="G354" s="8" t="str">
        <f>VLOOKUP(F354,[1]characters!$A:$C,3,FALSE)</f>
        <v>ファータ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green</v>
      </c>
      <c r="K354" s="8" t="str">
        <f>VLOOKUP(F354,[1]characters!$A:$K,11,FALSE)</f>
        <v>heal</v>
      </c>
      <c r="L354" s="8" t="str">
        <f>VLOOKUP(F354,[1]characters!$A:$M,13,FALSE)</f>
        <v>unknown</v>
      </c>
      <c r="M354" s="16">
        <f>VLOOKUP(D354,gacha_181_base!A:B,2,FALSE)</f>
        <v>13074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0"/>
        <v>1811477</v>
      </c>
      <c r="B355" s="2" t="str">
        <f t="shared" si="28"/>
        <v>1811</v>
      </c>
      <c r="C355" s="8" t="str">
        <f t="shared" si="29"/>
        <v>1PremiumS4</v>
      </c>
      <c r="D355" s="8" t="str">
        <f t="shared" si="27"/>
        <v>1PremiumS4</v>
      </c>
      <c r="E355" s="10">
        <v>1</v>
      </c>
      <c r="F355" s="6">
        <v>477</v>
      </c>
      <c r="G355" s="8" t="str">
        <f>VLOOKUP(F355,[1]characters!$A:$C,3,FALSE)</f>
        <v>愛羽妖精 ファータ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green</v>
      </c>
      <c r="K355" s="8" t="str">
        <f>VLOOKUP(F355,[1]characters!$A:$K,11,FALSE)</f>
        <v>heal</v>
      </c>
      <c r="L355" s="8" t="str">
        <f>VLOOKUP(F355,[1]characters!$A:$M,13,FALSE)</f>
        <v>unknown</v>
      </c>
      <c r="M355" s="16">
        <f>VLOOKUP(D355,gacha_181_base!A:B,2,FALSE)</f>
        <v>3097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0"/>
        <v>1811478</v>
      </c>
      <c r="B356" s="2" t="str">
        <f t="shared" si="28"/>
        <v>1811</v>
      </c>
      <c r="C356" s="8" t="str">
        <f t="shared" si="29"/>
        <v>1PremiumS5</v>
      </c>
      <c r="D356" s="8" t="str">
        <f t="shared" si="27"/>
        <v>1PremiumS5</v>
      </c>
      <c r="E356" s="10">
        <v>1</v>
      </c>
      <c r="F356" s="6">
        <v>478</v>
      </c>
      <c r="G356" s="8" t="str">
        <f>VLOOKUP(F356,[1]characters!$A:$C,3,FALSE)</f>
        <v>時計仕掛けの愛羽妖精 ファータ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green</v>
      </c>
      <c r="K356" s="8" t="str">
        <f>VLOOKUP(F356,[1]characters!$A:$K,11,FALSE)</f>
        <v>heal</v>
      </c>
      <c r="L356" s="8" t="str">
        <f>VLOOKUP(F356,[1]characters!$A:$M,13,FALSE)</f>
        <v>unknown</v>
      </c>
      <c r="M356" s="16">
        <f>VLOOKUP(D356,gacha_181_base!A:B,2,FALSE)</f>
        <v>1032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0"/>
        <v>1811479</v>
      </c>
      <c r="B357" s="2" t="str">
        <f t="shared" si="28"/>
        <v>1811</v>
      </c>
      <c r="C357" s="8" t="str">
        <f t="shared" si="29"/>
        <v>1PremiumSS4</v>
      </c>
      <c r="D357" s="8" t="str">
        <f t="shared" si="27"/>
        <v>1PremiumSS4</v>
      </c>
      <c r="E357" s="10">
        <v>1</v>
      </c>
      <c r="F357" s="6">
        <v>479</v>
      </c>
      <c r="G357" s="8" t="str">
        <f>VLOOKUP(F357,[1]characters!$A:$C,3,FALSE)</f>
        <v>フール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blue</v>
      </c>
      <c r="K357" s="8" t="str">
        <f>VLOOKUP(F357,[1]characters!$A:$K,11,FALSE)</f>
        <v>technical</v>
      </c>
      <c r="L357" s="8" t="str">
        <f>VLOOKUP(F357,[1]characters!$A:$M,13,FALSE)</f>
        <v>god</v>
      </c>
      <c r="M357" s="16">
        <f>VLOOKUP(D357,gacha_181_base!A:B,2,FALSE)</f>
        <v>1103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0"/>
        <v>1811480</v>
      </c>
      <c r="B358" s="2" t="str">
        <f t="shared" si="28"/>
        <v>1811</v>
      </c>
      <c r="C358" s="8" t="str">
        <f t="shared" si="29"/>
        <v>1PremiumSS5</v>
      </c>
      <c r="D358" s="8" t="str">
        <f t="shared" si="27"/>
        <v>1PremiumSS5</v>
      </c>
      <c r="E358" s="10">
        <v>1</v>
      </c>
      <c r="F358" s="6">
        <v>480</v>
      </c>
      <c r="G358" s="8" t="str">
        <f>VLOOKUP(F358,[1]characters!$A:$C,3,FALSE)</f>
        <v>夢幻の愚者フール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blue</v>
      </c>
      <c r="K358" s="8" t="str">
        <f>VLOOKUP(F358,[1]characters!$A:$K,11,FALSE)</f>
        <v>technical</v>
      </c>
      <c r="L358" s="8" t="str">
        <f>VLOOKUP(F358,[1]characters!$A:$M,13,FALSE)</f>
        <v>god</v>
      </c>
      <c r="M358" s="16">
        <f>VLOOKUP(D358,gacha_181_base!A:B,2,FALSE)</f>
        <v>70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0"/>
        <v>1811481</v>
      </c>
      <c r="B359" s="2" t="str">
        <f t="shared" si="28"/>
        <v>1811</v>
      </c>
      <c r="C359" s="8" t="str">
        <f t="shared" si="29"/>
        <v>1PremiumS3</v>
      </c>
      <c r="D359" s="8" t="str">
        <f t="shared" si="27"/>
        <v>1PremiumS3</v>
      </c>
      <c r="E359" s="10">
        <v>1</v>
      </c>
      <c r="F359" s="6">
        <v>481</v>
      </c>
      <c r="G359" s="8" t="str">
        <f>VLOOKUP(F359,[1]characters!$A:$C,3,FALSE)</f>
        <v>沢庵宗彭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VLOOKUP(D359,gacha_181_base!A:B,2,FALSE)</f>
        <v>13074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0"/>
        <v>1811482</v>
      </c>
      <c r="B360" s="2" t="str">
        <f t="shared" si="28"/>
        <v>1811</v>
      </c>
      <c r="C360" s="8" t="str">
        <f t="shared" si="29"/>
        <v>1PremiumS4</v>
      </c>
      <c r="D360" s="8" t="str">
        <f t="shared" si="27"/>
        <v>1PremiumS4</v>
      </c>
      <c r="E360" s="10">
        <v>1</v>
      </c>
      <c r="F360" s="6">
        <v>482</v>
      </c>
      <c r="G360" s="8" t="str">
        <f>VLOOKUP(F360,[1]characters!$A:$C,3,FALSE)</f>
        <v>魁僧 沢庵宗彭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yellow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VLOOKUP(D360,gacha_181_base!A:B,2,FALSE)</f>
        <v>3097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0"/>
        <v>1811483</v>
      </c>
      <c r="B361" s="2" t="str">
        <f t="shared" si="28"/>
        <v>1811</v>
      </c>
      <c r="C361" s="8" t="str">
        <f t="shared" si="29"/>
        <v>1PremiumS5</v>
      </c>
      <c r="D361" s="8" t="str">
        <f t="shared" si="27"/>
        <v>1PremiumS5</v>
      </c>
      <c r="E361" s="10">
        <v>1</v>
      </c>
      <c r="F361" s="6">
        <v>483</v>
      </c>
      <c r="G361" s="8" t="str">
        <f>VLOOKUP(F361,[1]characters!$A:$C,3,FALSE)</f>
        <v xml:space="preserve">命経死遂 沢庵宗彭 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yellow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VLOOKUP(D361,gacha_181_base!A:B,2,FALSE)</f>
        <v>1032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0"/>
        <v>1811492</v>
      </c>
      <c r="B362" s="2" t="str">
        <f t="shared" si="28"/>
        <v>1811</v>
      </c>
      <c r="C362" s="8" t="str">
        <f t="shared" si="29"/>
        <v>1PremiumSS4</v>
      </c>
      <c r="D362" s="8" t="str">
        <f>E362&amp;H362&amp;I362&amp;"pick"</f>
        <v>1PremiumSS4pick</v>
      </c>
      <c r="E362" s="10">
        <v>1</v>
      </c>
      <c r="F362" s="6">
        <v>492</v>
      </c>
      <c r="G362" s="8" t="str">
        <f>VLOOKUP(F362,[1]characters!$A:$C,3,FALSE)</f>
        <v>ブートレグ・ペロー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red</v>
      </c>
      <c r="K362" s="8" t="str">
        <f>VLOOKUP(F362,[1]characters!$A:$K,11,FALSE)</f>
        <v>hp</v>
      </c>
      <c r="L362" s="8" t="str">
        <f>VLOOKUP(F362,[1]characters!$A:$M,13,FALSE)</f>
        <v>animal</v>
      </c>
      <c r="M362" s="16">
        <f>VLOOKUP(D362,gacha_181_base!A:B,2,FALSE)</f>
        <v>10481</v>
      </c>
      <c r="N362" s="38">
        <f>IFERROR(VLOOKUP($F362,bug_conf_sheet!$A:$H,3,FALSE),VLOOKUP("other",bug_conf_sheet!$A:$H,3,FALSE))</f>
        <v>60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3</v>
      </c>
    </row>
    <row r="363" spans="1:19" ht="21" customHeight="1">
      <c r="A363" s="7" t="str">
        <f t="shared" si="30"/>
        <v>1811493</v>
      </c>
      <c r="B363" s="2" t="str">
        <f t="shared" si="28"/>
        <v>1811</v>
      </c>
      <c r="C363" s="8" t="str">
        <f t="shared" si="29"/>
        <v>1PremiumSS5</v>
      </c>
      <c r="D363" s="8" t="str">
        <f>E363&amp;H363&amp;I363&amp;"pick"</f>
        <v>1PremiumSS5pick</v>
      </c>
      <c r="E363" s="10">
        <v>1</v>
      </c>
      <c r="F363" s="6">
        <v>493</v>
      </c>
      <c r="G363" s="8" t="str">
        <f>VLOOKUP(F363,[1]characters!$A:$C,3,FALSE)</f>
        <v>跋扈の機脚 ブートレグ・ペロー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red</v>
      </c>
      <c r="K363" s="8" t="str">
        <f>VLOOKUP(F363,[1]characters!$A:$K,11,FALSE)</f>
        <v>hp</v>
      </c>
      <c r="L363" s="8" t="str">
        <f>VLOOKUP(F363,[1]characters!$A:$M,13,FALSE)</f>
        <v>animal</v>
      </c>
      <c r="M363" s="16">
        <f>VLOOKUP(D363,gacha_181_base!A:B,2,FALSE)</f>
        <v>669</v>
      </c>
      <c r="N363" s="38">
        <f>IFERROR(VLOOKUP($F363,bug_conf_sheet!$A:$H,3,FALSE),VLOOKUP("other",bug_conf_sheet!$A:$H,3,FALSE))</f>
        <v>80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3</v>
      </c>
    </row>
    <row r="364" spans="1:19" ht="21" customHeight="1">
      <c r="A364" s="7" t="str">
        <f t="shared" si="30"/>
        <v>1811494</v>
      </c>
      <c r="B364" s="2" t="str">
        <f t="shared" si="28"/>
        <v>1811</v>
      </c>
      <c r="C364" s="8" t="str">
        <f t="shared" si="29"/>
        <v>1PremiumSS4</v>
      </c>
      <c r="D364" s="8" t="str">
        <f>E364&amp;H364&amp;I364&amp;"pick"</f>
        <v>1PremiumSS4pick</v>
      </c>
      <c r="E364" s="10">
        <v>1</v>
      </c>
      <c r="F364" s="6">
        <v>494</v>
      </c>
      <c r="G364" s="8" t="str">
        <f>VLOOKUP(F364,[1]characters!$A:$C,3,FALSE)</f>
        <v>ハーメルン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green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VLOOKUP(D364,gacha_181_base!A:B,2,FALSE)</f>
        <v>10481</v>
      </c>
      <c r="N364" s="38">
        <f>IFERROR(VLOOKUP($F364,bug_conf_sheet!$A:$H,3,FALSE),VLOOKUP("other",bug_conf_sheet!$A:$H,3,FALSE))</f>
        <v>60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3</v>
      </c>
    </row>
    <row r="365" spans="1:19" ht="21" customHeight="1">
      <c r="A365" s="7" t="str">
        <f t="shared" si="30"/>
        <v>1811495</v>
      </c>
      <c r="B365" s="2" t="str">
        <f t="shared" si="28"/>
        <v>1811</v>
      </c>
      <c r="C365" s="8" t="str">
        <f t="shared" si="29"/>
        <v>1PremiumSS5</v>
      </c>
      <c r="D365" s="8" t="str">
        <f>E365&amp;H365&amp;I365&amp;"pick"</f>
        <v>1PremiumSS5pick</v>
      </c>
      <c r="E365" s="10">
        <v>1</v>
      </c>
      <c r="F365" s="6">
        <v>495</v>
      </c>
      <c r="G365" s="8" t="str">
        <f>VLOOKUP(F365,[1]characters!$A:$C,3,FALSE)</f>
        <v>鼠災呼ぶ笛音 ハーメルン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green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VLOOKUP(D365,gacha_181_base!A:B,2,FALSE)</f>
        <v>669</v>
      </c>
      <c r="N365" s="38">
        <f>IFERROR(VLOOKUP($F365,bug_conf_sheet!$A:$H,3,FALSE),VLOOKUP("other",bug_conf_sheet!$A:$H,3,FALSE))</f>
        <v>80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3</v>
      </c>
    </row>
    <row r="366" spans="1:19" ht="21" customHeight="1">
      <c r="A366" s="7" t="str">
        <f t="shared" si="30"/>
        <v>1811496</v>
      </c>
      <c r="B366" s="2" t="str">
        <f t="shared" si="28"/>
        <v>1811</v>
      </c>
      <c r="C366" s="8" t="str">
        <f t="shared" si="29"/>
        <v>1PremiumS3</v>
      </c>
      <c r="D366" s="8" t="str">
        <f t="shared" si="27"/>
        <v>1PremiumS3</v>
      </c>
      <c r="E366" s="10">
        <v>1</v>
      </c>
      <c r="F366" s="6">
        <v>496</v>
      </c>
      <c r="G366" s="8" t="str">
        <f>VLOOKUP(F366,[1]characters!$A:$C,3,FALSE)</f>
        <v>エスタブ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blue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VLOOKUP(D366,gacha_181_base!A:B,2,FALSE)</f>
        <v>13074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1811497</v>
      </c>
      <c r="B367" s="2" t="str">
        <f t="shared" si="28"/>
        <v>1811</v>
      </c>
      <c r="C367" s="8" t="str">
        <f t="shared" si="29"/>
        <v>1PremiumS4</v>
      </c>
      <c r="D367" s="8" t="str">
        <f t="shared" si="27"/>
        <v>1PremiumS4</v>
      </c>
      <c r="E367" s="10">
        <v>1</v>
      </c>
      <c r="F367" s="6">
        <v>497</v>
      </c>
      <c r="G367" s="8" t="str">
        <f>VLOOKUP(F367,[1]characters!$A:$C,3,FALSE)</f>
        <v>偏愛の野獣 エスタブ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blue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VLOOKUP(D367,gacha_181_base!A:B,2,FALSE)</f>
        <v>3097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1811498</v>
      </c>
      <c r="B368" s="2" t="str">
        <f t="shared" si="28"/>
        <v>1811</v>
      </c>
      <c r="C368" s="8" t="str">
        <f t="shared" si="29"/>
        <v>1PremiumS5</v>
      </c>
      <c r="D368" s="8" t="str">
        <f t="shared" si="27"/>
        <v>1PremiumS5</v>
      </c>
      <c r="E368" s="10">
        <v>1</v>
      </c>
      <c r="F368" s="6">
        <v>498</v>
      </c>
      <c r="G368" s="8" t="str">
        <f>VLOOKUP(F368,[1]characters!$A:$C,3,FALSE)</f>
        <v>自愛の高魔 エスタブ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blue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VLOOKUP(D368,gacha_181_base!A:B,2,FALSE)</f>
        <v>1032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1811499</v>
      </c>
      <c r="B369" s="2" t="str">
        <f t="shared" si="28"/>
        <v>1811</v>
      </c>
      <c r="C369" s="8" t="str">
        <f t="shared" si="29"/>
        <v>1PremiumSS4</v>
      </c>
      <c r="D369" s="8" t="str">
        <f t="shared" si="27"/>
        <v>1PremiumSS4</v>
      </c>
      <c r="E369" s="10">
        <v>1</v>
      </c>
      <c r="F369" s="6">
        <v>499</v>
      </c>
      <c r="G369" s="8" t="str">
        <f>VLOOKUP(F369,[1]characters!$A:$C,3,FALSE)</f>
        <v>ラプンツェル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yellow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VLOOKUP(D369,gacha_181_base!A:B,2,FALSE)</f>
        <v>1103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1811500</v>
      </c>
      <c r="B370" s="2" t="str">
        <f t="shared" si="28"/>
        <v>1811</v>
      </c>
      <c r="C370" s="8" t="str">
        <f t="shared" si="29"/>
        <v>1PremiumSS5</v>
      </c>
      <c r="D370" s="8" t="str">
        <f t="shared" si="27"/>
        <v>1PremiumSS5</v>
      </c>
      <c r="E370" s="10">
        <v>1</v>
      </c>
      <c r="F370" s="6">
        <v>500</v>
      </c>
      <c r="G370" s="8" t="str">
        <f>VLOOKUP(F370,[1]characters!$A:$C,3,FALSE)</f>
        <v>脈動の禁髪 ラプンツェル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yellow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VLOOKUP(D370,gacha_181_base!A:B,2,FALSE)</f>
        <v>70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1811586</v>
      </c>
      <c r="B371" s="2" t="str">
        <f t="shared" si="28"/>
        <v>1811</v>
      </c>
      <c r="C371" s="8" t="str">
        <f t="shared" si="29"/>
        <v>1PremiumSS4</v>
      </c>
      <c r="D371" s="8" t="str">
        <f t="shared" si="27"/>
        <v>1PremiumSS4</v>
      </c>
      <c r="E371" s="10">
        <v>1</v>
      </c>
      <c r="F371" s="6">
        <v>586</v>
      </c>
      <c r="G371" s="8" t="str">
        <f>VLOOKUP(F371,[1]characters!$A:$C,3,FALSE)</f>
        <v>ユミル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machine</v>
      </c>
      <c r="M371" s="16">
        <f>VLOOKUP(D371,gacha_181_base!A:B,2,FALSE)</f>
        <v>1103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1811587</v>
      </c>
      <c r="B372" s="2" t="str">
        <f t="shared" si="28"/>
        <v>1811</v>
      </c>
      <c r="C372" s="8" t="str">
        <f t="shared" si="29"/>
        <v>1PremiumSS5</v>
      </c>
      <c r="D372" s="8" t="str">
        <f t="shared" si="27"/>
        <v>1PremiumSS5</v>
      </c>
      <c r="E372" s="10">
        <v>1</v>
      </c>
      <c r="F372" s="6">
        <v>587</v>
      </c>
      <c r="G372" s="8" t="str">
        <f>VLOOKUP(F372,[1]characters!$A:$C,3,FALSE)</f>
        <v>原初の煉鋼巨刃 ユミル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red</v>
      </c>
      <c r="K372" s="8" t="str">
        <f>VLOOKUP(F372,[1]characters!$A:$K,11,FALSE)</f>
        <v>hp</v>
      </c>
      <c r="L372" s="8" t="str">
        <f>VLOOKUP(F372,[1]characters!$A:$M,13,FALSE)</f>
        <v>machine</v>
      </c>
      <c r="M372" s="16">
        <f>VLOOKUP(D372,gacha_181_base!A:B,2,FALSE)</f>
        <v>70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1811588</v>
      </c>
      <c r="B373" s="2" t="str">
        <f t="shared" si="28"/>
        <v>1811</v>
      </c>
      <c r="C373" s="8" t="str">
        <f t="shared" si="29"/>
        <v>1PremiumS3</v>
      </c>
      <c r="D373" s="8" t="str">
        <f t="shared" si="27"/>
        <v>1PremiumS3</v>
      </c>
      <c r="E373" s="10">
        <v>1</v>
      </c>
      <c r="F373" s="6">
        <v>588</v>
      </c>
      <c r="G373" s="8" t="str">
        <f>VLOOKUP(F373,[1]characters!$A:$C,3,FALSE)</f>
        <v>ニーベルゲン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green</v>
      </c>
      <c r="K373" s="8" t="str">
        <f>VLOOKUP(F373,[1]characters!$A:$K,11,FALSE)</f>
        <v>balance</v>
      </c>
      <c r="L373" s="8" t="str">
        <f>VLOOKUP(F373,[1]characters!$A:$M,13,FALSE)</f>
        <v>unknown</v>
      </c>
      <c r="M373" s="16">
        <f>VLOOKUP(D373,gacha_181_base!A:B,2,FALSE)</f>
        <v>13074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1811589</v>
      </c>
      <c r="B374" s="2" t="str">
        <f t="shared" si="28"/>
        <v>1811</v>
      </c>
      <c r="C374" s="8" t="str">
        <f t="shared" si="29"/>
        <v>1PremiumS4</v>
      </c>
      <c r="D374" s="8" t="str">
        <f t="shared" si="27"/>
        <v>1PremiumS4</v>
      </c>
      <c r="E374" s="10">
        <v>1</v>
      </c>
      <c r="F374" s="6">
        <v>589</v>
      </c>
      <c r="G374" s="8" t="str">
        <f>VLOOKUP(F374,[1]characters!$A:$C,3,FALSE)</f>
        <v>不幸の円環 ニーベルゲン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green</v>
      </c>
      <c r="K374" s="8" t="str">
        <f>VLOOKUP(F374,[1]characters!$A:$K,11,FALSE)</f>
        <v>balance</v>
      </c>
      <c r="L374" s="8" t="str">
        <f>VLOOKUP(F374,[1]characters!$A:$M,13,FALSE)</f>
        <v>unknown</v>
      </c>
      <c r="M374" s="16">
        <f>VLOOKUP(D374,gacha_181_base!A:B,2,FALSE)</f>
        <v>3097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1811590</v>
      </c>
      <c r="B375" s="2" t="str">
        <f t="shared" si="28"/>
        <v>1811</v>
      </c>
      <c r="C375" s="8" t="str">
        <f t="shared" si="29"/>
        <v>1PremiumS5</v>
      </c>
      <c r="D375" s="8" t="str">
        <f t="shared" si="27"/>
        <v>1PremiumS5</v>
      </c>
      <c r="E375" s="10">
        <v>1</v>
      </c>
      <c r="F375" s="6">
        <v>590</v>
      </c>
      <c r="G375" s="8" t="str">
        <f>VLOOKUP(F375,[1]characters!$A:$C,3,FALSE)</f>
        <v>永遠を廻る呪い ニーベルゲン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green</v>
      </c>
      <c r="K375" s="8" t="str">
        <f>VLOOKUP(F375,[1]characters!$A:$K,11,FALSE)</f>
        <v>balance</v>
      </c>
      <c r="L375" s="8" t="str">
        <f>VLOOKUP(F375,[1]characters!$A:$M,13,FALSE)</f>
        <v>unknown</v>
      </c>
      <c r="M375" s="16">
        <f>VLOOKUP(D375,gacha_181_base!A:B,2,FALSE)</f>
        <v>1032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1811591</v>
      </c>
      <c r="B376" s="2" t="str">
        <f t="shared" si="28"/>
        <v>1811</v>
      </c>
      <c r="C376" s="8" t="str">
        <f t="shared" si="29"/>
        <v>1PremiumS3</v>
      </c>
      <c r="D376" s="8" t="str">
        <f t="shared" si="27"/>
        <v>1PremiumS3</v>
      </c>
      <c r="E376" s="10">
        <v>1</v>
      </c>
      <c r="F376" s="6">
        <v>591</v>
      </c>
      <c r="G376" s="8" t="str">
        <f>VLOOKUP(F376,[1]characters!$A:$C,3,FALSE)</f>
        <v>ファフニール</v>
      </c>
      <c r="H376" s="8" t="str">
        <f>VLOOKUP(F376,[1]characters!$A:$J,10,FALSE)</f>
        <v>PremiumS</v>
      </c>
      <c r="I376" s="8">
        <f>VLOOKUP(F376,[1]characters!$A:$I,9,FALSE)</f>
        <v>3</v>
      </c>
      <c r="J376" s="8" t="str">
        <f>VLOOKUP(F376,[1]characters!$A:$H,8,FALSE)</f>
        <v>blue</v>
      </c>
      <c r="K376" s="8" t="str">
        <f>VLOOKUP(F376,[1]characters!$A:$K,11,FALSE)</f>
        <v>technical</v>
      </c>
      <c r="L376" s="8" t="str">
        <f>VLOOKUP(F376,[1]characters!$A:$M,13,FALSE)</f>
        <v>dragon</v>
      </c>
      <c r="M376" s="16">
        <f>VLOOKUP(D376,gacha_181_base!A:B,2,FALSE)</f>
        <v>13074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1811592</v>
      </c>
      <c r="B377" s="2" t="str">
        <f t="shared" si="28"/>
        <v>1811</v>
      </c>
      <c r="C377" s="8" t="str">
        <f t="shared" si="29"/>
        <v>1PremiumS4</v>
      </c>
      <c r="D377" s="8" t="str">
        <f t="shared" si="27"/>
        <v>1PremiumS4</v>
      </c>
      <c r="E377" s="10">
        <v>1</v>
      </c>
      <c r="F377" s="6">
        <v>592</v>
      </c>
      <c r="G377" s="8" t="str">
        <f>VLOOKUP(F377,[1]characters!$A:$C,3,FALSE)</f>
        <v>財宝への執着 ファフニール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technical</v>
      </c>
      <c r="L377" s="8" t="str">
        <f>VLOOKUP(F377,[1]characters!$A:$M,13,FALSE)</f>
        <v>dragon</v>
      </c>
      <c r="M377" s="16">
        <f>VLOOKUP(D377,gacha_181_base!A:B,2,FALSE)</f>
        <v>3097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1811593</v>
      </c>
      <c r="B378" s="2" t="str">
        <f t="shared" si="28"/>
        <v>1811</v>
      </c>
      <c r="C378" s="8" t="str">
        <f t="shared" si="29"/>
        <v>1PremiumS5</v>
      </c>
      <c r="D378" s="8" t="str">
        <f t="shared" si="27"/>
        <v>1PremiumS5</v>
      </c>
      <c r="E378" s="10">
        <v>1</v>
      </c>
      <c r="F378" s="6">
        <v>593</v>
      </c>
      <c r="G378" s="8" t="str">
        <f>VLOOKUP(F378,[1]characters!$A:$C,3,FALSE)</f>
        <v>妄執する邪毒龍 ファフニール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16">
        <f>VLOOKUP(D378,gacha_181_base!A:B,2,FALSE)</f>
        <v>1032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1811594</v>
      </c>
      <c r="B379" s="2" t="str">
        <f t="shared" si="28"/>
        <v>1811</v>
      </c>
      <c r="C379" s="8" t="str">
        <f t="shared" si="29"/>
        <v>1PremiumSS4</v>
      </c>
      <c r="D379" s="8" t="str">
        <f t="shared" si="27"/>
        <v>1PremiumSS4</v>
      </c>
      <c r="E379" s="10">
        <v>1</v>
      </c>
      <c r="F379" s="6">
        <v>594</v>
      </c>
      <c r="G379" s="8" t="str">
        <f>VLOOKUP(F379,[1]characters!$A:$C,3,FALSE)</f>
        <v>アルフヘイム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attack</v>
      </c>
      <c r="L379" s="8" t="str">
        <f>VLOOKUP(F379,[1]characters!$A:$M,13,FALSE)</f>
        <v>dragon</v>
      </c>
      <c r="M379" s="16">
        <f>VLOOKUP(D379,gacha_181_base!A:B,2,FALSE)</f>
        <v>1103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1811595</v>
      </c>
      <c r="B380" s="2" t="str">
        <f t="shared" si="28"/>
        <v>1811</v>
      </c>
      <c r="C380" s="8" t="str">
        <f t="shared" si="29"/>
        <v>1PremiumSS5</v>
      </c>
      <c r="D380" s="8" t="str">
        <f t="shared" si="27"/>
        <v>1PremiumSS5</v>
      </c>
      <c r="E380" s="10">
        <v>1</v>
      </c>
      <c r="F380" s="6">
        <v>595</v>
      </c>
      <c r="G380" s="8" t="str">
        <f>VLOOKUP(F380,[1]characters!$A:$C,3,FALSE)</f>
        <v>光華なる神域 アルフヘイム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attack</v>
      </c>
      <c r="L380" s="8" t="str">
        <f>VLOOKUP(F380,[1]characters!$A:$M,13,FALSE)</f>
        <v>dragon</v>
      </c>
      <c r="M380" s="16">
        <f>VLOOKUP(D380,gacha_181_base!A:B,2,FALSE)</f>
        <v>70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</sheetData>
  <autoFilter ref="A1:S380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O9" sqref="O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1813</v>
      </c>
      <c r="C2" s="8" t="str">
        <f>D2&amp;G2&amp;H2</f>
        <v>PremiumS4</v>
      </c>
      <c r="E2" s="5">
        <v>388</v>
      </c>
      <c r="F2" s="8" t="str">
        <f>VLOOKUP(E2,[1]characters!$A:$C,3,FALSE)</f>
        <v>神円の恋姫 スフィンクス</v>
      </c>
      <c r="G2" s="8" t="str">
        <f>VLOOKUP(E2,[1]characters!$A:$J,10,FALSE)</f>
        <v>PremiumS</v>
      </c>
      <c r="H2" s="8">
        <f>VLOOKUP(E2,[1]characters!$A:$I,9,FALSE)</f>
        <v>4</v>
      </c>
      <c r="I2" s="8" t="str">
        <f>VLOOKUP(E2,[1]characters!$A:$H,8,FALSE)</f>
        <v>yellow</v>
      </c>
      <c r="J2" s="8" t="str">
        <f>VLOOKUP(E2,[1]characters!$A:$K,11,FALSE)</f>
        <v>heal</v>
      </c>
      <c r="K2" s="8" t="str">
        <f>VLOOKUP(E2,[1]characters!$A:$M,13,FALSE)</f>
        <v>animal</v>
      </c>
      <c r="L2" s="16">
        <f>40*95</f>
        <v>3800</v>
      </c>
      <c r="M2" s="38">
        <f>IFERROR(VLOOKUP(E2,bug_conf_sheet!$A:$H,3,FALSE),VLOOKUP("other",bug_conf_sheet!$A:$H,3,FALSE))</f>
        <v>60</v>
      </c>
      <c r="N2" s="38">
        <f>IFERROR(VLOOKUP(EF2,bug_conf_sheet!$A:$H,4,FALSE),VLOOKUP("other",bug_conf_sheet!$A:$H,4,FALSE))</f>
        <v>0</v>
      </c>
      <c r="O2" s="38">
        <f>IFERROR(VLOOKUP(E2,bug_conf_sheet!$A:$H,5,FALSE),VLOOKUP("other",bug_conf_sheet!$A:$H,5,FALSE))</f>
        <v>0</v>
      </c>
      <c r="P2" s="38">
        <f>IFERROR(VLOOKUP(E2,bug_conf_sheet!$A:$H,6,FALSE),VLOOKUP("other",bug_conf_sheet!$A:$H,6,FALSE))</f>
        <v>0</v>
      </c>
      <c r="Q2" s="38">
        <f>IFERROR(VLOOKUP(E2,bug_conf_sheet!$A:$H,7,FALSE),VLOOKUP("other",bug_conf_sheet!$A:$H,7,FALSE))</f>
        <v>0</v>
      </c>
      <c r="R2" s="38">
        <f>IFERROR(VLOOKUP(E2,bug_conf_sheet!$A:$H,8,FALSE),VLOOKUP("other",bug_conf_sheet!$A:$H,8,FALSE))</f>
        <v>3</v>
      </c>
    </row>
    <row r="3" spans="1:18" ht="21" customHeight="1">
      <c r="B3" s="2">
        <v>1813</v>
      </c>
      <c r="C3" s="8" t="str">
        <f t="shared" ref="C3:C9" si="0">D3&amp;G3&amp;H3</f>
        <v>PremiumS5</v>
      </c>
      <c r="E3" s="5">
        <v>389</v>
      </c>
      <c r="F3" s="8" t="str">
        <f>VLOOKUP(E3,[1]characters!$A:$C,3,FALSE)</f>
        <v>操神の愛姫 スフィンクス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yellow</v>
      </c>
      <c r="J3" s="8" t="str">
        <f>VLOOKUP(E3,[1]characters!$A:$K,11,FALSE)</f>
        <v>heal</v>
      </c>
      <c r="K3" s="8" t="str">
        <f>VLOOKUP(E3,[1]characters!$A:$M,13,FALSE)</f>
        <v>animal</v>
      </c>
      <c r="L3" s="16">
        <f>40*5</f>
        <v>200</v>
      </c>
      <c r="M3" s="38">
        <f>IFERROR(VLOOKUP(E3,bug_conf_sheet!$A:$H,3,FALSE),VLOOKUP("other",bug_conf_sheet!$A:$H,3,FALSE))</f>
        <v>80</v>
      </c>
      <c r="N3" s="38">
        <f>IFERROR(VLOOKUP(EF3,bug_conf_sheet!$A:$H,4,FALSE),VLOOKUP("other",bug_conf_sheet!$A:$H,4,FALSE))</f>
        <v>0</v>
      </c>
      <c r="O3" s="38">
        <f>IFERROR(VLOOKUP(E3,bug_conf_sheet!$A:$H,5,FALSE),VLOOKUP("other",bug_conf_sheet!$A:$H,5,FALSE))</f>
        <v>0</v>
      </c>
      <c r="P3" s="38">
        <f>IFERROR(VLOOKUP(E3,bug_conf_sheet!$A:$H,6,FALSE),VLOOKUP("other",bug_conf_sheet!$A:$H,6,FALSE))</f>
        <v>0</v>
      </c>
      <c r="Q3" s="38">
        <f>IFERROR(VLOOKUP(E3,bug_conf_sheet!$A:$H,7,FALSE),VLOOKUP("other",bug_conf_sheet!$A:$H,7,FALSE))</f>
        <v>0</v>
      </c>
      <c r="R3" s="38">
        <f>IFERROR(VLOOKUP(E3,bug_conf_sheet!$A:$H,8,FALSE),VLOOKUP("other",bug_conf_sheet!$A:$H,8,FALSE))</f>
        <v>3</v>
      </c>
    </row>
    <row r="4" spans="1:18" ht="21" customHeight="1">
      <c r="B4" s="2">
        <v>1813</v>
      </c>
      <c r="C4" s="8" t="str">
        <f t="shared" si="0"/>
        <v>PremiumS4</v>
      </c>
      <c r="E4" s="5">
        <v>396</v>
      </c>
      <c r="F4" s="8" t="str">
        <f>VLOOKUP(E4,[1]characters!$A:$C,3,FALSE)</f>
        <v>竜宮の水雷 乙姫</v>
      </c>
      <c r="G4" s="8" t="str">
        <f>VLOOKUP(E4,[1]characters!$A:$J,10,FALSE)</f>
        <v>PremiumS</v>
      </c>
      <c r="H4" s="8">
        <f>VLOOKUP(E4,[1]characters!$A:$I,9,FALSE)</f>
        <v>4</v>
      </c>
      <c r="I4" s="8" t="str">
        <f>VLOOKUP(E4,[1]characters!$A:$H,8,FALSE)</f>
        <v>blue</v>
      </c>
      <c r="J4" s="8" t="str">
        <f>VLOOKUP(E4,[1]characters!$A:$K,11,FALSE)</f>
        <v>hp</v>
      </c>
      <c r="K4" s="8" t="str">
        <f>VLOOKUP(E4,[1]characters!$A:$M,13,FALSE)</f>
        <v>human</v>
      </c>
      <c r="L4" s="16">
        <f>40*95</f>
        <v>3800</v>
      </c>
      <c r="M4" s="38">
        <f>IFERROR(VLOOKUP(E4,bug_conf_sheet!$A:$H,3,FALSE),VLOOKUP("other",bug_conf_sheet!$A:$H,3,FALSE))</f>
        <v>60</v>
      </c>
      <c r="N4" s="38">
        <f>IFERROR(VLOOKUP(EF4,bug_conf_sheet!$A:$H,4,FALSE),VLOOKUP("other",bug_conf_sheet!$A:$H,4,FALSE))</f>
        <v>0</v>
      </c>
      <c r="O4" s="38">
        <f>IFERROR(VLOOKUP(E4,bug_conf_sheet!$A:$H,5,FALSE),VLOOKUP("other",bug_conf_sheet!$A:$H,5,FALSE))</f>
        <v>0</v>
      </c>
      <c r="P4" s="38">
        <f>IFERROR(VLOOKUP(E4,bug_conf_sheet!$A:$H,6,FALSE),VLOOKUP("other",bug_conf_sheet!$A:$H,6,FALSE))</f>
        <v>0</v>
      </c>
      <c r="Q4" s="38">
        <f>IFERROR(VLOOKUP(E4,bug_conf_sheet!$A:$H,7,FALSE),VLOOKUP("other",bug_conf_sheet!$A:$H,7,FALSE))</f>
        <v>0</v>
      </c>
      <c r="R4" s="38">
        <f>IFERROR(VLOOKUP(E4,bug_conf_sheet!$A:$H,8,FALSE),VLOOKUP("other",bug_conf_sheet!$A:$H,8,FALSE))</f>
        <v>3</v>
      </c>
    </row>
    <row r="5" spans="1:18" ht="21" customHeight="1">
      <c r="B5" s="2">
        <v>1813</v>
      </c>
      <c r="C5" s="8" t="str">
        <f t="shared" si="0"/>
        <v>PremiumS5</v>
      </c>
      <c r="E5" s="5">
        <v>397</v>
      </c>
      <c r="F5" s="8" t="str">
        <f>VLOOKUP(E5,[1]characters!$A:$C,3,FALSE)</f>
        <v>禁断の追箱 乙姫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hp</v>
      </c>
      <c r="K5" s="8" t="str">
        <f>VLOOKUP(E5,[1]characters!$A:$M,13,FALSE)</f>
        <v>human</v>
      </c>
      <c r="L5" s="16">
        <f>40*5</f>
        <v>200</v>
      </c>
      <c r="M5" s="38">
        <f>IFERROR(VLOOKUP(E5,bug_conf_sheet!$A:$H,3,FALSE),VLOOKUP("other",bug_conf_sheet!$A:$H,3,FALSE))</f>
        <v>80</v>
      </c>
      <c r="N5" s="38">
        <f>IFERROR(VLOOKUP(EF5,bug_conf_sheet!$A:$H,4,FALSE),VLOOKUP("other",bug_conf_sheet!$A:$H,4,FALSE))</f>
        <v>0</v>
      </c>
      <c r="O5" s="38">
        <f>IFERROR(VLOOKUP(E5,bug_conf_sheet!$A:$H,5,FALSE),VLOOKUP("other",bug_conf_sheet!$A:$H,5,FALSE))</f>
        <v>0</v>
      </c>
      <c r="P5" s="38">
        <f>IFERROR(VLOOKUP(E5,bug_conf_sheet!$A:$H,6,FALSE),VLOOKUP("other",bug_conf_sheet!$A:$H,6,FALSE))</f>
        <v>0</v>
      </c>
      <c r="Q5" s="38">
        <f>IFERROR(VLOOKUP(E5,bug_conf_sheet!$A:$H,7,FALSE),VLOOKUP("other",bug_conf_sheet!$A:$H,7,FALSE))</f>
        <v>0</v>
      </c>
      <c r="R5" s="38">
        <f>IFERROR(VLOOKUP(E5,bug_conf_sheet!$A:$H,8,FALSE),VLOOKUP("other",bug_conf_sheet!$A:$H,8,FALSE))</f>
        <v>3</v>
      </c>
    </row>
    <row r="6" spans="1:18" ht="21" customHeight="1">
      <c r="B6" s="2">
        <v>1813</v>
      </c>
      <c r="C6" s="8" t="str">
        <f t="shared" si="0"/>
        <v>PremiumSS4</v>
      </c>
      <c r="E6" s="5">
        <v>492</v>
      </c>
      <c r="F6" s="8" t="str">
        <f>VLOOKUP(E6,[1]characters!$A:$C,3,FALSE)</f>
        <v>ブートレグ・ペロー</v>
      </c>
      <c r="G6" s="8" t="str">
        <f>VLOOKUP(E6,[1]characters!$A:$J,10,FALSE)</f>
        <v>PremiumSS</v>
      </c>
      <c r="H6" s="8">
        <f>VLOOKUP(E6,[1]characters!$A:$I,9,FALSE)</f>
        <v>4</v>
      </c>
      <c r="I6" s="8" t="str">
        <f>VLOOKUP(E6,[1]characters!$A:$H,8,FALSE)</f>
        <v>red</v>
      </c>
      <c r="J6" s="8" t="str">
        <f>VLOOKUP(E6,[1]characters!$A:$K,11,FALSE)</f>
        <v>hp</v>
      </c>
      <c r="K6" s="8" t="str">
        <f>VLOOKUP(E6,[1]characters!$A:$M,13,FALSE)</f>
        <v>animal</v>
      </c>
      <c r="L6" s="16">
        <f>10*95</f>
        <v>950</v>
      </c>
      <c r="M6" s="38">
        <f>IFERROR(VLOOKUP(E6,bug_conf_sheet!$A:$H,3,FALSE),VLOOKUP("other",bug_conf_sheet!$A:$H,3,FALSE))</f>
        <v>60</v>
      </c>
      <c r="N6" s="38">
        <f>IFERROR(VLOOKUP(EF6,bug_conf_sheet!$A:$H,4,FALSE),VLOOKUP("other",bug_conf_sheet!$A:$H,4,FALSE))</f>
        <v>0</v>
      </c>
      <c r="O6" s="38">
        <f>IFERROR(VLOOKUP(E6,bug_conf_sheet!$A:$H,5,FALSE),VLOOKUP("other",bug_conf_sheet!$A:$H,5,FALSE))</f>
        <v>0</v>
      </c>
      <c r="P6" s="38">
        <f>IFERROR(VLOOKUP(E6,bug_conf_sheet!$A:$H,6,FALSE),VLOOKUP("other",bug_conf_sheet!$A:$H,6,FALSE))</f>
        <v>0</v>
      </c>
      <c r="Q6" s="38">
        <f>IFERROR(VLOOKUP(E6,bug_conf_sheet!$A:$H,7,FALSE),VLOOKUP("other",bug_conf_sheet!$A:$H,7,FALSE))</f>
        <v>0</v>
      </c>
      <c r="R6" s="38">
        <f>IFERROR(VLOOKUP(E6,bug_conf_sheet!$A:$H,8,FALSE),VLOOKUP("other",bug_conf_sheet!$A:$H,8,FALSE))</f>
        <v>3</v>
      </c>
    </row>
    <row r="7" spans="1:18" ht="21" customHeight="1">
      <c r="B7" s="2">
        <v>1813</v>
      </c>
      <c r="C7" s="8" t="str">
        <f t="shared" si="0"/>
        <v>PremiumSS5</v>
      </c>
      <c r="E7" s="5">
        <v>493</v>
      </c>
      <c r="F7" s="8" t="str">
        <f>VLOOKUP(E7,[1]characters!$A:$C,3,FALSE)</f>
        <v>跋扈の機脚 ブートレグ・ペロー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hp</v>
      </c>
      <c r="K7" s="8" t="str">
        <f>VLOOKUP(E7,[1]characters!$A:$M,13,FALSE)</f>
        <v>animal</v>
      </c>
      <c r="L7" s="16">
        <f>10*5</f>
        <v>50</v>
      </c>
      <c r="M7" s="38">
        <f>IFERROR(VLOOKUP(E7,bug_conf_sheet!$A:$H,3,FALSE),VLOOKUP("other",bug_conf_sheet!$A:$H,3,FALSE))</f>
        <v>80</v>
      </c>
      <c r="N7" s="38">
        <f>IFERROR(VLOOKUP(EF7,bug_conf_sheet!$A:$H,4,FALSE),VLOOKUP("other",bug_conf_sheet!$A:$H,4,FALSE))</f>
        <v>0</v>
      </c>
      <c r="O7" s="38">
        <f>IFERROR(VLOOKUP(E7,bug_conf_sheet!$A:$H,5,FALSE),VLOOKUP("other",bug_conf_sheet!$A:$H,5,FALSE))</f>
        <v>0</v>
      </c>
      <c r="P7" s="38">
        <f>IFERROR(VLOOKUP(E7,bug_conf_sheet!$A:$H,6,FALSE),VLOOKUP("other",bug_conf_sheet!$A:$H,6,FALSE))</f>
        <v>0</v>
      </c>
      <c r="Q7" s="38">
        <f>IFERROR(VLOOKUP(E7,bug_conf_sheet!$A:$H,7,FALSE),VLOOKUP("other",bug_conf_sheet!$A:$H,7,FALSE))</f>
        <v>0</v>
      </c>
      <c r="R7" s="38">
        <f>IFERROR(VLOOKUP(E7,bug_conf_sheet!$A:$H,8,FALSE),VLOOKUP("other",bug_conf_sheet!$A:$H,8,FALSE))</f>
        <v>3</v>
      </c>
    </row>
    <row r="8" spans="1:18" ht="21" customHeight="1">
      <c r="B8" s="2">
        <v>1813</v>
      </c>
      <c r="C8" s="8" t="str">
        <f t="shared" si="0"/>
        <v>PremiumSS4</v>
      </c>
      <c r="E8" s="5">
        <v>494</v>
      </c>
      <c r="F8" s="8" t="str">
        <f>VLOOKUP(E8,[1]characters!$A:$C,3,FALSE)</f>
        <v>ハーメルン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green</v>
      </c>
      <c r="J8" s="8" t="str">
        <f>VLOOKUP(E8,[1]characters!$A:$K,11,FALSE)</f>
        <v>technical</v>
      </c>
      <c r="K8" s="8" t="str">
        <f>VLOOKUP(E8,[1]characters!$A:$M,13,FALSE)</f>
        <v>human</v>
      </c>
      <c r="L8" s="16">
        <f>10*95</f>
        <v>950</v>
      </c>
      <c r="M8" s="38">
        <f>IFERROR(VLOOKUP(E8,bug_conf_sheet!$A:$H,3,FALSE),VLOOKUP("other",bug_conf_sheet!$A:$H,3,FALSE))</f>
        <v>60</v>
      </c>
      <c r="N8" s="38">
        <f>IFERROR(VLOOKUP(EF8,bug_conf_sheet!$A:$H,4,FALSE),VLOOKUP("other",bug_conf_sheet!$A:$H,4,FALSE))</f>
        <v>0</v>
      </c>
      <c r="O8" s="38">
        <f>IFERROR(VLOOKUP(E8,bug_conf_sheet!$A:$H,5,FALSE),VLOOKUP("other",bug_conf_sheet!$A:$H,5,FALSE))</f>
        <v>0</v>
      </c>
      <c r="P8" s="38">
        <f>IFERROR(VLOOKUP(E8,bug_conf_sheet!$A:$H,6,FALSE),VLOOKUP("other",bug_conf_sheet!$A:$H,6,FALSE))</f>
        <v>0</v>
      </c>
      <c r="Q8" s="38">
        <f>IFERROR(VLOOKUP(E8,bug_conf_sheet!$A:$H,7,FALSE),VLOOKUP("other",bug_conf_sheet!$A:$H,7,FALSE))</f>
        <v>0</v>
      </c>
      <c r="R8" s="38">
        <f>IFERROR(VLOOKUP(E8,bug_conf_sheet!$A:$H,8,FALSE),VLOOKUP("other",bug_conf_sheet!$A:$H,8,FALSE))</f>
        <v>3</v>
      </c>
    </row>
    <row r="9" spans="1:18" ht="21" customHeight="1">
      <c r="B9" s="2">
        <v>1813</v>
      </c>
      <c r="C9" s="8" t="str">
        <f t="shared" si="0"/>
        <v>PremiumSS5</v>
      </c>
      <c r="E9" s="5">
        <v>495</v>
      </c>
      <c r="F9" s="8" t="str">
        <f>VLOOKUP(E9,[1]characters!$A:$C,3,FALSE)</f>
        <v>鼠災呼ぶ笛音 ハーメルン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green</v>
      </c>
      <c r="J9" s="8" t="str">
        <f>VLOOKUP(E9,[1]characters!$A:$K,11,FALSE)</f>
        <v>technical</v>
      </c>
      <c r="K9" s="8" t="str">
        <f>VLOOKUP(E9,[1]characters!$A:$M,13,FALSE)</f>
        <v>human</v>
      </c>
      <c r="L9" s="16">
        <f>10*5</f>
        <v>50</v>
      </c>
      <c r="M9" s="38">
        <f>IFERROR(VLOOKUP(E9,bug_conf_sheet!$A:$H,3,FALSE),VLOOKUP("other",bug_conf_sheet!$A:$H,3,FALSE))</f>
        <v>80</v>
      </c>
      <c r="N9" s="38">
        <f>IFERROR(VLOOKUP(EF9,bug_conf_sheet!$A:$H,4,FALSE),VLOOKUP("other",bug_conf_sheet!$A:$H,4,FALSE))</f>
        <v>0</v>
      </c>
      <c r="O9" s="38">
        <f>IFERROR(VLOOKUP(E9,bug_conf_sheet!$A:$H,5,FALSE),VLOOKUP("other",bug_conf_sheet!$A:$H,5,FALSE))</f>
        <v>0</v>
      </c>
      <c r="P9" s="38">
        <f>IFERROR(VLOOKUP(E9,bug_conf_sheet!$A:$H,6,FALSE),VLOOKUP("other",bug_conf_sheet!$A:$H,6,FALSE))</f>
        <v>0</v>
      </c>
      <c r="Q9" s="38">
        <f>IFERROR(VLOOKUP(E9,bug_conf_sheet!$A:$H,7,FALSE),VLOOKUP("other",bug_conf_sheet!$A:$H,7,FALSE))</f>
        <v>0</v>
      </c>
      <c r="R9" s="38">
        <f>IFERROR(VLOOKUP(E9,bug_conf_sheet!$A:$H,8,FALSE),VLOOKUP("other",bug_conf_sheet!$A:$H,8,FALSE))</f>
        <v>3</v>
      </c>
    </row>
    <row r="10" spans="1:18" ht="21" customHeight="1">
      <c r="B10" s="2"/>
      <c r="C10" s="8"/>
      <c r="E10" s="56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6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7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7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6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6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5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8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8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8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8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8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8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8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8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8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8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8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8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8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8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8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8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6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6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6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6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7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6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6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6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6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6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6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6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6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6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6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6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6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6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6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6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6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6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6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6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6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7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6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6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6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6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6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6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6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6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6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6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6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6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6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6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6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" activePane="bottomLeft" state="frozen"/>
      <selection pane="bottomLeft" activeCell="H7" sqref="H7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8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>
        <v>387</v>
      </c>
      <c r="B2" s="8" t="str">
        <f>IFERROR(VLOOKUP(A2,[1]characters!$A:$C,3,FALSE),"")</f>
        <v>スフィンクス</v>
      </c>
      <c r="C2" s="5">
        <v>40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388</v>
      </c>
      <c r="B3" s="8" t="str">
        <f>IFERROR(VLOOKUP(A3,[1]characters!$A:$C,3,FALSE),"")</f>
        <v>神円の恋姫 スフィンクス</v>
      </c>
      <c r="C3" s="5">
        <v>60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389</v>
      </c>
      <c r="B4" s="8" t="str">
        <f>IFERROR(VLOOKUP(A4,[1]characters!$A:$C,3,FALSE),"")</f>
        <v>操神の愛姫 スフィンクス</v>
      </c>
      <c r="C4" s="5">
        <v>80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395</v>
      </c>
      <c r="B5" s="8" t="str">
        <f>IFERROR(VLOOKUP(A5,[1]characters!$A:$C,3,FALSE),"")</f>
        <v>乙姫</v>
      </c>
      <c r="C5" s="5">
        <v>40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396</v>
      </c>
      <c r="B6" s="8" t="str">
        <f>IFERROR(VLOOKUP(A6,[1]characters!$A:$C,3,FALSE),"")</f>
        <v>竜宮の水雷 乙姫</v>
      </c>
      <c r="C6" s="5">
        <v>60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397</v>
      </c>
      <c r="B7" s="8" t="str">
        <f>IFERROR(VLOOKUP(A7,[1]characters!$A:$C,3,FALSE),"")</f>
        <v>禁断の追箱 乙姫</v>
      </c>
      <c r="C7" s="5">
        <v>80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492</v>
      </c>
      <c r="B8" s="8" t="str">
        <f>IFERROR(VLOOKUP(A8,[1]characters!$A:$C,3,FALSE),"")</f>
        <v>ブートレグ・ペロー</v>
      </c>
      <c r="C8" s="5">
        <v>60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493</v>
      </c>
      <c r="B9" s="8" t="str">
        <f>IFERROR(VLOOKUP(A9,[1]characters!$A:$C,3,FALSE),"")</f>
        <v>跋扈の機脚 ブートレグ・ペロー</v>
      </c>
      <c r="C9" s="5">
        <v>80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494</v>
      </c>
      <c r="B10" s="8" t="str">
        <f>IFERROR(VLOOKUP(A10,[1]characters!$A:$C,3,FALSE),"")</f>
        <v>ハーメルン</v>
      </c>
      <c r="C10" s="5">
        <v>60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495</v>
      </c>
      <c r="B11" s="8" t="str">
        <f>IFERROR(VLOOKUP(A11,[1]characters!$A:$C,3,FALSE),"")</f>
        <v>鼠災呼ぶ笛音 ハーメルン</v>
      </c>
      <c r="C11" s="5">
        <v>80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6"/>
      <c r="B12" s="8" t="str">
        <f>IFERROR(VLOOKUP(A12,[1]characters!$A:$C,3,FALSE),"")</f>
        <v/>
      </c>
      <c r="C12" s="5"/>
      <c r="D12" s="5"/>
      <c r="E12" s="5"/>
      <c r="F12" s="5"/>
      <c r="G12" s="5"/>
      <c r="H12" s="16"/>
    </row>
    <row r="13" spans="1:8">
      <c r="A13" s="16"/>
      <c r="B13" s="8" t="str">
        <f>IFERROR(VLOOKUP(A13,[1]characters!$A:$C,3,FALSE),"")</f>
        <v/>
      </c>
      <c r="C13" s="5"/>
      <c r="D13" s="5"/>
      <c r="E13" s="5"/>
      <c r="F13" s="5"/>
      <c r="G13" s="5"/>
      <c r="H13" s="16"/>
    </row>
    <row r="14" spans="1:8">
      <c r="A14" s="16"/>
      <c r="B14" s="8" t="str">
        <f>IFERROR(VLOOKUP(A14,[1]characters!$A:$C,3,FALSE),"")</f>
        <v/>
      </c>
      <c r="C14" s="5"/>
      <c r="D14" s="5"/>
      <c r="E14" s="5"/>
      <c r="F14" s="5"/>
      <c r="G14" s="5"/>
      <c r="H14" s="16"/>
    </row>
    <row r="15" spans="1:8">
      <c r="A15" s="16"/>
      <c r="B15" s="8" t="str">
        <f>IFERROR(VLOOKUP(A15,[1]characters!$A:$C,3,FALSE),"")</f>
        <v/>
      </c>
      <c r="C15" s="5"/>
      <c r="D15" s="5"/>
      <c r="E15" s="5"/>
      <c r="F15" s="5"/>
      <c r="G15" s="5"/>
      <c r="H15" s="16"/>
    </row>
    <row r="16" spans="1:8">
      <c r="A16" s="16"/>
      <c r="B16" s="8" t="str">
        <f>IFERROR(VLOOKUP(A16,[1]characters!$A:$C,3,FALSE),"")</f>
        <v/>
      </c>
      <c r="C16" s="5"/>
      <c r="D16" s="5"/>
      <c r="E16" s="5"/>
      <c r="F16" s="5"/>
      <c r="G16" s="5"/>
      <c r="H16" s="16"/>
    </row>
    <row r="17" spans="1:8">
      <c r="A17" s="16"/>
      <c r="B17" s="8" t="str">
        <f>IFERROR(VLOOKUP(A17,[1]characters!$A:$C,3,FALSE),"")</f>
        <v/>
      </c>
      <c r="C17" s="5"/>
      <c r="D17" s="5"/>
      <c r="E17" s="5"/>
      <c r="F17" s="5"/>
      <c r="G17" s="5"/>
      <c r="H17" s="16"/>
    </row>
    <row r="18" spans="1:8">
      <c r="A18" s="16"/>
      <c r="B18" s="8" t="str">
        <f>IFERROR(VLOOKUP(A18,[1]characters!$A:$C,3,FALSE),"")</f>
        <v/>
      </c>
      <c r="C18" s="5"/>
      <c r="D18" s="5"/>
      <c r="E18" s="5"/>
      <c r="F18" s="5"/>
      <c r="G18" s="5"/>
      <c r="H18" s="16"/>
    </row>
    <row r="19" spans="1:8">
      <c r="A19" s="16"/>
      <c r="B19" s="8" t="str">
        <f>IFERROR(VLOOKUP(A19,[1]characters!$A:$C,3,FALSE),"")</f>
        <v/>
      </c>
      <c r="C19" s="5"/>
      <c r="D19" s="5"/>
      <c r="E19" s="5"/>
      <c r="F19" s="5"/>
      <c r="G19" s="5"/>
      <c r="H19" s="16"/>
    </row>
    <row r="20" spans="1:8">
      <c r="A20" s="16"/>
      <c r="B20" s="8" t="str">
        <f>IFERROR(VLOOKUP(A20,[1]characters!$A:$C,3,FALSE),"")</f>
        <v/>
      </c>
      <c r="C20" s="5"/>
      <c r="D20" s="5"/>
      <c r="E20" s="5"/>
      <c r="F20" s="5"/>
      <c r="G20" s="5"/>
      <c r="H20" s="16"/>
    </row>
    <row r="21" spans="1:8">
      <c r="A21" s="16"/>
      <c r="B21" s="8" t="str">
        <f>IFERROR(VLOOKUP(A21,[1]characters!$A:$C,3,FALSE),"")</f>
        <v/>
      </c>
      <c r="C21" s="5"/>
      <c r="D21" s="5"/>
      <c r="E21" s="5"/>
      <c r="F21" s="5"/>
      <c r="G21" s="5"/>
      <c r="H21" s="16"/>
    </row>
    <row r="22" spans="1:8">
      <c r="A22" s="16"/>
      <c r="B22" s="8" t="str">
        <f>IFERROR(VLOOKUP(A22,[1]characters!$A:$C,3,FALSE),"")</f>
        <v/>
      </c>
      <c r="C22" s="5"/>
      <c r="D22" s="5"/>
      <c r="E22" s="5"/>
      <c r="F22" s="5"/>
      <c r="G22" s="5"/>
      <c r="H22" s="16"/>
    </row>
    <row r="23" spans="1:8">
      <c r="A23" s="16"/>
      <c r="B23" s="8" t="str">
        <f>IFERROR(VLOOKUP(A23,[1]characters!$A:$C,3,FALSE),"")</f>
        <v/>
      </c>
      <c r="C23" s="5"/>
      <c r="D23" s="5"/>
      <c r="E23" s="5"/>
      <c r="F23" s="5"/>
      <c r="G23" s="5"/>
      <c r="H23" s="16"/>
    </row>
    <row r="24" spans="1:8">
      <c r="A24" s="16"/>
      <c r="B24" s="8" t="str">
        <f>IFERROR(VLOOKUP(A24,[1]characters!$A:$C,3,FALSE),"")</f>
        <v/>
      </c>
      <c r="C24" s="5"/>
      <c r="D24" s="5"/>
      <c r="E24" s="5"/>
      <c r="F24" s="5"/>
      <c r="G24" s="5"/>
      <c r="H24" s="16"/>
    </row>
    <row r="25" spans="1:8">
      <c r="A25" s="16"/>
      <c r="B25" s="8" t="str">
        <f>IFERROR(VLOOKUP(A25,[1]characters!$A:$C,3,FALSE),"")</f>
        <v/>
      </c>
      <c r="C25" s="5"/>
      <c r="D25" s="5"/>
      <c r="E25" s="5"/>
      <c r="F25" s="5"/>
      <c r="G25" s="5"/>
      <c r="H25" s="16"/>
    </row>
    <row r="26" spans="1:8">
      <c r="A26" s="16"/>
      <c r="B26" s="8" t="str">
        <f>IFERROR(VLOOKUP(A26,[1]characters!$A:$C,3,FALSE),"")</f>
        <v/>
      </c>
      <c r="C26" s="5"/>
      <c r="D26" s="5"/>
      <c r="E26" s="5"/>
      <c r="F26" s="5"/>
      <c r="G26" s="5"/>
      <c r="H26" s="16"/>
    </row>
    <row r="27" spans="1:8">
      <c r="A27" s="16"/>
      <c r="B27" s="8" t="str">
        <f>IFERROR(VLOOKUP(A27,[1]characters!$A:$C,3,FALSE),"")</f>
        <v/>
      </c>
      <c r="C27" s="5"/>
      <c r="D27" s="5"/>
      <c r="E27" s="5"/>
      <c r="F27" s="5"/>
      <c r="G27" s="5"/>
      <c r="H27" s="16"/>
    </row>
    <row r="28" spans="1:8">
      <c r="A28" s="16"/>
      <c r="B28" s="8" t="str">
        <f>IFERROR(VLOOKUP(A28,[1]characters!$A:$C,3,FALSE),"")</f>
        <v/>
      </c>
      <c r="C28" s="5"/>
      <c r="D28" s="5"/>
      <c r="E28" s="5"/>
      <c r="F28" s="5"/>
      <c r="G28" s="5"/>
      <c r="H28" s="16"/>
    </row>
    <row r="29" spans="1:8">
      <c r="A29" s="16"/>
      <c r="B29" s="8" t="str">
        <f>IFERROR(VLOOKUP(A29,[1]characters!$A:$C,3,FALSE),"")</f>
        <v/>
      </c>
      <c r="C29" s="5"/>
      <c r="D29" s="5"/>
      <c r="E29" s="5"/>
      <c r="F29" s="5"/>
      <c r="G29" s="5"/>
      <c r="H29" s="16"/>
    </row>
    <row r="30" spans="1:8">
      <c r="A30" s="16"/>
      <c r="B30" s="8" t="str">
        <f>IFERROR(VLOOKUP(A30,[1]characters!$A:$C,3,FALSE),"")</f>
        <v/>
      </c>
      <c r="C30" s="5"/>
      <c r="D30" s="5"/>
      <c r="E30" s="5"/>
      <c r="F30" s="5"/>
      <c r="G30" s="5"/>
      <c r="H30" s="16"/>
    </row>
    <row r="31" spans="1:8">
      <c r="A31" s="16"/>
      <c r="B31" s="8" t="str">
        <f>IFERROR(VLOOKUP(A31,[1]characters!$A:$C,3,FALSE),"")</f>
        <v/>
      </c>
      <c r="C31" s="5"/>
      <c r="D31" s="5"/>
      <c r="E31" s="5"/>
      <c r="F31" s="5"/>
      <c r="G31" s="5"/>
      <c r="H31" s="16"/>
    </row>
    <row r="32" spans="1:8">
      <c r="A32" s="16"/>
      <c r="B32" s="8" t="str">
        <f>IFERROR(VLOOKUP(A32,[1]characters!$A:$C,3,FALSE),"")</f>
        <v/>
      </c>
      <c r="C32" s="5"/>
      <c r="D32" s="5"/>
      <c r="E32" s="5"/>
      <c r="F32" s="5"/>
      <c r="G32" s="5"/>
      <c r="H32" s="16"/>
    </row>
    <row r="33" spans="1:8">
      <c r="A33" s="16"/>
      <c r="B33" s="8" t="str">
        <f>IFERROR(VLOOKUP(A33,[1]characters!$A:$C,3,FALSE),"")</f>
        <v/>
      </c>
      <c r="C33" s="5"/>
      <c r="D33" s="5"/>
      <c r="E33" s="5"/>
      <c r="F33" s="5"/>
      <c r="G33" s="5"/>
      <c r="H33" s="16"/>
    </row>
    <row r="34" spans="1:8">
      <c r="A34" s="16"/>
      <c r="B34" s="8" t="str">
        <f>IFERROR(VLOOKUP(A34,[1]characters!$A:$C,3,FALSE),"")</f>
        <v/>
      </c>
      <c r="C34" s="5"/>
      <c r="D34" s="5"/>
      <c r="E34" s="5"/>
      <c r="F34" s="5"/>
      <c r="G34" s="5"/>
      <c r="H34" s="16"/>
    </row>
    <row r="35" spans="1:8">
      <c r="A35" s="16"/>
      <c r="B35" s="8" t="str">
        <f>IFERROR(VLOOKUP(A35,[1]characters!$A:$C,3,FALSE),"")</f>
        <v/>
      </c>
      <c r="C35" s="5"/>
      <c r="D35" s="5"/>
      <c r="E35" s="5"/>
      <c r="F35" s="5"/>
      <c r="G35" s="5"/>
      <c r="H35" s="16"/>
    </row>
    <row r="36" spans="1:8">
      <c r="A36" s="16"/>
      <c r="B36" s="8" t="str">
        <f>IFERROR(VLOOKUP(A36,[1]characters!$A:$C,3,FALSE),"")</f>
        <v/>
      </c>
      <c r="C36" s="5"/>
      <c r="D36" s="5"/>
      <c r="E36" s="5"/>
      <c r="F36" s="5"/>
      <c r="G36" s="5"/>
      <c r="H36" s="16"/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61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C14" sqref="C1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181</v>
      </c>
    </row>
    <row r="5" spans="1:8">
      <c r="A5" s="42" t="s">
        <v>82</v>
      </c>
      <c r="B5" s="43" t="str">
        <f>$A$3 &amp; "1"</f>
        <v>1811</v>
      </c>
      <c r="D5" s="42" t="s">
        <v>85</v>
      </c>
      <c r="E5" s="43" t="str">
        <f>$A$3 &amp; "0"</f>
        <v>1810</v>
      </c>
      <c r="G5" s="42" t="s">
        <v>86</v>
      </c>
      <c r="H5" s="43" t="str">
        <f>$A$3 &amp; "3"</f>
        <v>1813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COUNTIFS(gacha_select_tables!$S:$S,"&gt;1",gacha_select_tables!$B:$B,B5)</f>
        <v>10</v>
      </c>
      <c r="B10" s="45"/>
      <c r="D10" s="47">
        <f>COUNTIFS(gacha_select_tables!$S:$S,"&gt;1", gacha_select_tables!$B:$B,E5)</f>
        <v>8</v>
      </c>
      <c r="E10" s="45"/>
      <c r="G10" s="47">
        <f>COUNTIF(gacha_settle_tables!$R:$R,"&gt;1")</f>
        <v>8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97</v>
      </c>
      <c r="B12" s="45"/>
      <c r="D12" s="44" t="s">
        <v>97</v>
      </c>
      <c r="E12" s="45"/>
      <c r="G12" s="44" t="s">
        <v>97</v>
      </c>
      <c r="H12" s="45"/>
    </row>
    <row r="13" spans="1:8">
      <c r="A13" s="47">
        <f>COUNTIFS(gacha_select_tables!$N:$N,"&gt;1",gacha_select_tables!$B:$B,B5)</f>
        <v>10</v>
      </c>
      <c r="B13" s="45"/>
      <c r="D13" s="47">
        <f>COUNTIFS(gacha_select_tables!$N:$N,"&gt;1",gacha_select_tables!$B:$B,E5)</f>
        <v>8</v>
      </c>
      <c r="E13" s="45"/>
      <c r="G13" s="47">
        <f>COUNTIFS(gacha_settle_tables!$M:$M,"&gt;1",gacha_settle_tables!$B:$B,H5)</f>
        <v>8</v>
      </c>
      <c r="H13" s="45"/>
    </row>
    <row r="14" spans="1:8">
      <c r="A14" s="44"/>
      <c r="B14" s="45"/>
      <c r="D14" s="44"/>
      <c r="E14" s="45"/>
      <c r="G14" s="44"/>
      <c r="H14" s="45"/>
    </row>
    <row r="15" spans="1:8">
      <c r="A15" s="44" t="s">
        <v>89</v>
      </c>
      <c r="B15" s="45"/>
      <c r="D15" s="44" t="s">
        <v>89</v>
      </c>
      <c r="E15" s="45"/>
      <c r="G15" s="44" t="s">
        <v>90</v>
      </c>
      <c r="H15" s="45"/>
    </row>
    <row r="16" spans="1:8">
      <c r="A16" s="47">
        <f>COUNTIF(gacha_select_tables!$B:$B,B$5)</f>
        <v>223</v>
      </c>
      <c r="B16" s="45"/>
      <c r="D16" s="47">
        <f>COUNTIF(gacha_select_tables!$B:$B,E$5)</f>
        <v>156</v>
      </c>
      <c r="E16" s="45"/>
      <c r="G16" s="47">
        <f>COUNTIF(gacha_settle_tables!$B:$B,H$5)</f>
        <v>8</v>
      </c>
      <c r="H16" s="45"/>
    </row>
    <row r="17" spans="1:8">
      <c r="A17" s="62"/>
      <c r="B17" s="46"/>
      <c r="D17" s="62"/>
      <c r="E17" s="46"/>
      <c r="G17" s="62"/>
      <c r="H17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gacha_181_base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2016-02-01T05:11:18Z</dcterms:modified>
</cp:coreProperties>
</file>