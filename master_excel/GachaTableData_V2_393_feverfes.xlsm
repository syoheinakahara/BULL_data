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800" tabRatio="943" activeTab="7"/>
  </bookViews>
  <sheets>
    <sheet name="確率の考え方" sheetId="110" r:id="rId1"/>
    <sheet name="Sheet1" sheetId="107" r:id="rId2"/>
    <sheet name="output" sheetId="103" r:id="rId3"/>
    <sheet name="input_393010" sheetId="157" r:id="rId4"/>
    <sheet name="tables_393010" sheetId="158" r:id="rId5"/>
    <sheet name="input_393100" sheetId="153" r:id="rId6"/>
    <sheet name="tables_393100" sheetId="154" r:id="rId7"/>
    <sheet name="tables_settle_393100" sheetId="156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tables_393010!$A$1:$V$294</definedName>
    <definedName name="_xlnm._FilterDatabase" localSheetId="6" hidden="1">tables_393100!$A$1:$V$308</definedName>
    <definedName name="_xlnm._FilterDatabase" localSheetId="7" hidden="1">tables_settle_393100!$A$1:$V$117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" i="156" l="1"/>
  <c r="O4" i="156"/>
  <c r="O5" i="156"/>
  <c r="O6" i="156"/>
  <c r="O7" i="156"/>
  <c r="O8" i="156"/>
  <c r="O9" i="156"/>
  <c r="O10" i="156"/>
  <c r="O11" i="156"/>
  <c r="O12" i="156"/>
  <c r="O13" i="156"/>
  <c r="O14" i="156"/>
  <c r="O15" i="156"/>
  <c r="O16" i="156"/>
  <c r="O17" i="156"/>
  <c r="O18" i="156"/>
  <c r="O19" i="156"/>
  <c r="O20" i="156"/>
  <c r="O21" i="156"/>
  <c r="O22" i="156"/>
  <c r="O23" i="156"/>
  <c r="O24" i="156"/>
  <c r="O25" i="156"/>
  <c r="O26" i="156"/>
  <c r="O27" i="156"/>
  <c r="O28" i="156"/>
  <c r="O29" i="156"/>
  <c r="O30" i="156"/>
  <c r="O31" i="156"/>
  <c r="O32" i="156"/>
  <c r="O33" i="156"/>
  <c r="O34" i="156"/>
  <c r="O35" i="156"/>
  <c r="O36" i="156"/>
  <c r="O37" i="156"/>
  <c r="O38" i="156"/>
  <c r="O39" i="156"/>
  <c r="O40" i="156"/>
  <c r="O41" i="156"/>
  <c r="O42" i="156"/>
  <c r="O43" i="156"/>
  <c r="O44" i="156"/>
  <c r="O45" i="156"/>
  <c r="O46" i="156"/>
  <c r="O47" i="156"/>
  <c r="O48" i="156"/>
  <c r="O49" i="156"/>
  <c r="O50" i="156"/>
  <c r="O51" i="156"/>
  <c r="O52" i="156"/>
  <c r="O53" i="156"/>
  <c r="O54" i="156"/>
  <c r="O55" i="156"/>
  <c r="O56" i="156"/>
  <c r="O57" i="156"/>
  <c r="O58" i="156"/>
  <c r="O59" i="156"/>
  <c r="O60" i="156"/>
  <c r="O61" i="156"/>
  <c r="O62" i="156"/>
  <c r="O63" i="156"/>
  <c r="O64" i="156"/>
  <c r="O65" i="156"/>
  <c r="O66" i="156"/>
  <c r="O67" i="156"/>
  <c r="O68" i="156"/>
  <c r="O69" i="156"/>
  <c r="O70" i="156"/>
  <c r="O71" i="156"/>
  <c r="O72" i="156"/>
  <c r="O73" i="156"/>
  <c r="O74" i="156"/>
  <c r="O75" i="156"/>
  <c r="O76" i="156"/>
  <c r="O77" i="156"/>
  <c r="O78" i="156"/>
  <c r="O79" i="156"/>
  <c r="O80" i="156"/>
  <c r="O81" i="156"/>
  <c r="O82" i="156"/>
  <c r="O83" i="156"/>
  <c r="O84" i="156"/>
  <c r="O85" i="156"/>
  <c r="O86" i="156"/>
  <c r="O87" i="156"/>
  <c r="O88" i="156"/>
  <c r="O89" i="156"/>
  <c r="O90" i="156"/>
  <c r="O91" i="156"/>
  <c r="O92" i="156"/>
  <c r="O93" i="156"/>
  <c r="O94" i="156"/>
  <c r="O95" i="156"/>
  <c r="O96" i="156"/>
  <c r="O97" i="156"/>
  <c r="O98" i="156"/>
  <c r="O99" i="156"/>
  <c r="O100" i="156"/>
  <c r="O101" i="156"/>
  <c r="O102" i="156"/>
  <c r="O103" i="156"/>
  <c r="O104" i="156"/>
  <c r="O105" i="156"/>
  <c r="O106" i="156"/>
  <c r="O107" i="156"/>
  <c r="O108" i="156"/>
  <c r="O109" i="156"/>
  <c r="O110" i="156"/>
  <c r="O111" i="156"/>
  <c r="O112" i="156"/>
  <c r="O113" i="156"/>
  <c r="O2" i="156"/>
  <c r="I106" i="156"/>
  <c r="D106" i="156"/>
  <c r="I2" i="156"/>
  <c r="D2" i="156"/>
  <c r="I3" i="156"/>
  <c r="D3" i="156"/>
  <c r="I4" i="156"/>
  <c r="D4" i="156"/>
  <c r="I5" i="156"/>
  <c r="D5" i="156"/>
  <c r="I6" i="156"/>
  <c r="D6" i="156"/>
  <c r="I7" i="156"/>
  <c r="D7" i="156"/>
  <c r="I8" i="156"/>
  <c r="D8" i="156"/>
  <c r="I9" i="156"/>
  <c r="D9" i="156"/>
  <c r="I10" i="156"/>
  <c r="D10" i="156"/>
  <c r="I11" i="156"/>
  <c r="D11" i="156"/>
  <c r="I12" i="156"/>
  <c r="D12" i="156"/>
  <c r="I13" i="156"/>
  <c r="D13" i="156"/>
  <c r="I14" i="156"/>
  <c r="D14" i="156"/>
  <c r="I15" i="156"/>
  <c r="D15" i="156"/>
  <c r="I16" i="156"/>
  <c r="D16" i="156"/>
  <c r="I17" i="156"/>
  <c r="D17" i="156"/>
  <c r="I18" i="156"/>
  <c r="D18" i="156"/>
  <c r="I19" i="156"/>
  <c r="D19" i="156"/>
  <c r="I20" i="156"/>
  <c r="D20" i="156"/>
  <c r="I21" i="156"/>
  <c r="D21" i="156"/>
  <c r="I22" i="156"/>
  <c r="D22" i="156"/>
  <c r="I23" i="156"/>
  <c r="D23" i="156"/>
  <c r="I24" i="156"/>
  <c r="D24" i="156"/>
  <c r="I25" i="156"/>
  <c r="D25" i="156"/>
  <c r="I26" i="156"/>
  <c r="D26" i="156"/>
  <c r="I27" i="156"/>
  <c r="D27" i="156"/>
  <c r="I28" i="156"/>
  <c r="D28" i="156"/>
  <c r="I29" i="156"/>
  <c r="D29" i="156"/>
  <c r="I30" i="156"/>
  <c r="D30" i="156"/>
  <c r="I31" i="156"/>
  <c r="D31" i="156"/>
  <c r="I32" i="156"/>
  <c r="D32" i="156"/>
  <c r="I33" i="156"/>
  <c r="D33" i="156"/>
  <c r="I34" i="156"/>
  <c r="D34" i="156"/>
  <c r="I35" i="156"/>
  <c r="D35" i="156"/>
  <c r="I36" i="156"/>
  <c r="D36" i="156"/>
  <c r="I37" i="156"/>
  <c r="D37" i="156"/>
  <c r="I38" i="156"/>
  <c r="D38" i="156"/>
  <c r="I39" i="156"/>
  <c r="D39" i="156"/>
  <c r="I40" i="156"/>
  <c r="D40" i="156"/>
  <c r="I41" i="156"/>
  <c r="D41" i="156"/>
  <c r="I42" i="156"/>
  <c r="D42" i="156"/>
  <c r="I43" i="156"/>
  <c r="D43" i="156"/>
  <c r="I44" i="156"/>
  <c r="D44" i="156"/>
  <c r="I45" i="156"/>
  <c r="D45" i="156"/>
  <c r="I46" i="156"/>
  <c r="D46" i="156"/>
  <c r="I47" i="156"/>
  <c r="D47" i="156"/>
  <c r="I48" i="156"/>
  <c r="D48" i="156"/>
  <c r="I49" i="156"/>
  <c r="D49" i="156"/>
  <c r="I50" i="156"/>
  <c r="D50" i="156"/>
  <c r="I51" i="156"/>
  <c r="D51" i="156"/>
  <c r="I52" i="156"/>
  <c r="D52" i="156"/>
  <c r="I53" i="156"/>
  <c r="D53" i="156"/>
  <c r="I54" i="156"/>
  <c r="D54" i="156"/>
  <c r="I55" i="156"/>
  <c r="D55" i="156"/>
  <c r="I56" i="156"/>
  <c r="D56" i="156"/>
  <c r="I57" i="156"/>
  <c r="D57" i="156"/>
  <c r="I58" i="156"/>
  <c r="D58" i="156"/>
  <c r="I59" i="156"/>
  <c r="D59" i="156"/>
  <c r="I60" i="156"/>
  <c r="D60" i="156"/>
  <c r="I61" i="156"/>
  <c r="D61" i="156"/>
  <c r="I62" i="156"/>
  <c r="D62" i="156"/>
  <c r="I63" i="156"/>
  <c r="D63" i="156"/>
  <c r="I64" i="156"/>
  <c r="D64" i="156"/>
  <c r="I65" i="156"/>
  <c r="D65" i="156"/>
  <c r="I66" i="156"/>
  <c r="D66" i="156"/>
  <c r="I67" i="156"/>
  <c r="D67" i="156"/>
  <c r="I68" i="156"/>
  <c r="D68" i="156"/>
  <c r="I69" i="156"/>
  <c r="D69" i="156"/>
  <c r="I70" i="156"/>
  <c r="D70" i="156"/>
  <c r="I71" i="156"/>
  <c r="D71" i="156"/>
  <c r="I72" i="156"/>
  <c r="D72" i="156"/>
  <c r="I73" i="156"/>
  <c r="D73" i="156"/>
  <c r="I74" i="156"/>
  <c r="D74" i="156"/>
  <c r="I75" i="156"/>
  <c r="D75" i="156"/>
  <c r="I76" i="156"/>
  <c r="D76" i="156"/>
  <c r="I77" i="156"/>
  <c r="D77" i="156"/>
  <c r="I78" i="156"/>
  <c r="D78" i="156"/>
  <c r="I79" i="156"/>
  <c r="D79" i="156"/>
  <c r="I80" i="156"/>
  <c r="D80" i="156"/>
  <c r="I81" i="156"/>
  <c r="D81" i="156"/>
  <c r="I82" i="156"/>
  <c r="D82" i="156"/>
  <c r="I83" i="156"/>
  <c r="D83" i="156"/>
  <c r="I84" i="156"/>
  <c r="D84" i="156"/>
  <c r="I85" i="156"/>
  <c r="D85" i="156"/>
  <c r="I86" i="156"/>
  <c r="D86" i="156"/>
  <c r="I87" i="156"/>
  <c r="D87" i="156"/>
  <c r="I88" i="156"/>
  <c r="D88" i="156"/>
  <c r="I89" i="156"/>
  <c r="D89" i="156"/>
  <c r="I90" i="156"/>
  <c r="D90" i="156"/>
  <c r="I91" i="156"/>
  <c r="D91" i="156"/>
  <c r="I92" i="156"/>
  <c r="D92" i="156"/>
  <c r="I93" i="156"/>
  <c r="D93" i="156"/>
  <c r="I94" i="156"/>
  <c r="D94" i="156"/>
  <c r="I95" i="156"/>
  <c r="D95" i="156"/>
  <c r="I96" i="156"/>
  <c r="D96" i="156"/>
  <c r="I97" i="156"/>
  <c r="D97" i="156"/>
  <c r="I98" i="156"/>
  <c r="D98" i="156"/>
  <c r="I99" i="156"/>
  <c r="D99" i="156"/>
  <c r="I100" i="156"/>
  <c r="D100" i="156"/>
  <c r="I101" i="156"/>
  <c r="D101" i="156"/>
  <c r="I102" i="156"/>
  <c r="D102" i="156"/>
  <c r="I103" i="156"/>
  <c r="D103" i="156"/>
  <c r="I104" i="156"/>
  <c r="D104" i="156"/>
  <c r="I105" i="156"/>
  <c r="D105" i="156"/>
  <c r="I107" i="156"/>
  <c r="D107" i="156"/>
  <c r="I108" i="156"/>
  <c r="D108" i="156"/>
  <c r="I109" i="156"/>
  <c r="D109" i="156"/>
  <c r="I110" i="156"/>
  <c r="D110" i="156"/>
  <c r="I111" i="156"/>
  <c r="D111" i="156"/>
  <c r="I112" i="156"/>
  <c r="D112" i="156"/>
  <c r="I113" i="156"/>
  <c r="D113" i="156"/>
  <c r="I114" i="156"/>
  <c r="D114" i="156"/>
  <c r="I115" i="156"/>
  <c r="D115" i="156"/>
  <c r="I116" i="156"/>
  <c r="D116" i="156"/>
  <c r="I117" i="156"/>
  <c r="D117" i="156"/>
  <c r="P114" i="156"/>
  <c r="A2" i="153"/>
  <c r="A3" i="156"/>
  <c r="A4" i="156"/>
  <c r="A5" i="156"/>
  <c r="A6" i="156"/>
  <c r="A7" i="156"/>
  <c r="A8" i="156"/>
  <c r="A9" i="156"/>
  <c r="A10" i="156"/>
  <c r="A11" i="156"/>
  <c r="A12" i="156"/>
  <c r="A13" i="156"/>
  <c r="A14" i="156"/>
  <c r="A15" i="156"/>
  <c r="A16" i="156"/>
  <c r="A17" i="156"/>
  <c r="A18" i="156"/>
  <c r="A19" i="156"/>
  <c r="A20" i="156"/>
  <c r="A21" i="156"/>
  <c r="A22" i="156"/>
  <c r="A23" i="156"/>
  <c r="A24" i="156"/>
  <c r="A25" i="156"/>
  <c r="A26" i="156"/>
  <c r="A27" i="156"/>
  <c r="A28" i="156"/>
  <c r="A29" i="156"/>
  <c r="A30" i="156"/>
  <c r="A31" i="156"/>
  <c r="A32" i="156"/>
  <c r="A33" i="156"/>
  <c r="A34" i="156"/>
  <c r="A35" i="156"/>
  <c r="A36" i="156"/>
  <c r="A37" i="156"/>
  <c r="A38" i="156"/>
  <c r="A39" i="156"/>
  <c r="A40" i="156"/>
  <c r="A41" i="156"/>
  <c r="A42" i="156"/>
  <c r="A43" i="156"/>
  <c r="A44" i="156"/>
  <c r="A45" i="156"/>
  <c r="A46" i="156"/>
  <c r="A47" i="156"/>
  <c r="A48" i="156"/>
  <c r="A49" i="156"/>
  <c r="A50" i="156"/>
  <c r="A51" i="156"/>
  <c r="A52" i="156"/>
  <c r="A53" i="156"/>
  <c r="A54" i="156"/>
  <c r="A55" i="156"/>
  <c r="A56" i="156"/>
  <c r="A57" i="156"/>
  <c r="A58" i="156"/>
  <c r="A59" i="156"/>
  <c r="A60" i="156"/>
  <c r="A61" i="156"/>
  <c r="A62" i="156"/>
  <c r="A63" i="156"/>
  <c r="A64" i="156"/>
  <c r="A65" i="156"/>
  <c r="A66" i="156"/>
  <c r="A67" i="156"/>
  <c r="A68" i="156"/>
  <c r="A69" i="156"/>
  <c r="A70" i="156"/>
  <c r="A71" i="156"/>
  <c r="A72" i="156"/>
  <c r="A73" i="156"/>
  <c r="A74" i="156"/>
  <c r="A75" i="156"/>
  <c r="A76" i="156"/>
  <c r="A77" i="156"/>
  <c r="A78" i="156"/>
  <c r="A79" i="156"/>
  <c r="A80" i="156"/>
  <c r="A81" i="156"/>
  <c r="A82" i="156"/>
  <c r="A83" i="156"/>
  <c r="A84" i="156"/>
  <c r="A85" i="156"/>
  <c r="A86" i="156"/>
  <c r="A87" i="156"/>
  <c r="A88" i="156"/>
  <c r="A89" i="156"/>
  <c r="A90" i="156"/>
  <c r="A91" i="156"/>
  <c r="A92" i="156"/>
  <c r="A93" i="156"/>
  <c r="A94" i="156"/>
  <c r="A95" i="156"/>
  <c r="A96" i="156"/>
  <c r="A97" i="156"/>
  <c r="A98" i="156"/>
  <c r="A99" i="156"/>
  <c r="A100" i="156"/>
  <c r="A101" i="156"/>
  <c r="A102" i="156"/>
  <c r="A103" i="156"/>
  <c r="A104" i="156"/>
  <c r="A105" i="156"/>
  <c r="A106" i="156"/>
  <c r="A107" i="156"/>
  <c r="A108" i="156"/>
  <c r="A109" i="156"/>
  <c r="A110" i="156"/>
  <c r="A111" i="156"/>
  <c r="A112" i="156"/>
  <c r="A113" i="156"/>
  <c r="A114" i="156"/>
  <c r="A115" i="156"/>
  <c r="A116" i="156"/>
  <c r="A117" i="156"/>
  <c r="A2" i="156"/>
  <c r="A49" i="154"/>
  <c r="J110" i="156"/>
  <c r="E110" i="156"/>
  <c r="F110" i="156"/>
  <c r="C110" i="156"/>
  <c r="H110" i="156"/>
  <c r="K110" i="156"/>
  <c r="L110" i="156"/>
  <c r="M110" i="156"/>
  <c r="N110" i="156"/>
  <c r="O114" i="156"/>
  <c r="O115" i="156"/>
  <c r="O116" i="156"/>
  <c r="O117" i="156"/>
  <c r="P110" i="156"/>
  <c r="J111" i="156"/>
  <c r="E111" i="156"/>
  <c r="F111" i="156"/>
  <c r="C111" i="156"/>
  <c r="H111" i="156"/>
  <c r="K111" i="156"/>
  <c r="L111" i="156"/>
  <c r="M111" i="156"/>
  <c r="N111" i="156"/>
  <c r="P111" i="156"/>
  <c r="J112" i="156"/>
  <c r="E112" i="156"/>
  <c r="F112" i="156"/>
  <c r="C112" i="156"/>
  <c r="H112" i="156"/>
  <c r="K112" i="156"/>
  <c r="L112" i="156"/>
  <c r="M112" i="156"/>
  <c r="N112" i="156"/>
  <c r="P112" i="156"/>
  <c r="J113" i="156"/>
  <c r="E113" i="156"/>
  <c r="F113" i="156"/>
  <c r="C113" i="156"/>
  <c r="H113" i="156"/>
  <c r="K113" i="156"/>
  <c r="L113" i="156"/>
  <c r="M113" i="156"/>
  <c r="N113" i="156"/>
  <c r="P113" i="156"/>
  <c r="J114" i="156"/>
  <c r="E114" i="156"/>
  <c r="F114" i="156"/>
  <c r="C114" i="156"/>
  <c r="H114" i="156"/>
  <c r="K114" i="156"/>
  <c r="L114" i="156"/>
  <c r="M114" i="156"/>
  <c r="N114" i="156"/>
  <c r="J115" i="156"/>
  <c r="E115" i="156"/>
  <c r="F115" i="156"/>
  <c r="C115" i="156"/>
  <c r="H115" i="156"/>
  <c r="K115" i="156"/>
  <c r="L115" i="156"/>
  <c r="M115" i="156"/>
  <c r="N115" i="156"/>
  <c r="P115" i="156"/>
  <c r="J116" i="156"/>
  <c r="E116" i="156"/>
  <c r="F116" i="156"/>
  <c r="C116" i="156"/>
  <c r="H116" i="156"/>
  <c r="K116" i="156"/>
  <c r="L116" i="156"/>
  <c r="M116" i="156"/>
  <c r="N116" i="156"/>
  <c r="P116" i="156"/>
  <c r="J117" i="156"/>
  <c r="E117" i="156"/>
  <c r="F117" i="156"/>
  <c r="C117" i="156"/>
  <c r="H117" i="156"/>
  <c r="K117" i="156"/>
  <c r="L117" i="156"/>
  <c r="M117" i="156"/>
  <c r="N117" i="156"/>
  <c r="P117" i="156"/>
  <c r="I304" i="154"/>
  <c r="D304" i="154"/>
  <c r="J304" i="154"/>
  <c r="E304" i="154"/>
  <c r="F304" i="154"/>
  <c r="C304" i="154"/>
  <c r="Q3" i="153"/>
  <c r="I305" i="154"/>
  <c r="D305" i="154"/>
  <c r="J305" i="154"/>
  <c r="E305" i="154"/>
  <c r="F305" i="154"/>
  <c r="C305" i="154"/>
  <c r="Q4" i="153"/>
  <c r="I306" i="154"/>
  <c r="D306" i="154"/>
  <c r="J306" i="154"/>
  <c r="E306" i="154"/>
  <c r="F306" i="154"/>
  <c r="C306" i="154"/>
  <c r="Q5" i="153"/>
  <c r="I307" i="154"/>
  <c r="D307" i="154"/>
  <c r="J307" i="154"/>
  <c r="E307" i="154"/>
  <c r="F307" i="154"/>
  <c r="C307" i="154"/>
  <c r="Q6" i="153"/>
  <c r="I308" i="154"/>
  <c r="D308" i="154"/>
  <c r="J308" i="154"/>
  <c r="E308" i="154"/>
  <c r="F308" i="154"/>
  <c r="C308" i="154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C31" i="153"/>
  <c r="H304" i="154"/>
  <c r="K304" i="154"/>
  <c r="L304" i="154"/>
  <c r="M304" i="154"/>
  <c r="N304" i="154"/>
  <c r="I2" i="154"/>
  <c r="D2" i="154"/>
  <c r="J2" i="154"/>
  <c r="E2" i="154"/>
  <c r="F2" i="154"/>
  <c r="C2" i="154"/>
  <c r="I3" i="154"/>
  <c r="D3" i="154"/>
  <c r="J3" i="154"/>
  <c r="E3" i="154"/>
  <c r="F3" i="154"/>
  <c r="C3" i="154"/>
  <c r="I4" i="154"/>
  <c r="D4" i="154"/>
  <c r="J4" i="154"/>
  <c r="E4" i="154"/>
  <c r="F4" i="154"/>
  <c r="C4" i="154"/>
  <c r="I5" i="154"/>
  <c r="D5" i="154"/>
  <c r="J5" i="154"/>
  <c r="E5" i="154"/>
  <c r="F5" i="154"/>
  <c r="C5" i="154"/>
  <c r="I6" i="154"/>
  <c r="D6" i="154"/>
  <c r="J6" i="154"/>
  <c r="E6" i="154"/>
  <c r="F6" i="154"/>
  <c r="C6" i="154"/>
  <c r="I7" i="154"/>
  <c r="D7" i="154"/>
  <c r="J7" i="154"/>
  <c r="E7" i="154"/>
  <c r="F7" i="154"/>
  <c r="C7" i="154"/>
  <c r="I8" i="154"/>
  <c r="D8" i="154"/>
  <c r="J8" i="154"/>
  <c r="E8" i="154"/>
  <c r="F8" i="154"/>
  <c r="C8" i="154"/>
  <c r="I9" i="154"/>
  <c r="D9" i="154"/>
  <c r="J9" i="154"/>
  <c r="E9" i="154"/>
  <c r="F9" i="154"/>
  <c r="C9" i="154"/>
  <c r="I10" i="154"/>
  <c r="D10" i="154"/>
  <c r="J10" i="154"/>
  <c r="E10" i="154"/>
  <c r="F10" i="154"/>
  <c r="C10" i="154"/>
  <c r="I11" i="154"/>
  <c r="D11" i="154"/>
  <c r="J11" i="154"/>
  <c r="E11" i="154"/>
  <c r="F11" i="154"/>
  <c r="C11" i="154"/>
  <c r="I12" i="154"/>
  <c r="D12" i="154"/>
  <c r="J12" i="154"/>
  <c r="E12" i="154"/>
  <c r="F12" i="154"/>
  <c r="C12" i="154"/>
  <c r="I13" i="154"/>
  <c r="D13" i="154"/>
  <c r="J13" i="154"/>
  <c r="E13" i="154"/>
  <c r="F13" i="154"/>
  <c r="C13" i="154"/>
  <c r="I14" i="154"/>
  <c r="D14" i="154"/>
  <c r="J14" i="154"/>
  <c r="E14" i="154"/>
  <c r="F14" i="154"/>
  <c r="C14" i="154"/>
  <c r="I15" i="154"/>
  <c r="D15" i="154"/>
  <c r="J15" i="154"/>
  <c r="E15" i="154"/>
  <c r="F15" i="154"/>
  <c r="C15" i="154"/>
  <c r="I16" i="154"/>
  <c r="D16" i="154"/>
  <c r="J16" i="154"/>
  <c r="E16" i="154"/>
  <c r="F16" i="154"/>
  <c r="C16" i="154"/>
  <c r="I17" i="154"/>
  <c r="D17" i="154"/>
  <c r="J17" i="154"/>
  <c r="E17" i="154"/>
  <c r="F17" i="154"/>
  <c r="C17" i="154"/>
  <c r="I18" i="154"/>
  <c r="D18" i="154"/>
  <c r="J18" i="154"/>
  <c r="E18" i="154"/>
  <c r="F18" i="154"/>
  <c r="C18" i="154"/>
  <c r="I19" i="154"/>
  <c r="D19" i="154"/>
  <c r="J19" i="154"/>
  <c r="E19" i="154"/>
  <c r="F19" i="154"/>
  <c r="C19" i="154"/>
  <c r="I20" i="154"/>
  <c r="D20" i="154"/>
  <c r="J20" i="154"/>
  <c r="E20" i="154"/>
  <c r="F20" i="154"/>
  <c r="C20" i="154"/>
  <c r="I21" i="154"/>
  <c r="D21" i="154"/>
  <c r="J21" i="154"/>
  <c r="E21" i="154"/>
  <c r="F21" i="154"/>
  <c r="C21" i="154"/>
  <c r="I22" i="154"/>
  <c r="D22" i="154"/>
  <c r="J22" i="154"/>
  <c r="E22" i="154"/>
  <c r="F22" i="154"/>
  <c r="C22" i="154"/>
  <c r="I23" i="154"/>
  <c r="D23" i="154"/>
  <c r="J23" i="154"/>
  <c r="E23" i="154"/>
  <c r="F23" i="154"/>
  <c r="C23" i="154"/>
  <c r="I24" i="154"/>
  <c r="D24" i="154"/>
  <c r="J24" i="154"/>
  <c r="E24" i="154"/>
  <c r="F24" i="154"/>
  <c r="C24" i="154"/>
  <c r="I25" i="154"/>
  <c r="D25" i="154"/>
  <c r="J25" i="154"/>
  <c r="E25" i="154"/>
  <c r="F25" i="154"/>
  <c r="C25" i="154"/>
  <c r="I26" i="154"/>
  <c r="D26" i="154"/>
  <c r="J26" i="154"/>
  <c r="E26" i="154"/>
  <c r="F26" i="154"/>
  <c r="C26" i="154"/>
  <c r="I27" i="154"/>
  <c r="D27" i="154"/>
  <c r="J27" i="154"/>
  <c r="E27" i="154"/>
  <c r="F27" i="154"/>
  <c r="C27" i="154"/>
  <c r="I28" i="154"/>
  <c r="D28" i="154"/>
  <c r="J28" i="154"/>
  <c r="E28" i="154"/>
  <c r="F28" i="154"/>
  <c r="C28" i="154"/>
  <c r="I29" i="154"/>
  <c r="D29" i="154"/>
  <c r="J29" i="154"/>
  <c r="E29" i="154"/>
  <c r="F29" i="154"/>
  <c r="C29" i="154"/>
  <c r="I30" i="154"/>
  <c r="D30" i="154"/>
  <c r="J30" i="154"/>
  <c r="E30" i="154"/>
  <c r="F30" i="154"/>
  <c r="C30" i="154"/>
  <c r="I31" i="154"/>
  <c r="D31" i="154"/>
  <c r="J31" i="154"/>
  <c r="E31" i="154"/>
  <c r="F31" i="154"/>
  <c r="C31" i="154"/>
  <c r="I32" i="154"/>
  <c r="D32" i="154"/>
  <c r="J32" i="154"/>
  <c r="E32" i="154"/>
  <c r="F32" i="154"/>
  <c r="C32" i="154"/>
  <c r="I33" i="154"/>
  <c r="D33" i="154"/>
  <c r="J33" i="154"/>
  <c r="E33" i="154"/>
  <c r="F33" i="154"/>
  <c r="C33" i="154"/>
  <c r="I34" i="154"/>
  <c r="D34" i="154"/>
  <c r="J34" i="154"/>
  <c r="E34" i="154"/>
  <c r="F34" i="154"/>
  <c r="C34" i="154"/>
  <c r="I35" i="154"/>
  <c r="D35" i="154"/>
  <c r="J35" i="154"/>
  <c r="E35" i="154"/>
  <c r="F35" i="154"/>
  <c r="C35" i="154"/>
  <c r="I36" i="154"/>
  <c r="D36" i="154"/>
  <c r="J36" i="154"/>
  <c r="E36" i="154"/>
  <c r="F36" i="154"/>
  <c r="C36" i="154"/>
  <c r="I37" i="154"/>
  <c r="D37" i="154"/>
  <c r="J37" i="154"/>
  <c r="E37" i="154"/>
  <c r="F37" i="154"/>
  <c r="C37" i="154"/>
  <c r="I38" i="154"/>
  <c r="D38" i="154"/>
  <c r="J38" i="154"/>
  <c r="E38" i="154"/>
  <c r="F38" i="154"/>
  <c r="C38" i="154"/>
  <c r="I39" i="154"/>
  <c r="D39" i="154"/>
  <c r="J39" i="154"/>
  <c r="E39" i="154"/>
  <c r="F39" i="154"/>
  <c r="C39" i="154"/>
  <c r="I40" i="154"/>
  <c r="D40" i="154"/>
  <c r="J40" i="154"/>
  <c r="E40" i="154"/>
  <c r="F40" i="154"/>
  <c r="C40" i="154"/>
  <c r="I41" i="154"/>
  <c r="D41" i="154"/>
  <c r="J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D215" i="154"/>
  <c r="J215" i="154"/>
  <c r="E215" i="154"/>
  <c r="F215" i="154"/>
  <c r="C215" i="154"/>
  <c r="I216" i="154"/>
  <c r="D216" i="154"/>
  <c r="J216" i="154"/>
  <c r="E216" i="154"/>
  <c r="F216" i="154"/>
  <c r="C216" i="154"/>
  <c r="I217" i="154"/>
  <c r="D217" i="154"/>
  <c r="J217" i="154"/>
  <c r="E217" i="154"/>
  <c r="F217" i="154"/>
  <c r="C217" i="154"/>
  <c r="I218" i="154"/>
  <c r="D218" i="154"/>
  <c r="J218" i="154"/>
  <c r="E218" i="154"/>
  <c r="F218" i="154"/>
  <c r="C218" i="154"/>
  <c r="I219" i="154"/>
  <c r="D219" i="154"/>
  <c r="J219" i="154"/>
  <c r="E219" i="154"/>
  <c r="F219" i="154"/>
  <c r="C219" i="154"/>
  <c r="I220" i="154"/>
  <c r="D220" i="154"/>
  <c r="J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F5" i="153"/>
  <c r="F6" i="153"/>
  <c r="A36" i="153"/>
  <c r="R3" i="153"/>
  <c r="O304" i="154"/>
  <c r="E6" i="153"/>
  <c r="E18" i="153"/>
  <c r="E19" i="153"/>
  <c r="B19" i="153"/>
  <c r="E24" i="153"/>
  <c r="B24" i="153"/>
  <c r="B17" i="153"/>
  <c r="B18" i="153"/>
  <c r="G18" i="153"/>
  <c r="H18" i="153"/>
  <c r="O2" i="154"/>
  <c r="G17" i="153"/>
  <c r="E17" i="153"/>
  <c r="H17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G24" i="153"/>
  <c r="H24" i="153"/>
  <c r="O41" i="154"/>
  <c r="E25" i="153"/>
  <c r="B25" i="153"/>
  <c r="G25" i="153"/>
  <c r="H25" i="153"/>
  <c r="O42" i="154"/>
  <c r="E26" i="153"/>
  <c r="B26" i="153"/>
  <c r="G26" i="153"/>
  <c r="H26" i="153"/>
  <c r="O43" i="154"/>
  <c r="O44" i="154"/>
  <c r="O45" i="154"/>
  <c r="O46" i="154"/>
  <c r="O47" i="154"/>
  <c r="O48" i="154"/>
  <c r="O49" i="154"/>
  <c r="G19" i="153"/>
  <c r="H19" i="153"/>
  <c r="O50" i="154"/>
  <c r="E20" i="153"/>
  <c r="E23" i="153"/>
  <c r="B23" i="153"/>
  <c r="E5" i="153"/>
  <c r="E28" i="153"/>
  <c r="B28" i="153"/>
  <c r="E29" i="153"/>
  <c r="B29" i="153"/>
  <c r="B21" i="153"/>
  <c r="B20" i="153"/>
  <c r="G20" i="153"/>
  <c r="H20" i="153"/>
  <c r="O51" i="154"/>
  <c r="G21" i="153"/>
  <c r="E21" i="153"/>
  <c r="H21" i="153"/>
  <c r="O52" i="154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E27" i="153"/>
  <c r="B27" i="153"/>
  <c r="G27" i="153"/>
  <c r="H27" i="153"/>
  <c r="O137" i="154"/>
  <c r="G28" i="153"/>
  <c r="H28" i="153"/>
  <c r="O138" i="154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E22" i="153"/>
  <c r="B22" i="153"/>
  <c r="G22" i="153"/>
  <c r="H22" i="153"/>
  <c r="O255" i="154"/>
  <c r="G23" i="153"/>
  <c r="H23" i="153"/>
  <c r="O256" i="154"/>
  <c r="O257" i="154"/>
  <c r="O258" i="154"/>
  <c r="G29" i="153"/>
  <c r="H29" i="153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R4" i="153"/>
  <c r="O305" i="154"/>
  <c r="R5" i="153"/>
  <c r="O306" i="154"/>
  <c r="R6" i="153"/>
  <c r="O307" i="154"/>
  <c r="R7" i="153"/>
  <c r="O308" i="154"/>
  <c r="P304" i="154"/>
  <c r="H305" i="154"/>
  <c r="K305" i="154"/>
  <c r="L305" i="154"/>
  <c r="M305" i="154"/>
  <c r="N305" i="154"/>
  <c r="P305" i="154"/>
  <c r="H306" i="154"/>
  <c r="K306" i="154"/>
  <c r="L306" i="154"/>
  <c r="M306" i="154"/>
  <c r="N306" i="154"/>
  <c r="P306" i="154"/>
  <c r="H307" i="154"/>
  <c r="K307" i="154"/>
  <c r="L307" i="154"/>
  <c r="M307" i="154"/>
  <c r="N307" i="154"/>
  <c r="P307" i="154"/>
  <c r="H308" i="154"/>
  <c r="K308" i="154"/>
  <c r="L308" i="154"/>
  <c r="M308" i="154"/>
  <c r="N308" i="154"/>
  <c r="P308" i="154"/>
  <c r="A304" i="154"/>
  <c r="A305" i="154"/>
  <c r="A306" i="154"/>
  <c r="A307" i="154"/>
  <c r="A308" i="154"/>
  <c r="N7" i="153"/>
  <c r="N6" i="153"/>
  <c r="N3" i="153"/>
  <c r="H302" i="154"/>
  <c r="K302" i="154"/>
  <c r="L302" i="154"/>
  <c r="M302" i="154"/>
  <c r="N302" i="154"/>
  <c r="P302" i="154"/>
  <c r="H303" i="154"/>
  <c r="K303" i="154"/>
  <c r="L303" i="154"/>
  <c r="M303" i="154"/>
  <c r="N303" i="154"/>
  <c r="P303" i="154"/>
  <c r="A302" i="154"/>
  <c r="A303" i="154"/>
  <c r="N4" i="153"/>
  <c r="N5" i="153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6" i="157"/>
  <c r="B26" i="157"/>
  <c r="F5" i="157"/>
  <c r="E5" i="157"/>
  <c r="E28" i="157"/>
  <c r="B28" i="157"/>
  <c r="E29" i="157"/>
  <c r="B29" i="157"/>
  <c r="E21" i="157"/>
  <c r="B21" i="157"/>
  <c r="B23" i="157"/>
  <c r="J7" i="156"/>
  <c r="E7" i="156"/>
  <c r="F7" i="156"/>
  <c r="C7" i="156"/>
  <c r="H7" i="156"/>
  <c r="K7" i="156"/>
  <c r="L7" i="156"/>
  <c r="M7" i="156"/>
  <c r="N7" i="156"/>
  <c r="P7" i="156"/>
  <c r="J8" i="156"/>
  <c r="E8" i="156"/>
  <c r="F8" i="156"/>
  <c r="C8" i="156"/>
  <c r="H8" i="156"/>
  <c r="K8" i="156"/>
  <c r="L8" i="156"/>
  <c r="M8" i="156"/>
  <c r="N8" i="156"/>
  <c r="P8" i="156"/>
  <c r="J9" i="156"/>
  <c r="E9" i="156"/>
  <c r="F9" i="156"/>
  <c r="C9" i="156"/>
  <c r="H9" i="156"/>
  <c r="K9" i="156"/>
  <c r="L9" i="156"/>
  <c r="M9" i="156"/>
  <c r="N9" i="156"/>
  <c r="P9" i="156"/>
  <c r="J10" i="156"/>
  <c r="E10" i="156"/>
  <c r="F10" i="156"/>
  <c r="C10" i="156"/>
  <c r="H10" i="156"/>
  <c r="K10" i="156"/>
  <c r="L10" i="156"/>
  <c r="M10" i="156"/>
  <c r="N10" i="156"/>
  <c r="P10" i="156"/>
  <c r="J11" i="156"/>
  <c r="E11" i="156"/>
  <c r="F11" i="156"/>
  <c r="C11" i="156"/>
  <c r="H11" i="156"/>
  <c r="K11" i="156"/>
  <c r="L11" i="156"/>
  <c r="M11" i="156"/>
  <c r="N11" i="156"/>
  <c r="P11" i="156"/>
  <c r="J12" i="156"/>
  <c r="E12" i="156"/>
  <c r="F12" i="156"/>
  <c r="C12" i="156"/>
  <c r="H12" i="156"/>
  <c r="K12" i="156"/>
  <c r="L12" i="156"/>
  <c r="M12" i="156"/>
  <c r="N12" i="156"/>
  <c r="P12" i="156"/>
  <c r="J13" i="156"/>
  <c r="E13" i="156"/>
  <c r="F13" i="156"/>
  <c r="C13" i="156"/>
  <c r="H13" i="156"/>
  <c r="K13" i="156"/>
  <c r="L13" i="156"/>
  <c r="M13" i="156"/>
  <c r="N13" i="156"/>
  <c r="P13" i="156"/>
  <c r="J14" i="156"/>
  <c r="E14" i="156"/>
  <c r="F14" i="156"/>
  <c r="C14" i="156"/>
  <c r="H14" i="156"/>
  <c r="K14" i="156"/>
  <c r="L14" i="156"/>
  <c r="M14" i="156"/>
  <c r="N14" i="156"/>
  <c r="P14" i="156"/>
  <c r="J15" i="156"/>
  <c r="E15" i="156"/>
  <c r="F15" i="156"/>
  <c r="C15" i="156"/>
  <c r="H15" i="156"/>
  <c r="K15" i="156"/>
  <c r="L15" i="156"/>
  <c r="M15" i="156"/>
  <c r="N15" i="156"/>
  <c r="P15" i="156"/>
  <c r="J16" i="156"/>
  <c r="E16" i="156"/>
  <c r="F16" i="156"/>
  <c r="C16" i="156"/>
  <c r="H16" i="156"/>
  <c r="K16" i="156"/>
  <c r="L16" i="156"/>
  <c r="M16" i="156"/>
  <c r="N16" i="156"/>
  <c r="P16" i="156"/>
  <c r="J17" i="156"/>
  <c r="E17" i="156"/>
  <c r="F17" i="156"/>
  <c r="C17" i="156"/>
  <c r="H17" i="156"/>
  <c r="K17" i="156"/>
  <c r="L17" i="156"/>
  <c r="M17" i="156"/>
  <c r="N17" i="156"/>
  <c r="P17" i="156"/>
  <c r="J18" i="156"/>
  <c r="E18" i="156"/>
  <c r="F18" i="156"/>
  <c r="C18" i="156"/>
  <c r="H18" i="156"/>
  <c r="K18" i="156"/>
  <c r="L18" i="156"/>
  <c r="M18" i="156"/>
  <c r="N18" i="156"/>
  <c r="P18" i="156"/>
  <c r="J19" i="156"/>
  <c r="E19" i="156"/>
  <c r="F19" i="156"/>
  <c r="C19" i="156"/>
  <c r="H19" i="156"/>
  <c r="K19" i="156"/>
  <c r="L19" i="156"/>
  <c r="M19" i="156"/>
  <c r="N19" i="156"/>
  <c r="P19" i="156"/>
  <c r="J20" i="156"/>
  <c r="E20" i="156"/>
  <c r="F20" i="156"/>
  <c r="C20" i="156"/>
  <c r="H20" i="156"/>
  <c r="K20" i="156"/>
  <c r="L20" i="156"/>
  <c r="M20" i="156"/>
  <c r="N20" i="156"/>
  <c r="P20" i="156"/>
  <c r="J21" i="156"/>
  <c r="E21" i="156"/>
  <c r="F21" i="156"/>
  <c r="C21" i="156"/>
  <c r="H21" i="156"/>
  <c r="K21" i="156"/>
  <c r="L21" i="156"/>
  <c r="M21" i="156"/>
  <c r="N21" i="156"/>
  <c r="P21" i="156"/>
  <c r="J22" i="156"/>
  <c r="E22" i="156"/>
  <c r="F22" i="156"/>
  <c r="C22" i="156"/>
  <c r="H22" i="156"/>
  <c r="K22" i="156"/>
  <c r="L22" i="156"/>
  <c r="M22" i="156"/>
  <c r="N22" i="156"/>
  <c r="P22" i="156"/>
  <c r="J23" i="156"/>
  <c r="E23" i="156"/>
  <c r="F23" i="156"/>
  <c r="C23" i="156"/>
  <c r="H23" i="156"/>
  <c r="K23" i="156"/>
  <c r="L23" i="156"/>
  <c r="M23" i="156"/>
  <c r="N23" i="156"/>
  <c r="P23" i="156"/>
  <c r="J24" i="156"/>
  <c r="E24" i="156"/>
  <c r="F24" i="156"/>
  <c r="C24" i="156"/>
  <c r="H24" i="156"/>
  <c r="K24" i="156"/>
  <c r="L24" i="156"/>
  <c r="M24" i="156"/>
  <c r="N24" i="156"/>
  <c r="P24" i="156"/>
  <c r="J25" i="156"/>
  <c r="E25" i="156"/>
  <c r="F25" i="156"/>
  <c r="C25" i="156"/>
  <c r="H25" i="156"/>
  <c r="K25" i="156"/>
  <c r="L25" i="156"/>
  <c r="M25" i="156"/>
  <c r="N25" i="156"/>
  <c r="P25" i="156"/>
  <c r="J26" i="156"/>
  <c r="E26" i="156"/>
  <c r="F26" i="156"/>
  <c r="C26" i="156"/>
  <c r="H26" i="156"/>
  <c r="K26" i="156"/>
  <c r="L26" i="156"/>
  <c r="M26" i="156"/>
  <c r="N26" i="156"/>
  <c r="P26" i="156"/>
  <c r="J27" i="156"/>
  <c r="E27" i="156"/>
  <c r="F27" i="156"/>
  <c r="C27" i="156"/>
  <c r="H27" i="156"/>
  <c r="K27" i="156"/>
  <c r="L27" i="156"/>
  <c r="M27" i="156"/>
  <c r="N27" i="156"/>
  <c r="P27" i="156"/>
  <c r="J28" i="156"/>
  <c r="E28" i="156"/>
  <c r="F28" i="156"/>
  <c r="C28" i="156"/>
  <c r="H28" i="156"/>
  <c r="K28" i="156"/>
  <c r="L28" i="156"/>
  <c r="M28" i="156"/>
  <c r="N28" i="156"/>
  <c r="P28" i="156"/>
  <c r="J29" i="156"/>
  <c r="E29" i="156"/>
  <c r="F29" i="156"/>
  <c r="C29" i="156"/>
  <c r="H29" i="156"/>
  <c r="K29" i="156"/>
  <c r="L29" i="156"/>
  <c r="M29" i="156"/>
  <c r="N29" i="156"/>
  <c r="P29" i="156"/>
  <c r="J30" i="156"/>
  <c r="E30" i="156"/>
  <c r="F30" i="156"/>
  <c r="C30" i="156"/>
  <c r="H30" i="156"/>
  <c r="K30" i="156"/>
  <c r="L30" i="156"/>
  <c r="M30" i="156"/>
  <c r="N30" i="156"/>
  <c r="P30" i="156"/>
  <c r="J31" i="156"/>
  <c r="E31" i="156"/>
  <c r="F31" i="156"/>
  <c r="C31" i="156"/>
  <c r="H31" i="156"/>
  <c r="K31" i="156"/>
  <c r="L31" i="156"/>
  <c r="M31" i="156"/>
  <c r="N31" i="156"/>
  <c r="P31" i="156"/>
  <c r="J32" i="156"/>
  <c r="E32" i="156"/>
  <c r="F32" i="156"/>
  <c r="C32" i="156"/>
  <c r="H32" i="156"/>
  <c r="K32" i="156"/>
  <c r="L32" i="156"/>
  <c r="M32" i="156"/>
  <c r="N32" i="156"/>
  <c r="P32" i="156"/>
  <c r="J33" i="156"/>
  <c r="E33" i="156"/>
  <c r="F33" i="156"/>
  <c r="C33" i="156"/>
  <c r="H33" i="156"/>
  <c r="K33" i="156"/>
  <c r="L33" i="156"/>
  <c r="M33" i="156"/>
  <c r="N33" i="156"/>
  <c r="P33" i="156"/>
  <c r="J34" i="156"/>
  <c r="E34" i="156"/>
  <c r="F34" i="156"/>
  <c r="C34" i="156"/>
  <c r="H34" i="156"/>
  <c r="K34" i="156"/>
  <c r="L34" i="156"/>
  <c r="M34" i="156"/>
  <c r="N34" i="156"/>
  <c r="P34" i="156"/>
  <c r="J35" i="156"/>
  <c r="E35" i="156"/>
  <c r="F35" i="156"/>
  <c r="C35" i="156"/>
  <c r="H35" i="156"/>
  <c r="K35" i="156"/>
  <c r="L35" i="156"/>
  <c r="M35" i="156"/>
  <c r="N35" i="156"/>
  <c r="P35" i="156"/>
  <c r="J36" i="156"/>
  <c r="E36" i="156"/>
  <c r="F36" i="156"/>
  <c r="C36" i="156"/>
  <c r="H36" i="156"/>
  <c r="K36" i="156"/>
  <c r="L36" i="156"/>
  <c r="M36" i="156"/>
  <c r="N36" i="156"/>
  <c r="P36" i="156"/>
  <c r="J37" i="156"/>
  <c r="E37" i="156"/>
  <c r="F37" i="156"/>
  <c r="C37" i="156"/>
  <c r="H37" i="156"/>
  <c r="K37" i="156"/>
  <c r="L37" i="156"/>
  <c r="M37" i="156"/>
  <c r="N37" i="156"/>
  <c r="P37" i="156"/>
  <c r="J38" i="156"/>
  <c r="E38" i="156"/>
  <c r="F38" i="156"/>
  <c r="C38" i="156"/>
  <c r="H38" i="156"/>
  <c r="K38" i="156"/>
  <c r="L38" i="156"/>
  <c r="M38" i="156"/>
  <c r="N38" i="156"/>
  <c r="P38" i="156"/>
  <c r="J39" i="156"/>
  <c r="E39" i="156"/>
  <c r="F39" i="156"/>
  <c r="C39" i="156"/>
  <c r="H39" i="156"/>
  <c r="K39" i="156"/>
  <c r="L39" i="156"/>
  <c r="M39" i="156"/>
  <c r="N39" i="156"/>
  <c r="P39" i="156"/>
  <c r="J40" i="156"/>
  <c r="E40" i="156"/>
  <c r="F40" i="156"/>
  <c r="C40" i="156"/>
  <c r="H40" i="156"/>
  <c r="K40" i="156"/>
  <c r="L40" i="156"/>
  <c r="M40" i="156"/>
  <c r="N40" i="156"/>
  <c r="P40" i="156"/>
  <c r="J41" i="156"/>
  <c r="E41" i="156"/>
  <c r="F41" i="156"/>
  <c r="C41" i="156"/>
  <c r="H41" i="156"/>
  <c r="K41" i="156"/>
  <c r="L41" i="156"/>
  <c r="M41" i="156"/>
  <c r="N41" i="156"/>
  <c r="P41" i="156"/>
  <c r="J42" i="156"/>
  <c r="E42" i="156"/>
  <c r="F42" i="156"/>
  <c r="C42" i="156"/>
  <c r="H42" i="156"/>
  <c r="K42" i="156"/>
  <c r="L42" i="156"/>
  <c r="M42" i="156"/>
  <c r="N42" i="156"/>
  <c r="P42" i="156"/>
  <c r="J43" i="156"/>
  <c r="E43" i="156"/>
  <c r="F43" i="156"/>
  <c r="C43" i="156"/>
  <c r="H43" i="156"/>
  <c r="K43" i="156"/>
  <c r="L43" i="156"/>
  <c r="M43" i="156"/>
  <c r="N43" i="156"/>
  <c r="P43" i="156"/>
  <c r="J44" i="156"/>
  <c r="E44" i="156"/>
  <c r="F44" i="156"/>
  <c r="C44" i="156"/>
  <c r="H44" i="156"/>
  <c r="K44" i="156"/>
  <c r="L44" i="156"/>
  <c r="M44" i="156"/>
  <c r="N44" i="156"/>
  <c r="P44" i="156"/>
  <c r="J45" i="156"/>
  <c r="E45" i="156"/>
  <c r="F45" i="156"/>
  <c r="C45" i="156"/>
  <c r="H45" i="156"/>
  <c r="K45" i="156"/>
  <c r="L45" i="156"/>
  <c r="M45" i="156"/>
  <c r="N45" i="156"/>
  <c r="P45" i="156"/>
  <c r="J46" i="156"/>
  <c r="E46" i="156"/>
  <c r="F46" i="156"/>
  <c r="C46" i="156"/>
  <c r="H46" i="156"/>
  <c r="K46" i="156"/>
  <c r="L46" i="156"/>
  <c r="M46" i="156"/>
  <c r="N46" i="156"/>
  <c r="P46" i="156"/>
  <c r="J47" i="156"/>
  <c r="E47" i="156"/>
  <c r="F47" i="156"/>
  <c r="C47" i="156"/>
  <c r="H47" i="156"/>
  <c r="K47" i="156"/>
  <c r="L47" i="156"/>
  <c r="M47" i="156"/>
  <c r="N47" i="156"/>
  <c r="P47" i="156"/>
  <c r="J48" i="156"/>
  <c r="E48" i="156"/>
  <c r="F48" i="156"/>
  <c r="C48" i="156"/>
  <c r="H48" i="156"/>
  <c r="K48" i="156"/>
  <c r="L48" i="156"/>
  <c r="M48" i="156"/>
  <c r="N48" i="156"/>
  <c r="P48" i="156"/>
  <c r="J49" i="156"/>
  <c r="E49" i="156"/>
  <c r="F49" i="156"/>
  <c r="C49" i="156"/>
  <c r="H49" i="156"/>
  <c r="K49" i="156"/>
  <c r="L49" i="156"/>
  <c r="M49" i="156"/>
  <c r="N49" i="156"/>
  <c r="P49" i="156"/>
  <c r="J50" i="156"/>
  <c r="E50" i="156"/>
  <c r="F50" i="156"/>
  <c r="C50" i="156"/>
  <c r="H50" i="156"/>
  <c r="K50" i="156"/>
  <c r="L50" i="156"/>
  <c r="M50" i="156"/>
  <c r="N50" i="156"/>
  <c r="P50" i="156"/>
  <c r="J51" i="156"/>
  <c r="E51" i="156"/>
  <c r="F51" i="156"/>
  <c r="C51" i="156"/>
  <c r="H51" i="156"/>
  <c r="K51" i="156"/>
  <c r="L51" i="156"/>
  <c r="M51" i="156"/>
  <c r="N51" i="156"/>
  <c r="P51" i="156"/>
  <c r="J52" i="156"/>
  <c r="E52" i="156"/>
  <c r="F52" i="156"/>
  <c r="C52" i="156"/>
  <c r="H52" i="156"/>
  <c r="K52" i="156"/>
  <c r="L52" i="156"/>
  <c r="M52" i="156"/>
  <c r="N52" i="156"/>
  <c r="P52" i="156"/>
  <c r="J53" i="156"/>
  <c r="E53" i="156"/>
  <c r="F53" i="156"/>
  <c r="C53" i="156"/>
  <c r="H53" i="156"/>
  <c r="K53" i="156"/>
  <c r="L53" i="156"/>
  <c r="M53" i="156"/>
  <c r="N53" i="156"/>
  <c r="P53" i="156"/>
  <c r="J54" i="156"/>
  <c r="E54" i="156"/>
  <c r="F54" i="156"/>
  <c r="C54" i="156"/>
  <c r="H54" i="156"/>
  <c r="K54" i="156"/>
  <c r="L54" i="156"/>
  <c r="M54" i="156"/>
  <c r="N54" i="156"/>
  <c r="P54" i="156"/>
  <c r="J55" i="156"/>
  <c r="E55" i="156"/>
  <c r="F55" i="156"/>
  <c r="C55" i="156"/>
  <c r="H55" i="156"/>
  <c r="K55" i="156"/>
  <c r="L55" i="156"/>
  <c r="M55" i="156"/>
  <c r="N55" i="156"/>
  <c r="P55" i="156"/>
  <c r="J56" i="156"/>
  <c r="E56" i="156"/>
  <c r="F56" i="156"/>
  <c r="C56" i="156"/>
  <c r="H56" i="156"/>
  <c r="K56" i="156"/>
  <c r="L56" i="156"/>
  <c r="M56" i="156"/>
  <c r="N56" i="156"/>
  <c r="P56" i="156"/>
  <c r="J57" i="156"/>
  <c r="E57" i="156"/>
  <c r="F57" i="156"/>
  <c r="C57" i="156"/>
  <c r="H57" i="156"/>
  <c r="K57" i="156"/>
  <c r="L57" i="156"/>
  <c r="M57" i="156"/>
  <c r="N57" i="156"/>
  <c r="P57" i="156"/>
  <c r="J58" i="156"/>
  <c r="E58" i="156"/>
  <c r="F58" i="156"/>
  <c r="C58" i="156"/>
  <c r="H58" i="156"/>
  <c r="K58" i="156"/>
  <c r="L58" i="156"/>
  <c r="M58" i="156"/>
  <c r="N58" i="156"/>
  <c r="P58" i="156"/>
  <c r="J59" i="156"/>
  <c r="E59" i="156"/>
  <c r="F59" i="156"/>
  <c r="C59" i="156"/>
  <c r="H59" i="156"/>
  <c r="K59" i="156"/>
  <c r="L59" i="156"/>
  <c r="M59" i="156"/>
  <c r="N59" i="156"/>
  <c r="P59" i="156"/>
  <c r="J60" i="156"/>
  <c r="E60" i="156"/>
  <c r="F60" i="156"/>
  <c r="C60" i="156"/>
  <c r="H60" i="156"/>
  <c r="K60" i="156"/>
  <c r="L60" i="156"/>
  <c r="M60" i="156"/>
  <c r="N60" i="156"/>
  <c r="P60" i="156"/>
  <c r="J61" i="156"/>
  <c r="E61" i="156"/>
  <c r="F61" i="156"/>
  <c r="C61" i="156"/>
  <c r="H61" i="156"/>
  <c r="K61" i="156"/>
  <c r="L61" i="156"/>
  <c r="M61" i="156"/>
  <c r="N61" i="156"/>
  <c r="P61" i="156"/>
  <c r="J62" i="156"/>
  <c r="E62" i="156"/>
  <c r="F62" i="156"/>
  <c r="C62" i="156"/>
  <c r="H62" i="156"/>
  <c r="K62" i="156"/>
  <c r="L62" i="156"/>
  <c r="M62" i="156"/>
  <c r="N62" i="156"/>
  <c r="P62" i="156"/>
  <c r="J63" i="156"/>
  <c r="E63" i="156"/>
  <c r="F63" i="156"/>
  <c r="C63" i="156"/>
  <c r="H63" i="156"/>
  <c r="K63" i="156"/>
  <c r="L63" i="156"/>
  <c r="M63" i="156"/>
  <c r="N63" i="156"/>
  <c r="P63" i="156"/>
  <c r="J64" i="156"/>
  <c r="E64" i="156"/>
  <c r="F64" i="156"/>
  <c r="C64" i="156"/>
  <c r="H64" i="156"/>
  <c r="K64" i="156"/>
  <c r="L64" i="156"/>
  <c r="M64" i="156"/>
  <c r="N64" i="156"/>
  <c r="P64" i="156"/>
  <c r="J65" i="156"/>
  <c r="E65" i="156"/>
  <c r="F65" i="156"/>
  <c r="C65" i="156"/>
  <c r="H65" i="156"/>
  <c r="K65" i="156"/>
  <c r="L65" i="156"/>
  <c r="M65" i="156"/>
  <c r="N65" i="156"/>
  <c r="P65" i="156"/>
  <c r="J66" i="156"/>
  <c r="E66" i="156"/>
  <c r="F66" i="156"/>
  <c r="C66" i="156"/>
  <c r="H66" i="156"/>
  <c r="K66" i="156"/>
  <c r="L66" i="156"/>
  <c r="M66" i="156"/>
  <c r="N66" i="156"/>
  <c r="P66" i="156"/>
  <c r="J67" i="156"/>
  <c r="E67" i="156"/>
  <c r="F67" i="156"/>
  <c r="C67" i="156"/>
  <c r="H67" i="156"/>
  <c r="K67" i="156"/>
  <c r="L67" i="156"/>
  <c r="M67" i="156"/>
  <c r="N67" i="156"/>
  <c r="P67" i="156"/>
  <c r="J68" i="156"/>
  <c r="E68" i="156"/>
  <c r="F68" i="156"/>
  <c r="C68" i="156"/>
  <c r="H68" i="156"/>
  <c r="K68" i="156"/>
  <c r="L68" i="156"/>
  <c r="M68" i="156"/>
  <c r="N68" i="156"/>
  <c r="P68" i="156"/>
  <c r="J69" i="156"/>
  <c r="E69" i="156"/>
  <c r="F69" i="156"/>
  <c r="C69" i="156"/>
  <c r="H69" i="156"/>
  <c r="K69" i="156"/>
  <c r="L69" i="156"/>
  <c r="M69" i="156"/>
  <c r="N69" i="156"/>
  <c r="P69" i="156"/>
  <c r="J70" i="156"/>
  <c r="E70" i="156"/>
  <c r="F70" i="156"/>
  <c r="C70" i="156"/>
  <c r="H70" i="156"/>
  <c r="K70" i="156"/>
  <c r="L70" i="156"/>
  <c r="M70" i="156"/>
  <c r="N70" i="156"/>
  <c r="P70" i="156"/>
  <c r="J71" i="156"/>
  <c r="E71" i="156"/>
  <c r="F71" i="156"/>
  <c r="C71" i="156"/>
  <c r="H71" i="156"/>
  <c r="K71" i="156"/>
  <c r="L71" i="156"/>
  <c r="M71" i="156"/>
  <c r="N71" i="156"/>
  <c r="P71" i="156"/>
  <c r="J72" i="156"/>
  <c r="E72" i="156"/>
  <c r="F72" i="156"/>
  <c r="C72" i="156"/>
  <c r="H72" i="156"/>
  <c r="K72" i="156"/>
  <c r="L72" i="156"/>
  <c r="M72" i="156"/>
  <c r="N72" i="156"/>
  <c r="P72" i="156"/>
  <c r="J73" i="156"/>
  <c r="E73" i="156"/>
  <c r="F73" i="156"/>
  <c r="C73" i="156"/>
  <c r="H73" i="156"/>
  <c r="K73" i="156"/>
  <c r="L73" i="156"/>
  <c r="M73" i="156"/>
  <c r="N73" i="156"/>
  <c r="P73" i="156"/>
  <c r="J74" i="156"/>
  <c r="E74" i="156"/>
  <c r="F74" i="156"/>
  <c r="C74" i="156"/>
  <c r="H74" i="156"/>
  <c r="K74" i="156"/>
  <c r="L74" i="156"/>
  <c r="M74" i="156"/>
  <c r="N74" i="156"/>
  <c r="P74" i="156"/>
  <c r="J75" i="156"/>
  <c r="E75" i="156"/>
  <c r="F75" i="156"/>
  <c r="C75" i="156"/>
  <c r="H75" i="156"/>
  <c r="K75" i="156"/>
  <c r="L75" i="156"/>
  <c r="M75" i="156"/>
  <c r="N75" i="156"/>
  <c r="P75" i="156"/>
  <c r="J76" i="156"/>
  <c r="E76" i="156"/>
  <c r="F76" i="156"/>
  <c r="C76" i="156"/>
  <c r="H76" i="156"/>
  <c r="K76" i="156"/>
  <c r="L76" i="156"/>
  <c r="M76" i="156"/>
  <c r="N76" i="156"/>
  <c r="P76" i="156"/>
  <c r="J77" i="156"/>
  <c r="E77" i="156"/>
  <c r="F77" i="156"/>
  <c r="C77" i="156"/>
  <c r="H77" i="156"/>
  <c r="K77" i="156"/>
  <c r="L77" i="156"/>
  <c r="M77" i="156"/>
  <c r="N77" i="156"/>
  <c r="P77" i="156"/>
  <c r="J78" i="156"/>
  <c r="E78" i="156"/>
  <c r="F78" i="156"/>
  <c r="C78" i="156"/>
  <c r="H78" i="156"/>
  <c r="K78" i="156"/>
  <c r="L78" i="156"/>
  <c r="M78" i="156"/>
  <c r="N78" i="156"/>
  <c r="P78" i="156"/>
  <c r="J79" i="156"/>
  <c r="E79" i="156"/>
  <c r="F79" i="156"/>
  <c r="C79" i="156"/>
  <c r="H79" i="156"/>
  <c r="K79" i="156"/>
  <c r="L79" i="156"/>
  <c r="M79" i="156"/>
  <c r="N79" i="156"/>
  <c r="P79" i="156"/>
  <c r="J80" i="156"/>
  <c r="E80" i="156"/>
  <c r="F80" i="156"/>
  <c r="C80" i="156"/>
  <c r="H80" i="156"/>
  <c r="K80" i="156"/>
  <c r="L80" i="156"/>
  <c r="M80" i="156"/>
  <c r="N80" i="156"/>
  <c r="P80" i="156"/>
  <c r="J81" i="156"/>
  <c r="E81" i="156"/>
  <c r="F81" i="156"/>
  <c r="C81" i="156"/>
  <c r="H81" i="156"/>
  <c r="K81" i="156"/>
  <c r="L81" i="156"/>
  <c r="M81" i="156"/>
  <c r="N81" i="156"/>
  <c r="P81" i="156"/>
  <c r="J82" i="156"/>
  <c r="E82" i="156"/>
  <c r="F82" i="156"/>
  <c r="C82" i="156"/>
  <c r="H82" i="156"/>
  <c r="K82" i="156"/>
  <c r="L82" i="156"/>
  <c r="M82" i="156"/>
  <c r="N82" i="156"/>
  <c r="P82" i="156"/>
  <c r="J83" i="156"/>
  <c r="E83" i="156"/>
  <c r="F83" i="156"/>
  <c r="C83" i="156"/>
  <c r="H83" i="156"/>
  <c r="K83" i="156"/>
  <c r="L83" i="156"/>
  <c r="M83" i="156"/>
  <c r="N83" i="156"/>
  <c r="P83" i="156"/>
  <c r="J84" i="156"/>
  <c r="E84" i="156"/>
  <c r="F84" i="156"/>
  <c r="C84" i="156"/>
  <c r="H84" i="156"/>
  <c r="K84" i="156"/>
  <c r="L84" i="156"/>
  <c r="M84" i="156"/>
  <c r="N84" i="156"/>
  <c r="P84" i="156"/>
  <c r="J85" i="156"/>
  <c r="E85" i="156"/>
  <c r="F85" i="156"/>
  <c r="C85" i="156"/>
  <c r="H85" i="156"/>
  <c r="K85" i="156"/>
  <c r="L85" i="156"/>
  <c r="M85" i="156"/>
  <c r="N85" i="156"/>
  <c r="P85" i="156"/>
  <c r="J86" i="156"/>
  <c r="E86" i="156"/>
  <c r="F86" i="156"/>
  <c r="C86" i="156"/>
  <c r="H86" i="156"/>
  <c r="K86" i="156"/>
  <c r="L86" i="156"/>
  <c r="M86" i="156"/>
  <c r="N86" i="156"/>
  <c r="P86" i="156"/>
  <c r="J87" i="156"/>
  <c r="E87" i="156"/>
  <c r="F87" i="156"/>
  <c r="C87" i="156"/>
  <c r="H87" i="156"/>
  <c r="K87" i="156"/>
  <c r="L87" i="156"/>
  <c r="M87" i="156"/>
  <c r="N87" i="156"/>
  <c r="P87" i="156"/>
  <c r="J88" i="156"/>
  <c r="E88" i="156"/>
  <c r="F88" i="156"/>
  <c r="C88" i="156"/>
  <c r="H88" i="156"/>
  <c r="K88" i="156"/>
  <c r="L88" i="156"/>
  <c r="M88" i="156"/>
  <c r="N88" i="156"/>
  <c r="P88" i="156"/>
  <c r="J89" i="156"/>
  <c r="E89" i="156"/>
  <c r="F89" i="156"/>
  <c r="C89" i="156"/>
  <c r="H89" i="156"/>
  <c r="K89" i="156"/>
  <c r="L89" i="156"/>
  <c r="M89" i="156"/>
  <c r="N89" i="156"/>
  <c r="P89" i="156"/>
  <c r="J90" i="156"/>
  <c r="E90" i="156"/>
  <c r="F90" i="156"/>
  <c r="C90" i="156"/>
  <c r="H90" i="156"/>
  <c r="K90" i="156"/>
  <c r="L90" i="156"/>
  <c r="M90" i="156"/>
  <c r="N90" i="156"/>
  <c r="P90" i="156"/>
  <c r="J91" i="156"/>
  <c r="E91" i="156"/>
  <c r="F91" i="156"/>
  <c r="C91" i="156"/>
  <c r="H91" i="156"/>
  <c r="K91" i="156"/>
  <c r="L91" i="156"/>
  <c r="M91" i="156"/>
  <c r="N91" i="156"/>
  <c r="P91" i="156"/>
  <c r="J92" i="156"/>
  <c r="E92" i="156"/>
  <c r="F92" i="156"/>
  <c r="C92" i="156"/>
  <c r="H92" i="156"/>
  <c r="K92" i="156"/>
  <c r="L92" i="156"/>
  <c r="M92" i="156"/>
  <c r="N92" i="156"/>
  <c r="P92" i="156"/>
  <c r="J93" i="156"/>
  <c r="E93" i="156"/>
  <c r="F93" i="156"/>
  <c r="C93" i="156"/>
  <c r="H93" i="156"/>
  <c r="K93" i="156"/>
  <c r="L93" i="156"/>
  <c r="M93" i="156"/>
  <c r="N93" i="156"/>
  <c r="P93" i="156"/>
  <c r="J94" i="156"/>
  <c r="E94" i="156"/>
  <c r="F94" i="156"/>
  <c r="C94" i="156"/>
  <c r="H94" i="156"/>
  <c r="K94" i="156"/>
  <c r="L94" i="156"/>
  <c r="M94" i="156"/>
  <c r="N94" i="156"/>
  <c r="P94" i="156"/>
  <c r="J95" i="156"/>
  <c r="E95" i="156"/>
  <c r="F95" i="156"/>
  <c r="C95" i="156"/>
  <c r="H95" i="156"/>
  <c r="K95" i="156"/>
  <c r="L95" i="156"/>
  <c r="M95" i="156"/>
  <c r="N95" i="156"/>
  <c r="P95" i="156"/>
  <c r="J96" i="156"/>
  <c r="E96" i="156"/>
  <c r="F96" i="156"/>
  <c r="C96" i="156"/>
  <c r="H96" i="156"/>
  <c r="K96" i="156"/>
  <c r="L96" i="156"/>
  <c r="M96" i="156"/>
  <c r="N96" i="156"/>
  <c r="P96" i="156"/>
  <c r="J97" i="156"/>
  <c r="E97" i="156"/>
  <c r="F97" i="156"/>
  <c r="C97" i="156"/>
  <c r="H97" i="156"/>
  <c r="K97" i="156"/>
  <c r="L97" i="156"/>
  <c r="M97" i="156"/>
  <c r="N97" i="156"/>
  <c r="P97" i="156"/>
  <c r="J98" i="156"/>
  <c r="E98" i="156"/>
  <c r="F98" i="156"/>
  <c r="C98" i="156"/>
  <c r="H98" i="156"/>
  <c r="K98" i="156"/>
  <c r="L98" i="156"/>
  <c r="M98" i="156"/>
  <c r="N98" i="156"/>
  <c r="P98" i="156"/>
  <c r="J99" i="156"/>
  <c r="E99" i="156"/>
  <c r="F99" i="156"/>
  <c r="C99" i="156"/>
  <c r="H99" i="156"/>
  <c r="K99" i="156"/>
  <c r="L99" i="156"/>
  <c r="M99" i="156"/>
  <c r="N99" i="156"/>
  <c r="P99" i="156"/>
  <c r="J100" i="156"/>
  <c r="E100" i="156"/>
  <c r="F100" i="156"/>
  <c r="C100" i="156"/>
  <c r="H100" i="156"/>
  <c r="K100" i="156"/>
  <c r="L100" i="156"/>
  <c r="M100" i="156"/>
  <c r="N100" i="156"/>
  <c r="P100" i="156"/>
  <c r="J101" i="156"/>
  <c r="E101" i="156"/>
  <c r="F101" i="156"/>
  <c r="C101" i="156"/>
  <c r="H101" i="156"/>
  <c r="K101" i="156"/>
  <c r="L101" i="156"/>
  <c r="M101" i="156"/>
  <c r="N101" i="156"/>
  <c r="P101" i="156"/>
  <c r="J102" i="156"/>
  <c r="E102" i="156"/>
  <c r="F102" i="156"/>
  <c r="C102" i="156"/>
  <c r="H102" i="156"/>
  <c r="K102" i="156"/>
  <c r="L102" i="156"/>
  <c r="M102" i="156"/>
  <c r="N102" i="156"/>
  <c r="P102" i="156"/>
  <c r="J103" i="156"/>
  <c r="E103" i="156"/>
  <c r="F103" i="156"/>
  <c r="C103" i="156"/>
  <c r="H103" i="156"/>
  <c r="K103" i="156"/>
  <c r="L103" i="156"/>
  <c r="M103" i="156"/>
  <c r="N103" i="156"/>
  <c r="P103" i="156"/>
  <c r="J104" i="156"/>
  <c r="E104" i="156"/>
  <c r="F104" i="156"/>
  <c r="C104" i="156"/>
  <c r="H104" i="156"/>
  <c r="K104" i="156"/>
  <c r="L104" i="156"/>
  <c r="M104" i="156"/>
  <c r="N104" i="156"/>
  <c r="P104" i="156"/>
  <c r="J105" i="156"/>
  <c r="E105" i="156"/>
  <c r="F105" i="156"/>
  <c r="C105" i="156"/>
  <c r="H105" i="156"/>
  <c r="K105" i="156"/>
  <c r="L105" i="156"/>
  <c r="M105" i="156"/>
  <c r="N105" i="156"/>
  <c r="P105" i="156"/>
  <c r="J106" i="156"/>
  <c r="E106" i="156"/>
  <c r="F106" i="156"/>
  <c r="C106" i="156"/>
  <c r="H106" i="156"/>
  <c r="K106" i="156"/>
  <c r="L106" i="156"/>
  <c r="M106" i="156"/>
  <c r="N106" i="156"/>
  <c r="P106" i="156"/>
  <c r="J107" i="156"/>
  <c r="E107" i="156"/>
  <c r="F107" i="156"/>
  <c r="C107" i="156"/>
  <c r="H107" i="156"/>
  <c r="K107" i="156"/>
  <c r="L107" i="156"/>
  <c r="M107" i="156"/>
  <c r="N107" i="156"/>
  <c r="P107" i="156"/>
  <c r="J108" i="156"/>
  <c r="E108" i="156"/>
  <c r="F108" i="156"/>
  <c r="C108" i="156"/>
  <c r="H108" i="156"/>
  <c r="K108" i="156"/>
  <c r="L108" i="156"/>
  <c r="M108" i="156"/>
  <c r="N108" i="156"/>
  <c r="P108" i="156"/>
  <c r="J109" i="156"/>
  <c r="E109" i="156"/>
  <c r="F109" i="156"/>
  <c r="C109" i="156"/>
  <c r="H109" i="156"/>
  <c r="K109" i="156"/>
  <c r="L109" i="156"/>
  <c r="M109" i="156"/>
  <c r="N109" i="156"/>
  <c r="P109" i="156"/>
  <c r="B10" i="153"/>
  <c r="A295" i="154"/>
  <c r="H295" i="154"/>
  <c r="K295" i="154"/>
  <c r="L295" i="154"/>
  <c r="M295" i="154"/>
  <c r="N295" i="154"/>
  <c r="G30" i="153"/>
  <c r="E30" i="153"/>
  <c r="H30" i="153"/>
  <c r="G31" i="153"/>
  <c r="E31" i="153"/>
  <c r="H31" i="153"/>
  <c r="R8" i="153"/>
  <c r="R9" i="153"/>
  <c r="P295" i="154"/>
  <c r="A296" i="154"/>
  <c r="H296" i="154"/>
  <c r="K296" i="154"/>
  <c r="L296" i="154"/>
  <c r="M296" i="154"/>
  <c r="N296" i="154"/>
  <c r="P296" i="154"/>
  <c r="A297" i="154"/>
  <c r="H297" i="154"/>
  <c r="K297" i="154"/>
  <c r="L297" i="154"/>
  <c r="M297" i="154"/>
  <c r="N297" i="154"/>
  <c r="P297" i="154"/>
  <c r="A298" i="154"/>
  <c r="H298" i="154"/>
  <c r="K298" i="154"/>
  <c r="L298" i="154"/>
  <c r="M298" i="154"/>
  <c r="N298" i="154"/>
  <c r="P298" i="154"/>
  <c r="A299" i="154"/>
  <c r="H299" i="154"/>
  <c r="K299" i="154"/>
  <c r="L299" i="154"/>
  <c r="M299" i="154"/>
  <c r="N299" i="154"/>
  <c r="P299" i="154"/>
  <c r="A300" i="154"/>
  <c r="H300" i="154"/>
  <c r="K300" i="154"/>
  <c r="L300" i="154"/>
  <c r="M300" i="154"/>
  <c r="N300" i="154"/>
  <c r="P300" i="154"/>
  <c r="A301" i="154"/>
  <c r="H301" i="154"/>
  <c r="K301" i="154"/>
  <c r="L301" i="154"/>
  <c r="M301" i="154"/>
  <c r="N301" i="154"/>
  <c r="P301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E25" i="157"/>
  <c r="B25" i="157"/>
  <c r="E24" i="157"/>
  <c r="B24" i="157"/>
  <c r="H290" i="158"/>
  <c r="K290" i="158"/>
  <c r="L290" i="158"/>
  <c r="M290" i="158"/>
  <c r="N290" i="158"/>
  <c r="A2" i="157"/>
  <c r="A36" i="157"/>
  <c r="G29" i="157"/>
  <c r="H29" i="157"/>
  <c r="O290" i="158"/>
  <c r="B10" i="157"/>
  <c r="E19" i="157"/>
  <c r="B19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B22" i="157"/>
  <c r="G22" i="157"/>
  <c r="H22" i="157"/>
  <c r="O256" i="158"/>
  <c r="G23" i="157"/>
  <c r="E23" i="157"/>
  <c r="H23" i="157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1" i="158"/>
  <c r="O292" i="158"/>
  <c r="O293" i="158"/>
  <c r="O294" i="158"/>
  <c r="P290" i="158"/>
  <c r="H291" i="158"/>
  <c r="K291" i="158"/>
  <c r="L291" i="158"/>
  <c r="M291" i="158"/>
  <c r="N291" i="158"/>
  <c r="P291" i="158"/>
  <c r="H292" i="158"/>
  <c r="K292" i="158"/>
  <c r="L292" i="158"/>
  <c r="M292" i="158"/>
  <c r="N292" i="158"/>
  <c r="P292" i="158"/>
  <c r="H293" i="158"/>
  <c r="K293" i="158"/>
  <c r="L293" i="158"/>
  <c r="M293" i="158"/>
  <c r="N293" i="158"/>
  <c r="P293" i="158"/>
  <c r="H294" i="158"/>
  <c r="K294" i="158"/>
  <c r="L294" i="158"/>
  <c r="M294" i="158"/>
  <c r="N294" i="158"/>
  <c r="P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P290" i="154"/>
  <c r="A291" i="154"/>
  <c r="H291" i="154"/>
  <c r="K291" i="154"/>
  <c r="L291" i="154"/>
  <c r="M291" i="154"/>
  <c r="N291" i="154"/>
  <c r="P291" i="154"/>
  <c r="A292" i="154"/>
  <c r="H292" i="154"/>
  <c r="K292" i="154"/>
  <c r="L292" i="154"/>
  <c r="M292" i="154"/>
  <c r="N292" i="154"/>
  <c r="P292" i="154"/>
  <c r="A293" i="154"/>
  <c r="H293" i="154"/>
  <c r="K293" i="154"/>
  <c r="L293" i="154"/>
  <c r="M293" i="154"/>
  <c r="N293" i="154"/>
  <c r="P293" i="154"/>
  <c r="A294" i="154"/>
  <c r="H294" i="154"/>
  <c r="K294" i="154"/>
  <c r="L294" i="154"/>
  <c r="M294" i="154"/>
  <c r="N294" i="154"/>
  <c r="P294" i="154"/>
  <c r="P2" i="156"/>
  <c r="P3" i="156"/>
  <c r="P4" i="156"/>
  <c r="P5" i="156"/>
  <c r="P6" i="156"/>
  <c r="H287" i="154"/>
  <c r="K287" i="154"/>
  <c r="L287" i="154"/>
  <c r="M287" i="154"/>
  <c r="N287" i="154"/>
  <c r="P287" i="154"/>
  <c r="H288" i="154"/>
  <c r="K288" i="154"/>
  <c r="L288" i="154"/>
  <c r="M288" i="154"/>
  <c r="N288" i="154"/>
  <c r="P288" i="154"/>
  <c r="H289" i="154"/>
  <c r="K289" i="154"/>
  <c r="L289" i="154"/>
  <c r="M289" i="154"/>
  <c r="N289" i="154"/>
  <c r="P289" i="154"/>
  <c r="A287" i="154"/>
  <c r="A288" i="154"/>
  <c r="A289" i="154"/>
  <c r="A285" i="158"/>
  <c r="H285" i="158"/>
  <c r="K285" i="158"/>
  <c r="L285" i="158"/>
  <c r="M285" i="158"/>
  <c r="N285" i="158"/>
  <c r="R4" i="157"/>
  <c r="R3" i="157"/>
  <c r="R5" i="157"/>
  <c r="R6" i="157"/>
  <c r="R7" i="157"/>
  <c r="R8" i="157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B6" i="157"/>
  <c r="B5" i="157"/>
  <c r="E31" i="157"/>
  <c r="G31" i="157"/>
  <c r="H31" i="157"/>
  <c r="E30" i="157"/>
  <c r="G30" i="157"/>
  <c r="H30" i="157"/>
  <c r="P284" i="158"/>
  <c r="N284" i="158"/>
  <c r="M284" i="158"/>
  <c r="L284" i="158"/>
  <c r="K284" i="158"/>
  <c r="H284" i="158"/>
  <c r="A284" i="158"/>
  <c r="P283" i="158"/>
  <c r="N283" i="158"/>
  <c r="M283" i="158"/>
  <c r="L283" i="158"/>
  <c r="K283" i="158"/>
  <c r="H283" i="158"/>
  <c r="A283" i="158"/>
  <c r="P282" i="158"/>
  <c r="N282" i="158"/>
  <c r="M282" i="158"/>
  <c r="L282" i="158"/>
  <c r="K282" i="158"/>
  <c r="H282" i="158"/>
  <c r="A282" i="158"/>
  <c r="P281" i="158"/>
  <c r="N281" i="158"/>
  <c r="M281" i="158"/>
  <c r="L281" i="158"/>
  <c r="K281" i="158"/>
  <c r="H281" i="158"/>
  <c r="A281" i="158"/>
  <c r="P280" i="158"/>
  <c r="N280" i="158"/>
  <c r="M280" i="158"/>
  <c r="L280" i="158"/>
  <c r="K280" i="158"/>
  <c r="H280" i="158"/>
  <c r="A280" i="158"/>
  <c r="P279" i="158"/>
  <c r="N279" i="158"/>
  <c r="M279" i="158"/>
  <c r="L279" i="158"/>
  <c r="K279" i="158"/>
  <c r="H279" i="158"/>
  <c r="A279" i="158"/>
  <c r="P278" i="158"/>
  <c r="N278" i="158"/>
  <c r="M278" i="158"/>
  <c r="L278" i="158"/>
  <c r="K278" i="158"/>
  <c r="H278" i="158"/>
  <c r="A278" i="158"/>
  <c r="P277" i="158"/>
  <c r="N277" i="158"/>
  <c r="M277" i="158"/>
  <c r="L277" i="158"/>
  <c r="K277" i="158"/>
  <c r="H277" i="158"/>
  <c r="A277" i="158"/>
  <c r="P276" i="158"/>
  <c r="N276" i="158"/>
  <c r="M276" i="158"/>
  <c r="L276" i="158"/>
  <c r="K276" i="158"/>
  <c r="H276" i="158"/>
  <c r="A276" i="158"/>
  <c r="P275" i="158"/>
  <c r="N275" i="158"/>
  <c r="M275" i="158"/>
  <c r="L275" i="158"/>
  <c r="K275" i="158"/>
  <c r="H275" i="158"/>
  <c r="A275" i="158"/>
  <c r="P274" i="158"/>
  <c r="N274" i="158"/>
  <c r="M274" i="158"/>
  <c r="L274" i="158"/>
  <c r="K274" i="158"/>
  <c r="H274" i="158"/>
  <c r="A274" i="158"/>
  <c r="P273" i="158"/>
  <c r="N273" i="158"/>
  <c r="M273" i="158"/>
  <c r="L273" i="158"/>
  <c r="K273" i="158"/>
  <c r="H273" i="158"/>
  <c r="A273" i="158"/>
  <c r="P272" i="158"/>
  <c r="N272" i="158"/>
  <c r="M272" i="158"/>
  <c r="L272" i="158"/>
  <c r="K272" i="158"/>
  <c r="H272" i="158"/>
  <c r="A272" i="158"/>
  <c r="P271" i="158"/>
  <c r="N271" i="158"/>
  <c r="M271" i="158"/>
  <c r="L271" i="158"/>
  <c r="K271" i="158"/>
  <c r="H271" i="158"/>
  <c r="A271" i="158"/>
  <c r="P270" i="158"/>
  <c r="N270" i="158"/>
  <c r="M270" i="158"/>
  <c r="L270" i="158"/>
  <c r="K270" i="158"/>
  <c r="H270" i="158"/>
  <c r="A270" i="158"/>
  <c r="P269" i="158"/>
  <c r="N269" i="158"/>
  <c r="M269" i="158"/>
  <c r="L269" i="158"/>
  <c r="K269" i="158"/>
  <c r="H269" i="158"/>
  <c r="A269" i="158"/>
  <c r="P268" i="158"/>
  <c r="N268" i="158"/>
  <c r="M268" i="158"/>
  <c r="L268" i="158"/>
  <c r="K268" i="158"/>
  <c r="H268" i="158"/>
  <c r="A268" i="158"/>
  <c r="P267" i="158"/>
  <c r="N267" i="158"/>
  <c r="M267" i="158"/>
  <c r="L267" i="158"/>
  <c r="K267" i="158"/>
  <c r="H267" i="158"/>
  <c r="A267" i="158"/>
  <c r="P266" i="158"/>
  <c r="N266" i="158"/>
  <c r="M266" i="158"/>
  <c r="L266" i="158"/>
  <c r="K266" i="158"/>
  <c r="H266" i="158"/>
  <c r="A266" i="158"/>
  <c r="P265" i="158"/>
  <c r="N265" i="158"/>
  <c r="M265" i="158"/>
  <c r="L265" i="158"/>
  <c r="K265" i="158"/>
  <c r="H265" i="158"/>
  <c r="A265" i="158"/>
  <c r="P264" i="158"/>
  <c r="N264" i="158"/>
  <c r="M264" i="158"/>
  <c r="L264" i="158"/>
  <c r="K264" i="158"/>
  <c r="H264" i="158"/>
  <c r="A264" i="158"/>
  <c r="P263" i="158"/>
  <c r="N263" i="158"/>
  <c r="M263" i="158"/>
  <c r="L263" i="158"/>
  <c r="K263" i="158"/>
  <c r="H263" i="158"/>
  <c r="A263" i="158"/>
  <c r="P262" i="158"/>
  <c r="N262" i="158"/>
  <c r="M262" i="158"/>
  <c r="L262" i="158"/>
  <c r="K262" i="158"/>
  <c r="H262" i="158"/>
  <c r="A262" i="158"/>
  <c r="P261" i="158"/>
  <c r="N261" i="158"/>
  <c r="M261" i="158"/>
  <c r="L261" i="158"/>
  <c r="K261" i="158"/>
  <c r="H261" i="158"/>
  <c r="A261" i="158"/>
  <c r="P260" i="158"/>
  <c r="N260" i="158"/>
  <c r="M260" i="158"/>
  <c r="L260" i="158"/>
  <c r="K260" i="158"/>
  <c r="H260" i="158"/>
  <c r="A260" i="158"/>
  <c r="P259" i="158"/>
  <c r="N259" i="158"/>
  <c r="M259" i="158"/>
  <c r="L259" i="158"/>
  <c r="K259" i="158"/>
  <c r="H259" i="158"/>
  <c r="A259" i="158"/>
  <c r="P258" i="158"/>
  <c r="N258" i="158"/>
  <c r="M258" i="158"/>
  <c r="L258" i="158"/>
  <c r="K258" i="158"/>
  <c r="H258" i="158"/>
  <c r="A258" i="158"/>
  <c r="P257" i="158"/>
  <c r="N257" i="158"/>
  <c r="M257" i="158"/>
  <c r="L257" i="158"/>
  <c r="K257" i="158"/>
  <c r="H257" i="158"/>
  <c r="A257" i="158"/>
  <c r="P256" i="158"/>
  <c r="N256" i="158"/>
  <c r="M256" i="158"/>
  <c r="L256" i="158"/>
  <c r="K256" i="158"/>
  <c r="H256" i="158"/>
  <c r="A256" i="158"/>
  <c r="P255" i="158"/>
  <c r="N255" i="158"/>
  <c r="M255" i="158"/>
  <c r="L255" i="158"/>
  <c r="K255" i="158"/>
  <c r="H255" i="158"/>
  <c r="A255" i="158"/>
  <c r="P254" i="158"/>
  <c r="N254" i="158"/>
  <c r="M254" i="158"/>
  <c r="L254" i="158"/>
  <c r="K254" i="158"/>
  <c r="H254" i="158"/>
  <c r="A254" i="158"/>
  <c r="P253" i="158"/>
  <c r="N253" i="158"/>
  <c r="M253" i="158"/>
  <c r="L253" i="158"/>
  <c r="K253" i="158"/>
  <c r="H253" i="158"/>
  <c r="A253" i="158"/>
  <c r="P252" i="158"/>
  <c r="N252" i="158"/>
  <c r="M252" i="158"/>
  <c r="L252" i="158"/>
  <c r="K252" i="158"/>
  <c r="H252" i="158"/>
  <c r="A252" i="158"/>
  <c r="P251" i="158"/>
  <c r="N251" i="158"/>
  <c r="M251" i="158"/>
  <c r="L251" i="158"/>
  <c r="K251" i="158"/>
  <c r="H251" i="158"/>
  <c r="A251" i="158"/>
  <c r="P250" i="158"/>
  <c r="N250" i="158"/>
  <c r="M250" i="158"/>
  <c r="L250" i="158"/>
  <c r="K250" i="158"/>
  <c r="H250" i="158"/>
  <c r="A250" i="158"/>
  <c r="P249" i="158"/>
  <c r="N249" i="158"/>
  <c r="M249" i="158"/>
  <c r="L249" i="158"/>
  <c r="K249" i="158"/>
  <c r="H249" i="158"/>
  <c r="A249" i="158"/>
  <c r="P248" i="158"/>
  <c r="N248" i="158"/>
  <c r="M248" i="158"/>
  <c r="L248" i="158"/>
  <c r="K248" i="158"/>
  <c r="H248" i="158"/>
  <c r="A248" i="158"/>
  <c r="P247" i="158"/>
  <c r="N247" i="158"/>
  <c r="M247" i="158"/>
  <c r="L247" i="158"/>
  <c r="K247" i="158"/>
  <c r="H247" i="158"/>
  <c r="A247" i="158"/>
  <c r="P246" i="158"/>
  <c r="N246" i="158"/>
  <c r="M246" i="158"/>
  <c r="L246" i="158"/>
  <c r="K246" i="158"/>
  <c r="H246" i="158"/>
  <c r="A246" i="158"/>
  <c r="P245" i="158"/>
  <c r="N245" i="158"/>
  <c r="M245" i="158"/>
  <c r="L245" i="158"/>
  <c r="K245" i="158"/>
  <c r="H245" i="158"/>
  <c r="A245" i="158"/>
  <c r="P244" i="158"/>
  <c r="N244" i="158"/>
  <c r="M244" i="158"/>
  <c r="L244" i="158"/>
  <c r="K244" i="158"/>
  <c r="H244" i="158"/>
  <c r="A244" i="158"/>
  <c r="P243" i="158"/>
  <c r="N243" i="158"/>
  <c r="M243" i="158"/>
  <c r="L243" i="158"/>
  <c r="K243" i="158"/>
  <c r="H243" i="158"/>
  <c r="A243" i="158"/>
  <c r="P242" i="158"/>
  <c r="N242" i="158"/>
  <c r="M242" i="158"/>
  <c r="L242" i="158"/>
  <c r="K242" i="158"/>
  <c r="H242" i="158"/>
  <c r="A242" i="158"/>
  <c r="P241" i="158"/>
  <c r="N241" i="158"/>
  <c r="M241" i="158"/>
  <c r="L241" i="158"/>
  <c r="K241" i="158"/>
  <c r="H241" i="158"/>
  <c r="A241" i="158"/>
  <c r="P240" i="158"/>
  <c r="N240" i="158"/>
  <c r="M240" i="158"/>
  <c r="L240" i="158"/>
  <c r="K240" i="158"/>
  <c r="H240" i="158"/>
  <c r="A240" i="158"/>
  <c r="P239" i="158"/>
  <c r="N239" i="158"/>
  <c r="M239" i="158"/>
  <c r="L239" i="158"/>
  <c r="K239" i="158"/>
  <c r="H239" i="158"/>
  <c r="A239" i="158"/>
  <c r="P238" i="158"/>
  <c r="N238" i="158"/>
  <c r="M238" i="158"/>
  <c r="L238" i="158"/>
  <c r="K238" i="158"/>
  <c r="H238" i="158"/>
  <c r="A238" i="158"/>
  <c r="P237" i="158"/>
  <c r="N237" i="158"/>
  <c r="M237" i="158"/>
  <c r="L237" i="158"/>
  <c r="K237" i="158"/>
  <c r="H237" i="158"/>
  <c r="A237" i="158"/>
  <c r="P236" i="158"/>
  <c r="N236" i="158"/>
  <c r="M236" i="158"/>
  <c r="L236" i="158"/>
  <c r="K236" i="158"/>
  <c r="H236" i="158"/>
  <c r="A236" i="158"/>
  <c r="P235" i="158"/>
  <c r="N235" i="158"/>
  <c r="M235" i="158"/>
  <c r="L235" i="158"/>
  <c r="K235" i="158"/>
  <c r="H235" i="158"/>
  <c r="A235" i="158"/>
  <c r="P234" i="158"/>
  <c r="N234" i="158"/>
  <c r="M234" i="158"/>
  <c r="L234" i="158"/>
  <c r="K234" i="158"/>
  <c r="H234" i="158"/>
  <c r="A234" i="158"/>
  <c r="P233" i="158"/>
  <c r="N233" i="158"/>
  <c r="M233" i="158"/>
  <c r="L233" i="158"/>
  <c r="K233" i="158"/>
  <c r="H233" i="158"/>
  <c r="A233" i="158"/>
  <c r="P232" i="158"/>
  <c r="N232" i="158"/>
  <c r="M232" i="158"/>
  <c r="L232" i="158"/>
  <c r="K232" i="158"/>
  <c r="H232" i="158"/>
  <c r="A232" i="158"/>
  <c r="P231" i="158"/>
  <c r="N231" i="158"/>
  <c r="M231" i="158"/>
  <c r="L231" i="158"/>
  <c r="K231" i="158"/>
  <c r="H231" i="158"/>
  <c r="A231" i="158"/>
  <c r="P230" i="158"/>
  <c r="N230" i="158"/>
  <c r="M230" i="158"/>
  <c r="L230" i="158"/>
  <c r="K230" i="158"/>
  <c r="H230" i="158"/>
  <c r="A230" i="158"/>
  <c r="P229" i="158"/>
  <c r="N229" i="158"/>
  <c r="M229" i="158"/>
  <c r="L229" i="158"/>
  <c r="K229" i="158"/>
  <c r="H229" i="158"/>
  <c r="A229" i="158"/>
  <c r="P228" i="158"/>
  <c r="N228" i="158"/>
  <c r="M228" i="158"/>
  <c r="L228" i="158"/>
  <c r="K228" i="158"/>
  <c r="H228" i="158"/>
  <c r="A228" i="158"/>
  <c r="P227" i="158"/>
  <c r="N227" i="158"/>
  <c r="M227" i="158"/>
  <c r="L227" i="158"/>
  <c r="K227" i="158"/>
  <c r="H227" i="158"/>
  <c r="A227" i="158"/>
  <c r="P226" i="158"/>
  <c r="N226" i="158"/>
  <c r="M226" i="158"/>
  <c r="L226" i="158"/>
  <c r="K226" i="158"/>
  <c r="H226" i="158"/>
  <c r="A226" i="158"/>
  <c r="P225" i="158"/>
  <c r="N225" i="158"/>
  <c r="M225" i="158"/>
  <c r="L225" i="158"/>
  <c r="K225" i="158"/>
  <c r="H225" i="158"/>
  <c r="A225" i="158"/>
  <c r="P224" i="158"/>
  <c r="N224" i="158"/>
  <c r="M224" i="158"/>
  <c r="L224" i="158"/>
  <c r="K224" i="158"/>
  <c r="H224" i="158"/>
  <c r="A224" i="158"/>
  <c r="P223" i="158"/>
  <c r="N223" i="158"/>
  <c r="M223" i="158"/>
  <c r="L223" i="158"/>
  <c r="K223" i="158"/>
  <c r="H223" i="158"/>
  <c r="A223" i="158"/>
  <c r="P222" i="158"/>
  <c r="N222" i="158"/>
  <c r="M222" i="158"/>
  <c r="L222" i="158"/>
  <c r="K222" i="158"/>
  <c r="H222" i="158"/>
  <c r="A222" i="158"/>
  <c r="P221" i="158"/>
  <c r="N221" i="158"/>
  <c r="M221" i="158"/>
  <c r="L221" i="158"/>
  <c r="K221" i="158"/>
  <c r="H221" i="158"/>
  <c r="A221" i="158"/>
  <c r="P220" i="158"/>
  <c r="N220" i="158"/>
  <c r="M220" i="158"/>
  <c r="L220" i="158"/>
  <c r="K220" i="158"/>
  <c r="H220" i="158"/>
  <c r="A220" i="158"/>
  <c r="P219" i="158"/>
  <c r="N219" i="158"/>
  <c r="M219" i="158"/>
  <c r="L219" i="158"/>
  <c r="K219" i="158"/>
  <c r="H219" i="158"/>
  <c r="A219" i="158"/>
  <c r="P218" i="158"/>
  <c r="N218" i="158"/>
  <c r="M218" i="158"/>
  <c r="L218" i="158"/>
  <c r="K218" i="158"/>
  <c r="H218" i="158"/>
  <c r="A218" i="158"/>
  <c r="P217" i="158"/>
  <c r="N217" i="158"/>
  <c r="M217" i="158"/>
  <c r="L217" i="158"/>
  <c r="K217" i="158"/>
  <c r="H217" i="158"/>
  <c r="A217" i="158"/>
  <c r="P216" i="158"/>
  <c r="N216" i="158"/>
  <c r="M216" i="158"/>
  <c r="L216" i="158"/>
  <c r="K216" i="158"/>
  <c r="H216" i="158"/>
  <c r="A216" i="158"/>
  <c r="P215" i="158"/>
  <c r="N215" i="158"/>
  <c r="M215" i="158"/>
  <c r="L215" i="158"/>
  <c r="K215" i="158"/>
  <c r="H215" i="158"/>
  <c r="A215" i="158"/>
  <c r="P214" i="158"/>
  <c r="N214" i="158"/>
  <c r="M214" i="158"/>
  <c r="L214" i="158"/>
  <c r="K214" i="158"/>
  <c r="H214" i="158"/>
  <c r="A214" i="158"/>
  <c r="P213" i="158"/>
  <c r="N213" i="158"/>
  <c r="M213" i="158"/>
  <c r="L213" i="158"/>
  <c r="K213" i="158"/>
  <c r="H213" i="158"/>
  <c r="A213" i="158"/>
  <c r="P212" i="158"/>
  <c r="N212" i="158"/>
  <c r="M212" i="158"/>
  <c r="L212" i="158"/>
  <c r="K212" i="158"/>
  <c r="H212" i="158"/>
  <c r="A212" i="158"/>
  <c r="P211" i="158"/>
  <c r="N211" i="158"/>
  <c r="M211" i="158"/>
  <c r="L211" i="158"/>
  <c r="K211" i="158"/>
  <c r="H211" i="158"/>
  <c r="A211" i="158"/>
  <c r="P210" i="158"/>
  <c r="N210" i="158"/>
  <c r="M210" i="158"/>
  <c r="L210" i="158"/>
  <c r="K210" i="158"/>
  <c r="H210" i="158"/>
  <c r="A210" i="158"/>
  <c r="P209" i="158"/>
  <c r="N209" i="158"/>
  <c r="M209" i="158"/>
  <c r="L209" i="158"/>
  <c r="K209" i="158"/>
  <c r="H209" i="158"/>
  <c r="A209" i="158"/>
  <c r="P208" i="158"/>
  <c r="N208" i="158"/>
  <c r="M208" i="158"/>
  <c r="L208" i="158"/>
  <c r="K208" i="158"/>
  <c r="H208" i="158"/>
  <c r="A208" i="158"/>
  <c r="P207" i="158"/>
  <c r="N207" i="158"/>
  <c r="M207" i="158"/>
  <c r="L207" i="158"/>
  <c r="K207" i="158"/>
  <c r="H207" i="158"/>
  <c r="A207" i="158"/>
  <c r="P206" i="158"/>
  <c r="N206" i="158"/>
  <c r="M206" i="158"/>
  <c r="L206" i="158"/>
  <c r="K206" i="158"/>
  <c r="H206" i="158"/>
  <c r="A206" i="158"/>
  <c r="P205" i="158"/>
  <c r="N205" i="158"/>
  <c r="M205" i="158"/>
  <c r="L205" i="158"/>
  <c r="K205" i="158"/>
  <c r="H205" i="158"/>
  <c r="A205" i="158"/>
  <c r="P204" i="158"/>
  <c r="N204" i="158"/>
  <c r="M204" i="158"/>
  <c r="L204" i="158"/>
  <c r="K204" i="158"/>
  <c r="H204" i="158"/>
  <c r="A204" i="158"/>
  <c r="P203" i="158"/>
  <c r="N203" i="158"/>
  <c r="M203" i="158"/>
  <c r="L203" i="158"/>
  <c r="K203" i="158"/>
  <c r="H203" i="158"/>
  <c r="A203" i="158"/>
  <c r="P202" i="158"/>
  <c r="N202" i="158"/>
  <c r="M202" i="158"/>
  <c r="L202" i="158"/>
  <c r="K202" i="158"/>
  <c r="H202" i="158"/>
  <c r="A202" i="158"/>
  <c r="P201" i="158"/>
  <c r="N201" i="158"/>
  <c r="M201" i="158"/>
  <c r="L201" i="158"/>
  <c r="K201" i="158"/>
  <c r="H201" i="158"/>
  <c r="A201" i="158"/>
  <c r="P200" i="158"/>
  <c r="N200" i="158"/>
  <c r="M200" i="158"/>
  <c r="L200" i="158"/>
  <c r="K200" i="158"/>
  <c r="H200" i="158"/>
  <c r="A200" i="158"/>
  <c r="P199" i="158"/>
  <c r="N199" i="158"/>
  <c r="M199" i="158"/>
  <c r="L199" i="158"/>
  <c r="K199" i="158"/>
  <c r="H199" i="158"/>
  <c r="A199" i="158"/>
  <c r="P198" i="158"/>
  <c r="N198" i="158"/>
  <c r="M198" i="158"/>
  <c r="L198" i="158"/>
  <c r="K198" i="158"/>
  <c r="H198" i="158"/>
  <c r="A198" i="158"/>
  <c r="P197" i="158"/>
  <c r="N197" i="158"/>
  <c r="M197" i="158"/>
  <c r="L197" i="158"/>
  <c r="K197" i="158"/>
  <c r="H197" i="158"/>
  <c r="A197" i="158"/>
  <c r="P196" i="158"/>
  <c r="N196" i="158"/>
  <c r="M196" i="158"/>
  <c r="L196" i="158"/>
  <c r="K196" i="158"/>
  <c r="H196" i="158"/>
  <c r="A196" i="158"/>
  <c r="P195" i="158"/>
  <c r="N195" i="158"/>
  <c r="M195" i="158"/>
  <c r="L195" i="158"/>
  <c r="K195" i="158"/>
  <c r="H195" i="158"/>
  <c r="A195" i="158"/>
  <c r="P194" i="158"/>
  <c r="N194" i="158"/>
  <c r="M194" i="158"/>
  <c r="L194" i="158"/>
  <c r="K194" i="158"/>
  <c r="H194" i="158"/>
  <c r="A194" i="158"/>
  <c r="P193" i="158"/>
  <c r="N193" i="158"/>
  <c r="M193" i="158"/>
  <c r="L193" i="158"/>
  <c r="K193" i="158"/>
  <c r="H193" i="158"/>
  <c r="A193" i="158"/>
  <c r="P192" i="158"/>
  <c r="N192" i="158"/>
  <c r="M192" i="158"/>
  <c r="L192" i="158"/>
  <c r="K192" i="158"/>
  <c r="H192" i="158"/>
  <c r="A192" i="158"/>
  <c r="P191" i="158"/>
  <c r="N191" i="158"/>
  <c r="M191" i="158"/>
  <c r="L191" i="158"/>
  <c r="K191" i="158"/>
  <c r="H191" i="158"/>
  <c r="A191" i="158"/>
  <c r="P190" i="158"/>
  <c r="N190" i="158"/>
  <c r="M190" i="158"/>
  <c r="L190" i="158"/>
  <c r="K190" i="158"/>
  <c r="H190" i="158"/>
  <c r="A190" i="158"/>
  <c r="P189" i="158"/>
  <c r="N189" i="158"/>
  <c r="M189" i="158"/>
  <c r="L189" i="158"/>
  <c r="K189" i="158"/>
  <c r="H189" i="158"/>
  <c r="A189" i="158"/>
  <c r="P188" i="158"/>
  <c r="N188" i="158"/>
  <c r="M188" i="158"/>
  <c r="L188" i="158"/>
  <c r="K188" i="158"/>
  <c r="H188" i="158"/>
  <c r="A188" i="158"/>
  <c r="P187" i="158"/>
  <c r="N187" i="158"/>
  <c r="M187" i="158"/>
  <c r="L187" i="158"/>
  <c r="K187" i="158"/>
  <c r="H187" i="158"/>
  <c r="A187" i="158"/>
  <c r="P186" i="158"/>
  <c r="N186" i="158"/>
  <c r="M186" i="158"/>
  <c r="L186" i="158"/>
  <c r="K186" i="158"/>
  <c r="H186" i="158"/>
  <c r="A186" i="158"/>
  <c r="P185" i="158"/>
  <c r="N185" i="158"/>
  <c r="M185" i="158"/>
  <c r="L185" i="158"/>
  <c r="K185" i="158"/>
  <c r="H185" i="158"/>
  <c r="A185" i="158"/>
  <c r="P184" i="158"/>
  <c r="N184" i="158"/>
  <c r="M184" i="158"/>
  <c r="L184" i="158"/>
  <c r="K184" i="158"/>
  <c r="H184" i="158"/>
  <c r="A184" i="158"/>
  <c r="P183" i="158"/>
  <c r="N183" i="158"/>
  <c r="M183" i="158"/>
  <c r="L183" i="158"/>
  <c r="K183" i="158"/>
  <c r="H183" i="158"/>
  <c r="A183" i="158"/>
  <c r="P182" i="158"/>
  <c r="N182" i="158"/>
  <c r="M182" i="158"/>
  <c r="L182" i="158"/>
  <c r="K182" i="158"/>
  <c r="H182" i="158"/>
  <c r="A182" i="158"/>
  <c r="P181" i="158"/>
  <c r="N181" i="158"/>
  <c r="M181" i="158"/>
  <c r="L181" i="158"/>
  <c r="K181" i="158"/>
  <c r="H181" i="158"/>
  <c r="A181" i="158"/>
  <c r="P180" i="158"/>
  <c r="N180" i="158"/>
  <c r="M180" i="158"/>
  <c r="L180" i="158"/>
  <c r="K180" i="158"/>
  <c r="H180" i="158"/>
  <c r="A180" i="158"/>
  <c r="P179" i="158"/>
  <c r="N179" i="158"/>
  <c r="M179" i="158"/>
  <c r="L179" i="158"/>
  <c r="K179" i="158"/>
  <c r="H179" i="158"/>
  <c r="A179" i="158"/>
  <c r="P178" i="158"/>
  <c r="N178" i="158"/>
  <c r="M178" i="158"/>
  <c r="L178" i="158"/>
  <c r="K178" i="158"/>
  <c r="H178" i="158"/>
  <c r="A178" i="158"/>
  <c r="P177" i="158"/>
  <c r="N177" i="158"/>
  <c r="M177" i="158"/>
  <c r="L177" i="158"/>
  <c r="K177" i="158"/>
  <c r="H177" i="158"/>
  <c r="A177" i="158"/>
  <c r="P176" i="158"/>
  <c r="N176" i="158"/>
  <c r="M176" i="158"/>
  <c r="L176" i="158"/>
  <c r="K176" i="158"/>
  <c r="H176" i="158"/>
  <c r="A176" i="158"/>
  <c r="P175" i="158"/>
  <c r="N175" i="158"/>
  <c r="M175" i="158"/>
  <c r="L175" i="158"/>
  <c r="K175" i="158"/>
  <c r="H175" i="158"/>
  <c r="A175" i="158"/>
  <c r="P174" i="158"/>
  <c r="N174" i="158"/>
  <c r="M174" i="158"/>
  <c r="L174" i="158"/>
  <c r="K174" i="158"/>
  <c r="H174" i="158"/>
  <c r="A174" i="158"/>
  <c r="P173" i="158"/>
  <c r="N173" i="158"/>
  <c r="M173" i="158"/>
  <c r="L173" i="158"/>
  <c r="K173" i="158"/>
  <c r="H173" i="158"/>
  <c r="A173" i="158"/>
  <c r="P172" i="158"/>
  <c r="N172" i="158"/>
  <c r="M172" i="158"/>
  <c r="L172" i="158"/>
  <c r="K172" i="158"/>
  <c r="H172" i="158"/>
  <c r="A172" i="158"/>
  <c r="P171" i="158"/>
  <c r="N171" i="158"/>
  <c r="M171" i="158"/>
  <c r="L171" i="158"/>
  <c r="K171" i="158"/>
  <c r="H171" i="158"/>
  <c r="A171" i="158"/>
  <c r="P170" i="158"/>
  <c r="N170" i="158"/>
  <c r="M170" i="158"/>
  <c r="L170" i="158"/>
  <c r="K170" i="158"/>
  <c r="H170" i="158"/>
  <c r="A170" i="158"/>
  <c r="P169" i="158"/>
  <c r="N169" i="158"/>
  <c r="M169" i="158"/>
  <c r="L169" i="158"/>
  <c r="K169" i="158"/>
  <c r="H169" i="158"/>
  <c r="A169" i="158"/>
  <c r="P168" i="158"/>
  <c r="N168" i="158"/>
  <c r="M168" i="158"/>
  <c r="L168" i="158"/>
  <c r="K168" i="158"/>
  <c r="H168" i="158"/>
  <c r="A168" i="158"/>
  <c r="P167" i="158"/>
  <c r="N167" i="158"/>
  <c r="M167" i="158"/>
  <c r="L167" i="158"/>
  <c r="K167" i="158"/>
  <c r="H167" i="158"/>
  <c r="A167" i="158"/>
  <c r="P166" i="158"/>
  <c r="N166" i="158"/>
  <c r="M166" i="158"/>
  <c r="L166" i="158"/>
  <c r="K166" i="158"/>
  <c r="H166" i="158"/>
  <c r="A166" i="158"/>
  <c r="P165" i="158"/>
  <c r="N165" i="158"/>
  <c r="M165" i="158"/>
  <c r="L165" i="158"/>
  <c r="K165" i="158"/>
  <c r="H165" i="158"/>
  <c r="A165" i="158"/>
  <c r="P164" i="158"/>
  <c r="N164" i="158"/>
  <c r="M164" i="158"/>
  <c r="L164" i="158"/>
  <c r="K164" i="158"/>
  <c r="H164" i="158"/>
  <c r="A164" i="158"/>
  <c r="P163" i="158"/>
  <c r="N163" i="158"/>
  <c r="M163" i="158"/>
  <c r="L163" i="158"/>
  <c r="K163" i="158"/>
  <c r="H163" i="158"/>
  <c r="A163" i="158"/>
  <c r="P162" i="158"/>
  <c r="N162" i="158"/>
  <c r="M162" i="158"/>
  <c r="L162" i="158"/>
  <c r="K162" i="158"/>
  <c r="H162" i="158"/>
  <c r="A162" i="158"/>
  <c r="P161" i="158"/>
  <c r="N161" i="158"/>
  <c r="M161" i="158"/>
  <c r="L161" i="158"/>
  <c r="K161" i="158"/>
  <c r="H161" i="158"/>
  <c r="A161" i="158"/>
  <c r="P160" i="158"/>
  <c r="N160" i="158"/>
  <c r="M160" i="158"/>
  <c r="L160" i="158"/>
  <c r="K160" i="158"/>
  <c r="H160" i="158"/>
  <c r="A160" i="158"/>
  <c r="P159" i="158"/>
  <c r="N159" i="158"/>
  <c r="M159" i="158"/>
  <c r="L159" i="158"/>
  <c r="K159" i="158"/>
  <c r="H159" i="158"/>
  <c r="A159" i="158"/>
  <c r="P158" i="158"/>
  <c r="N158" i="158"/>
  <c r="M158" i="158"/>
  <c r="L158" i="158"/>
  <c r="K158" i="158"/>
  <c r="H158" i="158"/>
  <c r="A158" i="158"/>
  <c r="P157" i="158"/>
  <c r="N157" i="158"/>
  <c r="M157" i="158"/>
  <c r="L157" i="158"/>
  <c r="K157" i="158"/>
  <c r="H157" i="158"/>
  <c r="A157" i="158"/>
  <c r="P156" i="158"/>
  <c r="N156" i="158"/>
  <c r="M156" i="158"/>
  <c r="L156" i="158"/>
  <c r="K156" i="158"/>
  <c r="H156" i="158"/>
  <c r="A156" i="158"/>
  <c r="P155" i="158"/>
  <c r="N155" i="158"/>
  <c r="M155" i="158"/>
  <c r="L155" i="158"/>
  <c r="K155" i="158"/>
  <c r="H155" i="158"/>
  <c r="A155" i="158"/>
  <c r="P154" i="158"/>
  <c r="N154" i="158"/>
  <c r="M154" i="158"/>
  <c r="L154" i="158"/>
  <c r="K154" i="158"/>
  <c r="H154" i="158"/>
  <c r="A154" i="158"/>
  <c r="P153" i="158"/>
  <c r="N153" i="158"/>
  <c r="M153" i="158"/>
  <c r="L153" i="158"/>
  <c r="K153" i="158"/>
  <c r="H153" i="158"/>
  <c r="A153" i="158"/>
  <c r="P152" i="158"/>
  <c r="N152" i="158"/>
  <c r="M152" i="158"/>
  <c r="L152" i="158"/>
  <c r="K152" i="158"/>
  <c r="H152" i="158"/>
  <c r="A152" i="158"/>
  <c r="P151" i="158"/>
  <c r="N151" i="158"/>
  <c r="M151" i="158"/>
  <c r="L151" i="158"/>
  <c r="K151" i="158"/>
  <c r="H151" i="158"/>
  <c r="A151" i="158"/>
  <c r="P150" i="158"/>
  <c r="N150" i="158"/>
  <c r="M150" i="158"/>
  <c r="L150" i="158"/>
  <c r="K150" i="158"/>
  <c r="H150" i="158"/>
  <c r="A150" i="158"/>
  <c r="P149" i="158"/>
  <c r="N149" i="158"/>
  <c r="M149" i="158"/>
  <c r="L149" i="158"/>
  <c r="K149" i="158"/>
  <c r="H149" i="158"/>
  <c r="A149" i="158"/>
  <c r="P148" i="158"/>
  <c r="N148" i="158"/>
  <c r="M148" i="158"/>
  <c r="L148" i="158"/>
  <c r="K148" i="158"/>
  <c r="H148" i="158"/>
  <c r="A148" i="158"/>
  <c r="P147" i="158"/>
  <c r="N147" i="158"/>
  <c r="M147" i="158"/>
  <c r="L147" i="158"/>
  <c r="K147" i="158"/>
  <c r="H147" i="158"/>
  <c r="A147" i="158"/>
  <c r="P146" i="158"/>
  <c r="N146" i="158"/>
  <c r="M146" i="158"/>
  <c r="L146" i="158"/>
  <c r="K146" i="158"/>
  <c r="H146" i="158"/>
  <c r="A146" i="158"/>
  <c r="P145" i="158"/>
  <c r="N145" i="158"/>
  <c r="M145" i="158"/>
  <c r="L145" i="158"/>
  <c r="K145" i="158"/>
  <c r="H145" i="158"/>
  <c r="A145" i="158"/>
  <c r="P144" i="158"/>
  <c r="N144" i="158"/>
  <c r="M144" i="158"/>
  <c r="L144" i="158"/>
  <c r="K144" i="158"/>
  <c r="H144" i="158"/>
  <c r="A144" i="158"/>
  <c r="P143" i="158"/>
  <c r="N143" i="158"/>
  <c r="M143" i="158"/>
  <c r="L143" i="158"/>
  <c r="K143" i="158"/>
  <c r="H143" i="158"/>
  <c r="A143" i="158"/>
  <c r="P142" i="158"/>
  <c r="N142" i="158"/>
  <c r="M142" i="158"/>
  <c r="L142" i="158"/>
  <c r="K142" i="158"/>
  <c r="H142" i="158"/>
  <c r="A142" i="158"/>
  <c r="P141" i="158"/>
  <c r="N141" i="158"/>
  <c r="M141" i="158"/>
  <c r="L141" i="158"/>
  <c r="K141" i="158"/>
  <c r="H141" i="158"/>
  <c r="A141" i="158"/>
  <c r="P140" i="158"/>
  <c r="N140" i="158"/>
  <c r="M140" i="158"/>
  <c r="L140" i="158"/>
  <c r="K140" i="158"/>
  <c r="H140" i="158"/>
  <c r="A140" i="158"/>
  <c r="P139" i="158"/>
  <c r="N139" i="158"/>
  <c r="M139" i="158"/>
  <c r="L139" i="158"/>
  <c r="K139" i="158"/>
  <c r="H139" i="158"/>
  <c r="A139" i="158"/>
  <c r="P138" i="158"/>
  <c r="N138" i="158"/>
  <c r="M138" i="158"/>
  <c r="L138" i="158"/>
  <c r="K138" i="158"/>
  <c r="H138" i="158"/>
  <c r="A138" i="158"/>
  <c r="P137" i="158"/>
  <c r="N137" i="158"/>
  <c r="M137" i="158"/>
  <c r="L137" i="158"/>
  <c r="K137" i="158"/>
  <c r="H137" i="158"/>
  <c r="A137" i="158"/>
  <c r="P136" i="158"/>
  <c r="N136" i="158"/>
  <c r="M136" i="158"/>
  <c r="L136" i="158"/>
  <c r="K136" i="158"/>
  <c r="H136" i="158"/>
  <c r="A136" i="158"/>
  <c r="P135" i="158"/>
  <c r="N135" i="158"/>
  <c r="M135" i="158"/>
  <c r="L135" i="158"/>
  <c r="K135" i="158"/>
  <c r="H135" i="158"/>
  <c r="A135" i="158"/>
  <c r="P134" i="158"/>
  <c r="N134" i="158"/>
  <c r="M134" i="158"/>
  <c r="L134" i="158"/>
  <c r="K134" i="158"/>
  <c r="H134" i="158"/>
  <c r="A134" i="158"/>
  <c r="P133" i="158"/>
  <c r="N133" i="158"/>
  <c r="M133" i="158"/>
  <c r="L133" i="158"/>
  <c r="K133" i="158"/>
  <c r="H133" i="158"/>
  <c r="A133" i="158"/>
  <c r="P132" i="158"/>
  <c r="N132" i="158"/>
  <c r="M132" i="158"/>
  <c r="L132" i="158"/>
  <c r="K132" i="158"/>
  <c r="H132" i="158"/>
  <c r="A132" i="158"/>
  <c r="P131" i="158"/>
  <c r="N131" i="158"/>
  <c r="M131" i="158"/>
  <c r="L131" i="158"/>
  <c r="K131" i="158"/>
  <c r="H131" i="158"/>
  <c r="A131" i="158"/>
  <c r="P130" i="158"/>
  <c r="N130" i="158"/>
  <c r="M130" i="158"/>
  <c r="L130" i="158"/>
  <c r="K130" i="158"/>
  <c r="H130" i="158"/>
  <c r="A130" i="158"/>
  <c r="P129" i="158"/>
  <c r="N129" i="158"/>
  <c r="M129" i="158"/>
  <c r="L129" i="158"/>
  <c r="K129" i="158"/>
  <c r="H129" i="158"/>
  <c r="A129" i="158"/>
  <c r="P128" i="158"/>
  <c r="N128" i="158"/>
  <c r="M128" i="158"/>
  <c r="L128" i="158"/>
  <c r="K128" i="158"/>
  <c r="H128" i="158"/>
  <c r="A128" i="158"/>
  <c r="P127" i="158"/>
  <c r="N127" i="158"/>
  <c r="M127" i="158"/>
  <c r="L127" i="158"/>
  <c r="K127" i="158"/>
  <c r="H127" i="158"/>
  <c r="A127" i="158"/>
  <c r="P126" i="158"/>
  <c r="N126" i="158"/>
  <c r="M126" i="158"/>
  <c r="L126" i="158"/>
  <c r="K126" i="158"/>
  <c r="H126" i="158"/>
  <c r="A126" i="158"/>
  <c r="P125" i="158"/>
  <c r="N125" i="158"/>
  <c r="M125" i="158"/>
  <c r="L125" i="158"/>
  <c r="K125" i="158"/>
  <c r="H125" i="158"/>
  <c r="A125" i="158"/>
  <c r="P124" i="158"/>
  <c r="N124" i="158"/>
  <c r="M124" i="158"/>
  <c r="L124" i="158"/>
  <c r="K124" i="158"/>
  <c r="H124" i="158"/>
  <c r="A124" i="158"/>
  <c r="P123" i="158"/>
  <c r="N123" i="158"/>
  <c r="M123" i="158"/>
  <c r="L123" i="158"/>
  <c r="K123" i="158"/>
  <c r="H123" i="158"/>
  <c r="A123" i="158"/>
  <c r="P122" i="158"/>
  <c r="N122" i="158"/>
  <c r="M122" i="158"/>
  <c r="L122" i="158"/>
  <c r="K122" i="158"/>
  <c r="H122" i="158"/>
  <c r="A122" i="158"/>
  <c r="P121" i="158"/>
  <c r="N121" i="158"/>
  <c r="M121" i="158"/>
  <c r="L121" i="158"/>
  <c r="K121" i="158"/>
  <c r="H121" i="158"/>
  <c r="A121" i="158"/>
  <c r="P120" i="158"/>
  <c r="N120" i="158"/>
  <c r="M120" i="158"/>
  <c r="L120" i="158"/>
  <c r="K120" i="158"/>
  <c r="H120" i="158"/>
  <c r="A120" i="158"/>
  <c r="P119" i="158"/>
  <c r="N119" i="158"/>
  <c r="M119" i="158"/>
  <c r="L119" i="158"/>
  <c r="K119" i="158"/>
  <c r="H119" i="158"/>
  <c r="A119" i="158"/>
  <c r="P118" i="158"/>
  <c r="N118" i="158"/>
  <c r="M118" i="158"/>
  <c r="L118" i="158"/>
  <c r="K118" i="158"/>
  <c r="H118" i="158"/>
  <c r="A118" i="158"/>
  <c r="P117" i="158"/>
  <c r="N117" i="158"/>
  <c r="M117" i="158"/>
  <c r="L117" i="158"/>
  <c r="K117" i="158"/>
  <c r="H117" i="158"/>
  <c r="A117" i="158"/>
  <c r="P116" i="158"/>
  <c r="N116" i="158"/>
  <c r="M116" i="158"/>
  <c r="L116" i="158"/>
  <c r="K116" i="158"/>
  <c r="H116" i="158"/>
  <c r="A116" i="158"/>
  <c r="P115" i="158"/>
  <c r="N115" i="158"/>
  <c r="M115" i="158"/>
  <c r="L115" i="158"/>
  <c r="K115" i="158"/>
  <c r="H115" i="158"/>
  <c r="A115" i="158"/>
  <c r="P114" i="158"/>
  <c r="N114" i="158"/>
  <c r="M114" i="158"/>
  <c r="L114" i="158"/>
  <c r="K114" i="158"/>
  <c r="H114" i="158"/>
  <c r="A114" i="158"/>
  <c r="P113" i="158"/>
  <c r="N113" i="158"/>
  <c r="M113" i="158"/>
  <c r="L113" i="158"/>
  <c r="K113" i="158"/>
  <c r="H113" i="158"/>
  <c r="A113" i="158"/>
  <c r="P112" i="158"/>
  <c r="N112" i="158"/>
  <c r="M112" i="158"/>
  <c r="L112" i="158"/>
  <c r="K112" i="158"/>
  <c r="H112" i="158"/>
  <c r="A112" i="158"/>
  <c r="P111" i="158"/>
  <c r="N111" i="158"/>
  <c r="M111" i="158"/>
  <c r="L111" i="158"/>
  <c r="K111" i="158"/>
  <c r="H111" i="158"/>
  <c r="A111" i="158"/>
  <c r="P110" i="158"/>
  <c r="N110" i="158"/>
  <c r="M110" i="158"/>
  <c r="L110" i="158"/>
  <c r="K110" i="158"/>
  <c r="H110" i="158"/>
  <c r="A110" i="158"/>
  <c r="P109" i="158"/>
  <c r="N109" i="158"/>
  <c r="M109" i="158"/>
  <c r="L109" i="158"/>
  <c r="K109" i="158"/>
  <c r="H109" i="158"/>
  <c r="A109" i="158"/>
  <c r="P108" i="158"/>
  <c r="N108" i="158"/>
  <c r="M108" i="158"/>
  <c r="L108" i="158"/>
  <c r="K108" i="158"/>
  <c r="H108" i="158"/>
  <c r="A108" i="158"/>
  <c r="P107" i="158"/>
  <c r="N107" i="158"/>
  <c r="M107" i="158"/>
  <c r="L107" i="158"/>
  <c r="K107" i="158"/>
  <c r="H107" i="158"/>
  <c r="A107" i="158"/>
  <c r="P106" i="158"/>
  <c r="N106" i="158"/>
  <c r="M106" i="158"/>
  <c r="L106" i="158"/>
  <c r="K106" i="158"/>
  <c r="H106" i="158"/>
  <c r="A106" i="158"/>
  <c r="P105" i="158"/>
  <c r="N105" i="158"/>
  <c r="M105" i="158"/>
  <c r="L105" i="158"/>
  <c r="K105" i="158"/>
  <c r="H105" i="158"/>
  <c r="A105" i="158"/>
  <c r="P104" i="158"/>
  <c r="N104" i="158"/>
  <c r="M104" i="158"/>
  <c r="L104" i="158"/>
  <c r="K104" i="158"/>
  <c r="H104" i="158"/>
  <c r="A104" i="158"/>
  <c r="P103" i="158"/>
  <c r="N103" i="158"/>
  <c r="M103" i="158"/>
  <c r="L103" i="158"/>
  <c r="K103" i="158"/>
  <c r="H103" i="158"/>
  <c r="A103" i="158"/>
  <c r="P102" i="158"/>
  <c r="N102" i="158"/>
  <c r="M102" i="158"/>
  <c r="L102" i="158"/>
  <c r="K102" i="158"/>
  <c r="H102" i="158"/>
  <c r="A102" i="158"/>
  <c r="P101" i="158"/>
  <c r="N101" i="158"/>
  <c r="M101" i="158"/>
  <c r="L101" i="158"/>
  <c r="K101" i="158"/>
  <c r="H101" i="158"/>
  <c r="A101" i="158"/>
  <c r="P100" i="158"/>
  <c r="N100" i="158"/>
  <c r="M100" i="158"/>
  <c r="L100" i="158"/>
  <c r="K100" i="158"/>
  <c r="H100" i="158"/>
  <c r="A100" i="158"/>
  <c r="P99" i="158"/>
  <c r="N99" i="158"/>
  <c r="M99" i="158"/>
  <c r="L99" i="158"/>
  <c r="K99" i="158"/>
  <c r="H99" i="158"/>
  <c r="A99" i="158"/>
  <c r="P98" i="158"/>
  <c r="N98" i="158"/>
  <c r="M98" i="158"/>
  <c r="L98" i="158"/>
  <c r="K98" i="158"/>
  <c r="H98" i="158"/>
  <c r="A98" i="158"/>
  <c r="P97" i="158"/>
  <c r="N97" i="158"/>
  <c r="M97" i="158"/>
  <c r="L97" i="158"/>
  <c r="K97" i="158"/>
  <c r="H97" i="158"/>
  <c r="A97" i="158"/>
  <c r="P96" i="158"/>
  <c r="N96" i="158"/>
  <c r="M96" i="158"/>
  <c r="L96" i="158"/>
  <c r="K96" i="158"/>
  <c r="H96" i="158"/>
  <c r="A96" i="158"/>
  <c r="P95" i="158"/>
  <c r="N95" i="158"/>
  <c r="M95" i="158"/>
  <c r="L95" i="158"/>
  <c r="K95" i="158"/>
  <c r="H95" i="158"/>
  <c r="A95" i="158"/>
  <c r="P94" i="158"/>
  <c r="N94" i="158"/>
  <c r="M94" i="158"/>
  <c r="L94" i="158"/>
  <c r="K94" i="158"/>
  <c r="H94" i="158"/>
  <c r="A94" i="158"/>
  <c r="P93" i="158"/>
  <c r="N93" i="158"/>
  <c r="M93" i="158"/>
  <c r="L93" i="158"/>
  <c r="K93" i="158"/>
  <c r="H93" i="158"/>
  <c r="A93" i="158"/>
  <c r="P92" i="158"/>
  <c r="N92" i="158"/>
  <c r="M92" i="158"/>
  <c r="L92" i="158"/>
  <c r="K92" i="158"/>
  <c r="H92" i="158"/>
  <c r="A92" i="158"/>
  <c r="P91" i="158"/>
  <c r="N91" i="158"/>
  <c r="M91" i="158"/>
  <c r="L91" i="158"/>
  <c r="K91" i="158"/>
  <c r="H91" i="158"/>
  <c r="A91" i="158"/>
  <c r="P90" i="158"/>
  <c r="N90" i="158"/>
  <c r="M90" i="158"/>
  <c r="L90" i="158"/>
  <c r="K90" i="158"/>
  <c r="H90" i="158"/>
  <c r="A90" i="158"/>
  <c r="P89" i="158"/>
  <c r="N89" i="158"/>
  <c r="M89" i="158"/>
  <c r="L89" i="158"/>
  <c r="K89" i="158"/>
  <c r="H89" i="158"/>
  <c r="A89" i="158"/>
  <c r="P88" i="158"/>
  <c r="N88" i="158"/>
  <c r="M88" i="158"/>
  <c r="L88" i="158"/>
  <c r="K88" i="158"/>
  <c r="H88" i="158"/>
  <c r="A88" i="158"/>
  <c r="P87" i="158"/>
  <c r="N87" i="158"/>
  <c r="M87" i="158"/>
  <c r="L87" i="158"/>
  <c r="K87" i="158"/>
  <c r="H87" i="158"/>
  <c r="A87" i="158"/>
  <c r="P86" i="158"/>
  <c r="N86" i="158"/>
  <c r="M86" i="158"/>
  <c r="L86" i="158"/>
  <c r="K86" i="158"/>
  <c r="H86" i="158"/>
  <c r="A86" i="158"/>
  <c r="P85" i="158"/>
  <c r="N85" i="158"/>
  <c r="M85" i="158"/>
  <c r="L85" i="158"/>
  <c r="K85" i="158"/>
  <c r="H85" i="158"/>
  <c r="A85" i="158"/>
  <c r="P84" i="158"/>
  <c r="N84" i="158"/>
  <c r="M84" i="158"/>
  <c r="L84" i="158"/>
  <c r="K84" i="158"/>
  <c r="H84" i="158"/>
  <c r="A84" i="158"/>
  <c r="P83" i="158"/>
  <c r="N83" i="158"/>
  <c r="M83" i="158"/>
  <c r="L83" i="158"/>
  <c r="K83" i="158"/>
  <c r="H83" i="158"/>
  <c r="A83" i="158"/>
  <c r="P82" i="158"/>
  <c r="N82" i="158"/>
  <c r="M82" i="158"/>
  <c r="L82" i="158"/>
  <c r="K82" i="158"/>
  <c r="H82" i="158"/>
  <c r="A82" i="158"/>
  <c r="P81" i="158"/>
  <c r="N81" i="158"/>
  <c r="M81" i="158"/>
  <c r="L81" i="158"/>
  <c r="K81" i="158"/>
  <c r="H81" i="158"/>
  <c r="A81" i="158"/>
  <c r="P80" i="158"/>
  <c r="N80" i="158"/>
  <c r="M80" i="158"/>
  <c r="L80" i="158"/>
  <c r="K80" i="158"/>
  <c r="H80" i="158"/>
  <c r="A80" i="158"/>
  <c r="P79" i="158"/>
  <c r="N79" i="158"/>
  <c r="M79" i="158"/>
  <c r="L79" i="158"/>
  <c r="K79" i="158"/>
  <c r="H79" i="158"/>
  <c r="A79" i="158"/>
  <c r="P78" i="158"/>
  <c r="N78" i="158"/>
  <c r="M78" i="158"/>
  <c r="L78" i="158"/>
  <c r="K78" i="158"/>
  <c r="H78" i="158"/>
  <c r="A78" i="158"/>
  <c r="P77" i="158"/>
  <c r="N77" i="158"/>
  <c r="M77" i="158"/>
  <c r="L77" i="158"/>
  <c r="K77" i="158"/>
  <c r="H77" i="158"/>
  <c r="A77" i="158"/>
  <c r="P76" i="158"/>
  <c r="N76" i="158"/>
  <c r="M76" i="158"/>
  <c r="L76" i="158"/>
  <c r="K76" i="158"/>
  <c r="H76" i="158"/>
  <c r="A76" i="158"/>
  <c r="P75" i="158"/>
  <c r="N75" i="158"/>
  <c r="M75" i="158"/>
  <c r="L75" i="158"/>
  <c r="K75" i="158"/>
  <c r="H75" i="158"/>
  <c r="A75" i="158"/>
  <c r="P74" i="158"/>
  <c r="N74" i="158"/>
  <c r="M74" i="158"/>
  <c r="L74" i="158"/>
  <c r="K74" i="158"/>
  <c r="H74" i="158"/>
  <c r="A74" i="158"/>
  <c r="P73" i="158"/>
  <c r="N73" i="158"/>
  <c r="M73" i="158"/>
  <c r="L73" i="158"/>
  <c r="K73" i="158"/>
  <c r="H73" i="158"/>
  <c r="A73" i="158"/>
  <c r="P72" i="158"/>
  <c r="N72" i="158"/>
  <c r="M72" i="158"/>
  <c r="L72" i="158"/>
  <c r="K72" i="158"/>
  <c r="H72" i="158"/>
  <c r="A72" i="158"/>
  <c r="P71" i="158"/>
  <c r="N71" i="158"/>
  <c r="M71" i="158"/>
  <c r="L71" i="158"/>
  <c r="K71" i="158"/>
  <c r="H71" i="158"/>
  <c r="A71" i="158"/>
  <c r="P70" i="158"/>
  <c r="N70" i="158"/>
  <c r="M70" i="158"/>
  <c r="L70" i="158"/>
  <c r="K70" i="158"/>
  <c r="H70" i="158"/>
  <c r="A70" i="158"/>
  <c r="P69" i="158"/>
  <c r="N69" i="158"/>
  <c r="M69" i="158"/>
  <c r="L69" i="158"/>
  <c r="K69" i="158"/>
  <c r="H69" i="158"/>
  <c r="A69" i="158"/>
  <c r="P68" i="158"/>
  <c r="N68" i="158"/>
  <c r="M68" i="158"/>
  <c r="L68" i="158"/>
  <c r="K68" i="158"/>
  <c r="H68" i="158"/>
  <c r="A68" i="158"/>
  <c r="P67" i="158"/>
  <c r="N67" i="158"/>
  <c r="M67" i="158"/>
  <c r="L67" i="158"/>
  <c r="K67" i="158"/>
  <c r="H67" i="158"/>
  <c r="A67" i="158"/>
  <c r="P66" i="158"/>
  <c r="N66" i="158"/>
  <c r="M66" i="158"/>
  <c r="L66" i="158"/>
  <c r="K66" i="158"/>
  <c r="H66" i="158"/>
  <c r="A66" i="158"/>
  <c r="P65" i="158"/>
  <c r="N65" i="158"/>
  <c r="M65" i="158"/>
  <c r="L65" i="158"/>
  <c r="K65" i="158"/>
  <c r="H65" i="158"/>
  <c r="A65" i="158"/>
  <c r="P64" i="158"/>
  <c r="N64" i="158"/>
  <c r="M64" i="158"/>
  <c r="L64" i="158"/>
  <c r="K64" i="158"/>
  <c r="H64" i="158"/>
  <c r="A64" i="158"/>
  <c r="P63" i="158"/>
  <c r="N63" i="158"/>
  <c r="M63" i="158"/>
  <c r="L63" i="158"/>
  <c r="K63" i="158"/>
  <c r="H63" i="158"/>
  <c r="A63" i="158"/>
  <c r="P62" i="158"/>
  <c r="N62" i="158"/>
  <c r="M62" i="158"/>
  <c r="L62" i="158"/>
  <c r="K62" i="158"/>
  <c r="H62" i="158"/>
  <c r="A62" i="158"/>
  <c r="P61" i="158"/>
  <c r="N61" i="158"/>
  <c r="M61" i="158"/>
  <c r="L61" i="158"/>
  <c r="K61" i="158"/>
  <c r="H61" i="158"/>
  <c r="A61" i="158"/>
  <c r="P60" i="158"/>
  <c r="N60" i="158"/>
  <c r="M60" i="158"/>
  <c r="L60" i="158"/>
  <c r="K60" i="158"/>
  <c r="H60" i="158"/>
  <c r="A60" i="158"/>
  <c r="P59" i="158"/>
  <c r="N59" i="158"/>
  <c r="M59" i="158"/>
  <c r="L59" i="158"/>
  <c r="K59" i="158"/>
  <c r="H59" i="158"/>
  <c r="A59" i="158"/>
  <c r="P58" i="158"/>
  <c r="N58" i="158"/>
  <c r="M58" i="158"/>
  <c r="L58" i="158"/>
  <c r="K58" i="158"/>
  <c r="H58" i="158"/>
  <c r="A58" i="158"/>
  <c r="P57" i="158"/>
  <c r="N57" i="158"/>
  <c r="M57" i="158"/>
  <c r="L57" i="158"/>
  <c r="K57" i="158"/>
  <c r="H57" i="158"/>
  <c r="A57" i="158"/>
  <c r="P56" i="158"/>
  <c r="N56" i="158"/>
  <c r="M56" i="158"/>
  <c r="L56" i="158"/>
  <c r="K56" i="158"/>
  <c r="H56" i="158"/>
  <c r="A56" i="158"/>
  <c r="P55" i="158"/>
  <c r="N55" i="158"/>
  <c r="M55" i="158"/>
  <c r="L55" i="158"/>
  <c r="K55" i="158"/>
  <c r="H55" i="158"/>
  <c r="A55" i="158"/>
  <c r="P54" i="158"/>
  <c r="N54" i="158"/>
  <c r="M54" i="158"/>
  <c r="L54" i="158"/>
  <c r="K54" i="158"/>
  <c r="H54" i="158"/>
  <c r="A54" i="158"/>
  <c r="P53" i="158"/>
  <c r="N53" i="158"/>
  <c r="M53" i="158"/>
  <c r="L53" i="158"/>
  <c r="K53" i="158"/>
  <c r="H53" i="158"/>
  <c r="A53" i="158"/>
  <c r="P52" i="158"/>
  <c r="N52" i="158"/>
  <c r="M52" i="158"/>
  <c r="L52" i="158"/>
  <c r="K52" i="158"/>
  <c r="H52" i="158"/>
  <c r="A52" i="158"/>
  <c r="P51" i="158"/>
  <c r="N51" i="158"/>
  <c r="M51" i="158"/>
  <c r="L51" i="158"/>
  <c r="K51" i="158"/>
  <c r="H51" i="158"/>
  <c r="A51" i="158"/>
  <c r="P50" i="158"/>
  <c r="N50" i="158"/>
  <c r="M50" i="158"/>
  <c r="L50" i="158"/>
  <c r="K50" i="158"/>
  <c r="H50" i="158"/>
  <c r="A50" i="158"/>
  <c r="P49" i="158"/>
  <c r="N49" i="158"/>
  <c r="M49" i="158"/>
  <c r="L49" i="158"/>
  <c r="K49" i="158"/>
  <c r="H49" i="158"/>
  <c r="A49" i="158"/>
  <c r="P48" i="158"/>
  <c r="N48" i="158"/>
  <c r="M48" i="158"/>
  <c r="L48" i="158"/>
  <c r="K48" i="158"/>
  <c r="H48" i="158"/>
  <c r="A48" i="158"/>
  <c r="P47" i="158"/>
  <c r="N47" i="158"/>
  <c r="M47" i="158"/>
  <c r="L47" i="158"/>
  <c r="K47" i="158"/>
  <c r="H47" i="158"/>
  <c r="A47" i="158"/>
  <c r="P46" i="158"/>
  <c r="N46" i="158"/>
  <c r="M46" i="158"/>
  <c r="L46" i="158"/>
  <c r="K46" i="158"/>
  <c r="H46" i="158"/>
  <c r="A46" i="158"/>
  <c r="P45" i="158"/>
  <c r="N45" i="158"/>
  <c r="M45" i="158"/>
  <c r="L45" i="158"/>
  <c r="K45" i="158"/>
  <c r="H45" i="158"/>
  <c r="A45" i="158"/>
  <c r="P44" i="158"/>
  <c r="N44" i="158"/>
  <c r="M44" i="158"/>
  <c r="L44" i="158"/>
  <c r="K44" i="158"/>
  <c r="H44" i="158"/>
  <c r="A44" i="158"/>
  <c r="P43" i="158"/>
  <c r="N43" i="158"/>
  <c r="M43" i="158"/>
  <c r="L43" i="158"/>
  <c r="K43" i="158"/>
  <c r="H43" i="158"/>
  <c r="A43" i="158"/>
  <c r="P42" i="158"/>
  <c r="N42" i="158"/>
  <c r="M42" i="158"/>
  <c r="L42" i="158"/>
  <c r="K42" i="158"/>
  <c r="H42" i="158"/>
  <c r="A42" i="158"/>
  <c r="P41" i="158"/>
  <c r="N41" i="158"/>
  <c r="M41" i="158"/>
  <c r="L41" i="158"/>
  <c r="K41" i="158"/>
  <c r="H41" i="158"/>
  <c r="A41" i="158"/>
  <c r="P40" i="158"/>
  <c r="N40" i="158"/>
  <c r="M40" i="158"/>
  <c r="L40" i="158"/>
  <c r="K40" i="158"/>
  <c r="H40" i="158"/>
  <c r="A40" i="158"/>
  <c r="P39" i="158"/>
  <c r="N39" i="158"/>
  <c r="M39" i="158"/>
  <c r="L39" i="158"/>
  <c r="K39" i="158"/>
  <c r="H39" i="158"/>
  <c r="A39" i="158"/>
  <c r="P38" i="158"/>
  <c r="N38" i="158"/>
  <c r="M38" i="158"/>
  <c r="L38" i="158"/>
  <c r="K38" i="158"/>
  <c r="H38" i="158"/>
  <c r="A38" i="158"/>
  <c r="P37" i="158"/>
  <c r="N37" i="158"/>
  <c r="M37" i="158"/>
  <c r="L37" i="158"/>
  <c r="K37" i="158"/>
  <c r="H37" i="158"/>
  <c r="A37" i="158"/>
  <c r="P36" i="158"/>
  <c r="N36" i="158"/>
  <c r="M36" i="158"/>
  <c r="L36" i="158"/>
  <c r="K36" i="158"/>
  <c r="H36" i="158"/>
  <c r="A36" i="158"/>
  <c r="P35" i="158"/>
  <c r="N35" i="158"/>
  <c r="M35" i="158"/>
  <c r="L35" i="158"/>
  <c r="K35" i="158"/>
  <c r="H35" i="158"/>
  <c r="A35" i="158"/>
  <c r="P34" i="158"/>
  <c r="N34" i="158"/>
  <c r="M34" i="158"/>
  <c r="L34" i="158"/>
  <c r="K34" i="158"/>
  <c r="H34" i="158"/>
  <c r="A34" i="158"/>
  <c r="P33" i="158"/>
  <c r="N33" i="158"/>
  <c r="M33" i="158"/>
  <c r="L33" i="158"/>
  <c r="K33" i="158"/>
  <c r="H33" i="158"/>
  <c r="A33" i="158"/>
  <c r="P32" i="158"/>
  <c r="N32" i="158"/>
  <c r="M32" i="158"/>
  <c r="L32" i="158"/>
  <c r="K32" i="158"/>
  <c r="H32" i="158"/>
  <c r="A32" i="158"/>
  <c r="P31" i="158"/>
  <c r="N31" i="158"/>
  <c r="M31" i="158"/>
  <c r="L31" i="158"/>
  <c r="K31" i="158"/>
  <c r="H31" i="158"/>
  <c r="A31" i="158"/>
  <c r="P30" i="158"/>
  <c r="N30" i="158"/>
  <c r="M30" i="158"/>
  <c r="L30" i="158"/>
  <c r="K30" i="158"/>
  <c r="H30" i="158"/>
  <c r="A30" i="158"/>
  <c r="P29" i="158"/>
  <c r="N29" i="158"/>
  <c r="M29" i="158"/>
  <c r="L29" i="158"/>
  <c r="K29" i="158"/>
  <c r="H29" i="158"/>
  <c r="A29" i="158"/>
  <c r="P28" i="158"/>
  <c r="N28" i="158"/>
  <c r="M28" i="158"/>
  <c r="L28" i="158"/>
  <c r="K28" i="158"/>
  <c r="H28" i="158"/>
  <c r="A28" i="158"/>
  <c r="P27" i="158"/>
  <c r="N27" i="158"/>
  <c r="M27" i="158"/>
  <c r="L27" i="158"/>
  <c r="K27" i="158"/>
  <c r="H27" i="158"/>
  <c r="A27" i="158"/>
  <c r="P26" i="158"/>
  <c r="N26" i="158"/>
  <c r="M26" i="158"/>
  <c r="L26" i="158"/>
  <c r="K26" i="158"/>
  <c r="H26" i="158"/>
  <c r="A26" i="158"/>
  <c r="P25" i="158"/>
  <c r="N25" i="158"/>
  <c r="M25" i="158"/>
  <c r="L25" i="158"/>
  <c r="K25" i="158"/>
  <c r="H25" i="158"/>
  <c r="A25" i="158"/>
  <c r="P24" i="158"/>
  <c r="N24" i="158"/>
  <c r="M24" i="158"/>
  <c r="L24" i="158"/>
  <c r="K24" i="158"/>
  <c r="H24" i="158"/>
  <c r="A24" i="158"/>
  <c r="P23" i="158"/>
  <c r="N23" i="158"/>
  <c r="M23" i="158"/>
  <c r="L23" i="158"/>
  <c r="K23" i="158"/>
  <c r="H23" i="158"/>
  <c r="A23" i="158"/>
  <c r="P22" i="158"/>
  <c r="N22" i="158"/>
  <c r="M22" i="158"/>
  <c r="L22" i="158"/>
  <c r="K22" i="158"/>
  <c r="H22" i="158"/>
  <c r="A22" i="158"/>
  <c r="P21" i="158"/>
  <c r="N21" i="158"/>
  <c r="M21" i="158"/>
  <c r="L21" i="158"/>
  <c r="K21" i="158"/>
  <c r="H21" i="158"/>
  <c r="A21" i="158"/>
  <c r="P20" i="158"/>
  <c r="N20" i="158"/>
  <c r="M20" i="158"/>
  <c r="L20" i="158"/>
  <c r="K20" i="158"/>
  <c r="H20" i="158"/>
  <c r="A20" i="158"/>
  <c r="P19" i="158"/>
  <c r="N19" i="158"/>
  <c r="M19" i="158"/>
  <c r="L19" i="158"/>
  <c r="K19" i="158"/>
  <c r="H19" i="158"/>
  <c r="A19" i="158"/>
  <c r="P18" i="158"/>
  <c r="N18" i="158"/>
  <c r="M18" i="158"/>
  <c r="L18" i="158"/>
  <c r="K18" i="158"/>
  <c r="H18" i="158"/>
  <c r="A18" i="158"/>
  <c r="P17" i="158"/>
  <c r="N17" i="158"/>
  <c r="M17" i="158"/>
  <c r="L17" i="158"/>
  <c r="K17" i="158"/>
  <c r="H17" i="158"/>
  <c r="A17" i="158"/>
  <c r="P16" i="158"/>
  <c r="N16" i="158"/>
  <c r="M16" i="158"/>
  <c r="L16" i="158"/>
  <c r="K16" i="158"/>
  <c r="H16" i="158"/>
  <c r="A16" i="158"/>
  <c r="P15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0" i="157"/>
  <c r="B3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R10" i="157"/>
  <c r="P10" i="157"/>
  <c r="O10" i="157"/>
  <c r="M10" i="157"/>
  <c r="V9" i="157"/>
  <c r="R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F2" i="156"/>
  <c r="F3" i="156"/>
  <c r="F4" i="156"/>
  <c r="F5" i="156"/>
  <c r="F6" i="156"/>
  <c r="A285" i="154"/>
  <c r="H285" i="154"/>
  <c r="K285" i="154"/>
  <c r="L285" i="154"/>
  <c r="M285" i="154"/>
  <c r="N285" i="154"/>
  <c r="P285" i="154"/>
  <c r="A286" i="154"/>
  <c r="H286" i="154"/>
  <c r="K286" i="154"/>
  <c r="L286" i="154"/>
  <c r="M286" i="154"/>
  <c r="N286" i="154"/>
  <c r="P286" i="154"/>
  <c r="A284" i="154"/>
  <c r="H284" i="154"/>
  <c r="K284" i="154"/>
  <c r="L284" i="154"/>
  <c r="M284" i="154"/>
  <c r="N284" i="154"/>
  <c r="P284" i="154"/>
  <c r="C5" i="103"/>
  <c r="E5" i="103"/>
  <c r="C6" i="103"/>
  <c r="E6" i="103"/>
  <c r="C2" i="103"/>
  <c r="E2" i="103"/>
  <c r="J2" i="156"/>
  <c r="E2" i="156"/>
  <c r="C2" i="156"/>
  <c r="J3" i="156"/>
  <c r="E3" i="156"/>
  <c r="C3" i="156"/>
  <c r="J4" i="156"/>
  <c r="E4" i="156"/>
  <c r="C4" i="156"/>
  <c r="J5" i="156"/>
  <c r="E5" i="156"/>
  <c r="C5" i="156"/>
  <c r="J6" i="156"/>
  <c r="E6" i="156"/>
  <c r="C6" i="156"/>
  <c r="N6" i="156"/>
  <c r="M6" i="156"/>
  <c r="L6" i="156"/>
  <c r="K6" i="156"/>
  <c r="H6" i="156"/>
  <c r="N5" i="156"/>
  <c r="M5" i="156"/>
  <c r="L5" i="156"/>
  <c r="K5" i="156"/>
  <c r="H5" i="156"/>
  <c r="N4" i="156"/>
  <c r="M4" i="156"/>
  <c r="L4" i="156"/>
  <c r="K4" i="156"/>
  <c r="H4" i="156"/>
  <c r="N3" i="156"/>
  <c r="M3" i="156"/>
  <c r="L3" i="156"/>
  <c r="K3" i="156"/>
  <c r="H3" i="156"/>
  <c r="N2" i="156"/>
  <c r="M2" i="156"/>
  <c r="L2" i="156"/>
  <c r="K2" i="156"/>
  <c r="H2" i="156"/>
  <c r="P283" i="154"/>
  <c r="N283" i="154"/>
  <c r="M283" i="154"/>
  <c r="L283" i="154"/>
  <c r="K283" i="154"/>
  <c r="H283" i="154"/>
  <c r="A283" i="154"/>
  <c r="P282" i="154"/>
  <c r="N282" i="154"/>
  <c r="M282" i="154"/>
  <c r="L282" i="154"/>
  <c r="K282" i="154"/>
  <c r="H282" i="154"/>
  <c r="A282" i="154"/>
  <c r="P281" i="154"/>
  <c r="N281" i="154"/>
  <c r="M281" i="154"/>
  <c r="L281" i="154"/>
  <c r="K281" i="154"/>
  <c r="H281" i="154"/>
  <c r="A281" i="154"/>
  <c r="P280" i="154"/>
  <c r="N280" i="154"/>
  <c r="M280" i="154"/>
  <c r="L280" i="154"/>
  <c r="K280" i="154"/>
  <c r="H280" i="154"/>
  <c r="A280" i="154"/>
  <c r="P279" i="154"/>
  <c r="N279" i="154"/>
  <c r="M279" i="154"/>
  <c r="L279" i="154"/>
  <c r="K279" i="154"/>
  <c r="H279" i="154"/>
  <c r="A279" i="154"/>
  <c r="P278" i="154"/>
  <c r="N278" i="154"/>
  <c r="M278" i="154"/>
  <c r="L278" i="154"/>
  <c r="K278" i="154"/>
  <c r="H278" i="154"/>
  <c r="A278" i="154"/>
  <c r="P277" i="154"/>
  <c r="N277" i="154"/>
  <c r="M277" i="154"/>
  <c r="L277" i="154"/>
  <c r="K277" i="154"/>
  <c r="H277" i="154"/>
  <c r="A277" i="154"/>
  <c r="P276" i="154"/>
  <c r="N276" i="154"/>
  <c r="M276" i="154"/>
  <c r="L276" i="154"/>
  <c r="K276" i="154"/>
  <c r="H276" i="154"/>
  <c r="A276" i="154"/>
  <c r="P275" i="154"/>
  <c r="N275" i="154"/>
  <c r="M275" i="154"/>
  <c r="L275" i="154"/>
  <c r="K275" i="154"/>
  <c r="H275" i="154"/>
  <c r="A275" i="154"/>
  <c r="P274" i="154"/>
  <c r="N274" i="154"/>
  <c r="M274" i="154"/>
  <c r="L274" i="154"/>
  <c r="K274" i="154"/>
  <c r="H274" i="154"/>
  <c r="A274" i="154"/>
  <c r="P273" i="154"/>
  <c r="N273" i="154"/>
  <c r="M273" i="154"/>
  <c r="L273" i="154"/>
  <c r="K273" i="154"/>
  <c r="H273" i="154"/>
  <c r="A273" i="154"/>
  <c r="P272" i="154"/>
  <c r="N272" i="154"/>
  <c r="M272" i="154"/>
  <c r="L272" i="154"/>
  <c r="K272" i="154"/>
  <c r="H272" i="154"/>
  <c r="A272" i="154"/>
  <c r="P271" i="154"/>
  <c r="N271" i="154"/>
  <c r="M271" i="154"/>
  <c r="L271" i="154"/>
  <c r="K271" i="154"/>
  <c r="H271" i="154"/>
  <c r="A271" i="154"/>
  <c r="P270" i="154"/>
  <c r="N270" i="154"/>
  <c r="M270" i="154"/>
  <c r="L270" i="154"/>
  <c r="K270" i="154"/>
  <c r="H270" i="154"/>
  <c r="A270" i="154"/>
  <c r="P269" i="154"/>
  <c r="N269" i="154"/>
  <c r="M269" i="154"/>
  <c r="L269" i="154"/>
  <c r="K269" i="154"/>
  <c r="H269" i="154"/>
  <c r="A269" i="154"/>
  <c r="P268" i="154"/>
  <c r="N268" i="154"/>
  <c r="M268" i="154"/>
  <c r="L268" i="154"/>
  <c r="K268" i="154"/>
  <c r="H268" i="154"/>
  <c r="A268" i="154"/>
  <c r="P267" i="154"/>
  <c r="N267" i="154"/>
  <c r="M267" i="154"/>
  <c r="L267" i="154"/>
  <c r="K267" i="154"/>
  <c r="H267" i="154"/>
  <c r="A267" i="154"/>
  <c r="P266" i="154"/>
  <c r="N266" i="154"/>
  <c r="M266" i="154"/>
  <c r="L266" i="154"/>
  <c r="K266" i="154"/>
  <c r="H266" i="154"/>
  <c r="A266" i="154"/>
  <c r="P265" i="154"/>
  <c r="N265" i="154"/>
  <c r="M265" i="154"/>
  <c r="L265" i="154"/>
  <c r="K265" i="154"/>
  <c r="H265" i="154"/>
  <c r="A265" i="154"/>
  <c r="P264" i="154"/>
  <c r="N264" i="154"/>
  <c r="M264" i="154"/>
  <c r="L264" i="154"/>
  <c r="K264" i="154"/>
  <c r="H264" i="154"/>
  <c r="A264" i="154"/>
  <c r="P263" i="154"/>
  <c r="N263" i="154"/>
  <c r="M263" i="154"/>
  <c r="L263" i="154"/>
  <c r="K263" i="154"/>
  <c r="H263" i="154"/>
  <c r="A263" i="154"/>
  <c r="P262" i="154"/>
  <c r="N262" i="154"/>
  <c r="M262" i="154"/>
  <c r="L262" i="154"/>
  <c r="K262" i="154"/>
  <c r="H262" i="154"/>
  <c r="A262" i="154"/>
  <c r="P261" i="154"/>
  <c r="N261" i="154"/>
  <c r="M261" i="154"/>
  <c r="L261" i="154"/>
  <c r="K261" i="154"/>
  <c r="H261" i="154"/>
  <c r="A261" i="154"/>
  <c r="P260" i="154"/>
  <c r="N260" i="154"/>
  <c r="M260" i="154"/>
  <c r="L260" i="154"/>
  <c r="K260" i="154"/>
  <c r="H260" i="154"/>
  <c r="A260" i="154"/>
  <c r="P259" i="154"/>
  <c r="N259" i="154"/>
  <c r="M259" i="154"/>
  <c r="L259" i="154"/>
  <c r="K259" i="154"/>
  <c r="H259" i="154"/>
  <c r="A259" i="154"/>
  <c r="P258" i="154"/>
  <c r="N258" i="154"/>
  <c r="M258" i="154"/>
  <c r="L258" i="154"/>
  <c r="K258" i="154"/>
  <c r="H258" i="154"/>
  <c r="A258" i="154"/>
  <c r="P257" i="154"/>
  <c r="N257" i="154"/>
  <c r="M257" i="154"/>
  <c r="L257" i="154"/>
  <c r="K257" i="154"/>
  <c r="H257" i="154"/>
  <c r="A257" i="154"/>
  <c r="P256" i="154"/>
  <c r="N256" i="154"/>
  <c r="M256" i="154"/>
  <c r="L256" i="154"/>
  <c r="K256" i="154"/>
  <c r="H256" i="154"/>
  <c r="A256" i="154"/>
  <c r="P255" i="154"/>
  <c r="N255" i="154"/>
  <c r="M255" i="154"/>
  <c r="L255" i="154"/>
  <c r="K255" i="154"/>
  <c r="H255" i="154"/>
  <c r="A255" i="154"/>
  <c r="P254" i="154"/>
  <c r="N254" i="154"/>
  <c r="M254" i="154"/>
  <c r="L254" i="154"/>
  <c r="K254" i="154"/>
  <c r="H254" i="154"/>
  <c r="A254" i="154"/>
  <c r="P253" i="154"/>
  <c r="N253" i="154"/>
  <c r="M253" i="154"/>
  <c r="L253" i="154"/>
  <c r="K253" i="154"/>
  <c r="H253" i="154"/>
  <c r="A253" i="154"/>
  <c r="P252" i="154"/>
  <c r="N252" i="154"/>
  <c r="M252" i="154"/>
  <c r="L252" i="154"/>
  <c r="K252" i="154"/>
  <c r="H252" i="154"/>
  <c r="A252" i="154"/>
  <c r="P251" i="154"/>
  <c r="N251" i="154"/>
  <c r="M251" i="154"/>
  <c r="L251" i="154"/>
  <c r="K251" i="154"/>
  <c r="H251" i="154"/>
  <c r="A251" i="154"/>
  <c r="P250" i="154"/>
  <c r="N250" i="154"/>
  <c r="M250" i="154"/>
  <c r="L250" i="154"/>
  <c r="K250" i="154"/>
  <c r="H250" i="154"/>
  <c r="A250" i="154"/>
  <c r="P249" i="154"/>
  <c r="N249" i="154"/>
  <c r="M249" i="154"/>
  <c r="L249" i="154"/>
  <c r="K249" i="154"/>
  <c r="H249" i="154"/>
  <c r="A249" i="154"/>
  <c r="P248" i="154"/>
  <c r="N248" i="154"/>
  <c r="M248" i="154"/>
  <c r="L248" i="154"/>
  <c r="K248" i="154"/>
  <c r="H248" i="154"/>
  <c r="A248" i="154"/>
  <c r="P247" i="154"/>
  <c r="N247" i="154"/>
  <c r="M247" i="154"/>
  <c r="L247" i="154"/>
  <c r="K247" i="154"/>
  <c r="H247" i="154"/>
  <c r="A247" i="154"/>
  <c r="P246" i="154"/>
  <c r="N246" i="154"/>
  <c r="M246" i="154"/>
  <c r="L246" i="154"/>
  <c r="K246" i="154"/>
  <c r="H246" i="154"/>
  <c r="A246" i="154"/>
  <c r="P245" i="154"/>
  <c r="N245" i="154"/>
  <c r="M245" i="154"/>
  <c r="L245" i="154"/>
  <c r="K245" i="154"/>
  <c r="H245" i="154"/>
  <c r="A245" i="154"/>
  <c r="P244" i="154"/>
  <c r="N244" i="154"/>
  <c r="M244" i="154"/>
  <c r="L244" i="154"/>
  <c r="K244" i="154"/>
  <c r="H244" i="154"/>
  <c r="A244" i="154"/>
  <c r="P243" i="154"/>
  <c r="N243" i="154"/>
  <c r="M243" i="154"/>
  <c r="L243" i="154"/>
  <c r="K243" i="154"/>
  <c r="H243" i="154"/>
  <c r="A243" i="154"/>
  <c r="P242" i="154"/>
  <c r="N242" i="154"/>
  <c r="M242" i="154"/>
  <c r="L242" i="154"/>
  <c r="K242" i="154"/>
  <c r="H242" i="154"/>
  <c r="A242" i="154"/>
  <c r="P241" i="154"/>
  <c r="N241" i="154"/>
  <c r="M241" i="154"/>
  <c r="L241" i="154"/>
  <c r="K241" i="154"/>
  <c r="H241" i="154"/>
  <c r="A241" i="154"/>
  <c r="P240" i="154"/>
  <c r="N240" i="154"/>
  <c r="M240" i="154"/>
  <c r="L240" i="154"/>
  <c r="K240" i="154"/>
  <c r="H240" i="154"/>
  <c r="A240" i="154"/>
  <c r="P239" i="154"/>
  <c r="N239" i="154"/>
  <c r="M239" i="154"/>
  <c r="L239" i="154"/>
  <c r="K239" i="154"/>
  <c r="H239" i="154"/>
  <c r="A239" i="154"/>
  <c r="P238" i="154"/>
  <c r="N238" i="154"/>
  <c r="M238" i="154"/>
  <c r="L238" i="154"/>
  <c r="K238" i="154"/>
  <c r="H238" i="154"/>
  <c r="A238" i="154"/>
  <c r="P237" i="154"/>
  <c r="N237" i="154"/>
  <c r="M237" i="154"/>
  <c r="L237" i="154"/>
  <c r="K237" i="154"/>
  <c r="H237" i="154"/>
  <c r="A237" i="154"/>
  <c r="P236" i="154"/>
  <c r="N236" i="154"/>
  <c r="M236" i="154"/>
  <c r="L236" i="154"/>
  <c r="K236" i="154"/>
  <c r="H236" i="154"/>
  <c r="A236" i="154"/>
  <c r="P235" i="154"/>
  <c r="N235" i="154"/>
  <c r="M235" i="154"/>
  <c r="L235" i="154"/>
  <c r="K235" i="154"/>
  <c r="H235" i="154"/>
  <c r="A235" i="154"/>
  <c r="P234" i="154"/>
  <c r="N234" i="154"/>
  <c r="M234" i="154"/>
  <c r="L234" i="154"/>
  <c r="K234" i="154"/>
  <c r="H234" i="154"/>
  <c r="A234" i="154"/>
  <c r="P233" i="154"/>
  <c r="N233" i="154"/>
  <c r="M233" i="154"/>
  <c r="L233" i="154"/>
  <c r="K233" i="154"/>
  <c r="H233" i="154"/>
  <c r="A233" i="154"/>
  <c r="P232" i="154"/>
  <c r="N232" i="154"/>
  <c r="M232" i="154"/>
  <c r="L232" i="154"/>
  <c r="K232" i="154"/>
  <c r="H232" i="154"/>
  <c r="A232" i="154"/>
  <c r="P231" i="154"/>
  <c r="N231" i="154"/>
  <c r="M231" i="154"/>
  <c r="L231" i="154"/>
  <c r="K231" i="154"/>
  <c r="H231" i="154"/>
  <c r="A231" i="154"/>
  <c r="P230" i="154"/>
  <c r="N230" i="154"/>
  <c r="M230" i="154"/>
  <c r="L230" i="154"/>
  <c r="K230" i="154"/>
  <c r="H230" i="154"/>
  <c r="A230" i="154"/>
  <c r="P229" i="154"/>
  <c r="N229" i="154"/>
  <c r="M229" i="154"/>
  <c r="L229" i="154"/>
  <c r="K229" i="154"/>
  <c r="H229" i="154"/>
  <c r="A229" i="154"/>
  <c r="P228" i="154"/>
  <c r="N228" i="154"/>
  <c r="M228" i="154"/>
  <c r="L228" i="154"/>
  <c r="K228" i="154"/>
  <c r="H228" i="154"/>
  <c r="A228" i="154"/>
  <c r="P227" i="154"/>
  <c r="N227" i="154"/>
  <c r="M227" i="154"/>
  <c r="L227" i="154"/>
  <c r="K227" i="154"/>
  <c r="H227" i="154"/>
  <c r="A227" i="154"/>
  <c r="P226" i="154"/>
  <c r="N226" i="154"/>
  <c r="M226" i="154"/>
  <c r="L226" i="154"/>
  <c r="K226" i="154"/>
  <c r="H226" i="154"/>
  <c r="A226" i="154"/>
  <c r="P225" i="154"/>
  <c r="N225" i="154"/>
  <c r="M225" i="154"/>
  <c r="L225" i="154"/>
  <c r="K225" i="154"/>
  <c r="H225" i="154"/>
  <c r="A225" i="154"/>
  <c r="P224" i="154"/>
  <c r="N224" i="154"/>
  <c r="M224" i="154"/>
  <c r="L224" i="154"/>
  <c r="K224" i="154"/>
  <c r="H224" i="154"/>
  <c r="A224" i="154"/>
  <c r="P223" i="154"/>
  <c r="N223" i="154"/>
  <c r="M223" i="154"/>
  <c r="L223" i="154"/>
  <c r="K223" i="154"/>
  <c r="H223" i="154"/>
  <c r="A223" i="154"/>
  <c r="P222" i="154"/>
  <c r="N222" i="154"/>
  <c r="M222" i="154"/>
  <c r="L222" i="154"/>
  <c r="K222" i="154"/>
  <c r="H222" i="154"/>
  <c r="A222" i="154"/>
  <c r="P221" i="154"/>
  <c r="N221" i="154"/>
  <c r="M221" i="154"/>
  <c r="L221" i="154"/>
  <c r="K221" i="154"/>
  <c r="H221" i="154"/>
  <c r="A221" i="154"/>
  <c r="P220" i="154"/>
  <c r="N220" i="154"/>
  <c r="M220" i="154"/>
  <c r="L220" i="154"/>
  <c r="K220" i="154"/>
  <c r="H220" i="154"/>
  <c r="A220" i="154"/>
  <c r="P219" i="154"/>
  <c r="N219" i="154"/>
  <c r="M219" i="154"/>
  <c r="L219" i="154"/>
  <c r="K219" i="154"/>
  <c r="H219" i="154"/>
  <c r="A219" i="154"/>
  <c r="P218" i="154"/>
  <c r="N218" i="154"/>
  <c r="M218" i="154"/>
  <c r="L218" i="154"/>
  <c r="K218" i="154"/>
  <c r="H218" i="154"/>
  <c r="A218" i="154"/>
  <c r="P217" i="154"/>
  <c r="N217" i="154"/>
  <c r="M217" i="154"/>
  <c r="L217" i="154"/>
  <c r="K217" i="154"/>
  <c r="H217" i="154"/>
  <c r="A217" i="154"/>
  <c r="P216" i="154"/>
  <c r="N216" i="154"/>
  <c r="M216" i="154"/>
  <c r="L216" i="154"/>
  <c r="K216" i="154"/>
  <c r="H216" i="154"/>
  <c r="A216" i="154"/>
  <c r="P215" i="154"/>
  <c r="N215" i="154"/>
  <c r="M215" i="154"/>
  <c r="L215" i="154"/>
  <c r="K215" i="154"/>
  <c r="H215" i="154"/>
  <c r="A215" i="154"/>
  <c r="P214" i="154"/>
  <c r="N214" i="154"/>
  <c r="M214" i="154"/>
  <c r="L214" i="154"/>
  <c r="K214" i="154"/>
  <c r="H214" i="154"/>
  <c r="A214" i="154"/>
  <c r="P213" i="154"/>
  <c r="N213" i="154"/>
  <c r="M213" i="154"/>
  <c r="L213" i="154"/>
  <c r="K213" i="154"/>
  <c r="H213" i="154"/>
  <c r="A213" i="154"/>
  <c r="P212" i="154"/>
  <c r="N212" i="154"/>
  <c r="M212" i="154"/>
  <c r="L212" i="154"/>
  <c r="K212" i="154"/>
  <c r="H212" i="154"/>
  <c r="A212" i="154"/>
  <c r="P211" i="154"/>
  <c r="N211" i="154"/>
  <c r="M211" i="154"/>
  <c r="L211" i="154"/>
  <c r="K211" i="154"/>
  <c r="H211" i="154"/>
  <c r="A211" i="154"/>
  <c r="P210" i="154"/>
  <c r="N210" i="154"/>
  <c r="M210" i="154"/>
  <c r="L210" i="154"/>
  <c r="K210" i="154"/>
  <c r="H210" i="154"/>
  <c r="A210" i="154"/>
  <c r="P209" i="154"/>
  <c r="N209" i="154"/>
  <c r="M209" i="154"/>
  <c r="L209" i="154"/>
  <c r="K209" i="154"/>
  <c r="H209" i="154"/>
  <c r="A209" i="154"/>
  <c r="P208" i="154"/>
  <c r="N208" i="154"/>
  <c r="M208" i="154"/>
  <c r="L208" i="154"/>
  <c r="K208" i="154"/>
  <c r="H208" i="154"/>
  <c r="A208" i="154"/>
  <c r="P207" i="154"/>
  <c r="N207" i="154"/>
  <c r="M207" i="154"/>
  <c r="L207" i="154"/>
  <c r="K207" i="154"/>
  <c r="H207" i="154"/>
  <c r="A207" i="154"/>
  <c r="P206" i="154"/>
  <c r="N206" i="154"/>
  <c r="M206" i="154"/>
  <c r="L206" i="154"/>
  <c r="K206" i="154"/>
  <c r="H206" i="154"/>
  <c r="A206" i="154"/>
  <c r="P205" i="154"/>
  <c r="N205" i="154"/>
  <c r="M205" i="154"/>
  <c r="L205" i="154"/>
  <c r="K205" i="154"/>
  <c r="H205" i="154"/>
  <c r="A205" i="154"/>
  <c r="P204" i="154"/>
  <c r="N204" i="154"/>
  <c r="M204" i="154"/>
  <c r="L204" i="154"/>
  <c r="K204" i="154"/>
  <c r="H204" i="154"/>
  <c r="A204" i="154"/>
  <c r="P203" i="154"/>
  <c r="N203" i="154"/>
  <c r="M203" i="154"/>
  <c r="L203" i="154"/>
  <c r="K203" i="154"/>
  <c r="H203" i="154"/>
  <c r="A203" i="154"/>
  <c r="P202" i="154"/>
  <c r="N202" i="154"/>
  <c r="M202" i="154"/>
  <c r="L202" i="154"/>
  <c r="K202" i="154"/>
  <c r="H202" i="154"/>
  <c r="A202" i="154"/>
  <c r="P201" i="154"/>
  <c r="N201" i="154"/>
  <c r="M201" i="154"/>
  <c r="L201" i="154"/>
  <c r="K201" i="154"/>
  <c r="H201" i="154"/>
  <c r="A201" i="154"/>
  <c r="P200" i="154"/>
  <c r="N200" i="154"/>
  <c r="M200" i="154"/>
  <c r="L200" i="154"/>
  <c r="K200" i="154"/>
  <c r="H200" i="154"/>
  <c r="A200" i="154"/>
  <c r="P199" i="154"/>
  <c r="N199" i="154"/>
  <c r="M199" i="154"/>
  <c r="L199" i="154"/>
  <c r="K199" i="154"/>
  <c r="H199" i="154"/>
  <c r="A199" i="154"/>
  <c r="P198" i="154"/>
  <c r="N198" i="154"/>
  <c r="M198" i="154"/>
  <c r="L198" i="154"/>
  <c r="K198" i="154"/>
  <c r="H198" i="154"/>
  <c r="A198" i="154"/>
  <c r="P197" i="154"/>
  <c r="N197" i="154"/>
  <c r="M197" i="154"/>
  <c r="L197" i="154"/>
  <c r="K197" i="154"/>
  <c r="H197" i="154"/>
  <c r="A197" i="154"/>
  <c r="P196" i="154"/>
  <c r="N196" i="154"/>
  <c r="M196" i="154"/>
  <c r="L196" i="154"/>
  <c r="K196" i="154"/>
  <c r="H196" i="154"/>
  <c r="A196" i="154"/>
  <c r="P195" i="154"/>
  <c r="N195" i="154"/>
  <c r="M195" i="154"/>
  <c r="L195" i="154"/>
  <c r="K195" i="154"/>
  <c r="H195" i="154"/>
  <c r="A195" i="154"/>
  <c r="P194" i="154"/>
  <c r="N194" i="154"/>
  <c r="M194" i="154"/>
  <c r="L194" i="154"/>
  <c r="K194" i="154"/>
  <c r="H194" i="154"/>
  <c r="A194" i="154"/>
  <c r="P193" i="154"/>
  <c r="N193" i="154"/>
  <c r="M193" i="154"/>
  <c r="L193" i="154"/>
  <c r="K193" i="154"/>
  <c r="H193" i="154"/>
  <c r="A193" i="154"/>
  <c r="P192" i="154"/>
  <c r="N192" i="154"/>
  <c r="M192" i="154"/>
  <c r="L192" i="154"/>
  <c r="K192" i="154"/>
  <c r="H192" i="154"/>
  <c r="A192" i="154"/>
  <c r="P191" i="154"/>
  <c r="N191" i="154"/>
  <c r="M191" i="154"/>
  <c r="L191" i="154"/>
  <c r="K191" i="154"/>
  <c r="H191" i="154"/>
  <c r="A191" i="154"/>
  <c r="P190" i="154"/>
  <c r="N190" i="154"/>
  <c r="M190" i="154"/>
  <c r="L190" i="154"/>
  <c r="K190" i="154"/>
  <c r="H190" i="154"/>
  <c r="A190" i="154"/>
  <c r="P189" i="154"/>
  <c r="N189" i="154"/>
  <c r="M189" i="154"/>
  <c r="L189" i="154"/>
  <c r="K189" i="154"/>
  <c r="H189" i="154"/>
  <c r="A189" i="154"/>
  <c r="P188" i="154"/>
  <c r="N188" i="154"/>
  <c r="M188" i="154"/>
  <c r="L188" i="154"/>
  <c r="K188" i="154"/>
  <c r="H188" i="154"/>
  <c r="A188" i="154"/>
  <c r="P187" i="154"/>
  <c r="N187" i="154"/>
  <c r="M187" i="154"/>
  <c r="L187" i="154"/>
  <c r="K187" i="154"/>
  <c r="H187" i="154"/>
  <c r="A187" i="154"/>
  <c r="P186" i="154"/>
  <c r="N186" i="154"/>
  <c r="M186" i="154"/>
  <c r="L186" i="154"/>
  <c r="K186" i="154"/>
  <c r="H186" i="154"/>
  <c r="A186" i="154"/>
  <c r="P185" i="154"/>
  <c r="N185" i="154"/>
  <c r="M185" i="154"/>
  <c r="L185" i="154"/>
  <c r="K185" i="154"/>
  <c r="H185" i="154"/>
  <c r="A185" i="154"/>
  <c r="P184" i="154"/>
  <c r="N184" i="154"/>
  <c r="M184" i="154"/>
  <c r="L184" i="154"/>
  <c r="K184" i="154"/>
  <c r="H184" i="154"/>
  <c r="A184" i="154"/>
  <c r="P183" i="154"/>
  <c r="N183" i="154"/>
  <c r="M183" i="154"/>
  <c r="L183" i="154"/>
  <c r="K183" i="154"/>
  <c r="H183" i="154"/>
  <c r="A183" i="154"/>
  <c r="P182" i="154"/>
  <c r="N182" i="154"/>
  <c r="M182" i="154"/>
  <c r="L182" i="154"/>
  <c r="K182" i="154"/>
  <c r="H182" i="154"/>
  <c r="A182" i="154"/>
  <c r="P181" i="154"/>
  <c r="N181" i="154"/>
  <c r="M181" i="154"/>
  <c r="L181" i="154"/>
  <c r="K181" i="154"/>
  <c r="H181" i="154"/>
  <c r="A181" i="154"/>
  <c r="P180" i="154"/>
  <c r="N180" i="154"/>
  <c r="M180" i="154"/>
  <c r="L180" i="154"/>
  <c r="K180" i="154"/>
  <c r="H180" i="154"/>
  <c r="A180" i="154"/>
  <c r="P179" i="154"/>
  <c r="N179" i="154"/>
  <c r="M179" i="154"/>
  <c r="L179" i="154"/>
  <c r="K179" i="154"/>
  <c r="H179" i="154"/>
  <c r="A179" i="154"/>
  <c r="P178" i="154"/>
  <c r="N178" i="154"/>
  <c r="M178" i="154"/>
  <c r="L178" i="154"/>
  <c r="K178" i="154"/>
  <c r="H178" i="154"/>
  <c r="A178" i="154"/>
  <c r="P177" i="154"/>
  <c r="N177" i="154"/>
  <c r="M177" i="154"/>
  <c r="L177" i="154"/>
  <c r="K177" i="154"/>
  <c r="H177" i="154"/>
  <c r="A177" i="154"/>
  <c r="P176" i="154"/>
  <c r="N176" i="154"/>
  <c r="M176" i="154"/>
  <c r="L176" i="154"/>
  <c r="K176" i="154"/>
  <c r="H176" i="154"/>
  <c r="A176" i="154"/>
  <c r="P175" i="154"/>
  <c r="N175" i="154"/>
  <c r="M175" i="154"/>
  <c r="L175" i="154"/>
  <c r="K175" i="154"/>
  <c r="H175" i="154"/>
  <c r="A175" i="154"/>
  <c r="P174" i="154"/>
  <c r="N174" i="154"/>
  <c r="M174" i="154"/>
  <c r="L174" i="154"/>
  <c r="K174" i="154"/>
  <c r="H174" i="154"/>
  <c r="A174" i="154"/>
  <c r="P173" i="154"/>
  <c r="N173" i="154"/>
  <c r="M173" i="154"/>
  <c r="L173" i="154"/>
  <c r="K173" i="154"/>
  <c r="H173" i="154"/>
  <c r="A173" i="154"/>
  <c r="P172" i="154"/>
  <c r="N172" i="154"/>
  <c r="M172" i="154"/>
  <c r="L172" i="154"/>
  <c r="K172" i="154"/>
  <c r="H172" i="154"/>
  <c r="A172" i="154"/>
  <c r="P171" i="154"/>
  <c r="N171" i="154"/>
  <c r="M171" i="154"/>
  <c r="L171" i="154"/>
  <c r="K171" i="154"/>
  <c r="H171" i="154"/>
  <c r="A171" i="154"/>
  <c r="P170" i="154"/>
  <c r="N170" i="154"/>
  <c r="M170" i="154"/>
  <c r="L170" i="154"/>
  <c r="K170" i="154"/>
  <c r="H170" i="154"/>
  <c r="A170" i="154"/>
  <c r="P169" i="154"/>
  <c r="N169" i="154"/>
  <c r="M169" i="154"/>
  <c r="L169" i="154"/>
  <c r="K169" i="154"/>
  <c r="H169" i="154"/>
  <c r="A169" i="154"/>
  <c r="P168" i="154"/>
  <c r="N168" i="154"/>
  <c r="M168" i="154"/>
  <c r="L168" i="154"/>
  <c r="K168" i="154"/>
  <c r="H168" i="154"/>
  <c r="A168" i="154"/>
  <c r="P167" i="154"/>
  <c r="N167" i="154"/>
  <c r="M167" i="154"/>
  <c r="L167" i="154"/>
  <c r="K167" i="154"/>
  <c r="H167" i="154"/>
  <c r="A167" i="154"/>
  <c r="P166" i="154"/>
  <c r="N166" i="154"/>
  <c r="M166" i="154"/>
  <c r="L166" i="154"/>
  <c r="K166" i="154"/>
  <c r="H166" i="154"/>
  <c r="A166" i="154"/>
  <c r="P165" i="154"/>
  <c r="N165" i="154"/>
  <c r="M165" i="154"/>
  <c r="L165" i="154"/>
  <c r="K165" i="154"/>
  <c r="H165" i="154"/>
  <c r="A165" i="154"/>
  <c r="P164" i="154"/>
  <c r="N164" i="154"/>
  <c r="M164" i="154"/>
  <c r="L164" i="154"/>
  <c r="K164" i="154"/>
  <c r="H164" i="154"/>
  <c r="A164" i="154"/>
  <c r="P163" i="154"/>
  <c r="N163" i="154"/>
  <c r="M163" i="154"/>
  <c r="L163" i="154"/>
  <c r="K163" i="154"/>
  <c r="H163" i="154"/>
  <c r="A163" i="154"/>
  <c r="P162" i="154"/>
  <c r="N162" i="154"/>
  <c r="M162" i="154"/>
  <c r="L162" i="154"/>
  <c r="K162" i="154"/>
  <c r="H162" i="154"/>
  <c r="A162" i="154"/>
  <c r="P161" i="154"/>
  <c r="N161" i="154"/>
  <c r="M161" i="154"/>
  <c r="L161" i="154"/>
  <c r="K161" i="154"/>
  <c r="H161" i="154"/>
  <c r="A161" i="154"/>
  <c r="P160" i="154"/>
  <c r="N160" i="154"/>
  <c r="M160" i="154"/>
  <c r="L160" i="154"/>
  <c r="K160" i="154"/>
  <c r="H160" i="154"/>
  <c r="A160" i="154"/>
  <c r="P159" i="154"/>
  <c r="N159" i="154"/>
  <c r="M159" i="154"/>
  <c r="L159" i="154"/>
  <c r="K159" i="154"/>
  <c r="H159" i="154"/>
  <c r="A159" i="154"/>
  <c r="P158" i="154"/>
  <c r="N158" i="154"/>
  <c r="M158" i="154"/>
  <c r="L158" i="154"/>
  <c r="K158" i="154"/>
  <c r="H158" i="154"/>
  <c r="A158" i="154"/>
  <c r="P157" i="154"/>
  <c r="N157" i="154"/>
  <c r="M157" i="154"/>
  <c r="L157" i="154"/>
  <c r="K157" i="154"/>
  <c r="H157" i="154"/>
  <c r="A157" i="154"/>
  <c r="P156" i="154"/>
  <c r="N156" i="154"/>
  <c r="M156" i="154"/>
  <c r="L156" i="154"/>
  <c r="K156" i="154"/>
  <c r="H156" i="154"/>
  <c r="A156" i="154"/>
  <c r="P155" i="154"/>
  <c r="N155" i="154"/>
  <c r="M155" i="154"/>
  <c r="L155" i="154"/>
  <c r="K155" i="154"/>
  <c r="H155" i="154"/>
  <c r="A155" i="154"/>
  <c r="P154" i="154"/>
  <c r="N154" i="154"/>
  <c r="M154" i="154"/>
  <c r="L154" i="154"/>
  <c r="K154" i="154"/>
  <c r="H154" i="154"/>
  <c r="A154" i="154"/>
  <c r="P153" i="154"/>
  <c r="N153" i="154"/>
  <c r="M153" i="154"/>
  <c r="L153" i="154"/>
  <c r="K153" i="154"/>
  <c r="H153" i="154"/>
  <c r="A153" i="154"/>
  <c r="P152" i="154"/>
  <c r="N152" i="154"/>
  <c r="M152" i="154"/>
  <c r="L152" i="154"/>
  <c r="K152" i="154"/>
  <c r="H152" i="154"/>
  <c r="A152" i="154"/>
  <c r="P151" i="154"/>
  <c r="N151" i="154"/>
  <c r="M151" i="154"/>
  <c r="L151" i="154"/>
  <c r="K151" i="154"/>
  <c r="H151" i="154"/>
  <c r="A151" i="154"/>
  <c r="P150" i="154"/>
  <c r="N150" i="154"/>
  <c r="M150" i="154"/>
  <c r="L150" i="154"/>
  <c r="K150" i="154"/>
  <c r="H150" i="154"/>
  <c r="A150" i="154"/>
  <c r="P149" i="154"/>
  <c r="N149" i="154"/>
  <c r="M149" i="154"/>
  <c r="L149" i="154"/>
  <c r="K149" i="154"/>
  <c r="H149" i="154"/>
  <c r="A149" i="154"/>
  <c r="P148" i="154"/>
  <c r="N148" i="154"/>
  <c r="M148" i="154"/>
  <c r="L148" i="154"/>
  <c r="K148" i="154"/>
  <c r="H148" i="154"/>
  <c r="A148" i="154"/>
  <c r="P147" i="154"/>
  <c r="N147" i="154"/>
  <c r="M147" i="154"/>
  <c r="L147" i="154"/>
  <c r="K147" i="154"/>
  <c r="H147" i="154"/>
  <c r="A147" i="154"/>
  <c r="P146" i="154"/>
  <c r="N146" i="154"/>
  <c r="M146" i="154"/>
  <c r="L146" i="154"/>
  <c r="K146" i="154"/>
  <c r="H146" i="154"/>
  <c r="A146" i="154"/>
  <c r="P145" i="154"/>
  <c r="N145" i="154"/>
  <c r="M145" i="154"/>
  <c r="L145" i="154"/>
  <c r="K145" i="154"/>
  <c r="H145" i="154"/>
  <c r="A145" i="154"/>
  <c r="P144" i="154"/>
  <c r="N144" i="154"/>
  <c r="M144" i="154"/>
  <c r="L144" i="154"/>
  <c r="K144" i="154"/>
  <c r="H144" i="154"/>
  <c r="A144" i="154"/>
  <c r="P143" i="154"/>
  <c r="N143" i="154"/>
  <c r="M143" i="154"/>
  <c r="L143" i="154"/>
  <c r="K143" i="154"/>
  <c r="H143" i="154"/>
  <c r="A143" i="154"/>
  <c r="P142" i="154"/>
  <c r="N142" i="154"/>
  <c r="M142" i="154"/>
  <c r="L142" i="154"/>
  <c r="K142" i="154"/>
  <c r="H142" i="154"/>
  <c r="A142" i="154"/>
  <c r="P141" i="154"/>
  <c r="N141" i="154"/>
  <c r="M141" i="154"/>
  <c r="L141" i="154"/>
  <c r="K141" i="154"/>
  <c r="H141" i="154"/>
  <c r="A141" i="154"/>
  <c r="P140" i="154"/>
  <c r="N140" i="154"/>
  <c r="M140" i="154"/>
  <c r="L140" i="154"/>
  <c r="K140" i="154"/>
  <c r="H140" i="154"/>
  <c r="A140" i="154"/>
  <c r="P139" i="154"/>
  <c r="N139" i="154"/>
  <c r="M139" i="154"/>
  <c r="L139" i="154"/>
  <c r="K139" i="154"/>
  <c r="H139" i="154"/>
  <c r="A139" i="154"/>
  <c r="P138" i="154"/>
  <c r="N138" i="154"/>
  <c r="M138" i="154"/>
  <c r="L138" i="154"/>
  <c r="K138" i="154"/>
  <c r="H138" i="154"/>
  <c r="A138" i="154"/>
  <c r="P137" i="154"/>
  <c r="N137" i="154"/>
  <c r="M137" i="154"/>
  <c r="L137" i="154"/>
  <c r="K137" i="154"/>
  <c r="H137" i="154"/>
  <c r="A137" i="154"/>
  <c r="P136" i="154"/>
  <c r="N136" i="154"/>
  <c r="M136" i="154"/>
  <c r="L136" i="154"/>
  <c r="K136" i="154"/>
  <c r="H136" i="154"/>
  <c r="A136" i="154"/>
  <c r="P135" i="154"/>
  <c r="N135" i="154"/>
  <c r="M135" i="154"/>
  <c r="L135" i="154"/>
  <c r="K135" i="154"/>
  <c r="H135" i="154"/>
  <c r="A135" i="154"/>
  <c r="P134" i="154"/>
  <c r="N134" i="154"/>
  <c r="M134" i="154"/>
  <c r="L134" i="154"/>
  <c r="K134" i="154"/>
  <c r="H134" i="154"/>
  <c r="A134" i="154"/>
  <c r="P133" i="154"/>
  <c r="N133" i="154"/>
  <c r="M133" i="154"/>
  <c r="L133" i="154"/>
  <c r="K133" i="154"/>
  <c r="H133" i="154"/>
  <c r="A133" i="154"/>
  <c r="P132" i="154"/>
  <c r="N132" i="154"/>
  <c r="M132" i="154"/>
  <c r="L132" i="154"/>
  <c r="K132" i="154"/>
  <c r="H132" i="154"/>
  <c r="A132" i="154"/>
  <c r="P131" i="154"/>
  <c r="N131" i="154"/>
  <c r="M131" i="154"/>
  <c r="L131" i="154"/>
  <c r="K131" i="154"/>
  <c r="H131" i="154"/>
  <c r="A131" i="154"/>
  <c r="P130" i="154"/>
  <c r="N130" i="154"/>
  <c r="M130" i="154"/>
  <c r="L130" i="154"/>
  <c r="K130" i="154"/>
  <c r="H130" i="154"/>
  <c r="A130" i="154"/>
  <c r="P129" i="154"/>
  <c r="N129" i="154"/>
  <c r="M129" i="154"/>
  <c r="L129" i="154"/>
  <c r="K129" i="154"/>
  <c r="H129" i="154"/>
  <c r="A129" i="154"/>
  <c r="P128" i="154"/>
  <c r="N128" i="154"/>
  <c r="M128" i="154"/>
  <c r="L128" i="154"/>
  <c r="K128" i="154"/>
  <c r="H128" i="154"/>
  <c r="A128" i="154"/>
  <c r="P127" i="154"/>
  <c r="N127" i="154"/>
  <c r="M127" i="154"/>
  <c r="L127" i="154"/>
  <c r="K127" i="154"/>
  <c r="H127" i="154"/>
  <c r="A127" i="154"/>
  <c r="P126" i="154"/>
  <c r="N126" i="154"/>
  <c r="M126" i="154"/>
  <c r="L126" i="154"/>
  <c r="K126" i="154"/>
  <c r="H126" i="154"/>
  <c r="A126" i="154"/>
  <c r="P125" i="154"/>
  <c r="N125" i="154"/>
  <c r="M125" i="154"/>
  <c r="L125" i="154"/>
  <c r="K125" i="154"/>
  <c r="H125" i="154"/>
  <c r="A125" i="154"/>
  <c r="P124" i="154"/>
  <c r="N124" i="154"/>
  <c r="M124" i="154"/>
  <c r="L124" i="154"/>
  <c r="K124" i="154"/>
  <c r="H124" i="154"/>
  <c r="A124" i="154"/>
  <c r="P123" i="154"/>
  <c r="N123" i="154"/>
  <c r="M123" i="154"/>
  <c r="L123" i="154"/>
  <c r="K123" i="154"/>
  <c r="H123" i="154"/>
  <c r="A123" i="154"/>
  <c r="P122" i="154"/>
  <c r="N122" i="154"/>
  <c r="M122" i="154"/>
  <c r="L122" i="154"/>
  <c r="K122" i="154"/>
  <c r="H122" i="154"/>
  <c r="A122" i="154"/>
  <c r="P121" i="154"/>
  <c r="N121" i="154"/>
  <c r="M121" i="154"/>
  <c r="L121" i="154"/>
  <c r="K121" i="154"/>
  <c r="H121" i="154"/>
  <c r="A121" i="154"/>
  <c r="P120" i="154"/>
  <c r="N120" i="154"/>
  <c r="M120" i="154"/>
  <c r="L120" i="154"/>
  <c r="K120" i="154"/>
  <c r="H120" i="154"/>
  <c r="A120" i="154"/>
  <c r="P119" i="154"/>
  <c r="N119" i="154"/>
  <c r="M119" i="154"/>
  <c r="L119" i="154"/>
  <c r="K119" i="154"/>
  <c r="H119" i="154"/>
  <c r="A119" i="154"/>
  <c r="P118" i="154"/>
  <c r="N118" i="154"/>
  <c r="M118" i="154"/>
  <c r="L118" i="154"/>
  <c r="K118" i="154"/>
  <c r="H118" i="154"/>
  <c r="A118" i="154"/>
  <c r="P117" i="154"/>
  <c r="N117" i="154"/>
  <c r="M117" i="154"/>
  <c r="L117" i="154"/>
  <c r="K117" i="154"/>
  <c r="H117" i="154"/>
  <c r="A117" i="154"/>
  <c r="P116" i="154"/>
  <c r="N116" i="154"/>
  <c r="M116" i="154"/>
  <c r="L116" i="154"/>
  <c r="K116" i="154"/>
  <c r="H116" i="154"/>
  <c r="A116" i="154"/>
  <c r="P115" i="154"/>
  <c r="N115" i="154"/>
  <c r="M115" i="154"/>
  <c r="L115" i="154"/>
  <c r="K115" i="154"/>
  <c r="H115" i="154"/>
  <c r="A115" i="154"/>
  <c r="P114" i="154"/>
  <c r="N114" i="154"/>
  <c r="M114" i="154"/>
  <c r="L114" i="154"/>
  <c r="K114" i="154"/>
  <c r="H114" i="154"/>
  <c r="A114" i="154"/>
  <c r="P113" i="154"/>
  <c r="N113" i="154"/>
  <c r="M113" i="154"/>
  <c r="L113" i="154"/>
  <c r="K113" i="154"/>
  <c r="H113" i="154"/>
  <c r="A113" i="154"/>
  <c r="P112" i="154"/>
  <c r="N112" i="154"/>
  <c r="M112" i="154"/>
  <c r="L112" i="154"/>
  <c r="K112" i="154"/>
  <c r="H112" i="154"/>
  <c r="A112" i="154"/>
  <c r="P111" i="154"/>
  <c r="N111" i="154"/>
  <c r="M111" i="154"/>
  <c r="L111" i="154"/>
  <c r="K111" i="154"/>
  <c r="H111" i="154"/>
  <c r="A111" i="154"/>
  <c r="P110" i="154"/>
  <c r="N110" i="154"/>
  <c r="M110" i="154"/>
  <c r="L110" i="154"/>
  <c r="K110" i="154"/>
  <c r="H110" i="154"/>
  <c r="A110" i="154"/>
  <c r="P109" i="154"/>
  <c r="N109" i="154"/>
  <c r="M109" i="154"/>
  <c r="L109" i="154"/>
  <c r="K109" i="154"/>
  <c r="H109" i="154"/>
  <c r="A109" i="154"/>
  <c r="P108" i="154"/>
  <c r="N108" i="154"/>
  <c r="M108" i="154"/>
  <c r="L108" i="154"/>
  <c r="K108" i="154"/>
  <c r="H108" i="154"/>
  <c r="A108" i="154"/>
  <c r="P107" i="154"/>
  <c r="N107" i="154"/>
  <c r="M107" i="154"/>
  <c r="L107" i="154"/>
  <c r="K107" i="154"/>
  <c r="H107" i="154"/>
  <c r="A107" i="154"/>
  <c r="P106" i="154"/>
  <c r="N106" i="154"/>
  <c r="M106" i="154"/>
  <c r="L106" i="154"/>
  <c r="K106" i="154"/>
  <c r="H106" i="154"/>
  <c r="A106" i="154"/>
  <c r="P105" i="154"/>
  <c r="N105" i="154"/>
  <c r="M105" i="154"/>
  <c r="L105" i="154"/>
  <c r="K105" i="154"/>
  <c r="H105" i="154"/>
  <c r="A105" i="154"/>
  <c r="P104" i="154"/>
  <c r="N104" i="154"/>
  <c r="M104" i="154"/>
  <c r="L104" i="154"/>
  <c r="K104" i="154"/>
  <c r="H104" i="154"/>
  <c r="A104" i="154"/>
  <c r="P103" i="154"/>
  <c r="N103" i="154"/>
  <c r="M103" i="154"/>
  <c r="L103" i="154"/>
  <c r="K103" i="154"/>
  <c r="H103" i="154"/>
  <c r="A103" i="154"/>
  <c r="P102" i="154"/>
  <c r="N102" i="154"/>
  <c r="M102" i="154"/>
  <c r="L102" i="154"/>
  <c r="K102" i="154"/>
  <c r="H102" i="154"/>
  <c r="A102" i="154"/>
  <c r="P101" i="154"/>
  <c r="N101" i="154"/>
  <c r="M101" i="154"/>
  <c r="L101" i="154"/>
  <c r="K101" i="154"/>
  <c r="H101" i="154"/>
  <c r="A101" i="154"/>
  <c r="P100" i="154"/>
  <c r="N100" i="154"/>
  <c r="M100" i="154"/>
  <c r="L100" i="154"/>
  <c r="K100" i="154"/>
  <c r="H100" i="154"/>
  <c r="A100" i="154"/>
  <c r="P99" i="154"/>
  <c r="N99" i="154"/>
  <c r="M99" i="154"/>
  <c r="L99" i="154"/>
  <c r="K99" i="154"/>
  <c r="H99" i="154"/>
  <c r="A99" i="154"/>
  <c r="P98" i="154"/>
  <c r="N98" i="154"/>
  <c r="M98" i="154"/>
  <c r="L98" i="154"/>
  <c r="K98" i="154"/>
  <c r="H98" i="154"/>
  <c r="A98" i="154"/>
  <c r="P97" i="154"/>
  <c r="N97" i="154"/>
  <c r="M97" i="154"/>
  <c r="L97" i="154"/>
  <c r="K97" i="154"/>
  <c r="H97" i="154"/>
  <c r="A97" i="154"/>
  <c r="P96" i="154"/>
  <c r="N96" i="154"/>
  <c r="M96" i="154"/>
  <c r="L96" i="154"/>
  <c r="K96" i="154"/>
  <c r="H96" i="154"/>
  <c r="A96" i="154"/>
  <c r="P95" i="154"/>
  <c r="N95" i="154"/>
  <c r="M95" i="154"/>
  <c r="L95" i="154"/>
  <c r="K95" i="154"/>
  <c r="H95" i="154"/>
  <c r="A95" i="154"/>
  <c r="P94" i="154"/>
  <c r="N94" i="154"/>
  <c r="M94" i="154"/>
  <c r="L94" i="154"/>
  <c r="K94" i="154"/>
  <c r="H94" i="154"/>
  <c r="A94" i="154"/>
  <c r="P93" i="154"/>
  <c r="N93" i="154"/>
  <c r="M93" i="154"/>
  <c r="L93" i="154"/>
  <c r="K93" i="154"/>
  <c r="H93" i="154"/>
  <c r="A93" i="154"/>
  <c r="P92" i="154"/>
  <c r="N92" i="154"/>
  <c r="M92" i="154"/>
  <c r="L92" i="154"/>
  <c r="K92" i="154"/>
  <c r="H92" i="154"/>
  <c r="A92" i="154"/>
  <c r="P91" i="154"/>
  <c r="N91" i="154"/>
  <c r="M91" i="154"/>
  <c r="L91" i="154"/>
  <c r="K91" i="154"/>
  <c r="H91" i="154"/>
  <c r="A91" i="154"/>
  <c r="P90" i="154"/>
  <c r="N90" i="154"/>
  <c r="M90" i="154"/>
  <c r="L90" i="154"/>
  <c r="K90" i="154"/>
  <c r="H90" i="154"/>
  <c r="A90" i="154"/>
  <c r="P89" i="154"/>
  <c r="N89" i="154"/>
  <c r="M89" i="154"/>
  <c r="L89" i="154"/>
  <c r="K89" i="154"/>
  <c r="H89" i="154"/>
  <c r="A89" i="154"/>
  <c r="P88" i="154"/>
  <c r="N88" i="154"/>
  <c r="M88" i="154"/>
  <c r="L88" i="154"/>
  <c r="K88" i="154"/>
  <c r="H88" i="154"/>
  <c r="A88" i="154"/>
  <c r="P87" i="154"/>
  <c r="N87" i="154"/>
  <c r="M87" i="154"/>
  <c r="L87" i="154"/>
  <c r="K87" i="154"/>
  <c r="H87" i="154"/>
  <c r="A87" i="154"/>
  <c r="P86" i="154"/>
  <c r="N86" i="154"/>
  <c r="M86" i="154"/>
  <c r="L86" i="154"/>
  <c r="K86" i="154"/>
  <c r="H86" i="154"/>
  <c r="A86" i="154"/>
  <c r="P85" i="154"/>
  <c r="N85" i="154"/>
  <c r="M85" i="154"/>
  <c r="L85" i="154"/>
  <c r="K85" i="154"/>
  <c r="H85" i="154"/>
  <c r="A85" i="154"/>
  <c r="P84" i="154"/>
  <c r="N84" i="154"/>
  <c r="M84" i="154"/>
  <c r="L84" i="154"/>
  <c r="K84" i="154"/>
  <c r="H84" i="154"/>
  <c r="A84" i="154"/>
  <c r="P83" i="154"/>
  <c r="N83" i="154"/>
  <c r="M83" i="154"/>
  <c r="L83" i="154"/>
  <c r="K83" i="154"/>
  <c r="H83" i="154"/>
  <c r="A83" i="154"/>
  <c r="P82" i="154"/>
  <c r="N82" i="154"/>
  <c r="M82" i="154"/>
  <c r="L82" i="154"/>
  <c r="K82" i="154"/>
  <c r="H82" i="154"/>
  <c r="A82" i="154"/>
  <c r="P81" i="154"/>
  <c r="N81" i="154"/>
  <c r="M81" i="154"/>
  <c r="L81" i="154"/>
  <c r="K81" i="154"/>
  <c r="H81" i="154"/>
  <c r="A81" i="154"/>
  <c r="P80" i="154"/>
  <c r="N80" i="154"/>
  <c r="M80" i="154"/>
  <c r="L80" i="154"/>
  <c r="K80" i="154"/>
  <c r="H80" i="154"/>
  <c r="A80" i="154"/>
  <c r="P79" i="154"/>
  <c r="N79" i="154"/>
  <c r="M79" i="154"/>
  <c r="L79" i="154"/>
  <c r="K79" i="154"/>
  <c r="H79" i="154"/>
  <c r="A79" i="154"/>
  <c r="P78" i="154"/>
  <c r="N78" i="154"/>
  <c r="M78" i="154"/>
  <c r="L78" i="154"/>
  <c r="K78" i="154"/>
  <c r="H78" i="154"/>
  <c r="A78" i="154"/>
  <c r="P77" i="154"/>
  <c r="N77" i="154"/>
  <c r="M77" i="154"/>
  <c r="L77" i="154"/>
  <c r="K77" i="154"/>
  <c r="H77" i="154"/>
  <c r="A77" i="154"/>
  <c r="P76" i="154"/>
  <c r="N76" i="154"/>
  <c r="M76" i="154"/>
  <c r="L76" i="154"/>
  <c r="K76" i="154"/>
  <c r="H76" i="154"/>
  <c r="A76" i="154"/>
  <c r="P75" i="154"/>
  <c r="N75" i="154"/>
  <c r="M75" i="154"/>
  <c r="L75" i="154"/>
  <c r="K75" i="154"/>
  <c r="H75" i="154"/>
  <c r="A75" i="154"/>
  <c r="P74" i="154"/>
  <c r="N74" i="154"/>
  <c r="M74" i="154"/>
  <c r="L74" i="154"/>
  <c r="K74" i="154"/>
  <c r="H74" i="154"/>
  <c r="A74" i="154"/>
  <c r="P73" i="154"/>
  <c r="N73" i="154"/>
  <c r="M73" i="154"/>
  <c r="L73" i="154"/>
  <c r="K73" i="154"/>
  <c r="H73" i="154"/>
  <c r="A73" i="154"/>
  <c r="P72" i="154"/>
  <c r="N72" i="154"/>
  <c r="M72" i="154"/>
  <c r="L72" i="154"/>
  <c r="K72" i="154"/>
  <c r="H72" i="154"/>
  <c r="A72" i="154"/>
  <c r="P71" i="154"/>
  <c r="N71" i="154"/>
  <c r="M71" i="154"/>
  <c r="L71" i="154"/>
  <c r="K71" i="154"/>
  <c r="H71" i="154"/>
  <c r="A71" i="154"/>
  <c r="P70" i="154"/>
  <c r="N70" i="154"/>
  <c r="M70" i="154"/>
  <c r="L70" i="154"/>
  <c r="K70" i="154"/>
  <c r="H70" i="154"/>
  <c r="A70" i="154"/>
  <c r="P69" i="154"/>
  <c r="N69" i="154"/>
  <c r="M69" i="154"/>
  <c r="L69" i="154"/>
  <c r="K69" i="154"/>
  <c r="H69" i="154"/>
  <c r="A69" i="154"/>
  <c r="P68" i="154"/>
  <c r="N68" i="154"/>
  <c r="M68" i="154"/>
  <c r="L68" i="154"/>
  <c r="K68" i="154"/>
  <c r="H68" i="154"/>
  <c r="A68" i="154"/>
  <c r="P67" i="154"/>
  <c r="N67" i="154"/>
  <c r="M67" i="154"/>
  <c r="L67" i="154"/>
  <c r="K67" i="154"/>
  <c r="H67" i="154"/>
  <c r="A67" i="154"/>
  <c r="P66" i="154"/>
  <c r="N66" i="154"/>
  <c r="M66" i="154"/>
  <c r="L66" i="154"/>
  <c r="K66" i="154"/>
  <c r="H66" i="154"/>
  <c r="A66" i="154"/>
  <c r="P65" i="154"/>
  <c r="N65" i="154"/>
  <c r="M65" i="154"/>
  <c r="L65" i="154"/>
  <c r="K65" i="154"/>
  <c r="H65" i="154"/>
  <c r="A65" i="154"/>
  <c r="P64" i="154"/>
  <c r="N64" i="154"/>
  <c r="M64" i="154"/>
  <c r="L64" i="154"/>
  <c r="K64" i="154"/>
  <c r="H64" i="154"/>
  <c r="A64" i="154"/>
  <c r="P63" i="154"/>
  <c r="N63" i="154"/>
  <c r="M63" i="154"/>
  <c r="L63" i="154"/>
  <c r="K63" i="154"/>
  <c r="H63" i="154"/>
  <c r="A63" i="154"/>
  <c r="P62" i="154"/>
  <c r="N62" i="154"/>
  <c r="M62" i="154"/>
  <c r="L62" i="154"/>
  <c r="K62" i="154"/>
  <c r="H62" i="154"/>
  <c r="A62" i="154"/>
  <c r="P61" i="154"/>
  <c r="N61" i="154"/>
  <c r="M61" i="154"/>
  <c r="L61" i="154"/>
  <c r="K61" i="154"/>
  <c r="H61" i="154"/>
  <c r="A61" i="154"/>
  <c r="P60" i="154"/>
  <c r="N60" i="154"/>
  <c r="M60" i="154"/>
  <c r="L60" i="154"/>
  <c r="K60" i="154"/>
  <c r="H60" i="154"/>
  <c r="A60" i="154"/>
  <c r="P59" i="154"/>
  <c r="N59" i="154"/>
  <c r="M59" i="154"/>
  <c r="L59" i="154"/>
  <c r="K59" i="154"/>
  <c r="H59" i="154"/>
  <c r="A59" i="154"/>
  <c r="P58" i="154"/>
  <c r="N58" i="154"/>
  <c r="M58" i="154"/>
  <c r="L58" i="154"/>
  <c r="K58" i="154"/>
  <c r="H58" i="154"/>
  <c r="A58" i="154"/>
  <c r="P57" i="154"/>
  <c r="N57" i="154"/>
  <c r="M57" i="154"/>
  <c r="L57" i="154"/>
  <c r="K57" i="154"/>
  <c r="H57" i="154"/>
  <c r="A57" i="154"/>
  <c r="P56" i="154"/>
  <c r="N56" i="154"/>
  <c r="M56" i="154"/>
  <c r="L56" i="154"/>
  <c r="K56" i="154"/>
  <c r="H56" i="154"/>
  <c r="A56" i="154"/>
  <c r="P55" i="154"/>
  <c r="N55" i="154"/>
  <c r="M55" i="154"/>
  <c r="L55" i="154"/>
  <c r="K55" i="154"/>
  <c r="H55" i="154"/>
  <c r="A55" i="154"/>
  <c r="P54" i="154"/>
  <c r="N54" i="154"/>
  <c r="M54" i="154"/>
  <c r="L54" i="154"/>
  <c r="K54" i="154"/>
  <c r="H54" i="154"/>
  <c r="A54" i="154"/>
  <c r="P53" i="154"/>
  <c r="N53" i="154"/>
  <c r="M53" i="154"/>
  <c r="L53" i="154"/>
  <c r="K53" i="154"/>
  <c r="H53" i="154"/>
  <c r="A53" i="154"/>
  <c r="P52" i="154"/>
  <c r="N52" i="154"/>
  <c r="M52" i="154"/>
  <c r="L52" i="154"/>
  <c r="K52" i="154"/>
  <c r="H52" i="154"/>
  <c r="A52" i="154"/>
  <c r="P51" i="154"/>
  <c r="N51" i="154"/>
  <c r="M51" i="154"/>
  <c r="L51" i="154"/>
  <c r="K51" i="154"/>
  <c r="H51" i="154"/>
  <c r="A51" i="154"/>
  <c r="P50" i="154"/>
  <c r="N50" i="154"/>
  <c r="M50" i="154"/>
  <c r="L50" i="154"/>
  <c r="K50" i="154"/>
  <c r="H50" i="154"/>
  <c r="A50" i="154"/>
  <c r="P49" i="154"/>
  <c r="N49" i="154"/>
  <c r="M49" i="154"/>
  <c r="L49" i="154"/>
  <c r="K49" i="154"/>
  <c r="H49" i="154"/>
  <c r="P48" i="154"/>
  <c r="N48" i="154"/>
  <c r="M48" i="154"/>
  <c r="L48" i="154"/>
  <c r="K48" i="154"/>
  <c r="H48" i="154"/>
  <c r="A48" i="154"/>
  <c r="P47" i="154"/>
  <c r="N47" i="154"/>
  <c r="M47" i="154"/>
  <c r="L47" i="154"/>
  <c r="K47" i="154"/>
  <c r="H47" i="154"/>
  <c r="A47" i="154"/>
  <c r="P46" i="154"/>
  <c r="N46" i="154"/>
  <c r="M46" i="154"/>
  <c r="L46" i="154"/>
  <c r="K46" i="154"/>
  <c r="H46" i="154"/>
  <c r="A46" i="154"/>
  <c r="P45" i="154"/>
  <c r="N45" i="154"/>
  <c r="M45" i="154"/>
  <c r="L45" i="154"/>
  <c r="K45" i="154"/>
  <c r="H45" i="154"/>
  <c r="A45" i="154"/>
  <c r="P44" i="154"/>
  <c r="N44" i="154"/>
  <c r="M44" i="154"/>
  <c r="L44" i="154"/>
  <c r="K44" i="154"/>
  <c r="H44" i="154"/>
  <c r="A44" i="154"/>
  <c r="P43" i="154"/>
  <c r="N43" i="154"/>
  <c r="M43" i="154"/>
  <c r="L43" i="154"/>
  <c r="K43" i="154"/>
  <c r="H43" i="154"/>
  <c r="A43" i="154"/>
  <c r="P42" i="154"/>
  <c r="N42" i="154"/>
  <c r="M42" i="154"/>
  <c r="L42" i="154"/>
  <c r="K42" i="154"/>
  <c r="H42" i="154"/>
  <c r="A42" i="154"/>
  <c r="P41" i="154"/>
  <c r="N41" i="154"/>
  <c r="M41" i="154"/>
  <c r="L41" i="154"/>
  <c r="K41" i="154"/>
  <c r="H41" i="154"/>
  <c r="A41" i="154"/>
  <c r="P40" i="154"/>
  <c r="N40" i="154"/>
  <c r="M40" i="154"/>
  <c r="L40" i="154"/>
  <c r="K40" i="154"/>
  <c r="H40" i="154"/>
  <c r="A40" i="154"/>
  <c r="P39" i="154"/>
  <c r="N39" i="154"/>
  <c r="M39" i="154"/>
  <c r="L39" i="154"/>
  <c r="K39" i="154"/>
  <c r="H39" i="154"/>
  <c r="A39" i="154"/>
  <c r="P38" i="154"/>
  <c r="N38" i="154"/>
  <c r="M38" i="154"/>
  <c r="L38" i="154"/>
  <c r="K38" i="154"/>
  <c r="H38" i="154"/>
  <c r="A38" i="154"/>
  <c r="P37" i="154"/>
  <c r="N37" i="154"/>
  <c r="M37" i="154"/>
  <c r="L37" i="154"/>
  <c r="K37" i="154"/>
  <c r="H37" i="154"/>
  <c r="A37" i="154"/>
  <c r="P36" i="154"/>
  <c r="N36" i="154"/>
  <c r="M36" i="154"/>
  <c r="L36" i="154"/>
  <c r="K36" i="154"/>
  <c r="H36" i="154"/>
  <c r="A36" i="154"/>
  <c r="P35" i="154"/>
  <c r="N35" i="154"/>
  <c r="M35" i="154"/>
  <c r="L35" i="154"/>
  <c r="K35" i="154"/>
  <c r="H35" i="154"/>
  <c r="A35" i="154"/>
  <c r="P34" i="154"/>
  <c r="N34" i="154"/>
  <c r="M34" i="154"/>
  <c r="L34" i="154"/>
  <c r="K34" i="154"/>
  <c r="H34" i="154"/>
  <c r="A34" i="154"/>
  <c r="P33" i="154"/>
  <c r="N33" i="154"/>
  <c r="M33" i="154"/>
  <c r="L33" i="154"/>
  <c r="K33" i="154"/>
  <c r="H33" i="154"/>
  <c r="A33" i="154"/>
  <c r="P32" i="154"/>
  <c r="N32" i="154"/>
  <c r="M32" i="154"/>
  <c r="L32" i="154"/>
  <c r="K32" i="154"/>
  <c r="H32" i="154"/>
  <c r="A32" i="154"/>
  <c r="P31" i="154"/>
  <c r="N31" i="154"/>
  <c r="M31" i="154"/>
  <c r="L31" i="154"/>
  <c r="K31" i="154"/>
  <c r="H31" i="154"/>
  <c r="A31" i="154"/>
  <c r="P30" i="154"/>
  <c r="N30" i="154"/>
  <c r="M30" i="154"/>
  <c r="L30" i="154"/>
  <c r="K30" i="154"/>
  <c r="H30" i="154"/>
  <c r="A30" i="154"/>
  <c r="P29" i="154"/>
  <c r="N29" i="154"/>
  <c r="M29" i="154"/>
  <c r="L29" i="154"/>
  <c r="K29" i="154"/>
  <c r="H29" i="154"/>
  <c r="A29" i="154"/>
  <c r="P28" i="154"/>
  <c r="N28" i="154"/>
  <c r="M28" i="154"/>
  <c r="L28" i="154"/>
  <c r="K28" i="154"/>
  <c r="H28" i="154"/>
  <c r="A28" i="154"/>
  <c r="P27" i="154"/>
  <c r="N27" i="154"/>
  <c r="M27" i="154"/>
  <c r="L27" i="154"/>
  <c r="K27" i="154"/>
  <c r="H27" i="154"/>
  <c r="A27" i="154"/>
  <c r="P26" i="154"/>
  <c r="N26" i="154"/>
  <c r="M26" i="154"/>
  <c r="L26" i="154"/>
  <c r="K26" i="154"/>
  <c r="H26" i="154"/>
  <c r="A26" i="154"/>
  <c r="P25" i="154"/>
  <c r="N25" i="154"/>
  <c r="M25" i="154"/>
  <c r="L25" i="154"/>
  <c r="K25" i="154"/>
  <c r="H25" i="154"/>
  <c r="A25" i="154"/>
  <c r="P24" i="154"/>
  <c r="N24" i="154"/>
  <c r="M24" i="154"/>
  <c r="L24" i="154"/>
  <c r="K24" i="154"/>
  <c r="H24" i="154"/>
  <c r="A24" i="154"/>
  <c r="P23" i="154"/>
  <c r="N23" i="154"/>
  <c r="M23" i="154"/>
  <c r="L23" i="154"/>
  <c r="K23" i="154"/>
  <c r="H23" i="154"/>
  <c r="A23" i="154"/>
  <c r="P22" i="154"/>
  <c r="N22" i="154"/>
  <c r="M22" i="154"/>
  <c r="L22" i="154"/>
  <c r="K22" i="154"/>
  <c r="H22" i="154"/>
  <c r="A22" i="154"/>
  <c r="P21" i="154"/>
  <c r="N21" i="154"/>
  <c r="M21" i="154"/>
  <c r="L21" i="154"/>
  <c r="K21" i="154"/>
  <c r="H21" i="154"/>
  <c r="A21" i="154"/>
  <c r="P20" i="154"/>
  <c r="N20" i="154"/>
  <c r="M20" i="154"/>
  <c r="L20" i="154"/>
  <c r="K20" i="154"/>
  <c r="H20" i="154"/>
  <c r="A20" i="154"/>
  <c r="P19" i="154"/>
  <c r="N19" i="154"/>
  <c r="M19" i="154"/>
  <c r="L19" i="154"/>
  <c r="K19" i="154"/>
  <c r="H19" i="154"/>
  <c r="A19" i="154"/>
  <c r="P18" i="154"/>
  <c r="N18" i="154"/>
  <c r="M18" i="154"/>
  <c r="L18" i="154"/>
  <c r="K18" i="154"/>
  <c r="H18" i="154"/>
  <c r="A18" i="154"/>
  <c r="P17" i="154"/>
  <c r="N17" i="154"/>
  <c r="M17" i="154"/>
  <c r="L17" i="154"/>
  <c r="K17" i="154"/>
  <c r="H17" i="154"/>
  <c r="A17" i="154"/>
  <c r="P16" i="154"/>
  <c r="N16" i="154"/>
  <c r="M16" i="154"/>
  <c r="L16" i="154"/>
  <c r="K16" i="154"/>
  <c r="H16" i="154"/>
  <c r="A16" i="154"/>
  <c r="P15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<sst xmlns="http://schemas.openxmlformats.org/spreadsheetml/2006/main" count="528" uniqueCount="255">
  <si>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</si>
  <si>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</si>
  <si>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</si>
  <si>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</si>
  <si>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</si>
  <si>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</si>
  <si>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</si>
  <si>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</si>
  <si>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</si>
  <si>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</si>
  <si>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</si>
  <si>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</si>
  <si>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</si>
  <si>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</si>
  <si>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</si>
  <si>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</si>
  <si>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</si>
  <si>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</si>
  <si>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</si>
  <si>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</si>
  <si>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</si>
  <si>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</si>
  <si>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</si>
  <si>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</si>
  <si>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</si>
  <si>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</si>
  <si>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</si>
  <si>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</si>
  <si>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</si>
  <si>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</si>
  <si>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</si>
  <si>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</si>
  <si>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</si>
  <si>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</si>
  <si>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</si>
  <si>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</si>
  <si>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</si>
  <si>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</si>
  <si>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</si>
  <si>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</si>
  <si>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</si>
  <si>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</si>
  <si>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</si>
  <si>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</si>
  <si>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</si>
  <si>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</si>
  <si>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</si>
  <si>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</si>
  <si>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</si>
  <si>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</si>
  <si>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</si>
  <si>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</si>
  <si>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</si>
  <si>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</si>
  <si>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</si>
  <si>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</si>
  <si>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</si>
  <si>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</si>
  <si>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</si>
  <si>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</si>
  <si>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</si>
  <si>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</si>
  <si>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</si>
  <si>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</si>
  <si>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</si>
  <si>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</si>
  <si>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</si>
  <si>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</si>
  <si>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</si>
  <si>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</si>
  <si>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</si>
  <si>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</si>
  <si>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</si>
  <si>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</si>
  <si>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</si>
  <si>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</si>
  <si>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</si>
  <si>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</si>
  <si>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</si>
  <si>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</si>
  <si>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</si>
  <si>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</si>
  <si>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</si>
  <si>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</si>
  <si>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</si>
  <si>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</si>
  <si>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</si>
  <si>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</si>
  <si>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</si>
  <si>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</si>
  <si>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</si>
  <si>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</si>
  <si>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</si>
  <si>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</si>
  <si>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</si>
  <si>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</si>
  <si>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</si>
  <si>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</si>
  <si>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</si>
  <si>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</si>
  <si>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</si>
  <si>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</si>
  <si>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</si>
  <si>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</si>
  <si>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</si>
  <si>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</si>
  <si>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</si>
  <si>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</si>
  <si>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</si>
  <si>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</si>
  <si>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</si>
  <si>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</si>
  <si>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</si>
  <si>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</si>
  <si>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</si>
  <si>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</si>
  <si>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</si>
  <si>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</si>
  <si>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</si>
  <si>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</si>
  <si>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</si>
  <si>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</si>
  <si>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B</t>
    <phoneticPr fontId="54"/>
  </si>
  <si>
    <t>D</t>
    <phoneticPr fontId="54"/>
  </si>
  <si>
    <t>F</t>
    <phoneticPr fontId="54"/>
  </si>
  <si>
    <t>E</t>
    <phoneticPr fontId="54"/>
  </si>
  <si>
    <t>G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</si>
  <si>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</si>
  <si>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</si>
  <si>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</si>
  <si>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</si>
  <si>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</si>
  <si>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</si>
  <si>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</si>
  <si>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</si>
  <si>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</si>
  <si>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</si>
  <si>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</si>
  <si>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X*{SS}*R5率</t>
    <rPh sb="9" eb="10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</si>
  <si>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</si>
  <si>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=</t>
    <phoneticPr fontId="54"/>
  </si>
  <si>
    <t>①</t>
    <phoneticPr fontId="54"/>
  </si>
  <si>
    <t>B + D + F</t>
    <phoneticPr fontId="54"/>
  </si>
  <si>
    <t>②</t>
    <phoneticPr fontId="54"/>
  </si>
  <si>
    <t>③</t>
    <phoneticPr fontId="54"/>
  </si>
  <si>
    <t>A+B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</si>
  <si>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</si>
  <si>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</si>
  <si>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</si>
  <si>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</si>
  <si>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</si>
  <si>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</si>
  <si>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</si>
  <si>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</si>
  <si>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</si>
  <si>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</si>
  <si>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</si>
  <si>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</si>
  <si>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</si>
  <si>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</si>
  <si>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</si>
  <si>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</si>
  <si>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Y*{W}-A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</si>
  <si>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</si>
  <si>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</si>
  <si>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</si>
  <si>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</si>
  <si>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</si>
  <si>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</si>
  <si>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</si>
  <si>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</si>
  <si>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</si>
  <si>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</si>
  <si>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</si>
  <si>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</si>
  <si>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</si>
  <si>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</si>
  <si>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</si>
  <si>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</si>
  <si>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</si>
  <si>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</si>
  <si>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</si>
  <si>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</si>
  <si>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</si>
  <si>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</si>
  <si>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</si>
  <si>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</si>
  <si>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</si>
  <si>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</si>
  <si>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gacha_settle_tables_</t>
    <phoneticPr fontId="21"/>
  </si>
  <si>
    <t>ja</t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</si>
  <si>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</si>
  <si>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</si>
  <si>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</si>
  <si>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</si>
  <si>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</si>
  <si>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</si>
  <si>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</si>
  <si>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</si>
  <si>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</si>
  <si>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</si>
  <si>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</si>
  <si>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</si>
  <si>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</si>
  <si>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K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</si>
  <si>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</si>
  <si>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</si>
  <si>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</si>
  <si>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</si>
  <si>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</si>
  <si>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unit</t>
    <phoneticPr fontId="21"/>
  </si>
  <si>
    <t>PremiumSSS4R3less</t>
    <phoneticPr fontId="21"/>
  </si>
  <si>
    <t>PremiumSSS5R3less</t>
    <phoneticPr fontId="21"/>
  </si>
  <si>
    <t>unit</t>
    <phoneticPr fontId="21"/>
  </si>
  <si>
    <t>秘術の果実x3</t>
    <phoneticPr fontId="21"/>
  </si>
  <si>
    <t>秘術の果実</t>
    <phoneticPr fontId="21"/>
  </si>
  <si>
    <t>400万DL突破記念ガチャ特典</t>
    <rPh sb="13" eb="15">
      <t>トクテン</t>
    </rPh>
    <phoneticPr fontId="21"/>
  </si>
  <si>
    <t>358104</t>
    <phoneticPr fontId="21"/>
  </si>
  <si>
    <t>3581041</t>
    <phoneticPr fontId="21"/>
  </si>
  <si>
    <t>3581051</t>
    <phoneticPr fontId="21"/>
  </si>
  <si>
    <t>STEP4特典として
秘術の果実1体をプレゼント！</t>
    <phoneticPr fontId="21"/>
  </si>
  <si>
    <t>STEP5特典として
秘術の果実3体をプレゼント！</t>
    <phoneticPr fontId="21"/>
  </si>
  <si>
    <t>358105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</si>
  <si>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</si>
  <si>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</si>
  <si>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</si>
  <si>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</si>
  <si>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</si>
  <si>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フェス確率</t>
    <phoneticPr fontId="21"/>
  </si>
  <si>
    <t>tables_378010</t>
    <phoneticPr fontId="21"/>
  </si>
  <si>
    <t>old</t>
    <phoneticPr fontId="21"/>
  </si>
  <si>
    <t>skip</t>
    <phoneticPr fontId="21"/>
  </si>
  <si>
    <t>R3率</t>
    <phoneticPr fontId="54"/>
  </si>
  <si>
    <t>Y*{W}</t>
    <phoneticPr fontId="54"/>
  </si>
  <si>
    <t>→</t>
    <phoneticPr fontId="54"/>
  </si>
  <si>
    <t>ハズレ素体確率 Y = (1-SS率)/(W+N+S)</t>
    <rPh sb="3" eb="5">
      <t>ソタイカクリ</t>
    </rPh>
    <rPh sb="5" eb="7">
      <t>カクリツ</t>
    </rPh>
    <rPh sb="17" eb="18">
      <t>リツ</t>
    </rPh>
    <phoneticPr fontId="54"/>
  </si>
  <si>
    <t>H</t>
    <phoneticPr fontId="54"/>
  </si>
  <si>
    <t>I</t>
    <phoneticPr fontId="54"/>
  </si>
  <si>
    <t>J</t>
    <phoneticPr fontId="54"/>
  </si>
  <si>
    <t>A + C</t>
    <phoneticPr fontId="54"/>
  </si>
  <si>
    <t>R4率-H</t>
    <phoneticPr fontId="54"/>
  </si>
  <si>
    <t>J</t>
    <phoneticPr fontId="54"/>
  </si>
  <si>
    <t>H</t>
    <phoneticPr fontId="54"/>
  </si>
  <si>
    <t>I</t>
    <phoneticPr fontId="54"/>
  </si>
  <si>
    <t>E+G</t>
    <phoneticPr fontId="54"/>
  </si>
  <si>
    <t>R5率-I-J</t>
    <phoneticPr fontId="54"/>
  </si>
  <si>
    <t>⑦</t>
    <phoneticPr fontId="54"/>
  </si>
  <si>
    <t>A+B+C+D+E+F+G</t>
    <phoneticPr fontId="54"/>
  </si>
  <si>
    <t>50%-C</t>
    <phoneticPr fontId="54"/>
  </si>
  <si>
    <t>=</t>
    <phoneticPr fontId="21"/>
  </si>
  <si>
    <t>Y*{W}*R3率</t>
    <phoneticPr fontId="21"/>
  </si>
  <si>
    <t>5%-E-I-J</t>
    <phoneticPr fontId="54"/>
  </si>
  <si>
    <t>←R6releaseを取り除いた場合の計算</t>
    <phoneticPr fontId="21"/>
  </si>
  <si>
    <t>tables_393100</t>
    <phoneticPr fontId="21"/>
  </si>
  <si>
    <t>tables_settle_393100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</si>
</sst>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115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9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7" fillId="0" borderId="1" xfId="2978" applyFont="1" applyBorder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26" fillId="0" borderId="1" xfId="2" quotePrefix="1" applyFont="1" applyBorder="1" applyAlignment="1">
      <alignment vertical="center"/>
    </xf>
    <xf numFmtId="0" fontId="5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3" fillId="4" borderId="1" xfId="2978" applyFont="1" applyFill="1" applyBorder="1"/>
    <xf numFmtId="0" fontId="3" fillId="0" borderId="1" xfId="3036" applyFont="1" applyBorder="1"/>
    <xf numFmtId="0" fontId="3" fillId="0" borderId="0" xfId="3662" applyFont="1"/>
    <xf numFmtId="9" fontId="6" fillId="0" borderId="0" xfId="3662" applyNumberFormat="1" applyFont="1"/>
    <xf numFmtId="0" fontId="8" fillId="0" borderId="17" xfId="3662" applyBorder="1"/>
    <xf numFmtId="0" fontId="8" fillId="0" borderId="18" xfId="3662" applyBorder="1"/>
    <xf numFmtId="0" fontId="8" fillId="0" borderId="19" xfId="3662" applyBorder="1"/>
    <xf numFmtId="0" fontId="8" fillId="0" borderId="20" xfId="3662" applyBorder="1"/>
    <xf numFmtId="0" fontId="8" fillId="0" borderId="0" xfId="3662" applyBorder="1"/>
    <xf numFmtId="0" fontId="8" fillId="0" borderId="21" xfId="3662" applyBorder="1"/>
    <xf numFmtId="0" fontId="8" fillId="4" borderId="0" xfId="3662" applyFill="1" applyBorder="1"/>
    <xf numFmtId="9" fontId="8" fillId="0" borderId="0" xfId="3662" applyNumberFormat="1" applyBorder="1"/>
    <xf numFmtId="0" fontId="3" fillId="4" borderId="0" xfId="3662" applyFont="1" applyFill="1" applyBorder="1"/>
    <xf numFmtId="0" fontId="8" fillId="0" borderId="0" xfId="3662" applyFill="1" applyBorder="1"/>
    <xf numFmtId="9" fontId="3" fillId="0" borderId="0" xfId="3662" applyNumberFormat="1" applyFont="1" applyBorder="1"/>
    <xf numFmtId="9" fontId="8" fillId="0" borderId="0" xfId="3662" applyNumberFormat="1" applyBorder="1" applyAlignment="1"/>
    <xf numFmtId="9" fontId="8" fillId="0" borderId="21" xfId="3662" applyNumberFormat="1" applyBorder="1"/>
    <xf numFmtId="0" fontId="3" fillId="0" borderId="20" xfId="3662" applyFont="1" applyBorder="1"/>
    <xf numFmtId="0" fontId="3" fillId="0" borderId="0" xfId="3662" applyFont="1" applyBorder="1"/>
    <xf numFmtId="0" fontId="3" fillId="0" borderId="0" xfId="3662" quotePrefix="1" applyFont="1" applyBorder="1"/>
    <xf numFmtId="0" fontId="3" fillId="0" borderId="22" xfId="3662" applyFont="1" applyBorder="1"/>
    <xf numFmtId="9" fontId="8" fillId="0" borderId="23" xfId="3662" applyNumberFormat="1" applyBorder="1"/>
    <xf numFmtId="0" fontId="8" fillId="0" borderId="23" xfId="3662" applyBorder="1"/>
    <xf numFmtId="0" fontId="8" fillId="0" borderId="24" xfId="3662" applyBorder="1"/>
    <xf numFmtId="176" fontId="0" fillId="0" borderId="0" xfId="3575" applyNumberFormat="1" applyFont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E329"/>
          <cell r="F329"/>
          <cell r="G329"/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E330"/>
          <cell r="F330"/>
          <cell r="G330"/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/>
          <cell r="F331"/>
          <cell r="G331"/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E332"/>
          <cell r="F332"/>
          <cell r="G332"/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/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/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/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/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/>
          <cell r="F381"/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/>
          <cell r="F388"/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/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/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R5 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R6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balance</v>
          </cell>
          <cell r="L1075" t="str">
            <v>バランスタイプ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balance</v>
          </cell>
          <cell r="L1076" t="str">
            <v>バランスタイプ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4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  <row r="1180">
          <cell r="A1180">
            <v>8031</v>
          </cell>
          <cell r="B1180" t="str">
            <v>ja</v>
          </cell>
          <cell r="C1180" t="str">
            <v>閻羅王</v>
          </cell>
          <cell r="D1180" t="str">
            <v>Expoミク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red</v>
          </cell>
          <cell r="I1180">
            <v>5</v>
          </cell>
          <cell r="J1180" t="str">
            <v>PremiumSS</v>
          </cell>
          <cell r="K1180" t="str">
            <v>balance</v>
          </cell>
          <cell r="L1180" t="str">
            <v>バランスタイプ</v>
          </cell>
          <cell r="M1180" t="str">
            <v>god</v>
          </cell>
        </row>
        <row r="1181">
          <cell r="A1181">
            <v>8032</v>
          </cell>
          <cell r="B1181" t="str">
            <v>ja</v>
          </cell>
          <cell r="C1181" t="str">
            <v>十殿閻羅王</v>
          </cell>
          <cell r="D1181" t="str">
            <v>Expoミク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red</v>
          </cell>
          <cell r="I1181">
            <v>6</v>
          </cell>
          <cell r="J1181" t="str">
            <v>PremiumSS</v>
          </cell>
          <cell r="K1181" t="str">
            <v>balance</v>
          </cell>
          <cell r="L1181" t="str">
            <v>バランスタイプ</v>
          </cell>
          <cell r="M1181" t="str">
            <v>god</v>
          </cell>
        </row>
        <row r="1182">
          <cell r="A1182">
            <v>8033</v>
          </cell>
          <cell r="B1182" t="str">
            <v>ja</v>
          </cell>
          <cell r="C1182" t="str">
            <v>牛頭馬面</v>
          </cell>
          <cell r="D1182" t="str">
            <v>Expoミク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5</v>
          </cell>
          <cell r="J1182" t="str">
            <v>DropWizS</v>
          </cell>
          <cell r="K1182" t="str">
            <v>attack</v>
          </cell>
          <cell r="L1182" t="str">
            <v>攻撃タイプ</v>
          </cell>
          <cell r="M1182" t="str">
            <v>god</v>
          </cell>
        </row>
        <row r="1183">
          <cell r="A1183">
            <v>8034</v>
          </cell>
          <cell r="B1183" t="str">
            <v>ja</v>
          </cell>
          <cell r="C1183" t="str">
            <v>牛頭馬面</v>
          </cell>
          <cell r="D1183" t="str">
            <v>Expoミク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6</v>
          </cell>
          <cell r="J1183" t="str">
            <v>DropWizS</v>
          </cell>
          <cell r="K1183" t="str">
            <v>attack</v>
          </cell>
          <cell r="L1183" t="str">
            <v>攻撃タイプ</v>
          </cell>
          <cell r="M1183" t="str">
            <v>god</v>
          </cell>
        </row>
        <row r="1184">
          <cell r="A1184">
            <v>8035</v>
          </cell>
          <cell r="B1184" t="str">
            <v>ja</v>
          </cell>
          <cell r="C1184" t="str">
            <v>嫦娥</v>
          </cell>
          <cell r="D1184" t="str">
            <v>Expoミク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blue</v>
          </cell>
          <cell r="I1184">
            <v>4</v>
          </cell>
          <cell r="J1184" t="str">
            <v>Drop2N</v>
          </cell>
          <cell r="K1184" t="str">
            <v>heal</v>
          </cell>
          <cell r="L1184" t="str">
            <v>回復タイプ</v>
          </cell>
          <cell r="M1184" t="str">
            <v>unknown</v>
          </cell>
        </row>
        <row r="1185">
          <cell r="A1185">
            <v>8036</v>
          </cell>
          <cell r="B1185" t="str">
            <v>ja</v>
          </cell>
          <cell r="C1185" t="str">
            <v>嫦娥</v>
          </cell>
          <cell r="D1185" t="str">
            <v>Expoミク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blue</v>
          </cell>
          <cell r="I1185">
            <v>4</v>
          </cell>
          <cell r="J1185" t="str">
            <v>Drop2N</v>
          </cell>
          <cell r="K1185" t="str">
            <v>heal</v>
          </cell>
          <cell r="L1185" t="str">
            <v>回復タイプ</v>
          </cell>
          <cell r="M1185" t="str">
            <v>unknown</v>
          </cell>
        </row>
        <row r="1186">
          <cell r="A1186">
            <v>8037</v>
          </cell>
          <cell r="B1186" t="str">
            <v>ja</v>
          </cell>
          <cell r="C1186" t="str">
            <v>后羿</v>
          </cell>
          <cell r="D1186" t="str">
            <v>Expoミク</v>
          </cell>
          <cell r="E1186" t="str">
            <v>執行者</v>
          </cell>
          <cell r="F1186" t="str">
            <v>格好いい</v>
          </cell>
          <cell r="G1186" t="str">
            <v>女性</v>
          </cell>
          <cell r="H1186" t="str">
            <v>blue</v>
          </cell>
          <cell r="I1186">
            <v>4</v>
          </cell>
          <cell r="J1186" t="str">
            <v>Drop2N</v>
          </cell>
          <cell r="K1186" t="str">
            <v>heal</v>
          </cell>
          <cell r="L1186" t="str">
            <v>回復タイプ</v>
          </cell>
          <cell r="M1186" t="str">
            <v>unknown</v>
          </cell>
        </row>
        <row r="1187">
          <cell r="A1187">
            <v>8038</v>
          </cell>
          <cell r="B1187" t="str">
            <v>ja</v>
          </cell>
          <cell r="C1187" t="str">
            <v>后羿</v>
          </cell>
          <cell r="D1187" t="str">
            <v>Expoミク</v>
          </cell>
          <cell r="E1187" t="str">
            <v>執行者</v>
          </cell>
          <cell r="F1187" t="str">
            <v>格好いい</v>
          </cell>
          <cell r="G1187" t="str">
            <v>女性</v>
          </cell>
          <cell r="H1187" t="str">
            <v>blue</v>
          </cell>
          <cell r="I1187">
            <v>4</v>
          </cell>
          <cell r="J1187" t="str">
            <v>Drop2N</v>
          </cell>
          <cell r="K1187" t="str">
            <v>heal</v>
          </cell>
          <cell r="L1187" t="str">
            <v>回復タイプ</v>
          </cell>
          <cell r="M1187" t="str">
            <v>unknown</v>
          </cell>
        </row>
        <row r="1188">
          <cell r="A1188">
            <v>8039</v>
          </cell>
          <cell r="B1188" t="str">
            <v>ja</v>
          </cell>
          <cell r="C1188" t="str">
            <v>何仙姑</v>
          </cell>
          <cell r="D1188" t="str">
            <v>Expoミク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blue</v>
          </cell>
          <cell r="I1188">
            <v>4</v>
          </cell>
          <cell r="J1188" t="str">
            <v>Drop2N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8040</v>
          </cell>
          <cell r="B1189" t="str">
            <v>ja</v>
          </cell>
          <cell r="C1189" t="str">
            <v>何仙姑</v>
          </cell>
          <cell r="D1189" t="str">
            <v>Expoミク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blue</v>
          </cell>
          <cell r="I1189">
            <v>4</v>
          </cell>
          <cell r="J1189" t="str">
            <v>Drop2N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8041</v>
          </cell>
          <cell r="B1190" t="str">
            <v>ja</v>
          </cell>
          <cell r="C1190" t="str">
            <v>藍采和</v>
          </cell>
          <cell r="D1190" t="str">
            <v>Expoミク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blue</v>
          </cell>
          <cell r="I1190">
            <v>4</v>
          </cell>
          <cell r="J1190" t="str">
            <v>Drop2N</v>
          </cell>
          <cell r="K1190" t="str">
            <v>heal</v>
          </cell>
          <cell r="L1190" t="str">
            <v>回復タイプ</v>
          </cell>
          <cell r="M1190" t="str">
            <v>unknown</v>
          </cell>
        </row>
        <row r="1191">
          <cell r="A1191">
            <v>8042</v>
          </cell>
          <cell r="B1191" t="str">
            <v>ja</v>
          </cell>
          <cell r="C1191" t="str">
            <v>藍采和</v>
          </cell>
          <cell r="D1191" t="str">
            <v>Expoミク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blue</v>
          </cell>
          <cell r="I1191">
            <v>4</v>
          </cell>
          <cell r="J1191" t="str">
            <v>Drop2N</v>
          </cell>
          <cell r="K1191" t="str">
            <v>heal</v>
          </cell>
          <cell r="L1191" t="str">
            <v>回復タイプ</v>
          </cell>
          <cell r="M1191" t="str">
            <v>unknown</v>
          </cell>
        </row>
        <row r="1192">
          <cell r="A1192">
            <v>8043</v>
          </cell>
          <cell r="B1192" t="str">
            <v>ja</v>
          </cell>
          <cell r="C1192" t="str">
            <v>サンリオキャラ大集合+アザゼル</v>
          </cell>
          <cell r="D1192" t="str">
            <v>サンリオキャラ大集合+アザゼル</v>
          </cell>
          <cell r="E1192" t="str">
            <v>執行者</v>
          </cell>
          <cell r="F1192" t="str">
            <v>格好いい</v>
          </cell>
          <cell r="G1192" t="str">
            <v>女性</v>
          </cell>
          <cell r="H1192" t="str">
            <v>green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ss</v>
          </cell>
        </row>
        <row r="1193">
          <cell r="A1193">
            <v>8044</v>
          </cell>
          <cell r="B1193" t="str">
            <v>ja</v>
          </cell>
          <cell r="C1193" t="str">
            <v>サンリオキャラ大集合+アザゼル</v>
          </cell>
          <cell r="D1193" t="str">
            <v>サンリオキャラ大集合+アザゼル</v>
          </cell>
          <cell r="E1193" t="str">
            <v>執行者</v>
          </cell>
          <cell r="F1193" t="str">
            <v>格好いい</v>
          </cell>
          <cell r="G1193" t="str">
            <v>女性</v>
          </cell>
          <cell r="H1193" t="str">
            <v>green</v>
          </cell>
          <cell r="I1193">
            <v>6</v>
          </cell>
          <cell r="J1193" t="str">
            <v>DropWizS</v>
          </cell>
          <cell r="K1193" t="str">
            <v>technical</v>
          </cell>
          <cell r="L1193" t="str">
            <v>テクニカルタイプ</v>
          </cell>
          <cell r="M1193" t="str">
            <v>ss</v>
          </cell>
        </row>
        <row r="1194">
          <cell r="A1194">
            <v>8045</v>
          </cell>
          <cell r="B1194" t="str">
            <v>ja</v>
          </cell>
          <cell r="C1194" t="str">
            <v>ニムダ_サンリオキャラ混じり</v>
          </cell>
          <cell r="D1194" t="str">
            <v>ニムダ_サンリオキャラ混じり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yellow</v>
          </cell>
          <cell r="I1194">
            <v>4</v>
          </cell>
          <cell r="J1194" t="str">
            <v>Drop2N</v>
          </cell>
          <cell r="K1194" t="str">
            <v>technical</v>
          </cell>
          <cell r="L1194" t="str">
            <v>テクニカルタイプ</v>
          </cell>
          <cell r="M1194" t="str">
            <v>ss</v>
          </cell>
        </row>
        <row r="1195">
          <cell r="A1195">
            <v>8046</v>
          </cell>
          <cell r="B1195" t="str">
            <v>ja</v>
          </cell>
          <cell r="C1195" t="str">
            <v>ニムダ_サンリオキャラ混じり</v>
          </cell>
          <cell r="D1195" t="str">
            <v>ニムダ_サンリオキャラ混じり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yellow</v>
          </cell>
          <cell r="I1195">
            <v>5</v>
          </cell>
          <cell r="J1195" t="str">
            <v>Drop2N</v>
          </cell>
          <cell r="K1195" t="str">
            <v>technical</v>
          </cell>
          <cell r="L1195" t="str">
            <v>テクニカルタイプ</v>
          </cell>
          <cell r="M1195" t="str">
            <v>ss</v>
          </cell>
        </row>
        <row r="1196">
          <cell r="A1196">
            <v>8047</v>
          </cell>
          <cell r="B1196" t="str">
            <v>ja</v>
          </cell>
          <cell r="C1196" t="str">
            <v>ハローキティ</v>
          </cell>
          <cell r="D1196" t="str">
            <v>ハローキティ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red</v>
          </cell>
          <cell r="I1196">
            <v>4</v>
          </cell>
          <cell r="J1196" t="str">
            <v>Drop2N</v>
          </cell>
          <cell r="K1196" t="str">
            <v>balance</v>
          </cell>
          <cell r="L1196" t="str">
            <v>バランスタイプ</v>
          </cell>
          <cell r="M1196" t="str">
            <v>ss</v>
          </cell>
        </row>
        <row r="1197">
          <cell r="A1197">
            <v>8048</v>
          </cell>
          <cell r="B1197" t="str">
            <v>ja</v>
          </cell>
          <cell r="C1197" t="str">
            <v>ハローキティ</v>
          </cell>
          <cell r="D1197" t="str">
            <v>ハローキティ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red</v>
          </cell>
          <cell r="I1197">
            <v>5</v>
          </cell>
          <cell r="J1197" t="str">
            <v>Drop2N</v>
          </cell>
          <cell r="K1197" t="str">
            <v>balance</v>
          </cell>
          <cell r="L1197" t="str">
            <v>バランスタイプ</v>
          </cell>
          <cell r="M1197" t="str">
            <v>ss</v>
          </cell>
        </row>
        <row r="1198">
          <cell r="A1198">
            <v>8049</v>
          </cell>
          <cell r="B1198" t="str">
            <v>ja</v>
          </cell>
          <cell r="C1198" t="str">
            <v>KIRIMIちゃん</v>
          </cell>
          <cell r="D1198" t="str">
            <v>KIRIMIちゃん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4</v>
          </cell>
          <cell r="J1198" t="str">
            <v>Drop2N</v>
          </cell>
          <cell r="K1198" t="str">
            <v>hp</v>
          </cell>
          <cell r="L1198" t="str">
            <v>体力タイプ</v>
          </cell>
          <cell r="M1198" t="str">
            <v>ss</v>
          </cell>
        </row>
        <row r="1199">
          <cell r="A1199">
            <v>8050</v>
          </cell>
          <cell r="B1199" t="str">
            <v>ja</v>
          </cell>
          <cell r="C1199" t="str">
            <v>KIRIMIちゃん</v>
          </cell>
          <cell r="D1199" t="str">
            <v>KIRIMIちゃん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5</v>
          </cell>
          <cell r="J1199" t="str">
            <v>Drop2N</v>
          </cell>
          <cell r="K1199" t="str">
            <v>hp</v>
          </cell>
          <cell r="L1199" t="str">
            <v>体力タイプ</v>
          </cell>
          <cell r="M1199" t="str">
            <v>ss</v>
          </cell>
        </row>
        <row r="1200">
          <cell r="A1200">
            <v>8051</v>
          </cell>
          <cell r="B1200" t="str">
            <v>ja</v>
          </cell>
          <cell r="C1200" t="str">
            <v>ハローキティのリボン</v>
          </cell>
          <cell r="D1200" t="str">
            <v>ハローキティのリボン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red</v>
          </cell>
          <cell r="I1200">
            <v>5</v>
          </cell>
          <cell r="J1200" t="str">
            <v>Drop2N</v>
          </cell>
          <cell r="K1200" t="str">
            <v>evolution</v>
          </cell>
          <cell r="L1200" t="str">
            <v>覚醒素材タイプ</v>
          </cell>
          <cell r="M1200" t="str">
            <v>ss</v>
          </cell>
        </row>
        <row r="1201">
          <cell r="A1201">
            <v>8052</v>
          </cell>
          <cell r="B1201" t="str">
            <v>ja</v>
          </cell>
          <cell r="C1201" t="str">
            <v>ママの作ったアップルパイ</v>
          </cell>
          <cell r="D1201" t="str">
            <v>ママの作ったアップルパイ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red</v>
          </cell>
          <cell r="I1201">
            <v>4</v>
          </cell>
          <cell r="J1201" t="str">
            <v>Drop2N</v>
          </cell>
          <cell r="K1201" t="str">
            <v>evolution</v>
          </cell>
          <cell r="L1201" t="str">
            <v>覚醒素材タイプ</v>
          </cell>
          <cell r="M1201" t="str">
            <v>ss</v>
          </cell>
        </row>
        <row r="1202">
          <cell r="A1202">
            <v>8053</v>
          </cell>
          <cell r="B1202" t="str">
            <v>ja</v>
          </cell>
          <cell r="C1202" t="str">
            <v>D.R.T.H__キティコスプレ</v>
          </cell>
          <cell r="D1202" t="str">
            <v>D.R.T.H__キティコスプレ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red</v>
          </cell>
          <cell r="I1202">
            <v>5</v>
          </cell>
          <cell r="J1202" t="str">
            <v>PremiumSS</v>
          </cell>
          <cell r="K1202" t="str">
            <v>balance</v>
          </cell>
          <cell r="L1202" t="str">
            <v>バランスタイプ</v>
          </cell>
          <cell r="M1202" t="str">
            <v>ss</v>
          </cell>
        </row>
        <row r="1203">
          <cell r="A1203">
            <v>8054</v>
          </cell>
          <cell r="B1203" t="str">
            <v>ja</v>
          </cell>
          <cell r="C1203" t="str">
            <v>D.R.T.H__キティコスプレ</v>
          </cell>
          <cell r="D1203" t="str">
            <v>D.R.T.H__キティコスプレ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red</v>
          </cell>
          <cell r="I1203">
            <v>6</v>
          </cell>
          <cell r="J1203" t="str">
            <v>PremiumSS</v>
          </cell>
          <cell r="K1203" t="str">
            <v>balance</v>
          </cell>
          <cell r="L1203" t="str">
            <v>バランスタイプ</v>
          </cell>
          <cell r="M1203" t="str">
            <v>ss</v>
          </cell>
        </row>
        <row r="1204">
          <cell r="A1204">
            <v>8055</v>
          </cell>
          <cell r="B1204" t="str">
            <v>ja</v>
          </cell>
          <cell r="C1204" t="str">
            <v>マイメロディ</v>
          </cell>
          <cell r="D1204" t="str">
            <v>マイメロディ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red</v>
          </cell>
          <cell r="I1204">
            <v>4</v>
          </cell>
          <cell r="J1204" t="str">
            <v>PremiumS</v>
          </cell>
          <cell r="K1204" t="str">
            <v>attack</v>
          </cell>
          <cell r="L1204" t="str">
            <v>攻撃タイプ</v>
          </cell>
          <cell r="M1204" t="str">
            <v>ss</v>
          </cell>
        </row>
        <row r="1205">
          <cell r="A1205">
            <v>8056</v>
          </cell>
          <cell r="B1205" t="str">
            <v>ja</v>
          </cell>
          <cell r="C1205" t="str">
            <v>マイメロディ</v>
          </cell>
          <cell r="D1205" t="str">
            <v>マイメロディ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red</v>
          </cell>
          <cell r="I1205">
            <v>5</v>
          </cell>
          <cell r="J1205" t="str">
            <v>PremiumS</v>
          </cell>
          <cell r="K1205" t="str">
            <v>attack</v>
          </cell>
          <cell r="L1205" t="str">
            <v>攻撃タイプ</v>
          </cell>
          <cell r="M1205" t="str">
            <v>ss</v>
          </cell>
        </row>
        <row r="1206">
          <cell r="A1206">
            <v>8057</v>
          </cell>
          <cell r="B1206" t="str">
            <v>ja</v>
          </cell>
          <cell r="C1206" t="str">
            <v>ニーベルゲン_シナモロールコスプレ</v>
          </cell>
          <cell r="D1206" t="str">
            <v>ニーベルゲン_シナモロールコスプレ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green</v>
          </cell>
          <cell r="I1206">
            <v>4</v>
          </cell>
          <cell r="J1206" t="str">
            <v>PremiumS</v>
          </cell>
          <cell r="K1206" t="str">
            <v>balance</v>
          </cell>
          <cell r="L1206" t="str">
            <v>バランスタイプ</v>
          </cell>
          <cell r="M1206" t="str">
            <v>ss</v>
          </cell>
        </row>
        <row r="1207">
          <cell r="A1207">
            <v>8058</v>
          </cell>
          <cell r="B1207" t="str">
            <v>ja</v>
          </cell>
          <cell r="C1207" t="str">
            <v>ニーベルゲン_シナモロールコスプレ</v>
          </cell>
          <cell r="D1207" t="str">
            <v>ニーベルゲン_シナモロールコスプレ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green</v>
          </cell>
          <cell r="I1207">
            <v>5</v>
          </cell>
          <cell r="J1207" t="str">
            <v>PremiumS</v>
          </cell>
          <cell r="K1207" t="str">
            <v>balance</v>
          </cell>
          <cell r="L1207" t="str">
            <v>バランスタイプ</v>
          </cell>
          <cell r="M1207" t="str">
            <v>ss</v>
          </cell>
        </row>
        <row r="1208">
          <cell r="A1208">
            <v>8059</v>
          </cell>
          <cell r="B1208" t="str">
            <v>ja</v>
          </cell>
          <cell r="C1208" t="str">
            <v>カカシ_マイメロディコスプレ</v>
          </cell>
          <cell r="D1208" t="str">
            <v>カカシ_マイメロディコスプレ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green</v>
          </cell>
          <cell r="I1208">
            <v>4</v>
          </cell>
          <cell r="J1208" t="str">
            <v>PremiumS</v>
          </cell>
          <cell r="K1208" t="str">
            <v>technical</v>
          </cell>
          <cell r="L1208" t="str">
            <v>テクニカルタイプ</v>
          </cell>
          <cell r="M1208" t="str">
            <v>ss</v>
          </cell>
        </row>
        <row r="1209">
          <cell r="A1209">
            <v>8060</v>
          </cell>
          <cell r="B1209" t="str">
            <v>ja</v>
          </cell>
          <cell r="C1209" t="str">
            <v>カカシ_マイメロディコスプレ</v>
          </cell>
          <cell r="D1209" t="str">
            <v>カカシ_マイメロディコスプレ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green</v>
          </cell>
          <cell r="I1209">
            <v>5</v>
          </cell>
          <cell r="J1209" t="str">
            <v>PremiumS</v>
          </cell>
          <cell r="K1209" t="str">
            <v>technical</v>
          </cell>
          <cell r="L1209" t="str">
            <v>テクニカルタイプ</v>
          </cell>
          <cell r="M1209" t="str">
            <v>ss</v>
          </cell>
        </row>
        <row r="1210">
          <cell r="A1210">
            <v>8061</v>
          </cell>
          <cell r="B1210" t="str">
            <v>ja</v>
          </cell>
          <cell r="C1210" t="str">
            <v>ケロケロけろっぴ</v>
          </cell>
          <cell r="D1210" t="str">
            <v>ケロケロけろっぴ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3</v>
          </cell>
          <cell r="J1210" t="str">
            <v>PremiumS</v>
          </cell>
          <cell r="K1210" t="str">
            <v>balance</v>
          </cell>
          <cell r="L1210" t="str">
            <v>バランスタイプ</v>
          </cell>
          <cell r="M1210" t="str">
            <v>ss</v>
          </cell>
        </row>
        <row r="1211">
          <cell r="A1211">
            <v>8062</v>
          </cell>
          <cell r="B1211" t="str">
            <v>ja</v>
          </cell>
          <cell r="C1211" t="str">
            <v>ケロケロけろっぴ</v>
          </cell>
          <cell r="D1211" t="str">
            <v>ケロケロけろっぴ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balance</v>
          </cell>
          <cell r="L1211" t="str">
            <v>バランスタイプ</v>
          </cell>
          <cell r="M1211" t="str">
            <v>ss</v>
          </cell>
        </row>
        <row r="1212">
          <cell r="A1212">
            <v>8063</v>
          </cell>
          <cell r="B1212" t="str">
            <v>ja</v>
          </cell>
          <cell r="C1212" t="str">
            <v>モルドレッド_ポムポムプリンコスプレ</v>
          </cell>
          <cell r="D1212" t="str">
            <v>モルドレッド_ポムポムプリンコスプレ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blue</v>
          </cell>
          <cell r="I1212">
            <v>5</v>
          </cell>
          <cell r="J1212" t="str">
            <v>PremiumSS</v>
          </cell>
          <cell r="K1212" t="str">
            <v>heal</v>
          </cell>
          <cell r="L1212" t="str">
            <v>回復タイプ</v>
          </cell>
          <cell r="M1212" t="str">
            <v>ss</v>
          </cell>
        </row>
        <row r="1213">
          <cell r="A1213">
            <v>8064</v>
          </cell>
          <cell r="B1213" t="str">
            <v>ja</v>
          </cell>
          <cell r="C1213" t="str">
            <v>モルドレッド_ポムポムプリンコスプレ</v>
          </cell>
          <cell r="D1213" t="str">
            <v>モルドレッド_ポムポムプリンコスプレ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blue</v>
          </cell>
          <cell r="I1213">
            <v>6</v>
          </cell>
          <cell r="J1213" t="str">
            <v>PremiumSS</v>
          </cell>
          <cell r="K1213" t="str">
            <v>heal</v>
          </cell>
          <cell r="L1213" t="str">
            <v>回復タイプ</v>
          </cell>
          <cell r="M1213" t="str">
            <v>ss</v>
          </cell>
        </row>
        <row r="1214">
          <cell r="A1214">
            <v>8065</v>
          </cell>
          <cell r="B1214" t="str">
            <v>ja</v>
          </cell>
          <cell r="C1214" t="str">
            <v>クロミ</v>
          </cell>
          <cell r="D1214" t="str">
            <v>クロミ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blue</v>
          </cell>
          <cell r="I1214">
            <v>3</v>
          </cell>
          <cell r="J1214" t="str">
            <v>PremiumS</v>
          </cell>
          <cell r="K1214" t="str">
            <v>technical</v>
          </cell>
          <cell r="L1214" t="str">
            <v>テクニカルタイプ</v>
          </cell>
          <cell r="M1214" t="str">
            <v>ss</v>
          </cell>
        </row>
        <row r="1215">
          <cell r="A1215">
            <v>8066</v>
          </cell>
          <cell r="B1215" t="str">
            <v>ja</v>
          </cell>
          <cell r="C1215" t="str">
            <v>クロミ</v>
          </cell>
          <cell r="D1215" t="str">
            <v>クロミ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blue</v>
          </cell>
          <cell r="I1215">
            <v>4</v>
          </cell>
          <cell r="J1215" t="str">
            <v>PremiumS</v>
          </cell>
          <cell r="K1215" t="str">
            <v>technical</v>
          </cell>
          <cell r="L1215" t="str">
            <v>テクニカルタイプ</v>
          </cell>
          <cell r="M1215" t="str">
            <v>ss</v>
          </cell>
        </row>
        <row r="1216">
          <cell r="A1216">
            <v>8067</v>
          </cell>
          <cell r="B1216" t="str">
            <v>ja</v>
          </cell>
          <cell r="C1216" t="str">
            <v>バッドばつ丸</v>
          </cell>
          <cell r="D1216" t="str">
            <v>バッドばつ丸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blue</v>
          </cell>
          <cell r="I1216">
            <v>3</v>
          </cell>
          <cell r="J1216" t="str">
            <v>PremiumS</v>
          </cell>
          <cell r="K1216" t="str">
            <v>attack</v>
          </cell>
          <cell r="L1216" t="str">
            <v>攻撃タイプ</v>
          </cell>
          <cell r="M1216" t="str">
            <v>ss</v>
          </cell>
        </row>
        <row r="1217">
          <cell r="A1217">
            <v>8068</v>
          </cell>
          <cell r="B1217" t="str">
            <v>ja</v>
          </cell>
          <cell r="C1217" t="str">
            <v>バッドばつ丸</v>
          </cell>
          <cell r="D1217" t="str">
            <v>バッドばつ丸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blue</v>
          </cell>
          <cell r="I1217">
            <v>4</v>
          </cell>
          <cell r="J1217" t="str">
            <v>PremiumS</v>
          </cell>
          <cell r="K1217" t="str">
            <v>attack</v>
          </cell>
          <cell r="L1217" t="str">
            <v>攻撃タイプ</v>
          </cell>
          <cell r="M1217" t="str">
            <v>ss</v>
          </cell>
        </row>
        <row r="1218">
          <cell r="A1218">
            <v>8069</v>
          </cell>
          <cell r="B1218" t="str">
            <v>ja</v>
          </cell>
          <cell r="C1218" t="str">
            <v>シナモロール</v>
          </cell>
          <cell r="D1218" t="str">
            <v>シナモロール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yellow</v>
          </cell>
          <cell r="I1218">
            <v>4</v>
          </cell>
          <cell r="J1218" t="str">
            <v>PremiumS</v>
          </cell>
          <cell r="K1218" t="str">
            <v>heal</v>
          </cell>
          <cell r="L1218" t="str">
            <v>回復タイプ</v>
          </cell>
          <cell r="M1218" t="str">
            <v>ss</v>
          </cell>
        </row>
        <row r="1219">
          <cell r="A1219">
            <v>8070</v>
          </cell>
          <cell r="B1219" t="str">
            <v>ja</v>
          </cell>
          <cell r="C1219" t="str">
            <v>シナモロール</v>
          </cell>
          <cell r="D1219" t="str">
            <v>シナモロール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yellow</v>
          </cell>
          <cell r="I1219">
            <v>5</v>
          </cell>
          <cell r="J1219" t="str">
            <v>PremiumS</v>
          </cell>
          <cell r="K1219" t="str">
            <v>heal</v>
          </cell>
          <cell r="L1219" t="str">
            <v>回復タイプ</v>
          </cell>
          <cell r="M1219" t="str">
            <v>ss</v>
          </cell>
        </row>
        <row r="1220">
          <cell r="A1220">
            <v>8071</v>
          </cell>
          <cell r="B1220" t="str">
            <v>ja</v>
          </cell>
          <cell r="C1220" t="str">
            <v>ポムポムプリン</v>
          </cell>
          <cell r="D1220" t="str">
            <v>ポムポムプリン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yellow</v>
          </cell>
          <cell r="I1220">
            <v>3</v>
          </cell>
          <cell r="J1220" t="str">
            <v>PremiumS</v>
          </cell>
          <cell r="K1220" t="str">
            <v>hp</v>
          </cell>
          <cell r="L1220" t="str">
            <v>体力タイプ</v>
          </cell>
          <cell r="M1220" t="str">
            <v>ss</v>
          </cell>
        </row>
        <row r="1221">
          <cell r="A1221">
            <v>8072</v>
          </cell>
          <cell r="B1221" t="str">
            <v>ja</v>
          </cell>
          <cell r="C1221" t="str">
            <v>ポムポムプリン</v>
          </cell>
          <cell r="D1221" t="str">
            <v>ポムポムプリン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yellow</v>
          </cell>
          <cell r="I1221">
            <v>4</v>
          </cell>
          <cell r="J1221" t="str">
            <v>PremiumS</v>
          </cell>
          <cell r="K1221" t="str">
            <v>hp</v>
          </cell>
          <cell r="L1221" t="str">
            <v>体力タイプ</v>
          </cell>
          <cell r="M1221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47"/>
  <sheetViews>
    <sheetView zoomScale="90" zoomScaleNormal="90" zoomScalePageLayoutView="90" workbookViewId="0">
      <selection activeCell="C33" sqref="C33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93" t="s">
        <v>111</v>
      </c>
      <c r="B1" s="94" t="s">
        <v>112</v>
      </c>
      <c r="C1" s="94"/>
      <c r="D1" s="94"/>
      <c r="E1" s="94"/>
      <c r="F1" s="94"/>
      <c r="G1" s="94"/>
      <c r="H1" s="95"/>
    </row>
    <row r="2" spans="1:13" x14ac:dyDescent="0.15">
      <c r="A2" s="96" t="s">
        <v>113</v>
      </c>
      <c r="B2" s="97" t="s">
        <v>114</v>
      </c>
      <c r="C2" s="97" t="s">
        <v>115</v>
      </c>
      <c r="D2" s="97" t="s">
        <v>116</v>
      </c>
      <c r="E2" s="97" t="s">
        <v>117</v>
      </c>
      <c r="F2" s="97" t="s">
        <v>118</v>
      </c>
      <c r="G2" s="97" t="s">
        <v>119</v>
      </c>
      <c r="H2" s="98"/>
    </row>
    <row r="3" spans="1:13" x14ac:dyDescent="0.15">
      <c r="A3" s="96">
        <v>3</v>
      </c>
      <c r="B3" s="99" t="s">
        <v>120</v>
      </c>
      <c r="C3" s="99" t="s">
        <v>121</v>
      </c>
      <c r="D3" s="97">
        <v>0</v>
      </c>
      <c r="E3" s="97">
        <v>0</v>
      </c>
      <c r="F3" s="97">
        <v>0</v>
      </c>
      <c r="G3" s="100">
        <v>0.5</v>
      </c>
      <c r="H3" s="98"/>
    </row>
    <row r="4" spans="1:13" x14ac:dyDescent="0.15">
      <c r="A4" s="96">
        <v>4</v>
      </c>
      <c r="B4" s="99" t="s">
        <v>122</v>
      </c>
      <c r="C4" s="99" t="s">
        <v>123</v>
      </c>
      <c r="D4" s="99" t="s">
        <v>124</v>
      </c>
      <c r="E4" s="101" t="s">
        <v>236</v>
      </c>
      <c r="F4" s="97">
        <v>0</v>
      </c>
      <c r="G4" s="100">
        <v>0.45</v>
      </c>
      <c r="H4" s="98"/>
      <c r="I4" s="91" t="s">
        <v>252</v>
      </c>
    </row>
    <row r="5" spans="1:13" x14ac:dyDescent="0.15">
      <c r="A5" s="96">
        <v>5</v>
      </c>
      <c r="B5" s="102">
        <v>0</v>
      </c>
      <c r="C5" s="99" t="s">
        <v>125</v>
      </c>
      <c r="D5" s="99" t="s">
        <v>126</v>
      </c>
      <c r="E5" s="101" t="s">
        <v>237</v>
      </c>
      <c r="F5" s="101" t="s">
        <v>238</v>
      </c>
      <c r="G5" s="100">
        <v>0.05</v>
      </c>
      <c r="H5" s="98"/>
    </row>
    <row r="6" spans="1:13" x14ac:dyDescent="0.15">
      <c r="A6" s="96"/>
      <c r="B6" s="100" t="s">
        <v>127</v>
      </c>
      <c r="C6" s="100" t="s">
        <v>127</v>
      </c>
      <c r="D6" s="103" t="s">
        <v>234</v>
      </c>
      <c r="E6" s="100" t="s">
        <v>127</v>
      </c>
      <c r="F6" s="104" t="s">
        <v>129</v>
      </c>
      <c r="G6" s="100">
        <v>1</v>
      </c>
      <c r="H6" s="98"/>
    </row>
    <row r="7" spans="1:13" x14ac:dyDescent="0.15">
      <c r="A7" s="96"/>
      <c r="B7" s="100"/>
      <c r="C7" s="100"/>
      <c r="D7" s="100"/>
      <c r="E7" s="100"/>
      <c r="F7" s="100"/>
      <c r="G7" s="104"/>
      <c r="H7" s="105"/>
    </row>
    <row r="8" spans="1:13" x14ac:dyDescent="0.15">
      <c r="A8" s="96" t="s">
        <v>130</v>
      </c>
      <c r="B8" s="100"/>
      <c r="C8" s="100"/>
      <c r="D8" s="100"/>
      <c r="E8" s="100"/>
      <c r="F8" s="100"/>
      <c r="G8" s="104"/>
      <c r="H8" s="105"/>
    </row>
    <row r="9" spans="1:13" x14ac:dyDescent="0.15">
      <c r="A9" s="96" t="s">
        <v>131</v>
      </c>
      <c r="B9" s="100"/>
      <c r="C9" s="100"/>
      <c r="D9" s="100"/>
      <c r="E9" s="100"/>
      <c r="F9" s="100"/>
      <c r="G9" s="104"/>
      <c r="H9" s="105"/>
    </row>
    <row r="10" spans="1:13" x14ac:dyDescent="0.15">
      <c r="A10" s="96" t="s">
        <v>132</v>
      </c>
      <c r="B10" s="100"/>
      <c r="C10" s="100"/>
      <c r="D10" s="100"/>
      <c r="E10" s="100"/>
      <c r="F10" s="100"/>
      <c r="G10" s="104"/>
      <c r="H10" s="105"/>
    </row>
    <row r="11" spans="1:13" x14ac:dyDescent="0.15">
      <c r="A11" s="96" t="s">
        <v>133</v>
      </c>
      <c r="B11" s="100"/>
      <c r="C11" s="100"/>
      <c r="D11" s="100"/>
      <c r="E11" s="100"/>
      <c r="F11" s="100"/>
      <c r="G11" s="104"/>
      <c r="H11" s="105"/>
    </row>
    <row r="12" spans="1:13" x14ac:dyDescent="0.15">
      <c r="A12" s="106" t="s">
        <v>241</v>
      </c>
      <c r="B12" s="100" t="s">
        <v>134</v>
      </c>
      <c r="C12" s="100" t="s">
        <v>135</v>
      </c>
      <c r="D12" s="100"/>
      <c r="E12" s="100"/>
      <c r="F12" s="100"/>
      <c r="G12" s="104"/>
      <c r="H12" s="105"/>
    </row>
    <row r="13" spans="1:13" x14ac:dyDescent="0.15">
      <c r="A13" s="106" t="s">
        <v>242</v>
      </c>
      <c r="B13" s="97" t="s">
        <v>136</v>
      </c>
      <c r="C13" s="97" t="s">
        <v>137</v>
      </c>
      <c r="D13" s="97"/>
      <c r="E13" s="97"/>
      <c r="F13" s="97"/>
      <c r="G13" s="97"/>
      <c r="H13" s="98"/>
    </row>
    <row r="14" spans="1:13" x14ac:dyDescent="0.15">
      <c r="A14" s="106" t="s">
        <v>243</v>
      </c>
      <c r="B14" s="97" t="s">
        <v>134</v>
      </c>
      <c r="C14" s="102" t="s">
        <v>138</v>
      </c>
      <c r="D14" s="97"/>
      <c r="E14" s="102"/>
      <c r="F14" s="102"/>
      <c r="G14" s="97"/>
      <c r="H14" s="98"/>
      <c r="M14" s="65"/>
    </row>
    <row r="15" spans="1:13" x14ac:dyDescent="0.15">
      <c r="A15" s="96"/>
      <c r="B15" s="100"/>
      <c r="C15" s="100"/>
      <c r="D15" s="97"/>
      <c r="E15" s="97"/>
      <c r="F15" s="97"/>
      <c r="G15" s="97"/>
      <c r="H15" s="98"/>
    </row>
    <row r="16" spans="1:13" x14ac:dyDescent="0.15">
      <c r="A16" s="96" t="s">
        <v>139</v>
      </c>
      <c r="B16" s="97"/>
      <c r="C16" s="97"/>
      <c r="D16" s="97"/>
      <c r="E16" s="97"/>
      <c r="F16" s="97"/>
      <c r="G16" s="97"/>
      <c r="H16" s="98"/>
    </row>
    <row r="17" spans="1:8" x14ac:dyDescent="0.15">
      <c r="A17" s="106" t="s">
        <v>235</v>
      </c>
      <c r="B17" s="100"/>
      <c r="C17" s="100"/>
      <c r="D17" s="97"/>
      <c r="E17" s="97"/>
      <c r="F17" s="97"/>
      <c r="G17" s="97"/>
      <c r="H17" s="98"/>
    </row>
    <row r="18" spans="1:8" x14ac:dyDescent="0.15">
      <c r="A18" s="106" t="s">
        <v>239</v>
      </c>
      <c r="B18" s="100" t="s">
        <v>140</v>
      </c>
      <c r="C18" s="103" t="s">
        <v>232</v>
      </c>
      <c r="D18" s="97" t="s">
        <v>141</v>
      </c>
      <c r="E18" s="97"/>
      <c r="F18" s="97"/>
      <c r="G18" s="97"/>
      <c r="H18" s="98"/>
    </row>
    <row r="19" spans="1:8" x14ac:dyDescent="0.15">
      <c r="A19" s="96" t="s">
        <v>142</v>
      </c>
      <c r="B19" s="100" t="s">
        <v>134</v>
      </c>
      <c r="C19" s="103" t="s">
        <v>240</v>
      </c>
      <c r="D19" s="97" t="s">
        <v>143</v>
      </c>
      <c r="E19" s="97"/>
      <c r="F19" s="97"/>
      <c r="G19" s="97"/>
      <c r="H19" s="98"/>
    </row>
    <row r="20" spans="1:8" x14ac:dyDescent="0.15">
      <c r="A20" s="106" t="s">
        <v>244</v>
      </c>
      <c r="B20" s="100" t="s">
        <v>134</v>
      </c>
      <c r="C20" s="107" t="s">
        <v>245</v>
      </c>
      <c r="D20" s="97" t="s">
        <v>144</v>
      </c>
      <c r="E20" s="97"/>
      <c r="F20" s="97"/>
      <c r="G20" s="97"/>
      <c r="H20" s="98"/>
    </row>
    <row r="21" spans="1:8" x14ac:dyDescent="0.15">
      <c r="A21" s="96" t="s">
        <v>145</v>
      </c>
      <c r="B21" s="100" t="s">
        <v>134</v>
      </c>
      <c r="C21" s="103" t="s">
        <v>233</v>
      </c>
      <c r="D21" s="97" t="s">
        <v>146</v>
      </c>
      <c r="E21" s="97"/>
      <c r="F21" s="97"/>
      <c r="G21" s="97"/>
      <c r="H21" s="98"/>
    </row>
    <row r="22" spans="1:8" x14ac:dyDescent="0.15">
      <c r="A22" s="96" t="s">
        <v>147</v>
      </c>
      <c r="B22" s="100" t="s">
        <v>134</v>
      </c>
      <c r="C22" s="100" t="s">
        <v>148</v>
      </c>
      <c r="D22" s="97" t="s">
        <v>149</v>
      </c>
      <c r="E22" s="97"/>
      <c r="F22" s="97"/>
      <c r="G22" s="97"/>
      <c r="H22" s="98"/>
    </row>
    <row r="23" spans="1:8" x14ac:dyDescent="0.15">
      <c r="A23" s="96" t="s">
        <v>150</v>
      </c>
      <c r="B23" s="100" t="s">
        <v>134</v>
      </c>
      <c r="C23" s="100" t="s">
        <v>151</v>
      </c>
      <c r="D23" s="97" t="s">
        <v>152</v>
      </c>
      <c r="E23" s="97"/>
      <c r="F23" s="97"/>
      <c r="G23" s="97"/>
      <c r="H23" s="98"/>
    </row>
    <row r="24" spans="1:8" x14ac:dyDescent="0.15">
      <c r="A24" s="106" t="s">
        <v>247</v>
      </c>
      <c r="B24" s="100" t="s">
        <v>134</v>
      </c>
      <c r="C24" s="100" t="s">
        <v>128</v>
      </c>
      <c r="D24" s="107" t="s">
        <v>246</v>
      </c>
      <c r="E24" s="97" t="s">
        <v>153</v>
      </c>
      <c r="F24" s="97"/>
      <c r="G24" s="97"/>
      <c r="H24" s="98"/>
    </row>
    <row r="25" spans="1:8" x14ac:dyDescent="0.15">
      <c r="A25" s="96" t="s">
        <v>121</v>
      </c>
      <c r="B25" s="100" t="s">
        <v>134</v>
      </c>
      <c r="C25" s="100" t="s">
        <v>154</v>
      </c>
      <c r="D25" s="97"/>
      <c r="E25" s="97" t="s">
        <v>155</v>
      </c>
      <c r="F25" s="97"/>
      <c r="G25" s="97"/>
      <c r="H25" s="98"/>
    </row>
    <row r="26" spans="1:8" x14ac:dyDescent="0.15">
      <c r="A26" s="96" t="s">
        <v>123</v>
      </c>
      <c r="B26" s="100" t="s">
        <v>134</v>
      </c>
      <c r="C26" s="100" t="s">
        <v>156</v>
      </c>
      <c r="D26" s="97"/>
      <c r="E26" s="97"/>
      <c r="F26" s="97"/>
      <c r="G26" s="97"/>
      <c r="H26" s="98"/>
    </row>
    <row r="27" spans="1:8" x14ac:dyDescent="0.15">
      <c r="A27" s="96"/>
      <c r="B27" s="100"/>
      <c r="C27" s="97"/>
      <c r="D27" s="97"/>
      <c r="E27" s="97"/>
      <c r="F27" s="97"/>
      <c r="G27" s="97"/>
      <c r="H27" s="98"/>
    </row>
    <row r="28" spans="1:8" x14ac:dyDescent="0.15">
      <c r="A28" s="96" t="s">
        <v>157</v>
      </c>
      <c r="B28" s="97"/>
      <c r="C28" s="97"/>
      <c r="D28" s="97"/>
      <c r="E28" s="97"/>
      <c r="F28" s="97"/>
      <c r="G28" s="97"/>
      <c r="H28" s="98"/>
    </row>
    <row r="29" spans="1:8" x14ac:dyDescent="0.15">
      <c r="A29" s="96" t="s">
        <v>158</v>
      </c>
      <c r="B29" s="100" t="s">
        <v>134</v>
      </c>
      <c r="C29" s="100" t="s">
        <v>159</v>
      </c>
      <c r="D29" s="97"/>
      <c r="E29" s="97"/>
      <c r="F29" s="97"/>
      <c r="G29" s="97"/>
      <c r="H29" s="98"/>
    </row>
    <row r="30" spans="1:8" x14ac:dyDescent="0.15">
      <c r="A30" s="96" t="s">
        <v>123</v>
      </c>
      <c r="B30" s="100" t="s">
        <v>134</v>
      </c>
      <c r="C30" s="100" t="s">
        <v>160</v>
      </c>
      <c r="D30" s="97"/>
      <c r="E30" s="97"/>
      <c r="F30" s="97"/>
      <c r="G30" s="97"/>
      <c r="H30" s="98"/>
    </row>
    <row r="31" spans="1:8" x14ac:dyDescent="0.15">
      <c r="A31" s="96" t="s">
        <v>121</v>
      </c>
      <c r="B31" s="100" t="s">
        <v>134</v>
      </c>
      <c r="C31" s="100" t="s">
        <v>161</v>
      </c>
      <c r="D31" s="97"/>
      <c r="E31" s="97"/>
      <c r="F31" s="97"/>
      <c r="G31" s="97"/>
      <c r="H31" s="98"/>
    </row>
    <row r="32" spans="1:8" x14ac:dyDescent="0.15">
      <c r="A32" s="96" t="s">
        <v>120</v>
      </c>
      <c r="B32" s="100" t="s">
        <v>134</v>
      </c>
      <c r="C32" s="103" t="s">
        <v>248</v>
      </c>
      <c r="D32" s="108" t="s">
        <v>249</v>
      </c>
      <c r="E32" s="107" t="s">
        <v>250</v>
      </c>
      <c r="F32" s="97"/>
      <c r="G32" s="97"/>
      <c r="H32" s="98"/>
    </row>
    <row r="33" spans="1:13" x14ac:dyDescent="0.15">
      <c r="A33" s="96" t="s">
        <v>122</v>
      </c>
      <c r="B33" s="100" t="s">
        <v>134</v>
      </c>
      <c r="C33" s="100" t="s">
        <v>162</v>
      </c>
      <c r="D33" s="108"/>
      <c r="E33" s="97"/>
      <c r="F33" s="97"/>
      <c r="G33" s="97"/>
      <c r="H33" s="98"/>
    </row>
    <row r="34" spans="1:13" x14ac:dyDescent="0.15">
      <c r="A34" s="96" t="s">
        <v>126</v>
      </c>
      <c r="B34" s="100" t="s">
        <v>134</v>
      </c>
      <c r="C34" s="103" t="s">
        <v>251</v>
      </c>
      <c r="D34" s="97"/>
      <c r="E34" s="97"/>
      <c r="F34" s="97"/>
      <c r="G34" s="97"/>
      <c r="H34" s="98"/>
    </row>
    <row r="35" spans="1:13" x14ac:dyDescent="0.15">
      <c r="A35" s="96" t="s">
        <v>124</v>
      </c>
      <c r="B35" s="100" t="s">
        <v>134</v>
      </c>
      <c r="C35" s="100" t="s">
        <v>163</v>
      </c>
      <c r="D35" s="97"/>
      <c r="E35" s="97"/>
      <c r="F35" s="97"/>
      <c r="G35" s="97"/>
      <c r="H35" s="98"/>
    </row>
    <row r="36" spans="1:13" x14ac:dyDescent="0.15">
      <c r="A36" s="109"/>
      <c r="B36" s="110"/>
      <c r="C36" s="111"/>
      <c r="D36" s="111"/>
      <c r="E36" s="111"/>
      <c r="F36" s="111"/>
      <c r="G36" s="111"/>
      <c r="H36" s="112"/>
    </row>
    <row r="37" spans="1:13" x14ac:dyDescent="0.15">
      <c r="A37" s="91"/>
      <c r="B37" s="65"/>
      <c r="J37" s="80" t="s">
        <v>191</v>
      </c>
      <c r="K37" s="80" t="s">
        <v>166</v>
      </c>
      <c r="M37" s="92"/>
    </row>
    <row r="38" spans="1:13" x14ac:dyDescent="0.15">
      <c r="A38" s="91"/>
      <c r="B38" s="65"/>
      <c r="J38" s="80" t="s">
        <v>192</v>
      </c>
      <c r="K38" s="80" t="s">
        <v>193</v>
      </c>
      <c r="M38" s="65"/>
    </row>
    <row r="39" spans="1:13" x14ac:dyDescent="0.15">
      <c r="J39" s="80" t="s">
        <v>194</v>
      </c>
      <c r="K39" s="80" t="s">
        <v>195</v>
      </c>
    </row>
    <row r="40" spans="1:13" x14ac:dyDescent="0.15">
      <c r="J40" s="80" t="s">
        <v>196</v>
      </c>
      <c r="K40" s="80" t="s">
        <v>197</v>
      </c>
    </row>
    <row r="41" spans="1:13" x14ac:dyDescent="0.15">
      <c r="J41" s="80" t="s">
        <v>198</v>
      </c>
      <c r="K41" s="80" t="s">
        <v>199</v>
      </c>
    </row>
    <row r="42" spans="1:13" x14ac:dyDescent="0.15">
      <c r="J42" s="80" t="s">
        <v>200</v>
      </c>
      <c r="K42" s="80" t="s">
        <v>201</v>
      </c>
    </row>
    <row r="43" spans="1:13" x14ac:dyDescent="0.15">
      <c r="J43" s="80" t="s">
        <v>202</v>
      </c>
      <c r="K43" s="80" t="s">
        <v>203</v>
      </c>
    </row>
    <row r="44" spans="1:13" x14ac:dyDescent="0.15">
      <c r="J44" s="80" t="s">
        <v>204</v>
      </c>
      <c r="K44" s="80" t="s">
        <v>205</v>
      </c>
    </row>
    <row r="45" spans="1:13" x14ac:dyDescent="0.15">
      <c r="J45" s="80" t="s">
        <v>207</v>
      </c>
      <c r="K45" s="80" t="s">
        <v>206</v>
      </c>
    </row>
    <row r="46" spans="1:13" x14ac:dyDescent="0.15">
      <c r="J46" s="80" t="s">
        <v>208</v>
      </c>
      <c r="K46" s="80" t="s">
        <v>209</v>
      </c>
    </row>
    <row r="47" spans="1:13" x14ac:dyDescent="0.15">
      <c r="J47" s="80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E16" sqref="E16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230</v>
      </c>
      <c r="B2" s="61" t="s">
        <v>110</v>
      </c>
      <c r="C2" s="50" t="str">
        <f t="shared" ref="C2" si="0">RIGHT(F2,6)</f>
        <v>393100</v>
      </c>
      <c r="D2" s="19" t="s">
        <v>45</v>
      </c>
      <c r="E2" s="17" t="str">
        <f t="shared" ref="E2" si="1">B2&amp;C2&amp;D2</f>
        <v>gacha_select_tables_393100.tmp</v>
      </c>
      <c r="F2" s="114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231</v>
      </c>
      <c r="B3" s="61" t="s">
        <v>110</v>
      </c>
      <c r="C3" s="50" t="str">
        <f t="shared" ref="C3:C7" si="2">RIGHT(F3,6)</f>
        <v>378010</v>
      </c>
      <c r="D3" s="19" t="s">
        <v>45</v>
      </c>
      <c r="E3" s="17" t="str">
        <f t="shared" ref="E3:E10" si="3">B3&amp;C3&amp;D3</f>
        <v>gacha_select_tables_378010.tmp</v>
      </c>
      <c r="F3" s="89" t="s">
        <v>229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0" t="s">
        <v>230</v>
      </c>
      <c r="B4" s="73" t="s">
        <v>189</v>
      </c>
      <c r="C4" s="50" t="str">
        <f t="shared" si="2"/>
        <v>393100</v>
      </c>
      <c r="D4" s="19" t="s">
        <v>45</v>
      </c>
      <c r="E4" s="17" t="str">
        <f t="shared" ref="E4:E7" si="4">B4&amp;C4&amp;D4</f>
        <v>gacha_settle_tables_393100.tmp</v>
      </c>
      <c r="F4" s="114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223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si="4"/>
        <v>gacha_select_tables_363104.tmp</v>
      </c>
      <c r="F5" s="88" t="s">
        <v>225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223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8" t="s">
        <v>226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223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8" t="s">
        <v>227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5" t="s">
        <v>223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5" t="s">
        <v>223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5" t="s">
        <v>223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L11" sqref="L1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393010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166</v>
      </c>
      <c r="V2" s="54">
        <f t="shared" ref="V2:V16" si="0">SUMIF(Q:Q,U2,N:N)</f>
        <v>0</v>
      </c>
    </row>
    <row r="3" spans="1:22" x14ac:dyDescent="0.15">
      <c r="H3" s="69" t="s">
        <v>187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VLOOKUP(L3,tables_393010!B:C,2,FALSE)</f>
        <v>#N/A</v>
      </c>
      <c r="R3" s="62">
        <f t="shared" ref="R3:R20" si="1">N3*A$36</f>
        <v>0</v>
      </c>
      <c r="S3">
        <v>190</v>
      </c>
      <c r="U3" s="33" t="s">
        <v>167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176</v>
      </c>
      <c r="F4" t="s">
        <v>179</v>
      </c>
      <c r="H4" t="s">
        <v>185</v>
      </c>
      <c r="I4" t="s">
        <v>186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VLOOKUP(L4,tables_393010!B:C,2,FALSE)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68">
        <f>50%</f>
        <v>0.5</v>
      </c>
      <c r="D5" t="s">
        <v>177</v>
      </c>
      <c r="E5" s="43">
        <f>(B11-H5)/(F5-I5)</f>
        <v>1.2820512820512821E-3</v>
      </c>
      <c r="F5">
        <f>(COUNTIF(tables_393010!C:C,input_393010!A28)+COUNTIF(tables_393010!C:C,input_393010!A29))</f>
        <v>39</v>
      </c>
      <c r="H5" s="81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VLOOKUP(L5,tables_393010!B:C,2,FALSE)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68">
        <f>1-B5-B7</f>
        <v>0.45</v>
      </c>
      <c r="D6" t="s">
        <v>178</v>
      </c>
      <c r="E6" s="72">
        <f>(B10-H6)/(F6-I6)</f>
        <v>1.1176470588235293E-2</v>
      </c>
      <c r="F6">
        <f>(COUNTIF(tables_393010!C:C,input_393010!A25)+COUNTIF(tables_393010!C:C,input_393010!A18)+COUNTIF(tables_393010!C:C,input_393010!A20)+COUNTIF(tables_393010!C:C,input_393010!A22))</f>
        <v>85</v>
      </c>
      <c r="H6" s="87">
        <v>0</v>
      </c>
      <c r="I6" s="31">
        <v>0</v>
      </c>
      <c r="L6" s="60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VLOOKUP(L6,tables_393010!B:C,2,FALSE)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68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VLOOKUP(L7,tables_393010!B:C,2,FALSE)</f>
        <v>#N/A</v>
      </c>
      <c r="R7" s="62">
        <f t="shared" si="1"/>
        <v>0</v>
      </c>
      <c r="S7">
        <v>597</v>
      </c>
      <c r="U7" s="33" t="s">
        <v>172</v>
      </c>
      <c r="V7" s="54">
        <f t="shared" si="0"/>
        <v>0</v>
      </c>
    </row>
    <row r="8" spans="1:22" x14ac:dyDescent="0.15">
      <c r="A8" s="57"/>
      <c r="B8" s="67"/>
      <c r="E8" s="72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VLOOKUP(L8,tables_393010!B:C,2,FALSE)</f>
        <v>#N/A</v>
      </c>
      <c r="R8" s="62">
        <f t="shared" si="1"/>
        <v>0</v>
      </c>
      <c r="S8">
        <v>598</v>
      </c>
      <c r="U8" s="33" t="s">
        <v>173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VLOOKUP(L9,tables_393010!B:C,2,FALSE)</f>
        <v>#N/A</v>
      </c>
      <c r="R9" s="62">
        <f t="shared" si="1"/>
        <v>0</v>
      </c>
      <c r="S9">
        <v>390</v>
      </c>
      <c r="U9" s="33" t="s">
        <v>169</v>
      </c>
      <c r="V9" s="54">
        <f t="shared" si="0"/>
        <v>0</v>
      </c>
    </row>
    <row r="10" spans="1:22" x14ac:dyDescent="0.15">
      <c r="A10" s="33" t="s">
        <v>96</v>
      </c>
      <c r="B10" s="68">
        <f>1-B11-B12</f>
        <v>0.95</v>
      </c>
      <c r="C10" t="s">
        <v>184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VLOOKUP(L10,tables_393010!B:C,2,FALSE)</f>
        <v>#N/A</v>
      </c>
      <c r="R10" s="62">
        <f t="shared" si="1"/>
        <v>0</v>
      </c>
      <c r="S10">
        <v>391</v>
      </c>
      <c r="U10" s="33" t="s">
        <v>170</v>
      </c>
      <c r="V10" s="54">
        <f t="shared" si="0"/>
        <v>0</v>
      </c>
    </row>
    <row r="11" spans="1:22" x14ac:dyDescent="0.15">
      <c r="A11" s="33" t="s">
        <v>56</v>
      </c>
      <c r="B11" s="74">
        <v>0.05</v>
      </c>
      <c r="C11" t="s">
        <v>224</v>
      </c>
      <c r="L11" s="86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VLOOKUP(L11,tables_393010!B:C,2,FALSE)</f>
        <v>#N/A</v>
      </c>
      <c r="R11" s="62">
        <f t="shared" si="1"/>
        <v>0</v>
      </c>
      <c r="S11">
        <v>811</v>
      </c>
      <c r="U11" s="33" t="s">
        <v>171</v>
      </c>
      <c r="V11" s="54">
        <f t="shared" si="0"/>
        <v>0</v>
      </c>
    </row>
    <row r="12" spans="1:22" x14ac:dyDescent="0.15">
      <c r="A12" s="33" t="s">
        <v>55</v>
      </c>
      <c r="B12" s="68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VLOOKUP(L12,tables_393010!B:C,2,FALSE)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VLOOKUP(L13,tables_393010!B:C,2,FALSE)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VLOOKUP(L14,tables_393010!B:C,2,FALSE)</f>
        <v>#N/A</v>
      </c>
      <c r="R14" s="62">
        <f t="shared" si="1"/>
        <v>0</v>
      </c>
      <c r="S14">
        <v>498</v>
      </c>
      <c r="U14" s="33" t="s">
        <v>175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VLOOKUP(L15,tables_393010!B:C,2,FALSE)</f>
        <v>#N/A</v>
      </c>
      <c r="R15" s="62">
        <f t="shared" si="1"/>
        <v>0</v>
      </c>
      <c r="S15">
        <v>395</v>
      </c>
      <c r="U15" s="33" t="s">
        <v>174</v>
      </c>
      <c r="V15" s="54">
        <f t="shared" si="0"/>
        <v>0</v>
      </c>
    </row>
    <row r="16" spans="1:22" x14ac:dyDescent="0.15">
      <c r="A16" s="33" t="s">
        <v>60</v>
      </c>
      <c r="B16" s="33" t="s">
        <v>168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188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VLOOKUP(L16,tables_393010!B:C,2,FALSE)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166</v>
      </c>
      <c r="B17" s="79">
        <f>B$5-B19-B24</f>
        <v>0.18705882352941183</v>
      </c>
      <c r="C17" s="82">
        <f t="shared" ref="C17:C31" si="2">SUMIF(Q:Q,A17,N:N)</f>
        <v>0</v>
      </c>
      <c r="D17" s="70">
        <f t="shared" ref="D17:D32" si="3">B17-C17</f>
        <v>0.18705882352941183</v>
      </c>
      <c r="E17">
        <f>COUNTIF(tables_393010!C:C,input_393010!A17)-COUNTIF(Q:Q,A17)</f>
        <v>20</v>
      </c>
      <c r="F17" s="43">
        <f>IFERROR(B17/E17,0)</f>
        <v>9.3529411764705916E-3</v>
      </c>
      <c r="G17">
        <f t="shared" ref="G17:G31" si="4">A$36*B17</f>
        <v>2480400.0000000009</v>
      </c>
      <c r="H17">
        <f t="shared" ref="H17:H31" si="5">IFERROR(ROUND(G17/E17,5),0)</f>
        <v>124020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VLOOKUP(L17,tables_393010!B:C,2,FALSE)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167</v>
      </c>
      <c r="B18" s="56">
        <f>E$6*E18-B17</f>
        <v>3.6470588235294032E-2</v>
      </c>
      <c r="C18" s="82">
        <f t="shared" si="2"/>
        <v>0</v>
      </c>
      <c r="D18" s="70">
        <f t="shared" si="3"/>
        <v>3.6470588235294032E-2</v>
      </c>
      <c r="E18">
        <f>COUNTIF(tables_393010!C:C,input_393010!A18)-COUNTIF(Q:Q,A18)</f>
        <v>20</v>
      </c>
      <c r="F18" s="43">
        <f>IFERROR(B18/E18,0)</f>
        <v>1.8235294117647017E-3</v>
      </c>
      <c r="G18">
        <f t="shared" si="4"/>
        <v>483599.99999999889</v>
      </c>
      <c r="H18">
        <f t="shared" si="5"/>
        <v>24180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VLOOKUP(L18,tables_393010!B:C,2,FALSE)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0.29058823529411759</v>
      </c>
      <c r="C19" s="82">
        <f t="shared" si="2"/>
        <v>0</v>
      </c>
      <c r="D19" s="70">
        <f t="shared" si="3"/>
        <v>0.29058823529411759</v>
      </c>
      <c r="E19">
        <f>COUNTIF(tables_393010!C:C,input_393010!A19)-COUNTIF(Q:Q,A19)</f>
        <v>52</v>
      </c>
      <c r="F19" s="43">
        <f t="shared" ref="F19:F31" si="8">IFERROR(B19/E19,0)</f>
        <v>5.5882352941176456E-3</v>
      </c>
      <c r="G19">
        <f t="shared" si="4"/>
        <v>3853199.9999999991</v>
      </c>
      <c r="H19">
        <f t="shared" si="5"/>
        <v>74100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VLOOKUP(L19,tables_393010!B:C,2,FALSE)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0.26152941176470584</v>
      </c>
      <c r="C20" s="82">
        <f t="shared" si="2"/>
        <v>0</v>
      </c>
      <c r="D20" s="70">
        <f t="shared" si="3"/>
        <v>0.26152941176470584</v>
      </c>
      <c r="E20">
        <f>COUNTIF(tables_393010!C:C,input_393010!A20)-COUNTIF(Q:Q,A20)</f>
        <v>52</v>
      </c>
      <c r="F20" s="43">
        <f t="shared" si="8"/>
        <v>5.0294117647058812E-3</v>
      </c>
      <c r="G20">
        <f t="shared" si="4"/>
        <v>3467879.9999999995</v>
      </c>
      <c r="H20">
        <f t="shared" si="5"/>
        <v>66690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VLOOKUP(L20,tables_393010!B:C,2,FALSE)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2.9058823529411762E-2</v>
      </c>
      <c r="C21" s="82">
        <f t="shared" si="2"/>
        <v>0</v>
      </c>
      <c r="D21" s="70">
        <f t="shared" si="3"/>
        <v>2.9058823529411762E-2</v>
      </c>
      <c r="E21">
        <f>COUNTIF(tables_393010!C:C,input_393010!A21)-COUNTIF(Q:Q,A21)</f>
        <v>52</v>
      </c>
      <c r="F21" s="43">
        <f t="shared" si="8"/>
        <v>5.588235294117646E-4</v>
      </c>
      <c r="G21">
        <f t="shared" si="4"/>
        <v>385319.99999999994</v>
      </c>
      <c r="H21">
        <f t="shared" si="5"/>
        <v>7410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172</v>
      </c>
      <c r="B22" s="71">
        <f>E$6*E22-B23</f>
        <v>9.7779788838612353E-2</v>
      </c>
      <c r="C22" s="82">
        <f t="shared" si="2"/>
        <v>0</v>
      </c>
      <c r="D22" s="70">
        <f t="shared" si="3"/>
        <v>9.7779788838612353E-2</v>
      </c>
      <c r="E22">
        <f>COUNTIF(tables_393010!C:C,input_393010!A22)-COUNTIF(Q:Q,A22)</f>
        <v>9</v>
      </c>
      <c r="F22" s="43">
        <f t="shared" si="8"/>
        <v>1.0864420982068039E-2</v>
      </c>
      <c r="G22">
        <f t="shared" si="4"/>
        <v>1296559.9999999998</v>
      </c>
      <c r="H22">
        <f t="shared" si="5"/>
        <v>144062.22222</v>
      </c>
      <c r="I22">
        <f t="shared" si="6"/>
        <v>0.22221999999601394</v>
      </c>
      <c r="J22">
        <f t="shared" si="7"/>
        <v>4.500045000530724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173</v>
      </c>
      <c r="B23" s="66">
        <f>B$7-B26-B28-B29-B21</f>
        <v>2.8084464555052854E-3</v>
      </c>
      <c r="C23" s="82">
        <f t="shared" si="2"/>
        <v>0</v>
      </c>
      <c r="D23" s="70">
        <f t="shared" si="3"/>
        <v>2.8084464555052854E-3</v>
      </c>
      <c r="E23">
        <f>COUNTIF(tables_393010!C:C,input_393010!A23)-COUNTIF(Q:Q,A23)</f>
        <v>9</v>
      </c>
      <c r="F23" s="43">
        <f t="shared" si="8"/>
        <v>3.1204960616725393E-4</v>
      </c>
      <c r="G23">
        <f t="shared" si="4"/>
        <v>37240.000000000087</v>
      </c>
      <c r="H23">
        <f t="shared" si="5"/>
        <v>4137.7777800000003</v>
      </c>
      <c r="I23">
        <f t="shared" si="6"/>
        <v>0.77778000000034808</v>
      </c>
      <c r="J23">
        <f t="shared" si="7"/>
        <v>1.2857106122548181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169</v>
      </c>
      <c r="B24" s="56">
        <f>E$6*E24*B$5</f>
        <v>2.2352941176470586E-2</v>
      </c>
      <c r="C24" s="82">
        <f t="shared" si="2"/>
        <v>0</v>
      </c>
      <c r="D24" s="70">
        <f t="shared" si="3"/>
        <v>2.2352941176470586E-2</v>
      </c>
      <c r="E24">
        <f>COUNTIF(tables_393010!C:C,input_393010!A24)-COUNTIF(Q:Q,A24)</f>
        <v>4</v>
      </c>
      <c r="F24" s="43">
        <f t="shared" si="8"/>
        <v>5.5882352941176465E-3</v>
      </c>
      <c r="G24">
        <f t="shared" si="4"/>
        <v>296399.99999999994</v>
      </c>
      <c r="H24">
        <f t="shared" si="5"/>
        <v>74100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170</v>
      </c>
      <c r="B25" s="56">
        <f>E$6*B$6*E25</f>
        <v>2.0117647058823528E-2</v>
      </c>
      <c r="C25" s="82">
        <f t="shared" si="2"/>
        <v>0</v>
      </c>
      <c r="D25" s="70">
        <f t="shared" si="3"/>
        <v>2.0117647058823528E-2</v>
      </c>
      <c r="E25">
        <f>COUNTIF(tables_393010!C:C,input_393010!A25)-COUNTIF(Q:Q,A25)</f>
        <v>4</v>
      </c>
      <c r="F25" s="43">
        <f t="shared" si="8"/>
        <v>5.0294117647058821E-3</v>
      </c>
      <c r="G25">
        <f t="shared" si="4"/>
        <v>266760</v>
      </c>
      <c r="H25">
        <f t="shared" si="5"/>
        <v>66690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171</v>
      </c>
      <c r="B26" s="56">
        <f>E$6*B$7*E26</f>
        <v>2.2352941176470588E-3</v>
      </c>
      <c r="C26" s="82">
        <f t="shared" si="2"/>
        <v>0</v>
      </c>
      <c r="D26" s="70">
        <f t="shared" si="3"/>
        <v>2.2352941176470588E-3</v>
      </c>
      <c r="E26">
        <f>COUNTIF(tables_393010!C:C,input_393010!A26)-COUNTIF(Q:Q,A26)</f>
        <v>4</v>
      </c>
      <c r="F26" s="43">
        <f t="shared" si="8"/>
        <v>5.5882352941176471E-4</v>
      </c>
      <c r="G26">
        <f t="shared" si="4"/>
        <v>29640</v>
      </c>
      <c r="H26">
        <f t="shared" si="5"/>
        <v>7410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3.4102564102564098E-2</v>
      </c>
      <c r="C27" s="82">
        <f t="shared" si="2"/>
        <v>0</v>
      </c>
      <c r="D27" s="70">
        <f t="shared" si="3"/>
        <v>3.4102564102564098E-2</v>
      </c>
      <c r="E27">
        <f>COUNTIF(tables_393010!C:C,input_393010!A27)-COUNTIF(Q:Q,A27)</f>
        <v>28</v>
      </c>
      <c r="F27" s="43">
        <f>IFERROR(B27/E27,0)</f>
        <v>1.2179487179487178E-3</v>
      </c>
      <c r="G27">
        <f t="shared" si="4"/>
        <v>452199.99999999994</v>
      </c>
      <c r="H27">
        <f t="shared" si="5"/>
        <v>16150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1.7948717948717949E-3</v>
      </c>
      <c r="C28" s="82">
        <f t="shared" si="2"/>
        <v>0</v>
      </c>
      <c r="D28" s="70">
        <f t="shared" si="3"/>
        <v>1.7948717948717949E-3</v>
      </c>
      <c r="E28">
        <f>COUNTIF(tables_393010!C:C,input_393010!A28)-COUNTIF(Q:Q,A28)</f>
        <v>28</v>
      </c>
      <c r="F28" s="43">
        <f t="shared" si="8"/>
        <v>6.4102564102564103E-5</v>
      </c>
      <c r="G28">
        <f t="shared" si="4"/>
        <v>23800</v>
      </c>
      <c r="H28">
        <f t="shared" si="5"/>
        <v>850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175</v>
      </c>
      <c r="B29" s="56">
        <f>E$5*E29</f>
        <v>1.4102564102564103E-2</v>
      </c>
      <c r="C29" s="82">
        <f t="shared" si="2"/>
        <v>0</v>
      </c>
      <c r="D29" s="70">
        <f t="shared" si="3"/>
        <v>1.4102564102564103E-2</v>
      </c>
      <c r="E29">
        <f>COUNTIF(tables_393010!C:C,input_393010!A29)-COUNTIF(Q:Q,A29)</f>
        <v>11</v>
      </c>
      <c r="F29" s="43">
        <f t="shared" si="8"/>
        <v>1.2820512820512821E-3</v>
      </c>
      <c r="G29">
        <f t="shared" si="4"/>
        <v>187000</v>
      </c>
      <c r="H29">
        <f t="shared" si="5"/>
        <v>17000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211</v>
      </c>
      <c r="B30" s="56">
        <f>0</f>
        <v>0</v>
      </c>
      <c r="C30" s="82">
        <f t="shared" si="2"/>
        <v>0</v>
      </c>
      <c r="D30" s="70">
        <f t="shared" si="3"/>
        <v>0</v>
      </c>
      <c r="E30">
        <f>COUNTIF(tables_393010!C:C,input_393010!A30)-COUNTIF(Q:Q,A30)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212</v>
      </c>
      <c r="B31" s="56">
        <v>0</v>
      </c>
      <c r="C31" s="82">
        <f t="shared" si="2"/>
        <v>0</v>
      </c>
      <c r="D31" s="70">
        <f t="shared" si="3"/>
        <v>0</v>
      </c>
      <c r="E31">
        <f>COUNTIF(tables_393010!C:C,input_393010!A31)-COUNTIF(Q:Q,A31)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13260000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SUMIF(tables_393010!C:C,input_393010!A40,tables_393010!O:O)</f>
        <v>3853200</v>
      </c>
      <c r="C40" s="54">
        <f t="shared" ref="C40:C46" ca="1" si="9">B40/B$47</f>
        <v>0.47091317950723505</v>
      </c>
      <c r="E40">
        <v>3</v>
      </c>
      <c r="F40">
        <f ca="1">SUMIF(tables_393010!J:J,input_393010!E40,tables_393010!O:O)</f>
        <v>6630000</v>
      </c>
      <c r="G40">
        <f ca="1">F40/A36</f>
        <v>0.5</v>
      </c>
    </row>
    <row r="41" spans="1:7" x14ac:dyDescent="0.15">
      <c r="A41" s="33" t="s">
        <v>104</v>
      </c>
      <c r="B41">
        <f ca="1">SUMIF(tables_393010!C:C,input_393010!A41,tables_393010!O:O)</f>
        <v>3467880</v>
      </c>
      <c r="C41" s="54">
        <f t="shared" ca="1" si="9"/>
        <v>0.42382186155651153</v>
      </c>
      <c r="E41">
        <v>4</v>
      </c>
      <c r="F41">
        <f ca="1">SUMIF(tables_393010!J:J,input_393010!E41,tables_393010!O:O)</f>
        <v>5966999.9999799989</v>
      </c>
      <c r="G41">
        <f ca="1">F41/A36</f>
        <v>0.44999999999849161</v>
      </c>
    </row>
    <row r="42" spans="1:7" x14ac:dyDescent="0.15">
      <c r="A42" s="33" t="s">
        <v>106</v>
      </c>
      <c r="B42">
        <f ca="1">SUMIF(tables_393010!C:C,input_393010!A42,tables_393010!O:O)</f>
        <v>452200</v>
      </c>
      <c r="C42" s="54">
        <f t="shared" ca="1" si="9"/>
        <v>5.5264958936253425E-2</v>
      </c>
      <c r="E42">
        <v>5</v>
      </c>
      <c r="F42">
        <f ca="1">SUMIF(tables_393010!J:J,input_393010!E42,tables_393010!O:O)</f>
        <v>663000.00002000004</v>
      </c>
      <c r="G42">
        <f ca="1">F42/A36</f>
        <v>5.0000000001508296E-2</v>
      </c>
    </row>
    <row r="43" spans="1:7" x14ac:dyDescent="0.15">
      <c r="A43" s="33" t="s">
        <v>109</v>
      </c>
      <c r="B43">
        <f>SUMIF(tables_393010!C:C,input_393010!A43,tables_393010!O:O)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SUMIF(tables_393010!C:C,input_393010!A44,tables_393010!O:O)</f>
        <v>385320</v>
      </c>
      <c r="C44" s="54">
        <f t="shared" ca="1" si="9"/>
        <v>4.7091317950723507E-2</v>
      </c>
      <c r="E44" t="s">
        <v>54</v>
      </c>
      <c r="F44" s="55"/>
    </row>
    <row r="45" spans="1:7" x14ac:dyDescent="0.15">
      <c r="A45" s="33" t="s">
        <v>107</v>
      </c>
      <c r="B45">
        <f ca="1">SUMIF(tables_393010!C:C,input_393010!A45,tables_393010!O:O)</f>
        <v>23800</v>
      </c>
      <c r="C45" s="54">
        <f t="shared" ca="1" si="9"/>
        <v>2.9086820492764958E-3</v>
      </c>
      <c r="E45" t="s">
        <v>180</v>
      </c>
      <c r="F45" s="55">
        <f ca="1">SUMIF(tables_393010!I:I,input_393010!E45,tables_393010!P:P)</f>
        <v>0.22811764705882348</v>
      </c>
    </row>
    <row r="46" spans="1:7" x14ac:dyDescent="0.15">
      <c r="A46" s="33" t="s">
        <v>108</v>
      </c>
      <c r="B46">
        <f>SUMIF(tables_393010!C:C,input_393010!A46,tables_393010!O:O)</f>
        <v>0</v>
      </c>
      <c r="C46" s="54">
        <f t="shared" ca="1" si="9"/>
        <v>0</v>
      </c>
      <c r="E46" t="s">
        <v>181</v>
      </c>
      <c r="F46" s="55">
        <f ca="1">SUMIF(tables_393010!I:I,input_393010!E46,tables_393010!P:P)</f>
        <v>0.22352941176470603</v>
      </c>
    </row>
    <row r="47" spans="1:7" x14ac:dyDescent="0.15">
      <c r="A47" s="39" t="s">
        <v>59</v>
      </c>
      <c r="B47">
        <f ca="1">SUM(B40:B46)</f>
        <v>8182400</v>
      </c>
      <c r="C47" s="55">
        <f ca="1">SUM(C40:C46)</f>
        <v>1</v>
      </c>
      <c r="E47" t="s">
        <v>182</v>
      </c>
      <c r="F47" s="55">
        <f ca="1">SUMIF(tables_393010!I:I,input_393010!E47,tables_393010!P:P)</f>
        <v>0.502941176470589</v>
      </c>
    </row>
    <row r="48" spans="1:7" x14ac:dyDescent="0.15">
      <c r="E48" t="s">
        <v>183</v>
      </c>
      <c r="F48" s="55">
        <f ca="1">SUMIF(tables_393010!I:I,input_393010!E48,tables_393010!P:P)</f>
        <v>5.0000000000000031E-2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4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O223" sqref="O22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164</v>
      </c>
      <c r="F1" s="3" t="s">
        <v>165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input_393010!A$2</f>
        <v>393010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IFERROR(VLOOKUP(B2,input_393010!L:R,7,FALSE),VLOOKUP(tables_393010!C2,input_393010!A:H,8,FALSE))</f>
        <v>124020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input_393010!A$2</f>
        <v>393010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IFERROR(VLOOKUP(B3,input_393010!L:R,7,FALSE),VLOOKUP(tables_393010!C3,input_393010!A:H,8,FALSE))</f>
        <v>24180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input_393010!A$2</f>
        <v>393010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IFERROR(VLOOKUP(B4,input_393010!L:R,7,FALSE),VLOOKUP(tables_393010!C4,input_393010!A:H,8,FALSE))</f>
        <v>124020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input_393010!A$2</f>
        <v>393010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IFERROR(VLOOKUP(B5,input_393010!L:R,7,FALSE),VLOOKUP(tables_393010!C5,input_393010!A:H,8,FALSE))</f>
        <v>24180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input_393010!A$2</f>
        <v>393010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IFERROR(VLOOKUP(B6,input_393010!L:R,7,FALSE),VLOOKUP(tables_393010!C6,input_393010!A:H,8,FALSE))</f>
        <v>124020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input_393010!A$2</f>
        <v>393010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IFERROR(VLOOKUP(B7,input_393010!L:R,7,FALSE),VLOOKUP(tables_393010!C7,input_393010!A:H,8,FALSE))</f>
        <v>24180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input_393010!A$2</f>
        <v>393010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IFERROR(VLOOKUP(B8,input_393010!L:R,7,FALSE),VLOOKUP(tables_393010!C8,input_393010!A:H,8,FALSE))</f>
        <v>124020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input_393010!A$2</f>
        <v>393010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IFERROR(VLOOKUP(B9,input_393010!L:R,7,FALSE),VLOOKUP(tables_393010!C9,input_393010!A:H,8,FALSE))</f>
        <v>24180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input_393010!A$2</f>
        <v>393010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IFERROR(VLOOKUP(B10,input_393010!L:R,7,FALSE),VLOOKUP(tables_393010!C10,input_393010!A:H,8,FALSE))</f>
        <v>124020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input_393010!A$2</f>
        <v>393010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IFERROR(VLOOKUP(B11,input_393010!L:R,7,FALSE),VLOOKUP(tables_393010!C11,input_393010!A:H,8,FALSE))</f>
        <v>24180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input_393010!A$2</f>
        <v>393010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IFERROR(VLOOKUP(B12,input_393010!L:R,7,FALSE),VLOOKUP(tables_393010!C12,input_393010!A:H,8,FALSE))</f>
        <v>124020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input_393010!A$2</f>
        <v>393010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IFERROR(VLOOKUP(B13,input_393010!L:R,7,FALSE),VLOOKUP(tables_393010!C13,input_393010!A:H,8,FALSE))</f>
        <v>24180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input_393010!A$2</f>
        <v>393010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IFERROR(VLOOKUP(B14,input_393010!L:R,7,FALSE),VLOOKUP(tables_393010!C14,input_393010!A:H,8,FALSE))</f>
        <v>124020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input_393010!A$2</f>
        <v>393010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IFERROR(VLOOKUP(B15,input_393010!L:R,7,FALSE),VLOOKUP(tables_393010!C15,input_393010!A:H,8,FALSE))</f>
        <v>24180</v>
      </c>
      <c r="P15" s="46">
        <f t="shared" ref="P15:P78" ca="1" si="2">O15/SUM(O:O)</f>
        <v>1.8235294117647058E-3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input_393010!A$2</f>
        <v>393010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IFERROR(VLOOKUP(B16,input_393010!L:R,7,FALSE),VLOOKUP(tables_393010!C16,input_393010!A:H,8,FALSE))</f>
        <v>124020</v>
      </c>
      <c r="P16" s="46">
        <f t="shared" ca="1" si="2"/>
        <v>9.3529411764705882E-3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input_393010!A$2</f>
        <v>393010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IFERROR(VLOOKUP(B17,input_393010!L:R,7,FALSE),VLOOKUP(tables_393010!C17,input_393010!A:H,8,FALSE))</f>
        <v>24180</v>
      </c>
      <c r="P17" s="46">
        <f t="shared" ca="1" si="2"/>
        <v>1.8235294117647058E-3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input_393010!A$2</f>
        <v>393010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IFERROR(VLOOKUP(B18,input_393010!L:R,7,FALSE),VLOOKUP(tables_393010!C18,input_393010!A:H,8,FALSE))</f>
        <v>124020</v>
      </c>
      <c r="P18" s="46">
        <f t="shared" ca="1" si="2"/>
        <v>9.3529411764705882E-3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input_393010!A$2</f>
        <v>393010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IFERROR(VLOOKUP(B19,input_393010!L:R,7,FALSE),VLOOKUP(tables_393010!C19,input_393010!A:H,8,FALSE))</f>
        <v>24180</v>
      </c>
      <c r="P19" s="46">
        <f t="shared" ca="1" si="2"/>
        <v>1.8235294117647058E-3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input_393010!A$2</f>
        <v>393010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IFERROR(VLOOKUP(B20,input_393010!L:R,7,FALSE),VLOOKUP(tables_393010!C20,input_393010!A:H,8,FALSE))</f>
        <v>124020</v>
      </c>
      <c r="P20" s="46">
        <f t="shared" ca="1" si="2"/>
        <v>9.3529411764705882E-3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input_393010!A$2</f>
        <v>393010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IFERROR(VLOOKUP(B21,input_393010!L:R,7,FALSE),VLOOKUP(tables_393010!C21,input_393010!A:H,8,FALSE))</f>
        <v>24180</v>
      </c>
      <c r="P21" s="46">
        <f t="shared" ca="1" si="2"/>
        <v>1.8235294117647058E-3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input_393010!A$2</f>
        <v>393010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IFERROR(VLOOKUP(B22,input_393010!L:R,7,FALSE),VLOOKUP(tables_393010!C22,input_393010!A:H,8,FALSE))</f>
        <v>124020</v>
      </c>
      <c r="P22" s="46">
        <f t="shared" ca="1" si="2"/>
        <v>9.3529411764705882E-3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input_393010!A$2</f>
        <v>393010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IFERROR(VLOOKUP(B23,input_393010!L:R,7,FALSE),VLOOKUP(tables_393010!C23,input_393010!A:H,8,FALSE))</f>
        <v>24180</v>
      </c>
      <c r="P23" s="46">
        <f t="shared" ca="1" si="2"/>
        <v>1.8235294117647058E-3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input_393010!A$2</f>
        <v>393010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IFERROR(VLOOKUP(B24,input_393010!L:R,7,FALSE),VLOOKUP(tables_393010!C24,input_393010!A:H,8,FALSE))</f>
        <v>124020</v>
      </c>
      <c r="P24" s="46">
        <f t="shared" ca="1" si="2"/>
        <v>9.3529411764705882E-3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input_393010!A$2</f>
        <v>393010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IFERROR(VLOOKUP(B25,input_393010!L:R,7,FALSE),VLOOKUP(tables_393010!C25,input_393010!A:H,8,FALSE))</f>
        <v>24180</v>
      </c>
      <c r="P25" s="46">
        <f t="shared" ca="1" si="2"/>
        <v>1.8235294117647058E-3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input_393010!A$2</f>
        <v>393010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IFERROR(VLOOKUP(B26,input_393010!L:R,7,FALSE),VLOOKUP(tables_393010!C26,input_393010!A:H,8,FALSE))</f>
        <v>124020</v>
      </c>
      <c r="P26" s="46">
        <f t="shared" ca="1" si="2"/>
        <v>9.3529411764705882E-3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input_393010!A$2</f>
        <v>393010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IFERROR(VLOOKUP(B27,input_393010!L:R,7,FALSE),VLOOKUP(tables_393010!C27,input_393010!A:H,8,FALSE))</f>
        <v>24180</v>
      </c>
      <c r="P27" s="46">
        <f t="shared" ca="1" si="2"/>
        <v>1.8235294117647058E-3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input_393010!A$2</f>
        <v>393010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IFERROR(VLOOKUP(B28,input_393010!L:R,7,FALSE),VLOOKUP(tables_393010!C28,input_393010!A:H,8,FALSE))</f>
        <v>124020</v>
      </c>
      <c r="P28" s="46">
        <f t="shared" ca="1" si="2"/>
        <v>9.3529411764705882E-3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input_393010!A$2</f>
        <v>393010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IFERROR(VLOOKUP(B29,input_393010!L:R,7,FALSE),VLOOKUP(tables_393010!C29,input_393010!A:H,8,FALSE))</f>
        <v>24180</v>
      </c>
      <c r="P29" s="46">
        <f t="shared" ca="1" si="2"/>
        <v>1.8235294117647058E-3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input_393010!A$2</f>
        <v>393010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IFERROR(VLOOKUP(B30,input_393010!L:R,7,FALSE),VLOOKUP(tables_393010!C30,input_393010!A:H,8,FALSE))</f>
        <v>124020</v>
      </c>
      <c r="P30" s="46">
        <f t="shared" ca="1" si="2"/>
        <v>9.3529411764705882E-3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input_393010!A$2</f>
        <v>393010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IFERROR(VLOOKUP(B31,input_393010!L:R,7,FALSE),VLOOKUP(tables_393010!C31,input_393010!A:H,8,FALSE))</f>
        <v>24180</v>
      </c>
      <c r="P31" s="46">
        <f t="shared" ca="1" si="2"/>
        <v>1.8235294117647058E-3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input_393010!A$2</f>
        <v>393010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IFERROR(VLOOKUP(B32,input_393010!L:R,7,FALSE),VLOOKUP(tables_393010!C32,input_393010!A:H,8,FALSE))</f>
        <v>124020</v>
      </c>
      <c r="P32" s="46">
        <f t="shared" ca="1" si="2"/>
        <v>9.3529411764705882E-3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input_393010!A$2</f>
        <v>393010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IFERROR(VLOOKUP(B33,input_393010!L:R,7,FALSE),VLOOKUP(tables_393010!C33,input_393010!A:H,8,FALSE))</f>
        <v>24180</v>
      </c>
      <c r="P33" s="46">
        <f t="shared" ca="1" si="2"/>
        <v>1.8235294117647058E-3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input_393010!A$2</f>
        <v>393010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IFERROR(VLOOKUP(B34,input_393010!L:R,7,FALSE),VLOOKUP(tables_393010!C34,input_393010!A:H,8,FALSE))</f>
        <v>124020</v>
      </c>
      <c r="P34" s="46">
        <f t="shared" ca="1" si="2"/>
        <v>9.3529411764705882E-3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input_393010!A$2</f>
        <v>393010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IFERROR(VLOOKUP(B35,input_393010!L:R,7,FALSE),VLOOKUP(tables_393010!C35,input_393010!A:H,8,FALSE))</f>
        <v>24180</v>
      </c>
      <c r="P35" s="46">
        <f t="shared" ca="1" si="2"/>
        <v>1.8235294117647058E-3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input_393010!A$2</f>
        <v>393010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IFERROR(VLOOKUP(B36,input_393010!L:R,7,FALSE),VLOOKUP(tables_393010!C36,input_393010!A:H,8,FALSE))</f>
        <v>124020</v>
      </c>
      <c r="P36" s="46">
        <f t="shared" ca="1" si="2"/>
        <v>9.3529411764705882E-3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input_393010!A$2</f>
        <v>393010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IFERROR(VLOOKUP(B37,input_393010!L:R,7,FALSE),VLOOKUP(tables_393010!C37,input_393010!A:H,8,FALSE))</f>
        <v>24180</v>
      </c>
      <c r="P37" s="46">
        <f t="shared" ca="1" si="2"/>
        <v>1.8235294117647058E-3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input_393010!A$2</f>
        <v>393010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IFERROR(VLOOKUP(B38,input_393010!L:R,7,FALSE),VLOOKUP(tables_393010!C38,input_393010!A:H,8,FALSE))</f>
        <v>124020</v>
      </c>
      <c r="P38" s="46">
        <f t="shared" ca="1" si="2"/>
        <v>9.3529411764705882E-3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input_393010!A$2</f>
        <v>393010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IFERROR(VLOOKUP(B39,input_393010!L:R,7,FALSE),VLOOKUP(tables_393010!C39,input_393010!A:H,8,FALSE))</f>
        <v>24180</v>
      </c>
      <c r="P39" s="46">
        <f t="shared" ca="1" si="2"/>
        <v>1.8235294117647058E-3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input_393010!A$2</f>
        <v>393010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IFERROR(VLOOKUP(B40,input_393010!L:R,7,FALSE),VLOOKUP(tables_393010!C40,input_393010!A:H,8,FALSE))</f>
        <v>124020</v>
      </c>
      <c r="P40" s="46">
        <f t="shared" ca="1" si="2"/>
        <v>9.3529411764705882E-3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input_393010!A$2</f>
        <v>393010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IFERROR(VLOOKUP(B41,input_393010!L:R,7,FALSE),VLOOKUP(tables_393010!C41,input_393010!A:H,8,FALSE))</f>
        <v>24180</v>
      </c>
      <c r="P41" s="46">
        <f t="shared" ca="1" si="2"/>
        <v>1.8235294117647058E-3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input_393010!A$2</f>
        <v>393010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IFERROR(VLOOKUP(B42,input_393010!L:R,7,FALSE),VLOOKUP(tables_393010!C42,input_393010!A:H,8,FALSE))</f>
        <v>74100</v>
      </c>
      <c r="P42" s="46">
        <f t="shared" ca="1" si="2"/>
        <v>5.5882352941176473E-3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input_393010!A$2</f>
        <v>393010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IFERROR(VLOOKUP(B43,input_393010!L:R,7,FALSE),VLOOKUP(tables_393010!C43,input_393010!A:H,8,FALSE))</f>
        <v>66690</v>
      </c>
      <c r="P43" s="46">
        <f t="shared" ca="1" si="2"/>
        <v>5.0294117647058821E-3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input_393010!A$2</f>
        <v>393010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IFERROR(VLOOKUP(B44,input_393010!L:R,7,FALSE),VLOOKUP(tables_393010!C44,input_393010!A:H,8,FALSE))</f>
        <v>7410</v>
      </c>
      <c r="P44" s="46">
        <f t="shared" ca="1" si="2"/>
        <v>5.5882352941176471E-4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input_393010!A$2</f>
        <v>393010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IFERROR(VLOOKUP(B45,input_393010!L:R,7,FALSE),VLOOKUP(tables_393010!C45,input_393010!A:H,8,FALSE))</f>
        <v>74100</v>
      </c>
      <c r="P45" s="46">
        <f t="shared" ca="1" si="2"/>
        <v>5.5882352941176473E-3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input_393010!A$2</f>
        <v>393010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IFERROR(VLOOKUP(B46,input_393010!L:R,7,FALSE),VLOOKUP(tables_393010!C46,input_393010!A:H,8,FALSE))</f>
        <v>66690</v>
      </c>
      <c r="P46" s="46">
        <f t="shared" ca="1" si="2"/>
        <v>5.0294117647058821E-3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input_393010!A$2</f>
        <v>393010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IFERROR(VLOOKUP(B47,input_393010!L:R,7,FALSE),VLOOKUP(tables_393010!C47,input_393010!A:H,8,FALSE))</f>
        <v>7410</v>
      </c>
      <c r="P47" s="46">
        <f t="shared" ca="1" si="2"/>
        <v>5.5882352941176471E-4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input_393010!A$2</f>
        <v>393010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IFERROR(VLOOKUP(B48,input_393010!L:R,7,FALSE),VLOOKUP(tables_393010!C48,input_393010!A:H,8,FALSE))</f>
        <v>74100</v>
      </c>
      <c r="P48" s="46">
        <f t="shared" ca="1" si="2"/>
        <v>5.5882352941176473E-3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input_393010!A$2</f>
        <v>393010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IFERROR(VLOOKUP(B49,input_393010!L:R,7,FALSE),VLOOKUP(tables_393010!C49,input_393010!A:H,8,FALSE))</f>
        <v>66690</v>
      </c>
      <c r="P49" s="46">
        <f t="shared" ca="1" si="2"/>
        <v>5.0294117647058821E-3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input_393010!A$2</f>
        <v>393010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IFERROR(VLOOKUP(B50,input_393010!L:R,7,FALSE),VLOOKUP(tables_393010!C50,input_393010!A:H,8,FALSE))</f>
        <v>7410</v>
      </c>
      <c r="P50" s="46">
        <f t="shared" ca="1" si="2"/>
        <v>5.5882352941176471E-4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input_393010!A$2</f>
        <v>393010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IFERROR(VLOOKUP(B51,input_393010!L:R,7,FALSE),VLOOKUP(tables_393010!C51,input_393010!A:H,8,FALSE))</f>
        <v>74100</v>
      </c>
      <c r="P51" s="46">
        <f t="shared" ca="1" si="2"/>
        <v>5.5882352941176473E-3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input_393010!A$2</f>
        <v>393010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IFERROR(VLOOKUP(B52,input_393010!L:R,7,FALSE),VLOOKUP(tables_393010!C52,input_393010!A:H,8,FALSE))</f>
        <v>66690</v>
      </c>
      <c r="P52" s="46">
        <f t="shared" ca="1" si="2"/>
        <v>5.0294117647058821E-3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input_393010!A$2</f>
        <v>393010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IFERROR(VLOOKUP(B53,input_393010!L:R,7,FALSE),VLOOKUP(tables_393010!C53,input_393010!A:H,8,FALSE))</f>
        <v>7410</v>
      </c>
      <c r="P53" s="46">
        <f t="shared" ca="1" si="2"/>
        <v>5.5882352941176471E-4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input_393010!A$2</f>
        <v>393010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IFERROR(VLOOKUP(B54,input_393010!L:R,7,FALSE),VLOOKUP(tables_393010!C54,input_393010!A:H,8,FALSE))</f>
        <v>74100</v>
      </c>
      <c r="P54" s="46">
        <f t="shared" ca="1" si="2"/>
        <v>5.5882352941176473E-3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input_393010!A$2</f>
        <v>393010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IFERROR(VLOOKUP(B55,input_393010!L:R,7,FALSE),VLOOKUP(tables_393010!C55,input_393010!A:H,8,FALSE))</f>
        <v>66690</v>
      </c>
      <c r="P55" s="46">
        <f t="shared" ca="1" si="2"/>
        <v>5.0294117647058821E-3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input_393010!A$2</f>
        <v>393010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IFERROR(VLOOKUP(B56,input_393010!L:R,7,FALSE),VLOOKUP(tables_393010!C56,input_393010!A:H,8,FALSE))</f>
        <v>7410</v>
      </c>
      <c r="P56" s="46">
        <f t="shared" ca="1" si="2"/>
        <v>5.5882352941176471E-4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input_393010!A$2</f>
        <v>393010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IFERROR(VLOOKUP(B57,input_393010!L:R,7,FALSE),VLOOKUP(tables_393010!C57,input_393010!A:H,8,FALSE))</f>
        <v>74100</v>
      </c>
      <c r="P57" s="46">
        <f t="shared" ca="1" si="2"/>
        <v>5.5882352941176473E-3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input_393010!A$2</f>
        <v>393010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IFERROR(VLOOKUP(B58,input_393010!L:R,7,FALSE),VLOOKUP(tables_393010!C58,input_393010!A:H,8,FALSE))</f>
        <v>66690</v>
      </c>
      <c r="P58" s="46">
        <f t="shared" ca="1" si="2"/>
        <v>5.0294117647058821E-3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input_393010!A$2</f>
        <v>393010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IFERROR(VLOOKUP(B59,input_393010!L:R,7,FALSE),VLOOKUP(tables_393010!C59,input_393010!A:H,8,FALSE))</f>
        <v>7410</v>
      </c>
      <c r="P59" s="46">
        <f t="shared" ca="1" si="2"/>
        <v>5.5882352941176471E-4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input_393010!A$2</f>
        <v>393010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IFERROR(VLOOKUP(B60,input_393010!L:R,7,FALSE),VLOOKUP(tables_393010!C60,input_393010!A:H,8,FALSE))</f>
        <v>74100</v>
      </c>
      <c r="P60" s="46">
        <f t="shared" ca="1" si="2"/>
        <v>5.5882352941176473E-3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input_393010!A$2</f>
        <v>393010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IFERROR(VLOOKUP(B61,input_393010!L:R,7,FALSE),VLOOKUP(tables_393010!C61,input_393010!A:H,8,FALSE))</f>
        <v>66690</v>
      </c>
      <c r="P61" s="46">
        <f t="shared" ca="1" si="2"/>
        <v>5.0294117647058821E-3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input_393010!A$2</f>
        <v>393010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IFERROR(VLOOKUP(B62,input_393010!L:R,7,FALSE),VLOOKUP(tables_393010!C62,input_393010!A:H,8,FALSE))</f>
        <v>7410</v>
      </c>
      <c r="P62" s="46">
        <f t="shared" ca="1" si="2"/>
        <v>5.5882352941176471E-4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input_393010!A$2</f>
        <v>393010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IFERROR(VLOOKUP(B63,input_393010!L:R,7,FALSE),VLOOKUP(tables_393010!C63,input_393010!A:H,8,FALSE))</f>
        <v>74100</v>
      </c>
      <c r="P63" s="46">
        <f t="shared" ca="1" si="2"/>
        <v>5.5882352941176473E-3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input_393010!A$2</f>
        <v>393010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IFERROR(VLOOKUP(B64,input_393010!L:R,7,FALSE),VLOOKUP(tables_393010!C64,input_393010!A:H,8,FALSE))</f>
        <v>66690</v>
      </c>
      <c r="P64" s="46">
        <f t="shared" ca="1" si="2"/>
        <v>5.0294117647058821E-3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input_393010!A$2</f>
        <v>393010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IFERROR(VLOOKUP(B65,input_393010!L:R,7,FALSE),VLOOKUP(tables_393010!C65,input_393010!A:H,8,FALSE))</f>
        <v>7410</v>
      </c>
      <c r="P65" s="46">
        <f t="shared" ca="1" si="2"/>
        <v>5.5882352941176471E-4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input_393010!A$2</f>
        <v>393010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IFERROR(VLOOKUP(B66,input_393010!L:R,7,FALSE),VLOOKUP(tables_393010!C66,input_393010!A:H,8,FALSE))</f>
        <v>74100</v>
      </c>
      <c r="P66" s="46">
        <f t="shared" ca="1" si="2"/>
        <v>5.5882352941176473E-3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input_393010!A$2</f>
        <v>393010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IFERROR(VLOOKUP(B67,input_393010!L:R,7,FALSE),VLOOKUP(tables_393010!C67,input_393010!A:H,8,FALSE))</f>
        <v>66690</v>
      </c>
      <c r="P67" s="46">
        <f t="shared" ca="1" si="2"/>
        <v>5.0294117647058821E-3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input_393010!A$2</f>
        <v>393010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IFERROR(VLOOKUP(B68,input_393010!L:R,7,FALSE),VLOOKUP(tables_393010!C68,input_393010!A:H,8,FALSE))</f>
        <v>7410</v>
      </c>
      <c r="P68" s="46">
        <f t="shared" ca="1" si="2"/>
        <v>5.5882352941176471E-4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input_393010!A$2</f>
        <v>393010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IFERROR(VLOOKUP(B69,input_393010!L:R,7,FALSE),VLOOKUP(tables_393010!C69,input_393010!A:H,8,FALSE))</f>
        <v>74100</v>
      </c>
      <c r="P69" s="46">
        <f t="shared" ca="1" si="2"/>
        <v>5.5882352941176473E-3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input_393010!A$2</f>
        <v>393010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IFERROR(VLOOKUP(B70,input_393010!L:R,7,FALSE),VLOOKUP(tables_393010!C70,input_393010!A:H,8,FALSE))</f>
        <v>66690</v>
      </c>
      <c r="P70" s="46">
        <f t="shared" ca="1" si="2"/>
        <v>5.0294117647058821E-3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input_393010!A$2</f>
        <v>393010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IFERROR(VLOOKUP(B71,input_393010!L:R,7,FALSE),VLOOKUP(tables_393010!C71,input_393010!A:H,8,FALSE))</f>
        <v>7410</v>
      </c>
      <c r="P71" s="46">
        <f t="shared" ca="1" si="2"/>
        <v>5.5882352941176471E-4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input_393010!A$2</f>
        <v>393010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IFERROR(VLOOKUP(B72,input_393010!L:R,7,FALSE),VLOOKUP(tables_393010!C72,input_393010!A:H,8,FALSE))</f>
        <v>74100</v>
      </c>
      <c r="P72" s="46">
        <f t="shared" ca="1" si="2"/>
        <v>5.5882352941176473E-3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input_393010!A$2</f>
        <v>393010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IFERROR(VLOOKUP(B73,input_393010!L:R,7,FALSE),VLOOKUP(tables_393010!C73,input_393010!A:H,8,FALSE))</f>
        <v>66690</v>
      </c>
      <c r="P73" s="46">
        <f t="shared" ca="1" si="2"/>
        <v>5.0294117647058821E-3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input_393010!A$2</f>
        <v>393010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IFERROR(VLOOKUP(B74,input_393010!L:R,7,FALSE),VLOOKUP(tables_393010!C74,input_393010!A:H,8,FALSE))</f>
        <v>7410</v>
      </c>
      <c r="P74" s="46">
        <f t="shared" ca="1" si="2"/>
        <v>5.5882352941176471E-4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input_393010!A$2</f>
        <v>393010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IFERROR(VLOOKUP(B75,input_393010!L:R,7,FALSE),VLOOKUP(tables_393010!C75,input_393010!A:H,8,FALSE))</f>
        <v>74100</v>
      </c>
      <c r="P75" s="46">
        <f t="shared" ca="1" si="2"/>
        <v>5.5882352941176473E-3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input_393010!A$2</f>
        <v>393010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IFERROR(VLOOKUP(B76,input_393010!L:R,7,FALSE),VLOOKUP(tables_393010!C76,input_393010!A:H,8,FALSE))</f>
        <v>66690</v>
      </c>
      <c r="P76" s="46">
        <f t="shared" ca="1" si="2"/>
        <v>5.0294117647058821E-3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input_393010!A$2</f>
        <v>393010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IFERROR(VLOOKUP(B77,input_393010!L:R,7,FALSE),VLOOKUP(tables_393010!C77,input_393010!A:H,8,FALSE))</f>
        <v>7410</v>
      </c>
      <c r="P77" s="46">
        <f t="shared" ca="1" si="2"/>
        <v>5.5882352941176471E-4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input_393010!A$2</f>
        <v>393010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IFERROR(VLOOKUP(B78,input_393010!L:R,7,FALSE),VLOOKUP(tables_393010!C78,input_393010!A:H,8,FALSE))</f>
        <v>74100</v>
      </c>
      <c r="P78" s="46">
        <f t="shared" ca="1" si="2"/>
        <v>5.5882352941176473E-3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input_393010!A$2</f>
        <v>393010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IFERROR(VLOOKUP(B79,input_393010!L:R,7,FALSE),VLOOKUP(tables_393010!C79,input_393010!A:H,8,FALSE))</f>
        <v>66690</v>
      </c>
      <c r="P79" s="46">
        <f t="shared" ref="P79:P142" ca="1" si="5">O79/SUM(O:O)</f>
        <v>5.0294117647058821E-3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input_393010!A$2</f>
        <v>393010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IFERROR(VLOOKUP(B80,input_393010!L:R,7,FALSE),VLOOKUP(tables_393010!C80,input_393010!A:H,8,FALSE))</f>
        <v>7410</v>
      </c>
      <c r="P80" s="46">
        <f t="shared" ca="1" si="5"/>
        <v>5.5882352941176471E-4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input_393010!A$2</f>
        <v>393010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IFERROR(VLOOKUP(B81,input_393010!L:R,7,FALSE),VLOOKUP(tables_393010!C81,input_393010!A:H,8,FALSE))</f>
        <v>74100</v>
      </c>
      <c r="P81" s="46">
        <f t="shared" ca="1" si="5"/>
        <v>5.5882352941176473E-3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input_393010!A$2</f>
        <v>393010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IFERROR(VLOOKUP(B82,input_393010!L:R,7,FALSE),VLOOKUP(tables_393010!C82,input_393010!A:H,8,FALSE))</f>
        <v>66690</v>
      </c>
      <c r="P82" s="46">
        <f t="shared" ca="1" si="5"/>
        <v>5.0294117647058821E-3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input_393010!A$2</f>
        <v>393010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IFERROR(VLOOKUP(B83,input_393010!L:R,7,FALSE),VLOOKUP(tables_393010!C83,input_393010!A:H,8,FALSE))</f>
        <v>7410</v>
      </c>
      <c r="P83" s="46">
        <f t="shared" ca="1" si="5"/>
        <v>5.5882352941176471E-4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input_393010!A$2</f>
        <v>393010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IFERROR(VLOOKUP(B84,input_393010!L:R,7,FALSE),VLOOKUP(tables_393010!C84,input_393010!A:H,8,FALSE))</f>
        <v>74100</v>
      </c>
      <c r="P84" s="46">
        <f t="shared" ca="1" si="5"/>
        <v>5.5882352941176473E-3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input_393010!A$2</f>
        <v>393010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IFERROR(VLOOKUP(B85,input_393010!L:R,7,FALSE),VLOOKUP(tables_393010!C85,input_393010!A:H,8,FALSE))</f>
        <v>66690</v>
      </c>
      <c r="P85" s="46">
        <f t="shared" ca="1" si="5"/>
        <v>5.0294117647058821E-3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input_393010!A$2</f>
        <v>393010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IFERROR(VLOOKUP(B86,input_393010!L:R,7,FALSE),VLOOKUP(tables_393010!C86,input_393010!A:H,8,FALSE))</f>
        <v>7410</v>
      </c>
      <c r="P86" s="46">
        <f t="shared" ca="1" si="5"/>
        <v>5.5882352941176471E-4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input_393010!A$2</f>
        <v>393010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IFERROR(VLOOKUP(B87,input_393010!L:R,7,FALSE),VLOOKUP(tables_393010!C87,input_393010!A:H,8,FALSE))</f>
        <v>74100</v>
      </c>
      <c r="P87" s="46">
        <f t="shared" ca="1" si="5"/>
        <v>5.5882352941176473E-3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input_393010!A$2</f>
        <v>393010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IFERROR(VLOOKUP(B88,input_393010!L:R,7,FALSE),VLOOKUP(tables_393010!C88,input_393010!A:H,8,FALSE))</f>
        <v>66690</v>
      </c>
      <c r="P88" s="46">
        <f t="shared" ca="1" si="5"/>
        <v>5.0294117647058821E-3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input_393010!A$2</f>
        <v>393010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IFERROR(VLOOKUP(B89,input_393010!L:R,7,FALSE),VLOOKUP(tables_393010!C89,input_393010!A:H,8,FALSE))</f>
        <v>7410</v>
      </c>
      <c r="P89" s="46">
        <f t="shared" ca="1" si="5"/>
        <v>5.5882352941176471E-4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input_393010!A$2</f>
        <v>393010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IFERROR(VLOOKUP(B90,input_393010!L:R,7,FALSE),VLOOKUP(tables_393010!C90,input_393010!A:H,8,FALSE))</f>
        <v>74100</v>
      </c>
      <c r="P90" s="46">
        <f t="shared" ca="1" si="5"/>
        <v>5.5882352941176473E-3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input_393010!A$2</f>
        <v>393010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IFERROR(VLOOKUP(B91,input_393010!L:R,7,FALSE),VLOOKUP(tables_393010!C91,input_393010!A:H,8,FALSE))</f>
        <v>66690</v>
      </c>
      <c r="P91" s="46">
        <f t="shared" ca="1" si="5"/>
        <v>5.0294117647058821E-3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input_393010!A$2</f>
        <v>393010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IFERROR(VLOOKUP(B92,input_393010!L:R,7,FALSE),VLOOKUP(tables_393010!C92,input_393010!A:H,8,FALSE))</f>
        <v>7410</v>
      </c>
      <c r="P92" s="46">
        <f t="shared" ca="1" si="5"/>
        <v>5.5882352941176471E-4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input_393010!A$2</f>
        <v>393010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IFERROR(VLOOKUP(B93,input_393010!L:R,7,FALSE),VLOOKUP(tables_393010!C93,input_393010!A:H,8,FALSE))</f>
        <v>74100</v>
      </c>
      <c r="P93" s="46">
        <f t="shared" ca="1" si="5"/>
        <v>5.5882352941176473E-3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input_393010!A$2</f>
        <v>393010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IFERROR(VLOOKUP(B94,input_393010!L:R,7,FALSE),VLOOKUP(tables_393010!C94,input_393010!A:H,8,FALSE))</f>
        <v>66690</v>
      </c>
      <c r="P94" s="46">
        <f t="shared" ca="1" si="5"/>
        <v>5.0294117647058821E-3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input_393010!A$2</f>
        <v>393010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IFERROR(VLOOKUP(B95,input_393010!L:R,7,FALSE),VLOOKUP(tables_393010!C95,input_393010!A:H,8,FALSE))</f>
        <v>7410</v>
      </c>
      <c r="P95" s="46">
        <f t="shared" ca="1" si="5"/>
        <v>5.5882352941176471E-4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input_393010!A$2</f>
        <v>393010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IFERROR(VLOOKUP(B96,input_393010!L:R,7,FALSE),VLOOKUP(tables_393010!C96,input_393010!A:H,8,FALSE))</f>
        <v>74100</v>
      </c>
      <c r="P96" s="46">
        <f t="shared" ca="1" si="5"/>
        <v>5.5882352941176473E-3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input_393010!A$2</f>
        <v>393010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IFERROR(VLOOKUP(B97,input_393010!L:R,7,FALSE),VLOOKUP(tables_393010!C97,input_393010!A:H,8,FALSE))</f>
        <v>66690</v>
      </c>
      <c r="P97" s="46">
        <f t="shared" ca="1" si="5"/>
        <v>5.0294117647058821E-3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input_393010!A$2</f>
        <v>393010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IFERROR(VLOOKUP(B98,input_393010!L:R,7,FALSE),VLOOKUP(tables_393010!C98,input_393010!A:H,8,FALSE))</f>
        <v>7410</v>
      </c>
      <c r="P98" s="46">
        <f t="shared" ca="1" si="5"/>
        <v>5.5882352941176471E-4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input_393010!A$2</f>
        <v>393010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IFERROR(VLOOKUP(B99,input_393010!L:R,7,FALSE),VLOOKUP(tables_393010!C99,input_393010!A:H,8,FALSE))</f>
        <v>74100</v>
      </c>
      <c r="P99" s="46">
        <f t="shared" ca="1" si="5"/>
        <v>5.5882352941176473E-3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input_393010!A$2</f>
        <v>393010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IFERROR(VLOOKUP(B100,input_393010!L:R,7,FALSE),VLOOKUP(tables_393010!C100,input_393010!A:H,8,FALSE))</f>
        <v>66690</v>
      </c>
      <c r="P100" s="46">
        <f t="shared" ca="1" si="5"/>
        <v>5.0294117647058821E-3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input_393010!A$2</f>
        <v>393010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IFERROR(VLOOKUP(B101,input_393010!L:R,7,FALSE),VLOOKUP(tables_393010!C101,input_393010!A:H,8,FALSE))</f>
        <v>7410</v>
      </c>
      <c r="P101" s="46">
        <f t="shared" ca="1" si="5"/>
        <v>5.5882352941176471E-4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input_393010!A$2</f>
        <v>393010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IFERROR(VLOOKUP(B102,input_393010!L:R,7,FALSE),VLOOKUP(tables_393010!C102,input_393010!A:H,8,FALSE))</f>
        <v>74100</v>
      </c>
      <c r="P102" s="46">
        <f t="shared" ca="1" si="5"/>
        <v>5.5882352941176473E-3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input_393010!A$2</f>
        <v>393010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IFERROR(VLOOKUP(B103,input_393010!L:R,7,FALSE),VLOOKUP(tables_393010!C103,input_393010!A:H,8,FALSE))</f>
        <v>66690</v>
      </c>
      <c r="P103" s="46">
        <f t="shared" ca="1" si="5"/>
        <v>5.0294117647058821E-3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input_393010!A$2</f>
        <v>393010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IFERROR(VLOOKUP(B104,input_393010!L:R,7,FALSE),VLOOKUP(tables_393010!C104,input_393010!A:H,8,FALSE))</f>
        <v>7410</v>
      </c>
      <c r="P104" s="46">
        <f t="shared" ca="1" si="5"/>
        <v>5.5882352941176471E-4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input_393010!A$2</f>
        <v>393010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IFERROR(VLOOKUP(B105,input_393010!L:R,7,FALSE),VLOOKUP(tables_393010!C105,input_393010!A:H,8,FALSE))</f>
        <v>74100</v>
      </c>
      <c r="P105" s="46">
        <f t="shared" ca="1" si="5"/>
        <v>5.5882352941176473E-3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input_393010!A$2</f>
        <v>393010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IFERROR(VLOOKUP(B106,input_393010!L:R,7,FALSE),VLOOKUP(tables_393010!C106,input_393010!A:H,8,FALSE))</f>
        <v>66690</v>
      </c>
      <c r="P106" s="46">
        <f t="shared" ca="1" si="5"/>
        <v>5.0294117647058821E-3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input_393010!A$2</f>
        <v>393010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IFERROR(VLOOKUP(B107,input_393010!L:R,7,FALSE),VLOOKUP(tables_393010!C107,input_393010!A:H,8,FALSE))</f>
        <v>7410</v>
      </c>
      <c r="P107" s="46">
        <f t="shared" ca="1" si="5"/>
        <v>5.5882352941176471E-4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input_393010!A$2</f>
        <v>393010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IFERROR(VLOOKUP(B108,input_393010!L:R,7,FALSE),VLOOKUP(tables_393010!C108,input_393010!A:H,8,FALSE))</f>
        <v>74100</v>
      </c>
      <c r="P108" s="46">
        <f t="shared" ca="1" si="5"/>
        <v>5.5882352941176473E-3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input_393010!A$2</f>
        <v>393010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IFERROR(VLOOKUP(B109,input_393010!L:R,7,FALSE),VLOOKUP(tables_393010!C109,input_393010!A:H,8,FALSE))</f>
        <v>66690</v>
      </c>
      <c r="P109" s="46">
        <f t="shared" ca="1" si="5"/>
        <v>5.0294117647058821E-3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input_393010!A$2</f>
        <v>393010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IFERROR(VLOOKUP(B110,input_393010!L:R,7,FALSE),VLOOKUP(tables_393010!C110,input_393010!A:H,8,FALSE))</f>
        <v>7410</v>
      </c>
      <c r="P110" s="46">
        <f t="shared" ca="1" si="5"/>
        <v>5.5882352941176471E-4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input_393010!A$2</f>
        <v>393010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IFERROR(VLOOKUP(B111,input_393010!L:R,7,FALSE),VLOOKUP(tables_393010!C111,input_393010!A:H,8,FALSE))</f>
        <v>74100</v>
      </c>
      <c r="P111" s="46">
        <f t="shared" ca="1" si="5"/>
        <v>5.5882352941176473E-3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input_393010!A$2</f>
        <v>393010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IFERROR(VLOOKUP(B112,input_393010!L:R,7,FALSE),VLOOKUP(tables_393010!C112,input_393010!A:H,8,FALSE))</f>
        <v>66690</v>
      </c>
      <c r="P112" s="46">
        <f t="shared" ca="1" si="5"/>
        <v>5.0294117647058821E-3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input_393010!A$2</f>
        <v>393010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IFERROR(VLOOKUP(B113,input_393010!L:R,7,FALSE),VLOOKUP(tables_393010!C113,input_393010!A:H,8,FALSE))</f>
        <v>7410</v>
      </c>
      <c r="P113" s="46">
        <f t="shared" ca="1" si="5"/>
        <v>5.5882352941176471E-4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input_393010!A$2</f>
        <v>393010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IFERROR(VLOOKUP(B114,input_393010!L:R,7,FALSE),VLOOKUP(tables_393010!C114,input_393010!A:H,8,FALSE))</f>
        <v>74100</v>
      </c>
      <c r="P114" s="46">
        <f t="shared" ca="1" si="5"/>
        <v>5.5882352941176473E-3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input_393010!A$2</f>
        <v>393010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IFERROR(VLOOKUP(B115,input_393010!L:R,7,FALSE),VLOOKUP(tables_393010!C115,input_393010!A:H,8,FALSE))</f>
        <v>66690</v>
      </c>
      <c r="P115" s="46">
        <f t="shared" ca="1" si="5"/>
        <v>5.0294117647058821E-3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input_393010!A$2</f>
        <v>393010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IFERROR(VLOOKUP(B116,input_393010!L:R,7,FALSE),VLOOKUP(tables_393010!C116,input_393010!A:H,8,FALSE))</f>
        <v>7410</v>
      </c>
      <c r="P116" s="46">
        <f t="shared" ca="1" si="5"/>
        <v>5.5882352941176471E-4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input_393010!A$2</f>
        <v>393010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IFERROR(VLOOKUP(B117,input_393010!L:R,7,FALSE),VLOOKUP(tables_393010!C117,input_393010!A:H,8,FALSE))</f>
        <v>74100</v>
      </c>
      <c r="P117" s="46">
        <f t="shared" ca="1" si="5"/>
        <v>5.5882352941176473E-3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input_393010!A$2</f>
        <v>393010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IFERROR(VLOOKUP(B118,input_393010!L:R,7,FALSE),VLOOKUP(tables_393010!C118,input_393010!A:H,8,FALSE))</f>
        <v>66690</v>
      </c>
      <c r="P118" s="46">
        <f t="shared" ca="1" si="5"/>
        <v>5.0294117647058821E-3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input_393010!A$2</f>
        <v>393010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IFERROR(VLOOKUP(B119,input_393010!L:R,7,FALSE),VLOOKUP(tables_393010!C119,input_393010!A:H,8,FALSE))</f>
        <v>7410</v>
      </c>
      <c r="P119" s="46">
        <f t="shared" ca="1" si="5"/>
        <v>5.5882352941176471E-4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input_393010!A$2</f>
        <v>393010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IFERROR(VLOOKUP(B120,input_393010!L:R,7,FALSE),VLOOKUP(tables_393010!C120,input_393010!A:H,8,FALSE))</f>
        <v>74100</v>
      </c>
      <c r="P120" s="46">
        <f t="shared" ca="1" si="5"/>
        <v>5.5882352941176473E-3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input_393010!A$2</f>
        <v>393010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IFERROR(VLOOKUP(B121,input_393010!L:R,7,FALSE),VLOOKUP(tables_393010!C121,input_393010!A:H,8,FALSE))</f>
        <v>66690</v>
      </c>
      <c r="P121" s="46">
        <f t="shared" ca="1" si="5"/>
        <v>5.0294117647058821E-3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input_393010!A$2</f>
        <v>393010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IFERROR(VLOOKUP(B122,input_393010!L:R,7,FALSE),VLOOKUP(tables_393010!C122,input_393010!A:H,8,FALSE))</f>
        <v>7410</v>
      </c>
      <c r="P122" s="46">
        <f t="shared" ca="1" si="5"/>
        <v>5.5882352941176471E-4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input_393010!A$2</f>
        <v>393010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IFERROR(VLOOKUP(B123,input_393010!L:R,7,FALSE),VLOOKUP(tables_393010!C123,input_393010!A:H,8,FALSE))</f>
        <v>74100</v>
      </c>
      <c r="P123" s="46">
        <f t="shared" ca="1" si="5"/>
        <v>5.5882352941176473E-3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input_393010!A$2</f>
        <v>393010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IFERROR(VLOOKUP(B124,input_393010!L:R,7,FALSE),VLOOKUP(tables_393010!C124,input_393010!A:H,8,FALSE))</f>
        <v>66690</v>
      </c>
      <c r="P124" s="46">
        <f t="shared" ca="1" si="5"/>
        <v>5.0294117647058821E-3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input_393010!A$2</f>
        <v>393010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IFERROR(VLOOKUP(B125,input_393010!L:R,7,FALSE),VLOOKUP(tables_393010!C125,input_393010!A:H,8,FALSE))</f>
        <v>7410</v>
      </c>
      <c r="P125" s="46">
        <f t="shared" ca="1" si="5"/>
        <v>5.5882352941176471E-4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input_393010!A$2</f>
        <v>393010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IFERROR(VLOOKUP(B126,input_393010!L:R,7,FALSE),VLOOKUP(tables_393010!C126,input_393010!A:H,8,FALSE))</f>
        <v>74100</v>
      </c>
      <c r="P126" s="46">
        <f t="shared" ca="1" si="5"/>
        <v>5.5882352941176473E-3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input_393010!A$2</f>
        <v>393010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IFERROR(VLOOKUP(B127,input_393010!L:R,7,FALSE),VLOOKUP(tables_393010!C127,input_393010!A:H,8,FALSE))</f>
        <v>66690</v>
      </c>
      <c r="P127" s="46">
        <f t="shared" ca="1" si="5"/>
        <v>5.0294117647058821E-3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input_393010!A$2</f>
        <v>393010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IFERROR(VLOOKUP(B128,input_393010!L:R,7,FALSE),VLOOKUP(tables_393010!C128,input_393010!A:H,8,FALSE))</f>
        <v>7410</v>
      </c>
      <c r="P128" s="46">
        <f t="shared" ca="1" si="5"/>
        <v>5.5882352941176471E-4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input_393010!A$2</f>
        <v>393010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IFERROR(VLOOKUP(B129,input_393010!L:R,7,FALSE),VLOOKUP(tables_393010!C129,input_393010!A:H,8,FALSE))</f>
        <v>74100</v>
      </c>
      <c r="P129" s="46">
        <f t="shared" ca="1" si="5"/>
        <v>5.5882352941176473E-3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input_393010!A$2</f>
        <v>393010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IFERROR(VLOOKUP(B130,input_393010!L:R,7,FALSE),VLOOKUP(tables_393010!C130,input_393010!A:H,8,FALSE))</f>
        <v>66690</v>
      </c>
      <c r="P130" s="46">
        <f t="shared" ca="1" si="5"/>
        <v>5.0294117647058821E-3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input_393010!A$2</f>
        <v>393010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IFERROR(VLOOKUP(B131,input_393010!L:R,7,FALSE),VLOOKUP(tables_393010!C131,input_393010!A:H,8,FALSE))</f>
        <v>7410</v>
      </c>
      <c r="P131" s="46">
        <f t="shared" ca="1" si="5"/>
        <v>5.5882352941176471E-4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input_393010!A$2</f>
        <v>393010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IFERROR(VLOOKUP(B132,input_393010!L:R,7,FALSE),VLOOKUP(tables_393010!C132,input_393010!A:H,8,FALSE))</f>
        <v>74100</v>
      </c>
      <c r="P132" s="46">
        <f t="shared" ca="1" si="5"/>
        <v>5.5882352941176473E-3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input_393010!A$2</f>
        <v>393010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IFERROR(VLOOKUP(B133,input_393010!L:R,7,FALSE),VLOOKUP(tables_393010!C133,input_393010!A:H,8,FALSE))</f>
        <v>66690</v>
      </c>
      <c r="P133" s="46">
        <f t="shared" ca="1" si="5"/>
        <v>5.0294117647058821E-3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input_393010!A$2</f>
        <v>393010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IFERROR(VLOOKUP(B134,input_393010!L:R,7,FALSE),VLOOKUP(tables_393010!C134,input_393010!A:H,8,FALSE))</f>
        <v>7410</v>
      </c>
      <c r="P134" s="46">
        <f t="shared" ca="1" si="5"/>
        <v>5.5882352941176471E-4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input_393010!A$2</f>
        <v>393010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IFERROR(VLOOKUP(B135,input_393010!L:R,7,FALSE),VLOOKUP(tables_393010!C135,input_393010!A:H,8,FALSE))</f>
        <v>74100</v>
      </c>
      <c r="P135" s="46">
        <f t="shared" ca="1" si="5"/>
        <v>5.5882352941176473E-3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input_393010!A$2</f>
        <v>393010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IFERROR(VLOOKUP(B136,input_393010!L:R,7,FALSE),VLOOKUP(tables_393010!C136,input_393010!A:H,8,FALSE))</f>
        <v>66690</v>
      </c>
      <c r="P136" s="46">
        <f t="shared" ca="1" si="5"/>
        <v>5.0294117647058821E-3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input_393010!A$2</f>
        <v>393010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IFERROR(VLOOKUP(B137,input_393010!L:R,7,FALSE),VLOOKUP(tables_393010!C137,input_393010!A:H,8,FALSE))</f>
        <v>7410</v>
      </c>
      <c r="P137" s="46">
        <f t="shared" ca="1" si="5"/>
        <v>5.5882352941176471E-4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input_393010!A$2</f>
        <v>393010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IFERROR(VLOOKUP(B138,input_393010!L:R,7,FALSE),VLOOKUP(tables_393010!C138,input_393010!A:H,8,FALSE))</f>
        <v>16150</v>
      </c>
      <c r="P138" s="46">
        <f t="shared" ca="1" si="5"/>
        <v>1.217948717948718E-3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input_393010!A$2</f>
        <v>393010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IFERROR(VLOOKUP(B139,input_393010!L:R,7,FALSE),VLOOKUP(tables_393010!C139,input_393010!A:H,8,FALSE))</f>
        <v>850</v>
      </c>
      <c r="P139" s="46">
        <f t="shared" ca="1" si="5"/>
        <v>6.4102564102564103E-5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input_393010!A$2</f>
        <v>393010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IFERROR(VLOOKUP(B140,input_393010!L:R,7,FALSE),VLOOKUP(tables_393010!C140,input_393010!A:H,8,FALSE))</f>
        <v>16150</v>
      </c>
      <c r="P140" s="46">
        <f t="shared" ca="1" si="5"/>
        <v>1.217948717948718E-3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input_393010!A$2</f>
        <v>393010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IFERROR(VLOOKUP(B141,input_393010!L:R,7,FALSE),VLOOKUP(tables_393010!C141,input_393010!A:H,8,FALSE))</f>
        <v>850</v>
      </c>
      <c r="P141" s="46">
        <f t="shared" ca="1" si="5"/>
        <v>6.4102564102564103E-5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input_393010!A$2</f>
        <v>393010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IFERROR(VLOOKUP(B142,input_393010!L:R,7,FALSE),VLOOKUP(tables_393010!C142,input_393010!A:H,8,FALSE))</f>
        <v>16150</v>
      </c>
      <c r="P142" s="46">
        <f t="shared" ca="1" si="5"/>
        <v>1.217948717948718E-3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input_393010!A$2</f>
        <v>393010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IFERROR(VLOOKUP(B143,input_393010!L:R,7,FALSE),VLOOKUP(tables_393010!C143,input_393010!A:H,8,FALSE))</f>
        <v>850</v>
      </c>
      <c r="P143" s="46">
        <f t="shared" ref="P143:P206" ca="1" si="8">O143/SUM(O:O)</f>
        <v>6.4102564102564103E-5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input_393010!A$2</f>
        <v>393010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IFERROR(VLOOKUP(B144,input_393010!L:R,7,FALSE),VLOOKUP(tables_393010!C144,input_393010!A:H,8,FALSE))</f>
        <v>16150</v>
      </c>
      <c r="P144" s="46">
        <f t="shared" ca="1" si="8"/>
        <v>1.217948717948718E-3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input_393010!A$2</f>
        <v>393010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IFERROR(VLOOKUP(B145,input_393010!L:R,7,FALSE),VLOOKUP(tables_393010!C145,input_393010!A:H,8,FALSE))</f>
        <v>850</v>
      </c>
      <c r="P145" s="46">
        <f t="shared" ca="1" si="8"/>
        <v>6.4102564102564103E-5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input_393010!A$2</f>
        <v>393010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IFERROR(VLOOKUP(B146,input_393010!L:R,7,FALSE),VLOOKUP(tables_393010!C146,input_393010!A:H,8,FALSE))</f>
        <v>74100</v>
      </c>
      <c r="P146" s="46">
        <f t="shared" ca="1" si="8"/>
        <v>5.5882352941176473E-3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input_393010!A$2</f>
        <v>393010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IFERROR(VLOOKUP(B147,input_393010!L:R,7,FALSE),VLOOKUP(tables_393010!C147,input_393010!A:H,8,FALSE))</f>
        <v>66690</v>
      </c>
      <c r="P147" s="46">
        <f t="shared" ca="1" si="8"/>
        <v>5.0294117647058821E-3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input_393010!A$2</f>
        <v>393010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IFERROR(VLOOKUP(B148,input_393010!L:R,7,FALSE),VLOOKUP(tables_393010!C148,input_393010!A:H,8,FALSE))</f>
        <v>7410</v>
      </c>
      <c r="P148" s="46">
        <f t="shared" ca="1" si="8"/>
        <v>5.5882352941176471E-4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input_393010!A$2</f>
        <v>393010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IFERROR(VLOOKUP(B149,input_393010!L:R,7,FALSE),VLOOKUP(tables_393010!C149,input_393010!A:H,8,FALSE))</f>
        <v>16150</v>
      </c>
      <c r="P149" s="46">
        <f t="shared" ca="1" si="8"/>
        <v>1.217948717948718E-3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input_393010!A$2</f>
        <v>393010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IFERROR(VLOOKUP(B150,input_393010!L:R,7,FALSE),VLOOKUP(tables_393010!C150,input_393010!A:H,8,FALSE))</f>
        <v>850</v>
      </c>
      <c r="P150" s="46">
        <f t="shared" ca="1" si="8"/>
        <v>6.4102564102564103E-5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input_393010!A$2</f>
        <v>393010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IFERROR(VLOOKUP(B151,input_393010!L:R,7,FALSE),VLOOKUP(tables_393010!C151,input_393010!A:H,8,FALSE))</f>
        <v>16150</v>
      </c>
      <c r="P151" s="46">
        <f t="shared" ca="1" si="8"/>
        <v>1.217948717948718E-3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input_393010!A$2</f>
        <v>393010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IFERROR(VLOOKUP(B152,input_393010!L:R,7,FALSE),VLOOKUP(tables_393010!C152,input_393010!A:H,8,FALSE))</f>
        <v>850</v>
      </c>
      <c r="P152" s="46">
        <f t="shared" ca="1" si="8"/>
        <v>6.4102564102564103E-5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input_393010!A$2</f>
        <v>393010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IFERROR(VLOOKUP(B153,input_393010!L:R,7,FALSE),VLOOKUP(tables_393010!C153,input_393010!A:H,8,FALSE))</f>
        <v>74100</v>
      </c>
      <c r="P153" s="46">
        <f t="shared" ca="1" si="8"/>
        <v>5.5882352941176473E-3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input_393010!A$2</f>
        <v>393010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IFERROR(VLOOKUP(B154,input_393010!L:R,7,FALSE),VLOOKUP(tables_393010!C154,input_393010!A:H,8,FALSE))</f>
        <v>66690</v>
      </c>
      <c r="P154" s="46">
        <f t="shared" ca="1" si="8"/>
        <v>5.0294117647058821E-3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input_393010!A$2</f>
        <v>393010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IFERROR(VLOOKUP(B155,input_393010!L:R,7,FALSE),VLOOKUP(tables_393010!C155,input_393010!A:H,8,FALSE))</f>
        <v>7410</v>
      </c>
      <c r="P155" s="46">
        <f t="shared" ca="1" si="8"/>
        <v>5.5882352941176471E-4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input_393010!A$2</f>
        <v>393010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IFERROR(VLOOKUP(B156,input_393010!L:R,7,FALSE),VLOOKUP(tables_393010!C156,input_393010!A:H,8,FALSE))</f>
        <v>16150</v>
      </c>
      <c r="P156" s="46">
        <f t="shared" ca="1" si="8"/>
        <v>1.217948717948718E-3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input_393010!A$2</f>
        <v>393010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IFERROR(VLOOKUP(B157,input_393010!L:R,7,FALSE),VLOOKUP(tables_393010!C157,input_393010!A:H,8,FALSE))</f>
        <v>850</v>
      </c>
      <c r="P157" s="46">
        <f t="shared" ca="1" si="8"/>
        <v>6.4102564102564103E-5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input_393010!A$2</f>
        <v>393010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IFERROR(VLOOKUP(B158,input_393010!L:R,7,FALSE),VLOOKUP(tables_393010!C158,input_393010!A:H,8,FALSE))</f>
        <v>74100</v>
      </c>
      <c r="P158" s="46">
        <f t="shared" ca="1" si="8"/>
        <v>5.5882352941176473E-3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input_393010!A$2</f>
        <v>393010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IFERROR(VLOOKUP(B159,input_393010!L:R,7,FALSE),VLOOKUP(tables_393010!C159,input_393010!A:H,8,FALSE))</f>
        <v>66690</v>
      </c>
      <c r="P159" s="46">
        <f t="shared" ca="1" si="8"/>
        <v>5.0294117647058821E-3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input_393010!A$2</f>
        <v>393010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IFERROR(VLOOKUP(B160,input_393010!L:R,7,FALSE),VLOOKUP(tables_393010!C160,input_393010!A:H,8,FALSE))</f>
        <v>7410</v>
      </c>
      <c r="P160" s="46">
        <f t="shared" ca="1" si="8"/>
        <v>5.5882352941176471E-4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input_393010!A$2</f>
        <v>393010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IFERROR(VLOOKUP(B161,input_393010!L:R,7,FALSE),VLOOKUP(tables_393010!C161,input_393010!A:H,8,FALSE))</f>
        <v>74100</v>
      </c>
      <c r="P161" s="46">
        <f t="shared" ca="1" si="8"/>
        <v>5.5882352941176473E-3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input_393010!A$2</f>
        <v>393010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IFERROR(VLOOKUP(B162,input_393010!L:R,7,FALSE),VLOOKUP(tables_393010!C162,input_393010!A:H,8,FALSE))</f>
        <v>66690</v>
      </c>
      <c r="P162" s="46">
        <f t="shared" ca="1" si="8"/>
        <v>5.0294117647058821E-3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input_393010!A$2</f>
        <v>393010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IFERROR(VLOOKUP(B163,input_393010!L:R,7,FALSE),VLOOKUP(tables_393010!C163,input_393010!A:H,8,FALSE))</f>
        <v>7410</v>
      </c>
      <c r="P163" s="46">
        <f t="shared" ca="1" si="8"/>
        <v>5.5882352941176471E-4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input_393010!A$2</f>
        <v>393010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IFERROR(VLOOKUP(B164,input_393010!L:R,7,FALSE),VLOOKUP(tables_393010!C164,input_393010!A:H,8,FALSE))</f>
        <v>16150</v>
      </c>
      <c r="P164" s="46">
        <f t="shared" ca="1" si="8"/>
        <v>1.217948717948718E-3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input_393010!A$2</f>
        <v>393010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IFERROR(VLOOKUP(B165,input_393010!L:R,7,FALSE),VLOOKUP(tables_393010!C165,input_393010!A:H,8,FALSE))</f>
        <v>850</v>
      </c>
      <c r="P165" s="46">
        <f t="shared" ca="1" si="8"/>
        <v>6.4102564102564103E-5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input_393010!A$2</f>
        <v>393010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IFERROR(VLOOKUP(B166,input_393010!L:R,7,FALSE),VLOOKUP(tables_393010!C166,input_393010!A:H,8,FALSE))</f>
        <v>74100</v>
      </c>
      <c r="P166" s="46">
        <f t="shared" ca="1" si="8"/>
        <v>5.5882352941176473E-3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input_393010!A$2</f>
        <v>393010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IFERROR(VLOOKUP(B167,input_393010!L:R,7,FALSE),VLOOKUP(tables_393010!C167,input_393010!A:H,8,FALSE))</f>
        <v>66690</v>
      </c>
      <c r="P167" s="46">
        <f t="shared" ca="1" si="8"/>
        <v>5.0294117647058821E-3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input_393010!A$2</f>
        <v>393010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IFERROR(VLOOKUP(B168,input_393010!L:R,7,FALSE),VLOOKUP(tables_393010!C168,input_393010!A:H,8,FALSE))</f>
        <v>7410</v>
      </c>
      <c r="P168" s="46">
        <f t="shared" ca="1" si="8"/>
        <v>5.5882352941176471E-4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input_393010!A$2</f>
        <v>393010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IFERROR(VLOOKUP(B169,input_393010!L:R,7,FALSE),VLOOKUP(tables_393010!C169,input_393010!A:H,8,FALSE))</f>
        <v>16150</v>
      </c>
      <c r="P169" s="46">
        <f t="shared" ca="1" si="8"/>
        <v>1.217948717948718E-3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input_393010!A$2</f>
        <v>393010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IFERROR(VLOOKUP(B170,input_393010!L:R,7,FALSE),VLOOKUP(tables_393010!C170,input_393010!A:H,8,FALSE))</f>
        <v>850</v>
      </c>
      <c r="P170" s="46">
        <f t="shared" ca="1" si="8"/>
        <v>6.4102564102564103E-5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input_393010!A$2</f>
        <v>393010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IFERROR(VLOOKUP(B171,input_393010!L:R,7,FALSE),VLOOKUP(tables_393010!C171,input_393010!A:H,8,FALSE))</f>
        <v>74100</v>
      </c>
      <c r="P171" s="46">
        <f t="shared" ca="1" si="8"/>
        <v>5.5882352941176473E-3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input_393010!A$2</f>
        <v>393010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IFERROR(VLOOKUP(B172,input_393010!L:R,7,FALSE),VLOOKUP(tables_393010!C172,input_393010!A:H,8,FALSE))</f>
        <v>66690</v>
      </c>
      <c r="P172" s="46">
        <f t="shared" ca="1" si="8"/>
        <v>5.0294117647058821E-3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input_393010!A$2</f>
        <v>393010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IFERROR(VLOOKUP(B173,input_393010!L:R,7,FALSE),VLOOKUP(tables_393010!C173,input_393010!A:H,8,FALSE))</f>
        <v>7410</v>
      </c>
      <c r="P173" s="46">
        <f t="shared" ca="1" si="8"/>
        <v>5.5882352941176471E-4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input_393010!A$2</f>
        <v>393010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IFERROR(VLOOKUP(B174,input_393010!L:R,7,FALSE),VLOOKUP(tables_393010!C174,input_393010!A:H,8,FALSE))</f>
        <v>16150</v>
      </c>
      <c r="P174" s="46">
        <f t="shared" ca="1" si="8"/>
        <v>1.217948717948718E-3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input_393010!A$2</f>
        <v>393010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IFERROR(VLOOKUP(B175,input_393010!L:R,7,FALSE),VLOOKUP(tables_393010!C175,input_393010!A:H,8,FALSE))</f>
        <v>850</v>
      </c>
      <c r="P175" s="46">
        <f t="shared" ca="1" si="8"/>
        <v>6.4102564102564103E-5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input_393010!A$2</f>
        <v>393010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IFERROR(VLOOKUP(B176,input_393010!L:R,7,FALSE),VLOOKUP(tables_393010!C176,input_393010!A:H,8,FALSE))</f>
        <v>16150</v>
      </c>
      <c r="P176" s="46">
        <f t="shared" ca="1" si="8"/>
        <v>1.217948717948718E-3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input_393010!A$2</f>
        <v>393010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IFERROR(VLOOKUP(B177,input_393010!L:R,7,FALSE),VLOOKUP(tables_393010!C177,input_393010!A:H,8,FALSE))</f>
        <v>850</v>
      </c>
      <c r="P177" s="46">
        <f t="shared" ca="1" si="8"/>
        <v>6.4102564102564103E-5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input_393010!A$2</f>
        <v>393010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IFERROR(VLOOKUP(B178,input_393010!L:R,7,FALSE),VLOOKUP(tables_393010!C178,input_393010!A:H,8,FALSE))</f>
        <v>74100</v>
      </c>
      <c r="P178" s="46">
        <f t="shared" ca="1" si="8"/>
        <v>5.5882352941176473E-3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input_393010!A$2</f>
        <v>393010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IFERROR(VLOOKUP(B179,input_393010!L:R,7,FALSE),VLOOKUP(tables_393010!C179,input_393010!A:H,8,FALSE))</f>
        <v>66690</v>
      </c>
      <c r="P179" s="46">
        <f t="shared" ca="1" si="8"/>
        <v>5.0294117647058821E-3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input_393010!A$2</f>
        <v>393010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IFERROR(VLOOKUP(B180,input_393010!L:R,7,FALSE),VLOOKUP(tables_393010!C180,input_393010!A:H,8,FALSE))</f>
        <v>7410</v>
      </c>
      <c r="P180" s="46">
        <f t="shared" ca="1" si="8"/>
        <v>5.5882352941176471E-4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input_393010!A$2</f>
        <v>393010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IFERROR(VLOOKUP(B181,input_393010!L:R,7,FALSE),VLOOKUP(tables_393010!C181,input_393010!A:H,8,FALSE))</f>
        <v>74100</v>
      </c>
      <c r="P181" s="46">
        <f t="shared" ca="1" si="8"/>
        <v>5.5882352941176473E-3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input_393010!A$2</f>
        <v>393010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IFERROR(VLOOKUP(B182,input_393010!L:R,7,FALSE),VLOOKUP(tables_393010!C182,input_393010!A:H,8,FALSE))</f>
        <v>66690</v>
      </c>
      <c r="P182" s="46">
        <f t="shared" ca="1" si="8"/>
        <v>5.0294117647058821E-3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input_393010!A$2</f>
        <v>393010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IFERROR(VLOOKUP(B183,input_393010!L:R,7,FALSE),VLOOKUP(tables_393010!C183,input_393010!A:H,8,FALSE))</f>
        <v>7410</v>
      </c>
      <c r="P183" s="46">
        <f t="shared" ca="1" si="8"/>
        <v>5.5882352941176471E-4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input_393010!A$2</f>
        <v>393010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IFERROR(VLOOKUP(B184,input_393010!L:R,7,FALSE),VLOOKUP(tables_393010!C184,input_393010!A:H,8,FALSE))</f>
        <v>16150</v>
      </c>
      <c r="P184" s="46">
        <f t="shared" ca="1" si="8"/>
        <v>1.217948717948718E-3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input_393010!A$2</f>
        <v>393010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IFERROR(VLOOKUP(B185,input_393010!L:R,7,FALSE),VLOOKUP(tables_393010!C185,input_393010!A:H,8,FALSE))</f>
        <v>850</v>
      </c>
      <c r="P185" s="46">
        <f t="shared" ca="1" si="8"/>
        <v>6.4102564102564103E-5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input_393010!A$2</f>
        <v>393010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IFERROR(VLOOKUP(B186,input_393010!L:R,7,FALSE),VLOOKUP(tables_393010!C186,input_393010!A:H,8,FALSE))</f>
        <v>74100</v>
      </c>
      <c r="P186" s="46">
        <f t="shared" ca="1" si="8"/>
        <v>5.5882352941176473E-3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input_393010!A$2</f>
        <v>393010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IFERROR(VLOOKUP(B187,input_393010!L:R,7,FALSE),VLOOKUP(tables_393010!C187,input_393010!A:H,8,FALSE))</f>
        <v>66690</v>
      </c>
      <c r="P187" s="46">
        <f t="shared" ca="1" si="8"/>
        <v>5.0294117647058821E-3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input_393010!A$2</f>
        <v>393010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IFERROR(VLOOKUP(B188,input_393010!L:R,7,FALSE),VLOOKUP(tables_393010!C188,input_393010!A:H,8,FALSE))</f>
        <v>7410</v>
      </c>
      <c r="P188" s="46">
        <f t="shared" ca="1" si="8"/>
        <v>5.5882352941176471E-4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input_393010!A$2</f>
        <v>393010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IFERROR(VLOOKUP(B189,input_393010!L:R,7,FALSE),VLOOKUP(tables_393010!C189,input_393010!A:H,8,FALSE))</f>
        <v>16150</v>
      </c>
      <c r="P189" s="46">
        <f t="shared" ca="1" si="8"/>
        <v>1.217948717948718E-3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input_393010!A$2</f>
        <v>393010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IFERROR(VLOOKUP(B190,input_393010!L:R,7,FALSE),VLOOKUP(tables_393010!C190,input_393010!A:H,8,FALSE))</f>
        <v>850</v>
      </c>
      <c r="P190" s="46">
        <f t="shared" ca="1" si="8"/>
        <v>6.4102564102564103E-5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input_393010!A$2</f>
        <v>393010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IFERROR(VLOOKUP(B191,input_393010!L:R,7,FALSE),VLOOKUP(tables_393010!C191,input_393010!A:H,8,FALSE))</f>
        <v>16150</v>
      </c>
      <c r="P191" s="46">
        <f t="shared" ca="1" si="8"/>
        <v>1.217948717948718E-3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input_393010!A$2</f>
        <v>393010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IFERROR(VLOOKUP(B192,input_393010!L:R,7,FALSE),VLOOKUP(tables_393010!C192,input_393010!A:H,8,FALSE))</f>
        <v>850</v>
      </c>
      <c r="P192" s="46">
        <f t="shared" ca="1" si="8"/>
        <v>6.4102564102564103E-5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input_393010!A$2</f>
        <v>393010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IFERROR(VLOOKUP(B193,input_393010!L:R,7,FALSE),VLOOKUP(tables_393010!C193,input_393010!A:H,8,FALSE))</f>
        <v>74100</v>
      </c>
      <c r="P193" s="46">
        <f t="shared" ca="1" si="8"/>
        <v>5.5882352941176473E-3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input_393010!A$2</f>
        <v>393010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IFERROR(VLOOKUP(B194,input_393010!L:R,7,FALSE),VLOOKUP(tables_393010!C194,input_393010!A:H,8,FALSE))</f>
        <v>66690</v>
      </c>
      <c r="P194" s="46">
        <f t="shared" ca="1" si="8"/>
        <v>5.0294117647058821E-3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input_393010!A$2</f>
        <v>393010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IFERROR(VLOOKUP(B195,input_393010!L:R,7,FALSE),VLOOKUP(tables_393010!C195,input_393010!A:H,8,FALSE))</f>
        <v>7410</v>
      </c>
      <c r="P195" s="46">
        <f t="shared" ca="1" si="8"/>
        <v>5.5882352941176471E-4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input_393010!A$2</f>
        <v>393010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IFERROR(VLOOKUP(B196,input_393010!L:R,7,FALSE),VLOOKUP(tables_393010!C196,input_393010!A:H,8,FALSE))</f>
        <v>16150</v>
      </c>
      <c r="P196" s="46">
        <f t="shared" ca="1" si="8"/>
        <v>1.217948717948718E-3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input_393010!A$2</f>
        <v>393010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IFERROR(VLOOKUP(B197,input_393010!L:R,7,FALSE),VLOOKUP(tables_393010!C197,input_393010!A:H,8,FALSE))</f>
        <v>850</v>
      </c>
      <c r="P197" s="46">
        <f t="shared" ca="1" si="8"/>
        <v>6.4102564102564103E-5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input_393010!A$2</f>
        <v>393010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IFERROR(VLOOKUP(B198,input_393010!L:R,7,FALSE),VLOOKUP(tables_393010!C198,input_393010!A:H,8,FALSE))</f>
        <v>74100</v>
      </c>
      <c r="P198" s="46">
        <f t="shared" ca="1" si="8"/>
        <v>5.5882352941176473E-3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input_393010!A$2</f>
        <v>393010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IFERROR(VLOOKUP(B199,input_393010!L:R,7,FALSE),VLOOKUP(tables_393010!C199,input_393010!A:H,8,FALSE))</f>
        <v>66690</v>
      </c>
      <c r="P199" s="46">
        <f t="shared" ca="1" si="8"/>
        <v>5.0294117647058821E-3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input_393010!A$2</f>
        <v>393010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IFERROR(VLOOKUP(B200,input_393010!L:R,7,FALSE),VLOOKUP(tables_393010!C200,input_393010!A:H,8,FALSE))</f>
        <v>7410</v>
      </c>
      <c r="P200" s="46">
        <f t="shared" ca="1" si="8"/>
        <v>5.5882352941176471E-4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input_393010!A$2</f>
        <v>393010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IFERROR(VLOOKUP(B201,input_393010!L:R,7,FALSE),VLOOKUP(tables_393010!C201,input_393010!A:H,8,FALSE))</f>
        <v>16150</v>
      </c>
      <c r="P201" s="46">
        <f t="shared" ca="1" si="8"/>
        <v>1.217948717948718E-3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input_393010!A$2</f>
        <v>393010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IFERROR(VLOOKUP(B202,input_393010!L:R,7,FALSE),VLOOKUP(tables_393010!C202,input_393010!A:H,8,FALSE))</f>
        <v>850</v>
      </c>
      <c r="P202" s="46">
        <f t="shared" ca="1" si="8"/>
        <v>6.4102564102564103E-5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input_393010!A$2</f>
        <v>393010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IFERROR(VLOOKUP(B203,input_393010!L:R,7,FALSE),VLOOKUP(tables_393010!C203,input_393010!A:H,8,FALSE))</f>
        <v>74100</v>
      </c>
      <c r="P203" s="46">
        <f t="shared" ca="1" si="8"/>
        <v>5.5882352941176473E-3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input_393010!A$2</f>
        <v>393010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IFERROR(VLOOKUP(B204,input_393010!L:R,7,FALSE),VLOOKUP(tables_393010!C204,input_393010!A:H,8,FALSE))</f>
        <v>66690</v>
      </c>
      <c r="P204" s="46">
        <f t="shared" ca="1" si="8"/>
        <v>5.0294117647058821E-3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input_393010!A$2</f>
        <v>393010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IFERROR(VLOOKUP(B205,input_393010!L:R,7,FALSE),VLOOKUP(tables_393010!C205,input_393010!A:H,8,FALSE))</f>
        <v>7410</v>
      </c>
      <c r="P205" s="46">
        <f t="shared" ca="1" si="8"/>
        <v>5.5882352941176471E-4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input_393010!A$2</f>
        <v>393010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IFERROR(VLOOKUP(B206,input_393010!L:R,7,FALSE),VLOOKUP(tables_393010!C206,input_393010!A:H,8,FALSE))</f>
        <v>16150</v>
      </c>
      <c r="P206" s="46">
        <f t="shared" ca="1" si="8"/>
        <v>1.217948717948718E-3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input_393010!A$2</f>
        <v>393010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IFERROR(VLOOKUP(B207,input_393010!L:R,7,FALSE),VLOOKUP(tables_393010!C207,input_393010!A:H,8,FALSE))</f>
        <v>850</v>
      </c>
      <c r="P207" s="46">
        <f t="shared" ref="P207:P270" ca="1" si="11">O207/SUM(O:O)</f>
        <v>6.4102564102564103E-5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input_393010!A$2</f>
        <v>393010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IFERROR(VLOOKUP(B208,input_393010!L:R,7,FALSE),VLOOKUP(tables_393010!C208,input_393010!A:H,8,FALSE))</f>
        <v>16150</v>
      </c>
      <c r="P208" s="46">
        <f t="shared" ca="1" si="11"/>
        <v>1.217948717948718E-3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input_393010!A$2</f>
        <v>393010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IFERROR(VLOOKUP(B209,input_393010!L:R,7,FALSE),VLOOKUP(tables_393010!C209,input_393010!A:H,8,FALSE))</f>
        <v>850</v>
      </c>
      <c r="P209" s="46">
        <f t="shared" ca="1" si="11"/>
        <v>6.4102564102564103E-5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input_393010!A$2</f>
        <v>393010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IFERROR(VLOOKUP(B210,input_393010!L:R,7,FALSE),VLOOKUP(tables_393010!C210,input_393010!A:H,8,FALSE))</f>
        <v>74100</v>
      </c>
      <c r="P210" s="46">
        <f t="shared" ca="1" si="11"/>
        <v>5.5882352941176473E-3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input_393010!A$2</f>
        <v>393010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IFERROR(VLOOKUP(B211,input_393010!L:R,7,FALSE),VLOOKUP(tables_393010!C211,input_393010!A:H,8,FALSE))</f>
        <v>66690</v>
      </c>
      <c r="P211" s="46">
        <f t="shared" ca="1" si="11"/>
        <v>5.0294117647058821E-3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input_393010!A$2</f>
        <v>393010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IFERROR(VLOOKUP(B212,input_393010!L:R,7,FALSE),VLOOKUP(tables_393010!C212,input_393010!A:H,8,FALSE))</f>
        <v>7410</v>
      </c>
      <c r="P212" s="46">
        <f t="shared" ca="1" si="11"/>
        <v>5.5882352941176471E-4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input_393010!A$2</f>
        <v>393010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IFERROR(VLOOKUP(B213,input_393010!L:R,7,FALSE),VLOOKUP(tables_393010!C213,input_393010!A:H,8,FALSE))</f>
        <v>16150</v>
      </c>
      <c r="P213" s="46">
        <f t="shared" ca="1" si="11"/>
        <v>1.217948717948718E-3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input_393010!A$2</f>
        <v>393010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IFERROR(VLOOKUP(B214,input_393010!L:R,7,FALSE),VLOOKUP(tables_393010!C214,input_393010!A:H,8,FALSE))</f>
        <v>850</v>
      </c>
      <c r="P214" s="46">
        <f t="shared" ca="1" si="11"/>
        <v>6.4102564102564103E-5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input_393010!A$2</f>
        <v>393010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IFERROR(VLOOKUP(B215,input_393010!L:R,7,FALSE),VLOOKUP(tables_393010!C215,input_393010!A:H,8,FALSE))</f>
        <v>16150</v>
      </c>
      <c r="P215" s="46">
        <f t="shared" ca="1" si="11"/>
        <v>1.217948717948718E-3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input_393010!A$2</f>
        <v>393010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IFERROR(VLOOKUP(B216,input_393010!L:R,7,FALSE),VLOOKUP(tables_393010!C216,input_393010!A:H,8,FALSE))</f>
        <v>850</v>
      </c>
      <c r="P216" s="46">
        <f t="shared" ca="1" si="11"/>
        <v>6.4102564102564103E-5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input_393010!A$2</f>
        <v>393010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IFERROR(VLOOKUP(B217,input_393010!L:R,7,FALSE),VLOOKUP(tables_393010!C217,input_393010!A:H,8,FALSE))</f>
        <v>74100</v>
      </c>
      <c r="P217" s="46">
        <f t="shared" ca="1" si="11"/>
        <v>5.5882352941176473E-3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input_393010!A$2</f>
        <v>393010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IFERROR(VLOOKUP(B218,input_393010!L:R,7,FALSE),VLOOKUP(tables_393010!C218,input_393010!A:H,8,FALSE))</f>
        <v>66690</v>
      </c>
      <c r="P218" s="46">
        <f t="shared" ca="1" si="11"/>
        <v>5.0294117647058821E-3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input_393010!A$2</f>
        <v>393010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IFERROR(VLOOKUP(B219,input_393010!L:R,7,FALSE),VLOOKUP(tables_393010!C219,input_393010!A:H,8,FALSE))</f>
        <v>7410</v>
      </c>
      <c r="P219" s="46">
        <f t="shared" ca="1" si="11"/>
        <v>5.5882352941176471E-4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input_393010!A$2</f>
        <v>393010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IFERROR(VLOOKUP(B220,input_393010!L:R,7,FALSE),VLOOKUP(tables_393010!C220,input_393010!A:H,8,FALSE))</f>
        <v>74100</v>
      </c>
      <c r="P220" s="46">
        <f t="shared" ca="1" si="11"/>
        <v>5.5882352941176473E-3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input_393010!A$2</f>
        <v>393010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IFERROR(VLOOKUP(B221,input_393010!L:R,7,FALSE),VLOOKUP(tables_393010!C221,input_393010!A:H,8,FALSE))</f>
        <v>66690</v>
      </c>
      <c r="P221" s="46">
        <f t="shared" ca="1" si="11"/>
        <v>5.0294117647058821E-3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input_393010!A$2</f>
        <v>393010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IFERROR(VLOOKUP(B222,input_393010!L:R,7,FALSE),VLOOKUP(tables_393010!C222,input_393010!A:H,8,FALSE))</f>
        <v>7410</v>
      </c>
      <c r="P222" s="46">
        <f t="shared" ca="1" si="11"/>
        <v>5.5882352941176471E-4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input_393010!A$2</f>
        <v>393010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IFERROR(VLOOKUP(B223,input_393010!L:R,7,FALSE),VLOOKUP(tables_393010!C223,input_393010!A:H,8,FALSE))</f>
        <v>16150</v>
      </c>
      <c r="P223" s="46">
        <f t="shared" ca="1" si="11"/>
        <v>1.217948717948718E-3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input_393010!A$2</f>
        <v>393010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IFERROR(VLOOKUP(B224,input_393010!L:R,7,FALSE),VLOOKUP(tables_393010!C224,input_393010!A:H,8,FALSE))</f>
        <v>850</v>
      </c>
      <c r="P224" s="46">
        <f t="shared" ca="1" si="11"/>
        <v>6.4102564102564103E-5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input_393010!A$2</f>
        <v>393010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IFERROR(VLOOKUP(B225,input_393010!L:R,7,FALSE),VLOOKUP(tables_393010!C225,input_393010!A:H,8,FALSE))</f>
        <v>74100</v>
      </c>
      <c r="P225" s="46">
        <f t="shared" ca="1" si="11"/>
        <v>5.5882352941176473E-3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input_393010!A$2</f>
        <v>393010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IFERROR(VLOOKUP(B226,input_393010!L:R,7,FALSE),VLOOKUP(tables_393010!C226,input_393010!A:H,8,FALSE))</f>
        <v>66690</v>
      </c>
      <c r="P226" s="46">
        <f t="shared" ca="1" si="11"/>
        <v>5.0294117647058821E-3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input_393010!A$2</f>
        <v>393010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IFERROR(VLOOKUP(B227,input_393010!L:R,7,FALSE),VLOOKUP(tables_393010!C227,input_393010!A:H,8,FALSE))</f>
        <v>7410</v>
      </c>
      <c r="P227" s="46">
        <f t="shared" ca="1" si="11"/>
        <v>5.5882352941176471E-4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input_393010!A$2</f>
        <v>393010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IFERROR(VLOOKUP(B228,input_393010!L:R,7,FALSE),VLOOKUP(tables_393010!C228,input_393010!A:H,8,FALSE))</f>
        <v>74100</v>
      </c>
      <c r="P228" s="46">
        <f t="shared" ca="1" si="11"/>
        <v>5.5882352941176473E-3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input_393010!A$2</f>
        <v>393010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IFERROR(VLOOKUP(B229,input_393010!L:R,7,FALSE),VLOOKUP(tables_393010!C229,input_393010!A:H,8,FALSE))</f>
        <v>66690</v>
      </c>
      <c r="P229" s="46">
        <f t="shared" ca="1" si="11"/>
        <v>5.0294117647058821E-3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input_393010!A$2</f>
        <v>393010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IFERROR(VLOOKUP(B230,input_393010!L:R,7,FALSE),VLOOKUP(tables_393010!C230,input_393010!A:H,8,FALSE))</f>
        <v>7410</v>
      </c>
      <c r="P230" s="46">
        <f t="shared" ca="1" si="11"/>
        <v>5.5882352941176471E-4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input_393010!A$2</f>
        <v>393010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IFERROR(VLOOKUP(B231,input_393010!L:R,7,FALSE),VLOOKUP(tables_393010!C231,input_393010!A:H,8,FALSE))</f>
        <v>16150</v>
      </c>
      <c r="P231" s="46">
        <f t="shared" ca="1" si="11"/>
        <v>1.217948717948718E-3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input_393010!A$2</f>
        <v>393010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IFERROR(VLOOKUP(B232,input_393010!L:R,7,FALSE),VLOOKUP(tables_393010!C232,input_393010!A:H,8,FALSE))</f>
        <v>850</v>
      </c>
      <c r="P232" s="46">
        <f t="shared" ca="1" si="11"/>
        <v>6.4102564102564103E-5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input_393010!A$2</f>
        <v>393010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IFERROR(VLOOKUP(B233,input_393010!L:R,7,FALSE),VLOOKUP(tables_393010!C233,input_393010!A:H,8,FALSE))</f>
        <v>74100</v>
      </c>
      <c r="P233" s="46">
        <f t="shared" ca="1" si="11"/>
        <v>5.5882352941176473E-3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input_393010!A$2</f>
        <v>393010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IFERROR(VLOOKUP(B234,input_393010!L:R,7,FALSE),VLOOKUP(tables_393010!C234,input_393010!A:H,8,FALSE))</f>
        <v>66690</v>
      </c>
      <c r="P234" s="46">
        <f t="shared" ca="1" si="11"/>
        <v>5.0294117647058821E-3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input_393010!A$2</f>
        <v>393010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IFERROR(VLOOKUP(B235,input_393010!L:R,7,FALSE),VLOOKUP(tables_393010!C235,input_393010!A:H,8,FALSE))</f>
        <v>7410</v>
      </c>
      <c r="P235" s="46">
        <f t="shared" ca="1" si="11"/>
        <v>5.5882352941176471E-4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input_393010!A$2</f>
        <v>393010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IFERROR(VLOOKUP(B236,input_393010!L:R,7,FALSE),VLOOKUP(tables_393010!C236,input_393010!A:H,8,FALSE))</f>
        <v>16150</v>
      </c>
      <c r="P236" s="46">
        <f t="shared" ca="1" si="11"/>
        <v>1.217948717948718E-3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input_393010!A$2</f>
        <v>393010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IFERROR(VLOOKUP(B237,input_393010!L:R,7,FALSE),VLOOKUP(tables_393010!C237,input_393010!A:H,8,FALSE))</f>
        <v>850</v>
      </c>
      <c r="P237" s="46">
        <f t="shared" ca="1" si="11"/>
        <v>6.4102564102564103E-5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input_393010!A$2</f>
        <v>393010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IFERROR(VLOOKUP(B238,input_393010!L:R,7,FALSE),VLOOKUP(tables_393010!C238,input_393010!A:H,8,FALSE))</f>
        <v>16150</v>
      </c>
      <c r="P238" s="46">
        <f t="shared" ca="1" si="11"/>
        <v>1.217948717948718E-3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input_393010!A$2</f>
        <v>393010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IFERROR(VLOOKUP(B239,input_393010!L:R,7,FALSE),VLOOKUP(tables_393010!C239,input_393010!A:H,8,FALSE))</f>
        <v>850</v>
      </c>
      <c r="P239" s="46">
        <f t="shared" ca="1" si="11"/>
        <v>6.4102564102564103E-5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input_393010!A$2</f>
        <v>393010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IFERROR(VLOOKUP(B240,input_393010!L:R,7,FALSE),VLOOKUP(tables_393010!C240,input_393010!A:H,8,FALSE))</f>
        <v>74100</v>
      </c>
      <c r="P240" s="46">
        <f t="shared" ca="1" si="11"/>
        <v>5.5882352941176473E-3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input_393010!A$2</f>
        <v>393010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IFERROR(VLOOKUP(B241,input_393010!L:R,7,FALSE),VLOOKUP(tables_393010!C241,input_393010!A:H,8,FALSE))</f>
        <v>66690</v>
      </c>
      <c r="P241" s="46">
        <f t="shared" ca="1" si="11"/>
        <v>5.0294117647058821E-3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input_393010!A$2</f>
        <v>393010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IFERROR(VLOOKUP(B242,input_393010!L:R,7,FALSE),VLOOKUP(tables_393010!C242,input_393010!A:H,8,FALSE))</f>
        <v>7410</v>
      </c>
      <c r="P242" s="46">
        <f t="shared" ca="1" si="11"/>
        <v>5.5882352941176471E-4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input_393010!A$2</f>
        <v>393010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IFERROR(VLOOKUP(B243,input_393010!L:R,7,FALSE),VLOOKUP(tables_393010!C243,input_393010!A:H,8,FALSE))</f>
        <v>74100</v>
      </c>
      <c r="P243" s="46">
        <f t="shared" ca="1" si="11"/>
        <v>5.5882352941176473E-3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input_393010!A$2</f>
        <v>393010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IFERROR(VLOOKUP(B244,input_393010!L:R,7,FALSE),VLOOKUP(tables_393010!C244,input_393010!A:H,8,FALSE))</f>
        <v>66690</v>
      </c>
      <c r="P244" s="46">
        <f t="shared" ca="1" si="11"/>
        <v>5.0294117647058821E-3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input_393010!A$2</f>
        <v>393010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IFERROR(VLOOKUP(B245,input_393010!L:R,7,FALSE),VLOOKUP(tables_393010!C245,input_393010!A:H,8,FALSE))</f>
        <v>7410</v>
      </c>
      <c r="P245" s="46">
        <f t="shared" ca="1" si="11"/>
        <v>5.5882352941176471E-4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input_393010!A$2</f>
        <v>393010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IFERROR(VLOOKUP(B246,input_393010!L:R,7,FALSE),VLOOKUP(tables_393010!C246,input_393010!A:H,8,FALSE))</f>
        <v>74100</v>
      </c>
      <c r="P246" s="46">
        <f t="shared" ca="1" si="11"/>
        <v>5.5882352941176473E-3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input_393010!A$2</f>
        <v>393010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IFERROR(VLOOKUP(B247,input_393010!L:R,7,FALSE),VLOOKUP(tables_393010!C247,input_393010!A:H,8,FALSE))</f>
        <v>66690</v>
      </c>
      <c r="P247" s="46">
        <f t="shared" ca="1" si="11"/>
        <v>5.0294117647058821E-3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input_393010!A$2</f>
        <v>393010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IFERROR(VLOOKUP(B248,input_393010!L:R,7,FALSE),VLOOKUP(tables_393010!C248,input_393010!A:H,8,FALSE))</f>
        <v>7410</v>
      </c>
      <c r="P248" s="46">
        <f t="shared" ca="1" si="11"/>
        <v>5.5882352941176471E-4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input_393010!A$2</f>
        <v>393010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IFERROR(VLOOKUP(B249,input_393010!L:R,7,FALSE),VLOOKUP(tables_393010!C249,input_393010!A:H,8,FALSE))</f>
        <v>74100</v>
      </c>
      <c r="P249" s="46">
        <f t="shared" ca="1" si="11"/>
        <v>5.5882352941176473E-3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input_393010!A$2</f>
        <v>393010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IFERROR(VLOOKUP(B250,input_393010!L:R,7,FALSE),VLOOKUP(tables_393010!C250,input_393010!A:H,8,FALSE))</f>
        <v>66690</v>
      </c>
      <c r="P250" s="46">
        <f t="shared" ca="1" si="11"/>
        <v>5.0294117647058821E-3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input_393010!A$2</f>
        <v>393010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IFERROR(VLOOKUP(B251,input_393010!L:R,7,FALSE),VLOOKUP(tables_393010!C251,input_393010!A:H,8,FALSE))</f>
        <v>7410</v>
      </c>
      <c r="P251" s="46">
        <f t="shared" ca="1" si="11"/>
        <v>5.5882352941176471E-4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input_393010!A$2</f>
        <v>393010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IFERROR(VLOOKUP(B252,input_393010!L:R,7,FALSE),VLOOKUP(tables_393010!C252,input_393010!A:H,8,FALSE))</f>
        <v>16150</v>
      </c>
      <c r="P252" s="46">
        <f t="shared" ca="1" si="11"/>
        <v>1.217948717948718E-3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input_393010!A$2</f>
        <v>393010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IFERROR(VLOOKUP(B253,input_393010!L:R,7,FALSE),VLOOKUP(tables_393010!C253,input_393010!A:H,8,FALSE))</f>
        <v>850</v>
      </c>
      <c r="P253" s="46">
        <f t="shared" ca="1" si="11"/>
        <v>6.4102564102564103E-5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input_393010!A$2</f>
        <v>393010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IFERROR(VLOOKUP(B254,input_393010!L:R,7,FALSE),VLOOKUP(tables_393010!C254,input_393010!A:H,8,FALSE))</f>
        <v>16150</v>
      </c>
      <c r="P254" s="46">
        <f t="shared" ca="1" si="11"/>
        <v>1.217948717948718E-3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input_393010!A$2</f>
        <v>393010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IFERROR(VLOOKUP(B255,input_393010!L:R,7,FALSE),VLOOKUP(tables_393010!C255,input_393010!A:H,8,FALSE))</f>
        <v>850</v>
      </c>
      <c r="P255" s="46">
        <f t="shared" ca="1" si="11"/>
        <v>6.4102564102564103E-5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input_393010!A$2</f>
        <v>393010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IFERROR(VLOOKUP(B256,input_393010!L:R,7,FALSE),VLOOKUP(tables_393010!C256,input_393010!A:H,8,FALSE))</f>
        <v>144062.22222</v>
      </c>
      <c r="P256" s="46">
        <f t="shared" ca="1" si="11"/>
        <v>1.0864420981900453E-2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input_393010!A$2</f>
        <v>393010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IFERROR(VLOOKUP(B257,input_393010!L:R,7,FALSE),VLOOKUP(tables_393010!C257,input_393010!A:H,8,FALSE))</f>
        <v>4137.7777800000003</v>
      </c>
      <c r="P257" s="46">
        <f t="shared" ca="1" si="11"/>
        <v>3.1204960633484166E-4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input_393010!A$2</f>
        <v>393010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IFERROR(VLOOKUP(B258,input_393010!L:R,7,FALSE),VLOOKUP(tables_393010!C258,input_393010!A:H,8,FALSE))</f>
        <v>144062.22222</v>
      </c>
      <c r="P258" s="46">
        <f t="shared" ca="1" si="11"/>
        <v>1.0864420981900453E-2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input_393010!A$2</f>
        <v>393010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IFERROR(VLOOKUP(B259,input_393010!L:R,7,FALSE),VLOOKUP(tables_393010!C259,input_393010!A:H,8,FALSE))</f>
        <v>4137.7777800000003</v>
      </c>
      <c r="P259" s="46">
        <f t="shared" ca="1" si="11"/>
        <v>3.1204960633484166E-4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input_393010!A$2</f>
        <v>393010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IFERROR(VLOOKUP(B260,input_393010!L:R,7,FALSE),VLOOKUP(tables_393010!C260,input_393010!A:H,8,FALSE))</f>
        <v>17000</v>
      </c>
      <c r="P260" s="46">
        <f t="shared" ca="1" si="11"/>
        <v>1.2820512820512821E-3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input_393010!A$2</f>
        <v>393010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IFERROR(VLOOKUP(B261,input_393010!L:R,7,FALSE),VLOOKUP(tables_393010!C261,input_393010!A:H,8,FALSE))</f>
        <v>17000</v>
      </c>
      <c r="P261" s="46">
        <f t="shared" ca="1" si="11"/>
        <v>1.2820512820512821E-3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input_393010!A$2</f>
        <v>393010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IFERROR(VLOOKUP(B262,input_393010!L:R,7,FALSE),VLOOKUP(tables_393010!C262,input_393010!A:H,8,FALSE))</f>
        <v>16150</v>
      </c>
      <c r="P262" s="46">
        <f t="shared" ca="1" si="11"/>
        <v>1.217948717948718E-3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input_393010!A$2</f>
        <v>393010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IFERROR(VLOOKUP(B263,input_393010!L:R,7,FALSE),VLOOKUP(tables_393010!C263,input_393010!A:H,8,FALSE))</f>
        <v>850</v>
      </c>
      <c r="P263" s="46">
        <f t="shared" ca="1" si="11"/>
        <v>6.4102564102564103E-5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input_393010!A$2</f>
        <v>393010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IFERROR(VLOOKUP(B264,input_393010!L:R,7,FALSE),VLOOKUP(tables_393010!C264,input_393010!A:H,8,FALSE))</f>
        <v>16150</v>
      </c>
      <c r="P264" s="46">
        <f t="shared" ca="1" si="11"/>
        <v>1.217948717948718E-3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input_393010!A$2</f>
        <v>393010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IFERROR(VLOOKUP(B265,input_393010!L:R,7,FALSE),VLOOKUP(tables_393010!C265,input_393010!A:H,8,FALSE))</f>
        <v>850</v>
      </c>
      <c r="P265" s="46">
        <f t="shared" ca="1" si="11"/>
        <v>6.4102564102564103E-5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input_393010!A$2</f>
        <v>393010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IFERROR(VLOOKUP(B266,input_393010!L:R,7,FALSE),VLOOKUP(tables_393010!C266,input_393010!A:H,8,FALSE))</f>
        <v>74100</v>
      </c>
      <c r="P266" s="46">
        <f t="shared" ca="1" si="11"/>
        <v>5.5882352941176473E-3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input_393010!A$2</f>
        <v>393010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IFERROR(VLOOKUP(B267,input_393010!L:R,7,FALSE),VLOOKUP(tables_393010!C267,input_393010!A:H,8,FALSE))</f>
        <v>66690</v>
      </c>
      <c r="P267" s="46">
        <f t="shared" ca="1" si="11"/>
        <v>5.0294117647058821E-3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input_393010!A$2</f>
        <v>393010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IFERROR(VLOOKUP(B268,input_393010!L:R,7,FALSE),VLOOKUP(tables_393010!C268,input_393010!A:H,8,FALSE))</f>
        <v>7410</v>
      </c>
      <c r="P268" s="46">
        <f t="shared" ca="1" si="11"/>
        <v>5.5882352941176471E-4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input_393010!A$2</f>
        <v>393010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IFERROR(VLOOKUP(B269,input_393010!L:R,7,FALSE),VLOOKUP(tables_393010!C269,input_393010!A:H,8,FALSE))</f>
        <v>74100</v>
      </c>
      <c r="P269" s="46">
        <f t="shared" ca="1" si="11"/>
        <v>5.5882352941176473E-3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input_393010!A$2</f>
        <v>393010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IFERROR(VLOOKUP(B270,input_393010!L:R,7,FALSE),VLOOKUP(tables_393010!C270,input_393010!A:H,8,FALSE))</f>
        <v>66690</v>
      </c>
      <c r="P270" s="46">
        <f t="shared" ca="1" si="11"/>
        <v>5.0294117647058821E-3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input_393010!A$2</f>
        <v>393010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IFERROR(VLOOKUP(B271,input_393010!L:R,7,FALSE),VLOOKUP(tables_393010!C271,input_393010!A:H,8,FALSE))</f>
        <v>7410</v>
      </c>
      <c r="P271" s="46">
        <f t="shared" ref="P271:P284" ca="1" si="14">O271/SUM(O:O)</f>
        <v>5.5882352941176471E-4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input_393010!A$2</f>
        <v>393010</v>
      </c>
      <c r="B272" s="78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IFERROR(VLOOKUP(B272,input_393010!L:R,7,FALSE),VLOOKUP(tables_393010!C272,input_393010!A:H,8,FALSE))</f>
        <v>17000</v>
      </c>
      <c r="P272" s="46">
        <f t="shared" ca="1" si="14"/>
        <v>1.2820512820512821E-3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input_393010!A$2</f>
        <v>393010</v>
      </c>
      <c r="B273" s="78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IFERROR(VLOOKUP(B273,input_393010!L:R,7,FALSE),VLOOKUP(tables_393010!C273,input_393010!A:H,8,FALSE))</f>
        <v>17000</v>
      </c>
      <c r="P273" s="46">
        <f t="shared" ca="1" si="14"/>
        <v>1.2820512820512821E-3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input_393010!A$2</f>
        <v>393010</v>
      </c>
      <c r="B274" s="78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IFERROR(VLOOKUP(B274,input_393010!L:R,7,FALSE),VLOOKUP(tables_393010!C274,input_393010!A:H,8,FALSE))</f>
        <v>144062.22222</v>
      </c>
      <c r="P274" s="46">
        <f t="shared" ca="1" si="14"/>
        <v>1.0864420981900453E-2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input_393010!A$2</f>
        <v>393010</v>
      </c>
      <c r="B275" s="78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IFERROR(VLOOKUP(B275,input_393010!L:R,7,FALSE),VLOOKUP(tables_393010!C275,input_393010!A:H,8,FALSE))</f>
        <v>4137.7777800000003</v>
      </c>
      <c r="P275" s="46">
        <f t="shared" ca="1" si="14"/>
        <v>3.1204960633484166E-4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input_393010!A$2</f>
        <v>393010</v>
      </c>
      <c r="B276" s="78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IFERROR(VLOOKUP(B276,input_393010!L:R,7,FALSE),VLOOKUP(tables_393010!C276,input_393010!A:H,8,FALSE))</f>
        <v>144062.22222</v>
      </c>
      <c r="P276" s="46">
        <f t="shared" ca="1" si="14"/>
        <v>1.0864420981900453E-2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input_393010!A$2</f>
        <v>393010</v>
      </c>
      <c r="B277" s="78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IFERROR(VLOOKUP(B277,input_393010!L:R,7,FALSE),VLOOKUP(tables_393010!C277,input_393010!A:H,8,FALSE))</f>
        <v>4137.7777800000003</v>
      </c>
      <c r="P277" s="46">
        <f t="shared" ca="1" si="14"/>
        <v>3.1204960633484166E-4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input_393010!A$2</f>
        <v>393010</v>
      </c>
      <c r="B278" s="78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IFERROR(VLOOKUP(B278,input_393010!L:R,7,FALSE),VLOOKUP(tables_393010!C278,input_393010!A:H,8,FALSE))</f>
        <v>144062.22222</v>
      </c>
      <c r="P278" s="46">
        <f t="shared" ca="1" si="14"/>
        <v>1.0864420981900453E-2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input_393010!A$2</f>
        <v>393010</v>
      </c>
      <c r="B279" s="78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IFERROR(VLOOKUP(B279,input_393010!L:R,7,FALSE),VLOOKUP(tables_393010!C279,input_393010!A:H,8,FALSE))</f>
        <v>4137.7777800000003</v>
      </c>
      <c r="P279" s="46">
        <f t="shared" ca="1" si="14"/>
        <v>3.1204960633484166E-4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input_393010!A$2</f>
        <v>393010</v>
      </c>
      <c r="B280" s="78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IFERROR(VLOOKUP(B280,input_393010!L:R,7,FALSE),VLOOKUP(tables_393010!C280,input_393010!A:H,8,FALSE))</f>
        <v>144062.22222</v>
      </c>
      <c r="P280" s="46">
        <f t="shared" ca="1" si="14"/>
        <v>1.0864420981900453E-2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input_393010!A$2</f>
        <v>393010</v>
      </c>
      <c r="B281" s="78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IFERROR(VLOOKUP(B281,input_393010!L:R,7,FALSE),VLOOKUP(tables_393010!C281,input_393010!A:H,8,FALSE))</f>
        <v>4137.7777800000003</v>
      </c>
      <c r="P281" s="46">
        <f t="shared" ca="1" si="14"/>
        <v>3.1204960633484166E-4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input_393010!A$2</f>
        <v>393010</v>
      </c>
      <c r="B282" s="78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IFERROR(VLOOKUP(B282,input_393010!L:R,7,FALSE),VLOOKUP(tables_393010!C282,input_393010!A:H,8,FALSE))</f>
        <v>17000</v>
      </c>
      <c r="P282" s="46">
        <f t="shared" ca="1" si="14"/>
        <v>1.2820512820512821E-3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input_393010!A$2</f>
        <v>393010</v>
      </c>
      <c r="B283" s="78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IFERROR(VLOOKUP(B283,input_393010!L:R,7,FALSE),VLOOKUP(tables_393010!C283,input_393010!A:H,8,FALSE))</f>
        <v>17000</v>
      </c>
      <c r="P283" s="46">
        <f t="shared" ca="1" si="14"/>
        <v>1.2820512820512821E-3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input_393010!A$2</f>
        <v>393010</v>
      </c>
      <c r="B284" s="5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IFERROR(VLOOKUP(B284,input_393010!L:R,7,FALSE),VLOOKUP(tables_393010!C284,input_393010!A:H,8,FALSE))</f>
        <v>17000</v>
      </c>
      <c r="P284" s="46">
        <f t="shared" ca="1" si="14"/>
        <v>1.2820512820512821E-3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input_393010!A$2</f>
        <v>393010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ref="D285:D289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IFERROR(VLOOKUP(B285,input_393010!L:R,7,FALSE),VLOOKUP(tables_393010!C285,input_393010!A:H,8,FALSE))</f>
        <v>17000</v>
      </c>
      <c r="P285" s="46">
        <f t="shared" ref="P285:P289" ca="1" si="17">O285/SUM(O:O)</f>
        <v>1.2820512820512821E-3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input_393010!A$2</f>
        <v>393010</v>
      </c>
      <c r="B286" s="5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IFERROR(VLOOKUP(B286,input_393010!L:R,7,FALSE),VLOOKUP(tables_393010!C286,input_393010!A:H,8,FALSE))</f>
        <v>144062.22222</v>
      </c>
      <c r="P286" s="46">
        <f t="shared" ca="1" si="17"/>
        <v>1.0864420981900453E-2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input_393010!A$2</f>
        <v>393010</v>
      </c>
      <c r="B287" s="5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IFERROR(VLOOKUP(B287,input_393010!L:R,7,FALSE),VLOOKUP(tables_393010!C287,input_393010!A:H,8,FALSE))</f>
        <v>4137.7777800000003</v>
      </c>
      <c r="P287" s="46">
        <f t="shared" ca="1" si="17"/>
        <v>3.1204960633484166E-4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input_393010!A$2</f>
        <v>393010</v>
      </c>
      <c r="B288" s="5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IFERROR(VLOOKUP(B288,input_393010!L:R,7,FALSE),VLOOKUP(tables_393010!C288,input_393010!A:H,8,FALSE))</f>
        <v>144062.22222</v>
      </c>
      <c r="P288" s="46">
        <f t="shared" ca="1" si="17"/>
        <v>1.0864420981900453E-2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input_393010!A$2</f>
        <v>393010</v>
      </c>
      <c r="B289" s="5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IFERROR(VLOOKUP(B289,input_393010!L:R,7,FALSE),VLOOKUP(tables_393010!C289,input_393010!A:H,8,FALSE))</f>
        <v>4137.7777800000003</v>
      </c>
      <c r="P289" s="46">
        <f t="shared" ca="1" si="17"/>
        <v>3.1204960633484166E-4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input_393010!A$2</f>
        <v>393010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ref="D290:D294" si="19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IFERROR(VLOOKUP(B290,input_393010!L:R,7,FALSE),VLOOKUP(tables_393010!C290,input_393010!A:H,8,FALSE))</f>
        <v>17000</v>
      </c>
      <c r="P290" s="46">
        <f t="shared" ref="P290:P294" ca="1" si="20">O290/SUM(O:O)</f>
        <v>1.2820512820512821E-3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input_393010!A$2</f>
        <v>393010</v>
      </c>
      <c r="B291" s="5">
        <v>939</v>
      </c>
      <c r="C291" s="7" t="str">
        <f t="shared" si="18"/>
        <v>Premium4R3less</v>
      </c>
      <c r="D291" s="7" t="str">
        <f t="shared" si="19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IFERROR(VLOOKUP(B291,input_393010!L:R,7,FALSE),VLOOKUP(tables_393010!C291,input_393010!A:H,8,FALSE))</f>
        <v>144062.22222</v>
      </c>
      <c r="P291" s="46">
        <f t="shared" ca="1" si="20"/>
        <v>1.0864420981900453E-2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input_393010!A$2</f>
        <v>393010</v>
      </c>
      <c r="B292" s="5">
        <v>940</v>
      </c>
      <c r="C292" s="7" t="str">
        <f t="shared" si="18"/>
        <v>Premium5R3less</v>
      </c>
      <c r="D292" s="7" t="str">
        <f t="shared" si="19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IFERROR(VLOOKUP(B292,input_393010!L:R,7,FALSE),VLOOKUP(tables_393010!C292,input_393010!A:H,8,FALSE))</f>
        <v>4137.7777800000003</v>
      </c>
      <c r="P292" s="46">
        <f t="shared" ca="1" si="20"/>
        <v>3.1204960633484166E-4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input_393010!A$2</f>
        <v>393010</v>
      </c>
      <c r="B293" s="5">
        <v>941</v>
      </c>
      <c r="C293" s="7" t="str">
        <f t="shared" si="18"/>
        <v>PremiumSS5R5only</v>
      </c>
      <c r="D293" s="7" t="str">
        <f t="shared" si="19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IFERROR(VLOOKUP(B293,input_393010!L:R,7,FALSE),VLOOKUP(tables_393010!C293,input_393010!A:H,8,FALSE))</f>
        <v>17000</v>
      </c>
      <c r="P293" s="46">
        <f t="shared" ca="1" si="20"/>
        <v>1.2820512820512821E-3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input_393010!A$2</f>
        <v>393010</v>
      </c>
      <c r="B294" s="5">
        <v>943</v>
      </c>
      <c r="C294" s="7" t="str">
        <f t="shared" si="18"/>
        <v>PremiumSS5R5only</v>
      </c>
      <c r="D294" s="7" t="str">
        <f t="shared" si="19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IFERROR(VLOOKUP(B294,input_393010!L:R,7,FALSE),VLOOKUP(tables_393010!C294,input_393010!A:H,8,FALSE))</f>
        <v>17000</v>
      </c>
      <c r="P294" s="46">
        <f t="shared" ca="1" si="20"/>
        <v>1.2820512820512821E-3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E16" sqref="E1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393100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166</v>
      </c>
      <c r="V2" s="54">
        <f t="shared" ref="V2:V16" si="0">SUMIF(Q:Q,U2,N:N)</f>
        <v>0</v>
      </c>
    </row>
    <row r="3" spans="1:22" x14ac:dyDescent="0.15">
      <c r="H3" s="69" t="s">
        <v>187</v>
      </c>
      <c r="L3" s="5">
        <v>1039</v>
      </c>
      <c r="M3" s="37" t="str">
        <f>VLOOKUP(L3,[1]characters!$A:$C,3,FALSE)</f>
        <v>R5 ディラック</v>
      </c>
      <c r="N3" s="63">
        <f>0.0025</f>
        <v>2.5000000000000001E-3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VLOOKUP(L3,tables_393100!B:C,2,FALSE)</f>
        <v>PremiumSSS5R3less</v>
      </c>
      <c r="R3" s="62">
        <f t="shared" ref="R3:R20" si="1">N3*A$36</f>
        <v>13050</v>
      </c>
      <c r="S3">
        <v>190</v>
      </c>
      <c r="U3" s="33" t="s">
        <v>167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176</v>
      </c>
      <c r="F4" t="s">
        <v>179</v>
      </c>
      <c r="H4" t="s">
        <v>185</v>
      </c>
      <c r="I4" t="s">
        <v>186</v>
      </c>
      <c r="L4" s="5">
        <v>484</v>
      </c>
      <c r="M4" s="37" t="str">
        <f>VLOOKUP(L4,[1]characters!$A:$C,3,FALSE)</f>
        <v>ラグランジュ</v>
      </c>
      <c r="N4" s="63">
        <f t="shared" ref="N4:N5" si="2">0.0025*0.5</f>
        <v>1.25E-3</v>
      </c>
      <c r="O4" s="37">
        <f>VLOOKUP(L4,[1]characters!$A:$I,9,FALSE)</f>
        <v>4</v>
      </c>
      <c r="P4" s="37" t="str">
        <f>VLOOKUP(L4,[1]characters!$A:$J,10,FALSE)</f>
        <v>PremiumSSS</v>
      </c>
      <c r="Q4" s="37" t="str">
        <f>VLOOKUP(L4,tables_393100!B:C,2,FALSE)</f>
        <v>PremiumSSS4R3less</v>
      </c>
      <c r="R4" s="62">
        <f t="shared" si="1"/>
        <v>6525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68">
        <v>0</v>
      </c>
      <c r="D5" t="s">
        <v>177</v>
      </c>
      <c r="E5" s="43">
        <f>(B11-H5)/(F5-I5)</f>
        <v>1.6666666666666666E-3</v>
      </c>
      <c r="F5">
        <f>(COUNTIF(tables_393100!C:C,input_393100!A28)+COUNTIF(tables_393100!C:C,input_393100!A29))</f>
        <v>45</v>
      </c>
      <c r="H5" s="81">
        <v>0</v>
      </c>
      <c r="I5" s="31">
        <v>0</v>
      </c>
      <c r="L5" s="5">
        <v>485</v>
      </c>
      <c r="M5" s="37" t="str">
        <f>VLOOKUP(L5,[1]characters!$A:$C,3,FALSE)</f>
        <v>超越自我 ラグランジュ</v>
      </c>
      <c r="N5" s="63">
        <f t="shared" si="2"/>
        <v>1.25E-3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VLOOKUP(L5,tables_393100!B:C,2,FALSE)</f>
        <v>PremiumSSS5R3less</v>
      </c>
      <c r="R5" s="62">
        <f t="shared" si="1"/>
        <v>6525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68">
        <v>0.95</v>
      </c>
      <c r="D6" t="s">
        <v>178</v>
      </c>
      <c r="E6" s="72">
        <f>(B10-H6)/(F6-I6)</f>
        <v>1.0517241379310345E-2</v>
      </c>
      <c r="F6">
        <f>(COUNTIF(tables_393100!C:C,input_393100!A25)+COUNTIF(tables_393100!C:C,input_393100!A18)+COUNTIF(tables_393100!C:C,input_393100!A20)+COUNTIF(tables_393100!C:C,input_393100!A22))</f>
        <v>87</v>
      </c>
      <c r="H6" s="87">
        <v>0</v>
      </c>
      <c r="I6" s="31">
        <v>0</v>
      </c>
      <c r="L6" s="5">
        <v>760</v>
      </c>
      <c r="M6" s="37" t="str">
        <f>VLOOKUP(L6,[1]characters!$A:$C,3,FALSE)</f>
        <v>限論顕現 クロネッカー</v>
      </c>
      <c r="N6" s="63">
        <f>0.0025</f>
        <v>2.5000000000000001E-3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VLOOKUP(L6,tables_393100!B:C,2,FALSE)</f>
        <v>PremiumSSS5R3less</v>
      </c>
      <c r="R6" s="62">
        <f t="shared" si="1"/>
        <v>13050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68">
        <v>0.05</v>
      </c>
      <c r="L7" s="5">
        <v>750</v>
      </c>
      <c r="M7" s="37" t="str">
        <f>VLOOKUP(L7,[1]characters!$A:$C,3,FALSE)</f>
        <v>ポアソン</v>
      </c>
      <c r="N7" s="63">
        <f>0.0025</f>
        <v>2.5000000000000001E-3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VLOOKUP(L7,tables_393100!B:C,2,FALSE)</f>
        <v>PremiumSSS5R3less</v>
      </c>
      <c r="R7" s="62">
        <f t="shared" si="1"/>
        <v>13050</v>
      </c>
      <c r="S7">
        <v>597</v>
      </c>
      <c r="U7" s="33" t="s">
        <v>172</v>
      </c>
      <c r="V7" s="54">
        <f t="shared" si="0"/>
        <v>0</v>
      </c>
    </row>
    <row r="8" spans="1:22" x14ac:dyDescent="0.15">
      <c r="A8" s="57"/>
      <c r="B8" s="67"/>
      <c r="E8" s="72"/>
      <c r="L8" s="5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VLOOKUP(L8,tables_393100!B:C,2,FALSE)</f>
        <v>#N/A</v>
      </c>
      <c r="R8" s="62">
        <f t="shared" si="1"/>
        <v>0</v>
      </c>
      <c r="S8">
        <v>598</v>
      </c>
      <c r="U8" s="33" t="s">
        <v>173</v>
      </c>
      <c r="V8" s="54">
        <f t="shared" si="0"/>
        <v>0</v>
      </c>
    </row>
    <row r="9" spans="1:22" x14ac:dyDescent="0.15">
      <c r="A9" s="35" t="s">
        <v>54</v>
      </c>
      <c r="B9" s="35"/>
      <c r="L9" s="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VLOOKUP(L9,tables_393100!B:C,2,FALSE)</f>
        <v>#N/A</v>
      </c>
      <c r="R9" s="62">
        <f t="shared" si="1"/>
        <v>0</v>
      </c>
      <c r="S9">
        <v>390</v>
      </c>
      <c r="U9" s="33" t="s">
        <v>169</v>
      </c>
      <c r="V9" s="54">
        <f t="shared" si="0"/>
        <v>0</v>
      </c>
    </row>
    <row r="10" spans="1:22" x14ac:dyDescent="0.15">
      <c r="A10" s="33" t="s">
        <v>96</v>
      </c>
      <c r="B10" s="68">
        <f>1-B11-B12-0.01</f>
        <v>0.91500000000000004</v>
      </c>
      <c r="C10" t="s">
        <v>184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VLOOKUP(L10,tables_393100!B:C,2,FALSE)</f>
        <v>#N/A</v>
      </c>
      <c r="R10" s="62">
        <f t="shared" si="1"/>
        <v>0</v>
      </c>
      <c r="S10">
        <v>391</v>
      </c>
      <c r="U10" s="33" t="s">
        <v>170</v>
      </c>
      <c r="V10" s="54">
        <f t="shared" si="0"/>
        <v>0</v>
      </c>
    </row>
    <row r="11" spans="1:22" x14ac:dyDescent="0.15">
      <c r="A11" s="33" t="s">
        <v>56</v>
      </c>
      <c r="B11" s="74">
        <v>7.4999999999999997E-2</v>
      </c>
      <c r="C11" t="s">
        <v>228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VLOOKUP(L11,tables_393100!B:C,2,FALSE)</f>
        <v>#N/A</v>
      </c>
      <c r="R11" s="62">
        <f t="shared" si="1"/>
        <v>0</v>
      </c>
      <c r="S11">
        <v>811</v>
      </c>
      <c r="U11" s="33" t="s">
        <v>171</v>
      </c>
      <c r="V11" s="54">
        <f t="shared" si="0"/>
        <v>0</v>
      </c>
    </row>
    <row r="12" spans="1:22" x14ac:dyDescent="0.15">
      <c r="A12" s="33" t="s">
        <v>55</v>
      </c>
      <c r="B12" s="68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VLOOKUP(L12,tables_393100!B:C,2,FALSE)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VLOOKUP(L13,tables_393100!B:C,2,FALSE)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VLOOKUP(L14,tables_393100!B:C,2,FALSE)</f>
        <v>#N/A</v>
      </c>
      <c r="R14" s="62">
        <f t="shared" si="1"/>
        <v>0</v>
      </c>
      <c r="S14">
        <v>498</v>
      </c>
      <c r="U14" s="33" t="s">
        <v>175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VLOOKUP(L15,tables_393100!B:C,2,FALSE)</f>
        <v>#N/A</v>
      </c>
      <c r="R15" s="62">
        <f t="shared" si="1"/>
        <v>0</v>
      </c>
      <c r="S15">
        <v>395</v>
      </c>
      <c r="U15" s="33" t="s">
        <v>174</v>
      </c>
      <c r="V15" s="54">
        <f t="shared" si="0"/>
        <v>0</v>
      </c>
    </row>
    <row r="16" spans="1:22" x14ac:dyDescent="0.15">
      <c r="A16" s="33" t="s">
        <v>60</v>
      </c>
      <c r="B16" s="33" t="s">
        <v>168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188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VLOOKUP(L16,tables_393100!B:C,2,FALSE)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166</v>
      </c>
      <c r="B17" s="79">
        <f>B$5-B19-B24</f>
        <v>0</v>
      </c>
      <c r="C17" s="82">
        <f t="shared" ref="C17:C30" si="3">SUMIF(Q:Q,A17,N:N)</f>
        <v>0</v>
      </c>
      <c r="D17" s="70">
        <f t="shared" ref="D17:D32" si="4">B17-C17</f>
        <v>0</v>
      </c>
      <c r="E17">
        <f>COUNTIF(tables_393100!C:C,input_393100!A17)-COUNTIF(Q:Q,A17)</f>
        <v>19</v>
      </c>
      <c r="F17" s="43">
        <f>IFERROR(B17/E17,0)</f>
        <v>0</v>
      </c>
      <c r="G17">
        <f t="shared" ref="G17:G31" si="5">A$36*B17</f>
        <v>0</v>
      </c>
      <c r="H17">
        <f t="shared" ref="H17:H31" si="6">IFERROR(ROUND(G17/E17,5),0)</f>
        <v>0</v>
      </c>
      <c r="I17">
        <f t="shared" ref="I17:I31" si="7">MOD(H17,1)</f>
        <v>0</v>
      </c>
      <c r="J17">
        <f t="shared" ref="J17:J31" si="8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VLOOKUP(L17,tables_393100!B:C,2,FALSE)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167</v>
      </c>
      <c r="B18" s="56">
        <f>E$6*E18-B17</f>
        <v>0.2103448275862069</v>
      </c>
      <c r="C18" s="82">
        <f t="shared" si="3"/>
        <v>0</v>
      </c>
      <c r="D18" s="70">
        <f t="shared" si="4"/>
        <v>0.2103448275862069</v>
      </c>
      <c r="E18">
        <f>COUNTIF(tables_393100!C:C,input_393100!A18)-COUNTIF(Q:Q,A18)</f>
        <v>20</v>
      </c>
      <c r="F18" s="43">
        <f>IFERROR(B18/E18,0)</f>
        <v>1.0517241379310345E-2</v>
      </c>
      <c r="G18">
        <f t="shared" si="5"/>
        <v>1098000</v>
      </c>
      <c r="H18">
        <f t="shared" si="6"/>
        <v>54900</v>
      </c>
      <c r="I18">
        <f t="shared" si="7"/>
        <v>0</v>
      </c>
      <c r="J18">
        <f t="shared" si="8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VLOOKUP(L18,tables_393100!B:C,2,FALSE)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2">
        <f t="shared" si="3"/>
        <v>0</v>
      </c>
      <c r="D19" s="70">
        <f t="shared" si="4"/>
        <v>0</v>
      </c>
      <c r="E19">
        <f>COUNTIF(tables_393100!C:C,input_393100!A19)-COUNTIF(Q:Q,A19)</f>
        <v>52</v>
      </c>
      <c r="F19" s="43">
        <f t="shared" ref="F19:F31" si="9">IFERROR(B19/E19,0)</f>
        <v>0</v>
      </c>
      <c r="G19">
        <f t="shared" si="5"/>
        <v>0</v>
      </c>
      <c r="H19">
        <f t="shared" si="6"/>
        <v>0</v>
      </c>
      <c r="I19">
        <f t="shared" si="7"/>
        <v>0</v>
      </c>
      <c r="J19">
        <f t="shared" si="8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VLOOKUP(L19,tables_393100!B:C,2,FALSE)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79">
        <f>E20*E6-B21</f>
        <v>0.53545114942528738</v>
      </c>
      <c r="C20" s="82">
        <f t="shared" si="3"/>
        <v>0</v>
      </c>
      <c r="D20" s="70">
        <f t="shared" si="4"/>
        <v>0.53545114942528738</v>
      </c>
      <c r="E20">
        <f>COUNTIF(tables_393100!C:C,input_393100!A20)-COUNTIF(Q:Q,A20)</f>
        <v>52</v>
      </c>
      <c r="F20" s="43">
        <f t="shared" si="9"/>
        <v>1.0297137488947835E-2</v>
      </c>
      <c r="G20">
        <f t="shared" si="5"/>
        <v>2795055</v>
      </c>
      <c r="H20">
        <f t="shared" si="6"/>
        <v>53751.057690000001</v>
      </c>
      <c r="I20">
        <f t="shared" si="7"/>
        <v>5.769000000145752E-2</v>
      </c>
      <c r="J20">
        <f t="shared" si="8"/>
        <v>17.334026693963171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VLOOKUP(L20,tables_393100!B:C,2,FALSE)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1.144540229885058E-2</v>
      </c>
      <c r="C21" s="82">
        <f t="shared" si="3"/>
        <v>0</v>
      </c>
      <c r="D21" s="70">
        <f t="shared" si="4"/>
        <v>1.144540229885058E-2</v>
      </c>
      <c r="E21">
        <f>COUNTIF(tables_393100!C:C,input_393100!A21)-COUNTIF(Q:Q,A21)</f>
        <v>52</v>
      </c>
      <c r="F21" s="43">
        <f t="shared" si="9"/>
        <v>2.2010389036251115E-4</v>
      </c>
      <c r="G21">
        <f t="shared" si="5"/>
        <v>59745.000000000029</v>
      </c>
      <c r="H21">
        <f t="shared" si="6"/>
        <v>1148.9423099999999</v>
      </c>
      <c r="I21">
        <f t="shared" si="7"/>
        <v>0.94230999999990672</v>
      </c>
      <c r="J21">
        <f t="shared" si="8"/>
        <v>1.0612218908852702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172</v>
      </c>
      <c r="B22" s="71">
        <f>E$6*E22*B6</f>
        <v>0.10990517241379309</v>
      </c>
      <c r="C22" s="82">
        <f t="shared" si="3"/>
        <v>0</v>
      </c>
      <c r="D22" s="70">
        <f t="shared" si="4"/>
        <v>0.10990517241379309</v>
      </c>
      <c r="E22">
        <f>COUNTIF(tables_393100!C:C,input_393100!A22)-COUNTIF(Q:Q,A22)</f>
        <v>11</v>
      </c>
      <c r="F22" s="43">
        <f t="shared" si="9"/>
        <v>9.9913793103448261E-3</v>
      </c>
      <c r="G22">
        <f t="shared" si="5"/>
        <v>573705</v>
      </c>
      <c r="H22">
        <f t="shared" si="6"/>
        <v>52155</v>
      </c>
      <c r="I22">
        <f t="shared" si="7"/>
        <v>0</v>
      </c>
      <c r="J22">
        <f t="shared" si="8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173</v>
      </c>
      <c r="B23" s="66">
        <f>E23*E6*B7</f>
        <v>5.7844827586206902E-3</v>
      </c>
      <c r="C23" s="82">
        <f t="shared" si="3"/>
        <v>0</v>
      </c>
      <c r="D23" s="70">
        <f t="shared" si="4"/>
        <v>5.7844827586206902E-3</v>
      </c>
      <c r="E23">
        <f>COUNTIF(tables_393100!C:C,input_393100!A23)-COUNTIF(Q:Q,A23)</f>
        <v>11</v>
      </c>
      <c r="F23" s="43">
        <f t="shared" si="9"/>
        <v>5.2586206896551731E-4</v>
      </c>
      <c r="G23">
        <f t="shared" si="5"/>
        <v>30195.000000000004</v>
      </c>
      <c r="H23">
        <f t="shared" si="6"/>
        <v>2745</v>
      </c>
      <c r="I23">
        <f t="shared" si="7"/>
        <v>0</v>
      </c>
      <c r="J23">
        <f t="shared" si="8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169</v>
      </c>
      <c r="B24" s="56">
        <f>E$6*E24*B$5</f>
        <v>0</v>
      </c>
      <c r="C24" s="82">
        <f t="shared" si="3"/>
        <v>0</v>
      </c>
      <c r="D24" s="70">
        <f t="shared" si="4"/>
        <v>0</v>
      </c>
      <c r="E24">
        <f>COUNTIF(tables_393100!C:C,input_393100!A24)-COUNTIF(Q:Q,A24)</f>
        <v>4</v>
      </c>
      <c r="F24" s="43">
        <f t="shared" si="9"/>
        <v>0</v>
      </c>
      <c r="G24">
        <f t="shared" si="5"/>
        <v>0</v>
      </c>
      <c r="H24">
        <f t="shared" si="6"/>
        <v>0</v>
      </c>
      <c r="I24">
        <f t="shared" si="7"/>
        <v>0</v>
      </c>
      <c r="J24">
        <f t="shared" si="8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170</v>
      </c>
      <c r="B25" s="56">
        <f>E$6*B$6*E25</f>
        <v>3.9965517241379311E-2</v>
      </c>
      <c r="C25" s="82">
        <f t="shared" si="3"/>
        <v>0</v>
      </c>
      <c r="D25" s="70">
        <f t="shared" si="4"/>
        <v>3.9965517241379311E-2</v>
      </c>
      <c r="E25">
        <f>COUNTIF(tables_393100!C:C,input_393100!A25)-COUNTIF(Q:Q,A25)</f>
        <v>4</v>
      </c>
      <c r="F25" s="43">
        <f t="shared" si="9"/>
        <v>9.9913793103448278E-3</v>
      </c>
      <c r="G25">
        <f t="shared" si="5"/>
        <v>208620</v>
      </c>
      <c r="H25">
        <f t="shared" si="6"/>
        <v>52155</v>
      </c>
      <c r="I25">
        <f t="shared" si="7"/>
        <v>0</v>
      </c>
      <c r="J25">
        <f t="shared" si="8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171</v>
      </c>
      <c r="B26" s="56">
        <f>E$6*B$7*E26</f>
        <v>2.1034482758620692E-3</v>
      </c>
      <c r="C26" s="82">
        <f t="shared" si="3"/>
        <v>0</v>
      </c>
      <c r="D26" s="70">
        <f t="shared" si="4"/>
        <v>2.1034482758620692E-3</v>
      </c>
      <c r="E26">
        <f>COUNTIF(tables_393100!C:C,input_393100!A26)-COUNTIF(Q:Q,A26)</f>
        <v>4</v>
      </c>
      <c r="F26" s="43">
        <f t="shared" si="9"/>
        <v>5.2586206896551731E-4</v>
      </c>
      <c r="G26">
        <f t="shared" si="5"/>
        <v>10980.000000000002</v>
      </c>
      <c r="H26">
        <f t="shared" si="6"/>
        <v>2745</v>
      </c>
      <c r="I26">
        <f t="shared" si="7"/>
        <v>0</v>
      </c>
      <c r="J26">
        <f t="shared" si="8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4.4333333333333329E-2</v>
      </c>
      <c r="C27" s="82">
        <f t="shared" si="3"/>
        <v>0</v>
      </c>
      <c r="D27" s="70">
        <f t="shared" si="4"/>
        <v>4.4333333333333329E-2</v>
      </c>
      <c r="E27">
        <f>COUNTIF(tables_393100!C:C,input_393100!A27)-COUNTIF(Q:Q,A27)</f>
        <v>28</v>
      </c>
      <c r="F27" s="43">
        <f>IFERROR(B27/E27,0)</f>
        <v>1.5833333333333331E-3</v>
      </c>
      <c r="G27">
        <f t="shared" si="5"/>
        <v>231419.99999999997</v>
      </c>
      <c r="H27">
        <f t="shared" si="6"/>
        <v>8265</v>
      </c>
      <c r="I27">
        <f t="shared" si="7"/>
        <v>0</v>
      </c>
      <c r="J27">
        <f t="shared" si="8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2.3333333333333331E-3</v>
      </c>
      <c r="C28" s="82">
        <f t="shared" si="3"/>
        <v>0</v>
      </c>
      <c r="D28" s="70">
        <f t="shared" si="4"/>
        <v>2.3333333333333331E-3</v>
      </c>
      <c r="E28">
        <f>COUNTIF(tables_393100!C:C,input_393100!A28)-COUNTIF(Q:Q,A28)</f>
        <v>28</v>
      </c>
      <c r="F28" s="43">
        <f t="shared" si="9"/>
        <v>8.3333333333333331E-5</v>
      </c>
      <c r="G28">
        <f t="shared" si="5"/>
        <v>12179.999999999998</v>
      </c>
      <c r="H28">
        <f t="shared" si="6"/>
        <v>435</v>
      </c>
      <c r="I28">
        <f t="shared" si="7"/>
        <v>0</v>
      </c>
      <c r="J28">
        <f t="shared" si="8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175</v>
      </c>
      <c r="B29" s="56">
        <f>E$5*E29</f>
        <v>2.8333333333333332E-2</v>
      </c>
      <c r="C29" s="82">
        <f t="shared" si="3"/>
        <v>0</v>
      </c>
      <c r="D29" s="70">
        <f t="shared" si="4"/>
        <v>2.8333333333333332E-2</v>
      </c>
      <c r="E29">
        <f>COUNTIF(tables_393100!C:C,input_393100!A29)-COUNTIF(Q:Q,A29)</f>
        <v>17</v>
      </c>
      <c r="F29" s="43">
        <f t="shared" si="9"/>
        <v>1.6666666666666666E-3</v>
      </c>
      <c r="G29">
        <f t="shared" si="5"/>
        <v>147900</v>
      </c>
      <c r="H29">
        <f t="shared" si="6"/>
        <v>8700</v>
      </c>
      <c r="I29">
        <f t="shared" si="7"/>
        <v>0</v>
      </c>
      <c r="J29">
        <f t="shared" si="8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211</v>
      </c>
      <c r="B30" s="56">
        <v>0</v>
      </c>
      <c r="C30" s="82">
        <f t="shared" si="3"/>
        <v>1.25E-3</v>
      </c>
      <c r="D30" s="70">
        <f t="shared" si="4"/>
        <v>-1.25E-3</v>
      </c>
      <c r="E30">
        <f>COUNTIF(tables_393100!C:C,input_393100!A30)-COUNTIF(Q:Q,A30)</f>
        <v>0</v>
      </c>
      <c r="F30" s="43">
        <f t="shared" si="9"/>
        <v>0</v>
      </c>
      <c r="G30">
        <f t="shared" si="5"/>
        <v>0</v>
      </c>
      <c r="H30">
        <f t="shared" si="6"/>
        <v>0</v>
      </c>
      <c r="I30">
        <f t="shared" si="7"/>
        <v>0</v>
      </c>
      <c r="J30">
        <f t="shared" si="8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212</v>
      </c>
      <c r="B31" s="56">
        <v>0</v>
      </c>
      <c r="C31" s="82">
        <f>SUMIF(Q:Q,A31,N:N)</f>
        <v>8.7500000000000008E-3</v>
      </c>
      <c r="D31" s="70">
        <f t="shared" si="4"/>
        <v>-8.7500000000000008E-3</v>
      </c>
      <c r="E31">
        <f>COUNTIF(tables_393100!C:C,input_393100!A31)-COUNTIF(Q:Q,A31)</f>
        <v>0</v>
      </c>
      <c r="F31" s="43">
        <f t="shared" si="9"/>
        <v>0</v>
      </c>
      <c r="G31">
        <f t="shared" si="5"/>
        <v>0</v>
      </c>
      <c r="H31">
        <f t="shared" si="6"/>
        <v>0</v>
      </c>
      <c r="I31">
        <f t="shared" si="7"/>
        <v>0</v>
      </c>
      <c r="J31">
        <f t="shared" si="8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0.98999999999999988</v>
      </c>
      <c r="C32" s="41">
        <f>SUM(C19:C31)</f>
        <v>0.01</v>
      </c>
      <c r="D32" s="42">
        <f t="shared" si="4"/>
        <v>0.97999999999999987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5220000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SUMIF(tables_393100!C:C,input_393100!A40,tables_393100!O:O)</f>
        <v>0</v>
      </c>
      <c r="C40" s="54">
        <f t="shared" ref="C40:C46" ca="1" si="10">B40/B$47</f>
        <v>0</v>
      </c>
      <c r="E40">
        <v>3</v>
      </c>
      <c r="F40">
        <f ca="1">SUMIF(tables_393100!J:J,input_393100!E40,tables_393100!O:O)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SUMIF(tables_393100!C:C,input_393100!A41,tables_393100!O:O)</f>
        <v>2795054.9998800009</v>
      </c>
      <c r="C41" s="54">
        <f t="shared" ca="1" si="10"/>
        <v>0.90209624318357862</v>
      </c>
      <c r="E41">
        <v>4</v>
      </c>
      <c r="F41">
        <f ca="1">SUMIF(tables_393100!J:J,input_393100!E41,tables_393100!O:O)</f>
        <v>4913324.9998800047</v>
      </c>
      <c r="G41" s="113">
        <f ca="1">F41/A36</f>
        <v>0.94124999997701242</v>
      </c>
    </row>
    <row r="42" spans="1:7" x14ac:dyDescent="0.15">
      <c r="A42" s="33" t="s">
        <v>106</v>
      </c>
      <c r="B42">
        <f ca="1">SUMIF(tables_393100!C:C,input_393100!A42,tables_393100!O:O)</f>
        <v>231420</v>
      </c>
      <c r="C42" s="54">
        <f t="shared" ca="1" si="10"/>
        <v>7.4690162664601059E-2</v>
      </c>
      <c r="E42">
        <v>5</v>
      </c>
      <c r="F42">
        <f ca="1">SUMIF(tables_393100!J:J,input_393100!E42,tables_393100!O:O)</f>
        <v>306675.00011999992</v>
      </c>
      <c r="G42" s="113">
        <f ca="1">F42/A36</f>
        <v>5.875000002298849E-2</v>
      </c>
    </row>
    <row r="43" spans="1:7" x14ac:dyDescent="0.15">
      <c r="A43" s="33" t="s">
        <v>109</v>
      </c>
      <c r="B43">
        <f>SUMIF(tables_393100!C:C,input_393100!A43,tables_393100!O:O)</f>
        <v>0</v>
      </c>
      <c r="C43" s="54">
        <f t="shared" ca="1" si="10"/>
        <v>0</v>
      </c>
      <c r="F43" s="55"/>
    </row>
    <row r="44" spans="1:7" x14ac:dyDescent="0.15">
      <c r="A44" s="33" t="s">
        <v>105</v>
      </c>
      <c r="B44">
        <f ca="1">SUMIF(tables_393100!C:C,input_393100!A44,tables_393100!O:O)</f>
        <v>59745.000119999953</v>
      </c>
      <c r="C44" s="54">
        <f t="shared" ca="1" si="10"/>
        <v>1.9282532958946531E-2</v>
      </c>
      <c r="E44" t="s">
        <v>54</v>
      </c>
      <c r="F44" s="55"/>
    </row>
    <row r="45" spans="1:7" x14ac:dyDescent="0.15">
      <c r="A45" s="33" t="s">
        <v>107</v>
      </c>
      <c r="B45">
        <f ca="1">SUMIF(tables_393100!C:C,input_393100!A45,tables_393100!O:O)</f>
        <v>12180</v>
      </c>
      <c r="C45" s="54">
        <f t="shared" ca="1" si="10"/>
        <v>3.93106119287374E-3</v>
      </c>
      <c r="E45" t="s">
        <v>180</v>
      </c>
      <c r="F45" s="55">
        <f ca="1">SUMIF(tables_393100!I:I,input_393100!E45,tables_393100!P:P)</f>
        <v>0.21772413793103448</v>
      </c>
    </row>
    <row r="46" spans="1:7" x14ac:dyDescent="0.15">
      <c r="A46" s="33" t="s">
        <v>108</v>
      </c>
      <c r="B46">
        <f>SUMIF(tables_393100!C:C,input_393100!A46,tables_393100!O:O)</f>
        <v>0</v>
      </c>
      <c r="C46" s="54">
        <f t="shared" ca="1" si="10"/>
        <v>0</v>
      </c>
      <c r="E46" t="s">
        <v>181</v>
      </c>
      <c r="F46" s="55">
        <f ca="1">SUMIF(tables_393100!I:I,input_393100!E46,tables_393100!P:P)</f>
        <v>0.21034482758620687</v>
      </c>
    </row>
    <row r="47" spans="1:7" x14ac:dyDescent="0.15">
      <c r="A47" s="39" t="s">
        <v>59</v>
      </c>
      <c r="B47">
        <f ca="1">SUM(B40:B46)</f>
        <v>3098400.0000000009</v>
      </c>
      <c r="C47" s="55">
        <f ca="1">SUM(C40:C46)</f>
        <v>1</v>
      </c>
      <c r="E47" t="s">
        <v>182</v>
      </c>
      <c r="F47" s="55">
        <f ca="1">SUMIF(tables_393100!I:I,input_393100!E47,tables_393100!P:P)</f>
        <v>0.49431034482758679</v>
      </c>
    </row>
    <row r="48" spans="1:7" x14ac:dyDescent="0.15">
      <c r="E48" t="s">
        <v>183</v>
      </c>
      <c r="F48" s="55">
        <f ca="1">SUMIF(tables_393100!I:I,input_393100!E48,tables_393100!P:P)</f>
        <v>7.4999999999999928E-2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08"/>
  <sheetViews>
    <sheetView showGridLines="0" workbookViewId="0">
      <pane ySplit="1" topLeftCell="A288" activePane="bottomLeft" state="frozen"/>
      <selection activeCell="D34" sqref="D34"/>
      <selection pane="bottomLeft" activeCell="A304" sqref="A304:XFD30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164</v>
      </c>
      <c r="F1" s="3" t="s">
        <v>165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input_393100!A$2</f>
        <v>393100</v>
      </c>
      <c r="B2" s="6">
        <v>127</v>
      </c>
      <c r="C2" s="7" t="str">
        <f t="shared" ref="C2:C65" si="0">D2&amp;J2&amp;E2&amp;F2&amp;G2</f>
        <v>PremiumW4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狂喜の賢者 ユノ</v>
      </c>
      <c r="I2" s="7" t="str">
        <f>VLOOKUP(B2,[1]characters!$A:$J,10,FALSE)</f>
        <v>PremiumW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IFERROR(VLOOKUP(B2,input_393100!L:R,7,FALSE),VLOOKUP(tables_393100!C2,input_393100!A:H,8,FALSE))</f>
        <v>54900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input_393100!A$2</f>
        <v>393100</v>
      </c>
      <c r="B3" s="6">
        <v>128</v>
      </c>
      <c r="C3" s="7" t="str">
        <f t="shared" si="0"/>
        <v>PremiumW3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野生児 アマラ</v>
      </c>
      <c r="I3" s="7" t="str">
        <f>VLOOKUP(B3,[1]characters!$A:$J,10,FALSE)</f>
        <v>PremiumW</v>
      </c>
      <c r="J3" s="7">
        <f>VLOOKUP(B3,[1]characters!$A:$I,9,FALSE)</f>
        <v>3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IFERROR(VLOOKUP(B3,input_393100!L:R,7,FALSE),VLOOKUP(tables_393100!C3,input_393100!A:H,8,FALSE))</f>
        <v>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input_393100!A$2</f>
        <v>393100</v>
      </c>
      <c r="B4" s="6">
        <v>129</v>
      </c>
      <c r="C4" s="7" t="str">
        <f t="shared" si="0"/>
        <v>PremiumW4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孤高の狼憑き アマラ</v>
      </c>
      <c r="I4" s="7" t="str">
        <f>VLOOKUP(B4,[1]characters!$A:$J,10,FALSE)</f>
        <v>PremiumW</v>
      </c>
      <c r="J4" s="7">
        <f>VLOOKUP(B4,[1]characters!$A:$I,9,FALSE)</f>
        <v>4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IFERROR(VLOOKUP(B4,input_393100!L:R,7,FALSE),VLOOKUP(tables_393100!C4,input_393100!A:H,8,FALSE))</f>
        <v>54900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input_393100!A$2</f>
        <v>393100</v>
      </c>
      <c r="B5" s="6">
        <v>130</v>
      </c>
      <c r="C5" s="7" t="str">
        <f t="shared" si="0"/>
        <v>PremiumW3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狼男 ローレンス</v>
      </c>
      <c r="I5" s="7" t="str">
        <f>VLOOKUP(B5,[1]characters!$A:$J,10,FALSE)</f>
        <v>PremiumW</v>
      </c>
      <c r="J5" s="7">
        <f>VLOOKUP(B5,[1]characters!$A:$I,9,FALSE)</f>
        <v>3</v>
      </c>
      <c r="K5" s="7" t="str">
        <f>VLOOKUP(B5,[1]characters!$A:$H,8,FALSE)</f>
        <v>blue</v>
      </c>
      <c r="L5" s="7" t="str">
        <f>VLOOKUP(B5,[1]characters!$A:$K,11,FALSE)</f>
        <v>attack</v>
      </c>
      <c r="M5" s="7" t="str">
        <f>VLOOKUP(B5,[1]characters!$A:$M,13,FALSE)</f>
        <v>animal</v>
      </c>
      <c r="N5" s="7" t="str">
        <f>VLOOKUP(B5,[1]characters!$A:$G,7,FALSE)</f>
        <v>不明</v>
      </c>
      <c r="O5" s="45">
        <f ca="1">IFERROR(VLOOKUP(B5,input_393100!L:R,7,FALSE),VLOOKUP(tables_393100!C5,input_393100!A:H,8,FALSE))</f>
        <v>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input_393100!A$2</f>
        <v>393100</v>
      </c>
      <c r="B6" s="6">
        <v>131</v>
      </c>
      <c r="C6" s="7" t="str">
        <f t="shared" si="0"/>
        <v>PremiumW4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月下の人狼 ローレンス</v>
      </c>
      <c r="I6" s="7" t="str">
        <f>VLOOKUP(B6,[1]characters!$A:$J,10,FALSE)</f>
        <v>PremiumW</v>
      </c>
      <c r="J6" s="7">
        <f>VLOOKUP(B6,[1]characters!$A:$I,9,FALSE)</f>
        <v>4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IFERROR(VLOOKUP(B6,input_393100!L:R,7,FALSE),VLOOKUP(tables_393100!C6,input_393100!A:H,8,FALSE))</f>
        <v>54900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input_393100!A$2</f>
        <v>393100</v>
      </c>
      <c r="B7" s="6">
        <v>132</v>
      </c>
      <c r="C7" s="7" t="str">
        <f t="shared" si="0"/>
        <v>PremiumW3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鳥人ハヤト</v>
      </c>
      <c r="I7" s="7" t="str">
        <f>VLOOKUP(B7,[1]characters!$A:$J,10,FALSE)</f>
        <v>PremiumW</v>
      </c>
      <c r="J7" s="7">
        <f>VLOOKUP(B7,[1]characters!$A:$I,9,FALSE)</f>
        <v>3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f ca="1">IFERROR(VLOOKUP(B7,input_393100!L:R,7,FALSE),VLOOKUP(tables_393100!C7,input_393100!A:H,8,FALSE))</f>
        <v>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input_393100!A$2</f>
        <v>393100</v>
      </c>
      <c r="B8" s="6">
        <v>133</v>
      </c>
      <c r="C8" s="7" t="str">
        <f t="shared" si="0"/>
        <v>PremiumW4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迅雷の刀剣 ハヤト</v>
      </c>
      <c r="I8" s="7" t="str">
        <f>VLOOKUP(B8,[1]characters!$A:$J,10,FALSE)</f>
        <v>PremiumW</v>
      </c>
      <c r="J8" s="7">
        <f>VLOOKUP(B8,[1]characters!$A:$I,9,FALSE)</f>
        <v>4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IFERROR(VLOOKUP(B8,input_393100!L:R,7,FALSE),VLOOKUP(tables_393100!C8,input_393100!A:H,8,FALSE))</f>
        <v>54900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input_393100!A$2</f>
        <v>393100</v>
      </c>
      <c r="B9" s="6">
        <v>134</v>
      </c>
      <c r="C9" s="7" t="str">
        <f t="shared" si="0"/>
        <v>PremiumW3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妖炎の夕霧</v>
      </c>
      <c r="I9" s="7" t="str">
        <f>VLOOKUP(B9,[1]characters!$A:$J,10,FALSE)</f>
        <v>PremiumW</v>
      </c>
      <c r="J9" s="7">
        <f>VLOOKUP(B9,[1]characters!$A:$I,9,FALSE)</f>
        <v>3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f ca="1">IFERROR(VLOOKUP(B9,input_393100!L:R,7,FALSE),VLOOKUP(tables_393100!C9,input_393100!A:H,8,FALSE))</f>
        <v>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input_393100!A$2</f>
        <v>393100</v>
      </c>
      <c r="B10" s="6">
        <v>135</v>
      </c>
      <c r="C10" s="7" t="str">
        <f t="shared" si="0"/>
        <v>PremiumW4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京の炎華夕霧</v>
      </c>
      <c r="I10" s="7" t="str">
        <f>VLOOKUP(B10,[1]characters!$A:$J,10,FALSE)</f>
        <v>PremiumW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IFERROR(VLOOKUP(B10,input_393100!L:R,7,FALSE),VLOOKUP(tables_393100!C10,input_393100!A:H,8,FALSE))</f>
        <v>54900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input_393100!A$2</f>
        <v>393100</v>
      </c>
      <c r="B11" s="8">
        <v>136</v>
      </c>
      <c r="C11" s="7" t="str">
        <f t="shared" si="0"/>
        <v>PremiumW3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お針子チハヤ</v>
      </c>
      <c r="I11" s="7" t="str">
        <f>VLOOKUP(B11,[1]characters!$A:$J,10,FALSE)</f>
        <v>PremiumW</v>
      </c>
      <c r="J11" s="7">
        <f>VLOOKUP(B11,[1]characters!$A:$I,9,FALSE)</f>
        <v>3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IFERROR(VLOOKUP(B11,input_393100!L:R,7,FALSE),VLOOKUP(tables_393100!C11,input_393100!A:H,8,FALSE))</f>
        <v>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input_393100!A$2</f>
        <v>393100</v>
      </c>
      <c r="B12" s="8">
        <v>137</v>
      </c>
      <c r="C12" s="7" t="str">
        <f t="shared" si="0"/>
        <v>PremiumW4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清福の仕立屋 チハヤ</v>
      </c>
      <c r="I12" s="7" t="str">
        <f>VLOOKUP(B12,[1]characters!$A:$J,10,FALSE)</f>
        <v>PremiumW</v>
      </c>
      <c r="J12" s="7">
        <f>VLOOKUP(B12,[1]characters!$A:$I,9,FALSE)</f>
        <v>4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IFERROR(VLOOKUP(B12,input_393100!L:R,7,FALSE),VLOOKUP(tables_393100!C12,input_393100!A:H,8,FALSE))</f>
        <v>54900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input_393100!A$2</f>
        <v>393100</v>
      </c>
      <c r="B13" s="6">
        <v>138</v>
      </c>
      <c r="C13" s="7" t="str">
        <f t="shared" si="0"/>
        <v>PremiumW3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蒼薙のトモエ</v>
      </c>
      <c r="I13" s="7" t="str">
        <f>VLOOKUP(B13,[1]characters!$A:$J,10,FALSE)</f>
        <v>PremiumW</v>
      </c>
      <c r="J13" s="7">
        <f>VLOOKUP(B13,[1]characters!$A:$I,9,FALSE)</f>
        <v>3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IFERROR(VLOOKUP(B13,input_393100!L:R,7,FALSE),VLOOKUP(tables_393100!C13,input_393100!A:H,8,FALSE))</f>
        <v>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input_393100!A$2</f>
        <v>393100</v>
      </c>
      <c r="B14" s="6">
        <v>139</v>
      </c>
      <c r="C14" s="7" t="str">
        <f t="shared" si="0"/>
        <v>PremiumW4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蒼昇刃姫 トモエ</v>
      </c>
      <c r="I14" s="7" t="str">
        <f>VLOOKUP(B14,[1]characters!$A:$J,10,FALSE)</f>
        <v>PremiumW</v>
      </c>
      <c r="J14" s="7">
        <f>VLOOKUP(B14,[1]characters!$A:$I,9,FALSE)</f>
        <v>4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IFERROR(VLOOKUP(B14,input_393100!L:R,7,FALSE),VLOOKUP(tables_393100!C14,input_393100!A:H,8,FALSE))</f>
        <v>54900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input_393100!A$2</f>
        <v>393100</v>
      </c>
      <c r="B15" s="10">
        <v>140</v>
      </c>
      <c r="C15" s="7" t="str">
        <f t="shared" si="0"/>
        <v>PremiumW3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秋祭のタマモ</v>
      </c>
      <c r="I15" s="7" t="str">
        <f>VLOOKUP(B15,[1]characters!$A:$J,10,FALSE)</f>
        <v>PremiumW</v>
      </c>
      <c r="J15" s="7">
        <f>VLOOKUP(B15,[1]characters!$A:$I,9,FALSE)</f>
        <v>3</v>
      </c>
      <c r="K15" s="7" t="str">
        <f>VLOOKUP(B15,[1]characters!$A:$H,8,FALSE)</f>
        <v>yellow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45">
        <f ca="1">IFERROR(VLOOKUP(B15,input_393100!L:R,7,FALSE),VLOOKUP(tables_393100!C15,input_393100!A:H,8,FALSE))</f>
        <v>0</v>
      </c>
      <c r="P15" s="46">
        <f t="shared" ref="P15:P78" ca="1" si="2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input_393100!A$2</f>
        <v>393100</v>
      </c>
      <c r="B16" s="11">
        <v>141</v>
      </c>
      <c r="C16" s="7" t="str">
        <f t="shared" si="0"/>
        <v>PremiumW4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妖狐演舞 タマモ</v>
      </c>
      <c r="I16" s="7" t="str">
        <f>VLOOKUP(B16,[1]characters!$A:$J,10,FALSE)</f>
        <v>PremiumW</v>
      </c>
      <c r="J16" s="7">
        <f>VLOOKUP(B16,[1]characters!$A:$I,9,FALSE)</f>
        <v>4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IFERROR(VLOOKUP(B16,input_393100!L:R,7,FALSE),VLOOKUP(tables_393100!C16,input_393100!A:H,8,FALSE))</f>
        <v>54900</v>
      </c>
      <c r="P16" s="46">
        <f t="shared" ca="1" si="2"/>
        <v>1.0517241379310345E-2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input_393100!A$2</f>
        <v>393100</v>
      </c>
      <c r="B17" s="6">
        <v>142</v>
      </c>
      <c r="C17" s="7" t="str">
        <f t="shared" si="0"/>
        <v>PremiumW3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赤ずきん</v>
      </c>
      <c r="I17" s="7" t="str">
        <f>VLOOKUP(B17,[1]characters!$A:$J,10,FALSE)</f>
        <v>PremiumW</v>
      </c>
      <c r="J17" s="7">
        <f>VLOOKUP(B17,[1]characters!$A:$I,9,FALSE)</f>
        <v>3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f ca="1">IFERROR(VLOOKUP(B17,input_393100!L:R,7,FALSE),VLOOKUP(tables_393100!C17,input_393100!A:H,8,FALSE))</f>
        <v>0</v>
      </c>
      <c r="P17" s="46">
        <f t="shared" ca="1" si="2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input_393100!A$2</f>
        <v>393100</v>
      </c>
      <c r="B18" s="6">
        <v>143</v>
      </c>
      <c r="C18" s="7" t="str">
        <f t="shared" si="0"/>
        <v>PremiumW4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深紅の死神 赤ずきん</v>
      </c>
      <c r="I18" s="7" t="str">
        <f>VLOOKUP(B18,[1]characters!$A:$J,10,FALSE)</f>
        <v>PremiumW</v>
      </c>
      <c r="J18" s="7">
        <f>VLOOKUP(B18,[1]characters!$A:$I,9,FALSE)</f>
        <v>4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IFERROR(VLOOKUP(B18,input_393100!L:R,7,FALSE),VLOOKUP(tables_393100!C18,input_393100!A:H,8,FALSE))</f>
        <v>54900</v>
      </c>
      <c r="P18" s="46">
        <f t="shared" ca="1" si="2"/>
        <v>1.0517241379310345E-2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input_393100!A$2</f>
        <v>393100</v>
      </c>
      <c r="B19" s="10">
        <v>144</v>
      </c>
      <c r="C19" s="7" t="str">
        <f t="shared" si="0"/>
        <v>PremiumW3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かぐや</v>
      </c>
      <c r="I19" s="7" t="str">
        <f>VLOOKUP(B19,[1]characters!$A:$J,10,FALSE)</f>
        <v>PremiumW</v>
      </c>
      <c r="J19" s="7">
        <f>VLOOKUP(B19,[1]characters!$A:$I,9,FALSE)</f>
        <v>3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IFERROR(VLOOKUP(B19,input_393100!L:R,7,FALSE),VLOOKUP(tables_393100!C19,input_393100!A:H,8,FALSE))</f>
        <v>0</v>
      </c>
      <c r="P19" s="46">
        <f t="shared" ca="1" si="2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input_393100!A$2</f>
        <v>393100</v>
      </c>
      <c r="B20" s="6">
        <v>145</v>
      </c>
      <c r="C20" s="7" t="str">
        <f t="shared" si="0"/>
        <v>PremiumW4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魔性妖艶 かぐや</v>
      </c>
      <c r="I20" s="7" t="str">
        <f>VLOOKUP(B20,[1]characters!$A:$J,10,FALSE)</f>
        <v>PremiumW</v>
      </c>
      <c r="J20" s="7">
        <f>VLOOKUP(B20,[1]characters!$A:$I,9,FALSE)</f>
        <v>4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IFERROR(VLOOKUP(B20,input_393100!L:R,7,FALSE),VLOOKUP(tables_393100!C20,input_393100!A:H,8,FALSE))</f>
        <v>54900</v>
      </c>
      <c r="P20" s="46">
        <f t="shared" ca="1" si="2"/>
        <v>1.0517241379310345E-2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input_393100!A$2</f>
        <v>393100</v>
      </c>
      <c r="B21" s="6">
        <v>146</v>
      </c>
      <c r="C21" s="7" t="str">
        <f t="shared" si="0"/>
        <v>PremiumW3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マーメイド</v>
      </c>
      <c r="I21" s="7" t="str">
        <f>VLOOKUP(B21,[1]characters!$A:$J,10,FALSE)</f>
        <v>PremiumW</v>
      </c>
      <c r="J21" s="7">
        <f>VLOOKUP(B21,[1]characters!$A:$I,9,FALSE)</f>
        <v>3</v>
      </c>
      <c r="K21" s="7" t="str">
        <f>VLOOKUP(B21,[1]characters!$A:$H,8,FALSE)</f>
        <v>blue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IFERROR(VLOOKUP(B21,input_393100!L:R,7,FALSE),VLOOKUP(tables_393100!C21,input_393100!A:H,8,FALSE))</f>
        <v>0</v>
      </c>
      <c r="P21" s="46">
        <f t="shared" ca="1" si="2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input_393100!A$2</f>
        <v>393100</v>
      </c>
      <c r="B22" s="6">
        <v>147</v>
      </c>
      <c r="C22" s="7" t="str">
        <f t="shared" si="0"/>
        <v>PremiumW4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蒼き閃光 元マーメイド</v>
      </c>
      <c r="I22" s="7" t="str">
        <f>VLOOKUP(B22,[1]characters!$A:$J,10,FALSE)</f>
        <v>PremiumW</v>
      </c>
      <c r="J22" s="7">
        <f>VLOOKUP(B22,[1]characters!$A:$I,9,FALSE)</f>
        <v>4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IFERROR(VLOOKUP(B22,input_393100!L:R,7,FALSE),VLOOKUP(tables_393100!C22,input_393100!A:H,8,FALSE))</f>
        <v>54900</v>
      </c>
      <c r="P22" s="46">
        <f t="shared" ca="1" si="2"/>
        <v>1.0517241379310345E-2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input_393100!A$2</f>
        <v>393100</v>
      </c>
      <c r="B23" s="6">
        <v>148</v>
      </c>
      <c r="C23" s="7" t="str">
        <f t="shared" si="0"/>
        <v>PremiumW3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シンデレラ</v>
      </c>
      <c r="I23" s="7" t="str">
        <f>VLOOKUP(B23,[1]characters!$A:$J,10,FALSE)</f>
        <v>PremiumW</v>
      </c>
      <c r="J23" s="7">
        <f>VLOOKUP(B23,[1]characters!$A:$I,9,FALSE)</f>
        <v>3</v>
      </c>
      <c r="K23" s="7" t="str">
        <f>VLOOKUP(B23,[1]characters!$A:$H,8,FALSE)</f>
        <v>yellow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IFERROR(VLOOKUP(B23,input_393100!L:R,7,FALSE),VLOOKUP(tables_393100!C23,input_393100!A:H,8,FALSE))</f>
        <v>0</v>
      </c>
      <c r="P23" s="46">
        <f t="shared" ca="1" si="2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input_393100!A$2</f>
        <v>393100</v>
      </c>
      <c r="B24" s="6">
        <v>149</v>
      </c>
      <c r="C24" s="7" t="str">
        <f t="shared" si="0"/>
        <v>PremiumW4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雷撃蹴技を極めし者 シンデレラ</v>
      </c>
      <c r="I24" s="7" t="str">
        <f>VLOOKUP(B24,[1]characters!$A:$J,10,FALSE)</f>
        <v>PremiumW</v>
      </c>
      <c r="J24" s="7">
        <f>VLOOKUP(B24,[1]characters!$A:$I,9,FALSE)</f>
        <v>4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IFERROR(VLOOKUP(B24,input_393100!L:R,7,FALSE),VLOOKUP(tables_393100!C24,input_393100!A:H,8,FALSE))</f>
        <v>54900</v>
      </c>
      <c r="P24" s="46">
        <f t="shared" ca="1" si="2"/>
        <v>1.0517241379310345E-2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input_393100!A$2</f>
        <v>393100</v>
      </c>
      <c r="B25" s="6">
        <v>150</v>
      </c>
      <c r="C25" s="7" t="str">
        <f t="shared" si="0"/>
        <v>PremiumW3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ポイズンマスターサキ</v>
      </c>
      <c r="I25" s="7" t="str">
        <f>VLOOKUP(B25,[1]characters!$A:$J,10,FALSE)</f>
        <v>PremiumW</v>
      </c>
      <c r="J25" s="7">
        <f>VLOOKUP(B25,[1]characters!$A:$I,9,FALSE)</f>
        <v>3</v>
      </c>
      <c r="K25" s="7" t="str">
        <f>VLOOKUP(B25,[1]characters!$A:$H,8,FALSE)</f>
        <v>red</v>
      </c>
      <c r="L25" s="7" t="str">
        <f>VLOOKUP(B25,[1]characters!$A:$K,11,FALSE)</f>
        <v>technical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IFERROR(VLOOKUP(B25,input_393100!L:R,7,FALSE),VLOOKUP(tables_393100!C25,input_393100!A:H,8,FALSE))</f>
        <v>0</v>
      </c>
      <c r="P25" s="46">
        <f t="shared" ca="1" si="2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input_393100!A$2</f>
        <v>393100</v>
      </c>
      <c r="B26" s="6">
        <v>151</v>
      </c>
      <c r="C26" s="7" t="str">
        <f t="shared" si="0"/>
        <v>PremiumW4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毒煙の処刑人サキ</v>
      </c>
      <c r="I26" s="7" t="str">
        <f>VLOOKUP(B26,[1]characters!$A:$J,10,FALSE)</f>
        <v>PremiumW</v>
      </c>
      <c r="J26" s="7">
        <f>VLOOKUP(B26,[1]characters!$A:$I,9,FALSE)</f>
        <v>4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IFERROR(VLOOKUP(B26,input_393100!L:R,7,FALSE),VLOOKUP(tables_393100!C26,input_393100!A:H,8,FALSE))</f>
        <v>54900</v>
      </c>
      <c r="P26" s="46">
        <f t="shared" ca="1" si="2"/>
        <v>1.0517241379310345E-2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input_393100!A$2</f>
        <v>393100</v>
      </c>
      <c r="B27" s="6">
        <v>152</v>
      </c>
      <c r="C27" s="7" t="str">
        <f t="shared" si="0"/>
        <v>PremiumW3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功夫少女ランラン</v>
      </c>
      <c r="I27" s="7" t="str">
        <f>VLOOKUP(B27,[1]characters!$A:$J,10,FALSE)</f>
        <v>PremiumW</v>
      </c>
      <c r="J27" s="7">
        <f>VLOOKUP(B27,[1]characters!$A:$I,9,FALSE)</f>
        <v>3</v>
      </c>
      <c r="K27" s="7" t="str">
        <f>VLOOKUP(B27,[1]characters!$A:$H,8,FALSE)</f>
        <v>green</v>
      </c>
      <c r="L27" s="7" t="str">
        <f>VLOOKUP(B27,[1]characters!$A:$K,11,FALSE)</f>
        <v>heal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IFERROR(VLOOKUP(B27,input_393100!L:R,7,FALSE),VLOOKUP(tables_393100!C27,input_393100!A:H,8,FALSE))</f>
        <v>0</v>
      </c>
      <c r="P27" s="46">
        <f t="shared" ca="1" si="2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input_393100!A$2</f>
        <v>393100</v>
      </c>
      <c r="B28" s="6">
        <v>153</v>
      </c>
      <c r="C28" s="7" t="str">
        <f t="shared" si="0"/>
        <v>PremiumW4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拳聖ランラン</v>
      </c>
      <c r="I28" s="7" t="str">
        <f>VLOOKUP(B28,[1]characters!$A:$J,10,FALSE)</f>
        <v>PremiumW</v>
      </c>
      <c r="J28" s="7">
        <f>VLOOKUP(B28,[1]characters!$A:$I,9,FALSE)</f>
        <v>4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IFERROR(VLOOKUP(B28,input_393100!L:R,7,FALSE),VLOOKUP(tables_393100!C28,input_393100!A:H,8,FALSE))</f>
        <v>54900</v>
      </c>
      <c r="P28" s="46">
        <f t="shared" ca="1" si="2"/>
        <v>1.0517241379310345E-2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input_393100!A$2</f>
        <v>393100</v>
      </c>
      <c r="B29" s="6">
        <v>154</v>
      </c>
      <c r="C29" s="7" t="str">
        <f t="shared" si="0"/>
        <v>PremiumW3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始末屋 ハンナ</v>
      </c>
      <c r="I29" s="7" t="str">
        <f>VLOOKUP(B29,[1]characters!$A:$J,10,FALSE)</f>
        <v>PremiumW</v>
      </c>
      <c r="J29" s="7">
        <f>VLOOKUP(B29,[1]characters!$A:$I,9,FALSE)</f>
        <v>3</v>
      </c>
      <c r="K29" s="7" t="str">
        <f>VLOOKUP(B29,[1]characters!$A:$H,8,FALSE)</f>
        <v>blue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IFERROR(VLOOKUP(B29,input_393100!L:R,7,FALSE),VLOOKUP(tables_393100!C29,input_393100!A:H,8,FALSE))</f>
        <v>0</v>
      </c>
      <c r="P29" s="46">
        <f t="shared" ca="1" si="2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input_393100!A$2</f>
        <v>393100</v>
      </c>
      <c r="B30" s="6">
        <v>155</v>
      </c>
      <c r="C30" s="7" t="str">
        <f t="shared" si="0"/>
        <v>PremiumW4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隻眼の掃除屋 ハンナ</v>
      </c>
      <c r="I30" s="7" t="str">
        <f>VLOOKUP(B30,[1]characters!$A:$J,10,FALSE)</f>
        <v>PremiumW</v>
      </c>
      <c r="J30" s="7">
        <f>VLOOKUP(B30,[1]characters!$A:$I,9,FALSE)</f>
        <v>4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IFERROR(VLOOKUP(B30,input_393100!L:R,7,FALSE),VLOOKUP(tables_393100!C30,input_393100!A:H,8,FALSE))</f>
        <v>54900</v>
      </c>
      <c r="P30" s="46">
        <f t="shared" ca="1" si="2"/>
        <v>1.0517241379310345E-2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input_393100!A$2</f>
        <v>393100</v>
      </c>
      <c r="B31" s="6">
        <v>156</v>
      </c>
      <c r="C31" s="7" t="str">
        <f t="shared" si="0"/>
        <v>PremiumW3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踊り子 エレナ</v>
      </c>
      <c r="I31" s="7" t="str">
        <f>VLOOKUP(B31,[1]characters!$A:$J,10,FALSE)</f>
        <v>PremiumW</v>
      </c>
      <c r="J31" s="7">
        <f>VLOOKUP(B31,[1]characters!$A:$I,9,FALSE)</f>
        <v>3</v>
      </c>
      <c r="K31" s="7" t="str">
        <f>VLOOKUP(B31,[1]characters!$A:$H,8,FALSE)</f>
        <v>yellow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IFERROR(VLOOKUP(B31,input_393100!L:R,7,FALSE),VLOOKUP(tables_393100!C31,input_393100!A:H,8,FALSE))</f>
        <v>0</v>
      </c>
      <c r="P31" s="46">
        <f t="shared" ca="1" si="2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input_393100!A$2</f>
        <v>393100</v>
      </c>
      <c r="B32" s="6">
        <v>157</v>
      </c>
      <c r="C32" s="7" t="str">
        <f t="shared" si="0"/>
        <v>PremiumW4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雷光舞姫 エレナ</v>
      </c>
      <c r="I32" s="7" t="str">
        <f>VLOOKUP(B32,[1]characters!$A:$J,10,FALSE)</f>
        <v>PremiumW</v>
      </c>
      <c r="J32" s="7">
        <f>VLOOKUP(B32,[1]characters!$A:$I,9,FALSE)</f>
        <v>4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IFERROR(VLOOKUP(B32,input_393100!L:R,7,FALSE),VLOOKUP(tables_393100!C32,input_393100!A:H,8,FALSE))</f>
        <v>54900</v>
      </c>
      <c r="P32" s="46">
        <f t="shared" ca="1" si="2"/>
        <v>1.0517241379310345E-2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input_393100!A$2</f>
        <v>393100</v>
      </c>
      <c r="B33" s="6">
        <v>158</v>
      </c>
      <c r="C33" s="7" t="str">
        <f t="shared" si="0"/>
        <v>PremiumW3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シスター シャルロッテ</v>
      </c>
      <c r="I33" s="7" t="str">
        <f>VLOOKUP(B33,[1]characters!$A:$J,10,FALSE)</f>
        <v>PremiumW</v>
      </c>
      <c r="J33" s="7">
        <f>VLOOKUP(B33,[1]characters!$A:$I,9,FALSE)</f>
        <v>3</v>
      </c>
      <c r="K33" s="7" t="str">
        <f>VLOOKUP(B33,[1]characters!$A:$H,8,FALSE)</f>
        <v>red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IFERROR(VLOOKUP(B33,input_393100!L:R,7,FALSE),VLOOKUP(tables_393100!C33,input_393100!A:H,8,FALSE))</f>
        <v>0</v>
      </c>
      <c r="P33" s="46">
        <f t="shared" ca="1" si="2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input_393100!A$2</f>
        <v>393100</v>
      </c>
      <c r="B34" s="6">
        <v>159</v>
      </c>
      <c r="C34" s="7" t="str">
        <f t="shared" si="0"/>
        <v>PremiumW4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邪を狩りし者 シャルロッテ</v>
      </c>
      <c r="I34" s="7" t="str">
        <f>VLOOKUP(B34,[1]characters!$A:$J,10,FALSE)</f>
        <v>PremiumW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IFERROR(VLOOKUP(B34,input_393100!L:R,7,FALSE),VLOOKUP(tables_393100!C34,input_393100!A:H,8,FALSE))</f>
        <v>54900</v>
      </c>
      <c r="P34" s="46">
        <f t="shared" ca="1" si="2"/>
        <v>1.0517241379310345E-2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input_393100!A$2</f>
        <v>393100</v>
      </c>
      <c r="B35" s="6">
        <v>160</v>
      </c>
      <c r="C35" s="7" t="str">
        <f t="shared" si="0"/>
        <v>PremiumW3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反逆者 クリエ</v>
      </c>
      <c r="I35" s="7" t="str">
        <f>VLOOKUP(B35,[1]characters!$A:$J,10,FALSE)</f>
        <v>PremiumW</v>
      </c>
      <c r="J35" s="7">
        <f>VLOOKUP(B35,[1]characters!$A:$I,9,FALSE)</f>
        <v>3</v>
      </c>
      <c r="K35" s="7" t="str">
        <f>VLOOKUP(B35,[1]characters!$A:$H,8,FALSE)</f>
        <v>green</v>
      </c>
      <c r="L35" s="7" t="str">
        <f>VLOOKUP(B35,[1]characters!$A:$K,11,FALSE)</f>
        <v>balance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IFERROR(VLOOKUP(B35,input_393100!L:R,7,FALSE),VLOOKUP(tables_393100!C35,input_393100!A:H,8,FALSE))</f>
        <v>0</v>
      </c>
      <c r="P35" s="46">
        <f t="shared" ca="1" si="2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input_393100!A$2</f>
        <v>393100</v>
      </c>
      <c r="B36" s="6">
        <v>161</v>
      </c>
      <c r="C36" s="7" t="str">
        <f t="shared" si="0"/>
        <v>PremiumW4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咆哮の先導者 クリエ</v>
      </c>
      <c r="I36" s="7" t="str">
        <f>VLOOKUP(B36,[1]characters!$A:$J,10,FALSE)</f>
        <v>PremiumW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IFERROR(VLOOKUP(B36,input_393100!L:R,7,FALSE),VLOOKUP(tables_393100!C36,input_393100!A:H,8,FALSE))</f>
        <v>54900</v>
      </c>
      <c r="P36" s="46">
        <f t="shared" ca="1" si="2"/>
        <v>1.0517241379310345E-2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input_393100!A$2</f>
        <v>393100</v>
      </c>
      <c r="B37" s="6">
        <v>162</v>
      </c>
      <c r="C37" s="7" t="str">
        <f t="shared" si="0"/>
        <v>PremiumW3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狂女 クララ</v>
      </c>
      <c r="I37" s="7" t="str">
        <f>VLOOKUP(B37,[1]characters!$A:$J,10,FALSE)</f>
        <v>PremiumW</v>
      </c>
      <c r="J37" s="7">
        <f>VLOOKUP(B37,[1]characters!$A:$I,9,FALSE)</f>
        <v>3</v>
      </c>
      <c r="K37" s="7" t="str">
        <f>VLOOKUP(B37,[1]characters!$A:$H,8,FALSE)</f>
        <v>blue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IFERROR(VLOOKUP(B37,input_393100!L:R,7,FALSE),VLOOKUP(tables_393100!C37,input_393100!A:H,8,FALSE))</f>
        <v>0</v>
      </c>
      <c r="P37" s="46">
        <f t="shared" ca="1" si="2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input_393100!A$2</f>
        <v>393100</v>
      </c>
      <c r="B38" s="6">
        <v>163</v>
      </c>
      <c r="C38" s="7" t="str">
        <f t="shared" si="0"/>
        <v>PremiumW4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冷酷な狂嬢 クララ</v>
      </c>
      <c r="I38" s="7" t="str">
        <f>VLOOKUP(B38,[1]characters!$A:$J,10,FALSE)</f>
        <v>PremiumW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IFERROR(VLOOKUP(B38,input_393100!L:R,7,FALSE),VLOOKUP(tables_393100!C38,input_393100!A:H,8,FALSE))</f>
        <v>54900</v>
      </c>
      <c r="P38" s="46">
        <f t="shared" ca="1" si="2"/>
        <v>1.0517241379310345E-2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input_393100!A$2</f>
        <v>393100</v>
      </c>
      <c r="B39" s="6">
        <v>164</v>
      </c>
      <c r="C39" s="7" t="str">
        <f t="shared" si="0"/>
        <v>PremiumW3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イブとトモダチ</v>
      </c>
      <c r="I39" s="7" t="str">
        <f>VLOOKUP(B39,[1]characters!$A:$J,10,FALSE)</f>
        <v>PremiumW</v>
      </c>
      <c r="J39" s="7">
        <f>VLOOKUP(B39,[1]characters!$A:$I,9,FALSE)</f>
        <v>3</v>
      </c>
      <c r="K39" s="7" t="str">
        <f>VLOOKUP(B39,[1]characters!$A:$H,8,FALSE)</f>
        <v>yellow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IFERROR(VLOOKUP(B39,input_393100!L:R,7,FALSE),VLOOKUP(tables_393100!C39,input_393100!A:H,8,FALSE))</f>
        <v>0</v>
      </c>
      <c r="P39" s="46">
        <f t="shared" ca="1" si="2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input_393100!A$2</f>
        <v>393100</v>
      </c>
      <c r="B40" s="6">
        <v>165</v>
      </c>
      <c r="C40" s="7" t="str">
        <f t="shared" si="0"/>
        <v>PremiumW4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イブとたったひとりのトモダチ</v>
      </c>
      <c r="I40" s="7" t="str">
        <f>VLOOKUP(B40,[1]characters!$A:$J,10,FALSE)</f>
        <v>PremiumW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IFERROR(VLOOKUP(B40,input_393100!L:R,7,FALSE),VLOOKUP(tables_393100!C40,input_393100!A:H,8,FALSE))</f>
        <v>54900</v>
      </c>
      <c r="P40" s="46">
        <f t="shared" ca="1" si="2"/>
        <v>1.0517241379310345E-2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input_393100!A$2</f>
        <v>393100</v>
      </c>
      <c r="B41" s="6">
        <v>166</v>
      </c>
      <c r="C41" s="7" t="str">
        <f t="shared" si="0"/>
        <v>Premium3R6release</v>
      </c>
      <c r="D41" s="7" t="str">
        <f t="shared" si="1"/>
        <v>Premium</v>
      </c>
      <c r="E41" s="7" t="str">
        <f>IF(COUNTIF('R6追加前'!A:A,B41)=0,IF(I41="PremiumSS","R5only","R3less"),"")</f>
        <v/>
      </c>
      <c r="F41" s="7" t="str">
        <f>IF(COUNTIF('R6開放'!A:A,B41)&gt;0,"R6release","")</f>
        <v>R6release</v>
      </c>
      <c r="G41" s="7"/>
      <c r="H41" s="7" t="str">
        <f>VLOOKUP(B41,[1]characters!$A:$C,3,FALSE)</f>
        <v>ベリアル</v>
      </c>
      <c r="I41" s="7" t="str">
        <f>VLOOKUP(B41,[1]characters!$A:$J,10,FALSE)</f>
        <v>PremiumN</v>
      </c>
      <c r="J41" s="7">
        <f>VLOOKUP(B41,[1]characters!$A:$I,9,FALSE)</f>
        <v>3</v>
      </c>
      <c r="K41" s="7" t="str">
        <f>VLOOKUP(B41,[1]characters!$A:$H,8,FALSE)</f>
        <v>red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男性</v>
      </c>
      <c r="O41" s="45">
        <f ca="1">IFERROR(VLOOKUP(B41,input_393100!L:R,7,FALSE),VLOOKUP(tables_393100!C41,input_393100!A:H,8,FALSE))</f>
        <v>0</v>
      </c>
      <c r="P41" s="46">
        <f t="shared" ca="1" si="2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input_393100!A$2</f>
        <v>393100</v>
      </c>
      <c r="B42" s="6">
        <v>167</v>
      </c>
      <c r="C42" s="7" t="str">
        <f t="shared" si="0"/>
        <v>Premium4R6release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逆徒 ベリアル</v>
      </c>
      <c r="I42" s="7" t="str">
        <f>VLOOKUP(B42,[1]characters!$A:$J,10,FALSE)</f>
        <v>PremiumN</v>
      </c>
      <c r="J42" s="7">
        <f>VLOOKUP(B42,[1]characters!$A:$I,9,FALSE)</f>
        <v>4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IFERROR(VLOOKUP(B42,input_393100!L:R,7,FALSE),VLOOKUP(tables_393100!C42,input_393100!A:H,8,FALSE))</f>
        <v>52155</v>
      </c>
      <c r="P42" s="46">
        <f t="shared" ca="1" si="2"/>
        <v>9.9913793103448278E-3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input_393100!A$2</f>
        <v>393100</v>
      </c>
      <c r="B43" s="6">
        <v>168</v>
      </c>
      <c r="C43" s="7" t="str">
        <f t="shared" si="0"/>
        <v>Premium5R6release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猛進の大逆者 ベリアル</v>
      </c>
      <c r="I43" s="7" t="str">
        <f>VLOOKUP(B43,[1]characters!$A:$J,10,FALSE)</f>
        <v>PremiumN</v>
      </c>
      <c r="J43" s="7">
        <f>VLOOKUP(B43,[1]characters!$A:$I,9,FALSE)</f>
        <v>5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IFERROR(VLOOKUP(B43,input_393100!L:R,7,FALSE),VLOOKUP(tables_393100!C43,input_393100!A:H,8,FALSE))</f>
        <v>2745</v>
      </c>
      <c r="P43" s="46">
        <f t="shared" ca="1" si="2"/>
        <v>5.258620689655172E-4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input_393100!A$2</f>
        <v>393100</v>
      </c>
      <c r="B44" s="6">
        <v>169</v>
      </c>
      <c r="C44" s="7" t="str">
        <f t="shared" si="0"/>
        <v>Premium3R6release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オセ</v>
      </c>
      <c r="I44" s="7" t="str">
        <f>VLOOKUP(B44,[1]characters!$A:$J,10,FALSE)</f>
        <v>PremiumN</v>
      </c>
      <c r="J44" s="7">
        <f>VLOOKUP(B44,[1]characters!$A:$I,9,FALSE)</f>
        <v>3</v>
      </c>
      <c r="K44" s="7" t="str">
        <f>VLOOKUP(B44,[1]characters!$A:$H,8,FALSE)</f>
        <v>green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女性</v>
      </c>
      <c r="O44" s="45">
        <f ca="1">IFERROR(VLOOKUP(B44,input_393100!L:R,7,FALSE),VLOOKUP(tables_393100!C44,input_393100!A:H,8,FALSE))</f>
        <v>0</v>
      </c>
      <c r="P44" s="46">
        <f t="shared" ca="1" si="2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input_393100!A$2</f>
        <v>393100</v>
      </c>
      <c r="B45" s="6">
        <v>170</v>
      </c>
      <c r="C45" s="7" t="str">
        <f t="shared" si="0"/>
        <v>Premium4R6release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識徒 オセ</v>
      </c>
      <c r="I45" s="7" t="str">
        <f>VLOOKUP(B45,[1]characters!$A:$J,10,FALSE)</f>
        <v>PremiumN</v>
      </c>
      <c r="J45" s="7">
        <f>VLOOKUP(B45,[1]characters!$A:$I,9,FALSE)</f>
        <v>4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IFERROR(VLOOKUP(B45,input_393100!L:R,7,FALSE),VLOOKUP(tables_393100!C45,input_393100!A:H,8,FALSE))</f>
        <v>52155</v>
      </c>
      <c r="P45" s="46">
        <f t="shared" ca="1" si="2"/>
        <v>9.9913793103448278E-3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input_393100!A$2</f>
        <v>393100</v>
      </c>
      <c r="B46" s="6">
        <v>171</v>
      </c>
      <c r="C46" s="7" t="str">
        <f t="shared" si="0"/>
        <v>Premium5R6release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精解の預知者 オセ</v>
      </c>
      <c r="I46" s="7" t="str">
        <f>VLOOKUP(B46,[1]characters!$A:$J,10,FALSE)</f>
        <v>PremiumN</v>
      </c>
      <c r="J46" s="7">
        <f>VLOOKUP(B46,[1]characters!$A:$I,9,FALSE)</f>
        <v>5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IFERROR(VLOOKUP(B46,input_393100!L:R,7,FALSE),VLOOKUP(tables_393100!C46,input_393100!A:H,8,FALSE))</f>
        <v>2745</v>
      </c>
      <c r="P46" s="46">
        <f t="shared" ca="1" si="2"/>
        <v>5.258620689655172E-4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input_393100!A$2</f>
        <v>393100</v>
      </c>
      <c r="B47" s="6">
        <v>172</v>
      </c>
      <c r="C47" s="7" t="str">
        <f t="shared" si="0"/>
        <v>Premium3R6release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フォルネウス</v>
      </c>
      <c r="I47" s="7" t="str">
        <f>VLOOKUP(B47,[1]characters!$A:$J,10,FALSE)</f>
        <v>PremiumN</v>
      </c>
      <c r="J47" s="7">
        <f>VLOOKUP(B47,[1]characters!$A:$I,9,FALSE)</f>
        <v>3</v>
      </c>
      <c r="K47" s="7" t="str">
        <f>VLOOKUP(B47,[1]characters!$A:$H,8,FALSE)</f>
        <v>blue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IFERROR(VLOOKUP(B47,input_393100!L:R,7,FALSE),VLOOKUP(tables_393100!C47,input_393100!A:H,8,FALSE))</f>
        <v>0</v>
      </c>
      <c r="P47" s="46">
        <f t="shared" ca="1" si="2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input_393100!A$2</f>
        <v>393100</v>
      </c>
      <c r="B48" s="6">
        <v>173</v>
      </c>
      <c r="C48" s="7" t="str">
        <f t="shared" si="0"/>
        <v>Premium4R6release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公爵 フォルネウス</v>
      </c>
      <c r="I48" s="7" t="str">
        <f>VLOOKUP(B48,[1]characters!$A:$J,10,FALSE)</f>
        <v>PremiumN</v>
      </c>
      <c r="J48" s="7">
        <f>VLOOKUP(B48,[1]characters!$A:$I,9,FALSE)</f>
        <v>4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IFERROR(VLOOKUP(B48,input_393100!L:R,7,FALSE),VLOOKUP(tables_393100!C48,input_393100!A:H,8,FALSE))</f>
        <v>52155</v>
      </c>
      <c r="P48" s="46">
        <f t="shared" ca="1" si="2"/>
        <v>9.9913793103448278E-3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input_393100!A$2</f>
        <v>393100</v>
      </c>
      <c r="B49" s="6">
        <v>174</v>
      </c>
      <c r="C49" s="7" t="str">
        <f t="shared" si="0"/>
        <v>Premium5R6release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偽愛の大公爵 フォルネウス</v>
      </c>
      <c r="I49" s="7" t="str">
        <f>VLOOKUP(B49,[1]characters!$A:$J,10,FALSE)</f>
        <v>PremiumN</v>
      </c>
      <c r="J49" s="7">
        <f>VLOOKUP(B49,[1]characters!$A:$I,9,FALSE)</f>
        <v>5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IFERROR(VLOOKUP(B49,input_393100!L:R,7,FALSE),VLOOKUP(tables_393100!C49,input_393100!A:H,8,FALSE))</f>
        <v>2745</v>
      </c>
      <c r="P49" s="46">
        <f t="shared" ca="1" si="2"/>
        <v>5.258620689655172E-4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input_393100!A$2</f>
        <v>393100</v>
      </c>
      <c r="B50" s="6">
        <v>175</v>
      </c>
      <c r="C50" s="7" t="str">
        <f t="shared" si="0"/>
        <v>Premium3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バフォメット</v>
      </c>
      <c r="I50" s="7" t="str">
        <f>VLOOKUP(B50,[1]characters!$A:$J,10,FALSE)</f>
        <v>PremiumN</v>
      </c>
      <c r="J50" s="7">
        <f>VLOOKUP(B50,[1]characters!$A:$I,9,FALSE)</f>
        <v>3</v>
      </c>
      <c r="K50" s="7" t="str">
        <f>VLOOKUP(B50,[1]characters!$A:$H,8,FALSE)</f>
        <v>yellow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IFERROR(VLOOKUP(B50,input_393100!L:R,7,FALSE),VLOOKUP(tables_393100!C50,input_393100!A:H,8,FALSE))</f>
        <v>0</v>
      </c>
      <c r="P50" s="46">
        <f t="shared" ca="1" si="2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input_393100!A$2</f>
        <v>393100</v>
      </c>
      <c r="B51" s="6">
        <v>176</v>
      </c>
      <c r="C51" s="7" t="str">
        <f t="shared" si="0"/>
        <v>Premium4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異教徒 バフォメット</v>
      </c>
      <c r="I51" s="7" t="str">
        <f>VLOOKUP(B51,[1]characters!$A:$J,10,FALSE)</f>
        <v>PremiumN</v>
      </c>
      <c r="J51" s="7">
        <f>VLOOKUP(B51,[1]characters!$A:$I,9,FALSE)</f>
        <v>4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IFERROR(VLOOKUP(B51,input_393100!L:R,7,FALSE),VLOOKUP(tables_393100!C51,input_393100!A:H,8,FALSE))</f>
        <v>53751.057690000001</v>
      </c>
      <c r="P51" s="46">
        <f t="shared" ca="1" si="2"/>
        <v>1.0297137488505748E-2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input_393100!A$2</f>
        <v>393100</v>
      </c>
      <c r="B52" s="6">
        <v>177</v>
      </c>
      <c r="C52" s="7" t="str">
        <f t="shared" si="0"/>
        <v>Premium5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黒魔の異端師 バフォメット</v>
      </c>
      <c r="I52" s="7" t="str">
        <f>VLOOKUP(B52,[1]characters!$A:$J,10,FALSE)</f>
        <v>PremiumN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IFERROR(VLOOKUP(B52,input_393100!L:R,7,FALSE),VLOOKUP(tables_393100!C52,input_393100!A:H,8,FALSE))</f>
        <v>1148.9423099999999</v>
      </c>
      <c r="P52" s="46">
        <f t="shared" ca="1" si="2"/>
        <v>2.2010389080459768E-4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input_393100!A$2</f>
        <v>393100</v>
      </c>
      <c r="B53" s="6">
        <v>178</v>
      </c>
      <c r="C53" s="7" t="str">
        <f t="shared" si="0"/>
        <v>Premium3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ケルベロス</v>
      </c>
      <c r="I53" s="7" t="str">
        <f>VLOOKUP(B53,[1]characters!$A:$J,10,FALSE)</f>
        <v>PremiumN</v>
      </c>
      <c r="J53" s="7">
        <f>VLOOKUP(B53,[1]characters!$A:$I,9,FALSE)</f>
        <v>3</v>
      </c>
      <c r="K53" s="7" t="str">
        <f>VLOOKUP(B53,[1]characters!$A:$H,8,FALSE)</f>
        <v>red</v>
      </c>
      <c r="L53" s="7" t="str">
        <f>VLOOKUP(B53,[1]characters!$A:$K,11,FALSE)</f>
        <v>balance</v>
      </c>
      <c r="M53" s="7" t="str">
        <f>VLOOKUP(B53,[1]characters!$A:$M,13,FALSE)</f>
        <v>animal</v>
      </c>
      <c r="N53" s="7" t="str">
        <f>VLOOKUP(B53,[1]characters!$A:$G,7,FALSE)</f>
        <v>女性</v>
      </c>
      <c r="O53" s="45">
        <f ca="1">IFERROR(VLOOKUP(B53,input_393100!L:R,7,FALSE),VLOOKUP(tables_393100!C53,input_393100!A:H,8,FALSE))</f>
        <v>0</v>
      </c>
      <c r="P53" s="46">
        <f t="shared" ca="1" si="2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input_393100!A$2</f>
        <v>393100</v>
      </c>
      <c r="B54" s="6">
        <v>179</v>
      </c>
      <c r="C54" s="7" t="str">
        <f t="shared" si="0"/>
        <v>Premium4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番犬 ケルベロス</v>
      </c>
      <c r="I54" s="7" t="str">
        <f>VLOOKUP(B54,[1]characters!$A:$J,10,FALSE)</f>
        <v>PremiumN</v>
      </c>
      <c r="J54" s="7">
        <f>VLOOKUP(B54,[1]characters!$A:$I,9,FALSE)</f>
        <v>4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IFERROR(VLOOKUP(B54,input_393100!L:R,7,FALSE),VLOOKUP(tables_393100!C54,input_393100!A:H,8,FALSE))</f>
        <v>53751.057690000001</v>
      </c>
      <c r="P54" s="46">
        <f t="shared" ca="1" si="2"/>
        <v>1.0297137488505748E-2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input_393100!A$2</f>
        <v>393100</v>
      </c>
      <c r="B55" s="6">
        <v>180</v>
      </c>
      <c r="C55" s="7" t="str">
        <f t="shared" si="0"/>
        <v>Premium5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地獄の大門番 ケルベロス</v>
      </c>
      <c r="I55" s="7" t="str">
        <f>VLOOKUP(B55,[1]characters!$A:$J,10,FALSE)</f>
        <v>PremiumN</v>
      </c>
      <c r="J55" s="7">
        <f>VLOOKUP(B55,[1]characters!$A:$I,9,FALSE)</f>
        <v>5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IFERROR(VLOOKUP(B55,input_393100!L:R,7,FALSE),VLOOKUP(tables_393100!C55,input_393100!A:H,8,FALSE))</f>
        <v>1148.9423099999999</v>
      </c>
      <c r="P55" s="46">
        <f t="shared" ca="1" si="2"/>
        <v>2.2010389080459768E-4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input_393100!A$2</f>
        <v>393100</v>
      </c>
      <c r="B56" s="6">
        <v>181</v>
      </c>
      <c r="C56" s="7" t="str">
        <f t="shared" si="0"/>
        <v>Premium3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ベヒモス</v>
      </c>
      <c r="I56" s="7" t="str">
        <f>VLOOKUP(B56,[1]characters!$A:$J,10,FALSE)</f>
        <v>PremiumN</v>
      </c>
      <c r="J56" s="7">
        <f>VLOOKUP(B56,[1]characters!$A:$I,9,FALSE)</f>
        <v>3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IFERROR(VLOOKUP(B56,input_393100!L:R,7,FALSE),VLOOKUP(tables_393100!C56,input_393100!A:H,8,FALSE))</f>
        <v>0</v>
      </c>
      <c r="P56" s="46">
        <f t="shared" ca="1" si="2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input_393100!A$2</f>
        <v>393100</v>
      </c>
      <c r="B57" s="6">
        <v>182</v>
      </c>
      <c r="C57" s="7" t="str">
        <f t="shared" si="0"/>
        <v>Premium4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放蕩者 ベヒモス</v>
      </c>
      <c r="I57" s="7" t="str">
        <f>VLOOKUP(B57,[1]characters!$A:$J,10,FALSE)</f>
        <v>PremiumN</v>
      </c>
      <c r="J57" s="7">
        <f>VLOOKUP(B57,[1]characters!$A:$I,9,FALSE)</f>
        <v>4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IFERROR(VLOOKUP(B57,input_393100!L:R,7,FALSE),VLOOKUP(tables_393100!C57,input_393100!A:H,8,FALSE))</f>
        <v>53751.057690000001</v>
      </c>
      <c r="P57" s="46">
        <f t="shared" ca="1" si="2"/>
        <v>1.0297137488505748E-2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input_393100!A$2</f>
        <v>393100</v>
      </c>
      <c r="B58" s="6">
        <v>183</v>
      </c>
      <c r="C58" s="7" t="str">
        <f t="shared" si="0"/>
        <v>Premium5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鈍重な彷徨者 ベヒモス</v>
      </c>
      <c r="I58" s="7" t="str">
        <f>VLOOKUP(B58,[1]characters!$A:$J,10,FALSE)</f>
        <v>PremiumN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IFERROR(VLOOKUP(B58,input_393100!L:R,7,FALSE),VLOOKUP(tables_393100!C58,input_393100!A:H,8,FALSE))</f>
        <v>1148.9423099999999</v>
      </c>
      <c r="P58" s="46">
        <f t="shared" ca="1" si="2"/>
        <v>2.2010389080459768E-4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input_393100!A$2</f>
        <v>393100</v>
      </c>
      <c r="B59" s="6">
        <v>184</v>
      </c>
      <c r="C59" s="7" t="str">
        <f t="shared" si="0"/>
        <v>Premium3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クラーケン</v>
      </c>
      <c r="I59" s="7" t="str">
        <f>VLOOKUP(B59,[1]characters!$A:$J,10,FALSE)</f>
        <v>PremiumN</v>
      </c>
      <c r="J59" s="7">
        <f>VLOOKUP(B59,[1]characters!$A:$I,9,FALSE)</f>
        <v>3</v>
      </c>
      <c r="K59" s="7" t="str">
        <f>VLOOKUP(B59,[1]characters!$A:$H,8,FALSE)</f>
        <v>blue</v>
      </c>
      <c r="L59" s="7" t="str">
        <f>VLOOKUP(B59,[1]characters!$A:$K,11,FALSE)</f>
        <v>heal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IFERROR(VLOOKUP(B59,input_393100!L:R,7,FALSE),VLOOKUP(tables_393100!C59,input_393100!A:H,8,FALSE))</f>
        <v>0</v>
      </c>
      <c r="P59" s="46">
        <f t="shared" ca="1" si="2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input_393100!A$2</f>
        <v>393100</v>
      </c>
      <c r="B60" s="6">
        <v>185</v>
      </c>
      <c r="C60" s="7" t="str">
        <f t="shared" si="0"/>
        <v>Premium4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海姫 クラーケン</v>
      </c>
      <c r="I60" s="7" t="str">
        <f>VLOOKUP(B60,[1]characters!$A:$J,10,FALSE)</f>
        <v>PremiumN</v>
      </c>
      <c r="J60" s="7">
        <f>VLOOKUP(B60,[1]characters!$A:$I,9,FALSE)</f>
        <v>4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IFERROR(VLOOKUP(B60,input_393100!L:R,7,FALSE),VLOOKUP(tables_393100!C60,input_393100!A:H,8,FALSE))</f>
        <v>53751.057690000001</v>
      </c>
      <c r="P60" s="46">
        <f t="shared" ca="1" si="2"/>
        <v>1.0297137488505748E-2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input_393100!A$2</f>
        <v>393100</v>
      </c>
      <c r="B61" s="8">
        <v>186</v>
      </c>
      <c r="C61" s="7" t="str">
        <f t="shared" si="0"/>
        <v>Premium5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誇り高き多触姫・クラーケン</v>
      </c>
      <c r="I61" s="7" t="str">
        <f>VLOOKUP(B61,[1]characters!$A:$J,10,FALSE)</f>
        <v>PremiumN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IFERROR(VLOOKUP(B61,input_393100!L:R,7,FALSE),VLOOKUP(tables_393100!C61,input_393100!A:H,8,FALSE))</f>
        <v>1148.9423099999999</v>
      </c>
      <c r="P61" s="46">
        <f t="shared" ca="1" si="2"/>
        <v>2.2010389080459768E-4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input_393100!A$2</f>
        <v>393100</v>
      </c>
      <c r="B62" s="8">
        <v>187</v>
      </c>
      <c r="C62" s="7" t="str">
        <f t="shared" si="0"/>
        <v>Premium3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ホルス</v>
      </c>
      <c r="I62" s="7" t="str">
        <f>VLOOKUP(B62,[1]characters!$A:$J,10,FALSE)</f>
        <v>PremiumN</v>
      </c>
      <c r="J62" s="7">
        <f>VLOOKUP(B62,[1]characters!$A:$I,9,FALSE)</f>
        <v>3</v>
      </c>
      <c r="K62" s="7" t="str">
        <f>VLOOKUP(B62,[1]characters!$A:$H,8,FALSE)</f>
        <v>yellow</v>
      </c>
      <c r="L62" s="7" t="str">
        <f>VLOOKUP(B62,[1]characters!$A:$K,11,FALSE)</f>
        <v>attack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IFERROR(VLOOKUP(B62,input_393100!L:R,7,FALSE),VLOOKUP(tables_393100!C62,input_393100!A:H,8,FALSE))</f>
        <v>0</v>
      </c>
      <c r="P62" s="46">
        <f t="shared" ca="1" si="2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input_393100!A$2</f>
        <v>393100</v>
      </c>
      <c r="B63" s="8">
        <v>188</v>
      </c>
      <c r="C63" s="7" t="str">
        <f t="shared" si="0"/>
        <v>Premium4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猛禽 ホルス</v>
      </c>
      <c r="I63" s="7" t="str">
        <f>VLOOKUP(B63,[1]characters!$A:$J,10,FALSE)</f>
        <v>PremiumN</v>
      </c>
      <c r="J63" s="7">
        <f>VLOOKUP(B63,[1]characters!$A:$I,9,FALSE)</f>
        <v>4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IFERROR(VLOOKUP(B63,input_393100!L:R,7,FALSE),VLOOKUP(tables_393100!C63,input_393100!A:H,8,FALSE))</f>
        <v>53751.057690000001</v>
      </c>
      <c r="P63" s="46">
        <f t="shared" ca="1" si="2"/>
        <v>1.0297137488505748E-2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input_393100!A$2</f>
        <v>393100</v>
      </c>
      <c r="B64" s="8">
        <v>189</v>
      </c>
      <c r="C64" s="7" t="str">
        <f t="shared" si="0"/>
        <v>Premium5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迅雷の王禽 ホルス</v>
      </c>
      <c r="I64" s="7" t="str">
        <f>VLOOKUP(B64,[1]characters!$A:$J,10,FALSE)</f>
        <v>PremiumN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IFERROR(VLOOKUP(B64,input_393100!L:R,7,FALSE),VLOOKUP(tables_393100!C64,input_393100!A:H,8,FALSE))</f>
        <v>1148.9423099999999</v>
      </c>
      <c r="P64" s="46">
        <f t="shared" ca="1" si="2"/>
        <v>2.2010389080459768E-4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input_393100!A$2</f>
        <v>393100</v>
      </c>
      <c r="B65" s="6">
        <v>190</v>
      </c>
      <c r="C65" s="7" t="str">
        <f t="shared" si="0"/>
        <v>Premium3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卑弥呼</v>
      </c>
      <c r="I65" s="7" t="str">
        <f>VLOOKUP(B65,[1]characters!$A:$J,10,FALSE)</f>
        <v>PremiumN</v>
      </c>
      <c r="J65" s="7">
        <f>VLOOKUP(B65,[1]characters!$A:$I,9,FALSE)</f>
        <v>3</v>
      </c>
      <c r="K65" s="7" t="str">
        <f>VLOOKUP(B65,[1]characters!$A:$H,8,FALSE)</f>
        <v>red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ca="1">IFERROR(VLOOKUP(B65,input_393100!L:R,7,FALSE),VLOOKUP(tables_393100!C65,input_393100!A:H,8,FALSE))</f>
        <v>0</v>
      </c>
      <c r="P65" s="46">
        <f t="shared" ca="1" si="2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input_393100!A$2</f>
        <v>393100</v>
      </c>
      <c r="B66" s="6">
        <v>191</v>
      </c>
      <c r="C66" s="7" t="str">
        <f t="shared" ref="C66:C129" si="3">D66&amp;J66&amp;E66&amp;F66&amp;G66</f>
        <v>Premium4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始祖 卑弥呼</v>
      </c>
      <c r="I66" s="7" t="str">
        <f>VLOOKUP(B66,[1]characters!$A:$J,10,FALSE)</f>
        <v>PremiumN</v>
      </c>
      <c r="J66" s="7">
        <f>VLOOKUP(B66,[1]characters!$A:$I,9,FALSE)</f>
        <v>4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IFERROR(VLOOKUP(B66,input_393100!L:R,7,FALSE),VLOOKUP(tables_393100!C66,input_393100!A:H,8,FALSE))</f>
        <v>53751.057690000001</v>
      </c>
      <c r="P66" s="46">
        <f t="shared" ca="1" si="2"/>
        <v>1.0297137488505748E-2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input_393100!A$2</f>
        <v>393100</v>
      </c>
      <c r="B67" s="6">
        <v>192</v>
      </c>
      <c r="C67" s="7" t="str">
        <f t="shared" si="3"/>
        <v>Premium5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荘厳なる始祖帝 卑弥呼</v>
      </c>
      <c r="I67" s="7" t="str">
        <f>VLOOKUP(B67,[1]characters!$A:$J,10,FALSE)</f>
        <v>PremiumN</v>
      </c>
      <c r="J67" s="7">
        <f>VLOOKUP(B67,[1]characters!$A:$I,9,FALSE)</f>
        <v>5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IFERROR(VLOOKUP(B67,input_393100!L:R,7,FALSE),VLOOKUP(tables_393100!C67,input_393100!A:H,8,FALSE))</f>
        <v>1148.9423099999999</v>
      </c>
      <c r="P67" s="46">
        <f t="shared" ca="1" si="2"/>
        <v>2.2010389080459768E-4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input_393100!A$2</f>
        <v>393100</v>
      </c>
      <c r="B68" s="6">
        <v>193</v>
      </c>
      <c r="C68" s="7" t="str">
        <f t="shared" si="3"/>
        <v>Premium3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ロビンフッド</v>
      </c>
      <c r="I68" s="7" t="str">
        <f>VLOOKUP(B68,[1]characters!$A:$J,10,FALSE)</f>
        <v>PremiumN</v>
      </c>
      <c r="J68" s="7">
        <f>VLOOKUP(B68,[1]characters!$A:$I,9,FALSE)</f>
        <v>3</v>
      </c>
      <c r="K68" s="7" t="str">
        <f>VLOOKUP(B68,[1]characters!$A:$H,8,FALSE)</f>
        <v>green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IFERROR(VLOOKUP(B68,input_393100!L:R,7,FALSE),VLOOKUP(tables_393100!C68,input_393100!A:H,8,FALSE))</f>
        <v>0</v>
      </c>
      <c r="P68" s="46">
        <f t="shared" ca="1" si="2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input_393100!A$2</f>
        <v>393100</v>
      </c>
      <c r="B69" s="10">
        <v>194</v>
      </c>
      <c r="C69" s="7" t="str">
        <f t="shared" si="3"/>
        <v>Premium4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スナイパー ロビンフッド</v>
      </c>
      <c r="I69" s="7" t="str">
        <f>VLOOKUP(B69,[1]characters!$A:$J,10,FALSE)</f>
        <v>PremiumN</v>
      </c>
      <c r="J69" s="7">
        <f>VLOOKUP(B69,[1]characters!$A:$I,9,FALSE)</f>
        <v>4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IFERROR(VLOOKUP(B69,input_393100!L:R,7,FALSE),VLOOKUP(tables_393100!C69,input_393100!A:H,8,FALSE))</f>
        <v>53751.057690000001</v>
      </c>
      <c r="P69" s="46">
        <f t="shared" ca="1" si="2"/>
        <v>1.0297137488505748E-2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input_393100!A$2</f>
        <v>393100</v>
      </c>
      <c r="B70" s="6">
        <v>195</v>
      </c>
      <c r="C70" s="7" t="str">
        <f t="shared" si="3"/>
        <v>Premium5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グランドハンター ロビンフッド</v>
      </c>
      <c r="I70" s="7" t="str">
        <f>VLOOKUP(B70,[1]characters!$A:$J,10,FALSE)</f>
        <v>PremiumN</v>
      </c>
      <c r="J70" s="7">
        <f>VLOOKUP(B70,[1]characters!$A:$I,9,FALSE)</f>
        <v>5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IFERROR(VLOOKUP(B70,input_393100!L:R,7,FALSE),VLOOKUP(tables_393100!C70,input_393100!A:H,8,FALSE))</f>
        <v>1148.9423099999999</v>
      </c>
      <c r="P70" s="46">
        <f t="shared" ca="1" si="2"/>
        <v>2.2010389080459768E-4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input_393100!A$2</f>
        <v>393100</v>
      </c>
      <c r="B71" s="10">
        <v>196</v>
      </c>
      <c r="C71" s="7" t="str">
        <f t="shared" si="3"/>
        <v>Premium3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アキレス</v>
      </c>
      <c r="I71" s="7" t="str">
        <f>VLOOKUP(B71,[1]characters!$A:$J,10,FALSE)</f>
        <v>PremiumN</v>
      </c>
      <c r="J71" s="7">
        <f>VLOOKUP(B71,[1]characters!$A:$I,9,FALSE)</f>
        <v>3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IFERROR(VLOOKUP(B71,input_393100!L:R,7,FALSE),VLOOKUP(tables_393100!C71,input_393100!A:H,8,FALSE))</f>
        <v>0</v>
      </c>
      <c r="P71" s="46">
        <f t="shared" ca="1" si="2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input_393100!A$2</f>
        <v>393100</v>
      </c>
      <c r="B72" s="11">
        <v>197</v>
      </c>
      <c r="C72" s="7" t="str">
        <f t="shared" si="3"/>
        <v>Premium4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鉄腕 アキレス</v>
      </c>
      <c r="I72" s="7" t="str">
        <f>VLOOKUP(B72,[1]characters!$A:$J,10,FALSE)</f>
        <v>PremiumN</v>
      </c>
      <c r="J72" s="7">
        <f>VLOOKUP(B72,[1]characters!$A:$I,9,FALSE)</f>
        <v>4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IFERROR(VLOOKUP(B72,input_393100!L:R,7,FALSE),VLOOKUP(tables_393100!C72,input_393100!A:H,8,FALSE))</f>
        <v>53751.057690000001</v>
      </c>
      <c r="P72" s="46">
        <f t="shared" ca="1" si="2"/>
        <v>1.0297137488505748E-2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input_393100!A$2</f>
        <v>393100</v>
      </c>
      <c r="B73" s="6">
        <v>198</v>
      </c>
      <c r="C73" s="7" t="str">
        <f t="shared" si="3"/>
        <v>Premium5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砕骨の剛腕 アキレス</v>
      </c>
      <c r="I73" s="7" t="str">
        <f>VLOOKUP(B73,[1]characters!$A:$J,10,FALSE)</f>
        <v>PremiumN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IFERROR(VLOOKUP(B73,input_393100!L:R,7,FALSE),VLOOKUP(tables_393100!C73,input_393100!A:H,8,FALSE))</f>
        <v>1148.9423099999999</v>
      </c>
      <c r="P73" s="46">
        <f t="shared" ca="1" si="2"/>
        <v>2.2010389080459768E-4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input_393100!A$2</f>
        <v>393100</v>
      </c>
      <c r="B74" s="6">
        <v>199</v>
      </c>
      <c r="C74" s="7" t="str">
        <f t="shared" si="3"/>
        <v>Premium3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ジークフリート</v>
      </c>
      <c r="I74" s="7" t="str">
        <f>VLOOKUP(B74,[1]characters!$A:$J,10,FALSE)</f>
        <v>PremiumN</v>
      </c>
      <c r="J74" s="7">
        <f>VLOOKUP(B74,[1]characters!$A:$I,9,FALSE)</f>
        <v>3</v>
      </c>
      <c r="K74" s="7" t="str">
        <f>VLOOKUP(B74,[1]characters!$A:$H,8,FALSE)</f>
        <v>blue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男性</v>
      </c>
      <c r="O74" s="45">
        <f ca="1">IFERROR(VLOOKUP(B74,input_393100!L:R,7,FALSE),VLOOKUP(tables_393100!C74,input_393100!A:H,8,FALSE))</f>
        <v>0</v>
      </c>
      <c r="P74" s="46">
        <f t="shared" ca="1" si="2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input_393100!A$2</f>
        <v>393100</v>
      </c>
      <c r="B75" s="6">
        <v>200</v>
      </c>
      <c r="C75" s="7" t="str">
        <f t="shared" si="3"/>
        <v>Premium4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大剣士 ジークフリート</v>
      </c>
      <c r="I75" s="7" t="str">
        <f>VLOOKUP(B75,[1]characters!$A:$J,10,FALSE)</f>
        <v>PremiumN</v>
      </c>
      <c r="J75" s="7">
        <f>VLOOKUP(B75,[1]characters!$A:$I,9,FALSE)</f>
        <v>4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IFERROR(VLOOKUP(B75,input_393100!L:R,7,FALSE),VLOOKUP(tables_393100!C75,input_393100!A:H,8,FALSE))</f>
        <v>53751.057690000001</v>
      </c>
      <c r="P75" s="46">
        <f t="shared" ca="1" si="2"/>
        <v>1.0297137488505748E-2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input_393100!A$2</f>
        <v>393100</v>
      </c>
      <c r="B76" s="5">
        <v>201</v>
      </c>
      <c r="C76" s="7" t="str">
        <f t="shared" si="3"/>
        <v>Premium5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斬空の大破剣 ジークフリート</v>
      </c>
      <c r="I76" s="7" t="str">
        <f>VLOOKUP(B76,[1]characters!$A:$J,10,FALSE)</f>
        <v>PremiumN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IFERROR(VLOOKUP(B76,input_393100!L:R,7,FALSE),VLOOKUP(tables_393100!C76,input_393100!A:H,8,FALSE))</f>
        <v>1148.9423099999999</v>
      </c>
      <c r="P76" s="46">
        <f t="shared" ca="1" si="2"/>
        <v>2.2010389080459768E-4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input_393100!A$2</f>
        <v>393100</v>
      </c>
      <c r="B77" s="5">
        <v>202</v>
      </c>
      <c r="C77" s="7" t="str">
        <f t="shared" si="3"/>
        <v>Premium3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プロメテウス</v>
      </c>
      <c r="I77" s="7" t="str">
        <f>VLOOKUP(B77,[1]characters!$A:$J,10,FALSE)</f>
        <v>PremiumN</v>
      </c>
      <c r="J77" s="7">
        <f>VLOOKUP(B77,[1]characters!$A:$I,9,FALSE)</f>
        <v>3</v>
      </c>
      <c r="K77" s="7" t="str">
        <f>VLOOKUP(B77,[1]characters!$A:$H,8,FALSE)</f>
        <v>red</v>
      </c>
      <c r="L77" s="7" t="str">
        <f>VLOOKUP(B77,[1]characters!$A:$K,11,FALSE)</f>
        <v>hp</v>
      </c>
      <c r="M77" s="7" t="str">
        <f>VLOOKUP(B77,[1]characters!$A:$M,13,FALSE)</f>
        <v>god</v>
      </c>
      <c r="N77" s="7" t="str">
        <f>VLOOKUP(B77,[1]characters!$A:$G,7,FALSE)</f>
        <v>男性</v>
      </c>
      <c r="O77" s="45">
        <f ca="1">IFERROR(VLOOKUP(B77,input_393100!L:R,7,FALSE),VLOOKUP(tables_393100!C77,input_393100!A:H,8,FALSE))</f>
        <v>0</v>
      </c>
      <c r="P77" s="46">
        <f t="shared" ca="1" si="2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input_393100!A$2</f>
        <v>393100</v>
      </c>
      <c r="B78" s="5">
        <v>203</v>
      </c>
      <c r="C78" s="7" t="str">
        <f t="shared" si="3"/>
        <v>Premium4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焔神 プロメテウス</v>
      </c>
      <c r="I78" s="7" t="str">
        <f>VLOOKUP(B78,[1]characters!$A:$J,10,FALSE)</f>
        <v>PremiumN</v>
      </c>
      <c r="J78" s="7">
        <f>VLOOKUP(B78,[1]characters!$A:$I,9,FALSE)</f>
        <v>4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IFERROR(VLOOKUP(B78,input_393100!L:R,7,FALSE),VLOOKUP(tables_393100!C78,input_393100!A:H,8,FALSE))</f>
        <v>53751.057690000001</v>
      </c>
      <c r="P78" s="46">
        <f t="shared" ca="1" si="2"/>
        <v>1.0297137488505748E-2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input_393100!A$2</f>
        <v>393100</v>
      </c>
      <c r="B79" s="5">
        <v>204</v>
      </c>
      <c r="C79" s="7" t="str">
        <f t="shared" si="3"/>
        <v>Premium5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慟哭の巨焔 プロメテウス</v>
      </c>
      <c r="I79" s="7" t="str">
        <f>VLOOKUP(B79,[1]characters!$A:$J,10,FALSE)</f>
        <v>PremiumN</v>
      </c>
      <c r="J79" s="7">
        <f>VLOOKUP(B79,[1]characters!$A:$I,9,FALSE)</f>
        <v>5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IFERROR(VLOOKUP(B79,input_393100!L:R,7,FALSE),VLOOKUP(tables_393100!C79,input_393100!A:H,8,FALSE))</f>
        <v>1148.9423099999999</v>
      </c>
      <c r="P79" s="46">
        <f t="shared" ref="P79:P142" ca="1" si="5">O79/SUM(O:O)</f>
        <v>2.2010389080459768E-4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input_393100!A$2</f>
        <v>393100</v>
      </c>
      <c r="B80" s="5">
        <v>205</v>
      </c>
      <c r="C80" s="7" t="str">
        <f t="shared" si="3"/>
        <v>Premium3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アフロディーテ</v>
      </c>
      <c r="I80" s="7" t="str">
        <f>VLOOKUP(B80,[1]characters!$A:$J,10,FALSE)</f>
        <v>PremiumN</v>
      </c>
      <c r="J80" s="7">
        <f>VLOOKUP(B80,[1]characters!$A:$I,9,FALSE)</f>
        <v>3</v>
      </c>
      <c r="K80" s="7" t="str">
        <f>VLOOKUP(B80,[1]characters!$A:$H,8,FALSE)</f>
        <v>green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女性</v>
      </c>
      <c r="O80" s="45">
        <f ca="1">IFERROR(VLOOKUP(B80,input_393100!L:R,7,FALSE),VLOOKUP(tables_393100!C80,input_393100!A:H,8,FALSE))</f>
        <v>0</v>
      </c>
      <c r="P80" s="46">
        <f t="shared" ca="1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input_393100!A$2</f>
        <v>393100</v>
      </c>
      <c r="B81" s="5">
        <v>206</v>
      </c>
      <c r="C81" s="7" t="str">
        <f t="shared" si="3"/>
        <v>Premium4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美神 アフロディーテ</v>
      </c>
      <c r="I81" s="7" t="str">
        <f>VLOOKUP(B81,[1]characters!$A:$J,10,FALSE)</f>
        <v>PremiumN</v>
      </c>
      <c r="J81" s="7">
        <f>VLOOKUP(B81,[1]characters!$A:$I,9,FALSE)</f>
        <v>4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IFERROR(VLOOKUP(B81,input_393100!L:R,7,FALSE),VLOOKUP(tables_393100!C81,input_393100!A:H,8,FALSE))</f>
        <v>53751.057690000001</v>
      </c>
      <c r="P81" s="46">
        <f t="shared" ca="1" si="5"/>
        <v>1.0297137488505748E-2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input_393100!A$2</f>
        <v>393100</v>
      </c>
      <c r="B82" s="5">
        <v>207</v>
      </c>
      <c r="C82" s="7" t="str">
        <f t="shared" si="3"/>
        <v>Premium5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豊穣の麗神・アフロディーテ</v>
      </c>
      <c r="I82" s="7" t="str">
        <f>VLOOKUP(B82,[1]characters!$A:$J,10,FALSE)</f>
        <v>PremiumN</v>
      </c>
      <c r="J82" s="7">
        <f>VLOOKUP(B82,[1]characters!$A:$I,9,FALSE)</f>
        <v>5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IFERROR(VLOOKUP(B82,input_393100!L:R,7,FALSE),VLOOKUP(tables_393100!C82,input_393100!A:H,8,FALSE))</f>
        <v>1148.9423099999999</v>
      </c>
      <c r="P82" s="46">
        <f t="shared" ca="1" si="5"/>
        <v>2.2010389080459768E-4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input_393100!A$2</f>
        <v>393100</v>
      </c>
      <c r="B83" s="5">
        <v>208</v>
      </c>
      <c r="C83" s="7" t="str">
        <f t="shared" si="3"/>
        <v>Premium3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テティス</v>
      </c>
      <c r="I83" s="7" t="str">
        <f>VLOOKUP(B83,[1]characters!$A:$J,10,FALSE)</f>
        <v>PremiumN</v>
      </c>
      <c r="J83" s="7">
        <f>VLOOKUP(B83,[1]characters!$A:$I,9,FALSE)</f>
        <v>3</v>
      </c>
      <c r="K83" s="7" t="str">
        <f>VLOOKUP(B83,[1]characters!$A:$H,8,FALSE)</f>
        <v>blue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IFERROR(VLOOKUP(B83,input_393100!L:R,7,FALSE),VLOOKUP(tables_393100!C83,input_393100!A:H,8,FALSE))</f>
        <v>0</v>
      </c>
      <c r="P83" s="46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input_393100!A$2</f>
        <v>393100</v>
      </c>
      <c r="B84" s="5">
        <v>209</v>
      </c>
      <c r="C84" s="7" t="str">
        <f t="shared" si="3"/>
        <v>Premium4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孤神 テティス</v>
      </c>
      <c r="I84" s="7" t="str">
        <f>VLOOKUP(B84,[1]characters!$A:$J,10,FALSE)</f>
        <v>PremiumN</v>
      </c>
      <c r="J84" s="7">
        <f>VLOOKUP(B84,[1]characters!$A:$I,9,FALSE)</f>
        <v>4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IFERROR(VLOOKUP(B84,input_393100!L:R,7,FALSE),VLOOKUP(tables_393100!C84,input_393100!A:H,8,FALSE))</f>
        <v>53751.057690000001</v>
      </c>
      <c r="P84" s="46">
        <f t="shared" ca="1" si="5"/>
        <v>1.0297137488505748E-2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input_393100!A$2</f>
        <v>393100</v>
      </c>
      <c r="B85" s="5">
        <v>210</v>
      </c>
      <c r="C85" s="7" t="str">
        <f t="shared" si="3"/>
        <v>Premium5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海底の孤高神 テティス</v>
      </c>
      <c r="I85" s="7" t="str">
        <f>VLOOKUP(B85,[1]characters!$A:$J,10,FALSE)</f>
        <v>PremiumN</v>
      </c>
      <c r="J85" s="7">
        <f>VLOOKUP(B85,[1]characters!$A:$I,9,FALSE)</f>
        <v>5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IFERROR(VLOOKUP(B85,input_393100!L:R,7,FALSE),VLOOKUP(tables_393100!C85,input_393100!A:H,8,FALSE))</f>
        <v>1148.9423099999999</v>
      </c>
      <c r="P85" s="46">
        <f t="shared" ca="1" si="5"/>
        <v>2.2010389080459768E-4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input_393100!A$2</f>
        <v>393100</v>
      </c>
      <c r="B86" s="5">
        <v>211</v>
      </c>
      <c r="C86" s="7" t="str">
        <f t="shared" si="3"/>
        <v>Premium3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アストライアー</v>
      </c>
      <c r="I86" s="7" t="str">
        <f>VLOOKUP(B86,[1]characters!$A:$J,10,FALSE)</f>
        <v>PremiumN</v>
      </c>
      <c r="J86" s="7">
        <f>VLOOKUP(B86,[1]characters!$A:$I,9,FALSE)</f>
        <v>3</v>
      </c>
      <c r="K86" s="7" t="str">
        <f>VLOOKUP(B86,[1]characters!$A:$H,8,FALSE)</f>
        <v>yellow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IFERROR(VLOOKUP(B86,input_393100!L:R,7,FALSE),VLOOKUP(tables_393100!C86,input_393100!A:H,8,FALSE))</f>
        <v>0</v>
      </c>
      <c r="P86" s="46">
        <f t="shared" ca="1" si="5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input_393100!A$2</f>
        <v>393100</v>
      </c>
      <c r="B87" s="5">
        <v>212</v>
      </c>
      <c r="C87" s="7" t="str">
        <f t="shared" si="3"/>
        <v>Premium4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星神 アストライアー</v>
      </c>
      <c r="I87" s="7" t="str">
        <f>VLOOKUP(B87,[1]characters!$A:$J,10,FALSE)</f>
        <v>PremiumN</v>
      </c>
      <c r="J87" s="7">
        <f>VLOOKUP(B87,[1]characters!$A:$I,9,FALSE)</f>
        <v>4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IFERROR(VLOOKUP(B87,input_393100!L:R,7,FALSE),VLOOKUP(tables_393100!C87,input_393100!A:H,8,FALSE))</f>
        <v>53751.057690000001</v>
      </c>
      <c r="P87" s="46">
        <f t="shared" ca="1" si="5"/>
        <v>1.0297137488505748E-2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input_393100!A$2</f>
        <v>393100</v>
      </c>
      <c r="B88" s="5">
        <v>213</v>
      </c>
      <c r="C88" s="7" t="str">
        <f t="shared" si="3"/>
        <v>Premium5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満天の星降神 アストライアー</v>
      </c>
      <c r="I88" s="7" t="str">
        <f>VLOOKUP(B88,[1]characters!$A:$J,10,FALSE)</f>
        <v>PremiumN</v>
      </c>
      <c r="J88" s="7">
        <f>VLOOKUP(B88,[1]characters!$A:$I,9,FALSE)</f>
        <v>5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IFERROR(VLOOKUP(B88,input_393100!L:R,7,FALSE),VLOOKUP(tables_393100!C88,input_393100!A:H,8,FALSE))</f>
        <v>1148.9423099999999</v>
      </c>
      <c r="P88" s="46">
        <f t="shared" ca="1" si="5"/>
        <v>2.2010389080459768E-4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input_393100!A$2</f>
        <v>393100</v>
      </c>
      <c r="B89" s="5">
        <v>214</v>
      </c>
      <c r="C89" s="7" t="str">
        <f t="shared" si="3"/>
        <v>Premium3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アズラエル</v>
      </c>
      <c r="I89" s="7" t="str">
        <f>VLOOKUP(B89,[1]characters!$A:$J,10,FALSE)</f>
        <v>PremiumN</v>
      </c>
      <c r="J89" s="7">
        <f>VLOOKUP(B89,[1]characters!$A:$I,9,FALSE)</f>
        <v>3</v>
      </c>
      <c r="K89" s="7" t="str">
        <f>VLOOKUP(B89,[1]characters!$A:$H,8,FALSE)</f>
        <v>red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IFERROR(VLOOKUP(B89,input_393100!L:R,7,FALSE),VLOOKUP(tables_393100!C89,input_393100!A:H,8,FALSE))</f>
        <v>0</v>
      </c>
      <c r="P89" s="46">
        <f t="shared" ca="1" si="5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input_393100!A$2</f>
        <v>393100</v>
      </c>
      <c r="B90" s="5">
        <v>215</v>
      </c>
      <c r="C90" s="7" t="str">
        <f t="shared" si="3"/>
        <v>Premium4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死導者 アズラエル</v>
      </c>
      <c r="I90" s="7" t="str">
        <f>VLOOKUP(B90,[1]characters!$A:$J,10,FALSE)</f>
        <v>PremiumN</v>
      </c>
      <c r="J90" s="7">
        <f>VLOOKUP(B90,[1]characters!$A:$I,9,FALSE)</f>
        <v>4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IFERROR(VLOOKUP(B90,input_393100!L:R,7,FALSE),VLOOKUP(tables_393100!C90,input_393100!A:H,8,FALSE))</f>
        <v>53751.057690000001</v>
      </c>
      <c r="P90" s="46">
        <f t="shared" ca="1" si="5"/>
        <v>1.0297137488505748E-2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input_393100!A$2</f>
        <v>393100</v>
      </c>
      <c r="B91" s="5">
        <v>216</v>
      </c>
      <c r="C91" s="7" t="str">
        <f t="shared" si="3"/>
        <v>Premium5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百読の死導司書 アズラエル</v>
      </c>
      <c r="I91" s="7" t="str">
        <f>VLOOKUP(B91,[1]characters!$A:$J,10,FALSE)</f>
        <v>PremiumN</v>
      </c>
      <c r="J91" s="7">
        <f>VLOOKUP(B91,[1]characters!$A:$I,9,FALSE)</f>
        <v>5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IFERROR(VLOOKUP(B91,input_393100!L:R,7,FALSE),VLOOKUP(tables_393100!C91,input_393100!A:H,8,FALSE))</f>
        <v>1148.9423099999999</v>
      </c>
      <c r="P91" s="46">
        <f t="shared" ca="1" si="5"/>
        <v>2.2010389080459768E-4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input_393100!A$2</f>
        <v>393100</v>
      </c>
      <c r="B92" s="5">
        <v>217</v>
      </c>
      <c r="C92" s="7" t="str">
        <f t="shared" si="3"/>
        <v>Premium3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ケツァクアトル</v>
      </c>
      <c r="I92" s="7" t="str">
        <f>VLOOKUP(B92,[1]characters!$A:$J,10,FALSE)</f>
        <v>PremiumN</v>
      </c>
      <c r="J92" s="7">
        <f>VLOOKUP(B92,[1]characters!$A:$I,9,FALSE)</f>
        <v>3</v>
      </c>
      <c r="K92" s="7" t="str">
        <f>VLOOKUP(B92,[1]characters!$A:$H,8,FALSE)</f>
        <v>green</v>
      </c>
      <c r="L92" s="7" t="str">
        <f>VLOOKUP(B92,[1]characters!$A:$K,11,FALSE)</f>
        <v>hp</v>
      </c>
      <c r="M92" s="7" t="str">
        <f>VLOOKUP(B92,[1]characters!$A:$M,13,FALSE)</f>
        <v>dragon</v>
      </c>
      <c r="N92" s="7" t="str">
        <f>VLOOKUP(B92,[1]characters!$A:$G,7,FALSE)</f>
        <v>女性</v>
      </c>
      <c r="O92" s="45">
        <f ca="1">IFERROR(VLOOKUP(B92,input_393100!L:R,7,FALSE),VLOOKUP(tables_393100!C92,input_393100!A:H,8,FALSE))</f>
        <v>0</v>
      </c>
      <c r="P92" s="46">
        <f t="shared" ca="1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input_393100!A$2</f>
        <v>393100</v>
      </c>
      <c r="B93" s="5">
        <v>218</v>
      </c>
      <c r="C93" s="7" t="str">
        <f t="shared" si="3"/>
        <v>Premium4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聖蛇 ケツァクアトル</v>
      </c>
      <c r="I93" s="7" t="str">
        <f>VLOOKUP(B93,[1]characters!$A:$J,10,FALSE)</f>
        <v>PremiumN</v>
      </c>
      <c r="J93" s="7">
        <f>VLOOKUP(B93,[1]characters!$A:$I,9,FALSE)</f>
        <v>4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IFERROR(VLOOKUP(B93,input_393100!L:R,7,FALSE),VLOOKUP(tables_393100!C93,input_393100!A:H,8,FALSE))</f>
        <v>53751.057690000001</v>
      </c>
      <c r="P93" s="46">
        <f t="shared" ca="1" si="5"/>
        <v>1.0297137488505748E-2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input_393100!A$2</f>
        <v>393100</v>
      </c>
      <c r="B94" s="5">
        <v>219</v>
      </c>
      <c r="C94" s="7" t="str">
        <f t="shared" si="3"/>
        <v>Premium5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覇翼の聖蛇竜 ケツァクアトル</v>
      </c>
      <c r="I94" s="7" t="str">
        <f>VLOOKUP(B94,[1]characters!$A:$J,10,FALSE)</f>
        <v>PremiumN</v>
      </c>
      <c r="J94" s="7">
        <f>VLOOKUP(B94,[1]characters!$A:$I,9,FALSE)</f>
        <v>5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IFERROR(VLOOKUP(B94,input_393100!L:R,7,FALSE),VLOOKUP(tables_393100!C94,input_393100!A:H,8,FALSE))</f>
        <v>1148.9423099999999</v>
      </c>
      <c r="P94" s="46">
        <f t="shared" ca="1" si="5"/>
        <v>2.2010389080459768E-4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input_393100!A$2</f>
        <v>393100</v>
      </c>
      <c r="B95" s="5">
        <v>220</v>
      </c>
      <c r="C95" s="7" t="str">
        <f t="shared" si="3"/>
        <v>Premium3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ルキフグス</v>
      </c>
      <c r="I95" s="7" t="str">
        <f>VLOOKUP(B95,[1]characters!$A:$J,10,FALSE)</f>
        <v>PremiumN</v>
      </c>
      <c r="J95" s="7">
        <f>VLOOKUP(B95,[1]characters!$A:$I,9,FALSE)</f>
        <v>3</v>
      </c>
      <c r="K95" s="7" t="str">
        <f>VLOOKUP(B95,[1]characters!$A:$H,8,FALSE)</f>
        <v>blue</v>
      </c>
      <c r="L95" s="7" t="str">
        <f>VLOOKUP(B95,[1]characters!$A:$K,11,FALSE)</f>
        <v>balance</v>
      </c>
      <c r="M95" s="7" t="str">
        <f>VLOOKUP(B95,[1]characters!$A:$M,13,FALSE)</f>
        <v>god</v>
      </c>
      <c r="N95" s="7" t="str">
        <f>VLOOKUP(B95,[1]characters!$A:$G,7,FALSE)</f>
        <v>女性</v>
      </c>
      <c r="O95" s="45">
        <f ca="1">IFERROR(VLOOKUP(B95,input_393100!L:R,7,FALSE),VLOOKUP(tables_393100!C95,input_393100!A:H,8,FALSE))</f>
        <v>0</v>
      </c>
      <c r="P95" s="46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input_393100!A$2</f>
        <v>393100</v>
      </c>
      <c r="B96" s="5">
        <v>221</v>
      </c>
      <c r="C96" s="7" t="str">
        <f t="shared" si="3"/>
        <v>Premium4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宰相 ルキフグス</v>
      </c>
      <c r="I96" s="7" t="str">
        <f>VLOOKUP(B96,[1]characters!$A:$J,10,FALSE)</f>
        <v>PremiumN</v>
      </c>
      <c r="J96" s="7">
        <f>VLOOKUP(B96,[1]characters!$A:$I,9,FALSE)</f>
        <v>4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IFERROR(VLOOKUP(B96,input_393100!L:R,7,FALSE),VLOOKUP(tables_393100!C96,input_393100!A:H,8,FALSE))</f>
        <v>53751.057690000001</v>
      </c>
      <c r="P96" s="46">
        <f t="shared" ca="1" si="5"/>
        <v>1.0297137488505748E-2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input_393100!A$2</f>
        <v>393100</v>
      </c>
      <c r="B97" s="5">
        <v>222</v>
      </c>
      <c r="C97" s="7" t="str">
        <f t="shared" si="3"/>
        <v>Premium5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避光の鉄鎖宰相 ルキフグス</v>
      </c>
      <c r="I97" s="7" t="str">
        <f>VLOOKUP(B97,[1]characters!$A:$J,10,FALSE)</f>
        <v>PremiumN</v>
      </c>
      <c r="J97" s="7">
        <f>VLOOKUP(B97,[1]characters!$A:$I,9,FALSE)</f>
        <v>5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IFERROR(VLOOKUP(B97,input_393100!L:R,7,FALSE),VLOOKUP(tables_393100!C97,input_393100!A:H,8,FALSE))</f>
        <v>1148.9423099999999</v>
      </c>
      <c r="P97" s="46">
        <f t="shared" ca="1" si="5"/>
        <v>2.2010389080459768E-4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input_393100!A$2</f>
        <v>393100</v>
      </c>
      <c r="B98" s="5">
        <v>223</v>
      </c>
      <c r="C98" s="7" t="str">
        <f t="shared" si="3"/>
        <v>Premium3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ヘラクレス</v>
      </c>
      <c r="I98" s="7" t="str">
        <f>VLOOKUP(B98,[1]characters!$A:$J,10,FALSE)</f>
        <v>PremiumN</v>
      </c>
      <c r="J98" s="7">
        <f>VLOOKUP(B98,[1]characters!$A:$I,9,FALSE)</f>
        <v>3</v>
      </c>
      <c r="K98" s="7" t="str">
        <f>VLOOKUP(B98,[1]characters!$A:$H,8,FALSE)</f>
        <v>yellow</v>
      </c>
      <c r="L98" s="7" t="str">
        <f>VLOOKUP(B98,[1]characters!$A:$K,11,FALSE)</f>
        <v>balance</v>
      </c>
      <c r="M98" s="7" t="str">
        <f>VLOOKUP(B98,[1]characters!$A:$M,13,FALSE)</f>
        <v>human</v>
      </c>
      <c r="N98" s="7" t="str">
        <f>VLOOKUP(B98,[1]characters!$A:$G,7,FALSE)</f>
        <v>男性</v>
      </c>
      <c r="O98" s="45">
        <f ca="1">IFERROR(VLOOKUP(B98,input_393100!L:R,7,FALSE),VLOOKUP(tables_393100!C98,input_393100!A:H,8,FALSE))</f>
        <v>0</v>
      </c>
      <c r="P98" s="46">
        <f t="shared" ca="1" si="5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input_393100!A$2</f>
        <v>393100</v>
      </c>
      <c r="B99" s="5">
        <v>224</v>
      </c>
      <c r="C99" s="7" t="str">
        <f t="shared" si="3"/>
        <v>Premium4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巨腕 ヘラクレス</v>
      </c>
      <c r="I99" s="7" t="str">
        <f>VLOOKUP(B99,[1]characters!$A:$J,10,FALSE)</f>
        <v>PremiumN</v>
      </c>
      <c r="J99" s="7">
        <f>VLOOKUP(B99,[1]characters!$A:$I,9,FALSE)</f>
        <v>4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IFERROR(VLOOKUP(B99,input_393100!L:R,7,FALSE),VLOOKUP(tables_393100!C99,input_393100!A:H,8,FALSE))</f>
        <v>53751.057690000001</v>
      </c>
      <c r="P99" s="46">
        <f t="shared" ca="1" si="5"/>
        <v>1.0297137488505748E-2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input_393100!A$2</f>
        <v>393100</v>
      </c>
      <c r="B100" s="5">
        <v>225</v>
      </c>
      <c r="C100" s="7" t="str">
        <f t="shared" si="3"/>
        <v>Premium5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咆哮の巨獅腕 ヘラクレス</v>
      </c>
      <c r="I100" s="7" t="str">
        <f>VLOOKUP(B100,[1]characters!$A:$J,10,FALSE)</f>
        <v>PremiumN</v>
      </c>
      <c r="J100" s="7">
        <f>VLOOKUP(B100,[1]characters!$A:$I,9,FALSE)</f>
        <v>5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IFERROR(VLOOKUP(B100,input_393100!L:R,7,FALSE),VLOOKUP(tables_393100!C100,input_393100!A:H,8,FALSE))</f>
        <v>1148.9423099999999</v>
      </c>
      <c r="P100" s="46">
        <f t="shared" ca="1" si="5"/>
        <v>2.2010389080459768E-4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input_393100!A$2</f>
        <v>393100</v>
      </c>
      <c r="B101" s="5">
        <v>226</v>
      </c>
      <c r="C101" s="7" t="str">
        <f t="shared" si="3"/>
        <v>Premium3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アレス</v>
      </c>
      <c r="I101" s="7" t="str">
        <f>VLOOKUP(B101,[1]characters!$A:$J,10,FALSE)</f>
        <v>PremiumS</v>
      </c>
      <c r="J101" s="7">
        <f>VLOOKUP(B101,[1]characters!$A:$I,9,FALSE)</f>
        <v>3</v>
      </c>
      <c r="K101" s="7" t="str">
        <f>VLOOKUP(B101,[1]characters!$A:$H,8,FALSE)</f>
        <v>red</v>
      </c>
      <c r="L101" s="7" t="str">
        <f>VLOOKUP(B101,[1]characters!$A:$K,11,FALSE)</f>
        <v>attack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ca="1">IFERROR(VLOOKUP(B101,input_393100!L:R,7,FALSE),VLOOKUP(tables_393100!C101,input_393100!A:H,8,FALSE))</f>
        <v>0</v>
      </c>
      <c r="P101" s="46">
        <f t="shared" ca="1" si="5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input_393100!A$2</f>
        <v>393100</v>
      </c>
      <c r="B102" s="5">
        <v>227</v>
      </c>
      <c r="C102" s="7" t="str">
        <f t="shared" si="3"/>
        <v>Premium4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滅弾 アレス</v>
      </c>
      <c r="I102" s="7" t="str">
        <f>VLOOKUP(B102,[1]characters!$A:$J,10,FALSE)</f>
        <v>PremiumS</v>
      </c>
      <c r="J102" s="7">
        <f>VLOOKUP(B102,[1]characters!$A:$I,9,FALSE)</f>
        <v>4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IFERROR(VLOOKUP(B102,input_393100!L:R,7,FALSE),VLOOKUP(tables_393100!C102,input_393100!A:H,8,FALSE))</f>
        <v>53751.057690000001</v>
      </c>
      <c r="P102" s="46">
        <f t="shared" ca="1" si="5"/>
        <v>1.0297137488505748E-2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input_393100!A$2</f>
        <v>393100</v>
      </c>
      <c r="B103" s="5">
        <v>228</v>
      </c>
      <c r="C103" s="7" t="str">
        <f t="shared" si="3"/>
        <v>Premium5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殲滅の掃射砲 アレス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IFERROR(VLOOKUP(B103,input_393100!L:R,7,FALSE),VLOOKUP(tables_393100!C103,input_393100!A:H,8,FALSE))</f>
        <v>1148.9423099999999</v>
      </c>
      <c r="P103" s="46">
        <f t="shared" ca="1" si="5"/>
        <v>2.2010389080459768E-4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input_393100!A$2</f>
        <v>393100</v>
      </c>
      <c r="B104" s="5">
        <v>229</v>
      </c>
      <c r="C104" s="7" t="str">
        <f t="shared" si="3"/>
        <v>Premium3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ヨルムンガンド</v>
      </c>
      <c r="I104" s="7" t="str">
        <f>VLOOKUP(B104,[1]characters!$A:$J,10,FALSE)</f>
        <v>PremiumS</v>
      </c>
      <c r="J104" s="7">
        <f>VLOOKUP(B104,[1]characters!$A:$I,9,FALSE)</f>
        <v>3</v>
      </c>
      <c r="K104" s="7" t="str">
        <f>VLOOKUP(B104,[1]characters!$A:$H,8,FALSE)</f>
        <v>green</v>
      </c>
      <c r="L104" s="7" t="str">
        <f>VLOOKUP(B104,[1]characters!$A:$K,11,FALSE)</f>
        <v>technical</v>
      </c>
      <c r="M104" s="7" t="str">
        <f>VLOOKUP(B104,[1]characters!$A:$M,13,FALSE)</f>
        <v>dragon</v>
      </c>
      <c r="N104" s="7" t="str">
        <f>VLOOKUP(B104,[1]characters!$A:$G,7,FALSE)</f>
        <v>女性</v>
      </c>
      <c r="O104" s="45">
        <f ca="1">IFERROR(VLOOKUP(B104,input_393100!L:R,7,FALSE),VLOOKUP(tables_393100!C104,input_393100!A:H,8,FALSE))</f>
        <v>0</v>
      </c>
      <c r="P104" s="46">
        <f t="shared" ca="1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input_393100!A$2</f>
        <v>393100</v>
      </c>
      <c r="B105" s="5">
        <v>230</v>
      </c>
      <c r="C105" s="7" t="str">
        <f t="shared" si="3"/>
        <v>Premium4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毒銃 ヨルムンガンド</v>
      </c>
      <c r="I105" s="7" t="str">
        <f>VLOOKUP(B105,[1]characters!$A:$J,10,FALSE)</f>
        <v>PremiumS</v>
      </c>
      <c r="J105" s="7">
        <f>VLOOKUP(B105,[1]characters!$A:$I,9,FALSE)</f>
        <v>4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IFERROR(VLOOKUP(B105,input_393100!L:R,7,FALSE),VLOOKUP(tables_393100!C105,input_393100!A:H,8,FALSE))</f>
        <v>53751.057690000001</v>
      </c>
      <c r="P105" s="46">
        <f t="shared" ca="1" si="5"/>
        <v>1.0297137488505748E-2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input_393100!A$2</f>
        <v>393100</v>
      </c>
      <c r="B106" s="5">
        <v>231</v>
      </c>
      <c r="C106" s="7" t="str">
        <f t="shared" si="3"/>
        <v>Premium5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必中の咬銃 ヨルムンガンド</v>
      </c>
      <c r="I106" s="7" t="str">
        <f>VLOOKUP(B106,[1]characters!$A:$J,10,FALSE)</f>
        <v>PremiumS</v>
      </c>
      <c r="J106" s="7">
        <f>VLOOKUP(B106,[1]characters!$A:$I,9,FALSE)</f>
        <v>5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IFERROR(VLOOKUP(B106,input_393100!L:R,7,FALSE),VLOOKUP(tables_393100!C106,input_393100!A:H,8,FALSE))</f>
        <v>1148.9423099999999</v>
      </c>
      <c r="P106" s="46">
        <f t="shared" ca="1" si="5"/>
        <v>2.2010389080459768E-4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input_393100!A$2</f>
        <v>393100</v>
      </c>
      <c r="B107" s="5">
        <v>232</v>
      </c>
      <c r="C107" s="7" t="str">
        <f t="shared" si="3"/>
        <v>Premium3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パーシヴァル</v>
      </c>
      <c r="I107" s="7" t="str">
        <f>VLOOKUP(B107,[1]characters!$A:$J,10,FALSE)</f>
        <v>PremiumS</v>
      </c>
      <c r="J107" s="7">
        <f>VLOOKUP(B107,[1]characters!$A:$I,9,FALSE)</f>
        <v>3</v>
      </c>
      <c r="K107" s="7" t="str">
        <f>VLOOKUP(B107,[1]characters!$A:$H,8,FALSE)</f>
        <v>blue</v>
      </c>
      <c r="L107" s="7" t="str">
        <f>VLOOKUP(B107,[1]characters!$A:$K,11,FALSE)</f>
        <v>technical</v>
      </c>
      <c r="M107" s="7" t="str">
        <f>VLOOKUP(B107,[1]characters!$A:$M,13,FALSE)</f>
        <v>human</v>
      </c>
      <c r="N107" s="7" t="str">
        <f>VLOOKUP(B107,[1]characters!$A:$G,7,FALSE)</f>
        <v>女性</v>
      </c>
      <c r="O107" s="45">
        <f ca="1">IFERROR(VLOOKUP(B107,input_393100!L:R,7,FALSE),VLOOKUP(tables_393100!C107,input_393100!A:H,8,FALSE))</f>
        <v>0</v>
      </c>
      <c r="P107" s="46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input_393100!A$2</f>
        <v>393100</v>
      </c>
      <c r="B108" s="5">
        <v>233</v>
      </c>
      <c r="C108" s="7" t="str">
        <f t="shared" si="3"/>
        <v>Premium4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遂行 パーシヴァル</v>
      </c>
      <c r="I108" s="7" t="str">
        <f>VLOOKUP(B108,[1]characters!$A:$J,10,FALSE)</f>
        <v>PremiumS</v>
      </c>
      <c r="J108" s="7">
        <f>VLOOKUP(B108,[1]characters!$A:$I,9,FALSE)</f>
        <v>4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IFERROR(VLOOKUP(B108,input_393100!L:R,7,FALSE),VLOOKUP(tables_393100!C108,input_393100!A:H,8,FALSE))</f>
        <v>53751.057690000001</v>
      </c>
      <c r="P108" s="46">
        <f t="shared" ca="1" si="5"/>
        <v>1.0297137488505748E-2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input_393100!A$2</f>
        <v>393100</v>
      </c>
      <c r="B109" s="5">
        <v>234</v>
      </c>
      <c r="C109" s="7" t="str">
        <f t="shared" si="3"/>
        <v>Premium5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精密なる照準 パーシヴァル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IFERROR(VLOOKUP(B109,input_393100!L:R,7,FALSE),VLOOKUP(tables_393100!C109,input_393100!A:H,8,FALSE))</f>
        <v>1148.9423099999999</v>
      </c>
      <c r="P109" s="46">
        <f t="shared" ca="1" si="5"/>
        <v>2.2010389080459768E-4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input_393100!A$2</f>
        <v>393100</v>
      </c>
      <c r="B110" s="5">
        <v>235</v>
      </c>
      <c r="C110" s="7" t="str">
        <f t="shared" si="3"/>
        <v>Premium3R6release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>R6release</v>
      </c>
      <c r="G110" s="7"/>
      <c r="H110" s="7" t="str">
        <f>VLOOKUP(B110,[1]characters!$A:$C,3,FALSE)</f>
        <v>イザナミ</v>
      </c>
      <c r="I110" s="7" t="str">
        <f>VLOOKUP(B110,[1]characters!$A:$J,10,FALSE)</f>
        <v>PremiumS</v>
      </c>
      <c r="J110" s="7">
        <f>VLOOKUP(B110,[1]characters!$A:$I,9,FALSE)</f>
        <v>3</v>
      </c>
      <c r="K110" s="7" t="str">
        <f>VLOOKUP(B110,[1]characters!$A:$H,8,FALSE)</f>
        <v>yellow</v>
      </c>
      <c r="L110" s="7" t="str">
        <f>VLOOKUP(B110,[1]characters!$A:$K,11,FALSE)</f>
        <v>attack</v>
      </c>
      <c r="M110" s="7" t="str">
        <f>VLOOKUP(B110,[1]characters!$A:$M,13,FALSE)</f>
        <v>god</v>
      </c>
      <c r="N110" s="7" t="str">
        <f>VLOOKUP(B110,[1]characters!$A:$G,7,FALSE)</f>
        <v>女性</v>
      </c>
      <c r="O110" s="45">
        <f ca="1">IFERROR(VLOOKUP(B110,input_393100!L:R,7,FALSE),VLOOKUP(tables_393100!C110,input_393100!A:H,8,FALSE))</f>
        <v>0</v>
      </c>
      <c r="P110" s="46">
        <f t="shared" ca="1" si="5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input_393100!A$2</f>
        <v>393100</v>
      </c>
      <c r="B111" s="5">
        <v>236</v>
      </c>
      <c r="C111" s="7" t="str">
        <f t="shared" si="3"/>
        <v>Premium4R6release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神産 イザナミ</v>
      </c>
      <c r="I111" s="7" t="str">
        <f>VLOOKUP(B111,[1]characters!$A:$J,10,FALSE)</f>
        <v>PremiumS</v>
      </c>
      <c r="J111" s="7">
        <f>VLOOKUP(B111,[1]characters!$A:$I,9,FALSE)</f>
        <v>4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IFERROR(VLOOKUP(B111,input_393100!L:R,7,FALSE),VLOOKUP(tables_393100!C111,input_393100!A:H,8,FALSE))</f>
        <v>52155</v>
      </c>
      <c r="P111" s="46">
        <f t="shared" ca="1" si="5"/>
        <v>9.9913793103448278E-3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input_393100!A$2</f>
        <v>393100</v>
      </c>
      <c r="B112" s="5">
        <v>237</v>
      </c>
      <c r="C112" s="7" t="str">
        <f t="shared" si="3"/>
        <v>Premium5R6release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森羅万象の神母 イザナミ</v>
      </c>
      <c r="I112" s="7" t="str">
        <f>VLOOKUP(B112,[1]characters!$A:$J,10,FALSE)</f>
        <v>PremiumS</v>
      </c>
      <c r="J112" s="7">
        <f>VLOOKUP(B112,[1]characters!$A:$I,9,FALSE)</f>
        <v>5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IFERROR(VLOOKUP(B112,input_393100!L:R,7,FALSE),VLOOKUP(tables_393100!C112,input_393100!A:H,8,FALSE))</f>
        <v>2745</v>
      </c>
      <c r="P112" s="46">
        <f t="shared" ca="1" si="5"/>
        <v>5.258620689655172E-4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input_393100!A$2</f>
        <v>393100</v>
      </c>
      <c r="B113" s="5">
        <v>238</v>
      </c>
      <c r="C113" s="7" t="str">
        <f t="shared" si="3"/>
        <v>Premium3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/>
      </c>
      <c r="G113" s="7"/>
      <c r="H113" s="7" t="str">
        <f>VLOOKUP(B113,[1]characters!$A:$C,3,FALSE)</f>
        <v>ウリエル</v>
      </c>
      <c r="I113" s="7" t="str">
        <f>VLOOKUP(B113,[1]characters!$A:$J,10,FALSE)</f>
        <v>PremiumS</v>
      </c>
      <c r="J113" s="7">
        <f>VLOOKUP(B113,[1]characters!$A:$I,9,FALSE)</f>
        <v>3</v>
      </c>
      <c r="K113" s="7" t="str">
        <f>VLOOKUP(B113,[1]characters!$A:$H,8,FALSE)</f>
        <v>red</v>
      </c>
      <c r="L113" s="7" t="str">
        <f>VLOOKUP(B113,[1]characters!$A:$K,11,FALSE)</f>
        <v>hp</v>
      </c>
      <c r="M113" s="7" t="str">
        <f>VLOOKUP(B113,[1]characters!$A:$M,13,FALSE)</f>
        <v>machine</v>
      </c>
      <c r="N113" s="7" t="str">
        <f>VLOOKUP(B113,[1]characters!$A:$G,7,FALSE)</f>
        <v>女性</v>
      </c>
      <c r="O113" s="45">
        <f ca="1">IFERROR(VLOOKUP(B113,input_393100!L:R,7,FALSE),VLOOKUP(tables_393100!C113,input_393100!A:H,8,FALSE))</f>
        <v>0</v>
      </c>
      <c r="P113" s="46">
        <f t="shared" ca="1" si="5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input_393100!A$2</f>
        <v>393100</v>
      </c>
      <c r="B114" s="5">
        <v>239</v>
      </c>
      <c r="C114" s="7" t="str">
        <f t="shared" si="3"/>
        <v>Premium4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豪炎の天使 ウリエル</v>
      </c>
      <c r="I114" s="7" t="str">
        <f>VLOOKUP(B114,[1]characters!$A:$J,10,FALSE)</f>
        <v>PremiumS</v>
      </c>
      <c r="J114" s="7">
        <f>VLOOKUP(B114,[1]characters!$A:$I,9,FALSE)</f>
        <v>4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IFERROR(VLOOKUP(B114,input_393100!L:R,7,FALSE),VLOOKUP(tables_393100!C114,input_393100!A:H,8,FALSE))</f>
        <v>53751.057690000001</v>
      </c>
      <c r="P114" s="46">
        <f t="shared" ca="1" si="5"/>
        <v>1.0297137488505748E-2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input_393100!A$2</f>
        <v>393100</v>
      </c>
      <c r="B115" s="5">
        <v>240</v>
      </c>
      <c r="C115" s="7" t="str">
        <f t="shared" si="3"/>
        <v>Premium5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轟炎の天使 ウリエル・スレイヤー</v>
      </c>
      <c r="I115" s="7" t="str">
        <f>VLOOKUP(B115,[1]characters!$A:$J,10,FALSE)</f>
        <v>PremiumS</v>
      </c>
      <c r="J115" s="7">
        <f>VLOOKUP(B115,[1]characters!$A:$I,9,FALSE)</f>
        <v>5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IFERROR(VLOOKUP(B115,input_393100!L:R,7,FALSE),VLOOKUP(tables_393100!C115,input_393100!A:H,8,FALSE))</f>
        <v>1148.9423099999999</v>
      </c>
      <c r="P115" s="46">
        <f t="shared" ca="1" si="5"/>
        <v>2.2010389080459768E-4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input_393100!A$2</f>
        <v>393100</v>
      </c>
      <c r="B116" s="5">
        <v>241</v>
      </c>
      <c r="C116" s="7" t="str">
        <f t="shared" si="3"/>
        <v>Premium3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ガブリエル</v>
      </c>
      <c r="I116" s="7" t="str">
        <f>VLOOKUP(B116,[1]characters!$A:$J,10,FALSE)</f>
        <v>PremiumS</v>
      </c>
      <c r="J116" s="7">
        <f>VLOOKUP(B116,[1]characters!$A:$I,9,FALSE)</f>
        <v>3</v>
      </c>
      <c r="K116" s="7" t="str">
        <f>VLOOKUP(B116,[1]characters!$A:$H,8,FALSE)</f>
        <v>green</v>
      </c>
      <c r="L116" s="7" t="str">
        <f>VLOOKUP(B116,[1]characters!$A:$K,11,FALSE)</f>
        <v>balance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IFERROR(VLOOKUP(B116,input_393100!L:R,7,FALSE),VLOOKUP(tables_393100!C116,input_393100!A:H,8,FALSE))</f>
        <v>0</v>
      </c>
      <c r="P116" s="46">
        <f t="shared" ca="1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input_393100!A$2</f>
        <v>393100</v>
      </c>
      <c r="B117" s="5">
        <v>242</v>
      </c>
      <c r="C117" s="7" t="str">
        <f t="shared" si="3"/>
        <v>Premium4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百花の天使 ガブリエル</v>
      </c>
      <c r="I117" s="7" t="str">
        <f>VLOOKUP(B117,[1]characters!$A:$J,10,FALSE)</f>
        <v>PremiumS</v>
      </c>
      <c r="J117" s="7">
        <f>VLOOKUP(B117,[1]characters!$A:$I,9,FALSE)</f>
        <v>4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IFERROR(VLOOKUP(B117,input_393100!L:R,7,FALSE),VLOOKUP(tables_393100!C117,input_393100!A:H,8,FALSE))</f>
        <v>53751.057690000001</v>
      </c>
      <c r="P117" s="46">
        <f t="shared" ca="1" si="5"/>
        <v>1.0297137488505748E-2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input_393100!A$2</f>
        <v>393100</v>
      </c>
      <c r="B118" s="5">
        <v>243</v>
      </c>
      <c r="C118" s="7" t="str">
        <f t="shared" si="3"/>
        <v>Premium5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万花の天使 ガブリエル・ブルーム</v>
      </c>
      <c r="I118" s="7" t="str">
        <f>VLOOKUP(B118,[1]characters!$A:$J,10,FALSE)</f>
        <v>PremiumS</v>
      </c>
      <c r="J118" s="7">
        <f>VLOOKUP(B118,[1]characters!$A:$I,9,FALSE)</f>
        <v>5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IFERROR(VLOOKUP(B118,input_393100!L:R,7,FALSE),VLOOKUP(tables_393100!C118,input_393100!A:H,8,FALSE))</f>
        <v>1148.9423099999999</v>
      </c>
      <c r="P118" s="46">
        <f t="shared" ca="1" si="5"/>
        <v>2.2010389080459768E-4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input_393100!A$2</f>
        <v>393100</v>
      </c>
      <c r="B119" s="5">
        <v>244</v>
      </c>
      <c r="C119" s="7" t="str">
        <f t="shared" si="3"/>
        <v>Premium3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ラファエル</v>
      </c>
      <c r="I119" s="7" t="str">
        <f>VLOOKUP(B119,[1]characters!$A:$J,10,FALSE)</f>
        <v>PremiumS</v>
      </c>
      <c r="J119" s="7">
        <f>VLOOKUP(B119,[1]characters!$A:$I,9,FALSE)</f>
        <v>3</v>
      </c>
      <c r="K119" s="7" t="str">
        <f>VLOOKUP(B119,[1]characters!$A:$H,8,FALSE)</f>
        <v>blue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IFERROR(VLOOKUP(B119,input_393100!L:R,7,FALSE),VLOOKUP(tables_393100!C119,input_393100!A:H,8,FALSE))</f>
        <v>0</v>
      </c>
      <c r="P119" s="46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input_393100!A$2</f>
        <v>393100</v>
      </c>
      <c r="B120" s="5">
        <v>245</v>
      </c>
      <c r="C120" s="7" t="str">
        <f t="shared" si="3"/>
        <v>Premium4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鎮癒の天使 ラファエル</v>
      </c>
      <c r="I120" s="7" t="str">
        <f>VLOOKUP(B120,[1]characters!$A:$J,10,FALSE)</f>
        <v>PremiumS</v>
      </c>
      <c r="J120" s="7">
        <f>VLOOKUP(B120,[1]characters!$A:$I,9,FALSE)</f>
        <v>4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IFERROR(VLOOKUP(B120,input_393100!L:R,7,FALSE),VLOOKUP(tables_393100!C120,input_393100!A:H,8,FALSE))</f>
        <v>53751.057690000001</v>
      </c>
      <c r="P120" s="46">
        <f t="shared" ca="1" si="5"/>
        <v>1.0297137488505748E-2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input_393100!A$2</f>
        <v>393100</v>
      </c>
      <c r="B121" s="5">
        <v>246</v>
      </c>
      <c r="C121" s="7" t="str">
        <f t="shared" si="3"/>
        <v>Premium5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真癒の天使 ラファエル・メディカ</v>
      </c>
      <c r="I121" s="7" t="str">
        <f>VLOOKUP(B121,[1]characters!$A:$J,10,FALSE)</f>
        <v>PremiumS</v>
      </c>
      <c r="J121" s="7">
        <f>VLOOKUP(B121,[1]characters!$A:$I,9,FALSE)</f>
        <v>5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IFERROR(VLOOKUP(B121,input_393100!L:R,7,FALSE),VLOOKUP(tables_393100!C121,input_393100!A:H,8,FALSE))</f>
        <v>1148.9423099999999</v>
      </c>
      <c r="P121" s="46">
        <f t="shared" ca="1" si="5"/>
        <v>2.2010389080459768E-4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input_393100!A$2</f>
        <v>393100</v>
      </c>
      <c r="B122" s="5">
        <v>247</v>
      </c>
      <c r="C122" s="7" t="str">
        <f t="shared" si="3"/>
        <v>Premium3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ミカエル</v>
      </c>
      <c r="I122" s="7" t="str">
        <f>VLOOKUP(B122,[1]characters!$A:$J,10,FALSE)</f>
        <v>PremiumS</v>
      </c>
      <c r="J122" s="7">
        <f>VLOOKUP(B122,[1]characters!$A:$I,9,FALSE)</f>
        <v>3</v>
      </c>
      <c r="K122" s="7" t="str">
        <f>VLOOKUP(B122,[1]characters!$A:$H,8,FALSE)</f>
        <v>yellow</v>
      </c>
      <c r="L122" s="7" t="str">
        <f>VLOOKUP(B122,[1]characters!$A:$K,11,FALSE)</f>
        <v>attack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IFERROR(VLOOKUP(B122,input_393100!L:R,7,FALSE),VLOOKUP(tables_393100!C122,input_393100!A:H,8,FALSE))</f>
        <v>0</v>
      </c>
      <c r="P122" s="46">
        <f t="shared" ca="1" si="5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input_393100!A$2</f>
        <v>393100</v>
      </c>
      <c r="B123" s="5">
        <v>248</v>
      </c>
      <c r="C123" s="7" t="str">
        <f t="shared" si="3"/>
        <v>Premium4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彩電の天使 ミカエル</v>
      </c>
      <c r="I123" s="7" t="str">
        <f>VLOOKUP(B123,[1]characters!$A:$J,10,FALSE)</f>
        <v>PremiumS</v>
      </c>
      <c r="J123" s="7">
        <f>VLOOKUP(B123,[1]characters!$A:$I,9,FALSE)</f>
        <v>4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IFERROR(VLOOKUP(B123,input_393100!L:R,7,FALSE),VLOOKUP(tables_393100!C123,input_393100!A:H,8,FALSE))</f>
        <v>53751.057690000001</v>
      </c>
      <c r="P123" s="46">
        <f t="shared" ca="1" si="5"/>
        <v>1.0297137488505748E-2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input_393100!A$2</f>
        <v>393100</v>
      </c>
      <c r="B124" s="6">
        <v>249</v>
      </c>
      <c r="C124" s="7" t="str">
        <f t="shared" si="3"/>
        <v>Premium5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雷電の天使 ミカエル・ゲイナー</v>
      </c>
      <c r="I124" s="7" t="str">
        <f>VLOOKUP(B124,[1]characters!$A:$J,10,FALSE)</f>
        <v>PremiumS</v>
      </c>
      <c r="J124" s="7">
        <f>VLOOKUP(B124,[1]characters!$A:$I,9,FALSE)</f>
        <v>5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IFERROR(VLOOKUP(B124,input_393100!L:R,7,FALSE),VLOOKUP(tables_393100!C124,input_393100!A:H,8,FALSE))</f>
        <v>1148.9423099999999</v>
      </c>
      <c r="P124" s="46">
        <f t="shared" ca="1" si="5"/>
        <v>2.2010389080459768E-4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input_393100!A$2</f>
        <v>393100</v>
      </c>
      <c r="B125" s="6">
        <v>250</v>
      </c>
      <c r="C125" s="7" t="str">
        <f t="shared" si="3"/>
        <v>Premium3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マンモン</v>
      </c>
      <c r="I125" s="7" t="str">
        <f>VLOOKUP(B125,[1]characters!$A:$J,10,FALSE)</f>
        <v>PremiumS</v>
      </c>
      <c r="J125" s="7">
        <f>VLOOKUP(B125,[1]characters!$A:$I,9,FALSE)</f>
        <v>3</v>
      </c>
      <c r="K125" s="7" t="str">
        <f>VLOOKUP(B125,[1]characters!$A:$H,8,FALSE)</f>
        <v>red</v>
      </c>
      <c r="L125" s="7" t="str">
        <f>VLOOKUP(B125,[1]characters!$A:$K,11,FALSE)</f>
        <v>balance</v>
      </c>
      <c r="M125" s="7" t="str">
        <f>VLOOKUP(B125,[1]characters!$A:$M,13,FALSE)</f>
        <v>god</v>
      </c>
      <c r="N125" s="7" t="str">
        <f>VLOOKUP(B125,[1]characters!$A:$G,7,FALSE)</f>
        <v>女性</v>
      </c>
      <c r="O125" s="45">
        <f ca="1">IFERROR(VLOOKUP(B125,input_393100!L:R,7,FALSE),VLOOKUP(tables_393100!C125,input_393100!A:H,8,FALSE))</f>
        <v>0</v>
      </c>
      <c r="P125" s="46">
        <f t="shared" ca="1" si="5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input_393100!A$2</f>
        <v>393100</v>
      </c>
      <c r="B126" s="6">
        <v>251</v>
      </c>
      <c r="C126" s="7" t="str">
        <f t="shared" si="3"/>
        <v>Premium4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強欲 マンモン</v>
      </c>
      <c r="I126" s="7" t="str">
        <f>VLOOKUP(B126,[1]characters!$A:$J,10,FALSE)</f>
        <v>PremiumS</v>
      </c>
      <c r="J126" s="7">
        <f>VLOOKUP(B126,[1]characters!$A:$I,9,FALSE)</f>
        <v>4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IFERROR(VLOOKUP(B126,input_393100!L:R,7,FALSE),VLOOKUP(tables_393100!C126,input_393100!A:H,8,FALSE))</f>
        <v>53751.057690000001</v>
      </c>
      <c r="P126" s="46">
        <f t="shared" ca="1" si="5"/>
        <v>1.0297137488505748E-2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input_393100!A$2</f>
        <v>393100</v>
      </c>
      <c r="B127" s="6">
        <v>252</v>
      </c>
      <c r="C127" s="7" t="str">
        <f t="shared" si="3"/>
        <v>Premium5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強欲の沸騰 マンモン</v>
      </c>
      <c r="I127" s="7" t="str">
        <f>VLOOKUP(B127,[1]characters!$A:$J,10,FALSE)</f>
        <v>PremiumS</v>
      </c>
      <c r="J127" s="7">
        <f>VLOOKUP(B127,[1]characters!$A:$I,9,FALSE)</f>
        <v>5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IFERROR(VLOOKUP(B127,input_393100!L:R,7,FALSE),VLOOKUP(tables_393100!C127,input_393100!A:H,8,FALSE))</f>
        <v>1148.9423099999999</v>
      </c>
      <c r="P127" s="46">
        <f t="shared" ca="1" si="5"/>
        <v>2.2010389080459768E-4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input_393100!A$2</f>
        <v>393100</v>
      </c>
      <c r="B128" s="6">
        <v>253</v>
      </c>
      <c r="C128" s="7" t="str">
        <f t="shared" si="3"/>
        <v>Premium3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ベルフェゴール</v>
      </c>
      <c r="I128" s="7" t="str">
        <f>VLOOKUP(B128,[1]characters!$A:$J,10,FALSE)</f>
        <v>PremiumS</v>
      </c>
      <c r="J128" s="7">
        <f>VLOOKUP(B128,[1]characters!$A:$I,9,FALSE)</f>
        <v>3</v>
      </c>
      <c r="K128" s="7" t="str">
        <f>VLOOKUP(B128,[1]characters!$A:$H,8,FALSE)</f>
        <v>green</v>
      </c>
      <c r="L128" s="7" t="str">
        <f>VLOOKUP(B128,[1]characters!$A:$K,11,FALSE)</f>
        <v>technical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IFERROR(VLOOKUP(B128,input_393100!L:R,7,FALSE),VLOOKUP(tables_393100!C128,input_393100!A:H,8,FALSE))</f>
        <v>0</v>
      </c>
      <c r="P128" s="46">
        <f t="shared" ca="1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input_393100!A$2</f>
        <v>393100</v>
      </c>
      <c r="B129" s="6">
        <v>254</v>
      </c>
      <c r="C129" s="7" t="str">
        <f t="shared" si="3"/>
        <v>Premium4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怠惰 ベルフェゴール</v>
      </c>
      <c r="I129" s="7" t="str">
        <f>VLOOKUP(B129,[1]characters!$A:$J,10,FALSE)</f>
        <v>PremiumS</v>
      </c>
      <c r="J129" s="7">
        <f>VLOOKUP(B129,[1]characters!$A:$I,9,FALSE)</f>
        <v>4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IFERROR(VLOOKUP(B129,input_393100!L:R,7,FALSE),VLOOKUP(tables_393100!C129,input_393100!A:H,8,FALSE))</f>
        <v>53751.057690000001</v>
      </c>
      <c r="P129" s="46">
        <f t="shared" ca="1" si="5"/>
        <v>1.0297137488505748E-2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input_393100!A$2</f>
        <v>393100</v>
      </c>
      <c r="B130" s="6">
        <v>255</v>
      </c>
      <c r="C130" s="7" t="str">
        <f t="shared" ref="C130:C193" si="6">D130&amp;J130&amp;E130&amp;F130&amp;G130</f>
        <v>Premium5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怠惰の頂点 ベルフェゴール</v>
      </c>
      <c r="I130" s="7" t="str">
        <f>VLOOKUP(B130,[1]characters!$A:$J,10,FALSE)</f>
        <v>PremiumS</v>
      </c>
      <c r="J130" s="7">
        <f>VLOOKUP(B130,[1]characters!$A:$I,9,FALSE)</f>
        <v>5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IFERROR(VLOOKUP(B130,input_393100!L:R,7,FALSE),VLOOKUP(tables_393100!C130,input_393100!A:H,8,FALSE))</f>
        <v>1148.9423099999999</v>
      </c>
      <c r="P130" s="46">
        <f t="shared" ca="1" si="5"/>
        <v>2.2010389080459768E-4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input_393100!A$2</f>
        <v>393100</v>
      </c>
      <c r="B131" s="6">
        <v>256</v>
      </c>
      <c r="C131" s="7" t="str">
        <f t="shared" si="6"/>
        <v>Premium3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アスモデウス</v>
      </c>
      <c r="I131" s="7" t="str">
        <f>VLOOKUP(B131,[1]characters!$A:$J,10,FALSE)</f>
        <v>PremiumS</v>
      </c>
      <c r="J131" s="7">
        <f>VLOOKUP(B131,[1]characters!$A:$I,9,FALSE)</f>
        <v>3</v>
      </c>
      <c r="K131" s="7" t="str">
        <f>VLOOKUP(B131,[1]characters!$A:$H,8,FALSE)</f>
        <v>blue</v>
      </c>
      <c r="L131" s="7" t="str">
        <f>VLOOKUP(B131,[1]characters!$A:$K,11,FALSE)</f>
        <v>attack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IFERROR(VLOOKUP(B131,input_393100!L:R,7,FALSE),VLOOKUP(tables_393100!C131,input_393100!A:H,8,FALSE))</f>
        <v>0</v>
      </c>
      <c r="P131" s="46">
        <f t="shared" ca="1" si="5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input_393100!A$2</f>
        <v>393100</v>
      </c>
      <c r="B132" s="6">
        <v>257</v>
      </c>
      <c r="C132" s="7" t="str">
        <f t="shared" si="6"/>
        <v>Premium4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色欲 アスモデウス</v>
      </c>
      <c r="I132" s="7" t="str">
        <f>VLOOKUP(B132,[1]characters!$A:$J,10,FALSE)</f>
        <v>PremiumS</v>
      </c>
      <c r="J132" s="7">
        <f>VLOOKUP(B132,[1]characters!$A:$I,9,FALSE)</f>
        <v>4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IFERROR(VLOOKUP(B132,input_393100!L:R,7,FALSE),VLOOKUP(tables_393100!C132,input_393100!A:H,8,FALSE))</f>
        <v>53751.057690000001</v>
      </c>
      <c r="P132" s="46">
        <f t="shared" ca="1" si="5"/>
        <v>1.0297137488505748E-2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input_393100!A$2</f>
        <v>393100</v>
      </c>
      <c r="B133" s="6">
        <v>258</v>
      </c>
      <c r="C133" s="7" t="str">
        <f t="shared" si="6"/>
        <v>Premium5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色欲の源流 アスモデウス</v>
      </c>
      <c r="I133" s="7" t="str">
        <f>VLOOKUP(B133,[1]characters!$A:$J,10,FALSE)</f>
        <v>PremiumS</v>
      </c>
      <c r="J133" s="7">
        <f>VLOOKUP(B133,[1]characters!$A:$I,9,FALSE)</f>
        <v>5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IFERROR(VLOOKUP(B133,input_393100!L:R,7,FALSE),VLOOKUP(tables_393100!C133,input_393100!A:H,8,FALSE))</f>
        <v>1148.9423099999999</v>
      </c>
      <c r="P133" s="46">
        <f t="shared" ca="1" si="5"/>
        <v>2.2010389080459768E-4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input_393100!A$2</f>
        <v>393100</v>
      </c>
      <c r="B134" s="6">
        <v>259</v>
      </c>
      <c r="C134" s="7" t="str">
        <f t="shared" si="6"/>
        <v>Premium3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ウロボロス</v>
      </c>
      <c r="I134" s="7" t="str">
        <f>VLOOKUP(B134,[1]characters!$A:$J,10,FALSE)</f>
        <v>PremiumS</v>
      </c>
      <c r="J134" s="7">
        <f>VLOOKUP(B134,[1]characters!$A:$I,9,FALSE)</f>
        <v>3</v>
      </c>
      <c r="K134" s="7" t="str">
        <f>VLOOKUP(B134,[1]characters!$A:$H,8,FALSE)</f>
        <v>yellow</v>
      </c>
      <c r="L134" s="7" t="str">
        <f>VLOOKUP(B134,[1]characters!$A:$K,11,FALSE)</f>
        <v>balance</v>
      </c>
      <c r="M134" s="7" t="str">
        <f>VLOOKUP(B134,[1]characters!$A:$M,13,FALSE)</f>
        <v>dragon</v>
      </c>
      <c r="N134" s="7" t="str">
        <f>VLOOKUP(B134,[1]characters!$A:$G,7,FALSE)</f>
        <v>女性</v>
      </c>
      <c r="O134" s="45">
        <f ca="1">IFERROR(VLOOKUP(B134,input_393100!L:R,7,FALSE),VLOOKUP(tables_393100!C134,input_393100!A:H,8,FALSE))</f>
        <v>0</v>
      </c>
      <c r="P134" s="46">
        <f t="shared" ca="1" si="5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input_393100!A$2</f>
        <v>393100</v>
      </c>
      <c r="B135" s="8">
        <v>260</v>
      </c>
      <c r="C135" s="7" t="str">
        <f t="shared" si="6"/>
        <v>Premium4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輪廻 ウロボロス</v>
      </c>
      <c r="I135" s="7" t="str">
        <f>VLOOKUP(B135,[1]characters!$A:$J,10,FALSE)</f>
        <v>PremiumS</v>
      </c>
      <c r="J135" s="7">
        <f>VLOOKUP(B135,[1]characters!$A:$I,9,FALSE)</f>
        <v>4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IFERROR(VLOOKUP(B135,input_393100!L:R,7,FALSE),VLOOKUP(tables_393100!C135,input_393100!A:H,8,FALSE))</f>
        <v>53751.057690000001</v>
      </c>
      <c r="P135" s="46">
        <f t="shared" ca="1" si="5"/>
        <v>1.0297137488505748E-2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input_393100!A$2</f>
        <v>393100</v>
      </c>
      <c r="B136" s="8">
        <v>261</v>
      </c>
      <c r="C136" s="7" t="str">
        <f t="shared" si="6"/>
        <v>Premium5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輪廻の蛇龍 ウロボロス</v>
      </c>
      <c r="I136" s="7" t="str">
        <f>VLOOKUP(B136,[1]characters!$A:$J,10,FALSE)</f>
        <v>PremiumS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IFERROR(VLOOKUP(B136,input_393100!L:R,7,FALSE),VLOOKUP(tables_393100!C136,input_393100!A:H,8,FALSE))</f>
        <v>1148.9423099999999</v>
      </c>
      <c r="P136" s="46">
        <f t="shared" ca="1" si="5"/>
        <v>2.2010389080459768E-4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input_393100!A$2</f>
        <v>393100</v>
      </c>
      <c r="B137" s="6">
        <v>320</v>
      </c>
      <c r="C137" s="7" t="str">
        <f t="shared" si="6"/>
        <v>PremiumSS4</v>
      </c>
      <c r="D137" s="7" t="str">
        <f t="shared" si="7"/>
        <v>PremiumSS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烈志士 近藤勇</v>
      </c>
      <c r="I137" s="7" t="str">
        <f>VLOOKUP(B137,[1]characters!$A:$J,10,FALSE)</f>
        <v>PremiumSS</v>
      </c>
      <c r="J137" s="7">
        <f>VLOOKUP(B137,[1]characters!$A:$I,9,FALSE)</f>
        <v>4</v>
      </c>
      <c r="K137" s="7" t="str">
        <f>VLOOKUP(B137,[1]characters!$A:$H,8,FALSE)</f>
        <v>red</v>
      </c>
      <c r="L137" s="7" t="str">
        <f>VLOOKUP(B137,[1]characters!$A:$K,11,FALSE)</f>
        <v>hp</v>
      </c>
      <c r="M137" s="7" t="str">
        <f>VLOOKUP(B137,[1]characters!$A:$M,13,FALSE)</f>
        <v>human</v>
      </c>
      <c r="N137" s="7" t="str">
        <f>VLOOKUP(B137,[1]characters!$A:$G,7,FALSE)</f>
        <v>男性</v>
      </c>
      <c r="O137" s="45">
        <f ca="1">IFERROR(VLOOKUP(B137,input_393100!L:R,7,FALSE),VLOOKUP(tables_393100!C137,input_393100!A:H,8,FALSE))</f>
        <v>8265</v>
      </c>
      <c r="P137" s="46">
        <f t="shared" ca="1" si="5"/>
        <v>1.5833333333333333E-3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input_393100!A$2</f>
        <v>393100</v>
      </c>
      <c r="B138" s="6">
        <v>321</v>
      </c>
      <c r="C138" s="7" t="str">
        <f t="shared" si="6"/>
        <v>PremiumSS5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巌鉄の烈志士 近藤勇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IFERROR(VLOOKUP(B138,input_393100!L:R,7,FALSE),VLOOKUP(tables_393100!C138,input_393100!A:H,8,FALSE))</f>
        <v>435</v>
      </c>
      <c r="P138" s="46">
        <f t="shared" ca="1" si="5"/>
        <v>8.3333333333333331E-5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input_393100!A$2</f>
        <v>393100</v>
      </c>
      <c r="B139" s="6">
        <v>322</v>
      </c>
      <c r="C139" s="7" t="str">
        <f t="shared" si="6"/>
        <v>PremiumSS4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愛志士 土方歳三</v>
      </c>
      <c r="I139" s="7" t="str">
        <f>VLOOKUP(B139,[1]characters!$A:$J,10,FALSE)</f>
        <v>PremiumSS</v>
      </c>
      <c r="J139" s="7">
        <f>VLOOKUP(B139,[1]characters!$A:$I,9,FALSE)</f>
        <v>4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human</v>
      </c>
      <c r="N139" s="7" t="str">
        <f>VLOOKUP(B139,[1]characters!$A:$G,7,FALSE)</f>
        <v>女性</v>
      </c>
      <c r="O139" s="45">
        <f ca="1">IFERROR(VLOOKUP(B139,input_393100!L:R,7,FALSE),VLOOKUP(tables_393100!C139,input_393100!A:H,8,FALSE))</f>
        <v>8265</v>
      </c>
      <c r="P139" s="46">
        <f t="shared" ca="1" si="5"/>
        <v>1.5833333333333333E-3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input_393100!A$2</f>
        <v>393100</v>
      </c>
      <c r="B140" s="6">
        <v>323</v>
      </c>
      <c r="C140" s="7" t="str">
        <f t="shared" si="6"/>
        <v>PremiumSS5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流麗の愛志士 土方歳三</v>
      </c>
      <c r="I140" s="7" t="str">
        <f>VLOOKUP(B140,[1]characters!$A:$J,10,FALSE)</f>
        <v>PremiumSS</v>
      </c>
      <c r="J140" s="7">
        <f>VLOOKUP(B140,[1]characters!$A:$I,9,FALSE)</f>
        <v>5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IFERROR(VLOOKUP(B140,input_393100!L:R,7,FALSE),VLOOKUP(tables_393100!C140,input_393100!A:H,8,FALSE))</f>
        <v>435</v>
      </c>
      <c r="P140" s="46">
        <f t="shared" ca="1" si="5"/>
        <v>8.3333333333333331E-5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input_393100!A$2</f>
        <v>393100</v>
      </c>
      <c r="B141" s="6">
        <v>324</v>
      </c>
      <c r="C141" s="7" t="str">
        <f t="shared" si="6"/>
        <v>PremiumSS4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凛志士 沖田総司</v>
      </c>
      <c r="I141" s="7" t="str">
        <f>VLOOKUP(B141,[1]characters!$A:$J,10,FALSE)</f>
        <v>PremiumSS</v>
      </c>
      <c r="J141" s="7">
        <f>VLOOKUP(B141,[1]characters!$A:$I,9,FALSE)</f>
        <v>4</v>
      </c>
      <c r="K141" s="7" t="str">
        <f>VLOOKUP(B141,[1]characters!$A:$H,8,FALSE)</f>
        <v>blue</v>
      </c>
      <c r="L141" s="7" t="str">
        <f>VLOOKUP(B141,[1]characters!$A:$K,11,FALSE)</f>
        <v>balance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IFERROR(VLOOKUP(B141,input_393100!L:R,7,FALSE),VLOOKUP(tables_393100!C141,input_393100!A:H,8,FALSE))</f>
        <v>8265</v>
      </c>
      <c r="P141" s="46">
        <f t="shared" ca="1" si="5"/>
        <v>1.5833333333333333E-3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input_393100!A$2</f>
        <v>393100</v>
      </c>
      <c r="B142" s="6">
        <v>325</v>
      </c>
      <c r="C142" s="7" t="str">
        <f t="shared" si="6"/>
        <v>PremiumSS5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天賦の凛志士 沖田総司</v>
      </c>
      <c r="I142" s="7" t="str">
        <f>VLOOKUP(B142,[1]characters!$A:$J,10,FALSE)</f>
        <v>PremiumSS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IFERROR(VLOOKUP(B142,input_393100!L:R,7,FALSE),VLOOKUP(tables_393100!C142,input_393100!A:H,8,FALSE))</f>
        <v>435</v>
      </c>
      <c r="P142" s="46">
        <f t="shared" ca="1" si="5"/>
        <v>8.3333333333333331E-5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input_393100!A$2</f>
        <v>393100</v>
      </c>
      <c r="B143" s="6">
        <v>326</v>
      </c>
      <c r="C143" s="7" t="str">
        <f t="shared" si="6"/>
        <v>PremiumSS4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妖志士 斎藤一</v>
      </c>
      <c r="I143" s="7" t="str">
        <f>VLOOKUP(B143,[1]characters!$A:$J,10,FALSE)</f>
        <v>PremiumSS</v>
      </c>
      <c r="J143" s="7">
        <f>VLOOKUP(B143,[1]characters!$A:$I,9,FALSE)</f>
        <v>4</v>
      </c>
      <c r="K143" s="7" t="str">
        <f>VLOOKUP(B143,[1]characters!$A:$H,8,FALSE)</f>
        <v>yellow</v>
      </c>
      <c r="L143" s="7" t="str">
        <f>VLOOKUP(B143,[1]characters!$A:$K,11,FALSE)</f>
        <v>technical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IFERROR(VLOOKUP(B143,input_393100!L:R,7,FALSE),VLOOKUP(tables_393100!C143,input_393100!A:H,8,FALSE))</f>
        <v>8265</v>
      </c>
      <c r="P143" s="46">
        <f t="shared" ref="P143:P206" ca="1" si="8">O143/SUM(O:O)</f>
        <v>1.5833333333333333E-3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input_393100!A$2</f>
        <v>393100</v>
      </c>
      <c r="B144" s="6">
        <v>327</v>
      </c>
      <c r="C144" s="7" t="str">
        <f t="shared" si="6"/>
        <v>PremiumSS5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千殺の妖志士 斎藤一</v>
      </c>
      <c r="I144" s="7" t="str">
        <f>VLOOKUP(B144,[1]characters!$A:$J,10,FALSE)</f>
        <v>PremiumSS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IFERROR(VLOOKUP(B144,input_393100!L:R,7,FALSE),VLOOKUP(tables_393100!C144,input_393100!A:H,8,FALSE))</f>
        <v>435</v>
      </c>
      <c r="P144" s="46">
        <f t="shared" ca="1" si="8"/>
        <v>8.3333333333333331E-5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input_393100!A$2</f>
        <v>393100</v>
      </c>
      <c r="B145" s="6">
        <v>380</v>
      </c>
      <c r="C145" s="7" t="str">
        <f t="shared" si="6"/>
        <v>Premium3</v>
      </c>
      <c r="D145" s="7" t="str">
        <f t="shared" si="7"/>
        <v>Premium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バハムート</v>
      </c>
      <c r="I145" s="7" t="str">
        <f>VLOOKUP(B145,[1]characters!$A:$J,10,FALSE)</f>
        <v>PremiumS</v>
      </c>
      <c r="J145" s="7">
        <f>VLOOKUP(B145,[1]characters!$A:$I,9,FALSE)</f>
        <v>3</v>
      </c>
      <c r="K145" s="7" t="str">
        <f>VLOOKUP(B145,[1]characters!$A:$H,8,FALSE)</f>
        <v>red</v>
      </c>
      <c r="L145" s="7" t="str">
        <f>VLOOKUP(B145,[1]characters!$A:$K,11,FALSE)</f>
        <v>technical</v>
      </c>
      <c r="M145" s="7" t="str">
        <f>VLOOKUP(B145,[1]characters!$A:$M,13,FALSE)</f>
        <v>dragon</v>
      </c>
      <c r="N145" s="7" t="str">
        <f>VLOOKUP(B145,[1]characters!$A:$G,7,FALSE)</f>
        <v>女性</v>
      </c>
      <c r="O145" s="45">
        <f ca="1">IFERROR(VLOOKUP(B145,input_393100!L:R,7,FALSE),VLOOKUP(tables_393100!C145,input_393100!A:H,8,FALSE))</f>
        <v>0</v>
      </c>
      <c r="P145" s="46">
        <f t="shared" ca="1" si="8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input_393100!A$2</f>
        <v>393100</v>
      </c>
      <c r="B146" s="6">
        <v>381</v>
      </c>
      <c r="C146" s="7" t="str">
        <f t="shared" si="6"/>
        <v>Premium4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肉食の恋火 バハムート</v>
      </c>
      <c r="I146" s="7" t="str">
        <f>VLOOKUP(B146,[1]characters!$A:$J,10,FALSE)</f>
        <v>PremiumS</v>
      </c>
      <c r="J146" s="7">
        <f>VLOOKUP(B146,[1]characters!$A:$I,9,FALSE)</f>
        <v>4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IFERROR(VLOOKUP(B146,input_393100!L:R,7,FALSE),VLOOKUP(tables_393100!C146,input_393100!A:H,8,FALSE))</f>
        <v>53751.057690000001</v>
      </c>
      <c r="P146" s="46">
        <f t="shared" ca="1" si="8"/>
        <v>1.0297137488505748E-2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input_393100!A$2</f>
        <v>393100</v>
      </c>
      <c r="B147" s="6">
        <v>382</v>
      </c>
      <c r="C147" s="7" t="str">
        <f t="shared" si="6"/>
        <v>Premium5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激情の愛炎 バハムート</v>
      </c>
      <c r="I147" s="7" t="str">
        <f>VLOOKUP(B147,[1]characters!$A:$J,10,FALSE)</f>
        <v>PremiumS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IFERROR(VLOOKUP(B147,input_393100!L:R,7,FALSE),VLOOKUP(tables_393100!C147,input_393100!A:H,8,FALSE))</f>
        <v>1148.9423099999999</v>
      </c>
      <c r="P147" s="46">
        <f t="shared" ca="1" si="8"/>
        <v>2.2010389080459768E-4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input_393100!A$2</f>
        <v>393100</v>
      </c>
      <c r="B148" s="6">
        <v>383</v>
      </c>
      <c r="C148" s="7" t="str">
        <f t="shared" si="6"/>
        <v>PremiumSS4</v>
      </c>
      <c r="D148" s="7" t="str">
        <f t="shared" si="7"/>
        <v>PremiumSS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酒宴の蟒蛇 ヤマタノオロチ</v>
      </c>
      <c r="I148" s="7" t="str">
        <f>VLOOKUP(B148,[1]characters!$A:$J,10,FALSE)</f>
        <v>PremiumSS</v>
      </c>
      <c r="J148" s="7">
        <f>VLOOKUP(B148,[1]characters!$A:$I,9,FALSE)</f>
        <v>4</v>
      </c>
      <c r="K148" s="7" t="str">
        <f>VLOOKUP(B148,[1]characters!$A:$H,8,FALSE)</f>
        <v>green</v>
      </c>
      <c r="L148" s="7" t="str">
        <f>VLOOKUP(B148,[1]characters!$A:$K,11,FALSE)</f>
        <v>hp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IFERROR(VLOOKUP(B148,input_393100!L:R,7,FALSE),VLOOKUP(tables_393100!C148,input_393100!A:H,8,FALSE))</f>
        <v>8265</v>
      </c>
      <c r="P148" s="46">
        <f t="shared" ca="1" si="8"/>
        <v>1.5833333333333333E-3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input_393100!A$2</f>
        <v>393100</v>
      </c>
      <c r="B149" s="6">
        <v>384</v>
      </c>
      <c r="C149" s="7" t="str">
        <f t="shared" si="6"/>
        <v>PremiumSS5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破国の呑龍 ヤマタノオロチ</v>
      </c>
      <c r="I149" s="7" t="str">
        <f>VLOOKUP(B149,[1]characters!$A:$J,10,FALSE)</f>
        <v>PremiumSS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IFERROR(VLOOKUP(B149,input_393100!L:R,7,FALSE),VLOOKUP(tables_393100!C149,input_393100!A:H,8,FALSE))</f>
        <v>435</v>
      </c>
      <c r="P149" s="46">
        <f t="shared" ca="1" si="8"/>
        <v>8.3333333333333331E-5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input_393100!A$2</f>
        <v>393100</v>
      </c>
      <c r="B150" s="6">
        <v>385</v>
      </c>
      <c r="C150" s="7" t="str">
        <f t="shared" si="6"/>
        <v>PremiumSS4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波烈の出奔 リヴァイアサン</v>
      </c>
      <c r="I150" s="7" t="str">
        <f>VLOOKUP(B150,[1]characters!$A:$J,10,FALSE)</f>
        <v>PremiumSS</v>
      </c>
      <c r="J150" s="7">
        <f>VLOOKUP(B150,[1]characters!$A:$I,9,FALSE)</f>
        <v>4</v>
      </c>
      <c r="K150" s="7" t="str">
        <f>VLOOKUP(B150,[1]characters!$A:$H,8,FALSE)</f>
        <v>blue</v>
      </c>
      <c r="L150" s="7" t="str">
        <f>VLOOKUP(B150,[1]characters!$A:$K,11,FALSE)</f>
        <v>balance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IFERROR(VLOOKUP(B150,input_393100!L:R,7,FALSE),VLOOKUP(tables_393100!C150,input_393100!A:H,8,FALSE))</f>
        <v>8265</v>
      </c>
      <c r="P150" s="46">
        <f t="shared" ca="1" si="8"/>
        <v>1.5833333333333333E-3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input_393100!A$2</f>
        <v>393100</v>
      </c>
      <c r="B151" s="6">
        <v>386</v>
      </c>
      <c r="C151" s="7" t="str">
        <f t="shared" si="6"/>
        <v>PremiumSS5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氾乱の海龍 リヴァイアサン</v>
      </c>
      <c r="I151" s="7" t="str">
        <f>VLOOKUP(B151,[1]characters!$A:$J,10,FALSE)</f>
        <v>PremiumSS</v>
      </c>
      <c r="J151" s="7">
        <f>VLOOKUP(B151,[1]characters!$A:$I,9,FALSE)</f>
        <v>5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IFERROR(VLOOKUP(B151,input_393100!L:R,7,FALSE),VLOOKUP(tables_393100!C151,input_393100!A:H,8,FALSE))</f>
        <v>435</v>
      </c>
      <c r="P151" s="46">
        <f t="shared" ca="1" si="8"/>
        <v>8.3333333333333331E-5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input_393100!A$2</f>
        <v>393100</v>
      </c>
      <c r="B152" s="6">
        <v>387</v>
      </c>
      <c r="C152" s="7" t="str">
        <f t="shared" si="6"/>
        <v>Premium3</v>
      </c>
      <c r="D152" s="7" t="str">
        <f t="shared" si="7"/>
        <v>Premium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スフィンクス</v>
      </c>
      <c r="I152" s="7" t="str">
        <f>VLOOKUP(B152,[1]characters!$A:$J,10,FALSE)</f>
        <v>PremiumS</v>
      </c>
      <c r="J152" s="7">
        <f>VLOOKUP(B152,[1]characters!$A:$I,9,FALSE)</f>
        <v>3</v>
      </c>
      <c r="K152" s="7" t="str">
        <f>VLOOKUP(B152,[1]characters!$A:$H,8,FALSE)</f>
        <v>yellow</v>
      </c>
      <c r="L152" s="7" t="str">
        <f>VLOOKUP(B152,[1]characters!$A:$K,11,FALSE)</f>
        <v>heal</v>
      </c>
      <c r="M152" s="7" t="str">
        <f>VLOOKUP(B152,[1]characters!$A:$M,13,FALSE)</f>
        <v>animal</v>
      </c>
      <c r="N152" s="7" t="str">
        <f>VLOOKUP(B152,[1]characters!$A:$G,7,FALSE)</f>
        <v>女性</v>
      </c>
      <c r="O152" s="45">
        <f ca="1">IFERROR(VLOOKUP(B152,input_393100!L:R,7,FALSE),VLOOKUP(tables_393100!C152,input_393100!A:H,8,FALSE))</f>
        <v>0</v>
      </c>
      <c r="P152" s="46">
        <f t="shared" ca="1" si="8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input_393100!A$2</f>
        <v>393100</v>
      </c>
      <c r="B153" s="6">
        <v>388</v>
      </c>
      <c r="C153" s="7" t="str">
        <f t="shared" si="6"/>
        <v>Premium4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神円の恋姫 スフィンクス</v>
      </c>
      <c r="I153" s="7" t="str">
        <f>VLOOKUP(B153,[1]characters!$A:$J,10,FALSE)</f>
        <v>PremiumS</v>
      </c>
      <c r="J153" s="7">
        <f>VLOOKUP(B153,[1]characters!$A:$I,9,FALSE)</f>
        <v>4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IFERROR(VLOOKUP(B153,input_393100!L:R,7,FALSE),VLOOKUP(tables_393100!C153,input_393100!A:H,8,FALSE))</f>
        <v>53751.057690000001</v>
      </c>
      <c r="P153" s="46">
        <f t="shared" ca="1" si="8"/>
        <v>1.0297137488505748E-2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input_393100!A$2</f>
        <v>393100</v>
      </c>
      <c r="B154" s="6">
        <v>389</v>
      </c>
      <c r="C154" s="7" t="str">
        <f t="shared" si="6"/>
        <v>Premium5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操神の愛姫 スフィンクス</v>
      </c>
      <c r="I154" s="7" t="str">
        <f>VLOOKUP(B154,[1]characters!$A:$J,10,FALSE)</f>
        <v>PremiumS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IFERROR(VLOOKUP(B154,input_393100!L:R,7,FALSE),VLOOKUP(tables_393100!C154,input_393100!A:H,8,FALSE))</f>
        <v>1148.9423099999999</v>
      </c>
      <c r="P154" s="46">
        <f t="shared" ca="1" si="8"/>
        <v>2.2010389080459768E-4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input_393100!A$2</f>
        <v>393100</v>
      </c>
      <c r="B155" s="6">
        <v>390</v>
      </c>
      <c r="C155" s="7" t="str">
        <f t="shared" si="6"/>
        <v>PremiumSS4</v>
      </c>
      <c r="D155" s="7" t="str">
        <f t="shared" si="7"/>
        <v>PremiumSS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華環の旅客 親指姫</v>
      </c>
      <c r="I155" s="7" t="str">
        <f>VLOOKUP(B155,[1]characters!$A:$J,10,FALSE)</f>
        <v>PremiumSS</v>
      </c>
      <c r="J155" s="7">
        <f>VLOOKUP(B155,[1]characters!$A:$I,9,FALSE)</f>
        <v>4</v>
      </c>
      <c r="K155" s="7" t="str">
        <f>VLOOKUP(B155,[1]characters!$A:$H,8,FALSE)</f>
        <v>red</v>
      </c>
      <c r="L155" s="7" t="str">
        <f>VLOOKUP(B155,[1]characters!$A:$K,11,FALSE)</f>
        <v>heal</v>
      </c>
      <c r="M155" s="7" t="str">
        <f>VLOOKUP(B155,[1]characters!$A:$M,13,FALSE)</f>
        <v>human</v>
      </c>
      <c r="N155" s="7" t="str">
        <f>VLOOKUP(B155,[1]characters!$A:$G,7,FALSE)</f>
        <v>女性</v>
      </c>
      <c r="O155" s="45">
        <f ca="1">IFERROR(VLOOKUP(B155,input_393100!L:R,7,FALSE),VLOOKUP(tables_393100!C155,input_393100!A:H,8,FALSE))</f>
        <v>8265</v>
      </c>
      <c r="P155" s="46">
        <f t="shared" ca="1" si="8"/>
        <v>1.5833333333333333E-3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input_393100!A$2</f>
        <v>393100</v>
      </c>
      <c r="B156" s="6">
        <v>391</v>
      </c>
      <c r="C156" s="7" t="str">
        <f t="shared" si="6"/>
        <v>PremiumSS5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燕翼の旅人 親指姫</v>
      </c>
      <c r="I156" s="7" t="str">
        <f>VLOOKUP(B156,[1]characters!$A:$J,10,FALSE)</f>
        <v>PremiumSS</v>
      </c>
      <c r="J156" s="7">
        <f>VLOOKUP(B156,[1]characters!$A:$I,9,FALSE)</f>
        <v>5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IFERROR(VLOOKUP(B156,input_393100!L:R,7,FALSE),VLOOKUP(tables_393100!C156,input_393100!A:H,8,FALSE))</f>
        <v>435</v>
      </c>
      <c r="P156" s="46">
        <f t="shared" ca="1" si="8"/>
        <v>8.3333333333333331E-5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input_393100!A$2</f>
        <v>393100</v>
      </c>
      <c r="B157" s="6">
        <v>392</v>
      </c>
      <c r="C157" s="7" t="str">
        <f t="shared" si="6"/>
        <v>Premium3</v>
      </c>
      <c r="D157" s="7" t="str">
        <f t="shared" si="7"/>
        <v>Premium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ピーターパン</v>
      </c>
      <c r="I157" s="7" t="str">
        <f>VLOOKUP(B157,[1]characters!$A:$J,10,FALSE)</f>
        <v>PremiumS</v>
      </c>
      <c r="J157" s="7">
        <f>VLOOKUP(B157,[1]characters!$A:$I,9,FALSE)</f>
        <v>3</v>
      </c>
      <c r="K157" s="7" t="str">
        <f>VLOOKUP(B157,[1]characters!$A:$H,8,FALSE)</f>
        <v>green</v>
      </c>
      <c r="L157" s="7" t="str">
        <f>VLOOKUP(B157,[1]characters!$A:$K,11,FALSE)</f>
        <v>attack</v>
      </c>
      <c r="M157" s="7" t="str">
        <f>VLOOKUP(B157,[1]characters!$A:$M,13,FALSE)</f>
        <v>human</v>
      </c>
      <c r="N157" s="7" t="str">
        <f>VLOOKUP(B157,[1]characters!$A:$G,7,FALSE)</f>
        <v>男性</v>
      </c>
      <c r="O157" s="45">
        <f ca="1">IFERROR(VLOOKUP(B157,input_393100!L:R,7,FALSE),VLOOKUP(tables_393100!C157,input_393100!A:H,8,FALSE))</f>
        <v>0</v>
      </c>
      <c r="P157" s="46">
        <f t="shared" ca="1" si="8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input_393100!A$2</f>
        <v>393100</v>
      </c>
      <c r="B158" s="6">
        <v>393</v>
      </c>
      <c r="C158" s="7" t="str">
        <f t="shared" si="6"/>
        <v>Premium4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影縫い ピーターパン</v>
      </c>
      <c r="I158" s="7" t="str">
        <f>VLOOKUP(B158,[1]characters!$A:$J,10,FALSE)</f>
        <v>PremiumS</v>
      </c>
      <c r="J158" s="7">
        <f>VLOOKUP(B158,[1]characters!$A:$I,9,FALSE)</f>
        <v>4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IFERROR(VLOOKUP(B158,input_393100!L:R,7,FALSE),VLOOKUP(tables_393100!C158,input_393100!A:H,8,FALSE))</f>
        <v>53751.057690000001</v>
      </c>
      <c r="P158" s="46">
        <f t="shared" ca="1" si="8"/>
        <v>1.0297137488505748E-2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input_393100!A$2</f>
        <v>393100</v>
      </c>
      <c r="B159" s="6">
        <v>394</v>
      </c>
      <c r="C159" s="7" t="str">
        <f t="shared" si="6"/>
        <v>Premium5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影求の悪童 ピーターパン</v>
      </c>
      <c r="I159" s="7" t="str">
        <f>VLOOKUP(B159,[1]characters!$A:$J,10,FALSE)</f>
        <v>PremiumS</v>
      </c>
      <c r="J159" s="7">
        <f>VLOOKUP(B159,[1]characters!$A:$I,9,FALSE)</f>
        <v>5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IFERROR(VLOOKUP(B159,input_393100!L:R,7,FALSE),VLOOKUP(tables_393100!C159,input_393100!A:H,8,FALSE))</f>
        <v>1148.9423099999999</v>
      </c>
      <c r="P159" s="46">
        <f t="shared" ca="1" si="8"/>
        <v>2.2010389080459768E-4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input_393100!A$2</f>
        <v>393100</v>
      </c>
      <c r="B160" s="6">
        <v>395</v>
      </c>
      <c r="C160" s="7" t="str">
        <f t="shared" si="6"/>
        <v>Premium3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乙姫</v>
      </c>
      <c r="I160" s="7" t="str">
        <f>VLOOKUP(B160,[1]characters!$A:$J,10,FALSE)</f>
        <v>PremiumS</v>
      </c>
      <c r="J160" s="7">
        <f>VLOOKUP(B160,[1]characters!$A:$I,9,FALSE)</f>
        <v>3</v>
      </c>
      <c r="K160" s="7" t="str">
        <f>VLOOKUP(B160,[1]characters!$A:$H,8,FALSE)</f>
        <v>blue</v>
      </c>
      <c r="L160" s="7" t="str">
        <f>VLOOKUP(B160,[1]characters!$A:$K,11,FALSE)</f>
        <v>hp</v>
      </c>
      <c r="M160" s="7" t="str">
        <f>VLOOKUP(B160,[1]characters!$A:$M,13,FALSE)</f>
        <v>human</v>
      </c>
      <c r="N160" s="7" t="str">
        <f>VLOOKUP(B160,[1]characters!$A:$G,7,FALSE)</f>
        <v>女性</v>
      </c>
      <c r="O160" s="45">
        <f ca="1">IFERROR(VLOOKUP(B160,input_393100!L:R,7,FALSE),VLOOKUP(tables_393100!C160,input_393100!A:H,8,FALSE))</f>
        <v>0</v>
      </c>
      <c r="P160" s="46">
        <f t="shared" ca="1" si="8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input_393100!A$2</f>
        <v>393100</v>
      </c>
      <c r="B161" s="6">
        <v>396</v>
      </c>
      <c r="C161" s="7" t="str">
        <f t="shared" si="6"/>
        <v>Premium4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竜宮の水雷 乙姫</v>
      </c>
      <c r="I161" s="7" t="str">
        <f>VLOOKUP(B161,[1]characters!$A:$J,10,FALSE)</f>
        <v>PremiumS</v>
      </c>
      <c r="J161" s="7">
        <f>VLOOKUP(B161,[1]characters!$A:$I,9,FALSE)</f>
        <v>4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IFERROR(VLOOKUP(B161,input_393100!L:R,7,FALSE),VLOOKUP(tables_393100!C161,input_393100!A:H,8,FALSE))</f>
        <v>53751.057690000001</v>
      </c>
      <c r="P161" s="46">
        <f t="shared" ca="1" si="8"/>
        <v>1.0297137488505748E-2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input_393100!A$2</f>
        <v>393100</v>
      </c>
      <c r="B162" s="6">
        <v>397</v>
      </c>
      <c r="C162" s="7" t="str">
        <f t="shared" si="6"/>
        <v>Premium5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禁断の追箱 乙姫</v>
      </c>
      <c r="I162" s="7" t="str">
        <f>VLOOKUP(B162,[1]characters!$A:$J,10,FALSE)</f>
        <v>PremiumS</v>
      </c>
      <c r="J162" s="7">
        <f>VLOOKUP(B162,[1]characters!$A:$I,9,FALSE)</f>
        <v>5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IFERROR(VLOOKUP(B162,input_393100!L:R,7,FALSE),VLOOKUP(tables_393100!C162,input_393100!A:H,8,FALSE))</f>
        <v>1148.9423099999999</v>
      </c>
      <c r="P162" s="46">
        <f t="shared" ca="1" si="8"/>
        <v>2.2010389080459768E-4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input_393100!A$2</f>
        <v>393100</v>
      </c>
      <c r="B163" s="6">
        <v>398</v>
      </c>
      <c r="C163" s="7" t="str">
        <f t="shared" si="6"/>
        <v>PremiumSS4</v>
      </c>
      <c r="D163" s="7" t="str">
        <f t="shared" si="7"/>
        <v>PremiumSS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ヘンゼル＆グレーテル</v>
      </c>
      <c r="I163" s="7" t="str">
        <f>VLOOKUP(B163,[1]characters!$A:$J,10,FALSE)</f>
        <v>PremiumSS</v>
      </c>
      <c r="J163" s="7">
        <f>VLOOKUP(B163,[1]characters!$A:$I,9,FALSE)</f>
        <v>4</v>
      </c>
      <c r="K163" s="7" t="str">
        <f>VLOOKUP(B163,[1]characters!$A:$H,8,FALSE)</f>
        <v>yellow</v>
      </c>
      <c r="L163" s="7" t="str">
        <f>VLOOKUP(B163,[1]characters!$A:$K,11,FALSE)</f>
        <v>balance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IFERROR(VLOOKUP(B163,input_393100!L:R,7,FALSE),VLOOKUP(tables_393100!C163,input_393100!A:H,8,FALSE))</f>
        <v>8265</v>
      </c>
      <c r="P163" s="46">
        <f t="shared" ca="1" si="8"/>
        <v>1.5833333333333333E-3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input_393100!A$2</f>
        <v>393100</v>
      </c>
      <c r="B164" s="6">
        <v>399</v>
      </c>
      <c r="C164" s="7" t="str">
        <f t="shared" si="6"/>
        <v>PremiumSS5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信愛の兄妹 ヘンゼル＆グレーテル</v>
      </c>
      <c r="I164" s="7" t="str">
        <f>VLOOKUP(B164,[1]characters!$A:$J,10,FALSE)</f>
        <v>PremiumSS</v>
      </c>
      <c r="J164" s="7">
        <f>VLOOKUP(B164,[1]characters!$A:$I,9,FALSE)</f>
        <v>5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IFERROR(VLOOKUP(B164,input_393100!L:R,7,FALSE),VLOOKUP(tables_393100!C164,input_393100!A:H,8,FALSE))</f>
        <v>435</v>
      </c>
      <c r="P164" s="46">
        <f t="shared" ca="1" si="8"/>
        <v>8.3333333333333331E-5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input_393100!A$2</f>
        <v>393100</v>
      </c>
      <c r="B165" s="6">
        <v>400</v>
      </c>
      <c r="C165" s="7" t="str">
        <f t="shared" si="6"/>
        <v>Premium3</v>
      </c>
      <c r="D165" s="7" t="str">
        <f t="shared" si="7"/>
        <v>Premium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フェンリル</v>
      </c>
      <c r="I165" s="7" t="str">
        <f>VLOOKUP(B165,[1]characters!$A:$J,10,FALSE)</f>
        <v>PremiumS</v>
      </c>
      <c r="J165" s="7">
        <f>VLOOKUP(B165,[1]characters!$A:$I,9,FALSE)</f>
        <v>3</v>
      </c>
      <c r="K165" s="7" t="str">
        <f>VLOOKUP(B165,[1]characters!$A:$H,8,FALSE)</f>
        <v>red</v>
      </c>
      <c r="L165" s="7" t="str">
        <f>VLOOKUP(B165,[1]characters!$A:$K,11,FALSE)</f>
        <v>attack</v>
      </c>
      <c r="M165" s="7" t="str">
        <f>VLOOKUP(B165,[1]characters!$A:$M,13,FALSE)</f>
        <v>animal</v>
      </c>
      <c r="N165" s="7" t="str">
        <f>VLOOKUP(B165,[1]characters!$A:$G,7,FALSE)</f>
        <v>女性</v>
      </c>
      <c r="O165" s="45">
        <f ca="1">IFERROR(VLOOKUP(B165,input_393100!L:R,7,FALSE),VLOOKUP(tables_393100!C165,input_393100!A:H,8,FALSE))</f>
        <v>0</v>
      </c>
      <c r="P165" s="46">
        <f t="shared" ca="1" si="8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input_393100!A$2</f>
        <v>393100</v>
      </c>
      <c r="B166" s="6">
        <v>401</v>
      </c>
      <c r="C166" s="7" t="str">
        <f t="shared" si="6"/>
        <v>Premium4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紅銀の孤狼 フェンリル</v>
      </c>
      <c r="I166" s="7" t="str">
        <f>VLOOKUP(B166,[1]characters!$A:$J,10,FALSE)</f>
        <v>PremiumS</v>
      </c>
      <c r="J166" s="7">
        <f>VLOOKUP(B166,[1]characters!$A:$I,9,FALSE)</f>
        <v>4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IFERROR(VLOOKUP(B166,input_393100!L:R,7,FALSE),VLOOKUP(tables_393100!C166,input_393100!A:H,8,FALSE))</f>
        <v>53751.057690000001</v>
      </c>
      <c r="P166" s="46">
        <f t="shared" ca="1" si="8"/>
        <v>1.0297137488505748E-2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input_393100!A$2</f>
        <v>393100</v>
      </c>
      <c r="B167" s="6">
        <v>402</v>
      </c>
      <c r="C167" s="7" t="str">
        <f t="shared" si="6"/>
        <v>Premium5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天災の神狼 フェンリル</v>
      </c>
      <c r="I167" s="7" t="str">
        <f>VLOOKUP(B167,[1]characters!$A:$J,10,FALSE)</f>
        <v>PremiumS</v>
      </c>
      <c r="J167" s="7">
        <f>VLOOKUP(B167,[1]characters!$A:$I,9,FALSE)</f>
        <v>5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IFERROR(VLOOKUP(B167,input_393100!L:R,7,FALSE),VLOOKUP(tables_393100!C167,input_393100!A:H,8,FALSE))</f>
        <v>1148.9423099999999</v>
      </c>
      <c r="P167" s="46">
        <f t="shared" ca="1" si="8"/>
        <v>2.2010389080459768E-4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input_393100!A$2</f>
        <v>393100</v>
      </c>
      <c r="B168" s="6">
        <v>403</v>
      </c>
      <c r="C168" s="7" t="str">
        <f t="shared" si="6"/>
        <v>PremiumSS4</v>
      </c>
      <c r="D168" s="7" t="str">
        <f t="shared" si="7"/>
        <v>PremiumSS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静撃の翠眼 八咫烏</v>
      </c>
      <c r="I168" s="7" t="str">
        <f>VLOOKUP(B168,[1]characters!$A:$J,10,FALSE)</f>
        <v>PremiumSS</v>
      </c>
      <c r="J168" s="7">
        <f>VLOOKUP(B168,[1]characters!$A:$I,9,FALSE)</f>
        <v>4</v>
      </c>
      <c r="K168" s="7" t="str">
        <f>VLOOKUP(B168,[1]characters!$A:$H,8,FALSE)</f>
        <v>green</v>
      </c>
      <c r="L168" s="7" t="str">
        <f>VLOOKUP(B168,[1]characters!$A:$K,11,FALSE)</f>
        <v>balance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IFERROR(VLOOKUP(B168,input_393100!L:R,7,FALSE),VLOOKUP(tables_393100!C168,input_393100!A:H,8,FALSE))</f>
        <v>8265</v>
      </c>
      <c r="P168" s="46">
        <f t="shared" ca="1" si="8"/>
        <v>1.5833333333333333E-3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input_393100!A$2</f>
        <v>393100</v>
      </c>
      <c r="B169" s="6">
        <v>404</v>
      </c>
      <c r="C169" s="7" t="str">
        <f t="shared" si="6"/>
        <v>PremiumSS5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空襲の神眼 八咫烏</v>
      </c>
      <c r="I169" s="7" t="str">
        <f>VLOOKUP(B169,[1]characters!$A:$J,10,FALSE)</f>
        <v>PremiumSS</v>
      </c>
      <c r="J169" s="7">
        <f>VLOOKUP(B169,[1]characters!$A:$I,9,FALSE)</f>
        <v>5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IFERROR(VLOOKUP(B169,input_393100!L:R,7,FALSE),VLOOKUP(tables_393100!C169,input_393100!A:H,8,FALSE))</f>
        <v>435</v>
      </c>
      <c r="P169" s="46">
        <f t="shared" ca="1" si="8"/>
        <v>8.3333333333333331E-5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input_393100!A$2</f>
        <v>393100</v>
      </c>
      <c r="B170" s="6">
        <v>405</v>
      </c>
      <c r="C170" s="7" t="str">
        <f t="shared" si="6"/>
        <v>Premium3</v>
      </c>
      <c r="D170" s="7" t="str">
        <f t="shared" si="7"/>
        <v>Premium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エキドナ</v>
      </c>
      <c r="I170" s="7" t="str">
        <f>VLOOKUP(B170,[1]characters!$A:$J,10,FALSE)</f>
        <v>PremiumS</v>
      </c>
      <c r="J170" s="7">
        <f>VLOOKUP(B170,[1]characters!$A:$I,9,FALSE)</f>
        <v>3</v>
      </c>
      <c r="K170" s="7" t="str">
        <f>VLOOKUP(B170,[1]characters!$A:$H,8,FALSE)</f>
        <v>blue</v>
      </c>
      <c r="L170" s="7" t="str">
        <f>VLOOKUP(B170,[1]characters!$A:$K,11,FALSE)</f>
        <v>technical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IFERROR(VLOOKUP(B170,input_393100!L:R,7,FALSE),VLOOKUP(tables_393100!C170,input_393100!A:H,8,FALSE))</f>
        <v>0</v>
      </c>
      <c r="P170" s="46">
        <f t="shared" ca="1" si="8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input_393100!A$2</f>
        <v>393100</v>
      </c>
      <c r="B171" s="6">
        <v>406</v>
      </c>
      <c r="C171" s="7" t="str">
        <f t="shared" si="6"/>
        <v>Premium4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美笑の蒼蛇 エキドナ</v>
      </c>
      <c r="I171" s="7" t="str">
        <f>VLOOKUP(B171,[1]characters!$A:$J,10,FALSE)</f>
        <v>PremiumS</v>
      </c>
      <c r="J171" s="7">
        <f>VLOOKUP(B171,[1]characters!$A:$I,9,FALSE)</f>
        <v>4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IFERROR(VLOOKUP(B171,input_393100!L:R,7,FALSE),VLOOKUP(tables_393100!C171,input_393100!A:H,8,FALSE))</f>
        <v>53751.057690000001</v>
      </c>
      <c r="P171" s="46">
        <f t="shared" ca="1" si="8"/>
        <v>1.0297137488505748E-2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input_393100!A$2</f>
        <v>393100</v>
      </c>
      <c r="B172" s="6">
        <v>407</v>
      </c>
      <c r="C172" s="7" t="str">
        <f t="shared" si="6"/>
        <v>Premium5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蠱惑の飛刀 エキドナ</v>
      </c>
      <c r="I172" s="7" t="str">
        <f>VLOOKUP(B172,[1]characters!$A:$J,10,FALSE)</f>
        <v>PremiumS</v>
      </c>
      <c r="J172" s="7">
        <f>VLOOKUP(B172,[1]characters!$A:$I,9,FALSE)</f>
        <v>5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IFERROR(VLOOKUP(B172,input_393100!L:R,7,FALSE),VLOOKUP(tables_393100!C172,input_393100!A:H,8,FALSE))</f>
        <v>1148.9423099999999</v>
      </c>
      <c r="P172" s="46">
        <f t="shared" ca="1" si="8"/>
        <v>2.2010389080459768E-4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input_393100!A$2</f>
        <v>393100</v>
      </c>
      <c r="B173" s="6">
        <v>408</v>
      </c>
      <c r="C173" s="7" t="str">
        <f t="shared" si="6"/>
        <v>PremiumSS4</v>
      </c>
      <c r="D173" s="7" t="str">
        <f t="shared" si="7"/>
        <v>PremiumSS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皇魔 アスタロト</v>
      </c>
      <c r="I173" s="7" t="str">
        <f>VLOOKUP(B173,[1]characters!$A:$J,10,FALSE)</f>
        <v>PremiumSS</v>
      </c>
      <c r="J173" s="7">
        <f>VLOOKUP(B173,[1]characters!$A:$I,9,FALSE)</f>
        <v>4</v>
      </c>
      <c r="K173" s="7" t="str">
        <f>VLOOKUP(B173,[1]characters!$A:$H,8,FALSE)</f>
        <v>yellow</v>
      </c>
      <c r="L173" s="7" t="str">
        <f>VLOOKUP(B173,[1]characters!$A:$K,11,FALSE)</f>
        <v>attack</v>
      </c>
      <c r="M173" s="7" t="str">
        <f>VLOOKUP(B173,[1]characters!$A:$M,13,FALSE)</f>
        <v>god</v>
      </c>
      <c r="N173" s="7" t="str">
        <f>VLOOKUP(B173,[1]characters!$A:$G,7,FALSE)</f>
        <v>男性</v>
      </c>
      <c r="O173" s="45">
        <f ca="1">IFERROR(VLOOKUP(B173,input_393100!L:R,7,FALSE),VLOOKUP(tables_393100!C173,input_393100!A:H,8,FALSE))</f>
        <v>8265</v>
      </c>
      <c r="P173" s="46">
        <f t="shared" ca="1" si="8"/>
        <v>1.5833333333333333E-3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input_393100!A$2</f>
        <v>393100</v>
      </c>
      <c r="B174" s="6">
        <v>409</v>
      </c>
      <c r="C174" s="7" t="str">
        <f t="shared" si="6"/>
        <v>PremiumSS5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天眼の皇貴魔 アスタロト</v>
      </c>
      <c r="I174" s="7" t="str">
        <f>VLOOKUP(B174,[1]characters!$A:$J,10,FALSE)</f>
        <v>PremiumSS</v>
      </c>
      <c r="J174" s="7">
        <f>VLOOKUP(B174,[1]characters!$A:$I,9,FALSE)</f>
        <v>5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IFERROR(VLOOKUP(B174,input_393100!L:R,7,FALSE),VLOOKUP(tables_393100!C174,input_393100!A:H,8,FALSE))</f>
        <v>435</v>
      </c>
      <c r="P174" s="46">
        <f t="shared" ca="1" si="8"/>
        <v>8.3333333333333331E-5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input_393100!A$2</f>
        <v>393100</v>
      </c>
      <c r="B175" s="6">
        <v>434</v>
      </c>
      <c r="C175" s="7" t="str">
        <f t="shared" si="6"/>
        <v>PremiumSS4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D.R.T.H.</v>
      </c>
      <c r="I175" s="7" t="str">
        <f>VLOOKUP(B175,[1]characters!$A:$J,10,FALSE)</f>
        <v>PremiumSS</v>
      </c>
      <c r="J175" s="7">
        <f>VLOOKUP(B175,[1]characters!$A:$I,9,FALSE)</f>
        <v>4</v>
      </c>
      <c r="K175" s="7" t="str">
        <f>VLOOKUP(B175,[1]characters!$A:$H,8,FALSE)</f>
        <v>red</v>
      </c>
      <c r="L175" s="7" t="str">
        <f>VLOOKUP(B175,[1]characters!$A:$K,11,FALSE)</f>
        <v>balance</v>
      </c>
      <c r="M175" s="7" t="str">
        <f>VLOOKUP(B175,[1]characters!$A:$M,13,FALSE)</f>
        <v>human</v>
      </c>
      <c r="N175" s="7" t="str">
        <f>VLOOKUP(B175,[1]characters!$A:$G,7,FALSE)</f>
        <v>女性</v>
      </c>
      <c r="O175" s="45">
        <f ca="1">IFERROR(VLOOKUP(B175,input_393100!L:R,7,FALSE),VLOOKUP(tables_393100!C175,input_393100!A:H,8,FALSE))</f>
        <v>8265</v>
      </c>
      <c r="P175" s="46">
        <f t="shared" ca="1" si="8"/>
        <v>1.5833333333333333E-3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input_393100!A$2</f>
        <v>393100</v>
      </c>
      <c r="B176" s="6">
        <v>435</v>
      </c>
      <c r="C176" s="7" t="str">
        <f t="shared" si="6"/>
        <v>PremiumSS5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曝弾の密偵 D.R.T.H.</v>
      </c>
      <c r="I176" s="7" t="str">
        <f>VLOOKUP(B176,[1]characters!$A:$J,10,FALSE)</f>
        <v>PremiumSS</v>
      </c>
      <c r="J176" s="7">
        <f>VLOOKUP(B176,[1]characters!$A:$I,9,FALSE)</f>
        <v>5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IFERROR(VLOOKUP(B176,input_393100!L:R,7,FALSE),VLOOKUP(tables_393100!C176,input_393100!A:H,8,FALSE))</f>
        <v>435</v>
      </c>
      <c r="P176" s="46">
        <f t="shared" ca="1" si="8"/>
        <v>8.3333333333333331E-5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input_393100!A$2</f>
        <v>393100</v>
      </c>
      <c r="B177" s="6">
        <v>436</v>
      </c>
      <c r="C177" s="7" t="str">
        <f t="shared" si="6"/>
        <v>Premium3</v>
      </c>
      <c r="D177" s="7" t="str">
        <f t="shared" si="7"/>
        <v>Premium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カカシ</v>
      </c>
      <c r="I177" s="7" t="str">
        <f>VLOOKUP(B177,[1]characters!$A:$J,10,FALSE)</f>
        <v>PremiumS</v>
      </c>
      <c r="J177" s="7">
        <f>VLOOKUP(B177,[1]characters!$A:$I,9,FALSE)</f>
        <v>3</v>
      </c>
      <c r="K177" s="7" t="str">
        <f>VLOOKUP(B177,[1]characters!$A:$H,8,FALSE)</f>
        <v>green</v>
      </c>
      <c r="L177" s="7" t="str">
        <f>VLOOKUP(B177,[1]characters!$A:$K,11,FALSE)</f>
        <v>technical</v>
      </c>
      <c r="M177" s="7" t="str">
        <f>VLOOKUP(B177,[1]characters!$A:$M,13,FALSE)</f>
        <v>human</v>
      </c>
      <c r="N177" s="7" t="str">
        <f>VLOOKUP(B177,[1]characters!$A:$G,7,FALSE)</f>
        <v>男性</v>
      </c>
      <c r="O177" s="45">
        <f ca="1">IFERROR(VLOOKUP(B177,input_393100!L:R,7,FALSE),VLOOKUP(tables_393100!C177,input_393100!A:H,8,FALSE))</f>
        <v>0</v>
      </c>
      <c r="P177" s="46">
        <f t="shared" ca="1" si="8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input_393100!A$2</f>
        <v>393100</v>
      </c>
      <c r="B178" s="6">
        <v>437</v>
      </c>
      <c r="C178" s="7" t="str">
        <f t="shared" si="6"/>
        <v>Premium4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忘却者 カカシ</v>
      </c>
      <c r="I178" s="7" t="str">
        <f>VLOOKUP(B178,[1]characters!$A:$J,10,FALSE)</f>
        <v>PremiumS</v>
      </c>
      <c r="J178" s="7">
        <f>VLOOKUP(B178,[1]characters!$A:$I,9,FALSE)</f>
        <v>4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IFERROR(VLOOKUP(B178,input_393100!L:R,7,FALSE),VLOOKUP(tables_393100!C178,input_393100!A:H,8,FALSE))</f>
        <v>53751.057690000001</v>
      </c>
      <c r="P178" s="46">
        <f t="shared" ca="1" si="8"/>
        <v>1.0297137488505748E-2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input_393100!A$2</f>
        <v>393100</v>
      </c>
      <c r="B179" s="6">
        <v>438</v>
      </c>
      <c r="C179" s="7" t="str">
        <f t="shared" si="6"/>
        <v>Premium5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記憶の奪還 カカシ</v>
      </c>
      <c r="I179" s="7" t="str">
        <f>VLOOKUP(B179,[1]characters!$A:$J,10,FALSE)</f>
        <v>PremiumS</v>
      </c>
      <c r="J179" s="7">
        <f>VLOOKUP(B179,[1]characters!$A:$I,9,FALSE)</f>
        <v>5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IFERROR(VLOOKUP(B179,input_393100!L:R,7,FALSE),VLOOKUP(tables_393100!C179,input_393100!A:H,8,FALSE))</f>
        <v>1148.9423099999999</v>
      </c>
      <c r="P179" s="46">
        <f t="shared" ca="1" si="8"/>
        <v>2.2010389080459768E-4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input_393100!A$2</f>
        <v>393100</v>
      </c>
      <c r="B180" s="6">
        <v>439</v>
      </c>
      <c r="C180" s="7" t="str">
        <f t="shared" si="6"/>
        <v>Premium3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ブリキロガー</v>
      </c>
      <c r="I180" s="7" t="str">
        <f>VLOOKUP(B180,[1]characters!$A:$J,10,FALSE)</f>
        <v>PremiumS</v>
      </c>
      <c r="J180" s="7">
        <f>VLOOKUP(B180,[1]characters!$A:$I,9,FALSE)</f>
        <v>3</v>
      </c>
      <c r="K180" s="7" t="str">
        <f>VLOOKUP(B180,[1]characters!$A:$H,8,FALSE)</f>
        <v>blue</v>
      </c>
      <c r="L180" s="7" t="str">
        <f>VLOOKUP(B180,[1]characters!$A:$K,11,FALSE)</f>
        <v>attack</v>
      </c>
      <c r="M180" s="7" t="str">
        <f>VLOOKUP(B180,[1]characters!$A:$M,13,FALSE)</f>
        <v>machine</v>
      </c>
      <c r="N180" s="7" t="str">
        <f>VLOOKUP(B180,[1]characters!$A:$G,7,FALSE)</f>
        <v>不明</v>
      </c>
      <c r="O180" s="45">
        <f ca="1">IFERROR(VLOOKUP(B180,input_393100!L:R,7,FALSE),VLOOKUP(tables_393100!C180,input_393100!A:H,8,FALSE))</f>
        <v>0</v>
      </c>
      <c r="P180" s="46">
        <f t="shared" ca="1" si="8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input_393100!A$2</f>
        <v>393100</v>
      </c>
      <c r="B181" s="6">
        <v>440</v>
      </c>
      <c r="C181" s="7" t="str">
        <f t="shared" si="6"/>
        <v>Premium4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改良型 ブリキロガー</v>
      </c>
      <c r="I181" s="7" t="str">
        <f>VLOOKUP(B181,[1]characters!$A:$J,10,FALSE)</f>
        <v>PremiumS</v>
      </c>
      <c r="J181" s="7">
        <f>VLOOKUP(B181,[1]characters!$A:$I,9,FALSE)</f>
        <v>4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IFERROR(VLOOKUP(B181,input_393100!L:R,7,FALSE),VLOOKUP(tables_393100!C181,input_393100!A:H,8,FALSE))</f>
        <v>53751.057690000001</v>
      </c>
      <c r="P181" s="46">
        <f t="shared" ca="1" si="8"/>
        <v>1.0297137488505748E-2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input_393100!A$2</f>
        <v>393100</v>
      </c>
      <c r="B182" s="6">
        <v>441</v>
      </c>
      <c r="C182" s="7" t="str">
        <f t="shared" si="6"/>
        <v>Premium5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求心の錻装 ブリキロガー</v>
      </c>
      <c r="I182" s="7" t="str">
        <f>VLOOKUP(B182,[1]characters!$A:$J,10,FALSE)</f>
        <v>PremiumS</v>
      </c>
      <c r="J182" s="7">
        <f>VLOOKUP(B182,[1]characters!$A:$I,9,FALSE)</f>
        <v>5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IFERROR(VLOOKUP(B182,input_393100!L:R,7,FALSE),VLOOKUP(tables_393100!C182,input_393100!A:H,8,FALSE))</f>
        <v>1148.9423099999999</v>
      </c>
      <c r="P182" s="46">
        <f t="shared" ca="1" si="8"/>
        <v>2.2010389080459768E-4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input_393100!A$2</f>
        <v>393100</v>
      </c>
      <c r="B183" s="6">
        <v>442</v>
      </c>
      <c r="C183" s="7" t="str">
        <f t="shared" si="6"/>
        <v>PremiumSS4</v>
      </c>
      <c r="D183" s="7" t="str">
        <f t="shared" si="7"/>
        <v>PremiumSS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ブレイブリー・ライオン</v>
      </c>
      <c r="I183" s="7" t="str">
        <f>VLOOKUP(B183,[1]characters!$A:$J,10,FALSE)</f>
        <v>PremiumSS</v>
      </c>
      <c r="J183" s="7">
        <f>VLOOKUP(B183,[1]characters!$A:$I,9,FALSE)</f>
        <v>4</v>
      </c>
      <c r="K183" s="7" t="str">
        <f>VLOOKUP(B183,[1]characters!$A:$H,8,FALSE)</f>
        <v>yellow</v>
      </c>
      <c r="L183" s="7" t="str">
        <f>VLOOKUP(B183,[1]characters!$A:$K,11,FALSE)</f>
        <v>hp</v>
      </c>
      <c r="M183" s="7" t="str">
        <f>VLOOKUP(B183,[1]characters!$A:$M,13,FALSE)</f>
        <v>animal</v>
      </c>
      <c r="N183" s="7" t="str">
        <f>VLOOKUP(B183,[1]characters!$A:$G,7,FALSE)</f>
        <v>不明</v>
      </c>
      <c r="O183" s="45">
        <f ca="1">IFERROR(VLOOKUP(B183,input_393100!L:R,7,FALSE),VLOOKUP(tables_393100!C183,input_393100!A:H,8,FALSE))</f>
        <v>8265</v>
      </c>
      <c r="P183" s="46">
        <f t="shared" ca="1" si="8"/>
        <v>1.5833333333333333E-3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input_393100!A$2</f>
        <v>393100</v>
      </c>
      <c r="B184" s="6">
        <v>443</v>
      </c>
      <c r="C184" s="7" t="str">
        <f t="shared" si="6"/>
        <v>PremiumSS5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勇機結集 ブレイブリー・ライオン</v>
      </c>
      <c r="I184" s="7" t="str">
        <f>VLOOKUP(B184,[1]characters!$A:$J,10,FALSE)</f>
        <v>PremiumSS</v>
      </c>
      <c r="J184" s="7">
        <f>VLOOKUP(B184,[1]characters!$A:$I,9,FALSE)</f>
        <v>5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IFERROR(VLOOKUP(B184,input_393100!L:R,7,FALSE),VLOOKUP(tables_393100!C184,input_393100!A:H,8,FALSE))</f>
        <v>435</v>
      </c>
      <c r="P184" s="46">
        <f t="shared" ca="1" si="8"/>
        <v>8.3333333333333331E-5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input_393100!A$2</f>
        <v>393100</v>
      </c>
      <c r="B185" s="8">
        <v>462</v>
      </c>
      <c r="C185" s="7" t="str">
        <f t="shared" si="6"/>
        <v>Premium3</v>
      </c>
      <c r="D185" s="7" t="str">
        <f t="shared" si="7"/>
        <v>Premium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ガウェイン</v>
      </c>
      <c r="I185" s="7" t="str">
        <f>VLOOKUP(B185,[1]characters!$A:$J,10,FALSE)</f>
        <v>PremiumS</v>
      </c>
      <c r="J185" s="7">
        <f>VLOOKUP(B185,[1]characters!$A:$I,9,FALSE)</f>
        <v>3</v>
      </c>
      <c r="K185" s="7" t="str">
        <f>VLOOKUP(B185,[1]characters!$A:$H,8,FALSE)</f>
        <v>red</v>
      </c>
      <c r="L185" s="7" t="str">
        <f>VLOOKUP(B185,[1]characters!$A:$K,11,FALSE)</f>
        <v>hp</v>
      </c>
      <c r="M185" s="7" t="str">
        <f>VLOOKUP(B185,[1]characters!$A:$M,13,FALSE)</f>
        <v>human</v>
      </c>
      <c r="N185" s="7" t="str">
        <f>VLOOKUP(B185,[1]characters!$A:$G,7,FALSE)</f>
        <v>男性</v>
      </c>
      <c r="O185" s="45">
        <f ca="1">IFERROR(VLOOKUP(B185,input_393100!L:R,7,FALSE),VLOOKUP(tables_393100!C185,input_393100!A:H,8,FALSE))</f>
        <v>0</v>
      </c>
      <c r="P185" s="46">
        <f t="shared" ca="1" si="8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input_393100!A$2</f>
        <v>393100</v>
      </c>
      <c r="B186" s="8">
        <v>463</v>
      </c>
      <c r="C186" s="7" t="str">
        <f t="shared" si="6"/>
        <v>Premium4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燻銀 ガウェイン</v>
      </c>
      <c r="I186" s="7" t="str">
        <f>VLOOKUP(B186,[1]characters!$A:$J,10,FALSE)</f>
        <v>PremiumS</v>
      </c>
      <c r="J186" s="7">
        <f>VLOOKUP(B186,[1]characters!$A:$I,9,FALSE)</f>
        <v>4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IFERROR(VLOOKUP(B186,input_393100!L:R,7,FALSE),VLOOKUP(tables_393100!C186,input_393100!A:H,8,FALSE))</f>
        <v>53751.057690000001</v>
      </c>
      <c r="P186" s="46">
        <f t="shared" ca="1" si="8"/>
        <v>1.0297137488505748E-2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input_393100!A$2</f>
        <v>393100</v>
      </c>
      <c r="B187" s="8">
        <v>464</v>
      </c>
      <c r="C187" s="7" t="str">
        <f t="shared" si="6"/>
        <v>Premium5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円熟の弾導 ガウェイン</v>
      </c>
      <c r="I187" s="7" t="str">
        <f>VLOOKUP(B187,[1]characters!$A:$J,10,FALSE)</f>
        <v>PremiumS</v>
      </c>
      <c r="J187" s="7">
        <f>VLOOKUP(B187,[1]characters!$A:$I,9,FALSE)</f>
        <v>5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IFERROR(VLOOKUP(B187,input_393100!L:R,7,FALSE),VLOOKUP(tables_393100!C187,input_393100!A:H,8,FALSE))</f>
        <v>1148.9423099999999</v>
      </c>
      <c r="P187" s="46">
        <f t="shared" ca="1" si="8"/>
        <v>2.2010389080459768E-4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input_393100!A$2</f>
        <v>393100</v>
      </c>
      <c r="B188" s="8">
        <v>465</v>
      </c>
      <c r="C188" s="7" t="str">
        <f t="shared" si="6"/>
        <v>PremiumSS4</v>
      </c>
      <c r="D188" s="7" t="str">
        <f t="shared" si="7"/>
        <v>PremiumSS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真撃 ランスロット</v>
      </c>
      <c r="I188" s="7" t="str">
        <f>VLOOKUP(B188,[1]characters!$A:$J,10,FALSE)</f>
        <v>PremiumSS</v>
      </c>
      <c r="J188" s="7">
        <f>VLOOKUP(B188,[1]characters!$A:$I,9,FALSE)</f>
        <v>4</v>
      </c>
      <c r="K188" s="7" t="str">
        <f>VLOOKUP(B188,[1]characters!$A:$H,8,FALSE)</f>
        <v>green</v>
      </c>
      <c r="L188" s="7" t="str">
        <f>VLOOKUP(B188,[1]characters!$A:$K,11,FALSE)</f>
        <v>balance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IFERROR(VLOOKUP(B188,input_393100!L:R,7,FALSE),VLOOKUP(tables_393100!C188,input_393100!A:H,8,FALSE))</f>
        <v>8265</v>
      </c>
      <c r="P188" s="46">
        <f t="shared" ca="1" si="8"/>
        <v>1.5833333333333333E-3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input_393100!A$2</f>
        <v>393100</v>
      </c>
      <c r="B189" s="6">
        <v>466</v>
      </c>
      <c r="C189" s="7" t="str">
        <f t="shared" si="6"/>
        <v>PremiumSS5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真断の勇覇 ランスロット</v>
      </c>
      <c r="I189" s="7" t="str">
        <f>VLOOKUP(B189,[1]characters!$A:$J,10,FALSE)</f>
        <v>PremiumSS</v>
      </c>
      <c r="J189" s="7">
        <f>VLOOKUP(B189,[1]characters!$A:$I,9,FALSE)</f>
        <v>5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IFERROR(VLOOKUP(B189,input_393100!L:R,7,FALSE),VLOOKUP(tables_393100!C189,input_393100!A:H,8,FALSE))</f>
        <v>435</v>
      </c>
      <c r="P189" s="46">
        <f t="shared" ca="1" si="8"/>
        <v>8.3333333333333331E-5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input_393100!A$2</f>
        <v>393100</v>
      </c>
      <c r="B190" s="6">
        <v>467</v>
      </c>
      <c r="C190" s="7" t="str">
        <f t="shared" si="6"/>
        <v>PremiumSS4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報復 モルドレッド</v>
      </c>
      <c r="I190" s="7" t="str">
        <f>VLOOKUP(B190,[1]characters!$A:$J,10,FALSE)</f>
        <v>PremiumSS</v>
      </c>
      <c r="J190" s="7">
        <f>VLOOKUP(B190,[1]characters!$A:$I,9,FALSE)</f>
        <v>4</v>
      </c>
      <c r="K190" s="7" t="str">
        <f>VLOOKUP(B190,[1]characters!$A:$H,8,FALSE)</f>
        <v>blue</v>
      </c>
      <c r="L190" s="7" t="str">
        <f>VLOOKUP(B190,[1]characters!$A:$K,11,FALSE)</f>
        <v>technical</v>
      </c>
      <c r="M190" s="7" t="str">
        <f>VLOOKUP(B190,[1]characters!$A:$M,13,FALSE)</f>
        <v>human</v>
      </c>
      <c r="N190" s="7" t="str">
        <f>VLOOKUP(B190,[1]characters!$A:$G,7,FALSE)</f>
        <v>女性</v>
      </c>
      <c r="O190" s="45">
        <f ca="1">IFERROR(VLOOKUP(B190,input_393100!L:R,7,FALSE),VLOOKUP(tables_393100!C190,input_393100!A:H,8,FALSE))</f>
        <v>8265</v>
      </c>
      <c r="P190" s="46">
        <f t="shared" ca="1" si="8"/>
        <v>1.5833333333333333E-3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input_393100!A$2</f>
        <v>393100</v>
      </c>
      <c r="B191" s="6">
        <v>468</v>
      </c>
      <c r="C191" s="7" t="str">
        <f t="shared" si="6"/>
        <v>PremiumSS5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憎愛の尖鋒 モルドレッド</v>
      </c>
      <c r="I191" s="7" t="str">
        <f>VLOOKUP(B191,[1]characters!$A:$J,10,FALSE)</f>
        <v>PremiumSS</v>
      </c>
      <c r="J191" s="7">
        <f>VLOOKUP(B191,[1]characters!$A:$I,9,FALSE)</f>
        <v>5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IFERROR(VLOOKUP(B191,input_393100!L:R,7,FALSE),VLOOKUP(tables_393100!C191,input_393100!A:H,8,FALSE))</f>
        <v>435</v>
      </c>
      <c r="P191" s="46">
        <f t="shared" ca="1" si="8"/>
        <v>8.3333333333333331E-5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input_393100!A$2</f>
        <v>393100</v>
      </c>
      <c r="B192" s="6">
        <v>469</v>
      </c>
      <c r="C192" s="7" t="str">
        <f t="shared" si="6"/>
        <v>Premium3</v>
      </c>
      <c r="D192" s="7" t="str">
        <f t="shared" si="7"/>
        <v>Premium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トリスタン</v>
      </c>
      <c r="I192" s="7" t="str">
        <f>VLOOKUP(B192,[1]characters!$A:$J,10,FALSE)</f>
        <v>PremiumS</v>
      </c>
      <c r="J192" s="7">
        <f>VLOOKUP(B192,[1]characters!$A:$I,9,FALSE)</f>
        <v>3</v>
      </c>
      <c r="K192" s="7" t="str">
        <f>VLOOKUP(B192,[1]characters!$A:$H,8,FALSE)</f>
        <v>yellow</v>
      </c>
      <c r="L192" s="7" t="str">
        <f>VLOOKUP(B192,[1]characters!$A:$K,11,FALSE)</f>
        <v>attack</v>
      </c>
      <c r="M192" s="7" t="str">
        <f>VLOOKUP(B192,[1]characters!$A:$M,13,FALSE)</f>
        <v>human</v>
      </c>
      <c r="N192" s="7" t="str">
        <f>VLOOKUP(B192,[1]characters!$A:$G,7,FALSE)</f>
        <v>男性</v>
      </c>
      <c r="O192" s="45">
        <f ca="1">IFERROR(VLOOKUP(B192,input_393100!L:R,7,FALSE),VLOOKUP(tables_393100!C192,input_393100!A:H,8,FALSE))</f>
        <v>0</v>
      </c>
      <c r="P192" s="46">
        <f t="shared" ca="1" si="8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input_393100!A$2</f>
        <v>393100</v>
      </c>
      <c r="B193" s="6">
        <v>470</v>
      </c>
      <c r="C193" s="7" t="str">
        <f t="shared" si="6"/>
        <v>Premium4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純心 トリスタン</v>
      </c>
      <c r="I193" s="7" t="str">
        <f>VLOOKUP(B193,[1]characters!$A:$J,10,FALSE)</f>
        <v>PremiumS</v>
      </c>
      <c r="J193" s="7">
        <f>VLOOKUP(B193,[1]characters!$A:$I,9,FALSE)</f>
        <v>4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IFERROR(VLOOKUP(B193,input_393100!L:R,7,FALSE),VLOOKUP(tables_393100!C193,input_393100!A:H,8,FALSE))</f>
        <v>53751.057690000001</v>
      </c>
      <c r="P193" s="46">
        <f t="shared" ca="1" si="8"/>
        <v>1.0297137488505748E-2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input_393100!A$2</f>
        <v>393100</v>
      </c>
      <c r="B194" s="6">
        <v>471</v>
      </c>
      <c r="C194" s="7" t="str">
        <f t="shared" ref="C194:C257" si="9">D194&amp;J194&amp;E194&amp;F194&amp;G194</f>
        <v>Premium5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不可避の爆激 トリスタン</v>
      </c>
      <c r="I194" s="7" t="str">
        <f>VLOOKUP(B194,[1]characters!$A:$J,10,FALSE)</f>
        <v>PremiumS</v>
      </c>
      <c r="J194" s="7">
        <f>VLOOKUP(B194,[1]characters!$A:$I,9,FALSE)</f>
        <v>5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IFERROR(VLOOKUP(B194,input_393100!L:R,7,FALSE),VLOOKUP(tables_393100!C194,input_393100!A:H,8,FALSE))</f>
        <v>1148.9423099999999</v>
      </c>
      <c r="P194" s="46">
        <f t="shared" ca="1" si="8"/>
        <v>2.2010389080459768E-4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input_393100!A$2</f>
        <v>393100</v>
      </c>
      <c r="B195" s="6">
        <v>474</v>
      </c>
      <c r="C195" s="7" t="str">
        <f t="shared" si="9"/>
        <v>PremiumSS4</v>
      </c>
      <c r="D195" s="7" t="str">
        <f t="shared" si="10"/>
        <v>PremiumSS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キング・ドライグ</v>
      </c>
      <c r="I195" s="7" t="str">
        <f>VLOOKUP(B195,[1]characters!$A:$J,10,FALSE)</f>
        <v>PremiumSS</v>
      </c>
      <c r="J195" s="7">
        <f>VLOOKUP(B195,[1]characters!$A:$I,9,FALSE)</f>
        <v>4</v>
      </c>
      <c r="K195" s="7" t="str">
        <f>VLOOKUP(B195,[1]characters!$A:$H,8,FALSE)</f>
        <v>red</v>
      </c>
      <c r="L195" s="7" t="str">
        <f>VLOOKUP(B195,[1]characters!$A:$K,11,FALSE)</f>
        <v>attack</v>
      </c>
      <c r="M195" s="7" t="str">
        <f>VLOOKUP(B195,[1]characters!$A:$M,13,FALSE)</f>
        <v>dragon</v>
      </c>
      <c r="N195" s="7" t="str">
        <f>VLOOKUP(B195,[1]characters!$A:$G,7,FALSE)</f>
        <v>不明</v>
      </c>
      <c r="O195" s="45">
        <f ca="1">IFERROR(VLOOKUP(B195,input_393100!L:R,7,FALSE),VLOOKUP(tables_393100!C195,input_393100!A:H,8,FALSE))</f>
        <v>8265</v>
      </c>
      <c r="P195" s="46">
        <f t="shared" ca="1" si="8"/>
        <v>1.5833333333333333E-3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input_393100!A$2</f>
        <v>393100</v>
      </c>
      <c r="B196" s="6">
        <v>475</v>
      </c>
      <c r="C196" s="7" t="str">
        <f t="shared" si="9"/>
        <v>PremiumSS5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緋王 キング・ドライグ</v>
      </c>
      <c r="I196" s="7" t="str">
        <f>VLOOKUP(B196,[1]characters!$A:$J,10,FALSE)</f>
        <v>PremiumSS</v>
      </c>
      <c r="J196" s="7">
        <f>VLOOKUP(B196,[1]characters!$A:$I,9,FALSE)</f>
        <v>5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IFERROR(VLOOKUP(B196,input_393100!L:R,7,FALSE),VLOOKUP(tables_393100!C196,input_393100!A:H,8,FALSE))</f>
        <v>435</v>
      </c>
      <c r="P196" s="46">
        <f t="shared" ca="1" si="8"/>
        <v>8.3333333333333331E-5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input_393100!A$2</f>
        <v>393100</v>
      </c>
      <c r="B197" s="6">
        <v>476</v>
      </c>
      <c r="C197" s="7" t="str">
        <f t="shared" si="9"/>
        <v>Premium3</v>
      </c>
      <c r="D197" s="7" t="str">
        <f t="shared" si="10"/>
        <v>Premium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ファータ</v>
      </c>
      <c r="I197" s="7" t="str">
        <f>VLOOKUP(B197,[1]characters!$A:$J,10,FALSE)</f>
        <v>PremiumS</v>
      </c>
      <c r="J197" s="7">
        <f>VLOOKUP(B197,[1]characters!$A:$I,9,FALSE)</f>
        <v>3</v>
      </c>
      <c r="K197" s="7" t="str">
        <f>VLOOKUP(B197,[1]characters!$A:$H,8,FALSE)</f>
        <v>green</v>
      </c>
      <c r="L197" s="7" t="str">
        <f>VLOOKUP(B197,[1]characters!$A:$K,11,FALSE)</f>
        <v>heal</v>
      </c>
      <c r="M197" s="7" t="str">
        <f>VLOOKUP(B197,[1]characters!$A:$M,13,FALSE)</f>
        <v>unknown</v>
      </c>
      <c r="N197" s="7" t="str">
        <f>VLOOKUP(B197,[1]characters!$A:$G,7,FALSE)</f>
        <v>女性</v>
      </c>
      <c r="O197" s="45">
        <f ca="1">IFERROR(VLOOKUP(B197,input_393100!L:R,7,FALSE),VLOOKUP(tables_393100!C197,input_393100!A:H,8,FALSE))</f>
        <v>0</v>
      </c>
      <c r="P197" s="46">
        <f t="shared" ca="1" si="8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input_393100!A$2</f>
        <v>393100</v>
      </c>
      <c r="B198" s="6">
        <v>477</v>
      </c>
      <c r="C198" s="7" t="str">
        <f t="shared" si="9"/>
        <v>Premium4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愛羽妖精 ファータ</v>
      </c>
      <c r="I198" s="7" t="str">
        <f>VLOOKUP(B198,[1]characters!$A:$J,10,FALSE)</f>
        <v>PremiumS</v>
      </c>
      <c r="J198" s="7">
        <f>VLOOKUP(B198,[1]characters!$A:$I,9,FALSE)</f>
        <v>4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IFERROR(VLOOKUP(B198,input_393100!L:R,7,FALSE),VLOOKUP(tables_393100!C198,input_393100!A:H,8,FALSE))</f>
        <v>53751.057690000001</v>
      </c>
      <c r="P198" s="46">
        <f t="shared" ca="1" si="8"/>
        <v>1.0297137488505748E-2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input_393100!A$2</f>
        <v>393100</v>
      </c>
      <c r="B199" s="6">
        <v>478</v>
      </c>
      <c r="C199" s="7" t="str">
        <f t="shared" si="9"/>
        <v>Premium5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時計仕掛けの愛羽妖精 ファータ</v>
      </c>
      <c r="I199" s="7" t="str">
        <f>VLOOKUP(B199,[1]characters!$A:$J,10,FALSE)</f>
        <v>PremiumS</v>
      </c>
      <c r="J199" s="7">
        <f>VLOOKUP(B199,[1]characters!$A:$I,9,FALSE)</f>
        <v>5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IFERROR(VLOOKUP(B199,input_393100!L:R,7,FALSE),VLOOKUP(tables_393100!C199,input_393100!A:H,8,FALSE))</f>
        <v>1148.9423099999999</v>
      </c>
      <c r="P199" s="46">
        <f t="shared" ca="1" si="8"/>
        <v>2.2010389080459768E-4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input_393100!A$2</f>
        <v>393100</v>
      </c>
      <c r="B200" s="6">
        <v>479</v>
      </c>
      <c r="C200" s="7" t="str">
        <f t="shared" si="9"/>
        <v>PremiumSS4</v>
      </c>
      <c r="D200" s="7" t="str">
        <f t="shared" si="10"/>
        <v>PremiumSS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フール</v>
      </c>
      <c r="I200" s="7" t="str">
        <f>VLOOKUP(B200,[1]characters!$A:$J,10,FALSE)</f>
        <v>PremiumSS</v>
      </c>
      <c r="J200" s="7">
        <f>VLOOKUP(B200,[1]characters!$A:$I,9,FALSE)</f>
        <v>4</v>
      </c>
      <c r="K200" s="7" t="str">
        <f>VLOOKUP(B200,[1]characters!$A:$H,8,FALSE)</f>
        <v>blue</v>
      </c>
      <c r="L200" s="7" t="str">
        <f>VLOOKUP(B200,[1]characters!$A:$K,11,FALSE)</f>
        <v>technical</v>
      </c>
      <c r="M200" s="7" t="str">
        <f>VLOOKUP(B200,[1]characters!$A:$M,13,FALSE)</f>
        <v>god</v>
      </c>
      <c r="N200" s="7" t="str">
        <f>VLOOKUP(B200,[1]characters!$A:$G,7,FALSE)</f>
        <v>男性</v>
      </c>
      <c r="O200" s="45">
        <f ca="1">IFERROR(VLOOKUP(B200,input_393100!L:R,7,FALSE),VLOOKUP(tables_393100!C200,input_393100!A:H,8,FALSE))</f>
        <v>8265</v>
      </c>
      <c r="P200" s="46">
        <f t="shared" ca="1" si="8"/>
        <v>1.5833333333333333E-3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input_393100!A$2</f>
        <v>393100</v>
      </c>
      <c r="B201" s="6">
        <v>480</v>
      </c>
      <c r="C201" s="7" t="str">
        <f t="shared" si="9"/>
        <v>PremiumSS5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夢幻の愚者フール</v>
      </c>
      <c r="I201" s="7" t="str">
        <f>VLOOKUP(B201,[1]characters!$A:$J,10,FALSE)</f>
        <v>PremiumSS</v>
      </c>
      <c r="J201" s="7">
        <f>VLOOKUP(B201,[1]characters!$A:$I,9,FALSE)</f>
        <v>5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IFERROR(VLOOKUP(B201,input_393100!L:R,7,FALSE),VLOOKUP(tables_393100!C201,input_393100!A:H,8,FALSE))</f>
        <v>435</v>
      </c>
      <c r="P201" s="46">
        <f t="shared" ca="1" si="8"/>
        <v>8.3333333333333331E-5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input_393100!A$2</f>
        <v>393100</v>
      </c>
      <c r="B202" s="6">
        <v>481</v>
      </c>
      <c r="C202" s="7" t="str">
        <f t="shared" si="9"/>
        <v>Premium3</v>
      </c>
      <c r="D202" s="7" t="str">
        <f t="shared" si="10"/>
        <v>Premium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沢庵宗彭</v>
      </c>
      <c r="I202" s="7" t="str">
        <f>VLOOKUP(B202,[1]characters!$A:$J,10,FALSE)</f>
        <v>PremiumS</v>
      </c>
      <c r="J202" s="7">
        <f>VLOOKUP(B202,[1]characters!$A:$I,9,FALSE)</f>
        <v>3</v>
      </c>
      <c r="K202" s="7" t="str">
        <f>VLOOKUP(B202,[1]characters!$A:$H,8,FALSE)</f>
        <v>yellow</v>
      </c>
      <c r="L202" s="7" t="str">
        <f>VLOOKUP(B202,[1]characters!$A:$K,11,FALSE)</f>
        <v>hp</v>
      </c>
      <c r="M202" s="7" t="str">
        <f>VLOOKUP(B202,[1]characters!$A:$M,13,FALSE)</f>
        <v>human</v>
      </c>
      <c r="N202" s="7" t="str">
        <f>VLOOKUP(B202,[1]characters!$A:$G,7,FALSE)</f>
        <v>男性</v>
      </c>
      <c r="O202" s="45">
        <f ca="1">IFERROR(VLOOKUP(B202,input_393100!L:R,7,FALSE),VLOOKUP(tables_393100!C202,input_393100!A:H,8,FALSE))</f>
        <v>0</v>
      </c>
      <c r="P202" s="46">
        <f t="shared" ca="1" si="8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input_393100!A$2</f>
        <v>393100</v>
      </c>
      <c r="B203" s="6">
        <v>482</v>
      </c>
      <c r="C203" s="7" t="str">
        <f t="shared" si="9"/>
        <v>Premium4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魁僧 沢庵宗彭</v>
      </c>
      <c r="I203" s="7" t="str">
        <f>VLOOKUP(B203,[1]characters!$A:$J,10,FALSE)</f>
        <v>PremiumS</v>
      </c>
      <c r="J203" s="7">
        <f>VLOOKUP(B203,[1]characters!$A:$I,9,FALSE)</f>
        <v>4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IFERROR(VLOOKUP(B203,input_393100!L:R,7,FALSE),VLOOKUP(tables_393100!C203,input_393100!A:H,8,FALSE))</f>
        <v>53751.057690000001</v>
      </c>
      <c r="P203" s="46">
        <f t="shared" ca="1" si="8"/>
        <v>1.0297137488505748E-2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input_393100!A$2</f>
        <v>393100</v>
      </c>
      <c r="B204" s="6">
        <v>483</v>
      </c>
      <c r="C204" s="7" t="str">
        <f t="shared" si="9"/>
        <v>Premium5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 xml:space="preserve">命経死遂 沢庵宗彭 </v>
      </c>
      <c r="I204" s="7" t="str">
        <f>VLOOKUP(B204,[1]characters!$A:$J,10,FALSE)</f>
        <v>PremiumS</v>
      </c>
      <c r="J204" s="7">
        <f>VLOOKUP(B204,[1]characters!$A:$I,9,FALSE)</f>
        <v>5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IFERROR(VLOOKUP(B204,input_393100!L:R,7,FALSE),VLOOKUP(tables_393100!C204,input_393100!A:H,8,FALSE))</f>
        <v>1148.9423099999999</v>
      </c>
      <c r="P204" s="46">
        <f t="shared" ca="1" si="8"/>
        <v>2.2010389080459768E-4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input_393100!A$2</f>
        <v>393100</v>
      </c>
      <c r="B205" s="6">
        <v>492</v>
      </c>
      <c r="C205" s="7" t="str">
        <f t="shared" si="9"/>
        <v>PremiumSS4</v>
      </c>
      <c r="D205" s="7" t="str">
        <f t="shared" si="10"/>
        <v>PremiumSS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>ブートレグ・ペロー</v>
      </c>
      <c r="I205" s="7" t="str">
        <f>VLOOKUP(B205,[1]characters!$A:$J,10,FALSE)</f>
        <v>PremiumSS</v>
      </c>
      <c r="J205" s="7">
        <f>VLOOKUP(B205,[1]characters!$A:$I,9,FALSE)</f>
        <v>4</v>
      </c>
      <c r="K205" s="7" t="str">
        <f>VLOOKUP(B205,[1]characters!$A:$H,8,FALSE)</f>
        <v>red</v>
      </c>
      <c r="L205" s="7" t="str">
        <f>VLOOKUP(B205,[1]characters!$A:$K,11,FALSE)</f>
        <v>hp</v>
      </c>
      <c r="M205" s="7" t="str">
        <f>VLOOKUP(B205,[1]characters!$A:$M,13,FALSE)</f>
        <v>animal</v>
      </c>
      <c r="N205" s="7" t="str">
        <f>VLOOKUP(B205,[1]characters!$A:$G,7,FALSE)</f>
        <v>不明</v>
      </c>
      <c r="O205" s="45">
        <f ca="1">IFERROR(VLOOKUP(B205,input_393100!L:R,7,FALSE),VLOOKUP(tables_393100!C205,input_393100!A:H,8,FALSE))</f>
        <v>8265</v>
      </c>
      <c r="P205" s="46">
        <f t="shared" ca="1" si="8"/>
        <v>1.5833333333333333E-3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input_393100!A$2</f>
        <v>393100</v>
      </c>
      <c r="B206" s="6">
        <v>493</v>
      </c>
      <c r="C206" s="7" t="str">
        <f t="shared" si="9"/>
        <v>PremiumSS5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跋扈の機脚 ブートレグ・ペロー</v>
      </c>
      <c r="I206" s="7" t="str">
        <f>VLOOKUP(B206,[1]characters!$A:$J,10,FALSE)</f>
        <v>PremiumSS</v>
      </c>
      <c r="J206" s="7">
        <f>VLOOKUP(B206,[1]characters!$A:$I,9,FALSE)</f>
        <v>5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IFERROR(VLOOKUP(B206,input_393100!L:R,7,FALSE),VLOOKUP(tables_393100!C206,input_393100!A:H,8,FALSE))</f>
        <v>435</v>
      </c>
      <c r="P206" s="46">
        <f t="shared" ca="1" si="8"/>
        <v>8.3333333333333331E-5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input_393100!A$2</f>
        <v>393100</v>
      </c>
      <c r="B207" s="6">
        <v>494</v>
      </c>
      <c r="C207" s="7" t="str">
        <f t="shared" si="9"/>
        <v>PremiumSS4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ハーメルン</v>
      </c>
      <c r="I207" s="7" t="str">
        <f>VLOOKUP(B207,[1]characters!$A:$J,10,FALSE)</f>
        <v>PremiumSS</v>
      </c>
      <c r="J207" s="7">
        <f>VLOOKUP(B207,[1]characters!$A:$I,9,FALSE)</f>
        <v>4</v>
      </c>
      <c r="K207" s="7" t="str">
        <f>VLOOKUP(B207,[1]characters!$A:$H,8,FALSE)</f>
        <v>green</v>
      </c>
      <c r="L207" s="7" t="str">
        <f>VLOOKUP(B207,[1]characters!$A:$K,11,FALSE)</f>
        <v>technical</v>
      </c>
      <c r="M207" s="7" t="str">
        <f>VLOOKUP(B207,[1]characters!$A:$M,13,FALSE)</f>
        <v>human</v>
      </c>
      <c r="N207" s="7" t="str">
        <f>VLOOKUP(B207,[1]characters!$A:$G,7,FALSE)</f>
        <v>男性</v>
      </c>
      <c r="O207" s="45">
        <f ca="1">IFERROR(VLOOKUP(B207,input_393100!L:R,7,FALSE),VLOOKUP(tables_393100!C207,input_393100!A:H,8,FALSE))</f>
        <v>8265</v>
      </c>
      <c r="P207" s="46">
        <f t="shared" ref="P207:P270" ca="1" si="11">O207/SUM(O:O)</f>
        <v>1.5833333333333333E-3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input_393100!A$2</f>
        <v>393100</v>
      </c>
      <c r="B208" s="6">
        <v>495</v>
      </c>
      <c r="C208" s="7" t="str">
        <f t="shared" si="9"/>
        <v>PremiumSS5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鼠災呼ぶ笛音 ハーメルン</v>
      </c>
      <c r="I208" s="7" t="str">
        <f>VLOOKUP(B208,[1]characters!$A:$J,10,FALSE)</f>
        <v>PremiumSS</v>
      </c>
      <c r="J208" s="7">
        <f>VLOOKUP(B208,[1]characters!$A:$I,9,FALSE)</f>
        <v>5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IFERROR(VLOOKUP(B208,input_393100!L:R,7,FALSE),VLOOKUP(tables_393100!C208,input_393100!A:H,8,FALSE))</f>
        <v>435</v>
      </c>
      <c r="P208" s="46">
        <f t="shared" ca="1" si="11"/>
        <v>8.3333333333333331E-5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input_393100!A$2</f>
        <v>393100</v>
      </c>
      <c r="B209" s="6">
        <v>496</v>
      </c>
      <c r="C209" s="7" t="str">
        <f t="shared" si="9"/>
        <v>Premium3</v>
      </c>
      <c r="D209" s="7" t="str">
        <f t="shared" si="10"/>
        <v>Premium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エスタブ</v>
      </c>
      <c r="I209" s="7" t="str">
        <f>VLOOKUP(B209,[1]characters!$A:$J,10,FALSE)</f>
        <v>PremiumS</v>
      </c>
      <c r="J209" s="7">
        <f>VLOOKUP(B209,[1]characters!$A:$I,9,FALSE)</f>
        <v>3</v>
      </c>
      <c r="K209" s="7" t="str">
        <f>VLOOKUP(B209,[1]characters!$A:$H,8,FALSE)</f>
        <v>blue</v>
      </c>
      <c r="L209" s="7" t="str">
        <f>VLOOKUP(B209,[1]characters!$A:$K,11,FALSE)</f>
        <v>attack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IFERROR(VLOOKUP(B209,input_393100!L:R,7,FALSE),VLOOKUP(tables_393100!C209,input_393100!A:H,8,FALSE))</f>
        <v>0</v>
      </c>
      <c r="P209" s="46">
        <f t="shared" ca="1" si="11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input_393100!A$2</f>
        <v>393100</v>
      </c>
      <c r="B210" s="6">
        <v>497</v>
      </c>
      <c r="C210" s="7" t="str">
        <f t="shared" si="9"/>
        <v>Premium4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偏愛の野獣 エスタブ</v>
      </c>
      <c r="I210" s="7" t="str">
        <f>VLOOKUP(B210,[1]characters!$A:$J,10,FALSE)</f>
        <v>PremiumS</v>
      </c>
      <c r="J210" s="7">
        <f>VLOOKUP(B210,[1]characters!$A:$I,9,FALSE)</f>
        <v>4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IFERROR(VLOOKUP(B210,input_393100!L:R,7,FALSE),VLOOKUP(tables_393100!C210,input_393100!A:H,8,FALSE))</f>
        <v>53751.057690000001</v>
      </c>
      <c r="P210" s="46">
        <f t="shared" ca="1" si="11"/>
        <v>1.0297137488505748E-2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input_393100!A$2</f>
        <v>393100</v>
      </c>
      <c r="B211" s="6">
        <v>498</v>
      </c>
      <c r="C211" s="7" t="str">
        <f t="shared" si="9"/>
        <v>Premium5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自愛の高魔 エスタブ</v>
      </c>
      <c r="I211" s="7" t="str">
        <f>VLOOKUP(B211,[1]characters!$A:$J,10,FALSE)</f>
        <v>PremiumS</v>
      </c>
      <c r="J211" s="7">
        <f>VLOOKUP(B211,[1]characters!$A:$I,9,FALSE)</f>
        <v>5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IFERROR(VLOOKUP(B211,input_393100!L:R,7,FALSE),VLOOKUP(tables_393100!C211,input_393100!A:H,8,FALSE))</f>
        <v>1148.9423099999999</v>
      </c>
      <c r="P211" s="46">
        <f t="shared" ca="1" si="11"/>
        <v>2.2010389080459768E-4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input_393100!A$2</f>
        <v>393100</v>
      </c>
      <c r="B212" s="6">
        <v>499</v>
      </c>
      <c r="C212" s="7" t="str">
        <f t="shared" si="9"/>
        <v>PremiumSS4</v>
      </c>
      <c r="D212" s="7" t="str">
        <f t="shared" si="10"/>
        <v>PremiumSS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ラプンツェル</v>
      </c>
      <c r="I212" s="7" t="str">
        <f>VLOOKUP(B212,[1]characters!$A:$J,10,FALSE)</f>
        <v>PremiumSS</v>
      </c>
      <c r="J212" s="7">
        <f>VLOOKUP(B212,[1]characters!$A:$I,9,FALSE)</f>
        <v>4</v>
      </c>
      <c r="K212" s="7" t="str">
        <f>VLOOKUP(B212,[1]characters!$A:$H,8,FALSE)</f>
        <v>yellow</v>
      </c>
      <c r="L212" s="7" t="str">
        <f>VLOOKUP(B212,[1]characters!$A:$K,11,FALSE)</f>
        <v>balance</v>
      </c>
      <c r="M212" s="7" t="str">
        <f>VLOOKUP(B212,[1]characters!$A:$M,13,FALSE)</f>
        <v>human</v>
      </c>
      <c r="N212" s="7" t="str">
        <f>VLOOKUP(B212,[1]characters!$A:$G,7,FALSE)</f>
        <v>女性</v>
      </c>
      <c r="O212" s="45">
        <f ca="1">IFERROR(VLOOKUP(B212,input_393100!L:R,7,FALSE),VLOOKUP(tables_393100!C212,input_393100!A:H,8,FALSE))</f>
        <v>8265</v>
      </c>
      <c r="P212" s="46">
        <f t="shared" ca="1" si="11"/>
        <v>1.5833333333333333E-3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input_393100!A$2</f>
        <v>393100</v>
      </c>
      <c r="B213" s="6">
        <v>500</v>
      </c>
      <c r="C213" s="7" t="str">
        <f t="shared" si="9"/>
        <v>PremiumSS5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脈動の禁髪 ラプンツェル</v>
      </c>
      <c r="I213" s="7" t="str">
        <f>VLOOKUP(B213,[1]characters!$A:$J,10,FALSE)</f>
        <v>PremiumSS</v>
      </c>
      <c r="J213" s="7">
        <f>VLOOKUP(B213,[1]characters!$A:$I,9,FALSE)</f>
        <v>5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IFERROR(VLOOKUP(B213,input_393100!L:R,7,FALSE),VLOOKUP(tables_393100!C213,input_393100!A:H,8,FALSE))</f>
        <v>435</v>
      </c>
      <c r="P213" s="46">
        <f t="shared" ca="1" si="11"/>
        <v>8.3333333333333331E-5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input_393100!A$2</f>
        <v>393100</v>
      </c>
      <c r="B214" s="6">
        <v>586</v>
      </c>
      <c r="C214" s="7" t="str">
        <f t="shared" si="9"/>
        <v>PremiumSS4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ユミル</v>
      </c>
      <c r="I214" s="7" t="str">
        <f>VLOOKUP(B214,[1]characters!$A:$J,10,FALSE)</f>
        <v>PremiumSS</v>
      </c>
      <c r="J214" s="7">
        <f>VLOOKUP(B214,[1]characters!$A:$I,9,FALSE)</f>
        <v>4</v>
      </c>
      <c r="K214" s="7" t="str">
        <f>VLOOKUP(B214,[1]characters!$A:$H,8,FALSE)</f>
        <v>red</v>
      </c>
      <c r="L214" s="7" t="str">
        <f>VLOOKUP(B214,[1]characters!$A:$K,11,FALSE)</f>
        <v>hp</v>
      </c>
      <c r="M214" s="7" t="str">
        <f>VLOOKUP(B214,[1]characters!$A:$M,13,FALSE)</f>
        <v>machine</v>
      </c>
      <c r="N214" s="7" t="str">
        <f>VLOOKUP(B214,[1]characters!$A:$G,7,FALSE)</f>
        <v>不明</v>
      </c>
      <c r="O214" s="45">
        <f ca="1">IFERROR(VLOOKUP(B214,input_393100!L:R,7,FALSE),VLOOKUP(tables_393100!C214,input_393100!A:H,8,FALSE))</f>
        <v>8265</v>
      </c>
      <c r="P214" s="46">
        <f t="shared" ca="1" si="11"/>
        <v>1.5833333333333333E-3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input_393100!A$2</f>
        <v>393100</v>
      </c>
      <c r="B215" s="6">
        <v>587</v>
      </c>
      <c r="C215" s="7" t="str">
        <f t="shared" si="9"/>
        <v>PremiumSS5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原初の煉鋼巨刃 ユミル</v>
      </c>
      <c r="I215" s="7" t="str">
        <f>VLOOKUP(B215,[1]characters!$A:$J,10,FALSE)</f>
        <v>PremiumSS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IFERROR(VLOOKUP(B215,input_393100!L:R,7,FALSE),VLOOKUP(tables_393100!C215,input_393100!A:H,8,FALSE))</f>
        <v>435</v>
      </c>
      <c r="P215" s="46">
        <f t="shared" ca="1" si="11"/>
        <v>8.3333333333333331E-5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input_393100!A$2</f>
        <v>393100</v>
      </c>
      <c r="B216" s="6">
        <v>588</v>
      </c>
      <c r="C216" s="7" t="str">
        <f t="shared" si="9"/>
        <v>Premium3</v>
      </c>
      <c r="D216" s="7" t="str">
        <f t="shared" si="10"/>
        <v>Premium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ニーベルゲン</v>
      </c>
      <c r="I216" s="7" t="str">
        <f>VLOOKUP(B216,[1]characters!$A:$J,10,FALSE)</f>
        <v>PremiumS</v>
      </c>
      <c r="J216" s="7">
        <f>VLOOKUP(B216,[1]characters!$A:$I,9,FALSE)</f>
        <v>3</v>
      </c>
      <c r="K216" s="7" t="str">
        <f>VLOOKUP(B216,[1]characters!$A:$H,8,FALSE)</f>
        <v>green</v>
      </c>
      <c r="L216" s="7" t="str">
        <f>VLOOKUP(B216,[1]characters!$A:$K,11,FALSE)</f>
        <v>balance</v>
      </c>
      <c r="M216" s="7" t="str">
        <f>VLOOKUP(B216,[1]characters!$A:$M,13,FALSE)</f>
        <v>unknown</v>
      </c>
      <c r="N216" s="7" t="str">
        <f>VLOOKUP(B216,[1]characters!$A:$G,7,FALSE)</f>
        <v>女性</v>
      </c>
      <c r="O216" s="45">
        <f ca="1">IFERROR(VLOOKUP(B216,input_393100!L:R,7,FALSE),VLOOKUP(tables_393100!C216,input_393100!A:H,8,FALSE))</f>
        <v>0</v>
      </c>
      <c r="P216" s="46">
        <f t="shared" ca="1" si="11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input_393100!A$2</f>
        <v>393100</v>
      </c>
      <c r="B217" s="6">
        <v>589</v>
      </c>
      <c r="C217" s="7" t="str">
        <f t="shared" si="9"/>
        <v>Premium4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不幸の円環 ニーベルゲン</v>
      </c>
      <c r="I217" s="7" t="str">
        <f>VLOOKUP(B217,[1]characters!$A:$J,10,FALSE)</f>
        <v>PremiumS</v>
      </c>
      <c r="J217" s="7">
        <f>VLOOKUP(B217,[1]characters!$A:$I,9,FALSE)</f>
        <v>4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IFERROR(VLOOKUP(B217,input_393100!L:R,7,FALSE),VLOOKUP(tables_393100!C217,input_393100!A:H,8,FALSE))</f>
        <v>53751.057690000001</v>
      </c>
      <c r="P217" s="46">
        <f t="shared" ca="1" si="11"/>
        <v>1.0297137488505748E-2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input_393100!A$2</f>
        <v>393100</v>
      </c>
      <c r="B218" s="6">
        <v>590</v>
      </c>
      <c r="C218" s="7" t="str">
        <f t="shared" si="9"/>
        <v>Premium5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永遠を廻る呪い ニーベルゲン</v>
      </c>
      <c r="I218" s="7" t="str">
        <f>VLOOKUP(B218,[1]characters!$A:$J,10,FALSE)</f>
        <v>PremiumS</v>
      </c>
      <c r="J218" s="7">
        <f>VLOOKUP(B218,[1]characters!$A:$I,9,FALSE)</f>
        <v>5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IFERROR(VLOOKUP(B218,input_393100!L:R,7,FALSE),VLOOKUP(tables_393100!C218,input_393100!A:H,8,FALSE))</f>
        <v>1148.9423099999999</v>
      </c>
      <c r="P218" s="46">
        <f t="shared" ca="1" si="11"/>
        <v>2.2010389080459768E-4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input_393100!A$2</f>
        <v>393100</v>
      </c>
      <c r="B219" s="6">
        <v>591</v>
      </c>
      <c r="C219" s="7" t="str">
        <f t="shared" si="9"/>
        <v>Premium3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ファフニール</v>
      </c>
      <c r="I219" s="7" t="str">
        <f>VLOOKUP(B219,[1]characters!$A:$J,10,FALSE)</f>
        <v>PremiumS</v>
      </c>
      <c r="J219" s="7">
        <f>VLOOKUP(B219,[1]characters!$A:$I,9,FALSE)</f>
        <v>3</v>
      </c>
      <c r="K219" s="7" t="str">
        <f>VLOOKUP(B219,[1]characters!$A:$H,8,FALSE)</f>
        <v>blue</v>
      </c>
      <c r="L219" s="7" t="str">
        <f>VLOOKUP(B219,[1]characters!$A:$K,11,FALSE)</f>
        <v>technical</v>
      </c>
      <c r="M219" s="7" t="str">
        <f>VLOOKUP(B219,[1]characters!$A:$M,13,FALSE)</f>
        <v>dragon</v>
      </c>
      <c r="N219" s="7" t="str">
        <f>VLOOKUP(B219,[1]characters!$A:$G,7,FALSE)</f>
        <v>不明</v>
      </c>
      <c r="O219" s="45">
        <f ca="1">IFERROR(VLOOKUP(B219,input_393100!L:R,7,FALSE),VLOOKUP(tables_393100!C219,input_393100!A:H,8,FALSE))</f>
        <v>0</v>
      </c>
      <c r="P219" s="46">
        <f t="shared" ca="1" si="11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input_393100!A$2</f>
        <v>393100</v>
      </c>
      <c r="B220" s="6">
        <v>592</v>
      </c>
      <c r="C220" s="7" t="str">
        <f t="shared" si="9"/>
        <v>Premium4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財宝への執着 ファフニール</v>
      </c>
      <c r="I220" s="7" t="str">
        <f>VLOOKUP(B220,[1]characters!$A:$J,10,FALSE)</f>
        <v>PremiumS</v>
      </c>
      <c r="J220" s="7">
        <f>VLOOKUP(B220,[1]characters!$A:$I,9,FALSE)</f>
        <v>4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IFERROR(VLOOKUP(B220,input_393100!L:R,7,FALSE),VLOOKUP(tables_393100!C220,input_393100!A:H,8,FALSE))</f>
        <v>53751.057690000001</v>
      </c>
      <c r="P220" s="46">
        <f t="shared" ca="1" si="11"/>
        <v>1.0297137488505748E-2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input_393100!A$2</f>
        <v>393100</v>
      </c>
      <c r="B221" s="6">
        <v>593</v>
      </c>
      <c r="C221" s="7" t="str">
        <f t="shared" si="9"/>
        <v>Premium5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妄執する邪毒龍 ファフニール</v>
      </c>
      <c r="I221" s="7" t="str">
        <f>VLOOKUP(B221,[1]characters!$A:$J,10,FALSE)</f>
        <v>PremiumS</v>
      </c>
      <c r="J221" s="7">
        <f>VLOOKUP(B221,[1]characters!$A:$I,9,FALSE)</f>
        <v>5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IFERROR(VLOOKUP(B221,input_393100!L:R,7,FALSE),VLOOKUP(tables_393100!C221,input_393100!A:H,8,FALSE))</f>
        <v>1148.9423099999999</v>
      </c>
      <c r="P221" s="46">
        <f t="shared" ca="1" si="11"/>
        <v>2.2010389080459768E-4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input_393100!A$2</f>
        <v>393100</v>
      </c>
      <c r="B222" s="6">
        <v>594</v>
      </c>
      <c r="C222" s="7" t="str">
        <f t="shared" si="9"/>
        <v>PremiumSS4</v>
      </c>
      <c r="D222" s="7" t="str">
        <f t="shared" si="10"/>
        <v>PremiumSS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アルフヘイム</v>
      </c>
      <c r="I222" s="7" t="str">
        <f>VLOOKUP(B222,[1]characters!$A:$J,10,FALSE)</f>
        <v>PremiumSS</v>
      </c>
      <c r="J222" s="7">
        <f>VLOOKUP(B222,[1]characters!$A:$I,9,FALSE)</f>
        <v>4</v>
      </c>
      <c r="K222" s="7" t="str">
        <f>VLOOKUP(B222,[1]characters!$A:$H,8,FALSE)</f>
        <v>yellow</v>
      </c>
      <c r="L222" s="7" t="str">
        <f>VLOOKUP(B222,[1]characters!$A:$K,11,FALSE)</f>
        <v>attack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IFERROR(VLOOKUP(B222,input_393100!L:R,7,FALSE),VLOOKUP(tables_393100!C222,input_393100!A:H,8,FALSE))</f>
        <v>8265</v>
      </c>
      <c r="P222" s="46">
        <f t="shared" ca="1" si="11"/>
        <v>1.5833333333333333E-3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input_393100!A$2</f>
        <v>393100</v>
      </c>
      <c r="B223" s="6">
        <v>595</v>
      </c>
      <c r="C223" s="7" t="str">
        <f t="shared" si="9"/>
        <v>PremiumSS5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光華なる神域 アルフヘイム</v>
      </c>
      <c r="I223" s="7" t="str">
        <f>VLOOKUP(B223,[1]characters!$A:$J,10,FALSE)</f>
        <v>PremiumSS</v>
      </c>
      <c r="J223" s="7">
        <f>VLOOKUP(B223,[1]characters!$A:$I,9,FALSE)</f>
        <v>5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IFERROR(VLOOKUP(B223,input_393100!L:R,7,FALSE),VLOOKUP(tables_393100!C223,input_393100!A:H,8,FALSE))</f>
        <v>435</v>
      </c>
      <c r="P223" s="46">
        <f t="shared" ca="1" si="11"/>
        <v>8.3333333333333331E-5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input_393100!A$2</f>
        <v>393100</v>
      </c>
      <c r="B224" s="6">
        <v>596</v>
      </c>
      <c r="C224" s="7" t="str">
        <f t="shared" si="9"/>
        <v>Premium3</v>
      </c>
      <c r="D224" s="7" t="str">
        <f t="shared" si="10"/>
        <v>Premium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ムスペルヘイム</v>
      </c>
      <c r="I224" s="7" t="str">
        <f>VLOOKUP(B224,[1]characters!$A:$J,10,FALSE)</f>
        <v>PremiumS</v>
      </c>
      <c r="J224" s="7">
        <f>VLOOKUP(B224,[1]characters!$A:$I,9,FALSE)</f>
        <v>3</v>
      </c>
      <c r="K224" s="7" t="str">
        <f>VLOOKUP(B224,[1]characters!$A:$H,8,FALSE)</f>
        <v>red</v>
      </c>
      <c r="L224" s="7" t="str">
        <f>VLOOKUP(B224,[1]characters!$A:$K,11,FALSE)</f>
        <v>balance</v>
      </c>
      <c r="M224" s="7" t="str">
        <f>VLOOKUP(B224,[1]characters!$A:$M,13,FALSE)</f>
        <v>human</v>
      </c>
      <c r="N224" s="7" t="str">
        <f>VLOOKUP(B224,[1]characters!$A:$G,7,FALSE)</f>
        <v>男性</v>
      </c>
      <c r="O224" s="45">
        <f ca="1">IFERROR(VLOOKUP(B224,input_393100!L:R,7,FALSE),VLOOKUP(tables_393100!C224,input_393100!A:H,8,FALSE))</f>
        <v>0</v>
      </c>
      <c r="P224" s="46">
        <f t="shared" ca="1" si="11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input_393100!A$2</f>
        <v>393100</v>
      </c>
      <c r="B225" s="6">
        <v>597</v>
      </c>
      <c r="C225" s="7" t="str">
        <f t="shared" si="9"/>
        <v>Premium4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灼熱の魂 ムスペルヘイム</v>
      </c>
      <c r="I225" s="7" t="str">
        <f>VLOOKUP(B225,[1]characters!$A:$J,10,FALSE)</f>
        <v>PremiumS</v>
      </c>
      <c r="J225" s="7">
        <f>VLOOKUP(B225,[1]characters!$A:$I,9,FALSE)</f>
        <v>4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IFERROR(VLOOKUP(B225,input_393100!L:R,7,FALSE),VLOOKUP(tables_393100!C225,input_393100!A:H,8,FALSE))</f>
        <v>53751.057690000001</v>
      </c>
      <c r="P225" s="46">
        <f t="shared" ca="1" si="11"/>
        <v>1.0297137488505748E-2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input_393100!A$2</f>
        <v>393100</v>
      </c>
      <c r="B226" s="6">
        <v>598</v>
      </c>
      <c r="C226" s="7" t="str">
        <f t="shared" si="9"/>
        <v>Premium5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焼燃の情熱 ムスペルヘイム</v>
      </c>
      <c r="I226" s="7" t="str">
        <f>VLOOKUP(B226,[1]characters!$A:$J,10,FALSE)</f>
        <v>PremiumS</v>
      </c>
      <c r="J226" s="7">
        <f>VLOOKUP(B226,[1]characters!$A:$I,9,FALSE)</f>
        <v>5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IFERROR(VLOOKUP(B226,input_393100!L:R,7,FALSE),VLOOKUP(tables_393100!C226,input_393100!A:H,8,FALSE))</f>
        <v>1148.9423099999999</v>
      </c>
      <c r="P226" s="46">
        <f t="shared" ca="1" si="11"/>
        <v>2.2010389080459768E-4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input_393100!A$2</f>
        <v>393100</v>
      </c>
      <c r="B227" s="6">
        <v>599</v>
      </c>
      <c r="C227" s="7" t="str">
        <f t="shared" si="9"/>
        <v>Premium3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ニーズヘッグ</v>
      </c>
      <c r="I227" s="7" t="str">
        <f>VLOOKUP(B227,[1]characters!$A:$J,10,FALSE)</f>
        <v>PremiumS</v>
      </c>
      <c r="J227" s="7">
        <f>VLOOKUP(B227,[1]characters!$A:$I,9,FALSE)</f>
        <v>3</v>
      </c>
      <c r="K227" s="7" t="str">
        <f>VLOOKUP(B227,[1]characters!$A:$H,8,FALSE)</f>
        <v>green</v>
      </c>
      <c r="L227" s="7" t="str">
        <f>VLOOKUP(B227,[1]characters!$A:$K,11,FALSE)</f>
        <v>attack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IFERROR(VLOOKUP(B227,input_393100!L:R,7,FALSE),VLOOKUP(tables_393100!C227,input_393100!A:H,8,FALSE))</f>
        <v>0</v>
      </c>
      <c r="P227" s="46">
        <f t="shared" ca="1" si="11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input_393100!A$2</f>
        <v>393100</v>
      </c>
      <c r="B228" s="6">
        <v>600</v>
      </c>
      <c r="C228" s="7" t="str">
        <f t="shared" si="9"/>
        <v>Premium4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界下に潜む蛇 ニーズヘッグ</v>
      </c>
      <c r="I228" s="7" t="str">
        <f>VLOOKUP(B228,[1]characters!$A:$J,10,FALSE)</f>
        <v>PremiumS</v>
      </c>
      <c r="J228" s="7">
        <f>VLOOKUP(B228,[1]characters!$A:$I,9,FALSE)</f>
        <v>4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IFERROR(VLOOKUP(B228,input_393100!L:R,7,FALSE),VLOOKUP(tables_393100!C228,input_393100!A:H,8,FALSE))</f>
        <v>53751.057690000001</v>
      </c>
      <c r="P228" s="46">
        <f t="shared" ca="1" si="11"/>
        <v>1.0297137488505748E-2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input_393100!A$2</f>
        <v>393100</v>
      </c>
      <c r="B229" s="6">
        <v>601</v>
      </c>
      <c r="C229" s="7" t="str">
        <f t="shared" si="9"/>
        <v>Premium5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界根蝕む悪食 ニーズヘッグ</v>
      </c>
      <c r="I229" s="7" t="str">
        <f>VLOOKUP(B229,[1]characters!$A:$J,10,FALSE)</f>
        <v>PremiumS</v>
      </c>
      <c r="J229" s="7">
        <f>VLOOKUP(B229,[1]characters!$A:$I,9,FALSE)</f>
        <v>5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IFERROR(VLOOKUP(B229,input_393100!L:R,7,FALSE),VLOOKUP(tables_393100!C229,input_393100!A:H,8,FALSE))</f>
        <v>1148.9423099999999</v>
      </c>
      <c r="P229" s="46">
        <f t="shared" ca="1" si="11"/>
        <v>2.2010389080459768E-4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input_393100!A$2</f>
        <v>393100</v>
      </c>
      <c r="B230" s="6">
        <v>602</v>
      </c>
      <c r="C230" s="7" t="str">
        <f t="shared" si="9"/>
        <v>PremiumSS4</v>
      </c>
      <c r="D230" s="7" t="str">
        <f t="shared" si="10"/>
        <v>PremiumSS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フレイヤ</v>
      </c>
      <c r="I230" s="7" t="str">
        <f>VLOOKUP(B230,[1]characters!$A:$J,10,FALSE)</f>
        <v>PremiumSS</v>
      </c>
      <c r="J230" s="7">
        <f>VLOOKUP(B230,[1]characters!$A:$I,9,FALSE)</f>
        <v>4</v>
      </c>
      <c r="K230" s="7" t="str">
        <f>VLOOKUP(B230,[1]characters!$A:$H,8,FALSE)</f>
        <v>blue</v>
      </c>
      <c r="L230" s="7" t="str">
        <f>VLOOKUP(B230,[1]characters!$A:$K,11,FALSE)</f>
        <v>heal</v>
      </c>
      <c r="M230" s="7" t="str">
        <f>VLOOKUP(B230,[1]characters!$A:$M,13,FALSE)</f>
        <v>animal</v>
      </c>
      <c r="N230" s="7" t="str">
        <f>VLOOKUP(B230,[1]characters!$A:$G,7,FALSE)</f>
        <v>女性</v>
      </c>
      <c r="O230" s="45">
        <f ca="1">IFERROR(VLOOKUP(B230,input_393100!L:R,7,FALSE),VLOOKUP(tables_393100!C230,input_393100!A:H,8,FALSE))</f>
        <v>8265</v>
      </c>
      <c r="P230" s="46">
        <f t="shared" ca="1" si="11"/>
        <v>1.5833333333333333E-3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input_393100!A$2</f>
        <v>393100</v>
      </c>
      <c r="B231" s="6">
        <v>603</v>
      </c>
      <c r="C231" s="7" t="str">
        <f t="shared" si="9"/>
        <v>PremiumSS5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掌愛の豊穣女神 フレイヤ</v>
      </c>
      <c r="I231" s="7" t="str">
        <f>VLOOKUP(B231,[1]characters!$A:$J,10,FALSE)</f>
        <v>PremiumSS</v>
      </c>
      <c r="J231" s="7">
        <f>VLOOKUP(B231,[1]characters!$A:$I,9,FALSE)</f>
        <v>5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IFERROR(VLOOKUP(B231,input_393100!L:R,7,FALSE),VLOOKUP(tables_393100!C231,input_393100!A:H,8,FALSE))</f>
        <v>435</v>
      </c>
      <c r="P231" s="46">
        <f t="shared" ca="1" si="11"/>
        <v>8.3333333333333331E-5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input_393100!A$2</f>
        <v>393100</v>
      </c>
      <c r="B232" s="6">
        <v>604</v>
      </c>
      <c r="C232" s="7" t="str">
        <f t="shared" si="9"/>
        <v>Premium3</v>
      </c>
      <c r="D232" s="7" t="str">
        <f t="shared" si="10"/>
        <v>Premium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バルドル</v>
      </c>
      <c r="I232" s="7" t="str">
        <f>VLOOKUP(B232,[1]characters!$A:$J,10,FALSE)</f>
        <v>PremiumS</v>
      </c>
      <c r="J232" s="7">
        <f>VLOOKUP(B232,[1]characters!$A:$I,9,FALSE)</f>
        <v>3</v>
      </c>
      <c r="K232" s="7" t="str">
        <f>VLOOKUP(B232,[1]characters!$A:$H,8,FALSE)</f>
        <v>yellow</v>
      </c>
      <c r="L232" s="7" t="str">
        <f>VLOOKUP(B232,[1]characters!$A:$K,11,FALSE)</f>
        <v>heal</v>
      </c>
      <c r="M232" s="7" t="str">
        <f>VLOOKUP(B232,[1]characters!$A:$M,13,FALSE)</f>
        <v>god</v>
      </c>
      <c r="N232" s="7" t="str">
        <f>VLOOKUP(B232,[1]characters!$A:$G,7,FALSE)</f>
        <v>男性</v>
      </c>
      <c r="O232" s="45">
        <f ca="1">IFERROR(VLOOKUP(B232,input_393100!L:R,7,FALSE),VLOOKUP(tables_393100!C232,input_393100!A:H,8,FALSE))</f>
        <v>0</v>
      </c>
      <c r="P232" s="46">
        <f t="shared" ca="1" si="11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input_393100!A$2</f>
        <v>393100</v>
      </c>
      <c r="B233" s="6">
        <v>605</v>
      </c>
      <c r="C233" s="7" t="str">
        <f t="shared" si="9"/>
        <v>Premium4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祝福される光耀 バルドル</v>
      </c>
      <c r="I233" s="7" t="str">
        <f>VLOOKUP(B233,[1]characters!$A:$J,10,FALSE)</f>
        <v>PremiumS</v>
      </c>
      <c r="J233" s="7">
        <f>VLOOKUP(B233,[1]characters!$A:$I,9,FALSE)</f>
        <v>4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IFERROR(VLOOKUP(B233,input_393100!L:R,7,FALSE),VLOOKUP(tables_393100!C233,input_393100!A:H,8,FALSE))</f>
        <v>53751.057690000001</v>
      </c>
      <c r="P233" s="46">
        <f t="shared" ca="1" si="11"/>
        <v>1.0297137488505748E-2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input_393100!A$2</f>
        <v>393100</v>
      </c>
      <c r="B234" s="6">
        <v>606</v>
      </c>
      <c r="C234" s="7" t="str">
        <f t="shared" si="9"/>
        <v>Premium5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冀望の光芒 バルドル</v>
      </c>
      <c r="I234" s="7" t="str">
        <f>VLOOKUP(B234,[1]characters!$A:$J,10,FALSE)</f>
        <v>PremiumS</v>
      </c>
      <c r="J234" s="7">
        <f>VLOOKUP(B234,[1]characters!$A:$I,9,FALSE)</f>
        <v>5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IFERROR(VLOOKUP(B234,input_393100!L:R,7,FALSE),VLOOKUP(tables_393100!C234,input_393100!A:H,8,FALSE))</f>
        <v>1148.9423099999999</v>
      </c>
      <c r="P234" s="46">
        <f t="shared" ca="1" si="11"/>
        <v>2.2010389080459768E-4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input_393100!A$2</f>
        <v>393100</v>
      </c>
      <c r="B235" s="6">
        <v>658</v>
      </c>
      <c r="C235" s="7" t="str">
        <f t="shared" si="9"/>
        <v>PremiumSS4</v>
      </c>
      <c r="D235" s="7" t="str">
        <f t="shared" si="10"/>
        <v>PremiumSS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猫又 クルミ</v>
      </c>
      <c r="I235" s="7" t="str">
        <f>VLOOKUP(B235,[1]characters!$A:$J,10,FALSE)</f>
        <v>PremiumSS</v>
      </c>
      <c r="J235" s="7">
        <f>VLOOKUP(B235,[1]characters!$A:$I,9,FALSE)</f>
        <v>4</v>
      </c>
      <c r="K235" s="7" t="str">
        <f>VLOOKUP(B235,[1]characters!$A:$H,8,FALSE)</f>
        <v>red</v>
      </c>
      <c r="L235" s="7" t="str">
        <f>VLOOKUP(B235,[1]characters!$A:$K,11,FALSE)</f>
        <v>attack</v>
      </c>
      <c r="M235" s="7" t="str">
        <f>VLOOKUP(B235,[1]characters!$A:$M,13,FALSE)</f>
        <v>animal</v>
      </c>
      <c r="N235" s="7" t="str">
        <f>VLOOKUP(B235,[1]characters!$A:$G,7,FALSE)</f>
        <v>女性</v>
      </c>
      <c r="O235" s="45">
        <f ca="1">IFERROR(VLOOKUP(B235,input_393100!L:R,7,FALSE),VLOOKUP(tables_393100!C235,input_393100!A:H,8,FALSE))</f>
        <v>8265</v>
      </c>
      <c r="P235" s="46">
        <f t="shared" ca="1" si="11"/>
        <v>1.5833333333333333E-3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input_393100!A$2</f>
        <v>393100</v>
      </c>
      <c r="B236" s="6">
        <v>659</v>
      </c>
      <c r="C236" s="7" t="str">
        <f t="shared" si="9"/>
        <v>PremiumSS5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跳梁する化猫 クルミ</v>
      </c>
      <c r="I236" s="7" t="str">
        <f>VLOOKUP(B236,[1]characters!$A:$J,10,FALSE)</f>
        <v>PremiumSS</v>
      </c>
      <c r="J236" s="7">
        <f>VLOOKUP(B236,[1]characters!$A:$I,9,FALSE)</f>
        <v>5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IFERROR(VLOOKUP(B236,input_393100!L:R,7,FALSE),VLOOKUP(tables_393100!C236,input_393100!A:H,8,FALSE))</f>
        <v>435</v>
      </c>
      <c r="P236" s="46">
        <f t="shared" ca="1" si="11"/>
        <v>8.3333333333333331E-5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input_393100!A$2</f>
        <v>393100</v>
      </c>
      <c r="B237" s="6">
        <v>660</v>
      </c>
      <c r="C237" s="7" t="str">
        <f t="shared" si="9"/>
        <v>PremiumSS4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烏天狗 フウガ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green</v>
      </c>
      <c r="L237" s="7" t="str">
        <f>VLOOKUP(B237,[1]characters!$A:$K,11,FALSE)</f>
        <v>balance</v>
      </c>
      <c r="M237" s="7" t="str">
        <f>VLOOKUP(B237,[1]characters!$A:$M,13,FALSE)</f>
        <v>animal</v>
      </c>
      <c r="N237" s="7" t="str">
        <f>VLOOKUP(B237,[1]characters!$A:$G,7,FALSE)</f>
        <v>男性</v>
      </c>
      <c r="O237" s="45">
        <f ca="1">IFERROR(VLOOKUP(B237,input_393100!L:R,7,FALSE),VLOOKUP(tables_393100!C237,input_393100!A:H,8,FALSE))</f>
        <v>8265</v>
      </c>
      <c r="P237" s="46">
        <f t="shared" ca="1" si="11"/>
        <v>1.5833333333333333E-3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input_393100!A$2</f>
        <v>393100</v>
      </c>
      <c r="B238" s="6">
        <v>661</v>
      </c>
      <c r="C238" s="7" t="str">
        <f t="shared" si="9"/>
        <v>PremiumSS5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疾風の天狗礫 フウガ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IFERROR(VLOOKUP(B238,input_393100!L:R,7,FALSE),VLOOKUP(tables_393100!C238,input_393100!A:H,8,FALSE))</f>
        <v>435</v>
      </c>
      <c r="P238" s="46">
        <f t="shared" ca="1" si="11"/>
        <v>8.3333333333333331E-5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input_393100!A$2</f>
        <v>393100</v>
      </c>
      <c r="B239" s="6">
        <v>662</v>
      </c>
      <c r="C239" s="7" t="str">
        <f t="shared" si="9"/>
        <v>Premium3</v>
      </c>
      <c r="D239" s="7" t="str">
        <f t="shared" si="10"/>
        <v>Premium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ダイダラ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blue</v>
      </c>
      <c r="L239" s="7" t="str">
        <f>VLOOKUP(B239,[1]characters!$A:$K,11,FALSE)</f>
        <v>hp</v>
      </c>
      <c r="M239" s="7" t="str">
        <f>VLOOKUP(B239,[1]characters!$A:$M,13,FALSE)</f>
        <v>unknown</v>
      </c>
      <c r="N239" s="7" t="str">
        <f>VLOOKUP(B239,[1]characters!$A:$G,7,FALSE)</f>
        <v>不明</v>
      </c>
      <c r="O239" s="45">
        <f ca="1">IFERROR(VLOOKUP(B239,input_393100!L:R,7,FALSE),VLOOKUP(tables_393100!C239,input_393100!A:H,8,FALSE))</f>
        <v>0</v>
      </c>
      <c r="P239" s="46">
        <f t="shared" ca="1" si="11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input_393100!A$2</f>
        <v>393100</v>
      </c>
      <c r="B240" s="6">
        <v>663</v>
      </c>
      <c r="C240" s="7" t="str">
        <f t="shared" si="9"/>
        <v>Premium4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都揺らす地響き ダイダラ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IFERROR(VLOOKUP(B240,input_393100!L:R,7,FALSE),VLOOKUP(tables_393100!C240,input_393100!A:H,8,FALSE))</f>
        <v>53751.057690000001</v>
      </c>
      <c r="P240" s="46">
        <f t="shared" ca="1" si="11"/>
        <v>1.0297137488505748E-2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input_393100!A$2</f>
        <v>393100</v>
      </c>
      <c r="B241" s="6">
        <v>664</v>
      </c>
      <c r="C241" s="7" t="str">
        <f t="shared" si="9"/>
        <v>Premium5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山掴み国造り ダイダラ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IFERROR(VLOOKUP(B241,input_393100!L:R,7,FALSE),VLOOKUP(tables_393100!C241,input_393100!A:H,8,FALSE))</f>
        <v>1148.9423099999999</v>
      </c>
      <c r="P241" s="46">
        <f t="shared" ca="1" si="11"/>
        <v>2.2010389080459768E-4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input_393100!A$2</f>
        <v>393100</v>
      </c>
      <c r="B242" s="6">
        <v>665</v>
      </c>
      <c r="C242" s="7" t="str">
        <f t="shared" si="9"/>
        <v>Premium3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座敷童子 テマリ</v>
      </c>
      <c r="I242" s="7" t="str">
        <f>VLOOKUP(B242,[1]characters!$A:$J,10,FALSE)</f>
        <v>PremiumS</v>
      </c>
      <c r="J242" s="7">
        <f>VLOOKUP(B242,[1]characters!$A:$I,9,FALSE)</f>
        <v>3</v>
      </c>
      <c r="K242" s="7" t="str">
        <f>VLOOKUP(B242,[1]characters!$A:$H,8,FALSE)</f>
        <v>yellow</v>
      </c>
      <c r="L242" s="7" t="str">
        <f>VLOOKUP(B242,[1]characters!$A:$K,11,FALSE)</f>
        <v>balance</v>
      </c>
      <c r="M242" s="7" t="str">
        <f>VLOOKUP(B242,[1]characters!$A:$M,13,FALSE)</f>
        <v>unknown</v>
      </c>
      <c r="N242" s="7" t="str">
        <f>VLOOKUP(B242,[1]characters!$A:$G,7,FALSE)</f>
        <v>女性</v>
      </c>
      <c r="O242" s="45">
        <f ca="1">IFERROR(VLOOKUP(B242,input_393100!L:R,7,FALSE),VLOOKUP(tables_393100!C242,input_393100!A:H,8,FALSE))</f>
        <v>0</v>
      </c>
      <c r="P242" s="46">
        <f t="shared" ca="1" si="11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input_393100!A$2</f>
        <v>393100</v>
      </c>
      <c r="B243" s="6">
        <v>666</v>
      </c>
      <c r="C243" s="7" t="str">
        <f t="shared" si="9"/>
        <v>Premium4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拡散する幸福 テマリ</v>
      </c>
      <c r="I243" s="7" t="str">
        <f>VLOOKUP(B243,[1]characters!$A:$J,10,FALSE)</f>
        <v>PremiumS</v>
      </c>
      <c r="J243" s="7">
        <f>VLOOKUP(B243,[1]characters!$A:$I,9,FALSE)</f>
        <v>4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IFERROR(VLOOKUP(B243,input_393100!L:R,7,FALSE),VLOOKUP(tables_393100!C243,input_393100!A:H,8,FALSE))</f>
        <v>53751.057690000001</v>
      </c>
      <c r="P243" s="46">
        <f t="shared" ca="1" si="11"/>
        <v>1.0297137488505748E-2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input_393100!A$2</f>
        <v>393100</v>
      </c>
      <c r="B244" s="6">
        <v>667</v>
      </c>
      <c r="C244" s="7" t="str">
        <f t="shared" si="9"/>
        <v>Premium5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最幸運の妖童 テマリ</v>
      </c>
      <c r="I244" s="7" t="str">
        <f>VLOOKUP(B244,[1]characters!$A:$J,10,FALSE)</f>
        <v>PremiumS</v>
      </c>
      <c r="J244" s="7">
        <f>VLOOKUP(B244,[1]characters!$A:$I,9,FALSE)</f>
        <v>5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IFERROR(VLOOKUP(B244,input_393100!L:R,7,FALSE),VLOOKUP(tables_393100!C244,input_393100!A:H,8,FALSE))</f>
        <v>1148.9423099999999</v>
      </c>
      <c r="P244" s="46">
        <f t="shared" ca="1" si="11"/>
        <v>2.2010389080459768E-4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input_393100!A$2</f>
        <v>393100</v>
      </c>
      <c r="B245" s="60">
        <v>668</v>
      </c>
      <c r="C245" s="7" t="str">
        <f t="shared" si="9"/>
        <v>Premium3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アグニ</v>
      </c>
      <c r="I245" s="7" t="str">
        <f>VLOOKUP(B245,[1]characters!$A:$J,10,FALSE)</f>
        <v>PremiumS</v>
      </c>
      <c r="J245" s="7">
        <f>VLOOKUP(B245,[1]characters!$A:$I,9,FALSE)</f>
        <v>3</v>
      </c>
      <c r="K245" s="7" t="str">
        <f>VLOOKUP(B245,[1]characters!$A:$H,8,FALSE)</f>
        <v>red</v>
      </c>
      <c r="L245" s="7" t="str">
        <f>VLOOKUP(B245,[1]characters!$A:$K,11,FALSE)</f>
        <v>hp</v>
      </c>
      <c r="M245" s="7" t="str">
        <f>VLOOKUP(B245,[1]characters!$A:$M,13,FALSE)</f>
        <v>god</v>
      </c>
      <c r="N245" s="7" t="str">
        <f>VLOOKUP(B245,[1]characters!$A:$G,7,FALSE)</f>
        <v>男性</v>
      </c>
      <c r="O245" s="45">
        <f ca="1">IFERROR(VLOOKUP(B245,input_393100!L:R,7,FALSE),VLOOKUP(tables_393100!C245,input_393100!A:H,8,FALSE))</f>
        <v>0</v>
      </c>
      <c r="P245" s="46">
        <f t="shared" ca="1" si="11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input_393100!A$2</f>
        <v>393100</v>
      </c>
      <c r="B246" s="60">
        <v>669</v>
      </c>
      <c r="C246" s="7" t="str">
        <f t="shared" si="9"/>
        <v>Premium4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天地の仲界 アグニ</v>
      </c>
      <c r="I246" s="7" t="str">
        <f>VLOOKUP(B246,[1]characters!$A:$J,10,FALSE)</f>
        <v>PremiumS</v>
      </c>
      <c r="J246" s="7">
        <f>VLOOKUP(B246,[1]characters!$A:$I,9,FALSE)</f>
        <v>4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IFERROR(VLOOKUP(B246,input_393100!L:R,7,FALSE),VLOOKUP(tables_393100!C246,input_393100!A:H,8,FALSE))</f>
        <v>53751.057690000001</v>
      </c>
      <c r="P246" s="46">
        <f t="shared" ca="1" si="11"/>
        <v>1.0297137488505748E-2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input_393100!A$2</f>
        <v>393100</v>
      </c>
      <c r="B247" s="60">
        <v>670</v>
      </c>
      <c r="C247" s="7" t="str">
        <f t="shared" si="9"/>
        <v>Premium5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陽天の噴煙 アグニ</v>
      </c>
      <c r="I247" s="7" t="str">
        <f>VLOOKUP(B247,[1]characters!$A:$J,10,FALSE)</f>
        <v>PremiumS</v>
      </c>
      <c r="J247" s="7">
        <f>VLOOKUP(B247,[1]characters!$A:$I,9,FALSE)</f>
        <v>5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IFERROR(VLOOKUP(B247,input_393100!L:R,7,FALSE),VLOOKUP(tables_393100!C247,input_393100!A:H,8,FALSE))</f>
        <v>1148.9423099999999</v>
      </c>
      <c r="P247" s="46">
        <f t="shared" ca="1" si="11"/>
        <v>2.2010389080459768E-4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input_393100!A$2</f>
        <v>393100</v>
      </c>
      <c r="B248" s="60">
        <v>671</v>
      </c>
      <c r="C248" s="7" t="str">
        <f t="shared" si="9"/>
        <v>Premium3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ハヌマーン</v>
      </c>
      <c r="I248" s="7" t="str">
        <f>VLOOKUP(B248,[1]characters!$A:$J,10,FALSE)</f>
        <v>PremiumS</v>
      </c>
      <c r="J248" s="7">
        <f>VLOOKUP(B248,[1]characters!$A:$I,9,FALSE)</f>
        <v>3</v>
      </c>
      <c r="K248" s="7" t="str">
        <f>VLOOKUP(B248,[1]characters!$A:$H,8,FALSE)</f>
        <v>green</v>
      </c>
      <c r="L248" s="7" t="str">
        <f>VLOOKUP(B248,[1]characters!$A:$K,11,FALSE)</f>
        <v>attack</v>
      </c>
      <c r="M248" s="7" t="str">
        <f>VLOOKUP(B248,[1]characters!$A:$M,13,FALSE)</f>
        <v>animal</v>
      </c>
      <c r="N248" s="7" t="str">
        <f>VLOOKUP(B248,[1]characters!$A:$G,7,FALSE)</f>
        <v>男性</v>
      </c>
      <c r="O248" s="45">
        <f ca="1">IFERROR(VLOOKUP(B248,input_393100!L:R,7,FALSE),VLOOKUP(tables_393100!C248,input_393100!A:H,8,FALSE))</f>
        <v>0</v>
      </c>
      <c r="P248" s="46">
        <f t="shared" ca="1" si="11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input_393100!A$2</f>
        <v>393100</v>
      </c>
      <c r="B249" s="60">
        <v>672</v>
      </c>
      <c r="C249" s="7" t="str">
        <f t="shared" si="9"/>
        <v>Premium4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西遊韋駄天 ハヌマーン</v>
      </c>
      <c r="I249" s="7" t="str">
        <f>VLOOKUP(B249,[1]characters!$A:$J,10,FALSE)</f>
        <v>PremiumS</v>
      </c>
      <c r="J249" s="7">
        <f>VLOOKUP(B249,[1]characters!$A:$I,9,FALSE)</f>
        <v>4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IFERROR(VLOOKUP(B249,input_393100!L:R,7,FALSE),VLOOKUP(tables_393100!C249,input_393100!A:H,8,FALSE))</f>
        <v>53751.057690000001</v>
      </c>
      <c r="P249" s="46">
        <f t="shared" ca="1" si="11"/>
        <v>1.0297137488505748E-2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input_393100!A$2</f>
        <v>393100</v>
      </c>
      <c r="B250" s="60">
        <v>673</v>
      </c>
      <c r="C250" s="7" t="str">
        <f t="shared" si="9"/>
        <v>Premium5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変幻自在の猿王 ハヌマーン</v>
      </c>
      <c r="I250" s="7" t="str">
        <f>VLOOKUP(B250,[1]characters!$A:$J,10,FALSE)</f>
        <v>PremiumS</v>
      </c>
      <c r="J250" s="7">
        <f>VLOOKUP(B250,[1]characters!$A:$I,9,FALSE)</f>
        <v>5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IFERROR(VLOOKUP(B250,input_393100!L:R,7,FALSE),VLOOKUP(tables_393100!C250,input_393100!A:H,8,FALSE))</f>
        <v>1148.9423099999999</v>
      </c>
      <c r="P250" s="46">
        <f t="shared" ca="1" si="11"/>
        <v>2.2010389080459768E-4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input_393100!A$2</f>
        <v>393100</v>
      </c>
      <c r="B251" s="60">
        <v>674</v>
      </c>
      <c r="C251" s="7" t="str">
        <f t="shared" si="9"/>
        <v>PremiumSS4</v>
      </c>
      <c r="D251" s="7" t="str">
        <f t="shared" si="10"/>
        <v>PremiumSS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サラスヴァティ</v>
      </c>
      <c r="I251" s="7" t="str">
        <f>VLOOKUP(B251,[1]characters!$A:$J,10,FALSE)</f>
        <v>PremiumSS</v>
      </c>
      <c r="J251" s="7">
        <f>VLOOKUP(B251,[1]characters!$A:$I,9,FALSE)</f>
        <v>4</v>
      </c>
      <c r="K251" s="7" t="str">
        <f>VLOOKUP(B251,[1]characters!$A:$H,8,FALSE)</f>
        <v>blue</v>
      </c>
      <c r="L251" s="7" t="str">
        <f>VLOOKUP(B251,[1]characters!$A:$K,11,FALSE)</f>
        <v>balance</v>
      </c>
      <c r="M251" s="7" t="str">
        <f>VLOOKUP(B251,[1]characters!$A:$M,13,FALSE)</f>
        <v>god</v>
      </c>
      <c r="N251" s="7" t="str">
        <f>VLOOKUP(B251,[1]characters!$A:$G,7,FALSE)</f>
        <v>女性</v>
      </c>
      <c r="O251" s="45">
        <f ca="1">IFERROR(VLOOKUP(B251,input_393100!L:R,7,FALSE),VLOOKUP(tables_393100!C251,input_393100!A:H,8,FALSE))</f>
        <v>8265</v>
      </c>
      <c r="P251" s="46">
        <f t="shared" ca="1" si="11"/>
        <v>1.5833333333333333E-3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input_393100!A$2</f>
        <v>393100</v>
      </c>
      <c r="B252" s="60">
        <v>675</v>
      </c>
      <c r="C252" s="7" t="str">
        <f t="shared" si="9"/>
        <v>PremiumSS5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芸楽の奔流 サラスヴァティ</v>
      </c>
      <c r="I252" s="7" t="str">
        <f>VLOOKUP(B252,[1]characters!$A:$J,10,FALSE)</f>
        <v>PremiumSS</v>
      </c>
      <c r="J252" s="7">
        <f>VLOOKUP(B252,[1]characters!$A:$I,9,FALSE)</f>
        <v>5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IFERROR(VLOOKUP(B252,input_393100!L:R,7,FALSE),VLOOKUP(tables_393100!C252,input_393100!A:H,8,FALSE))</f>
        <v>435</v>
      </c>
      <c r="P252" s="46">
        <f t="shared" ca="1" si="11"/>
        <v>8.3333333333333331E-5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input_393100!A$2</f>
        <v>393100</v>
      </c>
      <c r="B253" s="60">
        <v>676</v>
      </c>
      <c r="C253" s="7" t="str">
        <f t="shared" si="9"/>
        <v>PremiumSS4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ヴィシュヌ</v>
      </c>
      <c r="I253" s="7" t="str">
        <f>VLOOKUP(B253,[1]characters!$A:$J,10,FALSE)</f>
        <v>PremiumSS</v>
      </c>
      <c r="J253" s="7">
        <f>VLOOKUP(B253,[1]characters!$A:$I,9,FALSE)</f>
        <v>4</v>
      </c>
      <c r="K253" s="7" t="str">
        <f>VLOOKUP(B253,[1]characters!$A:$H,8,FALSE)</f>
        <v>yellow</v>
      </c>
      <c r="L253" s="7" t="str">
        <f>VLOOKUP(B253,[1]characters!$A:$K,11,FALSE)</f>
        <v>attack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IFERROR(VLOOKUP(B253,input_393100!L:R,7,FALSE),VLOOKUP(tables_393100!C253,input_393100!A:H,8,FALSE))</f>
        <v>8265</v>
      </c>
      <c r="P253" s="46">
        <f t="shared" ca="1" si="11"/>
        <v>1.5833333333333333E-3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input_393100!A$2</f>
        <v>393100</v>
      </c>
      <c r="B254" s="60">
        <v>677</v>
      </c>
      <c r="C254" s="7" t="str">
        <f t="shared" si="9"/>
        <v>PremiumSS5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武遊闊歩 ヴィシュヌ</v>
      </c>
      <c r="I254" s="7" t="str">
        <f>VLOOKUP(B254,[1]characters!$A:$J,10,FALSE)</f>
        <v>PremiumSS</v>
      </c>
      <c r="J254" s="7">
        <f>VLOOKUP(B254,[1]characters!$A:$I,9,FALSE)</f>
        <v>5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IFERROR(VLOOKUP(B254,input_393100!L:R,7,FALSE),VLOOKUP(tables_393100!C254,input_393100!A:H,8,FALSE))</f>
        <v>435</v>
      </c>
      <c r="P254" s="46">
        <f t="shared" ca="1" si="11"/>
        <v>8.3333333333333331E-5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input_393100!A$2</f>
        <v>393100</v>
      </c>
      <c r="B255" s="60">
        <v>728</v>
      </c>
      <c r="C255" s="7" t="str">
        <f t="shared" si="9"/>
        <v>Premium4R3less</v>
      </c>
      <c r="D255" s="7" t="str">
        <f t="shared" si="10"/>
        <v>Premium</v>
      </c>
      <c r="E255" s="7" t="str">
        <f>IF(COUNTIF('R6追加前'!A:A,B255)=0,IF(I255="PremiumSS","R5only","R3less"),"")</f>
        <v>R3less</v>
      </c>
      <c r="F255" s="7" t="str">
        <f>IF(COUNTIF('R6開放'!A:A,B255)&gt;0,"R6release","")</f>
        <v/>
      </c>
      <c r="G255" s="7"/>
      <c r="H255" s="7" t="str">
        <f>VLOOKUP(B255,[1]characters!$A:$C,3,FALSE)</f>
        <v>井伊直虎</v>
      </c>
      <c r="I255" s="7" t="str">
        <f>VLOOKUP(B255,[1]characters!$A:$J,10,FALSE)</f>
        <v>PremiumS</v>
      </c>
      <c r="J255" s="7">
        <f>VLOOKUP(B255,[1]characters!$A:$I,9,FALSE)</f>
        <v>4</v>
      </c>
      <c r="K255" s="7" t="str">
        <f>VLOOKUP(B255,[1]characters!$A:$H,8,FALSE)</f>
        <v>red</v>
      </c>
      <c r="L255" s="7" t="str">
        <f>VLOOKUP(B255,[1]characters!$A:$K,11,FALSE)</f>
        <v>balance</v>
      </c>
      <c r="M255" s="7" t="str">
        <f>VLOOKUP(B255,[1]characters!$A:$M,13,FALSE)</f>
        <v>human</v>
      </c>
      <c r="N255" s="7" t="str">
        <f>VLOOKUP(B255,[1]characters!$A:$G,7,FALSE)</f>
        <v>女性</v>
      </c>
      <c r="O255" s="45">
        <f ca="1">IFERROR(VLOOKUP(B255,input_393100!L:R,7,FALSE),VLOOKUP(tables_393100!C255,input_393100!A:H,8,FALSE))</f>
        <v>52155</v>
      </c>
      <c r="P255" s="46">
        <f t="shared" ca="1" si="11"/>
        <v>9.9913793103448278E-3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input_393100!A$2</f>
        <v>393100</v>
      </c>
      <c r="B256" s="60">
        <v>729</v>
      </c>
      <c r="C256" s="7" t="str">
        <f t="shared" si="9"/>
        <v>Premium5R3less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暗厄の双刀 井伊直虎</v>
      </c>
      <c r="I256" s="7" t="str">
        <f>VLOOKUP(B256,[1]characters!$A:$J,10,FALSE)</f>
        <v>PremiumS</v>
      </c>
      <c r="J256" s="7">
        <f>VLOOKUP(B256,[1]characters!$A:$I,9,FALSE)</f>
        <v>5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IFERROR(VLOOKUP(B256,input_393100!L:R,7,FALSE),VLOOKUP(tables_393100!C256,input_393100!A:H,8,FALSE))</f>
        <v>2745</v>
      </c>
      <c r="P256" s="46">
        <f t="shared" ca="1" si="11"/>
        <v>5.258620689655172E-4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input_393100!A$2</f>
        <v>393100</v>
      </c>
      <c r="B257" s="60">
        <v>730</v>
      </c>
      <c r="C257" s="7" t="str">
        <f t="shared" si="9"/>
        <v>Premium4R3less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ガラシャ</v>
      </c>
      <c r="I257" s="7" t="str">
        <f>VLOOKUP(B257,[1]characters!$A:$J,10,FALSE)</f>
        <v>PremiumS</v>
      </c>
      <c r="J257" s="7">
        <f>VLOOKUP(B257,[1]characters!$A:$I,9,FALSE)</f>
        <v>4</v>
      </c>
      <c r="K257" s="7" t="str">
        <f>VLOOKUP(B257,[1]characters!$A:$H,8,FALSE)</f>
        <v>green</v>
      </c>
      <c r="L257" s="7" t="str">
        <f>VLOOKUP(B257,[1]characters!$A:$K,11,FALSE)</f>
        <v>heal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IFERROR(VLOOKUP(B257,input_393100!L:R,7,FALSE),VLOOKUP(tables_393100!C257,input_393100!A:H,8,FALSE))</f>
        <v>52155</v>
      </c>
      <c r="P257" s="46">
        <f t="shared" ca="1" si="11"/>
        <v>9.9913793103448278E-3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input_393100!A$2</f>
        <v>393100</v>
      </c>
      <c r="B258" s="60">
        <v>731</v>
      </c>
      <c r="C258" s="7" t="str">
        <f t="shared" ref="C258:C283" si="12">D258&amp;J258&amp;E258&amp;F258&amp;G258</f>
        <v>Premium5R3less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敬虔なる追銃 ガラシャ</v>
      </c>
      <c r="I258" s="7" t="str">
        <f>VLOOKUP(B258,[1]characters!$A:$J,10,FALSE)</f>
        <v>PremiumS</v>
      </c>
      <c r="J258" s="7">
        <f>VLOOKUP(B258,[1]characters!$A:$I,9,FALSE)</f>
        <v>5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IFERROR(VLOOKUP(B258,input_393100!L:R,7,FALSE),VLOOKUP(tables_393100!C258,input_393100!A:H,8,FALSE))</f>
        <v>2745</v>
      </c>
      <c r="P258" s="46">
        <f t="shared" ca="1" si="11"/>
        <v>5.258620689655172E-4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input_393100!A$2</f>
        <v>393100</v>
      </c>
      <c r="B259" s="60">
        <v>732</v>
      </c>
      <c r="C259" s="7" t="str">
        <f t="shared" si="12"/>
        <v>PremiumSS5R5only</v>
      </c>
      <c r="D259" s="7" t="str">
        <f t="shared" si="13"/>
        <v>PremiumSS</v>
      </c>
      <c r="E259" s="7" t="str">
        <f>IF(COUNTIF('R6追加前'!A:A,B259)=0,IF(I259="PremiumSS","R5only","R3less"),"")</f>
        <v>R5only</v>
      </c>
      <c r="F259" s="7" t="str">
        <f>IF(COUNTIF('R6開放'!A:A,B259)&gt;0,"R6release","")</f>
        <v/>
      </c>
      <c r="G259" s="7"/>
      <c r="H259" s="7" t="str">
        <f>VLOOKUP(B259,[1]characters!$A:$C,3,FALSE)</f>
        <v>上杉謙信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attack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IFERROR(VLOOKUP(B259,input_393100!L:R,7,FALSE),VLOOKUP(tables_393100!C259,input_393100!A:H,8,FALSE))</f>
        <v>8700</v>
      </c>
      <c r="P259" s="46">
        <f t="shared" ca="1" si="11"/>
        <v>1.6666666666666668E-3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input_393100!A$2</f>
        <v>393100</v>
      </c>
      <c r="B260" s="60">
        <v>734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伊達政宗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yellow</v>
      </c>
      <c r="L260" s="7" t="str">
        <f>VLOOKUP(B260,[1]characters!$A:$K,11,FALSE)</f>
        <v>balance</v>
      </c>
      <c r="M260" s="7" t="str">
        <f>VLOOKUP(B260,[1]characters!$A:$M,13,FALSE)</f>
        <v>human</v>
      </c>
      <c r="N260" s="7" t="str">
        <f>VLOOKUP(B260,[1]characters!$A:$G,7,FALSE)</f>
        <v>男性</v>
      </c>
      <c r="O260" s="45">
        <f ca="1">IFERROR(VLOOKUP(B260,input_393100!L:R,7,FALSE),VLOOKUP(tables_393100!C260,input_393100!A:H,8,FALSE))</f>
        <v>8700</v>
      </c>
      <c r="P260" s="46">
        <f t="shared" ca="1" si="11"/>
        <v>1.6666666666666668E-3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input_393100!A$2</f>
        <v>393100</v>
      </c>
      <c r="B261" s="60">
        <v>770</v>
      </c>
      <c r="C261" s="7" t="str">
        <f t="shared" si="12"/>
        <v>PremiumSS4</v>
      </c>
      <c r="D261" s="7" t="str">
        <f t="shared" si="13"/>
        <v>PremiumSS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ハヅル</v>
      </c>
      <c r="I261" s="7" t="str">
        <f>VLOOKUP(B261,[1]characters!$A:$J,10,FALSE)</f>
        <v>PremiumSS</v>
      </c>
      <c r="J261" s="7">
        <f>VLOOKUP(B261,[1]characters!$A:$I,9,FALSE)</f>
        <v>4</v>
      </c>
      <c r="K261" s="7" t="str">
        <f>VLOOKUP(B261,[1]characters!$A:$H,8,FALSE)</f>
        <v>red</v>
      </c>
      <c r="L261" s="7" t="str">
        <f>VLOOKUP(B261,[1]characters!$A:$K,11,FALSE)</f>
        <v>balance</v>
      </c>
      <c r="M261" s="7" t="str">
        <f>VLOOKUP(B261,[1]characters!$A:$M,13,FALSE)</f>
        <v>animal</v>
      </c>
      <c r="N261" s="7" t="str">
        <f>VLOOKUP(B261,[1]characters!$A:$G,7,FALSE)</f>
        <v>女性</v>
      </c>
      <c r="O261" s="45">
        <f ca="1">IFERROR(VLOOKUP(B261,input_393100!L:R,7,FALSE),VLOOKUP(tables_393100!C261,input_393100!A:H,8,FALSE))</f>
        <v>8265</v>
      </c>
      <c r="P261" s="46">
        <f t="shared" ca="1" si="11"/>
        <v>1.5833333333333333E-3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input_393100!A$2</f>
        <v>393100</v>
      </c>
      <c r="B262" s="60">
        <v>771</v>
      </c>
      <c r="C262" s="7" t="str">
        <f t="shared" si="12"/>
        <v>PremiumSS5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天織羽鶴 ハヅル</v>
      </c>
      <c r="I262" s="7" t="str">
        <f>VLOOKUP(B262,[1]characters!$A:$J,10,FALSE)</f>
        <v>PremiumSS</v>
      </c>
      <c r="J262" s="7">
        <f>VLOOKUP(B262,[1]characters!$A:$I,9,FALSE)</f>
        <v>5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IFERROR(VLOOKUP(B262,input_393100!L:R,7,FALSE),VLOOKUP(tables_393100!C262,input_393100!A:H,8,FALSE))</f>
        <v>435</v>
      </c>
      <c r="P262" s="46">
        <f t="shared" ca="1" si="11"/>
        <v>8.3333333333333331E-5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input_393100!A$2</f>
        <v>393100</v>
      </c>
      <c r="B263" s="60">
        <v>772</v>
      </c>
      <c r="C263" s="7" t="str">
        <f t="shared" si="12"/>
        <v>PremiumSS4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イナバ</v>
      </c>
      <c r="I263" s="7" t="str">
        <f>VLOOKUP(B263,[1]characters!$A:$J,10,FALSE)</f>
        <v>PremiumSS</v>
      </c>
      <c r="J263" s="7">
        <f>VLOOKUP(B263,[1]characters!$A:$I,9,FALSE)</f>
        <v>4</v>
      </c>
      <c r="K263" s="7" t="str">
        <f>VLOOKUP(B263,[1]characters!$A:$H,8,FALSE)</f>
        <v>green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IFERROR(VLOOKUP(B263,input_393100!L:R,7,FALSE),VLOOKUP(tables_393100!C263,input_393100!A:H,8,FALSE))</f>
        <v>8265</v>
      </c>
      <c r="P263" s="46">
        <f t="shared" ca="1" si="11"/>
        <v>1.5833333333333333E-3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input_393100!A$2</f>
        <v>393100</v>
      </c>
      <c r="B264" s="60">
        <v>773</v>
      </c>
      <c r="C264" s="7" t="str">
        <f t="shared" si="12"/>
        <v>PremiumSS5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浮跳天兎 イナバ</v>
      </c>
      <c r="I264" s="7" t="str">
        <f>VLOOKUP(B264,[1]characters!$A:$J,10,FALSE)</f>
        <v>PremiumSS</v>
      </c>
      <c r="J264" s="7">
        <f>VLOOKUP(B264,[1]characters!$A:$I,9,FALSE)</f>
        <v>5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IFERROR(VLOOKUP(B264,input_393100!L:R,7,FALSE),VLOOKUP(tables_393100!C264,input_393100!A:H,8,FALSE))</f>
        <v>435</v>
      </c>
      <c r="P264" s="46">
        <f t="shared" ca="1" si="11"/>
        <v>8.3333333333333331E-5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input_393100!A$2</f>
        <v>393100</v>
      </c>
      <c r="B265" s="60">
        <v>774</v>
      </c>
      <c r="C265" s="7" t="str">
        <f t="shared" si="12"/>
        <v>Premium3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ミズチ</v>
      </c>
      <c r="I265" s="7" t="str">
        <f>VLOOKUP(B265,[1]characters!$A:$J,10,FALSE)</f>
        <v>PremiumS</v>
      </c>
      <c r="J265" s="7">
        <f>VLOOKUP(B265,[1]characters!$A:$I,9,FALSE)</f>
        <v>3</v>
      </c>
      <c r="K265" s="7" t="str">
        <f>VLOOKUP(B265,[1]characters!$A:$H,8,FALSE)</f>
        <v>blue</v>
      </c>
      <c r="L265" s="7" t="str">
        <f>VLOOKUP(B265,[1]characters!$A:$K,11,FALSE)</f>
        <v>heal</v>
      </c>
      <c r="M265" s="7" t="str">
        <f>VLOOKUP(B265,[1]characters!$A:$M,13,FALSE)</f>
        <v>dragon</v>
      </c>
      <c r="N265" s="7" t="str">
        <f>VLOOKUP(B265,[1]characters!$A:$G,7,FALSE)</f>
        <v>不明</v>
      </c>
      <c r="O265" s="45">
        <f ca="1">IFERROR(VLOOKUP(B265,input_393100!L:R,7,FALSE),VLOOKUP(tables_393100!C265,input_393100!A:H,8,FALSE))</f>
        <v>0</v>
      </c>
      <c r="P265" s="46">
        <f t="shared" ca="1" si="11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input_393100!A$2</f>
        <v>393100</v>
      </c>
      <c r="B266" s="60">
        <v>775</v>
      </c>
      <c r="C266" s="7" t="str">
        <f t="shared" si="12"/>
        <v>Premium4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水底霊竜 ミズチ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IFERROR(VLOOKUP(B266,input_393100!L:R,7,FALSE),VLOOKUP(tables_393100!C266,input_393100!A:H,8,FALSE))</f>
        <v>53751.057690000001</v>
      </c>
      <c r="P266" s="46">
        <f t="shared" ca="1" si="11"/>
        <v>1.0297137488505748E-2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input_393100!A$2</f>
        <v>393100</v>
      </c>
      <c r="B267" s="60">
        <v>776</v>
      </c>
      <c r="C267" s="7" t="str">
        <f t="shared" si="12"/>
        <v>Premium5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水竜底主 ミズチ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IFERROR(VLOOKUP(B267,input_393100!L:R,7,FALSE),VLOOKUP(tables_393100!C267,input_393100!A:H,8,FALSE))</f>
        <v>1148.9423099999999</v>
      </c>
      <c r="P267" s="46">
        <f t="shared" ca="1" si="11"/>
        <v>2.2010389080459768E-4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input_393100!A$2</f>
        <v>393100</v>
      </c>
      <c r="B268" s="60">
        <v>777</v>
      </c>
      <c r="C268" s="7" t="str">
        <f t="shared" si="12"/>
        <v>Premium3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ガメック</v>
      </c>
      <c r="I268" s="7" t="str">
        <f>VLOOKUP(B268,[1]characters!$A:$J,10,FALSE)</f>
        <v>PremiumS</v>
      </c>
      <c r="J268" s="7">
        <f>VLOOKUP(B268,[1]characters!$A:$I,9,FALSE)</f>
        <v>3</v>
      </c>
      <c r="K268" s="7" t="str">
        <f>VLOOKUP(B268,[1]characters!$A:$H,8,FALSE)</f>
        <v>yellow</v>
      </c>
      <c r="L268" s="7" t="str">
        <f>VLOOKUP(B268,[1]characters!$A:$K,11,FALSE)</f>
        <v>hp</v>
      </c>
      <c r="M268" s="7" t="str">
        <f>VLOOKUP(B268,[1]characters!$A:$M,13,FALSE)</f>
        <v>animal</v>
      </c>
      <c r="N268" s="7" t="str">
        <f>VLOOKUP(B268,[1]characters!$A:$G,7,FALSE)</f>
        <v>不明</v>
      </c>
      <c r="O268" s="45">
        <f ca="1">IFERROR(VLOOKUP(B268,input_393100!L:R,7,FALSE),VLOOKUP(tables_393100!C268,input_393100!A:H,8,FALSE))</f>
        <v>0</v>
      </c>
      <c r="P268" s="46">
        <f t="shared" ca="1" si="11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input_393100!A$2</f>
        <v>393100</v>
      </c>
      <c r="B269" s="60">
        <v>778</v>
      </c>
      <c r="C269" s="7" t="str">
        <f t="shared" si="12"/>
        <v>Premium4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一亀懸明 ガメック</v>
      </c>
      <c r="I269" s="7" t="str">
        <f>VLOOKUP(B269,[1]characters!$A:$J,10,FALSE)</f>
        <v>PremiumS</v>
      </c>
      <c r="J269" s="7">
        <f>VLOOKUP(B269,[1]characters!$A:$I,9,FALSE)</f>
        <v>4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IFERROR(VLOOKUP(B269,input_393100!L:R,7,FALSE),VLOOKUP(tables_393100!C269,input_393100!A:H,8,FALSE))</f>
        <v>53751.057690000001</v>
      </c>
      <c r="P269" s="46">
        <f t="shared" ca="1" si="11"/>
        <v>1.0297137488505748E-2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input_393100!A$2</f>
        <v>393100</v>
      </c>
      <c r="B270" s="60">
        <v>779</v>
      </c>
      <c r="C270" s="7" t="str">
        <f t="shared" si="12"/>
        <v>Premium5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頑堅咬亀 ガメック</v>
      </c>
      <c r="I270" s="7" t="str">
        <f>VLOOKUP(B270,[1]characters!$A:$J,10,FALSE)</f>
        <v>PremiumS</v>
      </c>
      <c r="J270" s="7">
        <f>VLOOKUP(B270,[1]characters!$A:$I,9,FALSE)</f>
        <v>5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IFERROR(VLOOKUP(B270,input_393100!L:R,7,FALSE),VLOOKUP(tables_393100!C270,input_393100!A:H,8,FALSE))</f>
        <v>1148.9423099999999</v>
      </c>
      <c r="P270" s="46">
        <f t="shared" ca="1" si="11"/>
        <v>2.2010389080459768E-4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input_393100!A$2</f>
        <v>393100</v>
      </c>
      <c r="B271" s="78">
        <v>848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メタトロン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red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IFERROR(VLOOKUP(B271,input_393100!L:R,7,FALSE),VLOOKUP(tables_393100!C271,input_393100!A:H,8,FALSE))</f>
        <v>8700</v>
      </c>
      <c r="P271" s="46">
        <f t="shared" ref="P271:P334" ca="1" si="14">O271/SUM(O:O)</f>
        <v>1.6666666666666668E-3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input_393100!A$2</f>
        <v>393100</v>
      </c>
      <c r="B272" s="78">
        <v>850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バアル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green</v>
      </c>
      <c r="L272" s="7" t="str">
        <f>VLOOKUP(B272,[1]characters!$A:$K,11,FALSE)</f>
        <v>technical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IFERROR(VLOOKUP(B272,input_393100!L:R,7,FALSE),VLOOKUP(tables_393100!C272,input_393100!A:H,8,FALSE))</f>
        <v>8700</v>
      </c>
      <c r="P272" s="46">
        <f t="shared" ca="1" si="14"/>
        <v>1.6666666666666668E-3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input_393100!A$2</f>
        <v>393100</v>
      </c>
      <c r="B273" s="78">
        <v>852</v>
      </c>
      <c r="C273" s="7" t="str">
        <f t="shared" si="12"/>
        <v>Premium4R3less</v>
      </c>
      <c r="D273" s="7" t="str">
        <f t="shared" si="13"/>
        <v>Premium</v>
      </c>
      <c r="E273" s="7" t="str">
        <f>IF(COUNTIF('R6追加前'!A:A,B273)=0,IF(I273="PremiumSS","R5only","R3less"),"")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サキエル</v>
      </c>
      <c r="I273" s="7" t="str">
        <f>VLOOKUP(B273,[1]characters!$A:$J,10,FALSE)</f>
        <v>PremiumS</v>
      </c>
      <c r="J273" s="7">
        <f>VLOOKUP(B273,[1]characters!$A:$I,9,FALSE)</f>
        <v>4</v>
      </c>
      <c r="K273" s="7" t="str">
        <f>VLOOKUP(B273,[1]characters!$A:$H,8,FALSE)</f>
        <v>blue</v>
      </c>
      <c r="L273" s="7" t="str">
        <f>VLOOKUP(B273,[1]characters!$A:$K,11,FALSE)</f>
        <v>hp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IFERROR(VLOOKUP(B273,input_393100!L:R,7,FALSE),VLOOKUP(tables_393100!C273,input_393100!A:H,8,FALSE))</f>
        <v>52155</v>
      </c>
      <c r="P273" s="46">
        <f t="shared" ca="1" si="14"/>
        <v>9.9913793103448278E-3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input_393100!A$2</f>
        <v>393100</v>
      </c>
      <c r="B274" s="78">
        <v>853</v>
      </c>
      <c r="C274" s="7" t="str">
        <f t="shared" si="12"/>
        <v>Premium5R3less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裂爪の天使 サキエル・ティア</v>
      </c>
      <c r="I274" s="7" t="str">
        <f>VLOOKUP(B274,[1]characters!$A:$J,10,FALSE)</f>
        <v>PremiumS</v>
      </c>
      <c r="J274" s="7">
        <f>VLOOKUP(B274,[1]characters!$A:$I,9,FALSE)</f>
        <v>5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IFERROR(VLOOKUP(B274,input_393100!L:R,7,FALSE),VLOOKUP(tables_393100!C274,input_393100!A:H,8,FALSE))</f>
        <v>2745</v>
      </c>
      <c r="P274" s="46">
        <f t="shared" ca="1" si="14"/>
        <v>5.258620689655172E-4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input_393100!A$2</f>
        <v>393100</v>
      </c>
      <c r="B275" s="78">
        <v>854</v>
      </c>
      <c r="C275" s="7" t="str">
        <f t="shared" si="12"/>
        <v>Premium4R3less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フラウロス</v>
      </c>
      <c r="I275" s="7" t="str">
        <f>VLOOKUP(B275,[1]characters!$A:$J,10,FALSE)</f>
        <v>PremiumS</v>
      </c>
      <c r="J275" s="7">
        <f>VLOOKUP(B275,[1]characters!$A:$I,9,FALSE)</f>
        <v>4</v>
      </c>
      <c r="K275" s="7" t="str">
        <f>VLOOKUP(B275,[1]characters!$A:$H,8,FALSE)</f>
        <v>yellow</v>
      </c>
      <c r="L275" s="7" t="str">
        <f>VLOOKUP(B275,[1]characters!$A:$K,11,FALSE)</f>
        <v>attack</v>
      </c>
      <c r="M275" s="7" t="str">
        <f>VLOOKUP(B275,[1]characters!$A:$M,13,FALSE)</f>
        <v>animal</v>
      </c>
      <c r="N275" s="7" t="str">
        <f>VLOOKUP(B275,[1]characters!$A:$G,7,FALSE)</f>
        <v>男性</v>
      </c>
      <c r="O275" s="45">
        <f ca="1">IFERROR(VLOOKUP(B275,input_393100!L:R,7,FALSE),VLOOKUP(tables_393100!C275,input_393100!A:H,8,FALSE))</f>
        <v>52155</v>
      </c>
      <c r="P275" s="46">
        <f t="shared" ca="1" si="14"/>
        <v>9.9913793103448278E-3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input_393100!A$2</f>
        <v>393100</v>
      </c>
      <c r="B276" s="78">
        <v>855</v>
      </c>
      <c r="C276" s="7" t="str">
        <f t="shared" si="12"/>
        <v>Premium5R3less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豹魔の侠客 フラウロス</v>
      </c>
      <c r="I276" s="7" t="str">
        <f>VLOOKUP(B276,[1]characters!$A:$J,10,FALSE)</f>
        <v>PremiumS</v>
      </c>
      <c r="J276" s="7">
        <f>VLOOKUP(B276,[1]characters!$A:$I,9,FALSE)</f>
        <v>5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IFERROR(VLOOKUP(B276,input_393100!L:R,7,FALSE),VLOOKUP(tables_393100!C276,input_393100!A:H,8,FALSE))</f>
        <v>2745</v>
      </c>
      <c r="P276" s="46">
        <f t="shared" ca="1" si="14"/>
        <v>5.258620689655172E-4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input_393100!A$2</f>
        <v>393100</v>
      </c>
      <c r="B277" s="78">
        <v>862</v>
      </c>
      <c r="C277" s="7" t="str">
        <f t="shared" si="12"/>
        <v>Premium4R3less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ブレーメン</v>
      </c>
      <c r="I277" s="7" t="str">
        <f>VLOOKUP(B277,[1]characters!$A:$J,10,FALSE)</f>
        <v>PremiumS</v>
      </c>
      <c r="J277" s="7">
        <f>VLOOKUP(B277,[1]characters!$A:$I,9,FALSE)</f>
        <v>4</v>
      </c>
      <c r="K277" s="7" t="str">
        <f>VLOOKUP(B277,[1]characters!$A:$H,8,FALSE)</f>
        <v>red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IFERROR(VLOOKUP(B277,input_393100!L:R,7,FALSE),VLOOKUP(tables_393100!C277,input_393100!A:H,8,FALSE))</f>
        <v>52155</v>
      </c>
      <c r="P277" s="46">
        <f t="shared" ca="1" si="14"/>
        <v>9.9913793103448278E-3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input_393100!A$2</f>
        <v>393100</v>
      </c>
      <c r="B278" s="78">
        <v>863</v>
      </c>
      <c r="C278" s="7" t="str">
        <f t="shared" si="12"/>
        <v>Premium5R3less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歓揮の楽団長 ブレーメン</v>
      </c>
      <c r="I278" s="7" t="str">
        <f>VLOOKUP(B278,[1]characters!$A:$J,10,FALSE)</f>
        <v>PremiumS</v>
      </c>
      <c r="J278" s="7">
        <f>VLOOKUP(B278,[1]characters!$A:$I,9,FALSE)</f>
        <v>5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IFERROR(VLOOKUP(B278,input_393100!L:R,7,FALSE),VLOOKUP(tables_393100!C278,input_393100!A:H,8,FALSE))</f>
        <v>2745</v>
      </c>
      <c r="P278" s="46">
        <f t="shared" ca="1" si="14"/>
        <v>5.258620689655172E-4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input_393100!A$2</f>
        <v>393100</v>
      </c>
      <c r="B279" s="78">
        <v>864</v>
      </c>
      <c r="C279" s="7" t="str">
        <f t="shared" si="12"/>
        <v>Premium4R3less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ピノキオ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green</v>
      </c>
      <c r="L279" s="7" t="str">
        <f>VLOOKUP(B279,[1]characters!$A:$K,11,FALSE)</f>
        <v>attack</v>
      </c>
      <c r="M279" s="7" t="str">
        <f>VLOOKUP(B279,[1]characters!$A:$M,13,FALSE)</f>
        <v>machine</v>
      </c>
      <c r="N279" s="7" t="str">
        <f>VLOOKUP(B279,[1]characters!$A:$G,7,FALSE)</f>
        <v>男性</v>
      </c>
      <c r="O279" s="45">
        <f ca="1">IFERROR(VLOOKUP(B279,input_393100!L:R,7,FALSE),VLOOKUP(tables_393100!C279,input_393100!A:H,8,FALSE))</f>
        <v>52155</v>
      </c>
      <c r="P279" s="46">
        <f t="shared" ca="1" si="14"/>
        <v>9.9913793103448278E-3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input_393100!A$2</f>
        <v>393100</v>
      </c>
      <c r="B280" s="78">
        <v>865</v>
      </c>
      <c r="C280" s="7" t="str">
        <f t="shared" si="12"/>
        <v>Premium5R3less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無情の感線 ピノキオ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IFERROR(VLOOKUP(B280,input_393100!L:R,7,FALSE),VLOOKUP(tables_393100!C280,input_393100!A:H,8,FALSE))</f>
        <v>2745</v>
      </c>
      <c r="P280" s="46">
        <f t="shared" ca="1" si="14"/>
        <v>5.258620689655172E-4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input_393100!A$2</f>
        <v>393100</v>
      </c>
      <c r="B281" s="78">
        <v>866</v>
      </c>
      <c r="C281" s="7" t="str">
        <f t="shared" si="12"/>
        <v>PremiumSS5R5only</v>
      </c>
      <c r="D281" s="7" t="str">
        <f t="shared" si="13"/>
        <v>PremiumSS</v>
      </c>
      <c r="E281" s="7" t="str">
        <f>IF(COUNTIF('R6追加前'!A:A,B281)=0,IF(I281="PremiumSS","R5only","R3less"),"")</f>
        <v>R5only</v>
      </c>
      <c r="F281" s="7" t="str">
        <f>IF(COUNTIF('R6開放'!A:A,B281)&gt;0,"R6release","")</f>
        <v/>
      </c>
      <c r="G281" s="7"/>
      <c r="H281" s="7" t="str">
        <f>VLOOKUP(B281,[1]characters!$A:$C,3,FALSE)</f>
        <v>無敗の司令姫 白雪姫</v>
      </c>
      <c r="I281" s="7" t="str">
        <f>VLOOKUP(B281,[1]characters!$A:$J,10,FALSE)</f>
        <v>PremiumSS</v>
      </c>
      <c r="J281" s="7">
        <f>VLOOKUP(B281,[1]characters!$A:$I,9,FALSE)</f>
        <v>5</v>
      </c>
      <c r="K281" s="7" t="str">
        <f>VLOOKUP(B281,[1]characters!$A:$H,8,FALSE)</f>
        <v>blue</v>
      </c>
      <c r="L281" s="7" t="str">
        <f>VLOOKUP(B281,[1]characters!$A:$K,11,FALSE)</f>
        <v>balance</v>
      </c>
      <c r="M281" s="7" t="str">
        <f>VLOOKUP(B281,[1]characters!$A:$M,13,FALSE)</f>
        <v>human</v>
      </c>
      <c r="N281" s="7" t="str">
        <f>VLOOKUP(B281,[1]characters!$A:$G,7,FALSE)</f>
        <v>男性</v>
      </c>
      <c r="O281" s="45">
        <f ca="1">IFERROR(VLOOKUP(B281,input_393100!L:R,7,FALSE),VLOOKUP(tables_393100!C281,input_393100!A:H,8,FALSE))</f>
        <v>8700</v>
      </c>
      <c r="P281" s="46">
        <f t="shared" ca="1" si="14"/>
        <v>1.6666666666666668E-3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input_393100!A$2</f>
        <v>393100</v>
      </c>
      <c r="B282" s="78">
        <v>868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アラジンと殲滅機兵LAMP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IFERROR(VLOOKUP(B282,input_393100!L:R,7,FALSE),VLOOKUP(tables_393100!C282,input_393100!A:H,8,FALSE))</f>
        <v>8700</v>
      </c>
      <c r="P282" s="46">
        <f t="shared" ca="1" si="14"/>
        <v>1.6666666666666668E-3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input_393100!A$2</f>
        <v>393100</v>
      </c>
      <c r="B283" s="5">
        <v>742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アポロン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red</v>
      </c>
      <c r="L283" s="7" t="str">
        <f>VLOOKUP(B283,[1]characters!$A:$K,11,FALSE)</f>
        <v>attack</v>
      </c>
      <c r="M283" s="7" t="str">
        <f>VLOOKUP(B283,[1]characters!$A:$M,13,FALSE)</f>
        <v>god</v>
      </c>
      <c r="N283" s="7" t="str">
        <f>VLOOKUP(B283,[1]characters!$A:$G,7,FALSE)</f>
        <v>男性</v>
      </c>
      <c r="O283" s="45">
        <f ca="1">IFERROR(VLOOKUP(B283,input_393100!L:R,7,FALSE),VLOOKUP(tables_393100!C283,input_393100!A:H,8,FALSE))</f>
        <v>8700</v>
      </c>
      <c r="P283" s="46">
        <f t="shared" ca="1" si="14"/>
        <v>1.6666666666666668E-3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input_393100!A$2</f>
        <v>393100</v>
      </c>
      <c r="B284" s="5">
        <v>744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ヘルメス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green</v>
      </c>
      <c r="L284" s="7" t="str">
        <f>VLOOKUP(B284,[1]characters!$A:$K,11,FALSE)</f>
        <v>technical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IFERROR(VLOOKUP(B284,input_393100!L:R,7,FALSE),VLOOKUP(tables_393100!C284,input_393100!A:H,8,FALSE))</f>
        <v>8700</v>
      </c>
      <c r="P284" s="46">
        <f t="shared" ca="1" si="14"/>
        <v>1.6666666666666668E-3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input_393100!A$2</f>
        <v>393100</v>
      </c>
      <c r="B285" s="5">
        <v>746</v>
      </c>
      <c r="C285" s="7" t="str">
        <f t="shared" ref="C285:C286" si="17">D285&amp;J285&amp;E285&amp;F285&amp;G285</f>
        <v>Premium4R3less</v>
      </c>
      <c r="D285" s="7" t="str">
        <f t="shared" ref="D285:D286" si="18">IF(I285="PremiumSS",I285,IF(I285="PremiumSSS",I285,IF(I285="PremiumW",I285,"Premium")))</f>
        <v>Premium</v>
      </c>
      <c r="E285" s="7" t="str">
        <f>IF(COUNTIF('R6追加前'!A:A,B285)=0,IF(I285="PremiumSS","R5only","R3less"),"")</f>
        <v>R3less</v>
      </c>
      <c r="F285" s="7" t="str">
        <f>IF(COUNTIF('R6開放'!A:A,B285)&gt;0,"R6release","")</f>
        <v/>
      </c>
      <c r="G285" s="7"/>
      <c r="H285" s="7" t="str">
        <f>VLOOKUP(B285,[1]characters!$A:$C,3,FALSE)</f>
        <v>ノルン</v>
      </c>
      <c r="I285" s="7" t="str">
        <f>VLOOKUP(B285,[1]characters!$A:$J,10,FALSE)</f>
        <v>PremiumS</v>
      </c>
      <c r="J285" s="7">
        <f>VLOOKUP(B285,[1]characters!$A:$I,9,FALSE)</f>
        <v>4</v>
      </c>
      <c r="K285" s="7" t="str">
        <f>VLOOKUP(B285,[1]characters!$A:$H,8,FALSE)</f>
        <v>blue</v>
      </c>
      <c r="L285" s="7" t="str">
        <f>VLOOKUP(B285,[1]characters!$A:$K,11,FALSE)</f>
        <v>balance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IFERROR(VLOOKUP(B285,input_393100!L:R,7,FALSE),VLOOKUP(tables_393100!C285,input_393100!A:H,8,FALSE))</f>
        <v>52155</v>
      </c>
      <c r="P285" s="46">
        <f t="shared" ca="1" si="14"/>
        <v>9.9913793103448278E-3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input_393100!A$2</f>
        <v>393100</v>
      </c>
      <c r="B286" s="5">
        <v>747</v>
      </c>
      <c r="C286" s="7" t="str">
        <f t="shared" si="17"/>
        <v>Premium5R3less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潔碧の巡励神 ノルン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IFERROR(VLOOKUP(B286,input_393100!L:R,7,FALSE),VLOOKUP(tables_393100!C286,input_393100!A:H,8,FALSE))</f>
        <v>2745</v>
      </c>
      <c r="P286" s="46">
        <f t="shared" ca="1" si="14"/>
        <v>5.258620689655172E-4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input_393100!A$2</f>
        <v>393100</v>
      </c>
      <c r="B287" s="5">
        <v>748</v>
      </c>
      <c r="C287" s="7" t="str">
        <f t="shared" ref="C287:C289" si="19">D287&amp;J287&amp;E287&amp;F287&amp;G287</f>
        <v>Premium4R3less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パーン</v>
      </c>
      <c r="I287" s="7" t="str">
        <f>VLOOKUP(B287,[1]characters!$A:$J,10,FALSE)</f>
        <v>PremiumS</v>
      </c>
      <c r="J287" s="7">
        <f>VLOOKUP(B287,[1]characters!$A:$I,9,FALSE)</f>
        <v>4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animal</v>
      </c>
      <c r="N287" s="7" t="str">
        <f>VLOOKUP(B287,[1]characters!$A:$G,7,FALSE)</f>
        <v>男性</v>
      </c>
      <c r="O287" s="45">
        <f ca="1">IFERROR(VLOOKUP(B287,input_393100!L:R,7,FALSE),VLOOKUP(tables_393100!C287,input_393100!A:H,8,FALSE))</f>
        <v>52155</v>
      </c>
      <c r="P287" s="46">
        <f t="shared" ca="1" si="14"/>
        <v>9.9913793103448278E-3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input_393100!A$2</f>
        <v>393100</v>
      </c>
      <c r="B288" s="5">
        <v>749</v>
      </c>
      <c r="C288" s="7" t="str">
        <f t="shared" si="19"/>
        <v>Premium5R3less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光喜の牧童 パーン</v>
      </c>
      <c r="I288" s="7" t="str">
        <f>VLOOKUP(B288,[1]characters!$A:$J,10,FALSE)</f>
        <v>PremiumS</v>
      </c>
      <c r="J288" s="7">
        <f>VLOOKUP(B288,[1]characters!$A:$I,9,FALSE)</f>
        <v>5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IFERROR(VLOOKUP(B288,input_393100!L:R,7,FALSE),VLOOKUP(tables_393100!C288,input_393100!A:H,8,FALSE))</f>
        <v>2745</v>
      </c>
      <c r="P288" s="46">
        <f t="shared" ca="1" si="14"/>
        <v>5.258620689655172E-4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input_393100!A$2</f>
        <v>393100</v>
      </c>
      <c r="B289" s="5">
        <v>937</v>
      </c>
      <c r="C289" s="7" t="str">
        <f t="shared" si="19"/>
        <v>PremiumSS5R5only</v>
      </c>
      <c r="D289" s="7" t="str">
        <f t="shared" si="20"/>
        <v>PremiumSS</v>
      </c>
      <c r="E289" s="7" t="str">
        <f>IF(COUNTIF('R6追加前'!A:A,B289)=0,IF(I289="PremiumSS","R5only","R3less"),"")</f>
        <v>R5only</v>
      </c>
      <c r="F289" s="7" t="str">
        <f>IF(COUNTIF('R6開放'!A:A,B289)&gt;0,"R6release","")</f>
        <v/>
      </c>
      <c r="G289" s="7"/>
      <c r="H289" s="7" t="str">
        <f>VLOOKUP(B289,[1]characters!$A:$C,3,FALSE)</f>
        <v>ナポレオン</v>
      </c>
      <c r="I289" s="7" t="str">
        <f>VLOOKUP(B289,[1]characters!$A:$J,10,FALSE)</f>
        <v>PremiumSS</v>
      </c>
      <c r="J289" s="7">
        <f>VLOOKUP(B289,[1]characters!$A:$I,9,FALSE)</f>
        <v>5</v>
      </c>
      <c r="K289" s="7" t="str">
        <f>VLOOKUP(B289,[1]characters!$A:$H,8,FALSE)</f>
        <v>red</v>
      </c>
      <c r="L289" s="7" t="str">
        <f>VLOOKUP(B289,[1]characters!$A:$K,11,FALSE)</f>
        <v>balance</v>
      </c>
      <c r="M289" s="7" t="str">
        <f>VLOOKUP(B289,[1]characters!$A:$M,13,FALSE)</f>
        <v>human</v>
      </c>
      <c r="N289" s="7" t="str">
        <f>VLOOKUP(B289,[1]characters!$A:$G,7,FALSE)</f>
        <v>男性</v>
      </c>
      <c r="O289" s="45">
        <f ca="1">IFERROR(VLOOKUP(B289,input_393100!L:R,7,FALSE),VLOOKUP(tables_393100!C289,input_393100!A:H,8,FALSE))</f>
        <v>8700</v>
      </c>
      <c r="P289" s="46">
        <f t="shared" ca="1" si="14"/>
        <v>1.6666666666666668E-3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input_393100!A$2</f>
        <v>393100</v>
      </c>
      <c r="B290" s="5">
        <v>939</v>
      </c>
      <c r="C290" s="7" t="str">
        <f t="shared" ref="C290:C294" si="21">D290&amp;J290&amp;E290&amp;F290&amp;G290</f>
        <v>Premium4R3less</v>
      </c>
      <c r="D290" s="7" t="str">
        <f t="shared" ref="D290:D294" si="22">IF(I290="PremiumSS",I290,IF(I290="PremiumSSS",I290,IF(I290="PremiumW",I290,"Premium")))</f>
        <v>Premium</v>
      </c>
      <c r="E290" s="7" t="str">
        <f>IF(COUNTIF('R6追加前'!A:A,B290)=0,IF(I290="PremiumSS","R5only","R3less"),"")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バスティーユ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green</v>
      </c>
      <c r="L290" s="7" t="str">
        <f>VLOOKUP(B290,[1]characters!$A:$K,11,FALSE)</f>
        <v>hp</v>
      </c>
      <c r="M290" s="7" t="str">
        <f>VLOOKUP(B290,[1]characters!$A:$M,13,FALSE)</f>
        <v>unknown</v>
      </c>
      <c r="N290" s="7" t="str">
        <f>VLOOKUP(B290,[1]characters!$A:$G,7,FALSE)</f>
        <v>男性</v>
      </c>
      <c r="O290" s="45">
        <f ca="1">IFERROR(VLOOKUP(B290,input_393100!L:R,7,FALSE),VLOOKUP(tables_393100!C290,input_393100!A:H,8,FALSE))</f>
        <v>52155</v>
      </c>
      <c r="P290" s="46">
        <f t="shared" ca="1" si="14"/>
        <v>9.9913793103448278E-3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input_393100!A$2</f>
        <v>393100</v>
      </c>
      <c r="B291" s="5">
        <v>940</v>
      </c>
      <c r="C291" s="7" t="str">
        <f t="shared" si="21"/>
        <v>Premium5R3less</v>
      </c>
      <c r="D291" s="7" t="str">
        <f t="shared" si="22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不壊の大要塞 バスティーユ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IFERROR(VLOOKUP(B291,input_393100!L:R,7,FALSE),VLOOKUP(tables_393100!C291,input_393100!A:H,8,FALSE))</f>
        <v>2745</v>
      </c>
      <c r="P291" s="46">
        <f t="shared" ca="1" si="14"/>
        <v>5.258620689655172E-4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input_393100!A$2</f>
        <v>393100</v>
      </c>
      <c r="B292" s="5">
        <v>941</v>
      </c>
      <c r="C292" s="7" t="str">
        <f t="shared" si="21"/>
        <v>PremiumSS5R5only</v>
      </c>
      <c r="D292" s="7" t="str">
        <f t="shared" si="22"/>
        <v>PremiumSS</v>
      </c>
      <c r="E292" s="7" t="str">
        <f>IF(COUNTIF('R6追加前'!A:A,B292)=0,IF(I292="PremiumSS","R5only","R3less"),"")</f>
        <v>R5only</v>
      </c>
      <c r="F292" s="7" t="str">
        <f>IF(COUNTIF('R6開放'!A:A,B292)&gt;0,"R6release","")</f>
        <v/>
      </c>
      <c r="G292" s="7"/>
      <c r="H292" s="7" t="str">
        <f>VLOOKUP(B292,[1]characters!$A:$C,3,FALSE)</f>
        <v>アントワネット</v>
      </c>
      <c r="I292" s="7" t="str">
        <f>VLOOKUP(B292,[1]characters!$A:$J,10,FALSE)</f>
        <v>PremiumSS</v>
      </c>
      <c r="J292" s="7">
        <f>VLOOKUP(B292,[1]characters!$A:$I,9,FALSE)</f>
        <v>5</v>
      </c>
      <c r="K292" s="7" t="str">
        <f>VLOOKUP(B292,[1]characters!$A:$H,8,FALSE)</f>
        <v>blue</v>
      </c>
      <c r="L292" s="7" t="str">
        <f>VLOOKUP(B292,[1]characters!$A:$K,11,FALSE)</f>
        <v>technical</v>
      </c>
      <c r="M292" s="7" t="str">
        <f>VLOOKUP(B292,[1]characters!$A:$M,13,FALSE)</f>
        <v>human</v>
      </c>
      <c r="N292" s="7" t="str">
        <f>VLOOKUP(B292,[1]characters!$A:$G,7,FALSE)</f>
        <v>男性</v>
      </c>
      <c r="O292" s="45">
        <f ca="1">IFERROR(VLOOKUP(B292,input_393100!L:R,7,FALSE),VLOOKUP(tables_393100!C292,input_393100!A:H,8,FALSE))</f>
        <v>8700</v>
      </c>
      <c r="P292" s="46">
        <f t="shared" ca="1" si="14"/>
        <v>1.6666666666666668E-3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input_393100!A$2</f>
        <v>393100</v>
      </c>
      <c r="B293" s="5">
        <v>943</v>
      </c>
      <c r="C293" s="7" t="str">
        <f t="shared" si="21"/>
        <v>PremiumSS5R5only</v>
      </c>
      <c r="D293" s="7" t="str">
        <f t="shared" si="22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サンソン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yellow</v>
      </c>
      <c r="L293" s="7" t="str">
        <f>VLOOKUP(B293,[1]characters!$A:$K,11,FALSE)</f>
        <v>attack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IFERROR(VLOOKUP(B293,input_393100!L:R,7,FALSE),VLOOKUP(tables_393100!C293,input_393100!A:H,8,FALSE))</f>
        <v>8700</v>
      </c>
      <c r="P293" s="46">
        <f t="shared" ca="1" si="14"/>
        <v>1.6666666666666668E-3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input_393100!A$2</f>
        <v>393100</v>
      </c>
      <c r="B294" s="5">
        <v>1012</v>
      </c>
      <c r="C294" s="7" t="str">
        <f t="shared" si="21"/>
        <v>PremiumSS5R5only</v>
      </c>
      <c r="D294" s="7" t="str">
        <f t="shared" si="22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ラー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red</v>
      </c>
      <c r="L294" s="7" t="str">
        <f>VLOOKUP(B294,[1]characters!$A:$K,11,FALSE)</f>
        <v>balance</v>
      </c>
      <c r="M294" s="7" t="str">
        <f>VLOOKUP(B294,[1]characters!$A:$M,13,FALSE)</f>
        <v>god</v>
      </c>
      <c r="N294" s="7" t="str">
        <f>VLOOKUP(B294,[1]characters!$A:$G,7,FALSE)</f>
        <v>男性</v>
      </c>
      <c r="O294" s="45">
        <f ca="1">IFERROR(VLOOKUP(B294,input_393100!L:R,7,FALSE),VLOOKUP(tables_393100!C294,input_393100!A:H,8,FALSE))</f>
        <v>8700</v>
      </c>
      <c r="P294" s="46">
        <f t="shared" ca="1" si="14"/>
        <v>1.6666666666666668E-3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input_393100!A$2</f>
        <v>393100</v>
      </c>
      <c r="B295" s="5">
        <v>1014</v>
      </c>
      <c r="C295" s="7" t="str">
        <f t="shared" ref="C295:C301" si="23">D295&amp;J295&amp;E295&amp;F295&amp;G295</f>
        <v>PremiumSS5R5only</v>
      </c>
      <c r="D295" s="7" t="str">
        <f t="shared" ref="D295:D301" si="24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イシス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green</v>
      </c>
      <c r="L295" s="7" t="str">
        <f>VLOOKUP(B295,[1]characters!$A:$K,11,FALSE)</f>
        <v>hp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IFERROR(VLOOKUP(B295,input_393100!L:R,7,FALSE),VLOOKUP(tables_393100!C295,input_393100!A:H,8,FALSE))</f>
        <v>8700</v>
      </c>
      <c r="P295" s="46">
        <f t="shared" ca="1" si="14"/>
        <v>1.6666666666666668E-3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input_393100!A$2</f>
        <v>393100</v>
      </c>
      <c r="B296" s="5">
        <v>1016</v>
      </c>
      <c r="C296" s="7" t="str">
        <f t="shared" si="23"/>
        <v>Premium4R3less</v>
      </c>
      <c r="D296" s="7" t="str">
        <f t="shared" si="24"/>
        <v>Premium</v>
      </c>
      <c r="E296" s="7" t="str">
        <f>IF(COUNTIF('R6追加前'!A:A,B296)=0,IF(I296="PremiumSS","R5only","R3less"),"")</f>
        <v>R3less</v>
      </c>
      <c r="F296" s="7" t="str">
        <f>IF(COUNTIF('R6開放'!A:A,B296)&gt;0,"R6release","")</f>
        <v/>
      </c>
      <c r="G296" s="7"/>
      <c r="H296" s="7" t="str">
        <f>VLOOKUP(B296,[1]characters!$A:$C,3,FALSE)</f>
        <v>ハトホル</v>
      </c>
      <c r="I296" s="7" t="str">
        <f>VLOOKUP(B296,[1]characters!$A:$J,10,FALSE)</f>
        <v>PremiumS</v>
      </c>
      <c r="J296" s="7">
        <f>VLOOKUP(B296,[1]characters!$A:$I,9,FALSE)</f>
        <v>4</v>
      </c>
      <c r="K296" s="7" t="str">
        <f>VLOOKUP(B296,[1]characters!$A:$H,8,FALSE)</f>
        <v>blue</v>
      </c>
      <c r="L296" s="7" t="str">
        <f>VLOOKUP(B296,[1]characters!$A:$K,11,FALSE)</f>
        <v>heal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IFERROR(VLOOKUP(B296,input_393100!L:R,7,FALSE),VLOOKUP(tables_393100!C296,input_393100!A:H,8,FALSE))</f>
        <v>52155</v>
      </c>
      <c r="P296" s="46">
        <f t="shared" ca="1" si="14"/>
        <v>9.9913793103448278E-3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input_393100!A$2</f>
        <v>393100</v>
      </c>
      <c r="B297" s="5">
        <v>1017</v>
      </c>
      <c r="C297" s="7" t="str">
        <f t="shared" si="23"/>
        <v>Premium5R3less</v>
      </c>
      <c r="D297" s="7" t="str">
        <f t="shared" si="24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命瞳の慈母神 ハトホル</v>
      </c>
      <c r="I297" s="7" t="str">
        <f>VLOOKUP(B297,[1]characters!$A:$J,10,FALSE)</f>
        <v>PremiumS</v>
      </c>
      <c r="J297" s="7">
        <f>VLOOKUP(B297,[1]characters!$A:$I,9,FALSE)</f>
        <v>5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IFERROR(VLOOKUP(B297,input_393100!L:R,7,FALSE),VLOOKUP(tables_393100!C297,input_393100!A:H,8,FALSE))</f>
        <v>2745</v>
      </c>
      <c r="P297" s="46">
        <f t="shared" ca="1" si="14"/>
        <v>5.258620689655172E-4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input_393100!A$2</f>
        <v>393100</v>
      </c>
      <c r="B298" s="5">
        <v>1018</v>
      </c>
      <c r="C298" s="7" t="str">
        <f t="shared" si="23"/>
        <v>PremiumSS5R5only</v>
      </c>
      <c r="D298" s="7" t="str">
        <f t="shared" si="24"/>
        <v>PremiumSS</v>
      </c>
      <c r="E298" s="7" t="str">
        <f>IF(COUNTIF('R6追加前'!A:A,B298)=0,IF(I298="PremiumSS","R5only","R3less"),"")</f>
        <v>R5only</v>
      </c>
      <c r="F298" s="7" t="str">
        <f>IF(COUNTIF('R6開放'!A:A,B298)&gt;0,"R6release","")</f>
        <v/>
      </c>
      <c r="G298" s="7"/>
      <c r="H298" s="7" t="str">
        <f>VLOOKUP(B298,[1]characters!$A:$C,3,FALSE)</f>
        <v>バステト</v>
      </c>
      <c r="I298" s="7" t="str">
        <f>VLOOKUP(B298,[1]characters!$A:$J,10,FALSE)</f>
        <v>PremiumSS</v>
      </c>
      <c r="J298" s="7">
        <f>VLOOKUP(B298,[1]characters!$A:$I,9,FALSE)</f>
        <v>5</v>
      </c>
      <c r="K298" s="7" t="str">
        <f>VLOOKUP(B298,[1]characters!$A:$H,8,FALSE)</f>
        <v>yellow</v>
      </c>
      <c r="L298" s="7" t="str">
        <f>VLOOKUP(B298,[1]characters!$A:$K,11,FALSE)</f>
        <v>attack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IFERROR(VLOOKUP(B298,input_393100!L:R,7,FALSE),VLOOKUP(tables_393100!C298,input_393100!A:H,8,FALSE))</f>
        <v>8700</v>
      </c>
      <c r="P298" s="46">
        <f t="shared" ca="1" si="14"/>
        <v>1.6666666666666668E-3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input_393100!A$2</f>
        <v>393100</v>
      </c>
      <c r="B299" s="5">
        <v>1026</v>
      </c>
      <c r="C299" s="7" t="str">
        <f t="shared" si="23"/>
        <v>Premium4R3less</v>
      </c>
      <c r="D299" s="7" t="str">
        <f t="shared" si="24"/>
        <v>Premium</v>
      </c>
      <c r="E299" s="7" t="str">
        <f>IF(COUNTIF('R6追加前'!A:A,B299)=0,IF(I299="PremiumSS","R5only","R3less"),"")</f>
        <v>R3less</v>
      </c>
      <c r="F299" s="7" t="str">
        <f>IF(COUNTIF('R6開放'!A:A,B299)&gt;0,"R6release","")</f>
        <v/>
      </c>
      <c r="G299" s="7"/>
      <c r="H299" s="7" t="str">
        <f>VLOOKUP(B299,[1]characters!$A:$C,3,FALSE)</f>
        <v>蝉丸</v>
      </c>
      <c r="I299" s="7" t="str">
        <f>VLOOKUP(B299,[1]characters!$A:$J,10,FALSE)</f>
        <v>PremiumS</v>
      </c>
      <c r="J299" s="7">
        <f>VLOOKUP(B299,[1]characters!$A:$I,9,FALSE)</f>
        <v>4</v>
      </c>
      <c r="K299" s="7" t="str">
        <f>VLOOKUP(B299,[1]characters!$A:$H,8,FALSE)</f>
        <v>red</v>
      </c>
      <c r="L299" s="7" t="str">
        <f>VLOOKUP(B299,[1]characters!$A:$K,11,FALSE)</f>
        <v>attack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IFERROR(VLOOKUP(B299,input_393100!L:R,7,FALSE),VLOOKUP(tables_393100!C299,input_393100!A:H,8,FALSE))</f>
        <v>52155</v>
      </c>
      <c r="P299" s="46">
        <f t="shared" ca="1" si="14"/>
        <v>9.9913793103448278E-3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input_393100!A$2</f>
        <v>393100</v>
      </c>
      <c r="B300" s="5">
        <v>1027</v>
      </c>
      <c r="C300" s="7" t="str">
        <f t="shared" si="23"/>
        <v>Premium5R3less</v>
      </c>
      <c r="D300" s="7" t="str">
        <f t="shared" si="24"/>
        <v>Premium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弾丸多重奏 蝉丸</v>
      </c>
      <c r="I300" s="7" t="str">
        <f>VLOOKUP(B300,[1]characters!$A:$J,10,FALSE)</f>
        <v>PremiumS</v>
      </c>
      <c r="J300" s="7">
        <f>VLOOKUP(B300,[1]characters!$A:$I,9,FALSE)</f>
        <v>5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IFERROR(VLOOKUP(B300,input_393100!L:R,7,FALSE),VLOOKUP(tables_393100!C300,input_393100!A:H,8,FALSE))</f>
        <v>2745</v>
      </c>
      <c r="P300" s="46">
        <f t="shared" ca="1" si="14"/>
        <v>5.258620689655172E-4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input_393100!A$2</f>
        <v>393100</v>
      </c>
      <c r="B301" s="5">
        <v>1028</v>
      </c>
      <c r="C301" s="7" t="str">
        <f t="shared" si="23"/>
        <v>PremiumSS5R5only</v>
      </c>
      <c r="D301" s="7" t="str">
        <f t="shared" si="24"/>
        <v>PremiumSS</v>
      </c>
      <c r="E301" s="7" t="str">
        <f>IF(COUNTIF('R6追加前'!A:A,B301)=0,IF(I301="PremiumSS","R5only","R3less"),"")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牛若丸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green</v>
      </c>
      <c r="L301" s="7" t="str">
        <f>VLOOKUP(B301,[1]characters!$A:$K,11,FALSE)</f>
        <v>balance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IFERROR(VLOOKUP(B301,input_393100!L:R,7,FALSE),VLOOKUP(tables_393100!C301,input_393100!A:H,8,FALSE))</f>
        <v>8700</v>
      </c>
      <c r="P301" s="46">
        <f t="shared" ca="1" si="14"/>
        <v>1.6666666666666668E-3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input_393100!A$2</f>
        <v>393100</v>
      </c>
      <c r="B302" s="5">
        <v>1031</v>
      </c>
      <c r="C302" s="7" t="str">
        <f t="shared" ref="C302:C303" si="25">D302&amp;J302&amp;E302&amp;F302&amp;G302</f>
        <v>PremiumSS5R5only</v>
      </c>
      <c r="D302" s="7" t="str">
        <f t="shared" ref="D302:D303" si="26">IF(I302="PremiumSS",I302,IF(I302="PremiumSSS",I302,IF(I302="PremiumW",I302,"Premium")))</f>
        <v>PremiumSS</v>
      </c>
      <c r="E302" s="7" t="str">
        <f>IF(COUNTIF('R6追加前'!A:A,B302)=0,IF(I302="PremiumSS","R5only","R3less"),"")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紫式部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blue</v>
      </c>
      <c r="L302" s="7" t="str">
        <f>VLOOKUP(B302,[1]characters!$A:$K,11,FALSE)</f>
        <v>technical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IFERROR(VLOOKUP(B302,input_393100!L:R,7,FALSE),VLOOKUP(tables_393100!C302,input_393100!A:H,8,FALSE))</f>
        <v>8700</v>
      </c>
      <c r="P302" s="46">
        <f t="shared" ca="1" si="14"/>
        <v>1.6666666666666668E-3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input_393100!A$2</f>
        <v>393100</v>
      </c>
      <c r="B303" s="5">
        <v>1033</v>
      </c>
      <c r="C303" s="7" t="str">
        <f t="shared" si="25"/>
        <v>PremiumSS5R5only</v>
      </c>
      <c r="D303" s="7" t="str">
        <f t="shared" si="26"/>
        <v>PremiumSS</v>
      </c>
      <c r="E303" s="7" t="str">
        <f>IF(COUNTIF('R6追加前'!A:A,B303)=0,IF(I303="PremiumSS","R5only","R3less"),"")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清少納言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yellow</v>
      </c>
      <c r="L303" s="7" t="str">
        <f>VLOOKUP(B303,[1]characters!$A:$K,11,FALSE)</f>
        <v>heal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IFERROR(VLOOKUP(B303,input_393100!L:R,7,FALSE),VLOOKUP(tables_393100!C303,input_393100!A:H,8,FALSE))</f>
        <v>8700</v>
      </c>
      <c r="P303" s="46">
        <f t="shared" ca="1" si="14"/>
        <v>1.6666666666666668E-3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input_393100!A$2</f>
        <v>393100</v>
      </c>
      <c r="B304" s="5">
        <v>1039</v>
      </c>
      <c r="C304" s="7" t="str">
        <f t="shared" ref="C304:C308" si="27">D304&amp;J304&amp;E304&amp;F304&amp;G304</f>
        <v>PremiumSSS5R3less</v>
      </c>
      <c r="D304" s="7" t="str">
        <f t="shared" ref="D304:D308" si="28">IF(I304="PremiumSS",I304,IF(I304="PremiumSSS",I304,IF(I304="PremiumW",I304,"Premium")))</f>
        <v>PremiumSSS</v>
      </c>
      <c r="E304" s="7" t="str">
        <f>IF(COUNTIF('R6追加前'!A:A,B304)=0,IF(I304="PremiumSS","R5only","R3less"),"")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R5 ディラック</v>
      </c>
      <c r="I304" s="7" t="str">
        <f>VLOOKUP(B304,[1]characters!$A:$J,10,FALSE)</f>
        <v>PremiumSSS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technical</v>
      </c>
      <c r="M304" s="7" t="str">
        <f>VLOOKUP(B304,[1]characters!$A:$M,13,FALSE)</f>
        <v>academia</v>
      </c>
      <c r="N304" s="7" t="str">
        <f>VLOOKUP(B304,[1]characters!$A:$G,7,FALSE)</f>
        <v>男性</v>
      </c>
      <c r="O304" s="45">
        <f>IFERROR(VLOOKUP(B304,input_393100!L:R,7,FALSE),VLOOKUP(tables_393100!C304,input_393100!A:H,8,FALSE))</f>
        <v>13050</v>
      </c>
      <c r="P304" s="46">
        <f t="shared" ca="1" si="14"/>
        <v>2.5000000000000001E-3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input_393100!A$2</f>
        <v>393100</v>
      </c>
      <c r="B305" s="5">
        <v>484</v>
      </c>
      <c r="C305" s="7" t="str">
        <f t="shared" si="27"/>
        <v>PremiumSSS4R3less</v>
      </c>
      <c r="D305" s="7" t="str">
        <f t="shared" si="28"/>
        <v>PremiumSSS</v>
      </c>
      <c r="E305" s="7" t="str">
        <f>IF(COUNTIF('R6追加前'!A:A,B305)=0,IF(I305="PremiumSS","R5only","R3less"),"")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ラグランジュ</v>
      </c>
      <c r="I305" s="7" t="str">
        <f>VLOOKUP(B305,[1]characters!$A:$J,10,FALSE)</f>
        <v>PremiumSSS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technical</v>
      </c>
      <c r="M305" s="7" t="str">
        <f>VLOOKUP(B305,[1]characters!$A:$M,13,FALSE)</f>
        <v>human</v>
      </c>
      <c r="N305" s="7" t="str">
        <f>VLOOKUP(B305,[1]characters!$A:$G,7,FALSE)</f>
        <v>女性</v>
      </c>
      <c r="O305" s="45">
        <f>IFERROR(VLOOKUP(B305,input_393100!L:R,7,FALSE),VLOOKUP(tables_393100!C305,input_393100!A:H,8,FALSE))</f>
        <v>6525</v>
      </c>
      <c r="P305" s="46">
        <f t="shared" ca="1" si="14"/>
        <v>1.25E-3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input_393100!A$2</f>
        <v>393100</v>
      </c>
      <c r="B306" s="5">
        <v>485</v>
      </c>
      <c r="C306" s="7" t="str">
        <f t="shared" si="27"/>
        <v>PremiumSSS5R3less</v>
      </c>
      <c r="D306" s="7" t="str">
        <f t="shared" si="28"/>
        <v>PremiumSSS</v>
      </c>
      <c r="E306" s="7" t="str">
        <f>IF(COUNTIF('R6追加前'!A:A,B306)=0,IF(I306="PremiumSS","R5only","R3less"),"")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超越自我 ラグランジュ</v>
      </c>
      <c r="I306" s="7" t="str">
        <f>VLOOKUP(B306,[1]characters!$A:$J,10,FALSE)</f>
        <v>PremiumSSS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technical</v>
      </c>
      <c r="M306" s="7" t="str">
        <f>VLOOKUP(B306,[1]characters!$A:$M,13,FALSE)</f>
        <v>human</v>
      </c>
      <c r="N306" s="7" t="str">
        <f>VLOOKUP(B306,[1]characters!$A:$G,7,FALSE)</f>
        <v>女性</v>
      </c>
      <c r="O306" s="45">
        <f>IFERROR(VLOOKUP(B306,input_393100!L:R,7,FALSE),VLOOKUP(tables_393100!C306,input_393100!A:H,8,FALSE))</f>
        <v>6525</v>
      </c>
      <c r="P306" s="46">
        <f t="shared" ca="1" si="14"/>
        <v>1.25E-3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input_393100!A$2</f>
        <v>393100</v>
      </c>
      <c r="B307" s="5">
        <v>760</v>
      </c>
      <c r="C307" s="7" t="str">
        <f t="shared" si="27"/>
        <v>PremiumSSS5R3less</v>
      </c>
      <c r="D307" s="7" t="str">
        <f t="shared" si="28"/>
        <v>PremiumSSS</v>
      </c>
      <c r="E307" s="7" t="str">
        <f>IF(COUNTIF('R6追加前'!A:A,B307)=0,IF(I307="PremiumSS","R5only","R3less"),"")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限論顕現 クロネッカー</v>
      </c>
      <c r="I307" s="7" t="str">
        <f>VLOOKUP(B307,[1]characters!$A:$J,10,FALSE)</f>
        <v>PremiumSSS</v>
      </c>
      <c r="J307" s="7">
        <f>VLOOKUP(B307,[1]characters!$A:$I,9,FALSE)</f>
        <v>5</v>
      </c>
      <c r="K307" s="7" t="str">
        <f>VLOOKUP(B307,[1]characters!$A:$H,8,FALSE)</f>
        <v>yellow</v>
      </c>
      <c r="L307" s="7" t="str">
        <f>VLOOKUP(B307,[1]characters!$A:$K,11,FALSE)</f>
        <v>balance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>IFERROR(VLOOKUP(B307,input_393100!L:R,7,FALSE),VLOOKUP(tables_393100!C307,input_393100!A:H,8,FALSE))</f>
        <v>13050</v>
      </c>
      <c r="P307" s="46">
        <f t="shared" ca="1" si="14"/>
        <v>2.5000000000000001E-3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input_393100!A$2</f>
        <v>393100</v>
      </c>
      <c r="B308" s="5">
        <v>750</v>
      </c>
      <c r="C308" s="7" t="str">
        <f t="shared" si="27"/>
        <v>PremiumSSS5R3less</v>
      </c>
      <c r="D308" s="7" t="str">
        <f t="shared" si="28"/>
        <v>PremiumSSS</v>
      </c>
      <c r="E308" s="7" t="str">
        <f>IF(COUNTIF('R6追加前'!A:A,B308)=0,IF(I308="PremiumSS","R5only","R3less"),"")</f>
        <v>R3less</v>
      </c>
      <c r="F308" s="7" t="str">
        <f>IF(COUNTIF('R6開放'!A:A,B308)&gt;0,"R6release","")</f>
        <v/>
      </c>
      <c r="G308" s="7"/>
      <c r="H308" s="7" t="str">
        <f>VLOOKUP(B308,[1]characters!$A:$C,3,FALSE)</f>
        <v>ポアソン</v>
      </c>
      <c r="I308" s="7" t="str">
        <f>VLOOKUP(B308,[1]characters!$A:$J,10,FALSE)</f>
        <v>PremiumSSS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academia</v>
      </c>
      <c r="N308" s="7" t="str">
        <f>VLOOKUP(B308,[1]characters!$A:$G,7,FALSE)</f>
        <v>男性</v>
      </c>
      <c r="O308" s="45">
        <f>IFERROR(VLOOKUP(B308,input_393100!L:R,7,FALSE),VLOOKUP(tables_393100!C308,input_393100!A:H,8,FALSE))</f>
        <v>13050</v>
      </c>
      <c r="P308" s="46">
        <f t="shared" ca="1" si="14"/>
        <v>2.5000000000000001E-3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</sheetData>
  <autoFilter ref="A1:V308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17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 activeCell="X63" sqref="X6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3.5976562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164</v>
      </c>
      <c r="F1" s="3" t="s">
        <v>165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4" t="str">
        <f ca="1">input_393100!A$2</f>
        <v>393100</v>
      </c>
      <c r="B2" s="6">
        <v>168</v>
      </c>
      <c r="C2" s="7" t="str">
        <f t="shared" ref="C2:C3" si="0">D2&amp;J2&amp;E2&amp;F2&amp;G2</f>
        <v>Premium5R6release</v>
      </c>
      <c r="D2" s="7" t="str">
        <f t="shared" ref="D2:D3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IF(D2="PremiumSS",0.075/COUNTIF(D:D,"PremiumSS"),0.915/COUNTIF(D:D,"Premium"))*100000</f>
        <v>1365.6716417910447</v>
      </c>
      <c r="P2" s="46">
        <f t="shared" ref="P2:P33" si="2">O2/SUM(O:O)</f>
        <v>1.3651710111679942E-2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84" t="str">
        <f ca="1">input_393100!A$2</f>
        <v>393100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 t="shared" ref="O3:O33" si="3">ROUND(IF(D3="PremiumSS",0.075/COUNTIF(D:D,"PremiumSS"),0.915/COUNTIF(D:D,"Premium"))*100000,0)</f>
        <v>1366</v>
      </c>
      <c r="P3" s="46">
        <f t="shared" si="2"/>
        <v>1.365499249006745E-2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84" t="str">
        <f ca="1">input_393100!A$2</f>
        <v>393100</v>
      </c>
      <c r="B4" s="6">
        <v>174</v>
      </c>
      <c r="C4" s="7" t="str">
        <f t="shared" ref="C4:C6" si="4">D4&amp;J4&amp;E4&amp;F4&amp;G4</f>
        <v>Premium5R6release</v>
      </c>
      <c r="D4" s="7" t="str">
        <f t="shared" ref="D4:D6" si="5">IF(I4="PremiumSS",I4,IF(I4="PremiumSSS",I4,IF(I4="PremiumW",I4,"Premium")))</f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 t="shared" si="3"/>
        <v>1366</v>
      </c>
      <c r="P4" s="46">
        <f t="shared" si="2"/>
        <v>1.365499249006745E-2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84" t="str">
        <f ca="1">input_393100!A$2</f>
        <v>393100</v>
      </c>
      <c r="B5" s="6">
        <v>177</v>
      </c>
      <c r="C5" s="7" t="str">
        <f t="shared" si="4"/>
        <v>Premium5</v>
      </c>
      <c r="D5" s="7" t="str">
        <f t="shared" si="5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3"/>
        <v>1366</v>
      </c>
      <c r="P5" s="46">
        <f t="shared" si="2"/>
        <v>1.365499249006745E-2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84" t="str">
        <f ca="1">input_393100!A$2</f>
        <v>393100</v>
      </c>
      <c r="B6" s="6">
        <v>180</v>
      </c>
      <c r="C6" s="7" t="str">
        <f t="shared" si="4"/>
        <v>Premium5</v>
      </c>
      <c r="D6" s="7" t="str">
        <f t="shared" si="5"/>
        <v>Premium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3"/>
        <v>1366</v>
      </c>
      <c r="P6" s="46">
        <f t="shared" si="2"/>
        <v>1.365499249006745E-2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84" t="str">
        <f ca="1">input_393100!A$2</f>
        <v>393100</v>
      </c>
      <c r="B7" s="6">
        <v>183</v>
      </c>
      <c r="C7" s="7" t="str">
        <f t="shared" ref="C7:C70" si="6">D7&amp;J7&amp;E7&amp;F7&amp;G7</f>
        <v>Premium5</v>
      </c>
      <c r="D7" s="7" t="str">
        <f t="shared" ref="D7:D70" si="7">IF(I7="PremiumSS",I7,IF(I7="PremiumSSS",I7,IF(I7="PremiumW",I7,"Premium")))</f>
        <v>Premium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3"/>
        <v>1366</v>
      </c>
      <c r="P7" s="46">
        <f t="shared" si="2"/>
        <v>1.365499249006745E-2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84" t="str">
        <f ca="1">input_393100!A$2</f>
        <v>393100</v>
      </c>
      <c r="B8" s="8">
        <v>186</v>
      </c>
      <c r="C8" s="7" t="str">
        <f t="shared" si="6"/>
        <v>Premium5</v>
      </c>
      <c r="D8" s="7" t="str">
        <f t="shared" si="7"/>
        <v>Premium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3"/>
        <v>1366</v>
      </c>
      <c r="P8" s="46">
        <f t="shared" si="2"/>
        <v>1.365499249006745E-2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84" t="str">
        <f ca="1">input_393100!A$2</f>
        <v>393100</v>
      </c>
      <c r="B9" s="8">
        <v>189</v>
      </c>
      <c r="C9" s="7" t="str">
        <f t="shared" si="6"/>
        <v>Premium5</v>
      </c>
      <c r="D9" s="7" t="str">
        <f t="shared" si="7"/>
        <v>Premium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3"/>
        <v>1366</v>
      </c>
      <c r="P9" s="46">
        <f t="shared" si="2"/>
        <v>1.365499249006745E-2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84" t="str">
        <f ca="1">input_393100!A$2</f>
        <v>393100</v>
      </c>
      <c r="B10" s="6">
        <v>192</v>
      </c>
      <c r="C10" s="7" t="str">
        <f t="shared" si="6"/>
        <v>Premium5</v>
      </c>
      <c r="D10" s="7" t="str">
        <f t="shared" si="7"/>
        <v>Premium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3"/>
        <v>1366</v>
      </c>
      <c r="P10" s="46">
        <f t="shared" si="2"/>
        <v>1.365499249006745E-2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84" t="str">
        <f ca="1">input_393100!A$2</f>
        <v>393100</v>
      </c>
      <c r="B11" s="6">
        <v>195</v>
      </c>
      <c r="C11" s="7" t="str">
        <f t="shared" si="6"/>
        <v>Premium5</v>
      </c>
      <c r="D11" s="7" t="str">
        <f t="shared" si="7"/>
        <v>Premium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3"/>
        <v>1366</v>
      </c>
      <c r="P11" s="46">
        <f t="shared" si="2"/>
        <v>1.365499249006745E-2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84" t="str">
        <f ca="1">input_393100!A$2</f>
        <v>393100</v>
      </c>
      <c r="B12" s="6">
        <v>198</v>
      </c>
      <c r="C12" s="7" t="str">
        <f t="shared" si="6"/>
        <v>Premium5</v>
      </c>
      <c r="D12" s="7" t="str">
        <f t="shared" si="7"/>
        <v>Premium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3"/>
        <v>1366</v>
      </c>
      <c r="P12" s="46">
        <f t="shared" si="2"/>
        <v>1.365499249006745E-2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84" t="str">
        <f ca="1">input_393100!A$2</f>
        <v>393100</v>
      </c>
      <c r="B13" s="5">
        <v>201</v>
      </c>
      <c r="C13" s="7" t="str">
        <f t="shared" si="6"/>
        <v>Premium5</v>
      </c>
      <c r="D13" s="7" t="str">
        <f t="shared" si="7"/>
        <v>Premium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3"/>
        <v>1366</v>
      </c>
      <c r="P13" s="46">
        <f t="shared" si="2"/>
        <v>1.365499249006745E-2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84" t="str">
        <f ca="1">input_393100!A$2</f>
        <v>393100</v>
      </c>
      <c r="B14" s="5">
        <v>204</v>
      </c>
      <c r="C14" s="7" t="str">
        <f t="shared" si="6"/>
        <v>Premium5</v>
      </c>
      <c r="D14" s="7" t="str">
        <f t="shared" si="7"/>
        <v>Premium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3"/>
        <v>1366</v>
      </c>
      <c r="P14" s="46">
        <f t="shared" si="2"/>
        <v>1.365499249006745E-2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84" t="str">
        <f ca="1">input_393100!A$2</f>
        <v>393100</v>
      </c>
      <c r="B15" s="5">
        <v>207</v>
      </c>
      <c r="C15" s="7" t="str">
        <f t="shared" si="6"/>
        <v>Premium5</v>
      </c>
      <c r="D15" s="7" t="str">
        <f t="shared" si="7"/>
        <v>Premium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3"/>
        <v>1366</v>
      </c>
      <c r="P15" s="46">
        <f t="shared" si="2"/>
        <v>1.365499249006745E-2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84" t="str">
        <f ca="1">input_393100!A$2</f>
        <v>393100</v>
      </c>
      <c r="B16" s="5">
        <v>210</v>
      </c>
      <c r="C16" s="7" t="str">
        <f t="shared" si="6"/>
        <v>Premium5</v>
      </c>
      <c r="D16" s="7" t="str">
        <f t="shared" si="7"/>
        <v>Premium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3"/>
        <v>1366</v>
      </c>
      <c r="P16" s="46">
        <f t="shared" si="2"/>
        <v>1.365499249006745E-2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84" t="str">
        <f ca="1">input_393100!A$2</f>
        <v>393100</v>
      </c>
      <c r="B17" s="5">
        <v>213</v>
      </c>
      <c r="C17" s="7" t="str">
        <f t="shared" si="6"/>
        <v>Premium5</v>
      </c>
      <c r="D17" s="7" t="str">
        <f t="shared" si="7"/>
        <v>Premium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3"/>
        <v>1366</v>
      </c>
      <c r="P17" s="46">
        <f t="shared" si="2"/>
        <v>1.365499249006745E-2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84" t="str">
        <f ca="1">input_393100!A$2</f>
        <v>393100</v>
      </c>
      <c r="B18" s="5">
        <v>216</v>
      </c>
      <c r="C18" s="7" t="str">
        <f t="shared" si="6"/>
        <v>Premium5</v>
      </c>
      <c r="D18" s="7" t="str">
        <f t="shared" si="7"/>
        <v>Premium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3"/>
        <v>1366</v>
      </c>
      <c r="P18" s="46">
        <f t="shared" si="2"/>
        <v>1.365499249006745E-2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84" t="str">
        <f ca="1">input_393100!A$2</f>
        <v>393100</v>
      </c>
      <c r="B19" s="5">
        <v>219</v>
      </c>
      <c r="C19" s="7" t="str">
        <f t="shared" si="6"/>
        <v>Premium5</v>
      </c>
      <c r="D19" s="7" t="str">
        <f t="shared" si="7"/>
        <v>Premium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3"/>
        <v>1366</v>
      </c>
      <c r="P19" s="46">
        <f t="shared" si="2"/>
        <v>1.365499249006745E-2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84" t="str">
        <f ca="1">input_393100!A$2</f>
        <v>393100</v>
      </c>
      <c r="B20" s="5">
        <v>222</v>
      </c>
      <c r="C20" s="7" t="str">
        <f t="shared" si="6"/>
        <v>Premium5</v>
      </c>
      <c r="D20" s="7" t="str">
        <f t="shared" si="7"/>
        <v>Premium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3"/>
        <v>1366</v>
      </c>
      <c r="P20" s="46">
        <f t="shared" si="2"/>
        <v>1.365499249006745E-2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84" t="str">
        <f ca="1">input_393100!A$2</f>
        <v>393100</v>
      </c>
      <c r="B21" s="5">
        <v>225</v>
      </c>
      <c r="C21" s="7" t="str">
        <f t="shared" si="6"/>
        <v>Premium5</v>
      </c>
      <c r="D21" s="7" t="str">
        <f t="shared" si="7"/>
        <v>Premium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3"/>
        <v>1366</v>
      </c>
      <c r="P21" s="46">
        <f t="shared" si="2"/>
        <v>1.365499249006745E-2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84" t="str">
        <f ca="1">input_393100!A$2</f>
        <v>393100</v>
      </c>
      <c r="B22" s="5">
        <v>228</v>
      </c>
      <c r="C22" s="7" t="str">
        <f t="shared" si="6"/>
        <v>Premium5</v>
      </c>
      <c r="D22" s="7" t="str">
        <f t="shared" si="7"/>
        <v>Premium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3"/>
        <v>1366</v>
      </c>
      <c r="P22" s="46">
        <f t="shared" si="2"/>
        <v>1.365499249006745E-2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84" t="str">
        <f ca="1">input_393100!A$2</f>
        <v>393100</v>
      </c>
      <c r="B23" s="5">
        <v>231</v>
      </c>
      <c r="C23" s="7" t="str">
        <f t="shared" si="6"/>
        <v>Premium5</v>
      </c>
      <c r="D23" s="7" t="str">
        <f t="shared" si="7"/>
        <v>Premium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3"/>
        <v>1366</v>
      </c>
      <c r="P23" s="46">
        <f t="shared" si="2"/>
        <v>1.365499249006745E-2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84" t="str">
        <f ca="1">input_393100!A$2</f>
        <v>393100</v>
      </c>
      <c r="B24" s="5">
        <v>234</v>
      </c>
      <c r="C24" s="7" t="str">
        <f t="shared" si="6"/>
        <v>Premium5</v>
      </c>
      <c r="D24" s="7" t="str">
        <f t="shared" si="7"/>
        <v>Premium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3"/>
        <v>1366</v>
      </c>
      <c r="P24" s="46">
        <f t="shared" si="2"/>
        <v>1.365499249006745E-2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84" t="str">
        <f ca="1">input_393100!A$2</f>
        <v>393100</v>
      </c>
      <c r="B25" s="5">
        <v>237</v>
      </c>
      <c r="C25" s="7" t="str">
        <f t="shared" si="6"/>
        <v>Premium5R6release</v>
      </c>
      <c r="D25" s="7" t="str">
        <f t="shared" si="7"/>
        <v>Premium</v>
      </c>
      <c r="E25" s="7" t="str">
        <f>IF(COUNTIF('R6追加前'!A:A,B25)=0,IF(I25="PremiumSS","R5only","R3less"),"")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3"/>
        <v>1366</v>
      </c>
      <c r="P25" s="46">
        <f t="shared" si="2"/>
        <v>1.365499249006745E-2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84" t="str">
        <f ca="1">input_393100!A$2</f>
        <v>393100</v>
      </c>
      <c r="B26" s="5">
        <v>240</v>
      </c>
      <c r="C26" s="7" t="str">
        <f t="shared" si="6"/>
        <v>Premium5</v>
      </c>
      <c r="D26" s="7" t="str">
        <f t="shared" si="7"/>
        <v>Premium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3"/>
        <v>1366</v>
      </c>
      <c r="P26" s="46">
        <f t="shared" si="2"/>
        <v>1.365499249006745E-2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84" t="str">
        <f ca="1">input_393100!A$2</f>
        <v>393100</v>
      </c>
      <c r="B27" s="5">
        <v>243</v>
      </c>
      <c r="C27" s="7" t="str">
        <f t="shared" si="6"/>
        <v>Premium5</v>
      </c>
      <c r="D27" s="7" t="str">
        <f t="shared" si="7"/>
        <v>Premium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3"/>
        <v>1366</v>
      </c>
      <c r="P27" s="46">
        <f t="shared" si="2"/>
        <v>1.365499249006745E-2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84" t="str">
        <f ca="1">input_393100!A$2</f>
        <v>393100</v>
      </c>
      <c r="B28" s="5">
        <v>246</v>
      </c>
      <c r="C28" s="7" t="str">
        <f t="shared" si="6"/>
        <v>Premium5</v>
      </c>
      <c r="D28" s="7" t="str">
        <f t="shared" si="7"/>
        <v>Premium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3"/>
        <v>1366</v>
      </c>
      <c r="P28" s="46">
        <f t="shared" si="2"/>
        <v>1.365499249006745E-2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84" t="str">
        <f ca="1">input_393100!A$2</f>
        <v>393100</v>
      </c>
      <c r="B29" s="6">
        <v>249</v>
      </c>
      <c r="C29" s="7" t="str">
        <f t="shared" si="6"/>
        <v>Premium5</v>
      </c>
      <c r="D29" s="7" t="str">
        <f t="shared" si="7"/>
        <v>Premium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3"/>
        <v>1366</v>
      </c>
      <c r="P29" s="46">
        <f t="shared" si="2"/>
        <v>1.365499249006745E-2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84" t="str">
        <f ca="1">input_393100!A$2</f>
        <v>393100</v>
      </c>
      <c r="B30" s="6">
        <v>252</v>
      </c>
      <c r="C30" s="7" t="str">
        <f t="shared" si="6"/>
        <v>Premium5</v>
      </c>
      <c r="D30" s="7" t="str">
        <f t="shared" si="7"/>
        <v>Premium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3"/>
        <v>1366</v>
      </c>
      <c r="P30" s="46">
        <f t="shared" si="2"/>
        <v>1.365499249006745E-2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84" t="str">
        <f ca="1">input_393100!A$2</f>
        <v>393100</v>
      </c>
      <c r="B31" s="6">
        <v>255</v>
      </c>
      <c r="C31" s="7" t="str">
        <f t="shared" si="6"/>
        <v>Premium5</v>
      </c>
      <c r="D31" s="7" t="str">
        <f t="shared" si="7"/>
        <v>Premium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3"/>
        <v>1366</v>
      </c>
      <c r="P31" s="46">
        <f t="shared" si="2"/>
        <v>1.365499249006745E-2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84" t="str">
        <f ca="1">input_393100!A$2</f>
        <v>393100</v>
      </c>
      <c r="B32" s="6">
        <v>258</v>
      </c>
      <c r="C32" s="7" t="str">
        <f t="shared" si="6"/>
        <v>Premium5</v>
      </c>
      <c r="D32" s="7" t="str">
        <f t="shared" si="7"/>
        <v>Premium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3"/>
        <v>1366</v>
      </c>
      <c r="P32" s="46">
        <f t="shared" si="2"/>
        <v>1.365499249006745E-2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84" t="str">
        <f ca="1">input_393100!A$2</f>
        <v>393100</v>
      </c>
      <c r="B33" s="8">
        <v>261</v>
      </c>
      <c r="C33" s="7" t="str">
        <f t="shared" si="6"/>
        <v>Premium5</v>
      </c>
      <c r="D33" s="7" t="str">
        <f t="shared" si="7"/>
        <v>Premium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3"/>
        <v>1366</v>
      </c>
      <c r="P33" s="46">
        <f t="shared" si="2"/>
        <v>1.365499249006745E-2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84" t="str">
        <f ca="1">input_393100!A$2</f>
        <v>393100</v>
      </c>
      <c r="B34" s="6">
        <v>321</v>
      </c>
      <c r="C34" s="7" t="str">
        <f t="shared" si="6"/>
        <v>PremiumSS5</v>
      </c>
      <c r="D34" s="7" t="str">
        <f t="shared" si="7"/>
        <v>PremiumSS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ref="O34:O65" si="8">ROUND(IF(D34="PremiumSS",0.075/COUNTIF(D:D,"PremiumSS"),0.915/COUNTIF(D:D,"Premium"))*100000,0)</f>
        <v>167</v>
      </c>
      <c r="P34" s="46">
        <f t="shared" ref="P34:P65" si="9">O34/SUM(O:O)</f>
        <v>1.6693878080829166E-3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84" t="str">
        <f ca="1">input_393100!A$2</f>
        <v>393100</v>
      </c>
      <c r="B35" s="6">
        <v>323</v>
      </c>
      <c r="C35" s="7" t="str">
        <f t="shared" si="6"/>
        <v>PremiumSS5</v>
      </c>
      <c r="D35" s="7" t="str">
        <f t="shared" si="7"/>
        <v>PremiumSS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8"/>
        <v>167</v>
      </c>
      <c r="P35" s="46">
        <f t="shared" si="9"/>
        <v>1.6693878080829166E-3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84" t="str">
        <f ca="1">input_393100!A$2</f>
        <v>393100</v>
      </c>
      <c r="B36" s="6">
        <v>325</v>
      </c>
      <c r="C36" s="7" t="str">
        <f t="shared" si="6"/>
        <v>PremiumSS5</v>
      </c>
      <c r="D36" s="7" t="str">
        <f t="shared" si="7"/>
        <v>PremiumSS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8"/>
        <v>167</v>
      </c>
      <c r="P36" s="46">
        <f t="shared" si="9"/>
        <v>1.6693878080829166E-3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84" t="str">
        <f ca="1">input_393100!A$2</f>
        <v>393100</v>
      </c>
      <c r="B37" s="6">
        <v>327</v>
      </c>
      <c r="C37" s="7" t="str">
        <f t="shared" si="6"/>
        <v>PremiumSS5</v>
      </c>
      <c r="D37" s="7" t="str">
        <f t="shared" si="7"/>
        <v>PremiumSS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8"/>
        <v>167</v>
      </c>
      <c r="P37" s="46">
        <f t="shared" si="9"/>
        <v>1.6693878080829166E-3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84" t="str">
        <f ca="1">input_393100!A$2</f>
        <v>393100</v>
      </c>
      <c r="B38" s="6">
        <v>382</v>
      </c>
      <c r="C38" s="7" t="str">
        <f t="shared" si="6"/>
        <v>Premium5</v>
      </c>
      <c r="D38" s="7" t="str">
        <f t="shared" si="7"/>
        <v>Premium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8"/>
        <v>1366</v>
      </c>
      <c r="P38" s="46">
        <f t="shared" si="9"/>
        <v>1.365499249006745E-2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84" t="str">
        <f ca="1">input_393100!A$2</f>
        <v>393100</v>
      </c>
      <c r="B39" s="6">
        <v>384</v>
      </c>
      <c r="C39" s="7" t="str">
        <f t="shared" si="6"/>
        <v>PremiumSS5</v>
      </c>
      <c r="D39" s="7" t="str">
        <f t="shared" si="7"/>
        <v>PremiumSS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8"/>
        <v>167</v>
      </c>
      <c r="P39" s="46">
        <f t="shared" si="9"/>
        <v>1.6693878080829166E-3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84" t="str">
        <f ca="1">input_393100!A$2</f>
        <v>393100</v>
      </c>
      <c r="B40" s="6">
        <v>386</v>
      </c>
      <c r="C40" s="7" t="str">
        <f t="shared" si="6"/>
        <v>PremiumSS5</v>
      </c>
      <c r="D40" s="7" t="str">
        <f t="shared" si="7"/>
        <v>PremiumSS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8"/>
        <v>167</v>
      </c>
      <c r="P40" s="46">
        <f t="shared" si="9"/>
        <v>1.6693878080829166E-3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84" t="str">
        <f ca="1">input_393100!A$2</f>
        <v>393100</v>
      </c>
      <c r="B41" s="6">
        <v>389</v>
      </c>
      <c r="C41" s="7" t="str">
        <f t="shared" si="6"/>
        <v>Premium5</v>
      </c>
      <c r="D41" s="7" t="str">
        <f t="shared" si="7"/>
        <v>Premium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8"/>
        <v>1366</v>
      </c>
      <c r="P41" s="46">
        <f t="shared" si="9"/>
        <v>1.365499249006745E-2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84" t="str">
        <f ca="1">input_393100!A$2</f>
        <v>393100</v>
      </c>
      <c r="B42" s="6">
        <v>391</v>
      </c>
      <c r="C42" s="7" t="str">
        <f t="shared" si="6"/>
        <v>PremiumSS5</v>
      </c>
      <c r="D42" s="7" t="str">
        <f t="shared" si="7"/>
        <v>PremiumSS</v>
      </c>
      <c r="E42" s="7" t="str">
        <f>IF(COUNTIF('R6追加前'!A:A,B42)=0,IF(I42="PremiumSS","R5only","R3less"),"")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8"/>
        <v>167</v>
      </c>
      <c r="P42" s="46">
        <f t="shared" si="9"/>
        <v>1.6693878080829166E-3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84" t="str">
        <f ca="1">input_393100!A$2</f>
        <v>393100</v>
      </c>
      <c r="B43" s="6">
        <v>394</v>
      </c>
      <c r="C43" s="7" t="str">
        <f t="shared" si="6"/>
        <v>Premium5</v>
      </c>
      <c r="D43" s="7" t="str">
        <f t="shared" si="7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8"/>
        <v>1366</v>
      </c>
      <c r="P43" s="46">
        <f t="shared" si="9"/>
        <v>1.365499249006745E-2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84" t="str">
        <f ca="1">input_393100!A$2</f>
        <v>393100</v>
      </c>
      <c r="B44" s="6">
        <v>397</v>
      </c>
      <c r="C44" s="7" t="str">
        <f t="shared" si="6"/>
        <v>Premium5</v>
      </c>
      <c r="D44" s="7" t="str">
        <f t="shared" si="7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8"/>
        <v>1366</v>
      </c>
      <c r="P44" s="46">
        <f t="shared" si="9"/>
        <v>1.365499249006745E-2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84" t="str">
        <f ca="1">input_393100!A$2</f>
        <v>393100</v>
      </c>
      <c r="B45" s="6">
        <v>399</v>
      </c>
      <c r="C45" s="7" t="str">
        <f t="shared" si="6"/>
        <v>PremiumSS5</v>
      </c>
      <c r="D45" s="7" t="str">
        <f t="shared" si="7"/>
        <v>PremiumSS</v>
      </c>
      <c r="E45" s="7" t="str">
        <f>IF(COUNTIF('R6追加前'!A:A,B45)=0,IF(I45="PremiumSS","R5only","R3less"),"")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8"/>
        <v>167</v>
      </c>
      <c r="P45" s="46">
        <f t="shared" si="9"/>
        <v>1.6693878080829166E-3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84" t="str">
        <f ca="1">input_393100!A$2</f>
        <v>393100</v>
      </c>
      <c r="B46" s="6">
        <v>402</v>
      </c>
      <c r="C46" s="7" t="str">
        <f t="shared" si="6"/>
        <v>Premium5</v>
      </c>
      <c r="D46" s="7" t="str">
        <f t="shared" si="7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8"/>
        <v>1366</v>
      </c>
      <c r="P46" s="46">
        <f t="shared" si="9"/>
        <v>1.365499249006745E-2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84" t="str">
        <f ca="1">input_393100!A$2</f>
        <v>393100</v>
      </c>
      <c r="B47" s="6">
        <v>404</v>
      </c>
      <c r="C47" s="7" t="str">
        <f t="shared" si="6"/>
        <v>PremiumSS5</v>
      </c>
      <c r="D47" s="7" t="str">
        <f t="shared" si="7"/>
        <v>PremiumSS</v>
      </c>
      <c r="E47" s="7" t="str">
        <f>IF(COUNTIF('R6追加前'!A:A,B47)=0,IF(I47="PremiumSS","R5only","R3less"),"")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8"/>
        <v>167</v>
      </c>
      <c r="P47" s="46">
        <f t="shared" si="9"/>
        <v>1.6693878080829166E-3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84" t="str">
        <f ca="1">input_393100!A$2</f>
        <v>393100</v>
      </c>
      <c r="B48" s="6">
        <v>407</v>
      </c>
      <c r="C48" s="7" t="str">
        <f t="shared" si="6"/>
        <v>Premium5</v>
      </c>
      <c r="D48" s="7" t="str">
        <f t="shared" si="7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8"/>
        <v>1366</v>
      </c>
      <c r="P48" s="46">
        <f t="shared" si="9"/>
        <v>1.365499249006745E-2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84" t="str">
        <f ca="1">input_393100!A$2</f>
        <v>393100</v>
      </c>
      <c r="B49" s="6">
        <v>409</v>
      </c>
      <c r="C49" s="7" t="str">
        <f t="shared" si="6"/>
        <v>PremiumSS5</v>
      </c>
      <c r="D49" s="7" t="str">
        <f t="shared" si="7"/>
        <v>PremiumSS</v>
      </c>
      <c r="E49" s="7" t="str">
        <f>IF(COUNTIF('R6追加前'!A:A,B49)=0,IF(I49="PremiumSS","R5only","R3less"),"")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8"/>
        <v>167</v>
      </c>
      <c r="P49" s="46">
        <f t="shared" si="9"/>
        <v>1.6693878080829166E-3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84" t="str">
        <f ca="1">input_393100!A$2</f>
        <v>393100</v>
      </c>
      <c r="B50" s="6">
        <v>435</v>
      </c>
      <c r="C50" s="7" t="str">
        <f t="shared" si="6"/>
        <v>PremiumSS5</v>
      </c>
      <c r="D50" s="7" t="str">
        <f t="shared" si="7"/>
        <v>PremiumSS</v>
      </c>
      <c r="E50" s="7" t="str">
        <f>IF(COUNTIF('R6追加前'!A:A,B50)=0,IF(I50="PremiumSS","R5only","R3less"),"")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8"/>
        <v>167</v>
      </c>
      <c r="P50" s="46">
        <f t="shared" si="9"/>
        <v>1.6693878080829166E-3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84" t="str">
        <f ca="1">input_393100!A$2</f>
        <v>393100</v>
      </c>
      <c r="B51" s="6">
        <v>438</v>
      </c>
      <c r="C51" s="7" t="str">
        <f t="shared" si="6"/>
        <v>Premium5</v>
      </c>
      <c r="D51" s="7" t="str">
        <f t="shared" si="7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 t="shared" si="8"/>
        <v>1366</v>
      </c>
      <c r="P51" s="46">
        <f t="shared" si="9"/>
        <v>1.365499249006745E-2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84" t="str">
        <f ca="1">input_393100!A$2</f>
        <v>393100</v>
      </c>
      <c r="B52" s="6">
        <v>441</v>
      </c>
      <c r="C52" s="7" t="str">
        <f t="shared" si="6"/>
        <v>Premium5</v>
      </c>
      <c r="D52" s="7" t="str">
        <f t="shared" si="7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8"/>
        <v>1366</v>
      </c>
      <c r="P52" s="46">
        <f t="shared" si="9"/>
        <v>1.365499249006745E-2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84" t="str">
        <f ca="1">input_393100!A$2</f>
        <v>393100</v>
      </c>
      <c r="B53" s="6">
        <v>443</v>
      </c>
      <c r="C53" s="7" t="str">
        <f t="shared" si="6"/>
        <v>PremiumSS5</v>
      </c>
      <c r="D53" s="7" t="str">
        <f t="shared" si="7"/>
        <v>PremiumSS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8"/>
        <v>167</v>
      </c>
      <c r="P53" s="46">
        <f t="shared" si="9"/>
        <v>1.6693878080829166E-3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84" t="str">
        <f ca="1">input_393100!A$2</f>
        <v>393100</v>
      </c>
      <c r="B54" s="8">
        <v>464</v>
      </c>
      <c r="C54" s="7" t="str">
        <f t="shared" si="6"/>
        <v>Premium5</v>
      </c>
      <c r="D54" s="7" t="str">
        <f t="shared" si="7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8"/>
        <v>1366</v>
      </c>
      <c r="P54" s="46">
        <f t="shared" si="9"/>
        <v>1.365499249006745E-2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84" t="str">
        <f ca="1">input_393100!A$2</f>
        <v>393100</v>
      </c>
      <c r="B55" s="6">
        <v>466</v>
      </c>
      <c r="C55" s="7" t="str">
        <f t="shared" si="6"/>
        <v>PremiumSS5</v>
      </c>
      <c r="D55" s="7" t="str">
        <f t="shared" si="7"/>
        <v>PremiumSS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8"/>
        <v>167</v>
      </c>
      <c r="P55" s="46">
        <f t="shared" si="9"/>
        <v>1.6693878080829166E-3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84" t="str">
        <f ca="1">input_393100!A$2</f>
        <v>393100</v>
      </c>
      <c r="B56" s="6">
        <v>468</v>
      </c>
      <c r="C56" s="7" t="str">
        <f t="shared" si="6"/>
        <v>PremiumSS5</v>
      </c>
      <c r="D56" s="7" t="str">
        <f t="shared" si="7"/>
        <v>PremiumSS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8"/>
        <v>167</v>
      </c>
      <c r="P56" s="46">
        <f t="shared" si="9"/>
        <v>1.6693878080829166E-3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84" t="str">
        <f ca="1">input_393100!A$2</f>
        <v>393100</v>
      </c>
      <c r="B57" s="6">
        <v>471</v>
      </c>
      <c r="C57" s="7" t="str">
        <f t="shared" si="6"/>
        <v>Premium5</v>
      </c>
      <c r="D57" s="7" t="str">
        <f t="shared" si="7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8"/>
        <v>1366</v>
      </c>
      <c r="P57" s="46">
        <f t="shared" si="9"/>
        <v>1.365499249006745E-2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84" t="str">
        <f ca="1">input_393100!A$2</f>
        <v>393100</v>
      </c>
      <c r="B58" s="6">
        <v>475</v>
      </c>
      <c r="C58" s="7" t="str">
        <f t="shared" si="6"/>
        <v>PremiumSS5</v>
      </c>
      <c r="D58" s="7" t="str">
        <f t="shared" si="7"/>
        <v>PremiumSS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8"/>
        <v>167</v>
      </c>
      <c r="P58" s="46">
        <f t="shared" si="9"/>
        <v>1.6693878080829166E-3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84" t="str">
        <f ca="1">input_393100!A$2</f>
        <v>393100</v>
      </c>
      <c r="B59" s="6">
        <v>478</v>
      </c>
      <c r="C59" s="7" t="str">
        <f t="shared" si="6"/>
        <v>Premium5</v>
      </c>
      <c r="D59" s="7" t="str">
        <f t="shared" si="7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8"/>
        <v>1366</v>
      </c>
      <c r="P59" s="46">
        <f t="shared" si="9"/>
        <v>1.365499249006745E-2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84" t="str">
        <f ca="1">input_393100!A$2</f>
        <v>393100</v>
      </c>
      <c r="B60" s="6">
        <v>480</v>
      </c>
      <c r="C60" s="7" t="str">
        <f t="shared" si="6"/>
        <v>PremiumSS5</v>
      </c>
      <c r="D60" s="7" t="str">
        <f t="shared" si="7"/>
        <v>PremiumSS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8"/>
        <v>167</v>
      </c>
      <c r="P60" s="46">
        <f t="shared" si="9"/>
        <v>1.6693878080829166E-3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84" t="str">
        <f ca="1">input_393100!A$2</f>
        <v>393100</v>
      </c>
      <c r="B61" s="6">
        <v>483</v>
      </c>
      <c r="C61" s="7" t="str">
        <f t="shared" si="6"/>
        <v>Premium5</v>
      </c>
      <c r="D61" s="7" t="str">
        <f t="shared" si="7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8"/>
        <v>1366</v>
      </c>
      <c r="P61" s="46">
        <f t="shared" si="9"/>
        <v>1.365499249006745E-2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84" t="str">
        <f ca="1">input_393100!A$2</f>
        <v>393100</v>
      </c>
      <c r="B62" s="6">
        <v>493</v>
      </c>
      <c r="C62" s="7" t="str">
        <f t="shared" si="6"/>
        <v>PremiumSS5</v>
      </c>
      <c r="D62" s="7" t="str">
        <f t="shared" si="7"/>
        <v>PremiumSS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8"/>
        <v>167</v>
      </c>
      <c r="P62" s="46">
        <f t="shared" si="9"/>
        <v>1.6693878080829166E-3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84" t="str">
        <f ca="1">input_393100!A$2</f>
        <v>393100</v>
      </c>
      <c r="B63" s="6">
        <v>495</v>
      </c>
      <c r="C63" s="7" t="str">
        <f t="shared" si="6"/>
        <v>PremiumSS5</v>
      </c>
      <c r="D63" s="7" t="str">
        <f t="shared" si="7"/>
        <v>PremiumSS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8"/>
        <v>167</v>
      </c>
      <c r="P63" s="46">
        <f t="shared" si="9"/>
        <v>1.6693878080829166E-3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84" t="str">
        <f ca="1">input_393100!A$2</f>
        <v>393100</v>
      </c>
      <c r="B64" s="6">
        <v>498</v>
      </c>
      <c r="C64" s="7" t="str">
        <f t="shared" si="6"/>
        <v>Premium5</v>
      </c>
      <c r="D64" s="7" t="str">
        <f t="shared" si="7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8"/>
        <v>1366</v>
      </c>
      <c r="P64" s="46">
        <f t="shared" si="9"/>
        <v>1.365499249006745E-2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84" t="str">
        <f ca="1">input_393100!A$2</f>
        <v>393100</v>
      </c>
      <c r="B65" s="6">
        <v>500</v>
      </c>
      <c r="C65" s="7" t="str">
        <f t="shared" si="6"/>
        <v>PremiumSS5</v>
      </c>
      <c r="D65" s="7" t="str">
        <f t="shared" si="7"/>
        <v>PremiumSS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8"/>
        <v>167</v>
      </c>
      <c r="P65" s="46">
        <f t="shared" si="9"/>
        <v>1.6693878080829166E-3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84" t="str">
        <f ca="1">input_393100!A$2</f>
        <v>393100</v>
      </c>
      <c r="B66" s="6">
        <v>587</v>
      </c>
      <c r="C66" s="7" t="str">
        <f t="shared" si="6"/>
        <v>PremiumSS5</v>
      </c>
      <c r="D66" s="7" t="str">
        <f t="shared" si="7"/>
        <v>PremiumSS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原初の煉鋼巨刃 ユミル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hp</v>
      </c>
      <c r="M66" s="7" t="str">
        <f>VLOOKUP(B66,[1]characters!$A:$M,13,FALSE)</f>
        <v>machine</v>
      </c>
      <c r="N66" s="7" t="str">
        <f>VLOOKUP(B66,[1]characters!$A:$G,7,FALSE)</f>
        <v>不明</v>
      </c>
      <c r="O66" s="45">
        <f t="shared" ref="O66:O97" si="10">ROUND(IF(D66="PremiumSS",0.075/COUNTIF(D:D,"PremiumSS"),0.915/COUNTIF(D:D,"Premium"))*100000,0)</f>
        <v>167</v>
      </c>
      <c r="P66" s="46">
        <f t="shared" ref="P66:P97" si="11">O66/SUM(O:O)</f>
        <v>1.6693878080829166E-3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84" t="str">
        <f ca="1">input_393100!A$2</f>
        <v>393100</v>
      </c>
      <c r="B67" s="6">
        <v>590</v>
      </c>
      <c r="C67" s="7" t="str">
        <f t="shared" si="6"/>
        <v>Premium5</v>
      </c>
      <c r="D67" s="7" t="str">
        <f t="shared" si="7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永遠を廻る呪い ニーベルゲン</v>
      </c>
      <c r="I67" s="7" t="str">
        <f>VLOOKUP(B67,[1]characters!$A:$J,10,FALSE)</f>
        <v>PremiumS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balance</v>
      </c>
      <c r="M67" s="7" t="str">
        <f>VLOOKUP(B67,[1]characters!$A:$M,13,FALSE)</f>
        <v>unknown</v>
      </c>
      <c r="N67" s="7" t="str">
        <f>VLOOKUP(B67,[1]characters!$A:$G,7,FALSE)</f>
        <v>女性</v>
      </c>
      <c r="O67" s="45">
        <f t="shared" si="10"/>
        <v>1366</v>
      </c>
      <c r="P67" s="46">
        <f t="shared" si="11"/>
        <v>1.365499249006745E-2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84" t="str">
        <f ca="1">input_393100!A$2</f>
        <v>393100</v>
      </c>
      <c r="B68" s="6">
        <v>593</v>
      </c>
      <c r="C68" s="7" t="str">
        <f t="shared" si="6"/>
        <v>Premium5</v>
      </c>
      <c r="D68" s="7" t="str">
        <f t="shared" si="7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妄執する邪毒龍 ファフニール</v>
      </c>
      <c r="I68" s="7" t="str">
        <f>VLOOKUP(B68,[1]characters!$A:$J,10,FALSE)</f>
        <v>PremiumS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technical</v>
      </c>
      <c r="M68" s="7" t="str">
        <f>VLOOKUP(B68,[1]characters!$A:$M,13,FALSE)</f>
        <v>dragon</v>
      </c>
      <c r="N68" s="7" t="str">
        <f>VLOOKUP(B68,[1]characters!$A:$G,7,FALSE)</f>
        <v>不明</v>
      </c>
      <c r="O68" s="45">
        <f t="shared" si="10"/>
        <v>1366</v>
      </c>
      <c r="P68" s="46">
        <f t="shared" si="11"/>
        <v>1.365499249006745E-2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84" t="str">
        <f ca="1">input_393100!A$2</f>
        <v>393100</v>
      </c>
      <c r="B69" s="6">
        <v>595</v>
      </c>
      <c r="C69" s="7" t="str">
        <f t="shared" si="6"/>
        <v>PremiumSS5</v>
      </c>
      <c r="D69" s="7" t="str">
        <f t="shared" si="7"/>
        <v>PremiumSS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光華なる神域 アルフヘイム</v>
      </c>
      <c r="I69" s="7" t="str">
        <f>VLOOKUP(B69,[1]characters!$A:$J,10,FALSE)</f>
        <v>PremiumSS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dragon</v>
      </c>
      <c r="N69" s="7" t="str">
        <f>VLOOKUP(B69,[1]characters!$A:$G,7,FALSE)</f>
        <v>不明</v>
      </c>
      <c r="O69" s="45">
        <f t="shared" si="10"/>
        <v>167</v>
      </c>
      <c r="P69" s="46">
        <f t="shared" si="11"/>
        <v>1.6693878080829166E-3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84" t="str">
        <f ca="1">input_393100!A$2</f>
        <v>393100</v>
      </c>
      <c r="B70" s="6">
        <v>598</v>
      </c>
      <c r="C70" s="7" t="str">
        <f t="shared" si="6"/>
        <v>Premium5</v>
      </c>
      <c r="D70" s="7" t="str">
        <f t="shared" si="7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焼燃の情熱 ムスペルヘイム</v>
      </c>
      <c r="I70" s="7" t="str">
        <f>VLOOKUP(B70,[1]characters!$A:$J,10,FALSE)</f>
        <v>PremiumS</v>
      </c>
      <c r="J70" s="7">
        <f>VLOOKUP(B70,[1]characters!$A:$I,9,FALSE)</f>
        <v>5</v>
      </c>
      <c r="K70" s="7" t="str">
        <f>VLOOKUP(B70,[1]characters!$A:$H,8,FALSE)</f>
        <v>red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男性</v>
      </c>
      <c r="O70" s="45">
        <f t="shared" si="10"/>
        <v>1366</v>
      </c>
      <c r="P70" s="46">
        <f t="shared" si="11"/>
        <v>1.365499249006745E-2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84" t="str">
        <f ca="1">input_393100!A$2</f>
        <v>393100</v>
      </c>
      <c r="B71" s="6">
        <v>601</v>
      </c>
      <c r="C71" s="7" t="str">
        <f t="shared" ref="C71:C109" si="12">D71&amp;J71&amp;E71&amp;F71&amp;G71</f>
        <v>Premium5</v>
      </c>
      <c r="D71" s="7" t="str">
        <f t="shared" ref="D71:D109" si="13">IF(I71="PremiumSS",I71,IF(I71="PremiumSSS",I71,IF(I71="PremiumW",I71,"Premium")))</f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界根蝕む悪食 ニーズヘッグ</v>
      </c>
      <c r="I71" s="7" t="str">
        <f>VLOOKUP(B71,[1]characters!$A:$J,10,FALSE)</f>
        <v>PremiumS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attack</v>
      </c>
      <c r="M71" s="7" t="str">
        <f>VLOOKUP(B71,[1]characters!$A:$M,13,FALSE)</f>
        <v>dragon</v>
      </c>
      <c r="N71" s="7" t="str">
        <f>VLOOKUP(B71,[1]characters!$A:$G,7,FALSE)</f>
        <v>不明</v>
      </c>
      <c r="O71" s="45">
        <f t="shared" si="10"/>
        <v>1366</v>
      </c>
      <c r="P71" s="46">
        <f t="shared" si="11"/>
        <v>1.365499249006745E-2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84" t="str">
        <f ca="1">input_393100!A$2</f>
        <v>393100</v>
      </c>
      <c r="B72" s="6">
        <v>603</v>
      </c>
      <c r="C72" s="7" t="str">
        <f t="shared" si="12"/>
        <v>PremiumSS5</v>
      </c>
      <c r="D72" s="7" t="str">
        <f t="shared" si="13"/>
        <v>PremiumSS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掌愛の豊穣女神 フレイヤ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heal</v>
      </c>
      <c r="M72" s="7" t="str">
        <f>VLOOKUP(B72,[1]characters!$A:$M,13,FALSE)</f>
        <v>animal</v>
      </c>
      <c r="N72" s="7" t="str">
        <f>VLOOKUP(B72,[1]characters!$A:$G,7,FALSE)</f>
        <v>女性</v>
      </c>
      <c r="O72" s="45">
        <f t="shared" si="10"/>
        <v>167</v>
      </c>
      <c r="P72" s="46">
        <f t="shared" si="11"/>
        <v>1.6693878080829166E-3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84" t="str">
        <f ca="1">input_393100!A$2</f>
        <v>393100</v>
      </c>
      <c r="B73" s="6">
        <v>606</v>
      </c>
      <c r="C73" s="7" t="str">
        <f t="shared" si="12"/>
        <v>Premium5</v>
      </c>
      <c r="D73" s="7" t="str">
        <f t="shared" si="13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冀望の光芒 バルドル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heal</v>
      </c>
      <c r="M73" s="7" t="str">
        <f>VLOOKUP(B73,[1]characters!$A:$M,13,FALSE)</f>
        <v>god</v>
      </c>
      <c r="N73" s="7" t="str">
        <f>VLOOKUP(B73,[1]characters!$A:$G,7,FALSE)</f>
        <v>男性</v>
      </c>
      <c r="O73" s="45">
        <f t="shared" si="10"/>
        <v>1366</v>
      </c>
      <c r="P73" s="46">
        <f t="shared" si="11"/>
        <v>1.365499249006745E-2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84" t="str">
        <f ca="1">input_393100!A$2</f>
        <v>393100</v>
      </c>
      <c r="B74" s="6">
        <v>659</v>
      </c>
      <c r="C74" s="7" t="str">
        <f t="shared" si="12"/>
        <v>PremiumSS5</v>
      </c>
      <c r="D74" s="7" t="str">
        <f t="shared" si="13"/>
        <v>PremiumSS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跳梁する化猫 クルミ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red</v>
      </c>
      <c r="L74" s="7" t="str">
        <f>VLOOKUP(B74,[1]characters!$A:$K,11,FALSE)</f>
        <v>attack</v>
      </c>
      <c r="M74" s="7" t="str">
        <f>VLOOKUP(B74,[1]characters!$A:$M,13,FALSE)</f>
        <v>animal</v>
      </c>
      <c r="N74" s="7" t="str">
        <f>VLOOKUP(B74,[1]characters!$A:$G,7,FALSE)</f>
        <v>女性</v>
      </c>
      <c r="O74" s="45">
        <f t="shared" si="10"/>
        <v>167</v>
      </c>
      <c r="P74" s="46">
        <f t="shared" si="11"/>
        <v>1.6693878080829166E-3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84" t="str">
        <f ca="1">input_393100!A$2</f>
        <v>393100</v>
      </c>
      <c r="B75" s="6">
        <v>661</v>
      </c>
      <c r="C75" s="7" t="str">
        <f t="shared" si="12"/>
        <v>PremiumSS5</v>
      </c>
      <c r="D75" s="7" t="str">
        <f t="shared" si="13"/>
        <v>PremiumSS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疾風の天狗礫 フウガ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green</v>
      </c>
      <c r="L75" s="7" t="str">
        <f>VLOOKUP(B75,[1]characters!$A:$K,11,FALSE)</f>
        <v>balance</v>
      </c>
      <c r="M75" s="7" t="str">
        <f>VLOOKUP(B75,[1]characters!$A:$M,13,FALSE)</f>
        <v>animal</v>
      </c>
      <c r="N75" s="7" t="str">
        <f>VLOOKUP(B75,[1]characters!$A:$G,7,FALSE)</f>
        <v>男性</v>
      </c>
      <c r="O75" s="45">
        <f t="shared" si="10"/>
        <v>167</v>
      </c>
      <c r="P75" s="46">
        <f t="shared" si="11"/>
        <v>1.6693878080829166E-3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84" t="str">
        <f ca="1">input_393100!A$2</f>
        <v>393100</v>
      </c>
      <c r="B76" s="6">
        <v>664</v>
      </c>
      <c r="C76" s="7" t="str">
        <f t="shared" si="12"/>
        <v>Premium5</v>
      </c>
      <c r="D76" s="7" t="str">
        <f t="shared" si="13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山掴み国造り ダイダラ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hp</v>
      </c>
      <c r="M76" s="7" t="str">
        <f>VLOOKUP(B76,[1]characters!$A:$M,13,FALSE)</f>
        <v>unknown</v>
      </c>
      <c r="N76" s="7" t="str">
        <f>VLOOKUP(B76,[1]characters!$A:$G,7,FALSE)</f>
        <v>不明</v>
      </c>
      <c r="O76" s="45">
        <f t="shared" si="10"/>
        <v>1366</v>
      </c>
      <c r="P76" s="46">
        <f t="shared" si="11"/>
        <v>1.365499249006745E-2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84" t="str">
        <f ca="1">input_393100!A$2</f>
        <v>393100</v>
      </c>
      <c r="B77" s="6">
        <v>667</v>
      </c>
      <c r="C77" s="7" t="str">
        <f t="shared" si="12"/>
        <v>Premium5</v>
      </c>
      <c r="D77" s="7" t="str">
        <f t="shared" si="13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最幸運の妖童 テマリ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yellow</v>
      </c>
      <c r="L77" s="7" t="str">
        <f>VLOOKUP(B77,[1]characters!$A:$K,11,FALSE)</f>
        <v>balance</v>
      </c>
      <c r="M77" s="7" t="str">
        <f>VLOOKUP(B77,[1]characters!$A:$M,13,FALSE)</f>
        <v>unknown</v>
      </c>
      <c r="N77" s="7" t="str">
        <f>VLOOKUP(B77,[1]characters!$A:$G,7,FALSE)</f>
        <v>女性</v>
      </c>
      <c r="O77" s="45">
        <f t="shared" si="10"/>
        <v>1366</v>
      </c>
      <c r="P77" s="46">
        <f t="shared" si="11"/>
        <v>1.365499249006745E-2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84" t="str">
        <f ca="1">input_393100!A$2</f>
        <v>393100</v>
      </c>
      <c r="B78" s="60">
        <v>670</v>
      </c>
      <c r="C78" s="7" t="str">
        <f t="shared" si="12"/>
        <v>Premium5</v>
      </c>
      <c r="D78" s="7" t="str">
        <f t="shared" si="13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陽天の噴煙 アグニ</v>
      </c>
      <c r="I78" s="7" t="str">
        <f>VLOOKUP(B78,[1]characters!$A:$J,10,FALSE)</f>
        <v>PremiumS</v>
      </c>
      <c r="J78" s="7">
        <f>VLOOKUP(B78,[1]characters!$A:$I,9,FALSE)</f>
        <v>5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t="shared" si="10"/>
        <v>1366</v>
      </c>
      <c r="P78" s="46">
        <f t="shared" si="11"/>
        <v>1.365499249006745E-2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84" t="str">
        <f ca="1">input_393100!A$2</f>
        <v>393100</v>
      </c>
      <c r="B79" s="60">
        <v>673</v>
      </c>
      <c r="C79" s="7" t="str">
        <f t="shared" si="12"/>
        <v>Premium5</v>
      </c>
      <c r="D79" s="7" t="str">
        <f t="shared" si="13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変幻自在の猿王 ハヌマーン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green</v>
      </c>
      <c r="L79" s="7" t="str">
        <f>VLOOKUP(B79,[1]characters!$A:$K,11,FALSE)</f>
        <v>attack</v>
      </c>
      <c r="M79" s="7" t="str">
        <f>VLOOKUP(B79,[1]characters!$A:$M,13,FALSE)</f>
        <v>animal</v>
      </c>
      <c r="N79" s="7" t="str">
        <f>VLOOKUP(B79,[1]characters!$A:$G,7,FALSE)</f>
        <v>男性</v>
      </c>
      <c r="O79" s="45">
        <f t="shared" si="10"/>
        <v>1366</v>
      </c>
      <c r="P79" s="46">
        <f t="shared" si="11"/>
        <v>1.365499249006745E-2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84" t="str">
        <f ca="1">input_393100!A$2</f>
        <v>393100</v>
      </c>
      <c r="B80" s="60">
        <v>675</v>
      </c>
      <c r="C80" s="7" t="str">
        <f t="shared" si="12"/>
        <v>PremiumSS5</v>
      </c>
      <c r="D80" s="7" t="str">
        <f t="shared" si="13"/>
        <v>PremiumSS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芸楽の奔流 サラスヴァティ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blue</v>
      </c>
      <c r="L80" s="7" t="str">
        <f>VLOOKUP(B80,[1]characters!$A:$K,11,FALSE)</f>
        <v>balance</v>
      </c>
      <c r="M80" s="7" t="str">
        <f>VLOOKUP(B80,[1]characters!$A:$M,13,FALSE)</f>
        <v>god</v>
      </c>
      <c r="N80" s="7" t="str">
        <f>VLOOKUP(B80,[1]characters!$A:$G,7,FALSE)</f>
        <v>女性</v>
      </c>
      <c r="O80" s="45">
        <f t="shared" si="10"/>
        <v>167</v>
      </c>
      <c r="P80" s="46">
        <f t="shared" si="11"/>
        <v>1.6693878080829166E-3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84" t="str">
        <f ca="1">input_393100!A$2</f>
        <v>393100</v>
      </c>
      <c r="B81" s="60">
        <v>677</v>
      </c>
      <c r="C81" s="7" t="str">
        <f t="shared" si="12"/>
        <v>PremiumSS5</v>
      </c>
      <c r="D81" s="7" t="str">
        <f t="shared" si="13"/>
        <v>PremiumSS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武遊闊歩 ヴィシュヌ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yellow</v>
      </c>
      <c r="L81" s="7" t="str">
        <f>VLOOKUP(B81,[1]characters!$A:$K,11,FALSE)</f>
        <v>attack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t="shared" si="10"/>
        <v>167</v>
      </c>
      <c r="P81" s="46">
        <f t="shared" si="11"/>
        <v>1.6693878080829166E-3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84" t="str">
        <f ca="1">input_393100!A$2</f>
        <v>393100</v>
      </c>
      <c r="B82" s="60">
        <v>729</v>
      </c>
      <c r="C82" s="7" t="str">
        <f t="shared" si="12"/>
        <v>Premium5R3less</v>
      </c>
      <c r="D82" s="7" t="str">
        <f t="shared" si="13"/>
        <v>Premium</v>
      </c>
      <c r="E82" s="7" t="str">
        <f>IF(COUNTIF('R6追加前'!A:A,B82)=0,IF(I82="PremiumSS","R5only","R3less"),"")</f>
        <v>R3less</v>
      </c>
      <c r="F82" s="7" t="str">
        <f>IF(COUNTIF('R6開放'!A:A,B82)&gt;0,"R6release","")</f>
        <v/>
      </c>
      <c r="G82" s="7"/>
      <c r="H82" s="7" t="str">
        <f>VLOOKUP(B82,[1]characters!$A:$C,3,FALSE)</f>
        <v>暗厄の双刀 井伊直虎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red</v>
      </c>
      <c r="L82" s="7" t="str">
        <f>VLOOKUP(B82,[1]characters!$A:$K,11,FALSE)</f>
        <v>balance</v>
      </c>
      <c r="M82" s="7" t="str">
        <f>VLOOKUP(B82,[1]characters!$A:$M,13,FALSE)</f>
        <v>human</v>
      </c>
      <c r="N82" s="7" t="str">
        <f>VLOOKUP(B82,[1]characters!$A:$G,7,FALSE)</f>
        <v>女性</v>
      </c>
      <c r="O82" s="45">
        <f t="shared" si="10"/>
        <v>1366</v>
      </c>
      <c r="P82" s="46">
        <f t="shared" si="11"/>
        <v>1.365499249006745E-2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84" t="str">
        <f ca="1">input_393100!A$2</f>
        <v>393100</v>
      </c>
      <c r="B83" s="60">
        <v>731</v>
      </c>
      <c r="C83" s="7" t="str">
        <f t="shared" si="12"/>
        <v>Premium5R3less</v>
      </c>
      <c r="D83" s="7" t="str">
        <f t="shared" si="13"/>
        <v>Premium</v>
      </c>
      <c r="E83" s="7" t="str">
        <f>IF(COUNTIF('R6追加前'!A:A,B83)=0,IF(I83="PremiumSS","R5only","R3less"),"")</f>
        <v>R3less</v>
      </c>
      <c r="F83" s="7" t="str">
        <f>IF(COUNTIF('R6開放'!A:A,B83)&gt;0,"R6release","")</f>
        <v/>
      </c>
      <c r="G83" s="7"/>
      <c r="H83" s="7" t="str">
        <f>VLOOKUP(B83,[1]characters!$A:$C,3,FALSE)</f>
        <v>敬虔なる追銃 ガラシャ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heal</v>
      </c>
      <c r="M83" s="7" t="str">
        <f>VLOOKUP(B83,[1]characters!$A:$M,13,FALSE)</f>
        <v>human</v>
      </c>
      <c r="N83" s="7" t="str">
        <f>VLOOKUP(B83,[1]characters!$A:$G,7,FALSE)</f>
        <v>女性</v>
      </c>
      <c r="O83" s="45">
        <f t="shared" si="10"/>
        <v>1366</v>
      </c>
      <c r="P83" s="46">
        <f t="shared" si="11"/>
        <v>1.365499249006745E-2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84" t="str">
        <f ca="1">input_393100!A$2</f>
        <v>393100</v>
      </c>
      <c r="B84" s="60">
        <v>732</v>
      </c>
      <c r="C84" s="7" t="str">
        <f t="shared" si="12"/>
        <v>PremiumSS5R5only</v>
      </c>
      <c r="D84" s="7" t="str">
        <f t="shared" si="13"/>
        <v>PremiumSS</v>
      </c>
      <c r="E84" s="7" t="str">
        <f>IF(COUNTIF('R6追加前'!A:A,B84)=0,IF(I84="PremiumSS","R5only","R3less"),"")</f>
        <v>R5only</v>
      </c>
      <c r="F84" s="7" t="str">
        <f>IF(COUNTIF('R6開放'!A:A,B84)&gt;0,"R6release","")</f>
        <v/>
      </c>
      <c r="G84" s="7"/>
      <c r="H84" s="7" t="str">
        <f>VLOOKUP(B84,[1]characters!$A:$C,3,FALSE)</f>
        <v>上杉謙信</v>
      </c>
      <c r="I84" s="7" t="str">
        <f>VLOOKUP(B84,[1]characters!$A:$J,10,FALSE)</f>
        <v>PremiumSS</v>
      </c>
      <c r="J84" s="7">
        <f>VLOOKUP(B84,[1]characters!$A:$I,9,FALSE)</f>
        <v>5</v>
      </c>
      <c r="K84" s="7" t="str">
        <f>VLOOKUP(B84,[1]characters!$A:$H,8,FALSE)</f>
        <v>blue</v>
      </c>
      <c r="L84" s="7" t="str">
        <f>VLOOKUP(B84,[1]characters!$A:$K,11,FALSE)</f>
        <v>attack</v>
      </c>
      <c r="M84" s="7" t="str">
        <f>VLOOKUP(B84,[1]characters!$A:$M,13,FALSE)</f>
        <v>human</v>
      </c>
      <c r="N84" s="7" t="str">
        <f>VLOOKUP(B84,[1]characters!$A:$G,7,FALSE)</f>
        <v>女性</v>
      </c>
      <c r="O84" s="45">
        <f t="shared" si="10"/>
        <v>167</v>
      </c>
      <c r="P84" s="46">
        <f t="shared" si="11"/>
        <v>1.6693878080829166E-3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84" t="str">
        <f ca="1">input_393100!A$2</f>
        <v>393100</v>
      </c>
      <c r="B85" s="60">
        <v>734</v>
      </c>
      <c r="C85" s="7" t="str">
        <f t="shared" si="12"/>
        <v>PremiumSS5R5only</v>
      </c>
      <c r="D85" s="7" t="str">
        <f t="shared" si="13"/>
        <v>PremiumSS</v>
      </c>
      <c r="E85" s="7" t="str">
        <f>IF(COUNTIF('R6追加前'!A:A,B85)=0,IF(I85="PremiumSS","R5only","R3less"),"")</f>
        <v>R5only</v>
      </c>
      <c r="F85" s="7" t="str">
        <f>IF(COUNTIF('R6開放'!A:A,B85)&gt;0,"R6release","")</f>
        <v/>
      </c>
      <c r="G85" s="7"/>
      <c r="H85" s="7" t="str">
        <f>VLOOKUP(B85,[1]characters!$A:$C,3,FALSE)</f>
        <v>伊達政宗</v>
      </c>
      <c r="I85" s="7" t="str">
        <f>VLOOKUP(B85,[1]characters!$A:$J,10,FALSE)</f>
        <v>PremiumSS</v>
      </c>
      <c r="J85" s="7">
        <f>VLOOKUP(B85,[1]characters!$A:$I,9,FALSE)</f>
        <v>5</v>
      </c>
      <c r="K85" s="7" t="str">
        <f>VLOOKUP(B85,[1]characters!$A:$H,8,FALSE)</f>
        <v>yellow</v>
      </c>
      <c r="L85" s="7" t="str">
        <f>VLOOKUP(B85,[1]characters!$A:$K,11,FALSE)</f>
        <v>balance</v>
      </c>
      <c r="M85" s="7" t="str">
        <f>VLOOKUP(B85,[1]characters!$A:$M,13,FALSE)</f>
        <v>human</v>
      </c>
      <c r="N85" s="7" t="str">
        <f>VLOOKUP(B85,[1]characters!$A:$G,7,FALSE)</f>
        <v>男性</v>
      </c>
      <c r="O85" s="45">
        <f t="shared" si="10"/>
        <v>167</v>
      </c>
      <c r="P85" s="46">
        <f t="shared" si="11"/>
        <v>1.6693878080829166E-3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84" t="str">
        <f ca="1">input_393100!A$2</f>
        <v>393100</v>
      </c>
      <c r="B86" s="60">
        <v>771</v>
      </c>
      <c r="C86" s="7" t="str">
        <f t="shared" si="12"/>
        <v>PremiumSS5</v>
      </c>
      <c r="D86" s="7" t="str">
        <f t="shared" si="13"/>
        <v>PremiumSS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天織羽鶴 ハヅル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red</v>
      </c>
      <c r="L86" s="7" t="str">
        <f>VLOOKUP(B86,[1]characters!$A:$K,11,FALSE)</f>
        <v>balance</v>
      </c>
      <c r="M86" s="7" t="str">
        <f>VLOOKUP(B86,[1]characters!$A:$M,13,FALSE)</f>
        <v>animal</v>
      </c>
      <c r="N86" s="7" t="str">
        <f>VLOOKUP(B86,[1]characters!$A:$G,7,FALSE)</f>
        <v>女性</v>
      </c>
      <c r="O86" s="45">
        <f t="shared" si="10"/>
        <v>167</v>
      </c>
      <c r="P86" s="46">
        <f t="shared" si="11"/>
        <v>1.6693878080829166E-3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84" t="str">
        <f ca="1">input_393100!A$2</f>
        <v>393100</v>
      </c>
      <c r="B87" s="60">
        <v>773</v>
      </c>
      <c r="C87" s="7" t="str">
        <f t="shared" si="12"/>
        <v>PremiumSS5</v>
      </c>
      <c r="D87" s="7" t="str">
        <f t="shared" si="13"/>
        <v>PremiumSS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浮跳天兎 イナバ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green</v>
      </c>
      <c r="L87" s="7" t="str">
        <f>VLOOKUP(B87,[1]characters!$A:$K,11,FALSE)</f>
        <v>balance</v>
      </c>
      <c r="M87" s="7" t="str">
        <f>VLOOKUP(B87,[1]characters!$A:$M,13,FALSE)</f>
        <v>animal</v>
      </c>
      <c r="N87" s="7" t="str">
        <f>VLOOKUP(B87,[1]characters!$A:$G,7,FALSE)</f>
        <v>女性</v>
      </c>
      <c r="O87" s="45">
        <f t="shared" si="10"/>
        <v>167</v>
      </c>
      <c r="P87" s="46">
        <f t="shared" si="11"/>
        <v>1.6693878080829166E-3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84" t="str">
        <f ca="1">input_393100!A$2</f>
        <v>393100</v>
      </c>
      <c r="B88" s="60">
        <v>776</v>
      </c>
      <c r="C88" s="7" t="str">
        <f t="shared" si="12"/>
        <v>Premium5</v>
      </c>
      <c r="D88" s="7" t="str">
        <f t="shared" si="13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水竜底主 ミズチ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blue</v>
      </c>
      <c r="L88" s="7" t="str">
        <f>VLOOKUP(B88,[1]characters!$A:$K,11,FALSE)</f>
        <v>heal</v>
      </c>
      <c r="M88" s="7" t="str">
        <f>VLOOKUP(B88,[1]characters!$A:$M,13,FALSE)</f>
        <v>dragon</v>
      </c>
      <c r="N88" s="7" t="str">
        <f>VLOOKUP(B88,[1]characters!$A:$G,7,FALSE)</f>
        <v>不明</v>
      </c>
      <c r="O88" s="45">
        <f t="shared" si="10"/>
        <v>1366</v>
      </c>
      <c r="P88" s="46">
        <f t="shared" si="11"/>
        <v>1.365499249006745E-2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84" t="str">
        <f ca="1">input_393100!A$2</f>
        <v>393100</v>
      </c>
      <c r="B89" s="60">
        <v>779</v>
      </c>
      <c r="C89" s="7" t="str">
        <f t="shared" si="12"/>
        <v>Premium5</v>
      </c>
      <c r="D89" s="7" t="str">
        <f t="shared" si="13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頑堅咬亀 ガメック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hp</v>
      </c>
      <c r="M89" s="7" t="str">
        <f>VLOOKUP(B89,[1]characters!$A:$M,13,FALSE)</f>
        <v>animal</v>
      </c>
      <c r="N89" s="7" t="str">
        <f>VLOOKUP(B89,[1]characters!$A:$G,7,FALSE)</f>
        <v>不明</v>
      </c>
      <c r="O89" s="45">
        <f t="shared" si="10"/>
        <v>1366</v>
      </c>
      <c r="P89" s="46">
        <f t="shared" si="11"/>
        <v>1.365499249006745E-2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84" t="str">
        <f ca="1">input_393100!A$2</f>
        <v>393100</v>
      </c>
      <c r="B90" s="78">
        <v>848</v>
      </c>
      <c r="C90" s="7" t="str">
        <f t="shared" si="12"/>
        <v>PremiumSS5R5only</v>
      </c>
      <c r="D90" s="7" t="str">
        <f t="shared" si="13"/>
        <v>PremiumSS</v>
      </c>
      <c r="E90" s="7" t="str">
        <f>IF(COUNTIF('R6追加前'!A:A,B90)=0,IF(I90="PremiumSS","R5only","R3less"),"")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メタトロン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男性</v>
      </c>
      <c r="O90" s="45">
        <f t="shared" si="10"/>
        <v>167</v>
      </c>
      <c r="P90" s="46">
        <f t="shared" si="11"/>
        <v>1.6693878080829166E-3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84" t="str">
        <f ca="1">input_393100!A$2</f>
        <v>393100</v>
      </c>
      <c r="B91" s="78">
        <v>850</v>
      </c>
      <c r="C91" s="7" t="str">
        <f t="shared" si="12"/>
        <v>PremiumSS5R5only</v>
      </c>
      <c r="D91" s="7" t="str">
        <f t="shared" si="13"/>
        <v>PremiumSS</v>
      </c>
      <c r="E91" s="7" t="str">
        <f>IF(COUNTIF('R6追加前'!A:A,B91)=0,IF(I91="PremiumSS","R5only","R3less"),"")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バアル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green</v>
      </c>
      <c r="L91" s="7" t="str">
        <f>VLOOKUP(B91,[1]characters!$A:$K,11,FALSE)</f>
        <v>technical</v>
      </c>
      <c r="M91" s="7" t="str">
        <f>VLOOKUP(B91,[1]characters!$A:$M,13,FALSE)</f>
        <v>god</v>
      </c>
      <c r="N91" s="7" t="str">
        <f>VLOOKUP(B91,[1]characters!$A:$G,7,FALSE)</f>
        <v>男性</v>
      </c>
      <c r="O91" s="45">
        <f t="shared" si="10"/>
        <v>167</v>
      </c>
      <c r="P91" s="46">
        <f t="shared" si="11"/>
        <v>1.6693878080829166E-3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84" t="str">
        <f ca="1">input_393100!A$2</f>
        <v>393100</v>
      </c>
      <c r="B92" s="78">
        <v>853</v>
      </c>
      <c r="C92" s="7" t="str">
        <f t="shared" si="12"/>
        <v>Premium5R3less</v>
      </c>
      <c r="D92" s="7" t="str">
        <f t="shared" si="13"/>
        <v>Premium</v>
      </c>
      <c r="E92" s="7" t="str">
        <f>IF(COUNTIF('R6追加前'!A:A,B92)=0,IF(I92="PremiumSS","R5only","R3less"),"")</f>
        <v>R3less</v>
      </c>
      <c r="F92" s="7" t="str">
        <f>IF(COUNTIF('R6開放'!A:A,B92)&gt;0,"R6release","")</f>
        <v/>
      </c>
      <c r="G92" s="7"/>
      <c r="H92" s="7" t="str">
        <f>VLOOKUP(B92,[1]characters!$A:$C,3,FALSE)</f>
        <v>裂爪の天使 サキエル・ティア</v>
      </c>
      <c r="I92" s="7" t="str">
        <f>VLOOKUP(B92,[1]characters!$A:$J,10,FALSE)</f>
        <v>PremiumS</v>
      </c>
      <c r="J92" s="7">
        <f>VLOOKUP(B92,[1]characters!$A:$I,9,FALSE)</f>
        <v>5</v>
      </c>
      <c r="K92" s="7" t="str">
        <f>VLOOKUP(B92,[1]characters!$A:$H,8,FALSE)</f>
        <v>blue</v>
      </c>
      <c r="L92" s="7" t="str">
        <f>VLOOKUP(B92,[1]characters!$A:$K,11,FALSE)</f>
        <v>hp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10"/>
        <v>1366</v>
      </c>
      <c r="P92" s="46">
        <f t="shared" si="11"/>
        <v>1.365499249006745E-2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84" t="str">
        <f ca="1">input_393100!A$2</f>
        <v>393100</v>
      </c>
      <c r="B93" s="78">
        <v>855</v>
      </c>
      <c r="C93" s="7" t="str">
        <f t="shared" si="12"/>
        <v>Premium5R3less</v>
      </c>
      <c r="D93" s="7" t="str">
        <f t="shared" si="13"/>
        <v>Premium</v>
      </c>
      <c r="E93" s="7" t="str">
        <f>IF(COUNTIF('R6追加前'!A:A,B93)=0,IF(I93="PremiumSS","R5only","R3less"),"")</f>
        <v>R3less</v>
      </c>
      <c r="F93" s="7" t="str">
        <f>IF(COUNTIF('R6開放'!A:A,B93)&gt;0,"R6release","")</f>
        <v/>
      </c>
      <c r="G93" s="7"/>
      <c r="H93" s="7" t="str">
        <f>VLOOKUP(B93,[1]characters!$A:$C,3,FALSE)</f>
        <v>豹魔の侠客 フラウロス</v>
      </c>
      <c r="I93" s="7" t="str">
        <f>VLOOKUP(B93,[1]characters!$A:$J,10,FALSE)</f>
        <v>PremiumS</v>
      </c>
      <c r="J93" s="7">
        <f>VLOOKUP(B93,[1]characters!$A:$I,9,FALSE)</f>
        <v>5</v>
      </c>
      <c r="K93" s="7" t="str">
        <f>VLOOKUP(B93,[1]characters!$A:$H,8,FALSE)</f>
        <v>yellow</v>
      </c>
      <c r="L93" s="7" t="str">
        <f>VLOOKUP(B93,[1]characters!$A:$K,11,FALSE)</f>
        <v>attack</v>
      </c>
      <c r="M93" s="7" t="str">
        <f>VLOOKUP(B93,[1]characters!$A:$M,13,FALSE)</f>
        <v>animal</v>
      </c>
      <c r="N93" s="7" t="str">
        <f>VLOOKUP(B93,[1]characters!$A:$G,7,FALSE)</f>
        <v>男性</v>
      </c>
      <c r="O93" s="45">
        <f t="shared" si="10"/>
        <v>1366</v>
      </c>
      <c r="P93" s="46">
        <f t="shared" si="11"/>
        <v>1.365499249006745E-2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84" t="str">
        <f ca="1">input_393100!A$2</f>
        <v>393100</v>
      </c>
      <c r="B94" s="78">
        <v>863</v>
      </c>
      <c r="C94" s="7" t="str">
        <f t="shared" si="12"/>
        <v>Premium5R3less</v>
      </c>
      <c r="D94" s="7" t="str">
        <f t="shared" si="13"/>
        <v>Premium</v>
      </c>
      <c r="E94" s="7" t="str">
        <f>IF(COUNTIF('R6追加前'!A:A,B94)=0,IF(I94="PremiumSS","R5only","R3less"),"")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歓揮の楽団長 ブレーメン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red</v>
      </c>
      <c r="L94" s="7" t="str">
        <f>VLOOKUP(B94,[1]characters!$A:$K,11,FALSE)</f>
        <v>balance</v>
      </c>
      <c r="M94" s="7" t="str">
        <f>VLOOKUP(B94,[1]characters!$A:$M,13,FALSE)</f>
        <v>animal</v>
      </c>
      <c r="N94" s="7" t="str">
        <f>VLOOKUP(B94,[1]characters!$A:$G,7,FALSE)</f>
        <v>男性</v>
      </c>
      <c r="O94" s="45">
        <f t="shared" si="10"/>
        <v>1366</v>
      </c>
      <c r="P94" s="46">
        <f t="shared" si="11"/>
        <v>1.365499249006745E-2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84" t="str">
        <f ca="1">input_393100!A$2</f>
        <v>393100</v>
      </c>
      <c r="B95" s="78">
        <v>865</v>
      </c>
      <c r="C95" s="7" t="str">
        <f t="shared" si="12"/>
        <v>Premium5R3less</v>
      </c>
      <c r="D95" s="7" t="str">
        <f t="shared" si="13"/>
        <v>Premium</v>
      </c>
      <c r="E95" s="7" t="str">
        <f>IF(COUNTIF('R6追加前'!A:A,B95)=0,IF(I95="PremiumSS","R5only","R3less"),"")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無情の感線 ピノキオ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attack</v>
      </c>
      <c r="M95" s="7" t="str">
        <f>VLOOKUP(B95,[1]characters!$A:$M,13,FALSE)</f>
        <v>machine</v>
      </c>
      <c r="N95" s="7" t="str">
        <f>VLOOKUP(B95,[1]characters!$A:$G,7,FALSE)</f>
        <v>男性</v>
      </c>
      <c r="O95" s="45">
        <f t="shared" si="10"/>
        <v>1366</v>
      </c>
      <c r="P95" s="46">
        <f t="shared" si="11"/>
        <v>1.365499249006745E-2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84" t="str">
        <f ca="1">input_393100!A$2</f>
        <v>393100</v>
      </c>
      <c r="B96" s="78">
        <v>866</v>
      </c>
      <c r="C96" s="7" t="str">
        <f t="shared" si="12"/>
        <v>PremiumSS5R5only</v>
      </c>
      <c r="D96" s="7" t="str">
        <f t="shared" si="13"/>
        <v>PremiumSS</v>
      </c>
      <c r="E96" s="7" t="str">
        <f>IF(COUNTIF('R6追加前'!A:A,B96)=0,IF(I96="PremiumSS","R5only","R3less"),"")</f>
        <v>R5only</v>
      </c>
      <c r="F96" s="7" t="str">
        <f>IF(COUNTIF('R6開放'!A:A,B96)&gt;0,"R6release","")</f>
        <v/>
      </c>
      <c r="G96" s="7"/>
      <c r="H96" s="7" t="str">
        <f>VLOOKUP(B96,[1]characters!$A:$C,3,FALSE)</f>
        <v>無敗の司令姫 白雪姫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human</v>
      </c>
      <c r="N96" s="7" t="str">
        <f>VLOOKUP(B96,[1]characters!$A:$G,7,FALSE)</f>
        <v>男性</v>
      </c>
      <c r="O96" s="45">
        <f t="shared" si="10"/>
        <v>167</v>
      </c>
      <c r="P96" s="46">
        <f t="shared" si="11"/>
        <v>1.6693878080829166E-3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84" t="str">
        <f ca="1">input_393100!A$2</f>
        <v>393100</v>
      </c>
      <c r="B97" s="78">
        <v>868</v>
      </c>
      <c r="C97" s="7" t="str">
        <f t="shared" si="12"/>
        <v>PremiumSS5R5only</v>
      </c>
      <c r="D97" s="7" t="str">
        <f t="shared" si="13"/>
        <v>PremiumSS</v>
      </c>
      <c r="E97" s="7" t="str">
        <f>IF(COUNTIF('R6追加前'!A:A,B97)=0,IF(I97="PremiumSS","R5only","R3less"),"")</f>
        <v>R5only</v>
      </c>
      <c r="F97" s="7" t="str">
        <f>IF(COUNTIF('R6開放'!A:A,B97)&gt;0,"R6release","")</f>
        <v/>
      </c>
      <c r="G97" s="7"/>
      <c r="H97" s="7" t="str">
        <f>VLOOKUP(B97,[1]characters!$A:$C,3,FALSE)</f>
        <v>アラジンと殲滅機兵LAMP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yellow</v>
      </c>
      <c r="L97" s="7" t="str">
        <f>VLOOKUP(B97,[1]characters!$A:$K,11,FALSE)</f>
        <v>hp</v>
      </c>
      <c r="M97" s="7" t="str">
        <f>VLOOKUP(B97,[1]characters!$A:$M,13,FALSE)</f>
        <v>human</v>
      </c>
      <c r="N97" s="7" t="str">
        <f>VLOOKUP(B97,[1]characters!$A:$G,7,FALSE)</f>
        <v>男性</v>
      </c>
      <c r="O97" s="45">
        <f t="shared" si="10"/>
        <v>167</v>
      </c>
      <c r="P97" s="46">
        <f t="shared" si="11"/>
        <v>1.6693878080829166E-3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84" t="str">
        <f ca="1">input_393100!A$2</f>
        <v>393100</v>
      </c>
      <c r="B98" s="78">
        <v>742</v>
      </c>
      <c r="C98" s="7" t="str">
        <f t="shared" si="12"/>
        <v>PremiumSS5R5only</v>
      </c>
      <c r="D98" s="7" t="str">
        <f t="shared" si="13"/>
        <v>PremiumSS</v>
      </c>
      <c r="E98" s="7" t="str">
        <f>IF(COUNTIF('R6追加前'!A:A,B98)=0,IF(I98="PremiumSS","R5only","R3less"),"")</f>
        <v>R5only</v>
      </c>
      <c r="F98" s="7" t="str">
        <f>IF(COUNTIF('R6開放'!A:A,B98)&gt;0,"R6release","")</f>
        <v/>
      </c>
      <c r="G98" s="7"/>
      <c r="H98" s="7" t="str">
        <f>VLOOKUP(B98,[1]characters!$A:$C,3,FALSE)</f>
        <v>アポロン</v>
      </c>
      <c r="I98" s="7" t="str">
        <f>VLOOKUP(B98,[1]characters!$A:$J,10,FALSE)</f>
        <v>PremiumSS</v>
      </c>
      <c r="J98" s="7">
        <f>VLOOKUP(B98,[1]characters!$A:$I,9,FALSE)</f>
        <v>5</v>
      </c>
      <c r="K98" s="7" t="str">
        <f>VLOOKUP(B98,[1]characters!$A:$H,8,FALSE)</f>
        <v>red</v>
      </c>
      <c r="L98" s="7" t="str">
        <f>VLOOKUP(B98,[1]characters!$A:$K,11,FALSE)</f>
        <v>attack</v>
      </c>
      <c r="M98" s="7" t="str">
        <f>VLOOKUP(B98,[1]characters!$A:$M,13,FALSE)</f>
        <v>god</v>
      </c>
      <c r="N98" s="7" t="str">
        <f>VLOOKUP(B98,[1]characters!$A:$G,7,FALSE)</f>
        <v>男性</v>
      </c>
      <c r="O98" s="45">
        <f t="shared" ref="O98:O113" si="14">ROUND(IF(D98="PremiumSS",0.075/COUNTIF(D:D,"PremiumSS"),0.915/COUNTIF(D:D,"Premium"))*100000,0)</f>
        <v>167</v>
      </c>
      <c r="P98" s="46">
        <f t="shared" ref="P98:P129" si="15">O98/SUM(O:O)</f>
        <v>1.6693878080829166E-3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84" t="str">
        <f ca="1">input_393100!A$2</f>
        <v>393100</v>
      </c>
      <c r="B99" s="78">
        <v>744</v>
      </c>
      <c r="C99" s="7" t="str">
        <f t="shared" si="12"/>
        <v>PremiumSS5R5only</v>
      </c>
      <c r="D99" s="7" t="str">
        <f t="shared" si="13"/>
        <v>PremiumSS</v>
      </c>
      <c r="E99" s="7" t="str">
        <f>IF(COUNTIF('R6追加前'!A:A,B99)=0,IF(I99="PremiumSS","R5only","R3less"),"")</f>
        <v>R5only</v>
      </c>
      <c r="F99" s="7" t="str">
        <f>IF(COUNTIF('R6開放'!A:A,B99)&gt;0,"R6release","")</f>
        <v/>
      </c>
      <c r="G99" s="7"/>
      <c r="H99" s="7" t="str">
        <f>VLOOKUP(B99,[1]characters!$A:$C,3,FALSE)</f>
        <v>ヘルメス</v>
      </c>
      <c r="I99" s="7" t="str">
        <f>VLOOKUP(B99,[1]characters!$A:$J,10,FALSE)</f>
        <v>PremiumSS</v>
      </c>
      <c r="J99" s="7">
        <f>VLOOKUP(B99,[1]characters!$A:$I,9,FALSE)</f>
        <v>5</v>
      </c>
      <c r="K99" s="7" t="str">
        <f>VLOOKUP(B99,[1]characters!$A:$H,8,FALSE)</f>
        <v>green</v>
      </c>
      <c r="L99" s="7" t="str">
        <f>VLOOKUP(B99,[1]characters!$A:$K,11,FALSE)</f>
        <v>technical</v>
      </c>
      <c r="M99" s="7" t="str">
        <f>VLOOKUP(B99,[1]characters!$A:$M,13,FALSE)</f>
        <v>god</v>
      </c>
      <c r="N99" s="7" t="str">
        <f>VLOOKUP(B99,[1]characters!$A:$G,7,FALSE)</f>
        <v>男性</v>
      </c>
      <c r="O99" s="45">
        <f t="shared" si="14"/>
        <v>167</v>
      </c>
      <c r="P99" s="46">
        <f t="shared" si="15"/>
        <v>1.6693878080829166E-3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84" t="str">
        <f ca="1">input_393100!A$2</f>
        <v>393100</v>
      </c>
      <c r="B100" s="78">
        <v>747</v>
      </c>
      <c r="C100" s="7" t="str">
        <f t="shared" si="12"/>
        <v>Premium5R3less</v>
      </c>
      <c r="D100" s="7" t="str">
        <f t="shared" si="13"/>
        <v>Premium</v>
      </c>
      <c r="E100" s="7" t="str">
        <f>IF(COUNTIF('R6追加前'!A:A,B100)=0,IF(I100="PremiumSS","R5only","R3less"),"")</f>
        <v>R3less</v>
      </c>
      <c r="F100" s="7" t="str">
        <f>IF(COUNTIF('R6開放'!A:A,B100)&gt;0,"R6release","")</f>
        <v/>
      </c>
      <c r="G100" s="7"/>
      <c r="H100" s="7" t="str">
        <f>VLOOKUP(B100,[1]characters!$A:$C,3,FALSE)</f>
        <v>潔碧の巡励神 ノルン</v>
      </c>
      <c r="I100" s="7" t="str">
        <f>VLOOKUP(B100,[1]characters!$A:$J,10,FALSE)</f>
        <v>PremiumS</v>
      </c>
      <c r="J100" s="7">
        <f>VLOOKUP(B100,[1]characters!$A:$I,9,FALSE)</f>
        <v>5</v>
      </c>
      <c r="K100" s="7" t="str">
        <f>VLOOKUP(B100,[1]characters!$A:$H,8,FALSE)</f>
        <v>blue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 t="shared" si="14"/>
        <v>1366</v>
      </c>
      <c r="P100" s="46">
        <f t="shared" si="15"/>
        <v>1.365499249006745E-2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84" t="str">
        <f ca="1">input_393100!A$2</f>
        <v>393100</v>
      </c>
      <c r="B101" s="78">
        <v>749</v>
      </c>
      <c r="C101" s="7" t="str">
        <f t="shared" si="12"/>
        <v>Premium5R3less</v>
      </c>
      <c r="D101" s="7" t="str">
        <f t="shared" si="13"/>
        <v>Premium</v>
      </c>
      <c r="E101" s="7" t="str">
        <f>IF(COUNTIF('R6追加前'!A:A,B101)=0,IF(I101="PremiumSS","R5only","R3less"),"")</f>
        <v>R3less</v>
      </c>
      <c r="F101" s="7" t="str">
        <f>IF(COUNTIF('R6開放'!A:A,B101)&gt;0,"R6release","")</f>
        <v/>
      </c>
      <c r="G101" s="7"/>
      <c r="H101" s="7" t="str">
        <f>VLOOKUP(B101,[1]characters!$A:$C,3,FALSE)</f>
        <v>光喜の牧童 パーン</v>
      </c>
      <c r="I101" s="7" t="str">
        <f>VLOOKUP(B101,[1]characters!$A:$J,10,FALSE)</f>
        <v>PremiumS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heal</v>
      </c>
      <c r="M101" s="7" t="str">
        <f>VLOOKUP(B101,[1]characters!$A:$M,13,FALSE)</f>
        <v>animal</v>
      </c>
      <c r="N101" s="7" t="str">
        <f>VLOOKUP(B101,[1]characters!$A:$G,7,FALSE)</f>
        <v>男性</v>
      </c>
      <c r="O101" s="45">
        <f>ROUND(IF(D101="PremiumSS",0.075/COUNTIF(D:D,"PremiumSS"),0.915/COUNTIF(D:D,"Premium"))*100000,0)</f>
        <v>1366</v>
      </c>
      <c r="P101" s="46">
        <f t="shared" si="15"/>
        <v>1.365499249006745E-2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84" t="str">
        <f ca="1">input_393100!A$2</f>
        <v>393100</v>
      </c>
      <c r="B102" s="78">
        <v>937</v>
      </c>
      <c r="C102" s="7" t="str">
        <f t="shared" si="12"/>
        <v>PremiumSS5R5only</v>
      </c>
      <c r="D102" s="7" t="str">
        <f t="shared" si="13"/>
        <v>PremiumSS</v>
      </c>
      <c r="E102" s="7" t="str">
        <f>IF(COUNTIF('R6追加前'!A:A,B102)=0,IF(I102="PremiumSS","R5only","R3less"),"")</f>
        <v>R5only</v>
      </c>
      <c r="F102" s="7" t="str">
        <f>IF(COUNTIF('R6開放'!A:A,B102)&gt;0,"R6release","")</f>
        <v/>
      </c>
      <c r="G102" s="7"/>
      <c r="H102" s="7" t="str">
        <f>VLOOKUP(B102,[1]characters!$A:$C,3,FALSE)</f>
        <v>ナポレオン</v>
      </c>
      <c r="I102" s="7" t="str">
        <f>VLOOKUP(B102,[1]characters!$A:$J,10,FALSE)</f>
        <v>PremiumSS</v>
      </c>
      <c r="J102" s="7">
        <f>VLOOKUP(B102,[1]characters!$A:$I,9,FALSE)</f>
        <v>5</v>
      </c>
      <c r="K102" s="7" t="str">
        <f>VLOOKUP(B102,[1]characters!$A:$H,8,FALSE)</f>
        <v>red</v>
      </c>
      <c r="L102" s="7" t="str">
        <f>VLOOKUP(B102,[1]characters!$A:$K,11,FALSE)</f>
        <v>balance</v>
      </c>
      <c r="M102" s="7" t="str">
        <f>VLOOKUP(B102,[1]characters!$A:$M,13,FALSE)</f>
        <v>human</v>
      </c>
      <c r="N102" s="7" t="str">
        <f>VLOOKUP(B102,[1]characters!$A:$G,7,FALSE)</f>
        <v>男性</v>
      </c>
      <c r="O102" s="45">
        <f t="shared" si="14"/>
        <v>167</v>
      </c>
      <c r="P102" s="46">
        <f t="shared" si="15"/>
        <v>1.6693878080829166E-3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84" t="str">
        <f ca="1">input_393100!A$2</f>
        <v>393100</v>
      </c>
      <c r="B103" s="78">
        <v>940</v>
      </c>
      <c r="C103" s="7" t="str">
        <f t="shared" si="12"/>
        <v>Premium5R3less</v>
      </c>
      <c r="D103" s="7" t="str">
        <f t="shared" si="13"/>
        <v>Premium</v>
      </c>
      <c r="E103" s="7" t="str">
        <f>IF(COUNTIF('R6追加前'!A:A,B103)=0,IF(I103="PremiumSS","R5only","R3less"),"")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不壊の大要塞 バスティーユ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green</v>
      </c>
      <c r="L103" s="7" t="str">
        <f>VLOOKUP(B103,[1]characters!$A:$K,11,FALSE)</f>
        <v>hp</v>
      </c>
      <c r="M103" s="7" t="str">
        <f>VLOOKUP(B103,[1]characters!$A:$M,13,FALSE)</f>
        <v>unknown</v>
      </c>
      <c r="N103" s="7" t="str">
        <f>VLOOKUP(B103,[1]characters!$A:$G,7,FALSE)</f>
        <v>男性</v>
      </c>
      <c r="O103" s="45">
        <f t="shared" si="14"/>
        <v>1366</v>
      </c>
      <c r="P103" s="46">
        <f t="shared" si="15"/>
        <v>1.365499249006745E-2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84" t="str">
        <f ca="1">input_393100!A$2</f>
        <v>393100</v>
      </c>
      <c r="B104" s="78">
        <v>941</v>
      </c>
      <c r="C104" s="7" t="str">
        <f t="shared" si="12"/>
        <v>PremiumSS5R5only</v>
      </c>
      <c r="D104" s="7" t="str">
        <f t="shared" si="13"/>
        <v>PremiumSS</v>
      </c>
      <c r="E104" s="7" t="str">
        <f>IF(COUNTIF('R6追加前'!A:A,B104)=0,IF(I104="PremiumSS","R5only","R3less"),"")</f>
        <v>R5only</v>
      </c>
      <c r="F104" s="7" t="str">
        <f>IF(COUNTIF('R6開放'!A:A,B104)&gt;0,"R6release","")</f>
        <v/>
      </c>
      <c r="G104" s="7"/>
      <c r="H104" s="7" t="str">
        <f>VLOOKUP(B104,[1]characters!$A:$C,3,FALSE)</f>
        <v>アントワネット</v>
      </c>
      <c r="I104" s="7" t="str">
        <f>VLOOKUP(B104,[1]characters!$A:$J,10,FALSE)</f>
        <v>PremiumSS</v>
      </c>
      <c r="J104" s="7">
        <f>VLOOKUP(B104,[1]characters!$A:$I,9,FALSE)</f>
        <v>5</v>
      </c>
      <c r="K104" s="7" t="str">
        <f>VLOOKUP(B104,[1]characters!$A:$H,8,FALSE)</f>
        <v>blue</v>
      </c>
      <c r="L104" s="7" t="str">
        <f>VLOOKUP(B104,[1]characters!$A:$K,11,FALSE)</f>
        <v>technical</v>
      </c>
      <c r="M104" s="7" t="str">
        <f>VLOOKUP(B104,[1]characters!$A:$M,13,FALSE)</f>
        <v>human</v>
      </c>
      <c r="N104" s="7" t="str">
        <f>VLOOKUP(B104,[1]characters!$A:$G,7,FALSE)</f>
        <v>男性</v>
      </c>
      <c r="O104" s="45">
        <f t="shared" si="14"/>
        <v>167</v>
      </c>
      <c r="P104" s="46">
        <f t="shared" si="15"/>
        <v>1.6693878080829166E-3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84" t="str">
        <f ca="1">input_393100!A$2</f>
        <v>393100</v>
      </c>
      <c r="B105" s="78">
        <v>943</v>
      </c>
      <c r="C105" s="7" t="str">
        <f t="shared" si="12"/>
        <v>PremiumSS5R5only</v>
      </c>
      <c r="D105" s="7" t="str">
        <f t="shared" si="13"/>
        <v>PremiumSS</v>
      </c>
      <c r="E105" s="7" t="str">
        <f>IF(COUNTIF('R6追加前'!A:A,B105)=0,IF(I105="PremiumSS","R5only","R3less"),"")</f>
        <v>R5only</v>
      </c>
      <c r="F105" s="7" t="str">
        <f>IF(COUNTIF('R6開放'!A:A,B105)&gt;0,"R6release","")</f>
        <v/>
      </c>
      <c r="G105" s="7"/>
      <c r="H105" s="7" t="str">
        <f>VLOOKUP(B105,[1]characters!$A:$C,3,FALSE)</f>
        <v>サンソン</v>
      </c>
      <c r="I105" s="7" t="str">
        <f>VLOOKUP(B105,[1]characters!$A:$J,10,FALSE)</f>
        <v>PremiumSS</v>
      </c>
      <c r="J105" s="7">
        <f>VLOOKUP(B105,[1]characters!$A:$I,9,FALSE)</f>
        <v>5</v>
      </c>
      <c r="K105" s="7" t="str">
        <f>VLOOKUP(B105,[1]characters!$A:$H,8,FALSE)</f>
        <v>yellow</v>
      </c>
      <c r="L105" s="7" t="str">
        <f>VLOOKUP(B105,[1]characters!$A:$K,11,FALSE)</f>
        <v>attack</v>
      </c>
      <c r="M105" s="7" t="str">
        <f>VLOOKUP(B105,[1]characters!$A:$M,13,FALSE)</f>
        <v>human</v>
      </c>
      <c r="N105" s="7" t="str">
        <f>VLOOKUP(B105,[1]characters!$A:$G,7,FALSE)</f>
        <v>男性</v>
      </c>
      <c r="O105" s="45">
        <f t="shared" si="14"/>
        <v>167</v>
      </c>
      <c r="P105" s="46">
        <f t="shared" si="15"/>
        <v>1.6693878080829166E-3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84" t="str">
        <f ca="1">input_393100!A$2</f>
        <v>393100</v>
      </c>
      <c r="B106" s="5">
        <v>1012</v>
      </c>
      <c r="C106" s="7" t="str">
        <f t="shared" si="12"/>
        <v>PremiumSS5R5only</v>
      </c>
      <c r="D106" s="7" t="str">
        <f t="shared" si="13"/>
        <v>PremiumSS</v>
      </c>
      <c r="E106" s="7" t="str">
        <f>IF(COUNTIF('R6追加前'!A:A,B106)=0,IF(I106="PremiumSS","R5only","R3less"),"")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ラー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red</v>
      </c>
      <c r="L106" s="7" t="str">
        <f>VLOOKUP(B106,[1]characters!$A:$K,11,FALSE)</f>
        <v>balance</v>
      </c>
      <c r="M106" s="7" t="str">
        <f>VLOOKUP(B106,[1]characters!$A:$M,13,FALSE)</f>
        <v>god</v>
      </c>
      <c r="N106" s="7" t="str">
        <f>VLOOKUP(B106,[1]characters!$A:$G,7,FALSE)</f>
        <v>男性</v>
      </c>
      <c r="O106" s="45">
        <f t="shared" si="14"/>
        <v>167</v>
      </c>
      <c r="P106" s="46">
        <f t="shared" si="15"/>
        <v>1.6693878080829166E-3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84" t="str">
        <f ca="1">input_393100!A$2</f>
        <v>393100</v>
      </c>
      <c r="B107" s="5">
        <v>1014</v>
      </c>
      <c r="C107" s="7" t="str">
        <f t="shared" si="12"/>
        <v>PremiumSS5R5only</v>
      </c>
      <c r="D107" s="7" t="str">
        <f t="shared" si="13"/>
        <v>PremiumSS</v>
      </c>
      <c r="E107" s="7" t="str">
        <f>IF(COUNTIF('R6追加前'!A:A,B107)=0,IF(I107="PremiumSS","R5only","R3less"),"")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イシス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hp</v>
      </c>
      <c r="M107" s="7" t="str">
        <f>VLOOKUP(B107,[1]characters!$A:$M,13,FALSE)</f>
        <v>god</v>
      </c>
      <c r="N107" s="7" t="str">
        <f>VLOOKUP(B107,[1]characters!$A:$G,7,FALSE)</f>
        <v>男性</v>
      </c>
      <c r="O107" s="45">
        <f t="shared" si="14"/>
        <v>167</v>
      </c>
      <c r="P107" s="46">
        <f t="shared" si="15"/>
        <v>1.6693878080829166E-3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84" t="str">
        <f ca="1">input_393100!A$2</f>
        <v>393100</v>
      </c>
      <c r="B108" s="5">
        <v>1017</v>
      </c>
      <c r="C108" s="7" t="str">
        <f t="shared" si="12"/>
        <v>Premium5R3less</v>
      </c>
      <c r="D108" s="7" t="str">
        <f t="shared" si="13"/>
        <v>Premium</v>
      </c>
      <c r="E108" s="7" t="str">
        <f>IF(COUNTIF('R6追加前'!A:A,B108)=0,IF(I108="PremiumSS","R5only","R3less"),"")</f>
        <v>R3less</v>
      </c>
      <c r="F108" s="7" t="str">
        <f>IF(COUNTIF('R6開放'!A:A,B108)&gt;0,"R6release","")</f>
        <v/>
      </c>
      <c r="G108" s="7"/>
      <c r="H108" s="7" t="str">
        <f>VLOOKUP(B108,[1]characters!$A:$C,3,FALSE)</f>
        <v>命瞳の慈母神 ハトホル</v>
      </c>
      <c r="I108" s="7" t="str">
        <f>VLOOKUP(B108,[1]characters!$A:$J,10,FALSE)</f>
        <v>PremiumS</v>
      </c>
      <c r="J108" s="7">
        <f>VLOOKUP(B108,[1]characters!$A:$I,9,FALSE)</f>
        <v>5</v>
      </c>
      <c r="K108" s="7" t="str">
        <f>VLOOKUP(B108,[1]characters!$A:$H,8,FALSE)</f>
        <v>blue</v>
      </c>
      <c r="L108" s="7" t="str">
        <f>VLOOKUP(B108,[1]characters!$A:$K,11,FALSE)</f>
        <v>heal</v>
      </c>
      <c r="M108" s="7" t="str">
        <f>VLOOKUP(B108,[1]characters!$A:$M,13,FALSE)</f>
        <v>god</v>
      </c>
      <c r="N108" s="7" t="str">
        <f>VLOOKUP(B108,[1]characters!$A:$G,7,FALSE)</f>
        <v>男性</v>
      </c>
      <c r="O108" s="45">
        <f t="shared" si="14"/>
        <v>1366</v>
      </c>
      <c r="P108" s="46">
        <f t="shared" si="15"/>
        <v>1.365499249006745E-2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84" t="str">
        <f ca="1">input_393100!A$2</f>
        <v>393100</v>
      </c>
      <c r="B109" s="5">
        <v>1018</v>
      </c>
      <c r="C109" s="7" t="str">
        <f t="shared" si="12"/>
        <v>PremiumSS5R5only</v>
      </c>
      <c r="D109" s="7" t="str">
        <f t="shared" si="13"/>
        <v>PremiumSS</v>
      </c>
      <c r="E109" s="7" t="str">
        <f>IF(COUNTIF('R6追加前'!A:A,B109)=0,IF(I109="PremiumSS","R5only","R3less"),"")</f>
        <v>R5only</v>
      </c>
      <c r="F109" s="7" t="str">
        <f>IF(COUNTIF('R6開放'!A:A,B109)&gt;0,"R6release","")</f>
        <v/>
      </c>
      <c r="G109" s="7"/>
      <c r="H109" s="7" t="str">
        <f>VLOOKUP(B109,[1]characters!$A:$C,3,FALSE)</f>
        <v>バステト</v>
      </c>
      <c r="I109" s="7" t="str">
        <f>VLOOKUP(B109,[1]characters!$A:$J,10,FALSE)</f>
        <v>PremiumSS</v>
      </c>
      <c r="J109" s="7">
        <f>VLOOKUP(B109,[1]characters!$A:$I,9,FALSE)</f>
        <v>5</v>
      </c>
      <c r="K109" s="7" t="str">
        <f>VLOOKUP(B109,[1]characters!$A:$H,8,FALSE)</f>
        <v>yellow</v>
      </c>
      <c r="L109" s="7" t="str">
        <f>VLOOKUP(B109,[1]characters!$A:$K,11,FALSE)</f>
        <v>attack</v>
      </c>
      <c r="M109" s="7" t="str">
        <f>VLOOKUP(B109,[1]characters!$A:$M,13,FALSE)</f>
        <v>god</v>
      </c>
      <c r="N109" s="7" t="str">
        <f>VLOOKUP(B109,[1]characters!$A:$G,7,FALSE)</f>
        <v>男性</v>
      </c>
      <c r="O109" s="45">
        <f t="shared" si="14"/>
        <v>167</v>
      </c>
      <c r="P109" s="46">
        <f t="shared" si="15"/>
        <v>1.6693878080829166E-3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84" t="str">
        <f ca="1">input_393100!A$2</f>
        <v>393100</v>
      </c>
      <c r="B110" s="2">
        <v>1027</v>
      </c>
      <c r="C110" s="7" t="str">
        <f t="shared" ref="C110:C117" si="16">D110&amp;J110&amp;E110&amp;F110&amp;G110</f>
        <v>Premium5R3less</v>
      </c>
      <c r="D110" s="7" t="str">
        <f t="shared" ref="D110:D117" si="17">IF(I110="PremiumSS",I110,IF(I110="PremiumSSS",I110,IF(I110="PremiumW",I110,"Premium")))</f>
        <v>Premium</v>
      </c>
      <c r="E110" s="7" t="str">
        <f>IF(COUNTIF('R6追加前'!A:A,B110)=0,IF(I110="PremiumSS","R5only","R3less"),"")</f>
        <v>R3less</v>
      </c>
      <c r="F110" s="7" t="str">
        <f>IF(COUNTIF('R6開放'!A:A,B110)&gt;0,"R6release","")</f>
        <v/>
      </c>
      <c r="G110" s="7"/>
      <c r="H110" s="7" t="str">
        <f>VLOOKUP(B110,[1]characters!$A:$C,3,FALSE)</f>
        <v>弾丸多重奏 蝉丸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red</v>
      </c>
      <c r="L110" s="7" t="str">
        <f>VLOOKUP(B110,[1]characters!$A:$K,11,FALSE)</f>
        <v>attack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14"/>
        <v>1366</v>
      </c>
      <c r="P110" s="46">
        <f t="shared" si="15"/>
        <v>1.365499249006745E-2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84" t="str">
        <f ca="1">input_393100!A$2</f>
        <v>393100</v>
      </c>
      <c r="B111" s="2">
        <v>1028</v>
      </c>
      <c r="C111" s="7" t="str">
        <f t="shared" si="16"/>
        <v>PremiumSS5R5only</v>
      </c>
      <c r="D111" s="7" t="str">
        <f t="shared" si="17"/>
        <v>PremiumSS</v>
      </c>
      <c r="E111" s="7" t="str">
        <f>IF(COUNTIF('R6追加前'!A:A,B111)=0,IF(I111="PremiumSS","R5only","R3less"),"")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牛若丸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green</v>
      </c>
      <c r="L111" s="7" t="str">
        <f>VLOOKUP(B111,[1]characters!$A:$K,11,FALSE)</f>
        <v>balance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14"/>
        <v>167</v>
      </c>
      <c r="P111" s="46">
        <f t="shared" si="15"/>
        <v>1.6693878080829166E-3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84" t="str">
        <f ca="1">input_393100!A$2</f>
        <v>393100</v>
      </c>
      <c r="B112" s="2">
        <v>1031</v>
      </c>
      <c r="C112" s="7" t="str">
        <f t="shared" si="16"/>
        <v>PremiumSS5R5only</v>
      </c>
      <c r="D112" s="7" t="str">
        <f t="shared" si="17"/>
        <v>PremiumSS</v>
      </c>
      <c r="E112" s="7" t="str">
        <f>IF(COUNTIF('R6追加前'!A:A,B112)=0,IF(I112="PremiumSS","R5only","R3less"),"")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紫式部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blue</v>
      </c>
      <c r="L112" s="7" t="str">
        <f>VLOOKUP(B112,[1]characters!$A:$K,11,FALSE)</f>
        <v>technical</v>
      </c>
      <c r="M112" s="7" t="str">
        <f>VLOOKUP(B112,[1]characters!$A:$M,13,FALSE)</f>
        <v>human</v>
      </c>
      <c r="N112" s="7" t="str">
        <f>VLOOKUP(B112,[1]characters!$A:$G,7,FALSE)</f>
        <v>男性</v>
      </c>
      <c r="O112" s="45">
        <f t="shared" si="14"/>
        <v>167</v>
      </c>
      <c r="P112" s="46">
        <f t="shared" si="15"/>
        <v>1.6693878080829166E-3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84" t="str">
        <f ca="1">input_393100!A$2</f>
        <v>393100</v>
      </c>
      <c r="B113" s="2">
        <v>1033</v>
      </c>
      <c r="C113" s="7" t="str">
        <f t="shared" si="16"/>
        <v>PremiumSS5R5only</v>
      </c>
      <c r="D113" s="7" t="str">
        <f t="shared" si="17"/>
        <v>PremiumSS</v>
      </c>
      <c r="E113" s="7" t="str">
        <f>IF(COUNTIF('R6追加前'!A:A,B113)=0,IF(I113="PremiumSS","R5only","R3less"),"")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清少納言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heal</v>
      </c>
      <c r="M113" s="7" t="str">
        <f>VLOOKUP(B113,[1]characters!$A:$M,13,FALSE)</f>
        <v>human</v>
      </c>
      <c r="N113" s="7" t="str">
        <f>VLOOKUP(B113,[1]characters!$A:$G,7,FALSE)</f>
        <v>男性</v>
      </c>
      <c r="O113" s="45">
        <f t="shared" si="14"/>
        <v>167</v>
      </c>
      <c r="P113" s="46">
        <f t="shared" si="15"/>
        <v>1.6693878080829166E-3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84" t="str">
        <f ca="1">input_393100!A$2</f>
        <v>393100</v>
      </c>
      <c r="B114" s="2">
        <v>1039</v>
      </c>
      <c r="C114" s="7" t="str">
        <f t="shared" si="16"/>
        <v>PremiumSSS5R3less</v>
      </c>
      <c r="D114" s="7" t="str">
        <f t="shared" si="17"/>
        <v>PremiumSSS</v>
      </c>
      <c r="E114" s="7" t="str">
        <f>IF(COUNTIF('R6追加前'!A:A,B114)=0,IF(I114="PremiumSS","R5only","R3less"),"")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R5 ディラック</v>
      </c>
      <c r="I114" s="7" t="str">
        <f>VLOOKUP(B114,[1]characters!$A:$J,10,FALSE)</f>
        <v>PremiumSSS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technical</v>
      </c>
      <c r="M114" s="7" t="str">
        <f>VLOOKUP(B114,[1]characters!$A:$M,13,FALSE)</f>
        <v>academia</v>
      </c>
      <c r="N114" s="7" t="str">
        <f>VLOOKUP(B114,[1]characters!$A:$G,7,FALSE)</f>
        <v>男性</v>
      </c>
      <c r="O114" s="45">
        <f t="shared" ref="O107:O117" si="18">(0.01/4)*100000</f>
        <v>250</v>
      </c>
      <c r="P114" s="46">
        <f>O114/SUM(O:O)</f>
        <v>2.4990835450343063E-3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84" t="str">
        <f ca="1">input_393100!A$2</f>
        <v>393100</v>
      </c>
      <c r="B115" s="2">
        <v>485</v>
      </c>
      <c r="C115" s="7" t="str">
        <f t="shared" si="16"/>
        <v>PremiumSSS5R3less</v>
      </c>
      <c r="D115" s="7" t="str">
        <f t="shared" si="17"/>
        <v>PremiumSSS</v>
      </c>
      <c r="E115" s="7" t="str">
        <f>IF(COUNTIF('R6追加前'!A:A,B115)=0,IF(I115="PremiumSS","R5only","R3less"),"")</f>
        <v>R3less</v>
      </c>
      <c r="F115" s="7" t="str">
        <f>IF(COUNTIF('R6開放'!A:A,B115)&gt;0,"R6release","")</f>
        <v/>
      </c>
      <c r="G115" s="7"/>
      <c r="H115" s="7" t="str">
        <f>VLOOKUP(B115,[1]characters!$A:$C,3,FALSE)</f>
        <v>超越自我 ラグランジュ</v>
      </c>
      <c r="I115" s="7" t="str">
        <f>VLOOKUP(B115,[1]characters!$A:$J,10,FALSE)</f>
        <v>PremiumSSS</v>
      </c>
      <c r="J115" s="7">
        <f>VLOOKUP(B115,[1]characters!$A:$I,9,FALSE)</f>
        <v>5</v>
      </c>
      <c r="K115" s="7" t="str">
        <f>VLOOKUP(B115,[1]characters!$A:$H,8,FALSE)</f>
        <v>red</v>
      </c>
      <c r="L115" s="7" t="str">
        <f>VLOOKUP(B115,[1]characters!$A:$K,11,FALSE)</f>
        <v>technical</v>
      </c>
      <c r="M115" s="7" t="str">
        <f>VLOOKUP(B115,[1]characters!$A:$M,13,FALSE)</f>
        <v>human</v>
      </c>
      <c r="N115" s="7" t="str">
        <f>VLOOKUP(B115,[1]characters!$A:$G,7,FALSE)</f>
        <v>女性</v>
      </c>
      <c r="O115" s="45">
        <f t="shared" si="18"/>
        <v>250</v>
      </c>
      <c r="P115" s="46">
        <f t="shared" si="15"/>
        <v>2.4990835450343063E-3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84" t="str">
        <f ca="1">input_393100!A$2</f>
        <v>393100</v>
      </c>
      <c r="B116" s="2">
        <v>760</v>
      </c>
      <c r="C116" s="7" t="str">
        <f t="shared" si="16"/>
        <v>PremiumSSS5R3less</v>
      </c>
      <c r="D116" s="7" t="str">
        <f t="shared" si="17"/>
        <v>PremiumSSS</v>
      </c>
      <c r="E116" s="7" t="str">
        <f>IF(COUNTIF('R6追加前'!A:A,B116)=0,IF(I116="PremiumSS","R5only","R3less"),"")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限論顕現 クロネッカー</v>
      </c>
      <c r="I116" s="7" t="str">
        <f>VLOOKUP(B116,[1]characters!$A:$J,10,FALSE)</f>
        <v>PremiumSSS</v>
      </c>
      <c r="J116" s="7">
        <f>VLOOKUP(B116,[1]characters!$A:$I,9,FALSE)</f>
        <v>5</v>
      </c>
      <c r="K116" s="7" t="str">
        <f>VLOOKUP(B116,[1]characters!$A:$H,8,FALSE)</f>
        <v>yellow</v>
      </c>
      <c r="L116" s="7" t="str">
        <f>VLOOKUP(B116,[1]characters!$A:$K,11,FALSE)</f>
        <v>balance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18"/>
        <v>250</v>
      </c>
      <c r="P116" s="46">
        <f t="shared" si="15"/>
        <v>2.4990835450343063E-3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84" t="str">
        <f ca="1">input_393100!A$2</f>
        <v>393100</v>
      </c>
      <c r="B117" s="2">
        <v>750</v>
      </c>
      <c r="C117" s="7" t="str">
        <f t="shared" si="16"/>
        <v>PremiumSSS5R3less</v>
      </c>
      <c r="D117" s="7" t="str">
        <f t="shared" si="17"/>
        <v>PremiumSSS</v>
      </c>
      <c r="E117" s="7" t="str">
        <f>IF(COUNTIF('R6追加前'!A:A,B117)=0,IF(I117="PremiumSS","R5only","R3less"),"")</f>
        <v>R3less</v>
      </c>
      <c r="F117" s="7" t="str">
        <f>IF(COUNTIF('R6開放'!A:A,B117)&gt;0,"R6release","")</f>
        <v/>
      </c>
      <c r="G117" s="7"/>
      <c r="H117" s="7" t="str">
        <f>VLOOKUP(B117,[1]characters!$A:$C,3,FALSE)</f>
        <v>ポアソン</v>
      </c>
      <c r="I117" s="7" t="str">
        <f>VLOOKUP(B117,[1]characters!$A:$J,10,FALSE)</f>
        <v>PremiumSSS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academia</v>
      </c>
      <c r="N117" s="7" t="str">
        <f>VLOOKUP(B117,[1]characters!$A:$G,7,FALSE)</f>
        <v>男性</v>
      </c>
      <c r="O117" s="45">
        <f t="shared" si="18"/>
        <v>250</v>
      </c>
      <c r="P117" s="46">
        <f t="shared" si="15"/>
        <v>2.4990835450343063E-3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</sheetData>
  <autoFilter ref="A1:V117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I20" sqref="I2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5" t="s">
        <v>217</v>
      </c>
      <c r="B2" s="75" t="s">
        <v>218</v>
      </c>
      <c r="C2" s="76" t="s">
        <v>213</v>
      </c>
      <c r="D2" s="76">
        <v>125</v>
      </c>
      <c r="E2" s="76">
        <v>1</v>
      </c>
      <c r="F2" s="76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6" t="s">
        <v>190</v>
      </c>
      <c r="O2" s="76" t="s">
        <v>215</v>
      </c>
      <c r="P2" s="76" t="s">
        <v>216</v>
      </c>
      <c r="Q2" s="77" t="s">
        <v>220</v>
      </c>
    </row>
    <row r="3" spans="1:17" ht="21" customHeight="1" x14ac:dyDescent="0.15">
      <c r="A3" s="75" t="s">
        <v>222</v>
      </c>
      <c r="B3" s="75" t="s">
        <v>219</v>
      </c>
      <c r="C3" s="1" t="s">
        <v>210</v>
      </c>
      <c r="D3" s="1">
        <v>125</v>
      </c>
      <c r="E3" s="1">
        <v>3</v>
      </c>
      <c r="F3" s="1">
        <v>1</v>
      </c>
      <c r="G3" s="83">
        <v>0</v>
      </c>
      <c r="H3" s="83">
        <v>0</v>
      </c>
      <c r="I3" s="83">
        <v>0</v>
      </c>
      <c r="J3" s="83">
        <v>0</v>
      </c>
      <c r="K3" s="83">
        <v>1</v>
      </c>
      <c r="L3" s="83">
        <v>1</v>
      </c>
      <c r="M3" s="83">
        <v>1</v>
      </c>
      <c r="N3" s="76" t="s">
        <v>190</v>
      </c>
      <c r="O3" s="76" t="s">
        <v>214</v>
      </c>
      <c r="P3" s="76" t="s">
        <v>216</v>
      </c>
      <c r="Q3" s="77" t="s">
        <v>221</v>
      </c>
    </row>
    <row r="4" spans="1:17" ht="21" customHeight="1" x14ac:dyDescent="0.15">
      <c r="A4" s="75"/>
      <c r="B4" s="75"/>
      <c r="G4" s="83"/>
      <c r="H4" s="83"/>
      <c r="I4" s="83"/>
      <c r="J4" s="83"/>
      <c r="K4" s="83"/>
      <c r="L4" s="83"/>
      <c r="M4" s="83"/>
      <c r="N4" s="76"/>
      <c r="O4" s="76"/>
      <c r="P4" s="76"/>
      <c r="Q4" s="77"/>
    </row>
    <row r="5" spans="1:17" ht="21" customHeight="1" x14ac:dyDescent="0.15">
      <c r="A5" s="75"/>
      <c r="B5" s="75"/>
      <c r="G5" s="83"/>
      <c r="H5" s="83"/>
      <c r="I5" s="83"/>
      <c r="J5" s="83"/>
      <c r="K5" s="83"/>
      <c r="L5" s="83"/>
      <c r="M5" s="83"/>
      <c r="N5" s="76"/>
      <c r="O5" s="76"/>
      <c r="P5" s="76"/>
      <c r="Q5" s="77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F28" sqref="F28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input_393010</vt:lpstr>
      <vt:lpstr>tables_393010</vt:lpstr>
      <vt:lpstr>input_393100</vt:lpstr>
      <vt:lpstr>tables_393100</vt:lpstr>
      <vt:lpstr>tables_settle_393100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2016-08-22T13:05:55Z</dcterms:modified>
</cp:coreProperties>
</file>