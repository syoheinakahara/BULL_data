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rinotakuya/BULL_data/master_excel/"/>
    </mc:Choice>
  </mc:AlternateContent>
  <bookViews>
    <workbookView xWindow="0" yWindow="460" windowWidth="28800" windowHeight="16500" tabRatio="943" activeTab="2"/>
  </bookViews>
  <sheets>
    <sheet name="Sheet1" sheetId="107" r:id="rId1"/>
    <sheet name="output" sheetId="103" r:id="rId2"/>
    <sheet name="store_products" sheetId="111" r:id="rId3"/>
    <sheet name="store_products_i18n" sheetId="110" r:id="rId4"/>
  </sheets>
  <externalReferences>
    <externalReference r:id="rId5"/>
    <externalReference r:id="rId6"/>
  </externalReferences>
  <definedNames>
    <definedName name="_xlnm._FilterDatabase" localSheetId="2" hidden="1">store_products!$A$1:$G$291</definedName>
    <definedName name="_xlnm._FilterDatabase" localSheetId="3" hidden="1">store_products_i18n!$A$1:$E$257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00" i="110" l="1"/>
  <c r="C200" i="110"/>
  <c r="A201" i="110"/>
  <c r="C201" i="110"/>
  <c r="A202" i="110"/>
  <c r="C202" i="110"/>
  <c r="A203" i="110"/>
  <c r="C203" i="110"/>
  <c r="A204" i="110"/>
  <c r="C204" i="110"/>
  <c r="A205" i="110"/>
  <c r="C205" i="110"/>
  <c r="A206" i="110"/>
  <c r="C206" i="110"/>
  <c r="A207" i="110"/>
  <c r="C207" i="110"/>
  <c r="A208" i="110"/>
  <c r="C208" i="110"/>
  <c r="A209" i="110"/>
  <c r="C209" i="110"/>
  <c r="A210" i="110"/>
  <c r="C210" i="110"/>
  <c r="A211" i="110"/>
  <c r="C211" i="110"/>
  <c r="A212" i="110"/>
  <c r="C212" i="110"/>
  <c r="A213" i="110"/>
  <c r="C213" i="110"/>
  <c r="A214" i="110"/>
  <c r="C214" i="110"/>
  <c r="A215" i="110"/>
  <c r="C215" i="110"/>
  <c r="A216" i="110"/>
  <c r="C216" i="110"/>
  <c r="A217" i="110"/>
  <c r="C217" i="110"/>
  <c r="A218" i="110"/>
  <c r="C218" i="110"/>
  <c r="A219" i="110"/>
  <c r="C219" i="110"/>
  <c r="A220" i="110"/>
  <c r="C220" i="110"/>
  <c r="A221" i="110"/>
  <c r="C221" i="110"/>
  <c r="A222" i="110"/>
  <c r="C222" i="110"/>
  <c r="A223" i="110"/>
  <c r="C223" i="110"/>
  <c r="A224" i="110"/>
  <c r="C224" i="110"/>
  <c r="A225" i="110"/>
  <c r="C225" i="110"/>
  <c r="A226" i="110"/>
  <c r="C226" i="110"/>
  <c r="A227" i="110"/>
  <c r="C227" i="110"/>
  <c r="A228" i="110"/>
  <c r="C228" i="110"/>
  <c r="A229" i="110"/>
  <c r="C229" i="110"/>
  <c r="A230" i="110"/>
  <c r="C230" i="110"/>
  <c r="A231" i="110"/>
  <c r="C231" i="110"/>
  <c r="A232" i="110"/>
  <c r="C232" i="110"/>
  <c r="A233" i="110"/>
  <c r="C233" i="110"/>
  <c r="A234" i="110"/>
  <c r="C234" i="110"/>
  <c r="A235" i="110"/>
  <c r="C235" i="110"/>
  <c r="A236" i="110"/>
  <c r="C236" i="110"/>
  <c r="A237" i="110"/>
  <c r="C237" i="110"/>
  <c r="A238" i="110"/>
  <c r="C238" i="110"/>
  <c r="A239" i="110"/>
  <c r="C239" i="110"/>
  <c r="E221" i="111"/>
  <c r="B221" i="111"/>
  <c r="A221" i="111"/>
  <c r="E220" i="111"/>
  <c r="B220" i="111"/>
  <c r="A220" i="111"/>
  <c r="E219" i="111"/>
  <c r="B219" i="111"/>
  <c r="A219" i="111"/>
  <c r="E218" i="111"/>
  <c r="B218" i="111"/>
  <c r="A218" i="111"/>
  <c r="E217" i="111"/>
  <c r="B217" i="111"/>
  <c r="A217" i="111"/>
  <c r="E216" i="111"/>
  <c r="B216" i="111"/>
  <c r="A216" i="111"/>
  <c r="E215" i="111"/>
  <c r="B215" i="111"/>
  <c r="A215" i="111"/>
  <c r="E214" i="111"/>
  <c r="B214" i="111"/>
  <c r="A214" i="111"/>
  <c r="E195" i="111"/>
  <c r="B195" i="111"/>
  <c r="A195" i="111"/>
  <c r="E194" i="111"/>
  <c r="B194" i="111"/>
  <c r="A194" i="111"/>
  <c r="E193" i="111"/>
  <c r="B193" i="111"/>
  <c r="A193" i="111"/>
  <c r="E192" i="111"/>
  <c r="B192" i="111"/>
  <c r="A192" i="111"/>
  <c r="E191" i="111"/>
  <c r="B191" i="111"/>
  <c r="A191" i="111"/>
  <c r="E190" i="111"/>
  <c r="B190" i="111"/>
  <c r="A190" i="111"/>
  <c r="E189" i="111"/>
  <c r="B189" i="111"/>
  <c r="A189" i="111"/>
  <c r="E188" i="111"/>
  <c r="B188" i="111"/>
  <c r="A188" i="111"/>
  <c r="E169" i="111"/>
  <c r="B169" i="111"/>
  <c r="A169" i="111"/>
  <c r="E168" i="111"/>
  <c r="B168" i="111"/>
  <c r="A168" i="111"/>
  <c r="E167" i="111"/>
  <c r="B167" i="111"/>
  <c r="A167" i="111"/>
  <c r="E166" i="111"/>
  <c r="B166" i="111"/>
  <c r="A166" i="111"/>
  <c r="E165" i="111"/>
  <c r="B165" i="111"/>
  <c r="A165" i="111"/>
  <c r="E164" i="111"/>
  <c r="B164" i="111"/>
  <c r="A164" i="111"/>
  <c r="E163" i="111"/>
  <c r="B163" i="111"/>
  <c r="A163" i="111"/>
  <c r="E162" i="111"/>
  <c r="B162" i="111"/>
  <c r="A162" i="111"/>
  <c r="A170" i="111"/>
  <c r="B170" i="111"/>
  <c r="E170" i="111"/>
  <c r="A171" i="111"/>
  <c r="B171" i="111"/>
  <c r="E171" i="111"/>
  <c r="A172" i="111"/>
  <c r="B172" i="111"/>
  <c r="E172" i="111"/>
  <c r="A173" i="111"/>
  <c r="B173" i="111"/>
  <c r="E173" i="111"/>
  <c r="A174" i="111"/>
  <c r="B174" i="111"/>
  <c r="E174" i="111"/>
  <c r="A175" i="111"/>
  <c r="B175" i="111"/>
  <c r="E175" i="111"/>
  <c r="A176" i="111"/>
  <c r="B176" i="111"/>
  <c r="E176" i="111"/>
  <c r="A177" i="111"/>
  <c r="B177" i="111"/>
  <c r="E177" i="111"/>
  <c r="E143" i="111"/>
  <c r="B143" i="111"/>
  <c r="A143" i="111"/>
  <c r="E142" i="111"/>
  <c r="B142" i="111"/>
  <c r="A142" i="111"/>
  <c r="E141" i="111"/>
  <c r="B141" i="111"/>
  <c r="A141" i="111"/>
  <c r="E140" i="111"/>
  <c r="B140" i="111"/>
  <c r="A140" i="111"/>
  <c r="E139" i="111"/>
  <c r="B139" i="111"/>
  <c r="A139" i="111"/>
  <c r="E138" i="111"/>
  <c r="B138" i="111"/>
  <c r="A138" i="111"/>
  <c r="E137" i="111"/>
  <c r="B137" i="111"/>
  <c r="A137" i="111"/>
  <c r="E136" i="111"/>
  <c r="B136" i="111"/>
  <c r="A136" i="111"/>
  <c r="E117" i="111"/>
  <c r="E116" i="111"/>
  <c r="E115" i="111"/>
  <c r="E114" i="111"/>
  <c r="E113" i="111"/>
  <c r="E112" i="111"/>
  <c r="E110" i="111"/>
  <c r="E111" i="111"/>
  <c r="B117" i="111"/>
  <c r="B116" i="111"/>
  <c r="B115" i="111"/>
  <c r="B114" i="111"/>
  <c r="B113" i="111"/>
  <c r="B112" i="111"/>
  <c r="B111" i="111"/>
  <c r="B110" i="111"/>
  <c r="A110" i="111"/>
  <c r="A117" i="111"/>
  <c r="A116" i="111"/>
  <c r="A115" i="111"/>
  <c r="A114" i="111"/>
  <c r="A113" i="111"/>
  <c r="A112" i="111"/>
  <c r="A111" i="111"/>
  <c r="A199" i="110"/>
  <c r="A2" i="111"/>
  <c r="A101" i="111"/>
  <c r="A102" i="111"/>
  <c r="A103" i="111"/>
  <c r="B2" i="111"/>
  <c r="E2" i="111"/>
  <c r="E3" i="111"/>
  <c r="E4" i="111"/>
  <c r="E5" i="111"/>
  <c r="E6" i="111"/>
  <c r="E7" i="111"/>
  <c r="E8" i="111"/>
  <c r="E9" i="111"/>
  <c r="E10" i="111"/>
  <c r="E11" i="111"/>
  <c r="E12" i="111"/>
  <c r="E13" i="111"/>
  <c r="E14" i="111"/>
  <c r="E15" i="111"/>
  <c r="E16" i="111"/>
  <c r="E17" i="111"/>
  <c r="E18" i="111"/>
  <c r="E19" i="111"/>
  <c r="E20" i="111"/>
  <c r="E21" i="111"/>
  <c r="E22" i="111"/>
  <c r="E23" i="111"/>
  <c r="E24" i="111"/>
  <c r="E25" i="111"/>
  <c r="E26" i="111"/>
  <c r="E27" i="111"/>
  <c r="E28" i="111"/>
  <c r="E29" i="111"/>
  <c r="E30" i="111"/>
  <c r="E31" i="111"/>
  <c r="E32" i="111"/>
  <c r="E33" i="111"/>
  <c r="E34" i="111"/>
  <c r="E35" i="111"/>
  <c r="E36" i="111"/>
  <c r="E37" i="111"/>
  <c r="E38" i="111"/>
  <c r="E39" i="111"/>
  <c r="E40" i="111"/>
  <c r="E41" i="111"/>
  <c r="E42" i="111"/>
  <c r="E43" i="111"/>
  <c r="E44" i="111"/>
  <c r="E45" i="111"/>
  <c r="E46" i="111"/>
  <c r="E47" i="111"/>
  <c r="E48" i="111"/>
  <c r="E49" i="111"/>
  <c r="E50" i="111"/>
  <c r="E51" i="111"/>
  <c r="E52" i="111"/>
  <c r="E53" i="111"/>
  <c r="E54" i="111"/>
  <c r="E55" i="111"/>
  <c r="E56" i="111"/>
  <c r="E57" i="111"/>
  <c r="E58" i="111"/>
  <c r="E59" i="111"/>
  <c r="E60" i="111"/>
  <c r="E61" i="111"/>
  <c r="E62" i="111"/>
  <c r="E63" i="111"/>
  <c r="E64" i="111"/>
  <c r="E65" i="111"/>
  <c r="E66" i="111"/>
  <c r="E67" i="111"/>
  <c r="E68" i="111"/>
  <c r="E70" i="111"/>
  <c r="E71" i="111"/>
  <c r="E72" i="111"/>
  <c r="E73" i="111"/>
  <c r="E74" i="111"/>
  <c r="E75" i="111"/>
  <c r="E76" i="111"/>
  <c r="E77" i="111"/>
  <c r="E78" i="111"/>
  <c r="E79" i="111"/>
  <c r="E80" i="111"/>
  <c r="E81" i="111"/>
  <c r="E82" i="111"/>
  <c r="E83" i="111"/>
  <c r="E84" i="111"/>
  <c r="E85" i="111"/>
  <c r="E86" i="111"/>
  <c r="E88" i="111"/>
  <c r="E89" i="111"/>
  <c r="E90" i="111"/>
  <c r="E91" i="111"/>
  <c r="E92" i="111"/>
  <c r="E93" i="111"/>
  <c r="E94" i="111"/>
  <c r="E95" i="111"/>
  <c r="E96" i="111"/>
  <c r="E97" i="111"/>
  <c r="E98" i="111"/>
  <c r="E99" i="111"/>
  <c r="E100" i="111"/>
  <c r="B101" i="111"/>
  <c r="E101" i="111"/>
  <c r="B102" i="111"/>
  <c r="E102" i="111"/>
  <c r="B103" i="111"/>
  <c r="E103" i="111"/>
  <c r="A104" i="111"/>
  <c r="B104" i="111"/>
  <c r="E104" i="111"/>
  <c r="A105" i="111"/>
  <c r="B105" i="111"/>
  <c r="A106" i="111"/>
  <c r="B106" i="111"/>
  <c r="E106" i="111"/>
  <c r="A107" i="111"/>
  <c r="B107" i="111"/>
  <c r="E107" i="111"/>
  <c r="A108" i="111"/>
  <c r="B108" i="111"/>
  <c r="E108" i="111"/>
  <c r="A109" i="111"/>
  <c r="B109" i="111"/>
  <c r="E109" i="111"/>
  <c r="A118" i="111"/>
  <c r="B118" i="111"/>
  <c r="E118" i="111"/>
  <c r="A119" i="111"/>
  <c r="B119" i="111"/>
  <c r="E119" i="111"/>
  <c r="A120" i="111"/>
  <c r="B120" i="111"/>
  <c r="E120" i="111"/>
  <c r="A121" i="111"/>
  <c r="B121" i="111"/>
  <c r="E121" i="111"/>
  <c r="A122" i="111"/>
  <c r="B122" i="111"/>
  <c r="E122" i="111"/>
  <c r="A123" i="111"/>
  <c r="B123" i="111"/>
  <c r="E123" i="111"/>
  <c r="A124" i="111"/>
  <c r="B124" i="111"/>
  <c r="E124" i="111"/>
  <c r="A125" i="111"/>
  <c r="B125" i="111"/>
  <c r="E125" i="111"/>
  <c r="A126" i="111"/>
  <c r="B126" i="111"/>
  <c r="E126" i="111"/>
  <c r="A127" i="111"/>
  <c r="B127" i="111"/>
  <c r="E127" i="111"/>
  <c r="A128" i="111"/>
  <c r="B128" i="111"/>
  <c r="E128" i="111"/>
  <c r="A129" i="111"/>
  <c r="B129" i="111"/>
  <c r="E129" i="111"/>
  <c r="A130" i="111"/>
  <c r="B130" i="111"/>
  <c r="E130" i="111"/>
  <c r="A131" i="111"/>
  <c r="B131" i="111"/>
  <c r="A132" i="111"/>
  <c r="B132" i="111"/>
  <c r="E132" i="111"/>
  <c r="A133" i="111"/>
  <c r="B133" i="111"/>
  <c r="E133" i="111"/>
  <c r="A134" i="111"/>
  <c r="B134" i="111"/>
  <c r="E134" i="111"/>
  <c r="A135" i="111"/>
  <c r="B135" i="111"/>
  <c r="E135" i="111"/>
  <c r="A144" i="111"/>
  <c r="B144" i="111"/>
  <c r="E144" i="111"/>
  <c r="A145" i="111"/>
  <c r="B145" i="111"/>
  <c r="E145" i="111"/>
  <c r="A146" i="111"/>
  <c r="B146" i="111"/>
  <c r="E146" i="111"/>
  <c r="A147" i="111"/>
  <c r="B147" i="111"/>
  <c r="E147" i="111"/>
  <c r="A148" i="111"/>
  <c r="B148" i="111"/>
  <c r="E148" i="111"/>
  <c r="A149" i="111"/>
  <c r="B149" i="111"/>
  <c r="E149" i="111"/>
  <c r="A150" i="111"/>
  <c r="B150" i="111"/>
  <c r="E150" i="111"/>
  <c r="A151" i="111"/>
  <c r="B151" i="111"/>
  <c r="E151" i="111"/>
  <c r="A152" i="111"/>
  <c r="B152" i="111"/>
  <c r="E152" i="111"/>
  <c r="A153" i="111"/>
  <c r="B153" i="111"/>
  <c r="E153" i="111"/>
  <c r="A154" i="111"/>
  <c r="B154" i="111"/>
  <c r="E154" i="111"/>
  <c r="A155" i="111"/>
  <c r="B155" i="111"/>
  <c r="E155" i="111"/>
  <c r="A156" i="111"/>
  <c r="B156" i="111"/>
  <c r="E156" i="111"/>
  <c r="A157" i="111"/>
  <c r="B157" i="111"/>
  <c r="A158" i="111"/>
  <c r="B158" i="111"/>
  <c r="E158" i="111"/>
  <c r="A159" i="111"/>
  <c r="B159" i="111"/>
  <c r="E159" i="111"/>
  <c r="A160" i="111"/>
  <c r="B160" i="111"/>
  <c r="E160" i="111"/>
  <c r="A161" i="111"/>
  <c r="B161" i="111"/>
  <c r="E161" i="111"/>
  <c r="A178" i="111"/>
  <c r="B178" i="111"/>
  <c r="E178" i="111"/>
  <c r="A179" i="111"/>
  <c r="B179" i="111"/>
  <c r="E179" i="111"/>
  <c r="A180" i="111"/>
  <c r="B180" i="111"/>
  <c r="E180" i="111"/>
  <c r="A181" i="111"/>
  <c r="B181" i="111"/>
  <c r="E181" i="111"/>
  <c r="A182" i="111"/>
  <c r="B182" i="111"/>
  <c r="E182" i="111"/>
  <c r="A183" i="111"/>
  <c r="B183" i="111"/>
  <c r="A184" i="111"/>
  <c r="B184" i="111"/>
  <c r="E184" i="111"/>
  <c r="A185" i="111"/>
  <c r="B185" i="111"/>
  <c r="E185" i="111"/>
  <c r="A186" i="111"/>
  <c r="B186" i="111"/>
  <c r="E186" i="111"/>
  <c r="A187" i="111"/>
  <c r="B187" i="111"/>
  <c r="E187" i="111"/>
  <c r="A196" i="111"/>
  <c r="B196" i="111"/>
  <c r="E196" i="111"/>
  <c r="A197" i="111"/>
  <c r="B197" i="111"/>
  <c r="E197" i="111"/>
  <c r="A198" i="111"/>
  <c r="B198" i="111"/>
  <c r="E198" i="111"/>
  <c r="A199" i="111"/>
  <c r="B199" i="111"/>
  <c r="E199" i="111"/>
  <c r="A200" i="111"/>
  <c r="B200" i="111"/>
  <c r="E200" i="111"/>
  <c r="A201" i="111"/>
  <c r="B201" i="111"/>
  <c r="E201" i="111"/>
  <c r="A202" i="111"/>
  <c r="B202" i="111"/>
  <c r="E202" i="111"/>
  <c r="A203" i="111"/>
  <c r="B203" i="111"/>
  <c r="E203" i="111"/>
  <c r="A204" i="111"/>
  <c r="B204" i="111"/>
  <c r="E204" i="111"/>
  <c r="A205" i="111"/>
  <c r="B205" i="111"/>
  <c r="E205" i="111"/>
  <c r="A206" i="111"/>
  <c r="B206" i="111"/>
  <c r="E206" i="111"/>
  <c r="A207" i="111"/>
  <c r="B207" i="111"/>
  <c r="E207" i="111"/>
  <c r="A208" i="111"/>
  <c r="B208" i="111"/>
  <c r="E208" i="111"/>
  <c r="A209" i="111"/>
  <c r="B209" i="111"/>
  <c r="A210" i="111"/>
  <c r="B210" i="111"/>
  <c r="E210" i="111"/>
  <c r="A211" i="111"/>
  <c r="B211" i="111"/>
  <c r="E211" i="111"/>
  <c r="A212" i="111"/>
  <c r="B212" i="111"/>
  <c r="E212" i="111"/>
  <c r="A213" i="111"/>
  <c r="B213" i="111"/>
  <c r="E213" i="111"/>
  <c r="A222" i="111"/>
  <c r="B222" i="111"/>
  <c r="E222" i="111"/>
  <c r="A223" i="111"/>
  <c r="B223" i="111"/>
  <c r="E223" i="111"/>
  <c r="A224" i="111"/>
  <c r="B224" i="111"/>
  <c r="E224" i="111"/>
  <c r="A225" i="111"/>
  <c r="B225" i="111"/>
  <c r="E225" i="111"/>
  <c r="A226" i="111"/>
  <c r="B226" i="111"/>
  <c r="E226" i="111"/>
  <c r="A227" i="111"/>
  <c r="B227" i="111"/>
  <c r="E227" i="111"/>
  <c r="A228" i="111"/>
  <c r="B228" i="111"/>
  <c r="E228" i="111"/>
  <c r="A229" i="111"/>
  <c r="B229" i="111"/>
  <c r="E229" i="111"/>
  <c r="A230" i="111"/>
  <c r="B230" i="111"/>
  <c r="E230" i="111"/>
  <c r="A231" i="111"/>
  <c r="B231" i="111"/>
  <c r="E231" i="111"/>
  <c r="A232" i="111"/>
  <c r="B232" i="111"/>
  <c r="E232" i="111"/>
  <c r="A233" i="111"/>
  <c r="B233" i="111"/>
  <c r="E233" i="111"/>
  <c r="A234" i="111"/>
  <c r="B234" i="111"/>
  <c r="E234" i="111"/>
  <c r="A235" i="111"/>
  <c r="B235" i="111"/>
  <c r="A236" i="111"/>
  <c r="B236" i="111"/>
  <c r="E236" i="111"/>
  <c r="A237" i="111"/>
  <c r="B237" i="111"/>
  <c r="E237" i="111"/>
  <c r="A238" i="111"/>
  <c r="B238" i="111"/>
  <c r="E238" i="111"/>
  <c r="A239" i="111"/>
  <c r="B239" i="111"/>
  <c r="E239" i="111"/>
  <c r="A3" i="111"/>
  <c r="A4" i="111"/>
  <c r="A5" i="111"/>
  <c r="A6" i="111"/>
  <c r="B3" i="111"/>
  <c r="B4" i="111"/>
  <c r="B5" i="111"/>
  <c r="B6" i="111"/>
  <c r="A7" i="111"/>
  <c r="B7" i="111"/>
  <c r="A8" i="111"/>
  <c r="B8" i="111"/>
  <c r="A9" i="111"/>
  <c r="B9" i="111"/>
  <c r="A10" i="111"/>
  <c r="B10" i="111"/>
  <c r="A11" i="111"/>
  <c r="B11" i="111"/>
  <c r="A12" i="111"/>
  <c r="B12" i="111"/>
  <c r="A13" i="111"/>
  <c r="B13" i="111"/>
  <c r="A14" i="111"/>
  <c r="B14" i="111"/>
  <c r="A15" i="111"/>
  <c r="B15" i="111"/>
  <c r="A16" i="111"/>
  <c r="B16" i="111"/>
  <c r="A17" i="111"/>
  <c r="B17" i="111"/>
  <c r="A18" i="111"/>
  <c r="B18" i="111"/>
  <c r="A19" i="111"/>
  <c r="B19" i="111"/>
  <c r="A20" i="111"/>
  <c r="B20" i="111"/>
  <c r="A21" i="111"/>
  <c r="B21" i="111"/>
  <c r="A22" i="111"/>
  <c r="B22" i="111"/>
  <c r="A23" i="111"/>
  <c r="B23" i="111"/>
  <c r="A24" i="111"/>
  <c r="B24" i="111"/>
  <c r="A25" i="111"/>
  <c r="B25" i="111"/>
  <c r="A26" i="111"/>
  <c r="B26" i="111"/>
  <c r="A27" i="111"/>
  <c r="B27" i="111"/>
  <c r="A28" i="111"/>
  <c r="B28" i="111"/>
  <c r="A29" i="111"/>
  <c r="B29" i="111"/>
  <c r="A30" i="111"/>
  <c r="B30" i="111"/>
  <c r="A31" i="111"/>
  <c r="B31" i="111"/>
  <c r="A32" i="111"/>
  <c r="B32" i="111"/>
  <c r="A33" i="111"/>
  <c r="B33" i="111"/>
  <c r="A34" i="111"/>
  <c r="B34" i="111"/>
  <c r="A35" i="111"/>
  <c r="B35" i="111"/>
  <c r="A36" i="111"/>
  <c r="B36" i="111"/>
  <c r="A37" i="111"/>
  <c r="B37" i="111"/>
  <c r="A38" i="111"/>
  <c r="B38" i="111"/>
  <c r="A39" i="111"/>
  <c r="B39" i="111"/>
  <c r="A40" i="111"/>
  <c r="B40" i="111"/>
  <c r="A41" i="111"/>
  <c r="B41" i="111"/>
  <c r="A42" i="111"/>
  <c r="B42" i="111"/>
  <c r="A43" i="111"/>
  <c r="B43" i="111"/>
  <c r="A44" i="111"/>
  <c r="B44" i="111"/>
  <c r="A45" i="111"/>
  <c r="B45" i="111"/>
  <c r="A46" i="111"/>
  <c r="B46" i="111"/>
  <c r="A47" i="111"/>
  <c r="B47" i="111"/>
  <c r="A48" i="111"/>
  <c r="B48" i="111"/>
  <c r="A49" i="111"/>
  <c r="B49" i="111"/>
  <c r="A50" i="111"/>
  <c r="B50" i="111"/>
  <c r="A51" i="111"/>
  <c r="B51" i="111"/>
  <c r="A52" i="111"/>
  <c r="B52" i="111"/>
  <c r="A53" i="111"/>
  <c r="B53" i="111"/>
  <c r="A54" i="111"/>
  <c r="B54" i="111"/>
  <c r="A55" i="111"/>
  <c r="B55" i="111"/>
  <c r="A56" i="111"/>
  <c r="B56" i="111"/>
  <c r="A57" i="111"/>
  <c r="B57" i="111"/>
  <c r="A58" i="111"/>
  <c r="B58" i="111"/>
  <c r="A59" i="111"/>
  <c r="B59" i="111"/>
  <c r="A60" i="111"/>
  <c r="B60" i="111"/>
  <c r="A61" i="111"/>
  <c r="B61" i="111"/>
  <c r="A62" i="111"/>
  <c r="B62" i="111"/>
  <c r="A63" i="111"/>
  <c r="B63" i="111"/>
  <c r="A64" i="111"/>
  <c r="B64" i="111"/>
  <c r="A65" i="111"/>
  <c r="B65" i="111"/>
  <c r="A66" i="111"/>
  <c r="B66" i="111"/>
  <c r="A67" i="111"/>
  <c r="B67" i="111"/>
  <c r="A68" i="111"/>
  <c r="B68" i="111"/>
  <c r="A69" i="111"/>
  <c r="B69" i="111"/>
  <c r="A70" i="111"/>
  <c r="B70" i="111"/>
  <c r="A71" i="111"/>
  <c r="B71" i="111"/>
  <c r="A72" i="111"/>
  <c r="B72" i="111"/>
  <c r="A73" i="111"/>
  <c r="B73" i="111"/>
  <c r="A74" i="111"/>
  <c r="B74" i="111"/>
  <c r="A75" i="111"/>
  <c r="B75" i="111"/>
  <c r="A76" i="111"/>
  <c r="B76" i="111"/>
  <c r="A77" i="111"/>
  <c r="B77" i="111"/>
  <c r="A78" i="111"/>
  <c r="B78" i="111"/>
  <c r="A79" i="111"/>
  <c r="B79" i="111"/>
  <c r="A80" i="111"/>
  <c r="B80" i="111"/>
  <c r="A81" i="111"/>
  <c r="B81" i="111"/>
  <c r="A82" i="111"/>
  <c r="B82" i="111"/>
  <c r="A83" i="111"/>
  <c r="B83" i="111"/>
  <c r="A84" i="111"/>
  <c r="B84" i="111"/>
  <c r="A85" i="111"/>
  <c r="B85" i="111"/>
  <c r="A86" i="111"/>
  <c r="B86" i="111"/>
  <c r="A87" i="111"/>
  <c r="B87" i="111"/>
  <c r="A88" i="111"/>
  <c r="B88" i="111"/>
  <c r="A89" i="111"/>
  <c r="B89" i="111"/>
  <c r="A90" i="111"/>
  <c r="B90" i="111"/>
  <c r="A91" i="111"/>
  <c r="B91" i="111"/>
  <c r="A92" i="111"/>
  <c r="B92" i="111"/>
  <c r="A93" i="111"/>
  <c r="B93" i="111"/>
  <c r="A94" i="111"/>
  <c r="B94" i="111"/>
  <c r="A95" i="111"/>
  <c r="B95" i="111"/>
  <c r="A96" i="111"/>
  <c r="B96" i="111"/>
  <c r="A97" i="111"/>
  <c r="B97" i="111"/>
  <c r="A98" i="111"/>
  <c r="B98" i="111"/>
  <c r="A99" i="111"/>
  <c r="B99" i="111"/>
  <c r="A100" i="111"/>
  <c r="B100" i="111"/>
  <c r="C199" i="110"/>
  <c r="A159" i="110"/>
  <c r="C159" i="110"/>
  <c r="A160" i="110"/>
  <c r="C160" i="110"/>
  <c r="A161" i="110"/>
  <c r="C161" i="110"/>
  <c r="A162" i="110"/>
  <c r="C162" i="110"/>
  <c r="A163" i="110"/>
  <c r="C163" i="110"/>
  <c r="A164" i="110"/>
  <c r="C164" i="110"/>
  <c r="A165" i="110"/>
  <c r="C165" i="110"/>
  <c r="A166" i="110"/>
  <c r="C166" i="110"/>
  <c r="A167" i="110"/>
  <c r="C167" i="110"/>
  <c r="A168" i="110"/>
  <c r="C168" i="110"/>
  <c r="A169" i="110"/>
  <c r="C169" i="110"/>
  <c r="A170" i="110"/>
  <c r="C170" i="110"/>
  <c r="A171" i="110"/>
  <c r="C171" i="110"/>
  <c r="A172" i="110"/>
  <c r="C172" i="110"/>
  <c r="A173" i="110"/>
  <c r="C173" i="110"/>
  <c r="A174" i="110"/>
  <c r="C174" i="110"/>
  <c r="A175" i="110"/>
  <c r="C175" i="110"/>
  <c r="A176" i="110"/>
  <c r="C176" i="110"/>
  <c r="A177" i="110"/>
  <c r="C177" i="110"/>
  <c r="A178" i="110"/>
  <c r="C178" i="110"/>
  <c r="A179" i="110"/>
  <c r="C179" i="110"/>
  <c r="A180" i="110"/>
  <c r="C180" i="110"/>
  <c r="A181" i="110"/>
  <c r="C181" i="110"/>
  <c r="A182" i="110"/>
  <c r="C182" i="110"/>
  <c r="A183" i="110"/>
  <c r="C183" i="110"/>
  <c r="A184" i="110"/>
  <c r="C184" i="110"/>
  <c r="A185" i="110"/>
  <c r="C185" i="110"/>
  <c r="A186" i="110"/>
  <c r="C186" i="110"/>
  <c r="A187" i="110"/>
  <c r="C187" i="110"/>
  <c r="A188" i="110"/>
  <c r="C188" i="110"/>
  <c r="A189" i="110"/>
  <c r="C189" i="110"/>
  <c r="A190" i="110"/>
  <c r="C190" i="110"/>
  <c r="A191" i="110"/>
  <c r="C191" i="110"/>
  <c r="A192" i="110"/>
  <c r="C192" i="110"/>
  <c r="A193" i="110"/>
  <c r="C193" i="110"/>
  <c r="A194" i="110"/>
  <c r="C194" i="110"/>
  <c r="A195" i="110"/>
  <c r="C195" i="110"/>
  <c r="A196" i="110"/>
  <c r="C196" i="110"/>
  <c r="A197" i="110"/>
  <c r="C197" i="110"/>
  <c r="A198" i="110"/>
  <c r="C198" i="110"/>
  <c r="A158" i="110"/>
  <c r="C158" i="110"/>
  <c r="C91" i="110"/>
  <c r="C90" i="110"/>
  <c r="C89" i="110"/>
  <c r="C88" i="110"/>
  <c r="C87" i="110"/>
  <c r="C86" i="110"/>
  <c r="C85" i="110"/>
  <c r="C84" i="110"/>
  <c r="A87" i="110"/>
  <c r="A86" i="110"/>
  <c r="A91" i="110"/>
  <c r="A90" i="110"/>
  <c r="A89" i="110"/>
  <c r="A88" i="110"/>
  <c r="A85" i="110"/>
  <c r="A84" i="110"/>
  <c r="A157" i="110"/>
  <c r="A156" i="110"/>
  <c r="A155" i="110"/>
  <c r="A154" i="110"/>
  <c r="A153" i="110"/>
  <c r="A152" i="110"/>
  <c r="A151" i="110"/>
  <c r="A150" i="110"/>
  <c r="A149" i="110"/>
  <c r="A148" i="110"/>
  <c r="A147" i="110"/>
  <c r="A146" i="110"/>
  <c r="A145" i="110"/>
  <c r="A144" i="110"/>
  <c r="A143" i="110"/>
  <c r="A142" i="110"/>
  <c r="A141" i="110"/>
  <c r="A140" i="110"/>
  <c r="A139" i="110"/>
  <c r="A138" i="110"/>
  <c r="A137" i="110"/>
  <c r="A136" i="110"/>
  <c r="A135" i="110"/>
  <c r="A134" i="110"/>
  <c r="A133" i="110"/>
  <c r="A132" i="110"/>
  <c r="A131" i="110"/>
  <c r="A130" i="110"/>
  <c r="A129" i="110"/>
  <c r="A128" i="110"/>
  <c r="A127" i="110"/>
  <c r="A126" i="110"/>
  <c r="A125" i="110"/>
  <c r="A124" i="110"/>
  <c r="A123" i="110"/>
  <c r="A122" i="110"/>
  <c r="A121" i="110"/>
  <c r="A120" i="110"/>
  <c r="A119" i="110"/>
  <c r="A118" i="110"/>
  <c r="A117" i="110"/>
  <c r="A116" i="110"/>
  <c r="A115" i="110"/>
  <c r="A114" i="110"/>
  <c r="A113" i="110"/>
  <c r="A112" i="110"/>
  <c r="A111" i="110"/>
  <c r="A110" i="110"/>
  <c r="A109" i="110"/>
  <c r="A108" i="110"/>
  <c r="A107" i="110"/>
  <c r="A106" i="110"/>
  <c r="A105" i="110"/>
  <c r="A104" i="110"/>
  <c r="A103" i="110"/>
  <c r="A102" i="110"/>
  <c r="A101" i="110"/>
  <c r="A100" i="110"/>
  <c r="A99" i="110"/>
  <c r="A98" i="110"/>
  <c r="A97" i="110"/>
  <c r="A96" i="110"/>
  <c r="A95" i="110"/>
  <c r="A94" i="110"/>
  <c r="A93" i="110"/>
  <c r="A92" i="110"/>
  <c r="A83" i="110"/>
  <c r="A82" i="110"/>
  <c r="A81" i="110"/>
  <c r="A80" i="110"/>
  <c r="A79" i="110"/>
  <c r="A78" i="110"/>
  <c r="A77" i="110"/>
  <c r="A76" i="110"/>
  <c r="A75" i="110"/>
  <c r="A74" i="110"/>
  <c r="A73" i="110"/>
  <c r="A72" i="110"/>
  <c r="A71" i="110"/>
  <c r="A70" i="110"/>
  <c r="A69" i="110"/>
  <c r="A68" i="110"/>
  <c r="A67" i="110"/>
  <c r="A66" i="110"/>
  <c r="C70" i="110"/>
  <c r="C71" i="110"/>
  <c r="C72" i="110"/>
  <c r="C68" i="110"/>
  <c r="C67" i="110"/>
  <c r="C66" i="110"/>
  <c r="C139" i="110"/>
  <c r="C157" i="110"/>
  <c r="C156" i="110"/>
  <c r="C155" i="110"/>
  <c r="C154" i="110"/>
  <c r="C153" i="110"/>
  <c r="C152" i="110"/>
  <c r="C151" i="110"/>
  <c r="C150" i="110"/>
  <c r="C149" i="110"/>
  <c r="C148" i="110"/>
  <c r="C147" i="110"/>
  <c r="C146" i="110"/>
  <c r="C145" i="110"/>
  <c r="C144" i="110"/>
  <c r="C143" i="110"/>
  <c r="C142" i="110"/>
  <c r="C141" i="110"/>
  <c r="C140" i="110"/>
  <c r="C138" i="110"/>
  <c r="C137" i="110"/>
  <c r="C136" i="110"/>
  <c r="C135" i="110"/>
  <c r="C134" i="110"/>
  <c r="C133" i="110"/>
  <c r="C132" i="110"/>
  <c r="C131" i="110"/>
  <c r="C130" i="110"/>
  <c r="C129" i="110"/>
  <c r="C128" i="110"/>
  <c r="C127" i="110"/>
  <c r="C126" i="110"/>
  <c r="C125" i="110"/>
  <c r="C124" i="110"/>
  <c r="C123" i="110"/>
  <c r="C122" i="110"/>
  <c r="C121" i="110"/>
  <c r="C120" i="110"/>
  <c r="C119" i="110"/>
  <c r="C118" i="110"/>
  <c r="C117" i="110"/>
  <c r="C116" i="110"/>
  <c r="C115" i="110"/>
  <c r="C114" i="110"/>
  <c r="C113" i="110"/>
  <c r="C112" i="110"/>
  <c r="C111" i="110"/>
  <c r="C110" i="110"/>
  <c r="C109" i="110"/>
  <c r="C108" i="110"/>
  <c r="C107" i="110"/>
  <c r="C106" i="110"/>
  <c r="C105" i="110"/>
  <c r="C104" i="110"/>
  <c r="C103" i="110"/>
  <c r="C102" i="110"/>
  <c r="C101" i="110"/>
  <c r="C100" i="110"/>
  <c r="C99" i="110"/>
  <c r="C98" i="110"/>
  <c r="C97" i="110"/>
  <c r="C96" i="110"/>
  <c r="C95" i="110"/>
  <c r="C94" i="110"/>
  <c r="C93" i="110"/>
  <c r="C92" i="110"/>
  <c r="C83" i="110"/>
  <c r="C82" i="110"/>
  <c r="C81" i="110"/>
  <c r="C80" i="110"/>
  <c r="C79" i="110"/>
  <c r="C78" i="110"/>
  <c r="C77" i="110"/>
  <c r="C76" i="110"/>
  <c r="C75" i="110"/>
  <c r="C74" i="110"/>
  <c r="A65" i="110"/>
  <c r="C65" i="110"/>
  <c r="A64" i="110"/>
  <c r="C64" i="110"/>
  <c r="A63" i="110"/>
  <c r="C63" i="110"/>
  <c r="A62" i="110"/>
  <c r="C62" i="110"/>
  <c r="A61" i="110"/>
  <c r="C61" i="110"/>
  <c r="A60" i="110"/>
  <c r="C60" i="110"/>
  <c r="A59" i="110"/>
  <c r="C59" i="110"/>
  <c r="A58" i="110"/>
  <c r="C58" i="110"/>
  <c r="A57" i="110"/>
  <c r="C57" i="110"/>
  <c r="A56" i="110"/>
  <c r="C56" i="110"/>
  <c r="A55" i="110"/>
  <c r="C55" i="110"/>
  <c r="A54" i="110"/>
  <c r="C54" i="110"/>
  <c r="A53" i="110"/>
  <c r="C53" i="110"/>
  <c r="A52" i="110"/>
  <c r="C52" i="110"/>
  <c r="A51" i="110"/>
  <c r="C51" i="110"/>
  <c r="A50" i="110"/>
  <c r="C50" i="110"/>
  <c r="A49" i="110"/>
  <c r="C49" i="110"/>
  <c r="A48" i="110"/>
  <c r="C48" i="110"/>
  <c r="A47" i="110"/>
  <c r="C47" i="110"/>
  <c r="A46" i="110"/>
  <c r="C46" i="110"/>
  <c r="A45" i="110"/>
  <c r="C45" i="110"/>
  <c r="A44" i="110"/>
  <c r="C44" i="110"/>
  <c r="A43" i="110"/>
  <c r="C43" i="110"/>
  <c r="A42" i="110"/>
  <c r="C42" i="110"/>
  <c r="A41" i="110"/>
  <c r="C41" i="110"/>
  <c r="A40" i="110"/>
  <c r="C40" i="110"/>
  <c r="A39" i="110"/>
  <c r="C39" i="110"/>
  <c r="A38" i="110"/>
  <c r="C38" i="110"/>
  <c r="A37" i="110"/>
  <c r="C37" i="110"/>
  <c r="A36" i="110"/>
  <c r="C36" i="110"/>
  <c r="A35" i="110"/>
  <c r="C35" i="110"/>
  <c r="A34" i="110"/>
  <c r="C34" i="110"/>
  <c r="A33" i="110"/>
  <c r="C33" i="110"/>
  <c r="A32" i="110"/>
  <c r="C32" i="110"/>
  <c r="A31" i="110"/>
  <c r="C31" i="110"/>
  <c r="A30" i="110"/>
  <c r="C30" i="110"/>
  <c r="A29" i="110"/>
  <c r="C29" i="110"/>
  <c r="A28" i="110"/>
  <c r="C28" i="110"/>
  <c r="A27" i="110"/>
  <c r="C27" i="110"/>
  <c r="A26" i="110"/>
  <c r="C26" i="110"/>
  <c r="A25" i="110"/>
  <c r="C25" i="110"/>
  <c r="A24" i="110"/>
  <c r="C24" i="110"/>
  <c r="A23" i="110"/>
  <c r="C23" i="110"/>
  <c r="A22" i="110"/>
  <c r="C22" i="110"/>
  <c r="A21" i="110"/>
  <c r="C21" i="110"/>
  <c r="A20" i="110"/>
  <c r="C20" i="110"/>
  <c r="A19" i="110"/>
  <c r="C19" i="110"/>
  <c r="A18" i="110"/>
  <c r="C18" i="110"/>
  <c r="A17" i="110"/>
  <c r="C17" i="110"/>
  <c r="A16" i="110"/>
  <c r="C16" i="110"/>
  <c r="A15" i="110"/>
  <c r="C15" i="110"/>
  <c r="A14" i="110"/>
  <c r="C14" i="110"/>
  <c r="A3" i="110"/>
  <c r="A4" i="110"/>
  <c r="A5" i="110"/>
  <c r="A6" i="110"/>
  <c r="A7" i="110"/>
  <c r="A8" i="110"/>
  <c r="A9" i="110"/>
  <c r="A10" i="110"/>
  <c r="A11" i="110"/>
  <c r="A12" i="110"/>
  <c r="A13" i="110"/>
  <c r="A2" i="110"/>
  <c r="C13" i="110"/>
  <c r="C10" i="110"/>
  <c r="C11" i="110"/>
  <c r="C12" i="110"/>
  <c r="C3" i="110"/>
  <c r="C4" i="110"/>
  <c r="C5" i="110"/>
  <c r="C6" i="110"/>
  <c r="C7" i="110"/>
  <c r="C8" i="110"/>
  <c r="C9" i="110"/>
  <c r="C2" i="110"/>
  <c r="E2" i="103"/>
  <c r="E3" i="103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unit,polygon,bit,link,item</t>
        </r>
      </text>
    </comment>
    <comment ref="G1" authorId="0">
      <text>
        <r>
          <rPr>
            <b/>
            <sz val="11"/>
            <color indexed="81"/>
            <rFont val="ＭＳ Ｐゴシック"/>
            <family val="3"/>
            <charset val="128"/>
          </rPr>
          <t>none,once,day,week,month,term</t>
        </r>
      </text>
    </comment>
  </commentList>
</comments>
</file>

<file path=xl/sharedStrings.xml><?xml version="1.0" encoding="utf-8"?>
<sst xmlns="http://schemas.openxmlformats.org/spreadsheetml/2006/main" count="1740" uniqueCount="105">
  <si>
    <t>接頭語</t>
    <rPh sb="0" eb="3">
      <t>セットウゴ</t>
    </rPh>
    <phoneticPr fontId="37"/>
  </si>
  <si>
    <t>識別子</t>
    <rPh sb="0" eb="3">
      <t>シキベツシ</t>
    </rPh>
    <phoneticPr fontId="37"/>
  </si>
  <si>
    <t>形式</t>
    <rPh sb="0" eb="2">
      <t>ケイシキ</t>
    </rPh>
    <phoneticPr fontId="37"/>
  </si>
  <si>
    <t>出力ファイル名</t>
    <rPh sb="0" eb="2">
      <t>シュツリョク</t>
    </rPh>
    <rPh sb="6" eb="7">
      <t>メイ</t>
    </rPh>
    <phoneticPr fontId="37"/>
  </si>
  <si>
    <t>入力シート名</t>
    <rPh sb="0" eb="2">
      <t>ニュウリョク</t>
    </rPh>
    <rPh sb="5" eb="6">
      <t>メイ</t>
    </rPh>
    <phoneticPr fontId="37"/>
  </si>
  <si>
    <t>出力データ</t>
    <rPh sb="0" eb="2">
      <t>シュツリョク</t>
    </rPh>
    <phoneticPr fontId="37"/>
  </si>
  <si>
    <t>出力flg</t>
    <rPh sb="0" eb="2">
      <t>シュツリョク</t>
    </rPh>
    <phoneticPr fontId="37"/>
  </si>
  <si>
    <t>テーブルを増やしたい場合</t>
    <rPh sb="5" eb="6">
      <t>フ</t>
    </rPh>
    <rPh sb="10" eb="12">
      <t>バアイ</t>
    </rPh>
    <phoneticPr fontId="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</si>
  <si>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</si>
  <si>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8"/>
  </si>
  <si>
    <t>３．outputシートで２で作ったtablesを指定する</t>
    <rPh sb="14" eb="15">
      <t>ツク</t>
    </rPh>
    <rPh sb="24" eb="26">
      <t>シテイ</t>
    </rPh>
    <phoneticPr fontId="8"/>
  </si>
  <si>
    <t>store_product_id</t>
    <phoneticPr fontId="8"/>
  </si>
  <si>
    <t>language</t>
    <phoneticPr fontId="8"/>
  </si>
  <si>
    <t>name</t>
    <phoneticPr fontId="8"/>
  </si>
  <si>
    <t>store_products_i18n</t>
    <phoneticPr fontId="8"/>
  </si>
  <si>
    <t>store_products_i18n</t>
    <phoneticPr fontId="37"/>
  </si>
  <si>
    <t>store_product_id</t>
    <phoneticPr fontId="8"/>
  </si>
  <si>
    <t>language</t>
    <phoneticPr fontId="8"/>
  </si>
  <si>
    <t>name</t>
    <phoneticPr fontId="8"/>
  </si>
  <si>
    <t>ja</t>
    <phoneticPr fontId="8"/>
  </si>
  <si>
    <t>ja</t>
    <phoneticPr fontId="8"/>
  </si>
  <si>
    <t>store_products</t>
    <phoneticPr fontId="8"/>
  </si>
  <si>
    <t>store_products</t>
    <phoneticPr fontId="37"/>
  </si>
  <si>
    <t>type_value</t>
    <phoneticPr fontId="8"/>
  </si>
  <si>
    <t>type_count</t>
    <phoneticPr fontId="8"/>
  </si>
  <si>
    <t>limit_type</t>
    <phoneticPr fontId="8"/>
  </si>
  <si>
    <t>limit_value</t>
    <phoneticPr fontId="8"/>
  </si>
  <si>
    <t>ghosts</t>
    <phoneticPr fontId="8"/>
  </si>
  <si>
    <t>attack_plus</t>
    <phoneticPr fontId="8"/>
  </si>
  <si>
    <t>defense_plus</t>
    <phoneticPr fontId="8"/>
  </si>
  <si>
    <t>heal_plus</t>
    <phoneticPr fontId="8"/>
  </si>
  <si>
    <t>hp_plus</t>
    <phoneticPr fontId="8"/>
  </si>
  <si>
    <t>level</t>
    <phoneticPr fontId="8"/>
  </si>
  <si>
    <t>skill_level</t>
    <phoneticPr fontId="8"/>
  </si>
  <si>
    <t>bug</t>
    <phoneticPr fontId="8"/>
  </si>
  <si>
    <t>start_date</t>
    <phoneticPr fontId="8"/>
  </si>
  <si>
    <t>end_date</t>
    <phoneticPr fontId="8"/>
  </si>
  <si>
    <t>priority</t>
    <phoneticPr fontId="8"/>
  </si>
  <si>
    <t>type</t>
    <phoneticPr fontId="8"/>
  </si>
  <si>
    <t>unit</t>
    <phoneticPr fontId="8"/>
  </si>
  <si>
    <t>unit</t>
    <phoneticPr fontId="8"/>
  </si>
  <si>
    <t>unit</t>
    <phoneticPr fontId="8"/>
  </si>
  <si>
    <t>unit</t>
    <phoneticPr fontId="8"/>
  </si>
  <si>
    <t>name</t>
    <phoneticPr fontId="8"/>
  </si>
  <si>
    <t>unit</t>
    <phoneticPr fontId="8"/>
  </si>
  <si>
    <t>item</t>
    <phoneticPr fontId="8"/>
  </si>
  <si>
    <t>unit</t>
    <phoneticPr fontId="8"/>
  </si>
  <si>
    <t>priority</t>
    <phoneticPr fontId="8"/>
  </si>
  <si>
    <t>start_date</t>
    <phoneticPr fontId="8"/>
  </si>
  <si>
    <t>end_date</t>
    <phoneticPr fontId="8"/>
  </si>
  <si>
    <t>ghosts</t>
    <phoneticPr fontId="8"/>
  </si>
  <si>
    <t>limit_type</t>
    <phoneticPr fontId="8"/>
  </si>
  <si>
    <t>limit_value</t>
    <phoneticPr fontId="8"/>
  </si>
  <si>
    <t>type</t>
    <phoneticPr fontId="8"/>
  </si>
  <si>
    <t>type_value</t>
    <phoneticPr fontId="8"/>
  </si>
  <si>
    <t>type_count</t>
    <phoneticPr fontId="8"/>
  </si>
  <si>
    <t>level</t>
    <phoneticPr fontId="8"/>
  </si>
  <si>
    <t>skill_level</t>
    <phoneticPr fontId="8"/>
  </si>
  <si>
    <t>hp_plus</t>
    <phoneticPr fontId="8"/>
  </si>
  <si>
    <t>attack_plus</t>
    <phoneticPr fontId="8"/>
  </si>
  <si>
    <t>defense_plus</t>
    <phoneticPr fontId="8"/>
  </si>
  <si>
    <t>heal_plus</t>
    <phoneticPr fontId="8"/>
  </si>
  <si>
    <t>bug</t>
    <phoneticPr fontId="8"/>
  </si>
  <si>
    <t>old</t>
    <phoneticPr fontId="8"/>
  </si>
  <si>
    <t>old</t>
    <phoneticPr fontId="8"/>
  </si>
  <si>
    <t>NULL</t>
    <phoneticPr fontId="8"/>
  </si>
  <si>
    <t>banner_file</t>
    <phoneticPr fontId="8"/>
  </si>
  <si>
    <t>icon_file</t>
    <phoneticPr fontId="8"/>
  </si>
  <si>
    <t>.csv</t>
    <phoneticPr fontId="37"/>
  </si>
  <si>
    <t>term</t>
    <phoneticPr fontId="8"/>
  </si>
  <si>
    <t>NULL</t>
    <phoneticPr fontId="8"/>
  </si>
  <si>
    <t>term</t>
  </si>
  <si>
    <t>term</t>
    <phoneticPr fontId="8"/>
  </si>
  <si>
    <t>2016-12-12 23:59:59</t>
  </si>
  <si>
    <t>2016-12-12 23:59:59</t>
    <phoneticPr fontId="8"/>
  </si>
  <si>
    <t>2016-12-13 00:00:00</t>
    <phoneticPr fontId="8"/>
  </si>
  <si>
    <t>2017-01-17 00:00:00</t>
    <phoneticPr fontId="8"/>
  </si>
  <si>
    <t>2017-02-14 00:00:00</t>
    <phoneticPr fontId="8"/>
  </si>
  <si>
    <t>2017-03-14 00:00:00</t>
    <phoneticPr fontId="8"/>
  </si>
  <si>
    <t>2017-04-11 00:00:00</t>
    <phoneticPr fontId="8"/>
  </si>
  <si>
    <t>2016-12-12 23:59:59</t>
    <phoneticPr fontId="8"/>
  </si>
  <si>
    <t>2016-12-12 23:59:59</t>
    <phoneticPr fontId="8"/>
  </si>
  <si>
    <t>2017-01-16 23:59:59</t>
    <phoneticPr fontId="8"/>
  </si>
  <si>
    <t>2017-02-13 23:59:59</t>
    <phoneticPr fontId="8"/>
  </si>
  <si>
    <t>2017-03-13 23:59:59</t>
    <phoneticPr fontId="8"/>
  </si>
  <si>
    <t>2017-04-10 23:59:59</t>
    <phoneticPr fontId="8"/>
  </si>
  <si>
    <t>2017-05-15 23:59:59</t>
    <phoneticPr fontId="8"/>
  </si>
  <si>
    <t>2016-11-11 00:00:00</t>
  </si>
  <si>
    <t>2016-11-11 00:00:00</t>
    <phoneticPr fontId="8"/>
  </si>
  <si>
    <t>ストレングス</t>
    <phoneticPr fontId="8"/>
  </si>
  <si>
    <t>ネセバル</t>
    <phoneticPr fontId="8"/>
  </si>
  <si>
    <t>ネセバル</t>
    <phoneticPr fontId="8"/>
  </si>
  <si>
    <t>2017-05-16 00:00:00</t>
  </si>
  <si>
    <t>2017-06-12 23:59:59</t>
  </si>
  <si>
    <t>2017-06-13 00:00:00</t>
  </si>
  <si>
    <t>2017-07-10 23:59:59</t>
  </si>
  <si>
    <t>2017-07-11 00:00:00</t>
  </si>
  <si>
    <t>2017-08-14 23:59:59</t>
  </si>
  <si>
    <t>2017-08-15 00:00:00</t>
  </si>
  <si>
    <t>2017-09-11 23:59:59</t>
  </si>
  <si>
    <t>2017-09-12 00:00:00</t>
  </si>
  <si>
    <t>2017-10-16 23:59:59</t>
  </si>
  <si>
    <t>2017-10-17 00:00:00</t>
  </si>
  <si>
    <t>2017-11-13 23:59:59</t>
  </si>
  <si>
    <t>2017-07-11 00:00:00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</si>
</sst>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\-mm\-dd\ hh:mm:ss"/>
  </numFmts>
  <fonts count="4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1"/>
      <color indexed="81"/>
      <name val="ＭＳ Ｐゴシック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3635">
    <xf numFmtId="0" fontId="0" fillId="0" borderId="0"/>
    <xf numFmtId="0" fontId="7" fillId="0" borderId="0"/>
    <xf numFmtId="0" fontId="9" fillId="0" borderId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6" fillId="0" borderId="0"/>
    <xf numFmtId="0" fontId="15" fillId="4" borderId="2" applyNumberFormat="0" applyAlignment="0" applyProtection="0"/>
    <xf numFmtId="0" fontId="16" fillId="5" borderId="0" applyNumberFormat="0" applyBorder="0" applyAlignment="0" applyProtection="0"/>
    <xf numFmtId="0" fontId="17" fillId="6" borderId="3" applyNumberFormat="0" applyAlignment="0" applyProtection="0"/>
    <xf numFmtId="0" fontId="18" fillId="0" borderId="0" applyNumberFormat="0" applyFill="0" applyBorder="0" applyAlignment="0" applyProtection="0"/>
    <xf numFmtId="0" fontId="19" fillId="7" borderId="0" applyNumberFormat="0" applyBorder="0" applyAlignment="0" applyProtection="0"/>
    <xf numFmtId="0" fontId="20" fillId="8" borderId="4" applyNumberFormat="0" applyAlignment="0" applyProtection="0"/>
    <xf numFmtId="0" fontId="21" fillId="0" borderId="0" applyNumberFormat="0" applyFill="0" applyBorder="0" applyAlignment="0" applyProtection="0"/>
    <xf numFmtId="0" fontId="22" fillId="0" borderId="5" applyNumberFormat="0" applyFill="0" applyAlignment="0" applyProtection="0"/>
    <xf numFmtId="0" fontId="23" fillId="0" borderId="6" applyNumberFormat="0" applyFill="0" applyAlignment="0" applyProtection="0"/>
    <xf numFmtId="0" fontId="24" fillId="0" borderId="7" applyNumberFormat="0" applyFill="0" applyAlignment="0" applyProtection="0"/>
    <xf numFmtId="0" fontId="24" fillId="0" borderId="0" applyNumberFormat="0" applyFill="0" applyBorder="0" applyAlignment="0" applyProtection="0"/>
    <xf numFmtId="0" fontId="25" fillId="6" borderId="0" applyNumberFormat="0" applyBorder="0" applyAlignment="0" applyProtection="0"/>
    <xf numFmtId="0" fontId="25" fillId="5" borderId="0" applyNumberFormat="0" applyBorder="0" applyAlignment="0" applyProtection="0"/>
    <xf numFmtId="0" fontId="25" fillId="9" borderId="0" applyNumberFormat="0" applyBorder="0" applyAlignment="0" applyProtection="0"/>
    <xf numFmtId="0" fontId="25" fillId="6" borderId="0" applyNumberFormat="0" applyBorder="0" applyAlignment="0" applyProtection="0"/>
    <xf numFmtId="0" fontId="25" fillId="10" borderId="0" applyNumberFormat="0" applyBorder="0" applyAlignment="0" applyProtection="0"/>
    <xf numFmtId="0" fontId="25" fillId="4" borderId="0" applyNumberFormat="0" applyBorder="0" applyAlignment="0" applyProtection="0"/>
    <xf numFmtId="0" fontId="25" fillId="6" borderId="0" applyNumberFormat="0" applyBorder="0" applyAlignment="0" applyProtection="0"/>
    <xf numFmtId="0" fontId="25" fillId="11" borderId="0" applyNumberFormat="0" applyBorder="0" applyAlignment="0" applyProtection="0"/>
    <xf numFmtId="0" fontId="25" fillId="9" borderId="0" applyNumberFormat="0" applyBorder="0" applyAlignment="0" applyProtection="0"/>
    <xf numFmtId="0" fontId="25" fillId="6" borderId="0" applyNumberFormat="0" applyBorder="0" applyAlignment="0" applyProtection="0"/>
    <xf numFmtId="0" fontId="25" fillId="12" borderId="0" applyNumberFormat="0" applyBorder="0" applyAlignment="0" applyProtection="0"/>
    <xf numFmtId="0" fontId="25" fillId="5" borderId="0" applyNumberFormat="0" applyBorder="0" applyAlignment="0" applyProtection="0"/>
    <xf numFmtId="0" fontId="26" fillId="13" borderId="0" applyNumberFormat="0" applyBorder="0" applyAlignment="0" applyProtection="0"/>
    <xf numFmtId="0" fontId="26" fillId="11" borderId="0" applyNumberFormat="0" applyBorder="0" applyAlignment="0" applyProtection="0"/>
    <xf numFmtId="0" fontId="26" fillId="9" borderId="0" applyNumberFormat="0" applyBorder="0" applyAlignment="0" applyProtection="0"/>
    <xf numFmtId="0" fontId="26" fillId="6" borderId="0" applyNumberFormat="0" applyBorder="0" applyAlignment="0" applyProtection="0"/>
    <xf numFmtId="0" fontId="26" fillId="13" borderId="0" applyNumberFormat="0" applyBorder="0" applyAlignment="0" applyProtection="0"/>
    <xf numFmtId="0" fontId="26" fillId="5" borderId="0" applyNumberFormat="0" applyBorder="0" applyAlignment="0" applyProtection="0"/>
    <xf numFmtId="0" fontId="18" fillId="0" borderId="0" applyNumberFormat="0" applyFill="0" applyBorder="0" applyAlignment="0" applyProtection="0"/>
    <xf numFmtId="0" fontId="26" fillId="13" borderId="0" applyNumberFormat="0" applyBorder="0" applyAlignment="0" applyProtection="0"/>
    <xf numFmtId="0" fontId="26" fillId="14" borderId="0" applyNumberFormat="0" applyBorder="0" applyAlignment="0" applyProtection="0"/>
    <xf numFmtId="0" fontId="26" fillId="9" borderId="0" applyNumberFormat="0" applyBorder="0" applyAlignment="0" applyProtection="0"/>
    <xf numFmtId="0" fontId="26" fillId="15" borderId="0" applyNumberFormat="0" applyBorder="0" applyAlignment="0" applyProtection="0"/>
    <xf numFmtId="0" fontId="26" fillId="13" borderId="0" applyNumberFormat="0" applyBorder="0" applyAlignment="0" applyProtection="0"/>
    <xf numFmtId="0" fontId="26" fillId="11" borderId="0" applyNumberFormat="0" applyBorder="0" applyAlignment="0" applyProtection="0"/>
    <xf numFmtId="0" fontId="27" fillId="16" borderId="0" applyNumberFormat="0" applyBorder="0" applyAlignment="0" applyProtection="0"/>
    <xf numFmtId="0" fontId="16" fillId="5" borderId="0" applyNumberFormat="0" applyBorder="0" applyAlignment="0" applyProtection="0"/>
    <xf numFmtId="0" fontId="28" fillId="0" borderId="8" applyNumberFormat="0" applyFill="0" applyAlignment="0" applyProtection="0"/>
    <xf numFmtId="0" fontId="29" fillId="6" borderId="9" applyNumberFormat="0" applyAlignment="0" applyProtection="0"/>
    <xf numFmtId="0" fontId="29" fillId="17" borderId="9" applyNumberFormat="0" applyAlignment="0" applyProtection="0"/>
    <xf numFmtId="0" fontId="17" fillId="5" borderId="3" applyNumberFormat="0" applyAlignment="0" applyProtection="0"/>
    <xf numFmtId="0" fontId="30" fillId="0" borderId="10" applyNumberFormat="0" applyFill="0" applyAlignment="0" applyProtection="0"/>
    <xf numFmtId="0" fontId="31" fillId="17" borderId="3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1" applyNumberFormat="0" applyFill="0" applyAlignment="0" applyProtection="0"/>
    <xf numFmtId="38" fontId="6" fillId="0" borderId="0" applyFont="0" applyFill="0" applyBorder="0" applyAlignment="0" applyProtection="0">
      <alignment vertical="center"/>
    </xf>
    <xf numFmtId="0" fontId="34" fillId="18" borderId="0" applyNumberFormat="0" applyBorder="0" applyAlignment="0" applyProtection="0"/>
    <xf numFmtId="0" fontId="35" fillId="19" borderId="0" applyNumberFormat="0" applyBorder="0" applyAlignment="0" applyProtection="0"/>
    <xf numFmtId="0" fontId="6" fillId="0" borderId="0"/>
    <xf numFmtId="0" fontId="36" fillId="19" borderId="0" applyNumberFormat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5" fillId="0" borderId="0"/>
    <xf numFmtId="0" fontId="38" fillId="0" borderId="0">
      <alignment vertical="center"/>
    </xf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" fillId="0" borderId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64">
    <xf numFmtId="0" fontId="0" fillId="0" borderId="0" xfId="0"/>
    <xf numFmtId="0" fontId="11" fillId="0" borderId="0" xfId="2" applyFont="1" applyAlignment="1">
      <alignment vertical="center"/>
    </xf>
    <xf numFmtId="0" fontId="12" fillId="20" borderId="1" xfId="2978" applyFont="1" applyFill="1" applyBorder="1"/>
    <xf numFmtId="0" fontId="5" fillId="20" borderId="1" xfId="2978" applyFill="1" applyBorder="1"/>
    <xf numFmtId="0" fontId="5" fillId="0" borderId="0" xfId="2978"/>
    <xf numFmtId="0" fontId="6" fillId="2" borderId="1" xfId="19" applyFill="1" applyBorder="1"/>
    <xf numFmtId="0" fontId="12" fillId="20" borderId="1" xfId="0" applyFont="1" applyFill="1" applyBorder="1"/>
    <xf numFmtId="0" fontId="3" fillId="2" borderId="1" xfId="19" applyFont="1" applyFill="1" applyBorder="1"/>
    <xf numFmtId="0" fontId="3" fillId="0" borderId="1" xfId="2978" applyFont="1" applyBorder="1"/>
    <xf numFmtId="0" fontId="3" fillId="3" borderId="1" xfId="2978" applyFont="1" applyFill="1" applyBorder="1"/>
    <xf numFmtId="0" fontId="11" fillId="0" borderId="1" xfId="2" quotePrefix="1" applyFont="1" applyBorder="1" applyAlignment="1">
      <alignment vertical="center"/>
    </xf>
    <xf numFmtId="0" fontId="11" fillId="21" borderId="1" xfId="2" applyFont="1" applyFill="1" applyBorder="1" applyAlignment="1">
      <alignment horizontal="left" vertical="center"/>
    </xf>
    <xf numFmtId="0" fontId="11" fillId="21" borderId="1" xfId="2" applyFont="1" applyFill="1" applyBorder="1" applyAlignment="1">
      <alignment horizontal="center" vertical="center"/>
    </xf>
    <xf numFmtId="0" fontId="11" fillId="0" borderId="1" xfId="2" applyFont="1" applyFill="1" applyBorder="1" applyAlignment="1">
      <alignment vertical="center"/>
    </xf>
    <xf numFmtId="0" fontId="10" fillId="0" borderId="1" xfId="0" applyFont="1" applyFill="1" applyBorder="1" applyAlignment="1">
      <alignment horizontal="right" vertical="center"/>
    </xf>
    <xf numFmtId="0" fontId="10" fillId="0" borderId="12" xfId="0" applyFont="1" applyFill="1" applyBorder="1" applyAlignment="1">
      <alignment horizontal="right" vertical="center"/>
    </xf>
    <xf numFmtId="0" fontId="11" fillId="0" borderId="1" xfId="2" applyFont="1" applyFill="1" applyBorder="1" applyAlignment="1">
      <alignment horizontal="right" vertical="center"/>
    </xf>
    <xf numFmtId="0" fontId="11" fillId="0" borderId="13" xfId="2" applyFont="1" applyFill="1" applyBorder="1" applyAlignment="1">
      <alignment vertical="center"/>
    </xf>
    <xf numFmtId="0" fontId="11" fillId="0" borderId="12" xfId="2" applyFont="1" applyFill="1" applyBorder="1" applyAlignment="1">
      <alignment vertical="center"/>
    </xf>
    <xf numFmtId="0" fontId="11" fillId="0" borderId="0" xfId="2" applyFont="1" applyBorder="1" applyAlignment="1">
      <alignment vertical="center"/>
    </xf>
    <xf numFmtId="0" fontId="11" fillId="0" borderId="1" xfId="2" applyFont="1" applyBorder="1" applyAlignment="1">
      <alignment vertical="center"/>
    </xf>
    <xf numFmtId="0" fontId="11" fillId="0" borderId="0" xfId="2" applyFont="1" applyAlignment="1">
      <alignment horizontal="right" vertical="center"/>
    </xf>
    <xf numFmtId="0" fontId="11" fillId="22" borderId="1" xfId="2" applyFont="1" applyFill="1" applyBorder="1" applyAlignment="1">
      <alignment horizontal="center" vertical="center"/>
    </xf>
    <xf numFmtId="0" fontId="2" fillId="2" borderId="1" xfId="19" applyFont="1" applyFill="1" applyBorder="1"/>
    <xf numFmtId="0" fontId="11" fillId="3" borderId="1" xfId="2" applyFont="1" applyFill="1" applyBorder="1" applyAlignment="1">
      <alignment horizontal="center" vertical="center"/>
    </xf>
    <xf numFmtId="0" fontId="2" fillId="3" borderId="1" xfId="2978" applyFont="1" applyFill="1" applyBorder="1"/>
    <xf numFmtId="0" fontId="2" fillId="0" borderId="1" xfId="3036" applyFont="1" applyBorder="1"/>
    <xf numFmtId="0" fontId="1" fillId="0" borderId="1" xfId="2978" applyFont="1" applyBorder="1"/>
    <xf numFmtId="0" fontId="11" fillId="0" borderId="12" xfId="2" quotePrefix="1" applyFont="1" applyBorder="1" applyAlignment="1">
      <alignment vertical="center"/>
    </xf>
    <xf numFmtId="0" fontId="11" fillId="0" borderId="12" xfId="2" applyFont="1" applyFill="1" applyBorder="1" applyAlignment="1">
      <alignment horizontal="right" vertical="center"/>
    </xf>
    <xf numFmtId="0" fontId="11" fillId="0" borderId="12" xfId="2" applyFont="1" applyBorder="1" applyAlignment="1">
      <alignment vertical="center"/>
    </xf>
    <xf numFmtId="0" fontId="11" fillId="0" borderId="14" xfId="2" quotePrefix="1" applyFont="1" applyBorder="1" applyAlignment="1">
      <alignment vertical="center"/>
    </xf>
    <xf numFmtId="0" fontId="11" fillId="0" borderId="14" xfId="2" applyFont="1" applyFill="1" applyBorder="1" applyAlignment="1">
      <alignment horizontal="right" vertical="center"/>
    </xf>
    <xf numFmtId="0" fontId="11" fillId="0" borderId="14" xfId="2" applyFont="1" applyFill="1" applyBorder="1" applyAlignment="1">
      <alignment vertical="center"/>
    </xf>
    <xf numFmtId="0" fontId="10" fillId="0" borderId="14" xfId="0" applyFont="1" applyFill="1" applyBorder="1" applyAlignment="1">
      <alignment horizontal="right" vertical="center"/>
    </xf>
    <xf numFmtId="0" fontId="11" fillId="0" borderId="14" xfId="2" applyFont="1" applyBorder="1" applyAlignment="1">
      <alignment vertical="center"/>
    </xf>
    <xf numFmtId="0" fontId="11" fillId="0" borderId="13" xfId="2" quotePrefix="1" applyFont="1" applyBorder="1" applyAlignment="1">
      <alignment vertical="center"/>
    </xf>
    <xf numFmtId="176" fontId="11" fillId="0" borderId="1" xfId="2" quotePrefix="1" applyNumberFormat="1" applyFont="1" applyBorder="1" applyAlignment="1">
      <alignment horizontal="right" vertical="center"/>
    </xf>
    <xf numFmtId="176" fontId="11" fillId="0" borderId="14" xfId="2" quotePrefix="1" applyNumberFormat="1" applyFont="1" applyBorder="1" applyAlignment="1">
      <alignment horizontal="right" vertical="center"/>
    </xf>
    <xf numFmtId="0" fontId="11" fillId="0" borderId="1" xfId="2" applyFont="1" applyBorder="1" applyAlignment="1">
      <alignment horizontal="right" vertical="center"/>
    </xf>
    <xf numFmtId="0" fontId="11" fillId="0" borderId="0" xfId="2" applyFont="1" applyAlignment="1">
      <alignment horizontal="center" vertical="center"/>
    </xf>
    <xf numFmtId="176" fontId="11" fillId="0" borderId="12" xfId="2" quotePrefix="1" applyNumberFormat="1" applyFont="1" applyBorder="1" applyAlignment="1">
      <alignment horizontal="right" vertical="center"/>
    </xf>
    <xf numFmtId="176" fontId="11" fillId="0" borderId="15" xfId="2" quotePrefix="1" applyNumberFormat="1" applyFont="1" applyBorder="1" applyAlignment="1">
      <alignment horizontal="right" vertical="center"/>
    </xf>
    <xf numFmtId="0" fontId="11" fillId="0" borderId="15" xfId="2" quotePrefix="1" applyFont="1" applyBorder="1" applyAlignment="1">
      <alignment vertical="center"/>
    </xf>
    <xf numFmtId="176" fontId="11" fillId="0" borderId="16" xfId="2" quotePrefix="1" applyNumberFormat="1" applyFont="1" applyBorder="1" applyAlignment="1">
      <alignment horizontal="right" vertical="center"/>
    </xf>
    <xf numFmtId="176" fontId="11" fillId="0" borderId="13" xfId="2" quotePrefix="1" applyNumberFormat="1" applyFont="1" applyBorder="1" applyAlignment="1">
      <alignment horizontal="right" vertical="center"/>
    </xf>
    <xf numFmtId="0" fontId="11" fillId="0" borderId="13" xfId="2" applyFont="1" applyFill="1" applyBorder="1" applyAlignment="1">
      <alignment horizontal="right" vertical="center"/>
    </xf>
    <xf numFmtId="0" fontId="10" fillId="0" borderId="13" xfId="0" applyFont="1" applyFill="1" applyBorder="1" applyAlignment="1">
      <alignment horizontal="right" vertical="center"/>
    </xf>
    <xf numFmtId="0" fontId="11" fillId="0" borderId="13" xfId="2" applyFont="1" applyBorder="1" applyAlignment="1">
      <alignment vertical="center"/>
    </xf>
    <xf numFmtId="0" fontId="11" fillId="0" borderId="17" xfId="2" applyFont="1" applyBorder="1" applyAlignment="1">
      <alignment vertical="center"/>
    </xf>
    <xf numFmtId="0" fontId="11" fillId="0" borderId="18" xfId="2" applyFont="1" applyBorder="1" applyAlignment="1">
      <alignment vertical="center"/>
    </xf>
    <xf numFmtId="0" fontId="11" fillId="0" borderId="15" xfId="2" applyFont="1" applyFill="1" applyBorder="1" applyAlignment="1">
      <alignment horizontal="right" vertical="center"/>
    </xf>
    <xf numFmtId="0" fontId="11" fillId="0" borderId="15" xfId="2" applyFont="1" applyFill="1" applyBorder="1" applyAlignment="1">
      <alignment vertical="center"/>
    </xf>
    <xf numFmtId="0" fontId="10" fillId="0" borderId="15" xfId="0" applyFont="1" applyFill="1" applyBorder="1" applyAlignment="1">
      <alignment horizontal="right" vertical="center"/>
    </xf>
    <xf numFmtId="0" fontId="11" fillId="0" borderId="15" xfId="2" applyFont="1" applyBorder="1" applyAlignment="1">
      <alignment vertical="center"/>
    </xf>
    <xf numFmtId="0" fontId="11" fillId="3" borderId="12" xfId="2" quotePrefix="1" applyFont="1" applyFill="1" applyBorder="1" applyAlignment="1">
      <alignment vertical="center"/>
    </xf>
    <xf numFmtId="0" fontId="11" fillId="3" borderId="12" xfId="2" applyFont="1" applyFill="1" applyBorder="1" applyAlignment="1">
      <alignment horizontal="right" vertical="center"/>
    </xf>
    <xf numFmtId="0" fontId="11" fillId="3" borderId="12" xfId="2" applyFont="1" applyFill="1" applyBorder="1" applyAlignment="1">
      <alignment vertical="center"/>
    </xf>
    <xf numFmtId="0" fontId="11" fillId="3" borderId="13" xfId="2" applyFont="1" applyFill="1" applyBorder="1" applyAlignment="1">
      <alignment vertical="center"/>
    </xf>
    <xf numFmtId="0" fontId="10" fillId="3" borderId="12" xfId="0" applyFont="1" applyFill="1" applyBorder="1" applyAlignment="1">
      <alignment horizontal="right" vertical="center"/>
    </xf>
    <xf numFmtId="176" fontId="11" fillId="3" borderId="12" xfId="2" quotePrefix="1" applyNumberFormat="1" applyFont="1" applyFill="1" applyBorder="1" applyAlignment="1">
      <alignment horizontal="right" vertical="center"/>
    </xf>
    <xf numFmtId="0" fontId="11" fillId="3" borderId="1" xfId="2" quotePrefix="1" applyFont="1" applyFill="1" applyBorder="1" applyAlignment="1">
      <alignment vertical="center"/>
    </xf>
    <xf numFmtId="0" fontId="11" fillId="3" borderId="1" xfId="2" applyFont="1" applyFill="1" applyBorder="1" applyAlignment="1">
      <alignment horizontal="right" vertical="center"/>
    </xf>
    <xf numFmtId="0" fontId="11" fillId="3" borderId="1" xfId="2" applyFont="1" applyFill="1" applyBorder="1" applyAlignment="1">
      <alignment vertical="center"/>
    </xf>
  </cellXfs>
  <cellStyles count="363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Item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items"/>
      <sheetName val="quest_pays"/>
    </sheetNames>
    <sheetDataSet>
      <sheetData sheetId="0"/>
      <sheetData sheetId="1">
        <row r="1">
          <cell r="A1" t="str">
            <v>item_id</v>
          </cell>
          <cell r="B1" t="str">
            <v>item_code</v>
          </cell>
          <cell r="C1" t="str">
            <v>概要</v>
          </cell>
          <cell r="D1" t="str">
            <v>start_date</v>
          </cell>
          <cell r="E1" t="str">
            <v>end_date</v>
          </cell>
          <cell r="F1" t="str">
            <v>language</v>
          </cell>
          <cell r="G1" t="str">
            <v>item_name</v>
          </cell>
        </row>
        <row r="2">
          <cell r="A2">
            <v>1</v>
          </cell>
          <cell r="B2" t="str">
            <v>key_master</v>
          </cell>
          <cell r="C2" t="str">
            <v>ロッククエスト開放マスターキー</v>
          </cell>
          <cell r="D2" t="str">
            <v>2016-01-01 00:00:00</v>
          </cell>
          <cell r="E2" t="str">
            <v>2970-01-01 09:00:00</v>
          </cell>
          <cell r="F2" t="str">
            <v>ja</v>
          </cell>
          <cell r="G2" t="str">
            <v>マスターキー</v>
          </cell>
        </row>
        <row r="3">
          <cell r="A3">
            <v>2</v>
          </cell>
          <cell r="B3" t="str">
            <v>key_exp</v>
          </cell>
          <cell r="C3" t="str">
            <v>経験値用ロッククエスト開放キー</v>
          </cell>
          <cell r="D3" t="str">
            <v>2016-01-01 00:00:00</v>
          </cell>
          <cell r="E3" t="str">
            <v>2970-01-01 09:00:00</v>
          </cell>
          <cell r="F3" t="str">
            <v>ja</v>
          </cell>
          <cell r="G3" t="str">
            <v>経験値キー</v>
          </cell>
        </row>
        <row r="4">
          <cell r="A4">
            <v>3</v>
          </cell>
          <cell r="B4" t="str">
            <v>key_bit</v>
          </cell>
          <cell r="C4" t="str">
            <v>ビット用ロッククエスト開放キー</v>
          </cell>
          <cell r="D4" t="str">
            <v>2016-01-01 00:00:00</v>
          </cell>
          <cell r="E4" t="str">
            <v>2970-01-01 09:00:00</v>
          </cell>
          <cell r="F4" t="str">
            <v>ja</v>
          </cell>
          <cell r="G4" t="str">
            <v>ビットキー</v>
          </cell>
        </row>
        <row r="5">
          <cell r="A5">
            <v>4</v>
          </cell>
          <cell r="B5" t="str">
            <v>key_ltb</v>
          </cell>
          <cell r="C5" t="str">
            <v>限界突破用ロッククエスト開放キー</v>
          </cell>
          <cell r="D5" t="str">
            <v>2016-01-01 00:00:00</v>
          </cell>
          <cell r="E5" t="str">
            <v>2970-01-01 09:00:00</v>
          </cell>
          <cell r="F5" t="str">
            <v>ja</v>
          </cell>
          <cell r="G5" t="str">
            <v>限界突破キー</v>
          </cell>
        </row>
        <row r="6">
          <cell r="A6">
            <v>5</v>
          </cell>
          <cell r="B6" t="str">
            <v>key_master_solo</v>
          </cell>
          <cell r="C6" t="str">
            <v>ロッククエスト開放マスターキー</v>
          </cell>
          <cell r="D6" t="str">
            <v>2016-01-01 00:00:00</v>
          </cell>
          <cell r="E6" t="str">
            <v>2970-01-01 09:00:00</v>
          </cell>
          <cell r="F6" t="str">
            <v>ja</v>
          </cell>
          <cell r="G6" t="str">
            <v>ソロ限定マスターキー</v>
          </cell>
        </row>
        <row r="7">
          <cell r="A7">
            <v>6</v>
          </cell>
          <cell r="B7" t="str">
            <v>key_exp_solo</v>
          </cell>
          <cell r="C7" t="str">
            <v>経験値用ロッククエスト開放キー</v>
          </cell>
          <cell r="D7" t="str">
            <v>2016-01-01 00:00:00</v>
          </cell>
          <cell r="E7" t="str">
            <v>2970-01-01 09:00:00</v>
          </cell>
          <cell r="F7" t="str">
            <v>ja</v>
          </cell>
          <cell r="G7" t="str">
            <v>ソロ限定経験値キー</v>
          </cell>
        </row>
        <row r="8">
          <cell r="A8">
            <v>7</v>
          </cell>
          <cell r="B8" t="str">
            <v>key_bit_solo</v>
          </cell>
          <cell r="C8" t="str">
            <v>ビット用ロッククエスト開放キー</v>
          </cell>
          <cell r="D8" t="str">
            <v>2016-01-01 00:00:00</v>
          </cell>
          <cell r="E8" t="str">
            <v>2970-01-01 09:00:00</v>
          </cell>
          <cell r="F8" t="str">
            <v>ja</v>
          </cell>
          <cell r="G8" t="str">
            <v>ソロ限定ビットキー</v>
          </cell>
        </row>
        <row r="9">
          <cell r="A9">
            <v>8</v>
          </cell>
          <cell r="B9" t="str">
            <v>key_ltb_solo</v>
          </cell>
          <cell r="C9" t="str">
            <v>限界突破用ロッククエスト開放キー</v>
          </cell>
          <cell r="D9" t="str">
            <v>2016-01-01 00:00:00</v>
          </cell>
          <cell r="E9" t="str">
            <v>2970-01-01 09:00:00</v>
          </cell>
          <cell r="F9" t="str">
            <v>ja</v>
          </cell>
          <cell r="G9" t="str">
            <v>ソロ限定限界突破キー</v>
          </cell>
        </row>
        <row r="10">
          <cell r="A10">
            <v>9</v>
          </cell>
          <cell r="B10" t="str">
            <v>key_master_line</v>
          </cell>
          <cell r="C10" t="str">
            <v>ロッククエスト開放マスターキー</v>
          </cell>
          <cell r="D10" t="str">
            <v>2016-01-01 00:00:00</v>
          </cell>
          <cell r="E10" t="str">
            <v>2970-01-01 09:00:00</v>
          </cell>
          <cell r="F10" t="str">
            <v>ja</v>
          </cell>
          <cell r="G10" t="str">
            <v>LINE限定マスターキー</v>
          </cell>
        </row>
        <row r="11">
          <cell r="A11">
            <v>10</v>
          </cell>
          <cell r="B11" t="str">
            <v>key_exp_line</v>
          </cell>
          <cell r="C11" t="str">
            <v>経験値用ロッククエスト開放キー</v>
          </cell>
          <cell r="D11" t="str">
            <v>2016-01-01 00:00:00</v>
          </cell>
          <cell r="E11" t="str">
            <v>2970-01-01 09:00:00</v>
          </cell>
          <cell r="F11" t="str">
            <v>ja</v>
          </cell>
          <cell r="G11" t="str">
            <v>LINE限定経験値キー</v>
          </cell>
        </row>
        <row r="12">
          <cell r="A12">
            <v>11</v>
          </cell>
          <cell r="B12" t="str">
            <v>key_bit_line</v>
          </cell>
          <cell r="C12" t="str">
            <v>ビット用ロッククエスト開放キー</v>
          </cell>
          <cell r="D12" t="str">
            <v>2016-01-01 00:00:00</v>
          </cell>
          <cell r="E12" t="str">
            <v>2970-01-01 09:00:00</v>
          </cell>
          <cell r="F12" t="str">
            <v>ja</v>
          </cell>
          <cell r="G12" t="str">
            <v>LINE限定ビットキー</v>
          </cell>
        </row>
        <row r="13">
          <cell r="A13">
            <v>12</v>
          </cell>
          <cell r="B13" t="str">
            <v>key_ltb_line</v>
          </cell>
          <cell r="C13" t="str">
            <v>限界突破用ロッククエスト開放キー</v>
          </cell>
          <cell r="D13" t="str">
            <v>2016-01-01 00:00:00</v>
          </cell>
          <cell r="E13" t="str">
            <v>2970-01-01 09:00:00</v>
          </cell>
          <cell r="F13" t="str">
            <v>ja</v>
          </cell>
          <cell r="G13" t="str">
            <v>LINE限定限界突破キー</v>
          </cell>
        </row>
        <row r="14">
          <cell r="A14">
            <v>100</v>
          </cell>
          <cell r="B14" t="str">
            <v>ticket_beginner</v>
          </cell>
          <cell r="C14" t="str">
            <v>初心者応援パックチケット</v>
          </cell>
          <cell r="D14" t="str">
            <v>2016-01-01 00:00:00</v>
          </cell>
          <cell r="E14" t="str">
            <v>2970-01-01 09:00:00</v>
          </cell>
          <cell r="F14" t="str">
            <v>ja</v>
          </cell>
          <cell r="G14" t="str">
            <v>★5一体確定5連チケット</v>
          </cell>
        </row>
        <row r="15">
          <cell r="A15">
            <v>101</v>
          </cell>
          <cell r="B15" t="str">
            <v>ticket_middle</v>
          </cell>
          <cell r="C15" t="str">
            <v>中級者パックチケット</v>
          </cell>
          <cell r="D15" t="str">
            <v>2016-01-01 00:00:00</v>
          </cell>
          <cell r="E15" t="str">
            <v>2970-01-01 09:00:00</v>
          </cell>
          <cell r="F15" t="str">
            <v>ja</v>
          </cell>
          <cell r="G15" t="str">
            <v>★6覚醒1体確定5連チケット</v>
          </cell>
        </row>
        <row r="16">
          <cell r="A16">
            <v>102</v>
          </cell>
          <cell r="B16" t="str">
            <v>ticket_other</v>
          </cell>
          <cell r="C16" t="str">
            <v>お得チケット</v>
          </cell>
          <cell r="D16" t="str">
            <v>2016-01-01 00:00:00</v>
          </cell>
          <cell r="E16" t="str">
            <v>2970-01-01 09:00:00</v>
          </cell>
          <cell r="F16" t="str">
            <v>ja</v>
          </cell>
          <cell r="G16" t="str">
            <v>★6覚醒1体確定チケット</v>
          </cell>
        </row>
        <row r="17">
          <cell r="A17">
            <v>103</v>
          </cell>
          <cell r="B17" t="str">
            <v>ticket_beginner_r6</v>
          </cell>
          <cell r="C17" t="str">
            <v>★6確定ガチャチケット</v>
          </cell>
          <cell r="D17" t="str">
            <v>2016-01-01 00:00:00</v>
          </cell>
          <cell r="E17" t="str">
            <v>2970-01-01 09:00:00</v>
          </cell>
          <cell r="F17" t="str">
            <v>ja</v>
          </cell>
          <cell r="G17" t="str">
            <v>★6確定ガチャチケット</v>
          </cell>
        </row>
        <row r="18">
          <cell r="A18">
            <v>104</v>
          </cell>
          <cell r="B18" t="str">
            <v>ticket_beginner_red</v>
          </cell>
          <cell r="C18" t="str">
            <v>★5赤属性ガチャチケット</v>
          </cell>
          <cell r="D18" t="str">
            <v>2016-01-01 00:00:00</v>
          </cell>
          <cell r="E18" t="str">
            <v>2970-01-01 09:00:00</v>
          </cell>
          <cell r="F18" t="str">
            <v>ja</v>
          </cell>
          <cell r="G18" t="str">
            <v>★5赤属性ガチャチケット</v>
          </cell>
        </row>
        <row r="19">
          <cell r="A19">
            <v>105</v>
          </cell>
          <cell r="B19" t="str">
            <v>ticket_beginner_green</v>
          </cell>
          <cell r="C19" t="str">
            <v>★5緑属性ガチャチケット</v>
          </cell>
          <cell r="D19" t="str">
            <v>2016-01-01 00:00:00</v>
          </cell>
          <cell r="E19" t="str">
            <v>2970-01-01 09:00:00</v>
          </cell>
          <cell r="F19" t="str">
            <v>ja</v>
          </cell>
          <cell r="G19" t="str">
            <v>★5緑属性ガチャチケット</v>
          </cell>
        </row>
        <row r="20">
          <cell r="A20">
            <v>106</v>
          </cell>
          <cell r="B20" t="str">
            <v>ticket_beginner_blue</v>
          </cell>
          <cell r="C20" t="str">
            <v>★5青属性ガチャチケット</v>
          </cell>
          <cell r="D20" t="str">
            <v>2016-01-01 00:00:00</v>
          </cell>
          <cell r="E20" t="str">
            <v>2970-01-01 09:00:00</v>
          </cell>
          <cell r="F20" t="str">
            <v>ja</v>
          </cell>
          <cell r="G20" t="str">
            <v>★5青属性ガチャチケット</v>
          </cell>
        </row>
        <row r="21">
          <cell r="A21">
            <v>107</v>
          </cell>
          <cell r="B21" t="str">
            <v>ticket_beginner_yellow</v>
          </cell>
          <cell r="C21" t="str">
            <v>★5黄属性ガチャチケット</v>
          </cell>
          <cell r="D21" t="str">
            <v>2016-01-01 00:00:00</v>
          </cell>
          <cell r="E21" t="str">
            <v>2970-01-01 09:00:00</v>
          </cell>
          <cell r="F21" t="str">
            <v>ja</v>
          </cell>
          <cell r="G21" t="str">
            <v>★5黄属性ガチャチケット</v>
          </cell>
        </row>
        <row r="22">
          <cell r="A22">
            <v>108</v>
          </cell>
          <cell r="B22" t="str">
            <v>ticket_middle_01</v>
          </cell>
          <cell r="C22" t="str">
            <v>高評価選抜ガチャチケット</v>
          </cell>
          <cell r="D22" t="str">
            <v>2016-01-01 00:00:00</v>
          </cell>
          <cell r="E22" t="str">
            <v>2970-01-01 09:00:00</v>
          </cell>
          <cell r="F22" t="str">
            <v>ja</v>
          </cell>
          <cell r="G22" t="str">
            <v>高評価選抜ガチャチケット</v>
          </cell>
        </row>
        <row r="23">
          <cell r="A23">
            <v>109</v>
          </cell>
          <cell r="B23" t="str">
            <v>ticket_comeback</v>
          </cell>
          <cell r="C23" t="str">
            <v>カムバックガチャチケット</v>
          </cell>
          <cell r="D23" t="str">
            <v>2016-01-01 00:00:00</v>
          </cell>
          <cell r="E23" t="str">
            <v>2970-01-01 09:00:00</v>
          </cell>
          <cell r="F23" t="str">
            <v>ja</v>
          </cell>
          <cell r="G23" t="str">
            <v>カムバックガチャチケット</v>
          </cell>
        </row>
        <row r="24">
          <cell r="A24">
            <v>110</v>
          </cell>
          <cell r="B24" t="str">
            <v>ticket_hanamiPack</v>
          </cell>
          <cell r="C24" t="str">
            <v>コスト53確定ガチャチケット</v>
          </cell>
          <cell r="D24" t="str">
            <v>2016-01-01 00:00:00</v>
          </cell>
          <cell r="E24" t="str">
            <v>2970-01-01 09:00:00</v>
          </cell>
          <cell r="F24" t="str">
            <v>ja</v>
          </cell>
          <cell r="G24" t="str">
            <v>コスト53確定ガチャチケット</v>
          </cell>
        </row>
        <row r="25">
          <cell r="A25">
            <v>111</v>
          </cell>
          <cell r="B25" t="str">
            <v>ticket_middle_02</v>
          </cell>
          <cell r="C25" t="str">
            <v>高評価選抜ガチャチケット</v>
          </cell>
          <cell r="D25" t="str">
            <v>2016-01-01 00:00:00</v>
          </cell>
          <cell r="E25" t="str">
            <v>2970-01-01 09:00:00</v>
          </cell>
          <cell r="F25" t="str">
            <v>ja</v>
          </cell>
          <cell r="G25" t="str">
            <v>高評価選抜ガチャチケット</v>
          </cell>
        </row>
        <row r="26">
          <cell r="A26">
            <v>500</v>
          </cell>
          <cell r="B26" t="str">
            <v>ticket_R6_50p</v>
          </cell>
          <cell r="C26" t="str">
            <v>★6覚醒可能ユニット50%チケット</v>
          </cell>
          <cell r="D26" t="str">
            <v>2016-01-01 00:00:00</v>
          </cell>
          <cell r="E26" t="str">
            <v>2970-01-01 09:00:00</v>
          </cell>
          <cell r="F26" t="str">
            <v>ja</v>
          </cell>
          <cell r="G26" t="str">
            <v>★6覚醒可能ユニット50%チケット</v>
          </cell>
        </row>
        <row r="27">
          <cell r="A27">
            <v>600</v>
          </cell>
          <cell r="B27" t="str">
            <v>ticket_piece</v>
          </cell>
          <cell r="C27" t="str">
            <v>刀のチケットピース</v>
          </cell>
          <cell r="D27" t="str">
            <v>2016-01-01 00:00:00</v>
          </cell>
          <cell r="E27" t="str">
            <v>2970-01-01 09:00:00</v>
          </cell>
          <cell r="F27" t="str">
            <v>ja</v>
          </cell>
          <cell r="G27" t="str">
            <v>刀のチケットピース</v>
          </cell>
        </row>
        <row r="28">
          <cell r="A28">
            <v>601</v>
          </cell>
          <cell r="B28" t="str">
            <v>ticket_ranking160401</v>
          </cell>
          <cell r="C28" t="str">
            <v>ランキングチケット</v>
          </cell>
          <cell r="D28" t="str">
            <v>2016-01-01 00:00:00</v>
          </cell>
          <cell r="E28" t="str">
            <v>2970-01-01 09:00:00</v>
          </cell>
          <cell r="F28" t="str">
            <v>ja</v>
          </cell>
          <cell r="G28" t="str">
            <v>刀のランキングガチャチケット</v>
          </cell>
        </row>
        <row r="29">
          <cell r="A29">
            <v>602</v>
          </cell>
          <cell r="B29" t="str">
            <v>ticket_ranking160608</v>
          </cell>
          <cell r="C29" t="str">
            <v>ランキングチケット</v>
          </cell>
          <cell r="D29" t="str">
            <v>2016-01-01 00:00:00</v>
          </cell>
          <cell r="E29" t="str">
            <v>2970-01-01 09:00:00</v>
          </cell>
          <cell r="F29" t="str">
            <v>ja</v>
          </cell>
          <cell r="G29" t="str">
            <v>刀のランキングガチャチケット</v>
          </cell>
        </row>
        <row r="30">
          <cell r="A30">
            <v>603</v>
          </cell>
          <cell r="B30" t="str">
            <v>ticket_piece_spear</v>
          </cell>
          <cell r="C30" t="str">
            <v>槍のチケットピース</v>
          </cell>
          <cell r="D30" t="str">
            <v>2016-01-01 00:00:00</v>
          </cell>
          <cell r="E30" t="str">
            <v>2970-01-01 09:00:00</v>
          </cell>
          <cell r="F30" t="str">
            <v>ja</v>
          </cell>
          <cell r="G30" t="str">
            <v>槍のチケットピース</v>
          </cell>
        </row>
        <row r="31">
          <cell r="A31">
            <v>604</v>
          </cell>
          <cell r="B31" t="str">
            <v>ticket_ranking160711</v>
          </cell>
          <cell r="C31" t="str">
            <v>ランキングチケット</v>
          </cell>
          <cell r="D31" t="str">
            <v>2016-01-01 00:00:00</v>
          </cell>
          <cell r="E31" t="str">
            <v>2970-01-01 09:00:00</v>
          </cell>
          <cell r="F31" t="str">
            <v>ja</v>
          </cell>
          <cell r="G31" t="str">
            <v>槍のランキングガチャチケット</v>
          </cell>
        </row>
        <row r="32">
          <cell r="A32">
            <v>605</v>
          </cell>
          <cell r="B32" t="str">
            <v>ticket_ranking161115</v>
          </cell>
          <cell r="C32" t="str">
            <v>ランキングチケット</v>
          </cell>
          <cell r="D32" t="str">
            <v>2016-01-01 00:00:00</v>
          </cell>
          <cell r="E32" t="str">
            <v>2970-01-01 09:00:00</v>
          </cell>
          <cell r="F32" t="str">
            <v>ja</v>
          </cell>
          <cell r="G32" t="str">
            <v>杖のランキングガチャチケット</v>
          </cell>
        </row>
        <row r="33">
          <cell r="A33">
            <v>606</v>
          </cell>
          <cell r="B33" t="str">
            <v>ticket_piece_cane</v>
          </cell>
          <cell r="C33" t="str">
            <v>杖のチケットピース</v>
          </cell>
          <cell r="D33" t="str">
            <v>2016-01-01 00:00:00</v>
          </cell>
          <cell r="E33" t="str">
            <v>2970-01-01 09:00:00</v>
          </cell>
          <cell r="F33" t="str">
            <v>ja</v>
          </cell>
          <cell r="G33" t="str">
            <v>杖のチケットピース</v>
          </cell>
        </row>
        <row r="34">
          <cell r="A34">
            <v>700</v>
          </cell>
          <cell r="B34" t="str">
            <v>ticket_suika</v>
          </cell>
          <cell r="C34" t="str">
            <v>スイカチケット</v>
          </cell>
          <cell r="D34" t="str">
            <v>2016-01-01 00:00:00</v>
          </cell>
          <cell r="E34" t="str">
            <v>2970-01-01 09:00:00</v>
          </cell>
          <cell r="F34" t="str">
            <v>ja</v>
          </cell>
          <cell r="G34" t="str">
            <v>スイカチケット</v>
          </cell>
        </row>
        <row r="35">
          <cell r="A35">
            <v>701</v>
          </cell>
          <cell r="B35" t="str">
            <v>ticket_okashi</v>
          </cell>
          <cell r="C35" t="str">
            <v>お菓子チケット</v>
          </cell>
          <cell r="D35" t="str">
            <v>2016-01-01 00:00:00</v>
          </cell>
          <cell r="E35" t="str">
            <v>2970-01-01 09:00:00</v>
          </cell>
          <cell r="F35" t="str">
            <v>ja</v>
          </cell>
          <cell r="G35" t="str">
            <v>お菓子チケット</v>
          </cell>
        </row>
        <row r="36">
          <cell r="A36">
            <v>702</v>
          </cell>
          <cell r="B36" t="str">
            <v>ticket_winter</v>
          </cell>
          <cell r="C36" t="str">
            <v>ウィンターチケット</v>
          </cell>
          <cell r="D36" t="str">
            <v>2016-01-01 00:00:00</v>
          </cell>
          <cell r="E36" t="str">
            <v>2970-01-01 09:00:00</v>
          </cell>
          <cell r="F36" t="str">
            <v>ja</v>
          </cell>
          <cell r="G36" t="str">
            <v>ウィンターチケット</v>
          </cell>
        </row>
        <row r="37">
          <cell r="A37">
            <v>703</v>
          </cell>
          <cell r="B37" t="str">
            <v>ticket_whiteday　</v>
          </cell>
          <cell r="C37" t="str">
            <v>ホワイトデーチケット</v>
          </cell>
          <cell r="D37" t="str">
            <v>2016-01-01 00:00:00</v>
          </cell>
          <cell r="E37" t="str">
            <v>2970-01-01 09:00:00</v>
          </cell>
          <cell r="F37" t="str">
            <v>ja</v>
          </cell>
          <cell r="G37" t="str">
            <v>ホワイトデーチケット</v>
          </cell>
        </row>
        <row r="38">
          <cell r="A38">
            <v>704</v>
          </cell>
          <cell r="B38" t="str">
            <v>ticket_nyanko</v>
          </cell>
          <cell r="C38" t="str">
            <v>にゃんこワクワクチケット</v>
          </cell>
          <cell r="D38" t="str">
            <v>2016-01-01 00:00:00</v>
          </cell>
          <cell r="E38" t="str">
            <v>2970-01-01 09:00:00</v>
          </cell>
          <cell r="F38" t="str">
            <v>ja</v>
          </cell>
          <cell r="G38" t="str">
            <v>にゃんこワクワクチケット</v>
          </cell>
        </row>
        <row r="39">
          <cell r="A39">
            <v>705</v>
          </cell>
          <cell r="B39" t="str">
            <v>ticket_sakura</v>
          </cell>
          <cell r="C39" t="str">
            <v>桜の花びら</v>
          </cell>
          <cell r="D39" t="str">
            <v>2016-01-01 00:00:00</v>
          </cell>
          <cell r="E39" t="str">
            <v>2970-01-01 09:00:00</v>
          </cell>
          <cell r="F39" t="str">
            <v>ja</v>
          </cell>
          <cell r="G39" t="str">
            <v>桜の花びら</v>
          </cell>
        </row>
        <row r="40">
          <cell r="A40">
            <v>706</v>
          </cell>
          <cell r="B40" t="str">
            <v>ticket_red_bouquet</v>
          </cell>
          <cell r="C40" t="str">
            <v>レッドブーケ</v>
          </cell>
          <cell r="D40" t="str">
            <v>2016-01-01 00:00:00</v>
          </cell>
          <cell r="E40" t="str">
            <v>2970-01-01 09:00:00</v>
          </cell>
          <cell r="F40" t="str">
            <v>ja</v>
          </cell>
          <cell r="G40" t="str">
            <v>レッドブーケ</v>
          </cell>
        </row>
        <row r="41">
          <cell r="A41">
            <v>707</v>
          </cell>
          <cell r="B41" t="str">
            <v>ticket_green_bouquet</v>
          </cell>
          <cell r="C41" t="str">
            <v>グリーンブーケ</v>
          </cell>
          <cell r="D41" t="str">
            <v>2016-01-01 00:00:00</v>
          </cell>
          <cell r="E41" t="str">
            <v>2970-01-01 09:00:00</v>
          </cell>
          <cell r="F41" t="str">
            <v>ja</v>
          </cell>
          <cell r="G41" t="str">
            <v>グリーンブーケ</v>
          </cell>
        </row>
        <row r="42">
          <cell r="A42">
            <v>708</v>
          </cell>
          <cell r="B42" t="str">
            <v>ticket_juneBride</v>
          </cell>
          <cell r="C42" t="str">
            <v>ジューンブライドチケット</v>
          </cell>
          <cell r="D42" t="str">
            <v>2016-01-01 00:00:00</v>
          </cell>
          <cell r="E42" t="str">
            <v>2970-01-01 09:00:00</v>
          </cell>
          <cell r="F42" t="str">
            <v>ja</v>
          </cell>
          <cell r="G42" t="str">
            <v>ジューンブライドチケット</v>
          </cell>
        </row>
        <row r="43">
          <cell r="A43">
            <v>900</v>
          </cell>
          <cell r="B43" t="str">
            <v>item100</v>
          </cell>
          <cell r="C43" t="str">
            <v>ブロンズチケット</v>
          </cell>
          <cell r="D43" t="str">
            <v>2016-01-01 00:00:00</v>
          </cell>
          <cell r="E43" t="str">
            <v>2970-01-01 09:00:00</v>
          </cell>
          <cell r="F43" t="str">
            <v>ja</v>
          </cell>
          <cell r="G43" t="str">
            <v>アイテム１</v>
          </cell>
        </row>
        <row r="44">
          <cell r="A44">
            <v>901</v>
          </cell>
          <cell r="B44" t="str">
            <v>item101</v>
          </cell>
          <cell r="C44" t="str">
            <v>ゴールドチケット</v>
          </cell>
          <cell r="D44" t="str">
            <v>2016-01-01 00:00:00</v>
          </cell>
          <cell r="E44" t="str">
            <v>2970-01-01 09:00:00</v>
          </cell>
          <cell r="F44" t="str">
            <v>ja</v>
          </cell>
          <cell r="G44" t="str">
            <v>アイテム２</v>
          </cell>
        </row>
        <row r="45">
          <cell r="A45">
            <v>902</v>
          </cell>
          <cell r="B45" t="str">
            <v>item102</v>
          </cell>
          <cell r="C45" t="str">
            <v>ノーマルチケット</v>
          </cell>
          <cell r="D45" t="str">
            <v>2016-01-01 00:00:00</v>
          </cell>
          <cell r="E45" t="str">
            <v>2970-01-01 09:00:00</v>
          </cell>
          <cell r="F45" t="str">
            <v>ja</v>
          </cell>
          <cell r="G45" t="str">
            <v>アイテム３</v>
          </cell>
        </row>
        <row r="46">
          <cell r="A46">
            <v>903</v>
          </cell>
          <cell r="B46" t="str">
            <v>item103</v>
          </cell>
          <cell r="C46" t="str">
            <v>レアチケット</v>
          </cell>
          <cell r="D46" t="str">
            <v>2016-01-01 00:00:00</v>
          </cell>
          <cell r="E46" t="str">
            <v>2970-01-01 09:00:00</v>
          </cell>
          <cell r="F46" t="str">
            <v>ja</v>
          </cell>
          <cell r="G46" t="str">
            <v>アイテム４</v>
          </cell>
        </row>
        <row r="47">
          <cell r="A47">
            <v>904</v>
          </cell>
          <cell r="B47" t="str">
            <v>item104</v>
          </cell>
          <cell r="C47" t="str">
            <v>シルバーチケット</v>
          </cell>
          <cell r="D47" t="str">
            <v>2016-01-01 00:00:00</v>
          </cell>
          <cell r="E47" t="str">
            <v>2970-01-01 09:00:00</v>
          </cell>
          <cell r="F47" t="str">
            <v>ja</v>
          </cell>
          <cell r="G47" t="str">
            <v>アイテム５</v>
          </cell>
        </row>
        <row r="48">
          <cell r="A48">
            <v>905</v>
          </cell>
          <cell r="B48" t="str">
            <v>ticket_hyperlimited_1609</v>
          </cell>
          <cell r="C48" t="str">
            <v>超厳選ガチャチケット</v>
          </cell>
          <cell r="D48" t="str">
            <v>2016-01-01 00:00:00</v>
          </cell>
          <cell r="E48" t="str">
            <v>2970-01-01 09:00:00</v>
          </cell>
          <cell r="F48" t="str">
            <v>ja</v>
          </cell>
          <cell r="G48" t="str">
            <v>超厳選ガチャチケット</v>
          </cell>
        </row>
        <row r="49">
          <cell r="A49">
            <v>906</v>
          </cell>
          <cell r="B49" t="str">
            <v>ticket_fes_161013</v>
          </cell>
          <cell r="C49" t="str">
            <v>★6覚醒可能ユニットチケット</v>
          </cell>
          <cell r="D49" t="str">
            <v>2016-01-01 00:00:00</v>
          </cell>
          <cell r="E49" t="str">
            <v>2970-01-01 09:00:00</v>
          </cell>
          <cell r="F49" t="str">
            <v>ja</v>
          </cell>
          <cell r="G49" t="str">
            <v>★6覚醒可能ユニットチケット</v>
          </cell>
        </row>
        <row r="50">
          <cell r="A50">
            <v>907</v>
          </cell>
          <cell r="B50" t="str">
            <v>ticket_7million</v>
          </cell>
          <cell r="C50" t="str">
            <v>700万DL記念ガチャチケット</v>
          </cell>
          <cell r="D50" t="str">
            <v>2016-01-01 00:00:00</v>
          </cell>
          <cell r="E50" t="str">
            <v>2970-01-01 09:00:00</v>
          </cell>
          <cell r="F50" t="str">
            <v>ja</v>
          </cell>
          <cell r="G50" t="str">
            <v>700万DL記念ガチャチケット</v>
          </cell>
        </row>
        <row r="51">
          <cell r="A51">
            <v>908</v>
          </cell>
          <cell r="B51" t="str">
            <v>30day_sp_ticket</v>
          </cell>
          <cell r="C51" t="str">
            <v>30日達成スペシャルチケット</v>
          </cell>
          <cell r="D51" t="str">
            <v>2016-01-01 00:00:00</v>
          </cell>
          <cell r="E51" t="str">
            <v>2970-01-01 09:00:00</v>
          </cell>
          <cell r="F51" t="str">
            <v>ja</v>
          </cell>
          <cell r="G51" t="str">
            <v>30日達成スペシャルチケット</v>
          </cell>
        </row>
        <row r="52">
          <cell r="A52">
            <v>909</v>
          </cell>
          <cell r="B52" t="str">
            <v>ticket_piece_happy</v>
          </cell>
          <cell r="C52" t="str">
            <v>ハッピーチケットピース</v>
          </cell>
          <cell r="D52" t="str">
            <v>2016-01-01 00:00:00</v>
          </cell>
          <cell r="E52" t="str">
            <v>2970-01-01 09:00:00</v>
          </cell>
          <cell r="F52" t="str">
            <v>ja</v>
          </cell>
          <cell r="G52" t="str">
            <v>ハッピーチケットピース</v>
          </cell>
        </row>
        <row r="53">
          <cell r="A53">
            <v>910</v>
          </cell>
          <cell r="B53" t="str">
            <v>ticket_collabo_hagane</v>
          </cell>
          <cell r="C53" t="str">
            <v>コラボ限定ガチャチケット</v>
          </cell>
          <cell r="D53" t="str">
            <v>2016-01-01 00:00:00</v>
          </cell>
          <cell r="E53" t="str">
            <v>2970-01-01 09:00:00</v>
          </cell>
          <cell r="F53" t="str">
            <v>ja</v>
          </cell>
          <cell r="G53" t="str">
            <v>コラボ限定ガチャチケット</v>
          </cell>
        </row>
        <row r="54">
          <cell r="A54">
            <v>911</v>
          </cell>
          <cell r="B54" t="str">
            <v>ticket_8million_level1</v>
          </cell>
          <cell r="C54" t="str">
            <v>800万DL記念ガチャチケット</v>
          </cell>
          <cell r="D54" t="str">
            <v>2016-01-01 00:00:00</v>
          </cell>
          <cell r="E54" t="str">
            <v>2970-01-01 09:00:00</v>
          </cell>
          <cell r="F54" t="str">
            <v>ja</v>
          </cell>
          <cell r="G54" t="str">
            <v>記念チケットLv1</v>
          </cell>
        </row>
        <row r="55">
          <cell r="A55">
            <v>912</v>
          </cell>
          <cell r="B55" t="str">
            <v>ticket_8million_level2</v>
          </cell>
          <cell r="C55" t="str">
            <v>800万DL記念ガチャチケット</v>
          </cell>
          <cell r="D55" t="str">
            <v>2016-01-01 00:00:00</v>
          </cell>
          <cell r="E55" t="str">
            <v>2970-01-01 09:00:00</v>
          </cell>
          <cell r="F55" t="str">
            <v>ja</v>
          </cell>
          <cell r="G55" t="str">
            <v>記念チケットLv2</v>
          </cell>
        </row>
        <row r="56">
          <cell r="A56">
            <v>913</v>
          </cell>
          <cell r="B56" t="str">
            <v>ticket_8million_level3</v>
          </cell>
          <cell r="C56" t="str">
            <v>800万DL記念ガチャチケット</v>
          </cell>
          <cell r="D56" t="str">
            <v>2016-01-01 00:00:00</v>
          </cell>
          <cell r="E56" t="str">
            <v>2970-01-01 09:00:00</v>
          </cell>
          <cell r="F56" t="str">
            <v>ja</v>
          </cell>
          <cell r="G56" t="str">
            <v>記念チケットLv3</v>
          </cell>
        </row>
        <row r="57">
          <cell r="A57">
            <v>914</v>
          </cell>
          <cell r="B57" t="str">
            <v>ticket_8million_sp</v>
          </cell>
          <cell r="C57" t="str">
            <v>800万DL記念ガチャチケット</v>
          </cell>
          <cell r="D57" t="str">
            <v>2016-01-01 00:00:00</v>
          </cell>
          <cell r="E57" t="str">
            <v>2970-01-01 09:00:00</v>
          </cell>
          <cell r="F57" t="str">
            <v>ja</v>
          </cell>
          <cell r="G57" t="str">
            <v>★6確定記念チケット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7</v>
      </c>
    </row>
    <row r="2" spans="1:1" x14ac:dyDescent="0.15">
      <c r="A2" t="s">
        <v>8</v>
      </c>
    </row>
    <row r="3" spans="1:1" x14ac:dyDescent="0.15">
      <c r="A3" t="s">
        <v>9</v>
      </c>
    </row>
    <row r="4" spans="1:1" x14ac:dyDescent="0.15">
      <c r="A4" t="s">
        <v>10</v>
      </c>
    </row>
  </sheetData>
  <phoneticPr fontId="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Z3"/>
  <sheetViews>
    <sheetView workbookViewId="0">
      <selection activeCell="D24" sqref="D24"/>
    </sheetView>
  </sheetViews>
  <sheetFormatPr baseColWidth="12" defaultRowHeight="15" x14ac:dyDescent="0.15"/>
  <cols>
    <col min="1" max="1" width="13" style="4"/>
    <col min="2" max="2" width="14.796875" style="4" bestFit="1" customWidth="1"/>
    <col min="3" max="4" width="13" style="4"/>
    <col min="5" max="5" width="36.19921875" style="4" bestFit="1" customWidth="1"/>
    <col min="6" max="6" width="22.19921875" style="4" bestFit="1" customWidth="1"/>
    <col min="7" max="16384" width="13" style="4"/>
  </cols>
  <sheetData>
    <row r="1" spans="1:26" x14ac:dyDescent="0.15">
      <c r="A1" s="6" t="s">
        <v>6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/>
      <c r="I1" s="2"/>
      <c r="J1" s="2"/>
      <c r="K1" s="2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x14ac:dyDescent="0.15">
      <c r="A2" s="26" t="s">
        <v>63</v>
      </c>
      <c r="B2" s="8" t="s">
        <v>21</v>
      </c>
      <c r="C2" s="25"/>
      <c r="D2" s="27" t="s">
        <v>68</v>
      </c>
      <c r="E2" s="3" t="str">
        <f t="shared" ref="E2" si="0">B2&amp;C2&amp;D2</f>
        <v>store_products.csv</v>
      </c>
      <c r="F2" s="9" t="s">
        <v>22</v>
      </c>
      <c r="G2" s="7" t="s">
        <v>11</v>
      </c>
      <c r="H2" s="23" t="s">
        <v>47</v>
      </c>
      <c r="I2" s="23" t="s">
        <v>48</v>
      </c>
      <c r="J2" s="23" t="s">
        <v>49</v>
      </c>
      <c r="K2" s="23" t="s">
        <v>50</v>
      </c>
      <c r="L2" s="23" t="s">
        <v>51</v>
      </c>
      <c r="M2" s="23" t="s">
        <v>52</v>
      </c>
      <c r="N2" s="23" t="s">
        <v>53</v>
      </c>
      <c r="O2" s="23" t="s">
        <v>54</v>
      </c>
      <c r="P2" s="23" t="s">
        <v>55</v>
      </c>
      <c r="Q2" s="23" t="s">
        <v>56</v>
      </c>
      <c r="R2" s="23" t="s">
        <v>57</v>
      </c>
      <c r="S2" s="23" t="s">
        <v>58</v>
      </c>
      <c r="T2" s="23" t="s">
        <v>59</v>
      </c>
      <c r="U2" s="23" t="s">
        <v>60</v>
      </c>
      <c r="V2" s="23" t="s">
        <v>61</v>
      </c>
      <c r="W2" s="23" t="s">
        <v>62</v>
      </c>
      <c r="X2" s="23"/>
      <c r="Y2" s="23"/>
      <c r="Z2" s="23"/>
    </row>
    <row r="3" spans="1:26" x14ac:dyDescent="0.15">
      <c r="A3" s="26" t="s">
        <v>64</v>
      </c>
      <c r="B3" s="8" t="s">
        <v>14</v>
      </c>
      <c r="C3" s="9"/>
      <c r="D3" s="27" t="s">
        <v>68</v>
      </c>
      <c r="E3" s="3" t="str">
        <f t="shared" ref="E3" si="1">B3&amp;C3&amp;D3</f>
        <v>store_products_i18n.csv</v>
      </c>
      <c r="F3" s="9" t="s">
        <v>15</v>
      </c>
      <c r="G3" s="7" t="s">
        <v>11</v>
      </c>
      <c r="H3" s="7" t="s">
        <v>12</v>
      </c>
      <c r="I3" s="7" t="s">
        <v>13</v>
      </c>
      <c r="J3" s="23" t="s">
        <v>66</v>
      </c>
      <c r="K3" s="23" t="s">
        <v>67</v>
      </c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R291"/>
  <sheetViews>
    <sheetView showGridLines="0" tabSelected="1" topLeftCell="H1" zoomScale="132" workbookViewId="0">
      <pane ySplit="1" topLeftCell="A226" activePane="bottomLeft" state="frozen"/>
      <selection activeCell="M24" sqref="M24"/>
      <selection pane="bottomLeft" activeCell="R114" sqref="R114"/>
    </sheetView>
  </sheetViews>
  <sheetFormatPr baseColWidth="12" defaultRowHeight="21" customHeight="1" outlineLevelCol="1" x14ac:dyDescent="0.15"/>
  <cols>
    <col min="1" max="1" width="23" style="1" customWidth="1"/>
    <col min="2" max="2" width="12.59765625" style="1" customWidth="1"/>
    <col min="3" max="3" width="17.59765625" style="21" bestFit="1" customWidth="1" outlineLevel="1"/>
    <col min="4" max="4" width="17.59765625" style="1" customWidth="1" outlineLevel="1"/>
    <col min="5" max="5" width="20.796875" style="1" customWidth="1" outlineLevel="1"/>
    <col min="6" max="6" width="10.3984375" style="1" customWidth="1"/>
    <col min="7" max="7" width="15.796875" style="21" bestFit="1" customWidth="1" outlineLevel="1"/>
    <col min="8" max="16" width="13" style="1"/>
    <col min="17" max="18" width="20.19921875" style="21" bestFit="1" customWidth="1"/>
    <col min="19" max="19" width="11.796875" style="1" customWidth="1"/>
    <col min="20" max="16384" width="13" style="1"/>
  </cols>
  <sheetData>
    <row r="1" spans="1:18" s="40" customFormat="1" ht="21" customHeight="1" x14ac:dyDescent="0.15">
      <c r="A1" s="12" t="s">
        <v>16</v>
      </c>
      <c r="B1" s="12" t="s">
        <v>37</v>
      </c>
      <c r="C1" s="12" t="s">
        <v>38</v>
      </c>
      <c r="D1" s="12" t="s">
        <v>23</v>
      </c>
      <c r="E1" s="22" t="s">
        <v>43</v>
      </c>
      <c r="F1" s="12" t="s">
        <v>24</v>
      </c>
      <c r="G1" s="12" t="s">
        <v>25</v>
      </c>
      <c r="H1" s="12" t="s">
        <v>26</v>
      </c>
      <c r="I1" s="12" t="s">
        <v>27</v>
      </c>
      <c r="J1" s="12" t="s">
        <v>28</v>
      </c>
      <c r="K1" s="12" t="s">
        <v>29</v>
      </c>
      <c r="L1" s="12" t="s">
        <v>30</v>
      </c>
      <c r="M1" s="12" t="s">
        <v>31</v>
      </c>
      <c r="N1" s="12" t="s">
        <v>32</v>
      </c>
      <c r="O1" s="12" t="s">
        <v>33</v>
      </c>
      <c r="P1" s="12" t="s">
        <v>34</v>
      </c>
      <c r="Q1" s="12" t="s">
        <v>35</v>
      </c>
      <c r="R1" s="12" t="s">
        <v>36</v>
      </c>
    </row>
    <row r="2" spans="1:18" ht="21" customHeight="1" x14ac:dyDescent="0.15">
      <c r="A2" s="10">
        <f>ROW()-1</f>
        <v>1</v>
      </c>
      <c r="B2" s="10">
        <f>ROW()-1</f>
        <v>1</v>
      </c>
      <c r="C2" s="16" t="s">
        <v>39</v>
      </c>
      <c r="D2" s="13">
        <v>335</v>
      </c>
      <c r="E2" s="13" t="str">
        <f>IF($C2="unit",VLOOKUP(D2,[1]characters!$A:$C,3,FALSE),VLOOKUP(D2,[2]items!$A:$G,7,FALSE))</f>
        <v>炎のメタルジェントル</v>
      </c>
      <c r="F2" s="14">
        <v>1</v>
      </c>
      <c r="G2" s="16" t="s">
        <v>69</v>
      </c>
      <c r="H2" s="20">
        <v>50</v>
      </c>
      <c r="I2" s="20">
        <v>700</v>
      </c>
      <c r="J2" s="20">
        <v>0</v>
      </c>
      <c r="K2" s="20">
        <v>0</v>
      </c>
      <c r="L2" s="20">
        <v>0</v>
      </c>
      <c r="M2" s="20">
        <v>0</v>
      </c>
      <c r="N2" s="20">
        <v>1</v>
      </c>
      <c r="O2" s="20">
        <v>1</v>
      </c>
      <c r="P2" s="20">
        <v>1</v>
      </c>
      <c r="Q2" s="37" t="s">
        <v>88</v>
      </c>
      <c r="R2" s="37" t="s">
        <v>74</v>
      </c>
    </row>
    <row r="3" spans="1:18" ht="21" customHeight="1" x14ac:dyDescent="0.15">
      <c r="A3" s="10">
        <f t="shared" ref="A3:A78" si="0">ROW()-1</f>
        <v>2</v>
      </c>
      <c r="B3" s="10">
        <f t="shared" ref="B3:B78" si="1">ROW()-1</f>
        <v>2</v>
      </c>
      <c r="C3" s="16" t="s">
        <v>40</v>
      </c>
      <c r="D3" s="13">
        <v>339</v>
      </c>
      <c r="E3" s="13" t="str">
        <f>IF($C3="unit",VLOOKUP(D3,[1]characters!$A:$C,3,FALSE),VLOOKUP(D3,[2]items!$A:$G,7,FALSE))</f>
        <v>森のメタルジェントル</v>
      </c>
      <c r="F3" s="14">
        <v>1</v>
      </c>
      <c r="G3" s="16" t="s">
        <v>69</v>
      </c>
      <c r="H3" s="20">
        <v>50</v>
      </c>
      <c r="I3" s="20">
        <v>700</v>
      </c>
      <c r="J3" s="20">
        <v>0</v>
      </c>
      <c r="K3" s="20">
        <v>0</v>
      </c>
      <c r="L3" s="20">
        <v>0</v>
      </c>
      <c r="M3" s="20">
        <v>0</v>
      </c>
      <c r="N3" s="20">
        <v>1</v>
      </c>
      <c r="O3" s="20">
        <v>1</v>
      </c>
      <c r="P3" s="20">
        <v>1</v>
      </c>
      <c r="Q3" s="37" t="s">
        <v>87</v>
      </c>
      <c r="R3" s="37" t="s">
        <v>73</v>
      </c>
    </row>
    <row r="4" spans="1:18" ht="21" customHeight="1" x14ac:dyDescent="0.15">
      <c r="A4" s="10">
        <f t="shared" si="0"/>
        <v>3</v>
      </c>
      <c r="B4" s="10">
        <f t="shared" si="1"/>
        <v>3</v>
      </c>
      <c r="C4" s="16" t="s">
        <v>41</v>
      </c>
      <c r="D4" s="13">
        <v>343</v>
      </c>
      <c r="E4" s="13" t="str">
        <f>IF($C4="unit",VLOOKUP(D4,[1]characters!$A:$C,3,FALSE),VLOOKUP(D4,[2]items!$A:$G,7,FALSE))</f>
        <v>水のメタルジェントル</v>
      </c>
      <c r="F4" s="14">
        <v>1</v>
      </c>
      <c r="G4" s="16" t="s">
        <v>69</v>
      </c>
      <c r="H4" s="20">
        <v>50</v>
      </c>
      <c r="I4" s="20">
        <v>700</v>
      </c>
      <c r="J4" s="20">
        <v>0</v>
      </c>
      <c r="K4" s="20">
        <v>0</v>
      </c>
      <c r="L4" s="20">
        <v>0</v>
      </c>
      <c r="M4" s="20">
        <v>0</v>
      </c>
      <c r="N4" s="20">
        <v>1</v>
      </c>
      <c r="O4" s="20">
        <v>1</v>
      </c>
      <c r="P4" s="20">
        <v>1</v>
      </c>
      <c r="Q4" s="37" t="s">
        <v>87</v>
      </c>
      <c r="R4" s="37" t="s">
        <v>73</v>
      </c>
    </row>
    <row r="5" spans="1:18" ht="21" customHeight="1" x14ac:dyDescent="0.15">
      <c r="A5" s="10">
        <f t="shared" si="0"/>
        <v>4</v>
      </c>
      <c r="B5" s="10">
        <f t="shared" si="1"/>
        <v>4</v>
      </c>
      <c r="C5" s="16" t="s">
        <v>42</v>
      </c>
      <c r="D5" s="13">
        <v>347</v>
      </c>
      <c r="E5" s="13" t="str">
        <f>IF($C5="unit",VLOOKUP(D5,[1]characters!$A:$C,3,FALSE),VLOOKUP(D5,[2]items!$A:$G,7,FALSE))</f>
        <v>雷のメタルジェントル</v>
      </c>
      <c r="F5" s="14">
        <v>1</v>
      </c>
      <c r="G5" s="16" t="s">
        <v>69</v>
      </c>
      <c r="H5" s="20">
        <v>50</v>
      </c>
      <c r="I5" s="20">
        <v>700</v>
      </c>
      <c r="J5" s="20">
        <v>0</v>
      </c>
      <c r="K5" s="20">
        <v>0</v>
      </c>
      <c r="L5" s="20">
        <v>0</v>
      </c>
      <c r="M5" s="20">
        <v>0</v>
      </c>
      <c r="N5" s="20">
        <v>1</v>
      </c>
      <c r="O5" s="20">
        <v>1</v>
      </c>
      <c r="P5" s="20">
        <v>1</v>
      </c>
      <c r="Q5" s="37" t="s">
        <v>87</v>
      </c>
      <c r="R5" s="37" t="s">
        <v>73</v>
      </c>
    </row>
    <row r="6" spans="1:18" ht="21" customHeight="1" x14ac:dyDescent="0.15">
      <c r="A6" s="10">
        <f t="shared" si="0"/>
        <v>5</v>
      </c>
      <c r="B6" s="10">
        <f t="shared" si="1"/>
        <v>5</v>
      </c>
      <c r="C6" s="16" t="s">
        <v>44</v>
      </c>
      <c r="D6" s="13">
        <v>611</v>
      </c>
      <c r="E6" s="13" t="str">
        <f>IF($C6="unit",VLOOKUP(D6,[1]characters!$A:$C,3,FALSE),VLOOKUP(D6,[2]items!$A:$G,7,FALSE))</f>
        <v>ギガ攻めの果実</v>
      </c>
      <c r="F6" s="14">
        <v>1</v>
      </c>
      <c r="G6" s="16" t="s">
        <v>69</v>
      </c>
      <c r="H6" s="20">
        <v>12</v>
      </c>
      <c r="I6" s="20">
        <v>1400</v>
      </c>
      <c r="J6" s="20">
        <v>0</v>
      </c>
      <c r="K6" s="20">
        <v>0</v>
      </c>
      <c r="L6" s="20">
        <v>0</v>
      </c>
      <c r="M6" s="20">
        <v>0</v>
      </c>
      <c r="N6" s="20">
        <v>1</v>
      </c>
      <c r="O6" s="20">
        <v>1</v>
      </c>
      <c r="P6" s="20">
        <v>1</v>
      </c>
      <c r="Q6" s="37" t="s">
        <v>87</v>
      </c>
      <c r="R6" s="37" t="s">
        <v>73</v>
      </c>
    </row>
    <row r="7" spans="1:18" ht="21" customHeight="1" x14ac:dyDescent="0.15">
      <c r="A7" s="10">
        <f t="shared" si="0"/>
        <v>6</v>
      </c>
      <c r="B7" s="10">
        <f t="shared" si="1"/>
        <v>6</v>
      </c>
      <c r="C7" s="16" t="s">
        <v>44</v>
      </c>
      <c r="D7" s="13">
        <v>612</v>
      </c>
      <c r="E7" s="13" t="str">
        <f>IF($C7="unit",VLOOKUP(D7,[1]characters!$A:$C,3,FALSE),VLOOKUP(D7,[2]items!$A:$G,7,FALSE))</f>
        <v>ギガ生命の果実</v>
      </c>
      <c r="F7" s="14">
        <v>1</v>
      </c>
      <c r="G7" s="16" t="s">
        <v>69</v>
      </c>
      <c r="H7" s="20">
        <v>12</v>
      </c>
      <c r="I7" s="20">
        <v>1400</v>
      </c>
      <c r="J7" s="20">
        <v>0</v>
      </c>
      <c r="K7" s="20">
        <v>0</v>
      </c>
      <c r="L7" s="20">
        <v>0</v>
      </c>
      <c r="M7" s="20">
        <v>0</v>
      </c>
      <c r="N7" s="20">
        <v>1</v>
      </c>
      <c r="O7" s="20">
        <v>1</v>
      </c>
      <c r="P7" s="20">
        <v>1</v>
      </c>
      <c r="Q7" s="37" t="s">
        <v>87</v>
      </c>
      <c r="R7" s="37" t="s">
        <v>81</v>
      </c>
    </row>
    <row r="8" spans="1:18" ht="21" customHeight="1" x14ac:dyDescent="0.15">
      <c r="A8" s="10">
        <f t="shared" si="0"/>
        <v>7</v>
      </c>
      <c r="B8" s="10">
        <f t="shared" si="1"/>
        <v>7</v>
      </c>
      <c r="C8" s="16" t="s">
        <v>44</v>
      </c>
      <c r="D8" s="13">
        <v>613</v>
      </c>
      <c r="E8" s="13" t="str">
        <f>IF($C8="unit",VLOOKUP(D8,[1]characters!$A:$C,3,FALSE),VLOOKUP(D8,[2]items!$A:$G,7,FALSE))</f>
        <v>ギガ癒しの果実</v>
      </c>
      <c r="F8" s="14">
        <v>1</v>
      </c>
      <c r="G8" s="16" t="s">
        <v>69</v>
      </c>
      <c r="H8" s="20">
        <v>12</v>
      </c>
      <c r="I8" s="20">
        <v>1400</v>
      </c>
      <c r="J8" s="20">
        <v>0</v>
      </c>
      <c r="K8" s="20">
        <v>0</v>
      </c>
      <c r="L8" s="20">
        <v>0</v>
      </c>
      <c r="M8" s="20">
        <v>0</v>
      </c>
      <c r="N8" s="20">
        <v>1</v>
      </c>
      <c r="O8" s="20">
        <v>1</v>
      </c>
      <c r="P8" s="20">
        <v>1</v>
      </c>
      <c r="Q8" s="37" t="s">
        <v>87</v>
      </c>
      <c r="R8" s="37" t="s">
        <v>80</v>
      </c>
    </row>
    <row r="9" spans="1:18" ht="21" customHeight="1" x14ac:dyDescent="0.15">
      <c r="A9" s="10">
        <f t="shared" si="0"/>
        <v>8</v>
      </c>
      <c r="B9" s="10">
        <f t="shared" si="1"/>
        <v>8</v>
      </c>
      <c r="C9" s="16" t="s">
        <v>44</v>
      </c>
      <c r="D9" s="13">
        <v>614</v>
      </c>
      <c r="E9" s="13" t="str">
        <f>IF($C9="unit",VLOOKUP(D9,[1]characters!$A:$C,3,FALSE),VLOOKUP(D9,[2]items!$A:$G,7,FALSE))</f>
        <v>ギガ秘術の果実</v>
      </c>
      <c r="F9" s="14">
        <v>1</v>
      </c>
      <c r="G9" s="16" t="s">
        <v>69</v>
      </c>
      <c r="H9" s="20">
        <v>12</v>
      </c>
      <c r="I9" s="20">
        <v>2000</v>
      </c>
      <c r="J9" s="20">
        <v>0</v>
      </c>
      <c r="K9" s="20">
        <v>0</v>
      </c>
      <c r="L9" s="20">
        <v>0</v>
      </c>
      <c r="M9" s="20">
        <v>0</v>
      </c>
      <c r="N9" s="20">
        <v>1</v>
      </c>
      <c r="O9" s="20">
        <v>1</v>
      </c>
      <c r="P9" s="20">
        <v>1</v>
      </c>
      <c r="Q9" s="37" t="s">
        <v>87</v>
      </c>
      <c r="R9" s="37" t="s">
        <v>73</v>
      </c>
    </row>
    <row r="10" spans="1:18" ht="21" customHeight="1" x14ac:dyDescent="0.15">
      <c r="A10" s="10">
        <f t="shared" si="0"/>
        <v>9</v>
      </c>
      <c r="B10" s="10">
        <f t="shared" si="1"/>
        <v>9</v>
      </c>
      <c r="C10" s="16" t="s">
        <v>45</v>
      </c>
      <c r="D10" s="13">
        <v>1</v>
      </c>
      <c r="E10" s="13" t="str">
        <f>IF($C10="unit",VLOOKUP(D10,[1]characters!$A:$C,3,FALSE),VLOOKUP(D10,[2]items!$A:$G,7,FALSE))</f>
        <v>マスターキー</v>
      </c>
      <c r="F10" s="14">
        <v>1</v>
      </c>
      <c r="G10" s="16" t="s">
        <v>69</v>
      </c>
      <c r="H10" s="20">
        <v>12</v>
      </c>
      <c r="I10" s="20">
        <v>3000</v>
      </c>
      <c r="J10" s="20">
        <v>0</v>
      </c>
      <c r="K10" s="20">
        <v>0</v>
      </c>
      <c r="L10" s="20">
        <v>0</v>
      </c>
      <c r="M10" s="20">
        <v>0</v>
      </c>
      <c r="N10" s="20">
        <v>1</v>
      </c>
      <c r="O10" s="20">
        <v>1</v>
      </c>
      <c r="P10" s="20">
        <v>1</v>
      </c>
      <c r="Q10" s="37" t="s">
        <v>87</v>
      </c>
      <c r="R10" s="37" t="s">
        <v>73</v>
      </c>
    </row>
    <row r="11" spans="1:18" ht="21" customHeight="1" x14ac:dyDescent="0.15">
      <c r="A11" s="10">
        <f t="shared" si="0"/>
        <v>10</v>
      </c>
      <c r="B11" s="10">
        <f t="shared" si="1"/>
        <v>10</v>
      </c>
      <c r="C11" s="16" t="s">
        <v>46</v>
      </c>
      <c r="D11" s="13">
        <v>837</v>
      </c>
      <c r="E11" s="13" t="str">
        <f>IF($C11="unit",VLOOKUP(D11,[1]characters!$A:$C,3,FALSE),VLOOKUP(D11,[2]items!$A:$G,7,FALSE))</f>
        <v>リトルハンプティ</v>
      </c>
      <c r="F11" s="14">
        <v>1</v>
      </c>
      <c r="G11" s="16" t="s">
        <v>69</v>
      </c>
      <c r="H11" s="20">
        <v>12</v>
      </c>
      <c r="I11" s="20">
        <v>4000</v>
      </c>
      <c r="J11" s="20">
        <v>0</v>
      </c>
      <c r="K11" s="20">
        <v>0</v>
      </c>
      <c r="L11" s="20">
        <v>0</v>
      </c>
      <c r="M11" s="20">
        <v>0</v>
      </c>
      <c r="N11" s="20">
        <v>1</v>
      </c>
      <c r="O11" s="20">
        <v>1</v>
      </c>
      <c r="P11" s="20">
        <v>1</v>
      </c>
      <c r="Q11" s="37" t="s">
        <v>87</v>
      </c>
      <c r="R11" s="37" t="s">
        <v>73</v>
      </c>
    </row>
    <row r="12" spans="1:18" ht="21" customHeight="1" x14ac:dyDescent="0.15">
      <c r="A12" s="10">
        <f t="shared" si="0"/>
        <v>11</v>
      </c>
      <c r="B12" s="10">
        <f t="shared" si="1"/>
        <v>11</v>
      </c>
      <c r="C12" s="16" t="s">
        <v>46</v>
      </c>
      <c r="D12" s="13">
        <v>1369</v>
      </c>
      <c r="E12" s="13" t="str">
        <f>IF($C12="unit",VLOOKUP(D12,[1]characters!$A:$C,3,FALSE),VLOOKUP(D12,[2]items!$A:$G,7,FALSE))</f>
        <v>トロイア</v>
      </c>
      <c r="F12" s="14">
        <v>1</v>
      </c>
      <c r="G12" s="16" t="s">
        <v>69</v>
      </c>
      <c r="H12" s="20">
        <v>3</v>
      </c>
      <c r="I12" s="20">
        <v>65000</v>
      </c>
      <c r="J12" s="20">
        <v>0</v>
      </c>
      <c r="K12" s="20">
        <v>0</v>
      </c>
      <c r="L12" s="20">
        <v>0</v>
      </c>
      <c r="M12" s="20">
        <v>0</v>
      </c>
      <c r="N12" s="20">
        <v>1</v>
      </c>
      <c r="O12" s="20">
        <v>1</v>
      </c>
      <c r="P12" s="20">
        <v>33</v>
      </c>
      <c r="Q12" s="37" t="s">
        <v>87</v>
      </c>
      <c r="R12" s="37" t="s">
        <v>73</v>
      </c>
    </row>
    <row r="13" spans="1:18" ht="21" customHeight="1" thickBot="1" x14ac:dyDescent="0.2">
      <c r="A13" s="31">
        <f t="shared" si="0"/>
        <v>12</v>
      </c>
      <c r="B13" s="31">
        <f t="shared" si="1"/>
        <v>12</v>
      </c>
      <c r="C13" s="32" t="s">
        <v>46</v>
      </c>
      <c r="D13" s="33">
        <v>1083</v>
      </c>
      <c r="E13" s="33" t="str">
        <f>IF($C13="unit",VLOOKUP(D13,[1]characters!$A:$C,3,FALSE),VLOOKUP(D13,[2]items!$A:$G,7,FALSE))</f>
        <v>マジシャン</v>
      </c>
      <c r="F13" s="34">
        <v>1</v>
      </c>
      <c r="G13" s="32" t="s">
        <v>72</v>
      </c>
      <c r="H13" s="35">
        <v>3</v>
      </c>
      <c r="I13" s="35">
        <v>200000</v>
      </c>
      <c r="J13" s="35">
        <v>0</v>
      </c>
      <c r="K13" s="35">
        <v>0</v>
      </c>
      <c r="L13" s="35">
        <v>0</v>
      </c>
      <c r="M13" s="35">
        <v>0</v>
      </c>
      <c r="N13" s="35">
        <v>1</v>
      </c>
      <c r="O13" s="35">
        <v>1</v>
      </c>
      <c r="P13" s="35">
        <v>33</v>
      </c>
      <c r="Q13" s="38" t="s">
        <v>87</v>
      </c>
      <c r="R13" s="38" t="s">
        <v>73</v>
      </c>
    </row>
    <row r="14" spans="1:18" ht="21" customHeight="1" x14ac:dyDescent="0.15">
      <c r="A14" s="28">
        <f t="shared" si="0"/>
        <v>13</v>
      </c>
      <c r="B14" s="28">
        <f t="shared" si="1"/>
        <v>13</v>
      </c>
      <c r="C14" s="29" t="s">
        <v>39</v>
      </c>
      <c r="D14" s="18">
        <v>335</v>
      </c>
      <c r="E14" s="18" t="str">
        <f>IF($C14="unit",VLOOKUP(D14,[1]characters!$A:$C,3,FALSE),VLOOKUP(D14,[2]items!$A:$G,7,FALSE))</f>
        <v>炎のメタルジェントル</v>
      </c>
      <c r="F14" s="15">
        <v>1</v>
      </c>
      <c r="G14" s="29" t="s">
        <v>71</v>
      </c>
      <c r="H14" s="30">
        <v>50</v>
      </c>
      <c r="I14" s="30">
        <v>700</v>
      </c>
      <c r="J14" s="30">
        <v>0</v>
      </c>
      <c r="K14" s="30">
        <v>0</v>
      </c>
      <c r="L14" s="30">
        <v>0</v>
      </c>
      <c r="M14" s="30">
        <v>0</v>
      </c>
      <c r="N14" s="30">
        <v>1</v>
      </c>
      <c r="O14" s="30">
        <v>1</v>
      </c>
      <c r="P14" s="30">
        <v>1</v>
      </c>
      <c r="Q14" s="41" t="s">
        <v>75</v>
      </c>
      <c r="R14" s="41" t="s">
        <v>82</v>
      </c>
    </row>
    <row r="15" spans="1:18" ht="21" customHeight="1" x14ac:dyDescent="0.15">
      <c r="A15" s="10">
        <f t="shared" si="0"/>
        <v>14</v>
      </c>
      <c r="B15" s="10">
        <f t="shared" si="1"/>
        <v>14</v>
      </c>
      <c r="C15" s="16" t="s">
        <v>40</v>
      </c>
      <c r="D15" s="13">
        <v>339</v>
      </c>
      <c r="E15" s="13" t="str">
        <f>IF($C15="unit",VLOOKUP(D15,[1]characters!$A:$C,3,FALSE),VLOOKUP(D15,[2]items!$A:$G,7,FALSE))</f>
        <v>森のメタルジェントル</v>
      </c>
      <c r="F15" s="14">
        <v>1</v>
      </c>
      <c r="G15" s="16" t="s">
        <v>71</v>
      </c>
      <c r="H15" s="20">
        <v>50</v>
      </c>
      <c r="I15" s="20">
        <v>700</v>
      </c>
      <c r="J15" s="20">
        <v>0</v>
      </c>
      <c r="K15" s="20">
        <v>0</v>
      </c>
      <c r="L15" s="20">
        <v>0</v>
      </c>
      <c r="M15" s="20">
        <v>0</v>
      </c>
      <c r="N15" s="20">
        <v>1</v>
      </c>
      <c r="O15" s="20">
        <v>1</v>
      </c>
      <c r="P15" s="20">
        <v>1</v>
      </c>
      <c r="Q15" s="37" t="s">
        <v>75</v>
      </c>
      <c r="R15" s="41" t="s">
        <v>82</v>
      </c>
    </row>
    <row r="16" spans="1:18" ht="21" customHeight="1" x14ac:dyDescent="0.15">
      <c r="A16" s="10">
        <f t="shared" si="0"/>
        <v>15</v>
      </c>
      <c r="B16" s="10">
        <f t="shared" si="1"/>
        <v>15</v>
      </c>
      <c r="C16" s="16" t="s">
        <v>40</v>
      </c>
      <c r="D16" s="13">
        <v>343</v>
      </c>
      <c r="E16" s="13" t="str">
        <f>IF($C16="unit",VLOOKUP(D16,[1]characters!$A:$C,3,FALSE),VLOOKUP(D16,[2]items!$A:$G,7,FALSE))</f>
        <v>水のメタルジェントル</v>
      </c>
      <c r="F16" s="14">
        <v>1</v>
      </c>
      <c r="G16" s="16" t="s">
        <v>71</v>
      </c>
      <c r="H16" s="20">
        <v>50</v>
      </c>
      <c r="I16" s="20">
        <v>700</v>
      </c>
      <c r="J16" s="20">
        <v>0</v>
      </c>
      <c r="K16" s="20">
        <v>0</v>
      </c>
      <c r="L16" s="20">
        <v>0</v>
      </c>
      <c r="M16" s="20">
        <v>0</v>
      </c>
      <c r="N16" s="20">
        <v>1</v>
      </c>
      <c r="O16" s="20">
        <v>1</v>
      </c>
      <c r="P16" s="20">
        <v>1</v>
      </c>
      <c r="Q16" s="37" t="s">
        <v>75</v>
      </c>
      <c r="R16" s="41" t="s">
        <v>82</v>
      </c>
    </row>
    <row r="17" spans="1:18" ht="21" customHeight="1" x14ac:dyDescent="0.15">
      <c r="A17" s="10">
        <f t="shared" si="0"/>
        <v>16</v>
      </c>
      <c r="B17" s="10">
        <f t="shared" si="1"/>
        <v>16</v>
      </c>
      <c r="C17" s="16" t="s">
        <v>40</v>
      </c>
      <c r="D17" s="13">
        <v>347</v>
      </c>
      <c r="E17" s="13" t="str">
        <f>IF($C17="unit",VLOOKUP(D17,[1]characters!$A:$C,3,FALSE),VLOOKUP(D17,[2]items!$A:$G,7,FALSE))</f>
        <v>雷のメタルジェントル</v>
      </c>
      <c r="F17" s="14">
        <v>1</v>
      </c>
      <c r="G17" s="16" t="s">
        <v>71</v>
      </c>
      <c r="H17" s="20">
        <v>50</v>
      </c>
      <c r="I17" s="20">
        <v>700</v>
      </c>
      <c r="J17" s="20">
        <v>0</v>
      </c>
      <c r="K17" s="20">
        <v>0</v>
      </c>
      <c r="L17" s="20">
        <v>0</v>
      </c>
      <c r="M17" s="20">
        <v>0</v>
      </c>
      <c r="N17" s="20">
        <v>1</v>
      </c>
      <c r="O17" s="20">
        <v>1</v>
      </c>
      <c r="P17" s="20">
        <v>1</v>
      </c>
      <c r="Q17" s="37" t="s">
        <v>75</v>
      </c>
      <c r="R17" s="41" t="s">
        <v>82</v>
      </c>
    </row>
    <row r="18" spans="1:18" ht="21" customHeight="1" x14ac:dyDescent="0.15">
      <c r="A18" s="10">
        <f t="shared" si="0"/>
        <v>17</v>
      </c>
      <c r="B18" s="10">
        <f t="shared" si="1"/>
        <v>17</v>
      </c>
      <c r="C18" s="16" t="s">
        <v>40</v>
      </c>
      <c r="D18" s="13">
        <v>611</v>
      </c>
      <c r="E18" s="13" t="str">
        <f>IF($C18="unit",VLOOKUP(D18,[1]characters!$A:$C,3,FALSE),VLOOKUP(D18,[2]items!$A:$G,7,FALSE))</f>
        <v>ギガ攻めの果実</v>
      </c>
      <c r="F18" s="14">
        <v>1</v>
      </c>
      <c r="G18" s="16" t="s">
        <v>71</v>
      </c>
      <c r="H18" s="20">
        <v>12</v>
      </c>
      <c r="I18" s="20">
        <v>1400</v>
      </c>
      <c r="J18" s="20">
        <v>0</v>
      </c>
      <c r="K18" s="20">
        <v>0</v>
      </c>
      <c r="L18" s="20">
        <v>0</v>
      </c>
      <c r="M18" s="20">
        <v>0</v>
      </c>
      <c r="N18" s="20">
        <v>1</v>
      </c>
      <c r="O18" s="20">
        <v>1</v>
      </c>
      <c r="P18" s="20">
        <v>1</v>
      </c>
      <c r="Q18" s="37" t="s">
        <v>75</v>
      </c>
      <c r="R18" s="41" t="s">
        <v>82</v>
      </c>
    </row>
    <row r="19" spans="1:18" s="19" customFormat="1" ht="21" customHeight="1" x14ac:dyDescent="0.15">
      <c r="A19" s="10">
        <f t="shared" si="0"/>
        <v>18</v>
      </c>
      <c r="B19" s="10">
        <f t="shared" si="1"/>
        <v>18</v>
      </c>
      <c r="C19" s="16" t="s">
        <v>40</v>
      </c>
      <c r="D19" s="13">
        <v>612</v>
      </c>
      <c r="E19" s="13" t="str">
        <f>IF($C19="unit",VLOOKUP(D19,[1]characters!$A:$C,3,FALSE),VLOOKUP(D19,[2]items!$A:$G,7,FALSE))</f>
        <v>ギガ生命の果実</v>
      </c>
      <c r="F19" s="14">
        <v>1</v>
      </c>
      <c r="G19" s="16" t="s">
        <v>71</v>
      </c>
      <c r="H19" s="20">
        <v>12</v>
      </c>
      <c r="I19" s="20">
        <v>1400</v>
      </c>
      <c r="J19" s="20">
        <v>0</v>
      </c>
      <c r="K19" s="20">
        <v>0</v>
      </c>
      <c r="L19" s="20">
        <v>0</v>
      </c>
      <c r="M19" s="20">
        <v>0</v>
      </c>
      <c r="N19" s="20">
        <v>1</v>
      </c>
      <c r="O19" s="20">
        <v>1</v>
      </c>
      <c r="P19" s="20">
        <v>1</v>
      </c>
      <c r="Q19" s="37" t="s">
        <v>75</v>
      </c>
      <c r="R19" s="41" t="s">
        <v>82</v>
      </c>
    </row>
    <row r="20" spans="1:18" ht="21" customHeight="1" x14ac:dyDescent="0.15">
      <c r="A20" s="10">
        <f t="shared" si="0"/>
        <v>19</v>
      </c>
      <c r="B20" s="10">
        <f t="shared" si="1"/>
        <v>19</v>
      </c>
      <c r="C20" s="16" t="s">
        <v>40</v>
      </c>
      <c r="D20" s="13">
        <v>613</v>
      </c>
      <c r="E20" s="13" t="str">
        <f>IF($C20="unit",VLOOKUP(D20,[1]characters!$A:$C,3,FALSE),VLOOKUP(D20,[2]items!$A:$G,7,FALSE))</f>
        <v>ギガ癒しの果実</v>
      </c>
      <c r="F20" s="14">
        <v>1</v>
      </c>
      <c r="G20" s="16" t="s">
        <v>71</v>
      </c>
      <c r="H20" s="20">
        <v>12</v>
      </c>
      <c r="I20" s="20">
        <v>1400</v>
      </c>
      <c r="J20" s="20">
        <v>0</v>
      </c>
      <c r="K20" s="20">
        <v>0</v>
      </c>
      <c r="L20" s="20">
        <v>0</v>
      </c>
      <c r="M20" s="20">
        <v>0</v>
      </c>
      <c r="N20" s="20">
        <v>1</v>
      </c>
      <c r="O20" s="20">
        <v>1</v>
      </c>
      <c r="P20" s="20">
        <v>1</v>
      </c>
      <c r="Q20" s="37" t="s">
        <v>75</v>
      </c>
      <c r="R20" s="41" t="s">
        <v>82</v>
      </c>
    </row>
    <row r="21" spans="1:18" ht="21" customHeight="1" x14ac:dyDescent="0.15">
      <c r="A21" s="10">
        <f t="shared" si="0"/>
        <v>20</v>
      </c>
      <c r="B21" s="10">
        <f t="shared" si="1"/>
        <v>20</v>
      </c>
      <c r="C21" s="16" t="s">
        <v>40</v>
      </c>
      <c r="D21" s="13">
        <v>614</v>
      </c>
      <c r="E21" s="13" t="str">
        <f>IF($C21="unit",VLOOKUP(D21,[1]characters!$A:$C,3,FALSE),VLOOKUP(D21,[2]items!$A:$G,7,FALSE))</f>
        <v>ギガ秘術の果実</v>
      </c>
      <c r="F21" s="14">
        <v>1</v>
      </c>
      <c r="G21" s="16" t="s">
        <v>71</v>
      </c>
      <c r="H21" s="20">
        <v>12</v>
      </c>
      <c r="I21" s="20">
        <v>2000</v>
      </c>
      <c r="J21" s="20">
        <v>0</v>
      </c>
      <c r="K21" s="20">
        <v>0</v>
      </c>
      <c r="L21" s="20">
        <v>0</v>
      </c>
      <c r="M21" s="20">
        <v>0</v>
      </c>
      <c r="N21" s="20">
        <v>1</v>
      </c>
      <c r="O21" s="20">
        <v>1</v>
      </c>
      <c r="P21" s="20">
        <v>1</v>
      </c>
      <c r="Q21" s="37" t="s">
        <v>75</v>
      </c>
      <c r="R21" s="41" t="s">
        <v>82</v>
      </c>
    </row>
    <row r="22" spans="1:18" ht="21" customHeight="1" x14ac:dyDescent="0.15">
      <c r="A22" s="10">
        <f t="shared" si="0"/>
        <v>21</v>
      </c>
      <c r="B22" s="10">
        <f t="shared" si="1"/>
        <v>21</v>
      </c>
      <c r="C22" s="16" t="s">
        <v>45</v>
      </c>
      <c r="D22" s="13">
        <v>1</v>
      </c>
      <c r="E22" s="13" t="str">
        <f>IF($C22="unit",VLOOKUP(D22,[1]characters!$A:$C,3,FALSE),VLOOKUP(D22,[2]items!$A:$G,7,FALSE))</f>
        <v>マスターキー</v>
      </c>
      <c r="F22" s="14">
        <v>1</v>
      </c>
      <c r="G22" s="16" t="s">
        <v>71</v>
      </c>
      <c r="H22" s="20">
        <v>12</v>
      </c>
      <c r="I22" s="20">
        <v>3000</v>
      </c>
      <c r="J22" s="20">
        <v>0</v>
      </c>
      <c r="K22" s="20">
        <v>0</v>
      </c>
      <c r="L22" s="20">
        <v>0</v>
      </c>
      <c r="M22" s="20">
        <v>0</v>
      </c>
      <c r="N22" s="20">
        <v>1</v>
      </c>
      <c r="O22" s="20">
        <v>1</v>
      </c>
      <c r="P22" s="20">
        <v>1</v>
      </c>
      <c r="Q22" s="37" t="s">
        <v>75</v>
      </c>
      <c r="R22" s="41" t="s">
        <v>82</v>
      </c>
    </row>
    <row r="23" spans="1:18" ht="21" customHeight="1" x14ac:dyDescent="0.15">
      <c r="A23" s="10">
        <f t="shared" si="0"/>
        <v>22</v>
      </c>
      <c r="B23" s="10">
        <f t="shared" si="1"/>
        <v>22</v>
      </c>
      <c r="C23" s="16" t="s">
        <v>40</v>
      </c>
      <c r="D23" s="13">
        <v>837</v>
      </c>
      <c r="E23" s="13" t="str">
        <f>IF($C23="unit",VLOOKUP(D23,[1]characters!$A:$C,3,FALSE),VLOOKUP(D23,[2]items!$A:$G,7,FALSE))</f>
        <v>リトルハンプティ</v>
      </c>
      <c r="F23" s="14">
        <v>1</v>
      </c>
      <c r="G23" s="16" t="s">
        <v>71</v>
      </c>
      <c r="H23" s="20">
        <v>12</v>
      </c>
      <c r="I23" s="20">
        <v>4000</v>
      </c>
      <c r="J23" s="20">
        <v>0</v>
      </c>
      <c r="K23" s="20">
        <v>0</v>
      </c>
      <c r="L23" s="20">
        <v>0</v>
      </c>
      <c r="M23" s="20">
        <v>0</v>
      </c>
      <c r="N23" s="20">
        <v>1</v>
      </c>
      <c r="O23" s="20">
        <v>1</v>
      </c>
      <c r="P23" s="20">
        <v>1</v>
      </c>
      <c r="Q23" s="37" t="s">
        <v>75</v>
      </c>
      <c r="R23" s="41" t="s">
        <v>82</v>
      </c>
    </row>
    <row r="24" spans="1:18" ht="21" customHeight="1" x14ac:dyDescent="0.15">
      <c r="A24" s="10">
        <f t="shared" si="0"/>
        <v>23</v>
      </c>
      <c r="B24" s="10">
        <f t="shared" si="1"/>
        <v>23</v>
      </c>
      <c r="C24" s="16" t="s">
        <v>40</v>
      </c>
      <c r="D24" s="13">
        <v>1369</v>
      </c>
      <c r="E24" s="13" t="str">
        <f>IF($C24="unit",VLOOKUP(D24,[1]characters!$A:$C,3,FALSE),VLOOKUP(D24,[2]items!$A:$G,7,FALSE))</f>
        <v>トロイア</v>
      </c>
      <c r="F24" s="14">
        <v>1</v>
      </c>
      <c r="G24" s="16" t="s">
        <v>71</v>
      </c>
      <c r="H24" s="20">
        <v>3</v>
      </c>
      <c r="I24" s="20">
        <v>65000</v>
      </c>
      <c r="J24" s="20">
        <v>0</v>
      </c>
      <c r="K24" s="20">
        <v>0</v>
      </c>
      <c r="L24" s="20">
        <v>0</v>
      </c>
      <c r="M24" s="20">
        <v>0</v>
      </c>
      <c r="N24" s="20">
        <v>1</v>
      </c>
      <c r="O24" s="20">
        <v>1</v>
      </c>
      <c r="P24" s="20">
        <v>33</v>
      </c>
      <c r="Q24" s="37" t="s">
        <v>75</v>
      </c>
      <c r="R24" s="41" t="s">
        <v>82</v>
      </c>
    </row>
    <row r="25" spans="1:18" ht="21" customHeight="1" thickBot="1" x14ac:dyDescent="0.2">
      <c r="A25" s="31">
        <f t="shared" si="0"/>
        <v>24</v>
      </c>
      <c r="B25" s="31">
        <f t="shared" si="1"/>
        <v>24</v>
      </c>
      <c r="C25" s="32" t="s">
        <v>40</v>
      </c>
      <c r="D25" s="33">
        <v>1083</v>
      </c>
      <c r="E25" s="33" t="str">
        <f>IF($C25="unit",VLOOKUP(D25,[1]characters!$A:$C,3,FALSE),VLOOKUP(D25,[2]items!$A:$G,7,FALSE))</f>
        <v>マジシャン</v>
      </c>
      <c r="F25" s="34">
        <v>1</v>
      </c>
      <c r="G25" s="32" t="s">
        <v>71</v>
      </c>
      <c r="H25" s="35">
        <v>3</v>
      </c>
      <c r="I25" s="35">
        <v>200000</v>
      </c>
      <c r="J25" s="35">
        <v>0</v>
      </c>
      <c r="K25" s="35">
        <v>0</v>
      </c>
      <c r="L25" s="35">
        <v>0</v>
      </c>
      <c r="M25" s="35">
        <v>0</v>
      </c>
      <c r="N25" s="35">
        <v>1</v>
      </c>
      <c r="O25" s="35">
        <v>1</v>
      </c>
      <c r="P25" s="35">
        <v>33</v>
      </c>
      <c r="Q25" s="38" t="s">
        <v>75</v>
      </c>
      <c r="R25" s="38" t="s">
        <v>82</v>
      </c>
    </row>
    <row r="26" spans="1:18" ht="21" customHeight="1" x14ac:dyDescent="0.15">
      <c r="A26" s="28">
        <f t="shared" si="0"/>
        <v>25</v>
      </c>
      <c r="B26" s="28">
        <f t="shared" si="1"/>
        <v>25</v>
      </c>
      <c r="C26" s="29" t="s">
        <v>39</v>
      </c>
      <c r="D26" s="18">
        <v>335</v>
      </c>
      <c r="E26" s="18" t="str">
        <f>IF($C26="unit",VLOOKUP(D26,[1]characters!$A:$C,3,FALSE),VLOOKUP(D26,[2]items!$A:$G,7,FALSE))</f>
        <v>炎のメタルジェントル</v>
      </c>
      <c r="F26" s="15">
        <v>1</v>
      </c>
      <c r="G26" s="29" t="s">
        <v>71</v>
      </c>
      <c r="H26" s="30">
        <v>50</v>
      </c>
      <c r="I26" s="30">
        <v>700</v>
      </c>
      <c r="J26" s="30">
        <v>0</v>
      </c>
      <c r="K26" s="30">
        <v>0</v>
      </c>
      <c r="L26" s="30">
        <v>0</v>
      </c>
      <c r="M26" s="30">
        <v>0</v>
      </c>
      <c r="N26" s="30">
        <v>1</v>
      </c>
      <c r="O26" s="30">
        <v>1</v>
      </c>
      <c r="P26" s="30">
        <v>1</v>
      </c>
      <c r="Q26" s="41" t="s">
        <v>76</v>
      </c>
      <c r="R26" s="41" t="s">
        <v>83</v>
      </c>
    </row>
    <row r="27" spans="1:18" ht="21" customHeight="1" x14ac:dyDescent="0.15">
      <c r="A27" s="10">
        <f t="shared" si="0"/>
        <v>26</v>
      </c>
      <c r="B27" s="10">
        <f t="shared" si="1"/>
        <v>26</v>
      </c>
      <c r="C27" s="16" t="s">
        <v>40</v>
      </c>
      <c r="D27" s="13">
        <v>339</v>
      </c>
      <c r="E27" s="13" t="str">
        <f>IF($C27="unit",VLOOKUP(D27,[1]characters!$A:$C,3,FALSE),VLOOKUP(D27,[2]items!$A:$G,7,FALSE))</f>
        <v>森のメタルジェントル</v>
      </c>
      <c r="F27" s="14">
        <v>1</v>
      </c>
      <c r="G27" s="16" t="s">
        <v>71</v>
      </c>
      <c r="H27" s="20">
        <v>50</v>
      </c>
      <c r="I27" s="20">
        <v>700</v>
      </c>
      <c r="J27" s="20">
        <v>0</v>
      </c>
      <c r="K27" s="20">
        <v>0</v>
      </c>
      <c r="L27" s="20">
        <v>0</v>
      </c>
      <c r="M27" s="20">
        <v>0</v>
      </c>
      <c r="N27" s="20">
        <v>1</v>
      </c>
      <c r="O27" s="20">
        <v>1</v>
      </c>
      <c r="P27" s="20">
        <v>1</v>
      </c>
      <c r="Q27" s="37" t="s">
        <v>76</v>
      </c>
      <c r="R27" s="37" t="s">
        <v>83</v>
      </c>
    </row>
    <row r="28" spans="1:18" ht="21" customHeight="1" x14ac:dyDescent="0.15">
      <c r="A28" s="10">
        <f t="shared" si="0"/>
        <v>27</v>
      </c>
      <c r="B28" s="10">
        <f t="shared" si="1"/>
        <v>27</v>
      </c>
      <c r="C28" s="16" t="s">
        <v>40</v>
      </c>
      <c r="D28" s="13">
        <v>343</v>
      </c>
      <c r="E28" s="13" t="str">
        <f>IF($C28="unit",VLOOKUP(D28,[1]characters!$A:$C,3,FALSE),VLOOKUP(D28,[2]items!$A:$G,7,FALSE))</f>
        <v>水のメタルジェントル</v>
      </c>
      <c r="F28" s="14">
        <v>1</v>
      </c>
      <c r="G28" s="16" t="s">
        <v>71</v>
      </c>
      <c r="H28" s="20">
        <v>50</v>
      </c>
      <c r="I28" s="20">
        <v>700</v>
      </c>
      <c r="J28" s="20">
        <v>0</v>
      </c>
      <c r="K28" s="20">
        <v>0</v>
      </c>
      <c r="L28" s="20">
        <v>0</v>
      </c>
      <c r="M28" s="20">
        <v>0</v>
      </c>
      <c r="N28" s="20">
        <v>1</v>
      </c>
      <c r="O28" s="20">
        <v>1</v>
      </c>
      <c r="P28" s="20">
        <v>1</v>
      </c>
      <c r="Q28" s="37" t="s">
        <v>76</v>
      </c>
      <c r="R28" s="37" t="s">
        <v>83</v>
      </c>
    </row>
    <row r="29" spans="1:18" ht="21" customHeight="1" x14ac:dyDescent="0.15">
      <c r="A29" s="10">
        <f t="shared" si="0"/>
        <v>28</v>
      </c>
      <c r="B29" s="10">
        <f t="shared" si="1"/>
        <v>28</v>
      </c>
      <c r="C29" s="16" t="s">
        <v>40</v>
      </c>
      <c r="D29" s="13">
        <v>347</v>
      </c>
      <c r="E29" s="13" t="str">
        <f>IF($C29="unit",VLOOKUP(D29,[1]characters!$A:$C,3,FALSE),VLOOKUP(D29,[2]items!$A:$G,7,FALSE))</f>
        <v>雷のメタルジェントル</v>
      </c>
      <c r="F29" s="14">
        <v>1</v>
      </c>
      <c r="G29" s="16" t="s">
        <v>71</v>
      </c>
      <c r="H29" s="20">
        <v>50</v>
      </c>
      <c r="I29" s="20">
        <v>700</v>
      </c>
      <c r="J29" s="20">
        <v>0</v>
      </c>
      <c r="K29" s="20">
        <v>0</v>
      </c>
      <c r="L29" s="20">
        <v>0</v>
      </c>
      <c r="M29" s="20">
        <v>0</v>
      </c>
      <c r="N29" s="20">
        <v>1</v>
      </c>
      <c r="O29" s="20">
        <v>1</v>
      </c>
      <c r="P29" s="20">
        <v>1</v>
      </c>
      <c r="Q29" s="37" t="s">
        <v>76</v>
      </c>
      <c r="R29" s="37" t="s">
        <v>83</v>
      </c>
    </row>
    <row r="30" spans="1:18" ht="21" customHeight="1" x14ac:dyDescent="0.15">
      <c r="A30" s="10">
        <f t="shared" si="0"/>
        <v>29</v>
      </c>
      <c r="B30" s="10">
        <f t="shared" si="1"/>
        <v>29</v>
      </c>
      <c r="C30" s="16" t="s">
        <v>40</v>
      </c>
      <c r="D30" s="13">
        <v>611</v>
      </c>
      <c r="E30" s="13" t="str">
        <f>IF($C30="unit",VLOOKUP(D30,[1]characters!$A:$C,3,FALSE),VLOOKUP(D30,[2]items!$A:$G,7,FALSE))</f>
        <v>ギガ攻めの果実</v>
      </c>
      <c r="F30" s="14">
        <v>1</v>
      </c>
      <c r="G30" s="16" t="s">
        <v>71</v>
      </c>
      <c r="H30" s="20">
        <v>12</v>
      </c>
      <c r="I30" s="20">
        <v>1400</v>
      </c>
      <c r="J30" s="20">
        <v>0</v>
      </c>
      <c r="K30" s="20">
        <v>0</v>
      </c>
      <c r="L30" s="20">
        <v>0</v>
      </c>
      <c r="M30" s="20">
        <v>0</v>
      </c>
      <c r="N30" s="20">
        <v>1</v>
      </c>
      <c r="O30" s="20">
        <v>1</v>
      </c>
      <c r="P30" s="20">
        <v>1</v>
      </c>
      <c r="Q30" s="37" t="s">
        <v>76</v>
      </c>
      <c r="R30" s="37" t="s">
        <v>83</v>
      </c>
    </row>
    <row r="31" spans="1:18" ht="21" customHeight="1" x14ac:dyDescent="0.15">
      <c r="A31" s="10">
        <f t="shared" si="0"/>
        <v>30</v>
      </c>
      <c r="B31" s="10">
        <f t="shared" si="1"/>
        <v>30</v>
      </c>
      <c r="C31" s="16" t="s">
        <v>40</v>
      </c>
      <c r="D31" s="13">
        <v>612</v>
      </c>
      <c r="E31" s="13" t="str">
        <f>IF($C31="unit",VLOOKUP(D31,[1]characters!$A:$C,3,FALSE),VLOOKUP(D31,[2]items!$A:$G,7,FALSE))</f>
        <v>ギガ生命の果実</v>
      </c>
      <c r="F31" s="14">
        <v>1</v>
      </c>
      <c r="G31" s="16" t="s">
        <v>71</v>
      </c>
      <c r="H31" s="20">
        <v>12</v>
      </c>
      <c r="I31" s="20">
        <v>1400</v>
      </c>
      <c r="J31" s="20">
        <v>0</v>
      </c>
      <c r="K31" s="20">
        <v>0</v>
      </c>
      <c r="L31" s="20">
        <v>0</v>
      </c>
      <c r="M31" s="20">
        <v>0</v>
      </c>
      <c r="N31" s="20">
        <v>1</v>
      </c>
      <c r="O31" s="20">
        <v>1</v>
      </c>
      <c r="P31" s="20">
        <v>1</v>
      </c>
      <c r="Q31" s="37" t="s">
        <v>76</v>
      </c>
      <c r="R31" s="37" t="s">
        <v>83</v>
      </c>
    </row>
    <row r="32" spans="1:18" ht="21" customHeight="1" x14ac:dyDescent="0.15">
      <c r="A32" s="10">
        <f t="shared" si="0"/>
        <v>31</v>
      </c>
      <c r="B32" s="10">
        <f t="shared" si="1"/>
        <v>31</v>
      </c>
      <c r="C32" s="16" t="s">
        <v>40</v>
      </c>
      <c r="D32" s="13">
        <v>613</v>
      </c>
      <c r="E32" s="13" t="str">
        <f>IF($C32="unit",VLOOKUP(D32,[1]characters!$A:$C,3,FALSE),VLOOKUP(D32,[2]items!$A:$G,7,FALSE))</f>
        <v>ギガ癒しの果実</v>
      </c>
      <c r="F32" s="14">
        <v>1</v>
      </c>
      <c r="G32" s="16" t="s">
        <v>71</v>
      </c>
      <c r="H32" s="20">
        <v>12</v>
      </c>
      <c r="I32" s="20">
        <v>1400</v>
      </c>
      <c r="J32" s="20">
        <v>0</v>
      </c>
      <c r="K32" s="20">
        <v>0</v>
      </c>
      <c r="L32" s="20">
        <v>0</v>
      </c>
      <c r="M32" s="20">
        <v>0</v>
      </c>
      <c r="N32" s="20">
        <v>1</v>
      </c>
      <c r="O32" s="20">
        <v>1</v>
      </c>
      <c r="P32" s="20">
        <v>1</v>
      </c>
      <c r="Q32" s="37" t="s">
        <v>76</v>
      </c>
      <c r="R32" s="37" t="s">
        <v>83</v>
      </c>
    </row>
    <row r="33" spans="1:18" ht="21" customHeight="1" x14ac:dyDescent="0.15">
      <c r="A33" s="10">
        <f t="shared" si="0"/>
        <v>32</v>
      </c>
      <c r="B33" s="10">
        <f t="shared" si="1"/>
        <v>32</v>
      </c>
      <c r="C33" s="16" t="s">
        <v>40</v>
      </c>
      <c r="D33" s="13">
        <v>614</v>
      </c>
      <c r="E33" s="13" t="str">
        <f>IF($C33="unit",VLOOKUP(D33,[1]characters!$A:$C,3,FALSE),VLOOKUP(D33,[2]items!$A:$G,7,FALSE))</f>
        <v>ギガ秘術の果実</v>
      </c>
      <c r="F33" s="14">
        <v>1</v>
      </c>
      <c r="G33" s="16" t="s">
        <v>71</v>
      </c>
      <c r="H33" s="20">
        <v>12</v>
      </c>
      <c r="I33" s="20">
        <v>2000</v>
      </c>
      <c r="J33" s="20">
        <v>0</v>
      </c>
      <c r="K33" s="20">
        <v>0</v>
      </c>
      <c r="L33" s="20">
        <v>0</v>
      </c>
      <c r="M33" s="20">
        <v>0</v>
      </c>
      <c r="N33" s="20">
        <v>1</v>
      </c>
      <c r="O33" s="20">
        <v>1</v>
      </c>
      <c r="P33" s="20">
        <v>1</v>
      </c>
      <c r="Q33" s="37" t="s">
        <v>76</v>
      </c>
      <c r="R33" s="37" t="s">
        <v>83</v>
      </c>
    </row>
    <row r="34" spans="1:18" ht="21" customHeight="1" x14ac:dyDescent="0.15">
      <c r="A34" s="10">
        <f t="shared" si="0"/>
        <v>33</v>
      </c>
      <c r="B34" s="10">
        <f t="shared" si="1"/>
        <v>33</v>
      </c>
      <c r="C34" s="16" t="s">
        <v>45</v>
      </c>
      <c r="D34" s="13">
        <v>1</v>
      </c>
      <c r="E34" s="13" t="str">
        <f>IF($C34="unit",VLOOKUP(D34,[1]characters!$A:$C,3,FALSE),VLOOKUP(D34,[2]items!$A:$G,7,FALSE))</f>
        <v>マスターキー</v>
      </c>
      <c r="F34" s="14">
        <v>1</v>
      </c>
      <c r="G34" s="16" t="s">
        <v>71</v>
      </c>
      <c r="H34" s="20">
        <v>12</v>
      </c>
      <c r="I34" s="20">
        <v>3000</v>
      </c>
      <c r="J34" s="20">
        <v>0</v>
      </c>
      <c r="K34" s="20">
        <v>0</v>
      </c>
      <c r="L34" s="20">
        <v>0</v>
      </c>
      <c r="M34" s="20">
        <v>0</v>
      </c>
      <c r="N34" s="20">
        <v>1</v>
      </c>
      <c r="O34" s="20">
        <v>1</v>
      </c>
      <c r="P34" s="20">
        <v>1</v>
      </c>
      <c r="Q34" s="37" t="s">
        <v>76</v>
      </c>
      <c r="R34" s="37" t="s">
        <v>83</v>
      </c>
    </row>
    <row r="35" spans="1:18" ht="21" customHeight="1" x14ac:dyDescent="0.15">
      <c r="A35" s="10">
        <f t="shared" si="0"/>
        <v>34</v>
      </c>
      <c r="B35" s="10">
        <f t="shared" si="1"/>
        <v>34</v>
      </c>
      <c r="C35" s="16" t="s">
        <v>40</v>
      </c>
      <c r="D35" s="13">
        <v>837</v>
      </c>
      <c r="E35" s="13" t="str">
        <f>IF($C35="unit",VLOOKUP(D35,[1]characters!$A:$C,3,FALSE),VLOOKUP(D35,[2]items!$A:$G,7,FALSE))</f>
        <v>リトルハンプティ</v>
      </c>
      <c r="F35" s="14">
        <v>1</v>
      </c>
      <c r="G35" s="16" t="s">
        <v>71</v>
      </c>
      <c r="H35" s="20">
        <v>12</v>
      </c>
      <c r="I35" s="20">
        <v>4000</v>
      </c>
      <c r="J35" s="20">
        <v>0</v>
      </c>
      <c r="K35" s="20">
        <v>0</v>
      </c>
      <c r="L35" s="20">
        <v>0</v>
      </c>
      <c r="M35" s="20">
        <v>0</v>
      </c>
      <c r="N35" s="20">
        <v>1</v>
      </c>
      <c r="O35" s="20">
        <v>1</v>
      </c>
      <c r="P35" s="20">
        <v>1</v>
      </c>
      <c r="Q35" s="37" t="s">
        <v>76</v>
      </c>
      <c r="R35" s="37" t="s">
        <v>83</v>
      </c>
    </row>
    <row r="36" spans="1:18" ht="21" customHeight="1" x14ac:dyDescent="0.15">
      <c r="A36" s="10">
        <f t="shared" si="0"/>
        <v>35</v>
      </c>
      <c r="B36" s="10">
        <f t="shared" si="1"/>
        <v>35</v>
      </c>
      <c r="C36" s="16" t="s">
        <v>39</v>
      </c>
      <c r="D36" s="13">
        <v>1369</v>
      </c>
      <c r="E36" s="13" t="str">
        <f>IF($C36="unit",VLOOKUP(D36,[1]characters!$A:$C,3,FALSE),VLOOKUP(D36,[2]items!$A:$G,7,FALSE))</f>
        <v>トロイア</v>
      </c>
      <c r="F36" s="14">
        <v>1</v>
      </c>
      <c r="G36" s="16" t="s">
        <v>71</v>
      </c>
      <c r="H36" s="20">
        <v>3</v>
      </c>
      <c r="I36" s="20">
        <v>65000</v>
      </c>
      <c r="J36" s="20">
        <v>0</v>
      </c>
      <c r="K36" s="20">
        <v>0</v>
      </c>
      <c r="L36" s="20">
        <v>0</v>
      </c>
      <c r="M36" s="20">
        <v>0</v>
      </c>
      <c r="N36" s="20">
        <v>1</v>
      </c>
      <c r="O36" s="20">
        <v>1</v>
      </c>
      <c r="P36" s="20">
        <v>33</v>
      </c>
      <c r="Q36" s="37" t="s">
        <v>76</v>
      </c>
      <c r="R36" s="37" t="s">
        <v>83</v>
      </c>
    </row>
    <row r="37" spans="1:18" ht="21" customHeight="1" x14ac:dyDescent="0.15">
      <c r="A37" s="10">
        <f t="shared" si="0"/>
        <v>36</v>
      </c>
      <c r="B37" s="10">
        <f t="shared" si="1"/>
        <v>36</v>
      </c>
      <c r="C37" s="16" t="s">
        <v>40</v>
      </c>
      <c r="D37" s="13">
        <v>627</v>
      </c>
      <c r="E37" s="13" t="str">
        <f>IF($C37="unit",VLOOKUP(D37,[1]characters!$A:$C,3,FALSE),VLOOKUP(D37,[2]items!$A:$G,7,FALSE))</f>
        <v>メガラニカ</v>
      </c>
      <c r="F37" s="14">
        <v>1</v>
      </c>
      <c r="G37" s="16" t="s">
        <v>71</v>
      </c>
      <c r="H37" s="20">
        <v>3</v>
      </c>
      <c r="I37" s="20">
        <v>65000</v>
      </c>
      <c r="J37" s="20">
        <v>0</v>
      </c>
      <c r="K37" s="20">
        <v>0</v>
      </c>
      <c r="L37" s="20">
        <v>0</v>
      </c>
      <c r="M37" s="20">
        <v>0</v>
      </c>
      <c r="N37" s="20">
        <v>1</v>
      </c>
      <c r="O37" s="20">
        <v>1</v>
      </c>
      <c r="P37" s="20">
        <v>33</v>
      </c>
      <c r="Q37" s="37" t="s">
        <v>76</v>
      </c>
      <c r="R37" s="37" t="s">
        <v>83</v>
      </c>
    </row>
    <row r="38" spans="1:18" ht="21" customHeight="1" x14ac:dyDescent="0.15">
      <c r="A38" s="36">
        <f t="shared" si="0"/>
        <v>37</v>
      </c>
      <c r="B38" s="36">
        <f t="shared" si="1"/>
        <v>37</v>
      </c>
      <c r="C38" s="46" t="s">
        <v>40</v>
      </c>
      <c r="D38" s="17">
        <v>1083</v>
      </c>
      <c r="E38" s="17" t="str">
        <f>IF($C38="unit",VLOOKUP(D38,[1]characters!$A:$C,3,FALSE),VLOOKUP(D38,[2]items!$A:$G,7,FALSE))</f>
        <v>マジシャン</v>
      </c>
      <c r="F38" s="47">
        <v>1</v>
      </c>
      <c r="G38" s="46" t="s">
        <v>71</v>
      </c>
      <c r="H38" s="48">
        <v>3</v>
      </c>
      <c r="I38" s="48">
        <v>200000</v>
      </c>
      <c r="J38" s="48">
        <v>0</v>
      </c>
      <c r="K38" s="48">
        <v>0</v>
      </c>
      <c r="L38" s="48">
        <v>0</v>
      </c>
      <c r="M38" s="48">
        <v>0</v>
      </c>
      <c r="N38" s="48">
        <v>1</v>
      </c>
      <c r="O38" s="48">
        <v>1</v>
      </c>
      <c r="P38" s="48">
        <v>33</v>
      </c>
      <c r="Q38" s="45" t="s">
        <v>76</v>
      </c>
      <c r="R38" s="45" t="s">
        <v>83</v>
      </c>
    </row>
    <row r="39" spans="1:18" s="49" customFormat="1" ht="21" customHeight="1" thickBot="1" x14ac:dyDescent="0.2">
      <c r="A39" s="31">
        <f t="shared" si="0"/>
        <v>38</v>
      </c>
      <c r="B39" s="31">
        <f t="shared" si="1"/>
        <v>38</v>
      </c>
      <c r="C39" s="32" t="s">
        <v>39</v>
      </c>
      <c r="D39" s="33">
        <v>629</v>
      </c>
      <c r="E39" s="33" t="str">
        <f>IF($C39="unit",VLOOKUP(D39,[1]characters!$A:$C,3,FALSE),VLOOKUP(D39,[2]items!$A:$G,7,FALSE))</f>
        <v>チャリオット</v>
      </c>
      <c r="F39" s="34">
        <v>1</v>
      </c>
      <c r="G39" s="32" t="s">
        <v>71</v>
      </c>
      <c r="H39" s="35">
        <v>3</v>
      </c>
      <c r="I39" s="35">
        <v>200000</v>
      </c>
      <c r="J39" s="35">
        <v>0</v>
      </c>
      <c r="K39" s="35">
        <v>0</v>
      </c>
      <c r="L39" s="35">
        <v>0</v>
      </c>
      <c r="M39" s="35">
        <v>0</v>
      </c>
      <c r="N39" s="35">
        <v>1</v>
      </c>
      <c r="O39" s="35">
        <v>1</v>
      </c>
      <c r="P39" s="35">
        <v>33</v>
      </c>
      <c r="Q39" s="38" t="s">
        <v>76</v>
      </c>
      <c r="R39" s="38" t="s">
        <v>83</v>
      </c>
    </row>
    <row r="40" spans="1:18" ht="21" customHeight="1" x14ac:dyDescent="0.15">
      <c r="A40" s="36">
        <f t="shared" si="0"/>
        <v>39</v>
      </c>
      <c r="B40" s="28">
        <f t="shared" si="1"/>
        <v>39</v>
      </c>
      <c r="C40" s="29" t="s">
        <v>39</v>
      </c>
      <c r="D40" s="18">
        <v>335</v>
      </c>
      <c r="E40" s="18" t="str">
        <f>IF($C40="unit",VLOOKUP(D40,[1]characters!$A:$C,3,FALSE),VLOOKUP(D40,[2]items!$A:$G,7,FALSE))</f>
        <v>炎のメタルジェントル</v>
      </c>
      <c r="F40" s="15">
        <v>1</v>
      </c>
      <c r="G40" s="29" t="s">
        <v>71</v>
      </c>
      <c r="H40" s="30">
        <v>50</v>
      </c>
      <c r="I40" s="30">
        <v>700</v>
      </c>
      <c r="J40" s="30">
        <v>0</v>
      </c>
      <c r="K40" s="30">
        <v>0</v>
      </c>
      <c r="L40" s="30">
        <v>0</v>
      </c>
      <c r="M40" s="30">
        <v>0</v>
      </c>
      <c r="N40" s="30">
        <v>1</v>
      </c>
      <c r="O40" s="30">
        <v>1</v>
      </c>
      <c r="P40" s="30">
        <v>1</v>
      </c>
      <c r="Q40" s="37" t="s">
        <v>77</v>
      </c>
      <c r="R40" s="41" t="s">
        <v>84</v>
      </c>
    </row>
    <row r="41" spans="1:18" ht="21" customHeight="1" x14ac:dyDescent="0.15">
      <c r="A41" s="10">
        <f t="shared" si="0"/>
        <v>40</v>
      </c>
      <c r="B41" s="10">
        <f t="shared" si="1"/>
        <v>40</v>
      </c>
      <c r="C41" s="16" t="s">
        <v>40</v>
      </c>
      <c r="D41" s="13">
        <v>339</v>
      </c>
      <c r="E41" s="13" t="str">
        <f>IF($C41="unit",VLOOKUP(D41,[1]characters!$A:$C,3,FALSE),VLOOKUP(D41,[2]items!$A:$G,7,FALSE))</f>
        <v>森のメタルジェントル</v>
      </c>
      <c r="F41" s="14">
        <v>1</v>
      </c>
      <c r="G41" s="16" t="s">
        <v>71</v>
      </c>
      <c r="H41" s="20">
        <v>50</v>
      </c>
      <c r="I41" s="20">
        <v>700</v>
      </c>
      <c r="J41" s="20">
        <v>0</v>
      </c>
      <c r="K41" s="20">
        <v>0</v>
      </c>
      <c r="L41" s="20">
        <v>0</v>
      </c>
      <c r="M41" s="20">
        <v>0</v>
      </c>
      <c r="N41" s="20">
        <v>1</v>
      </c>
      <c r="O41" s="20">
        <v>1</v>
      </c>
      <c r="P41" s="20">
        <v>1</v>
      </c>
      <c r="Q41" s="37" t="s">
        <v>77</v>
      </c>
      <c r="R41" s="37" t="s">
        <v>84</v>
      </c>
    </row>
    <row r="42" spans="1:18" ht="21" customHeight="1" x14ac:dyDescent="0.15">
      <c r="A42" s="10">
        <f t="shared" si="0"/>
        <v>41</v>
      </c>
      <c r="B42" s="10">
        <f t="shared" si="1"/>
        <v>41</v>
      </c>
      <c r="C42" s="16" t="s">
        <v>40</v>
      </c>
      <c r="D42" s="13">
        <v>343</v>
      </c>
      <c r="E42" s="13" t="str">
        <f>IF($C42="unit",VLOOKUP(D42,[1]characters!$A:$C,3,FALSE),VLOOKUP(D42,[2]items!$A:$G,7,FALSE))</f>
        <v>水のメタルジェントル</v>
      </c>
      <c r="F42" s="14">
        <v>1</v>
      </c>
      <c r="G42" s="16" t="s">
        <v>71</v>
      </c>
      <c r="H42" s="20">
        <v>50</v>
      </c>
      <c r="I42" s="20">
        <v>700</v>
      </c>
      <c r="J42" s="20">
        <v>0</v>
      </c>
      <c r="K42" s="20">
        <v>0</v>
      </c>
      <c r="L42" s="20">
        <v>0</v>
      </c>
      <c r="M42" s="20">
        <v>0</v>
      </c>
      <c r="N42" s="20">
        <v>1</v>
      </c>
      <c r="O42" s="20">
        <v>1</v>
      </c>
      <c r="P42" s="20">
        <v>1</v>
      </c>
      <c r="Q42" s="37" t="s">
        <v>77</v>
      </c>
      <c r="R42" s="37" t="s">
        <v>84</v>
      </c>
    </row>
    <row r="43" spans="1:18" ht="21" customHeight="1" x14ac:dyDescent="0.15">
      <c r="A43" s="10">
        <f t="shared" si="0"/>
        <v>42</v>
      </c>
      <c r="B43" s="10">
        <f t="shared" si="1"/>
        <v>42</v>
      </c>
      <c r="C43" s="16" t="s">
        <v>40</v>
      </c>
      <c r="D43" s="13">
        <v>347</v>
      </c>
      <c r="E43" s="13" t="str">
        <f>IF($C43="unit",VLOOKUP(D43,[1]characters!$A:$C,3,FALSE),VLOOKUP(D43,[2]items!$A:$G,7,FALSE))</f>
        <v>雷のメタルジェントル</v>
      </c>
      <c r="F43" s="14">
        <v>1</v>
      </c>
      <c r="G43" s="16" t="s">
        <v>71</v>
      </c>
      <c r="H43" s="20">
        <v>50</v>
      </c>
      <c r="I43" s="20">
        <v>700</v>
      </c>
      <c r="J43" s="20">
        <v>0</v>
      </c>
      <c r="K43" s="20">
        <v>0</v>
      </c>
      <c r="L43" s="20">
        <v>0</v>
      </c>
      <c r="M43" s="20">
        <v>0</v>
      </c>
      <c r="N43" s="20">
        <v>1</v>
      </c>
      <c r="O43" s="20">
        <v>1</v>
      </c>
      <c r="P43" s="20">
        <v>1</v>
      </c>
      <c r="Q43" s="37" t="s">
        <v>77</v>
      </c>
      <c r="R43" s="37" t="s">
        <v>84</v>
      </c>
    </row>
    <row r="44" spans="1:18" ht="21" customHeight="1" x14ac:dyDescent="0.15">
      <c r="A44" s="10">
        <f t="shared" si="0"/>
        <v>43</v>
      </c>
      <c r="B44" s="10">
        <f t="shared" si="1"/>
        <v>43</v>
      </c>
      <c r="C44" s="16" t="s">
        <v>40</v>
      </c>
      <c r="D44" s="13">
        <v>611</v>
      </c>
      <c r="E44" s="13" t="str">
        <f>IF($C44="unit",VLOOKUP(D44,[1]characters!$A:$C,3,FALSE),VLOOKUP(D44,[2]items!$A:$G,7,FALSE))</f>
        <v>ギガ攻めの果実</v>
      </c>
      <c r="F44" s="14">
        <v>1</v>
      </c>
      <c r="G44" s="16" t="s">
        <v>71</v>
      </c>
      <c r="H44" s="20">
        <v>12</v>
      </c>
      <c r="I44" s="20">
        <v>1400</v>
      </c>
      <c r="J44" s="20">
        <v>0</v>
      </c>
      <c r="K44" s="20">
        <v>0</v>
      </c>
      <c r="L44" s="20">
        <v>0</v>
      </c>
      <c r="M44" s="20">
        <v>0</v>
      </c>
      <c r="N44" s="20">
        <v>1</v>
      </c>
      <c r="O44" s="20">
        <v>1</v>
      </c>
      <c r="P44" s="20">
        <v>1</v>
      </c>
      <c r="Q44" s="37" t="s">
        <v>77</v>
      </c>
      <c r="R44" s="37" t="s">
        <v>84</v>
      </c>
    </row>
    <row r="45" spans="1:18" ht="21" customHeight="1" x14ac:dyDescent="0.15">
      <c r="A45" s="10">
        <f t="shared" si="0"/>
        <v>44</v>
      </c>
      <c r="B45" s="10">
        <f t="shared" si="1"/>
        <v>44</v>
      </c>
      <c r="C45" s="16" t="s">
        <v>40</v>
      </c>
      <c r="D45" s="13">
        <v>612</v>
      </c>
      <c r="E45" s="13" t="str">
        <f>IF($C45="unit",VLOOKUP(D45,[1]characters!$A:$C,3,FALSE),VLOOKUP(D45,[2]items!$A:$G,7,FALSE))</f>
        <v>ギガ生命の果実</v>
      </c>
      <c r="F45" s="14">
        <v>1</v>
      </c>
      <c r="G45" s="16" t="s">
        <v>71</v>
      </c>
      <c r="H45" s="20">
        <v>12</v>
      </c>
      <c r="I45" s="20">
        <v>1400</v>
      </c>
      <c r="J45" s="20">
        <v>0</v>
      </c>
      <c r="K45" s="20">
        <v>0</v>
      </c>
      <c r="L45" s="20">
        <v>0</v>
      </c>
      <c r="M45" s="20">
        <v>0</v>
      </c>
      <c r="N45" s="20">
        <v>1</v>
      </c>
      <c r="O45" s="20">
        <v>1</v>
      </c>
      <c r="P45" s="20">
        <v>1</v>
      </c>
      <c r="Q45" s="37" t="s">
        <v>77</v>
      </c>
      <c r="R45" s="37" t="s">
        <v>84</v>
      </c>
    </row>
    <row r="46" spans="1:18" ht="21" customHeight="1" x14ac:dyDescent="0.15">
      <c r="A46" s="10">
        <f t="shared" si="0"/>
        <v>45</v>
      </c>
      <c r="B46" s="10">
        <f t="shared" si="1"/>
        <v>45</v>
      </c>
      <c r="C46" s="16" t="s">
        <v>40</v>
      </c>
      <c r="D46" s="13">
        <v>613</v>
      </c>
      <c r="E46" s="13" t="str">
        <f>IF($C46="unit",VLOOKUP(D46,[1]characters!$A:$C,3,FALSE),VLOOKUP(D46,[2]items!$A:$G,7,FALSE))</f>
        <v>ギガ癒しの果実</v>
      </c>
      <c r="F46" s="14">
        <v>1</v>
      </c>
      <c r="G46" s="16" t="s">
        <v>71</v>
      </c>
      <c r="H46" s="20">
        <v>12</v>
      </c>
      <c r="I46" s="20">
        <v>1400</v>
      </c>
      <c r="J46" s="20">
        <v>0</v>
      </c>
      <c r="K46" s="20">
        <v>0</v>
      </c>
      <c r="L46" s="20">
        <v>0</v>
      </c>
      <c r="M46" s="20">
        <v>0</v>
      </c>
      <c r="N46" s="20">
        <v>1</v>
      </c>
      <c r="O46" s="20">
        <v>1</v>
      </c>
      <c r="P46" s="20">
        <v>1</v>
      </c>
      <c r="Q46" s="37" t="s">
        <v>77</v>
      </c>
      <c r="R46" s="37" t="s">
        <v>84</v>
      </c>
    </row>
    <row r="47" spans="1:18" ht="21" customHeight="1" x14ac:dyDescent="0.15">
      <c r="A47" s="10">
        <f t="shared" si="0"/>
        <v>46</v>
      </c>
      <c r="B47" s="10">
        <f t="shared" si="1"/>
        <v>46</v>
      </c>
      <c r="C47" s="16" t="s">
        <v>40</v>
      </c>
      <c r="D47" s="13">
        <v>614</v>
      </c>
      <c r="E47" s="13" t="str">
        <f>IF($C47="unit",VLOOKUP(D47,[1]characters!$A:$C,3,FALSE),VLOOKUP(D47,[2]items!$A:$G,7,FALSE))</f>
        <v>ギガ秘術の果実</v>
      </c>
      <c r="F47" s="14">
        <v>1</v>
      </c>
      <c r="G47" s="16" t="s">
        <v>71</v>
      </c>
      <c r="H47" s="20">
        <v>12</v>
      </c>
      <c r="I47" s="20">
        <v>2000</v>
      </c>
      <c r="J47" s="20">
        <v>0</v>
      </c>
      <c r="K47" s="20">
        <v>0</v>
      </c>
      <c r="L47" s="20">
        <v>0</v>
      </c>
      <c r="M47" s="20">
        <v>0</v>
      </c>
      <c r="N47" s="20">
        <v>1</v>
      </c>
      <c r="O47" s="20">
        <v>1</v>
      </c>
      <c r="P47" s="20">
        <v>1</v>
      </c>
      <c r="Q47" s="37" t="s">
        <v>77</v>
      </c>
      <c r="R47" s="37" t="s">
        <v>84</v>
      </c>
    </row>
    <row r="48" spans="1:18" ht="21" customHeight="1" x14ac:dyDescent="0.15">
      <c r="A48" s="10">
        <f t="shared" si="0"/>
        <v>47</v>
      </c>
      <c r="B48" s="10">
        <f t="shared" si="1"/>
        <v>47</v>
      </c>
      <c r="C48" s="16" t="s">
        <v>45</v>
      </c>
      <c r="D48" s="13">
        <v>1</v>
      </c>
      <c r="E48" s="13" t="str">
        <f>IF($C48="unit",VLOOKUP(D48,[1]characters!$A:$C,3,FALSE),VLOOKUP(D48,[2]items!$A:$G,7,FALSE))</f>
        <v>マスターキー</v>
      </c>
      <c r="F48" s="14">
        <v>1</v>
      </c>
      <c r="G48" s="16" t="s">
        <v>71</v>
      </c>
      <c r="H48" s="20">
        <v>12</v>
      </c>
      <c r="I48" s="20">
        <v>3000</v>
      </c>
      <c r="J48" s="20">
        <v>0</v>
      </c>
      <c r="K48" s="20">
        <v>0</v>
      </c>
      <c r="L48" s="20">
        <v>0</v>
      </c>
      <c r="M48" s="20">
        <v>0</v>
      </c>
      <c r="N48" s="20">
        <v>1</v>
      </c>
      <c r="O48" s="20">
        <v>1</v>
      </c>
      <c r="P48" s="20">
        <v>1</v>
      </c>
      <c r="Q48" s="37" t="s">
        <v>77</v>
      </c>
      <c r="R48" s="37" t="s">
        <v>84</v>
      </c>
    </row>
    <row r="49" spans="1:18" ht="21" customHeight="1" x14ac:dyDescent="0.15">
      <c r="A49" s="10">
        <f t="shared" si="0"/>
        <v>48</v>
      </c>
      <c r="B49" s="10">
        <f t="shared" si="1"/>
        <v>48</v>
      </c>
      <c r="C49" s="16" t="s">
        <v>40</v>
      </c>
      <c r="D49" s="13">
        <v>837</v>
      </c>
      <c r="E49" s="13" t="str">
        <f>IF($C49="unit",VLOOKUP(D49,[1]characters!$A:$C,3,FALSE),VLOOKUP(D49,[2]items!$A:$G,7,FALSE))</f>
        <v>リトルハンプティ</v>
      </c>
      <c r="F49" s="14">
        <v>1</v>
      </c>
      <c r="G49" s="16" t="s">
        <v>71</v>
      </c>
      <c r="H49" s="20">
        <v>12</v>
      </c>
      <c r="I49" s="20">
        <v>4000</v>
      </c>
      <c r="J49" s="20">
        <v>0</v>
      </c>
      <c r="K49" s="20">
        <v>0</v>
      </c>
      <c r="L49" s="20">
        <v>0</v>
      </c>
      <c r="M49" s="20">
        <v>0</v>
      </c>
      <c r="N49" s="20">
        <v>1</v>
      </c>
      <c r="O49" s="20">
        <v>1</v>
      </c>
      <c r="P49" s="20">
        <v>1</v>
      </c>
      <c r="Q49" s="37" t="s">
        <v>77</v>
      </c>
      <c r="R49" s="37" t="s">
        <v>84</v>
      </c>
    </row>
    <row r="50" spans="1:18" ht="21" customHeight="1" x14ac:dyDescent="0.15">
      <c r="A50" s="10">
        <f t="shared" si="0"/>
        <v>49</v>
      </c>
      <c r="B50" s="10">
        <f t="shared" si="1"/>
        <v>49</v>
      </c>
      <c r="C50" s="16" t="s">
        <v>40</v>
      </c>
      <c r="D50" s="13">
        <v>1369</v>
      </c>
      <c r="E50" s="13" t="str">
        <f>IF($C50="unit",VLOOKUP(D50,[1]characters!$A:$C,3,FALSE),VLOOKUP(D50,[2]items!$A:$G,7,FALSE))</f>
        <v>トロイア</v>
      </c>
      <c r="F50" s="14">
        <v>1</v>
      </c>
      <c r="G50" s="16" t="s">
        <v>71</v>
      </c>
      <c r="H50" s="20">
        <v>3</v>
      </c>
      <c r="I50" s="20">
        <v>65000</v>
      </c>
      <c r="J50" s="20">
        <v>0</v>
      </c>
      <c r="K50" s="20">
        <v>0</v>
      </c>
      <c r="L50" s="20">
        <v>0</v>
      </c>
      <c r="M50" s="20">
        <v>0</v>
      </c>
      <c r="N50" s="20">
        <v>1</v>
      </c>
      <c r="O50" s="20">
        <v>1</v>
      </c>
      <c r="P50" s="20">
        <v>33</v>
      </c>
      <c r="Q50" s="37" t="s">
        <v>77</v>
      </c>
      <c r="R50" s="37" t="s">
        <v>84</v>
      </c>
    </row>
    <row r="51" spans="1:18" ht="21" customHeight="1" x14ac:dyDescent="0.15">
      <c r="A51" s="10">
        <f t="shared" si="0"/>
        <v>50</v>
      </c>
      <c r="B51" s="10">
        <f t="shared" si="1"/>
        <v>50</v>
      </c>
      <c r="C51" s="16" t="s">
        <v>39</v>
      </c>
      <c r="D51" s="13">
        <v>627</v>
      </c>
      <c r="E51" s="13" t="str">
        <f>IF($C51="unit",VLOOKUP(D51,[1]characters!$A:$C,3,FALSE),VLOOKUP(D51,[2]items!$A:$G,7,FALSE))</f>
        <v>メガラニカ</v>
      </c>
      <c r="F51" s="14">
        <v>1</v>
      </c>
      <c r="G51" s="16" t="s">
        <v>71</v>
      </c>
      <c r="H51" s="20">
        <v>3</v>
      </c>
      <c r="I51" s="20">
        <v>65000</v>
      </c>
      <c r="J51" s="20">
        <v>0</v>
      </c>
      <c r="K51" s="20">
        <v>0</v>
      </c>
      <c r="L51" s="20">
        <v>0</v>
      </c>
      <c r="M51" s="20">
        <v>0</v>
      </c>
      <c r="N51" s="20">
        <v>1</v>
      </c>
      <c r="O51" s="20">
        <v>1</v>
      </c>
      <c r="P51" s="20">
        <v>33</v>
      </c>
      <c r="Q51" s="37" t="s">
        <v>77</v>
      </c>
      <c r="R51" s="37" t="s">
        <v>84</v>
      </c>
    </row>
    <row r="52" spans="1:18" ht="21" customHeight="1" x14ac:dyDescent="0.15">
      <c r="A52" s="10">
        <f t="shared" si="0"/>
        <v>51</v>
      </c>
      <c r="B52" s="10">
        <f t="shared" si="1"/>
        <v>51</v>
      </c>
      <c r="C52" s="16" t="s">
        <v>39</v>
      </c>
      <c r="D52" s="13">
        <v>1401</v>
      </c>
      <c r="E52" s="13" t="str">
        <f>IF($C52="unit",VLOOKUP(D52,[1]characters!$A:$C,3,FALSE),VLOOKUP(D52,[2]items!$A:$G,7,FALSE))</f>
        <v>レムリア</v>
      </c>
      <c r="F52" s="14">
        <v>1</v>
      </c>
      <c r="G52" s="16" t="s">
        <v>71</v>
      </c>
      <c r="H52" s="20">
        <v>3</v>
      </c>
      <c r="I52" s="20">
        <v>65000</v>
      </c>
      <c r="J52" s="20">
        <v>0</v>
      </c>
      <c r="K52" s="20">
        <v>0</v>
      </c>
      <c r="L52" s="20">
        <v>0</v>
      </c>
      <c r="M52" s="20">
        <v>0</v>
      </c>
      <c r="N52" s="20">
        <v>1</v>
      </c>
      <c r="O52" s="20">
        <v>1</v>
      </c>
      <c r="P52" s="20">
        <v>33</v>
      </c>
      <c r="Q52" s="37" t="s">
        <v>77</v>
      </c>
      <c r="R52" s="37" t="s">
        <v>84</v>
      </c>
    </row>
    <row r="53" spans="1:18" s="50" customFormat="1" ht="21" customHeight="1" x14ac:dyDescent="0.15">
      <c r="A53" s="28">
        <f t="shared" si="0"/>
        <v>52</v>
      </c>
      <c r="B53" s="10">
        <f t="shared" si="1"/>
        <v>52</v>
      </c>
      <c r="C53" s="16" t="s">
        <v>39</v>
      </c>
      <c r="D53" s="13">
        <v>1083</v>
      </c>
      <c r="E53" s="13" t="str">
        <f>IF($C53="unit",VLOOKUP(D53,[1]characters!$A:$C,3,FALSE),VLOOKUP(D53,[2]items!$A:$G,7,FALSE))</f>
        <v>マジシャン</v>
      </c>
      <c r="F53" s="14">
        <v>1</v>
      </c>
      <c r="G53" s="16" t="s">
        <v>71</v>
      </c>
      <c r="H53" s="20">
        <v>3</v>
      </c>
      <c r="I53" s="20">
        <v>200000</v>
      </c>
      <c r="J53" s="20">
        <v>0</v>
      </c>
      <c r="K53" s="20">
        <v>0</v>
      </c>
      <c r="L53" s="20">
        <v>0</v>
      </c>
      <c r="M53" s="20">
        <v>0</v>
      </c>
      <c r="N53" s="20">
        <v>1</v>
      </c>
      <c r="O53" s="20">
        <v>1</v>
      </c>
      <c r="P53" s="20">
        <v>33</v>
      </c>
      <c r="Q53" s="37" t="s">
        <v>77</v>
      </c>
      <c r="R53" s="37" t="s">
        <v>84</v>
      </c>
    </row>
    <row r="54" spans="1:18" ht="21" customHeight="1" x14ac:dyDescent="0.15">
      <c r="A54" s="43">
        <f t="shared" si="0"/>
        <v>53</v>
      </c>
      <c r="B54" s="43">
        <f t="shared" si="1"/>
        <v>53</v>
      </c>
      <c r="C54" s="51" t="s">
        <v>40</v>
      </c>
      <c r="D54" s="52">
        <v>629</v>
      </c>
      <c r="E54" s="52" t="str">
        <f>IF($C54="unit",VLOOKUP(D54,[1]characters!$A:$C,3,FALSE),VLOOKUP(D54,[2]items!$A:$G,7,FALSE))</f>
        <v>チャリオット</v>
      </c>
      <c r="F54" s="53">
        <v>1</v>
      </c>
      <c r="G54" s="51" t="s">
        <v>71</v>
      </c>
      <c r="H54" s="54">
        <v>3</v>
      </c>
      <c r="I54" s="54">
        <v>200000</v>
      </c>
      <c r="J54" s="54">
        <v>0</v>
      </c>
      <c r="K54" s="54">
        <v>0</v>
      </c>
      <c r="L54" s="54">
        <v>0</v>
      </c>
      <c r="M54" s="54">
        <v>0</v>
      </c>
      <c r="N54" s="54">
        <v>1</v>
      </c>
      <c r="O54" s="54">
        <v>1</v>
      </c>
      <c r="P54" s="54">
        <v>33</v>
      </c>
      <c r="Q54" s="42" t="s">
        <v>77</v>
      </c>
      <c r="R54" s="42" t="s">
        <v>84</v>
      </c>
    </row>
    <row r="55" spans="1:18" s="49" customFormat="1" ht="21" customHeight="1" thickBot="1" x14ac:dyDescent="0.2">
      <c r="A55" s="31">
        <f t="shared" si="0"/>
        <v>54</v>
      </c>
      <c r="B55" s="31">
        <f t="shared" si="1"/>
        <v>54</v>
      </c>
      <c r="C55" s="32" t="s">
        <v>39</v>
      </c>
      <c r="D55" s="33">
        <v>1399</v>
      </c>
      <c r="E55" s="33" t="str">
        <f>IF($C55="unit",VLOOKUP(D55,[1]characters!$A:$C,3,FALSE),VLOOKUP(D55,[2]items!$A:$G,7,FALSE))</f>
        <v>ラヴァーズ</v>
      </c>
      <c r="F55" s="34">
        <v>1</v>
      </c>
      <c r="G55" s="32" t="s">
        <v>71</v>
      </c>
      <c r="H55" s="35">
        <v>3</v>
      </c>
      <c r="I55" s="35">
        <v>200000</v>
      </c>
      <c r="J55" s="35">
        <v>0</v>
      </c>
      <c r="K55" s="35">
        <v>0</v>
      </c>
      <c r="L55" s="35">
        <v>0</v>
      </c>
      <c r="M55" s="35">
        <v>0</v>
      </c>
      <c r="N55" s="35">
        <v>1</v>
      </c>
      <c r="O55" s="35">
        <v>1</v>
      </c>
      <c r="P55" s="35">
        <v>33</v>
      </c>
      <c r="Q55" s="38" t="s">
        <v>77</v>
      </c>
      <c r="R55" s="38" t="s">
        <v>84</v>
      </c>
    </row>
    <row r="56" spans="1:18" ht="21" customHeight="1" x14ac:dyDescent="0.15">
      <c r="A56" s="36">
        <f t="shared" si="0"/>
        <v>55</v>
      </c>
      <c r="B56" s="43">
        <f t="shared" si="1"/>
        <v>55</v>
      </c>
      <c r="C56" s="29" t="s">
        <v>39</v>
      </c>
      <c r="D56" s="18">
        <v>335</v>
      </c>
      <c r="E56" s="18" t="str">
        <f>IF($C56="unit",VLOOKUP(D56,[1]characters!$A:$C,3,FALSE),VLOOKUP(D56,[2]items!$A:$G,7,FALSE))</f>
        <v>炎のメタルジェントル</v>
      </c>
      <c r="F56" s="15">
        <v>1</v>
      </c>
      <c r="G56" s="29" t="s">
        <v>71</v>
      </c>
      <c r="H56" s="30">
        <v>50</v>
      </c>
      <c r="I56" s="30">
        <v>700</v>
      </c>
      <c r="J56" s="30">
        <v>0</v>
      </c>
      <c r="K56" s="30">
        <v>0</v>
      </c>
      <c r="L56" s="30">
        <v>0</v>
      </c>
      <c r="M56" s="30">
        <v>0</v>
      </c>
      <c r="N56" s="30">
        <v>1</v>
      </c>
      <c r="O56" s="30">
        <v>1</v>
      </c>
      <c r="P56" s="30">
        <v>1</v>
      </c>
      <c r="Q56" s="37" t="s">
        <v>78</v>
      </c>
      <c r="R56" s="41" t="s">
        <v>85</v>
      </c>
    </row>
    <row r="57" spans="1:18" ht="21" customHeight="1" x14ac:dyDescent="0.15">
      <c r="A57" s="10">
        <f t="shared" si="0"/>
        <v>56</v>
      </c>
      <c r="B57" s="10">
        <f t="shared" si="1"/>
        <v>56</v>
      </c>
      <c r="C57" s="16" t="s">
        <v>40</v>
      </c>
      <c r="D57" s="13">
        <v>339</v>
      </c>
      <c r="E57" s="13" t="str">
        <f>IF($C57="unit",VLOOKUP(D57,[1]characters!$A:$C,3,FALSE),VLOOKUP(D57,[2]items!$A:$G,7,FALSE))</f>
        <v>森のメタルジェントル</v>
      </c>
      <c r="F57" s="14">
        <v>1</v>
      </c>
      <c r="G57" s="16" t="s">
        <v>71</v>
      </c>
      <c r="H57" s="20">
        <v>50</v>
      </c>
      <c r="I57" s="20">
        <v>700</v>
      </c>
      <c r="J57" s="20">
        <v>0</v>
      </c>
      <c r="K57" s="20">
        <v>0</v>
      </c>
      <c r="L57" s="20">
        <v>0</v>
      </c>
      <c r="M57" s="20">
        <v>0</v>
      </c>
      <c r="N57" s="20">
        <v>1</v>
      </c>
      <c r="O57" s="20">
        <v>1</v>
      </c>
      <c r="P57" s="20">
        <v>1</v>
      </c>
      <c r="Q57" s="37" t="s">
        <v>78</v>
      </c>
      <c r="R57" s="37" t="s">
        <v>85</v>
      </c>
    </row>
    <row r="58" spans="1:18" ht="21" customHeight="1" x14ac:dyDescent="0.15">
      <c r="A58" s="10">
        <f t="shared" si="0"/>
        <v>57</v>
      </c>
      <c r="B58" s="10">
        <f t="shared" si="1"/>
        <v>57</v>
      </c>
      <c r="C58" s="16" t="s">
        <v>40</v>
      </c>
      <c r="D58" s="13">
        <v>343</v>
      </c>
      <c r="E58" s="13" t="str">
        <f>IF($C58="unit",VLOOKUP(D58,[1]characters!$A:$C,3,FALSE),VLOOKUP(D58,[2]items!$A:$G,7,FALSE))</f>
        <v>水のメタルジェントル</v>
      </c>
      <c r="F58" s="14">
        <v>1</v>
      </c>
      <c r="G58" s="16" t="s">
        <v>71</v>
      </c>
      <c r="H58" s="20">
        <v>50</v>
      </c>
      <c r="I58" s="20">
        <v>700</v>
      </c>
      <c r="J58" s="20">
        <v>0</v>
      </c>
      <c r="K58" s="20">
        <v>0</v>
      </c>
      <c r="L58" s="20">
        <v>0</v>
      </c>
      <c r="M58" s="20">
        <v>0</v>
      </c>
      <c r="N58" s="20">
        <v>1</v>
      </c>
      <c r="O58" s="20">
        <v>1</v>
      </c>
      <c r="P58" s="20">
        <v>1</v>
      </c>
      <c r="Q58" s="37" t="s">
        <v>78</v>
      </c>
      <c r="R58" s="37" t="s">
        <v>85</v>
      </c>
    </row>
    <row r="59" spans="1:18" ht="21" customHeight="1" x14ac:dyDescent="0.15">
      <c r="A59" s="10">
        <f t="shared" si="0"/>
        <v>58</v>
      </c>
      <c r="B59" s="10">
        <f t="shared" si="1"/>
        <v>58</v>
      </c>
      <c r="C59" s="16" t="s">
        <v>40</v>
      </c>
      <c r="D59" s="13">
        <v>347</v>
      </c>
      <c r="E59" s="13" t="str">
        <f>IF($C59="unit",VLOOKUP(D59,[1]characters!$A:$C,3,FALSE),VLOOKUP(D59,[2]items!$A:$G,7,FALSE))</f>
        <v>雷のメタルジェントル</v>
      </c>
      <c r="F59" s="14">
        <v>1</v>
      </c>
      <c r="G59" s="16" t="s">
        <v>71</v>
      </c>
      <c r="H59" s="20">
        <v>50</v>
      </c>
      <c r="I59" s="20">
        <v>700</v>
      </c>
      <c r="J59" s="20">
        <v>0</v>
      </c>
      <c r="K59" s="20">
        <v>0</v>
      </c>
      <c r="L59" s="20">
        <v>0</v>
      </c>
      <c r="M59" s="20">
        <v>0</v>
      </c>
      <c r="N59" s="20">
        <v>1</v>
      </c>
      <c r="O59" s="20">
        <v>1</v>
      </c>
      <c r="P59" s="20">
        <v>1</v>
      </c>
      <c r="Q59" s="37" t="s">
        <v>78</v>
      </c>
      <c r="R59" s="37" t="s">
        <v>85</v>
      </c>
    </row>
    <row r="60" spans="1:18" ht="21" customHeight="1" x14ac:dyDescent="0.15">
      <c r="A60" s="10">
        <f t="shared" si="0"/>
        <v>59</v>
      </c>
      <c r="B60" s="10">
        <f t="shared" si="1"/>
        <v>59</v>
      </c>
      <c r="C60" s="16" t="s">
        <v>40</v>
      </c>
      <c r="D60" s="13">
        <v>611</v>
      </c>
      <c r="E60" s="13" t="str">
        <f>IF($C60="unit",VLOOKUP(D60,[1]characters!$A:$C,3,FALSE),VLOOKUP(D60,[2]items!$A:$G,7,FALSE))</f>
        <v>ギガ攻めの果実</v>
      </c>
      <c r="F60" s="14">
        <v>1</v>
      </c>
      <c r="G60" s="16" t="s">
        <v>71</v>
      </c>
      <c r="H60" s="20">
        <v>12</v>
      </c>
      <c r="I60" s="20">
        <v>1400</v>
      </c>
      <c r="J60" s="20">
        <v>0</v>
      </c>
      <c r="K60" s="20">
        <v>0</v>
      </c>
      <c r="L60" s="20">
        <v>0</v>
      </c>
      <c r="M60" s="20">
        <v>0</v>
      </c>
      <c r="N60" s="20">
        <v>1</v>
      </c>
      <c r="O60" s="20">
        <v>1</v>
      </c>
      <c r="P60" s="20">
        <v>1</v>
      </c>
      <c r="Q60" s="37" t="s">
        <v>78</v>
      </c>
      <c r="R60" s="37" t="s">
        <v>85</v>
      </c>
    </row>
    <row r="61" spans="1:18" ht="21" customHeight="1" x14ac:dyDescent="0.15">
      <c r="A61" s="10">
        <f t="shared" si="0"/>
        <v>60</v>
      </c>
      <c r="B61" s="10">
        <f t="shared" si="1"/>
        <v>60</v>
      </c>
      <c r="C61" s="16" t="s">
        <v>40</v>
      </c>
      <c r="D61" s="13">
        <v>612</v>
      </c>
      <c r="E61" s="13" t="str">
        <f>IF($C61="unit",VLOOKUP(D61,[1]characters!$A:$C,3,FALSE),VLOOKUP(D61,[2]items!$A:$G,7,FALSE))</f>
        <v>ギガ生命の果実</v>
      </c>
      <c r="F61" s="14">
        <v>1</v>
      </c>
      <c r="G61" s="16" t="s">
        <v>71</v>
      </c>
      <c r="H61" s="20">
        <v>12</v>
      </c>
      <c r="I61" s="20">
        <v>1400</v>
      </c>
      <c r="J61" s="20">
        <v>0</v>
      </c>
      <c r="K61" s="20">
        <v>0</v>
      </c>
      <c r="L61" s="20">
        <v>0</v>
      </c>
      <c r="M61" s="20">
        <v>0</v>
      </c>
      <c r="N61" s="20">
        <v>1</v>
      </c>
      <c r="O61" s="20">
        <v>1</v>
      </c>
      <c r="P61" s="20">
        <v>1</v>
      </c>
      <c r="Q61" s="37" t="s">
        <v>78</v>
      </c>
      <c r="R61" s="37" t="s">
        <v>85</v>
      </c>
    </row>
    <row r="62" spans="1:18" ht="21" customHeight="1" x14ac:dyDescent="0.15">
      <c r="A62" s="10">
        <f t="shared" si="0"/>
        <v>61</v>
      </c>
      <c r="B62" s="10">
        <f t="shared" si="1"/>
        <v>61</v>
      </c>
      <c r="C62" s="16" t="s">
        <v>40</v>
      </c>
      <c r="D62" s="13">
        <v>613</v>
      </c>
      <c r="E62" s="13" t="str">
        <f>IF($C62="unit",VLOOKUP(D62,[1]characters!$A:$C,3,FALSE),VLOOKUP(D62,[2]items!$A:$G,7,FALSE))</f>
        <v>ギガ癒しの果実</v>
      </c>
      <c r="F62" s="14">
        <v>1</v>
      </c>
      <c r="G62" s="16" t="s">
        <v>71</v>
      </c>
      <c r="H62" s="20">
        <v>12</v>
      </c>
      <c r="I62" s="20">
        <v>1400</v>
      </c>
      <c r="J62" s="20">
        <v>0</v>
      </c>
      <c r="K62" s="20">
        <v>0</v>
      </c>
      <c r="L62" s="20">
        <v>0</v>
      </c>
      <c r="M62" s="20">
        <v>0</v>
      </c>
      <c r="N62" s="20">
        <v>1</v>
      </c>
      <c r="O62" s="20">
        <v>1</v>
      </c>
      <c r="P62" s="20">
        <v>1</v>
      </c>
      <c r="Q62" s="37" t="s">
        <v>78</v>
      </c>
      <c r="R62" s="37" t="s">
        <v>85</v>
      </c>
    </row>
    <row r="63" spans="1:18" ht="21" customHeight="1" x14ac:dyDescent="0.15">
      <c r="A63" s="10">
        <f t="shared" si="0"/>
        <v>62</v>
      </c>
      <c r="B63" s="10">
        <f t="shared" si="1"/>
        <v>62</v>
      </c>
      <c r="C63" s="16" t="s">
        <v>40</v>
      </c>
      <c r="D63" s="13">
        <v>614</v>
      </c>
      <c r="E63" s="13" t="str">
        <f>IF($C63="unit",VLOOKUP(D63,[1]characters!$A:$C,3,FALSE),VLOOKUP(D63,[2]items!$A:$G,7,FALSE))</f>
        <v>ギガ秘術の果実</v>
      </c>
      <c r="F63" s="14">
        <v>1</v>
      </c>
      <c r="G63" s="16" t="s">
        <v>71</v>
      </c>
      <c r="H63" s="20">
        <v>12</v>
      </c>
      <c r="I63" s="20">
        <v>2000</v>
      </c>
      <c r="J63" s="20">
        <v>0</v>
      </c>
      <c r="K63" s="20">
        <v>0</v>
      </c>
      <c r="L63" s="20">
        <v>0</v>
      </c>
      <c r="M63" s="20">
        <v>0</v>
      </c>
      <c r="N63" s="20">
        <v>1</v>
      </c>
      <c r="O63" s="20">
        <v>1</v>
      </c>
      <c r="P63" s="20">
        <v>1</v>
      </c>
      <c r="Q63" s="37" t="s">
        <v>78</v>
      </c>
      <c r="R63" s="37" t="s">
        <v>85</v>
      </c>
    </row>
    <row r="64" spans="1:18" ht="21" customHeight="1" x14ac:dyDescent="0.15">
      <c r="A64" s="10">
        <f t="shared" si="0"/>
        <v>63</v>
      </c>
      <c r="B64" s="10">
        <f t="shared" si="1"/>
        <v>63</v>
      </c>
      <c r="C64" s="16" t="s">
        <v>45</v>
      </c>
      <c r="D64" s="13">
        <v>1</v>
      </c>
      <c r="E64" s="13" t="str">
        <f>IF($C64="unit",VLOOKUP(D64,[1]characters!$A:$C,3,FALSE),VLOOKUP(D64,[2]items!$A:$G,7,FALSE))</f>
        <v>マスターキー</v>
      </c>
      <c r="F64" s="14">
        <v>1</v>
      </c>
      <c r="G64" s="16" t="s">
        <v>71</v>
      </c>
      <c r="H64" s="20">
        <v>12</v>
      </c>
      <c r="I64" s="20">
        <v>3000</v>
      </c>
      <c r="J64" s="20">
        <v>0</v>
      </c>
      <c r="K64" s="20">
        <v>0</v>
      </c>
      <c r="L64" s="20">
        <v>0</v>
      </c>
      <c r="M64" s="20">
        <v>0</v>
      </c>
      <c r="N64" s="20">
        <v>1</v>
      </c>
      <c r="O64" s="20">
        <v>1</v>
      </c>
      <c r="P64" s="20">
        <v>1</v>
      </c>
      <c r="Q64" s="37" t="s">
        <v>78</v>
      </c>
      <c r="R64" s="37" t="s">
        <v>85</v>
      </c>
    </row>
    <row r="65" spans="1:18" ht="21" customHeight="1" x14ac:dyDescent="0.15">
      <c r="A65" s="10">
        <f t="shared" si="0"/>
        <v>64</v>
      </c>
      <c r="B65" s="10">
        <f t="shared" si="1"/>
        <v>64</v>
      </c>
      <c r="C65" s="16" t="s">
        <v>40</v>
      </c>
      <c r="D65" s="13">
        <v>837</v>
      </c>
      <c r="E65" s="13" t="str">
        <f>IF($C65="unit",VLOOKUP(D65,[1]characters!$A:$C,3,FALSE),VLOOKUP(D65,[2]items!$A:$G,7,FALSE))</f>
        <v>リトルハンプティ</v>
      </c>
      <c r="F65" s="14">
        <v>1</v>
      </c>
      <c r="G65" s="16" t="s">
        <v>71</v>
      </c>
      <c r="H65" s="20">
        <v>12</v>
      </c>
      <c r="I65" s="20">
        <v>4000</v>
      </c>
      <c r="J65" s="20">
        <v>0</v>
      </c>
      <c r="K65" s="20">
        <v>0</v>
      </c>
      <c r="L65" s="20">
        <v>0</v>
      </c>
      <c r="M65" s="20">
        <v>0</v>
      </c>
      <c r="N65" s="20">
        <v>1</v>
      </c>
      <c r="O65" s="20">
        <v>1</v>
      </c>
      <c r="P65" s="20">
        <v>1</v>
      </c>
      <c r="Q65" s="37" t="s">
        <v>78</v>
      </c>
      <c r="R65" s="37" t="s">
        <v>85</v>
      </c>
    </row>
    <row r="66" spans="1:18" ht="21" customHeight="1" x14ac:dyDescent="0.15">
      <c r="A66" s="10">
        <f t="shared" si="0"/>
        <v>65</v>
      </c>
      <c r="B66" s="10">
        <f t="shared" si="1"/>
        <v>65</v>
      </c>
      <c r="C66" s="16" t="s">
        <v>39</v>
      </c>
      <c r="D66" s="13">
        <v>1369</v>
      </c>
      <c r="E66" s="13" t="str">
        <f>IF($C66="unit",VLOOKUP(D66,[1]characters!$A:$C,3,FALSE),VLOOKUP(D66,[2]items!$A:$G,7,FALSE))</f>
        <v>トロイア</v>
      </c>
      <c r="F66" s="14">
        <v>1</v>
      </c>
      <c r="G66" s="16" t="s">
        <v>71</v>
      </c>
      <c r="H66" s="20">
        <v>3</v>
      </c>
      <c r="I66" s="20">
        <v>65000</v>
      </c>
      <c r="J66" s="20">
        <v>0</v>
      </c>
      <c r="K66" s="20">
        <v>0</v>
      </c>
      <c r="L66" s="20">
        <v>0</v>
      </c>
      <c r="M66" s="20">
        <v>0</v>
      </c>
      <c r="N66" s="20">
        <v>1</v>
      </c>
      <c r="O66" s="20">
        <v>1</v>
      </c>
      <c r="P66" s="20">
        <v>33</v>
      </c>
      <c r="Q66" s="37" t="s">
        <v>78</v>
      </c>
      <c r="R66" s="37" t="s">
        <v>85</v>
      </c>
    </row>
    <row r="67" spans="1:18" ht="21" customHeight="1" x14ac:dyDescent="0.15">
      <c r="A67" s="10">
        <f t="shared" si="0"/>
        <v>66</v>
      </c>
      <c r="B67" s="10">
        <f t="shared" si="1"/>
        <v>66</v>
      </c>
      <c r="C67" s="16" t="s">
        <v>39</v>
      </c>
      <c r="D67" s="13">
        <v>627</v>
      </c>
      <c r="E67" s="13" t="str">
        <f>IF($C67="unit",VLOOKUP(D67,[1]characters!$A:$C,3,FALSE),VLOOKUP(D67,[2]items!$A:$G,7,FALSE))</f>
        <v>メガラニカ</v>
      </c>
      <c r="F67" s="14">
        <v>1</v>
      </c>
      <c r="G67" s="16" t="s">
        <v>71</v>
      </c>
      <c r="H67" s="20">
        <v>3</v>
      </c>
      <c r="I67" s="20">
        <v>65000</v>
      </c>
      <c r="J67" s="20">
        <v>0</v>
      </c>
      <c r="K67" s="20">
        <v>0</v>
      </c>
      <c r="L67" s="20">
        <v>0</v>
      </c>
      <c r="M67" s="20">
        <v>0</v>
      </c>
      <c r="N67" s="20">
        <v>1</v>
      </c>
      <c r="O67" s="20">
        <v>1</v>
      </c>
      <c r="P67" s="20">
        <v>33</v>
      </c>
      <c r="Q67" s="37" t="s">
        <v>78</v>
      </c>
      <c r="R67" s="37" t="s">
        <v>85</v>
      </c>
    </row>
    <row r="68" spans="1:18" ht="21" customHeight="1" x14ac:dyDescent="0.15">
      <c r="A68" s="10">
        <f t="shared" si="0"/>
        <v>67</v>
      </c>
      <c r="B68" s="10">
        <f t="shared" si="1"/>
        <v>67</v>
      </c>
      <c r="C68" s="16" t="s">
        <v>39</v>
      </c>
      <c r="D68" s="13">
        <v>1401</v>
      </c>
      <c r="E68" s="13" t="str">
        <f>IF($C68="unit",VLOOKUP(D68,[1]characters!$A:$C,3,FALSE),VLOOKUP(D68,[2]items!$A:$G,7,FALSE))</f>
        <v>レムリア</v>
      </c>
      <c r="F68" s="14">
        <v>1</v>
      </c>
      <c r="G68" s="16" t="s">
        <v>71</v>
      </c>
      <c r="H68" s="20">
        <v>3</v>
      </c>
      <c r="I68" s="20">
        <v>65000</v>
      </c>
      <c r="J68" s="20">
        <v>0</v>
      </c>
      <c r="K68" s="20">
        <v>0</v>
      </c>
      <c r="L68" s="20">
        <v>0</v>
      </c>
      <c r="M68" s="20">
        <v>0</v>
      </c>
      <c r="N68" s="20">
        <v>1</v>
      </c>
      <c r="O68" s="20">
        <v>1</v>
      </c>
      <c r="P68" s="20">
        <v>33</v>
      </c>
      <c r="Q68" s="37" t="s">
        <v>78</v>
      </c>
      <c r="R68" s="37" t="s">
        <v>85</v>
      </c>
    </row>
    <row r="69" spans="1:18" ht="21" customHeight="1" x14ac:dyDescent="0.15">
      <c r="A69" s="10">
        <f t="shared" si="0"/>
        <v>68</v>
      </c>
      <c r="B69" s="10">
        <f t="shared" si="1"/>
        <v>68</v>
      </c>
      <c r="C69" s="16" t="s">
        <v>39</v>
      </c>
      <c r="D69" s="13">
        <v>1456</v>
      </c>
      <c r="E69" s="13" t="s">
        <v>91</v>
      </c>
      <c r="F69" s="14">
        <v>1</v>
      </c>
      <c r="G69" s="16" t="s">
        <v>71</v>
      </c>
      <c r="H69" s="20">
        <v>3</v>
      </c>
      <c r="I69" s="20">
        <v>65000</v>
      </c>
      <c r="J69" s="20">
        <v>0</v>
      </c>
      <c r="K69" s="20">
        <v>0</v>
      </c>
      <c r="L69" s="20">
        <v>0</v>
      </c>
      <c r="M69" s="20">
        <v>0</v>
      </c>
      <c r="N69" s="20">
        <v>1</v>
      </c>
      <c r="O69" s="20">
        <v>1</v>
      </c>
      <c r="P69" s="20">
        <v>33</v>
      </c>
      <c r="Q69" s="37" t="s">
        <v>78</v>
      </c>
      <c r="R69" s="37" t="s">
        <v>85</v>
      </c>
    </row>
    <row r="70" spans="1:18" ht="21" customHeight="1" x14ac:dyDescent="0.15">
      <c r="A70" s="10">
        <f t="shared" si="0"/>
        <v>69</v>
      </c>
      <c r="B70" s="10">
        <f t="shared" si="1"/>
        <v>69</v>
      </c>
      <c r="C70" s="16" t="s">
        <v>39</v>
      </c>
      <c r="D70" s="13">
        <v>1083</v>
      </c>
      <c r="E70" s="13" t="str">
        <f>IF($C70="unit",VLOOKUP(D70,[1]characters!$A:$C,3,FALSE),VLOOKUP(D70,[2]items!$A:$G,7,FALSE))</f>
        <v>マジシャン</v>
      </c>
      <c r="F70" s="14">
        <v>1</v>
      </c>
      <c r="G70" s="16" t="s">
        <v>71</v>
      </c>
      <c r="H70" s="20">
        <v>3</v>
      </c>
      <c r="I70" s="20">
        <v>200000</v>
      </c>
      <c r="J70" s="20">
        <v>0</v>
      </c>
      <c r="K70" s="20">
        <v>0</v>
      </c>
      <c r="L70" s="20">
        <v>0</v>
      </c>
      <c r="M70" s="20">
        <v>0</v>
      </c>
      <c r="N70" s="20">
        <v>1</v>
      </c>
      <c r="O70" s="20">
        <v>1</v>
      </c>
      <c r="P70" s="20">
        <v>33</v>
      </c>
      <c r="Q70" s="37" t="s">
        <v>78</v>
      </c>
      <c r="R70" s="37" t="s">
        <v>85</v>
      </c>
    </row>
    <row r="71" spans="1:18" ht="21" customHeight="1" x14ac:dyDescent="0.15">
      <c r="A71" s="10">
        <f t="shared" si="0"/>
        <v>70</v>
      </c>
      <c r="B71" s="10">
        <f t="shared" si="1"/>
        <v>70</v>
      </c>
      <c r="C71" s="51" t="s">
        <v>39</v>
      </c>
      <c r="D71" s="52">
        <v>629</v>
      </c>
      <c r="E71" s="52" t="str">
        <f>IF($C71="unit",VLOOKUP(D71,[1]characters!$A:$C,3,FALSE),VLOOKUP(D71,[2]items!$A:$G,7,FALSE))</f>
        <v>チャリオット</v>
      </c>
      <c r="F71" s="53">
        <v>1</v>
      </c>
      <c r="G71" s="51" t="s">
        <v>71</v>
      </c>
      <c r="H71" s="54">
        <v>3</v>
      </c>
      <c r="I71" s="54">
        <v>200000</v>
      </c>
      <c r="J71" s="54">
        <v>0</v>
      </c>
      <c r="K71" s="54">
        <v>0</v>
      </c>
      <c r="L71" s="54">
        <v>0</v>
      </c>
      <c r="M71" s="54">
        <v>0</v>
      </c>
      <c r="N71" s="54">
        <v>1</v>
      </c>
      <c r="O71" s="54">
        <v>1</v>
      </c>
      <c r="P71" s="54">
        <v>33</v>
      </c>
      <c r="Q71" s="37" t="s">
        <v>78</v>
      </c>
      <c r="R71" s="37" t="s">
        <v>85</v>
      </c>
    </row>
    <row r="72" spans="1:18" ht="21" customHeight="1" x14ac:dyDescent="0.15">
      <c r="A72" s="36">
        <f t="shared" si="0"/>
        <v>71</v>
      </c>
      <c r="B72" s="36">
        <f t="shared" si="1"/>
        <v>71</v>
      </c>
      <c r="C72" s="46" t="s">
        <v>39</v>
      </c>
      <c r="D72" s="17">
        <v>1399</v>
      </c>
      <c r="E72" s="17" t="str">
        <f>IF($C72="unit",VLOOKUP(D72,[1]characters!$A:$C,3,FALSE),VLOOKUP(D72,[2]items!$A:$G,7,FALSE))</f>
        <v>ラヴァーズ</v>
      </c>
      <c r="F72" s="47">
        <v>1</v>
      </c>
      <c r="G72" s="46" t="s">
        <v>71</v>
      </c>
      <c r="H72" s="48">
        <v>3</v>
      </c>
      <c r="I72" s="48">
        <v>200000</v>
      </c>
      <c r="J72" s="48">
        <v>0</v>
      </c>
      <c r="K72" s="48">
        <v>0</v>
      </c>
      <c r="L72" s="48">
        <v>0</v>
      </c>
      <c r="M72" s="48">
        <v>0</v>
      </c>
      <c r="N72" s="48">
        <v>1</v>
      </c>
      <c r="O72" s="48">
        <v>1</v>
      </c>
      <c r="P72" s="48">
        <v>33</v>
      </c>
      <c r="Q72" s="37" t="s">
        <v>78</v>
      </c>
      <c r="R72" s="37" t="s">
        <v>85</v>
      </c>
    </row>
    <row r="73" spans="1:18" ht="21" customHeight="1" thickBot="1" x14ac:dyDescent="0.2">
      <c r="A73" s="31">
        <f t="shared" si="0"/>
        <v>72</v>
      </c>
      <c r="B73" s="31">
        <f t="shared" si="1"/>
        <v>72</v>
      </c>
      <c r="C73" s="32" t="s">
        <v>39</v>
      </c>
      <c r="D73" s="33">
        <v>1454</v>
      </c>
      <c r="E73" s="33" t="str">
        <f>IF($C73="unit",VLOOKUP(D73,[1]characters!$A:$C,3,FALSE),VLOOKUP(D73,[2]items!$A:$G,7,FALSE))</f>
        <v>ストレングス</v>
      </c>
      <c r="F73" s="34">
        <v>1</v>
      </c>
      <c r="G73" s="32" t="s">
        <v>71</v>
      </c>
      <c r="H73" s="35">
        <v>3</v>
      </c>
      <c r="I73" s="35">
        <v>200000</v>
      </c>
      <c r="J73" s="35">
        <v>0</v>
      </c>
      <c r="K73" s="35">
        <v>0</v>
      </c>
      <c r="L73" s="35">
        <v>0</v>
      </c>
      <c r="M73" s="35">
        <v>0</v>
      </c>
      <c r="N73" s="35">
        <v>1</v>
      </c>
      <c r="O73" s="35">
        <v>1</v>
      </c>
      <c r="P73" s="35">
        <v>33</v>
      </c>
      <c r="Q73" s="45" t="s">
        <v>78</v>
      </c>
      <c r="R73" s="45" t="s">
        <v>85</v>
      </c>
    </row>
    <row r="74" spans="1:18" ht="21" customHeight="1" x14ac:dyDescent="0.15">
      <c r="A74" s="28">
        <f t="shared" si="0"/>
        <v>73</v>
      </c>
      <c r="B74" s="28">
        <f t="shared" si="1"/>
        <v>73</v>
      </c>
      <c r="C74" s="29" t="s">
        <v>39</v>
      </c>
      <c r="D74" s="18">
        <v>335</v>
      </c>
      <c r="E74" s="18" t="str">
        <f>IF($C74="unit",VLOOKUP(D74,[1]characters!$A:$C,3,FALSE),VLOOKUP(D74,[2]items!$A:$G,7,FALSE))</f>
        <v>炎のメタルジェントル</v>
      </c>
      <c r="F74" s="15">
        <v>1</v>
      </c>
      <c r="G74" s="29" t="s">
        <v>71</v>
      </c>
      <c r="H74" s="30">
        <v>50</v>
      </c>
      <c r="I74" s="30">
        <v>700</v>
      </c>
      <c r="J74" s="30">
        <v>0</v>
      </c>
      <c r="K74" s="30">
        <v>0</v>
      </c>
      <c r="L74" s="30">
        <v>0</v>
      </c>
      <c r="M74" s="30">
        <v>0</v>
      </c>
      <c r="N74" s="30">
        <v>1</v>
      </c>
      <c r="O74" s="30">
        <v>1</v>
      </c>
      <c r="P74" s="30">
        <v>1</v>
      </c>
      <c r="Q74" s="44" t="s">
        <v>79</v>
      </c>
      <c r="R74" s="44" t="s">
        <v>86</v>
      </c>
    </row>
    <row r="75" spans="1:18" ht="21" customHeight="1" x14ac:dyDescent="0.15">
      <c r="A75" s="10">
        <f t="shared" si="0"/>
        <v>74</v>
      </c>
      <c r="B75" s="10">
        <f t="shared" si="1"/>
        <v>74</v>
      </c>
      <c r="C75" s="16" t="s">
        <v>40</v>
      </c>
      <c r="D75" s="13">
        <v>339</v>
      </c>
      <c r="E75" s="13" t="str">
        <f>IF($C75="unit",VLOOKUP(D75,[1]characters!$A:$C,3,FALSE),VLOOKUP(D75,[2]items!$A:$G,7,FALSE))</f>
        <v>森のメタルジェントル</v>
      </c>
      <c r="F75" s="14">
        <v>1</v>
      </c>
      <c r="G75" s="16" t="s">
        <v>71</v>
      </c>
      <c r="H75" s="20">
        <v>50</v>
      </c>
      <c r="I75" s="20">
        <v>700</v>
      </c>
      <c r="J75" s="20">
        <v>0</v>
      </c>
      <c r="K75" s="20">
        <v>0</v>
      </c>
      <c r="L75" s="20">
        <v>0</v>
      </c>
      <c r="M75" s="20">
        <v>0</v>
      </c>
      <c r="N75" s="20">
        <v>1</v>
      </c>
      <c r="O75" s="20">
        <v>1</v>
      </c>
      <c r="P75" s="20">
        <v>1</v>
      </c>
      <c r="Q75" s="37" t="s">
        <v>79</v>
      </c>
      <c r="R75" s="37" t="s">
        <v>86</v>
      </c>
    </row>
    <row r="76" spans="1:18" ht="21" customHeight="1" x14ac:dyDescent="0.15">
      <c r="A76" s="10">
        <f t="shared" si="0"/>
        <v>75</v>
      </c>
      <c r="B76" s="10">
        <f t="shared" si="1"/>
        <v>75</v>
      </c>
      <c r="C76" s="16" t="s">
        <v>40</v>
      </c>
      <c r="D76" s="13">
        <v>343</v>
      </c>
      <c r="E76" s="13" t="str">
        <f>IF($C76="unit",VLOOKUP(D76,[1]characters!$A:$C,3,FALSE),VLOOKUP(D76,[2]items!$A:$G,7,FALSE))</f>
        <v>水のメタルジェントル</v>
      </c>
      <c r="F76" s="14">
        <v>1</v>
      </c>
      <c r="G76" s="16" t="s">
        <v>71</v>
      </c>
      <c r="H76" s="20">
        <v>50</v>
      </c>
      <c r="I76" s="20">
        <v>700</v>
      </c>
      <c r="J76" s="20">
        <v>0</v>
      </c>
      <c r="K76" s="20">
        <v>0</v>
      </c>
      <c r="L76" s="20">
        <v>0</v>
      </c>
      <c r="M76" s="20">
        <v>0</v>
      </c>
      <c r="N76" s="20">
        <v>1</v>
      </c>
      <c r="O76" s="20">
        <v>1</v>
      </c>
      <c r="P76" s="20">
        <v>1</v>
      </c>
      <c r="Q76" s="37" t="s">
        <v>79</v>
      </c>
      <c r="R76" s="37" t="s">
        <v>86</v>
      </c>
    </row>
    <row r="77" spans="1:18" ht="21" customHeight="1" x14ac:dyDescent="0.15">
      <c r="A77" s="10">
        <f t="shared" si="0"/>
        <v>76</v>
      </c>
      <c r="B77" s="10">
        <f t="shared" si="1"/>
        <v>76</v>
      </c>
      <c r="C77" s="16" t="s">
        <v>40</v>
      </c>
      <c r="D77" s="13">
        <v>347</v>
      </c>
      <c r="E77" s="13" t="str">
        <f>IF($C77="unit",VLOOKUP(D77,[1]characters!$A:$C,3,FALSE),VLOOKUP(D77,[2]items!$A:$G,7,FALSE))</f>
        <v>雷のメタルジェントル</v>
      </c>
      <c r="F77" s="14">
        <v>1</v>
      </c>
      <c r="G77" s="16" t="s">
        <v>71</v>
      </c>
      <c r="H77" s="20">
        <v>50</v>
      </c>
      <c r="I77" s="20">
        <v>700</v>
      </c>
      <c r="J77" s="20">
        <v>0</v>
      </c>
      <c r="K77" s="20">
        <v>0</v>
      </c>
      <c r="L77" s="20">
        <v>0</v>
      </c>
      <c r="M77" s="20">
        <v>0</v>
      </c>
      <c r="N77" s="20">
        <v>1</v>
      </c>
      <c r="O77" s="20">
        <v>1</v>
      </c>
      <c r="P77" s="20">
        <v>1</v>
      </c>
      <c r="Q77" s="37" t="s">
        <v>79</v>
      </c>
      <c r="R77" s="37" t="s">
        <v>86</v>
      </c>
    </row>
    <row r="78" spans="1:18" s="19" customFormat="1" ht="21" customHeight="1" x14ac:dyDescent="0.15">
      <c r="A78" s="10">
        <f t="shared" si="0"/>
        <v>77</v>
      </c>
      <c r="B78" s="10">
        <f t="shared" si="1"/>
        <v>77</v>
      </c>
      <c r="C78" s="16" t="s">
        <v>40</v>
      </c>
      <c r="D78" s="13">
        <v>611</v>
      </c>
      <c r="E78" s="13" t="str">
        <f>IF($C78="unit",VLOOKUP(D78,[1]characters!$A:$C,3,FALSE),VLOOKUP(D78,[2]items!$A:$G,7,FALSE))</f>
        <v>ギガ攻めの果実</v>
      </c>
      <c r="F78" s="14">
        <v>1</v>
      </c>
      <c r="G78" s="16" t="s">
        <v>71</v>
      </c>
      <c r="H78" s="20">
        <v>12</v>
      </c>
      <c r="I78" s="20">
        <v>1400</v>
      </c>
      <c r="J78" s="20">
        <v>0</v>
      </c>
      <c r="K78" s="20">
        <v>0</v>
      </c>
      <c r="L78" s="20">
        <v>0</v>
      </c>
      <c r="M78" s="20">
        <v>0</v>
      </c>
      <c r="N78" s="20">
        <v>1</v>
      </c>
      <c r="O78" s="20">
        <v>1</v>
      </c>
      <c r="P78" s="20">
        <v>1</v>
      </c>
      <c r="Q78" s="37" t="s">
        <v>79</v>
      </c>
      <c r="R78" s="37" t="s">
        <v>86</v>
      </c>
    </row>
    <row r="79" spans="1:18" s="19" customFormat="1" ht="21" customHeight="1" x14ac:dyDescent="0.15">
      <c r="A79" s="10">
        <f t="shared" ref="A79:B100" si="2">ROW()-1</f>
        <v>78</v>
      </c>
      <c r="B79" s="10">
        <f t="shared" si="2"/>
        <v>78</v>
      </c>
      <c r="C79" s="16" t="s">
        <v>40</v>
      </c>
      <c r="D79" s="13">
        <v>612</v>
      </c>
      <c r="E79" s="13" t="str">
        <f>IF($C79="unit",VLOOKUP(D79,[1]characters!$A:$C,3,FALSE),VLOOKUP(D79,[2]items!$A:$G,7,FALSE))</f>
        <v>ギガ生命の果実</v>
      </c>
      <c r="F79" s="14">
        <v>1</v>
      </c>
      <c r="G79" s="16" t="s">
        <v>71</v>
      </c>
      <c r="H79" s="20">
        <v>12</v>
      </c>
      <c r="I79" s="20">
        <v>1400</v>
      </c>
      <c r="J79" s="20">
        <v>0</v>
      </c>
      <c r="K79" s="20">
        <v>0</v>
      </c>
      <c r="L79" s="20">
        <v>0</v>
      </c>
      <c r="M79" s="20">
        <v>0</v>
      </c>
      <c r="N79" s="20">
        <v>1</v>
      </c>
      <c r="O79" s="20">
        <v>1</v>
      </c>
      <c r="P79" s="20">
        <v>1</v>
      </c>
      <c r="Q79" s="37" t="s">
        <v>79</v>
      </c>
      <c r="R79" s="37" t="s">
        <v>86</v>
      </c>
    </row>
    <row r="80" spans="1:18" ht="21" customHeight="1" x14ac:dyDescent="0.15">
      <c r="A80" s="10">
        <f t="shared" si="2"/>
        <v>79</v>
      </c>
      <c r="B80" s="10">
        <f t="shared" si="2"/>
        <v>79</v>
      </c>
      <c r="C80" s="16" t="s">
        <v>40</v>
      </c>
      <c r="D80" s="13">
        <v>613</v>
      </c>
      <c r="E80" s="13" t="str">
        <f>IF($C80="unit",VLOOKUP(D80,[1]characters!$A:$C,3,FALSE),VLOOKUP(D80,[2]items!$A:$G,7,FALSE))</f>
        <v>ギガ癒しの果実</v>
      </c>
      <c r="F80" s="14">
        <v>1</v>
      </c>
      <c r="G80" s="16" t="s">
        <v>71</v>
      </c>
      <c r="H80" s="20">
        <v>12</v>
      </c>
      <c r="I80" s="20">
        <v>1400</v>
      </c>
      <c r="J80" s="20">
        <v>0</v>
      </c>
      <c r="K80" s="20">
        <v>0</v>
      </c>
      <c r="L80" s="20">
        <v>0</v>
      </c>
      <c r="M80" s="20">
        <v>0</v>
      </c>
      <c r="N80" s="20">
        <v>1</v>
      </c>
      <c r="O80" s="20">
        <v>1</v>
      </c>
      <c r="P80" s="20">
        <v>1</v>
      </c>
      <c r="Q80" s="37" t="s">
        <v>79</v>
      </c>
      <c r="R80" s="37" t="s">
        <v>86</v>
      </c>
    </row>
    <row r="81" spans="1:18" ht="21" customHeight="1" x14ac:dyDescent="0.15">
      <c r="A81" s="10">
        <f t="shared" si="2"/>
        <v>80</v>
      </c>
      <c r="B81" s="10">
        <f t="shared" si="2"/>
        <v>80</v>
      </c>
      <c r="C81" s="16" t="s">
        <v>40</v>
      </c>
      <c r="D81" s="13">
        <v>614</v>
      </c>
      <c r="E81" s="13" t="str">
        <f>IF($C81="unit",VLOOKUP(D81,[1]characters!$A:$C,3,FALSE),VLOOKUP(D81,[2]items!$A:$G,7,FALSE))</f>
        <v>ギガ秘術の果実</v>
      </c>
      <c r="F81" s="14">
        <v>1</v>
      </c>
      <c r="G81" s="16" t="s">
        <v>71</v>
      </c>
      <c r="H81" s="20">
        <v>12</v>
      </c>
      <c r="I81" s="20">
        <v>2000</v>
      </c>
      <c r="J81" s="20">
        <v>0</v>
      </c>
      <c r="K81" s="20">
        <v>0</v>
      </c>
      <c r="L81" s="20">
        <v>0</v>
      </c>
      <c r="M81" s="20">
        <v>0</v>
      </c>
      <c r="N81" s="20">
        <v>1</v>
      </c>
      <c r="O81" s="20">
        <v>1</v>
      </c>
      <c r="P81" s="20">
        <v>1</v>
      </c>
      <c r="Q81" s="37" t="s">
        <v>79</v>
      </c>
      <c r="R81" s="37" t="s">
        <v>86</v>
      </c>
    </row>
    <row r="82" spans="1:18" ht="21" customHeight="1" x14ac:dyDescent="0.15">
      <c r="A82" s="10">
        <f t="shared" si="2"/>
        <v>81</v>
      </c>
      <c r="B82" s="10">
        <f t="shared" si="2"/>
        <v>81</v>
      </c>
      <c r="C82" s="16" t="s">
        <v>45</v>
      </c>
      <c r="D82" s="13">
        <v>1</v>
      </c>
      <c r="E82" s="13" t="str">
        <f>IF($C82="unit",VLOOKUP(D82,[1]characters!$A:$C,3,FALSE),VLOOKUP(D82,[2]items!$A:$G,7,FALSE))</f>
        <v>マスターキー</v>
      </c>
      <c r="F82" s="14">
        <v>1</v>
      </c>
      <c r="G82" s="16" t="s">
        <v>71</v>
      </c>
      <c r="H82" s="20">
        <v>12</v>
      </c>
      <c r="I82" s="20">
        <v>3000</v>
      </c>
      <c r="J82" s="20">
        <v>0</v>
      </c>
      <c r="K82" s="20">
        <v>0</v>
      </c>
      <c r="L82" s="20">
        <v>0</v>
      </c>
      <c r="M82" s="20">
        <v>0</v>
      </c>
      <c r="N82" s="20">
        <v>1</v>
      </c>
      <c r="O82" s="20">
        <v>1</v>
      </c>
      <c r="P82" s="20">
        <v>1</v>
      </c>
      <c r="Q82" s="37" t="s">
        <v>79</v>
      </c>
      <c r="R82" s="37" t="s">
        <v>86</v>
      </c>
    </row>
    <row r="83" spans="1:18" ht="21" customHeight="1" x14ac:dyDescent="0.15">
      <c r="A83" s="10">
        <f t="shared" si="2"/>
        <v>82</v>
      </c>
      <c r="B83" s="10">
        <f t="shared" si="2"/>
        <v>82</v>
      </c>
      <c r="C83" s="16" t="s">
        <v>40</v>
      </c>
      <c r="D83" s="13">
        <v>837</v>
      </c>
      <c r="E83" s="13" t="str">
        <f>IF($C83="unit",VLOOKUP(D83,[1]characters!$A:$C,3,FALSE),VLOOKUP(D83,[2]items!$A:$G,7,FALSE))</f>
        <v>リトルハンプティ</v>
      </c>
      <c r="F83" s="14">
        <v>1</v>
      </c>
      <c r="G83" s="16" t="s">
        <v>71</v>
      </c>
      <c r="H83" s="20">
        <v>12</v>
      </c>
      <c r="I83" s="20">
        <v>4000</v>
      </c>
      <c r="J83" s="20">
        <v>0</v>
      </c>
      <c r="K83" s="20">
        <v>0</v>
      </c>
      <c r="L83" s="20">
        <v>0</v>
      </c>
      <c r="M83" s="20">
        <v>0</v>
      </c>
      <c r="N83" s="20">
        <v>1</v>
      </c>
      <c r="O83" s="20">
        <v>1</v>
      </c>
      <c r="P83" s="20">
        <v>1</v>
      </c>
      <c r="Q83" s="37" t="s">
        <v>79</v>
      </c>
      <c r="R83" s="37" t="s">
        <v>86</v>
      </c>
    </row>
    <row r="84" spans="1:18" ht="21" customHeight="1" x14ac:dyDescent="0.15">
      <c r="A84" s="10">
        <f t="shared" si="2"/>
        <v>83</v>
      </c>
      <c r="B84" s="10">
        <f t="shared" si="2"/>
        <v>83</v>
      </c>
      <c r="C84" s="16" t="s">
        <v>39</v>
      </c>
      <c r="D84" s="13">
        <v>1369</v>
      </c>
      <c r="E84" s="13" t="str">
        <f>IF($C84="unit",VLOOKUP(D84,[1]characters!$A:$C,3,FALSE),VLOOKUP(D84,[2]items!$A:$G,7,FALSE))</f>
        <v>トロイア</v>
      </c>
      <c r="F84" s="14">
        <v>1</v>
      </c>
      <c r="G84" s="16" t="s">
        <v>71</v>
      </c>
      <c r="H84" s="20">
        <v>3</v>
      </c>
      <c r="I84" s="20">
        <v>65000</v>
      </c>
      <c r="J84" s="20">
        <v>0</v>
      </c>
      <c r="K84" s="20">
        <v>0</v>
      </c>
      <c r="L84" s="20">
        <v>0</v>
      </c>
      <c r="M84" s="20">
        <v>0</v>
      </c>
      <c r="N84" s="20">
        <v>1</v>
      </c>
      <c r="O84" s="20">
        <v>1</v>
      </c>
      <c r="P84" s="20">
        <v>33</v>
      </c>
      <c r="Q84" s="37" t="s">
        <v>79</v>
      </c>
      <c r="R84" s="37" t="s">
        <v>86</v>
      </c>
    </row>
    <row r="85" spans="1:18" ht="21" customHeight="1" x14ac:dyDescent="0.15">
      <c r="A85" s="10">
        <f t="shared" si="2"/>
        <v>84</v>
      </c>
      <c r="B85" s="10">
        <f t="shared" si="2"/>
        <v>84</v>
      </c>
      <c r="C85" s="16" t="s">
        <v>39</v>
      </c>
      <c r="D85" s="13">
        <v>627</v>
      </c>
      <c r="E85" s="13" t="str">
        <f>IF($C85="unit",VLOOKUP(D85,[1]characters!$A:$C,3,FALSE),VLOOKUP(D85,[2]items!$A:$G,7,FALSE))</f>
        <v>メガラニカ</v>
      </c>
      <c r="F85" s="14">
        <v>1</v>
      </c>
      <c r="G85" s="16" t="s">
        <v>71</v>
      </c>
      <c r="H85" s="20">
        <v>3</v>
      </c>
      <c r="I85" s="20">
        <v>65000</v>
      </c>
      <c r="J85" s="20">
        <v>0</v>
      </c>
      <c r="K85" s="20">
        <v>0</v>
      </c>
      <c r="L85" s="20">
        <v>0</v>
      </c>
      <c r="M85" s="20">
        <v>0</v>
      </c>
      <c r="N85" s="20">
        <v>1</v>
      </c>
      <c r="O85" s="20">
        <v>1</v>
      </c>
      <c r="P85" s="20">
        <v>33</v>
      </c>
      <c r="Q85" s="37" t="s">
        <v>79</v>
      </c>
      <c r="R85" s="37" t="s">
        <v>86</v>
      </c>
    </row>
    <row r="86" spans="1:18" ht="21" customHeight="1" x14ac:dyDescent="0.15">
      <c r="A86" s="10">
        <f t="shared" si="2"/>
        <v>85</v>
      </c>
      <c r="B86" s="10">
        <f t="shared" si="2"/>
        <v>85</v>
      </c>
      <c r="C86" s="16" t="s">
        <v>39</v>
      </c>
      <c r="D86" s="13">
        <v>1401</v>
      </c>
      <c r="E86" s="13" t="str">
        <f>IF($C86="unit",VLOOKUP(D86,[1]characters!$A:$C,3,FALSE),VLOOKUP(D86,[2]items!$A:$G,7,FALSE))</f>
        <v>レムリア</v>
      </c>
      <c r="F86" s="14">
        <v>1</v>
      </c>
      <c r="G86" s="16" t="s">
        <v>71</v>
      </c>
      <c r="H86" s="20">
        <v>3</v>
      </c>
      <c r="I86" s="20">
        <v>65000</v>
      </c>
      <c r="J86" s="20">
        <v>0</v>
      </c>
      <c r="K86" s="20">
        <v>0</v>
      </c>
      <c r="L86" s="20">
        <v>0</v>
      </c>
      <c r="M86" s="20">
        <v>0</v>
      </c>
      <c r="N86" s="20">
        <v>1</v>
      </c>
      <c r="O86" s="20">
        <v>1</v>
      </c>
      <c r="P86" s="20">
        <v>33</v>
      </c>
      <c r="Q86" s="37" t="s">
        <v>79</v>
      </c>
      <c r="R86" s="37" t="s">
        <v>86</v>
      </c>
    </row>
    <row r="87" spans="1:18" ht="21" customHeight="1" x14ac:dyDescent="0.15">
      <c r="A87" s="10">
        <f t="shared" si="2"/>
        <v>86</v>
      </c>
      <c r="B87" s="10">
        <f t="shared" si="2"/>
        <v>86</v>
      </c>
      <c r="C87" s="16" t="s">
        <v>39</v>
      </c>
      <c r="D87" s="13">
        <v>1456</v>
      </c>
      <c r="E87" s="13" t="s">
        <v>91</v>
      </c>
      <c r="F87" s="14">
        <v>1</v>
      </c>
      <c r="G87" s="16" t="s">
        <v>71</v>
      </c>
      <c r="H87" s="20">
        <v>3</v>
      </c>
      <c r="I87" s="20">
        <v>65000</v>
      </c>
      <c r="J87" s="20">
        <v>0</v>
      </c>
      <c r="K87" s="20">
        <v>0</v>
      </c>
      <c r="L87" s="20">
        <v>0</v>
      </c>
      <c r="M87" s="20">
        <v>0</v>
      </c>
      <c r="N87" s="20">
        <v>1</v>
      </c>
      <c r="O87" s="20">
        <v>1</v>
      </c>
      <c r="P87" s="20">
        <v>33</v>
      </c>
      <c r="Q87" s="37" t="s">
        <v>79</v>
      </c>
      <c r="R87" s="37" t="s">
        <v>86</v>
      </c>
    </row>
    <row r="88" spans="1:18" ht="21" customHeight="1" x14ac:dyDescent="0.15">
      <c r="A88" s="10">
        <f t="shared" si="2"/>
        <v>87</v>
      </c>
      <c r="B88" s="10">
        <f t="shared" si="2"/>
        <v>87</v>
      </c>
      <c r="C88" s="16" t="s">
        <v>39</v>
      </c>
      <c r="D88" s="13">
        <v>1083</v>
      </c>
      <c r="E88" s="13" t="str">
        <f>IF($C88="unit",VLOOKUP(D88,[1]characters!$A:$C,3,FALSE),VLOOKUP(D88,[2]items!$A:$G,7,FALSE))</f>
        <v>マジシャン</v>
      </c>
      <c r="F88" s="14">
        <v>1</v>
      </c>
      <c r="G88" s="16" t="s">
        <v>71</v>
      </c>
      <c r="H88" s="20">
        <v>3</v>
      </c>
      <c r="I88" s="20">
        <v>200000</v>
      </c>
      <c r="J88" s="20">
        <v>0</v>
      </c>
      <c r="K88" s="20">
        <v>0</v>
      </c>
      <c r="L88" s="20">
        <v>0</v>
      </c>
      <c r="M88" s="20">
        <v>0</v>
      </c>
      <c r="N88" s="20">
        <v>1</v>
      </c>
      <c r="O88" s="20">
        <v>1</v>
      </c>
      <c r="P88" s="20">
        <v>33</v>
      </c>
      <c r="Q88" s="37" t="s">
        <v>79</v>
      </c>
      <c r="R88" s="37" t="s">
        <v>86</v>
      </c>
    </row>
    <row r="89" spans="1:18" ht="21" customHeight="1" x14ac:dyDescent="0.15">
      <c r="A89" s="10">
        <f t="shared" si="2"/>
        <v>88</v>
      </c>
      <c r="B89" s="10">
        <f t="shared" si="2"/>
        <v>88</v>
      </c>
      <c r="C89" s="51" t="s">
        <v>39</v>
      </c>
      <c r="D89" s="52">
        <v>629</v>
      </c>
      <c r="E89" s="52" t="str">
        <f>IF($C89="unit",VLOOKUP(D89,[1]characters!$A:$C,3,FALSE),VLOOKUP(D89,[2]items!$A:$G,7,FALSE))</f>
        <v>チャリオット</v>
      </c>
      <c r="F89" s="53">
        <v>1</v>
      </c>
      <c r="G89" s="51" t="s">
        <v>71</v>
      </c>
      <c r="H89" s="54">
        <v>3</v>
      </c>
      <c r="I89" s="54">
        <v>200000</v>
      </c>
      <c r="J89" s="54">
        <v>0</v>
      </c>
      <c r="K89" s="54">
        <v>0</v>
      </c>
      <c r="L89" s="54">
        <v>0</v>
      </c>
      <c r="M89" s="54">
        <v>0</v>
      </c>
      <c r="N89" s="54">
        <v>1</v>
      </c>
      <c r="O89" s="54">
        <v>1</v>
      </c>
      <c r="P89" s="54">
        <v>33</v>
      </c>
      <c r="Q89" s="37" t="s">
        <v>79</v>
      </c>
      <c r="R89" s="37" t="s">
        <v>86</v>
      </c>
    </row>
    <row r="90" spans="1:18" ht="21" customHeight="1" x14ac:dyDescent="0.15">
      <c r="A90" s="10">
        <f t="shared" si="2"/>
        <v>89</v>
      </c>
      <c r="B90" s="10">
        <f t="shared" si="2"/>
        <v>89</v>
      </c>
      <c r="C90" s="46" t="s">
        <v>39</v>
      </c>
      <c r="D90" s="17">
        <v>1399</v>
      </c>
      <c r="E90" s="17" t="str">
        <f>IF($C90="unit",VLOOKUP(D90,[1]characters!$A:$C,3,FALSE),VLOOKUP(D90,[2]items!$A:$G,7,FALSE))</f>
        <v>ラヴァーズ</v>
      </c>
      <c r="F90" s="47">
        <v>1</v>
      </c>
      <c r="G90" s="46" t="s">
        <v>71</v>
      </c>
      <c r="H90" s="48">
        <v>3</v>
      </c>
      <c r="I90" s="48">
        <v>200000</v>
      </c>
      <c r="J90" s="48">
        <v>0</v>
      </c>
      <c r="K90" s="48">
        <v>0</v>
      </c>
      <c r="L90" s="48">
        <v>0</v>
      </c>
      <c r="M90" s="48">
        <v>0</v>
      </c>
      <c r="N90" s="48">
        <v>1</v>
      </c>
      <c r="O90" s="48">
        <v>1</v>
      </c>
      <c r="P90" s="48">
        <v>33</v>
      </c>
      <c r="Q90" s="37" t="s">
        <v>79</v>
      </c>
      <c r="R90" s="37" t="s">
        <v>86</v>
      </c>
    </row>
    <row r="91" spans="1:18" ht="21" customHeight="1" thickBot="1" x14ac:dyDescent="0.2">
      <c r="A91" s="31">
        <f t="shared" si="2"/>
        <v>90</v>
      </c>
      <c r="B91" s="31">
        <f t="shared" si="2"/>
        <v>90</v>
      </c>
      <c r="C91" s="32" t="s">
        <v>39</v>
      </c>
      <c r="D91" s="33">
        <v>1454</v>
      </c>
      <c r="E91" s="33" t="str">
        <f>IF($C91="unit",VLOOKUP(D91,[1]characters!$A:$C,3,FALSE),VLOOKUP(D91,[2]items!$A:$G,7,FALSE))</f>
        <v>ストレングス</v>
      </c>
      <c r="F91" s="34">
        <v>1</v>
      </c>
      <c r="G91" s="32" t="s">
        <v>71</v>
      </c>
      <c r="H91" s="35">
        <v>3</v>
      </c>
      <c r="I91" s="35">
        <v>200000</v>
      </c>
      <c r="J91" s="35">
        <v>0</v>
      </c>
      <c r="K91" s="35">
        <v>0</v>
      </c>
      <c r="L91" s="35">
        <v>0</v>
      </c>
      <c r="M91" s="35">
        <v>0</v>
      </c>
      <c r="N91" s="35">
        <v>1</v>
      </c>
      <c r="O91" s="35">
        <v>1</v>
      </c>
      <c r="P91" s="35">
        <v>33</v>
      </c>
      <c r="Q91" s="37" t="s">
        <v>79</v>
      </c>
      <c r="R91" s="37" t="s">
        <v>86</v>
      </c>
    </row>
    <row r="92" spans="1:18" ht="21" customHeight="1" x14ac:dyDescent="0.15">
      <c r="A92" s="28">
        <f t="shared" si="2"/>
        <v>91</v>
      </c>
      <c r="B92" s="28">
        <f t="shared" si="2"/>
        <v>91</v>
      </c>
      <c r="C92" s="29" t="s">
        <v>39</v>
      </c>
      <c r="D92" s="18">
        <v>335</v>
      </c>
      <c r="E92" s="18" t="str">
        <f>IF($C92="unit",VLOOKUP(D92,[1]characters!$A:$C,3,FALSE),VLOOKUP(D92,[2]items!$A:$G,7,FALSE))</f>
        <v>炎のメタルジェントル</v>
      </c>
      <c r="F92" s="15">
        <v>1</v>
      </c>
      <c r="G92" s="29" t="s">
        <v>71</v>
      </c>
      <c r="H92" s="30">
        <v>50</v>
      </c>
      <c r="I92" s="30">
        <v>700</v>
      </c>
      <c r="J92" s="30">
        <v>0</v>
      </c>
      <c r="K92" s="30">
        <v>0</v>
      </c>
      <c r="L92" s="30">
        <v>0</v>
      </c>
      <c r="M92" s="30">
        <v>0</v>
      </c>
      <c r="N92" s="30">
        <v>1</v>
      </c>
      <c r="O92" s="30">
        <v>1</v>
      </c>
      <c r="P92" s="30">
        <v>1</v>
      </c>
      <c r="Q92" s="44" t="s">
        <v>92</v>
      </c>
      <c r="R92" s="44" t="s">
        <v>93</v>
      </c>
    </row>
    <row r="93" spans="1:18" ht="21" customHeight="1" x14ac:dyDescent="0.15">
      <c r="A93" s="10">
        <f t="shared" si="2"/>
        <v>92</v>
      </c>
      <c r="B93" s="10">
        <f t="shared" si="2"/>
        <v>92</v>
      </c>
      <c r="C93" s="16" t="s">
        <v>39</v>
      </c>
      <c r="D93" s="13">
        <v>339</v>
      </c>
      <c r="E93" s="13" t="str">
        <f>IF($C93="unit",VLOOKUP(D93,[1]characters!$A:$C,3,FALSE),VLOOKUP(D93,[2]items!$A:$G,7,FALSE))</f>
        <v>森のメタルジェントル</v>
      </c>
      <c r="F93" s="14">
        <v>1</v>
      </c>
      <c r="G93" s="16" t="s">
        <v>71</v>
      </c>
      <c r="H93" s="20">
        <v>50</v>
      </c>
      <c r="I93" s="20">
        <v>700</v>
      </c>
      <c r="J93" s="20">
        <v>0</v>
      </c>
      <c r="K93" s="20">
        <v>0</v>
      </c>
      <c r="L93" s="20">
        <v>0</v>
      </c>
      <c r="M93" s="20">
        <v>0</v>
      </c>
      <c r="N93" s="20">
        <v>1</v>
      </c>
      <c r="O93" s="20">
        <v>1</v>
      </c>
      <c r="P93" s="20">
        <v>1</v>
      </c>
      <c r="Q93" s="37" t="s">
        <v>92</v>
      </c>
      <c r="R93" s="37" t="s">
        <v>93</v>
      </c>
    </row>
    <row r="94" spans="1:18" ht="21" customHeight="1" x14ac:dyDescent="0.15">
      <c r="A94" s="10">
        <f t="shared" si="2"/>
        <v>93</v>
      </c>
      <c r="B94" s="10">
        <f t="shared" si="2"/>
        <v>93</v>
      </c>
      <c r="C94" s="16" t="s">
        <v>39</v>
      </c>
      <c r="D94" s="13">
        <v>343</v>
      </c>
      <c r="E94" s="13" t="str">
        <f>IF($C94="unit",VLOOKUP(D94,[1]characters!$A:$C,3,FALSE),VLOOKUP(D94,[2]items!$A:$G,7,FALSE))</f>
        <v>水のメタルジェントル</v>
      </c>
      <c r="F94" s="14">
        <v>1</v>
      </c>
      <c r="G94" s="16" t="s">
        <v>71</v>
      </c>
      <c r="H94" s="20">
        <v>50</v>
      </c>
      <c r="I94" s="20">
        <v>700</v>
      </c>
      <c r="J94" s="20">
        <v>0</v>
      </c>
      <c r="K94" s="20">
        <v>0</v>
      </c>
      <c r="L94" s="20">
        <v>0</v>
      </c>
      <c r="M94" s="20">
        <v>0</v>
      </c>
      <c r="N94" s="20">
        <v>1</v>
      </c>
      <c r="O94" s="20">
        <v>1</v>
      </c>
      <c r="P94" s="20">
        <v>1</v>
      </c>
      <c r="Q94" s="37" t="s">
        <v>92</v>
      </c>
      <c r="R94" s="37" t="s">
        <v>93</v>
      </c>
    </row>
    <row r="95" spans="1:18" ht="21" customHeight="1" x14ac:dyDescent="0.15">
      <c r="A95" s="10">
        <f t="shared" si="2"/>
        <v>94</v>
      </c>
      <c r="B95" s="10">
        <f t="shared" si="2"/>
        <v>94</v>
      </c>
      <c r="C95" s="16" t="s">
        <v>39</v>
      </c>
      <c r="D95" s="13">
        <v>347</v>
      </c>
      <c r="E95" s="13" t="str">
        <f>IF($C95="unit",VLOOKUP(D95,[1]characters!$A:$C,3,FALSE),VLOOKUP(D95,[2]items!$A:$G,7,FALSE))</f>
        <v>雷のメタルジェントル</v>
      </c>
      <c r="F95" s="14">
        <v>1</v>
      </c>
      <c r="G95" s="16" t="s">
        <v>71</v>
      </c>
      <c r="H95" s="20">
        <v>50</v>
      </c>
      <c r="I95" s="20">
        <v>700</v>
      </c>
      <c r="J95" s="20">
        <v>0</v>
      </c>
      <c r="K95" s="20">
        <v>0</v>
      </c>
      <c r="L95" s="20">
        <v>0</v>
      </c>
      <c r="M95" s="20">
        <v>0</v>
      </c>
      <c r="N95" s="20">
        <v>1</v>
      </c>
      <c r="O95" s="20">
        <v>1</v>
      </c>
      <c r="P95" s="20">
        <v>1</v>
      </c>
      <c r="Q95" s="37" t="s">
        <v>92</v>
      </c>
      <c r="R95" s="37" t="s">
        <v>93</v>
      </c>
    </row>
    <row r="96" spans="1:18" ht="21" customHeight="1" x14ac:dyDescent="0.15">
      <c r="A96" s="10">
        <f t="shared" si="2"/>
        <v>95</v>
      </c>
      <c r="B96" s="10">
        <f t="shared" si="2"/>
        <v>95</v>
      </c>
      <c r="C96" s="16" t="s">
        <v>39</v>
      </c>
      <c r="D96" s="13">
        <v>611</v>
      </c>
      <c r="E96" s="13" t="str">
        <f>IF($C96="unit",VLOOKUP(D96,[1]characters!$A:$C,3,FALSE),VLOOKUP(D96,[2]items!$A:$G,7,FALSE))</f>
        <v>ギガ攻めの果実</v>
      </c>
      <c r="F96" s="14">
        <v>1</v>
      </c>
      <c r="G96" s="16" t="s">
        <v>71</v>
      </c>
      <c r="H96" s="20">
        <v>12</v>
      </c>
      <c r="I96" s="20">
        <v>1400</v>
      </c>
      <c r="J96" s="20">
        <v>0</v>
      </c>
      <c r="K96" s="20">
        <v>0</v>
      </c>
      <c r="L96" s="20">
        <v>0</v>
      </c>
      <c r="M96" s="20">
        <v>0</v>
      </c>
      <c r="N96" s="20">
        <v>1</v>
      </c>
      <c r="O96" s="20">
        <v>1</v>
      </c>
      <c r="P96" s="20">
        <v>1</v>
      </c>
      <c r="Q96" s="37" t="s">
        <v>92</v>
      </c>
      <c r="R96" s="37" t="s">
        <v>93</v>
      </c>
    </row>
    <row r="97" spans="1:18" ht="21" customHeight="1" x14ac:dyDescent="0.15">
      <c r="A97" s="10">
        <f t="shared" si="2"/>
        <v>96</v>
      </c>
      <c r="B97" s="10">
        <f t="shared" si="2"/>
        <v>96</v>
      </c>
      <c r="C97" s="16" t="s">
        <v>39</v>
      </c>
      <c r="D97" s="13">
        <v>612</v>
      </c>
      <c r="E97" s="13" t="str">
        <f>IF($C97="unit",VLOOKUP(D97,[1]characters!$A:$C,3,FALSE),VLOOKUP(D97,[2]items!$A:$G,7,FALSE))</f>
        <v>ギガ生命の果実</v>
      </c>
      <c r="F97" s="14">
        <v>1</v>
      </c>
      <c r="G97" s="16" t="s">
        <v>71</v>
      </c>
      <c r="H97" s="20">
        <v>12</v>
      </c>
      <c r="I97" s="20">
        <v>1400</v>
      </c>
      <c r="J97" s="20">
        <v>0</v>
      </c>
      <c r="K97" s="20">
        <v>0</v>
      </c>
      <c r="L97" s="20">
        <v>0</v>
      </c>
      <c r="M97" s="20">
        <v>0</v>
      </c>
      <c r="N97" s="20">
        <v>1</v>
      </c>
      <c r="O97" s="20">
        <v>1</v>
      </c>
      <c r="P97" s="20">
        <v>1</v>
      </c>
      <c r="Q97" s="37" t="s">
        <v>92</v>
      </c>
      <c r="R97" s="37" t="s">
        <v>93</v>
      </c>
    </row>
    <row r="98" spans="1:18" ht="21" customHeight="1" x14ac:dyDescent="0.15">
      <c r="A98" s="10">
        <f t="shared" si="2"/>
        <v>97</v>
      </c>
      <c r="B98" s="10">
        <f t="shared" si="2"/>
        <v>97</v>
      </c>
      <c r="C98" s="16" t="s">
        <v>39</v>
      </c>
      <c r="D98" s="13">
        <v>613</v>
      </c>
      <c r="E98" s="13" t="str">
        <f>IF($C98="unit",VLOOKUP(D98,[1]characters!$A:$C,3,FALSE),VLOOKUP(D98,[2]items!$A:$G,7,FALSE))</f>
        <v>ギガ癒しの果実</v>
      </c>
      <c r="F98" s="14">
        <v>1</v>
      </c>
      <c r="G98" s="16" t="s">
        <v>71</v>
      </c>
      <c r="H98" s="20">
        <v>12</v>
      </c>
      <c r="I98" s="20">
        <v>1400</v>
      </c>
      <c r="J98" s="20">
        <v>0</v>
      </c>
      <c r="K98" s="20">
        <v>0</v>
      </c>
      <c r="L98" s="20">
        <v>0</v>
      </c>
      <c r="M98" s="20">
        <v>0</v>
      </c>
      <c r="N98" s="20">
        <v>1</v>
      </c>
      <c r="O98" s="20">
        <v>1</v>
      </c>
      <c r="P98" s="20">
        <v>1</v>
      </c>
      <c r="Q98" s="37" t="s">
        <v>92</v>
      </c>
      <c r="R98" s="37" t="s">
        <v>93</v>
      </c>
    </row>
    <row r="99" spans="1:18" ht="21" customHeight="1" x14ac:dyDescent="0.15">
      <c r="A99" s="10">
        <f t="shared" si="2"/>
        <v>98</v>
      </c>
      <c r="B99" s="10">
        <f t="shared" si="2"/>
        <v>98</v>
      </c>
      <c r="C99" s="16" t="s">
        <v>39</v>
      </c>
      <c r="D99" s="13">
        <v>614</v>
      </c>
      <c r="E99" s="13" t="str">
        <f>IF($C99="unit",VLOOKUP(D99,[1]characters!$A:$C,3,FALSE),VLOOKUP(D99,[2]items!$A:$G,7,FALSE))</f>
        <v>ギガ秘術の果実</v>
      </c>
      <c r="F99" s="14">
        <v>1</v>
      </c>
      <c r="G99" s="16" t="s">
        <v>71</v>
      </c>
      <c r="H99" s="20">
        <v>12</v>
      </c>
      <c r="I99" s="20">
        <v>2000</v>
      </c>
      <c r="J99" s="20">
        <v>0</v>
      </c>
      <c r="K99" s="20">
        <v>0</v>
      </c>
      <c r="L99" s="20">
        <v>0</v>
      </c>
      <c r="M99" s="20">
        <v>0</v>
      </c>
      <c r="N99" s="20">
        <v>1</v>
      </c>
      <c r="O99" s="20">
        <v>1</v>
      </c>
      <c r="P99" s="20">
        <v>1</v>
      </c>
      <c r="Q99" s="37" t="s">
        <v>92</v>
      </c>
      <c r="R99" s="37" t="s">
        <v>93</v>
      </c>
    </row>
    <row r="100" spans="1:18" ht="21" customHeight="1" x14ac:dyDescent="0.15">
      <c r="A100" s="10">
        <f t="shared" si="2"/>
        <v>99</v>
      </c>
      <c r="B100" s="10">
        <f t="shared" si="2"/>
        <v>99</v>
      </c>
      <c r="C100" s="16" t="s">
        <v>45</v>
      </c>
      <c r="D100" s="13">
        <v>1</v>
      </c>
      <c r="E100" s="13" t="str">
        <f>IF($C100="unit",VLOOKUP(D100,[1]characters!$A:$C,3,FALSE),VLOOKUP(D100,[2]items!$A:$G,7,FALSE))</f>
        <v>マスターキー</v>
      </c>
      <c r="F100" s="14">
        <v>1</v>
      </c>
      <c r="G100" s="16" t="s">
        <v>71</v>
      </c>
      <c r="H100" s="20">
        <v>12</v>
      </c>
      <c r="I100" s="20">
        <v>3000</v>
      </c>
      <c r="J100" s="20">
        <v>0</v>
      </c>
      <c r="K100" s="20">
        <v>0</v>
      </c>
      <c r="L100" s="20">
        <v>0</v>
      </c>
      <c r="M100" s="20">
        <v>0</v>
      </c>
      <c r="N100" s="20">
        <v>1</v>
      </c>
      <c r="O100" s="20">
        <v>1</v>
      </c>
      <c r="P100" s="20">
        <v>1</v>
      </c>
      <c r="Q100" s="37" t="s">
        <v>92</v>
      </c>
      <c r="R100" s="37" t="s">
        <v>93</v>
      </c>
    </row>
    <row r="101" spans="1:18" ht="21" customHeight="1" x14ac:dyDescent="0.15">
      <c r="A101" s="10">
        <f t="shared" ref="A101:B124" si="3">ROW()-1</f>
        <v>100</v>
      </c>
      <c r="B101" s="10">
        <f t="shared" si="3"/>
        <v>100</v>
      </c>
      <c r="C101" s="16" t="s">
        <v>39</v>
      </c>
      <c r="D101" s="13">
        <v>837</v>
      </c>
      <c r="E101" s="13" t="str">
        <f>IF($C101="unit",VLOOKUP(D101,[1]characters!$A:$C,3,FALSE),VLOOKUP(D101,[2]items!$A:$G,7,FALSE))</f>
        <v>リトルハンプティ</v>
      </c>
      <c r="F101" s="14">
        <v>1</v>
      </c>
      <c r="G101" s="16" t="s">
        <v>71</v>
      </c>
      <c r="H101" s="20">
        <v>12</v>
      </c>
      <c r="I101" s="20">
        <v>4000</v>
      </c>
      <c r="J101" s="20">
        <v>0</v>
      </c>
      <c r="K101" s="20">
        <v>0</v>
      </c>
      <c r="L101" s="20">
        <v>0</v>
      </c>
      <c r="M101" s="20">
        <v>0</v>
      </c>
      <c r="N101" s="20">
        <v>1</v>
      </c>
      <c r="O101" s="20">
        <v>1</v>
      </c>
      <c r="P101" s="20">
        <v>1</v>
      </c>
      <c r="Q101" s="37" t="s">
        <v>92</v>
      </c>
      <c r="R101" s="37" t="s">
        <v>93</v>
      </c>
    </row>
    <row r="102" spans="1:18" ht="21" customHeight="1" x14ac:dyDescent="0.15">
      <c r="A102" s="10">
        <f t="shared" si="3"/>
        <v>101</v>
      </c>
      <c r="B102" s="10">
        <f t="shared" si="3"/>
        <v>101</v>
      </c>
      <c r="C102" s="16" t="s">
        <v>39</v>
      </c>
      <c r="D102" s="13">
        <v>1369</v>
      </c>
      <c r="E102" s="13" t="str">
        <f>IF($C102="unit",VLOOKUP(D102,[1]characters!$A:$C,3,FALSE),VLOOKUP(D102,[2]items!$A:$G,7,FALSE))</f>
        <v>トロイア</v>
      </c>
      <c r="F102" s="14">
        <v>1</v>
      </c>
      <c r="G102" s="16" t="s">
        <v>71</v>
      </c>
      <c r="H102" s="20">
        <v>3</v>
      </c>
      <c r="I102" s="20">
        <v>65000</v>
      </c>
      <c r="J102" s="20">
        <v>0</v>
      </c>
      <c r="K102" s="20">
        <v>0</v>
      </c>
      <c r="L102" s="20">
        <v>0</v>
      </c>
      <c r="M102" s="20">
        <v>0</v>
      </c>
      <c r="N102" s="20">
        <v>1</v>
      </c>
      <c r="O102" s="20">
        <v>1</v>
      </c>
      <c r="P102" s="20">
        <v>33</v>
      </c>
      <c r="Q102" s="37" t="s">
        <v>92</v>
      </c>
      <c r="R102" s="37" t="s">
        <v>93</v>
      </c>
    </row>
    <row r="103" spans="1:18" ht="21" customHeight="1" x14ac:dyDescent="0.15">
      <c r="A103" s="10">
        <f t="shared" si="3"/>
        <v>102</v>
      </c>
      <c r="B103" s="10">
        <f t="shared" si="3"/>
        <v>102</v>
      </c>
      <c r="C103" s="16" t="s">
        <v>39</v>
      </c>
      <c r="D103" s="13">
        <v>627</v>
      </c>
      <c r="E103" s="13" t="str">
        <f>IF($C103="unit",VLOOKUP(D103,[1]characters!$A:$C,3,FALSE),VLOOKUP(D103,[2]items!$A:$G,7,FALSE))</f>
        <v>メガラニカ</v>
      </c>
      <c r="F103" s="14">
        <v>1</v>
      </c>
      <c r="G103" s="16" t="s">
        <v>71</v>
      </c>
      <c r="H103" s="20">
        <v>3</v>
      </c>
      <c r="I103" s="20">
        <v>65000</v>
      </c>
      <c r="J103" s="20">
        <v>0</v>
      </c>
      <c r="K103" s="20">
        <v>0</v>
      </c>
      <c r="L103" s="20">
        <v>0</v>
      </c>
      <c r="M103" s="20">
        <v>0</v>
      </c>
      <c r="N103" s="20">
        <v>1</v>
      </c>
      <c r="O103" s="20">
        <v>1</v>
      </c>
      <c r="P103" s="20">
        <v>33</v>
      </c>
      <c r="Q103" s="37" t="s">
        <v>92</v>
      </c>
      <c r="R103" s="37" t="s">
        <v>93</v>
      </c>
    </row>
    <row r="104" spans="1:18" ht="21" customHeight="1" x14ac:dyDescent="0.15">
      <c r="A104" s="10">
        <f t="shared" si="3"/>
        <v>103</v>
      </c>
      <c r="B104" s="10">
        <f t="shared" si="3"/>
        <v>103</v>
      </c>
      <c r="C104" s="16" t="s">
        <v>39</v>
      </c>
      <c r="D104" s="13">
        <v>1401</v>
      </c>
      <c r="E104" s="13" t="str">
        <f>IF($C104="unit",VLOOKUP(D104,[1]characters!$A:$C,3,FALSE),VLOOKUP(D104,[2]items!$A:$G,7,FALSE))</f>
        <v>レムリア</v>
      </c>
      <c r="F104" s="14">
        <v>1</v>
      </c>
      <c r="G104" s="16" t="s">
        <v>71</v>
      </c>
      <c r="H104" s="20">
        <v>3</v>
      </c>
      <c r="I104" s="20">
        <v>65000</v>
      </c>
      <c r="J104" s="20">
        <v>0</v>
      </c>
      <c r="K104" s="20">
        <v>0</v>
      </c>
      <c r="L104" s="20">
        <v>0</v>
      </c>
      <c r="M104" s="20">
        <v>0</v>
      </c>
      <c r="N104" s="20">
        <v>1</v>
      </c>
      <c r="O104" s="20">
        <v>1</v>
      </c>
      <c r="P104" s="20">
        <v>33</v>
      </c>
      <c r="Q104" s="37" t="s">
        <v>92</v>
      </c>
      <c r="R104" s="37" t="s">
        <v>93</v>
      </c>
    </row>
    <row r="105" spans="1:18" ht="21" customHeight="1" x14ac:dyDescent="0.15">
      <c r="A105" s="10">
        <f t="shared" si="3"/>
        <v>104</v>
      </c>
      <c r="B105" s="10">
        <f t="shared" si="3"/>
        <v>104</v>
      </c>
      <c r="C105" s="16" t="s">
        <v>39</v>
      </c>
      <c r="D105" s="13">
        <v>1456</v>
      </c>
      <c r="E105" s="13" t="s">
        <v>91</v>
      </c>
      <c r="F105" s="14">
        <v>1</v>
      </c>
      <c r="G105" s="16" t="s">
        <v>71</v>
      </c>
      <c r="H105" s="20">
        <v>3</v>
      </c>
      <c r="I105" s="20">
        <v>65000</v>
      </c>
      <c r="J105" s="20">
        <v>0</v>
      </c>
      <c r="K105" s="20">
        <v>0</v>
      </c>
      <c r="L105" s="20">
        <v>0</v>
      </c>
      <c r="M105" s="20">
        <v>0</v>
      </c>
      <c r="N105" s="20">
        <v>1</v>
      </c>
      <c r="O105" s="20">
        <v>1</v>
      </c>
      <c r="P105" s="20">
        <v>33</v>
      </c>
      <c r="Q105" s="37" t="s">
        <v>92</v>
      </c>
      <c r="R105" s="37" t="s">
        <v>93</v>
      </c>
    </row>
    <row r="106" spans="1:18" ht="21" customHeight="1" x14ac:dyDescent="0.15">
      <c r="A106" s="10">
        <f t="shared" si="3"/>
        <v>105</v>
      </c>
      <c r="B106" s="10">
        <f t="shared" si="3"/>
        <v>105</v>
      </c>
      <c r="C106" s="16" t="s">
        <v>39</v>
      </c>
      <c r="D106" s="13">
        <v>1083</v>
      </c>
      <c r="E106" s="13" t="str">
        <f>IF($C106="unit",VLOOKUP(D106,[1]characters!$A:$C,3,FALSE),VLOOKUP(D106,[2]items!$A:$G,7,FALSE))</f>
        <v>マジシャン</v>
      </c>
      <c r="F106" s="14">
        <v>1</v>
      </c>
      <c r="G106" s="16" t="s">
        <v>71</v>
      </c>
      <c r="H106" s="20">
        <v>3</v>
      </c>
      <c r="I106" s="20">
        <v>200000</v>
      </c>
      <c r="J106" s="20">
        <v>0</v>
      </c>
      <c r="K106" s="20">
        <v>0</v>
      </c>
      <c r="L106" s="20">
        <v>0</v>
      </c>
      <c r="M106" s="20">
        <v>0</v>
      </c>
      <c r="N106" s="20">
        <v>1</v>
      </c>
      <c r="O106" s="20">
        <v>1</v>
      </c>
      <c r="P106" s="20">
        <v>33</v>
      </c>
      <c r="Q106" s="37" t="s">
        <v>92</v>
      </c>
      <c r="R106" s="37" t="s">
        <v>93</v>
      </c>
    </row>
    <row r="107" spans="1:18" ht="21" customHeight="1" x14ac:dyDescent="0.15">
      <c r="A107" s="10">
        <f t="shared" si="3"/>
        <v>106</v>
      </c>
      <c r="B107" s="10">
        <f t="shared" si="3"/>
        <v>106</v>
      </c>
      <c r="C107" s="51" t="s">
        <v>39</v>
      </c>
      <c r="D107" s="52">
        <v>629</v>
      </c>
      <c r="E107" s="52" t="str">
        <f>IF($C107="unit",VLOOKUP(D107,[1]characters!$A:$C,3,FALSE),VLOOKUP(D107,[2]items!$A:$G,7,FALSE))</f>
        <v>チャリオット</v>
      </c>
      <c r="F107" s="53">
        <v>1</v>
      </c>
      <c r="G107" s="51" t="s">
        <v>71</v>
      </c>
      <c r="H107" s="54">
        <v>3</v>
      </c>
      <c r="I107" s="54">
        <v>200000</v>
      </c>
      <c r="J107" s="54">
        <v>0</v>
      </c>
      <c r="K107" s="54">
        <v>0</v>
      </c>
      <c r="L107" s="54">
        <v>0</v>
      </c>
      <c r="M107" s="54">
        <v>0</v>
      </c>
      <c r="N107" s="54">
        <v>1</v>
      </c>
      <c r="O107" s="54">
        <v>1</v>
      </c>
      <c r="P107" s="54">
        <v>33</v>
      </c>
      <c r="Q107" s="37" t="s">
        <v>92</v>
      </c>
      <c r="R107" s="37" t="s">
        <v>93</v>
      </c>
    </row>
    <row r="108" spans="1:18" ht="21" customHeight="1" x14ac:dyDescent="0.15">
      <c r="A108" s="10">
        <f t="shared" si="3"/>
        <v>107</v>
      </c>
      <c r="B108" s="10">
        <f t="shared" si="3"/>
        <v>107</v>
      </c>
      <c r="C108" s="46" t="s">
        <v>39</v>
      </c>
      <c r="D108" s="17">
        <v>1399</v>
      </c>
      <c r="E108" s="17" t="str">
        <f>IF($C108="unit",VLOOKUP(D108,[1]characters!$A:$C,3,FALSE),VLOOKUP(D108,[2]items!$A:$G,7,FALSE))</f>
        <v>ラヴァーズ</v>
      </c>
      <c r="F108" s="47">
        <v>1</v>
      </c>
      <c r="G108" s="46" t="s">
        <v>71</v>
      </c>
      <c r="H108" s="48">
        <v>3</v>
      </c>
      <c r="I108" s="48">
        <v>200000</v>
      </c>
      <c r="J108" s="48">
        <v>0</v>
      </c>
      <c r="K108" s="48">
        <v>0</v>
      </c>
      <c r="L108" s="48">
        <v>0</v>
      </c>
      <c r="M108" s="48">
        <v>0</v>
      </c>
      <c r="N108" s="48">
        <v>1</v>
      </c>
      <c r="O108" s="48">
        <v>1</v>
      </c>
      <c r="P108" s="48">
        <v>33</v>
      </c>
      <c r="Q108" s="37" t="s">
        <v>92</v>
      </c>
      <c r="R108" s="37" t="s">
        <v>93</v>
      </c>
    </row>
    <row r="109" spans="1:18" ht="21" customHeight="1" thickBot="1" x14ac:dyDescent="0.2">
      <c r="A109" s="31">
        <f t="shared" si="3"/>
        <v>108</v>
      </c>
      <c r="B109" s="31">
        <f t="shared" si="3"/>
        <v>108</v>
      </c>
      <c r="C109" s="32" t="s">
        <v>39</v>
      </c>
      <c r="D109" s="33">
        <v>1454</v>
      </c>
      <c r="E109" s="33" t="str">
        <f>IF($C109="unit",VLOOKUP(D109,[1]characters!$A:$C,3,FALSE),VLOOKUP(D109,[2]items!$A:$G,7,FALSE))</f>
        <v>ストレングス</v>
      </c>
      <c r="F109" s="34">
        <v>1</v>
      </c>
      <c r="G109" s="32" t="s">
        <v>71</v>
      </c>
      <c r="H109" s="35">
        <v>3</v>
      </c>
      <c r="I109" s="35">
        <v>200000</v>
      </c>
      <c r="J109" s="35">
        <v>0</v>
      </c>
      <c r="K109" s="35">
        <v>0</v>
      </c>
      <c r="L109" s="35">
        <v>0</v>
      </c>
      <c r="M109" s="35">
        <v>0</v>
      </c>
      <c r="N109" s="35">
        <v>1</v>
      </c>
      <c r="O109" s="35">
        <v>1</v>
      </c>
      <c r="P109" s="35">
        <v>33</v>
      </c>
      <c r="Q109" s="38" t="s">
        <v>92</v>
      </c>
      <c r="R109" s="38" t="s">
        <v>93</v>
      </c>
    </row>
    <row r="110" spans="1:18" ht="21" customHeight="1" x14ac:dyDescent="0.15">
      <c r="A110" s="55">
        <f>ROW()-1</f>
        <v>109</v>
      </c>
      <c r="B110" s="55">
        <f>ROW()-1</f>
        <v>109</v>
      </c>
      <c r="C110" s="56" t="s">
        <v>39</v>
      </c>
      <c r="D110" s="57">
        <v>103</v>
      </c>
      <c r="E110" s="58" t="str">
        <f>IF($C110="unit",VLOOKUP(D110,[1]characters!$A:$C,3,FALSE),VLOOKUP(D110,[2]items!$A:$G,7,FALSE))</f>
        <v>レッドキャタップ</v>
      </c>
      <c r="F110" s="59">
        <v>1</v>
      </c>
      <c r="G110" s="56" t="s">
        <v>69</v>
      </c>
      <c r="H110" s="57">
        <v>50</v>
      </c>
      <c r="I110" s="57">
        <v>1500</v>
      </c>
      <c r="J110" s="57">
        <v>0</v>
      </c>
      <c r="K110" s="57">
        <v>0</v>
      </c>
      <c r="L110" s="57">
        <v>0</v>
      </c>
      <c r="M110" s="57">
        <v>0</v>
      </c>
      <c r="N110" s="57">
        <v>1</v>
      </c>
      <c r="O110" s="57">
        <v>1</v>
      </c>
      <c r="P110" s="57">
        <v>1</v>
      </c>
      <c r="Q110" s="60" t="s">
        <v>94</v>
      </c>
      <c r="R110" s="60" t="s">
        <v>95</v>
      </c>
    </row>
    <row r="111" spans="1:18" ht="21" customHeight="1" x14ac:dyDescent="0.15">
      <c r="A111" s="61">
        <f t="shared" si="3"/>
        <v>110</v>
      </c>
      <c r="B111" s="61">
        <f t="shared" si="3"/>
        <v>110</v>
      </c>
      <c r="C111" s="62" t="s">
        <v>39</v>
      </c>
      <c r="D111" s="63">
        <v>104</v>
      </c>
      <c r="E111" s="58" t="str">
        <f>IF($C111="unit",VLOOKUP(D111,[1]characters!$A:$C,3,FALSE),VLOOKUP(D111,[2]items!$A:$G,7,FALSE))</f>
        <v>炎のマッドハッター</v>
      </c>
      <c r="F111" s="59">
        <v>1</v>
      </c>
      <c r="G111" s="56" t="s">
        <v>69</v>
      </c>
      <c r="H111" s="57">
        <v>50</v>
      </c>
      <c r="I111" s="63">
        <v>2000</v>
      </c>
      <c r="J111" s="57">
        <v>0</v>
      </c>
      <c r="K111" s="57">
        <v>0</v>
      </c>
      <c r="L111" s="57">
        <v>0</v>
      </c>
      <c r="M111" s="57">
        <v>0</v>
      </c>
      <c r="N111" s="57">
        <v>1</v>
      </c>
      <c r="O111" s="57">
        <v>1</v>
      </c>
      <c r="P111" s="57">
        <v>1</v>
      </c>
      <c r="Q111" s="60" t="s">
        <v>94</v>
      </c>
      <c r="R111" s="60" t="s">
        <v>95</v>
      </c>
    </row>
    <row r="112" spans="1:18" ht="21" customHeight="1" x14ac:dyDescent="0.15">
      <c r="A112" s="61">
        <f t="shared" si="3"/>
        <v>111</v>
      </c>
      <c r="B112" s="61">
        <f t="shared" si="3"/>
        <v>111</v>
      </c>
      <c r="C112" s="62" t="s">
        <v>39</v>
      </c>
      <c r="D112" s="63">
        <v>107</v>
      </c>
      <c r="E112" s="58" t="str">
        <f>IF($C112="unit",VLOOKUP(D112,[1]characters!$A:$C,3,FALSE),VLOOKUP(D112,[2]items!$A:$G,7,FALSE))</f>
        <v>グリーンキャタップ</v>
      </c>
      <c r="F112" s="59">
        <v>1</v>
      </c>
      <c r="G112" s="56" t="s">
        <v>69</v>
      </c>
      <c r="H112" s="57">
        <v>50</v>
      </c>
      <c r="I112" s="63">
        <v>1500</v>
      </c>
      <c r="J112" s="57">
        <v>0</v>
      </c>
      <c r="K112" s="57">
        <v>0</v>
      </c>
      <c r="L112" s="57">
        <v>0</v>
      </c>
      <c r="M112" s="57">
        <v>0</v>
      </c>
      <c r="N112" s="57">
        <v>1</v>
      </c>
      <c r="O112" s="57">
        <v>1</v>
      </c>
      <c r="P112" s="57">
        <v>1</v>
      </c>
      <c r="Q112" s="60" t="s">
        <v>94</v>
      </c>
      <c r="R112" s="60" t="s">
        <v>95</v>
      </c>
    </row>
    <row r="113" spans="1:18" ht="21" customHeight="1" x14ac:dyDescent="0.15">
      <c r="A113" s="61">
        <f t="shared" si="3"/>
        <v>112</v>
      </c>
      <c r="B113" s="61">
        <f t="shared" si="3"/>
        <v>112</v>
      </c>
      <c r="C113" s="62" t="s">
        <v>39</v>
      </c>
      <c r="D113" s="63">
        <v>108</v>
      </c>
      <c r="E113" s="58" t="str">
        <f>IF($C113="unit",VLOOKUP(D113,[1]characters!$A:$C,3,FALSE),VLOOKUP(D113,[2]items!$A:$G,7,FALSE))</f>
        <v>森のマッドハッター</v>
      </c>
      <c r="F113" s="59">
        <v>1</v>
      </c>
      <c r="G113" s="56" t="s">
        <v>69</v>
      </c>
      <c r="H113" s="57">
        <v>50</v>
      </c>
      <c r="I113" s="63">
        <v>2000</v>
      </c>
      <c r="J113" s="57">
        <v>0</v>
      </c>
      <c r="K113" s="57">
        <v>0</v>
      </c>
      <c r="L113" s="57">
        <v>0</v>
      </c>
      <c r="M113" s="57">
        <v>0</v>
      </c>
      <c r="N113" s="57">
        <v>1</v>
      </c>
      <c r="O113" s="57">
        <v>1</v>
      </c>
      <c r="P113" s="57">
        <v>1</v>
      </c>
      <c r="Q113" s="60" t="s">
        <v>94</v>
      </c>
      <c r="R113" s="60" t="s">
        <v>95</v>
      </c>
    </row>
    <row r="114" spans="1:18" ht="21" customHeight="1" x14ac:dyDescent="0.15">
      <c r="A114" s="61">
        <f t="shared" si="3"/>
        <v>113</v>
      </c>
      <c r="B114" s="61">
        <f t="shared" si="3"/>
        <v>113</v>
      </c>
      <c r="C114" s="62" t="s">
        <v>39</v>
      </c>
      <c r="D114" s="63">
        <v>111</v>
      </c>
      <c r="E114" s="58" t="str">
        <f>IF($C114="unit",VLOOKUP(D114,[1]characters!$A:$C,3,FALSE),VLOOKUP(D114,[2]items!$A:$G,7,FALSE))</f>
        <v>ブルーキャタップ</v>
      </c>
      <c r="F114" s="59">
        <v>1</v>
      </c>
      <c r="G114" s="56" t="s">
        <v>69</v>
      </c>
      <c r="H114" s="57">
        <v>50</v>
      </c>
      <c r="I114" s="63">
        <v>1500</v>
      </c>
      <c r="J114" s="57">
        <v>0</v>
      </c>
      <c r="K114" s="57">
        <v>0</v>
      </c>
      <c r="L114" s="57">
        <v>0</v>
      </c>
      <c r="M114" s="57">
        <v>0</v>
      </c>
      <c r="N114" s="57">
        <v>1</v>
      </c>
      <c r="O114" s="57">
        <v>1</v>
      </c>
      <c r="P114" s="57">
        <v>1</v>
      </c>
      <c r="Q114" s="60" t="s">
        <v>94</v>
      </c>
      <c r="R114" s="60" t="s">
        <v>95</v>
      </c>
    </row>
    <row r="115" spans="1:18" ht="21" customHeight="1" x14ac:dyDescent="0.15">
      <c r="A115" s="61">
        <f t="shared" si="3"/>
        <v>114</v>
      </c>
      <c r="B115" s="61">
        <f t="shared" si="3"/>
        <v>114</v>
      </c>
      <c r="C115" s="62" t="s">
        <v>39</v>
      </c>
      <c r="D115" s="63">
        <v>112</v>
      </c>
      <c r="E115" s="58" t="str">
        <f>IF($C115="unit",VLOOKUP(D115,[1]characters!$A:$C,3,FALSE),VLOOKUP(D115,[2]items!$A:$G,7,FALSE))</f>
        <v>水のマッドハッター</v>
      </c>
      <c r="F115" s="59">
        <v>1</v>
      </c>
      <c r="G115" s="56" t="s">
        <v>69</v>
      </c>
      <c r="H115" s="57">
        <v>50</v>
      </c>
      <c r="I115" s="63">
        <v>2000</v>
      </c>
      <c r="J115" s="57">
        <v>0</v>
      </c>
      <c r="K115" s="57">
        <v>0</v>
      </c>
      <c r="L115" s="57">
        <v>0</v>
      </c>
      <c r="M115" s="57">
        <v>0</v>
      </c>
      <c r="N115" s="57">
        <v>1</v>
      </c>
      <c r="O115" s="57">
        <v>1</v>
      </c>
      <c r="P115" s="57">
        <v>1</v>
      </c>
      <c r="Q115" s="60" t="s">
        <v>94</v>
      </c>
      <c r="R115" s="60" t="s">
        <v>95</v>
      </c>
    </row>
    <row r="116" spans="1:18" ht="21" customHeight="1" x14ac:dyDescent="0.15">
      <c r="A116" s="61">
        <f t="shared" si="3"/>
        <v>115</v>
      </c>
      <c r="B116" s="61">
        <f t="shared" si="3"/>
        <v>115</v>
      </c>
      <c r="C116" s="62" t="s">
        <v>39</v>
      </c>
      <c r="D116" s="63">
        <v>115</v>
      </c>
      <c r="E116" s="58" t="str">
        <f>IF($C116="unit",VLOOKUP(D116,[1]characters!$A:$C,3,FALSE),VLOOKUP(D116,[2]items!$A:$G,7,FALSE))</f>
        <v>イエローキャタップ</v>
      </c>
      <c r="F116" s="59">
        <v>1</v>
      </c>
      <c r="G116" s="56" t="s">
        <v>69</v>
      </c>
      <c r="H116" s="57">
        <v>50</v>
      </c>
      <c r="I116" s="63">
        <v>1500</v>
      </c>
      <c r="J116" s="57">
        <v>0</v>
      </c>
      <c r="K116" s="57">
        <v>0</v>
      </c>
      <c r="L116" s="57">
        <v>0</v>
      </c>
      <c r="M116" s="57">
        <v>0</v>
      </c>
      <c r="N116" s="57">
        <v>1</v>
      </c>
      <c r="O116" s="57">
        <v>1</v>
      </c>
      <c r="P116" s="57">
        <v>1</v>
      </c>
      <c r="Q116" s="60" t="s">
        <v>94</v>
      </c>
      <c r="R116" s="60" t="s">
        <v>95</v>
      </c>
    </row>
    <row r="117" spans="1:18" ht="21" customHeight="1" x14ac:dyDescent="0.15">
      <c r="A117" s="61">
        <f t="shared" si="3"/>
        <v>116</v>
      </c>
      <c r="B117" s="61">
        <f t="shared" si="3"/>
        <v>116</v>
      </c>
      <c r="C117" s="62" t="s">
        <v>39</v>
      </c>
      <c r="D117" s="63">
        <v>116</v>
      </c>
      <c r="E117" s="63" t="str">
        <f>IF($C117="unit",VLOOKUP(D117,[1]characters!$A:$C,3,FALSE),VLOOKUP(D117,[2]items!$A:$G,7,FALSE))</f>
        <v>雷のマッドハッター</v>
      </c>
      <c r="F117" s="59">
        <v>1</v>
      </c>
      <c r="G117" s="56" t="s">
        <v>69</v>
      </c>
      <c r="H117" s="57">
        <v>50</v>
      </c>
      <c r="I117" s="63">
        <v>2000</v>
      </c>
      <c r="J117" s="57">
        <v>0</v>
      </c>
      <c r="K117" s="57">
        <v>0</v>
      </c>
      <c r="L117" s="57">
        <v>0</v>
      </c>
      <c r="M117" s="57">
        <v>0</v>
      </c>
      <c r="N117" s="57">
        <v>1</v>
      </c>
      <c r="O117" s="57">
        <v>1</v>
      </c>
      <c r="P117" s="57">
        <v>1</v>
      </c>
      <c r="Q117" s="60" t="s">
        <v>94</v>
      </c>
      <c r="R117" s="60" t="s">
        <v>95</v>
      </c>
    </row>
    <row r="118" spans="1:18" ht="21" customHeight="1" x14ac:dyDescent="0.15">
      <c r="A118" s="28">
        <f t="shared" si="3"/>
        <v>117</v>
      </c>
      <c r="B118" s="28">
        <f t="shared" si="3"/>
        <v>117</v>
      </c>
      <c r="C118" s="29" t="s">
        <v>39</v>
      </c>
      <c r="D118" s="18">
        <v>335</v>
      </c>
      <c r="E118" s="18" t="str">
        <f>IF($C118="unit",VLOOKUP(D118,[1]characters!$A:$C,3,FALSE),VLOOKUP(D118,[2]items!$A:$G,7,FALSE))</f>
        <v>炎のメタルジェントル</v>
      </c>
      <c r="F118" s="15">
        <v>1</v>
      </c>
      <c r="G118" s="29" t="s">
        <v>71</v>
      </c>
      <c r="H118" s="30">
        <v>50</v>
      </c>
      <c r="I118" s="30">
        <v>700</v>
      </c>
      <c r="J118" s="30">
        <v>0</v>
      </c>
      <c r="K118" s="30">
        <v>0</v>
      </c>
      <c r="L118" s="30">
        <v>0</v>
      </c>
      <c r="M118" s="30">
        <v>0</v>
      </c>
      <c r="N118" s="30">
        <v>1</v>
      </c>
      <c r="O118" s="30">
        <v>1</v>
      </c>
      <c r="P118" s="30">
        <v>1</v>
      </c>
      <c r="Q118" s="41" t="s">
        <v>94</v>
      </c>
      <c r="R118" s="41" t="s">
        <v>95</v>
      </c>
    </row>
    <row r="119" spans="1:18" ht="21" customHeight="1" x14ac:dyDescent="0.15">
      <c r="A119" s="10">
        <f t="shared" si="3"/>
        <v>118</v>
      </c>
      <c r="B119" s="10">
        <f t="shared" si="3"/>
        <v>118</v>
      </c>
      <c r="C119" s="16" t="s">
        <v>39</v>
      </c>
      <c r="D119" s="13">
        <v>339</v>
      </c>
      <c r="E119" s="13" t="str">
        <f>IF($C119="unit",VLOOKUP(D119,[1]characters!$A:$C,3,FALSE),VLOOKUP(D119,[2]items!$A:$G,7,FALSE))</f>
        <v>森のメタルジェントル</v>
      </c>
      <c r="F119" s="14">
        <v>1</v>
      </c>
      <c r="G119" s="16" t="s">
        <v>71</v>
      </c>
      <c r="H119" s="20">
        <v>50</v>
      </c>
      <c r="I119" s="20">
        <v>700</v>
      </c>
      <c r="J119" s="20">
        <v>0</v>
      </c>
      <c r="K119" s="20">
        <v>0</v>
      </c>
      <c r="L119" s="20">
        <v>0</v>
      </c>
      <c r="M119" s="20">
        <v>0</v>
      </c>
      <c r="N119" s="20">
        <v>1</v>
      </c>
      <c r="O119" s="20">
        <v>1</v>
      </c>
      <c r="P119" s="20">
        <v>1</v>
      </c>
      <c r="Q119" s="37" t="s">
        <v>94</v>
      </c>
      <c r="R119" s="37" t="s">
        <v>95</v>
      </c>
    </row>
    <row r="120" spans="1:18" ht="21" customHeight="1" x14ac:dyDescent="0.15">
      <c r="A120" s="10">
        <f t="shared" si="3"/>
        <v>119</v>
      </c>
      <c r="B120" s="10">
        <f t="shared" si="3"/>
        <v>119</v>
      </c>
      <c r="C120" s="16" t="s">
        <v>39</v>
      </c>
      <c r="D120" s="13">
        <v>343</v>
      </c>
      <c r="E120" s="13" t="str">
        <f>IF($C120="unit",VLOOKUP(D120,[1]characters!$A:$C,3,FALSE),VLOOKUP(D120,[2]items!$A:$G,7,FALSE))</f>
        <v>水のメタルジェントル</v>
      </c>
      <c r="F120" s="14">
        <v>1</v>
      </c>
      <c r="G120" s="16" t="s">
        <v>71</v>
      </c>
      <c r="H120" s="20">
        <v>50</v>
      </c>
      <c r="I120" s="20">
        <v>700</v>
      </c>
      <c r="J120" s="20">
        <v>0</v>
      </c>
      <c r="K120" s="20">
        <v>0</v>
      </c>
      <c r="L120" s="20">
        <v>0</v>
      </c>
      <c r="M120" s="20">
        <v>0</v>
      </c>
      <c r="N120" s="20">
        <v>1</v>
      </c>
      <c r="O120" s="20">
        <v>1</v>
      </c>
      <c r="P120" s="20">
        <v>1</v>
      </c>
      <c r="Q120" s="37" t="s">
        <v>94</v>
      </c>
      <c r="R120" s="37" t="s">
        <v>95</v>
      </c>
    </row>
    <row r="121" spans="1:18" ht="21" customHeight="1" x14ac:dyDescent="0.15">
      <c r="A121" s="10">
        <f t="shared" si="3"/>
        <v>120</v>
      </c>
      <c r="B121" s="10">
        <f t="shared" si="3"/>
        <v>120</v>
      </c>
      <c r="C121" s="16" t="s">
        <v>39</v>
      </c>
      <c r="D121" s="13">
        <v>347</v>
      </c>
      <c r="E121" s="13" t="str">
        <f>IF($C121="unit",VLOOKUP(D121,[1]characters!$A:$C,3,FALSE),VLOOKUP(D121,[2]items!$A:$G,7,FALSE))</f>
        <v>雷のメタルジェントル</v>
      </c>
      <c r="F121" s="14">
        <v>1</v>
      </c>
      <c r="G121" s="16" t="s">
        <v>71</v>
      </c>
      <c r="H121" s="20">
        <v>50</v>
      </c>
      <c r="I121" s="20">
        <v>700</v>
      </c>
      <c r="J121" s="20">
        <v>0</v>
      </c>
      <c r="K121" s="20">
        <v>0</v>
      </c>
      <c r="L121" s="20">
        <v>0</v>
      </c>
      <c r="M121" s="20">
        <v>0</v>
      </c>
      <c r="N121" s="20">
        <v>1</v>
      </c>
      <c r="O121" s="20">
        <v>1</v>
      </c>
      <c r="P121" s="20">
        <v>1</v>
      </c>
      <c r="Q121" s="37" t="s">
        <v>94</v>
      </c>
      <c r="R121" s="37" t="s">
        <v>95</v>
      </c>
    </row>
    <row r="122" spans="1:18" ht="21" customHeight="1" x14ac:dyDescent="0.15">
      <c r="A122" s="10">
        <f t="shared" si="3"/>
        <v>121</v>
      </c>
      <c r="B122" s="10">
        <f t="shared" si="3"/>
        <v>121</v>
      </c>
      <c r="C122" s="16" t="s">
        <v>39</v>
      </c>
      <c r="D122" s="13">
        <v>611</v>
      </c>
      <c r="E122" s="13" t="str">
        <f>IF($C122="unit",VLOOKUP(D122,[1]characters!$A:$C,3,FALSE),VLOOKUP(D122,[2]items!$A:$G,7,FALSE))</f>
        <v>ギガ攻めの果実</v>
      </c>
      <c r="F122" s="14">
        <v>1</v>
      </c>
      <c r="G122" s="16" t="s">
        <v>71</v>
      </c>
      <c r="H122" s="20">
        <v>12</v>
      </c>
      <c r="I122" s="20">
        <v>1400</v>
      </c>
      <c r="J122" s="20">
        <v>0</v>
      </c>
      <c r="K122" s="20">
        <v>0</v>
      </c>
      <c r="L122" s="20">
        <v>0</v>
      </c>
      <c r="M122" s="20">
        <v>0</v>
      </c>
      <c r="N122" s="20">
        <v>1</v>
      </c>
      <c r="O122" s="20">
        <v>1</v>
      </c>
      <c r="P122" s="20">
        <v>1</v>
      </c>
      <c r="Q122" s="37" t="s">
        <v>94</v>
      </c>
      <c r="R122" s="37" t="s">
        <v>95</v>
      </c>
    </row>
    <row r="123" spans="1:18" ht="21" customHeight="1" x14ac:dyDescent="0.15">
      <c r="A123" s="10">
        <f t="shared" si="3"/>
        <v>122</v>
      </c>
      <c r="B123" s="10">
        <f t="shared" si="3"/>
        <v>122</v>
      </c>
      <c r="C123" s="16" t="s">
        <v>39</v>
      </c>
      <c r="D123" s="13">
        <v>612</v>
      </c>
      <c r="E123" s="13" t="str">
        <f>IF($C123="unit",VLOOKUP(D123,[1]characters!$A:$C,3,FALSE),VLOOKUP(D123,[2]items!$A:$G,7,FALSE))</f>
        <v>ギガ生命の果実</v>
      </c>
      <c r="F123" s="14">
        <v>1</v>
      </c>
      <c r="G123" s="16" t="s">
        <v>71</v>
      </c>
      <c r="H123" s="20">
        <v>12</v>
      </c>
      <c r="I123" s="20">
        <v>1400</v>
      </c>
      <c r="J123" s="20">
        <v>0</v>
      </c>
      <c r="K123" s="20">
        <v>0</v>
      </c>
      <c r="L123" s="20">
        <v>0</v>
      </c>
      <c r="M123" s="20">
        <v>0</v>
      </c>
      <c r="N123" s="20">
        <v>1</v>
      </c>
      <c r="O123" s="20">
        <v>1</v>
      </c>
      <c r="P123" s="20">
        <v>1</v>
      </c>
      <c r="Q123" s="37" t="s">
        <v>94</v>
      </c>
      <c r="R123" s="37" t="s">
        <v>95</v>
      </c>
    </row>
    <row r="124" spans="1:18" ht="21" customHeight="1" x14ac:dyDescent="0.15">
      <c r="A124" s="10">
        <f t="shared" si="3"/>
        <v>123</v>
      </c>
      <c r="B124" s="10">
        <f t="shared" si="3"/>
        <v>123</v>
      </c>
      <c r="C124" s="16" t="s">
        <v>39</v>
      </c>
      <c r="D124" s="13">
        <v>613</v>
      </c>
      <c r="E124" s="13" t="str">
        <f>IF($C124="unit",VLOOKUP(D124,[1]characters!$A:$C,3,FALSE),VLOOKUP(D124,[2]items!$A:$G,7,FALSE))</f>
        <v>ギガ癒しの果実</v>
      </c>
      <c r="F124" s="14">
        <v>1</v>
      </c>
      <c r="G124" s="16" t="s">
        <v>71</v>
      </c>
      <c r="H124" s="20">
        <v>12</v>
      </c>
      <c r="I124" s="20">
        <v>1400</v>
      </c>
      <c r="J124" s="20">
        <v>0</v>
      </c>
      <c r="K124" s="20">
        <v>0</v>
      </c>
      <c r="L124" s="20">
        <v>0</v>
      </c>
      <c r="M124" s="20">
        <v>0</v>
      </c>
      <c r="N124" s="20">
        <v>1</v>
      </c>
      <c r="O124" s="20">
        <v>1</v>
      </c>
      <c r="P124" s="20">
        <v>1</v>
      </c>
      <c r="Q124" s="37" t="s">
        <v>94</v>
      </c>
      <c r="R124" s="37" t="s">
        <v>95</v>
      </c>
    </row>
    <row r="125" spans="1:18" ht="21" customHeight="1" x14ac:dyDescent="0.15">
      <c r="A125" s="10">
        <f t="shared" ref="A125:B148" si="4">ROW()-1</f>
        <v>124</v>
      </c>
      <c r="B125" s="10">
        <f t="shared" si="4"/>
        <v>124</v>
      </c>
      <c r="C125" s="16" t="s">
        <v>39</v>
      </c>
      <c r="D125" s="13">
        <v>614</v>
      </c>
      <c r="E125" s="13" t="str">
        <f>IF($C125="unit",VLOOKUP(D125,[1]characters!$A:$C,3,FALSE),VLOOKUP(D125,[2]items!$A:$G,7,FALSE))</f>
        <v>ギガ秘術の果実</v>
      </c>
      <c r="F125" s="14">
        <v>1</v>
      </c>
      <c r="G125" s="16" t="s">
        <v>71</v>
      </c>
      <c r="H125" s="20">
        <v>12</v>
      </c>
      <c r="I125" s="20">
        <v>2000</v>
      </c>
      <c r="J125" s="20">
        <v>0</v>
      </c>
      <c r="K125" s="20">
        <v>0</v>
      </c>
      <c r="L125" s="20">
        <v>0</v>
      </c>
      <c r="M125" s="20">
        <v>0</v>
      </c>
      <c r="N125" s="20">
        <v>1</v>
      </c>
      <c r="O125" s="20">
        <v>1</v>
      </c>
      <c r="P125" s="20">
        <v>1</v>
      </c>
      <c r="Q125" s="37" t="s">
        <v>94</v>
      </c>
      <c r="R125" s="37" t="s">
        <v>95</v>
      </c>
    </row>
    <row r="126" spans="1:18" ht="21" customHeight="1" x14ac:dyDescent="0.15">
      <c r="A126" s="10">
        <f t="shared" si="4"/>
        <v>125</v>
      </c>
      <c r="B126" s="10">
        <f t="shared" si="4"/>
        <v>125</v>
      </c>
      <c r="C126" s="16" t="s">
        <v>45</v>
      </c>
      <c r="D126" s="13">
        <v>1</v>
      </c>
      <c r="E126" s="13" t="str">
        <f>IF($C126="unit",VLOOKUP(D126,[1]characters!$A:$C,3,FALSE),VLOOKUP(D126,[2]items!$A:$G,7,FALSE))</f>
        <v>マスターキー</v>
      </c>
      <c r="F126" s="14">
        <v>1</v>
      </c>
      <c r="G126" s="16" t="s">
        <v>71</v>
      </c>
      <c r="H126" s="20">
        <v>12</v>
      </c>
      <c r="I126" s="20">
        <v>3000</v>
      </c>
      <c r="J126" s="20">
        <v>0</v>
      </c>
      <c r="K126" s="20">
        <v>0</v>
      </c>
      <c r="L126" s="20">
        <v>0</v>
      </c>
      <c r="M126" s="20">
        <v>0</v>
      </c>
      <c r="N126" s="20">
        <v>1</v>
      </c>
      <c r="O126" s="20">
        <v>1</v>
      </c>
      <c r="P126" s="20">
        <v>1</v>
      </c>
      <c r="Q126" s="37" t="s">
        <v>94</v>
      </c>
      <c r="R126" s="37" t="s">
        <v>95</v>
      </c>
    </row>
    <row r="127" spans="1:18" ht="21" customHeight="1" x14ac:dyDescent="0.15">
      <c r="A127" s="10">
        <f t="shared" si="4"/>
        <v>126</v>
      </c>
      <c r="B127" s="10">
        <f t="shared" si="4"/>
        <v>126</v>
      </c>
      <c r="C127" s="16" t="s">
        <v>39</v>
      </c>
      <c r="D127" s="13">
        <v>837</v>
      </c>
      <c r="E127" s="13" t="str">
        <f>IF($C127="unit",VLOOKUP(D127,[1]characters!$A:$C,3,FALSE),VLOOKUP(D127,[2]items!$A:$G,7,FALSE))</f>
        <v>リトルハンプティ</v>
      </c>
      <c r="F127" s="14">
        <v>1</v>
      </c>
      <c r="G127" s="16" t="s">
        <v>71</v>
      </c>
      <c r="H127" s="20">
        <v>12</v>
      </c>
      <c r="I127" s="20">
        <v>4000</v>
      </c>
      <c r="J127" s="20">
        <v>0</v>
      </c>
      <c r="K127" s="20">
        <v>0</v>
      </c>
      <c r="L127" s="20">
        <v>0</v>
      </c>
      <c r="M127" s="20">
        <v>0</v>
      </c>
      <c r="N127" s="20">
        <v>1</v>
      </c>
      <c r="O127" s="20">
        <v>1</v>
      </c>
      <c r="P127" s="20">
        <v>1</v>
      </c>
      <c r="Q127" s="37" t="s">
        <v>94</v>
      </c>
      <c r="R127" s="37" t="s">
        <v>95</v>
      </c>
    </row>
    <row r="128" spans="1:18" ht="21" customHeight="1" x14ac:dyDescent="0.15">
      <c r="A128" s="10">
        <f t="shared" si="4"/>
        <v>127</v>
      </c>
      <c r="B128" s="10">
        <f t="shared" si="4"/>
        <v>127</v>
      </c>
      <c r="C128" s="16" t="s">
        <v>39</v>
      </c>
      <c r="D128" s="13">
        <v>1369</v>
      </c>
      <c r="E128" s="13" t="str">
        <f>IF($C128="unit",VLOOKUP(D128,[1]characters!$A:$C,3,FALSE),VLOOKUP(D128,[2]items!$A:$G,7,FALSE))</f>
        <v>トロイア</v>
      </c>
      <c r="F128" s="14">
        <v>1</v>
      </c>
      <c r="G128" s="16" t="s">
        <v>71</v>
      </c>
      <c r="H128" s="20">
        <v>3</v>
      </c>
      <c r="I128" s="20">
        <v>65000</v>
      </c>
      <c r="J128" s="20">
        <v>0</v>
      </c>
      <c r="K128" s="20">
        <v>0</v>
      </c>
      <c r="L128" s="20">
        <v>0</v>
      </c>
      <c r="M128" s="20">
        <v>0</v>
      </c>
      <c r="N128" s="20">
        <v>1</v>
      </c>
      <c r="O128" s="20">
        <v>1</v>
      </c>
      <c r="P128" s="20">
        <v>33</v>
      </c>
      <c r="Q128" s="37" t="s">
        <v>94</v>
      </c>
      <c r="R128" s="37" t="s">
        <v>95</v>
      </c>
    </row>
    <row r="129" spans="1:18" ht="21" customHeight="1" x14ac:dyDescent="0.15">
      <c r="A129" s="10">
        <f t="shared" si="4"/>
        <v>128</v>
      </c>
      <c r="B129" s="10">
        <f t="shared" si="4"/>
        <v>128</v>
      </c>
      <c r="C129" s="16" t="s">
        <v>39</v>
      </c>
      <c r="D129" s="13">
        <v>627</v>
      </c>
      <c r="E129" s="13" t="str">
        <f>IF($C129="unit",VLOOKUP(D129,[1]characters!$A:$C,3,FALSE),VLOOKUP(D129,[2]items!$A:$G,7,FALSE))</f>
        <v>メガラニカ</v>
      </c>
      <c r="F129" s="14">
        <v>1</v>
      </c>
      <c r="G129" s="16" t="s">
        <v>71</v>
      </c>
      <c r="H129" s="20">
        <v>3</v>
      </c>
      <c r="I129" s="20">
        <v>65000</v>
      </c>
      <c r="J129" s="20">
        <v>0</v>
      </c>
      <c r="K129" s="20">
        <v>0</v>
      </c>
      <c r="L129" s="20">
        <v>0</v>
      </c>
      <c r="M129" s="20">
        <v>0</v>
      </c>
      <c r="N129" s="20">
        <v>1</v>
      </c>
      <c r="O129" s="20">
        <v>1</v>
      </c>
      <c r="P129" s="20">
        <v>33</v>
      </c>
      <c r="Q129" s="37" t="s">
        <v>94</v>
      </c>
      <c r="R129" s="37" t="s">
        <v>95</v>
      </c>
    </row>
    <row r="130" spans="1:18" ht="21" customHeight="1" x14ac:dyDescent="0.15">
      <c r="A130" s="10">
        <f t="shared" si="4"/>
        <v>129</v>
      </c>
      <c r="B130" s="10">
        <f t="shared" si="4"/>
        <v>129</v>
      </c>
      <c r="C130" s="16" t="s">
        <v>39</v>
      </c>
      <c r="D130" s="13">
        <v>1401</v>
      </c>
      <c r="E130" s="13" t="str">
        <f>IF($C130="unit",VLOOKUP(D130,[1]characters!$A:$C,3,FALSE),VLOOKUP(D130,[2]items!$A:$G,7,FALSE))</f>
        <v>レムリア</v>
      </c>
      <c r="F130" s="14">
        <v>1</v>
      </c>
      <c r="G130" s="16" t="s">
        <v>71</v>
      </c>
      <c r="H130" s="20">
        <v>3</v>
      </c>
      <c r="I130" s="20">
        <v>65000</v>
      </c>
      <c r="J130" s="20">
        <v>0</v>
      </c>
      <c r="K130" s="20">
        <v>0</v>
      </c>
      <c r="L130" s="20">
        <v>0</v>
      </c>
      <c r="M130" s="20">
        <v>0</v>
      </c>
      <c r="N130" s="20">
        <v>1</v>
      </c>
      <c r="O130" s="20">
        <v>1</v>
      </c>
      <c r="P130" s="20">
        <v>33</v>
      </c>
      <c r="Q130" s="37" t="s">
        <v>94</v>
      </c>
      <c r="R130" s="37" t="s">
        <v>95</v>
      </c>
    </row>
    <row r="131" spans="1:18" ht="21" customHeight="1" x14ac:dyDescent="0.15">
      <c r="A131" s="10">
        <f t="shared" si="4"/>
        <v>130</v>
      </c>
      <c r="B131" s="10">
        <f t="shared" si="4"/>
        <v>130</v>
      </c>
      <c r="C131" s="16" t="s">
        <v>39</v>
      </c>
      <c r="D131" s="13">
        <v>1456</v>
      </c>
      <c r="E131" s="13" t="s">
        <v>91</v>
      </c>
      <c r="F131" s="14">
        <v>1</v>
      </c>
      <c r="G131" s="16" t="s">
        <v>71</v>
      </c>
      <c r="H131" s="20">
        <v>3</v>
      </c>
      <c r="I131" s="20">
        <v>65000</v>
      </c>
      <c r="J131" s="20">
        <v>0</v>
      </c>
      <c r="K131" s="20">
        <v>0</v>
      </c>
      <c r="L131" s="20">
        <v>0</v>
      </c>
      <c r="M131" s="20">
        <v>0</v>
      </c>
      <c r="N131" s="20">
        <v>1</v>
      </c>
      <c r="O131" s="20">
        <v>1</v>
      </c>
      <c r="P131" s="20">
        <v>33</v>
      </c>
      <c r="Q131" s="37" t="s">
        <v>94</v>
      </c>
      <c r="R131" s="37" t="s">
        <v>95</v>
      </c>
    </row>
    <row r="132" spans="1:18" ht="21" customHeight="1" x14ac:dyDescent="0.15">
      <c r="A132" s="10">
        <f t="shared" si="4"/>
        <v>131</v>
      </c>
      <c r="B132" s="10">
        <f t="shared" si="4"/>
        <v>131</v>
      </c>
      <c r="C132" s="16" t="s">
        <v>39</v>
      </c>
      <c r="D132" s="13">
        <v>1083</v>
      </c>
      <c r="E132" s="13" t="str">
        <f>IF($C132="unit",VLOOKUP(D132,[1]characters!$A:$C,3,FALSE),VLOOKUP(D132,[2]items!$A:$G,7,FALSE))</f>
        <v>マジシャン</v>
      </c>
      <c r="F132" s="14">
        <v>1</v>
      </c>
      <c r="G132" s="16" t="s">
        <v>71</v>
      </c>
      <c r="H132" s="20">
        <v>3</v>
      </c>
      <c r="I132" s="20">
        <v>200000</v>
      </c>
      <c r="J132" s="20">
        <v>0</v>
      </c>
      <c r="K132" s="20">
        <v>0</v>
      </c>
      <c r="L132" s="20">
        <v>0</v>
      </c>
      <c r="M132" s="20">
        <v>0</v>
      </c>
      <c r="N132" s="20">
        <v>1</v>
      </c>
      <c r="O132" s="20">
        <v>1</v>
      </c>
      <c r="P132" s="20">
        <v>33</v>
      </c>
      <c r="Q132" s="37" t="s">
        <v>94</v>
      </c>
      <c r="R132" s="37" t="s">
        <v>95</v>
      </c>
    </row>
    <row r="133" spans="1:18" ht="21" customHeight="1" x14ac:dyDescent="0.15">
      <c r="A133" s="10">
        <f t="shared" si="4"/>
        <v>132</v>
      </c>
      <c r="B133" s="10">
        <f t="shared" si="4"/>
        <v>132</v>
      </c>
      <c r="C133" s="51" t="s">
        <v>39</v>
      </c>
      <c r="D133" s="52">
        <v>629</v>
      </c>
      <c r="E133" s="52" t="str">
        <f>IF($C133="unit",VLOOKUP(D133,[1]characters!$A:$C,3,FALSE),VLOOKUP(D133,[2]items!$A:$G,7,FALSE))</f>
        <v>チャリオット</v>
      </c>
      <c r="F133" s="53">
        <v>1</v>
      </c>
      <c r="G133" s="51" t="s">
        <v>71</v>
      </c>
      <c r="H133" s="54">
        <v>3</v>
      </c>
      <c r="I133" s="54">
        <v>200000</v>
      </c>
      <c r="J133" s="54">
        <v>0</v>
      </c>
      <c r="K133" s="54">
        <v>0</v>
      </c>
      <c r="L133" s="54">
        <v>0</v>
      </c>
      <c r="M133" s="54">
        <v>0</v>
      </c>
      <c r="N133" s="54">
        <v>1</v>
      </c>
      <c r="O133" s="54">
        <v>1</v>
      </c>
      <c r="P133" s="54">
        <v>33</v>
      </c>
      <c r="Q133" s="37" t="s">
        <v>94</v>
      </c>
      <c r="R133" s="37" t="s">
        <v>95</v>
      </c>
    </row>
    <row r="134" spans="1:18" ht="21" customHeight="1" x14ac:dyDescent="0.15">
      <c r="A134" s="10">
        <f t="shared" si="4"/>
        <v>133</v>
      </c>
      <c r="B134" s="10">
        <f t="shared" si="4"/>
        <v>133</v>
      </c>
      <c r="C134" s="46" t="s">
        <v>39</v>
      </c>
      <c r="D134" s="17">
        <v>1399</v>
      </c>
      <c r="E134" s="17" t="str">
        <f>IF($C134="unit",VLOOKUP(D134,[1]characters!$A:$C,3,FALSE),VLOOKUP(D134,[2]items!$A:$G,7,FALSE))</f>
        <v>ラヴァーズ</v>
      </c>
      <c r="F134" s="47">
        <v>1</v>
      </c>
      <c r="G134" s="46" t="s">
        <v>71</v>
      </c>
      <c r="H134" s="48">
        <v>3</v>
      </c>
      <c r="I134" s="48">
        <v>200000</v>
      </c>
      <c r="J134" s="48">
        <v>0</v>
      </c>
      <c r="K134" s="48">
        <v>0</v>
      </c>
      <c r="L134" s="48">
        <v>0</v>
      </c>
      <c r="M134" s="48">
        <v>0</v>
      </c>
      <c r="N134" s="48">
        <v>1</v>
      </c>
      <c r="O134" s="48">
        <v>1</v>
      </c>
      <c r="P134" s="48">
        <v>33</v>
      </c>
      <c r="Q134" s="37" t="s">
        <v>94</v>
      </c>
      <c r="R134" s="37" t="s">
        <v>95</v>
      </c>
    </row>
    <row r="135" spans="1:18" ht="21" customHeight="1" thickBot="1" x14ac:dyDescent="0.2">
      <c r="A135" s="31">
        <f t="shared" si="4"/>
        <v>134</v>
      </c>
      <c r="B135" s="31">
        <f t="shared" si="4"/>
        <v>134</v>
      </c>
      <c r="C135" s="32" t="s">
        <v>39</v>
      </c>
      <c r="D135" s="33">
        <v>1454</v>
      </c>
      <c r="E135" s="33" t="str">
        <f>IF($C135="unit",VLOOKUP(D135,[1]characters!$A:$C,3,FALSE),VLOOKUP(D135,[2]items!$A:$G,7,FALSE))</f>
        <v>ストレングス</v>
      </c>
      <c r="F135" s="34">
        <v>1</v>
      </c>
      <c r="G135" s="32" t="s">
        <v>71</v>
      </c>
      <c r="H135" s="35">
        <v>3</v>
      </c>
      <c r="I135" s="35">
        <v>200000</v>
      </c>
      <c r="J135" s="35">
        <v>0</v>
      </c>
      <c r="K135" s="35">
        <v>0</v>
      </c>
      <c r="L135" s="35">
        <v>0</v>
      </c>
      <c r="M135" s="35">
        <v>0</v>
      </c>
      <c r="N135" s="35">
        <v>1</v>
      </c>
      <c r="O135" s="35">
        <v>1</v>
      </c>
      <c r="P135" s="35">
        <v>33</v>
      </c>
      <c r="Q135" s="38" t="s">
        <v>94</v>
      </c>
      <c r="R135" s="38" t="s">
        <v>95</v>
      </c>
    </row>
    <row r="136" spans="1:18" ht="21" customHeight="1" x14ac:dyDescent="0.15">
      <c r="A136" s="55">
        <f>ROW()-1</f>
        <v>135</v>
      </c>
      <c r="B136" s="55">
        <f>ROW()-1</f>
        <v>135</v>
      </c>
      <c r="C136" s="56" t="s">
        <v>39</v>
      </c>
      <c r="D136" s="57">
        <v>103</v>
      </c>
      <c r="E136" s="58" t="str">
        <f>IF($C136="unit",VLOOKUP(D136,[1]characters!$A:$C,3,FALSE),VLOOKUP(D136,[2]items!$A:$G,7,FALSE))</f>
        <v>レッドキャタップ</v>
      </c>
      <c r="F136" s="59">
        <v>1</v>
      </c>
      <c r="G136" s="56" t="s">
        <v>69</v>
      </c>
      <c r="H136" s="57">
        <v>50</v>
      </c>
      <c r="I136" s="57">
        <v>1500</v>
      </c>
      <c r="J136" s="57">
        <v>0</v>
      </c>
      <c r="K136" s="57">
        <v>0</v>
      </c>
      <c r="L136" s="57">
        <v>0</v>
      </c>
      <c r="M136" s="57">
        <v>0</v>
      </c>
      <c r="N136" s="57">
        <v>1</v>
      </c>
      <c r="O136" s="57">
        <v>1</v>
      </c>
      <c r="P136" s="57">
        <v>1</v>
      </c>
      <c r="Q136" s="41" t="s">
        <v>104</v>
      </c>
      <c r="R136" s="41" t="s">
        <v>97</v>
      </c>
    </row>
    <row r="137" spans="1:18" ht="21" customHeight="1" x14ac:dyDescent="0.15">
      <c r="A137" s="61">
        <f t="shared" ref="A137:B143" si="5">ROW()-1</f>
        <v>136</v>
      </c>
      <c r="B137" s="61">
        <f t="shared" si="5"/>
        <v>136</v>
      </c>
      <c r="C137" s="62" t="s">
        <v>39</v>
      </c>
      <c r="D137" s="63">
        <v>104</v>
      </c>
      <c r="E137" s="58" t="str">
        <f>IF($C137="unit",VLOOKUP(D137,[1]characters!$A:$C,3,FALSE),VLOOKUP(D137,[2]items!$A:$G,7,FALSE))</f>
        <v>炎のマッドハッター</v>
      </c>
      <c r="F137" s="59">
        <v>1</v>
      </c>
      <c r="G137" s="56" t="s">
        <v>69</v>
      </c>
      <c r="H137" s="57">
        <v>50</v>
      </c>
      <c r="I137" s="63">
        <v>2000</v>
      </c>
      <c r="J137" s="57">
        <v>0</v>
      </c>
      <c r="K137" s="57">
        <v>0</v>
      </c>
      <c r="L137" s="57">
        <v>0</v>
      </c>
      <c r="M137" s="57">
        <v>0</v>
      </c>
      <c r="N137" s="57">
        <v>1</v>
      </c>
      <c r="O137" s="57">
        <v>1</v>
      </c>
      <c r="P137" s="57">
        <v>1</v>
      </c>
      <c r="Q137" s="37" t="s">
        <v>104</v>
      </c>
      <c r="R137" s="37" t="s">
        <v>97</v>
      </c>
    </row>
    <row r="138" spans="1:18" ht="21" customHeight="1" x14ac:dyDescent="0.15">
      <c r="A138" s="61">
        <f t="shared" si="5"/>
        <v>137</v>
      </c>
      <c r="B138" s="61">
        <f t="shared" si="5"/>
        <v>137</v>
      </c>
      <c r="C138" s="62" t="s">
        <v>39</v>
      </c>
      <c r="D138" s="63">
        <v>107</v>
      </c>
      <c r="E138" s="58" t="str">
        <f>IF($C138="unit",VLOOKUP(D138,[1]characters!$A:$C,3,FALSE),VLOOKUP(D138,[2]items!$A:$G,7,FALSE))</f>
        <v>グリーンキャタップ</v>
      </c>
      <c r="F138" s="59">
        <v>1</v>
      </c>
      <c r="G138" s="56" t="s">
        <v>69</v>
      </c>
      <c r="H138" s="57">
        <v>50</v>
      </c>
      <c r="I138" s="63">
        <v>1500</v>
      </c>
      <c r="J138" s="57">
        <v>0</v>
      </c>
      <c r="K138" s="57">
        <v>0</v>
      </c>
      <c r="L138" s="57">
        <v>0</v>
      </c>
      <c r="M138" s="57">
        <v>0</v>
      </c>
      <c r="N138" s="57">
        <v>1</v>
      </c>
      <c r="O138" s="57">
        <v>1</v>
      </c>
      <c r="P138" s="57">
        <v>1</v>
      </c>
      <c r="Q138" s="37" t="s">
        <v>104</v>
      </c>
      <c r="R138" s="37" t="s">
        <v>97</v>
      </c>
    </row>
    <row r="139" spans="1:18" ht="21" customHeight="1" x14ac:dyDescent="0.15">
      <c r="A139" s="61">
        <f t="shared" si="5"/>
        <v>138</v>
      </c>
      <c r="B139" s="61">
        <f t="shared" si="5"/>
        <v>138</v>
      </c>
      <c r="C139" s="62" t="s">
        <v>39</v>
      </c>
      <c r="D139" s="63">
        <v>108</v>
      </c>
      <c r="E139" s="58" t="str">
        <f>IF($C139="unit",VLOOKUP(D139,[1]characters!$A:$C,3,FALSE),VLOOKUP(D139,[2]items!$A:$G,7,FALSE))</f>
        <v>森のマッドハッター</v>
      </c>
      <c r="F139" s="59">
        <v>1</v>
      </c>
      <c r="G139" s="56" t="s">
        <v>69</v>
      </c>
      <c r="H139" s="57">
        <v>50</v>
      </c>
      <c r="I139" s="63">
        <v>2000</v>
      </c>
      <c r="J139" s="57">
        <v>0</v>
      </c>
      <c r="K139" s="57">
        <v>0</v>
      </c>
      <c r="L139" s="57">
        <v>0</v>
      </c>
      <c r="M139" s="57">
        <v>0</v>
      </c>
      <c r="N139" s="57">
        <v>1</v>
      </c>
      <c r="O139" s="57">
        <v>1</v>
      </c>
      <c r="P139" s="57">
        <v>1</v>
      </c>
      <c r="Q139" s="37" t="s">
        <v>104</v>
      </c>
      <c r="R139" s="37" t="s">
        <v>97</v>
      </c>
    </row>
    <row r="140" spans="1:18" ht="21" customHeight="1" x14ac:dyDescent="0.15">
      <c r="A140" s="61">
        <f t="shared" si="5"/>
        <v>139</v>
      </c>
      <c r="B140" s="61">
        <f t="shared" si="5"/>
        <v>139</v>
      </c>
      <c r="C140" s="62" t="s">
        <v>39</v>
      </c>
      <c r="D140" s="63">
        <v>111</v>
      </c>
      <c r="E140" s="58" t="str">
        <f>IF($C140="unit",VLOOKUP(D140,[1]characters!$A:$C,3,FALSE),VLOOKUP(D140,[2]items!$A:$G,7,FALSE))</f>
        <v>ブルーキャタップ</v>
      </c>
      <c r="F140" s="59">
        <v>1</v>
      </c>
      <c r="G140" s="56" t="s">
        <v>69</v>
      </c>
      <c r="H140" s="57">
        <v>50</v>
      </c>
      <c r="I140" s="63">
        <v>1500</v>
      </c>
      <c r="J140" s="57">
        <v>0</v>
      </c>
      <c r="K140" s="57">
        <v>0</v>
      </c>
      <c r="L140" s="57">
        <v>0</v>
      </c>
      <c r="M140" s="57">
        <v>0</v>
      </c>
      <c r="N140" s="57">
        <v>1</v>
      </c>
      <c r="O140" s="57">
        <v>1</v>
      </c>
      <c r="P140" s="57">
        <v>1</v>
      </c>
      <c r="Q140" s="37" t="s">
        <v>104</v>
      </c>
      <c r="R140" s="37" t="s">
        <v>97</v>
      </c>
    </row>
    <row r="141" spans="1:18" ht="21" customHeight="1" x14ac:dyDescent="0.15">
      <c r="A141" s="61">
        <f t="shared" si="5"/>
        <v>140</v>
      </c>
      <c r="B141" s="61">
        <f t="shared" si="5"/>
        <v>140</v>
      </c>
      <c r="C141" s="62" t="s">
        <v>39</v>
      </c>
      <c r="D141" s="63">
        <v>112</v>
      </c>
      <c r="E141" s="58" t="str">
        <f>IF($C141="unit",VLOOKUP(D141,[1]characters!$A:$C,3,FALSE),VLOOKUP(D141,[2]items!$A:$G,7,FALSE))</f>
        <v>水のマッドハッター</v>
      </c>
      <c r="F141" s="59">
        <v>1</v>
      </c>
      <c r="G141" s="56" t="s">
        <v>69</v>
      </c>
      <c r="H141" s="57">
        <v>50</v>
      </c>
      <c r="I141" s="63">
        <v>2000</v>
      </c>
      <c r="J141" s="57">
        <v>0</v>
      </c>
      <c r="K141" s="57">
        <v>0</v>
      </c>
      <c r="L141" s="57">
        <v>0</v>
      </c>
      <c r="M141" s="57">
        <v>0</v>
      </c>
      <c r="N141" s="57">
        <v>1</v>
      </c>
      <c r="O141" s="57">
        <v>1</v>
      </c>
      <c r="P141" s="57">
        <v>1</v>
      </c>
      <c r="Q141" s="37" t="s">
        <v>104</v>
      </c>
      <c r="R141" s="37" t="s">
        <v>97</v>
      </c>
    </row>
    <row r="142" spans="1:18" ht="21" customHeight="1" x14ac:dyDescent="0.15">
      <c r="A142" s="61">
        <f t="shared" si="5"/>
        <v>141</v>
      </c>
      <c r="B142" s="61">
        <f t="shared" si="5"/>
        <v>141</v>
      </c>
      <c r="C142" s="62" t="s">
        <v>39</v>
      </c>
      <c r="D142" s="63">
        <v>115</v>
      </c>
      <c r="E142" s="58" t="str">
        <f>IF($C142="unit",VLOOKUP(D142,[1]characters!$A:$C,3,FALSE),VLOOKUP(D142,[2]items!$A:$G,7,FALSE))</f>
        <v>イエローキャタップ</v>
      </c>
      <c r="F142" s="59">
        <v>1</v>
      </c>
      <c r="G142" s="56" t="s">
        <v>69</v>
      </c>
      <c r="H142" s="57">
        <v>50</v>
      </c>
      <c r="I142" s="63">
        <v>1500</v>
      </c>
      <c r="J142" s="57">
        <v>0</v>
      </c>
      <c r="K142" s="57">
        <v>0</v>
      </c>
      <c r="L142" s="57">
        <v>0</v>
      </c>
      <c r="M142" s="57">
        <v>0</v>
      </c>
      <c r="N142" s="57">
        <v>1</v>
      </c>
      <c r="O142" s="57">
        <v>1</v>
      </c>
      <c r="P142" s="57">
        <v>1</v>
      </c>
      <c r="Q142" s="37" t="s">
        <v>104</v>
      </c>
      <c r="R142" s="37" t="s">
        <v>97</v>
      </c>
    </row>
    <row r="143" spans="1:18" ht="21" customHeight="1" x14ac:dyDescent="0.15">
      <c r="A143" s="61">
        <f t="shared" si="5"/>
        <v>142</v>
      </c>
      <c r="B143" s="61">
        <f t="shared" si="5"/>
        <v>142</v>
      </c>
      <c r="C143" s="62" t="s">
        <v>39</v>
      </c>
      <c r="D143" s="63">
        <v>116</v>
      </c>
      <c r="E143" s="63" t="str">
        <f>IF($C143="unit",VLOOKUP(D143,[1]characters!$A:$C,3,FALSE),VLOOKUP(D143,[2]items!$A:$G,7,FALSE))</f>
        <v>雷のマッドハッター</v>
      </c>
      <c r="F143" s="59">
        <v>1</v>
      </c>
      <c r="G143" s="56" t="s">
        <v>69</v>
      </c>
      <c r="H143" s="57">
        <v>50</v>
      </c>
      <c r="I143" s="63">
        <v>2000</v>
      </c>
      <c r="J143" s="57">
        <v>0</v>
      </c>
      <c r="K143" s="57">
        <v>0</v>
      </c>
      <c r="L143" s="57">
        <v>0</v>
      </c>
      <c r="M143" s="57">
        <v>0</v>
      </c>
      <c r="N143" s="57">
        <v>1</v>
      </c>
      <c r="O143" s="57">
        <v>1</v>
      </c>
      <c r="P143" s="57">
        <v>1</v>
      </c>
      <c r="Q143" s="37" t="s">
        <v>104</v>
      </c>
      <c r="R143" s="37" t="s">
        <v>97</v>
      </c>
    </row>
    <row r="144" spans="1:18" ht="21" customHeight="1" x14ac:dyDescent="0.15">
      <c r="A144" s="28">
        <f t="shared" si="4"/>
        <v>143</v>
      </c>
      <c r="B144" s="28">
        <f t="shared" si="4"/>
        <v>143</v>
      </c>
      <c r="C144" s="29" t="s">
        <v>39</v>
      </c>
      <c r="D144" s="18">
        <v>335</v>
      </c>
      <c r="E144" s="18" t="str">
        <f>IF($C144="unit",VLOOKUP(D144,[1]characters!$A:$C,3,FALSE),VLOOKUP(D144,[2]items!$A:$G,7,FALSE))</f>
        <v>炎のメタルジェントル</v>
      </c>
      <c r="F144" s="15">
        <v>1</v>
      </c>
      <c r="G144" s="29" t="s">
        <v>71</v>
      </c>
      <c r="H144" s="30">
        <v>50</v>
      </c>
      <c r="I144" s="30">
        <v>700</v>
      </c>
      <c r="J144" s="30">
        <v>0</v>
      </c>
      <c r="K144" s="30">
        <v>0</v>
      </c>
      <c r="L144" s="30">
        <v>0</v>
      </c>
      <c r="M144" s="30">
        <v>0</v>
      </c>
      <c r="N144" s="30">
        <v>1</v>
      </c>
      <c r="O144" s="30">
        <v>1</v>
      </c>
      <c r="P144" s="30">
        <v>1</v>
      </c>
      <c r="Q144" s="41" t="s">
        <v>104</v>
      </c>
      <c r="R144" s="41" t="s">
        <v>97</v>
      </c>
    </row>
    <row r="145" spans="1:18" ht="21" customHeight="1" x14ac:dyDescent="0.15">
      <c r="A145" s="10">
        <f t="shared" si="4"/>
        <v>144</v>
      </c>
      <c r="B145" s="10">
        <f t="shared" si="4"/>
        <v>144</v>
      </c>
      <c r="C145" s="16" t="s">
        <v>39</v>
      </c>
      <c r="D145" s="13">
        <v>339</v>
      </c>
      <c r="E145" s="13" t="str">
        <f>IF($C145="unit",VLOOKUP(D145,[1]characters!$A:$C,3,FALSE),VLOOKUP(D145,[2]items!$A:$G,7,FALSE))</f>
        <v>森のメタルジェントル</v>
      </c>
      <c r="F145" s="14">
        <v>1</v>
      </c>
      <c r="G145" s="16" t="s">
        <v>71</v>
      </c>
      <c r="H145" s="20">
        <v>50</v>
      </c>
      <c r="I145" s="20">
        <v>700</v>
      </c>
      <c r="J145" s="20">
        <v>0</v>
      </c>
      <c r="K145" s="20">
        <v>0</v>
      </c>
      <c r="L145" s="20">
        <v>0</v>
      </c>
      <c r="M145" s="20">
        <v>0</v>
      </c>
      <c r="N145" s="20">
        <v>1</v>
      </c>
      <c r="O145" s="20">
        <v>1</v>
      </c>
      <c r="P145" s="20">
        <v>1</v>
      </c>
      <c r="Q145" s="37" t="s">
        <v>96</v>
      </c>
      <c r="R145" s="37" t="s">
        <v>97</v>
      </c>
    </row>
    <row r="146" spans="1:18" ht="21" customHeight="1" x14ac:dyDescent="0.15">
      <c r="A146" s="10">
        <f t="shared" si="4"/>
        <v>145</v>
      </c>
      <c r="B146" s="10">
        <f t="shared" si="4"/>
        <v>145</v>
      </c>
      <c r="C146" s="16" t="s">
        <v>39</v>
      </c>
      <c r="D146" s="13">
        <v>343</v>
      </c>
      <c r="E146" s="13" t="str">
        <f>IF($C146="unit",VLOOKUP(D146,[1]characters!$A:$C,3,FALSE),VLOOKUP(D146,[2]items!$A:$G,7,FALSE))</f>
        <v>水のメタルジェントル</v>
      </c>
      <c r="F146" s="14">
        <v>1</v>
      </c>
      <c r="G146" s="16" t="s">
        <v>71</v>
      </c>
      <c r="H146" s="20">
        <v>50</v>
      </c>
      <c r="I146" s="20">
        <v>700</v>
      </c>
      <c r="J146" s="20">
        <v>0</v>
      </c>
      <c r="K146" s="20">
        <v>0</v>
      </c>
      <c r="L146" s="20">
        <v>0</v>
      </c>
      <c r="M146" s="20">
        <v>0</v>
      </c>
      <c r="N146" s="20">
        <v>1</v>
      </c>
      <c r="O146" s="20">
        <v>1</v>
      </c>
      <c r="P146" s="20">
        <v>1</v>
      </c>
      <c r="Q146" s="37" t="s">
        <v>96</v>
      </c>
      <c r="R146" s="37" t="s">
        <v>97</v>
      </c>
    </row>
    <row r="147" spans="1:18" ht="21" customHeight="1" x14ac:dyDescent="0.15">
      <c r="A147" s="10">
        <f t="shared" si="4"/>
        <v>146</v>
      </c>
      <c r="B147" s="10">
        <f t="shared" si="4"/>
        <v>146</v>
      </c>
      <c r="C147" s="16" t="s">
        <v>39</v>
      </c>
      <c r="D147" s="13">
        <v>347</v>
      </c>
      <c r="E147" s="13" t="str">
        <f>IF($C147="unit",VLOOKUP(D147,[1]characters!$A:$C,3,FALSE),VLOOKUP(D147,[2]items!$A:$G,7,FALSE))</f>
        <v>雷のメタルジェントル</v>
      </c>
      <c r="F147" s="14">
        <v>1</v>
      </c>
      <c r="G147" s="16" t="s">
        <v>71</v>
      </c>
      <c r="H147" s="20">
        <v>50</v>
      </c>
      <c r="I147" s="20">
        <v>700</v>
      </c>
      <c r="J147" s="20">
        <v>0</v>
      </c>
      <c r="K147" s="20">
        <v>0</v>
      </c>
      <c r="L147" s="20">
        <v>0</v>
      </c>
      <c r="M147" s="20">
        <v>0</v>
      </c>
      <c r="N147" s="20">
        <v>1</v>
      </c>
      <c r="O147" s="20">
        <v>1</v>
      </c>
      <c r="P147" s="20">
        <v>1</v>
      </c>
      <c r="Q147" s="37" t="s">
        <v>96</v>
      </c>
      <c r="R147" s="37" t="s">
        <v>97</v>
      </c>
    </row>
    <row r="148" spans="1:18" ht="21" customHeight="1" x14ac:dyDescent="0.15">
      <c r="A148" s="10">
        <f t="shared" si="4"/>
        <v>147</v>
      </c>
      <c r="B148" s="10">
        <f t="shared" si="4"/>
        <v>147</v>
      </c>
      <c r="C148" s="16" t="s">
        <v>39</v>
      </c>
      <c r="D148" s="13">
        <v>611</v>
      </c>
      <c r="E148" s="13" t="str">
        <f>IF($C148="unit",VLOOKUP(D148,[1]characters!$A:$C,3,FALSE),VLOOKUP(D148,[2]items!$A:$G,7,FALSE))</f>
        <v>ギガ攻めの果実</v>
      </c>
      <c r="F148" s="14">
        <v>1</v>
      </c>
      <c r="G148" s="16" t="s">
        <v>71</v>
      </c>
      <c r="H148" s="20">
        <v>12</v>
      </c>
      <c r="I148" s="20">
        <v>1400</v>
      </c>
      <c r="J148" s="20">
        <v>0</v>
      </c>
      <c r="K148" s="20">
        <v>0</v>
      </c>
      <c r="L148" s="20">
        <v>0</v>
      </c>
      <c r="M148" s="20">
        <v>0</v>
      </c>
      <c r="N148" s="20">
        <v>1</v>
      </c>
      <c r="O148" s="20">
        <v>1</v>
      </c>
      <c r="P148" s="20">
        <v>1</v>
      </c>
      <c r="Q148" s="37" t="s">
        <v>96</v>
      </c>
      <c r="R148" s="37" t="s">
        <v>97</v>
      </c>
    </row>
    <row r="149" spans="1:18" ht="21" customHeight="1" x14ac:dyDescent="0.15">
      <c r="A149" s="10">
        <f t="shared" ref="A149:B172" si="6">ROW()-1</f>
        <v>148</v>
      </c>
      <c r="B149" s="10">
        <f t="shared" si="6"/>
        <v>148</v>
      </c>
      <c r="C149" s="16" t="s">
        <v>39</v>
      </c>
      <c r="D149" s="13">
        <v>612</v>
      </c>
      <c r="E149" s="13" t="str">
        <f>IF($C149="unit",VLOOKUP(D149,[1]characters!$A:$C,3,FALSE),VLOOKUP(D149,[2]items!$A:$G,7,FALSE))</f>
        <v>ギガ生命の果実</v>
      </c>
      <c r="F149" s="14">
        <v>1</v>
      </c>
      <c r="G149" s="16" t="s">
        <v>71</v>
      </c>
      <c r="H149" s="20">
        <v>12</v>
      </c>
      <c r="I149" s="20">
        <v>1400</v>
      </c>
      <c r="J149" s="20">
        <v>0</v>
      </c>
      <c r="K149" s="20">
        <v>0</v>
      </c>
      <c r="L149" s="20">
        <v>0</v>
      </c>
      <c r="M149" s="20">
        <v>0</v>
      </c>
      <c r="N149" s="20">
        <v>1</v>
      </c>
      <c r="O149" s="20">
        <v>1</v>
      </c>
      <c r="P149" s="20">
        <v>1</v>
      </c>
      <c r="Q149" s="37" t="s">
        <v>96</v>
      </c>
      <c r="R149" s="37" t="s">
        <v>97</v>
      </c>
    </row>
    <row r="150" spans="1:18" ht="21" customHeight="1" x14ac:dyDescent="0.15">
      <c r="A150" s="10">
        <f t="shared" si="6"/>
        <v>149</v>
      </c>
      <c r="B150" s="10">
        <f t="shared" si="6"/>
        <v>149</v>
      </c>
      <c r="C150" s="16" t="s">
        <v>39</v>
      </c>
      <c r="D150" s="13">
        <v>613</v>
      </c>
      <c r="E150" s="13" t="str">
        <f>IF($C150="unit",VLOOKUP(D150,[1]characters!$A:$C,3,FALSE),VLOOKUP(D150,[2]items!$A:$G,7,FALSE))</f>
        <v>ギガ癒しの果実</v>
      </c>
      <c r="F150" s="14">
        <v>1</v>
      </c>
      <c r="G150" s="16" t="s">
        <v>71</v>
      </c>
      <c r="H150" s="20">
        <v>12</v>
      </c>
      <c r="I150" s="20">
        <v>1400</v>
      </c>
      <c r="J150" s="20">
        <v>0</v>
      </c>
      <c r="K150" s="20">
        <v>0</v>
      </c>
      <c r="L150" s="20">
        <v>0</v>
      </c>
      <c r="M150" s="20">
        <v>0</v>
      </c>
      <c r="N150" s="20">
        <v>1</v>
      </c>
      <c r="O150" s="20">
        <v>1</v>
      </c>
      <c r="P150" s="20">
        <v>1</v>
      </c>
      <c r="Q150" s="37" t="s">
        <v>96</v>
      </c>
      <c r="R150" s="37" t="s">
        <v>97</v>
      </c>
    </row>
    <row r="151" spans="1:18" ht="21" customHeight="1" x14ac:dyDescent="0.15">
      <c r="A151" s="10">
        <f t="shared" si="6"/>
        <v>150</v>
      </c>
      <c r="B151" s="10">
        <f t="shared" si="6"/>
        <v>150</v>
      </c>
      <c r="C151" s="16" t="s">
        <v>39</v>
      </c>
      <c r="D151" s="13">
        <v>614</v>
      </c>
      <c r="E151" s="13" t="str">
        <f>IF($C151="unit",VLOOKUP(D151,[1]characters!$A:$C,3,FALSE),VLOOKUP(D151,[2]items!$A:$G,7,FALSE))</f>
        <v>ギガ秘術の果実</v>
      </c>
      <c r="F151" s="14">
        <v>1</v>
      </c>
      <c r="G151" s="16" t="s">
        <v>71</v>
      </c>
      <c r="H151" s="20">
        <v>12</v>
      </c>
      <c r="I151" s="20">
        <v>2000</v>
      </c>
      <c r="J151" s="20">
        <v>0</v>
      </c>
      <c r="K151" s="20">
        <v>0</v>
      </c>
      <c r="L151" s="20">
        <v>0</v>
      </c>
      <c r="M151" s="20">
        <v>0</v>
      </c>
      <c r="N151" s="20">
        <v>1</v>
      </c>
      <c r="O151" s="20">
        <v>1</v>
      </c>
      <c r="P151" s="20">
        <v>1</v>
      </c>
      <c r="Q151" s="37" t="s">
        <v>96</v>
      </c>
      <c r="R151" s="37" t="s">
        <v>97</v>
      </c>
    </row>
    <row r="152" spans="1:18" ht="21" customHeight="1" x14ac:dyDescent="0.15">
      <c r="A152" s="10">
        <f t="shared" si="6"/>
        <v>151</v>
      </c>
      <c r="B152" s="10">
        <f t="shared" si="6"/>
        <v>151</v>
      </c>
      <c r="C152" s="16" t="s">
        <v>45</v>
      </c>
      <c r="D152" s="13">
        <v>1</v>
      </c>
      <c r="E152" s="13" t="str">
        <f>IF($C152="unit",VLOOKUP(D152,[1]characters!$A:$C,3,FALSE),VLOOKUP(D152,[2]items!$A:$G,7,FALSE))</f>
        <v>マスターキー</v>
      </c>
      <c r="F152" s="14">
        <v>1</v>
      </c>
      <c r="G152" s="16" t="s">
        <v>71</v>
      </c>
      <c r="H152" s="20">
        <v>12</v>
      </c>
      <c r="I152" s="20">
        <v>3000</v>
      </c>
      <c r="J152" s="20">
        <v>0</v>
      </c>
      <c r="K152" s="20">
        <v>0</v>
      </c>
      <c r="L152" s="20">
        <v>0</v>
      </c>
      <c r="M152" s="20">
        <v>0</v>
      </c>
      <c r="N152" s="20">
        <v>1</v>
      </c>
      <c r="O152" s="20">
        <v>1</v>
      </c>
      <c r="P152" s="20">
        <v>1</v>
      </c>
      <c r="Q152" s="37" t="s">
        <v>96</v>
      </c>
      <c r="R152" s="37" t="s">
        <v>97</v>
      </c>
    </row>
    <row r="153" spans="1:18" ht="21" customHeight="1" x14ac:dyDescent="0.15">
      <c r="A153" s="10">
        <f t="shared" si="6"/>
        <v>152</v>
      </c>
      <c r="B153" s="10">
        <f t="shared" si="6"/>
        <v>152</v>
      </c>
      <c r="C153" s="16" t="s">
        <v>39</v>
      </c>
      <c r="D153" s="13">
        <v>837</v>
      </c>
      <c r="E153" s="13" t="str">
        <f>IF($C153="unit",VLOOKUP(D153,[1]characters!$A:$C,3,FALSE),VLOOKUP(D153,[2]items!$A:$G,7,FALSE))</f>
        <v>リトルハンプティ</v>
      </c>
      <c r="F153" s="14">
        <v>1</v>
      </c>
      <c r="G153" s="16" t="s">
        <v>71</v>
      </c>
      <c r="H153" s="20">
        <v>12</v>
      </c>
      <c r="I153" s="20">
        <v>4000</v>
      </c>
      <c r="J153" s="20">
        <v>0</v>
      </c>
      <c r="K153" s="20">
        <v>0</v>
      </c>
      <c r="L153" s="20">
        <v>0</v>
      </c>
      <c r="M153" s="20">
        <v>0</v>
      </c>
      <c r="N153" s="20">
        <v>1</v>
      </c>
      <c r="O153" s="20">
        <v>1</v>
      </c>
      <c r="P153" s="20">
        <v>1</v>
      </c>
      <c r="Q153" s="37" t="s">
        <v>96</v>
      </c>
      <c r="R153" s="37" t="s">
        <v>97</v>
      </c>
    </row>
    <row r="154" spans="1:18" ht="21" customHeight="1" x14ac:dyDescent="0.15">
      <c r="A154" s="10">
        <f t="shared" si="6"/>
        <v>153</v>
      </c>
      <c r="B154" s="10">
        <f t="shared" si="6"/>
        <v>153</v>
      </c>
      <c r="C154" s="16" t="s">
        <v>39</v>
      </c>
      <c r="D154" s="13">
        <v>1369</v>
      </c>
      <c r="E154" s="13" t="str">
        <f>IF($C154="unit",VLOOKUP(D154,[1]characters!$A:$C,3,FALSE),VLOOKUP(D154,[2]items!$A:$G,7,FALSE))</f>
        <v>トロイア</v>
      </c>
      <c r="F154" s="14">
        <v>1</v>
      </c>
      <c r="G154" s="16" t="s">
        <v>71</v>
      </c>
      <c r="H154" s="20">
        <v>3</v>
      </c>
      <c r="I154" s="20">
        <v>65000</v>
      </c>
      <c r="J154" s="20">
        <v>0</v>
      </c>
      <c r="K154" s="20">
        <v>0</v>
      </c>
      <c r="L154" s="20">
        <v>0</v>
      </c>
      <c r="M154" s="20">
        <v>0</v>
      </c>
      <c r="N154" s="20">
        <v>1</v>
      </c>
      <c r="O154" s="20">
        <v>1</v>
      </c>
      <c r="P154" s="20">
        <v>33</v>
      </c>
      <c r="Q154" s="37" t="s">
        <v>96</v>
      </c>
      <c r="R154" s="37" t="s">
        <v>97</v>
      </c>
    </row>
    <row r="155" spans="1:18" ht="21" customHeight="1" x14ac:dyDescent="0.15">
      <c r="A155" s="10">
        <f t="shared" si="6"/>
        <v>154</v>
      </c>
      <c r="B155" s="10">
        <f t="shared" si="6"/>
        <v>154</v>
      </c>
      <c r="C155" s="16" t="s">
        <v>39</v>
      </c>
      <c r="D155" s="13">
        <v>627</v>
      </c>
      <c r="E155" s="13" t="str">
        <f>IF($C155="unit",VLOOKUP(D155,[1]characters!$A:$C,3,FALSE),VLOOKUP(D155,[2]items!$A:$G,7,FALSE))</f>
        <v>メガラニカ</v>
      </c>
      <c r="F155" s="14">
        <v>1</v>
      </c>
      <c r="G155" s="16" t="s">
        <v>71</v>
      </c>
      <c r="H155" s="20">
        <v>3</v>
      </c>
      <c r="I155" s="20">
        <v>65000</v>
      </c>
      <c r="J155" s="20">
        <v>0</v>
      </c>
      <c r="K155" s="20">
        <v>0</v>
      </c>
      <c r="L155" s="20">
        <v>0</v>
      </c>
      <c r="M155" s="20">
        <v>0</v>
      </c>
      <c r="N155" s="20">
        <v>1</v>
      </c>
      <c r="O155" s="20">
        <v>1</v>
      </c>
      <c r="P155" s="20">
        <v>33</v>
      </c>
      <c r="Q155" s="37" t="s">
        <v>96</v>
      </c>
      <c r="R155" s="37" t="s">
        <v>97</v>
      </c>
    </row>
    <row r="156" spans="1:18" ht="21" customHeight="1" x14ac:dyDescent="0.15">
      <c r="A156" s="10">
        <f t="shared" si="6"/>
        <v>155</v>
      </c>
      <c r="B156" s="10">
        <f t="shared" si="6"/>
        <v>155</v>
      </c>
      <c r="C156" s="16" t="s">
        <v>39</v>
      </c>
      <c r="D156" s="13">
        <v>1401</v>
      </c>
      <c r="E156" s="13" t="str">
        <f>IF($C156="unit",VLOOKUP(D156,[1]characters!$A:$C,3,FALSE),VLOOKUP(D156,[2]items!$A:$G,7,FALSE))</f>
        <v>レムリア</v>
      </c>
      <c r="F156" s="14">
        <v>1</v>
      </c>
      <c r="G156" s="16" t="s">
        <v>71</v>
      </c>
      <c r="H156" s="20">
        <v>3</v>
      </c>
      <c r="I156" s="20">
        <v>65000</v>
      </c>
      <c r="J156" s="20">
        <v>0</v>
      </c>
      <c r="K156" s="20">
        <v>0</v>
      </c>
      <c r="L156" s="20">
        <v>0</v>
      </c>
      <c r="M156" s="20">
        <v>0</v>
      </c>
      <c r="N156" s="20">
        <v>1</v>
      </c>
      <c r="O156" s="20">
        <v>1</v>
      </c>
      <c r="P156" s="20">
        <v>33</v>
      </c>
      <c r="Q156" s="37" t="s">
        <v>96</v>
      </c>
      <c r="R156" s="37" t="s">
        <v>97</v>
      </c>
    </row>
    <row r="157" spans="1:18" ht="21" customHeight="1" x14ac:dyDescent="0.15">
      <c r="A157" s="10">
        <f t="shared" si="6"/>
        <v>156</v>
      </c>
      <c r="B157" s="10">
        <f t="shared" si="6"/>
        <v>156</v>
      </c>
      <c r="C157" s="16" t="s">
        <v>39</v>
      </c>
      <c r="D157" s="13">
        <v>1456</v>
      </c>
      <c r="E157" s="13" t="s">
        <v>91</v>
      </c>
      <c r="F157" s="14">
        <v>1</v>
      </c>
      <c r="G157" s="16" t="s">
        <v>71</v>
      </c>
      <c r="H157" s="20">
        <v>3</v>
      </c>
      <c r="I157" s="20">
        <v>65000</v>
      </c>
      <c r="J157" s="20">
        <v>0</v>
      </c>
      <c r="K157" s="20">
        <v>0</v>
      </c>
      <c r="L157" s="20">
        <v>0</v>
      </c>
      <c r="M157" s="20">
        <v>0</v>
      </c>
      <c r="N157" s="20">
        <v>1</v>
      </c>
      <c r="O157" s="20">
        <v>1</v>
      </c>
      <c r="P157" s="20">
        <v>33</v>
      </c>
      <c r="Q157" s="37" t="s">
        <v>96</v>
      </c>
      <c r="R157" s="37" t="s">
        <v>97</v>
      </c>
    </row>
    <row r="158" spans="1:18" ht="21" customHeight="1" x14ac:dyDescent="0.15">
      <c r="A158" s="10">
        <f t="shared" si="6"/>
        <v>157</v>
      </c>
      <c r="B158" s="10">
        <f t="shared" si="6"/>
        <v>157</v>
      </c>
      <c r="C158" s="16" t="s">
        <v>39</v>
      </c>
      <c r="D158" s="13">
        <v>1083</v>
      </c>
      <c r="E158" s="13" t="str">
        <f>IF($C158="unit",VLOOKUP(D158,[1]characters!$A:$C,3,FALSE),VLOOKUP(D158,[2]items!$A:$G,7,FALSE))</f>
        <v>マジシャン</v>
      </c>
      <c r="F158" s="14">
        <v>1</v>
      </c>
      <c r="G158" s="16" t="s">
        <v>71</v>
      </c>
      <c r="H158" s="20">
        <v>3</v>
      </c>
      <c r="I158" s="20">
        <v>200000</v>
      </c>
      <c r="J158" s="20">
        <v>0</v>
      </c>
      <c r="K158" s="20">
        <v>0</v>
      </c>
      <c r="L158" s="20">
        <v>0</v>
      </c>
      <c r="M158" s="20">
        <v>0</v>
      </c>
      <c r="N158" s="20">
        <v>1</v>
      </c>
      <c r="O158" s="20">
        <v>1</v>
      </c>
      <c r="P158" s="20">
        <v>33</v>
      </c>
      <c r="Q158" s="37" t="s">
        <v>96</v>
      </c>
      <c r="R158" s="37" t="s">
        <v>97</v>
      </c>
    </row>
    <row r="159" spans="1:18" ht="21" customHeight="1" x14ac:dyDescent="0.15">
      <c r="A159" s="10">
        <f t="shared" si="6"/>
        <v>158</v>
      </c>
      <c r="B159" s="10">
        <f t="shared" si="6"/>
        <v>158</v>
      </c>
      <c r="C159" s="51" t="s">
        <v>39</v>
      </c>
      <c r="D159" s="52">
        <v>629</v>
      </c>
      <c r="E159" s="52" t="str">
        <f>IF($C159="unit",VLOOKUP(D159,[1]characters!$A:$C,3,FALSE),VLOOKUP(D159,[2]items!$A:$G,7,FALSE))</f>
        <v>チャリオット</v>
      </c>
      <c r="F159" s="53">
        <v>1</v>
      </c>
      <c r="G159" s="51" t="s">
        <v>71</v>
      </c>
      <c r="H159" s="54">
        <v>3</v>
      </c>
      <c r="I159" s="54">
        <v>200000</v>
      </c>
      <c r="J159" s="54">
        <v>0</v>
      </c>
      <c r="K159" s="54">
        <v>0</v>
      </c>
      <c r="L159" s="54">
        <v>0</v>
      </c>
      <c r="M159" s="54">
        <v>0</v>
      </c>
      <c r="N159" s="54">
        <v>1</v>
      </c>
      <c r="O159" s="54">
        <v>1</v>
      </c>
      <c r="P159" s="54">
        <v>33</v>
      </c>
      <c r="Q159" s="37" t="s">
        <v>96</v>
      </c>
      <c r="R159" s="37" t="s">
        <v>97</v>
      </c>
    </row>
    <row r="160" spans="1:18" ht="21" customHeight="1" x14ac:dyDescent="0.15">
      <c r="A160" s="10">
        <f t="shared" si="6"/>
        <v>159</v>
      </c>
      <c r="B160" s="10">
        <f t="shared" si="6"/>
        <v>159</v>
      </c>
      <c r="C160" s="46" t="s">
        <v>39</v>
      </c>
      <c r="D160" s="17">
        <v>1399</v>
      </c>
      <c r="E160" s="17" t="str">
        <f>IF($C160="unit",VLOOKUP(D160,[1]characters!$A:$C,3,FALSE),VLOOKUP(D160,[2]items!$A:$G,7,FALSE))</f>
        <v>ラヴァーズ</v>
      </c>
      <c r="F160" s="47">
        <v>1</v>
      </c>
      <c r="G160" s="46" t="s">
        <v>71</v>
      </c>
      <c r="H160" s="48">
        <v>3</v>
      </c>
      <c r="I160" s="48">
        <v>200000</v>
      </c>
      <c r="J160" s="48">
        <v>0</v>
      </c>
      <c r="K160" s="48">
        <v>0</v>
      </c>
      <c r="L160" s="48">
        <v>0</v>
      </c>
      <c r="M160" s="48">
        <v>0</v>
      </c>
      <c r="N160" s="48">
        <v>1</v>
      </c>
      <c r="O160" s="48">
        <v>1</v>
      </c>
      <c r="P160" s="48">
        <v>33</v>
      </c>
      <c r="Q160" s="37" t="s">
        <v>96</v>
      </c>
      <c r="R160" s="37" t="s">
        <v>97</v>
      </c>
    </row>
    <row r="161" spans="1:18" ht="21" customHeight="1" thickBot="1" x14ac:dyDescent="0.2">
      <c r="A161" s="31">
        <f t="shared" si="6"/>
        <v>160</v>
      </c>
      <c r="B161" s="31">
        <f t="shared" si="6"/>
        <v>160</v>
      </c>
      <c r="C161" s="32" t="s">
        <v>39</v>
      </c>
      <c r="D161" s="33">
        <v>1454</v>
      </c>
      <c r="E161" s="33" t="str">
        <f>IF($C161="unit",VLOOKUP(D161,[1]characters!$A:$C,3,FALSE),VLOOKUP(D161,[2]items!$A:$G,7,FALSE))</f>
        <v>ストレングス</v>
      </c>
      <c r="F161" s="34">
        <v>1</v>
      </c>
      <c r="G161" s="32" t="s">
        <v>71</v>
      </c>
      <c r="H161" s="35">
        <v>3</v>
      </c>
      <c r="I161" s="35">
        <v>200000</v>
      </c>
      <c r="J161" s="35">
        <v>0</v>
      </c>
      <c r="K161" s="35">
        <v>0</v>
      </c>
      <c r="L161" s="35">
        <v>0</v>
      </c>
      <c r="M161" s="35">
        <v>0</v>
      </c>
      <c r="N161" s="35">
        <v>1</v>
      </c>
      <c r="O161" s="35">
        <v>1</v>
      </c>
      <c r="P161" s="35">
        <v>33</v>
      </c>
      <c r="Q161" s="38" t="s">
        <v>96</v>
      </c>
      <c r="R161" s="38" t="s">
        <v>97</v>
      </c>
    </row>
    <row r="162" spans="1:18" ht="21" customHeight="1" x14ac:dyDescent="0.15">
      <c r="A162" s="55">
        <f>ROW()-1</f>
        <v>161</v>
      </c>
      <c r="B162" s="55">
        <f>ROW()-1</f>
        <v>161</v>
      </c>
      <c r="C162" s="56" t="s">
        <v>39</v>
      </c>
      <c r="D162" s="57">
        <v>103</v>
      </c>
      <c r="E162" s="58" t="str">
        <f>IF($C162="unit",VLOOKUP(D162,[1]characters!$A:$C,3,FALSE),VLOOKUP(D162,[2]items!$A:$G,7,FALSE))</f>
        <v>レッドキャタップ</v>
      </c>
      <c r="F162" s="59">
        <v>1</v>
      </c>
      <c r="G162" s="56" t="s">
        <v>69</v>
      </c>
      <c r="H162" s="57">
        <v>50</v>
      </c>
      <c r="I162" s="57">
        <v>1500</v>
      </c>
      <c r="J162" s="57">
        <v>0</v>
      </c>
      <c r="K162" s="57">
        <v>0</v>
      </c>
      <c r="L162" s="57">
        <v>0</v>
      </c>
      <c r="M162" s="57">
        <v>0</v>
      </c>
      <c r="N162" s="57">
        <v>1</v>
      </c>
      <c r="O162" s="57">
        <v>1</v>
      </c>
      <c r="P162" s="57">
        <v>1</v>
      </c>
      <c r="Q162" s="41" t="s">
        <v>98</v>
      </c>
      <c r="R162" s="41" t="s">
        <v>99</v>
      </c>
    </row>
    <row r="163" spans="1:18" ht="21" customHeight="1" x14ac:dyDescent="0.15">
      <c r="A163" s="61">
        <f t="shared" ref="A163:B169" si="7">ROW()-1</f>
        <v>162</v>
      </c>
      <c r="B163" s="61">
        <f t="shared" si="7"/>
        <v>162</v>
      </c>
      <c r="C163" s="62" t="s">
        <v>39</v>
      </c>
      <c r="D163" s="63">
        <v>104</v>
      </c>
      <c r="E163" s="58" t="str">
        <f>IF($C163="unit",VLOOKUP(D163,[1]characters!$A:$C,3,FALSE),VLOOKUP(D163,[2]items!$A:$G,7,FALSE))</f>
        <v>炎のマッドハッター</v>
      </c>
      <c r="F163" s="59">
        <v>1</v>
      </c>
      <c r="G163" s="56" t="s">
        <v>69</v>
      </c>
      <c r="H163" s="57">
        <v>50</v>
      </c>
      <c r="I163" s="63">
        <v>2000</v>
      </c>
      <c r="J163" s="57">
        <v>0</v>
      </c>
      <c r="K163" s="57">
        <v>0</v>
      </c>
      <c r="L163" s="57">
        <v>0</v>
      </c>
      <c r="M163" s="57">
        <v>0</v>
      </c>
      <c r="N163" s="57">
        <v>1</v>
      </c>
      <c r="O163" s="57">
        <v>1</v>
      </c>
      <c r="P163" s="57">
        <v>1</v>
      </c>
      <c r="Q163" s="37" t="s">
        <v>98</v>
      </c>
      <c r="R163" s="37" t="s">
        <v>99</v>
      </c>
    </row>
    <row r="164" spans="1:18" ht="21" customHeight="1" x14ac:dyDescent="0.15">
      <c r="A164" s="61">
        <f t="shared" si="7"/>
        <v>163</v>
      </c>
      <c r="B164" s="61">
        <f t="shared" si="7"/>
        <v>163</v>
      </c>
      <c r="C164" s="62" t="s">
        <v>39</v>
      </c>
      <c r="D164" s="63">
        <v>107</v>
      </c>
      <c r="E164" s="58" t="str">
        <f>IF($C164="unit",VLOOKUP(D164,[1]characters!$A:$C,3,FALSE),VLOOKUP(D164,[2]items!$A:$G,7,FALSE))</f>
        <v>グリーンキャタップ</v>
      </c>
      <c r="F164" s="59">
        <v>1</v>
      </c>
      <c r="G164" s="56" t="s">
        <v>69</v>
      </c>
      <c r="H164" s="57">
        <v>50</v>
      </c>
      <c r="I164" s="63">
        <v>1500</v>
      </c>
      <c r="J164" s="57">
        <v>0</v>
      </c>
      <c r="K164" s="57">
        <v>0</v>
      </c>
      <c r="L164" s="57">
        <v>0</v>
      </c>
      <c r="M164" s="57">
        <v>0</v>
      </c>
      <c r="N164" s="57">
        <v>1</v>
      </c>
      <c r="O164" s="57">
        <v>1</v>
      </c>
      <c r="P164" s="57">
        <v>1</v>
      </c>
      <c r="Q164" s="37" t="s">
        <v>98</v>
      </c>
      <c r="R164" s="37" t="s">
        <v>99</v>
      </c>
    </row>
    <row r="165" spans="1:18" ht="21" customHeight="1" x14ac:dyDescent="0.15">
      <c r="A165" s="61">
        <f t="shared" si="7"/>
        <v>164</v>
      </c>
      <c r="B165" s="61">
        <f t="shared" si="7"/>
        <v>164</v>
      </c>
      <c r="C165" s="62" t="s">
        <v>39</v>
      </c>
      <c r="D165" s="63">
        <v>108</v>
      </c>
      <c r="E165" s="58" t="str">
        <f>IF($C165="unit",VLOOKUP(D165,[1]characters!$A:$C,3,FALSE),VLOOKUP(D165,[2]items!$A:$G,7,FALSE))</f>
        <v>森のマッドハッター</v>
      </c>
      <c r="F165" s="59">
        <v>1</v>
      </c>
      <c r="G165" s="56" t="s">
        <v>69</v>
      </c>
      <c r="H165" s="57">
        <v>50</v>
      </c>
      <c r="I165" s="63">
        <v>2000</v>
      </c>
      <c r="J165" s="57">
        <v>0</v>
      </c>
      <c r="K165" s="57">
        <v>0</v>
      </c>
      <c r="L165" s="57">
        <v>0</v>
      </c>
      <c r="M165" s="57">
        <v>0</v>
      </c>
      <c r="N165" s="57">
        <v>1</v>
      </c>
      <c r="O165" s="57">
        <v>1</v>
      </c>
      <c r="P165" s="57">
        <v>1</v>
      </c>
      <c r="Q165" s="37" t="s">
        <v>98</v>
      </c>
      <c r="R165" s="37" t="s">
        <v>99</v>
      </c>
    </row>
    <row r="166" spans="1:18" ht="21" customHeight="1" x14ac:dyDescent="0.15">
      <c r="A166" s="61">
        <f t="shared" si="7"/>
        <v>165</v>
      </c>
      <c r="B166" s="61">
        <f t="shared" si="7"/>
        <v>165</v>
      </c>
      <c r="C166" s="62" t="s">
        <v>39</v>
      </c>
      <c r="D166" s="63">
        <v>111</v>
      </c>
      <c r="E166" s="58" t="str">
        <f>IF($C166="unit",VLOOKUP(D166,[1]characters!$A:$C,3,FALSE),VLOOKUP(D166,[2]items!$A:$G,7,FALSE))</f>
        <v>ブルーキャタップ</v>
      </c>
      <c r="F166" s="59">
        <v>1</v>
      </c>
      <c r="G166" s="56" t="s">
        <v>69</v>
      </c>
      <c r="H166" s="57">
        <v>50</v>
      </c>
      <c r="I166" s="63">
        <v>1500</v>
      </c>
      <c r="J166" s="57">
        <v>0</v>
      </c>
      <c r="K166" s="57">
        <v>0</v>
      </c>
      <c r="L166" s="57">
        <v>0</v>
      </c>
      <c r="M166" s="57">
        <v>0</v>
      </c>
      <c r="N166" s="57">
        <v>1</v>
      </c>
      <c r="O166" s="57">
        <v>1</v>
      </c>
      <c r="P166" s="57">
        <v>1</v>
      </c>
      <c r="Q166" s="37" t="s">
        <v>98</v>
      </c>
      <c r="R166" s="37" t="s">
        <v>99</v>
      </c>
    </row>
    <row r="167" spans="1:18" ht="21" customHeight="1" x14ac:dyDescent="0.15">
      <c r="A167" s="61">
        <f t="shared" si="7"/>
        <v>166</v>
      </c>
      <c r="B167" s="61">
        <f t="shared" si="7"/>
        <v>166</v>
      </c>
      <c r="C167" s="62" t="s">
        <v>39</v>
      </c>
      <c r="D167" s="63">
        <v>112</v>
      </c>
      <c r="E167" s="58" t="str">
        <f>IF($C167="unit",VLOOKUP(D167,[1]characters!$A:$C,3,FALSE),VLOOKUP(D167,[2]items!$A:$G,7,FALSE))</f>
        <v>水のマッドハッター</v>
      </c>
      <c r="F167" s="59">
        <v>1</v>
      </c>
      <c r="G167" s="56" t="s">
        <v>69</v>
      </c>
      <c r="H167" s="57">
        <v>50</v>
      </c>
      <c r="I167" s="63">
        <v>2000</v>
      </c>
      <c r="J167" s="57">
        <v>0</v>
      </c>
      <c r="K167" s="57">
        <v>0</v>
      </c>
      <c r="L167" s="57">
        <v>0</v>
      </c>
      <c r="M167" s="57">
        <v>0</v>
      </c>
      <c r="N167" s="57">
        <v>1</v>
      </c>
      <c r="O167" s="57">
        <v>1</v>
      </c>
      <c r="P167" s="57">
        <v>1</v>
      </c>
      <c r="Q167" s="37" t="s">
        <v>98</v>
      </c>
      <c r="R167" s="37" t="s">
        <v>99</v>
      </c>
    </row>
    <row r="168" spans="1:18" ht="21" customHeight="1" x14ac:dyDescent="0.15">
      <c r="A168" s="61">
        <f t="shared" si="7"/>
        <v>167</v>
      </c>
      <c r="B168" s="61">
        <f t="shared" si="7"/>
        <v>167</v>
      </c>
      <c r="C168" s="62" t="s">
        <v>39</v>
      </c>
      <c r="D168" s="63">
        <v>115</v>
      </c>
      <c r="E168" s="58" t="str">
        <f>IF($C168="unit",VLOOKUP(D168,[1]characters!$A:$C,3,FALSE),VLOOKUP(D168,[2]items!$A:$G,7,FALSE))</f>
        <v>イエローキャタップ</v>
      </c>
      <c r="F168" s="59">
        <v>1</v>
      </c>
      <c r="G168" s="56" t="s">
        <v>69</v>
      </c>
      <c r="H168" s="57">
        <v>50</v>
      </c>
      <c r="I168" s="63">
        <v>1500</v>
      </c>
      <c r="J168" s="57">
        <v>0</v>
      </c>
      <c r="K168" s="57">
        <v>0</v>
      </c>
      <c r="L168" s="57">
        <v>0</v>
      </c>
      <c r="M168" s="57">
        <v>0</v>
      </c>
      <c r="N168" s="57">
        <v>1</v>
      </c>
      <c r="O168" s="57">
        <v>1</v>
      </c>
      <c r="P168" s="57">
        <v>1</v>
      </c>
      <c r="Q168" s="37" t="s">
        <v>98</v>
      </c>
      <c r="R168" s="37" t="s">
        <v>99</v>
      </c>
    </row>
    <row r="169" spans="1:18" ht="21" customHeight="1" x14ac:dyDescent="0.15">
      <c r="A169" s="61">
        <f t="shared" si="7"/>
        <v>168</v>
      </c>
      <c r="B169" s="61">
        <f t="shared" si="7"/>
        <v>168</v>
      </c>
      <c r="C169" s="62" t="s">
        <v>39</v>
      </c>
      <c r="D169" s="63">
        <v>116</v>
      </c>
      <c r="E169" s="63" t="str">
        <f>IF($C169="unit",VLOOKUP(D169,[1]characters!$A:$C,3,FALSE),VLOOKUP(D169,[2]items!$A:$G,7,FALSE))</f>
        <v>雷のマッドハッター</v>
      </c>
      <c r="F169" s="59">
        <v>1</v>
      </c>
      <c r="G169" s="56" t="s">
        <v>69</v>
      </c>
      <c r="H169" s="57">
        <v>50</v>
      </c>
      <c r="I169" s="63">
        <v>2000</v>
      </c>
      <c r="J169" s="57">
        <v>0</v>
      </c>
      <c r="K169" s="57">
        <v>0</v>
      </c>
      <c r="L169" s="57">
        <v>0</v>
      </c>
      <c r="M169" s="57">
        <v>0</v>
      </c>
      <c r="N169" s="57">
        <v>1</v>
      </c>
      <c r="O169" s="57">
        <v>1</v>
      </c>
      <c r="P169" s="57">
        <v>1</v>
      </c>
      <c r="Q169" s="37" t="s">
        <v>98</v>
      </c>
      <c r="R169" s="37" t="s">
        <v>99</v>
      </c>
    </row>
    <row r="170" spans="1:18" ht="21" customHeight="1" x14ac:dyDescent="0.15">
      <c r="A170" s="28">
        <f t="shared" si="6"/>
        <v>169</v>
      </c>
      <c r="B170" s="28">
        <f t="shared" si="6"/>
        <v>169</v>
      </c>
      <c r="C170" s="29" t="s">
        <v>39</v>
      </c>
      <c r="D170" s="18">
        <v>335</v>
      </c>
      <c r="E170" s="18" t="str">
        <f>IF($C170="unit",VLOOKUP(D170,[1]characters!$A:$C,3,FALSE),VLOOKUP(D170,[2]items!$A:$G,7,FALSE))</f>
        <v>炎のメタルジェントル</v>
      </c>
      <c r="F170" s="15">
        <v>1</v>
      </c>
      <c r="G170" s="29" t="s">
        <v>71</v>
      </c>
      <c r="H170" s="30">
        <v>50</v>
      </c>
      <c r="I170" s="30">
        <v>700</v>
      </c>
      <c r="J170" s="30">
        <v>0</v>
      </c>
      <c r="K170" s="30">
        <v>0</v>
      </c>
      <c r="L170" s="30">
        <v>0</v>
      </c>
      <c r="M170" s="30">
        <v>0</v>
      </c>
      <c r="N170" s="30">
        <v>1</v>
      </c>
      <c r="O170" s="30">
        <v>1</v>
      </c>
      <c r="P170" s="30">
        <v>1</v>
      </c>
      <c r="Q170" s="37" t="s">
        <v>98</v>
      </c>
      <c r="R170" s="37" t="s">
        <v>99</v>
      </c>
    </row>
    <row r="171" spans="1:18" ht="21" customHeight="1" x14ac:dyDescent="0.15">
      <c r="A171" s="10">
        <f t="shared" si="6"/>
        <v>170</v>
      </c>
      <c r="B171" s="10">
        <f t="shared" si="6"/>
        <v>170</v>
      </c>
      <c r="C171" s="16" t="s">
        <v>39</v>
      </c>
      <c r="D171" s="13">
        <v>339</v>
      </c>
      <c r="E171" s="13" t="str">
        <f>IF($C171="unit",VLOOKUP(D171,[1]characters!$A:$C,3,FALSE),VLOOKUP(D171,[2]items!$A:$G,7,FALSE))</f>
        <v>森のメタルジェントル</v>
      </c>
      <c r="F171" s="14">
        <v>1</v>
      </c>
      <c r="G171" s="16" t="s">
        <v>71</v>
      </c>
      <c r="H171" s="20">
        <v>50</v>
      </c>
      <c r="I171" s="20">
        <v>700</v>
      </c>
      <c r="J171" s="20">
        <v>0</v>
      </c>
      <c r="K171" s="20">
        <v>0</v>
      </c>
      <c r="L171" s="20">
        <v>0</v>
      </c>
      <c r="M171" s="20">
        <v>0</v>
      </c>
      <c r="N171" s="20">
        <v>1</v>
      </c>
      <c r="O171" s="20">
        <v>1</v>
      </c>
      <c r="P171" s="20">
        <v>1</v>
      </c>
      <c r="Q171" s="37" t="s">
        <v>98</v>
      </c>
      <c r="R171" s="37" t="s">
        <v>99</v>
      </c>
    </row>
    <row r="172" spans="1:18" ht="21" customHeight="1" x14ac:dyDescent="0.15">
      <c r="A172" s="10">
        <f t="shared" si="6"/>
        <v>171</v>
      </c>
      <c r="B172" s="10">
        <f t="shared" si="6"/>
        <v>171</v>
      </c>
      <c r="C172" s="16" t="s">
        <v>39</v>
      </c>
      <c r="D172" s="13">
        <v>343</v>
      </c>
      <c r="E172" s="13" t="str">
        <f>IF($C172="unit",VLOOKUP(D172,[1]characters!$A:$C,3,FALSE),VLOOKUP(D172,[2]items!$A:$G,7,FALSE))</f>
        <v>水のメタルジェントル</v>
      </c>
      <c r="F172" s="14">
        <v>1</v>
      </c>
      <c r="G172" s="16" t="s">
        <v>71</v>
      </c>
      <c r="H172" s="20">
        <v>50</v>
      </c>
      <c r="I172" s="20">
        <v>700</v>
      </c>
      <c r="J172" s="20">
        <v>0</v>
      </c>
      <c r="K172" s="20">
        <v>0</v>
      </c>
      <c r="L172" s="20">
        <v>0</v>
      </c>
      <c r="M172" s="20">
        <v>0</v>
      </c>
      <c r="N172" s="20">
        <v>1</v>
      </c>
      <c r="O172" s="20">
        <v>1</v>
      </c>
      <c r="P172" s="20">
        <v>1</v>
      </c>
      <c r="Q172" s="37" t="s">
        <v>98</v>
      </c>
      <c r="R172" s="37" t="s">
        <v>99</v>
      </c>
    </row>
    <row r="173" spans="1:18" ht="21" customHeight="1" x14ac:dyDescent="0.15">
      <c r="A173" s="10">
        <f t="shared" ref="A173:B196" si="8">ROW()-1</f>
        <v>172</v>
      </c>
      <c r="B173" s="10">
        <f t="shared" si="8"/>
        <v>172</v>
      </c>
      <c r="C173" s="16" t="s">
        <v>39</v>
      </c>
      <c r="D173" s="13">
        <v>347</v>
      </c>
      <c r="E173" s="13" t="str">
        <f>IF($C173="unit",VLOOKUP(D173,[1]characters!$A:$C,3,FALSE),VLOOKUP(D173,[2]items!$A:$G,7,FALSE))</f>
        <v>雷のメタルジェントル</v>
      </c>
      <c r="F173" s="14">
        <v>1</v>
      </c>
      <c r="G173" s="16" t="s">
        <v>71</v>
      </c>
      <c r="H173" s="20">
        <v>50</v>
      </c>
      <c r="I173" s="20">
        <v>700</v>
      </c>
      <c r="J173" s="20">
        <v>0</v>
      </c>
      <c r="K173" s="20">
        <v>0</v>
      </c>
      <c r="L173" s="20">
        <v>0</v>
      </c>
      <c r="M173" s="20">
        <v>0</v>
      </c>
      <c r="N173" s="20">
        <v>1</v>
      </c>
      <c r="O173" s="20">
        <v>1</v>
      </c>
      <c r="P173" s="20">
        <v>1</v>
      </c>
      <c r="Q173" s="37" t="s">
        <v>98</v>
      </c>
      <c r="R173" s="37" t="s">
        <v>99</v>
      </c>
    </row>
    <row r="174" spans="1:18" ht="21" customHeight="1" x14ac:dyDescent="0.15">
      <c r="A174" s="10">
        <f t="shared" si="8"/>
        <v>173</v>
      </c>
      <c r="B174" s="10">
        <f t="shared" si="8"/>
        <v>173</v>
      </c>
      <c r="C174" s="16" t="s">
        <v>39</v>
      </c>
      <c r="D174" s="13">
        <v>611</v>
      </c>
      <c r="E174" s="13" t="str">
        <f>IF($C174="unit",VLOOKUP(D174,[1]characters!$A:$C,3,FALSE),VLOOKUP(D174,[2]items!$A:$G,7,FALSE))</f>
        <v>ギガ攻めの果実</v>
      </c>
      <c r="F174" s="14">
        <v>1</v>
      </c>
      <c r="G174" s="16" t="s">
        <v>71</v>
      </c>
      <c r="H174" s="20">
        <v>12</v>
      </c>
      <c r="I174" s="20">
        <v>1400</v>
      </c>
      <c r="J174" s="20">
        <v>0</v>
      </c>
      <c r="K174" s="20">
        <v>0</v>
      </c>
      <c r="L174" s="20">
        <v>0</v>
      </c>
      <c r="M174" s="20">
        <v>0</v>
      </c>
      <c r="N174" s="20">
        <v>1</v>
      </c>
      <c r="O174" s="20">
        <v>1</v>
      </c>
      <c r="P174" s="20">
        <v>1</v>
      </c>
      <c r="Q174" s="37" t="s">
        <v>98</v>
      </c>
      <c r="R174" s="37" t="s">
        <v>99</v>
      </c>
    </row>
    <row r="175" spans="1:18" s="19" customFormat="1" ht="21" customHeight="1" x14ac:dyDescent="0.15">
      <c r="A175" s="10">
        <f t="shared" si="8"/>
        <v>174</v>
      </c>
      <c r="B175" s="10">
        <f t="shared" si="8"/>
        <v>174</v>
      </c>
      <c r="C175" s="16" t="s">
        <v>39</v>
      </c>
      <c r="D175" s="13">
        <v>612</v>
      </c>
      <c r="E175" s="13" t="str">
        <f>IF($C175="unit",VLOOKUP(D175,[1]characters!$A:$C,3,FALSE),VLOOKUP(D175,[2]items!$A:$G,7,FALSE))</f>
        <v>ギガ生命の果実</v>
      </c>
      <c r="F175" s="14">
        <v>1</v>
      </c>
      <c r="G175" s="16" t="s">
        <v>71</v>
      </c>
      <c r="H175" s="20">
        <v>12</v>
      </c>
      <c r="I175" s="20">
        <v>1400</v>
      </c>
      <c r="J175" s="20">
        <v>0</v>
      </c>
      <c r="K175" s="20">
        <v>0</v>
      </c>
      <c r="L175" s="20">
        <v>0</v>
      </c>
      <c r="M175" s="20">
        <v>0</v>
      </c>
      <c r="N175" s="20">
        <v>1</v>
      </c>
      <c r="O175" s="20">
        <v>1</v>
      </c>
      <c r="P175" s="20">
        <v>1</v>
      </c>
      <c r="Q175" s="37" t="s">
        <v>98</v>
      </c>
      <c r="R175" s="37" t="s">
        <v>99</v>
      </c>
    </row>
    <row r="176" spans="1:18" ht="21" customHeight="1" x14ac:dyDescent="0.15">
      <c r="A176" s="10">
        <f t="shared" si="8"/>
        <v>175</v>
      </c>
      <c r="B176" s="10">
        <f t="shared" si="8"/>
        <v>175</v>
      </c>
      <c r="C176" s="16" t="s">
        <v>39</v>
      </c>
      <c r="D176" s="13">
        <v>613</v>
      </c>
      <c r="E176" s="13" t="str">
        <f>IF($C176="unit",VLOOKUP(D176,[1]characters!$A:$C,3,FALSE),VLOOKUP(D176,[2]items!$A:$G,7,FALSE))</f>
        <v>ギガ癒しの果実</v>
      </c>
      <c r="F176" s="14">
        <v>1</v>
      </c>
      <c r="G176" s="16" t="s">
        <v>71</v>
      </c>
      <c r="H176" s="20">
        <v>12</v>
      </c>
      <c r="I176" s="20">
        <v>1400</v>
      </c>
      <c r="J176" s="20">
        <v>0</v>
      </c>
      <c r="K176" s="20">
        <v>0</v>
      </c>
      <c r="L176" s="20">
        <v>0</v>
      </c>
      <c r="M176" s="20">
        <v>0</v>
      </c>
      <c r="N176" s="20">
        <v>1</v>
      </c>
      <c r="O176" s="20">
        <v>1</v>
      </c>
      <c r="P176" s="20">
        <v>1</v>
      </c>
      <c r="Q176" s="37" t="s">
        <v>98</v>
      </c>
      <c r="R176" s="37" t="s">
        <v>99</v>
      </c>
    </row>
    <row r="177" spans="1:18" ht="21" customHeight="1" x14ac:dyDescent="0.15">
      <c r="A177" s="10">
        <f t="shared" si="8"/>
        <v>176</v>
      </c>
      <c r="B177" s="10">
        <f t="shared" si="8"/>
        <v>176</v>
      </c>
      <c r="C177" s="16" t="s">
        <v>39</v>
      </c>
      <c r="D177" s="13">
        <v>614</v>
      </c>
      <c r="E177" s="13" t="str">
        <f>IF($C177="unit",VLOOKUP(D177,[1]characters!$A:$C,3,FALSE),VLOOKUP(D177,[2]items!$A:$G,7,FALSE))</f>
        <v>ギガ秘術の果実</v>
      </c>
      <c r="F177" s="14">
        <v>1</v>
      </c>
      <c r="G177" s="16" t="s">
        <v>71</v>
      </c>
      <c r="H177" s="20">
        <v>12</v>
      </c>
      <c r="I177" s="20">
        <v>2000</v>
      </c>
      <c r="J177" s="20">
        <v>0</v>
      </c>
      <c r="K177" s="20">
        <v>0</v>
      </c>
      <c r="L177" s="20">
        <v>0</v>
      </c>
      <c r="M177" s="20">
        <v>0</v>
      </c>
      <c r="N177" s="20">
        <v>1</v>
      </c>
      <c r="O177" s="20">
        <v>1</v>
      </c>
      <c r="P177" s="20">
        <v>1</v>
      </c>
      <c r="Q177" s="37" t="s">
        <v>98</v>
      </c>
      <c r="R177" s="37" t="s">
        <v>99</v>
      </c>
    </row>
    <row r="178" spans="1:18" ht="21" customHeight="1" x14ac:dyDescent="0.15">
      <c r="A178" s="10">
        <f t="shared" si="8"/>
        <v>177</v>
      </c>
      <c r="B178" s="10">
        <f t="shared" si="8"/>
        <v>177</v>
      </c>
      <c r="C178" s="16" t="s">
        <v>45</v>
      </c>
      <c r="D178" s="13">
        <v>1</v>
      </c>
      <c r="E178" s="13" t="str">
        <f>IF($C178="unit",VLOOKUP(D178,[1]characters!$A:$C,3,FALSE),VLOOKUP(D178,[2]items!$A:$G,7,FALSE))</f>
        <v>マスターキー</v>
      </c>
      <c r="F178" s="14">
        <v>1</v>
      </c>
      <c r="G178" s="16" t="s">
        <v>71</v>
      </c>
      <c r="H178" s="20">
        <v>12</v>
      </c>
      <c r="I178" s="20">
        <v>3000</v>
      </c>
      <c r="J178" s="20">
        <v>0</v>
      </c>
      <c r="K178" s="20">
        <v>0</v>
      </c>
      <c r="L178" s="20">
        <v>0</v>
      </c>
      <c r="M178" s="20">
        <v>0</v>
      </c>
      <c r="N178" s="20">
        <v>1</v>
      </c>
      <c r="O178" s="20">
        <v>1</v>
      </c>
      <c r="P178" s="20">
        <v>1</v>
      </c>
      <c r="Q178" s="37" t="s">
        <v>98</v>
      </c>
      <c r="R178" s="37" t="s">
        <v>99</v>
      </c>
    </row>
    <row r="179" spans="1:18" ht="21" customHeight="1" x14ac:dyDescent="0.15">
      <c r="A179" s="10">
        <f t="shared" si="8"/>
        <v>178</v>
      </c>
      <c r="B179" s="10">
        <f t="shared" si="8"/>
        <v>178</v>
      </c>
      <c r="C179" s="16" t="s">
        <v>39</v>
      </c>
      <c r="D179" s="13">
        <v>837</v>
      </c>
      <c r="E179" s="13" t="str">
        <f>IF($C179="unit",VLOOKUP(D179,[1]characters!$A:$C,3,FALSE),VLOOKUP(D179,[2]items!$A:$G,7,FALSE))</f>
        <v>リトルハンプティ</v>
      </c>
      <c r="F179" s="14">
        <v>1</v>
      </c>
      <c r="G179" s="16" t="s">
        <v>71</v>
      </c>
      <c r="H179" s="20">
        <v>12</v>
      </c>
      <c r="I179" s="20">
        <v>4000</v>
      </c>
      <c r="J179" s="20">
        <v>0</v>
      </c>
      <c r="K179" s="20">
        <v>0</v>
      </c>
      <c r="L179" s="20">
        <v>0</v>
      </c>
      <c r="M179" s="20">
        <v>0</v>
      </c>
      <c r="N179" s="20">
        <v>1</v>
      </c>
      <c r="O179" s="20">
        <v>1</v>
      </c>
      <c r="P179" s="20">
        <v>1</v>
      </c>
      <c r="Q179" s="37" t="s">
        <v>98</v>
      </c>
      <c r="R179" s="37" t="s">
        <v>99</v>
      </c>
    </row>
    <row r="180" spans="1:18" ht="21" customHeight="1" x14ac:dyDescent="0.15">
      <c r="A180" s="10">
        <f t="shared" si="8"/>
        <v>179</v>
      </c>
      <c r="B180" s="10">
        <f t="shared" si="8"/>
        <v>179</v>
      </c>
      <c r="C180" s="16" t="s">
        <v>39</v>
      </c>
      <c r="D180" s="13">
        <v>1369</v>
      </c>
      <c r="E180" s="13" t="str">
        <f>IF($C180="unit",VLOOKUP(D180,[1]characters!$A:$C,3,FALSE),VLOOKUP(D180,[2]items!$A:$G,7,FALSE))</f>
        <v>トロイア</v>
      </c>
      <c r="F180" s="14">
        <v>1</v>
      </c>
      <c r="G180" s="16" t="s">
        <v>71</v>
      </c>
      <c r="H180" s="20">
        <v>3</v>
      </c>
      <c r="I180" s="20">
        <v>65000</v>
      </c>
      <c r="J180" s="20">
        <v>0</v>
      </c>
      <c r="K180" s="20">
        <v>0</v>
      </c>
      <c r="L180" s="20">
        <v>0</v>
      </c>
      <c r="M180" s="20">
        <v>0</v>
      </c>
      <c r="N180" s="20">
        <v>1</v>
      </c>
      <c r="O180" s="20">
        <v>1</v>
      </c>
      <c r="P180" s="20">
        <v>33</v>
      </c>
      <c r="Q180" s="37" t="s">
        <v>98</v>
      </c>
      <c r="R180" s="37" t="s">
        <v>99</v>
      </c>
    </row>
    <row r="181" spans="1:18" ht="21" customHeight="1" x14ac:dyDescent="0.15">
      <c r="A181" s="10">
        <f t="shared" si="8"/>
        <v>180</v>
      </c>
      <c r="B181" s="10">
        <f t="shared" si="8"/>
        <v>180</v>
      </c>
      <c r="C181" s="16" t="s">
        <v>39</v>
      </c>
      <c r="D181" s="13">
        <v>627</v>
      </c>
      <c r="E181" s="13" t="str">
        <f>IF($C181="unit",VLOOKUP(D181,[1]characters!$A:$C,3,FALSE),VLOOKUP(D181,[2]items!$A:$G,7,FALSE))</f>
        <v>メガラニカ</v>
      </c>
      <c r="F181" s="14">
        <v>1</v>
      </c>
      <c r="G181" s="16" t="s">
        <v>71</v>
      </c>
      <c r="H181" s="20">
        <v>3</v>
      </c>
      <c r="I181" s="20">
        <v>65000</v>
      </c>
      <c r="J181" s="20">
        <v>0</v>
      </c>
      <c r="K181" s="20">
        <v>0</v>
      </c>
      <c r="L181" s="20">
        <v>0</v>
      </c>
      <c r="M181" s="20">
        <v>0</v>
      </c>
      <c r="N181" s="20">
        <v>1</v>
      </c>
      <c r="O181" s="20">
        <v>1</v>
      </c>
      <c r="P181" s="20">
        <v>33</v>
      </c>
      <c r="Q181" s="37" t="s">
        <v>98</v>
      </c>
      <c r="R181" s="37" t="s">
        <v>99</v>
      </c>
    </row>
    <row r="182" spans="1:18" ht="21" customHeight="1" x14ac:dyDescent="0.15">
      <c r="A182" s="10">
        <f t="shared" si="8"/>
        <v>181</v>
      </c>
      <c r="B182" s="10">
        <f t="shared" si="8"/>
        <v>181</v>
      </c>
      <c r="C182" s="16" t="s">
        <v>39</v>
      </c>
      <c r="D182" s="13">
        <v>1401</v>
      </c>
      <c r="E182" s="13" t="str">
        <f>IF($C182="unit",VLOOKUP(D182,[1]characters!$A:$C,3,FALSE),VLOOKUP(D182,[2]items!$A:$G,7,FALSE))</f>
        <v>レムリア</v>
      </c>
      <c r="F182" s="14">
        <v>1</v>
      </c>
      <c r="G182" s="16" t="s">
        <v>71</v>
      </c>
      <c r="H182" s="20">
        <v>3</v>
      </c>
      <c r="I182" s="20">
        <v>65000</v>
      </c>
      <c r="J182" s="20">
        <v>0</v>
      </c>
      <c r="K182" s="20">
        <v>0</v>
      </c>
      <c r="L182" s="20">
        <v>0</v>
      </c>
      <c r="M182" s="20">
        <v>0</v>
      </c>
      <c r="N182" s="20">
        <v>1</v>
      </c>
      <c r="O182" s="20">
        <v>1</v>
      </c>
      <c r="P182" s="20">
        <v>33</v>
      </c>
      <c r="Q182" s="37" t="s">
        <v>98</v>
      </c>
      <c r="R182" s="37" t="s">
        <v>99</v>
      </c>
    </row>
    <row r="183" spans="1:18" ht="21" customHeight="1" x14ac:dyDescent="0.15">
      <c r="A183" s="10">
        <f t="shared" si="8"/>
        <v>182</v>
      </c>
      <c r="B183" s="10">
        <f t="shared" si="8"/>
        <v>182</v>
      </c>
      <c r="C183" s="16" t="s">
        <v>39</v>
      </c>
      <c r="D183" s="13">
        <v>1456</v>
      </c>
      <c r="E183" s="13" t="s">
        <v>91</v>
      </c>
      <c r="F183" s="14">
        <v>1</v>
      </c>
      <c r="G183" s="16" t="s">
        <v>71</v>
      </c>
      <c r="H183" s="20">
        <v>3</v>
      </c>
      <c r="I183" s="20">
        <v>65000</v>
      </c>
      <c r="J183" s="20">
        <v>0</v>
      </c>
      <c r="K183" s="20">
        <v>0</v>
      </c>
      <c r="L183" s="20">
        <v>0</v>
      </c>
      <c r="M183" s="20">
        <v>0</v>
      </c>
      <c r="N183" s="20">
        <v>1</v>
      </c>
      <c r="O183" s="20">
        <v>1</v>
      </c>
      <c r="P183" s="20">
        <v>33</v>
      </c>
      <c r="Q183" s="37" t="s">
        <v>98</v>
      </c>
      <c r="R183" s="37" t="s">
        <v>99</v>
      </c>
    </row>
    <row r="184" spans="1:18" ht="21" customHeight="1" x14ac:dyDescent="0.15">
      <c r="A184" s="10">
        <f t="shared" si="8"/>
        <v>183</v>
      </c>
      <c r="B184" s="10">
        <f t="shared" si="8"/>
        <v>183</v>
      </c>
      <c r="C184" s="16" t="s">
        <v>39</v>
      </c>
      <c r="D184" s="13">
        <v>1083</v>
      </c>
      <c r="E184" s="13" t="str">
        <f>IF($C184="unit",VLOOKUP(D184,[1]characters!$A:$C,3,FALSE),VLOOKUP(D184,[2]items!$A:$G,7,FALSE))</f>
        <v>マジシャン</v>
      </c>
      <c r="F184" s="14">
        <v>1</v>
      </c>
      <c r="G184" s="16" t="s">
        <v>71</v>
      </c>
      <c r="H184" s="20">
        <v>3</v>
      </c>
      <c r="I184" s="20">
        <v>200000</v>
      </c>
      <c r="J184" s="20">
        <v>0</v>
      </c>
      <c r="K184" s="20">
        <v>0</v>
      </c>
      <c r="L184" s="20">
        <v>0</v>
      </c>
      <c r="M184" s="20">
        <v>0</v>
      </c>
      <c r="N184" s="20">
        <v>1</v>
      </c>
      <c r="O184" s="20">
        <v>1</v>
      </c>
      <c r="P184" s="20">
        <v>33</v>
      </c>
      <c r="Q184" s="37" t="s">
        <v>98</v>
      </c>
      <c r="R184" s="37" t="s">
        <v>99</v>
      </c>
    </row>
    <row r="185" spans="1:18" ht="21" customHeight="1" x14ac:dyDescent="0.15">
      <c r="A185" s="10">
        <f t="shared" si="8"/>
        <v>184</v>
      </c>
      <c r="B185" s="10">
        <f t="shared" si="8"/>
        <v>184</v>
      </c>
      <c r="C185" s="51" t="s">
        <v>39</v>
      </c>
      <c r="D185" s="52">
        <v>629</v>
      </c>
      <c r="E185" s="52" t="str">
        <f>IF($C185="unit",VLOOKUP(D185,[1]characters!$A:$C,3,FALSE),VLOOKUP(D185,[2]items!$A:$G,7,FALSE))</f>
        <v>チャリオット</v>
      </c>
      <c r="F185" s="53">
        <v>1</v>
      </c>
      <c r="G185" s="51" t="s">
        <v>71</v>
      </c>
      <c r="H185" s="54">
        <v>3</v>
      </c>
      <c r="I185" s="54">
        <v>200000</v>
      </c>
      <c r="J185" s="54">
        <v>0</v>
      </c>
      <c r="K185" s="54">
        <v>0</v>
      </c>
      <c r="L185" s="54">
        <v>0</v>
      </c>
      <c r="M185" s="54">
        <v>0</v>
      </c>
      <c r="N185" s="54">
        <v>1</v>
      </c>
      <c r="O185" s="54">
        <v>1</v>
      </c>
      <c r="P185" s="54">
        <v>33</v>
      </c>
      <c r="Q185" s="37" t="s">
        <v>98</v>
      </c>
      <c r="R185" s="37" t="s">
        <v>99</v>
      </c>
    </row>
    <row r="186" spans="1:18" ht="21" customHeight="1" x14ac:dyDescent="0.15">
      <c r="A186" s="10">
        <f t="shared" si="8"/>
        <v>185</v>
      </c>
      <c r="B186" s="10">
        <f t="shared" si="8"/>
        <v>185</v>
      </c>
      <c r="C186" s="46" t="s">
        <v>39</v>
      </c>
      <c r="D186" s="17">
        <v>1399</v>
      </c>
      <c r="E186" s="17" t="str">
        <f>IF($C186="unit",VLOOKUP(D186,[1]characters!$A:$C,3,FALSE),VLOOKUP(D186,[2]items!$A:$G,7,FALSE))</f>
        <v>ラヴァーズ</v>
      </c>
      <c r="F186" s="47">
        <v>1</v>
      </c>
      <c r="G186" s="46" t="s">
        <v>71</v>
      </c>
      <c r="H186" s="48">
        <v>3</v>
      </c>
      <c r="I186" s="48">
        <v>200000</v>
      </c>
      <c r="J186" s="48">
        <v>0</v>
      </c>
      <c r="K186" s="48">
        <v>0</v>
      </c>
      <c r="L186" s="48">
        <v>0</v>
      </c>
      <c r="M186" s="48">
        <v>0</v>
      </c>
      <c r="N186" s="48">
        <v>1</v>
      </c>
      <c r="O186" s="48">
        <v>1</v>
      </c>
      <c r="P186" s="48">
        <v>33</v>
      </c>
      <c r="Q186" s="37" t="s">
        <v>98</v>
      </c>
      <c r="R186" s="37" t="s">
        <v>99</v>
      </c>
    </row>
    <row r="187" spans="1:18" ht="21" customHeight="1" thickBot="1" x14ac:dyDescent="0.2">
      <c r="A187" s="31">
        <f t="shared" si="8"/>
        <v>186</v>
      </c>
      <c r="B187" s="31">
        <f t="shared" si="8"/>
        <v>186</v>
      </c>
      <c r="C187" s="32" t="s">
        <v>39</v>
      </c>
      <c r="D187" s="33">
        <v>1454</v>
      </c>
      <c r="E187" s="33" t="str">
        <f>IF($C187="unit",VLOOKUP(D187,[1]characters!$A:$C,3,FALSE),VLOOKUP(D187,[2]items!$A:$G,7,FALSE))</f>
        <v>ストレングス</v>
      </c>
      <c r="F187" s="34">
        <v>1</v>
      </c>
      <c r="G187" s="32" t="s">
        <v>71</v>
      </c>
      <c r="H187" s="35">
        <v>3</v>
      </c>
      <c r="I187" s="35">
        <v>200000</v>
      </c>
      <c r="J187" s="35">
        <v>0</v>
      </c>
      <c r="K187" s="35">
        <v>0</v>
      </c>
      <c r="L187" s="35">
        <v>0</v>
      </c>
      <c r="M187" s="35">
        <v>0</v>
      </c>
      <c r="N187" s="35">
        <v>1</v>
      </c>
      <c r="O187" s="35">
        <v>1</v>
      </c>
      <c r="P187" s="35">
        <v>33</v>
      </c>
      <c r="Q187" s="38" t="s">
        <v>98</v>
      </c>
      <c r="R187" s="38" t="s">
        <v>99</v>
      </c>
    </row>
    <row r="188" spans="1:18" ht="21" customHeight="1" x14ac:dyDescent="0.15">
      <c r="A188" s="55">
        <f>ROW()-1</f>
        <v>187</v>
      </c>
      <c r="B188" s="55">
        <f>ROW()-1</f>
        <v>187</v>
      </c>
      <c r="C188" s="56" t="s">
        <v>39</v>
      </c>
      <c r="D188" s="57">
        <v>103</v>
      </c>
      <c r="E188" s="58" t="str">
        <f>IF($C188="unit",VLOOKUP(D188,[1]characters!$A:$C,3,FALSE),VLOOKUP(D188,[2]items!$A:$G,7,FALSE))</f>
        <v>レッドキャタップ</v>
      </c>
      <c r="F188" s="59">
        <v>1</v>
      </c>
      <c r="G188" s="56" t="s">
        <v>69</v>
      </c>
      <c r="H188" s="57">
        <v>50</v>
      </c>
      <c r="I188" s="57">
        <v>1500</v>
      </c>
      <c r="J188" s="57">
        <v>0</v>
      </c>
      <c r="K188" s="57">
        <v>0</v>
      </c>
      <c r="L188" s="57">
        <v>0</v>
      </c>
      <c r="M188" s="57">
        <v>0</v>
      </c>
      <c r="N188" s="57">
        <v>1</v>
      </c>
      <c r="O188" s="57">
        <v>1</v>
      </c>
      <c r="P188" s="57">
        <v>1</v>
      </c>
      <c r="Q188" s="41" t="s">
        <v>100</v>
      </c>
      <c r="R188" s="41" t="s">
        <v>101</v>
      </c>
    </row>
    <row r="189" spans="1:18" ht="21" customHeight="1" x14ac:dyDescent="0.15">
      <c r="A189" s="61">
        <f t="shared" ref="A189:B195" si="9">ROW()-1</f>
        <v>188</v>
      </c>
      <c r="B189" s="61">
        <f t="shared" si="9"/>
        <v>188</v>
      </c>
      <c r="C189" s="62" t="s">
        <v>39</v>
      </c>
      <c r="D189" s="63">
        <v>104</v>
      </c>
      <c r="E189" s="58" t="str">
        <f>IF($C189="unit",VLOOKUP(D189,[1]characters!$A:$C,3,FALSE),VLOOKUP(D189,[2]items!$A:$G,7,FALSE))</f>
        <v>炎のマッドハッター</v>
      </c>
      <c r="F189" s="59">
        <v>1</v>
      </c>
      <c r="G189" s="56" t="s">
        <v>69</v>
      </c>
      <c r="H189" s="57">
        <v>50</v>
      </c>
      <c r="I189" s="63">
        <v>2000</v>
      </c>
      <c r="J189" s="57">
        <v>0</v>
      </c>
      <c r="K189" s="57">
        <v>0</v>
      </c>
      <c r="L189" s="57">
        <v>0</v>
      </c>
      <c r="M189" s="57">
        <v>0</v>
      </c>
      <c r="N189" s="57">
        <v>1</v>
      </c>
      <c r="O189" s="57">
        <v>1</v>
      </c>
      <c r="P189" s="57">
        <v>1</v>
      </c>
      <c r="Q189" s="37" t="s">
        <v>100</v>
      </c>
      <c r="R189" s="37" t="s">
        <v>101</v>
      </c>
    </row>
    <row r="190" spans="1:18" ht="21" customHeight="1" x14ac:dyDescent="0.15">
      <c r="A190" s="61">
        <f t="shared" si="9"/>
        <v>189</v>
      </c>
      <c r="B190" s="61">
        <f t="shared" si="9"/>
        <v>189</v>
      </c>
      <c r="C190" s="62" t="s">
        <v>39</v>
      </c>
      <c r="D190" s="63">
        <v>107</v>
      </c>
      <c r="E190" s="58" t="str">
        <f>IF($C190="unit",VLOOKUP(D190,[1]characters!$A:$C,3,FALSE),VLOOKUP(D190,[2]items!$A:$G,7,FALSE))</f>
        <v>グリーンキャタップ</v>
      </c>
      <c r="F190" s="59">
        <v>1</v>
      </c>
      <c r="G190" s="56" t="s">
        <v>69</v>
      </c>
      <c r="H190" s="57">
        <v>50</v>
      </c>
      <c r="I190" s="63">
        <v>1500</v>
      </c>
      <c r="J190" s="57">
        <v>0</v>
      </c>
      <c r="K190" s="57">
        <v>0</v>
      </c>
      <c r="L190" s="57">
        <v>0</v>
      </c>
      <c r="M190" s="57">
        <v>0</v>
      </c>
      <c r="N190" s="57">
        <v>1</v>
      </c>
      <c r="O190" s="57">
        <v>1</v>
      </c>
      <c r="P190" s="57">
        <v>1</v>
      </c>
      <c r="Q190" s="37" t="s">
        <v>100</v>
      </c>
      <c r="R190" s="37" t="s">
        <v>101</v>
      </c>
    </row>
    <row r="191" spans="1:18" ht="21" customHeight="1" x14ac:dyDescent="0.15">
      <c r="A191" s="61">
        <f t="shared" si="9"/>
        <v>190</v>
      </c>
      <c r="B191" s="61">
        <f t="shared" si="9"/>
        <v>190</v>
      </c>
      <c r="C191" s="62" t="s">
        <v>39</v>
      </c>
      <c r="D191" s="63">
        <v>108</v>
      </c>
      <c r="E191" s="58" t="str">
        <f>IF($C191="unit",VLOOKUP(D191,[1]characters!$A:$C,3,FALSE),VLOOKUP(D191,[2]items!$A:$G,7,FALSE))</f>
        <v>森のマッドハッター</v>
      </c>
      <c r="F191" s="59">
        <v>1</v>
      </c>
      <c r="G191" s="56" t="s">
        <v>69</v>
      </c>
      <c r="H191" s="57">
        <v>50</v>
      </c>
      <c r="I191" s="63">
        <v>2000</v>
      </c>
      <c r="J191" s="57">
        <v>0</v>
      </c>
      <c r="K191" s="57">
        <v>0</v>
      </c>
      <c r="L191" s="57">
        <v>0</v>
      </c>
      <c r="M191" s="57">
        <v>0</v>
      </c>
      <c r="N191" s="57">
        <v>1</v>
      </c>
      <c r="O191" s="57">
        <v>1</v>
      </c>
      <c r="P191" s="57">
        <v>1</v>
      </c>
      <c r="Q191" s="37" t="s">
        <v>100</v>
      </c>
      <c r="R191" s="37" t="s">
        <v>101</v>
      </c>
    </row>
    <row r="192" spans="1:18" ht="21" customHeight="1" x14ac:dyDescent="0.15">
      <c r="A192" s="61">
        <f t="shared" si="9"/>
        <v>191</v>
      </c>
      <c r="B192" s="61">
        <f t="shared" si="9"/>
        <v>191</v>
      </c>
      <c r="C192" s="62" t="s">
        <v>39</v>
      </c>
      <c r="D192" s="63">
        <v>111</v>
      </c>
      <c r="E192" s="58" t="str">
        <f>IF($C192="unit",VLOOKUP(D192,[1]characters!$A:$C,3,FALSE),VLOOKUP(D192,[2]items!$A:$G,7,FALSE))</f>
        <v>ブルーキャタップ</v>
      </c>
      <c r="F192" s="59">
        <v>1</v>
      </c>
      <c r="G192" s="56" t="s">
        <v>69</v>
      </c>
      <c r="H192" s="57">
        <v>50</v>
      </c>
      <c r="I192" s="63">
        <v>1500</v>
      </c>
      <c r="J192" s="57">
        <v>0</v>
      </c>
      <c r="K192" s="57">
        <v>0</v>
      </c>
      <c r="L192" s="57">
        <v>0</v>
      </c>
      <c r="M192" s="57">
        <v>0</v>
      </c>
      <c r="N192" s="57">
        <v>1</v>
      </c>
      <c r="O192" s="57">
        <v>1</v>
      </c>
      <c r="P192" s="57">
        <v>1</v>
      </c>
      <c r="Q192" s="37" t="s">
        <v>100</v>
      </c>
      <c r="R192" s="37" t="s">
        <v>101</v>
      </c>
    </row>
    <row r="193" spans="1:18" ht="21" customHeight="1" x14ac:dyDescent="0.15">
      <c r="A193" s="61">
        <f t="shared" si="9"/>
        <v>192</v>
      </c>
      <c r="B193" s="61">
        <f t="shared" si="9"/>
        <v>192</v>
      </c>
      <c r="C193" s="62" t="s">
        <v>39</v>
      </c>
      <c r="D193" s="63">
        <v>112</v>
      </c>
      <c r="E193" s="58" t="str">
        <f>IF($C193="unit",VLOOKUP(D193,[1]characters!$A:$C,3,FALSE),VLOOKUP(D193,[2]items!$A:$G,7,FALSE))</f>
        <v>水のマッドハッター</v>
      </c>
      <c r="F193" s="59">
        <v>1</v>
      </c>
      <c r="G193" s="56" t="s">
        <v>69</v>
      </c>
      <c r="H193" s="57">
        <v>50</v>
      </c>
      <c r="I193" s="63">
        <v>2000</v>
      </c>
      <c r="J193" s="57">
        <v>0</v>
      </c>
      <c r="K193" s="57">
        <v>0</v>
      </c>
      <c r="L193" s="57">
        <v>0</v>
      </c>
      <c r="M193" s="57">
        <v>0</v>
      </c>
      <c r="N193" s="57">
        <v>1</v>
      </c>
      <c r="O193" s="57">
        <v>1</v>
      </c>
      <c r="P193" s="57">
        <v>1</v>
      </c>
      <c r="Q193" s="37" t="s">
        <v>100</v>
      </c>
      <c r="R193" s="37" t="s">
        <v>101</v>
      </c>
    </row>
    <row r="194" spans="1:18" ht="21" customHeight="1" x14ac:dyDescent="0.15">
      <c r="A194" s="61">
        <f t="shared" si="9"/>
        <v>193</v>
      </c>
      <c r="B194" s="61">
        <f t="shared" si="9"/>
        <v>193</v>
      </c>
      <c r="C194" s="62" t="s">
        <v>39</v>
      </c>
      <c r="D194" s="63">
        <v>115</v>
      </c>
      <c r="E194" s="58" t="str">
        <f>IF($C194="unit",VLOOKUP(D194,[1]characters!$A:$C,3,FALSE),VLOOKUP(D194,[2]items!$A:$G,7,FALSE))</f>
        <v>イエローキャタップ</v>
      </c>
      <c r="F194" s="59">
        <v>1</v>
      </c>
      <c r="G194" s="56" t="s">
        <v>69</v>
      </c>
      <c r="H194" s="57">
        <v>50</v>
      </c>
      <c r="I194" s="63">
        <v>1500</v>
      </c>
      <c r="J194" s="57">
        <v>0</v>
      </c>
      <c r="K194" s="57">
        <v>0</v>
      </c>
      <c r="L194" s="57">
        <v>0</v>
      </c>
      <c r="M194" s="57">
        <v>0</v>
      </c>
      <c r="N194" s="57">
        <v>1</v>
      </c>
      <c r="O194" s="57">
        <v>1</v>
      </c>
      <c r="P194" s="57">
        <v>1</v>
      </c>
      <c r="Q194" s="37" t="s">
        <v>100</v>
      </c>
      <c r="R194" s="37" t="s">
        <v>101</v>
      </c>
    </row>
    <row r="195" spans="1:18" ht="21" customHeight="1" x14ac:dyDescent="0.15">
      <c r="A195" s="61">
        <f t="shared" si="9"/>
        <v>194</v>
      </c>
      <c r="B195" s="61">
        <f t="shared" si="9"/>
        <v>194</v>
      </c>
      <c r="C195" s="62" t="s">
        <v>39</v>
      </c>
      <c r="D195" s="63">
        <v>116</v>
      </c>
      <c r="E195" s="63" t="str">
        <f>IF($C195="unit",VLOOKUP(D195,[1]characters!$A:$C,3,FALSE),VLOOKUP(D195,[2]items!$A:$G,7,FALSE))</f>
        <v>雷のマッドハッター</v>
      </c>
      <c r="F195" s="59">
        <v>1</v>
      </c>
      <c r="G195" s="56" t="s">
        <v>69</v>
      </c>
      <c r="H195" s="57">
        <v>50</v>
      </c>
      <c r="I195" s="63">
        <v>2000</v>
      </c>
      <c r="J195" s="57">
        <v>0</v>
      </c>
      <c r="K195" s="57">
        <v>0</v>
      </c>
      <c r="L195" s="57">
        <v>0</v>
      </c>
      <c r="M195" s="57">
        <v>0</v>
      </c>
      <c r="N195" s="57">
        <v>1</v>
      </c>
      <c r="O195" s="57">
        <v>1</v>
      </c>
      <c r="P195" s="57">
        <v>1</v>
      </c>
      <c r="Q195" s="37" t="s">
        <v>100</v>
      </c>
      <c r="R195" s="37" t="s">
        <v>101</v>
      </c>
    </row>
    <row r="196" spans="1:18" ht="21" customHeight="1" x14ac:dyDescent="0.15">
      <c r="A196" s="28">
        <f t="shared" si="8"/>
        <v>195</v>
      </c>
      <c r="B196" s="28">
        <f t="shared" si="8"/>
        <v>195</v>
      </c>
      <c r="C196" s="29" t="s">
        <v>39</v>
      </c>
      <c r="D196" s="18">
        <v>335</v>
      </c>
      <c r="E196" s="18" t="str">
        <f>IF($C196="unit",VLOOKUP(D196,[1]characters!$A:$C,3,FALSE),VLOOKUP(D196,[2]items!$A:$G,7,FALSE))</f>
        <v>炎のメタルジェントル</v>
      </c>
      <c r="F196" s="15">
        <v>1</v>
      </c>
      <c r="G196" s="29" t="s">
        <v>71</v>
      </c>
      <c r="H196" s="30">
        <v>50</v>
      </c>
      <c r="I196" s="30">
        <v>700</v>
      </c>
      <c r="J196" s="30">
        <v>0</v>
      </c>
      <c r="K196" s="30">
        <v>0</v>
      </c>
      <c r="L196" s="30">
        <v>0</v>
      </c>
      <c r="M196" s="30">
        <v>0</v>
      </c>
      <c r="N196" s="30">
        <v>1</v>
      </c>
      <c r="O196" s="30">
        <v>1</v>
      </c>
      <c r="P196" s="30">
        <v>1</v>
      </c>
      <c r="Q196" s="37" t="s">
        <v>100</v>
      </c>
      <c r="R196" s="37" t="s">
        <v>101</v>
      </c>
    </row>
    <row r="197" spans="1:18" ht="21" customHeight="1" x14ac:dyDescent="0.15">
      <c r="A197" s="10">
        <f t="shared" ref="A197:B223" si="10">ROW()-1</f>
        <v>196</v>
      </c>
      <c r="B197" s="10">
        <f t="shared" si="10"/>
        <v>196</v>
      </c>
      <c r="C197" s="16" t="s">
        <v>39</v>
      </c>
      <c r="D197" s="13">
        <v>339</v>
      </c>
      <c r="E197" s="13" t="str">
        <f>IF($C197="unit",VLOOKUP(D197,[1]characters!$A:$C,3,FALSE),VLOOKUP(D197,[2]items!$A:$G,7,FALSE))</f>
        <v>森のメタルジェントル</v>
      </c>
      <c r="F197" s="14">
        <v>1</v>
      </c>
      <c r="G197" s="16" t="s">
        <v>71</v>
      </c>
      <c r="H197" s="20">
        <v>50</v>
      </c>
      <c r="I197" s="20">
        <v>700</v>
      </c>
      <c r="J197" s="20">
        <v>0</v>
      </c>
      <c r="K197" s="20">
        <v>0</v>
      </c>
      <c r="L197" s="20">
        <v>0</v>
      </c>
      <c r="M197" s="20">
        <v>0</v>
      </c>
      <c r="N197" s="20">
        <v>1</v>
      </c>
      <c r="O197" s="20">
        <v>1</v>
      </c>
      <c r="P197" s="20">
        <v>1</v>
      </c>
      <c r="Q197" s="37" t="s">
        <v>100</v>
      </c>
      <c r="R197" s="37" t="s">
        <v>101</v>
      </c>
    </row>
    <row r="198" spans="1:18" ht="21" customHeight="1" x14ac:dyDescent="0.15">
      <c r="A198" s="10">
        <f t="shared" si="10"/>
        <v>197</v>
      </c>
      <c r="B198" s="10">
        <f t="shared" si="10"/>
        <v>197</v>
      </c>
      <c r="C198" s="16" t="s">
        <v>39</v>
      </c>
      <c r="D198" s="13">
        <v>343</v>
      </c>
      <c r="E198" s="13" t="str">
        <f>IF($C198="unit",VLOOKUP(D198,[1]characters!$A:$C,3,FALSE),VLOOKUP(D198,[2]items!$A:$G,7,FALSE))</f>
        <v>水のメタルジェントル</v>
      </c>
      <c r="F198" s="14">
        <v>1</v>
      </c>
      <c r="G198" s="16" t="s">
        <v>71</v>
      </c>
      <c r="H198" s="20">
        <v>50</v>
      </c>
      <c r="I198" s="20">
        <v>700</v>
      </c>
      <c r="J198" s="20">
        <v>0</v>
      </c>
      <c r="K198" s="20">
        <v>0</v>
      </c>
      <c r="L198" s="20">
        <v>0</v>
      </c>
      <c r="M198" s="20">
        <v>0</v>
      </c>
      <c r="N198" s="20">
        <v>1</v>
      </c>
      <c r="O198" s="20">
        <v>1</v>
      </c>
      <c r="P198" s="20">
        <v>1</v>
      </c>
      <c r="Q198" s="37" t="s">
        <v>100</v>
      </c>
      <c r="R198" s="37" t="s">
        <v>101</v>
      </c>
    </row>
    <row r="199" spans="1:18" ht="21" customHeight="1" x14ac:dyDescent="0.15">
      <c r="A199" s="10">
        <f t="shared" si="10"/>
        <v>198</v>
      </c>
      <c r="B199" s="10">
        <f t="shared" si="10"/>
        <v>198</v>
      </c>
      <c r="C199" s="16" t="s">
        <v>39</v>
      </c>
      <c r="D199" s="13">
        <v>347</v>
      </c>
      <c r="E199" s="13" t="str">
        <f>IF($C199="unit",VLOOKUP(D199,[1]characters!$A:$C,3,FALSE),VLOOKUP(D199,[2]items!$A:$G,7,FALSE))</f>
        <v>雷のメタルジェントル</v>
      </c>
      <c r="F199" s="14">
        <v>1</v>
      </c>
      <c r="G199" s="16" t="s">
        <v>71</v>
      </c>
      <c r="H199" s="20">
        <v>50</v>
      </c>
      <c r="I199" s="20">
        <v>700</v>
      </c>
      <c r="J199" s="20">
        <v>0</v>
      </c>
      <c r="K199" s="20">
        <v>0</v>
      </c>
      <c r="L199" s="20">
        <v>0</v>
      </c>
      <c r="M199" s="20">
        <v>0</v>
      </c>
      <c r="N199" s="20">
        <v>1</v>
      </c>
      <c r="O199" s="20">
        <v>1</v>
      </c>
      <c r="P199" s="20">
        <v>1</v>
      </c>
      <c r="Q199" s="37" t="s">
        <v>100</v>
      </c>
      <c r="R199" s="37" t="s">
        <v>101</v>
      </c>
    </row>
    <row r="200" spans="1:18" ht="21" customHeight="1" x14ac:dyDescent="0.15">
      <c r="A200" s="10">
        <f t="shared" si="10"/>
        <v>199</v>
      </c>
      <c r="B200" s="10">
        <f t="shared" si="10"/>
        <v>199</v>
      </c>
      <c r="C200" s="16" t="s">
        <v>39</v>
      </c>
      <c r="D200" s="13">
        <v>611</v>
      </c>
      <c r="E200" s="13" t="str">
        <f>IF($C200="unit",VLOOKUP(D200,[1]characters!$A:$C,3,FALSE),VLOOKUP(D200,[2]items!$A:$G,7,FALSE))</f>
        <v>ギガ攻めの果実</v>
      </c>
      <c r="F200" s="14">
        <v>1</v>
      </c>
      <c r="G200" s="16" t="s">
        <v>71</v>
      </c>
      <c r="H200" s="20">
        <v>12</v>
      </c>
      <c r="I200" s="20">
        <v>1400</v>
      </c>
      <c r="J200" s="20">
        <v>0</v>
      </c>
      <c r="K200" s="20">
        <v>0</v>
      </c>
      <c r="L200" s="20">
        <v>0</v>
      </c>
      <c r="M200" s="20">
        <v>0</v>
      </c>
      <c r="N200" s="20">
        <v>1</v>
      </c>
      <c r="O200" s="20">
        <v>1</v>
      </c>
      <c r="P200" s="20">
        <v>1</v>
      </c>
      <c r="Q200" s="37" t="s">
        <v>100</v>
      </c>
      <c r="R200" s="37" t="s">
        <v>101</v>
      </c>
    </row>
    <row r="201" spans="1:18" ht="21" customHeight="1" x14ac:dyDescent="0.15">
      <c r="A201" s="10">
        <f t="shared" si="10"/>
        <v>200</v>
      </c>
      <c r="B201" s="10">
        <f t="shared" si="10"/>
        <v>200</v>
      </c>
      <c r="C201" s="16" t="s">
        <v>39</v>
      </c>
      <c r="D201" s="13">
        <v>612</v>
      </c>
      <c r="E201" s="13" t="str">
        <f>IF($C201="unit",VLOOKUP(D201,[1]characters!$A:$C,3,FALSE),VLOOKUP(D201,[2]items!$A:$G,7,FALSE))</f>
        <v>ギガ生命の果実</v>
      </c>
      <c r="F201" s="14">
        <v>1</v>
      </c>
      <c r="G201" s="16" t="s">
        <v>71</v>
      </c>
      <c r="H201" s="20">
        <v>12</v>
      </c>
      <c r="I201" s="20">
        <v>1400</v>
      </c>
      <c r="J201" s="20">
        <v>0</v>
      </c>
      <c r="K201" s="20">
        <v>0</v>
      </c>
      <c r="L201" s="20">
        <v>0</v>
      </c>
      <c r="M201" s="20">
        <v>0</v>
      </c>
      <c r="N201" s="20">
        <v>1</v>
      </c>
      <c r="O201" s="20">
        <v>1</v>
      </c>
      <c r="P201" s="20">
        <v>1</v>
      </c>
      <c r="Q201" s="37" t="s">
        <v>100</v>
      </c>
      <c r="R201" s="37" t="s">
        <v>101</v>
      </c>
    </row>
    <row r="202" spans="1:18" ht="21" customHeight="1" x14ac:dyDescent="0.15">
      <c r="A202" s="10">
        <f t="shared" si="10"/>
        <v>201</v>
      </c>
      <c r="B202" s="10">
        <f t="shared" si="10"/>
        <v>201</v>
      </c>
      <c r="C202" s="16" t="s">
        <v>39</v>
      </c>
      <c r="D202" s="13">
        <v>613</v>
      </c>
      <c r="E202" s="13" t="str">
        <f>IF($C202="unit",VLOOKUP(D202,[1]characters!$A:$C,3,FALSE),VLOOKUP(D202,[2]items!$A:$G,7,FALSE))</f>
        <v>ギガ癒しの果実</v>
      </c>
      <c r="F202" s="14">
        <v>1</v>
      </c>
      <c r="G202" s="16" t="s">
        <v>71</v>
      </c>
      <c r="H202" s="20">
        <v>12</v>
      </c>
      <c r="I202" s="20">
        <v>1400</v>
      </c>
      <c r="J202" s="20">
        <v>0</v>
      </c>
      <c r="K202" s="20">
        <v>0</v>
      </c>
      <c r="L202" s="20">
        <v>0</v>
      </c>
      <c r="M202" s="20">
        <v>0</v>
      </c>
      <c r="N202" s="20">
        <v>1</v>
      </c>
      <c r="O202" s="20">
        <v>1</v>
      </c>
      <c r="P202" s="20">
        <v>1</v>
      </c>
      <c r="Q202" s="37" t="s">
        <v>100</v>
      </c>
      <c r="R202" s="37" t="s">
        <v>101</v>
      </c>
    </row>
    <row r="203" spans="1:18" ht="21" customHeight="1" x14ac:dyDescent="0.15">
      <c r="A203" s="10">
        <f t="shared" si="10"/>
        <v>202</v>
      </c>
      <c r="B203" s="10">
        <f t="shared" si="10"/>
        <v>202</v>
      </c>
      <c r="C203" s="16" t="s">
        <v>39</v>
      </c>
      <c r="D203" s="13">
        <v>614</v>
      </c>
      <c r="E203" s="13" t="str">
        <f>IF($C203="unit",VLOOKUP(D203,[1]characters!$A:$C,3,FALSE),VLOOKUP(D203,[2]items!$A:$G,7,FALSE))</f>
        <v>ギガ秘術の果実</v>
      </c>
      <c r="F203" s="14">
        <v>1</v>
      </c>
      <c r="G203" s="16" t="s">
        <v>71</v>
      </c>
      <c r="H203" s="20">
        <v>12</v>
      </c>
      <c r="I203" s="20">
        <v>2000</v>
      </c>
      <c r="J203" s="20">
        <v>0</v>
      </c>
      <c r="K203" s="20">
        <v>0</v>
      </c>
      <c r="L203" s="20">
        <v>0</v>
      </c>
      <c r="M203" s="20">
        <v>0</v>
      </c>
      <c r="N203" s="20">
        <v>1</v>
      </c>
      <c r="O203" s="20">
        <v>1</v>
      </c>
      <c r="P203" s="20">
        <v>1</v>
      </c>
      <c r="Q203" s="37" t="s">
        <v>100</v>
      </c>
      <c r="R203" s="37" t="s">
        <v>101</v>
      </c>
    </row>
    <row r="204" spans="1:18" ht="21" customHeight="1" x14ac:dyDescent="0.15">
      <c r="A204" s="10">
        <f t="shared" si="10"/>
        <v>203</v>
      </c>
      <c r="B204" s="10">
        <f t="shared" si="10"/>
        <v>203</v>
      </c>
      <c r="C204" s="16" t="s">
        <v>45</v>
      </c>
      <c r="D204" s="13">
        <v>1</v>
      </c>
      <c r="E204" s="13" t="str">
        <f>IF($C204="unit",VLOOKUP(D204,[1]characters!$A:$C,3,FALSE),VLOOKUP(D204,[2]items!$A:$G,7,FALSE))</f>
        <v>マスターキー</v>
      </c>
      <c r="F204" s="14">
        <v>1</v>
      </c>
      <c r="G204" s="16" t="s">
        <v>71</v>
      </c>
      <c r="H204" s="20">
        <v>12</v>
      </c>
      <c r="I204" s="20">
        <v>3000</v>
      </c>
      <c r="J204" s="20">
        <v>0</v>
      </c>
      <c r="K204" s="20">
        <v>0</v>
      </c>
      <c r="L204" s="20">
        <v>0</v>
      </c>
      <c r="M204" s="20">
        <v>0</v>
      </c>
      <c r="N204" s="20">
        <v>1</v>
      </c>
      <c r="O204" s="20">
        <v>1</v>
      </c>
      <c r="P204" s="20">
        <v>1</v>
      </c>
      <c r="Q204" s="37" t="s">
        <v>100</v>
      </c>
      <c r="R204" s="37" t="s">
        <v>101</v>
      </c>
    </row>
    <row r="205" spans="1:18" ht="21" customHeight="1" x14ac:dyDescent="0.15">
      <c r="A205" s="10">
        <f t="shared" si="10"/>
        <v>204</v>
      </c>
      <c r="B205" s="10">
        <f t="shared" si="10"/>
        <v>204</v>
      </c>
      <c r="C205" s="16" t="s">
        <v>39</v>
      </c>
      <c r="D205" s="13">
        <v>837</v>
      </c>
      <c r="E205" s="13" t="str">
        <f>IF($C205="unit",VLOOKUP(D205,[1]characters!$A:$C,3,FALSE),VLOOKUP(D205,[2]items!$A:$G,7,FALSE))</f>
        <v>リトルハンプティ</v>
      </c>
      <c r="F205" s="14">
        <v>1</v>
      </c>
      <c r="G205" s="16" t="s">
        <v>71</v>
      </c>
      <c r="H205" s="20">
        <v>12</v>
      </c>
      <c r="I205" s="20">
        <v>4000</v>
      </c>
      <c r="J205" s="20">
        <v>0</v>
      </c>
      <c r="K205" s="20">
        <v>0</v>
      </c>
      <c r="L205" s="20">
        <v>0</v>
      </c>
      <c r="M205" s="20">
        <v>0</v>
      </c>
      <c r="N205" s="20">
        <v>1</v>
      </c>
      <c r="O205" s="20">
        <v>1</v>
      </c>
      <c r="P205" s="20">
        <v>1</v>
      </c>
      <c r="Q205" s="37" t="s">
        <v>100</v>
      </c>
      <c r="R205" s="37" t="s">
        <v>101</v>
      </c>
    </row>
    <row r="206" spans="1:18" ht="21" customHeight="1" x14ac:dyDescent="0.15">
      <c r="A206" s="10">
        <f t="shared" si="10"/>
        <v>205</v>
      </c>
      <c r="B206" s="10">
        <f t="shared" si="10"/>
        <v>205</v>
      </c>
      <c r="C206" s="16" t="s">
        <v>39</v>
      </c>
      <c r="D206" s="13">
        <v>1369</v>
      </c>
      <c r="E206" s="13" t="str">
        <f>IF($C206="unit",VLOOKUP(D206,[1]characters!$A:$C,3,FALSE),VLOOKUP(D206,[2]items!$A:$G,7,FALSE))</f>
        <v>トロイア</v>
      </c>
      <c r="F206" s="14">
        <v>1</v>
      </c>
      <c r="G206" s="16" t="s">
        <v>71</v>
      </c>
      <c r="H206" s="20">
        <v>3</v>
      </c>
      <c r="I206" s="20">
        <v>65000</v>
      </c>
      <c r="J206" s="20">
        <v>0</v>
      </c>
      <c r="K206" s="20">
        <v>0</v>
      </c>
      <c r="L206" s="20">
        <v>0</v>
      </c>
      <c r="M206" s="20">
        <v>0</v>
      </c>
      <c r="N206" s="20">
        <v>1</v>
      </c>
      <c r="O206" s="20">
        <v>1</v>
      </c>
      <c r="P206" s="20">
        <v>33</v>
      </c>
      <c r="Q206" s="37" t="s">
        <v>100</v>
      </c>
      <c r="R206" s="37" t="s">
        <v>101</v>
      </c>
    </row>
    <row r="207" spans="1:18" ht="21" customHeight="1" x14ac:dyDescent="0.15">
      <c r="A207" s="10">
        <f t="shared" si="10"/>
        <v>206</v>
      </c>
      <c r="B207" s="10">
        <f t="shared" si="10"/>
        <v>206</v>
      </c>
      <c r="C207" s="16" t="s">
        <v>39</v>
      </c>
      <c r="D207" s="13">
        <v>627</v>
      </c>
      <c r="E207" s="13" t="str">
        <f>IF($C207="unit",VLOOKUP(D207,[1]characters!$A:$C,3,FALSE),VLOOKUP(D207,[2]items!$A:$G,7,FALSE))</f>
        <v>メガラニカ</v>
      </c>
      <c r="F207" s="14">
        <v>1</v>
      </c>
      <c r="G207" s="16" t="s">
        <v>71</v>
      </c>
      <c r="H207" s="20">
        <v>3</v>
      </c>
      <c r="I207" s="20">
        <v>65000</v>
      </c>
      <c r="J207" s="20">
        <v>0</v>
      </c>
      <c r="K207" s="20">
        <v>0</v>
      </c>
      <c r="L207" s="20">
        <v>0</v>
      </c>
      <c r="M207" s="20">
        <v>0</v>
      </c>
      <c r="N207" s="20">
        <v>1</v>
      </c>
      <c r="O207" s="20">
        <v>1</v>
      </c>
      <c r="P207" s="20">
        <v>33</v>
      </c>
      <c r="Q207" s="37" t="s">
        <v>100</v>
      </c>
      <c r="R207" s="37" t="s">
        <v>101</v>
      </c>
    </row>
    <row r="208" spans="1:18" ht="21" customHeight="1" x14ac:dyDescent="0.15">
      <c r="A208" s="10">
        <f t="shared" si="10"/>
        <v>207</v>
      </c>
      <c r="B208" s="10">
        <f t="shared" si="10"/>
        <v>207</v>
      </c>
      <c r="C208" s="16" t="s">
        <v>39</v>
      </c>
      <c r="D208" s="13">
        <v>1401</v>
      </c>
      <c r="E208" s="13" t="str">
        <f>IF($C208="unit",VLOOKUP(D208,[1]characters!$A:$C,3,FALSE),VLOOKUP(D208,[2]items!$A:$G,7,FALSE))</f>
        <v>レムリア</v>
      </c>
      <c r="F208" s="14">
        <v>1</v>
      </c>
      <c r="G208" s="16" t="s">
        <v>71</v>
      </c>
      <c r="H208" s="20">
        <v>3</v>
      </c>
      <c r="I208" s="20">
        <v>65000</v>
      </c>
      <c r="J208" s="20">
        <v>0</v>
      </c>
      <c r="K208" s="20">
        <v>0</v>
      </c>
      <c r="L208" s="20">
        <v>0</v>
      </c>
      <c r="M208" s="20">
        <v>0</v>
      </c>
      <c r="N208" s="20">
        <v>1</v>
      </c>
      <c r="O208" s="20">
        <v>1</v>
      </c>
      <c r="P208" s="20">
        <v>33</v>
      </c>
      <c r="Q208" s="37" t="s">
        <v>100</v>
      </c>
      <c r="R208" s="37" t="s">
        <v>101</v>
      </c>
    </row>
    <row r="209" spans="1:18" ht="21" customHeight="1" x14ac:dyDescent="0.15">
      <c r="A209" s="10">
        <f t="shared" si="10"/>
        <v>208</v>
      </c>
      <c r="B209" s="10">
        <f t="shared" si="10"/>
        <v>208</v>
      </c>
      <c r="C209" s="16" t="s">
        <v>39</v>
      </c>
      <c r="D209" s="13">
        <v>1456</v>
      </c>
      <c r="E209" s="13" t="s">
        <v>91</v>
      </c>
      <c r="F209" s="14">
        <v>1</v>
      </c>
      <c r="G209" s="16" t="s">
        <v>71</v>
      </c>
      <c r="H209" s="20">
        <v>3</v>
      </c>
      <c r="I209" s="20">
        <v>65000</v>
      </c>
      <c r="J209" s="20">
        <v>0</v>
      </c>
      <c r="K209" s="20">
        <v>0</v>
      </c>
      <c r="L209" s="20">
        <v>0</v>
      </c>
      <c r="M209" s="20">
        <v>0</v>
      </c>
      <c r="N209" s="20">
        <v>1</v>
      </c>
      <c r="O209" s="20">
        <v>1</v>
      </c>
      <c r="P209" s="20">
        <v>33</v>
      </c>
      <c r="Q209" s="37" t="s">
        <v>100</v>
      </c>
      <c r="R209" s="37" t="s">
        <v>101</v>
      </c>
    </row>
    <row r="210" spans="1:18" ht="21" customHeight="1" x14ac:dyDescent="0.15">
      <c r="A210" s="10">
        <f t="shared" si="10"/>
        <v>209</v>
      </c>
      <c r="B210" s="10">
        <f t="shared" si="10"/>
        <v>209</v>
      </c>
      <c r="C210" s="16" t="s">
        <v>39</v>
      </c>
      <c r="D210" s="13">
        <v>1083</v>
      </c>
      <c r="E210" s="13" t="str">
        <f>IF($C210="unit",VLOOKUP(D210,[1]characters!$A:$C,3,FALSE),VLOOKUP(D210,[2]items!$A:$G,7,FALSE))</f>
        <v>マジシャン</v>
      </c>
      <c r="F210" s="14">
        <v>1</v>
      </c>
      <c r="G210" s="16" t="s">
        <v>71</v>
      </c>
      <c r="H210" s="20">
        <v>3</v>
      </c>
      <c r="I210" s="20">
        <v>200000</v>
      </c>
      <c r="J210" s="20">
        <v>0</v>
      </c>
      <c r="K210" s="20">
        <v>0</v>
      </c>
      <c r="L210" s="20">
        <v>0</v>
      </c>
      <c r="M210" s="20">
        <v>0</v>
      </c>
      <c r="N210" s="20">
        <v>1</v>
      </c>
      <c r="O210" s="20">
        <v>1</v>
      </c>
      <c r="P210" s="20">
        <v>33</v>
      </c>
      <c r="Q210" s="37" t="s">
        <v>100</v>
      </c>
      <c r="R210" s="37" t="s">
        <v>101</v>
      </c>
    </row>
    <row r="211" spans="1:18" ht="21" customHeight="1" x14ac:dyDescent="0.15">
      <c r="A211" s="10">
        <f t="shared" si="10"/>
        <v>210</v>
      </c>
      <c r="B211" s="10">
        <f t="shared" si="10"/>
        <v>210</v>
      </c>
      <c r="C211" s="51" t="s">
        <v>39</v>
      </c>
      <c r="D211" s="52">
        <v>629</v>
      </c>
      <c r="E211" s="52" t="str">
        <f>IF($C211="unit",VLOOKUP(D211,[1]characters!$A:$C,3,FALSE),VLOOKUP(D211,[2]items!$A:$G,7,FALSE))</f>
        <v>チャリオット</v>
      </c>
      <c r="F211" s="53">
        <v>1</v>
      </c>
      <c r="G211" s="51" t="s">
        <v>71</v>
      </c>
      <c r="H211" s="54">
        <v>3</v>
      </c>
      <c r="I211" s="54">
        <v>200000</v>
      </c>
      <c r="J211" s="54">
        <v>0</v>
      </c>
      <c r="K211" s="54">
        <v>0</v>
      </c>
      <c r="L211" s="54">
        <v>0</v>
      </c>
      <c r="M211" s="54">
        <v>0</v>
      </c>
      <c r="N211" s="54">
        <v>1</v>
      </c>
      <c r="O211" s="54">
        <v>1</v>
      </c>
      <c r="P211" s="54">
        <v>33</v>
      </c>
      <c r="Q211" s="37" t="s">
        <v>100</v>
      </c>
      <c r="R211" s="37" t="s">
        <v>101</v>
      </c>
    </row>
    <row r="212" spans="1:18" ht="21" customHeight="1" x14ac:dyDescent="0.15">
      <c r="A212" s="10">
        <f t="shared" si="10"/>
        <v>211</v>
      </c>
      <c r="B212" s="10">
        <f t="shared" si="10"/>
        <v>211</v>
      </c>
      <c r="C212" s="46" t="s">
        <v>39</v>
      </c>
      <c r="D212" s="17">
        <v>1399</v>
      </c>
      <c r="E212" s="17" t="str">
        <f>IF($C212="unit",VLOOKUP(D212,[1]characters!$A:$C,3,FALSE),VLOOKUP(D212,[2]items!$A:$G,7,FALSE))</f>
        <v>ラヴァーズ</v>
      </c>
      <c r="F212" s="47">
        <v>1</v>
      </c>
      <c r="G212" s="46" t="s">
        <v>71</v>
      </c>
      <c r="H212" s="48">
        <v>3</v>
      </c>
      <c r="I212" s="48">
        <v>200000</v>
      </c>
      <c r="J212" s="48">
        <v>0</v>
      </c>
      <c r="K212" s="48">
        <v>0</v>
      </c>
      <c r="L212" s="48">
        <v>0</v>
      </c>
      <c r="M212" s="48">
        <v>0</v>
      </c>
      <c r="N212" s="48">
        <v>1</v>
      </c>
      <c r="O212" s="48">
        <v>1</v>
      </c>
      <c r="P212" s="48">
        <v>33</v>
      </c>
      <c r="Q212" s="37" t="s">
        <v>100</v>
      </c>
      <c r="R212" s="37" t="s">
        <v>101</v>
      </c>
    </row>
    <row r="213" spans="1:18" ht="21" customHeight="1" thickBot="1" x14ac:dyDescent="0.2">
      <c r="A213" s="31">
        <f t="shared" si="10"/>
        <v>212</v>
      </c>
      <c r="B213" s="31">
        <f t="shared" si="10"/>
        <v>212</v>
      </c>
      <c r="C213" s="32" t="s">
        <v>39</v>
      </c>
      <c r="D213" s="33">
        <v>1454</v>
      </c>
      <c r="E213" s="33" t="str">
        <f>IF($C213="unit",VLOOKUP(D213,[1]characters!$A:$C,3,FALSE),VLOOKUP(D213,[2]items!$A:$G,7,FALSE))</f>
        <v>ストレングス</v>
      </c>
      <c r="F213" s="34">
        <v>1</v>
      </c>
      <c r="G213" s="32" t="s">
        <v>71</v>
      </c>
      <c r="H213" s="35">
        <v>3</v>
      </c>
      <c r="I213" s="35">
        <v>200000</v>
      </c>
      <c r="J213" s="35">
        <v>0</v>
      </c>
      <c r="K213" s="35">
        <v>0</v>
      </c>
      <c r="L213" s="35">
        <v>0</v>
      </c>
      <c r="M213" s="35">
        <v>0</v>
      </c>
      <c r="N213" s="35">
        <v>1</v>
      </c>
      <c r="O213" s="35">
        <v>1</v>
      </c>
      <c r="P213" s="35">
        <v>33</v>
      </c>
      <c r="Q213" s="38" t="s">
        <v>100</v>
      </c>
      <c r="R213" s="38" t="s">
        <v>101</v>
      </c>
    </row>
    <row r="214" spans="1:18" ht="21" customHeight="1" x14ac:dyDescent="0.15">
      <c r="A214" s="55">
        <f>ROW()-1</f>
        <v>213</v>
      </c>
      <c r="B214" s="55">
        <f>ROW()-1</f>
        <v>213</v>
      </c>
      <c r="C214" s="56" t="s">
        <v>39</v>
      </c>
      <c r="D214" s="57">
        <v>103</v>
      </c>
      <c r="E214" s="58" t="str">
        <f>IF($C214="unit",VLOOKUP(D214,[1]characters!$A:$C,3,FALSE),VLOOKUP(D214,[2]items!$A:$G,7,FALSE))</f>
        <v>レッドキャタップ</v>
      </c>
      <c r="F214" s="59">
        <v>1</v>
      </c>
      <c r="G214" s="56" t="s">
        <v>69</v>
      </c>
      <c r="H214" s="57">
        <v>50</v>
      </c>
      <c r="I214" s="57">
        <v>1500</v>
      </c>
      <c r="J214" s="57">
        <v>0</v>
      </c>
      <c r="K214" s="57">
        <v>0</v>
      </c>
      <c r="L214" s="57">
        <v>0</v>
      </c>
      <c r="M214" s="57">
        <v>0</v>
      </c>
      <c r="N214" s="57">
        <v>1</v>
      </c>
      <c r="O214" s="57">
        <v>1</v>
      </c>
      <c r="P214" s="57">
        <v>1</v>
      </c>
      <c r="Q214" s="37" t="s">
        <v>102</v>
      </c>
      <c r="R214" s="37" t="s">
        <v>103</v>
      </c>
    </row>
    <row r="215" spans="1:18" ht="21" customHeight="1" x14ac:dyDescent="0.15">
      <c r="A215" s="61">
        <f t="shared" ref="A215:B221" si="11">ROW()-1</f>
        <v>214</v>
      </c>
      <c r="B215" s="61">
        <f t="shared" si="11"/>
        <v>214</v>
      </c>
      <c r="C215" s="62" t="s">
        <v>39</v>
      </c>
      <c r="D215" s="63">
        <v>104</v>
      </c>
      <c r="E215" s="58" t="str">
        <f>IF($C215="unit",VLOOKUP(D215,[1]characters!$A:$C,3,FALSE),VLOOKUP(D215,[2]items!$A:$G,7,FALSE))</f>
        <v>炎のマッドハッター</v>
      </c>
      <c r="F215" s="59">
        <v>1</v>
      </c>
      <c r="G215" s="56" t="s">
        <v>69</v>
      </c>
      <c r="H215" s="57">
        <v>50</v>
      </c>
      <c r="I215" s="63">
        <v>2000</v>
      </c>
      <c r="J215" s="57">
        <v>0</v>
      </c>
      <c r="K215" s="57">
        <v>0</v>
      </c>
      <c r="L215" s="57">
        <v>0</v>
      </c>
      <c r="M215" s="57">
        <v>0</v>
      </c>
      <c r="N215" s="57">
        <v>1</v>
      </c>
      <c r="O215" s="57">
        <v>1</v>
      </c>
      <c r="P215" s="57">
        <v>1</v>
      </c>
      <c r="Q215" s="37" t="s">
        <v>102</v>
      </c>
      <c r="R215" s="37" t="s">
        <v>103</v>
      </c>
    </row>
    <row r="216" spans="1:18" ht="21" customHeight="1" x14ac:dyDescent="0.15">
      <c r="A216" s="61">
        <f t="shared" si="11"/>
        <v>215</v>
      </c>
      <c r="B216" s="61">
        <f t="shared" si="11"/>
        <v>215</v>
      </c>
      <c r="C216" s="62" t="s">
        <v>39</v>
      </c>
      <c r="D216" s="63">
        <v>107</v>
      </c>
      <c r="E216" s="58" t="str">
        <f>IF($C216="unit",VLOOKUP(D216,[1]characters!$A:$C,3,FALSE),VLOOKUP(D216,[2]items!$A:$G,7,FALSE))</f>
        <v>グリーンキャタップ</v>
      </c>
      <c r="F216" s="59">
        <v>1</v>
      </c>
      <c r="G216" s="56" t="s">
        <v>69</v>
      </c>
      <c r="H216" s="57">
        <v>50</v>
      </c>
      <c r="I216" s="63">
        <v>1500</v>
      </c>
      <c r="J216" s="57">
        <v>0</v>
      </c>
      <c r="K216" s="57">
        <v>0</v>
      </c>
      <c r="L216" s="57">
        <v>0</v>
      </c>
      <c r="M216" s="57">
        <v>0</v>
      </c>
      <c r="N216" s="57">
        <v>1</v>
      </c>
      <c r="O216" s="57">
        <v>1</v>
      </c>
      <c r="P216" s="57">
        <v>1</v>
      </c>
      <c r="Q216" s="37" t="s">
        <v>102</v>
      </c>
      <c r="R216" s="37" t="s">
        <v>103</v>
      </c>
    </row>
    <row r="217" spans="1:18" ht="21" customHeight="1" x14ac:dyDescent="0.15">
      <c r="A217" s="61">
        <f t="shared" si="11"/>
        <v>216</v>
      </c>
      <c r="B217" s="61">
        <f t="shared" si="11"/>
        <v>216</v>
      </c>
      <c r="C217" s="62" t="s">
        <v>39</v>
      </c>
      <c r="D217" s="63">
        <v>108</v>
      </c>
      <c r="E217" s="58" t="str">
        <f>IF($C217="unit",VLOOKUP(D217,[1]characters!$A:$C,3,FALSE),VLOOKUP(D217,[2]items!$A:$G,7,FALSE))</f>
        <v>森のマッドハッター</v>
      </c>
      <c r="F217" s="59">
        <v>1</v>
      </c>
      <c r="G217" s="56" t="s">
        <v>69</v>
      </c>
      <c r="H217" s="57">
        <v>50</v>
      </c>
      <c r="I217" s="63">
        <v>2000</v>
      </c>
      <c r="J217" s="57">
        <v>0</v>
      </c>
      <c r="K217" s="57">
        <v>0</v>
      </c>
      <c r="L217" s="57">
        <v>0</v>
      </c>
      <c r="M217" s="57">
        <v>0</v>
      </c>
      <c r="N217" s="57">
        <v>1</v>
      </c>
      <c r="O217" s="57">
        <v>1</v>
      </c>
      <c r="P217" s="57">
        <v>1</v>
      </c>
      <c r="Q217" s="37" t="s">
        <v>102</v>
      </c>
      <c r="R217" s="37" t="s">
        <v>103</v>
      </c>
    </row>
    <row r="218" spans="1:18" ht="21" customHeight="1" x14ac:dyDescent="0.15">
      <c r="A218" s="61">
        <f t="shared" si="11"/>
        <v>217</v>
      </c>
      <c r="B218" s="61">
        <f t="shared" si="11"/>
        <v>217</v>
      </c>
      <c r="C218" s="62" t="s">
        <v>39</v>
      </c>
      <c r="D218" s="63">
        <v>111</v>
      </c>
      <c r="E218" s="58" t="str">
        <f>IF($C218="unit",VLOOKUP(D218,[1]characters!$A:$C,3,FALSE),VLOOKUP(D218,[2]items!$A:$G,7,FALSE))</f>
        <v>ブルーキャタップ</v>
      </c>
      <c r="F218" s="59">
        <v>1</v>
      </c>
      <c r="G218" s="56" t="s">
        <v>69</v>
      </c>
      <c r="H218" s="57">
        <v>50</v>
      </c>
      <c r="I218" s="63">
        <v>1500</v>
      </c>
      <c r="J218" s="57">
        <v>0</v>
      </c>
      <c r="K218" s="57">
        <v>0</v>
      </c>
      <c r="L218" s="57">
        <v>0</v>
      </c>
      <c r="M218" s="57">
        <v>0</v>
      </c>
      <c r="N218" s="57">
        <v>1</v>
      </c>
      <c r="O218" s="57">
        <v>1</v>
      </c>
      <c r="P218" s="57">
        <v>1</v>
      </c>
      <c r="Q218" s="37" t="s">
        <v>102</v>
      </c>
      <c r="R218" s="37" t="s">
        <v>103</v>
      </c>
    </row>
    <row r="219" spans="1:18" ht="21" customHeight="1" x14ac:dyDescent="0.15">
      <c r="A219" s="61">
        <f t="shared" si="11"/>
        <v>218</v>
      </c>
      <c r="B219" s="61">
        <f t="shared" si="11"/>
        <v>218</v>
      </c>
      <c r="C219" s="62" t="s">
        <v>39</v>
      </c>
      <c r="D219" s="63">
        <v>112</v>
      </c>
      <c r="E219" s="58" t="str">
        <f>IF($C219="unit",VLOOKUP(D219,[1]characters!$A:$C,3,FALSE),VLOOKUP(D219,[2]items!$A:$G,7,FALSE))</f>
        <v>水のマッドハッター</v>
      </c>
      <c r="F219" s="59">
        <v>1</v>
      </c>
      <c r="G219" s="56" t="s">
        <v>69</v>
      </c>
      <c r="H219" s="57">
        <v>50</v>
      </c>
      <c r="I219" s="63">
        <v>2000</v>
      </c>
      <c r="J219" s="57">
        <v>0</v>
      </c>
      <c r="K219" s="57">
        <v>0</v>
      </c>
      <c r="L219" s="57">
        <v>0</v>
      </c>
      <c r="M219" s="57">
        <v>0</v>
      </c>
      <c r="N219" s="57">
        <v>1</v>
      </c>
      <c r="O219" s="57">
        <v>1</v>
      </c>
      <c r="P219" s="57">
        <v>1</v>
      </c>
      <c r="Q219" s="37" t="s">
        <v>102</v>
      </c>
      <c r="R219" s="37" t="s">
        <v>103</v>
      </c>
    </row>
    <row r="220" spans="1:18" ht="21" customHeight="1" x14ac:dyDescent="0.15">
      <c r="A220" s="61">
        <f t="shared" si="11"/>
        <v>219</v>
      </c>
      <c r="B220" s="61">
        <f t="shared" si="11"/>
        <v>219</v>
      </c>
      <c r="C220" s="62" t="s">
        <v>39</v>
      </c>
      <c r="D220" s="63">
        <v>115</v>
      </c>
      <c r="E220" s="58" t="str">
        <f>IF($C220="unit",VLOOKUP(D220,[1]characters!$A:$C,3,FALSE),VLOOKUP(D220,[2]items!$A:$G,7,FALSE))</f>
        <v>イエローキャタップ</v>
      </c>
      <c r="F220" s="59">
        <v>1</v>
      </c>
      <c r="G220" s="56" t="s">
        <v>69</v>
      </c>
      <c r="H220" s="57">
        <v>50</v>
      </c>
      <c r="I220" s="63">
        <v>1500</v>
      </c>
      <c r="J220" s="57">
        <v>0</v>
      </c>
      <c r="K220" s="57">
        <v>0</v>
      </c>
      <c r="L220" s="57">
        <v>0</v>
      </c>
      <c r="M220" s="57">
        <v>0</v>
      </c>
      <c r="N220" s="57">
        <v>1</v>
      </c>
      <c r="O220" s="57">
        <v>1</v>
      </c>
      <c r="P220" s="57">
        <v>1</v>
      </c>
      <c r="Q220" s="37" t="s">
        <v>102</v>
      </c>
      <c r="R220" s="37" t="s">
        <v>103</v>
      </c>
    </row>
    <row r="221" spans="1:18" ht="21" customHeight="1" x14ac:dyDescent="0.15">
      <c r="A221" s="61">
        <f t="shared" si="11"/>
        <v>220</v>
      </c>
      <c r="B221" s="61">
        <f t="shared" si="11"/>
        <v>220</v>
      </c>
      <c r="C221" s="62" t="s">
        <v>39</v>
      </c>
      <c r="D221" s="63">
        <v>116</v>
      </c>
      <c r="E221" s="63" t="str">
        <f>IF($C221="unit",VLOOKUP(D221,[1]characters!$A:$C,3,FALSE),VLOOKUP(D221,[2]items!$A:$G,7,FALSE))</f>
        <v>雷のマッドハッター</v>
      </c>
      <c r="F221" s="59">
        <v>1</v>
      </c>
      <c r="G221" s="56" t="s">
        <v>69</v>
      </c>
      <c r="H221" s="57">
        <v>50</v>
      </c>
      <c r="I221" s="63">
        <v>2000</v>
      </c>
      <c r="J221" s="57">
        <v>0</v>
      </c>
      <c r="K221" s="57">
        <v>0</v>
      </c>
      <c r="L221" s="57">
        <v>0</v>
      </c>
      <c r="M221" s="57">
        <v>0</v>
      </c>
      <c r="N221" s="57">
        <v>1</v>
      </c>
      <c r="O221" s="57">
        <v>1</v>
      </c>
      <c r="P221" s="57">
        <v>1</v>
      </c>
      <c r="Q221" s="37" t="s">
        <v>102</v>
      </c>
      <c r="R221" s="37" t="s">
        <v>103</v>
      </c>
    </row>
    <row r="222" spans="1:18" ht="21" customHeight="1" x14ac:dyDescent="0.15">
      <c r="A222" s="28">
        <f t="shared" ref="A222:B222" si="12">ROW()-1</f>
        <v>221</v>
      </c>
      <c r="B222" s="28">
        <f t="shared" si="12"/>
        <v>221</v>
      </c>
      <c r="C222" s="29" t="s">
        <v>39</v>
      </c>
      <c r="D222" s="18">
        <v>335</v>
      </c>
      <c r="E222" s="18" t="str">
        <f>IF($C222="unit",VLOOKUP(D222,[1]characters!$A:$C,3,FALSE),VLOOKUP(D222,[2]items!$A:$G,7,FALSE))</f>
        <v>炎のメタルジェントル</v>
      </c>
      <c r="F222" s="15">
        <v>1</v>
      </c>
      <c r="G222" s="29" t="s">
        <v>71</v>
      </c>
      <c r="H222" s="30">
        <v>50</v>
      </c>
      <c r="I222" s="30">
        <v>700</v>
      </c>
      <c r="J222" s="30">
        <v>0</v>
      </c>
      <c r="K222" s="30">
        <v>0</v>
      </c>
      <c r="L222" s="30">
        <v>0</v>
      </c>
      <c r="M222" s="30">
        <v>0</v>
      </c>
      <c r="N222" s="30">
        <v>1</v>
      </c>
      <c r="O222" s="30">
        <v>1</v>
      </c>
      <c r="P222" s="30">
        <v>1</v>
      </c>
      <c r="Q222" s="37" t="s">
        <v>102</v>
      </c>
      <c r="R222" s="37" t="s">
        <v>103</v>
      </c>
    </row>
    <row r="223" spans="1:18" ht="21" customHeight="1" x14ac:dyDescent="0.15">
      <c r="A223" s="10">
        <f t="shared" si="10"/>
        <v>222</v>
      </c>
      <c r="B223" s="10">
        <f t="shared" si="10"/>
        <v>222</v>
      </c>
      <c r="C223" s="16" t="s">
        <v>39</v>
      </c>
      <c r="D223" s="13">
        <v>339</v>
      </c>
      <c r="E223" s="13" t="str">
        <f>IF($C223="unit",VLOOKUP(D223,[1]characters!$A:$C,3,FALSE),VLOOKUP(D223,[2]items!$A:$G,7,FALSE))</f>
        <v>森のメタルジェントル</v>
      </c>
      <c r="F223" s="14">
        <v>1</v>
      </c>
      <c r="G223" s="16" t="s">
        <v>71</v>
      </c>
      <c r="H223" s="20">
        <v>50</v>
      </c>
      <c r="I223" s="20">
        <v>700</v>
      </c>
      <c r="J223" s="20">
        <v>0</v>
      </c>
      <c r="K223" s="20">
        <v>0</v>
      </c>
      <c r="L223" s="20">
        <v>0</v>
      </c>
      <c r="M223" s="20">
        <v>0</v>
      </c>
      <c r="N223" s="20">
        <v>1</v>
      </c>
      <c r="O223" s="20">
        <v>1</v>
      </c>
      <c r="P223" s="20">
        <v>1</v>
      </c>
      <c r="Q223" s="37" t="s">
        <v>102</v>
      </c>
      <c r="R223" s="37" t="s">
        <v>103</v>
      </c>
    </row>
    <row r="224" spans="1:18" ht="21" customHeight="1" x14ac:dyDescent="0.15">
      <c r="A224" s="10">
        <f t="shared" ref="A224:B239" si="13">ROW()-1</f>
        <v>223</v>
      </c>
      <c r="B224" s="10">
        <f t="shared" si="13"/>
        <v>223</v>
      </c>
      <c r="C224" s="16" t="s">
        <v>39</v>
      </c>
      <c r="D224" s="13">
        <v>343</v>
      </c>
      <c r="E224" s="13" t="str">
        <f>IF($C224="unit",VLOOKUP(D224,[1]characters!$A:$C,3,FALSE),VLOOKUP(D224,[2]items!$A:$G,7,FALSE))</f>
        <v>水のメタルジェントル</v>
      </c>
      <c r="F224" s="14">
        <v>1</v>
      </c>
      <c r="G224" s="16" t="s">
        <v>71</v>
      </c>
      <c r="H224" s="20">
        <v>50</v>
      </c>
      <c r="I224" s="20">
        <v>700</v>
      </c>
      <c r="J224" s="20">
        <v>0</v>
      </c>
      <c r="K224" s="20">
        <v>0</v>
      </c>
      <c r="L224" s="20">
        <v>0</v>
      </c>
      <c r="M224" s="20">
        <v>0</v>
      </c>
      <c r="N224" s="20">
        <v>1</v>
      </c>
      <c r="O224" s="20">
        <v>1</v>
      </c>
      <c r="P224" s="20">
        <v>1</v>
      </c>
      <c r="Q224" s="37" t="s">
        <v>102</v>
      </c>
      <c r="R224" s="37" t="s">
        <v>103</v>
      </c>
    </row>
    <row r="225" spans="1:18" ht="21" customHeight="1" x14ac:dyDescent="0.15">
      <c r="A225" s="10">
        <f t="shared" si="13"/>
        <v>224</v>
      </c>
      <c r="B225" s="10">
        <f t="shared" si="13"/>
        <v>224</v>
      </c>
      <c r="C225" s="16" t="s">
        <v>39</v>
      </c>
      <c r="D225" s="13">
        <v>347</v>
      </c>
      <c r="E225" s="13" t="str">
        <f>IF($C225="unit",VLOOKUP(D225,[1]characters!$A:$C,3,FALSE),VLOOKUP(D225,[2]items!$A:$G,7,FALSE))</f>
        <v>雷のメタルジェントル</v>
      </c>
      <c r="F225" s="14">
        <v>1</v>
      </c>
      <c r="G225" s="16" t="s">
        <v>71</v>
      </c>
      <c r="H225" s="20">
        <v>50</v>
      </c>
      <c r="I225" s="20">
        <v>700</v>
      </c>
      <c r="J225" s="20">
        <v>0</v>
      </c>
      <c r="K225" s="20">
        <v>0</v>
      </c>
      <c r="L225" s="20">
        <v>0</v>
      </c>
      <c r="M225" s="20">
        <v>0</v>
      </c>
      <c r="N225" s="20">
        <v>1</v>
      </c>
      <c r="O225" s="20">
        <v>1</v>
      </c>
      <c r="P225" s="20">
        <v>1</v>
      </c>
      <c r="Q225" s="37" t="s">
        <v>102</v>
      </c>
      <c r="R225" s="37" t="s">
        <v>103</v>
      </c>
    </row>
    <row r="226" spans="1:18" ht="21" customHeight="1" x14ac:dyDescent="0.15">
      <c r="A226" s="10">
        <f t="shared" si="13"/>
        <v>225</v>
      </c>
      <c r="B226" s="10">
        <f t="shared" si="13"/>
        <v>225</v>
      </c>
      <c r="C226" s="16" t="s">
        <v>39</v>
      </c>
      <c r="D226" s="13">
        <v>611</v>
      </c>
      <c r="E226" s="13" t="str">
        <f>IF($C226="unit",VLOOKUP(D226,[1]characters!$A:$C,3,FALSE),VLOOKUP(D226,[2]items!$A:$G,7,FALSE))</f>
        <v>ギガ攻めの果実</v>
      </c>
      <c r="F226" s="14">
        <v>1</v>
      </c>
      <c r="G226" s="16" t="s">
        <v>71</v>
      </c>
      <c r="H226" s="20">
        <v>12</v>
      </c>
      <c r="I226" s="20">
        <v>1400</v>
      </c>
      <c r="J226" s="20">
        <v>0</v>
      </c>
      <c r="K226" s="20">
        <v>0</v>
      </c>
      <c r="L226" s="20">
        <v>0</v>
      </c>
      <c r="M226" s="20">
        <v>0</v>
      </c>
      <c r="N226" s="20">
        <v>1</v>
      </c>
      <c r="O226" s="20">
        <v>1</v>
      </c>
      <c r="P226" s="20">
        <v>1</v>
      </c>
      <c r="Q226" s="37" t="s">
        <v>102</v>
      </c>
      <c r="R226" s="37" t="s">
        <v>103</v>
      </c>
    </row>
    <row r="227" spans="1:18" ht="21" customHeight="1" x14ac:dyDescent="0.15">
      <c r="A227" s="10">
        <f t="shared" si="13"/>
        <v>226</v>
      </c>
      <c r="B227" s="10">
        <f t="shared" si="13"/>
        <v>226</v>
      </c>
      <c r="C227" s="16" t="s">
        <v>39</v>
      </c>
      <c r="D227" s="13">
        <v>612</v>
      </c>
      <c r="E227" s="13" t="str">
        <f>IF($C227="unit",VLOOKUP(D227,[1]characters!$A:$C,3,FALSE),VLOOKUP(D227,[2]items!$A:$G,7,FALSE))</f>
        <v>ギガ生命の果実</v>
      </c>
      <c r="F227" s="14">
        <v>1</v>
      </c>
      <c r="G227" s="16" t="s">
        <v>71</v>
      </c>
      <c r="H227" s="20">
        <v>12</v>
      </c>
      <c r="I227" s="20">
        <v>1400</v>
      </c>
      <c r="J227" s="20">
        <v>0</v>
      </c>
      <c r="K227" s="20">
        <v>0</v>
      </c>
      <c r="L227" s="20">
        <v>0</v>
      </c>
      <c r="M227" s="20">
        <v>0</v>
      </c>
      <c r="N227" s="20">
        <v>1</v>
      </c>
      <c r="O227" s="20">
        <v>1</v>
      </c>
      <c r="P227" s="20">
        <v>1</v>
      </c>
      <c r="Q227" s="37" t="s">
        <v>102</v>
      </c>
      <c r="R227" s="37" t="s">
        <v>103</v>
      </c>
    </row>
    <row r="228" spans="1:18" ht="21" customHeight="1" x14ac:dyDescent="0.15">
      <c r="A228" s="10">
        <f t="shared" si="13"/>
        <v>227</v>
      </c>
      <c r="B228" s="10">
        <f t="shared" si="13"/>
        <v>227</v>
      </c>
      <c r="C228" s="16" t="s">
        <v>39</v>
      </c>
      <c r="D228" s="13">
        <v>613</v>
      </c>
      <c r="E228" s="13" t="str">
        <f>IF($C228="unit",VLOOKUP(D228,[1]characters!$A:$C,3,FALSE),VLOOKUP(D228,[2]items!$A:$G,7,FALSE))</f>
        <v>ギガ癒しの果実</v>
      </c>
      <c r="F228" s="14">
        <v>1</v>
      </c>
      <c r="G228" s="16" t="s">
        <v>71</v>
      </c>
      <c r="H228" s="20">
        <v>12</v>
      </c>
      <c r="I228" s="20">
        <v>1400</v>
      </c>
      <c r="J228" s="20">
        <v>0</v>
      </c>
      <c r="K228" s="20">
        <v>0</v>
      </c>
      <c r="L228" s="20">
        <v>0</v>
      </c>
      <c r="M228" s="20">
        <v>0</v>
      </c>
      <c r="N228" s="20">
        <v>1</v>
      </c>
      <c r="O228" s="20">
        <v>1</v>
      </c>
      <c r="P228" s="20">
        <v>1</v>
      </c>
      <c r="Q228" s="37" t="s">
        <v>102</v>
      </c>
      <c r="R228" s="37" t="s">
        <v>103</v>
      </c>
    </row>
    <row r="229" spans="1:18" ht="21" customHeight="1" x14ac:dyDescent="0.15">
      <c r="A229" s="10">
        <f t="shared" si="13"/>
        <v>228</v>
      </c>
      <c r="B229" s="10">
        <f t="shared" si="13"/>
        <v>228</v>
      </c>
      <c r="C229" s="16" t="s">
        <v>39</v>
      </c>
      <c r="D229" s="13">
        <v>614</v>
      </c>
      <c r="E229" s="13" t="str">
        <f>IF($C229="unit",VLOOKUP(D229,[1]characters!$A:$C,3,FALSE),VLOOKUP(D229,[2]items!$A:$G,7,FALSE))</f>
        <v>ギガ秘術の果実</v>
      </c>
      <c r="F229" s="14">
        <v>1</v>
      </c>
      <c r="G229" s="16" t="s">
        <v>71</v>
      </c>
      <c r="H229" s="20">
        <v>12</v>
      </c>
      <c r="I229" s="20">
        <v>2000</v>
      </c>
      <c r="J229" s="20">
        <v>0</v>
      </c>
      <c r="K229" s="20">
        <v>0</v>
      </c>
      <c r="L229" s="20">
        <v>0</v>
      </c>
      <c r="M229" s="20">
        <v>0</v>
      </c>
      <c r="N229" s="20">
        <v>1</v>
      </c>
      <c r="O229" s="20">
        <v>1</v>
      </c>
      <c r="P229" s="20">
        <v>1</v>
      </c>
      <c r="Q229" s="37" t="s">
        <v>102</v>
      </c>
      <c r="R229" s="37" t="s">
        <v>103</v>
      </c>
    </row>
    <row r="230" spans="1:18" ht="21" customHeight="1" x14ac:dyDescent="0.15">
      <c r="A230" s="10">
        <f t="shared" si="13"/>
        <v>229</v>
      </c>
      <c r="B230" s="10">
        <f t="shared" si="13"/>
        <v>229</v>
      </c>
      <c r="C230" s="16" t="s">
        <v>45</v>
      </c>
      <c r="D230" s="13">
        <v>1</v>
      </c>
      <c r="E230" s="13" t="str">
        <f>IF($C230="unit",VLOOKUP(D230,[1]characters!$A:$C,3,FALSE),VLOOKUP(D230,[2]items!$A:$G,7,FALSE))</f>
        <v>マスターキー</v>
      </c>
      <c r="F230" s="14">
        <v>1</v>
      </c>
      <c r="G230" s="16" t="s">
        <v>71</v>
      </c>
      <c r="H230" s="20">
        <v>12</v>
      </c>
      <c r="I230" s="20">
        <v>3000</v>
      </c>
      <c r="J230" s="20">
        <v>0</v>
      </c>
      <c r="K230" s="20">
        <v>0</v>
      </c>
      <c r="L230" s="20">
        <v>0</v>
      </c>
      <c r="M230" s="20">
        <v>0</v>
      </c>
      <c r="N230" s="20">
        <v>1</v>
      </c>
      <c r="O230" s="20">
        <v>1</v>
      </c>
      <c r="P230" s="20">
        <v>1</v>
      </c>
      <c r="Q230" s="37" t="s">
        <v>102</v>
      </c>
      <c r="R230" s="37" t="s">
        <v>103</v>
      </c>
    </row>
    <row r="231" spans="1:18" ht="21" customHeight="1" x14ac:dyDescent="0.15">
      <c r="A231" s="10">
        <f t="shared" si="13"/>
        <v>230</v>
      </c>
      <c r="B231" s="10">
        <f t="shared" si="13"/>
        <v>230</v>
      </c>
      <c r="C231" s="16" t="s">
        <v>39</v>
      </c>
      <c r="D231" s="13">
        <v>837</v>
      </c>
      <c r="E231" s="13" t="str">
        <f>IF($C231="unit",VLOOKUP(D231,[1]characters!$A:$C,3,FALSE),VLOOKUP(D231,[2]items!$A:$G,7,FALSE))</f>
        <v>リトルハンプティ</v>
      </c>
      <c r="F231" s="14">
        <v>1</v>
      </c>
      <c r="G231" s="16" t="s">
        <v>71</v>
      </c>
      <c r="H231" s="20">
        <v>12</v>
      </c>
      <c r="I231" s="20">
        <v>4000</v>
      </c>
      <c r="J231" s="20">
        <v>0</v>
      </c>
      <c r="K231" s="20">
        <v>0</v>
      </c>
      <c r="L231" s="20">
        <v>0</v>
      </c>
      <c r="M231" s="20">
        <v>0</v>
      </c>
      <c r="N231" s="20">
        <v>1</v>
      </c>
      <c r="O231" s="20">
        <v>1</v>
      </c>
      <c r="P231" s="20">
        <v>1</v>
      </c>
      <c r="Q231" s="37" t="s">
        <v>102</v>
      </c>
      <c r="R231" s="37" t="s">
        <v>103</v>
      </c>
    </row>
    <row r="232" spans="1:18" ht="21" customHeight="1" x14ac:dyDescent="0.15">
      <c r="A232" s="10">
        <f t="shared" si="13"/>
        <v>231</v>
      </c>
      <c r="B232" s="10">
        <f t="shared" si="13"/>
        <v>231</v>
      </c>
      <c r="C232" s="16" t="s">
        <v>39</v>
      </c>
      <c r="D232" s="13">
        <v>1369</v>
      </c>
      <c r="E232" s="13" t="str">
        <f>IF($C232="unit",VLOOKUP(D232,[1]characters!$A:$C,3,FALSE),VLOOKUP(D232,[2]items!$A:$G,7,FALSE))</f>
        <v>トロイア</v>
      </c>
      <c r="F232" s="14">
        <v>1</v>
      </c>
      <c r="G232" s="16" t="s">
        <v>71</v>
      </c>
      <c r="H232" s="20">
        <v>3</v>
      </c>
      <c r="I232" s="20">
        <v>65000</v>
      </c>
      <c r="J232" s="20">
        <v>0</v>
      </c>
      <c r="K232" s="20">
        <v>0</v>
      </c>
      <c r="L232" s="20">
        <v>0</v>
      </c>
      <c r="M232" s="20">
        <v>0</v>
      </c>
      <c r="N232" s="20">
        <v>1</v>
      </c>
      <c r="O232" s="20">
        <v>1</v>
      </c>
      <c r="P232" s="20">
        <v>33</v>
      </c>
      <c r="Q232" s="37" t="s">
        <v>102</v>
      </c>
      <c r="R232" s="37" t="s">
        <v>103</v>
      </c>
    </row>
    <row r="233" spans="1:18" ht="21" customHeight="1" x14ac:dyDescent="0.15">
      <c r="A233" s="10">
        <f t="shared" si="13"/>
        <v>232</v>
      </c>
      <c r="B233" s="10">
        <f t="shared" si="13"/>
        <v>232</v>
      </c>
      <c r="C233" s="16" t="s">
        <v>39</v>
      </c>
      <c r="D233" s="13">
        <v>627</v>
      </c>
      <c r="E233" s="13" t="str">
        <f>IF($C233="unit",VLOOKUP(D233,[1]characters!$A:$C,3,FALSE),VLOOKUP(D233,[2]items!$A:$G,7,FALSE))</f>
        <v>メガラニカ</v>
      </c>
      <c r="F233" s="14">
        <v>1</v>
      </c>
      <c r="G233" s="16" t="s">
        <v>71</v>
      </c>
      <c r="H233" s="20">
        <v>3</v>
      </c>
      <c r="I233" s="20">
        <v>65000</v>
      </c>
      <c r="J233" s="20">
        <v>0</v>
      </c>
      <c r="K233" s="20">
        <v>0</v>
      </c>
      <c r="L233" s="20">
        <v>0</v>
      </c>
      <c r="M233" s="20">
        <v>0</v>
      </c>
      <c r="N233" s="20">
        <v>1</v>
      </c>
      <c r="O233" s="20">
        <v>1</v>
      </c>
      <c r="P233" s="20">
        <v>33</v>
      </c>
      <c r="Q233" s="37" t="s">
        <v>102</v>
      </c>
      <c r="R233" s="37" t="s">
        <v>103</v>
      </c>
    </row>
    <row r="234" spans="1:18" ht="21" customHeight="1" x14ac:dyDescent="0.15">
      <c r="A234" s="10">
        <f t="shared" si="13"/>
        <v>233</v>
      </c>
      <c r="B234" s="10">
        <f t="shared" si="13"/>
        <v>233</v>
      </c>
      <c r="C234" s="16" t="s">
        <v>39</v>
      </c>
      <c r="D234" s="13">
        <v>1401</v>
      </c>
      <c r="E234" s="13" t="str">
        <f>IF($C234="unit",VLOOKUP(D234,[1]characters!$A:$C,3,FALSE),VLOOKUP(D234,[2]items!$A:$G,7,FALSE))</f>
        <v>レムリア</v>
      </c>
      <c r="F234" s="14">
        <v>1</v>
      </c>
      <c r="G234" s="16" t="s">
        <v>71</v>
      </c>
      <c r="H234" s="20">
        <v>3</v>
      </c>
      <c r="I234" s="20">
        <v>65000</v>
      </c>
      <c r="J234" s="20">
        <v>0</v>
      </c>
      <c r="K234" s="20">
        <v>0</v>
      </c>
      <c r="L234" s="20">
        <v>0</v>
      </c>
      <c r="M234" s="20">
        <v>0</v>
      </c>
      <c r="N234" s="20">
        <v>1</v>
      </c>
      <c r="O234" s="20">
        <v>1</v>
      </c>
      <c r="P234" s="20">
        <v>33</v>
      </c>
      <c r="Q234" s="37" t="s">
        <v>102</v>
      </c>
      <c r="R234" s="37" t="s">
        <v>103</v>
      </c>
    </row>
    <row r="235" spans="1:18" ht="21" customHeight="1" x14ac:dyDescent="0.15">
      <c r="A235" s="10">
        <f t="shared" si="13"/>
        <v>234</v>
      </c>
      <c r="B235" s="10">
        <f t="shared" si="13"/>
        <v>234</v>
      </c>
      <c r="C235" s="16" t="s">
        <v>39</v>
      </c>
      <c r="D235" s="13">
        <v>1456</v>
      </c>
      <c r="E235" s="13" t="s">
        <v>91</v>
      </c>
      <c r="F235" s="14">
        <v>1</v>
      </c>
      <c r="G235" s="16" t="s">
        <v>71</v>
      </c>
      <c r="H235" s="20">
        <v>3</v>
      </c>
      <c r="I235" s="20">
        <v>65000</v>
      </c>
      <c r="J235" s="20">
        <v>0</v>
      </c>
      <c r="K235" s="20">
        <v>0</v>
      </c>
      <c r="L235" s="20">
        <v>0</v>
      </c>
      <c r="M235" s="20">
        <v>0</v>
      </c>
      <c r="N235" s="20">
        <v>1</v>
      </c>
      <c r="O235" s="20">
        <v>1</v>
      </c>
      <c r="P235" s="20">
        <v>33</v>
      </c>
      <c r="Q235" s="37" t="s">
        <v>102</v>
      </c>
      <c r="R235" s="37" t="s">
        <v>103</v>
      </c>
    </row>
    <row r="236" spans="1:18" ht="21" customHeight="1" x14ac:dyDescent="0.15">
      <c r="A236" s="10">
        <f t="shared" si="13"/>
        <v>235</v>
      </c>
      <c r="B236" s="10">
        <f t="shared" si="13"/>
        <v>235</v>
      </c>
      <c r="C236" s="16" t="s">
        <v>39</v>
      </c>
      <c r="D236" s="13">
        <v>1083</v>
      </c>
      <c r="E236" s="13" t="str">
        <f>IF($C236="unit",VLOOKUP(D236,[1]characters!$A:$C,3,FALSE),VLOOKUP(D236,[2]items!$A:$G,7,FALSE))</f>
        <v>マジシャン</v>
      </c>
      <c r="F236" s="14">
        <v>1</v>
      </c>
      <c r="G236" s="16" t="s">
        <v>71</v>
      </c>
      <c r="H236" s="20">
        <v>3</v>
      </c>
      <c r="I236" s="20">
        <v>200000</v>
      </c>
      <c r="J236" s="20">
        <v>0</v>
      </c>
      <c r="K236" s="20">
        <v>0</v>
      </c>
      <c r="L236" s="20">
        <v>0</v>
      </c>
      <c r="M236" s="20">
        <v>0</v>
      </c>
      <c r="N236" s="20">
        <v>1</v>
      </c>
      <c r="O236" s="20">
        <v>1</v>
      </c>
      <c r="P236" s="20">
        <v>33</v>
      </c>
      <c r="Q236" s="37" t="s">
        <v>102</v>
      </c>
      <c r="R236" s="37" t="s">
        <v>103</v>
      </c>
    </row>
    <row r="237" spans="1:18" ht="21" customHeight="1" x14ac:dyDescent="0.15">
      <c r="A237" s="10">
        <f t="shared" si="13"/>
        <v>236</v>
      </c>
      <c r="B237" s="10">
        <f t="shared" si="13"/>
        <v>236</v>
      </c>
      <c r="C237" s="51" t="s">
        <v>39</v>
      </c>
      <c r="D237" s="52">
        <v>629</v>
      </c>
      <c r="E237" s="52" t="str">
        <f>IF($C237="unit",VLOOKUP(D237,[1]characters!$A:$C,3,FALSE),VLOOKUP(D237,[2]items!$A:$G,7,FALSE))</f>
        <v>チャリオット</v>
      </c>
      <c r="F237" s="53">
        <v>1</v>
      </c>
      <c r="G237" s="51" t="s">
        <v>71</v>
      </c>
      <c r="H237" s="54">
        <v>3</v>
      </c>
      <c r="I237" s="54">
        <v>200000</v>
      </c>
      <c r="J237" s="54">
        <v>0</v>
      </c>
      <c r="K237" s="54">
        <v>0</v>
      </c>
      <c r="L237" s="54">
        <v>0</v>
      </c>
      <c r="M237" s="54">
        <v>0</v>
      </c>
      <c r="N237" s="54">
        <v>1</v>
      </c>
      <c r="O237" s="54">
        <v>1</v>
      </c>
      <c r="P237" s="54">
        <v>33</v>
      </c>
      <c r="Q237" s="37" t="s">
        <v>102</v>
      </c>
      <c r="R237" s="37" t="s">
        <v>103</v>
      </c>
    </row>
    <row r="238" spans="1:18" ht="21" customHeight="1" x14ac:dyDescent="0.15">
      <c r="A238" s="10">
        <f t="shared" si="13"/>
        <v>237</v>
      </c>
      <c r="B238" s="10">
        <f t="shared" si="13"/>
        <v>237</v>
      </c>
      <c r="C238" s="46" t="s">
        <v>39</v>
      </c>
      <c r="D238" s="17">
        <v>1399</v>
      </c>
      <c r="E238" s="17" t="str">
        <f>IF($C238="unit",VLOOKUP(D238,[1]characters!$A:$C,3,FALSE),VLOOKUP(D238,[2]items!$A:$G,7,FALSE))</f>
        <v>ラヴァーズ</v>
      </c>
      <c r="F238" s="47">
        <v>1</v>
      </c>
      <c r="G238" s="46" t="s">
        <v>71</v>
      </c>
      <c r="H238" s="48">
        <v>3</v>
      </c>
      <c r="I238" s="48">
        <v>200000</v>
      </c>
      <c r="J238" s="48">
        <v>0</v>
      </c>
      <c r="K238" s="48">
        <v>0</v>
      </c>
      <c r="L238" s="48">
        <v>0</v>
      </c>
      <c r="M238" s="48">
        <v>0</v>
      </c>
      <c r="N238" s="48">
        <v>1</v>
      </c>
      <c r="O238" s="48">
        <v>1</v>
      </c>
      <c r="P238" s="48">
        <v>33</v>
      </c>
      <c r="Q238" s="37" t="s">
        <v>102</v>
      </c>
      <c r="R238" s="37" t="s">
        <v>103</v>
      </c>
    </row>
    <row r="239" spans="1:18" ht="21" customHeight="1" thickBot="1" x14ac:dyDescent="0.2">
      <c r="A239" s="31">
        <f t="shared" si="13"/>
        <v>238</v>
      </c>
      <c r="B239" s="31">
        <f t="shared" si="13"/>
        <v>238</v>
      </c>
      <c r="C239" s="32" t="s">
        <v>39</v>
      </c>
      <c r="D239" s="33">
        <v>1454</v>
      </c>
      <c r="E239" s="33" t="str">
        <f>IF($C239="unit",VLOOKUP(D239,[1]characters!$A:$C,3,FALSE),VLOOKUP(D239,[2]items!$A:$G,7,FALSE))</f>
        <v>ストレングス</v>
      </c>
      <c r="F239" s="34">
        <v>1</v>
      </c>
      <c r="G239" s="32" t="s">
        <v>71</v>
      </c>
      <c r="H239" s="35">
        <v>3</v>
      </c>
      <c r="I239" s="35">
        <v>200000</v>
      </c>
      <c r="J239" s="35">
        <v>0</v>
      </c>
      <c r="K239" s="35">
        <v>0</v>
      </c>
      <c r="L239" s="35">
        <v>0</v>
      </c>
      <c r="M239" s="35">
        <v>0</v>
      </c>
      <c r="N239" s="35">
        <v>1</v>
      </c>
      <c r="O239" s="35">
        <v>1</v>
      </c>
      <c r="P239" s="35">
        <v>33</v>
      </c>
      <c r="Q239" s="38" t="s">
        <v>102</v>
      </c>
      <c r="R239" s="38" t="s">
        <v>103</v>
      </c>
    </row>
    <row r="240" spans="1:18" ht="21" customHeight="1" x14ac:dyDescent="0.15">
      <c r="A240" s="13"/>
      <c r="B240" s="13"/>
      <c r="C240" s="16"/>
      <c r="D240" s="13"/>
      <c r="E240" s="13"/>
      <c r="F240" s="14"/>
      <c r="G240" s="16"/>
      <c r="H240" s="20"/>
      <c r="I240" s="20"/>
      <c r="J240" s="20"/>
      <c r="K240" s="20"/>
      <c r="L240" s="20"/>
      <c r="M240" s="20"/>
      <c r="N240" s="20"/>
      <c r="O240" s="20"/>
      <c r="P240" s="20"/>
      <c r="Q240" s="39"/>
      <c r="R240" s="39"/>
    </row>
    <row r="241" spans="1:18" ht="21" customHeight="1" x14ac:dyDescent="0.15">
      <c r="A241" s="13"/>
      <c r="B241" s="13"/>
      <c r="C241" s="16"/>
      <c r="D241" s="13"/>
      <c r="E241" s="13"/>
      <c r="F241" s="14"/>
      <c r="G241" s="16"/>
      <c r="H241" s="20"/>
      <c r="I241" s="20"/>
      <c r="J241" s="20"/>
      <c r="K241" s="20"/>
      <c r="L241" s="20"/>
      <c r="M241" s="20"/>
      <c r="N241" s="20"/>
      <c r="O241" s="20"/>
      <c r="P241" s="20"/>
      <c r="Q241" s="39"/>
      <c r="R241" s="39"/>
    </row>
    <row r="242" spans="1:18" ht="21" customHeight="1" x14ac:dyDescent="0.15">
      <c r="A242" s="13"/>
      <c r="B242" s="13"/>
      <c r="C242" s="16"/>
      <c r="D242" s="13"/>
      <c r="E242" s="13"/>
      <c r="F242" s="14"/>
      <c r="G242" s="16"/>
      <c r="H242" s="20"/>
      <c r="I242" s="20"/>
      <c r="J242" s="20"/>
      <c r="K242" s="20"/>
      <c r="L242" s="20"/>
      <c r="M242" s="20"/>
      <c r="N242" s="20"/>
      <c r="O242" s="20"/>
      <c r="P242" s="20"/>
      <c r="Q242" s="39"/>
      <c r="R242" s="39"/>
    </row>
    <row r="243" spans="1:18" ht="21" customHeight="1" x14ac:dyDescent="0.15">
      <c r="A243" s="13"/>
      <c r="B243" s="13"/>
      <c r="C243" s="16"/>
      <c r="D243" s="13"/>
      <c r="E243" s="13"/>
      <c r="F243" s="14"/>
      <c r="G243" s="16"/>
      <c r="H243" s="20"/>
      <c r="I243" s="20"/>
      <c r="J243" s="20"/>
      <c r="K243" s="20"/>
      <c r="L243" s="20"/>
      <c r="M243" s="20"/>
      <c r="N243" s="20"/>
      <c r="O243" s="20"/>
      <c r="P243" s="20"/>
      <c r="Q243" s="39"/>
      <c r="R243" s="39"/>
    </row>
    <row r="244" spans="1:18" ht="21" customHeight="1" x14ac:dyDescent="0.15">
      <c r="A244" s="13"/>
      <c r="B244" s="13"/>
      <c r="C244" s="16"/>
      <c r="D244" s="13"/>
      <c r="E244" s="13"/>
      <c r="F244" s="14"/>
      <c r="G244" s="16"/>
      <c r="H244" s="20"/>
      <c r="I244" s="20"/>
      <c r="J244" s="20"/>
      <c r="K244" s="20"/>
      <c r="L244" s="20"/>
      <c r="M244" s="20"/>
      <c r="N244" s="20"/>
      <c r="O244" s="20"/>
      <c r="P244" s="20"/>
      <c r="Q244" s="39"/>
      <c r="R244" s="39"/>
    </row>
    <row r="245" spans="1:18" ht="21" customHeight="1" x14ac:dyDescent="0.15">
      <c r="A245" s="13"/>
      <c r="B245" s="13"/>
      <c r="C245" s="16"/>
      <c r="D245" s="13"/>
      <c r="E245" s="13"/>
      <c r="F245" s="14"/>
      <c r="G245" s="16"/>
      <c r="H245" s="20"/>
      <c r="I245" s="20"/>
      <c r="J245" s="20"/>
      <c r="K245" s="20"/>
      <c r="L245" s="20"/>
      <c r="M245" s="20"/>
      <c r="N245" s="20"/>
      <c r="O245" s="20"/>
      <c r="P245" s="20"/>
      <c r="Q245" s="39"/>
      <c r="R245" s="39"/>
    </row>
    <row r="246" spans="1:18" ht="21" customHeight="1" x14ac:dyDescent="0.15">
      <c r="A246" s="13"/>
      <c r="B246" s="13"/>
      <c r="C246" s="16"/>
      <c r="D246" s="13"/>
      <c r="E246" s="13"/>
      <c r="F246" s="14"/>
      <c r="G246" s="16"/>
      <c r="H246" s="20"/>
      <c r="I246" s="20"/>
      <c r="J246" s="20"/>
      <c r="K246" s="20"/>
      <c r="L246" s="20"/>
      <c r="M246" s="20"/>
      <c r="N246" s="20"/>
      <c r="O246" s="20"/>
      <c r="P246" s="20"/>
      <c r="Q246" s="39"/>
      <c r="R246" s="39"/>
    </row>
    <row r="247" spans="1:18" ht="21" customHeight="1" x14ac:dyDescent="0.15">
      <c r="A247" s="13"/>
      <c r="B247" s="13"/>
      <c r="C247" s="16"/>
      <c r="D247" s="13"/>
      <c r="E247" s="13"/>
      <c r="F247" s="14"/>
      <c r="G247" s="16"/>
      <c r="H247" s="20"/>
      <c r="I247" s="20"/>
      <c r="J247" s="20"/>
      <c r="K247" s="20"/>
      <c r="L247" s="20"/>
      <c r="M247" s="20"/>
      <c r="N247" s="20"/>
      <c r="O247" s="20"/>
      <c r="P247" s="20"/>
      <c r="Q247" s="39"/>
      <c r="R247" s="39"/>
    </row>
    <row r="248" spans="1:18" ht="21" customHeight="1" x14ac:dyDescent="0.15">
      <c r="A248" s="13"/>
      <c r="B248" s="13"/>
      <c r="C248" s="16"/>
      <c r="D248" s="13"/>
      <c r="E248" s="13"/>
      <c r="F248" s="14"/>
      <c r="G248" s="16"/>
      <c r="H248" s="20"/>
      <c r="I248" s="20"/>
      <c r="J248" s="20"/>
      <c r="K248" s="20"/>
      <c r="L248" s="20"/>
      <c r="M248" s="20"/>
      <c r="N248" s="20"/>
      <c r="O248" s="20"/>
      <c r="P248" s="20"/>
      <c r="Q248" s="39"/>
      <c r="R248" s="39"/>
    </row>
    <row r="249" spans="1:18" ht="21" customHeight="1" x14ac:dyDescent="0.15">
      <c r="A249" s="13"/>
      <c r="B249" s="13"/>
      <c r="C249" s="16"/>
      <c r="D249" s="13"/>
      <c r="E249" s="13"/>
      <c r="F249" s="14"/>
      <c r="G249" s="16"/>
      <c r="H249" s="20"/>
      <c r="I249" s="20"/>
      <c r="J249" s="20"/>
      <c r="K249" s="20"/>
      <c r="L249" s="20"/>
      <c r="M249" s="20"/>
      <c r="N249" s="20"/>
      <c r="O249" s="20"/>
      <c r="P249" s="20"/>
      <c r="Q249" s="39"/>
      <c r="R249" s="39"/>
    </row>
    <row r="250" spans="1:18" ht="21" customHeight="1" x14ac:dyDescent="0.15">
      <c r="A250" s="13"/>
      <c r="B250" s="13"/>
      <c r="C250" s="16"/>
      <c r="D250" s="13"/>
      <c r="E250" s="13"/>
      <c r="F250" s="14"/>
      <c r="G250" s="16"/>
      <c r="H250" s="20"/>
      <c r="I250" s="20"/>
      <c r="J250" s="20"/>
      <c r="K250" s="20"/>
      <c r="L250" s="20"/>
      <c r="M250" s="20"/>
      <c r="N250" s="20"/>
      <c r="O250" s="20"/>
      <c r="P250" s="20"/>
      <c r="Q250" s="39"/>
      <c r="R250" s="39"/>
    </row>
    <row r="251" spans="1:18" ht="21" customHeight="1" x14ac:dyDescent="0.15">
      <c r="A251" s="13"/>
      <c r="B251" s="13"/>
      <c r="C251" s="16"/>
      <c r="D251" s="13"/>
      <c r="E251" s="13"/>
      <c r="F251" s="14"/>
      <c r="G251" s="16"/>
      <c r="H251" s="20"/>
      <c r="I251" s="20"/>
      <c r="J251" s="20"/>
      <c r="K251" s="20"/>
      <c r="L251" s="20"/>
      <c r="M251" s="20"/>
      <c r="N251" s="20"/>
      <c r="O251" s="20"/>
      <c r="P251" s="20"/>
      <c r="Q251" s="39"/>
      <c r="R251" s="39"/>
    </row>
    <row r="252" spans="1:18" ht="21" customHeight="1" x14ac:dyDescent="0.15">
      <c r="A252" s="13"/>
      <c r="B252" s="13"/>
      <c r="C252" s="16"/>
      <c r="D252" s="13"/>
      <c r="E252" s="13"/>
      <c r="F252" s="14"/>
      <c r="G252" s="16"/>
      <c r="H252" s="20"/>
      <c r="I252" s="20"/>
      <c r="J252" s="20"/>
      <c r="K252" s="20"/>
      <c r="L252" s="20"/>
      <c r="M252" s="20"/>
      <c r="N252" s="20"/>
      <c r="O252" s="20"/>
      <c r="P252" s="20"/>
      <c r="Q252" s="39"/>
      <c r="R252" s="39"/>
    </row>
    <row r="253" spans="1:18" ht="21" customHeight="1" x14ac:dyDescent="0.15">
      <c r="A253" s="13"/>
      <c r="B253" s="13"/>
      <c r="C253" s="16"/>
      <c r="D253" s="13"/>
      <c r="E253" s="13"/>
      <c r="F253" s="14"/>
      <c r="G253" s="16"/>
      <c r="H253" s="20"/>
      <c r="I253" s="20"/>
      <c r="J253" s="20"/>
      <c r="K253" s="20"/>
      <c r="L253" s="20"/>
      <c r="M253" s="20"/>
      <c r="N253" s="20"/>
      <c r="O253" s="20"/>
      <c r="P253" s="20"/>
      <c r="Q253" s="39"/>
      <c r="R253" s="39"/>
    </row>
    <row r="254" spans="1:18" ht="21" customHeight="1" x14ac:dyDescent="0.15">
      <c r="A254" s="13"/>
      <c r="B254" s="13"/>
      <c r="C254" s="16"/>
      <c r="D254" s="13"/>
      <c r="E254" s="13"/>
      <c r="F254" s="14"/>
      <c r="G254" s="16"/>
      <c r="H254" s="20"/>
      <c r="I254" s="20"/>
      <c r="J254" s="20"/>
      <c r="K254" s="20"/>
      <c r="L254" s="20"/>
      <c r="M254" s="20"/>
      <c r="N254" s="20"/>
      <c r="O254" s="20"/>
      <c r="P254" s="20"/>
      <c r="Q254" s="39"/>
      <c r="R254" s="39"/>
    </row>
    <row r="255" spans="1:18" ht="21" customHeight="1" x14ac:dyDescent="0.15">
      <c r="A255" s="13"/>
      <c r="B255" s="13"/>
      <c r="C255" s="16"/>
      <c r="D255" s="13"/>
      <c r="E255" s="13"/>
      <c r="F255" s="14"/>
      <c r="G255" s="16"/>
      <c r="H255" s="20"/>
      <c r="I255" s="20"/>
      <c r="J255" s="20"/>
      <c r="K255" s="20"/>
      <c r="L255" s="20"/>
      <c r="M255" s="20"/>
      <c r="N255" s="20"/>
      <c r="O255" s="20"/>
      <c r="P255" s="20"/>
      <c r="Q255" s="39"/>
      <c r="R255" s="39"/>
    </row>
    <row r="256" spans="1:18" ht="21" customHeight="1" x14ac:dyDescent="0.15">
      <c r="A256" s="13"/>
      <c r="B256" s="13"/>
      <c r="C256" s="16"/>
      <c r="D256" s="13"/>
      <c r="E256" s="13"/>
      <c r="F256" s="14"/>
      <c r="G256" s="16"/>
      <c r="H256" s="20"/>
      <c r="I256" s="20"/>
      <c r="J256" s="20"/>
      <c r="K256" s="20"/>
      <c r="L256" s="20"/>
      <c r="M256" s="20"/>
      <c r="N256" s="20"/>
      <c r="O256" s="20"/>
      <c r="P256" s="20"/>
      <c r="Q256" s="39"/>
      <c r="R256" s="39"/>
    </row>
    <row r="257" spans="1:18" ht="21" customHeight="1" x14ac:dyDescent="0.15">
      <c r="A257" s="13"/>
      <c r="B257" s="13"/>
      <c r="C257" s="16"/>
      <c r="D257" s="13"/>
      <c r="E257" s="13"/>
      <c r="F257" s="14"/>
      <c r="G257" s="16"/>
      <c r="H257" s="20"/>
      <c r="I257" s="20"/>
      <c r="J257" s="20"/>
      <c r="K257" s="20"/>
      <c r="L257" s="20"/>
      <c r="M257" s="20"/>
      <c r="N257" s="20"/>
      <c r="O257" s="20"/>
      <c r="P257" s="20"/>
      <c r="Q257" s="39"/>
      <c r="R257" s="39"/>
    </row>
    <row r="258" spans="1:18" ht="21" customHeight="1" x14ac:dyDescent="0.15">
      <c r="A258" s="13"/>
      <c r="B258" s="13"/>
      <c r="C258" s="16"/>
      <c r="D258" s="13"/>
      <c r="E258" s="13"/>
      <c r="F258" s="14"/>
      <c r="G258" s="16"/>
      <c r="H258" s="20"/>
      <c r="I258" s="20"/>
      <c r="J258" s="20"/>
      <c r="K258" s="20"/>
      <c r="L258" s="20"/>
      <c r="M258" s="20"/>
      <c r="N258" s="20"/>
      <c r="O258" s="20"/>
      <c r="P258" s="20"/>
      <c r="Q258" s="39"/>
      <c r="R258" s="39"/>
    </row>
    <row r="259" spans="1:18" ht="21" customHeight="1" x14ac:dyDescent="0.15">
      <c r="A259" s="13"/>
      <c r="B259" s="13"/>
      <c r="C259" s="16"/>
      <c r="D259" s="13"/>
      <c r="E259" s="13"/>
      <c r="F259" s="14"/>
      <c r="G259" s="16"/>
      <c r="H259" s="20"/>
      <c r="I259" s="20"/>
      <c r="J259" s="20"/>
      <c r="K259" s="20"/>
      <c r="L259" s="20"/>
      <c r="M259" s="20"/>
      <c r="N259" s="20"/>
      <c r="O259" s="20"/>
      <c r="P259" s="20"/>
      <c r="Q259" s="39"/>
      <c r="R259" s="39"/>
    </row>
    <row r="260" spans="1:18" ht="21" customHeight="1" x14ac:dyDescent="0.15">
      <c r="A260" s="13"/>
      <c r="B260" s="13"/>
      <c r="C260" s="16"/>
      <c r="D260" s="13"/>
      <c r="E260" s="13"/>
      <c r="F260" s="14"/>
      <c r="G260" s="16"/>
      <c r="H260" s="20"/>
      <c r="I260" s="20"/>
      <c r="J260" s="20"/>
      <c r="K260" s="20"/>
      <c r="L260" s="20"/>
      <c r="M260" s="20"/>
      <c r="N260" s="20"/>
      <c r="O260" s="20"/>
      <c r="P260" s="20"/>
      <c r="Q260" s="39"/>
      <c r="R260" s="39"/>
    </row>
    <row r="261" spans="1:18" ht="21" customHeight="1" x14ac:dyDescent="0.15">
      <c r="A261" s="13"/>
      <c r="B261" s="13"/>
      <c r="C261" s="16"/>
      <c r="D261" s="13"/>
      <c r="E261" s="13"/>
      <c r="F261" s="14"/>
      <c r="G261" s="16"/>
      <c r="H261" s="20"/>
      <c r="I261" s="20"/>
      <c r="J261" s="20"/>
      <c r="K261" s="20"/>
      <c r="L261" s="20"/>
      <c r="M261" s="20"/>
      <c r="N261" s="20"/>
      <c r="O261" s="20"/>
      <c r="P261" s="20"/>
      <c r="Q261" s="39"/>
      <c r="R261" s="39"/>
    </row>
    <row r="262" spans="1:18" ht="21" customHeight="1" x14ac:dyDescent="0.15">
      <c r="A262" s="13"/>
      <c r="B262" s="13"/>
      <c r="C262" s="16"/>
      <c r="D262" s="13"/>
      <c r="E262" s="13"/>
      <c r="F262" s="14"/>
      <c r="G262" s="16"/>
      <c r="H262" s="20"/>
      <c r="I262" s="20"/>
      <c r="J262" s="20"/>
      <c r="K262" s="20"/>
      <c r="L262" s="20"/>
      <c r="M262" s="20"/>
      <c r="N262" s="20"/>
      <c r="O262" s="20"/>
      <c r="P262" s="20"/>
      <c r="Q262" s="39"/>
      <c r="R262" s="39"/>
    </row>
    <row r="263" spans="1:18" ht="21" customHeight="1" x14ac:dyDescent="0.15">
      <c r="A263" s="13"/>
      <c r="B263" s="13"/>
      <c r="C263" s="16"/>
      <c r="D263" s="13"/>
      <c r="E263" s="13"/>
      <c r="F263" s="14"/>
      <c r="G263" s="16"/>
      <c r="H263" s="20"/>
      <c r="I263" s="20"/>
      <c r="J263" s="20"/>
      <c r="K263" s="20"/>
      <c r="L263" s="20"/>
      <c r="M263" s="20"/>
      <c r="N263" s="20"/>
      <c r="O263" s="20"/>
      <c r="P263" s="20"/>
      <c r="Q263" s="39"/>
      <c r="R263" s="39"/>
    </row>
    <row r="264" spans="1:18" ht="21" customHeight="1" x14ac:dyDescent="0.15">
      <c r="A264" s="13"/>
      <c r="B264" s="13"/>
      <c r="C264" s="16"/>
      <c r="D264" s="13"/>
      <c r="E264" s="13"/>
      <c r="F264" s="14"/>
      <c r="G264" s="16"/>
      <c r="H264" s="20"/>
      <c r="I264" s="20"/>
      <c r="J264" s="20"/>
      <c r="K264" s="20"/>
      <c r="L264" s="20"/>
      <c r="M264" s="20"/>
      <c r="N264" s="20"/>
      <c r="O264" s="20"/>
      <c r="P264" s="20"/>
      <c r="Q264" s="39"/>
      <c r="R264" s="39"/>
    </row>
    <row r="265" spans="1:18" ht="21" customHeight="1" x14ac:dyDescent="0.15">
      <c r="A265" s="13"/>
      <c r="B265" s="13"/>
      <c r="C265" s="16"/>
      <c r="D265" s="13"/>
      <c r="E265" s="13"/>
      <c r="F265" s="14"/>
      <c r="G265" s="16"/>
      <c r="H265" s="20"/>
      <c r="I265" s="20"/>
      <c r="J265" s="20"/>
      <c r="K265" s="20"/>
      <c r="L265" s="20"/>
      <c r="M265" s="20"/>
      <c r="N265" s="20"/>
      <c r="O265" s="20"/>
      <c r="P265" s="20"/>
      <c r="Q265" s="39"/>
      <c r="R265" s="39"/>
    </row>
    <row r="266" spans="1:18" ht="21" customHeight="1" x14ac:dyDescent="0.15">
      <c r="A266" s="13"/>
      <c r="B266" s="13"/>
      <c r="C266" s="16"/>
      <c r="D266" s="13"/>
      <c r="E266" s="13"/>
      <c r="F266" s="14"/>
      <c r="G266" s="16"/>
      <c r="H266" s="20"/>
      <c r="I266" s="20"/>
      <c r="J266" s="20"/>
      <c r="K266" s="20"/>
      <c r="L266" s="20"/>
      <c r="M266" s="20"/>
      <c r="N266" s="20"/>
      <c r="O266" s="20"/>
      <c r="P266" s="20"/>
      <c r="Q266" s="39"/>
      <c r="R266" s="39"/>
    </row>
    <row r="267" spans="1:18" ht="21" customHeight="1" x14ac:dyDescent="0.15">
      <c r="A267" s="13"/>
      <c r="B267" s="13"/>
      <c r="C267" s="16"/>
      <c r="D267" s="13"/>
      <c r="E267" s="13"/>
      <c r="F267" s="14"/>
      <c r="G267" s="16"/>
      <c r="H267" s="20"/>
      <c r="I267" s="20"/>
      <c r="J267" s="20"/>
      <c r="K267" s="20"/>
      <c r="L267" s="20"/>
      <c r="M267" s="20"/>
      <c r="N267" s="20"/>
      <c r="O267" s="20"/>
      <c r="P267" s="20"/>
      <c r="Q267" s="39"/>
      <c r="R267" s="39"/>
    </row>
    <row r="268" spans="1:18" ht="21" customHeight="1" x14ac:dyDescent="0.15">
      <c r="A268" s="13"/>
      <c r="B268" s="13"/>
      <c r="C268" s="16"/>
      <c r="D268" s="13"/>
      <c r="E268" s="13"/>
      <c r="F268" s="14"/>
      <c r="G268" s="16"/>
      <c r="H268" s="20"/>
      <c r="I268" s="20"/>
      <c r="J268" s="20"/>
      <c r="K268" s="20"/>
      <c r="L268" s="20"/>
      <c r="M268" s="20"/>
      <c r="N268" s="20"/>
      <c r="O268" s="20"/>
      <c r="P268" s="20"/>
      <c r="Q268" s="39"/>
      <c r="R268" s="39"/>
    </row>
    <row r="269" spans="1:18" ht="21" customHeight="1" x14ac:dyDescent="0.15">
      <c r="A269" s="13"/>
      <c r="B269" s="13"/>
      <c r="C269" s="16"/>
      <c r="D269" s="13"/>
      <c r="E269" s="13"/>
      <c r="F269" s="14"/>
      <c r="G269" s="16"/>
      <c r="H269" s="20"/>
      <c r="I269" s="20"/>
      <c r="J269" s="20"/>
      <c r="K269" s="20"/>
      <c r="L269" s="20"/>
      <c r="M269" s="20"/>
      <c r="N269" s="20"/>
      <c r="O269" s="20"/>
      <c r="P269" s="20"/>
      <c r="Q269" s="39"/>
      <c r="R269" s="39"/>
    </row>
    <row r="270" spans="1:18" ht="21" customHeight="1" x14ac:dyDescent="0.15">
      <c r="A270" s="13"/>
      <c r="B270" s="13"/>
      <c r="C270" s="16"/>
      <c r="D270" s="13"/>
      <c r="E270" s="13"/>
      <c r="F270" s="14"/>
      <c r="G270" s="16"/>
      <c r="H270" s="20"/>
      <c r="I270" s="20"/>
      <c r="J270" s="20"/>
      <c r="K270" s="20"/>
      <c r="L270" s="20"/>
      <c r="M270" s="20"/>
      <c r="N270" s="20"/>
      <c r="O270" s="20"/>
      <c r="P270" s="20"/>
      <c r="Q270" s="39"/>
      <c r="R270" s="39"/>
    </row>
    <row r="271" spans="1:18" ht="21" customHeight="1" x14ac:dyDescent="0.15">
      <c r="A271" s="13"/>
      <c r="B271" s="13"/>
      <c r="C271" s="16"/>
      <c r="D271" s="13"/>
      <c r="E271" s="13"/>
      <c r="F271" s="14"/>
      <c r="G271" s="16"/>
      <c r="H271" s="20"/>
      <c r="I271" s="20"/>
      <c r="J271" s="20"/>
      <c r="K271" s="20"/>
      <c r="L271" s="20"/>
      <c r="M271" s="20"/>
      <c r="N271" s="20"/>
      <c r="O271" s="20"/>
      <c r="P271" s="20"/>
      <c r="Q271" s="39"/>
      <c r="R271" s="39"/>
    </row>
    <row r="272" spans="1:18" ht="21" customHeight="1" x14ac:dyDescent="0.15">
      <c r="A272" s="13"/>
      <c r="B272" s="13"/>
      <c r="C272" s="16"/>
      <c r="D272" s="13"/>
      <c r="E272" s="13"/>
      <c r="F272" s="14"/>
      <c r="G272" s="16"/>
      <c r="H272" s="20"/>
      <c r="I272" s="20"/>
      <c r="J272" s="20"/>
      <c r="K272" s="20"/>
      <c r="L272" s="20"/>
      <c r="M272" s="20"/>
      <c r="N272" s="20"/>
      <c r="O272" s="20"/>
      <c r="P272" s="20"/>
      <c r="Q272" s="39"/>
      <c r="R272" s="39"/>
    </row>
    <row r="273" spans="1:18" ht="21" customHeight="1" x14ac:dyDescent="0.15">
      <c r="A273" s="13"/>
      <c r="B273" s="13"/>
      <c r="C273" s="16"/>
      <c r="D273" s="13"/>
      <c r="E273" s="13"/>
      <c r="F273" s="14"/>
      <c r="G273" s="16"/>
      <c r="H273" s="20"/>
      <c r="I273" s="20"/>
      <c r="J273" s="20"/>
      <c r="K273" s="20"/>
      <c r="L273" s="20"/>
      <c r="M273" s="20"/>
      <c r="N273" s="20"/>
      <c r="O273" s="20"/>
      <c r="P273" s="20"/>
      <c r="Q273" s="39"/>
      <c r="R273" s="39"/>
    </row>
    <row r="274" spans="1:18" ht="21" customHeight="1" x14ac:dyDescent="0.15">
      <c r="A274" s="13"/>
      <c r="B274" s="13"/>
      <c r="C274" s="16"/>
      <c r="D274" s="13"/>
      <c r="E274" s="13"/>
      <c r="F274" s="14"/>
      <c r="G274" s="16"/>
      <c r="H274" s="20"/>
      <c r="I274" s="20"/>
      <c r="J274" s="20"/>
      <c r="K274" s="20"/>
      <c r="L274" s="20"/>
      <c r="M274" s="20"/>
      <c r="N274" s="20"/>
      <c r="O274" s="20"/>
      <c r="P274" s="20"/>
      <c r="Q274" s="39"/>
      <c r="R274" s="39"/>
    </row>
    <row r="275" spans="1:18" ht="21" customHeight="1" x14ac:dyDescent="0.15">
      <c r="A275" s="13"/>
      <c r="B275" s="13"/>
      <c r="C275" s="16"/>
      <c r="D275" s="13"/>
      <c r="E275" s="13"/>
      <c r="F275" s="14"/>
      <c r="G275" s="16"/>
      <c r="H275" s="20"/>
      <c r="I275" s="20"/>
      <c r="J275" s="20"/>
      <c r="K275" s="20"/>
      <c r="L275" s="20"/>
      <c r="M275" s="20"/>
      <c r="N275" s="20"/>
      <c r="O275" s="20"/>
      <c r="P275" s="20"/>
      <c r="Q275" s="39"/>
      <c r="R275" s="39"/>
    </row>
    <row r="276" spans="1:18" ht="21" customHeight="1" x14ac:dyDescent="0.15">
      <c r="A276" s="13"/>
      <c r="B276" s="13"/>
      <c r="C276" s="16"/>
      <c r="D276" s="13"/>
      <c r="E276" s="13"/>
      <c r="F276" s="14"/>
      <c r="G276" s="16"/>
      <c r="H276" s="20"/>
      <c r="I276" s="20"/>
      <c r="J276" s="20"/>
      <c r="K276" s="20"/>
      <c r="L276" s="20"/>
      <c r="M276" s="20"/>
      <c r="N276" s="20"/>
      <c r="O276" s="20"/>
      <c r="P276" s="20"/>
      <c r="Q276" s="39"/>
      <c r="R276" s="39"/>
    </row>
    <row r="277" spans="1:18" ht="21" customHeight="1" x14ac:dyDescent="0.15">
      <c r="A277" s="13"/>
      <c r="B277" s="13"/>
      <c r="C277" s="16"/>
      <c r="D277" s="13"/>
      <c r="E277" s="13"/>
      <c r="F277" s="14"/>
      <c r="G277" s="16"/>
      <c r="H277" s="20"/>
      <c r="I277" s="20"/>
      <c r="J277" s="20"/>
      <c r="K277" s="20"/>
      <c r="L277" s="20"/>
      <c r="M277" s="20"/>
      <c r="N277" s="20"/>
      <c r="O277" s="20"/>
      <c r="P277" s="20"/>
      <c r="Q277" s="39"/>
      <c r="R277" s="39"/>
    </row>
    <row r="278" spans="1:18" ht="21" customHeight="1" x14ac:dyDescent="0.15">
      <c r="A278" s="13"/>
      <c r="B278" s="13"/>
      <c r="C278" s="16"/>
      <c r="D278" s="13"/>
      <c r="E278" s="13"/>
      <c r="F278" s="14"/>
      <c r="G278" s="16"/>
      <c r="H278" s="20"/>
      <c r="I278" s="20"/>
      <c r="J278" s="20"/>
      <c r="K278" s="20"/>
      <c r="L278" s="20"/>
      <c r="M278" s="20"/>
      <c r="N278" s="20"/>
      <c r="O278" s="20"/>
      <c r="P278" s="20"/>
      <c r="Q278" s="39"/>
      <c r="R278" s="39"/>
    </row>
    <row r="279" spans="1:18" ht="21" customHeight="1" x14ac:dyDescent="0.15">
      <c r="A279" s="13"/>
      <c r="B279" s="13"/>
      <c r="C279" s="16"/>
      <c r="D279" s="13"/>
      <c r="E279" s="13"/>
      <c r="F279" s="14"/>
      <c r="G279" s="16"/>
      <c r="H279" s="20"/>
      <c r="I279" s="20"/>
      <c r="J279" s="20"/>
      <c r="K279" s="20"/>
      <c r="L279" s="20"/>
      <c r="M279" s="20"/>
      <c r="N279" s="20"/>
      <c r="O279" s="20"/>
      <c r="P279" s="20"/>
      <c r="Q279" s="39"/>
      <c r="R279" s="39"/>
    </row>
    <row r="280" spans="1:18" ht="21" customHeight="1" x14ac:dyDescent="0.15">
      <c r="A280" s="13"/>
      <c r="B280" s="13"/>
      <c r="C280" s="16"/>
      <c r="D280" s="13"/>
      <c r="E280" s="13"/>
      <c r="F280" s="14"/>
      <c r="G280" s="16"/>
      <c r="H280" s="20"/>
      <c r="I280" s="20"/>
      <c r="J280" s="20"/>
      <c r="K280" s="20"/>
      <c r="L280" s="20"/>
      <c r="M280" s="20"/>
      <c r="N280" s="20"/>
      <c r="O280" s="20"/>
      <c r="P280" s="20"/>
      <c r="Q280" s="39"/>
      <c r="R280" s="39"/>
    </row>
    <row r="281" spans="1:18" ht="21" customHeight="1" x14ac:dyDescent="0.15">
      <c r="A281" s="13"/>
      <c r="B281" s="13"/>
      <c r="C281" s="16"/>
      <c r="D281" s="13"/>
      <c r="E281" s="13"/>
      <c r="F281" s="14"/>
      <c r="G281" s="16"/>
      <c r="H281" s="20"/>
      <c r="I281" s="20"/>
      <c r="J281" s="20"/>
      <c r="K281" s="20"/>
      <c r="L281" s="20"/>
      <c r="M281" s="20"/>
      <c r="N281" s="20"/>
      <c r="O281" s="20"/>
      <c r="P281" s="20"/>
      <c r="Q281" s="39"/>
      <c r="R281" s="39"/>
    </row>
    <row r="282" spans="1:18" ht="21" customHeight="1" x14ac:dyDescent="0.15">
      <c r="A282" s="13"/>
      <c r="B282" s="13"/>
      <c r="C282" s="16"/>
      <c r="D282" s="13"/>
      <c r="E282" s="13"/>
      <c r="F282" s="14"/>
      <c r="G282" s="16"/>
      <c r="H282" s="20"/>
      <c r="I282" s="20"/>
      <c r="J282" s="20"/>
      <c r="K282" s="20"/>
      <c r="L282" s="20"/>
      <c r="M282" s="20"/>
      <c r="N282" s="20"/>
      <c r="O282" s="20"/>
      <c r="P282" s="20"/>
      <c r="Q282" s="39"/>
      <c r="R282" s="39"/>
    </row>
    <row r="283" spans="1:18" ht="21" customHeight="1" x14ac:dyDescent="0.15">
      <c r="A283" s="13"/>
      <c r="B283" s="13"/>
      <c r="C283" s="16"/>
      <c r="D283" s="13"/>
      <c r="E283" s="13"/>
      <c r="F283" s="14"/>
      <c r="G283" s="16"/>
      <c r="H283" s="20"/>
      <c r="I283" s="20"/>
      <c r="J283" s="20"/>
      <c r="K283" s="20"/>
      <c r="L283" s="20"/>
      <c r="M283" s="20"/>
      <c r="N283" s="20"/>
      <c r="O283" s="20"/>
      <c r="P283" s="20"/>
      <c r="Q283" s="39"/>
      <c r="R283" s="39"/>
    </row>
    <row r="284" spans="1:18" ht="21" customHeight="1" x14ac:dyDescent="0.15">
      <c r="A284" s="13"/>
      <c r="B284" s="13"/>
      <c r="C284" s="16"/>
      <c r="D284" s="13"/>
      <c r="E284" s="13"/>
      <c r="F284" s="14"/>
      <c r="G284" s="16"/>
      <c r="H284" s="20"/>
      <c r="I284" s="20"/>
      <c r="J284" s="20"/>
      <c r="K284" s="20"/>
      <c r="L284" s="20"/>
      <c r="M284" s="20"/>
      <c r="N284" s="20"/>
      <c r="O284" s="20"/>
      <c r="P284" s="20"/>
      <c r="Q284" s="39"/>
      <c r="R284" s="39"/>
    </row>
    <row r="285" spans="1:18" ht="21" customHeight="1" x14ac:dyDescent="0.15">
      <c r="A285" s="13"/>
      <c r="B285" s="13"/>
      <c r="C285" s="16"/>
      <c r="D285" s="13"/>
      <c r="E285" s="13"/>
      <c r="F285" s="14"/>
      <c r="G285" s="16"/>
      <c r="H285" s="20"/>
      <c r="I285" s="20"/>
      <c r="J285" s="20"/>
      <c r="K285" s="20"/>
      <c r="L285" s="20"/>
      <c r="M285" s="20"/>
      <c r="N285" s="20"/>
      <c r="O285" s="20"/>
      <c r="P285" s="20"/>
      <c r="Q285" s="39"/>
      <c r="R285" s="39"/>
    </row>
    <row r="286" spans="1:18" ht="21" customHeight="1" x14ac:dyDescent="0.15">
      <c r="A286" s="13"/>
      <c r="B286" s="13"/>
      <c r="C286" s="16"/>
      <c r="D286" s="13"/>
      <c r="E286" s="13"/>
      <c r="F286" s="14"/>
      <c r="G286" s="16"/>
      <c r="H286" s="20"/>
      <c r="I286" s="20"/>
      <c r="J286" s="20"/>
      <c r="K286" s="20"/>
      <c r="L286" s="20"/>
      <c r="M286" s="20"/>
      <c r="N286" s="20"/>
      <c r="O286" s="20"/>
      <c r="P286" s="20"/>
      <c r="Q286" s="39"/>
      <c r="R286" s="39"/>
    </row>
    <row r="287" spans="1:18" ht="21" customHeight="1" x14ac:dyDescent="0.15">
      <c r="A287" s="13"/>
      <c r="B287" s="13"/>
      <c r="C287" s="16"/>
      <c r="D287" s="13"/>
      <c r="E287" s="13"/>
      <c r="F287" s="14"/>
      <c r="G287" s="16"/>
      <c r="H287" s="20"/>
      <c r="I287" s="20"/>
      <c r="J287" s="20"/>
      <c r="K287" s="20"/>
      <c r="L287" s="20"/>
      <c r="M287" s="20"/>
      <c r="N287" s="20"/>
      <c r="O287" s="20"/>
      <c r="P287" s="20"/>
      <c r="Q287" s="39"/>
      <c r="R287" s="39"/>
    </row>
    <row r="288" spans="1:18" ht="21" customHeight="1" x14ac:dyDescent="0.15">
      <c r="A288" s="13"/>
      <c r="B288" s="13"/>
      <c r="C288" s="16"/>
      <c r="D288" s="13"/>
      <c r="E288" s="13"/>
      <c r="F288" s="14"/>
      <c r="G288" s="16"/>
      <c r="H288" s="20"/>
      <c r="I288" s="20"/>
      <c r="J288" s="20"/>
      <c r="K288" s="20"/>
      <c r="L288" s="20"/>
      <c r="M288" s="20"/>
      <c r="N288" s="20"/>
      <c r="O288" s="20"/>
      <c r="P288" s="20"/>
      <c r="Q288" s="39"/>
      <c r="R288" s="39"/>
    </row>
    <row r="289" spans="1:18" ht="21" customHeight="1" x14ac:dyDescent="0.15">
      <c r="A289" s="13"/>
      <c r="B289" s="13"/>
      <c r="C289" s="16"/>
      <c r="D289" s="13"/>
      <c r="E289" s="13"/>
      <c r="F289" s="14"/>
      <c r="G289" s="16"/>
      <c r="H289" s="20"/>
      <c r="I289" s="20"/>
      <c r="J289" s="20"/>
      <c r="K289" s="20"/>
      <c r="L289" s="20"/>
      <c r="M289" s="20"/>
      <c r="N289" s="20"/>
      <c r="O289" s="20"/>
      <c r="P289" s="20"/>
      <c r="Q289" s="39"/>
      <c r="R289" s="39"/>
    </row>
    <row r="290" spans="1:18" ht="21" customHeight="1" x14ac:dyDescent="0.15">
      <c r="A290" s="13"/>
      <c r="B290" s="13"/>
      <c r="C290" s="16"/>
      <c r="D290" s="13"/>
      <c r="E290" s="13"/>
      <c r="F290" s="14"/>
      <c r="G290" s="16"/>
      <c r="H290" s="20"/>
      <c r="I290" s="20"/>
      <c r="J290" s="20"/>
      <c r="K290" s="20"/>
      <c r="L290" s="20"/>
      <c r="M290" s="20"/>
      <c r="N290" s="20"/>
      <c r="O290" s="20"/>
      <c r="P290" s="20"/>
      <c r="Q290" s="39"/>
      <c r="R290" s="39"/>
    </row>
    <row r="291" spans="1:18" ht="21" customHeight="1" x14ac:dyDescent="0.15">
      <c r="A291" s="13"/>
      <c r="B291" s="13"/>
      <c r="C291" s="16"/>
      <c r="D291" s="13"/>
      <c r="E291" s="13"/>
      <c r="F291" s="14"/>
      <c r="G291" s="16"/>
      <c r="H291" s="20"/>
      <c r="I291" s="20"/>
      <c r="J291" s="20"/>
      <c r="K291" s="20"/>
      <c r="L291" s="20"/>
      <c r="M291" s="20"/>
      <c r="N291" s="20"/>
      <c r="O291" s="20"/>
      <c r="P291" s="20"/>
      <c r="Q291" s="39"/>
      <c r="R291" s="39"/>
    </row>
  </sheetData>
  <autoFilter ref="A1:G291"/>
  <phoneticPr fontId="8"/>
  <pageMargins left="0.75" right="0.75" top="1" bottom="1" header="0.3" footer="0.3"/>
  <pageSetup paperSize="9" orientation="portrait" horizontalDpi="4294967292" verticalDpi="429496729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E257"/>
  <sheetViews>
    <sheetView showGridLines="0" zoomScale="120" zoomScaleNormal="120" zoomScalePageLayoutView="120" workbookViewId="0">
      <pane ySplit="1" topLeftCell="A228" activePane="bottomLeft" state="frozen"/>
      <selection activeCell="M24" sqref="M24"/>
      <selection pane="bottomLeft" activeCell="C239" sqref="C23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7.59765625" style="1" bestFit="1" customWidth="1" outlineLevel="1"/>
    <col min="3" max="3" width="20.19921875" style="1" bestFit="1" customWidth="1" outlineLevel="1"/>
    <col min="4" max="4" width="16.796875" style="1" customWidth="1"/>
    <col min="5" max="5" width="23.59765625" style="1" customWidth="1" outlineLevel="1"/>
    <col min="6" max="16384" width="13" style="1"/>
  </cols>
  <sheetData>
    <row r="1" spans="1:5" ht="21" customHeight="1" x14ac:dyDescent="0.15">
      <c r="A1" s="11" t="s">
        <v>16</v>
      </c>
      <c r="B1" s="12" t="s">
        <v>17</v>
      </c>
      <c r="C1" s="12" t="s">
        <v>18</v>
      </c>
      <c r="D1" s="12" t="s">
        <v>66</v>
      </c>
      <c r="E1" s="24" t="s">
        <v>67</v>
      </c>
    </row>
    <row r="2" spans="1:5" ht="21" customHeight="1" x14ac:dyDescent="0.15">
      <c r="A2" s="10">
        <f>ROW()-1</f>
        <v>1</v>
      </c>
      <c r="B2" s="16" t="s">
        <v>20</v>
      </c>
      <c r="C2" s="13" t="str">
        <f>VLOOKUP(A2,store_products!A:E,5,FALSE)</f>
        <v>炎のメタルジェントル</v>
      </c>
      <c r="D2" s="14" t="s">
        <v>65</v>
      </c>
      <c r="E2" s="16" t="s">
        <v>70</v>
      </c>
    </row>
    <row r="3" spans="1:5" ht="21" customHeight="1" x14ac:dyDescent="0.15">
      <c r="A3" s="10">
        <f t="shared" ref="A3:A72" si="0">ROW()-1</f>
        <v>2</v>
      </c>
      <c r="B3" s="16" t="s">
        <v>19</v>
      </c>
      <c r="C3" s="13" t="str">
        <f>VLOOKUP(A3,store_products!A:E,5,FALSE)</f>
        <v>森のメタルジェントル</v>
      </c>
      <c r="D3" s="14" t="s">
        <v>65</v>
      </c>
      <c r="E3" s="16" t="s">
        <v>70</v>
      </c>
    </row>
    <row r="4" spans="1:5" ht="21" customHeight="1" x14ac:dyDescent="0.15">
      <c r="A4" s="10">
        <f t="shared" si="0"/>
        <v>3</v>
      </c>
      <c r="B4" s="16" t="s">
        <v>19</v>
      </c>
      <c r="C4" s="13" t="str">
        <f>VLOOKUP(A4,store_products!A:E,5,FALSE)</f>
        <v>水のメタルジェントル</v>
      </c>
      <c r="D4" s="14" t="s">
        <v>65</v>
      </c>
      <c r="E4" s="16" t="s">
        <v>70</v>
      </c>
    </row>
    <row r="5" spans="1:5" ht="21" customHeight="1" x14ac:dyDescent="0.15">
      <c r="A5" s="10">
        <f t="shared" si="0"/>
        <v>4</v>
      </c>
      <c r="B5" s="16" t="s">
        <v>19</v>
      </c>
      <c r="C5" s="13" t="str">
        <f>VLOOKUP(A5,store_products!A:E,5,FALSE)</f>
        <v>雷のメタルジェントル</v>
      </c>
      <c r="D5" s="14" t="s">
        <v>65</v>
      </c>
      <c r="E5" s="16" t="s">
        <v>70</v>
      </c>
    </row>
    <row r="6" spans="1:5" ht="21" customHeight="1" x14ac:dyDescent="0.15">
      <c r="A6" s="10">
        <f t="shared" si="0"/>
        <v>5</v>
      </c>
      <c r="B6" s="16" t="s">
        <v>19</v>
      </c>
      <c r="C6" s="13" t="str">
        <f>VLOOKUP(A6,store_products!A:E,5,FALSE)</f>
        <v>ギガ攻めの果実</v>
      </c>
      <c r="D6" s="14" t="s">
        <v>65</v>
      </c>
      <c r="E6" s="16" t="s">
        <v>70</v>
      </c>
    </row>
    <row r="7" spans="1:5" ht="21" customHeight="1" x14ac:dyDescent="0.15">
      <c r="A7" s="10">
        <f t="shared" si="0"/>
        <v>6</v>
      </c>
      <c r="B7" s="16" t="s">
        <v>19</v>
      </c>
      <c r="C7" s="13" t="str">
        <f>VLOOKUP(A7,store_products!A:E,5,FALSE)</f>
        <v>ギガ生命の果実</v>
      </c>
      <c r="D7" s="14" t="s">
        <v>65</v>
      </c>
      <c r="E7" s="16" t="s">
        <v>70</v>
      </c>
    </row>
    <row r="8" spans="1:5" ht="21" customHeight="1" x14ac:dyDescent="0.15">
      <c r="A8" s="10">
        <f t="shared" si="0"/>
        <v>7</v>
      </c>
      <c r="B8" s="16" t="s">
        <v>19</v>
      </c>
      <c r="C8" s="13" t="str">
        <f>VLOOKUP(A8,store_products!A:E,5,FALSE)</f>
        <v>ギガ癒しの果実</v>
      </c>
      <c r="D8" s="14" t="s">
        <v>65</v>
      </c>
      <c r="E8" s="16" t="s">
        <v>70</v>
      </c>
    </row>
    <row r="9" spans="1:5" ht="21" customHeight="1" x14ac:dyDescent="0.15">
      <c r="A9" s="10">
        <f t="shared" si="0"/>
        <v>8</v>
      </c>
      <c r="B9" s="16" t="s">
        <v>19</v>
      </c>
      <c r="C9" s="13" t="str">
        <f>VLOOKUP(A9,store_products!A:E,5,FALSE)</f>
        <v>ギガ秘術の果実</v>
      </c>
      <c r="D9" s="14" t="s">
        <v>65</v>
      </c>
      <c r="E9" s="16" t="s">
        <v>70</v>
      </c>
    </row>
    <row r="10" spans="1:5" ht="21" customHeight="1" x14ac:dyDescent="0.15">
      <c r="A10" s="10">
        <f t="shared" si="0"/>
        <v>9</v>
      </c>
      <c r="B10" s="16" t="s">
        <v>19</v>
      </c>
      <c r="C10" s="13" t="str">
        <f>VLOOKUP(A10,store_products!A:E,5,FALSE)</f>
        <v>マスターキー</v>
      </c>
      <c r="D10" s="14" t="s">
        <v>65</v>
      </c>
      <c r="E10" s="16" t="s">
        <v>70</v>
      </c>
    </row>
    <row r="11" spans="1:5" ht="21" customHeight="1" x14ac:dyDescent="0.15">
      <c r="A11" s="10">
        <f t="shared" si="0"/>
        <v>10</v>
      </c>
      <c r="B11" s="16" t="s">
        <v>19</v>
      </c>
      <c r="C11" s="13" t="str">
        <f>VLOOKUP(A11,store_products!A:E,5,FALSE)</f>
        <v>リトルハンプティ</v>
      </c>
      <c r="D11" s="14" t="s">
        <v>65</v>
      </c>
      <c r="E11" s="16" t="s">
        <v>70</v>
      </c>
    </row>
    <row r="12" spans="1:5" ht="21" customHeight="1" x14ac:dyDescent="0.15">
      <c r="A12" s="10">
        <f t="shared" si="0"/>
        <v>11</v>
      </c>
      <c r="B12" s="16" t="s">
        <v>19</v>
      </c>
      <c r="C12" s="13" t="str">
        <f>VLOOKUP(A12,store_products!A:E,5,FALSE)</f>
        <v>トロイア</v>
      </c>
      <c r="D12" s="14" t="s">
        <v>65</v>
      </c>
      <c r="E12" s="16" t="s">
        <v>70</v>
      </c>
    </row>
    <row r="13" spans="1:5" ht="21" customHeight="1" x14ac:dyDescent="0.15">
      <c r="A13" s="10">
        <f t="shared" si="0"/>
        <v>12</v>
      </c>
      <c r="B13" s="16" t="s">
        <v>19</v>
      </c>
      <c r="C13" s="13" t="str">
        <f>VLOOKUP(A13,store_products!A:E,5,FALSE)</f>
        <v>マジシャン</v>
      </c>
      <c r="D13" s="14" t="s">
        <v>65</v>
      </c>
      <c r="E13" s="16" t="s">
        <v>70</v>
      </c>
    </row>
    <row r="14" spans="1:5" ht="21" customHeight="1" x14ac:dyDescent="0.15">
      <c r="A14" s="10">
        <f t="shared" si="0"/>
        <v>13</v>
      </c>
      <c r="B14" s="16" t="s">
        <v>19</v>
      </c>
      <c r="C14" s="13" t="str">
        <f>VLOOKUP(A14,store_products!A:E,5,FALSE)</f>
        <v>炎のメタルジェントル</v>
      </c>
      <c r="D14" s="14" t="s">
        <v>65</v>
      </c>
      <c r="E14" s="16" t="s">
        <v>70</v>
      </c>
    </row>
    <row r="15" spans="1:5" ht="21" customHeight="1" x14ac:dyDescent="0.15">
      <c r="A15" s="10">
        <f t="shared" si="0"/>
        <v>14</v>
      </c>
      <c r="B15" s="16" t="s">
        <v>19</v>
      </c>
      <c r="C15" s="13" t="str">
        <f>VLOOKUP(A15,store_products!A:E,5,FALSE)</f>
        <v>森のメタルジェントル</v>
      </c>
      <c r="D15" s="14" t="s">
        <v>65</v>
      </c>
      <c r="E15" s="16" t="s">
        <v>70</v>
      </c>
    </row>
    <row r="16" spans="1:5" ht="21" customHeight="1" x14ac:dyDescent="0.15">
      <c r="A16" s="10">
        <f t="shared" si="0"/>
        <v>15</v>
      </c>
      <c r="B16" s="16" t="s">
        <v>19</v>
      </c>
      <c r="C16" s="13" t="str">
        <f>VLOOKUP(A16,store_products!A:E,5,FALSE)</f>
        <v>水のメタルジェントル</v>
      </c>
      <c r="D16" s="14" t="s">
        <v>65</v>
      </c>
      <c r="E16" s="16" t="s">
        <v>70</v>
      </c>
    </row>
    <row r="17" spans="1:5" ht="21" customHeight="1" x14ac:dyDescent="0.15">
      <c r="A17" s="10">
        <f t="shared" si="0"/>
        <v>16</v>
      </c>
      <c r="B17" s="16" t="s">
        <v>19</v>
      </c>
      <c r="C17" s="13" t="str">
        <f>VLOOKUP(A17,store_products!A:E,5,FALSE)</f>
        <v>雷のメタルジェントル</v>
      </c>
      <c r="D17" s="14" t="s">
        <v>65</v>
      </c>
      <c r="E17" s="16" t="s">
        <v>70</v>
      </c>
    </row>
    <row r="18" spans="1:5" ht="21" customHeight="1" x14ac:dyDescent="0.15">
      <c r="A18" s="10">
        <f t="shared" si="0"/>
        <v>17</v>
      </c>
      <c r="B18" s="16" t="s">
        <v>19</v>
      </c>
      <c r="C18" s="13" t="str">
        <f>VLOOKUP(A18,store_products!A:E,5,FALSE)</f>
        <v>ギガ攻めの果実</v>
      </c>
      <c r="D18" s="14" t="s">
        <v>65</v>
      </c>
      <c r="E18" s="16" t="s">
        <v>70</v>
      </c>
    </row>
    <row r="19" spans="1:5" s="19" customFormat="1" ht="21" customHeight="1" x14ac:dyDescent="0.15">
      <c r="A19" s="10">
        <f t="shared" si="0"/>
        <v>18</v>
      </c>
      <c r="B19" s="16" t="s">
        <v>19</v>
      </c>
      <c r="C19" s="13" t="str">
        <f>VLOOKUP(A19,store_products!A:E,5,FALSE)</f>
        <v>ギガ生命の果実</v>
      </c>
      <c r="D19" s="14" t="s">
        <v>65</v>
      </c>
      <c r="E19" s="16" t="s">
        <v>70</v>
      </c>
    </row>
    <row r="20" spans="1:5" ht="21" customHeight="1" x14ac:dyDescent="0.15">
      <c r="A20" s="10">
        <f t="shared" si="0"/>
        <v>19</v>
      </c>
      <c r="B20" s="16" t="s">
        <v>19</v>
      </c>
      <c r="C20" s="13" t="str">
        <f>VLOOKUP(A20,store_products!A:E,5,FALSE)</f>
        <v>ギガ癒しの果実</v>
      </c>
      <c r="D20" s="14" t="s">
        <v>65</v>
      </c>
      <c r="E20" s="16" t="s">
        <v>70</v>
      </c>
    </row>
    <row r="21" spans="1:5" ht="21" customHeight="1" x14ac:dyDescent="0.15">
      <c r="A21" s="10">
        <f t="shared" si="0"/>
        <v>20</v>
      </c>
      <c r="B21" s="16" t="s">
        <v>19</v>
      </c>
      <c r="C21" s="13" t="str">
        <f>VLOOKUP(A21,store_products!A:E,5,FALSE)</f>
        <v>ギガ秘術の果実</v>
      </c>
      <c r="D21" s="14" t="s">
        <v>65</v>
      </c>
      <c r="E21" s="16" t="s">
        <v>70</v>
      </c>
    </row>
    <row r="22" spans="1:5" ht="21" customHeight="1" x14ac:dyDescent="0.15">
      <c r="A22" s="10">
        <f t="shared" si="0"/>
        <v>21</v>
      </c>
      <c r="B22" s="16" t="s">
        <v>19</v>
      </c>
      <c r="C22" s="13" t="str">
        <f>VLOOKUP(A22,store_products!A:E,5,FALSE)</f>
        <v>マスターキー</v>
      </c>
      <c r="D22" s="14" t="s">
        <v>65</v>
      </c>
      <c r="E22" s="16" t="s">
        <v>70</v>
      </c>
    </row>
    <row r="23" spans="1:5" ht="21" customHeight="1" x14ac:dyDescent="0.15">
      <c r="A23" s="10">
        <f t="shared" si="0"/>
        <v>22</v>
      </c>
      <c r="B23" s="16" t="s">
        <v>19</v>
      </c>
      <c r="C23" s="13" t="str">
        <f>VLOOKUP(A23,store_products!A:E,5,FALSE)</f>
        <v>リトルハンプティ</v>
      </c>
      <c r="D23" s="14" t="s">
        <v>65</v>
      </c>
      <c r="E23" s="16" t="s">
        <v>70</v>
      </c>
    </row>
    <row r="24" spans="1:5" ht="21" customHeight="1" x14ac:dyDescent="0.15">
      <c r="A24" s="10">
        <f t="shared" si="0"/>
        <v>23</v>
      </c>
      <c r="B24" s="16" t="s">
        <v>19</v>
      </c>
      <c r="C24" s="13" t="str">
        <f>VLOOKUP(A24,store_products!A:E,5,FALSE)</f>
        <v>トロイア</v>
      </c>
      <c r="D24" s="14" t="s">
        <v>65</v>
      </c>
      <c r="E24" s="16" t="s">
        <v>70</v>
      </c>
    </row>
    <row r="25" spans="1:5" ht="21" customHeight="1" x14ac:dyDescent="0.15">
      <c r="A25" s="10">
        <f t="shared" si="0"/>
        <v>24</v>
      </c>
      <c r="B25" s="16" t="s">
        <v>19</v>
      </c>
      <c r="C25" s="13" t="str">
        <f>VLOOKUP(A25,store_products!A:E,5,FALSE)</f>
        <v>マジシャン</v>
      </c>
      <c r="D25" s="14" t="s">
        <v>65</v>
      </c>
      <c r="E25" s="16" t="s">
        <v>70</v>
      </c>
    </row>
    <row r="26" spans="1:5" ht="21" customHeight="1" x14ac:dyDescent="0.15">
      <c r="A26" s="10">
        <f t="shared" si="0"/>
        <v>25</v>
      </c>
      <c r="B26" s="16" t="s">
        <v>19</v>
      </c>
      <c r="C26" s="13" t="str">
        <f>VLOOKUP(A26,store_products!A:E,5,FALSE)</f>
        <v>炎のメタルジェントル</v>
      </c>
      <c r="D26" s="14" t="s">
        <v>65</v>
      </c>
      <c r="E26" s="16" t="s">
        <v>70</v>
      </c>
    </row>
    <row r="27" spans="1:5" ht="21" customHeight="1" x14ac:dyDescent="0.15">
      <c r="A27" s="10">
        <f t="shared" si="0"/>
        <v>26</v>
      </c>
      <c r="B27" s="16" t="s">
        <v>19</v>
      </c>
      <c r="C27" s="13" t="str">
        <f>VLOOKUP(A27,store_products!A:E,5,FALSE)</f>
        <v>森のメタルジェントル</v>
      </c>
      <c r="D27" s="14" t="s">
        <v>65</v>
      </c>
      <c r="E27" s="16" t="s">
        <v>70</v>
      </c>
    </row>
    <row r="28" spans="1:5" ht="21" customHeight="1" x14ac:dyDescent="0.15">
      <c r="A28" s="10">
        <f t="shared" si="0"/>
        <v>27</v>
      </c>
      <c r="B28" s="16" t="s">
        <v>19</v>
      </c>
      <c r="C28" s="13" t="str">
        <f>VLOOKUP(A28,store_products!A:E,5,FALSE)</f>
        <v>水のメタルジェントル</v>
      </c>
      <c r="D28" s="14" t="s">
        <v>65</v>
      </c>
      <c r="E28" s="16" t="s">
        <v>70</v>
      </c>
    </row>
    <row r="29" spans="1:5" ht="21" customHeight="1" x14ac:dyDescent="0.15">
      <c r="A29" s="10">
        <f t="shared" si="0"/>
        <v>28</v>
      </c>
      <c r="B29" s="16" t="s">
        <v>19</v>
      </c>
      <c r="C29" s="13" t="str">
        <f>VLOOKUP(A29,store_products!A:E,5,FALSE)</f>
        <v>雷のメタルジェントル</v>
      </c>
      <c r="D29" s="14" t="s">
        <v>65</v>
      </c>
      <c r="E29" s="16" t="s">
        <v>70</v>
      </c>
    </row>
    <row r="30" spans="1:5" ht="21" customHeight="1" x14ac:dyDescent="0.15">
      <c r="A30" s="10">
        <f t="shared" si="0"/>
        <v>29</v>
      </c>
      <c r="B30" s="16" t="s">
        <v>19</v>
      </c>
      <c r="C30" s="13" t="str">
        <f>VLOOKUP(A30,store_products!A:E,5,FALSE)</f>
        <v>ギガ攻めの果実</v>
      </c>
      <c r="D30" s="14" t="s">
        <v>65</v>
      </c>
      <c r="E30" s="16" t="s">
        <v>70</v>
      </c>
    </row>
    <row r="31" spans="1:5" ht="21" customHeight="1" x14ac:dyDescent="0.15">
      <c r="A31" s="10">
        <f t="shared" si="0"/>
        <v>30</v>
      </c>
      <c r="B31" s="16" t="s">
        <v>19</v>
      </c>
      <c r="C31" s="13" t="str">
        <f>VLOOKUP(A31,store_products!A:E,5,FALSE)</f>
        <v>ギガ生命の果実</v>
      </c>
      <c r="D31" s="14" t="s">
        <v>65</v>
      </c>
      <c r="E31" s="16" t="s">
        <v>70</v>
      </c>
    </row>
    <row r="32" spans="1:5" ht="21" customHeight="1" x14ac:dyDescent="0.15">
      <c r="A32" s="10">
        <f t="shared" si="0"/>
        <v>31</v>
      </c>
      <c r="B32" s="16" t="s">
        <v>19</v>
      </c>
      <c r="C32" s="13" t="str">
        <f>VLOOKUP(A32,store_products!A:E,5,FALSE)</f>
        <v>ギガ癒しの果実</v>
      </c>
      <c r="D32" s="14" t="s">
        <v>65</v>
      </c>
      <c r="E32" s="16" t="s">
        <v>70</v>
      </c>
    </row>
    <row r="33" spans="1:5" ht="21" customHeight="1" x14ac:dyDescent="0.15">
      <c r="A33" s="10">
        <f t="shared" si="0"/>
        <v>32</v>
      </c>
      <c r="B33" s="16" t="s">
        <v>19</v>
      </c>
      <c r="C33" s="13" t="str">
        <f>VLOOKUP(A33,store_products!A:E,5,FALSE)</f>
        <v>ギガ秘術の果実</v>
      </c>
      <c r="D33" s="14" t="s">
        <v>65</v>
      </c>
      <c r="E33" s="16" t="s">
        <v>70</v>
      </c>
    </row>
    <row r="34" spans="1:5" ht="21" customHeight="1" x14ac:dyDescent="0.15">
      <c r="A34" s="10">
        <f t="shared" si="0"/>
        <v>33</v>
      </c>
      <c r="B34" s="16" t="s">
        <v>19</v>
      </c>
      <c r="C34" s="13" t="str">
        <f>VLOOKUP(A34,store_products!A:E,5,FALSE)</f>
        <v>マスターキー</v>
      </c>
      <c r="D34" s="14" t="s">
        <v>65</v>
      </c>
      <c r="E34" s="16" t="s">
        <v>70</v>
      </c>
    </row>
    <row r="35" spans="1:5" ht="21" customHeight="1" x14ac:dyDescent="0.15">
      <c r="A35" s="10">
        <f t="shared" si="0"/>
        <v>34</v>
      </c>
      <c r="B35" s="16" t="s">
        <v>19</v>
      </c>
      <c r="C35" s="13" t="str">
        <f>VLOOKUP(A35,store_products!A:E,5,FALSE)</f>
        <v>リトルハンプティ</v>
      </c>
      <c r="D35" s="14" t="s">
        <v>65</v>
      </c>
      <c r="E35" s="16" t="s">
        <v>70</v>
      </c>
    </row>
    <row r="36" spans="1:5" ht="21" customHeight="1" x14ac:dyDescent="0.15">
      <c r="A36" s="10">
        <f t="shared" si="0"/>
        <v>35</v>
      </c>
      <c r="B36" s="16" t="s">
        <v>19</v>
      </c>
      <c r="C36" s="13" t="str">
        <f>VLOOKUP(A36,store_products!A:E,5,FALSE)</f>
        <v>トロイア</v>
      </c>
      <c r="D36" s="14" t="s">
        <v>65</v>
      </c>
      <c r="E36" s="16" t="s">
        <v>70</v>
      </c>
    </row>
    <row r="37" spans="1:5" ht="21" customHeight="1" x14ac:dyDescent="0.15">
      <c r="A37" s="10">
        <f t="shared" si="0"/>
        <v>36</v>
      </c>
      <c r="B37" s="16" t="s">
        <v>19</v>
      </c>
      <c r="C37" s="13" t="str">
        <f>VLOOKUP(A37,store_products!A:E,5,FALSE)</f>
        <v>メガラニカ</v>
      </c>
      <c r="D37" s="14" t="s">
        <v>65</v>
      </c>
      <c r="E37" s="16" t="s">
        <v>70</v>
      </c>
    </row>
    <row r="38" spans="1:5" ht="21" customHeight="1" x14ac:dyDescent="0.15">
      <c r="A38" s="10">
        <f t="shared" si="0"/>
        <v>37</v>
      </c>
      <c r="B38" s="16" t="s">
        <v>19</v>
      </c>
      <c r="C38" s="13" t="str">
        <f>VLOOKUP(A38,store_products!A:E,5,FALSE)</f>
        <v>マジシャン</v>
      </c>
      <c r="D38" s="14" t="s">
        <v>65</v>
      </c>
      <c r="E38" s="16" t="s">
        <v>70</v>
      </c>
    </row>
    <row r="39" spans="1:5" ht="21" customHeight="1" x14ac:dyDescent="0.15">
      <c r="A39" s="10">
        <f t="shared" si="0"/>
        <v>38</v>
      </c>
      <c r="B39" s="16" t="s">
        <v>19</v>
      </c>
      <c r="C39" s="13" t="str">
        <f>VLOOKUP(A39,store_products!A:E,5,FALSE)</f>
        <v>チャリオット</v>
      </c>
      <c r="D39" s="14" t="s">
        <v>65</v>
      </c>
      <c r="E39" s="16" t="s">
        <v>70</v>
      </c>
    </row>
    <row r="40" spans="1:5" ht="21" customHeight="1" x14ac:dyDescent="0.15">
      <c r="A40" s="10">
        <f t="shared" si="0"/>
        <v>39</v>
      </c>
      <c r="B40" s="16" t="s">
        <v>19</v>
      </c>
      <c r="C40" s="13" t="str">
        <f>VLOOKUP(A40,store_products!A:E,5,FALSE)</f>
        <v>炎のメタルジェントル</v>
      </c>
      <c r="D40" s="14" t="s">
        <v>65</v>
      </c>
      <c r="E40" s="16" t="s">
        <v>70</v>
      </c>
    </row>
    <row r="41" spans="1:5" ht="21" customHeight="1" x14ac:dyDescent="0.15">
      <c r="A41" s="10">
        <f t="shared" si="0"/>
        <v>40</v>
      </c>
      <c r="B41" s="16" t="s">
        <v>19</v>
      </c>
      <c r="C41" s="13" t="str">
        <f>VLOOKUP(A41,store_products!A:E,5,FALSE)</f>
        <v>森のメタルジェントル</v>
      </c>
      <c r="D41" s="14" t="s">
        <v>65</v>
      </c>
      <c r="E41" s="16" t="s">
        <v>70</v>
      </c>
    </row>
    <row r="42" spans="1:5" ht="21" customHeight="1" x14ac:dyDescent="0.15">
      <c r="A42" s="10">
        <f t="shared" si="0"/>
        <v>41</v>
      </c>
      <c r="B42" s="16" t="s">
        <v>19</v>
      </c>
      <c r="C42" s="13" t="str">
        <f>VLOOKUP(A42,store_products!A:E,5,FALSE)</f>
        <v>水のメタルジェントル</v>
      </c>
      <c r="D42" s="14" t="s">
        <v>65</v>
      </c>
      <c r="E42" s="16" t="s">
        <v>70</v>
      </c>
    </row>
    <row r="43" spans="1:5" ht="21" customHeight="1" x14ac:dyDescent="0.15">
      <c r="A43" s="10">
        <f t="shared" si="0"/>
        <v>42</v>
      </c>
      <c r="B43" s="16" t="s">
        <v>19</v>
      </c>
      <c r="C43" s="13" t="str">
        <f>VLOOKUP(A43,store_products!A:E,5,FALSE)</f>
        <v>雷のメタルジェントル</v>
      </c>
      <c r="D43" s="14" t="s">
        <v>65</v>
      </c>
      <c r="E43" s="16" t="s">
        <v>70</v>
      </c>
    </row>
    <row r="44" spans="1:5" ht="21" customHeight="1" x14ac:dyDescent="0.15">
      <c r="A44" s="10">
        <f t="shared" si="0"/>
        <v>43</v>
      </c>
      <c r="B44" s="16" t="s">
        <v>19</v>
      </c>
      <c r="C44" s="13" t="str">
        <f>VLOOKUP(A44,store_products!A:E,5,FALSE)</f>
        <v>ギガ攻めの果実</v>
      </c>
      <c r="D44" s="14" t="s">
        <v>65</v>
      </c>
      <c r="E44" s="16" t="s">
        <v>70</v>
      </c>
    </row>
    <row r="45" spans="1:5" ht="21" customHeight="1" x14ac:dyDescent="0.15">
      <c r="A45" s="10">
        <f t="shared" si="0"/>
        <v>44</v>
      </c>
      <c r="B45" s="16" t="s">
        <v>19</v>
      </c>
      <c r="C45" s="13" t="str">
        <f>VLOOKUP(A45,store_products!A:E,5,FALSE)</f>
        <v>ギガ生命の果実</v>
      </c>
      <c r="D45" s="14" t="s">
        <v>65</v>
      </c>
      <c r="E45" s="16" t="s">
        <v>70</v>
      </c>
    </row>
    <row r="46" spans="1:5" ht="21" customHeight="1" x14ac:dyDescent="0.15">
      <c r="A46" s="10">
        <f t="shared" si="0"/>
        <v>45</v>
      </c>
      <c r="B46" s="16" t="s">
        <v>19</v>
      </c>
      <c r="C46" s="13" t="str">
        <f>VLOOKUP(A46,store_products!A:E,5,FALSE)</f>
        <v>ギガ癒しの果実</v>
      </c>
      <c r="D46" s="14" t="s">
        <v>65</v>
      </c>
      <c r="E46" s="16" t="s">
        <v>70</v>
      </c>
    </row>
    <row r="47" spans="1:5" ht="21" customHeight="1" x14ac:dyDescent="0.15">
      <c r="A47" s="10">
        <f t="shared" si="0"/>
        <v>46</v>
      </c>
      <c r="B47" s="16" t="s">
        <v>19</v>
      </c>
      <c r="C47" s="13" t="str">
        <f>VLOOKUP(A47,store_products!A:E,5,FALSE)</f>
        <v>ギガ秘術の果実</v>
      </c>
      <c r="D47" s="14" t="s">
        <v>65</v>
      </c>
      <c r="E47" s="16" t="s">
        <v>70</v>
      </c>
    </row>
    <row r="48" spans="1:5" ht="21" customHeight="1" x14ac:dyDescent="0.15">
      <c r="A48" s="10">
        <f t="shared" si="0"/>
        <v>47</v>
      </c>
      <c r="B48" s="16" t="s">
        <v>19</v>
      </c>
      <c r="C48" s="13" t="str">
        <f>VLOOKUP(A48,store_products!A:E,5,FALSE)</f>
        <v>マスターキー</v>
      </c>
      <c r="D48" s="14" t="s">
        <v>65</v>
      </c>
      <c r="E48" s="16" t="s">
        <v>70</v>
      </c>
    </row>
    <row r="49" spans="1:5" ht="21" customHeight="1" x14ac:dyDescent="0.15">
      <c r="A49" s="10">
        <f t="shared" si="0"/>
        <v>48</v>
      </c>
      <c r="B49" s="16" t="s">
        <v>19</v>
      </c>
      <c r="C49" s="13" t="str">
        <f>VLOOKUP(A49,store_products!A:E,5,FALSE)</f>
        <v>リトルハンプティ</v>
      </c>
      <c r="D49" s="14" t="s">
        <v>65</v>
      </c>
      <c r="E49" s="16" t="s">
        <v>70</v>
      </c>
    </row>
    <row r="50" spans="1:5" ht="21" customHeight="1" x14ac:dyDescent="0.15">
      <c r="A50" s="10">
        <f t="shared" si="0"/>
        <v>49</v>
      </c>
      <c r="B50" s="16" t="s">
        <v>19</v>
      </c>
      <c r="C50" s="13" t="str">
        <f>VLOOKUP(A50,store_products!A:E,5,FALSE)</f>
        <v>トロイア</v>
      </c>
      <c r="D50" s="14" t="s">
        <v>65</v>
      </c>
      <c r="E50" s="16" t="s">
        <v>70</v>
      </c>
    </row>
    <row r="51" spans="1:5" ht="21" customHeight="1" x14ac:dyDescent="0.15">
      <c r="A51" s="10">
        <f t="shared" si="0"/>
        <v>50</v>
      </c>
      <c r="B51" s="16" t="s">
        <v>19</v>
      </c>
      <c r="C51" s="13" t="str">
        <f>VLOOKUP(A51,store_products!A:E,5,FALSE)</f>
        <v>メガラニカ</v>
      </c>
      <c r="D51" s="14" t="s">
        <v>65</v>
      </c>
      <c r="E51" s="16" t="s">
        <v>70</v>
      </c>
    </row>
    <row r="52" spans="1:5" ht="21" customHeight="1" x14ac:dyDescent="0.15">
      <c r="A52" s="10">
        <f t="shared" si="0"/>
        <v>51</v>
      </c>
      <c r="B52" s="16" t="s">
        <v>19</v>
      </c>
      <c r="C52" s="13" t="str">
        <f>VLOOKUP(A52,store_products!A:E,5,FALSE)</f>
        <v>レムリア</v>
      </c>
      <c r="D52" s="14" t="s">
        <v>65</v>
      </c>
      <c r="E52" s="16" t="s">
        <v>70</v>
      </c>
    </row>
    <row r="53" spans="1:5" ht="21" customHeight="1" x14ac:dyDescent="0.15">
      <c r="A53" s="10">
        <f t="shared" si="0"/>
        <v>52</v>
      </c>
      <c r="B53" s="16" t="s">
        <v>19</v>
      </c>
      <c r="C53" s="13" t="str">
        <f>VLOOKUP(A53,store_products!A:E,5,FALSE)</f>
        <v>マジシャン</v>
      </c>
      <c r="D53" s="14" t="s">
        <v>65</v>
      </c>
      <c r="E53" s="16" t="s">
        <v>70</v>
      </c>
    </row>
    <row r="54" spans="1:5" ht="21" customHeight="1" x14ac:dyDescent="0.15">
      <c r="A54" s="10">
        <f t="shared" si="0"/>
        <v>53</v>
      </c>
      <c r="B54" s="16" t="s">
        <v>19</v>
      </c>
      <c r="C54" s="13" t="str">
        <f>VLOOKUP(A54,store_products!A:E,5,FALSE)</f>
        <v>チャリオット</v>
      </c>
      <c r="D54" s="14" t="s">
        <v>65</v>
      </c>
      <c r="E54" s="16" t="s">
        <v>70</v>
      </c>
    </row>
    <row r="55" spans="1:5" ht="21" customHeight="1" x14ac:dyDescent="0.15">
      <c r="A55" s="10">
        <f t="shared" si="0"/>
        <v>54</v>
      </c>
      <c r="B55" s="16" t="s">
        <v>19</v>
      </c>
      <c r="C55" s="13" t="str">
        <f>VLOOKUP(A55,store_products!A:E,5,FALSE)</f>
        <v>ラヴァーズ</v>
      </c>
      <c r="D55" s="14" t="s">
        <v>65</v>
      </c>
      <c r="E55" s="16" t="s">
        <v>70</v>
      </c>
    </row>
    <row r="56" spans="1:5" ht="21" customHeight="1" x14ac:dyDescent="0.15">
      <c r="A56" s="10">
        <f t="shared" si="0"/>
        <v>55</v>
      </c>
      <c r="B56" s="16" t="s">
        <v>19</v>
      </c>
      <c r="C56" s="13" t="str">
        <f>VLOOKUP(A56,store_products!A:E,5,FALSE)</f>
        <v>炎のメタルジェントル</v>
      </c>
      <c r="D56" s="14" t="s">
        <v>65</v>
      </c>
      <c r="E56" s="16" t="s">
        <v>70</v>
      </c>
    </row>
    <row r="57" spans="1:5" ht="21" customHeight="1" x14ac:dyDescent="0.15">
      <c r="A57" s="10">
        <f t="shared" si="0"/>
        <v>56</v>
      </c>
      <c r="B57" s="16" t="s">
        <v>19</v>
      </c>
      <c r="C57" s="13" t="str">
        <f>VLOOKUP(A57,store_products!A:E,5,FALSE)</f>
        <v>森のメタルジェントル</v>
      </c>
      <c r="D57" s="14" t="s">
        <v>65</v>
      </c>
      <c r="E57" s="16" t="s">
        <v>70</v>
      </c>
    </row>
    <row r="58" spans="1:5" ht="21" customHeight="1" x14ac:dyDescent="0.15">
      <c r="A58" s="10">
        <f t="shared" si="0"/>
        <v>57</v>
      </c>
      <c r="B58" s="16" t="s">
        <v>19</v>
      </c>
      <c r="C58" s="13" t="str">
        <f>VLOOKUP(A58,store_products!A:E,5,FALSE)</f>
        <v>水のメタルジェントル</v>
      </c>
      <c r="D58" s="14" t="s">
        <v>65</v>
      </c>
      <c r="E58" s="16" t="s">
        <v>70</v>
      </c>
    </row>
    <row r="59" spans="1:5" ht="21" customHeight="1" x14ac:dyDescent="0.15">
      <c r="A59" s="10">
        <f t="shared" si="0"/>
        <v>58</v>
      </c>
      <c r="B59" s="16" t="s">
        <v>19</v>
      </c>
      <c r="C59" s="13" t="str">
        <f>VLOOKUP(A59,store_products!A:E,5,FALSE)</f>
        <v>雷のメタルジェントル</v>
      </c>
      <c r="D59" s="14" t="s">
        <v>65</v>
      </c>
      <c r="E59" s="16" t="s">
        <v>70</v>
      </c>
    </row>
    <row r="60" spans="1:5" ht="21" customHeight="1" x14ac:dyDescent="0.15">
      <c r="A60" s="10">
        <f t="shared" si="0"/>
        <v>59</v>
      </c>
      <c r="B60" s="16" t="s">
        <v>19</v>
      </c>
      <c r="C60" s="13" t="str">
        <f>VLOOKUP(A60,store_products!A:E,5,FALSE)</f>
        <v>ギガ攻めの果実</v>
      </c>
      <c r="D60" s="14" t="s">
        <v>65</v>
      </c>
      <c r="E60" s="16" t="s">
        <v>70</v>
      </c>
    </row>
    <row r="61" spans="1:5" ht="21" customHeight="1" x14ac:dyDescent="0.15">
      <c r="A61" s="10">
        <f t="shared" si="0"/>
        <v>60</v>
      </c>
      <c r="B61" s="16" t="s">
        <v>19</v>
      </c>
      <c r="C61" s="13" t="str">
        <f>VLOOKUP(A61,store_products!A:E,5,FALSE)</f>
        <v>ギガ生命の果実</v>
      </c>
      <c r="D61" s="14" t="s">
        <v>65</v>
      </c>
      <c r="E61" s="16" t="s">
        <v>70</v>
      </c>
    </row>
    <row r="62" spans="1:5" ht="21" customHeight="1" x14ac:dyDescent="0.15">
      <c r="A62" s="10">
        <f t="shared" si="0"/>
        <v>61</v>
      </c>
      <c r="B62" s="16" t="s">
        <v>19</v>
      </c>
      <c r="C62" s="13" t="str">
        <f>VLOOKUP(A62,store_products!A:E,5,FALSE)</f>
        <v>ギガ癒しの果実</v>
      </c>
      <c r="D62" s="14" t="s">
        <v>65</v>
      </c>
      <c r="E62" s="16" t="s">
        <v>70</v>
      </c>
    </row>
    <row r="63" spans="1:5" ht="21" customHeight="1" x14ac:dyDescent="0.15">
      <c r="A63" s="10">
        <f t="shared" si="0"/>
        <v>62</v>
      </c>
      <c r="B63" s="16" t="s">
        <v>19</v>
      </c>
      <c r="C63" s="13" t="str">
        <f>VLOOKUP(A63,store_products!A:E,5,FALSE)</f>
        <v>ギガ秘術の果実</v>
      </c>
      <c r="D63" s="14" t="s">
        <v>65</v>
      </c>
      <c r="E63" s="16" t="s">
        <v>70</v>
      </c>
    </row>
    <row r="64" spans="1:5" ht="21" customHeight="1" x14ac:dyDescent="0.15">
      <c r="A64" s="10">
        <f t="shared" si="0"/>
        <v>63</v>
      </c>
      <c r="B64" s="16" t="s">
        <v>19</v>
      </c>
      <c r="C64" s="13" t="str">
        <f>VLOOKUP(A64,store_products!A:E,5,FALSE)</f>
        <v>マスターキー</v>
      </c>
      <c r="D64" s="14" t="s">
        <v>65</v>
      </c>
      <c r="E64" s="16" t="s">
        <v>70</v>
      </c>
    </row>
    <row r="65" spans="1:5" ht="21" customHeight="1" x14ac:dyDescent="0.15">
      <c r="A65" s="10">
        <f t="shared" si="0"/>
        <v>64</v>
      </c>
      <c r="B65" s="16" t="s">
        <v>19</v>
      </c>
      <c r="C65" s="13" t="str">
        <f>VLOOKUP(A65,store_products!A:E,5,FALSE)</f>
        <v>リトルハンプティ</v>
      </c>
      <c r="D65" s="14" t="s">
        <v>65</v>
      </c>
      <c r="E65" s="16" t="s">
        <v>70</v>
      </c>
    </row>
    <row r="66" spans="1:5" ht="21" customHeight="1" x14ac:dyDescent="0.15">
      <c r="A66" s="10">
        <f t="shared" si="0"/>
        <v>65</v>
      </c>
      <c r="B66" s="16" t="s">
        <v>19</v>
      </c>
      <c r="C66" s="13" t="str">
        <f>VLOOKUP(A66,store_products!A:E,5,FALSE)</f>
        <v>トロイア</v>
      </c>
      <c r="D66" s="14" t="s">
        <v>65</v>
      </c>
      <c r="E66" s="16" t="s">
        <v>65</v>
      </c>
    </row>
    <row r="67" spans="1:5" ht="21" customHeight="1" x14ac:dyDescent="0.15">
      <c r="A67" s="10">
        <f t="shared" si="0"/>
        <v>66</v>
      </c>
      <c r="B67" s="16" t="s">
        <v>19</v>
      </c>
      <c r="C67" s="13" t="str">
        <f>VLOOKUP(A67,store_products!A:E,5,FALSE)</f>
        <v>メガラニカ</v>
      </c>
      <c r="D67" s="14" t="s">
        <v>65</v>
      </c>
      <c r="E67" s="16" t="s">
        <v>65</v>
      </c>
    </row>
    <row r="68" spans="1:5" ht="21" customHeight="1" x14ac:dyDescent="0.15">
      <c r="A68" s="10">
        <f t="shared" si="0"/>
        <v>67</v>
      </c>
      <c r="B68" s="16" t="s">
        <v>19</v>
      </c>
      <c r="C68" s="13" t="str">
        <f>VLOOKUP(A68,store_products!A:E,5,FALSE)</f>
        <v>レムリア</v>
      </c>
      <c r="D68" s="14" t="s">
        <v>65</v>
      </c>
      <c r="E68" s="16" t="s">
        <v>65</v>
      </c>
    </row>
    <row r="69" spans="1:5" ht="21" customHeight="1" x14ac:dyDescent="0.15">
      <c r="A69" s="10">
        <f t="shared" si="0"/>
        <v>68</v>
      </c>
      <c r="B69" s="16" t="s">
        <v>19</v>
      </c>
      <c r="C69" s="13" t="s">
        <v>90</v>
      </c>
      <c r="D69" s="14" t="s">
        <v>65</v>
      </c>
      <c r="E69" s="16" t="s">
        <v>65</v>
      </c>
    </row>
    <row r="70" spans="1:5" ht="21" customHeight="1" x14ac:dyDescent="0.15">
      <c r="A70" s="10">
        <f t="shared" si="0"/>
        <v>69</v>
      </c>
      <c r="B70" s="16" t="s">
        <v>19</v>
      </c>
      <c r="C70" s="13" t="str">
        <f>VLOOKUP(A70,store_products!A:E,5,FALSE)</f>
        <v>マジシャン</v>
      </c>
      <c r="D70" s="14" t="s">
        <v>65</v>
      </c>
      <c r="E70" s="16" t="s">
        <v>65</v>
      </c>
    </row>
    <row r="71" spans="1:5" ht="21" customHeight="1" x14ac:dyDescent="0.15">
      <c r="A71" s="10">
        <f t="shared" si="0"/>
        <v>70</v>
      </c>
      <c r="B71" s="16" t="s">
        <v>19</v>
      </c>
      <c r="C71" s="13" t="str">
        <f>VLOOKUP(A71,store_products!A:E,5,FALSE)</f>
        <v>チャリオット</v>
      </c>
      <c r="D71" s="14" t="s">
        <v>65</v>
      </c>
      <c r="E71" s="16" t="s">
        <v>65</v>
      </c>
    </row>
    <row r="72" spans="1:5" s="19" customFormat="1" ht="21" customHeight="1" x14ac:dyDescent="0.15">
      <c r="A72" s="10">
        <f t="shared" si="0"/>
        <v>71</v>
      </c>
      <c r="B72" s="16" t="s">
        <v>19</v>
      </c>
      <c r="C72" s="13" t="str">
        <f>VLOOKUP(A72,store_products!A:E,5,FALSE)</f>
        <v>ラヴァーズ</v>
      </c>
      <c r="D72" s="14" t="s">
        <v>65</v>
      </c>
      <c r="E72" s="16" t="s">
        <v>70</v>
      </c>
    </row>
    <row r="73" spans="1:5" s="19" customFormat="1" ht="21" customHeight="1" x14ac:dyDescent="0.15">
      <c r="A73" s="10">
        <f t="shared" ref="A73:A142" si="1">ROW()-1</f>
        <v>72</v>
      </c>
      <c r="B73" s="16" t="s">
        <v>19</v>
      </c>
      <c r="C73" s="13" t="s">
        <v>89</v>
      </c>
      <c r="D73" s="14" t="s">
        <v>65</v>
      </c>
      <c r="E73" s="16" t="s">
        <v>70</v>
      </c>
    </row>
    <row r="74" spans="1:5" ht="21" customHeight="1" x14ac:dyDescent="0.15">
      <c r="A74" s="10">
        <f t="shared" si="1"/>
        <v>73</v>
      </c>
      <c r="B74" s="16" t="s">
        <v>19</v>
      </c>
      <c r="C74" s="13" t="str">
        <f>VLOOKUP(A74,store_products!A:E,5,FALSE)</f>
        <v>炎のメタルジェントル</v>
      </c>
      <c r="D74" s="14" t="s">
        <v>65</v>
      </c>
      <c r="E74" s="16" t="s">
        <v>70</v>
      </c>
    </row>
    <row r="75" spans="1:5" ht="21" customHeight="1" x14ac:dyDescent="0.15">
      <c r="A75" s="10">
        <f t="shared" si="1"/>
        <v>74</v>
      </c>
      <c r="B75" s="16" t="s">
        <v>19</v>
      </c>
      <c r="C75" s="13" t="str">
        <f>VLOOKUP(A75,store_products!A:E,5,FALSE)</f>
        <v>森のメタルジェントル</v>
      </c>
      <c r="D75" s="14" t="s">
        <v>65</v>
      </c>
      <c r="E75" s="16" t="s">
        <v>70</v>
      </c>
    </row>
    <row r="76" spans="1:5" ht="21" customHeight="1" x14ac:dyDescent="0.15">
      <c r="A76" s="10">
        <f t="shared" si="1"/>
        <v>75</v>
      </c>
      <c r="B76" s="16" t="s">
        <v>19</v>
      </c>
      <c r="C76" s="13" t="str">
        <f>VLOOKUP(A76,store_products!A:E,5,FALSE)</f>
        <v>水のメタルジェントル</v>
      </c>
      <c r="D76" s="14" t="s">
        <v>65</v>
      </c>
      <c r="E76" s="16" t="s">
        <v>70</v>
      </c>
    </row>
    <row r="77" spans="1:5" ht="21" customHeight="1" x14ac:dyDescent="0.15">
      <c r="A77" s="10">
        <f t="shared" si="1"/>
        <v>76</v>
      </c>
      <c r="B77" s="16" t="s">
        <v>19</v>
      </c>
      <c r="C77" s="13" t="str">
        <f>VLOOKUP(A77,store_products!A:E,5,FALSE)</f>
        <v>雷のメタルジェントル</v>
      </c>
      <c r="D77" s="14" t="s">
        <v>65</v>
      </c>
      <c r="E77" s="16" t="s">
        <v>70</v>
      </c>
    </row>
    <row r="78" spans="1:5" ht="21" customHeight="1" x14ac:dyDescent="0.15">
      <c r="A78" s="10">
        <f t="shared" si="1"/>
        <v>77</v>
      </c>
      <c r="B78" s="16" t="s">
        <v>19</v>
      </c>
      <c r="C78" s="13" t="str">
        <f>VLOOKUP(A78,store_products!A:E,5,FALSE)</f>
        <v>ギガ攻めの果実</v>
      </c>
      <c r="D78" s="14" t="s">
        <v>65</v>
      </c>
      <c r="E78" s="16" t="s">
        <v>70</v>
      </c>
    </row>
    <row r="79" spans="1:5" ht="21" customHeight="1" x14ac:dyDescent="0.15">
      <c r="A79" s="10">
        <f t="shared" si="1"/>
        <v>78</v>
      </c>
      <c r="B79" s="16" t="s">
        <v>19</v>
      </c>
      <c r="C79" s="13" t="str">
        <f>VLOOKUP(A79,store_products!A:E,5,FALSE)</f>
        <v>ギガ生命の果実</v>
      </c>
      <c r="D79" s="14" t="s">
        <v>65</v>
      </c>
      <c r="E79" s="16" t="s">
        <v>70</v>
      </c>
    </row>
    <row r="80" spans="1:5" ht="21" customHeight="1" x14ac:dyDescent="0.15">
      <c r="A80" s="10">
        <f t="shared" si="1"/>
        <v>79</v>
      </c>
      <c r="B80" s="16" t="s">
        <v>19</v>
      </c>
      <c r="C80" s="13" t="str">
        <f>VLOOKUP(A80,store_products!A:E,5,FALSE)</f>
        <v>ギガ癒しの果実</v>
      </c>
      <c r="D80" s="14" t="s">
        <v>65</v>
      </c>
      <c r="E80" s="16" t="s">
        <v>70</v>
      </c>
    </row>
    <row r="81" spans="1:5" ht="21" customHeight="1" x14ac:dyDescent="0.15">
      <c r="A81" s="10">
        <f t="shared" si="1"/>
        <v>80</v>
      </c>
      <c r="B81" s="16" t="s">
        <v>19</v>
      </c>
      <c r="C81" s="13" t="str">
        <f>VLOOKUP(A81,store_products!A:E,5,FALSE)</f>
        <v>ギガ秘術の果実</v>
      </c>
      <c r="D81" s="14" t="s">
        <v>65</v>
      </c>
      <c r="E81" s="16" t="s">
        <v>70</v>
      </c>
    </row>
    <row r="82" spans="1:5" ht="21" customHeight="1" x14ac:dyDescent="0.15">
      <c r="A82" s="10">
        <f t="shared" si="1"/>
        <v>81</v>
      </c>
      <c r="B82" s="16" t="s">
        <v>19</v>
      </c>
      <c r="C82" s="13" t="str">
        <f>VLOOKUP(A82,store_products!A:E,5,FALSE)</f>
        <v>マスターキー</v>
      </c>
      <c r="D82" s="14" t="s">
        <v>65</v>
      </c>
      <c r="E82" s="16" t="s">
        <v>70</v>
      </c>
    </row>
    <row r="83" spans="1:5" ht="21" customHeight="1" x14ac:dyDescent="0.15">
      <c r="A83" s="10">
        <f t="shared" si="1"/>
        <v>82</v>
      </c>
      <c r="B83" s="16" t="s">
        <v>19</v>
      </c>
      <c r="C83" s="13" t="str">
        <f>VLOOKUP(A83,store_products!A:E,5,FALSE)</f>
        <v>リトルハンプティ</v>
      </c>
      <c r="D83" s="14" t="s">
        <v>65</v>
      </c>
      <c r="E83" s="16" t="s">
        <v>70</v>
      </c>
    </row>
    <row r="84" spans="1:5" ht="21" customHeight="1" x14ac:dyDescent="0.15">
      <c r="A84" s="10">
        <f t="shared" si="1"/>
        <v>83</v>
      </c>
      <c r="B84" s="16" t="s">
        <v>19</v>
      </c>
      <c r="C84" s="13" t="str">
        <f>VLOOKUP(A84,store_products!A:E,5,FALSE)</f>
        <v>トロイア</v>
      </c>
      <c r="D84" s="14" t="s">
        <v>65</v>
      </c>
      <c r="E84" s="16" t="s">
        <v>70</v>
      </c>
    </row>
    <row r="85" spans="1:5" ht="21" customHeight="1" x14ac:dyDescent="0.15">
      <c r="A85" s="10">
        <f t="shared" si="1"/>
        <v>84</v>
      </c>
      <c r="B85" s="16" t="s">
        <v>19</v>
      </c>
      <c r="C85" s="13" t="str">
        <f>VLOOKUP(A85,store_products!A:E,5,FALSE)</f>
        <v>メガラニカ</v>
      </c>
      <c r="D85" s="14" t="s">
        <v>65</v>
      </c>
      <c r="E85" s="16" t="s">
        <v>70</v>
      </c>
    </row>
    <row r="86" spans="1:5" ht="21" customHeight="1" x14ac:dyDescent="0.15">
      <c r="A86" s="10">
        <f t="shared" si="1"/>
        <v>85</v>
      </c>
      <c r="B86" s="16" t="s">
        <v>19</v>
      </c>
      <c r="C86" s="13" t="str">
        <f>VLOOKUP(A86,store_products!A:E,5,FALSE)</f>
        <v>レムリア</v>
      </c>
      <c r="D86" s="16" t="s">
        <v>70</v>
      </c>
      <c r="E86" s="16" t="s">
        <v>70</v>
      </c>
    </row>
    <row r="87" spans="1:5" ht="21" customHeight="1" x14ac:dyDescent="0.15">
      <c r="A87" s="10">
        <f t="shared" si="1"/>
        <v>86</v>
      </c>
      <c r="B87" s="16" t="s">
        <v>19</v>
      </c>
      <c r="C87" s="13" t="str">
        <f>VLOOKUP(A87,store_products!A:E,5,FALSE)</f>
        <v>ネセバル</v>
      </c>
      <c r="D87" s="16" t="s">
        <v>70</v>
      </c>
      <c r="E87" s="16" t="s">
        <v>70</v>
      </c>
    </row>
    <row r="88" spans="1:5" ht="21" customHeight="1" x14ac:dyDescent="0.15">
      <c r="A88" s="10">
        <f t="shared" si="1"/>
        <v>87</v>
      </c>
      <c r="B88" s="16" t="s">
        <v>19</v>
      </c>
      <c r="C88" s="13" t="str">
        <f>VLOOKUP(A88,store_products!A:E,5,FALSE)</f>
        <v>マジシャン</v>
      </c>
      <c r="D88" s="14" t="s">
        <v>65</v>
      </c>
      <c r="E88" s="16" t="s">
        <v>70</v>
      </c>
    </row>
    <row r="89" spans="1:5" ht="21" customHeight="1" x14ac:dyDescent="0.15">
      <c r="A89" s="10">
        <f t="shared" si="1"/>
        <v>88</v>
      </c>
      <c r="B89" s="16" t="s">
        <v>19</v>
      </c>
      <c r="C89" s="13" t="str">
        <f>VLOOKUP(A89,store_products!A:E,5,FALSE)</f>
        <v>チャリオット</v>
      </c>
      <c r="D89" s="14" t="s">
        <v>65</v>
      </c>
      <c r="E89" s="16" t="s">
        <v>70</v>
      </c>
    </row>
    <row r="90" spans="1:5" ht="21" customHeight="1" x14ac:dyDescent="0.15">
      <c r="A90" s="10">
        <f t="shared" si="1"/>
        <v>89</v>
      </c>
      <c r="B90" s="16" t="s">
        <v>19</v>
      </c>
      <c r="C90" s="13" t="str">
        <f>VLOOKUP(A90,store_products!A:E,5,FALSE)</f>
        <v>ラヴァーズ</v>
      </c>
      <c r="D90" s="14" t="s">
        <v>65</v>
      </c>
      <c r="E90" s="16" t="s">
        <v>70</v>
      </c>
    </row>
    <row r="91" spans="1:5" ht="21" customHeight="1" x14ac:dyDescent="0.15">
      <c r="A91" s="10">
        <f t="shared" si="1"/>
        <v>90</v>
      </c>
      <c r="B91" s="16" t="s">
        <v>19</v>
      </c>
      <c r="C91" s="13" t="str">
        <f>VLOOKUP(A91,store_products!A:E,5,FALSE)</f>
        <v>ストレングス</v>
      </c>
      <c r="D91" s="14" t="s">
        <v>65</v>
      </c>
      <c r="E91" s="16" t="s">
        <v>70</v>
      </c>
    </row>
    <row r="92" spans="1:5" ht="21" customHeight="1" x14ac:dyDescent="0.15">
      <c r="A92" s="10">
        <f t="shared" si="1"/>
        <v>91</v>
      </c>
      <c r="B92" s="16" t="s">
        <v>19</v>
      </c>
      <c r="C92" s="13" t="str">
        <f>VLOOKUP(A92,store_products!A:E,5,FALSE)</f>
        <v>炎のメタルジェントル</v>
      </c>
      <c r="D92" s="14" t="s">
        <v>65</v>
      </c>
      <c r="E92" s="16" t="s">
        <v>70</v>
      </c>
    </row>
    <row r="93" spans="1:5" ht="21" customHeight="1" x14ac:dyDescent="0.15">
      <c r="A93" s="10">
        <f t="shared" si="1"/>
        <v>92</v>
      </c>
      <c r="B93" s="16" t="s">
        <v>19</v>
      </c>
      <c r="C93" s="13" t="str">
        <f>VLOOKUP(A93,store_products!A:E,5,FALSE)</f>
        <v>森のメタルジェントル</v>
      </c>
      <c r="D93" s="14" t="s">
        <v>65</v>
      </c>
      <c r="E93" s="16" t="s">
        <v>70</v>
      </c>
    </row>
    <row r="94" spans="1:5" ht="21" customHeight="1" x14ac:dyDescent="0.15">
      <c r="A94" s="10">
        <f t="shared" si="1"/>
        <v>93</v>
      </c>
      <c r="B94" s="16" t="s">
        <v>19</v>
      </c>
      <c r="C94" s="13" t="str">
        <f>VLOOKUP(A94,store_products!A:E,5,FALSE)</f>
        <v>水のメタルジェントル</v>
      </c>
      <c r="D94" s="14" t="s">
        <v>65</v>
      </c>
      <c r="E94" s="16" t="s">
        <v>70</v>
      </c>
    </row>
    <row r="95" spans="1:5" ht="21" customHeight="1" x14ac:dyDescent="0.15">
      <c r="A95" s="10">
        <f t="shared" si="1"/>
        <v>94</v>
      </c>
      <c r="B95" s="16" t="s">
        <v>19</v>
      </c>
      <c r="C95" s="13" t="str">
        <f>VLOOKUP(A95,store_products!A:E,5,FALSE)</f>
        <v>雷のメタルジェントル</v>
      </c>
      <c r="D95" s="14" t="s">
        <v>65</v>
      </c>
      <c r="E95" s="16" t="s">
        <v>70</v>
      </c>
    </row>
    <row r="96" spans="1:5" ht="21" customHeight="1" x14ac:dyDescent="0.15">
      <c r="A96" s="10">
        <f t="shared" si="1"/>
        <v>95</v>
      </c>
      <c r="B96" s="16" t="s">
        <v>19</v>
      </c>
      <c r="C96" s="13" t="str">
        <f>VLOOKUP(A96,store_products!A:E,5,FALSE)</f>
        <v>ギガ攻めの果実</v>
      </c>
      <c r="D96" s="14" t="s">
        <v>65</v>
      </c>
      <c r="E96" s="16" t="s">
        <v>70</v>
      </c>
    </row>
    <row r="97" spans="1:5" ht="21" customHeight="1" x14ac:dyDescent="0.15">
      <c r="A97" s="10">
        <f t="shared" si="1"/>
        <v>96</v>
      </c>
      <c r="B97" s="16" t="s">
        <v>19</v>
      </c>
      <c r="C97" s="13" t="str">
        <f>VLOOKUP(A97,store_products!A:E,5,FALSE)</f>
        <v>ギガ生命の果実</v>
      </c>
      <c r="D97" s="14" t="s">
        <v>65</v>
      </c>
      <c r="E97" s="16" t="s">
        <v>70</v>
      </c>
    </row>
    <row r="98" spans="1:5" ht="21" customHeight="1" x14ac:dyDescent="0.15">
      <c r="A98" s="10">
        <f t="shared" si="1"/>
        <v>97</v>
      </c>
      <c r="B98" s="16" t="s">
        <v>19</v>
      </c>
      <c r="C98" s="13" t="str">
        <f>VLOOKUP(A98,store_products!A:E,5,FALSE)</f>
        <v>ギガ癒しの果実</v>
      </c>
      <c r="D98" s="14" t="s">
        <v>65</v>
      </c>
      <c r="E98" s="16" t="s">
        <v>70</v>
      </c>
    </row>
    <row r="99" spans="1:5" ht="21" customHeight="1" x14ac:dyDescent="0.15">
      <c r="A99" s="10">
        <f t="shared" si="1"/>
        <v>98</v>
      </c>
      <c r="B99" s="16" t="s">
        <v>19</v>
      </c>
      <c r="C99" s="13" t="str">
        <f>VLOOKUP(A99,store_products!A:E,5,FALSE)</f>
        <v>ギガ秘術の果実</v>
      </c>
      <c r="D99" s="14" t="s">
        <v>65</v>
      </c>
      <c r="E99" s="16" t="s">
        <v>70</v>
      </c>
    </row>
    <row r="100" spans="1:5" ht="21" customHeight="1" x14ac:dyDescent="0.15">
      <c r="A100" s="10">
        <f t="shared" si="1"/>
        <v>99</v>
      </c>
      <c r="B100" s="16" t="s">
        <v>19</v>
      </c>
      <c r="C100" s="13" t="str">
        <f>VLOOKUP(A100,store_products!A:E,5,FALSE)</f>
        <v>マスターキー</v>
      </c>
      <c r="D100" s="14" t="s">
        <v>65</v>
      </c>
      <c r="E100" s="16" t="s">
        <v>70</v>
      </c>
    </row>
    <row r="101" spans="1:5" ht="21" customHeight="1" x14ac:dyDescent="0.15">
      <c r="A101" s="10">
        <f t="shared" si="1"/>
        <v>100</v>
      </c>
      <c r="B101" s="16" t="s">
        <v>19</v>
      </c>
      <c r="C101" s="13" t="str">
        <f>VLOOKUP(A101,store_products!A:E,5,FALSE)</f>
        <v>リトルハンプティ</v>
      </c>
      <c r="D101" s="14" t="s">
        <v>65</v>
      </c>
      <c r="E101" s="16" t="s">
        <v>70</v>
      </c>
    </row>
    <row r="102" spans="1:5" ht="21" customHeight="1" x14ac:dyDescent="0.15">
      <c r="A102" s="10">
        <f t="shared" si="1"/>
        <v>101</v>
      </c>
      <c r="B102" s="16" t="s">
        <v>19</v>
      </c>
      <c r="C102" s="13" t="str">
        <f>VLOOKUP(A102,store_products!A:E,5,FALSE)</f>
        <v>トロイア</v>
      </c>
      <c r="D102" s="14" t="s">
        <v>65</v>
      </c>
      <c r="E102" s="16" t="s">
        <v>70</v>
      </c>
    </row>
    <row r="103" spans="1:5" ht="21" customHeight="1" x14ac:dyDescent="0.15">
      <c r="A103" s="10">
        <f t="shared" si="1"/>
        <v>102</v>
      </c>
      <c r="B103" s="16" t="s">
        <v>19</v>
      </c>
      <c r="C103" s="13" t="str">
        <f>VLOOKUP(A103,store_products!A:E,5,FALSE)</f>
        <v>メガラニカ</v>
      </c>
      <c r="D103" s="14" t="s">
        <v>65</v>
      </c>
      <c r="E103" s="16" t="s">
        <v>70</v>
      </c>
    </row>
    <row r="104" spans="1:5" ht="21" customHeight="1" x14ac:dyDescent="0.15">
      <c r="A104" s="10">
        <f t="shared" si="1"/>
        <v>103</v>
      </c>
      <c r="B104" s="16" t="s">
        <v>19</v>
      </c>
      <c r="C104" s="13" t="str">
        <f>VLOOKUP(A104,store_products!A:E,5,FALSE)</f>
        <v>レムリア</v>
      </c>
      <c r="D104" s="14" t="s">
        <v>65</v>
      </c>
      <c r="E104" s="16" t="s">
        <v>70</v>
      </c>
    </row>
    <row r="105" spans="1:5" ht="21" customHeight="1" x14ac:dyDescent="0.15">
      <c r="A105" s="10">
        <f t="shared" si="1"/>
        <v>104</v>
      </c>
      <c r="B105" s="16" t="s">
        <v>19</v>
      </c>
      <c r="C105" s="13" t="str">
        <f>VLOOKUP(A105,store_products!A:E,5,FALSE)</f>
        <v>ネセバル</v>
      </c>
      <c r="D105" s="14" t="s">
        <v>65</v>
      </c>
      <c r="E105" s="16" t="s">
        <v>70</v>
      </c>
    </row>
    <row r="106" spans="1:5" ht="21" customHeight="1" x14ac:dyDescent="0.15">
      <c r="A106" s="10">
        <f t="shared" si="1"/>
        <v>105</v>
      </c>
      <c r="B106" s="16" t="s">
        <v>19</v>
      </c>
      <c r="C106" s="13" t="str">
        <f>VLOOKUP(A106,store_products!A:E,5,FALSE)</f>
        <v>マジシャン</v>
      </c>
      <c r="D106" s="14" t="s">
        <v>65</v>
      </c>
      <c r="E106" s="16" t="s">
        <v>70</v>
      </c>
    </row>
    <row r="107" spans="1:5" ht="21" customHeight="1" x14ac:dyDescent="0.15">
      <c r="A107" s="10">
        <f t="shared" si="1"/>
        <v>106</v>
      </c>
      <c r="B107" s="16" t="s">
        <v>19</v>
      </c>
      <c r="C107" s="13" t="str">
        <f>VLOOKUP(A107,store_products!A:E,5,FALSE)</f>
        <v>チャリオット</v>
      </c>
      <c r="D107" s="14" t="s">
        <v>65</v>
      </c>
      <c r="E107" s="16" t="s">
        <v>70</v>
      </c>
    </row>
    <row r="108" spans="1:5" ht="21" customHeight="1" x14ac:dyDescent="0.15">
      <c r="A108" s="10">
        <f t="shared" si="1"/>
        <v>107</v>
      </c>
      <c r="B108" s="16" t="s">
        <v>19</v>
      </c>
      <c r="C108" s="13" t="str">
        <f>VLOOKUP(A108,store_products!A:E,5,FALSE)</f>
        <v>ラヴァーズ</v>
      </c>
      <c r="D108" s="14" t="s">
        <v>65</v>
      </c>
      <c r="E108" s="16" t="s">
        <v>70</v>
      </c>
    </row>
    <row r="109" spans="1:5" ht="21" customHeight="1" x14ac:dyDescent="0.15">
      <c r="A109" s="10">
        <f t="shared" si="1"/>
        <v>108</v>
      </c>
      <c r="B109" s="16" t="s">
        <v>19</v>
      </c>
      <c r="C109" s="13" t="str">
        <f>VLOOKUP(A109,store_products!A:E,5,FALSE)</f>
        <v>ストレングス</v>
      </c>
      <c r="D109" s="14" t="s">
        <v>65</v>
      </c>
      <c r="E109" s="16" t="s">
        <v>70</v>
      </c>
    </row>
    <row r="110" spans="1:5" ht="21" customHeight="1" x14ac:dyDescent="0.15">
      <c r="A110" s="10">
        <f t="shared" si="1"/>
        <v>109</v>
      </c>
      <c r="B110" s="16" t="s">
        <v>19</v>
      </c>
      <c r="C110" s="13" t="str">
        <f>VLOOKUP(A110,store_products!A:E,5,FALSE)</f>
        <v>レッドキャタップ</v>
      </c>
      <c r="D110" s="14" t="s">
        <v>65</v>
      </c>
      <c r="E110" s="16" t="s">
        <v>70</v>
      </c>
    </row>
    <row r="111" spans="1:5" ht="21" customHeight="1" x14ac:dyDescent="0.15">
      <c r="A111" s="10">
        <f t="shared" si="1"/>
        <v>110</v>
      </c>
      <c r="B111" s="16" t="s">
        <v>19</v>
      </c>
      <c r="C111" s="13" t="str">
        <f>VLOOKUP(A111,store_products!A:E,5,FALSE)</f>
        <v>炎のマッドハッター</v>
      </c>
      <c r="D111" s="14" t="s">
        <v>65</v>
      </c>
      <c r="E111" s="16" t="s">
        <v>70</v>
      </c>
    </row>
    <row r="112" spans="1:5" ht="21" customHeight="1" x14ac:dyDescent="0.15">
      <c r="A112" s="10">
        <f t="shared" si="1"/>
        <v>111</v>
      </c>
      <c r="B112" s="16" t="s">
        <v>19</v>
      </c>
      <c r="C112" s="13" t="str">
        <f>VLOOKUP(A112,store_products!A:E,5,FALSE)</f>
        <v>グリーンキャタップ</v>
      </c>
      <c r="D112" s="14" t="s">
        <v>65</v>
      </c>
      <c r="E112" s="16" t="s">
        <v>70</v>
      </c>
    </row>
    <row r="113" spans="1:5" ht="21" customHeight="1" x14ac:dyDescent="0.15">
      <c r="A113" s="10">
        <f t="shared" si="1"/>
        <v>112</v>
      </c>
      <c r="B113" s="16" t="s">
        <v>19</v>
      </c>
      <c r="C113" s="13" t="str">
        <f>VLOOKUP(A113,store_products!A:E,5,FALSE)</f>
        <v>森のマッドハッター</v>
      </c>
      <c r="D113" s="14" t="s">
        <v>65</v>
      </c>
      <c r="E113" s="16" t="s">
        <v>70</v>
      </c>
    </row>
    <row r="114" spans="1:5" ht="21" customHeight="1" x14ac:dyDescent="0.15">
      <c r="A114" s="10">
        <f t="shared" si="1"/>
        <v>113</v>
      </c>
      <c r="B114" s="16" t="s">
        <v>19</v>
      </c>
      <c r="C114" s="13" t="str">
        <f>VLOOKUP(A114,store_products!A:E,5,FALSE)</f>
        <v>ブルーキャタップ</v>
      </c>
      <c r="D114" s="14" t="s">
        <v>65</v>
      </c>
      <c r="E114" s="16" t="s">
        <v>70</v>
      </c>
    </row>
    <row r="115" spans="1:5" ht="21" customHeight="1" x14ac:dyDescent="0.15">
      <c r="A115" s="10">
        <f t="shared" si="1"/>
        <v>114</v>
      </c>
      <c r="B115" s="16" t="s">
        <v>19</v>
      </c>
      <c r="C115" s="13" t="str">
        <f>VLOOKUP(A115,store_products!A:E,5,FALSE)</f>
        <v>水のマッドハッター</v>
      </c>
      <c r="D115" s="14" t="s">
        <v>65</v>
      </c>
      <c r="E115" s="16" t="s">
        <v>70</v>
      </c>
    </row>
    <row r="116" spans="1:5" ht="21" customHeight="1" x14ac:dyDescent="0.15">
      <c r="A116" s="10">
        <f t="shared" si="1"/>
        <v>115</v>
      </c>
      <c r="B116" s="16" t="s">
        <v>19</v>
      </c>
      <c r="C116" s="13" t="str">
        <f>VLOOKUP(A116,store_products!A:E,5,FALSE)</f>
        <v>イエローキャタップ</v>
      </c>
      <c r="D116" s="14" t="s">
        <v>65</v>
      </c>
      <c r="E116" s="16" t="s">
        <v>70</v>
      </c>
    </row>
    <row r="117" spans="1:5" ht="21" customHeight="1" x14ac:dyDescent="0.15">
      <c r="A117" s="10">
        <f t="shared" si="1"/>
        <v>116</v>
      </c>
      <c r="B117" s="16" t="s">
        <v>19</v>
      </c>
      <c r="C117" s="13" t="str">
        <f>VLOOKUP(A117,store_products!A:E,5,FALSE)</f>
        <v>雷のマッドハッター</v>
      </c>
      <c r="D117" s="14" t="s">
        <v>65</v>
      </c>
      <c r="E117" s="16" t="s">
        <v>70</v>
      </c>
    </row>
    <row r="118" spans="1:5" ht="21" customHeight="1" x14ac:dyDescent="0.15">
      <c r="A118" s="10">
        <f t="shared" si="1"/>
        <v>117</v>
      </c>
      <c r="B118" s="16" t="s">
        <v>19</v>
      </c>
      <c r="C118" s="13" t="str">
        <f>VLOOKUP(A118,store_products!A:E,5,FALSE)</f>
        <v>炎のメタルジェントル</v>
      </c>
      <c r="D118" s="14" t="s">
        <v>65</v>
      </c>
      <c r="E118" s="16" t="s">
        <v>70</v>
      </c>
    </row>
    <row r="119" spans="1:5" ht="21" customHeight="1" x14ac:dyDescent="0.15">
      <c r="A119" s="10">
        <f t="shared" si="1"/>
        <v>118</v>
      </c>
      <c r="B119" s="16" t="s">
        <v>19</v>
      </c>
      <c r="C119" s="13" t="str">
        <f>VLOOKUP(A119,store_products!A:E,5,FALSE)</f>
        <v>森のメタルジェントル</v>
      </c>
      <c r="D119" s="14" t="s">
        <v>65</v>
      </c>
      <c r="E119" s="16" t="s">
        <v>70</v>
      </c>
    </row>
    <row r="120" spans="1:5" ht="21" customHeight="1" x14ac:dyDescent="0.15">
      <c r="A120" s="10">
        <f t="shared" si="1"/>
        <v>119</v>
      </c>
      <c r="B120" s="16" t="s">
        <v>19</v>
      </c>
      <c r="C120" s="13" t="str">
        <f>VLOOKUP(A120,store_products!A:E,5,FALSE)</f>
        <v>水のメタルジェントル</v>
      </c>
      <c r="D120" s="14" t="s">
        <v>65</v>
      </c>
      <c r="E120" s="16" t="s">
        <v>70</v>
      </c>
    </row>
    <row r="121" spans="1:5" ht="21" customHeight="1" x14ac:dyDescent="0.15">
      <c r="A121" s="10">
        <f t="shared" si="1"/>
        <v>120</v>
      </c>
      <c r="B121" s="16" t="s">
        <v>19</v>
      </c>
      <c r="C121" s="13" t="str">
        <f>VLOOKUP(A121,store_products!A:E,5,FALSE)</f>
        <v>雷のメタルジェントル</v>
      </c>
      <c r="D121" s="14" t="s">
        <v>65</v>
      </c>
      <c r="E121" s="16" t="s">
        <v>70</v>
      </c>
    </row>
    <row r="122" spans="1:5" ht="21" customHeight="1" x14ac:dyDescent="0.15">
      <c r="A122" s="10">
        <f t="shared" si="1"/>
        <v>121</v>
      </c>
      <c r="B122" s="16" t="s">
        <v>19</v>
      </c>
      <c r="C122" s="13" t="str">
        <f>VLOOKUP(A122,store_products!A:E,5,FALSE)</f>
        <v>ギガ攻めの果実</v>
      </c>
      <c r="D122" s="14" t="s">
        <v>65</v>
      </c>
      <c r="E122" s="16" t="s">
        <v>70</v>
      </c>
    </row>
    <row r="123" spans="1:5" ht="21" customHeight="1" x14ac:dyDescent="0.15">
      <c r="A123" s="10">
        <f t="shared" si="1"/>
        <v>122</v>
      </c>
      <c r="B123" s="16" t="s">
        <v>19</v>
      </c>
      <c r="C123" s="13" t="str">
        <f>VLOOKUP(A123,store_products!A:E,5,FALSE)</f>
        <v>ギガ生命の果実</v>
      </c>
      <c r="D123" s="14" t="s">
        <v>65</v>
      </c>
      <c r="E123" s="16" t="s">
        <v>70</v>
      </c>
    </row>
    <row r="124" spans="1:5" ht="21" customHeight="1" x14ac:dyDescent="0.15">
      <c r="A124" s="10">
        <f t="shared" si="1"/>
        <v>123</v>
      </c>
      <c r="B124" s="16" t="s">
        <v>19</v>
      </c>
      <c r="C124" s="13" t="str">
        <f>VLOOKUP(A124,store_products!A:E,5,FALSE)</f>
        <v>ギガ癒しの果実</v>
      </c>
      <c r="D124" s="14" t="s">
        <v>65</v>
      </c>
      <c r="E124" s="16" t="s">
        <v>70</v>
      </c>
    </row>
    <row r="125" spans="1:5" ht="21" customHeight="1" x14ac:dyDescent="0.15">
      <c r="A125" s="10">
        <f t="shared" si="1"/>
        <v>124</v>
      </c>
      <c r="B125" s="16" t="s">
        <v>19</v>
      </c>
      <c r="C125" s="13" t="str">
        <f>VLOOKUP(A125,store_products!A:E,5,FALSE)</f>
        <v>ギガ秘術の果実</v>
      </c>
      <c r="D125" s="14" t="s">
        <v>65</v>
      </c>
      <c r="E125" s="16" t="s">
        <v>70</v>
      </c>
    </row>
    <row r="126" spans="1:5" ht="21" customHeight="1" x14ac:dyDescent="0.15">
      <c r="A126" s="10">
        <f t="shared" si="1"/>
        <v>125</v>
      </c>
      <c r="B126" s="16" t="s">
        <v>19</v>
      </c>
      <c r="C126" s="13" t="str">
        <f>VLOOKUP(A126,store_products!A:E,5,FALSE)</f>
        <v>マスターキー</v>
      </c>
      <c r="D126" s="14" t="s">
        <v>65</v>
      </c>
      <c r="E126" s="16" t="s">
        <v>70</v>
      </c>
    </row>
    <row r="127" spans="1:5" ht="21" customHeight="1" x14ac:dyDescent="0.15">
      <c r="A127" s="10">
        <f t="shared" si="1"/>
        <v>126</v>
      </c>
      <c r="B127" s="16" t="s">
        <v>19</v>
      </c>
      <c r="C127" s="13" t="str">
        <f>VLOOKUP(A127,store_products!A:E,5,FALSE)</f>
        <v>リトルハンプティ</v>
      </c>
      <c r="D127" s="14" t="s">
        <v>65</v>
      </c>
      <c r="E127" s="16" t="s">
        <v>70</v>
      </c>
    </row>
    <row r="128" spans="1:5" ht="21" customHeight="1" x14ac:dyDescent="0.15">
      <c r="A128" s="10">
        <f t="shared" si="1"/>
        <v>127</v>
      </c>
      <c r="B128" s="16" t="s">
        <v>19</v>
      </c>
      <c r="C128" s="13" t="str">
        <f>VLOOKUP(A128,store_products!A:E,5,FALSE)</f>
        <v>トロイア</v>
      </c>
      <c r="D128" s="14" t="s">
        <v>65</v>
      </c>
      <c r="E128" s="16" t="s">
        <v>70</v>
      </c>
    </row>
    <row r="129" spans="1:5" ht="21" customHeight="1" x14ac:dyDescent="0.15">
      <c r="A129" s="10">
        <f t="shared" si="1"/>
        <v>128</v>
      </c>
      <c r="B129" s="16" t="s">
        <v>19</v>
      </c>
      <c r="C129" s="13" t="str">
        <f>VLOOKUP(A129,store_products!A:E,5,FALSE)</f>
        <v>メガラニカ</v>
      </c>
      <c r="D129" s="14" t="s">
        <v>65</v>
      </c>
      <c r="E129" s="16" t="s">
        <v>70</v>
      </c>
    </row>
    <row r="130" spans="1:5" ht="21" customHeight="1" x14ac:dyDescent="0.15">
      <c r="A130" s="10">
        <f t="shared" si="1"/>
        <v>129</v>
      </c>
      <c r="B130" s="16" t="s">
        <v>19</v>
      </c>
      <c r="C130" s="13" t="str">
        <f>VLOOKUP(A130,store_products!A:E,5,FALSE)</f>
        <v>レムリア</v>
      </c>
      <c r="D130" s="14" t="s">
        <v>65</v>
      </c>
      <c r="E130" s="16" t="s">
        <v>70</v>
      </c>
    </row>
    <row r="131" spans="1:5" ht="21" customHeight="1" x14ac:dyDescent="0.15">
      <c r="A131" s="10">
        <f t="shared" si="1"/>
        <v>130</v>
      </c>
      <c r="B131" s="16" t="s">
        <v>19</v>
      </c>
      <c r="C131" s="13" t="str">
        <f>VLOOKUP(A131,store_products!A:E,5,FALSE)</f>
        <v>ネセバル</v>
      </c>
      <c r="D131" s="14" t="s">
        <v>65</v>
      </c>
      <c r="E131" s="16" t="s">
        <v>70</v>
      </c>
    </row>
    <row r="132" spans="1:5" ht="21" customHeight="1" x14ac:dyDescent="0.15">
      <c r="A132" s="10">
        <f t="shared" si="1"/>
        <v>131</v>
      </c>
      <c r="B132" s="16" t="s">
        <v>19</v>
      </c>
      <c r="C132" s="13" t="str">
        <f>VLOOKUP(A132,store_products!A:E,5,FALSE)</f>
        <v>マジシャン</v>
      </c>
      <c r="D132" s="14" t="s">
        <v>65</v>
      </c>
      <c r="E132" s="16" t="s">
        <v>70</v>
      </c>
    </row>
    <row r="133" spans="1:5" ht="21" customHeight="1" x14ac:dyDescent="0.15">
      <c r="A133" s="10">
        <f t="shared" si="1"/>
        <v>132</v>
      </c>
      <c r="B133" s="16" t="s">
        <v>19</v>
      </c>
      <c r="C133" s="13" t="str">
        <f>VLOOKUP(A133,store_products!A:E,5,FALSE)</f>
        <v>チャリオット</v>
      </c>
      <c r="D133" s="14" t="s">
        <v>65</v>
      </c>
      <c r="E133" s="16" t="s">
        <v>70</v>
      </c>
    </row>
    <row r="134" spans="1:5" ht="21" customHeight="1" x14ac:dyDescent="0.15">
      <c r="A134" s="10">
        <f t="shared" si="1"/>
        <v>133</v>
      </c>
      <c r="B134" s="16" t="s">
        <v>19</v>
      </c>
      <c r="C134" s="13" t="str">
        <f>VLOOKUP(A134,store_products!A:E,5,FALSE)</f>
        <v>ラヴァーズ</v>
      </c>
      <c r="D134" s="14" t="s">
        <v>65</v>
      </c>
      <c r="E134" s="16" t="s">
        <v>70</v>
      </c>
    </row>
    <row r="135" spans="1:5" ht="21" customHeight="1" x14ac:dyDescent="0.15">
      <c r="A135" s="10">
        <f t="shared" si="1"/>
        <v>134</v>
      </c>
      <c r="B135" s="16" t="s">
        <v>19</v>
      </c>
      <c r="C135" s="13" t="str">
        <f>VLOOKUP(A135,store_products!A:E,5,FALSE)</f>
        <v>ストレングス</v>
      </c>
      <c r="D135" s="14" t="s">
        <v>65</v>
      </c>
      <c r="E135" s="16" t="s">
        <v>70</v>
      </c>
    </row>
    <row r="136" spans="1:5" ht="21" customHeight="1" x14ac:dyDescent="0.15">
      <c r="A136" s="10">
        <f t="shared" si="1"/>
        <v>135</v>
      </c>
      <c r="B136" s="16" t="s">
        <v>19</v>
      </c>
      <c r="C136" s="13" t="str">
        <f>VLOOKUP(A136,store_products!A:E,5,FALSE)</f>
        <v>レッドキャタップ</v>
      </c>
      <c r="D136" s="14" t="s">
        <v>65</v>
      </c>
      <c r="E136" s="16" t="s">
        <v>70</v>
      </c>
    </row>
    <row r="137" spans="1:5" ht="21" customHeight="1" x14ac:dyDescent="0.15">
      <c r="A137" s="10">
        <f t="shared" si="1"/>
        <v>136</v>
      </c>
      <c r="B137" s="16" t="s">
        <v>19</v>
      </c>
      <c r="C137" s="13" t="str">
        <f>VLOOKUP(A137,store_products!A:E,5,FALSE)</f>
        <v>炎のマッドハッター</v>
      </c>
      <c r="D137" s="14" t="s">
        <v>65</v>
      </c>
      <c r="E137" s="16" t="s">
        <v>70</v>
      </c>
    </row>
    <row r="138" spans="1:5" ht="21" customHeight="1" x14ac:dyDescent="0.15">
      <c r="A138" s="10">
        <f t="shared" si="1"/>
        <v>137</v>
      </c>
      <c r="B138" s="16" t="s">
        <v>19</v>
      </c>
      <c r="C138" s="13" t="str">
        <f>VLOOKUP(A138,store_products!A:E,5,FALSE)</f>
        <v>グリーンキャタップ</v>
      </c>
      <c r="D138" s="14" t="s">
        <v>65</v>
      </c>
      <c r="E138" s="16" t="s">
        <v>70</v>
      </c>
    </row>
    <row r="139" spans="1:5" ht="21" customHeight="1" x14ac:dyDescent="0.15">
      <c r="A139" s="10">
        <f t="shared" si="1"/>
        <v>138</v>
      </c>
      <c r="B139" s="16" t="s">
        <v>19</v>
      </c>
      <c r="C139" s="13" t="str">
        <f>VLOOKUP(A139,store_products!A:E,5,FALSE)</f>
        <v>森のマッドハッター</v>
      </c>
      <c r="D139" s="14" t="s">
        <v>65</v>
      </c>
      <c r="E139" s="16" t="s">
        <v>70</v>
      </c>
    </row>
    <row r="140" spans="1:5" ht="21" customHeight="1" x14ac:dyDescent="0.15">
      <c r="A140" s="10">
        <f t="shared" si="1"/>
        <v>139</v>
      </c>
      <c r="B140" s="16" t="s">
        <v>19</v>
      </c>
      <c r="C140" s="13" t="str">
        <f>VLOOKUP(A140,store_products!A:E,5,FALSE)</f>
        <v>ブルーキャタップ</v>
      </c>
      <c r="D140" s="14" t="s">
        <v>65</v>
      </c>
      <c r="E140" s="16" t="s">
        <v>70</v>
      </c>
    </row>
    <row r="141" spans="1:5" ht="21" customHeight="1" x14ac:dyDescent="0.15">
      <c r="A141" s="10">
        <f t="shared" si="1"/>
        <v>140</v>
      </c>
      <c r="B141" s="16" t="s">
        <v>19</v>
      </c>
      <c r="C141" s="13" t="str">
        <f>VLOOKUP(A141,store_products!A:E,5,FALSE)</f>
        <v>水のマッドハッター</v>
      </c>
      <c r="D141" s="14" t="s">
        <v>65</v>
      </c>
      <c r="E141" s="16" t="s">
        <v>70</v>
      </c>
    </row>
    <row r="142" spans="1:5" ht="21" customHeight="1" x14ac:dyDescent="0.15">
      <c r="A142" s="10">
        <f t="shared" si="1"/>
        <v>141</v>
      </c>
      <c r="B142" s="16" t="s">
        <v>19</v>
      </c>
      <c r="C142" s="13" t="str">
        <f>VLOOKUP(A142,store_products!A:E,5,FALSE)</f>
        <v>イエローキャタップ</v>
      </c>
      <c r="D142" s="14" t="s">
        <v>65</v>
      </c>
      <c r="E142" s="16" t="s">
        <v>70</v>
      </c>
    </row>
    <row r="143" spans="1:5" ht="21" customHeight="1" x14ac:dyDescent="0.15">
      <c r="A143" s="10">
        <f t="shared" ref="A143:A206" si="2">ROW()-1</f>
        <v>142</v>
      </c>
      <c r="B143" s="16" t="s">
        <v>19</v>
      </c>
      <c r="C143" s="13" t="str">
        <f>VLOOKUP(A143,store_products!A:E,5,FALSE)</f>
        <v>雷のマッドハッター</v>
      </c>
      <c r="D143" s="14" t="s">
        <v>65</v>
      </c>
      <c r="E143" s="16" t="s">
        <v>70</v>
      </c>
    </row>
    <row r="144" spans="1:5" ht="21" customHeight="1" x14ac:dyDescent="0.15">
      <c r="A144" s="10">
        <f t="shared" si="2"/>
        <v>143</v>
      </c>
      <c r="B144" s="16" t="s">
        <v>19</v>
      </c>
      <c r="C144" s="13" t="str">
        <f>VLOOKUP(A144,store_products!A:E,5,FALSE)</f>
        <v>炎のメタルジェントル</v>
      </c>
      <c r="D144" s="14" t="s">
        <v>65</v>
      </c>
      <c r="E144" s="16" t="s">
        <v>70</v>
      </c>
    </row>
    <row r="145" spans="1:5" ht="21" customHeight="1" x14ac:dyDescent="0.15">
      <c r="A145" s="10">
        <f t="shared" si="2"/>
        <v>144</v>
      </c>
      <c r="B145" s="16" t="s">
        <v>19</v>
      </c>
      <c r="C145" s="13" t="str">
        <f>VLOOKUP(A145,store_products!A:E,5,FALSE)</f>
        <v>森のメタルジェントル</v>
      </c>
      <c r="D145" s="14" t="s">
        <v>65</v>
      </c>
      <c r="E145" s="16" t="s">
        <v>70</v>
      </c>
    </row>
    <row r="146" spans="1:5" ht="21" customHeight="1" x14ac:dyDescent="0.15">
      <c r="A146" s="10">
        <f t="shared" si="2"/>
        <v>145</v>
      </c>
      <c r="B146" s="16" t="s">
        <v>19</v>
      </c>
      <c r="C146" s="13" t="str">
        <f>VLOOKUP(A146,store_products!A:E,5,FALSE)</f>
        <v>水のメタルジェントル</v>
      </c>
      <c r="D146" s="14" t="s">
        <v>65</v>
      </c>
      <c r="E146" s="16" t="s">
        <v>70</v>
      </c>
    </row>
    <row r="147" spans="1:5" ht="21" customHeight="1" x14ac:dyDescent="0.15">
      <c r="A147" s="10">
        <f t="shared" si="2"/>
        <v>146</v>
      </c>
      <c r="B147" s="16" t="s">
        <v>19</v>
      </c>
      <c r="C147" s="13" t="str">
        <f>VLOOKUP(A147,store_products!A:E,5,FALSE)</f>
        <v>雷のメタルジェントル</v>
      </c>
      <c r="D147" s="14" t="s">
        <v>65</v>
      </c>
      <c r="E147" s="16" t="s">
        <v>70</v>
      </c>
    </row>
    <row r="148" spans="1:5" ht="21" customHeight="1" x14ac:dyDescent="0.15">
      <c r="A148" s="10">
        <f t="shared" si="2"/>
        <v>147</v>
      </c>
      <c r="B148" s="16" t="s">
        <v>19</v>
      </c>
      <c r="C148" s="13" t="str">
        <f>VLOOKUP(A148,store_products!A:E,5,FALSE)</f>
        <v>ギガ攻めの果実</v>
      </c>
      <c r="D148" s="14" t="s">
        <v>65</v>
      </c>
      <c r="E148" s="16" t="s">
        <v>70</v>
      </c>
    </row>
    <row r="149" spans="1:5" ht="21" customHeight="1" x14ac:dyDescent="0.15">
      <c r="A149" s="10">
        <f t="shared" si="2"/>
        <v>148</v>
      </c>
      <c r="B149" s="16" t="s">
        <v>19</v>
      </c>
      <c r="C149" s="13" t="str">
        <f>VLOOKUP(A149,store_products!A:E,5,FALSE)</f>
        <v>ギガ生命の果実</v>
      </c>
      <c r="D149" s="14" t="s">
        <v>65</v>
      </c>
      <c r="E149" s="16" t="s">
        <v>70</v>
      </c>
    </row>
    <row r="150" spans="1:5" ht="21" customHeight="1" x14ac:dyDescent="0.15">
      <c r="A150" s="10">
        <f t="shared" si="2"/>
        <v>149</v>
      </c>
      <c r="B150" s="16" t="s">
        <v>19</v>
      </c>
      <c r="C150" s="13" t="str">
        <f>VLOOKUP(A150,store_products!A:E,5,FALSE)</f>
        <v>ギガ癒しの果実</v>
      </c>
      <c r="D150" s="14" t="s">
        <v>65</v>
      </c>
      <c r="E150" s="16" t="s">
        <v>70</v>
      </c>
    </row>
    <row r="151" spans="1:5" ht="21" customHeight="1" x14ac:dyDescent="0.15">
      <c r="A151" s="10">
        <f t="shared" si="2"/>
        <v>150</v>
      </c>
      <c r="B151" s="16" t="s">
        <v>19</v>
      </c>
      <c r="C151" s="13" t="str">
        <f>VLOOKUP(A151,store_products!A:E,5,FALSE)</f>
        <v>ギガ秘術の果実</v>
      </c>
      <c r="D151" s="14" t="s">
        <v>65</v>
      </c>
      <c r="E151" s="16" t="s">
        <v>70</v>
      </c>
    </row>
    <row r="152" spans="1:5" ht="21" customHeight="1" x14ac:dyDescent="0.15">
      <c r="A152" s="10">
        <f t="shared" si="2"/>
        <v>151</v>
      </c>
      <c r="B152" s="16" t="s">
        <v>19</v>
      </c>
      <c r="C152" s="13" t="str">
        <f>VLOOKUP(A152,store_products!A:E,5,FALSE)</f>
        <v>マスターキー</v>
      </c>
      <c r="D152" s="14" t="s">
        <v>65</v>
      </c>
      <c r="E152" s="16" t="s">
        <v>70</v>
      </c>
    </row>
    <row r="153" spans="1:5" ht="21" customHeight="1" x14ac:dyDescent="0.15">
      <c r="A153" s="10">
        <f t="shared" si="2"/>
        <v>152</v>
      </c>
      <c r="B153" s="16" t="s">
        <v>19</v>
      </c>
      <c r="C153" s="13" t="str">
        <f>VLOOKUP(A153,store_products!A:E,5,FALSE)</f>
        <v>リトルハンプティ</v>
      </c>
      <c r="D153" s="14" t="s">
        <v>65</v>
      </c>
      <c r="E153" s="16" t="s">
        <v>70</v>
      </c>
    </row>
    <row r="154" spans="1:5" ht="21" customHeight="1" x14ac:dyDescent="0.15">
      <c r="A154" s="10">
        <f t="shared" si="2"/>
        <v>153</v>
      </c>
      <c r="B154" s="16" t="s">
        <v>19</v>
      </c>
      <c r="C154" s="13" t="str">
        <f>VLOOKUP(A154,store_products!A:E,5,FALSE)</f>
        <v>トロイア</v>
      </c>
      <c r="D154" s="14" t="s">
        <v>65</v>
      </c>
      <c r="E154" s="16" t="s">
        <v>70</v>
      </c>
    </row>
    <row r="155" spans="1:5" s="19" customFormat="1" ht="21" customHeight="1" x14ac:dyDescent="0.15">
      <c r="A155" s="10">
        <f t="shared" si="2"/>
        <v>154</v>
      </c>
      <c r="B155" s="16" t="s">
        <v>19</v>
      </c>
      <c r="C155" s="13" t="str">
        <f>VLOOKUP(A155,store_products!A:E,5,FALSE)</f>
        <v>メガラニカ</v>
      </c>
      <c r="D155" s="14" t="s">
        <v>65</v>
      </c>
      <c r="E155" s="16" t="s">
        <v>70</v>
      </c>
    </row>
    <row r="156" spans="1:5" ht="21" customHeight="1" x14ac:dyDescent="0.15">
      <c r="A156" s="10">
        <f t="shared" si="2"/>
        <v>155</v>
      </c>
      <c r="B156" s="16" t="s">
        <v>19</v>
      </c>
      <c r="C156" s="13" t="str">
        <f>VLOOKUP(A156,store_products!A:E,5,FALSE)</f>
        <v>レムリア</v>
      </c>
      <c r="D156" s="14" t="s">
        <v>65</v>
      </c>
      <c r="E156" s="16" t="s">
        <v>70</v>
      </c>
    </row>
    <row r="157" spans="1:5" ht="21" customHeight="1" x14ac:dyDescent="0.15">
      <c r="A157" s="10">
        <f t="shared" si="2"/>
        <v>156</v>
      </c>
      <c r="B157" s="16" t="s">
        <v>19</v>
      </c>
      <c r="C157" s="13" t="str">
        <f>VLOOKUP(A157,store_products!A:E,5,FALSE)</f>
        <v>ネセバル</v>
      </c>
      <c r="D157" s="14" t="s">
        <v>65</v>
      </c>
      <c r="E157" s="16" t="s">
        <v>70</v>
      </c>
    </row>
    <row r="158" spans="1:5" ht="21" customHeight="1" x14ac:dyDescent="0.15">
      <c r="A158" s="10">
        <f t="shared" si="2"/>
        <v>157</v>
      </c>
      <c r="B158" s="16" t="s">
        <v>19</v>
      </c>
      <c r="C158" s="13" t="str">
        <f>VLOOKUP(A158,store_products!A:E,5,FALSE)</f>
        <v>マジシャン</v>
      </c>
      <c r="D158" s="14" t="s">
        <v>65</v>
      </c>
      <c r="E158" s="16" t="s">
        <v>65</v>
      </c>
    </row>
    <row r="159" spans="1:5" ht="21" customHeight="1" x14ac:dyDescent="0.15">
      <c r="A159" s="10">
        <f t="shared" si="2"/>
        <v>158</v>
      </c>
      <c r="B159" s="16" t="s">
        <v>19</v>
      </c>
      <c r="C159" s="13" t="str">
        <f>VLOOKUP(A159,store_products!A:E,5,FALSE)</f>
        <v>チャリオット</v>
      </c>
      <c r="D159" s="14" t="s">
        <v>65</v>
      </c>
      <c r="E159" s="16" t="s">
        <v>65</v>
      </c>
    </row>
    <row r="160" spans="1:5" ht="21" customHeight="1" x14ac:dyDescent="0.15">
      <c r="A160" s="10">
        <f t="shared" si="2"/>
        <v>159</v>
      </c>
      <c r="B160" s="16" t="s">
        <v>19</v>
      </c>
      <c r="C160" s="13" t="str">
        <f>VLOOKUP(A160,store_products!A:E,5,FALSE)</f>
        <v>ラヴァーズ</v>
      </c>
      <c r="D160" s="14" t="s">
        <v>65</v>
      </c>
      <c r="E160" s="16" t="s">
        <v>65</v>
      </c>
    </row>
    <row r="161" spans="1:5" ht="21" customHeight="1" x14ac:dyDescent="0.15">
      <c r="A161" s="10">
        <f t="shared" si="2"/>
        <v>160</v>
      </c>
      <c r="B161" s="16" t="s">
        <v>19</v>
      </c>
      <c r="C161" s="13" t="str">
        <f>VLOOKUP(A161,store_products!A:E,5,FALSE)</f>
        <v>ストレングス</v>
      </c>
      <c r="D161" s="14" t="s">
        <v>65</v>
      </c>
      <c r="E161" s="16" t="s">
        <v>65</v>
      </c>
    </row>
    <row r="162" spans="1:5" ht="21" customHeight="1" x14ac:dyDescent="0.15">
      <c r="A162" s="10">
        <f t="shared" si="2"/>
        <v>161</v>
      </c>
      <c r="B162" s="16" t="s">
        <v>19</v>
      </c>
      <c r="C162" s="13" t="str">
        <f>VLOOKUP(A162,store_products!A:E,5,FALSE)</f>
        <v>レッドキャタップ</v>
      </c>
      <c r="D162" s="14" t="s">
        <v>65</v>
      </c>
      <c r="E162" s="16" t="s">
        <v>65</v>
      </c>
    </row>
    <row r="163" spans="1:5" ht="21" customHeight="1" x14ac:dyDescent="0.15">
      <c r="A163" s="10">
        <f t="shared" si="2"/>
        <v>162</v>
      </c>
      <c r="B163" s="16" t="s">
        <v>19</v>
      </c>
      <c r="C163" s="13" t="str">
        <f>VLOOKUP(A163,store_products!A:E,5,FALSE)</f>
        <v>炎のマッドハッター</v>
      </c>
      <c r="D163" s="14" t="s">
        <v>65</v>
      </c>
      <c r="E163" s="16" t="s">
        <v>65</v>
      </c>
    </row>
    <row r="164" spans="1:5" ht="21" customHeight="1" x14ac:dyDescent="0.15">
      <c r="A164" s="10">
        <f t="shared" si="2"/>
        <v>163</v>
      </c>
      <c r="B164" s="16" t="s">
        <v>19</v>
      </c>
      <c r="C164" s="13" t="str">
        <f>VLOOKUP(A164,store_products!A:E,5,FALSE)</f>
        <v>グリーンキャタップ</v>
      </c>
      <c r="D164" s="14" t="s">
        <v>65</v>
      </c>
      <c r="E164" s="16" t="s">
        <v>65</v>
      </c>
    </row>
    <row r="165" spans="1:5" ht="21" customHeight="1" x14ac:dyDescent="0.15">
      <c r="A165" s="10">
        <f t="shared" si="2"/>
        <v>164</v>
      </c>
      <c r="B165" s="16" t="s">
        <v>19</v>
      </c>
      <c r="C165" s="13" t="str">
        <f>VLOOKUP(A165,store_products!A:E,5,FALSE)</f>
        <v>森のマッドハッター</v>
      </c>
      <c r="D165" s="14" t="s">
        <v>65</v>
      </c>
      <c r="E165" s="16" t="s">
        <v>65</v>
      </c>
    </row>
    <row r="166" spans="1:5" ht="21" customHeight="1" x14ac:dyDescent="0.15">
      <c r="A166" s="10">
        <f t="shared" si="2"/>
        <v>165</v>
      </c>
      <c r="B166" s="16" t="s">
        <v>19</v>
      </c>
      <c r="C166" s="13" t="str">
        <f>VLOOKUP(A166,store_products!A:E,5,FALSE)</f>
        <v>ブルーキャタップ</v>
      </c>
      <c r="D166" s="14" t="s">
        <v>65</v>
      </c>
      <c r="E166" s="16" t="s">
        <v>65</v>
      </c>
    </row>
    <row r="167" spans="1:5" ht="21" customHeight="1" x14ac:dyDescent="0.15">
      <c r="A167" s="10">
        <f t="shared" si="2"/>
        <v>166</v>
      </c>
      <c r="B167" s="16" t="s">
        <v>19</v>
      </c>
      <c r="C167" s="13" t="str">
        <f>VLOOKUP(A167,store_products!A:E,5,FALSE)</f>
        <v>水のマッドハッター</v>
      </c>
      <c r="D167" s="14" t="s">
        <v>65</v>
      </c>
      <c r="E167" s="16" t="s">
        <v>65</v>
      </c>
    </row>
    <row r="168" spans="1:5" ht="21" customHeight="1" x14ac:dyDescent="0.15">
      <c r="A168" s="10">
        <f t="shared" si="2"/>
        <v>167</v>
      </c>
      <c r="B168" s="16" t="s">
        <v>19</v>
      </c>
      <c r="C168" s="13" t="str">
        <f>VLOOKUP(A168,store_products!A:E,5,FALSE)</f>
        <v>イエローキャタップ</v>
      </c>
      <c r="D168" s="14" t="s">
        <v>65</v>
      </c>
      <c r="E168" s="16" t="s">
        <v>65</v>
      </c>
    </row>
    <row r="169" spans="1:5" ht="21" customHeight="1" x14ac:dyDescent="0.15">
      <c r="A169" s="10">
        <f t="shared" si="2"/>
        <v>168</v>
      </c>
      <c r="B169" s="16" t="s">
        <v>19</v>
      </c>
      <c r="C169" s="13" t="str">
        <f>VLOOKUP(A169,store_products!A:E,5,FALSE)</f>
        <v>雷のマッドハッター</v>
      </c>
      <c r="D169" s="14" t="s">
        <v>65</v>
      </c>
      <c r="E169" s="16" t="s">
        <v>65</v>
      </c>
    </row>
    <row r="170" spans="1:5" ht="21" customHeight="1" x14ac:dyDescent="0.15">
      <c r="A170" s="10">
        <f t="shared" si="2"/>
        <v>169</v>
      </c>
      <c r="B170" s="16" t="s">
        <v>19</v>
      </c>
      <c r="C170" s="13" t="str">
        <f>VLOOKUP(A170,store_products!A:E,5,FALSE)</f>
        <v>炎のメタルジェントル</v>
      </c>
      <c r="D170" s="14" t="s">
        <v>65</v>
      </c>
      <c r="E170" s="16" t="s">
        <v>65</v>
      </c>
    </row>
    <row r="171" spans="1:5" ht="21" customHeight="1" x14ac:dyDescent="0.15">
      <c r="A171" s="10">
        <f t="shared" si="2"/>
        <v>170</v>
      </c>
      <c r="B171" s="16" t="s">
        <v>19</v>
      </c>
      <c r="C171" s="13" t="str">
        <f>VLOOKUP(A171,store_products!A:E,5,FALSE)</f>
        <v>森のメタルジェントル</v>
      </c>
      <c r="D171" s="14" t="s">
        <v>65</v>
      </c>
      <c r="E171" s="16" t="s">
        <v>65</v>
      </c>
    </row>
    <row r="172" spans="1:5" ht="21" customHeight="1" x14ac:dyDescent="0.15">
      <c r="A172" s="10">
        <f t="shared" si="2"/>
        <v>171</v>
      </c>
      <c r="B172" s="16" t="s">
        <v>19</v>
      </c>
      <c r="C172" s="13" t="str">
        <f>VLOOKUP(A172,store_products!A:E,5,FALSE)</f>
        <v>水のメタルジェントル</v>
      </c>
      <c r="D172" s="14" t="s">
        <v>65</v>
      </c>
      <c r="E172" s="16" t="s">
        <v>65</v>
      </c>
    </row>
    <row r="173" spans="1:5" ht="21" customHeight="1" x14ac:dyDescent="0.15">
      <c r="A173" s="10">
        <f t="shared" si="2"/>
        <v>172</v>
      </c>
      <c r="B173" s="16" t="s">
        <v>19</v>
      </c>
      <c r="C173" s="13" t="str">
        <f>VLOOKUP(A173,store_products!A:E,5,FALSE)</f>
        <v>雷のメタルジェントル</v>
      </c>
      <c r="D173" s="14" t="s">
        <v>65</v>
      </c>
      <c r="E173" s="16" t="s">
        <v>65</v>
      </c>
    </row>
    <row r="174" spans="1:5" ht="21" customHeight="1" x14ac:dyDescent="0.15">
      <c r="A174" s="10">
        <f t="shared" si="2"/>
        <v>173</v>
      </c>
      <c r="B174" s="16" t="s">
        <v>19</v>
      </c>
      <c r="C174" s="13" t="str">
        <f>VLOOKUP(A174,store_products!A:E,5,FALSE)</f>
        <v>ギガ攻めの果実</v>
      </c>
      <c r="D174" s="14" t="s">
        <v>65</v>
      </c>
      <c r="E174" s="16" t="s">
        <v>65</v>
      </c>
    </row>
    <row r="175" spans="1:5" ht="21" customHeight="1" x14ac:dyDescent="0.15">
      <c r="A175" s="10">
        <f t="shared" si="2"/>
        <v>174</v>
      </c>
      <c r="B175" s="16" t="s">
        <v>19</v>
      </c>
      <c r="C175" s="13" t="str">
        <f>VLOOKUP(A175,store_products!A:E,5,FALSE)</f>
        <v>ギガ生命の果実</v>
      </c>
      <c r="D175" s="14" t="s">
        <v>65</v>
      </c>
      <c r="E175" s="16" t="s">
        <v>65</v>
      </c>
    </row>
    <row r="176" spans="1:5" ht="21" customHeight="1" x14ac:dyDescent="0.15">
      <c r="A176" s="10">
        <f t="shared" si="2"/>
        <v>175</v>
      </c>
      <c r="B176" s="16" t="s">
        <v>19</v>
      </c>
      <c r="C176" s="13" t="str">
        <f>VLOOKUP(A176,store_products!A:E,5,FALSE)</f>
        <v>ギガ癒しの果実</v>
      </c>
      <c r="D176" s="14" t="s">
        <v>65</v>
      </c>
      <c r="E176" s="16" t="s">
        <v>65</v>
      </c>
    </row>
    <row r="177" spans="1:5" ht="21" customHeight="1" x14ac:dyDescent="0.15">
      <c r="A177" s="10">
        <f t="shared" si="2"/>
        <v>176</v>
      </c>
      <c r="B177" s="16" t="s">
        <v>19</v>
      </c>
      <c r="C177" s="13" t="str">
        <f>VLOOKUP(A177,store_products!A:E,5,FALSE)</f>
        <v>ギガ秘術の果実</v>
      </c>
      <c r="D177" s="14" t="s">
        <v>65</v>
      </c>
      <c r="E177" s="16" t="s">
        <v>65</v>
      </c>
    </row>
    <row r="178" spans="1:5" ht="21" customHeight="1" x14ac:dyDescent="0.15">
      <c r="A178" s="10">
        <f t="shared" si="2"/>
        <v>177</v>
      </c>
      <c r="B178" s="16" t="s">
        <v>19</v>
      </c>
      <c r="C178" s="13" t="str">
        <f>VLOOKUP(A178,store_products!A:E,5,FALSE)</f>
        <v>マスターキー</v>
      </c>
      <c r="D178" s="14" t="s">
        <v>65</v>
      </c>
      <c r="E178" s="16" t="s">
        <v>65</v>
      </c>
    </row>
    <row r="179" spans="1:5" ht="21" customHeight="1" x14ac:dyDescent="0.15">
      <c r="A179" s="10">
        <f t="shared" si="2"/>
        <v>178</v>
      </c>
      <c r="B179" s="16" t="s">
        <v>19</v>
      </c>
      <c r="C179" s="13" t="str">
        <f>VLOOKUP(A179,store_products!A:E,5,FALSE)</f>
        <v>リトルハンプティ</v>
      </c>
      <c r="D179" s="14" t="s">
        <v>65</v>
      </c>
      <c r="E179" s="16" t="s">
        <v>65</v>
      </c>
    </row>
    <row r="180" spans="1:5" ht="21" customHeight="1" x14ac:dyDescent="0.15">
      <c r="A180" s="10">
        <f t="shared" si="2"/>
        <v>179</v>
      </c>
      <c r="B180" s="16" t="s">
        <v>19</v>
      </c>
      <c r="C180" s="13" t="str">
        <f>VLOOKUP(A180,store_products!A:E,5,FALSE)</f>
        <v>トロイア</v>
      </c>
      <c r="D180" s="14" t="s">
        <v>65</v>
      </c>
      <c r="E180" s="16" t="s">
        <v>65</v>
      </c>
    </row>
    <row r="181" spans="1:5" ht="21" customHeight="1" x14ac:dyDescent="0.15">
      <c r="A181" s="10">
        <f t="shared" si="2"/>
        <v>180</v>
      </c>
      <c r="B181" s="16" t="s">
        <v>19</v>
      </c>
      <c r="C181" s="13" t="str">
        <f>VLOOKUP(A181,store_products!A:E,5,FALSE)</f>
        <v>メガラニカ</v>
      </c>
      <c r="D181" s="14" t="s">
        <v>65</v>
      </c>
      <c r="E181" s="16" t="s">
        <v>65</v>
      </c>
    </row>
    <row r="182" spans="1:5" ht="21" customHeight="1" x14ac:dyDescent="0.15">
      <c r="A182" s="10">
        <f t="shared" si="2"/>
        <v>181</v>
      </c>
      <c r="B182" s="16" t="s">
        <v>19</v>
      </c>
      <c r="C182" s="13" t="str">
        <f>VLOOKUP(A182,store_products!A:E,5,FALSE)</f>
        <v>レムリア</v>
      </c>
      <c r="D182" s="14" t="s">
        <v>65</v>
      </c>
      <c r="E182" s="16" t="s">
        <v>65</v>
      </c>
    </row>
    <row r="183" spans="1:5" ht="21" customHeight="1" x14ac:dyDescent="0.15">
      <c r="A183" s="10">
        <f t="shared" si="2"/>
        <v>182</v>
      </c>
      <c r="B183" s="16" t="s">
        <v>19</v>
      </c>
      <c r="C183" s="13" t="str">
        <f>VLOOKUP(A183,store_products!A:E,5,FALSE)</f>
        <v>ネセバル</v>
      </c>
      <c r="D183" s="14" t="s">
        <v>65</v>
      </c>
      <c r="E183" s="16" t="s">
        <v>65</v>
      </c>
    </row>
    <row r="184" spans="1:5" ht="21" customHeight="1" x14ac:dyDescent="0.15">
      <c r="A184" s="10">
        <f t="shared" si="2"/>
        <v>183</v>
      </c>
      <c r="B184" s="16" t="s">
        <v>19</v>
      </c>
      <c r="C184" s="13" t="str">
        <f>VLOOKUP(A184,store_products!A:E,5,FALSE)</f>
        <v>マジシャン</v>
      </c>
      <c r="D184" s="14" t="s">
        <v>65</v>
      </c>
      <c r="E184" s="16" t="s">
        <v>65</v>
      </c>
    </row>
    <row r="185" spans="1:5" ht="21" customHeight="1" x14ac:dyDescent="0.15">
      <c r="A185" s="10">
        <f t="shared" si="2"/>
        <v>184</v>
      </c>
      <c r="B185" s="16" t="s">
        <v>19</v>
      </c>
      <c r="C185" s="13" t="str">
        <f>VLOOKUP(A185,store_products!A:E,5,FALSE)</f>
        <v>チャリオット</v>
      </c>
      <c r="D185" s="14" t="s">
        <v>65</v>
      </c>
      <c r="E185" s="16" t="s">
        <v>65</v>
      </c>
    </row>
    <row r="186" spans="1:5" ht="21" customHeight="1" x14ac:dyDescent="0.15">
      <c r="A186" s="10">
        <f t="shared" si="2"/>
        <v>185</v>
      </c>
      <c r="B186" s="16" t="s">
        <v>19</v>
      </c>
      <c r="C186" s="13" t="str">
        <f>VLOOKUP(A186,store_products!A:E,5,FALSE)</f>
        <v>ラヴァーズ</v>
      </c>
      <c r="D186" s="14" t="s">
        <v>65</v>
      </c>
      <c r="E186" s="16" t="s">
        <v>65</v>
      </c>
    </row>
    <row r="187" spans="1:5" ht="21" customHeight="1" x14ac:dyDescent="0.15">
      <c r="A187" s="10">
        <f t="shared" si="2"/>
        <v>186</v>
      </c>
      <c r="B187" s="16" t="s">
        <v>19</v>
      </c>
      <c r="C187" s="13" t="str">
        <f>VLOOKUP(A187,store_products!A:E,5,FALSE)</f>
        <v>ストレングス</v>
      </c>
      <c r="D187" s="14" t="s">
        <v>65</v>
      </c>
      <c r="E187" s="16" t="s">
        <v>65</v>
      </c>
    </row>
    <row r="188" spans="1:5" ht="21" customHeight="1" x14ac:dyDescent="0.15">
      <c r="A188" s="10">
        <f t="shared" si="2"/>
        <v>187</v>
      </c>
      <c r="B188" s="16" t="s">
        <v>19</v>
      </c>
      <c r="C188" s="13" t="str">
        <f>VLOOKUP(A188,store_products!A:E,5,FALSE)</f>
        <v>レッドキャタップ</v>
      </c>
      <c r="D188" s="14" t="s">
        <v>65</v>
      </c>
      <c r="E188" s="16" t="s">
        <v>65</v>
      </c>
    </row>
    <row r="189" spans="1:5" ht="21" customHeight="1" x14ac:dyDescent="0.15">
      <c r="A189" s="10">
        <f t="shared" si="2"/>
        <v>188</v>
      </c>
      <c r="B189" s="16" t="s">
        <v>19</v>
      </c>
      <c r="C189" s="13" t="str">
        <f>VLOOKUP(A189,store_products!A:E,5,FALSE)</f>
        <v>炎のマッドハッター</v>
      </c>
      <c r="D189" s="14" t="s">
        <v>65</v>
      </c>
      <c r="E189" s="16" t="s">
        <v>65</v>
      </c>
    </row>
    <row r="190" spans="1:5" ht="21" customHeight="1" x14ac:dyDescent="0.15">
      <c r="A190" s="10">
        <f t="shared" si="2"/>
        <v>189</v>
      </c>
      <c r="B190" s="16" t="s">
        <v>19</v>
      </c>
      <c r="C190" s="13" t="str">
        <f>VLOOKUP(A190,store_products!A:E,5,FALSE)</f>
        <v>グリーンキャタップ</v>
      </c>
      <c r="D190" s="14" t="s">
        <v>65</v>
      </c>
      <c r="E190" s="16" t="s">
        <v>65</v>
      </c>
    </row>
    <row r="191" spans="1:5" ht="21" customHeight="1" x14ac:dyDescent="0.15">
      <c r="A191" s="10">
        <f t="shared" si="2"/>
        <v>190</v>
      </c>
      <c r="B191" s="16" t="s">
        <v>19</v>
      </c>
      <c r="C191" s="13" t="str">
        <f>VLOOKUP(A191,store_products!A:E,5,FALSE)</f>
        <v>森のマッドハッター</v>
      </c>
      <c r="D191" s="14" t="s">
        <v>65</v>
      </c>
      <c r="E191" s="16" t="s">
        <v>65</v>
      </c>
    </row>
    <row r="192" spans="1:5" ht="21" customHeight="1" x14ac:dyDescent="0.15">
      <c r="A192" s="10">
        <f t="shared" si="2"/>
        <v>191</v>
      </c>
      <c r="B192" s="16" t="s">
        <v>19</v>
      </c>
      <c r="C192" s="13" t="str">
        <f>VLOOKUP(A192,store_products!A:E,5,FALSE)</f>
        <v>ブルーキャタップ</v>
      </c>
      <c r="D192" s="14" t="s">
        <v>65</v>
      </c>
      <c r="E192" s="16" t="s">
        <v>65</v>
      </c>
    </row>
    <row r="193" spans="1:5" ht="21" customHeight="1" x14ac:dyDescent="0.15">
      <c r="A193" s="10">
        <f t="shared" si="2"/>
        <v>192</v>
      </c>
      <c r="B193" s="16" t="s">
        <v>19</v>
      </c>
      <c r="C193" s="13" t="str">
        <f>VLOOKUP(A193,store_products!A:E,5,FALSE)</f>
        <v>水のマッドハッター</v>
      </c>
      <c r="D193" s="14" t="s">
        <v>65</v>
      </c>
      <c r="E193" s="16" t="s">
        <v>65</v>
      </c>
    </row>
    <row r="194" spans="1:5" ht="21" customHeight="1" x14ac:dyDescent="0.15">
      <c r="A194" s="10">
        <f t="shared" si="2"/>
        <v>193</v>
      </c>
      <c r="B194" s="16" t="s">
        <v>19</v>
      </c>
      <c r="C194" s="13" t="str">
        <f>VLOOKUP(A194,store_products!A:E,5,FALSE)</f>
        <v>イエローキャタップ</v>
      </c>
      <c r="D194" s="14" t="s">
        <v>65</v>
      </c>
      <c r="E194" s="16" t="s">
        <v>65</v>
      </c>
    </row>
    <row r="195" spans="1:5" ht="21" customHeight="1" x14ac:dyDescent="0.15">
      <c r="A195" s="10">
        <f t="shared" si="2"/>
        <v>194</v>
      </c>
      <c r="B195" s="16" t="s">
        <v>19</v>
      </c>
      <c r="C195" s="13" t="str">
        <f>VLOOKUP(A195,store_products!A:E,5,FALSE)</f>
        <v>雷のマッドハッター</v>
      </c>
      <c r="D195" s="14" t="s">
        <v>65</v>
      </c>
      <c r="E195" s="16" t="s">
        <v>65</v>
      </c>
    </row>
    <row r="196" spans="1:5" ht="21" customHeight="1" x14ac:dyDescent="0.15">
      <c r="A196" s="10">
        <f t="shared" si="2"/>
        <v>195</v>
      </c>
      <c r="B196" s="16" t="s">
        <v>19</v>
      </c>
      <c r="C196" s="13" t="str">
        <f>VLOOKUP(A196,store_products!A:E,5,FALSE)</f>
        <v>炎のメタルジェントル</v>
      </c>
      <c r="D196" s="14" t="s">
        <v>65</v>
      </c>
      <c r="E196" s="16" t="s">
        <v>65</v>
      </c>
    </row>
    <row r="197" spans="1:5" ht="21" customHeight="1" x14ac:dyDescent="0.15">
      <c r="A197" s="10">
        <f t="shared" si="2"/>
        <v>196</v>
      </c>
      <c r="B197" s="16" t="s">
        <v>19</v>
      </c>
      <c r="C197" s="13" t="str">
        <f>VLOOKUP(A197,store_products!A:E,5,FALSE)</f>
        <v>森のメタルジェントル</v>
      </c>
      <c r="D197" s="14" t="s">
        <v>65</v>
      </c>
      <c r="E197" s="16" t="s">
        <v>65</v>
      </c>
    </row>
    <row r="198" spans="1:5" ht="21" customHeight="1" x14ac:dyDescent="0.15">
      <c r="A198" s="10">
        <f t="shared" si="2"/>
        <v>197</v>
      </c>
      <c r="B198" s="16" t="s">
        <v>19</v>
      </c>
      <c r="C198" s="13" t="str">
        <f>VLOOKUP(A198,store_products!A:E,5,FALSE)</f>
        <v>水のメタルジェントル</v>
      </c>
      <c r="D198" s="14" t="s">
        <v>65</v>
      </c>
      <c r="E198" s="16" t="s">
        <v>65</v>
      </c>
    </row>
    <row r="199" spans="1:5" ht="21" customHeight="1" x14ac:dyDescent="0.15">
      <c r="A199" s="10">
        <f t="shared" si="2"/>
        <v>198</v>
      </c>
      <c r="B199" s="16" t="s">
        <v>19</v>
      </c>
      <c r="C199" s="13" t="str">
        <f>VLOOKUP(A199,store_products!A:E,5,FALSE)</f>
        <v>雷のメタルジェントル</v>
      </c>
      <c r="D199" s="14" t="s">
        <v>65</v>
      </c>
      <c r="E199" s="16" t="s">
        <v>65</v>
      </c>
    </row>
    <row r="200" spans="1:5" ht="21" customHeight="1" x14ac:dyDescent="0.15">
      <c r="A200" s="10">
        <f t="shared" si="2"/>
        <v>199</v>
      </c>
      <c r="B200" s="16" t="s">
        <v>19</v>
      </c>
      <c r="C200" s="13" t="str">
        <f>VLOOKUP(A200,store_products!A:E,5,FALSE)</f>
        <v>ギガ攻めの果実</v>
      </c>
      <c r="D200" s="14" t="s">
        <v>65</v>
      </c>
      <c r="E200" s="16" t="s">
        <v>65</v>
      </c>
    </row>
    <row r="201" spans="1:5" ht="21" customHeight="1" x14ac:dyDescent="0.15">
      <c r="A201" s="10">
        <f t="shared" si="2"/>
        <v>200</v>
      </c>
      <c r="B201" s="16" t="s">
        <v>19</v>
      </c>
      <c r="C201" s="13" t="str">
        <f>VLOOKUP(A201,store_products!A:E,5,FALSE)</f>
        <v>ギガ生命の果実</v>
      </c>
      <c r="D201" s="14" t="s">
        <v>65</v>
      </c>
      <c r="E201" s="16" t="s">
        <v>65</v>
      </c>
    </row>
    <row r="202" spans="1:5" s="19" customFormat="1" ht="21" customHeight="1" x14ac:dyDescent="0.15">
      <c r="A202" s="10">
        <f t="shared" si="2"/>
        <v>201</v>
      </c>
      <c r="B202" s="16" t="s">
        <v>19</v>
      </c>
      <c r="C202" s="13" t="str">
        <f>VLOOKUP(A202,store_products!A:E,5,FALSE)</f>
        <v>ギガ癒しの果実</v>
      </c>
      <c r="D202" s="14" t="s">
        <v>65</v>
      </c>
      <c r="E202" s="16" t="s">
        <v>65</v>
      </c>
    </row>
    <row r="203" spans="1:5" ht="21" customHeight="1" x14ac:dyDescent="0.15">
      <c r="A203" s="10">
        <f t="shared" si="2"/>
        <v>202</v>
      </c>
      <c r="B203" s="16" t="s">
        <v>19</v>
      </c>
      <c r="C203" s="13" t="str">
        <f>VLOOKUP(A203,store_products!A:E,5,FALSE)</f>
        <v>ギガ秘術の果実</v>
      </c>
      <c r="D203" s="14" t="s">
        <v>65</v>
      </c>
      <c r="E203" s="16" t="s">
        <v>65</v>
      </c>
    </row>
    <row r="204" spans="1:5" ht="21" customHeight="1" x14ac:dyDescent="0.15">
      <c r="A204" s="10">
        <f t="shared" si="2"/>
        <v>203</v>
      </c>
      <c r="B204" s="16" t="s">
        <v>19</v>
      </c>
      <c r="C204" s="13" t="str">
        <f>VLOOKUP(A204,store_products!A:E,5,FALSE)</f>
        <v>マスターキー</v>
      </c>
      <c r="D204" s="14" t="s">
        <v>65</v>
      </c>
      <c r="E204" s="16" t="s">
        <v>65</v>
      </c>
    </row>
    <row r="205" spans="1:5" ht="21" customHeight="1" x14ac:dyDescent="0.15">
      <c r="A205" s="10">
        <f t="shared" si="2"/>
        <v>204</v>
      </c>
      <c r="B205" s="16" t="s">
        <v>19</v>
      </c>
      <c r="C205" s="13" t="str">
        <f>VLOOKUP(A205,store_products!A:E,5,FALSE)</f>
        <v>リトルハンプティ</v>
      </c>
      <c r="D205" s="14" t="s">
        <v>65</v>
      </c>
      <c r="E205" s="16" t="s">
        <v>65</v>
      </c>
    </row>
    <row r="206" spans="1:5" ht="21" customHeight="1" x14ac:dyDescent="0.15">
      <c r="A206" s="10">
        <f t="shared" si="2"/>
        <v>205</v>
      </c>
      <c r="B206" s="16" t="s">
        <v>19</v>
      </c>
      <c r="C206" s="13" t="str">
        <f>VLOOKUP(A206,store_products!A:E,5,FALSE)</f>
        <v>トロイア</v>
      </c>
      <c r="D206" s="14" t="s">
        <v>65</v>
      </c>
      <c r="E206" s="16" t="s">
        <v>65</v>
      </c>
    </row>
    <row r="207" spans="1:5" ht="21" customHeight="1" x14ac:dyDescent="0.15">
      <c r="A207" s="10">
        <f t="shared" ref="A207:A254" si="3">ROW()-1</f>
        <v>206</v>
      </c>
      <c r="B207" s="16" t="s">
        <v>19</v>
      </c>
      <c r="C207" s="13" t="str">
        <f>VLOOKUP(A207,store_products!A:E,5,FALSE)</f>
        <v>メガラニカ</v>
      </c>
      <c r="D207" s="14" t="s">
        <v>65</v>
      </c>
      <c r="E207" s="16" t="s">
        <v>65</v>
      </c>
    </row>
    <row r="208" spans="1:5" ht="21" customHeight="1" x14ac:dyDescent="0.15">
      <c r="A208" s="10">
        <f t="shared" si="3"/>
        <v>207</v>
      </c>
      <c r="B208" s="16" t="s">
        <v>19</v>
      </c>
      <c r="C208" s="13" t="str">
        <f>VLOOKUP(A208,store_products!A:E,5,FALSE)</f>
        <v>レムリア</v>
      </c>
      <c r="D208" s="14" t="s">
        <v>65</v>
      </c>
      <c r="E208" s="16" t="s">
        <v>65</v>
      </c>
    </row>
    <row r="209" spans="1:5" ht="21" customHeight="1" x14ac:dyDescent="0.15">
      <c r="A209" s="10">
        <f t="shared" si="3"/>
        <v>208</v>
      </c>
      <c r="B209" s="16" t="s">
        <v>19</v>
      </c>
      <c r="C209" s="13" t="str">
        <f>VLOOKUP(A209,store_products!A:E,5,FALSE)</f>
        <v>ネセバル</v>
      </c>
      <c r="D209" s="14" t="s">
        <v>65</v>
      </c>
      <c r="E209" s="16" t="s">
        <v>65</v>
      </c>
    </row>
    <row r="210" spans="1:5" ht="21" customHeight="1" x14ac:dyDescent="0.15">
      <c r="A210" s="10">
        <f t="shared" si="3"/>
        <v>209</v>
      </c>
      <c r="B210" s="16" t="s">
        <v>19</v>
      </c>
      <c r="C210" s="13" t="str">
        <f>VLOOKUP(A210,store_products!A:E,5,FALSE)</f>
        <v>マジシャン</v>
      </c>
      <c r="D210" s="14" t="s">
        <v>65</v>
      </c>
      <c r="E210" s="16" t="s">
        <v>65</v>
      </c>
    </row>
    <row r="211" spans="1:5" ht="21" customHeight="1" x14ac:dyDescent="0.15">
      <c r="A211" s="10">
        <f t="shared" si="3"/>
        <v>210</v>
      </c>
      <c r="B211" s="16" t="s">
        <v>19</v>
      </c>
      <c r="C211" s="13" t="str">
        <f>VLOOKUP(A211,store_products!A:E,5,FALSE)</f>
        <v>チャリオット</v>
      </c>
      <c r="D211" s="14" t="s">
        <v>65</v>
      </c>
      <c r="E211" s="16" t="s">
        <v>65</v>
      </c>
    </row>
    <row r="212" spans="1:5" ht="21" customHeight="1" x14ac:dyDescent="0.15">
      <c r="A212" s="10">
        <f t="shared" si="3"/>
        <v>211</v>
      </c>
      <c r="B212" s="16" t="s">
        <v>19</v>
      </c>
      <c r="C212" s="13" t="str">
        <f>VLOOKUP(A212,store_products!A:E,5,FALSE)</f>
        <v>ラヴァーズ</v>
      </c>
      <c r="D212" s="14" t="s">
        <v>65</v>
      </c>
      <c r="E212" s="16" t="s">
        <v>65</v>
      </c>
    </row>
    <row r="213" spans="1:5" ht="21" customHeight="1" x14ac:dyDescent="0.15">
      <c r="A213" s="10">
        <f t="shared" si="3"/>
        <v>212</v>
      </c>
      <c r="B213" s="16" t="s">
        <v>19</v>
      </c>
      <c r="C213" s="13" t="str">
        <f>VLOOKUP(A213,store_products!A:E,5,FALSE)</f>
        <v>ストレングス</v>
      </c>
      <c r="D213" s="14" t="s">
        <v>65</v>
      </c>
      <c r="E213" s="16" t="s">
        <v>65</v>
      </c>
    </row>
    <row r="214" spans="1:5" ht="21" customHeight="1" x14ac:dyDescent="0.15">
      <c r="A214" s="10">
        <f t="shared" si="3"/>
        <v>213</v>
      </c>
      <c r="B214" s="16" t="s">
        <v>19</v>
      </c>
      <c r="C214" s="13" t="str">
        <f>VLOOKUP(A214,store_products!A:E,5,FALSE)</f>
        <v>レッドキャタップ</v>
      </c>
      <c r="D214" s="14" t="s">
        <v>65</v>
      </c>
      <c r="E214" s="16" t="s">
        <v>65</v>
      </c>
    </row>
    <row r="215" spans="1:5" ht="21" customHeight="1" x14ac:dyDescent="0.15">
      <c r="A215" s="10">
        <f t="shared" si="3"/>
        <v>214</v>
      </c>
      <c r="B215" s="16" t="s">
        <v>19</v>
      </c>
      <c r="C215" s="13" t="str">
        <f>VLOOKUP(A215,store_products!A:E,5,FALSE)</f>
        <v>炎のマッドハッター</v>
      </c>
      <c r="D215" s="14" t="s">
        <v>65</v>
      </c>
      <c r="E215" s="16" t="s">
        <v>65</v>
      </c>
    </row>
    <row r="216" spans="1:5" ht="21" customHeight="1" x14ac:dyDescent="0.15">
      <c r="A216" s="10">
        <f t="shared" si="3"/>
        <v>215</v>
      </c>
      <c r="B216" s="16" t="s">
        <v>19</v>
      </c>
      <c r="C216" s="13" t="str">
        <f>VLOOKUP(A216,store_products!A:E,5,FALSE)</f>
        <v>グリーンキャタップ</v>
      </c>
      <c r="D216" s="14" t="s">
        <v>65</v>
      </c>
      <c r="E216" s="16" t="s">
        <v>65</v>
      </c>
    </row>
    <row r="217" spans="1:5" ht="21" customHeight="1" x14ac:dyDescent="0.15">
      <c r="A217" s="10">
        <f t="shared" si="3"/>
        <v>216</v>
      </c>
      <c r="B217" s="16" t="s">
        <v>19</v>
      </c>
      <c r="C217" s="13" t="str">
        <f>VLOOKUP(A217,store_products!A:E,5,FALSE)</f>
        <v>森のマッドハッター</v>
      </c>
      <c r="D217" s="14" t="s">
        <v>65</v>
      </c>
      <c r="E217" s="16" t="s">
        <v>65</v>
      </c>
    </row>
    <row r="218" spans="1:5" ht="21" customHeight="1" x14ac:dyDescent="0.15">
      <c r="A218" s="10">
        <f t="shared" si="3"/>
        <v>217</v>
      </c>
      <c r="B218" s="16" t="s">
        <v>19</v>
      </c>
      <c r="C218" s="13" t="str">
        <f>VLOOKUP(A218,store_products!A:E,5,FALSE)</f>
        <v>ブルーキャタップ</v>
      </c>
      <c r="D218" s="14" t="s">
        <v>65</v>
      </c>
      <c r="E218" s="16" t="s">
        <v>65</v>
      </c>
    </row>
    <row r="219" spans="1:5" ht="21" customHeight="1" x14ac:dyDescent="0.15">
      <c r="A219" s="10">
        <f t="shared" si="3"/>
        <v>218</v>
      </c>
      <c r="B219" s="16" t="s">
        <v>19</v>
      </c>
      <c r="C219" s="13" t="str">
        <f>VLOOKUP(A219,store_products!A:E,5,FALSE)</f>
        <v>水のマッドハッター</v>
      </c>
      <c r="D219" s="14" t="s">
        <v>65</v>
      </c>
      <c r="E219" s="16" t="s">
        <v>65</v>
      </c>
    </row>
    <row r="220" spans="1:5" ht="21" customHeight="1" x14ac:dyDescent="0.15">
      <c r="A220" s="10">
        <f t="shared" si="3"/>
        <v>219</v>
      </c>
      <c r="B220" s="16" t="s">
        <v>19</v>
      </c>
      <c r="C220" s="13" t="str">
        <f>VLOOKUP(A220,store_products!A:E,5,FALSE)</f>
        <v>イエローキャタップ</v>
      </c>
      <c r="D220" s="14" t="s">
        <v>65</v>
      </c>
      <c r="E220" s="16" t="s">
        <v>65</v>
      </c>
    </row>
    <row r="221" spans="1:5" ht="21" customHeight="1" x14ac:dyDescent="0.15">
      <c r="A221" s="10">
        <f t="shared" si="3"/>
        <v>220</v>
      </c>
      <c r="B221" s="16" t="s">
        <v>19</v>
      </c>
      <c r="C221" s="13" t="str">
        <f>VLOOKUP(A221,store_products!A:E,5,FALSE)</f>
        <v>雷のマッドハッター</v>
      </c>
      <c r="D221" s="14" t="s">
        <v>65</v>
      </c>
      <c r="E221" s="16" t="s">
        <v>65</v>
      </c>
    </row>
    <row r="222" spans="1:5" ht="21" customHeight="1" x14ac:dyDescent="0.15">
      <c r="A222" s="10">
        <f t="shared" si="3"/>
        <v>221</v>
      </c>
      <c r="B222" s="16" t="s">
        <v>19</v>
      </c>
      <c r="C222" s="13" t="str">
        <f>VLOOKUP(A222,store_products!A:E,5,FALSE)</f>
        <v>炎のメタルジェントル</v>
      </c>
      <c r="D222" s="14" t="s">
        <v>65</v>
      </c>
      <c r="E222" s="16" t="s">
        <v>65</v>
      </c>
    </row>
    <row r="223" spans="1:5" ht="21" customHeight="1" x14ac:dyDescent="0.15">
      <c r="A223" s="10">
        <f t="shared" si="3"/>
        <v>222</v>
      </c>
      <c r="B223" s="16" t="s">
        <v>19</v>
      </c>
      <c r="C223" s="13" t="str">
        <f>VLOOKUP(A223,store_products!A:E,5,FALSE)</f>
        <v>森のメタルジェントル</v>
      </c>
      <c r="D223" s="14" t="s">
        <v>65</v>
      </c>
      <c r="E223" s="16" t="s">
        <v>65</v>
      </c>
    </row>
    <row r="224" spans="1:5" ht="21" customHeight="1" x14ac:dyDescent="0.15">
      <c r="A224" s="10">
        <f t="shared" si="3"/>
        <v>223</v>
      </c>
      <c r="B224" s="16" t="s">
        <v>19</v>
      </c>
      <c r="C224" s="13" t="str">
        <f>VLOOKUP(A224,store_products!A:E,5,FALSE)</f>
        <v>水のメタルジェントル</v>
      </c>
      <c r="D224" s="14" t="s">
        <v>65</v>
      </c>
      <c r="E224" s="16" t="s">
        <v>65</v>
      </c>
    </row>
    <row r="225" spans="1:5" ht="21" customHeight="1" x14ac:dyDescent="0.15">
      <c r="A225" s="10">
        <f t="shared" si="3"/>
        <v>224</v>
      </c>
      <c r="B225" s="16" t="s">
        <v>19</v>
      </c>
      <c r="C225" s="13" t="str">
        <f>VLOOKUP(A225,store_products!A:E,5,FALSE)</f>
        <v>雷のメタルジェントル</v>
      </c>
      <c r="D225" s="14" t="s">
        <v>65</v>
      </c>
      <c r="E225" s="16" t="s">
        <v>65</v>
      </c>
    </row>
    <row r="226" spans="1:5" ht="21" customHeight="1" x14ac:dyDescent="0.15">
      <c r="A226" s="10">
        <f t="shared" si="3"/>
        <v>225</v>
      </c>
      <c r="B226" s="16" t="s">
        <v>19</v>
      </c>
      <c r="C226" s="13" t="str">
        <f>VLOOKUP(A226,store_products!A:E,5,FALSE)</f>
        <v>ギガ攻めの果実</v>
      </c>
      <c r="D226" s="14" t="s">
        <v>65</v>
      </c>
      <c r="E226" s="16" t="s">
        <v>65</v>
      </c>
    </row>
    <row r="227" spans="1:5" ht="21" customHeight="1" x14ac:dyDescent="0.15">
      <c r="A227" s="10">
        <f t="shared" si="3"/>
        <v>226</v>
      </c>
      <c r="B227" s="16" t="s">
        <v>19</v>
      </c>
      <c r="C227" s="13" t="str">
        <f>VLOOKUP(A227,store_products!A:E,5,FALSE)</f>
        <v>ギガ生命の果実</v>
      </c>
      <c r="D227" s="14" t="s">
        <v>65</v>
      </c>
      <c r="E227" s="16" t="s">
        <v>65</v>
      </c>
    </row>
    <row r="228" spans="1:5" ht="21" customHeight="1" x14ac:dyDescent="0.15">
      <c r="A228" s="10">
        <f t="shared" si="3"/>
        <v>227</v>
      </c>
      <c r="B228" s="16" t="s">
        <v>19</v>
      </c>
      <c r="C228" s="13" t="str">
        <f>VLOOKUP(A228,store_products!A:E,5,FALSE)</f>
        <v>ギガ癒しの果実</v>
      </c>
      <c r="D228" s="14" t="s">
        <v>65</v>
      </c>
      <c r="E228" s="16" t="s">
        <v>65</v>
      </c>
    </row>
    <row r="229" spans="1:5" ht="21" customHeight="1" x14ac:dyDescent="0.15">
      <c r="A229" s="10">
        <f t="shared" si="3"/>
        <v>228</v>
      </c>
      <c r="B229" s="16" t="s">
        <v>19</v>
      </c>
      <c r="C229" s="13" t="str">
        <f>VLOOKUP(A229,store_products!A:E,5,FALSE)</f>
        <v>ギガ秘術の果実</v>
      </c>
      <c r="D229" s="14" t="s">
        <v>65</v>
      </c>
      <c r="E229" s="16" t="s">
        <v>65</v>
      </c>
    </row>
    <row r="230" spans="1:5" ht="21" customHeight="1" x14ac:dyDescent="0.15">
      <c r="A230" s="10">
        <f t="shared" si="3"/>
        <v>229</v>
      </c>
      <c r="B230" s="16" t="s">
        <v>19</v>
      </c>
      <c r="C230" s="13" t="str">
        <f>VLOOKUP(A230,store_products!A:E,5,FALSE)</f>
        <v>マスターキー</v>
      </c>
      <c r="D230" s="14" t="s">
        <v>65</v>
      </c>
      <c r="E230" s="16" t="s">
        <v>65</v>
      </c>
    </row>
    <row r="231" spans="1:5" ht="21" customHeight="1" x14ac:dyDescent="0.15">
      <c r="A231" s="10">
        <f t="shared" si="3"/>
        <v>230</v>
      </c>
      <c r="B231" s="16" t="s">
        <v>19</v>
      </c>
      <c r="C231" s="13" t="str">
        <f>VLOOKUP(A231,store_products!A:E,5,FALSE)</f>
        <v>リトルハンプティ</v>
      </c>
      <c r="D231" s="14" t="s">
        <v>65</v>
      </c>
      <c r="E231" s="16" t="s">
        <v>65</v>
      </c>
    </row>
    <row r="232" spans="1:5" ht="21" customHeight="1" x14ac:dyDescent="0.15">
      <c r="A232" s="10">
        <f t="shared" si="3"/>
        <v>231</v>
      </c>
      <c r="B232" s="16" t="s">
        <v>19</v>
      </c>
      <c r="C232" s="13" t="str">
        <f>VLOOKUP(A232,store_products!A:E,5,FALSE)</f>
        <v>トロイア</v>
      </c>
      <c r="D232" s="14" t="s">
        <v>65</v>
      </c>
      <c r="E232" s="16" t="s">
        <v>65</v>
      </c>
    </row>
    <row r="233" spans="1:5" ht="21" customHeight="1" x14ac:dyDescent="0.15">
      <c r="A233" s="10">
        <f t="shared" si="3"/>
        <v>232</v>
      </c>
      <c r="B233" s="16" t="s">
        <v>19</v>
      </c>
      <c r="C233" s="13" t="str">
        <f>VLOOKUP(A233,store_products!A:E,5,FALSE)</f>
        <v>メガラニカ</v>
      </c>
      <c r="D233" s="14" t="s">
        <v>65</v>
      </c>
      <c r="E233" s="16" t="s">
        <v>65</v>
      </c>
    </row>
    <row r="234" spans="1:5" ht="21" customHeight="1" x14ac:dyDescent="0.15">
      <c r="A234" s="10">
        <f t="shared" si="3"/>
        <v>233</v>
      </c>
      <c r="B234" s="16" t="s">
        <v>19</v>
      </c>
      <c r="C234" s="13" t="str">
        <f>VLOOKUP(A234,store_products!A:E,5,FALSE)</f>
        <v>レムリア</v>
      </c>
      <c r="D234" s="14" t="s">
        <v>65</v>
      </c>
      <c r="E234" s="16" t="s">
        <v>65</v>
      </c>
    </row>
    <row r="235" spans="1:5" ht="21" customHeight="1" x14ac:dyDescent="0.15">
      <c r="A235" s="10">
        <f t="shared" si="3"/>
        <v>234</v>
      </c>
      <c r="B235" s="16" t="s">
        <v>19</v>
      </c>
      <c r="C235" s="13" t="str">
        <f>VLOOKUP(A235,store_products!A:E,5,FALSE)</f>
        <v>ネセバル</v>
      </c>
      <c r="D235" s="14" t="s">
        <v>65</v>
      </c>
      <c r="E235" s="16" t="s">
        <v>65</v>
      </c>
    </row>
    <row r="236" spans="1:5" ht="21" customHeight="1" x14ac:dyDescent="0.15">
      <c r="A236" s="10">
        <f t="shared" si="3"/>
        <v>235</v>
      </c>
      <c r="B236" s="16" t="s">
        <v>19</v>
      </c>
      <c r="C236" s="13" t="str">
        <f>VLOOKUP(A236,store_products!A:E,5,FALSE)</f>
        <v>マジシャン</v>
      </c>
      <c r="D236" s="14" t="s">
        <v>65</v>
      </c>
      <c r="E236" s="16" t="s">
        <v>65</v>
      </c>
    </row>
    <row r="237" spans="1:5" ht="21" customHeight="1" x14ac:dyDescent="0.15">
      <c r="A237" s="10">
        <f t="shared" si="3"/>
        <v>236</v>
      </c>
      <c r="B237" s="16" t="s">
        <v>19</v>
      </c>
      <c r="C237" s="13" t="str">
        <f>VLOOKUP(A237,store_products!A:E,5,FALSE)</f>
        <v>チャリオット</v>
      </c>
      <c r="D237" s="14" t="s">
        <v>65</v>
      </c>
      <c r="E237" s="16" t="s">
        <v>65</v>
      </c>
    </row>
    <row r="238" spans="1:5" ht="21" customHeight="1" x14ac:dyDescent="0.15">
      <c r="A238" s="10">
        <f t="shared" si="3"/>
        <v>237</v>
      </c>
      <c r="B238" s="16" t="s">
        <v>19</v>
      </c>
      <c r="C238" s="13" t="str">
        <f>VLOOKUP(A238,store_products!A:E,5,FALSE)</f>
        <v>ラヴァーズ</v>
      </c>
      <c r="D238" s="14" t="s">
        <v>65</v>
      </c>
      <c r="E238" s="16" t="s">
        <v>65</v>
      </c>
    </row>
    <row r="239" spans="1:5" ht="21" customHeight="1" x14ac:dyDescent="0.15">
      <c r="A239" s="10">
        <f t="shared" si="3"/>
        <v>238</v>
      </c>
      <c r="B239" s="16" t="s">
        <v>19</v>
      </c>
      <c r="C239" s="13" t="str">
        <f>VLOOKUP(A239,store_products!A:E,5,FALSE)</f>
        <v>ストレングス</v>
      </c>
      <c r="D239" s="14" t="s">
        <v>65</v>
      </c>
      <c r="E239" s="16" t="s">
        <v>65</v>
      </c>
    </row>
    <row r="240" spans="1:5" ht="21" customHeight="1" x14ac:dyDescent="0.15">
      <c r="A240" s="10"/>
      <c r="B240" s="16"/>
      <c r="C240" s="13"/>
      <c r="D240" s="14"/>
      <c r="E240" s="16"/>
    </row>
    <row r="241" spans="1:5" ht="21" customHeight="1" x14ac:dyDescent="0.15">
      <c r="A241" s="10"/>
      <c r="B241" s="16"/>
      <c r="C241" s="13"/>
      <c r="D241" s="14"/>
      <c r="E241" s="16"/>
    </row>
    <row r="242" spans="1:5" ht="21" customHeight="1" x14ac:dyDescent="0.15">
      <c r="A242" s="10"/>
      <c r="B242" s="16"/>
      <c r="C242" s="13"/>
      <c r="D242" s="14"/>
      <c r="E242" s="16"/>
    </row>
    <row r="243" spans="1:5" ht="21" customHeight="1" x14ac:dyDescent="0.15">
      <c r="A243" s="10"/>
      <c r="B243" s="16"/>
      <c r="C243" s="13"/>
      <c r="D243" s="14"/>
      <c r="E243" s="16"/>
    </row>
    <row r="244" spans="1:5" ht="21" customHeight="1" x14ac:dyDescent="0.15">
      <c r="A244" s="10"/>
      <c r="B244" s="16"/>
      <c r="C244" s="13"/>
      <c r="D244" s="14"/>
      <c r="E244" s="16"/>
    </row>
    <row r="245" spans="1:5" ht="21" customHeight="1" x14ac:dyDescent="0.15">
      <c r="A245" s="10"/>
      <c r="B245" s="16"/>
      <c r="C245" s="13"/>
      <c r="D245" s="14"/>
      <c r="E245" s="16"/>
    </row>
    <row r="246" spans="1:5" ht="21" customHeight="1" x14ac:dyDescent="0.15">
      <c r="A246" s="10"/>
      <c r="B246" s="16"/>
      <c r="C246" s="13"/>
      <c r="D246" s="14"/>
      <c r="E246" s="16"/>
    </row>
    <row r="247" spans="1:5" ht="21" customHeight="1" x14ac:dyDescent="0.15">
      <c r="A247" s="10"/>
      <c r="B247" s="16"/>
      <c r="C247" s="13"/>
      <c r="D247" s="14"/>
      <c r="E247" s="16"/>
    </row>
    <row r="248" spans="1:5" ht="21" customHeight="1" x14ac:dyDescent="0.15">
      <c r="A248" s="10"/>
      <c r="B248" s="16"/>
      <c r="C248" s="13"/>
      <c r="D248" s="14"/>
      <c r="E248" s="16"/>
    </row>
    <row r="249" spans="1:5" ht="21" customHeight="1" x14ac:dyDescent="0.15">
      <c r="A249" s="10"/>
      <c r="B249" s="16"/>
      <c r="C249" s="13"/>
      <c r="D249" s="14"/>
      <c r="E249" s="16"/>
    </row>
    <row r="250" spans="1:5" ht="21" customHeight="1" x14ac:dyDescent="0.15">
      <c r="A250" s="10"/>
      <c r="B250" s="16"/>
      <c r="C250" s="13"/>
      <c r="D250" s="14"/>
      <c r="E250" s="16"/>
    </row>
    <row r="251" spans="1:5" ht="21" customHeight="1" x14ac:dyDescent="0.15">
      <c r="A251" s="10"/>
      <c r="B251" s="16"/>
      <c r="C251" s="13"/>
      <c r="D251" s="14"/>
      <c r="E251" s="16"/>
    </row>
    <row r="252" spans="1:5" ht="21" customHeight="1" x14ac:dyDescent="0.15">
      <c r="A252" s="10"/>
      <c r="B252" s="16"/>
      <c r="C252" s="13"/>
      <c r="D252" s="14"/>
      <c r="E252" s="16"/>
    </row>
    <row r="253" spans="1:5" ht="21" customHeight="1" x14ac:dyDescent="0.15">
      <c r="A253" s="10"/>
      <c r="B253" s="16"/>
      <c r="C253" s="13"/>
      <c r="D253" s="14"/>
      <c r="E253" s="16"/>
    </row>
    <row r="254" spans="1:5" ht="21" customHeight="1" x14ac:dyDescent="0.15">
      <c r="A254" s="10"/>
      <c r="B254" s="16"/>
      <c r="C254" s="13"/>
      <c r="D254" s="14"/>
      <c r="E254" s="16"/>
    </row>
    <row r="255" spans="1:5" ht="21" customHeight="1" x14ac:dyDescent="0.15">
      <c r="A255" s="13"/>
      <c r="B255" s="13"/>
      <c r="C255" s="13"/>
      <c r="D255" s="14"/>
      <c r="E255" s="13"/>
    </row>
    <row r="256" spans="1:5" ht="21" customHeight="1" x14ac:dyDescent="0.15">
      <c r="A256" s="13"/>
      <c r="B256" s="13"/>
      <c r="C256" s="13"/>
      <c r="D256" s="14"/>
      <c r="E256" s="13"/>
    </row>
    <row r="257" spans="1:5" ht="21" customHeight="1" x14ac:dyDescent="0.15">
      <c r="A257" s="13"/>
      <c r="B257" s="13"/>
      <c r="C257" s="13"/>
      <c r="D257" s="14"/>
      <c r="E257" s="13"/>
    </row>
  </sheetData>
  <autoFilter ref="A1:E257"/>
  <phoneticPr fontId="8"/>
  <pageMargins left="0.75" right="0.75" top="1" bottom="1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output</vt:lpstr>
      <vt:lpstr>store_products</vt:lpstr>
      <vt:lpstr>store_products_i18n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2017-06-07T12:03:07Z</dcterms:modified>
</cp:coreProperties>
</file>