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780" windowWidth="2872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F3" i="57"/>
  <c r="E3" i="57"/>
  <c r="B3" i="57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7" i="58"/>
  <c r="U7" i="58"/>
  <c r="S2" i="58"/>
  <c r="S5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4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G4" i="58"/>
  <c r="U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2" i="54"/>
  <c r="E3" i="54"/>
  <c r="E4" i="54"/>
  <c r="E5" i="54"/>
  <c r="E6" i="54"/>
  <c r="D6" i="54"/>
  <c r="B6" i="54"/>
  <c r="D5" i="54"/>
  <c r="B5" i="54"/>
  <c r="D4" i="54"/>
  <c r="B4" i="54"/>
  <c r="D3" i="54"/>
  <c r="B3" i="54"/>
  <c r="D2" i="54"/>
  <c r="B2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2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T2" i="58"/>
  <c r="R2" i="58"/>
  <c r="B2" i="58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<sst xmlns="http://schemas.openxmlformats.org/spreadsheetml/2006/main" count="902" uniqueCount="365">
  <si>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</si>
  <si>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</si>
  <si>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</si>
  <si>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</si>
  <si>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</si>
  <si>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</si>
  <si>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</si>
  <si>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</si>
  <si>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</si>
  <si>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</si>
  <si>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</si>
  <si>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</si>
  <si>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</si>
  <si>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</si>
  <si>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</si>
  <si>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</si>
  <si>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</si>
  <si>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</si>
  <si>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</si>
  <si>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</si>
  <si>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</si>
  <si>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</si>
  <si>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</si>
  <si>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</si>
  <si>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</si>
  <si>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</si>
  <si>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</si>
  <si>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</si>
  <si>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</si>
  <si>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</si>
  <si>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</si>
  <si>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</si>
  <si>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</si>
  <si>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</si>
  <si>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</si>
  <si>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</si>
  <si>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</si>
  <si>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</si>
  <si>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</si>
  <si>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</si>
  <si>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</si>
  <si>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</si>
  <si>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</si>
  <si>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</si>
  <si>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</si>
  <si>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</si>
  <si>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</si>
  <si>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</si>
  <si>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</si>
  <si>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</si>
  <si>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</si>
  <si>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</si>
  <si>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</si>
  <si>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</si>
  <si>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</si>
  <si>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</si>
  <si>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</si>
  <si>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</si>
  <si>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</si>
  <si>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</si>
  <si>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</si>
  <si>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</si>
  <si>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</si>
  <si>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</si>
  <si>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</si>
  <si>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</si>
  <si>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</si>
  <si>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</si>
  <si>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</si>
  <si>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</si>
  <si>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</si>
  <si>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</si>
  <si>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</si>
  <si>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</si>
  <si>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</si>
  <si>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</si>
  <si>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</si>
  <si>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</si>
  <si>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</si>
  <si>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</si>
  <si>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</si>
  <si>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</si>
  <si>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</si>
  <si>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</si>
  <si>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</si>
  <si>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</si>
  <si>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</si>
  <si>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</si>
  <si>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</si>
  <si>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</si>
  <si>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</si>
  <si>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</si>
  <si>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</si>
  <si>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</si>
  <si>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</si>
  <si>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</si>
  <si>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</si>
  <si>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</si>
  <si>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</si>
  <si>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</si>
  <si>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</si>
  <si>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</si>
  <si>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</si>
  <si>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</si>
  <si>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</si>
  <si>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</si>
  <si>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</si>
  <si>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</si>
  <si>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</si>
  <si>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</si>
  <si>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</si>
  <si>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</si>
  <si>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</si>
  <si>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</si>
  <si>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</si>
  <si>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</si>
  <si>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</si>
  <si>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</si>
  <si>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</si>
  <si>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</si>
  <si>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</si>
  <si>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</si>
  <si>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</si>
  <si>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</si>
  <si>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</si>
  <si>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</si>
  <si>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</si>
  <si>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</si>
  <si>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</si>
  <si>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</si>
  <si>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</si>
  <si>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</si>
  <si>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</si>
  <si>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</si>
  <si>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</si>
  <si>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</si>
  <si>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</si>
  <si>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</si>
  <si>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</si>
  <si>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</si>
  <si>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</si>
  <si>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</si>
  <si>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</si>
  <si>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</si>
  <si>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</si>
  <si>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</si>
  <si>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</si>
  <si>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</si>
  <si>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</si>
  <si>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</si>
  <si>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</si>
  <si>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</si>
  <si>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</si>
  <si>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</si>
  <si>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</si>
  <si>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</si>
  <si>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</si>
  <si>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</si>
  <si>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</si>
  <si>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</si>
  <si>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</si>
  <si>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</si>
  <si>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</si>
  <si>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</si>
  <si>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</si>
  <si>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</si>
  <si>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</si>
  <si>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</si>
  <si>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</si>
  <si>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</si>
  <si>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</si>
  <si>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</si>
  <si>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</si>
  <si>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</si>
  <si>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</si>
  <si>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</si>
  <si>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</si>
  <si>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</si>
  <si>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</si>
  <si>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</si>
  <si>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</si>
  <si>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</si>
  <si>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</si>
  <si>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</si>
  <si>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</si>
  <si>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</si>
  <si>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</si>
  <si>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</si>
  <si>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</si>
  <si>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</si>
  <si>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</si>
  <si>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</si>
  <si>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</si>
  <si>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</si>
  <si>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</si>
  <si>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</si>
  <si>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</si>
  <si>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</si>
  <si>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</si>
  <si>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</si>
  <si>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</si>
  <si>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</si>
  <si>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</si>
  <si>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</si>
  <si>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</si>
  <si>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</si>
  <si>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</si>
  <si>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</si>
  <si>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</si>
  <si>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</si>
  <si>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</si>
  <si>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</si>
  <si>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</si>
  <si>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</si>
  <si>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</si>
  <si>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</si>
  <si>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</si>
  <si>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</si>
  <si>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</si>
  <si>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</si>
  <si>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</si>
  <si>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</si>
  <si>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</si>
  <si>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</si>
  <si>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</si>
  <si>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</si>
  <si>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</si>
  <si>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</si>
  <si>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</si>
  <si>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</si>
  <si>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</si>
  <si>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</si>
  <si>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</si>
  <si>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</si>
  <si>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</si>
  <si>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</si>
  <si>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</si>
  <si>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</si>
  <si>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</si>
  <si>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</si>
  <si>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</si>
  <si>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</si>
  <si>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</si>
  <si>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</si>
  <si>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</si>
  <si>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</si>
  <si>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</si>
  <si>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</si>
  <si>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</si>
  <si>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</si>
  <si>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</si>
  <si>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</si>
  <si>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</si>
  <si>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</si>
  <si>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</si>
  <si>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</si>
  <si>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</si>
  <si>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</si>
  <si>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</si>
  <si>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</si>
  <si>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</si>
  <si>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</si>
  <si>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</si>
  <si>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</si>
  <si>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</si>
  <si>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</si>
  <si>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</si>
  <si>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</si>
  <si>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</si>
  <si>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</si>
  <si>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</si>
  <si>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</si>
  <si>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</si>
  <si>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</si>
  <si>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</si>
  <si>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</si>
  <si>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</si>
  <si>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</si>
  <si>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</si>
  <si>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</si>
  <si>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</si>
  <si>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</si>
  <si>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</si>
  <si>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</si>
  <si>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</si>
  <si>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</si>
  <si>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</si>
  <si>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</si>
  <si>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</si>
  <si>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</si>
  <si>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</si>
  <si>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</si>
  <si>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</si>
  <si>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</si>
  <si>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</si>
  <si>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</si>
  <si>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</si>
  <si>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</si>
  <si>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</si>
  <si>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</si>
  <si>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</si>
  <si>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</si>
  <si>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</si>
  <si>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</si>
  <si>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</si>
  <si>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</si>
  <si>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</si>
  <si>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</si>
  <si>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</si>
  <si>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</si>
  <si>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</si>
  <si>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</si>
  <si>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</si>
  <si>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</si>
  <si>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</si>
  <si>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wizAwekening02</t>
    <phoneticPr fontId="22"/>
  </si>
  <si>
    <t>NULL</t>
    <phoneticPr fontId="10"/>
  </si>
  <si>
    <t>30</t>
    <phoneticPr fontId="22"/>
  </si>
  <si>
    <t>[effect:damage_anti_tribe, target:enemy_one, tribe:samurai, val1:3.375, val2:1.2, animation:damage_one_green04]</t>
    <phoneticPr fontId="22"/>
  </si>
  <si>
    <t>old</t>
    <phoneticPr fontId="22"/>
  </si>
  <si>
    <t>[effect:damage_anti_tribe, target:enemy_one, tribe:dragon, val1:3.375, val2:1.2, animation:damage_one_red04],[effect:heal_ratio, val:0.18, animation:heal02_unit01]</t>
    <phoneticPr fontId="22"/>
  </si>
  <si>
    <t>契盟聖剣エクスカリバー•レイ</t>
    <phoneticPr fontId="22"/>
  </si>
  <si>
    <t>空中楼閣の不平交渉</t>
    <phoneticPr fontId="22"/>
  </si>
  <si>
    <t>これが…俺の正義の形だ！</t>
    <phoneticPr fontId="22"/>
  </si>
  <si>
    <t>giza</t>
    <phoneticPr fontId="22"/>
  </si>
  <si>
    <t>さぁ皆、続け！！</t>
    <phoneticPr fontId="22"/>
  </si>
  <si>
    <t>必要な犠牲だ！</t>
    <phoneticPr fontId="22"/>
  </si>
  <si>
    <t>この正義を守るために！</t>
    <phoneticPr fontId="22"/>
  </si>
  <si>
    <t>俺が正義だ！</t>
    <phoneticPr fontId="22"/>
  </si>
  <si>
    <t>何度でも歓迎しよう…</t>
    <phoneticPr fontId="22"/>
  </si>
  <si>
    <t>わたしからは逃げれぬ</t>
    <phoneticPr fontId="22"/>
  </si>
  <si>
    <t>偉大さを知るがいい…</t>
    <phoneticPr fontId="22"/>
  </si>
  <si>
    <t>嘘は吐いてないさ…嘘は</t>
    <phoneticPr fontId="22"/>
  </si>
  <si>
    <t>聖義の烈炎斬</t>
    <phoneticPr fontId="22"/>
  </si>
  <si>
    <t>クウィントルネード・マジック</t>
    <phoneticPr fontId="22"/>
  </si>
  <si>
    <t>せめて綺麗に散らせてやる</t>
    <phoneticPr fontId="22"/>
  </si>
  <si>
    <t>[effect:break_enchance_unit, target:unit_all, val:0.014, lowest_val:0.2, count :-1, status:attack, turn:2, block01:jammer, calc:mul, animation:enhance_unit_all_attack04_unit01],[effect:force_change_block, new_block:crash, target:block_all, ignore01:crash, ignore02:crack_bomb, ignore03:color_break, count:1, val:24, animation:change_block],[effect:cure, bad_status:virus, animation:cure01]</t>
    <phoneticPr fontId="22"/>
  </si>
  <si>
    <t>skip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</si>
  <si>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</si>
  <si>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</si>
  <si>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</si>
  <si>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</si>
  <si>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</si>
  <si>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</si>
  <si>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</si>
  <si>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</si>
  <si>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</si>
  <si>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</si>
  <si>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</si>
  <si>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</si>
  <si>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</si>
  <si>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</si>
  <si>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</si>
  <si>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</si>
  <si>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</si>
  <si>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</si>
  <si>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</si>
  <si>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</si>
  <si>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</si>
  <si>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</si>
  <si>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1体に大ダメージ
種族ドラゴンに効果特大+HPを回復</t>
    <phoneticPr fontId="22"/>
  </si>
  <si>
    <t>1体に大ダメージ
種族サムライに効果特大</t>
    <phoneticPr fontId="22"/>
  </si>
  <si>
    <t>2ターン全ユニットの攻撃力UP(お邪魔パネル吸収し効果特大UP)+ランダムで1つSCパネル(威力大)に変換+ウィルス解除</t>
    <phoneticPr fontId="22"/>
  </si>
  <si>
    <t>緑パネルを最大8個Cパネルに変換し緑パネルを赤パネルに変換+2ターン赤属性の攻撃力UP(黄・青パネルを吸収し効果UP)</t>
    <phoneticPr fontId="22"/>
  </si>
  <si>
    <t>[effect:force_change_block, new_block:crash, target:block_green, count:8, val:6, animation:change_block],[effect:force_change_block, new_block:block_red, target:block_green, count:0, val:0, animation:change_block],[effect:break_enchance_unit, target:unit_red, val:0.005, lowest_val:0.2, count :-1, status:attack, turn:2, block01:block_yellow, block02:block_blue, calc:mul, animation:enhance_unit_all_attack02]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</si>
</sst>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5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3種族 攻撃力UP</v>
          </cell>
          <cell r="D205" t="str">
            <v>種族アニマル・ファンタジー・ヒーローの攻撃力を800UP</v>
          </cell>
        </row>
        <row r="206">
          <cell r="A206">
            <v>1604</v>
          </cell>
          <cell r="B206" t="str">
            <v>ja</v>
          </cell>
          <cell r="C206" t="str">
            <v>2種族 6ターン毎にタップ数増加</v>
          </cell>
          <cell r="D206" t="str">
            <v>最初の1ターン目と、その後6ターン毎にヒューマン・ファンタジーのタップ数1増加</v>
          </cell>
        </row>
        <row r="207">
          <cell r="A207">
            <v>1605</v>
          </cell>
          <cell r="B207" t="str">
            <v>ja</v>
          </cell>
          <cell r="C207" t="str">
            <v>攻撃力UP</v>
          </cell>
          <cell r="D207" t="str">
            <v>パーティーに体力かテクニカルタイプいる場合、全ユニット攻撃力400UP</v>
          </cell>
        </row>
        <row r="208">
          <cell r="A208">
            <v>1700</v>
          </cell>
          <cell r="B208" t="str">
            <v>ja</v>
          </cell>
          <cell r="C208" t="str">
            <v>パネルブレイク30 ターンHP小回復</v>
          </cell>
          <cell r="D208" t="str">
            <v>自身が先頭の時、1ターンの間に合計30個以上パネルを破壊した場合に1ターン HP小回復</v>
          </cell>
        </row>
        <row r="209">
          <cell r="A209">
            <v>1701</v>
          </cell>
          <cell r="B209" t="str">
            <v>ja</v>
          </cell>
          <cell r="C209" t="str">
            <v>5ターン毎、HP回復</v>
          </cell>
          <cell r="D209" t="str">
            <v>最初の1ターン目と、その後5ターン毎のターン終了時、HPを2500回復する</v>
          </cell>
        </row>
        <row r="210">
          <cell r="A210">
            <v>1702</v>
          </cell>
          <cell r="B210" t="str">
            <v>ja</v>
          </cell>
          <cell r="C210" t="str">
            <v>ターン経過攻撃力UP</v>
          </cell>
          <cell r="D210" t="str">
            <v>最初の1ターン目と、その後6ターン毎に1ターン種族ドラゴン・ファンタジー・アニマルの攻撃力を1000UP</v>
          </cell>
        </row>
        <row r="211">
          <cell r="A211">
            <v>1703</v>
          </cell>
          <cell r="B211" t="str">
            <v>ja</v>
          </cell>
          <cell r="C211" t="str">
            <v>隣接ユニット スキルターン短縮(8ターン)</v>
          </cell>
          <cell r="D211" t="str">
            <v>最初の1ターン目と、その後8ターン毎に右隣のユニットのスキルターンを1短縮</v>
          </cell>
        </row>
        <row r="212">
          <cell r="A212">
            <v>1704</v>
          </cell>
          <cell r="B212" t="str">
            <v>ja</v>
          </cell>
          <cell r="C212" t="str">
            <v>ターン経過回復力UP</v>
          </cell>
          <cell r="D212" t="str">
            <v>最初の1ターン目と、その後6ターン毎に1ターン自身と右隣のユニットの回復力を1500UP</v>
          </cell>
        </row>
        <row r="213">
          <cell r="A213">
            <v>1800</v>
          </cell>
          <cell r="B213" t="str">
            <v>ja</v>
          </cell>
          <cell r="C213" t="str">
            <v>フィーバー強化</v>
          </cell>
          <cell r="D213" t="str">
            <v>フィーバー時自身の攻撃力、回復力を特大UP</v>
          </cell>
        </row>
        <row r="214">
          <cell r="A214">
            <v>1900</v>
          </cell>
          <cell r="B214" t="str">
            <v>ja</v>
          </cell>
          <cell r="C214" t="str">
            <v>ハート出現率UP</v>
          </cell>
          <cell r="D214" t="str">
            <v>自身が先頭の時、ハートパネルの出現率UP</v>
          </cell>
        </row>
        <row r="215">
          <cell r="A215">
            <v>2000</v>
          </cell>
          <cell r="B215" t="str">
            <v>ja</v>
          </cell>
          <cell r="C215" t="str">
            <v>赤パネル出現率UP</v>
          </cell>
          <cell r="D215" t="str">
            <v>自身が先頭の時、赤パネルの出現率UP</v>
          </cell>
        </row>
        <row r="216">
          <cell r="A216">
            <v>2100</v>
          </cell>
          <cell r="B216" t="str">
            <v>ja</v>
          </cell>
          <cell r="C216" t="str">
            <v>緑パネル出現率UP</v>
          </cell>
          <cell r="D216" t="str">
            <v>自身が先頭の時、緑パネルの出現率UP</v>
          </cell>
        </row>
        <row r="217">
          <cell r="A217">
            <v>2101</v>
          </cell>
          <cell r="B217" t="str">
            <v>ja</v>
          </cell>
          <cell r="C217" t="str">
            <v>緑パネル出現率UP</v>
          </cell>
          <cell r="D217" t="str">
            <v>自身が先頭の時、緑パネルの出現率UP</v>
          </cell>
        </row>
        <row r="218">
          <cell r="A218">
            <v>2200</v>
          </cell>
          <cell r="B218" t="str">
            <v>ja</v>
          </cell>
          <cell r="C218" t="str">
            <v>青パネル出現率UP</v>
          </cell>
          <cell r="D218" t="str">
            <v>自身が先頭の時、青パネルの出現率UP</v>
          </cell>
        </row>
        <row r="219">
          <cell r="A219">
            <v>2201</v>
          </cell>
          <cell r="B219" t="str">
            <v>ja</v>
          </cell>
          <cell r="C219" t="str">
            <v>青パネル出現率UP</v>
          </cell>
          <cell r="D219" t="str">
            <v>自身が先頭の時、青パネルの出現率UP</v>
          </cell>
        </row>
        <row r="220">
          <cell r="A220">
            <v>2300</v>
          </cell>
          <cell r="B220" t="str">
            <v>ja</v>
          </cell>
          <cell r="C220" t="str">
            <v>黄パネル出現率UP</v>
          </cell>
          <cell r="D220" t="str">
            <v>自身が先頭の時、黄パネルの出現率UP</v>
          </cell>
        </row>
        <row r="221">
          <cell r="A221">
            <v>2400</v>
          </cell>
          <cell r="B221" t="str">
            <v>ja</v>
          </cell>
          <cell r="C221" t="str">
            <v>ハートボムパネルドロップ</v>
          </cell>
          <cell r="D221" t="str">
            <v>自身が先頭の時、ハートパネルを確率でハートボムパネルに変換しドロップ</v>
          </cell>
        </row>
        <row r="222">
          <cell r="A222">
            <v>2401</v>
          </cell>
          <cell r="B222" t="str">
            <v>ja</v>
          </cell>
          <cell r="C222" t="str">
            <v>赤ボムパネルドロップ</v>
          </cell>
          <cell r="D222" t="str">
            <v>自身が先頭の時、赤パネルを低確率で赤ボムパネルに変換しドロップ</v>
          </cell>
        </row>
        <row r="223">
          <cell r="A223">
            <v>2402</v>
          </cell>
          <cell r="B223" t="str">
            <v>ja</v>
          </cell>
          <cell r="C223" t="str">
            <v>緑ボムパネルドロップ</v>
          </cell>
          <cell r="D223" t="str">
            <v>自身が先頭の時、緑パネルを低確率で緑ボムパネルに変換しドロップ</v>
          </cell>
        </row>
        <row r="224">
          <cell r="A224">
            <v>2403</v>
          </cell>
          <cell r="B224" t="str">
            <v>ja</v>
          </cell>
          <cell r="C224" t="str">
            <v>青ボムパネルドロップ</v>
          </cell>
          <cell r="D224" t="str">
            <v>自身が先頭の時、青パネルを確率で青ボムパネルに変換しドロップ</v>
          </cell>
        </row>
        <row r="225">
          <cell r="A225">
            <v>2500</v>
          </cell>
          <cell r="B225" t="str">
            <v>ja</v>
          </cell>
          <cell r="C225" t="str">
            <v>青パネルドロップ</v>
          </cell>
          <cell r="D225" t="str">
            <v>自身が先頭の時、緑パネルを確率で青パネルに変換しドロップ</v>
          </cell>
        </row>
        <row r="226">
          <cell r="A226">
            <v>2501</v>
          </cell>
          <cell r="B226" t="str">
            <v>ja</v>
          </cell>
          <cell r="C226" t="str">
            <v>黄パネルドロップ</v>
          </cell>
          <cell r="D226" t="str">
            <v>自身が先頭の時、青パネルを確率で黄パネルに変換しドロップ</v>
          </cell>
        </row>
        <row r="227">
          <cell r="A227">
            <v>2502</v>
          </cell>
          <cell r="B227" t="str">
            <v>ja</v>
          </cell>
          <cell r="C227" t="str">
            <v>赤パネルドロップ</v>
          </cell>
          <cell r="D227" t="str">
            <v>自身が先頭の時、黄パネルを確率で赤パネルに変換しドロップ</v>
          </cell>
        </row>
        <row r="228">
          <cell r="A228">
            <v>2503</v>
          </cell>
          <cell r="B228" t="str">
            <v>ja</v>
          </cell>
          <cell r="C228" t="str">
            <v>黄パネルドロップ</v>
          </cell>
          <cell r="D228" t="str">
            <v>自身が先頭の時、赤パネルを確率で黄パネルに変換しドロップ</v>
          </cell>
        </row>
        <row r="229">
          <cell r="A229">
            <v>2504</v>
          </cell>
          <cell r="B229" t="str">
            <v>ja</v>
          </cell>
          <cell r="C229" t="str">
            <v>SCパネルドロップ</v>
          </cell>
          <cell r="D229" t="str">
            <v>自身が先頭の時、緑パネルを確率でSCパネルに変換しドロップ</v>
          </cell>
        </row>
        <row r="230">
          <cell r="A230">
            <v>2505</v>
          </cell>
          <cell r="B230" t="str">
            <v>ja</v>
          </cell>
          <cell r="C230" t="str">
            <v>緑ボムパネル(大)ドロップ</v>
          </cell>
          <cell r="D230" t="str">
            <v>自身が先頭の時、低確率で緑ボムパネル(大)をドロップ</v>
          </cell>
        </row>
        <row r="231">
          <cell r="A231">
            <v>2506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2507</v>
          </cell>
          <cell r="B232" t="str">
            <v>ja</v>
          </cell>
          <cell r="C232" t="str">
            <v>Cパネルドロップ</v>
          </cell>
          <cell r="D232" t="str">
            <v>自身が先頭の時、低確率でCパネルをドロップ</v>
          </cell>
        </row>
        <row r="233">
          <cell r="A233">
            <v>2508</v>
          </cell>
          <cell r="B233" t="str">
            <v>ja</v>
          </cell>
          <cell r="C233" t="str">
            <v>黄パネルドロップ</v>
          </cell>
          <cell r="D233" t="str">
            <v>自身が先頭の時、緑パネルを確率で黄パネルに変換しドロップ</v>
          </cell>
        </row>
        <row r="234">
          <cell r="A234">
            <v>2509</v>
          </cell>
          <cell r="B234" t="str">
            <v>ja</v>
          </cell>
          <cell r="C234" t="str">
            <v>赤ボムパネル(大)ドロップ</v>
          </cell>
          <cell r="D234" t="str">
            <v>自身が先頭の時、低確率で赤ボムパネル(大)をドロップ</v>
          </cell>
        </row>
        <row r="235">
          <cell r="A235">
            <v>2510</v>
          </cell>
          <cell r="B235" t="str">
            <v>ja</v>
          </cell>
          <cell r="C235" t="str">
            <v>青ボムパネル(大)ドロップ</v>
          </cell>
          <cell r="D235" t="str">
            <v>自身が先頭の時、低確率で青ボムパネル(大)をドロップ</v>
          </cell>
        </row>
        <row r="236">
          <cell r="A236">
            <v>2511</v>
          </cell>
          <cell r="B236" t="str">
            <v>ja</v>
          </cell>
          <cell r="C236" t="str">
            <v>緑ボムパネルドロップ</v>
          </cell>
          <cell r="D236" t="str">
            <v>自身が先頭の時、ハートパネルを確率で緑ボムパネルに変換しドロップ</v>
          </cell>
        </row>
        <row r="237">
          <cell r="A237">
            <v>2512</v>
          </cell>
          <cell r="B237" t="str">
            <v>ja</v>
          </cell>
          <cell r="C237" t="str">
            <v>ハートボムパネル(大)ドロップ</v>
          </cell>
          <cell r="D237" t="str">
            <v>自身が先頭の時、低確率でハートボムパネル(大)をドロップ</v>
          </cell>
        </row>
        <row r="238">
          <cell r="A238">
            <v>2513</v>
          </cell>
          <cell r="B238" t="str">
            <v>ja</v>
          </cell>
          <cell r="C238" t="str">
            <v>緑ボムパネル(大)ドロップ</v>
          </cell>
          <cell r="D238" t="str">
            <v>自身が先頭の時、低確率で緑ボムパネル(大)をドロップ</v>
          </cell>
        </row>
        <row r="239">
          <cell r="A239">
            <v>2514</v>
          </cell>
          <cell r="B239" t="str">
            <v>ja</v>
          </cell>
          <cell r="C239" t="str">
            <v>赤ボムパネルドロップ</v>
          </cell>
          <cell r="D239" t="str">
            <v>自身が先頭の時、青パネルを低確率で赤ボムパネルに変換しドロップ</v>
          </cell>
        </row>
        <row r="240">
          <cell r="A240">
            <v>2600</v>
          </cell>
          <cell r="B240" t="str">
            <v>ja</v>
          </cell>
          <cell r="C240" t="str">
            <v>回復力400UP</v>
          </cell>
          <cell r="D240" t="str">
            <v>自身の回復力を400UP</v>
          </cell>
        </row>
        <row r="241">
          <cell r="A241">
            <v>2601</v>
          </cell>
          <cell r="B241" t="str">
            <v>ja</v>
          </cell>
          <cell r="C241" t="str">
            <v>回復力300UP</v>
          </cell>
          <cell r="D241" t="str">
            <v>自身の回復力を300UP</v>
          </cell>
        </row>
        <row r="242">
          <cell r="A242">
            <v>2700</v>
          </cell>
          <cell r="B242" t="str">
            <v>ja</v>
          </cell>
          <cell r="C242" t="str">
            <v>攻撃力UP</v>
          </cell>
          <cell r="D242" t="str">
            <v>自身の攻撃力を300UP</v>
          </cell>
        </row>
        <row r="243">
          <cell r="A243">
            <v>2701</v>
          </cell>
          <cell r="B243" t="str">
            <v>ja</v>
          </cell>
          <cell r="C243" t="str">
            <v>攻撃力UP</v>
          </cell>
          <cell r="D243" t="str">
            <v>自身の攻撃力を500UP</v>
          </cell>
        </row>
        <row r="244">
          <cell r="A244">
            <v>2800</v>
          </cell>
          <cell r="B244" t="str">
            <v>ja</v>
          </cell>
          <cell r="C244" t="str">
            <v>防御力UP</v>
          </cell>
          <cell r="D244" t="str">
            <v>自身の防御力を250UP</v>
          </cell>
        </row>
        <row r="245">
          <cell r="A245">
            <v>2801</v>
          </cell>
          <cell r="B245" t="str">
            <v>ja</v>
          </cell>
          <cell r="C245" t="str">
            <v>防御力UP</v>
          </cell>
          <cell r="D245" t="str">
            <v>自身の防御力を350UP</v>
          </cell>
        </row>
        <row r="246">
          <cell r="A246">
            <v>2802</v>
          </cell>
          <cell r="B246" t="str">
            <v>ja</v>
          </cell>
          <cell r="C246" t="str">
            <v>防御力UP</v>
          </cell>
          <cell r="D246" t="str">
            <v>自身の防御力を300UP</v>
          </cell>
        </row>
        <row r="247">
          <cell r="A247">
            <v>2803</v>
          </cell>
          <cell r="B247" t="str">
            <v>ja</v>
          </cell>
          <cell r="C247" t="str">
            <v>防御力UP</v>
          </cell>
          <cell r="D247" t="str">
            <v>自身の防御力を400UP</v>
          </cell>
        </row>
        <row r="248">
          <cell r="A248">
            <v>2804</v>
          </cell>
          <cell r="B248" t="str">
            <v>ja</v>
          </cell>
          <cell r="C248" t="str">
            <v>防御力UP</v>
          </cell>
          <cell r="D248" t="str">
            <v>自身の防御力を280UP</v>
          </cell>
        </row>
        <row r="249">
          <cell r="A249">
            <v>2805</v>
          </cell>
          <cell r="B249" t="str">
            <v>ja</v>
          </cell>
          <cell r="C249" t="str">
            <v>3ターン毎、防御力UP</v>
          </cell>
          <cell r="D249" t="str">
            <v>最初の1ターン目と、その後3ターン毎に1ターン緑属性ユニットの防御力を500UP</v>
          </cell>
        </row>
        <row r="250">
          <cell r="A250">
            <v>2900</v>
          </cell>
          <cell r="B250" t="str">
            <v>ja</v>
          </cell>
          <cell r="C250" t="str">
            <v>フィーバー50 攻撃力小UP</v>
          </cell>
          <cell r="D250" t="str">
            <v>フィーバーゲージが50％以上の時、自身の攻撃力小UP</v>
          </cell>
        </row>
        <row r="251">
          <cell r="A251">
            <v>2901</v>
          </cell>
          <cell r="B251" t="str">
            <v>ja</v>
          </cell>
          <cell r="C251" t="str">
            <v>フィーバー40 攻撃力UP</v>
          </cell>
          <cell r="D251" t="str">
            <v>フィーバーゲージが40％以上の時、自身の攻撃力UP</v>
          </cell>
        </row>
        <row r="252">
          <cell r="A252">
            <v>2902</v>
          </cell>
          <cell r="B252" t="str">
            <v>ja</v>
          </cell>
          <cell r="C252" t="str">
            <v>フィーバー80 攻撃力大UP</v>
          </cell>
          <cell r="D252" t="str">
            <v>フィーバーゲージが80％以上の時、自身の攻撃力大UP</v>
          </cell>
        </row>
        <row r="253">
          <cell r="A253">
            <v>2903</v>
          </cell>
          <cell r="B253" t="str">
            <v>ja</v>
          </cell>
          <cell r="C253" t="str">
            <v>フィーバー100 攻撃参加</v>
          </cell>
          <cell r="D253" t="str">
            <v>フィーバーゲージが100％の時、自身が先頭以外でも通常攻撃に参加する</v>
          </cell>
        </row>
        <row r="254">
          <cell r="A254">
            <v>2904</v>
          </cell>
          <cell r="B254" t="str">
            <v>ja</v>
          </cell>
          <cell r="C254" t="str">
            <v>フィーバー70 HP回復</v>
          </cell>
          <cell r="D254" t="str">
            <v>フィーバーゲージが70%以上の時、毎ターン終了時、HPを1500回復する</v>
          </cell>
        </row>
        <row r="255">
          <cell r="A255">
            <v>2905</v>
          </cell>
          <cell r="B255" t="str">
            <v>ja</v>
          </cell>
          <cell r="C255" t="str">
            <v>フィーバー100 Cパネル生成短縮</v>
          </cell>
          <cell r="D255" t="str">
            <v>フィーバーゲージが100％の時、全ユニットのCパネル生成に必要なチェイン数を1短縮する</v>
          </cell>
        </row>
        <row r="256">
          <cell r="A256">
            <v>3000</v>
          </cell>
          <cell r="B256" t="str">
            <v>ja</v>
          </cell>
          <cell r="C256" t="str">
            <v>7ターン毎、攻撃参加</v>
          </cell>
          <cell r="D256" t="str">
            <v>最初の1ターン目と、その後7ターン毎に自身が先頭以外でも通常攻撃に参加する</v>
          </cell>
        </row>
        <row r="257">
          <cell r="A257">
            <v>3001</v>
          </cell>
          <cell r="B257" t="str">
            <v>ja</v>
          </cell>
          <cell r="C257" t="str">
            <v>6ターン毎、攻撃参加</v>
          </cell>
          <cell r="D257" t="str">
            <v>最初の1ターン目と、その後6ターン毎に自身が先頭以外でも通常攻撃に参加する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最終フロアの毎ターン終了時にパーティの合計HPの5%を回復する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3108</v>
          </cell>
          <cell r="B267" t="str">
            <v>ja</v>
          </cell>
          <cell r="C267" t="str">
            <v>最終フロア時 バリア8000</v>
          </cell>
          <cell r="D267" t="str">
            <v>最終フロア到達時に自身への直接ダメージを8000まで防ぐバリアを一度だけ展開(バリアは破壊されると復活しない)</v>
          </cell>
        </row>
        <row r="268">
          <cell r="A268">
            <v>3200</v>
          </cell>
          <cell r="B268" t="str">
            <v>ja</v>
          </cell>
          <cell r="C268" t="str">
            <v>HP33%以下 攻撃力UP</v>
          </cell>
          <cell r="D268" t="str">
            <v>自身が先頭の時、残りHPが33%以下で攻撃力特大UP</v>
          </cell>
        </row>
        <row r="269">
          <cell r="A269">
            <v>3201</v>
          </cell>
          <cell r="B269" t="str">
            <v>ja</v>
          </cell>
          <cell r="C269" t="str">
            <v>HP35%以下 回復力UP</v>
          </cell>
          <cell r="D269" t="str">
            <v>自身が先頭の時、残りHPが35%以下で回復力40%UP</v>
          </cell>
        </row>
        <row r="270">
          <cell r="A270">
            <v>3202</v>
          </cell>
          <cell r="B270" t="str">
            <v>ja</v>
          </cell>
          <cell r="C270" t="str">
            <v>HP90%以上 全属性耐性15</v>
          </cell>
          <cell r="D270" t="str">
            <v>自身が先頭の時、残りHPが90%以上で全ユニットに対する全属性の敵からの攻撃を15％軽減</v>
          </cell>
        </row>
        <row r="271">
          <cell r="A271">
            <v>3203</v>
          </cell>
          <cell r="B271" t="str">
            <v>ja</v>
          </cell>
          <cell r="C271" t="str">
            <v>HP50%以下 防御力UP</v>
          </cell>
          <cell r="D271" t="str">
            <v>自身が先頭の時、残りHPが50%以下で防御力398UP</v>
          </cell>
        </row>
        <row r="272">
          <cell r="A272">
            <v>3204</v>
          </cell>
          <cell r="B272" t="str">
            <v>ja</v>
          </cell>
          <cell r="C272" t="str">
            <v>HP30%以下 攻撃力大UP</v>
          </cell>
          <cell r="D272" t="str">
            <v>自身が先頭の時、残りHPが30%以下で攻撃力大UP</v>
          </cell>
        </row>
        <row r="273">
          <cell r="A273">
            <v>3205</v>
          </cell>
          <cell r="B273" t="str">
            <v>ja</v>
          </cell>
          <cell r="C273" t="str">
            <v>HP90%以上 ダメージ軽減</v>
          </cell>
          <cell r="D273" t="str">
            <v>残りHPが90%以上の時、全ユニットが敵からの攻撃を15％軽減</v>
          </cell>
        </row>
        <row r="274">
          <cell r="A274">
            <v>3206</v>
          </cell>
          <cell r="B274" t="str">
            <v>ja</v>
          </cell>
          <cell r="C274" t="str">
            <v>HP30%以下 回復力UP</v>
          </cell>
          <cell r="D274" t="str">
            <v>残りHPが30%以下の時、全ユニットの回復力20%UP</v>
          </cell>
        </row>
        <row r="275">
          <cell r="A275">
            <v>3207</v>
          </cell>
          <cell r="B275" t="str">
            <v>ja</v>
          </cell>
          <cell r="C275" t="str">
            <v>HP50%以下 回復力UP</v>
          </cell>
          <cell r="D275" t="str">
            <v>残りHPが50%以下の時、全ユニットの回復力365UP</v>
          </cell>
        </row>
        <row r="276">
          <cell r="A276">
            <v>3208</v>
          </cell>
          <cell r="B276" t="str">
            <v>ja</v>
          </cell>
          <cell r="C276" t="str">
            <v>HP35%以下 防御力UP</v>
          </cell>
          <cell r="D276" t="str">
            <v>残りHPが35%以下の時、自身の防御力800UP</v>
          </cell>
        </row>
        <row r="277">
          <cell r="A277">
            <v>4000</v>
          </cell>
          <cell r="B277" t="str">
            <v>ja</v>
          </cell>
          <cell r="C277" t="str">
            <v>被ダメージ時 HP回復</v>
          </cell>
          <cell r="D277" t="str">
            <v>自身が攻撃を受けた場合、次のターンの開始時にHP500回復する</v>
          </cell>
        </row>
        <row r="278">
          <cell r="A278">
            <v>5000</v>
          </cell>
          <cell r="B278" t="str">
            <v>ja</v>
          </cell>
          <cell r="C278" t="str">
            <v>パーティー内ゴッド 攻撃力UP</v>
          </cell>
          <cell r="D278" t="str">
            <v>パーティー内に種族ゴッドがいる時、全ユニットの攻撃力を500UP</v>
          </cell>
        </row>
        <row r="279">
          <cell r="A279">
            <v>5001</v>
          </cell>
          <cell r="B279" t="str">
            <v>ja</v>
          </cell>
          <cell r="C279" t="str">
            <v>パーティー内バランス 回復力UP</v>
          </cell>
          <cell r="D279" t="str">
            <v>パーティー内にバランスタイプがいる時、全ユニットの回復力を500UP</v>
          </cell>
        </row>
        <row r="280">
          <cell r="A280">
            <v>5002</v>
          </cell>
          <cell r="B280" t="str">
            <v>ja</v>
          </cell>
          <cell r="C280" t="str">
            <v>パーティー内青属性 攻撃力UP</v>
          </cell>
          <cell r="D280" t="str">
            <v>パーティー内に青属性ユニットがいる時、全ユニットの攻撃力を700UP</v>
          </cell>
        </row>
        <row r="281">
          <cell r="A281">
            <v>5003</v>
          </cell>
          <cell r="B281" t="str">
            <v>ja</v>
          </cell>
          <cell r="C281" t="str">
            <v>パーティー内赤属性 自身攻撃力UP</v>
          </cell>
          <cell r="D281" t="str">
            <v>パーティー内に赤属性ユニットがいる時、自身の攻撃力を1500UP</v>
          </cell>
        </row>
        <row r="282">
          <cell r="A282">
            <v>8000</v>
          </cell>
          <cell r="B282" t="str">
            <v>ja</v>
          </cell>
          <cell r="C282" t="str">
            <v>ユニットが一番右にいるとき 攻撃力UP</v>
          </cell>
          <cell r="D282" t="str">
            <v>自身が一番右にいる場合、全ユニットの攻撃力UP</v>
          </cell>
        </row>
        <row r="283">
          <cell r="A283">
            <v>8001</v>
          </cell>
          <cell r="B283" t="str">
            <v>ja</v>
          </cell>
          <cell r="C283" t="str">
            <v>敵に青属性がいる場合 小カウンター</v>
          </cell>
          <cell r="D283" t="str">
            <v>敵に青属性がいる場合、小カウンター</v>
          </cell>
        </row>
        <row r="284">
          <cell r="A284">
            <v>8002</v>
          </cell>
          <cell r="B284" t="str">
            <v>ja</v>
          </cell>
          <cell r="C284" t="str">
            <v>テスト</v>
          </cell>
          <cell r="D284" t="str">
            <v>フロアスタート時、1ターン全ユニットの攻撃力UP</v>
          </cell>
        </row>
        <row r="285">
          <cell r="A285">
            <v>8003</v>
          </cell>
          <cell r="B285" t="str">
            <v>ja</v>
          </cell>
          <cell r="C285" t="str">
            <v>HP70%以上 ウィルス無効</v>
          </cell>
          <cell r="D285" t="str">
            <v>残りHPが70%以上で自身にかかるウィルスを無効化する</v>
          </cell>
        </row>
        <row r="286">
          <cell r="A286">
            <v>8004</v>
          </cell>
          <cell r="B286" t="str">
            <v>ja</v>
          </cell>
          <cell r="C286" t="str">
            <v>フロアスタート時 スキルブースト</v>
          </cell>
          <cell r="D286" t="str">
            <v>フロアスタート時、1ターンスキルブースト</v>
          </cell>
        </row>
        <row r="287">
          <cell r="A287">
            <v>8005</v>
          </cell>
          <cell r="B287" t="str">
            <v>ja</v>
          </cell>
          <cell r="C287" t="str">
            <v>ハートがハートボム大</v>
          </cell>
          <cell r="D287" t="str">
            <v>ハートがハートボム大</v>
          </cell>
        </row>
        <row r="288">
          <cell r="A288">
            <v>8006</v>
          </cell>
          <cell r="B288" t="str">
            <v>ja</v>
          </cell>
          <cell r="C288" t="str">
            <v>攻撃、回復、体力のCP短縮1</v>
          </cell>
          <cell r="D288" t="str">
            <v>攻撃、回復、体力のCP短縮1</v>
          </cell>
        </row>
        <row r="289">
          <cell r="A289">
            <v>8007</v>
          </cell>
          <cell r="B289" t="str">
            <v>ja</v>
          </cell>
          <cell r="C289" t="str">
            <v>自身の左ユニットが攻撃参加</v>
          </cell>
          <cell r="D289" t="str">
            <v>自身の左ユニットが攻撃参加</v>
          </cell>
        </row>
        <row r="290">
          <cell r="A290">
            <v>8008</v>
          </cell>
          <cell r="B290" t="str">
            <v>ja</v>
          </cell>
          <cell r="C290" t="str">
            <v>ターン経過回復力UP</v>
          </cell>
          <cell r="D290" t="str">
            <v>最初の1ターン目と、その後4ターン毎に2ターン全ユニットの回復力を1500UP</v>
          </cell>
        </row>
        <row r="291">
          <cell r="A291">
            <v>8009</v>
          </cell>
          <cell r="B291" t="str">
            <v>ja</v>
          </cell>
          <cell r="C291" t="str">
            <v>最終フロア Cパネル生成短縮(特大)</v>
          </cell>
          <cell r="D291" t="str">
            <v>最終フロア内で自身が先頭の時、Cパネル生成に必要なチェイン数を4短縮する</v>
          </cell>
        </row>
        <row r="292">
          <cell r="A292">
            <v>9000</v>
          </cell>
          <cell r="B292" t="str">
            <v>ja</v>
          </cell>
          <cell r="C292" t="str">
            <v>ハップルチャレンジ ダメージUP</v>
          </cell>
          <cell r="D292" t="str">
            <v>ハップルチャレンジ内で自身の全ての攻撃の威力をUP</v>
          </cell>
        </row>
        <row r="293">
          <cell r="A293">
            <v>9001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クロネッカーチャレンジ内で自身の全ての攻撃の威力をUP</v>
          </cell>
        </row>
        <row r="294">
          <cell r="A294">
            <v>9002</v>
          </cell>
          <cell r="B294" t="str">
            <v>ja</v>
          </cell>
          <cell r="C294" t="str">
            <v>クロネッカーチャレンジ ダメージUP</v>
          </cell>
          <cell r="D294" t="str">
            <v>クロネッカーチャレンジ内で自身の全ての攻撃+カウンターの威力をUP</v>
          </cell>
        </row>
        <row r="295">
          <cell r="A295">
            <v>9003</v>
          </cell>
          <cell r="B295" t="str">
            <v>ja</v>
          </cell>
          <cell r="C295" t="str">
            <v>オイラーチャレンジ ダメージUP</v>
          </cell>
          <cell r="D295" t="str">
            <v>オイラーチャレンジ内で自身の全ての攻撃の威力をUP</v>
          </cell>
        </row>
        <row r="296">
          <cell r="A296">
            <v>9004</v>
          </cell>
          <cell r="B296" t="str">
            <v>ja</v>
          </cell>
          <cell r="C296" t="str">
            <v>オイラーチャレンジ ダメージ究極UP</v>
          </cell>
          <cell r="D296" t="str">
            <v>オイラーチャレンジ内で自身の全ての攻撃の威力を究極UP</v>
          </cell>
        </row>
        <row r="297">
          <cell r="A297">
            <v>9005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ヘンペルチャレンジ内で自身の全ての攻撃の威力をUP</v>
          </cell>
        </row>
        <row r="298">
          <cell r="A298">
            <v>9006</v>
          </cell>
          <cell r="B298" t="str">
            <v>ja</v>
          </cell>
          <cell r="C298" t="str">
            <v>ヘンペルチャレンジ ダメージUP</v>
          </cell>
          <cell r="D298" t="str">
            <v>ヘンペルチャレンジ内で自身の全ての攻撃+カウンターの威力をUP</v>
          </cell>
        </row>
        <row r="299">
          <cell r="A299">
            <v>9007</v>
          </cell>
          <cell r="B299" t="str">
            <v>ja</v>
          </cell>
          <cell r="C299" t="str">
            <v>フロイトチャレンジ ダメージ究極UP</v>
          </cell>
          <cell r="D299" t="str">
            <v>フロイトチャレンジ内で自身の全ての攻撃の威力を究極UP</v>
          </cell>
        </row>
        <row r="300">
          <cell r="A300">
            <v>9008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フロイトチャレンジ内で自身の全ての攻撃の威力をUP</v>
          </cell>
        </row>
        <row r="301">
          <cell r="A301">
            <v>9009</v>
          </cell>
          <cell r="B301" t="str">
            <v>ja</v>
          </cell>
          <cell r="C301" t="str">
            <v>フロイトチャレンジ ダメージUP</v>
          </cell>
          <cell r="D301" t="str">
            <v>フロイトチャレンジ内で自身の全ての攻撃+カウンターの威力をUP</v>
          </cell>
        </row>
        <row r="302">
          <cell r="A302">
            <v>9010</v>
          </cell>
          <cell r="B302" t="str">
            <v>ja</v>
          </cell>
          <cell r="C302" t="str">
            <v>ウエディングクエスト ダメージUP</v>
          </cell>
          <cell r="D302" t="str">
            <v>ウエディングクエスト内で自身の全ての攻撃の威力をUP</v>
          </cell>
        </row>
        <row r="303">
          <cell r="A303">
            <v>9011</v>
          </cell>
          <cell r="B303" t="str">
            <v>ja</v>
          </cell>
          <cell r="C303" t="str">
            <v>クリスマスクエストダメージUP</v>
          </cell>
          <cell r="D303" t="str">
            <v>クリスマスクエスト内で自身の全ての攻撃の威力をUP</v>
          </cell>
        </row>
        <row r="304">
          <cell r="A304">
            <v>119402</v>
          </cell>
          <cell r="B304" t="str">
            <v>ja</v>
          </cell>
          <cell r="C304" t="str">
            <v>ハロウィンナイトパニック！ 威力UP</v>
          </cell>
          <cell r="D304" t="str">
            <v>ハロウィンナイトパニック！内で自身の全ての攻撃の威力を究極UP</v>
          </cell>
        </row>
        <row r="305">
          <cell r="A305">
            <v>500801</v>
          </cell>
          <cell r="B305" t="str">
            <v>ja</v>
          </cell>
          <cell r="C305" t="str">
            <v>パネルブレイク35 攻撃力小UP</v>
          </cell>
          <cell r="D305" t="str">
            <v>自身が先頭の時、1ターンの間に合計35個以上パネルを破壊した場合に攻撃力小UP</v>
          </cell>
        </row>
        <row r="306">
          <cell r="A306">
            <v>808082</v>
          </cell>
          <cell r="B306" t="str">
            <v>ja</v>
          </cell>
          <cell r="C306" t="str">
            <v>Cパネルドロップ</v>
          </cell>
          <cell r="D306" t="str">
            <v>自身が先頭の時、低確率でCパネルをドロップ</v>
          </cell>
        </row>
        <row r="307">
          <cell r="A307">
            <v>900000</v>
          </cell>
          <cell r="B307" t="str">
            <v>ja</v>
          </cell>
          <cell r="C307" t="str">
            <v>フィーバー100 プロテクトブレイク</v>
          </cell>
          <cell r="D307" t="str">
            <v>フィーバーゲージが100％以上の時、1ターンプロテクトブレイク</v>
          </cell>
        </row>
        <row r="308">
          <cell r="A308">
            <v>900001</v>
          </cell>
          <cell r="B308" t="str">
            <v>ja</v>
          </cell>
          <cell r="C308" t="str">
            <v>フィーバー100 お邪魔ブレイク</v>
          </cell>
          <cell r="D308" t="str">
            <v>フィーバーゲージが100％以上の時、1ターンお邪魔ブレイク</v>
          </cell>
        </row>
        <row r="309">
          <cell r="A309">
            <v>900402</v>
          </cell>
          <cell r="B309" t="str">
            <v>ja</v>
          </cell>
          <cell r="C309" t="str">
            <v>バリア3500</v>
          </cell>
          <cell r="D309" t="str">
            <v>戦闘開始時に、自身への直接ダメージを3500まで防ぐバリアを一度だけ展開(バリアは破壊されると復活しない)</v>
          </cell>
        </row>
        <row r="310">
          <cell r="A310">
            <v>810202</v>
          </cell>
          <cell r="B310" t="str">
            <v>ja</v>
          </cell>
          <cell r="C310" t="str">
            <v>パネルブレイク50 ダメージ軽減</v>
          </cell>
          <cell r="D310" t="str">
            <v>自身が先頭の時、1ターンの間に合計50個以上パネルを破壊した場合敵からのダメージを15%軽減（1ターンに1度だけ発動）</v>
          </cell>
        </row>
        <row r="311">
          <cell r="A311">
            <v>811802</v>
          </cell>
          <cell r="B311" t="str">
            <v>ja</v>
          </cell>
          <cell r="C311" t="str">
            <v>ターン攻撃力UP</v>
          </cell>
          <cell r="D311" t="str">
            <v>最初の1ターン目と、その後6ターン毎に1ターン種族ドラゴン・ファンタジー・アニマルの攻撃力1000UP</v>
          </cell>
        </row>
        <row r="312">
          <cell r="A312">
            <v>812002</v>
          </cell>
          <cell r="B312" t="str">
            <v>ja</v>
          </cell>
          <cell r="C312" t="str">
            <v>ターンタップ増加</v>
          </cell>
          <cell r="D312" t="str">
            <v>最初の1ターン目と、その後6ターン毎に1ターン種族ドラゴン・ファンタジー・アニマルのタップ数1増加</v>
          </cell>
        </row>
        <row r="313">
          <cell r="A313">
            <v>811803</v>
          </cell>
          <cell r="B313" t="str">
            <v>ja</v>
          </cell>
          <cell r="C313" t="str">
            <v>端午クエスト ダメージUP</v>
          </cell>
          <cell r="D313" t="str">
            <v>端午クエスト内で自身の全ての攻撃の威力をUP</v>
          </cell>
        </row>
        <row r="314">
          <cell r="A314">
            <v>900802</v>
          </cell>
          <cell r="B314" t="str">
            <v>ja</v>
          </cell>
          <cell r="C314" t="str">
            <v>ターン攻撃力UP</v>
          </cell>
          <cell r="D314" t="str">
            <v>最初の1ターン目と、その後7ターン毎に1ターン赤属性の攻撃力777UP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D9" sqref="D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319</v>
      </c>
      <c r="B2" s="105" t="s">
        <v>129</v>
      </c>
      <c r="C2" s="162" t="s">
        <v>315</v>
      </c>
      <c r="D2" s="105" t="s">
        <v>128</v>
      </c>
      <c r="E2" s="104" t="str">
        <f>B2&amp;C2&amp;D2</f>
        <v>units_wizAwekening02.tmp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338</v>
      </c>
      <c r="S2" s="105"/>
      <c r="T2" s="105"/>
      <c r="U2" s="105"/>
      <c r="V2" s="105"/>
      <c r="W2" s="105"/>
    </row>
    <row r="3" spans="1:29" x14ac:dyDescent="0.15">
      <c r="A3" s="105" t="s">
        <v>337</v>
      </c>
      <c r="B3" s="105" t="s">
        <v>293</v>
      </c>
      <c r="C3" s="162" t="s">
        <v>315</v>
      </c>
      <c r="D3" s="105" t="s">
        <v>128</v>
      </c>
      <c r="E3" s="104" t="str">
        <f>B3&amp;C3&amp;D3</f>
        <v>fork_awake_units_wizAwekening02.tmp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337</v>
      </c>
      <c r="B4" s="105" t="s">
        <v>130</v>
      </c>
      <c r="C4" s="162" t="s">
        <v>315</v>
      </c>
      <c r="D4" s="105" t="s">
        <v>128</v>
      </c>
      <c r="E4" s="104" t="str">
        <f>B4&amp;C4&amp;D4</f>
        <v>awake_materials_wizAwekening02.tmp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337</v>
      </c>
      <c r="B5" s="105" t="s">
        <v>292</v>
      </c>
      <c r="C5" s="162" t="s">
        <v>315</v>
      </c>
      <c r="D5" s="105" t="s">
        <v>128</v>
      </c>
      <c r="E5" s="104" t="str">
        <f>B5&amp;C5&amp;D5</f>
        <v>fork_awake_materials_wizAwekening02.tmp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337</v>
      </c>
      <c r="B6" s="105" t="s">
        <v>131</v>
      </c>
      <c r="C6" s="162" t="s">
        <v>315</v>
      </c>
      <c r="D6" s="105" t="s">
        <v>132</v>
      </c>
      <c r="E6" s="104" t="str">
        <f t="shared" ref="E6" si="0">B6&amp;C6&amp;D6</f>
        <v>unit_levels_calc_wizAwekening02.tmp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319</v>
      </c>
      <c r="B7" s="105" t="s">
        <v>143</v>
      </c>
      <c r="C7" s="162" t="s">
        <v>315</v>
      </c>
      <c r="D7" s="105" t="s">
        <v>144</v>
      </c>
      <c r="E7" s="104" t="str">
        <f>B7&amp;C7&amp;D7</f>
        <v>unit_skills_data_wizAwekening02.tmp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319</v>
      </c>
      <c r="B8" s="105" t="s">
        <v>149</v>
      </c>
      <c r="C8" s="162" t="s">
        <v>315</v>
      </c>
      <c r="D8" s="105" t="s">
        <v>128</v>
      </c>
      <c r="E8" s="104" t="str">
        <f>B8&amp;C8&amp;D8</f>
        <v>unit_skills_i18n_wizAwekening02.tmp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319</v>
      </c>
      <c r="B9" s="105" t="s">
        <v>153</v>
      </c>
      <c r="C9" s="162" t="s">
        <v>315</v>
      </c>
      <c r="D9" s="105" t="s">
        <v>154</v>
      </c>
      <c r="E9" s="104" t="str">
        <f>B9&amp;C9&amp;D9</f>
        <v>crash_skills_data_wizAwekening02.tmp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319</v>
      </c>
      <c r="B10" s="105" t="s">
        <v>157</v>
      </c>
      <c r="C10" s="162" t="s">
        <v>315</v>
      </c>
      <c r="D10" s="105" t="s">
        <v>158</v>
      </c>
      <c r="E10" s="104" t="str">
        <f t="shared" ref="E10" si="1">B10&amp;C10&amp;D10</f>
        <v>crash_skills_i18n_wizAwekening02.tmp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337</v>
      </c>
      <c r="B11" s="108" t="s">
        <v>135</v>
      </c>
      <c r="C11" s="162" t="s">
        <v>315</v>
      </c>
      <c r="D11" s="105" t="s">
        <v>158</v>
      </c>
      <c r="E11" s="104" t="str">
        <f t="shared" ref="E11:E12" si="2">B11&amp;C11&amp;D11</f>
        <v>unit_serifs_data_wizAwekening02.tmp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337</v>
      </c>
      <c r="B12" s="108" t="s">
        <v>136</v>
      </c>
      <c r="C12" s="162" t="s">
        <v>315</v>
      </c>
      <c r="D12" s="105" t="s">
        <v>158</v>
      </c>
      <c r="E12" s="104" t="str">
        <f t="shared" si="2"/>
        <v>unit_serifs_i18n_wizAwekening02.tmp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337</v>
      </c>
      <c r="B13" s="105" t="s">
        <v>252</v>
      </c>
      <c r="C13" s="162" t="s">
        <v>315</v>
      </c>
      <c r="D13" s="105" t="s">
        <v>253</v>
      </c>
      <c r="E13" s="104" t="str">
        <f>B13&amp;C13&amp;D13</f>
        <v>abilities_wizAwekening02.tmp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337</v>
      </c>
      <c r="B14" s="105" t="s">
        <v>258</v>
      </c>
      <c r="C14" s="162" t="s">
        <v>315</v>
      </c>
      <c r="D14" s="105" t="s">
        <v>128</v>
      </c>
      <c r="E14" s="104" t="str">
        <f>B14&amp;C14&amp;D14</f>
        <v>abilities_i18n_wizAwekening02.tmp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337</v>
      </c>
      <c r="B15" s="105" t="s">
        <v>261</v>
      </c>
      <c r="C15" s="162" t="s">
        <v>315</v>
      </c>
      <c r="D15" s="105" t="s">
        <v>128</v>
      </c>
      <c r="E15" s="104" t="str">
        <f>B15&amp;C15&amp;D15</f>
        <v>unit_abilities_wizAwekening02.tmp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A2" activePane="bottomRight" state="frozen"/>
      <selection pane="topRight" activeCell="J1" sqref="J1"/>
      <selection pane="bottomLeft" activeCell="A3" sqref="A3"/>
      <selection pane="bottomRight" activeCell="AR2" sqref="AR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339</v>
      </c>
    </row>
    <row r="2" spans="1:70" ht="26" customHeight="1" x14ac:dyDescent="0.15">
      <c r="A2" s="186">
        <v>1175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蘇尊の誓聖義 アーサー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45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 t="s">
        <v>316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472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アーサー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1175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契盟聖剣エクスカリバー•レイ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緑パネルを最大8個Cパネルに変換し緑パネルを赤パネルに変換+2ターン赤属性の攻撃力UP(黄・青パネルを吸収し効果UP)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1175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聖義の烈炎斬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1体に大ダメージ_x000D_種族ドラゴンに効果特大+HPを回復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1.06</v>
      </c>
      <c r="AZ2" s="64">
        <v>1.08</v>
      </c>
      <c r="BA2" s="64">
        <v>0</v>
      </c>
      <c r="BB2" s="64">
        <v>0.86</v>
      </c>
      <c r="BC2" s="10">
        <f ca="1">INDEX('RC6SV'!$A$1:$G$21,MATCH(H2,'RC6SV'!$A$1:$A$21,FALSE),MATCH(G2,'RC6SV'!$A$1:$G$1,FALSE))</f>
        <v>12000</v>
      </c>
      <c r="BD2" s="44">
        <f t="shared" ref="BD2" ca="1" si="2">ROUND(BC2*IF(AJ2=1,0.95,IF(AJ2=2,1,IF(AJ2,1.05,0))),0)</f>
        <v>12000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2989</v>
      </c>
      <c r="BH2" s="15">
        <f ca="1">IF($BE2&lt;=0,ROUND(BL2*0.5,0), ROUND($BE2*T2*AB2*K2*AZ2*0.8*[1]ステータス!$C$2,0))</f>
        <v>1963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1353</v>
      </c>
      <c r="BK2" s="10">
        <f ca="1">ROUND(BD2*S2*AA2*J2*AY2*[1]ステータス!$B$2,0)</f>
        <v>5978</v>
      </c>
      <c r="BL2" s="10">
        <f ca="1">ROUND(BD2*T2*AB2*K2*AZ2*[1]ステータス!$C$2,0)</f>
        <v>3926</v>
      </c>
      <c r="BM2" s="10">
        <f ca="1">ROUND(BD2*U2*AC2*L2*BA2*[1]ステータス!$D$2,0)</f>
        <v>0</v>
      </c>
      <c r="BN2" s="10">
        <f ca="1">ROUND(BD2*V2*AD2*M2*BB2*[1]ステータス!$E$2,0)</f>
        <v>2705</v>
      </c>
      <c r="BO2" s="9">
        <v>0</v>
      </c>
      <c r="BP2" s="9">
        <v>1</v>
      </c>
      <c r="BQ2" s="36" t="s">
        <v>47</v>
      </c>
      <c r="BR2" s="9">
        <f ca="1">VLOOKUP(H2,ghosts_label!$A$2:$B$19,2,FALSE)</f>
        <v>1</v>
      </c>
    </row>
    <row r="3" spans="1:70" ht="26" customHeight="1" x14ac:dyDescent="0.15">
      <c r="A3" s="186">
        <v>1177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虚閃を弄する豪輪 オズ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0.94</v>
      </c>
      <c r="AB3" s="10">
        <f ca="1">VLOOKUP(W3,[1]character_tribe_i18n!$A:$H,5,FALSE)</f>
        <v>0.99</v>
      </c>
      <c r="AC3" s="10">
        <f ca="1">VLOOKUP(W3,[1]character_tribe_i18n!$A:$H,6,FALSE)</f>
        <v>1</v>
      </c>
      <c r="AD3" s="10">
        <f ca="1">VLOOKUP(W3,[1]character_tribe_i18n!$A:$H,7,FALSE)</f>
        <v>1.07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460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オズ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1177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空中楼閣の不平交渉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2ターン全ユニットの攻撃力UP(お邪魔パネル吸収し効果特大UP)+ランダムで1つSCパネル(威力大)に変換+ウィルス解除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1177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クウィントルネード・マジック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1体に大ダメージ_x000D_種族サムライに効果特大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</v>
      </c>
      <c r="AZ3" s="64">
        <v>1.2</v>
      </c>
      <c r="BA3" s="64">
        <v>0</v>
      </c>
      <c r="BB3" s="64">
        <v>0.85</v>
      </c>
      <c r="BC3" s="10">
        <f ca="1">INDEX('RC6SV'!$A$1:$G$21,MATCH(H3,'RC6SV'!$A$1:$A$21,FALSE),MATCH(G3,'RC6SV'!$A$1:$G$1,FALSE))</f>
        <v>12000</v>
      </c>
      <c r="BD3" s="44">
        <f t="shared" ref="BD3" ca="1" si="4">ROUND(BC3*IF(AJ3=1,0.95,IF(AJ3=2,1,IF(AJ3,1.05,0))),0)</f>
        <v>12000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2877</v>
      </c>
      <c r="BH3" s="15">
        <f ca="1">IF($BE3&lt;=0,ROUND(BL3*0.5,0), ROUND($BE3*T3*AB3*K3*AZ3*0.8*[1]ステータス!$C$2,0))</f>
        <v>2096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1365</v>
      </c>
      <c r="BK3" s="10">
        <f ca="1">ROUND(BD3*S3*AA3*J3*AY3*[1]ステータス!$B$2,0)</f>
        <v>5753</v>
      </c>
      <c r="BL3" s="10">
        <f ca="1">ROUND(BD3*T3*AB3*K3*AZ3*[1]ステータス!$C$2,0)</f>
        <v>4191</v>
      </c>
      <c r="BM3" s="10">
        <f ca="1">ROUND(BD3*U3*AC3*L3*BA3*[1]ステータス!$D$2,0)</f>
        <v>0</v>
      </c>
      <c r="BN3" s="10">
        <f ca="1">ROUND(BD3*V3*AD3*M3*BB3*[1]ステータス!$E$2,0)</f>
        <v>2729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1</v>
      </c>
    </row>
  </sheetData>
  <autoFilter ref="A1:BQ1"/>
  <phoneticPr fontId="10"/>
  <conditionalFormatting sqref="BO1">
    <cfRule type="cellIs" dxfId="34" priority="120" stopIfTrue="1" operator="equal">
      <formula>1</formula>
    </cfRule>
  </conditionalFormatting>
  <conditionalFormatting sqref="BQ1">
    <cfRule type="cellIs" dxfId="33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1175</v>
      </c>
      <c r="B2" s="129" t="s">
        <v>185</v>
      </c>
      <c r="C2" s="188" t="s">
        <v>321</v>
      </c>
      <c r="D2" s="188" t="s">
        <v>363</v>
      </c>
      <c r="E2" s="131">
        <f t="shared" ref="E2" si="0">LEN(D2)</f>
        <v>59</v>
      </c>
      <c r="F2" s="63">
        <v>14</v>
      </c>
      <c r="G2" s="113">
        <v>7</v>
      </c>
      <c r="H2" s="132">
        <f>2001</f>
        <v>2001</v>
      </c>
      <c r="I2" s="189" t="s">
        <v>364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蘇尊の誓聖義 アーサー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1177</v>
      </c>
      <c r="B3" s="129" t="s">
        <v>185</v>
      </c>
      <c r="C3" s="188" t="s">
        <v>322</v>
      </c>
      <c r="D3" s="188" t="s">
        <v>362</v>
      </c>
      <c r="E3" s="131">
        <f t="shared" ref="E3" si="1">LEN(D3)</f>
        <v>60</v>
      </c>
      <c r="F3" s="63">
        <v>14</v>
      </c>
      <c r="G3" s="113">
        <v>7</v>
      </c>
      <c r="H3" s="132">
        <f>2001</f>
        <v>2001</v>
      </c>
      <c r="I3" s="189" t="s">
        <v>336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虚閃を弄する豪輪 オズ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32" priority="24" operator="greaterThan">
      <formula>41</formula>
    </cfRule>
  </conditionalFormatting>
  <conditionalFormatting sqref="E2">
    <cfRule type="cellIs" dxfId="31" priority="18" operator="greaterThan">
      <formula>41</formula>
    </cfRule>
  </conditionalFormatting>
  <conditionalFormatting sqref="E3">
    <cfRule type="cellIs" dxfId="30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1175</v>
      </c>
      <c r="B2" s="129" t="s">
        <v>186</v>
      </c>
      <c r="C2" s="188" t="s">
        <v>333</v>
      </c>
      <c r="D2" s="188" t="s">
        <v>360</v>
      </c>
      <c r="E2" s="131">
        <f t="shared" ref="E2" si="0">LEN(D2)</f>
        <v>26</v>
      </c>
      <c r="F2" s="190" t="s">
        <v>320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蘇尊の誓聖義 アーサー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1177</v>
      </c>
      <c r="B3" s="129" t="s">
        <v>186</v>
      </c>
      <c r="C3" s="188" t="s">
        <v>334</v>
      </c>
      <c r="D3" s="188" t="s">
        <v>361</v>
      </c>
      <c r="E3" s="131">
        <f t="shared" ref="E3" si="1">LEN(D3)</f>
        <v>20</v>
      </c>
      <c r="F3" s="190" t="s">
        <v>318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虚閃を弄する豪輪 オズ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9" priority="18" operator="greaterThan">
      <formula>41</formula>
    </cfRule>
  </conditionalFormatting>
  <conditionalFormatting sqref="E3">
    <cfRule type="cellIs" dxfId="28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1"/>
  <sheetViews>
    <sheetView zoomScale="110" workbookViewId="0">
      <selection activeCell="G10" sqref="G1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1175</v>
      </c>
      <c r="B2" s="138" t="str">
        <f>VLOOKUP(A2,[1]characters!$A:$C,3,FALSE)</f>
        <v>蘇尊の誓聖義 アーサー</v>
      </c>
      <c r="C2" s="105" t="s">
        <v>195</v>
      </c>
      <c r="D2" s="138" t="str">
        <f t="shared" ref="D2" si="0">A2&amp;C2</f>
        <v>1175skill</v>
      </c>
      <c r="E2" s="138" t="str">
        <f>A2&amp;+(COUNTIF(A2:A$25,A2)-1)</f>
        <v>11754</v>
      </c>
      <c r="F2" s="105" t="s">
        <v>186</v>
      </c>
      <c r="G2" s="162" t="s">
        <v>324</v>
      </c>
      <c r="H2" s="162" t="s">
        <v>323</v>
      </c>
    </row>
    <row r="3" spans="1:8" x14ac:dyDescent="0.15">
      <c r="A3" s="105">
        <v>1175</v>
      </c>
      <c r="B3" s="138" t="str">
        <f>VLOOKUP(A3,[1]characters!$A:$C,3,FALSE)</f>
        <v>蘇尊の誓聖義 アーサー</v>
      </c>
      <c r="C3" s="105" t="s">
        <v>197</v>
      </c>
      <c r="D3" s="138" t="str">
        <f>A3&amp;C3</f>
        <v>1175cskill</v>
      </c>
      <c r="E3" s="138" t="str">
        <f>A3&amp;+(COUNTIF(A3:A$25,A3)-1)</f>
        <v>11753</v>
      </c>
      <c r="F3" s="105" t="s">
        <v>186</v>
      </c>
      <c r="G3" s="162" t="s">
        <v>324</v>
      </c>
      <c r="H3" s="162" t="s">
        <v>326</v>
      </c>
    </row>
    <row r="4" spans="1:8" x14ac:dyDescent="0.15">
      <c r="A4" s="105">
        <v>1175</v>
      </c>
      <c r="B4" s="138" t="str">
        <f>VLOOKUP(A4,[1]characters!$A:$C,3,FALSE)</f>
        <v>蘇尊の誓聖義 アーサー</v>
      </c>
      <c r="C4" s="105" t="s">
        <v>197</v>
      </c>
      <c r="D4" s="138" t="str">
        <f>A4&amp;C4</f>
        <v>1175cskill</v>
      </c>
      <c r="E4" s="138" t="str">
        <f>A4&amp;+(COUNTIF(A4:A$25,A4)-1)</f>
        <v>11752</v>
      </c>
      <c r="F4" s="105" t="s">
        <v>186</v>
      </c>
      <c r="G4" s="162" t="s">
        <v>324</v>
      </c>
      <c r="H4" s="162" t="s">
        <v>327</v>
      </c>
    </row>
    <row r="5" spans="1:8" x14ac:dyDescent="0.15">
      <c r="A5" s="105">
        <v>1175</v>
      </c>
      <c r="B5" s="138" t="str">
        <f>VLOOKUP(A5,[1]characters!$A:$C,3,FALSE)</f>
        <v>蘇尊の誓聖義 アーサー</v>
      </c>
      <c r="C5" s="105" t="s">
        <v>197</v>
      </c>
      <c r="D5" s="138" t="str">
        <f>A5&amp;C5</f>
        <v>1175cskill</v>
      </c>
      <c r="E5" s="138" t="str">
        <f>A5&amp;+(COUNTIF(A5:A$25,A5)-1)</f>
        <v>11751</v>
      </c>
      <c r="F5" s="105" t="s">
        <v>186</v>
      </c>
      <c r="G5" s="162" t="s">
        <v>324</v>
      </c>
      <c r="H5" s="162" t="s">
        <v>328</v>
      </c>
    </row>
    <row r="6" spans="1:8" x14ac:dyDescent="0.15">
      <c r="A6" s="105">
        <v>1175</v>
      </c>
      <c r="B6" s="138" t="str">
        <f>VLOOKUP(A6,[1]characters!$A:$C,3,FALSE)</f>
        <v>蘇尊の誓聖義 アーサー</v>
      </c>
      <c r="C6" s="105" t="s">
        <v>197</v>
      </c>
      <c r="D6" s="138" t="str">
        <f>A6&amp;C6</f>
        <v>1175cskill</v>
      </c>
      <c r="E6" s="138" t="str">
        <f>A6&amp;+(COUNTIF(A6:A$25,A6)-1)</f>
        <v>11750</v>
      </c>
      <c r="F6" s="105" t="s">
        <v>186</v>
      </c>
      <c r="G6" s="162" t="s">
        <v>324</v>
      </c>
      <c r="H6" s="162" t="s">
        <v>325</v>
      </c>
    </row>
    <row r="7" spans="1:8" x14ac:dyDescent="0.15">
      <c r="A7" s="105">
        <v>1177</v>
      </c>
      <c r="B7" s="138" t="str">
        <f>VLOOKUP(A7,[1]characters!$A:$C,3,FALSE)</f>
        <v>虚閃を弄する豪輪 オズ</v>
      </c>
      <c r="C7" s="105" t="s">
        <v>195</v>
      </c>
      <c r="D7" s="138" t="str">
        <f t="shared" ref="D7" si="1">A7&amp;C7</f>
        <v>1177skill</v>
      </c>
      <c r="E7" s="138" t="str">
        <f>A7&amp;+(COUNTIF(A7:A$25,A7)-1)</f>
        <v>11774</v>
      </c>
      <c r="F7" s="105" t="s">
        <v>186</v>
      </c>
      <c r="G7" s="162" t="s">
        <v>196</v>
      </c>
      <c r="H7" s="162" t="s">
        <v>332</v>
      </c>
    </row>
    <row r="8" spans="1:8" x14ac:dyDescent="0.15">
      <c r="A8" s="105">
        <v>1177</v>
      </c>
      <c r="B8" s="138" t="str">
        <f>VLOOKUP(A8,[1]characters!$A:$C,3,FALSE)</f>
        <v>虚閃を弄する豪輪 オズ</v>
      </c>
      <c r="C8" s="105" t="s">
        <v>197</v>
      </c>
      <c r="D8" s="138" t="str">
        <f>A8&amp;C8</f>
        <v>1177cskill</v>
      </c>
      <c r="E8" s="138" t="str">
        <f>A8&amp;+(COUNTIF(A8:A$25,A8)-1)</f>
        <v>11773</v>
      </c>
      <c r="F8" s="105" t="s">
        <v>186</v>
      </c>
      <c r="G8" s="162" t="s">
        <v>196</v>
      </c>
      <c r="H8" s="162" t="s">
        <v>329</v>
      </c>
    </row>
    <row r="9" spans="1:8" x14ac:dyDescent="0.15">
      <c r="A9" s="105">
        <v>1177</v>
      </c>
      <c r="B9" s="138" t="str">
        <f>VLOOKUP(A9,[1]characters!$A:$C,3,FALSE)</f>
        <v>虚閃を弄する豪輪 オズ</v>
      </c>
      <c r="C9" s="105" t="s">
        <v>197</v>
      </c>
      <c r="D9" s="138" t="str">
        <f>A9&amp;C9</f>
        <v>1177cskill</v>
      </c>
      <c r="E9" s="138" t="str">
        <f>A9&amp;+(COUNTIF(A9:A$25,A9)-1)</f>
        <v>11772</v>
      </c>
      <c r="F9" s="105" t="s">
        <v>186</v>
      </c>
      <c r="G9" s="162" t="s">
        <v>196</v>
      </c>
      <c r="H9" s="162" t="s">
        <v>330</v>
      </c>
    </row>
    <row r="10" spans="1:8" x14ac:dyDescent="0.15">
      <c r="A10" s="105">
        <v>1177</v>
      </c>
      <c r="B10" s="138" t="str">
        <f>VLOOKUP(A10,[1]characters!$A:$C,3,FALSE)</f>
        <v>虚閃を弄する豪輪 オズ</v>
      </c>
      <c r="C10" s="105" t="s">
        <v>197</v>
      </c>
      <c r="D10" s="138" t="str">
        <f>A10&amp;C10</f>
        <v>1177cskill</v>
      </c>
      <c r="E10" s="138" t="str">
        <f>A10&amp;+(COUNTIF(A10:A$25,A10)-1)</f>
        <v>11771</v>
      </c>
      <c r="F10" s="105" t="s">
        <v>186</v>
      </c>
      <c r="G10" s="162" t="s">
        <v>196</v>
      </c>
      <c r="H10" s="162" t="s">
        <v>331</v>
      </c>
    </row>
    <row r="11" spans="1:8" x14ac:dyDescent="0.15">
      <c r="A11" s="105">
        <v>1177</v>
      </c>
      <c r="B11" s="138" t="str">
        <f>VLOOKUP(A11,[1]characters!$A:$C,3,FALSE)</f>
        <v>虚閃を弄する豪輪 オズ</v>
      </c>
      <c r="C11" s="105" t="s">
        <v>197</v>
      </c>
      <c r="D11" s="138" t="str">
        <f>A11&amp;C11</f>
        <v>1177cskill</v>
      </c>
      <c r="E11" s="138" t="str">
        <f>A11&amp;+(COUNTIF(A11:A$25,A11)-1)</f>
        <v>11770</v>
      </c>
      <c r="F11" s="105" t="s">
        <v>186</v>
      </c>
      <c r="G11" s="162" t="s">
        <v>196</v>
      </c>
      <c r="H11" s="162" t="s">
        <v>335</v>
      </c>
    </row>
  </sheetData>
  <phoneticPr fontId="22"/>
  <dataValidations count="2">
    <dataValidation type="list" allowBlank="1" showInputMessage="1" showErrorMessage="1" sqref="G2:G11">
      <formula1>"maru,giza,kumo"</formula1>
    </dataValidation>
    <dataValidation type="list" allowBlank="1" showInputMessage="1" showErrorMessage="1" sqref="C2:C1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7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7" sqref="Q7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473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凶堅なる正義 アーサー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super</v>
      </c>
      <c r="Q2" s="187">
        <v>1175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蘇尊の誓聖義 アーサー</v>
      </c>
      <c r="S2" s="5">
        <f ca="1">IF(ISNA(MATCH(A2,Q:Q,0)),A2,INDIRECT(ADDRESS(MATCH(A2,Q:Q,0),COLUMN())))</f>
        <v>473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凶堅なる正義 アーサー</v>
      </c>
      <c r="U2" s="10">
        <f ca="1">IF(Q2="NULL","NULL",VLOOKUP(G2,[2]ビット!$A$2:$B$7,2))</f>
        <v>200000</v>
      </c>
    </row>
    <row r="3" spans="1:21" ht="21" customHeight="1" x14ac:dyDescent="0.15">
      <c r="A3" s="191">
        <v>820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凶心者の聖儀 アーサー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各属性相性良3・黄・R438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super</v>
      </c>
      <c r="Q3" s="187">
        <v>1175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蘇尊の誓聖義 アーサー</v>
      </c>
      <c r="S3" s="5">
        <f t="shared" ref="S3:S4" ca="1" si="0">IF(ISNA(MATCH(A3,Q:Q,0)),A3,INDIRECT(ADDRESS(MATCH(A3,Q:Q,0),COLUMN())))</f>
        <v>473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凶堅なる正義 アーサー</v>
      </c>
      <c r="U3" s="10">
        <f ca="1">IF(Q3="NULL","NULL",VLOOKUP(G3,[2]ビット!$A$2:$B$7,2))</f>
        <v>200000</v>
      </c>
    </row>
    <row r="4" spans="1:21" ht="21" customHeight="1" x14ac:dyDescent="0.15">
      <c r="A4" s="191">
        <v>1175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蘇尊の誓聖義 アーサー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820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凶心者の聖儀 アーサー</v>
      </c>
      <c r="S4" s="5">
        <f t="shared" ca="1" si="0"/>
        <v>473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凶堅なる正義 アーサー</v>
      </c>
      <c r="U4" s="10">
        <f ca="1">IF(Q4="NULL","NULL",VLOOKUP(G4,[2]ビット!$A$2:$B$7,2))</f>
        <v>200000</v>
      </c>
    </row>
    <row r="5" spans="1:21" ht="21" customHeight="1" x14ac:dyDescent="0.15">
      <c r="A5" s="191">
        <v>461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大いなる虚像 オズ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イベント:ウィザード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super</v>
      </c>
      <c r="Q5" s="187">
        <v>1177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虚閃を弄する豪輪 オズ</v>
      </c>
      <c r="S5" s="5">
        <f ca="1">IF(ISNA(MATCH(A5,Q:Q,0)),A5,INDIRECT(ADDRESS(MATCH(A5,Q:Q,0),COLUMN())))</f>
        <v>461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大いなる虚像 オズ</v>
      </c>
      <c r="U5" s="10">
        <f ca="1">IF(Q5="NULL","NULL",VLOOKUP(G5,[2]ビット!$A$2:$B$7,2))</f>
        <v>200000</v>
      </c>
    </row>
    <row r="6" spans="1:21" ht="21" customHeight="1" x14ac:dyDescent="0.15">
      <c r="A6" s="191">
        <v>818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虚空を飾る大輪 オズ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各属性相性良3・黄・R436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super</v>
      </c>
      <c r="Q6" s="187">
        <v>1177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虚閃を弄する豪輪 オズ</v>
      </c>
      <c r="S6" s="5">
        <f t="shared" ref="S6:S7" ca="1" si="1">IF(ISNA(MATCH(A6,Q:Q,0)),A6,INDIRECT(ADDRESS(MATCH(A6,Q:Q,0),COLUMN())))</f>
        <v>461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大いなる虚像 オズ</v>
      </c>
      <c r="U6" s="10">
        <f ca="1">IF(Q6="NULL","NULL",VLOOKUP(G6,[2]ビット!$A$2:$B$7,2))</f>
        <v>200000</v>
      </c>
    </row>
    <row r="7" spans="1:21" ht="21" customHeight="1" x14ac:dyDescent="0.15">
      <c r="A7" s="191">
        <v>1177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虚閃を弄する豪輪 オズ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818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虚空を飾る大輪 オズ</v>
      </c>
      <c r="S7" s="5">
        <f t="shared" ca="1" si="1"/>
        <v>461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大いなる虚像 オズ</v>
      </c>
      <c r="U7" s="10">
        <f ca="1">IF(Q7="NULL","NULL",VLOOKUP(G7,[2]ビット!$A$2:$B$7,2))</f>
        <v>200000</v>
      </c>
    </row>
  </sheetData>
  <autoFilter ref="A1:U2"/>
  <phoneticPr fontId="22"/>
  <conditionalFormatting sqref="W1:W2 W8:W1048576">
    <cfRule type="cellIs" dxfId="27" priority="9" operator="equal">
      <formula>"FALSE"</formula>
    </cfRule>
  </conditionalFormatting>
  <conditionalFormatting sqref="W3:W4">
    <cfRule type="cellIs" dxfId="26" priority="3" operator="equal">
      <formula>"FALSE"</formula>
    </cfRule>
  </conditionalFormatting>
  <conditionalFormatting sqref="W5">
    <cfRule type="cellIs" dxfId="25" priority="2" operator="equal">
      <formula>"FALSE"</formula>
    </cfRule>
  </conditionalFormatting>
  <conditionalFormatting sqref="W6:W7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7"/>
  <sheetViews>
    <sheetView showGridLines="0" workbookViewId="0">
      <pane ySplit="1" topLeftCell="A2" activePane="bottomLeft" state="frozen"/>
      <selection pane="bottomLeft" activeCell="I18" sqref="I18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17" si="0">B2&amp;"_"&amp;I2</f>
        <v>473_642</v>
      </c>
      <c r="B2" s="191">
        <v>473</v>
      </c>
      <c r="C2" s="178">
        <f t="shared" ref="C2:C17" si="1">B2</f>
        <v>473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凶堅なる正義 アーサー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1175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蘇尊の誓聖義 アーサー</v>
      </c>
      <c r="I2" s="194">
        <v>642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カーマ</v>
      </c>
      <c r="K2" s="192">
        <v>1</v>
      </c>
      <c r="L2" s="193">
        <v>1</v>
      </c>
      <c r="M2" s="193">
        <v>100</v>
      </c>
      <c r="N2" s="2" t="s">
        <v>290</v>
      </c>
    </row>
    <row r="3" spans="1:14" ht="21" customHeight="1" x14ac:dyDescent="0.15">
      <c r="A3" s="61" t="str">
        <f t="shared" si="0"/>
        <v>473_840</v>
      </c>
      <c r="B3" s="191">
        <v>473</v>
      </c>
      <c r="C3" s="178">
        <f t="shared" si="1"/>
        <v>473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凶堅なる正義 アーサー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1175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蘇尊の誓聖義 アーサー</v>
      </c>
      <c r="I3" s="194">
        <v>840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フェニックス</v>
      </c>
      <c r="K3" s="192">
        <v>1</v>
      </c>
      <c r="L3" s="193">
        <v>3</v>
      </c>
      <c r="M3" s="193">
        <v>100</v>
      </c>
      <c r="N3" s="2" t="s">
        <v>290</v>
      </c>
    </row>
    <row r="4" spans="1:14" ht="21" customHeight="1" x14ac:dyDescent="0.15">
      <c r="A4" s="61" t="str">
        <f t="shared" si="0"/>
        <v>473_286</v>
      </c>
      <c r="B4" s="191">
        <v>473</v>
      </c>
      <c r="C4" s="178">
        <f t="shared" si="1"/>
        <v>473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凶堅なる正義 アーサー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1175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蘇尊の誓聖義 アーサー</v>
      </c>
      <c r="I4" s="194">
        <v>286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ヒュドラ</v>
      </c>
      <c r="K4" s="192">
        <v>1</v>
      </c>
      <c r="L4" s="193">
        <v>3</v>
      </c>
      <c r="M4" s="193">
        <v>100</v>
      </c>
      <c r="N4" s="2" t="s">
        <v>290</v>
      </c>
    </row>
    <row r="5" spans="1:14" ht="21" customHeight="1" x14ac:dyDescent="0.15">
      <c r="A5" s="61" t="str">
        <f t="shared" si="0"/>
        <v>820_840</v>
      </c>
      <c r="B5" s="195">
        <v>820</v>
      </c>
      <c r="C5" s="178">
        <f t="shared" si="1"/>
        <v>820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凶心者の聖儀 アーサー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1175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蘇尊の誓聖義 アーサー</v>
      </c>
      <c r="I5" s="194">
        <v>840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フェニックス</v>
      </c>
      <c r="K5" s="192">
        <v>1</v>
      </c>
      <c r="L5" s="193">
        <v>2</v>
      </c>
      <c r="M5" s="193">
        <v>100</v>
      </c>
      <c r="N5" s="2" t="s">
        <v>290</v>
      </c>
    </row>
    <row r="6" spans="1:14" ht="21" customHeight="1" x14ac:dyDescent="0.15">
      <c r="A6" s="61" t="str">
        <f t="shared" si="0"/>
        <v>820_286</v>
      </c>
      <c r="B6" s="195">
        <v>820</v>
      </c>
      <c r="C6" s="178">
        <f t="shared" si="1"/>
        <v>820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凶心者の聖儀 アーサー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195">
        <v>1175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蘇尊の誓聖義 アーサー</v>
      </c>
      <c r="I6" s="194">
        <v>286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ヒュドラ</v>
      </c>
      <c r="K6" s="192">
        <v>1</v>
      </c>
      <c r="L6" s="193">
        <v>2</v>
      </c>
      <c r="M6" s="193">
        <v>100</v>
      </c>
      <c r="N6" s="2" t="s">
        <v>290</v>
      </c>
    </row>
    <row r="7" spans="1:14" ht="21" customHeight="1" x14ac:dyDescent="0.15">
      <c r="A7" s="61" t="str">
        <f t="shared" si="0"/>
        <v>1175_102</v>
      </c>
      <c r="B7" s="195">
        <v>1175</v>
      </c>
      <c r="C7" s="178">
        <f t="shared" si="1"/>
        <v>1175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蘇尊の誓聖義 アーサー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6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820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凶心者の聖儀 アーサー</v>
      </c>
      <c r="I7" s="195">
        <v>102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レッドラビット</v>
      </c>
      <c r="K7" s="192">
        <v>1</v>
      </c>
      <c r="L7" s="193">
        <v>1</v>
      </c>
      <c r="M7" s="193">
        <v>10</v>
      </c>
      <c r="N7" s="2" t="s">
        <v>290</v>
      </c>
    </row>
    <row r="8" spans="1:14" ht="21" customHeight="1" x14ac:dyDescent="0.15">
      <c r="A8" s="61" t="str">
        <f t="shared" si="0"/>
        <v>1175_103</v>
      </c>
      <c r="B8" s="195">
        <v>1175</v>
      </c>
      <c r="C8" s="178">
        <f t="shared" si="1"/>
        <v>1175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蘇尊の誓聖義 アーサー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6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95">
        <v>820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凶心者の聖儀 アーサー</v>
      </c>
      <c r="I8" s="195">
        <v>103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レッドキャタップ</v>
      </c>
      <c r="K8" s="192">
        <v>1</v>
      </c>
      <c r="L8" s="193">
        <v>1</v>
      </c>
      <c r="M8" s="193">
        <v>10</v>
      </c>
      <c r="N8" s="2" t="s">
        <v>290</v>
      </c>
    </row>
    <row r="9" spans="1:14" ht="21" customHeight="1" x14ac:dyDescent="0.15">
      <c r="A9" s="61" t="str">
        <f t="shared" si="0"/>
        <v>1175_104</v>
      </c>
      <c r="B9" s="195">
        <v>1175</v>
      </c>
      <c r="C9" s="178">
        <f t="shared" si="1"/>
        <v>1175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蘇尊の誓聖義 アーサー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5">
        <v>820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凶心者の聖儀 アーサー</v>
      </c>
      <c r="I9" s="195">
        <v>104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炎のマッドハッター</v>
      </c>
      <c r="K9" s="192">
        <v>1</v>
      </c>
      <c r="L9" s="193">
        <v>1</v>
      </c>
      <c r="M9" s="193">
        <v>10</v>
      </c>
      <c r="N9" s="2" t="s">
        <v>290</v>
      </c>
    </row>
    <row r="10" spans="1:14" ht="21" customHeight="1" x14ac:dyDescent="0.15">
      <c r="A10" s="61" t="str">
        <f t="shared" si="0"/>
        <v>461_644</v>
      </c>
      <c r="B10" s="191">
        <v>461</v>
      </c>
      <c r="C10" s="178">
        <f t="shared" si="1"/>
        <v>461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大いなる虚像 オズ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95">
        <v>1177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虚閃を弄する豪輪 オズ</v>
      </c>
      <c r="I10" s="194">
        <v>644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滑瓢 ショウキ</v>
      </c>
      <c r="K10" s="192">
        <v>1</v>
      </c>
      <c r="L10" s="193">
        <v>1</v>
      </c>
      <c r="M10" s="193">
        <v>100</v>
      </c>
      <c r="N10" s="2" t="s">
        <v>290</v>
      </c>
    </row>
    <row r="11" spans="1:14" ht="21" customHeight="1" x14ac:dyDescent="0.15">
      <c r="A11" s="61" t="str">
        <f t="shared" si="0"/>
        <v>461_766</v>
      </c>
      <c r="B11" s="191">
        <v>461</v>
      </c>
      <c r="C11" s="178">
        <f t="shared" si="1"/>
        <v>461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大いなる虚像 オズ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195">
        <v>1177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虚閃を弄する豪輪 オズ</v>
      </c>
      <c r="I11" s="194">
        <v>766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ランドラグ</v>
      </c>
      <c r="K11" s="192">
        <v>1</v>
      </c>
      <c r="L11" s="193">
        <v>3</v>
      </c>
      <c r="M11" s="193">
        <v>100</v>
      </c>
      <c r="N11" s="2" t="s">
        <v>290</v>
      </c>
    </row>
    <row r="12" spans="1:14" ht="21" customHeight="1" x14ac:dyDescent="0.15">
      <c r="A12" s="61" t="str">
        <f t="shared" si="0"/>
        <v>461_300</v>
      </c>
      <c r="B12" s="191">
        <v>461</v>
      </c>
      <c r="C12" s="178">
        <f t="shared" si="1"/>
        <v>461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大いなる虚像 オズ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</v>
      </c>
      <c r="G12" s="195">
        <v>1177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虚閃を弄する豪輪 オズ</v>
      </c>
      <c r="I12" s="194">
        <v>300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毒殺のチカ</v>
      </c>
      <c r="K12" s="192">
        <v>1</v>
      </c>
      <c r="L12" s="193">
        <v>3</v>
      </c>
      <c r="M12" s="193">
        <v>100</v>
      </c>
      <c r="N12" s="2" t="s">
        <v>290</v>
      </c>
    </row>
    <row r="13" spans="1:14" ht="21" customHeight="1" x14ac:dyDescent="0.15">
      <c r="A13" s="61" t="str">
        <f t="shared" si="0"/>
        <v>818_766</v>
      </c>
      <c r="B13" s="195">
        <v>818</v>
      </c>
      <c r="C13" s="178">
        <f t="shared" si="1"/>
        <v>818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虚空を飾る大輪 オズ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</v>
      </c>
      <c r="G13" s="195">
        <v>1177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虚閃を弄する豪輪 オズ</v>
      </c>
      <c r="I13" s="194">
        <v>766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ランドラグ</v>
      </c>
      <c r="K13" s="192">
        <v>1</v>
      </c>
      <c r="L13" s="193">
        <v>2</v>
      </c>
      <c r="M13" s="193">
        <v>100</v>
      </c>
      <c r="N13" s="2" t="s">
        <v>290</v>
      </c>
    </row>
    <row r="14" spans="1:14" ht="21" customHeight="1" x14ac:dyDescent="0.15">
      <c r="A14" s="61" t="str">
        <f t="shared" si="0"/>
        <v>818_300</v>
      </c>
      <c r="B14" s="195">
        <v>818</v>
      </c>
      <c r="C14" s="178">
        <f t="shared" si="1"/>
        <v>818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虚空を飾る大輪 オズ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6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</v>
      </c>
      <c r="G14" s="195">
        <v>1177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虚閃を弄する豪輪 オズ</v>
      </c>
      <c r="I14" s="194">
        <v>300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毒殺のチカ</v>
      </c>
      <c r="K14" s="192">
        <v>1</v>
      </c>
      <c r="L14" s="193">
        <v>2</v>
      </c>
      <c r="M14" s="193">
        <v>100</v>
      </c>
      <c r="N14" s="2" t="s">
        <v>290</v>
      </c>
    </row>
    <row r="15" spans="1:14" ht="21" customHeight="1" x14ac:dyDescent="0.15">
      <c r="A15" s="61" t="str">
        <f t="shared" si="0"/>
        <v>1177_106</v>
      </c>
      <c r="B15" s="195">
        <v>1177</v>
      </c>
      <c r="C15" s="178">
        <f t="shared" si="1"/>
        <v>1177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虚閃を弄する豪輪 オズ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6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DropWizS</v>
      </c>
      <c r="G15" s="195">
        <v>818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虚空を飾る大輪 オズ</v>
      </c>
      <c r="I15" s="195">
        <v>106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グリーンラビット</v>
      </c>
      <c r="K15" s="192">
        <v>1</v>
      </c>
      <c r="L15" s="193">
        <v>1</v>
      </c>
      <c r="M15" s="193">
        <v>10</v>
      </c>
      <c r="N15" s="2" t="s">
        <v>290</v>
      </c>
    </row>
    <row r="16" spans="1:14" ht="21" customHeight="1" x14ac:dyDescent="0.15">
      <c r="A16" s="61" t="str">
        <f t="shared" si="0"/>
        <v>1177_107</v>
      </c>
      <c r="B16" s="195">
        <v>1177</v>
      </c>
      <c r="C16" s="178">
        <f t="shared" si="1"/>
        <v>1177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虚閃を弄する豪輪 オズ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6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195">
        <v>818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虚空を飾る大輪 オズ</v>
      </c>
      <c r="I16" s="195">
        <v>107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グリーンキャタップ</v>
      </c>
      <c r="K16" s="192">
        <v>1</v>
      </c>
      <c r="L16" s="193">
        <v>1</v>
      </c>
      <c r="M16" s="193">
        <v>10</v>
      </c>
      <c r="N16" s="2" t="s">
        <v>290</v>
      </c>
    </row>
    <row r="17" spans="1:14" ht="21" customHeight="1" x14ac:dyDescent="0.15">
      <c r="A17" s="61" t="str">
        <f t="shared" si="0"/>
        <v>1177_108</v>
      </c>
      <c r="B17" s="195">
        <v>1177</v>
      </c>
      <c r="C17" s="178">
        <f t="shared" si="1"/>
        <v>1177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虚閃を弄する豪輪 オズ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6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95">
        <v>818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虚空を飾る大輪 オズ</v>
      </c>
      <c r="I17" s="195">
        <v>108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森のマッドハッター</v>
      </c>
      <c r="K17" s="192">
        <v>1</v>
      </c>
      <c r="L17" s="193">
        <v>1</v>
      </c>
      <c r="M17" s="193">
        <v>10</v>
      </c>
      <c r="N17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A4" sqref="A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1175</v>
      </c>
      <c r="B2" s="172" t="str">
        <f>VLOOKUP(A2,[1]characters!$A:$C,3)</f>
        <v>蘇尊の誓聖義 アーサー</v>
      </c>
      <c r="C2" s="196">
        <v>1</v>
      </c>
      <c r="D2" s="196">
        <v>100</v>
      </c>
      <c r="E2" s="173" t="str">
        <f>IF(ISERROR(VLOOKUP(D2,[3]abilities!A:D,3,FALSE))=FALSE,VLOOKUP(D2,[3]abilities!A:D,3),IF(ISERROR(VLOOKUP(D2,abilities!A:D,3,FALSE))=FALSE,VLOOKUP(D2,abilities!A:D,3),"なし"))</f>
        <v>プロテクトブレイク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4" t="s">
        <v>274</v>
      </c>
      <c r="H2" s="197" t="s">
        <v>317</v>
      </c>
    </row>
    <row r="3" spans="1:8" s="4" customFormat="1" ht="21" customHeight="1" x14ac:dyDescent="0.15">
      <c r="A3" s="169">
        <v>1177</v>
      </c>
      <c r="B3" s="172" t="str">
        <f>VLOOKUP(A3,[1]characters!$A:$C,3)</f>
        <v>虚閃を弄する豪輪 オズ</v>
      </c>
      <c r="C3" s="196">
        <v>1</v>
      </c>
      <c r="D3" s="196">
        <v>103</v>
      </c>
      <c r="E3" s="173" t="str">
        <f>IF(ISERROR(VLOOKUP(D3,[3]abilities!A:D,3,FALSE))=FALSE,VLOOKUP(D3,[3]abilities!A:D,3),IF(ISERROR(VLOOKUP(D3,abilities!A:D,3,FALSE))=FALSE,VLOOKUP(D3,abilities!A:D,3),"なし"))</f>
        <v>お邪魔ブレイク</v>
      </c>
      <c r="F3" s="173" t="str">
        <f>IF(ISERROR(VLOOKUP(D3,[3]abilities!A:D,4,FALSE))=FALSE,VLOOKUP(D3,[3]abilities!A:D,4),IF(ISERROR(VLOOKUP(D3,abilities!A:D,4,FALSE))=FALSE,VLOOKUP(D3,abilities!A:D,4),"なし"))</f>
        <v>自身が先頭の時、お邪魔パネルを破壊できる</v>
      </c>
      <c r="G3" s="174" t="s">
        <v>274</v>
      </c>
      <c r="H3" s="197" t="s">
        <v>317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340</v>
      </c>
      <c r="B1" t="s">
        <v>341</v>
      </c>
    </row>
    <row r="2" spans="1:2" x14ac:dyDescent="0.15">
      <c r="A2" t="s">
        <v>342</v>
      </c>
      <c r="B2">
        <v>1</v>
      </c>
    </row>
    <row r="3" spans="1:2" x14ac:dyDescent="0.15">
      <c r="A3" t="s">
        <v>343</v>
      </c>
      <c r="B3">
        <v>1</v>
      </c>
    </row>
    <row r="4" spans="1:2" x14ac:dyDescent="0.15">
      <c r="A4" t="s">
        <v>344</v>
      </c>
      <c r="B4">
        <v>1</v>
      </c>
    </row>
    <row r="5" spans="1:2" x14ac:dyDescent="0.15">
      <c r="A5" t="s">
        <v>345</v>
      </c>
      <c r="B5">
        <v>1</v>
      </c>
    </row>
    <row r="6" spans="1:2" x14ac:dyDescent="0.15">
      <c r="A6" t="s">
        <v>346</v>
      </c>
      <c r="B6">
        <v>1</v>
      </c>
    </row>
    <row r="7" spans="1:2" x14ac:dyDescent="0.15">
      <c r="A7" t="s">
        <v>347</v>
      </c>
      <c r="B7">
        <v>1</v>
      </c>
    </row>
    <row r="8" spans="1:2" x14ac:dyDescent="0.15">
      <c r="A8" t="s">
        <v>348</v>
      </c>
      <c r="B8">
        <v>1</v>
      </c>
    </row>
    <row r="9" spans="1:2" x14ac:dyDescent="0.15">
      <c r="A9" t="s">
        <v>349</v>
      </c>
      <c r="B9">
        <v>1</v>
      </c>
    </row>
    <row r="10" spans="1:2" x14ac:dyDescent="0.15">
      <c r="A10" t="s">
        <v>350</v>
      </c>
      <c r="B10">
        <v>1</v>
      </c>
    </row>
    <row r="11" spans="1:2" x14ac:dyDescent="0.15">
      <c r="A11" t="s">
        <v>351</v>
      </c>
      <c r="B11">
        <v>1</v>
      </c>
    </row>
    <row r="12" spans="1:2" x14ac:dyDescent="0.15">
      <c r="A12" t="s">
        <v>352</v>
      </c>
      <c r="B12">
        <v>1</v>
      </c>
    </row>
    <row r="13" spans="1:2" x14ac:dyDescent="0.15">
      <c r="A13" t="s">
        <v>353</v>
      </c>
      <c r="B13">
        <v>0</v>
      </c>
    </row>
    <row r="14" spans="1:2" x14ac:dyDescent="0.15">
      <c r="A14" t="s">
        <v>354</v>
      </c>
      <c r="B14">
        <v>500</v>
      </c>
    </row>
    <row r="15" spans="1:2" x14ac:dyDescent="0.15">
      <c r="A15" t="s">
        <v>355</v>
      </c>
      <c r="B15">
        <v>600</v>
      </c>
    </row>
    <row r="16" spans="1:2" x14ac:dyDescent="0.15">
      <c r="A16" t="s">
        <v>356</v>
      </c>
      <c r="B16">
        <v>700</v>
      </c>
    </row>
    <row r="17" spans="1:2" x14ac:dyDescent="0.15">
      <c r="A17" t="s">
        <v>357</v>
      </c>
      <c r="B17">
        <v>5500</v>
      </c>
    </row>
    <row r="18" spans="1:2" x14ac:dyDescent="0.15">
      <c r="A18" t="s">
        <v>358</v>
      </c>
      <c r="B18">
        <v>6000</v>
      </c>
    </row>
    <row r="19" spans="1:2" x14ac:dyDescent="0.15">
      <c r="A19" t="s">
        <v>359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233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234</v>
      </c>
      <c r="B2" s="142"/>
      <c r="C2" s="143"/>
      <c r="D2" s="144" t="s">
        <v>235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236</v>
      </c>
      <c r="B3" s="145"/>
      <c r="C3" s="146"/>
      <c r="D3" s="147" t="s">
        <v>235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237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238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239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240</v>
      </c>
      <c r="B7" s="43" t="s">
        <v>11</v>
      </c>
      <c r="C7" s="43" t="s">
        <v>11</v>
      </c>
      <c r="D7" s="37" t="s">
        <v>235</v>
      </c>
      <c r="E7" s="37" t="s">
        <v>235</v>
      </c>
      <c r="F7" s="37" t="s">
        <v>235</v>
      </c>
      <c r="G7" s="37" t="s">
        <v>235</v>
      </c>
      <c r="H7" s="37" t="s">
        <v>235</v>
      </c>
      <c r="I7" s="37" t="s">
        <v>235</v>
      </c>
    </row>
    <row r="8" spans="1:9" ht="21" customHeight="1" x14ac:dyDescent="0.15">
      <c r="A8" s="71" t="s">
        <v>241</v>
      </c>
      <c r="B8" s="43" t="s">
        <v>11</v>
      </c>
      <c r="C8" s="43" t="s">
        <v>11</v>
      </c>
      <c r="D8" s="37" t="s">
        <v>235</v>
      </c>
      <c r="E8" s="37">
        <v>30</v>
      </c>
      <c r="F8" s="37">
        <v>40</v>
      </c>
      <c r="G8" s="37">
        <f>15+F8</f>
        <v>55</v>
      </c>
      <c r="H8" s="37" t="s">
        <v>235</v>
      </c>
      <c r="I8" s="37" t="s">
        <v>235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242</v>
      </c>
      <c r="B10" s="26" t="s">
        <v>11</v>
      </c>
      <c r="C10" s="26" t="s">
        <v>11</v>
      </c>
      <c r="D10" s="102" t="s">
        <v>235</v>
      </c>
      <c r="E10" s="102">
        <v>25</v>
      </c>
      <c r="F10" s="102">
        <v>35</v>
      </c>
      <c r="G10" s="37">
        <f t="shared" ref="G10:G11" si="1">15+F10</f>
        <v>50</v>
      </c>
      <c r="H10" s="102" t="s">
        <v>235</v>
      </c>
      <c r="I10" s="102" t="s">
        <v>235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243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244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245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246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247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248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249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250</v>
      </c>
      <c r="B21" s="24">
        <v>99</v>
      </c>
      <c r="C21" s="24">
        <v>99</v>
      </c>
      <c r="D21" s="24">
        <v>99</v>
      </c>
      <c r="E21" s="24">
        <v>99</v>
      </c>
      <c r="F21" s="24">
        <v>99</v>
      </c>
      <c r="G21" s="24">
        <v>99</v>
      </c>
      <c r="H21" s="24">
        <v>99</v>
      </c>
      <c r="I21" s="2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234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236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230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238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239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206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241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242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209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205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245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246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248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215</v>
      </c>
      <c r="F19" s="67" t="s">
        <v>215</v>
      </c>
      <c r="G19" s="67" t="s">
        <v>215</v>
      </c>
      <c r="H19" s="67" t="s">
        <v>215</v>
      </c>
      <c r="I19" s="67" t="s">
        <v>215</v>
      </c>
    </row>
    <row r="20" spans="1:9" ht="21" customHeight="1" x14ac:dyDescent="0.15">
      <c r="A20" s="74" t="s">
        <v>249</v>
      </c>
      <c r="B20" s="34">
        <v>10</v>
      </c>
      <c r="C20" s="34">
        <v>20</v>
      </c>
      <c r="D20" s="67" t="s">
        <v>215</v>
      </c>
      <c r="E20" s="67" t="s">
        <v>215</v>
      </c>
      <c r="F20" s="67" t="s">
        <v>215</v>
      </c>
      <c r="G20" s="67" t="s">
        <v>215</v>
      </c>
      <c r="H20" s="67" t="s">
        <v>215</v>
      </c>
      <c r="I20" s="67" t="s">
        <v>215</v>
      </c>
    </row>
    <row r="21" spans="1:9" ht="21" customHeight="1" x14ac:dyDescent="0.15">
      <c r="A21" s="35" t="s">
        <v>250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234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251</v>
      </c>
      <c r="H2" s="143"/>
      <c r="I2" s="143"/>
    </row>
    <row r="3" spans="1:11" s="4" customFormat="1" ht="21" customHeight="1" x14ac:dyDescent="0.15">
      <c r="A3" s="141" t="s">
        <v>236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229</v>
      </c>
      <c r="H3" s="146"/>
      <c r="I3" s="146"/>
    </row>
    <row r="4" spans="1:11" s="4" customFormat="1" ht="21" customHeight="1" x14ac:dyDescent="0.15">
      <c r="A4" s="141" t="s">
        <v>230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229</v>
      </c>
      <c r="H4" s="149"/>
      <c r="I4" s="149"/>
    </row>
    <row r="5" spans="1:11" s="4" customFormat="1" ht="21" customHeight="1" x14ac:dyDescent="0.15">
      <c r="A5" s="160" t="s">
        <v>238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219</v>
      </c>
      <c r="H5" s="156"/>
      <c r="I5" s="156"/>
    </row>
    <row r="6" spans="1:11" s="4" customFormat="1" ht="21" customHeight="1" x14ac:dyDescent="0.15">
      <c r="A6" s="160" t="s">
        <v>239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206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241</v>
      </c>
      <c r="B8" s="38" t="s">
        <v>109</v>
      </c>
      <c r="C8" s="38" t="s">
        <v>109</v>
      </c>
      <c r="D8" s="38" t="s">
        <v>216</v>
      </c>
      <c r="E8" s="48" t="s">
        <v>115</v>
      </c>
      <c r="F8" s="48" t="s">
        <v>115</v>
      </c>
      <c r="G8" s="48" t="s">
        <v>217</v>
      </c>
      <c r="H8" s="38" t="s">
        <v>216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242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218</v>
      </c>
      <c r="I10" s="62" t="s">
        <v>218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219</v>
      </c>
      <c r="H11" s="67" t="s">
        <v>218</v>
      </c>
      <c r="I11" s="67" t="s">
        <v>218</v>
      </c>
      <c r="K11" s="25" t="s">
        <v>12</v>
      </c>
    </row>
    <row r="12" spans="1:11" ht="21" customHeight="1" x14ac:dyDescent="0.15">
      <c r="A12" s="72" t="s">
        <v>209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219</v>
      </c>
      <c r="H12" s="67" t="s">
        <v>218</v>
      </c>
      <c r="I12" s="67" t="s">
        <v>218</v>
      </c>
      <c r="K12" s="27" t="s">
        <v>13</v>
      </c>
    </row>
    <row r="13" spans="1:11" ht="21" customHeight="1" x14ac:dyDescent="0.15">
      <c r="A13" s="72" t="s">
        <v>205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245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246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248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249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250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227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228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230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231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232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206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207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208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209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210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211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212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213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214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1">
        <v>591</v>
      </c>
    </row>
    <row r="3" spans="1:4" x14ac:dyDescent="0.15">
      <c r="A3" t="s">
        <v>199</v>
      </c>
      <c r="B3" s="128">
        <v>592</v>
      </c>
    </row>
    <row r="4" spans="1:4" x14ac:dyDescent="0.15">
      <c r="A4" t="s">
        <v>200</v>
      </c>
      <c r="B4" s="128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2017-06-06T10:48:49Z</dcterms:modified>
</cp:coreProperties>
</file>